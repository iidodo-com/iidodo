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4880" tabRatio="600" firstSheet="0" activeTab="1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月次締め" sheetId="2" state="visible" r:id="rId2"/>
    <sheet xmlns:r="http://schemas.openxmlformats.org/officeDocument/2006/relationships" name="月例" sheetId="3" state="visible" r:id="rId3"/>
    <sheet xmlns:r="http://schemas.openxmlformats.org/officeDocument/2006/relationships" name="決算整理" sheetId="4" state="visible" r:id="rId4"/>
    <sheet xmlns:r="http://schemas.openxmlformats.org/officeDocument/2006/relationships" name="予算差引簿（短）" sheetId="5" state="visible" r:id="rId5"/>
    <sheet xmlns:r="http://schemas.openxmlformats.org/officeDocument/2006/relationships" name="予算差引簿（長）" sheetId="6" state="visible" r:id="rId6"/>
    <sheet xmlns:r="http://schemas.openxmlformats.org/officeDocument/2006/relationships" name="予算差引簿（短）未払" sheetId="7" state="visible" r:id="rId7"/>
    <sheet xmlns:r="http://schemas.openxmlformats.org/officeDocument/2006/relationships" name="予算差引簿（長）未払" sheetId="8" state="visible" r:id="rId8"/>
    <sheet xmlns:r="http://schemas.openxmlformats.org/officeDocument/2006/relationships" name="差引簿集計（短）" sheetId="9" state="visible" r:id="rId9"/>
    <sheet xmlns:r="http://schemas.openxmlformats.org/officeDocument/2006/relationships" name="差引簿集計（長）" sheetId="10" state="visible" r:id="rId10"/>
    <sheet xmlns:r="http://schemas.openxmlformats.org/officeDocument/2006/relationships" name="旅費・事務費（消耗品・図書・通信・会議・雑費）R８" sheetId="11" state="visible" r:id="rId11"/>
    <sheet xmlns:r="http://schemas.openxmlformats.org/officeDocument/2006/relationships" name="旅費・事務費以外R８" sheetId="12" state="visible" r:id="rId12"/>
    <sheet xmlns:r="http://schemas.openxmlformats.org/officeDocument/2006/relationships" name="貸付差引簿集計" sheetId="13" state="visible" r:id="rId13"/>
    <sheet xmlns:r="http://schemas.openxmlformats.org/officeDocument/2006/relationships" name="R7業務（長+短）" sheetId="14" state="visible" r:id="rId14"/>
    <sheet xmlns:r="http://schemas.openxmlformats.org/officeDocument/2006/relationships" name="R7業務 (短)" sheetId="15" state="visible" r:id="rId15"/>
    <sheet xmlns:r="http://schemas.openxmlformats.org/officeDocument/2006/relationships" name="R7業務（長）" sheetId="16" state="visible" r:id="rId16"/>
    <sheet xmlns:r="http://schemas.openxmlformats.org/officeDocument/2006/relationships" name="R8貸付" sheetId="17" state="visible" r:id="rId17"/>
    <sheet xmlns:r="http://schemas.openxmlformats.org/officeDocument/2006/relationships" name="給付区分別執行額（月別）" sheetId="18" state="visible" r:id="rId18"/>
    <sheet xmlns:r="http://schemas.openxmlformats.org/officeDocument/2006/relationships" name="給付区分別執行額（年度分）" sheetId="19" state="visible" r:id="rId19"/>
    <sheet xmlns:r="http://schemas.openxmlformats.org/officeDocument/2006/relationships" name="リスト" sheetId="20" state="visible" r:id="rId20"/>
    <sheet xmlns:r="http://schemas.openxmlformats.org/officeDocument/2006/relationships" name="端数処理" sheetId="21" state="visible" r:id="rId21"/>
    <sheet xmlns:r="http://schemas.openxmlformats.org/officeDocument/2006/relationships" name="科目表" sheetId="22" state="visible" r:id="rId22"/>
    <sheet xmlns:r="http://schemas.openxmlformats.org/officeDocument/2006/relationships" name="検算" sheetId="23" state="visible" r:id="rId23"/>
    <sheet xmlns:r="http://schemas.openxmlformats.org/officeDocument/2006/relationships" name="旧表照合" sheetId="24" state="visible" r:id="rId24"/>
    <sheet xmlns:r="http://schemas.openxmlformats.org/officeDocument/2006/relationships" name="Sheet1" sheetId="25" state="visible" r:id="rId25"/>
    <sheet xmlns:r="http://schemas.openxmlformats.org/officeDocument/2006/relationships" name="Sheet2" sheetId="26" state="visible" r:id="rId26"/>
  </sheets>
  <definedNames>
    <definedName name="委託費">リスト!$G$4:$G$16</definedName>
    <definedName name="減価償却費">リスト!$U$4</definedName>
    <definedName name="交際費">リスト!$Q$4</definedName>
    <definedName name="光熱水料">リスト!$H$4</definedName>
    <definedName name="厚生費">リスト!$C$4</definedName>
    <definedName name="構成組合交付金">リスト!$S$4</definedName>
    <definedName name="雑費">リスト!$T$4</definedName>
    <definedName name="支払利息">リスト!$W$4</definedName>
    <definedName name="事務費">リスト!$E$4:$E$11</definedName>
    <definedName name="修繕費">リスト!$I$4</definedName>
    <definedName name="諸謝金">リスト!$M$4:$M$8</definedName>
    <definedName name="消費税">リスト!$P$4</definedName>
    <definedName name="職員給与">リスト!$B$4:$B$8</definedName>
    <definedName name="食糧費">リスト!$N$4</definedName>
    <definedName name="選挙費">リスト!$R$4</definedName>
    <definedName name="中項目">リスト!$A$3:$Y$3</definedName>
    <definedName name="調査研究費">リスト!$K$4:$K$13</definedName>
    <definedName name="賃金">リスト!$F$4</definedName>
    <definedName name="賃借料">リスト!$J$4:$J$10</definedName>
    <definedName name="特別修繕引当金繰入">リスト!$V$4</definedName>
    <definedName name="普及費">リスト!$L$4:$L$8</definedName>
    <definedName name="負担金">リスト!$O$4:$O$12</definedName>
    <definedName name="旅費">リスト!$D$4:$D$6</definedName>
    <definedName name="年度">'月次締め'!$C$4</definedName>
    <definedName name="締月">'月次締め'!$C$6</definedName>
    <definedName name="月初">'月次締め'!$C$7</definedName>
    <definedName name="翌月初">'月次締め'!$D$7</definedName>
    <definedName name="中項目・小項目" localSheetId="2">リスト!$A$3:$W$3</definedName>
    <definedName name="役員報酬" localSheetId="2">リスト!$A$4:$A$6</definedName>
    <definedName name="_xlnm._FilterDatabase" localSheetId="2" hidden="1">'月例'!$A$4:$U$788</definedName>
    <definedName name="中項目・小項目" localSheetId="3">リスト!$A$3:$W$3</definedName>
    <definedName name="役員報酬" localSheetId="3">リスト!$A$4:$A$6</definedName>
    <definedName name="_xlnm._FilterDatabase" localSheetId="3" hidden="1">'決算整理'!$A$4:$U$1835</definedName>
    <definedName name="_xlnm.Print_Area" localSheetId="3">'決算整理'!$A$1:$L$1879</definedName>
    <definedName name="_xlnm.Print_Area" localSheetId="17">'給付区分別執行額（月別）'!$A$1:$I$36</definedName>
    <definedName name="_xlnm.Print_Area" localSheetId="18">'給付区分別執行額（年度分）'!$A$1:$I$36</definedName>
    <definedName name="_xlnm._FilterDatabase" localSheetId="24" hidden="1">'Sheet1'!$G$1:$G$1960</definedName>
  </definedNames>
  <calcPr calcId="191029" fullCalcOnLoad="1"/>
</workbook>
</file>

<file path=xl/styles.xml><?xml version="1.0" encoding="utf-8"?>
<styleSheet xmlns="http://schemas.openxmlformats.org/spreadsheetml/2006/main">
  <numFmts count="19">
    <numFmt numFmtId="164" formatCode="#,##0;&quot;△ &quot;#,##0"/>
    <numFmt numFmtId="165" formatCode="[$-411]ge\.m\.d;@"/>
    <numFmt numFmtId="166" formatCode="0_);[Red]\(0\)"/>
    <numFmt numFmtId="167" formatCode="#,##0_ "/>
    <numFmt numFmtId="168" formatCode="m/d"/>
    <numFmt numFmtId="169" formatCode="#,##0;&quot;▲ &quot;#,##0"/>
    <numFmt numFmtId="170" formatCode="&quot;（令和４年&quot;#&quot;月分）&quot;"/>
    <numFmt numFmtId="171" formatCode="[$-411]&quot;（&quot;ggge&quot;年&quot;m&quot;月分）&quot;"/>
    <numFmt numFmtId="172" formatCode="#,##0;[Red]-#,##0;&quot;-&quot;"/>
    <numFmt numFmtId="173" formatCode="yyyy-mm-dd h:mm:ss"/>
    <numFmt numFmtId="174" formatCode="[$-409]#,##0_);[RED]\(#,##0\)"/>
    <numFmt numFmtId="175" formatCode="&quot;令和&quot;#&quot;年度&quot;"/>
    <numFmt numFmtId="176" formatCode="[$-409]General"/>
    <numFmt numFmtId="177" formatCode="#,##0_ ;[RED]\-#,##0\ "/>
    <numFmt numFmtId="178" formatCode="0_);[RED]\(0\)"/>
    <numFmt numFmtId="179" formatCode="yyyy/m/d"/>
    <numFmt numFmtId="180" formatCode="#,##0;[Red]-#,##0;0"/>
    <numFmt numFmtId="181" formatCode="#,##0;-#,##0"/>
    <numFmt numFmtId="182" formatCode="#,##0;-#,##0;;"/>
  </numFmts>
  <fonts count="161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明朝"/>
      <charset val="128"/>
      <family val="1"/>
      <sz val="11"/>
    </font>
    <font>
      <name val="ＭＳ 明朝"/>
      <charset val="128"/>
      <family val="1"/>
      <sz val="11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明朝"/>
      <charset val="128"/>
      <family val="1"/>
      <sz val="6"/>
    </font>
    <font>
      <name val="ＭＳ 明朝"/>
      <charset val="128"/>
      <family val="1"/>
      <color indexed="8"/>
      <sz val="10"/>
    </font>
    <font>
      <name val="ＭＳ 明朝"/>
      <charset val="128"/>
      <family val="1"/>
      <color indexed="8"/>
      <sz val="11"/>
    </font>
    <font>
      <name val="ＭＳ 明朝"/>
      <charset val="128"/>
      <family val="1"/>
      <sz val="10"/>
    </font>
    <font>
      <name val="ＭＳ Ｐゴシック"/>
      <charset val="128"/>
      <family val="3"/>
      <sz val="11"/>
    </font>
    <font>
      <name val="ＭＳ 明朝"/>
      <charset val="128"/>
      <family val="1"/>
      <b val="1"/>
      <sz val="13.5"/>
    </font>
    <font>
      <name val="ＭＳ 明朝"/>
      <charset val="128"/>
      <family val="1"/>
      <b val="1"/>
      <sz val="14"/>
    </font>
    <font>
      <name val="ＭＳ 明朝"/>
      <charset val="128"/>
      <family val="1"/>
      <sz val="9"/>
      <u val="single"/>
    </font>
    <font>
      <name val="ＭＳ 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6"/>
    </font>
    <font>
      <name val="ＭＳ 明朝"/>
      <charset val="128"/>
      <family val="1"/>
      <color indexed="8"/>
      <sz val="10"/>
    </font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color indexed="8"/>
      <sz val="10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indexed="10"/>
      <sz val="11"/>
    </font>
    <font>
      <name val="ＭＳ Ｐゴシック"/>
      <charset val="128"/>
      <family val="3"/>
      <color indexed="12"/>
      <sz val="14"/>
    </font>
    <font>
      <name val="ＭＳ Ｐゴシック"/>
      <charset val="128"/>
      <family val="3"/>
      <b val="1"/>
      <color indexed="12"/>
      <sz val="14"/>
    </font>
    <font>
      <name val="ＭＳ Ｐゴシック"/>
      <charset val="128"/>
      <family val="3"/>
      <color indexed="17"/>
      <sz val="11"/>
    </font>
    <font>
      <name val="ＭＳ Ｐゴシック"/>
      <charset val="128"/>
      <family val="3"/>
      <sz val="9"/>
    </font>
    <font>
      <name val="ＭＳ Ｐゴシック"/>
      <charset val="128"/>
      <family val="3"/>
      <color indexed="12"/>
      <sz val="11"/>
    </font>
    <font>
      <name val="ＭＳ Ｐゴシック"/>
      <charset val="128"/>
      <family val="3"/>
      <sz val="10"/>
    </font>
    <font>
      <name val="ＭＳ Ｐゴシック"/>
      <charset val="128"/>
      <family val="3"/>
      <sz val="8"/>
    </font>
    <font>
      <name val="ＭＳ Ｐゴシック"/>
      <charset val="128"/>
      <family val="3"/>
      <color indexed="14"/>
      <sz val="11"/>
    </font>
    <font>
      <name val="ＭＳ Ｐゴシック"/>
      <charset val="128"/>
      <family val="3"/>
      <b val="1"/>
      <color indexed="14"/>
      <sz val="10"/>
    </font>
    <font>
      <name val="ＭＳ Ｐゴシック"/>
      <charset val="128"/>
      <family val="3"/>
      <color indexed="14"/>
      <sz val="10"/>
    </font>
    <font>
      <name val="ＭＳ Ｐゴシック"/>
      <charset val="128"/>
      <family val="3"/>
      <color indexed="57"/>
      <sz val="11"/>
    </font>
    <font>
      <name val="ＭＳ Ｐゴシック"/>
      <charset val="128"/>
      <family val="3"/>
      <color indexed="57"/>
      <sz val="10"/>
    </font>
    <font>
      <name val="ＭＳ Ｐゴシック"/>
      <charset val="128"/>
      <family val="3"/>
      <color indexed="17"/>
      <sz val="10"/>
    </font>
    <font>
      <name val="ＭＳ Ｐゴシック"/>
      <charset val="128"/>
      <family val="3"/>
      <color indexed="17"/>
      <sz val="8"/>
    </font>
    <font>
      <name val="ＭＳ Ｐゴシック"/>
      <charset val="128"/>
      <family val="3"/>
      <color indexed="14"/>
      <sz val="8"/>
    </font>
    <font>
      <name val="ＭＳ Ｐゴシック"/>
      <charset val="128"/>
      <family val="3"/>
      <color indexed="10"/>
      <sz val="11"/>
    </font>
    <font>
      <name val="ＭＳ Ｐゴシック"/>
      <charset val="128"/>
      <family val="3"/>
      <color indexed="17"/>
      <sz val="9"/>
    </font>
    <font>
      <name val="ＭＳ Ｐゴシック"/>
      <charset val="128"/>
      <family val="3"/>
      <color indexed="57"/>
      <sz val="8"/>
    </font>
    <font>
      <name val="ＭＳ Ｐゴシック"/>
      <charset val="128"/>
      <family val="3"/>
      <b val="1"/>
      <color indexed="17"/>
      <sz val="9"/>
    </font>
    <font>
      <name val="ＭＳ Ｐゴシック"/>
      <charset val="128"/>
      <family val="3"/>
      <color indexed="17"/>
      <sz val="7"/>
    </font>
    <font>
      <name val="ＭＳ Ｐゴシック"/>
      <charset val="128"/>
      <family val="3"/>
      <color indexed="12"/>
      <sz val="8"/>
    </font>
    <font>
      <name val="ＭＳ Ｐゴシック"/>
      <charset val="128"/>
      <family val="3"/>
      <color indexed="50"/>
      <sz val="11"/>
    </font>
    <font>
      <name val="ＭＳ Ｐゴシック"/>
      <charset val="128"/>
      <family val="3"/>
      <color indexed="50"/>
      <sz val="9"/>
    </font>
    <font>
      <name val="ＭＳ Ｐゴシック"/>
      <charset val="128"/>
      <family val="3"/>
      <color indexed="12"/>
      <sz val="10"/>
    </font>
    <font>
      <name val="ＭＳ Ｐゴシック"/>
      <charset val="128"/>
      <family val="3"/>
      <color indexed="81"/>
      <sz val="9"/>
    </font>
    <font>
      <name val="ＭＳ Ｐゴシック"/>
      <charset val="128"/>
      <family val="3"/>
      <color indexed="45"/>
      <sz val="11"/>
    </font>
    <font>
      <name val="ＭＳ Ｐゴシック"/>
      <charset val="128"/>
      <family val="3"/>
      <color indexed="45"/>
      <sz val="9"/>
    </font>
    <font>
      <name val="ＭＳ Ｐゴシック"/>
      <charset val="128"/>
      <family val="3"/>
      <b val="1"/>
      <color indexed="45"/>
      <sz val="8.5"/>
    </font>
    <font>
      <name val="ＭＳ Ｐゴシック"/>
      <charset val="128"/>
      <family val="3"/>
      <color indexed="45"/>
      <sz val="10"/>
    </font>
    <font>
      <name val="ＭＳ Ｐゴシック"/>
      <charset val="128"/>
      <family val="3"/>
      <color indexed="45"/>
      <sz val="7"/>
    </font>
    <font>
      <name val="ＭＳ Ｐゴシック"/>
      <charset val="128"/>
      <family val="3"/>
      <b val="1"/>
      <color indexed="45"/>
      <sz val="10"/>
    </font>
    <font>
      <name val="ＭＳ Ｐゴシック"/>
      <charset val="128"/>
      <family val="3"/>
      <color indexed="45"/>
      <sz val="8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b val="1"/>
      <color indexed="45"/>
      <sz val="8"/>
    </font>
    <font>
      <name val="ＭＳ Ｐゴシック"/>
      <charset val="128"/>
      <family val="3"/>
      <color indexed="21"/>
      <sz val="11"/>
    </font>
    <font>
      <name val="ＭＳ Ｐゴシック"/>
      <charset val="128"/>
      <family val="3"/>
      <color indexed="21"/>
      <sz val="10"/>
    </font>
    <font>
      <name val="ＭＳ Ｐゴシック"/>
      <charset val="128"/>
      <family val="3"/>
      <i val="1"/>
      <sz val="10"/>
    </font>
    <font>
      <name val="ＭＳ Ｐゴシック"/>
      <charset val="128"/>
      <family val="3"/>
      <i val="1"/>
      <sz val="11"/>
    </font>
    <font>
      <name val="ＭＳ Ｐゴシック"/>
      <charset val="128"/>
      <family val="3"/>
      <color rgb="FFFF0000"/>
      <sz val="11"/>
    </font>
    <font>
      <name val="ＭＳ Ｐゴシック"/>
      <charset val="128"/>
      <family val="3"/>
      <color rgb="FFFF0000"/>
      <sz val="10"/>
    </font>
    <font>
      <name val="ＭＳ 明朝"/>
      <charset val="128"/>
      <family val="1"/>
      <color rgb="FFFF0000"/>
      <sz val="10"/>
    </font>
    <font>
      <name val="ＭＳ Ｐゴシック"/>
      <charset val="128"/>
      <family val="3"/>
      <color rgb="FFFF0000"/>
      <sz val="11"/>
      <scheme val="minor"/>
    </font>
    <font>
      <name val="ＭＳ Ｐゴシック"/>
      <charset val="128"/>
      <family val="3"/>
      <b val="1"/>
      <color rgb="FFFF0000"/>
      <sz val="10"/>
    </font>
    <font>
      <name val="ＭＳ Ｐゴシック"/>
      <charset val="128"/>
      <family val="3"/>
      <color rgb="FFFF0000"/>
      <sz val="8"/>
    </font>
    <font>
      <name val="ＭＳ Ｐゴシック"/>
      <charset val="128"/>
      <family val="3"/>
      <color rgb="FFFF0000"/>
      <sz val="9"/>
    </font>
    <font>
      <name val="ＭＳ Ｐゴシック"/>
      <charset val="128"/>
      <family val="3"/>
      <color theme="1"/>
      <sz val="11"/>
    </font>
    <font>
      <name val="ＭＳ Ｐゴシック"/>
      <charset val="128"/>
      <family val="3"/>
      <sz val="11"/>
      <scheme val="minor"/>
    </font>
    <font>
      <name val="ＭＳ Ｐゴシック"/>
      <charset val="128"/>
      <family val="3"/>
      <color rgb="FF0000FF"/>
      <sz val="11"/>
    </font>
    <font>
      <name val="ＭＳ Ｐゴシック"/>
      <charset val="128"/>
      <family val="3"/>
      <color rgb="FFFF0000"/>
      <sz val="10"/>
      <scheme val="minor"/>
    </font>
    <font>
      <name val="ＭＳ Ｐゴシック"/>
      <charset val="128"/>
      <family val="3"/>
      <color rgb="FFFF0000"/>
      <sz val="7.5"/>
    </font>
    <font>
      <name val="ＭＳ Ｐゴシック"/>
      <charset val="128"/>
      <family val="3"/>
      <b val="1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color rgb="FF0000FF"/>
      <sz val="14"/>
    </font>
    <font>
      <name val="ＭＳ 明朝"/>
      <charset val="128"/>
      <family val="1"/>
      <color theme="1"/>
      <sz val="10"/>
    </font>
    <font>
      <name val="ＭＳ Ｐゴシック"/>
      <charset val="128"/>
      <family val="3"/>
      <b val="1"/>
      <color rgb="FFFF0000"/>
      <sz val="12"/>
    </font>
    <font>
      <name val="ＭＳ Ｐゴシック"/>
      <charset val="128"/>
      <family val="3"/>
      <b val="1"/>
      <color theme="1"/>
      <sz val="12"/>
      <scheme val="minor"/>
    </font>
    <font>
      <name val="MS P ゴシック"/>
      <charset val="128"/>
      <family val="3"/>
      <i val="1"/>
      <color indexed="81"/>
      <sz val="9"/>
    </font>
    <font>
      <name val="ＭＳ Ｐゴシック"/>
      <charset val="128"/>
      <family val="3"/>
      <color theme="1"/>
      <sz val="9"/>
    </font>
    <font>
      <name val="MS P ゴシック"/>
      <charset val="128"/>
      <family val="3"/>
      <b val="1"/>
      <color indexed="81"/>
      <sz val="9"/>
    </font>
    <font>
      <name val="ＭＳ Ｐゴシック"/>
      <charset val="128"/>
      <family val="2"/>
      <sz val="6"/>
      <scheme val="minor"/>
    </font>
    <font>
      <name val="HGP創英ﾌﾟﾚｾﾞﾝｽEB"/>
      <charset val="128"/>
      <family val="1"/>
      <color indexed="81"/>
      <sz val="9"/>
    </font>
    <font>
      <name val="ＭＳ Ｐゴシック"/>
      <charset val="128"/>
      <family val="3"/>
      <color rgb="FFFF0000"/>
      <sz val="10"/>
      <scheme val="major"/>
    </font>
    <font>
      <name val="ＭＳ Ｐ明朝"/>
      <charset val="128"/>
      <family val="1"/>
      <color rgb="FFFF0000"/>
      <sz val="10"/>
    </font>
    <font>
      <name val="ＭＳ Ｐゴシック"/>
      <charset val="128"/>
      <family val="3"/>
      <color rgb="FF00B050"/>
      <sz val="11"/>
    </font>
    <font>
      <name val="MS P ゴシック"/>
      <charset val="128"/>
      <family val="3"/>
      <b val="1"/>
      <color indexed="81"/>
      <sz val="11"/>
    </font>
    <font>
      <name val="ＭＳ Ｐゴシック"/>
      <charset val="128"/>
      <family val="3"/>
      <color theme="1"/>
      <sz val="10"/>
    </font>
    <font>
      <name val="ＭＳ 明朝"/>
      <charset val="128"/>
      <family val="1"/>
      <b val="1"/>
      <sz val="10"/>
    </font>
    <font>
      <name val="ＭＳ Ｐゴシック"/>
      <charset val="128"/>
      <family val="3"/>
      <b val="1"/>
      <color theme="1"/>
      <sz val="11"/>
    </font>
    <font>
      <name val="ＭＳ Ｐゴシック"/>
      <charset val="128"/>
      <family val="3"/>
      <sz val="7.5"/>
    </font>
    <font>
      <name val="ＭＳ 明朝"/>
      <charset val="128"/>
      <family val="1"/>
      <sz val="8"/>
    </font>
    <font>
      <name val="Meiryo UI"/>
      <b val="1"/>
      <color rgb="00FFFFFF"/>
      <sz val="14"/>
    </font>
    <font>
      <name val="Meiryo UI"/>
      <color rgb="007F7F7F"/>
      <sz val="9"/>
    </font>
    <font>
      <name val="Meiryo UI"/>
      <b val="1"/>
      <color rgb="00FFFFFF"/>
      <sz val="10"/>
    </font>
    <font>
      <name val="Meiryo UI"/>
      <color rgb="000000FF"/>
      <sz val="10"/>
    </font>
    <font>
      <name val="Meiryo UI"/>
      <color rgb="00000000"/>
      <sz val="10"/>
    </font>
    <font>
      <name val="Meiryo UI"/>
      <color rgb="00000000"/>
      <sz val="9"/>
    </font>
    <font>
      <name val="ＭＳ 明朝"/>
      <color rgb="FF000000"/>
      <sz val="10"/>
    </font>
    <font>
      <name val="Meiryo UI"/>
      <color rgb="00595959"/>
      <sz val="9"/>
    </font>
    <font>
      <name val="ＭＳ Ｐゴシック"/>
      <color rgb="FF000000"/>
      <sz val="10"/>
    </font>
    <font>
      <name val="ＭＳ 明朝"/>
      <b val="1"/>
      <color rgb="FF000000"/>
      <sz val="10"/>
    </font>
    <font>
      <name val="ＭＳ Ｐゴシック"/>
      <color rgb="FF000000"/>
      <sz val="11"/>
    </font>
    <font>
      <name val="ＭＳ Ｐゴシック"/>
      <color rgb="FF000000"/>
      <sz val="9"/>
    </font>
    <font>
      <name val="ＭＳ Ｐ明朝"/>
      <color rgb="FF000000"/>
      <sz val="10"/>
    </font>
    <font>
      <name val="ＭＳ 明朝"/>
      <color rgb="FF000000"/>
      <sz val="8"/>
    </font>
    <font>
      <name val="Meiryo UI"/>
      <b val="1"/>
      <color rgb="00C00000"/>
      <sz val="9"/>
    </font>
    <font>
      <name val="ＭＳ Ｐゴシック"/>
      <b val="1"/>
      <color rgb="FF000000"/>
      <sz val="11"/>
    </font>
    <font>
      <name val="Meiryo UI"/>
      <color rgb="00A6A6A6"/>
      <sz val="8"/>
    </font>
    <font>
      <name val="Meiryo UI"/>
      <b val="1"/>
      <color rgb="00000000"/>
      <sz val="10"/>
    </font>
    <font>
      <name val="WenQuanYi Zen Hei"/>
      <family val="2"/>
      <b val="1"/>
      <sz val="14"/>
    </font>
    <font>
      <name val="WenQuanYi Zen Hei"/>
      <family val="2"/>
      <sz val="10"/>
    </font>
    <font>
      <name val="WenQuanYi Zen Hei"/>
      <family val="2"/>
      <sz val="11"/>
    </font>
    <font>
      <name val="WenQuanYi Zen Hei"/>
      <family val="2"/>
      <sz val="8"/>
    </font>
    <font>
      <name val="WenQuanYi Zen Hei"/>
      <family val="2"/>
      <color rgb="FFFF0000"/>
      <sz val="8"/>
    </font>
    <font>
      <name val="WenQuanYi Zen Hei"/>
      <family val="2"/>
      <color rgb="FFFF0000"/>
      <sz val="10"/>
    </font>
    <font>
      <name val="ＭＳ Ｐゴシック"/>
      <charset val="128"/>
      <family val="3"/>
      <color rgb="FF000000"/>
      <sz val="11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rgb="FF008080"/>
      <sz val="10"/>
    </font>
    <font>
      <name val="ＭＳ Ｐゴシック"/>
      <charset val="128"/>
      <family val="3"/>
      <color rgb="FF008080"/>
      <sz val="11"/>
    </font>
    <font>
      <name val="WenQuanYi Zen Hei"/>
      <family val="2"/>
      <color rgb="FF000000"/>
      <sz val="11"/>
    </font>
    <font>
      <name val="ＭＳ Ｐゴシック"/>
      <charset val="128"/>
      <family val="3"/>
      <color rgb="FF008000"/>
      <sz val="11"/>
    </font>
    <font>
      <name val="ＭＳ Ｐゴシック"/>
      <charset val="128"/>
      <family val="3"/>
      <color rgb="FF008000"/>
      <sz val="9"/>
    </font>
    <font>
      <name val="ＭＳ Ｐゴシック"/>
      <charset val="128"/>
      <family val="3"/>
      <color rgb="FF008000"/>
      <sz val="10"/>
    </font>
    <font>
      <name val="ＭＳ Ｐゴシック"/>
      <charset val="128"/>
      <family val="3"/>
      <color rgb="FF0000FF"/>
      <sz val="10"/>
    </font>
    <font>
      <name val="WenQuanYi Zen Hei"/>
      <family val="2"/>
      <sz val="9"/>
    </font>
    <font>
      <name val="ＭＳ Ｐゴシック"/>
      <charset val="128"/>
      <family val="3"/>
      <color rgb="FF339966"/>
      <sz val="11"/>
    </font>
    <font>
      <name val="ＭＳ Ｐゴシック"/>
      <charset val="128"/>
      <family val="3"/>
      <color rgb="FF339966"/>
      <sz val="10"/>
    </font>
    <font>
      <name val="WenQuanYi Zen Hei"/>
      <family val="2"/>
      <color rgb="FFFF0000"/>
      <sz val="9"/>
    </font>
    <font>
      <name val="ＭＳ Ｐゴシック"/>
      <charset val="128"/>
      <family val="3"/>
      <color rgb="FF000000"/>
      <sz val="9"/>
    </font>
    <font>
      <name val="WenQuanYi Zen Hei"/>
      <color rgb="FF000000"/>
      <sz val="8"/>
    </font>
    <font>
      <name val="WenQuanYi Zen Hei"/>
      <color rgb="FF000000"/>
      <sz val="10"/>
    </font>
    <font>
      <name val="ＭＳ Ｐゴシック"/>
      <color rgb="FF000000"/>
      <sz val="8"/>
    </font>
    <font>
      <name val="WenQuanYi Zen Hei"/>
      <color rgb="FF000000"/>
      <sz val="11"/>
    </font>
    <font>
      <name val="WenQuanYi Zen Hei"/>
      <color rgb="FF000000"/>
      <sz val="9"/>
    </font>
    <font>
      <name val="ＭＳ Ｐゴシック"/>
      <charset val="128"/>
      <family val="3"/>
      <sz val="16"/>
    </font>
    <font>
      <name val="ＭＳ Ｐゴシック"/>
      <charset val="128"/>
      <family val="3"/>
      <b val="1"/>
      <sz val="16"/>
    </font>
    <font>
      <name val="WenQuanYi Zen Hei"/>
      <family val="2"/>
      <b val="1"/>
      <sz val="16"/>
    </font>
    <font>
      <name val="ＭＳ Ｐゴシック"/>
      <charset val="128"/>
      <family val="3"/>
      <color rgb="FF800080"/>
      <sz val="10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rgb="FF800080"/>
      <sz val="11"/>
    </font>
    <font>
      <name val="WenQuanYi Zen Hei"/>
      <family val="2"/>
      <color rgb="FF0000FF"/>
      <sz val="10"/>
    </font>
    <font>
      <name val="Meiryo UI"/>
      <b val="1"/>
      <color rgb="001F3864"/>
      <sz val="11"/>
    </font>
    <font>
      <name val="Meiryo UI"/>
      <color rgb="007F7F7F"/>
      <sz val="8"/>
    </font>
    <font>
      <name val="Meiryo UI"/>
      <b val="1"/>
      <color rgb="00FFFFFF"/>
      <sz val="9"/>
    </font>
    <font>
      <name val="Meiryo UI"/>
      <b val="1"/>
      <color rgb="00548235"/>
      <sz val="9"/>
    </font>
    <font>
      <name val="ＭＳ Ｐゴシック"/>
      <charset val="128"/>
      <family val="3"/>
      <b val="1"/>
      <color rgb="FF0000FF"/>
      <sz val="16"/>
    </font>
    <font>
      <name val="Meiryo UI"/>
      <color rgb="00548235"/>
      <sz val="10"/>
    </font>
    <font>
      <name val="ＭＳ Ｐゴシック"/>
      <charset val="128"/>
      <family val="3"/>
      <color rgb="FF0066CC"/>
      <sz val="10"/>
    </font>
    <font>
      <name val="Meiryo UI"/>
      <b val="1"/>
      <color rgb="00000000"/>
      <sz val="12"/>
    </font>
    <font>
      <name val="Meiryo UI"/>
      <b val="1"/>
      <color rgb="000000FF"/>
      <sz val="13"/>
    </font>
    <font>
      <name val="Meiryo UI"/>
      <b val="1"/>
      <color rgb="00FFFFFF"/>
      <sz val="11"/>
    </font>
    <font>
      <name val="Meiryo UI"/>
      <b val="1"/>
      <color rgb="001F3864"/>
      <sz val="10"/>
    </font>
    <font>
      <name val="Meiryo UI"/>
      <b val="1"/>
      <color rgb="00000000"/>
      <sz val="11"/>
    </font>
    <font>
      <name val="Meiryo UI"/>
      <color rgb="00FFFFFF"/>
      <sz val="8"/>
    </font>
  </fonts>
  <fills count="31">
    <fill>
      <patternFill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001F3864"/>
      </patternFill>
    </fill>
    <fill>
      <patternFill patternType="solid">
        <fgColor rgb="00FFFF99"/>
      </patternFill>
    </fill>
    <fill>
      <patternFill patternType="solid">
        <fgColor rgb="00F2F2F2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99FF"/>
        <bgColor rgb="FF9999FF"/>
      </patternFill>
    </fill>
    <fill>
      <patternFill patternType="solid">
        <fgColor rgb="FFFF6600"/>
        <bgColor rgb="FFFF9900"/>
      </patternFill>
    </fill>
    <fill>
      <patternFill patternType="solid">
        <fgColor rgb="FFCCFFCC"/>
        <bgColor rgb="FFCCFFFF"/>
      </patternFill>
    </fill>
    <fill>
      <patternFill patternType="solid">
        <fgColor rgb="00548235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CCFFCC"/>
      </patternFill>
    </fill>
    <fill>
      <patternFill patternType="solid">
        <fgColor rgb="FFFFFFFF"/>
        <bgColor rgb="FFFFDFDF"/>
      </patternFill>
    </fill>
    <fill>
      <patternFill patternType="solid">
        <fgColor rgb="FF99CC00"/>
        <bgColor rgb="FFFFCC00"/>
      </patternFill>
    </fill>
    <fill>
      <patternFill patternType="solid">
        <fgColor rgb="FFFF99CC"/>
        <bgColor rgb="FFFF8080"/>
      </patternFill>
    </fill>
    <fill>
      <patternFill patternType="solid">
        <fgColor rgb="FFFFDFDF"/>
        <bgColor rgb="FFFFFFFF"/>
      </patternFill>
    </fill>
    <fill>
      <patternFill patternType="solid">
        <fgColor rgb="002E75B6"/>
      </patternFill>
    </fill>
  </fills>
  <borders count="1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hair">
        <color rgb="00BFBFBF"/>
      </bottom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/>
      <diagonal/>
    </border>
    <border>
      <left/>
      <right/>
      <top style="medium"/>
      <bottom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/>
      <diagonal/>
    </border>
    <border>
      <left/>
      <right style="thin"/>
      <top/>
      <bottom style="thin"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 style="medium"/>
      <top/>
      <bottom style="medium"/>
      <diagonal/>
    </border>
    <border>
      <left style="medium"/>
      <right style="medium"/>
      <top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/>
      <bottom/>
      <diagonal/>
    </border>
    <border>
      <left/>
      <right/>
      <top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dashed"/>
      <diagonal/>
    </border>
    <border>
      <left style="thin"/>
      <right style="thin"/>
      <top/>
      <bottom/>
      <diagonal/>
    </border>
    <border>
      <left style="thin"/>
      <right style="thin"/>
      <top style="dashed"/>
      <bottom style="dashed"/>
      <diagonal/>
    </border>
    <border>
      <left style="thin"/>
      <right style="thin"/>
      <top style="dashed"/>
      <bottom style="thin"/>
      <diagonal/>
    </border>
    <border>
      <left style="thin"/>
      <right style="thin"/>
      <top style="dashed"/>
      <bottom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 style="dashed"/>
      <diagonal/>
    </border>
    <border>
      <left style="thin"/>
      <right/>
      <top/>
      <bottom style="thin"/>
      <diagonal/>
    </border>
    <border>
      <left/>
      <right/>
      <top style="thin"/>
      <bottom style="thin"/>
      <diagonal/>
    </border>
    <border>
      <left/>
      <right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bottom style="thin">
        <color rgb="001F3864"/>
      </bottom>
    </border>
    <border>
      <left style="thin"/>
      <right style="thin"/>
      <top style="thin"/>
      <bottom style="dotted"/>
      <diagonal/>
    </border>
    <border>
      <left style="thin"/>
      <right style="thin"/>
      <top style="dotted"/>
      <bottom style="dotted"/>
      <diagonal/>
    </border>
    <border>
      <left style="thin"/>
      <right style="thin"/>
      <top style="dotted"/>
      <bottom style="thin"/>
      <diagonal/>
    </border>
    <border>
      <left style="thin"/>
      <right style="thin"/>
      <top style="thin"/>
      <bottom style="medium">
        <color rgb="FFFF00FF"/>
      </bottom>
      <diagonal/>
    </border>
    <border>
      <left/>
      <right style="thin"/>
      <top style="dotted"/>
      <bottom style="thin"/>
      <diagonal/>
    </border>
    <border>
      <left/>
      <right style="thin"/>
      <top/>
      <bottom/>
      <diagonal/>
    </border>
    <border>
      <left style="medium">
        <color rgb="FFFF00FF"/>
      </left>
      <right style="medium">
        <color rgb="FFFF00FF"/>
      </right>
      <top style="medium">
        <color rgb="FFFF00FF"/>
      </top>
      <bottom style="medium">
        <color rgb="FFFF00FF"/>
      </bottom>
      <diagonal/>
    </border>
    <border>
      <left style="thin"/>
      <right style="thin"/>
      <top style="medium">
        <color rgb="FFFF00FF"/>
      </top>
      <bottom style="dashed"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7">
    <xf numFmtId="0" fontId="23" fillId="0" borderId="0" applyAlignment="1">
      <alignment vertical="center"/>
    </xf>
    <xf numFmtId="38" fontId="20" fillId="0" borderId="0" applyAlignment="1">
      <alignment vertical="center"/>
    </xf>
    <xf numFmtId="38" fontId="6" fillId="0" borderId="0"/>
    <xf numFmtId="38" fontId="20" fillId="0" borderId="0" applyAlignment="1">
      <alignment vertical="center"/>
    </xf>
    <xf numFmtId="0" fontId="23" fillId="0" borderId="0" applyAlignment="1">
      <alignment vertical="center"/>
    </xf>
    <xf numFmtId="0" fontId="14" fillId="0" borderId="0"/>
    <xf numFmtId="0" fontId="23" fillId="0" borderId="0" applyAlignment="1">
      <alignment vertical="center"/>
    </xf>
  </cellStyleXfs>
  <cellXfs count="128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5" fillId="0" borderId="0" applyAlignment="1" pivotButton="0" quotePrefix="0" xfId="6">
      <alignment horizontal="center" vertical="center"/>
    </xf>
    <xf numFmtId="0" fontId="7" fillId="0" borderId="0" applyAlignment="1" pivotButton="0" quotePrefix="0" xfId="6">
      <alignment horizontal="center" vertical="center"/>
    </xf>
    <xf numFmtId="0" fontId="13" fillId="0" borderId="0" applyAlignment="1" pivotButton="0" quotePrefix="0" xfId="6">
      <alignment vertical="center"/>
    </xf>
    <xf numFmtId="0" fontId="16" fillId="0" borderId="0" applyAlignment="1" pivotButton="0" quotePrefix="0" xfId="6">
      <alignment vertical="center"/>
    </xf>
    <xf numFmtId="0" fontId="9" fillId="0" borderId="0" applyAlignment="1" pivotButton="0" quotePrefix="0" xfId="6">
      <alignment horizontal="right" vertical="center"/>
    </xf>
    <xf numFmtId="0" fontId="9" fillId="0" borderId="1" pivotButton="0" quotePrefix="0" xfId="6"/>
    <xf numFmtId="0" fontId="9" fillId="0" borderId="2" pivotButton="0" quotePrefix="0" xfId="6"/>
    <xf numFmtId="0" fontId="13" fillId="0" borderId="3" applyAlignment="1" pivotButton="0" quotePrefix="0" xfId="6">
      <alignment horizontal="center" vertical="center" wrapText="1"/>
    </xf>
    <xf numFmtId="0" fontId="13" fillId="0" borderId="2" applyAlignment="1" pivotButton="0" quotePrefix="0" xfId="6">
      <alignment horizontal="center" vertical="center" wrapText="1"/>
    </xf>
    <xf numFmtId="0" fontId="13" fillId="0" borderId="0" pivotButton="0" quotePrefix="0" xfId="6"/>
    <xf numFmtId="0" fontId="9" fillId="0" borderId="4" applyAlignment="1" pivotButton="0" quotePrefix="0" xfId="6">
      <alignment vertical="top"/>
    </xf>
    <xf numFmtId="0" fontId="9" fillId="0" borderId="5" applyAlignment="1" pivotButton="0" quotePrefix="0" xfId="6">
      <alignment vertical="top"/>
    </xf>
    <xf numFmtId="0" fontId="13" fillId="0" borderId="6" applyAlignment="1" pivotButton="0" quotePrefix="0" xfId="6">
      <alignment horizontal="center" vertical="center" wrapText="1"/>
    </xf>
    <xf numFmtId="0" fontId="13" fillId="0" borderId="0" applyAlignment="1" pivotButton="0" quotePrefix="0" xfId="6">
      <alignment vertical="top"/>
    </xf>
    <xf numFmtId="0" fontId="9" fillId="0" borderId="7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0" fontId="9" fillId="0" borderId="8" applyAlignment="1" pivotButton="0" quotePrefix="0" xfId="6">
      <alignment vertical="center"/>
    </xf>
    <xf numFmtId="0" fontId="9" fillId="0" borderId="9" applyAlignment="1" pivotButton="0" quotePrefix="0" xfId="6">
      <alignment vertical="center"/>
    </xf>
    <xf numFmtId="0" fontId="12" fillId="0" borderId="9" applyAlignment="1" pivotButton="0" quotePrefix="0" xfId="6">
      <alignment vertical="center"/>
    </xf>
    <xf numFmtId="0" fontId="17" fillId="0" borderId="7" applyAlignment="1" pivotButton="0" quotePrefix="0" xfId="6">
      <alignment vertical="center"/>
    </xf>
    <xf numFmtId="0" fontId="17" fillId="0" borderId="0" applyAlignment="1" pivotButton="0" quotePrefix="0" xfId="6">
      <alignment vertical="center"/>
    </xf>
    <xf numFmtId="0" fontId="9" fillId="0" borderId="10" applyAlignment="1" pivotButton="0" quotePrefix="0" xfId="6">
      <alignment vertical="center"/>
    </xf>
    <xf numFmtId="0" fontId="12" fillId="0" borderId="10" applyAlignment="1" pivotButton="0" quotePrefix="0" xfId="6">
      <alignment vertical="center"/>
    </xf>
    <xf numFmtId="0" fontId="9" fillId="0" borderId="0" applyAlignment="1" pivotButton="0" quotePrefix="0" xfId="6">
      <alignment vertical="center"/>
    </xf>
    <xf numFmtId="0" fontId="9" fillId="0" borderId="0" applyAlignment="1" pivotButton="0" quotePrefix="0" xfId="6">
      <alignment horizontal="distributed" vertical="center"/>
    </xf>
    <xf numFmtId="164" fontId="13" fillId="0" borderId="10" applyAlignment="1" pivotButton="0" quotePrefix="0" xfId="6">
      <alignment vertical="center"/>
    </xf>
    <xf numFmtId="164" fontId="13" fillId="0" borderId="10" applyAlignment="1" pivotButton="0" quotePrefix="0" xfId="6">
      <alignment horizontal="right" vertical="center"/>
    </xf>
    <xf numFmtId="164" fontId="13" fillId="0" borderId="10" applyAlignment="1" pivotButton="0" quotePrefix="0" xfId="3">
      <alignment vertical="center"/>
    </xf>
    <xf numFmtId="164" fontId="11" fillId="0" borderId="10" applyAlignment="1" pivotButton="0" quotePrefix="0" xfId="6">
      <alignment vertical="center"/>
    </xf>
    <xf numFmtId="38" fontId="13" fillId="0" borderId="0" applyAlignment="1" pivotButton="0" quotePrefix="0" xfId="6">
      <alignment vertical="center"/>
    </xf>
    <xf numFmtId="0" fontId="9" fillId="0" borderId="0" applyAlignment="1" pivotButton="0" quotePrefix="0" xfId="6">
      <alignment horizontal="left" vertical="center"/>
    </xf>
    <xf numFmtId="0" fontId="9" fillId="0" borderId="11" applyAlignment="1" pivotButton="0" quotePrefix="0" xfId="6">
      <alignment vertical="center"/>
    </xf>
    <xf numFmtId="0" fontId="9" fillId="0" borderId="3" applyAlignment="1" pivotButton="0" quotePrefix="0" xfId="6">
      <alignment vertical="center"/>
    </xf>
    <xf numFmtId="0" fontId="9" fillId="0" borderId="3" applyAlignment="1" pivotButton="0" quotePrefix="0" xfId="6">
      <alignment horizontal="distributed" vertical="center"/>
    </xf>
    <xf numFmtId="0" fontId="9" fillId="0" borderId="12" applyAlignment="1" pivotButton="0" quotePrefix="0" xfId="6">
      <alignment vertical="center"/>
    </xf>
    <xf numFmtId="164" fontId="13" fillId="0" borderId="6" applyAlignment="1" pivotButton="0" quotePrefix="0" xfId="6">
      <alignment vertical="center"/>
    </xf>
    <xf numFmtId="0" fontId="13" fillId="0" borderId="13" applyAlignment="1" pivotButton="0" quotePrefix="0" xfId="6">
      <alignment vertical="center"/>
    </xf>
    <xf numFmtId="0" fontId="13" fillId="0" borderId="0" applyAlignment="1" pivotButton="0" quotePrefix="0" xfId="6">
      <alignment horizontal="center" vertical="center"/>
    </xf>
    <xf numFmtId="0" fontId="13" fillId="0" borderId="6" applyAlignment="1" applyProtection="1" pivotButton="0" quotePrefix="0" xfId="0">
      <alignment vertical="center" shrinkToFit="1"/>
      <protection locked="0" hidden="0"/>
    </xf>
    <xf numFmtId="0" fontId="13" fillId="0" borderId="0" applyAlignment="1" pivotButton="0" quotePrefix="0" xfId="0">
      <alignment vertical="center"/>
    </xf>
    <xf numFmtId="0" fontId="12" fillId="0" borderId="6" applyAlignment="1" pivotButton="0" quotePrefix="0" xfId="6">
      <alignment horizontal="center" vertical="center" wrapText="1"/>
    </xf>
    <xf numFmtId="0" fontId="13" fillId="0" borderId="3" applyAlignment="1" pivotButton="0" quotePrefix="0" xfId="6">
      <alignment vertical="center" wrapText="1"/>
    </xf>
    <xf numFmtId="0" fontId="0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vertical="center"/>
    </xf>
    <xf numFmtId="0" fontId="0" fillId="3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165" fontId="13" fillId="0" borderId="6" applyAlignment="1" applyProtection="1" pivotButton="0" quotePrefix="0" xfId="0">
      <alignment horizontal="center" vertical="center"/>
      <protection locked="0" hidden="0"/>
    </xf>
    <xf numFmtId="165" fontId="13" fillId="0" borderId="10" applyAlignment="1" pivotButton="0" quotePrefix="0" xfId="0">
      <alignment horizontal="center"/>
    </xf>
    <xf numFmtId="165" fontId="13" fillId="0" borderId="10" applyAlignment="1" pivotButton="0" quotePrefix="0" xfId="0">
      <alignment horizontal="center" wrapText="1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166" fontId="13" fillId="0" borderId="14" applyAlignment="1" pivotButton="0" quotePrefix="0" xfId="6">
      <alignment vertical="center"/>
    </xf>
    <xf numFmtId="0" fontId="0" fillId="0" borderId="0" applyAlignment="1" pivotButton="0" quotePrefix="0" xfId="0">
      <alignment horizontal="center" vertical="center"/>
    </xf>
    <xf numFmtId="165" fontId="22" fillId="0" borderId="9" applyAlignment="1" pivotButton="0" quotePrefix="0" xfId="0">
      <alignment horizontal="center" vertical="center"/>
    </xf>
    <xf numFmtId="0" fontId="22" fillId="0" borderId="9" applyAlignment="1" pivotButton="0" quotePrefix="0" xfId="0">
      <alignment vertical="center" shrinkToFit="1"/>
    </xf>
    <xf numFmtId="38" fontId="22" fillId="0" borderId="9" applyAlignment="1" pivotButton="0" quotePrefix="0" xfId="1">
      <alignment vertical="center"/>
    </xf>
    <xf numFmtId="38" fontId="22" fillId="0" borderId="1" applyAlignment="1" pivotButton="0" quotePrefix="0" xfId="1">
      <alignment vertical="center"/>
    </xf>
    <xf numFmtId="38" fontId="22" fillId="0" borderId="3" applyAlignment="1" pivotButton="0" quotePrefix="0" xfId="1">
      <alignment vertical="center"/>
    </xf>
    <xf numFmtId="38" fontId="22" fillId="0" borderId="15" applyAlignment="1" pivotButton="0" quotePrefix="0" xfId="1">
      <alignment vertical="center"/>
    </xf>
    <xf numFmtId="38" fontId="22" fillId="0" borderId="12" applyAlignment="1" pivotButton="0" quotePrefix="0" xfId="1">
      <alignment vertical="center"/>
    </xf>
    <xf numFmtId="0" fontId="22" fillId="0" borderId="0" applyAlignment="1" pivotButton="0" quotePrefix="0" xfId="0">
      <alignment vertical="center"/>
    </xf>
    <xf numFmtId="0" fontId="22" fillId="0" borderId="10" applyAlignment="1" pivotButton="0" quotePrefix="0" xfId="0">
      <alignment horizontal="center" shrinkToFit="1"/>
    </xf>
    <xf numFmtId="38" fontId="22" fillId="0" borderId="10" applyAlignment="1" pivotButton="0" quotePrefix="0" xfId="1">
      <alignment horizontal="center"/>
    </xf>
    <xf numFmtId="38" fontId="22" fillId="0" borderId="6" applyAlignment="1" pivotButton="0" quotePrefix="0" xfId="1">
      <alignment horizontal="center" wrapText="1"/>
    </xf>
    <xf numFmtId="38" fontId="22" fillId="0" borderId="16" applyAlignment="1" pivotButton="0" quotePrefix="0" xfId="1">
      <alignment horizontal="center" wrapText="1"/>
    </xf>
    <xf numFmtId="38" fontId="22" fillId="0" borderId="12" applyAlignment="1" pivotButton="0" quotePrefix="0" xfId="1">
      <alignment horizontal="center" wrapText="1"/>
    </xf>
    <xf numFmtId="0" fontId="22" fillId="0" borderId="0" pivotButton="0" quotePrefix="0" xfId="0"/>
    <xf numFmtId="38" fontId="22" fillId="0" borderId="6" applyAlignment="1" pivotButton="0" quotePrefix="0" xfId="1">
      <alignment vertical="center"/>
    </xf>
    <xf numFmtId="38" fontId="22" fillId="0" borderId="16" applyAlignment="1" pivotButton="0" quotePrefix="0" xfId="1">
      <alignment vertical="center"/>
    </xf>
    <xf numFmtId="0" fontId="22" fillId="0" borderId="6" applyAlignment="1" applyProtection="1" pivotButton="0" quotePrefix="0" xfId="0">
      <alignment vertical="center" shrinkToFit="1"/>
      <protection locked="0" hidden="0"/>
    </xf>
    <xf numFmtId="56" fontId="22" fillId="0" borderId="6" applyAlignment="1" applyProtection="1" pivotButton="0" quotePrefix="0" xfId="0">
      <alignment vertical="center" shrinkToFit="1"/>
      <protection locked="0" hidden="0"/>
    </xf>
    <xf numFmtId="38" fontId="22" fillId="0" borderId="6" applyAlignment="1" applyProtection="1" pivotButton="0" quotePrefix="0" xfId="1">
      <alignment vertical="center"/>
      <protection locked="0" hidden="0"/>
    </xf>
    <xf numFmtId="165" fontId="22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 shrinkToFit="1"/>
    </xf>
    <xf numFmtId="38" fontId="22" fillId="0" borderId="0" applyAlignment="1" pivotButton="0" quotePrefix="0" xfId="1">
      <alignment vertical="center"/>
    </xf>
    <xf numFmtId="38" fontId="22" fillId="3" borderId="6" applyAlignment="1" applyProtection="1" pivotButton="0" quotePrefix="0" xfId="1">
      <alignment vertical="center"/>
      <protection locked="0" hidden="0"/>
    </xf>
    <xf numFmtId="38" fontId="22" fillId="3" borderId="16" applyAlignment="1" applyProtection="1" pivotButton="0" quotePrefix="0" xfId="1">
      <alignment vertical="center"/>
      <protection locked="0" hidden="0"/>
    </xf>
    <xf numFmtId="38" fontId="22" fillId="3" borderId="12" applyAlignment="1" applyProtection="1" pivotButton="0" quotePrefix="0" xfId="1">
      <alignment vertical="center"/>
      <protection locked="0" hidden="0"/>
    </xf>
    <xf numFmtId="0" fontId="11" fillId="0" borderId="10" applyAlignment="1" pivotButton="0" quotePrefix="0" xfId="0">
      <alignment horizontal="center" shrinkToFit="1"/>
    </xf>
    <xf numFmtId="0" fontId="11" fillId="0" borderId="0" applyAlignment="1" pivotButton="0" quotePrefix="0" xfId="0">
      <alignment vertical="center"/>
    </xf>
    <xf numFmtId="0" fontId="24" fillId="4" borderId="0" applyAlignment="1" pivotButton="0" quotePrefix="0" xfId="0">
      <alignment horizontal="center"/>
    </xf>
    <xf numFmtId="0" fontId="24" fillId="0" borderId="0" pivotButton="0" quotePrefix="0" xfId="0"/>
    <xf numFmtId="0" fontId="2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pivotButton="0" quotePrefix="0" xfId="0"/>
    <xf numFmtId="0" fontId="26" fillId="0" borderId="0" pivotButton="0" quotePrefix="0" xfId="0"/>
    <xf numFmtId="0" fontId="27" fillId="0" borderId="0" applyAlignment="1" pivotButton="0" quotePrefix="0" xfId="0">
      <alignment horizontal="center" vertical="center"/>
    </xf>
    <xf numFmtId="167" fontId="4" fillId="5" borderId="0" applyAlignment="1" pivotButton="0" quotePrefix="0" xfId="0">
      <alignment horizontal="left"/>
    </xf>
    <xf numFmtId="0" fontId="28" fillId="0" borderId="0" applyAlignment="1" pivotButton="0" quotePrefix="0" xfId="0">
      <alignment horizontal="center"/>
    </xf>
    <xf numFmtId="0" fontId="29" fillId="0" borderId="18" applyAlignment="1" pivotButton="0" quotePrefix="0" xfId="0">
      <alignment horizontal="center"/>
    </xf>
    <xf numFmtId="0" fontId="0" fillId="0" borderId="18" pivotButton="0" quotePrefix="0" xfId="0"/>
    <xf numFmtId="0" fontId="0" fillId="0" borderId="19" applyAlignment="1" pivotButton="0" quotePrefix="0" xfId="0">
      <alignment horizontal="center"/>
    </xf>
    <xf numFmtId="0" fontId="0" fillId="0" borderId="20" pivotButton="0" quotePrefix="0" xfId="0"/>
    <xf numFmtId="0" fontId="0" fillId="0" borderId="20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168" fontId="30" fillId="0" borderId="22" applyAlignment="1" pivotButton="0" quotePrefix="0" xfId="0">
      <alignment horizontal="center"/>
    </xf>
    <xf numFmtId="168" fontId="31" fillId="5" borderId="0" applyAlignment="1" pivotButton="0" quotePrefix="0" xfId="0">
      <alignment horizontal="left"/>
    </xf>
    <xf numFmtId="168" fontId="31" fillId="5" borderId="23" applyAlignment="1" pivotButton="0" quotePrefix="0" xfId="0">
      <alignment horizontal="left"/>
    </xf>
    <xf numFmtId="168" fontId="31" fillId="0" borderId="0" applyAlignment="1" pivotButton="0" quotePrefix="0" xfId="0">
      <alignment horizontal="left"/>
    </xf>
    <xf numFmtId="0" fontId="0" fillId="0" borderId="24" pivotButton="0" quotePrefix="0" xfId="0"/>
    <xf numFmtId="0" fontId="0" fillId="0" borderId="25" pivotButton="0" quotePrefix="0" xfId="0"/>
    <xf numFmtId="38" fontId="4" fillId="5" borderId="0" applyAlignment="1" pivotButton="0" quotePrefix="0" xfId="3">
      <alignment horizontal="left"/>
    </xf>
    <xf numFmtId="167" fontId="4" fillId="5" borderId="23" applyAlignment="1" pivotButton="0" quotePrefix="0" xfId="0">
      <alignment horizontal="left"/>
    </xf>
    <xf numFmtId="0" fontId="0" fillId="0" borderId="23" pivotButton="0" quotePrefix="0" xfId="0"/>
    <xf numFmtId="164" fontId="32" fillId="0" borderId="30" pivotButton="0" quotePrefix="0" xfId="0"/>
    <xf numFmtId="168" fontId="4" fillId="0" borderId="31" applyAlignment="1" pivotButton="0" quotePrefix="0" xfId="0">
      <alignment horizontal="center"/>
    </xf>
    <xf numFmtId="0" fontId="33" fillId="0" borderId="6" applyAlignment="1" pivotButton="0" quotePrefix="0" xfId="0">
      <alignment wrapText="1"/>
    </xf>
    <xf numFmtId="164" fontId="4" fillId="0" borderId="6" pivotButton="0" quotePrefix="0" xfId="0"/>
    <xf numFmtId="164" fontId="32" fillId="0" borderId="32" pivotButton="0" quotePrefix="0" xfId="0"/>
    <xf numFmtId="0" fontId="32" fillId="0" borderId="0" pivotButton="0" quotePrefix="0" xfId="0"/>
    <xf numFmtId="0" fontId="0" fillId="5" borderId="0" pivotButton="0" quotePrefix="0" xfId="0"/>
    <xf numFmtId="0" fontId="0" fillId="5" borderId="0" pivotButton="0" quotePrefix="0" xfId="0"/>
    <xf numFmtId="0" fontId="34" fillId="0" borderId="0" pivotButton="0" quotePrefix="0" xfId="0"/>
    <xf numFmtId="0" fontId="4" fillId="5" borderId="0" pivotButton="0" quotePrefix="0" xfId="0"/>
    <xf numFmtId="3" fontId="0" fillId="0" borderId="0" applyAlignment="1" pivotButton="0" quotePrefix="0" xfId="0">
      <alignment horizontal="center"/>
    </xf>
    <xf numFmtId="168" fontId="31" fillId="0" borderId="23" applyAlignment="1" pivotButton="0" quotePrefix="0" xfId="0">
      <alignment horizontal="left"/>
    </xf>
    <xf numFmtId="167" fontId="4" fillId="0" borderId="23" applyAlignment="1" pivotButton="0" quotePrefix="0" xfId="0">
      <alignment horizontal="left"/>
    </xf>
    <xf numFmtId="0" fontId="0" fillId="0" borderId="0" pivotButton="0" quotePrefix="0" xfId="0"/>
    <xf numFmtId="0" fontId="4" fillId="0" borderId="0" pivotButton="0" quotePrefix="0" xfId="0"/>
    <xf numFmtId="0" fontId="0" fillId="0" borderId="33" pivotButton="0" quotePrefix="0" xfId="0"/>
    <xf numFmtId="0" fontId="0" fillId="0" borderId="34" pivotButton="0" quotePrefix="0" xfId="0"/>
    <xf numFmtId="164" fontId="32" fillId="6" borderId="38" pivotButton="0" quotePrefix="0" xfId="0"/>
    <xf numFmtId="167" fontId="33" fillId="0" borderId="0" applyAlignment="1" pivotButton="0" quotePrefix="0" xfId="0">
      <alignment horizontal="left"/>
    </xf>
    <xf numFmtId="168" fontId="4" fillId="0" borderId="3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2" fillId="0" borderId="0" pivotButton="0" quotePrefix="0" xfId="0"/>
    <xf numFmtId="0" fontId="29" fillId="0" borderId="0" applyAlignment="1" pivotButton="0" quotePrefix="0" xfId="0">
      <alignment horizontal="center"/>
    </xf>
    <xf numFmtId="0" fontId="0" fillId="0" borderId="40" pivotButton="0" quotePrefix="0" xfId="0"/>
    <xf numFmtId="0" fontId="0" fillId="0" borderId="41" pivotButton="0" quotePrefix="0" xfId="0"/>
    <xf numFmtId="0" fontId="0" fillId="0" borderId="43" pivotButton="0" quotePrefix="0" xfId="0"/>
    <xf numFmtId="0" fontId="0" fillId="0" borderId="3" pivotButton="0" quotePrefix="0" xfId="0"/>
    <xf numFmtId="168" fontId="35" fillId="7" borderId="31" applyAlignment="1" pivotButton="0" quotePrefix="0" xfId="0">
      <alignment horizontal="center"/>
    </xf>
    <xf numFmtId="0" fontId="36" fillId="7" borderId="6" pivotButton="0" quotePrefix="0" xfId="0"/>
    <xf numFmtId="164" fontId="35" fillId="7" borderId="6" pivotButton="0" quotePrefix="0" xfId="0"/>
    <xf numFmtId="168" fontId="35" fillId="0" borderId="31" applyAlignment="1" pivotButton="0" quotePrefix="0" xfId="0">
      <alignment horizontal="center"/>
    </xf>
    <xf numFmtId="0" fontId="37" fillId="0" borderId="6" pivotButton="0" quotePrefix="0" xfId="0"/>
    <xf numFmtId="164" fontId="35" fillId="0" borderId="6" pivotButton="0" quotePrefix="0" xfId="0"/>
    <xf numFmtId="168" fontId="38" fillId="0" borderId="31" applyAlignment="1" pivotButton="0" quotePrefix="0" xfId="0">
      <alignment horizontal="center"/>
    </xf>
    <xf numFmtId="0" fontId="39" fillId="0" borderId="6" pivotButton="0" quotePrefix="0" xfId="0"/>
    <xf numFmtId="0" fontId="0" fillId="0" borderId="45" applyAlignment="1" pivotButton="0" quotePrefix="0" xfId="0">
      <alignment horizontal="center"/>
    </xf>
    <xf numFmtId="164" fontId="32" fillId="0" borderId="38" pivotButton="0" quotePrefix="0" xfId="0"/>
    <xf numFmtId="168" fontId="30" fillId="0" borderId="31" applyAlignment="1" pivotButton="0" quotePrefix="0" xfId="0">
      <alignment horizontal="center"/>
    </xf>
    <xf numFmtId="0" fontId="40" fillId="0" borderId="6" pivotButton="0" quotePrefix="0" xfId="0"/>
    <xf numFmtId="164" fontId="30" fillId="0" borderId="6" pivotButton="0" quotePrefix="0" xfId="0"/>
    <xf numFmtId="0" fontId="36" fillId="7" borderId="6" applyAlignment="1" pivotButton="0" quotePrefix="0" xfId="0">
      <alignment wrapText="1"/>
    </xf>
    <xf numFmtId="168" fontId="30" fillId="0" borderId="31" applyAlignment="1" pivotButton="0" quotePrefix="0" xfId="0">
      <alignment horizontal="center"/>
    </xf>
    <xf numFmtId="164" fontId="32" fillId="0" borderId="48" pivotButton="0" quotePrefix="0" xfId="0"/>
    <xf numFmtId="0" fontId="4" fillId="0" borderId="0" applyAlignment="1" pivotButton="0" quotePrefix="0" xfId="0">
      <alignment horizontal="left"/>
    </xf>
    <xf numFmtId="168" fontId="0" fillId="0" borderId="49" applyAlignment="1" pivotButton="0" quotePrefix="0" xfId="0">
      <alignment horizontal="center"/>
    </xf>
    <xf numFmtId="0" fontId="0" fillId="0" borderId="50" applyAlignment="1" pivotButton="0" quotePrefix="0" xfId="0">
      <alignment horizontal="center"/>
    </xf>
    <xf numFmtId="164" fontId="32" fillId="0" borderId="51" pivotButton="0" quotePrefix="0" xfId="0"/>
    <xf numFmtId="164" fontId="32" fillId="0" borderId="52" pivotButton="0" quotePrefix="0" xfId="0"/>
    <xf numFmtId="168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164" fontId="32" fillId="0" borderId="54" pivotButton="0" quotePrefix="0" xfId="0"/>
    <xf numFmtId="164" fontId="32" fillId="0" borderId="55" pivotButton="0" quotePrefix="0" xfId="0"/>
    <xf numFmtId="38" fontId="4" fillId="0" borderId="0" applyAlignment="1" pivotButton="0" quotePrefix="0" xfId="3">
      <alignment horizontal="left"/>
    </xf>
    <xf numFmtId="0" fontId="38" fillId="0" borderId="0" pivotButton="0" quotePrefix="0" xfId="0"/>
    <xf numFmtId="0" fontId="42" fillId="0" borderId="6" pivotButton="0" quotePrefix="0" xfId="0"/>
    <xf numFmtId="0" fontId="31" fillId="0" borderId="6" pivotButton="0" quotePrefix="0" xfId="0"/>
    <xf numFmtId="0" fontId="31" fillId="0" borderId="0" pivotButton="0" quotePrefix="0" xfId="0"/>
    <xf numFmtId="38" fontId="4" fillId="0" borderId="0" pivotButton="0" quotePrefix="0" xfId="3"/>
    <xf numFmtId="164" fontId="32" fillId="0" borderId="59" pivotButton="0" quotePrefix="0" xfId="0"/>
    <xf numFmtId="0" fontId="31" fillId="0" borderId="0" pivotButton="0" quotePrefix="0" xfId="0"/>
    <xf numFmtId="168" fontId="32" fillId="0" borderId="31" applyAlignment="1" pivotButton="0" quotePrefix="0" xfId="0">
      <alignment horizontal="center"/>
    </xf>
    <xf numFmtId="3" fontId="4" fillId="0" borderId="0" pivotButton="0" quotePrefix="0" xfId="0"/>
    <xf numFmtId="168" fontId="32" fillId="0" borderId="46" applyAlignment="1" pivotButton="0" quotePrefix="0" xfId="0">
      <alignment horizontal="center"/>
    </xf>
    <xf numFmtId="0" fontId="44" fillId="0" borderId="47" pivotButton="0" quotePrefix="0" xfId="0"/>
    <xf numFmtId="164" fontId="30" fillId="0" borderId="47" pivotButton="0" quotePrefix="0" xfId="0"/>
    <xf numFmtId="168" fontId="38" fillId="0" borderId="57" applyAlignment="1" pivotButton="0" quotePrefix="0" xfId="0">
      <alignment horizontal="center"/>
    </xf>
    <xf numFmtId="0" fontId="45" fillId="0" borderId="9" pivotButton="0" quotePrefix="0" xfId="0"/>
    <xf numFmtId="164" fontId="32" fillId="0" borderId="55" pivotButton="0" quotePrefix="0" xfId="0"/>
    <xf numFmtId="168" fontId="0" fillId="0" borderId="41" applyAlignment="1" pivotButton="0" quotePrefix="0" xfId="0">
      <alignment horizontal="center"/>
    </xf>
    <xf numFmtId="168" fontId="0" fillId="0" borderId="0" applyAlignment="1" pivotButton="0" quotePrefix="0" xfId="0">
      <alignment horizontal="center"/>
    </xf>
    <xf numFmtId="164" fontId="32" fillId="0" borderId="50" pivotButton="0" quotePrefix="0" xfId="0"/>
    <xf numFmtId="0" fontId="0" fillId="0" borderId="53" applyAlignment="1" pivotButton="0" quotePrefix="0" xfId="0">
      <alignment horizontal="center"/>
    </xf>
    <xf numFmtId="0" fontId="0" fillId="0" borderId="54" pivotButton="0" quotePrefix="0" xfId="0"/>
    <xf numFmtId="0" fontId="0" fillId="0" borderId="5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8" fontId="4" fillId="0" borderId="57" applyAlignment="1" pivotButton="0" quotePrefix="0" xfId="0">
      <alignment horizontal="center"/>
    </xf>
    <xf numFmtId="0" fontId="39" fillId="0" borderId="9" pivotButton="0" quotePrefix="0" xfId="0"/>
    <xf numFmtId="164" fontId="38" fillId="0" borderId="9" pivotButton="0" quotePrefix="0" xfId="0"/>
    <xf numFmtId="0" fontId="34" fillId="0" borderId="6" pivotButton="0" quotePrefix="0" xfId="0"/>
    <xf numFmtId="0" fontId="41" fillId="0" borderId="6" pivotButton="0" quotePrefix="0" xfId="0"/>
    <xf numFmtId="168" fontId="49" fillId="0" borderId="31" applyAlignment="1" pivotButton="0" quotePrefix="0" xfId="0">
      <alignment horizontal="center"/>
    </xf>
    <xf numFmtId="0" fontId="50" fillId="0" borderId="6" pivotButton="0" quotePrefix="0" xfId="0"/>
    <xf numFmtId="168" fontId="0" fillId="0" borderId="46" applyAlignment="1" pivotButton="0" quotePrefix="0" xfId="0">
      <alignment horizontal="center"/>
    </xf>
    <xf numFmtId="0" fontId="33" fillId="0" borderId="47" pivotButton="0" quotePrefix="0" xfId="0"/>
    <xf numFmtId="0" fontId="48" fillId="0" borderId="6" pivotButton="0" quotePrefix="0" xfId="0"/>
    <xf numFmtId="164" fontId="32" fillId="0" borderId="6" pivotButton="0" quotePrefix="0" xfId="0"/>
    <xf numFmtId="0" fontId="33" fillId="0" borderId="41" pivotButton="0" quotePrefix="0" xfId="0"/>
    <xf numFmtId="164" fontId="32" fillId="0" borderId="0" pivotButton="0" quotePrefix="0" xfId="0"/>
    <xf numFmtId="0" fontId="32" fillId="0" borderId="0" pivotButton="0" quotePrefix="0" xfId="0"/>
    <xf numFmtId="164" fontId="32" fillId="0" borderId="61" pivotButton="0" quotePrefix="0" xfId="0"/>
    <xf numFmtId="0" fontId="32" fillId="5" borderId="0" pivotButton="0" quotePrefix="0" xfId="0"/>
    <xf numFmtId="168" fontId="32" fillId="0" borderId="0" applyAlignment="1" pivotButton="0" quotePrefix="0" xfId="0">
      <alignment horizontal="center"/>
    </xf>
    <xf numFmtId="0" fontId="51" fillId="0" borderId="0" pivotButton="0" quotePrefix="0" xfId="0"/>
    <xf numFmtId="164" fontId="43" fillId="0" borderId="0" pivotButton="0" quotePrefix="0" xfId="0"/>
    <xf numFmtId="164" fontId="43" fillId="0" borderId="0" pivotButton="0" quotePrefix="0" xfId="0"/>
    <xf numFmtId="0" fontId="33" fillId="0" borderId="0" pivotButton="0" quotePrefix="0" xfId="0"/>
    <xf numFmtId="164" fontId="0" fillId="0" borderId="0" pivotButton="0" quotePrefix="0" xfId="0"/>
    <xf numFmtId="0" fontId="26" fillId="0" borderId="0" applyAlignment="1" pivotButton="0" quotePrefix="0" xfId="0">
      <alignment horizontal="left"/>
    </xf>
    <xf numFmtId="0" fontId="28" fillId="5" borderId="0" applyAlignment="1" pivotButton="0" quotePrefix="0" xfId="0">
      <alignment horizontal="center"/>
    </xf>
    <xf numFmtId="0" fontId="26" fillId="5" borderId="0" pivotButton="0" quotePrefix="0" xfId="0"/>
    <xf numFmtId="0" fontId="0" fillId="5" borderId="0" applyAlignment="1" pivotButton="0" quotePrefix="0" xfId="0">
      <alignment horizontal="center"/>
    </xf>
    <xf numFmtId="168" fontId="38" fillId="5" borderId="0" applyAlignment="1" pivotButton="0" quotePrefix="0" xfId="0">
      <alignment horizontal="center"/>
    </xf>
    <xf numFmtId="0" fontId="39" fillId="5" borderId="0" pivotButton="0" quotePrefix="0" xfId="0"/>
    <xf numFmtId="168" fontId="30" fillId="5" borderId="0" applyAlignment="1" pivotButton="0" quotePrefix="0" xfId="0">
      <alignment horizontal="center"/>
    </xf>
    <xf numFmtId="0" fontId="47" fillId="5" borderId="0" pivotButton="0" quotePrefix="0" xfId="0"/>
    <xf numFmtId="0" fontId="47" fillId="5" borderId="0" applyAlignment="1" pivotButton="0" quotePrefix="0" xfId="0">
      <alignment wrapText="1"/>
    </xf>
    <xf numFmtId="0" fontId="32" fillId="5" borderId="0" pivotButton="0" quotePrefix="0" xfId="0"/>
    <xf numFmtId="3" fontId="0" fillId="0" borderId="0" applyAlignment="1" pivotButton="0" quotePrefix="0" xfId="0">
      <alignment horizontal="center"/>
    </xf>
    <xf numFmtId="0" fontId="27" fillId="0" borderId="18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7" pivotButton="0" quotePrefix="0" xfId="0"/>
    <xf numFmtId="164" fontId="32" fillId="0" borderId="63" pivotButton="0" quotePrefix="0" xfId="0"/>
    <xf numFmtId="38" fontId="4" fillId="5" borderId="0" applyAlignment="1" pivotButton="0" quotePrefix="0" xfId="3">
      <alignment horizontal="left"/>
    </xf>
    <xf numFmtId="3" fontId="0" fillId="5" borderId="0" applyAlignment="1" pivotButton="0" quotePrefix="0" xfId="0">
      <alignment horizontal="center"/>
    </xf>
    <xf numFmtId="0" fontId="33" fillId="5" borderId="0" pivotButton="0" quotePrefix="0" xfId="0"/>
    <xf numFmtId="0" fontId="34" fillId="5" borderId="0" pivotButton="0" quotePrefix="0" xfId="0"/>
    <xf numFmtId="168" fontId="53" fillId="0" borderId="31" applyAlignment="1" pivotButton="0" quotePrefix="0" xfId="0">
      <alignment horizontal="center"/>
    </xf>
    <xf numFmtId="0" fontId="54" fillId="0" borderId="6" pivotButton="0" quotePrefix="0" xfId="0"/>
    <xf numFmtId="164" fontId="53" fillId="0" borderId="6" pivotButton="0" quotePrefix="0" xfId="0"/>
    <xf numFmtId="0" fontId="0" fillId="0" borderId="64" pivotButton="0" quotePrefix="0" xfId="0"/>
    <xf numFmtId="0" fontId="0" fillId="0" borderId="65" pivotButton="0" quotePrefix="0" xfId="0"/>
    <xf numFmtId="164" fontId="32" fillId="0" borderId="66" pivotButton="0" quotePrefix="0" xfId="0"/>
    <xf numFmtId="0" fontId="38" fillId="0" borderId="0" pivotButton="0" quotePrefix="0" xfId="0"/>
    <xf numFmtId="168" fontId="4" fillId="0" borderId="0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164" fontId="32" fillId="0" borderId="26" pivotButton="0" quotePrefix="0" xfId="0"/>
    <xf numFmtId="0" fontId="43" fillId="0" borderId="0" applyAlignment="1" pivotButton="0" quotePrefix="0" xfId="0">
      <alignment horizontal="left"/>
    </xf>
    <xf numFmtId="56" fontId="0" fillId="5" borderId="0" applyAlignment="1" pivotButton="0" quotePrefix="0" xfId="0">
      <alignment horizontal="center"/>
    </xf>
    <xf numFmtId="164" fontId="1" fillId="0" borderId="0" pivotButton="0" quotePrefix="0" xfId="0"/>
    <xf numFmtId="0" fontId="0" fillId="0" borderId="62" applyAlignment="1" pivotButton="0" quotePrefix="0" xfId="0">
      <alignment horizontal="center"/>
    </xf>
    <xf numFmtId="0" fontId="55" fillId="0" borderId="6" pivotButton="0" quotePrefix="0" xfId="0"/>
    <xf numFmtId="164" fontId="32" fillId="0" borderId="67" pivotButton="0" quotePrefix="0" xfId="0"/>
    <xf numFmtId="0" fontId="0" fillId="0" borderId="45" pivotButton="0" quotePrefix="0" xfId="0"/>
    <xf numFmtId="0" fontId="56" fillId="0" borderId="6" pivotButton="0" quotePrefix="0" xfId="0"/>
    <xf numFmtId="0" fontId="0" fillId="6" borderId="45" applyAlignment="1" pivotButton="0" quotePrefix="0" xfId="0">
      <alignment horizontal="center"/>
    </xf>
    <xf numFmtId="0" fontId="0" fillId="6" borderId="18" applyAlignment="1" pivotButton="0" quotePrefix="0" xfId="0">
      <alignment horizontal="center"/>
    </xf>
    <xf numFmtId="168" fontId="30" fillId="0" borderId="0" applyAlignment="1" pivotButton="0" quotePrefix="0" xfId="0">
      <alignment horizontal="center"/>
    </xf>
    <xf numFmtId="164" fontId="32" fillId="0" borderId="60" pivotButton="0" quotePrefix="0" xfId="0"/>
    <xf numFmtId="0" fontId="0" fillId="0" borderId="0" applyAlignment="1" pivotButton="0" quotePrefix="0" xfId="0">
      <alignment horizontal="left"/>
    </xf>
    <xf numFmtId="168" fontId="53" fillId="7" borderId="31" applyAlignment="1" pivotButton="0" quotePrefix="0" xfId="0">
      <alignment horizontal="center"/>
    </xf>
    <xf numFmtId="0" fontId="56" fillId="7" borderId="6" pivotButton="0" quotePrefix="0" xfId="0"/>
    <xf numFmtId="164" fontId="53" fillId="7" borderId="6" pivotButton="0" quotePrefix="0" xfId="0"/>
    <xf numFmtId="0" fontId="37" fillId="7" borderId="6" pivotButton="0" quotePrefix="0" xfId="0"/>
    <xf numFmtId="164" fontId="32" fillId="0" borderId="0" applyAlignment="1" pivotButton="0" quotePrefix="0" xfId="0">
      <alignment horizontal="left"/>
    </xf>
    <xf numFmtId="164" fontId="0" fillId="0" borderId="23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8" fillId="7" borderId="6" applyAlignment="1" pivotButton="0" quotePrefix="0" xfId="0">
      <alignment shrinkToFit="1"/>
    </xf>
    <xf numFmtId="0" fontId="24" fillId="0" borderId="0" pivotButton="0" quotePrefix="0" xfId="0"/>
    <xf numFmtId="0" fontId="58" fillId="0" borderId="6" applyAlignment="1" pivotButton="0" quotePrefix="0" xfId="0">
      <alignment shrinkToFit="1"/>
    </xf>
    <xf numFmtId="3" fontId="51" fillId="0" borderId="0" pivotButton="0" quotePrefix="0" xfId="0"/>
    <xf numFmtId="0" fontId="59" fillId="0" borderId="6" pivotButton="0" quotePrefix="0" xfId="0"/>
    <xf numFmtId="0" fontId="28" fillId="0" borderId="0" applyAlignment="1" pivotButton="0" quotePrefix="0" xfId="0">
      <alignment horizontal="center"/>
    </xf>
    <xf numFmtId="0" fontId="26" fillId="0" borderId="0" pivotButton="0" quotePrefix="0" xfId="0"/>
    <xf numFmtId="164" fontId="60" fillId="0" borderId="0" pivotButton="0" quotePrefix="0" xfId="0"/>
    <xf numFmtId="3" fontId="53" fillId="0" borderId="6" pivotButton="0" quotePrefix="0" xfId="0"/>
    <xf numFmtId="0" fontId="61" fillId="0" borderId="47" pivotButton="0" quotePrefix="0" xfId="0"/>
    <xf numFmtId="164" fontId="53" fillId="0" borderId="47" pivotButton="0" quotePrefix="0" xfId="0"/>
    <xf numFmtId="38" fontId="1" fillId="0" borderId="0" pivotButton="0" quotePrefix="0" xfId="3"/>
    <xf numFmtId="38" fontId="1" fillId="0" borderId="54" applyAlignment="1" pivotButton="0" quotePrefix="0" xfId="3">
      <alignment horizontal="center"/>
    </xf>
    <xf numFmtId="38" fontId="1" fillId="0" borderId="55" applyAlignment="1" pivotButton="0" quotePrefix="0" xfId="3">
      <alignment horizontal="center"/>
    </xf>
    <xf numFmtId="38" fontId="1" fillId="0" borderId="20" applyAlignment="1" pivotButton="0" quotePrefix="0" xfId="3">
      <alignment horizontal="center"/>
    </xf>
    <xf numFmtId="38" fontId="1" fillId="0" borderId="21" applyAlignment="1" pivotButton="0" quotePrefix="0" xfId="3">
      <alignment horizontal="center"/>
    </xf>
    <xf numFmtId="38" fontId="4" fillId="5" borderId="0" applyAlignment="1" pivotButton="0" quotePrefix="0" xfId="3">
      <alignment horizontal="right"/>
    </xf>
    <xf numFmtId="38" fontId="32" fillId="0" borderId="32" pivotButton="0" quotePrefix="0" xfId="3"/>
    <xf numFmtId="0" fontId="4" fillId="5" borderId="0" pivotButton="0" quotePrefix="0" xfId="0"/>
    <xf numFmtId="0" fontId="32" fillId="0" borderId="0" applyAlignment="1" pivotButton="0" quotePrefix="0" xfId="0">
      <alignment horizontal="center"/>
    </xf>
    <xf numFmtId="38" fontId="32" fillId="0" borderId="55" pivotButton="0" quotePrefix="0" xfId="3"/>
    <xf numFmtId="38" fontId="32" fillId="0" borderId="0" pivotButton="0" quotePrefix="0" xfId="3"/>
    <xf numFmtId="0" fontId="51" fillId="0" borderId="0" pivotButton="0" quotePrefix="0" xfId="0"/>
    <xf numFmtId="38" fontId="4" fillId="0" borderId="0" applyAlignment="1" pivotButton="0" quotePrefix="0" xfId="3">
      <alignment horizontal="right"/>
    </xf>
    <xf numFmtId="168" fontId="32" fillId="0" borderId="0" applyAlignment="1" pivotButton="0" quotePrefix="0" xfId="0">
      <alignment horizontal="center"/>
    </xf>
    <xf numFmtId="0" fontId="51" fillId="0" borderId="0" pivotButton="0" quotePrefix="0" xfId="0"/>
    <xf numFmtId="0" fontId="0" fillId="5" borderId="0" applyAlignment="1" pivotButton="0" quotePrefix="0" xfId="0">
      <alignment shrinkToFit="1"/>
    </xf>
    <xf numFmtId="3" fontId="0" fillId="5" borderId="0" pivotButton="0" quotePrefix="0" xfId="0"/>
    <xf numFmtId="38" fontId="32" fillId="0" borderId="54" pivotButton="0" quotePrefix="0" xfId="3"/>
    <xf numFmtId="164" fontId="32" fillId="0" borderId="55" pivotButton="0" quotePrefix="0" xfId="3"/>
    <xf numFmtId="0" fontId="43" fillId="5" borderId="0" pivotButton="0" quotePrefix="0" xfId="0"/>
    <xf numFmtId="0" fontId="57" fillId="0" borderId="6" applyAlignment="1" pivotButton="0" quotePrefix="0" xfId="0">
      <alignment wrapText="1"/>
    </xf>
    <xf numFmtId="0" fontId="4" fillId="0" borderId="0" pivotButton="0" quotePrefix="0" xfId="0"/>
    <xf numFmtId="0" fontId="31" fillId="0" borderId="0" pivotButton="0" quotePrefix="0" xfId="0"/>
    <xf numFmtId="0" fontId="4" fillId="0" borderId="0" applyAlignment="1" pivotButton="0" quotePrefix="0" xfId="0">
      <alignment horizontal="right"/>
    </xf>
    <xf numFmtId="0" fontId="51" fillId="0" borderId="6" pivotButton="0" quotePrefix="0" xfId="0"/>
    <xf numFmtId="0" fontId="41" fillId="0" borderId="6" applyAlignment="1" pivotButton="0" quotePrefix="0" xfId="0">
      <alignment shrinkToFit="1"/>
    </xf>
    <xf numFmtId="3" fontId="33" fillId="0" borderId="0" applyAlignment="1" pivotButton="0" quotePrefix="0" xfId="0">
      <alignment horizontal="right"/>
    </xf>
    <xf numFmtId="168" fontId="62" fillId="0" borderId="31" applyAlignment="1" pivotButton="0" quotePrefix="0" xfId="0">
      <alignment horizontal="center"/>
    </xf>
    <xf numFmtId="0" fontId="63" fillId="0" borderId="6" pivotButton="0" quotePrefix="0" xfId="0"/>
    <xf numFmtId="164" fontId="62" fillId="0" borderId="6" pivotButton="0" quotePrefix="0" xfId="0"/>
    <xf numFmtId="164" fontId="38" fillId="0" borderId="6" pivotButton="0" quotePrefix="0" xfId="0"/>
    <xf numFmtId="168" fontId="38" fillId="0" borderId="31" applyAlignment="1" pivotButton="0" quotePrefix="0" xfId="0">
      <alignment horizontal="center"/>
    </xf>
    <xf numFmtId="0" fontId="45" fillId="0" borderId="6" pivotButton="0" quotePrefix="0" xfId="0"/>
    <xf numFmtId="168" fontId="32" fillId="0" borderId="46" applyAlignment="1" pivotButton="0" quotePrefix="0" xfId="0">
      <alignment horizontal="center"/>
    </xf>
    <xf numFmtId="0" fontId="51" fillId="0" borderId="47" pivotButton="0" quotePrefix="0" xfId="0"/>
    <xf numFmtId="164" fontId="32" fillId="0" borderId="47" pivotButton="0" quotePrefix="0" xfId="0"/>
    <xf numFmtId="168" fontId="0" fillId="0" borderId="0" applyAlignment="1" pivotButton="0" quotePrefix="0" xfId="0">
      <alignment horizontal="center"/>
    </xf>
    <xf numFmtId="0" fontId="64" fillId="0" borderId="0" pivotButton="0" quotePrefix="0" xfId="0"/>
    <xf numFmtId="164" fontId="65" fillId="0" borderId="0" pivotButton="0" quotePrefix="0" xfId="0"/>
    <xf numFmtId="164" fontId="0" fillId="0" borderId="0" pivotButton="0" quotePrefix="0" xfId="0"/>
    <xf numFmtId="0" fontId="33" fillId="0" borderId="0" pivotButton="0" quotePrefix="0" xfId="0"/>
    <xf numFmtId="168" fontId="66" fillId="0" borderId="31" applyAlignment="1" pivotButton="0" quotePrefix="0" xfId="0">
      <alignment horizontal="center"/>
    </xf>
    <xf numFmtId="0" fontId="67" fillId="0" borderId="6" applyAlignment="1" pivotButton="0" quotePrefix="0" xfId="0">
      <alignment wrapText="1"/>
    </xf>
    <xf numFmtId="164" fontId="66" fillId="0" borderId="6" pivotButton="0" quotePrefix="0" xfId="0"/>
    <xf numFmtId="0" fontId="67" fillId="0" borderId="28" pivotButton="0" quotePrefix="0" xfId="0"/>
    <xf numFmtId="56" fontId="68" fillId="0" borderId="6" applyAlignment="1" applyProtection="1" pivotButton="0" quotePrefix="0" xfId="0">
      <alignment vertical="center" shrinkToFit="1"/>
      <protection locked="0" hidden="0"/>
    </xf>
    <xf numFmtId="0" fontId="71" fillId="0" borderId="6" pivotButton="0" quotePrefix="0" xfId="0"/>
    <xf numFmtId="168" fontId="66" fillId="0" borderId="57" applyAlignment="1" pivotButton="0" quotePrefix="0" xfId="0">
      <alignment horizontal="center"/>
    </xf>
    <xf numFmtId="0" fontId="67" fillId="0" borderId="6" pivotButton="0" quotePrefix="0" xfId="0"/>
    <xf numFmtId="0" fontId="70" fillId="0" borderId="6" pivotButton="0" quotePrefix="0" xfId="0"/>
    <xf numFmtId="0" fontId="72" fillId="0" borderId="6" pivotButton="0" quotePrefix="0" xfId="0"/>
    <xf numFmtId="0" fontId="71" fillId="0" borderId="9" pivotButton="0" quotePrefix="0" xfId="0"/>
    <xf numFmtId="168" fontId="66" fillId="7" borderId="31" applyAlignment="1" pivotButton="0" quotePrefix="0" xfId="0">
      <alignment horizontal="center"/>
    </xf>
    <xf numFmtId="168" fontId="67" fillId="0" borderId="6" applyAlignment="1" pivotButton="0" quotePrefix="0" xfId="0">
      <alignment horizontal="left" wrapText="1"/>
    </xf>
    <xf numFmtId="0" fontId="66" fillId="0" borderId="58" pivotButton="0" quotePrefix="0" xfId="0"/>
    <xf numFmtId="0" fontId="72" fillId="0" borderId="9" pivotButton="0" quotePrefix="0" xfId="0"/>
    <xf numFmtId="56" fontId="68" fillId="0" borderId="6" applyAlignment="1" applyProtection="1" pivotButton="0" quotePrefix="0" xfId="0">
      <alignment vertical="center" wrapText="1" shrinkToFit="1"/>
      <protection locked="0" hidden="0"/>
    </xf>
    <xf numFmtId="168" fontId="66" fillId="0" borderId="31" applyAlignment="1" pivotButton="0" quotePrefix="0" xfId="0">
      <alignment horizontal="center"/>
    </xf>
    <xf numFmtId="0" fontId="70" fillId="0" borderId="6" applyAlignment="1" pivotButton="0" quotePrefix="0" xfId="0">
      <alignment wrapText="1"/>
    </xf>
    <xf numFmtId="164" fontId="66" fillId="0" borderId="6" pivotButton="0" quotePrefix="0" xfId="0"/>
    <xf numFmtId="164" fontId="66" fillId="0" borderId="6" applyAlignment="1" pivotButton="0" quotePrefix="0" xfId="0">
      <alignment horizontal="right"/>
    </xf>
    <xf numFmtId="0" fontId="66" fillId="0" borderId="0" applyAlignment="1" pivotButton="0" quotePrefix="0" xfId="0">
      <alignment shrinkToFit="1"/>
    </xf>
    <xf numFmtId="38" fontId="72" fillId="0" borderId="0" applyAlignment="1" pivotButton="0" quotePrefix="0" xfId="3">
      <alignment shrinkToFit="1"/>
    </xf>
    <xf numFmtId="0" fontId="41" fillId="0" borderId="53" applyAlignment="1" pivotButton="0" quotePrefix="0" xfId="0">
      <alignment wrapText="1"/>
    </xf>
    <xf numFmtId="164" fontId="30" fillId="0" borderId="54" pivotButton="0" quotePrefix="0" xfId="0"/>
    <xf numFmtId="169" fontId="0" fillId="0" borderId="0" pivotButton="0" quotePrefix="0" xfId="0"/>
    <xf numFmtId="0" fontId="0" fillId="0" borderId="30" pivotButton="0" quotePrefix="0" xfId="0"/>
    <xf numFmtId="0" fontId="66" fillId="0" borderId="6" applyAlignment="1" pivotButton="0" quotePrefix="0" xfId="0">
      <alignment wrapText="1"/>
    </xf>
    <xf numFmtId="168" fontId="69" fillId="0" borderId="56" applyAlignment="1" pivotButton="0" quotePrefix="0" xfId="0">
      <alignment horizontal="center"/>
    </xf>
    <xf numFmtId="0" fontId="67" fillId="0" borderId="6" applyAlignment="1" pivotButton="0" quotePrefix="0" xfId="0">
      <alignment wrapText="1" shrinkToFit="1"/>
    </xf>
    <xf numFmtId="0" fontId="67" fillId="7" borderId="6" applyAlignment="1" pivotButton="0" quotePrefix="0" xfId="0">
      <alignment wrapText="1"/>
    </xf>
    <xf numFmtId="0" fontId="77" fillId="0" borderId="6" pivotButton="0" quotePrefix="0" xfId="0"/>
    <xf numFmtId="0" fontId="67" fillId="0" borderId="9" pivotButton="0" quotePrefix="0" xfId="0"/>
    <xf numFmtId="0" fontId="68" fillId="0" borderId="6" applyAlignment="1" applyProtection="1" pivotButton="0" quotePrefix="0" xfId="0">
      <alignment vertical="center" shrinkToFit="1"/>
      <protection locked="0" hidden="0"/>
    </xf>
    <xf numFmtId="165" fontId="68" fillId="0" borderId="6" applyAlignment="1" applyProtection="1" pivotButton="0" quotePrefix="0" xfId="0">
      <alignment horizontal="center" vertical="center"/>
      <protection locked="0" hidden="0"/>
    </xf>
    <xf numFmtId="38" fontId="68" fillId="0" borderId="6" applyAlignment="1" pivotButton="0" quotePrefix="0" xfId="1">
      <alignment vertical="center"/>
    </xf>
    <xf numFmtId="38" fontId="68" fillId="0" borderId="6" applyAlignment="1" applyProtection="1" pivotButton="0" quotePrefix="0" xfId="3">
      <alignment vertical="center"/>
      <protection locked="0" hidden="0"/>
    </xf>
    <xf numFmtId="38" fontId="68" fillId="0" borderId="6" applyAlignment="1" pivotButton="0" quotePrefix="0" xfId="3">
      <alignment vertical="center"/>
    </xf>
    <xf numFmtId="0" fontId="68" fillId="0" borderId="6" applyAlignment="1" pivotButton="0" quotePrefix="0" xfId="0">
      <alignment vertical="center" wrapText="1"/>
    </xf>
    <xf numFmtId="38" fontId="13" fillId="0" borderId="6" applyAlignment="1" pivotButton="0" quotePrefix="0" xfId="3">
      <alignment vertical="center"/>
    </xf>
    <xf numFmtId="0" fontId="11" fillId="0" borderId="0" pivotButton="0" quotePrefix="0" xfId="0"/>
    <xf numFmtId="0" fontId="78" fillId="0" borderId="0" applyAlignment="1" pivotButton="0" quotePrefix="0" xfId="0">
      <alignment vertical="center"/>
    </xf>
    <xf numFmtId="0" fontId="73" fillId="0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79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0" fontId="66" fillId="7" borderId="6" applyAlignment="1" pivotButton="0" quotePrefix="0" xfId="0">
      <alignment wrapText="1"/>
    </xf>
    <xf numFmtId="38" fontId="66" fillId="7" borderId="6" pivotButton="0" quotePrefix="0" xfId="3"/>
    <xf numFmtId="0" fontId="80" fillId="0" borderId="0" applyAlignment="1" pivotButton="0" quotePrefix="0" xfId="0">
      <alignment horizontal="center"/>
    </xf>
    <xf numFmtId="38" fontId="0" fillId="0" borderId="0" pivotButton="0" quotePrefix="0" xfId="1"/>
    <xf numFmtId="164" fontId="32" fillId="0" borderId="32" applyAlignment="1" pivotButton="0" quotePrefix="0" xfId="0">
      <alignment shrinkToFit="1"/>
    </xf>
    <xf numFmtId="164" fontId="32" fillId="0" borderId="55" applyAlignment="1" pivotButton="0" quotePrefix="0" xfId="0">
      <alignment shrinkToFit="1"/>
    </xf>
    <xf numFmtId="0" fontId="24" fillId="0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27" fillId="0" borderId="0" applyAlignment="1" pivotButton="0" quotePrefix="0" xfId="0">
      <alignment horizontal="center" vertical="center" shrinkToFit="1"/>
    </xf>
    <xf numFmtId="0" fontId="0" fillId="0" borderId="20" applyAlignment="1" pivotButton="0" quotePrefix="0" xfId="0">
      <alignment horizontal="center" shrinkToFit="1"/>
    </xf>
    <xf numFmtId="0" fontId="0" fillId="0" borderId="21" applyAlignment="1" pivotButton="0" quotePrefix="0" xfId="0">
      <alignment horizontal="center" shrinkToFit="1"/>
    </xf>
    <xf numFmtId="164" fontId="69" fillId="0" borderId="28" applyAlignment="1" pivotButton="0" quotePrefix="0" xfId="0">
      <alignment shrinkToFit="1"/>
    </xf>
    <xf numFmtId="164" fontId="4" fillId="0" borderId="6" applyAlignment="1" pivotButton="0" quotePrefix="0" xfId="0">
      <alignment shrinkToFit="1"/>
    </xf>
    <xf numFmtId="164" fontId="66" fillId="0" borderId="6" applyAlignment="1" pivotButton="0" quotePrefix="0" xfId="0">
      <alignment shrinkToFit="1"/>
    </xf>
    <xf numFmtId="164" fontId="66" fillId="0" borderId="9" applyAlignment="1" pivotButton="0" quotePrefix="0" xfId="0">
      <alignment shrinkToFit="1"/>
    </xf>
    <xf numFmtId="164" fontId="32" fillId="0" borderId="54" applyAlignment="1" pivotButton="0" quotePrefix="0" xfId="0">
      <alignment shrinkToFit="1"/>
    </xf>
    <xf numFmtId="164" fontId="32" fillId="0" borderId="41" applyAlignment="1" pivotButton="0" quotePrefix="0" xfId="0">
      <alignment shrinkToFit="1"/>
    </xf>
    <xf numFmtId="164" fontId="32" fillId="0" borderId="0" applyAlignment="1" pivotButton="0" quotePrefix="0" xfId="0">
      <alignment shrinkToFit="1"/>
    </xf>
    <xf numFmtId="0" fontId="27" fillId="0" borderId="0" applyAlignment="1" pivotButton="0" quotePrefix="0" xfId="0">
      <alignment horizontal="center" vertical="center" shrinkToFit="1"/>
    </xf>
    <xf numFmtId="164" fontId="32" fillId="0" borderId="55" applyAlignment="1" pivotButton="0" quotePrefix="0" xfId="0">
      <alignment shrinkToFit="1"/>
    </xf>
    <xf numFmtId="164" fontId="30" fillId="0" borderId="6" applyAlignment="1" pivotButton="0" quotePrefix="0" xfId="0">
      <alignment shrinkToFit="1"/>
    </xf>
    <xf numFmtId="164" fontId="32" fillId="0" borderId="6" applyAlignment="1" pivotButton="0" quotePrefix="0" xfId="0">
      <alignment shrinkToFit="1"/>
    </xf>
    <xf numFmtId="164" fontId="32" fillId="0" borderId="0" applyAlignment="1" pivotButton="0" quotePrefix="0" xfId="0">
      <alignment shrinkToFit="1"/>
    </xf>
    <xf numFmtId="164" fontId="32" fillId="0" borderId="61" applyAlignment="1" pivotButton="0" quotePrefix="0" xfId="0">
      <alignment shrinkToFit="1"/>
    </xf>
    <xf numFmtId="164" fontId="43" fillId="0" borderId="0" applyAlignment="1" pivotButton="0" quotePrefix="0" xfId="0">
      <alignment shrinkToFit="1"/>
    </xf>
    <xf numFmtId="164" fontId="43" fillId="0" borderId="0" applyAlignment="1" pivotButton="0" quotePrefix="0" xfId="0">
      <alignment shrinkToFit="1"/>
    </xf>
    <xf numFmtId="0" fontId="27" fillId="5" borderId="0" applyAlignment="1" pivotButton="0" quotePrefix="0" xfId="0">
      <alignment horizontal="center" vertical="center" shrinkToFit="1"/>
    </xf>
    <xf numFmtId="0" fontId="0" fillId="5" borderId="0" applyAlignment="1" pivotButton="0" quotePrefix="0" xfId="0">
      <alignment horizontal="center" shrinkToFit="1"/>
    </xf>
    <xf numFmtId="164" fontId="4" fillId="5" borderId="0" applyAlignment="1" pivotButton="0" quotePrefix="0" xfId="0">
      <alignment shrinkToFit="1"/>
    </xf>
    <xf numFmtId="164" fontId="32" fillId="5" borderId="0" applyAlignment="1" pivotButton="0" quotePrefix="0" xfId="0">
      <alignment shrinkToFit="1"/>
    </xf>
    <xf numFmtId="164" fontId="75" fillId="0" borderId="6" applyAlignment="1" pivotButton="0" quotePrefix="0" xfId="0">
      <alignment shrinkToFit="1"/>
    </xf>
    <xf numFmtId="164" fontId="32" fillId="0" borderId="59" applyAlignment="1" pivotButton="0" quotePrefix="0" xfId="0">
      <alignment shrinkToFit="1"/>
    </xf>
    <xf numFmtId="0" fontId="0" fillId="0" borderId="54" applyAlignment="1" pivotButton="0" quotePrefix="0" xfId="0">
      <alignment horizontal="center" shrinkToFit="1"/>
    </xf>
    <xf numFmtId="0" fontId="0" fillId="0" borderId="55" applyAlignment="1" pivotButton="0" quotePrefix="0" xfId="0">
      <alignment horizontal="center" shrinkToFit="1"/>
    </xf>
    <xf numFmtId="0" fontId="27" fillId="0" borderId="37" applyAlignment="1" pivotButton="0" quotePrefix="0" xfId="0">
      <alignment horizontal="center" vertical="center" shrinkToFit="1"/>
    </xf>
    <xf numFmtId="164" fontId="38" fillId="0" borderId="6" applyAlignment="1" pivotButton="0" quotePrefix="0" xfId="0">
      <alignment shrinkToFit="1"/>
    </xf>
    <xf numFmtId="0" fontId="0" fillId="0" borderId="0" applyAlignment="1" pivotButton="0" quotePrefix="0" xfId="0">
      <alignment horizontal="center" shrinkToFit="1"/>
    </xf>
    <xf numFmtId="164" fontId="49" fillId="0" borderId="6" applyAlignment="1" pivotButton="0" quotePrefix="0" xfId="0">
      <alignment shrinkToFit="1"/>
    </xf>
    <xf numFmtId="164" fontId="0" fillId="0" borderId="47" applyAlignment="1" pivotButton="0" quotePrefix="0" xfId="0">
      <alignment shrinkToFit="1"/>
    </xf>
    <xf numFmtId="164" fontId="0" fillId="0" borderId="41" applyAlignment="1" pivotButton="0" quotePrefix="0" xfId="0">
      <alignment shrinkToFit="1"/>
    </xf>
    <xf numFmtId="164" fontId="43" fillId="0" borderId="41" applyAlignment="1" pivotButton="0" quotePrefix="0" xfId="0">
      <alignment shrinkToFit="1"/>
    </xf>
    <xf numFmtId="0" fontId="0" fillId="0" borderId="18" applyAlignment="1" pivotButton="0" quotePrefix="0" xfId="0">
      <alignment shrinkToFit="1"/>
    </xf>
    <xf numFmtId="164" fontId="32" fillId="0" borderId="26" applyAlignment="1" pivotButton="0" quotePrefix="0" xfId="0">
      <alignment shrinkToFit="1"/>
    </xf>
    <xf numFmtId="164" fontId="32" fillId="0" borderId="30" applyAlignment="1" pivotButton="0" quotePrefix="0" xfId="0">
      <alignment shrinkToFit="1"/>
    </xf>
    <xf numFmtId="164" fontId="32" fillId="0" borderId="35" applyAlignment="1" pivotButton="0" quotePrefix="0" xfId="0">
      <alignment shrinkToFit="1"/>
    </xf>
    <xf numFmtId="164" fontId="32" fillId="6" borderId="38" applyAlignment="1" pivotButton="0" quotePrefix="0" xfId="0">
      <alignment shrinkToFit="1"/>
    </xf>
    <xf numFmtId="0" fontId="0" fillId="0" borderId="42" applyAlignment="1" pivotButton="0" quotePrefix="0" xfId="0">
      <alignment shrinkToFit="1"/>
    </xf>
    <xf numFmtId="164" fontId="32" fillId="0" borderId="44" applyAlignment="1" pivotButton="0" quotePrefix="0" xfId="0">
      <alignment shrinkToFit="1"/>
    </xf>
    <xf numFmtId="164" fontId="32" fillId="0" borderId="38" applyAlignment="1" pivotButton="0" quotePrefix="0" xfId="0">
      <alignment shrinkToFit="1"/>
    </xf>
    <xf numFmtId="38" fontId="0" fillId="0" borderId="0" applyAlignment="1" pivotButton="0" quotePrefix="0" xfId="1">
      <alignment horizontal="left"/>
    </xf>
    <xf numFmtId="3" fontId="0" fillId="0" borderId="0" pivotButton="0" quotePrefix="0" xfId="0"/>
    <xf numFmtId="38" fontId="13" fillId="0" borderId="16" applyAlignment="1" pivotButton="0" quotePrefix="0" xfId="3">
      <alignment vertical="center"/>
    </xf>
    <xf numFmtId="38" fontId="13" fillId="0" borderId="12" applyAlignment="1" pivotButton="0" quotePrefix="0" xfId="3">
      <alignment vertical="center"/>
    </xf>
    <xf numFmtId="0" fontId="74" fillId="0" borderId="0" pivotButton="0" quotePrefix="0" xfId="0"/>
    <xf numFmtId="168" fontId="4" fillId="0" borderId="31" applyAlignment="1" pivotButton="0" quotePrefix="0" xfId="0">
      <alignment horizontal="center"/>
    </xf>
    <xf numFmtId="38" fontId="81" fillId="0" borderId="6" applyAlignment="1" pivotButton="0" quotePrefix="0" xfId="3">
      <alignment vertical="center"/>
    </xf>
    <xf numFmtId="38" fontId="81" fillId="0" borderId="16" applyAlignment="1" pivotButton="0" quotePrefix="0" xfId="3">
      <alignment vertical="center"/>
    </xf>
    <xf numFmtId="38" fontId="81" fillId="0" borderId="12" applyAlignment="1" pivotButton="0" quotePrefix="0" xfId="3">
      <alignment vertical="center"/>
    </xf>
    <xf numFmtId="0" fontId="81" fillId="0" borderId="0" applyAlignment="1" pivotButton="0" quotePrefix="0" xfId="0">
      <alignment vertical="center"/>
    </xf>
    <xf numFmtId="38" fontId="68" fillId="0" borderId="16" applyAlignment="1" pivotButton="0" quotePrefix="0" xfId="3">
      <alignment vertical="center"/>
    </xf>
    <xf numFmtId="38" fontId="68" fillId="0" borderId="12" applyAlignment="1" pivotButton="0" quotePrefix="0" xfId="3">
      <alignment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/>
    </xf>
    <xf numFmtId="164" fontId="0" fillId="0" borderId="55" applyAlignment="1" pivotButton="0" quotePrefix="0" xfId="0">
      <alignment shrinkToFit="1"/>
    </xf>
    <xf numFmtId="0" fontId="68" fillId="0" borderId="6" applyAlignment="1" pivotButton="0" quotePrefix="0" xfId="0">
      <alignment vertical="center" shrinkToFit="1"/>
    </xf>
    <xf numFmtId="168" fontId="66" fillId="0" borderId="6" pivotButton="0" quotePrefix="0" xfId="0"/>
    <xf numFmtId="168" fontId="69" fillId="0" borderId="53" applyAlignment="1" pivotButton="0" quotePrefix="0" xfId="0">
      <alignment horizontal="center"/>
    </xf>
    <xf numFmtId="0" fontId="66" fillId="7" borderId="54" applyAlignment="1" pivotButton="0" quotePrefix="0" xfId="0">
      <alignment horizontal="center" wrapText="1"/>
    </xf>
    <xf numFmtId="164" fontId="66" fillId="0" borderId="59" applyAlignment="1" pivotButton="0" quotePrefix="0" xfId="0">
      <alignment shrinkToFit="1"/>
    </xf>
    <xf numFmtId="164" fontId="66" fillId="0" borderId="37" applyAlignment="1" pivotButton="0" quotePrefix="0" xfId="0">
      <alignment shrinkToFit="1"/>
    </xf>
    <xf numFmtId="0" fontId="69" fillId="0" borderId="19" applyAlignment="1" pivotButton="0" quotePrefix="0" xfId="0">
      <alignment horizontal="center"/>
    </xf>
    <xf numFmtId="0" fontId="82" fillId="0" borderId="0" pivotButton="0" quotePrefix="0" xfId="0"/>
    <xf numFmtId="0" fontId="71" fillId="0" borderId="6" applyAlignment="1" pivotButton="0" quotePrefix="0" xfId="0">
      <alignment horizontal="left" vertical="center" wrapText="1"/>
    </xf>
    <xf numFmtId="0" fontId="76" fillId="0" borderId="6" applyAlignment="1" applyProtection="1" pivotButton="0" quotePrefix="0" xfId="0">
      <alignment vertical="center" wrapText="1" shrinkToFit="1"/>
      <protection locked="0" hidden="0"/>
    </xf>
    <xf numFmtId="38" fontId="66" fillId="0" borderId="6" pivotButton="0" quotePrefix="0" xfId="3"/>
    <xf numFmtId="0" fontId="80" fillId="0" borderId="0" applyAlignment="1" pivotButton="0" quotePrefix="0" xfId="0">
      <alignment horizontal="center"/>
    </xf>
    <xf numFmtId="0" fontId="83" fillId="0" borderId="37" applyAlignment="1" pivotButton="0" quotePrefix="0" xfId="0">
      <alignment horizontal="left"/>
    </xf>
    <xf numFmtId="164" fontId="32" fillId="0" borderId="60" applyAlignment="1" pivotButton="0" quotePrefix="0" xfId="0">
      <alignment shrinkToFit="1"/>
    </xf>
    <xf numFmtId="164" fontId="32" fillId="0" borderId="32" applyAlignment="1" pivotButton="0" quotePrefix="0" xfId="0">
      <alignment shrinkToFit="1"/>
    </xf>
    <xf numFmtId="38" fontId="68" fillId="0" borderId="6" applyAlignment="1" applyProtection="1" pivotButton="0" quotePrefix="0" xfId="1">
      <alignment vertical="center"/>
      <protection locked="0" hidden="0"/>
    </xf>
    <xf numFmtId="168" fontId="69" fillId="0" borderId="27" applyAlignment="1" pivotButton="0" quotePrefix="0" xfId="0">
      <alignment horizontal="center"/>
    </xf>
    <xf numFmtId="0" fontId="0" fillId="0" borderId="55" pivotButton="0" quotePrefix="0" xfId="0"/>
    <xf numFmtId="168" fontId="30" fillId="0" borderId="46" applyAlignment="1" pivotButton="0" quotePrefix="0" xfId="0">
      <alignment horizontal="center"/>
    </xf>
    <xf numFmtId="0" fontId="46" fillId="0" borderId="47" pivotButton="0" quotePrefix="0" xfId="0"/>
    <xf numFmtId="0" fontId="68" fillId="0" borderId="6" applyAlignment="1" pivotButton="0" quotePrefix="0" xfId="0">
      <alignment vertical="center"/>
    </xf>
    <xf numFmtId="0" fontId="39" fillId="0" borderId="9" pivotButton="0" quotePrefix="0" xfId="0"/>
    <xf numFmtId="164" fontId="38" fillId="0" borderId="9" applyAlignment="1" pivotButton="0" quotePrefix="0" xfId="0">
      <alignment shrinkToFit="1"/>
    </xf>
    <xf numFmtId="164" fontId="0" fillId="0" borderId="68" applyAlignment="1" pivotButton="0" quotePrefix="0" xfId="0">
      <alignment shrinkToFit="1"/>
    </xf>
    <xf numFmtId="0" fontId="74" fillId="0" borderId="54" applyAlignment="1" pivotButton="0" quotePrefix="0" xfId="0">
      <alignment horizontal="center" shrinkToFit="1"/>
    </xf>
    <xf numFmtId="0" fontId="0" fillId="0" borderId="10" pivotButton="0" quotePrefix="0" xfId="0"/>
    <xf numFmtId="0" fontId="0" fillId="0" borderId="7" applyAlignment="1" pivotButton="0" quotePrefix="0" xfId="0">
      <alignment shrinkToFit="1"/>
    </xf>
    <xf numFmtId="0" fontId="0" fillId="0" borderId="39" pivotButton="0" quotePrefix="0" xfId="0"/>
    <xf numFmtId="0" fontId="0" fillId="0" borderId="67" applyAlignment="1" pivotButton="0" quotePrefix="0" xfId="0">
      <alignment shrinkToFit="1"/>
    </xf>
    <xf numFmtId="164" fontId="32" fillId="0" borderId="48" applyAlignment="1" pivotButton="0" quotePrefix="0" xfId="0">
      <alignment shrinkToFit="1"/>
    </xf>
    <xf numFmtId="38" fontId="81" fillId="0" borderId="6" applyAlignment="1" pivotButton="0" quotePrefix="0" xfId="1">
      <alignment vertical="center"/>
    </xf>
    <xf numFmtId="38" fontId="81" fillId="0" borderId="16" applyAlignment="1" pivotButton="0" quotePrefix="0" xfId="1">
      <alignment vertical="center"/>
    </xf>
    <xf numFmtId="38" fontId="81" fillId="0" borderId="12" applyAlignment="1" pivotButton="0" quotePrefix="0" xfId="1">
      <alignment vertical="center"/>
    </xf>
    <xf numFmtId="0" fontId="67" fillId="0" borderId="6" applyAlignment="1" pivotButton="0" quotePrefix="0" xfId="0">
      <alignment vertical="center" wrapText="1"/>
    </xf>
    <xf numFmtId="0" fontId="68" fillId="0" borderId="6" applyAlignment="1" pivotButton="0" quotePrefix="0" xfId="0">
      <alignment wrapText="1"/>
    </xf>
    <xf numFmtId="0" fontId="67" fillId="0" borderId="28" pivotButton="0" quotePrefix="0" xfId="0"/>
    <xf numFmtId="38" fontId="66" fillId="0" borderId="6" applyAlignment="1" pivotButton="0" quotePrefix="0" xfId="1">
      <alignment shrinkToFit="1"/>
    </xf>
    <xf numFmtId="168" fontId="69" fillId="0" borderId="31" applyAlignment="1" pivotButton="0" quotePrefix="0" xfId="0">
      <alignment horizontal="center"/>
    </xf>
    <xf numFmtId="0" fontId="76" fillId="0" borderId="12" applyAlignment="1" pivotButton="0" quotePrefix="0" xfId="0">
      <alignment wrapText="1"/>
    </xf>
    <xf numFmtId="0" fontId="67" fillId="0" borderId="6" applyAlignment="1" pivotButton="0" quotePrefix="0" xfId="0">
      <alignment vertical="top" wrapText="1"/>
    </xf>
    <xf numFmtId="0" fontId="72" fillId="0" borderId="6" applyAlignment="1" pivotButton="0" quotePrefix="0" xfId="0">
      <alignment vertical="center" wrapText="1"/>
    </xf>
    <xf numFmtId="168" fontId="73" fillId="0" borderId="31" applyAlignment="1" pivotButton="0" quotePrefix="0" xfId="0">
      <alignment horizontal="center"/>
    </xf>
    <xf numFmtId="168" fontId="66" fillId="9" borderId="31" applyAlignment="1" pivotButton="0" quotePrefix="0" xfId="0">
      <alignment horizontal="center"/>
    </xf>
    <xf numFmtId="0" fontId="67" fillId="9" borderId="6" applyAlignment="1" pivotButton="0" quotePrefix="0" xfId="0">
      <alignment wrapText="1"/>
    </xf>
    <xf numFmtId="164" fontId="66" fillId="9" borderId="6" applyAlignment="1" pivotButton="0" quotePrefix="0" xfId="0">
      <alignment shrinkToFit="1"/>
    </xf>
    <xf numFmtId="0" fontId="66" fillId="9" borderId="6" applyAlignment="1" pivotButton="0" quotePrefix="0" xfId="0">
      <alignment wrapText="1"/>
    </xf>
    <xf numFmtId="38" fontId="66" fillId="9" borderId="6" applyAlignment="1" pivotButton="0" quotePrefix="0" xfId="1">
      <alignment shrinkToFit="1"/>
    </xf>
    <xf numFmtId="168" fontId="66" fillId="9" borderId="6" pivotButton="0" quotePrefix="0" xfId="0"/>
    <xf numFmtId="0" fontId="67" fillId="9" borderId="6" pivotButton="0" quotePrefix="0" xfId="0"/>
    <xf numFmtId="168" fontId="66" fillId="9" borderId="57" applyAlignment="1" pivotButton="0" quotePrefix="0" xfId="0">
      <alignment horizontal="center"/>
    </xf>
    <xf numFmtId="168" fontId="67" fillId="9" borderId="6" applyAlignment="1" pivotButton="0" quotePrefix="0" xfId="0">
      <alignment horizontal="left" wrapText="1"/>
    </xf>
    <xf numFmtId="164" fontId="66" fillId="9" borderId="9" applyAlignment="1" pivotButton="0" quotePrefix="0" xfId="0">
      <alignment shrinkToFit="1"/>
    </xf>
    <xf numFmtId="38" fontId="66" fillId="9" borderId="6" applyAlignment="1" pivotButton="0" quotePrefix="0" xfId="3">
      <alignment shrinkToFit="1"/>
    </xf>
    <xf numFmtId="164" fontId="66" fillId="9" borderId="6" pivotButton="0" quotePrefix="0" xfId="0"/>
    <xf numFmtId="0" fontId="72" fillId="9" borderId="6" pivotButton="0" quotePrefix="0" xfId="0"/>
    <xf numFmtId="164" fontId="66" fillId="9" borderId="6" applyAlignment="1" pivotButton="0" quotePrefix="0" xfId="0">
      <alignment horizontal="right"/>
    </xf>
    <xf numFmtId="38" fontId="66" fillId="9" borderId="6" pivotButton="0" quotePrefix="0" xfId="3"/>
    <xf numFmtId="0" fontId="67" fillId="9" borderId="9" applyAlignment="1" pivotButton="0" quotePrefix="0" xfId="0">
      <alignment wrapText="1"/>
    </xf>
    <xf numFmtId="164" fontId="66" fillId="9" borderId="9" pivotButton="0" quotePrefix="0" xfId="0"/>
    <xf numFmtId="168" fontId="66" fillId="0" borderId="43" applyAlignment="1" pivotButton="0" quotePrefix="0" xfId="0">
      <alignment horizontal="center"/>
    </xf>
    <xf numFmtId="164" fontId="75" fillId="0" borderId="32" applyAlignment="1" pivotButton="0" quotePrefix="0" xfId="0">
      <alignment shrinkToFit="1"/>
    </xf>
    <xf numFmtId="0" fontId="85" fillId="0" borderId="9" applyAlignment="1" pivotButton="0" quotePrefix="0" xfId="0">
      <alignment wrapText="1"/>
    </xf>
    <xf numFmtId="0" fontId="67" fillId="0" borderId="9" applyAlignment="1" pivotButton="0" quotePrefix="0" xfId="0">
      <alignment wrapText="1"/>
    </xf>
    <xf numFmtId="164" fontId="73" fillId="0" borderId="50" applyAlignment="1" pivotButton="0" quotePrefix="0" xfId="0">
      <alignment shrinkToFit="1"/>
    </xf>
    <xf numFmtId="164" fontId="66" fillId="7" borderId="11" applyAlignment="1" pivotButton="0" quotePrefix="0" xfId="0">
      <alignment shrinkToFit="1"/>
    </xf>
    <xf numFmtId="0" fontId="0" fillId="0" borderId="32" applyAlignment="1" pivotButton="0" quotePrefix="0" xfId="0">
      <alignment shrinkToFit="1"/>
    </xf>
    <xf numFmtId="164" fontId="66" fillId="0" borderId="28" applyAlignment="1" pivotButton="0" quotePrefix="0" xfId="0">
      <alignment shrinkToFit="1"/>
    </xf>
    <xf numFmtId="0" fontId="67" fillId="0" borderId="28" applyAlignment="1" pivotButton="0" quotePrefix="0" xfId="0">
      <alignment wrapText="1"/>
    </xf>
    <xf numFmtId="0" fontId="69" fillId="0" borderId="20" pivotButton="0" quotePrefix="0" xfId="0"/>
    <xf numFmtId="0" fontId="69" fillId="0" borderId="20" applyAlignment="1" pivotButton="0" quotePrefix="0" xfId="0">
      <alignment horizontal="center" shrinkToFit="1"/>
    </xf>
    <xf numFmtId="0" fontId="32" fillId="0" borderId="0" pivotButton="0" quotePrefix="0" xfId="0"/>
    <xf numFmtId="0" fontId="4" fillId="0" borderId="0" applyAlignment="1" pivotButton="0" quotePrefix="0" xfId="0">
      <alignment horizontal="left"/>
    </xf>
    <xf numFmtId="168" fontId="66" fillId="0" borderId="46" applyAlignment="1" pivotButton="0" quotePrefix="0" xfId="0">
      <alignment horizontal="center"/>
    </xf>
    <xf numFmtId="168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164" fontId="32" fillId="0" borderId="54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29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applyAlignment="1" pivotButton="0" quotePrefix="0" xfId="0">
      <alignment horizontal="center" vertical="center" shrinkToFit="1"/>
    </xf>
    <xf numFmtId="0" fontId="72" fillId="0" borderId="6" applyAlignment="1" pivotButton="0" quotePrefix="0" xfId="0">
      <alignment wrapText="1"/>
    </xf>
    <xf numFmtId="0" fontId="72" fillId="0" borderId="9" applyAlignment="1" pivotButton="0" quotePrefix="0" xfId="0">
      <alignment wrapText="1"/>
    </xf>
    <xf numFmtId="0" fontId="89" fillId="0" borderId="6" applyAlignment="1" applyProtection="1" pivotButton="0" quotePrefix="0" xfId="0">
      <alignment vertical="center" wrapText="1" shrinkToFit="1"/>
      <protection locked="0" hidden="0"/>
    </xf>
    <xf numFmtId="164" fontId="69" fillId="0" borderId="28" pivotButton="0" quotePrefix="0" xfId="0"/>
    <xf numFmtId="164" fontId="66" fillId="0" borderId="29" pivotButton="0" quotePrefix="0" xfId="0"/>
    <xf numFmtId="164" fontId="66" fillId="0" borderId="28" pivotButton="0" quotePrefix="0" xfId="0"/>
    <xf numFmtId="0" fontId="71" fillId="0" borderId="58" applyAlignment="1" pivotButton="0" quotePrefix="0" xfId="0">
      <alignment wrapText="1"/>
    </xf>
    <xf numFmtId="164" fontId="69" fillId="0" borderId="58" pivotButton="0" quotePrefix="0" xfId="0"/>
    <xf numFmtId="38" fontId="66" fillId="0" borderId="28" pivotButton="0" quotePrefix="0" xfId="3"/>
    <xf numFmtId="0" fontId="67" fillId="0" borderId="58" pivotButton="0" quotePrefix="0" xfId="0"/>
    <xf numFmtId="0" fontId="68" fillId="0" borderId="6" applyAlignment="1" applyProtection="1" pivotButton="0" quotePrefix="0" xfId="0">
      <alignment horizontal="left" vertical="center" shrinkToFit="1"/>
      <protection locked="0" hidden="0"/>
    </xf>
    <xf numFmtId="0" fontId="68" fillId="0" borderId="6" applyAlignment="1" applyProtection="1" pivotButton="0" quotePrefix="0" xfId="0">
      <alignment horizontal="center" vertical="center" shrinkToFit="1"/>
      <protection locked="0" hidden="0"/>
    </xf>
    <xf numFmtId="0" fontId="90" fillId="0" borderId="6" applyAlignment="1" pivotButton="0" quotePrefix="0" xfId="0">
      <alignment horizontal="left" vertical="center" wrapText="1"/>
    </xf>
    <xf numFmtId="38" fontId="68" fillId="0" borderId="6" applyAlignment="1" pivotButton="0" quotePrefix="0" xfId="3">
      <alignment horizontal="right" vertical="center"/>
    </xf>
    <xf numFmtId="0" fontId="68" fillId="0" borderId="6" pivotButton="0" quotePrefix="0" xfId="0"/>
    <xf numFmtId="0" fontId="68" fillId="0" borderId="9" applyAlignment="1" pivotButton="0" quotePrefix="0" xfId="0">
      <alignment wrapText="1"/>
    </xf>
    <xf numFmtId="164" fontId="68" fillId="0" borderId="6" applyAlignment="1" pivotButton="0" quotePrefix="0" xfId="0">
      <alignment vertical="center"/>
    </xf>
    <xf numFmtId="164" fontId="68" fillId="0" borderId="6" applyAlignment="1" pivotButton="0" quotePrefix="0" xfId="0">
      <alignment shrinkToFit="1"/>
    </xf>
    <xf numFmtId="164" fontId="68" fillId="0" borderId="6" applyAlignment="1" pivotButton="0" quotePrefix="0" xfId="0">
      <alignment horizontal="right"/>
    </xf>
    <xf numFmtId="164" fontId="68" fillId="0" borderId="9" applyAlignment="1" pivotButton="0" quotePrefix="0" xfId="0">
      <alignment shrinkToFit="1"/>
    </xf>
    <xf numFmtId="38" fontId="13" fillId="0" borderId="6" applyAlignment="1" applyProtection="1" pivotButton="0" quotePrefix="0" xfId="3">
      <alignment vertical="center"/>
      <protection locked="0" hidden="0"/>
    </xf>
    <xf numFmtId="56" fontId="13" fillId="0" borderId="6" applyAlignment="1" applyProtection="1" pivotButton="0" quotePrefix="0" xfId="0">
      <alignment vertical="center" shrinkToFit="1"/>
      <protection locked="0" hidden="0"/>
    </xf>
    <xf numFmtId="168" fontId="74" fillId="0" borderId="27" applyAlignment="1" pivotButton="0" quotePrefix="0" xfId="0">
      <alignment horizontal="center"/>
    </xf>
    <xf numFmtId="164" fontId="4" fillId="0" borderId="29" applyAlignment="1" pivotButton="0" quotePrefix="0" xfId="0">
      <alignment shrinkToFit="1"/>
    </xf>
    <xf numFmtId="164" fontId="4" fillId="0" borderId="29" pivotButton="0" quotePrefix="0" xfId="0"/>
    <xf numFmtId="0" fontId="0" fillId="9" borderId="31" pivotButton="0" quotePrefix="0" xfId="0"/>
    <xf numFmtId="0" fontId="0" fillId="9" borderId="6" pivotButton="0" quotePrefix="0" xfId="0"/>
    <xf numFmtId="0" fontId="0" fillId="9" borderId="6" applyAlignment="1" pivotButton="0" quotePrefix="0" xfId="0">
      <alignment shrinkToFit="1"/>
    </xf>
    <xf numFmtId="38" fontId="13" fillId="0" borderId="12" applyAlignment="1" pivotButton="0" quotePrefix="0" xfId="1">
      <alignment vertical="center"/>
    </xf>
    <xf numFmtId="0" fontId="68" fillId="0" borderId="0" pivotButton="0" quotePrefix="0" xfId="0"/>
    <xf numFmtId="38" fontId="68" fillId="0" borderId="16" applyAlignment="1" pivotButton="0" quotePrefix="0" xfId="3">
      <alignment horizontal="right" vertical="center"/>
    </xf>
    <xf numFmtId="38" fontId="68" fillId="0" borderId="12" applyAlignment="1" pivotButton="0" quotePrefix="0" xfId="3">
      <alignment horizontal="right" vertical="center"/>
    </xf>
    <xf numFmtId="38" fontId="68" fillId="9" borderId="16" applyAlignment="1" pivotButton="0" quotePrefix="0" xfId="3">
      <alignment vertical="center"/>
    </xf>
    <xf numFmtId="38" fontId="68" fillId="9" borderId="12" applyAlignment="1" pivotButton="0" quotePrefix="0" xfId="3">
      <alignment vertical="center"/>
    </xf>
    <xf numFmtId="38" fontId="68" fillId="7" borderId="6" applyAlignment="1" pivotButton="0" quotePrefix="0" xfId="3">
      <alignment vertical="center"/>
    </xf>
    <xf numFmtId="38" fontId="68" fillId="7" borderId="16" applyAlignment="1" pivotButton="0" quotePrefix="0" xfId="3">
      <alignment vertical="center"/>
    </xf>
    <xf numFmtId="38" fontId="68" fillId="7" borderId="12" applyAlignment="1" pivotButton="0" quotePrefix="0" xfId="3">
      <alignment vertical="center"/>
    </xf>
    <xf numFmtId="0" fontId="68" fillId="7" borderId="0" applyAlignment="1" pivotButton="0" quotePrefix="0" xfId="0">
      <alignment horizontal="center" vertical="center"/>
    </xf>
    <xf numFmtId="0" fontId="68" fillId="7" borderId="0" applyAlignment="1" pivotButton="0" quotePrefix="0" xfId="0">
      <alignment vertical="center"/>
    </xf>
    <xf numFmtId="0" fontId="69" fillId="0" borderId="3" applyAlignment="1" pivotButton="0" quotePrefix="0" xfId="0">
      <alignment horizontal="left" vertical="center" wrapText="1"/>
    </xf>
    <xf numFmtId="165" fontId="0" fillId="0" borderId="0" applyAlignment="1" pivotButton="0" quotePrefix="0" xfId="0">
      <alignment vertical="center"/>
    </xf>
    <xf numFmtId="0" fontId="66" fillId="0" borderId="28" pivotButton="0" quotePrefix="0" xfId="0"/>
    <xf numFmtId="164" fontId="69" fillId="0" borderId="58" applyAlignment="1" pivotButton="0" quotePrefix="0" xfId="0">
      <alignment shrinkToFit="1"/>
    </xf>
    <xf numFmtId="164" fontId="91" fillId="0" borderId="29" applyAlignment="1" pivotButton="0" quotePrefix="0" xfId="0">
      <alignment shrinkToFit="1"/>
    </xf>
    <xf numFmtId="164" fontId="91" fillId="0" borderId="29" applyAlignment="1" pivotButton="0" quotePrefix="0" xfId="0">
      <alignment shrinkToFit="1"/>
    </xf>
    <xf numFmtId="164" fontId="91" fillId="0" borderId="29" pivotButton="0" quotePrefix="0" xfId="0"/>
    <xf numFmtId="38" fontId="91" fillId="0" borderId="29" pivotButton="0" quotePrefix="0" xfId="3"/>
    <xf numFmtId="38" fontId="91" fillId="0" borderId="29" pivotButton="0" quotePrefix="0" xfId="3"/>
    <xf numFmtId="164" fontId="91" fillId="0" borderId="60" pivotButton="0" quotePrefix="0" xfId="0"/>
    <xf numFmtId="164" fontId="91" fillId="0" borderId="60" pivotButton="0" quotePrefix="0" xfId="0"/>
    <xf numFmtId="38" fontId="13" fillId="0" borderId="6" applyAlignment="1" pivotButton="0" quotePrefix="0" xfId="1">
      <alignment vertical="center"/>
    </xf>
    <xf numFmtId="38" fontId="13" fillId="0" borderId="16" applyAlignment="1" pivotButton="0" quotePrefix="0" xfId="1">
      <alignment vertical="center"/>
    </xf>
    <xf numFmtId="165" fontId="11" fillId="0" borderId="0" applyAlignment="1" pivotButton="0" quotePrefix="0" xfId="0">
      <alignment horizontal="center" vertical="center"/>
    </xf>
    <xf numFmtId="168" fontId="69" fillId="0" borderId="53" applyAlignment="1" pivotButton="0" quotePrefix="0" xfId="0">
      <alignment horizontal="center"/>
    </xf>
    <xf numFmtId="0" fontId="69" fillId="0" borderId="54" applyAlignment="1" pivotButton="0" quotePrefix="0" xfId="0">
      <alignment horizontal="center"/>
    </xf>
    <xf numFmtId="164" fontId="66" fillId="0" borderId="54" applyAlignment="1" pivotButton="0" quotePrefix="0" xfId="0">
      <alignment shrinkToFit="1"/>
    </xf>
    <xf numFmtId="168" fontId="69" fillId="0" borderId="41" applyAlignment="1" pivotButton="0" quotePrefix="0" xfId="0">
      <alignment horizontal="center"/>
    </xf>
    <xf numFmtId="0" fontId="69" fillId="0" borderId="41" applyAlignment="1" pivotButton="0" quotePrefix="0" xfId="0">
      <alignment horizontal="center"/>
    </xf>
    <xf numFmtId="164" fontId="66" fillId="0" borderId="41" applyAlignment="1" pivotButton="0" quotePrefix="0" xfId="0">
      <alignment shrinkToFit="1"/>
    </xf>
    <xf numFmtId="168" fontId="69" fillId="0" borderId="0" applyAlignment="1" pivotButton="0" quotePrefix="0" xfId="0">
      <alignment horizontal="center"/>
    </xf>
    <xf numFmtId="0" fontId="69" fillId="0" borderId="0" applyAlignment="1" pivotButton="0" quotePrefix="0" xfId="0">
      <alignment horizontal="center"/>
    </xf>
    <xf numFmtId="164" fontId="66" fillId="0" borderId="0" applyAlignment="1" pivotButton="0" quotePrefix="0" xfId="0">
      <alignment shrinkToFit="1"/>
    </xf>
    <xf numFmtId="0" fontId="69" fillId="0" borderId="0" applyAlignment="1" pivotButton="0" quotePrefix="0" xfId="0">
      <alignment shrinkToFit="1"/>
    </xf>
    <xf numFmtId="0" fontId="69" fillId="0" borderId="19" applyAlignment="1" pivotButton="0" quotePrefix="0" xfId="0">
      <alignment horizontal="center"/>
    </xf>
    <xf numFmtId="0" fontId="80" fillId="0" borderId="0" applyAlignment="1" pivotButton="0" quotePrefix="0" xfId="0">
      <alignment horizontal="center"/>
    </xf>
    <xf numFmtId="164" fontId="69" fillId="0" borderId="12" pivotButton="0" quotePrefix="0" xfId="0"/>
    <xf numFmtId="0" fontId="81" fillId="0" borderId="0" applyAlignment="1" pivotButton="0" quotePrefix="0" xfId="0">
      <alignment horizontal="center" vertical="center"/>
    </xf>
    <xf numFmtId="38" fontId="13" fillId="10" borderId="6" applyAlignment="1" applyProtection="1" pivotButton="0" quotePrefix="0" xfId="3">
      <alignment vertical="center"/>
      <protection locked="0" hidden="0"/>
    </xf>
    <xf numFmtId="0" fontId="13" fillId="0" borderId="0" applyAlignment="1" pivotButton="0" quotePrefix="0" xfId="0">
      <alignment horizontal="center" vertical="center"/>
    </xf>
    <xf numFmtId="165" fontId="68" fillId="0" borderId="6" applyAlignment="1" applyProtection="1" pivotButton="0" quotePrefix="0" xfId="0">
      <alignment horizontal="center" vertical="center"/>
      <protection locked="0" hidden="0"/>
    </xf>
    <xf numFmtId="0" fontId="68" fillId="0" borderId="6" applyAlignment="1" applyProtection="1" pivotButton="0" quotePrefix="0" xfId="0">
      <alignment vertical="center" shrinkToFit="1"/>
      <protection locked="0" hidden="0"/>
    </xf>
    <xf numFmtId="38" fontId="68" fillId="0" borderId="16" applyAlignment="1" pivotButton="0" quotePrefix="0" xfId="1">
      <alignment vertical="center"/>
    </xf>
    <xf numFmtId="38" fontId="68" fillId="0" borderId="12" applyAlignment="1" pivotButton="0" quotePrefix="0" xfId="1">
      <alignment vertical="center"/>
    </xf>
    <xf numFmtId="164" fontId="32" fillId="0" borderId="52" pivotButton="0" quotePrefix="0" xfId="0"/>
    <xf numFmtId="38" fontId="13" fillId="10" borderId="6" applyAlignment="1" pivotButton="0" quotePrefix="0" xfId="1">
      <alignment vertical="center"/>
    </xf>
    <xf numFmtId="38" fontId="13" fillId="0" borderId="6" applyAlignment="1" applyProtection="1" pivotButton="0" quotePrefix="0" xfId="1">
      <alignment vertical="center"/>
      <protection locked="0" hidden="0"/>
    </xf>
    <xf numFmtId="38" fontId="13" fillId="11" borderId="6" applyAlignment="1" pivotButton="0" quotePrefix="0" xfId="1">
      <alignment vertical="center"/>
    </xf>
    <xf numFmtId="38" fontId="13" fillId="10" borderId="6" applyAlignment="1" applyProtection="1" pivotButton="0" quotePrefix="0" xfId="1">
      <alignment vertical="center"/>
      <protection locked="0" hidden="0"/>
    </xf>
    <xf numFmtId="38" fontId="13" fillId="11" borderId="6" applyAlignment="1" applyProtection="1" pivotButton="0" quotePrefix="0" xfId="1">
      <alignment vertical="center"/>
      <protection locked="0" hidden="0"/>
    </xf>
    <xf numFmtId="165" fontId="69" fillId="0" borderId="0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165" fontId="68" fillId="0" borderId="9" applyAlignment="1" pivotButton="0" quotePrefix="0" xfId="0">
      <alignment horizontal="center" vertical="center"/>
    </xf>
    <xf numFmtId="0" fontId="68" fillId="0" borderId="9" applyAlignment="1" pivotButton="0" quotePrefix="0" xfId="0">
      <alignment vertical="center" shrinkToFit="1"/>
    </xf>
    <xf numFmtId="38" fontId="68" fillId="0" borderId="9" applyAlignment="1" pivotButton="0" quotePrefix="0" xfId="1">
      <alignment vertical="center"/>
    </xf>
    <xf numFmtId="165" fontId="68" fillId="0" borderId="10" applyAlignment="1" pivotButton="0" quotePrefix="0" xfId="0">
      <alignment horizontal="center"/>
    </xf>
    <xf numFmtId="0" fontId="68" fillId="0" borderId="10" applyAlignment="1" pivotButton="0" quotePrefix="0" xfId="0">
      <alignment horizontal="center" shrinkToFit="1"/>
    </xf>
    <xf numFmtId="38" fontId="68" fillId="0" borderId="10" applyAlignment="1" pivotButton="0" quotePrefix="0" xfId="1">
      <alignment horizontal="center"/>
    </xf>
    <xf numFmtId="165" fontId="68" fillId="0" borderId="6" applyAlignment="1" pivotButton="0" quotePrefix="0" xfId="0">
      <alignment horizontal="center"/>
    </xf>
    <xf numFmtId="38" fontId="68" fillId="0" borderId="6" applyAlignment="1" pivotButton="0" quotePrefix="0" xfId="3">
      <alignment vertical="center"/>
    </xf>
    <xf numFmtId="0" fontId="67" fillId="0" borderId="12" applyAlignment="1" pivotButton="0" quotePrefix="0" xfId="0">
      <alignment wrapText="1"/>
    </xf>
    <xf numFmtId="0" fontId="67" fillId="0" borderId="6" applyAlignment="1" applyProtection="1" pivotButton="0" quotePrefix="0" xfId="0">
      <alignment wrapText="1" shrinkToFit="1"/>
      <protection locked="0" hidden="0"/>
    </xf>
    <xf numFmtId="164" fontId="68" fillId="0" borderId="58" applyAlignment="1" pivotButton="0" quotePrefix="0" xfId="0">
      <alignment shrinkToFit="1"/>
    </xf>
    <xf numFmtId="165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 shrinkToFit="1"/>
    </xf>
    <xf numFmtId="38" fontId="68" fillId="0" borderId="0" applyAlignment="1" pivotButton="0" quotePrefix="0" xfId="3">
      <alignment vertical="center"/>
    </xf>
    <xf numFmtId="165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vertical="center" shrinkToFit="1"/>
    </xf>
    <xf numFmtId="38" fontId="68" fillId="0" borderId="0" applyAlignment="1" pivotButton="0" quotePrefix="0" xfId="3">
      <alignment vertical="center"/>
    </xf>
    <xf numFmtId="38" fontId="68" fillId="0" borderId="0" applyAlignment="1" pivotButton="0" quotePrefix="0" xfId="1">
      <alignment vertical="center"/>
    </xf>
    <xf numFmtId="0" fontId="24" fillId="0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0" fillId="0" borderId="20" applyAlignment="1" pivotButton="0" quotePrefix="0" xfId="0">
      <alignment horizontal="center" shrinkToFit="1"/>
    </xf>
    <xf numFmtId="164" fontId="0" fillId="0" borderId="0" applyAlignment="1" pivotButton="0" quotePrefix="0" xfId="0">
      <alignment shrinkToFit="1"/>
    </xf>
    <xf numFmtId="0" fontId="0" fillId="0" borderId="0" applyAlignment="1" pivotButton="0" quotePrefix="0" xfId="0">
      <alignment horizontal="center" shrinkToFit="1"/>
    </xf>
    <xf numFmtId="164" fontId="38" fillId="0" borderId="0" applyAlignment="1" pivotButton="0" quotePrefix="0" xfId="0">
      <alignment shrinkToFit="1"/>
    </xf>
    <xf numFmtId="164" fontId="30" fillId="0" borderId="0" applyAlignment="1" pivotButton="0" quotePrefix="0" xfId="0">
      <alignment shrinkToFit="1"/>
    </xf>
    <xf numFmtId="168" fontId="4" fillId="0" borderId="27" applyAlignment="1" pivotButton="0" quotePrefix="0" xfId="0">
      <alignment horizontal="center"/>
    </xf>
    <xf numFmtId="168" fontId="66" fillId="0" borderId="6" applyAlignment="1" pivotButton="0" quotePrefix="0" xfId="0">
      <alignment shrinkToFit="1"/>
    </xf>
    <xf numFmtId="38" fontId="66" fillId="0" borderId="6" pivotButton="0" quotePrefix="0" xfId="1"/>
    <xf numFmtId="0" fontId="67" fillId="0" borderId="58" applyAlignment="1" pivotButton="0" quotePrefix="0" xfId="0">
      <alignment vertical="top" wrapText="1"/>
    </xf>
    <xf numFmtId="0" fontId="76" fillId="0" borderId="6" applyAlignment="1" pivotButton="0" quotePrefix="0" xfId="0">
      <alignment vertical="top" wrapText="1"/>
    </xf>
    <xf numFmtId="0" fontId="69" fillId="0" borderId="0" applyAlignment="1" pivotButton="0" quotePrefix="0" xfId="0">
      <alignment horizontal="center" vertical="center"/>
    </xf>
    <xf numFmtId="0" fontId="69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right" vertical="center"/>
    </xf>
    <xf numFmtId="38" fontId="68" fillId="0" borderId="1" applyAlignment="1" pivotButton="0" quotePrefix="0" xfId="1">
      <alignment vertical="center"/>
    </xf>
    <xf numFmtId="38" fontId="68" fillId="0" borderId="3" applyAlignment="1" pivotButton="0" quotePrefix="0" xfId="1">
      <alignment vertical="center"/>
    </xf>
    <xf numFmtId="38" fontId="68" fillId="0" borderId="15" applyAlignment="1" pivotButton="0" quotePrefix="0" xfId="1">
      <alignment vertical="center"/>
    </xf>
    <xf numFmtId="38" fontId="68" fillId="0" borderId="6" applyAlignment="1" pivotButton="0" quotePrefix="0" xfId="1">
      <alignment horizontal="center" wrapText="1"/>
    </xf>
    <xf numFmtId="38" fontId="68" fillId="0" borderId="16" applyAlignment="1" pivotButton="0" quotePrefix="0" xfId="1">
      <alignment horizontal="center" wrapText="1"/>
    </xf>
    <xf numFmtId="38" fontId="68" fillId="0" borderId="12" applyAlignment="1" pivotButton="0" quotePrefix="0" xfId="1">
      <alignment horizontal="center" wrapText="1"/>
    </xf>
    <xf numFmtId="38" fontId="68" fillId="3" borderId="6" applyAlignment="1" applyProtection="1" pivotButton="0" quotePrefix="0" xfId="3">
      <alignment vertical="center"/>
      <protection locked="0" hidden="0"/>
    </xf>
    <xf numFmtId="38" fontId="68" fillId="3" borderId="16" applyAlignment="1" applyProtection="1" pivotButton="0" quotePrefix="0" xfId="3">
      <alignment vertical="center"/>
      <protection locked="0" hidden="0"/>
    </xf>
    <xf numFmtId="38" fontId="68" fillId="3" borderId="12" applyAlignment="1" applyProtection="1" pivotButton="0" quotePrefix="0" xfId="3">
      <alignment vertical="center"/>
      <protection locked="0" hidden="0"/>
    </xf>
    <xf numFmtId="0" fontId="13" fillId="0" borderId="6" applyAlignment="1" pivotButton="0" quotePrefix="0" xfId="0">
      <alignment vertical="center" wrapText="1"/>
    </xf>
    <xf numFmtId="164" fontId="4" fillId="11" borderId="6" applyAlignment="1" pivotButton="0" quotePrefix="0" xfId="0">
      <alignment shrinkToFit="1"/>
    </xf>
    <xf numFmtId="165" fontId="13" fillId="0" borderId="6" applyAlignment="1" pivotButton="0" quotePrefix="0" xfId="0">
      <alignment horizontal="center"/>
    </xf>
    <xf numFmtId="0" fontId="13" fillId="0" borderId="6" applyAlignment="1" pivotButton="0" quotePrefix="0" xfId="0">
      <alignment vertical="center" shrinkToFit="1"/>
    </xf>
    <xf numFmtId="0" fontId="4" fillId="0" borderId="6" applyAlignment="1" pivotButton="0" quotePrefix="0" xfId="0">
      <alignment wrapText="1"/>
    </xf>
    <xf numFmtId="168" fontId="74" fillId="0" borderId="31" applyAlignment="1" pivotButton="0" quotePrefix="0" xfId="0">
      <alignment horizontal="center"/>
    </xf>
    <xf numFmtId="0" fontId="33" fillId="0" borderId="58" applyAlignment="1" pivotButton="0" quotePrefix="0" xfId="0">
      <alignment vertical="top" wrapText="1"/>
    </xf>
    <xf numFmtId="0" fontId="33" fillId="0" borderId="6" applyAlignment="1" pivotButton="0" quotePrefix="0" xfId="0">
      <alignment horizontal="left" vertical="center" wrapText="1"/>
    </xf>
    <xf numFmtId="0" fontId="33" fillId="0" borderId="6" pivotButton="0" quotePrefix="0" xfId="0"/>
    <xf numFmtId="38" fontId="13" fillId="11" borderId="6" applyAlignment="1" applyProtection="1" pivotButton="0" quotePrefix="0" xfId="3">
      <alignment vertical="center"/>
      <protection locked="0" hidden="0"/>
    </xf>
    <xf numFmtId="38" fontId="13" fillId="11" borderId="6" applyAlignment="1" pivotButton="0" quotePrefix="0" xfId="3">
      <alignment vertical="center"/>
    </xf>
    <xf numFmtId="38" fontId="13" fillId="11" borderId="6" applyAlignment="1" pivotButton="0" quotePrefix="0" xfId="3">
      <alignment vertical="center"/>
    </xf>
    <xf numFmtId="168" fontId="4" fillId="0" borderId="6" pivotButton="0" quotePrefix="0" xfId="0"/>
    <xf numFmtId="165" fontId="13" fillId="7" borderId="6" applyAlignment="1" applyProtection="1" pivotButton="0" quotePrefix="0" xfId="0">
      <alignment horizontal="center" vertical="center"/>
      <protection locked="0" hidden="0"/>
    </xf>
    <xf numFmtId="0" fontId="13" fillId="7" borderId="6" applyAlignment="1" applyProtection="1" pivotButton="0" quotePrefix="0" xfId="0">
      <alignment vertical="center" shrinkToFit="1"/>
      <protection locked="0" hidden="0"/>
    </xf>
    <xf numFmtId="56" fontId="13" fillId="7" borderId="6" applyAlignment="1" applyProtection="1" pivotButton="0" quotePrefix="0" xfId="0">
      <alignment vertical="center" shrinkToFit="1"/>
      <protection locked="0" hidden="0"/>
    </xf>
    <xf numFmtId="168" fontId="4" fillId="7" borderId="31" applyAlignment="1" pivotButton="0" quotePrefix="0" xfId="0">
      <alignment horizontal="center"/>
    </xf>
    <xf numFmtId="0" fontId="4" fillId="7" borderId="6" applyAlignment="1" pivotButton="0" quotePrefix="0" xfId="0">
      <alignment wrapText="1"/>
    </xf>
    <xf numFmtId="0" fontId="31" fillId="0" borderId="6" applyAlignment="1" pivotButton="0" quotePrefix="0" xfId="0">
      <alignment wrapText="1"/>
    </xf>
    <xf numFmtId="164" fontId="13" fillId="11" borderId="6" applyAlignment="1" pivotButton="0" quotePrefix="0" xfId="0">
      <alignment shrinkToFit="1"/>
    </xf>
    <xf numFmtId="0" fontId="33" fillId="0" borderId="6" applyAlignment="1" pivotButton="0" quotePrefix="0" xfId="0">
      <alignment vertical="top" wrapText="1"/>
    </xf>
    <xf numFmtId="0" fontId="93" fillId="0" borderId="6" applyAlignment="1" pivotButton="0" quotePrefix="0" xfId="0">
      <alignment wrapText="1"/>
    </xf>
    <xf numFmtId="168" fontId="73" fillId="0" borderId="57" applyAlignment="1" pivotButton="0" quotePrefix="0" xfId="0">
      <alignment horizontal="center"/>
    </xf>
    <xf numFmtId="0" fontId="93" fillId="0" borderId="6" pivotButton="0" quotePrefix="0" xfId="0"/>
    <xf numFmtId="165" fontId="81" fillId="0" borderId="6" applyAlignment="1" applyProtection="1" pivotButton="0" quotePrefix="0" xfId="0">
      <alignment horizontal="center" vertical="center"/>
      <protection locked="0" hidden="0"/>
    </xf>
    <xf numFmtId="0" fontId="81" fillId="0" borderId="6" applyAlignment="1" applyProtection="1" pivotButton="0" quotePrefix="0" xfId="0">
      <alignment vertical="center" shrinkToFit="1"/>
      <protection locked="0" hidden="0"/>
    </xf>
    <xf numFmtId="38" fontId="94" fillId="11" borderId="6" applyAlignment="1" pivotButton="0" quotePrefix="0" xfId="3">
      <alignment vertical="center"/>
    </xf>
    <xf numFmtId="38" fontId="94" fillId="0" borderId="6" applyAlignment="1" pivotButton="0" quotePrefix="0" xfId="3">
      <alignment vertical="center"/>
    </xf>
    <xf numFmtId="164" fontId="60" fillId="11" borderId="6" applyAlignment="1" pivotButton="0" quotePrefix="0" xfId="0">
      <alignment shrinkToFit="1"/>
    </xf>
    <xf numFmtId="164" fontId="60" fillId="11" borderId="6" pivotButton="0" quotePrefix="0" xfId="0"/>
    <xf numFmtId="38" fontId="94" fillId="11" borderId="6" applyAlignment="1" applyProtection="1" pivotButton="0" quotePrefix="0" xfId="3">
      <alignment vertical="center"/>
      <protection locked="0" hidden="0"/>
    </xf>
    <xf numFmtId="38" fontId="60" fillId="11" borderId="6" pivotButton="0" quotePrefix="0" xfId="3"/>
    <xf numFmtId="38" fontId="81" fillId="11" borderId="6" applyAlignment="1" applyProtection="1" pivotButton="0" quotePrefix="0" xfId="3">
      <alignment vertical="center"/>
      <protection locked="0" hidden="0"/>
    </xf>
    <xf numFmtId="56" fontId="81" fillId="0" borderId="6" applyAlignment="1" applyProtection="1" pivotButton="0" quotePrefix="0" xfId="0">
      <alignment vertical="center" shrinkToFit="1"/>
      <protection locked="0" hidden="0"/>
    </xf>
    <xf numFmtId="164" fontId="95" fillId="11" borderId="6" applyAlignment="1" pivotButton="0" quotePrefix="0" xfId="0">
      <alignment shrinkToFit="1"/>
    </xf>
    <xf numFmtId="164" fontId="94" fillId="11" borderId="6" applyAlignment="1" pivotButton="0" quotePrefix="0" xfId="0">
      <alignment vertical="center"/>
    </xf>
    <xf numFmtId="164" fontId="95" fillId="11" borderId="6" pivotButton="0" quotePrefix="0" xfId="0"/>
    <xf numFmtId="38" fontId="4" fillId="11" borderId="6" pivotButton="0" quotePrefix="0" xfId="3"/>
    <xf numFmtId="56" fontId="13" fillId="0" borderId="6" applyAlignment="1" applyProtection="1" pivotButton="0" quotePrefix="0" xfId="0">
      <alignment vertical="center" wrapText="1" shrinkToFit="1"/>
      <protection locked="0" hidden="0"/>
    </xf>
    <xf numFmtId="164" fontId="13" fillId="11" borderId="6" applyAlignment="1" pivotButton="0" quotePrefix="0" xfId="0">
      <alignment vertical="center"/>
    </xf>
    <xf numFmtId="168" fontId="4" fillId="0" borderId="43" applyAlignment="1" pivotButton="0" quotePrefix="0" xfId="0">
      <alignment horizontal="center"/>
    </xf>
    <xf numFmtId="0" fontId="71" fillId="0" borderId="6" applyAlignment="1" pivotButton="0" quotePrefix="0" xfId="0">
      <alignment vertical="top" wrapText="1"/>
    </xf>
    <xf numFmtId="38" fontId="81" fillId="11" borderId="6" applyAlignment="1" pivotButton="0" quotePrefix="0" xfId="3">
      <alignment vertical="center"/>
    </xf>
    <xf numFmtId="164" fontId="66" fillId="7" borderId="6" pivotButton="0" quotePrefix="0" xfId="0"/>
    <xf numFmtId="164" fontId="4" fillId="11" borderId="6" applyAlignment="1" pivotButton="0" quotePrefix="0" xfId="0">
      <alignment horizontal="right"/>
    </xf>
    <xf numFmtId="38" fontId="68" fillId="7" borderId="6" applyAlignment="1" applyProtection="1" pivotButton="0" quotePrefix="0" xfId="3">
      <alignment vertical="center"/>
      <protection locked="0" hidden="0"/>
    </xf>
    <xf numFmtId="0" fontId="13" fillId="0" borderId="6" applyAlignment="1" applyProtection="1" pivotButton="0" quotePrefix="0" xfId="0">
      <alignment horizontal="left" vertical="center" shrinkToFit="1"/>
      <protection locked="0" hidden="0"/>
    </xf>
    <xf numFmtId="0" fontId="13" fillId="0" borderId="6" applyAlignment="1" applyProtection="1" pivotButton="0" quotePrefix="0" xfId="0">
      <alignment horizontal="center" vertical="center" shrinkToFit="1"/>
      <protection locked="0" hidden="0"/>
    </xf>
    <xf numFmtId="38" fontId="13" fillId="0" borderId="6" applyAlignment="1" pivotButton="0" quotePrefix="0" xfId="3">
      <alignment horizontal="right" vertical="center"/>
    </xf>
    <xf numFmtId="38" fontId="13" fillId="0" borderId="16" applyAlignment="1" pivotButton="0" quotePrefix="0" xfId="3">
      <alignment horizontal="right" vertical="center"/>
    </xf>
    <xf numFmtId="38" fontId="13" fillId="0" borderId="12" applyAlignment="1" pivotButton="0" quotePrefix="0" xfId="3">
      <alignment horizontal="right" vertical="center"/>
    </xf>
    <xf numFmtId="38" fontId="13" fillId="11" borderId="6" applyAlignment="1" pivotButton="0" quotePrefix="0" xfId="3">
      <alignment horizontal="right" vertical="center"/>
    </xf>
    <xf numFmtId="168" fontId="74" fillId="7" borderId="31" applyAlignment="1" pivotButton="0" quotePrefix="0" xfId="0">
      <alignment horizontal="center"/>
    </xf>
    <xf numFmtId="0" fontId="33" fillId="7" borderId="58" applyAlignment="1" pivotButton="0" quotePrefix="0" xfId="0">
      <alignment vertical="top" wrapText="1"/>
    </xf>
    <xf numFmtId="0" fontId="13" fillId="0" borderId="6" applyAlignment="1" pivotButton="0" quotePrefix="0" xfId="0">
      <alignment vertical="center"/>
    </xf>
    <xf numFmtId="0" fontId="96" fillId="0" borderId="6" applyAlignment="1" pivotButton="0" quotePrefix="0" xfId="0">
      <alignment wrapText="1"/>
    </xf>
    <xf numFmtId="164" fontId="66" fillId="11" borderId="6" applyAlignment="1" pivotButton="0" quotePrefix="0" xfId="0">
      <alignment shrinkToFit="1"/>
    </xf>
    <xf numFmtId="0" fontId="13" fillId="0" borderId="6" applyAlignment="1" pivotButton="0" quotePrefix="0" xfId="0">
      <alignment wrapText="1"/>
    </xf>
    <xf numFmtId="0" fontId="33" fillId="0" borderId="12" applyAlignment="1" pivotButton="0" quotePrefix="0" xfId="0">
      <alignment wrapText="1"/>
    </xf>
    <xf numFmtId="38" fontId="60" fillId="11" borderId="6" applyAlignment="1" pivotButton="0" quotePrefix="0" xfId="1">
      <alignment shrinkToFit="1"/>
    </xf>
    <xf numFmtId="38" fontId="95" fillId="11" borderId="6" pivotButton="0" quotePrefix="0" xfId="3"/>
    <xf numFmtId="164" fontId="60" fillId="11" borderId="6" applyAlignment="1" pivotButton="0" quotePrefix="0" xfId="0">
      <alignment horizontal="right"/>
    </xf>
    <xf numFmtId="164" fontId="4" fillId="11" borderId="6" pivotButton="0" quotePrefix="0" xfId="0"/>
    <xf numFmtId="0" fontId="33" fillId="0" borderId="6" applyAlignment="1" applyProtection="1" pivotButton="0" quotePrefix="0" xfId="0">
      <alignment wrapText="1" shrinkToFit="1"/>
      <protection locked="0" hidden="0"/>
    </xf>
    <xf numFmtId="38" fontId="81" fillId="0" borderId="6" applyAlignment="1" applyProtection="1" pivotButton="0" quotePrefix="0" xfId="3">
      <alignment vertical="center"/>
      <protection locked="0" hidden="0"/>
    </xf>
    <xf numFmtId="0" fontId="73" fillId="0" borderId="6" applyAlignment="1" pivotButton="0" quotePrefix="0" xfId="0">
      <alignment wrapText="1"/>
    </xf>
    <xf numFmtId="0" fontId="33" fillId="7" borderId="6" applyAlignment="1" pivotButton="0" quotePrefix="0" xfId="0">
      <alignment wrapText="1"/>
    </xf>
    <xf numFmtId="38" fontId="60" fillId="11" borderId="6" pivotButton="0" quotePrefix="0" xfId="1"/>
    <xf numFmtId="164" fontId="94" fillId="11" borderId="6" applyAlignment="1" pivotButton="0" quotePrefix="0" xfId="0">
      <alignment shrinkToFit="1"/>
    </xf>
    <xf numFmtId="164" fontId="94" fillId="11" borderId="6" applyAlignment="1" pivotButton="0" quotePrefix="0" xfId="0">
      <alignment horizontal="right"/>
    </xf>
    <xf numFmtId="38" fontId="4" fillId="11" borderId="6" applyAlignment="1" pivotButton="0" quotePrefix="0" xfId="1">
      <alignment shrinkToFit="1"/>
    </xf>
    <xf numFmtId="38" fontId="13" fillId="12" borderId="6" applyAlignment="1" pivotButton="0" quotePrefix="0" xfId="3">
      <alignment vertical="center"/>
    </xf>
    <xf numFmtId="0" fontId="97" fillId="0" borderId="6" applyAlignment="1" pivotButton="0" quotePrefix="0" xfId="0">
      <alignment vertical="center" wrapText="1"/>
    </xf>
    <xf numFmtId="168" fontId="0" fillId="0" borderId="31" applyAlignment="1" pivotButton="0" quotePrefix="0" xfId="0">
      <alignment horizontal="center"/>
    </xf>
    <xf numFmtId="0" fontId="93" fillId="0" borderId="58" applyAlignment="1" pivotButton="0" quotePrefix="0" xfId="0">
      <alignment vertical="top" wrapText="1"/>
    </xf>
    <xf numFmtId="164" fontId="73" fillId="11" borderId="6" applyAlignment="1" pivotButton="0" quotePrefix="0" xfId="0">
      <alignment shrinkToFit="1"/>
    </xf>
    <xf numFmtId="0" fontId="31" fillId="0" borderId="6" applyAlignment="1" pivotButton="0" quotePrefix="0" xfId="0">
      <alignment horizontal="left" vertical="center" wrapText="1"/>
    </xf>
    <xf numFmtId="0" fontId="7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36" applyAlignment="1" pivotButton="0" quotePrefix="0" xfId="0">
      <alignment horizontal="center"/>
    </xf>
    <xf numFmtId="0" fontId="0" fillId="6" borderId="37" applyAlignment="1" pivotButton="0" quotePrefix="0" xfId="0">
      <alignment horizontal="center"/>
    </xf>
    <xf numFmtId="0" fontId="26" fillId="0" borderId="18" applyAlignment="1" pivotButton="0" quotePrefix="0" xfId="0">
      <alignment horizontal="left" shrinkToFit="1"/>
    </xf>
    <xf numFmtId="0" fontId="0" fillId="6" borderId="45" applyAlignment="1" pivotButton="0" quotePrefix="0" xfId="0">
      <alignment horizontal="center"/>
    </xf>
    <xf numFmtId="0" fontId="0" fillId="6" borderId="18" applyAlignment="1" pivotButton="0" quotePrefix="0" xfId="0">
      <alignment horizontal="center"/>
    </xf>
    <xf numFmtId="0" fontId="9" fillId="0" borderId="13" applyAlignment="1" pivotButton="0" quotePrefix="0" xfId="6">
      <alignment horizontal="center" vertical="center"/>
    </xf>
    <xf numFmtId="0" fontId="12" fillId="0" borderId="13" pivotButton="0" quotePrefix="0" xfId="6"/>
    <xf numFmtId="0" fontId="12" fillId="0" borderId="17" pivotButton="0" quotePrefix="0" xfId="6"/>
    <xf numFmtId="0" fontId="13" fillId="0" borderId="13" applyAlignment="1" pivotButton="0" quotePrefix="0" xfId="6">
      <alignment horizontal="center" vertical="center" wrapText="1"/>
    </xf>
    <xf numFmtId="0" fontId="12" fillId="0" borderId="5" applyAlignment="1" pivotButton="0" quotePrefix="0" xfId="6">
      <alignment horizontal="center" vertical="center" wrapText="1"/>
    </xf>
    <xf numFmtId="0" fontId="15" fillId="0" borderId="0" applyAlignment="1" pivotButton="0" quotePrefix="0" xfId="6">
      <alignment horizontal="center" vertical="center"/>
    </xf>
    <xf numFmtId="170" fontId="15" fillId="0" borderId="0" applyAlignment="1" pivotButton="0" quotePrefix="0" xfId="6">
      <alignment horizontal="center" vertical="center"/>
    </xf>
    <xf numFmtId="171" fontId="15" fillId="0" borderId="0" applyAlignment="1" pivotButton="0" quotePrefix="0" xfId="6">
      <alignment horizontal="center" vertical="center"/>
    </xf>
    <xf numFmtId="0" fontId="98" fillId="13" borderId="0" applyAlignment="1" pivotButton="0" quotePrefix="0" xfId="0">
      <alignment vertical="center" indent="1"/>
    </xf>
    <xf numFmtId="0" fontId="0" fillId="13" borderId="0" pivotButton="0" quotePrefix="0" xfId="0"/>
    <xf numFmtId="0" fontId="99" fillId="0" borderId="0" applyAlignment="1" pivotButton="0" quotePrefix="0" xfId="0">
      <alignment vertical="center" wrapText="1" indent="1"/>
    </xf>
    <xf numFmtId="0" fontId="157" fillId="13" borderId="0" pivotButton="0" quotePrefix="0" xfId="0"/>
    <xf numFmtId="0" fontId="115" fillId="0" borderId="70" applyAlignment="1" pivotButton="0" quotePrefix="0" xfId="0">
      <alignment vertical="top" wrapText="1"/>
    </xf>
    <xf numFmtId="0" fontId="102" fillId="0" borderId="70" applyAlignment="1" pivotButton="0" quotePrefix="0" xfId="0">
      <alignment vertical="top" wrapText="1"/>
    </xf>
    <xf numFmtId="0" fontId="99" fillId="0" borderId="70" applyAlignment="1" pivotButton="0" quotePrefix="0" xfId="0">
      <alignment vertical="top" wrapText="1"/>
    </xf>
    <xf numFmtId="0" fontId="115" fillId="0" borderId="0" pivotButton="0" quotePrefix="0" xfId="0"/>
    <xf numFmtId="1" fontId="155" fillId="0" borderId="69" applyAlignment="1" pivotButton="0" quotePrefix="0" xfId="0">
      <alignment horizontal="center"/>
    </xf>
    <xf numFmtId="0" fontId="99" fillId="0" borderId="0" pivotButton="0" quotePrefix="0" xfId="0"/>
    <xf numFmtId="0" fontId="115" fillId="0" borderId="0" applyAlignment="1" pivotButton="0" quotePrefix="0" xfId="0">
      <alignment horizontal="right"/>
    </xf>
    <xf numFmtId="0" fontId="157" fillId="23" borderId="0" applyAlignment="1" pivotButton="0" quotePrefix="0" xfId="0">
      <alignment horizontal="center"/>
    </xf>
    <xf numFmtId="0" fontId="148" fillId="0" borderId="0" pivotButton="0" quotePrefix="0" xfId="0"/>
    <xf numFmtId="0" fontId="156" fillId="14" borderId="69" applyAlignment="1" pivotButton="0" quotePrefix="0" xfId="0">
      <alignment horizontal="center"/>
    </xf>
    <xf numFmtId="1" fontId="99" fillId="0" borderId="0" applyAlignment="1" pivotButton="0" quotePrefix="0" xfId="0">
      <alignment horizontal="center"/>
    </xf>
    <xf numFmtId="179" fontId="99" fillId="0" borderId="0" applyAlignment="1" pivotButton="0" quotePrefix="0" xfId="0">
      <alignment horizontal="center"/>
    </xf>
    <xf numFmtId="0" fontId="148" fillId="0" borderId="112" pivotButton="0" quotePrefix="0" xfId="0"/>
    <xf numFmtId="0" fontId="0" fillId="0" borderId="112" pivotButton="0" quotePrefix="0" xfId="0"/>
    <xf numFmtId="0" fontId="100" fillId="13" borderId="69" applyAlignment="1" pivotButton="0" quotePrefix="0" xfId="0">
      <alignment horizontal="center" vertical="center" wrapText="1"/>
    </xf>
    <xf numFmtId="0" fontId="0" fillId="0" borderId="123" pivotButton="0" quotePrefix="0" xfId="0"/>
    <xf numFmtId="0" fontId="0" fillId="0" borderId="124" pivotButton="0" quotePrefix="0" xfId="0"/>
    <xf numFmtId="0" fontId="102" fillId="0" borderId="70" pivotButton="0" quotePrefix="0" xfId="0"/>
    <xf numFmtId="180" fontId="102" fillId="0" borderId="70" applyAlignment="1" pivotButton="0" quotePrefix="0" xfId="0">
      <alignment horizontal="right" vertical="center"/>
    </xf>
    <xf numFmtId="0" fontId="99" fillId="0" borderId="70" pivotButton="0" quotePrefix="0" xfId="0"/>
    <xf numFmtId="0" fontId="115" fillId="15" borderId="69" pivotButton="0" quotePrefix="0" xfId="0"/>
    <xf numFmtId="0" fontId="115" fillId="15" borderId="69" applyAlignment="1" pivotButton="0" quotePrefix="0" xfId="0">
      <alignment horizontal="center"/>
    </xf>
    <xf numFmtId="0" fontId="100" fillId="30" borderId="69" pivotButton="0" quotePrefix="0" xfId="0"/>
    <xf numFmtId="0" fontId="0" fillId="30" borderId="123" pivotButton="0" quotePrefix="0" xfId="0"/>
    <xf numFmtId="0" fontId="0" fillId="30" borderId="124" pivotButton="0" quotePrefix="0" xfId="0"/>
    <xf numFmtId="0" fontId="102" fillId="0" borderId="70" applyAlignment="1" pivotButton="0" quotePrefix="0" xfId="0">
      <alignment horizontal="center"/>
    </xf>
    <xf numFmtId="172" fontId="102" fillId="0" borderId="70" applyAlignment="1" pivotButton="0" quotePrefix="0" xfId="0">
      <alignment horizontal="right" vertical="center"/>
    </xf>
    <xf numFmtId="3" fontId="101" fillId="14" borderId="69" applyAlignment="1" pivotButton="0" quotePrefix="0" xfId="0">
      <alignment horizontal="right" vertical="center"/>
    </xf>
    <xf numFmtId="0" fontId="115" fillId="0" borderId="70" applyAlignment="1" pivotButton="0" quotePrefix="0" xfId="0">
      <alignment horizontal="center"/>
    </xf>
    <xf numFmtId="172" fontId="115" fillId="15" borderId="69" applyAlignment="1" pivotButton="0" quotePrefix="0" xfId="0">
      <alignment horizontal="right" vertical="center"/>
    </xf>
    <xf numFmtId="180" fontId="115" fillId="15" borderId="69" applyAlignment="1" pivotButton="0" quotePrefix="0" xfId="0">
      <alignment horizontal="right" vertical="center"/>
    </xf>
    <xf numFmtId="0" fontId="102" fillId="15" borderId="69" pivotButton="0" quotePrefix="0" xfId="0"/>
    <xf numFmtId="165" fontId="68" fillId="0" borderId="0" applyAlignment="1" pivotButton="0" quotePrefix="0" xfId="0">
      <alignment horizontal="center" vertical="center"/>
    </xf>
    <xf numFmtId="165" fontId="69" fillId="0" borderId="0" applyAlignment="1" pivotButton="0" quotePrefix="0" xfId="0">
      <alignment vertical="center"/>
    </xf>
    <xf numFmtId="165" fontId="68" fillId="0" borderId="9" applyAlignment="1" pivotButton="0" quotePrefix="0" xfId="0">
      <alignment horizontal="center" vertical="center"/>
    </xf>
    <xf numFmtId="165" fontId="68" fillId="0" borderId="10" applyAlignment="1" pivotButton="0" quotePrefix="0" xfId="0">
      <alignment horizontal="center"/>
    </xf>
    <xf numFmtId="38" fontId="68" fillId="0" borderId="6" applyAlignment="1" pivotButton="0" quotePrefix="0" xfId="1">
      <alignment horizontal="center" vertical="center" wrapText="1"/>
    </xf>
    <xf numFmtId="165" fontId="104" fillId="14" borderId="6" applyAlignment="1" applyProtection="1" pivotButton="0" quotePrefix="0" xfId="0">
      <alignment horizontal="center" vertical="center"/>
      <protection locked="0" hidden="0"/>
    </xf>
    <xf numFmtId="165" fontId="104" fillId="0" borderId="6" applyAlignment="1" applyProtection="1" pivotButton="0" quotePrefix="0" xfId="0">
      <alignment horizontal="center" vertical="center"/>
      <protection locked="0" hidden="0"/>
    </xf>
    <xf numFmtId="0" fontId="104" fillId="14" borderId="6" applyAlignment="1" applyProtection="1" pivotButton="0" quotePrefix="0" xfId="0">
      <alignment vertical="center" shrinkToFit="1"/>
      <protection locked="0" hidden="0"/>
    </xf>
    <xf numFmtId="0" fontId="104" fillId="14" borderId="6" applyAlignment="1" pivotButton="0" quotePrefix="0" xfId="0">
      <alignment vertical="center" wrapText="1"/>
    </xf>
    <xf numFmtId="38" fontId="104" fillId="14" borderId="6" applyAlignment="1" applyProtection="1" pivotButton="0" quotePrefix="0" xfId="3">
      <alignment vertical="center"/>
      <protection locked="0" hidden="0"/>
    </xf>
    <xf numFmtId="38" fontId="104" fillId="0" borderId="6" applyAlignment="1" pivotButton="0" quotePrefix="0" xfId="3">
      <alignment vertical="center"/>
    </xf>
    <xf numFmtId="38" fontId="104" fillId="0" borderId="16" applyAlignment="1" pivotButton="0" quotePrefix="0" xfId="3">
      <alignment vertical="center"/>
    </xf>
    <xf numFmtId="38" fontId="104" fillId="0" borderId="12" applyAlignment="1" pivotButton="0" quotePrefix="0" xfId="3">
      <alignment vertical="center"/>
    </xf>
    <xf numFmtId="0" fontId="0" fillId="14" borderId="0" pivotButton="0" quotePrefix="0" xfId="0"/>
    <xf numFmtId="0" fontId="105" fillId="15" borderId="0" pivotButton="0" quotePrefix="0" xfId="0"/>
    <xf numFmtId="0" fontId="106" fillId="14" borderId="6" applyAlignment="1" pivotButton="0" quotePrefix="0" xfId="0">
      <alignment wrapText="1"/>
    </xf>
    <xf numFmtId="38" fontId="107" fillId="14" borderId="6" applyAlignment="1" pivotButton="0" quotePrefix="0" xfId="3">
      <alignment vertical="center"/>
    </xf>
    <xf numFmtId="38" fontId="104" fillId="14" borderId="6" applyAlignment="1" pivotButton="0" quotePrefix="0" xfId="3">
      <alignment vertical="center"/>
    </xf>
    <xf numFmtId="56" fontId="104" fillId="14" borderId="6" applyAlignment="1" applyProtection="1" pivotButton="0" quotePrefix="0" xfId="0">
      <alignment vertical="center" wrapText="1" shrinkToFit="1"/>
      <protection locked="0" hidden="0"/>
    </xf>
    <xf numFmtId="38" fontId="107" fillId="14" borderId="6" applyAlignment="1" applyProtection="1" pivotButton="0" quotePrefix="0" xfId="3">
      <alignment vertical="center"/>
      <protection locked="0" hidden="0"/>
    </xf>
    <xf numFmtId="56" fontId="104" fillId="14" borderId="6" applyAlignment="1" applyProtection="1" pivotButton="0" quotePrefix="0" xfId="0">
      <alignment vertical="center" shrinkToFit="1"/>
      <protection locked="0" hidden="0"/>
    </xf>
    <xf numFmtId="0" fontId="106" fillId="14" borderId="6" applyAlignment="1" pivotButton="0" quotePrefix="0" xfId="0">
      <alignment horizontal="left" vertical="center" wrapText="1"/>
    </xf>
    <xf numFmtId="0" fontId="104" fillId="14" borderId="6" applyAlignment="1" pivotButton="0" quotePrefix="0" xfId="0">
      <alignment vertical="center" shrinkToFit="1"/>
    </xf>
    <xf numFmtId="168" fontId="108" fillId="14" borderId="6" pivotButton="0" quotePrefix="0" xfId="0"/>
    <xf numFmtId="165" fontId="104" fillId="0" borderId="6" applyAlignment="1" pivotButton="0" quotePrefix="0" xfId="0">
      <alignment horizontal="center"/>
    </xf>
    <xf numFmtId="0" fontId="108" fillId="14" borderId="6" applyAlignment="1" pivotButton="0" quotePrefix="0" xfId="0">
      <alignment wrapText="1"/>
    </xf>
    <xf numFmtId="0" fontId="106" fillId="14" borderId="6" applyAlignment="1" pivotButton="0" quotePrefix="0" xfId="0">
      <alignment vertical="center" wrapText="1"/>
    </xf>
    <xf numFmtId="164" fontId="104" fillId="14" borderId="6" applyAlignment="1" pivotButton="0" quotePrefix="0" xfId="0">
      <alignment vertical="center"/>
    </xf>
    <xf numFmtId="0" fontId="109" fillId="14" borderId="6" applyAlignment="1" pivotButton="0" quotePrefix="0" xfId="0">
      <alignment wrapText="1"/>
    </xf>
    <xf numFmtId="0" fontId="104" fillId="14" borderId="6" applyAlignment="1" pivotButton="0" quotePrefix="0" xfId="0">
      <alignment vertical="center"/>
    </xf>
    <xf numFmtId="164" fontId="107" fillId="14" borderId="6" applyAlignment="1" pivotButton="0" quotePrefix="0" xfId="0">
      <alignment vertical="center"/>
    </xf>
    <xf numFmtId="164" fontId="104" fillId="14" borderId="6" applyAlignment="1" pivotButton="0" quotePrefix="0" xfId="0">
      <alignment shrinkToFit="1"/>
    </xf>
    <xf numFmtId="0" fontId="104" fillId="14" borderId="6" applyAlignment="1" applyProtection="1" pivotButton="0" quotePrefix="0" xfId="0">
      <alignment horizontal="left" vertical="center" shrinkToFit="1"/>
      <protection locked="0" hidden="0"/>
    </xf>
    <xf numFmtId="0" fontId="104" fillId="14" borderId="6" applyAlignment="1" applyProtection="1" pivotButton="0" quotePrefix="0" xfId="0">
      <alignment horizontal="center" vertical="center" shrinkToFit="1"/>
      <protection locked="0" hidden="0"/>
    </xf>
    <xf numFmtId="38" fontId="104" fillId="14" borderId="6" applyAlignment="1" pivotButton="0" quotePrefix="0" xfId="3">
      <alignment horizontal="right" vertical="center"/>
    </xf>
    <xf numFmtId="38" fontId="104" fillId="0" borderId="6" applyAlignment="1" pivotButton="0" quotePrefix="0" xfId="3">
      <alignment horizontal="right" vertical="center"/>
    </xf>
    <xf numFmtId="38" fontId="104" fillId="0" borderId="16" applyAlignment="1" pivotButton="0" quotePrefix="0" xfId="3">
      <alignment horizontal="right" vertical="center"/>
    </xf>
    <xf numFmtId="38" fontId="104" fillId="0" borderId="12" applyAlignment="1" pivotButton="0" quotePrefix="0" xfId="3">
      <alignment horizontal="right" vertical="center"/>
    </xf>
    <xf numFmtId="0" fontId="109" fillId="14" borderId="6" pivotButton="0" quotePrefix="0" xfId="0"/>
    <xf numFmtId="0" fontId="106" fillId="14" borderId="12" applyAlignment="1" pivotButton="0" quotePrefix="0" xfId="0">
      <alignment wrapText="1"/>
    </xf>
    <xf numFmtId="164" fontId="107" fillId="14" borderId="6" applyAlignment="1" pivotButton="0" quotePrefix="0" xfId="0">
      <alignment shrinkToFit="1"/>
    </xf>
    <xf numFmtId="0" fontId="104" fillId="14" borderId="6" applyAlignment="1" pivotButton="0" quotePrefix="0" xfId="0">
      <alignment wrapText="1"/>
    </xf>
    <xf numFmtId="164" fontId="107" fillId="14" borderId="6" applyAlignment="1" pivotButton="0" quotePrefix="0" xfId="0">
      <alignment horizontal="right"/>
    </xf>
    <xf numFmtId="0" fontId="110" fillId="14" borderId="6" applyAlignment="1" pivotButton="0" quotePrefix="0" xfId="0">
      <alignment horizontal="left" vertical="center" wrapText="1"/>
    </xf>
    <xf numFmtId="0" fontId="106" fillId="14" borderId="6" applyAlignment="1" applyProtection="1" pivotButton="0" quotePrefix="0" xfId="0">
      <alignment wrapText="1" shrinkToFit="1"/>
      <protection locked="0" hidden="0"/>
    </xf>
    <xf numFmtId="0" fontId="111" fillId="14" borderId="6" applyAlignment="1" pivotButton="0" quotePrefix="0" xfId="0">
      <alignment vertical="center" wrapText="1"/>
    </xf>
    <xf numFmtId="0" fontId="108" fillId="14" borderId="3" applyAlignment="1" pivotButton="0" quotePrefix="0" xfId="0">
      <alignment horizontal="left" vertical="center" wrapText="1"/>
    </xf>
    <xf numFmtId="0" fontId="106" fillId="14" borderId="6" applyAlignment="1" pivotButton="0" quotePrefix="0" xfId="0">
      <alignment vertical="top" wrapText="1"/>
    </xf>
    <xf numFmtId="0" fontId="109" fillId="14" borderId="6" applyAlignment="1" pivotButton="0" quotePrefix="0" xfId="0">
      <alignment horizontal="left" vertical="center" wrapText="1"/>
    </xf>
    <xf numFmtId="0" fontId="104" fillId="0" borderId="6" applyAlignment="1" applyProtection="1" pivotButton="0" quotePrefix="0" xfId="0">
      <alignment vertical="center" shrinkToFit="1"/>
      <protection locked="0" hidden="0"/>
    </xf>
    <xf numFmtId="164" fontId="104" fillId="14" borderId="6" applyAlignment="1" pivotButton="0" quotePrefix="0" xfId="0">
      <alignment horizontal="right"/>
    </xf>
    <xf numFmtId="0" fontId="104" fillId="14" borderId="6" pivotButton="0" quotePrefix="0" xfId="0"/>
    <xf numFmtId="38" fontId="104" fillId="14" borderId="6" applyAlignment="1" pivotButton="0" quotePrefix="0" xfId="1">
      <alignment vertical="center"/>
    </xf>
    <xf numFmtId="0" fontId="104" fillId="14" borderId="9" applyAlignment="1" pivotButton="0" quotePrefix="0" xfId="0">
      <alignment wrapText="1"/>
    </xf>
    <xf numFmtId="164" fontId="104" fillId="14" borderId="9" applyAlignment="1" pivotButton="0" quotePrefix="0" xfId="0">
      <alignment shrinkToFit="1"/>
    </xf>
    <xf numFmtId="164" fontId="104" fillId="14" borderId="58" applyAlignment="1" pivotButton="0" quotePrefix="0" xfId="0">
      <alignment shrinkToFit="1"/>
    </xf>
    <xf numFmtId="165" fontId="68" fillId="0" borderId="6" applyAlignment="1" applyProtection="1" pivotButton="0" quotePrefix="0" xfId="0">
      <alignment horizontal="center" vertical="center"/>
      <protection locked="0" hidden="0"/>
    </xf>
    <xf numFmtId="165" fontId="22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22" fillId="0" borderId="9" applyAlignment="1" pivotButton="0" quotePrefix="0" xfId="0">
      <alignment horizontal="center" vertical="center"/>
    </xf>
    <xf numFmtId="165" fontId="13" fillId="0" borderId="10" applyAlignment="1" pivotButton="0" quotePrefix="0" xfId="0">
      <alignment horizontal="center"/>
    </xf>
    <xf numFmtId="165" fontId="13" fillId="0" borderId="10" applyAlignment="1" pivotButton="0" quotePrefix="0" xfId="0">
      <alignment horizontal="center" wrapText="1"/>
    </xf>
    <xf numFmtId="38" fontId="22" fillId="0" borderId="6" applyAlignment="1" pivotButton="0" quotePrefix="0" xfId="1">
      <alignment horizontal="center" vertical="center" wrapText="1"/>
    </xf>
    <xf numFmtId="38" fontId="104" fillId="0" borderId="6" applyAlignment="1" pivotButton="0" quotePrefix="0" xfId="1">
      <alignment vertical="center"/>
    </xf>
    <xf numFmtId="38" fontId="104" fillId="0" borderId="16" applyAlignment="1" pivotButton="0" quotePrefix="0" xfId="1">
      <alignment vertical="center"/>
    </xf>
    <xf numFmtId="38" fontId="104" fillId="0" borderId="12" applyAlignment="1" pivotButton="0" quotePrefix="0" xfId="1">
      <alignment vertical="center"/>
    </xf>
    <xf numFmtId="38" fontId="104" fillId="14" borderId="6" applyAlignment="1" applyProtection="1" pivotButton="0" quotePrefix="0" xfId="1">
      <alignment vertical="center"/>
      <protection locked="0" hidden="0"/>
    </xf>
    <xf numFmtId="165" fontId="13" fillId="0" borderId="6" applyAlignment="1" applyProtection="1" pivotButton="0" quotePrefix="0" xfId="0">
      <alignment horizontal="center" vertical="center"/>
      <protection locked="0" hidden="0"/>
    </xf>
    <xf numFmtId="165" fontId="11" fillId="0" borderId="0" applyAlignment="1" pivotButton="0" quotePrefix="0" xfId="0">
      <alignment horizontal="center" vertical="center"/>
    </xf>
    <xf numFmtId="0" fontId="112" fillId="0" borderId="0" pivotButton="0" quotePrefix="0" xfId="0"/>
    <xf numFmtId="168" fontId="108" fillId="0" borderId="31" applyAlignment="1" pivotButton="0" quotePrefix="0" xfId="0">
      <alignment horizontal="center"/>
    </xf>
    <xf numFmtId="0" fontId="106" fillId="0" borderId="6" applyAlignment="1" pivotButton="0" quotePrefix="0" xfId="0">
      <alignment wrapText="1"/>
    </xf>
    <xf numFmtId="164" fontId="108" fillId="0" borderId="6" applyAlignment="1" pivotButton="0" quotePrefix="0" xfId="0">
      <alignment shrinkToFit="1"/>
    </xf>
    <xf numFmtId="164" fontId="108" fillId="0" borderId="32" applyAlignment="1" pivotButton="0" quotePrefix="0" xfId="0">
      <alignment shrinkToFit="1"/>
    </xf>
    <xf numFmtId="0" fontId="105" fillId="0" borderId="0" applyAlignment="1" pivotButton="0" quotePrefix="0" xfId="0">
      <alignment horizontal="center"/>
    </xf>
    <xf numFmtId="164" fontId="113" fillId="11" borderId="6" pivotButton="0" quotePrefix="0" xfId="0"/>
    <xf numFmtId="164" fontId="108" fillId="0" borderId="32" pivotButton="0" quotePrefix="0" xfId="0"/>
    <xf numFmtId="0" fontId="114" fillId="0" borderId="0" applyAlignment="1" pivotButton="0" quotePrefix="0" xfId="0">
      <alignment horizontal="center"/>
    </xf>
    <xf numFmtId="172" fontId="115" fillId="0" borderId="70" applyAlignment="1" pivotButton="0" quotePrefix="0" xfId="0">
      <alignment horizontal="right" vertical="center"/>
    </xf>
    <xf numFmtId="0" fontId="112" fillId="0" borderId="70" pivotButton="0" quotePrefix="0" xfId="0"/>
    <xf numFmtId="172" fontId="99" fillId="0" borderId="70" applyAlignment="1" pivotButton="0" quotePrefix="0" xfId="0">
      <alignment horizontal="right" vertical="center"/>
    </xf>
    <xf numFmtId="0" fontId="99" fillId="0" borderId="70" applyAlignment="1" pivotButton="0" quotePrefix="0" xfId="0">
      <alignment horizontal="center"/>
    </xf>
    <xf numFmtId="0" fontId="116" fillId="0" borderId="0" applyAlignment="1" pivotButton="0" quotePrefix="0" xfId="0">
      <alignment horizontal="center" vertical="bottom"/>
    </xf>
    <xf numFmtId="0" fontId="79" fillId="0" borderId="0" applyAlignment="1" pivotButton="0" quotePrefix="0" xfId="0">
      <alignment horizontal="left" vertical="bottom"/>
    </xf>
    <xf numFmtId="168" fontId="117" fillId="0" borderId="0" applyAlignment="1" pivotButton="0" quotePrefix="0" xfId="0">
      <alignment horizontal="center" vertical="bottom"/>
    </xf>
    <xf numFmtId="0" fontId="118" fillId="0" borderId="0" applyAlignment="1" pivotButton="0" quotePrefix="0" xfId="0">
      <alignment horizontal="general" vertical="bottom"/>
    </xf>
    <xf numFmtId="167" fontId="118" fillId="0" borderId="0" applyAlignment="1" pivotButton="0" quotePrefix="0" xfId="0">
      <alignment horizontal="general" vertical="bottom"/>
    </xf>
    <xf numFmtId="168" fontId="14" fillId="0" borderId="71" applyAlignment="1" pivotButton="0" quotePrefix="0" xfId="0">
      <alignment horizontal="center" vertical="bottom"/>
    </xf>
    <xf numFmtId="0" fontId="14" fillId="0" borderId="72" applyAlignment="1" pivotButton="0" quotePrefix="0" xfId="0">
      <alignment horizontal="general" vertical="bottom"/>
    </xf>
    <xf numFmtId="167" fontId="118" fillId="0" borderId="72" applyAlignment="1" pivotButton="0" quotePrefix="0" xfId="0">
      <alignment horizontal="center" vertical="bottom"/>
    </xf>
    <xf numFmtId="167" fontId="118" fillId="0" borderId="73" applyAlignment="1" pivotButton="0" quotePrefix="0" xfId="0">
      <alignment horizontal="center" vertical="bottom"/>
    </xf>
    <xf numFmtId="0" fontId="118" fillId="0" borderId="0" applyAlignment="1" pivotButton="0" quotePrefix="0" xfId="0">
      <alignment horizontal="center"/>
    </xf>
    <xf numFmtId="168" fontId="66" fillId="0" borderId="74" applyAlignment="1" pivotButton="0" quotePrefix="0" xfId="0">
      <alignment horizontal="center" vertical="bottom"/>
    </xf>
    <xf numFmtId="0" fontId="66" fillId="0" borderId="75" applyAlignment="1" pivotButton="0" quotePrefix="0" xfId="0">
      <alignment horizontal="general" vertical="bottom"/>
    </xf>
    <xf numFmtId="164" fontId="66" fillId="0" borderId="75" applyAlignment="1" pivotButton="0" quotePrefix="0" xfId="0">
      <alignment horizontal="general" vertical="bottom"/>
    </xf>
    <xf numFmtId="164" fontId="14" fillId="0" borderId="76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168" fontId="66" fillId="0" borderId="77" applyAlignment="1" pivotButton="0" quotePrefix="0" xfId="0">
      <alignment horizontal="center" vertical="bottom"/>
    </xf>
    <xf numFmtId="0" fontId="66" fillId="0" borderId="78" applyAlignment="1" pivotButton="0" quotePrefix="0" xfId="0">
      <alignment horizontal="general" vertical="bottom"/>
    </xf>
    <xf numFmtId="164" fontId="66" fillId="0" borderId="78" applyAlignment="1" pivotButton="0" quotePrefix="0" xfId="0">
      <alignment horizontal="general" vertical="bottom"/>
    </xf>
    <xf numFmtId="164" fontId="14" fillId="0" borderId="79" applyAlignment="1" pivotButton="0" quotePrefix="0" xfId="0">
      <alignment horizontal="general" vertical="bottom"/>
    </xf>
    <xf numFmtId="168" fontId="108" fillId="14" borderId="80" applyAlignment="1" pivotButton="0" quotePrefix="0" xfId="0">
      <alignment horizontal="center" vertical="bottom"/>
    </xf>
    <xf numFmtId="0" fontId="136" fillId="14" borderId="81" applyAlignment="1" pivotButton="0" quotePrefix="0" xfId="0">
      <alignment horizontal="left" vertical="bottom" wrapText="1" shrinkToFit="1"/>
    </xf>
    <xf numFmtId="164" fontId="113" fillId="14" borderId="81" applyAlignment="1" pivotButton="0" quotePrefix="0" xfId="0">
      <alignment horizontal="general" vertical="bottom"/>
    </xf>
    <xf numFmtId="164" fontId="108" fillId="0" borderId="76" applyAlignment="1" pivotButton="0" quotePrefix="0" xfId="0">
      <alignment horizontal="general" vertical="bottom"/>
    </xf>
    <xf numFmtId="0" fontId="105" fillId="14" borderId="0" applyAlignment="1" pivotButton="0" quotePrefix="0" xfId="0">
      <alignment horizontal="center"/>
    </xf>
    <xf numFmtId="0" fontId="137" fillId="14" borderId="81" applyAlignment="1" pivotButton="0" quotePrefix="0" xfId="0">
      <alignment horizontal="general" vertical="bottom"/>
    </xf>
    <xf numFmtId="164" fontId="108" fillId="14" borderId="81" applyAlignment="1" pivotButton="0" quotePrefix="0" xfId="0">
      <alignment horizontal="general" vertical="bottom"/>
    </xf>
    <xf numFmtId="0" fontId="106" fillId="14" borderId="81" applyAlignment="1" pivotButton="0" quotePrefix="0" xfId="0">
      <alignment horizontal="general" vertical="bottom"/>
    </xf>
    <xf numFmtId="164" fontId="108" fillId="14" borderId="0" applyAlignment="1" pivotButton="0" quotePrefix="0" xfId="0">
      <alignment horizontal="general" vertical="bottom"/>
    </xf>
    <xf numFmtId="0" fontId="108" fillId="14" borderId="81" applyAlignment="1" pivotButton="0" quotePrefix="0" xfId="0">
      <alignment horizontal="general" vertical="bottom"/>
    </xf>
    <xf numFmtId="167" fontId="108" fillId="14" borderId="81" applyAlignment="1" pivotButton="0" quotePrefix="0" xfId="0">
      <alignment horizontal="general" vertical="bottom"/>
    </xf>
    <xf numFmtId="168" fontId="108" fillId="17" borderId="80" applyAlignment="1" pivotButton="0" quotePrefix="0" xfId="0">
      <alignment horizontal="center" vertical="bottom"/>
    </xf>
    <xf numFmtId="0" fontId="137" fillId="17" borderId="81" applyAlignment="1" pivotButton="0" quotePrefix="0" xfId="0">
      <alignment horizontal="general" vertical="bottom"/>
    </xf>
    <xf numFmtId="0" fontId="138" fillId="14" borderId="81" applyAlignment="1" pivotButton="0" quotePrefix="0" xfId="0">
      <alignment horizontal="general" vertical="bottom" wrapText="1"/>
    </xf>
    <xf numFmtId="168" fontId="108" fillId="14" borderId="82" applyAlignment="1" pivotButton="0" quotePrefix="0" xfId="0">
      <alignment horizontal="center" vertical="bottom"/>
    </xf>
    <xf numFmtId="0" fontId="106" fillId="14" borderId="83" applyAlignment="1" pivotButton="0" quotePrefix="0" xfId="0">
      <alignment horizontal="general" vertical="bottom"/>
    </xf>
    <xf numFmtId="164" fontId="108" fillId="14" borderId="83" applyAlignment="1" pivotButton="0" quotePrefix="0" xfId="0">
      <alignment horizontal="general" vertical="bottom"/>
    </xf>
    <xf numFmtId="168" fontId="108" fillId="14" borderId="71" applyAlignment="1" pivotButton="0" quotePrefix="0" xfId="0">
      <alignment horizontal="center" vertical="bottom"/>
    </xf>
    <xf numFmtId="0" fontId="106" fillId="14" borderId="72" applyAlignment="1" pivotButton="0" quotePrefix="0" xfId="0">
      <alignment horizontal="general" vertical="bottom"/>
    </xf>
    <xf numFmtId="164" fontId="108" fillId="14" borderId="72" applyAlignment="1" pivotButton="0" quotePrefix="0" xfId="0">
      <alignment horizontal="general" vertical="bottom"/>
    </xf>
    <xf numFmtId="164" fontId="108" fillId="0" borderId="73" applyAlignment="1" pivotButton="0" quotePrefix="0" xfId="0">
      <alignment horizontal="general" vertical="bottom"/>
    </xf>
    <xf numFmtId="168" fontId="108" fillId="14" borderId="84" applyAlignment="1" pivotButton="0" quotePrefix="0" xfId="0">
      <alignment horizontal="center" vertical="bottom"/>
    </xf>
    <xf numFmtId="0" fontId="106" fillId="14" borderId="85" applyAlignment="1" pivotButton="0" quotePrefix="0" xfId="0">
      <alignment horizontal="general" vertical="bottom"/>
    </xf>
    <xf numFmtId="164" fontId="108" fillId="14" borderId="85" applyAlignment="1" pivotButton="0" quotePrefix="0" xfId="0">
      <alignment horizontal="general" vertical="bottom"/>
    </xf>
    <xf numFmtId="0" fontId="108" fillId="14" borderId="0" pivotButton="0" quotePrefix="0" xfId="0"/>
    <xf numFmtId="167" fontId="108" fillId="0" borderId="86" applyAlignment="1" pivotButton="0" quotePrefix="0" xfId="0">
      <alignment horizontal="general" vertical="bottom"/>
    </xf>
    <xf numFmtId="168" fontId="108" fillId="14" borderId="0" applyAlignment="1" pivotButton="0" quotePrefix="0" xfId="0">
      <alignment horizontal="center" vertical="bottom"/>
    </xf>
    <xf numFmtId="0" fontId="106" fillId="14" borderId="0" applyAlignment="1" pivotButton="0" quotePrefix="0" xfId="0">
      <alignment horizontal="general" vertical="bottom"/>
    </xf>
    <xf numFmtId="167" fontId="108" fillId="14" borderId="0" applyAlignment="1" pivotButton="0" quotePrefix="0" xfId="0">
      <alignment horizontal="general" vertical="bottom"/>
    </xf>
    <xf numFmtId="167" fontId="108" fillId="0" borderId="0" applyAlignment="1" pivotButton="0" quotePrefix="0" xfId="0">
      <alignment horizontal="general" vertical="bottom"/>
    </xf>
    <xf numFmtId="167" fontId="14" fillId="0" borderId="0" applyAlignment="1" pivotButton="0" quotePrefix="0" xfId="0">
      <alignment horizontal="general" vertical="bottom"/>
    </xf>
    <xf numFmtId="164" fontId="108" fillId="0" borderId="87" applyAlignment="1" pivotButton="0" quotePrefix="0" xfId="0">
      <alignment horizontal="general" vertical="bottom"/>
    </xf>
    <xf numFmtId="164" fontId="108" fillId="0" borderId="88" applyAlignment="1" pivotButton="0" quotePrefix="0" xfId="0">
      <alignment horizontal="general" vertical="bottom"/>
    </xf>
    <xf numFmtId="167" fontId="14" fillId="0" borderId="79" applyAlignment="1" pivotButton="0" quotePrefix="0" xfId="0">
      <alignment horizontal="right" vertical="center"/>
    </xf>
    <xf numFmtId="168" fontId="108" fillId="14" borderId="86" applyAlignment="1" pivotButton="0" quotePrefix="0" xfId="0">
      <alignment horizontal="center" vertical="bottom"/>
    </xf>
    <xf numFmtId="0" fontId="106" fillId="14" borderId="86" applyAlignment="1" pivotButton="0" quotePrefix="0" xfId="0">
      <alignment horizontal="general" vertical="bottom"/>
    </xf>
    <xf numFmtId="167" fontId="108" fillId="14" borderId="86" applyAlignment="1" pivotButton="0" quotePrefix="0" xfId="0">
      <alignment horizontal="general" vertical="bottom"/>
    </xf>
    <xf numFmtId="168" fontId="122" fillId="0" borderId="71" applyAlignment="1" pivotButton="0" quotePrefix="0" xfId="0">
      <alignment horizontal="center" vertical="bottom"/>
    </xf>
    <xf numFmtId="0" fontId="122" fillId="0" borderId="72" applyAlignment="1" pivotButton="0" quotePrefix="0" xfId="0">
      <alignment horizontal="general" vertical="bottom"/>
    </xf>
    <xf numFmtId="167" fontId="126" fillId="0" borderId="72" applyAlignment="1" pivotButton="0" quotePrefix="0" xfId="0">
      <alignment horizontal="center" vertical="bottom"/>
    </xf>
    <xf numFmtId="167" fontId="126" fillId="0" borderId="73" applyAlignment="1" pivotButton="0" quotePrefix="0" xfId="0">
      <alignment horizontal="center" vertical="bottom"/>
    </xf>
    <xf numFmtId="0" fontId="126" fillId="0" borderId="0" applyAlignment="1" pivotButton="0" quotePrefix="0" xfId="0">
      <alignment horizontal="center"/>
    </xf>
    <xf numFmtId="0" fontId="122" fillId="0" borderId="75" applyAlignment="1" pivotButton="0" quotePrefix="0" xfId="0">
      <alignment horizontal="general" vertical="bottom"/>
    </xf>
    <xf numFmtId="164" fontId="122" fillId="0" borderId="75" applyAlignment="1" pivotButton="0" quotePrefix="0" xfId="0">
      <alignment horizontal="general" vertical="bottom"/>
    </xf>
    <xf numFmtId="164" fontId="122" fillId="0" borderId="76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06" fillId="14" borderId="81" applyAlignment="1" pivotButton="0" quotePrefix="0" xfId="0">
      <alignment horizontal="general" vertical="bottom" shrinkToFit="1"/>
    </xf>
    <xf numFmtId="164" fontId="108" fillId="17" borderId="81" applyAlignment="1" pivotButton="0" quotePrefix="0" xfId="0">
      <alignment horizontal="general" vertical="bottom"/>
    </xf>
    <xf numFmtId="0" fontId="109" fillId="14" borderId="81" applyAlignment="1" pivotButton="0" quotePrefix="0" xfId="0">
      <alignment horizontal="general" vertical="bottom"/>
    </xf>
    <xf numFmtId="168" fontId="108" fillId="14" borderId="89" applyAlignment="1" pivotButton="0" quotePrefix="0" xfId="0">
      <alignment horizontal="center" vertical="bottom"/>
    </xf>
    <xf numFmtId="0" fontId="106" fillId="14" borderId="85" applyAlignment="1" pivotButton="0" quotePrefix="0" xfId="0">
      <alignment horizontal="general" vertical="bottom" shrinkToFit="1"/>
    </xf>
    <xf numFmtId="164" fontId="108" fillId="14" borderId="86" applyAlignment="1" pivotButton="0" quotePrefix="0" xfId="0">
      <alignment horizontal="general" vertical="bottom"/>
    </xf>
    <xf numFmtId="164" fontId="108" fillId="0" borderId="86" applyAlignment="1" pivotButton="0" quotePrefix="0" xfId="0">
      <alignment horizontal="general" vertical="bottom"/>
    </xf>
    <xf numFmtId="0" fontId="108" fillId="0" borderId="0" pivotButton="0" quotePrefix="0" xfId="0"/>
    <xf numFmtId="0" fontId="139" fillId="14" borderId="90" applyAlignment="1" pivotButton="0" quotePrefix="0" xfId="0">
      <alignment horizontal="center" vertical="bottom"/>
    </xf>
    <xf numFmtId="0" fontId="108" fillId="14" borderId="91" pivotButton="0" quotePrefix="0" xfId="0"/>
    <xf numFmtId="164" fontId="108" fillId="14" borderId="90" applyAlignment="1" pivotButton="0" quotePrefix="0" xfId="0">
      <alignment horizontal="general" vertical="bottom"/>
    </xf>
    <xf numFmtId="168" fontId="139" fillId="14" borderId="90" applyAlignment="1" pivotButton="0" quotePrefix="0" xfId="0">
      <alignment horizontal="center" vertical="center" textRotation="255"/>
    </xf>
    <xf numFmtId="0" fontId="139" fillId="14" borderId="92" applyAlignment="1" pivotButton="0" quotePrefix="0" xfId="0">
      <alignment horizontal="general" vertical="bottom"/>
    </xf>
    <xf numFmtId="0" fontId="108" fillId="14" borderId="93" pivotButton="0" quotePrefix="0" xfId="0"/>
    <xf numFmtId="0" fontId="139" fillId="14" borderId="90" applyAlignment="1" pivotButton="0" quotePrefix="0" xfId="0">
      <alignment horizontal="general" vertical="bottom"/>
    </xf>
    <xf numFmtId="0" fontId="108" fillId="14" borderId="92" pivotButton="0" quotePrefix="0" xfId="0"/>
    <xf numFmtId="0" fontId="80" fillId="0" borderId="0" applyAlignment="1" pivotButton="0" quotePrefix="0" xfId="0">
      <alignment horizontal="center" vertical="center"/>
    </xf>
    <xf numFmtId="167" fontId="79" fillId="0" borderId="0" applyAlignment="1" pivotButton="0" quotePrefix="0" xfId="0">
      <alignment horizontal="left" vertical="bottom"/>
    </xf>
    <xf numFmtId="0" fontId="75" fillId="0" borderId="0" applyAlignment="1" pivotButton="0" quotePrefix="0" xfId="0">
      <alignment horizontal="general" vertical="center"/>
    </xf>
    <xf numFmtId="167" fontId="75" fillId="0" borderId="0" applyAlignment="1" pivotButton="0" quotePrefix="0" xfId="0">
      <alignment horizontal="general" vertical="bottom"/>
    </xf>
    <xf numFmtId="0" fontId="118" fillId="0" borderId="0" applyAlignment="1" pivotButton="0" quotePrefix="0" xfId="0">
      <alignment horizontal="general" vertical="center"/>
    </xf>
    <xf numFmtId="0" fontId="14" fillId="0" borderId="72" applyAlignment="1" pivotButton="0" quotePrefix="0" xfId="0">
      <alignment horizontal="general" vertical="center"/>
    </xf>
    <xf numFmtId="0" fontId="66" fillId="0" borderId="75" applyAlignment="1" pivotButton="0" quotePrefix="0" xfId="0">
      <alignment horizontal="general" vertical="center" wrapText="1"/>
    </xf>
    <xf numFmtId="0" fontId="136" fillId="14" borderId="81" applyAlignment="1" pivotButton="0" quotePrefix="0" xfId="0">
      <alignment horizontal="general" vertical="center" wrapText="1"/>
    </xf>
    <xf numFmtId="0" fontId="137" fillId="14" borderId="81" applyAlignment="1" pivotButton="0" quotePrefix="0" xfId="0">
      <alignment horizontal="left" vertical="bottom" shrinkToFit="1"/>
    </xf>
    <xf numFmtId="0" fontId="106" fillId="14" borderId="81" applyAlignment="1" pivotButton="0" quotePrefix="0" xfId="0">
      <alignment horizontal="left" vertical="bottom" shrinkToFit="1"/>
    </xf>
    <xf numFmtId="0" fontId="138" fillId="14" borderId="81" applyAlignment="1" pivotButton="0" quotePrefix="0" xfId="0">
      <alignment horizontal="general" vertical="center" wrapText="1"/>
    </xf>
    <xf numFmtId="0" fontId="106" fillId="14" borderId="72" applyAlignment="1" pivotButton="0" quotePrefix="0" xfId="0">
      <alignment horizontal="general" vertical="center" wrapText="1"/>
    </xf>
    <xf numFmtId="0" fontId="106" fillId="14" borderId="0" applyAlignment="1" pivotButton="0" quotePrefix="0" xfId="0">
      <alignment horizontal="general" vertical="center" wrapText="1"/>
    </xf>
    <xf numFmtId="0" fontId="118" fillId="0" borderId="0" applyAlignment="1" pivotButton="0" quotePrefix="0" xfId="0">
      <alignment horizontal="general" vertical="center" wrapText="1"/>
    </xf>
    <xf numFmtId="0" fontId="14" fillId="0" borderId="72" applyAlignment="1" pivotButton="0" quotePrefix="0" xfId="0">
      <alignment horizontal="general" vertical="center" wrapText="1"/>
    </xf>
    <xf numFmtId="168" fontId="14" fillId="0" borderId="74" applyAlignment="1" pivotButton="0" quotePrefix="0" xfId="0">
      <alignment horizontal="center" vertical="bottom"/>
    </xf>
    <xf numFmtId="0" fontId="14" fillId="0" borderId="75" applyAlignment="1" pivotButton="0" quotePrefix="0" xfId="0">
      <alignment horizontal="general" vertical="bottom"/>
    </xf>
    <xf numFmtId="164" fontId="14" fillId="0" borderId="75" applyAlignment="1" pivotButton="0" quotePrefix="0" xfId="0">
      <alignment horizontal="general" vertical="bottom"/>
    </xf>
    <xf numFmtId="164" fontId="66" fillId="0" borderId="76" applyAlignment="1" pivotButton="0" quotePrefix="0" xfId="0">
      <alignment horizontal="general" vertical="bottom"/>
    </xf>
    <xf numFmtId="164" fontId="14" fillId="0" borderId="76" applyAlignment="1" pivotButton="0" quotePrefix="0" xfId="0">
      <alignment horizontal="general" vertical="bottom" shrinkToFit="1"/>
    </xf>
    <xf numFmtId="0" fontId="136" fillId="14" borderId="81" applyAlignment="1" pivotButton="0" quotePrefix="0" xfId="0">
      <alignment horizontal="general" vertical="center" shrinkToFit="1"/>
    </xf>
    <xf numFmtId="0" fontId="136" fillId="17" borderId="81" applyAlignment="1" pivotButton="0" quotePrefix="0" xfId="0">
      <alignment horizontal="general" vertical="center" shrinkToFit="1"/>
    </xf>
    <xf numFmtId="164" fontId="108" fillId="0" borderId="73" applyAlignment="1" pivotButton="0" quotePrefix="0" xfId="0">
      <alignment horizontal="general" vertical="bottom" shrinkToFit="1"/>
    </xf>
    <xf numFmtId="0" fontId="139" fillId="14" borderId="0" applyAlignment="1" pivotButton="0" quotePrefix="0" xfId="0">
      <alignment horizontal="general" vertical="center" wrapText="1"/>
    </xf>
    <xf numFmtId="0" fontId="33" fillId="0" borderId="0" applyAlignment="1" pivotButton="0" quotePrefix="0" xfId="0">
      <alignment horizontal="right" vertical="bottom"/>
    </xf>
    <xf numFmtId="174" fontId="33" fillId="0" borderId="0" applyAlignment="1" pivotButton="0" quotePrefix="0" xfId="0">
      <alignment horizontal="general" vertical="bottom"/>
    </xf>
    <xf numFmtId="174" fontId="14" fillId="0" borderId="0" applyAlignment="1" pivotButton="0" quotePrefix="0" xfId="0">
      <alignment horizontal="general" vertical="bottom"/>
    </xf>
    <xf numFmtId="174" fontId="14" fillId="0" borderId="79" applyAlignment="1" pivotButton="0" quotePrefix="0" xfId="0">
      <alignment horizontal="general" vertical="bottom"/>
    </xf>
    <xf numFmtId="0" fontId="106" fillId="14" borderId="81" applyAlignment="1" pivotButton="0" quotePrefix="0" xfId="0">
      <alignment horizontal="general" vertical="center" wrapText="1"/>
    </xf>
    <xf numFmtId="174" fontId="108" fillId="0" borderId="76" applyAlignment="1" pivotButton="0" quotePrefix="0" xfId="0">
      <alignment horizontal="general" vertical="bottom"/>
    </xf>
    <xf numFmtId="174" fontId="108" fillId="0" borderId="73" applyAlignment="1" pivotButton="0" quotePrefix="0" xfId="0">
      <alignment horizontal="general" vertical="bottom"/>
    </xf>
    <xf numFmtId="174" fontId="108" fillId="0" borderId="0" applyAlignment="1" pivotButton="0" quotePrefix="0" xfId="0">
      <alignment horizontal="general" vertical="bottom"/>
    </xf>
    <xf numFmtId="0" fontId="140" fillId="14" borderId="81" applyAlignment="1" pivotButton="0" quotePrefix="0" xfId="0">
      <alignment horizontal="left" vertical="center" wrapText="1"/>
    </xf>
    <xf numFmtId="164" fontId="108" fillId="0" borderId="0" applyAlignment="1" pivotButton="0" quotePrefix="0" xfId="0">
      <alignment horizontal="general" vertical="bottom"/>
    </xf>
    <xf numFmtId="0" fontId="105" fillId="14" borderId="95" applyAlignment="1" pivotButton="0" quotePrefix="0" xfId="0">
      <alignment horizontal="center"/>
    </xf>
    <xf numFmtId="164" fontId="108" fillId="0" borderId="76" applyAlignment="1" pivotButton="0" quotePrefix="0" xfId="0">
      <alignment horizontal="general" vertical="bottom" shrinkToFit="1"/>
    </xf>
    <xf numFmtId="0" fontId="137" fillId="14" borderId="81" applyAlignment="1" pivotButton="0" quotePrefix="0" xfId="0">
      <alignment horizontal="general" vertical="bottom" wrapText="1"/>
    </xf>
    <xf numFmtId="164" fontId="108" fillId="0" borderId="0" applyAlignment="1" pivotButton="0" quotePrefix="0" xfId="0">
      <alignment horizontal="general" vertical="bottom" shrinkToFit="1"/>
    </xf>
    <xf numFmtId="0" fontId="140" fillId="14" borderId="81" applyAlignment="1" pivotButton="0" quotePrefix="0" xfId="0">
      <alignment horizontal="general" vertical="center" wrapText="1"/>
    </xf>
    <xf numFmtId="0" fontId="109" fillId="14" borderId="81" applyAlignment="1" pivotButton="0" quotePrefix="0" xfId="0">
      <alignment horizontal="general" vertical="center" wrapText="1"/>
    </xf>
    <xf numFmtId="0" fontId="138" fillId="14" borderId="81" applyAlignment="1" pivotButton="0" quotePrefix="0" xfId="0">
      <alignment horizontal="left" vertical="center" wrapText="1"/>
    </xf>
    <xf numFmtId="168" fontId="108" fillId="17" borderId="84" applyAlignment="1" pivotButton="0" quotePrefix="0" xfId="0">
      <alignment horizontal="center" vertical="bottom"/>
    </xf>
    <xf numFmtId="0" fontId="137" fillId="17" borderId="81" applyAlignment="1" pivotButton="0" quotePrefix="0" xfId="0">
      <alignment horizontal="general" vertical="bottom" wrapText="1"/>
    </xf>
    <xf numFmtId="0" fontId="140" fillId="17" borderId="81" applyAlignment="1" pivotButton="0" quotePrefix="0" xfId="0">
      <alignment horizontal="general" vertical="center" wrapText="1"/>
    </xf>
    <xf numFmtId="0" fontId="140" fillId="17" borderId="85" applyAlignment="1" pivotButton="0" quotePrefix="0" xfId="0">
      <alignment horizontal="general" vertical="center" wrapText="1"/>
    </xf>
    <xf numFmtId="0" fontId="109" fillId="14" borderId="81" applyAlignment="1" pivotButton="0" quotePrefix="0" xfId="0">
      <alignment horizontal="left" vertical="center" wrapText="1"/>
    </xf>
    <xf numFmtId="0" fontId="109" fillId="14" borderId="85" applyAlignment="1" pivotButton="0" quotePrefix="0" xfId="0">
      <alignment horizontal="general" vertical="center" wrapText="1"/>
    </xf>
    <xf numFmtId="164" fontId="108" fillId="0" borderId="96" applyAlignment="1" pivotButton="0" quotePrefix="0" xfId="0">
      <alignment horizontal="general" vertical="bottom"/>
    </xf>
    <xf numFmtId="0" fontId="106" fillId="14" borderId="72" applyAlignment="1" pivotButton="0" quotePrefix="0" xfId="0">
      <alignment horizontal="general" vertical="center"/>
    </xf>
    <xf numFmtId="0" fontId="106" fillId="14" borderId="0" applyAlignment="1" pivotButton="0" quotePrefix="0" xfId="0">
      <alignment horizontal="general" vertical="center"/>
    </xf>
    <xf numFmtId="0" fontId="108" fillId="14" borderId="0" applyAlignment="1" pivotButton="0" quotePrefix="0" xfId="0">
      <alignment horizontal="general" vertical="bottom"/>
    </xf>
    <xf numFmtId="172" fontId="101" fillId="14" borderId="70" applyAlignment="1" pivotButton="0" quotePrefix="0" xfId="0">
      <alignment horizontal="right" vertical="center"/>
    </xf>
    <xf numFmtId="174" fontId="141" fillId="0" borderId="0" applyAlignment="1" pivotButton="0" quotePrefix="0" xfId="0">
      <alignment horizontal="general" vertical="bottom"/>
    </xf>
    <xf numFmtId="175" fontId="142" fillId="20" borderId="0" applyAlignment="1" pivotButton="0" quotePrefix="0" xfId="0">
      <alignment horizontal="center" vertical="bottom" shrinkToFit="1"/>
    </xf>
    <xf numFmtId="174" fontId="143" fillId="20" borderId="0" applyAlignment="1" pivotButton="0" quotePrefix="0" xfId="0">
      <alignment horizontal="left" vertical="center"/>
    </xf>
    <xf numFmtId="174" fontId="14" fillId="20" borderId="0" applyAlignment="1" pivotButton="0" quotePrefix="0" xfId="0">
      <alignment horizontal="general" vertical="bottom"/>
    </xf>
    <xf numFmtId="174" fontId="148" fillId="0" borderId="97" applyAlignment="1" pivotButton="0" quotePrefix="0" xfId="0">
      <alignment horizontal="left"/>
    </xf>
    <xf numFmtId="0" fontId="0" fillId="0" borderId="97" pivotButton="0" quotePrefix="0" xfId="0"/>
    <xf numFmtId="1" fontId="114" fillId="0" borderId="112" applyAlignment="1" pivotButton="0" quotePrefix="0" xfId="0">
      <alignment horizontal="center"/>
    </xf>
    <xf numFmtId="0" fontId="151" fillId="0" borderId="0" pivotButton="0" quotePrefix="0" xfId="0"/>
    <xf numFmtId="174" fontId="118" fillId="0" borderId="81" applyAlignment="1" pivotButton="0" quotePrefix="0" xfId="0">
      <alignment horizontal="center" vertical="center"/>
    </xf>
    <xf numFmtId="0" fontId="0" fillId="0" borderId="98" pivotButton="0" quotePrefix="0" xfId="0"/>
    <xf numFmtId="174" fontId="131" fillId="0" borderId="81" applyAlignment="1" pivotButton="0" quotePrefix="0" xfId="0">
      <alignment horizontal="center" vertical="center"/>
    </xf>
    <xf numFmtId="0" fontId="149" fillId="0" borderId="0" pivotButton="0" quotePrefix="0" xfId="0"/>
    <xf numFmtId="0" fontId="150" fillId="23" borderId="0" applyAlignment="1" pivotButton="0" quotePrefix="0" xfId="0">
      <alignment horizontal="center" vertical="center" wrapText="1"/>
    </xf>
    <xf numFmtId="174" fontId="118" fillId="0" borderId="81" applyAlignment="1" pivotButton="0" quotePrefix="0" xfId="0">
      <alignment horizontal="general" vertical="center"/>
    </xf>
    <xf numFmtId="174" fontId="144" fillId="0" borderId="81" applyAlignment="1" pivotButton="0" quotePrefix="0" xfId="0">
      <alignment horizontal="general" vertical="bottom"/>
    </xf>
    <xf numFmtId="174" fontId="130" fillId="16" borderId="81" applyAlignment="1" pivotButton="0" quotePrefix="0" xfId="0">
      <alignment horizontal="general" vertical="bottom"/>
    </xf>
    <xf numFmtId="174" fontId="144" fillId="16" borderId="81" applyAlignment="1" pivotButton="0" quotePrefix="0" xfId="0">
      <alignment horizontal="general" vertical="bottom"/>
    </xf>
    <xf numFmtId="172" fontId="102" fillId="0" borderId="0" applyAlignment="1" pivotButton="0" quotePrefix="0" xfId="0">
      <alignment horizontal="right" vertical="center"/>
    </xf>
    <xf numFmtId="174" fontId="119" fillId="0" borderId="81" applyAlignment="1" pivotButton="0" quotePrefix="0" xfId="0">
      <alignment horizontal="center" vertical="center" wrapText="1"/>
    </xf>
    <xf numFmtId="174" fontId="117" fillId="0" borderId="99" applyAlignment="1" pivotButton="0" quotePrefix="0" xfId="0">
      <alignment horizontal="general" vertical="center"/>
    </xf>
    <xf numFmtId="174" fontId="144" fillId="0" borderId="99" applyAlignment="1" pivotButton="0" quotePrefix="0" xfId="0">
      <alignment horizontal="general" vertical="bottom"/>
    </xf>
    <xf numFmtId="174" fontId="130" fillId="0" borderId="99" applyAlignment="1" pivotButton="0" quotePrefix="0" xfId="0">
      <alignment horizontal="general" vertical="bottom"/>
    </xf>
    <xf numFmtId="0" fontId="0" fillId="0" borderId="100" pivotButton="0" quotePrefix="0" xfId="0"/>
    <xf numFmtId="174" fontId="117" fillId="0" borderId="101" applyAlignment="1" pivotButton="0" quotePrefix="0" xfId="0">
      <alignment horizontal="general" vertical="center"/>
    </xf>
    <xf numFmtId="174" fontId="144" fillId="0" borderId="101" applyAlignment="1" pivotButton="0" quotePrefix="0" xfId="0">
      <alignment horizontal="general" vertical="bottom"/>
    </xf>
    <xf numFmtId="174" fontId="130" fillId="0" borderId="101" applyAlignment="1" pivotButton="0" quotePrefix="0" xfId="0">
      <alignment horizontal="general" vertical="bottom"/>
    </xf>
    <xf numFmtId="174" fontId="119" fillId="0" borderId="101" applyAlignment="1" pivotButton="0" quotePrefix="0" xfId="0">
      <alignment horizontal="general" vertical="center"/>
    </xf>
    <xf numFmtId="174" fontId="119" fillId="0" borderId="102" applyAlignment="1" pivotButton="0" quotePrefix="0" xfId="0">
      <alignment horizontal="general" vertical="center"/>
    </xf>
    <xf numFmtId="174" fontId="144" fillId="0" borderId="102" applyAlignment="1" pivotButton="0" quotePrefix="0" xfId="0">
      <alignment horizontal="general" vertical="bottom"/>
    </xf>
    <xf numFmtId="174" fontId="130" fillId="0" borderId="102" applyAlignment="1" pivotButton="0" quotePrefix="0" xfId="0">
      <alignment horizontal="general" vertical="bottom"/>
    </xf>
    <xf numFmtId="0" fontId="0" fillId="0" borderId="75" pivotButton="0" quotePrefix="0" xfId="0"/>
    <xf numFmtId="174" fontId="117" fillId="0" borderId="98" applyAlignment="1" pivotButton="0" quotePrefix="0" xfId="0">
      <alignment horizontal="center" vertical="center"/>
    </xf>
    <xf numFmtId="174" fontId="130" fillId="0" borderId="81" applyAlignment="1" pivotButton="0" quotePrefix="0" xfId="0">
      <alignment horizontal="general" vertical="bottom"/>
    </xf>
    <xf numFmtId="172" fontId="115" fillId="15" borderId="0" applyAlignment="1" pivotButton="0" quotePrefix="0" xfId="0">
      <alignment horizontal="right" vertical="center"/>
    </xf>
    <xf numFmtId="174" fontId="118" fillId="0" borderId="81" applyAlignment="1" pivotButton="0" quotePrefix="0" xfId="0">
      <alignment horizontal="left" vertical="center" wrapText="1"/>
    </xf>
    <xf numFmtId="174" fontId="117" fillId="0" borderId="81" applyAlignment="1" pivotButton="0" quotePrefix="0" xfId="0">
      <alignment horizontal="center" vertical="center" wrapText="1"/>
    </xf>
    <xf numFmtId="174" fontId="117" fillId="0" borderId="103" applyAlignment="1" pivotButton="0" quotePrefix="0" xfId="0">
      <alignment horizontal="general" vertical="center"/>
    </xf>
    <xf numFmtId="174" fontId="117" fillId="0" borderId="102" applyAlignment="1" pivotButton="0" quotePrefix="0" xfId="0">
      <alignment horizontal="general" vertical="center"/>
    </xf>
    <xf numFmtId="174" fontId="130" fillId="16" borderId="75" applyAlignment="1" pivotButton="0" quotePrefix="0" xfId="0">
      <alignment horizontal="general" vertical="bottom"/>
    </xf>
    <xf numFmtId="0" fontId="118" fillId="0" borderId="81" applyAlignment="1" pivotButton="0" quotePrefix="0" xfId="0">
      <alignment horizontal="left" vertical="center"/>
    </xf>
    <xf numFmtId="174" fontId="118" fillId="0" borderId="81" applyAlignment="1" pivotButton="0" quotePrefix="0" xfId="0">
      <alignment horizontal="left" vertical="center"/>
    </xf>
    <xf numFmtId="174" fontId="118" fillId="0" borderId="104" applyAlignment="1" pivotButton="0" quotePrefix="0" xfId="0">
      <alignment horizontal="center" vertical="center" textRotation="255" wrapText="1"/>
    </xf>
    <xf numFmtId="174" fontId="131" fillId="0" borderId="85" applyAlignment="1" pivotButton="0" quotePrefix="0" xfId="0">
      <alignment horizontal="general" vertical="center"/>
    </xf>
    <xf numFmtId="0" fontId="0" fillId="0" borderId="105" pivotButton="0" quotePrefix="0" xfId="0"/>
    <xf numFmtId="174" fontId="118" fillId="0" borderId="99" applyAlignment="1" pivotButton="0" quotePrefix="0" xfId="0">
      <alignment horizontal="general" vertical="center"/>
    </xf>
    <xf numFmtId="174" fontId="130" fillId="0" borderId="106" applyAlignment="1" pivotButton="0" quotePrefix="0" xfId="0">
      <alignment horizontal="general" vertical="bottom"/>
    </xf>
    <xf numFmtId="174" fontId="144" fillId="0" borderId="101" applyAlignment="1" pivotButton="0" quotePrefix="0" xfId="0">
      <alignment horizontal="right" vertical="center"/>
    </xf>
    <xf numFmtId="174" fontId="130" fillId="0" borderId="101" applyAlignment="1" pivotButton="0" quotePrefix="0" xfId="0">
      <alignment horizontal="right" vertical="center"/>
    </xf>
    <xf numFmtId="174" fontId="118" fillId="0" borderId="101" applyAlignment="1" pivotButton="0" quotePrefix="0" xfId="0">
      <alignment horizontal="general" vertical="center" shrinkToFit="1"/>
    </xf>
    <xf numFmtId="174" fontId="118" fillId="0" borderId="101" applyAlignment="1" pivotButton="0" quotePrefix="0" xfId="0">
      <alignment horizontal="general" vertical="center"/>
    </xf>
    <xf numFmtId="174" fontId="118" fillId="0" borderId="103" applyAlignment="1" pivotButton="0" quotePrefix="0" xfId="0">
      <alignment horizontal="general" vertical="center"/>
    </xf>
    <xf numFmtId="0" fontId="0" fillId="0" borderId="106" pivotButton="0" quotePrefix="0" xfId="0"/>
    <xf numFmtId="174" fontId="130" fillId="0" borderId="75" applyAlignment="1" pivotButton="0" quotePrefix="0" xfId="0">
      <alignment horizontal="general" vertical="bottom"/>
    </xf>
    <xf numFmtId="174" fontId="144" fillId="0" borderId="75" applyAlignment="1" pivotButton="0" quotePrefix="0" xfId="0">
      <alignment horizontal="general" vertical="bottom"/>
    </xf>
    <xf numFmtId="0" fontId="0" fillId="0" borderId="107" pivotButton="0" quotePrefix="0" xfId="0"/>
    <xf numFmtId="174" fontId="117" fillId="0" borderId="81" applyAlignment="1" pivotButton="0" quotePrefix="0" xfId="0">
      <alignment horizontal="general" vertical="center"/>
    </xf>
    <xf numFmtId="174" fontId="118" fillId="0" borderId="0" applyAlignment="1" pivotButton="0" quotePrefix="0" xfId="0">
      <alignment horizontal="general" vertical="bottom"/>
    </xf>
    <xf numFmtId="174" fontId="118" fillId="21" borderId="81" applyAlignment="1" pivotButton="0" quotePrefix="0" xfId="0">
      <alignment horizontal="center" vertical="center"/>
    </xf>
    <xf numFmtId="174" fontId="33" fillId="21" borderId="81" applyAlignment="1" pivotButton="0" quotePrefix="0" xfId="0">
      <alignment horizontal="general" vertical="bottom"/>
    </xf>
    <xf numFmtId="174" fontId="145" fillId="21" borderId="81" applyAlignment="1" pivotButton="0" quotePrefix="0" xfId="0">
      <alignment horizontal="general" vertical="bottom"/>
    </xf>
    <xf numFmtId="174" fontId="33" fillId="21" borderId="105" applyAlignment="1" pivotButton="0" quotePrefix="0" xfId="0">
      <alignment horizontal="general" vertical="bottom"/>
    </xf>
    <xf numFmtId="174" fontId="116" fillId="0" borderId="108" applyAlignment="1" pivotButton="0" quotePrefix="0" xfId="0">
      <alignment horizontal="center" vertical="center"/>
    </xf>
    <xf numFmtId="0" fontId="0" fillId="0" borderId="108" pivotButton="0" quotePrefix="0" xfId="0"/>
    <xf numFmtId="174" fontId="131" fillId="0" borderId="81" applyAlignment="1" pivotButton="0" quotePrefix="0" xfId="0">
      <alignment horizontal="general" vertical="center" shrinkToFit="1"/>
    </xf>
    <xf numFmtId="174" fontId="144" fillId="0" borderId="85" applyAlignment="1" pivotButton="0" quotePrefix="0" xfId="0">
      <alignment horizontal="general" vertical="bottom" shrinkToFit="1"/>
    </xf>
    <xf numFmtId="174" fontId="130" fillId="0" borderId="85" applyAlignment="1" pivotButton="0" quotePrefix="0" xfId="0">
      <alignment horizontal="general" vertical="bottom" shrinkToFit="1"/>
    </xf>
    <xf numFmtId="174" fontId="33" fillId="14" borderId="85" applyAlignment="1" pivotButton="0" quotePrefix="0" xfId="0">
      <alignment horizontal="general" vertical="bottom" shrinkToFit="1"/>
    </xf>
    <xf numFmtId="174" fontId="117" fillId="0" borderId="81" applyAlignment="1" pivotButton="0" quotePrefix="0" xfId="0">
      <alignment horizontal="general" vertical="center" shrinkToFit="1"/>
    </xf>
    <xf numFmtId="174" fontId="33" fillId="14" borderId="81" applyAlignment="1" pivotButton="0" quotePrefix="0" xfId="0">
      <alignment horizontal="general" vertical="bottom" shrinkToFit="1"/>
    </xf>
    <xf numFmtId="174" fontId="117" fillId="0" borderId="81" applyAlignment="1" pivotButton="0" quotePrefix="0" xfId="0">
      <alignment horizontal="left" vertical="center" shrinkToFit="1"/>
    </xf>
    <xf numFmtId="174" fontId="117" fillId="0" borderId="81" applyAlignment="1" pivotButton="0" quotePrefix="0" xfId="0">
      <alignment horizontal="center" vertical="center" shrinkToFit="1"/>
    </xf>
    <xf numFmtId="174" fontId="130" fillId="0" borderId="81" applyAlignment="1" pivotButton="0" quotePrefix="0" xfId="0">
      <alignment horizontal="general" vertical="bottom" shrinkToFit="1"/>
    </xf>
    <xf numFmtId="174" fontId="33" fillId="0" borderId="81" applyAlignment="1" pivotButton="0" quotePrefix="0" xfId="0">
      <alignment horizontal="general" vertical="bottom" shrinkToFit="1"/>
    </xf>
    <xf numFmtId="174" fontId="75" fillId="0" borderId="0" applyAlignment="1" pivotButton="0" quotePrefix="0" xfId="0">
      <alignment horizontal="general" vertical="bottom"/>
    </xf>
    <xf numFmtId="174" fontId="130" fillId="14" borderId="109" applyAlignment="1" pivotButton="0" quotePrefix="0" xfId="0">
      <alignment horizontal="general" vertical="bottom" shrinkToFit="1"/>
    </xf>
    <xf numFmtId="174" fontId="117" fillId="22" borderId="90" applyAlignment="1" pivotButton="0" quotePrefix="0" xfId="0">
      <alignment horizontal="center" vertical="center" shrinkToFit="1"/>
    </xf>
    <xf numFmtId="0" fontId="0" fillId="0" borderId="91" pivotButton="0" quotePrefix="0" xfId="0"/>
    <xf numFmtId="174" fontId="130" fillId="0" borderId="90" applyAlignment="1" pivotButton="0" quotePrefix="0" xfId="0">
      <alignment horizontal="general" vertical="bottom" shrinkToFit="1"/>
    </xf>
    <xf numFmtId="174" fontId="33" fillId="0" borderId="90" applyAlignment="1" pivotButton="0" quotePrefix="0" xfId="0">
      <alignment horizontal="general" vertical="bottom" shrinkToFit="1"/>
    </xf>
    <xf numFmtId="174" fontId="117" fillId="0" borderId="0" applyAlignment="1" pivotButton="0" quotePrefix="0" xfId="0">
      <alignment horizontal="general" vertical="bottom"/>
    </xf>
    <xf numFmtId="174" fontId="146" fillId="0" borderId="0" applyAlignment="1" pivotButton="0" quotePrefix="0" xfId="0">
      <alignment horizontal="general" vertical="bottom"/>
    </xf>
    <xf numFmtId="174" fontId="75" fillId="14" borderId="0" applyAlignment="1" pivotButton="0" quotePrefix="0" xfId="0">
      <alignment horizontal="general" vertical="bottom"/>
    </xf>
    <xf numFmtId="174" fontId="147" fillId="0" borderId="0" applyAlignment="1" pivotButton="0" quotePrefix="0" xfId="0">
      <alignment horizontal="center" vertical="bottom"/>
    </xf>
    <xf numFmtId="175" fontId="152" fillId="24" borderId="0" applyAlignment="1" pivotButton="0" quotePrefix="0" xfId="0">
      <alignment horizontal="center" vertical="bottom" shrinkToFit="1"/>
    </xf>
    <xf numFmtId="174" fontId="143" fillId="24" borderId="0" applyAlignment="1" pivotButton="0" quotePrefix="0" xfId="0">
      <alignment horizontal="left" vertical="center"/>
    </xf>
    <xf numFmtId="174" fontId="14" fillId="24" borderId="0" applyAlignment="1" pivotButton="0" quotePrefix="0" xfId="0">
      <alignment horizontal="general" vertical="bottom"/>
    </xf>
    <xf numFmtId="174" fontId="131" fillId="17" borderId="81" applyAlignment="1" pivotButton="0" quotePrefix="0" xfId="0">
      <alignment horizontal="center" vertical="center"/>
    </xf>
    <xf numFmtId="174" fontId="106" fillId="0" borderId="81" applyAlignment="1" pivotButton="0" quotePrefix="0" xfId="0">
      <alignment horizontal="general" vertical="bottom"/>
    </xf>
    <xf numFmtId="174" fontId="33" fillId="14" borderId="81" applyAlignment="1" pivotButton="0" quotePrefix="0" xfId="0">
      <alignment horizontal="general" vertical="bottom"/>
    </xf>
    <xf numFmtId="1" fontId="149" fillId="0" borderId="0" pivotButton="0" quotePrefix="0" xfId="0"/>
    <xf numFmtId="172" fontId="153" fillId="0" borderId="0" pivotButton="0" quotePrefix="0" xfId="0"/>
    <xf numFmtId="174" fontId="33" fillId="0" borderId="99" applyAlignment="1" pivotButton="0" quotePrefix="0" xfId="0">
      <alignment horizontal="general" vertical="bottom"/>
    </xf>
    <xf numFmtId="174" fontId="133" fillId="0" borderId="99" applyAlignment="1" pivotButton="0" quotePrefix="0" xfId="0">
      <alignment horizontal="general" vertical="bottom"/>
    </xf>
    <xf numFmtId="174" fontId="67" fillId="0" borderId="99" applyAlignment="1" pivotButton="0" quotePrefix="0" xfId="0">
      <alignment horizontal="general" vertical="bottom"/>
    </xf>
    <xf numFmtId="174" fontId="33" fillId="14" borderId="99" applyAlignment="1" pivotButton="0" quotePrefix="0" xfId="0">
      <alignment horizontal="general" vertical="bottom"/>
    </xf>
    <xf numFmtId="174" fontId="33" fillId="0" borderId="101" applyAlignment="1" pivotButton="0" quotePrefix="0" xfId="0">
      <alignment horizontal="general" vertical="bottom"/>
    </xf>
    <xf numFmtId="174" fontId="133" fillId="0" borderId="101" applyAlignment="1" pivotButton="0" quotePrefix="0" xfId="0">
      <alignment horizontal="general" vertical="bottom"/>
    </xf>
    <xf numFmtId="174" fontId="67" fillId="0" borderId="101" applyAlignment="1" pivotButton="0" quotePrefix="0" xfId="0">
      <alignment horizontal="general" vertical="bottom"/>
    </xf>
    <xf numFmtId="174" fontId="33" fillId="14" borderId="101" applyAlignment="1" pivotButton="0" quotePrefix="0" xfId="0">
      <alignment horizontal="general" vertical="bottom"/>
    </xf>
    <xf numFmtId="174" fontId="130" fillId="14" borderId="102" applyAlignment="1" pivotButton="0" quotePrefix="0" xfId="0">
      <alignment horizontal="general" vertical="bottom"/>
    </xf>
    <xf numFmtId="174" fontId="33" fillId="14" borderId="102" applyAlignment="1" pivotButton="0" quotePrefix="0" xfId="0">
      <alignment horizontal="general" vertical="bottom"/>
    </xf>
    <xf numFmtId="174" fontId="130" fillId="26" borderId="102" applyAlignment="1" pivotButton="0" quotePrefix="0" xfId="0">
      <alignment horizontal="general" vertical="bottom"/>
    </xf>
    <xf numFmtId="174" fontId="130" fillId="26" borderId="81" applyAlignment="1" pivotButton="0" quotePrefix="0" xfId="0">
      <alignment horizontal="general" vertical="bottom"/>
    </xf>
    <xf numFmtId="174" fontId="106" fillId="26" borderId="81" applyAlignment="1" pivotButton="0" quotePrefix="0" xfId="0">
      <alignment horizontal="general" vertical="bottom"/>
    </xf>
    <xf numFmtId="174" fontId="117" fillId="0" borderId="85" applyAlignment="1" pivotButton="0" quotePrefix="0" xfId="0">
      <alignment horizontal="general" vertical="center"/>
    </xf>
    <xf numFmtId="174" fontId="106" fillId="0" borderId="85" applyAlignment="1" pivotButton="0" quotePrefix="0" xfId="0">
      <alignment horizontal="general" vertical="bottom"/>
    </xf>
    <xf numFmtId="174" fontId="106" fillId="0" borderId="99" applyAlignment="1" pivotButton="0" quotePrefix="0" xfId="0">
      <alignment horizontal="general" vertical="bottom"/>
    </xf>
    <xf numFmtId="174" fontId="106" fillId="26" borderId="85" applyAlignment="1" pivotButton="0" quotePrefix="0" xfId="0">
      <alignment horizontal="general" vertical="bottom"/>
    </xf>
    <xf numFmtId="174" fontId="130" fillId="0" borderId="85" applyAlignment="1" pivotButton="0" quotePrefix="0" xfId="0">
      <alignment horizontal="general" vertical="bottom"/>
    </xf>
    <xf numFmtId="174" fontId="33" fillId="14" borderId="85" applyAlignment="1" pivotButton="0" quotePrefix="0" xfId="0">
      <alignment horizontal="general" vertical="bottom"/>
    </xf>
    <xf numFmtId="174" fontId="130" fillId="26" borderId="85" applyAlignment="1" pivotButton="0" quotePrefix="0" xfId="0">
      <alignment horizontal="general" vertical="bottom"/>
    </xf>
    <xf numFmtId="174" fontId="106" fillId="0" borderId="101" applyAlignment="1" pivotButton="0" quotePrefix="0" xfId="0">
      <alignment horizontal="general" vertical="bottom"/>
    </xf>
    <xf numFmtId="174" fontId="106" fillId="26" borderId="101" applyAlignment="1" pivotButton="0" quotePrefix="0" xfId="0">
      <alignment horizontal="general" vertical="bottom"/>
    </xf>
    <xf numFmtId="174" fontId="130" fillId="26" borderId="101" applyAlignment="1" pivotButton="0" quotePrefix="0" xfId="0">
      <alignment horizontal="general" vertical="bottom"/>
    </xf>
    <xf numFmtId="174" fontId="106" fillId="0" borderId="103" applyAlignment="1" pivotButton="0" quotePrefix="0" xfId="0">
      <alignment horizontal="general" vertical="bottom"/>
    </xf>
    <xf numFmtId="174" fontId="106" fillId="26" borderId="103" applyAlignment="1" pivotButton="0" quotePrefix="0" xfId="0">
      <alignment horizontal="general" vertical="bottom"/>
    </xf>
    <xf numFmtId="174" fontId="33" fillId="14" borderId="103" applyAlignment="1" pivotButton="0" quotePrefix="0" xfId="0">
      <alignment horizontal="general" vertical="bottom"/>
    </xf>
    <xf numFmtId="174" fontId="106" fillId="0" borderId="102" applyAlignment="1" pivotButton="0" quotePrefix="0" xfId="0">
      <alignment horizontal="general" vertical="bottom"/>
    </xf>
    <xf numFmtId="174" fontId="106" fillId="26" borderId="102" applyAlignment="1" pivotButton="0" quotePrefix="0" xfId="0">
      <alignment horizontal="general" vertical="bottom"/>
    </xf>
    <xf numFmtId="174" fontId="130" fillId="26" borderId="75" applyAlignment="1" pivotButton="0" quotePrefix="0" xfId="0">
      <alignment horizontal="general" vertical="bottom"/>
    </xf>
    <xf numFmtId="174" fontId="67" fillId="14" borderId="81" applyAlignment="1" pivotButton="0" quotePrefix="0" xfId="0">
      <alignment horizontal="general" vertical="bottom"/>
    </xf>
    <xf numFmtId="174" fontId="67" fillId="14" borderId="75" applyAlignment="1" pivotButton="0" quotePrefix="0" xfId="0">
      <alignment horizontal="general" vertical="bottom"/>
    </xf>
    <xf numFmtId="174" fontId="67" fillId="14" borderId="99" applyAlignment="1" pivotButton="0" quotePrefix="0" xfId="0">
      <alignment horizontal="general" vertical="bottom"/>
    </xf>
    <xf numFmtId="174" fontId="118" fillId="0" borderId="100" applyAlignment="1" pivotButton="0" quotePrefix="0" xfId="0">
      <alignment horizontal="general" vertical="center"/>
    </xf>
    <xf numFmtId="174" fontId="106" fillId="0" borderId="100" applyAlignment="1" pivotButton="0" quotePrefix="0" xfId="0">
      <alignment horizontal="general" vertical="bottom"/>
    </xf>
    <xf numFmtId="174" fontId="106" fillId="25" borderId="100" applyAlignment="1" pivotButton="0" quotePrefix="0" xfId="0">
      <alignment horizontal="general" vertical="bottom"/>
    </xf>
    <xf numFmtId="174" fontId="33" fillId="14" borderId="101" applyAlignment="1" pivotButton="0" quotePrefix="0" xfId="0">
      <alignment horizontal="general" vertical="center"/>
    </xf>
    <xf numFmtId="174" fontId="67" fillId="14" borderId="101" applyAlignment="1" pivotButton="0" quotePrefix="0" xfId="0">
      <alignment horizontal="center" vertical="center"/>
    </xf>
    <xf numFmtId="174" fontId="130" fillId="0" borderId="101" applyAlignment="1" pivotButton="0" quotePrefix="0" xfId="0">
      <alignment horizontal="general" vertical="center"/>
    </xf>
    <xf numFmtId="174" fontId="106" fillId="25" borderId="101" applyAlignment="1" pivotButton="0" quotePrefix="0" xfId="0">
      <alignment horizontal="general" vertical="bottom"/>
    </xf>
    <xf numFmtId="174" fontId="118" fillId="0" borderId="75" applyAlignment="1" pivotButton="0" quotePrefix="0" xfId="0">
      <alignment horizontal="general" vertical="center"/>
    </xf>
    <xf numFmtId="174" fontId="106" fillId="0" borderId="75" applyAlignment="1" pivotButton="0" quotePrefix="0" xfId="0">
      <alignment horizontal="general" vertical="bottom"/>
    </xf>
    <xf numFmtId="174" fontId="106" fillId="25" borderId="75" applyAlignment="1" pivotButton="0" quotePrefix="0" xfId="0">
      <alignment horizontal="general" vertical="bottom"/>
    </xf>
    <xf numFmtId="174" fontId="33" fillId="14" borderId="75" applyAlignment="1" pivotButton="0" quotePrefix="0" xfId="0">
      <alignment horizontal="general" vertical="bottom"/>
    </xf>
    <xf numFmtId="174" fontId="67" fillId="14" borderId="102" applyAlignment="1" pivotButton="0" quotePrefix="0" xfId="0">
      <alignment horizontal="general" vertical="bottom"/>
    </xf>
    <xf numFmtId="174" fontId="106" fillId="25" borderId="81" applyAlignment="1" pivotButton="0" quotePrefix="0" xfId="0">
      <alignment horizontal="general" vertical="bottom"/>
    </xf>
    <xf numFmtId="174" fontId="33" fillId="16" borderId="81" applyAlignment="1" pivotButton="0" quotePrefix="0" xfId="0">
      <alignment horizontal="general" vertical="bottom"/>
    </xf>
    <xf numFmtId="174" fontId="118" fillId="0" borderId="0" applyAlignment="1" pivotButton="0" quotePrefix="0" xfId="0">
      <alignment horizontal="center" vertical="bottom"/>
    </xf>
    <xf numFmtId="174" fontId="118" fillId="0" borderId="81" applyAlignment="1" pivotButton="0" quotePrefix="0" xfId="0">
      <alignment horizontal="center" vertical="center" shrinkToFit="1"/>
    </xf>
    <xf numFmtId="174" fontId="131" fillId="0" borderId="81" applyAlignment="1" pivotButton="0" quotePrefix="0" xfId="0">
      <alignment horizontal="general" vertical="center"/>
    </xf>
    <xf numFmtId="174" fontId="67" fillId="14" borderId="85" applyAlignment="1" pivotButton="0" quotePrefix="0" xfId="0">
      <alignment horizontal="general" vertical="bottom"/>
    </xf>
    <xf numFmtId="174" fontId="133" fillId="14" borderId="85" applyAlignment="1" pivotButton="0" quotePrefix="0" xfId="0">
      <alignment horizontal="general" vertical="bottom"/>
    </xf>
    <xf numFmtId="174" fontId="133" fillId="14" borderId="85" applyAlignment="1" pivotButton="0" quotePrefix="0" xfId="0">
      <alignment horizontal="general" vertical="bottom" shrinkToFit="1"/>
    </xf>
    <xf numFmtId="174" fontId="133" fillId="14" borderId="81" applyAlignment="1" pivotButton="0" quotePrefix="0" xfId="0">
      <alignment horizontal="general" vertical="bottom"/>
    </xf>
    <xf numFmtId="176" fontId="66" fillId="14" borderId="81" applyAlignment="1" pivotButton="0" quotePrefix="0" xfId="0">
      <alignment horizontal="center" vertical="bottom" shrinkToFit="1"/>
    </xf>
    <xf numFmtId="174" fontId="133" fillId="14" borderId="81" applyAlignment="1" pivotButton="0" quotePrefix="0" xfId="0">
      <alignment horizontal="general" vertical="bottom" shrinkToFit="1"/>
    </xf>
    <xf numFmtId="174" fontId="67" fillId="14" borderId="81" applyAlignment="1" pivotButton="0" quotePrefix="0" xfId="0">
      <alignment horizontal="center" vertical="center"/>
    </xf>
    <xf numFmtId="174" fontId="117" fillId="0" borderId="81" applyAlignment="1" pivotButton="0" quotePrefix="0" xfId="0">
      <alignment horizontal="center" vertical="center"/>
    </xf>
    <xf numFmtId="174" fontId="117" fillId="22" borderId="90" applyAlignment="1" pivotButton="0" quotePrefix="0" xfId="0">
      <alignment horizontal="center" vertical="center"/>
    </xf>
    <xf numFmtId="174" fontId="130" fillId="0" borderId="90" applyAlignment="1" pivotButton="0" quotePrefix="0" xfId="0">
      <alignment horizontal="general" vertical="bottom"/>
    </xf>
    <xf numFmtId="174" fontId="117" fillId="14" borderId="0" applyAlignment="1" pivotButton="0" quotePrefix="0" xfId="0">
      <alignment horizontal="general" vertical="bottom"/>
    </xf>
    <xf numFmtId="174" fontId="66" fillId="14" borderId="0" applyAlignment="1" pivotButton="0" quotePrefix="0" xfId="0">
      <alignment horizontal="general" vertical="bottom"/>
    </xf>
    <xf numFmtId="174" fontId="137" fillId="0" borderId="0" applyAlignment="1" pivotButton="0" quotePrefix="0" xfId="0">
      <alignment horizontal="general" vertical="bottom"/>
    </xf>
    <xf numFmtId="174" fontId="106" fillId="0" borderId="0" applyAlignment="1" pivotButton="0" quotePrefix="0" xfId="0">
      <alignment horizontal="general" vertical="bottom"/>
    </xf>
    <xf numFmtId="0" fontId="147" fillId="0" borderId="0" applyAlignment="1" pivotButton="0" quotePrefix="0" xfId="0">
      <alignment horizontal="center" vertical="bottom"/>
    </xf>
    <xf numFmtId="175" fontId="152" fillId="27" borderId="0" applyAlignment="1" pivotButton="0" quotePrefix="0" xfId="0">
      <alignment horizontal="center" vertical="bottom" shrinkToFit="1"/>
    </xf>
    <xf numFmtId="174" fontId="143" fillId="27" borderId="0" applyAlignment="1" pivotButton="0" quotePrefix="0" xfId="0">
      <alignment horizontal="left" vertical="center"/>
    </xf>
    <xf numFmtId="174" fontId="14" fillId="27" borderId="0" applyAlignment="1" pivotButton="0" quotePrefix="0" xfId="0">
      <alignment horizontal="general" vertical="bottom"/>
    </xf>
    <xf numFmtId="174" fontId="142" fillId="27" borderId="0" applyAlignment="1" pivotButton="0" quotePrefix="0" xfId="0">
      <alignment horizontal="center" vertical="center"/>
    </xf>
    <xf numFmtId="174" fontId="67" fillId="14" borderId="101" applyAlignment="1" pivotButton="0" quotePrefix="0" xfId="0">
      <alignment horizontal="general" vertical="bottom"/>
    </xf>
    <xf numFmtId="174" fontId="119" fillId="0" borderId="100" applyAlignment="1" pivotButton="0" quotePrefix="0" xfId="0">
      <alignment horizontal="general" vertical="center"/>
    </xf>
    <xf numFmtId="174" fontId="106" fillId="26" borderId="99" applyAlignment="1" pivotButton="0" quotePrefix="0" xfId="0">
      <alignment horizontal="general" vertical="bottom"/>
    </xf>
    <xf numFmtId="174" fontId="130" fillId="26" borderId="113" applyAlignment="1" pivotButton="0" quotePrefix="0" xfId="0">
      <alignment horizontal="general" vertical="bottom"/>
    </xf>
    <xf numFmtId="174" fontId="130" fillId="26" borderId="114" applyAlignment="1" pivotButton="0" quotePrefix="0" xfId="0">
      <alignment horizontal="general" vertical="bottom"/>
    </xf>
    <xf numFmtId="174" fontId="130" fillId="0" borderId="103" applyAlignment="1" pivotButton="0" quotePrefix="0" xfId="0">
      <alignment horizontal="general" vertical="bottom"/>
    </xf>
    <xf numFmtId="174" fontId="67" fillId="14" borderId="103" applyAlignment="1" pivotButton="0" quotePrefix="0" xfId="0">
      <alignment horizontal="general" vertical="bottom"/>
    </xf>
    <xf numFmtId="174" fontId="130" fillId="26" borderId="115" applyAlignment="1" pivotButton="0" quotePrefix="0" xfId="0">
      <alignment horizontal="general" vertical="bottom"/>
    </xf>
    <xf numFmtId="174" fontId="33" fillId="0" borderId="81" applyAlignment="1" pivotButton="0" quotePrefix="0" xfId="0">
      <alignment horizontal="general" vertical="bottom"/>
    </xf>
    <xf numFmtId="174" fontId="133" fillId="0" borderId="81" applyAlignment="1" pivotButton="0" quotePrefix="0" xfId="0">
      <alignment horizontal="general" vertical="bottom"/>
    </xf>
    <xf numFmtId="174" fontId="33" fillId="14" borderId="101" applyAlignment="1" pivotButton="0" quotePrefix="0" xfId="0">
      <alignment horizontal="right" vertical="center"/>
    </xf>
    <xf numFmtId="174" fontId="130" fillId="0" borderId="99" applyAlignment="1" pivotButton="0" quotePrefix="0" xfId="0">
      <alignment horizontal="right" vertical="center"/>
    </xf>
    <xf numFmtId="174" fontId="106" fillId="25" borderId="102" applyAlignment="1" pivotButton="0" quotePrefix="0" xfId="0">
      <alignment horizontal="general" vertical="bottom"/>
    </xf>
    <xf numFmtId="174" fontId="67" fillId="14" borderId="81" applyAlignment="1" pivotButton="0" quotePrefix="0" xfId="0">
      <alignment horizontal="general" vertical="bottom" shrinkToFit="1"/>
    </xf>
    <xf numFmtId="176" fontId="33" fillId="14" borderId="81" applyAlignment="1" pivotButton="0" quotePrefix="0" xfId="0">
      <alignment horizontal="center" vertical="bottom" shrinkToFit="1"/>
    </xf>
    <xf numFmtId="176" fontId="14" fillId="14" borderId="81" applyAlignment="1" pivotButton="0" quotePrefix="0" xfId="0">
      <alignment horizontal="center" vertical="bottom" shrinkToFit="1"/>
    </xf>
    <xf numFmtId="174" fontId="129" fillId="14" borderId="81" applyAlignment="1" pivotButton="0" quotePrefix="0" xfId="0">
      <alignment horizontal="center" vertical="center" shrinkToFit="1"/>
    </xf>
    <xf numFmtId="174" fontId="33" fillId="14" borderId="81" applyAlignment="1" pivotButton="0" quotePrefix="0" xfId="0">
      <alignment horizontal="center" vertical="center" shrinkToFit="1"/>
    </xf>
    <xf numFmtId="174" fontId="67" fillId="14" borderId="0" applyAlignment="1" pivotButton="0" quotePrefix="0" xfId="0">
      <alignment horizontal="general" vertical="bottom"/>
    </xf>
    <xf numFmtId="0" fontId="141" fillId="0" borderId="0" applyAlignment="1" pivotButton="0" quotePrefix="0" xfId="0">
      <alignment horizontal="general" vertical="bottom"/>
    </xf>
    <xf numFmtId="175" fontId="152" fillId="28" borderId="0" applyAlignment="1" pivotButton="0" quotePrefix="0" xfId="0">
      <alignment horizontal="center" vertical="bottom" shrinkToFit="1"/>
    </xf>
    <xf numFmtId="0" fontId="143" fillId="28" borderId="0" applyAlignment="1" pivotButton="0" quotePrefix="0" xfId="0">
      <alignment horizontal="left" vertical="center"/>
    </xf>
    <xf numFmtId="0" fontId="14" fillId="28" borderId="0" applyAlignment="1" pivotButton="0" quotePrefix="0" xfId="0">
      <alignment horizontal="general" vertical="bottom"/>
    </xf>
    <xf numFmtId="0" fontId="14" fillId="26" borderId="0" applyAlignment="1" pivotButton="0" quotePrefix="0" xfId="0">
      <alignment horizontal="general" vertical="bottom"/>
    </xf>
    <xf numFmtId="0" fontId="148" fillId="0" borderId="97" applyAlignment="1" pivotButton="0" quotePrefix="0" xfId="0">
      <alignment horizontal="left"/>
    </xf>
    <xf numFmtId="0" fontId="118" fillId="0" borderId="81" applyAlignment="1" pivotButton="0" quotePrefix="0" xfId="0">
      <alignment horizontal="center" vertical="center"/>
    </xf>
    <xf numFmtId="0" fontId="118" fillId="24" borderId="81" applyAlignment="1" pivotButton="0" quotePrefix="0" xfId="0">
      <alignment horizontal="center" vertical="center"/>
    </xf>
    <xf numFmtId="0" fontId="131" fillId="0" borderId="81" applyAlignment="1" pivotButton="0" quotePrefix="0" xfId="0">
      <alignment horizontal="right" vertical="center"/>
    </xf>
    <xf numFmtId="0" fontId="119" fillId="0" borderId="75" applyAlignment="1" pivotButton="0" quotePrefix="0" xfId="0">
      <alignment horizontal="center" vertical="center" wrapText="1"/>
    </xf>
    <xf numFmtId="0" fontId="117" fillId="0" borderId="75" applyAlignment="1" pivotButton="0" quotePrefix="0" xfId="0">
      <alignment horizontal="general" vertical="center"/>
    </xf>
    <xf numFmtId="167" fontId="154" fillId="0" borderId="75" applyAlignment="1" pivotButton="0" quotePrefix="0" xfId="0">
      <alignment horizontal="general" vertical="bottom"/>
    </xf>
    <xf numFmtId="167" fontId="154" fillId="24" borderId="75" applyAlignment="1" pivotButton="0" quotePrefix="0" xfId="0">
      <alignment horizontal="general" vertical="bottom"/>
    </xf>
    <xf numFmtId="167" fontId="130" fillId="24" borderId="75" applyAlignment="1" pivotButton="0" quotePrefix="0" xfId="0">
      <alignment horizontal="general" vertical="bottom"/>
    </xf>
    <xf numFmtId="167" fontId="130" fillId="14" borderId="75" applyAlignment="1" pivotButton="0" quotePrefix="0" xfId="0">
      <alignment horizontal="right" vertical="bottom"/>
    </xf>
    <xf numFmtId="167" fontId="130" fillId="0" borderId="100" applyAlignment="1" pivotButton="0" quotePrefix="0" xfId="0">
      <alignment horizontal="general" vertical="bottom"/>
    </xf>
    <xf numFmtId="167" fontId="33" fillId="14" borderId="75" applyAlignment="1" pivotButton="0" quotePrefix="0" xfId="0">
      <alignment horizontal="general" vertical="bottom"/>
    </xf>
    <xf numFmtId="167" fontId="67" fillId="14" borderId="75" applyAlignment="1" pivotButton="0" quotePrefix="0" xfId="0">
      <alignment horizontal="general" vertical="bottom"/>
    </xf>
    <xf numFmtId="167" fontId="130" fillId="0" borderId="75" applyAlignment="1" pivotButton="0" quotePrefix="0" xfId="0">
      <alignment horizontal="general" vertical="bottom"/>
    </xf>
    <xf numFmtId="169" fontId="130" fillId="0" borderId="75" applyAlignment="1" pivotButton="0" quotePrefix="0" xfId="0">
      <alignment horizontal="general" vertical="bottom"/>
    </xf>
    <xf numFmtId="0" fontId="117" fillId="0" borderId="115" applyAlignment="1" pivotButton="0" quotePrefix="0" xfId="0">
      <alignment horizontal="general" vertical="center"/>
    </xf>
    <xf numFmtId="167" fontId="130" fillId="14" borderId="115" applyAlignment="1" pivotButton="0" quotePrefix="0" xfId="0">
      <alignment horizontal="general" vertical="bottom"/>
    </xf>
    <xf numFmtId="167" fontId="67" fillId="14" borderId="115" applyAlignment="1" pivotButton="0" quotePrefix="0" xfId="0">
      <alignment horizontal="right" vertical="bottom"/>
    </xf>
    <xf numFmtId="167" fontId="130" fillId="0" borderId="116" applyAlignment="1" pivotButton="0" quotePrefix="0" xfId="0">
      <alignment horizontal="general" vertical="bottom"/>
    </xf>
    <xf numFmtId="167" fontId="33" fillId="14" borderId="117" applyAlignment="1" pivotButton="0" quotePrefix="0" xfId="0">
      <alignment horizontal="general" vertical="bottom"/>
    </xf>
    <xf numFmtId="167" fontId="67" fillId="14" borderId="89" applyAlignment="1" pivotButton="0" quotePrefix="0" xfId="0">
      <alignment horizontal="general" vertical="bottom"/>
    </xf>
    <xf numFmtId="167" fontId="130" fillId="0" borderId="118" applyAlignment="1" pivotButton="0" quotePrefix="0" xfId="0">
      <alignment horizontal="general" vertical="bottom"/>
    </xf>
    <xf numFmtId="169" fontId="130" fillId="0" borderId="100" applyAlignment="1" pivotButton="0" quotePrefix="0" xfId="0">
      <alignment horizontal="general" vertical="bottom"/>
    </xf>
    <xf numFmtId="0" fontId="117" fillId="0" borderId="98" applyAlignment="1" pivotButton="0" quotePrefix="0" xfId="0">
      <alignment horizontal="center" vertical="center"/>
    </xf>
    <xf numFmtId="167" fontId="130" fillId="0" borderId="81" applyAlignment="1" pivotButton="0" quotePrefix="0" xfId="0">
      <alignment horizontal="general" vertical="bottom"/>
    </xf>
    <xf numFmtId="167" fontId="130" fillId="0" borderId="81" applyAlignment="1" pivotButton="0" quotePrefix="0" xfId="0">
      <alignment horizontal="right" vertical="bottom"/>
    </xf>
    <xf numFmtId="167" fontId="130" fillId="29" borderId="119" applyAlignment="1" pivotButton="0" quotePrefix="0" xfId="0">
      <alignment horizontal="general" vertical="bottom"/>
    </xf>
    <xf numFmtId="167" fontId="130" fillId="0" borderId="98" applyAlignment="1" pivotButton="0" quotePrefix="0" xfId="0">
      <alignment horizontal="general" vertical="bottom"/>
    </xf>
    <xf numFmtId="167" fontId="130" fillId="0" borderId="97" applyAlignment="1" pivotButton="0" quotePrefix="0" xfId="0">
      <alignment horizontal="general" vertical="bottom"/>
    </xf>
    <xf numFmtId="169" fontId="130" fillId="29" borderId="119" applyAlignment="1" pivotButton="0" quotePrefix="0" xfId="0">
      <alignment horizontal="general" vertical="bottom"/>
    </xf>
    <xf numFmtId="0" fontId="118" fillId="0" borderId="81" applyAlignment="1" pivotButton="0" quotePrefix="0" xfId="0">
      <alignment horizontal="general" vertical="center"/>
    </xf>
    <xf numFmtId="167" fontId="106" fillId="24" borderId="81" applyAlignment="1" pivotButton="0" quotePrefix="0" xfId="0">
      <alignment horizontal="general" vertical="bottom"/>
    </xf>
    <xf numFmtId="167" fontId="106" fillId="24" borderId="81" applyAlignment="1" pivotButton="0" quotePrefix="0" xfId="0">
      <alignment horizontal="right" vertical="bottom"/>
    </xf>
    <xf numFmtId="167" fontId="33" fillId="14" borderId="98" applyAlignment="1" pivotButton="0" quotePrefix="0" xfId="0">
      <alignment horizontal="general" vertical="bottom"/>
    </xf>
    <xf numFmtId="167" fontId="67" fillId="14" borderId="97" applyAlignment="1" pivotButton="0" quotePrefix="0" xfId="0">
      <alignment horizontal="general" vertical="bottom"/>
    </xf>
    <xf numFmtId="0" fontId="117" fillId="0" borderId="104" applyAlignment="1" pivotButton="0" quotePrefix="0" xfId="0">
      <alignment horizontal="center" vertical="center" wrapText="1"/>
    </xf>
    <xf numFmtId="0" fontId="117" fillId="0" borderId="85" applyAlignment="1" pivotButton="0" quotePrefix="0" xfId="0">
      <alignment horizontal="general" vertical="center"/>
    </xf>
    <xf numFmtId="167" fontId="33" fillId="14" borderId="99" applyAlignment="1" pivotButton="0" quotePrefix="0" xfId="0">
      <alignment horizontal="general" vertical="bottom"/>
    </xf>
    <xf numFmtId="167" fontId="67" fillId="14" borderId="99" applyAlignment="1" pivotButton="0" quotePrefix="0" xfId="0">
      <alignment horizontal="general" vertical="bottom"/>
    </xf>
    <xf numFmtId="167" fontId="130" fillId="0" borderId="106" applyAlignment="1" pivotButton="0" quotePrefix="0" xfId="0">
      <alignment horizontal="general" vertical="bottom"/>
    </xf>
    <xf numFmtId="169" fontId="130" fillId="0" borderId="106" applyAlignment="1" pivotButton="0" quotePrefix="0" xfId="0">
      <alignment horizontal="general" vertical="bottom"/>
    </xf>
    <xf numFmtId="0" fontId="117" fillId="0" borderId="101" applyAlignment="1" pivotButton="0" quotePrefix="0" xfId="0">
      <alignment horizontal="general" vertical="center"/>
    </xf>
    <xf numFmtId="167" fontId="130" fillId="0" borderId="101" applyAlignment="1" pivotButton="0" quotePrefix="0" xfId="0">
      <alignment horizontal="general" vertical="bottom"/>
    </xf>
    <xf numFmtId="167" fontId="33" fillId="14" borderId="101" applyAlignment="1" pivotButton="0" quotePrefix="0" xfId="0">
      <alignment horizontal="general" vertical="bottom"/>
    </xf>
    <xf numFmtId="167" fontId="67" fillId="14" borderId="101" applyAlignment="1" pivotButton="0" quotePrefix="0" xfId="0">
      <alignment horizontal="general" vertical="bottom"/>
    </xf>
    <xf numFmtId="169" fontId="130" fillId="0" borderId="101" applyAlignment="1" pivotButton="0" quotePrefix="0" xfId="0">
      <alignment horizontal="general" vertical="bottom"/>
    </xf>
    <xf numFmtId="167" fontId="106" fillId="25" borderId="101" applyAlignment="1" pivotButton="0" quotePrefix="0" xfId="0">
      <alignment horizontal="general" vertical="bottom"/>
    </xf>
    <xf numFmtId="167" fontId="106" fillId="25" borderId="101" applyAlignment="1" pivotButton="0" quotePrefix="0" xfId="0">
      <alignment horizontal="right" vertical="bottom"/>
    </xf>
    <xf numFmtId="167" fontId="106" fillId="0" borderId="75" applyAlignment="1" pivotButton="0" quotePrefix="0" xfId="0">
      <alignment horizontal="general" vertical="bottom"/>
    </xf>
    <xf numFmtId="167" fontId="106" fillId="0" borderId="102" applyAlignment="1" pivotButton="0" quotePrefix="0" xfId="0">
      <alignment horizontal="general" vertical="bottom"/>
    </xf>
    <xf numFmtId="167" fontId="106" fillId="0" borderId="75" applyAlignment="1" pivotButton="0" quotePrefix="0" xfId="0">
      <alignment horizontal="right" vertical="bottom"/>
    </xf>
    <xf numFmtId="167" fontId="154" fillId="0" borderId="81" applyAlignment="1" pivotButton="0" quotePrefix="0" xfId="0">
      <alignment horizontal="general" vertical="bottom"/>
    </xf>
    <xf numFmtId="167" fontId="154" fillId="0" borderId="104" applyAlignment="1" pivotButton="0" quotePrefix="0" xfId="0">
      <alignment horizontal="right" vertical="bottom"/>
    </xf>
    <xf numFmtId="167" fontId="67" fillId="14" borderId="81" applyAlignment="1" pivotButton="0" quotePrefix="0" xfId="0">
      <alignment horizontal="general" vertical="bottom"/>
    </xf>
    <xf numFmtId="167" fontId="130" fillId="24" borderId="81" applyAlignment="1" pivotButton="0" quotePrefix="0" xfId="0">
      <alignment horizontal="general" vertical="bottom"/>
    </xf>
    <xf numFmtId="0" fontId="118" fillId="0" borderId="104" applyAlignment="1" pivotButton="0" quotePrefix="0" xfId="0">
      <alignment horizontal="general" vertical="center"/>
    </xf>
    <xf numFmtId="0" fontId="14" fillId="0" borderId="98" applyAlignment="1" pivotButton="0" quotePrefix="0" xfId="0">
      <alignment horizontal="general" vertical="center"/>
    </xf>
    <xf numFmtId="167" fontId="106" fillId="0" borderId="81" applyAlignment="1" pivotButton="0" quotePrefix="0" xfId="0">
      <alignment horizontal="general" vertical="bottom"/>
    </xf>
    <xf numFmtId="167" fontId="106" fillId="24" borderId="104" applyAlignment="1" pivotButton="0" quotePrefix="0" xfId="0">
      <alignment horizontal="right" vertical="bottom"/>
    </xf>
    <xf numFmtId="0" fontId="118" fillId="0" borderId="104" applyAlignment="1" pivotButton="0" quotePrefix="0" xfId="0">
      <alignment horizontal="center" vertical="center" textRotation="255" wrapText="1"/>
    </xf>
    <xf numFmtId="0" fontId="118" fillId="0" borderId="99" applyAlignment="1" pivotButton="0" quotePrefix="0" xfId="0">
      <alignment horizontal="general" vertical="center"/>
    </xf>
    <xf numFmtId="167" fontId="123" fillId="14" borderId="99" applyAlignment="1" pivotButton="0" quotePrefix="0" xfId="0">
      <alignment horizontal="general" vertical="bottom"/>
    </xf>
    <xf numFmtId="167" fontId="133" fillId="14" borderId="99" applyAlignment="1" pivotButton="0" quotePrefix="0" xfId="0">
      <alignment horizontal="general" vertical="bottom"/>
    </xf>
    <xf numFmtId="167" fontId="67" fillId="14" borderId="99" applyAlignment="1" pivotButton="0" quotePrefix="0" xfId="0">
      <alignment horizontal="right" vertical="bottom"/>
    </xf>
    <xf numFmtId="167" fontId="33" fillId="14" borderId="99" applyAlignment="1" pivotButton="0" quotePrefix="0" xfId="0">
      <alignment horizontal="right" vertical="center"/>
    </xf>
    <xf numFmtId="167" fontId="67" fillId="14" borderId="99" applyAlignment="1" pivotButton="0" quotePrefix="0" xfId="0">
      <alignment horizontal="right" vertical="center"/>
    </xf>
    <xf numFmtId="167" fontId="130" fillId="0" borderId="120" applyAlignment="1" pivotButton="0" quotePrefix="0" xfId="0">
      <alignment horizontal="right" vertical="center"/>
    </xf>
    <xf numFmtId="169" fontId="130" fillId="0" borderId="106" applyAlignment="1" pivotButton="0" quotePrefix="0" xfId="0">
      <alignment horizontal="right" vertical="center"/>
    </xf>
    <xf numFmtId="0" fontId="118" fillId="0" borderId="100" applyAlignment="1" pivotButton="0" quotePrefix="0" xfId="0">
      <alignment horizontal="general" vertical="center" shrinkToFit="1"/>
    </xf>
    <xf numFmtId="167" fontId="33" fillId="14" borderId="100" applyAlignment="1" pivotButton="0" quotePrefix="0" xfId="0">
      <alignment horizontal="general" vertical="bottom"/>
    </xf>
    <xf numFmtId="167" fontId="67" fillId="14" borderId="101" applyAlignment="1" pivotButton="0" quotePrefix="0" xfId="0">
      <alignment horizontal="right" vertical="bottom"/>
    </xf>
    <xf numFmtId="0" fontId="118" fillId="0" borderId="101" applyAlignment="1" pivotButton="0" quotePrefix="0" xfId="0">
      <alignment horizontal="general" vertical="center"/>
    </xf>
    <xf numFmtId="167" fontId="123" fillId="14" borderId="101" applyAlignment="1" pivotButton="0" quotePrefix="0" xfId="0">
      <alignment horizontal="general" vertical="bottom"/>
    </xf>
    <xf numFmtId="167" fontId="133" fillId="14" borderId="101" applyAlignment="1" pivotButton="0" quotePrefix="0" xfId="0">
      <alignment horizontal="general" vertical="bottom"/>
    </xf>
    <xf numFmtId="0" fontId="117" fillId="0" borderId="101" applyAlignment="1" pivotButton="0" quotePrefix="0" xfId="0">
      <alignment horizontal="general" vertical="center" shrinkToFit="1"/>
    </xf>
    <xf numFmtId="0" fontId="108" fillId="25" borderId="0" applyAlignment="1" pivotButton="0" quotePrefix="0" xfId="0">
      <alignment horizontal="general" vertical="bottom"/>
    </xf>
    <xf numFmtId="167" fontId="106" fillId="24" borderId="101" applyAlignment="1" pivotButton="0" quotePrefix="0" xfId="0">
      <alignment horizontal="general" vertical="bottom"/>
    </xf>
    <xf numFmtId="167" fontId="106" fillId="24" borderId="101" applyAlignment="1" pivotButton="0" quotePrefix="0" xfId="0">
      <alignment horizontal="right" vertical="bottom"/>
    </xf>
    <xf numFmtId="0" fontId="131" fillId="0" borderId="101" applyAlignment="1" pivotButton="0" quotePrefix="0" xfId="0">
      <alignment horizontal="general" vertical="center" shrinkToFit="1"/>
    </xf>
    <xf numFmtId="177" fontId="106" fillId="25" borderId="101" applyAlignment="1" pivotButton="0" quotePrefix="0" xfId="0">
      <alignment horizontal="general" vertical="bottom"/>
    </xf>
    <xf numFmtId="167" fontId="130" fillId="0" borderId="103" applyAlignment="1" pivotButton="0" quotePrefix="0" xfId="0">
      <alignment horizontal="general" vertical="bottom"/>
    </xf>
    <xf numFmtId="167" fontId="67" fillId="14" borderId="103" applyAlignment="1" pivotButton="0" quotePrefix="0" xfId="0">
      <alignment horizontal="general" vertical="bottom"/>
    </xf>
    <xf numFmtId="169" fontId="130" fillId="0" borderId="103" applyAlignment="1" pivotButton="0" quotePrefix="0" xfId="0">
      <alignment horizontal="general" vertical="bottom"/>
    </xf>
    <xf numFmtId="167" fontId="130" fillId="0" borderId="104" applyAlignment="1" pivotButton="0" quotePrefix="0" xfId="0">
      <alignment horizontal="right" vertical="bottom"/>
    </xf>
    <xf numFmtId="167" fontId="33" fillId="14" borderId="81" applyAlignment="1" pivotButton="0" quotePrefix="0" xfId="0">
      <alignment horizontal="general" vertical="bottom"/>
    </xf>
    <xf numFmtId="167" fontId="106" fillId="25" borderId="81" applyAlignment="1" pivotButton="0" quotePrefix="0" xfId="0">
      <alignment horizontal="general" vertical="bottom"/>
    </xf>
    <xf numFmtId="167" fontId="106" fillId="0" borderId="104" applyAlignment="1" pivotButton="0" quotePrefix="0" xfId="0">
      <alignment horizontal="right" vertical="bottom"/>
    </xf>
    <xf numFmtId="0" fontId="118" fillId="0" borderId="104" applyAlignment="1" pivotButton="0" quotePrefix="0" xfId="0">
      <alignment horizontal="center" vertical="center"/>
    </xf>
    <xf numFmtId="0" fontId="14" fillId="0" borderId="98" applyAlignment="1" pivotButton="0" quotePrefix="0" xfId="0">
      <alignment horizontal="center" vertical="center"/>
    </xf>
    <xf numFmtId="174" fontId="33" fillId="14" borderId="81" applyAlignment="1" pivotButton="0" quotePrefix="0" xfId="0">
      <alignment horizontal="right" vertical="center"/>
    </xf>
    <xf numFmtId="174" fontId="67" fillId="14" borderId="85" applyAlignment="1" pivotButton="0" quotePrefix="0" xfId="0">
      <alignment horizontal="general" vertical="bottom" shrinkToFit="1"/>
    </xf>
    <xf numFmtId="164" fontId="130" fillId="0" borderId="90" applyAlignment="1" pivotButton="0" quotePrefix="0" xfId="0">
      <alignment horizontal="general" vertical="bottom"/>
    </xf>
    <xf numFmtId="174" fontId="33" fillId="0" borderId="90" applyAlignment="1" pivotButton="0" quotePrefix="0" xfId="0">
      <alignment horizontal="general" vertical="bottom"/>
    </xf>
    <xf numFmtId="169" fontId="33" fillId="0" borderId="0" applyAlignment="1" pivotButton="0" quotePrefix="0" xfId="0">
      <alignment horizontal="general" vertical="bottom"/>
    </xf>
    <xf numFmtId="178" fontId="14" fillId="0" borderId="0" applyAlignment="1" pivotButton="0" quotePrefix="0" xfId="0">
      <alignment horizontal="general" vertical="bottom"/>
    </xf>
    <xf numFmtId="0" fontId="117" fillId="0" borderId="0" applyAlignment="1" pivotButton="0" quotePrefix="0" xfId="0">
      <alignment horizontal="general" vertical="bottom"/>
    </xf>
    <xf numFmtId="178" fontId="118" fillId="0" borderId="0" applyAlignment="1" pivotButton="0" quotePrefix="0" xfId="0">
      <alignment horizontal="general" vertical="bottom"/>
    </xf>
    <xf numFmtId="0" fontId="118" fillId="0" borderId="0" applyAlignment="1" pivotButton="0" quotePrefix="0" xfId="0">
      <alignment horizontal="right" vertical="bottom"/>
    </xf>
    <xf numFmtId="178" fontId="66" fillId="0" borderId="0" applyAlignment="1" pivotButton="0" quotePrefix="0" xfId="0">
      <alignment horizontal="general" vertical="bottom"/>
    </xf>
    <xf numFmtId="0" fontId="66" fillId="0" borderId="0" applyAlignment="1" pivotButton="0" quotePrefix="0" xfId="0">
      <alignment horizontal="right" vertical="bottom"/>
    </xf>
    <xf numFmtId="167" fontId="14" fillId="14" borderId="0" applyAlignment="1" pivotButton="0" quotePrefix="0" xfId="0">
      <alignment horizontal="general" vertical="bottom"/>
    </xf>
    <xf numFmtId="167" fontId="66" fillId="14" borderId="0" applyAlignment="1" pivotButton="0" quotePrefix="0" xfId="0">
      <alignment horizontal="right" vertical="bottom"/>
    </xf>
    <xf numFmtId="167" fontId="75" fillId="14" borderId="0" applyAlignment="1" pivotButton="0" quotePrefix="0" xfId="0">
      <alignment horizontal="general" vertical="bottom"/>
    </xf>
    <xf numFmtId="167" fontId="66" fillId="14" borderId="0" applyAlignment="1" pivotButton="0" quotePrefix="0" xfId="0">
      <alignment horizontal="general" vertical="bottom"/>
    </xf>
    <xf numFmtId="178" fontId="66" fillId="14" borderId="0" applyAlignment="1" pivotButton="0" quotePrefix="0" xfId="0">
      <alignment horizontal="general" vertical="bottom"/>
    </xf>
    <xf numFmtId="167" fontId="75" fillId="0" borderId="0" applyAlignment="1" pivotButton="0" quotePrefix="0" xfId="0">
      <alignment horizontal="right" vertical="bottom"/>
    </xf>
    <xf numFmtId="178" fontId="75" fillId="0" borderId="0" applyAlignment="1" pivotButton="0" quotePrefix="0" xfId="0">
      <alignment horizontal="general" vertical="bottom"/>
    </xf>
    <xf numFmtId="174" fontId="14" fillId="14" borderId="0" applyAlignment="1" pivotButton="0" quotePrefix="0" xfId="0">
      <alignment horizontal="general" vertical="bottom"/>
    </xf>
    <xf numFmtId="174" fontId="66" fillId="14" borderId="0" applyAlignment="1" pivotButton="0" quotePrefix="0" xfId="0">
      <alignment horizontal="right" vertical="bottom"/>
    </xf>
    <xf numFmtId="177" fontId="117" fillId="0" borderId="0" applyAlignment="1" pivotButton="0" quotePrefix="0" xfId="0">
      <alignment horizontal="general" vertical="bottom"/>
    </xf>
    <xf numFmtId="166" fontId="13" fillId="0" borderId="14" applyAlignment="1" pivotButton="0" quotePrefix="0" xfId="6">
      <alignment vertical="center"/>
    </xf>
    <xf numFmtId="170" fontId="15" fillId="0" borderId="0" applyAlignment="1" pivotButton="0" quotePrefix="0" xfId="6">
      <alignment horizontal="center" vertical="center"/>
    </xf>
    <xf numFmtId="0" fontId="9" fillId="0" borderId="3" applyAlignment="1" pivotButton="0" quotePrefix="0" xfId="6">
      <alignment horizontal="center" vertical="center"/>
    </xf>
    <xf numFmtId="0" fontId="0" fillId="0" borderId="13" pivotButton="0" quotePrefix="0" xfId="0"/>
    <xf numFmtId="0" fontId="13" fillId="0" borderId="12" applyAlignment="1" pivotButton="0" quotePrefix="0" xfId="6">
      <alignment horizontal="center" vertical="center" wrapText="1"/>
    </xf>
    <xf numFmtId="0" fontId="0" fillId="0" borderId="5" pivotButton="0" quotePrefix="0" xfId="0"/>
    <xf numFmtId="164" fontId="13" fillId="0" borderId="10" applyAlignment="1" pivotButton="0" quotePrefix="0" xfId="6">
      <alignment vertical="center"/>
    </xf>
    <xf numFmtId="164" fontId="13" fillId="0" borderId="10" applyAlignment="1" pivotButton="0" quotePrefix="0" xfId="6">
      <alignment horizontal="right" vertical="center"/>
    </xf>
    <xf numFmtId="164" fontId="13" fillId="0" borderId="10" applyAlignment="1" pivotButton="0" quotePrefix="0" xfId="3">
      <alignment vertical="center"/>
    </xf>
    <xf numFmtId="164" fontId="11" fillId="0" borderId="10" applyAlignment="1" pivotButton="0" quotePrefix="0" xfId="6">
      <alignment vertical="center"/>
    </xf>
    <xf numFmtId="164" fontId="13" fillId="0" borderId="6" applyAlignment="1" pivotButton="0" quotePrefix="0" xfId="6">
      <alignment vertical="center"/>
    </xf>
    <xf numFmtId="171" fontId="15" fillId="0" borderId="0" applyAlignment="1" pivotButton="0" quotePrefix="0" xfId="6">
      <alignment horizontal="center" vertical="center"/>
    </xf>
    <xf numFmtId="0" fontId="101" fillId="14" borderId="70" pivotButton="0" quotePrefix="0" xfId="0"/>
    <xf numFmtId="0" fontId="103" fillId="0" borderId="70" pivotButton="0" quotePrefix="0" xfId="0"/>
    <xf numFmtId="1" fontId="159" fillId="0" borderId="0" applyAlignment="1" pivotButton="0" quotePrefix="0" xfId="0">
      <alignment horizontal="center"/>
    </xf>
    <xf numFmtId="0" fontId="160" fillId="0" borderId="0" pivotButton="0" quotePrefix="0" xfId="0"/>
    <xf numFmtId="0" fontId="102" fillId="0" borderId="70" applyAlignment="1" pivotButton="0" quotePrefix="0" xfId="0">
      <alignment vertical="center" wrapText="1"/>
    </xf>
    <xf numFmtId="0" fontId="99" fillId="0" borderId="70" applyAlignment="1" pivotButton="0" quotePrefix="0" xfId="0">
      <alignment vertical="center" wrapText="1"/>
    </xf>
    <xf numFmtId="3" fontId="102" fillId="0" borderId="70" pivotButton="0" quotePrefix="0" xfId="0"/>
    <xf numFmtId="3" fontId="115" fillId="15" borderId="69" pivotButton="0" quotePrefix="0" xfId="0"/>
    <xf numFmtId="0" fontId="158" fillId="0" borderId="0" pivotButton="0" quotePrefix="0" xfId="0"/>
    <xf numFmtId="181" fontId="99" fillId="0" borderId="0" pivotButton="0" quotePrefix="0" xfId="0"/>
    <xf numFmtId="182" fontId="103" fillId="0" borderId="0" pivotButton="0" quotePrefix="0" xfId="0"/>
  </cellXfs>
  <cellStyles count="7">
    <cellStyle name="標準" xfId="0" builtinId="0"/>
    <cellStyle name="桁区切り" xfId="1" builtinId="6"/>
    <cellStyle name="桁区切り 2" xfId="2"/>
    <cellStyle name="桁区切り 3" xfId="3"/>
    <cellStyle name="標準 2" xfId="4"/>
    <cellStyle name="標準 2 2" xfId="5"/>
    <cellStyle name="標準 3" xfId="6"/>
  </cellStyles>
  <dxfs count="12">
    <dxf>
      <fill>
        <patternFill patternType="solid">
          <fgColor rgb="00C00000"/>
          <bgColor rgb="00C00000"/>
        </patternFill>
      </fill>
    </dxf>
    <dxf>
      <font>
        <b val="1"/>
        <color rgb="00548235"/>
      </font>
    </dxf>
    <dxf>
      <font>
        <b val="1"/>
        <color rgb="00C00000"/>
      </font>
    </dxf>
    <dxf>
      <font>
        <color rgb="00A6A6A6"/>
      </font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ont>
        <color rgb="00BF8F00"/>
      </font>
    </dxf>
    <dxf>
      <font>
        <color rgb="00C00000"/>
      </font>
    </dxf>
    <dxf>
      <font>
        <b val="1"/>
        <color rgb="001F4E79"/>
      </font>
    </dxf>
    <dxf>
      <font>
        <strike val="1"/>
        <color rgb="00A6A6A6"/>
      </font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FCE4D6"/>
          <bgColor rgb="00FCE4D6"/>
        </patternFill>
      </fill>
    </dxf>
    <dxf>
      <font>
        <color rgb="00548235"/>
      </font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comments/comment1.xml><?xml version="1.0" encoding="utf-8"?>
<comments xmlns="http://schemas.openxmlformats.org/spreadsheetml/2006/main">
  <authors>
    <author>setupuser</author>
    <author>Administrator</author>
    <author>KYOSAI</author>
  </authors>
  <commentList>
    <comment ref="H3" authorId="0" shapeId="0">
      <text>
        <t xml:space="preserve">1共通
短期11：厚年10：経過1：
退職1
</t>
      </text>
    </comment>
    <comment ref="E254" authorId="1" shapeId="0">
      <text>
        <t>（庶務係用）</t>
      </text>
    </comment>
    <comment ref="F256" authorId="1" shapeId="0">
      <text>
        <t>R8熊本地震で福岡会場中止、録画視聴へ変更</t>
      </text>
    </comment>
    <comment ref="G256" authorId="1" shapeId="0">
      <text>
        <t xml:space="preserve">R8年より長期共通　　</t>
      </text>
    </comment>
    <comment ref="G286" authorId="2" shapeId="0">
      <text>
        <t>退職等給付に係る交付金の返還（Ｒ３分）のため「６」としているが、決算及び業務経理執行区分の照会時の整理は確認すること</t>
      </text>
    </comment>
    <comment ref="E408" authorId="1" shapeId="0">
      <text>
        <t>(保健医療係用)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D26"/>
  <sheetViews>
    <sheetView showGridLines="0" tabSelected="0" workbookViewId="0">
      <selection activeCell="A1" sqref="A1"/>
    </sheetView>
  </sheetViews>
  <sheetFormatPr baseColWidth="8" defaultRowHeight="15"/>
  <cols>
    <col width="2" customWidth="1" style="186" min="1" max="1"/>
    <col width="26" customWidth="1" style="186" min="2" max="2"/>
    <col width="74" customWidth="1" style="186" min="3" max="3"/>
    <col width="50" customWidth="1" style="186" min="4" max="4"/>
  </cols>
  <sheetData>
    <row r="1" ht="26" customHeight="1" s="186">
      <c r="A1" s="719" t="inlineStr">
        <is>
          <t>令和8年度　業務経理区分別執行管理簿（統合版）　使い方</t>
        </is>
      </c>
      <c r="B1" s="720" t="n"/>
      <c r="C1" s="720" t="n"/>
      <c r="D1" s="720" t="n"/>
    </row>
    <row r="2" ht="30" customHeight="1" s="186">
      <c r="A2" s="721" t="inlineStr">
        <is>
          <t>元の「業務経理区分別執行管理簿」「貸付予算差引簿」「費用収益表」を1つにまとめました。シートの様式は元のままで、転記を自動にしています。</t>
        </is>
      </c>
    </row>
    <row r="4">
      <c r="B4" s="722" t="inlineStr">
        <is>
          <t>転記の流れ（すべて自動）</t>
        </is>
      </c>
      <c r="C4" s="720" t="n"/>
      <c r="D4" s="720" t="n"/>
    </row>
    <row r="5" ht="29" customHeight="1" s="186">
      <c r="B5" s="723" t="inlineStr">
        <is>
          <t>① 入力</t>
        </is>
      </c>
      <c r="C5" s="724" t="inlineStr">
        <is>
          <t>業務：「月例」に支払を入力（決算整理＝未払金は「決算整理」シート）。貸付：「貸付予算差引簿」の各費目に入力。</t>
        </is>
      </c>
      <c r="D5" s="725" t="inlineStr">
        <is>
          <t>入力するのは黄色のセルだけ</t>
        </is>
      </c>
    </row>
    <row r="6" ht="29" customHeight="1" s="186">
      <c r="B6" s="723" t="inlineStr">
        <is>
          <t>② 差引簿へ</t>
        </is>
      </c>
      <c r="C6" s="724" t="inlineStr">
        <is>
          <t>「予算差引簿（短）」「予算差引簿（長）」へ、費目ごとに日付・摘要・金額が自動で転記されます。決算整理の分は「…未払」シートへ。</t>
        </is>
      </c>
      <c r="D6" s="725" t="inlineStr">
        <is>
          <t>人件費（非常勤職員手当・賃金）など全ての費目</t>
        </is>
      </c>
    </row>
    <row r="7" ht="29" customHeight="1" s="186">
      <c r="B7" s="723" t="inlineStr">
        <is>
          <t>③ 月別合計</t>
        </is>
      </c>
      <c r="C7" s="724" t="inlineStr">
        <is>
          <t>「差引簿集計（短）（長）」「貸付差引簿集計」で、費目ごとの月別合計が自動で出ます。</t>
        </is>
      </c>
      <c r="D7" s="725" t="inlineStr">
        <is>
          <t>確認済の分だけを集計</t>
        </is>
      </c>
    </row>
    <row r="8" ht="29" customHeight="1" s="186">
      <c r="B8" s="723" t="inlineStr">
        <is>
          <t>④ 費用収益表へ</t>
        </is>
      </c>
      <c r="C8" s="724" t="inlineStr">
        <is>
          <t>費用収益表の各費目・各月へ自動で入ります。「月次締め」の「今回締める月」までが確定表示、それ以降は前年実績・見込（緑字）。</t>
        </is>
      </c>
      <c r="D8" s="725" t="inlineStr">
        <is>
          <t>手で転記する必要はありません</t>
        </is>
      </c>
    </row>
    <row r="10">
      <c r="B10" s="722" t="inlineStr">
        <is>
          <t>毎月の作業</t>
        </is>
      </c>
      <c r="C10" s="720" t="n"/>
      <c r="D10" s="720" t="n"/>
    </row>
    <row r="11" ht="29" customHeight="1" s="186">
      <c r="B11" s="723" t="inlineStr">
        <is>
          <t>支払担当者</t>
        </is>
      </c>
      <c r="C11" s="724" t="inlineStr">
        <is>
          <t>昨年実績の行を今年の支払に直し（日付・摘要・金額）、状態を「昨年実績」→「未確認」へ。</t>
        </is>
      </c>
      <c r="D11" s="725" t="inlineStr">
        <is>
          <t>旧：赤字を黒字にして金額を修正</t>
        </is>
      </c>
    </row>
    <row r="12" ht="29" customHeight="1" s="186">
      <c r="B12" s="723" t="inlineStr">
        <is>
          <t>経理担当者</t>
        </is>
      </c>
      <c r="C12" s="724" t="inlineStr">
        <is>
          <t>支払伝票が回ってきたら状態を「未確認」→「確認済」へ（プルダウン）。</t>
        </is>
      </c>
      <c r="D12" s="725" t="inlineStr">
        <is>
          <t>旧：金額を青く塗りつぶし</t>
        </is>
      </c>
    </row>
    <row r="13" ht="43.5" customHeight="1" s="186">
      <c r="B13" s="723" t="inlineStr">
        <is>
          <t>経理〆</t>
        </is>
      </c>
      <c r="C13" s="724" t="inlineStr">
        <is>
          <t>「月次締め」で今回締める月を選び、仮締め出納計算表の月合計を黄色セルに入力。差額0で OK。「検算」シートが全部 OK ならこのブックの数字は一致しています。</t>
        </is>
      </c>
      <c r="D13" s="725" t="inlineStr"/>
    </row>
    <row r="15">
      <c r="B15" s="722" t="inlineStr">
        <is>
          <t>色のルール</t>
        </is>
      </c>
      <c r="C15" s="720" t="n"/>
      <c r="D15" s="720" t="n"/>
    </row>
    <row r="16" ht="29" customHeight="1" s="186">
      <c r="B16" s="723" t="inlineStr">
        <is>
          <t>黄色のセル</t>
        </is>
      </c>
      <c r="C16" s="724" t="inlineStr">
        <is>
          <t>手入力するセル。それ以外は数式なので触りません。マクロ版（.xlsm）ではEnterで次の黄色セルへ移動します。</t>
        </is>
      </c>
      <c r="D16" s="725" t="n"/>
    </row>
    <row r="17" ht="29" customHeight="1" s="186">
      <c r="B17" s="723" t="inlineStr">
        <is>
          <t>赤字</t>
        </is>
      </c>
      <c r="C17" s="724" t="inlineStr">
        <is>
          <t>状態＝昨年実績（今年の支払が確定するまで残す行）。</t>
        </is>
      </c>
      <c r="D17" s="725" t="n"/>
    </row>
    <row r="18" ht="29" customHeight="1" s="186">
      <c r="B18" s="723" t="inlineStr">
        <is>
          <t>青字（月例）／水色の背景（差引簿の支出）</t>
        </is>
      </c>
      <c r="C18" s="724" t="inlineStr">
        <is>
          <t>状態＝確認済。</t>
        </is>
      </c>
      <c r="D18" s="725" t="n"/>
    </row>
    <row r="19" ht="29" customHeight="1" s="186">
      <c r="B19" s="723" t="inlineStr">
        <is>
          <t>オレンジの背景（差引簿の支出）</t>
        </is>
      </c>
      <c r="C19" s="724" t="inlineStr">
        <is>
          <t>状態＝未確認。</t>
        </is>
      </c>
      <c r="D19" s="725" t="n"/>
    </row>
    <row r="20" ht="29" customHeight="1" s="186">
      <c r="B20" s="723" t="inlineStr">
        <is>
          <t>取り消し線（月例）</t>
        </is>
      </c>
      <c r="C20" s="724" t="inlineStr">
        <is>
          <t>状態＝支払なし（今年度は支払がない行。差引簿・集計から除外）。</t>
        </is>
      </c>
      <c r="D20" s="725" t="n"/>
    </row>
    <row r="22">
      <c r="B22" s="722" t="inlineStr">
        <is>
          <t>追加した列・シート（元の様式への追加）</t>
        </is>
      </c>
      <c r="C22" s="720" t="n"/>
      <c r="D22" s="720" t="n"/>
    </row>
    <row r="23" ht="29" customHeight="1" s="186">
      <c r="B23" s="723" t="inlineStr">
        <is>
          <t>月例・決算整理 P〜U列</t>
        </is>
      </c>
      <c r="C23" s="724" t="inlineStr">
        <is>
          <t>P＝状態（入力）。Q〜U＝自動計算の作業列（費目・長期額・差引簿への通番・計上列）。消さないでください。</t>
        </is>
      </c>
      <c r="D23" s="725" t="n"/>
    </row>
    <row r="24" ht="29" customHeight="1" s="186">
      <c r="B24" s="723" t="inlineStr">
        <is>
          <t>予算差引簿の「状態」列</t>
        </is>
      </c>
      <c r="C24" s="724" t="inlineStr">
        <is>
          <t>各ブロックの右端。月例の状態が自動で表示されます。</t>
        </is>
      </c>
      <c r="D24" s="725" t="n"/>
    </row>
    <row r="25" ht="29" customHeight="1" s="186">
      <c r="B25" s="723" t="inlineStr">
        <is>
          <t>貸付予算差引簿の「状態」列</t>
        </is>
      </c>
      <c r="C25" s="724" t="inlineStr">
        <is>
          <t>各ブロックの右端（入力）。</t>
        </is>
      </c>
      <c r="D25" s="725" t="n"/>
    </row>
    <row r="26" ht="29" customHeight="1" s="186">
      <c r="B26" s="723" t="inlineStr">
        <is>
          <t>差引簿のブロックの大きさ</t>
        </is>
      </c>
      <c r="C26" s="724" t="inlineStr">
        <is>
          <t>行数は余裕を持たせてあります。足りなくなると見出しの右に赤字で「行不足」と出ます。</t>
        </is>
      </c>
      <c r="D26" s="725" t="n"/>
    </row>
  </sheetData>
  <mergeCells count="2">
    <mergeCell ref="A1:D1"/>
    <mergeCell ref="A2:D2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J73"/>
  <sheetViews>
    <sheetView showGridLines="0" tabSelected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" customWidth="1" style="186" min="1" max="1"/>
    <col width="30" customWidth="1" style="186" min="2" max="2"/>
    <col width="17" customWidth="1" style="186" min="3" max="3"/>
    <col width="17" customWidth="1" style="186" min="4" max="4"/>
    <col width="15" customWidth="1" style="186" min="5" max="5"/>
    <col width="17" customWidth="1" style="186" min="6" max="6"/>
    <col width="17" customWidth="1" style="186" min="7" max="7"/>
    <col width="15" customWidth="1" style="186" min="8" max="8"/>
    <col width="24" customWidth="1" style="186" min="9" max="9"/>
    <col width="3" customWidth="1" style="186" min="10" max="10"/>
  </cols>
  <sheetData>
    <row r="1" ht="26" customHeight="1" s="186">
      <c r="A1" s="719" t="inlineStr">
        <is>
          <t>月次締め　操作盤と出納計算表との照合</t>
        </is>
      </c>
      <c r="B1" s="720" t="n"/>
      <c r="C1" s="720" t="n"/>
      <c r="D1" s="720" t="n"/>
      <c r="E1" s="720" t="n"/>
      <c r="F1" s="720" t="n"/>
      <c r="G1" s="720" t="n"/>
      <c r="H1" s="720" t="n"/>
      <c r="I1" s="720" t="n"/>
      <c r="J1" s="720" t="n"/>
    </row>
    <row r="2" ht="30" customHeight="1" s="186">
      <c r="A2" s="721" t="inlineStr">
        <is>
          <t>月次〆のときは「今回締める月」を選ぶだけです。費用収益表がその月まで自動で確定表示になります（転記は不要）。黄色のセルに仮締めした出納計算表の月合計を入力し、差額が 0 になればOKです。</t>
        </is>
      </c>
    </row>
    <row r="4">
      <c r="B4" s="726" t="inlineStr">
        <is>
          <t>年度（令和）</t>
        </is>
      </c>
      <c r="C4" s="727">
        <f>'R7業務（長+短）'!E1</f>
        <v>8</v>
      </c>
      <c r="D4" s="728" t="inlineStr">
        <is>
          <t>← 費用収益表（長+短）の年度から</t>
        </is>
      </c>
      <c r="F4" s="729" t="inlineStr">
        <is>
          <t>自動検算</t>
        </is>
      </c>
      <c r="G4" s="730" t="str">
        <f>IF(検算!$F$3=0,"すべてOK","NG "&amp;検算!$F$3&amp;"件（検算シート参照）")</f>
        <v>すべてOK</v>
      </c>
    </row>
    <row r="5">
      <c r="B5" s="731" t="inlineStr">
        <is>
          <t>今回締める月</t>
        </is>
      </c>
      <c r="C5" s="732" t="inlineStr">
        <is>
          <t>9月</t>
        </is>
      </c>
      <c r="D5" s="728" t="inlineStr">
        <is>
          <t>← ここを変えると、その月まで費用収益表に確定計上されます（9月締め済みなら「9月」）</t>
        </is>
      </c>
    </row>
    <row r="6">
      <c r="B6" s="728" t="inlineStr">
        <is>
          <t>月番号（自動）</t>
        </is>
      </c>
      <c r="C6" s="733">
        <f>MATCH($C$5,科目表!$N$5:$N$18,0)-1</f>
        <v>6</v>
      </c>
    </row>
    <row r="7">
      <c r="B7" s="728" t="inlineStr">
        <is>
          <t>対象月の開始日／翌月初（自動）</t>
        </is>
      </c>
      <c r="C7" s="734">
        <f>IF(締月=0,0,IF(締月=13,DATE(年度+2019,4,1),DATE(年度+2018+IF(締月&gt;9,1,0),MOD(締月+2,12)+1,1)))</f>
        <v>46266</v>
      </c>
      <c r="D7" s="734">
        <f>EDATE(C7,1)</f>
        <v>46296</v>
      </c>
    </row>
    <row r="9">
      <c r="B9" s="735" t="inlineStr">
        <is>
          <t>① 締める前のチェック（今回締める月の分）</t>
        </is>
      </c>
      <c r="C9" s="736" t="n"/>
      <c r="D9" s="736" t="n"/>
      <c r="E9" s="736" t="n"/>
      <c r="F9" s="736" t="n"/>
      <c r="G9" s="736" t="n"/>
      <c r="H9" s="736" t="n"/>
      <c r="I9" s="736" t="n"/>
    </row>
    <row r="10" ht="22" customHeight="1" s="186">
      <c r="B10" s="737" t="inlineStr">
        <is>
          <t>項目</t>
        </is>
      </c>
      <c r="C10" s="737" t="inlineStr">
        <is>
          <t>業務</t>
        </is>
      </c>
      <c r="D10" s="737" t="inlineStr">
        <is>
          <t>貸付</t>
        </is>
      </c>
      <c r="E10" s="737" t="inlineStr">
        <is>
          <t>対応</t>
        </is>
      </c>
      <c r="F10" s="738" t="n"/>
      <c r="G10" s="738" t="n"/>
      <c r="H10" s="738" t="n"/>
      <c r="I10" s="739" t="n"/>
    </row>
    <row r="11">
      <c r="B11" s="740" t="inlineStr">
        <is>
          <t>確認済の件数</t>
        </is>
      </c>
      <c r="C11" s="741">
        <f>IF(締月=0,0,COUNTIFS(月例!$U$5:$U$788,締月,月例!$P$5:$P$788,"確認済")+COUNTIFS(決算整理!$U$5:$U$1835,締月,決算整理!$P$5:$P$1835,"確認済"))</f>
        <v>35</v>
      </c>
      <c r="D11" s="741">
        <f>IF(締月=0,0,COUNTIFS('旅費・事務費（消耗品・図書・通信・会議・雑費）R８'!$E$6:$E$25,"確認済",'旅費・事務費（消耗品・図書・通信・会議・雑費）R８'!$A$6:$A$25,"&gt;="&amp;月初,'旅費・事務費（消耗品・図書・通信・会議・雑費）R８'!$A$6:$A$25,"&lt;"&amp;翌月初)+COUNTIFS('旅費・事務費（消耗品・図書・通信・会議・雑費）R８'!$E$29:$E$31,"確認済",'旅費・事務費（消耗品・図書・通信・会議・雑費）R８'!$A$29:$A$31,"&gt;="&amp;月初,'旅費・事務費（消耗品・図書・通信・会議・雑費）R８'!$A$29:$A$31,"&lt;"&amp;翌月初)+COUNTIFS('旅費・事務費（消耗品・図書・通信・会議・雑費）R８'!$E$35:$E$67,"確認済",'旅費・事務費（消耗品・図書・通信・会議・雑費）R８'!$A$35:$A$67,"&gt;="&amp;月初,'旅費・事務費（消耗品・図書・通信・会議・雑費）R８'!$A$35:$A$67,"&lt;"&amp;翌月初)+COUNTIFS('旅費・事務費（消耗品・図書・通信・会議・雑費）R８'!$J$6:$J$23,"確認済",'旅費・事務費（消耗品・図書・通信・会議・雑費）R８'!$F$6:$F$23,"&gt;="&amp;月初,'旅費・事務費（消耗品・図書・通信・会議・雑費）R８'!$F$6:$F$23,"&lt;"&amp;翌月初)+COUNTIFS('旅費・事務費（消耗品・図書・通信・会議・雑費）R８'!$J$46:$J$67,"確認済",'旅費・事務費（消耗品・図書・通信・会議・雑費）R８'!$F$46:$F$67,"&gt;="&amp;月初,'旅費・事務費（消耗品・図書・通信・会議・雑費）R８'!$F$46:$F$67,"&lt;"&amp;翌月初)+COUNTIFS('旅費・事務費（消耗品・図書・通信・会議・雑費）R８'!$J$27:$J$42,"確認済",'旅費・事務費（消耗品・図書・通信・会議・雑費）R８'!$F$27:$F$42,"&gt;="&amp;月初,'旅費・事務費（消耗品・図書・通信・会議・雑費）R８'!$F$27:$F$42,"&lt;"&amp;翌月初)+COUNTIFS('旅費・事務費以外R８'!$E$29:$E$33,"確認済",'旅費・事務費以外R８'!$A$29:$A$33,"&gt;="&amp;月初,'旅費・事務費以外R８'!$A$29:$A$33,"&lt;"&amp;翌月初)+COUNTIFS('旅費・事務費以外R８'!$E$6:$E$14,"確認済",'旅費・事務費以外R８'!$A$6:$A$14,"&gt;="&amp;月初,'旅費・事務費以外R８'!$A$6:$A$14,"&lt;"&amp;翌月初)+COUNTIFS('旅費・事務費以外R８'!$E$18:$E$25,"確認済",'旅費・事務費以外R８'!$A$18:$A$25,"&gt;="&amp;月初,'旅費・事務費以外R８'!$A$18:$A$25,"&lt;"&amp;翌月初)+COUNTIFS('旅費・事務費以外R８'!$E$37:$E$86,"確認済",'旅費・事務費以外R８'!$A$37:$A$86,"&gt;="&amp;月初,'旅費・事務費以外R８'!$A$37:$A$86,"&lt;"&amp;翌月初)+COUNTIFS('旅費・事務費以外R８'!$J$6:$J$13,"確認済",'旅費・事務費以外R８'!$F$6:$F$13,"&gt;="&amp;月初,'旅費・事務費以外R８'!$F$6:$F$13,"&lt;"&amp;翌月初)+COUNTIFS('旅費・事務費以外R８'!$J$26:$J$31,"確認済",'旅費・事務費以外R８'!$F$26:$F$31,"&gt;="&amp;月初,'旅費・事務費以外R８'!$F$26:$F$31,"&lt;"&amp;翌月初)+COUNTIFS('旅費・事務費以外R８'!$J$45:$J$86,"確認済",'旅費・事務費以外R８'!$F$45:$F$86,"&gt;="&amp;月初,'旅費・事務費以外R８'!$F$45:$F$86,"&lt;"&amp;翌月初)+COUNTIFS('旅費・事務費以外R８'!$J$35:$J$41,"確認済",'旅費・事務費以外R８'!$F$35:$F$41,"&gt;="&amp;月初,'旅費・事務費以外R８'!$F$35:$F$41,"&lt;"&amp;翌月初))</f>
        <v>5</v>
      </c>
      <c r="E11" s="742" t="inlineStr">
        <is>
          <t>差引簿・費用収益表に計上される行数</t>
        </is>
      </c>
    </row>
    <row r="12">
      <c r="B12" s="740" t="inlineStr">
        <is>
          <t>未確認（伝票待ち）の件数</t>
        </is>
      </c>
      <c r="C12" s="741">
        <f>IF(締月=0,0,COUNTIFS(月例!$U$5:$U$788,締月,月例!$P$5:$P$788,"未確認")+COUNTIFS(決算整理!$U$5:$U$1835,締月,決算整理!$P$5:$P$1835,"未確認"))</f>
        <v>0</v>
      </c>
      <c r="D12" s="741">
        <f>IF(締月=0,0,COUNTIFS('旅費・事務費（消耗品・図書・通信・会議・雑費）R８'!$E$6:$E$25,"未確認",'旅費・事務費（消耗品・図書・通信・会議・雑費）R８'!$A$6:$A$25,"&gt;="&amp;月初,'旅費・事務費（消耗品・図書・通信・会議・雑費）R８'!$A$6:$A$25,"&lt;"&amp;翌月初)+COUNTIFS('旅費・事務費（消耗品・図書・通信・会議・雑費）R８'!$E$29:$E$31,"未確認",'旅費・事務費（消耗品・図書・通信・会議・雑費）R８'!$A$29:$A$31,"&gt;="&amp;月初,'旅費・事務費（消耗品・図書・通信・会議・雑費）R８'!$A$29:$A$31,"&lt;"&amp;翌月初)+COUNTIFS('旅費・事務費（消耗品・図書・通信・会議・雑費）R８'!$E$35:$E$67,"未確認",'旅費・事務費（消耗品・図書・通信・会議・雑費）R８'!$A$35:$A$67,"&gt;="&amp;月初,'旅費・事務費（消耗品・図書・通信・会議・雑費）R８'!$A$35:$A$67,"&lt;"&amp;翌月初)+COUNTIFS('旅費・事務費（消耗品・図書・通信・会議・雑費）R８'!$J$6:$J$23,"未確認",'旅費・事務費（消耗品・図書・通信・会議・雑費）R８'!$F$6:$F$23,"&gt;="&amp;月初,'旅費・事務費（消耗品・図書・通信・会議・雑費）R８'!$F$6:$F$23,"&lt;"&amp;翌月初)+COUNTIFS('旅費・事務費（消耗品・図書・通信・会議・雑費）R８'!$J$46:$J$67,"未確認",'旅費・事務費（消耗品・図書・通信・会議・雑費）R８'!$F$46:$F$67,"&gt;="&amp;月初,'旅費・事務費（消耗品・図書・通信・会議・雑費）R８'!$F$46:$F$67,"&lt;"&amp;翌月初)+COUNTIFS('旅費・事務費（消耗品・図書・通信・会議・雑費）R８'!$J$27:$J$42,"未確認",'旅費・事務費（消耗品・図書・通信・会議・雑費）R８'!$F$27:$F$42,"&gt;="&amp;月初,'旅費・事務費（消耗品・図書・通信・会議・雑費）R８'!$F$27:$F$42,"&lt;"&amp;翌月初)+COUNTIFS('旅費・事務費以外R８'!$E$29:$E$33,"未確認",'旅費・事務費以外R８'!$A$29:$A$33,"&gt;="&amp;月初,'旅費・事務費以外R８'!$A$29:$A$33,"&lt;"&amp;翌月初)+COUNTIFS('旅費・事務費以外R８'!$E$6:$E$14,"未確認",'旅費・事務費以外R８'!$A$6:$A$14,"&gt;="&amp;月初,'旅費・事務費以外R８'!$A$6:$A$14,"&lt;"&amp;翌月初)+COUNTIFS('旅費・事務費以外R８'!$E$18:$E$25,"未確認",'旅費・事務費以外R８'!$A$18:$A$25,"&gt;="&amp;月初,'旅費・事務費以外R８'!$A$18:$A$25,"&lt;"&amp;翌月初)+COUNTIFS('旅費・事務費以外R８'!$E$37:$E$86,"未確認",'旅費・事務費以外R８'!$A$37:$A$86,"&gt;="&amp;月初,'旅費・事務費以外R８'!$A$37:$A$86,"&lt;"&amp;翌月初)+COUNTIFS('旅費・事務費以外R８'!$J$6:$J$13,"未確認",'旅費・事務費以外R８'!$F$6:$F$13,"&gt;="&amp;月初,'旅費・事務費以外R８'!$F$6:$F$13,"&lt;"&amp;翌月初)+COUNTIFS('旅費・事務費以外R８'!$J$26:$J$31,"未確認",'旅費・事務費以外R８'!$F$26:$F$31,"&gt;="&amp;月初,'旅費・事務費以外R８'!$F$26:$F$31,"&lt;"&amp;翌月初)+COUNTIFS('旅費・事務費以外R８'!$J$45:$J$86,"未確認",'旅費・事務費以外R８'!$F$45:$F$86,"&gt;="&amp;月初,'旅費・事務費以外R８'!$F$45:$F$86,"&lt;"&amp;翌月初)+COUNTIFS('旅費・事務費以外R８'!$J$35:$J$41,"未確認",'旅費・事務費以外R８'!$F$35:$F$41,"&gt;="&amp;月初,'旅費・事務費以外R８'!$F$35:$F$41,"&lt;"&amp;翌月初))</f>
        <v>0</v>
      </c>
      <c r="E12" s="742" t="inlineStr">
        <is>
          <t>0 にしてから締めます（伝票を確認して「確認済」へ）</t>
        </is>
      </c>
    </row>
    <row r="13">
      <c r="B13" s="740" t="inlineStr">
        <is>
          <t>昨年実績のまま残っている件数（参考）</t>
        </is>
      </c>
      <c r="C13" s="741">
        <f>IF(締月=0,0,COUNTIFS(月例!$U$5:$U$788,締月,月例!$P$5:$P$788,"昨年実績")+COUNTIFS(決算整理!$U$5:$U$1835,締月,決算整理!$P$5:$P$1835,"昨年実績"))</f>
        <v>22</v>
      </c>
      <c r="D13" s="741">
        <f>IF(締月=0,0,COUNTIFS('旅費・事務費（消耗品・図書・通信・会議・雑費）R８'!$E$6:$E$25,"昨年実績",'旅費・事務費（消耗品・図書・通信・会議・雑費）R８'!$A$6:$A$25,"&gt;="&amp;月初,'旅費・事務費（消耗品・図書・通信・会議・雑費）R８'!$A$6:$A$25,"&lt;"&amp;翌月初)+COUNTIFS('旅費・事務費（消耗品・図書・通信・会議・雑費）R８'!$E$29:$E$31,"昨年実績",'旅費・事務費（消耗品・図書・通信・会議・雑費）R８'!$A$29:$A$31,"&gt;="&amp;月初,'旅費・事務費（消耗品・図書・通信・会議・雑費）R８'!$A$29:$A$31,"&lt;"&amp;翌月初)+COUNTIFS('旅費・事務費（消耗品・図書・通信・会議・雑費）R８'!$E$35:$E$67,"昨年実績",'旅費・事務費（消耗品・図書・通信・会議・雑費）R８'!$A$35:$A$67,"&gt;="&amp;月初,'旅費・事務費（消耗品・図書・通信・会議・雑費）R８'!$A$35:$A$67,"&lt;"&amp;翌月初)+COUNTIFS('旅費・事務費（消耗品・図書・通信・会議・雑費）R８'!$J$6:$J$23,"昨年実績",'旅費・事務費（消耗品・図書・通信・会議・雑費）R８'!$F$6:$F$23,"&gt;="&amp;月初,'旅費・事務費（消耗品・図書・通信・会議・雑費）R８'!$F$6:$F$23,"&lt;"&amp;翌月初)+COUNTIFS('旅費・事務費（消耗品・図書・通信・会議・雑費）R８'!$J$46:$J$67,"昨年実績",'旅費・事務費（消耗品・図書・通信・会議・雑費）R８'!$F$46:$F$67,"&gt;="&amp;月初,'旅費・事務費（消耗品・図書・通信・会議・雑費）R８'!$F$46:$F$67,"&lt;"&amp;翌月初)+COUNTIFS('旅費・事務費（消耗品・図書・通信・会議・雑費）R８'!$J$27:$J$42,"昨年実績",'旅費・事務費（消耗品・図書・通信・会議・雑費）R８'!$F$27:$F$42,"&gt;="&amp;月初,'旅費・事務費（消耗品・図書・通信・会議・雑費）R８'!$F$27:$F$42,"&lt;"&amp;翌月初)+COUNTIFS('旅費・事務費以外R８'!$E$29:$E$33,"昨年実績",'旅費・事務費以外R８'!$A$29:$A$33,"&gt;="&amp;月初,'旅費・事務費以外R８'!$A$29:$A$33,"&lt;"&amp;翌月初)+COUNTIFS('旅費・事務費以外R８'!$E$6:$E$14,"昨年実績",'旅費・事務費以外R８'!$A$6:$A$14,"&gt;="&amp;月初,'旅費・事務費以外R８'!$A$6:$A$14,"&lt;"&amp;翌月初)+COUNTIFS('旅費・事務費以外R８'!$E$18:$E$25,"昨年実績",'旅費・事務費以外R８'!$A$18:$A$25,"&gt;="&amp;月初,'旅費・事務費以外R８'!$A$18:$A$25,"&lt;"&amp;翌月初)+COUNTIFS('旅費・事務費以外R８'!$E$37:$E$86,"昨年実績",'旅費・事務費以外R８'!$A$37:$A$86,"&gt;="&amp;月初,'旅費・事務費以外R８'!$A$37:$A$86,"&lt;"&amp;翌月初)+COUNTIFS('旅費・事務費以外R８'!$J$6:$J$13,"昨年実績",'旅費・事務費以外R８'!$F$6:$F$13,"&gt;="&amp;月初,'旅費・事務費以外R８'!$F$6:$F$13,"&lt;"&amp;翌月初)+COUNTIFS('旅費・事務費以外R８'!$J$26:$J$31,"昨年実績",'旅費・事務費以外R８'!$F$26:$F$31,"&gt;="&amp;月初,'旅費・事務費以外R８'!$F$26:$F$31,"&lt;"&amp;翌月初)+COUNTIFS('旅費・事務費以外R８'!$J$45:$J$86,"昨年実績",'旅費・事務費以外R８'!$F$45:$F$86,"&gt;="&amp;月初,'旅費・事務費以外R８'!$F$45:$F$86,"&lt;"&amp;翌月初)+COUNTIFS('旅費・事務費以外R８'!$J$35:$J$41,"昨年実績",'旅費・事務費以外R８'!$F$35:$F$41,"&gt;="&amp;月初,'旅費・事務費以外R８'!$F$35:$F$41,"&lt;"&amp;翌月初))</f>
        <v>0</v>
      </c>
      <c r="E13" s="742" t="inlineStr">
        <is>
          <t>今年は支払がない行は「支払なし」にすると見やすくなります</t>
        </is>
      </c>
    </row>
    <row r="14">
      <c r="B14" s="740" t="inlineStr">
        <is>
          <t>点検NGの件数</t>
        </is>
      </c>
      <c r="C14" s="741">
        <f>COUNTIF(月例!$Q$5:$Q$788,"※未登録")+COUNTIF(決算整理!$Q$5:$Q$1835,"※未登録")+COUNTIF('差引簿集計（短）'!$T$4:$T$80,"行不足")+COUNTIF('差引簿集計（長）'!$T$4:$T$80,"行不足")</f>
        <v>0</v>
      </c>
      <c r="D14" s="741">
        <f>COUNTIFS('旅費・事務費（消耗品・図書・通信・会議・雑費）R８'!$A$6:$A$25,"&gt;0",'旅費・事務費（消耗品・図書・通信・会議・雑費）R８'!$E$6:$E$25,"")+COUNTIFS('旅費・事務費（消耗品・図書・通信・会議・雑費）R８'!$A$29:$A$31,"&gt;0",'旅費・事務費（消耗品・図書・通信・会議・雑費）R８'!$E$29:$E$31,"")+COUNTIFS('旅費・事務費（消耗品・図書・通信・会議・雑費）R８'!$A$35:$A$67,"&gt;0",'旅費・事務費（消耗品・図書・通信・会議・雑費）R８'!$E$35:$E$67,"")+COUNTIFS('旅費・事務費（消耗品・図書・通信・会議・雑費）R８'!$F$6:$F$23,"&gt;0",'旅費・事務費（消耗品・図書・通信・会議・雑費）R８'!$J$6:$J$23,"")+COUNTIFS('旅費・事務費（消耗品・図書・通信・会議・雑費）R８'!$F$46:$F$67,"&gt;0",'旅費・事務費（消耗品・図書・通信・会議・雑費）R８'!$J$46:$J$67,"")+COUNTIFS('旅費・事務費（消耗品・図書・通信・会議・雑費）R８'!$F$27:$F$42,"&gt;0",'旅費・事務費（消耗品・図書・通信・会議・雑費）R８'!$J$27:$J$42,"")+COUNTIFS('旅費・事務費以外R８'!$A$29:$A$33,"&gt;0",'旅費・事務費以外R８'!$E$29:$E$33,"")+COUNTIFS('旅費・事務費以外R８'!$A$6:$A$14,"&gt;0",'旅費・事務費以外R８'!$E$6:$E$14,"")+COUNTIFS('旅費・事務費以外R８'!$A$18:$A$25,"&gt;0",'旅費・事務費以外R８'!$E$18:$E$25,"")+COUNTIFS('旅費・事務費以外R８'!$A$37:$A$86,"&gt;0",'旅費・事務費以外R８'!$E$37:$E$86,"")+COUNTIFS('旅費・事務費以外R８'!$F$6:$F$13,"&gt;0",'旅費・事務費以外R８'!$J$6:$J$13,"")+COUNTIFS('旅費・事務費以外R８'!$F$26:$F$31,"&gt;0",'旅費・事務費以外R８'!$J$26:$J$31,"")+COUNTIFS('旅費・事務費以外R８'!$F$45:$F$86,"&gt;0",'旅費・事務費以外R８'!$J$45:$J$86,"")+COUNTIFS('旅費・事務費以外R８'!$F$35:$F$41,"&gt;0",'旅費・事務費以外R８'!$J$35:$J$41,"")</f>
        <v>0</v>
      </c>
      <c r="E14" s="742" t="inlineStr">
        <is>
          <t>費目未登録・差引簿の行不足・状態未設定</t>
        </is>
      </c>
    </row>
    <row r="15">
      <c r="B15" s="740" t="inlineStr">
        <is>
          <t>確認済 金額合計</t>
        </is>
      </c>
      <c r="C15" s="741">
        <f>IF(締月=0,0,SUMIFS(月例!$F$5:$F$788,月例!$U$5:$U$788,締月,月例!$P$5:$P$788,"確認済")+SUMIFS(決算整理!$F$5:$F$1835,決算整理!$U$5:$U$1835,締月,決算整理!$P$5:$P$1835,"確認済"))</f>
        <v>30634243</v>
      </c>
      <c r="D15" s="741">
        <f>IF(締月=0,0,SUMIFS('旅費・事務費（消耗品・図書・通信・会議・雑費）R８'!$C$6:$C$25,'旅費・事務費（消耗品・図書・通信・会議・雑費）R８'!$E$6:$E$25,"確認済",'旅費・事務費（消耗品・図書・通信・会議・雑費）R８'!$A$6:$A$25,"&gt;="&amp;月初,'旅費・事務費（消耗品・図書・通信・会議・雑費）R８'!$A$6:$A$25,"&lt;"&amp;翌月初)+SUMIFS('旅費・事務費（消耗品・図書・通信・会議・雑費）R８'!$C$29:$C$31,'旅費・事務費（消耗品・図書・通信・会議・雑費）R８'!$E$29:$E$31,"確認済",'旅費・事務費（消耗品・図書・通信・会議・雑費）R８'!$A$29:$A$31,"&gt;="&amp;月初,'旅費・事務費（消耗品・図書・通信・会議・雑費）R８'!$A$29:$A$31,"&lt;"&amp;翌月初)+SUMIFS('旅費・事務費（消耗品・図書・通信・会議・雑費）R８'!$C$35:$C$67,'旅費・事務費（消耗品・図書・通信・会議・雑費）R８'!$E$35:$E$67,"確認済",'旅費・事務費（消耗品・図書・通信・会議・雑費）R８'!$A$35:$A$67,"&gt;="&amp;月初,'旅費・事務費（消耗品・図書・通信・会議・雑費）R８'!$A$35:$A$67,"&lt;"&amp;翌月初)+SUMIFS('旅費・事務費（消耗品・図書・通信・会議・雑費）R８'!$H$6:$H$23,'旅費・事務費（消耗品・図書・通信・会議・雑費）R８'!$J$6:$J$23,"確認済",'旅費・事務費（消耗品・図書・通信・会議・雑費）R８'!$F$6:$F$23,"&gt;="&amp;月初,'旅費・事務費（消耗品・図書・通信・会議・雑費）R８'!$F$6:$F$23,"&lt;"&amp;翌月初)+SUMIFS('旅費・事務費（消耗品・図書・通信・会議・雑費）R８'!$H$46:$H$67,'旅費・事務費（消耗品・図書・通信・会議・雑費）R８'!$J$46:$J$67,"確認済",'旅費・事務費（消耗品・図書・通信・会議・雑費）R８'!$F$46:$F$67,"&gt;="&amp;月初,'旅費・事務費（消耗品・図書・通信・会議・雑費）R８'!$F$46:$F$67,"&lt;"&amp;翌月初)+SUMIFS('旅費・事務費（消耗品・図書・通信・会議・雑費）R８'!$H$27:$H$42,'旅費・事務費（消耗品・図書・通信・会議・雑費）R８'!$J$27:$J$42,"確認済",'旅費・事務費（消耗品・図書・通信・会議・雑費）R８'!$F$27:$F$42,"&gt;="&amp;月初,'旅費・事務費（消耗品・図書・通信・会議・雑費）R８'!$F$27:$F$42,"&lt;"&amp;翌月初)+SUMIFS('旅費・事務費以外R８'!$C$29:$C$33,'旅費・事務費以外R８'!$E$29:$E$33,"確認済",'旅費・事務費以外R８'!$A$29:$A$33,"&gt;="&amp;月初,'旅費・事務費以外R８'!$A$29:$A$33,"&lt;"&amp;翌月初)+SUMIFS('旅費・事務費以外R８'!$C$6:$C$14,'旅費・事務費以外R８'!$E$6:$E$14,"確認済",'旅費・事務費以外R８'!$A$6:$A$14,"&gt;="&amp;月初,'旅費・事務費以外R８'!$A$6:$A$14,"&lt;"&amp;翌月初)+SUMIFS('旅費・事務費以外R８'!$C$18:$C$25,'旅費・事務費以外R８'!$E$18:$E$25,"確認済",'旅費・事務費以外R８'!$A$18:$A$25,"&gt;="&amp;月初,'旅費・事務費以外R８'!$A$18:$A$25,"&lt;"&amp;翌月初)+SUMIFS('旅費・事務費以外R８'!$C$37:$C$86,'旅費・事務費以外R８'!$E$37:$E$86,"確認済",'旅費・事務費以外R８'!$A$37:$A$86,"&gt;="&amp;月初,'旅費・事務費以外R８'!$A$37:$A$86,"&lt;"&amp;翌月初)+SUMIFS('旅費・事務費以外R８'!$H$6:$H$13,'旅費・事務費以外R８'!$J$6:$J$13,"確認済",'旅費・事務費以外R８'!$F$6:$F$13,"&gt;="&amp;月初,'旅費・事務費以外R８'!$F$6:$F$13,"&lt;"&amp;翌月初)+SUMIFS('旅費・事務費以外R８'!$H$26:$H$31,'旅費・事務費以外R８'!$J$26:$J$31,"確認済",'旅費・事務費以外R８'!$F$26:$F$31,"&gt;="&amp;月初,'旅費・事務費以外R８'!$F$26:$F$31,"&lt;"&amp;翌月初)+SUMIFS('旅費・事務費以外R８'!$H$45:$H$86,'旅費・事務費以外R８'!$J$45:$J$86,"確認済",'旅費・事務費以外R８'!$F$45:$F$86,"&gt;="&amp;月初,'旅費・事務費以外R８'!$F$45:$F$86,"&lt;"&amp;翌月初)+SUMIFS('旅費・事務費以外R８'!$H$35:$H$41,'旅費・事務費以外R８'!$J$35:$J$41,"確認済",'旅費・事務費以外R８'!$F$35:$F$41,"&gt;="&amp;月初,'旅費・事務費以外R８'!$F$35:$F$41,"&lt;"&amp;翌月初))</f>
        <v>254511</v>
      </c>
      <c r="E15" s="742" t="inlineStr">
        <is>
          <t>業務は短期＋長期の合計（月例＋決算整理）</t>
        </is>
      </c>
    </row>
    <row r="16">
      <c r="B16" s="743" t="inlineStr">
        <is>
          <t>締め可否</t>
        </is>
      </c>
      <c r="C16" s="744" t="str">
        <f>IF(締月=0,"-",IF(AND(C12=0,C14=0),"OK","要対応"))</f>
        <v>OK</v>
      </c>
      <c r="D16" s="744" t="str">
        <f>IF(締月=0,"-",IF(AND(D12=0,D14=0),"OK","要対応"))</f>
        <v>OK</v>
      </c>
    </row>
    <row r="19">
      <c r="B19" s="735" t="inlineStr">
        <is>
          <t>② 出納計算表との照合（黄色のセルに仮締めした出納計算表の月合計を入力）</t>
        </is>
      </c>
      <c r="C19" s="736" t="n"/>
      <c r="D19" s="736" t="n"/>
      <c r="E19" s="736" t="n"/>
      <c r="F19" s="736" t="n"/>
      <c r="G19" s="736" t="n"/>
      <c r="H19" s="736" t="n"/>
      <c r="I19" s="736" t="n"/>
    </row>
    <row r="21">
      <c r="B21" s="745" t="inlineStr">
        <is>
          <t>業務経理（短期）</t>
        </is>
      </c>
      <c r="C21" s="746" t="n"/>
      <c r="D21" s="746" t="n"/>
      <c r="E21" s="746" t="n"/>
      <c r="F21" s="746" t="n"/>
      <c r="G21" s="746" t="n"/>
      <c r="H21" s="746" t="n"/>
      <c r="I21" s="747" t="n"/>
    </row>
    <row r="22" ht="18" customHeight="1" s="186">
      <c r="B22" s="737" t="inlineStr">
        <is>
          <t>月</t>
        </is>
      </c>
      <c r="C22" s="737" t="inlineStr">
        <is>
          <t>費用</t>
        </is>
      </c>
      <c r="D22" s="738" t="n"/>
      <c r="E22" s="739" t="n"/>
      <c r="F22" s="737" t="inlineStr">
        <is>
          <t>収益</t>
        </is>
      </c>
      <c r="G22" s="738" t="n"/>
      <c r="H22" s="739" t="n"/>
      <c r="I22" s="737" t="inlineStr">
        <is>
          <t>判定</t>
        </is>
      </c>
    </row>
    <row r="23" ht="18" customHeight="1" s="186">
      <c r="B23" s="737" t="inlineStr"/>
      <c r="C23" s="737" t="inlineStr">
        <is>
          <t>費用収益表</t>
        </is>
      </c>
      <c r="D23" s="737" t="inlineStr">
        <is>
          <t>出納計算表</t>
        </is>
      </c>
      <c r="E23" s="737" t="inlineStr">
        <is>
          <t>差額</t>
        </is>
      </c>
      <c r="F23" s="737" t="inlineStr">
        <is>
          <t>費用収益表</t>
        </is>
      </c>
      <c r="G23" s="737" t="inlineStr">
        <is>
          <t>出納計算表</t>
        </is>
      </c>
      <c r="H23" s="737" t="inlineStr">
        <is>
          <t>差額</t>
        </is>
      </c>
      <c r="I23" s="737" t="inlineStr"/>
    </row>
    <row r="24">
      <c r="B24" s="748" t="inlineStr">
        <is>
          <t>4月</t>
        </is>
      </c>
      <c r="C24" s="749">
        <f>'R7業務 (短)'!C38</f>
        <v>534591</v>
      </c>
      <c r="D24" s="750" t="n"/>
      <c r="E24" s="741" t="str">
        <f>IF(D24="","",C24-D24)</f>
        <v/>
      </c>
      <c r="F24" s="749">
        <f>'R7業務 (短)'!C46</f>
        <v>2268000</v>
      </c>
      <c r="G24" s="750" t="n"/>
      <c r="H24" s="741" t="str">
        <f>IF(G24="","",F24-G24)</f>
        <v/>
      </c>
      <c r="I24" s="751" t="str">
        <f>IF(1&gt;締月,"",IF(OR(D24="",G24=""),"出納計算表 未入力",IF(AND(E24=0,H24=0),"OK","NG　差額あり")))</f>
        <v>出納計算表 未入力</v>
      </c>
    </row>
    <row r="25">
      <c r="B25" s="748" t="inlineStr">
        <is>
          <t>5月</t>
        </is>
      </c>
      <c r="C25" s="749">
        <f>'R7業務 (短)'!D38</f>
        <v>4087081</v>
      </c>
      <c r="D25" s="750" t="n"/>
      <c r="E25" s="741" t="str">
        <f>IF(D25="","",C25-D25)</f>
        <v/>
      </c>
      <c r="F25" s="749">
        <f>'R7業務 (短)'!D46</f>
        <v>2150000</v>
      </c>
      <c r="G25" s="750" t="n"/>
      <c r="H25" s="741" t="str">
        <f>IF(G25="","",F25-G25)</f>
        <v/>
      </c>
      <c r="I25" s="751" t="str">
        <f>IF(2&gt;締月,"",IF(OR(D25="",G25=""),"出納計算表 未入力",IF(AND(E25=0,H25=0),"OK","NG　差額あり")))</f>
        <v>出納計算表 未入力</v>
      </c>
    </row>
    <row r="26">
      <c r="B26" s="748" t="inlineStr">
        <is>
          <t>6月</t>
        </is>
      </c>
      <c r="C26" s="749">
        <f>'R7業務 (短)'!E38</f>
        <v>2455166</v>
      </c>
      <c r="D26" s="750" t="n"/>
      <c r="E26" s="741" t="str">
        <f>IF(D26="","",C26-D26)</f>
        <v/>
      </c>
      <c r="F26" s="749">
        <f>'R7業務 (短)'!E46</f>
        <v>2609000</v>
      </c>
      <c r="G26" s="750" t="n"/>
      <c r="H26" s="741" t="str">
        <f>IF(G26="","",F26-G26)</f>
        <v/>
      </c>
      <c r="I26" s="751" t="str">
        <f>IF(3&gt;締月,"",IF(OR(D26="",G26=""),"出納計算表 未入力",IF(AND(E26=0,H26=0),"OK","NG　差額あり")))</f>
        <v>出納計算表 未入力</v>
      </c>
    </row>
    <row r="27">
      <c r="B27" s="748" t="inlineStr">
        <is>
          <t>7月</t>
        </is>
      </c>
      <c r="C27" s="749">
        <f>'R7業務 (短)'!F38</f>
        <v>1972276</v>
      </c>
      <c r="D27" s="750" t="n"/>
      <c r="E27" s="741" t="str">
        <f>IF(D27="","",C27-D27)</f>
        <v/>
      </c>
      <c r="F27" s="749">
        <f>'R7業務 (短)'!F46</f>
        <v>2725000</v>
      </c>
      <c r="G27" s="750" t="n"/>
      <c r="H27" s="741" t="str">
        <f>IF(G27="","",F27-G27)</f>
        <v/>
      </c>
      <c r="I27" s="751" t="str">
        <f>IF(4&gt;締月,"",IF(OR(D27="",G27=""),"出納計算表 未入力",IF(AND(E27=0,H27=0),"OK","NG　差額あり")))</f>
        <v>出納計算表 未入力</v>
      </c>
    </row>
    <row r="28">
      <c r="B28" s="748" t="inlineStr">
        <is>
          <t>8月</t>
        </is>
      </c>
      <c r="C28" s="749">
        <f>'R7業務 (短)'!G38</f>
        <v>2709341</v>
      </c>
      <c r="D28" s="750" t="n"/>
      <c r="E28" s="741" t="str">
        <f>IF(D28="","",C28-D28)</f>
        <v/>
      </c>
      <c r="F28" s="749">
        <f>'R7業務 (短)'!G46</f>
        <v>2151000</v>
      </c>
      <c r="G28" s="750" t="n"/>
      <c r="H28" s="741" t="str">
        <f>IF(G28="","",F28-G28)</f>
        <v/>
      </c>
      <c r="I28" s="751" t="str">
        <f>IF(5&gt;締月,"",IF(OR(D28="",G28=""),"出納計算表 未入力",IF(AND(E28=0,H28=0),"OK","NG　差額あり")))</f>
        <v>出納計算表 未入力</v>
      </c>
    </row>
    <row r="29">
      <c r="B29" s="748" t="inlineStr">
        <is>
          <t>9月</t>
        </is>
      </c>
      <c r="C29" s="749">
        <f>'R7業務 (短)'!H38</f>
        <v>24070375</v>
      </c>
      <c r="D29" s="750" t="n"/>
      <c r="E29" s="741" t="str">
        <f>IF(D29="","",C29-D29)</f>
        <v/>
      </c>
      <c r="F29" s="749">
        <f>'R7業務 (短)'!H46</f>
        <v>12794000</v>
      </c>
      <c r="G29" s="750" t="n"/>
      <c r="H29" s="741" t="str">
        <f>IF(G29="","",F29-G29)</f>
        <v/>
      </c>
      <c r="I29" s="751" t="str">
        <f>IF(6&gt;締月,"",IF(OR(D29="",G29=""),"出納計算表 未入力",IF(AND(E29=0,H29=0),"OK","NG　差額あり")))</f>
        <v>出納計算表 未入力</v>
      </c>
    </row>
    <row r="30">
      <c r="B30" s="748" t="inlineStr">
        <is>
          <t>10月</t>
        </is>
      </c>
      <c r="C30" s="749">
        <f>'R7業務 (短)'!I38</f>
        <v>2454418</v>
      </c>
      <c r="D30" s="750" t="n"/>
      <c r="E30" s="741" t="str">
        <f>IF(D30="","",C30-D30)</f>
        <v/>
      </c>
      <c r="F30" s="749">
        <f>'R7業務 (短)'!I46</f>
        <v>2477000</v>
      </c>
      <c r="G30" s="750" t="n"/>
      <c r="H30" s="741" t="str">
        <f>IF(G30="","",F30-G30)</f>
        <v/>
      </c>
      <c r="I30" s="751" t="str">
        <f>IF(7&gt;締月,"",IF(OR(D30="",G30=""),"出納計算表 未入力",IF(AND(E30=0,H30=0),"OK","NG　差額あり")))</f>
        <v/>
      </c>
    </row>
    <row r="31">
      <c r="B31" s="748" t="inlineStr">
        <is>
          <t>11月</t>
        </is>
      </c>
      <c r="C31" s="749">
        <f>'R7業務 (短)'!J38</f>
        <v>2501632</v>
      </c>
      <c r="D31" s="750" t="n"/>
      <c r="E31" s="741" t="str">
        <f>IF(D31="","",C31-D31)</f>
        <v/>
      </c>
      <c r="F31" s="749">
        <f>'R7業務 (短)'!J46</f>
        <v>2228000</v>
      </c>
      <c r="G31" s="750" t="n"/>
      <c r="H31" s="741" t="str">
        <f>IF(G31="","",F31-G31)</f>
        <v/>
      </c>
      <c r="I31" s="751" t="str">
        <f>IF(8&gt;締月,"",IF(OR(D31="",G31=""),"出納計算表 未入力",IF(AND(E31=0,H31=0),"OK","NG　差額あり")))</f>
        <v/>
      </c>
    </row>
    <row r="32">
      <c r="B32" s="748" t="inlineStr">
        <is>
          <t>12月</t>
        </is>
      </c>
      <c r="C32" s="749">
        <f>'R7業務 (短)'!K38</f>
        <v>5009376</v>
      </c>
      <c r="D32" s="750" t="n"/>
      <c r="E32" s="741" t="str">
        <f>IF(D32="","",C32-D32)</f>
        <v/>
      </c>
      <c r="F32" s="749">
        <f>'R7業務 (短)'!K46</f>
        <v>2894000</v>
      </c>
      <c r="G32" s="750" t="n"/>
      <c r="H32" s="741" t="str">
        <f>IF(G32="","",F32-G32)</f>
        <v/>
      </c>
      <c r="I32" s="751" t="str">
        <f>IF(9&gt;締月,"",IF(OR(D32="",G32=""),"出納計算表 未入力",IF(AND(E32=0,H32=0),"OK","NG　差額あり")))</f>
        <v/>
      </c>
    </row>
    <row r="33">
      <c r="B33" s="748" t="inlineStr">
        <is>
          <t>1月</t>
        </is>
      </c>
      <c r="C33" s="749">
        <f>'R7業務 (短)'!L38</f>
        <v>2079276</v>
      </c>
      <c r="D33" s="750" t="n"/>
      <c r="E33" s="741" t="str">
        <f>IF(D33="","",C33-D33)</f>
        <v/>
      </c>
      <c r="F33" s="749">
        <f>'R7業務 (短)'!L46</f>
        <v>2560000</v>
      </c>
      <c r="G33" s="750" t="n"/>
      <c r="H33" s="741" t="str">
        <f>IF(G33="","",F33-G33)</f>
        <v/>
      </c>
      <c r="I33" s="751" t="str">
        <f>IF(10&gt;締月,"",IF(OR(D33="",G33=""),"出納計算表 未入力",IF(AND(E33=0,H33=0),"OK","NG　差額あり")))</f>
        <v/>
      </c>
    </row>
    <row r="34">
      <c r="B34" s="748" t="inlineStr">
        <is>
          <t>2月</t>
        </is>
      </c>
      <c r="C34" s="749">
        <f>'R7業務 (短)'!M38</f>
        <v>2212970</v>
      </c>
      <c r="D34" s="750" t="n"/>
      <c r="E34" s="741" t="str">
        <f>IF(D34="","",C34-D34)</f>
        <v/>
      </c>
      <c r="F34" s="749">
        <f>'R7業務 (短)'!M46</f>
        <v>2209000</v>
      </c>
      <c r="G34" s="750" t="n"/>
      <c r="H34" s="741" t="str">
        <f>IF(G34="","",F34-G34)</f>
        <v/>
      </c>
      <c r="I34" s="751" t="str">
        <f>IF(11&gt;締月,"",IF(OR(D34="",G34=""),"出納計算表 未入力",IF(AND(E34=0,H34=0),"OK","NG　差額あり")))</f>
        <v/>
      </c>
    </row>
    <row r="35">
      <c r="B35" s="748" t="inlineStr">
        <is>
          <t>3月</t>
        </is>
      </c>
      <c r="C35" s="749">
        <f>'R7業務 (短)'!N38</f>
        <v>2135536</v>
      </c>
      <c r="D35" s="750" t="n"/>
      <c r="E35" s="741" t="str">
        <f>IF(D35="","",C35-D35)</f>
        <v/>
      </c>
      <c r="F35" s="749">
        <f>'R7業務 (短)'!N46</f>
        <v>3606000</v>
      </c>
      <c r="G35" s="750" t="n"/>
      <c r="H35" s="741" t="str">
        <f>IF(G35="","",F35-G35)</f>
        <v/>
      </c>
      <c r="I35" s="751" t="str">
        <f>IF(12&gt;締月,"",IF(OR(D35="",G35=""),"出納計算表 未入力",IF(AND(E35=0,H35=0),"OK","NG　差額あり")))</f>
        <v/>
      </c>
    </row>
    <row r="36">
      <c r="B36" s="748" t="inlineStr">
        <is>
          <t>4月(未払)</t>
        </is>
      </c>
      <c r="C36" s="749">
        <f>'R7業務 (短)'!O38</f>
        <v>3204092</v>
      </c>
      <c r="D36" s="750" t="n"/>
      <c r="E36" s="741" t="str">
        <f>IF(D36="","",C36-D36)</f>
        <v/>
      </c>
      <c r="F36" s="749">
        <f>'R7業務 (短)'!O46</f>
        <v>9655506</v>
      </c>
      <c r="G36" s="750" t="n"/>
      <c r="H36" s="741" t="str">
        <f>IF(G36="","",F36-G36)</f>
        <v/>
      </c>
      <c r="I36" s="751" t="str">
        <f>IF(13&gt;締月,"",IF(OR(D36="",G36=""),"出納計算表 未入力",IF(AND(E36=0,H36=0),"OK","NG　差額あり")))</f>
        <v/>
      </c>
    </row>
    <row r="37">
      <c r="B37" s="743" t="inlineStr">
        <is>
          <t>締め月までの合計</t>
        </is>
      </c>
      <c r="C37" s="752">
        <f>SUMPRODUCT((ROW(C24:C36)-24+1&lt;=締月)*C24:C36)</f>
        <v>35828830</v>
      </c>
      <c r="D37" s="752">
        <f>SUMPRODUCT((ROW(D24:D36)-24+1&lt;=締月)*D24:D36)</f>
        <v>0</v>
      </c>
      <c r="E37" s="753">
        <f>C37-D37</f>
        <v>35828830</v>
      </c>
      <c r="F37" s="752">
        <f>SUMPRODUCT((ROW(F24:F36)-24+1&lt;=締月)*F24:F36)</f>
        <v>24697000</v>
      </c>
      <c r="G37" s="752">
        <f>SUMPRODUCT((ROW(G24:G36)-24+1&lt;=締月)*G24:G36)</f>
        <v>0</v>
      </c>
      <c r="H37" s="753">
        <f>F37-G37</f>
        <v>24697000</v>
      </c>
      <c r="I37" s="754" t="n"/>
    </row>
    <row r="39">
      <c r="B39" s="745" t="inlineStr">
        <is>
          <t>業務経理（長期）</t>
        </is>
      </c>
      <c r="C39" s="746" t="n"/>
      <c r="D39" s="746" t="n"/>
      <c r="E39" s="746" t="n"/>
      <c r="F39" s="746" t="n"/>
      <c r="G39" s="746" t="n"/>
      <c r="H39" s="746" t="n"/>
      <c r="I39" s="747" t="n"/>
    </row>
    <row r="40" ht="18" customHeight="1" s="186">
      <c r="B40" s="737" t="inlineStr">
        <is>
          <t>月</t>
        </is>
      </c>
      <c r="C40" s="737" t="inlineStr">
        <is>
          <t>費用</t>
        </is>
      </c>
      <c r="D40" s="738" t="n"/>
      <c r="E40" s="739" t="n"/>
      <c r="F40" s="737" t="inlineStr">
        <is>
          <t>収益</t>
        </is>
      </c>
      <c r="G40" s="738" t="n"/>
      <c r="H40" s="739" t="n"/>
      <c r="I40" s="737" t="inlineStr">
        <is>
          <t>判定</t>
        </is>
      </c>
    </row>
    <row r="41" ht="18" customHeight="1" s="186">
      <c r="B41" s="737" t="inlineStr"/>
      <c r="C41" s="737" t="inlineStr">
        <is>
          <t>費用収益表</t>
        </is>
      </c>
      <c r="D41" s="737" t="inlineStr">
        <is>
          <t>出納計算表</t>
        </is>
      </c>
      <c r="E41" s="737" t="inlineStr">
        <is>
          <t>差額</t>
        </is>
      </c>
      <c r="F41" s="737" t="inlineStr">
        <is>
          <t>費用収益表</t>
        </is>
      </c>
      <c r="G41" s="737" t="inlineStr">
        <is>
          <t>出納計算表</t>
        </is>
      </c>
      <c r="H41" s="737" t="inlineStr">
        <is>
          <t>差額</t>
        </is>
      </c>
      <c r="I41" s="737" t="inlineStr"/>
    </row>
    <row r="42">
      <c r="B42" s="748" t="inlineStr">
        <is>
          <t>4月</t>
        </is>
      </c>
      <c r="C42" s="749">
        <f>'R7業務（長）'!C38</f>
        <v>412079</v>
      </c>
      <c r="D42" s="750" t="n"/>
      <c r="E42" s="741" t="str">
        <f>IF(D42="","",C42-D42)</f>
        <v/>
      </c>
      <c r="F42" s="749">
        <f>'R7業務（長）'!C46</f>
        <v>4513000</v>
      </c>
      <c r="G42" s="750" t="n"/>
      <c r="H42" s="741" t="str">
        <f>IF(G42="","",F42-G42)</f>
        <v/>
      </c>
      <c r="I42" s="751" t="str">
        <f>IF(1&gt;締月,"",IF(OR(D42="",G42=""),"出納計算表 未入力",IF(AND(E42=0,H42=0),"OK","NG　差額あり")))</f>
        <v>出納計算表 未入力</v>
      </c>
    </row>
    <row r="43">
      <c r="B43" s="748" t="inlineStr">
        <is>
          <t>5月</t>
        </is>
      </c>
      <c r="C43" s="749">
        <f>'R7業務（長）'!D38</f>
        <v>6019213</v>
      </c>
      <c r="D43" s="750" t="n"/>
      <c r="E43" s="741" t="str">
        <f>IF(D43="","",C43-D43)</f>
        <v/>
      </c>
      <c r="F43" s="749">
        <f>'R7業務（長）'!D46</f>
        <v>9026000</v>
      </c>
      <c r="G43" s="750" t="n"/>
      <c r="H43" s="741" t="str">
        <f>IF(G43="","",F43-G43)</f>
        <v/>
      </c>
      <c r="I43" s="751" t="str">
        <f>IF(2&gt;締月,"",IF(OR(D43="",G43=""),"出納計算表 未入力",IF(AND(E43=0,H43=0),"OK","NG　差額あり")))</f>
        <v>出納計算表 未入力</v>
      </c>
    </row>
    <row r="44">
      <c r="B44" s="748" t="inlineStr">
        <is>
          <t>6月</t>
        </is>
      </c>
      <c r="C44" s="749">
        <f>'R7業務（長）'!E38</f>
        <v>6989919</v>
      </c>
      <c r="D44" s="750" t="n"/>
      <c r="E44" s="741" t="str">
        <f>IF(D44="","",C44-D44)</f>
        <v/>
      </c>
      <c r="F44" s="749">
        <f>'R7業務（長）'!E46</f>
        <v>10732000</v>
      </c>
      <c r="G44" s="750" t="n"/>
      <c r="H44" s="741" t="str">
        <f>IF(G44="","",F44-G44)</f>
        <v/>
      </c>
      <c r="I44" s="751" t="str">
        <f>IF(3&gt;締月,"",IF(OR(D44="",G44=""),"出納計算表 未入力",IF(AND(E44=0,H44=0),"OK","NG　差額あり")))</f>
        <v>出納計算表 未入力</v>
      </c>
    </row>
    <row r="45">
      <c r="B45" s="748" t="inlineStr">
        <is>
          <t>7月</t>
        </is>
      </c>
      <c r="C45" s="749">
        <f>'R7業務（長）'!F38</f>
        <v>7671974</v>
      </c>
      <c r="D45" s="750" t="n"/>
      <c r="E45" s="741" t="str">
        <f>IF(D45="","",C45-D45)</f>
        <v/>
      </c>
      <c r="F45" s="749">
        <f>'R7業務（長）'!F46</f>
        <v>13189000</v>
      </c>
      <c r="G45" s="750" t="n"/>
      <c r="H45" s="741" t="str">
        <f>IF(G45="","",F45-G45)</f>
        <v/>
      </c>
      <c r="I45" s="751" t="str">
        <f>IF(4&gt;締月,"",IF(OR(D45="",G45=""),"出納計算表 未入力",IF(AND(E45=0,H45=0),"OK","NG　差額あり")))</f>
        <v>出納計算表 未入力</v>
      </c>
    </row>
    <row r="46">
      <c r="B46" s="748" t="inlineStr">
        <is>
          <t>8月</t>
        </is>
      </c>
      <c r="C46" s="749">
        <f>'R7業務（長）'!G38</f>
        <v>7267746</v>
      </c>
      <c r="D46" s="750" t="n"/>
      <c r="E46" s="741" t="str">
        <f>IF(D46="","",C46-D46)</f>
        <v/>
      </c>
      <c r="F46" s="749">
        <f>'R7業務（長）'!G46</f>
        <v>9879000</v>
      </c>
      <c r="G46" s="750" t="n"/>
      <c r="H46" s="741" t="str">
        <f>IF(G46="","",F46-G46)</f>
        <v/>
      </c>
      <c r="I46" s="751" t="str">
        <f>IF(5&gt;締月,"",IF(OR(D46="",G46=""),"出納計算表 未入力",IF(AND(E46=0,H46=0),"OK","NG　差額あり")))</f>
        <v>出納計算表 未入力</v>
      </c>
    </row>
    <row r="47">
      <c r="B47" s="748" t="inlineStr">
        <is>
          <t>9月</t>
        </is>
      </c>
      <c r="C47" s="749">
        <f>'R7業務（長）'!H38</f>
        <v>6563868</v>
      </c>
      <c r="D47" s="750" t="n"/>
      <c r="E47" s="741" t="str">
        <f>IF(D47="","",C47-D47)</f>
        <v/>
      </c>
      <c r="F47" s="749">
        <f>'R7業務（長）'!H46</f>
        <v>9882148</v>
      </c>
      <c r="G47" s="750" t="n"/>
      <c r="H47" s="741" t="str">
        <f>IF(G47="","",F47-G47)</f>
        <v/>
      </c>
      <c r="I47" s="751" t="str">
        <f>IF(6&gt;締月,"",IF(OR(D47="",G47=""),"出納計算表 未入力",IF(AND(E47=0,H47=0),"OK","NG　差額あり")))</f>
        <v>出納計算表 未入力</v>
      </c>
    </row>
    <row r="48">
      <c r="B48" s="748" t="inlineStr">
        <is>
          <t>10月</t>
        </is>
      </c>
      <c r="C48" s="749">
        <f>'R7業務（長）'!I38</f>
        <v>5598151</v>
      </c>
      <c r="D48" s="750" t="n"/>
      <c r="E48" s="741" t="str">
        <f>IF(D48="","",C48-D48)</f>
        <v/>
      </c>
      <c r="F48" s="749">
        <f>'R7業務（長）'!I46</f>
        <v>4513000</v>
      </c>
      <c r="G48" s="750" t="n"/>
      <c r="H48" s="741" t="str">
        <f>IF(G48="","",F48-G48)</f>
        <v/>
      </c>
      <c r="I48" s="751" t="str">
        <f>IF(7&gt;締月,"",IF(OR(D48="",G48=""),"出納計算表 未入力",IF(AND(E48=0,H48=0),"OK","NG　差額あり")))</f>
        <v/>
      </c>
    </row>
    <row r="49">
      <c r="B49" s="748" t="inlineStr">
        <is>
          <t>11月</t>
        </is>
      </c>
      <c r="C49" s="749">
        <f>'R7業務（長）'!J38</f>
        <v>6657637</v>
      </c>
      <c r="D49" s="750" t="n"/>
      <c r="E49" s="741" t="str">
        <f>IF(D49="","",C49-D49)</f>
        <v/>
      </c>
      <c r="F49" s="749">
        <f>'R7業務（長）'!J46</f>
        <v>4251590</v>
      </c>
      <c r="G49" s="750" t="n"/>
      <c r="H49" s="741" t="str">
        <f>IF(G49="","",F49-G49)</f>
        <v/>
      </c>
      <c r="I49" s="751" t="str">
        <f>IF(8&gt;締月,"",IF(OR(D49="",G49=""),"出納計算表 未入力",IF(AND(E49=0,H49=0),"OK","NG　差額あり")))</f>
        <v/>
      </c>
    </row>
    <row r="50">
      <c r="B50" s="748" t="inlineStr">
        <is>
          <t>12月</t>
        </is>
      </c>
      <c r="C50" s="749">
        <f>'R7業務（長）'!K38</f>
        <v>6162473</v>
      </c>
      <c r="D50" s="750" t="n"/>
      <c r="E50" s="741" t="str">
        <f>IF(D50="","",C50-D50)</f>
        <v/>
      </c>
      <c r="F50" s="749">
        <f>'R7業務（長）'!K46</f>
        <v>4513000</v>
      </c>
      <c r="G50" s="750" t="n"/>
      <c r="H50" s="741" t="str">
        <f>IF(G50="","",F50-G50)</f>
        <v/>
      </c>
      <c r="I50" s="751" t="str">
        <f>IF(9&gt;締月,"",IF(OR(D50="",G50=""),"出納計算表 未入力",IF(AND(E50=0,H50=0),"OK","NG　差額あり")))</f>
        <v/>
      </c>
    </row>
    <row r="51">
      <c r="B51" s="748" t="inlineStr">
        <is>
          <t>1月</t>
        </is>
      </c>
      <c r="C51" s="749">
        <f>'R7業務（長）'!L38</f>
        <v>6712949</v>
      </c>
      <c r="D51" s="750" t="n"/>
      <c r="E51" s="741" t="str">
        <f>IF(D51="","",C51-D51)</f>
        <v/>
      </c>
      <c r="F51" s="749">
        <f>'R7業務（長）'!L46</f>
        <v>4513000</v>
      </c>
      <c r="G51" s="750" t="n"/>
      <c r="H51" s="741" t="str">
        <f>IF(G51="","",F51-G51)</f>
        <v/>
      </c>
      <c r="I51" s="751" t="str">
        <f>IF(10&gt;締月,"",IF(OR(D51="",G51=""),"出納計算表 未入力",IF(AND(E51=0,H51=0),"OK","NG　差額あり")))</f>
        <v/>
      </c>
    </row>
    <row r="52">
      <c r="B52" s="748" t="inlineStr">
        <is>
          <t>2月</t>
        </is>
      </c>
      <c r="C52" s="749">
        <f>'R7業務（長）'!M38</f>
        <v>6080259</v>
      </c>
      <c r="D52" s="750" t="n"/>
      <c r="E52" s="741" t="str">
        <f>IF(D52="","",C52-D52)</f>
        <v/>
      </c>
      <c r="F52" s="749">
        <f>'R7業務（長）'!M46</f>
        <v>4513000</v>
      </c>
      <c r="G52" s="750" t="n"/>
      <c r="H52" s="741" t="str">
        <f>IF(G52="","",F52-G52)</f>
        <v/>
      </c>
      <c r="I52" s="751" t="str">
        <f>IF(11&gt;締月,"",IF(OR(D52="",G52=""),"出納計算表 未入力",IF(AND(E52=0,H52=0),"OK","NG　差額あり")))</f>
        <v/>
      </c>
    </row>
    <row r="53">
      <c r="B53" s="748" t="inlineStr">
        <is>
          <t>3月</t>
        </is>
      </c>
      <c r="C53" s="749">
        <f>'R7業務（長）'!N38</f>
        <v>10698750</v>
      </c>
      <c r="D53" s="750" t="n"/>
      <c r="E53" s="741" t="str">
        <f>IF(D53="","",C53-D53)</f>
        <v/>
      </c>
      <c r="F53" s="749">
        <f>'R7業務（長）'!N46</f>
        <v>4585258</v>
      </c>
      <c r="G53" s="750" t="n"/>
      <c r="H53" s="741" t="str">
        <f>IF(G53="","",F53-G53)</f>
        <v/>
      </c>
      <c r="I53" s="751" t="str">
        <f>IF(12&gt;締月,"",IF(OR(D53="",G53=""),"出納計算表 未入力",IF(AND(E53=0,H53=0),"OK","NG　差額あり")))</f>
        <v/>
      </c>
    </row>
    <row r="54">
      <c r="B54" s="748" t="inlineStr">
        <is>
          <t>4月(未払)</t>
        </is>
      </c>
      <c r="C54" s="749">
        <f>'R7業務（長）'!O38</f>
        <v>784007</v>
      </c>
      <c r="D54" s="750" t="n"/>
      <c r="E54" s="741" t="str">
        <f>IF(D54="","",C54-D54)</f>
        <v/>
      </c>
      <c r="F54" s="749">
        <f>'R7業務（長）'!O46</f>
        <v>0</v>
      </c>
      <c r="G54" s="750" t="n"/>
      <c r="H54" s="741" t="str">
        <f>IF(G54="","",F54-G54)</f>
        <v/>
      </c>
      <c r="I54" s="751" t="str">
        <f>IF(13&gt;締月,"",IF(OR(D54="",G54=""),"出納計算表 未入力",IF(AND(E54=0,H54=0),"OK","NG　差額あり")))</f>
        <v/>
      </c>
    </row>
    <row r="55">
      <c r="B55" s="743" t="inlineStr">
        <is>
          <t>締め月までの合計</t>
        </is>
      </c>
      <c r="C55" s="752">
        <f>SUMPRODUCT((ROW(C42:C54)-42+1&lt;=締月)*C42:C54)</f>
        <v>34924799</v>
      </c>
      <c r="D55" s="752">
        <f>SUMPRODUCT((ROW(D42:D54)-42+1&lt;=締月)*D42:D54)</f>
        <v>0</v>
      </c>
      <c r="E55" s="753">
        <f>C55-D55</f>
        <v>34924799</v>
      </c>
      <c r="F55" s="752">
        <f>SUMPRODUCT((ROW(F42:F54)-42+1&lt;=締月)*F42:F54)</f>
        <v>57221148</v>
      </c>
      <c r="G55" s="752">
        <f>SUMPRODUCT((ROW(G42:G54)-42+1&lt;=締月)*G42:G54)</f>
        <v>0</v>
      </c>
      <c r="H55" s="753">
        <f>F55-G55</f>
        <v>57221148</v>
      </c>
      <c r="I55" s="754" t="n"/>
    </row>
    <row r="57">
      <c r="B57" s="745" t="inlineStr">
        <is>
          <t>貸付経理</t>
        </is>
      </c>
      <c r="C57" s="746" t="n"/>
      <c r="D57" s="746" t="n"/>
      <c r="E57" s="746" t="n"/>
      <c r="F57" s="746" t="n"/>
      <c r="G57" s="746" t="n"/>
      <c r="H57" s="746" t="n"/>
      <c r="I57" s="747" t="n"/>
    </row>
    <row r="58" ht="18" customHeight="1" s="186">
      <c r="B58" s="737" t="inlineStr">
        <is>
          <t>月</t>
        </is>
      </c>
      <c r="C58" s="737" t="inlineStr">
        <is>
          <t>費用</t>
        </is>
      </c>
      <c r="D58" s="738" t="n"/>
      <c r="E58" s="739" t="n"/>
      <c r="F58" s="737" t="inlineStr">
        <is>
          <t>収益</t>
        </is>
      </c>
      <c r="G58" s="738" t="n"/>
      <c r="H58" s="739" t="n"/>
      <c r="I58" s="737" t="inlineStr">
        <is>
          <t>判定</t>
        </is>
      </c>
    </row>
    <row r="59" ht="18" customHeight="1" s="186">
      <c r="B59" s="737" t="inlineStr"/>
      <c r="C59" s="737" t="inlineStr">
        <is>
          <t>費用収益表</t>
        </is>
      </c>
      <c r="D59" s="737" t="inlineStr">
        <is>
          <t>出納計算表</t>
        </is>
      </c>
      <c r="E59" s="737" t="inlineStr">
        <is>
          <t>差額</t>
        </is>
      </c>
      <c r="F59" s="737" t="inlineStr">
        <is>
          <t>費用収益表</t>
        </is>
      </c>
      <c r="G59" s="737" t="inlineStr">
        <is>
          <t>出納計算表</t>
        </is>
      </c>
      <c r="H59" s="737" t="inlineStr">
        <is>
          <t>差額</t>
        </is>
      </c>
      <c r="I59" s="737" t="inlineStr"/>
    </row>
    <row r="60">
      <c r="B60" s="748" t="inlineStr">
        <is>
          <t>4月</t>
        </is>
      </c>
      <c r="C60" s="749">
        <f>'R8貸付'!C31</f>
        <v>542066</v>
      </c>
      <c r="D60" s="750" t="n"/>
      <c r="E60" s="741" t="str">
        <f>IF(D60="","",C60-D60)</f>
        <v/>
      </c>
      <c r="F60" s="749">
        <f>'R8貸付'!C36</f>
        <v>809638</v>
      </c>
      <c r="G60" s="750" t="n"/>
      <c r="H60" s="741" t="str">
        <f>IF(G60="","",F60-G60)</f>
        <v/>
      </c>
      <c r="I60" s="751" t="str">
        <f>IF(1&gt;締月,"",IF(OR(D60="",G60=""),"出納計算表 未入力",IF(AND(E60=0,H60=0),"OK","NG　差額あり")))</f>
        <v>出納計算表 未入力</v>
      </c>
    </row>
    <row r="61">
      <c r="B61" s="748" t="inlineStr">
        <is>
          <t>5月</t>
        </is>
      </c>
      <c r="C61" s="749">
        <f>'R8貸付'!D31</f>
        <v>962591</v>
      </c>
      <c r="D61" s="750" t="n"/>
      <c r="E61" s="741" t="str">
        <f>IF(D61="","",C61-D61)</f>
        <v/>
      </c>
      <c r="F61" s="749">
        <f>'R8貸付'!D36</f>
        <v>894954</v>
      </c>
      <c r="G61" s="750" t="n"/>
      <c r="H61" s="741" t="str">
        <f>IF(G61="","",F61-G61)</f>
        <v/>
      </c>
      <c r="I61" s="751" t="str">
        <f>IF(2&gt;締月,"",IF(OR(D61="",G61=""),"出納計算表 未入力",IF(AND(E61=0,H61=0),"OK","NG　差額あり")))</f>
        <v>出納計算表 未入力</v>
      </c>
    </row>
    <row r="62">
      <c r="B62" s="748" t="inlineStr">
        <is>
          <t>6月</t>
        </is>
      </c>
      <c r="C62" s="749">
        <f>'R8貸付'!E31</f>
        <v>1900656</v>
      </c>
      <c r="D62" s="750" t="n"/>
      <c r="E62" s="741" t="str">
        <f>IF(D62="","",C62-D62)</f>
        <v/>
      </c>
      <c r="F62" s="749">
        <f>'R8貸付'!E36</f>
        <v>974223</v>
      </c>
      <c r="G62" s="750" t="n"/>
      <c r="H62" s="741" t="str">
        <f>IF(G62="","",F62-G62)</f>
        <v/>
      </c>
      <c r="I62" s="751" t="str">
        <f>IF(3&gt;締月,"",IF(OR(D62="",G62=""),"出納計算表 未入力",IF(AND(E62=0,H62=0),"OK","NG　差額あり")))</f>
        <v>出納計算表 未入力</v>
      </c>
    </row>
    <row r="63">
      <c r="B63" s="748" t="inlineStr">
        <is>
          <t>7月</t>
        </is>
      </c>
      <c r="C63" s="749">
        <f>'R8貸付'!F31</f>
        <v>1106995</v>
      </c>
      <c r="D63" s="750" t="n"/>
      <c r="E63" s="741" t="str">
        <f>IF(D63="","",C63-D63)</f>
        <v/>
      </c>
      <c r="F63" s="749">
        <f>'R8貸付'!F36</f>
        <v>632156</v>
      </c>
      <c r="G63" s="750" t="n"/>
      <c r="H63" s="741" t="str">
        <f>IF(G63="","",F63-G63)</f>
        <v/>
      </c>
      <c r="I63" s="751" t="str">
        <f>IF(4&gt;締月,"",IF(OR(D63="",G63=""),"出納計算表 未入力",IF(AND(E63=0,H63=0),"OK","NG　差額あり")))</f>
        <v>出納計算表 未入力</v>
      </c>
    </row>
    <row r="64">
      <c r="B64" s="748" t="inlineStr">
        <is>
          <t>8月</t>
        </is>
      </c>
      <c r="C64" s="749">
        <f>'R8貸付'!G31</f>
        <v>1423062</v>
      </c>
      <c r="D64" s="750" t="n"/>
      <c r="E64" s="741" t="str">
        <f>IF(D64="","",C64-D64)</f>
        <v/>
      </c>
      <c r="F64" s="749">
        <f>'R8貸付'!G36</f>
        <v>829696</v>
      </c>
      <c r="G64" s="750" t="n"/>
      <c r="H64" s="741" t="str">
        <f>IF(G64="","",F64-G64)</f>
        <v/>
      </c>
      <c r="I64" s="751" t="str">
        <f>IF(5&gt;締月,"",IF(OR(D64="",G64=""),"出納計算表 未入力",IF(AND(E64=0,H64=0),"OK","NG　差額あり")))</f>
        <v>出納計算表 未入力</v>
      </c>
    </row>
    <row r="65">
      <c r="B65" s="748" t="inlineStr">
        <is>
          <t>9月</t>
        </is>
      </c>
      <c r="C65" s="749">
        <f>'R8貸付'!H31</f>
        <v>1089403</v>
      </c>
      <c r="D65" s="750" t="n"/>
      <c r="E65" s="741" t="str">
        <f>IF(D65="","",C65-D65)</f>
        <v/>
      </c>
      <c r="F65" s="749">
        <f>'R8貸付'!H36</f>
        <v>802084</v>
      </c>
      <c r="G65" s="750" t="n"/>
      <c r="H65" s="741" t="str">
        <f>IF(G65="","",F65-G65)</f>
        <v/>
      </c>
      <c r="I65" s="751" t="str">
        <f>IF(6&gt;締月,"",IF(OR(D65="",G65=""),"出納計算表 未入力",IF(AND(E65=0,H65=0),"OK","NG　差額あり")))</f>
        <v>出納計算表 未入力</v>
      </c>
    </row>
    <row r="66">
      <c r="B66" s="748" t="inlineStr">
        <is>
          <t>10月</t>
        </is>
      </c>
      <c r="C66" s="749">
        <f>'R8貸付'!I31</f>
        <v>1080718</v>
      </c>
      <c r="D66" s="750" t="n"/>
      <c r="E66" s="741" t="str">
        <f>IF(D66="","",C66-D66)</f>
        <v/>
      </c>
      <c r="F66" s="749">
        <f>'R8貸付'!I36</f>
        <v>838256</v>
      </c>
      <c r="G66" s="750" t="n"/>
      <c r="H66" s="741" t="str">
        <f>IF(G66="","",F66-G66)</f>
        <v/>
      </c>
      <c r="I66" s="751" t="str">
        <f>IF(7&gt;締月,"",IF(OR(D66="",G66=""),"出納計算表 未入力",IF(AND(E66=0,H66=0),"OK","NG　差額あり")))</f>
        <v/>
      </c>
    </row>
    <row r="67">
      <c r="B67" s="748" t="inlineStr">
        <is>
          <t>11月</t>
        </is>
      </c>
      <c r="C67" s="749">
        <f>'R8貸付'!J31</f>
        <v>913437</v>
      </c>
      <c r="D67" s="750" t="n"/>
      <c r="E67" s="741" t="str">
        <f>IF(D67="","",C67-D67)</f>
        <v/>
      </c>
      <c r="F67" s="749">
        <f>'R8貸付'!J36</f>
        <v>820237</v>
      </c>
      <c r="G67" s="750" t="n"/>
      <c r="H67" s="741" t="str">
        <f>IF(G67="","",F67-G67)</f>
        <v/>
      </c>
      <c r="I67" s="751" t="str">
        <f>IF(8&gt;締月,"",IF(OR(D67="",G67=""),"出納計算表 未入力",IF(AND(E67=0,H67=0),"OK","NG　差額あり")))</f>
        <v/>
      </c>
    </row>
    <row r="68">
      <c r="B68" s="748" t="inlineStr">
        <is>
          <t>12月</t>
        </is>
      </c>
      <c r="C68" s="749">
        <f>'R8貸付'!K31</f>
        <v>1921335</v>
      </c>
      <c r="D68" s="750" t="n"/>
      <c r="E68" s="741" t="str">
        <f>IF(D68="","",C68-D68)</f>
        <v/>
      </c>
      <c r="F68" s="749">
        <f>'R8貸付'!K36</f>
        <v>1204671</v>
      </c>
      <c r="G68" s="750" t="n"/>
      <c r="H68" s="741" t="str">
        <f>IF(G68="","",F68-G68)</f>
        <v/>
      </c>
      <c r="I68" s="751" t="str">
        <f>IF(9&gt;締月,"",IF(OR(D68="",G68=""),"出納計算表 未入力",IF(AND(E68=0,H68=0),"OK","NG　差額あり")))</f>
        <v/>
      </c>
    </row>
    <row r="69">
      <c r="B69" s="748" t="inlineStr">
        <is>
          <t>1月</t>
        </is>
      </c>
      <c r="C69" s="749">
        <f>'R8貸付'!L31</f>
        <v>1092749</v>
      </c>
      <c r="D69" s="750" t="n"/>
      <c r="E69" s="741" t="str">
        <f>IF(D69="","",C69-D69)</f>
        <v/>
      </c>
      <c r="F69" s="749">
        <f>'R8貸付'!L36</f>
        <v>814454</v>
      </c>
      <c r="G69" s="750" t="n"/>
      <c r="H69" s="741" t="str">
        <f>IF(G69="","",F69-G69)</f>
        <v/>
      </c>
      <c r="I69" s="751" t="str">
        <f>IF(10&gt;締月,"",IF(OR(D69="",G69=""),"出納計算表 未入力",IF(AND(E69=0,H69=0),"OK","NG　差額あり")))</f>
        <v/>
      </c>
    </row>
    <row r="70">
      <c r="B70" s="748" t="inlineStr">
        <is>
          <t>2月</t>
        </is>
      </c>
      <c r="C70" s="749">
        <f>'R8貸付'!M31</f>
        <v>1053997</v>
      </c>
      <c r="D70" s="750" t="n"/>
      <c r="E70" s="741" t="str">
        <f>IF(D70="","",C70-D70)</f>
        <v/>
      </c>
      <c r="F70" s="749">
        <f>'R8貸付'!M36</f>
        <v>834390</v>
      </c>
      <c r="G70" s="750" t="n"/>
      <c r="H70" s="741" t="str">
        <f>IF(G70="","",F70-G70)</f>
        <v/>
      </c>
      <c r="I70" s="751" t="str">
        <f>IF(11&gt;締月,"",IF(OR(D70="",G70=""),"出納計算表 未入力",IF(AND(E70=0,H70=0),"OK","NG　差額あり")))</f>
        <v/>
      </c>
    </row>
    <row r="71">
      <c r="B71" s="748" t="inlineStr">
        <is>
          <t>3月</t>
        </is>
      </c>
      <c r="C71" s="749">
        <f>'R8貸付'!N31</f>
        <v>1006894</v>
      </c>
      <c r="D71" s="750" t="n"/>
      <c r="E71" s="741" t="str">
        <f>IF(D71="","",C71-D71)</f>
        <v/>
      </c>
      <c r="F71" s="749">
        <f>'R8貸付'!N36</f>
        <v>801567</v>
      </c>
      <c r="G71" s="750" t="n"/>
      <c r="H71" s="741" t="str">
        <f>IF(G71="","",F71-G71)</f>
        <v/>
      </c>
      <c r="I71" s="751" t="str">
        <f>IF(12&gt;締月,"",IF(OR(D71="",G71=""),"出納計算表 未入力",IF(AND(E71=0,H71=0),"OK","NG　差額あり")))</f>
        <v/>
      </c>
    </row>
    <row r="72">
      <c r="B72" s="748" t="inlineStr">
        <is>
          <t>4月(未払)</t>
        </is>
      </c>
      <c r="C72" s="749">
        <f>'R8貸付'!O31</f>
        <v>595170</v>
      </c>
      <c r="D72" s="750" t="n"/>
      <c r="E72" s="741" t="str">
        <f>IF(D72="","",C72-D72)</f>
        <v/>
      </c>
      <c r="F72" s="749">
        <f>'R8貸付'!O36</f>
        <v>247126</v>
      </c>
      <c r="G72" s="750" t="n"/>
      <c r="H72" s="741" t="str">
        <f>IF(G72="","",F72-G72)</f>
        <v/>
      </c>
      <c r="I72" s="751" t="str">
        <f>IF(13&gt;締月,"",IF(OR(D72="",G72=""),"出納計算表 未入力",IF(AND(E72=0,H72=0),"OK","NG　差額あり")))</f>
        <v/>
      </c>
    </row>
    <row r="73">
      <c r="B73" s="743" t="inlineStr">
        <is>
          <t>締め月までの合計</t>
        </is>
      </c>
      <c r="C73" s="752">
        <f>SUMPRODUCT((ROW(C60:C72)-60+1&lt;=締月)*C60:C72)</f>
        <v>7024773</v>
      </c>
      <c r="D73" s="752">
        <f>SUMPRODUCT((ROW(D60:D72)-60+1&lt;=締月)*D60:D72)</f>
        <v>0</v>
      </c>
      <c r="E73" s="753">
        <f>C73-D73</f>
        <v>7024773</v>
      </c>
      <c r="F73" s="752">
        <f>SUMPRODUCT((ROW(F60:F72)-60+1&lt;=締月)*F60:F72)</f>
        <v>4942751</v>
      </c>
      <c r="G73" s="752">
        <f>SUMPRODUCT((ROW(G60:G72)-60+1&lt;=締月)*G60:G72)</f>
        <v>0</v>
      </c>
      <c r="H73" s="753">
        <f>F73-G73</f>
        <v>4942751</v>
      </c>
      <c r="I73" s="754" t="n"/>
    </row>
  </sheetData>
  <mergeCells count="20">
    <mergeCell ref="E12:I12"/>
    <mergeCell ref="C22:E22"/>
    <mergeCell ref="C40:E40"/>
    <mergeCell ref="E14:I14"/>
    <mergeCell ref="B21:I21"/>
    <mergeCell ref="F22:H22"/>
    <mergeCell ref="B39:I39"/>
    <mergeCell ref="E10:I10"/>
    <mergeCell ref="E13:I13"/>
    <mergeCell ref="G4:I4"/>
    <mergeCell ref="F58:H58"/>
    <mergeCell ref="B57:I57"/>
    <mergeCell ref="A1:J1"/>
    <mergeCell ref="E15:I15"/>
    <mergeCell ref="D5:I5"/>
    <mergeCell ref="E11:I11"/>
    <mergeCell ref="C58:E58"/>
    <mergeCell ref="E16:I16"/>
    <mergeCell ref="F40:H40"/>
    <mergeCell ref="A2:J2"/>
  </mergeCells>
  <conditionalFormatting sqref="G4:I4">
    <cfRule type="expression" priority="1" dxfId="0">
      <formula>検算!$F$3&gt;0</formula>
    </cfRule>
  </conditionalFormatting>
  <conditionalFormatting sqref="C16:D16">
    <cfRule type="expression" priority="2" dxfId="1">
      <formula>C16="OK"</formula>
    </cfRule>
    <cfRule type="expression" priority="3" dxfId="2">
      <formula>C16="要対応"</formula>
    </cfRule>
  </conditionalFormatting>
  <conditionalFormatting sqref="B24:I36">
    <cfRule type="expression" priority="4" dxfId="3">
      <formula>ROW()-24+1&gt;締月</formula>
    </cfRule>
  </conditionalFormatting>
  <conditionalFormatting sqref="I24:I36">
    <cfRule type="expression" priority="5" dxfId="4">
      <formula>LEFT(I24,2)="NG"</formula>
    </cfRule>
    <cfRule type="expression" priority="6" dxfId="1">
      <formula>I24="OK"</formula>
    </cfRule>
    <cfRule type="expression" priority="7" dxfId="5">
      <formula>RIGHT(I24,3)="未入力"</formula>
    </cfRule>
  </conditionalFormatting>
  <conditionalFormatting sqref="B42:I54">
    <cfRule type="expression" priority="8" dxfId="3">
      <formula>ROW()-42+1&gt;締月</formula>
    </cfRule>
  </conditionalFormatting>
  <conditionalFormatting sqref="I42:I54">
    <cfRule type="expression" priority="9" dxfId="4">
      <formula>LEFT(I42,2)="NG"</formula>
    </cfRule>
    <cfRule type="expression" priority="10" dxfId="1">
      <formula>I42="OK"</formula>
    </cfRule>
    <cfRule type="expression" priority="11" dxfId="5">
      <formula>RIGHT(I42,3)="未入力"</formula>
    </cfRule>
  </conditionalFormatting>
  <conditionalFormatting sqref="B60:I72">
    <cfRule type="expression" priority="12" dxfId="3">
      <formula>ROW()-60+1&gt;締月</formula>
    </cfRule>
  </conditionalFormatting>
  <conditionalFormatting sqref="I60:I72">
    <cfRule type="expression" priority="13" dxfId="4">
      <formula>LEFT(I60,2)="NG"</formula>
    </cfRule>
    <cfRule type="expression" priority="14" dxfId="1">
      <formula>I60="OK"</formula>
    </cfRule>
    <cfRule type="expression" priority="15" dxfId="5">
      <formula>RIGHT(I60,3)="未入力"</formula>
    </cfRule>
  </conditionalFormatting>
  <dataValidations count="1">
    <dataValidation sqref="C5" showDropDown="0" showInputMessage="0" showErrorMessage="1" allowBlank="0" type="list">
      <formula1>=科目表!$N$5:$N$18</formula1>
    </dataValidation>
  </dataValidations>
  <printOptions horizontalCentered="1"/>
  <pageMargins left="0.4" right="0.4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 codeName="Sheet1">
    <tabColor rgb="002E75B6"/>
    <outlinePr summaryBelow="1" summaryRight="1"/>
    <pageSetUpPr/>
  </sheetPr>
  <dimension ref="A1:U842"/>
  <sheetViews>
    <sheetView showGridLines="0" tabSelected="0" view="pageBreakPreview" zoomScaleNormal="100" zoomScaleSheetLayoutView="100" workbookViewId="0">
      <pane ySplit="4" topLeftCell="A427" activePane="bottomLeft" state="frozen"/>
      <selection pane="bottomLeft" activeCell="F432" sqref="F432"/>
    </sheetView>
  </sheetViews>
  <sheetFormatPr baseColWidth="8" defaultRowHeight="12"/>
  <cols>
    <col width="10.5" customWidth="1" style="755" min="1" max="2"/>
    <col width="10.875" customWidth="1" style="600" min="3" max="4"/>
    <col width="46.75" customWidth="1" style="600" min="5" max="5"/>
    <col width="14.625" customWidth="1" style="602" min="6" max="6"/>
    <col width="13" customWidth="1" style="602" min="7" max="7"/>
    <col width="11.5" customWidth="1" style="602" min="8" max="12"/>
    <col width="10" customWidth="1" style="55" min="13" max="13"/>
    <col width="9" customWidth="1" style="66" min="14" max="16384"/>
    <col width="10" customWidth="1" style="186" min="16" max="16"/>
    <col width="18" customWidth="1" style="186" min="17" max="17"/>
    <col width="11" customWidth="1" style="186" min="18" max="18"/>
    <col width="20" customWidth="1" style="186" min="19" max="19"/>
    <col width="20" customWidth="1" style="186" min="20" max="20"/>
    <col width="8" customWidth="1" style="186" min="21" max="21"/>
  </cols>
  <sheetData>
    <row r="1" ht="22.5" customHeight="1" s="186">
      <c r="A1" s="704" t="inlineStr">
        <is>
          <t xml:space="preserve">令和　８　年　度　業　務　経　理　経　費　給　付　区　分　別　執　行　額　一　覧　表　</t>
        </is>
      </c>
      <c r="L1" s="615" t="n"/>
      <c r="M1" s="705" t="n"/>
    </row>
    <row r="2" ht="7.5" customHeight="1" s="186">
      <c r="A2" s="756" t="n"/>
      <c r="B2" s="756" t="n"/>
      <c r="C2" s="616" t="n"/>
      <c r="D2" s="616" t="n"/>
      <c r="E2" s="616" t="n"/>
      <c r="F2" s="616" t="n"/>
      <c r="G2" s="616" t="n"/>
      <c r="H2" s="616" t="n"/>
      <c r="I2" s="617" t="n"/>
      <c r="J2" s="616" t="n"/>
      <c r="K2" s="616" t="inlineStr">
        <is>
          <t>（単位:円）</t>
        </is>
      </c>
      <c r="L2" s="616" t="n"/>
      <c r="M2" s="705" t="n"/>
    </row>
    <row r="3" ht="49.5" customHeight="1" s="186">
      <c r="A3" s="757" t="n"/>
      <c r="B3" s="757" t="n"/>
      <c r="C3" s="586" t="n"/>
      <c r="D3" s="586" t="n"/>
      <c r="E3" s="586" t="n"/>
      <c r="F3" s="587" t="n"/>
      <c r="G3" s="618" t="n"/>
      <c r="H3" s="619" t="n"/>
      <c r="I3" s="619" t="n"/>
      <c r="J3" s="619" t="n"/>
      <c r="K3" s="620" t="n"/>
      <c r="L3" s="576" t="n"/>
      <c r="P3" s="728" t="inlineStr">
        <is>
          <t>←支払担当者が「未確認」、経理担当者が伝票確認後に「確認済」</t>
        </is>
      </c>
    </row>
    <row r="4" ht="75" customFormat="1" customHeight="1" s="72">
      <c r="A4" s="758" t="inlineStr">
        <is>
          <t>支出日</t>
        </is>
      </c>
      <c r="B4" s="758" t="n"/>
      <c r="C4" s="589" t="inlineStr">
        <is>
          <t>中項目</t>
        </is>
      </c>
      <c r="D4" s="589" t="inlineStr">
        <is>
          <t>小項目</t>
        </is>
      </c>
      <c r="E4" s="67" t="inlineStr">
        <is>
          <t>摘要</t>
        </is>
      </c>
      <c r="F4" s="590" t="inlineStr">
        <is>
          <t>執行額</t>
        </is>
      </c>
      <c r="G4" s="590" t="inlineStr">
        <is>
          <t>経費区分</t>
        </is>
      </c>
      <c r="H4" s="621" t="inlineStr">
        <is>
          <t xml:space="preserve">短期
</t>
        </is>
      </c>
      <c r="I4" s="621" t="inlineStr">
        <is>
          <t xml:space="preserve">厚年
</t>
        </is>
      </c>
      <c r="J4" s="621" t="inlineStr">
        <is>
          <t xml:space="preserve">経過的
</t>
        </is>
      </c>
      <c r="K4" s="622" t="inlineStr">
        <is>
          <t xml:space="preserve">退職等
</t>
        </is>
      </c>
      <c r="L4" s="623" t="inlineStr">
        <is>
          <t xml:space="preserve">（再掲）
退職等単独
</t>
        </is>
      </c>
      <c r="M4" s="56" t="inlineStr">
        <is>
          <t>作業列
（支給月）</t>
        </is>
      </c>
      <c r="P4" s="759" t="inlineStr">
        <is>
          <t>状態</t>
        </is>
      </c>
      <c r="Q4" s="759" t="inlineStr">
        <is>
          <t>費目
(自動)</t>
        </is>
      </c>
      <c r="R4" s="759" t="inlineStr">
        <is>
          <t>長期額
(自動)</t>
        </is>
      </c>
      <c r="S4" s="759" t="inlineStr">
        <is>
          <t>短期
通番キー</t>
        </is>
      </c>
      <c r="T4" s="759" t="inlineStr">
        <is>
          <t>長期
通番キー</t>
        </is>
      </c>
      <c r="U4" s="759" t="inlineStr">
        <is>
          <t>計上列
(自動)</t>
        </is>
      </c>
    </row>
    <row r="5" ht="16.5" customFormat="1" customHeight="1" s="418">
      <c r="A5" s="760" t="n">
        <v>45756</v>
      </c>
      <c r="B5" s="761" t="n"/>
      <c r="C5" s="762" t="inlineStr">
        <is>
          <t>事務費</t>
        </is>
      </c>
      <c r="D5" s="762" t="inlineStr">
        <is>
          <t>通信運搬費</t>
        </is>
      </c>
      <c r="E5" s="763" t="inlineStr">
        <is>
          <t>切手</t>
        </is>
      </c>
      <c r="F5" s="764" t="n">
        <v>178000</v>
      </c>
      <c r="G5" s="764" t="n">
        <v>2</v>
      </c>
      <c r="H5" s="765">
        <f>IF(G5=1,F5-I5-J5-K5,IF(G5=2,F5,0))</f>
        <v>178000</v>
      </c>
      <c r="I5" s="765">
        <f>ROUND(IF(G5=1,F5*10/23,IF(G5=3,F5-J5-K5,IF(G5=4,F5,IF(G5=5,F5*10/11,IF(G5=7,F5*10/11,0))))),0)</f>
        <v>0</v>
      </c>
      <c r="J5" s="765">
        <f>ROUND(IF(G5=1,F5/23,IF(G5=3,F5/12,IF(G5=5,F5-I5,IF(G5=8,F5,0)))),0)</f>
        <v>0</v>
      </c>
      <c r="K5" s="766">
        <f>ROUND(IF(G5=1,F5/23,IF(G5=3,F5/12,IF(G5=6,F5,IF(G5=7,F5-I5,0)))),0)</f>
        <v>0</v>
      </c>
      <c r="L5" s="767">
        <f>IF(G5=6,F5,0)</f>
        <v>0</v>
      </c>
      <c r="M5" s="570">
        <f>IF(F5="",0,MONTH(A5))</f>
        <v>4</v>
      </c>
      <c r="P5" s="768" t="inlineStr">
        <is>
          <t>昨年実績</t>
        </is>
      </c>
      <c r="Q5" s="769" t="str">
        <f>IF($F5="","",IFERROR(VLOOKUP($C5&amp;"|"&amp;$D5,科目表!$A$5:$B$200,2,FALSE),"※未登録"))</f>
        <v>通信運搬費</v>
      </c>
      <c r="R5" s="769">
        <f>IF($F5="","",$I5+$J5+$K5)</f>
        <v>0</v>
      </c>
      <c r="S5" s="769" t="str">
        <f>IF(OR($F5="",$P5="支払なし",$H5=0,$Q5=""),"",$Q5&amp;"|S|"&amp;(COUNTIF(S$4:S4,$Q5&amp;"|S|*")+1))</f>
        <v>通信運搬費|S|1</v>
      </c>
      <c r="T5" s="769" t="str">
        <f>IF(OR($F5="",$P5="支払なし",$R5=0,$Q5=""),"",$Q5&amp;"|L|"&amp;(COUNTIF(T$4:T4,$Q5&amp;"|L|*")+1))</f>
        <v/>
      </c>
      <c r="U5" s="769">
        <f>IF(OR($F5="",$A5=""),"",MOD(MONTH($A5)-4,12)+1)</f>
        <v>1</v>
      </c>
    </row>
    <row r="6" ht="16.5" customFormat="1" customHeight="1" s="43">
      <c r="A6" s="760" t="n">
        <v>46140</v>
      </c>
      <c r="B6" s="761" t="n"/>
      <c r="C6" s="762" t="inlineStr">
        <is>
          <t>事務費</t>
        </is>
      </c>
      <c r="D6" s="762" t="inlineStr">
        <is>
          <t>事務用消耗品費</t>
        </is>
      </c>
      <c r="E6" s="770" t="inlineStr">
        <is>
          <t>令和８年度基幹ウイルス対策ソフト（ミツイワ株式会社）短期</t>
        </is>
      </c>
      <c r="F6" s="771" t="n">
        <v>20482</v>
      </c>
      <c r="G6" s="772" t="n">
        <v>2</v>
      </c>
      <c r="H6" s="765">
        <f>IF(G6=1,F6-I6-J6-K6,IF(G6=2,F6,0))</f>
        <v>20482</v>
      </c>
      <c r="I6" s="765">
        <f>ROUND(IF(G6=1,F6*10/23,IF(G6=3,F6-J6-K6,IF(G6=4,F6,IF(G6=5,F6*10/11,IF(G6=7,F6*10/11,0))))),0)</f>
        <v>0</v>
      </c>
      <c r="J6" s="765">
        <f>ROUND(IF(G6=1,F6/23,IF(G6=3,F6/12,IF(G6=5,F6-I6,IF(G6=8,F6,0)))),0)</f>
        <v>0</v>
      </c>
      <c r="K6" s="766">
        <f>ROUND(IF(G6=1,F6/23,IF(G6=3,F6/12,IF(G6=6,F6,IF(G6=7,F6-I6,0)))),0)</f>
        <v>0</v>
      </c>
      <c r="L6" s="767">
        <f>IF(G6=6,F6,0)</f>
        <v>0</v>
      </c>
      <c r="M6" s="572">
        <f>IF(F6="",0,MONTH(A6))</f>
        <v>4</v>
      </c>
      <c r="P6" s="768" t="inlineStr">
        <is>
          <t>確認済</t>
        </is>
      </c>
      <c r="Q6" s="769" t="str">
        <f>IF($F6="","",IFERROR(VLOOKUP($C6&amp;"|"&amp;$D6,科目表!$A$5:$B$200,2,FALSE),"※未登録"))</f>
        <v>事務用消耗品費</v>
      </c>
      <c r="R6" s="769">
        <f>IF($F6="","",$I6+$J6+$K6)</f>
        <v>0</v>
      </c>
      <c r="S6" s="769" t="str">
        <f>IF(OR($F6="",$P6="支払なし",$H6=0,$Q6=""),"",$Q6&amp;"|S|"&amp;(COUNTIF(S$4:S5,$Q6&amp;"|S|*")+1))</f>
        <v>事務用消耗品費|S|1</v>
      </c>
      <c r="T6" s="769" t="str">
        <f>IF(OR($F6="",$P6="支払なし",$R6=0,$Q6=""),"",$Q6&amp;"|L|"&amp;(COUNTIF(T$4:T5,$Q6&amp;"|L|*")+1))</f>
        <v/>
      </c>
      <c r="U6" s="769">
        <f>IF(OR($F6="",$A6=""),"",MOD(MONTH($A6)-4,12)+1)</f>
        <v>1</v>
      </c>
    </row>
    <row r="7" ht="16.5" customFormat="1" customHeight="1" s="43">
      <c r="A7" s="760" t="n">
        <v>46140</v>
      </c>
      <c r="B7" s="761" t="n"/>
      <c r="C7" s="762" t="inlineStr">
        <is>
          <t>事務費</t>
        </is>
      </c>
      <c r="D7" s="762" t="inlineStr">
        <is>
          <t>事務用消耗品費</t>
        </is>
      </c>
      <c r="E7" s="770" t="inlineStr">
        <is>
          <t>令和８年度基幹ウイルス対策ソフト（ミツイワ株式会社）長期</t>
        </is>
      </c>
      <c r="F7" s="771" t="n">
        <v>8778</v>
      </c>
      <c r="G7" s="772" t="n">
        <v>3</v>
      </c>
      <c r="H7" s="765">
        <f>IF(G7=1,F7-I7-J7-K7,IF(G7=2,F7,0))</f>
        <v>0</v>
      </c>
      <c r="I7" s="765">
        <f>ROUND(IF(G7=1,F7*10/23,IF(G7=3,F7-J7-K7,IF(G7=4,F7,IF(G7=5,F7*10/11,IF(G7=7,F7*10/11,0))))),0)</f>
        <v>7314</v>
      </c>
      <c r="J7" s="765">
        <f>ROUND(IF(G7=1,F7/23,IF(G7=3,F7/12,IF(G7=5,F7-I7,IF(G7=8,F7,0)))),0)</f>
        <v>732</v>
      </c>
      <c r="K7" s="766">
        <f>ROUND(IF(G7=1,F7/23,IF(G7=3,F7/12,IF(G7=6,F7,IF(G7=7,F7-I7,0)))),0)</f>
        <v>732</v>
      </c>
      <c r="L7" s="767">
        <f>IF(G7=6,F7,0)</f>
        <v>0</v>
      </c>
      <c r="M7" s="572">
        <f>IF(F7="",0,MONTH(A7))</f>
        <v>4</v>
      </c>
      <c r="P7" s="768" t="inlineStr">
        <is>
          <t>確認済</t>
        </is>
      </c>
      <c r="Q7" s="769" t="str">
        <f>IF($F7="","",IFERROR(VLOOKUP($C7&amp;"|"&amp;$D7,科目表!$A$5:$B$200,2,FALSE),"※未登録"))</f>
        <v>事務用消耗品費</v>
      </c>
      <c r="R7" s="769">
        <f>IF($F7="","",$I7+$J7+$K7)</f>
        <v>8778</v>
      </c>
      <c r="S7" s="769" t="str">
        <f>IF(OR($F7="",$P7="支払なし",$H7=0,$Q7=""),"",$Q7&amp;"|S|"&amp;(COUNTIF(S$4:S6,$Q7&amp;"|S|*")+1))</f>
        <v/>
      </c>
      <c r="T7" s="769" t="str">
        <f>IF(OR($F7="",$P7="支払なし",$R7=0,$Q7=""),"",$Q7&amp;"|L|"&amp;(COUNTIF(T$4:T6,$Q7&amp;"|L|*")+1))</f>
        <v>事務用消耗品費|L|1</v>
      </c>
      <c r="U7" s="769">
        <f>IF(OR($F7="",$A7=""),"",MOD(MONTH($A7)-4,12)+1)</f>
        <v>1</v>
      </c>
    </row>
    <row r="8" ht="16.5" customFormat="1" customHeight="1" s="422">
      <c r="A8" s="760" t="n">
        <v>44316</v>
      </c>
      <c r="B8" s="761" t="n"/>
      <c r="C8" s="762" t="inlineStr">
        <is>
          <t>事務費</t>
        </is>
      </c>
      <c r="D8" s="762" t="inlineStr">
        <is>
          <t>事務用消耗品費</t>
        </is>
      </c>
      <c r="E8" s="763" t="inlineStr">
        <is>
          <t>CD／DVDファイルＡ４１２ＪーＣ　他</t>
        </is>
      </c>
      <c r="F8" s="772" t="n">
        <v>24407</v>
      </c>
      <c r="G8" s="772" t="n">
        <v>2</v>
      </c>
      <c r="H8" s="765">
        <f>IF(G8=1,F8-I8-J8-K8,IF(G8=2,F8,0))</f>
        <v>24407</v>
      </c>
      <c r="I8" s="765">
        <f>ROUND(IF(G8=1,F8*10/23,IF(G8=3,F8-J8-K8,IF(G8=4,F8,IF(G8=5,F8*10/11,IF(G8=7,F8*10/11,0))))),0)</f>
        <v>0</v>
      </c>
      <c r="J8" s="765">
        <f>ROUND(IF(G8=1,F8/23,IF(G8=3,F8/12,IF(G8=5,F8-I8,IF(G8=8,F8,0)))),0)</f>
        <v>0</v>
      </c>
      <c r="K8" s="766">
        <f>ROUND(IF(G8=1,F8/23,IF(G8=3,F8/12,IF(G8=6,F8,IF(G8=7,F8-I8,0)))),0)</f>
        <v>0</v>
      </c>
      <c r="L8" s="767">
        <f>IF(G8=6,F8,0)</f>
        <v>0</v>
      </c>
      <c r="M8" s="421">
        <f>IF(F8="",0,MONTH(A8))</f>
        <v>4</v>
      </c>
      <c r="P8" s="768" t="inlineStr">
        <is>
          <t>昨年実績</t>
        </is>
      </c>
      <c r="Q8" s="769" t="str">
        <f>IF($F8="","",IFERROR(VLOOKUP($C8&amp;"|"&amp;$D8,科目表!$A$5:$B$200,2,FALSE),"※未登録"))</f>
        <v>事務用消耗品費</v>
      </c>
      <c r="R8" s="769">
        <f>IF($F8="","",$I8+$J8+$K8)</f>
        <v>0</v>
      </c>
      <c r="S8" s="769" t="str">
        <f>IF(OR($F8="",$P8="支払なし",$H8=0,$Q8=""),"",$Q8&amp;"|S|"&amp;(COUNTIF(S$4:S7,$Q8&amp;"|S|*")+1))</f>
        <v>事務用消耗品費|S|2</v>
      </c>
      <c r="T8" s="769" t="str">
        <f>IF(OR($F8="",$P8="支払なし",$R8=0,$Q8=""),"",$Q8&amp;"|L|"&amp;(COUNTIF(T$4:T7,$Q8&amp;"|L|*")+1))</f>
        <v/>
      </c>
      <c r="U8" s="769">
        <f>IF(OR($F8="",$A8=""),"",MOD(MONTH($A8)-4,12)+1)</f>
        <v>1</v>
      </c>
    </row>
    <row r="9" ht="16.5" customFormat="1" customHeight="1" s="422">
      <c r="A9" s="760" t="n">
        <v>45764</v>
      </c>
      <c r="B9" s="761" t="n"/>
      <c r="C9" s="762" t="inlineStr">
        <is>
          <t>事務費</t>
        </is>
      </c>
      <c r="D9" s="762" t="inlineStr">
        <is>
          <t>通信運搬費</t>
        </is>
      </c>
      <c r="E9" s="773" t="inlineStr">
        <is>
          <t>切手</t>
        </is>
      </c>
      <c r="F9" s="764" t="n">
        <v>173700</v>
      </c>
      <c r="G9" s="764" t="n">
        <v>3</v>
      </c>
      <c r="H9" s="765">
        <f>IF(G9=1,F9-I9-J9-K9,IF(G9=2,F9,0))</f>
        <v>0</v>
      </c>
      <c r="I9" s="765">
        <f>ROUND(IF(G9=1,F9*10/23,IF(G9=3,F9-J9-K9,IF(G9=4,F9,IF(G9=5,F9*10/11,IF(G9=7,F9*10/11,0))))),0)</f>
        <v>144750</v>
      </c>
      <c r="J9" s="765">
        <f>ROUND(IF(G9=1,F9/23,IF(G9=3,F9/12,IF(G9=5,F9-I9,IF(G9=8,F9,0)))),0)</f>
        <v>14475</v>
      </c>
      <c r="K9" s="766">
        <f>ROUND(IF(G9=1,F9/23,IF(G9=3,F9/12,IF(G9=6,F9,IF(G9=7,F9-I9,0)))),0)</f>
        <v>14475</v>
      </c>
      <c r="L9" s="767">
        <f>IF(G9=6,F9,0)</f>
        <v>0</v>
      </c>
      <c r="M9" s="572">
        <f>IF(F9="",0,MONTH(A9))</f>
        <v>4</v>
      </c>
      <c r="P9" s="768" t="inlineStr">
        <is>
          <t>昨年実績</t>
        </is>
      </c>
      <c r="Q9" s="769" t="str">
        <f>IF($F9="","",IFERROR(VLOOKUP($C9&amp;"|"&amp;$D9,科目表!$A$5:$B$200,2,FALSE),"※未登録"))</f>
        <v>通信運搬費</v>
      </c>
      <c r="R9" s="769">
        <f>IF($F9="","",$I9+$J9+$K9)</f>
        <v>173700</v>
      </c>
      <c r="S9" s="769" t="str">
        <f>IF(OR($F9="",$P9="支払なし",$H9=0,$Q9=""),"",$Q9&amp;"|S|"&amp;(COUNTIF(S$4:S8,$Q9&amp;"|S|*")+1))</f>
        <v/>
      </c>
      <c r="T9" s="769" t="str">
        <f>IF(OR($F9="",$P9="支払なし",$R9=0,$Q9=""),"",$Q9&amp;"|L|"&amp;(COUNTIF(T$4:T8,$Q9&amp;"|L|*")+1))</f>
        <v>通信運搬費|L|1</v>
      </c>
      <c r="U9" s="769">
        <f>IF(OR($F9="",$A9=""),"",MOD(MONTH($A9)-4,12)+1)</f>
        <v>1</v>
      </c>
    </row>
    <row r="10" ht="16.5" customFormat="1" customHeight="1" s="43">
      <c r="A10" s="760" t="n">
        <v>46132</v>
      </c>
      <c r="B10" s="761" t="n"/>
      <c r="C10" s="762" t="inlineStr">
        <is>
          <t>委託費</t>
        </is>
      </c>
      <c r="D10" s="762" t="n"/>
      <c r="E10" s="763" t="inlineStr">
        <is>
          <t>レセプト電子データ提供料（1月診療分）</t>
        </is>
      </c>
      <c r="F10" s="764" t="n">
        <v>60235</v>
      </c>
      <c r="G10" s="764" t="n">
        <v>2</v>
      </c>
      <c r="H10" s="765">
        <f>IF(G10=1,F10-I10-J10-K10,IF(G10=2,F10,0))</f>
        <v>60235</v>
      </c>
      <c r="I10" s="765">
        <f>ROUND(IF(G10=1,F10*10/23,IF(G10=3,F10-J10-K10,IF(G10=4,F10,IF(G10=5,F10*10/11,IF(G10=7,F10*10/11,0))))),0)</f>
        <v>0</v>
      </c>
      <c r="J10" s="765">
        <f>ROUND(IF(G10=1,F10/23,IF(G10=3,F10/12,IF(G10=5,F10-I10,IF(G10=8,F10,0)))),0)</f>
        <v>0</v>
      </c>
      <c r="K10" s="766">
        <f>ROUND(IF(G10=1,F10/23,IF(G10=3,F10/12,IF(G10=6,F10,IF(G10=7,F10-I10,0)))),0)</f>
        <v>0</v>
      </c>
      <c r="L10" s="767">
        <f>IF(G10=6,F10,0)</f>
        <v>0</v>
      </c>
      <c r="M10" s="572">
        <f>IF(F10="",0,MONTH(A10))</f>
        <v>4</v>
      </c>
      <c r="P10" s="768" t="inlineStr">
        <is>
          <t>確認済</t>
        </is>
      </c>
      <c r="Q10" s="769" t="str">
        <f>IF($F10="","",IFERROR(VLOOKUP($C10&amp;"|"&amp;$D10,科目表!$A$5:$B$200,2,FALSE),"※未登録"))</f>
        <v>委託費</v>
      </c>
      <c r="R10" s="769">
        <f>IF($F10="","",$I10+$J10+$K10)</f>
        <v>0</v>
      </c>
      <c r="S10" s="769" t="str">
        <f>IF(OR($F10="",$P10="支払なし",$H10=0,$Q10=""),"",$Q10&amp;"|S|"&amp;(COUNTIF(S$4:S9,$Q10&amp;"|S|*")+1))</f>
        <v>委託費|S|1</v>
      </c>
      <c r="T10" s="769" t="str">
        <f>IF(OR($F10="",$P10="支払なし",$R10=0,$Q10=""),"",$Q10&amp;"|L|"&amp;(COUNTIF(T$4:T9,$Q10&amp;"|L|*")+1))</f>
        <v/>
      </c>
      <c r="U10" s="769">
        <f>IF(OR($F10="",$A10=""),"",MOD(MONTH($A10)-4,12)+1)</f>
        <v>1</v>
      </c>
    </row>
    <row r="11" ht="16.5" customFormat="1" customHeight="1" s="422">
      <c r="A11" s="760" t="n">
        <v>43941</v>
      </c>
      <c r="B11" s="761" t="n"/>
      <c r="C11" s="762" t="inlineStr">
        <is>
          <t>事務費</t>
        </is>
      </c>
      <c r="D11" s="762" t="inlineStr">
        <is>
          <t>雑費</t>
        </is>
      </c>
      <c r="E11" s="762" t="inlineStr">
        <is>
          <t>電子証明書発行・更新料（令和2年4月請求）</t>
        </is>
      </c>
      <c r="F11" s="772" t="n">
        <v>4000</v>
      </c>
      <c r="G11" s="772" t="n">
        <v>2</v>
      </c>
      <c r="H11" s="765">
        <f>IF(G11=1,F11-I11-J11-K11,IF(G11=2,F11,0))</f>
        <v>4000</v>
      </c>
      <c r="I11" s="765">
        <f>ROUND(IF(G11=1,F11*10/23,IF(G11=3,F11-J11-K11,IF(G11=4,F11,IF(G11=5,F11*10/11,IF(G11=7,F11*10/11,0))))),0)</f>
        <v>0</v>
      </c>
      <c r="J11" s="765">
        <f>ROUND(IF(G11=1,F11/23,IF(G11=3,F11/12,IF(G11=5,F11-I11,IF(G11=8,F11,0)))),0)</f>
        <v>0</v>
      </c>
      <c r="K11" s="766">
        <f>ROUND(IF(G11=1,F11/23,IF(G11=3,F11/12,IF(G11=6,F11,IF(G11=7,F11-I11,0)))),0)</f>
        <v>0</v>
      </c>
      <c r="L11" s="767">
        <f>IF(G11=6,F11,0)</f>
        <v>0</v>
      </c>
      <c r="M11" s="421">
        <f>IF(F11="",0,MONTH(A11))</f>
        <v>4</v>
      </c>
      <c r="P11" s="768" t="inlineStr">
        <is>
          <t>昨年実績</t>
        </is>
      </c>
      <c r="Q11" s="769" t="str">
        <f>IF($F11="","",IFERROR(VLOOKUP($C11&amp;"|"&amp;$D11,科目表!$A$5:$B$200,2,FALSE),"※未登録"))</f>
        <v>事務費・雑費</v>
      </c>
      <c r="R11" s="769">
        <f>IF($F11="","",$I11+$J11+$K11)</f>
        <v>0</v>
      </c>
      <c r="S11" s="769" t="str">
        <f>IF(OR($F11="",$P11="支払なし",$H11=0,$Q11=""),"",$Q11&amp;"|S|"&amp;(COUNTIF(S$4:S10,$Q11&amp;"|S|*")+1))</f>
        <v>事務費・雑費|S|1</v>
      </c>
      <c r="T11" s="769" t="str">
        <f>IF(OR($F11="",$P11="支払なし",$R11=0,$Q11=""),"",$Q11&amp;"|L|"&amp;(COUNTIF(T$4:T10,$Q11&amp;"|L|*")+1))</f>
        <v/>
      </c>
      <c r="U11" s="769">
        <f>IF(OR($F11="",$A11=""),"",MOD(MONTH($A11)-4,12)+1)</f>
        <v>1</v>
      </c>
    </row>
    <row r="12" ht="16.5" customFormat="1" customHeight="1" s="43">
      <c r="A12" s="760" t="n">
        <v>46150</v>
      </c>
      <c r="B12" s="761" t="n"/>
      <c r="C12" s="762" t="inlineStr">
        <is>
          <t>負担金</t>
        </is>
      </c>
      <c r="D12" s="762" t="n"/>
      <c r="E12" s="762" t="inlineStr">
        <is>
          <t>広島県社会保険協会年会費(短期)</t>
        </is>
      </c>
      <c r="F12" s="771" t="n">
        <v>780</v>
      </c>
      <c r="G12" s="772" t="n">
        <v>2</v>
      </c>
      <c r="H12" s="765">
        <f>IF(G12=1,F12-I12-J12-K12,IF(G12=2,F12,0))</f>
        <v>780</v>
      </c>
      <c r="I12" s="765">
        <f>ROUND(IF(G12=1,F12*10/23,IF(G12=3,F12-J12-K12,IF(G12=4,F12,IF(G12=5,F12*10/11,IF(G12=7,F12*10/11,0))))),0)</f>
        <v>0</v>
      </c>
      <c r="J12" s="765">
        <f>ROUND(IF(G12=1,F12/23,IF(G12=3,F12/12,IF(G12=5,F12-I12,IF(G12=8,F12,0)))),0)</f>
        <v>0</v>
      </c>
      <c r="K12" s="766">
        <f>ROUND(IF(G12=1,F12/23,IF(G12=3,F12/12,IF(G12=6,F12,IF(G12=7,F12-I12,0)))),0)</f>
        <v>0</v>
      </c>
      <c r="L12" s="767">
        <f>IF(G12=6,F12,0)</f>
        <v>0</v>
      </c>
      <c r="M12" s="572">
        <f>IF(F12="",0,MONTH(A12))</f>
        <v>5</v>
      </c>
      <c r="P12" s="768" t="inlineStr">
        <is>
          <t>確認済</t>
        </is>
      </c>
      <c r="Q12" s="769" t="str">
        <f>IF($F12="","",IFERROR(VLOOKUP($C12&amp;"|"&amp;$D12,科目表!$A$5:$B$200,2,FALSE),"※未登録"))</f>
        <v>県社保協会費</v>
      </c>
      <c r="R12" s="769">
        <f>IF($F12="","",$I12+$J12+$K12)</f>
        <v>0</v>
      </c>
      <c r="S12" s="769" t="str">
        <f>IF(OR($F12="",$P12="支払なし",$H12=0,$Q12=""),"",$Q12&amp;"|S|"&amp;(COUNTIF(S$4:S11,$Q12&amp;"|S|*")+1))</f>
        <v>県社保協会費|S|1</v>
      </c>
      <c r="T12" s="769" t="str">
        <f>IF(OR($F12="",$P12="支払なし",$R12=0,$Q12=""),"",$Q12&amp;"|L|"&amp;(COUNTIF(T$4:T11,$Q12&amp;"|L|*")+1))</f>
        <v/>
      </c>
      <c r="U12" s="769">
        <f>IF(OR($F12="",$A12=""),"",MOD(MONTH($A12)-4,12)+1)</f>
        <v>2</v>
      </c>
    </row>
    <row r="13" ht="16.5" customFormat="1" customHeight="1" s="43">
      <c r="A13" s="760" t="n">
        <v>46150</v>
      </c>
      <c r="B13" s="761" t="n"/>
      <c r="C13" s="762" t="inlineStr">
        <is>
          <t>負担金</t>
        </is>
      </c>
      <c r="D13" s="762" t="n"/>
      <c r="E13" s="762" t="inlineStr">
        <is>
          <t>広島県社会保険協会年会費(長期)</t>
        </is>
      </c>
      <c r="F13" s="771" t="n">
        <v>520</v>
      </c>
      <c r="G13" s="772" t="n">
        <v>3</v>
      </c>
      <c r="H13" s="765">
        <f>IF(G13=1,F13-I13-J13-K13,IF(G13=2,F13,0))</f>
        <v>0</v>
      </c>
      <c r="I13" s="765">
        <f>ROUND(IF(G13=1,F13*10/23,IF(G13=3,F13-J13-K13,IF(G13=4,F13,IF(G13=5,F13*10/11,IF(G13=7,F13*10/11,0))))),0)</f>
        <v>434</v>
      </c>
      <c r="J13" s="765">
        <f>ROUND(IF(G13=1,F13/23,IF(G13=3,F13/12,IF(G13=5,F13-I13,IF(G13=8,F13,0)))),0)</f>
        <v>43</v>
      </c>
      <c r="K13" s="766">
        <f>ROUND(IF(G13=1,F13/23,IF(G13=3,F13/12,IF(G13=6,F13,IF(G13=7,F13-I13,0)))),0)</f>
        <v>43</v>
      </c>
      <c r="L13" s="767">
        <f>IF(G13=6,F13,0)</f>
        <v>0</v>
      </c>
      <c r="M13" s="572">
        <f>IF(F13="",0,MONTH(A13))</f>
        <v>5</v>
      </c>
      <c r="P13" s="768" t="inlineStr">
        <is>
          <t>確認済</t>
        </is>
      </c>
      <c r="Q13" s="769" t="str">
        <f>IF($F13="","",IFERROR(VLOOKUP($C13&amp;"|"&amp;$D13,科目表!$A$5:$B$200,2,FALSE),"※未登録"))</f>
        <v>県社保協会費</v>
      </c>
      <c r="R13" s="769">
        <f>IF($F13="","",$I13+$J13+$K13)</f>
        <v>520</v>
      </c>
      <c r="S13" s="769" t="str">
        <f>IF(OR($F13="",$P13="支払なし",$H13=0,$Q13=""),"",$Q13&amp;"|S|"&amp;(COUNTIF(S$4:S12,$Q13&amp;"|S|*")+1))</f>
        <v/>
      </c>
      <c r="T13" s="769" t="str">
        <f>IF(OR($F13="",$P13="支払なし",$R13=0,$Q13=""),"",$Q13&amp;"|L|"&amp;(COUNTIF(T$4:T12,$Q13&amp;"|L|*")+1))</f>
        <v>県社保協会費|L|1</v>
      </c>
      <c r="U13" s="769">
        <f>IF(OR($F13="",$A13=""),"",MOD(MONTH($A13)-4,12)+1)</f>
        <v>2</v>
      </c>
    </row>
    <row r="14" ht="16.5" customFormat="1" customHeight="1" s="43">
      <c r="A14" s="760" t="n">
        <v>46133</v>
      </c>
      <c r="B14" s="761" t="n"/>
      <c r="C14" s="762" t="inlineStr">
        <is>
          <t>職員給与</t>
        </is>
      </c>
      <c r="D14" s="762" t="inlineStr">
        <is>
          <t>非常勤職員手当</t>
        </is>
      </c>
      <c r="E14" s="762" t="inlineStr">
        <is>
          <t>４月分給与（長期分）</t>
        </is>
      </c>
      <c r="F14" s="774" t="n">
        <v>380800</v>
      </c>
      <c r="G14" s="772" t="n">
        <v>3</v>
      </c>
      <c r="H14" s="765">
        <f>IF(G14=1,F14-I14-J14-K14,IF(G14=2,F14,0))</f>
        <v>0</v>
      </c>
      <c r="I14" s="765">
        <f>ROUND(IF(G14=1,F14*10/23,IF(G14=3,F14-J14-K14,IF(G14=4,F14,IF(G14=5,F14*10/11,IF(G14=7,F14*10/11,0))))),0)</f>
        <v>317334</v>
      </c>
      <c r="J14" s="765">
        <f>ROUND(IF(G14=1,F14/23,IF(G14=3,F14/12,IF(G14=5,F14-I14,IF(G14=8,F14,0)))),0)</f>
        <v>31733</v>
      </c>
      <c r="K14" s="766">
        <f>ROUND(IF(G14=1,F14/23,IF(G14=3,F14/12,IF(G14=6,F14,IF(G14=7,F14-I14,0)))),0)</f>
        <v>31733</v>
      </c>
      <c r="L14" s="767">
        <f>IF(G14=6,F14,0)</f>
        <v>0</v>
      </c>
      <c r="M14" s="572">
        <f>IF(F14="",0,MONTH(A14))</f>
        <v>4</v>
      </c>
      <c r="P14" s="768" t="inlineStr">
        <is>
          <t>確認済</t>
        </is>
      </c>
      <c r="Q14" s="769" t="str">
        <f>IF($F14="","",IFERROR(VLOOKUP($C14&amp;"|"&amp;$D14,科目表!$A$5:$B$200,2,FALSE),"※未登録"))</f>
        <v>非常勤職員手当</v>
      </c>
      <c r="R14" s="769">
        <f>IF($F14="","",$I14+$J14+$K14)</f>
        <v>380800</v>
      </c>
      <c r="S14" s="769" t="str">
        <f>IF(OR($F14="",$P14="支払なし",$H14=0,$Q14=""),"",$Q14&amp;"|S|"&amp;(COUNTIF(S$4:S13,$Q14&amp;"|S|*")+1))</f>
        <v/>
      </c>
      <c r="T14" s="769" t="str">
        <f>IF(OR($F14="",$P14="支払なし",$R14=0,$Q14=""),"",$Q14&amp;"|L|"&amp;(COUNTIF(T$4:T13,$Q14&amp;"|L|*")+1))</f>
        <v>非常勤職員手当|L|1</v>
      </c>
      <c r="U14" s="769">
        <f>IF(OR($F14="",$A14=""),"",MOD(MONTH($A14)-4,12)+1)</f>
        <v>1</v>
      </c>
    </row>
    <row r="15" ht="16.5" customFormat="1" customHeight="1" s="43">
      <c r="A15" s="760" t="n">
        <v>46133</v>
      </c>
      <c r="B15" s="761" t="n"/>
      <c r="C15" s="762" t="inlineStr">
        <is>
          <t>職員給与</t>
        </is>
      </c>
      <c r="D15" s="762" t="inlineStr">
        <is>
          <t>非常勤職員手当</t>
        </is>
      </c>
      <c r="E15" s="762" t="inlineStr">
        <is>
          <t>４月分給与（短期分）3月時間外除く</t>
        </is>
      </c>
      <c r="F15" s="774" t="n">
        <v>317340</v>
      </c>
      <c r="G15" s="772" t="n">
        <v>2</v>
      </c>
      <c r="H15" s="765">
        <f>IF(G15=1,F15-I15-J15-K15,IF(G15=2,F15,0))</f>
        <v>317340</v>
      </c>
      <c r="I15" s="765">
        <f>ROUND(IF(G15=1,F15*10/23,IF(G15=3,F15-J15-K15,IF(G15=4,F15,IF(G15=5,F15*10/11,IF(G15=7,F15*10/11,0))))),0)</f>
        <v>0</v>
      </c>
      <c r="J15" s="765">
        <f>ROUND(IF(G15=1,F15/23,IF(G15=3,F15/12,IF(G15=5,F15-I15,IF(G15=8,F15,0)))),0)</f>
        <v>0</v>
      </c>
      <c r="K15" s="766">
        <f>ROUND(IF(G15=1,F15/23,IF(G15=3,F15/12,IF(G15=6,F15,IF(G15=7,F15-I15,0)))),0)</f>
        <v>0</v>
      </c>
      <c r="L15" s="767" t="n">
        <v>0</v>
      </c>
      <c r="M15" s="572">
        <f>IF(F15="",0,MONTH(A15))</f>
        <v>4</v>
      </c>
      <c r="P15" s="768" t="inlineStr">
        <is>
          <t>確認済</t>
        </is>
      </c>
      <c r="Q15" s="769" t="str">
        <f>IF($F15="","",IFERROR(VLOOKUP($C15&amp;"|"&amp;$D15,科目表!$A$5:$B$200,2,FALSE),"※未登録"))</f>
        <v>非常勤職員手当</v>
      </c>
      <c r="R15" s="769">
        <f>IF($F15="","",$I15+$J15+$K15)</f>
        <v>0</v>
      </c>
      <c r="S15" s="769" t="str">
        <f>IF(OR($F15="",$P15="支払なし",$H15=0,$Q15=""),"",$Q15&amp;"|S|"&amp;(COUNTIF(S$4:S14,$Q15&amp;"|S|*")+1))</f>
        <v>非常勤職員手当|S|1</v>
      </c>
      <c r="T15" s="769" t="str">
        <f>IF(OR($F15="",$P15="支払なし",$R15=0,$Q15=""),"",$Q15&amp;"|L|"&amp;(COUNTIF(T$4:T14,$Q15&amp;"|L|*")+1))</f>
        <v/>
      </c>
      <c r="U15" s="769">
        <f>IF(OR($F15="",$A15=""),"",MOD(MONTH($A15)-4,12)+1)</f>
        <v>1</v>
      </c>
    </row>
    <row r="16" ht="16.5" customFormat="1" customHeight="1" s="43">
      <c r="A16" s="760" t="n">
        <v>46133</v>
      </c>
      <c r="B16" s="761" t="n"/>
      <c r="C16" s="762" t="inlineStr">
        <is>
          <t>負担金</t>
        </is>
      </c>
      <c r="D16" s="762" t="inlineStr">
        <is>
          <t>互助会費</t>
        </is>
      </c>
      <c r="E16" s="762" t="inlineStr">
        <is>
          <t>助成金（４月長期分）</t>
        </is>
      </c>
      <c r="F16" s="774" t="n">
        <v>466</v>
      </c>
      <c r="G16" s="764" t="n">
        <v>3</v>
      </c>
      <c r="H16" s="765">
        <f>IF(G16=1,F16-I16-J16-K16,IF(G16=2,F16,0))</f>
        <v>0</v>
      </c>
      <c r="I16" s="765">
        <f>ROUND(IF(G16=1,F16*10/23,IF(G16=3,F16-J16-K16,IF(G16=4,F16,IF(G16=5,F16*10/11,IF(G16=7,F16*10/11,0))))),0)</f>
        <v>388</v>
      </c>
      <c r="J16" s="765">
        <f>ROUND(IF(G16=1,F16/23,IF(G16=3,F16/12,IF(G16=5,F16-I16,IF(G16=8,F16,0)))),0)</f>
        <v>39</v>
      </c>
      <c r="K16" s="766">
        <f>ROUND(IF(G16=1,F16/23,IF(G16=3,F16/12,IF(G16=6,F16,IF(G16=7,F16-I16,0)))),0)</f>
        <v>39</v>
      </c>
      <c r="L16" s="767">
        <f>IF(G16=6,F16,0)</f>
        <v>0</v>
      </c>
      <c r="M16" s="572">
        <f>IF(F16="",0,MONTH(A16))</f>
        <v>4</v>
      </c>
      <c r="P16" s="768" t="inlineStr">
        <is>
          <t>確認済</t>
        </is>
      </c>
      <c r="Q16" s="769" t="str">
        <f>IF($F16="","",IFERROR(VLOOKUP($C16&amp;"|"&amp;$D16,科目表!$A$5:$B$200,2,FALSE),"※未登録"))</f>
        <v>互助会費</v>
      </c>
      <c r="R16" s="769">
        <f>IF($F16="","",$I16+$J16+$K16)</f>
        <v>466</v>
      </c>
      <c r="S16" s="769" t="str">
        <f>IF(OR($F16="",$P16="支払なし",$H16=0,$Q16=""),"",$Q16&amp;"|S|"&amp;(COUNTIF(S$4:S15,$Q16&amp;"|S|*")+1))</f>
        <v/>
      </c>
      <c r="T16" s="769" t="str">
        <f>IF(OR($F16="",$P16="支払なし",$R16=0,$Q16=""),"",$Q16&amp;"|L|"&amp;(COUNTIF(T$4:T15,$Q16&amp;"|L|*")+1))</f>
        <v>互助会費|L|1</v>
      </c>
      <c r="U16" s="769">
        <f>IF(OR($F16="",$A16=""),"",MOD(MONTH($A16)-4,12)+1)</f>
        <v>1</v>
      </c>
    </row>
    <row r="17" ht="16.5" customFormat="1" customHeight="1" s="43">
      <c r="A17" s="760" t="n">
        <v>46133</v>
      </c>
      <c r="B17" s="761" t="n"/>
      <c r="C17" s="762" t="inlineStr">
        <is>
          <t>負担金</t>
        </is>
      </c>
      <c r="D17" s="762" t="inlineStr">
        <is>
          <t>互助会費</t>
        </is>
      </c>
      <c r="E17" s="762" t="inlineStr">
        <is>
          <t>助成金（４月短期分）</t>
        </is>
      </c>
      <c r="F17" s="774" t="n">
        <v>240</v>
      </c>
      <c r="G17" s="764" t="n">
        <v>2</v>
      </c>
      <c r="H17" s="765">
        <f>IF(G17=1,F17-I17-J17-K17,IF(G17=2,F17,0))</f>
        <v>240</v>
      </c>
      <c r="I17" s="765">
        <f>ROUND(IF(G17=1,F17*10/23,IF(G17=3,F17-J17-K17,IF(G17=4,F17,IF(G17=5,F17*10/11,IF(G17=7,F17*10/11,0))))),0)</f>
        <v>0</v>
      </c>
      <c r="J17" s="765">
        <f>ROUND(IF(G17=1,F17/23,IF(G17=3,F17/12,IF(G17=5,F17-I17,IF(G17=8,F17,0)))),0)</f>
        <v>0</v>
      </c>
      <c r="K17" s="766">
        <f>ROUND(IF(G17=1,F17/23,IF(G17=3,F17/12,IF(G17=6,F17,IF(G17=7,F17-I17,0)))),0)</f>
        <v>0</v>
      </c>
      <c r="L17" s="767">
        <f>IF(G17=6,F17,0)</f>
        <v>0</v>
      </c>
      <c r="M17" s="572">
        <f>IF(F17="",0,MONTH(A17))</f>
        <v>4</v>
      </c>
      <c r="P17" s="768" t="inlineStr">
        <is>
          <t>確認済</t>
        </is>
      </c>
      <c r="Q17" s="769" t="str">
        <f>IF($F17="","",IFERROR(VLOOKUP($C17&amp;"|"&amp;$D17,科目表!$A$5:$B$200,2,FALSE),"※未登録"))</f>
        <v>互助会費</v>
      </c>
      <c r="R17" s="769">
        <f>IF($F17="","",$I17+$J17+$K17)</f>
        <v>0</v>
      </c>
      <c r="S17" s="769" t="str">
        <f>IF(OR($F17="",$P17="支払なし",$H17=0,$Q17=""),"",$Q17&amp;"|S|"&amp;(COUNTIF(S$4:S16,$Q17&amp;"|S|*")+1))</f>
        <v>互助会費|S|1</v>
      </c>
      <c r="T17" s="769" t="str">
        <f>IF(OR($F17="",$P17="支払なし",$R17=0,$Q17=""),"",$Q17&amp;"|L|"&amp;(COUNTIF(T$4:T16,$Q17&amp;"|L|*")+1))</f>
        <v/>
      </c>
      <c r="U17" s="769">
        <f>IF(OR($F17="",$A17=""),"",MOD(MONTH($A17)-4,12)+1)</f>
        <v>1</v>
      </c>
    </row>
    <row r="18" ht="16.5" customFormat="1" customHeight="1" s="422">
      <c r="A18" s="760" t="n">
        <v>45044</v>
      </c>
      <c r="B18" s="761" t="n"/>
      <c r="C18" s="762" t="inlineStr">
        <is>
          <t>委託費</t>
        </is>
      </c>
      <c r="D18" s="762" t="n"/>
      <c r="E18" s="770" t="inlineStr">
        <is>
          <t>個人番号管理システムシンクライアント（４～１０月）</t>
        </is>
      </c>
      <c r="F18" s="772" t="n">
        <v>24486</v>
      </c>
      <c r="G18" s="772" t="n">
        <v>2</v>
      </c>
      <c r="H18" s="765">
        <f>IF(G18=1,F18-I18-J18-K18,IF(G18=2,F18,0))</f>
        <v>24486</v>
      </c>
      <c r="I18" s="765">
        <f>ROUND(IF(G18=1,F18*10/23,IF(G18=3,F18-J18-K18,IF(G18=4,F18,IF(G18=5,F18*10/11,IF(G18=7,F18*10/11,0))))),0)</f>
        <v>0</v>
      </c>
      <c r="J18" s="765">
        <f>ROUND(IF(G18=1,F18/23,IF(G18=3,F18/12,IF(G18=5,F18-I18,IF(G18=8,F18,0)))),0)</f>
        <v>0</v>
      </c>
      <c r="K18" s="766">
        <f>ROUND(IF(G18=1,F18/23,IF(G18=3,F18/12,IF(G18=6,F18,IF(G18=7,F18-I18,0)))),0)</f>
        <v>0</v>
      </c>
      <c r="L18" s="767">
        <f>IF(G18=6,F18,0)</f>
        <v>0</v>
      </c>
      <c r="M18" s="421">
        <f>IF(F18="",0,MONTH(A18))</f>
        <v>4</v>
      </c>
      <c r="P18" s="768" t="inlineStr">
        <is>
          <t>昨年実績</t>
        </is>
      </c>
      <c r="Q18" s="769" t="str">
        <f>IF($F18="","",IFERROR(VLOOKUP($C18&amp;"|"&amp;$D18,科目表!$A$5:$B$200,2,FALSE),"※未登録"))</f>
        <v>委託費</v>
      </c>
      <c r="R18" s="769">
        <f>IF($F18="","",$I18+$J18+$K18)</f>
        <v>0</v>
      </c>
      <c r="S18" s="769" t="str">
        <f>IF(OR($F18="",$P18="支払なし",$H18=0,$Q18=""),"",$Q18&amp;"|S|"&amp;(COUNTIF(S$4:S17,$Q18&amp;"|S|*")+1))</f>
        <v>委託費|S|2</v>
      </c>
      <c r="T18" s="769" t="str">
        <f>IF(OR($F18="",$P18="支払なし",$R18=0,$Q18=""),"",$Q18&amp;"|L|"&amp;(COUNTIF(T$4:T17,$Q18&amp;"|L|*")+1))</f>
        <v/>
      </c>
      <c r="U18" s="769">
        <f>IF(OR($F18="",$A18=""),"",MOD(MONTH($A18)-4,12)+1)</f>
        <v>1</v>
      </c>
    </row>
    <row r="19" ht="16.5" customFormat="1" customHeight="1" s="43">
      <c r="A19" s="760" t="n">
        <v>45807</v>
      </c>
      <c r="B19" s="761" t="n"/>
      <c r="C19" s="762" t="inlineStr">
        <is>
          <t>事務費</t>
        </is>
      </c>
      <c r="D19" s="762" t="inlineStr">
        <is>
          <t>図書印刷費</t>
        </is>
      </c>
      <c r="E19" s="770" t="inlineStr">
        <is>
          <t>窓付封筒　１，０００枚</t>
        </is>
      </c>
      <c r="F19" s="764" t="n">
        <v>49500</v>
      </c>
      <c r="G19" s="772" t="n">
        <v>2</v>
      </c>
      <c r="H19" s="765">
        <f>IF(G19=1,F19-I19-J19-K19,IF(G19=2,F19,0))</f>
        <v>49500</v>
      </c>
      <c r="I19" s="765">
        <f>ROUND(IF(G19=1,F19*10/23,IF(G19=3,F19-J19-K19,IF(G19=4,F19,IF(G19=5,F19*10/11,IF(G19=7,F19*10/11,0))))),0)</f>
        <v>0</v>
      </c>
      <c r="J19" s="765">
        <f>ROUND(IF(G19=1,F19/23,IF(G19=3,F19/12,IF(G19=5,F19-I19,IF(G19=8,F19,0)))),0)</f>
        <v>0</v>
      </c>
      <c r="K19" s="766">
        <f>ROUND(IF(G19=1,F19/23,IF(G19=3,F19/12,IF(G19=6,F19,IF(G19=7,F19-I19,0)))),0)</f>
        <v>0</v>
      </c>
      <c r="L19" s="767">
        <f>IF(G19=6,F19,0)</f>
        <v>0</v>
      </c>
      <c r="M19" s="572">
        <f>IF(F19="",0,MONTH(A19))</f>
        <v>5</v>
      </c>
      <c r="P19" s="768" t="inlineStr">
        <is>
          <t>昨年実績</t>
        </is>
      </c>
      <c r="Q19" s="769" t="str">
        <f>IF($F19="","",IFERROR(VLOOKUP($C19&amp;"|"&amp;$D19,科目表!$A$5:$B$200,2,FALSE),"※未登録"))</f>
        <v>図書印刷費</v>
      </c>
      <c r="R19" s="769">
        <f>IF($F19="","",$I19+$J19+$K19)</f>
        <v>0</v>
      </c>
      <c r="S19" s="769" t="str">
        <f>IF(OR($F19="",$P19="支払なし",$H19=0,$Q19=""),"",$Q19&amp;"|S|"&amp;(COUNTIF(S$4:S18,$Q19&amp;"|S|*")+1))</f>
        <v>図書印刷費|S|1</v>
      </c>
      <c r="T19" s="769" t="str">
        <f>IF(OR($F19="",$P19="支払なし",$R19=0,$Q19=""),"",$Q19&amp;"|L|"&amp;(COUNTIF(T$4:T18,$Q19&amp;"|L|*")+1))</f>
        <v/>
      </c>
      <c r="U19" s="769">
        <f>IF(OR($F19="",$A19=""),"",MOD(MONTH($A19)-4,12)+1)</f>
        <v>2</v>
      </c>
    </row>
    <row r="20" ht="16.5" customFormat="1" customHeight="1" s="422">
      <c r="A20" s="760" t="n">
        <v>45061</v>
      </c>
      <c r="B20" s="761" t="n"/>
      <c r="C20" s="762" t="inlineStr">
        <is>
          <t>事務費</t>
        </is>
      </c>
      <c r="D20" s="762" t="inlineStr">
        <is>
          <t>図書印刷費</t>
        </is>
      </c>
      <c r="E20" s="770" t="inlineStr">
        <is>
          <t>定年延長と共済組合制度　３０部</t>
        </is>
      </c>
      <c r="F20" s="772" t="n">
        <v>2970</v>
      </c>
      <c r="G20" s="772" t="n">
        <v>3</v>
      </c>
      <c r="H20" s="765">
        <f>IF(G20=1,F20-I20-J20-K20,IF(G20=2,F20,0))</f>
        <v>0</v>
      </c>
      <c r="I20" s="765">
        <f>ROUND(IF(G20=1,F20*10/23,IF(G20=3,F20-J20-K20,IF(G20=4,F20,IF(G20=5,F20*10/11,IF(G20=7,F20*10/11,0))))),0)</f>
        <v>2474</v>
      </c>
      <c r="J20" s="765">
        <f>ROUND(IF(G20=1,F20/23,IF(G20=3,F20/12,IF(G20=5,F20-I20,IF(G20=8,F20,0)))),0)</f>
        <v>248</v>
      </c>
      <c r="K20" s="766">
        <f>ROUND(IF(G20=1,F20/23,IF(G20=3,F20/12,IF(G20=6,F20,IF(G20=7,F20-I20,0)))),0)</f>
        <v>248</v>
      </c>
      <c r="L20" s="767">
        <f>IF(G20=6,F20,0)</f>
        <v>0</v>
      </c>
      <c r="M20" s="421">
        <f>IF(F20="",0,MONTH(A20))</f>
        <v>5</v>
      </c>
      <c r="P20" s="768" t="inlineStr">
        <is>
          <t>昨年実績</t>
        </is>
      </c>
      <c r="Q20" s="769" t="str">
        <f>IF($F20="","",IFERROR(VLOOKUP($C20&amp;"|"&amp;$D20,科目表!$A$5:$B$200,2,FALSE),"※未登録"))</f>
        <v>図書印刷費</v>
      </c>
      <c r="R20" s="769">
        <f>IF($F20="","",$I20+$J20+$K20)</f>
        <v>2970</v>
      </c>
      <c r="S20" s="769" t="str">
        <f>IF(OR($F20="",$P20="支払なし",$H20=0,$Q20=""),"",$Q20&amp;"|S|"&amp;(COUNTIF(S$4:S19,$Q20&amp;"|S|*")+1))</f>
        <v/>
      </c>
      <c r="T20" s="769" t="str">
        <f>IF(OR($F20="",$P20="支払なし",$R20=0,$Q20=""),"",$Q20&amp;"|L|"&amp;(COUNTIF(T$4:T19,$Q20&amp;"|L|*")+1))</f>
        <v>図書印刷費|L|1</v>
      </c>
      <c r="U20" s="769">
        <f>IF(OR($F20="",$A20=""),"",MOD(MONTH($A20)-4,12)+1)</f>
        <v>2</v>
      </c>
    </row>
    <row r="21" ht="16.5" customFormat="1" customHeight="1" s="422">
      <c r="A21" s="760" t="n">
        <v>45477</v>
      </c>
      <c r="B21" s="761" t="n"/>
      <c r="C21" s="762" t="inlineStr">
        <is>
          <t>事務費</t>
        </is>
      </c>
      <c r="D21" s="762" t="inlineStr">
        <is>
          <t>図書印刷費</t>
        </is>
      </c>
      <c r="E21" s="762" t="inlineStr">
        <is>
          <t>組合員原票（Ａ４）８００部　ほか</t>
        </is>
      </c>
      <c r="F21" s="772" t="n">
        <v>133650</v>
      </c>
      <c r="G21" s="772" t="n">
        <v>3</v>
      </c>
      <c r="H21" s="765">
        <f>IF(G21=1,F21-I21-J21-K21,IF(G21=2,F21,0))</f>
        <v>0</v>
      </c>
      <c r="I21" s="765">
        <f>ROUND(IF(G21=1,F21*10/23,IF(G21=3,F21-J21-K21,IF(G21=4,F21,IF(G21=5,F21*10/11,IF(G21=7,F21*10/11,0))))),0)</f>
        <v>111374</v>
      </c>
      <c r="J21" s="765">
        <f>ROUND(IF(G21=1,F21/23,IF(G21=3,F21/12,IF(G21=5,F21-I21,IF(G21=8,F21,0)))),0)</f>
        <v>11138</v>
      </c>
      <c r="K21" s="766">
        <f>ROUND(IF(G21=1,F21/23,IF(G21=3,F21/12,IF(G21=6,F21,IF(G21=7,F21-I21,0)))),0)</f>
        <v>11138</v>
      </c>
      <c r="L21" s="767">
        <f>IF(G21=6,F21,0)</f>
        <v>0</v>
      </c>
      <c r="M21" s="421">
        <f>IF(F21="",0,MONTH(A21))</f>
        <v>7</v>
      </c>
      <c r="P21" s="768" t="inlineStr">
        <is>
          <t>昨年実績</t>
        </is>
      </c>
      <c r="Q21" s="769" t="str">
        <f>IF($F21="","",IFERROR(VLOOKUP($C21&amp;"|"&amp;$D21,科目表!$A$5:$B$200,2,FALSE),"※未登録"))</f>
        <v>図書印刷費</v>
      </c>
      <c r="R21" s="769">
        <f>IF($F21="","",$I21+$J21+$K21)</f>
        <v>133650</v>
      </c>
      <c r="S21" s="769" t="str">
        <f>IF(OR($F21="",$P21="支払なし",$H21=0,$Q21=""),"",$Q21&amp;"|S|"&amp;(COUNTIF(S$4:S20,$Q21&amp;"|S|*")+1))</f>
        <v/>
      </c>
      <c r="T21" s="769" t="str">
        <f>IF(OR($F21="",$P21="支払なし",$R21=0,$Q21=""),"",$Q21&amp;"|L|"&amp;(COUNTIF(T$4:T20,$Q21&amp;"|L|*")+1))</f>
        <v>図書印刷費|L|2</v>
      </c>
      <c r="U21" s="769">
        <f>IF(OR($F21="",$A21=""),"",MOD(MONTH($A21)-4,12)+1)</f>
        <v>4</v>
      </c>
    </row>
    <row r="22" ht="16.5" customFormat="1" customHeight="1" s="422">
      <c r="A22" s="760" t="n">
        <v>44377</v>
      </c>
      <c r="B22" s="761" t="n"/>
      <c r="C22" s="762" t="inlineStr">
        <is>
          <t>事務費</t>
        </is>
      </c>
      <c r="D22" s="762" t="inlineStr">
        <is>
          <t>事務用消耗品費</t>
        </is>
      </c>
      <c r="E22" s="762" t="inlineStr">
        <is>
          <t>鋳造ゴム印　３号以下214字　他</t>
        </is>
      </c>
      <c r="F22" s="772" t="n">
        <v>9733</v>
      </c>
      <c r="G22" s="772" t="n">
        <v>3</v>
      </c>
      <c r="H22" s="765">
        <f>IF(G22=1,F22-I22-J22-K22,IF(G22=2,F22,0))</f>
        <v>0</v>
      </c>
      <c r="I22" s="765">
        <f>ROUND(IF(G22=1,F22*10/23,IF(G22=3,F22-J22-K22,IF(G22=4,F22,IF(G22=5,F22*10/11,IF(G22=7,F22*10/11,0))))),0)</f>
        <v>8111</v>
      </c>
      <c r="J22" s="765">
        <f>ROUND(IF(G22=1,F22/23,IF(G22=3,F22/12,IF(G22=5,F22-I22,IF(G22=8,F22,0)))),0)</f>
        <v>811</v>
      </c>
      <c r="K22" s="766">
        <f>ROUND(IF(G22=1,F22/23,IF(G22=3,F22/12,IF(G22=6,F22,IF(G22=7,F22-I22,0)))),0)</f>
        <v>811</v>
      </c>
      <c r="L22" s="767">
        <f>IF(G22=6,F22,0)</f>
        <v>0</v>
      </c>
      <c r="M22" s="421">
        <f>IF(F22="",0,MONTH(A22))</f>
        <v>6</v>
      </c>
      <c r="P22" s="768" t="inlineStr">
        <is>
          <t>昨年実績</t>
        </is>
      </c>
      <c r="Q22" s="769" t="str">
        <f>IF($F22="","",IFERROR(VLOOKUP($C22&amp;"|"&amp;$D22,科目表!$A$5:$B$200,2,FALSE),"※未登録"))</f>
        <v>事務用消耗品費</v>
      </c>
      <c r="R22" s="769">
        <f>IF($F22="","",$I22+$J22+$K22)</f>
        <v>9733</v>
      </c>
      <c r="S22" s="769" t="str">
        <f>IF(OR($F22="",$P22="支払なし",$H22=0,$Q22=""),"",$Q22&amp;"|S|"&amp;(COUNTIF(S$4:S21,$Q22&amp;"|S|*")+1))</f>
        <v/>
      </c>
      <c r="T22" s="769" t="str">
        <f>IF(OR($F22="",$P22="支払なし",$R22=0,$Q22=""),"",$Q22&amp;"|L|"&amp;(COUNTIF(T$4:T21,$Q22&amp;"|L|*")+1))</f>
        <v>事務用消耗品費|L|2</v>
      </c>
      <c r="U22" s="769">
        <f>IF(OR($F22="",$A22=""),"",MOD(MONTH($A22)-4,12)+1)</f>
        <v>3</v>
      </c>
    </row>
    <row r="23" ht="16.5" customFormat="1" customHeight="1" s="43">
      <c r="A23" s="760" t="n">
        <v>46171</v>
      </c>
      <c r="B23" s="761" t="n"/>
      <c r="C23" s="762" t="inlineStr">
        <is>
          <t>事務費</t>
        </is>
      </c>
      <c r="D23" s="762" t="inlineStr">
        <is>
          <t>事務用消耗品費</t>
        </is>
      </c>
      <c r="E23" s="770" t="inlineStr">
        <is>
          <t>ラベル用紙　LBP-F7656-100N　２冊　他</t>
        </is>
      </c>
      <c r="F23" s="772" t="n">
        <v>43890</v>
      </c>
      <c r="G23" s="772" t="n">
        <v>2</v>
      </c>
      <c r="H23" s="765">
        <f>IF(G23=1,F23-I23-J23-K23,IF(G23=2,F23,0))</f>
        <v>43890</v>
      </c>
      <c r="I23" s="765">
        <f>ROUND(IF(G23=1,F23*10/23,IF(G23=3,F23-J23-K23,IF(G23=4,F23,IF(G23=5,F23*10/11,IF(G23=7,F23*10/11,0))))),0)</f>
        <v>0</v>
      </c>
      <c r="J23" s="765">
        <f>ROUND(IF(G23=1,F23/23,IF(G23=3,F23/12,IF(G23=5,F23-I23,IF(G23=8,F23,0)))),0)</f>
        <v>0</v>
      </c>
      <c r="K23" s="766">
        <f>ROUND(IF(G23=1,F23/23,IF(G23=3,F23/12,IF(G23=6,F23,IF(G23=7,F23-I23,0)))),0)</f>
        <v>0</v>
      </c>
      <c r="L23" s="767">
        <f>IF(G23=6,F23,0)</f>
        <v>0</v>
      </c>
      <c r="M23" s="572">
        <f>IF(F23="",0,MONTH(A23))</f>
        <v>5</v>
      </c>
      <c r="P23" s="768" t="inlineStr">
        <is>
          <t>確認済</t>
        </is>
      </c>
      <c r="Q23" s="769" t="str">
        <f>IF($F23="","",IFERROR(VLOOKUP($C23&amp;"|"&amp;$D23,科目表!$A$5:$B$200,2,FALSE),"※未登録"))</f>
        <v>事務用消耗品費</v>
      </c>
      <c r="R23" s="769">
        <f>IF($F23="","",$I23+$J23+$K23)</f>
        <v>0</v>
      </c>
      <c r="S23" s="769" t="str">
        <f>IF(OR($F23="",$P23="支払なし",$H23=0,$Q23=""),"",$Q23&amp;"|S|"&amp;(COUNTIF(S$4:S22,$Q23&amp;"|S|*")+1))</f>
        <v>事務用消耗品費|S|3</v>
      </c>
      <c r="T23" s="769" t="str">
        <f>IF(OR($F23="",$P23="支払なし",$R23=0,$Q23=""),"",$Q23&amp;"|L|"&amp;(COUNTIF(T$4:T22,$Q23&amp;"|L|*")+1))</f>
        <v/>
      </c>
      <c r="U23" s="769">
        <f>IF(OR($F23="",$A23=""),"",MOD(MONTH($A23)-4,12)+1)</f>
        <v>2</v>
      </c>
    </row>
    <row r="24" ht="16.5" customFormat="1" customHeight="1" s="43">
      <c r="A24" s="760" t="n">
        <v>46154</v>
      </c>
      <c r="B24" s="761" t="n"/>
      <c r="C24" s="762" t="inlineStr">
        <is>
          <t>事務費負担金払込金</t>
        </is>
      </c>
      <c r="D24" s="762" t="n"/>
      <c r="E24" s="775" t="inlineStr">
        <is>
          <t>４月分事務費負担金払込金と連合会交付金との相殺</t>
        </is>
      </c>
      <c r="F24" s="764" t="n">
        <v>5366000</v>
      </c>
      <c r="G24" s="764" t="n">
        <v>5</v>
      </c>
      <c r="H24" s="765">
        <f>IF(G24=1,F24-I24-J24-K24,IF(G24=2,F24,0))</f>
        <v>0</v>
      </c>
      <c r="I24" s="765">
        <f>ROUND(IF(G24=1,F24*10/23,IF(G24=3,F24-J24-K24,IF(G24=4,F24,IF(G24=5,F24*10/11,IF(G24=7,F24*10/11,0))))),0)</f>
        <v>4878182</v>
      </c>
      <c r="J24" s="765">
        <f>ROUND(IF(G24=1,F24/23,IF(G24=3,F24/12,IF(G24=5,F24-I24,IF(G24=8,F24,0)))),0)</f>
        <v>487818</v>
      </c>
      <c r="K24" s="766">
        <f>ROUND(IF(G24=1,F24/23,IF(G24=3,F24/12,IF(G24=6,F24,IF(G24=7,F24-I24,0)))),0)</f>
        <v>0</v>
      </c>
      <c r="L24" s="767">
        <f>IF(G24=6,F24,0)</f>
        <v>0</v>
      </c>
      <c r="M24" s="572">
        <f>IF(F24="",0,MONTH(A24))</f>
        <v>5</v>
      </c>
      <c r="P24" s="768" t="inlineStr">
        <is>
          <t>確認済</t>
        </is>
      </c>
      <c r="Q24" s="769" t="str">
        <f>IF($F24="","",IFERROR(VLOOKUP($C24&amp;"|"&amp;$D24,科目表!$A$5:$B$200,2,FALSE),"※未登録"))</f>
        <v>事務費負担金払込金</v>
      </c>
      <c r="R24" s="769">
        <f>IF($F24="","",$I24+$J24+$K24)</f>
        <v>5366000</v>
      </c>
      <c r="S24" s="769" t="str">
        <f>IF(OR($F24="",$P24="支払なし",$H24=0,$Q24=""),"",$Q24&amp;"|S|"&amp;(COUNTIF(S$4:S23,$Q24&amp;"|S|*")+1))</f>
        <v/>
      </c>
      <c r="T24" s="769" t="str">
        <f>IF(OR($F24="",$P24="支払なし",$R24=0,$Q24=""),"",$Q24&amp;"|L|"&amp;(COUNTIF(T$4:T23,$Q24&amp;"|L|*")+1))</f>
        <v>事務費負担金払込金|L|1</v>
      </c>
      <c r="U24" s="769">
        <f>IF(OR($F24="",$A24=""),"",MOD(MONTH($A24)-4,12)+1)</f>
        <v>2</v>
      </c>
    </row>
    <row r="25" ht="16.5" customFormat="1" customHeight="1" s="43">
      <c r="A25" s="760" t="n">
        <v>46139</v>
      </c>
      <c r="B25" s="761" t="n"/>
      <c r="C25" s="762" t="inlineStr">
        <is>
          <t>負担金</t>
        </is>
      </c>
      <c r="D25" s="762" t="inlineStr">
        <is>
          <t>負担金</t>
        </is>
      </c>
      <c r="E25" s="762" t="inlineStr">
        <is>
          <t>共済短期・介護・子ども子育て負担金（4月月例分）長期</t>
        </is>
      </c>
      <c r="F25" s="771" t="n">
        <v>22035</v>
      </c>
      <c r="G25" s="772" t="n">
        <v>3</v>
      </c>
      <c r="H25" s="765">
        <f>IF(G25=1,F25-I25-J25-K25,IF(G25=2,F25,0))</f>
        <v>0</v>
      </c>
      <c r="I25" s="765">
        <f>ROUND(IF(G25=1,F25*10/23,IF(G25=3,F25-J25-K25,IF(G25=4,F25,IF(G25=5,F25*10/11,IF(G25=7,F25*10/11,0))))),0)</f>
        <v>18363</v>
      </c>
      <c r="J25" s="765">
        <f>ROUND(IF(G25=1,F25/23,IF(G25=3,F25/12,IF(G25=5,F25-I25,IF(G25=8,F25,0)))),0)</f>
        <v>1836</v>
      </c>
      <c r="K25" s="766">
        <f>ROUND(IF(G25=1,F25/23,IF(G25=3,F25/12,IF(G25=6,F25,IF(G25=7,F25-I25,0)))),0)</f>
        <v>1836</v>
      </c>
      <c r="L25" s="767">
        <f>IF(G25=6,F25,0)</f>
        <v>0</v>
      </c>
      <c r="M25" s="572">
        <f>IF(F25="",0,MONTH(A25))</f>
        <v>4</v>
      </c>
      <c r="P25" s="768" t="inlineStr">
        <is>
          <t>確認済</t>
        </is>
      </c>
      <c r="Q25" s="769" t="str">
        <f>IF($F25="","",IFERROR(VLOOKUP($C25&amp;"|"&amp;$D25,科目表!$A$5:$B$200,2,FALSE),"※未登録"))</f>
        <v>共済負担金等</v>
      </c>
      <c r="R25" s="769">
        <f>IF($F25="","",$I25+$J25+$K25)</f>
        <v>22035</v>
      </c>
      <c r="S25" s="769" t="str">
        <f>IF(OR($F25="",$P25="支払なし",$H25=0,$Q25=""),"",$Q25&amp;"|S|"&amp;(COUNTIF(S$4:S24,$Q25&amp;"|S|*")+1))</f>
        <v/>
      </c>
      <c r="T25" s="769" t="str">
        <f>IF(OR($F25="",$P25="支払なし",$R25=0,$Q25=""),"",$Q25&amp;"|L|"&amp;(COUNTIF(T$4:T24,$Q25&amp;"|L|*")+1))</f>
        <v>共済負担金等|L|1</v>
      </c>
      <c r="U25" s="769">
        <f>IF(OR($F25="",$A25=""),"",MOD(MONTH($A25)-4,12)+1)</f>
        <v>1</v>
      </c>
    </row>
    <row r="26" ht="16.5" customFormat="1" customHeight="1" s="43">
      <c r="A26" s="760" t="n">
        <v>46139</v>
      </c>
      <c r="B26" s="761" t="n"/>
      <c r="C26" s="762" t="inlineStr">
        <is>
          <t>負担金</t>
        </is>
      </c>
      <c r="D26" s="762" t="inlineStr">
        <is>
          <t>負担金</t>
        </is>
      </c>
      <c r="E26" s="762" t="inlineStr">
        <is>
          <t>共済短期・介護・子ども子育て負担金（4月月例分）短期</t>
        </is>
      </c>
      <c r="F26" s="771" t="n">
        <v>37074</v>
      </c>
      <c r="G26" s="772" t="n">
        <v>2</v>
      </c>
      <c r="H26" s="765">
        <f>IF(G26=1,F26-I26-J26-K26,IF(G26=2,F26,0))</f>
        <v>37074</v>
      </c>
      <c r="I26" s="765">
        <f>ROUND(IF(G26=1,F26*10/23,IF(G26=3,F26-J26-K26,IF(G26=4,F26,IF(G26=5,F26*10/11,IF(G26=7,F26*10/11,0))))),0)</f>
        <v>0</v>
      </c>
      <c r="J26" s="765">
        <f>ROUND(IF(G26=1,F26/23,IF(G26=3,F26/12,IF(G26=5,F26-I26,IF(G26=8,F26,0)))),0)</f>
        <v>0</v>
      </c>
      <c r="K26" s="766">
        <f>ROUND(IF(G26=1,F26/23,IF(G26=3,F26/12,IF(G26=6,F26,IF(G26=7,F26-I26,0)))),0)</f>
        <v>0</v>
      </c>
      <c r="L26" s="767">
        <f>IF(G26=6,F26,0)</f>
        <v>0</v>
      </c>
      <c r="M26" s="572">
        <f>IF(F26="",0,MONTH(A26))</f>
        <v>4</v>
      </c>
      <c r="P26" s="768" t="inlineStr">
        <is>
          <t>確認済</t>
        </is>
      </c>
      <c r="Q26" s="769" t="str">
        <f>IF($F26="","",IFERROR(VLOOKUP($C26&amp;"|"&amp;$D26,科目表!$A$5:$B$200,2,FALSE),"※未登録"))</f>
        <v>共済負担金等</v>
      </c>
      <c r="R26" s="769">
        <f>IF($F26="","",$I26+$J26+$K26)</f>
        <v>0</v>
      </c>
      <c r="S26" s="769" t="str">
        <f>IF(OR($F26="",$P26="支払なし",$H26=0,$Q26=""),"",$Q26&amp;"|S|"&amp;(COUNTIF(S$4:S25,$Q26&amp;"|S|*")+1))</f>
        <v>共済負担金等|S|1</v>
      </c>
      <c r="T26" s="769" t="str">
        <f>IF(OR($F26="",$P26="支払なし",$R26=0,$Q26=""),"",$Q26&amp;"|L|"&amp;(COUNTIF(T$4:T25,$Q26&amp;"|L|*")+1))</f>
        <v/>
      </c>
      <c r="U26" s="769">
        <f>IF(OR($F26="",$A26=""),"",MOD(MONTH($A26)-4,12)+1)</f>
        <v>1</v>
      </c>
    </row>
    <row r="27" ht="16.5" customFormat="1" customHeight="1" s="43">
      <c r="A27" s="760" t="n">
        <v>46153</v>
      </c>
      <c r="B27" s="761" t="n"/>
      <c r="C27" s="762" t="inlineStr">
        <is>
          <t>事務費</t>
        </is>
      </c>
      <c r="D27" s="762" t="inlineStr">
        <is>
          <t>送金料</t>
        </is>
      </c>
      <c r="E27" s="775" t="inlineStr">
        <is>
          <t>振込手数料（広銀）４月分　長期分</t>
        </is>
      </c>
      <c r="F27" s="764" t="n">
        <v>18493</v>
      </c>
      <c r="G27" s="764" t="n">
        <v>3</v>
      </c>
      <c r="H27" s="765">
        <f>IF(G27=1,F27-I27-J27-K27,IF(G27=2,F27,0))</f>
        <v>0</v>
      </c>
      <c r="I27" s="765">
        <f>ROUND(IF(G27=1,F27*10/23,IF(G27=3,F27-J27-K27,IF(G27=4,F27,IF(G27=5,F27*10/11,IF(G27=7,F27*10/11,0))))),0)</f>
        <v>15411</v>
      </c>
      <c r="J27" s="765">
        <f>ROUND(IF(G27=1,F27/23,IF(G27=3,F27/12,IF(G27=5,F27-I27,IF(G27=8,F27,0)))),0)</f>
        <v>1541</v>
      </c>
      <c r="K27" s="766">
        <f>ROUND(IF(G27=1,F27/23,IF(G27=3,F27/12,IF(G27=6,F27,IF(G27=7,F27-I27,0)))),0)</f>
        <v>1541</v>
      </c>
      <c r="L27" s="767">
        <f>IF(G27=6,F27,0)</f>
        <v>0</v>
      </c>
      <c r="M27" s="572">
        <f>IF(F27="",0,MONTH(A27))</f>
        <v>5</v>
      </c>
      <c r="P27" s="768" t="inlineStr">
        <is>
          <t>確認済</t>
        </is>
      </c>
      <c r="Q27" s="769" t="str">
        <f>IF($F27="","",IFERROR(VLOOKUP($C27&amp;"|"&amp;$D27,科目表!$A$5:$B$200,2,FALSE),"※未登録"))</f>
        <v>送金料</v>
      </c>
      <c r="R27" s="769">
        <f>IF($F27="","",$I27+$J27+$K27)</f>
        <v>18493</v>
      </c>
      <c r="S27" s="769" t="str">
        <f>IF(OR($F27="",$P27="支払なし",$H27=0,$Q27=""),"",$Q27&amp;"|S|"&amp;(COUNTIF(S$4:S26,$Q27&amp;"|S|*")+1))</f>
        <v/>
      </c>
      <c r="T27" s="769" t="str">
        <f>IF(OR($F27="",$P27="支払なし",$R27=0,$Q27=""),"",$Q27&amp;"|L|"&amp;(COUNTIF(T$4:T26,$Q27&amp;"|L|*")+1))</f>
        <v>送金料|L|1</v>
      </c>
      <c r="U27" s="769">
        <f>IF(OR($F27="",$A27=""),"",MOD(MONTH($A27)-4,12)+1)</f>
        <v>2</v>
      </c>
    </row>
    <row r="28" ht="16.5" customFormat="1" customHeight="1" s="43">
      <c r="A28" s="760" t="n">
        <v>46153</v>
      </c>
      <c r="B28" s="761" t="n"/>
      <c r="C28" s="762" t="inlineStr">
        <is>
          <t>事務費</t>
        </is>
      </c>
      <c r="D28" s="762" t="inlineStr">
        <is>
          <t>送金料</t>
        </is>
      </c>
      <c r="E28" s="775" t="inlineStr">
        <is>
          <t>振込手数料（広銀）４月分　短期分</t>
        </is>
      </c>
      <c r="F28" s="764" t="n">
        <v>139883</v>
      </c>
      <c r="G28" s="764" t="n">
        <v>2</v>
      </c>
      <c r="H28" s="765">
        <f>IF(G28=1,F28-I28-J28-K28,IF(G28=2,F28,0))</f>
        <v>139883</v>
      </c>
      <c r="I28" s="765">
        <f>ROUND(IF(G28=1,F28*10/23,IF(G28=3,F28-J28-K28,IF(G28=4,F28,IF(G28=5,F28*10/11,IF(G28=7,F28*10/11,0))))),0)</f>
        <v>0</v>
      </c>
      <c r="J28" s="765">
        <f>ROUND(IF(G28=1,F28/23,IF(G28=3,F28/12,IF(G28=5,F28-I28,IF(G28=8,F28,0)))),0)</f>
        <v>0</v>
      </c>
      <c r="K28" s="766">
        <f>ROUND(IF(G28=1,F28/23,IF(G28=3,F28/12,IF(G28=6,F28,IF(G28=7,F28-I28,0)))),0)</f>
        <v>0</v>
      </c>
      <c r="L28" s="767">
        <f>IF(G28=6,F28,0)</f>
        <v>0</v>
      </c>
      <c r="M28" s="572">
        <f>IF(F28="",0,MONTH(A28))</f>
        <v>5</v>
      </c>
      <c r="P28" s="768" t="inlineStr">
        <is>
          <t>確認済</t>
        </is>
      </c>
      <c r="Q28" s="769" t="str">
        <f>IF($F28="","",IFERROR(VLOOKUP($C28&amp;"|"&amp;$D28,科目表!$A$5:$B$200,2,FALSE),"※未登録"))</f>
        <v>送金料</v>
      </c>
      <c r="R28" s="769">
        <f>IF($F28="","",$I28+$J28+$K28)</f>
        <v>0</v>
      </c>
      <c r="S28" s="769" t="str">
        <f>IF(OR($F28="",$P28="支払なし",$H28=0,$Q28=""),"",$Q28&amp;"|S|"&amp;(COUNTIF(S$4:S27,$Q28&amp;"|S|*")+1))</f>
        <v>送金料|S|1</v>
      </c>
      <c r="T28" s="769" t="str">
        <f>IF(OR($F28="",$P28="支払なし",$R28=0,$Q28=""),"",$Q28&amp;"|L|"&amp;(COUNTIF(T$4:T27,$Q28&amp;"|L|*")+1))</f>
        <v/>
      </c>
      <c r="U28" s="769">
        <f>IF(OR($F28="",$A28=""),"",MOD(MONTH($A28)-4,12)+1)</f>
        <v>2</v>
      </c>
    </row>
    <row r="29" ht="16.5" customFormat="1" customHeight="1" s="43">
      <c r="A29" s="760" t="n">
        <v>46171</v>
      </c>
      <c r="B29" s="761" t="n"/>
      <c r="C29" s="762" t="inlineStr">
        <is>
          <t>事務費</t>
        </is>
      </c>
      <c r="D29" s="762" t="inlineStr">
        <is>
          <t>事務用消耗品費</t>
        </is>
      </c>
      <c r="E29" s="776" t="inlineStr">
        <is>
          <t>ダイヤルロック　UNK-02 7個　他</t>
        </is>
      </c>
      <c r="F29" s="772" t="n">
        <v>14518</v>
      </c>
      <c r="G29" s="772" t="n">
        <v>2</v>
      </c>
      <c r="H29" s="765">
        <f>IF(G29=1,F29-I29-J29-K29,IF(G29=2,F29,0))</f>
        <v>14518</v>
      </c>
      <c r="I29" s="765">
        <f>ROUND(IF(G29=1,F29*10/23,IF(G29=3,F29-J29-K29,IF(G29=4,F29,IF(G29=5,F29*10/11,IF(G29=7,F29*10/11,0))))),0)</f>
        <v>0</v>
      </c>
      <c r="J29" s="765">
        <f>ROUND(IF(G29=1,F29/23,IF(G29=3,F29/12,IF(G29=5,F29-I29,IF(G29=8,F29,0)))),0)</f>
        <v>0</v>
      </c>
      <c r="K29" s="766">
        <f>ROUND(IF(G29=1,F29/23,IF(G29=3,F29/12,IF(G29=6,F29,IF(G29=7,F29-I29,0)))),0)</f>
        <v>0</v>
      </c>
      <c r="L29" s="767">
        <f>IF(G29=6,F29,0)</f>
        <v>0</v>
      </c>
      <c r="M29" s="572">
        <f>IF(F29="",0,MONTH(A29))</f>
        <v>5</v>
      </c>
      <c r="P29" s="768" t="inlineStr">
        <is>
          <t>確認済</t>
        </is>
      </c>
      <c r="Q29" s="769" t="str">
        <f>IF($F29="","",IFERROR(VLOOKUP($C29&amp;"|"&amp;$D29,科目表!$A$5:$B$200,2,FALSE),"※未登録"))</f>
        <v>事務用消耗品費</v>
      </c>
      <c r="R29" s="769">
        <f>IF($F29="","",$I29+$J29+$K29)</f>
        <v>0</v>
      </c>
      <c r="S29" s="769" t="str">
        <f>IF(OR($F29="",$P29="支払なし",$H29=0,$Q29=""),"",$Q29&amp;"|S|"&amp;(COUNTIF(S$4:S28,$Q29&amp;"|S|*")+1))</f>
        <v>事務用消耗品費|S|4</v>
      </c>
      <c r="T29" s="769" t="str">
        <f>IF(OR($F29="",$P29="支払なし",$R29=0,$Q29=""),"",$Q29&amp;"|L|"&amp;(COUNTIF(T$4:T28,$Q29&amp;"|L|*")+1))</f>
        <v/>
      </c>
      <c r="U29" s="769">
        <f>IF(OR($F29="",$A29=""),"",MOD(MONTH($A29)-4,12)+1)</f>
        <v>2</v>
      </c>
    </row>
    <row r="30" ht="16.5" customFormat="1" customHeight="1" s="43">
      <c r="A30" s="760" t="n">
        <v>46171</v>
      </c>
      <c r="B30" s="761" t="n"/>
      <c r="C30" s="762" t="inlineStr">
        <is>
          <t>賃借料</t>
        </is>
      </c>
      <c r="D30" s="762" t="n"/>
      <c r="E30" s="762" t="inlineStr">
        <is>
          <t>パソコン（業務経理用）４月分</t>
        </is>
      </c>
      <c r="F30" s="772" t="n">
        <v>5060</v>
      </c>
      <c r="G30" s="772" t="n">
        <v>2</v>
      </c>
      <c r="H30" s="765">
        <f>IF(G30=1,F30-I30-J30-K30,IF(G30=2,F30,0))</f>
        <v>5060</v>
      </c>
      <c r="I30" s="765">
        <f>ROUND(IF(G30=1,F30*10/23,IF(G30=3,F30-J30-K30,IF(G30=4,F30,IF(G30=5,F30*10/11,IF(G30=7,F30*10/11,0))))),0)</f>
        <v>0</v>
      </c>
      <c r="J30" s="765">
        <f>ROUND(IF(G30=1,F30/23,IF(G30=3,F30/12,IF(G30=5,F30-I30,IF(G30=8,F30,0)))),0)</f>
        <v>0</v>
      </c>
      <c r="K30" s="766">
        <f>ROUND(IF(G30=1,F30/23,IF(G30=3,F30/12,IF(G30=6,F30,IF(G30=7,F30-I30,0)))),0)</f>
        <v>0</v>
      </c>
      <c r="L30" s="767">
        <f>IF(G30=6,F30,0)</f>
        <v>0</v>
      </c>
      <c r="M30" s="572">
        <f>IF(F30="",0,MONTH(A30))</f>
        <v>5</v>
      </c>
      <c r="P30" s="768" t="inlineStr">
        <is>
          <t>確認済</t>
        </is>
      </c>
      <c r="Q30" s="769" t="str">
        <f>IF($F30="","",IFERROR(VLOOKUP($C30&amp;"|"&amp;$D30,科目表!$A$5:$B$200,2,FALSE),"※未登録"))</f>
        <v>賃借料</v>
      </c>
      <c r="R30" s="769">
        <f>IF($F30="","",$I30+$J30+$K30)</f>
        <v>0</v>
      </c>
      <c r="S30" s="769" t="str">
        <f>IF(OR($F30="",$P30="支払なし",$H30=0,$Q30=""),"",$Q30&amp;"|S|"&amp;(COUNTIF(S$4:S29,$Q30&amp;"|S|*")+1))</f>
        <v>賃借料|S|1</v>
      </c>
      <c r="T30" s="769" t="str">
        <f>IF(OR($F30="",$P30="支払なし",$R30=0,$Q30=""),"",$Q30&amp;"|L|"&amp;(COUNTIF(T$4:T29,$Q30&amp;"|L|*")+1))</f>
        <v/>
      </c>
      <c r="U30" s="769">
        <f>IF(OR($F30="",$A30=""),"",MOD(MONTH($A30)-4,12)+1)</f>
        <v>2</v>
      </c>
    </row>
    <row r="31" ht="16.5" customFormat="1" customHeight="1" s="43">
      <c r="A31" s="760" t="n">
        <v>46157</v>
      </c>
      <c r="B31" s="761" t="n"/>
      <c r="C31" s="762" t="inlineStr">
        <is>
          <t>賃金</t>
        </is>
      </c>
      <c r="D31" s="762" t="n"/>
      <c r="E31" s="762" t="inlineStr">
        <is>
          <t>臨時職員賃金４月分　天畠吏梨外1名分（短期１００％）</t>
        </is>
      </c>
      <c r="F31" s="771" t="n">
        <v>425880</v>
      </c>
      <c r="G31" s="772" t="n">
        <v>2</v>
      </c>
      <c r="H31" s="765">
        <f>IF(G31=1,F31-I31-J31-K31,IF(G31=2,F31,0))</f>
        <v>425880</v>
      </c>
      <c r="I31" s="765">
        <f>ROUND(IF(G31=1,F31*10/23,IF(G31=3,F31-J31-K31,IF(G31=4,F31,IF(G31=5,F31*10/11,IF(G31=7,F31*10/11,0))))),0)</f>
        <v>0</v>
      </c>
      <c r="J31" s="765">
        <f>ROUND(IF(G31=1,F31/23,IF(G31=3,F31/12,IF(G31=5,F31-I31,IF(G31=8,F31,0)))),0)</f>
        <v>0</v>
      </c>
      <c r="K31" s="766">
        <f>ROUND(IF(G31=1,F31/23,IF(G31=3,F31/12,IF(G31=6,F31,IF(G31=7,F31-I31,0)))),0)</f>
        <v>0</v>
      </c>
      <c r="L31" s="767">
        <f>IF(G31=6,F31,0)</f>
        <v>0</v>
      </c>
      <c r="M31" s="572">
        <f>IF(F31="",0,MONTH(A31))</f>
        <v>5</v>
      </c>
      <c r="P31" s="768" t="inlineStr">
        <is>
          <t>確認済</t>
        </is>
      </c>
      <c r="Q31" s="769" t="str">
        <f>IF($F31="","",IFERROR(VLOOKUP($C31&amp;"|"&amp;$D31,科目表!$A$5:$B$200,2,FALSE),"※未登録"))</f>
        <v>賃金</v>
      </c>
      <c r="R31" s="769">
        <f>IF($F31="","",$I31+$J31+$K31)</f>
        <v>0</v>
      </c>
      <c r="S31" s="769" t="str">
        <f>IF(OR($F31="",$P31="支払なし",$H31=0,$Q31=""),"",$Q31&amp;"|S|"&amp;(COUNTIF(S$4:S30,$Q31&amp;"|S|*")+1))</f>
        <v>賃金|S|1</v>
      </c>
      <c r="T31" s="769" t="str">
        <f>IF(OR($F31="",$P31="支払なし",$R31=0,$Q31=""),"",$Q31&amp;"|L|"&amp;(COUNTIF(T$4:T30,$Q31&amp;"|L|*")+1))</f>
        <v/>
      </c>
      <c r="U31" s="769">
        <f>IF(OR($F31="",$A31=""),"",MOD(MONTH($A31)-4,12)+1)</f>
        <v>2</v>
      </c>
    </row>
    <row r="32" ht="16.5" customFormat="1" customHeight="1" s="43">
      <c r="A32" s="760" t="n">
        <v>46162</v>
      </c>
      <c r="B32" s="761" t="n"/>
      <c r="C32" s="762" t="inlineStr">
        <is>
          <t>委託費</t>
        </is>
      </c>
      <c r="D32" s="762" t="n"/>
      <c r="E32" s="777" t="inlineStr">
        <is>
          <t>社会保障等制度　中間サーバー等運営負担金</t>
        </is>
      </c>
      <c r="F32" s="764" t="n">
        <v>1798068</v>
      </c>
      <c r="G32" s="764" t="n">
        <v>2</v>
      </c>
      <c r="H32" s="765">
        <f>IF(G32=1,F32-I32-J32-K32,IF(G32=2,F32,0))</f>
        <v>1798068</v>
      </c>
      <c r="I32" s="765">
        <f>ROUND(IF(G32=1,F32*10/23,IF(G32=3,F32-J32-K32,IF(G32=4,F32,IF(G32=5,F32*10/11,IF(G32=7,F32*10/11,0))))),0)</f>
        <v>0</v>
      </c>
      <c r="J32" s="765">
        <f>ROUND(IF(G32=1,F32/23,IF(G32=3,F32/12,IF(G32=5,F32-I32,IF(G32=8,F32,0)))),0)</f>
        <v>0</v>
      </c>
      <c r="K32" s="766">
        <f>ROUND(IF(G32=1,F32/23,IF(G32=3,F32/12,IF(G32=6,F32,IF(G32=7,F32-I32,0)))),0)</f>
        <v>0</v>
      </c>
      <c r="L32" s="767">
        <f>IF(G32=6,F32,0)</f>
        <v>0</v>
      </c>
      <c r="M32" s="572">
        <f>IF(F32="",0,MONTH(A32))</f>
        <v>5</v>
      </c>
      <c r="P32" s="768" t="inlineStr">
        <is>
          <t>確認済</t>
        </is>
      </c>
      <c r="Q32" s="769" t="str">
        <f>IF($F32="","",IFERROR(VLOOKUP($C32&amp;"|"&amp;$D32,科目表!$A$5:$B$200,2,FALSE),"※未登録"))</f>
        <v>委託費</v>
      </c>
      <c r="R32" s="769">
        <f>IF($F32="","",$I32+$J32+$K32)</f>
        <v>0</v>
      </c>
      <c r="S32" s="769" t="str">
        <f>IF(OR($F32="",$P32="支払なし",$H32=0,$Q32=""),"",$Q32&amp;"|S|"&amp;(COUNTIF(S$4:S31,$Q32&amp;"|S|*")+1))</f>
        <v>委託費|S|3</v>
      </c>
      <c r="T32" s="769" t="str">
        <f>IF(OR($F32="",$P32="支払なし",$R32=0,$Q32=""),"",$Q32&amp;"|L|"&amp;(COUNTIF(T$4:T31,$Q32&amp;"|L|*")+1))</f>
        <v/>
      </c>
      <c r="U32" s="769">
        <f>IF(OR($F32="",$A32=""),"",MOD(MONTH($A32)-4,12)+1)</f>
        <v>2</v>
      </c>
    </row>
    <row r="33" ht="16.5" customFormat="1" customHeight="1" s="43">
      <c r="A33" s="760" t="n">
        <v>46171</v>
      </c>
      <c r="B33" s="761" t="n"/>
      <c r="C33" s="762" t="inlineStr">
        <is>
          <t>事務費</t>
        </is>
      </c>
      <c r="D33" s="762" t="inlineStr">
        <is>
          <t>送金料</t>
        </is>
      </c>
      <c r="E33" s="775" t="inlineStr">
        <is>
          <t>ゆうちょ銀行手数料（４月分）短期</t>
        </is>
      </c>
      <c r="F33" s="764" t="n">
        <v>109019</v>
      </c>
      <c r="G33" s="764" t="n">
        <v>2</v>
      </c>
      <c r="H33" s="765">
        <f>IF(G33=1,F33-I33-J33-K33,IF(G33=2,F33,0))</f>
        <v>109019</v>
      </c>
      <c r="I33" s="765">
        <f>ROUND(IF(G33=1,F33*10/23,IF(G33=3,F33-J33-K33,IF(G33=4,F33,IF(G33=5,F33*10/11,IF(G33=7,F33*10/11,0))))),0)</f>
        <v>0</v>
      </c>
      <c r="J33" s="765">
        <f>ROUND(IF(G33=1,F33/23,IF(G33=3,F33/12,IF(G33=5,F33-I33,IF(G33=8,F33,0)))),0)</f>
        <v>0</v>
      </c>
      <c r="K33" s="766">
        <f>ROUND(IF(G33=1,F33/23,IF(G33=3,F33/12,IF(G33=6,F33,IF(G33=7,F33-I33,0)))),0)</f>
        <v>0</v>
      </c>
      <c r="L33" s="767">
        <f>IF(G33=6,F33,0)</f>
        <v>0</v>
      </c>
      <c r="M33" s="572">
        <f>IF(F33="",0,MONTH(A33))</f>
        <v>5</v>
      </c>
      <c r="P33" s="768" t="inlineStr">
        <is>
          <t>確認済</t>
        </is>
      </c>
      <c r="Q33" s="769" t="str">
        <f>IF($F33="","",IFERROR(VLOOKUP($C33&amp;"|"&amp;$D33,科目表!$A$5:$B$200,2,FALSE),"※未登録"))</f>
        <v>送金料</v>
      </c>
      <c r="R33" s="769">
        <f>IF($F33="","",$I33+$J33+$K33)</f>
        <v>0</v>
      </c>
      <c r="S33" s="769" t="str">
        <f>IF(OR($F33="",$P33="支払なし",$H33=0,$Q33=""),"",$Q33&amp;"|S|"&amp;(COUNTIF(S$4:S32,$Q33&amp;"|S|*")+1))</f>
        <v>送金料|S|2</v>
      </c>
      <c r="T33" s="769" t="str">
        <f>IF(OR($F33="",$P33="支払なし",$R33=0,$Q33=""),"",$Q33&amp;"|L|"&amp;(COUNTIF(T$4:T32,$Q33&amp;"|L|*")+1))</f>
        <v/>
      </c>
      <c r="U33" s="769">
        <f>IF(OR($F33="",$A33=""),"",MOD(MONTH($A33)-4,12)+1)</f>
        <v>2</v>
      </c>
    </row>
    <row r="34" ht="16.5" customFormat="1" customHeight="1" s="43">
      <c r="A34" s="760" t="n">
        <v>46171</v>
      </c>
      <c r="B34" s="761" t="n"/>
      <c r="C34" s="762" t="inlineStr">
        <is>
          <t>事務費</t>
        </is>
      </c>
      <c r="D34" s="762" t="inlineStr">
        <is>
          <t>雑費</t>
        </is>
      </c>
      <c r="E34" s="775" t="inlineStr">
        <is>
          <t>ゆうちょ銀行振替口座残高証明（４月分）短期</t>
        </is>
      </c>
      <c r="F34" s="764" t="n">
        <v>550</v>
      </c>
      <c r="G34" s="764" t="n">
        <v>2</v>
      </c>
      <c r="H34" s="765">
        <f>IF(G34=1,F34-I34-J34-K34,IF(G34=2,F34,0))</f>
        <v>550</v>
      </c>
      <c r="I34" s="765">
        <f>ROUND(IF(G34=1,F34*10/23,IF(G34=3,F34-J34-K34,IF(G34=4,F34,IF(G34=5,F34*10/11,IF(G34=7,F34*10/11,0))))),0)</f>
        <v>0</v>
      </c>
      <c r="J34" s="765">
        <f>ROUND(IF(G34=1,F34/23,IF(G34=3,F34/12,IF(G34=5,F34-I34,IF(G34=8,F34,0)))),0)</f>
        <v>0</v>
      </c>
      <c r="K34" s="766">
        <f>ROUND(IF(G34=1,F34/23,IF(G34=3,F34/12,IF(G34=6,F34,IF(G34=7,F34-I34,0)))),0)</f>
        <v>0</v>
      </c>
      <c r="L34" s="767">
        <f>IF(G34=6,F34,0)</f>
        <v>0</v>
      </c>
      <c r="M34" s="572">
        <f>IF(F34="",0,MONTH(A34))</f>
        <v>5</v>
      </c>
      <c r="P34" s="768" t="inlineStr">
        <is>
          <t>確認済</t>
        </is>
      </c>
      <c r="Q34" s="769" t="str">
        <f>IF($F34="","",IFERROR(VLOOKUP($C34&amp;"|"&amp;$D34,科目表!$A$5:$B$200,2,FALSE),"※未登録"))</f>
        <v>事務費・雑費</v>
      </c>
      <c r="R34" s="769">
        <f>IF($F34="","",$I34+$J34+$K34)</f>
        <v>0</v>
      </c>
      <c r="S34" s="769" t="str">
        <f>IF(OR($F34="",$P34="支払なし",$H34=0,$Q34=""),"",$Q34&amp;"|S|"&amp;(COUNTIF(S$4:S33,$Q34&amp;"|S|*")+1))</f>
        <v>事務費・雑費|S|2</v>
      </c>
      <c r="T34" s="769" t="str">
        <f>IF(OR($F34="",$P34="支払なし",$R34=0,$Q34=""),"",$Q34&amp;"|L|"&amp;(COUNTIF(T$4:T33,$Q34&amp;"|L|*")+1))</f>
        <v/>
      </c>
      <c r="U34" s="769">
        <f>IF(OR($F34="",$A34=""),"",MOD(MONTH($A34)-4,12)+1)</f>
        <v>2</v>
      </c>
    </row>
    <row r="35" ht="16.5" customFormat="1" customHeight="1" s="43">
      <c r="A35" s="760" t="n">
        <v>46163</v>
      </c>
      <c r="B35" s="761" t="n"/>
      <c r="C35" s="762" t="inlineStr">
        <is>
          <t>職員給与</t>
        </is>
      </c>
      <c r="D35" s="762" t="inlineStr">
        <is>
          <t>非常勤職員手当</t>
        </is>
      </c>
      <c r="E35" s="762" t="inlineStr">
        <is>
          <t>５月分給与（長期分）</t>
        </is>
      </c>
      <c r="F35" s="774" t="n">
        <v>380800</v>
      </c>
      <c r="G35" s="772" t="n">
        <v>3</v>
      </c>
      <c r="H35" s="765">
        <f>IF(G35=1,F35-I35-J35-K35,IF(G35=2,F35,0))</f>
        <v>0</v>
      </c>
      <c r="I35" s="765">
        <f>ROUND(IF(G35=1,F35*10/23,IF(G35=3,F35-J35-K35,IF(G35=4,F35,IF(G35=5,F35*10/11,IF(G35=7,F35*10/11,0))))),0)</f>
        <v>317334</v>
      </c>
      <c r="J35" s="765">
        <f>ROUND(IF(G35=1,F35/23,IF(G35=3,F35/12,IF(G35=5,F35-I35,IF(G35=8,F35,0)))),0)</f>
        <v>31733</v>
      </c>
      <c r="K35" s="766">
        <f>ROUND(IF(G35=1,F35/23,IF(G35=3,F35/12,IF(G35=6,F35,IF(G35=7,F35-I35,0)))),0)</f>
        <v>31733</v>
      </c>
      <c r="L35" s="767">
        <f>IF(G35=6,F35,0)</f>
        <v>0</v>
      </c>
      <c r="M35" s="572">
        <f>IF(F35="",0,MONTH(A35))</f>
        <v>5</v>
      </c>
      <c r="P35" s="768" t="inlineStr">
        <is>
          <t>確認済</t>
        </is>
      </c>
      <c r="Q35" s="769" t="str">
        <f>IF($F35="","",IFERROR(VLOOKUP($C35&amp;"|"&amp;$D35,科目表!$A$5:$B$200,2,FALSE),"※未登録"))</f>
        <v>非常勤職員手当</v>
      </c>
      <c r="R35" s="769">
        <f>IF($F35="","",$I35+$J35+$K35)</f>
        <v>380800</v>
      </c>
      <c r="S35" s="769" t="str">
        <f>IF(OR($F35="",$P35="支払なし",$H35=0,$Q35=""),"",$Q35&amp;"|S|"&amp;(COUNTIF(S$4:S34,$Q35&amp;"|S|*")+1))</f>
        <v/>
      </c>
      <c r="T35" s="769" t="str">
        <f>IF(OR($F35="",$P35="支払なし",$R35=0,$Q35=""),"",$Q35&amp;"|L|"&amp;(COUNTIF(T$4:T34,$Q35&amp;"|L|*")+1))</f>
        <v>非常勤職員手当|L|2</v>
      </c>
      <c r="U35" s="769">
        <f>IF(OR($F35="",$A35=""),"",MOD(MONTH($A35)-4,12)+1)</f>
        <v>2</v>
      </c>
    </row>
    <row r="36" ht="16.5" customFormat="1" customHeight="1" s="43">
      <c r="A36" s="760" t="n">
        <v>46163</v>
      </c>
      <c r="B36" s="761" t="n"/>
      <c r="C36" s="762" t="inlineStr">
        <is>
          <t>職員給与</t>
        </is>
      </c>
      <c r="D36" s="762" t="inlineStr">
        <is>
          <t>非常勤職員手当</t>
        </is>
      </c>
      <c r="E36" s="762" t="inlineStr">
        <is>
          <t>５月分給与（短期分）</t>
        </is>
      </c>
      <c r="F36" s="771" t="n">
        <v>248436</v>
      </c>
      <c r="G36" s="772" t="n">
        <v>2</v>
      </c>
      <c r="H36" s="765">
        <f>IF(G36=1,F36-I36-J36-K36,IF(G36=2,F36,0))</f>
        <v>248436</v>
      </c>
      <c r="I36" s="765">
        <f>ROUND(IF(G36=1,F36*10/23,IF(G36=3,F36-J36-K36,IF(G36=4,F36,IF(G36=5,F36*10/11,IF(G36=7,F36*10/11,0))))),0)</f>
        <v>0</v>
      </c>
      <c r="J36" s="765">
        <f>ROUND(IF(G36=1,F36/23,IF(G36=3,F36/12,IF(G36=5,F36-I36,IF(G36=8,F36,0)))),0)</f>
        <v>0</v>
      </c>
      <c r="K36" s="766">
        <f>ROUND(IF(G36=1,F36/23,IF(G36=3,F36/12,IF(G36=6,F36,IF(G36=7,F36-I36,0)))),0)</f>
        <v>0</v>
      </c>
      <c r="L36" s="767" t="n">
        <v>0</v>
      </c>
      <c r="M36" s="572">
        <f>IF(F36="",0,MONTH(A36))</f>
        <v>5</v>
      </c>
      <c r="P36" s="768" t="inlineStr">
        <is>
          <t>確認済</t>
        </is>
      </c>
      <c r="Q36" s="769" t="str">
        <f>IF($F36="","",IFERROR(VLOOKUP($C36&amp;"|"&amp;$D36,科目表!$A$5:$B$200,2,FALSE),"※未登録"))</f>
        <v>非常勤職員手当</v>
      </c>
      <c r="R36" s="769">
        <f>IF($F36="","",$I36+$J36+$K36)</f>
        <v>0</v>
      </c>
      <c r="S36" s="769" t="str">
        <f>IF(OR($F36="",$P36="支払なし",$H36=0,$Q36=""),"",$Q36&amp;"|S|"&amp;(COUNTIF(S$4:S35,$Q36&amp;"|S|*")+1))</f>
        <v>非常勤職員手当|S|2</v>
      </c>
      <c r="T36" s="769" t="str">
        <f>IF(OR($F36="",$P36="支払なし",$R36=0,$Q36=""),"",$Q36&amp;"|L|"&amp;(COUNTIF(T$4:T35,$Q36&amp;"|L|*")+1))</f>
        <v/>
      </c>
      <c r="U36" s="769">
        <f>IF(OR($F36="",$A36=""),"",MOD(MONTH($A36)-4,12)+1)</f>
        <v>2</v>
      </c>
    </row>
    <row r="37" ht="16.5" customFormat="1" customHeight="1" s="43">
      <c r="A37" s="760" t="n">
        <v>46163</v>
      </c>
      <c r="B37" s="761" t="n"/>
      <c r="C37" s="762" t="inlineStr">
        <is>
          <t>負担金</t>
        </is>
      </c>
      <c r="D37" s="762" t="inlineStr">
        <is>
          <t>互助会費</t>
        </is>
      </c>
      <c r="E37" s="762" t="inlineStr">
        <is>
          <t>助成金（５月長期分）</t>
        </is>
      </c>
      <c r="F37" s="774" t="n">
        <v>466</v>
      </c>
      <c r="G37" s="764" t="n">
        <v>3</v>
      </c>
      <c r="H37" s="765">
        <f>IF(G37=1,F37-I37-J37-K37,IF(G37=2,F37,0))</f>
        <v>0</v>
      </c>
      <c r="I37" s="765">
        <f>ROUND(IF(G37=1,F37*10/23,IF(G37=3,F37-J37-K37,IF(G37=4,F37,IF(G37=5,F37*10/11,IF(G37=7,F37*10/11,0))))),0)</f>
        <v>388</v>
      </c>
      <c r="J37" s="765">
        <f>ROUND(IF(G37=1,F37/23,IF(G37=3,F37/12,IF(G37=5,F37-I37,IF(G37=8,F37,0)))),0)</f>
        <v>39</v>
      </c>
      <c r="K37" s="766">
        <f>ROUND(IF(G37=1,F37/23,IF(G37=3,F37/12,IF(G37=6,F37,IF(G37=7,F37-I37,0)))),0)</f>
        <v>39</v>
      </c>
      <c r="L37" s="767">
        <f>IF(G37=6,F37,0)</f>
        <v>0</v>
      </c>
      <c r="M37" s="572">
        <f>IF(F37="",0,MONTH(A37))</f>
        <v>5</v>
      </c>
      <c r="P37" s="768" t="inlineStr">
        <is>
          <t>確認済</t>
        </is>
      </c>
      <c r="Q37" s="769" t="str">
        <f>IF($F37="","",IFERROR(VLOOKUP($C37&amp;"|"&amp;$D37,科目表!$A$5:$B$200,2,FALSE),"※未登録"))</f>
        <v>互助会費</v>
      </c>
      <c r="R37" s="769">
        <f>IF($F37="","",$I37+$J37+$K37)</f>
        <v>466</v>
      </c>
      <c r="S37" s="769" t="str">
        <f>IF(OR($F37="",$P37="支払なし",$H37=0,$Q37=""),"",$Q37&amp;"|S|"&amp;(COUNTIF(S$4:S36,$Q37&amp;"|S|*")+1))</f>
        <v/>
      </c>
      <c r="T37" s="769" t="str">
        <f>IF(OR($F37="",$P37="支払なし",$R37=0,$Q37=""),"",$Q37&amp;"|L|"&amp;(COUNTIF(T$4:T36,$Q37&amp;"|L|*")+1))</f>
        <v>互助会費|L|2</v>
      </c>
      <c r="U37" s="769">
        <f>IF(OR($F37="",$A37=""),"",MOD(MONTH($A37)-4,12)+1)</f>
        <v>2</v>
      </c>
    </row>
    <row r="38" ht="16.5" customFormat="1" customHeight="1" s="43">
      <c r="A38" s="760" t="n">
        <v>46163</v>
      </c>
      <c r="B38" s="761" t="n"/>
      <c r="C38" s="762" t="inlineStr">
        <is>
          <t>負担金</t>
        </is>
      </c>
      <c r="D38" s="762" t="inlineStr">
        <is>
          <t>互助会費</t>
        </is>
      </c>
      <c r="E38" s="762" t="inlineStr">
        <is>
          <t>助成金（５月短期分）</t>
        </is>
      </c>
      <c r="F38" s="774" t="n">
        <v>240</v>
      </c>
      <c r="G38" s="764" t="n">
        <v>2</v>
      </c>
      <c r="H38" s="765">
        <f>IF(G38=1,F38-I38-J38-K38,IF(G38=2,F38,0))</f>
        <v>240</v>
      </c>
      <c r="I38" s="765">
        <f>ROUND(IF(G38=1,F38*10/23,IF(G38=3,F38-J38-K38,IF(G38=4,F38,IF(G38=5,F38*10/11,IF(G38=7,F38*10/11,0))))),0)</f>
        <v>0</v>
      </c>
      <c r="J38" s="765">
        <f>ROUND(IF(G38=1,F38/23,IF(G38=3,F38/12,IF(G38=5,F38-I38,IF(G38=8,F38,0)))),0)</f>
        <v>0</v>
      </c>
      <c r="K38" s="766">
        <f>ROUND(IF(G38=1,F38/23,IF(G38=3,F38/12,IF(G38=6,F38,IF(G38=7,F38-I38,0)))),0)</f>
        <v>0</v>
      </c>
      <c r="L38" s="767">
        <f>IF(G38=6,F38,0)</f>
        <v>0</v>
      </c>
      <c r="M38" s="572">
        <f>IF(F38="",0,MONTH(A38))</f>
        <v>5</v>
      </c>
      <c r="P38" s="768" t="inlineStr">
        <is>
          <t>確認済</t>
        </is>
      </c>
      <c r="Q38" s="769" t="str">
        <f>IF($F38="","",IFERROR(VLOOKUP($C38&amp;"|"&amp;$D38,科目表!$A$5:$B$200,2,FALSE),"※未登録"))</f>
        <v>互助会費</v>
      </c>
      <c r="R38" s="769">
        <f>IF($F38="","",$I38+$J38+$K38)</f>
        <v>0</v>
      </c>
      <c r="S38" s="769" t="str">
        <f>IF(OR($F38="",$P38="支払なし",$H38=0,$Q38=""),"",$Q38&amp;"|S|"&amp;(COUNTIF(S$4:S37,$Q38&amp;"|S|*")+1))</f>
        <v>互助会費|S|2</v>
      </c>
      <c r="T38" s="769" t="str">
        <f>IF(OR($F38="",$P38="支払なし",$R38=0,$Q38=""),"",$Q38&amp;"|L|"&amp;(COUNTIF(T$4:T37,$Q38&amp;"|L|*")+1))</f>
        <v/>
      </c>
      <c r="U38" s="769">
        <f>IF(OR($F38="",$A38=""),"",MOD(MONTH($A38)-4,12)+1)</f>
        <v>2</v>
      </c>
    </row>
    <row r="39" ht="16.5" customFormat="1" customHeight="1" s="43">
      <c r="A39" s="760" t="n">
        <v>46162</v>
      </c>
      <c r="B39" s="761" t="n"/>
      <c r="C39" s="762" t="inlineStr">
        <is>
          <t>委託費</t>
        </is>
      </c>
      <c r="D39" s="762" t="n"/>
      <c r="E39" s="763" t="inlineStr">
        <is>
          <t>レセプト電子データ提供料（２月診療分）</t>
        </is>
      </c>
      <c r="F39" s="764" t="n">
        <v>61859</v>
      </c>
      <c r="G39" s="764" t="n">
        <v>2</v>
      </c>
      <c r="H39" s="765">
        <f>IF(G39=1,F39-I39-J39-K39,IF(G39=2,F39,0))</f>
        <v>61859</v>
      </c>
      <c r="I39" s="765">
        <f>ROUND(IF(G39=1,F39*10/23,IF(G39=3,F39-J39-K39,IF(G39=4,F39,IF(G39=5,F39*10/11,IF(G39=7,F39*10/11,0))))),0)</f>
        <v>0</v>
      </c>
      <c r="J39" s="765">
        <f>ROUND(IF(G39=1,F39/23,IF(G39=3,F39/12,IF(G39=5,F39-I39,IF(G39=8,F39,0)))),0)</f>
        <v>0</v>
      </c>
      <c r="K39" s="766">
        <f>ROUND(IF(G39=1,F39/23,IF(G39=3,F39/12,IF(G39=6,F39,IF(G39=7,F39-I39,0)))),0)</f>
        <v>0</v>
      </c>
      <c r="L39" s="767">
        <f>IF(G39=6,F39,0)</f>
        <v>0</v>
      </c>
      <c r="M39" s="572">
        <f>IF(F39="",0,MONTH(A39))</f>
        <v>5</v>
      </c>
      <c r="P39" s="768" t="inlineStr">
        <is>
          <t>確認済</t>
        </is>
      </c>
      <c r="Q39" s="769" t="str">
        <f>IF($F39="","",IFERROR(VLOOKUP($C39&amp;"|"&amp;$D39,科目表!$A$5:$B$200,2,FALSE),"※未登録"))</f>
        <v>委託費</v>
      </c>
      <c r="R39" s="769">
        <f>IF($F39="","",$I39+$J39+$K39)</f>
        <v>0</v>
      </c>
      <c r="S39" s="769" t="str">
        <f>IF(OR($F39="",$P39="支払なし",$H39=0,$Q39=""),"",$Q39&amp;"|S|"&amp;(COUNTIF(S$4:S38,$Q39&amp;"|S|*")+1))</f>
        <v>委託費|S|4</v>
      </c>
      <c r="T39" s="769" t="str">
        <f>IF(OR($F39="",$P39="支払なし",$R39=0,$Q39=""),"",$Q39&amp;"|L|"&amp;(COUNTIF(T$4:T38,$Q39&amp;"|L|*")+1))</f>
        <v/>
      </c>
      <c r="U39" s="769">
        <f>IF(OR($F39="",$A39=""),"",MOD(MONTH($A39)-4,12)+1)</f>
        <v>2</v>
      </c>
    </row>
    <row r="40" ht="16.5" customFormat="1" customHeight="1" s="422">
      <c r="A40" s="760" t="n">
        <v>45065</v>
      </c>
      <c r="B40" s="761" t="n"/>
      <c r="C40" s="762" t="inlineStr">
        <is>
          <t>委託費</t>
        </is>
      </c>
      <c r="D40" s="762" t="n"/>
      <c r="E40" s="770" t="inlineStr">
        <is>
          <t>社会保障等制度　中間サーバー等運営負担金</t>
        </is>
      </c>
      <c r="F40" s="764" t="n">
        <v>661740</v>
      </c>
      <c r="G40" s="764" t="n">
        <v>2</v>
      </c>
      <c r="H40" s="765">
        <f>IF(G40=1,F40-I40-J40-K40,IF(G40=2,F40,0))</f>
        <v>661740</v>
      </c>
      <c r="I40" s="765">
        <f>ROUND(IF(G40=1,F40*10/23,IF(G40=3,F40-J40-K40,IF(G40=4,F40,IF(G40=5,F40*10/11,IF(G40=7,F40*10/11,0))))),0)</f>
        <v>0</v>
      </c>
      <c r="J40" s="765">
        <f>ROUND(IF(G40=1,F40/23,IF(G40=3,F40/12,IF(G40=5,F40-I40,IF(G40=8,F40,0)))),0)</f>
        <v>0</v>
      </c>
      <c r="K40" s="766">
        <f>ROUND(IF(G40=1,F40/23,IF(G40=3,F40/12,IF(G40=6,F40,IF(G40=7,F40-I40,0)))),0)</f>
        <v>0</v>
      </c>
      <c r="L40" s="767">
        <f>IF(G40=6,F40,0)</f>
        <v>0</v>
      </c>
      <c r="M40" s="421">
        <f>IF(F40="",0,MONTH(A40))</f>
        <v>5</v>
      </c>
      <c r="P40" s="768" t="inlineStr">
        <is>
          <t>昨年実績</t>
        </is>
      </c>
      <c r="Q40" s="769" t="str">
        <f>IF($F40="","",IFERROR(VLOOKUP($C40&amp;"|"&amp;$D40,科目表!$A$5:$B$200,2,FALSE),"※未登録"))</f>
        <v>委託費</v>
      </c>
      <c r="R40" s="769">
        <f>IF($F40="","",$I40+$J40+$K40)</f>
        <v>0</v>
      </c>
      <c r="S40" s="769" t="str">
        <f>IF(OR($F40="",$P40="支払なし",$H40=0,$Q40=""),"",$Q40&amp;"|S|"&amp;(COUNTIF(S$4:S39,$Q40&amp;"|S|*")+1))</f>
        <v>委託費|S|5</v>
      </c>
      <c r="T40" s="769" t="str">
        <f>IF(OR($F40="",$P40="支払なし",$R40=0,$Q40=""),"",$Q40&amp;"|L|"&amp;(COUNTIF(T$4:T39,$Q40&amp;"|L|*")+1))</f>
        <v/>
      </c>
      <c r="U40" s="769">
        <f>IF(OR($F40="",$A40=""),"",MOD(MONTH($A40)-4,12)+1)</f>
        <v>2</v>
      </c>
    </row>
    <row r="41" ht="16.5" customFormat="1" customHeight="1" s="422">
      <c r="A41" s="760" t="n">
        <v>44336</v>
      </c>
      <c r="B41" s="761" t="n"/>
      <c r="C41" s="762" t="inlineStr">
        <is>
          <t>事務費</t>
        </is>
      </c>
      <c r="D41" s="762" t="inlineStr">
        <is>
          <t>通信運搬費</t>
        </is>
      </c>
      <c r="E41" s="778" t="inlineStr">
        <is>
          <t>電話料金（４月使用・５月請求分）</t>
        </is>
      </c>
      <c r="F41" s="772" t="n">
        <v>5407</v>
      </c>
      <c r="G41" s="772" t="n">
        <v>2</v>
      </c>
      <c r="H41" s="765">
        <f>IF(G41=1,F41-I41-J41-K41,IF(G41=2,F41,0))</f>
        <v>5407</v>
      </c>
      <c r="I41" s="765">
        <f>ROUND(IF(G41=1,F41*10/23,IF(G41=3,F41-J41-K41,IF(G41=4,F41,IF(G41=5,F41*10/11,IF(G41=7,F41*10/11,0))))),0)</f>
        <v>0</v>
      </c>
      <c r="J41" s="765">
        <f>ROUND(IF(G41=1,F41/23,IF(G41=3,F41/12,IF(G41=5,F41-I41,IF(G41=8,F41,0)))),0)</f>
        <v>0</v>
      </c>
      <c r="K41" s="766">
        <f>ROUND(IF(G41=1,F41/23,IF(G41=3,F41/12,IF(G41=6,F41,IF(G41=7,F41-I41,0)))),0)</f>
        <v>0</v>
      </c>
      <c r="L41" s="767">
        <f>IF(G41=6,F41,0)</f>
        <v>0</v>
      </c>
      <c r="M41" s="421">
        <f>IF(F41="",0,MONTH(A41))</f>
        <v>5</v>
      </c>
      <c r="P41" s="768" t="inlineStr">
        <is>
          <t>昨年実績</t>
        </is>
      </c>
      <c r="Q41" s="769" t="str">
        <f>IF($F41="","",IFERROR(VLOOKUP($C41&amp;"|"&amp;$D41,科目表!$A$5:$B$200,2,FALSE),"※未登録"))</f>
        <v>通信運搬費</v>
      </c>
      <c r="R41" s="769">
        <f>IF($F41="","",$I41+$J41+$K41)</f>
        <v>0</v>
      </c>
      <c r="S41" s="769" t="str">
        <f>IF(OR($F41="",$P41="支払なし",$H41=0,$Q41=""),"",$Q41&amp;"|S|"&amp;(COUNTIF(S$4:S40,$Q41&amp;"|S|*")+1))</f>
        <v>通信運搬費|S|2</v>
      </c>
      <c r="T41" s="769" t="str">
        <f>IF(OR($F41="",$P41="支払なし",$R41=0,$Q41=""),"",$Q41&amp;"|L|"&amp;(COUNTIF(T$4:T40,$Q41&amp;"|L|*")+1))</f>
        <v/>
      </c>
      <c r="U41" s="769">
        <f>IF(OR($F41="",$A41=""),"",MOD(MONTH($A41)-4,12)+1)</f>
        <v>2</v>
      </c>
    </row>
    <row r="42" ht="16.5" customFormat="1" customHeight="1" s="43">
      <c r="A42" s="760" t="n">
        <v>45807</v>
      </c>
      <c r="B42" s="779" t="n"/>
      <c r="C42" s="762" t="inlineStr">
        <is>
          <t>事務費</t>
        </is>
      </c>
      <c r="D42" s="762" t="inlineStr">
        <is>
          <t>事務用消耗品費</t>
        </is>
      </c>
      <c r="E42" s="770" t="inlineStr">
        <is>
          <t>ポストイット　５００１SS-K　2個　他</t>
        </is>
      </c>
      <c r="F42" s="772" t="n">
        <v>19730</v>
      </c>
      <c r="G42" s="772" t="n">
        <v>2</v>
      </c>
      <c r="H42" s="765">
        <f>IF(G42=1,F42-I42-J42-K42,IF(G42=2,F42,0))</f>
        <v>19730</v>
      </c>
      <c r="I42" s="765">
        <f>ROUND(IF(G42=1,F42*10/23,IF(G42=3,F42-J42-K42,IF(G42=4,F42,IF(G42=5,F42*10/11,IF(G42=7,F42*10/11,0))))),0)</f>
        <v>0</v>
      </c>
      <c r="J42" s="765">
        <f>ROUND(IF(G42=1,F42/23,IF(G42=3,F42/12,IF(G42=5,F42-I42,IF(G42=8,F42,0)))),0)</f>
        <v>0</v>
      </c>
      <c r="K42" s="766">
        <f>ROUND(IF(G42=1,F42/23,IF(G42=3,F42/12,IF(G42=6,F42,IF(G42=7,F42-I42,0)))),0)</f>
        <v>0</v>
      </c>
      <c r="L42" s="767">
        <f>IF(G42=6,F42,0)</f>
        <v>0</v>
      </c>
      <c r="M42" s="572">
        <f>IF(F42="",0,MONTH(A42))</f>
        <v>5</v>
      </c>
      <c r="P42" s="768" t="inlineStr">
        <is>
          <t>昨年実績</t>
        </is>
      </c>
      <c r="Q42" s="769" t="str">
        <f>IF($F42="","",IFERROR(VLOOKUP($C42&amp;"|"&amp;$D42,科目表!$A$5:$B$200,2,FALSE),"※未登録"))</f>
        <v>事務用消耗品費</v>
      </c>
      <c r="R42" s="769">
        <f>IF($F42="","",$I42+$J42+$K42)</f>
        <v>0</v>
      </c>
      <c r="S42" s="769" t="str">
        <f>IF(OR($F42="",$P42="支払なし",$H42=0,$Q42=""),"",$Q42&amp;"|S|"&amp;(COUNTIF(S$4:S41,$Q42&amp;"|S|*")+1))</f>
        <v>事務用消耗品費|S|5</v>
      </c>
      <c r="T42" s="769" t="str">
        <f>IF(OR($F42="",$P42="支払なし",$R42=0,$Q42=""),"",$Q42&amp;"|L|"&amp;(COUNTIF(T$4:T41,$Q42&amp;"|L|*")+1))</f>
        <v/>
      </c>
      <c r="U42" s="769">
        <f>IF(OR($F42="",$A42=""),"",MOD(MONTH($A42)-4,12)+1)</f>
        <v>2</v>
      </c>
    </row>
    <row r="43" ht="16.5" customFormat="1" customHeight="1" s="43">
      <c r="A43" s="760" t="n">
        <v>45793</v>
      </c>
      <c r="B43" s="761" t="n"/>
      <c r="C43" s="762" t="inlineStr">
        <is>
          <t>事務費</t>
        </is>
      </c>
      <c r="D43" s="762" t="inlineStr">
        <is>
          <t>図書印刷費</t>
        </is>
      </c>
      <c r="E43" s="763" t="inlineStr">
        <is>
          <t>短期給付決定通知書　３，０００枚</t>
        </is>
      </c>
      <c r="F43" s="764" t="n">
        <v>128700</v>
      </c>
      <c r="G43" s="772" t="n">
        <v>2</v>
      </c>
      <c r="H43" s="765">
        <f>IF(G43=1,F43-I43-J43-K43,IF(G43=2,F43,0))</f>
        <v>128700</v>
      </c>
      <c r="I43" s="765">
        <f>ROUND(IF(G43=1,F43*10/23,IF(G43=3,F43-J43-K43,IF(G43=4,F43,IF(G43=5,F43*10/11,IF(G43=7,F43*10/11,0))))),0)</f>
        <v>0</v>
      </c>
      <c r="J43" s="765">
        <f>ROUND(IF(G43=1,F43/23,IF(G43=3,F43/12,IF(G43=5,F43-I43,IF(G43=8,F43,0)))),0)</f>
        <v>0</v>
      </c>
      <c r="K43" s="766">
        <f>ROUND(IF(G43=1,F43/23,IF(G43=3,F43/12,IF(G43=6,F43,IF(G43=7,F43-I43,0)))),0)</f>
        <v>0</v>
      </c>
      <c r="L43" s="767">
        <f>IF(G43=6,F43,0)</f>
        <v>0</v>
      </c>
      <c r="M43" s="572">
        <f>IF(F43="",0,MONTH(A43))</f>
        <v>5</v>
      </c>
      <c r="P43" s="768" t="inlineStr">
        <is>
          <t>昨年実績</t>
        </is>
      </c>
      <c r="Q43" s="769" t="str">
        <f>IF($F43="","",IFERROR(VLOOKUP($C43&amp;"|"&amp;$D43,科目表!$A$5:$B$200,2,FALSE),"※未登録"))</f>
        <v>図書印刷費</v>
      </c>
      <c r="R43" s="769">
        <f>IF($F43="","",$I43+$J43+$K43)</f>
        <v>0</v>
      </c>
      <c r="S43" s="769" t="str">
        <f>IF(OR($F43="",$P43="支払なし",$H43=0,$Q43=""),"",$Q43&amp;"|S|"&amp;(COUNTIF(S$4:S42,$Q43&amp;"|S|*")+1))</f>
        <v>図書印刷費|S|2</v>
      </c>
      <c r="T43" s="769" t="str">
        <f>IF(OR($F43="",$P43="支払なし",$R43=0,$Q43=""),"",$Q43&amp;"|L|"&amp;(COUNTIF(T$4:T42,$Q43&amp;"|L|*")+1))</f>
        <v/>
      </c>
      <c r="U43" s="769">
        <f>IF(OR($F43="",$A43=""),"",MOD(MONTH($A43)-4,12)+1)</f>
        <v>2</v>
      </c>
    </row>
    <row r="44" ht="16.5" customFormat="1" customHeight="1" s="43">
      <c r="A44" s="760" t="n">
        <v>45786</v>
      </c>
      <c r="B44" s="779" t="n"/>
      <c r="C44" s="762" t="inlineStr">
        <is>
          <t>事務費</t>
        </is>
      </c>
      <c r="D44" s="762" t="inlineStr">
        <is>
          <t>事務用消耗品費</t>
        </is>
      </c>
      <c r="E44" s="770" t="inlineStr">
        <is>
          <t>トナーカートリッジＬＰＢ３Ｔ２７　2個</t>
        </is>
      </c>
      <c r="F44" s="772" t="n">
        <v>10560</v>
      </c>
      <c r="G44" s="772" t="n">
        <v>3</v>
      </c>
      <c r="H44" s="765">
        <f>IF(G44=1,F44-I44-J44-K44,IF(G44=2,F44,0))</f>
        <v>0</v>
      </c>
      <c r="I44" s="765">
        <f>ROUND(IF(G44=1,F44*10/23,IF(G44=3,F44-J44-K44,IF(G44=4,F44,IF(G44=5,F44*10/11,IF(G44=7,F44*10/11,0))))),0)</f>
        <v>8800</v>
      </c>
      <c r="J44" s="765">
        <f>ROUND(IF(G44=1,F44/23,IF(G44=3,F44/12,IF(G44=5,F44-I44,IF(G44=8,F44,0)))),0)</f>
        <v>880</v>
      </c>
      <c r="K44" s="766">
        <f>ROUND(IF(G44=1,F44/23,IF(G44=3,F44/12,IF(G44=6,F44,IF(G44=7,F44-I44,0)))),0)</f>
        <v>880</v>
      </c>
      <c r="L44" s="767">
        <f>IF(G44=6,F44,0)</f>
        <v>0</v>
      </c>
      <c r="M44" s="572">
        <f>IF(F44="",0,MONTH(A44))</f>
        <v>5</v>
      </c>
      <c r="P44" s="768" t="inlineStr">
        <is>
          <t>昨年実績</t>
        </is>
      </c>
      <c r="Q44" s="769" t="str">
        <f>IF($F44="","",IFERROR(VLOOKUP($C44&amp;"|"&amp;$D44,科目表!$A$5:$B$200,2,FALSE),"※未登録"))</f>
        <v>事務用消耗品費</v>
      </c>
      <c r="R44" s="769">
        <f>IF($F44="","",$I44+$J44+$K44)</f>
        <v>10560</v>
      </c>
      <c r="S44" s="769" t="str">
        <f>IF(OR($F44="",$P44="支払なし",$H44=0,$Q44=""),"",$Q44&amp;"|S|"&amp;(COUNTIF(S$4:S43,$Q44&amp;"|S|*")+1))</f>
        <v/>
      </c>
      <c r="T44" s="769" t="str">
        <f>IF(OR($F44="",$P44="支払なし",$R44=0,$Q44=""),"",$Q44&amp;"|L|"&amp;(COUNTIF(T$4:T43,$Q44&amp;"|L|*")+1))</f>
        <v>事務用消耗品費|L|3</v>
      </c>
      <c r="U44" s="769">
        <f>IF(OR($F44="",$A44=""),"",MOD(MONTH($A44)-4,12)+1)</f>
        <v>2</v>
      </c>
    </row>
    <row r="45" ht="16.5" customFormat="1" customHeight="1" s="43">
      <c r="A45" s="760" t="n">
        <v>46162</v>
      </c>
      <c r="B45" s="779" t="n"/>
      <c r="C45" s="762" t="inlineStr">
        <is>
          <t>賃借料</t>
        </is>
      </c>
      <c r="D45" s="762" t="n"/>
      <c r="E45" s="777" t="inlineStr">
        <is>
          <t>統合管理端末リース料（４月分）</t>
        </is>
      </c>
      <c r="F45" s="772" t="n">
        <v>12738</v>
      </c>
      <c r="G45" s="772" t="n">
        <v>2</v>
      </c>
      <c r="H45" s="765">
        <f>IF(G45=1,F45-I45-J45-K45,IF(G45=2,F45,0))</f>
        <v>12738</v>
      </c>
      <c r="I45" s="765">
        <f>ROUND(IF(G45=1,F45*10/23,IF(G45=3,F45-J45-K45,IF(G45=4,F45,IF(G45=5,F45*10/11,IF(G45=7,F45*10/11,0))))),0)</f>
        <v>0</v>
      </c>
      <c r="J45" s="765">
        <f>ROUND(IF(G45=1,F45/23,IF(G45=3,F45/12,IF(G45=5,F45-I45,IF(G45=8,F45,0)))),0)</f>
        <v>0</v>
      </c>
      <c r="K45" s="766">
        <f>ROUND(IF(G45=1,F45/23,IF(G45=3,F45/12,IF(G45=6,F45,IF(G45=7,F45-I45,0)))),0)</f>
        <v>0</v>
      </c>
      <c r="L45" s="767">
        <f>IF(G45=6,F45,0)</f>
        <v>0</v>
      </c>
      <c r="M45" s="572">
        <f>IF(F45="",0,MONTH(A45))</f>
        <v>5</v>
      </c>
      <c r="P45" s="768" t="inlineStr">
        <is>
          <t>確認済</t>
        </is>
      </c>
      <c r="Q45" s="769" t="str">
        <f>IF($F45="","",IFERROR(VLOOKUP($C45&amp;"|"&amp;$D45,科目表!$A$5:$B$200,2,FALSE),"※未登録"))</f>
        <v>賃借料</v>
      </c>
      <c r="R45" s="769">
        <f>IF($F45="","",$I45+$J45+$K45)</f>
        <v>0</v>
      </c>
      <c r="S45" s="769" t="str">
        <f>IF(OR($F45="",$P45="支払なし",$H45=0,$Q45=""),"",$Q45&amp;"|S|"&amp;(COUNTIF(S$4:S44,$Q45&amp;"|S|*")+1))</f>
        <v>賃借料|S|2</v>
      </c>
      <c r="T45" s="769" t="str">
        <f>IF(OR($F45="",$P45="支払なし",$R45=0,$Q45=""),"",$Q45&amp;"|L|"&amp;(COUNTIF(T$4:T44,$Q45&amp;"|L|*")+1))</f>
        <v/>
      </c>
      <c r="U45" s="769">
        <f>IF(OR($F45="",$A45=""),"",MOD(MONTH($A45)-4,12)+1)</f>
        <v>2</v>
      </c>
    </row>
    <row r="46" ht="16.5" customFormat="1" customHeight="1" s="422">
      <c r="A46" s="760" t="n">
        <v>44347</v>
      </c>
      <c r="B46" s="761" t="n"/>
      <c r="C46" s="762" t="inlineStr">
        <is>
          <t>委託費</t>
        </is>
      </c>
      <c r="D46" s="762" t="n"/>
      <c r="E46" s="777" t="inlineStr">
        <is>
          <t>短期給付個人番号管理システム端末保守サービス（４月分）</t>
        </is>
      </c>
      <c r="F46" s="764" t="n">
        <v>385</v>
      </c>
      <c r="G46" s="764" t="n">
        <v>2</v>
      </c>
      <c r="H46" s="765">
        <f>IF(G46=1,F46-I46-J46-K46,IF(G46=2,F46,0))</f>
        <v>385</v>
      </c>
      <c r="I46" s="765">
        <f>ROUND(IF(G46=1,F46*10/23,IF(G46=3,F46-J46-K46,IF(G46=4,F46,IF(G46=5,F46*10/11,IF(G46=7,F46*10/11,0))))),0)</f>
        <v>0</v>
      </c>
      <c r="J46" s="765">
        <f>ROUND(IF(G46=1,F46/23,IF(G46=3,F46/12,IF(G46=5,F46-I46,IF(G46=8,F46,0)))),0)</f>
        <v>0</v>
      </c>
      <c r="K46" s="766">
        <f>ROUND(IF(G46=1,F46/23,IF(G46=3,F46/12,IF(G46=6,F46,IF(G46=7,F46-I46,0)))),0)</f>
        <v>0</v>
      </c>
      <c r="L46" s="767">
        <f>IF(G46=6,F46,0)</f>
        <v>0</v>
      </c>
      <c r="M46" s="421">
        <f>IF(F46="",0,MONTH(A46))</f>
        <v>5</v>
      </c>
      <c r="P46" s="768" t="inlineStr">
        <is>
          <t>昨年実績</t>
        </is>
      </c>
      <c r="Q46" s="769" t="str">
        <f>IF($F46="","",IFERROR(VLOOKUP($C46&amp;"|"&amp;$D46,科目表!$A$5:$B$200,2,FALSE),"※未登録"))</f>
        <v>委託費</v>
      </c>
      <c r="R46" s="769">
        <f>IF($F46="","",$I46+$J46+$K46)</f>
        <v>0</v>
      </c>
      <c r="S46" s="769" t="str">
        <f>IF(OR($F46="",$P46="支払なし",$H46=0,$Q46=""),"",$Q46&amp;"|S|"&amp;(COUNTIF(S$4:S45,$Q46&amp;"|S|*")+1))</f>
        <v>委託費|S|6</v>
      </c>
      <c r="T46" s="769" t="str">
        <f>IF(OR($F46="",$P46="支払なし",$R46=0,$Q46=""),"",$Q46&amp;"|L|"&amp;(COUNTIF(T$4:T45,$Q46&amp;"|L|*")+1))</f>
        <v/>
      </c>
      <c r="U46" s="769">
        <f>IF(OR($F46="",$A46=""),"",MOD(MONTH($A46)-4,12)+1)</f>
        <v>2</v>
      </c>
    </row>
    <row r="47" ht="16.5" customFormat="1" customHeight="1" s="43">
      <c r="A47" s="760" t="n">
        <v>46162</v>
      </c>
      <c r="B47" s="761" t="n"/>
      <c r="C47" s="762" t="inlineStr">
        <is>
          <t>委託費</t>
        </is>
      </c>
      <c r="D47" s="762" t="n"/>
      <c r="E47" s="770" t="inlineStr">
        <is>
          <t>統合管理端末保守料（４月～３月分）</t>
        </is>
      </c>
      <c r="F47" s="764" t="n">
        <v>149050</v>
      </c>
      <c r="G47" s="764" t="n">
        <v>2</v>
      </c>
      <c r="H47" s="765">
        <f>IF(G47=1,F47-I47-J47-K47,IF(G47=2,F47,0))</f>
        <v>149050</v>
      </c>
      <c r="I47" s="765">
        <f>ROUND(IF(G47=1,F47*10/23,IF(G47=3,F47-J47-K47,IF(G47=4,F47,IF(G47=5,F47*10/11,IF(G47=7,F47*10/11,0))))),0)</f>
        <v>0</v>
      </c>
      <c r="J47" s="765">
        <f>ROUND(IF(G47=1,F47/23,IF(G47=3,F47/12,IF(G47=5,F47-I47,IF(G47=8,F47,0)))),0)</f>
        <v>0</v>
      </c>
      <c r="K47" s="766">
        <f>ROUND(IF(G47=1,F47/23,IF(G47=3,F47/12,IF(G47=6,F47,IF(G47=7,F47-I47,0)))),0)</f>
        <v>0</v>
      </c>
      <c r="L47" s="767">
        <f>IF(G47=6,F47,0)</f>
        <v>0</v>
      </c>
      <c r="M47" s="572">
        <f>IF(F47="",0,MONTH(A47))</f>
        <v>5</v>
      </c>
      <c r="P47" s="768" t="inlineStr">
        <is>
          <t>確認済</t>
        </is>
      </c>
      <c r="Q47" s="769" t="str">
        <f>IF($F47="","",IFERROR(VLOOKUP($C47&amp;"|"&amp;$D47,科目表!$A$5:$B$200,2,FALSE),"※未登録"))</f>
        <v>委託費</v>
      </c>
      <c r="R47" s="769">
        <f>IF($F47="","",$I47+$J47+$K47)</f>
        <v>0</v>
      </c>
      <c r="S47" s="769" t="str">
        <f>IF(OR($F47="",$P47="支払なし",$H47=0,$Q47=""),"",$Q47&amp;"|S|"&amp;(COUNTIF(S$4:S46,$Q47&amp;"|S|*")+1))</f>
        <v>委託費|S|7</v>
      </c>
      <c r="T47" s="769" t="str">
        <f>IF(OR($F47="",$P47="支払なし",$R47=0,$Q47=""),"",$Q47&amp;"|L|"&amp;(COUNTIF(T$4:T46,$Q47&amp;"|L|*")+1))</f>
        <v/>
      </c>
      <c r="U47" s="769">
        <f>IF(OR($F47="",$A47=""),"",MOD(MONTH($A47)-4,12)+1)</f>
        <v>2</v>
      </c>
    </row>
    <row r="48" ht="16.5" customFormat="1" customHeight="1" s="43">
      <c r="A48" s="760" t="n">
        <v>46142</v>
      </c>
      <c r="B48" s="761" t="n"/>
      <c r="C48" s="762" t="inlineStr">
        <is>
          <t>事務費</t>
        </is>
      </c>
      <c r="D48" s="762" t="inlineStr">
        <is>
          <t>図書印刷費</t>
        </is>
      </c>
      <c r="E48" s="770" t="inlineStr">
        <is>
          <t>角２封筒エルコン付き　クラフト８５ｇ枠付　５，５００枚</t>
        </is>
      </c>
      <c r="F48" s="771" t="n">
        <v>99220</v>
      </c>
      <c r="G48" s="772" t="n">
        <v>2</v>
      </c>
      <c r="H48" s="765">
        <f>IF(G48=1,F48-I48-J48-K48,IF(G48=2,F48,0))</f>
        <v>99220</v>
      </c>
      <c r="I48" s="765">
        <f>ROUND(IF(G48=1,F48*10/23,IF(G48=3,F48-J48-K48,IF(G48=4,F48,IF(G48=5,F48*10/11,IF(G48=7,F48*10/11,0))))),0)</f>
        <v>0</v>
      </c>
      <c r="J48" s="765">
        <f>ROUND(IF(G48=1,F48/23,IF(G48=3,F48/12,IF(G48=5,F48-I48,IF(G48=8,F48,0)))),0)</f>
        <v>0</v>
      </c>
      <c r="K48" s="766">
        <f>ROUND(IF(G48=1,F48/23,IF(G48=3,F48/12,IF(G48=6,F48,IF(G48=7,F48-I48,0)))),0)</f>
        <v>0</v>
      </c>
      <c r="L48" s="767">
        <f>IF(G48=6,F48,0)</f>
        <v>0</v>
      </c>
      <c r="M48" s="572">
        <f>IF(F48="",0,MONTH(A48))</f>
        <v>4</v>
      </c>
      <c r="P48" s="768" t="inlineStr">
        <is>
          <t>確認済</t>
        </is>
      </c>
      <c r="Q48" s="769" t="str">
        <f>IF($F48="","",IFERROR(VLOOKUP($C48&amp;"|"&amp;$D48,科目表!$A$5:$B$200,2,FALSE),"※未登録"))</f>
        <v>図書印刷費</v>
      </c>
      <c r="R48" s="769">
        <f>IF($F48="","",$I48+$J48+$K48)</f>
        <v>0</v>
      </c>
      <c r="S48" s="769" t="str">
        <f>IF(OR($F48="",$P48="支払なし",$H48=0,$Q48=""),"",$Q48&amp;"|S|"&amp;(COUNTIF(S$4:S47,$Q48&amp;"|S|*")+1))</f>
        <v>図書印刷費|S|3</v>
      </c>
      <c r="T48" s="769" t="str">
        <f>IF(OR($F48="",$P48="支払なし",$R48=0,$Q48=""),"",$Q48&amp;"|L|"&amp;(COUNTIF(T$4:T47,$Q48&amp;"|L|*")+1))</f>
        <v/>
      </c>
      <c r="U48" s="769">
        <f>IF(OR($F48="",$A48=""),"",MOD(MONTH($A48)-4,12)+1)</f>
        <v>1</v>
      </c>
    </row>
    <row r="49" ht="16.5" customFormat="1" customHeight="1" s="422">
      <c r="A49" s="760" t="n"/>
      <c r="B49" s="761" t="n"/>
      <c r="C49" s="762" t="n"/>
      <c r="D49" s="762" t="n"/>
      <c r="E49" s="762" t="n"/>
      <c r="F49" s="772" t="n"/>
      <c r="G49" s="772" t="n"/>
      <c r="H49" s="765">
        <f>IF(G49=1,F49-I49-J49-K49,IF(G49=2,F49,0))</f>
        <v>0</v>
      </c>
      <c r="I49" s="765">
        <f>ROUND(IF(G49=1,F49*10/23,IF(G49=3,F49-J49-K49,IF(G49=4,F49,IF(G49=5,F49*10/11,IF(G49=7,F49*10/11,0))))),0)</f>
        <v>0</v>
      </c>
      <c r="J49" s="765">
        <f>ROUND(IF(G49=1,F49/23,IF(G49=3,F49/12,IF(G49=5,F49-I49,IF(G49=8,F49,0)))),0)</f>
        <v>0</v>
      </c>
      <c r="K49" s="766">
        <f>ROUND(IF(G49=1,F49/23,IF(G49=3,F49/12,IF(G49=6,F49,IF(G49=7,F49-I49,0)))),0)</f>
        <v>0</v>
      </c>
      <c r="L49" s="767">
        <f>IF(G49=6,F49,0)</f>
        <v>0</v>
      </c>
      <c r="M49" s="421">
        <f>IF(F49="",0,MONTH(A49))</f>
        <v>0</v>
      </c>
      <c r="P49" s="768" t="n"/>
      <c r="Q49" s="769" t="str">
        <f>IF($F49="","",IFERROR(VLOOKUP($C49&amp;"|"&amp;$D49,科目表!$A$5:$B$200,2,FALSE),"※未登録"))</f>
        <v/>
      </c>
      <c r="R49" s="769" t="str">
        <f>IF($F49="","",$I49+$J49+$K49)</f>
        <v/>
      </c>
      <c r="S49" s="769" t="str">
        <f>IF(OR($F49="",$P49="支払なし",$H49=0,$Q49=""),"",$Q49&amp;"|S|"&amp;(COUNTIF(S$4:S48,$Q49&amp;"|S|*")+1))</f>
        <v/>
      </c>
      <c r="T49" s="769" t="str">
        <f>IF(OR($F49="",$P49="支払なし",$R49=0,$Q49=""),"",$Q49&amp;"|L|"&amp;(COUNTIF(T$4:T48,$Q49&amp;"|L|*")+1))</f>
        <v/>
      </c>
      <c r="U49" s="769" t="str">
        <f>IF(OR($F49="",$A49=""),"",MOD(MONTH($A49)-4,12)+1)</f>
        <v/>
      </c>
    </row>
    <row r="50" ht="16.5" customFormat="1" customHeight="1" s="43">
      <c r="A50" s="760" t="n">
        <v>46174</v>
      </c>
      <c r="B50" s="761" t="n"/>
      <c r="C50" s="762" t="inlineStr">
        <is>
          <t>負担金</t>
        </is>
      </c>
      <c r="D50" s="762" t="inlineStr">
        <is>
          <t>厚年負担金等</t>
        </is>
      </c>
      <c r="E50" s="775" t="inlineStr">
        <is>
          <t>４月月例分（短期分）子ども子育て拠出金を含む</t>
        </is>
      </c>
      <c r="F50" s="771" t="n">
        <v>62766</v>
      </c>
      <c r="G50" s="764" t="n">
        <v>2</v>
      </c>
      <c r="H50" s="765">
        <f>IF(G50=1,F50-I50-J50-K50,IF(G50=2,F50,0))</f>
        <v>62766</v>
      </c>
      <c r="I50" s="765">
        <f>ROUND(IF(G50=1,F50*10/23,IF(G50=3,F50-J50-K50,IF(G50=4,F50,IF(G50=5,F50*10/11,IF(G50=7,F50*10/11,0))))),0)</f>
        <v>0</v>
      </c>
      <c r="J50" s="765">
        <f>ROUND(IF(G50=1,F50/23,IF(G50=3,F50/12,IF(G50=5,F50-I50,IF(G50=8,F50,0)))),0)</f>
        <v>0</v>
      </c>
      <c r="K50" s="766">
        <f>ROUND(IF(G50=1,F50/23,IF(G50=3,F50/12,IF(G50=6,F50,IF(G50=7,F50-I50,0)))),0)</f>
        <v>0</v>
      </c>
      <c r="L50" s="767">
        <f>IF(G50=6,F50,0)</f>
        <v>0</v>
      </c>
      <c r="M50" s="572">
        <f>IF(F50="",0,MONTH(A50))</f>
        <v>6</v>
      </c>
      <c r="P50" s="768" t="inlineStr">
        <is>
          <t>確認済</t>
        </is>
      </c>
      <c r="Q50" s="769" t="str">
        <f>IF($F50="","",IFERROR(VLOOKUP($C50&amp;"|"&amp;$D50,科目表!$A$5:$B$200,2,FALSE),"※未登録"))</f>
        <v>厚年負担金等</v>
      </c>
      <c r="R50" s="769">
        <f>IF($F50="","",$I50+$J50+$K50)</f>
        <v>0</v>
      </c>
      <c r="S50" s="769" t="str">
        <f>IF(OR($F50="",$P50="支払なし",$H50=0,$Q50=""),"",$Q50&amp;"|S|"&amp;(COUNTIF(S$4:S49,$Q50&amp;"|S|*")+1))</f>
        <v>厚年負担金等|S|1</v>
      </c>
      <c r="T50" s="769" t="str">
        <f>IF(OR($F50="",$P50="支払なし",$R50=0,$Q50=""),"",$Q50&amp;"|L|"&amp;(COUNTIF(T$4:T49,$Q50&amp;"|L|*")+1))</f>
        <v/>
      </c>
      <c r="U50" s="769">
        <f>IF(OR($F50="",$A50=""),"",MOD(MONTH($A50)-4,12)+1)</f>
        <v>3</v>
      </c>
    </row>
    <row r="51" ht="16.5" customFormat="1" customHeight="1" s="43">
      <c r="A51" s="760" t="n"/>
      <c r="B51" s="761" t="n"/>
      <c r="C51" s="762" t="n"/>
      <c r="D51" s="762" t="n"/>
      <c r="E51" s="762" t="n"/>
      <c r="F51" s="772" t="n"/>
      <c r="G51" s="772" t="n"/>
      <c r="H51" s="765">
        <f>IF(G51=1,F51-I51-J51-K51,IF(G51=2,F51,0))</f>
        <v>0</v>
      </c>
      <c r="I51" s="765">
        <f>ROUND(IF(G51=1,F51*10/23,IF(G51=3,F51-J51-K51,IF(G51=4,F51,IF(G51=5,F51*10/11,IF(G51=7,F51*10/11,0))))),0)</f>
        <v>0</v>
      </c>
      <c r="J51" s="765">
        <f>ROUND(IF(G51=1,F51/23,IF(G51=3,F51/12,IF(G51=5,F51-I51,IF(G51=8,F51,0)))),0)</f>
        <v>0</v>
      </c>
      <c r="K51" s="766">
        <f>ROUND(IF(G51=1,F51/23,IF(G51=3,F51/12,IF(G51=6,F51,IF(G51=7,F51-I51,0)))),0)</f>
        <v>0</v>
      </c>
      <c r="L51" s="767">
        <f>IF(G51=6,F51,0)</f>
        <v>0</v>
      </c>
      <c r="M51" s="572">
        <f>IF(F51="",0,MONTH(A51))</f>
        <v>0</v>
      </c>
      <c r="P51" s="768" t="n"/>
      <c r="Q51" s="769" t="str">
        <f>IF($F51="","",IFERROR(VLOOKUP($C51&amp;"|"&amp;$D51,科目表!$A$5:$B$200,2,FALSE),"※未登録"))</f>
        <v/>
      </c>
      <c r="R51" s="769" t="str">
        <f>IF($F51="","",$I51+$J51+$K51)</f>
        <v/>
      </c>
      <c r="S51" s="769" t="str">
        <f>IF(OR($F51="",$P51="支払なし",$H51=0,$Q51=""),"",$Q51&amp;"|S|"&amp;(COUNTIF(S$4:S50,$Q51&amp;"|S|*")+1))</f>
        <v/>
      </c>
      <c r="T51" s="769" t="str">
        <f>IF(OR($F51="",$P51="支払なし",$R51=0,$Q51=""),"",$Q51&amp;"|L|"&amp;(COUNTIF(T$4:T50,$Q51&amp;"|L|*")+1))</f>
        <v/>
      </c>
      <c r="U51" s="769" t="str">
        <f>IF(OR($F51="",$A51=""),"",MOD(MONTH($A51)-4,12)+1)</f>
        <v/>
      </c>
    </row>
    <row r="52" ht="16.5" customFormat="1" customHeight="1" s="43">
      <c r="A52" s="760" t="n">
        <v>46174</v>
      </c>
      <c r="B52" s="761" t="n"/>
      <c r="C52" s="762" t="inlineStr">
        <is>
          <t>負担金</t>
        </is>
      </c>
      <c r="D52" s="762" t="inlineStr">
        <is>
          <t>厚年負担金等</t>
        </is>
      </c>
      <c r="E52" s="775" t="inlineStr">
        <is>
          <t>４月月例分（長期分）子ども子育て拠出金を含む</t>
        </is>
      </c>
      <c r="F52" s="771" t="n">
        <v>37089</v>
      </c>
      <c r="G52" s="764" t="n">
        <v>3</v>
      </c>
      <c r="H52" s="765">
        <f>IF(G52=1,F52-I52-J52-K52,IF(G52=2,F52,0))</f>
        <v>0</v>
      </c>
      <c r="I52" s="765">
        <f>ROUND(IF(G52=1,F52*10/23,IF(G52=3,F52-J52-K52,IF(G52=4,F52,IF(G52=5,F52*10/11,IF(G52=7,F52*10/11,0))))),0)</f>
        <v>30907</v>
      </c>
      <c r="J52" s="765">
        <f>ROUND(IF(G52=1,F52/23,IF(G52=3,F52/12,IF(G52=5,F52-I52,IF(G52=8,F52,0)))),0)</f>
        <v>3091</v>
      </c>
      <c r="K52" s="766">
        <f>ROUND(IF(G52=1,F52/23,IF(G52=3,F52/12,IF(G52=6,F52,IF(G52=7,F52-I52,0)))),0)</f>
        <v>3091</v>
      </c>
      <c r="L52" s="767">
        <f>IF(G52=6,F52,0)</f>
        <v>0</v>
      </c>
      <c r="M52" s="572">
        <f>IF(F52="",0,MONTH(A52))</f>
        <v>6</v>
      </c>
      <c r="P52" s="768" t="inlineStr">
        <is>
          <t>確認済</t>
        </is>
      </c>
      <c r="Q52" s="769" t="str">
        <f>IF($F52="","",IFERROR(VLOOKUP($C52&amp;"|"&amp;$D52,科目表!$A$5:$B$200,2,FALSE),"※未登録"))</f>
        <v>厚年負担金等</v>
      </c>
      <c r="R52" s="769">
        <f>IF($F52="","",$I52+$J52+$K52)</f>
        <v>37089</v>
      </c>
      <c r="S52" s="769" t="str">
        <f>IF(OR($F52="",$P52="支払なし",$H52=0,$Q52=""),"",$Q52&amp;"|S|"&amp;(COUNTIF(S$4:S51,$Q52&amp;"|S|*")+1))</f>
        <v/>
      </c>
      <c r="T52" s="769" t="str">
        <f>IF(OR($F52="",$P52="支払なし",$R52=0,$Q52=""),"",$Q52&amp;"|L|"&amp;(COUNTIF(T$4:T51,$Q52&amp;"|L|*")+1))</f>
        <v>厚年負担金等|L|1</v>
      </c>
      <c r="U52" s="769">
        <f>IF(OR($F52="",$A52=""),"",MOD(MONTH($A52)-4,12)+1)</f>
        <v>3</v>
      </c>
    </row>
    <row r="53" ht="16.5" customFormat="1" customHeight="1" s="43">
      <c r="A53" s="760" t="n">
        <v>46171</v>
      </c>
      <c r="B53" s="761" t="n"/>
      <c r="C53" s="762" t="inlineStr">
        <is>
          <t>事務費</t>
        </is>
      </c>
      <c r="D53" s="762" t="inlineStr">
        <is>
          <t>図書印刷費</t>
        </is>
      </c>
      <c r="E53" s="770" t="inlineStr">
        <is>
          <t>厚生法規総覧追録６０９６－６１０５号</t>
        </is>
      </c>
      <c r="F53" s="772" t="n">
        <v>33154</v>
      </c>
      <c r="G53" s="772" t="n">
        <v>2</v>
      </c>
      <c r="H53" s="765">
        <f>IF(G53=1,F53-I53-J53-K53,IF(G53=2,F53,0))</f>
        <v>33154</v>
      </c>
      <c r="I53" s="765">
        <f>ROUND(IF(G53=1,F53*10/23,IF(G53=3,F53-J53-K53,IF(G53=4,F53,IF(G53=5,F53*10/11,IF(G53=7,F53*10/11,0))))),0)</f>
        <v>0</v>
      </c>
      <c r="J53" s="765">
        <f>ROUND(IF(G53=1,F53/23,IF(G53=3,F53/12,IF(G53=5,F53-I53,IF(G53=8,F53,0)))),0)</f>
        <v>0</v>
      </c>
      <c r="K53" s="766">
        <f>ROUND(IF(G53=1,F53/23,IF(G53=3,F53/12,IF(G53=6,F53,IF(G53=7,F53-I53,0)))),0)</f>
        <v>0</v>
      </c>
      <c r="L53" s="767">
        <f>IF(G53=6,F53,0)</f>
        <v>0</v>
      </c>
      <c r="M53" s="572">
        <f>IF(F53="",0,MONTH(A53))</f>
        <v>5</v>
      </c>
      <c r="P53" s="768" t="inlineStr">
        <is>
          <t>確認済</t>
        </is>
      </c>
      <c r="Q53" s="769" t="str">
        <f>IF($F53="","",IFERROR(VLOOKUP($C53&amp;"|"&amp;$D53,科目表!$A$5:$B$200,2,FALSE),"※未登録"))</f>
        <v>図書印刷費</v>
      </c>
      <c r="R53" s="769">
        <f>IF($F53="","",$I53+$J53+$K53)</f>
        <v>0</v>
      </c>
      <c r="S53" s="769" t="str">
        <f>IF(OR($F53="",$P53="支払なし",$H53=0,$Q53=""),"",$Q53&amp;"|S|"&amp;(COUNTIF(S$4:S52,$Q53&amp;"|S|*")+1))</f>
        <v>図書印刷費|S|4</v>
      </c>
      <c r="T53" s="769" t="str">
        <f>IF(OR($F53="",$P53="支払なし",$R53=0,$Q53=""),"",$Q53&amp;"|L|"&amp;(COUNTIF(T$4:T52,$Q53&amp;"|L|*")+1))</f>
        <v/>
      </c>
      <c r="U53" s="769">
        <f>IF(OR($F53="",$A53=""),"",MOD(MONTH($A53)-4,12)+1)</f>
        <v>2</v>
      </c>
    </row>
    <row r="54" ht="16.5" customFormat="1" customHeight="1" s="422">
      <c r="A54" s="760" t="n">
        <v>45077</v>
      </c>
      <c r="B54" s="761" t="n"/>
      <c r="C54" s="762" t="inlineStr">
        <is>
          <t>事務費</t>
        </is>
      </c>
      <c r="D54" s="762" t="inlineStr">
        <is>
          <t>通信運搬費</t>
        </is>
      </c>
      <c r="E54" s="762" t="inlineStr">
        <is>
          <t>柔整申請書送付（４月分）</t>
        </is>
      </c>
      <c r="F54" s="772" t="n">
        <v>1489</v>
      </c>
      <c r="G54" s="764" t="n">
        <v>2</v>
      </c>
      <c r="H54" s="765">
        <f>IF(G54=1,F54-I54-J54-K54,IF(G54=2,F54,0))</f>
        <v>1489</v>
      </c>
      <c r="I54" s="765">
        <f>ROUND(IF(G54=1,F54*10/23,IF(G54=3,F54-J54-K54,IF(G54=4,F54,IF(G54=5,F54*10/11,IF(G54=7,F54*10/11,0))))),0)</f>
        <v>0</v>
      </c>
      <c r="J54" s="765">
        <f>ROUND(IF(G54=1,F54/23,IF(G54=3,F54/12,IF(G54=5,F54-I54,IF(G54=8,F54,0)))),0)</f>
        <v>0</v>
      </c>
      <c r="K54" s="766">
        <f>ROUND(IF(G54=1,F54/23,IF(G54=3,F54/12,IF(G54=6,F54,IF(G54=7,F54-I54,0)))),0)</f>
        <v>0</v>
      </c>
      <c r="L54" s="767">
        <f>IF(G54=6,F54,0)</f>
        <v>0</v>
      </c>
      <c r="M54" s="421">
        <f>IF(F54="",0,MONTH(A54))</f>
        <v>5</v>
      </c>
      <c r="P54" s="768" t="inlineStr">
        <is>
          <t>昨年実績</t>
        </is>
      </c>
      <c r="Q54" s="769" t="str">
        <f>IF($F54="","",IFERROR(VLOOKUP($C54&amp;"|"&amp;$D54,科目表!$A$5:$B$200,2,FALSE),"※未登録"))</f>
        <v>通信運搬費</v>
      </c>
      <c r="R54" s="769">
        <f>IF($F54="","",$I54+$J54+$K54)</f>
        <v>0</v>
      </c>
      <c r="S54" s="769" t="str">
        <f>IF(OR($F54="",$P54="支払なし",$H54=0,$Q54=""),"",$Q54&amp;"|S|"&amp;(COUNTIF(S$4:S53,$Q54&amp;"|S|*")+1))</f>
        <v>通信運搬費|S|3</v>
      </c>
      <c r="T54" s="769" t="str">
        <f>IF(OR($F54="",$P54="支払なし",$R54=0,$Q54=""),"",$Q54&amp;"|L|"&amp;(COUNTIF(T$4:T53,$Q54&amp;"|L|*")+1))</f>
        <v/>
      </c>
      <c r="U54" s="769">
        <f>IF(OR($F54="",$A54=""),"",MOD(MONTH($A54)-4,12)+1)</f>
        <v>2</v>
      </c>
    </row>
    <row r="55" ht="16.5" customFormat="1" customHeight="1" s="422">
      <c r="A55" s="760" t="n">
        <v>43980</v>
      </c>
      <c r="B55" s="761" t="n"/>
      <c r="C55" s="762" t="inlineStr">
        <is>
          <t>事務費</t>
        </is>
      </c>
      <c r="D55" s="762" t="inlineStr">
        <is>
          <t>通信運搬費</t>
        </is>
      </c>
      <c r="E55" s="762" t="inlineStr">
        <is>
          <t>メール便（４月分）</t>
        </is>
      </c>
      <c r="F55" s="772" t="n">
        <v>6636</v>
      </c>
      <c r="G55" s="772" t="n">
        <v>2</v>
      </c>
      <c r="H55" s="765">
        <f>IF(G55=1,F55-I55-J55-K55,IF(G55=2,F55,0))</f>
        <v>6636</v>
      </c>
      <c r="I55" s="765">
        <f>ROUND(IF(G55=1,F55*10/23,IF(G55=3,F55-J55-K55,IF(G55=4,F55,IF(G55=5,F55*10/11,IF(G55=7,F55*10/11,0))))),0)</f>
        <v>0</v>
      </c>
      <c r="J55" s="765">
        <f>ROUND(IF(G55=1,F55/23,IF(G55=3,F55/12,IF(G55=5,F55-I55,IF(G55=8,F55,0)))),0)</f>
        <v>0</v>
      </c>
      <c r="K55" s="766">
        <f>ROUND(IF(G55=1,F55/23,IF(G55=3,F55/12,IF(G55=6,F55,IF(G55=7,F55-I55,0)))),0)</f>
        <v>0</v>
      </c>
      <c r="L55" s="767">
        <f>IF(G55=6,F55,0)</f>
        <v>0</v>
      </c>
      <c r="M55" s="421">
        <f>IF(F55="",0,MONTH(A55))</f>
        <v>5</v>
      </c>
      <c r="P55" s="768" t="inlineStr">
        <is>
          <t>昨年実績</t>
        </is>
      </c>
      <c r="Q55" s="769" t="str">
        <f>IF($F55="","",IFERROR(VLOOKUP($C55&amp;"|"&amp;$D55,科目表!$A$5:$B$200,2,FALSE),"※未登録"))</f>
        <v>通信運搬費</v>
      </c>
      <c r="R55" s="769">
        <f>IF($F55="","",$I55+$J55+$K55)</f>
        <v>0</v>
      </c>
      <c r="S55" s="769" t="str">
        <f>IF(OR($F55="",$P55="支払なし",$H55=0,$Q55=""),"",$Q55&amp;"|S|"&amp;(COUNTIF(S$4:S54,$Q55&amp;"|S|*")+1))</f>
        <v>通信運搬費|S|4</v>
      </c>
      <c r="T55" s="769" t="str">
        <f>IF(OR($F55="",$P55="支払なし",$R55=0,$Q55=""),"",$Q55&amp;"|L|"&amp;(COUNTIF(T$4:T54,$Q55&amp;"|L|*")+1))</f>
        <v/>
      </c>
      <c r="U55" s="769">
        <f>IF(OR($F55="",$A55=""),"",MOD(MONTH($A55)-4,12)+1)</f>
        <v>2</v>
      </c>
    </row>
    <row r="56" ht="16.5" customFormat="1" customHeight="1" s="422">
      <c r="A56" s="760" t="n">
        <v>45077</v>
      </c>
      <c r="B56" s="761" t="n"/>
      <c r="C56" s="762" t="inlineStr">
        <is>
          <t>事務費</t>
        </is>
      </c>
      <c r="D56" s="762" t="inlineStr">
        <is>
          <t>通信運搬費</t>
        </is>
      </c>
      <c r="E56" s="780" t="inlineStr">
        <is>
          <t>メール便（任継者宛厚生だより４月分）</t>
        </is>
      </c>
      <c r="F56" s="772" t="n">
        <v>17220</v>
      </c>
      <c r="G56" s="772" t="n">
        <v>2</v>
      </c>
      <c r="H56" s="765">
        <f>IF(G56=1,F56-I56-J56-K56,IF(G56=2,F56,0))</f>
        <v>17220</v>
      </c>
      <c r="I56" s="765">
        <f>ROUND(IF(G56=1,F56*10/23,IF(G56=3,F56-J56-K56,IF(G56=4,F56,IF(G56=5,F56*10/11,IF(G56=7,F56*10/11,0))))),0)</f>
        <v>0</v>
      </c>
      <c r="J56" s="765">
        <f>ROUND(IF(G56=1,F56/23,IF(G56=3,F56/12,IF(G56=5,F56-I56,IF(G56=8,F56,0)))),0)</f>
        <v>0</v>
      </c>
      <c r="K56" s="766">
        <f>ROUND(IF(G56=1,F56/23,IF(G56=3,F56/12,IF(G56=6,F56,IF(G56=7,F56-I56,0)))),0)</f>
        <v>0</v>
      </c>
      <c r="L56" s="767">
        <f>IF(G56=6,F56,0)</f>
        <v>0</v>
      </c>
      <c r="M56" s="421">
        <f>IF(F56="",0,MONTH(A56))</f>
        <v>5</v>
      </c>
      <c r="P56" s="768" t="inlineStr">
        <is>
          <t>昨年実績</t>
        </is>
      </c>
      <c r="Q56" s="769" t="str">
        <f>IF($F56="","",IFERROR(VLOOKUP($C56&amp;"|"&amp;$D56,科目表!$A$5:$B$200,2,FALSE),"※未登録"))</f>
        <v>通信運搬費</v>
      </c>
      <c r="R56" s="769">
        <f>IF($F56="","",$I56+$J56+$K56)</f>
        <v>0</v>
      </c>
      <c r="S56" s="769" t="str">
        <f>IF(OR($F56="",$P56="支払なし",$H56=0,$Q56=""),"",$Q56&amp;"|S|"&amp;(COUNTIF(S$4:S55,$Q56&amp;"|S|*")+1))</f>
        <v>通信運搬費|S|5</v>
      </c>
      <c r="T56" s="769" t="str">
        <f>IF(OR($F56="",$P56="支払なし",$R56=0,$Q56=""),"",$Q56&amp;"|L|"&amp;(COUNTIF(T$4:T55,$Q56&amp;"|L|*")+1))</f>
        <v/>
      </c>
      <c r="U56" s="769">
        <f>IF(OR($F56="",$A56=""),"",MOD(MONTH($A56)-4,12)+1)</f>
        <v>2</v>
      </c>
    </row>
    <row r="57" ht="16.5" customFormat="1" customHeight="1" s="43">
      <c r="A57" s="760" t="n">
        <v>46171</v>
      </c>
      <c r="B57" s="761" t="n"/>
      <c r="C57" s="762" t="inlineStr">
        <is>
          <t>賃借料</t>
        </is>
      </c>
      <c r="D57" s="762" t="n"/>
      <c r="E57" s="770" t="inlineStr">
        <is>
          <t>基幹システム用機器賃借料　4月分（短期）</t>
        </is>
      </c>
      <c r="F57" s="772" t="n">
        <v>672934</v>
      </c>
      <c r="G57" s="772" t="n">
        <v>2</v>
      </c>
      <c r="H57" s="765">
        <f>IF(G57=1,F57-I57-J57-K57,IF(G57=2,F57,0))</f>
        <v>672934</v>
      </c>
      <c r="I57" s="765">
        <f>ROUND(IF(G57=1,F57*10/23,IF(G57=3,F57-J57-K57,IF(G57=4,F57,IF(G57=5,F57*10/11,IF(G57=7,F57*10/11,0))))),0)</f>
        <v>0</v>
      </c>
      <c r="J57" s="765">
        <f>ROUND(IF(G57=1,F57/23,IF(G57=3,F57/12,IF(G57=5,F57-I57,IF(G57=8,F57,0)))),0)</f>
        <v>0</v>
      </c>
      <c r="K57" s="766">
        <f>ROUND(IF(G57=1,F57/23,IF(G57=3,F57/12,IF(G57=6,F57,IF(G57=7,F57-I57,0)))),0)</f>
        <v>0</v>
      </c>
      <c r="L57" s="767">
        <f>IF(G57=6,F57,0)</f>
        <v>0</v>
      </c>
      <c r="M57" s="572">
        <f>IF(F57="",0,MONTH(A57))</f>
        <v>5</v>
      </c>
      <c r="P57" s="768" t="inlineStr">
        <is>
          <t>確認済</t>
        </is>
      </c>
      <c r="Q57" s="769" t="str">
        <f>IF($F57="","",IFERROR(VLOOKUP($C57&amp;"|"&amp;$D57,科目表!$A$5:$B$200,2,FALSE),"※未登録"))</f>
        <v>賃借料</v>
      </c>
      <c r="R57" s="769">
        <f>IF($F57="","",$I57+$J57+$K57)</f>
        <v>0</v>
      </c>
      <c r="S57" s="769" t="str">
        <f>IF(OR($F57="",$P57="支払なし",$H57=0,$Q57=""),"",$Q57&amp;"|S|"&amp;(COUNTIF(S$4:S56,$Q57&amp;"|S|*")+1))</f>
        <v>賃借料|S|3</v>
      </c>
      <c r="T57" s="769" t="str">
        <f>IF(OR($F57="",$P57="支払なし",$R57=0,$Q57=""),"",$Q57&amp;"|L|"&amp;(COUNTIF(T$4:T56,$Q57&amp;"|L|*")+1))</f>
        <v/>
      </c>
      <c r="U57" s="769">
        <f>IF(OR($F57="",$A57=""),"",MOD(MONTH($A57)-4,12)+1)</f>
        <v>2</v>
      </c>
    </row>
    <row r="58" ht="16.5" customFormat="1" customHeight="1" s="43">
      <c r="A58" s="760" t="n">
        <v>46171</v>
      </c>
      <c r="B58" s="761" t="n"/>
      <c r="C58" s="762" t="inlineStr">
        <is>
          <t>賃借料</t>
        </is>
      </c>
      <c r="D58" s="762" t="n"/>
      <c r="E58" s="770" t="inlineStr">
        <is>
          <t>基幹システム用機器賃借料　4月分（長期）</t>
        </is>
      </c>
      <c r="F58" s="772" t="n">
        <v>69613</v>
      </c>
      <c r="G58" s="772" t="n">
        <v>3</v>
      </c>
      <c r="H58" s="765">
        <f>IF(G58=1,F58-I58-J58-K58,IF(G58=2,F58,0))</f>
        <v>0</v>
      </c>
      <c r="I58" s="765">
        <f>ROUND(IF(G58=1,F58*10/23,IF(G58=3,F58-J58-K58,IF(G58=4,F58,IF(G58=5,F58*10/11,IF(G58=7,F58*10/11,0))))),0)</f>
        <v>58011</v>
      </c>
      <c r="J58" s="765">
        <f>ROUND(IF(G58=1,F58/23,IF(G58=3,F58/12,IF(G58=5,F58-I58,IF(G58=8,F58,0)))),0)</f>
        <v>5801</v>
      </c>
      <c r="K58" s="766">
        <f>ROUND(IF(G58=1,F58/23,IF(G58=3,F58/12,IF(G58=6,F58,IF(G58=7,F58-I58,0)))),0)</f>
        <v>5801</v>
      </c>
      <c r="L58" s="767">
        <f>IF(G58=6,F58,0)</f>
        <v>0</v>
      </c>
      <c r="M58" s="572">
        <f>IF(F58="",0,MONTH(A58))</f>
        <v>5</v>
      </c>
      <c r="P58" s="768" t="inlineStr">
        <is>
          <t>確認済</t>
        </is>
      </c>
      <c r="Q58" s="769" t="str">
        <f>IF($F58="","",IFERROR(VLOOKUP($C58&amp;"|"&amp;$D58,科目表!$A$5:$B$200,2,FALSE),"※未登録"))</f>
        <v>賃借料</v>
      </c>
      <c r="R58" s="769">
        <f>IF($F58="","",$I58+$J58+$K58)</f>
        <v>69613</v>
      </c>
      <c r="S58" s="769" t="str">
        <f>IF(OR($F58="",$P58="支払なし",$H58=0,$Q58=""),"",$Q58&amp;"|S|"&amp;(COUNTIF(S$4:S57,$Q58&amp;"|S|*")+1))</f>
        <v/>
      </c>
      <c r="T58" s="769" t="str">
        <f>IF(OR($F58="",$P58="支払なし",$R58=0,$Q58=""),"",$Q58&amp;"|L|"&amp;(COUNTIF(T$4:T57,$Q58&amp;"|L|*")+1))</f>
        <v>賃借料|L|1</v>
      </c>
      <c r="U58" s="769">
        <f>IF(OR($F58="",$A58=""),"",MOD(MONTH($A58)-4,12)+1)</f>
        <v>2</v>
      </c>
    </row>
    <row r="59" ht="16.5" customFormat="1" customHeight="1" s="43">
      <c r="A59" s="760" t="n">
        <v>46171</v>
      </c>
      <c r="B59" s="761" t="n"/>
      <c r="C59" s="762" t="inlineStr">
        <is>
          <t>委託費</t>
        </is>
      </c>
      <c r="D59" s="762" t="n"/>
      <c r="E59" s="762" t="inlineStr">
        <is>
          <t>柔整等療養費支給申請書の入力（４月分）</t>
        </is>
      </c>
      <c r="F59" s="772" t="n">
        <v>137918</v>
      </c>
      <c r="G59" s="772" t="n">
        <v>2</v>
      </c>
      <c r="H59" s="765">
        <f>IF(G59=1,F59-I59-J59-K59,IF(G59=2,F59,0))</f>
        <v>137918</v>
      </c>
      <c r="I59" s="765">
        <f>ROUND(IF(G59=1,F59*10/23,IF(G59=3,F59-J59-K59,IF(G59=4,F59,IF(G59=5,F59*10/11,IF(G59=7,F59*10/11,0))))),0)</f>
        <v>0</v>
      </c>
      <c r="J59" s="765">
        <f>ROUND(IF(G59=1,F59/23,IF(G59=3,F59/12,IF(G59=5,F59-I59,IF(G59=8,F59,0)))),0)</f>
        <v>0</v>
      </c>
      <c r="K59" s="766">
        <f>ROUND(IF(G59=1,F59/23,IF(G59=3,F59/12,IF(G59=6,F59,IF(G59=7,F59-I59,0)))),0)</f>
        <v>0</v>
      </c>
      <c r="L59" s="767">
        <f>IF(G59=6,F59,0)</f>
        <v>0</v>
      </c>
      <c r="M59" s="572">
        <f>IF(F59="",0,MONTH(A59))</f>
        <v>5</v>
      </c>
      <c r="P59" s="768" t="inlineStr">
        <is>
          <t>確認済</t>
        </is>
      </c>
      <c r="Q59" s="769" t="str">
        <f>IF($F59="","",IFERROR(VLOOKUP($C59&amp;"|"&amp;$D59,科目表!$A$5:$B$200,2,FALSE),"※未登録"))</f>
        <v>委託費</v>
      </c>
      <c r="R59" s="769">
        <f>IF($F59="","",$I59+$J59+$K59)</f>
        <v>0</v>
      </c>
      <c r="S59" s="769" t="str">
        <f>IF(OR($F59="",$P59="支払なし",$H59=0,$Q59=""),"",$Q59&amp;"|S|"&amp;(COUNTIF(S$4:S58,$Q59&amp;"|S|*")+1))</f>
        <v>委託費|S|8</v>
      </c>
      <c r="T59" s="769" t="str">
        <f>IF(OR($F59="",$P59="支払なし",$R59=0,$Q59=""),"",$Q59&amp;"|L|"&amp;(COUNTIF(T$4:T58,$Q59&amp;"|L|*")+1))</f>
        <v/>
      </c>
      <c r="U59" s="769">
        <f>IF(OR($F59="",$A59=""),"",MOD(MONTH($A59)-4,12)+1)</f>
        <v>2</v>
      </c>
    </row>
    <row r="60" ht="16.5" customFormat="1" customHeight="1" s="422">
      <c r="A60" s="760" t="n">
        <v>45443</v>
      </c>
      <c r="B60" s="761" t="n"/>
      <c r="C60" s="762" t="inlineStr">
        <is>
          <t>委託費</t>
        </is>
      </c>
      <c r="D60" s="762" t="n"/>
      <c r="E60" s="762" t="inlineStr">
        <is>
          <t>柔整等療養費支給申請書の入力（４月分）</t>
        </is>
      </c>
      <c r="F60" s="772" t="n">
        <v>70730</v>
      </c>
      <c r="G60" s="772" t="n">
        <v>2</v>
      </c>
      <c r="H60" s="765">
        <f>IF(G60=1,F60-I60-J60-K60,IF(G60=2,F60,0))</f>
        <v>70730</v>
      </c>
      <c r="I60" s="765">
        <f>ROUND(IF(G60=1,F60*10/23,IF(G60=3,F60-J60-K60,IF(G60=4,F60,IF(G60=5,F60*10/11,IF(G60=7,F60*10/11,0))))),0)</f>
        <v>0</v>
      </c>
      <c r="J60" s="765">
        <f>ROUND(IF(G60=1,F60/23,IF(G60=3,F60/12,IF(G60=5,F60-I60,IF(G60=8,F60,0)))),0)</f>
        <v>0</v>
      </c>
      <c r="K60" s="766">
        <f>ROUND(IF(G60=1,F60/23,IF(G60=3,F60/12,IF(G60=6,F60,IF(G60=7,F60-I60,0)))),0)</f>
        <v>0</v>
      </c>
      <c r="L60" s="767">
        <f>IF(G60=6,F60,0)</f>
        <v>0</v>
      </c>
      <c r="M60" s="421">
        <f>IF(F60="",0,MONTH(A60))</f>
        <v>5</v>
      </c>
      <c r="P60" s="768" t="inlineStr">
        <is>
          <t>昨年実績</t>
        </is>
      </c>
      <c r="Q60" s="769" t="str">
        <f>IF($F60="","",IFERROR(VLOOKUP($C60&amp;"|"&amp;$D60,科目表!$A$5:$B$200,2,FALSE),"※未登録"))</f>
        <v>委託費</v>
      </c>
      <c r="R60" s="769">
        <f>IF($F60="","",$I60+$J60+$K60)</f>
        <v>0</v>
      </c>
      <c r="S60" s="769" t="str">
        <f>IF(OR($F60="",$P60="支払なし",$H60=0,$Q60=""),"",$Q60&amp;"|S|"&amp;(COUNTIF(S$4:S59,$Q60&amp;"|S|*")+1))</f>
        <v>委託費|S|9</v>
      </c>
      <c r="T60" s="769" t="str">
        <f>IF(OR($F60="",$P60="支払なし",$R60=0,$Q60=""),"",$Q60&amp;"|L|"&amp;(COUNTIF(T$4:T59,$Q60&amp;"|L|*")+1))</f>
        <v/>
      </c>
      <c r="U60" s="769">
        <f>IF(OR($F60="",$A60=""),"",MOD(MONTH($A60)-4,12)+1)</f>
        <v>2</v>
      </c>
    </row>
    <row r="61" ht="16.5" customFormat="1" customHeight="1" s="418">
      <c r="A61" s="760" t="n">
        <v>45810</v>
      </c>
      <c r="B61" s="761" t="n"/>
      <c r="C61" s="762" t="inlineStr">
        <is>
          <t>事務費</t>
        </is>
      </c>
      <c r="D61" s="762" t="inlineStr">
        <is>
          <t>通信運搬費</t>
        </is>
      </c>
      <c r="E61" s="763" t="inlineStr">
        <is>
          <t>フレッツ光ネクスト利用料等（４月利用・５月請求分）</t>
        </is>
      </c>
      <c r="F61" s="772" t="n">
        <v>5126</v>
      </c>
      <c r="G61" s="772" t="n">
        <v>2</v>
      </c>
      <c r="H61" s="765">
        <f>IF(G61=1,F61-I61-J61-K61,IF(G61=2,F61,0))</f>
        <v>5126</v>
      </c>
      <c r="I61" s="765">
        <f>ROUND(IF(G61=1,F61*10/23,IF(G61=3,F61-J61-K61,IF(G61=4,F61,IF(G61=5,F61*10/11,IF(G61=7,F61*10/11,0))))),0)</f>
        <v>0</v>
      </c>
      <c r="J61" s="765">
        <f>ROUND(IF(G61=1,F61/23,IF(G61=3,F61/12,IF(G61=5,F61-I61,IF(G61=8,F61,0)))),0)</f>
        <v>0</v>
      </c>
      <c r="K61" s="766">
        <f>ROUND(IF(G61=1,F61/23,IF(G61=3,F61/12,IF(G61=6,F61,IF(G61=7,F61-I61,0)))),0)</f>
        <v>0</v>
      </c>
      <c r="L61" s="767">
        <f>IF(G61=6,F61,0)</f>
        <v>0</v>
      </c>
      <c r="M61" s="570">
        <f>IF(F61="",0,MONTH(A61))</f>
        <v>6</v>
      </c>
      <c r="P61" s="768" t="inlineStr">
        <is>
          <t>昨年実績</t>
        </is>
      </c>
      <c r="Q61" s="769" t="str">
        <f>IF($F61="","",IFERROR(VLOOKUP($C61&amp;"|"&amp;$D61,科目表!$A$5:$B$200,2,FALSE),"※未登録"))</f>
        <v>通信運搬費</v>
      </c>
      <c r="R61" s="769">
        <f>IF($F61="","",$I61+$J61+$K61)</f>
        <v>0</v>
      </c>
      <c r="S61" s="769" t="str">
        <f>IF(OR($F61="",$P61="支払なし",$H61=0,$Q61=""),"",$Q61&amp;"|S|"&amp;(COUNTIF(S$4:S60,$Q61&amp;"|S|*")+1))</f>
        <v>通信運搬費|S|6</v>
      </c>
      <c r="T61" s="769" t="str">
        <f>IF(OR($F61="",$P61="支払なし",$R61=0,$Q61=""),"",$Q61&amp;"|L|"&amp;(COUNTIF(T$4:T60,$Q61&amp;"|L|*")+1))</f>
        <v/>
      </c>
      <c r="U61" s="769">
        <f>IF(OR($F61="",$A61=""),"",MOD(MONTH($A61)-4,12)+1)</f>
        <v>3</v>
      </c>
    </row>
    <row r="62" ht="16.5" customFormat="1" customHeight="1" s="43">
      <c r="A62" s="760" t="n">
        <v>46174</v>
      </c>
      <c r="B62" s="761" t="n"/>
      <c r="C62" s="762" t="inlineStr">
        <is>
          <t>事務費</t>
        </is>
      </c>
      <c r="D62" s="762" t="inlineStr">
        <is>
          <t>通信運搬費</t>
        </is>
      </c>
      <c r="E62" s="763" t="inlineStr">
        <is>
          <t>インターネット通信料金（３月、４月使用・５月請求分）</t>
        </is>
      </c>
      <c r="F62" s="772" t="n">
        <v>3663</v>
      </c>
      <c r="G62" s="772" t="n">
        <v>2</v>
      </c>
      <c r="H62" s="765">
        <f>IF(G62=1,F62-I62-J62-K62,IF(G62=2,F62,0))</f>
        <v>3663</v>
      </c>
      <c r="I62" s="765">
        <f>ROUND(IF(G62=1,F62*10/23,IF(G62=3,F62-J62-K62,IF(G62=4,F62,IF(G62=5,F62*10/11,IF(G62=7,F62*10/11,0))))),0)</f>
        <v>0</v>
      </c>
      <c r="J62" s="765">
        <f>ROUND(IF(G62=1,F62/23,IF(G62=3,F62/12,IF(G62=5,F62-I62,IF(G62=8,F62,0)))),0)</f>
        <v>0</v>
      </c>
      <c r="K62" s="766">
        <f>ROUND(IF(G62=1,F62/23,IF(G62=3,F62/12,IF(G62=6,F62,IF(G62=7,F62-I62,0)))),0)</f>
        <v>0</v>
      </c>
      <c r="L62" s="767">
        <f>IF(G62=6,F62,0)</f>
        <v>0</v>
      </c>
      <c r="M62" s="572">
        <f>IF(F62="",0,MONTH(A62))</f>
        <v>6</v>
      </c>
      <c r="P62" s="768" t="inlineStr">
        <is>
          <t>確認済</t>
        </is>
      </c>
      <c r="Q62" s="769" t="str">
        <f>IF($F62="","",IFERROR(VLOOKUP($C62&amp;"|"&amp;$D62,科目表!$A$5:$B$200,2,FALSE),"※未登録"))</f>
        <v>通信運搬費</v>
      </c>
      <c r="R62" s="769">
        <f>IF($F62="","",$I62+$J62+$K62)</f>
        <v>0</v>
      </c>
      <c r="S62" s="769" t="str">
        <f>IF(OR($F62="",$P62="支払なし",$H62=0,$Q62=""),"",$Q62&amp;"|S|"&amp;(COUNTIF(S$4:S61,$Q62&amp;"|S|*")+1))</f>
        <v>通信運搬費|S|7</v>
      </c>
      <c r="T62" s="769" t="str">
        <f>IF(OR($F62="",$P62="支払なし",$R62=0,$Q62=""),"",$Q62&amp;"|L|"&amp;(COUNTIF(T$4:T61,$Q62&amp;"|L|*")+1))</f>
        <v/>
      </c>
      <c r="U62" s="769">
        <f>IF(OR($F62="",$A62=""),"",MOD(MONTH($A62)-4,12)+1)</f>
        <v>3</v>
      </c>
    </row>
    <row r="63" ht="16.5" customFormat="1" customHeight="1" s="43">
      <c r="A63" s="760" t="n">
        <v>46171</v>
      </c>
      <c r="B63" s="761" t="n"/>
      <c r="C63" s="762" t="inlineStr">
        <is>
          <t>事務費</t>
        </is>
      </c>
      <c r="D63" s="762" t="inlineStr">
        <is>
          <t>事務用消耗品費</t>
        </is>
      </c>
      <c r="E63" s="770" t="inlineStr">
        <is>
          <t>鋳造ゴム印　3号以下　147字　他</t>
        </is>
      </c>
      <c r="F63" s="772" t="n">
        <v>14040</v>
      </c>
      <c r="G63" s="772" t="n">
        <v>3</v>
      </c>
      <c r="H63" s="765">
        <f>IF(G63=1,F63-I63-J63-K63,IF(G63=2,F63,0))</f>
        <v>0</v>
      </c>
      <c r="I63" s="765">
        <f>ROUND(IF(G63=1,F63*10/23,IF(G63=3,F63-J63-K63,IF(G63=4,F63,IF(G63=5,F63*10/11,IF(G63=7,F63*10/11,0))))),0)</f>
        <v>11700</v>
      </c>
      <c r="J63" s="765">
        <f>ROUND(IF(G63=1,F63/23,IF(G63=3,F63/12,IF(G63=5,F63-I63,IF(G63=8,F63,0)))),0)</f>
        <v>1170</v>
      </c>
      <c r="K63" s="766">
        <f>ROUND(IF(G63=1,F63/23,IF(G63=3,F63/12,IF(G63=6,F63,IF(G63=7,F63-I63,0)))),0)</f>
        <v>1170</v>
      </c>
      <c r="L63" s="767">
        <f>IF(G63=6,F63,0)</f>
        <v>0</v>
      </c>
      <c r="M63" s="572">
        <f>IF(F63="",0,MONTH(A63))</f>
        <v>5</v>
      </c>
      <c r="P63" s="768" t="inlineStr">
        <is>
          <t>確認済</t>
        </is>
      </c>
      <c r="Q63" s="769" t="str">
        <f>IF($F63="","",IFERROR(VLOOKUP($C63&amp;"|"&amp;$D63,科目表!$A$5:$B$200,2,FALSE),"※未登録"))</f>
        <v>事務用消耗品費</v>
      </c>
      <c r="R63" s="769">
        <f>IF($F63="","",$I63+$J63+$K63)</f>
        <v>14040</v>
      </c>
      <c r="S63" s="769" t="str">
        <f>IF(OR($F63="",$P63="支払なし",$H63=0,$Q63=""),"",$Q63&amp;"|S|"&amp;(COUNTIF(S$4:S62,$Q63&amp;"|S|*")+1))</f>
        <v/>
      </c>
      <c r="T63" s="769" t="str">
        <f>IF(OR($F63="",$P63="支払なし",$R63=0,$Q63=""),"",$Q63&amp;"|L|"&amp;(COUNTIF(T$4:T62,$Q63&amp;"|L|*")+1))</f>
        <v>事務用消耗品費|L|4</v>
      </c>
      <c r="U63" s="769">
        <f>IF(OR($F63="",$A63=""),"",MOD(MONTH($A63)-4,12)+1)</f>
        <v>2</v>
      </c>
    </row>
    <row r="64" ht="16.5" customFormat="1" customHeight="1" s="422">
      <c r="A64" s="760" t="n">
        <v>45412</v>
      </c>
      <c r="B64" s="761" t="n"/>
      <c r="C64" s="762" t="inlineStr">
        <is>
          <t>事務費</t>
        </is>
      </c>
      <c r="D64" s="762" t="inlineStr">
        <is>
          <t>事務用消耗品費</t>
        </is>
      </c>
      <c r="E64" s="762" t="inlineStr">
        <is>
          <t>令和６年度基幹ウイルス対策ソフト（ミツイワ株式会社）</t>
        </is>
      </c>
      <c r="F64" s="764" t="n">
        <v>21450</v>
      </c>
      <c r="G64" s="764" t="n">
        <v>2</v>
      </c>
      <c r="H64" s="765">
        <f>IF(G64=1,F64-I64-J64-K64,IF(G64=2,F64,0))</f>
        <v>21450</v>
      </c>
      <c r="I64" s="765">
        <f>ROUND(IF(G64=1,F64*10/23,IF(G64=3,F64-J64-K64,IF(G64=4,F64,IF(G64=5,F64*10/11,IF(G64=7,F64*10/11,0))))),0)</f>
        <v>0</v>
      </c>
      <c r="J64" s="765">
        <f>ROUND(IF(G64=1,F64/23,IF(G64=3,F64/12,IF(G64=5,F64-I64,IF(G64=8,F64,0)))),0)</f>
        <v>0</v>
      </c>
      <c r="K64" s="766">
        <f>ROUND(IF(G64=1,F64/23,IF(G64=3,F64/12,IF(G64=6,F64,IF(G64=7,F64-I64,0)))),0)</f>
        <v>0</v>
      </c>
      <c r="L64" s="767">
        <f>IF(G64=6,F64,0)</f>
        <v>0</v>
      </c>
      <c r="M64" s="421">
        <f>IF(F64="",0,MONTH(A64))</f>
        <v>4</v>
      </c>
      <c r="P64" s="768" t="inlineStr">
        <is>
          <t>昨年実績</t>
        </is>
      </c>
      <c r="Q64" s="769" t="str">
        <f>IF($F64="","",IFERROR(VLOOKUP($C64&amp;"|"&amp;$D64,科目表!$A$5:$B$200,2,FALSE),"※未登録"))</f>
        <v>事務用消耗品費</v>
      </c>
      <c r="R64" s="769">
        <f>IF($F64="","",$I64+$J64+$K64)</f>
        <v>0</v>
      </c>
      <c r="S64" s="769" t="str">
        <f>IF(OR($F64="",$P64="支払なし",$H64=0,$Q64=""),"",$Q64&amp;"|S|"&amp;(COUNTIF(S$4:S63,$Q64&amp;"|S|*")+1))</f>
        <v>事務用消耗品費|S|6</v>
      </c>
      <c r="T64" s="769" t="str">
        <f>IF(OR($F64="",$P64="支払なし",$R64=0,$Q64=""),"",$Q64&amp;"|L|"&amp;(COUNTIF(T$4:T63,$Q64&amp;"|L|*")+1))</f>
        <v/>
      </c>
      <c r="U64" s="769">
        <f>IF(OR($F64="",$A64=""),"",MOD(MONTH($A64)-4,12)+1)</f>
        <v>1</v>
      </c>
    </row>
    <row r="65" ht="16.5" customFormat="1" customHeight="1" s="533">
      <c r="A65" s="760" t="n">
        <v>45443</v>
      </c>
      <c r="B65" s="761" t="n"/>
      <c r="C65" s="762" t="inlineStr">
        <is>
          <t>事務費</t>
        </is>
      </c>
      <c r="D65" s="762" t="inlineStr">
        <is>
          <t>事務用消耗品費</t>
        </is>
      </c>
      <c r="E65" s="770" t="inlineStr">
        <is>
          <t>保存ボックス　4370　50個</t>
        </is>
      </c>
      <c r="F65" s="764" t="n">
        <v>29650</v>
      </c>
      <c r="G65" s="764" t="n">
        <v>2</v>
      </c>
      <c r="H65" s="765">
        <f>IF(G65=1,F65-I65-J65-K65,IF(G65=2,F65,0))</f>
        <v>29650</v>
      </c>
      <c r="I65" s="765">
        <f>ROUND(IF(G65=1,F65*10/23,IF(G65=3,F65-J65-K65,IF(G65=4,F65,IF(G65=5,F65*10/11,IF(G65=7,F65*10/11,0))))),0)</f>
        <v>0</v>
      </c>
      <c r="J65" s="765">
        <f>ROUND(IF(G65=1,F65/23,IF(G65=3,F65/12,IF(G65=5,F65-I65,IF(G65=8,F65,0)))),0)</f>
        <v>0</v>
      </c>
      <c r="K65" s="766">
        <f>ROUND(IF(G65=1,F65/23,IF(G65=3,F65/12,IF(G65=6,F65,IF(G65=7,F65-I65,0)))),0)</f>
        <v>0</v>
      </c>
      <c r="L65" s="767">
        <f>IF(G65=6,F65,0)</f>
        <v>0</v>
      </c>
      <c r="M65" s="421">
        <f>IF(F65="",0,MONTH(A65))</f>
        <v>5</v>
      </c>
      <c r="P65" s="768" t="inlineStr">
        <is>
          <t>昨年実績</t>
        </is>
      </c>
      <c r="Q65" s="769" t="str">
        <f>IF($F65="","",IFERROR(VLOOKUP($C65&amp;"|"&amp;$D65,科目表!$A$5:$B$200,2,FALSE),"※未登録"))</f>
        <v>事務用消耗品費</v>
      </c>
      <c r="R65" s="769">
        <f>IF($F65="","",$I65+$J65+$K65)</f>
        <v>0</v>
      </c>
      <c r="S65" s="769" t="str">
        <f>IF(OR($F65="",$P65="支払なし",$H65=0,$Q65=""),"",$Q65&amp;"|S|"&amp;(COUNTIF(S$4:S64,$Q65&amp;"|S|*")+1))</f>
        <v>事務用消耗品費|S|7</v>
      </c>
      <c r="T65" s="769" t="str">
        <f>IF(OR($F65="",$P65="支払なし",$R65=0,$Q65=""),"",$Q65&amp;"|L|"&amp;(COUNTIF(T$4:T64,$Q65&amp;"|L|*")+1))</f>
        <v/>
      </c>
      <c r="U65" s="769">
        <f>IF(OR($F65="",$A65=""),"",MOD(MONTH($A65)-4,12)+1)</f>
        <v>2</v>
      </c>
    </row>
    <row r="66" ht="16.5" customFormat="1" customHeight="1" s="43">
      <c r="A66" s="760" t="n">
        <v>46176</v>
      </c>
      <c r="B66" s="761" t="n"/>
      <c r="C66" s="762" t="inlineStr">
        <is>
          <t>事務費</t>
        </is>
      </c>
      <c r="D66" s="762" t="inlineStr">
        <is>
          <t>図書印刷費</t>
        </is>
      </c>
      <c r="E66" s="770" t="inlineStr">
        <is>
          <t>国家公務員等共済組合関係法令要覧追録５３５－５３８号</t>
        </is>
      </c>
      <c r="F66" s="772" t="n">
        <v>17600</v>
      </c>
      <c r="G66" s="772" t="n">
        <v>3</v>
      </c>
      <c r="H66" s="765">
        <f>IF(G66=1,F66-I66-J66-K66,IF(G66=2,F66,0))</f>
        <v>0</v>
      </c>
      <c r="I66" s="765">
        <f>ROUND(IF(G66=1,F66*10/23,IF(G66=3,F66-J66-K66,IF(G66=4,F66,IF(G66=5,F66*10/11,IF(G66=7,F66*10/11,0))))),0)</f>
        <v>14666</v>
      </c>
      <c r="J66" s="765">
        <f>ROUND(IF(G66=1,F66/23,IF(G66=3,F66/12,IF(G66=5,F66-I66,IF(G66=8,F66,0)))),0)</f>
        <v>1467</v>
      </c>
      <c r="K66" s="766">
        <f>ROUND(IF(G66=1,F66/23,IF(G66=3,F66/12,IF(G66=6,F66,IF(G66=7,F66-I66,0)))),0)</f>
        <v>1467</v>
      </c>
      <c r="L66" s="767">
        <f>IF(G66=6,F66,0)</f>
        <v>0</v>
      </c>
      <c r="M66" s="572">
        <f>IF(F66="",0,MONTH(A66))</f>
        <v>6</v>
      </c>
      <c r="P66" s="768" t="inlineStr">
        <is>
          <t>確認済</t>
        </is>
      </c>
      <c r="Q66" s="769" t="str">
        <f>IF($F66="","",IFERROR(VLOOKUP($C66&amp;"|"&amp;$D66,科目表!$A$5:$B$200,2,FALSE),"※未登録"))</f>
        <v>図書印刷費</v>
      </c>
      <c r="R66" s="769">
        <f>IF($F66="","",$I66+$J66+$K66)</f>
        <v>17600</v>
      </c>
      <c r="S66" s="769" t="str">
        <f>IF(OR($F66="",$P66="支払なし",$H66=0,$Q66=""),"",$Q66&amp;"|S|"&amp;(COUNTIF(S$4:S65,$Q66&amp;"|S|*")+1))</f>
        <v/>
      </c>
      <c r="T66" s="769" t="str">
        <f>IF(OR($F66="",$P66="支払なし",$R66=0,$Q66=""),"",$Q66&amp;"|L|"&amp;(COUNTIF(T$4:T65,$Q66&amp;"|L|*")+1))</f>
        <v>図書印刷費|L|3</v>
      </c>
      <c r="U66" s="769">
        <f>IF(OR($F66="",$A66=""),"",MOD(MONTH($A66)-4,12)+1)</f>
        <v>3</v>
      </c>
    </row>
    <row r="67" ht="16.5" customFormat="1" customHeight="1" s="43">
      <c r="A67" s="760" t="n">
        <v>46181</v>
      </c>
      <c r="B67" s="761" t="n"/>
      <c r="C67" s="762" t="inlineStr">
        <is>
          <t>役員報酬</t>
        </is>
      </c>
      <c r="D67" s="762" t="n"/>
      <c r="E67" s="762" t="inlineStr">
        <is>
          <t>業務監査６／８　学識経験監事　栗栖　一雄</t>
        </is>
      </c>
      <c r="F67" s="764" t="n">
        <v>11000</v>
      </c>
      <c r="G67" s="772" t="n">
        <v>1</v>
      </c>
      <c r="H67" s="765">
        <f>IF(G67=1,F67-I67-J67-K67,IF(G67=2,F67,0))</f>
        <v>5261</v>
      </c>
      <c r="I67" s="765">
        <f>ROUND(IF(G67=1,F67*10/23,IF(G67=3,F67-J67-K67,IF(G67=4,F67,IF(G67=5,F67*10/11,IF(G67=7,F67*10/11,0))))),0)</f>
        <v>4783</v>
      </c>
      <c r="J67" s="765">
        <f>ROUND(IF(G67=1,F67/23,IF(G67=3,F67/12,IF(G67=5,F67-I67,IF(G67=8,F67,0)))),0)</f>
        <v>478</v>
      </c>
      <c r="K67" s="766">
        <f>ROUND(IF(G67=1,F67/23,IF(G67=3,F67/12,IF(G67=6,F67,IF(G67=7,F67-I67,0)))),0)</f>
        <v>478</v>
      </c>
      <c r="L67" s="767">
        <f>IF(G67=6,F67,0)</f>
        <v>0</v>
      </c>
      <c r="M67" s="572">
        <f>IF(F67="",0,MONTH(A67))</f>
        <v>6</v>
      </c>
      <c r="P67" s="768" t="inlineStr">
        <is>
          <t>確認済</t>
        </is>
      </c>
      <c r="Q67" s="769" t="str">
        <f>IF($F67="","",IFERROR(VLOOKUP($C67&amp;"|"&amp;$D67,科目表!$A$5:$B$200,2,FALSE),"※未登録"))</f>
        <v>役員報酬</v>
      </c>
      <c r="R67" s="769">
        <f>IF($F67="","",$I67+$J67+$K67)</f>
        <v>5739</v>
      </c>
      <c r="S67" s="769" t="str">
        <f>IF(OR($F67="",$P67="支払なし",$H67=0,$Q67=""),"",$Q67&amp;"|S|"&amp;(COUNTIF(S$4:S66,$Q67&amp;"|S|*")+1))</f>
        <v>役員報酬|S|1</v>
      </c>
      <c r="T67" s="769" t="str">
        <f>IF(OR($F67="",$P67="支払なし",$R67=0,$Q67=""),"",$Q67&amp;"|L|"&amp;(COUNTIF(T$4:T66,$Q67&amp;"|L|*")+1))</f>
        <v>役員報酬|L|1</v>
      </c>
      <c r="U67" s="769">
        <f>IF(OR($F67="",$A67=""),"",MOD(MONTH($A67)-4,12)+1)</f>
        <v>3</v>
      </c>
    </row>
    <row r="68" ht="16.5" customFormat="1" customHeight="1" s="43">
      <c r="A68" s="760" t="n">
        <v>46169</v>
      </c>
      <c r="B68" s="761" t="n"/>
      <c r="C68" s="762" t="inlineStr">
        <is>
          <t>負担金</t>
        </is>
      </c>
      <c r="D68" s="762" t="inlineStr">
        <is>
          <t>負担金</t>
        </is>
      </c>
      <c r="E68" s="762" t="inlineStr">
        <is>
          <t>共済短期・介護負担金（5月月例分）長期</t>
        </is>
      </c>
      <c r="F68" s="771" t="n">
        <v>22035</v>
      </c>
      <c r="G68" s="772" t="n">
        <v>3</v>
      </c>
      <c r="H68" s="765">
        <f>IF(G68=1,F68-I68-J68-K68,IF(G68=2,F68,0))</f>
        <v>0</v>
      </c>
      <c r="I68" s="765">
        <f>ROUND(IF(G68=1,F68*10/23,IF(G68=3,F68-J68-K68,IF(G68=4,F68,IF(G68=5,F68*10/11,IF(G68=7,F68*10/11,0))))),0)</f>
        <v>18363</v>
      </c>
      <c r="J68" s="765">
        <f>ROUND(IF(G68=1,F68/23,IF(G68=3,F68/12,IF(G68=5,F68-I68,IF(G68=8,F68,0)))),0)</f>
        <v>1836</v>
      </c>
      <c r="K68" s="766">
        <f>ROUND(IF(G68=1,F68/23,IF(G68=3,F68/12,IF(G68=6,F68,IF(G68=7,F68-I68,0)))),0)</f>
        <v>1836</v>
      </c>
      <c r="L68" s="767">
        <f>IF(G68=6,F68,0)</f>
        <v>0</v>
      </c>
      <c r="M68" s="572">
        <f>IF(F68="",0,MONTH(A68))</f>
        <v>5</v>
      </c>
      <c r="P68" s="768" t="inlineStr">
        <is>
          <t>確認済</t>
        </is>
      </c>
      <c r="Q68" s="769" t="str">
        <f>IF($F68="","",IFERROR(VLOOKUP($C68&amp;"|"&amp;$D68,科目表!$A$5:$B$200,2,FALSE),"※未登録"))</f>
        <v>共済負担金等</v>
      </c>
      <c r="R68" s="769">
        <f>IF($F68="","",$I68+$J68+$K68)</f>
        <v>22035</v>
      </c>
      <c r="S68" s="769" t="str">
        <f>IF(OR($F68="",$P68="支払なし",$H68=0,$Q68=""),"",$Q68&amp;"|S|"&amp;(COUNTIF(S$4:S67,$Q68&amp;"|S|*")+1))</f>
        <v/>
      </c>
      <c r="T68" s="769" t="str">
        <f>IF(OR($F68="",$P68="支払なし",$R68=0,$Q68=""),"",$Q68&amp;"|L|"&amp;(COUNTIF(T$4:T67,$Q68&amp;"|L|*")+1))</f>
        <v>共済負担金等|L|2</v>
      </c>
      <c r="U68" s="769">
        <f>IF(OR($F68="",$A68=""),"",MOD(MONTH($A68)-4,12)+1)</f>
        <v>2</v>
      </c>
    </row>
    <row r="69" ht="16.5" customFormat="1" customHeight="1" s="43">
      <c r="A69" s="760" t="n">
        <v>46169</v>
      </c>
      <c r="B69" s="761" t="n"/>
      <c r="C69" s="762" t="inlineStr">
        <is>
          <t>負担金</t>
        </is>
      </c>
      <c r="D69" s="762" t="inlineStr">
        <is>
          <t>負担金</t>
        </is>
      </c>
      <c r="E69" s="762" t="inlineStr">
        <is>
          <t>共済短期・介護負担金（5月月例分）短期</t>
        </is>
      </c>
      <c r="F69" s="771" t="n">
        <v>37074</v>
      </c>
      <c r="G69" s="772" t="n">
        <v>2</v>
      </c>
      <c r="H69" s="765">
        <f>IF(G69=1,F69-I69-J69-K69,IF(G69=2,F69,0))</f>
        <v>37074</v>
      </c>
      <c r="I69" s="765">
        <f>ROUND(IF(G69=1,F69*10/23,IF(G69=3,F69-J69-K69,IF(G69=4,F69,IF(G69=5,F69*10/11,IF(G69=7,F69*10/11,0))))),0)</f>
        <v>0</v>
      </c>
      <c r="J69" s="765">
        <f>ROUND(IF(G69=1,F69/23,IF(G69=3,F69/12,IF(G69=5,F69-I69,IF(G69=8,F69,0)))),0)</f>
        <v>0</v>
      </c>
      <c r="K69" s="766">
        <f>ROUND(IF(G69=1,F69/23,IF(G69=3,F69/12,IF(G69=6,F69,IF(G69=7,F69-I69,0)))),0)</f>
        <v>0</v>
      </c>
      <c r="L69" s="767">
        <f>IF(G69=6,F69,0)</f>
        <v>0</v>
      </c>
      <c r="M69" s="572">
        <f>IF(F69="",0,MONTH(A69))</f>
        <v>5</v>
      </c>
      <c r="P69" s="768" t="inlineStr">
        <is>
          <t>確認済</t>
        </is>
      </c>
      <c r="Q69" s="769" t="str">
        <f>IF($F69="","",IFERROR(VLOOKUP($C69&amp;"|"&amp;$D69,科目表!$A$5:$B$200,2,FALSE),"※未登録"))</f>
        <v>共済負担金等</v>
      </c>
      <c r="R69" s="769">
        <f>IF($F69="","",$I69+$J69+$K69)</f>
        <v>0</v>
      </c>
      <c r="S69" s="769" t="str">
        <f>IF(OR($F69="",$P69="支払なし",$H69=0,$Q69=""),"",$Q69&amp;"|S|"&amp;(COUNTIF(S$4:S68,$Q69&amp;"|S|*")+1))</f>
        <v>共済負担金等|S|2</v>
      </c>
      <c r="T69" s="769" t="str">
        <f>IF(OR($F69="",$P69="支払なし",$R69=0,$Q69=""),"",$Q69&amp;"|L|"&amp;(COUNTIF(T$4:T68,$Q69&amp;"|L|*")+1))</f>
        <v/>
      </c>
      <c r="U69" s="769">
        <f>IF(OR($F69="",$A69=""),"",MOD(MONTH($A69)-4,12)+1)</f>
        <v>2</v>
      </c>
    </row>
    <row r="70" ht="16.5" customFormat="1" customHeight="1" s="422">
      <c r="A70" s="760" t="n">
        <v>43622</v>
      </c>
      <c r="B70" s="761" t="n"/>
      <c r="C70" s="762" t="inlineStr">
        <is>
          <t>旅費</t>
        </is>
      </c>
      <c r="D70" s="762" t="n"/>
      <c r="E70" s="762" t="inlineStr">
        <is>
          <t>6/10事務局長会議　特別区　胡子事務局長</t>
        </is>
      </c>
      <c r="F70" s="772" t="n">
        <v>38020</v>
      </c>
      <c r="G70" s="772" t="n">
        <v>1</v>
      </c>
      <c r="H70" s="765">
        <f>IF(G70=1,F70-I70-J70-K70,IF(G70=2,F70,0))</f>
        <v>18184</v>
      </c>
      <c r="I70" s="765">
        <f>ROUND(IF(G70=1,F70*10/23,IF(G70=3,F70-J70-K70,IF(G70=4,F70,IF(G70=5,F70*10/11,IF(G70=7,F70*10/11,0))))),0)</f>
        <v>16530</v>
      </c>
      <c r="J70" s="765">
        <f>ROUND(IF(G70=1,F70/23,IF(G70=3,F70/12,IF(G70=5,F70-I70,IF(G70=8,F70,0)))),0)</f>
        <v>1653</v>
      </c>
      <c r="K70" s="766">
        <f>ROUND(IF(G70=1,F70/23,IF(G70=3,F70/12,IF(G70=6,F70,IF(G70=7,F70-I70,0)))),0)</f>
        <v>1653</v>
      </c>
      <c r="L70" s="767">
        <f>IF(G70=6,F70,0)</f>
        <v>0</v>
      </c>
      <c r="M70" s="421">
        <f>IF(F70="",0,MONTH(A70))</f>
        <v>6</v>
      </c>
      <c r="P70" s="768" t="inlineStr">
        <is>
          <t>昨年実績</t>
        </is>
      </c>
      <c r="Q70" s="769" t="str">
        <f>IF($F70="","",IFERROR(VLOOKUP($C70&amp;"|"&amp;$D70,科目表!$A$5:$B$200,2,FALSE),"※未登録"))</f>
        <v>旅費</v>
      </c>
      <c r="R70" s="769">
        <f>IF($F70="","",$I70+$J70+$K70)</f>
        <v>19836</v>
      </c>
      <c r="S70" s="769" t="str">
        <f>IF(OR($F70="",$P70="支払なし",$H70=0,$Q70=""),"",$Q70&amp;"|S|"&amp;(COUNTIF(S$4:S69,$Q70&amp;"|S|*")+1))</f>
        <v>旅費|S|1</v>
      </c>
      <c r="T70" s="769" t="str">
        <f>IF(OR($F70="",$P70="支払なし",$R70=0,$Q70=""),"",$Q70&amp;"|L|"&amp;(COUNTIF(T$4:T69,$Q70&amp;"|L|*")+1))</f>
        <v>旅費|L|1</v>
      </c>
      <c r="U70" s="769">
        <f>IF(OR($F70="",$A70=""),"",MOD(MONTH($A70)-4,12)+1)</f>
        <v>3</v>
      </c>
    </row>
    <row r="71" ht="16.5" customFormat="1" customHeight="1" s="422">
      <c r="A71" s="760" t="n">
        <v>43635</v>
      </c>
      <c r="B71" s="761" t="n"/>
      <c r="C71" s="762" t="inlineStr">
        <is>
          <t>旅費</t>
        </is>
      </c>
      <c r="D71" s="762" t="n"/>
      <c r="E71" s="762" t="inlineStr">
        <is>
          <t>6/21サーバー等説明会　福岡市　永山主事</t>
        </is>
      </c>
      <c r="F71" s="772" t="n">
        <v>19040</v>
      </c>
      <c r="G71" s="772" t="n">
        <v>2</v>
      </c>
      <c r="H71" s="765">
        <f>IF(G71=1,F71-I71-J71-K71,IF(G71=2,F71,0))</f>
        <v>19040</v>
      </c>
      <c r="I71" s="765">
        <f>ROUND(IF(G71=1,F71*10/23,IF(G71=3,F71-J71-K71,IF(G71=4,F71,IF(G71=5,F71*10/11,IF(G71=7,F71*10/11,0))))),0)</f>
        <v>0</v>
      </c>
      <c r="J71" s="765">
        <f>ROUND(IF(G71=1,F71/23,IF(G71=3,F71/12,IF(G71=5,F71-I71,IF(G71=8,F71,0)))),0)</f>
        <v>0</v>
      </c>
      <c r="K71" s="766">
        <f>ROUND(IF(G71=1,F71/23,IF(G71=3,F71/12,IF(G71=6,F71,IF(G71=7,F71-I71,0)))),0)</f>
        <v>0</v>
      </c>
      <c r="L71" s="767">
        <f>IF(G71=6,F71,0)</f>
        <v>0</v>
      </c>
      <c r="M71" s="421">
        <f>IF(F71="",0,MONTH(A71))</f>
        <v>6</v>
      </c>
      <c r="P71" s="768" t="inlineStr">
        <is>
          <t>昨年実績</t>
        </is>
      </c>
      <c r="Q71" s="769" t="str">
        <f>IF($F71="","",IFERROR(VLOOKUP($C71&amp;"|"&amp;$D71,科目表!$A$5:$B$200,2,FALSE),"※未登録"))</f>
        <v>旅費</v>
      </c>
      <c r="R71" s="769">
        <f>IF($F71="","",$I71+$J71+$K71)</f>
        <v>0</v>
      </c>
      <c r="S71" s="769" t="str">
        <f>IF(OR($F71="",$P71="支払なし",$H71=0,$Q71=""),"",$Q71&amp;"|S|"&amp;(COUNTIF(S$4:S70,$Q71&amp;"|S|*")+1))</f>
        <v>旅費|S|2</v>
      </c>
      <c r="T71" s="769" t="str">
        <f>IF(OR($F71="",$P71="支払なし",$R71=0,$Q71=""),"",$Q71&amp;"|L|"&amp;(COUNTIF(T$4:T70,$Q71&amp;"|L|*")+1))</f>
        <v/>
      </c>
      <c r="U71" s="769">
        <f>IF(OR($F71="",$A71=""),"",MOD(MONTH($A71)-4,12)+1)</f>
        <v>3</v>
      </c>
    </row>
    <row r="72" ht="16.5" customFormat="1" customHeight="1" s="43">
      <c r="A72" s="760" t="n">
        <v>45805</v>
      </c>
      <c r="B72" s="761" t="n"/>
      <c r="C72" s="762" t="inlineStr">
        <is>
          <t>旅費</t>
        </is>
      </c>
      <c r="D72" s="762" t="n"/>
      <c r="E72" s="762" t="inlineStr">
        <is>
          <t>6/2保健事業事務研修会　特別区　清水課長補佐</t>
        </is>
      </c>
      <c r="F72" s="772" t="n">
        <v>37160</v>
      </c>
      <c r="G72" s="772" t="n">
        <v>2</v>
      </c>
      <c r="H72" s="765">
        <f>IF(G72=1,F72-I72-J72-K72,IF(G72=2,F72,0))</f>
        <v>37160</v>
      </c>
      <c r="I72" s="765">
        <f>ROUND(IF(G72=1,F72*10/23,IF(G72=3,F72-J72-K72,IF(G72=4,F72,IF(G72=5,F72*10/11,IF(G72=7,F72*10/11,0))))),0)</f>
        <v>0</v>
      </c>
      <c r="J72" s="765">
        <f>ROUND(IF(G72=1,F72/23,IF(G72=3,F72/12,IF(G72=5,F72-I72,IF(G72=8,F72,0)))),0)</f>
        <v>0</v>
      </c>
      <c r="K72" s="766">
        <f>ROUND(IF(G72=1,F72/23,IF(G72=3,F72/12,IF(G72=6,F72,IF(G72=7,F72-I72,0)))),0)</f>
        <v>0</v>
      </c>
      <c r="L72" s="767">
        <f>IF(G72=6,F72,0)</f>
        <v>0</v>
      </c>
      <c r="M72" s="572">
        <f>IF(F72="",0,MONTH(A72))</f>
        <v>5</v>
      </c>
      <c r="P72" s="768" t="inlineStr">
        <is>
          <t>昨年実績</t>
        </is>
      </c>
      <c r="Q72" s="769" t="str">
        <f>IF($F72="","",IFERROR(VLOOKUP($C72&amp;"|"&amp;$D72,科目表!$A$5:$B$200,2,FALSE),"※未登録"))</f>
        <v>旅費</v>
      </c>
      <c r="R72" s="769">
        <f>IF($F72="","",$I72+$J72+$K72)</f>
        <v>0</v>
      </c>
      <c r="S72" s="769" t="str">
        <f>IF(OR($F72="",$P72="支払なし",$H72=0,$Q72=""),"",$Q72&amp;"|S|"&amp;(COUNTIF(S$4:S71,$Q72&amp;"|S|*")+1))</f>
        <v>旅費|S|3</v>
      </c>
      <c r="T72" s="769" t="str">
        <f>IF(OR($F72="",$P72="支払なし",$R72=0,$Q72=""),"",$Q72&amp;"|L|"&amp;(COUNTIF(T$4:T71,$Q72&amp;"|L|*")+1))</f>
        <v/>
      </c>
      <c r="U72" s="769">
        <f>IF(OR($F72="",$A72=""),"",MOD(MONTH($A72)-4,12)+1)</f>
        <v>2</v>
      </c>
    </row>
    <row r="73" ht="16.5" customFormat="1" customHeight="1" s="43">
      <c r="A73" s="760" t="n">
        <v>45805</v>
      </c>
      <c r="B73" s="761" t="n"/>
      <c r="C73" s="762" t="inlineStr">
        <is>
          <t>旅費</t>
        </is>
      </c>
      <c r="D73" s="762" t="n"/>
      <c r="E73" s="762" t="inlineStr">
        <is>
          <t>6/2保健事業事務研修会　特別区　上野主事</t>
        </is>
      </c>
      <c r="F73" s="772" t="n">
        <v>37390</v>
      </c>
      <c r="G73" s="772" t="n">
        <v>2</v>
      </c>
      <c r="H73" s="765">
        <f>IF(G73=1,F73-I73-J73-K73,IF(G73=2,F73,0))</f>
        <v>37390</v>
      </c>
      <c r="I73" s="765">
        <f>ROUND(IF(G73=1,F73*10/23,IF(G73=3,F73-J73-K73,IF(G73=4,F73,IF(G73=5,F73*10/11,IF(G73=7,F73*10/11,0))))),0)</f>
        <v>0</v>
      </c>
      <c r="J73" s="765">
        <f>ROUND(IF(G73=1,F73/23,IF(G73=3,F73/12,IF(G73=5,F73-I73,IF(G73=8,F73,0)))),0)</f>
        <v>0</v>
      </c>
      <c r="K73" s="766">
        <f>ROUND(IF(G73=1,F73/23,IF(G73=3,F73/12,IF(G73=6,F73,IF(G73=7,F73-I73,0)))),0)</f>
        <v>0</v>
      </c>
      <c r="L73" s="767">
        <f>IF(G73=6,F73,0)</f>
        <v>0</v>
      </c>
      <c r="M73" s="572">
        <f>IF(F73="",0,MONTH(A73))</f>
        <v>5</v>
      </c>
      <c r="P73" s="768" t="inlineStr">
        <is>
          <t>昨年実績</t>
        </is>
      </c>
      <c r="Q73" s="769" t="str">
        <f>IF($F73="","",IFERROR(VLOOKUP($C73&amp;"|"&amp;$D73,科目表!$A$5:$B$200,2,FALSE),"※未登録"))</f>
        <v>旅費</v>
      </c>
      <c r="R73" s="769">
        <f>IF($F73="","",$I73+$J73+$K73)</f>
        <v>0</v>
      </c>
      <c r="S73" s="769" t="str">
        <f>IF(OR($F73="",$P73="支払なし",$H73=0,$Q73=""),"",$Q73&amp;"|S|"&amp;(COUNTIF(S$4:S72,$Q73&amp;"|S|*")+1))</f>
        <v>旅費|S|4</v>
      </c>
      <c r="T73" s="769" t="str">
        <f>IF(OR($F73="",$P73="支払なし",$R73=0,$Q73=""),"",$Q73&amp;"|L|"&amp;(COUNTIF(T$4:T72,$Q73&amp;"|L|*")+1))</f>
        <v/>
      </c>
      <c r="U73" s="769">
        <f>IF(OR($F73="",$A73=""),"",MOD(MONTH($A73)-4,12)+1)</f>
        <v>2</v>
      </c>
    </row>
    <row r="74" ht="16.5" customFormat="1" customHeight="1" s="422">
      <c r="A74" s="760" t="n">
        <v>43636</v>
      </c>
      <c r="B74" s="761" t="n"/>
      <c r="C74" s="762" t="inlineStr">
        <is>
          <t>旅費</t>
        </is>
      </c>
      <c r="D74" s="762" t="n"/>
      <c r="E74" s="762" t="inlineStr">
        <is>
          <t>6/24～26　年金事務初任者研修会　特別区　梅谷主事</t>
        </is>
      </c>
      <c r="F74" s="772" t="n">
        <v>63820</v>
      </c>
      <c r="G74" s="772" t="n">
        <v>3</v>
      </c>
      <c r="H74" s="765">
        <f>IF(G74=1,F74-I74-J74-K74,IF(G74=2,F74,0))</f>
        <v>0</v>
      </c>
      <c r="I74" s="765">
        <f>ROUND(IF(G74=1,F74*10/23,IF(G74=3,F74-J74-K74,IF(G74=4,F74,IF(G74=5,F74*10/11,IF(G74=7,F74*10/11,0))))),0)</f>
        <v>53184</v>
      </c>
      <c r="J74" s="765">
        <f>ROUND(IF(G74=1,F74/23,IF(G74=3,F74/12,IF(G74=5,F74-I74,IF(G74=8,F74,0)))),0)</f>
        <v>5318</v>
      </c>
      <c r="K74" s="766">
        <f>ROUND(IF(G74=1,F74/23,IF(G74=3,F74/12,IF(G74=6,F74,IF(G74=7,F74-I74,0)))),0)</f>
        <v>5318</v>
      </c>
      <c r="L74" s="767">
        <f>IF(G74=6,F74,0)</f>
        <v>0</v>
      </c>
      <c r="M74" s="421">
        <f>IF(F74="",0,MONTH(A74))</f>
        <v>6</v>
      </c>
      <c r="P74" s="768" t="inlineStr">
        <is>
          <t>昨年実績</t>
        </is>
      </c>
      <c r="Q74" s="769" t="str">
        <f>IF($F74="","",IFERROR(VLOOKUP($C74&amp;"|"&amp;$D74,科目表!$A$5:$B$200,2,FALSE),"※未登録"))</f>
        <v>旅費</v>
      </c>
      <c r="R74" s="769">
        <f>IF($F74="","",$I74+$J74+$K74)</f>
        <v>63820</v>
      </c>
      <c r="S74" s="769" t="str">
        <f>IF(OR($F74="",$P74="支払なし",$H74=0,$Q74=""),"",$Q74&amp;"|S|"&amp;(COUNTIF(S$4:S73,$Q74&amp;"|S|*")+1))</f>
        <v/>
      </c>
      <c r="T74" s="769" t="str">
        <f>IF(OR($F74="",$P74="支払なし",$R74=0,$Q74=""),"",$Q74&amp;"|L|"&amp;(COUNTIF(T$4:T73,$Q74&amp;"|L|*")+1))</f>
        <v>旅費|L|2</v>
      </c>
      <c r="U74" s="769">
        <f>IF(OR($F74="",$A74=""),"",MOD(MONTH($A74)-4,12)+1)</f>
        <v>3</v>
      </c>
    </row>
    <row r="75" ht="16.5" customFormat="1" customHeight="1" s="43">
      <c r="A75" s="760" t="n">
        <v>46178</v>
      </c>
      <c r="B75" s="761" t="n"/>
      <c r="C75" s="762" t="inlineStr">
        <is>
          <t>事務費負担金払込金</t>
        </is>
      </c>
      <c r="D75" s="762" t="n"/>
      <c r="E75" s="775" t="inlineStr">
        <is>
          <t>５月分事務費負担金払込金と連合会交付金との相殺</t>
        </is>
      </c>
      <c r="F75" s="764" t="n">
        <v>5366000</v>
      </c>
      <c r="G75" s="764" t="n">
        <v>5</v>
      </c>
      <c r="H75" s="765">
        <f>IF(G75=1,F75-I75-J75-K75,IF(G75=2,F75,0))</f>
        <v>0</v>
      </c>
      <c r="I75" s="765">
        <f>ROUND(IF(G75=1,F75*10/23,IF(G75=3,F75-J75-K75,IF(G75=4,F75,IF(G75=5,F75*10/11,IF(G75=7,F75*10/11,0))))),0)</f>
        <v>4878182</v>
      </c>
      <c r="J75" s="765">
        <f>ROUND(IF(G75=1,F75/23,IF(G75=3,F75/12,IF(G75=5,F75-I75,IF(G75=8,F75,0)))),0)</f>
        <v>487818</v>
      </c>
      <c r="K75" s="766">
        <f>ROUND(IF(G75=1,F75/23,IF(G75=3,F75/12,IF(G75=6,F75,IF(G75=7,F75-I75,0)))),0)</f>
        <v>0</v>
      </c>
      <c r="L75" s="767">
        <f>IF(G75=6,F75,0)</f>
        <v>0</v>
      </c>
      <c r="M75" s="572">
        <f>IF(F75="",0,MONTH(A75))</f>
        <v>6</v>
      </c>
      <c r="P75" s="768" t="inlineStr">
        <is>
          <t>確認済</t>
        </is>
      </c>
      <c r="Q75" s="769" t="str">
        <f>IF($F75="","",IFERROR(VLOOKUP($C75&amp;"|"&amp;$D75,科目表!$A$5:$B$200,2,FALSE),"※未登録"))</f>
        <v>事務費負担金払込金</v>
      </c>
      <c r="R75" s="769">
        <f>IF($F75="","",$I75+$J75+$K75)</f>
        <v>5366000</v>
      </c>
      <c r="S75" s="769" t="str">
        <f>IF(OR($F75="",$P75="支払なし",$H75=0,$Q75=""),"",$Q75&amp;"|S|"&amp;(COUNTIF(S$4:S74,$Q75&amp;"|S|*")+1))</f>
        <v/>
      </c>
      <c r="T75" s="769" t="str">
        <f>IF(OR($F75="",$P75="支払なし",$R75=0,$Q75=""),"",$Q75&amp;"|L|"&amp;(COUNTIF(T$4:T74,$Q75&amp;"|L|*")+1))</f>
        <v>事務費負担金払込金|L|2</v>
      </c>
      <c r="U75" s="769">
        <f>IF(OR($F75="",$A75=""),"",MOD(MONTH($A75)-4,12)+1)</f>
        <v>3</v>
      </c>
    </row>
    <row r="76" ht="16.5" customFormat="1" customHeight="1" s="422">
      <c r="A76" s="760" t="n">
        <v>45084</v>
      </c>
      <c r="B76" s="761" t="n"/>
      <c r="C76" s="762" t="inlineStr">
        <is>
          <t>事務費負担金払込金</t>
        </is>
      </c>
      <c r="D76" s="762" t="n"/>
      <c r="E76" s="775" t="inlineStr">
        <is>
          <t>５月分事務費負担金払込金と連合会交付金との相殺</t>
        </is>
      </c>
      <c r="F76" s="764" t="n">
        <v>3553000</v>
      </c>
      <c r="G76" s="764" t="n">
        <v>5</v>
      </c>
      <c r="H76" s="765">
        <f>IF(G76=1,F76-I76-J76-K76,IF(G76=2,F76,0))</f>
        <v>0</v>
      </c>
      <c r="I76" s="765">
        <f>ROUND(IF(G76=1,F76*10/23,IF(G76=3,F76-J76-K76,IF(G76=4,F76,IF(G76=5,F76*10/11,IF(G76=7,F76*10/11,0))))),0)</f>
        <v>3230000</v>
      </c>
      <c r="J76" s="765">
        <f>ROUND(IF(G76=1,F76/23,IF(G76=3,F76/12,IF(G76=5,F76-I76,IF(G76=8,F76,0)))),0)</f>
        <v>323000</v>
      </c>
      <c r="K76" s="766">
        <f>ROUND(IF(G76=1,F76/23,IF(G76=3,F76/12,IF(G76=6,F76,IF(G76=7,F76-I76,0)))),0)</f>
        <v>0</v>
      </c>
      <c r="L76" s="767">
        <f>IF(G76=6,F76,0)</f>
        <v>0</v>
      </c>
      <c r="M76" s="421">
        <f>IF(F76="",0,MONTH(A76))</f>
        <v>6</v>
      </c>
      <c r="P76" s="768" t="inlineStr">
        <is>
          <t>昨年実績</t>
        </is>
      </c>
      <c r="Q76" s="769" t="str">
        <f>IF($F76="","",IFERROR(VLOOKUP($C76&amp;"|"&amp;$D76,科目表!$A$5:$B$200,2,FALSE),"※未登録"))</f>
        <v>事務費負担金払込金</v>
      </c>
      <c r="R76" s="769">
        <f>IF($F76="","",$I76+$J76+$K76)</f>
        <v>3553000</v>
      </c>
      <c r="S76" s="769" t="str">
        <f>IF(OR($F76="",$P76="支払なし",$H76=0,$Q76=""),"",$Q76&amp;"|S|"&amp;(COUNTIF(S$4:S75,$Q76&amp;"|S|*")+1))</f>
        <v/>
      </c>
      <c r="T76" s="769" t="str">
        <f>IF(OR($F76="",$P76="支払なし",$R76=0,$Q76=""),"",$Q76&amp;"|L|"&amp;(COUNTIF(T$4:T75,$Q76&amp;"|L|*")+1))</f>
        <v>事務費負担金払込金|L|3</v>
      </c>
      <c r="U76" s="769">
        <f>IF(OR($F76="",$A76=""),"",MOD(MONTH($A76)-4,12)+1)</f>
        <v>3</v>
      </c>
    </row>
    <row r="77" ht="16.5" customFormat="1" customHeight="1" s="422">
      <c r="A77" s="760" t="n">
        <v>44718</v>
      </c>
      <c r="B77" s="761" t="n"/>
      <c r="C77" s="762" t="inlineStr">
        <is>
          <t>厚生費</t>
        </is>
      </c>
      <c r="D77" s="762" t="inlineStr">
        <is>
          <t>健康診断費</t>
        </is>
      </c>
      <c r="E77" s="762" t="inlineStr">
        <is>
          <t>健康診断費自己負担超分（一山）</t>
        </is>
      </c>
      <c r="F77" s="772" t="n">
        <v>1569</v>
      </c>
      <c r="G77" s="764" t="n">
        <v>2</v>
      </c>
      <c r="H77" s="765">
        <f>IF(G77=1,F77-I77-J77-K77,IF(G77=2,F77,0))</f>
        <v>1569</v>
      </c>
      <c r="I77" s="765">
        <f>ROUND(IF(G77=1,F77*10/23,IF(G77=3,F77-J77-K77,IF(G77=4,F77,IF(G77=5,F77*10/11,IF(G77=7,F77*10/11,0))))),0)</f>
        <v>0</v>
      </c>
      <c r="J77" s="765">
        <f>ROUND(IF(G77=1,F77/23,IF(G77=3,F77/12,IF(G77=5,F77-I77,IF(G77=8,F77,0)))),0)</f>
        <v>0</v>
      </c>
      <c r="K77" s="766">
        <f>ROUND(IF(G77=1,F77/23,IF(G77=3,F77/12,IF(G77=6,F77,IF(G77=7,F77-I77,0)))),0)</f>
        <v>0</v>
      </c>
      <c r="L77" s="767">
        <f>IF(G77=6,F77,0)</f>
        <v>0</v>
      </c>
      <c r="M77" s="421">
        <f>IF(F77="",0,MONTH(A77))</f>
        <v>6</v>
      </c>
      <c r="P77" s="768" t="inlineStr">
        <is>
          <t>昨年実績</t>
        </is>
      </c>
      <c r="Q77" s="769" t="str">
        <f>IF($F77="","",IFERROR(VLOOKUP($C77&amp;"|"&amp;$D77,科目表!$A$5:$B$200,2,FALSE),"※未登録"))</f>
        <v>厚生費</v>
      </c>
      <c r="R77" s="769">
        <f>IF($F77="","",$I77+$J77+$K77)</f>
        <v>0</v>
      </c>
      <c r="S77" s="769" t="str">
        <f>IF(OR($F77="",$P77="支払なし",$H77=0,$Q77=""),"",$Q77&amp;"|S|"&amp;(COUNTIF(S$4:S76,$Q77&amp;"|S|*")+1))</f>
        <v>厚生費|S|1</v>
      </c>
      <c r="T77" s="769" t="str">
        <f>IF(OR($F77="",$P77="支払なし",$R77=0,$Q77=""),"",$Q77&amp;"|L|"&amp;(COUNTIF(T$4:T76,$Q77&amp;"|L|*")+1))</f>
        <v/>
      </c>
      <c r="U77" s="769">
        <f>IF(OR($F77="",$A77=""),"",MOD(MONTH($A77)-4,12)+1)</f>
        <v>3</v>
      </c>
    </row>
    <row r="78" ht="16.5" customFormat="1" customHeight="1" s="422">
      <c r="A78" s="760" t="n">
        <v>44708</v>
      </c>
      <c r="B78" s="761" t="n"/>
      <c r="C78" s="762" t="inlineStr">
        <is>
          <t>事務費</t>
        </is>
      </c>
      <c r="D78" s="762" t="inlineStr">
        <is>
          <t>雑費</t>
        </is>
      </c>
      <c r="E78" s="775" t="inlineStr">
        <is>
          <t>ＪＡ残高証明書（手数料）R4.3.31時点</t>
        </is>
      </c>
      <c r="F78" s="764" t="n">
        <v>220</v>
      </c>
      <c r="G78" s="764" t="n">
        <v>2</v>
      </c>
      <c r="H78" s="765">
        <f>IF(G78=1,F78-I78-J78-K78,IF(G78=2,F78,0))</f>
        <v>220</v>
      </c>
      <c r="I78" s="765">
        <f>ROUND(IF(G78=1,F78*10/23,IF(G78=3,F78-J78-K78,IF(G78=4,F78,IF(G78=5,F78*10/11,IF(G78=7,F78*10/11,0))))),0)</f>
        <v>0</v>
      </c>
      <c r="J78" s="765">
        <f>ROUND(IF(G78=1,F78/23,IF(G78=3,F78/12,IF(G78=5,F78-I78,IF(G78=8,F78,0)))),0)</f>
        <v>0</v>
      </c>
      <c r="K78" s="766">
        <f>ROUND(IF(G78=1,F78/23,IF(G78=3,F78/12,IF(G78=6,F78,IF(G78=7,F78-I78,0)))),0)</f>
        <v>0</v>
      </c>
      <c r="L78" s="767">
        <f>IF(G78=6,F78,0)</f>
        <v>0</v>
      </c>
      <c r="M78" s="421">
        <f>IF(F78="",0,MONTH(A78))</f>
        <v>5</v>
      </c>
      <c r="P78" s="768" t="inlineStr">
        <is>
          <t>昨年実績</t>
        </is>
      </c>
      <c r="Q78" s="769" t="str">
        <f>IF($F78="","",IFERROR(VLOOKUP($C78&amp;"|"&amp;$D78,科目表!$A$5:$B$200,2,FALSE),"※未登録"))</f>
        <v>事務費・雑費</v>
      </c>
      <c r="R78" s="769">
        <f>IF($F78="","",$I78+$J78+$K78)</f>
        <v>0</v>
      </c>
      <c r="S78" s="769" t="str">
        <f>IF(OR($F78="",$P78="支払なし",$H78=0,$Q78=""),"",$Q78&amp;"|S|"&amp;(COUNTIF(S$4:S77,$Q78&amp;"|S|*")+1))</f>
        <v>事務費・雑費|S|3</v>
      </c>
      <c r="T78" s="769" t="str">
        <f>IF(OR($F78="",$P78="支払なし",$R78=0,$Q78=""),"",$Q78&amp;"|L|"&amp;(COUNTIF(T$4:T77,$Q78&amp;"|L|*")+1))</f>
        <v/>
      </c>
      <c r="U78" s="769">
        <f>IF(OR($F78="",$A78=""),"",MOD(MONTH($A78)-4,12)+1)</f>
        <v>2</v>
      </c>
    </row>
    <row r="79" ht="16.5" customFormat="1" customHeight="1" s="422">
      <c r="A79" s="760" t="n">
        <v>44711</v>
      </c>
      <c r="B79" s="761" t="n"/>
      <c r="C79" s="762" t="inlineStr">
        <is>
          <t>負担金</t>
        </is>
      </c>
      <c r="D79" s="762" t="inlineStr">
        <is>
          <t>負担金</t>
        </is>
      </c>
      <c r="E79" s="762" t="inlineStr">
        <is>
          <t>収入印紙</t>
        </is>
      </c>
      <c r="F79" s="772" t="n">
        <v>5000</v>
      </c>
      <c r="G79" s="772" t="n">
        <v>3</v>
      </c>
      <c r="H79" s="765">
        <f>IF(G79=1,F79-I79-J79-K79,IF(G79=2,F79,0))</f>
        <v>0</v>
      </c>
      <c r="I79" s="765">
        <f>ROUND(IF(G79=1,F79*10/23,IF(G79=3,F79-J79-K79,IF(G79=4,F79,IF(G79=5,F79*10/11,IF(G79=7,F79*10/11,0))))),0)</f>
        <v>4166</v>
      </c>
      <c r="J79" s="765">
        <f>ROUND(IF(G79=1,F79/23,IF(G79=3,F79/12,IF(G79=5,F79-I79,IF(G79=8,F79,0)))),0)</f>
        <v>417</v>
      </c>
      <c r="K79" s="766">
        <f>ROUND(IF(G79=1,F79/23,IF(G79=3,F79/12,IF(G79=6,F79,IF(G79=7,F79-I79,0)))),0)</f>
        <v>417</v>
      </c>
      <c r="L79" s="767">
        <f>IF(G79=6,F79,0)</f>
        <v>0</v>
      </c>
      <c r="M79" s="421">
        <f>IF(F79="",0,MONTH(A79))</f>
        <v>5</v>
      </c>
      <c r="P79" s="768" t="inlineStr">
        <is>
          <t>昨年実績</t>
        </is>
      </c>
      <c r="Q79" s="769" t="str">
        <f>IF($F79="","",IFERROR(VLOOKUP($C79&amp;"|"&amp;$D79,科目表!$A$5:$B$200,2,FALSE),"※未登録"))</f>
        <v>共済負担金等</v>
      </c>
      <c r="R79" s="769">
        <f>IF($F79="","",$I79+$J79+$K79)</f>
        <v>5000</v>
      </c>
      <c r="S79" s="769" t="str">
        <f>IF(OR($F79="",$P79="支払なし",$H79=0,$Q79=""),"",$Q79&amp;"|S|"&amp;(COUNTIF(S$4:S78,$Q79&amp;"|S|*")+1))</f>
        <v/>
      </c>
      <c r="T79" s="769" t="str">
        <f>IF(OR($F79="",$P79="支払なし",$R79=0,$Q79=""),"",$Q79&amp;"|L|"&amp;(COUNTIF(T$4:T78,$Q79&amp;"|L|*")+1))</f>
        <v>共済負担金等|L|3</v>
      </c>
      <c r="U79" s="769">
        <f>IF(OR($F79="",$A79=""),"",MOD(MONTH($A79)-4,12)+1)</f>
        <v>2</v>
      </c>
    </row>
    <row r="80" ht="16.5" customFormat="1" customHeight="1" s="43">
      <c r="A80" s="760" t="n">
        <v>46183</v>
      </c>
      <c r="B80" s="761" t="n"/>
      <c r="C80" s="762" t="inlineStr">
        <is>
          <t>事務費</t>
        </is>
      </c>
      <c r="D80" s="762" t="inlineStr">
        <is>
          <t>送金料</t>
        </is>
      </c>
      <c r="E80" s="775" t="inlineStr">
        <is>
          <t>振込手数料（広銀）５月分　長期分</t>
        </is>
      </c>
      <c r="F80" s="772" t="n">
        <v>12725</v>
      </c>
      <c r="G80" s="772" t="n">
        <v>3</v>
      </c>
      <c r="H80" s="765">
        <f>IF(G80=1,F80-I80-J80-K80,IF(G80=2,F80,0))</f>
        <v>0</v>
      </c>
      <c r="I80" s="765">
        <f>ROUND(IF(G80=1,F80*10/23,IF(G80=3,F80-J80-K80,IF(G80=4,F80,IF(G80=5,F80*10/11,IF(G80=7,F80*10/11,0))))),0)</f>
        <v>10605</v>
      </c>
      <c r="J80" s="765">
        <f>ROUND(IF(G80=1,F80/23,IF(G80=3,F80/12,IF(G80=5,F80-I80,IF(G80=8,F80,0)))),0)</f>
        <v>1060</v>
      </c>
      <c r="K80" s="766">
        <f>ROUND(IF(G80=1,F80/23,IF(G80=3,F80/12,IF(G80=6,F80,IF(G80=7,F80-I80,0)))),0)</f>
        <v>1060</v>
      </c>
      <c r="L80" s="767">
        <f>IF(G80=6,F80,0)</f>
        <v>0</v>
      </c>
      <c r="M80" s="572">
        <f>IF(F80="",0,MONTH(A80))</f>
        <v>6</v>
      </c>
      <c r="P80" s="768" t="inlineStr">
        <is>
          <t>確認済</t>
        </is>
      </c>
      <c r="Q80" s="769" t="str">
        <f>IF($F80="","",IFERROR(VLOOKUP($C80&amp;"|"&amp;$D80,科目表!$A$5:$B$200,2,FALSE),"※未登録"))</f>
        <v>送金料</v>
      </c>
      <c r="R80" s="769">
        <f>IF($F80="","",$I80+$J80+$K80)</f>
        <v>12725</v>
      </c>
      <c r="S80" s="769" t="str">
        <f>IF(OR($F80="",$P80="支払なし",$H80=0,$Q80=""),"",$Q80&amp;"|S|"&amp;(COUNTIF(S$4:S79,$Q80&amp;"|S|*")+1))</f>
        <v/>
      </c>
      <c r="T80" s="769" t="str">
        <f>IF(OR($F80="",$P80="支払なし",$R80=0,$Q80=""),"",$Q80&amp;"|L|"&amp;(COUNTIF(T$4:T79,$Q80&amp;"|L|*")+1))</f>
        <v>送金料|L|2</v>
      </c>
      <c r="U80" s="769">
        <f>IF(OR($F80="",$A80=""),"",MOD(MONTH($A80)-4,12)+1)</f>
        <v>3</v>
      </c>
    </row>
    <row r="81" ht="16.5" customFormat="1" customHeight="1" s="43">
      <c r="A81" s="760" t="n">
        <v>46183</v>
      </c>
      <c r="B81" s="761" t="n"/>
      <c r="C81" s="762" t="inlineStr">
        <is>
          <t>事務費</t>
        </is>
      </c>
      <c r="D81" s="762" t="inlineStr">
        <is>
          <t>送金料</t>
        </is>
      </c>
      <c r="E81" s="775" t="inlineStr">
        <is>
          <t>振込手数料（広銀）５月分　短期分</t>
        </is>
      </c>
      <c r="F81" s="772" t="n">
        <v>135833</v>
      </c>
      <c r="G81" s="772" t="n">
        <v>2</v>
      </c>
      <c r="H81" s="765">
        <f>IF(G81=1,F81-I81-J81-K81,IF(G81=2,F81,0))</f>
        <v>135833</v>
      </c>
      <c r="I81" s="765">
        <f>ROUND(IF(G81=1,F81*10/23,IF(G81=3,F81-J81-K81,IF(G81=4,F81,IF(G81=5,F81*10/11,IF(G81=7,F81*10/11,0))))),0)</f>
        <v>0</v>
      </c>
      <c r="J81" s="765">
        <f>ROUND(IF(G81=1,F81/23,IF(G81=3,F81/12,IF(G81=5,F81-I81,IF(G81=8,F81,0)))),0)</f>
        <v>0</v>
      </c>
      <c r="K81" s="766">
        <f>ROUND(IF(G81=1,F81/23,IF(G81=3,F81/12,IF(G81=6,F81,IF(G81=7,F81-I81,0)))),0)</f>
        <v>0</v>
      </c>
      <c r="L81" s="767">
        <f>IF(G81=6,F81,0)</f>
        <v>0</v>
      </c>
      <c r="M81" s="572">
        <f>IF(F81="",0,MONTH(A81))</f>
        <v>6</v>
      </c>
      <c r="P81" s="768" t="inlineStr">
        <is>
          <t>確認済</t>
        </is>
      </c>
      <c r="Q81" s="769" t="str">
        <f>IF($F81="","",IFERROR(VLOOKUP($C81&amp;"|"&amp;$D81,科目表!$A$5:$B$200,2,FALSE),"※未登録"))</f>
        <v>送金料</v>
      </c>
      <c r="R81" s="769">
        <f>IF($F81="","",$I81+$J81+$K81)</f>
        <v>0</v>
      </c>
      <c r="S81" s="769" t="str">
        <f>IF(OR($F81="",$P81="支払なし",$H81=0,$Q81=""),"",$Q81&amp;"|S|"&amp;(COUNTIF(S$4:S80,$Q81&amp;"|S|*")+1))</f>
        <v>送金料|S|3</v>
      </c>
      <c r="T81" s="769" t="str">
        <f>IF(OR($F81="",$P81="支払なし",$R81=0,$Q81=""),"",$Q81&amp;"|L|"&amp;(COUNTIF(T$4:T80,$Q81&amp;"|L|*")+1))</f>
        <v/>
      </c>
      <c r="U81" s="769">
        <f>IF(OR($F81="",$A81=""),"",MOD(MONTH($A81)-4,12)+1)</f>
        <v>3</v>
      </c>
    </row>
    <row r="82" ht="16.5" customFormat="1" customHeight="1" s="418">
      <c r="A82" s="760" t="n">
        <v>46202</v>
      </c>
      <c r="B82" s="761" t="n"/>
      <c r="C82" s="762" t="inlineStr">
        <is>
          <t>役員報酬</t>
        </is>
      </c>
      <c r="D82" s="762" t="n"/>
      <c r="E82" s="762" t="inlineStr">
        <is>
          <t>組合会６／２９　学識経験監事　栗栖　一雄</t>
        </is>
      </c>
      <c r="F82" s="764" t="n">
        <v>11000</v>
      </c>
      <c r="G82" s="772" t="n">
        <v>1</v>
      </c>
      <c r="H82" s="765">
        <f>IF(G82=1,F82-I82-J82-K82,IF(G82=2,F82,0))</f>
        <v>5261</v>
      </c>
      <c r="I82" s="765">
        <f>ROUND(IF(G82=1,F82*10/23,IF(G82=3,F82-J82-K82,IF(G82=4,F82,IF(G82=5,F82*10/11,IF(G82=7,F82*10/11,0))))),0)</f>
        <v>4783</v>
      </c>
      <c r="J82" s="765">
        <f>ROUND(IF(G82=1,F82/23,IF(G82=3,F82/12,IF(G82=5,F82-I82,IF(G82=8,F82,0)))),0)</f>
        <v>478</v>
      </c>
      <c r="K82" s="766">
        <f>ROUND(IF(G82=1,F82/23,IF(G82=3,F82/12,IF(G82=6,F82,IF(G82=7,F82-I82,0)))),0)</f>
        <v>478</v>
      </c>
      <c r="L82" s="767">
        <f>IF(G82=6,F82,0)</f>
        <v>0</v>
      </c>
      <c r="M82" s="570">
        <f>IF(F82="",0,MONTH(A82))</f>
        <v>6</v>
      </c>
      <c r="P82" s="768" t="inlineStr">
        <is>
          <t>確認済</t>
        </is>
      </c>
      <c r="Q82" s="769" t="str">
        <f>IF($F82="","",IFERROR(VLOOKUP($C82&amp;"|"&amp;$D82,科目表!$A$5:$B$200,2,FALSE),"※未登録"))</f>
        <v>役員報酬</v>
      </c>
      <c r="R82" s="769">
        <f>IF($F82="","",$I82+$J82+$K82)</f>
        <v>5739</v>
      </c>
      <c r="S82" s="769" t="str">
        <f>IF(OR($F82="",$P82="支払なし",$H82=0,$Q82=""),"",$Q82&amp;"|S|"&amp;(COUNTIF(S$4:S81,$Q82&amp;"|S|*")+1))</f>
        <v>役員報酬|S|2</v>
      </c>
      <c r="T82" s="769" t="str">
        <f>IF(OR($F82="",$P82="支払なし",$R82=0,$Q82=""),"",$Q82&amp;"|L|"&amp;(COUNTIF(T$4:T81,$Q82&amp;"|L|*")+1))</f>
        <v>役員報酬|L|2</v>
      </c>
      <c r="U82" s="769">
        <f>IF(OR($F82="",$A82=""),"",MOD(MONTH($A82)-4,12)+1)</f>
        <v>3</v>
      </c>
    </row>
    <row r="83" ht="16.5" customFormat="1" customHeight="1" s="43">
      <c r="A83" s="760" t="n">
        <v>46202</v>
      </c>
      <c r="B83" s="761" t="n"/>
      <c r="C83" s="762" t="inlineStr">
        <is>
          <t>旅費</t>
        </is>
      </c>
      <c r="D83" s="762" t="n"/>
      <c r="E83" s="762" t="inlineStr">
        <is>
          <t>7/9全国理事研修会　香川県　山田理事</t>
        </is>
      </c>
      <c r="F83" s="764" t="n">
        <v>14320</v>
      </c>
      <c r="G83" s="764" t="n">
        <v>1</v>
      </c>
      <c r="H83" s="765">
        <f>IF(G83=1,F83-I83-J83-K83,IF(G83=2,F83,0))</f>
        <v>6848</v>
      </c>
      <c r="I83" s="765">
        <f>ROUND(IF(G83=1,F83*10/23,IF(G83=3,F83-J83-K83,IF(G83=4,F83,IF(G83=5,F83*10/11,IF(G83=7,F83*10/11,0))))),0)</f>
        <v>6226</v>
      </c>
      <c r="J83" s="765">
        <f>ROUND(IF(G83=1,F83/23,IF(G83=3,F83/12,IF(G83=5,F83-I83,IF(G83=8,F83,0)))),0)</f>
        <v>623</v>
      </c>
      <c r="K83" s="766">
        <f>ROUND(IF(G83=1,F83/23,IF(G83=3,F83/12,IF(G83=6,F83,IF(G83=7,F83-I83,0)))),0)</f>
        <v>623</v>
      </c>
      <c r="L83" s="767">
        <f>IF(G83=6,F83,0)</f>
        <v>0</v>
      </c>
      <c r="M83" s="572">
        <f>IF(F83="",0,MONTH(A83))</f>
        <v>6</v>
      </c>
      <c r="P83" s="768" t="inlineStr">
        <is>
          <t>確認済</t>
        </is>
      </c>
      <c r="Q83" s="769" t="str">
        <f>IF($F83="","",IFERROR(VLOOKUP($C83&amp;"|"&amp;$D83,科目表!$A$5:$B$200,2,FALSE),"※未登録"))</f>
        <v>旅費</v>
      </c>
      <c r="R83" s="769">
        <f>IF($F83="","",$I83+$J83+$K83)</f>
        <v>7472</v>
      </c>
      <c r="S83" s="769" t="str">
        <f>IF(OR($F83="",$P83="支払なし",$H83=0,$Q83=""),"",$Q83&amp;"|S|"&amp;(COUNTIF(S$4:S82,$Q83&amp;"|S|*")+1))</f>
        <v>旅費|S|5</v>
      </c>
      <c r="T83" s="769" t="str">
        <f>IF(OR($F83="",$P83="支払なし",$R83=0,$Q83=""),"",$Q83&amp;"|L|"&amp;(COUNTIF(T$4:T82,$Q83&amp;"|L|*")+1))</f>
        <v>旅費|L|3</v>
      </c>
      <c r="U83" s="769">
        <f>IF(OR($F83="",$A83=""),"",MOD(MONTH($A83)-4,12)+1)</f>
        <v>3</v>
      </c>
    </row>
    <row r="84" ht="16.5" customFormat="1" customHeight="1" s="43">
      <c r="A84" s="760" t="n">
        <v>46202</v>
      </c>
      <c r="B84" s="761" t="n"/>
      <c r="C84" s="762" t="inlineStr">
        <is>
          <t>旅費</t>
        </is>
      </c>
      <c r="D84" s="762" t="n"/>
      <c r="E84" s="762" t="inlineStr">
        <is>
          <t>7/9全国理事研修会　香川県　柴野理事</t>
        </is>
      </c>
      <c r="F84" s="764" t="n">
        <v>14320</v>
      </c>
      <c r="G84" s="764" t="n">
        <v>1</v>
      </c>
      <c r="H84" s="765">
        <f>IF(G84=1,F84-I84-J84-K84,IF(G84=2,F84,0))</f>
        <v>6848</v>
      </c>
      <c r="I84" s="765">
        <f>ROUND(IF(G84=1,F84*10/23,IF(G84=3,F84-J84-K84,IF(G84=4,F84,IF(G84=5,F84*10/11,IF(G84=7,F84*10/11,0))))),0)</f>
        <v>6226</v>
      </c>
      <c r="J84" s="765">
        <f>ROUND(IF(G84=1,F84/23,IF(G84=3,F84/12,IF(G84=5,F84-I84,IF(G84=8,F84,0)))),0)</f>
        <v>623</v>
      </c>
      <c r="K84" s="766">
        <f>ROUND(IF(G84=1,F84/23,IF(G84=3,F84/12,IF(G84=6,F84,IF(G84=7,F84-I84,0)))),0)</f>
        <v>623</v>
      </c>
      <c r="L84" s="767">
        <f>IF(G84=6,F84,0)</f>
        <v>0</v>
      </c>
      <c r="M84" s="572">
        <f>IF(F84="",0,MONTH(A84))</f>
        <v>6</v>
      </c>
      <c r="P84" s="768" t="inlineStr">
        <is>
          <t>確認済</t>
        </is>
      </c>
      <c r="Q84" s="769" t="str">
        <f>IF($F84="","",IFERROR(VLOOKUP($C84&amp;"|"&amp;$D84,科目表!$A$5:$B$200,2,FALSE),"※未登録"))</f>
        <v>旅費</v>
      </c>
      <c r="R84" s="769">
        <f>IF($F84="","",$I84+$J84+$K84)</f>
        <v>7472</v>
      </c>
      <c r="S84" s="769" t="str">
        <f>IF(OR($F84="",$P84="支払なし",$H84=0,$Q84=""),"",$Q84&amp;"|S|"&amp;(COUNTIF(S$4:S83,$Q84&amp;"|S|*")+1))</f>
        <v>旅費|S|6</v>
      </c>
      <c r="T84" s="769" t="str">
        <f>IF(OR($F84="",$P84="支払なし",$R84=0,$Q84=""),"",$Q84&amp;"|L|"&amp;(COUNTIF(T$4:T83,$Q84&amp;"|L|*")+1))</f>
        <v>旅費|L|4</v>
      </c>
      <c r="U84" s="769">
        <f>IF(OR($F84="",$A84=""),"",MOD(MONTH($A84)-4,12)+1)</f>
        <v>3</v>
      </c>
    </row>
    <row r="85" ht="16.5" customFormat="1" customHeight="1" s="43">
      <c r="A85" s="760" t="n">
        <v>46202</v>
      </c>
      <c r="B85" s="761" t="n"/>
      <c r="C85" s="762" t="inlineStr">
        <is>
          <t>旅費</t>
        </is>
      </c>
      <c r="D85" s="762" t="n"/>
      <c r="E85" s="762" t="inlineStr">
        <is>
          <t>7/9全国理事研修会　香川県　濵理事</t>
        </is>
      </c>
      <c r="F85" s="764" t="n">
        <v>14320</v>
      </c>
      <c r="G85" s="764" t="n">
        <v>1</v>
      </c>
      <c r="H85" s="765">
        <f>IF(G85=1,F85-I85-J85-K85,IF(G85=2,F85,0))</f>
        <v>6848</v>
      </c>
      <c r="I85" s="765">
        <f>ROUND(IF(G85=1,F85*10/23,IF(G85=3,F85-J85-K85,IF(G85=4,F85,IF(G85=5,F85*10/11,IF(G85=7,F85*10/11,0))))),0)</f>
        <v>6226</v>
      </c>
      <c r="J85" s="765">
        <f>ROUND(IF(G85=1,F85/23,IF(G85=3,F85/12,IF(G85=5,F85-I85,IF(G85=8,F85,0)))),0)</f>
        <v>623</v>
      </c>
      <c r="K85" s="766">
        <f>ROUND(IF(G85=1,F85/23,IF(G85=3,F85/12,IF(G85=6,F85,IF(G85=7,F85-I85,0)))),0)</f>
        <v>623</v>
      </c>
      <c r="L85" s="767">
        <f>IF(G85=6,F85,0)</f>
        <v>0</v>
      </c>
      <c r="M85" s="572">
        <f>IF(F85="",0,MONTH(A85))</f>
        <v>6</v>
      </c>
      <c r="P85" s="768" t="inlineStr">
        <is>
          <t>確認済</t>
        </is>
      </c>
      <c r="Q85" s="769" t="str">
        <f>IF($F85="","",IFERROR(VLOOKUP($C85&amp;"|"&amp;$D85,科目表!$A$5:$B$200,2,FALSE),"※未登録"))</f>
        <v>旅費</v>
      </c>
      <c r="R85" s="769">
        <f>IF($F85="","",$I85+$J85+$K85)</f>
        <v>7472</v>
      </c>
      <c r="S85" s="769" t="str">
        <f>IF(OR($F85="",$P85="支払なし",$H85=0,$Q85=""),"",$Q85&amp;"|S|"&amp;(COUNTIF(S$4:S84,$Q85&amp;"|S|*")+1))</f>
        <v>旅費|S|7</v>
      </c>
      <c r="T85" s="769" t="str">
        <f>IF(OR($F85="",$P85="支払なし",$R85=0,$Q85=""),"",$Q85&amp;"|L|"&amp;(COUNTIF(T$4:T84,$Q85&amp;"|L|*")+1))</f>
        <v>旅費|L|5</v>
      </c>
      <c r="U85" s="769">
        <f>IF(OR($F85="",$A85=""),"",MOD(MONTH($A85)-4,12)+1)</f>
        <v>3</v>
      </c>
    </row>
    <row r="86" ht="16.5" customFormat="1" customHeight="1" s="43">
      <c r="A86" s="760" t="n">
        <v>46220</v>
      </c>
      <c r="B86" s="761" t="n"/>
      <c r="C86" s="762" t="inlineStr">
        <is>
          <t>委託費</t>
        </is>
      </c>
      <c r="D86" s="762" t="n"/>
      <c r="E86" s="762" t="inlineStr">
        <is>
          <t>ねんきん定期便（４月分）送付業務</t>
        </is>
      </c>
      <c r="F86" s="772" t="n">
        <v>84057</v>
      </c>
      <c r="G86" s="772" t="n">
        <v>5</v>
      </c>
      <c r="H86" s="765">
        <f>IF(G86=1,F86-I86-J86-K86,IF(G86=2,F86,0))</f>
        <v>0</v>
      </c>
      <c r="I86" s="765">
        <f>ROUND(IF(G86=1,F86*10/23,IF(G86=3,F86-J86-K86,IF(G86=4,F86,IF(G86=5,F86*10/11,IF(G86=7,F86*10/11,0))))),0)</f>
        <v>76415</v>
      </c>
      <c r="J86" s="765">
        <f>ROUND(IF(G86=1,F86/23,IF(G86=3,F86/12,IF(G86=5,F86-I86,IF(G86=8,F86,0)))),0)</f>
        <v>7642</v>
      </c>
      <c r="K86" s="766">
        <f>ROUND(IF(G86=1,F86/23,IF(G86=3,F86/12,IF(G86=6,F86,IF(G86=7,F86-I86,0)))),0)</f>
        <v>0</v>
      </c>
      <c r="L86" s="767">
        <f>IF(G86=6,F86,0)</f>
        <v>0</v>
      </c>
      <c r="M86" s="572">
        <f>IF(F86="",0,MONTH(A86))</f>
        <v>7</v>
      </c>
      <c r="P86" s="768" t="inlineStr">
        <is>
          <t>確認済</t>
        </is>
      </c>
      <c r="Q86" s="769" t="str">
        <f>IF($F86="","",IFERROR(VLOOKUP($C86&amp;"|"&amp;$D86,科目表!$A$5:$B$200,2,FALSE),"※未登録"))</f>
        <v>委託費</v>
      </c>
      <c r="R86" s="769">
        <f>IF($F86="","",$I86+$J86+$K86)</f>
        <v>84057</v>
      </c>
      <c r="S86" s="769" t="str">
        <f>IF(OR($F86="",$P86="支払なし",$H86=0,$Q86=""),"",$Q86&amp;"|S|"&amp;(COUNTIF(S$4:S85,$Q86&amp;"|S|*")+1))</f>
        <v/>
      </c>
      <c r="T86" s="769" t="str">
        <f>IF(OR($F86="",$P86="支払なし",$R86=0,$Q86=""),"",$Q86&amp;"|L|"&amp;(COUNTIF(T$4:T85,$Q86&amp;"|L|*")+1))</f>
        <v>委託費|L|1</v>
      </c>
      <c r="U86" s="769">
        <f>IF(OR($F86="",$A86=""),"",MOD(MONTH($A86)-4,12)+1)</f>
        <v>4</v>
      </c>
    </row>
    <row r="87" ht="16.5" customFormat="1" customHeight="1" s="43">
      <c r="A87" s="760" t="n">
        <v>45831</v>
      </c>
      <c r="B87" s="761" t="n"/>
      <c r="C87" s="762" t="inlineStr">
        <is>
          <t>事務費</t>
        </is>
      </c>
      <c r="D87" s="762" t="inlineStr">
        <is>
          <t>通信運搬費</t>
        </is>
      </c>
      <c r="E87" s="773" t="inlineStr">
        <is>
          <t>切手等</t>
        </is>
      </c>
      <c r="F87" s="764" t="n">
        <v>172500</v>
      </c>
      <c r="G87" s="764" t="n">
        <v>3</v>
      </c>
      <c r="H87" s="765">
        <f>IF(G87=1,F87-I87-J87-K87,IF(G87=2,F87,0))</f>
        <v>0</v>
      </c>
      <c r="I87" s="765">
        <f>ROUND(IF(G87=1,F87*10/23,IF(G87=3,F87-J87-K87,IF(G87=4,F87,IF(G87=5,F87*10/11,IF(G87=7,F87*10/11,0))))),0)</f>
        <v>143750</v>
      </c>
      <c r="J87" s="765">
        <f>ROUND(IF(G87=1,F87/23,IF(G87=3,F87/12,IF(G87=5,F87-I87,IF(G87=8,F87,0)))),0)</f>
        <v>14375</v>
      </c>
      <c r="K87" s="766">
        <f>ROUND(IF(G87=1,F87/23,IF(G87=3,F87/12,IF(G87=6,F87,IF(G87=7,F87-I87,0)))),0)</f>
        <v>14375</v>
      </c>
      <c r="L87" s="767">
        <f>IF(G87=6,F87,0)</f>
        <v>0</v>
      </c>
      <c r="M87" s="572">
        <f>IF(F87="",0,MONTH(A87))</f>
        <v>6</v>
      </c>
      <c r="P87" s="768" t="inlineStr">
        <is>
          <t>昨年実績</t>
        </is>
      </c>
      <c r="Q87" s="769" t="str">
        <f>IF($F87="","",IFERROR(VLOOKUP($C87&amp;"|"&amp;$D87,科目表!$A$5:$B$200,2,FALSE),"※未登録"))</f>
        <v>通信運搬費</v>
      </c>
      <c r="R87" s="769">
        <f>IF($F87="","",$I87+$J87+$K87)</f>
        <v>172500</v>
      </c>
      <c r="S87" s="769" t="str">
        <f>IF(OR($F87="",$P87="支払なし",$H87=0,$Q87=""),"",$Q87&amp;"|S|"&amp;(COUNTIF(S$4:S86,$Q87&amp;"|S|*")+1))</f>
        <v/>
      </c>
      <c r="T87" s="769" t="str">
        <f>IF(OR($F87="",$P87="支払なし",$R87=0,$Q87=""),"",$Q87&amp;"|L|"&amp;(COUNTIF(T$4:T86,$Q87&amp;"|L|*")+1))</f>
        <v>通信運搬費|L|2</v>
      </c>
      <c r="U87" s="769">
        <f>IF(OR($F87="",$A87=""),"",MOD(MONTH($A87)-4,12)+1)</f>
        <v>3</v>
      </c>
    </row>
    <row r="88" ht="16.5" customFormat="1" customHeight="1" s="422">
      <c r="A88" s="760" t="n">
        <v>43984</v>
      </c>
      <c r="B88" s="761" t="n"/>
      <c r="C88" s="762" t="inlineStr">
        <is>
          <t>負担金</t>
        </is>
      </c>
      <c r="D88" s="762" t="inlineStr">
        <is>
          <t>負担金</t>
        </is>
      </c>
      <c r="E88" s="762" t="inlineStr">
        <is>
          <t>収入印紙</t>
        </is>
      </c>
      <c r="F88" s="772" t="n">
        <v>2000</v>
      </c>
      <c r="G88" s="772" t="n">
        <v>2</v>
      </c>
      <c r="H88" s="765">
        <f>IF(G88=1,F88-I88-J88-K88,IF(G88=2,F88,0))</f>
        <v>2000</v>
      </c>
      <c r="I88" s="765">
        <f>ROUND(IF(G88=1,F88*10/23,IF(G88=3,F88-J88-K88,IF(G88=4,F88,IF(G88=5,F88*10/11,IF(G88=7,F88*10/11,0))))),0)</f>
        <v>0</v>
      </c>
      <c r="J88" s="765">
        <f>ROUND(IF(G88=1,F88/23,IF(G88=3,F88/12,IF(G88=5,F88-I88,IF(G88=8,F88,0)))),0)</f>
        <v>0</v>
      </c>
      <c r="K88" s="766">
        <f>ROUND(IF(G88=1,F88/23,IF(G88=3,F88/12,IF(G88=6,F88,IF(G88=7,F88-I88,0)))),0)</f>
        <v>0</v>
      </c>
      <c r="L88" s="767">
        <f>IF(G88=6,F88,0)</f>
        <v>0</v>
      </c>
      <c r="M88" s="421">
        <f>IF(F88="",0,MONTH(A88))</f>
        <v>6</v>
      </c>
      <c r="P88" s="768" t="inlineStr">
        <is>
          <t>昨年実績</t>
        </is>
      </c>
      <c r="Q88" s="769" t="str">
        <f>IF($F88="","",IFERROR(VLOOKUP($C88&amp;"|"&amp;$D88,科目表!$A$5:$B$200,2,FALSE),"※未登録"))</f>
        <v>共済負担金等</v>
      </c>
      <c r="R88" s="769">
        <f>IF($F88="","",$I88+$J88+$K88)</f>
        <v>0</v>
      </c>
      <c r="S88" s="769" t="str">
        <f>IF(OR($F88="",$P88="支払なし",$H88=0,$Q88=""),"",$Q88&amp;"|S|"&amp;(COUNTIF(S$4:S87,$Q88&amp;"|S|*")+1))</f>
        <v>共済負担金等|S|3</v>
      </c>
      <c r="T88" s="769" t="str">
        <f>IF(OR($F88="",$P88="支払なし",$R88=0,$Q88=""),"",$Q88&amp;"|L|"&amp;(COUNTIF(T$4:T87,$Q88&amp;"|L|*")+1))</f>
        <v/>
      </c>
      <c r="U88" s="769">
        <f>IF(OR($F88="",$A88=""),"",MOD(MONTH($A88)-4,12)+1)</f>
        <v>3</v>
      </c>
    </row>
    <row r="89" ht="20.25" customFormat="1" customHeight="1" s="43">
      <c r="A89" s="760" t="n">
        <v>46202</v>
      </c>
      <c r="B89" s="761" t="n"/>
      <c r="C89" s="762" t="inlineStr">
        <is>
          <t>賃借料</t>
        </is>
      </c>
      <c r="D89" s="762" t="n"/>
      <c r="E89" s="762" t="inlineStr">
        <is>
          <t>パソコン（業務経理用）５月分</t>
        </is>
      </c>
      <c r="F89" s="772" t="n">
        <v>5060</v>
      </c>
      <c r="G89" s="772" t="n">
        <v>2</v>
      </c>
      <c r="H89" s="765">
        <f>IF(G89=1,F89-I89-J89-K89,IF(G89=2,F89,0))</f>
        <v>5060</v>
      </c>
      <c r="I89" s="765">
        <f>ROUND(IF(G89=1,F89*10/23,IF(G89=3,F89-J89-K89,IF(G89=4,F89,IF(G89=5,F89*10/11,IF(G89=7,F89*10/11,0))))),0)</f>
        <v>0</v>
      </c>
      <c r="J89" s="765">
        <f>ROUND(IF(G89=1,F89/23,IF(G89=3,F89/12,IF(G89=5,F89-I89,IF(G89=8,F89,0)))),0)</f>
        <v>0</v>
      </c>
      <c r="K89" s="766">
        <f>ROUND(IF(G89=1,F89/23,IF(G89=3,F89/12,IF(G89=6,F89,IF(G89=7,F89-I89,0)))),0)</f>
        <v>0</v>
      </c>
      <c r="L89" s="767">
        <f>IF(G89=6,F89,0)</f>
        <v>0</v>
      </c>
      <c r="M89" s="572">
        <f>IF(F89="",0,MONTH(A89))</f>
        <v>6</v>
      </c>
      <c r="P89" s="768" t="inlineStr">
        <is>
          <t>確認済</t>
        </is>
      </c>
      <c r="Q89" s="769" t="str">
        <f>IF($F89="","",IFERROR(VLOOKUP($C89&amp;"|"&amp;$D89,科目表!$A$5:$B$200,2,FALSE),"※未登録"))</f>
        <v>賃借料</v>
      </c>
      <c r="R89" s="769">
        <f>IF($F89="","",$I89+$J89+$K89)</f>
        <v>0</v>
      </c>
      <c r="S89" s="769" t="str">
        <f>IF(OR($F89="",$P89="支払なし",$H89=0,$Q89=""),"",$Q89&amp;"|S|"&amp;(COUNTIF(S$4:S88,$Q89&amp;"|S|*")+1))</f>
        <v>賃借料|S|4</v>
      </c>
      <c r="T89" s="769" t="str">
        <f>IF(OR($F89="",$P89="支払なし",$R89=0,$Q89=""),"",$Q89&amp;"|L|"&amp;(COUNTIF(T$4:T88,$Q89&amp;"|L|*")+1))</f>
        <v/>
      </c>
      <c r="U89" s="769">
        <f>IF(OR($F89="",$A89=""),"",MOD(MONTH($A89)-4,12)+1)</f>
        <v>3</v>
      </c>
    </row>
    <row r="90" ht="20.25" customFormat="1" customHeight="1" s="422">
      <c r="A90" s="760" t="n">
        <v>44392</v>
      </c>
      <c r="B90" s="761" t="n"/>
      <c r="C90" s="762" t="inlineStr">
        <is>
          <t>賃借料</t>
        </is>
      </c>
      <c r="D90" s="762" t="n"/>
      <c r="E90" s="781" t="inlineStr">
        <is>
          <t>ﾊﾟｿｺﾝｳｨﾙｽ対策ｿﾌﾄ(業務用)ｻﾝﾈｯﾄ（5月分）</t>
        </is>
      </c>
      <c r="F90" s="772" t="n">
        <v>2090</v>
      </c>
      <c r="G90" s="772" t="n">
        <v>2</v>
      </c>
      <c r="H90" s="765">
        <f>IF(G90=1,F90-I90-J90-K90,IF(G90=2,F90,0))</f>
        <v>2090</v>
      </c>
      <c r="I90" s="765">
        <f>ROUND(IF(G90=1,F90*10/23,IF(G90=3,F90-J90-K90,IF(G90=4,F90,IF(G90=5,F90*10/11,IF(G90=7,F90*10/11,0))))),0)</f>
        <v>0</v>
      </c>
      <c r="J90" s="765">
        <f>ROUND(IF(G90=1,F90/23,IF(G90=3,F90/12,IF(G90=5,F90-I90,IF(G90=8,F90,0)))),0)</f>
        <v>0</v>
      </c>
      <c r="K90" s="766">
        <f>ROUND(IF(G90=1,F90/23,IF(G90=3,F90/12,IF(G90=6,F90,IF(G90=7,F90-I90,0)))),0)</f>
        <v>0</v>
      </c>
      <c r="L90" s="767">
        <f>IF(G90=6,F90,0)</f>
        <v>0</v>
      </c>
      <c r="M90" s="421">
        <f>IF(F90="",0,MONTH(A90))</f>
        <v>7</v>
      </c>
      <c r="P90" s="768" t="inlineStr">
        <is>
          <t>昨年実績</t>
        </is>
      </c>
      <c r="Q90" s="769" t="str">
        <f>IF($F90="","",IFERROR(VLOOKUP($C90&amp;"|"&amp;$D90,科目表!$A$5:$B$200,2,FALSE),"※未登録"))</f>
        <v>賃借料</v>
      </c>
      <c r="R90" s="769">
        <f>IF($F90="","",$I90+$J90+$K90)</f>
        <v>0</v>
      </c>
      <c r="S90" s="769" t="str">
        <f>IF(OR($F90="",$P90="支払なし",$H90=0,$Q90=""),"",$Q90&amp;"|S|"&amp;(COUNTIF(S$4:S89,$Q90&amp;"|S|*")+1))</f>
        <v>賃借料|S|5</v>
      </c>
      <c r="T90" s="769" t="str">
        <f>IF(OR($F90="",$P90="支払なし",$R90=0,$Q90=""),"",$Q90&amp;"|L|"&amp;(COUNTIF(T$4:T89,$Q90&amp;"|L|*")+1))</f>
        <v/>
      </c>
      <c r="U90" s="769">
        <f>IF(OR($F90="",$A90=""),"",MOD(MONTH($A90)-4,12)+1)</f>
        <v>4</v>
      </c>
    </row>
    <row r="91" ht="16.5" customFormat="1" customHeight="1" s="43">
      <c r="A91" s="760" t="n">
        <v>46188</v>
      </c>
      <c r="B91" s="761" t="n"/>
      <c r="C91" s="762" t="inlineStr">
        <is>
          <t>賃金</t>
        </is>
      </c>
      <c r="D91" s="762" t="n"/>
      <c r="E91" s="762" t="inlineStr">
        <is>
          <t>臨時職員賃金５月分　天畠吏梨外１名分（短期１００％）</t>
        </is>
      </c>
      <c r="F91" s="771" t="n">
        <v>365040</v>
      </c>
      <c r="G91" s="772" t="n">
        <v>2</v>
      </c>
      <c r="H91" s="765">
        <f>IF(G91=1,F91-I91-J91-K91,IF(G91=2,F91,0))</f>
        <v>365040</v>
      </c>
      <c r="I91" s="765">
        <f>ROUND(IF(G91=1,F91*10/23,IF(G91=3,F91-J91-K91,IF(G91=4,F91,IF(G91=5,F91*10/11,IF(G91=7,F91*10/11,0))))),0)</f>
        <v>0</v>
      </c>
      <c r="J91" s="765">
        <f>ROUND(IF(G91=1,F91/23,IF(G91=3,F91/12,IF(G91=5,F91-I91,IF(G91=8,F91,0)))),0)</f>
        <v>0</v>
      </c>
      <c r="K91" s="766">
        <f>ROUND(IF(G91=1,F91/23,IF(G91=3,F91/12,IF(G91=6,F91,IF(G91=7,F91-I91,0)))),0)</f>
        <v>0</v>
      </c>
      <c r="L91" s="767">
        <f>IF(G91=6,F91,0)</f>
        <v>0</v>
      </c>
      <c r="M91" s="572">
        <f>IF(F91="",0,MONTH(A91))</f>
        <v>6</v>
      </c>
      <c r="P91" s="768" t="inlineStr">
        <is>
          <t>確認済</t>
        </is>
      </c>
      <c r="Q91" s="769" t="str">
        <f>IF($F91="","",IFERROR(VLOOKUP($C91&amp;"|"&amp;$D91,科目表!$A$5:$B$200,2,FALSE),"※未登録"))</f>
        <v>賃金</v>
      </c>
      <c r="R91" s="769">
        <f>IF($F91="","",$I91+$J91+$K91)</f>
        <v>0</v>
      </c>
      <c r="S91" s="769" t="str">
        <f>IF(OR($F91="",$P91="支払なし",$H91=0,$Q91=""),"",$Q91&amp;"|S|"&amp;(COUNTIF(S$4:S90,$Q91&amp;"|S|*")+1))</f>
        <v>賃金|S|2</v>
      </c>
      <c r="T91" s="769" t="str">
        <f>IF(OR($F91="",$P91="支払なし",$R91=0,$Q91=""),"",$Q91&amp;"|L|"&amp;(COUNTIF(T$4:T90,$Q91&amp;"|L|*")+1))</f>
        <v/>
      </c>
      <c r="U91" s="769">
        <f>IF(OR($F91="",$A91=""),"",MOD(MONTH($A91)-4,12)+1)</f>
        <v>3</v>
      </c>
    </row>
    <row r="92" ht="16.5" customFormat="1" customHeight="1" s="43">
      <c r="A92" s="760" t="n">
        <v>46210</v>
      </c>
      <c r="B92" s="761" t="n"/>
      <c r="C92" s="762" t="inlineStr">
        <is>
          <t>負担金</t>
        </is>
      </c>
      <c r="D92" s="762" t="inlineStr">
        <is>
          <t>労災・雇用保険料</t>
        </is>
      </c>
      <c r="E92" s="762" t="inlineStr">
        <is>
          <t>労災保険料　雇用保険料　一般拠出金（長期分）</t>
        </is>
      </c>
      <c r="F92" s="771" t="n">
        <v>71152</v>
      </c>
      <c r="G92" s="772" t="n">
        <v>3</v>
      </c>
      <c r="H92" s="765">
        <f>IF(G92=1,F92-I92-J92-K92,IF(G92=2,F92,0))</f>
        <v>0</v>
      </c>
      <c r="I92" s="765">
        <f>ROUND(IF(G92=1,F92*10/23,IF(G92=3,F92-J92-K92,IF(G92=4,F92,IF(G92=5,F92*10/11,IF(G92=7,F92*10/11,0))))),0)</f>
        <v>59294</v>
      </c>
      <c r="J92" s="765">
        <f>ROUND(IF(G92=1,F92/23,IF(G92=3,F92/12,IF(G92=5,F92-I92,IF(G92=8,F92,0)))),0)</f>
        <v>5929</v>
      </c>
      <c r="K92" s="766">
        <f>ROUND(IF(G92=1,F92/23,IF(G92=3,F92/12,IF(G92=6,F92,IF(G92=7,F92-I92,0)))),0)</f>
        <v>5929</v>
      </c>
      <c r="L92" s="767">
        <f>IF(G92=6,F92,0)</f>
        <v>0</v>
      </c>
      <c r="M92" s="572">
        <f>IF(F92="",0,MONTH(A92))</f>
        <v>7</v>
      </c>
      <c r="P92" s="768" t="inlineStr">
        <is>
          <t>確認済</t>
        </is>
      </c>
      <c r="Q92" s="769" t="str">
        <f>IF($F92="","",IFERROR(VLOOKUP($C92&amp;"|"&amp;$D92,科目表!$A$5:$B$200,2,FALSE),"※未登録"))</f>
        <v>労災・雇用保険料</v>
      </c>
      <c r="R92" s="769">
        <f>IF($F92="","",$I92+$J92+$K92)</f>
        <v>71152</v>
      </c>
      <c r="S92" s="769" t="str">
        <f>IF(OR($F92="",$P92="支払なし",$H92=0,$Q92=""),"",$Q92&amp;"|S|"&amp;(COUNTIF(S$4:S91,$Q92&amp;"|S|*")+1))</f>
        <v/>
      </c>
      <c r="T92" s="769" t="str">
        <f>IF(OR($F92="",$P92="支払なし",$R92=0,$Q92=""),"",$Q92&amp;"|L|"&amp;(COUNTIF(T$4:T91,$Q92&amp;"|L|*")+1))</f>
        <v>労災・雇用保険料|L|1</v>
      </c>
      <c r="U92" s="769">
        <f>IF(OR($F92="",$A92=""),"",MOD(MONTH($A92)-4,12)+1)</f>
        <v>4</v>
      </c>
    </row>
    <row r="93" ht="16.5" customFormat="1" customHeight="1" s="43">
      <c r="A93" s="760" t="n">
        <v>46210</v>
      </c>
      <c r="B93" s="761" t="n"/>
      <c r="C93" s="762" t="inlineStr">
        <is>
          <t>負担金</t>
        </is>
      </c>
      <c r="D93" s="762" t="inlineStr">
        <is>
          <t>労災・雇用保険料</t>
        </is>
      </c>
      <c r="E93" s="762" t="inlineStr">
        <is>
          <t>労災保険料　雇用保険料　一般拠出金（短期分）</t>
        </is>
      </c>
      <c r="F93" s="774" t="n">
        <v>108215</v>
      </c>
      <c r="G93" s="772" t="n">
        <v>2</v>
      </c>
      <c r="H93" s="765">
        <f>IF(G93=1,F93-I93-J93-K93,IF(G93=2,F93,0))</f>
        <v>108215</v>
      </c>
      <c r="I93" s="765">
        <f>ROUND(IF(G93=1,F93*10/23,IF(G93=3,F93-J93-K93,IF(G93=4,F93,IF(G93=5,F93*10/11,IF(G93=7,F93*10/11,0))))),0)</f>
        <v>0</v>
      </c>
      <c r="J93" s="765">
        <f>ROUND(IF(G93=1,F93/23,IF(G93=3,F93/12,IF(G93=5,F93-I93,IF(G93=8,F93,0)))),0)</f>
        <v>0</v>
      </c>
      <c r="K93" s="766">
        <f>ROUND(IF(G93=1,F93/23,IF(G93=3,F93/12,IF(G93=6,F93,IF(G93=7,F93-I93,0)))),0)</f>
        <v>0</v>
      </c>
      <c r="L93" s="767">
        <f>IF(G93=6,F93,0)</f>
        <v>0</v>
      </c>
      <c r="M93" s="572">
        <f>IF(F93="",0,MONTH(A93))</f>
        <v>7</v>
      </c>
      <c r="P93" s="768" t="inlineStr">
        <is>
          <t>確認済</t>
        </is>
      </c>
      <c r="Q93" s="769" t="str">
        <f>IF($F93="","",IFERROR(VLOOKUP($C93&amp;"|"&amp;$D93,科目表!$A$5:$B$200,2,FALSE),"※未登録"))</f>
        <v>労災・雇用保険料</v>
      </c>
      <c r="R93" s="769">
        <f>IF($F93="","",$I93+$J93+$K93)</f>
        <v>0</v>
      </c>
      <c r="S93" s="769" t="str">
        <f>IF(OR($F93="",$P93="支払なし",$H93=0,$Q93=""),"",$Q93&amp;"|S|"&amp;(COUNTIF(S$4:S92,$Q93&amp;"|S|*")+1))</f>
        <v>労災・雇用保険料|S|1</v>
      </c>
      <c r="T93" s="769" t="str">
        <f>IF(OR($F93="",$P93="支払なし",$R93=0,$Q93=""),"",$Q93&amp;"|L|"&amp;(COUNTIF(T$4:T92,$Q93&amp;"|L|*")+1))</f>
        <v/>
      </c>
      <c r="U93" s="769">
        <f>IF(OR($F93="",$A93=""),"",MOD(MONTH($A93)-4,12)+1)</f>
        <v>4</v>
      </c>
    </row>
    <row r="94" ht="16.5" customFormat="1" customHeight="1" s="43">
      <c r="A94" s="760" t="n">
        <v>46203</v>
      </c>
      <c r="B94" s="761" t="n"/>
      <c r="C94" s="762" t="inlineStr">
        <is>
          <t>事務費</t>
        </is>
      </c>
      <c r="D94" s="762" t="inlineStr">
        <is>
          <t>事務用消耗品費</t>
        </is>
      </c>
      <c r="E94" s="770" t="inlineStr">
        <is>
          <t>鋳造ゴム印　3号以下　51字　他5点</t>
        </is>
      </c>
      <c r="F94" s="764" t="n">
        <v>24508</v>
      </c>
      <c r="G94" s="764" t="n">
        <v>2</v>
      </c>
      <c r="H94" s="765">
        <f>IF(G94=1,F94-I94-J94-K94,IF(G94=2,F94,0))</f>
        <v>24508</v>
      </c>
      <c r="I94" s="765">
        <f>ROUND(IF(G94=1,F94*10/23,IF(G94=3,F94-J94-K94,IF(G94=4,F94,IF(G94=5,F94*10/11,IF(G94=7,F94*10/11,0))))),0)</f>
        <v>0</v>
      </c>
      <c r="J94" s="765">
        <f>ROUND(IF(G94=1,F94/23,IF(G94=3,F94/12,IF(G94=5,F94-I94,IF(G94=8,F94,0)))),0)</f>
        <v>0</v>
      </c>
      <c r="K94" s="766">
        <f>ROUND(IF(G94=1,F94/23,IF(G94=3,F94/12,IF(G94=6,F94,IF(G94=7,F94-I94,0)))),0)</f>
        <v>0</v>
      </c>
      <c r="L94" s="767">
        <f>IF(G94=6,F94,0)</f>
        <v>0</v>
      </c>
      <c r="M94" s="572">
        <f>IF(F94="",0,MONTH(A94))</f>
        <v>6</v>
      </c>
      <c r="P94" s="768" t="inlineStr">
        <is>
          <t>確認済</t>
        </is>
      </c>
      <c r="Q94" s="769" t="str">
        <f>IF($F94="","",IFERROR(VLOOKUP($C94&amp;"|"&amp;$D94,科目表!$A$5:$B$200,2,FALSE),"※未登録"))</f>
        <v>事務用消耗品費</v>
      </c>
      <c r="R94" s="769">
        <f>IF($F94="","",$I94+$J94+$K94)</f>
        <v>0</v>
      </c>
      <c r="S94" s="769" t="str">
        <f>IF(OR($F94="",$P94="支払なし",$H94=0,$Q94=""),"",$Q94&amp;"|S|"&amp;(COUNTIF(S$4:S93,$Q94&amp;"|S|*")+1))</f>
        <v>事務用消耗品費|S|8</v>
      </c>
      <c r="T94" s="769" t="str">
        <f>IF(OR($F94="",$P94="支払なし",$R94=0,$Q94=""),"",$Q94&amp;"|L|"&amp;(COUNTIF(T$4:T93,$Q94&amp;"|L|*")+1))</f>
        <v/>
      </c>
      <c r="U94" s="769">
        <f>IF(OR($F94="",$A94=""),"",MOD(MONTH($A94)-4,12)+1)</f>
        <v>3</v>
      </c>
    </row>
    <row r="95" ht="16.5" customFormat="1" customHeight="1" s="43">
      <c r="A95" s="760" t="n">
        <v>45835</v>
      </c>
      <c r="B95" s="761" t="n"/>
      <c r="C95" s="762" t="inlineStr">
        <is>
          <t>事務費</t>
        </is>
      </c>
      <c r="D95" s="762" t="inlineStr">
        <is>
          <t>事務用消耗品費</t>
        </is>
      </c>
      <c r="E95" s="770" t="inlineStr">
        <is>
          <t>色上質紙　厚口／５００枚／Ａ４／浅黄　１包　外９点</t>
        </is>
      </c>
      <c r="F95" s="764" t="n">
        <v>16374</v>
      </c>
      <c r="G95" s="764" t="n">
        <v>3</v>
      </c>
      <c r="H95" s="765">
        <f>IF(G95=1,F95-I95-J95-K95,IF(G95=2,F95,0))</f>
        <v>0</v>
      </c>
      <c r="I95" s="765">
        <f>ROUND(IF(G95=1,F95*10/23,IF(G95=3,F95-J95-K95,IF(G95=4,F95,IF(G95=5,F95*10/11,IF(G95=7,F95*10/11,0))))),0)</f>
        <v>13644</v>
      </c>
      <c r="J95" s="765">
        <f>ROUND(IF(G95=1,F95/23,IF(G95=3,F95/12,IF(G95=5,F95-I95,IF(G95=8,F95,0)))),0)</f>
        <v>1365</v>
      </c>
      <c r="K95" s="766">
        <f>ROUND(IF(G95=1,F95/23,IF(G95=3,F95/12,IF(G95=6,F95,IF(G95=7,F95-I95,0)))),0)</f>
        <v>1365</v>
      </c>
      <c r="L95" s="767">
        <f>IF(G95=6,F95,0)</f>
        <v>0</v>
      </c>
      <c r="M95" s="572">
        <f>IF(F95="",0,MONTH(A95))</f>
        <v>6</v>
      </c>
      <c r="P95" s="768" t="inlineStr">
        <is>
          <t>昨年実績</t>
        </is>
      </c>
      <c r="Q95" s="769" t="str">
        <f>IF($F95="","",IFERROR(VLOOKUP($C95&amp;"|"&amp;$D95,科目表!$A$5:$B$200,2,FALSE),"※未登録"))</f>
        <v>事務用消耗品費</v>
      </c>
      <c r="R95" s="769">
        <f>IF($F95="","",$I95+$J95+$K95)</f>
        <v>16374</v>
      </c>
      <c r="S95" s="769" t="str">
        <f>IF(OR($F95="",$P95="支払なし",$H95=0,$Q95=""),"",$Q95&amp;"|S|"&amp;(COUNTIF(S$4:S94,$Q95&amp;"|S|*")+1))</f>
        <v/>
      </c>
      <c r="T95" s="769" t="str">
        <f>IF(OR($F95="",$P95="支払なし",$R95=0,$Q95=""),"",$Q95&amp;"|L|"&amp;(COUNTIF(T$4:T94,$Q95&amp;"|L|*")+1))</f>
        <v>事務用消耗品費|L|5</v>
      </c>
      <c r="U95" s="769">
        <f>IF(OR($F95="",$A95=""),"",MOD(MONTH($A95)-4,12)+1)</f>
        <v>3</v>
      </c>
    </row>
    <row r="96" ht="16.5" customFormat="1" customHeight="1" s="43">
      <c r="A96" s="760" t="n">
        <v>46171</v>
      </c>
      <c r="B96" s="761" t="n"/>
      <c r="C96" s="762" t="inlineStr">
        <is>
          <t>事務費</t>
        </is>
      </c>
      <c r="D96" s="762" t="inlineStr">
        <is>
          <t>通信運搬費</t>
        </is>
      </c>
      <c r="E96" s="780" t="inlineStr">
        <is>
          <t>料金後納利用料（4月分）</t>
        </is>
      </c>
      <c r="F96" s="772" t="n">
        <v>147246</v>
      </c>
      <c r="G96" s="772" t="n">
        <v>3</v>
      </c>
      <c r="H96" s="765">
        <f>IF(G96=1,F96-I96-J96-K96,IF(G96=2,F96,0))</f>
        <v>0</v>
      </c>
      <c r="I96" s="765">
        <f>ROUND(IF(G96=1,F96*10/23,IF(G96=3,F96-J96-K96,IF(G96=4,F96,IF(G96=5,F96*10/11,IF(G96=7,F96*10/11,0))))),0)</f>
        <v>122704</v>
      </c>
      <c r="J96" s="765">
        <f>ROUND(IF(G96=1,F96/23,IF(G96=3,F96/12,IF(G96=5,F96-I96,IF(G96=8,F96,0)))),0)</f>
        <v>12271</v>
      </c>
      <c r="K96" s="766">
        <f>ROUND(IF(G96=1,F96/23,IF(G96=3,F96/12,IF(G96=6,F96,IF(G96=7,F96-I96,0)))),0)</f>
        <v>12271</v>
      </c>
      <c r="L96" s="767">
        <f>IF(G96=6,F96,0)</f>
        <v>0</v>
      </c>
      <c r="M96" s="572">
        <f>IF(F96="",0,MONTH(A96))</f>
        <v>5</v>
      </c>
      <c r="P96" s="768" t="inlineStr">
        <is>
          <t>確認済</t>
        </is>
      </c>
      <c r="Q96" s="769" t="str">
        <f>IF($F96="","",IFERROR(VLOOKUP($C96&amp;"|"&amp;$D96,科目表!$A$5:$B$200,2,FALSE),"※未登録"))</f>
        <v>通信運搬費</v>
      </c>
      <c r="R96" s="769">
        <f>IF($F96="","",$I96+$J96+$K96)</f>
        <v>147246</v>
      </c>
      <c r="S96" s="769" t="str">
        <f>IF(OR($F96="",$P96="支払なし",$H96=0,$Q96=""),"",$Q96&amp;"|S|"&amp;(COUNTIF(S$4:S95,$Q96&amp;"|S|*")+1))</f>
        <v/>
      </c>
      <c r="T96" s="769" t="str">
        <f>IF(OR($F96="",$P96="支払なし",$R96=0,$Q96=""),"",$Q96&amp;"|L|"&amp;(COUNTIF(T$4:T95,$Q96&amp;"|L|*")+1))</f>
        <v>通信運搬費|L|3</v>
      </c>
      <c r="U96" s="769">
        <f>IF(OR($F96="",$A96=""),"",MOD(MONTH($A96)-4,12)+1)</f>
        <v>2</v>
      </c>
    </row>
    <row r="97" ht="16.5" customFormat="1" customHeight="1" s="43">
      <c r="A97" s="760" t="n">
        <v>46171</v>
      </c>
      <c r="B97" s="761" t="n"/>
      <c r="C97" s="762" t="inlineStr">
        <is>
          <t>事務費</t>
        </is>
      </c>
      <c r="D97" s="762" t="inlineStr">
        <is>
          <t>通信運搬費</t>
        </is>
      </c>
      <c r="E97" s="780" t="inlineStr">
        <is>
          <t>料金後納利用料（4月分）</t>
        </is>
      </c>
      <c r="F97" s="772" t="n">
        <v>196030</v>
      </c>
      <c r="G97" s="772" t="n">
        <v>2</v>
      </c>
      <c r="H97" s="765">
        <f>IF(G97=1,F97-I97-J97-K97,IF(G97=2,F97,0))</f>
        <v>196030</v>
      </c>
      <c r="I97" s="765">
        <f>ROUND(IF(G97=1,F97*10/23,IF(G97=3,F97-J97-K97,IF(G97=4,F97,IF(G97=5,F97*10/11,IF(G97=7,F97*10/11,0))))),0)</f>
        <v>0</v>
      </c>
      <c r="J97" s="765">
        <f>ROUND(IF(G97=1,F97/23,IF(G97=3,F97/12,IF(G97=5,F97-I97,IF(G97=8,F97,0)))),0)</f>
        <v>0</v>
      </c>
      <c r="K97" s="766">
        <f>ROUND(IF(G97=1,F97/23,IF(G97=3,F97/12,IF(G97=6,F97,IF(G97=7,F97-I97,0)))),0)</f>
        <v>0</v>
      </c>
      <c r="L97" s="767">
        <f>IF(G97=6,F97,0)</f>
        <v>0</v>
      </c>
      <c r="M97" s="572">
        <f>IF(F97="",0,MONTH(A97))</f>
        <v>5</v>
      </c>
      <c r="P97" s="768" t="inlineStr">
        <is>
          <t>確認済</t>
        </is>
      </c>
      <c r="Q97" s="769" t="str">
        <f>IF($F97="","",IFERROR(VLOOKUP($C97&amp;"|"&amp;$D97,科目表!$A$5:$B$200,2,FALSE),"※未登録"))</f>
        <v>通信運搬費</v>
      </c>
      <c r="R97" s="769">
        <f>IF($F97="","",$I97+$J97+$K97)</f>
        <v>0</v>
      </c>
      <c r="S97" s="769" t="str">
        <f>IF(OR($F97="",$P97="支払なし",$H97=0,$Q97=""),"",$Q97&amp;"|S|"&amp;(COUNTIF(S$4:S96,$Q97&amp;"|S|*")+1))</f>
        <v>通信運搬費|S|8</v>
      </c>
      <c r="T97" s="769" t="str">
        <f>IF(OR($F97="",$P97="支払なし",$R97=0,$Q97=""),"",$Q97&amp;"|L|"&amp;(COUNTIF(T$4:T96,$Q97&amp;"|L|*")+1))</f>
        <v/>
      </c>
      <c r="U97" s="769">
        <f>IF(OR($F97="",$A97=""),"",MOD(MONTH($A97)-4,12)+1)</f>
        <v>2</v>
      </c>
    </row>
    <row r="98" ht="16.5" customFormat="1" customHeight="1" s="422">
      <c r="A98" s="760" t="n">
        <v>44368</v>
      </c>
      <c r="B98" s="761" t="n"/>
      <c r="C98" s="762" t="inlineStr">
        <is>
          <t>事務費</t>
        </is>
      </c>
      <c r="D98" s="762" t="inlineStr">
        <is>
          <t>通信運搬費</t>
        </is>
      </c>
      <c r="E98" s="762" t="inlineStr">
        <is>
          <t>電話料金（５月使用・６月請求分）</t>
        </is>
      </c>
      <c r="F98" s="772" t="n">
        <v>5407</v>
      </c>
      <c r="G98" s="772" t="n">
        <v>2</v>
      </c>
      <c r="H98" s="765">
        <f>IF(G98=1,F98-I98-J98-K98,IF(G98=2,F98,0))</f>
        <v>5407</v>
      </c>
      <c r="I98" s="765">
        <f>ROUND(IF(G98=1,F98*10/23,IF(G98=3,F98-J98-K98,IF(G98=4,F98,IF(G98=5,F98*10/11,IF(G98=7,F98*10/11,0))))),0)</f>
        <v>0</v>
      </c>
      <c r="J98" s="765">
        <f>ROUND(IF(G98=1,F98/23,IF(G98=3,F98/12,IF(G98=5,F98-I98,IF(G98=8,F98,0)))),0)</f>
        <v>0</v>
      </c>
      <c r="K98" s="766">
        <f>ROUND(IF(G98=1,F98/23,IF(G98=3,F98/12,IF(G98=6,F98,IF(G98=7,F98-I98,0)))),0)</f>
        <v>0</v>
      </c>
      <c r="L98" s="767">
        <f>IF(G98=6,F98,0)</f>
        <v>0</v>
      </c>
      <c r="M98" s="421">
        <f>IF(F98="",0,MONTH(A98))</f>
        <v>6</v>
      </c>
      <c r="P98" s="768" t="inlineStr">
        <is>
          <t>昨年実績</t>
        </is>
      </c>
      <c r="Q98" s="769" t="str">
        <f>IF($F98="","",IFERROR(VLOOKUP($C98&amp;"|"&amp;$D98,科目表!$A$5:$B$200,2,FALSE),"※未登録"))</f>
        <v>通信運搬費</v>
      </c>
      <c r="R98" s="769">
        <f>IF($F98="","",$I98+$J98+$K98)</f>
        <v>0</v>
      </c>
      <c r="S98" s="769" t="str">
        <f>IF(OR($F98="",$P98="支払なし",$H98=0,$Q98=""),"",$Q98&amp;"|S|"&amp;(COUNTIF(S$4:S97,$Q98&amp;"|S|*")+1))</f>
        <v>通信運搬費|S|9</v>
      </c>
      <c r="T98" s="769" t="str">
        <f>IF(OR($F98="",$P98="支払なし",$R98=0,$Q98=""),"",$Q98&amp;"|L|"&amp;(COUNTIF(T$4:T97,$Q98&amp;"|L|*")+1))</f>
        <v/>
      </c>
      <c r="U98" s="769">
        <f>IF(OR($F98="",$A98=""),"",MOD(MONTH($A98)-4,12)+1)</f>
        <v>3</v>
      </c>
    </row>
    <row r="99" ht="16.5" customFormat="1" customHeight="1" s="43">
      <c r="A99" s="760" t="n">
        <v>46192</v>
      </c>
      <c r="B99" s="761" t="n"/>
      <c r="C99" s="762" t="inlineStr">
        <is>
          <t>委託費</t>
        </is>
      </c>
      <c r="D99" s="762" t="n"/>
      <c r="E99" s="763" t="inlineStr">
        <is>
          <t>レセプト電子データ提供料（３月診療分）</t>
        </is>
      </c>
      <c r="F99" s="764" t="n">
        <v>66423</v>
      </c>
      <c r="G99" s="764" t="n">
        <v>2</v>
      </c>
      <c r="H99" s="765">
        <f>IF(G99=1,F99-I99-J99-K99,IF(G99=2,F99,0))</f>
        <v>66423</v>
      </c>
      <c r="I99" s="765">
        <f>ROUND(IF(G99=1,F99*10/23,IF(G99=3,F99-J99-K99,IF(G99=4,F99,IF(G99=5,F99*10/11,IF(G99=7,F99*10/11,0))))),0)</f>
        <v>0</v>
      </c>
      <c r="J99" s="765">
        <f>ROUND(IF(G99=1,F99/23,IF(G99=3,F99/12,IF(G99=5,F99-I99,IF(G99=8,F99,0)))),0)</f>
        <v>0</v>
      </c>
      <c r="K99" s="766">
        <f>ROUND(IF(G99=1,F99/23,IF(G99=3,F99/12,IF(G99=6,F99,IF(G99=7,F99-I99,0)))),0)</f>
        <v>0</v>
      </c>
      <c r="L99" s="767">
        <f>IF(G99=6,F99,0)</f>
        <v>0</v>
      </c>
      <c r="M99" s="572">
        <f>IF(F99="",0,MONTH(A99))</f>
        <v>6</v>
      </c>
      <c r="P99" s="768" t="inlineStr">
        <is>
          <t>確認済</t>
        </is>
      </c>
      <c r="Q99" s="769" t="str">
        <f>IF($F99="","",IFERROR(VLOOKUP($C99&amp;"|"&amp;$D99,科目表!$A$5:$B$200,2,FALSE),"※未登録"))</f>
        <v>委託費</v>
      </c>
      <c r="R99" s="769">
        <f>IF($F99="","",$I99+$J99+$K99)</f>
        <v>0</v>
      </c>
      <c r="S99" s="769" t="str">
        <f>IF(OR($F99="",$P99="支払なし",$H99=0,$Q99=""),"",$Q99&amp;"|S|"&amp;(COUNTIF(S$4:S98,$Q99&amp;"|S|*")+1))</f>
        <v>委託費|S|10</v>
      </c>
      <c r="T99" s="769" t="str">
        <f>IF(OR($F99="",$P99="支払なし",$R99=0,$Q99=""),"",$Q99&amp;"|L|"&amp;(COUNTIF(T$4:T98,$Q99&amp;"|L|*")+1))</f>
        <v/>
      </c>
      <c r="U99" s="769">
        <f>IF(OR($F99="",$A99=""),"",MOD(MONTH($A99)-4,12)+1)</f>
        <v>3</v>
      </c>
    </row>
    <row r="100" ht="16.5" customFormat="1" customHeight="1" s="43">
      <c r="A100" s="760" t="n">
        <v>46192</v>
      </c>
      <c r="B100" s="761" t="n"/>
      <c r="C100" s="762" t="inlineStr">
        <is>
          <t>職員給与</t>
        </is>
      </c>
      <c r="D100" s="762" t="inlineStr">
        <is>
          <t>非常勤職員手当</t>
        </is>
      </c>
      <c r="E100" s="762" t="inlineStr">
        <is>
          <t>６月分給与（長期分）</t>
        </is>
      </c>
      <c r="F100" s="774" t="n">
        <v>380800</v>
      </c>
      <c r="G100" s="772" t="n">
        <v>3</v>
      </c>
      <c r="H100" s="765">
        <f>IF(G100=1,F100-I100-J100-K100,IF(G100=2,F100,0))</f>
        <v>0</v>
      </c>
      <c r="I100" s="765">
        <f>ROUND(IF(G100=1,F100*10/23,IF(G100=3,F100-J100-K100,IF(G100=4,F100,IF(G100=5,F100*10/11,IF(G100=7,F100*10/11,0))))),0)</f>
        <v>317334</v>
      </c>
      <c r="J100" s="765">
        <f>ROUND(IF(G100=1,F100/23,IF(G100=3,F100/12,IF(G100=5,F100-I100,IF(G100=8,F100,0)))),0)</f>
        <v>31733</v>
      </c>
      <c r="K100" s="766">
        <f>ROUND(IF(G100=1,F100/23,IF(G100=3,F100/12,IF(G100=6,F100,IF(G100=7,F100-I100,0)))),0)</f>
        <v>31733</v>
      </c>
      <c r="L100" s="767">
        <f>IF(G100=6,F100,0)</f>
        <v>0</v>
      </c>
      <c r="M100" s="572">
        <f>IF(F100="",0,MONTH(A100))</f>
        <v>6</v>
      </c>
      <c r="P100" s="768" t="inlineStr">
        <is>
          <t>確認済</t>
        </is>
      </c>
      <c r="Q100" s="769" t="str">
        <f>IF($F100="","",IFERROR(VLOOKUP($C100&amp;"|"&amp;$D100,科目表!$A$5:$B$200,2,FALSE),"※未登録"))</f>
        <v>非常勤職員手当</v>
      </c>
      <c r="R100" s="769">
        <f>IF($F100="","",$I100+$J100+$K100)</f>
        <v>380800</v>
      </c>
      <c r="S100" s="769" t="str">
        <f>IF(OR($F100="",$P100="支払なし",$H100=0,$Q100=""),"",$Q100&amp;"|S|"&amp;(COUNTIF(S$4:S99,$Q100&amp;"|S|*")+1))</f>
        <v/>
      </c>
      <c r="T100" s="769" t="str">
        <f>IF(OR($F100="",$P100="支払なし",$R100=0,$Q100=""),"",$Q100&amp;"|L|"&amp;(COUNTIF(T$4:T99,$Q100&amp;"|L|*")+1))</f>
        <v>非常勤職員手当|L|3</v>
      </c>
      <c r="U100" s="769">
        <f>IF(OR($F100="",$A100=""),"",MOD(MONTH($A100)-4,12)+1)</f>
        <v>3</v>
      </c>
    </row>
    <row r="101" ht="16.5" customFormat="1" customHeight="1" s="43">
      <c r="A101" s="760" t="n">
        <v>46192</v>
      </c>
      <c r="B101" s="761" t="n"/>
      <c r="C101" s="762" t="inlineStr">
        <is>
          <t>職員給与</t>
        </is>
      </c>
      <c r="D101" s="762" t="inlineStr">
        <is>
          <t>非常勤職員手当</t>
        </is>
      </c>
      <c r="E101" s="762" t="inlineStr">
        <is>
          <t>６月分給与（短期分）</t>
        </is>
      </c>
      <c r="F101" s="771" t="n">
        <v>250504</v>
      </c>
      <c r="G101" s="772" t="n">
        <v>2</v>
      </c>
      <c r="H101" s="765">
        <f>IF(G101=1,F101-I101-J101-K101,IF(G101=2,F101,0))</f>
        <v>250504</v>
      </c>
      <c r="I101" s="765">
        <f>ROUND(IF(G101=1,F101*10/23,IF(G101=3,F101-J101-K101,IF(G101=4,F101,IF(G101=5,F101*10/11,IF(G101=7,F101*10/11,0))))),0)</f>
        <v>0</v>
      </c>
      <c r="J101" s="765">
        <f>ROUND(IF(G101=1,F101/23,IF(G101=3,F101/12,IF(G101=5,F101-I101,IF(G101=8,F101,0)))),0)</f>
        <v>0</v>
      </c>
      <c r="K101" s="766">
        <f>ROUND(IF(G101=1,F101/23,IF(G101=3,F101/12,IF(G101=6,F101,IF(G101=7,F101-I101,0)))),0)</f>
        <v>0</v>
      </c>
      <c r="L101" s="767">
        <f>IF(G101=6,F101,0)</f>
        <v>0</v>
      </c>
      <c r="M101" s="572">
        <f>IF(F101="",0,MONTH(A101))</f>
        <v>6</v>
      </c>
      <c r="P101" s="768" t="inlineStr">
        <is>
          <t>確認済</t>
        </is>
      </c>
      <c r="Q101" s="769" t="str">
        <f>IF($F101="","",IFERROR(VLOOKUP($C101&amp;"|"&amp;$D101,科目表!$A$5:$B$200,2,FALSE),"※未登録"))</f>
        <v>非常勤職員手当</v>
      </c>
      <c r="R101" s="769">
        <f>IF($F101="","",$I101+$J101+$K101)</f>
        <v>0</v>
      </c>
      <c r="S101" s="769" t="str">
        <f>IF(OR($F101="",$P101="支払なし",$H101=0,$Q101=""),"",$Q101&amp;"|S|"&amp;(COUNTIF(S$4:S100,$Q101&amp;"|S|*")+1))</f>
        <v>非常勤職員手当|S|3</v>
      </c>
      <c r="T101" s="769" t="str">
        <f>IF(OR($F101="",$P101="支払なし",$R101=0,$Q101=""),"",$Q101&amp;"|L|"&amp;(COUNTIF(T$4:T100,$Q101&amp;"|L|*")+1))</f>
        <v/>
      </c>
      <c r="U101" s="769">
        <f>IF(OR($F101="",$A101=""),"",MOD(MONTH($A101)-4,12)+1)</f>
        <v>3</v>
      </c>
    </row>
    <row r="102" ht="16.5" customFormat="1" customHeight="1" s="43">
      <c r="A102" s="760" t="n">
        <v>46192</v>
      </c>
      <c r="B102" s="761" t="n"/>
      <c r="C102" s="762" t="inlineStr">
        <is>
          <t>負担金</t>
        </is>
      </c>
      <c r="D102" s="762" t="inlineStr">
        <is>
          <t>互助会費</t>
        </is>
      </c>
      <c r="E102" s="762" t="inlineStr">
        <is>
          <t>助成金（６月長期分）</t>
        </is>
      </c>
      <c r="F102" s="774" t="n">
        <v>466</v>
      </c>
      <c r="G102" s="764" t="n">
        <v>3</v>
      </c>
      <c r="H102" s="765">
        <f>IF(G102=1,F102-I102-J102-K102,IF(G102=2,F102,0))</f>
        <v>0</v>
      </c>
      <c r="I102" s="765">
        <f>ROUND(IF(G102=1,F102*10/23,IF(G102=3,F102-J102-K102,IF(G102=4,F102,IF(G102=5,F102*10/11,IF(G102=7,F102*10/11,0))))),0)</f>
        <v>388</v>
      </c>
      <c r="J102" s="765">
        <f>ROUND(IF(G102=1,F102/23,IF(G102=3,F102/12,IF(G102=5,F102-I102,IF(G102=8,F102,0)))),0)</f>
        <v>39</v>
      </c>
      <c r="K102" s="766">
        <f>ROUND(IF(G102=1,F102/23,IF(G102=3,F102/12,IF(G102=6,F102,IF(G102=7,F102-I102,0)))),0)</f>
        <v>39</v>
      </c>
      <c r="L102" s="767">
        <f>IF(G102=6,F102,0)</f>
        <v>0</v>
      </c>
      <c r="M102" s="572">
        <f>IF(F102="",0,MONTH(A102))</f>
        <v>6</v>
      </c>
      <c r="P102" s="768" t="inlineStr">
        <is>
          <t>確認済</t>
        </is>
      </c>
      <c r="Q102" s="769" t="str">
        <f>IF($F102="","",IFERROR(VLOOKUP($C102&amp;"|"&amp;$D102,科目表!$A$5:$B$200,2,FALSE),"※未登録"))</f>
        <v>互助会費</v>
      </c>
      <c r="R102" s="769">
        <f>IF($F102="","",$I102+$J102+$K102)</f>
        <v>466</v>
      </c>
      <c r="S102" s="769" t="str">
        <f>IF(OR($F102="",$P102="支払なし",$H102=0,$Q102=""),"",$Q102&amp;"|S|"&amp;(COUNTIF(S$4:S101,$Q102&amp;"|S|*")+1))</f>
        <v/>
      </c>
      <c r="T102" s="769" t="str">
        <f>IF(OR($F102="",$P102="支払なし",$R102=0,$Q102=""),"",$Q102&amp;"|L|"&amp;(COUNTIF(T$4:T101,$Q102&amp;"|L|*")+1))</f>
        <v>互助会費|L|3</v>
      </c>
      <c r="U102" s="769">
        <f>IF(OR($F102="",$A102=""),"",MOD(MONTH($A102)-4,12)+1)</f>
        <v>3</v>
      </c>
    </row>
    <row r="103" ht="16.5" customFormat="1" customHeight="1" s="43">
      <c r="A103" s="760" t="n">
        <v>46192</v>
      </c>
      <c r="B103" s="761" t="n"/>
      <c r="C103" s="762" t="inlineStr">
        <is>
          <t>負担金</t>
        </is>
      </c>
      <c r="D103" s="762" t="inlineStr">
        <is>
          <t>互助会費</t>
        </is>
      </c>
      <c r="E103" s="762" t="inlineStr">
        <is>
          <t>助成金（６月短期分）</t>
        </is>
      </c>
      <c r="F103" s="774" t="n">
        <v>240</v>
      </c>
      <c r="G103" s="764" t="n">
        <v>2</v>
      </c>
      <c r="H103" s="765">
        <f>IF(G103=1,F103-I103-J103-K103,IF(G103=2,F103,0))</f>
        <v>240</v>
      </c>
      <c r="I103" s="765">
        <f>ROUND(IF(G103=1,F103*10/23,IF(G103=3,F103-J103-K103,IF(G103=4,F103,IF(G103=5,F103*10/11,IF(G103=7,F103*10/11,0))))),0)</f>
        <v>0</v>
      </c>
      <c r="J103" s="765">
        <f>ROUND(IF(G103=1,F103/23,IF(G103=3,F103/12,IF(G103=5,F103-I103,IF(G103=8,F103,0)))),0)</f>
        <v>0</v>
      </c>
      <c r="K103" s="766">
        <f>ROUND(IF(G103=1,F103/23,IF(G103=3,F103/12,IF(G103=6,F103,IF(G103=7,F103-I103,0)))),0)</f>
        <v>0</v>
      </c>
      <c r="L103" s="767">
        <f>IF(G103=6,F103,0)</f>
        <v>0</v>
      </c>
      <c r="M103" s="572">
        <f>IF(F103="",0,MONTH(A103))</f>
        <v>6</v>
      </c>
      <c r="P103" s="768" t="inlineStr">
        <is>
          <t>確認済</t>
        </is>
      </c>
      <c r="Q103" s="769" t="str">
        <f>IF($F103="","",IFERROR(VLOOKUP($C103&amp;"|"&amp;$D103,科目表!$A$5:$B$200,2,FALSE),"※未登録"))</f>
        <v>互助会費</v>
      </c>
      <c r="R103" s="769">
        <f>IF($F103="","",$I103+$J103+$K103)</f>
        <v>0</v>
      </c>
      <c r="S103" s="769" t="str">
        <f>IF(OR($F103="",$P103="支払なし",$H103=0,$Q103=""),"",$Q103&amp;"|S|"&amp;(COUNTIF(S$4:S102,$Q103&amp;"|S|*")+1))</f>
        <v>互助会費|S|3</v>
      </c>
      <c r="T103" s="769" t="str">
        <f>IF(OR($F103="",$P103="支払なし",$R103=0,$Q103=""),"",$Q103&amp;"|L|"&amp;(COUNTIF(T$4:T102,$Q103&amp;"|L|*")+1))</f>
        <v/>
      </c>
      <c r="U103" s="769">
        <f>IF(OR($F103="",$A103=""),"",MOD(MONTH($A103)-4,12)+1)</f>
        <v>3</v>
      </c>
    </row>
    <row r="104" ht="16.5" customFormat="1" customHeight="1" s="43">
      <c r="A104" s="760" t="n">
        <v>46203</v>
      </c>
      <c r="B104" s="761" t="n"/>
      <c r="C104" s="762" t="inlineStr">
        <is>
          <t>事務費</t>
        </is>
      </c>
      <c r="D104" s="762" t="inlineStr">
        <is>
          <t>送金料</t>
        </is>
      </c>
      <c r="E104" s="775" t="inlineStr">
        <is>
          <t>ゆうちょ銀行手数料（５月分）短期</t>
        </is>
      </c>
      <c r="F104" s="764" t="n">
        <v>15479</v>
      </c>
      <c r="G104" s="764" t="n">
        <v>2</v>
      </c>
      <c r="H104" s="765">
        <f>IF(G104=1,F104-I104-J104-K104,IF(G104=2,F104,0))</f>
        <v>15479</v>
      </c>
      <c r="I104" s="765">
        <f>ROUND(IF(G104=1,F104*10/23,IF(G104=3,F104-J104-K104,IF(G104=4,F104,IF(G104=5,F104*10/11,IF(G104=7,F104*10/11,0))))),0)</f>
        <v>0</v>
      </c>
      <c r="J104" s="765">
        <f>ROUND(IF(G104=1,F104/23,IF(G104=3,F104/12,IF(G104=5,F104-I104,IF(G104=8,F104,0)))),0)</f>
        <v>0</v>
      </c>
      <c r="K104" s="766">
        <f>ROUND(IF(G104=1,F104/23,IF(G104=3,F104/12,IF(G104=6,F104,IF(G104=7,F104-I104,0)))),0)</f>
        <v>0</v>
      </c>
      <c r="L104" s="767">
        <f>IF(G104=6,F104,0)</f>
        <v>0</v>
      </c>
      <c r="M104" s="572">
        <f>IF(F104="",0,MONTH(A104))</f>
        <v>6</v>
      </c>
      <c r="P104" s="768" t="inlineStr">
        <is>
          <t>確認済</t>
        </is>
      </c>
      <c r="Q104" s="769" t="str">
        <f>IF($F104="","",IFERROR(VLOOKUP($C104&amp;"|"&amp;$D104,科目表!$A$5:$B$200,2,FALSE),"※未登録"))</f>
        <v>送金料</v>
      </c>
      <c r="R104" s="769">
        <f>IF($F104="","",$I104+$J104+$K104)</f>
        <v>0</v>
      </c>
      <c r="S104" s="769" t="str">
        <f>IF(OR($F104="",$P104="支払なし",$H104=0,$Q104=""),"",$Q104&amp;"|S|"&amp;(COUNTIF(S$4:S103,$Q104&amp;"|S|*")+1))</f>
        <v>送金料|S|4</v>
      </c>
      <c r="T104" s="769" t="str">
        <f>IF(OR($F104="",$P104="支払なし",$R104=0,$Q104=""),"",$Q104&amp;"|L|"&amp;(COUNTIF(T$4:T103,$Q104&amp;"|L|*")+1))</f>
        <v/>
      </c>
      <c r="U104" s="769">
        <f>IF(OR($F104="",$A104=""),"",MOD(MONTH($A104)-4,12)+1)</f>
        <v>3</v>
      </c>
    </row>
    <row r="105" ht="16.5" customFormat="1" customHeight="1" s="43">
      <c r="A105" s="760" t="n">
        <v>46203</v>
      </c>
      <c r="B105" s="761" t="n"/>
      <c r="C105" s="762" t="inlineStr">
        <is>
          <t>事務費</t>
        </is>
      </c>
      <c r="D105" s="762" t="inlineStr">
        <is>
          <t>雑費</t>
        </is>
      </c>
      <c r="E105" s="775" t="inlineStr">
        <is>
          <t>ゆうちょ銀行振替口座残高証明（５月分）短期</t>
        </is>
      </c>
      <c r="F105" s="764" t="n">
        <v>550</v>
      </c>
      <c r="G105" s="764" t="n">
        <v>2</v>
      </c>
      <c r="H105" s="765">
        <f>IF(G105=1,F105-I105-J105-K105,IF(G105=2,F105,0))</f>
        <v>550</v>
      </c>
      <c r="I105" s="765">
        <f>ROUND(IF(G105=1,F105*10/23,IF(G105=3,F105-J105-K105,IF(G105=4,F105,IF(G105=5,F105*10/11,IF(G105=7,F105*10/11,0))))),0)</f>
        <v>0</v>
      </c>
      <c r="J105" s="765">
        <f>ROUND(IF(G105=1,F105/23,IF(G105=3,F105/12,IF(G105=5,F105-I105,IF(G105=8,F105,0)))),0)</f>
        <v>0</v>
      </c>
      <c r="K105" s="766">
        <f>ROUND(IF(G105=1,F105/23,IF(G105=3,F105/12,IF(G105=6,F105,IF(G105=7,F105-I105,0)))),0)</f>
        <v>0</v>
      </c>
      <c r="L105" s="767">
        <f>IF(G105=6,F105,0)</f>
        <v>0</v>
      </c>
      <c r="M105" s="572">
        <f>IF(F105="",0,MONTH(A105))</f>
        <v>6</v>
      </c>
      <c r="P105" s="768" t="inlineStr">
        <is>
          <t>確認済</t>
        </is>
      </c>
      <c r="Q105" s="769" t="str">
        <f>IF($F105="","",IFERROR(VLOOKUP($C105&amp;"|"&amp;$D105,科目表!$A$5:$B$200,2,FALSE),"※未登録"))</f>
        <v>事務費・雑費</v>
      </c>
      <c r="R105" s="769">
        <f>IF($F105="","",$I105+$J105+$K105)</f>
        <v>0</v>
      </c>
      <c r="S105" s="769" t="str">
        <f>IF(OR($F105="",$P105="支払なし",$H105=0,$Q105=""),"",$Q105&amp;"|S|"&amp;(COUNTIF(S$4:S104,$Q105&amp;"|S|*")+1))</f>
        <v>事務費・雑費|S|4</v>
      </c>
      <c r="T105" s="769" t="str">
        <f>IF(OR($F105="",$P105="支払なし",$R105=0,$Q105=""),"",$Q105&amp;"|L|"&amp;(COUNTIF(T$4:T104,$Q105&amp;"|L|*")+1))</f>
        <v/>
      </c>
      <c r="U105" s="769">
        <f>IF(OR($F105="",$A105=""),"",MOD(MONTH($A105)-4,12)+1)</f>
        <v>3</v>
      </c>
    </row>
    <row r="106" ht="16.5" customFormat="1" customHeight="1" s="43">
      <c r="A106" s="760" t="n">
        <v>46202</v>
      </c>
      <c r="B106" s="761" t="n"/>
      <c r="C106" s="762" t="inlineStr">
        <is>
          <t>賃借料</t>
        </is>
      </c>
      <c r="D106" s="762" t="n"/>
      <c r="E106" s="770" t="inlineStr">
        <is>
          <t>基幹システム用機器賃借料　5月分（短期）</t>
        </is>
      </c>
      <c r="F106" s="772" t="n">
        <v>672934</v>
      </c>
      <c r="G106" s="772" t="n">
        <v>2</v>
      </c>
      <c r="H106" s="765">
        <f>IF(G106=1,F106-I106-J106-K106,IF(G106=2,F106,0))</f>
        <v>672934</v>
      </c>
      <c r="I106" s="765">
        <f>ROUND(IF(G106=1,F106*10/23,IF(G106=3,F106-J106-K106,IF(G106=4,F106,IF(G106=5,F106*10/11,IF(G106=7,F106*10/11,0))))),0)</f>
        <v>0</v>
      </c>
      <c r="J106" s="765">
        <f>ROUND(IF(G106=1,F106/23,IF(G106=3,F106/12,IF(G106=5,F106-I106,IF(G106=8,F106,0)))),0)</f>
        <v>0</v>
      </c>
      <c r="K106" s="766">
        <f>ROUND(IF(G106=1,F106/23,IF(G106=3,F106/12,IF(G106=6,F106,IF(G106=7,F106-I106,0)))),0)</f>
        <v>0</v>
      </c>
      <c r="L106" s="767">
        <f>IF(G106=6,F106,0)</f>
        <v>0</v>
      </c>
      <c r="M106" s="572">
        <f>IF(F106="",0,MONTH(A106))</f>
        <v>6</v>
      </c>
      <c r="P106" s="768" t="inlineStr">
        <is>
          <t>確認済</t>
        </is>
      </c>
      <c r="Q106" s="769" t="str">
        <f>IF($F106="","",IFERROR(VLOOKUP($C106&amp;"|"&amp;$D106,科目表!$A$5:$B$200,2,FALSE),"※未登録"))</f>
        <v>賃借料</v>
      </c>
      <c r="R106" s="769">
        <f>IF($F106="","",$I106+$J106+$K106)</f>
        <v>0</v>
      </c>
      <c r="S106" s="769" t="str">
        <f>IF(OR($F106="",$P106="支払なし",$H106=0,$Q106=""),"",$Q106&amp;"|S|"&amp;(COUNTIF(S$4:S105,$Q106&amp;"|S|*")+1))</f>
        <v>賃借料|S|6</v>
      </c>
      <c r="T106" s="769" t="str">
        <f>IF(OR($F106="",$P106="支払なし",$R106=0,$Q106=""),"",$Q106&amp;"|L|"&amp;(COUNTIF(T$4:T105,$Q106&amp;"|L|*")+1))</f>
        <v/>
      </c>
      <c r="U106" s="769">
        <f>IF(OR($F106="",$A106=""),"",MOD(MONTH($A106)-4,12)+1)</f>
        <v>3</v>
      </c>
    </row>
    <row r="107" ht="16.5" customFormat="1" customHeight="1" s="43">
      <c r="A107" s="760" t="n">
        <v>46202</v>
      </c>
      <c r="B107" s="761" t="n"/>
      <c r="C107" s="762" t="inlineStr">
        <is>
          <t>賃借料</t>
        </is>
      </c>
      <c r="D107" s="762" t="n"/>
      <c r="E107" s="770" t="inlineStr">
        <is>
          <t>基幹システム用機器賃借料　5月分（長期）</t>
        </is>
      </c>
      <c r="F107" s="772" t="n">
        <v>69613</v>
      </c>
      <c r="G107" s="772" t="n">
        <v>3</v>
      </c>
      <c r="H107" s="765">
        <f>IF(G107=1,F107-I107-J107-K107,IF(G107=2,F107,0))</f>
        <v>0</v>
      </c>
      <c r="I107" s="765">
        <f>ROUND(IF(G107=1,F107*10/23,IF(G107=3,F107-J107-K107,IF(G107=4,F107,IF(G107=5,F107*10/11,IF(G107=7,F107*10/11,0))))),0)</f>
        <v>58011</v>
      </c>
      <c r="J107" s="765">
        <f>ROUND(IF(G107=1,F107/23,IF(G107=3,F107/12,IF(G107=5,F107-I107,IF(G107=8,F107,0)))),0)</f>
        <v>5801</v>
      </c>
      <c r="K107" s="766">
        <f>ROUND(IF(G107=1,F107/23,IF(G107=3,F107/12,IF(G107=6,F107,IF(G107=7,F107-I107,0)))),0)</f>
        <v>5801</v>
      </c>
      <c r="L107" s="767">
        <f>IF(G107=6,F107,0)</f>
        <v>0</v>
      </c>
      <c r="M107" s="572">
        <f>IF(F107="",0,MONTH(A107))</f>
        <v>6</v>
      </c>
      <c r="P107" s="768" t="inlineStr">
        <is>
          <t>確認済</t>
        </is>
      </c>
      <c r="Q107" s="769" t="str">
        <f>IF($F107="","",IFERROR(VLOOKUP($C107&amp;"|"&amp;$D107,科目表!$A$5:$B$200,2,FALSE),"※未登録"))</f>
        <v>賃借料</v>
      </c>
      <c r="R107" s="769">
        <f>IF($F107="","",$I107+$J107+$K107)</f>
        <v>69613</v>
      </c>
      <c r="S107" s="769" t="str">
        <f>IF(OR($F107="",$P107="支払なし",$H107=0,$Q107=""),"",$Q107&amp;"|S|"&amp;(COUNTIF(S$4:S106,$Q107&amp;"|S|*")+1))</f>
        <v/>
      </c>
      <c r="T107" s="769" t="str">
        <f>IF(OR($F107="",$P107="支払なし",$R107=0,$Q107=""),"",$Q107&amp;"|L|"&amp;(COUNTIF(T$4:T106,$Q107&amp;"|L|*")+1))</f>
        <v>賃借料|L|2</v>
      </c>
      <c r="U107" s="769">
        <f>IF(OR($F107="",$A107=""),"",MOD(MONTH($A107)-4,12)+1)</f>
        <v>3</v>
      </c>
    </row>
    <row r="108" ht="16.5" customFormat="1" customHeight="1" s="422">
      <c r="A108" s="760" t="n">
        <v>44377</v>
      </c>
      <c r="B108" s="761" t="n"/>
      <c r="C108" s="762" t="inlineStr">
        <is>
          <t>委託費</t>
        </is>
      </c>
      <c r="D108" s="762" t="n"/>
      <c r="E108" s="777" t="inlineStr">
        <is>
          <t>短期給付個人番号管理システム端末保守サービス（５月分）</t>
        </is>
      </c>
      <c r="F108" s="764" t="n">
        <v>385</v>
      </c>
      <c r="G108" s="764" t="n">
        <v>2</v>
      </c>
      <c r="H108" s="765">
        <f>IF(G108=1,F108-I108-J108-K108,IF(G108=2,F108,0))</f>
        <v>385</v>
      </c>
      <c r="I108" s="765">
        <f>ROUND(IF(G108=1,F108*10/23,IF(G108=3,F108-J108-K108,IF(G108=4,F108,IF(G108=5,F108*10/11,IF(G108=7,F108*10/11,0))))),0)</f>
        <v>0</v>
      </c>
      <c r="J108" s="765">
        <f>ROUND(IF(G108=1,F108/23,IF(G108=3,F108/12,IF(G108=5,F108-I108,IF(G108=8,F108,0)))),0)</f>
        <v>0</v>
      </c>
      <c r="K108" s="766">
        <f>ROUND(IF(G108=1,F108/23,IF(G108=3,F108/12,IF(G108=6,F108,IF(G108=7,F108-I108,0)))),0)</f>
        <v>0</v>
      </c>
      <c r="L108" s="767">
        <f>IF(G108=6,F108,0)</f>
        <v>0</v>
      </c>
      <c r="M108" s="421">
        <f>IF(F108="",0,MONTH(A108))</f>
        <v>6</v>
      </c>
      <c r="P108" s="768" t="inlineStr">
        <is>
          <t>昨年実績</t>
        </is>
      </c>
      <c r="Q108" s="769" t="str">
        <f>IF($F108="","",IFERROR(VLOOKUP($C108&amp;"|"&amp;$D108,科目表!$A$5:$B$200,2,FALSE),"※未登録"))</f>
        <v>委託費</v>
      </c>
      <c r="R108" s="769">
        <f>IF($F108="","",$I108+$J108+$K108)</f>
        <v>0</v>
      </c>
      <c r="S108" s="769" t="str">
        <f>IF(OR($F108="",$P108="支払なし",$H108=0,$Q108=""),"",$Q108&amp;"|S|"&amp;(COUNTIF(S$4:S107,$Q108&amp;"|S|*")+1))</f>
        <v>委託費|S|11</v>
      </c>
      <c r="T108" s="769" t="str">
        <f>IF(OR($F108="",$P108="支払なし",$R108=0,$Q108=""),"",$Q108&amp;"|L|"&amp;(COUNTIF(T$4:T107,$Q108&amp;"|L|*")+1))</f>
        <v/>
      </c>
      <c r="U108" s="769">
        <f>IF(OR($F108="",$A108=""),"",MOD(MONTH($A108)-4,12)+1)</f>
        <v>3</v>
      </c>
    </row>
    <row r="109" ht="16.5" customFormat="1" customHeight="1" s="43">
      <c r="A109" s="760" t="n">
        <v>46232</v>
      </c>
      <c r="B109" s="761" t="n"/>
      <c r="C109" s="762" t="inlineStr">
        <is>
          <t>委託費</t>
        </is>
      </c>
      <c r="D109" s="762" t="n"/>
      <c r="E109" s="762" t="inlineStr">
        <is>
          <t>ねんきん定期便（５月分）送付業務</t>
        </is>
      </c>
      <c r="F109" s="772" t="n">
        <v>92797</v>
      </c>
      <c r="G109" s="772" t="n">
        <v>5</v>
      </c>
      <c r="H109" s="765">
        <f>IF(G109=1,F109-I109-J109-K109,IF(G109=2,F109,0))</f>
        <v>0</v>
      </c>
      <c r="I109" s="765">
        <f>ROUND(IF(G109=1,F109*10/23,IF(G109=3,F109-J109-K109,IF(G109=4,F109,IF(G109=5,F109*10/11,IF(G109=7,F109*10/11,0))))),0)</f>
        <v>84361</v>
      </c>
      <c r="J109" s="765">
        <f>ROUND(IF(G109=1,F109/23,IF(G109=3,F109/12,IF(G109=5,F109-I109,IF(G109=8,F109,0)))),0)</f>
        <v>8436</v>
      </c>
      <c r="K109" s="766">
        <f>ROUND(IF(G109=1,F109/23,IF(G109=3,F109/12,IF(G109=6,F109,IF(G109=7,F109-I109,0)))),0)</f>
        <v>0</v>
      </c>
      <c r="L109" s="767">
        <f>IF(G109=6,F109,0)</f>
        <v>0</v>
      </c>
      <c r="M109" s="572">
        <f>IF(F109="",0,MONTH(A109))</f>
        <v>7</v>
      </c>
      <c r="P109" s="768" t="inlineStr">
        <is>
          <t>確認済</t>
        </is>
      </c>
      <c r="Q109" s="769" t="str">
        <f>IF($F109="","",IFERROR(VLOOKUP($C109&amp;"|"&amp;$D109,科目表!$A$5:$B$200,2,FALSE),"※未登録"))</f>
        <v>委託費</v>
      </c>
      <c r="R109" s="769">
        <f>IF($F109="","",$I109+$J109+$K109)</f>
        <v>92797</v>
      </c>
      <c r="S109" s="769" t="str">
        <f>IF(OR($F109="",$P109="支払なし",$H109=0,$Q109=""),"",$Q109&amp;"|S|"&amp;(COUNTIF(S$4:S108,$Q109&amp;"|S|*")+1))</f>
        <v/>
      </c>
      <c r="T109" s="769" t="str">
        <f>IF(OR($F109="",$P109="支払なし",$R109=0,$Q109=""),"",$Q109&amp;"|L|"&amp;(COUNTIF(T$4:T108,$Q109&amp;"|L|*")+1))</f>
        <v>委託費|L|2</v>
      </c>
      <c r="U109" s="769">
        <f>IF(OR($F109="",$A109=""),"",MOD(MONTH($A109)-4,12)+1)</f>
        <v>4</v>
      </c>
    </row>
    <row r="110" ht="16.5" customFormat="1" customHeight="1" s="422">
      <c r="A110" s="760" t="n">
        <v>43644</v>
      </c>
      <c r="B110" s="761" t="n"/>
      <c r="C110" s="762" t="inlineStr">
        <is>
          <t>委託費</t>
        </is>
      </c>
      <c r="D110" s="762" t="n"/>
      <c r="E110" s="777" t="inlineStr">
        <is>
          <t>期間サーバーＨＤＤに係る訪問修理サービス料（長期分）</t>
        </is>
      </c>
      <c r="F110" s="764" t="n">
        <v>38340</v>
      </c>
      <c r="G110" s="764" t="n">
        <v>3</v>
      </c>
      <c r="H110" s="765">
        <f>IF(G110=1,F110-I110-J110-K110,IF(G110=2,F110,0))</f>
        <v>0</v>
      </c>
      <c r="I110" s="765">
        <f>ROUND(IF(G110=1,F110*10/23,IF(G110=3,F110-J110-K110,IF(G110=4,F110,IF(G110=5,F110*10/11,IF(G110=7,F110*10/11,0))))),0)</f>
        <v>31950</v>
      </c>
      <c r="J110" s="765">
        <f>ROUND(IF(G110=1,F110/23,IF(G110=3,F110/12,IF(G110=5,F110-I110,IF(G110=8,F110,0)))),0)</f>
        <v>3195</v>
      </c>
      <c r="K110" s="766">
        <f>ROUND(IF(G110=1,F110/23,IF(G110=3,F110/12,IF(G110=6,F110,IF(G110=7,F110-I110,0)))),0)</f>
        <v>3195</v>
      </c>
      <c r="L110" s="767">
        <f>IF(G110=6,F110,0)</f>
        <v>0</v>
      </c>
      <c r="M110" s="421">
        <f>IF(F110="",0,MONTH(A110))</f>
        <v>6</v>
      </c>
      <c r="P110" s="768" t="inlineStr">
        <is>
          <t>昨年実績</t>
        </is>
      </c>
      <c r="Q110" s="769" t="str">
        <f>IF($F110="","",IFERROR(VLOOKUP($C110&amp;"|"&amp;$D110,科目表!$A$5:$B$200,2,FALSE),"※未登録"))</f>
        <v>委託費</v>
      </c>
      <c r="R110" s="769">
        <f>IF($F110="","",$I110+$J110+$K110)</f>
        <v>38340</v>
      </c>
      <c r="S110" s="769" t="str">
        <f>IF(OR($F110="",$P110="支払なし",$H110=0,$Q110=""),"",$Q110&amp;"|S|"&amp;(COUNTIF(S$4:S109,$Q110&amp;"|S|*")+1))</f>
        <v/>
      </c>
      <c r="T110" s="769" t="str">
        <f>IF(OR($F110="",$P110="支払なし",$R110=0,$Q110=""),"",$Q110&amp;"|L|"&amp;(COUNTIF(T$4:T109,$Q110&amp;"|L|*")+1))</f>
        <v>委託費|L|3</v>
      </c>
      <c r="U110" s="769">
        <f>IF(OR($F110="",$A110=""),"",MOD(MONTH($A110)-4,12)+1)</f>
        <v>3</v>
      </c>
    </row>
    <row r="111" ht="16.5" customFormat="1" customHeight="1" s="43">
      <c r="A111" s="760" t="n">
        <v>46199</v>
      </c>
      <c r="B111" s="761" t="n"/>
      <c r="C111" s="762" t="inlineStr">
        <is>
          <t>負担金</t>
        </is>
      </c>
      <c r="D111" s="762" t="inlineStr">
        <is>
          <t>負担金</t>
        </is>
      </c>
      <c r="E111" s="762" t="inlineStr">
        <is>
          <t>共済短期・介護・子子負担金（6月月例分）長期</t>
        </is>
      </c>
      <c r="F111" s="771" t="n">
        <v>22035</v>
      </c>
      <c r="G111" s="772" t="n">
        <v>3</v>
      </c>
      <c r="H111" s="765">
        <f>IF(G111=1,F111-I111-J111-K111,IF(G111=2,F111,0))</f>
        <v>0</v>
      </c>
      <c r="I111" s="765">
        <f>ROUND(IF(G111=1,F111*10/23,IF(G111=3,F111-J111-K111,IF(G111=4,F111,IF(G111=5,F111*10/11,IF(G111=7,F111*10/11,0))))),0)</f>
        <v>18363</v>
      </c>
      <c r="J111" s="765">
        <f>ROUND(IF(G111=1,F111/23,IF(G111=3,F111/12,IF(G111=5,F111-I111,IF(G111=8,F111,0)))),0)</f>
        <v>1836</v>
      </c>
      <c r="K111" s="766">
        <f>ROUND(IF(G111=1,F111/23,IF(G111=3,F111/12,IF(G111=6,F111,IF(G111=7,F111-I111,0)))),0)</f>
        <v>1836</v>
      </c>
      <c r="L111" s="767">
        <f>IF(G111=6,F111,0)</f>
        <v>0</v>
      </c>
      <c r="M111" s="572">
        <f>IF(F111="",0,MONTH(A111))</f>
        <v>6</v>
      </c>
      <c r="P111" s="768" t="inlineStr">
        <is>
          <t>確認済</t>
        </is>
      </c>
      <c r="Q111" s="769" t="str">
        <f>IF($F111="","",IFERROR(VLOOKUP($C111&amp;"|"&amp;$D111,科目表!$A$5:$B$200,2,FALSE),"※未登録"))</f>
        <v>共済負担金等</v>
      </c>
      <c r="R111" s="769">
        <f>IF($F111="","",$I111+$J111+$K111)</f>
        <v>22035</v>
      </c>
      <c r="S111" s="769" t="str">
        <f>IF(OR($F111="",$P111="支払なし",$H111=0,$Q111=""),"",$Q111&amp;"|S|"&amp;(COUNTIF(S$4:S110,$Q111&amp;"|S|*")+1))</f>
        <v/>
      </c>
      <c r="T111" s="769" t="str">
        <f>IF(OR($F111="",$P111="支払なし",$R111=0,$Q111=""),"",$Q111&amp;"|L|"&amp;(COUNTIF(T$4:T110,$Q111&amp;"|L|*")+1))</f>
        <v>共済負担金等|L|4</v>
      </c>
      <c r="U111" s="769">
        <f>IF(OR($F111="",$A111=""),"",MOD(MONTH($A111)-4,12)+1)</f>
        <v>3</v>
      </c>
    </row>
    <row r="112" ht="16.5" customFormat="1" customHeight="1" s="43">
      <c r="A112" s="760" t="n">
        <v>46199</v>
      </c>
      <c r="B112" s="761" t="n"/>
      <c r="C112" s="762" t="inlineStr">
        <is>
          <t>負担金</t>
        </is>
      </c>
      <c r="D112" s="762" t="inlineStr">
        <is>
          <t>負担金</t>
        </is>
      </c>
      <c r="E112" s="762" t="inlineStr">
        <is>
          <t>共済短期・介護・子子負担金（6月月例分）短期</t>
        </is>
      </c>
      <c r="F112" s="771" t="n">
        <v>37074</v>
      </c>
      <c r="G112" s="772" t="n">
        <v>2</v>
      </c>
      <c r="H112" s="765">
        <f>IF(G112=1,F112-I112-J112-K112,IF(G112=2,F112,0))</f>
        <v>37074</v>
      </c>
      <c r="I112" s="765">
        <f>ROUND(IF(G112=1,F112*10/23,IF(G112=3,F112-J112-K112,IF(G112=4,F112,IF(G112=5,F112*10/11,IF(G112=7,F112*10/11,0))))),0)</f>
        <v>0</v>
      </c>
      <c r="J112" s="765">
        <f>ROUND(IF(G112=1,F112/23,IF(G112=3,F112/12,IF(G112=5,F112-I112,IF(G112=8,F112,0)))),0)</f>
        <v>0</v>
      </c>
      <c r="K112" s="766">
        <f>ROUND(IF(G112=1,F112/23,IF(G112=3,F112/12,IF(G112=6,F112,IF(G112=7,F112-I112,0)))),0)</f>
        <v>0</v>
      </c>
      <c r="L112" s="767">
        <f>IF(G112=6,F112,0)</f>
        <v>0</v>
      </c>
      <c r="M112" s="572">
        <f>IF(F112="",0,MONTH(A112))</f>
        <v>6</v>
      </c>
      <c r="P112" s="768" t="inlineStr">
        <is>
          <t>確認済</t>
        </is>
      </c>
      <c r="Q112" s="769" t="str">
        <f>IF($F112="","",IFERROR(VLOOKUP($C112&amp;"|"&amp;$D112,科目表!$A$5:$B$200,2,FALSE),"※未登録"))</f>
        <v>共済負担金等</v>
      </c>
      <c r="R112" s="769">
        <f>IF($F112="","",$I112+$J112+$K112)</f>
        <v>0</v>
      </c>
      <c r="S112" s="769" t="str">
        <f>IF(OR($F112="",$P112="支払なし",$H112=0,$Q112=""),"",$Q112&amp;"|S|"&amp;(COUNTIF(S$4:S111,$Q112&amp;"|S|*")+1))</f>
        <v>共済負担金等|S|4</v>
      </c>
      <c r="T112" s="769" t="str">
        <f>IF(OR($F112="",$P112="支払なし",$R112=0,$Q112=""),"",$Q112&amp;"|L|"&amp;(COUNTIF(T$4:T111,$Q112&amp;"|L|*")+1))</f>
        <v/>
      </c>
      <c r="U112" s="769">
        <f>IF(OR($F112="",$A112=""),"",MOD(MONTH($A112)-4,12)+1)</f>
        <v>3</v>
      </c>
    </row>
    <row r="113" ht="16.5" customFormat="1" customHeight="1" s="422">
      <c r="A113" s="760" t="n">
        <v>43644</v>
      </c>
      <c r="B113" s="761" t="n"/>
      <c r="C113" s="762" t="inlineStr">
        <is>
          <t>委託費</t>
        </is>
      </c>
      <c r="D113" s="762" t="n"/>
      <c r="E113" s="777" t="inlineStr">
        <is>
          <t>期間サーバーＨＤＤに係る訪問修理サービス料（短期分）</t>
        </is>
      </c>
      <c r="F113" s="764" t="n">
        <v>38340</v>
      </c>
      <c r="G113" s="764" t="n">
        <v>2</v>
      </c>
      <c r="H113" s="765">
        <f>IF(G113=1,F113-I113-J113-K113,IF(G113=2,F113,0))</f>
        <v>38340</v>
      </c>
      <c r="I113" s="765">
        <f>ROUND(IF(G113=1,F113*10/23,IF(G113=3,F113-J113-K113,IF(G113=4,F113,IF(G113=5,F113*10/11,IF(G113=7,F113*10/11,0))))),0)</f>
        <v>0</v>
      </c>
      <c r="J113" s="765">
        <f>ROUND(IF(G113=1,F113/23,IF(G113=3,F113/12,IF(G113=5,F113-I113,IF(G113=8,F113,0)))),0)</f>
        <v>0</v>
      </c>
      <c r="K113" s="766">
        <f>ROUND(IF(G113=1,F113/23,IF(G113=3,F113/12,IF(G113=6,F113,IF(G113=7,F113-I113,0)))),0)</f>
        <v>0</v>
      </c>
      <c r="L113" s="767">
        <f>IF(G113=6,F113,0)</f>
        <v>0</v>
      </c>
      <c r="M113" s="421">
        <f>IF(F113="",0,MONTH(A113))</f>
        <v>6</v>
      </c>
      <c r="P113" s="768" t="inlineStr">
        <is>
          <t>昨年実績</t>
        </is>
      </c>
      <c r="Q113" s="769" t="str">
        <f>IF($F113="","",IFERROR(VLOOKUP($C113&amp;"|"&amp;$D113,科目表!$A$5:$B$200,2,FALSE),"※未登録"))</f>
        <v>委託費</v>
      </c>
      <c r="R113" s="769">
        <f>IF($F113="","",$I113+$J113+$K113)</f>
        <v>0</v>
      </c>
      <c r="S113" s="769" t="str">
        <f>IF(OR($F113="",$P113="支払なし",$H113=0,$Q113=""),"",$Q113&amp;"|S|"&amp;(COUNTIF(S$4:S112,$Q113&amp;"|S|*")+1))</f>
        <v>委託費|S|12</v>
      </c>
      <c r="T113" s="769" t="str">
        <f>IF(OR($F113="",$P113="支払なし",$R113=0,$Q113=""),"",$Q113&amp;"|L|"&amp;(COUNTIF(T$4:T112,$Q113&amp;"|L|*")+1))</f>
        <v/>
      </c>
      <c r="U113" s="769">
        <f>IF(OR($F113="",$A113=""),"",MOD(MONTH($A113)-4,12)+1)</f>
        <v>3</v>
      </c>
    </row>
    <row r="114" ht="16.5" customFormat="1" customHeight="1" s="422">
      <c r="A114" s="760" t="n">
        <v>45138</v>
      </c>
      <c r="B114" s="761" t="n"/>
      <c r="C114" s="762" t="inlineStr">
        <is>
          <t>事務費</t>
        </is>
      </c>
      <c r="D114" s="762" t="inlineStr">
        <is>
          <t>通信運搬費</t>
        </is>
      </c>
      <c r="E114" s="780" t="inlineStr">
        <is>
          <t>メール便（任継者宛厚生だより５月分）</t>
        </is>
      </c>
      <c r="F114" s="772" t="n">
        <v>19320</v>
      </c>
      <c r="G114" s="772" t="n">
        <v>2</v>
      </c>
      <c r="H114" s="765">
        <f>IF(G114=1,F114-I114-J114-K114,IF(G114=2,F114,0))</f>
        <v>19320</v>
      </c>
      <c r="I114" s="765">
        <f>ROUND(IF(G114=1,F114*10/23,IF(G114=3,F114-J114-K114,IF(G114=4,F114,IF(G114=5,F114*10/11,IF(G114=7,F114*10/11,0))))),0)</f>
        <v>0</v>
      </c>
      <c r="J114" s="765">
        <f>ROUND(IF(G114=1,F114/23,IF(G114=3,F114/12,IF(G114=5,F114-I114,IF(G114=8,F114,0)))),0)</f>
        <v>0</v>
      </c>
      <c r="K114" s="766">
        <f>ROUND(IF(G114=1,F114/23,IF(G114=3,F114/12,IF(G114=6,F114,IF(G114=7,F114-I114,0)))),0)</f>
        <v>0</v>
      </c>
      <c r="L114" s="767">
        <f>IF(G114=6,F114,0)</f>
        <v>0</v>
      </c>
      <c r="M114" s="421">
        <f>IF(F114="",0,MONTH(A114))</f>
        <v>7</v>
      </c>
      <c r="P114" s="768" t="inlineStr">
        <is>
          <t>昨年実績</t>
        </is>
      </c>
      <c r="Q114" s="769" t="str">
        <f>IF($F114="","",IFERROR(VLOOKUP($C114&amp;"|"&amp;$D114,科目表!$A$5:$B$200,2,FALSE),"※未登録"))</f>
        <v>通信運搬費</v>
      </c>
      <c r="R114" s="769">
        <f>IF($F114="","",$I114+$J114+$K114)</f>
        <v>0</v>
      </c>
      <c r="S114" s="769" t="str">
        <f>IF(OR($F114="",$P114="支払なし",$H114=0,$Q114=""),"",$Q114&amp;"|S|"&amp;(COUNTIF(S$4:S113,$Q114&amp;"|S|*")+1))</f>
        <v>通信運搬費|S|10</v>
      </c>
      <c r="T114" s="769" t="str">
        <f>IF(OR($F114="",$P114="支払なし",$R114=0,$Q114=""),"",$Q114&amp;"|L|"&amp;(COUNTIF(T$4:T113,$Q114&amp;"|L|*")+1))</f>
        <v/>
      </c>
      <c r="U114" s="769">
        <f>IF(OR($F114="",$A114=""),"",MOD(MONTH($A114)-4,12)+1)</f>
        <v>4</v>
      </c>
    </row>
    <row r="115" ht="16.5" customFormat="1" customHeight="1" s="43">
      <c r="A115" s="760" t="n">
        <v>46262</v>
      </c>
      <c r="B115" s="761" t="n"/>
      <c r="C115" s="762" t="inlineStr">
        <is>
          <t>事務費</t>
        </is>
      </c>
      <c r="D115" s="762" t="inlineStr">
        <is>
          <t>図書印刷費</t>
        </is>
      </c>
      <c r="E115" s="777" t="inlineStr">
        <is>
          <t>広報誌等配布用窓付封筒12,200枚</t>
        </is>
      </c>
      <c r="F115" s="782" t="n">
        <v>73810</v>
      </c>
      <c r="G115" s="772" t="n">
        <v>3</v>
      </c>
      <c r="H115" s="765">
        <f>IF(G115=1,F115-I115-J115-K115,IF(G115=2,F115,0))</f>
        <v>0</v>
      </c>
      <c r="I115" s="765">
        <f>ROUND(IF(G115=1,F115*10/23,IF(G115=3,F115-J115-K115,IF(G115=4,F115,IF(G115=5,F115*10/11,IF(G115=7,F115*10/11,0))))),0)</f>
        <v>61508</v>
      </c>
      <c r="J115" s="765">
        <f>ROUND(IF(G115=1,F115/23,IF(G115=3,F115/12,IF(G115=5,F115-I115,IF(G115=8,F115,0)))),0)</f>
        <v>6151</v>
      </c>
      <c r="K115" s="766">
        <f>ROUND(IF(G115=1,F115/23,IF(G115=3,F115/12,IF(G115=6,F115,IF(G115=7,F115-I115,0)))),0)</f>
        <v>6151</v>
      </c>
      <c r="L115" s="767">
        <f>IF(G115=6,F115,0)</f>
        <v>0</v>
      </c>
      <c r="M115" s="572">
        <f>IF(F115="",0,MONTH(A115))</f>
        <v>8</v>
      </c>
      <c r="P115" s="768" t="inlineStr">
        <is>
          <t>確認済</t>
        </is>
      </c>
      <c r="Q115" s="769" t="str">
        <f>IF($F115="","",IFERROR(VLOOKUP($C115&amp;"|"&amp;$D115,科目表!$A$5:$B$200,2,FALSE),"※未登録"))</f>
        <v>図書印刷費</v>
      </c>
      <c r="R115" s="769">
        <f>IF($F115="","",$I115+$J115+$K115)</f>
        <v>73810</v>
      </c>
      <c r="S115" s="769" t="str">
        <f>IF(OR($F115="",$P115="支払なし",$H115=0,$Q115=""),"",$Q115&amp;"|S|"&amp;(COUNTIF(S$4:S114,$Q115&amp;"|S|*")+1))</f>
        <v/>
      </c>
      <c r="T115" s="769" t="str">
        <f>IF(OR($F115="",$P115="支払なし",$R115=0,$Q115=""),"",$Q115&amp;"|L|"&amp;(COUNTIF(T$4:T114,$Q115&amp;"|L|*")+1))</f>
        <v>図書印刷費|L|4</v>
      </c>
      <c r="U115" s="769">
        <f>IF(OR($F115="",$A115=""),"",MOD(MONTH($A115)-4,12)+1)</f>
        <v>5</v>
      </c>
    </row>
    <row r="116" ht="16.5" customFormat="1" customHeight="1" s="43">
      <c r="A116" s="760" t="n">
        <v>46203</v>
      </c>
      <c r="B116" s="761" t="n"/>
      <c r="C116" s="762" t="inlineStr">
        <is>
          <t>事務費</t>
        </is>
      </c>
      <c r="D116" s="762" t="inlineStr">
        <is>
          <t>図書印刷費</t>
        </is>
      </c>
      <c r="E116" s="783" t="inlineStr">
        <is>
          <t>厚生法規総覧追録　６１０６－６１１５号</t>
        </is>
      </c>
      <c r="F116" s="764" t="n">
        <v>33154</v>
      </c>
      <c r="G116" s="764" t="n">
        <v>2</v>
      </c>
      <c r="H116" s="765">
        <f>IF(G116=1,F116-I116-J116-K116,IF(G116=2,F116,0))</f>
        <v>33154</v>
      </c>
      <c r="I116" s="765">
        <f>ROUND(IF(G116=1,F116*10/23,IF(G116=3,F116-J116-K116,IF(G116=4,F116,IF(G116=5,F116*10/11,IF(G116=7,F116*10/11,0))))),0)</f>
        <v>0</v>
      </c>
      <c r="J116" s="765">
        <f>ROUND(IF(G116=1,F116/23,IF(G116=3,F116/12,IF(G116=5,F116-I116,IF(G116=8,F116,0)))),0)</f>
        <v>0</v>
      </c>
      <c r="K116" s="766">
        <f>ROUND(IF(G116=1,F116/23,IF(G116=3,F116/12,IF(G116=6,F116,IF(G116=7,F116-I116,0)))),0)</f>
        <v>0</v>
      </c>
      <c r="L116" s="767">
        <f>IF(G116=6,F116,0)</f>
        <v>0</v>
      </c>
      <c r="M116" s="572">
        <f>IF(F116="",0,MONTH(A116))</f>
        <v>6</v>
      </c>
      <c r="P116" s="768" t="inlineStr">
        <is>
          <t>確認済</t>
        </is>
      </c>
      <c r="Q116" s="769" t="str">
        <f>IF($F116="","",IFERROR(VLOOKUP($C116&amp;"|"&amp;$D116,科目表!$A$5:$B$200,2,FALSE),"※未登録"))</f>
        <v>図書印刷費</v>
      </c>
      <c r="R116" s="769">
        <f>IF($F116="","",$I116+$J116+$K116)</f>
        <v>0</v>
      </c>
      <c r="S116" s="769" t="str">
        <f>IF(OR($F116="",$P116="支払なし",$H116=0,$Q116=""),"",$Q116&amp;"|S|"&amp;(COUNTIF(S$4:S115,$Q116&amp;"|S|*")+1))</f>
        <v>図書印刷費|S|5</v>
      </c>
      <c r="T116" s="769" t="str">
        <f>IF(OR($F116="",$P116="支払なし",$R116=0,$Q116=""),"",$Q116&amp;"|L|"&amp;(COUNTIF(T$4:T115,$Q116&amp;"|L|*")+1))</f>
        <v/>
      </c>
      <c r="U116" s="769">
        <f>IF(OR($F116="",$A116=""),"",MOD(MONTH($A116)-4,12)+1)</f>
        <v>3</v>
      </c>
    </row>
    <row r="117" ht="16.5" customFormat="1" customHeight="1" s="418">
      <c r="A117" s="760" t="n">
        <v>45848</v>
      </c>
      <c r="B117" s="761" t="n"/>
      <c r="C117" s="762" t="inlineStr">
        <is>
          <t>事務費</t>
        </is>
      </c>
      <c r="D117" s="762" t="inlineStr">
        <is>
          <t>図書印刷費</t>
        </is>
      </c>
      <c r="E117" s="770" t="inlineStr">
        <is>
          <t>窓付洋形（２３５×１２０）封筒のり付　１１，０００部　外４点</t>
        </is>
      </c>
      <c r="F117" s="772" t="n">
        <v>255750</v>
      </c>
      <c r="G117" s="772" t="n">
        <v>3</v>
      </c>
      <c r="H117" s="765">
        <f>IF(G117=1,F117-I117-J117-K117,IF(G117=2,F117,0))</f>
        <v>0</v>
      </c>
      <c r="I117" s="765">
        <f>ROUND(IF(G117=1,F117*10/23,IF(G117=3,F117-J117-K117,IF(G117=4,F117,IF(G117=5,F117*10/11,IF(G117=7,F117*10/11,0))))),0)</f>
        <v>213124</v>
      </c>
      <c r="J117" s="765">
        <f>ROUND(IF(G117=1,F117/23,IF(G117=3,F117/12,IF(G117=5,F117-I117,IF(G117=8,F117,0)))),0)</f>
        <v>21313</v>
      </c>
      <c r="K117" s="766">
        <f>ROUND(IF(G117=1,F117/23,IF(G117=3,F117/12,IF(G117=6,F117,IF(G117=7,F117-I117,0)))),0)</f>
        <v>21313</v>
      </c>
      <c r="L117" s="767">
        <f>IF(G117=6,F117,0)</f>
        <v>0</v>
      </c>
      <c r="M117" s="570">
        <f>IF(F117="",0,MONTH(A117))</f>
        <v>7</v>
      </c>
      <c r="P117" s="768" t="inlineStr">
        <is>
          <t>昨年実績</t>
        </is>
      </c>
      <c r="Q117" s="769" t="str">
        <f>IF($F117="","",IFERROR(VLOOKUP($C117&amp;"|"&amp;$D117,科目表!$A$5:$B$200,2,FALSE),"※未登録"))</f>
        <v>図書印刷費</v>
      </c>
      <c r="R117" s="769">
        <f>IF($F117="","",$I117+$J117+$K117)</f>
        <v>255750</v>
      </c>
      <c r="S117" s="769" t="str">
        <f>IF(OR($F117="",$P117="支払なし",$H117=0,$Q117=""),"",$Q117&amp;"|S|"&amp;(COUNTIF(S$4:S116,$Q117&amp;"|S|*")+1))</f>
        <v/>
      </c>
      <c r="T117" s="769" t="str">
        <f>IF(OR($F117="",$P117="支払なし",$R117=0,$Q117=""),"",$Q117&amp;"|L|"&amp;(COUNTIF(T$4:T116,$Q117&amp;"|L|*")+1))</f>
        <v>図書印刷費|L|5</v>
      </c>
      <c r="U117" s="769">
        <f>IF(OR($F117="",$A117=""),"",MOD(MONTH($A117)-4,12)+1)</f>
        <v>4</v>
      </c>
    </row>
    <row r="118" ht="16.5" customFormat="1" customHeight="1" s="533">
      <c r="A118" s="760" t="n">
        <v>45107</v>
      </c>
      <c r="B118" s="761" t="n"/>
      <c r="C118" s="762" t="inlineStr">
        <is>
          <t>事務費</t>
        </is>
      </c>
      <c r="D118" s="762" t="inlineStr">
        <is>
          <t>通信運搬費</t>
        </is>
      </c>
      <c r="E118" s="775" t="inlineStr">
        <is>
          <t>柔整申請書送付（５月分）</t>
        </is>
      </c>
      <c r="F118" s="764" t="n">
        <v>1489</v>
      </c>
      <c r="G118" s="764" t="n">
        <v>2</v>
      </c>
      <c r="H118" s="765">
        <f>IF(G118=1,F118-I118-J118-K118,IF(G118=2,F118,0))</f>
        <v>1489</v>
      </c>
      <c r="I118" s="765">
        <f>ROUND(IF(G118=1,F118*10/23,IF(G118=3,F118-J118-K118,IF(G118=4,F118,IF(G118=5,F118*10/11,IF(G118=7,F118*10/11,0))))),0)</f>
        <v>0</v>
      </c>
      <c r="J118" s="765">
        <f>ROUND(IF(G118=1,F118/23,IF(G118=3,F118/12,IF(G118=5,F118-I118,IF(G118=8,F118,0)))),0)</f>
        <v>0</v>
      </c>
      <c r="K118" s="766">
        <f>ROUND(IF(G118=1,F118/23,IF(G118=3,F118/12,IF(G118=6,F118,IF(G118=7,F118-I118,0)))),0)</f>
        <v>0</v>
      </c>
      <c r="L118" s="767">
        <f>IF(G118=6,F118,0)</f>
        <v>0</v>
      </c>
      <c r="M118" s="421">
        <f>IF(F118="",0,MONTH(A118))</f>
        <v>6</v>
      </c>
      <c r="P118" s="768" t="inlineStr">
        <is>
          <t>昨年実績</t>
        </is>
      </c>
      <c r="Q118" s="769" t="str">
        <f>IF($F118="","",IFERROR(VLOOKUP($C118&amp;"|"&amp;$D118,科目表!$A$5:$B$200,2,FALSE),"※未登録"))</f>
        <v>通信運搬費</v>
      </c>
      <c r="R118" s="769">
        <f>IF($F118="","",$I118+$J118+$K118)</f>
        <v>0</v>
      </c>
      <c r="S118" s="769" t="str">
        <f>IF(OR($F118="",$P118="支払なし",$H118=0,$Q118=""),"",$Q118&amp;"|S|"&amp;(COUNTIF(S$4:S117,$Q118&amp;"|S|*")+1))</f>
        <v>通信運搬費|S|11</v>
      </c>
      <c r="T118" s="769" t="str">
        <f>IF(OR($F118="",$P118="支払なし",$R118=0,$Q118=""),"",$Q118&amp;"|L|"&amp;(COUNTIF(T$4:T117,$Q118&amp;"|L|*")+1))</f>
        <v/>
      </c>
      <c r="U118" s="769">
        <f>IF(OR($F118="",$A118=""),"",MOD(MONTH($A118)-4,12)+1)</f>
        <v>3</v>
      </c>
    </row>
    <row r="119" ht="16.5" customFormat="1" customHeight="1" s="43">
      <c r="A119" s="760" t="n">
        <v>46202</v>
      </c>
      <c r="B119" s="761" t="n"/>
      <c r="C119" s="762" t="inlineStr">
        <is>
          <t>事務費</t>
        </is>
      </c>
      <c r="D119" s="762" t="inlineStr">
        <is>
          <t>通信運搬費</t>
        </is>
      </c>
      <c r="E119" s="762" t="inlineStr">
        <is>
          <t>料金後納利用料（５月分）</t>
        </is>
      </c>
      <c r="F119" s="772" t="n">
        <v>21810</v>
      </c>
      <c r="G119" s="772" t="n">
        <v>3</v>
      </c>
      <c r="H119" s="765">
        <f>IF(G119=1,F119-I119-J119-K119,IF(G119=2,F119,0))</f>
        <v>0</v>
      </c>
      <c r="I119" s="765">
        <f>ROUND(IF(G119=1,F119*10/23,IF(G119=3,F119-J119-K119,IF(G119=4,F119,IF(G119=5,F119*10/11,IF(G119=7,F119*10/11,0))))),0)</f>
        <v>18174</v>
      </c>
      <c r="J119" s="765">
        <f>ROUND(IF(G119=1,F119/23,IF(G119=3,F119/12,IF(G119=5,F119-I119,IF(G119=8,F119,0)))),0)</f>
        <v>1818</v>
      </c>
      <c r="K119" s="766">
        <f>ROUND(IF(G119=1,F119/23,IF(G119=3,F119/12,IF(G119=6,F119,IF(G119=7,F119-I119,0)))),0)</f>
        <v>1818</v>
      </c>
      <c r="L119" s="767">
        <f>IF(G119=6,F119,0)</f>
        <v>0</v>
      </c>
      <c r="M119" s="572">
        <f>IF(F119="",0,MONTH(A119))</f>
        <v>6</v>
      </c>
      <c r="P119" s="768" t="inlineStr">
        <is>
          <t>確認済</t>
        </is>
      </c>
      <c r="Q119" s="769" t="str">
        <f>IF($F119="","",IFERROR(VLOOKUP($C119&amp;"|"&amp;$D119,科目表!$A$5:$B$200,2,FALSE),"※未登録"))</f>
        <v>通信運搬費</v>
      </c>
      <c r="R119" s="769">
        <f>IF($F119="","",$I119+$J119+$K119)</f>
        <v>21810</v>
      </c>
      <c r="S119" s="769" t="str">
        <f>IF(OR($F119="",$P119="支払なし",$H119=0,$Q119=""),"",$Q119&amp;"|S|"&amp;(COUNTIF(S$4:S118,$Q119&amp;"|S|*")+1))</f>
        <v/>
      </c>
      <c r="T119" s="769" t="str">
        <f>IF(OR($F119="",$P119="支払なし",$R119=0,$Q119=""),"",$Q119&amp;"|L|"&amp;(COUNTIF(T$4:T118,$Q119&amp;"|L|*")+1))</f>
        <v>通信運搬費|L|4</v>
      </c>
      <c r="U119" s="769">
        <f>IF(OR($F119="",$A119=""),"",MOD(MONTH($A119)-4,12)+1)</f>
        <v>3</v>
      </c>
    </row>
    <row r="120" ht="16.5" customFormat="1" customHeight="1" s="43">
      <c r="A120" s="760" t="n">
        <v>46202</v>
      </c>
      <c r="B120" s="761" t="n"/>
      <c r="C120" s="762" t="inlineStr">
        <is>
          <t>事務費</t>
        </is>
      </c>
      <c r="D120" s="762" t="inlineStr">
        <is>
          <t>通信運搬費</t>
        </is>
      </c>
      <c r="E120" s="762" t="inlineStr">
        <is>
          <t>料金後納利用料（５月分）</t>
        </is>
      </c>
      <c r="F120" s="772" t="n">
        <v>32040</v>
      </c>
      <c r="G120" s="772" t="n">
        <v>2</v>
      </c>
      <c r="H120" s="765">
        <f>IF(G120=1,F120-I120-J120-K120,IF(G120=2,F120,0))</f>
        <v>32040</v>
      </c>
      <c r="I120" s="765">
        <f>ROUND(IF(G120=1,F120*10/23,IF(G120=3,F120-J120-K120,IF(G120=4,F120,IF(G120=5,F120*10/11,IF(G120=7,F120*10/11,0))))),0)</f>
        <v>0</v>
      </c>
      <c r="J120" s="765">
        <f>ROUND(IF(G120=1,F120/23,IF(G120=3,F120/12,IF(G120=5,F120-I120,IF(G120=8,F120,0)))),0)</f>
        <v>0</v>
      </c>
      <c r="K120" s="766">
        <f>ROUND(IF(G120=1,F120/23,IF(G120=3,F120/12,IF(G120=6,F120,IF(G120=7,F120-I120,0)))),0)</f>
        <v>0</v>
      </c>
      <c r="L120" s="767">
        <f>IF(G120=6,F120,0)</f>
        <v>0</v>
      </c>
      <c r="M120" s="572">
        <f>IF(F120="",0,MONTH(A120))</f>
        <v>6</v>
      </c>
      <c r="P120" s="768" t="inlineStr">
        <is>
          <t>確認済</t>
        </is>
      </c>
      <c r="Q120" s="769" t="str">
        <f>IF($F120="","",IFERROR(VLOOKUP($C120&amp;"|"&amp;$D120,科目表!$A$5:$B$200,2,FALSE),"※未登録"))</f>
        <v>通信運搬費</v>
      </c>
      <c r="R120" s="769">
        <f>IF($F120="","",$I120+$J120+$K120)</f>
        <v>0</v>
      </c>
      <c r="S120" s="769" t="str">
        <f>IF(OR($F120="",$P120="支払なし",$H120=0,$Q120=""),"",$Q120&amp;"|S|"&amp;(COUNTIF(S$4:S119,$Q120&amp;"|S|*")+1))</f>
        <v>通信運搬費|S|12</v>
      </c>
      <c r="T120" s="769" t="str">
        <f>IF(OR($F120="",$P120="支払なし",$R120=0,$Q120=""),"",$Q120&amp;"|L|"&amp;(COUNTIF(T$4:T119,$Q120&amp;"|L|*")+1))</f>
        <v/>
      </c>
      <c r="U120" s="769">
        <f>IF(OR($F120="",$A120=""),"",MOD(MONTH($A120)-4,12)+1)</f>
        <v>3</v>
      </c>
    </row>
    <row r="121" ht="16.5" customFormat="1" customHeight="1" s="43">
      <c r="A121" s="760" t="n">
        <v>46203</v>
      </c>
      <c r="B121" s="779" t="n"/>
      <c r="C121" s="762" t="inlineStr">
        <is>
          <t>賃借料</t>
        </is>
      </c>
      <c r="D121" s="762" t="n"/>
      <c r="E121" s="777" t="inlineStr">
        <is>
          <t>統合管理端末リース料（５月分）</t>
        </is>
      </c>
      <c r="F121" s="772" t="n">
        <v>12738</v>
      </c>
      <c r="G121" s="772" t="n">
        <v>2</v>
      </c>
      <c r="H121" s="765">
        <f>IF(G121=1,F121-I121-J121-K121,IF(G121=2,F121,0))</f>
        <v>12738</v>
      </c>
      <c r="I121" s="765">
        <f>ROUND(IF(G121=1,F121*10/23,IF(G121=3,F121-J121-K121,IF(G121=4,F121,IF(G121=5,F121*10/11,IF(G121=7,F121*10/11,0))))),0)</f>
        <v>0</v>
      </c>
      <c r="J121" s="765">
        <f>ROUND(IF(G121=1,F121/23,IF(G121=3,F121/12,IF(G121=5,F121-I121,IF(G121=8,F121,0)))),0)</f>
        <v>0</v>
      </c>
      <c r="K121" s="766">
        <f>ROUND(IF(G121=1,F121/23,IF(G121=3,F121/12,IF(G121=6,F121,IF(G121=7,F121-I121,0)))),0)</f>
        <v>0</v>
      </c>
      <c r="L121" s="767">
        <f>IF(G121=6,F121,0)</f>
        <v>0</v>
      </c>
      <c r="M121" s="572">
        <f>IF(F121="",0,MONTH(A121))</f>
        <v>6</v>
      </c>
      <c r="P121" s="768" t="inlineStr">
        <is>
          <t>確認済</t>
        </is>
      </c>
      <c r="Q121" s="769" t="str">
        <f>IF($F121="","",IFERROR(VLOOKUP($C121&amp;"|"&amp;$D121,科目表!$A$5:$B$200,2,FALSE),"※未登録"))</f>
        <v>賃借料</v>
      </c>
      <c r="R121" s="769">
        <f>IF($F121="","",$I121+$J121+$K121)</f>
        <v>0</v>
      </c>
      <c r="S121" s="769" t="str">
        <f>IF(OR($F121="",$P121="支払なし",$H121=0,$Q121=""),"",$Q121&amp;"|S|"&amp;(COUNTIF(S$4:S120,$Q121&amp;"|S|*")+1))</f>
        <v>賃借料|S|7</v>
      </c>
      <c r="T121" s="769" t="str">
        <f>IF(OR($F121="",$P121="支払なし",$R121=0,$Q121=""),"",$Q121&amp;"|L|"&amp;(COUNTIF(T$4:T120,$Q121&amp;"|L|*")+1))</f>
        <v/>
      </c>
      <c r="U121" s="769">
        <f>IF(OR($F121="",$A121=""),"",MOD(MONTH($A121)-4,12)+1)</f>
        <v>3</v>
      </c>
    </row>
    <row r="122" ht="16.5" customFormat="1" customHeight="1" s="422">
      <c r="A122" s="760" t="n">
        <v>43644</v>
      </c>
      <c r="B122" s="761" t="n"/>
      <c r="C122" s="762" t="inlineStr">
        <is>
          <t>賃借料</t>
        </is>
      </c>
      <c r="D122" s="762" t="n"/>
      <c r="E122" s="763" t="inlineStr">
        <is>
          <t>基幹システム（短期）用機器リース料５月分</t>
        </is>
      </c>
      <c r="F122" s="772" t="n">
        <v>193676</v>
      </c>
      <c r="G122" s="772" t="n">
        <v>2</v>
      </c>
      <c r="H122" s="765">
        <f>IF(G122=1,F122-I122-J122-K122,IF(G122=2,F122,0))</f>
        <v>193676</v>
      </c>
      <c r="I122" s="765">
        <f>ROUND(IF(G122=1,F122*10/23,IF(G122=3,F122-J122-K122,IF(G122=4,F122,IF(G122=5,F122*10/11,IF(G122=7,F122*10/11,0))))),0)</f>
        <v>0</v>
      </c>
      <c r="J122" s="765">
        <f>ROUND(IF(G122=1,F122/23,IF(G122=3,F122/12,IF(G122=5,F122-I122,IF(G122=8,F122,0)))),0)</f>
        <v>0</v>
      </c>
      <c r="K122" s="766">
        <f>ROUND(IF(G122=1,F122/23,IF(G122=3,F122/12,IF(G122=6,F122,IF(G122=7,F122-I122,0)))),0)</f>
        <v>0</v>
      </c>
      <c r="L122" s="767">
        <f>IF(G122=6,F122,0)</f>
        <v>0</v>
      </c>
      <c r="M122" s="421">
        <f>IF(F122="",0,MONTH(A122))</f>
        <v>6</v>
      </c>
      <c r="P122" s="768" t="inlineStr">
        <is>
          <t>昨年実績</t>
        </is>
      </c>
      <c r="Q122" s="769" t="str">
        <f>IF($F122="","",IFERROR(VLOOKUP($C122&amp;"|"&amp;$D122,科目表!$A$5:$B$200,2,FALSE),"※未登録"))</f>
        <v>賃借料</v>
      </c>
      <c r="R122" s="769">
        <f>IF($F122="","",$I122+$J122+$K122)</f>
        <v>0</v>
      </c>
      <c r="S122" s="769" t="str">
        <f>IF(OR($F122="",$P122="支払なし",$H122=0,$Q122=""),"",$Q122&amp;"|S|"&amp;(COUNTIF(S$4:S121,$Q122&amp;"|S|*")+1))</f>
        <v>賃借料|S|8</v>
      </c>
      <c r="T122" s="769" t="str">
        <f>IF(OR($F122="",$P122="支払なし",$R122=0,$Q122=""),"",$Q122&amp;"|L|"&amp;(COUNTIF(T$4:T121,$Q122&amp;"|L|*")+1))</f>
        <v/>
      </c>
      <c r="U122" s="769">
        <f>IF(OR($F122="",$A122=""),"",MOD(MONTH($A122)-4,12)+1)</f>
        <v>3</v>
      </c>
    </row>
    <row r="123" ht="16.5" customFormat="1" customHeight="1" s="422">
      <c r="A123" s="760" t="n">
        <v>45469</v>
      </c>
      <c r="B123" s="761" t="n"/>
      <c r="C123" s="762" t="inlineStr">
        <is>
          <t>委託費</t>
        </is>
      </c>
      <c r="D123" s="762" t="n"/>
      <c r="E123" s="784" t="inlineStr">
        <is>
          <t>統合管理端末保守料（４月～３月分）</t>
        </is>
      </c>
      <c r="F123" s="764" t="n">
        <v>149050</v>
      </c>
      <c r="G123" s="764" t="n">
        <v>2</v>
      </c>
      <c r="H123" s="765">
        <f>IF(G123=1,F123-I123-J123-K123,IF(G123=2,F123,0))</f>
        <v>149050</v>
      </c>
      <c r="I123" s="765">
        <f>ROUND(IF(G123=1,F123*10/23,IF(G123=3,F123-J123-K123,IF(G123=4,F123,IF(G123=5,F123*10/11,IF(G123=7,F123*10/11,0))))),0)</f>
        <v>0</v>
      </c>
      <c r="J123" s="765">
        <f>ROUND(IF(G123=1,F123/23,IF(G123=3,F123/12,IF(G123=5,F123-I123,IF(G123=8,F123,0)))),0)</f>
        <v>0</v>
      </c>
      <c r="K123" s="766">
        <f>ROUND(IF(G123=1,F123/23,IF(G123=3,F123/12,IF(G123=6,F123,IF(G123=7,F123-I123,0)))),0)</f>
        <v>0</v>
      </c>
      <c r="L123" s="767">
        <f>IF(G123=6,F123,0)</f>
        <v>0</v>
      </c>
      <c r="M123" s="421">
        <f>IF(F123="",0,MONTH(A123))</f>
        <v>6</v>
      </c>
      <c r="P123" s="768" t="inlineStr">
        <is>
          <t>昨年実績</t>
        </is>
      </c>
      <c r="Q123" s="769" t="str">
        <f>IF($F123="","",IFERROR(VLOOKUP($C123&amp;"|"&amp;$D123,科目表!$A$5:$B$200,2,FALSE),"※未登録"))</f>
        <v>委託費</v>
      </c>
      <c r="R123" s="769">
        <f>IF($F123="","",$I123+$J123+$K123)</f>
        <v>0</v>
      </c>
      <c r="S123" s="769" t="str">
        <f>IF(OR($F123="",$P123="支払なし",$H123=0,$Q123=""),"",$Q123&amp;"|S|"&amp;(COUNTIF(S$4:S122,$Q123&amp;"|S|*")+1))</f>
        <v>委託費|S|13</v>
      </c>
      <c r="T123" s="769" t="str">
        <f>IF(OR($F123="",$P123="支払なし",$R123=0,$Q123=""),"",$Q123&amp;"|L|"&amp;(COUNTIF(T$4:T122,$Q123&amp;"|L|*")+1))</f>
        <v/>
      </c>
      <c r="U123" s="769">
        <f>IF(OR($F123="",$A123=""),"",MOD(MONTH($A123)-4,12)+1)</f>
        <v>3</v>
      </c>
    </row>
    <row r="124" ht="16.5" customFormat="1" customHeight="1" s="43">
      <c r="A124" s="760" t="n">
        <v>46203</v>
      </c>
      <c r="B124" s="761" t="n"/>
      <c r="C124" s="762" t="inlineStr">
        <is>
          <t>職員給与</t>
        </is>
      </c>
      <c r="D124" s="762" t="inlineStr">
        <is>
          <t>非常勤職員手当</t>
        </is>
      </c>
      <c r="E124" s="762" t="inlineStr">
        <is>
          <t>６月分賞与（長期分）</t>
        </is>
      </c>
      <c r="F124" s="785" t="n">
        <v>867690</v>
      </c>
      <c r="G124" s="772" t="n">
        <v>3</v>
      </c>
      <c r="H124" s="765">
        <f>IF(G124=1,F124-I124-J124-K124,IF(G124=2,F124,0))</f>
        <v>0</v>
      </c>
      <c r="I124" s="765">
        <f>ROUND(IF(G124=1,F124*10/23,IF(G124=3,F124-J124-K124,IF(G124=4,F124,IF(G124=5,F124*10/11,IF(G124=7,F124*10/11,0))))),0)</f>
        <v>723074</v>
      </c>
      <c r="J124" s="765">
        <f>ROUND(IF(G124=1,F124/23,IF(G124=3,F124/12,IF(G124=5,F124-I124,IF(G124=8,F124,0)))),0)</f>
        <v>72308</v>
      </c>
      <c r="K124" s="766">
        <f>ROUND(IF(G124=1,F124/23,IF(G124=3,F124/12,IF(G124=6,F124,IF(G124=7,F124-I124,0)))),0)</f>
        <v>72308</v>
      </c>
      <c r="L124" s="767">
        <f>IF(G124=6,F124,0)</f>
        <v>0</v>
      </c>
      <c r="M124" s="572">
        <f>IF(F124="",0,MONTH(A124))</f>
        <v>6</v>
      </c>
      <c r="P124" s="768" t="inlineStr">
        <is>
          <t>確認済</t>
        </is>
      </c>
      <c r="Q124" s="769" t="str">
        <f>IF($F124="","",IFERROR(VLOOKUP($C124&amp;"|"&amp;$D124,科目表!$A$5:$B$200,2,FALSE),"※未登録"))</f>
        <v>非常勤職員手当</v>
      </c>
      <c r="R124" s="769">
        <f>IF($F124="","",$I124+$J124+$K124)</f>
        <v>867690</v>
      </c>
      <c r="S124" s="769" t="str">
        <f>IF(OR($F124="",$P124="支払なし",$H124=0,$Q124=""),"",$Q124&amp;"|S|"&amp;(COUNTIF(S$4:S123,$Q124&amp;"|S|*")+1))</f>
        <v/>
      </c>
      <c r="T124" s="769" t="str">
        <f>IF(OR($F124="",$P124="支払なし",$R124=0,$Q124=""),"",$Q124&amp;"|L|"&amp;(COUNTIF(T$4:T123,$Q124&amp;"|L|*")+1))</f>
        <v>非常勤職員手当|L|4</v>
      </c>
      <c r="U124" s="769">
        <f>IF(OR($F124="",$A124=""),"",MOD(MONTH($A124)-4,12)+1)</f>
        <v>3</v>
      </c>
    </row>
    <row r="125" ht="16.5" customFormat="1" customHeight="1" s="43">
      <c r="A125" s="760" t="n">
        <v>46203</v>
      </c>
      <c r="B125" s="761" t="n"/>
      <c r="C125" s="762" t="inlineStr">
        <is>
          <t>職員給与</t>
        </is>
      </c>
      <c r="D125" s="762" t="inlineStr">
        <is>
          <t>非常勤職員手当</t>
        </is>
      </c>
      <c r="E125" s="762" t="inlineStr">
        <is>
          <t>６月分賞与（短期分）</t>
        </is>
      </c>
      <c r="F125" s="774" t="n">
        <v>447795</v>
      </c>
      <c r="G125" s="772" t="n">
        <v>2</v>
      </c>
      <c r="H125" s="765">
        <f>IF(G125=1,F125-I125-J125-K125,IF(G125=2,F125,0))</f>
        <v>447795</v>
      </c>
      <c r="I125" s="765">
        <f>ROUND(IF(G125=1,F125*10/23,IF(G125=3,F125-J125-K125,IF(G125=4,F125,IF(G125=5,F125*10/11,IF(G125=7,F125*10/11,0))))),0)</f>
        <v>0</v>
      </c>
      <c r="J125" s="765">
        <f>ROUND(IF(G125=1,F125/23,IF(G125=3,F125/12,IF(G125=5,F125-I125,IF(G125=8,F125,0)))),0)</f>
        <v>0</v>
      </c>
      <c r="K125" s="766">
        <f>ROUND(IF(G125=1,F125/23,IF(G125=3,F125/12,IF(G125=6,F125,IF(G125=7,F125-I125,0)))),0)</f>
        <v>0</v>
      </c>
      <c r="L125" s="767">
        <f>IF(G125=6,F125,0)</f>
        <v>0</v>
      </c>
      <c r="M125" s="572">
        <f>IF(F125="",0,MONTH(A125))</f>
        <v>6</v>
      </c>
      <c r="P125" s="768" t="inlineStr">
        <is>
          <t>確認済</t>
        </is>
      </c>
      <c r="Q125" s="769" t="str">
        <f>IF($F125="","",IFERROR(VLOOKUP($C125&amp;"|"&amp;$D125,科目表!$A$5:$B$200,2,FALSE),"※未登録"))</f>
        <v>非常勤職員手当</v>
      </c>
      <c r="R125" s="769">
        <f>IF($F125="","",$I125+$J125+$K125)</f>
        <v>0</v>
      </c>
      <c r="S125" s="769" t="str">
        <f>IF(OR($F125="",$P125="支払なし",$H125=0,$Q125=""),"",$Q125&amp;"|S|"&amp;(COUNTIF(S$4:S124,$Q125&amp;"|S|*")+1))</f>
        <v>非常勤職員手当|S|4</v>
      </c>
      <c r="T125" s="769" t="str">
        <f>IF(OR($F125="",$P125="支払なし",$R125=0,$Q125=""),"",$Q125&amp;"|L|"&amp;(COUNTIF(T$4:T124,$Q125&amp;"|L|*")+1))</f>
        <v/>
      </c>
      <c r="U125" s="769">
        <f>IF(OR($F125="",$A125=""),"",MOD(MONTH($A125)-4,12)+1)</f>
        <v>3</v>
      </c>
    </row>
    <row r="126" ht="16.5" customFormat="1" customHeight="1" s="43">
      <c r="A126" s="760" t="n">
        <v>46203</v>
      </c>
      <c r="B126" s="761" t="n"/>
      <c r="C126" s="762" t="inlineStr">
        <is>
          <t>事務費</t>
        </is>
      </c>
      <c r="D126" s="762" t="inlineStr">
        <is>
          <t>事務用消耗品費</t>
        </is>
      </c>
      <c r="E126" s="770" t="inlineStr">
        <is>
          <t>アラビック補充用　ＥＮＡ－９６０／３本入　５箱</t>
        </is>
      </c>
      <c r="F126" s="786" t="n">
        <v>13860</v>
      </c>
      <c r="G126" s="764" t="n">
        <v>2</v>
      </c>
      <c r="H126" s="765">
        <f>IF(G126=1,F126-I126-J126-K126,IF(G126=2,F126,0))</f>
        <v>13860</v>
      </c>
      <c r="I126" s="765">
        <f>ROUND(IF(G126=1,F126*10/23,IF(G126=3,F126-J126-K126,IF(G126=4,F126,IF(G126=5,F126*10/11,IF(G126=7,F126*10/11,0))))),0)</f>
        <v>0</v>
      </c>
      <c r="J126" s="765">
        <f>ROUND(IF(G126=1,F126/23,IF(G126=3,F126/12,IF(G126=5,F126-I126,IF(G126=8,F126,0)))),0)</f>
        <v>0</v>
      </c>
      <c r="K126" s="766">
        <f>ROUND(IF(G126=1,F126/23,IF(G126=3,F126/12,IF(G126=6,F126,IF(G126=7,F126-I126,0)))),0)</f>
        <v>0</v>
      </c>
      <c r="L126" s="767">
        <f>IF(G126=6,F126,0)</f>
        <v>0</v>
      </c>
      <c r="M126" s="572">
        <f>IF(F126="",0,MONTH(A126))</f>
        <v>6</v>
      </c>
      <c r="P126" s="768" t="inlineStr">
        <is>
          <t>確認済</t>
        </is>
      </c>
      <c r="Q126" s="769" t="str">
        <f>IF($F126="","",IFERROR(VLOOKUP($C126&amp;"|"&amp;$D126,科目表!$A$5:$B$200,2,FALSE),"※未登録"))</f>
        <v>事務用消耗品費</v>
      </c>
      <c r="R126" s="769">
        <f>IF($F126="","",$I126+$J126+$K126)</f>
        <v>0</v>
      </c>
      <c r="S126" s="769" t="str">
        <f>IF(OR($F126="",$P126="支払なし",$H126=0,$Q126=""),"",$Q126&amp;"|S|"&amp;(COUNTIF(S$4:S125,$Q126&amp;"|S|*")+1))</f>
        <v>事務用消耗品費|S|9</v>
      </c>
      <c r="T126" s="769" t="str">
        <f>IF(OR($F126="",$P126="支払なし",$R126=0,$Q126=""),"",$Q126&amp;"|L|"&amp;(COUNTIF(T$4:T125,$Q126&amp;"|L|*")+1))</f>
        <v/>
      </c>
      <c r="U126" s="769">
        <f>IF(OR($F126="",$A126=""),"",MOD(MONTH($A126)-4,12)+1)</f>
        <v>3</v>
      </c>
    </row>
    <row r="127" ht="16.5" customFormat="1" customHeight="1" s="43">
      <c r="A127" s="760" t="n">
        <v>45838</v>
      </c>
      <c r="B127" s="761" t="n"/>
      <c r="C127" s="762" t="inlineStr">
        <is>
          <t>事務費</t>
        </is>
      </c>
      <c r="D127" s="762" t="inlineStr">
        <is>
          <t>事務用消耗品費</t>
        </is>
      </c>
      <c r="E127" s="770" t="inlineStr">
        <is>
          <t>のり　B765J-10/10本入　1箱　ほか</t>
        </is>
      </c>
      <c r="F127" s="764" t="n">
        <v>2906</v>
      </c>
      <c r="G127" s="764" t="n">
        <v>2</v>
      </c>
      <c r="H127" s="765">
        <f>IF(G127=1,F127-I127-J127-K127,IF(G127=2,F127,0))</f>
        <v>2906</v>
      </c>
      <c r="I127" s="765">
        <f>ROUND(IF(G127=1,F127*10/23,IF(G127=3,F127-J127-K127,IF(G127=4,F127,IF(G127=5,F127*10/11,IF(G127=7,F127*10/11,0))))),0)</f>
        <v>0</v>
      </c>
      <c r="J127" s="765">
        <f>ROUND(IF(G127=1,F127/23,IF(G127=3,F127/12,IF(G127=5,F127-I127,IF(G127=8,F127,0)))),0)</f>
        <v>0</v>
      </c>
      <c r="K127" s="766">
        <f>ROUND(IF(G127=1,F127/23,IF(G127=3,F127/12,IF(G127=6,F127,IF(G127=7,F127-I127,0)))),0)</f>
        <v>0</v>
      </c>
      <c r="L127" s="767">
        <f>IF(G127=6,F127,0)</f>
        <v>0</v>
      </c>
      <c r="M127" s="572">
        <f>IF(F127="",0,MONTH(A127))</f>
        <v>6</v>
      </c>
      <c r="P127" s="768" t="inlineStr">
        <is>
          <t>昨年実績</t>
        </is>
      </c>
      <c r="Q127" s="769" t="str">
        <f>IF($F127="","",IFERROR(VLOOKUP($C127&amp;"|"&amp;$D127,科目表!$A$5:$B$200,2,FALSE),"※未登録"))</f>
        <v>事務用消耗品費</v>
      </c>
      <c r="R127" s="769">
        <f>IF($F127="","",$I127+$J127+$K127)</f>
        <v>0</v>
      </c>
      <c r="S127" s="769" t="str">
        <f>IF(OR($F127="",$P127="支払なし",$H127=0,$Q127=""),"",$Q127&amp;"|S|"&amp;(COUNTIF(S$4:S126,$Q127&amp;"|S|*")+1))</f>
        <v>事務用消耗品費|S|10</v>
      </c>
      <c r="T127" s="769" t="str">
        <f>IF(OR($F127="",$P127="支払なし",$R127=0,$Q127=""),"",$Q127&amp;"|L|"&amp;(COUNTIF(T$4:T126,$Q127&amp;"|L|*")+1))</f>
        <v/>
      </c>
      <c r="U127" s="769">
        <f>IF(OR($F127="",$A127=""),"",MOD(MONTH($A127)-4,12)+1)</f>
        <v>3</v>
      </c>
    </row>
    <row r="128" ht="16.5" customFormat="1" customHeight="1" s="43">
      <c r="A128" s="760" t="n">
        <v>46203</v>
      </c>
      <c r="B128" s="761" t="n"/>
      <c r="C128" s="762" t="inlineStr">
        <is>
          <t>負担金</t>
        </is>
      </c>
      <c r="D128" s="762" t="inlineStr">
        <is>
          <t>負担金</t>
        </is>
      </c>
      <c r="E128" s="762" t="inlineStr">
        <is>
          <t>共済短期・介護負担金（6月賞与分）長期</t>
        </is>
      </c>
      <c r="F128" s="771" t="n">
        <v>49130</v>
      </c>
      <c r="G128" s="772" t="n">
        <v>3</v>
      </c>
      <c r="H128" s="765">
        <f>IF(G128=1,F128-I128-J128-K128,IF(G128=2,F128,0))</f>
        <v>0</v>
      </c>
      <c r="I128" s="765">
        <f>ROUND(IF(G128=1,F128*10/23,IF(G128=3,F128-J128-K128,IF(G128=4,F128,IF(G128=5,F128*10/11,IF(G128=7,F128*10/11,0))))),0)</f>
        <v>40942</v>
      </c>
      <c r="J128" s="765">
        <f>ROUND(IF(G128=1,F128/23,IF(G128=3,F128/12,IF(G128=5,F128-I128,IF(G128=8,F128,0)))),0)</f>
        <v>4094</v>
      </c>
      <c r="K128" s="766">
        <f>ROUND(IF(G128=1,F128/23,IF(G128=3,F128/12,IF(G128=6,F128,IF(G128=7,F128-I128,0)))),0)</f>
        <v>4094</v>
      </c>
      <c r="L128" s="767">
        <f>IF(G128=6,F128,0)</f>
        <v>0</v>
      </c>
      <c r="M128" s="572">
        <f>IF(F128="",0,MONTH(A128))</f>
        <v>6</v>
      </c>
      <c r="P128" s="768" t="inlineStr">
        <is>
          <t>確認済</t>
        </is>
      </c>
      <c r="Q128" s="769" t="str">
        <f>IF($F128="","",IFERROR(VLOOKUP($C128&amp;"|"&amp;$D128,科目表!$A$5:$B$200,2,FALSE),"※未登録"))</f>
        <v>共済負担金等</v>
      </c>
      <c r="R128" s="769">
        <f>IF($F128="","",$I128+$J128+$K128)</f>
        <v>49130</v>
      </c>
      <c r="S128" s="769" t="str">
        <f>IF(OR($F128="",$P128="支払なし",$H128=0,$Q128=""),"",$Q128&amp;"|S|"&amp;(COUNTIF(S$4:S127,$Q128&amp;"|S|*")+1))</f>
        <v/>
      </c>
      <c r="T128" s="769" t="str">
        <f>IF(OR($F128="",$P128="支払なし",$R128=0,$Q128=""),"",$Q128&amp;"|L|"&amp;(COUNTIF(T$4:T127,$Q128&amp;"|L|*")+1))</f>
        <v>共済負担金等|L|5</v>
      </c>
      <c r="U128" s="769">
        <f>IF(OR($F128="",$A128=""),"",MOD(MONTH($A128)-4,12)+1)</f>
        <v>3</v>
      </c>
    </row>
    <row r="129" ht="16.5" customFormat="1" customHeight="1" s="43">
      <c r="A129" s="760" t="n">
        <v>46203</v>
      </c>
      <c r="B129" s="761" t="n"/>
      <c r="C129" s="762" t="inlineStr">
        <is>
          <t>負担金</t>
        </is>
      </c>
      <c r="D129" s="762" t="inlineStr">
        <is>
          <t>負担金</t>
        </is>
      </c>
      <c r="E129" s="762" t="inlineStr">
        <is>
          <t>共済短期・介護負担金（6月賞与分）短期</t>
        </is>
      </c>
      <c r="F129" s="771" t="n">
        <v>27249</v>
      </c>
      <c r="G129" s="772" t="n">
        <v>2</v>
      </c>
      <c r="H129" s="765">
        <f>IF(G129=1,F129-I129-J129-K129,IF(G129=2,F129,0))</f>
        <v>27249</v>
      </c>
      <c r="I129" s="765">
        <f>ROUND(IF(G129=1,F129*10/23,IF(G129=3,F129-J129-K129,IF(G129=4,F129,IF(G129=5,F129*10/11,IF(G129=7,F129*10/11,0))))),0)</f>
        <v>0</v>
      </c>
      <c r="J129" s="765">
        <f>ROUND(IF(G129=1,F129/23,IF(G129=3,F129/12,IF(G129=5,F129-I129,IF(G129=8,F129,0)))),0)</f>
        <v>0</v>
      </c>
      <c r="K129" s="766">
        <f>ROUND(IF(G129=1,F129/23,IF(G129=3,F129/12,IF(G129=6,F129,IF(G129=7,F129-I129,0)))),0)</f>
        <v>0</v>
      </c>
      <c r="L129" s="767">
        <f>IF(G129=6,F129,0)</f>
        <v>0</v>
      </c>
      <c r="M129" s="572">
        <f>IF(F129="",0,MONTH(A129))</f>
        <v>6</v>
      </c>
      <c r="P129" s="768" t="inlineStr">
        <is>
          <t>確認済</t>
        </is>
      </c>
      <c r="Q129" s="769" t="str">
        <f>IF($F129="","",IFERROR(VLOOKUP($C129&amp;"|"&amp;$D129,科目表!$A$5:$B$200,2,FALSE),"※未登録"))</f>
        <v>共済負担金等</v>
      </c>
      <c r="R129" s="769">
        <f>IF($F129="","",$I129+$J129+$K129)</f>
        <v>0</v>
      </c>
      <c r="S129" s="769" t="str">
        <f>IF(OR($F129="",$P129="支払なし",$H129=0,$Q129=""),"",$Q129&amp;"|S|"&amp;(COUNTIF(S$4:S128,$Q129&amp;"|S|*")+1))</f>
        <v>共済負担金等|S|5</v>
      </c>
      <c r="T129" s="769" t="str">
        <f>IF(OR($F129="",$P129="支払なし",$R129=0,$Q129=""),"",$Q129&amp;"|L|"&amp;(COUNTIF(T$4:T128,$Q129&amp;"|L|*")+1))</f>
        <v/>
      </c>
      <c r="U129" s="769">
        <f>IF(OR($F129="",$A129=""),"",MOD(MONTH($A129)-4,12)+1)</f>
        <v>3</v>
      </c>
    </row>
    <row r="130" ht="16.5" customFormat="1" customHeight="1" s="422">
      <c r="A130" s="760" t="n">
        <v>44074</v>
      </c>
      <c r="B130" s="761" t="n"/>
      <c r="C130" s="762" t="inlineStr">
        <is>
          <t>事務費</t>
        </is>
      </c>
      <c r="D130" s="762" t="inlineStr">
        <is>
          <t>事務用消耗品費</t>
        </is>
      </c>
      <c r="E130" s="770" t="inlineStr">
        <is>
          <t>被保険者台帳ファイル　1,000部</t>
        </is>
      </c>
      <c r="F130" s="764" t="n">
        <v>164780</v>
      </c>
      <c r="G130" s="764" t="n">
        <v>2</v>
      </c>
      <c r="H130" s="765">
        <f>IF(G130=1,F130-I130-J130-K130,IF(G130=2,F130,0))</f>
        <v>164780</v>
      </c>
      <c r="I130" s="765">
        <f>ROUND(IF(G130=1,F130*10/23,IF(G130=3,F130-J130-K130,IF(G130=4,F130,IF(G130=5,F130*10/11,IF(G130=7,F130*10/11,0))))),0)</f>
        <v>0</v>
      </c>
      <c r="J130" s="765">
        <f>ROUND(IF(G130=1,F130/23,IF(G130=3,F130/12,IF(G130=5,F130-I130,IF(G130=8,F130,0)))),0)</f>
        <v>0</v>
      </c>
      <c r="K130" s="766">
        <f>ROUND(IF(G130=1,F130/23,IF(G130=3,F130/12,IF(G130=6,F130,IF(G130=7,F130-I130,0)))),0)</f>
        <v>0</v>
      </c>
      <c r="L130" s="767">
        <f>IF(G130=6,F130,0)</f>
        <v>0</v>
      </c>
      <c r="M130" s="421">
        <f>IF(F130="",0,MONTH(A130))</f>
        <v>8</v>
      </c>
      <c r="P130" s="768" t="inlineStr">
        <is>
          <t>昨年実績</t>
        </is>
      </c>
      <c r="Q130" s="769" t="str">
        <f>IF($F130="","",IFERROR(VLOOKUP($C130&amp;"|"&amp;$D130,科目表!$A$5:$B$200,2,FALSE),"※未登録"))</f>
        <v>事務用消耗品費</v>
      </c>
      <c r="R130" s="769">
        <f>IF($F130="","",$I130+$J130+$K130)</f>
        <v>0</v>
      </c>
      <c r="S130" s="769" t="str">
        <f>IF(OR($F130="",$P130="支払なし",$H130=0,$Q130=""),"",$Q130&amp;"|S|"&amp;(COUNTIF(S$4:S129,$Q130&amp;"|S|*")+1))</f>
        <v>事務用消耗品費|S|11</v>
      </c>
      <c r="T130" s="769" t="str">
        <f>IF(OR($F130="",$P130="支払なし",$R130=0,$Q130=""),"",$Q130&amp;"|L|"&amp;(COUNTIF(T$4:T129,$Q130&amp;"|L|*")+1))</f>
        <v/>
      </c>
      <c r="U130" s="769">
        <f>IF(OR($F130="",$A130=""),"",MOD(MONTH($A130)-4,12)+1)</f>
        <v>5</v>
      </c>
    </row>
    <row r="131" ht="16.5" customFormat="1" customHeight="1" s="43">
      <c r="A131" s="760" t="n">
        <v>46203</v>
      </c>
      <c r="B131" s="761" t="n"/>
      <c r="C131" s="762" t="inlineStr">
        <is>
          <t>委託費</t>
        </is>
      </c>
      <c r="D131" s="762" t="n"/>
      <c r="E131" s="762" t="inlineStr">
        <is>
          <t>柔整等療養費支給申請書の入力（５月分）</t>
        </is>
      </c>
      <c r="F131" s="772" t="n">
        <v>122222</v>
      </c>
      <c r="G131" s="772" t="n">
        <v>2</v>
      </c>
      <c r="H131" s="765">
        <f>IF(G131=1,F131-I131-J131-K131,IF(G131=2,F131,0))</f>
        <v>122222</v>
      </c>
      <c r="I131" s="765">
        <f>ROUND(IF(G131=1,F131*10/23,IF(G131=3,F131-J131-K131,IF(G131=4,F131,IF(G131=5,F131*10/11,IF(G131=7,F131*10/11,0))))),0)</f>
        <v>0</v>
      </c>
      <c r="J131" s="765">
        <f>ROUND(IF(G131=1,F131/23,IF(G131=3,F131/12,IF(G131=5,F131-I131,IF(G131=8,F131,0)))),0)</f>
        <v>0</v>
      </c>
      <c r="K131" s="766">
        <f>ROUND(IF(G131=1,F131/23,IF(G131=3,F131/12,IF(G131=6,F131,IF(G131=7,F131-I131,0)))),0)</f>
        <v>0</v>
      </c>
      <c r="L131" s="767">
        <f>IF(G131=6,F131,0)</f>
        <v>0</v>
      </c>
      <c r="M131" s="572">
        <f>IF(F131="",0,MONTH(A131))</f>
        <v>6</v>
      </c>
      <c r="P131" s="768" t="inlineStr">
        <is>
          <t>確認済</t>
        </is>
      </c>
      <c r="Q131" s="769" t="str">
        <f>IF($F131="","",IFERROR(VLOOKUP($C131&amp;"|"&amp;$D131,科目表!$A$5:$B$200,2,FALSE),"※未登録"))</f>
        <v>委託費</v>
      </c>
      <c r="R131" s="769">
        <f>IF($F131="","",$I131+$J131+$K131)</f>
        <v>0</v>
      </c>
      <c r="S131" s="769" t="str">
        <f>IF(OR($F131="",$P131="支払なし",$H131=0,$Q131=""),"",$Q131&amp;"|S|"&amp;(COUNTIF(S$4:S130,$Q131&amp;"|S|*")+1))</f>
        <v>委託費|S|14</v>
      </c>
      <c r="T131" s="769" t="str">
        <f>IF(OR($F131="",$P131="支払なし",$R131=0,$Q131=""),"",$Q131&amp;"|L|"&amp;(COUNTIF(T$4:T130,$Q131&amp;"|L|*")+1))</f>
        <v/>
      </c>
      <c r="U131" s="769">
        <f>IF(OR($F131="",$A131=""),"",MOD(MONTH($A131)-4,12)+1)</f>
        <v>3</v>
      </c>
    </row>
    <row r="132" ht="16.5" customFormat="1" customHeight="1" s="422">
      <c r="A132" s="760" t="n">
        <v>45838</v>
      </c>
      <c r="B132" s="761" t="n"/>
      <c r="C132" s="762" t="inlineStr">
        <is>
          <t>事務費</t>
        </is>
      </c>
      <c r="D132" s="762" t="inlineStr">
        <is>
          <t>図書印刷費</t>
        </is>
      </c>
      <c r="E132" s="770" t="inlineStr">
        <is>
          <t>角２封筒クラフト８５ｇ　枠付　３，０００枚</t>
        </is>
      </c>
      <c r="F132" s="772" t="n">
        <v>49995</v>
      </c>
      <c r="G132" s="772" t="n">
        <v>2</v>
      </c>
      <c r="H132" s="765">
        <f>IF(G132=1,F132-I132-J132-K132,IF(G132=2,F132,0))</f>
        <v>49995</v>
      </c>
      <c r="I132" s="765">
        <f>ROUND(IF(G132=1,F132*10/23,IF(G132=3,F132-J132-K132,IF(G132=4,F132,IF(G132=5,F132*10/11,IF(G132=7,F132*10/11,0))))),0)</f>
        <v>0</v>
      </c>
      <c r="J132" s="765">
        <f>ROUND(IF(G132=1,F132/23,IF(G132=3,F132/12,IF(G132=5,F132-I132,IF(G132=8,F132,0)))),0)</f>
        <v>0</v>
      </c>
      <c r="K132" s="766">
        <f>ROUND(IF(G132=1,F132/23,IF(G132=3,F132/12,IF(G132=6,F132,IF(G132=7,F132-I132,0)))),0)</f>
        <v>0</v>
      </c>
      <c r="L132" s="767">
        <f>IF(G132=6,F132,0)</f>
        <v>0</v>
      </c>
      <c r="M132" s="572">
        <f>IF(F132="",0,MONTH(A132))</f>
        <v>6</v>
      </c>
      <c r="P132" s="768" t="inlineStr">
        <is>
          <t>昨年実績</t>
        </is>
      </c>
      <c r="Q132" s="769" t="str">
        <f>IF($F132="","",IFERROR(VLOOKUP($C132&amp;"|"&amp;$D132,科目表!$A$5:$B$200,2,FALSE),"※未登録"))</f>
        <v>図書印刷費</v>
      </c>
      <c r="R132" s="769">
        <f>IF($F132="","",$I132+$J132+$K132)</f>
        <v>0</v>
      </c>
      <c r="S132" s="769" t="str">
        <f>IF(OR($F132="",$P132="支払なし",$H132=0,$Q132=""),"",$Q132&amp;"|S|"&amp;(COUNTIF(S$4:S131,$Q132&amp;"|S|*")+1))</f>
        <v>図書印刷費|S|6</v>
      </c>
      <c r="T132" s="769" t="str">
        <f>IF(OR($F132="",$P132="支払なし",$R132=0,$Q132=""),"",$Q132&amp;"|L|"&amp;(COUNTIF(T$4:T131,$Q132&amp;"|L|*")+1))</f>
        <v/>
      </c>
      <c r="U132" s="769">
        <f>IF(OR($F132="",$A132=""),"",MOD(MONTH($A132)-4,12)+1)</f>
        <v>3</v>
      </c>
    </row>
    <row r="133" ht="16.5" customFormat="1" customHeight="1" s="43">
      <c r="A133" s="760" t="n">
        <v>46203</v>
      </c>
      <c r="B133" s="761" t="n"/>
      <c r="C133" s="762" t="inlineStr">
        <is>
          <t>負担金</t>
        </is>
      </c>
      <c r="D133" s="762" t="inlineStr">
        <is>
          <t>厚年負担金等</t>
        </is>
      </c>
      <c r="E133" s="775" t="inlineStr">
        <is>
          <t>５月月例分（短期分）子ども子育て拠出金を含む</t>
        </is>
      </c>
      <c r="F133" s="771" t="n">
        <v>62766</v>
      </c>
      <c r="G133" s="764" t="n">
        <v>2</v>
      </c>
      <c r="H133" s="765">
        <f>IF(G133=1,F133-I133-J133-K133,IF(G133=2,F133,0))</f>
        <v>62766</v>
      </c>
      <c r="I133" s="765">
        <f>ROUND(IF(G133=1,F133*10/23,IF(G133=3,F133-J133-K133,IF(G133=4,F133,IF(G133=5,F133*10/11,IF(G133=7,F133*10/11,0))))),0)</f>
        <v>0</v>
      </c>
      <c r="J133" s="765">
        <f>ROUND(IF(G133=1,F133/23,IF(G133=3,F133/12,IF(G133=5,F133-I133,IF(G133=8,F133,0)))),0)</f>
        <v>0</v>
      </c>
      <c r="K133" s="766">
        <f>ROUND(IF(G133=1,F133/23,IF(G133=3,F133/12,IF(G133=6,F133,IF(G133=7,F133-I133,0)))),0)</f>
        <v>0</v>
      </c>
      <c r="L133" s="767">
        <f>IF(G133=6,F133,0)</f>
        <v>0</v>
      </c>
      <c r="M133" s="572">
        <f>IF(F133="",0,MONTH(A133))</f>
        <v>6</v>
      </c>
      <c r="P133" s="768" t="inlineStr">
        <is>
          <t>確認済</t>
        </is>
      </c>
      <c r="Q133" s="769" t="str">
        <f>IF($F133="","",IFERROR(VLOOKUP($C133&amp;"|"&amp;$D133,科目表!$A$5:$B$200,2,FALSE),"※未登録"))</f>
        <v>厚年負担金等</v>
      </c>
      <c r="R133" s="769">
        <f>IF($F133="","",$I133+$J133+$K133)</f>
        <v>0</v>
      </c>
      <c r="S133" s="769" t="str">
        <f>IF(OR($F133="",$P133="支払なし",$H133=0,$Q133=""),"",$Q133&amp;"|S|"&amp;(COUNTIF(S$4:S132,$Q133&amp;"|S|*")+1))</f>
        <v>厚年負担金等|S|2</v>
      </c>
      <c r="T133" s="769" t="str">
        <f>IF(OR($F133="",$P133="支払なし",$R133=0,$Q133=""),"",$Q133&amp;"|L|"&amp;(COUNTIF(T$4:T132,$Q133&amp;"|L|*")+1))</f>
        <v/>
      </c>
      <c r="U133" s="769">
        <f>IF(OR($F133="",$A133=""),"",MOD(MONTH($A133)-4,12)+1)</f>
        <v>3</v>
      </c>
    </row>
    <row r="134" ht="16.5" customFormat="1" customHeight="1" s="43">
      <c r="A134" s="760" t="n"/>
      <c r="B134" s="761" t="n"/>
      <c r="C134" s="762" t="n"/>
      <c r="D134" s="762" t="n"/>
      <c r="E134" s="762" t="n"/>
      <c r="F134" s="772" t="n"/>
      <c r="G134" s="772" t="n"/>
      <c r="H134" s="765">
        <f>IF(G134=1,F134-I134-J134-K134,IF(G134=2,F134,0))</f>
        <v>0</v>
      </c>
      <c r="I134" s="765">
        <f>ROUND(IF(G134=1,F134*10/23,IF(G134=3,F134-J134-K134,IF(G134=4,F134,IF(G134=5,F134*10/11,IF(G134=7,F134*10/11,0))))),0)</f>
        <v>0</v>
      </c>
      <c r="J134" s="765">
        <f>ROUND(IF(G134=1,F134/23,IF(G134=3,F134/12,IF(G134=5,F134-I134,IF(G134=8,F134,0)))),0)</f>
        <v>0</v>
      </c>
      <c r="K134" s="766">
        <f>ROUND(IF(G134=1,F134/23,IF(G134=3,F134/12,IF(G134=6,F134,IF(G134=7,F134-I134,0)))),0)</f>
        <v>0</v>
      </c>
      <c r="L134" s="767">
        <f>IF(G134=6,F134,0)</f>
        <v>0</v>
      </c>
      <c r="M134" s="572">
        <f>IF(F134="",0,MONTH(A134))</f>
        <v>0</v>
      </c>
      <c r="P134" s="768" t="n"/>
      <c r="Q134" s="769" t="str">
        <f>IF($F134="","",IFERROR(VLOOKUP($C134&amp;"|"&amp;$D134,科目表!$A$5:$B$200,2,FALSE),"※未登録"))</f>
        <v/>
      </c>
      <c r="R134" s="769" t="str">
        <f>IF($F134="","",$I134+$J134+$K134)</f>
        <v/>
      </c>
      <c r="S134" s="769" t="str">
        <f>IF(OR($F134="",$P134="支払なし",$H134=0,$Q134=""),"",$Q134&amp;"|S|"&amp;(COUNTIF(S$4:S133,$Q134&amp;"|S|*")+1))</f>
        <v/>
      </c>
      <c r="T134" s="769" t="str">
        <f>IF(OR($F134="",$P134="支払なし",$R134=0,$Q134=""),"",$Q134&amp;"|L|"&amp;(COUNTIF(T$4:T133,$Q134&amp;"|L|*")+1))</f>
        <v/>
      </c>
      <c r="U134" s="769" t="str">
        <f>IF(OR($F134="",$A134=""),"",MOD(MONTH($A134)-4,12)+1)</f>
        <v/>
      </c>
    </row>
    <row r="135" ht="16.5" customFormat="1" customHeight="1" s="43">
      <c r="A135" s="760" t="n">
        <v>46203</v>
      </c>
      <c r="B135" s="761" t="n"/>
      <c r="C135" s="762" t="inlineStr">
        <is>
          <t>負担金</t>
        </is>
      </c>
      <c r="D135" s="762" t="inlineStr">
        <is>
          <t>厚年負担金等</t>
        </is>
      </c>
      <c r="E135" s="775" t="inlineStr">
        <is>
          <t>５月月例分（長期分）子ども子育て拠出金を含む</t>
        </is>
      </c>
      <c r="F135" s="771" t="n">
        <v>37089</v>
      </c>
      <c r="G135" s="764" t="n">
        <v>3</v>
      </c>
      <c r="H135" s="765">
        <f>IF(G135=1,F135-I135-J135-K135,IF(G135=2,F135,0))</f>
        <v>0</v>
      </c>
      <c r="I135" s="765">
        <f>ROUND(IF(G135=1,F135*10/23,IF(G135=3,F135-J135-K135,IF(G135=4,F135,IF(G135=5,F135*10/11,IF(G135=7,F135*10/11,0))))),0)</f>
        <v>30907</v>
      </c>
      <c r="J135" s="765">
        <f>ROUND(IF(G135=1,F135/23,IF(G135=3,F135/12,IF(G135=5,F135-I135,IF(G135=8,F135,0)))),0)</f>
        <v>3091</v>
      </c>
      <c r="K135" s="766">
        <f>ROUND(IF(G135=1,F135/23,IF(G135=3,F135/12,IF(G135=6,F135,IF(G135=7,F135-I135,0)))),0)</f>
        <v>3091</v>
      </c>
      <c r="L135" s="767">
        <f>IF(G135=6,F135,0)</f>
        <v>0</v>
      </c>
      <c r="M135" s="572">
        <f>IF(F135="",0,MONTH(A135))</f>
        <v>6</v>
      </c>
      <c r="P135" s="768" t="inlineStr">
        <is>
          <t>確認済</t>
        </is>
      </c>
      <c r="Q135" s="769" t="str">
        <f>IF($F135="","",IFERROR(VLOOKUP($C135&amp;"|"&amp;$D135,科目表!$A$5:$B$200,2,FALSE),"※未登録"))</f>
        <v>厚年負担金等</v>
      </c>
      <c r="R135" s="769">
        <f>IF($F135="","",$I135+$J135+$K135)</f>
        <v>37089</v>
      </c>
      <c r="S135" s="769" t="str">
        <f>IF(OR($F135="",$P135="支払なし",$H135=0,$Q135=""),"",$Q135&amp;"|S|"&amp;(COUNTIF(S$4:S134,$Q135&amp;"|S|*")+1))</f>
        <v/>
      </c>
      <c r="T135" s="769" t="str">
        <f>IF(OR($F135="",$P135="支払なし",$R135=0,$Q135=""),"",$Q135&amp;"|L|"&amp;(COUNTIF(T$4:T134,$Q135&amp;"|L|*")+1))</f>
        <v>厚年負担金等|L|2</v>
      </c>
      <c r="U135" s="769">
        <f>IF(OR($F135="",$A135=""),"",MOD(MONTH($A135)-4,12)+1)</f>
        <v>3</v>
      </c>
    </row>
    <row r="136" ht="16.5" customFormat="1" customHeight="1" s="43">
      <c r="A136" s="760" t="n">
        <v>46203</v>
      </c>
      <c r="B136" s="761" t="n"/>
      <c r="C136" s="762" t="inlineStr">
        <is>
          <t>事務費</t>
        </is>
      </c>
      <c r="D136" s="762" t="inlineStr">
        <is>
          <t>通信運搬費</t>
        </is>
      </c>
      <c r="E136" s="763" t="inlineStr">
        <is>
          <t>フレッツ光ネクスト利用料等（４月・５月利用・６月請求分）</t>
        </is>
      </c>
      <c r="F136" s="772" t="n">
        <v>13090</v>
      </c>
      <c r="G136" s="772" t="n">
        <v>2</v>
      </c>
      <c r="H136" s="765">
        <f>IF(G136=1,F136-I136-J136-K136,IF(G136=2,F136,0))</f>
        <v>13090</v>
      </c>
      <c r="I136" s="765">
        <f>ROUND(IF(G136=1,F136*10/23,IF(G136=3,F136-J136-K136,IF(G136=4,F136,IF(G136=5,F136*10/11,IF(G136=7,F136*10/11,0))))),0)</f>
        <v>0</v>
      </c>
      <c r="J136" s="765">
        <f>ROUND(IF(G136=1,F136/23,IF(G136=3,F136/12,IF(G136=5,F136-I136,IF(G136=8,F136,0)))),0)</f>
        <v>0</v>
      </c>
      <c r="K136" s="766">
        <f>ROUND(IF(G136=1,F136/23,IF(G136=3,F136/12,IF(G136=6,F136,IF(G136=7,F136-I136,0)))),0)</f>
        <v>0</v>
      </c>
      <c r="L136" s="767">
        <f>IF(G136=6,F136,0)</f>
        <v>0</v>
      </c>
      <c r="M136" s="572">
        <f>IF(F136="",0,MONTH(A136))</f>
        <v>6</v>
      </c>
      <c r="P136" s="768" t="inlineStr">
        <is>
          <t>確認済</t>
        </is>
      </c>
      <c r="Q136" s="769" t="str">
        <f>IF($F136="","",IFERROR(VLOOKUP($C136&amp;"|"&amp;$D136,科目表!$A$5:$B$200,2,FALSE),"※未登録"))</f>
        <v>通信運搬費</v>
      </c>
      <c r="R136" s="769">
        <f>IF($F136="","",$I136+$J136+$K136)</f>
        <v>0</v>
      </c>
      <c r="S136" s="769" t="str">
        <f>IF(OR($F136="",$P136="支払なし",$H136=0,$Q136=""),"",$Q136&amp;"|S|"&amp;(COUNTIF(S$4:S135,$Q136&amp;"|S|*")+1))</f>
        <v>通信運搬費|S|13</v>
      </c>
      <c r="T136" s="769" t="str">
        <f>IF(OR($F136="",$P136="支払なし",$R136=0,$Q136=""),"",$Q136&amp;"|L|"&amp;(COUNTIF(T$4:T135,$Q136&amp;"|L|*")+1))</f>
        <v/>
      </c>
      <c r="U136" s="769">
        <f>IF(OR($F136="",$A136=""),"",MOD(MONTH($A136)-4,12)+1)</f>
        <v>3</v>
      </c>
    </row>
    <row r="137" ht="16.5" customFormat="1" customHeight="1" s="422">
      <c r="A137" s="760" t="n">
        <v>45477</v>
      </c>
      <c r="B137" s="761" t="n"/>
      <c r="C137" s="762" t="inlineStr">
        <is>
          <t>負担金</t>
        </is>
      </c>
      <c r="D137" s="762" t="inlineStr">
        <is>
          <t>負担金</t>
        </is>
      </c>
      <c r="E137" s="775" t="inlineStr">
        <is>
          <t>収入印紙</t>
        </is>
      </c>
      <c r="F137" s="764" t="n">
        <v>34600</v>
      </c>
      <c r="G137" s="764" t="n">
        <v>3</v>
      </c>
      <c r="H137" s="765">
        <f>IF(G137=1,F137-I137-J137-K137,IF(G137=2,F137,0))</f>
        <v>0</v>
      </c>
      <c r="I137" s="765">
        <f>ROUND(IF(G137=1,F137*10/23,IF(G137=3,F137-J137-K137,IF(G137=4,F137,IF(G137=5,F137*10/11,IF(G137=7,F137*10/11,0))))),0)</f>
        <v>28834</v>
      </c>
      <c r="J137" s="765">
        <f>ROUND(IF(G137=1,F137/23,IF(G137=3,F137/12,IF(G137=5,F137-I137,IF(G137=8,F137,0)))),0)</f>
        <v>2883</v>
      </c>
      <c r="K137" s="766">
        <f>ROUND(IF(G137=1,F137/23,IF(G137=3,F137/12,IF(G137=6,F137,IF(G137=7,F137-I137,0)))),0)</f>
        <v>2883</v>
      </c>
      <c r="L137" s="767">
        <f>IF(G137=6,F137,0)</f>
        <v>0</v>
      </c>
      <c r="M137" s="421">
        <f>IF(F137="",0,MONTH(A137))</f>
        <v>7</v>
      </c>
      <c r="P137" s="768" t="inlineStr">
        <is>
          <t>昨年実績</t>
        </is>
      </c>
      <c r="Q137" s="769" t="str">
        <f>IF($F137="","",IFERROR(VLOOKUP($C137&amp;"|"&amp;$D137,科目表!$A$5:$B$200,2,FALSE),"※未登録"))</f>
        <v>共済負担金等</v>
      </c>
      <c r="R137" s="769">
        <f>IF($F137="","",$I137+$J137+$K137)</f>
        <v>34600</v>
      </c>
      <c r="S137" s="769" t="str">
        <f>IF(OR($F137="",$P137="支払なし",$H137=0,$Q137=""),"",$Q137&amp;"|S|"&amp;(COUNTIF(S$4:S136,$Q137&amp;"|S|*")+1))</f>
        <v/>
      </c>
      <c r="T137" s="769" t="str">
        <f>IF(OR($F137="",$P137="支払なし",$R137=0,$Q137=""),"",$Q137&amp;"|L|"&amp;(COUNTIF(T$4:T136,$Q137&amp;"|L|*")+1))</f>
        <v>共済負担金等|L|6</v>
      </c>
      <c r="U137" s="769">
        <f>IF(OR($F137="",$A137=""),"",MOD(MONTH($A137)-4,12)+1)</f>
        <v>4</v>
      </c>
    </row>
    <row r="138" ht="16.5" customFormat="1" customHeight="1" s="43">
      <c r="A138" s="760" t="n">
        <v>46210</v>
      </c>
      <c r="B138" s="761" t="n"/>
      <c r="C138" s="762" t="inlineStr">
        <is>
          <t>事務費負担金払込金</t>
        </is>
      </c>
      <c r="D138" s="762" t="n"/>
      <c r="E138" s="775" t="inlineStr">
        <is>
          <t>６月分事務費負担金払込金と連合会交付金との相殺</t>
        </is>
      </c>
      <c r="F138" s="764" t="n">
        <v>5366000</v>
      </c>
      <c r="G138" s="764" t="n">
        <v>5</v>
      </c>
      <c r="H138" s="765">
        <f>IF(G138=1,F138-I138-J138-K138,IF(G138=2,F138,0))</f>
        <v>0</v>
      </c>
      <c r="I138" s="765">
        <f>ROUND(IF(G138=1,F138*10/23,IF(G138=3,F138-J138-K138,IF(G138=4,F138,IF(G138=5,F138*10/11,IF(G138=7,F138*10/11,0))))),0)</f>
        <v>4878182</v>
      </c>
      <c r="J138" s="765">
        <f>ROUND(IF(G138=1,F138/23,IF(G138=3,F138/12,IF(G138=5,F138-I138,IF(G138=8,F138,0)))),0)</f>
        <v>487818</v>
      </c>
      <c r="K138" s="766">
        <f>ROUND(IF(G138=1,F138/23,IF(G138=3,F138/12,IF(G138=6,F138,IF(G138=7,F138-I138,0)))),0)</f>
        <v>0</v>
      </c>
      <c r="L138" s="767">
        <f>IF(G138=6,F138,0)</f>
        <v>0</v>
      </c>
      <c r="M138" s="572">
        <f>IF(F138="",0,MONTH(A138))</f>
        <v>7</v>
      </c>
      <c r="P138" s="768" t="inlineStr">
        <is>
          <t>確認済</t>
        </is>
      </c>
      <c r="Q138" s="769" t="str">
        <f>IF($F138="","",IFERROR(VLOOKUP($C138&amp;"|"&amp;$D138,科目表!$A$5:$B$200,2,FALSE),"※未登録"))</f>
        <v>事務費負担金払込金</v>
      </c>
      <c r="R138" s="769">
        <f>IF($F138="","",$I138+$J138+$K138)</f>
        <v>5366000</v>
      </c>
      <c r="S138" s="769" t="str">
        <f>IF(OR($F138="",$P138="支払なし",$H138=0,$Q138=""),"",$Q138&amp;"|S|"&amp;(COUNTIF(S$4:S137,$Q138&amp;"|S|*")+1))</f>
        <v/>
      </c>
      <c r="T138" s="769" t="str">
        <f>IF(OR($F138="",$P138="支払なし",$R138=0,$Q138=""),"",$Q138&amp;"|L|"&amp;(COUNTIF(T$4:T137,$Q138&amp;"|L|*")+1))</f>
        <v>事務費負担金払込金|L|4</v>
      </c>
      <c r="U138" s="769">
        <f>IF(OR($F138="",$A138=""),"",MOD(MONTH($A138)-4,12)+1)</f>
        <v>4</v>
      </c>
    </row>
    <row r="139" ht="16.5" customFormat="1" customHeight="1" s="422">
      <c r="A139" s="760" t="n">
        <v>43290</v>
      </c>
      <c r="B139" s="761" t="n"/>
      <c r="C139" s="762" t="inlineStr">
        <is>
          <t>負担金</t>
        </is>
      </c>
      <c r="D139" s="762" t="inlineStr">
        <is>
          <t>会議出席負担金等</t>
        </is>
      </c>
      <c r="E139" s="762" t="inlineStr">
        <is>
          <t>地区別研修会（保健事業）出席負担金</t>
        </is>
      </c>
      <c r="F139" s="772" t="n">
        <v>2000</v>
      </c>
      <c r="G139" s="772" t="n">
        <v>2</v>
      </c>
      <c r="H139" s="765">
        <f>IF(G139=1,F139-I139-J139-K139,IF(G139=2,F139,0))</f>
        <v>2000</v>
      </c>
      <c r="I139" s="765">
        <f>ROUND(IF(G139=1,F139*10/23,IF(G139=3,F139-J139-K139,IF(G139=4,F139,IF(G139=5,F139*10/11,IF(G139=7,F139*10/11,0))))),0)</f>
        <v>0</v>
      </c>
      <c r="J139" s="765">
        <f>ROUND(IF(G139=1,F139/23,IF(G139=3,F139/12,IF(G139=5,F139-I139,IF(G139=8,F139,0)))),0)</f>
        <v>0</v>
      </c>
      <c r="K139" s="766">
        <f>ROUND(IF(G139=1,F139/23,IF(G139=3,F139/12,IF(G139=6,F139,IF(G139=7,F139-I139,0)))),0)</f>
        <v>0</v>
      </c>
      <c r="L139" s="767">
        <f>IF(G139=6,F139,0)</f>
        <v>0</v>
      </c>
      <c r="M139" s="421">
        <f>IF(F139="",0,MONTH(A139))</f>
        <v>7</v>
      </c>
      <c r="P139" s="768" t="inlineStr">
        <is>
          <t>昨年実績</t>
        </is>
      </c>
      <c r="Q139" s="769" t="str">
        <f>IF($F139="","",IFERROR(VLOOKUP($C139&amp;"|"&amp;$D139,科目表!$A$5:$B$200,2,FALSE),"※未登録"))</f>
        <v>会議出席負担金等</v>
      </c>
      <c r="R139" s="769">
        <f>IF($F139="","",$I139+$J139+$K139)</f>
        <v>0</v>
      </c>
      <c r="S139" s="769" t="str">
        <f>IF(OR($F139="",$P139="支払なし",$H139=0,$Q139=""),"",$Q139&amp;"|S|"&amp;(COUNTIF(S$4:S138,$Q139&amp;"|S|*")+1))</f>
        <v>会議出席負担金等|S|1</v>
      </c>
      <c r="T139" s="769" t="str">
        <f>IF(OR($F139="",$P139="支払なし",$R139=0,$Q139=""),"",$Q139&amp;"|L|"&amp;(COUNTIF(T$4:T138,$Q139&amp;"|L|*")+1))</f>
        <v/>
      </c>
      <c r="U139" s="769">
        <f>IF(OR($F139="",$A139=""),"",MOD(MONTH($A139)-4,12)+1)</f>
        <v>4</v>
      </c>
    </row>
    <row r="140" ht="16.5" customFormat="1" customHeight="1" s="43">
      <c r="A140" s="760" t="n">
        <v>46213</v>
      </c>
      <c r="B140" s="761" t="n"/>
      <c r="C140" s="762" t="inlineStr">
        <is>
          <t>事務費</t>
        </is>
      </c>
      <c r="D140" s="762" t="inlineStr">
        <is>
          <t>送金料</t>
        </is>
      </c>
      <c r="E140" s="775" t="inlineStr">
        <is>
          <t>振込手数料（広銀）６月分　長期分</t>
        </is>
      </c>
      <c r="F140" s="772" t="n">
        <v>13965</v>
      </c>
      <c r="G140" s="772" t="n">
        <v>3</v>
      </c>
      <c r="H140" s="765">
        <f>IF(G140=1,F140-I140-J140-K140,IF(G140=2,F140,0))</f>
        <v>0</v>
      </c>
      <c r="I140" s="765">
        <f>ROUND(IF(G140=1,F140*10/23,IF(G140=3,F140-J140-K140,IF(G140=4,F140,IF(G140=5,F140*10/11,IF(G140=7,F140*10/11,0))))),0)</f>
        <v>11637</v>
      </c>
      <c r="J140" s="765">
        <f>ROUND(IF(G140=1,F140/23,IF(G140=3,F140/12,IF(G140=5,F140-I140,IF(G140=8,F140,0)))),0)</f>
        <v>1164</v>
      </c>
      <c r="K140" s="766">
        <f>ROUND(IF(G140=1,F140/23,IF(G140=3,F140/12,IF(G140=6,F140,IF(G140=7,F140-I140,0)))),0)</f>
        <v>1164</v>
      </c>
      <c r="L140" s="767">
        <f>IF(G140=6,F140,0)</f>
        <v>0</v>
      </c>
      <c r="M140" s="572">
        <f>IF(F140="",0,MONTH(A140))</f>
        <v>7</v>
      </c>
      <c r="P140" s="768" t="inlineStr">
        <is>
          <t>確認済</t>
        </is>
      </c>
      <c r="Q140" s="769" t="str">
        <f>IF($F140="","",IFERROR(VLOOKUP($C140&amp;"|"&amp;$D140,科目表!$A$5:$B$200,2,FALSE),"※未登録"))</f>
        <v>送金料</v>
      </c>
      <c r="R140" s="769">
        <f>IF($F140="","",$I140+$J140+$K140)</f>
        <v>13965</v>
      </c>
      <c r="S140" s="769" t="str">
        <f>IF(OR($F140="",$P140="支払なし",$H140=0,$Q140=""),"",$Q140&amp;"|S|"&amp;(COUNTIF(S$4:S139,$Q140&amp;"|S|*")+1))</f>
        <v/>
      </c>
      <c r="T140" s="769" t="str">
        <f>IF(OR($F140="",$P140="支払なし",$R140=0,$Q140=""),"",$Q140&amp;"|L|"&amp;(COUNTIF(T$4:T139,$Q140&amp;"|L|*")+1))</f>
        <v>送金料|L|3</v>
      </c>
      <c r="U140" s="769">
        <f>IF(OR($F140="",$A140=""),"",MOD(MONTH($A140)-4,12)+1)</f>
        <v>4</v>
      </c>
    </row>
    <row r="141" ht="16.5" customFormat="1" customHeight="1" s="43">
      <c r="A141" s="760" t="n">
        <v>46213</v>
      </c>
      <c r="B141" s="761" t="n"/>
      <c r="C141" s="762" t="inlineStr">
        <is>
          <t>事務費</t>
        </is>
      </c>
      <c r="D141" s="762" t="inlineStr">
        <is>
          <t>送金料</t>
        </is>
      </c>
      <c r="E141" s="775" t="inlineStr">
        <is>
          <t>振込手数料（広銀）６月分　短期分</t>
        </is>
      </c>
      <c r="F141" s="764" t="n">
        <v>129530</v>
      </c>
      <c r="G141" s="764" t="n">
        <v>2</v>
      </c>
      <c r="H141" s="765">
        <f>IF(G141=1,F141-I141-J141-K141,IF(G141=2,F141,0))</f>
        <v>129530</v>
      </c>
      <c r="I141" s="765">
        <f>ROUND(IF(G141=1,F141*10/23,IF(G141=3,F141-J141-K141,IF(G141=4,F141,IF(G141=5,F141*10/11,IF(G141=7,F141*10/11,0))))),0)</f>
        <v>0</v>
      </c>
      <c r="J141" s="765">
        <f>ROUND(IF(G141=1,F141/23,IF(G141=3,F141/12,IF(G141=5,F141-I141,IF(G141=8,F141,0)))),0)</f>
        <v>0</v>
      </c>
      <c r="K141" s="766">
        <f>ROUND(IF(G141=1,F141/23,IF(G141=3,F141/12,IF(G141=6,F141,IF(G141=7,F141-I141,0)))),0)</f>
        <v>0</v>
      </c>
      <c r="L141" s="767">
        <f>IF(G141=6,F141,0)</f>
        <v>0</v>
      </c>
      <c r="M141" s="572">
        <f>IF(F141="",0,MONTH(A141))</f>
        <v>7</v>
      </c>
      <c r="P141" s="768" t="inlineStr">
        <is>
          <t>確認済</t>
        </is>
      </c>
      <c r="Q141" s="769" t="str">
        <f>IF($F141="","",IFERROR(VLOOKUP($C141&amp;"|"&amp;$D141,科目表!$A$5:$B$200,2,FALSE),"※未登録"))</f>
        <v>送金料</v>
      </c>
      <c r="R141" s="769">
        <f>IF($F141="","",$I141+$J141+$K141)</f>
        <v>0</v>
      </c>
      <c r="S141" s="769" t="str">
        <f>IF(OR($F141="",$P141="支払なし",$H141=0,$Q141=""),"",$Q141&amp;"|S|"&amp;(COUNTIF(S$4:S140,$Q141&amp;"|S|*")+1))</f>
        <v>送金料|S|5</v>
      </c>
      <c r="T141" s="769" t="str">
        <f>IF(OR($F141="",$P141="支払なし",$R141=0,$Q141=""),"",$Q141&amp;"|L|"&amp;(COUNTIF(T$4:T140,$Q141&amp;"|L|*")+1))</f>
        <v/>
      </c>
      <c r="U141" s="769">
        <f>IF(OR($F141="",$A141=""),"",MOD(MONTH($A141)-4,12)+1)</f>
        <v>4</v>
      </c>
    </row>
    <row r="142" ht="16.5" customFormat="1" customHeight="1" s="43">
      <c r="A142" s="760" t="n">
        <v>46188</v>
      </c>
      <c r="B142" s="761" t="n"/>
      <c r="C142" s="762" t="inlineStr">
        <is>
          <t>事務費</t>
        </is>
      </c>
      <c r="D142" s="762" t="inlineStr">
        <is>
          <t>事務用消耗品費</t>
        </is>
      </c>
      <c r="E142" s="770" t="inlineStr">
        <is>
          <t>トナーカートリッジ（再生品）ＬＰＢ３Ｔ３４　７個</t>
        </is>
      </c>
      <c r="F142" s="772" t="n">
        <v>53130</v>
      </c>
      <c r="G142" s="772" t="n">
        <v>3</v>
      </c>
      <c r="H142" s="765">
        <f>IF(G142=1,F142-I142-J142-K142,IF(G142=2,F142,0))</f>
        <v>0</v>
      </c>
      <c r="I142" s="765">
        <f>ROUND(IF(G142=1,F142*10/23,IF(G142=3,F142-J142-K142,IF(G142=4,F142,IF(G142=5,F142*10/11,IF(G142=7,F142*10/11,0))))),0)</f>
        <v>44274</v>
      </c>
      <c r="J142" s="765">
        <f>ROUND(IF(G142=1,F142/23,IF(G142=3,F142/12,IF(G142=5,F142-I142,IF(G142=8,F142,0)))),0)</f>
        <v>4428</v>
      </c>
      <c r="K142" s="766">
        <f>ROUND(IF(G142=1,F142/23,IF(G142=3,F142/12,IF(G142=6,F142,IF(G142=7,F142-I142,0)))),0)</f>
        <v>4428</v>
      </c>
      <c r="L142" s="767">
        <f>IF(G142=6,F142,0)</f>
        <v>0</v>
      </c>
      <c r="M142" s="572">
        <f>IF(F142="",0,MONTH(A142))</f>
        <v>6</v>
      </c>
      <c r="P142" s="768" t="inlineStr">
        <is>
          <t>確認済</t>
        </is>
      </c>
      <c r="Q142" s="769" t="str">
        <f>IF($F142="","",IFERROR(VLOOKUP($C142&amp;"|"&amp;$D142,科目表!$A$5:$B$200,2,FALSE),"※未登録"))</f>
        <v>事務用消耗品費</v>
      </c>
      <c r="R142" s="769">
        <f>IF($F142="","",$I142+$J142+$K142)</f>
        <v>53130</v>
      </c>
      <c r="S142" s="769" t="str">
        <f>IF(OR($F142="",$P142="支払なし",$H142=0,$Q142=""),"",$Q142&amp;"|S|"&amp;(COUNTIF(S$4:S141,$Q142&amp;"|S|*")+1))</f>
        <v/>
      </c>
      <c r="T142" s="769" t="str">
        <f>IF(OR($F142="",$P142="支払なし",$R142=0,$Q142=""),"",$Q142&amp;"|L|"&amp;(COUNTIF(T$4:T141,$Q142&amp;"|L|*")+1))</f>
        <v>事務用消耗品費|L|6</v>
      </c>
      <c r="U142" s="769">
        <f>IF(OR($F142="",$A142=""),"",MOD(MONTH($A142)-4,12)+1)</f>
        <v>3</v>
      </c>
    </row>
    <row r="143" ht="16.5" customFormat="1" customHeight="1" s="43">
      <c r="A143" s="760" t="n">
        <v>46232</v>
      </c>
      <c r="B143" s="761" t="n"/>
      <c r="C143" s="762" t="inlineStr">
        <is>
          <t>賃借料</t>
        </is>
      </c>
      <c r="D143" s="762" t="n"/>
      <c r="E143" s="770" t="inlineStr">
        <is>
          <t>基幹システム用機器賃借料　6月分（短期）</t>
        </is>
      </c>
      <c r="F143" s="764" t="n">
        <v>672934</v>
      </c>
      <c r="G143" s="772" t="n">
        <v>2</v>
      </c>
      <c r="H143" s="765">
        <f>IF(G143=1,F143-I143-J143-K143,IF(G143=2,F143,0))</f>
        <v>672934</v>
      </c>
      <c r="I143" s="765">
        <f>ROUND(IF(G143=1,F143*10/23,IF(G143=3,F143-J143-K143,IF(G143=4,F143,IF(G143=5,F143*10/11,IF(G143=7,F143*10/11,0))))),0)</f>
        <v>0</v>
      </c>
      <c r="J143" s="765">
        <f>ROUND(IF(G143=1,F143/23,IF(G143=3,F143/12,IF(G143=5,F143-I143,IF(G143=8,F143,0)))),0)</f>
        <v>0</v>
      </c>
      <c r="K143" s="766">
        <f>ROUND(IF(G143=1,F143/23,IF(G143=3,F143/12,IF(G143=6,F143,IF(G143=7,F143-I143,0)))),0)</f>
        <v>0</v>
      </c>
      <c r="L143" s="767">
        <f>IF(G143=6,F143,0)</f>
        <v>0</v>
      </c>
      <c r="M143" s="572">
        <f>IF(F143="",0,MONTH(A143))</f>
        <v>7</v>
      </c>
      <c r="P143" s="768" t="inlineStr">
        <is>
          <t>確認済</t>
        </is>
      </c>
      <c r="Q143" s="769" t="str">
        <f>IF($F143="","",IFERROR(VLOOKUP($C143&amp;"|"&amp;$D143,科目表!$A$5:$B$200,2,FALSE),"※未登録"))</f>
        <v>賃借料</v>
      </c>
      <c r="R143" s="769">
        <f>IF($F143="","",$I143+$J143+$K143)</f>
        <v>0</v>
      </c>
      <c r="S143" s="769" t="str">
        <f>IF(OR($F143="",$P143="支払なし",$H143=0,$Q143=""),"",$Q143&amp;"|S|"&amp;(COUNTIF(S$4:S142,$Q143&amp;"|S|*")+1))</f>
        <v>賃借料|S|9</v>
      </c>
      <c r="T143" s="769" t="str">
        <f>IF(OR($F143="",$P143="支払なし",$R143=0,$Q143=""),"",$Q143&amp;"|L|"&amp;(COUNTIF(T$4:T142,$Q143&amp;"|L|*")+1))</f>
        <v/>
      </c>
      <c r="U143" s="769">
        <f>IF(OR($F143="",$A143=""),"",MOD(MONTH($A143)-4,12)+1)</f>
        <v>4</v>
      </c>
    </row>
    <row r="144" ht="16.5" customFormat="1" customHeight="1" s="422">
      <c r="A144" s="760" t="n">
        <v>45033</v>
      </c>
      <c r="B144" s="761" t="n"/>
      <c r="C144" s="762" t="inlineStr">
        <is>
          <t>事務費</t>
        </is>
      </c>
      <c r="D144" s="762" t="inlineStr">
        <is>
          <t>通信運搬費</t>
        </is>
      </c>
      <c r="E144" s="773" t="inlineStr">
        <is>
          <t>切手</t>
        </is>
      </c>
      <c r="F144" s="764" t="n">
        <v>479000</v>
      </c>
      <c r="G144" s="764" t="n">
        <v>2</v>
      </c>
      <c r="H144" s="765">
        <f>IF(G144=1,F144-I144-J144-K144,IF(G144=2,F144,0))</f>
        <v>479000</v>
      </c>
      <c r="I144" s="765">
        <f>ROUND(IF(G144=1,F144*10/23,IF(G144=3,F144-J144-K144,IF(G144=4,F144,IF(G144=5,F144*10/11,IF(G144=7,F144*10/11,0))))),0)</f>
        <v>0</v>
      </c>
      <c r="J144" s="765">
        <f>ROUND(IF(G144=1,F144/23,IF(G144=3,F144/12,IF(G144=5,F144-I144,IF(G144=8,F144,0)))),0)</f>
        <v>0</v>
      </c>
      <c r="K144" s="766">
        <f>ROUND(IF(G144=1,F144/23,IF(G144=3,F144/12,IF(G144=6,F144,IF(G144=7,F144-I144,0)))),0)</f>
        <v>0</v>
      </c>
      <c r="L144" s="767">
        <f>IF(G144=6,F144,0)</f>
        <v>0</v>
      </c>
      <c r="M144" s="421">
        <f>IF(F144="",0,MONTH(A144))</f>
        <v>4</v>
      </c>
      <c r="P144" s="768" t="inlineStr">
        <is>
          <t>昨年実績</t>
        </is>
      </c>
      <c r="Q144" s="769" t="str">
        <f>IF($F144="","",IFERROR(VLOOKUP($C144&amp;"|"&amp;$D144,科目表!$A$5:$B$200,2,FALSE),"※未登録"))</f>
        <v>通信運搬費</v>
      </c>
      <c r="R144" s="769">
        <f>IF($F144="","",$I144+$J144+$K144)</f>
        <v>0</v>
      </c>
      <c r="S144" s="769" t="str">
        <f>IF(OR($F144="",$P144="支払なし",$H144=0,$Q144=""),"",$Q144&amp;"|S|"&amp;(COUNTIF(S$4:S143,$Q144&amp;"|S|*")+1))</f>
        <v>通信運搬費|S|14</v>
      </c>
      <c r="T144" s="769" t="str">
        <f>IF(OR($F144="",$P144="支払なし",$R144=0,$Q144=""),"",$Q144&amp;"|L|"&amp;(COUNTIF(T$4:T143,$Q144&amp;"|L|*")+1))</f>
        <v/>
      </c>
      <c r="U144" s="769">
        <f>IF(OR($F144="",$A144=""),"",MOD(MONTH($A144)-4,12)+1)</f>
        <v>1</v>
      </c>
    </row>
    <row r="145" ht="16.5" customFormat="1" customHeight="1" s="43">
      <c r="A145" s="760" t="n">
        <v>46232</v>
      </c>
      <c r="B145" s="761" t="n"/>
      <c r="C145" s="762" t="inlineStr">
        <is>
          <t>賃借料</t>
        </is>
      </c>
      <c r="D145" s="762" t="n"/>
      <c r="E145" s="770" t="inlineStr">
        <is>
          <t>基幹システム用機器賃借料　6月分（長期）</t>
        </is>
      </c>
      <c r="F145" s="772" t="n">
        <v>69613</v>
      </c>
      <c r="G145" s="772" t="n">
        <v>3</v>
      </c>
      <c r="H145" s="765">
        <f>IF(G145=1,F145-I145-J145-K145,IF(G145=2,F145,0))</f>
        <v>0</v>
      </c>
      <c r="I145" s="765">
        <f>ROUND(IF(G145=1,F145*10/23,IF(G145=3,F145-J145-K145,IF(G145=4,F145,IF(G145=5,F145*10/11,IF(G145=7,F145*10/11,0))))),0)</f>
        <v>58011</v>
      </c>
      <c r="J145" s="765">
        <f>ROUND(IF(G145=1,F145/23,IF(G145=3,F145/12,IF(G145=5,F145-I145,IF(G145=8,F145,0)))),0)</f>
        <v>5801</v>
      </c>
      <c r="K145" s="766">
        <f>ROUND(IF(G145=1,F145/23,IF(G145=3,F145/12,IF(G145=6,F145,IF(G145=7,F145-I145,0)))),0)</f>
        <v>5801</v>
      </c>
      <c r="L145" s="767">
        <f>IF(G145=6,F145,0)</f>
        <v>0</v>
      </c>
      <c r="M145" s="572">
        <f>IF(F145="",0,MONTH(A145))</f>
        <v>7</v>
      </c>
      <c r="P145" s="768" t="inlineStr">
        <is>
          <t>確認済</t>
        </is>
      </c>
      <c r="Q145" s="769" t="str">
        <f>IF($F145="","",IFERROR(VLOOKUP($C145&amp;"|"&amp;$D145,科目表!$A$5:$B$200,2,FALSE),"※未登録"))</f>
        <v>賃借料</v>
      </c>
      <c r="R145" s="769">
        <f>IF($F145="","",$I145+$J145+$K145)</f>
        <v>69613</v>
      </c>
      <c r="S145" s="769" t="str">
        <f>IF(OR($F145="",$P145="支払なし",$H145=0,$Q145=""),"",$Q145&amp;"|S|"&amp;(COUNTIF(S$4:S144,$Q145&amp;"|S|*")+1))</f>
        <v/>
      </c>
      <c r="T145" s="769" t="str">
        <f>IF(OR($F145="",$P145="支払なし",$R145=0,$Q145=""),"",$Q145&amp;"|L|"&amp;(COUNTIF(T$4:T144,$Q145&amp;"|L|*")+1))</f>
        <v>賃借料|L|3</v>
      </c>
      <c r="U145" s="769">
        <f>IF(OR($F145="",$A145=""),"",MOD(MONTH($A145)-4,12)+1)</f>
        <v>4</v>
      </c>
    </row>
    <row r="146" ht="16.5" customFormat="1" customHeight="1" s="43">
      <c r="A146" s="760" t="n">
        <v>46262</v>
      </c>
      <c r="B146" s="761" t="n"/>
      <c r="C146" s="762" t="inlineStr">
        <is>
          <t>委託費</t>
        </is>
      </c>
      <c r="D146" s="762" t="n"/>
      <c r="E146" s="775" t="inlineStr">
        <is>
          <t>「年金だより」封入封緘業務</t>
        </is>
      </c>
      <c r="F146" s="764" t="n">
        <v>119004</v>
      </c>
      <c r="G146" s="764" t="n">
        <v>3</v>
      </c>
      <c r="H146" s="765">
        <f>IF(G146=1,F146-I146-J146-K146,IF(G146=2,F146,0))</f>
        <v>0</v>
      </c>
      <c r="I146" s="765">
        <f>ROUND(IF(G146=1,F146*10/23,IF(G146=3,F146-J146-K146,IF(G146=4,F146,IF(G146=5,F146*10/11,IF(G146=7,F146*10/11,0))))),0)</f>
        <v>99170</v>
      </c>
      <c r="J146" s="765">
        <f>ROUND(IF(G146=1,F146/23,IF(G146=3,F146/12,IF(G146=5,F146-I146,IF(G146=8,F146,0)))),0)</f>
        <v>9917</v>
      </c>
      <c r="K146" s="766">
        <f>ROUND(IF(G146=1,F146/23,IF(G146=3,F146/12,IF(G146=6,F146,IF(G146=7,F146-I146,0)))),0)</f>
        <v>9917</v>
      </c>
      <c r="L146" s="767">
        <f>IF(G146=6,F146,0)</f>
        <v>0</v>
      </c>
      <c r="M146" s="572">
        <f>IF(F146="",0,MONTH(A146))</f>
        <v>8</v>
      </c>
      <c r="P146" s="768" t="inlineStr">
        <is>
          <t>確認済</t>
        </is>
      </c>
      <c r="Q146" s="769" t="str">
        <f>IF($F146="","",IFERROR(VLOOKUP($C146&amp;"|"&amp;$D146,科目表!$A$5:$B$200,2,FALSE),"※未登録"))</f>
        <v>委託費</v>
      </c>
      <c r="R146" s="769">
        <f>IF($F146="","",$I146+$J146+$K146)</f>
        <v>119004</v>
      </c>
      <c r="S146" s="769" t="str">
        <f>IF(OR($F146="",$P146="支払なし",$H146=0,$Q146=""),"",$Q146&amp;"|S|"&amp;(COUNTIF(S$4:S145,$Q146&amp;"|S|*")+1))</f>
        <v/>
      </c>
      <c r="T146" s="769" t="str">
        <f>IF(OR($F146="",$P146="支払なし",$R146=0,$Q146=""),"",$Q146&amp;"|L|"&amp;(COUNTIF(T$4:T145,$Q146&amp;"|L|*")+1))</f>
        <v>委託費|L|4</v>
      </c>
      <c r="U146" s="769">
        <f>IF(OR($F146="",$A146=""),"",MOD(MONTH($A146)-4,12)+1)</f>
        <v>5</v>
      </c>
    </row>
    <row r="147" ht="16.5" customFormat="1" customHeight="1" s="43">
      <c r="A147" s="760" t="n">
        <v>46262</v>
      </c>
      <c r="B147" s="761" t="n"/>
      <c r="C147" s="762" t="inlineStr">
        <is>
          <t>委託費</t>
        </is>
      </c>
      <c r="D147" s="762" t="n"/>
      <c r="E147" s="762" t="inlineStr">
        <is>
          <t>ねんきん定期便（６月分）送付業務</t>
        </is>
      </c>
      <c r="F147" s="772" t="n">
        <v>84715</v>
      </c>
      <c r="G147" s="772" t="n">
        <v>5</v>
      </c>
      <c r="H147" s="765">
        <f>IF(G147=1,F147-I147-J147-K147,IF(G147=2,F147,0))</f>
        <v>0</v>
      </c>
      <c r="I147" s="765">
        <f>ROUND(IF(G147=1,F147*10/23,IF(G147=3,F147-J147-K147,IF(G147=4,F147,IF(G147=5,F147*10/11,IF(G147=7,F147*10/11,0))))),0)</f>
        <v>77014</v>
      </c>
      <c r="J147" s="765">
        <f>ROUND(IF(G147=1,F147/23,IF(G147=3,F147/12,IF(G147=5,F147-I147,IF(G147=8,F147,0)))),0)</f>
        <v>7701</v>
      </c>
      <c r="K147" s="766">
        <f>ROUND(IF(G147=1,F147/23,IF(G147=3,F147/12,IF(G147=6,F147,IF(G147=7,F147-I147,0)))),0)</f>
        <v>0</v>
      </c>
      <c r="L147" s="767">
        <f>IF(G147=6,F147,0)</f>
        <v>0</v>
      </c>
      <c r="M147" s="572">
        <f>IF(F147="",0,MONTH(A147))</f>
        <v>8</v>
      </c>
      <c r="P147" s="768" t="inlineStr">
        <is>
          <t>確認済</t>
        </is>
      </c>
      <c r="Q147" s="769" t="str">
        <f>IF($F147="","",IFERROR(VLOOKUP($C147&amp;"|"&amp;$D147,科目表!$A$5:$B$200,2,FALSE),"※未登録"))</f>
        <v>委託費</v>
      </c>
      <c r="R147" s="769">
        <f>IF($F147="","",$I147+$J147+$K147)</f>
        <v>84715</v>
      </c>
      <c r="S147" s="769" t="str">
        <f>IF(OR($F147="",$P147="支払なし",$H147=0,$Q147=""),"",$Q147&amp;"|S|"&amp;(COUNTIF(S$4:S146,$Q147&amp;"|S|*")+1))</f>
        <v/>
      </c>
      <c r="T147" s="769" t="str">
        <f>IF(OR($F147="",$P147="支払なし",$R147=0,$Q147=""),"",$Q147&amp;"|L|"&amp;(COUNTIF(T$4:T146,$Q147&amp;"|L|*")+1))</f>
        <v>委託費|L|5</v>
      </c>
      <c r="U147" s="769">
        <f>IF(OR($F147="",$A147=""),"",MOD(MONTH($A147)-4,12)+1)</f>
        <v>5</v>
      </c>
    </row>
    <row r="148" ht="16.5" customFormat="1" customHeight="1" s="43">
      <c r="A148" s="760" t="n">
        <v>46232</v>
      </c>
      <c r="B148" s="761" t="n"/>
      <c r="C148" s="762" t="inlineStr">
        <is>
          <t>賃借料</t>
        </is>
      </c>
      <c r="D148" s="762" t="n"/>
      <c r="E148" s="762" t="inlineStr">
        <is>
          <t>パソコン（業務経理用）６月分</t>
        </is>
      </c>
      <c r="F148" s="772" t="n">
        <v>5060</v>
      </c>
      <c r="G148" s="772" t="n">
        <v>2</v>
      </c>
      <c r="H148" s="765">
        <f>IF(G148=1,F148-I148-J148-K148,IF(G148=2,F148,0))</f>
        <v>5060</v>
      </c>
      <c r="I148" s="765">
        <f>ROUND(IF(G148=1,F148*10/23,IF(G148=3,F148-J148-K148,IF(G148=4,F148,IF(G148=5,F148*10/11,IF(G148=7,F148*10/11,0))))),0)</f>
        <v>0</v>
      </c>
      <c r="J148" s="765">
        <f>ROUND(IF(G148=1,F148/23,IF(G148=3,F148/12,IF(G148=5,F148-I148,IF(G148=8,F148,0)))),0)</f>
        <v>0</v>
      </c>
      <c r="K148" s="766">
        <f>ROUND(IF(G148=1,F148/23,IF(G148=3,F148/12,IF(G148=6,F148,IF(G148=7,F148-I148,0)))),0)</f>
        <v>0</v>
      </c>
      <c r="L148" s="767">
        <f>IF(G148=6,F148,0)</f>
        <v>0</v>
      </c>
      <c r="M148" s="572">
        <f>IF(F148="",0,MONTH(A148))</f>
        <v>7</v>
      </c>
      <c r="P148" s="768" t="inlineStr">
        <is>
          <t>確認済</t>
        </is>
      </c>
      <c r="Q148" s="769" t="str">
        <f>IF($F148="","",IFERROR(VLOOKUP($C148&amp;"|"&amp;$D148,科目表!$A$5:$B$200,2,FALSE),"※未登録"))</f>
        <v>賃借料</v>
      </c>
      <c r="R148" s="769">
        <f>IF($F148="","",$I148+$J148+$K148)</f>
        <v>0</v>
      </c>
      <c r="S148" s="769" t="str">
        <f>IF(OR($F148="",$P148="支払なし",$H148=0,$Q148=""),"",$Q148&amp;"|S|"&amp;(COUNTIF(S$4:S147,$Q148&amp;"|S|*")+1))</f>
        <v>賃借料|S|10</v>
      </c>
      <c r="T148" s="769" t="str">
        <f>IF(OR($F148="",$P148="支払なし",$R148=0,$Q148=""),"",$Q148&amp;"|L|"&amp;(COUNTIF(T$4:T147,$Q148&amp;"|L|*")+1))</f>
        <v/>
      </c>
      <c r="U148" s="769">
        <f>IF(OR($F148="",$A148=""),"",MOD(MONTH($A148)-4,12)+1)</f>
        <v>4</v>
      </c>
    </row>
    <row r="149" ht="16.5" customFormat="1" customHeight="1" s="43">
      <c r="A149" s="760" t="n">
        <v>46226</v>
      </c>
      <c r="B149" s="761" t="n"/>
      <c r="C149" s="762" t="inlineStr">
        <is>
          <t>事務費</t>
        </is>
      </c>
      <c r="D149" s="762" t="inlineStr">
        <is>
          <t>通信運搬費</t>
        </is>
      </c>
      <c r="E149" s="773" t="inlineStr">
        <is>
          <t>切手等</t>
        </is>
      </c>
      <c r="F149" s="764" t="n">
        <v>299000</v>
      </c>
      <c r="G149" s="764" t="n">
        <v>3</v>
      </c>
      <c r="H149" s="765">
        <f>IF(G149=1,F149-I149-J149-K149,IF(G149=2,F149,0))</f>
        <v>0</v>
      </c>
      <c r="I149" s="765">
        <f>ROUND(IF(G149=1,F149*10/23,IF(G149=3,F149-J149-K149,IF(G149=4,F149,IF(G149=5,F149*10/11,IF(G149=7,F149*10/11,0))))),0)</f>
        <v>249166</v>
      </c>
      <c r="J149" s="765">
        <f>ROUND(IF(G149=1,F149/23,IF(G149=3,F149/12,IF(G149=5,F149-I149,IF(G149=8,F149,0)))),0)</f>
        <v>24917</v>
      </c>
      <c r="K149" s="766">
        <f>ROUND(IF(G149=1,F149/23,IF(G149=3,F149/12,IF(G149=6,F149,IF(G149=7,F149-I149,0)))),0)</f>
        <v>24917</v>
      </c>
      <c r="L149" s="767">
        <f>IF(G149=6,F149,0)</f>
        <v>0</v>
      </c>
      <c r="M149" s="572">
        <f>IF(F149="",0,MONTH(A149))</f>
        <v>7</v>
      </c>
      <c r="P149" s="768" t="inlineStr">
        <is>
          <t>確認済</t>
        </is>
      </c>
      <c r="Q149" s="769" t="str">
        <f>IF($F149="","",IFERROR(VLOOKUP($C149&amp;"|"&amp;$D149,科目表!$A$5:$B$200,2,FALSE),"※未登録"))</f>
        <v>通信運搬費</v>
      </c>
      <c r="R149" s="769">
        <f>IF($F149="","",$I149+$J149+$K149)</f>
        <v>299000</v>
      </c>
      <c r="S149" s="769" t="str">
        <f>IF(OR($F149="",$P149="支払なし",$H149=0,$Q149=""),"",$Q149&amp;"|S|"&amp;(COUNTIF(S$4:S148,$Q149&amp;"|S|*")+1))</f>
        <v/>
      </c>
      <c r="T149" s="769" t="str">
        <f>IF(OR($F149="",$P149="支払なし",$R149=0,$Q149=""),"",$Q149&amp;"|L|"&amp;(COUNTIF(T$4:T148,$Q149&amp;"|L|*")+1))</f>
        <v>通信運搬費|L|5</v>
      </c>
      <c r="U149" s="769">
        <f>IF(OR($F149="",$A149=""),"",MOD(MONTH($A149)-4,12)+1)</f>
        <v>4</v>
      </c>
    </row>
    <row r="150" ht="16.5" customFormat="1" customHeight="1" s="43">
      <c r="A150" s="760" t="n">
        <v>46218</v>
      </c>
      <c r="B150" s="761" t="n"/>
      <c r="C150" s="762" t="inlineStr">
        <is>
          <t>賃金</t>
        </is>
      </c>
      <c r="D150" s="762" t="n"/>
      <c r="E150" s="762" t="inlineStr">
        <is>
          <t>臨時職員賃金６月分　天畠吏梨外１名分（短期１００％）</t>
        </is>
      </c>
      <c r="F150" s="774" t="n">
        <v>446160</v>
      </c>
      <c r="G150" s="764" t="n">
        <v>2</v>
      </c>
      <c r="H150" s="765">
        <f>IF(G150=1,F150-I150-J150-K150,IF(G150=2,F150,0))</f>
        <v>446160</v>
      </c>
      <c r="I150" s="765">
        <f>ROUND(IF(G150=1,F150*10/23,IF(G150=3,F150-J150-K150,IF(G150=4,F150,IF(G150=5,F150*10/11,IF(G150=7,F150*10/11,0))))),0)</f>
        <v>0</v>
      </c>
      <c r="J150" s="765">
        <f>ROUND(IF(G150=1,F150/23,IF(G150=3,F150/12,IF(G150=5,F150-I150,IF(G150=8,F150,0)))),0)</f>
        <v>0</v>
      </c>
      <c r="K150" s="766">
        <f>ROUND(IF(G150=1,F150/23,IF(G150=3,F150/12,IF(G150=6,F150,IF(G150=7,F150-I150,0)))),0)</f>
        <v>0</v>
      </c>
      <c r="L150" s="767">
        <f>IF(G150=6,F150,0)</f>
        <v>0</v>
      </c>
      <c r="M150" s="572">
        <f>IF(F150="",0,MONTH(A150))</f>
        <v>7</v>
      </c>
      <c r="P150" s="768" t="inlineStr">
        <is>
          <t>確認済</t>
        </is>
      </c>
      <c r="Q150" s="769" t="str">
        <f>IF($F150="","",IFERROR(VLOOKUP($C150&amp;"|"&amp;$D150,科目表!$A$5:$B$200,2,FALSE),"※未登録"))</f>
        <v>賃金</v>
      </c>
      <c r="R150" s="769">
        <f>IF($F150="","",$I150+$J150+$K150)</f>
        <v>0</v>
      </c>
      <c r="S150" s="769" t="str">
        <f>IF(OR($F150="",$P150="支払なし",$H150=0,$Q150=""),"",$Q150&amp;"|S|"&amp;(COUNTIF(S$4:S149,$Q150&amp;"|S|*")+1))</f>
        <v>賃金|S|3</v>
      </c>
      <c r="T150" s="769" t="str">
        <f>IF(OR($F150="",$P150="支払なし",$R150=0,$Q150=""),"",$Q150&amp;"|L|"&amp;(COUNTIF(T$4:T149,$Q150&amp;"|L|*")+1))</f>
        <v/>
      </c>
      <c r="U150" s="769">
        <f>IF(OR($F150="",$A150=""),"",MOD(MONTH($A150)-4,12)+1)</f>
        <v>4</v>
      </c>
    </row>
    <row r="151" ht="16.5" customFormat="1" customHeight="1" s="43">
      <c r="A151" s="760" t="n">
        <v>46259</v>
      </c>
      <c r="B151" s="761" t="n"/>
      <c r="C151" s="762" t="inlineStr">
        <is>
          <t>委託費</t>
        </is>
      </c>
      <c r="D151" s="762" t="n"/>
      <c r="E151" s="775" t="inlineStr">
        <is>
          <t>給付算定基礎額残高通知書の発送</t>
        </is>
      </c>
      <c r="F151" s="764" t="n">
        <v>951706</v>
      </c>
      <c r="G151" s="764" t="n">
        <v>6</v>
      </c>
      <c r="H151" s="765">
        <f>IF(G151=1,F151-I151-J151-K151,IF(G151=2,F151,0))</f>
        <v>0</v>
      </c>
      <c r="I151" s="765">
        <f>ROUND(IF(G151=1,F151*10/23,IF(G151=3,F151-J151-K151,IF(G151=4,F151,IF(G151=5,F151*10/11,IF(G151=7,F151*10/11,0))))),0)</f>
        <v>0</v>
      </c>
      <c r="J151" s="765">
        <f>ROUND(IF(G151=1,F151/23,IF(G151=3,F151/12,IF(G151=5,F151-I151,IF(G151=8,F151,0)))),0)</f>
        <v>0</v>
      </c>
      <c r="K151" s="766">
        <f>ROUND(IF(G151=1,F151/23,IF(G151=3,F151/12,IF(G151=6,F151,IF(G151=7,F151-I151,0)))),0)</f>
        <v>951706</v>
      </c>
      <c r="L151" s="767">
        <f>IF(G151=6,F151,0)</f>
        <v>951706</v>
      </c>
      <c r="M151" s="572">
        <f>IF(F151="",0,MONTH(A151))</f>
        <v>8</v>
      </c>
      <c r="P151" s="768" t="inlineStr">
        <is>
          <t>確認済</t>
        </is>
      </c>
      <c r="Q151" s="769" t="str">
        <f>IF($F151="","",IFERROR(VLOOKUP($C151&amp;"|"&amp;$D151,科目表!$A$5:$B$200,2,FALSE),"※未登録"))</f>
        <v>委託費</v>
      </c>
      <c r="R151" s="769">
        <f>IF($F151="","",$I151+$J151+$K151)</f>
        <v>951706</v>
      </c>
      <c r="S151" s="769" t="str">
        <f>IF(OR($F151="",$P151="支払なし",$H151=0,$Q151=""),"",$Q151&amp;"|S|"&amp;(COUNTIF(S$4:S150,$Q151&amp;"|S|*")+1))</f>
        <v/>
      </c>
      <c r="T151" s="769" t="str">
        <f>IF(OR($F151="",$P151="支払なし",$R151=0,$Q151=""),"",$Q151&amp;"|L|"&amp;(COUNTIF(T$4:T150,$Q151&amp;"|L|*")+1))</f>
        <v>委託費|L|6</v>
      </c>
      <c r="U151" s="769">
        <f>IF(OR($F151="",$A151=""),"",MOD(MONTH($A151)-4,12)+1)</f>
        <v>5</v>
      </c>
    </row>
    <row r="152" ht="16.5" customFormat="1" customHeight="1" s="422">
      <c r="A152" s="760" t="n">
        <v>43706</v>
      </c>
      <c r="B152" s="761" t="n"/>
      <c r="C152" s="762" t="inlineStr">
        <is>
          <t>旅費</t>
        </is>
      </c>
      <c r="D152" s="762" t="n"/>
      <c r="E152" s="775" t="inlineStr">
        <is>
          <t>9/2・3　長期給付事務専門研修会及び年金事務説明会　特別区　石井主幹</t>
        </is>
      </c>
      <c r="F152" s="764" t="n">
        <v>50720</v>
      </c>
      <c r="G152" s="764" t="n">
        <v>3</v>
      </c>
      <c r="H152" s="765">
        <f>IF(G152=1,F152-I152-J152-K152,IF(G152=2,F152,0))</f>
        <v>0</v>
      </c>
      <c r="I152" s="765">
        <f>ROUND(IF(G152=1,F152*10/23,IF(G152=3,F152-J152-K152,IF(G152=4,F152,IF(G152=5,F152*10/11,IF(G152=7,F152*10/11,0))))),0)</f>
        <v>42266</v>
      </c>
      <c r="J152" s="765">
        <f>ROUND(IF(G152=1,F152/23,IF(G152=3,F152/12,IF(G152=5,F152-I152,IF(G152=8,F152,0)))),0)</f>
        <v>4227</v>
      </c>
      <c r="K152" s="766">
        <f>ROUND(IF(G152=1,F152/23,IF(G152=3,F152/12,IF(G152=6,F152,IF(G152=7,F152-I152,0)))),0)</f>
        <v>4227</v>
      </c>
      <c r="L152" s="767">
        <f>IF(G152=6,F152,0)</f>
        <v>0</v>
      </c>
      <c r="M152" s="421">
        <f>IF(F152="",0,MONTH(A152))</f>
        <v>8</v>
      </c>
      <c r="P152" s="768" t="inlineStr">
        <is>
          <t>昨年実績</t>
        </is>
      </c>
      <c r="Q152" s="769" t="str">
        <f>IF($F152="","",IFERROR(VLOOKUP($C152&amp;"|"&amp;$D152,科目表!$A$5:$B$200,2,FALSE),"※未登録"))</f>
        <v>旅費</v>
      </c>
      <c r="R152" s="769">
        <f>IF($F152="","",$I152+$J152+$K152)</f>
        <v>50720</v>
      </c>
      <c r="S152" s="769" t="str">
        <f>IF(OR($F152="",$P152="支払なし",$H152=0,$Q152=""),"",$Q152&amp;"|S|"&amp;(COUNTIF(S$4:S151,$Q152&amp;"|S|*")+1))</f>
        <v/>
      </c>
      <c r="T152" s="769" t="str">
        <f>IF(OR($F152="",$P152="支払なし",$R152=0,$Q152=""),"",$Q152&amp;"|L|"&amp;(COUNTIF(T$4:T151,$Q152&amp;"|L|*")+1))</f>
        <v>旅費|L|6</v>
      </c>
      <c r="U152" s="769">
        <f>IF(OR($F152="",$A152=""),"",MOD(MONTH($A152)-4,12)+1)</f>
        <v>5</v>
      </c>
    </row>
    <row r="153" ht="16.5" customFormat="1" customHeight="1" s="43">
      <c r="A153" s="760" t="n">
        <v>46224</v>
      </c>
      <c r="B153" s="761" t="n"/>
      <c r="C153" s="762" t="inlineStr">
        <is>
          <t>委託費</t>
        </is>
      </c>
      <c r="D153" s="762" t="n"/>
      <c r="E153" s="763" t="inlineStr">
        <is>
          <t>レセプト電子データ提供料（４月診療分）</t>
        </is>
      </c>
      <c r="F153" s="764" t="n">
        <v>56808</v>
      </c>
      <c r="G153" s="764" t="n">
        <v>2</v>
      </c>
      <c r="H153" s="765">
        <f>IF(G153=1,F153-I153-J153-K153,IF(G153=2,F153,0))</f>
        <v>56808</v>
      </c>
      <c r="I153" s="765">
        <f>ROUND(IF(G153=1,F153*10/23,IF(G153=3,F153-J153-K153,IF(G153=4,F153,IF(G153=5,F153*10/11,IF(G153=7,F153*10/11,0))))),0)</f>
        <v>0</v>
      </c>
      <c r="J153" s="765">
        <f>ROUND(IF(G153=1,F153/23,IF(G153=3,F153/12,IF(G153=5,F153-I153,IF(G153=8,F153,0)))),0)</f>
        <v>0</v>
      </c>
      <c r="K153" s="766">
        <f>ROUND(IF(G153=1,F153/23,IF(G153=3,F153/12,IF(G153=6,F153,IF(G153=7,F153-I153,0)))),0)</f>
        <v>0</v>
      </c>
      <c r="L153" s="767">
        <f>IF(G153=6,F153,0)</f>
        <v>0</v>
      </c>
      <c r="M153" s="572">
        <f>IF(F153="",0,MONTH(A153))</f>
        <v>7</v>
      </c>
      <c r="P153" s="768" t="inlineStr">
        <is>
          <t>確認済</t>
        </is>
      </c>
      <c r="Q153" s="769" t="str">
        <f>IF($F153="","",IFERROR(VLOOKUP($C153&amp;"|"&amp;$D153,科目表!$A$5:$B$200,2,FALSE),"※未登録"))</f>
        <v>委託費</v>
      </c>
      <c r="R153" s="769">
        <f>IF($F153="","",$I153+$J153+$K153)</f>
        <v>0</v>
      </c>
      <c r="S153" s="769" t="str">
        <f>IF(OR($F153="",$P153="支払なし",$H153=0,$Q153=""),"",$Q153&amp;"|S|"&amp;(COUNTIF(S$4:S152,$Q153&amp;"|S|*")+1))</f>
        <v>委託費|S|15</v>
      </c>
      <c r="T153" s="769" t="str">
        <f>IF(OR($F153="",$P153="支払なし",$R153=0,$Q153=""),"",$Q153&amp;"|L|"&amp;(COUNTIF(T$4:T152,$Q153&amp;"|L|*")+1))</f>
        <v/>
      </c>
      <c r="U153" s="769">
        <f>IF(OR($F153="",$A153=""),"",MOD(MONTH($A153)-4,12)+1)</f>
        <v>4</v>
      </c>
    </row>
    <row r="154" ht="16.5" customFormat="1" customHeight="1" s="422">
      <c r="A154" s="760" t="n">
        <v>45107</v>
      </c>
      <c r="B154" s="761" t="n"/>
      <c r="C154" s="762" t="inlineStr">
        <is>
          <t>賃借料</t>
        </is>
      </c>
      <c r="D154" s="762" t="n"/>
      <c r="E154" s="762" t="inlineStr">
        <is>
          <t>全国共済組合事務局長会議　WEB会議用機器等</t>
        </is>
      </c>
      <c r="F154" s="772" t="n">
        <v>10120</v>
      </c>
      <c r="G154" s="772" t="n">
        <v>1</v>
      </c>
      <c r="H154" s="765">
        <f>IF(G154=1,F154-I154-J154-K154,IF(G154=2,F154,0))</f>
        <v>4840</v>
      </c>
      <c r="I154" s="765">
        <f>ROUND(IF(G154=1,F154*10/23,IF(G154=3,F154-J154-K154,IF(G154=4,F154,IF(G154=5,F154*10/11,IF(G154=7,F154*10/11,0))))),0)</f>
        <v>4400</v>
      </c>
      <c r="J154" s="765">
        <f>ROUND(IF(G154=1,F154/23,IF(G154=3,F154/12,IF(G154=5,F154-I154,IF(G154=8,F154,0)))),0)</f>
        <v>440</v>
      </c>
      <c r="K154" s="766">
        <f>ROUND(IF(G154=1,F154/23,IF(G154=3,F154/12,IF(G154=6,F154,IF(G154=7,F154-I154,0)))),0)</f>
        <v>440</v>
      </c>
      <c r="L154" s="767">
        <f>IF(G154=6,F154,0)</f>
        <v>0</v>
      </c>
      <c r="M154" s="421">
        <f>IF(F154="",0,MONTH(A154))</f>
        <v>6</v>
      </c>
      <c r="P154" s="768" t="inlineStr">
        <is>
          <t>昨年実績</t>
        </is>
      </c>
      <c r="Q154" s="769" t="str">
        <f>IF($F154="","",IFERROR(VLOOKUP($C154&amp;"|"&amp;$D154,科目表!$A$5:$B$200,2,FALSE),"※未登録"))</f>
        <v>賃借料</v>
      </c>
      <c r="R154" s="769">
        <f>IF($F154="","",$I154+$J154+$K154)</f>
        <v>5280</v>
      </c>
      <c r="S154" s="769" t="str">
        <f>IF(OR($F154="",$P154="支払なし",$H154=0,$Q154=""),"",$Q154&amp;"|S|"&amp;(COUNTIF(S$4:S153,$Q154&amp;"|S|*")+1))</f>
        <v>賃借料|S|11</v>
      </c>
      <c r="T154" s="769" t="str">
        <f>IF(OR($F154="",$P154="支払なし",$R154=0,$Q154=""),"",$Q154&amp;"|L|"&amp;(COUNTIF(T$4:T153,$Q154&amp;"|L|*")+1))</f>
        <v>賃借料|L|4</v>
      </c>
      <c r="U154" s="769">
        <f>IF(OR($F154="",$A154=""),"",MOD(MONTH($A154)-4,12)+1)</f>
        <v>3</v>
      </c>
    </row>
    <row r="155" ht="16.5" customFormat="1" customHeight="1" s="422">
      <c r="A155" s="760" t="n">
        <v>44397</v>
      </c>
      <c r="B155" s="761" t="n"/>
      <c r="C155" s="762" t="inlineStr">
        <is>
          <t>事務費</t>
        </is>
      </c>
      <c r="D155" s="762" t="inlineStr">
        <is>
          <t>通信運搬費</t>
        </is>
      </c>
      <c r="E155" s="762" t="inlineStr">
        <is>
          <t>電話料金（６月使用・７月請求分）</t>
        </is>
      </c>
      <c r="F155" s="772" t="n">
        <v>5407</v>
      </c>
      <c r="G155" s="772" t="n">
        <v>2</v>
      </c>
      <c r="H155" s="765">
        <f>IF(G155=1,F155-I155-J155-K155,IF(G155=2,F155,0))</f>
        <v>5407</v>
      </c>
      <c r="I155" s="765">
        <f>ROUND(IF(G155=1,F155*10/23,IF(G155=3,F155-J155-K155,IF(G155=4,F155,IF(G155=5,F155*10/11,IF(G155=7,F155*10/11,0))))),0)</f>
        <v>0</v>
      </c>
      <c r="J155" s="765">
        <f>ROUND(IF(G155=1,F155/23,IF(G155=3,F155/12,IF(G155=5,F155-I155,IF(G155=8,F155,0)))),0)</f>
        <v>0</v>
      </c>
      <c r="K155" s="766">
        <f>ROUND(IF(G155=1,F155/23,IF(G155=3,F155/12,IF(G155=6,F155,IF(G155=7,F155-I155,0)))),0)</f>
        <v>0</v>
      </c>
      <c r="L155" s="767">
        <f>IF(G155=6,F155,0)</f>
        <v>0</v>
      </c>
      <c r="M155" s="421">
        <f>IF(F155="",0,MONTH(A155))</f>
        <v>7</v>
      </c>
      <c r="P155" s="768" t="inlineStr">
        <is>
          <t>昨年実績</t>
        </is>
      </c>
      <c r="Q155" s="769" t="str">
        <f>IF($F155="","",IFERROR(VLOOKUP($C155&amp;"|"&amp;$D155,科目表!$A$5:$B$200,2,FALSE),"※未登録"))</f>
        <v>通信運搬費</v>
      </c>
      <c r="R155" s="769">
        <f>IF($F155="","",$I155+$J155+$K155)</f>
        <v>0</v>
      </c>
      <c r="S155" s="769" t="str">
        <f>IF(OR($F155="",$P155="支払なし",$H155=0,$Q155=""),"",$Q155&amp;"|S|"&amp;(COUNTIF(S$4:S154,$Q155&amp;"|S|*")+1))</f>
        <v>通信運搬費|S|15</v>
      </c>
      <c r="T155" s="769" t="str">
        <f>IF(OR($F155="",$P155="支払なし",$R155=0,$Q155=""),"",$Q155&amp;"|L|"&amp;(COUNTIF(T$4:T154,$Q155&amp;"|L|*")+1))</f>
        <v/>
      </c>
      <c r="U155" s="769">
        <f>IF(OR($F155="",$A155=""),"",MOD(MONTH($A155)-4,12)+1)</f>
        <v>4</v>
      </c>
    </row>
    <row r="156" ht="16.5" customFormat="1" customHeight="1" s="43">
      <c r="A156" s="760" t="n">
        <v>46234</v>
      </c>
      <c r="B156" s="761" t="n"/>
      <c r="C156" s="762" t="inlineStr">
        <is>
          <t>事務費</t>
        </is>
      </c>
      <c r="D156" s="762" t="inlineStr">
        <is>
          <t>送金料</t>
        </is>
      </c>
      <c r="E156" s="775" t="inlineStr">
        <is>
          <t>ゆうちょ銀行手数料（６月分）短期</t>
        </is>
      </c>
      <c r="F156" s="764" t="n">
        <v>14457</v>
      </c>
      <c r="G156" s="764" t="n">
        <v>2</v>
      </c>
      <c r="H156" s="765">
        <f>IF(G156=1,F156-I156-J156-K156,IF(G156=2,F156,0))</f>
        <v>14457</v>
      </c>
      <c r="I156" s="765">
        <f>ROUND(IF(G156=1,F156*10/23,IF(G156=3,F156-J156-K156,IF(G156=4,F156,IF(G156=5,F156*10/11,IF(G156=7,F156*10/11,0))))),0)</f>
        <v>0</v>
      </c>
      <c r="J156" s="765">
        <f>ROUND(IF(G156=1,F156/23,IF(G156=3,F156/12,IF(G156=5,F156-I156,IF(G156=8,F156,0)))),0)</f>
        <v>0</v>
      </c>
      <c r="K156" s="766">
        <f>ROUND(IF(G156=1,F156/23,IF(G156=3,F156/12,IF(G156=6,F156,IF(G156=7,F156-I156,0)))),0)</f>
        <v>0</v>
      </c>
      <c r="L156" s="767">
        <f>IF(G156=6,F156,0)</f>
        <v>0</v>
      </c>
      <c r="M156" s="572">
        <f>IF(F156="",0,MONTH(A156))</f>
        <v>7</v>
      </c>
      <c r="P156" s="768" t="inlineStr">
        <is>
          <t>確認済</t>
        </is>
      </c>
      <c r="Q156" s="769" t="str">
        <f>IF($F156="","",IFERROR(VLOOKUP($C156&amp;"|"&amp;$D156,科目表!$A$5:$B$200,2,FALSE),"※未登録"))</f>
        <v>送金料</v>
      </c>
      <c r="R156" s="769">
        <f>IF($F156="","",$I156+$J156+$K156)</f>
        <v>0</v>
      </c>
      <c r="S156" s="769" t="str">
        <f>IF(OR($F156="",$P156="支払なし",$H156=0,$Q156=""),"",$Q156&amp;"|S|"&amp;(COUNTIF(S$4:S155,$Q156&amp;"|S|*")+1))</f>
        <v>送金料|S|6</v>
      </c>
      <c r="T156" s="769" t="str">
        <f>IF(OR($F156="",$P156="支払なし",$R156=0,$Q156=""),"",$Q156&amp;"|L|"&amp;(COUNTIF(T$4:T155,$Q156&amp;"|L|*")+1))</f>
        <v/>
      </c>
      <c r="U156" s="769">
        <f>IF(OR($F156="",$A156=""),"",MOD(MONTH($A156)-4,12)+1)</f>
        <v>4</v>
      </c>
    </row>
    <row r="157" ht="16.5" customFormat="1" customHeight="1" s="43">
      <c r="A157" s="760" t="n">
        <v>46234</v>
      </c>
      <c r="B157" s="761" t="n"/>
      <c r="C157" s="762" t="inlineStr">
        <is>
          <t>事務費</t>
        </is>
      </c>
      <c r="D157" s="762" t="inlineStr">
        <is>
          <t>雑費</t>
        </is>
      </c>
      <c r="E157" s="775" t="inlineStr">
        <is>
          <t>ゆうちょ銀行振替口座残高証明（６月分）短期</t>
        </is>
      </c>
      <c r="F157" s="764" t="n">
        <v>550</v>
      </c>
      <c r="G157" s="764" t="n">
        <v>2</v>
      </c>
      <c r="H157" s="765">
        <f>IF(G157=1,F157-I157-J157-K157,IF(G157=2,F157,0))</f>
        <v>550</v>
      </c>
      <c r="I157" s="765">
        <f>ROUND(IF(G157=1,F157*10/23,IF(G157=3,F157-J157-K157,IF(G157=4,F157,IF(G157=5,F157*10/11,IF(G157=7,F157*10/11,0))))),0)</f>
        <v>0</v>
      </c>
      <c r="J157" s="765">
        <f>ROUND(IF(G157=1,F157/23,IF(G157=3,F157/12,IF(G157=5,F157-I157,IF(G157=8,F157,0)))),0)</f>
        <v>0</v>
      </c>
      <c r="K157" s="766">
        <f>ROUND(IF(G157=1,F157/23,IF(G157=3,F157/12,IF(G157=6,F157,IF(G157=7,F157-I157,0)))),0)</f>
        <v>0</v>
      </c>
      <c r="L157" s="767">
        <f>IF(G157=6,F157,0)</f>
        <v>0</v>
      </c>
      <c r="M157" s="572">
        <f>IF(F157="",0,MONTH(A157))</f>
        <v>7</v>
      </c>
      <c r="P157" s="768" t="inlineStr">
        <is>
          <t>確認済</t>
        </is>
      </c>
      <c r="Q157" s="769" t="str">
        <f>IF($F157="","",IFERROR(VLOOKUP($C157&amp;"|"&amp;$D157,科目表!$A$5:$B$200,2,FALSE),"※未登録"))</f>
        <v>事務費・雑費</v>
      </c>
      <c r="R157" s="769">
        <f>IF($F157="","",$I157+$J157+$K157)</f>
        <v>0</v>
      </c>
      <c r="S157" s="769" t="str">
        <f>IF(OR($F157="",$P157="支払なし",$H157=0,$Q157=""),"",$Q157&amp;"|S|"&amp;(COUNTIF(S$4:S156,$Q157&amp;"|S|*")+1))</f>
        <v>事務費・雑費|S|5</v>
      </c>
      <c r="T157" s="769" t="str">
        <f>IF(OR($F157="",$P157="支払なし",$R157=0,$Q157=""),"",$Q157&amp;"|L|"&amp;(COUNTIF(T$4:T156,$Q157&amp;"|L|*")+1))</f>
        <v/>
      </c>
      <c r="U157" s="769">
        <f>IF(OR($F157="",$A157=""),"",MOD(MONTH($A157)-4,12)+1)</f>
        <v>4</v>
      </c>
    </row>
    <row r="158" ht="16.5" customFormat="1" customHeight="1" s="43">
      <c r="A158" s="760" t="n">
        <v>46224</v>
      </c>
      <c r="B158" s="761" t="n"/>
      <c r="C158" s="762" t="inlineStr">
        <is>
          <t>職員給与</t>
        </is>
      </c>
      <c r="D158" s="762" t="inlineStr">
        <is>
          <t>非常勤職員手当</t>
        </is>
      </c>
      <c r="E158" s="762" t="inlineStr">
        <is>
          <t>７月分給与（長期分）</t>
        </is>
      </c>
      <c r="F158" s="774" t="n">
        <v>380800</v>
      </c>
      <c r="G158" s="772" t="n">
        <v>3</v>
      </c>
      <c r="H158" s="765">
        <f>IF(G158=1,F158-I158-J158-K158,IF(G158=2,F158,0))</f>
        <v>0</v>
      </c>
      <c r="I158" s="765">
        <f>ROUND(IF(G158=1,F158*10/23,IF(G158=3,F158-J158-K158,IF(G158=4,F158,IF(G158=5,F158*10/11,IF(G158=7,F158*10/11,0))))),0)</f>
        <v>317334</v>
      </c>
      <c r="J158" s="765">
        <f>ROUND(IF(G158=1,F158/23,IF(G158=3,F158/12,IF(G158=5,F158-I158,IF(G158=8,F158,0)))),0)</f>
        <v>31733</v>
      </c>
      <c r="K158" s="766">
        <f>ROUND(IF(G158=1,F158/23,IF(G158=3,F158/12,IF(G158=6,F158,IF(G158=7,F158-I158,0)))),0)</f>
        <v>31733</v>
      </c>
      <c r="L158" s="767">
        <f>IF(G158=6,F158,0)</f>
        <v>0</v>
      </c>
      <c r="M158" s="572">
        <f>IF(F158="",0,MONTH(A158))</f>
        <v>7</v>
      </c>
      <c r="P158" s="768" t="inlineStr">
        <is>
          <t>確認済</t>
        </is>
      </c>
      <c r="Q158" s="769" t="str">
        <f>IF($F158="","",IFERROR(VLOOKUP($C158&amp;"|"&amp;$D158,科目表!$A$5:$B$200,2,FALSE),"※未登録"))</f>
        <v>非常勤職員手当</v>
      </c>
      <c r="R158" s="769">
        <f>IF($F158="","",$I158+$J158+$K158)</f>
        <v>380800</v>
      </c>
      <c r="S158" s="769" t="str">
        <f>IF(OR($F158="",$P158="支払なし",$H158=0,$Q158=""),"",$Q158&amp;"|S|"&amp;(COUNTIF(S$4:S157,$Q158&amp;"|S|*")+1))</f>
        <v/>
      </c>
      <c r="T158" s="769" t="str">
        <f>IF(OR($F158="",$P158="支払なし",$R158=0,$Q158=""),"",$Q158&amp;"|L|"&amp;(COUNTIF(T$4:T157,$Q158&amp;"|L|*")+1))</f>
        <v>非常勤職員手当|L|5</v>
      </c>
      <c r="U158" s="769">
        <f>IF(OR($F158="",$A158=""),"",MOD(MONTH($A158)-4,12)+1)</f>
        <v>4</v>
      </c>
    </row>
    <row r="159" ht="16.5" customFormat="1" customHeight="1" s="43">
      <c r="A159" s="760" t="n">
        <v>46224</v>
      </c>
      <c r="B159" s="761" t="n"/>
      <c r="C159" s="762" t="inlineStr">
        <is>
          <t>職員給与</t>
        </is>
      </c>
      <c r="D159" s="762" t="inlineStr">
        <is>
          <t>非常勤職員手当</t>
        </is>
      </c>
      <c r="E159" s="762" t="inlineStr">
        <is>
          <t>７月分給与（短期分）</t>
        </is>
      </c>
      <c r="F159" s="771" t="n">
        <v>256708</v>
      </c>
      <c r="G159" s="772" t="n">
        <v>2</v>
      </c>
      <c r="H159" s="765">
        <f>IF(G159=1,F159-I159-J159-K159,IF(G159=2,F159,0))</f>
        <v>256708</v>
      </c>
      <c r="I159" s="765">
        <f>ROUND(IF(G159=1,F159*10/23,IF(G159=3,F159-J159-K159,IF(G159=4,F159,IF(G159=5,F159*10/11,IF(G159=7,F159*10/11,0))))),0)</f>
        <v>0</v>
      </c>
      <c r="J159" s="765">
        <f>ROUND(IF(G159=1,F159/23,IF(G159=3,F159/12,IF(G159=5,F159-I159,IF(G159=8,F159,0)))),0)</f>
        <v>0</v>
      </c>
      <c r="K159" s="766">
        <f>ROUND(IF(G159=1,F159/23,IF(G159=3,F159/12,IF(G159=6,F159,IF(G159=7,F159-I159,0)))),0)</f>
        <v>0</v>
      </c>
      <c r="L159" s="767">
        <f>IF(G159=6,F159,0)</f>
        <v>0</v>
      </c>
      <c r="M159" s="572">
        <f>IF(F159="",0,MONTH(A159))</f>
        <v>7</v>
      </c>
      <c r="P159" s="768" t="inlineStr">
        <is>
          <t>確認済</t>
        </is>
      </c>
      <c r="Q159" s="769" t="str">
        <f>IF($F159="","",IFERROR(VLOOKUP($C159&amp;"|"&amp;$D159,科目表!$A$5:$B$200,2,FALSE),"※未登録"))</f>
        <v>非常勤職員手当</v>
      </c>
      <c r="R159" s="769">
        <f>IF($F159="","",$I159+$J159+$K159)</f>
        <v>0</v>
      </c>
      <c r="S159" s="769" t="str">
        <f>IF(OR($F159="",$P159="支払なし",$H159=0,$Q159=""),"",$Q159&amp;"|S|"&amp;(COUNTIF(S$4:S158,$Q159&amp;"|S|*")+1))</f>
        <v>非常勤職員手当|S|5</v>
      </c>
      <c r="T159" s="769" t="str">
        <f>IF(OR($F159="",$P159="支払なし",$R159=0,$Q159=""),"",$Q159&amp;"|L|"&amp;(COUNTIF(T$4:T158,$Q159&amp;"|L|*")+1))</f>
        <v/>
      </c>
      <c r="U159" s="769">
        <f>IF(OR($F159="",$A159=""),"",MOD(MONTH($A159)-4,12)+1)</f>
        <v>4</v>
      </c>
    </row>
    <row r="160" ht="16.5" customFormat="1" customHeight="1" s="43">
      <c r="A160" s="760" t="n">
        <v>46224</v>
      </c>
      <c r="B160" s="761" t="n"/>
      <c r="C160" s="762" t="inlineStr">
        <is>
          <t>負担金</t>
        </is>
      </c>
      <c r="D160" s="762" t="inlineStr">
        <is>
          <t>互助会費</t>
        </is>
      </c>
      <c r="E160" s="762" t="inlineStr">
        <is>
          <t>助成金（７月長期分）</t>
        </is>
      </c>
      <c r="F160" s="774" t="n">
        <v>466</v>
      </c>
      <c r="G160" s="764" t="n">
        <v>3</v>
      </c>
      <c r="H160" s="765">
        <f>IF(G160=1,F160-I160-J160-K160,IF(G160=2,F160,0))</f>
        <v>0</v>
      </c>
      <c r="I160" s="765">
        <f>ROUND(IF(G160=1,F160*10/23,IF(G160=3,F160-J160-K160,IF(G160=4,F160,IF(G160=5,F160*10/11,IF(G160=7,F160*10/11,0))))),0)</f>
        <v>388</v>
      </c>
      <c r="J160" s="765">
        <f>ROUND(IF(G160=1,F160/23,IF(G160=3,F160/12,IF(G160=5,F160-I160,IF(G160=8,F160,0)))),0)</f>
        <v>39</v>
      </c>
      <c r="K160" s="766">
        <f>ROUND(IF(G160=1,F160/23,IF(G160=3,F160/12,IF(G160=6,F160,IF(G160=7,F160-I160,0)))),0)</f>
        <v>39</v>
      </c>
      <c r="L160" s="767">
        <f>IF(G160=6,F160,0)</f>
        <v>0</v>
      </c>
      <c r="M160" s="572">
        <f>IF(F160="",0,MONTH(A160))</f>
        <v>7</v>
      </c>
      <c r="P160" s="768" t="inlineStr">
        <is>
          <t>確認済</t>
        </is>
      </c>
      <c r="Q160" s="769" t="str">
        <f>IF($F160="","",IFERROR(VLOOKUP($C160&amp;"|"&amp;$D160,科目表!$A$5:$B$200,2,FALSE),"※未登録"))</f>
        <v>互助会費</v>
      </c>
      <c r="R160" s="769">
        <f>IF($F160="","",$I160+$J160+$K160)</f>
        <v>466</v>
      </c>
      <c r="S160" s="769" t="str">
        <f>IF(OR($F160="",$P160="支払なし",$H160=0,$Q160=""),"",$Q160&amp;"|S|"&amp;(COUNTIF(S$4:S159,$Q160&amp;"|S|*")+1))</f>
        <v/>
      </c>
      <c r="T160" s="769" t="str">
        <f>IF(OR($F160="",$P160="支払なし",$R160=0,$Q160=""),"",$Q160&amp;"|L|"&amp;(COUNTIF(T$4:T159,$Q160&amp;"|L|*")+1))</f>
        <v>互助会費|L|4</v>
      </c>
      <c r="U160" s="769">
        <f>IF(OR($F160="",$A160=""),"",MOD(MONTH($A160)-4,12)+1)</f>
        <v>4</v>
      </c>
    </row>
    <row r="161" ht="16.5" customFormat="1" customHeight="1" s="43">
      <c r="A161" s="760" t="n">
        <v>46224</v>
      </c>
      <c r="B161" s="761" t="n"/>
      <c r="C161" s="762" t="inlineStr">
        <is>
          <t>負担金</t>
        </is>
      </c>
      <c r="D161" s="762" t="inlineStr">
        <is>
          <t>互助会費</t>
        </is>
      </c>
      <c r="E161" s="762" t="inlineStr">
        <is>
          <t>助成金（７月短期分）</t>
        </is>
      </c>
      <c r="F161" s="774" t="n">
        <v>240</v>
      </c>
      <c r="G161" s="764" t="n">
        <v>2</v>
      </c>
      <c r="H161" s="765">
        <f>IF(G161=1,F161-I161-J161-K161,IF(G161=2,F161,0))</f>
        <v>240</v>
      </c>
      <c r="I161" s="765">
        <f>ROUND(IF(G161=1,F161*10/23,IF(G161=3,F161-J161-K161,IF(G161=4,F161,IF(G161=5,F161*10/11,IF(G161=7,F161*10/11,0))))),0)</f>
        <v>0</v>
      </c>
      <c r="J161" s="765">
        <f>ROUND(IF(G161=1,F161/23,IF(G161=3,F161/12,IF(G161=5,F161-I161,IF(G161=8,F161,0)))),0)</f>
        <v>0</v>
      </c>
      <c r="K161" s="766">
        <f>ROUND(IF(G161=1,F161/23,IF(G161=3,F161/12,IF(G161=6,F161,IF(G161=7,F161-I161,0)))),0)</f>
        <v>0</v>
      </c>
      <c r="L161" s="767">
        <f>IF(G161=6,F161,0)</f>
        <v>0</v>
      </c>
      <c r="M161" s="572">
        <f>IF(F161="",0,MONTH(A161))</f>
        <v>7</v>
      </c>
      <c r="P161" s="768" t="inlineStr">
        <is>
          <t>確認済</t>
        </is>
      </c>
      <c r="Q161" s="769" t="str">
        <f>IF($F161="","",IFERROR(VLOOKUP($C161&amp;"|"&amp;$D161,科目表!$A$5:$B$200,2,FALSE),"※未登録"))</f>
        <v>互助会費</v>
      </c>
      <c r="R161" s="769">
        <f>IF($F161="","",$I161+$J161+$K161)</f>
        <v>0</v>
      </c>
      <c r="S161" s="769" t="str">
        <f>IF(OR($F161="",$P161="支払なし",$H161=0,$Q161=""),"",$Q161&amp;"|S|"&amp;(COUNTIF(S$4:S160,$Q161&amp;"|S|*")+1))</f>
        <v>互助会費|S|4</v>
      </c>
      <c r="T161" s="769" t="str">
        <f>IF(OR($F161="",$P161="支払なし",$R161=0,$Q161=""),"",$Q161&amp;"|L|"&amp;(COUNTIF(T$4:T160,$Q161&amp;"|L|*")+1))</f>
        <v/>
      </c>
      <c r="U161" s="769">
        <f>IF(OR($F161="",$A161=""),"",MOD(MONTH($A161)-4,12)+1)</f>
        <v>4</v>
      </c>
    </row>
    <row r="162" ht="16.5" customFormat="1" customHeight="1" s="422">
      <c r="A162" s="760" t="n">
        <v>44834</v>
      </c>
      <c r="B162" s="761" t="n"/>
      <c r="C162" s="762" t="inlineStr">
        <is>
          <t>事務費</t>
        </is>
      </c>
      <c r="D162" s="762" t="inlineStr">
        <is>
          <t>事務用消耗品費</t>
        </is>
      </c>
      <c r="E162" s="762" t="inlineStr">
        <is>
          <t>組合員証カード　20,000枚</t>
        </is>
      </c>
      <c r="F162" s="772" t="n">
        <v>431200</v>
      </c>
      <c r="G162" s="772" t="n">
        <v>2</v>
      </c>
      <c r="H162" s="765">
        <f>IF(G162=1,F162-I162-J162-K162,IF(G162=2,F162,0))</f>
        <v>431200</v>
      </c>
      <c r="I162" s="765">
        <f>ROUND(IF(G162=1,F162*10/23,IF(G162=3,F162-J162-K162,IF(G162=4,F162,IF(G162=5,F162*10/11,IF(G162=7,F162*10/11,0))))),0)</f>
        <v>0</v>
      </c>
      <c r="J162" s="765">
        <f>ROUND(IF(G162=1,F162/23,IF(G162=3,F162/12,IF(G162=5,F162-I162,IF(G162=8,F162,0)))),0)</f>
        <v>0</v>
      </c>
      <c r="K162" s="766">
        <f>ROUND(IF(G162=1,F162/23,IF(G162=3,F162/12,IF(G162=6,F162,IF(G162=7,F162-I162,0)))),0)</f>
        <v>0</v>
      </c>
      <c r="L162" s="767">
        <f>IF(G162=6,F162,0)</f>
        <v>0</v>
      </c>
      <c r="M162" s="421">
        <f>IF(F162="",0,MONTH(A162))</f>
        <v>9</v>
      </c>
      <c r="P162" s="768" t="inlineStr">
        <is>
          <t>昨年実績</t>
        </is>
      </c>
      <c r="Q162" s="769" t="str">
        <f>IF($F162="","",IFERROR(VLOOKUP($C162&amp;"|"&amp;$D162,科目表!$A$5:$B$200,2,FALSE),"※未登録"))</f>
        <v>事務用消耗品費</v>
      </c>
      <c r="R162" s="769">
        <f>IF($F162="","",$I162+$J162+$K162)</f>
        <v>0</v>
      </c>
      <c r="S162" s="769" t="str">
        <f>IF(OR($F162="",$P162="支払なし",$H162=0,$Q162=""),"",$Q162&amp;"|S|"&amp;(COUNTIF(S$4:S161,$Q162&amp;"|S|*")+1))</f>
        <v>事務用消耗品費|S|12</v>
      </c>
      <c r="T162" s="769" t="str">
        <f>IF(OR($F162="",$P162="支払なし",$R162=0,$Q162=""),"",$Q162&amp;"|L|"&amp;(COUNTIF(T$4:T161,$Q162&amp;"|L|*")+1))</f>
        <v/>
      </c>
      <c r="U162" s="769">
        <f>IF(OR($F162="",$A162=""),"",MOD(MONTH($A162)-4,12)+1)</f>
        <v>6</v>
      </c>
    </row>
    <row r="163" ht="16.5" customFormat="1" customHeight="1" s="43">
      <c r="A163" s="760" t="n">
        <v>46232</v>
      </c>
      <c r="B163" s="761" t="n"/>
      <c r="C163" s="762" t="inlineStr">
        <is>
          <t>負担金</t>
        </is>
      </c>
      <c r="D163" s="762" t="inlineStr">
        <is>
          <t>負担金</t>
        </is>
      </c>
      <c r="E163" s="762" t="inlineStr">
        <is>
          <t>共済短期・介護負担金（７月月例分）長期</t>
        </is>
      </c>
      <c r="F163" s="771" t="n">
        <v>22035</v>
      </c>
      <c r="G163" s="772" t="n">
        <v>3</v>
      </c>
      <c r="H163" s="765">
        <f>IF(G163=1,F163-I163-J163-K163,IF(G163=2,F163,0))</f>
        <v>0</v>
      </c>
      <c r="I163" s="765">
        <f>ROUND(IF(G163=1,F163*10/23,IF(G163=3,F163-J163-K163,IF(G163=4,F163,IF(G163=5,F163*10/11,IF(G163=7,F163*10/11,0))))),0)</f>
        <v>18363</v>
      </c>
      <c r="J163" s="765">
        <f>ROUND(IF(G163=1,F163/23,IF(G163=3,F163/12,IF(G163=5,F163-I163,IF(G163=8,F163,0)))),0)</f>
        <v>1836</v>
      </c>
      <c r="K163" s="766">
        <f>ROUND(IF(G163=1,F163/23,IF(G163=3,F163/12,IF(G163=6,F163,IF(G163=7,F163-I163,0)))),0)</f>
        <v>1836</v>
      </c>
      <c r="L163" s="767">
        <f>IF(G163=6,F163,0)</f>
        <v>0</v>
      </c>
      <c r="M163" s="572">
        <f>IF(F163="",0,MONTH(A163))</f>
        <v>7</v>
      </c>
      <c r="P163" s="768" t="inlineStr">
        <is>
          <t>確認済</t>
        </is>
      </c>
      <c r="Q163" s="769" t="str">
        <f>IF($F163="","",IFERROR(VLOOKUP($C163&amp;"|"&amp;$D163,科目表!$A$5:$B$200,2,FALSE),"※未登録"))</f>
        <v>共済負担金等</v>
      </c>
      <c r="R163" s="769">
        <f>IF($F163="","",$I163+$J163+$K163)</f>
        <v>22035</v>
      </c>
      <c r="S163" s="769" t="str">
        <f>IF(OR($F163="",$P163="支払なし",$H163=0,$Q163=""),"",$Q163&amp;"|S|"&amp;(COUNTIF(S$4:S162,$Q163&amp;"|S|*")+1))</f>
        <v/>
      </c>
      <c r="T163" s="769" t="str">
        <f>IF(OR($F163="",$P163="支払なし",$R163=0,$Q163=""),"",$Q163&amp;"|L|"&amp;(COUNTIF(T$4:T162,$Q163&amp;"|L|*")+1))</f>
        <v>共済負担金等|L|7</v>
      </c>
      <c r="U163" s="769">
        <f>IF(OR($F163="",$A163=""),"",MOD(MONTH($A163)-4,12)+1)</f>
        <v>4</v>
      </c>
    </row>
    <row r="164" ht="16.5" customFormat="1" customHeight="1" s="43">
      <c r="A164" s="760" t="n">
        <v>46232</v>
      </c>
      <c r="B164" s="761" t="n"/>
      <c r="C164" s="762" t="inlineStr">
        <is>
          <t>負担金</t>
        </is>
      </c>
      <c r="D164" s="762" t="inlineStr">
        <is>
          <t>負担金</t>
        </is>
      </c>
      <c r="E164" s="762" t="inlineStr">
        <is>
          <t>共済短期・介護負担金（７月月例分）短期</t>
        </is>
      </c>
      <c r="F164" s="771" t="n">
        <v>37074</v>
      </c>
      <c r="G164" s="772" t="n">
        <v>2</v>
      </c>
      <c r="H164" s="765">
        <f>IF(G164=1,F164-I164-J164-K164,IF(G164=2,F164,0))</f>
        <v>37074</v>
      </c>
      <c r="I164" s="765">
        <f>ROUND(IF(G164=1,F164*10/23,IF(G164=3,F164-J164-K164,IF(G164=4,F164,IF(G164=5,F164*10/11,IF(G164=7,F164*10/11,0))))),0)</f>
        <v>0</v>
      </c>
      <c r="J164" s="765">
        <f>ROUND(IF(G164=1,F164/23,IF(G164=3,F164/12,IF(G164=5,F164-I164,IF(G164=8,F164,0)))),0)</f>
        <v>0</v>
      </c>
      <c r="K164" s="766">
        <f>ROUND(IF(G164=1,F164/23,IF(G164=3,F164/12,IF(G164=6,F164,IF(G164=7,F164-I164,0)))),0)</f>
        <v>0</v>
      </c>
      <c r="L164" s="767">
        <f>IF(G164=6,F164,0)</f>
        <v>0</v>
      </c>
      <c r="M164" s="572">
        <f>IF(F164="",0,MONTH(A164))</f>
        <v>7</v>
      </c>
      <c r="P164" s="768" t="inlineStr">
        <is>
          <t>確認済</t>
        </is>
      </c>
      <c r="Q164" s="769" t="str">
        <f>IF($F164="","",IFERROR(VLOOKUP($C164&amp;"|"&amp;$D164,科目表!$A$5:$B$200,2,FALSE),"※未登録"))</f>
        <v>共済負担金等</v>
      </c>
      <c r="R164" s="769">
        <f>IF($F164="","",$I164+$J164+$K164)</f>
        <v>0</v>
      </c>
      <c r="S164" s="769" t="str">
        <f>IF(OR($F164="",$P164="支払なし",$H164=0,$Q164=""),"",$Q164&amp;"|S|"&amp;(COUNTIF(S$4:S163,$Q164&amp;"|S|*")+1))</f>
        <v>共済負担金等|S|6</v>
      </c>
      <c r="T164" s="769" t="str">
        <f>IF(OR($F164="",$P164="支払なし",$R164=0,$Q164=""),"",$Q164&amp;"|L|"&amp;(COUNTIF(T$4:T163,$Q164&amp;"|L|*")+1))</f>
        <v/>
      </c>
      <c r="U164" s="769">
        <f>IF(OR($F164="",$A164=""),"",MOD(MONTH($A164)-4,12)+1)</f>
        <v>4</v>
      </c>
    </row>
    <row r="165" ht="20.25" customFormat="1" customHeight="1" s="422">
      <c r="A165" s="760" t="n">
        <v>44406</v>
      </c>
      <c r="B165" s="761" t="n"/>
      <c r="C165" s="762" t="inlineStr">
        <is>
          <t>賃借料</t>
        </is>
      </c>
      <c r="D165" s="762" t="n"/>
      <c r="E165" s="762" t="inlineStr">
        <is>
          <t>パソコン（業務経理用）６月分</t>
        </is>
      </c>
      <c r="F165" s="772" t="n">
        <v>550</v>
      </c>
      <c r="G165" s="772" t="n">
        <v>2</v>
      </c>
      <c r="H165" s="765">
        <f>IF(G165=1,F165-I165-J165-K165,IF(G165=2,F165,0))</f>
        <v>550</v>
      </c>
      <c r="I165" s="765">
        <f>ROUND(IF(G165=1,F165*10/23,IF(G165=3,F165-J165-K165,IF(G165=4,F165,IF(G165=5,F165*10/11,IF(G165=7,F165*10/11,0))))),0)</f>
        <v>0</v>
      </c>
      <c r="J165" s="765">
        <f>ROUND(IF(G165=1,F165/23,IF(G165=3,F165/12,IF(G165=5,F165-I165,IF(G165=8,F165,0)))),0)</f>
        <v>0</v>
      </c>
      <c r="K165" s="766">
        <f>ROUND(IF(G165=1,F165/23,IF(G165=3,F165/12,IF(G165=6,F165,IF(G165=7,F165-I165,0)))),0)</f>
        <v>0</v>
      </c>
      <c r="L165" s="767">
        <f>IF(G165=6,F165,0)</f>
        <v>0</v>
      </c>
      <c r="M165" s="421">
        <f>IF(F165="",0,MONTH(A165))</f>
        <v>7</v>
      </c>
      <c r="P165" s="768" t="inlineStr">
        <is>
          <t>昨年実績</t>
        </is>
      </c>
      <c r="Q165" s="769" t="str">
        <f>IF($F165="","",IFERROR(VLOOKUP($C165&amp;"|"&amp;$D165,科目表!$A$5:$B$200,2,FALSE),"※未登録"))</f>
        <v>賃借料</v>
      </c>
      <c r="R165" s="769">
        <f>IF($F165="","",$I165+$J165+$K165)</f>
        <v>0</v>
      </c>
      <c r="S165" s="769" t="str">
        <f>IF(OR($F165="",$P165="支払なし",$H165=0,$Q165=""),"",$Q165&amp;"|S|"&amp;(COUNTIF(S$4:S164,$Q165&amp;"|S|*")+1))</f>
        <v>賃借料|S|12</v>
      </c>
      <c r="T165" s="769" t="str">
        <f>IF(OR($F165="",$P165="支払なし",$R165=0,$Q165=""),"",$Q165&amp;"|L|"&amp;(COUNTIF(T$4:T164,$Q165&amp;"|L|*")+1))</f>
        <v/>
      </c>
      <c r="U165" s="769">
        <f>IF(OR($F165="",$A165=""),"",MOD(MONTH($A165)-4,12)+1)</f>
        <v>4</v>
      </c>
    </row>
    <row r="166" ht="20.25" customFormat="1" customHeight="1" s="422">
      <c r="A166" s="760" t="n">
        <v>44406</v>
      </c>
      <c r="B166" s="761" t="n"/>
      <c r="C166" s="762" t="inlineStr">
        <is>
          <t>賃借料</t>
        </is>
      </c>
      <c r="D166" s="762" t="n"/>
      <c r="E166" s="781" t="inlineStr">
        <is>
          <t>ﾊﾟｿｺﾝｳｨﾙｽ対策ｿﾌﾄ(業務用)ｻﾝﾈｯﾄ（6月分）</t>
        </is>
      </c>
      <c r="F166" s="772" t="n">
        <v>2090</v>
      </c>
      <c r="G166" s="772" t="n">
        <v>2</v>
      </c>
      <c r="H166" s="765">
        <f>IF(G166=1,F166-I166-J166-K166,IF(G166=2,F166,0))</f>
        <v>2090</v>
      </c>
      <c r="I166" s="765">
        <f>ROUND(IF(G166=1,F166*10/23,IF(G166=3,F166-J166-K166,IF(G166=4,F166,IF(G166=5,F166*10/11,IF(G166=7,F166*10/11,0))))),0)</f>
        <v>0</v>
      </c>
      <c r="J166" s="765">
        <f>ROUND(IF(G166=1,F166/23,IF(G166=3,F166/12,IF(G166=5,F166-I166,IF(G166=8,F166,0)))),0)</f>
        <v>0</v>
      </c>
      <c r="K166" s="766">
        <f>ROUND(IF(G166=1,F166/23,IF(G166=3,F166/12,IF(G166=6,F166,IF(G166=7,F166-I166,0)))),0)</f>
        <v>0</v>
      </c>
      <c r="L166" s="767">
        <f>IF(G166=6,F166,0)</f>
        <v>0</v>
      </c>
      <c r="M166" s="421">
        <f>IF(F166="",0,MONTH(A166))</f>
        <v>7</v>
      </c>
      <c r="P166" s="768" t="inlineStr">
        <is>
          <t>昨年実績</t>
        </is>
      </c>
      <c r="Q166" s="769" t="str">
        <f>IF($F166="","",IFERROR(VLOOKUP($C166&amp;"|"&amp;$D166,科目表!$A$5:$B$200,2,FALSE),"※未登録"))</f>
        <v>賃借料</v>
      </c>
      <c r="R166" s="769">
        <f>IF($F166="","",$I166+$J166+$K166)</f>
        <v>0</v>
      </c>
      <c r="S166" s="769" t="str">
        <f>IF(OR($F166="",$P166="支払なし",$H166=0,$Q166=""),"",$Q166&amp;"|S|"&amp;(COUNTIF(S$4:S165,$Q166&amp;"|S|*")+1))</f>
        <v>賃借料|S|13</v>
      </c>
      <c r="T166" s="769" t="str">
        <f>IF(OR($F166="",$P166="支払なし",$R166=0,$Q166=""),"",$Q166&amp;"|L|"&amp;(COUNTIF(T$4:T165,$Q166&amp;"|L|*")+1))</f>
        <v/>
      </c>
      <c r="U166" s="769">
        <f>IF(OR($F166="",$A166=""),"",MOD(MONTH($A166)-4,12)+1)</f>
        <v>4</v>
      </c>
    </row>
    <row r="167" ht="16.5" customFormat="1" customHeight="1" s="43">
      <c r="A167" s="760" t="n">
        <v>45869</v>
      </c>
      <c r="B167" s="761" t="n"/>
      <c r="C167" s="762" t="inlineStr">
        <is>
          <t>事務費</t>
        </is>
      </c>
      <c r="D167" s="762" t="inlineStr">
        <is>
          <t>事務用消耗品費</t>
        </is>
      </c>
      <c r="E167" s="770" t="inlineStr">
        <is>
          <t>マチ付きホルダー　YG－１４／１０枚入　４０パック　ほか</t>
        </is>
      </c>
      <c r="F167" s="772" t="n">
        <v>43080</v>
      </c>
      <c r="G167" s="772" t="n">
        <v>2</v>
      </c>
      <c r="H167" s="765">
        <f>IF(G167=1,F167-I167-J167-K167,IF(G167=2,F167,0))</f>
        <v>43080</v>
      </c>
      <c r="I167" s="765">
        <f>ROUND(IF(G167=1,F167*10/23,IF(G167=3,F167-J167-K167,IF(G167=4,F167,IF(G167=5,F167*10/11,IF(G167=7,F167*10/11,0))))),0)</f>
        <v>0</v>
      </c>
      <c r="J167" s="765">
        <f>ROUND(IF(G167=1,F167/23,IF(G167=3,F167/12,IF(G167=5,F167-I167,IF(G167=8,F167,0)))),0)</f>
        <v>0</v>
      </c>
      <c r="K167" s="766">
        <f>ROUND(IF(G167=1,F167/23,IF(G167=3,F167/12,IF(G167=6,F167,IF(G167=7,F167-I167,0)))),0)</f>
        <v>0</v>
      </c>
      <c r="L167" s="767">
        <f>IF(G167=6,F167,0)</f>
        <v>0</v>
      </c>
      <c r="M167" s="572">
        <f>IF(F167="",0,MONTH(A167))</f>
        <v>7</v>
      </c>
      <c r="P167" s="768" t="inlineStr">
        <is>
          <t>昨年実績</t>
        </is>
      </c>
      <c r="Q167" s="769" t="str">
        <f>IF($F167="","",IFERROR(VLOOKUP($C167&amp;"|"&amp;$D167,科目表!$A$5:$B$200,2,FALSE),"※未登録"))</f>
        <v>事務用消耗品費</v>
      </c>
      <c r="R167" s="769">
        <f>IF($F167="","",$I167+$J167+$K167)</f>
        <v>0</v>
      </c>
      <c r="S167" s="769" t="str">
        <f>IF(OR($F167="",$P167="支払なし",$H167=0,$Q167=""),"",$Q167&amp;"|S|"&amp;(COUNTIF(S$4:S166,$Q167&amp;"|S|*")+1))</f>
        <v>事務用消耗品費|S|13</v>
      </c>
      <c r="T167" s="769" t="str">
        <f>IF(OR($F167="",$P167="支払なし",$R167=0,$Q167=""),"",$Q167&amp;"|L|"&amp;(COUNTIF(T$4:T166,$Q167&amp;"|L|*")+1))</f>
        <v/>
      </c>
      <c r="U167" s="769">
        <f>IF(OR($F167="",$A167=""),"",MOD(MONTH($A167)-4,12)+1)</f>
        <v>4</v>
      </c>
    </row>
    <row r="168" ht="16.5" customFormat="1" customHeight="1" s="422">
      <c r="A168" s="760" t="n">
        <v>44768</v>
      </c>
      <c r="B168" s="761" t="n"/>
      <c r="C168" s="762" t="inlineStr">
        <is>
          <t>事務費</t>
        </is>
      </c>
      <c r="D168" s="762" t="inlineStr">
        <is>
          <t>雑費</t>
        </is>
      </c>
      <c r="E168" s="775" t="inlineStr">
        <is>
          <t>ＪＡ残高証明書（手数料）R4.6.30時点</t>
        </is>
      </c>
      <c r="F168" s="764" t="n">
        <v>220</v>
      </c>
      <c r="G168" s="764" t="n">
        <v>2</v>
      </c>
      <c r="H168" s="765">
        <f>IF(G168=1,F168-I168-J168-K168,IF(G168=2,F168,0))</f>
        <v>220</v>
      </c>
      <c r="I168" s="765">
        <f>ROUND(IF(G168=1,F168*10/23,IF(G168=3,F168-J168-K168,IF(G168=4,F168,IF(G168=5,F168*10/11,IF(G168=7,F168*10/11,0))))),0)</f>
        <v>0</v>
      </c>
      <c r="J168" s="765">
        <f>ROUND(IF(G168=1,F168/23,IF(G168=3,F168/12,IF(G168=5,F168-I168,IF(G168=8,F168,0)))),0)</f>
        <v>0</v>
      </c>
      <c r="K168" s="766">
        <f>ROUND(IF(G168=1,F168/23,IF(G168=3,F168/12,IF(G168=6,F168,IF(G168=7,F168-I168,0)))),0)</f>
        <v>0</v>
      </c>
      <c r="L168" s="767">
        <f>IF(G168=6,F168,0)</f>
        <v>0</v>
      </c>
      <c r="M168" s="421">
        <f>IF(F168="",0,MONTH(A168))</f>
        <v>7</v>
      </c>
      <c r="P168" s="768" t="inlineStr">
        <is>
          <t>昨年実績</t>
        </is>
      </c>
      <c r="Q168" s="769" t="str">
        <f>IF($F168="","",IFERROR(VLOOKUP($C168&amp;"|"&amp;$D168,科目表!$A$5:$B$200,2,FALSE),"※未登録"))</f>
        <v>事務費・雑費</v>
      </c>
      <c r="R168" s="769">
        <f>IF($F168="","",$I168+$J168+$K168)</f>
        <v>0</v>
      </c>
      <c r="S168" s="769" t="str">
        <f>IF(OR($F168="",$P168="支払なし",$H168=0,$Q168=""),"",$Q168&amp;"|S|"&amp;(COUNTIF(S$4:S167,$Q168&amp;"|S|*")+1))</f>
        <v>事務費・雑費|S|6</v>
      </c>
      <c r="T168" s="769" t="str">
        <f>IF(OR($F168="",$P168="支払なし",$R168=0,$Q168=""),"",$Q168&amp;"|L|"&amp;(COUNTIF(T$4:T167,$Q168&amp;"|L|*")+1))</f>
        <v/>
      </c>
      <c r="U168" s="769">
        <f>IF(OR($F168="",$A168=""),"",MOD(MONTH($A168)-4,12)+1)</f>
        <v>4</v>
      </c>
    </row>
    <row r="169" ht="16.5" customFormat="1" customHeight="1" s="43">
      <c r="A169" s="760" t="n">
        <v>46232</v>
      </c>
      <c r="B169" s="761" t="n"/>
      <c r="C169" s="762" t="inlineStr">
        <is>
          <t>事務費</t>
        </is>
      </c>
      <c r="D169" s="762" t="inlineStr">
        <is>
          <t>通信運搬費</t>
        </is>
      </c>
      <c r="E169" s="762" t="inlineStr">
        <is>
          <t>料金後納利用料（６月分）</t>
        </is>
      </c>
      <c r="F169" s="772" t="n">
        <v>22860</v>
      </c>
      <c r="G169" s="772" t="n">
        <v>2</v>
      </c>
      <c r="H169" s="765">
        <f>IF(G169=1,F169-I169-J169-K169,IF(G169=2,F169,0))</f>
        <v>22860</v>
      </c>
      <c r="I169" s="765">
        <f>ROUND(IF(G169=1,F169*10/23,IF(G169=3,F169-J169-K169,IF(G169=4,F169,IF(G169=5,F169*10/11,IF(G169=7,F169*10/11,0))))),0)</f>
        <v>0</v>
      </c>
      <c r="J169" s="765">
        <f>ROUND(IF(G169=1,F169/23,IF(G169=3,F169/12,IF(G169=5,F169-I169,IF(G169=8,F169,0)))),0)</f>
        <v>0</v>
      </c>
      <c r="K169" s="766">
        <f>ROUND(IF(G169=1,F169/23,IF(G169=3,F169/12,IF(G169=6,F169,IF(G169=7,F169-I169,0)))),0)</f>
        <v>0</v>
      </c>
      <c r="L169" s="767">
        <f>IF(G169=6,F169,0)</f>
        <v>0</v>
      </c>
      <c r="M169" s="572">
        <f>IF(F169="",0,MONTH(A169))</f>
        <v>7</v>
      </c>
      <c r="P169" s="768" t="inlineStr">
        <is>
          <t>確認済</t>
        </is>
      </c>
      <c r="Q169" s="769" t="str">
        <f>IF($F169="","",IFERROR(VLOOKUP($C169&amp;"|"&amp;$D169,科目表!$A$5:$B$200,2,FALSE),"※未登録"))</f>
        <v>通信運搬費</v>
      </c>
      <c r="R169" s="769">
        <f>IF($F169="","",$I169+$J169+$K169)</f>
        <v>0</v>
      </c>
      <c r="S169" s="769" t="str">
        <f>IF(OR($F169="",$P169="支払なし",$H169=0,$Q169=""),"",$Q169&amp;"|S|"&amp;(COUNTIF(S$4:S168,$Q169&amp;"|S|*")+1))</f>
        <v>通信運搬費|S|16</v>
      </c>
      <c r="T169" s="769" t="str">
        <f>IF(OR($F169="",$P169="支払なし",$R169=0,$Q169=""),"",$Q169&amp;"|L|"&amp;(COUNTIF(T$4:T168,$Q169&amp;"|L|*")+1))</f>
        <v/>
      </c>
      <c r="U169" s="769">
        <f>IF(OR($F169="",$A169=""),"",MOD(MONTH($A169)-4,12)+1)</f>
        <v>4</v>
      </c>
    </row>
    <row r="170" ht="16.5" customFormat="1" customHeight="1" s="43">
      <c r="A170" s="760" t="n">
        <v>46232</v>
      </c>
      <c r="B170" s="761" t="n"/>
      <c r="C170" s="762" t="inlineStr">
        <is>
          <t>事務費</t>
        </is>
      </c>
      <c r="D170" s="762" t="inlineStr">
        <is>
          <t>通信運搬費</t>
        </is>
      </c>
      <c r="E170" s="762" t="inlineStr">
        <is>
          <t>料金後納利用料（６月分）</t>
        </is>
      </c>
      <c r="F170" s="772" t="n">
        <v>1235000</v>
      </c>
      <c r="G170" s="772" t="n">
        <v>3</v>
      </c>
      <c r="H170" s="765">
        <f>IF(G170=1,F170-I170-J170-K170,IF(G170=2,F170,0))</f>
        <v>0</v>
      </c>
      <c r="I170" s="765">
        <f>ROUND(IF(G170=1,F170*10/23,IF(G170=3,F170-J170-K170,IF(G170=4,F170,IF(G170=5,F170*10/11,IF(G170=7,F170*10/11,0))))),0)</f>
        <v>1029166</v>
      </c>
      <c r="J170" s="765">
        <f>ROUND(IF(G170=1,F170/23,IF(G170=3,F170/12,IF(G170=5,F170-I170,IF(G170=8,F170,0)))),0)</f>
        <v>102917</v>
      </c>
      <c r="K170" s="766">
        <f>ROUND(IF(G170=1,F170/23,IF(G170=3,F170/12,IF(G170=6,F170,IF(G170=7,F170-I170,0)))),0)</f>
        <v>102917</v>
      </c>
      <c r="L170" s="767">
        <f>IF(G170=6,F170,0)</f>
        <v>0</v>
      </c>
      <c r="M170" s="572">
        <f>IF(F170="",0,MONTH(A170))</f>
        <v>7</v>
      </c>
      <c r="P170" s="768" t="inlineStr">
        <is>
          <t>確認済</t>
        </is>
      </c>
      <c r="Q170" s="769" t="str">
        <f>IF($F170="","",IFERROR(VLOOKUP($C170&amp;"|"&amp;$D170,科目表!$A$5:$B$200,2,FALSE),"※未登録"))</f>
        <v>通信運搬費</v>
      </c>
      <c r="R170" s="769">
        <f>IF($F170="","",$I170+$J170+$K170)</f>
        <v>1235000</v>
      </c>
      <c r="S170" s="769" t="str">
        <f>IF(OR($F170="",$P170="支払なし",$H170=0,$Q170=""),"",$Q170&amp;"|S|"&amp;(COUNTIF(S$4:S169,$Q170&amp;"|S|*")+1))</f>
        <v/>
      </c>
      <c r="T170" s="769" t="str">
        <f>IF(OR($F170="",$P170="支払なし",$R170=0,$Q170=""),"",$Q170&amp;"|L|"&amp;(COUNTIF(T$4:T169,$Q170&amp;"|L|*")+1))</f>
        <v>通信運搬費|L|6</v>
      </c>
      <c r="U170" s="769">
        <f>IF(OR($F170="",$A170=""),"",MOD(MONTH($A170)-4,12)+1)</f>
        <v>4</v>
      </c>
    </row>
    <row r="171" ht="16.5" customFormat="1" customHeight="1" s="422">
      <c r="A171" s="760" t="n">
        <v>45135</v>
      </c>
      <c r="B171" s="761" t="n"/>
      <c r="C171" s="762" t="inlineStr">
        <is>
          <t>事務費</t>
        </is>
      </c>
      <c r="D171" s="762" t="inlineStr">
        <is>
          <t>事務用消耗品費</t>
        </is>
      </c>
      <c r="E171" s="770" t="inlineStr">
        <is>
          <t>鋳造ゴム印　３号以下265字　他</t>
        </is>
      </c>
      <c r="F171" s="772" t="n">
        <v>9498</v>
      </c>
      <c r="G171" s="772" t="n">
        <v>3</v>
      </c>
      <c r="H171" s="765">
        <f>IF(G171=1,F171-I171-J171-K171,IF(G171=2,F171,0))</f>
        <v>0</v>
      </c>
      <c r="I171" s="765">
        <f>ROUND(IF(G171=1,F171*10/23,IF(G171=3,F171-J171-K171,IF(G171=4,F171,IF(G171=5,F171*10/11,IF(G171=7,F171*10/11,0))))),0)</f>
        <v>7914</v>
      </c>
      <c r="J171" s="765">
        <f>ROUND(IF(G171=1,F171/23,IF(G171=3,F171/12,IF(G171=5,F171-I171,IF(G171=8,F171,0)))),0)</f>
        <v>792</v>
      </c>
      <c r="K171" s="766">
        <f>ROUND(IF(G171=1,F171/23,IF(G171=3,F171/12,IF(G171=6,F171,IF(G171=7,F171-I171,0)))),0)</f>
        <v>792</v>
      </c>
      <c r="L171" s="767">
        <f>IF(G171=6,F171,0)</f>
        <v>0</v>
      </c>
      <c r="M171" s="421">
        <f>IF(F171="",0,MONTH(A171))</f>
        <v>7</v>
      </c>
      <c r="P171" s="768" t="inlineStr">
        <is>
          <t>昨年実績</t>
        </is>
      </c>
      <c r="Q171" s="769" t="str">
        <f>IF($F171="","",IFERROR(VLOOKUP($C171&amp;"|"&amp;$D171,科目表!$A$5:$B$200,2,FALSE),"※未登録"))</f>
        <v>事務用消耗品費</v>
      </c>
      <c r="R171" s="769">
        <f>IF($F171="","",$I171+$J171+$K171)</f>
        <v>9498</v>
      </c>
      <c r="S171" s="769" t="str">
        <f>IF(OR($F171="",$P171="支払なし",$H171=0,$Q171=""),"",$Q171&amp;"|S|"&amp;(COUNTIF(S$4:S170,$Q171&amp;"|S|*")+1))</f>
        <v/>
      </c>
      <c r="T171" s="769" t="str">
        <f>IF(OR($F171="",$P171="支払なし",$R171=0,$Q171=""),"",$Q171&amp;"|L|"&amp;(COUNTIF(T$4:T170,$Q171&amp;"|L|*")+1))</f>
        <v>事務用消耗品費|L|7</v>
      </c>
      <c r="U171" s="769">
        <f>IF(OR($F171="",$A171=""),"",MOD(MONTH($A171)-4,12)+1)</f>
        <v>4</v>
      </c>
    </row>
    <row r="172" ht="16.5" customFormat="1" customHeight="1" s="43">
      <c r="A172" s="760" t="n">
        <v>45869</v>
      </c>
      <c r="B172" s="761" t="n"/>
      <c r="C172" s="762" t="inlineStr">
        <is>
          <t>事務費</t>
        </is>
      </c>
      <c r="D172" s="762" t="inlineStr">
        <is>
          <t>通信運搬費</t>
        </is>
      </c>
      <c r="E172" s="763" t="inlineStr">
        <is>
          <t>フレッツ光ネクスト利用料等（６月利用・７月請求分）</t>
        </is>
      </c>
      <c r="F172" s="772" t="n">
        <v>5126</v>
      </c>
      <c r="G172" s="772" t="n">
        <v>2</v>
      </c>
      <c r="H172" s="765">
        <f>IF(G172=1,F172-I172-J172-K172,IF(G172=2,F172,0))</f>
        <v>5126</v>
      </c>
      <c r="I172" s="765">
        <f>ROUND(IF(G172=1,F172*10/23,IF(G172=3,F172-J172-K172,IF(G172=4,F172,IF(G172=5,F172*10/11,IF(G172=7,F172*10/11,0))))),0)</f>
        <v>0</v>
      </c>
      <c r="J172" s="765">
        <f>ROUND(IF(G172=1,F172/23,IF(G172=3,F172/12,IF(G172=5,F172-I172,IF(G172=8,F172,0)))),0)</f>
        <v>0</v>
      </c>
      <c r="K172" s="766">
        <f>ROUND(IF(G172=1,F172/23,IF(G172=3,F172/12,IF(G172=6,F172,IF(G172=7,F172-I172,0)))),0)</f>
        <v>0</v>
      </c>
      <c r="L172" s="767">
        <f>IF(G172=6,F172,0)</f>
        <v>0</v>
      </c>
      <c r="M172" s="572">
        <f>IF(F172="",0,MONTH(A172))</f>
        <v>7</v>
      </c>
      <c r="P172" s="768" t="inlineStr">
        <is>
          <t>昨年実績</t>
        </is>
      </c>
      <c r="Q172" s="769" t="str">
        <f>IF($F172="","",IFERROR(VLOOKUP($C172&amp;"|"&amp;$D172,科目表!$A$5:$B$200,2,FALSE),"※未登録"))</f>
        <v>通信運搬費</v>
      </c>
      <c r="R172" s="769">
        <f>IF($F172="","",$I172+$J172+$K172)</f>
        <v>0</v>
      </c>
      <c r="S172" s="769" t="str">
        <f>IF(OR($F172="",$P172="支払なし",$H172=0,$Q172=""),"",$Q172&amp;"|S|"&amp;(COUNTIF(S$4:S171,$Q172&amp;"|S|*")+1))</f>
        <v>通信運搬費|S|17</v>
      </c>
      <c r="T172" s="769" t="str">
        <f>IF(OR($F172="",$P172="支払なし",$R172=0,$Q172=""),"",$Q172&amp;"|L|"&amp;(COUNTIF(T$4:T171,$Q172&amp;"|L|*")+1))</f>
        <v/>
      </c>
      <c r="U172" s="769">
        <f>IF(OR($F172="",$A172=""),"",MOD(MONTH($A172)-4,12)+1)</f>
        <v>4</v>
      </c>
    </row>
    <row r="173" ht="16.5" customFormat="1" customHeight="1" s="422">
      <c r="A173" s="760" t="n">
        <v>45135</v>
      </c>
      <c r="B173" s="761" t="n"/>
      <c r="C173" s="762" t="inlineStr">
        <is>
          <t>事務費</t>
        </is>
      </c>
      <c r="D173" s="762" t="inlineStr">
        <is>
          <t>事務用消耗品費</t>
        </is>
      </c>
      <c r="E173" s="762" t="inlineStr">
        <is>
          <t>ネームランドテープ　XR-12WE-5P　2セットほか</t>
        </is>
      </c>
      <c r="F173" s="772" t="n">
        <v>12908</v>
      </c>
      <c r="G173" s="772" t="n">
        <v>3</v>
      </c>
      <c r="H173" s="765">
        <f>IF(G173=1,F173-I173-J173-K173,IF(G173=2,F173,0))</f>
        <v>0</v>
      </c>
      <c r="I173" s="765">
        <f>ROUND(IF(G173=1,F173*10/23,IF(G173=3,F173-J173-K173,IF(G173=4,F173,IF(G173=5,F173*10/11,IF(G173=7,F173*10/11,0))))),0)</f>
        <v>10756</v>
      </c>
      <c r="J173" s="765">
        <f>ROUND(IF(G173=1,F173/23,IF(G173=3,F173/12,IF(G173=5,F173-I173,IF(G173=8,F173,0)))),0)</f>
        <v>1076</v>
      </c>
      <c r="K173" s="766">
        <f>ROUND(IF(G173=1,F173/23,IF(G173=3,F173/12,IF(G173=6,F173,IF(G173=7,F173-I173,0)))),0)</f>
        <v>1076</v>
      </c>
      <c r="L173" s="767">
        <f>IF(G173=6,F173,0)</f>
        <v>0</v>
      </c>
      <c r="M173" s="421">
        <f>IF(F173="",0,MONTH(A173))</f>
        <v>7</v>
      </c>
      <c r="P173" s="768" t="inlineStr">
        <is>
          <t>昨年実績</t>
        </is>
      </c>
      <c r="Q173" s="769" t="str">
        <f>IF($F173="","",IFERROR(VLOOKUP($C173&amp;"|"&amp;$D173,科目表!$A$5:$B$200,2,FALSE),"※未登録"))</f>
        <v>事務用消耗品費</v>
      </c>
      <c r="R173" s="769">
        <f>IF($F173="","",$I173+$J173+$K173)</f>
        <v>12908</v>
      </c>
      <c r="S173" s="769" t="str">
        <f>IF(OR($F173="",$P173="支払なし",$H173=0,$Q173=""),"",$Q173&amp;"|S|"&amp;(COUNTIF(S$4:S172,$Q173&amp;"|S|*")+1))</f>
        <v/>
      </c>
      <c r="T173" s="769" t="str">
        <f>IF(OR($F173="",$P173="支払なし",$R173=0,$Q173=""),"",$Q173&amp;"|L|"&amp;(COUNTIF(T$4:T172,$Q173&amp;"|L|*")+1))</f>
        <v>事務用消耗品費|L|8</v>
      </c>
      <c r="U173" s="769">
        <f>IF(OR($F173="",$A173=""),"",MOD(MONTH($A173)-4,12)+1)</f>
        <v>4</v>
      </c>
    </row>
    <row r="174" ht="16.5" customFormat="1" customHeight="1" s="422">
      <c r="A174" s="760" t="n"/>
      <c r="B174" s="761" t="n"/>
      <c r="C174" s="762" t="n"/>
      <c r="D174" s="762" t="n"/>
      <c r="E174" s="762" t="n"/>
      <c r="F174" s="772" t="n"/>
      <c r="G174" s="772" t="n"/>
      <c r="H174" s="765">
        <f>IF(G174=1,F174-I174-J174-K174,IF(G174=2,F174,0))</f>
        <v>0</v>
      </c>
      <c r="I174" s="765">
        <f>ROUND(IF(G174=1,F174*10/23,IF(G174=3,F174-J174-K174,IF(G174=4,F174,IF(G174=5,F174*10/11,IF(G174=7,F174*10/11,0))))),0)</f>
        <v>0</v>
      </c>
      <c r="J174" s="765">
        <f>ROUND(IF(G174=1,F174/23,IF(G174=3,F174/12,IF(G174=5,F174-I174,IF(G174=8,F174,0)))),0)</f>
        <v>0</v>
      </c>
      <c r="K174" s="766">
        <f>ROUND(IF(G174=1,F174/23,IF(G174=3,F174/12,IF(G174=6,F174,IF(G174=7,F174-I174,0)))),0)</f>
        <v>0</v>
      </c>
      <c r="L174" s="767">
        <f>IF(G174=6,F174,0)</f>
        <v>0</v>
      </c>
      <c r="M174" s="421">
        <f>IF(F174="",0,MONTH(A174))</f>
        <v>0</v>
      </c>
      <c r="P174" s="768" t="n"/>
      <c r="Q174" s="769" t="str">
        <f>IF($F174="","",IFERROR(VLOOKUP($C174&amp;"|"&amp;$D174,科目表!$A$5:$B$200,2,FALSE),"※未登録"))</f>
        <v/>
      </c>
      <c r="R174" s="769" t="str">
        <f>IF($F174="","",$I174+$J174+$K174)</f>
        <v/>
      </c>
      <c r="S174" s="769" t="str">
        <f>IF(OR($F174="",$P174="支払なし",$H174=0,$Q174=""),"",$Q174&amp;"|S|"&amp;(COUNTIF(S$4:S173,$Q174&amp;"|S|*")+1))</f>
        <v/>
      </c>
      <c r="T174" s="769" t="str">
        <f>IF(OR($F174="",$P174="支払なし",$R174=0,$Q174=""),"",$Q174&amp;"|L|"&amp;(COUNTIF(T$4:T173,$Q174&amp;"|L|*")+1))</f>
        <v/>
      </c>
      <c r="U174" s="769" t="str">
        <f>IF(OR($F174="",$A174=""),"",MOD(MONTH($A174)-4,12)+1)</f>
        <v/>
      </c>
    </row>
    <row r="175" ht="16.5" customFormat="1" customHeight="1" s="43">
      <c r="A175" s="760" t="n">
        <v>46234</v>
      </c>
      <c r="B175" s="761" t="n"/>
      <c r="C175" s="762" t="inlineStr">
        <is>
          <t>負担金</t>
        </is>
      </c>
      <c r="D175" s="762" t="inlineStr">
        <is>
          <t>厚年負担金等</t>
        </is>
      </c>
      <c r="E175" s="775" t="inlineStr">
        <is>
          <t>７月月例（短期分）子ども子育て拠出金を含む</t>
        </is>
      </c>
      <c r="F175" s="771" t="n">
        <v>62766</v>
      </c>
      <c r="G175" s="764" t="n">
        <v>2</v>
      </c>
      <c r="H175" s="765">
        <f>IF(G175=1,F175-I175-J175-K175,IF(G175=2,F175,0))</f>
        <v>62766</v>
      </c>
      <c r="I175" s="765">
        <f>ROUND(IF(G175=1,F175*10/23,IF(G175=3,F175-J175-K175,IF(G175=4,F175,IF(G175=5,F175*10/11,IF(G175=7,F175*10/11,0))))),0)</f>
        <v>0</v>
      </c>
      <c r="J175" s="765">
        <f>ROUND(IF(G175=1,F175/23,IF(G175=3,F175/12,IF(G175=5,F175-I175,IF(G175=8,F175,0)))),0)</f>
        <v>0</v>
      </c>
      <c r="K175" s="766">
        <f>ROUND(IF(G175=1,F175/23,IF(G175=3,F175/12,IF(G175=6,F175,IF(G175=7,F175-I175,0)))),0)</f>
        <v>0</v>
      </c>
      <c r="L175" s="767">
        <f>IF(G175=6,F175,0)</f>
        <v>0</v>
      </c>
      <c r="M175" s="572">
        <f>IF(F175="",0,MONTH(A175))</f>
        <v>7</v>
      </c>
      <c r="P175" s="768" t="inlineStr">
        <is>
          <t>確認済</t>
        </is>
      </c>
      <c r="Q175" s="769" t="str">
        <f>IF($F175="","",IFERROR(VLOOKUP($C175&amp;"|"&amp;$D175,科目表!$A$5:$B$200,2,FALSE),"※未登録"))</f>
        <v>厚年負担金等</v>
      </c>
      <c r="R175" s="769">
        <f>IF($F175="","",$I175+$J175+$K175)</f>
        <v>0</v>
      </c>
      <c r="S175" s="769" t="str">
        <f>IF(OR($F175="",$P175="支払なし",$H175=0,$Q175=""),"",$Q175&amp;"|S|"&amp;(COUNTIF(S$4:S174,$Q175&amp;"|S|*")+1))</f>
        <v>厚年負担金等|S|3</v>
      </c>
      <c r="T175" s="769" t="str">
        <f>IF(OR($F175="",$P175="支払なし",$R175=0,$Q175=""),"",$Q175&amp;"|L|"&amp;(COUNTIF(T$4:T174,$Q175&amp;"|L|*")+1))</f>
        <v/>
      </c>
      <c r="U175" s="769">
        <f>IF(OR($F175="",$A175=""),"",MOD(MONTH($A175)-4,12)+1)</f>
        <v>4</v>
      </c>
    </row>
    <row r="176" ht="16.5" customFormat="1" customHeight="1" s="43">
      <c r="A176" s="760" t="n"/>
      <c r="B176" s="761" t="n"/>
      <c r="C176" s="762" t="n"/>
      <c r="D176" s="762" t="n"/>
      <c r="E176" s="762" t="n"/>
      <c r="F176" s="772" t="n"/>
      <c r="G176" s="772" t="n"/>
      <c r="H176" s="765">
        <f>IF(G176=1,F176-I176-J176-K176,IF(G176=2,F176,0))</f>
        <v>0</v>
      </c>
      <c r="I176" s="765">
        <f>ROUND(IF(G176=1,F176*10/23,IF(G176=3,F176-J176-K176,IF(G176=4,F176,IF(G176=5,F176*10/11,IF(G176=7,F176*10/11,0))))),0)</f>
        <v>0</v>
      </c>
      <c r="J176" s="765">
        <f>ROUND(IF(G176=1,F176/23,IF(G176=3,F176/12,IF(G176=5,F176-I176,IF(G176=8,F176,0)))),0)</f>
        <v>0</v>
      </c>
      <c r="K176" s="766">
        <f>ROUND(IF(G176=1,F176/23,IF(G176=3,F176/12,IF(G176=6,F176,IF(G176=7,F176-I176,0)))),0)</f>
        <v>0</v>
      </c>
      <c r="L176" s="767">
        <f>IF(G176=6,F176,0)</f>
        <v>0</v>
      </c>
      <c r="M176" s="572">
        <f>IF(F176="",0,MONTH(A176))</f>
        <v>0</v>
      </c>
      <c r="P176" s="768" t="n"/>
      <c r="Q176" s="769" t="str">
        <f>IF($F176="","",IFERROR(VLOOKUP($C176&amp;"|"&amp;$D176,科目表!$A$5:$B$200,2,FALSE),"※未登録"))</f>
        <v/>
      </c>
      <c r="R176" s="769" t="str">
        <f>IF($F176="","",$I176+$J176+$K176)</f>
        <v/>
      </c>
      <c r="S176" s="769" t="str">
        <f>IF(OR($F176="",$P176="支払なし",$H176=0,$Q176=""),"",$Q176&amp;"|S|"&amp;(COUNTIF(S$4:S175,$Q176&amp;"|S|*")+1))</f>
        <v/>
      </c>
      <c r="T176" s="769" t="str">
        <f>IF(OR($F176="",$P176="支払なし",$R176=0,$Q176=""),"",$Q176&amp;"|L|"&amp;(COUNTIF(T$4:T175,$Q176&amp;"|L|*")+1))</f>
        <v/>
      </c>
      <c r="U176" s="769" t="str">
        <f>IF(OR($F176="",$A176=""),"",MOD(MONTH($A176)-4,12)+1)</f>
        <v/>
      </c>
    </row>
    <row r="177" ht="16.5" customFormat="1" customHeight="1" s="43">
      <c r="A177" s="760" t="n">
        <v>46234</v>
      </c>
      <c r="B177" s="761" t="n"/>
      <c r="C177" s="762" t="inlineStr">
        <is>
          <t>負担金</t>
        </is>
      </c>
      <c r="D177" s="762" t="inlineStr">
        <is>
          <t>厚年負担金等</t>
        </is>
      </c>
      <c r="E177" s="775" t="inlineStr">
        <is>
          <t>７月月例分（長期分）子ども子育て拠出金を含む</t>
        </is>
      </c>
      <c r="F177" s="771" t="n">
        <v>37089</v>
      </c>
      <c r="G177" s="764" t="n">
        <v>3</v>
      </c>
      <c r="H177" s="765">
        <f>IF(G177=1,F177-I177-J177-K177,IF(G177=2,F177,0))</f>
        <v>0</v>
      </c>
      <c r="I177" s="765">
        <f>ROUND(IF(G177=1,F177*10/23,IF(G177=3,F177-J177-K177,IF(G177=4,F177,IF(G177=5,F177*10/11,IF(G177=7,F177*10/11,0))))),0)</f>
        <v>30907</v>
      </c>
      <c r="J177" s="765">
        <f>ROUND(IF(G177=1,F177/23,IF(G177=3,F177/12,IF(G177=5,F177-I177,IF(G177=8,F177,0)))),0)</f>
        <v>3091</v>
      </c>
      <c r="K177" s="766">
        <f>ROUND(IF(G177=1,F177/23,IF(G177=3,F177/12,IF(G177=6,F177,IF(G177=7,F177-I177,0)))),0)</f>
        <v>3091</v>
      </c>
      <c r="L177" s="767">
        <f>IF(G177=6,F177,0)</f>
        <v>0</v>
      </c>
      <c r="M177" s="572">
        <f>IF(F177="",0,MONTH(A177))</f>
        <v>7</v>
      </c>
      <c r="P177" s="768" t="inlineStr">
        <is>
          <t>確認済</t>
        </is>
      </c>
      <c r="Q177" s="769" t="str">
        <f>IF($F177="","",IFERROR(VLOOKUP($C177&amp;"|"&amp;$D177,科目表!$A$5:$B$200,2,FALSE),"※未登録"))</f>
        <v>厚年負担金等</v>
      </c>
      <c r="R177" s="769">
        <f>IF($F177="","",$I177+$J177+$K177)</f>
        <v>37089</v>
      </c>
      <c r="S177" s="769" t="str">
        <f>IF(OR($F177="",$P177="支払なし",$H177=0,$Q177=""),"",$Q177&amp;"|S|"&amp;(COUNTIF(S$4:S176,$Q177&amp;"|S|*")+1))</f>
        <v/>
      </c>
      <c r="T177" s="769" t="str">
        <f>IF(OR($F177="",$P177="支払なし",$R177=0,$Q177=""),"",$Q177&amp;"|L|"&amp;(COUNTIF(T$4:T176,$Q177&amp;"|L|*")+1))</f>
        <v>厚年負担金等|L|3</v>
      </c>
      <c r="U177" s="769">
        <f>IF(OR($F177="",$A177=""),"",MOD(MONTH($A177)-4,12)+1)</f>
        <v>4</v>
      </c>
    </row>
    <row r="178" ht="16.5" customFormat="1" customHeight="1" s="422">
      <c r="A178" s="760" t="n">
        <v>44407</v>
      </c>
      <c r="B178" s="761" t="n"/>
      <c r="C178" s="762" t="inlineStr">
        <is>
          <t>委託費</t>
        </is>
      </c>
      <c r="D178" s="762" t="n"/>
      <c r="E178" s="777" t="inlineStr">
        <is>
          <t>短期給付個人番号管理システム端末保守サービス（６月分）</t>
        </is>
      </c>
      <c r="F178" s="764" t="n">
        <v>385</v>
      </c>
      <c r="G178" s="764" t="n">
        <v>2</v>
      </c>
      <c r="H178" s="765">
        <f>IF(G178=1,F178-I178-J178-K178,IF(G178=2,F178,0))</f>
        <v>385</v>
      </c>
      <c r="I178" s="765">
        <f>ROUND(IF(G178=1,F178*10/23,IF(G178=3,F178-J178-K178,IF(G178=4,F178,IF(G178=5,F178*10/11,IF(G178=7,F178*10/11,0))))),0)</f>
        <v>0</v>
      </c>
      <c r="J178" s="765">
        <f>ROUND(IF(G178=1,F178/23,IF(G178=3,F178/12,IF(G178=5,F178-I178,IF(G178=8,F178,0)))),0)</f>
        <v>0</v>
      </c>
      <c r="K178" s="766">
        <f>ROUND(IF(G178=1,F178/23,IF(G178=3,F178/12,IF(G178=6,F178,IF(G178=7,F178-I178,0)))),0)</f>
        <v>0</v>
      </c>
      <c r="L178" s="767">
        <f>IF(G178=6,F178,0)</f>
        <v>0</v>
      </c>
      <c r="M178" s="421">
        <f>IF(F178="",0,MONTH(A178))</f>
        <v>7</v>
      </c>
      <c r="P178" s="768" t="inlineStr">
        <is>
          <t>昨年実績</t>
        </is>
      </c>
      <c r="Q178" s="769" t="str">
        <f>IF($F178="","",IFERROR(VLOOKUP($C178&amp;"|"&amp;$D178,科目表!$A$5:$B$200,2,FALSE),"※未登録"))</f>
        <v>委託費</v>
      </c>
      <c r="R178" s="769">
        <f>IF($F178="","",$I178+$J178+$K178)</f>
        <v>0</v>
      </c>
      <c r="S178" s="769" t="str">
        <f>IF(OR($F178="",$P178="支払なし",$H178=0,$Q178=""),"",$Q178&amp;"|S|"&amp;(COUNTIF(S$4:S177,$Q178&amp;"|S|*")+1))</f>
        <v>委託費|S|16</v>
      </c>
      <c r="T178" s="769" t="str">
        <f>IF(OR($F178="",$P178="支払なし",$R178=0,$Q178=""),"",$Q178&amp;"|L|"&amp;(COUNTIF(T$4:T177,$Q178&amp;"|L|*")+1))</f>
        <v/>
      </c>
      <c r="U178" s="769">
        <f>IF(OR($F178="",$A178=""),"",MOD(MONTH($A178)-4,12)+1)</f>
        <v>4</v>
      </c>
    </row>
    <row r="179" ht="16.5" customFormat="1" customHeight="1" s="43">
      <c r="A179" s="760" t="n">
        <v>46234</v>
      </c>
      <c r="B179" s="761" t="n"/>
      <c r="C179" s="762" t="inlineStr">
        <is>
          <t>事務費</t>
        </is>
      </c>
      <c r="D179" s="762" t="inlineStr">
        <is>
          <t>図書印刷費</t>
        </is>
      </c>
      <c r="E179" s="770" t="inlineStr">
        <is>
          <t>厚生法規総覧追録　6116-6125号</t>
        </is>
      </c>
      <c r="F179" s="772" t="n">
        <v>33154</v>
      </c>
      <c r="G179" s="772" t="n">
        <v>2</v>
      </c>
      <c r="H179" s="765">
        <f>IF(G179=1,F179-I179-J179-K179,IF(G179=2,F179,0))</f>
        <v>33154</v>
      </c>
      <c r="I179" s="765">
        <f>ROUND(IF(G179=1,F179*10/23,IF(G179=3,F179-J179-K179,IF(G179=4,F179,IF(G179=5,F179*10/11,IF(G179=7,F179*10/11,0))))),0)</f>
        <v>0</v>
      </c>
      <c r="J179" s="765">
        <f>ROUND(IF(G179=1,F179/23,IF(G179=3,F179/12,IF(G179=5,F179-I179,IF(G179=8,F179,0)))),0)</f>
        <v>0</v>
      </c>
      <c r="K179" s="766">
        <f>ROUND(IF(G179=1,F179/23,IF(G179=3,F179/12,IF(G179=6,F179,IF(G179=7,F179-I179,0)))),0)</f>
        <v>0</v>
      </c>
      <c r="L179" s="767">
        <f>IF(G179=6,F179,0)</f>
        <v>0</v>
      </c>
      <c r="M179" s="572">
        <f>IF(F179="",0,MONTH(A179))</f>
        <v>7</v>
      </c>
      <c r="P179" s="768" t="inlineStr">
        <is>
          <t>確認済</t>
        </is>
      </c>
      <c r="Q179" s="769" t="str">
        <f>IF($F179="","",IFERROR(VLOOKUP($C179&amp;"|"&amp;$D179,科目表!$A$5:$B$200,2,FALSE),"※未登録"))</f>
        <v>図書印刷費</v>
      </c>
      <c r="R179" s="769">
        <f>IF($F179="","",$I179+$J179+$K179)</f>
        <v>0</v>
      </c>
      <c r="S179" s="769" t="str">
        <f>IF(OR($F179="",$P179="支払なし",$H179=0,$Q179=""),"",$Q179&amp;"|S|"&amp;(COUNTIF(S$4:S178,$Q179&amp;"|S|*")+1))</f>
        <v>図書印刷費|S|7</v>
      </c>
      <c r="T179" s="769" t="str">
        <f>IF(OR($F179="",$P179="支払なし",$R179=0,$Q179=""),"",$Q179&amp;"|L|"&amp;(COUNTIF(T$4:T178,$Q179&amp;"|L|*")+1))</f>
        <v/>
      </c>
      <c r="U179" s="769">
        <f>IF(OR($F179="",$A179=""),"",MOD(MONTH($A179)-4,12)+1)</f>
        <v>4</v>
      </c>
    </row>
    <row r="180" ht="16.5" customFormat="1" customHeight="1" s="422">
      <c r="A180" s="760" t="n">
        <v>45138</v>
      </c>
      <c r="B180" s="761" t="n"/>
      <c r="C180" s="762" t="inlineStr">
        <is>
          <t>事務費</t>
        </is>
      </c>
      <c r="D180" s="762" t="inlineStr">
        <is>
          <t>通信運搬費</t>
        </is>
      </c>
      <c r="E180" s="775" t="inlineStr">
        <is>
          <t>柔整申請書送付（６月分）</t>
        </is>
      </c>
      <c r="F180" s="764" t="n">
        <v>1489</v>
      </c>
      <c r="G180" s="764" t="n">
        <v>2</v>
      </c>
      <c r="H180" s="765">
        <f>IF(G180=1,F180-I180-J180-K180,IF(G180=2,F180,0))</f>
        <v>1489</v>
      </c>
      <c r="I180" s="765">
        <f>ROUND(IF(G180=1,F180*10/23,IF(G180=3,F180-J180-K180,IF(G180=4,F180,IF(G180=5,F180*10/11,IF(G180=7,F180*10/11,0))))),0)</f>
        <v>0</v>
      </c>
      <c r="J180" s="765">
        <f>ROUND(IF(G180=1,F180/23,IF(G180=3,F180/12,IF(G180=5,F180-I180,IF(G180=8,F180,0)))),0)</f>
        <v>0</v>
      </c>
      <c r="K180" s="766">
        <f>ROUND(IF(G180=1,F180/23,IF(G180=3,F180/12,IF(G180=6,F180,IF(G180=7,F180-I180,0)))),0)</f>
        <v>0</v>
      </c>
      <c r="L180" s="767">
        <f>IF(G180=6,F180,0)</f>
        <v>0</v>
      </c>
      <c r="M180" s="421">
        <f>IF(F180="",0,MONTH(A180))</f>
        <v>7</v>
      </c>
      <c r="P180" s="768" t="inlineStr">
        <is>
          <t>昨年実績</t>
        </is>
      </c>
      <c r="Q180" s="769" t="str">
        <f>IF($F180="","",IFERROR(VLOOKUP($C180&amp;"|"&amp;$D180,科目表!$A$5:$B$200,2,FALSE),"※未登録"))</f>
        <v>通信運搬費</v>
      </c>
      <c r="R180" s="769">
        <f>IF($F180="","",$I180+$J180+$K180)</f>
        <v>0</v>
      </c>
      <c r="S180" s="769" t="str">
        <f>IF(OR($F180="",$P180="支払なし",$H180=0,$Q180=""),"",$Q180&amp;"|S|"&amp;(COUNTIF(S$4:S179,$Q180&amp;"|S|*")+1))</f>
        <v>通信運搬費|S|18</v>
      </c>
      <c r="T180" s="769" t="str">
        <f>IF(OR($F180="",$P180="支払なし",$R180=0,$Q180=""),"",$Q180&amp;"|L|"&amp;(COUNTIF(T$4:T179,$Q180&amp;"|L|*")+1))</f>
        <v/>
      </c>
      <c r="U180" s="769">
        <f>IF(OR($F180="",$A180=""),"",MOD(MONTH($A180)-4,12)+1)</f>
        <v>4</v>
      </c>
    </row>
    <row r="181" ht="16.5" customFormat="1" customHeight="1" s="43">
      <c r="A181" s="760" t="n">
        <v>46234</v>
      </c>
      <c r="B181" s="761" t="n"/>
      <c r="C181" s="762" t="inlineStr">
        <is>
          <t>委託費</t>
        </is>
      </c>
      <c r="D181" s="762" t="n"/>
      <c r="E181" s="762" t="inlineStr">
        <is>
          <t>柔整等療養費支給申請書の入力（６月分）</t>
        </is>
      </c>
      <c r="F181" s="772" t="n">
        <v>109359</v>
      </c>
      <c r="G181" s="772" t="n">
        <v>2</v>
      </c>
      <c r="H181" s="765">
        <f>IF(G181=1,F181-I181-J181-K181,IF(G181=2,F181,0))</f>
        <v>109359</v>
      </c>
      <c r="I181" s="765">
        <f>ROUND(IF(G181=1,F181*10/23,IF(G181=3,F181-J181-K181,IF(G181=4,F181,IF(G181=5,F181*10/11,IF(G181=7,F181*10/11,0))))),0)</f>
        <v>0</v>
      </c>
      <c r="J181" s="765">
        <f>ROUND(IF(G181=1,F181/23,IF(G181=3,F181/12,IF(G181=5,F181-I181,IF(G181=8,F181,0)))),0)</f>
        <v>0</v>
      </c>
      <c r="K181" s="766">
        <f>ROUND(IF(G181=1,F181/23,IF(G181=3,F181/12,IF(G181=6,F181,IF(G181=7,F181-I181,0)))),0)</f>
        <v>0</v>
      </c>
      <c r="L181" s="767">
        <f>IF(G181=6,F181,0)</f>
        <v>0</v>
      </c>
      <c r="M181" s="572">
        <f>IF(F181="",0,MONTH(A181))</f>
        <v>7</v>
      </c>
      <c r="P181" s="768" t="inlineStr">
        <is>
          <t>確認済</t>
        </is>
      </c>
      <c r="Q181" s="769" t="str">
        <f>IF($F181="","",IFERROR(VLOOKUP($C181&amp;"|"&amp;$D181,科目表!$A$5:$B$200,2,FALSE),"※未登録"))</f>
        <v>委託費</v>
      </c>
      <c r="R181" s="769">
        <f>IF($F181="","",$I181+$J181+$K181)</f>
        <v>0</v>
      </c>
      <c r="S181" s="769" t="str">
        <f>IF(OR($F181="",$P181="支払なし",$H181=0,$Q181=""),"",$Q181&amp;"|S|"&amp;(COUNTIF(S$4:S180,$Q181&amp;"|S|*")+1))</f>
        <v>委託費|S|17</v>
      </c>
      <c r="T181" s="769" t="str">
        <f>IF(OR($F181="",$P181="支払なし",$R181=0,$Q181=""),"",$Q181&amp;"|L|"&amp;(COUNTIF(T$4:T180,$Q181&amp;"|L|*")+1))</f>
        <v/>
      </c>
      <c r="U181" s="769">
        <f>IF(OR($F181="",$A181=""),"",MOD(MONTH($A181)-4,12)+1)</f>
        <v>4</v>
      </c>
    </row>
    <row r="182" ht="16.5" customFormat="1" customHeight="1" s="43">
      <c r="A182" s="760" t="n">
        <v>46234</v>
      </c>
      <c r="B182" s="761" t="n"/>
      <c r="C182" s="762" t="inlineStr">
        <is>
          <t>事務費</t>
        </is>
      </c>
      <c r="D182" s="762" t="inlineStr">
        <is>
          <t>通信運搬費</t>
        </is>
      </c>
      <c r="E182" s="763" t="inlineStr">
        <is>
          <t>インターネット通信料金（５・６月利用・７月請求分）</t>
        </is>
      </c>
      <c r="F182" s="772" t="n">
        <v>3663</v>
      </c>
      <c r="G182" s="772" t="n">
        <v>2</v>
      </c>
      <c r="H182" s="765">
        <f>IF(G182=1,F182-I182-J182-K182,IF(G182=2,F182,0))</f>
        <v>3663</v>
      </c>
      <c r="I182" s="765">
        <f>ROUND(IF(G182=1,F182*10/23,IF(G182=3,F182-J182-K182,IF(G182=4,F182,IF(G182=5,F182*10/11,IF(G182=7,F182*10/11,0))))),0)</f>
        <v>0</v>
      </c>
      <c r="J182" s="765">
        <f>ROUND(IF(G182=1,F182/23,IF(G182=3,F182/12,IF(G182=5,F182-I182,IF(G182=8,F182,0)))),0)</f>
        <v>0</v>
      </c>
      <c r="K182" s="766">
        <f>ROUND(IF(G182=1,F182/23,IF(G182=3,F182/12,IF(G182=6,F182,IF(G182=7,F182-I182,0)))),0)</f>
        <v>0</v>
      </c>
      <c r="L182" s="767">
        <f>IF(G182=6,F182,0)</f>
        <v>0</v>
      </c>
      <c r="M182" s="572">
        <f>IF(F182="",0,MONTH(A182))</f>
        <v>7</v>
      </c>
      <c r="P182" s="768" t="inlineStr">
        <is>
          <t>確認済</t>
        </is>
      </c>
      <c r="Q182" s="769" t="str">
        <f>IF($F182="","",IFERROR(VLOOKUP($C182&amp;"|"&amp;$D182,科目表!$A$5:$B$200,2,FALSE),"※未登録"))</f>
        <v>通信運搬費</v>
      </c>
      <c r="R182" s="769">
        <f>IF($F182="","",$I182+$J182+$K182)</f>
        <v>0</v>
      </c>
      <c r="S182" s="769" t="str">
        <f>IF(OR($F182="",$P182="支払なし",$H182=0,$Q182=""),"",$Q182&amp;"|S|"&amp;(COUNTIF(S$4:S181,$Q182&amp;"|S|*")+1))</f>
        <v>通信運搬費|S|19</v>
      </c>
      <c r="T182" s="769" t="str">
        <f>IF(OR($F182="",$P182="支払なし",$R182=0,$Q182=""),"",$Q182&amp;"|L|"&amp;(COUNTIF(T$4:T181,$Q182&amp;"|L|*")+1))</f>
        <v/>
      </c>
      <c r="U182" s="769">
        <f>IF(OR($F182="",$A182=""),"",MOD(MONTH($A182)-4,12)+1)</f>
        <v>4</v>
      </c>
    </row>
    <row r="183" ht="16.5" customFormat="1" customHeight="1" s="422">
      <c r="A183" s="760" t="n">
        <v>43677</v>
      </c>
      <c r="B183" s="761" t="n"/>
      <c r="C183" s="762" t="inlineStr">
        <is>
          <t>賃借料</t>
        </is>
      </c>
      <c r="D183" s="762" t="n"/>
      <c r="E183" s="763" t="inlineStr">
        <is>
          <t>基幹システム（短期）用機器リース料６月分</t>
        </is>
      </c>
      <c r="F183" s="772" t="n">
        <v>193676</v>
      </c>
      <c r="G183" s="772" t="n">
        <v>2</v>
      </c>
      <c r="H183" s="765">
        <f>IF(G183=1,F183-I183-J183-K183,IF(G183=2,F183,0))</f>
        <v>193676</v>
      </c>
      <c r="I183" s="765">
        <f>ROUND(IF(G183=1,F183*10/23,IF(G183=3,F183-J183-K183,IF(G183=4,F183,IF(G183=5,F183*10/11,IF(G183=7,F183*10/11,0))))),0)</f>
        <v>0</v>
      </c>
      <c r="J183" s="765">
        <f>ROUND(IF(G183=1,F183/23,IF(G183=3,F183/12,IF(G183=5,F183-I183,IF(G183=8,F183,0)))),0)</f>
        <v>0</v>
      </c>
      <c r="K183" s="766">
        <f>ROUND(IF(G183=1,F183/23,IF(G183=3,F183/12,IF(G183=6,F183,IF(G183=7,F183-I183,0)))),0)</f>
        <v>0</v>
      </c>
      <c r="L183" s="767">
        <f>IF(G183=6,F183,0)</f>
        <v>0</v>
      </c>
      <c r="M183" s="421">
        <f>IF(F183="",0,MONTH(A183))</f>
        <v>7</v>
      </c>
      <c r="P183" s="768" t="inlineStr">
        <is>
          <t>昨年実績</t>
        </is>
      </c>
      <c r="Q183" s="769" t="str">
        <f>IF($F183="","",IFERROR(VLOOKUP($C183&amp;"|"&amp;$D183,科目表!$A$5:$B$200,2,FALSE),"※未登録"))</f>
        <v>賃借料</v>
      </c>
      <c r="R183" s="769">
        <f>IF($F183="","",$I183+$J183+$K183)</f>
        <v>0</v>
      </c>
      <c r="S183" s="769" t="str">
        <f>IF(OR($F183="",$P183="支払なし",$H183=0,$Q183=""),"",$Q183&amp;"|S|"&amp;(COUNTIF(S$4:S182,$Q183&amp;"|S|*")+1))</f>
        <v>賃借料|S|14</v>
      </c>
      <c r="T183" s="769" t="str">
        <f>IF(OR($F183="",$P183="支払なし",$R183=0,$Q183=""),"",$Q183&amp;"|L|"&amp;(COUNTIF(T$4:T182,$Q183&amp;"|L|*")+1))</f>
        <v/>
      </c>
      <c r="U183" s="769">
        <f>IF(OR($F183="",$A183=""),"",MOD(MONTH($A183)-4,12)+1)</f>
        <v>4</v>
      </c>
    </row>
    <row r="184" ht="16.5" customFormat="1" customHeight="1" s="43">
      <c r="A184" s="760" t="n">
        <v>46234</v>
      </c>
      <c r="B184" s="779" t="n"/>
      <c r="C184" s="762" t="inlineStr">
        <is>
          <t>賃借料</t>
        </is>
      </c>
      <c r="D184" s="762" t="n"/>
      <c r="E184" s="777" t="inlineStr">
        <is>
          <t>統合管理端末リース料（６月分）</t>
        </is>
      </c>
      <c r="F184" s="772" t="n">
        <v>12738</v>
      </c>
      <c r="G184" s="772" t="n">
        <v>2</v>
      </c>
      <c r="H184" s="765">
        <f>IF(G184=1,F184-I184-J184-K184,IF(G184=2,F184,0))</f>
        <v>12738</v>
      </c>
      <c r="I184" s="765">
        <f>ROUND(IF(G184=1,F184*10/23,IF(G184=3,F184-J184-K184,IF(G184=4,F184,IF(G184=5,F184*10/11,IF(G184=7,F184*10/11,0))))),0)</f>
        <v>0</v>
      </c>
      <c r="J184" s="765">
        <f>ROUND(IF(G184=1,F184/23,IF(G184=3,F184/12,IF(G184=5,F184-I184,IF(G184=8,F184,0)))),0)</f>
        <v>0</v>
      </c>
      <c r="K184" s="766">
        <f>ROUND(IF(G184=1,F184/23,IF(G184=3,F184/12,IF(G184=6,F184,IF(G184=7,F184-I184,0)))),0)</f>
        <v>0</v>
      </c>
      <c r="L184" s="767">
        <f>IF(G184=6,F184,0)</f>
        <v>0</v>
      </c>
      <c r="M184" s="572">
        <f>IF(F184="",0,MONTH(A184))</f>
        <v>7</v>
      </c>
      <c r="P184" s="768" t="inlineStr">
        <is>
          <t>確認済</t>
        </is>
      </c>
      <c r="Q184" s="769" t="str">
        <f>IF($F184="","",IFERROR(VLOOKUP($C184&amp;"|"&amp;$D184,科目表!$A$5:$B$200,2,FALSE),"※未登録"))</f>
        <v>賃借料</v>
      </c>
      <c r="R184" s="769">
        <f>IF($F184="","",$I184+$J184+$K184)</f>
        <v>0</v>
      </c>
      <c r="S184" s="769" t="str">
        <f>IF(OR($F184="",$P184="支払なし",$H184=0,$Q184=""),"",$Q184&amp;"|S|"&amp;(COUNTIF(S$4:S183,$Q184&amp;"|S|*")+1))</f>
        <v>賃借料|S|15</v>
      </c>
      <c r="T184" s="769" t="str">
        <f>IF(OR($F184="",$P184="支払なし",$R184=0,$Q184=""),"",$Q184&amp;"|L|"&amp;(COUNTIF(T$4:T183,$Q184&amp;"|L|*")+1))</f>
        <v/>
      </c>
      <c r="U184" s="769">
        <f>IF(OR($F184="",$A184=""),"",MOD(MONTH($A184)-4,12)+1)</f>
        <v>4</v>
      </c>
    </row>
    <row r="185" ht="16.5" customFormat="1" customHeight="1" s="422">
      <c r="A185" s="760" t="n">
        <v>44771</v>
      </c>
      <c r="B185" s="761" t="n"/>
      <c r="C185" s="762" t="inlineStr">
        <is>
          <t>委託費</t>
        </is>
      </c>
      <c r="D185" s="762" t="n"/>
      <c r="E185" s="784" t="inlineStr">
        <is>
          <t>統合管理端末保守料（６月分）</t>
        </is>
      </c>
      <c r="F185" s="764" t="n">
        <v>770</v>
      </c>
      <c r="G185" s="764" t="n">
        <v>2</v>
      </c>
      <c r="H185" s="765">
        <f>IF(G185=1,F185-I185-J185-K185,IF(G185=2,F185,0))</f>
        <v>770</v>
      </c>
      <c r="I185" s="765">
        <f>ROUND(IF(G185=1,F185*10/23,IF(G185=3,F185-J185-K185,IF(G185=4,F185,IF(G185=5,F185*10/11,IF(G185=7,F185*10/11,0))))),0)</f>
        <v>0</v>
      </c>
      <c r="J185" s="765">
        <f>ROUND(IF(G185=1,F185/23,IF(G185=3,F185/12,IF(G185=5,F185-I185,IF(G185=8,F185,0)))),0)</f>
        <v>0</v>
      </c>
      <c r="K185" s="766">
        <f>ROUND(IF(G185=1,F185/23,IF(G185=3,F185/12,IF(G185=6,F185,IF(G185=7,F185-I185,0)))),0)</f>
        <v>0</v>
      </c>
      <c r="L185" s="767">
        <f>IF(G185=6,F185,0)</f>
        <v>0</v>
      </c>
      <c r="M185" s="421">
        <f>IF(F185="",0,MONTH(A185))</f>
        <v>7</v>
      </c>
      <c r="P185" s="768" t="inlineStr">
        <is>
          <t>昨年実績</t>
        </is>
      </c>
      <c r="Q185" s="769" t="str">
        <f>IF($F185="","",IFERROR(VLOOKUP($C185&amp;"|"&amp;$D185,科目表!$A$5:$B$200,2,FALSE),"※未登録"))</f>
        <v>委託費</v>
      </c>
      <c r="R185" s="769">
        <f>IF($F185="","",$I185+$J185+$K185)</f>
        <v>0</v>
      </c>
      <c r="S185" s="769" t="str">
        <f>IF(OR($F185="",$P185="支払なし",$H185=0,$Q185=""),"",$Q185&amp;"|S|"&amp;(COUNTIF(S$4:S184,$Q185&amp;"|S|*")+1))</f>
        <v>委託費|S|18</v>
      </c>
      <c r="T185" s="769" t="str">
        <f>IF(OR($F185="",$P185="支払なし",$R185=0,$Q185=""),"",$Q185&amp;"|L|"&amp;(COUNTIF(T$4:T184,$Q185&amp;"|L|*")+1))</f>
        <v/>
      </c>
      <c r="U185" s="769">
        <f>IF(OR($F185="",$A185=""),"",MOD(MONTH($A185)-4,12)+1)</f>
        <v>4</v>
      </c>
    </row>
    <row r="186" ht="16.5" customFormat="1" customHeight="1" s="422">
      <c r="A186" s="760" t="n">
        <v>45504</v>
      </c>
      <c r="B186" s="761" t="n"/>
      <c r="C186" s="762" t="inlineStr">
        <is>
          <t>事務費</t>
        </is>
      </c>
      <c r="D186" s="762" t="inlineStr">
        <is>
          <t>事務用消耗品費</t>
        </is>
      </c>
      <c r="E186" s="770" t="inlineStr">
        <is>
          <t>ホッチキス針　１０－１M　20個入　2箱ほか</t>
        </is>
      </c>
      <c r="F186" s="764" t="n">
        <v>26557</v>
      </c>
      <c r="G186" s="764" t="n">
        <v>2</v>
      </c>
      <c r="H186" s="765">
        <f>IF(G186=1,F186-I186-J186-K186,IF(G186=2,F186,0))</f>
        <v>26557</v>
      </c>
      <c r="I186" s="765">
        <f>ROUND(IF(G186=1,F186*10/23,IF(G186=3,F186-J186-K186,IF(G186=4,F186,IF(G186=5,F186*10/11,IF(G186=7,F186*10/11,0))))),0)</f>
        <v>0</v>
      </c>
      <c r="J186" s="765">
        <f>ROUND(IF(G186=1,F186/23,IF(G186=3,F186/12,IF(G186=5,F186-I186,IF(G186=8,F186,0)))),0)</f>
        <v>0</v>
      </c>
      <c r="K186" s="766">
        <f>ROUND(IF(G186=1,F186/23,IF(G186=3,F186/12,IF(G186=6,F186,IF(G186=7,F186-I186,0)))),0)</f>
        <v>0</v>
      </c>
      <c r="L186" s="767">
        <f>IF(G186=6,F186,0)</f>
        <v>0</v>
      </c>
      <c r="M186" s="421">
        <f>IF(F186="",0,MONTH(A186))</f>
        <v>7</v>
      </c>
      <c r="P186" s="768" t="inlineStr">
        <is>
          <t>昨年実績</t>
        </is>
      </c>
      <c r="Q186" s="769" t="str">
        <f>IF($F186="","",IFERROR(VLOOKUP($C186&amp;"|"&amp;$D186,科目表!$A$5:$B$200,2,FALSE),"※未登録"))</f>
        <v>事務用消耗品費</v>
      </c>
      <c r="R186" s="769">
        <f>IF($F186="","",$I186+$J186+$K186)</f>
        <v>0</v>
      </c>
      <c r="S186" s="769" t="str">
        <f>IF(OR($F186="",$P186="支払なし",$H186=0,$Q186=""),"",$Q186&amp;"|S|"&amp;(COUNTIF(S$4:S185,$Q186&amp;"|S|*")+1))</f>
        <v>事務用消耗品費|S|14</v>
      </c>
      <c r="T186" s="769" t="str">
        <f>IF(OR($F186="",$P186="支払なし",$R186=0,$Q186=""),"",$Q186&amp;"|L|"&amp;(COUNTIF(T$4:T185,$Q186&amp;"|L|*")+1))</f>
        <v/>
      </c>
      <c r="U186" s="769">
        <f>IF(OR($F186="",$A186=""),"",MOD(MONTH($A186)-4,12)+1)</f>
        <v>4</v>
      </c>
    </row>
    <row r="187" ht="16.5" customFormat="1" customHeight="1" s="422">
      <c r="A187" s="760" t="n">
        <v>45502</v>
      </c>
      <c r="B187" s="761" t="n"/>
      <c r="C187" s="762" t="inlineStr">
        <is>
          <t>事務費</t>
        </is>
      </c>
      <c r="D187" s="762" t="inlineStr">
        <is>
          <t>事務用消耗品費</t>
        </is>
      </c>
      <c r="E187" s="770" t="inlineStr">
        <is>
          <t>トナーカートリッジＬＰＢ３Ｔ２７（再生品）　９本</t>
        </is>
      </c>
      <c r="F187" s="772" t="n">
        <v>47520</v>
      </c>
      <c r="G187" s="772" t="n">
        <v>3</v>
      </c>
      <c r="H187" s="765">
        <f>IF(G187=1,F187-I187-J187-K187,IF(G187=2,F187,0))</f>
        <v>0</v>
      </c>
      <c r="I187" s="765">
        <f>ROUND(IF(G187=1,F187*10/23,IF(G187=3,F187-J187-K187,IF(G187=4,F187,IF(G187=5,F187*10/11,IF(G187=7,F187*10/11,0))))),0)</f>
        <v>39600</v>
      </c>
      <c r="J187" s="765">
        <f>ROUND(IF(G187=1,F187/23,IF(G187=3,F187/12,IF(G187=5,F187-I187,IF(G187=8,F187,0)))),0)</f>
        <v>3960</v>
      </c>
      <c r="K187" s="766">
        <f>ROUND(IF(G187=1,F187/23,IF(G187=3,F187/12,IF(G187=6,F187,IF(G187=7,F187-I187,0)))),0)</f>
        <v>3960</v>
      </c>
      <c r="L187" s="767">
        <f>IF(G187=6,F187,0)</f>
        <v>0</v>
      </c>
      <c r="M187" s="421">
        <f>IF(F187="",0,MONTH(A187))</f>
        <v>7</v>
      </c>
      <c r="P187" s="768" t="inlineStr">
        <is>
          <t>昨年実績</t>
        </is>
      </c>
      <c r="Q187" s="769" t="str">
        <f>IF($F187="","",IFERROR(VLOOKUP($C187&amp;"|"&amp;$D187,科目表!$A$5:$B$200,2,FALSE),"※未登録"))</f>
        <v>事務用消耗品費</v>
      </c>
      <c r="R187" s="769">
        <f>IF($F187="","",$I187+$J187+$K187)</f>
        <v>47520</v>
      </c>
      <c r="S187" s="769" t="str">
        <f>IF(OR($F187="",$P187="支払なし",$H187=0,$Q187=""),"",$Q187&amp;"|S|"&amp;(COUNTIF(S$4:S186,$Q187&amp;"|S|*")+1))</f>
        <v/>
      </c>
      <c r="T187" s="769" t="str">
        <f>IF(OR($F187="",$P187="支払なし",$R187=0,$Q187=""),"",$Q187&amp;"|L|"&amp;(COUNTIF(T$4:T186,$Q187&amp;"|L|*")+1))</f>
        <v>事務用消耗品費|L|9</v>
      </c>
      <c r="U187" s="769">
        <f>IF(OR($F187="",$A187=""),"",MOD(MONTH($A187)-4,12)+1)</f>
        <v>4</v>
      </c>
    </row>
    <row r="188" ht="16.5" customFormat="1" customHeight="1" s="422">
      <c r="A188" s="760" t="n"/>
      <c r="B188" s="761" t="n"/>
      <c r="C188" s="762" t="n"/>
      <c r="D188" s="762" t="n"/>
      <c r="E188" s="775" t="n"/>
      <c r="F188" s="764" t="n"/>
      <c r="G188" s="764" t="n"/>
      <c r="H188" s="765">
        <f>IF(G188=1,F188-I188-J188-K188,IF(G188=2,F188,0))</f>
        <v>0</v>
      </c>
      <c r="I188" s="765">
        <f>ROUND(IF(G188=1,F188*10/23,IF(G188=3,F188-J188-K188,IF(G188=4,F188,IF(G188=5,F188*10/11,IF(G188=7,F188*10/11,0))))),0)</f>
        <v>0</v>
      </c>
      <c r="J188" s="765">
        <f>ROUND(IF(G188=1,F188/23,IF(G188=3,F188/12,IF(G188=5,F188-I188,IF(G188=8,F188,0)))),0)</f>
        <v>0</v>
      </c>
      <c r="K188" s="766">
        <f>ROUND(IF(G188=1,F188/23,IF(G188=3,F188/12,IF(G188=6,F188,IF(G188=7,F188-I188,0)))),0)</f>
        <v>0</v>
      </c>
      <c r="L188" s="767">
        <f>IF(G188=6,F188,0)</f>
        <v>0</v>
      </c>
      <c r="M188" s="421">
        <f>IF(F188="",0,MONTH(A188))</f>
        <v>0</v>
      </c>
      <c r="P188" s="768" t="n"/>
      <c r="Q188" s="769" t="str">
        <f>IF($F188="","",IFERROR(VLOOKUP($C188&amp;"|"&amp;$D188,科目表!$A$5:$B$200,2,FALSE),"※未登録"))</f>
        <v/>
      </c>
      <c r="R188" s="769" t="str">
        <f>IF($F188="","",$I188+$J188+$K188)</f>
        <v/>
      </c>
      <c r="S188" s="769" t="str">
        <f>IF(OR($F188="",$P188="支払なし",$H188=0,$Q188=""),"",$Q188&amp;"|S|"&amp;(COUNTIF(S$4:S187,$Q188&amp;"|S|*")+1))</f>
        <v/>
      </c>
      <c r="T188" s="769" t="str">
        <f>IF(OR($F188="",$P188="支払なし",$R188=0,$Q188=""),"",$Q188&amp;"|L|"&amp;(COUNTIF(T$4:T187,$Q188&amp;"|L|*")+1))</f>
        <v/>
      </c>
      <c r="U188" s="769" t="str">
        <f>IF(OR($F188="",$A188=""),"",MOD(MONTH($A188)-4,12)+1)</f>
        <v/>
      </c>
    </row>
    <row r="189" ht="16.5" customFormat="1" customHeight="1" s="422">
      <c r="A189" s="760" t="n"/>
      <c r="B189" s="761" t="n"/>
      <c r="C189" s="762" t="n"/>
      <c r="D189" s="762" t="n"/>
      <c r="E189" s="762" t="n"/>
      <c r="F189" s="772" t="n"/>
      <c r="G189" s="772" t="n"/>
      <c r="H189" s="765">
        <f>IF(G189=1,F189-I189-J189-K189,IF(G189=2,F189,0))</f>
        <v>0</v>
      </c>
      <c r="I189" s="765">
        <f>ROUND(IF(G189=1,F189*10/23,IF(G189=3,F189-J189-K189,IF(G189=4,F189,IF(G189=5,F189*10/11,IF(G189=7,F189*10/11,0))))),0)</f>
        <v>0</v>
      </c>
      <c r="J189" s="765">
        <f>ROUND(IF(G189=1,F189/23,IF(G189=3,F189/12,IF(G189=5,F189-I189,IF(G189=8,F189,0)))),0)</f>
        <v>0</v>
      </c>
      <c r="K189" s="766">
        <f>ROUND(IF(G189=1,F189/23,IF(G189=3,F189/12,IF(G189=6,F189,IF(G189=7,F189-I189,0)))),0)</f>
        <v>0</v>
      </c>
      <c r="L189" s="767">
        <f>IF(G189=6,F189,0)</f>
        <v>0</v>
      </c>
      <c r="M189" s="421">
        <f>IF(F189="",0,MONTH(A189))</f>
        <v>0</v>
      </c>
      <c r="P189" s="768" t="n"/>
      <c r="Q189" s="769" t="str">
        <f>IF($F189="","",IFERROR(VLOOKUP($C189&amp;"|"&amp;$D189,科目表!$A$5:$B$200,2,FALSE),"※未登録"))</f>
        <v/>
      </c>
      <c r="R189" s="769" t="str">
        <f>IF($F189="","",$I189+$J189+$K189)</f>
        <v/>
      </c>
      <c r="S189" s="769" t="str">
        <f>IF(OR($F189="",$P189="支払なし",$H189=0,$Q189=""),"",$Q189&amp;"|S|"&amp;(COUNTIF(S$4:S188,$Q189&amp;"|S|*")+1))</f>
        <v/>
      </c>
      <c r="T189" s="769" t="str">
        <f>IF(OR($F189="",$P189="支払なし",$R189=0,$Q189=""),"",$Q189&amp;"|L|"&amp;(COUNTIF(T$4:T188,$Q189&amp;"|L|*")+1))</f>
        <v/>
      </c>
      <c r="U189" s="769" t="str">
        <f>IF(OR($F189="",$A189=""),"",MOD(MONTH($A189)-4,12)+1)</f>
        <v/>
      </c>
    </row>
    <row r="190" ht="16.5" customFormat="1" customHeight="1" s="43">
      <c r="A190" s="760" t="n">
        <v>46262</v>
      </c>
      <c r="B190" s="761" t="n"/>
      <c r="C190" s="762" t="inlineStr">
        <is>
          <t>事務費</t>
        </is>
      </c>
      <c r="D190" s="762" t="inlineStr">
        <is>
          <t>通信運搬費</t>
        </is>
      </c>
      <c r="E190" s="762" t="inlineStr">
        <is>
          <t>料金後納利用料（７月分）</t>
        </is>
      </c>
      <c r="F190" s="772" t="n">
        <v>52380</v>
      </c>
      <c r="G190" s="772" t="n">
        <v>2</v>
      </c>
      <c r="H190" s="765">
        <f>IF(G190=1,F190-I190-J190-K190,IF(G190=2,F190,0))</f>
        <v>52380</v>
      </c>
      <c r="I190" s="765">
        <f>ROUND(IF(G190=1,F190*10/23,IF(G190=3,F190-J190-K190,IF(G190=4,F190,IF(G190=5,F190*10/11,IF(G190=7,F190*10/11,0))))),0)</f>
        <v>0</v>
      </c>
      <c r="J190" s="765">
        <f>ROUND(IF(G190=1,F190/23,IF(G190=3,F190/12,IF(G190=5,F190-I190,IF(G190=8,F190,0)))),0)</f>
        <v>0</v>
      </c>
      <c r="K190" s="766">
        <f>ROUND(IF(G190=1,F190/23,IF(G190=3,F190/12,IF(G190=6,F190,IF(G190=7,F190-I190,0)))),0)</f>
        <v>0</v>
      </c>
      <c r="L190" s="767">
        <f>IF(G190=6,F190,0)</f>
        <v>0</v>
      </c>
      <c r="M190" s="572">
        <f>IF(F190="",0,MONTH(A190))</f>
        <v>8</v>
      </c>
      <c r="P190" s="768" t="inlineStr">
        <is>
          <t>確認済</t>
        </is>
      </c>
      <c r="Q190" s="769" t="str">
        <f>IF($F190="","",IFERROR(VLOOKUP($C190&amp;"|"&amp;$D190,科目表!$A$5:$B$200,2,FALSE),"※未登録"))</f>
        <v>通信運搬費</v>
      </c>
      <c r="R190" s="769">
        <f>IF($F190="","",$I190+$J190+$K190)</f>
        <v>0</v>
      </c>
      <c r="S190" s="769" t="str">
        <f>IF(OR($F190="",$P190="支払なし",$H190=0,$Q190=""),"",$Q190&amp;"|S|"&amp;(COUNTIF(S$4:S189,$Q190&amp;"|S|*")+1))</f>
        <v>通信運搬費|S|20</v>
      </c>
      <c r="T190" s="769" t="str">
        <f>IF(OR($F190="",$P190="支払なし",$R190=0,$Q190=""),"",$Q190&amp;"|L|"&amp;(COUNTIF(T$4:T189,$Q190&amp;"|L|*")+1))</f>
        <v/>
      </c>
      <c r="U190" s="769">
        <f>IF(OR($F190="",$A190=""),"",MOD(MONTH($A190)-4,12)+1)</f>
        <v>5</v>
      </c>
    </row>
    <row r="191" ht="16.5" customFormat="1" customHeight="1" s="43">
      <c r="A191" s="760" t="n">
        <v>46262</v>
      </c>
      <c r="B191" s="761" t="n"/>
      <c r="C191" s="762" t="inlineStr">
        <is>
          <t>事務費</t>
        </is>
      </c>
      <c r="D191" s="762" t="inlineStr">
        <is>
          <t>通信運搬費</t>
        </is>
      </c>
      <c r="E191" s="762" t="inlineStr">
        <is>
          <t>料金後納利用料（７月分）</t>
        </is>
      </c>
      <c r="F191" s="772" t="n">
        <v>31370</v>
      </c>
      <c r="G191" s="772" t="n">
        <v>3</v>
      </c>
      <c r="H191" s="765">
        <f>IF(G191=1,F191-I191-J191-K191,IF(G191=2,F191,0))</f>
        <v>0</v>
      </c>
      <c r="I191" s="765">
        <f>ROUND(IF(G191=1,F191*10/23,IF(G191=3,F191-J191-K191,IF(G191=4,F191,IF(G191=5,F191*10/11,IF(G191=7,F191*10/11,0))))),0)</f>
        <v>26142</v>
      </c>
      <c r="J191" s="765">
        <f>ROUND(IF(G191=1,F191/23,IF(G191=3,F191/12,IF(G191=5,F191-I191,IF(G191=8,F191,0)))),0)</f>
        <v>2614</v>
      </c>
      <c r="K191" s="766">
        <f>ROUND(IF(G191=1,F191/23,IF(G191=3,F191/12,IF(G191=6,F191,IF(G191=7,F191-I191,0)))),0)</f>
        <v>2614</v>
      </c>
      <c r="L191" s="767">
        <f>IF(G191=6,F191,0)</f>
        <v>0</v>
      </c>
      <c r="M191" s="572">
        <f>IF(F191="",0,MONTH(A191))</f>
        <v>8</v>
      </c>
      <c r="P191" s="768" t="inlineStr">
        <is>
          <t>確認済</t>
        </is>
      </c>
      <c r="Q191" s="769" t="str">
        <f>IF($F191="","",IFERROR(VLOOKUP($C191&amp;"|"&amp;$D191,科目表!$A$5:$B$200,2,FALSE),"※未登録"))</f>
        <v>通信運搬費</v>
      </c>
      <c r="R191" s="769">
        <f>IF($F191="","",$I191+$J191+$K191)</f>
        <v>31370</v>
      </c>
      <c r="S191" s="769" t="str">
        <f>IF(OR($F191="",$P191="支払なし",$H191=0,$Q191=""),"",$Q191&amp;"|S|"&amp;(COUNTIF(S$4:S190,$Q191&amp;"|S|*")+1))</f>
        <v/>
      </c>
      <c r="T191" s="769" t="str">
        <f>IF(OR($F191="",$P191="支払なし",$R191=0,$Q191=""),"",$Q191&amp;"|L|"&amp;(COUNTIF(T$4:T190,$Q191&amp;"|L|*")+1))</f>
        <v>通信運搬費|L|7</v>
      </c>
      <c r="U191" s="769">
        <f>IF(OR($F191="",$A191=""),"",MOD(MONTH($A191)-4,12)+1)</f>
        <v>5</v>
      </c>
    </row>
    <row r="192" ht="16.5" customFormat="1" customHeight="1" s="43">
      <c r="A192" s="760" t="n">
        <v>46241</v>
      </c>
      <c r="B192" s="761" t="n"/>
      <c r="C192" s="762" t="inlineStr">
        <is>
          <t>事務費負担金払込金</t>
        </is>
      </c>
      <c r="D192" s="762" t="n"/>
      <c r="E192" s="775" t="inlineStr">
        <is>
          <t>７月分事務費負担金払込金と連合会交付金との相殺</t>
        </is>
      </c>
      <c r="F192" s="774" t="n">
        <v>5366000</v>
      </c>
      <c r="G192" s="764" t="n">
        <v>5</v>
      </c>
      <c r="H192" s="765">
        <f>IF(G192=1,F192-I192-J192-K192,IF(G192=2,F192,0))</f>
        <v>0</v>
      </c>
      <c r="I192" s="765">
        <f>ROUND(IF(G192=1,F192*10/23,IF(G192=3,F192-J192-K192,IF(G192=4,F192,IF(G192=5,F192*10/11,IF(G192=7,F192*10/11,0))))),0)</f>
        <v>4878182</v>
      </c>
      <c r="J192" s="765">
        <f>ROUND(IF(G192=1,F192/23,IF(G192=3,F192/12,IF(G192=5,F192-I192,IF(G192=8,F192,0)))),0)</f>
        <v>487818</v>
      </c>
      <c r="K192" s="766">
        <f>ROUND(IF(G192=1,F192/23,IF(G192=3,F192/12,IF(G192=6,F192,IF(G192=7,F192-I192,0)))),0)</f>
        <v>0</v>
      </c>
      <c r="L192" s="767">
        <f>IF(G192=6,F192,0)</f>
        <v>0</v>
      </c>
      <c r="M192" s="572">
        <f>IF(F192="",0,MONTH(A192))</f>
        <v>8</v>
      </c>
      <c r="P192" s="768" t="inlineStr">
        <is>
          <t>確認済</t>
        </is>
      </c>
      <c r="Q192" s="769" t="str">
        <f>IF($F192="","",IFERROR(VLOOKUP($C192&amp;"|"&amp;$D192,科目表!$A$5:$B$200,2,FALSE),"※未登録"))</f>
        <v>事務費負担金払込金</v>
      </c>
      <c r="R192" s="769">
        <f>IF($F192="","",$I192+$J192+$K192)</f>
        <v>5366000</v>
      </c>
      <c r="S192" s="769" t="str">
        <f>IF(OR($F192="",$P192="支払なし",$H192=0,$Q192=""),"",$Q192&amp;"|S|"&amp;(COUNTIF(S$4:S191,$Q192&amp;"|S|*")+1))</f>
        <v/>
      </c>
      <c r="T192" s="769" t="str">
        <f>IF(OR($F192="",$P192="支払なし",$R192=0,$Q192=""),"",$Q192&amp;"|L|"&amp;(COUNTIF(T$4:T191,$Q192&amp;"|L|*")+1))</f>
        <v>事務費負担金払込金|L|5</v>
      </c>
      <c r="U192" s="769">
        <f>IF(OR($F192="",$A192=""),"",MOD(MONTH($A192)-4,12)+1)</f>
        <v>5</v>
      </c>
    </row>
    <row r="193" ht="16.5" customFormat="1" customHeight="1" s="43">
      <c r="A193" s="760" t="n">
        <v>46244</v>
      </c>
      <c r="B193" s="761" t="n"/>
      <c r="C193" s="762" t="inlineStr">
        <is>
          <t>事務費</t>
        </is>
      </c>
      <c r="D193" s="762" t="inlineStr">
        <is>
          <t>送金料</t>
        </is>
      </c>
      <c r="E193" s="775" t="inlineStr">
        <is>
          <t>振込手数料（広銀）７月分　長期分</t>
        </is>
      </c>
      <c r="F193" s="772" t="n">
        <v>14994</v>
      </c>
      <c r="G193" s="772" t="n">
        <v>3</v>
      </c>
      <c r="H193" s="765">
        <f>IF(G193=1,F193-I193-J193-K193,IF(G193=2,F193,0))</f>
        <v>0</v>
      </c>
      <c r="I193" s="765">
        <f>ROUND(IF(G193=1,F193*10/23,IF(G193=3,F193-J193-K193,IF(G193=4,F193,IF(G193=5,F193*10/11,IF(G193=7,F193*10/11,0))))),0)</f>
        <v>12494</v>
      </c>
      <c r="J193" s="765">
        <f>ROUND(IF(G193=1,F193/23,IF(G193=3,F193/12,IF(G193=5,F193-I193,IF(G193=8,F193,0)))),0)</f>
        <v>1250</v>
      </c>
      <c r="K193" s="766">
        <f>ROUND(IF(G193=1,F193/23,IF(G193=3,F193/12,IF(G193=6,F193,IF(G193=7,F193-I193,0)))),0)</f>
        <v>1250</v>
      </c>
      <c r="L193" s="767">
        <f>IF(G193=6,F193,0)</f>
        <v>0</v>
      </c>
      <c r="M193" s="572">
        <f>IF(F193="",0,MONTH(A193))</f>
        <v>8</v>
      </c>
      <c r="P193" s="768" t="inlineStr">
        <is>
          <t>確認済</t>
        </is>
      </c>
      <c r="Q193" s="769" t="str">
        <f>IF($F193="","",IFERROR(VLOOKUP($C193&amp;"|"&amp;$D193,科目表!$A$5:$B$200,2,FALSE),"※未登録"))</f>
        <v>送金料</v>
      </c>
      <c r="R193" s="769">
        <f>IF($F193="","",$I193+$J193+$K193)</f>
        <v>14994</v>
      </c>
      <c r="S193" s="769" t="str">
        <f>IF(OR($F193="",$P193="支払なし",$H193=0,$Q193=""),"",$Q193&amp;"|S|"&amp;(COUNTIF(S$4:S192,$Q193&amp;"|S|*")+1))</f>
        <v/>
      </c>
      <c r="T193" s="769" t="str">
        <f>IF(OR($F193="",$P193="支払なし",$R193=0,$Q193=""),"",$Q193&amp;"|L|"&amp;(COUNTIF(T$4:T192,$Q193&amp;"|L|*")+1))</f>
        <v>送金料|L|4</v>
      </c>
      <c r="U193" s="769">
        <f>IF(OR($F193="",$A193=""),"",MOD(MONTH($A193)-4,12)+1)</f>
        <v>5</v>
      </c>
    </row>
    <row r="194" ht="16.5" customFormat="1" customHeight="1" s="43">
      <c r="A194" s="760" t="n">
        <v>46244</v>
      </c>
      <c r="B194" s="761" t="n"/>
      <c r="C194" s="762" t="inlineStr">
        <is>
          <t>事務費</t>
        </is>
      </c>
      <c r="D194" s="762" t="inlineStr">
        <is>
          <t>送金料</t>
        </is>
      </c>
      <c r="E194" s="775" t="inlineStr">
        <is>
          <t>振込手数料（広銀）７月分　短期分</t>
        </is>
      </c>
      <c r="F194" s="764" t="n">
        <v>143169</v>
      </c>
      <c r="G194" s="764" t="n">
        <v>2</v>
      </c>
      <c r="H194" s="765">
        <f>IF(G194=1,F194-I194-J194-K194,IF(G194=2,F194,0))</f>
        <v>143169</v>
      </c>
      <c r="I194" s="765">
        <f>ROUND(IF(G194=1,F194*10/23,IF(G194=3,F194-J194-K194,IF(G194=4,F194,IF(G194=5,F194*10/11,IF(G194=7,F194*10/11,0))))),0)</f>
        <v>0</v>
      </c>
      <c r="J194" s="765">
        <f>ROUND(IF(G194=1,F194/23,IF(G194=3,F194/12,IF(G194=5,F194-I194,IF(G194=8,F194,0)))),0)</f>
        <v>0</v>
      </c>
      <c r="K194" s="766">
        <f>ROUND(IF(G194=1,F194/23,IF(G194=3,F194/12,IF(G194=6,F194,IF(G194=7,F194-I194,0)))),0)</f>
        <v>0</v>
      </c>
      <c r="L194" s="767">
        <f>IF(G194=6,F194,0)</f>
        <v>0</v>
      </c>
      <c r="M194" s="572">
        <f>IF(F194="",0,MONTH(A194))</f>
        <v>8</v>
      </c>
      <c r="P194" s="768" t="inlineStr">
        <is>
          <t>確認済</t>
        </is>
      </c>
      <c r="Q194" s="769" t="str">
        <f>IF($F194="","",IFERROR(VLOOKUP($C194&amp;"|"&amp;$D194,科目表!$A$5:$B$200,2,FALSE),"※未登録"))</f>
        <v>送金料</v>
      </c>
      <c r="R194" s="769">
        <f>IF($F194="","",$I194+$J194+$K194)</f>
        <v>0</v>
      </c>
      <c r="S194" s="769" t="str">
        <f>IF(OR($F194="",$P194="支払なし",$H194=0,$Q194=""),"",$Q194&amp;"|S|"&amp;(COUNTIF(S$4:S193,$Q194&amp;"|S|*")+1))</f>
        <v>送金料|S|7</v>
      </c>
      <c r="T194" s="769" t="str">
        <f>IF(OR($F194="",$P194="支払なし",$R194=0,$Q194=""),"",$Q194&amp;"|L|"&amp;(COUNTIF(T$4:T193,$Q194&amp;"|L|*")+1))</f>
        <v/>
      </c>
      <c r="U194" s="769">
        <f>IF(OR($F194="",$A194=""),"",MOD(MONTH($A194)-4,12)+1)</f>
        <v>5</v>
      </c>
    </row>
    <row r="195" ht="16.5" customFormat="1" customHeight="1" s="422">
      <c r="A195" s="760" t="n">
        <v>44421</v>
      </c>
      <c r="B195" s="761" t="n"/>
      <c r="C195" s="762" t="inlineStr">
        <is>
          <t>事務費</t>
        </is>
      </c>
      <c r="D195" s="762" t="inlineStr">
        <is>
          <t>図書印刷費</t>
        </is>
      </c>
      <c r="E195" s="773" t="inlineStr">
        <is>
          <t>地方公務員共済組合関係法令実例判例集追録1073-1076号</t>
        </is>
      </c>
      <c r="F195" s="764" t="n">
        <v>10528</v>
      </c>
      <c r="G195" s="764" t="n">
        <v>3</v>
      </c>
      <c r="H195" s="765">
        <f>IF(G195=1,F195-I195-J195-K195,IF(G195=2,F195,0))</f>
        <v>0</v>
      </c>
      <c r="I195" s="765">
        <f>ROUND(IF(G195=1,F195*10/23,IF(G195=3,F195-J195-K195,IF(G195=4,F195,IF(G195=5,F195*10/11,IF(G195=7,F195*10/11,0))))),0)</f>
        <v>8774</v>
      </c>
      <c r="J195" s="765">
        <f>ROUND(IF(G195=1,F195/23,IF(G195=3,F195/12,IF(G195=5,F195-I195,IF(G195=8,F195,0)))),0)</f>
        <v>877</v>
      </c>
      <c r="K195" s="766">
        <f>ROUND(IF(G195=1,F195/23,IF(G195=3,F195/12,IF(G195=6,F195,IF(G195=7,F195-I195,0)))),0)</f>
        <v>877</v>
      </c>
      <c r="L195" s="767">
        <f>IF(G195=6,F195,0)</f>
        <v>0</v>
      </c>
      <c r="M195" s="421">
        <f>IF(F195="",0,MONTH(A195))</f>
        <v>8</v>
      </c>
      <c r="P195" s="768" t="inlineStr">
        <is>
          <t>昨年実績</t>
        </is>
      </c>
      <c r="Q195" s="769" t="str">
        <f>IF($F195="","",IFERROR(VLOOKUP($C195&amp;"|"&amp;$D195,科目表!$A$5:$B$200,2,FALSE),"※未登録"))</f>
        <v>図書印刷費</v>
      </c>
      <c r="R195" s="769">
        <f>IF($F195="","",$I195+$J195+$K195)</f>
        <v>10528</v>
      </c>
      <c r="S195" s="769" t="str">
        <f>IF(OR($F195="",$P195="支払なし",$H195=0,$Q195=""),"",$Q195&amp;"|S|"&amp;(COUNTIF(S$4:S194,$Q195&amp;"|S|*")+1))</f>
        <v/>
      </c>
      <c r="T195" s="769" t="str">
        <f>IF(OR($F195="",$P195="支払なし",$R195=0,$Q195=""),"",$Q195&amp;"|L|"&amp;(COUNTIF(T$4:T194,$Q195&amp;"|L|*")+1))</f>
        <v>図書印刷費|L|6</v>
      </c>
      <c r="U195" s="769">
        <f>IF(OR($F195="",$A195=""),"",MOD(MONTH($A195)-4,12)+1)</f>
        <v>5</v>
      </c>
    </row>
    <row r="196" ht="16.5" customFormat="1" customHeight="1" s="422">
      <c r="A196" s="760" t="n">
        <v>44788</v>
      </c>
      <c r="B196" s="761" t="n"/>
      <c r="C196" s="762" t="inlineStr">
        <is>
          <t>賃借料</t>
        </is>
      </c>
      <c r="D196" s="762" t="n"/>
      <c r="E196" s="762" t="inlineStr">
        <is>
          <t>大都市職員共済組合事務担当者会議　WEB会議用機器等</t>
        </is>
      </c>
      <c r="F196" s="772" t="n">
        <v>10120</v>
      </c>
      <c r="G196" s="772" t="n">
        <v>2</v>
      </c>
      <c r="H196" s="765">
        <f>IF(G196=1,F196-I196-J196-K196,IF(G196=2,F196,0))</f>
        <v>10120</v>
      </c>
      <c r="I196" s="765">
        <f>ROUND(IF(G196=1,F196*10/23,IF(G196=3,F196-J196-K196,IF(G196=4,F196,IF(G196=5,F196*10/11,IF(G196=7,F196*10/11,0))))),0)</f>
        <v>0</v>
      </c>
      <c r="J196" s="765">
        <f>ROUND(IF(G196=1,F196/23,IF(G196=3,F196/12,IF(G196=5,F196-I196,IF(G196=8,F196,0)))),0)</f>
        <v>0</v>
      </c>
      <c r="K196" s="766">
        <f>ROUND(IF(G196=1,F196/23,IF(G196=3,F196/12,IF(G196=6,F196,IF(G196=7,F196-I196,0)))),0)</f>
        <v>0</v>
      </c>
      <c r="L196" s="767">
        <f>IF(G196=6,F196,0)</f>
        <v>0</v>
      </c>
      <c r="M196" s="421">
        <f>IF(F196="",0,MONTH(A196))</f>
        <v>8</v>
      </c>
      <c r="P196" s="768" t="inlineStr">
        <is>
          <t>昨年実績</t>
        </is>
      </c>
      <c r="Q196" s="769" t="str">
        <f>IF($F196="","",IFERROR(VLOOKUP($C196&amp;"|"&amp;$D196,科目表!$A$5:$B$200,2,FALSE),"※未登録"))</f>
        <v>賃借料</v>
      </c>
      <c r="R196" s="769">
        <f>IF($F196="","",$I196+$J196+$K196)</f>
        <v>0</v>
      </c>
      <c r="S196" s="769" t="str">
        <f>IF(OR($F196="",$P196="支払なし",$H196=0,$Q196=""),"",$Q196&amp;"|S|"&amp;(COUNTIF(S$4:S195,$Q196&amp;"|S|*")+1))</f>
        <v>賃借料|S|16</v>
      </c>
      <c r="T196" s="769" t="str">
        <f>IF(OR($F196="",$P196="支払なし",$R196=0,$Q196=""),"",$Q196&amp;"|L|"&amp;(COUNTIF(T$4:T195,$Q196&amp;"|L|*")+1))</f>
        <v/>
      </c>
      <c r="U196" s="769">
        <f>IF(OR($F196="",$A196=""),"",MOD(MONTH($A196)-4,12)+1)</f>
        <v>5</v>
      </c>
    </row>
    <row r="197" ht="16.5" customFormat="1" customHeight="1" s="43">
      <c r="A197" s="760" t="n">
        <v>46259</v>
      </c>
      <c r="B197" s="761" t="n"/>
      <c r="C197" s="762" t="inlineStr">
        <is>
          <t>事務費</t>
        </is>
      </c>
      <c r="D197" s="762" t="inlineStr">
        <is>
          <t>事務用消耗品費</t>
        </is>
      </c>
      <c r="E197" s="775" t="inlineStr">
        <is>
          <t>コピー用紙等購入代分担金　互助会（第１四半期）[短期]</t>
        </is>
      </c>
      <c r="F197" s="772" t="n">
        <v>119079</v>
      </c>
      <c r="G197" s="772" t="n">
        <v>2</v>
      </c>
      <c r="H197" s="765">
        <f>IF(G197=1,F197-I197-J197-K197,IF(G197=2,F197,0))</f>
        <v>119079</v>
      </c>
      <c r="I197" s="765">
        <f>ROUND(IF(G197=1,F197*10/23,IF(G197=3,F197-J197-K197,IF(G197=4,F197,IF(G197=5,F197*10/11,IF(G197=7,F197*10/11,0))))),0)</f>
        <v>0</v>
      </c>
      <c r="J197" s="765">
        <f>ROUND(IF(G197=1,F197/23,IF(G197=3,F197/12,IF(G197=5,F197-I197,IF(G197=8,F197,0)))),0)</f>
        <v>0</v>
      </c>
      <c r="K197" s="766">
        <f>ROUND(IF(G197=1,F197/23,IF(G197=3,F197/12,IF(G197=6,F197,IF(G197=7,F197-I197,0)))),0)</f>
        <v>0</v>
      </c>
      <c r="L197" s="767">
        <f>IF(G197=6,F197,0)</f>
        <v>0</v>
      </c>
      <c r="M197" s="572">
        <f>IF(F197="",0,MONTH(A197))</f>
        <v>8</v>
      </c>
      <c r="P197" s="768" t="inlineStr">
        <is>
          <t>確認済</t>
        </is>
      </c>
      <c r="Q197" s="769" t="str">
        <f>IF($F197="","",IFERROR(VLOOKUP($C197&amp;"|"&amp;$D197,科目表!$A$5:$B$200,2,FALSE),"※未登録"))</f>
        <v>事務用消耗品費</v>
      </c>
      <c r="R197" s="769">
        <f>IF($F197="","",$I197+$J197+$K197)</f>
        <v>0</v>
      </c>
      <c r="S197" s="769" t="str">
        <f>IF(OR($F197="",$P197="支払なし",$H197=0,$Q197=""),"",$Q197&amp;"|S|"&amp;(COUNTIF(S$4:S196,$Q197&amp;"|S|*")+1))</f>
        <v>事務用消耗品費|S|15</v>
      </c>
      <c r="T197" s="769" t="str">
        <f>IF(OR($F197="",$P197="支払なし",$R197=0,$Q197=""),"",$Q197&amp;"|L|"&amp;(COUNTIF(T$4:T196,$Q197&amp;"|L|*")+1))</f>
        <v/>
      </c>
      <c r="U197" s="769">
        <f>IF(OR($F197="",$A197=""),"",MOD(MONTH($A197)-4,12)+1)</f>
        <v>5</v>
      </c>
    </row>
    <row r="198" ht="16.5" customFormat="1" customHeight="1" s="43">
      <c r="A198" s="760" t="n">
        <v>46259</v>
      </c>
      <c r="B198" s="761" t="n"/>
      <c r="C198" s="762" t="inlineStr">
        <is>
          <t>普及費</t>
        </is>
      </c>
      <c r="D198" s="762" t="n"/>
      <c r="E198" s="762" t="inlineStr">
        <is>
          <t>厚生だより等印刷代分担金　互助会（第１四半期）[短期]</t>
        </is>
      </c>
      <c r="F198" s="772" t="n">
        <v>371265</v>
      </c>
      <c r="G198" s="772" t="n">
        <v>2</v>
      </c>
      <c r="H198" s="765">
        <f>IF(G198=1,F198-I198-J198-K198,IF(G198=2,F198,0))</f>
        <v>371265</v>
      </c>
      <c r="I198" s="765">
        <f>ROUND(IF(G198=1,F198*10/23,IF(G198=3,F198-J198-K198,IF(G198=4,F198,IF(G198=5,F198*10/11,IF(G198=7,F198*10/11,0))))),0)</f>
        <v>0</v>
      </c>
      <c r="J198" s="765">
        <f>ROUND(IF(G198=1,F198/23,IF(G198=3,F198/12,IF(G198=5,F198-I198,IF(G198=8,F198,0)))),0)</f>
        <v>0</v>
      </c>
      <c r="K198" s="766">
        <f>ROUND(IF(G198=1,F198/23,IF(G198=3,F198/12,IF(G198=6,F198,IF(G198=7,F198-I198,0)))),0)</f>
        <v>0</v>
      </c>
      <c r="L198" s="767">
        <f>IF(G198=6,F198,0)</f>
        <v>0</v>
      </c>
      <c r="M198" s="572">
        <f>IF(F198="",0,MONTH(A198))</f>
        <v>8</v>
      </c>
      <c r="P198" s="768" t="inlineStr">
        <is>
          <t>確認済</t>
        </is>
      </c>
      <c r="Q198" s="769" t="str">
        <f>IF($F198="","",IFERROR(VLOOKUP($C198&amp;"|"&amp;$D198,科目表!$A$5:$B$200,2,FALSE),"※未登録"))</f>
        <v>普及費</v>
      </c>
      <c r="R198" s="769">
        <f>IF($F198="","",$I198+$J198+$K198)</f>
        <v>0</v>
      </c>
      <c r="S198" s="769" t="str">
        <f>IF(OR($F198="",$P198="支払なし",$H198=0,$Q198=""),"",$Q198&amp;"|S|"&amp;(COUNTIF(S$4:S197,$Q198&amp;"|S|*")+1))</f>
        <v>普及費|S|1</v>
      </c>
      <c r="T198" s="769" t="str">
        <f>IF(OR($F198="",$P198="支払なし",$R198=0,$Q198=""),"",$Q198&amp;"|L|"&amp;(COUNTIF(T$4:T197,$Q198&amp;"|L|*")+1))</f>
        <v/>
      </c>
      <c r="U198" s="769">
        <f>IF(OR($F198="",$A198=""),"",MOD(MONTH($A198)-4,12)+1)</f>
        <v>5</v>
      </c>
    </row>
    <row r="199" ht="16.5" customFormat="1" customHeight="1" s="422">
      <c r="A199" s="760" t="n">
        <v>45153</v>
      </c>
      <c r="B199" s="761" t="n"/>
      <c r="C199" s="787" t="inlineStr">
        <is>
          <t>事務費</t>
        </is>
      </c>
      <c r="D199" s="788" t="inlineStr">
        <is>
          <t>事務用消耗品費</t>
        </is>
      </c>
      <c r="E199" s="770" t="inlineStr">
        <is>
          <t>メンディングテープ　810-3-18　１個　他</t>
        </is>
      </c>
      <c r="F199" s="789" t="n">
        <v>14422</v>
      </c>
      <c r="G199" s="789" t="n">
        <v>3</v>
      </c>
      <c r="H199" s="790">
        <f>IF(G199=1,F199-I199-J199-K199,IF(G199=2,F199,0))</f>
        <v>0</v>
      </c>
      <c r="I199" s="790">
        <f>ROUND(IF(G199=1,F199*10/23,IF(G199=3,F199-J199-K199,IF(G199=4,F199,IF(G199=5,F199*10/11,IF(G199=7,F199*10/11,0))))),0)</f>
        <v>12018</v>
      </c>
      <c r="J199" s="790">
        <f>ROUND(IF(G199=1,F199/23,IF(G199=3,F199/12,IF(G199=5,F199-I199,IF(G199=8,F199,0)))),0)</f>
        <v>1202</v>
      </c>
      <c r="K199" s="791">
        <f>ROUND(IF(G199=1,F199/23,IF(G199=3,F199/12,IF(G199=6,F199,IF(G199=7,F199-I199,0)))),0)</f>
        <v>1202</v>
      </c>
      <c r="L199" s="792">
        <f>IF(G199=6,F199,0)</f>
        <v>0</v>
      </c>
      <c r="M199" s="421">
        <f>IF(F199="",0,MONTH(A199))</f>
        <v>8</v>
      </c>
      <c r="P199" s="768" t="inlineStr">
        <is>
          <t>昨年実績</t>
        </is>
      </c>
      <c r="Q199" s="769" t="str">
        <f>IF($F199="","",IFERROR(VLOOKUP($C199&amp;"|"&amp;$D199,科目表!$A$5:$B$200,2,FALSE),"※未登録"))</f>
        <v>事務用消耗品費</v>
      </c>
      <c r="R199" s="769">
        <f>IF($F199="","",$I199+$J199+$K199)</f>
        <v>14422</v>
      </c>
      <c r="S199" s="769" t="str">
        <f>IF(OR($F199="",$P199="支払なし",$H199=0,$Q199=""),"",$Q199&amp;"|S|"&amp;(COUNTIF(S$4:S198,$Q199&amp;"|S|*")+1))</f>
        <v/>
      </c>
      <c r="T199" s="769" t="str">
        <f>IF(OR($F199="",$P199="支払なし",$R199=0,$Q199=""),"",$Q199&amp;"|L|"&amp;(COUNTIF(T$4:T198,$Q199&amp;"|L|*")+1))</f>
        <v>事務用消耗品費|L|10</v>
      </c>
      <c r="U199" s="769">
        <f>IF(OR($F199="",$A199=""),"",MOD(MONTH($A199)-4,12)+1)</f>
        <v>5</v>
      </c>
    </row>
    <row r="200" ht="16.5" customFormat="1" customHeight="1" s="43">
      <c r="A200" s="760" t="n">
        <v>46259</v>
      </c>
      <c r="B200" s="761" t="n"/>
      <c r="C200" s="762" t="inlineStr">
        <is>
          <t>事務費</t>
        </is>
      </c>
      <c r="D200" s="762" t="inlineStr">
        <is>
          <t>通信運搬費</t>
        </is>
      </c>
      <c r="E200" s="762" t="inlineStr">
        <is>
          <t>ＦＡＸ電話代等分担金　互助会（第１四半期）[短期]</t>
        </is>
      </c>
      <c r="F200" s="772" t="n">
        <v>5979</v>
      </c>
      <c r="G200" s="772" t="n">
        <v>2</v>
      </c>
      <c r="H200" s="765">
        <f>IF(G200=1,F200-I200-J200-K200,IF(G200=2,F200,0))</f>
        <v>5979</v>
      </c>
      <c r="I200" s="765">
        <f>ROUND(IF(G200=1,F200*10/23,IF(G200=3,F200-J200-K200,IF(G200=4,F200,IF(G200=5,F200*10/11,IF(G200=7,F200*10/11,0))))),0)</f>
        <v>0</v>
      </c>
      <c r="J200" s="765">
        <f>ROUND(IF(G200=1,F200/23,IF(G200=3,F200/12,IF(G200=5,F200-I200,IF(G200=8,F200,0)))),0)</f>
        <v>0</v>
      </c>
      <c r="K200" s="766">
        <f>ROUND(IF(G200=1,F200/23,IF(G200=3,F200/12,IF(G200=6,F200,IF(G200=7,F200-I200,0)))),0)</f>
        <v>0</v>
      </c>
      <c r="L200" s="767">
        <f>IF(G200=6,F200,0)</f>
        <v>0</v>
      </c>
      <c r="M200" s="572">
        <f>IF(F200="",0,MONTH(A200))</f>
        <v>8</v>
      </c>
      <c r="P200" s="768" t="inlineStr">
        <is>
          <t>確認済</t>
        </is>
      </c>
      <c r="Q200" s="769" t="str">
        <f>IF($F200="","",IFERROR(VLOOKUP($C200&amp;"|"&amp;$D200,科目表!$A$5:$B$200,2,FALSE),"※未登録"))</f>
        <v>通信運搬費</v>
      </c>
      <c r="R200" s="769">
        <f>IF($F200="","",$I200+$J200+$K200)</f>
        <v>0</v>
      </c>
      <c r="S200" s="769" t="str">
        <f>IF(OR($F200="",$P200="支払なし",$H200=0,$Q200=""),"",$Q200&amp;"|S|"&amp;(COUNTIF(S$4:S199,$Q200&amp;"|S|*")+1))</f>
        <v>通信運搬費|S|21</v>
      </c>
      <c r="T200" s="769" t="str">
        <f>IF(OR($F200="",$P200="支払なし",$R200=0,$Q200=""),"",$Q200&amp;"|L|"&amp;(COUNTIF(T$4:T199,$Q200&amp;"|L|*")+1))</f>
        <v/>
      </c>
      <c r="U200" s="769">
        <f>IF(OR($F200="",$A200=""),"",MOD(MONTH($A200)-4,12)+1)</f>
        <v>5</v>
      </c>
    </row>
    <row r="201" ht="16.5" customFormat="1" customHeight="1" s="43">
      <c r="A201" s="760" t="n">
        <v>46280</v>
      </c>
      <c r="B201" s="761" t="n"/>
      <c r="C201" s="762" t="inlineStr">
        <is>
          <t>委託費</t>
        </is>
      </c>
      <c r="D201" s="762" t="n"/>
      <c r="E201" s="762" t="inlineStr">
        <is>
          <t>ねんきん定期便（７月分）送付業務</t>
        </is>
      </c>
      <c r="F201" s="772" t="n">
        <v>89822</v>
      </c>
      <c r="G201" s="772" t="n">
        <v>5</v>
      </c>
      <c r="H201" s="765">
        <f>IF(G201=1,F201-I201-J201-K201,IF(G201=2,F201,0))</f>
        <v>0</v>
      </c>
      <c r="I201" s="765">
        <f>ROUND(IF(G201=1,F201*10/23,IF(G201=3,F201-J201-K201,IF(G201=4,F201,IF(G201=5,F201*10/11,IF(G201=7,F201*10/11,0))))),0)</f>
        <v>81656</v>
      </c>
      <c r="J201" s="765">
        <f>ROUND(IF(G201=1,F201/23,IF(G201=3,F201/12,IF(G201=5,F201-I201,IF(G201=8,F201,0)))),0)</f>
        <v>8166</v>
      </c>
      <c r="K201" s="766">
        <f>ROUND(IF(G201=1,F201/23,IF(G201=3,F201/12,IF(G201=6,F201,IF(G201=7,F201-I201,0)))),0)</f>
        <v>0</v>
      </c>
      <c r="L201" s="767">
        <f>IF(G201=6,F201,0)</f>
        <v>0</v>
      </c>
      <c r="M201" s="572">
        <f>IF(F201="",0,MONTH(A201))</f>
        <v>9</v>
      </c>
      <c r="P201" s="768" t="inlineStr">
        <is>
          <t>確認済</t>
        </is>
      </c>
      <c r="Q201" s="769" t="str">
        <f>IF($F201="","",IFERROR(VLOOKUP($C201&amp;"|"&amp;$D201,科目表!$A$5:$B$200,2,FALSE),"※未登録"))</f>
        <v>委託費</v>
      </c>
      <c r="R201" s="769">
        <f>IF($F201="","",$I201+$J201+$K201)</f>
        <v>89822</v>
      </c>
      <c r="S201" s="769" t="str">
        <f>IF(OR($F201="",$P201="支払なし",$H201=0,$Q201=""),"",$Q201&amp;"|S|"&amp;(COUNTIF(S$4:S200,$Q201&amp;"|S|*")+1))</f>
        <v/>
      </c>
      <c r="T201" s="769" t="str">
        <f>IF(OR($F201="",$P201="支払なし",$R201=0,$Q201=""),"",$Q201&amp;"|L|"&amp;(COUNTIF(T$4:T200,$Q201&amp;"|L|*")+1))</f>
        <v>委託費|L|7</v>
      </c>
      <c r="U201" s="769">
        <f>IF(OR($F201="",$A201=""),"",MOD(MONTH($A201)-4,12)+1)</f>
        <v>6</v>
      </c>
    </row>
    <row r="202" ht="16.5" customFormat="1" customHeight="1" s="43">
      <c r="A202" s="760" t="n">
        <v>46254</v>
      </c>
      <c r="B202" s="761" t="n"/>
      <c r="C202" s="762" t="inlineStr">
        <is>
          <t>委託費</t>
        </is>
      </c>
      <c r="D202" s="762" t="n"/>
      <c r="E202" s="777" t="inlineStr">
        <is>
          <t>社会保障等制度情報提供手数料（４～６月分）</t>
        </is>
      </c>
      <c r="F202" s="764" t="n">
        <v>36080</v>
      </c>
      <c r="G202" s="764" t="n">
        <v>2</v>
      </c>
      <c r="H202" s="765">
        <f>IF(G202=1,F202-I202-J202-K202,IF(G202=2,F202,0))</f>
        <v>36080</v>
      </c>
      <c r="I202" s="765">
        <f>ROUND(IF(G202=1,F202*10/23,IF(G202=3,F202-J202-K202,IF(G202=4,F202,IF(G202=5,F202*10/11,IF(G202=7,F202*10/11,0))))),0)</f>
        <v>0</v>
      </c>
      <c r="J202" s="765">
        <f>ROUND(IF(G202=1,F202/23,IF(G202=3,F202/12,IF(G202=5,F202-I202,IF(G202=8,F202,0)))),0)</f>
        <v>0</v>
      </c>
      <c r="K202" s="766">
        <f>ROUND(IF(G202=1,F202/23,IF(G202=3,F202/12,IF(G202=6,F202,IF(G202=7,F202-I202,0)))),0)</f>
        <v>0</v>
      </c>
      <c r="L202" s="767">
        <f>IF(G202=6,F202,0)</f>
        <v>0</v>
      </c>
      <c r="M202" s="572">
        <f>IF(F202="",0,MONTH(A202))</f>
        <v>8</v>
      </c>
      <c r="P202" s="768" t="inlineStr">
        <is>
          <t>確認済</t>
        </is>
      </c>
      <c r="Q202" s="769" t="str">
        <f>IF($F202="","",IFERROR(VLOOKUP($C202&amp;"|"&amp;$D202,科目表!$A$5:$B$200,2,FALSE),"※未登録"))</f>
        <v>委託費</v>
      </c>
      <c r="R202" s="769">
        <f>IF($F202="","",$I202+$J202+$K202)</f>
        <v>0</v>
      </c>
      <c r="S202" s="769" t="str">
        <f>IF(OR($F202="",$P202="支払なし",$H202=0,$Q202=""),"",$Q202&amp;"|S|"&amp;(COUNTIF(S$4:S201,$Q202&amp;"|S|*")+1))</f>
        <v>委託費|S|19</v>
      </c>
      <c r="T202" s="769" t="str">
        <f>IF(OR($F202="",$P202="支払なし",$R202=0,$Q202=""),"",$Q202&amp;"|L|"&amp;(COUNTIF(T$4:T201,$Q202&amp;"|L|*")+1))</f>
        <v/>
      </c>
      <c r="U202" s="769">
        <f>IF(OR($F202="",$A202=""),"",MOD(MONTH($A202)-4,12)+1)</f>
        <v>5</v>
      </c>
    </row>
    <row r="203" ht="16.5" customFormat="1" customHeight="1" s="422">
      <c r="A203" s="760" t="n">
        <v>44060</v>
      </c>
      <c r="B203" s="761" t="n"/>
      <c r="C203" s="762" t="inlineStr">
        <is>
          <t>賃借料</t>
        </is>
      </c>
      <c r="D203" s="762" t="n"/>
      <c r="E203" s="762" t="inlineStr">
        <is>
          <t>パソコン（業務経理用）７月分</t>
        </is>
      </c>
      <c r="F203" s="772" t="n">
        <v>3132</v>
      </c>
      <c r="G203" s="772" t="n">
        <v>2</v>
      </c>
      <c r="H203" s="765">
        <f>IF(G203=1,F203-I203-J203-K203,IF(G203=2,F203,0))</f>
        <v>3132</v>
      </c>
      <c r="I203" s="765">
        <f>ROUND(IF(G203=1,F203*10/23,IF(G203=3,F203-J203-K203,IF(G203=4,F203,IF(G203=5,F203*10/11,IF(G203=7,F203*10/11,0))))),0)</f>
        <v>0</v>
      </c>
      <c r="J203" s="765">
        <f>ROUND(IF(G203=1,F203/23,IF(G203=3,F203/12,IF(G203=5,F203-I203,IF(G203=8,F203,0)))),0)</f>
        <v>0</v>
      </c>
      <c r="K203" s="766">
        <f>ROUND(IF(G203=1,F203/23,IF(G203=3,F203/12,IF(G203=6,F203,IF(G203=7,F203-I203,0)))),0)</f>
        <v>0</v>
      </c>
      <c r="L203" s="767">
        <f>IF(G203=6,F203,0)</f>
        <v>0</v>
      </c>
      <c r="M203" s="421">
        <f>IF(F203="",0,MONTH(A203))</f>
        <v>8</v>
      </c>
      <c r="P203" s="768" t="inlineStr">
        <is>
          <t>昨年実績</t>
        </is>
      </c>
      <c r="Q203" s="769" t="str">
        <f>IF($F203="","",IFERROR(VLOOKUP($C203&amp;"|"&amp;$D203,科目表!$A$5:$B$200,2,FALSE),"※未登録"))</f>
        <v>賃借料</v>
      </c>
      <c r="R203" s="769">
        <f>IF($F203="","",$I203+$J203+$K203)</f>
        <v>0</v>
      </c>
      <c r="S203" s="769" t="str">
        <f>IF(OR($F203="",$P203="支払なし",$H203=0,$Q203=""),"",$Q203&amp;"|S|"&amp;(COUNTIF(S$4:S202,$Q203&amp;"|S|*")+1))</f>
        <v>賃借料|S|17</v>
      </c>
      <c r="T203" s="769" t="str">
        <f>IF(OR($F203="",$P203="支払なし",$R203=0,$Q203=""),"",$Q203&amp;"|L|"&amp;(COUNTIF(T$4:T202,$Q203&amp;"|L|*")+1))</f>
        <v/>
      </c>
      <c r="U203" s="769">
        <f>IF(OR($F203="",$A203=""),"",MOD(MONTH($A203)-4,12)+1)</f>
        <v>5</v>
      </c>
    </row>
    <row r="204" ht="16.5" customFormat="1" customHeight="1" s="422">
      <c r="A204" s="760" t="n"/>
      <c r="B204" s="761" t="n"/>
      <c r="C204" s="762" t="n"/>
      <c r="D204" s="762" t="n"/>
      <c r="E204" s="762" t="n"/>
      <c r="F204" s="772" t="n"/>
      <c r="G204" s="772" t="n"/>
      <c r="H204" s="765" t="n"/>
      <c r="I204" s="765" t="n"/>
      <c r="J204" s="765" t="n"/>
      <c r="K204" s="766" t="n"/>
      <c r="L204" s="767" t="n"/>
      <c r="M204" s="421">
        <f>IF(F204="",0,MONTH(A204))</f>
        <v>0</v>
      </c>
      <c r="P204" s="768" t="n"/>
      <c r="Q204" s="769" t="str">
        <f>IF($F204="","",IFERROR(VLOOKUP($C204&amp;"|"&amp;$D204,科目表!$A$5:$B$200,2,FALSE),"※未登録"))</f>
        <v/>
      </c>
      <c r="R204" s="769" t="str">
        <f>IF($F204="","",$I204+$J204+$K204)</f>
        <v/>
      </c>
      <c r="S204" s="769" t="str">
        <f>IF(OR($F204="",$P204="支払なし",$H204=0,$Q204=""),"",$Q204&amp;"|S|"&amp;(COUNTIF(S$4:S203,$Q204&amp;"|S|*")+1))</f>
        <v/>
      </c>
      <c r="T204" s="769" t="str">
        <f>IF(OR($F204="",$P204="支払なし",$R204=0,$Q204=""),"",$Q204&amp;"|L|"&amp;(COUNTIF(T$4:T203,$Q204&amp;"|L|*")+1))</f>
        <v/>
      </c>
      <c r="U204" s="769" t="str">
        <f>IF(OR($F204="",$A204=""),"",MOD(MONTH($A204)-4,12)+1)</f>
        <v/>
      </c>
    </row>
    <row r="205" ht="16.5" customFormat="1" customHeight="1" s="43">
      <c r="A205" s="760" t="n">
        <v>46248</v>
      </c>
      <c r="B205" s="761" t="n"/>
      <c r="C205" s="762" t="inlineStr">
        <is>
          <t>賃金</t>
        </is>
      </c>
      <c r="D205" s="762" t="n"/>
      <c r="E205" s="762" t="inlineStr">
        <is>
          <t>臨時職員賃金７月分　天畠吏梨外１名分（短期１００％）</t>
        </is>
      </c>
      <c r="F205" s="774" t="n">
        <v>445720</v>
      </c>
      <c r="G205" s="764" t="n">
        <v>2</v>
      </c>
      <c r="H205" s="765">
        <f>IF(G205=1,F205-I205-J205-K205,IF(G205=2,F205,0))</f>
        <v>445720</v>
      </c>
      <c r="I205" s="765">
        <f>ROUND(IF(G205=1,F205*10/23,IF(G205=3,F205-J205-K205,IF(G205=4,F205,IF(G205=5,F205*10/11,IF(G205=7,F205*10/11,0))))),0)</f>
        <v>0</v>
      </c>
      <c r="J205" s="765">
        <f>ROUND(IF(G205=1,F205/23,IF(G205=3,F205/12,IF(G205=5,F205-I205,IF(G205=8,F205,0)))),0)</f>
        <v>0</v>
      </c>
      <c r="K205" s="766">
        <f>ROUND(IF(G205=1,F205/23,IF(G205=3,F205/12,IF(G205=6,F205,IF(G205=7,F205-I205,0)))),0)</f>
        <v>0</v>
      </c>
      <c r="L205" s="767">
        <f>IF(G205=6,F205,0)</f>
        <v>0</v>
      </c>
      <c r="M205" s="572">
        <f>IF(F205="",0,MONTH(A205))</f>
        <v>8</v>
      </c>
      <c r="P205" s="768" t="inlineStr">
        <is>
          <t>確認済</t>
        </is>
      </c>
      <c r="Q205" s="769" t="str">
        <f>IF($F205="","",IFERROR(VLOOKUP($C205&amp;"|"&amp;$D205,科目表!$A$5:$B$200,2,FALSE),"※未登録"))</f>
        <v>賃金</v>
      </c>
      <c r="R205" s="769">
        <f>IF($F205="","",$I205+$J205+$K205)</f>
        <v>0</v>
      </c>
      <c r="S205" s="769" t="str">
        <f>IF(OR($F205="",$P205="支払なし",$H205=0,$Q205=""),"",$Q205&amp;"|S|"&amp;(COUNTIF(S$4:S204,$Q205&amp;"|S|*")+1))</f>
        <v>賃金|S|4</v>
      </c>
      <c r="T205" s="769" t="str">
        <f>IF(OR($F205="",$P205="支払なし",$R205=0,$Q205=""),"",$Q205&amp;"|L|"&amp;(COUNTIF(T$4:T204,$Q205&amp;"|L|*")+1))</f>
        <v/>
      </c>
      <c r="U205" s="769">
        <f>IF(OR($F205="",$A205=""),"",MOD(MONTH($A205)-4,12)+1)</f>
        <v>5</v>
      </c>
    </row>
    <row r="206" ht="16.5" customFormat="1" customHeight="1" s="43">
      <c r="A206" s="760" t="n">
        <v>46265</v>
      </c>
      <c r="B206" s="761" t="n"/>
      <c r="C206" s="762" t="inlineStr">
        <is>
          <t>事務費</t>
        </is>
      </c>
      <c r="D206" s="762" t="inlineStr">
        <is>
          <t>図書印刷費</t>
        </is>
      </c>
      <c r="E206" s="770" t="inlineStr">
        <is>
          <t>厚生法規総覧追録　６１２６－６１３５号</t>
        </is>
      </c>
      <c r="F206" s="764" t="n">
        <v>33154</v>
      </c>
      <c r="G206" s="764" t="n">
        <v>2</v>
      </c>
      <c r="H206" s="765">
        <f>IF(G206=1,F206-I206-J206-K206,IF(G206=2,F206,0))</f>
        <v>33154</v>
      </c>
      <c r="I206" s="765">
        <f>ROUND(IF(G206=1,F206*10/23,IF(G206=3,F206-J206-K206,IF(G206=4,F206,IF(G206=5,F206*10/11,IF(G206=7,F206*10/11,0))))),0)</f>
        <v>0</v>
      </c>
      <c r="J206" s="765">
        <f>ROUND(IF(G206=1,F206/23,IF(G206=3,F206/12,IF(G206=5,F206-I206,IF(G206=8,F206,0)))),0)</f>
        <v>0</v>
      </c>
      <c r="K206" s="766">
        <f>ROUND(IF(G206=1,F206/23,IF(G206=3,F206/12,IF(G206=6,F206,IF(G206=7,F206-I206,0)))),0)</f>
        <v>0</v>
      </c>
      <c r="L206" s="767">
        <f>IF(G206=6,F206,0)</f>
        <v>0</v>
      </c>
      <c r="M206" s="572">
        <f>IF(F206="",0,MONTH(A206))</f>
        <v>8</v>
      </c>
      <c r="P206" s="768" t="inlineStr">
        <is>
          <t>確認済</t>
        </is>
      </c>
      <c r="Q206" s="769" t="str">
        <f>IF($F206="","",IFERROR(VLOOKUP($C206&amp;"|"&amp;$D206,科目表!$A$5:$B$200,2,FALSE),"※未登録"))</f>
        <v>図書印刷費</v>
      </c>
      <c r="R206" s="769">
        <f>IF($F206="","",$I206+$J206+$K206)</f>
        <v>0</v>
      </c>
      <c r="S206" s="769" t="str">
        <f>IF(OR($F206="",$P206="支払なし",$H206=0,$Q206=""),"",$Q206&amp;"|S|"&amp;(COUNTIF(S$4:S205,$Q206&amp;"|S|*")+1))</f>
        <v>図書印刷費|S|8</v>
      </c>
      <c r="T206" s="769" t="str">
        <f>IF(OR($F206="",$P206="支払なし",$R206=0,$Q206=""),"",$Q206&amp;"|L|"&amp;(COUNTIF(T$4:T205,$Q206&amp;"|L|*")+1))</f>
        <v/>
      </c>
      <c r="U206" s="769">
        <f>IF(OR($F206="",$A206=""),"",MOD(MONTH($A206)-4,12)+1)</f>
        <v>5</v>
      </c>
    </row>
    <row r="207" ht="16.5" customFormat="1" customHeight="1" s="43">
      <c r="A207" s="760" t="n">
        <v>46265</v>
      </c>
      <c r="B207" s="761" t="n"/>
      <c r="C207" s="762" t="inlineStr">
        <is>
          <t>事務費</t>
        </is>
      </c>
      <c r="D207" s="762" t="inlineStr">
        <is>
          <t>送金料</t>
        </is>
      </c>
      <c r="E207" s="775" t="inlineStr">
        <is>
          <t>ゆうちょ銀行手数料（７月分）短期</t>
        </is>
      </c>
      <c r="F207" s="764" t="n">
        <v>13584</v>
      </c>
      <c r="G207" s="764" t="n">
        <v>2</v>
      </c>
      <c r="H207" s="765">
        <f>IF(G207=1,F207-I207-J207-K207,IF(G207=2,F207,0))</f>
        <v>13584</v>
      </c>
      <c r="I207" s="765">
        <f>ROUND(IF(G207=1,F207*10/23,IF(G207=3,F207-J207-K207,IF(G207=4,F207,IF(G207=5,F207*10/11,IF(G207=7,F207*10/11,0))))),0)</f>
        <v>0</v>
      </c>
      <c r="J207" s="765">
        <f>ROUND(IF(G207=1,F207/23,IF(G207=3,F207/12,IF(G207=5,F207-I207,IF(G207=8,F207,0)))),0)</f>
        <v>0</v>
      </c>
      <c r="K207" s="766">
        <f>ROUND(IF(G207=1,F207/23,IF(G207=3,F207/12,IF(G207=6,F207,IF(G207=7,F207-I207,0)))),0)</f>
        <v>0</v>
      </c>
      <c r="L207" s="767">
        <f>IF(G207=6,F207,0)</f>
        <v>0</v>
      </c>
      <c r="M207" s="572">
        <f>IF(F207="",0,MONTH(A207))</f>
        <v>8</v>
      </c>
      <c r="P207" s="768" t="inlineStr">
        <is>
          <t>確認済</t>
        </is>
      </c>
      <c r="Q207" s="769" t="str">
        <f>IF($F207="","",IFERROR(VLOOKUP($C207&amp;"|"&amp;$D207,科目表!$A$5:$B$200,2,FALSE),"※未登録"))</f>
        <v>送金料</v>
      </c>
      <c r="R207" s="769">
        <f>IF($F207="","",$I207+$J207+$K207)</f>
        <v>0</v>
      </c>
      <c r="S207" s="769" t="str">
        <f>IF(OR($F207="",$P207="支払なし",$H207=0,$Q207=""),"",$Q207&amp;"|S|"&amp;(COUNTIF(S$4:S206,$Q207&amp;"|S|*")+1))</f>
        <v>送金料|S|8</v>
      </c>
      <c r="T207" s="769" t="str">
        <f>IF(OR($F207="",$P207="支払なし",$R207=0,$Q207=""),"",$Q207&amp;"|L|"&amp;(COUNTIF(T$4:T206,$Q207&amp;"|L|*")+1))</f>
        <v/>
      </c>
      <c r="U207" s="769">
        <f>IF(OR($F207="",$A207=""),"",MOD(MONTH($A207)-4,12)+1)</f>
        <v>5</v>
      </c>
    </row>
    <row r="208" ht="16.5" customFormat="1" customHeight="1" s="43">
      <c r="A208" s="760" t="n">
        <v>46265</v>
      </c>
      <c r="B208" s="761" t="n"/>
      <c r="C208" s="762" t="inlineStr">
        <is>
          <t>事務費</t>
        </is>
      </c>
      <c r="D208" s="762" t="inlineStr">
        <is>
          <t>雑費</t>
        </is>
      </c>
      <c r="E208" s="775" t="inlineStr">
        <is>
          <t>ゆうちょ銀行振替口座残高証明（７月分）短期</t>
        </is>
      </c>
      <c r="F208" s="764" t="n">
        <v>550</v>
      </c>
      <c r="G208" s="764" t="n">
        <v>2</v>
      </c>
      <c r="H208" s="765">
        <f>IF(G208=1,F208-I208-J208-K208,IF(G208=2,F208,0))</f>
        <v>550</v>
      </c>
      <c r="I208" s="765">
        <f>ROUND(IF(G208=1,F208*10/23,IF(G208=3,F208-J208-K208,IF(G208=4,F208,IF(G208=5,F208*10/11,IF(G208=7,F208*10/11,0))))),0)</f>
        <v>0</v>
      </c>
      <c r="J208" s="765">
        <f>ROUND(IF(G208=1,F208/23,IF(G208=3,F208/12,IF(G208=5,F208-I208,IF(G208=8,F208,0)))),0)</f>
        <v>0</v>
      </c>
      <c r="K208" s="766">
        <f>ROUND(IF(G208=1,F208/23,IF(G208=3,F208/12,IF(G208=6,F208,IF(G208=7,F208-I208,0)))),0)</f>
        <v>0</v>
      </c>
      <c r="L208" s="767">
        <f>IF(G208=6,F208,0)</f>
        <v>0</v>
      </c>
      <c r="M208" s="572">
        <f>IF(F208="",0,MONTH(A208))</f>
        <v>8</v>
      </c>
      <c r="P208" s="768" t="inlineStr">
        <is>
          <t>確認済</t>
        </is>
      </c>
      <c r="Q208" s="769" t="str">
        <f>IF($F208="","",IFERROR(VLOOKUP($C208&amp;"|"&amp;$D208,科目表!$A$5:$B$200,2,FALSE),"※未登録"))</f>
        <v>事務費・雑費</v>
      </c>
      <c r="R208" s="769">
        <f>IF($F208="","",$I208+$J208+$K208)</f>
        <v>0</v>
      </c>
      <c r="S208" s="769" t="str">
        <f>IF(OR($F208="",$P208="支払なし",$H208=0,$Q208=""),"",$Q208&amp;"|S|"&amp;(COUNTIF(S$4:S207,$Q208&amp;"|S|*")+1))</f>
        <v>事務費・雑費|S|7</v>
      </c>
      <c r="T208" s="769" t="str">
        <f>IF(OR($F208="",$P208="支払なし",$R208=0,$Q208=""),"",$Q208&amp;"|L|"&amp;(COUNTIF(T$4:T207,$Q208&amp;"|L|*")+1))</f>
        <v/>
      </c>
      <c r="U208" s="769">
        <f>IF(OR($F208="",$A208=""),"",MOD(MONTH($A208)-4,12)+1)</f>
        <v>5</v>
      </c>
    </row>
    <row r="209" ht="16.5" customFormat="1" customHeight="1" s="43">
      <c r="A209" s="760" t="n">
        <v>46265</v>
      </c>
      <c r="B209" s="761" t="n"/>
      <c r="C209" s="762" t="inlineStr">
        <is>
          <t>事務費</t>
        </is>
      </c>
      <c r="D209" s="762" t="inlineStr">
        <is>
          <t>通信運搬費</t>
        </is>
      </c>
      <c r="E209" s="763" t="inlineStr">
        <is>
          <t>フレッツ光ネクスト利用料等（６月、７月利用・８月請求分）</t>
        </is>
      </c>
      <c r="F209" s="772" t="n">
        <v>13090</v>
      </c>
      <c r="G209" s="772" t="n">
        <v>2</v>
      </c>
      <c r="H209" s="765">
        <f>IF(G209=1,F209-I209-J209-K209,IF(G209=2,F209,0))</f>
        <v>13090</v>
      </c>
      <c r="I209" s="765">
        <f>ROUND(IF(G209=1,F209*10/23,IF(G209=3,F209-J209-K209,IF(G209=4,F209,IF(G209=5,F209*10/11,IF(G209=7,F209*10/11,0))))),0)</f>
        <v>0</v>
      </c>
      <c r="J209" s="765">
        <f>ROUND(IF(G209=1,F209/23,IF(G209=3,F209/12,IF(G209=5,F209-I209,IF(G209=8,F209,0)))),0)</f>
        <v>0</v>
      </c>
      <c r="K209" s="766">
        <f>ROUND(IF(G209=1,F209/23,IF(G209=3,F209/12,IF(G209=6,F209,IF(G209=7,F209-I209,0)))),0)</f>
        <v>0</v>
      </c>
      <c r="L209" s="767">
        <f>IF(G209=6,F209,0)</f>
        <v>0</v>
      </c>
      <c r="M209" s="572">
        <f>IF(F209="",0,MONTH(A209))</f>
        <v>8</v>
      </c>
      <c r="P209" s="768" t="inlineStr">
        <is>
          <t>確認済</t>
        </is>
      </c>
      <c r="Q209" s="769" t="str">
        <f>IF($F209="","",IFERROR(VLOOKUP($C209&amp;"|"&amp;$D209,科目表!$A$5:$B$200,2,FALSE),"※未登録"))</f>
        <v>通信運搬費</v>
      </c>
      <c r="R209" s="769">
        <f>IF($F209="","",$I209+$J209+$K209)</f>
        <v>0</v>
      </c>
      <c r="S209" s="769" t="str">
        <f>IF(OR($F209="",$P209="支払なし",$H209=0,$Q209=""),"",$Q209&amp;"|S|"&amp;(COUNTIF(S$4:S208,$Q209&amp;"|S|*")+1))</f>
        <v>通信運搬費|S|22</v>
      </c>
      <c r="T209" s="769" t="str">
        <f>IF(OR($F209="",$P209="支払なし",$R209=0,$Q209=""),"",$Q209&amp;"|L|"&amp;(COUNTIF(T$4:T208,$Q209&amp;"|L|*")+1))</f>
        <v/>
      </c>
      <c r="U209" s="769">
        <f>IF(OR($F209="",$A209=""),"",MOD(MONTH($A209)-4,12)+1)</f>
        <v>5</v>
      </c>
    </row>
    <row r="210" ht="16.5" customFormat="1" customHeight="1" s="43">
      <c r="A210" s="760" t="n">
        <v>46254</v>
      </c>
      <c r="B210" s="761" t="n"/>
      <c r="C210" s="762" t="inlineStr">
        <is>
          <t>委託費</t>
        </is>
      </c>
      <c r="D210" s="762" t="n"/>
      <c r="E210" s="763" t="inlineStr">
        <is>
          <t>レセプト電子データ提供料（５月診療分）</t>
        </is>
      </c>
      <c r="F210" s="764" t="n">
        <v>56991</v>
      </c>
      <c r="G210" s="764" t="n">
        <v>2</v>
      </c>
      <c r="H210" s="765">
        <f>IF(G210=1,F210-I210-J210-K210,IF(G210=2,F210,0))</f>
        <v>56991</v>
      </c>
      <c r="I210" s="765">
        <f>ROUND(IF(G210=1,F210*10/23,IF(G210=3,F210-J210-K210,IF(G210=4,F210,IF(G210=5,F210*10/11,IF(G210=7,F210*10/11,0))))),0)</f>
        <v>0</v>
      </c>
      <c r="J210" s="765">
        <f>ROUND(IF(G210=1,F210/23,IF(G210=3,F210/12,IF(G210=5,F210-I210,IF(G210=8,F210,0)))),0)</f>
        <v>0</v>
      </c>
      <c r="K210" s="766">
        <f>ROUND(IF(G210=1,F210/23,IF(G210=3,F210/12,IF(G210=6,F210,IF(G210=7,F210-I210,0)))),0)</f>
        <v>0</v>
      </c>
      <c r="L210" s="767">
        <f>IF(G210=6,F210,0)</f>
        <v>0</v>
      </c>
      <c r="M210" s="572">
        <f>IF(F210="",0,MONTH(A210))</f>
        <v>8</v>
      </c>
      <c r="P210" s="768" t="inlineStr">
        <is>
          <t>確認済</t>
        </is>
      </c>
      <c r="Q210" s="769" t="str">
        <f>IF($F210="","",IFERROR(VLOOKUP($C210&amp;"|"&amp;$D210,科目表!$A$5:$B$200,2,FALSE),"※未登録"))</f>
        <v>委託費</v>
      </c>
      <c r="R210" s="769">
        <f>IF($F210="","",$I210+$J210+$K210)</f>
        <v>0</v>
      </c>
      <c r="S210" s="769" t="str">
        <f>IF(OR($F210="",$P210="支払なし",$H210=0,$Q210=""),"",$Q210&amp;"|S|"&amp;(COUNTIF(S$4:S209,$Q210&amp;"|S|*")+1))</f>
        <v>委託費|S|20</v>
      </c>
      <c r="T210" s="769" t="str">
        <f>IF(OR($F210="",$P210="支払なし",$R210=0,$Q210=""),"",$Q210&amp;"|L|"&amp;(COUNTIF(T$4:T209,$Q210&amp;"|L|*")+1))</f>
        <v/>
      </c>
      <c r="U210" s="769">
        <f>IF(OR($F210="",$A210=""),"",MOD(MONTH($A210)-4,12)+1)</f>
        <v>5</v>
      </c>
    </row>
    <row r="211" ht="16.5" customFormat="1" customHeight="1" s="43">
      <c r="A211" s="760" t="n">
        <v>45895</v>
      </c>
      <c r="B211" s="761" t="n"/>
      <c r="C211" s="762" t="inlineStr">
        <is>
          <t>事務費</t>
        </is>
      </c>
      <c r="D211" s="762" t="inlineStr">
        <is>
          <t>通信運搬費</t>
        </is>
      </c>
      <c r="E211" s="773" t="inlineStr">
        <is>
          <t>切手等</t>
        </is>
      </c>
      <c r="F211" s="764" t="n">
        <v>247100</v>
      </c>
      <c r="G211" s="764" t="n">
        <v>3</v>
      </c>
      <c r="H211" s="765">
        <f>IF(G211=1,F211-I211-J211-K211,IF(G211=2,F211,0))</f>
        <v>0</v>
      </c>
      <c r="I211" s="765">
        <f>ROUND(IF(G211=1,F211*10/23,IF(G211=3,F211-J211-K211,IF(G211=4,F211,IF(G211=5,F211*10/11,IF(G211=7,F211*10/11,0))))),0)</f>
        <v>205916</v>
      </c>
      <c r="J211" s="765">
        <f>ROUND(IF(G211=1,F211/23,IF(G211=3,F211/12,IF(G211=5,F211-I211,IF(G211=8,F211,0)))),0)</f>
        <v>20592</v>
      </c>
      <c r="K211" s="766">
        <f>ROUND(IF(G211=1,F211/23,IF(G211=3,F211/12,IF(G211=6,F211,IF(G211=7,F211-I211,0)))),0)</f>
        <v>20592</v>
      </c>
      <c r="L211" s="767">
        <f>IF(G211=6,F211,0)</f>
        <v>0</v>
      </c>
      <c r="M211" s="572">
        <f>IF(F211="",0,MONTH(A211))</f>
        <v>8</v>
      </c>
      <c r="P211" s="768" t="inlineStr">
        <is>
          <t>昨年実績</t>
        </is>
      </c>
      <c r="Q211" s="769" t="str">
        <f>IF($F211="","",IFERROR(VLOOKUP($C211&amp;"|"&amp;$D211,科目表!$A$5:$B$200,2,FALSE),"※未登録"))</f>
        <v>通信運搬費</v>
      </c>
      <c r="R211" s="769">
        <f>IF($F211="","",$I211+$J211+$K211)</f>
        <v>247100</v>
      </c>
      <c r="S211" s="769" t="str">
        <f>IF(OR($F211="",$P211="支払なし",$H211=0,$Q211=""),"",$Q211&amp;"|S|"&amp;(COUNTIF(S$4:S210,$Q211&amp;"|S|*")+1))</f>
        <v/>
      </c>
      <c r="T211" s="769" t="str">
        <f>IF(OR($F211="",$P211="支払なし",$R211=0,$Q211=""),"",$Q211&amp;"|L|"&amp;(COUNTIF(T$4:T210,$Q211&amp;"|L|*")+1))</f>
        <v>通信運搬費|L|8</v>
      </c>
      <c r="U211" s="769">
        <f>IF(OR($F211="",$A211=""),"",MOD(MONTH($A211)-4,12)+1)</f>
        <v>5</v>
      </c>
    </row>
    <row r="212" ht="16.5" customFormat="1" customHeight="1" s="43">
      <c r="A212" s="760" t="n">
        <v>46255</v>
      </c>
      <c r="B212" s="761" t="n"/>
      <c r="C212" s="762" t="inlineStr">
        <is>
          <t>職員給与</t>
        </is>
      </c>
      <c r="D212" s="762" t="inlineStr">
        <is>
          <t>非常勤職員手当</t>
        </is>
      </c>
      <c r="E212" s="762" t="inlineStr">
        <is>
          <t>８月分給与（長期分）</t>
        </is>
      </c>
      <c r="F212" s="774" t="n">
        <v>380800</v>
      </c>
      <c r="G212" s="772" t="n">
        <v>3</v>
      </c>
      <c r="H212" s="765">
        <f>IF(G212=1,F212-I212-J212-K212,IF(G212=2,F212,0))</f>
        <v>0</v>
      </c>
      <c r="I212" s="765">
        <f>ROUND(IF(G212=1,F212*10/23,IF(G212=3,F212-J212-K212,IF(G212=4,F212,IF(G212=5,F212*10/11,IF(G212=7,F212*10/11,0))))),0)</f>
        <v>317334</v>
      </c>
      <c r="J212" s="765">
        <f>ROUND(IF(G212=1,F212/23,IF(G212=3,F212/12,IF(G212=5,F212-I212,IF(G212=8,F212,0)))),0)</f>
        <v>31733</v>
      </c>
      <c r="K212" s="766">
        <f>ROUND(IF(G212=1,F212/23,IF(G212=3,F212/12,IF(G212=6,F212,IF(G212=7,F212-I212,0)))),0)</f>
        <v>31733</v>
      </c>
      <c r="L212" s="767">
        <f>IF(G212=6,F212,0)</f>
        <v>0</v>
      </c>
      <c r="M212" s="572">
        <f>IF(F212="",0,MONTH(A212))</f>
        <v>8</v>
      </c>
      <c r="P212" s="768" t="inlineStr">
        <is>
          <t>確認済</t>
        </is>
      </c>
      <c r="Q212" s="769" t="str">
        <f>IF($F212="","",IFERROR(VLOOKUP($C212&amp;"|"&amp;$D212,科目表!$A$5:$B$200,2,FALSE),"※未登録"))</f>
        <v>非常勤職員手当</v>
      </c>
      <c r="R212" s="769">
        <f>IF($F212="","",$I212+$J212+$K212)</f>
        <v>380800</v>
      </c>
      <c r="S212" s="769" t="str">
        <f>IF(OR($F212="",$P212="支払なし",$H212=0,$Q212=""),"",$Q212&amp;"|S|"&amp;(COUNTIF(S$4:S211,$Q212&amp;"|S|*")+1))</f>
        <v/>
      </c>
      <c r="T212" s="769" t="str">
        <f>IF(OR($F212="",$P212="支払なし",$R212=0,$Q212=""),"",$Q212&amp;"|L|"&amp;(COUNTIF(T$4:T211,$Q212&amp;"|L|*")+1))</f>
        <v>非常勤職員手当|L|6</v>
      </c>
      <c r="U212" s="769">
        <f>IF(OR($F212="",$A212=""),"",MOD(MONTH($A212)-4,12)+1)</f>
        <v>5</v>
      </c>
    </row>
    <row r="213" ht="16.5" customFormat="1" customHeight="1" s="43">
      <c r="A213" s="760" t="n">
        <v>46255</v>
      </c>
      <c r="B213" s="761" t="n"/>
      <c r="C213" s="762" t="inlineStr">
        <is>
          <t>職員給与</t>
        </is>
      </c>
      <c r="D213" s="762" t="inlineStr">
        <is>
          <t>非常勤職員手当</t>
        </is>
      </c>
      <c r="E213" s="762" t="inlineStr">
        <is>
          <t>８月分給与（短期分）</t>
        </is>
      </c>
      <c r="F213" s="771" t="n">
        <v>244300</v>
      </c>
      <c r="G213" s="772" t="n">
        <v>2</v>
      </c>
      <c r="H213" s="765">
        <f>IF(G213=1,F213-I213-J213-K213,IF(G213=2,F213,0))</f>
        <v>244300</v>
      </c>
      <c r="I213" s="765">
        <f>ROUND(IF(G213=1,F213*10/23,IF(G213=3,F213-J213-K213,IF(G213=4,F213,IF(G213=5,F213*10/11,IF(G213=7,F213*10/11,0))))),0)</f>
        <v>0</v>
      </c>
      <c r="J213" s="765">
        <f>ROUND(IF(G213=1,F213/23,IF(G213=3,F213/12,IF(G213=5,F213-I213,IF(G213=8,F213,0)))),0)</f>
        <v>0</v>
      </c>
      <c r="K213" s="766">
        <f>ROUND(IF(G213=1,F213/23,IF(G213=3,F213/12,IF(G213=6,F213,IF(G213=7,F213-I213,0)))),0)</f>
        <v>0</v>
      </c>
      <c r="L213" s="767">
        <f>IF(G213=6,F213,0)</f>
        <v>0</v>
      </c>
      <c r="M213" s="572">
        <f>IF(F213="",0,MONTH(A213))</f>
        <v>8</v>
      </c>
      <c r="P213" s="768" t="inlineStr">
        <is>
          <t>確認済</t>
        </is>
      </c>
      <c r="Q213" s="769" t="str">
        <f>IF($F213="","",IFERROR(VLOOKUP($C213&amp;"|"&amp;$D213,科目表!$A$5:$B$200,2,FALSE),"※未登録"))</f>
        <v>非常勤職員手当</v>
      </c>
      <c r="R213" s="769">
        <f>IF($F213="","",$I213+$J213+$K213)</f>
        <v>0</v>
      </c>
      <c r="S213" s="769" t="str">
        <f>IF(OR($F213="",$P213="支払なし",$H213=0,$Q213=""),"",$Q213&amp;"|S|"&amp;(COUNTIF(S$4:S212,$Q213&amp;"|S|*")+1))</f>
        <v>非常勤職員手当|S|6</v>
      </c>
      <c r="T213" s="769" t="str">
        <f>IF(OR($F213="",$P213="支払なし",$R213=0,$Q213=""),"",$Q213&amp;"|L|"&amp;(COUNTIF(T$4:T212,$Q213&amp;"|L|*")+1))</f>
        <v/>
      </c>
      <c r="U213" s="769">
        <f>IF(OR($F213="",$A213=""),"",MOD(MONTH($A213)-4,12)+1)</f>
        <v>5</v>
      </c>
    </row>
    <row r="214" ht="16.5" customFormat="1" customHeight="1" s="43">
      <c r="A214" s="760" t="n">
        <v>46255</v>
      </c>
      <c r="B214" s="761" t="n"/>
      <c r="C214" s="762" t="inlineStr">
        <is>
          <t>負担金</t>
        </is>
      </c>
      <c r="D214" s="762" t="inlineStr">
        <is>
          <t>互助会費</t>
        </is>
      </c>
      <c r="E214" s="762" t="inlineStr">
        <is>
          <t>助成金（８月長期分）</t>
        </is>
      </c>
      <c r="F214" s="774" t="n">
        <v>466</v>
      </c>
      <c r="G214" s="764" t="n">
        <v>3</v>
      </c>
      <c r="H214" s="765">
        <f>IF(G214=1,F214-I214-J214-K214,IF(G214=2,F214,0))</f>
        <v>0</v>
      </c>
      <c r="I214" s="765">
        <f>ROUND(IF(G214=1,F214*10/23,IF(G214=3,F214-J214-K214,IF(G214=4,F214,IF(G214=5,F214*10/11,IF(G214=7,F214*10/11,0))))),0)</f>
        <v>388</v>
      </c>
      <c r="J214" s="765">
        <f>ROUND(IF(G214=1,F214/23,IF(G214=3,F214/12,IF(G214=5,F214-I214,IF(G214=8,F214,0)))),0)</f>
        <v>39</v>
      </c>
      <c r="K214" s="766">
        <f>ROUND(IF(G214=1,F214/23,IF(G214=3,F214/12,IF(G214=6,F214,IF(G214=7,F214-I214,0)))),0)</f>
        <v>39</v>
      </c>
      <c r="L214" s="767">
        <f>IF(G214=6,F214,0)</f>
        <v>0</v>
      </c>
      <c r="M214" s="572">
        <f>IF(F214="",0,MONTH(A214))</f>
        <v>8</v>
      </c>
      <c r="P214" s="768" t="inlineStr">
        <is>
          <t>確認済</t>
        </is>
      </c>
      <c r="Q214" s="769" t="str">
        <f>IF($F214="","",IFERROR(VLOOKUP($C214&amp;"|"&amp;$D214,科目表!$A$5:$B$200,2,FALSE),"※未登録"))</f>
        <v>互助会費</v>
      </c>
      <c r="R214" s="769">
        <f>IF($F214="","",$I214+$J214+$K214)</f>
        <v>466</v>
      </c>
      <c r="S214" s="769" t="str">
        <f>IF(OR($F214="",$P214="支払なし",$H214=0,$Q214=""),"",$Q214&amp;"|S|"&amp;(COUNTIF(S$4:S213,$Q214&amp;"|S|*")+1))</f>
        <v/>
      </c>
      <c r="T214" s="769" t="str">
        <f>IF(OR($F214="",$P214="支払なし",$R214=0,$Q214=""),"",$Q214&amp;"|L|"&amp;(COUNTIF(T$4:T213,$Q214&amp;"|L|*")+1))</f>
        <v>互助会費|L|5</v>
      </c>
      <c r="U214" s="769">
        <f>IF(OR($F214="",$A214=""),"",MOD(MONTH($A214)-4,12)+1)</f>
        <v>5</v>
      </c>
    </row>
    <row r="215" ht="16.5" customFormat="1" customHeight="1" s="43">
      <c r="A215" s="760" t="n">
        <v>46255</v>
      </c>
      <c r="B215" s="761" t="n"/>
      <c r="C215" s="762" t="inlineStr">
        <is>
          <t>負担金</t>
        </is>
      </c>
      <c r="D215" s="762" t="inlineStr">
        <is>
          <t>互助会費</t>
        </is>
      </c>
      <c r="E215" s="762" t="inlineStr">
        <is>
          <t>助成金（８月短期分）</t>
        </is>
      </c>
      <c r="F215" s="774" t="n">
        <v>240</v>
      </c>
      <c r="G215" s="764" t="n">
        <v>2</v>
      </c>
      <c r="H215" s="765">
        <f>IF(G215=1,F215-I215-J215-K215,IF(G215=2,F215,0))</f>
        <v>240</v>
      </c>
      <c r="I215" s="765">
        <f>ROUND(IF(G215=1,F215*10/23,IF(G215=3,F215-J215-K215,IF(G215=4,F215,IF(G215=5,F215*10/11,IF(G215=7,F215*10/11,0))))),0)</f>
        <v>0</v>
      </c>
      <c r="J215" s="765">
        <f>ROUND(IF(G215=1,F215/23,IF(G215=3,F215/12,IF(G215=5,F215-I215,IF(G215=8,F215,0)))),0)</f>
        <v>0</v>
      </c>
      <c r="K215" s="766">
        <f>ROUND(IF(G215=1,F215/23,IF(G215=3,F215/12,IF(G215=6,F215,IF(G215=7,F215-I215,0)))),0)</f>
        <v>0</v>
      </c>
      <c r="L215" s="767">
        <f>IF(G215=6,F215,0)</f>
        <v>0</v>
      </c>
      <c r="M215" s="572">
        <f>IF(F215="",0,MONTH(A215))</f>
        <v>8</v>
      </c>
      <c r="P215" s="768" t="inlineStr">
        <is>
          <t>確認済</t>
        </is>
      </c>
      <c r="Q215" s="769" t="str">
        <f>IF($F215="","",IFERROR(VLOOKUP($C215&amp;"|"&amp;$D215,科目表!$A$5:$B$200,2,FALSE),"※未登録"))</f>
        <v>互助会費</v>
      </c>
      <c r="R215" s="769">
        <f>IF($F215="","",$I215+$J215+$K215)</f>
        <v>0</v>
      </c>
      <c r="S215" s="769" t="str">
        <f>IF(OR($F215="",$P215="支払なし",$H215=0,$Q215=""),"",$Q215&amp;"|S|"&amp;(COUNTIF(S$4:S214,$Q215&amp;"|S|*")+1))</f>
        <v>互助会費|S|5</v>
      </c>
      <c r="T215" s="769" t="str">
        <f>IF(OR($F215="",$P215="支払なし",$R215=0,$Q215=""),"",$Q215&amp;"|L|"&amp;(COUNTIF(T$4:T214,$Q215&amp;"|L|*")+1))</f>
        <v/>
      </c>
      <c r="U215" s="769">
        <f>IF(OR($F215="",$A215=""),"",MOD(MONTH($A215)-4,12)+1)</f>
        <v>5</v>
      </c>
    </row>
    <row r="216" ht="16.5" customFormat="1" customHeight="1" s="422">
      <c r="A216" s="760" t="n">
        <v>44407</v>
      </c>
      <c r="B216" s="761" t="n"/>
      <c r="C216" s="762" t="inlineStr">
        <is>
          <t>委託費</t>
        </is>
      </c>
      <c r="D216" s="762" t="n"/>
      <c r="E216" s="777" t="inlineStr">
        <is>
          <t>社会保障等制度　中間サーバー等運営負担金</t>
        </is>
      </c>
      <c r="F216" s="764" t="n">
        <v>396912</v>
      </c>
      <c r="G216" s="764" t="n">
        <v>2</v>
      </c>
      <c r="H216" s="765">
        <f>IF(G216=1,F216-I216-J216-K216,IF(G216=2,F216,0))</f>
        <v>396912</v>
      </c>
      <c r="I216" s="765">
        <f>ROUND(IF(G216=1,F216*10/23,IF(G216=3,F216-J216-K216,IF(G216=4,F216,IF(G216=5,F216*10/11,IF(G216=7,F216*10/11,0))))),0)</f>
        <v>0</v>
      </c>
      <c r="J216" s="765">
        <f>ROUND(IF(G216=1,F216/23,IF(G216=3,F216/12,IF(G216=5,F216-I216,IF(G216=8,F216,0)))),0)</f>
        <v>0</v>
      </c>
      <c r="K216" s="766">
        <f>ROUND(IF(G216=1,F216/23,IF(G216=3,F216/12,IF(G216=6,F216,IF(G216=7,F216-I216,0)))),0)</f>
        <v>0</v>
      </c>
      <c r="L216" s="767">
        <f>IF(G216=6,F216,0)</f>
        <v>0</v>
      </c>
      <c r="M216" s="421">
        <f>IF(F216="",0,MONTH(A216))</f>
        <v>7</v>
      </c>
      <c r="P216" s="768" t="inlineStr">
        <is>
          <t>昨年実績</t>
        </is>
      </c>
      <c r="Q216" s="769" t="str">
        <f>IF($F216="","",IFERROR(VLOOKUP($C216&amp;"|"&amp;$D216,科目表!$A$5:$B$200,2,FALSE),"※未登録"))</f>
        <v>委託費</v>
      </c>
      <c r="R216" s="769">
        <f>IF($F216="","",$I216+$J216+$K216)</f>
        <v>0</v>
      </c>
      <c r="S216" s="769" t="str">
        <f>IF(OR($F216="",$P216="支払なし",$H216=0,$Q216=""),"",$Q216&amp;"|S|"&amp;(COUNTIF(S$4:S215,$Q216&amp;"|S|*")+1))</f>
        <v>委託費|S|21</v>
      </c>
      <c r="T216" s="769" t="str">
        <f>IF(OR($F216="",$P216="支払なし",$R216=0,$Q216=""),"",$Q216&amp;"|L|"&amp;(COUNTIF(T$4:T215,$Q216&amp;"|L|*")+1))</f>
        <v/>
      </c>
      <c r="U216" s="769">
        <f>IF(OR($F216="",$A216=""),"",MOD(MONTH($A216)-4,12)+1)</f>
        <v>4</v>
      </c>
    </row>
    <row r="217" ht="16.5" customFormat="1" customHeight="1" s="422">
      <c r="A217" s="760" t="n">
        <v>44799</v>
      </c>
      <c r="B217" s="761" t="n"/>
      <c r="C217" s="762" t="inlineStr">
        <is>
          <t>事務費</t>
        </is>
      </c>
      <c r="D217" s="762" t="inlineStr">
        <is>
          <t>雑費</t>
        </is>
      </c>
      <c r="E217" s="793" t="inlineStr">
        <is>
          <t>広島銀行口座残高証明（６月末時点）</t>
        </is>
      </c>
      <c r="F217" s="764" t="n">
        <v>770</v>
      </c>
      <c r="G217" s="764" t="n">
        <v>2</v>
      </c>
      <c r="H217" s="765">
        <f>IF(G217=1,F217-I217-J217-K217,IF(G217=2,F217,0))</f>
        <v>770</v>
      </c>
      <c r="I217" s="765">
        <f>ROUND(IF(G217=1,F217*10/23,IF(G217=3,F217-J217-K217,IF(G217=4,F217,IF(G217=5,F217*10/11,IF(G217=7,F217*10/11,0))))),0)</f>
        <v>0</v>
      </c>
      <c r="J217" s="765">
        <f>ROUND(IF(G217=1,F217/23,IF(G217=3,F217/12,IF(G217=5,F217-I217,IF(G217=8,F217,0)))),0)</f>
        <v>0</v>
      </c>
      <c r="K217" s="766">
        <f>ROUND(IF(G217=1,F217/23,IF(G217=3,F217/12,IF(G217=6,F217,IF(G217=7,F217-I217,0)))),0)</f>
        <v>0</v>
      </c>
      <c r="L217" s="767">
        <f>IF(G217=6,F217,0)</f>
        <v>0</v>
      </c>
      <c r="M217" s="421">
        <f>IF(F217="",0,MONTH(A217))</f>
        <v>8</v>
      </c>
      <c r="P217" s="768" t="inlineStr">
        <is>
          <t>昨年実績</t>
        </is>
      </c>
      <c r="Q217" s="769" t="str">
        <f>IF($F217="","",IFERROR(VLOOKUP($C217&amp;"|"&amp;$D217,科目表!$A$5:$B$200,2,FALSE),"※未登録"))</f>
        <v>事務費・雑費</v>
      </c>
      <c r="R217" s="769">
        <f>IF($F217="","",$I217+$J217+$K217)</f>
        <v>0</v>
      </c>
      <c r="S217" s="769" t="str">
        <f>IF(OR($F217="",$P217="支払なし",$H217=0,$Q217=""),"",$Q217&amp;"|S|"&amp;(COUNTIF(S$4:S216,$Q217&amp;"|S|*")+1))</f>
        <v>事務費・雑費|S|8</v>
      </c>
      <c r="T217" s="769" t="str">
        <f>IF(OR($F217="",$P217="支払なし",$R217=0,$Q217=""),"",$Q217&amp;"|L|"&amp;(COUNTIF(T$4:T216,$Q217&amp;"|L|*")+1))</f>
        <v/>
      </c>
      <c r="U217" s="769">
        <f>IF(OR($F217="",$A217=""),"",MOD(MONTH($A217)-4,12)+1)</f>
        <v>5</v>
      </c>
    </row>
    <row r="218" ht="16.5" customFormat="1" customHeight="1" s="43">
      <c r="A218" s="760" t="n">
        <v>46244</v>
      </c>
      <c r="B218" s="761" t="n"/>
      <c r="C218" s="762" t="inlineStr">
        <is>
          <t>旅費</t>
        </is>
      </c>
      <c r="D218" s="762" t="n"/>
      <c r="E218" s="775" t="inlineStr">
        <is>
          <t>9/10（大都市）互選役員協議会　大阪市　山田理事他2名</t>
        </is>
      </c>
      <c r="F218" s="764" t="n">
        <v>60780</v>
      </c>
      <c r="G218" s="764" t="n">
        <v>1</v>
      </c>
      <c r="H218" s="765">
        <f>IF(G218=1,F218-I218-J218-K218,IF(G218=2,F218,0))</f>
        <v>29068</v>
      </c>
      <c r="I218" s="765">
        <f>ROUND(IF(G218=1,F218*10/23,IF(G218=3,F218-J218-K218,IF(G218=4,F218,IF(G218=5,F218*10/11,IF(G218=7,F218*10/11,0))))),0)</f>
        <v>26426</v>
      </c>
      <c r="J218" s="765">
        <f>ROUND(IF(G218=1,F218/23,IF(G218=3,F218/12,IF(G218=5,F218-I218,IF(G218=8,F218,0)))),0)</f>
        <v>2643</v>
      </c>
      <c r="K218" s="766">
        <f>ROUND(IF(G218=1,F218/23,IF(G218=3,F218/12,IF(G218=6,F218,IF(G218=7,F218-I218,0)))),0)</f>
        <v>2643</v>
      </c>
      <c r="L218" s="767">
        <f>IF(G218=6,F218,0)</f>
        <v>0</v>
      </c>
      <c r="M218" s="572">
        <f>IF(F218="",0,MONTH(A218))</f>
        <v>8</v>
      </c>
      <c r="P218" s="768" t="inlineStr">
        <is>
          <t>確認済</t>
        </is>
      </c>
      <c r="Q218" s="769" t="str">
        <f>IF($F218="","",IFERROR(VLOOKUP($C218&amp;"|"&amp;$D218,科目表!$A$5:$B$200,2,FALSE),"※未登録"))</f>
        <v>旅費</v>
      </c>
      <c r="R218" s="769">
        <f>IF($F218="","",$I218+$J218+$K218)</f>
        <v>31712</v>
      </c>
      <c r="S218" s="769" t="str">
        <f>IF(OR($F218="",$P218="支払なし",$H218=0,$Q218=""),"",$Q218&amp;"|S|"&amp;(COUNTIF(S$4:S217,$Q218&amp;"|S|*")+1))</f>
        <v>旅費|S|8</v>
      </c>
      <c r="T218" s="769" t="str">
        <f>IF(OR($F218="",$P218="支払なし",$R218=0,$Q218=""),"",$Q218&amp;"|L|"&amp;(COUNTIF(T$4:T217,$Q218&amp;"|L|*")+1))</f>
        <v>旅費|L|7</v>
      </c>
      <c r="U218" s="769">
        <f>IF(OR($F218="",$A218=""),"",MOD(MONTH($A218)-4,12)+1)</f>
        <v>5</v>
      </c>
    </row>
    <row r="219" ht="20.25" customFormat="1" customHeight="1" s="43">
      <c r="A219" s="760" t="n">
        <v>46262</v>
      </c>
      <c r="B219" s="761" t="n"/>
      <c r="C219" s="762" t="inlineStr">
        <is>
          <t>賃借料</t>
        </is>
      </c>
      <c r="D219" s="762" t="n"/>
      <c r="E219" s="762" t="inlineStr">
        <is>
          <t>パソコン（業務経理用）７月分</t>
        </is>
      </c>
      <c r="F219" s="772" t="n">
        <v>5060</v>
      </c>
      <c r="G219" s="772" t="n">
        <v>2</v>
      </c>
      <c r="H219" s="765">
        <f>IF(G219=1,F219-I219-J219-K219,IF(G219=2,F219,0))</f>
        <v>5060</v>
      </c>
      <c r="I219" s="765">
        <f>ROUND(IF(G219=1,F219*10/23,IF(G219=3,F219-J219-K219,IF(G219=4,F219,IF(G219=5,F219*10/11,IF(G219=7,F219*10/11,0))))),0)</f>
        <v>0</v>
      </c>
      <c r="J219" s="765">
        <f>ROUND(IF(G219=1,F219/23,IF(G219=3,F219/12,IF(G219=5,F219-I219,IF(G219=8,F219,0)))),0)</f>
        <v>0</v>
      </c>
      <c r="K219" s="766">
        <f>ROUND(IF(G219=1,F219/23,IF(G219=3,F219/12,IF(G219=6,F219,IF(G219=7,F219-I219,0)))),0)</f>
        <v>0</v>
      </c>
      <c r="L219" s="767">
        <f>IF(G219=6,F219,0)</f>
        <v>0</v>
      </c>
      <c r="M219" s="572">
        <f>IF(F219="",0,MONTH(A219))</f>
        <v>8</v>
      </c>
      <c r="P219" s="768" t="inlineStr">
        <is>
          <t>確認済</t>
        </is>
      </c>
      <c r="Q219" s="769" t="str">
        <f>IF($F219="","",IFERROR(VLOOKUP($C219&amp;"|"&amp;$D219,科目表!$A$5:$B$200,2,FALSE),"※未登録"))</f>
        <v>賃借料</v>
      </c>
      <c r="R219" s="769">
        <f>IF($F219="","",$I219+$J219+$K219)</f>
        <v>0</v>
      </c>
      <c r="S219" s="769" t="str">
        <f>IF(OR($F219="",$P219="支払なし",$H219=0,$Q219=""),"",$Q219&amp;"|S|"&amp;(COUNTIF(S$4:S218,$Q219&amp;"|S|*")+1))</f>
        <v>賃借料|S|18</v>
      </c>
      <c r="T219" s="769" t="str">
        <f>IF(OR($F219="",$P219="支払なし",$R219=0,$Q219=""),"",$Q219&amp;"|L|"&amp;(COUNTIF(T$4:T218,$Q219&amp;"|L|*")+1))</f>
        <v/>
      </c>
      <c r="U219" s="769">
        <f>IF(OR($F219="",$A219=""),"",MOD(MONTH($A219)-4,12)+1)</f>
        <v>5</v>
      </c>
    </row>
    <row r="220" ht="20.25" customFormat="1" customHeight="1" s="422">
      <c r="A220" s="760" t="n">
        <v>44435</v>
      </c>
      <c r="B220" s="761" t="n"/>
      <c r="C220" s="762" t="inlineStr">
        <is>
          <t>賃借料</t>
        </is>
      </c>
      <c r="D220" s="762" t="n"/>
      <c r="E220" s="781" t="inlineStr">
        <is>
          <t>ﾊﾟｿｺﾝｳｨﾙｽ対策ｿﾌﾄ(業務用)ｻﾝﾈｯﾄ（７月分）</t>
        </is>
      </c>
      <c r="F220" s="772" t="n">
        <v>2090</v>
      </c>
      <c r="G220" s="772" t="n">
        <v>2</v>
      </c>
      <c r="H220" s="765">
        <f>IF(G220=1,F220-I220-J220-K220,IF(G220=2,F220,0))</f>
        <v>2090</v>
      </c>
      <c r="I220" s="765">
        <f>ROUND(IF(G220=1,F220*10/23,IF(G220=3,F220-J220-K220,IF(G220=4,F220,IF(G220=5,F220*10/11,IF(G220=7,F220*10/11,0))))),0)</f>
        <v>0</v>
      </c>
      <c r="J220" s="765">
        <f>ROUND(IF(G220=1,F220/23,IF(G220=3,F220/12,IF(G220=5,F220-I220,IF(G220=8,F220,0)))),0)</f>
        <v>0</v>
      </c>
      <c r="K220" s="766">
        <f>ROUND(IF(G220=1,F220/23,IF(G220=3,F220/12,IF(G220=6,F220,IF(G220=7,F220-I220,0)))),0)</f>
        <v>0</v>
      </c>
      <c r="L220" s="767">
        <f>IF(G220=6,F220,0)</f>
        <v>0</v>
      </c>
      <c r="M220" s="421">
        <f>IF(F220="",0,MONTH(A220))</f>
        <v>8</v>
      </c>
      <c r="P220" s="768" t="inlineStr">
        <is>
          <t>昨年実績</t>
        </is>
      </c>
      <c r="Q220" s="769" t="str">
        <f>IF($F220="","",IFERROR(VLOOKUP($C220&amp;"|"&amp;$D220,科目表!$A$5:$B$200,2,FALSE),"※未登録"))</f>
        <v>賃借料</v>
      </c>
      <c r="R220" s="769">
        <f>IF($F220="","",$I220+$J220+$K220)</f>
        <v>0</v>
      </c>
      <c r="S220" s="769" t="str">
        <f>IF(OR($F220="",$P220="支払なし",$H220=0,$Q220=""),"",$Q220&amp;"|S|"&amp;(COUNTIF(S$4:S219,$Q220&amp;"|S|*")+1))</f>
        <v>賃借料|S|19</v>
      </c>
      <c r="T220" s="769" t="str">
        <f>IF(OR($F220="",$P220="支払なし",$R220=0,$Q220=""),"",$Q220&amp;"|L|"&amp;(COUNTIF(T$4:T219,$Q220&amp;"|L|*")+1))</f>
        <v/>
      </c>
      <c r="U220" s="769">
        <f>IF(OR($F220="",$A220=""),"",MOD(MONTH($A220)-4,12)+1)</f>
        <v>5</v>
      </c>
    </row>
    <row r="221" ht="20.25" customFormat="1" customHeight="1" s="43">
      <c r="A221" s="760" t="n">
        <v>46261</v>
      </c>
      <c r="B221" s="761" t="n"/>
      <c r="C221" s="762" t="inlineStr">
        <is>
          <t>負担金</t>
        </is>
      </c>
      <c r="D221" s="762" t="inlineStr">
        <is>
          <t>負担金</t>
        </is>
      </c>
      <c r="E221" s="762" t="inlineStr">
        <is>
          <t>共済短期・介護負担金（８月月例分）長期</t>
        </is>
      </c>
      <c r="F221" s="771" t="n">
        <v>22035</v>
      </c>
      <c r="G221" s="772" t="n">
        <v>3</v>
      </c>
      <c r="H221" s="765">
        <f>IF(G221=1,F221-I221-J221-K221,IF(G221=2,F221,0))</f>
        <v>0</v>
      </c>
      <c r="I221" s="765">
        <f>ROUND(IF(G221=1,F221*10/23,IF(G221=3,F221-J221-K221,IF(G221=4,F221,IF(G221=5,F221*10/11,IF(G221=7,F221*10/11,0))))),0)</f>
        <v>18363</v>
      </c>
      <c r="J221" s="765">
        <f>ROUND(IF(G221=1,F221/23,IF(G221=3,F221/12,IF(G221=5,F221-I221,IF(G221=8,F221,0)))),0)</f>
        <v>1836</v>
      </c>
      <c r="K221" s="766">
        <f>ROUND(IF(G221=1,F221/23,IF(G221=3,F221/12,IF(G221=6,F221,IF(G221=7,F221-I221,0)))),0)</f>
        <v>1836</v>
      </c>
      <c r="L221" s="767">
        <f>IF(G221=6,F221,0)</f>
        <v>0</v>
      </c>
      <c r="M221" s="572">
        <f>IF(F221="",0,MONTH(A221))</f>
        <v>8</v>
      </c>
      <c r="P221" s="768" t="inlineStr">
        <is>
          <t>確認済</t>
        </is>
      </c>
      <c r="Q221" s="769" t="str">
        <f>IF($F221="","",IFERROR(VLOOKUP($C221&amp;"|"&amp;$D221,科目表!$A$5:$B$200,2,FALSE),"※未登録"))</f>
        <v>共済負担金等</v>
      </c>
      <c r="R221" s="769">
        <f>IF($F221="","",$I221+$J221+$K221)</f>
        <v>22035</v>
      </c>
      <c r="S221" s="769" t="str">
        <f>IF(OR($F221="",$P221="支払なし",$H221=0,$Q221=""),"",$Q221&amp;"|S|"&amp;(COUNTIF(S$4:S220,$Q221&amp;"|S|*")+1))</f>
        <v/>
      </c>
      <c r="T221" s="769" t="str">
        <f>IF(OR($F221="",$P221="支払なし",$R221=0,$Q221=""),"",$Q221&amp;"|L|"&amp;(COUNTIF(T$4:T220,$Q221&amp;"|L|*")+1))</f>
        <v>共済負担金等|L|8</v>
      </c>
      <c r="U221" s="769">
        <f>IF(OR($F221="",$A221=""),"",MOD(MONTH($A221)-4,12)+1)</f>
        <v>5</v>
      </c>
    </row>
    <row r="222" ht="20.25" customFormat="1" customHeight="1" s="43">
      <c r="A222" s="760" t="n">
        <v>46261</v>
      </c>
      <c r="B222" s="761" t="n"/>
      <c r="C222" s="762" t="inlineStr">
        <is>
          <t>負担金</t>
        </is>
      </c>
      <c r="D222" s="762" t="inlineStr">
        <is>
          <t>負担金</t>
        </is>
      </c>
      <c r="E222" s="762" t="inlineStr">
        <is>
          <t>共済短期・介護負担金（８月月例分）短期</t>
        </is>
      </c>
      <c r="F222" s="771" t="n">
        <v>37074</v>
      </c>
      <c r="G222" s="772" t="n">
        <v>2</v>
      </c>
      <c r="H222" s="765">
        <f>IF(G222=1,F222-I222-J222-K222,IF(G222=2,F222,0))</f>
        <v>37074</v>
      </c>
      <c r="I222" s="765">
        <f>ROUND(IF(G222=1,F222*10/23,IF(G222=3,F222-J222-K222,IF(G222=4,F222,IF(G222=5,F222*10/11,IF(G222=7,F222*10/11,0))))),0)</f>
        <v>0</v>
      </c>
      <c r="J222" s="765">
        <f>ROUND(IF(G222=1,F222/23,IF(G222=3,F222/12,IF(G222=5,F222-I222,IF(G222=8,F222,0)))),0)</f>
        <v>0</v>
      </c>
      <c r="K222" s="766">
        <f>ROUND(IF(G222=1,F222/23,IF(G222=3,F222/12,IF(G222=6,F222,IF(G222=7,F222-I222,0)))),0)</f>
        <v>0</v>
      </c>
      <c r="L222" s="767">
        <f>IF(G222=6,F222,0)</f>
        <v>0</v>
      </c>
      <c r="M222" s="572">
        <f>IF(F222="",0,MONTH(A222))</f>
        <v>8</v>
      </c>
      <c r="P222" s="768" t="inlineStr">
        <is>
          <t>確認済</t>
        </is>
      </c>
      <c r="Q222" s="769" t="str">
        <f>IF($F222="","",IFERROR(VLOOKUP($C222&amp;"|"&amp;$D222,科目表!$A$5:$B$200,2,FALSE),"※未登録"))</f>
        <v>共済負担金等</v>
      </c>
      <c r="R222" s="769">
        <f>IF($F222="","",$I222+$J222+$K222)</f>
        <v>0</v>
      </c>
      <c r="S222" s="769" t="str">
        <f>IF(OR($F222="",$P222="支払なし",$H222=0,$Q222=""),"",$Q222&amp;"|S|"&amp;(COUNTIF(S$4:S221,$Q222&amp;"|S|*")+1))</f>
        <v>共済負担金等|S|7</v>
      </c>
      <c r="T222" s="769" t="str">
        <f>IF(OR($F222="",$P222="支払なし",$R222=0,$Q222=""),"",$Q222&amp;"|L|"&amp;(COUNTIF(T$4:T221,$Q222&amp;"|L|*")+1))</f>
        <v/>
      </c>
      <c r="U222" s="769">
        <f>IF(OR($F222="",$A222=""),"",MOD(MONTH($A222)-4,12)+1)</f>
        <v>5</v>
      </c>
    </row>
    <row r="223" ht="16.5" customFormat="1" customHeight="1" s="418">
      <c r="A223" s="760" t="n">
        <v>46262</v>
      </c>
      <c r="B223" s="761" t="n"/>
      <c r="C223" s="762" t="inlineStr">
        <is>
          <t>賃借料</t>
        </is>
      </c>
      <c r="D223" s="762" t="n"/>
      <c r="E223" s="770" t="inlineStr">
        <is>
          <t>基幹システム用機器賃借料　7月分（短期）</t>
        </is>
      </c>
      <c r="F223" s="764" t="n">
        <v>672934</v>
      </c>
      <c r="G223" s="772" t="n">
        <v>2</v>
      </c>
      <c r="H223" s="765">
        <f>IF(G223=1,F223-I223-J223-K223,IF(G223=2,F223,0))</f>
        <v>672934</v>
      </c>
      <c r="I223" s="765">
        <f>ROUND(IF(G223=1,F223*10/23,IF(G223=3,F223-J223-K223,IF(G223=4,F223,IF(G223=5,F223*10/11,IF(G223=7,F223*10/11,0))))),0)</f>
        <v>0</v>
      </c>
      <c r="J223" s="765">
        <f>ROUND(IF(G223=1,F223/23,IF(G223=3,F223/12,IF(G223=5,F223-I223,IF(G223=8,F223,0)))),0)</f>
        <v>0</v>
      </c>
      <c r="K223" s="766">
        <f>ROUND(IF(G223=1,F223/23,IF(G223=3,F223/12,IF(G223=6,F223,IF(G223=7,F223-I223,0)))),0)</f>
        <v>0</v>
      </c>
      <c r="L223" s="767">
        <f>IF(G223=6,F223,0)</f>
        <v>0</v>
      </c>
      <c r="M223" s="570">
        <f>IF(F223="",0,MONTH(A223))</f>
        <v>8</v>
      </c>
      <c r="P223" s="768" t="inlineStr">
        <is>
          <t>確認済</t>
        </is>
      </c>
      <c r="Q223" s="769" t="str">
        <f>IF($F223="","",IFERROR(VLOOKUP($C223&amp;"|"&amp;$D223,科目表!$A$5:$B$200,2,FALSE),"※未登録"))</f>
        <v>賃借料</v>
      </c>
      <c r="R223" s="769">
        <f>IF($F223="","",$I223+$J223+$K223)</f>
        <v>0</v>
      </c>
      <c r="S223" s="769" t="str">
        <f>IF(OR($F223="",$P223="支払なし",$H223=0,$Q223=""),"",$Q223&amp;"|S|"&amp;(COUNTIF(S$4:S222,$Q223&amp;"|S|*")+1))</f>
        <v>賃借料|S|20</v>
      </c>
      <c r="T223" s="769" t="str">
        <f>IF(OR($F223="",$P223="支払なし",$R223=0,$Q223=""),"",$Q223&amp;"|L|"&amp;(COUNTIF(T$4:T222,$Q223&amp;"|L|*")+1))</f>
        <v/>
      </c>
      <c r="U223" s="769">
        <f>IF(OR($F223="",$A223=""),"",MOD(MONTH($A223)-4,12)+1)</f>
        <v>5</v>
      </c>
    </row>
    <row r="224" ht="16.5" customFormat="1" customHeight="1" s="418">
      <c r="A224" s="760" t="n">
        <v>46262</v>
      </c>
      <c r="B224" s="761" t="n"/>
      <c r="C224" s="762" t="inlineStr">
        <is>
          <t>賃借料</t>
        </is>
      </c>
      <c r="D224" s="762" t="n"/>
      <c r="E224" s="770" t="inlineStr">
        <is>
          <t>基幹システム用機器賃借料　7月分（長期）</t>
        </is>
      </c>
      <c r="F224" s="772" t="n">
        <v>69613</v>
      </c>
      <c r="G224" s="772" t="n">
        <v>3</v>
      </c>
      <c r="H224" s="765">
        <f>IF(G224=1,F224-I224-J224-K224,IF(G224=2,F224,0))</f>
        <v>0</v>
      </c>
      <c r="I224" s="765">
        <f>ROUND(IF(G224=1,F224*10/23,IF(G224=3,F224-J224-K224,IF(G224=4,F224,IF(G224=5,F224*10/11,IF(G224=7,F224*10/11,0))))),0)</f>
        <v>58011</v>
      </c>
      <c r="J224" s="765">
        <f>ROUND(IF(G224=1,F224/23,IF(G224=3,F224/12,IF(G224=5,F224-I224,IF(G224=8,F224,0)))),0)</f>
        <v>5801</v>
      </c>
      <c r="K224" s="766">
        <f>ROUND(IF(G224=1,F224/23,IF(G224=3,F224/12,IF(G224=6,F224,IF(G224=7,F224-I224,0)))),0)</f>
        <v>5801</v>
      </c>
      <c r="L224" s="767">
        <f>IF(G224=6,F224,0)</f>
        <v>0</v>
      </c>
      <c r="M224" s="570">
        <f>IF(F224="",0,MONTH(A224))</f>
        <v>8</v>
      </c>
      <c r="P224" s="768" t="inlineStr">
        <is>
          <t>確認済</t>
        </is>
      </c>
      <c r="Q224" s="769" t="str">
        <f>IF($F224="","",IFERROR(VLOOKUP($C224&amp;"|"&amp;$D224,科目表!$A$5:$B$200,2,FALSE),"※未登録"))</f>
        <v>賃借料</v>
      </c>
      <c r="R224" s="769">
        <f>IF($F224="","",$I224+$J224+$K224)</f>
        <v>69613</v>
      </c>
      <c r="S224" s="769" t="str">
        <f>IF(OR($F224="",$P224="支払なし",$H224=0,$Q224=""),"",$Q224&amp;"|S|"&amp;(COUNTIF(S$4:S223,$Q224&amp;"|S|*")+1))</f>
        <v/>
      </c>
      <c r="T224" s="769" t="str">
        <f>IF(OR($F224="",$P224="支払なし",$R224=0,$Q224=""),"",$Q224&amp;"|L|"&amp;(COUNTIF(T$4:T223,$Q224&amp;"|L|*")+1))</f>
        <v>賃借料|L|5</v>
      </c>
      <c r="U224" s="769">
        <f>IF(OR($F224="",$A224=""),"",MOD(MONTH($A224)-4,12)+1)</f>
        <v>5</v>
      </c>
    </row>
    <row r="225" ht="16.5" customFormat="1" customHeight="1" s="422">
      <c r="A225" s="760" t="n">
        <v>45169</v>
      </c>
      <c r="B225" s="761" t="n"/>
      <c r="C225" s="762" t="inlineStr">
        <is>
          <t>事務費</t>
        </is>
      </c>
      <c r="D225" s="762" t="inlineStr">
        <is>
          <t>通信運搬費</t>
        </is>
      </c>
      <c r="E225" s="775" t="inlineStr">
        <is>
          <t>柔整申請書送付（７月分）</t>
        </is>
      </c>
      <c r="F225" s="764" t="n">
        <v>1489</v>
      </c>
      <c r="G225" s="764" t="n">
        <v>2</v>
      </c>
      <c r="H225" s="765">
        <f>IF(G225=1,F225-I225-J225-K225,IF(G225=2,F225,0))</f>
        <v>1489</v>
      </c>
      <c r="I225" s="765">
        <f>ROUND(IF(G225=1,F225*10/23,IF(G225=3,F225-J225-K225,IF(G225=4,F225,IF(G225=5,F225*10/11,IF(G225=7,F225*10/11,0))))),0)</f>
        <v>0</v>
      </c>
      <c r="J225" s="765">
        <f>ROUND(IF(G225=1,F225/23,IF(G225=3,F225/12,IF(G225=5,F225-I225,IF(G225=8,F225,0)))),0)</f>
        <v>0</v>
      </c>
      <c r="K225" s="766">
        <f>ROUND(IF(G225=1,F225/23,IF(G225=3,F225/12,IF(G225=6,F225,IF(G225=7,F225-I225,0)))),0)</f>
        <v>0</v>
      </c>
      <c r="L225" s="767">
        <f>IF(G225=6,F225,0)</f>
        <v>0</v>
      </c>
      <c r="M225" s="421">
        <f>IF(F225="",0,MONTH(A225))</f>
        <v>8</v>
      </c>
      <c r="P225" s="768" t="inlineStr">
        <is>
          <t>昨年実績</t>
        </is>
      </c>
      <c r="Q225" s="769" t="str">
        <f>IF($F225="","",IFERROR(VLOOKUP($C225&amp;"|"&amp;$D225,科目表!$A$5:$B$200,2,FALSE),"※未登録"))</f>
        <v>通信運搬費</v>
      </c>
      <c r="R225" s="769">
        <f>IF($F225="","",$I225+$J225+$K225)</f>
        <v>0</v>
      </c>
      <c r="S225" s="769" t="str">
        <f>IF(OR($F225="",$P225="支払なし",$H225=0,$Q225=""),"",$Q225&amp;"|S|"&amp;(COUNTIF(S$4:S224,$Q225&amp;"|S|*")+1))</f>
        <v>通信運搬費|S|23</v>
      </c>
      <c r="T225" s="769" t="str">
        <f>IF(OR($F225="",$P225="支払なし",$R225=0,$Q225=""),"",$Q225&amp;"|L|"&amp;(COUNTIF(T$4:T224,$Q225&amp;"|L|*")+1))</f>
        <v/>
      </c>
      <c r="U225" s="769">
        <f>IF(OR($F225="",$A225=""),"",MOD(MONTH($A225)-4,12)+1)</f>
        <v>5</v>
      </c>
    </row>
    <row r="226" ht="16.5" customFormat="1" customHeight="1" s="43">
      <c r="A226" s="760" t="n">
        <v>45838</v>
      </c>
      <c r="B226" s="761" t="n"/>
      <c r="C226" s="762" t="inlineStr">
        <is>
          <t>事務費</t>
        </is>
      </c>
      <c r="D226" s="762" t="inlineStr">
        <is>
          <t>図書印刷費</t>
        </is>
      </c>
      <c r="E226" s="763" t="inlineStr">
        <is>
          <t>健康保険質疑応答集追録１０３－１０５</t>
        </is>
      </c>
      <c r="F226" s="764" t="n">
        <v>21780</v>
      </c>
      <c r="G226" s="764" t="n">
        <v>2</v>
      </c>
      <c r="H226" s="765">
        <f>IF(G226=1,F226-I226-J226-K226,IF(G226=2,F226,0))</f>
        <v>21780</v>
      </c>
      <c r="I226" s="765">
        <f>ROUND(IF(G226=1,F226*10/23,IF(G226=3,F226-J226-K226,IF(G226=4,F226,IF(G226=5,F226*10/11,IF(G226=7,F226*10/11,0))))),0)</f>
        <v>0</v>
      </c>
      <c r="J226" s="765">
        <f>ROUND(IF(G226=1,F226/23,IF(G226=3,F226/12,IF(G226=5,F226-I226,IF(G226=8,F226,0)))),0)</f>
        <v>0</v>
      </c>
      <c r="K226" s="766">
        <f>ROUND(IF(G226=1,F226/23,IF(G226=3,F226/12,IF(G226=6,F226,IF(G226=7,F226-I226,0)))),0)</f>
        <v>0</v>
      </c>
      <c r="L226" s="767">
        <f>IF(G226=6,F226,0)</f>
        <v>0</v>
      </c>
      <c r="M226" s="572">
        <f>IF(F226="",0,MONTH(A226))</f>
        <v>6</v>
      </c>
      <c r="P226" s="768" t="inlineStr">
        <is>
          <t>昨年実績</t>
        </is>
      </c>
      <c r="Q226" s="769" t="str">
        <f>IF($F226="","",IFERROR(VLOOKUP($C226&amp;"|"&amp;$D226,科目表!$A$5:$B$200,2,FALSE),"※未登録"))</f>
        <v>図書印刷費</v>
      </c>
      <c r="R226" s="769">
        <f>IF($F226="","",$I226+$J226+$K226)</f>
        <v>0</v>
      </c>
      <c r="S226" s="769" t="str">
        <f>IF(OR($F226="",$P226="支払なし",$H226=0,$Q226=""),"",$Q226&amp;"|S|"&amp;(COUNTIF(S$4:S225,$Q226&amp;"|S|*")+1))</f>
        <v>図書印刷費|S|9</v>
      </c>
      <c r="T226" s="769" t="str">
        <f>IF(OR($F226="",$P226="支払なし",$R226=0,$Q226=""),"",$Q226&amp;"|L|"&amp;(COUNTIF(T$4:T225,$Q226&amp;"|L|*")+1))</f>
        <v/>
      </c>
      <c r="U226" s="769">
        <f>IF(OR($F226="",$A226=""),"",MOD(MONTH($A226)-4,12)+1)</f>
        <v>3</v>
      </c>
    </row>
    <row r="227" ht="16.5" customFormat="1" customHeight="1" s="43">
      <c r="A227" s="760" t="n">
        <v>45898</v>
      </c>
      <c r="B227" s="761" t="n"/>
      <c r="C227" s="762" t="inlineStr">
        <is>
          <t>事務費</t>
        </is>
      </c>
      <c r="D227" s="762" t="inlineStr">
        <is>
          <t>図書印刷費</t>
        </is>
      </c>
      <c r="E227" s="794" t="inlineStr">
        <is>
          <t>厚生法規総覧追録　６００６－６０１５号</t>
        </is>
      </c>
      <c r="F227" s="764" t="n">
        <v>33154</v>
      </c>
      <c r="G227" s="764" t="n">
        <v>2</v>
      </c>
      <c r="H227" s="765">
        <f>IF(G227=1,F227-I227-J227-K227,IF(G227=2,F227,0))</f>
        <v>33154</v>
      </c>
      <c r="I227" s="765">
        <f>ROUND(IF(G227=1,F227*10/23,IF(G227=3,F227-J227-K227,IF(G227=4,F227,IF(G227=5,F227*10/11,IF(G227=7,F227*10/11,0))))),0)</f>
        <v>0</v>
      </c>
      <c r="J227" s="765">
        <f>ROUND(IF(G227=1,F227/23,IF(G227=3,F227/12,IF(G227=5,F227-I227,IF(G227=8,F227,0)))),0)</f>
        <v>0</v>
      </c>
      <c r="K227" s="766">
        <f>ROUND(IF(G227=1,F227/23,IF(G227=3,F227/12,IF(G227=6,F227,IF(G227=7,F227-I227,0)))),0)</f>
        <v>0</v>
      </c>
      <c r="L227" s="767">
        <f>IF(G227=6,F227,0)</f>
        <v>0</v>
      </c>
      <c r="M227" s="572">
        <f>IF(F227="",0,MONTH(A227))</f>
        <v>8</v>
      </c>
      <c r="P227" s="768" t="inlineStr">
        <is>
          <t>昨年実績</t>
        </is>
      </c>
      <c r="Q227" s="769" t="str">
        <f>IF($F227="","",IFERROR(VLOOKUP($C227&amp;"|"&amp;$D227,科目表!$A$5:$B$200,2,FALSE),"※未登録"))</f>
        <v>図書印刷費</v>
      </c>
      <c r="R227" s="769">
        <f>IF($F227="","",$I227+$J227+$K227)</f>
        <v>0</v>
      </c>
      <c r="S227" s="769" t="str">
        <f>IF(OR($F227="",$P227="支払なし",$H227=0,$Q227=""),"",$Q227&amp;"|S|"&amp;(COUNTIF(S$4:S226,$Q227&amp;"|S|*")+1))</f>
        <v>図書印刷費|S|10</v>
      </c>
      <c r="T227" s="769" t="str">
        <f>IF(OR($F227="",$P227="支払なし",$R227=0,$Q227=""),"",$Q227&amp;"|L|"&amp;(COUNTIF(T$4:T226,$Q227&amp;"|L|*")+1))</f>
        <v/>
      </c>
      <c r="U227" s="769">
        <f>IF(OR($F227="",$A227=""),"",MOD(MONTH($A227)-4,12)+1)</f>
        <v>5</v>
      </c>
    </row>
    <row r="228" ht="16.5" customFormat="1" customHeight="1" s="422">
      <c r="A228" s="760" t="n">
        <v>45169</v>
      </c>
      <c r="B228" s="761" t="n"/>
      <c r="C228" s="762" t="inlineStr">
        <is>
          <t>事務費</t>
        </is>
      </c>
      <c r="D228" s="762" t="inlineStr">
        <is>
          <t>通信運搬費</t>
        </is>
      </c>
      <c r="E228" s="780" t="inlineStr">
        <is>
          <t>メール便（任継者宛厚生だより７月分）</t>
        </is>
      </c>
      <c r="F228" s="772" t="n">
        <v>17724</v>
      </c>
      <c r="G228" s="772" t="n">
        <v>2</v>
      </c>
      <c r="H228" s="765">
        <f>IF(G228=1,F228-I228-J228-K228,IF(G228=2,F228,0))</f>
        <v>17724</v>
      </c>
      <c r="I228" s="765">
        <f>ROUND(IF(G228=1,F228*10/23,IF(G228=3,F228-J228-K228,IF(G228=4,F228,IF(G228=5,F228*10/11,IF(G228=7,F228*10/11,0))))),0)</f>
        <v>0</v>
      </c>
      <c r="J228" s="765">
        <f>ROUND(IF(G228=1,F228/23,IF(G228=3,F228/12,IF(G228=5,F228-I228,IF(G228=8,F228,0)))),0)</f>
        <v>0</v>
      </c>
      <c r="K228" s="766">
        <f>ROUND(IF(G228=1,F228/23,IF(G228=3,F228/12,IF(G228=6,F228,IF(G228=7,F228-I228,0)))),0)</f>
        <v>0</v>
      </c>
      <c r="L228" s="767">
        <f>IF(G228=6,F228,0)</f>
        <v>0</v>
      </c>
      <c r="M228" s="421">
        <f>IF(F228="",0,MONTH(A228))</f>
        <v>8</v>
      </c>
      <c r="P228" s="768" t="inlineStr">
        <is>
          <t>昨年実績</t>
        </is>
      </c>
      <c r="Q228" s="769" t="str">
        <f>IF($F228="","",IFERROR(VLOOKUP($C228&amp;"|"&amp;$D228,科目表!$A$5:$B$200,2,FALSE),"※未登録"))</f>
        <v>通信運搬費</v>
      </c>
      <c r="R228" s="769">
        <f>IF($F228="","",$I228+$J228+$K228)</f>
        <v>0</v>
      </c>
      <c r="S228" s="769" t="str">
        <f>IF(OR($F228="",$P228="支払なし",$H228=0,$Q228=""),"",$Q228&amp;"|S|"&amp;(COUNTIF(S$4:S227,$Q228&amp;"|S|*")+1))</f>
        <v>通信運搬費|S|24</v>
      </c>
      <c r="T228" s="769" t="str">
        <f>IF(OR($F228="",$P228="支払なし",$R228=0,$Q228=""),"",$Q228&amp;"|L|"&amp;(COUNTIF(T$4:T227,$Q228&amp;"|L|*")+1))</f>
        <v/>
      </c>
      <c r="U228" s="769">
        <f>IF(OR($F228="",$A228=""),"",MOD(MONTH($A228)-4,12)+1)</f>
        <v>5</v>
      </c>
    </row>
    <row r="229" ht="16.5" customFormat="1" customHeight="1" s="422">
      <c r="A229" s="760" t="n">
        <v>45169</v>
      </c>
      <c r="B229" s="761" t="n"/>
      <c r="C229" s="762" t="inlineStr">
        <is>
          <t>事務費</t>
        </is>
      </c>
      <c r="D229" s="762" t="inlineStr">
        <is>
          <t>事務用消耗品費</t>
        </is>
      </c>
      <c r="E229" s="770" t="inlineStr">
        <is>
          <t>カシオ電卓　DF-120GT-N 2個　ほか</t>
        </is>
      </c>
      <c r="F229" s="772" t="n">
        <v>12811</v>
      </c>
      <c r="G229" s="772" t="n">
        <v>2</v>
      </c>
      <c r="H229" s="765">
        <f>IF(G229=1,F229-I229-J229-K229,IF(G229=2,F229,0))</f>
        <v>12811</v>
      </c>
      <c r="I229" s="765">
        <f>ROUND(IF(G229=1,F229*10/23,IF(G229=3,F229-J229-K229,IF(G229=4,F229,IF(G229=5,F229*10/11,IF(G229=7,F229*10/11,0))))),0)</f>
        <v>0</v>
      </c>
      <c r="J229" s="765">
        <f>ROUND(IF(G229=1,F229/23,IF(G229=3,F229/12,IF(G229=5,F229-I229,IF(G229=8,F229,0)))),0)</f>
        <v>0</v>
      </c>
      <c r="K229" s="766">
        <f>ROUND(IF(G229=1,F229/23,IF(G229=3,F229/12,IF(G229=6,F229,IF(G229=7,F229-I229,0)))),0)</f>
        <v>0</v>
      </c>
      <c r="L229" s="767">
        <f>IF(G229=6,F229,0)</f>
        <v>0</v>
      </c>
      <c r="M229" s="421">
        <f>IF(F229="",0,MONTH(A229))</f>
        <v>8</v>
      </c>
      <c r="P229" s="768" t="inlineStr">
        <is>
          <t>昨年実績</t>
        </is>
      </c>
      <c r="Q229" s="769" t="str">
        <f>IF($F229="","",IFERROR(VLOOKUP($C229&amp;"|"&amp;$D229,科目表!$A$5:$B$200,2,FALSE),"※未登録"))</f>
        <v>事務用消耗品費</v>
      </c>
      <c r="R229" s="769">
        <f>IF($F229="","",$I229+$J229+$K229)</f>
        <v>0</v>
      </c>
      <c r="S229" s="769" t="str">
        <f>IF(OR($F229="",$P229="支払なし",$H229=0,$Q229=""),"",$Q229&amp;"|S|"&amp;(COUNTIF(S$4:S228,$Q229&amp;"|S|*")+1))</f>
        <v>事務用消耗品費|S|16</v>
      </c>
      <c r="T229" s="769" t="str">
        <f>IF(OR($F229="",$P229="支払なし",$R229=0,$Q229=""),"",$Q229&amp;"|L|"&amp;(COUNTIF(T$4:T228,$Q229&amp;"|L|*")+1))</f>
        <v/>
      </c>
      <c r="U229" s="769">
        <f>IF(OR($F229="",$A229=""),"",MOD(MONTH($A229)-4,12)+1)</f>
        <v>5</v>
      </c>
    </row>
    <row r="230" ht="16.5" customFormat="1" customHeight="1" s="43">
      <c r="A230" s="760" t="n">
        <v>46265</v>
      </c>
      <c r="B230" s="761" t="n"/>
      <c r="C230" s="762" t="inlineStr">
        <is>
          <t>委託費</t>
        </is>
      </c>
      <c r="D230" s="762" t="n"/>
      <c r="E230" s="762" t="inlineStr">
        <is>
          <t>柔整等療養費支給申請書の入力（７月分）</t>
        </is>
      </c>
      <c r="F230" s="772" t="n">
        <v>133786</v>
      </c>
      <c r="G230" s="772" t="n">
        <v>2</v>
      </c>
      <c r="H230" s="765">
        <f>IF(G230=1,F230-I230-J230-K230,IF(G230=2,F230,0))</f>
        <v>133786</v>
      </c>
      <c r="I230" s="765">
        <f>ROUND(IF(G230=1,F230*10/23,IF(G230=3,F230-J230-K230,IF(G230=4,F230,IF(G230=5,F230*10/11,IF(G230=7,F230*10/11,0))))),0)</f>
        <v>0</v>
      </c>
      <c r="J230" s="765">
        <f>ROUND(IF(G230=1,F230/23,IF(G230=3,F230/12,IF(G230=5,F230-I230,IF(G230=8,F230,0)))),0)</f>
        <v>0</v>
      </c>
      <c r="K230" s="766">
        <f>ROUND(IF(G230=1,F230/23,IF(G230=3,F230/12,IF(G230=6,F230,IF(G230=7,F230-I230,0)))),0)</f>
        <v>0</v>
      </c>
      <c r="L230" s="767">
        <f>IF(G230=6,F230,0)</f>
        <v>0</v>
      </c>
      <c r="M230" s="572">
        <f>IF(F230="",0,MONTH(A230))</f>
        <v>8</v>
      </c>
      <c r="P230" s="768" t="inlineStr">
        <is>
          <t>確認済</t>
        </is>
      </c>
      <c r="Q230" s="769" t="str">
        <f>IF($F230="","",IFERROR(VLOOKUP($C230&amp;"|"&amp;$D230,科目表!$A$5:$B$200,2,FALSE),"※未登録"))</f>
        <v>委託費</v>
      </c>
      <c r="R230" s="769">
        <f>IF($F230="","",$I230+$J230+$K230)</f>
        <v>0</v>
      </c>
      <c r="S230" s="769" t="str">
        <f>IF(OR($F230="",$P230="支払なし",$H230=0,$Q230=""),"",$Q230&amp;"|S|"&amp;(COUNTIF(S$4:S229,$Q230&amp;"|S|*")+1))</f>
        <v>委託費|S|22</v>
      </c>
      <c r="T230" s="769" t="str">
        <f>IF(OR($F230="",$P230="支払なし",$R230=0,$Q230=""),"",$Q230&amp;"|L|"&amp;(COUNTIF(T$4:T229,$Q230&amp;"|L|*")+1))</f>
        <v/>
      </c>
      <c r="U230" s="769">
        <f>IF(OR($F230="",$A230=""),"",MOD(MONTH($A230)-4,12)+1)</f>
        <v>5</v>
      </c>
    </row>
    <row r="231" ht="16.5" customFormat="1" customHeight="1" s="43">
      <c r="A231" s="760" t="n">
        <v>45903</v>
      </c>
      <c r="B231" s="761" t="n"/>
      <c r="C231" s="762" t="inlineStr">
        <is>
          <t>事務費</t>
        </is>
      </c>
      <c r="D231" s="762" t="inlineStr">
        <is>
          <t>会議費</t>
        </is>
      </c>
      <c r="E231" s="763" t="inlineStr">
        <is>
          <t>大都市職員共済組合互選関係役員協議会　会議負担金（村上理事長、児玉理事長職務代理者）</t>
        </is>
      </c>
      <c r="F231" s="772" t="n">
        <v>16000</v>
      </c>
      <c r="G231" s="772" t="n">
        <v>1</v>
      </c>
      <c r="H231" s="765">
        <f>IF(G231=1,F231-I231-J231-K231,IF(G231=2,F231,0))</f>
        <v>7651</v>
      </c>
      <c r="I231" s="765">
        <f>ROUND(IF(G231=1,F231*10/23,IF(G231=3,F231-J231-K231,IF(G231=4,F231,IF(G231=5,F231*10/11,IF(G231=7,F231*10/11,0))))),0)</f>
        <v>6957</v>
      </c>
      <c r="J231" s="765">
        <f>ROUND(IF(G231=1,F231/23,IF(G231=3,F231/12,IF(G231=5,F231-I231,IF(G231=8,F231,0)))),0)</f>
        <v>696</v>
      </c>
      <c r="K231" s="766">
        <f>ROUND(IF(G231=1,F231/23,IF(G231=3,F231/12,IF(G231=6,F231,IF(G231=7,F231-I231,0)))),0)</f>
        <v>696</v>
      </c>
      <c r="L231" s="767">
        <f>IF(G231=6,F231,0)</f>
        <v>0</v>
      </c>
      <c r="M231" s="572">
        <f>IF(F231="",0,MONTH(A231))</f>
        <v>9</v>
      </c>
      <c r="P231" s="768" t="inlineStr">
        <is>
          <t>昨年実績</t>
        </is>
      </c>
      <c r="Q231" s="769" t="str">
        <f>IF($F231="","",IFERROR(VLOOKUP($C231&amp;"|"&amp;$D231,科目表!$A$5:$B$200,2,FALSE),"※未登録"))</f>
        <v>会議費</v>
      </c>
      <c r="R231" s="769">
        <f>IF($F231="","",$I231+$J231+$K231)</f>
        <v>8349</v>
      </c>
      <c r="S231" s="769" t="str">
        <f>IF(OR($F231="",$P231="支払なし",$H231=0,$Q231=""),"",$Q231&amp;"|S|"&amp;(COUNTIF(S$4:S230,$Q231&amp;"|S|*")+1))</f>
        <v>会議費|S|1</v>
      </c>
      <c r="T231" s="769" t="str">
        <f>IF(OR($F231="",$P231="支払なし",$R231=0,$Q231=""),"",$Q231&amp;"|L|"&amp;(COUNTIF(T$4:T230,$Q231&amp;"|L|*")+1))</f>
        <v>会議費|L|1</v>
      </c>
      <c r="U231" s="769">
        <f>IF(OR($F231="",$A231=""),"",MOD(MONTH($A231)-4,12)+1)</f>
        <v>6</v>
      </c>
    </row>
    <row r="232" ht="16.5" customFormat="1" customHeight="1" s="422">
      <c r="A232" s="760" t="n">
        <v>45895</v>
      </c>
      <c r="B232" s="761" t="n"/>
      <c r="C232" s="762" t="inlineStr">
        <is>
          <t>事務費</t>
        </is>
      </c>
      <c r="D232" s="762" t="inlineStr">
        <is>
          <t>通信運搬費</t>
        </is>
      </c>
      <c r="E232" s="773" t="inlineStr">
        <is>
          <t>切手</t>
        </is>
      </c>
      <c r="F232" s="764" t="n">
        <v>73000</v>
      </c>
      <c r="G232" s="764" t="n">
        <v>2</v>
      </c>
      <c r="H232" s="765">
        <f>IF(G232=1,F232-I232-J232-K232,IF(G232=2,F232,0))</f>
        <v>73000</v>
      </c>
      <c r="I232" s="765">
        <f>ROUND(IF(G232=1,F232*10/23,IF(G232=3,F232-J232-K232,IF(G232=4,F232,IF(G232=5,F232*10/11,IF(G232=7,F232*10/11,0))))),0)</f>
        <v>0</v>
      </c>
      <c r="J232" s="765">
        <f>ROUND(IF(G232=1,F232/23,IF(G232=3,F232/12,IF(G232=5,F232-I232,IF(G232=8,F232,0)))),0)</f>
        <v>0</v>
      </c>
      <c r="K232" s="766">
        <f>ROUND(IF(G232=1,F232/23,IF(G232=3,F232/12,IF(G232=6,F232,IF(G232=7,F232-I232,0)))),0)</f>
        <v>0</v>
      </c>
      <c r="L232" s="767">
        <f>IF(G232=6,F232,0)</f>
        <v>0</v>
      </c>
      <c r="M232" s="572">
        <f>IF(F232="",0,MONTH(A232))</f>
        <v>8</v>
      </c>
      <c r="P232" s="768" t="inlineStr">
        <is>
          <t>昨年実績</t>
        </is>
      </c>
      <c r="Q232" s="769" t="str">
        <f>IF($F232="","",IFERROR(VLOOKUP($C232&amp;"|"&amp;$D232,科目表!$A$5:$B$200,2,FALSE),"※未登録"))</f>
        <v>通信運搬費</v>
      </c>
      <c r="R232" s="769">
        <f>IF($F232="","",$I232+$J232+$K232)</f>
        <v>0</v>
      </c>
      <c r="S232" s="769" t="str">
        <f>IF(OR($F232="",$P232="支払なし",$H232=0,$Q232=""),"",$Q232&amp;"|S|"&amp;(COUNTIF(S$4:S231,$Q232&amp;"|S|*")+1))</f>
        <v>通信運搬費|S|25</v>
      </c>
      <c r="T232" s="769" t="str">
        <f>IF(OR($F232="",$P232="支払なし",$R232=0,$Q232=""),"",$Q232&amp;"|L|"&amp;(COUNTIF(T$4:T231,$Q232&amp;"|L|*")+1))</f>
        <v/>
      </c>
      <c r="U232" s="769">
        <f>IF(OR($F232="",$A232=""),"",MOD(MONTH($A232)-4,12)+1)</f>
        <v>5</v>
      </c>
    </row>
    <row r="233" ht="16.5" customFormat="1" customHeight="1" s="43">
      <c r="A233" s="760" t="n">
        <v>46265</v>
      </c>
      <c r="B233" s="761" t="n"/>
      <c r="C233" s="762" t="inlineStr">
        <is>
          <t>負担金</t>
        </is>
      </c>
      <c r="D233" s="762" t="inlineStr">
        <is>
          <t>厚年負担金等</t>
        </is>
      </c>
      <c r="E233" s="775" t="inlineStr">
        <is>
          <t>７月月例・６月期末分（短期分）子ども子育て拠出金を含む</t>
        </is>
      </c>
      <c r="F233" s="774" t="n">
        <v>105276</v>
      </c>
      <c r="G233" s="764" t="n">
        <v>2</v>
      </c>
      <c r="H233" s="765">
        <f>IF(G233=1,F233-I233-J233-K233,IF(G233=2,F233,0))</f>
        <v>105276</v>
      </c>
      <c r="I233" s="765">
        <f>ROUND(IF(G233=1,F233*10/23,IF(G233=3,F233-J233-K233,IF(G233=4,F233,IF(G233=5,F233*10/11,IF(G233=7,F233*10/11,0))))),0)</f>
        <v>0</v>
      </c>
      <c r="J233" s="765">
        <f>ROUND(IF(G233=1,F233/23,IF(G233=3,F233/12,IF(G233=5,F233-I233,IF(G233=8,F233,0)))),0)</f>
        <v>0</v>
      </c>
      <c r="K233" s="766">
        <f>ROUND(IF(G233=1,F233/23,IF(G233=3,F233/12,IF(G233=6,F233,IF(G233=7,F233-I233,0)))),0)</f>
        <v>0</v>
      </c>
      <c r="L233" s="767">
        <f>IF(G233=6,F233,0)</f>
        <v>0</v>
      </c>
      <c r="M233" s="572">
        <f>IF(F233="",0,MONTH(A233))</f>
        <v>8</v>
      </c>
      <c r="P233" s="768" t="inlineStr">
        <is>
          <t>確認済</t>
        </is>
      </c>
      <c r="Q233" s="769" t="str">
        <f>IF($F233="","",IFERROR(VLOOKUP($C233&amp;"|"&amp;$D233,科目表!$A$5:$B$200,2,FALSE),"※未登録"))</f>
        <v>厚年負担金等</v>
      </c>
      <c r="R233" s="769">
        <f>IF($F233="","",$I233+$J233+$K233)</f>
        <v>0</v>
      </c>
      <c r="S233" s="769" t="str">
        <f>IF(OR($F233="",$P233="支払なし",$H233=0,$Q233=""),"",$Q233&amp;"|S|"&amp;(COUNTIF(S$4:S232,$Q233&amp;"|S|*")+1))</f>
        <v>厚年負担金等|S|4</v>
      </c>
      <c r="T233" s="769" t="str">
        <f>IF(OR($F233="",$P233="支払なし",$R233=0,$Q233=""),"",$Q233&amp;"|L|"&amp;(COUNTIF(T$4:T232,$Q233&amp;"|L|*")+1))</f>
        <v/>
      </c>
      <c r="U233" s="769">
        <f>IF(OR($F233="",$A233=""),"",MOD(MONTH($A233)-4,12)+1)</f>
        <v>5</v>
      </c>
    </row>
    <row r="234" ht="16.5" customFormat="1" customHeight="1" s="43">
      <c r="A234" s="760" t="n">
        <v>46265</v>
      </c>
      <c r="B234" s="761" t="n"/>
      <c r="C234" s="762" t="inlineStr">
        <is>
          <t>負担金</t>
        </is>
      </c>
      <c r="D234" s="762" t="inlineStr">
        <is>
          <t>厚年負担金等</t>
        </is>
      </c>
      <c r="E234" s="775" t="inlineStr">
        <is>
          <t>７月月例・６月期末分（長期分）子ども子育て拠出金を含む</t>
        </is>
      </c>
      <c r="F234" s="774" t="n">
        <v>119541</v>
      </c>
      <c r="G234" s="764" t="n">
        <v>3</v>
      </c>
      <c r="H234" s="765">
        <f>IF(G234=1,F234-I234-J234-K234,IF(G234=2,F234,0))</f>
        <v>0</v>
      </c>
      <c r="I234" s="765">
        <f>ROUND(IF(G234=1,F234*10/23,IF(G234=3,F234-J234-K234,IF(G234=4,F234,IF(G234=5,F234*10/11,IF(G234=7,F234*10/11,0))))),0)</f>
        <v>99617</v>
      </c>
      <c r="J234" s="765">
        <f>ROUND(IF(G234=1,F234/23,IF(G234=3,F234/12,IF(G234=5,F234-I234,IF(G234=8,F234,0)))),0)</f>
        <v>9962</v>
      </c>
      <c r="K234" s="766">
        <f>ROUND(IF(G234=1,F234/23,IF(G234=3,F234/12,IF(G234=6,F234,IF(G234=7,F234-I234,0)))),0)</f>
        <v>9962</v>
      </c>
      <c r="L234" s="767">
        <f>IF(G234=6,F234,0)</f>
        <v>0</v>
      </c>
      <c r="M234" s="572">
        <f>IF(F234="",0,MONTH(A234))</f>
        <v>8</v>
      </c>
      <c r="P234" s="768" t="inlineStr">
        <is>
          <t>確認済</t>
        </is>
      </c>
      <c r="Q234" s="769" t="str">
        <f>IF($F234="","",IFERROR(VLOOKUP($C234&amp;"|"&amp;$D234,科目表!$A$5:$B$200,2,FALSE),"※未登録"))</f>
        <v>厚年負担金等</v>
      </c>
      <c r="R234" s="769">
        <f>IF($F234="","",$I234+$J234+$K234)</f>
        <v>119541</v>
      </c>
      <c r="S234" s="769" t="str">
        <f>IF(OR($F234="",$P234="支払なし",$H234=0,$Q234=""),"",$Q234&amp;"|S|"&amp;(COUNTIF(S$4:S233,$Q234&amp;"|S|*")+1))</f>
        <v/>
      </c>
      <c r="T234" s="769" t="str">
        <f>IF(OR($F234="",$P234="支払なし",$R234=0,$Q234=""),"",$Q234&amp;"|L|"&amp;(COUNTIF(T$4:T233,$Q234&amp;"|L|*")+1))</f>
        <v>厚年負担金等|L|4</v>
      </c>
      <c r="U234" s="769">
        <f>IF(OR($F234="",$A234=""),"",MOD(MONTH($A234)-4,12)+1)</f>
        <v>5</v>
      </c>
    </row>
    <row r="235" ht="16.5" customFormat="1" customHeight="1" s="43">
      <c r="A235" s="760" t="n">
        <v>46265</v>
      </c>
      <c r="B235" s="779" t="n"/>
      <c r="C235" s="762" t="inlineStr">
        <is>
          <t>賃借料</t>
        </is>
      </c>
      <c r="D235" s="762" t="n"/>
      <c r="E235" s="777" t="inlineStr">
        <is>
          <t>統合管理端末リース料（７月分）</t>
        </is>
      </c>
      <c r="F235" s="772" t="n">
        <v>12738</v>
      </c>
      <c r="G235" s="772" t="n">
        <v>2</v>
      </c>
      <c r="H235" s="765">
        <f>IF(G235=1,F235-I235-J235-K235,IF(G235=2,F235,0))</f>
        <v>12738</v>
      </c>
      <c r="I235" s="765">
        <f>ROUND(IF(G235=1,F235*10/23,IF(G235=3,F235-J235-K235,IF(G235=4,F235,IF(G235=5,F235*10/11,IF(G235=7,F235*10/11,0))))),0)</f>
        <v>0</v>
      </c>
      <c r="J235" s="765">
        <f>ROUND(IF(G235=1,F235/23,IF(G235=3,F235/12,IF(G235=5,F235-I235,IF(G235=8,F235,0)))),0)</f>
        <v>0</v>
      </c>
      <c r="K235" s="766">
        <f>ROUND(IF(G235=1,F235/23,IF(G235=3,F235/12,IF(G235=6,F235,IF(G235=7,F235-I235,0)))),0)</f>
        <v>0</v>
      </c>
      <c r="L235" s="767">
        <f>IF(G235=6,F235,0)</f>
        <v>0</v>
      </c>
      <c r="M235" s="572">
        <f>IF(F235="",0,MONTH(A235))</f>
        <v>8</v>
      </c>
      <c r="P235" s="768" t="inlineStr">
        <is>
          <t>確認済</t>
        </is>
      </c>
      <c r="Q235" s="769" t="str">
        <f>IF($F235="","",IFERROR(VLOOKUP($C235&amp;"|"&amp;$D235,科目表!$A$5:$B$200,2,FALSE),"※未登録"))</f>
        <v>賃借料</v>
      </c>
      <c r="R235" s="769">
        <f>IF($F235="","",$I235+$J235+$K235)</f>
        <v>0</v>
      </c>
      <c r="S235" s="769" t="str">
        <f>IF(OR($F235="",$P235="支払なし",$H235=0,$Q235=""),"",$Q235&amp;"|S|"&amp;(COUNTIF(S$4:S234,$Q235&amp;"|S|*")+1))</f>
        <v>賃借料|S|21</v>
      </c>
      <c r="T235" s="769" t="str">
        <f>IF(OR($F235="",$P235="支払なし",$R235=0,$Q235=""),"",$Q235&amp;"|L|"&amp;(COUNTIF(T$4:T234,$Q235&amp;"|L|*")+1))</f>
        <v/>
      </c>
      <c r="U235" s="769">
        <f>IF(OR($F235="",$A235=""),"",MOD(MONTH($A235)-4,12)+1)</f>
        <v>5</v>
      </c>
    </row>
    <row r="236" ht="16.5" customFormat="1" customHeight="1" s="422">
      <c r="A236" s="760" t="n">
        <v>44804</v>
      </c>
      <c r="B236" s="761" t="n"/>
      <c r="C236" s="762" t="inlineStr">
        <is>
          <t>委託費</t>
        </is>
      </c>
      <c r="D236" s="762" t="n"/>
      <c r="E236" s="784" t="inlineStr">
        <is>
          <t>統合管理端末保守料（7月分）</t>
        </is>
      </c>
      <c r="F236" s="764" t="n">
        <v>770</v>
      </c>
      <c r="G236" s="764" t="n">
        <v>2</v>
      </c>
      <c r="H236" s="765">
        <f>IF(G236=1,F236-I236-J236-K236,IF(G236=2,F236,0))</f>
        <v>770</v>
      </c>
      <c r="I236" s="765">
        <f>ROUND(IF(G236=1,F236*10/23,IF(G236=3,F236-J236-K236,IF(G236=4,F236,IF(G236=5,F236*10/11,IF(G236=7,F236*10/11,0))))),0)</f>
        <v>0</v>
      </c>
      <c r="J236" s="765">
        <f>ROUND(IF(G236=1,F236/23,IF(G236=3,F236/12,IF(G236=5,F236-I236,IF(G236=8,F236,0)))),0)</f>
        <v>0</v>
      </c>
      <c r="K236" s="766">
        <f>ROUND(IF(G236=1,F236/23,IF(G236=3,F236/12,IF(G236=6,F236,IF(G236=7,F236-I236,0)))),0)</f>
        <v>0</v>
      </c>
      <c r="L236" s="767">
        <f>IF(G236=6,F236,0)</f>
        <v>0</v>
      </c>
      <c r="M236" s="421">
        <f>IF(F236="",0,MONTH(A236))</f>
        <v>8</v>
      </c>
      <c r="P236" s="768" t="inlineStr">
        <is>
          <t>昨年実績</t>
        </is>
      </c>
      <c r="Q236" s="769" t="str">
        <f>IF($F236="","",IFERROR(VLOOKUP($C236&amp;"|"&amp;$D236,科目表!$A$5:$B$200,2,FALSE),"※未登録"))</f>
        <v>委託費</v>
      </c>
      <c r="R236" s="769">
        <f>IF($F236="","",$I236+$J236+$K236)</f>
        <v>0</v>
      </c>
      <c r="S236" s="769" t="str">
        <f>IF(OR($F236="",$P236="支払なし",$H236=0,$Q236=""),"",$Q236&amp;"|S|"&amp;(COUNTIF(S$4:S235,$Q236&amp;"|S|*")+1))</f>
        <v>委託費|S|23</v>
      </c>
      <c r="T236" s="769" t="str">
        <f>IF(OR($F236="",$P236="支払なし",$R236=0,$Q236=""),"",$Q236&amp;"|L|"&amp;(COUNTIF(T$4:T235,$Q236&amp;"|L|*")+1))</f>
        <v/>
      </c>
      <c r="U236" s="769">
        <f>IF(OR($F236="",$A236=""),"",MOD(MONTH($A236)-4,12)+1)</f>
        <v>5</v>
      </c>
    </row>
    <row r="237" ht="23.25" customFormat="1" customHeight="1" s="43">
      <c r="A237" s="760" t="n">
        <v>45926</v>
      </c>
      <c r="B237" s="761" t="n"/>
      <c r="C237" s="762" t="inlineStr">
        <is>
          <t>事務費</t>
        </is>
      </c>
      <c r="D237" s="762" t="inlineStr">
        <is>
          <t>会議費</t>
        </is>
      </c>
      <c r="E237" s="763" t="inlineStr">
        <is>
          <t>大都市職員共済組合互選関係役員協議会　会議負担金</t>
        </is>
      </c>
      <c r="F237" s="786" t="n">
        <v>308264</v>
      </c>
      <c r="G237" s="772" t="n">
        <v>1</v>
      </c>
      <c r="H237" s="765">
        <f>IF(G237=1,F237-I237-J237-K237,IF(G237=2,F237,0))</f>
        <v>147430</v>
      </c>
      <c r="I237" s="765">
        <f>ROUND(IF(G237=1,F237*10/23,IF(G237=3,F237-J237-K237,IF(G237=4,F237,IF(G237=5,F237*10/11,IF(G237=7,F237*10/11,0))))),0)</f>
        <v>134028</v>
      </c>
      <c r="J237" s="765">
        <f>ROUND(IF(G237=1,F237/23,IF(G237=3,F237/12,IF(G237=5,F237-I237,IF(G237=8,F237,0)))),0)</f>
        <v>13403</v>
      </c>
      <c r="K237" s="766">
        <f>ROUND(IF(G237=1,F237/23,IF(G237=3,F237/12,IF(G237=6,F237,IF(G237=7,F237-I237,0)))),0)</f>
        <v>13403</v>
      </c>
      <c r="L237" s="767">
        <f>IF(G237=6,F237,0)</f>
        <v>0</v>
      </c>
      <c r="M237" s="572">
        <f>IF(F237="",0,MONTH(A237))</f>
        <v>9</v>
      </c>
      <c r="P237" s="768" t="inlineStr">
        <is>
          <t>昨年実績</t>
        </is>
      </c>
      <c r="Q237" s="769" t="str">
        <f>IF($F237="","",IFERROR(VLOOKUP($C237&amp;"|"&amp;$D237,科目表!$A$5:$B$200,2,FALSE),"※未登録"))</f>
        <v>会議費</v>
      </c>
      <c r="R237" s="769">
        <f>IF($F237="","",$I237+$J237+$K237)</f>
        <v>160834</v>
      </c>
      <c r="S237" s="769" t="str">
        <f>IF(OR($F237="",$P237="支払なし",$H237=0,$Q237=""),"",$Q237&amp;"|S|"&amp;(COUNTIF(S$4:S236,$Q237&amp;"|S|*")+1))</f>
        <v>会議費|S|2</v>
      </c>
      <c r="T237" s="769" t="str">
        <f>IF(OR($F237="",$P237="支払なし",$R237=0,$Q237=""),"",$Q237&amp;"|L|"&amp;(COUNTIF(T$4:T236,$Q237&amp;"|L|*")+1))</f>
        <v>会議費|L|2</v>
      </c>
      <c r="U237" s="769">
        <f>IF(OR($F237="",$A237=""),"",MOD(MONTH($A237)-4,12)+1)</f>
        <v>6</v>
      </c>
    </row>
    <row r="238" ht="23.25" customFormat="1" customHeight="1" s="43">
      <c r="A238" s="760" t="n">
        <v>46295</v>
      </c>
      <c r="B238" s="761" t="n"/>
      <c r="C238" s="762" t="inlineStr">
        <is>
          <t>委託費</t>
        </is>
      </c>
      <c r="D238" s="762" t="n"/>
      <c r="E238" s="770" t="inlineStr">
        <is>
          <t>基幹システム用カードプリンタの保守</t>
        </is>
      </c>
      <c r="F238" s="786" t="n">
        <v>79200</v>
      </c>
      <c r="G238" s="772" t="n">
        <v>2</v>
      </c>
      <c r="H238" s="765">
        <f>IF(G238=1,F238-I238-J238-K238,IF(G238=2,F238,0))</f>
        <v>79200</v>
      </c>
      <c r="I238" s="765">
        <f>ROUND(IF(G238=1,F238*10/23,IF(G238=3,F238-J238-K238,IF(G238=4,F238,IF(G238=5,F238*10/11,IF(G238=7,F238*10/11,0))))),0)</f>
        <v>0</v>
      </c>
      <c r="J238" s="765">
        <f>ROUND(IF(G238=1,F238/23,IF(G238=3,F238/12,IF(G238=5,F238-I238,IF(G238=8,F238,0)))),0)</f>
        <v>0</v>
      </c>
      <c r="K238" s="766">
        <f>ROUND(IF(G238=1,F238/23,IF(G238=3,F238/12,IF(G238=6,F238,IF(G238=7,F238-I238,0)))),0)</f>
        <v>0</v>
      </c>
      <c r="L238" s="767">
        <f>IF(G238=6,F238,0)</f>
        <v>0</v>
      </c>
      <c r="M238" s="572">
        <f>IF(F238="",0,MONTH(A238))</f>
        <v>9</v>
      </c>
      <c r="P238" s="768" t="inlineStr">
        <is>
          <t>確認済</t>
        </is>
      </c>
      <c r="Q238" s="769" t="str">
        <f>IF($F238="","",IFERROR(VLOOKUP($C238&amp;"|"&amp;$D238,科目表!$A$5:$B$200,2,FALSE),"※未登録"))</f>
        <v>委託費</v>
      </c>
      <c r="R238" s="769">
        <f>IF($F238="","",$I238+$J238+$K238)</f>
        <v>0</v>
      </c>
      <c r="S238" s="769" t="str">
        <f>IF(OR($F238="",$P238="支払なし",$H238=0,$Q238=""),"",$Q238&amp;"|S|"&amp;(COUNTIF(S$4:S237,$Q238&amp;"|S|*")+1))</f>
        <v>委託費|S|24</v>
      </c>
      <c r="T238" s="769" t="str">
        <f>IF(OR($F238="",$P238="支払なし",$R238=0,$Q238=""),"",$Q238&amp;"|L|"&amp;(COUNTIF(T$4:T237,$Q238&amp;"|L|*")+1))</f>
        <v/>
      </c>
      <c r="U238" s="769">
        <f>IF(OR($F238="",$A238=""),"",MOD(MONTH($A238)-4,12)+1)</f>
        <v>6</v>
      </c>
    </row>
    <row r="239" ht="16.5" customFormat="1" customHeight="1" s="422">
      <c r="A239" s="760" t="n">
        <v>44804</v>
      </c>
      <c r="B239" s="761" t="n"/>
      <c r="C239" s="762" t="inlineStr">
        <is>
          <t>事務費</t>
        </is>
      </c>
      <c r="D239" s="762" t="inlineStr">
        <is>
          <t>事務用消耗品費</t>
        </is>
      </c>
      <c r="E239" s="770" t="inlineStr">
        <is>
          <t>SIGMA DS3 リボンキット　15個　ほか</t>
        </is>
      </c>
      <c r="F239" s="786" t="n">
        <v>86350</v>
      </c>
      <c r="G239" s="772" t="n">
        <v>2</v>
      </c>
      <c r="H239" s="765">
        <f>IF(G239=1,F239-I239-J239-K239,IF(G239=2,F239,0))</f>
        <v>86350</v>
      </c>
      <c r="I239" s="765">
        <f>ROUND(IF(G239=1,F239*10/23,IF(G239=3,F239-J239-K239,IF(G239=4,F239,IF(G239=5,F239*10/11,IF(G239=7,F239*10/11,0))))),0)</f>
        <v>0</v>
      </c>
      <c r="J239" s="765">
        <f>ROUND(IF(G239=1,F239/23,IF(G239=3,F239/12,IF(G239=5,F239-I239,IF(G239=8,F239,0)))),0)</f>
        <v>0</v>
      </c>
      <c r="K239" s="766">
        <f>ROUND(IF(G239=1,F239/23,IF(G239=3,F239/12,IF(G239=6,F239,IF(G239=7,F239-I239,0)))),0)</f>
        <v>0</v>
      </c>
      <c r="L239" s="767">
        <f>IF(G239=6,F239,0)</f>
        <v>0</v>
      </c>
      <c r="M239" s="421">
        <f>IF(F239="",0,MONTH(A239))</f>
        <v>8</v>
      </c>
      <c r="P239" s="768" t="inlineStr">
        <is>
          <t>昨年実績</t>
        </is>
      </c>
      <c r="Q239" s="769" t="str">
        <f>IF($F239="","",IFERROR(VLOOKUP($C239&amp;"|"&amp;$D239,科目表!$A$5:$B$200,2,FALSE),"※未登録"))</f>
        <v>事務用消耗品費</v>
      </c>
      <c r="R239" s="769">
        <f>IF($F239="","",$I239+$J239+$K239)</f>
        <v>0</v>
      </c>
      <c r="S239" s="769" t="str">
        <f>IF(OR($F239="",$P239="支払なし",$H239=0,$Q239=""),"",$Q239&amp;"|S|"&amp;(COUNTIF(S$4:S238,$Q239&amp;"|S|*")+1))</f>
        <v>事務用消耗品費|S|17</v>
      </c>
      <c r="T239" s="769" t="str">
        <f>IF(OR($F239="",$P239="支払なし",$R239=0,$Q239=""),"",$Q239&amp;"|L|"&amp;(COUNTIF(T$4:T238,$Q239&amp;"|L|*")+1))</f>
        <v/>
      </c>
      <c r="U239" s="769">
        <f>IF(OR($F239="",$A239=""),"",MOD(MONTH($A239)-4,12)+1)</f>
        <v>5</v>
      </c>
    </row>
    <row r="240" ht="16.5" customFormat="1" customHeight="1" s="422">
      <c r="A240" s="760" t="n">
        <v>44439</v>
      </c>
      <c r="B240" s="761" t="n"/>
      <c r="C240" s="762" t="inlineStr">
        <is>
          <t>委託費</t>
        </is>
      </c>
      <c r="D240" s="762" t="n"/>
      <c r="E240" s="777" t="inlineStr">
        <is>
          <t>短期給付個人番号管理システム端末保守サービス（７月分）</t>
        </is>
      </c>
      <c r="F240" s="764" t="n">
        <v>385</v>
      </c>
      <c r="G240" s="764" t="n">
        <v>2</v>
      </c>
      <c r="H240" s="765">
        <f>IF(G240=1,F240-I240-J240-K240,IF(G240=2,F240,0))</f>
        <v>385</v>
      </c>
      <c r="I240" s="765">
        <f>ROUND(IF(G240=1,F240*10/23,IF(G240=3,F240-J240-K240,IF(G240=4,F240,IF(G240=5,F240*10/11,IF(G240=7,F240*10/11,0))))),0)</f>
        <v>0</v>
      </c>
      <c r="J240" s="765">
        <f>ROUND(IF(G240=1,F240/23,IF(G240=3,F240/12,IF(G240=5,F240-I240,IF(G240=8,F240,0)))),0)</f>
        <v>0</v>
      </c>
      <c r="K240" s="766">
        <f>ROUND(IF(G240=1,F240/23,IF(G240=3,F240/12,IF(G240=6,F240,IF(G240=7,F240-I240,0)))),0)</f>
        <v>0</v>
      </c>
      <c r="L240" s="767">
        <f>IF(G240=6,F240,0)</f>
        <v>0</v>
      </c>
      <c r="M240" s="421">
        <f>IF(F240="",0,MONTH(A240))</f>
        <v>8</v>
      </c>
      <c r="P240" s="768" t="inlineStr">
        <is>
          <t>昨年実績</t>
        </is>
      </c>
      <c r="Q240" s="769" t="str">
        <f>IF($F240="","",IFERROR(VLOOKUP($C240&amp;"|"&amp;$D240,科目表!$A$5:$B$200,2,FALSE),"※未登録"))</f>
        <v>委託費</v>
      </c>
      <c r="R240" s="769">
        <f>IF($F240="","",$I240+$J240+$K240)</f>
        <v>0</v>
      </c>
      <c r="S240" s="769" t="str">
        <f>IF(OR($F240="",$P240="支払なし",$H240=0,$Q240=""),"",$Q240&amp;"|S|"&amp;(COUNTIF(S$4:S239,$Q240&amp;"|S|*")+1))</f>
        <v>委託費|S|25</v>
      </c>
      <c r="T240" s="769" t="str">
        <f>IF(OR($F240="",$P240="支払なし",$R240=0,$Q240=""),"",$Q240&amp;"|L|"&amp;(COUNTIF(T$4:T239,$Q240&amp;"|L|*")+1))</f>
        <v/>
      </c>
      <c r="U240" s="769">
        <f>IF(OR($F240="",$A240=""),"",MOD(MONTH($A240)-4,12)+1)</f>
        <v>5</v>
      </c>
    </row>
    <row r="241" ht="16.5" customFormat="1" customHeight="1" s="422">
      <c r="A241" s="760" t="n">
        <v>44804</v>
      </c>
      <c r="B241" s="761" t="n"/>
      <c r="C241" s="762" t="inlineStr">
        <is>
          <t>器具及び備品</t>
        </is>
      </c>
      <c r="D241" s="762" t="n"/>
      <c r="E241" s="775" t="inlineStr">
        <is>
          <t>基幹システム用カードプリンタ（SIGMA DS3/両面/125枚ホッパー　1個　ほか）</t>
        </is>
      </c>
      <c r="F241" s="764" t="n">
        <v>723140</v>
      </c>
      <c r="G241" s="764" t="n">
        <v>2</v>
      </c>
      <c r="H241" s="765">
        <f>IF(G241=1,F241-I241-J241-K241,IF(G241=2,F241,0))</f>
        <v>723140</v>
      </c>
      <c r="I241" s="765">
        <f>ROUND(IF(G241=1,F241*10/23,IF(G241=3,F241-J241-K241,IF(G241=4,F241,IF(G241=5,F241*10/11,IF(G241=7,F241*10/11,0))))),0)</f>
        <v>0</v>
      </c>
      <c r="J241" s="765">
        <f>ROUND(IF(G241=1,F241/23,IF(G241=3,F241/12,IF(G241=5,F241-I241,IF(G241=8,F241,0)))),0)</f>
        <v>0</v>
      </c>
      <c r="K241" s="766">
        <f>ROUND(IF(G241=1,F241/23,IF(G241=3,F241/12,IF(G241=6,F241,IF(G241=7,F241-I241,0)))),0)</f>
        <v>0</v>
      </c>
      <c r="L241" s="767">
        <f>IF(G241=6,F241,0)</f>
        <v>0</v>
      </c>
      <c r="M241" s="421">
        <f>IF(F241="",0,MONTH(A241))</f>
        <v>8</v>
      </c>
      <c r="P241" s="768" t="inlineStr">
        <is>
          <t>昨年実績</t>
        </is>
      </c>
      <c r="Q241" s="769" t="str">
        <f>IF($F241="","",IFERROR(VLOOKUP($C241&amp;"|"&amp;$D241,科目表!$A$5:$B$200,2,FALSE),"※未登録"))</f>
        <v>器具及び備品</v>
      </c>
      <c r="R241" s="769">
        <f>IF($F241="","",$I241+$J241+$K241)</f>
        <v>0</v>
      </c>
      <c r="S241" s="769" t="str">
        <f>IF(OR($F241="",$P241="支払なし",$H241=0,$Q241=""),"",$Q241&amp;"|S|"&amp;(COUNTIF(S$4:S240,$Q241&amp;"|S|*")+1))</f>
        <v>器具及び備品|S|1</v>
      </c>
      <c r="T241" s="769" t="str">
        <f>IF(OR($F241="",$P241="支払なし",$R241=0,$Q241=""),"",$Q241&amp;"|L|"&amp;(COUNTIF(T$4:T240,$Q241&amp;"|L|*")+1))</f>
        <v/>
      </c>
      <c r="U241" s="769">
        <f>IF(OR($F241="",$A241=""),"",MOD(MONTH($A241)-4,12)+1)</f>
        <v>5</v>
      </c>
    </row>
    <row r="242" ht="16.5" customFormat="1" customHeight="1" s="43">
      <c r="A242" s="760" t="n">
        <v>46262</v>
      </c>
      <c r="B242" s="761" t="n"/>
      <c r="C242" s="762" t="inlineStr">
        <is>
          <t>厚生費</t>
        </is>
      </c>
      <c r="D242" s="762" t="inlineStr">
        <is>
          <t>健康診断費</t>
        </is>
      </c>
      <c r="E242" s="770" t="inlineStr">
        <is>
          <t>情報機器作業従事員健康診断（佐々木）</t>
        </is>
      </c>
      <c r="F242" s="771" t="n">
        <v>1980</v>
      </c>
      <c r="G242" s="772" t="n">
        <v>3</v>
      </c>
      <c r="H242" s="765">
        <f>IF(G242=1,F242-I242-J242-K242,IF(G242=2,F242,0))</f>
        <v>0</v>
      </c>
      <c r="I242" s="765">
        <f>ROUND(IF(G242=1,F242*10/23,IF(G242=3,F242-J242-K242,IF(G242=4,F242,IF(G242=5,F242*10/11,IF(G242=7,F242*10/11,0))))),0)</f>
        <v>1650</v>
      </c>
      <c r="J242" s="765">
        <f>ROUND(IF(G242=1,F242/23,IF(G242=3,F242/12,IF(G242=5,F242-I242,IF(G242=8,F242,0)))),0)</f>
        <v>165</v>
      </c>
      <c r="K242" s="766">
        <f>ROUND(IF(G242=1,F242/23,IF(G242=3,F242/12,IF(G242=6,F242,IF(G242=7,F242-I242,0)))),0)</f>
        <v>165</v>
      </c>
      <c r="L242" s="767">
        <f>IF(G242=6,F242,0)</f>
        <v>0</v>
      </c>
      <c r="M242" s="572">
        <f>IF(F242="",0,MONTH(A242))</f>
        <v>8</v>
      </c>
      <c r="P242" s="768" t="inlineStr">
        <is>
          <t>確認済</t>
        </is>
      </c>
      <c r="Q242" s="769" t="str">
        <f>IF($F242="","",IFERROR(VLOOKUP($C242&amp;"|"&amp;$D242,科目表!$A$5:$B$200,2,FALSE),"※未登録"))</f>
        <v>厚生費</v>
      </c>
      <c r="R242" s="769">
        <f>IF($F242="","",$I242+$J242+$K242)</f>
        <v>1980</v>
      </c>
      <c r="S242" s="769" t="str">
        <f>IF(OR($F242="",$P242="支払なし",$H242=0,$Q242=""),"",$Q242&amp;"|S|"&amp;(COUNTIF(S$4:S241,$Q242&amp;"|S|*")+1))</f>
        <v/>
      </c>
      <c r="T242" s="769" t="str">
        <f>IF(OR($F242="",$P242="支払なし",$R242=0,$Q242=""),"",$Q242&amp;"|L|"&amp;(COUNTIF(T$4:T241,$Q242&amp;"|L|*")+1))</f>
        <v>厚生費|L|1</v>
      </c>
      <c r="U242" s="769">
        <f>IF(OR($F242="",$A242=""),"",MOD(MONTH($A242)-4,12)+1)</f>
        <v>5</v>
      </c>
    </row>
    <row r="243" ht="16.5" customFormat="1" customHeight="1" s="43">
      <c r="A243" s="760" t="n">
        <v>45884</v>
      </c>
      <c r="B243" s="761" t="n"/>
      <c r="C243" s="762" t="inlineStr">
        <is>
          <t>厚生費</t>
        </is>
      </c>
      <c r="D243" s="762" t="inlineStr">
        <is>
          <t>健康診断費</t>
        </is>
      </c>
      <c r="E243" s="775" t="inlineStr">
        <is>
          <t>定期健康診断等（天畠、高橋）</t>
        </is>
      </c>
      <c r="F243" s="764" t="n">
        <v>5742</v>
      </c>
      <c r="G243" s="764" t="n">
        <v>2</v>
      </c>
      <c r="H243" s="765">
        <f>IF(G243=1,F243-I243-J243-K243,IF(G243=2,F243,0))</f>
        <v>5742</v>
      </c>
      <c r="I243" s="765">
        <f>ROUND(IF(G243=1,F243*10/23,IF(G243=3,F243-J243-K243,IF(G243=4,F243,IF(G243=5,F243*10/11,IF(G243=7,F243*10/11,0))))),0)</f>
        <v>0</v>
      </c>
      <c r="J243" s="765">
        <f>ROUND(IF(G243=1,F243/23,IF(G243=3,F243/12,IF(G243=5,F243-I243,IF(G243=8,F243,0)))),0)</f>
        <v>0</v>
      </c>
      <c r="K243" s="766">
        <f>ROUND(IF(G243=1,F243/23,IF(G243=3,F243/12,IF(G243=6,F243,IF(G243=7,F243-I243,0)))),0)</f>
        <v>0</v>
      </c>
      <c r="L243" s="767">
        <f>IF(G243=6,F243,0)</f>
        <v>0</v>
      </c>
      <c r="M243" s="572">
        <f>IF(F243="",0,MONTH(A243))</f>
        <v>8</v>
      </c>
      <c r="P243" s="768" t="inlineStr">
        <is>
          <t>昨年実績</t>
        </is>
      </c>
      <c r="Q243" s="769" t="str">
        <f>IF($F243="","",IFERROR(VLOOKUP($C243&amp;"|"&amp;$D243,科目表!$A$5:$B$200,2,FALSE),"※未登録"))</f>
        <v>厚生費</v>
      </c>
      <c r="R243" s="769">
        <f>IF($F243="","",$I243+$J243+$K243)</f>
        <v>0</v>
      </c>
      <c r="S243" s="769" t="str">
        <f>IF(OR($F243="",$P243="支払なし",$H243=0,$Q243=""),"",$Q243&amp;"|S|"&amp;(COUNTIF(S$4:S242,$Q243&amp;"|S|*")+1))</f>
        <v>厚生費|S|2</v>
      </c>
      <c r="T243" s="769" t="str">
        <f>IF(OR($F243="",$P243="支払なし",$R243=0,$Q243=""),"",$Q243&amp;"|L|"&amp;(COUNTIF(T$4:T242,$Q243&amp;"|L|*")+1))</f>
        <v/>
      </c>
      <c r="U243" s="769">
        <f>IF(OR($F243="",$A243=""),"",MOD(MONTH($A243)-4,12)+1)</f>
        <v>5</v>
      </c>
    </row>
    <row r="244" ht="16.5" customFormat="1" customHeight="1" s="572">
      <c r="A244" s="760" t="n">
        <v>46265</v>
      </c>
      <c r="B244" s="761" t="n"/>
      <c r="C244" s="787" t="inlineStr">
        <is>
          <t>事務費</t>
        </is>
      </c>
      <c r="D244" s="788" t="inlineStr">
        <is>
          <t>事務用消耗品費</t>
        </is>
      </c>
      <c r="E244" s="770" t="inlineStr">
        <is>
          <t>レールホルダー　Ｄ１０１Ｊ―ＢＬ　１パック　他４点</t>
        </is>
      </c>
      <c r="F244" s="789" t="n">
        <v>12824</v>
      </c>
      <c r="G244" s="789" t="n">
        <v>2</v>
      </c>
      <c r="H244" s="790">
        <f>IF(G244=1,F244-I244-J244-K244,IF(G244=2,F244,0))</f>
        <v>12824</v>
      </c>
      <c r="I244" s="790">
        <f>ROUND(IF(G244=1,F244*10/23,IF(G244=3,F244-J244-K244,IF(G244=4,F244,IF(G244=5,F244*10/11,IF(G244=7,F244*10/11,0))))),0)</f>
        <v>0</v>
      </c>
      <c r="J244" s="790">
        <f>ROUND(IF(G244=1,F244/23,IF(G244=3,F244/12,IF(G244=5,F244-I244,IF(G244=8,F244,0)))),0)</f>
        <v>0</v>
      </c>
      <c r="K244" s="791">
        <f>ROUND(IF(G244=1,F244/23,IF(G244=3,F244/12,IF(G244=6,F244,IF(G244=7,F244-I244,0)))),0)</f>
        <v>0</v>
      </c>
      <c r="L244" s="792">
        <f>IF(G244=6,F244,0)</f>
        <v>0</v>
      </c>
      <c r="M244" s="572">
        <f>IF(F244="",0,MONTH(A244))</f>
        <v>8</v>
      </c>
      <c r="P244" s="768" t="inlineStr">
        <is>
          <t>確認済</t>
        </is>
      </c>
      <c r="Q244" s="769" t="str">
        <f>IF($F244="","",IFERROR(VLOOKUP($C244&amp;"|"&amp;$D244,科目表!$A$5:$B$200,2,FALSE),"※未登録"))</f>
        <v>事務用消耗品費</v>
      </c>
      <c r="R244" s="769">
        <f>IF($F244="","",$I244+$J244+$K244)</f>
        <v>0</v>
      </c>
      <c r="S244" s="769" t="str">
        <f>IF(OR($F244="",$P244="支払なし",$H244=0,$Q244=""),"",$Q244&amp;"|S|"&amp;(COUNTIF(S$4:S243,$Q244&amp;"|S|*")+1))</f>
        <v>事務用消耗品費|S|18</v>
      </c>
      <c r="T244" s="769" t="str">
        <f>IF(OR($F244="",$P244="支払なし",$R244=0,$Q244=""),"",$Q244&amp;"|L|"&amp;(COUNTIF(T$4:T243,$Q244&amp;"|L|*")+1))</f>
        <v/>
      </c>
      <c r="U244" s="769">
        <f>IF(OR($F244="",$A244=""),"",MOD(MONTH($A244)-4,12)+1)</f>
        <v>5</v>
      </c>
    </row>
    <row r="245" ht="16.5" customFormat="1" customHeight="1" s="43">
      <c r="A245" s="760" t="n">
        <v>46272</v>
      </c>
      <c r="B245" s="761" t="n"/>
      <c r="C245" s="762" t="inlineStr">
        <is>
          <t>事務費負担金払込金</t>
        </is>
      </c>
      <c r="D245" s="762" t="n"/>
      <c r="E245" s="775" t="inlineStr">
        <is>
          <t>８月分事務費負担金払込金相殺及び連合会へ払込</t>
        </is>
      </c>
      <c r="F245" s="764" t="n">
        <v>5366000</v>
      </c>
      <c r="G245" s="764" t="n">
        <v>5</v>
      </c>
      <c r="H245" s="765">
        <f>IF(G245=1,F245-I245-J245-K245,IF(G245=2,F245,0))</f>
        <v>0</v>
      </c>
      <c r="I245" s="765">
        <f>ROUND(IF(G245=1,F245*10/23,IF(G245=3,F245-J245-K245,IF(G245=4,F245,IF(G245=5,F245*10/11,IF(G245=7,F245*10/11,0))))),0)</f>
        <v>4878182</v>
      </c>
      <c r="J245" s="765">
        <f>ROUND(IF(G245=1,F245/23,IF(G245=3,F245/12,IF(G245=5,F245-I245,IF(G245=8,F245,0)))),0)</f>
        <v>487818</v>
      </c>
      <c r="K245" s="766">
        <f>ROUND(IF(G245=1,F245/23,IF(G245=3,F245/12,IF(G245=6,F245,IF(G245=7,F245-I245,0)))),0)</f>
        <v>0</v>
      </c>
      <c r="L245" s="767">
        <f>IF(G245=6,F245,0)</f>
        <v>0</v>
      </c>
      <c r="M245" s="572">
        <f>IF(F245="",0,MONTH(A245))</f>
        <v>9</v>
      </c>
      <c r="P245" s="768" t="inlineStr">
        <is>
          <t>確認済</t>
        </is>
      </c>
      <c r="Q245" s="769" t="str">
        <f>IF($F245="","",IFERROR(VLOOKUP($C245&amp;"|"&amp;$D245,科目表!$A$5:$B$200,2,FALSE),"※未登録"))</f>
        <v>事務費負担金払込金</v>
      </c>
      <c r="R245" s="769">
        <f>IF($F245="","",$I245+$J245+$K245)</f>
        <v>5366000</v>
      </c>
      <c r="S245" s="769" t="str">
        <f>IF(OR($F245="",$P245="支払なし",$H245=0,$Q245=""),"",$Q245&amp;"|S|"&amp;(COUNTIF(S$4:S244,$Q245&amp;"|S|*")+1))</f>
        <v/>
      </c>
      <c r="T245" s="769" t="str">
        <f>IF(OR($F245="",$P245="支払なし",$R245=0,$Q245=""),"",$Q245&amp;"|L|"&amp;(COUNTIF(T$4:T244,$Q245&amp;"|L|*")+1))</f>
        <v>事務費負担金払込金|L|6</v>
      </c>
      <c r="U245" s="769">
        <f>IF(OR($F245="",$A245=""),"",MOD(MONTH($A245)-4,12)+1)</f>
        <v>6</v>
      </c>
    </row>
    <row r="246" ht="16.5" customFormat="1" customHeight="1" s="422">
      <c r="A246" s="760" t="n">
        <v>43350</v>
      </c>
      <c r="B246" s="761" t="n"/>
      <c r="C246" s="762" t="inlineStr">
        <is>
          <t>旅費</t>
        </is>
      </c>
      <c r="D246" s="762" t="n"/>
      <c r="E246" s="775" t="inlineStr">
        <is>
          <t>（大都市）互選役員協議会　福岡市　塩見理事返還金</t>
        </is>
      </c>
      <c r="F246" s="764" t="n">
        <v>-15700</v>
      </c>
      <c r="G246" s="764" t="n">
        <v>1</v>
      </c>
      <c r="H246" s="765">
        <f>IF(G246=1,F246-I246-J246-K246,IF(G246=2,F246,0))</f>
        <v>-7508</v>
      </c>
      <c r="I246" s="765">
        <f>ROUND(IF(G246=1,F246*10/23,IF(G246=3,F246-J246-K246,IF(G246=4,F246,IF(G246=5,F246*10/11,IF(G246=7,F246*10/11,0))))),0)</f>
        <v>-6826</v>
      </c>
      <c r="J246" s="765">
        <f>ROUND(IF(G246=1,F246/23,IF(G246=3,F246/12,IF(G246=5,F246-I246,IF(G246=8,F246,0)))),0)</f>
        <v>-683</v>
      </c>
      <c r="K246" s="766">
        <f>ROUND(IF(G246=1,F246/23,IF(G246=3,F246/12,IF(G246=6,F246,IF(G246=7,F246-I246,0)))),0)</f>
        <v>-683</v>
      </c>
      <c r="L246" s="767">
        <f>IF(G246=6,F246,0)</f>
        <v>0</v>
      </c>
      <c r="M246" s="421">
        <f>IF(F246="",0,MONTH(A246))</f>
        <v>9</v>
      </c>
      <c r="P246" s="768" t="inlineStr">
        <is>
          <t>昨年実績</t>
        </is>
      </c>
      <c r="Q246" s="769" t="str">
        <f>IF($F246="","",IFERROR(VLOOKUP($C246&amp;"|"&amp;$D246,科目表!$A$5:$B$200,2,FALSE),"※未登録"))</f>
        <v>旅費</v>
      </c>
      <c r="R246" s="769">
        <f>IF($F246="","",$I246+$J246+$K246)</f>
        <v>-8192</v>
      </c>
      <c r="S246" s="769" t="str">
        <f>IF(OR($F246="",$P246="支払なし",$H246=0,$Q246=""),"",$Q246&amp;"|S|"&amp;(COUNTIF(S$4:S245,$Q246&amp;"|S|*")+1))</f>
        <v>旅費|S|9</v>
      </c>
      <c r="T246" s="769" t="str">
        <f>IF(OR($F246="",$P246="支払なし",$R246=0,$Q246=""),"",$Q246&amp;"|L|"&amp;(COUNTIF(T$4:T245,$Q246&amp;"|L|*")+1))</f>
        <v>旅費|L|8</v>
      </c>
      <c r="U246" s="769">
        <f>IF(OR($F246="",$A246=""),"",MOD(MONTH($A246)-4,12)+1)</f>
        <v>6</v>
      </c>
    </row>
    <row r="247" ht="16.5" customFormat="1" customHeight="1" s="418">
      <c r="A247" s="760" t="n">
        <v>46275</v>
      </c>
      <c r="B247" s="761" t="n"/>
      <c r="C247" s="762" t="inlineStr">
        <is>
          <t>事務費</t>
        </is>
      </c>
      <c r="D247" s="762" t="inlineStr">
        <is>
          <t>送金料</t>
        </is>
      </c>
      <c r="E247" s="775" t="inlineStr">
        <is>
          <t>振込手数料（広銀）８月分　長期分</t>
        </is>
      </c>
      <c r="F247" s="772" t="n">
        <v>14984</v>
      </c>
      <c r="G247" s="772" t="n">
        <v>3</v>
      </c>
      <c r="H247" s="765">
        <f>IF(G247=1,F247-I247-J247-K247,IF(G247=2,F247,0))</f>
        <v>0</v>
      </c>
      <c r="I247" s="765">
        <f>ROUND(IF(G247=1,F247*10/23,IF(G247=3,F247-J247-K247,IF(G247=4,F247,IF(G247=5,F247*10/11,IF(G247=7,F247*10/11,0))))),0)</f>
        <v>12486</v>
      </c>
      <c r="J247" s="765">
        <f>ROUND(IF(G247=1,F247/23,IF(G247=3,F247/12,IF(G247=5,F247-I247,IF(G247=8,F247,0)))),0)</f>
        <v>1249</v>
      </c>
      <c r="K247" s="766">
        <f>ROUND(IF(G247=1,F247/23,IF(G247=3,F247/12,IF(G247=6,F247,IF(G247=7,F247-I247,0)))),0)</f>
        <v>1249</v>
      </c>
      <c r="L247" s="767">
        <f>IF(G247=6,F247,0)</f>
        <v>0</v>
      </c>
      <c r="M247" s="570">
        <f>IF(F247="",0,MONTH(A247))</f>
        <v>9</v>
      </c>
      <c r="P247" s="768" t="inlineStr">
        <is>
          <t>確認済</t>
        </is>
      </c>
      <c r="Q247" s="769" t="str">
        <f>IF($F247="","",IFERROR(VLOOKUP($C247&amp;"|"&amp;$D247,科目表!$A$5:$B$200,2,FALSE),"※未登録"))</f>
        <v>送金料</v>
      </c>
      <c r="R247" s="769">
        <f>IF($F247="","",$I247+$J247+$K247)</f>
        <v>14984</v>
      </c>
      <c r="S247" s="769" t="str">
        <f>IF(OR($F247="",$P247="支払なし",$H247=0,$Q247=""),"",$Q247&amp;"|S|"&amp;(COUNTIF(S$4:S246,$Q247&amp;"|S|*")+1))</f>
        <v/>
      </c>
      <c r="T247" s="769" t="str">
        <f>IF(OR($F247="",$P247="支払なし",$R247=0,$Q247=""),"",$Q247&amp;"|L|"&amp;(COUNTIF(T$4:T246,$Q247&amp;"|L|*")+1))</f>
        <v>送金料|L|5</v>
      </c>
      <c r="U247" s="769">
        <f>IF(OR($F247="",$A247=""),"",MOD(MONTH($A247)-4,12)+1)</f>
        <v>6</v>
      </c>
    </row>
    <row r="248" ht="16.5" customFormat="1" customHeight="1" s="418">
      <c r="A248" s="760" t="n">
        <v>46275</v>
      </c>
      <c r="B248" s="761" t="n"/>
      <c r="C248" s="762" t="inlineStr">
        <is>
          <t>事務費</t>
        </is>
      </c>
      <c r="D248" s="762" t="inlineStr">
        <is>
          <t>送金料</t>
        </is>
      </c>
      <c r="E248" s="775" t="inlineStr">
        <is>
          <t>振込手数料（広銀）８月分　短期分</t>
        </is>
      </c>
      <c r="F248" s="764" t="n">
        <v>145326</v>
      </c>
      <c r="G248" s="764" t="n">
        <v>2</v>
      </c>
      <c r="H248" s="765">
        <f>IF(G248=1,F248-I248-J248-K248,IF(G248=2,F248,0))</f>
        <v>145326</v>
      </c>
      <c r="I248" s="765">
        <f>ROUND(IF(G248=1,F248*10/23,IF(G248=3,F248-J248-K248,IF(G248=4,F248,IF(G248=5,F248*10/11,IF(G248=7,F248*10/11,0))))),0)</f>
        <v>0</v>
      </c>
      <c r="J248" s="765">
        <f>ROUND(IF(G248=1,F248/23,IF(G248=3,F248/12,IF(G248=5,F248-I248,IF(G248=8,F248,0)))),0)</f>
        <v>0</v>
      </c>
      <c r="K248" s="766">
        <f>ROUND(IF(G248=1,F248/23,IF(G248=3,F248/12,IF(G248=6,F248,IF(G248=7,F248-I248,0)))),0)</f>
        <v>0</v>
      </c>
      <c r="L248" s="767">
        <f>IF(G248=6,F248,0)</f>
        <v>0</v>
      </c>
      <c r="M248" s="570">
        <f>IF(F248="",0,MONTH(A248))</f>
        <v>9</v>
      </c>
      <c r="P248" s="768" t="inlineStr">
        <is>
          <t>確認済</t>
        </is>
      </c>
      <c r="Q248" s="769" t="str">
        <f>IF($F248="","",IFERROR(VLOOKUP($C248&amp;"|"&amp;$D248,科目表!$A$5:$B$200,2,FALSE),"※未登録"))</f>
        <v>送金料</v>
      </c>
      <c r="R248" s="769">
        <f>IF($F248="","",$I248+$J248+$K248)</f>
        <v>0</v>
      </c>
      <c r="S248" s="769" t="str">
        <f>IF(OR($F248="",$P248="支払なし",$H248=0,$Q248=""),"",$Q248&amp;"|S|"&amp;(COUNTIF(S$4:S247,$Q248&amp;"|S|*")+1))</f>
        <v>送金料|S|9</v>
      </c>
      <c r="T248" s="769" t="str">
        <f>IF(OR($F248="",$P248="支払なし",$R248=0,$Q248=""),"",$Q248&amp;"|L|"&amp;(COUNTIF(T$4:T247,$Q248&amp;"|L|*")+1))</f>
        <v/>
      </c>
      <c r="U248" s="769">
        <f>IF(OR($F248="",$A248=""),"",MOD(MONTH($A248)-4,12)+1)</f>
        <v>6</v>
      </c>
    </row>
    <row r="249" ht="16.5" customFormat="1" customHeight="1" s="43">
      <c r="A249" s="760" t="n">
        <v>46280</v>
      </c>
      <c r="B249" s="761" t="n"/>
      <c r="C249" s="762" t="inlineStr">
        <is>
          <t>事務費</t>
        </is>
      </c>
      <c r="D249" s="762" t="inlineStr">
        <is>
          <t>図書印刷費</t>
        </is>
      </c>
      <c r="E249" s="770" t="inlineStr">
        <is>
          <t>Ａ４用窓付封筒（２２０×３１０）のり付　７，０００枚　他１点</t>
        </is>
      </c>
      <c r="F249" s="764" t="n">
        <v>221540</v>
      </c>
      <c r="G249" s="764" t="n">
        <v>3</v>
      </c>
      <c r="H249" s="765">
        <f>IF(G249=1,F249-I249-J249-K249,IF(G249=2,F249,0))</f>
        <v>0</v>
      </c>
      <c r="I249" s="765">
        <f>ROUND(IF(G249=1,F249*10/23,IF(G249=3,F249-J249-K249,IF(G249=4,F249,IF(G249=5,F249*10/11,IF(G249=7,F249*10/11,0))))),0)</f>
        <v>184616</v>
      </c>
      <c r="J249" s="765">
        <f>ROUND(IF(G249=1,F249/23,IF(G249=3,F249/12,IF(G249=5,F249-I249,IF(G249=8,F249,0)))),0)</f>
        <v>18462</v>
      </c>
      <c r="K249" s="766">
        <f>ROUND(IF(G249=1,F249/23,IF(G249=3,F249/12,IF(G249=6,F249,IF(G249=7,F249-I249,0)))),0)</f>
        <v>18462</v>
      </c>
      <c r="L249" s="767">
        <f>IF(G249=6,F249,0)</f>
        <v>0</v>
      </c>
      <c r="M249" s="572">
        <f>IF(F249="",0,MONTH(A249))</f>
        <v>9</v>
      </c>
      <c r="P249" s="768" t="inlineStr">
        <is>
          <t>確認済</t>
        </is>
      </c>
      <c r="Q249" s="769" t="str">
        <f>IF($F249="","",IFERROR(VLOOKUP($C249&amp;"|"&amp;$D249,科目表!$A$5:$B$200,2,FALSE),"※未登録"))</f>
        <v>図書印刷費</v>
      </c>
      <c r="R249" s="769">
        <f>IF($F249="","",$I249+$J249+$K249)</f>
        <v>221540</v>
      </c>
      <c r="S249" s="769" t="str">
        <f>IF(OR($F249="",$P249="支払なし",$H249=0,$Q249=""),"",$Q249&amp;"|S|"&amp;(COUNTIF(S$4:S248,$Q249&amp;"|S|*")+1))</f>
        <v/>
      </c>
      <c r="T249" s="769" t="str">
        <f>IF(OR($F249="",$P249="支払なし",$R249=0,$Q249=""),"",$Q249&amp;"|L|"&amp;(COUNTIF(T$4:T248,$Q249&amp;"|L|*")+1))</f>
        <v>図書印刷費|L|7</v>
      </c>
      <c r="U249" s="769">
        <f>IF(OR($F249="",$A249=""),"",MOD(MONTH($A249)-4,12)+1)</f>
        <v>6</v>
      </c>
    </row>
    <row r="250" ht="16.5" customFormat="1" customHeight="1" s="43">
      <c r="A250" s="760" t="n">
        <v>46294</v>
      </c>
      <c r="B250" s="761" t="n"/>
      <c r="C250" s="762" t="inlineStr">
        <is>
          <t>委託費</t>
        </is>
      </c>
      <c r="D250" s="762" t="n"/>
      <c r="E250" s="762" t="inlineStr">
        <is>
          <t>ねんきん定期便（８月分）送付業務</t>
        </is>
      </c>
      <c r="F250" s="772" t="n">
        <v>97989</v>
      </c>
      <c r="G250" s="772" t="n">
        <v>5</v>
      </c>
      <c r="H250" s="765">
        <f>IF(G250=1,F250-I250-J250-K250,IF(G250=2,F250,0))</f>
        <v>0</v>
      </c>
      <c r="I250" s="765">
        <f>ROUND(IF(G250=1,F250*10/23,IF(G250=3,F250-J250-K250,IF(G250=4,F250,IF(G250=5,F250*10/11,IF(G250=7,F250*10/11,0))))),0)</f>
        <v>89081</v>
      </c>
      <c r="J250" s="765">
        <f>ROUND(IF(G250=1,F250/23,IF(G250=3,F250/12,IF(G250=5,F250-I250,IF(G250=8,F250,0)))),0)</f>
        <v>8908</v>
      </c>
      <c r="K250" s="766">
        <f>ROUND(IF(G250=1,F250/23,IF(G250=3,F250/12,IF(G250=6,F250,IF(G250=7,F250-I250,0)))),0)</f>
        <v>0</v>
      </c>
      <c r="L250" s="767">
        <f>IF(G250=6,F250,0)</f>
        <v>0</v>
      </c>
      <c r="M250" s="572">
        <f>IF(F250="",0,MONTH(A250))</f>
        <v>9</v>
      </c>
      <c r="P250" s="768" t="inlineStr">
        <is>
          <t>確認済</t>
        </is>
      </c>
      <c r="Q250" s="769" t="str">
        <f>IF($F250="","",IFERROR(VLOOKUP($C250&amp;"|"&amp;$D250,科目表!$A$5:$B$200,2,FALSE),"※未登録"))</f>
        <v>委託費</v>
      </c>
      <c r="R250" s="769">
        <f>IF($F250="","",$I250+$J250+$K250)</f>
        <v>97989</v>
      </c>
      <c r="S250" s="769" t="str">
        <f>IF(OR($F250="",$P250="支払なし",$H250=0,$Q250=""),"",$Q250&amp;"|S|"&amp;(COUNTIF(S$4:S249,$Q250&amp;"|S|*")+1))</f>
        <v/>
      </c>
      <c r="T250" s="769" t="str">
        <f>IF(OR($F250="",$P250="支払なし",$R250=0,$Q250=""),"",$Q250&amp;"|L|"&amp;(COUNTIF(T$4:T249,$Q250&amp;"|L|*")+1))</f>
        <v>委託費|L|8</v>
      </c>
      <c r="U250" s="769">
        <f>IF(OR($F250="",$A250=""),"",MOD(MONTH($A250)-4,12)+1)</f>
        <v>6</v>
      </c>
    </row>
    <row r="251" ht="16.5" customFormat="1" customHeight="1" s="43">
      <c r="A251" s="760" t="n">
        <v>45930</v>
      </c>
      <c r="B251" s="761" t="n"/>
      <c r="C251" s="762" t="inlineStr">
        <is>
          <t>事務費</t>
        </is>
      </c>
      <c r="D251" s="762" t="inlineStr">
        <is>
          <t>事務用消耗品費</t>
        </is>
      </c>
      <c r="E251" s="770" t="inlineStr">
        <is>
          <t>受話器用カールコード　DC-J406/WH  ２個</t>
        </is>
      </c>
      <c r="F251" s="764" t="n">
        <v>1316</v>
      </c>
      <c r="G251" s="764" t="n">
        <v>2</v>
      </c>
      <c r="H251" s="765">
        <f>IF(G251=1,F251-I251-J251-K251,IF(G251=2,F251,0))</f>
        <v>1316</v>
      </c>
      <c r="I251" s="765">
        <f>ROUND(IF(G251=1,F251*10/23,IF(G251=3,F251-J251-K251,IF(G251=4,F251,IF(G251=5,F251*10/11,IF(G251=7,F251*10/11,0))))),0)</f>
        <v>0</v>
      </c>
      <c r="J251" s="765">
        <f>ROUND(IF(G251=1,F251/23,IF(G251=3,F251/12,IF(G251=5,F251-I251,IF(G251=8,F251,0)))),0)</f>
        <v>0</v>
      </c>
      <c r="K251" s="766">
        <f>ROUND(IF(G251=1,F251/23,IF(G251=3,F251/12,IF(G251=6,F251,IF(G251=7,F251-I251,0)))),0)</f>
        <v>0</v>
      </c>
      <c r="L251" s="767">
        <f>IF(G251=6,F251,0)</f>
        <v>0</v>
      </c>
      <c r="M251" s="572">
        <f>IF(F251="",0,MONTH(A251))</f>
        <v>9</v>
      </c>
      <c r="P251" s="768" t="inlineStr">
        <is>
          <t>昨年実績</t>
        </is>
      </c>
      <c r="Q251" s="769" t="str">
        <f>IF($F251="","",IFERROR(VLOOKUP($C251&amp;"|"&amp;$D251,科目表!$A$5:$B$200,2,FALSE),"※未登録"))</f>
        <v>事務用消耗品費</v>
      </c>
      <c r="R251" s="769">
        <f>IF($F251="","",$I251+$J251+$K251)</f>
        <v>0</v>
      </c>
      <c r="S251" s="769" t="str">
        <f>IF(OR($F251="",$P251="支払なし",$H251=0,$Q251=""),"",$Q251&amp;"|S|"&amp;(COUNTIF(S$4:S250,$Q251&amp;"|S|*")+1))</f>
        <v>事務用消耗品費|S|19</v>
      </c>
      <c r="T251" s="769" t="str">
        <f>IF(OR($F251="",$P251="支払なし",$R251=0,$Q251=""),"",$Q251&amp;"|L|"&amp;(COUNTIF(T$4:T250,$Q251&amp;"|L|*")+1))</f>
        <v/>
      </c>
      <c r="U251" s="769">
        <f>IF(OR($F251="",$A251=""),"",MOD(MONTH($A251)-4,12)+1)</f>
        <v>6</v>
      </c>
    </row>
    <row r="252" ht="16.5" customFormat="1" customHeight="1" s="422">
      <c r="A252" s="760" t="n">
        <v>44089</v>
      </c>
      <c r="B252" s="761" t="n"/>
      <c r="C252" s="762" t="inlineStr">
        <is>
          <t>賃借料</t>
        </is>
      </c>
      <c r="D252" s="762" t="n"/>
      <c r="E252" s="762" t="inlineStr">
        <is>
          <t>パソコン（業務経理用）８月分</t>
        </is>
      </c>
      <c r="F252" s="772" t="n">
        <v>3132</v>
      </c>
      <c r="G252" s="772" t="n">
        <v>2</v>
      </c>
      <c r="H252" s="765">
        <f>IF(G252=1,F252-I252-J252-K252,IF(G252=2,F252,0))</f>
        <v>3132</v>
      </c>
      <c r="I252" s="765">
        <f>ROUND(IF(G252=1,F252*10/23,IF(G252=3,F252-J252-K252,IF(G252=4,F252,IF(G252=5,F252*10/11,IF(G252=7,F252*10/11,0))))),0)</f>
        <v>0</v>
      </c>
      <c r="J252" s="765">
        <f>ROUND(IF(G252=1,F252/23,IF(G252=3,F252/12,IF(G252=5,F252-I252,IF(G252=8,F252,0)))),0)</f>
        <v>0</v>
      </c>
      <c r="K252" s="766">
        <f>ROUND(IF(G252=1,F252/23,IF(G252=3,F252/12,IF(G252=6,F252,IF(G252=7,F252-I252,0)))),0)</f>
        <v>0</v>
      </c>
      <c r="L252" s="767">
        <f>IF(G252=6,F252,0)</f>
        <v>0</v>
      </c>
      <c r="M252" s="421">
        <f>IF(F252="",0,MONTH(A252))</f>
        <v>9</v>
      </c>
      <c r="P252" s="768" t="inlineStr">
        <is>
          <t>昨年実績</t>
        </is>
      </c>
      <c r="Q252" s="769" t="str">
        <f>IF($F252="","",IFERROR(VLOOKUP($C252&amp;"|"&amp;$D252,科目表!$A$5:$B$200,2,FALSE),"※未登録"))</f>
        <v>賃借料</v>
      </c>
      <c r="R252" s="769">
        <f>IF($F252="","",$I252+$J252+$K252)</f>
        <v>0</v>
      </c>
      <c r="S252" s="769" t="str">
        <f>IF(OR($F252="",$P252="支払なし",$H252=0,$Q252=""),"",$Q252&amp;"|S|"&amp;(COUNTIF(S$4:S251,$Q252&amp;"|S|*")+1))</f>
        <v>賃借料|S|22</v>
      </c>
      <c r="T252" s="769" t="str">
        <f>IF(OR($F252="",$P252="支払なし",$R252=0,$Q252=""),"",$Q252&amp;"|L|"&amp;(COUNTIF(T$4:T251,$Q252&amp;"|L|*")+1))</f>
        <v/>
      </c>
      <c r="U252" s="769">
        <f>IF(OR($F252="",$A252=""),"",MOD(MONTH($A252)-4,12)+1)</f>
        <v>6</v>
      </c>
    </row>
    <row r="253" ht="16.5" customFormat="1" customHeight="1" s="43">
      <c r="A253" s="760" t="n">
        <v>46280</v>
      </c>
      <c r="B253" s="761" t="n"/>
      <c r="C253" s="762" t="inlineStr">
        <is>
          <t>賃金</t>
        </is>
      </c>
      <c r="D253" s="762" t="n"/>
      <c r="E253" s="762" t="inlineStr">
        <is>
          <t>臨時職員賃金８月分　一山登代子外１名分（短期１００％）</t>
        </is>
      </c>
      <c r="F253" s="774" t="n">
        <v>384480</v>
      </c>
      <c r="G253" s="772" t="n">
        <v>2</v>
      </c>
      <c r="H253" s="765">
        <f>IF(G253=1,F253-I253-J253-K253,IF(G253=2,F253,0))</f>
        <v>384480</v>
      </c>
      <c r="I253" s="765">
        <f>ROUND(IF(G253=1,F253*10/23,IF(G253=3,F253-J253-K253,IF(G253=4,F253,IF(G253=5,F253*10/11,IF(G253=7,F253*10/11,0))))),0)</f>
        <v>0</v>
      </c>
      <c r="J253" s="765">
        <f>ROUND(IF(G253=1,F253/23,IF(G253=3,F253/12,IF(G253=5,F253-I253,IF(G253=8,F253,0)))),0)</f>
        <v>0</v>
      </c>
      <c r="K253" s="766">
        <f>ROUND(IF(G253=1,F253/23,IF(G253=3,F253/12,IF(G253=6,F253,IF(G253=7,F253-I253,0)))),0)</f>
        <v>0</v>
      </c>
      <c r="L253" s="767">
        <f>IF(G253=6,F253,0)</f>
        <v>0</v>
      </c>
      <c r="M253" s="572">
        <f>IF(F253="",0,MONTH(A253))</f>
        <v>9</v>
      </c>
      <c r="P253" s="768" t="inlineStr">
        <is>
          <t>確認済</t>
        </is>
      </c>
      <c r="Q253" s="769" t="str">
        <f>IF($F253="","",IFERROR(VLOOKUP($C253&amp;"|"&amp;$D253,科目表!$A$5:$B$200,2,FALSE),"※未登録"))</f>
        <v>賃金</v>
      </c>
      <c r="R253" s="769">
        <f>IF($F253="","",$I253+$J253+$K253)</f>
        <v>0</v>
      </c>
      <c r="S253" s="769" t="str">
        <f>IF(OR($F253="",$P253="支払なし",$H253=0,$Q253=""),"",$Q253&amp;"|S|"&amp;(COUNTIF(S$4:S252,$Q253&amp;"|S|*")+1))</f>
        <v>賃金|S|5</v>
      </c>
      <c r="T253" s="769" t="str">
        <f>IF(OR($F253="",$P253="支払なし",$R253=0,$Q253=""),"",$Q253&amp;"|L|"&amp;(COUNTIF(T$4:T252,$Q253&amp;"|L|*")+1))</f>
        <v/>
      </c>
      <c r="U253" s="769">
        <f>IF(OR($F253="",$A253=""),"",MOD(MONTH($A253)-4,12)+1)</f>
        <v>6</v>
      </c>
    </row>
    <row r="254" ht="16.5" customFormat="1" customHeight="1" s="43">
      <c r="A254" s="760" t="n">
        <v>46294</v>
      </c>
      <c r="B254" s="761" t="n"/>
      <c r="C254" s="762" t="inlineStr">
        <is>
          <t>事務費</t>
        </is>
      </c>
      <c r="D254" s="762" t="inlineStr">
        <is>
          <t>図書印刷費</t>
        </is>
      </c>
      <c r="E254" s="770" t="inlineStr">
        <is>
          <t>短期給付決定通知書　４，０００セット</t>
        </is>
      </c>
      <c r="F254" s="764" t="n">
        <v>154000</v>
      </c>
      <c r="G254" s="772" t="n">
        <v>2</v>
      </c>
      <c r="H254" s="765">
        <f>IF(G254=1,F254-I254-J254-K254,IF(G254=2,F254,0))</f>
        <v>154000</v>
      </c>
      <c r="I254" s="765">
        <f>ROUND(IF(G254=1,F254*10/23,IF(G254=3,F254-J254-K254,IF(G254=4,F254,IF(G254=5,F254*10/11,IF(G254=7,F254*10/11,0))))),0)</f>
        <v>0</v>
      </c>
      <c r="J254" s="765">
        <f>ROUND(IF(G254=1,F254/23,IF(G254=3,F254/12,IF(G254=5,F254-I254,IF(G254=8,F254,0)))),0)</f>
        <v>0</v>
      </c>
      <c r="K254" s="766">
        <f>ROUND(IF(G254=1,F254/23,IF(G254=3,F254/12,IF(G254=6,F254,IF(G254=7,F254-I254,0)))),0)</f>
        <v>0</v>
      </c>
      <c r="L254" s="767">
        <f>IF(G254=6,F254,0)</f>
        <v>0</v>
      </c>
      <c r="M254" s="572">
        <f>IF(F254="",0,MONTH(A254))</f>
        <v>9</v>
      </c>
      <c r="P254" s="768" t="inlineStr">
        <is>
          <t>確認済</t>
        </is>
      </c>
      <c r="Q254" s="769" t="str">
        <f>IF($F254="","",IFERROR(VLOOKUP($C254&amp;"|"&amp;$D254,科目表!$A$5:$B$200,2,FALSE),"※未登録"))</f>
        <v>図書印刷費</v>
      </c>
      <c r="R254" s="769">
        <f>IF($F254="","",$I254+$J254+$K254)</f>
        <v>0</v>
      </c>
      <c r="S254" s="769" t="str">
        <f>IF(OR($F254="",$P254="支払なし",$H254=0,$Q254=""),"",$Q254&amp;"|S|"&amp;(COUNTIF(S$4:S253,$Q254&amp;"|S|*")+1))</f>
        <v>図書印刷費|S|11</v>
      </c>
      <c r="T254" s="769" t="str">
        <f>IF(OR($F254="",$P254="支払なし",$R254=0,$Q254=""),"",$Q254&amp;"|L|"&amp;(COUNTIF(T$4:T253,$Q254&amp;"|L|*")+1))</f>
        <v/>
      </c>
      <c r="U254" s="769">
        <f>IF(OR($F254="",$A254=""),"",MOD(MONTH($A254)-4,12)+1)</f>
        <v>6</v>
      </c>
    </row>
    <row r="255" ht="16.5" customFormat="1" customHeight="1" s="422">
      <c r="A255" s="760" t="n">
        <v>44420</v>
      </c>
      <c r="B255" s="761" t="n"/>
      <c r="C255" s="762" t="inlineStr">
        <is>
          <t>事務費</t>
        </is>
      </c>
      <c r="D255" s="762" t="inlineStr">
        <is>
          <t>雑費</t>
        </is>
      </c>
      <c r="E255" s="775" t="inlineStr">
        <is>
          <t>ＪＡ残高証明書（手数料）R3.6.30時点　他</t>
        </is>
      </c>
      <c r="F255" s="764" t="n">
        <v>990</v>
      </c>
      <c r="G255" s="764" t="n">
        <v>2</v>
      </c>
      <c r="H255" s="765">
        <f>IF(G255=1,F255-I255-J255-K255,IF(G255=2,F255,0))</f>
        <v>990</v>
      </c>
      <c r="I255" s="765">
        <f>ROUND(IF(G255=1,F255*10/23,IF(G255=3,F255-J255-K255,IF(G255=4,F255,IF(G255=5,F255*10/11,IF(G255=7,F255*10/11,0))))),0)</f>
        <v>0</v>
      </c>
      <c r="J255" s="765">
        <f>ROUND(IF(G255=1,F255/23,IF(G255=3,F255/12,IF(G255=5,F255-I255,IF(G255=8,F255,0)))),0)</f>
        <v>0</v>
      </c>
      <c r="K255" s="766">
        <f>ROUND(IF(G255=1,F255/23,IF(G255=3,F255/12,IF(G255=6,F255,IF(G255=7,F255-I255,0)))),0)</f>
        <v>0</v>
      </c>
      <c r="L255" s="767">
        <f>IF(G255=6,F255,0)</f>
        <v>0</v>
      </c>
      <c r="M255" s="421">
        <f>IF(F255="",0,MONTH(A255))</f>
        <v>8</v>
      </c>
      <c r="P255" s="768" t="inlineStr">
        <is>
          <t>昨年実績</t>
        </is>
      </c>
      <c r="Q255" s="769" t="str">
        <f>IF($F255="","",IFERROR(VLOOKUP($C255&amp;"|"&amp;$D255,科目表!$A$5:$B$200,2,FALSE),"※未登録"))</f>
        <v>事務費・雑費</v>
      </c>
      <c r="R255" s="769">
        <f>IF($F255="","",$I255+$J255+$K255)</f>
        <v>0</v>
      </c>
      <c r="S255" s="769" t="str">
        <f>IF(OR($F255="",$P255="支払なし",$H255=0,$Q255=""),"",$Q255&amp;"|S|"&amp;(COUNTIF(S$4:S254,$Q255&amp;"|S|*")+1))</f>
        <v>事務費・雑費|S|9</v>
      </c>
      <c r="T255" s="769" t="str">
        <f>IF(OR($F255="",$P255="支払なし",$R255=0,$Q255=""),"",$Q255&amp;"|L|"&amp;(COUNTIF(T$4:T254,$Q255&amp;"|L|*")+1))</f>
        <v/>
      </c>
      <c r="U255" s="769">
        <f>IF(OR($F255="",$A255=""),"",MOD(MONTH($A255)-4,12)+1)</f>
        <v>5</v>
      </c>
    </row>
    <row r="256" ht="16.5" customFormat="1" customHeight="1" s="422">
      <c r="A256" s="760" t="n">
        <v>46244</v>
      </c>
      <c r="B256" s="761" t="n"/>
      <c r="C256" s="762" t="inlineStr">
        <is>
          <t>旅費</t>
        </is>
      </c>
      <c r="D256" s="762" t="n"/>
      <c r="E256" s="775" t="inlineStr">
        <is>
          <t>8/28地方公務員共済の長期給付に係る資金運用・財政等に関する全国説明会　福岡市　山田理事</t>
        </is>
      </c>
      <c r="F256" s="764" t="n">
        <v>18140</v>
      </c>
      <c r="G256" s="764" t="n">
        <v>3</v>
      </c>
      <c r="H256" s="765">
        <f>IF(G256=1,F256-I256-J256-K256,IF(G256=2,F256,0))</f>
        <v>0</v>
      </c>
      <c r="I256" s="765">
        <f>ROUND(IF(G256=1,F256*10/23,IF(G256=3,F256-J256-K256,IF(G256=4,F256,IF(G256=5,F256*10/11,IF(G256=7,F256*10/11,0))))),0)</f>
        <v>15116</v>
      </c>
      <c r="J256" s="765">
        <f>ROUND(IF(G256=1,F256/23,IF(G256=3,F256/12,IF(G256=5,F256-I256,IF(G256=8,F256,0)))),0)</f>
        <v>1512</v>
      </c>
      <c r="K256" s="766">
        <f>ROUND(IF(G256=1,F256/23,IF(G256=3,F256/12,IF(G256=6,F256,IF(G256=7,F256-I256,0)))),0)</f>
        <v>1512</v>
      </c>
      <c r="L256" s="767">
        <f>IF(G256=6,F256,0)</f>
        <v>0</v>
      </c>
      <c r="M256" s="421">
        <f>IF(F256="",0,MONTH(A256))</f>
        <v>8</v>
      </c>
      <c r="P256" s="768" t="inlineStr">
        <is>
          <t>昨年実績</t>
        </is>
      </c>
      <c r="Q256" s="769" t="str">
        <f>IF($F256="","",IFERROR(VLOOKUP($C256&amp;"|"&amp;$D256,科目表!$A$5:$B$200,2,FALSE),"※未登録"))</f>
        <v>旅費</v>
      </c>
      <c r="R256" s="769">
        <f>IF($F256="","",$I256+$J256+$K256)</f>
        <v>18140</v>
      </c>
      <c r="S256" s="769" t="str">
        <f>IF(OR($F256="",$P256="支払なし",$H256=0,$Q256=""),"",$Q256&amp;"|S|"&amp;(COUNTIF(S$4:S255,$Q256&amp;"|S|*")+1))</f>
        <v/>
      </c>
      <c r="T256" s="769" t="str">
        <f>IF(OR($F256="",$P256="支払なし",$R256=0,$Q256=""),"",$Q256&amp;"|L|"&amp;(COUNTIF(T$4:T255,$Q256&amp;"|L|*")+1))</f>
        <v>旅費|L|9</v>
      </c>
      <c r="U256" s="769">
        <f>IF(OR($F256="",$A256=""),"",MOD(MONTH($A256)-4,12)+1)</f>
        <v>5</v>
      </c>
    </row>
    <row r="257" ht="16.5" customFormat="1" customHeight="1" s="422">
      <c r="A257" s="760" t="n">
        <v>45198</v>
      </c>
      <c r="B257" s="761" t="n"/>
      <c r="C257" s="762" t="inlineStr">
        <is>
          <t>旅費</t>
        </is>
      </c>
      <c r="D257" s="762" t="n"/>
      <c r="E257" s="775" t="inlineStr">
        <is>
          <t>9/29　長期給付に係る資金運用・財政等に関する全国説明会　山田理事欠席　精算金</t>
        </is>
      </c>
      <c r="F257" s="764" t="n">
        <v>-22380</v>
      </c>
      <c r="G257" s="764" t="n">
        <v>1</v>
      </c>
      <c r="H257" s="765">
        <f>IF(G257=1,F257-I257-J257-K257,IF(G257=2,F257,0))</f>
        <v>-10704</v>
      </c>
      <c r="I257" s="765">
        <f>ROUND(IF(G257=1,F257*10/23,IF(G257=3,F257-J257-K257,IF(G257=4,F257,IF(G257=5,F257*10/11,IF(G257=7,F257*10/11,0))))),0)</f>
        <v>-9730</v>
      </c>
      <c r="J257" s="765">
        <f>ROUND(IF(G257=1,F257/23,IF(G257=3,F257/12,IF(G257=5,F257-I257,IF(G257=8,F257,0)))),0)</f>
        <v>-973</v>
      </c>
      <c r="K257" s="766">
        <f>ROUND(IF(G257=1,F257/23,IF(G257=3,F257/12,IF(G257=6,F257,IF(G257=7,F257-I257,0)))),0)</f>
        <v>-973</v>
      </c>
      <c r="L257" s="767">
        <f>IF(G257=6,F257,0)</f>
        <v>0</v>
      </c>
      <c r="M257" s="421">
        <f>IF(F257="",0,MONTH(A257))</f>
        <v>9</v>
      </c>
      <c r="P257" s="768" t="inlineStr">
        <is>
          <t>昨年実績</t>
        </is>
      </c>
      <c r="Q257" s="769" t="str">
        <f>IF($F257="","",IFERROR(VLOOKUP($C257&amp;"|"&amp;$D257,科目表!$A$5:$B$200,2,FALSE),"※未登録"))</f>
        <v>旅費</v>
      </c>
      <c r="R257" s="769">
        <f>IF($F257="","",$I257+$J257+$K257)</f>
        <v>-11676</v>
      </c>
      <c r="S257" s="769" t="str">
        <f>IF(OR($F257="",$P257="支払なし",$H257=0,$Q257=""),"",$Q257&amp;"|S|"&amp;(COUNTIF(S$4:S256,$Q257&amp;"|S|*")+1))</f>
        <v>旅費|S|10</v>
      </c>
      <c r="T257" s="769" t="str">
        <f>IF(OR($F257="",$P257="支払なし",$R257=0,$Q257=""),"",$Q257&amp;"|L|"&amp;(COUNTIF(T$4:T256,$Q257&amp;"|L|*")+1))</f>
        <v>旅費|L|10</v>
      </c>
      <c r="U257" s="769">
        <f>IF(OR($F257="",$A257=""),"",MOD(MONTH($A257)-4,12)+1)</f>
        <v>6</v>
      </c>
    </row>
    <row r="258" ht="16.5" customFormat="1" customHeight="1" s="43">
      <c r="A258" s="760" t="n">
        <v>46283</v>
      </c>
      <c r="B258" s="761" t="n"/>
      <c r="C258" s="762" t="inlineStr">
        <is>
          <t>委託費</t>
        </is>
      </c>
      <c r="D258" s="762" t="n"/>
      <c r="E258" s="763" t="inlineStr">
        <is>
          <t>レセプト電子データ提供料（６月診療分）</t>
        </is>
      </c>
      <c r="F258" s="764" t="n">
        <v>57533</v>
      </c>
      <c r="G258" s="764" t="n">
        <v>2</v>
      </c>
      <c r="H258" s="765">
        <f>IF(G258=1,F258-I258-J258-K258,IF(G258=2,F258,0))</f>
        <v>57533</v>
      </c>
      <c r="I258" s="765">
        <f>ROUND(IF(G258=1,F258*10/23,IF(G258=3,F258-J258-K258,IF(G258=4,F258,IF(G258=5,F258*10/11,IF(G258=7,F258*10/11,0))))),0)</f>
        <v>0</v>
      </c>
      <c r="J258" s="765">
        <f>ROUND(IF(G258=1,F258/23,IF(G258=3,F258/12,IF(G258=5,F258-I258,IF(G258=8,F258,0)))),0)</f>
        <v>0</v>
      </c>
      <c r="K258" s="766">
        <f>ROUND(IF(G258=1,F258/23,IF(G258=3,F258/12,IF(G258=6,F258,IF(G258=7,F258-I258,0)))),0)</f>
        <v>0</v>
      </c>
      <c r="L258" s="767">
        <f>IF(G258=6,F258,0)</f>
        <v>0</v>
      </c>
      <c r="M258" s="572">
        <f>IF(F258="",0,MONTH(A258))</f>
        <v>9</v>
      </c>
      <c r="P258" s="768" t="inlineStr">
        <is>
          <t>確認済</t>
        </is>
      </c>
      <c r="Q258" s="769" t="str">
        <f>IF($F258="","",IFERROR(VLOOKUP($C258&amp;"|"&amp;$D258,科目表!$A$5:$B$200,2,FALSE),"※未登録"))</f>
        <v>委託費</v>
      </c>
      <c r="R258" s="769">
        <f>IF($F258="","",$I258+$J258+$K258)</f>
        <v>0</v>
      </c>
      <c r="S258" s="769" t="str">
        <f>IF(OR($F258="",$P258="支払なし",$H258=0,$Q258=""),"",$Q258&amp;"|S|"&amp;(COUNTIF(S$4:S257,$Q258&amp;"|S|*")+1))</f>
        <v>委託費|S|26</v>
      </c>
      <c r="T258" s="769" t="str">
        <f>IF(OR($F258="",$P258="支払なし",$R258=0,$Q258=""),"",$Q258&amp;"|L|"&amp;(COUNTIF(T$4:T257,$Q258&amp;"|L|*")+1))</f>
        <v/>
      </c>
      <c r="U258" s="769">
        <f>IF(OR($F258="",$A258=""),"",MOD(MONTH($A258)-4,12)+1)</f>
        <v>6</v>
      </c>
    </row>
    <row r="259" ht="16.5" customFormat="1" customHeight="1" s="422">
      <c r="A259" s="760" t="n">
        <v>44460</v>
      </c>
      <c r="B259" s="761" t="n"/>
      <c r="C259" s="762" t="inlineStr">
        <is>
          <t>事務費</t>
        </is>
      </c>
      <c r="D259" s="762" t="inlineStr">
        <is>
          <t>通信運搬費</t>
        </is>
      </c>
      <c r="E259" s="762" t="inlineStr">
        <is>
          <t>電話料金（８月使用・９月請求分）</t>
        </is>
      </c>
      <c r="F259" s="772" t="n">
        <v>5408</v>
      </c>
      <c r="G259" s="772" t="n">
        <v>2</v>
      </c>
      <c r="H259" s="765">
        <f>IF(G259=1,F259-I259-J259-K259,IF(G259=2,F259,0))</f>
        <v>5408</v>
      </c>
      <c r="I259" s="765">
        <f>ROUND(IF(G259=1,F259*10/23,IF(G259=3,F259-J259-K259,IF(G259=4,F259,IF(G259=5,F259*10/11,IF(G259=7,F259*10/11,0))))),0)</f>
        <v>0</v>
      </c>
      <c r="J259" s="765">
        <f>ROUND(IF(G259=1,F259/23,IF(G259=3,F259/12,IF(G259=5,F259-I259,IF(G259=8,F259,0)))),0)</f>
        <v>0</v>
      </c>
      <c r="K259" s="766">
        <f>ROUND(IF(G259=1,F259/23,IF(G259=3,F259/12,IF(G259=6,F259,IF(G259=7,F259-I259,0)))),0)</f>
        <v>0</v>
      </c>
      <c r="L259" s="767">
        <f>IF(G259=6,F259,0)</f>
        <v>0</v>
      </c>
      <c r="M259" s="421">
        <f>IF(F259="",0,MONTH(A259))</f>
        <v>9</v>
      </c>
      <c r="P259" s="768" t="inlineStr">
        <is>
          <t>昨年実績</t>
        </is>
      </c>
      <c r="Q259" s="769" t="str">
        <f>IF($F259="","",IFERROR(VLOOKUP($C259&amp;"|"&amp;$D259,科目表!$A$5:$B$200,2,FALSE),"※未登録"))</f>
        <v>通信運搬費</v>
      </c>
      <c r="R259" s="769">
        <f>IF($F259="","",$I259+$J259+$K259)</f>
        <v>0</v>
      </c>
      <c r="S259" s="769" t="str">
        <f>IF(OR($F259="",$P259="支払なし",$H259=0,$Q259=""),"",$Q259&amp;"|S|"&amp;(COUNTIF(S$4:S258,$Q259&amp;"|S|*")+1))</f>
        <v>通信運搬費|S|26</v>
      </c>
      <c r="T259" s="769" t="str">
        <f>IF(OR($F259="",$P259="支払なし",$R259=0,$Q259=""),"",$Q259&amp;"|L|"&amp;(COUNTIF(T$4:T258,$Q259&amp;"|L|*")+1))</f>
        <v/>
      </c>
      <c r="U259" s="769">
        <f>IF(OR($F259="",$A259=""),"",MOD(MONTH($A259)-4,12)+1)</f>
        <v>6</v>
      </c>
    </row>
    <row r="260" ht="16.5" customFormat="1" customHeight="1" s="43">
      <c r="A260" s="760" t="n">
        <v>46295</v>
      </c>
      <c r="B260" s="761" t="n"/>
      <c r="C260" s="762" t="inlineStr">
        <is>
          <t>事務費</t>
        </is>
      </c>
      <c r="D260" s="762" t="inlineStr">
        <is>
          <t>送金料</t>
        </is>
      </c>
      <c r="E260" s="775" t="inlineStr">
        <is>
          <t>ゆうちょ銀行手数料（８月分）短期</t>
        </is>
      </c>
      <c r="F260" s="764" t="n">
        <v>17222</v>
      </c>
      <c r="G260" s="764" t="n">
        <v>2</v>
      </c>
      <c r="H260" s="765">
        <f>IF(G260=1,F260-I260-J260-K260,IF(G260=2,F260,0))</f>
        <v>17222</v>
      </c>
      <c r="I260" s="765">
        <f>ROUND(IF(G260=1,F260*10/23,IF(G260=3,F260-J260-K260,IF(G260=4,F260,IF(G260=5,F260*10/11,IF(G260=7,F260*10/11,0))))),0)</f>
        <v>0</v>
      </c>
      <c r="J260" s="765">
        <f>ROUND(IF(G260=1,F260/23,IF(G260=3,F260/12,IF(G260=5,F260-I260,IF(G260=8,F260,0)))),0)</f>
        <v>0</v>
      </c>
      <c r="K260" s="766">
        <f>ROUND(IF(G260=1,F260/23,IF(G260=3,F260/12,IF(G260=6,F260,IF(G260=7,F260-I260,0)))),0)</f>
        <v>0</v>
      </c>
      <c r="L260" s="767">
        <f>IF(G260=6,F260,0)</f>
        <v>0</v>
      </c>
      <c r="M260" s="572">
        <f>IF(F260="",0,MONTH(A260))</f>
        <v>9</v>
      </c>
      <c r="P260" s="768" t="inlineStr">
        <is>
          <t>確認済</t>
        </is>
      </c>
      <c r="Q260" s="769" t="str">
        <f>IF($F260="","",IFERROR(VLOOKUP($C260&amp;"|"&amp;$D260,科目表!$A$5:$B$200,2,FALSE),"※未登録"))</f>
        <v>送金料</v>
      </c>
      <c r="R260" s="769">
        <f>IF($F260="","",$I260+$J260+$K260)</f>
        <v>0</v>
      </c>
      <c r="S260" s="769" t="str">
        <f>IF(OR($F260="",$P260="支払なし",$H260=0,$Q260=""),"",$Q260&amp;"|S|"&amp;(COUNTIF(S$4:S259,$Q260&amp;"|S|*")+1))</f>
        <v>送金料|S|10</v>
      </c>
      <c r="T260" s="769" t="str">
        <f>IF(OR($F260="",$P260="支払なし",$R260=0,$Q260=""),"",$Q260&amp;"|L|"&amp;(COUNTIF(T$4:T259,$Q260&amp;"|L|*")+1))</f>
        <v/>
      </c>
      <c r="U260" s="769">
        <f>IF(OR($F260="",$A260=""),"",MOD(MONTH($A260)-4,12)+1)</f>
        <v>6</v>
      </c>
    </row>
    <row r="261" ht="16.5" customFormat="1" customHeight="1" s="43">
      <c r="A261" s="760" t="n">
        <v>46295</v>
      </c>
      <c r="B261" s="761" t="n"/>
      <c r="C261" s="762" t="inlineStr">
        <is>
          <t>事務費</t>
        </is>
      </c>
      <c r="D261" s="762" t="inlineStr">
        <is>
          <t>雑費</t>
        </is>
      </c>
      <c r="E261" s="775" t="inlineStr">
        <is>
          <t>ゆうちょ銀行振替口座残高証明（８月分）短期</t>
        </is>
      </c>
      <c r="F261" s="764" t="n">
        <v>550</v>
      </c>
      <c r="G261" s="764" t="n">
        <v>2</v>
      </c>
      <c r="H261" s="765">
        <f>IF(G261=1,F261-I261-J261-K261,IF(G261=2,F261,0))</f>
        <v>550</v>
      </c>
      <c r="I261" s="765">
        <f>ROUND(IF(G261=1,F261*10/23,IF(G261=3,F261-J261-K261,IF(G261=4,F261,IF(G261=5,F261*10/11,IF(G261=7,F261*10/11,0))))),0)</f>
        <v>0</v>
      </c>
      <c r="J261" s="765">
        <f>ROUND(IF(G261=1,F261/23,IF(G261=3,F261/12,IF(G261=5,F261-I261,IF(G261=8,F261,0)))),0)</f>
        <v>0</v>
      </c>
      <c r="K261" s="766">
        <f>ROUND(IF(G261=1,F261/23,IF(G261=3,F261/12,IF(G261=6,F261,IF(G261=7,F261-I261,0)))),0)</f>
        <v>0</v>
      </c>
      <c r="L261" s="767">
        <f>IF(G261=6,F261,0)</f>
        <v>0</v>
      </c>
      <c r="M261" s="572">
        <f>IF(F261="",0,MONTH(A261))</f>
        <v>9</v>
      </c>
      <c r="P261" s="768" t="inlineStr">
        <is>
          <t>確認済</t>
        </is>
      </c>
      <c r="Q261" s="769" t="str">
        <f>IF($F261="","",IFERROR(VLOOKUP($C261&amp;"|"&amp;$D261,科目表!$A$5:$B$200,2,FALSE),"※未登録"))</f>
        <v>事務費・雑費</v>
      </c>
      <c r="R261" s="769">
        <f>IF($F261="","",$I261+$J261+$K261)</f>
        <v>0</v>
      </c>
      <c r="S261" s="769" t="str">
        <f>IF(OR($F261="",$P261="支払なし",$H261=0,$Q261=""),"",$Q261&amp;"|S|"&amp;(COUNTIF(S$4:S260,$Q261&amp;"|S|*")+1))</f>
        <v>事務費・雑費|S|10</v>
      </c>
      <c r="T261" s="769" t="str">
        <f>IF(OR($F261="",$P261="支払なし",$R261=0,$Q261=""),"",$Q261&amp;"|L|"&amp;(COUNTIF(T$4:T260,$Q261&amp;"|L|*")+1))</f>
        <v/>
      </c>
      <c r="U261" s="769">
        <f>IF(OR($F261="",$A261=""),"",MOD(MONTH($A261)-4,12)+1)</f>
        <v>6</v>
      </c>
    </row>
    <row r="262" ht="16.5" customFormat="1" customHeight="1" s="422">
      <c r="A262" s="760" t="n">
        <v>44092</v>
      </c>
      <c r="B262" s="761" t="n"/>
      <c r="C262" s="762" t="inlineStr">
        <is>
          <t>職員給与</t>
        </is>
      </c>
      <c r="D262" s="762" t="inlineStr">
        <is>
          <t>非常勤職員手当</t>
        </is>
      </c>
      <c r="E262" s="762" t="inlineStr">
        <is>
          <t>９月分給与（長期分）</t>
        </is>
      </c>
      <c r="F262" s="764" t="n">
        <v>340401</v>
      </c>
      <c r="G262" s="772" t="n">
        <v>3</v>
      </c>
      <c r="H262" s="765">
        <f>IF(G262=1,F262-I262-J262-K262,IF(G262=2,F262,0))</f>
        <v>0</v>
      </c>
      <c r="I262" s="765">
        <f>ROUND(IF(G262=1,F262*10/23,IF(G262=3,F262-J262-K262,IF(G262=4,F262,IF(G262=5,F262*10/11,IF(G262=7,F262*10/11,0))))),0)</f>
        <v>283667</v>
      </c>
      <c r="J262" s="765">
        <f>ROUND(IF(G262=1,F262/23,IF(G262=3,F262/12,IF(G262=5,F262-I262,IF(G262=8,F262,0)))),0)</f>
        <v>28367</v>
      </c>
      <c r="K262" s="766">
        <f>ROUND(IF(G262=1,F262/23,IF(G262=3,F262/12,IF(G262=6,F262,IF(G262=7,F262-I262,0)))),0)</f>
        <v>28367</v>
      </c>
      <c r="L262" s="767">
        <f>IF(G262=6,F262,0)</f>
        <v>0</v>
      </c>
      <c r="M262" s="421">
        <f>IF(F262="",0,MONTH(A262))</f>
        <v>9</v>
      </c>
      <c r="P262" s="768" t="inlineStr">
        <is>
          <t>昨年実績</t>
        </is>
      </c>
      <c r="Q262" s="769" t="str">
        <f>IF($F262="","",IFERROR(VLOOKUP($C262&amp;"|"&amp;$D262,科目表!$A$5:$B$200,2,FALSE),"※未登録"))</f>
        <v>非常勤職員手当</v>
      </c>
      <c r="R262" s="769">
        <f>IF($F262="","",$I262+$J262+$K262)</f>
        <v>340401</v>
      </c>
      <c r="S262" s="769" t="str">
        <f>IF(OR($F262="",$P262="支払なし",$H262=0,$Q262=""),"",$Q262&amp;"|S|"&amp;(COUNTIF(S$4:S261,$Q262&amp;"|S|*")+1))</f>
        <v/>
      </c>
      <c r="T262" s="769" t="str">
        <f>IF(OR($F262="",$P262="支払なし",$R262=0,$Q262=""),"",$Q262&amp;"|L|"&amp;(COUNTIF(T$4:T261,$Q262&amp;"|L|*")+1))</f>
        <v>非常勤職員手当|L|7</v>
      </c>
      <c r="U262" s="769">
        <f>IF(OR($F262="",$A262=""),"",MOD(MONTH($A262)-4,12)+1)</f>
        <v>6</v>
      </c>
    </row>
    <row r="263" ht="16.5" customFormat="1" customHeight="1" s="422">
      <c r="A263" s="760" t="n"/>
      <c r="B263" s="761" t="n"/>
      <c r="C263" s="762" t="n"/>
      <c r="D263" s="762" t="n"/>
      <c r="E263" s="762" t="n"/>
      <c r="F263" s="764" t="n"/>
      <c r="G263" s="764" t="n"/>
      <c r="H263" s="765">
        <f>IF(G263=1,F263-I263-J263-K263,IF(G263=2,F263,0))</f>
        <v>0</v>
      </c>
      <c r="I263" s="765">
        <f>ROUND(IF(G263=1,F263*10/23,IF(G263=3,F263-J263-K263,IF(G263=4,F263,IF(G263=5,F263*10/11,IF(G263=7,F263*10/11,0))))),0)</f>
        <v>0</v>
      </c>
      <c r="J263" s="765">
        <f>ROUND(IF(G263=1,F263/23,IF(G263=3,F263/12,IF(G263=5,F263-I263,IF(G263=8,F263,0)))),0)</f>
        <v>0</v>
      </c>
      <c r="K263" s="766">
        <f>ROUND(IF(G263=1,F263/23,IF(G263=3,F263/12,IF(G263=6,F263,IF(G263=7,F263-I263,0)))),0)</f>
        <v>0</v>
      </c>
      <c r="L263" s="767">
        <f>IF(G263=6,F263,0)</f>
        <v>0</v>
      </c>
      <c r="M263" s="421">
        <f>IF(F263="",0,MONTH(A263))</f>
        <v>0</v>
      </c>
      <c r="P263" s="768" t="n"/>
      <c r="Q263" s="769" t="str">
        <f>IF($F263="","",IFERROR(VLOOKUP($C263&amp;"|"&amp;$D263,科目表!$A$5:$B$200,2,FALSE),"※未登録"))</f>
        <v/>
      </c>
      <c r="R263" s="769" t="str">
        <f>IF($F263="","",$I263+$J263+$K263)</f>
        <v/>
      </c>
      <c r="S263" s="769" t="str">
        <f>IF(OR($F263="",$P263="支払なし",$H263=0,$Q263=""),"",$Q263&amp;"|S|"&amp;(COUNTIF(S$4:S262,$Q263&amp;"|S|*")+1))</f>
        <v/>
      </c>
      <c r="T263" s="769" t="str">
        <f>IF(OR($F263="",$P263="支払なし",$R263=0,$Q263=""),"",$Q263&amp;"|L|"&amp;(COUNTIF(T$4:T262,$Q263&amp;"|L|*")+1))</f>
        <v/>
      </c>
      <c r="U263" s="769" t="str">
        <f>IF(OR($F263="",$A263=""),"",MOD(MONTH($A263)-4,12)+1)</f>
        <v/>
      </c>
    </row>
    <row r="264" ht="16.5" customFormat="1" customHeight="1" s="43">
      <c r="A264" s="760" t="n">
        <v>46283</v>
      </c>
      <c r="B264" s="761" t="n"/>
      <c r="C264" s="762" t="inlineStr">
        <is>
          <t>職員給与</t>
        </is>
      </c>
      <c r="D264" s="762" t="inlineStr">
        <is>
          <t>非常勤職員手当</t>
        </is>
      </c>
      <c r="E264" s="762" t="inlineStr">
        <is>
          <t>９月分給与（長期分）</t>
        </is>
      </c>
      <c r="F264" s="774" t="n">
        <v>380800</v>
      </c>
      <c r="G264" s="772" t="n">
        <v>3</v>
      </c>
      <c r="H264" s="765">
        <f>IF(G264=1,F264-I264-J264-K264,IF(G264=2,F264,0))</f>
        <v>0</v>
      </c>
      <c r="I264" s="765">
        <f>ROUND(IF(G264=1,F264*10/23,IF(G264=3,F264-J264-K264,IF(G264=4,F264,IF(G264=5,F264*10/11,IF(G264=7,F264*10/11,0))))),0)</f>
        <v>317334</v>
      </c>
      <c r="J264" s="765">
        <f>ROUND(IF(G264=1,F264/23,IF(G264=3,F264/12,IF(G264=5,F264-I264,IF(G264=8,F264,0)))),0)</f>
        <v>31733</v>
      </c>
      <c r="K264" s="766">
        <f>ROUND(IF(G264=1,F264/23,IF(G264=3,F264/12,IF(G264=6,F264,IF(G264=7,F264-I264,0)))),0)</f>
        <v>31733</v>
      </c>
      <c r="L264" s="767">
        <f>IF(G264=6,F264,0)</f>
        <v>0</v>
      </c>
      <c r="M264" s="572">
        <f>IF(F264="",0,MONTH(A264))</f>
        <v>9</v>
      </c>
      <c r="P264" s="768" t="inlineStr">
        <is>
          <t>確認済</t>
        </is>
      </c>
      <c r="Q264" s="769" t="str">
        <f>IF($F264="","",IFERROR(VLOOKUP($C264&amp;"|"&amp;$D264,科目表!$A$5:$B$200,2,FALSE),"※未登録"))</f>
        <v>非常勤職員手当</v>
      </c>
      <c r="R264" s="769">
        <f>IF($F264="","",$I264+$J264+$K264)</f>
        <v>380800</v>
      </c>
      <c r="S264" s="769" t="str">
        <f>IF(OR($F264="",$P264="支払なし",$H264=0,$Q264=""),"",$Q264&amp;"|S|"&amp;(COUNTIF(S$4:S263,$Q264&amp;"|S|*")+1))</f>
        <v/>
      </c>
      <c r="T264" s="769" t="str">
        <f>IF(OR($F264="",$P264="支払なし",$R264=0,$Q264=""),"",$Q264&amp;"|L|"&amp;(COUNTIF(T$4:T263,$Q264&amp;"|L|*")+1))</f>
        <v>非常勤職員手当|L|8</v>
      </c>
      <c r="U264" s="769">
        <f>IF(OR($F264="",$A264=""),"",MOD(MONTH($A264)-4,12)+1)</f>
        <v>6</v>
      </c>
    </row>
    <row r="265" ht="16.5" customFormat="1" customHeight="1" s="43">
      <c r="A265" s="760" t="n">
        <v>46283</v>
      </c>
      <c r="B265" s="761" t="n"/>
      <c r="C265" s="762" t="inlineStr">
        <is>
          <t>職員給与</t>
        </is>
      </c>
      <c r="D265" s="762" t="inlineStr">
        <is>
          <t>非常勤職員手当</t>
        </is>
      </c>
      <c r="E265" s="762" t="inlineStr">
        <is>
          <t>９月分給与（短期分）</t>
        </is>
      </c>
      <c r="F265" s="771" t="n">
        <v>258776</v>
      </c>
      <c r="G265" s="772" t="n">
        <v>2</v>
      </c>
      <c r="H265" s="765">
        <f>IF(G265=1,F265-I265-J265-K265,IF(G265=2,F265,0))</f>
        <v>258776</v>
      </c>
      <c r="I265" s="765">
        <f>ROUND(IF(G265=1,F265*10/23,IF(G265=3,F265-J265-K265,IF(G265=4,F265,IF(G265=5,F265*10/11,IF(G265=7,F265*10/11,0))))),0)</f>
        <v>0</v>
      </c>
      <c r="J265" s="765">
        <f>ROUND(IF(G265=1,F265/23,IF(G265=3,F265/12,IF(G265=5,F265-I265,IF(G265=8,F265,0)))),0)</f>
        <v>0</v>
      </c>
      <c r="K265" s="766">
        <f>ROUND(IF(G265=1,F265/23,IF(G265=3,F265/12,IF(G265=6,F265,IF(G265=7,F265-I265,0)))),0)</f>
        <v>0</v>
      </c>
      <c r="L265" s="767">
        <f>IF(G265=6,F265,0)</f>
        <v>0</v>
      </c>
      <c r="M265" s="572">
        <f>IF(F265="",0,MONTH(A265))</f>
        <v>9</v>
      </c>
      <c r="P265" s="768" t="inlineStr">
        <is>
          <t>確認済</t>
        </is>
      </c>
      <c r="Q265" s="769" t="str">
        <f>IF($F265="","",IFERROR(VLOOKUP($C265&amp;"|"&amp;$D265,科目表!$A$5:$B$200,2,FALSE),"※未登録"))</f>
        <v>非常勤職員手当</v>
      </c>
      <c r="R265" s="769">
        <f>IF($F265="","",$I265+$J265+$K265)</f>
        <v>0</v>
      </c>
      <c r="S265" s="769" t="str">
        <f>IF(OR($F265="",$P265="支払なし",$H265=0,$Q265=""),"",$Q265&amp;"|S|"&amp;(COUNTIF(S$4:S264,$Q265&amp;"|S|*")+1))</f>
        <v>非常勤職員手当|S|7</v>
      </c>
      <c r="T265" s="769" t="str">
        <f>IF(OR($F265="",$P265="支払なし",$R265=0,$Q265=""),"",$Q265&amp;"|L|"&amp;(COUNTIF(T$4:T264,$Q265&amp;"|L|*")+1))</f>
        <v/>
      </c>
      <c r="U265" s="769">
        <f>IF(OR($F265="",$A265=""),"",MOD(MONTH($A265)-4,12)+1)</f>
        <v>6</v>
      </c>
    </row>
    <row r="266" ht="16.5" customFormat="1" customHeight="1" s="43">
      <c r="A266" s="760" t="n">
        <v>46283</v>
      </c>
      <c r="B266" s="761" t="n"/>
      <c r="C266" s="762" t="inlineStr">
        <is>
          <t>負担金</t>
        </is>
      </c>
      <c r="D266" s="762" t="inlineStr">
        <is>
          <t>互助会費</t>
        </is>
      </c>
      <c r="E266" s="762" t="inlineStr">
        <is>
          <t>助成金（９月長期分）</t>
        </is>
      </c>
      <c r="F266" s="774" t="n">
        <v>466</v>
      </c>
      <c r="G266" s="764" t="n">
        <v>3</v>
      </c>
      <c r="H266" s="765">
        <f>IF(G266=1,F266-I266-J266-K266,IF(G266=2,F266,0))</f>
        <v>0</v>
      </c>
      <c r="I266" s="765">
        <f>ROUND(IF(G266=1,F266*10/23,IF(G266=3,F266-J266-K266,IF(G266=4,F266,IF(G266=5,F266*10/11,IF(G266=7,F266*10/11,0))))),0)</f>
        <v>388</v>
      </c>
      <c r="J266" s="765">
        <f>ROUND(IF(G266=1,F266/23,IF(G266=3,F266/12,IF(G266=5,F266-I266,IF(G266=8,F266,0)))),0)</f>
        <v>39</v>
      </c>
      <c r="K266" s="766">
        <f>ROUND(IF(G266=1,F266/23,IF(G266=3,F266/12,IF(G266=6,F266,IF(G266=7,F266-I266,0)))),0)</f>
        <v>39</v>
      </c>
      <c r="L266" s="767">
        <f>IF(G266=6,F266,0)</f>
        <v>0</v>
      </c>
      <c r="M266" s="572">
        <f>IF(F266="",0,MONTH(A266))</f>
        <v>9</v>
      </c>
      <c r="P266" s="768" t="inlineStr">
        <is>
          <t>確認済</t>
        </is>
      </c>
      <c r="Q266" s="769" t="str">
        <f>IF($F266="","",IFERROR(VLOOKUP($C266&amp;"|"&amp;$D266,科目表!$A$5:$B$200,2,FALSE),"※未登録"))</f>
        <v>互助会費</v>
      </c>
      <c r="R266" s="769">
        <f>IF($F266="","",$I266+$J266+$K266)</f>
        <v>466</v>
      </c>
      <c r="S266" s="769" t="str">
        <f>IF(OR($F266="",$P266="支払なし",$H266=0,$Q266=""),"",$Q266&amp;"|S|"&amp;(COUNTIF(S$4:S265,$Q266&amp;"|S|*")+1))</f>
        <v/>
      </c>
      <c r="T266" s="769" t="str">
        <f>IF(OR($F266="",$P266="支払なし",$R266=0,$Q266=""),"",$Q266&amp;"|L|"&amp;(COUNTIF(T$4:T265,$Q266&amp;"|L|*")+1))</f>
        <v>互助会費|L|6</v>
      </c>
      <c r="U266" s="769">
        <f>IF(OR($F266="",$A266=""),"",MOD(MONTH($A266)-4,12)+1)</f>
        <v>6</v>
      </c>
    </row>
    <row r="267" ht="16.5" customFormat="1" customHeight="1" s="43">
      <c r="A267" s="760" t="n">
        <v>46283</v>
      </c>
      <c r="B267" s="761" t="n"/>
      <c r="C267" s="762" t="inlineStr">
        <is>
          <t>負担金</t>
        </is>
      </c>
      <c r="D267" s="762" t="inlineStr">
        <is>
          <t>互助会費</t>
        </is>
      </c>
      <c r="E267" s="762" t="inlineStr">
        <is>
          <t>助成金（９月短期分）</t>
        </is>
      </c>
      <c r="F267" s="774" t="n">
        <v>240</v>
      </c>
      <c r="G267" s="764" t="n">
        <v>2</v>
      </c>
      <c r="H267" s="765">
        <f>IF(G267=1,F267-I267-J267-K267,IF(G267=2,F267,0))</f>
        <v>240</v>
      </c>
      <c r="I267" s="765">
        <f>ROUND(IF(G267=1,F267*10/23,IF(G267=3,F267-J267-K267,IF(G267=4,F267,IF(G267=5,F267*10/11,IF(G267=7,F267*10/11,0))))),0)</f>
        <v>0</v>
      </c>
      <c r="J267" s="765">
        <f>ROUND(IF(G267=1,F267/23,IF(G267=3,F267/12,IF(G267=5,F267-I267,IF(G267=8,F267,0)))),0)</f>
        <v>0</v>
      </c>
      <c r="K267" s="766">
        <f>ROUND(IF(G267=1,F267/23,IF(G267=3,F267/12,IF(G267=6,F267,IF(G267=7,F267-I267,0)))),0)</f>
        <v>0</v>
      </c>
      <c r="L267" s="767">
        <f>IF(G267=6,F267,0)</f>
        <v>0</v>
      </c>
      <c r="M267" s="572">
        <f>IF(F267="",0,MONTH(A267))</f>
        <v>9</v>
      </c>
      <c r="P267" s="768" t="inlineStr">
        <is>
          <t>確認済</t>
        </is>
      </c>
      <c r="Q267" s="769" t="str">
        <f>IF($F267="","",IFERROR(VLOOKUP($C267&amp;"|"&amp;$D267,科目表!$A$5:$B$200,2,FALSE),"※未登録"))</f>
        <v>互助会費</v>
      </c>
      <c r="R267" s="769">
        <f>IF($F267="","",$I267+$J267+$K267)</f>
        <v>0</v>
      </c>
      <c r="S267" s="769" t="str">
        <f>IF(OR($F267="",$P267="支払なし",$H267=0,$Q267=""),"",$Q267&amp;"|S|"&amp;(COUNTIF(S$4:S266,$Q267&amp;"|S|*")+1))</f>
        <v>互助会費|S|6</v>
      </c>
      <c r="T267" s="769" t="str">
        <f>IF(OR($F267="",$P267="支払なし",$R267=0,$Q267=""),"",$Q267&amp;"|L|"&amp;(COUNTIF(T$4:T266,$Q267&amp;"|L|*")+1))</f>
        <v/>
      </c>
      <c r="U267" s="769">
        <f>IF(OR($F267="",$A267=""),"",MOD(MONTH($A267)-4,12)+1)</f>
        <v>6</v>
      </c>
    </row>
    <row r="268" ht="16.5" customFormat="1" customHeight="1" s="422">
      <c r="A268" s="760" t="n">
        <v>45518</v>
      </c>
      <c r="B268" s="761" t="n"/>
      <c r="C268" s="762" t="inlineStr">
        <is>
          <t>事務費</t>
        </is>
      </c>
      <c r="D268" s="762" t="inlineStr">
        <is>
          <t>通信運搬費</t>
        </is>
      </c>
      <c r="E268" s="773" t="inlineStr">
        <is>
          <t>切手</t>
        </is>
      </c>
      <c r="F268" s="764" t="n">
        <v>83820</v>
      </c>
      <c r="G268" s="764" t="n">
        <v>3</v>
      </c>
      <c r="H268" s="765">
        <f>IF(G268=1,F268-I268-J268-K268,IF(G268=2,F268,0))</f>
        <v>0</v>
      </c>
      <c r="I268" s="765">
        <f>ROUND(IF(G268=1,F268*10/23,IF(G268=3,F268-J268-K268,IF(G268=4,F268,IF(G268=5,F268*10/11,IF(G268=7,F268*10/11,0))))),0)</f>
        <v>69850</v>
      </c>
      <c r="J268" s="765">
        <f>ROUND(IF(G268=1,F268/23,IF(G268=3,F268/12,IF(G268=5,F268-I268,IF(G268=8,F268,0)))),0)</f>
        <v>6985</v>
      </c>
      <c r="K268" s="766">
        <f>ROUND(IF(G268=1,F268/23,IF(G268=3,F268/12,IF(G268=6,F268,IF(G268=7,F268-I268,0)))),0)</f>
        <v>6985</v>
      </c>
      <c r="L268" s="767">
        <f>IF(G268=6,F268,0)</f>
        <v>0</v>
      </c>
      <c r="M268" s="421">
        <f>IF(F268="",0,MONTH(A268))</f>
        <v>8</v>
      </c>
      <c r="P268" s="768" t="inlineStr">
        <is>
          <t>昨年実績</t>
        </is>
      </c>
      <c r="Q268" s="769" t="str">
        <f>IF($F268="","",IFERROR(VLOOKUP($C268&amp;"|"&amp;$D268,科目表!$A$5:$B$200,2,FALSE),"※未登録"))</f>
        <v>通信運搬費</v>
      </c>
      <c r="R268" s="769">
        <f>IF($F268="","",$I268+$J268+$K268)</f>
        <v>83820</v>
      </c>
      <c r="S268" s="769" t="str">
        <f>IF(OR($F268="",$P268="支払なし",$H268=0,$Q268=""),"",$Q268&amp;"|S|"&amp;(COUNTIF(S$4:S267,$Q268&amp;"|S|*")+1))</f>
        <v/>
      </c>
      <c r="T268" s="769" t="str">
        <f>IF(OR($F268="",$P268="支払なし",$R268=0,$Q268=""),"",$Q268&amp;"|L|"&amp;(COUNTIF(T$4:T267,$Q268&amp;"|L|*")+1))</f>
        <v>通信運搬費|L|9</v>
      </c>
      <c r="U268" s="769">
        <f>IF(OR($F268="",$A268=""),"",MOD(MONTH($A268)-4,12)+1)</f>
        <v>5</v>
      </c>
    </row>
    <row r="269" ht="16.5" customFormat="1" customHeight="1" s="43">
      <c r="A269" s="760" t="n">
        <v>46280</v>
      </c>
      <c r="B269" s="761" t="n"/>
      <c r="C269" s="762" t="inlineStr">
        <is>
          <t>厚生費</t>
        </is>
      </c>
      <c r="D269" s="762" t="inlineStr">
        <is>
          <t>健康診断費</t>
        </is>
      </c>
      <c r="E269" s="770" t="inlineStr">
        <is>
          <t>定期健康診断等（高橋、天畠、西本）</t>
        </is>
      </c>
      <c r="F269" s="795" t="n">
        <v>14894</v>
      </c>
      <c r="G269" s="772" t="n">
        <v>2</v>
      </c>
      <c r="H269" s="765">
        <f>IF(G269=1,F269-I269-J269-K269,IF(G269=2,F269,0))</f>
        <v>14894</v>
      </c>
      <c r="I269" s="765">
        <f>ROUND(IF(G269=1,F269*10/23,IF(G269=3,F269-J269-K269,IF(G269=4,F269,IF(G269=5,F269*10/11,IF(G269=7,F269*10/11,0))))),0)</f>
        <v>0</v>
      </c>
      <c r="J269" s="765">
        <f>ROUND(IF(G269=1,F269/23,IF(G269=3,F269/12,IF(G269=5,F269-I269,IF(G269=8,F269,0)))),0)</f>
        <v>0</v>
      </c>
      <c r="K269" s="766">
        <f>ROUND(IF(G269=1,F269/23,IF(G269=3,F269/12,IF(G269=6,F269,IF(G269=7,F269-I269,0)))),0)</f>
        <v>0</v>
      </c>
      <c r="L269" s="767">
        <f>IF(G269=6,F269,0)</f>
        <v>0</v>
      </c>
      <c r="M269" s="572">
        <f>IF(F269="",0,MONTH(A269))</f>
        <v>9</v>
      </c>
      <c r="P269" s="768" t="inlineStr">
        <is>
          <t>確認済</t>
        </is>
      </c>
      <c r="Q269" s="769" t="str">
        <f>IF($F269="","",IFERROR(VLOOKUP($C269&amp;"|"&amp;$D269,科目表!$A$5:$B$200,2,FALSE),"※未登録"))</f>
        <v>厚生費</v>
      </c>
      <c r="R269" s="769">
        <f>IF($F269="","",$I269+$J269+$K269)</f>
        <v>0</v>
      </c>
      <c r="S269" s="769" t="str">
        <f>IF(OR($F269="",$P269="支払なし",$H269=0,$Q269=""),"",$Q269&amp;"|S|"&amp;(COUNTIF(S$4:S268,$Q269&amp;"|S|*")+1))</f>
        <v>厚生費|S|3</v>
      </c>
      <c r="T269" s="769" t="str">
        <f>IF(OR($F269="",$P269="支払なし",$R269=0,$Q269=""),"",$Q269&amp;"|L|"&amp;(COUNTIF(T$4:T268,$Q269&amp;"|L|*")+1))</f>
        <v/>
      </c>
      <c r="U269" s="769">
        <f>IF(OR($F269="",$A269=""),"",MOD(MONTH($A269)-4,12)+1)</f>
        <v>6</v>
      </c>
    </row>
    <row r="270" ht="16.5" customFormat="1" customHeight="1" s="43">
      <c r="A270" s="760" t="n">
        <v>46280</v>
      </c>
      <c r="B270" s="761" t="n"/>
      <c r="C270" s="762" t="inlineStr">
        <is>
          <t>厚生費</t>
        </is>
      </c>
      <c r="D270" s="762" t="inlineStr">
        <is>
          <t>健康診断費</t>
        </is>
      </c>
      <c r="E270" s="796" t="inlineStr">
        <is>
          <t>情報機器作業従事員健康診断（上久保）</t>
        </is>
      </c>
      <c r="F270" s="797" t="n">
        <v>1980</v>
      </c>
      <c r="G270" s="772" t="n">
        <v>3</v>
      </c>
      <c r="H270" s="765">
        <f>IF(G270=1,F270-I270-J270-K270,IF(G270=2,F270,0))</f>
        <v>0</v>
      </c>
      <c r="I270" s="765">
        <f>ROUND(IF(G270=1,F270*10/23,IF(G270=3,F270-J270-K270,IF(G270=4,F270,IF(G270=5,F270*10/11,IF(G270=7,F270*10/11,0))))),0)</f>
        <v>1650</v>
      </c>
      <c r="J270" s="765">
        <f>ROUND(IF(G270=1,F270/23,IF(G270=3,F270/12,IF(G270=5,F270-I270,IF(G270=8,F270,0)))),0)</f>
        <v>165</v>
      </c>
      <c r="K270" s="766">
        <f>ROUND(IF(G270=1,F270/23,IF(G270=3,F270/12,IF(G270=6,F270,IF(G270=7,F270-I270,0)))),0)</f>
        <v>165</v>
      </c>
      <c r="L270" s="767">
        <f>IF(G270=6,F270,0)</f>
        <v>0</v>
      </c>
      <c r="M270" s="572">
        <f>IF(F270="",0,MONTH(A270))</f>
        <v>9</v>
      </c>
      <c r="P270" s="768" t="inlineStr">
        <is>
          <t>確認済</t>
        </is>
      </c>
      <c r="Q270" s="769" t="str">
        <f>IF($F270="","",IFERROR(VLOOKUP($C270&amp;"|"&amp;$D270,科目表!$A$5:$B$200,2,FALSE),"※未登録"))</f>
        <v>厚生費</v>
      </c>
      <c r="R270" s="769">
        <f>IF($F270="","",$I270+$J270+$K270)</f>
        <v>1980</v>
      </c>
      <c r="S270" s="769" t="str">
        <f>IF(OR($F270="",$P270="支払なし",$H270=0,$Q270=""),"",$Q270&amp;"|S|"&amp;(COUNTIF(S$4:S269,$Q270&amp;"|S|*")+1))</f>
        <v/>
      </c>
      <c r="T270" s="769" t="str">
        <f>IF(OR($F270="",$P270="支払なし",$R270=0,$Q270=""),"",$Q270&amp;"|L|"&amp;(COUNTIF(T$4:T269,$Q270&amp;"|L|*")+1))</f>
        <v>厚生費|L|2</v>
      </c>
      <c r="U270" s="769">
        <f>IF(OR($F270="",$A270=""),"",MOD(MONTH($A270)-4,12)+1)</f>
        <v>6</v>
      </c>
    </row>
    <row r="271" ht="20.25" customFormat="1" customHeight="1" s="43">
      <c r="A271" s="760" t="n">
        <v>46294</v>
      </c>
      <c r="B271" s="761" t="n"/>
      <c r="C271" s="762" t="inlineStr">
        <is>
          <t>賃借料</t>
        </is>
      </c>
      <c r="D271" s="762" t="n"/>
      <c r="E271" s="762" t="inlineStr">
        <is>
          <t>パソコン（業務経理用）８月分</t>
        </is>
      </c>
      <c r="F271" s="772" t="n">
        <v>5060</v>
      </c>
      <c r="G271" s="772" t="n">
        <v>2</v>
      </c>
      <c r="H271" s="765">
        <f>IF(G271=1,F271-I271-J271-K271,IF(G271=2,F271,0))</f>
        <v>5060</v>
      </c>
      <c r="I271" s="765">
        <f>ROUND(IF(G271=1,F271*10/23,IF(G271=3,F271-J271-K271,IF(G271=4,F271,IF(G271=5,F271*10/11,IF(G271=7,F271*10/11,0))))),0)</f>
        <v>0</v>
      </c>
      <c r="J271" s="765">
        <f>ROUND(IF(G271=1,F271/23,IF(G271=3,F271/12,IF(G271=5,F271-I271,IF(G271=8,F271,0)))),0)</f>
        <v>0</v>
      </c>
      <c r="K271" s="766">
        <f>ROUND(IF(G271=1,F271/23,IF(G271=3,F271/12,IF(G271=6,F271,IF(G271=7,F271-I271,0)))),0)</f>
        <v>0</v>
      </c>
      <c r="L271" s="767">
        <f>IF(G271=6,F271,0)</f>
        <v>0</v>
      </c>
      <c r="M271" s="572">
        <f>IF(F271="",0,MONTH(A271))</f>
        <v>9</v>
      </c>
      <c r="P271" s="768" t="inlineStr">
        <is>
          <t>確認済</t>
        </is>
      </c>
      <c r="Q271" s="769" t="str">
        <f>IF($F271="","",IFERROR(VLOOKUP($C271&amp;"|"&amp;$D271,科目表!$A$5:$B$200,2,FALSE),"※未登録"))</f>
        <v>賃借料</v>
      </c>
      <c r="R271" s="769">
        <f>IF($F271="","",$I271+$J271+$K271)</f>
        <v>0</v>
      </c>
      <c r="S271" s="769" t="str">
        <f>IF(OR($F271="",$P271="支払なし",$H271=0,$Q271=""),"",$Q271&amp;"|S|"&amp;(COUNTIF(S$4:S270,$Q271&amp;"|S|*")+1))</f>
        <v>賃借料|S|23</v>
      </c>
      <c r="T271" s="769" t="str">
        <f>IF(OR($F271="",$P271="支払なし",$R271=0,$Q271=""),"",$Q271&amp;"|L|"&amp;(COUNTIF(T$4:T270,$Q271&amp;"|L|*")+1))</f>
        <v/>
      </c>
      <c r="U271" s="769">
        <f>IF(OR($F271="",$A271=""),"",MOD(MONTH($A271)-4,12)+1)</f>
        <v>6</v>
      </c>
    </row>
    <row r="272" ht="20.25" customFormat="1" customHeight="1" s="422">
      <c r="A272" s="760" t="n">
        <v>44468</v>
      </c>
      <c r="B272" s="761" t="n"/>
      <c r="C272" s="762" t="inlineStr">
        <is>
          <t>賃借料</t>
        </is>
      </c>
      <c r="D272" s="762" t="n"/>
      <c r="E272" s="781" t="inlineStr">
        <is>
          <t>ﾊﾟｿｺﾝｳｨﾙｽ対策ｿﾌﾄ(業務用)ｻﾝﾈｯﾄ（８月分）</t>
        </is>
      </c>
      <c r="F272" s="772" t="n">
        <v>2090</v>
      </c>
      <c r="G272" s="772" t="n">
        <v>2</v>
      </c>
      <c r="H272" s="765">
        <f>IF(G272=1,F272-I272-J272-K272,IF(G272=2,F272,0))</f>
        <v>2090</v>
      </c>
      <c r="I272" s="765">
        <f>ROUND(IF(G272=1,F272*10/23,IF(G272=3,F272-J272-K272,IF(G272=4,F272,IF(G272=5,F272*10/11,IF(G272=7,F272*10/11,0))))),0)</f>
        <v>0</v>
      </c>
      <c r="J272" s="765">
        <f>ROUND(IF(G272=1,F272/23,IF(G272=3,F272/12,IF(G272=5,F272-I272,IF(G272=8,F272,0)))),0)</f>
        <v>0</v>
      </c>
      <c r="K272" s="766">
        <f>ROUND(IF(G272=1,F272/23,IF(G272=3,F272/12,IF(G272=6,F272,IF(G272=7,F272-I272,0)))),0)</f>
        <v>0</v>
      </c>
      <c r="L272" s="767">
        <f>IF(G272=6,F272,0)</f>
        <v>0</v>
      </c>
      <c r="M272" s="421">
        <f>IF(F272="",0,MONTH(A272))</f>
        <v>9</v>
      </c>
      <c r="P272" s="768" t="inlineStr">
        <is>
          <t>昨年実績</t>
        </is>
      </c>
      <c r="Q272" s="769" t="str">
        <f>IF($F272="","",IFERROR(VLOOKUP($C272&amp;"|"&amp;$D272,科目表!$A$5:$B$200,2,FALSE),"※未登録"))</f>
        <v>賃借料</v>
      </c>
      <c r="R272" s="769">
        <f>IF($F272="","",$I272+$J272+$K272)</f>
        <v>0</v>
      </c>
      <c r="S272" s="769" t="str">
        <f>IF(OR($F272="",$P272="支払なし",$H272=0,$Q272=""),"",$Q272&amp;"|S|"&amp;(COUNTIF(S$4:S271,$Q272&amp;"|S|*")+1))</f>
        <v>賃借料|S|24</v>
      </c>
      <c r="T272" s="769" t="str">
        <f>IF(OR($F272="",$P272="支払なし",$R272=0,$Q272=""),"",$Q272&amp;"|L|"&amp;(COUNTIF(T$4:T271,$Q272&amp;"|L|*")+1))</f>
        <v/>
      </c>
      <c r="U272" s="769">
        <f>IF(OR($F272="",$A272=""),"",MOD(MONTH($A272)-4,12)+1)</f>
        <v>6</v>
      </c>
    </row>
    <row r="273" ht="16.5" customFormat="1" customHeight="1" s="43">
      <c r="A273" s="760" t="n">
        <v>46283</v>
      </c>
      <c r="B273" s="761" t="n"/>
      <c r="C273" s="762" t="inlineStr">
        <is>
          <t>連合会分担金</t>
        </is>
      </c>
      <c r="D273" s="762" t="inlineStr">
        <is>
          <t>市町村連合会分担金</t>
        </is>
      </c>
      <c r="E273" s="784" t="inlineStr">
        <is>
          <t>令和８年度連合会分担金（短期給付事務費分）</t>
        </is>
      </c>
      <c r="F273" s="764" t="n">
        <v>20439958</v>
      </c>
      <c r="G273" s="764" t="n">
        <v>2</v>
      </c>
      <c r="H273" s="765">
        <f>IF(G273=1,F273-I273-J273-K273,IF(G273=2,F273,0))</f>
        <v>20439958</v>
      </c>
      <c r="I273" s="765">
        <f>ROUND(IF(G273=1,F273*10/23,IF(G273=3,F273-J273-K273,IF(G273=4,F273,IF(G273=5,F273*10/11,IF(G273=7,F273*10/11,0))))),0)</f>
        <v>0</v>
      </c>
      <c r="J273" s="765">
        <f>ROUND(IF(G273=1,F273/23,IF(G273=3,F273/12,IF(G273=5,F273-I273,IF(G273=8,F273,0)))),0)</f>
        <v>0</v>
      </c>
      <c r="K273" s="766">
        <f>ROUND(IF(G273=1,F273/23,IF(G273=3,F273/12,IF(G273=6,F273,IF(G273=7,F273-I273,0)))),0)</f>
        <v>0</v>
      </c>
      <c r="L273" s="767">
        <f>IF(G273=6,F273,0)</f>
        <v>0</v>
      </c>
      <c r="M273" s="572">
        <f>IF(F273="",0,MONTH(A273))</f>
        <v>9</v>
      </c>
      <c r="P273" s="768" t="inlineStr">
        <is>
          <t>確認済</t>
        </is>
      </c>
      <c r="Q273" s="769" t="str">
        <f>IF($F273="","",IFERROR(VLOOKUP($C273&amp;"|"&amp;$D273,科目表!$A$5:$B$200,2,FALSE),"※未登録"))</f>
        <v>連合会分担金</v>
      </c>
      <c r="R273" s="769">
        <f>IF($F273="","",$I273+$J273+$K273)</f>
        <v>0</v>
      </c>
      <c r="S273" s="769" t="str">
        <f>IF(OR($F273="",$P273="支払なし",$H273=0,$Q273=""),"",$Q273&amp;"|S|"&amp;(COUNTIF(S$4:S272,$Q273&amp;"|S|*")+1))</f>
        <v>連合会分担金|S|1</v>
      </c>
      <c r="T273" s="769" t="str">
        <f>IF(OR($F273="",$P273="支払なし",$R273=0,$Q273=""),"",$Q273&amp;"|L|"&amp;(COUNTIF(T$4:T272,$Q273&amp;"|L|*")+1))</f>
        <v/>
      </c>
      <c r="U273" s="769">
        <f>IF(OR($F273="",$A273=""),"",MOD(MONTH($A273)-4,12)+1)</f>
        <v>6</v>
      </c>
    </row>
    <row r="274" ht="16.5" customFormat="1" customHeight="1" s="422">
      <c r="A274" s="760" t="n">
        <v>44469</v>
      </c>
      <c r="B274" s="761" t="n"/>
      <c r="C274" s="762" t="inlineStr">
        <is>
          <t>委託費</t>
        </is>
      </c>
      <c r="D274" s="762" t="n"/>
      <c r="E274" s="777" t="inlineStr">
        <is>
          <t>短期給付個人番号管理システム端末保守サービス（8月分）</t>
        </is>
      </c>
      <c r="F274" s="764" t="n">
        <v>385</v>
      </c>
      <c r="G274" s="764" t="n">
        <v>2</v>
      </c>
      <c r="H274" s="765">
        <f>IF(G274=1,F274-I274-J274-K274,IF(G274=2,F274,0))</f>
        <v>385</v>
      </c>
      <c r="I274" s="765">
        <f>ROUND(IF(G274=1,F274*10/23,IF(G274=3,F274-J274-K274,IF(G274=4,F274,IF(G274=5,F274*10/11,IF(G274=7,F274*10/11,0))))),0)</f>
        <v>0</v>
      </c>
      <c r="J274" s="765">
        <f>ROUND(IF(G274=1,F274/23,IF(G274=3,F274/12,IF(G274=5,F274-I274,IF(G274=8,F274,0)))),0)</f>
        <v>0</v>
      </c>
      <c r="K274" s="766">
        <f>ROUND(IF(G274=1,F274/23,IF(G274=3,F274/12,IF(G274=6,F274,IF(G274=7,F274-I274,0)))),0)</f>
        <v>0</v>
      </c>
      <c r="L274" s="767">
        <f>IF(G274=6,F274,0)</f>
        <v>0</v>
      </c>
      <c r="M274" s="421">
        <f>IF(F274="",0,MONTH(A274))</f>
        <v>9</v>
      </c>
      <c r="P274" s="768" t="inlineStr">
        <is>
          <t>昨年実績</t>
        </is>
      </c>
      <c r="Q274" s="769" t="str">
        <f>IF($F274="","",IFERROR(VLOOKUP($C274&amp;"|"&amp;$D274,科目表!$A$5:$B$200,2,FALSE),"※未登録"))</f>
        <v>委託費</v>
      </c>
      <c r="R274" s="769">
        <f>IF($F274="","",$I274+$J274+$K274)</f>
        <v>0</v>
      </c>
      <c r="S274" s="769" t="str">
        <f>IF(OR($F274="",$P274="支払なし",$H274=0,$Q274=""),"",$Q274&amp;"|S|"&amp;(COUNTIF(S$4:S273,$Q274&amp;"|S|*")+1))</f>
        <v>委託費|S|27</v>
      </c>
      <c r="T274" s="769" t="str">
        <f>IF(OR($F274="",$P274="支払なし",$R274=0,$Q274=""),"",$Q274&amp;"|L|"&amp;(COUNTIF(T$4:T273,$Q274&amp;"|L|*")+1))</f>
        <v/>
      </c>
      <c r="U274" s="769">
        <f>IF(OR($F274="",$A274=""),"",MOD(MONTH($A274)-4,12)+1)</f>
        <v>6</v>
      </c>
    </row>
    <row r="275" ht="16.5" customFormat="1" customHeight="1" s="422">
      <c r="A275" s="760" t="n">
        <v>45198</v>
      </c>
      <c r="B275" s="761" t="n"/>
      <c r="C275" s="762" t="inlineStr">
        <is>
          <t>事務費</t>
        </is>
      </c>
      <c r="D275" s="762" t="inlineStr">
        <is>
          <t>通信運搬費</t>
        </is>
      </c>
      <c r="E275" s="798" t="inlineStr">
        <is>
          <t>メール便（任継者宛厚生だより８・９月分）</t>
        </is>
      </c>
      <c r="F275" s="772" t="n">
        <v>37296</v>
      </c>
      <c r="G275" s="772" t="n">
        <v>2</v>
      </c>
      <c r="H275" s="765">
        <f>IF(G275=1,F275-I275-J275-K275,IF(G275=2,F275,0))</f>
        <v>37296</v>
      </c>
      <c r="I275" s="765">
        <f>ROUND(IF(G275=1,F275*10/23,IF(G275=3,F275-J275-K275,IF(G275=4,F275,IF(G275=5,F275*10/11,IF(G275=7,F275*10/11,0))))),0)</f>
        <v>0</v>
      </c>
      <c r="J275" s="765">
        <f>ROUND(IF(G275=1,F275/23,IF(G275=3,F275/12,IF(G275=5,F275-I275,IF(G275=8,F275,0)))),0)</f>
        <v>0</v>
      </c>
      <c r="K275" s="766">
        <f>ROUND(IF(G275=1,F275/23,IF(G275=3,F275/12,IF(G275=6,F275,IF(G275=7,F275-I275,0)))),0)</f>
        <v>0</v>
      </c>
      <c r="L275" s="767">
        <f>IF(G275=6,F275,0)</f>
        <v>0</v>
      </c>
      <c r="M275" s="421">
        <f>IF(F275="",0,MONTH(A275))</f>
        <v>9</v>
      </c>
      <c r="P275" s="768" t="inlineStr">
        <is>
          <t>昨年実績</t>
        </is>
      </c>
      <c r="Q275" s="769" t="str">
        <f>IF($F275="","",IFERROR(VLOOKUP($C275&amp;"|"&amp;$D275,科目表!$A$5:$B$200,2,FALSE),"※未登録"))</f>
        <v>通信運搬費</v>
      </c>
      <c r="R275" s="769">
        <f>IF($F275="","",$I275+$J275+$K275)</f>
        <v>0</v>
      </c>
      <c r="S275" s="769" t="str">
        <f>IF(OR($F275="",$P275="支払なし",$H275=0,$Q275=""),"",$Q275&amp;"|S|"&amp;(COUNTIF(S$4:S274,$Q275&amp;"|S|*")+1))</f>
        <v>通信運搬費|S|27</v>
      </c>
      <c r="T275" s="769" t="str">
        <f>IF(OR($F275="",$P275="支払なし",$R275=0,$Q275=""),"",$Q275&amp;"|L|"&amp;(COUNTIF(T$4:T274,$Q275&amp;"|L|*")+1))</f>
        <v/>
      </c>
      <c r="U275" s="769">
        <f>IF(OR($F275="",$A275=""),"",MOD(MONTH($A275)-4,12)+1)</f>
        <v>6</v>
      </c>
    </row>
    <row r="276" ht="16.5" customFormat="1" customHeight="1" s="422">
      <c r="A276" s="760" t="n">
        <v>45198</v>
      </c>
      <c r="B276" s="761" t="n"/>
      <c r="C276" s="762" t="inlineStr">
        <is>
          <t>事務費</t>
        </is>
      </c>
      <c r="D276" s="762" t="inlineStr">
        <is>
          <t>通信運搬費</t>
        </is>
      </c>
      <c r="E276" s="775" t="inlineStr">
        <is>
          <t>柔整申請書送付（８月分）</t>
        </is>
      </c>
      <c r="F276" s="764" t="n">
        <v>1489</v>
      </c>
      <c r="G276" s="764" t="n">
        <v>2</v>
      </c>
      <c r="H276" s="765">
        <f>IF(G276=1,F276-I276-J276-K276,IF(G276=2,F276,0))</f>
        <v>1489</v>
      </c>
      <c r="I276" s="765">
        <f>ROUND(IF(G276=1,F276*10/23,IF(G276=3,F276-J276-K276,IF(G276=4,F276,IF(G276=5,F276*10/11,IF(G276=7,F276*10/11,0))))),0)</f>
        <v>0</v>
      </c>
      <c r="J276" s="765">
        <f>ROUND(IF(G276=1,F276/23,IF(G276=3,F276/12,IF(G276=5,F276-I276,IF(G276=8,F276,0)))),0)</f>
        <v>0</v>
      </c>
      <c r="K276" s="766">
        <f>ROUND(IF(G276=1,F276/23,IF(G276=3,F276/12,IF(G276=6,F276,IF(G276=7,F276-I276,0)))),0)</f>
        <v>0</v>
      </c>
      <c r="L276" s="767">
        <f>IF(G276=6,F276,0)</f>
        <v>0</v>
      </c>
      <c r="M276" s="421">
        <f>IF(F276="",0,MONTH(A276))</f>
        <v>9</v>
      </c>
      <c r="P276" s="768" t="inlineStr">
        <is>
          <t>昨年実績</t>
        </is>
      </c>
      <c r="Q276" s="769" t="str">
        <f>IF($F276="","",IFERROR(VLOOKUP($C276&amp;"|"&amp;$D276,科目表!$A$5:$B$200,2,FALSE),"※未登録"))</f>
        <v>通信運搬費</v>
      </c>
      <c r="R276" s="769">
        <f>IF($F276="","",$I276+$J276+$K276)</f>
        <v>0</v>
      </c>
      <c r="S276" s="769" t="str">
        <f>IF(OR($F276="",$P276="支払なし",$H276=0,$Q276=""),"",$Q276&amp;"|S|"&amp;(COUNTIF(S$4:S275,$Q276&amp;"|S|*")+1))</f>
        <v>通信運搬費|S|28</v>
      </c>
      <c r="T276" s="769" t="str">
        <f>IF(OR($F276="",$P276="支払なし",$R276=0,$Q276=""),"",$Q276&amp;"|L|"&amp;(COUNTIF(T$4:T275,$Q276&amp;"|L|*")+1))</f>
        <v/>
      </c>
      <c r="U276" s="769">
        <f>IF(OR($F276="",$A276=""),"",MOD(MONTH($A276)-4,12)+1)</f>
        <v>6</v>
      </c>
    </row>
    <row r="277" ht="16.5" customFormat="1" customHeight="1" s="43">
      <c r="A277" s="760" t="n">
        <v>46294</v>
      </c>
      <c r="B277" s="761" t="n"/>
      <c r="C277" s="762" t="inlineStr">
        <is>
          <t>事務費</t>
        </is>
      </c>
      <c r="D277" s="762" t="inlineStr">
        <is>
          <t>通信運搬費</t>
        </is>
      </c>
      <c r="E277" s="762" t="inlineStr">
        <is>
          <t>料金後納利用料（８月分）</t>
        </is>
      </c>
      <c r="F277" s="772" t="n">
        <v>83355</v>
      </c>
      <c r="G277" s="772" t="n">
        <v>3</v>
      </c>
      <c r="H277" s="765">
        <f>IF(G277=1,F277-I277-J277-K277,IF(G277=2,F277,0))</f>
        <v>0</v>
      </c>
      <c r="I277" s="765">
        <f>ROUND(IF(G277=1,F277*10/23,IF(G277=3,F277-J277-K277,IF(G277=4,F277,IF(G277=5,F277*10/11,IF(G277=7,F277*10/11,0))))),0)</f>
        <v>69463</v>
      </c>
      <c r="J277" s="765">
        <f>ROUND(IF(G277=1,F277/23,IF(G277=3,F277/12,IF(G277=5,F277-I277,IF(G277=8,F277,0)))),0)</f>
        <v>6946</v>
      </c>
      <c r="K277" s="766">
        <f>ROUND(IF(G277=1,F277/23,IF(G277=3,F277/12,IF(G277=6,F277,IF(G277=7,F277-I277,0)))),0)</f>
        <v>6946</v>
      </c>
      <c r="L277" s="767">
        <f>IF(G277=6,F277,0)</f>
        <v>0</v>
      </c>
      <c r="M277" s="572">
        <f>IF(F277="",0,MONTH(A277))</f>
        <v>9</v>
      </c>
      <c r="P277" s="768" t="inlineStr">
        <is>
          <t>確認済</t>
        </is>
      </c>
      <c r="Q277" s="769" t="str">
        <f>IF($F277="","",IFERROR(VLOOKUP($C277&amp;"|"&amp;$D277,科目表!$A$5:$B$200,2,FALSE),"※未登録"))</f>
        <v>通信運搬費</v>
      </c>
      <c r="R277" s="769">
        <f>IF($F277="","",$I277+$J277+$K277)</f>
        <v>83355</v>
      </c>
      <c r="S277" s="769" t="str">
        <f>IF(OR($F277="",$P277="支払なし",$H277=0,$Q277=""),"",$Q277&amp;"|S|"&amp;(COUNTIF(S$4:S276,$Q277&amp;"|S|*")+1))</f>
        <v/>
      </c>
      <c r="T277" s="769" t="str">
        <f>IF(OR($F277="",$P277="支払なし",$R277=0,$Q277=""),"",$Q277&amp;"|L|"&amp;(COUNTIF(T$4:T276,$Q277&amp;"|L|*")+1))</f>
        <v>通信運搬費|L|10</v>
      </c>
      <c r="U277" s="769">
        <f>IF(OR($F277="",$A277=""),"",MOD(MONTH($A277)-4,12)+1)</f>
        <v>6</v>
      </c>
    </row>
    <row r="278" ht="16.5" customFormat="1" customHeight="1" s="43">
      <c r="A278" s="760" t="n">
        <v>46294</v>
      </c>
      <c r="B278" s="761" t="n"/>
      <c r="C278" s="762" t="inlineStr">
        <is>
          <t>事務費</t>
        </is>
      </c>
      <c r="D278" s="762" t="inlineStr">
        <is>
          <t>通信運搬費</t>
        </is>
      </c>
      <c r="E278" s="762" t="inlineStr">
        <is>
          <t>料金後納利用料（８月分）</t>
        </is>
      </c>
      <c r="F278" s="772" t="n">
        <v>26460</v>
      </c>
      <c r="G278" s="772" t="n">
        <v>2</v>
      </c>
      <c r="H278" s="765">
        <f>IF(G278=1,F278-I278-J278-K278,IF(G278=2,F278,0))</f>
        <v>26460</v>
      </c>
      <c r="I278" s="765">
        <f>ROUND(IF(G278=1,F278*10/23,IF(G278=3,F278-J278-K278,IF(G278=4,F278,IF(G278=5,F278*10/11,IF(G278=7,F278*10/11,0))))),0)</f>
        <v>0</v>
      </c>
      <c r="J278" s="765">
        <f>ROUND(IF(G278=1,F278/23,IF(G278=3,F278/12,IF(G278=5,F278-I278,IF(G278=8,F278,0)))),0)</f>
        <v>0</v>
      </c>
      <c r="K278" s="766">
        <f>ROUND(IF(G278=1,F278/23,IF(G278=3,F278/12,IF(G278=6,F278,IF(G278=7,F278-I278,0)))),0)</f>
        <v>0</v>
      </c>
      <c r="L278" s="767">
        <f>IF(G278=6,F278,0)</f>
        <v>0</v>
      </c>
      <c r="M278" s="572">
        <f>IF(F278="",0,MONTH(A278))</f>
        <v>9</v>
      </c>
      <c r="P278" s="768" t="inlineStr">
        <is>
          <t>確認済</t>
        </is>
      </c>
      <c r="Q278" s="769" t="str">
        <f>IF($F278="","",IFERROR(VLOOKUP($C278&amp;"|"&amp;$D278,科目表!$A$5:$B$200,2,FALSE),"※未登録"))</f>
        <v>通信運搬費</v>
      </c>
      <c r="R278" s="769">
        <f>IF($F278="","",$I278+$J278+$K278)</f>
        <v>0</v>
      </c>
      <c r="S278" s="769" t="str">
        <f>IF(OR($F278="",$P278="支払なし",$H278=0,$Q278=""),"",$Q278&amp;"|S|"&amp;(COUNTIF(S$4:S277,$Q278&amp;"|S|*")+1))</f>
        <v>通信運搬費|S|29</v>
      </c>
      <c r="T278" s="769" t="str">
        <f>IF(OR($F278="",$P278="支払なし",$R278=0,$Q278=""),"",$Q278&amp;"|L|"&amp;(COUNTIF(T$4:T277,$Q278&amp;"|L|*")+1))</f>
        <v/>
      </c>
      <c r="U278" s="769">
        <f>IF(OR($F278="",$A278=""),"",MOD(MONTH($A278)-4,12)+1)</f>
        <v>6</v>
      </c>
    </row>
    <row r="279" ht="16.5" customFormat="1" customHeight="1" s="422">
      <c r="A279" s="760" t="n">
        <v>43738</v>
      </c>
      <c r="B279" s="761" t="n"/>
      <c r="C279" s="762" t="inlineStr">
        <is>
          <t>賃借料</t>
        </is>
      </c>
      <c r="D279" s="762" t="n"/>
      <c r="E279" s="763" t="inlineStr">
        <is>
          <t>基幹システム（短期）用機器リース料８月分</t>
        </is>
      </c>
      <c r="F279" s="772" t="n">
        <v>193676</v>
      </c>
      <c r="G279" s="772" t="n">
        <v>2</v>
      </c>
      <c r="H279" s="765">
        <f>IF(G279=1,F279-I279-J279-K279,IF(G279=2,F279,0))</f>
        <v>193676</v>
      </c>
      <c r="I279" s="765">
        <f>ROUND(IF(G279=1,F279*10/23,IF(G279=3,F279-J279-K279,IF(G279=4,F279,IF(G279=5,F279*10/11,IF(G279=7,F279*10/11,0))))),0)</f>
        <v>0</v>
      </c>
      <c r="J279" s="765">
        <f>ROUND(IF(G279=1,F279/23,IF(G279=3,F279/12,IF(G279=5,F279-I279,IF(G279=8,F279,0)))),0)</f>
        <v>0</v>
      </c>
      <c r="K279" s="766">
        <f>ROUND(IF(G279=1,F279/23,IF(G279=3,F279/12,IF(G279=6,F279,IF(G279=7,F279-I279,0)))),0)</f>
        <v>0</v>
      </c>
      <c r="L279" s="767">
        <f>IF(G279=6,F279,0)</f>
        <v>0</v>
      </c>
      <c r="M279" s="421">
        <f>IF(F279="",0,MONTH(A279))</f>
        <v>9</v>
      </c>
      <c r="P279" s="768" t="inlineStr">
        <is>
          <t>昨年実績</t>
        </is>
      </c>
      <c r="Q279" s="769" t="str">
        <f>IF($F279="","",IFERROR(VLOOKUP($C279&amp;"|"&amp;$D279,科目表!$A$5:$B$200,2,FALSE),"※未登録"))</f>
        <v>賃借料</v>
      </c>
      <c r="R279" s="769">
        <f>IF($F279="","",$I279+$J279+$K279)</f>
        <v>0</v>
      </c>
      <c r="S279" s="769" t="str">
        <f>IF(OR($F279="",$P279="支払なし",$H279=0,$Q279=""),"",$Q279&amp;"|S|"&amp;(COUNTIF(S$4:S278,$Q279&amp;"|S|*")+1))</f>
        <v>賃借料|S|25</v>
      </c>
      <c r="T279" s="769" t="str">
        <f>IF(OR($F279="",$P279="支払なし",$R279=0,$Q279=""),"",$Q279&amp;"|L|"&amp;(COUNTIF(T$4:T278,$Q279&amp;"|L|*")+1))</f>
        <v/>
      </c>
      <c r="U279" s="769">
        <f>IF(OR($F279="",$A279=""),"",MOD(MONTH($A279)-4,12)+1)</f>
        <v>6</v>
      </c>
    </row>
    <row r="280" ht="16.5" customFormat="1" customHeight="1" s="43">
      <c r="A280" s="760" t="n">
        <v>46294</v>
      </c>
      <c r="B280" s="761" t="n"/>
      <c r="C280" s="762" t="inlineStr">
        <is>
          <t>賃借料</t>
        </is>
      </c>
      <c r="D280" s="762" t="n"/>
      <c r="E280" s="770" t="inlineStr">
        <is>
          <t>基幹システム用機器賃借料　8月分（短期）</t>
        </is>
      </c>
      <c r="F280" s="764" t="n">
        <v>672934</v>
      </c>
      <c r="G280" s="772" t="n">
        <v>2</v>
      </c>
      <c r="H280" s="765">
        <f>IF(G280=1,F280-I280-J280-K280,IF(G280=2,F280,0))</f>
        <v>672934</v>
      </c>
      <c r="I280" s="765">
        <f>ROUND(IF(G280=1,F280*10/23,IF(G280=3,F280-J280-K280,IF(G280=4,F280,IF(G280=5,F280*10/11,IF(G280=7,F280*10/11,0))))),0)</f>
        <v>0</v>
      </c>
      <c r="J280" s="765">
        <f>ROUND(IF(G280=1,F280/23,IF(G280=3,F280/12,IF(G280=5,F280-I280,IF(G280=8,F280,0)))),0)</f>
        <v>0</v>
      </c>
      <c r="K280" s="766">
        <f>ROUND(IF(G280=1,F280/23,IF(G280=3,F280/12,IF(G280=6,F280,IF(G280=7,F280-I280,0)))),0)</f>
        <v>0</v>
      </c>
      <c r="L280" s="767">
        <f>IF(G280=6,F280,0)</f>
        <v>0</v>
      </c>
      <c r="M280" s="572">
        <f>IF(F280="",0,MONTH(A280))</f>
        <v>9</v>
      </c>
      <c r="P280" s="768" t="inlineStr">
        <is>
          <t>確認済</t>
        </is>
      </c>
      <c r="Q280" s="769" t="str">
        <f>IF($F280="","",IFERROR(VLOOKUP($C280&amp;"|"&amp;$D280,科目表!$A$5:$B$200,2,FALSE),"※未登録"))</f>
        <v>賃借料</v>
      </c>
      <c r="R280" s="769">
        <f>IF($F280="","",$I280+$J280+$K280)</f>
        <v>0</v>
      </c>
      <c r="S280" s="769" t="str">
        <f>IF(OR($F280="",$P280="支払なし",$H280=0,$Q280=""),"",$Q280&amp;"|S|"&amp;(COUNTIF(S$4:S279,$Q280&amp;"|S|*")+1))</f>
        <v>賃借料|S|26</v>
      </c>
      <c r="T280" s="769" t="str">
        <f>IF(OR($F280="",$P280="支払なし",$R280=0,$Q280=""),"",$Q280&amp;"|L|"&amp;(COUNTIF(T$4:T279,$Q280&amp;"|L|*")+1))</f>
        <v/>
      </c>
      <c r="U280" s="769">
        <f>IF(OR($F280="",$A280=""),"",MOD(MONTH($A280)-4,12)+1)</f>
        <v>6</v>
      </c>
    </row>
    <row r="281" ht="16.5" customFormat="1" customHeight="1" s="43">
      <c r="A281" s="760" t="n">
        <v>46294</v>
      </c>
      <c r="B281" s="761" t="n"/>
      <c r="C281" s="762" t="inlineStr">
        <is>
          <t>賃借料</t>
        </is>
      </c>
      <c r="D281" s="762" t="n"/>
      <c r="E281" s="770" t="inlineStr">
        <is>
          <t>基幹システム用機器賃借料　8月分（長期）</t>
        </is>
      </c>
      <c r="F281" s="772" t="n">
        <v>69613</v>
      </c>
      <c r="G281" s="772" t="n">
        <v>3</v>
      </c>
      <c r="H281" s="765">
        <f>IF(G281=1,F281-I281-J281-K281,IF(G281=2,F281,0))</f>
        <v>0</v>
      </c>
      <c r="I281" s="765">
        <f>ROUND(IF(G281=1,F281*10/23,IF(G281=3,F281-J281-K281,IF(G281=4,F281,IF(G281=5,F281*10/11,IF(G281=7,F281*10/11,0))))),0)</f>
        <v>58011</v>
      </c>
      <c r="J281" s="765">
        <f>ROUND(IF(G281=1,F281/23,IF(G281=3,F281/12,IF(G281=5,F281-I281,IF(G281=8,F281,0)))),0)</f>
        <v>5801</v>
      </c>
      <c r="K281" s="766">
        <f>ROUND(IF(G281=1,F281/23,IF(G281=3,F281/12,IF(G281=6,F281,IF(G281=7,F281-I281,0)))),0)</f>
        <v>5801</v>
      </c>
      <c r="L281" s="767">
        <f>IF(G281=6,F281,0)</f>
        <v>0</v>
      </c>
      <c r="M281" s="572">
        <f>IF(F281="",0,MONTH(A281))</f>
        <v>9</v>
      </c>
      <c r="P281" s="768" t="inlineStr">
        <is>
          <t>確認済</t>
        </is>
      </c>
      <c r="Q281" s="769" t="str">
        <f>IF($F281="","",IFERROR(VLOOKUP($C281&amp;"|"&amp;$D281,科目表!$A$5:$B$200,2,FALSE),"※未登録"))</f>
        <v>賃借料</v>
      </c>
      <c r="R281" s="769">
        <f>IF($F281="","",$I281+$J281+$K281)</f>
        <v>69613</v>
      </c>
      <c r="S281" s="769" t="str">
        <f>IF(OR($F281="",$P281="支払なし",$H281=0,$Q281=""),"",$Q281&amp;"|S|"&amp;(COUNTIF(S$4:S280,$Q281&amp;"|S|*")+1))</f>
        <v/>
      </c>
      <c r="T281" s="769" t="str">
        <f>IF(OR($F281="",$P281="支払なし",$R281=0,$Q281=""),"",$Q281&amp;"|L|"&amp;(COUNTIF(T$4:T280,$Q281&amp;"|L|*")+1))</f>
        <v>賃借料|L|6</v>
      </c>
      <c r="U281" s="769">
        <f>IF(OR($F281="",$A281=""),"",MOD(MONTH($A281)-4,12)+1)</f>
        <v>6</v>
      </c>
    </row>
    <row r="282" ht="16.5" customFormat="1" customHeight="1" s="43">
      <c r="A282" s="760" t="n">
        <v>45946</v>
      </c>
      <c r="B282" s="761" t="n"/>
      <c r="C282" s="762" t="inlineStr">
        <is>
          <t>事務費</t>
        </is>
      </c>
      <c r="D282" s="762" t="inlineStr">
        <is>
          <t>通信運搬費</t>
        </is>
      </c>
      <c r="E282" s="773" t="inlineStr">
        <is>
          <t>切手</t>
        </is>
      </c>
      <c r="F282" s="764" t="n">
        <v>68000</v>
      </c>
      <c r="G282" s="764" t="n">
        <v>2</v>
      </c>
      <c r="H282" s="765">
        <f>IF(G282=1,F282-I282-J282-K282,IF(G282=2,F282,0))</f>
        <v>68000</v>
      </c>
      <c r="I282" s="765">
        <f>ROUND(IF(G282=1,F282*10/23,IF(G282=3,F282-J282-K282,IF(G282=4,F282,IF(G282=5,F282*10/11,IF(G282=7,F282*10/11,0))))),0)</f>
        <v>0</v>
      </c>
      <c r="J282" s="765">
        <f>ROUND(IF(G282=1,F282/23,IF(G282=3,F282/12,IF(G282=5,F282-I282,IF(G282=8,F282,0)))),0)</f>
        <v>0</v>
      </c>
      <c r="K282" s="766">
        <f>ROUND(IF(G282=1,F282/23,IF(G282=3,F282/12,IF(G282=6,F282,IF(G282=7,F282-I282,0)))),0)</f>
        <v>0</v>
      </c>
      <c r="L282" s="767">
        <f>IF(G282=6,F282,0)</f>
        <v>0</v>
      </c>
      <c r="M282" s="572">
        <f>IF(F282="",0,MONTH(A282))</f>
        <v>10</v>
      </c>
      <c r="P282" s="768" t="inlineStr">
        <is>
          <t>昨年実績</t>
        </is>
      </c>
      <c r="Q282" s="769" t="str">
        <f>IF($F282="","",IFERROR(VLOOKUP($C282&amp;"|"&amp;$D282,科目表!$A$5:$B$200,2,FALSE),"※未登録"))</f>
        <v>通信運搬費</v>
      </c>
      <c r="R282" s="769">
        <f>IF($F282="","",$I282+$J282+$K282)</f>
        <v>0</v>
      </c>
      <c r="S282" s="769" t="str">
        <f>IF(OR($F282="",$P282="支払なし",$H282=0,$Q282=""),"",$Q282&amp;"|S|"&amp;(COUNTIF(S$4:S281,$Q282&amp;"|S|*")+1))</f>
        <v>通信運搬費|S|30</v>
      </c>
      <c r="T282" s="769" t="str">
        <f>IF(OR($F282="",$P282="支払なし",$R282=0,$Q282=""),"",$Q282&amp;"|L|"&amp;(COUNTIF(T$4:T281,$Q282&amp;"|L|*")+1))</f>
        <v/>
      </c>
      <c r="U282" s="769">
        <f>IF(OR($F282="",$A282=""),"",MOD(MONTH($A282)-4,12)+1)</f>
        <v>7</v>
      </c>
    </row>
    <row r="283" ht="16.5" customFormat="1" customHeight="1" s="43">
      <c r="A283" s="760" t="n">
        <v>46295</v>
      </c>
      <c r="B283" s="761" t="n"/>
      <c r="C283" s="762" t="inlineStr">
        <is>
          <t>事務費</t>
        </is>
      </c>
      <c r="D283" s="762" t="inlineStr">
        <is>
          <t>図書印刷費</t>
        </is>
      </c>
      <c r="E283" s="794" t="inlineStr">
        <is>
          <t>厚生法規総覧追録　６１３６－６１４５号</t>
        </is>
      </c>
      <c r="F283" s="764" t="n">
        <v>33154</v>
      </c>
      <c r="G283" s="764" t="n">
        <v>2</v>
      </c>
      <c r="H283" s="765">
        <f>IF(G283=1,F283-I283-J283-K283,IF(G283=2,F283,0))</f>
        <v>33154</v>
      </c>
      <c r="I283" s="765">
        <f>ROUND(IF(G283=1,F283*10/23,IF(G283=3,F283-J283-K283,IF(G283=4,F283,IF(G283=5,F283*10/11,IF(G283=7,F283*10/11,0))))),0)</f>
        <v>0</v>
      </c>
      <c r="J283" s="765">
        <f>ROUND(IF(G283=1,F283/23,IF(G283=3,F283/12,IF(G283=5,F283-I283,IF(G283=8,F283,0)))),0)</f>
        <v>0</v>
      </c>
      <c r="K283" s="766">
        <f>ROUND(IF(G283=1,F283/23,IF(G283=3,F283/12,IF(G283=6,F283,IF(G283=7,F283-I283,0)))),0)</f>
        <v>0</v>
      </c>
      <c r="L283" s="767">
        <f>IF(G283=6,F283,0)</f>
        <v>0</v>
      </c>
      <c r="M283" s="572">
        <f>IF(F283="",0,MONTH(A283))</f>
        <v>9</v>
      </c>
      <c r="P283" s="768" t="inlineStr">
        <is>
          <t>確認済</t>
        </is>
      </c>
      <c r="Q283" s="769" t="str">
        <f>IF($F283="","",IFERROR(VLOOKUP($C283&amp;"|"&amp;$D283,科目表!$A$5:$B$200,2,FALSE),"※未登録"))</f>
        <v>図書印刷費</v>
      </c>
      <c r="R283" s="769">
        <f>IF($F283="","",$I283+$J283+$K283)</f>
        <v>0</v>
      </c>
      <c r="S283" s="769" t="str">
        <f>IF(OR($F283="",$P283="支払なし",$H283=0,$Q283=""),"",$Q283&amp;"|S|"&amp;(COUNTIF(S$4:S282,$Q283&amp;"|S|*")+1))</f>
        <v>図書印刷費|S|12</v>
      </c>
      <c r="T283" s="769" t="str">
        <f>IF(OR($F283="",$P283="支払なし",$R283=0,$Q283=""),"",$Q283&amp;"|L|"&amp;(COUNTIF(T$4:T282,$Q283&amp;"|L|*")+1))</f>
        <v/>
      </c>
      <c r="U283" s="769">
        <f>IF(OR($F283="",$A283=""),"",MOD(MONTH($A283)-4,12)+1)</f>
        <v>6</v>
      </c>
    </row>
    <row r="284" ht="16.5" customFormat="1" customHeight="1" s="43">
      <c r="A284" s="760" t="n">
        <v>46295</v>
      </c>
      <c r="B284" s="779" t="n"/>
      <c r="C284" s="762" t="inlineStr">
        <is>
          <t>賃借料</t>
        </is>
      </c>
      <c r="D284" s="762" t="n"/>
      <c r="E284" s="777" t="inlineStr">
        <is>
          <t>統合管理端末リース料（８月分）</t>
        </is>
      </c>
      <c r="F284" s="772" t="n">
        <v>12738</v>
      </c>
      <c r="G284" s="772" t="n">
        <v>2</v>
      </c>
      <c r="H284" s="765">
        <f>IF(G284=1,F284-I284-J284-K284,IF(G284=2,F284,0))</f>
        <v>12738</v>
      </c>
      <c r="I284" s="765">
        <f>ROUND(IF(G284=1,F284*10/23,IF(G284=3,F284-J284-K284,IF(G284=4,F284,IF(G284=5,F284*10/11,IF(G284=7,F284*10/11,0))))),0)</f>
        <v>0</v>
      </c>
      <c r="J284" s="765">
        <f>ROUND(IF(G284=1,F284/23,IF(G284=3,F284/12,IF(G284=5,F284-I284,IF(G284=8,F284,0)))),0)</f>
        <v>0</v>
      </c>
      <c r="K284" s="766">
        <f>ROUND(IF(G284=1,F284/23,IF(G284=3,F284/12,IF(G284=6,F284,IF(G284=7,F284-I284,0)))),0)</f>
        <v>0</v>
      </c>
      <c r="L284" s="767">
        <f>IF(G284=6,F284,0)</f>
        <v>0</v>
      </c>
      <c r="M284" s="572">
        <f>IF(F284="",0,MONTH(A284))</f>
        <v>9</v>
      </c>
      <c r="P284" s="768" t="inlineStr">
        <is>
          <t>確認済</t>
        </is>
      </c>
      <c r="Q284" s="769" t="str">
        <f>IF($F284="","",IFERROR(VLOOKUP($C284&amp;"|"&amp;$D284,科目表!$A$5:$B$200,2,FALSE),"※未登録"))</f>
        <v>賃借料</v>
      </c>
      <c r="R284" s="769">
        <f>IF($F284="","",$I284+$J284+$K284)</f>
        <v>0</v>
      </c>
      <c r="S284" s="769" t="str">
        <f>IF(OR($F284="",$P284="支払なし",$H284=0,$Q284=""),"",$Q284&amp;"|S|"&amp;(COUNTIF(S$4:S283,$Q284&amp;"|S|*")+1))</f>
        <v>賃借料|S|27</v>
      </c>
      <c r="T284" s="769" t="str">
        <f>IF(OR($F284="",$P284="支払なし",$R284=0,$Q284=""),"",$Q284&amp;"|L|"&amp;(COUNTIF(T$4:T283,$Q284&amp;"|L|*")+1))</f>
        <v/>
      </c>
      <c r="U284" s="769">
        <f>IF(OR($F284="",$A284=""),"",MOD(MONTH($A284)-4,12)+1)</f>
        <v>6</v>
      </c>
    </row>
    <row r="285" ht="16.5" customFormat="1" customHeight="1" s="422">
      <c r="A285" s="760" t="n">
        <v>45230</v>
      </c>
      <c r="B285" s="761" t="n"/>
      <c r="C285" s="762" t="inlineStr">
        <is>
          <t>委託費</t>
        </is>
      </c>
      <c r="D285" s="762" t="n"/>
      <c r="E285" s="784" t="inlineStr">
        <is>
          <t>統合管理端末保守料（4～9月分）</t>
        </is>
      </c>
      <c r="F285" s="764" t="n">
        <v>32340</v>
      </c>
      <c r="G285" s="764" t="n">
        <v>2</v>
      </c>
      <c r="H285" s="765">
        <f>IF(G285=1,F285-I285-J285-K285,IF(G285=2,F285,0))</f>
        <v>32340</v>
      </c>
      <c r="I285" s="765">
        <f>ROUND(IF(G285=1,F285*10/23,IF(G285=3,F285-J285-K285,IF(G285=4,F285,IF(G285=5,F285*10/11,IF(G285=7,F285*10/11,0))))),0)</f>
        <v>0</v>
      </c>
      <c r="J285" s="765">
        <f>ROUND(IF(G285=1,F285/23,IF(G285=3,F285/12,IF(G285=5,F285-I285,IF(G285=8,F285,0)))),0)</f>
        <v>0</v>
      </c>
      <c r="K285" s="766">
        <f>ROUND(IF(G285=1,F285/23,IF(G285=3,F285/12,IF(G285=6,F285,IF(G285=7,F285-I285,0)))),0)</f>
        <v>0</v>
      </c>
      <c r="L285" s="767">
        <f>IF(G285=6,F285,0)</f>
        <v>0</v>
      </c>
      <c r="M285" s="421">
        <f>IF(F285="",0,MONTH(A285))</f>
        <v>10</v>
      </c>
      <c r="P285" s="768" t="inlineStr">
        <is>
          <t>昨年実績</t>
        </is>
      </c>
      <c r="Q285" s="769" t="str">
        <f>IF($F285="","",IFERROR(VLOOKUP($C285&amp;"|"&amp;$D285,科目表!$A$5:$B$200,2,FALSE),"※未登録"))</f>
        <v>委託費</v>
      </c>
      <c r="R285" s="769">
        <f>IF($F285="","",$I285+$J285+$K285)</f>
        <v>0</v>
      </c>
      <c r="S285" s="769" t="str">
        <f>IF(OR($F285="",$P285="支払なし",$H285=0,$Q285=""),"",$Q285&amp;"|S|"&amp;(COUNTIF(S$4:S284,$Q285&amp;"|S|*")+1))</f>
        <v>委託費|S|28</v>
      </c>
      <c r="T285" s="769" t="str">
        <f>IF(OR($F285="",$P285="支払なし",$R285=0,$Q285=""),"",$Q285&amp;"|L|"&amp;(COUNTIF(T$4:T284,$Q285&amp;"|L|*")+1))</f>
        <v/>
      </c>
      <c r="U285" s="769">
        <f>IF(OR($F285="",$A285=""),"",MOD(MONTH($A285)-4,12)+1)</f>
        <v>7</v>
      </c>
    </row>
    <row r="286" ht="16.5" customFormat="1" customHeight="1" s="422">
      <c r="A286" s="760" t="n">
        <v>44834</v>
      </c>
      <c r="B286" s="761" t="n"/>
      <c r="C286" s="762" t="inlineStr">
        <is>
          <t>前期損益修正損</t>
        </is>
      </c>
      <c r="D286" s="762" t="n"/>
      <c r="E286" s="784" t="inlineStr">
        <is>
          <t>退職等年金給付業務に係る構成組合交付金（Ｒ３年度分精算）返還金</t>
        </is>
      </c>
      <c r="F286" s="764" t="n">
        <v>1893758</v>
      </c>
      <c r="G286" s="772" t="n">
        <v>6</v>
      </c>
      <c r="H286" s="765">
        <f>IF(G286=1,F286-I286-J286-K286,IF(G286=2,F286,0))</f>
        <v>0</v>
      </c>
      <c r="I286" s="765">
        <f>ROUND(IF(G286=1,F286*10/23,IF(G286=3,F286-J286-K286,IF(G286=4,F286,IF(G286=5,F286*10/11,IF(G286=7,F286*10/11,0))))),0)</f>
        <v>0</v>
      </c>
      <c r="J286" s="765">
        <f>ROUND(IF(G286=1,F286/23,IF(G286=3,F286/12,IF(G286=5,F286-I286,IF(G286=8,F286,0)))),0)</f>
        <v>0</v>
      </c>
      <c r="K286" s="766">
        <f>ROUND(IF(G286=1,F286/23,IF(G286=3,F286/12,IF(G286=6,F286,IF(G286=7,F286-I286,0)))),0)</f>
        <v>1893758</v>
      </c>
      <c r="L286" s="767">
        <f>IF(G286=6,F286,0)</f>
        <v>1893758</v>
      </c>
      <c r="M286" s="421">
        <f>IF(F286="",0,MONTH(A286))</f>
        <v>9</v>
      </c>
      <c r="P286" s="768" t="inlineStr">
        <is>
          <t>昨年実績</t>
        </is>
      </c>
      <c r="Q286" s="769" t="str">
        <f>IF($F286="","",IFERROR(VLOOKUP($C286&amp;"|"&amp;$D286,科目表!$A$5:$B$200,2,FALSE),"※未登録"))</f>
        <v>前期損益修正損</v>
      </c>
      <c r="R286" s="769">
        <f>IF($F286="","",$I286+$J286+$K286)</f>
        <v>1893758</v>
      </c>
      <c r="S286" s="769" t="str">
        <f>IF(OR($F286="",$P286="支払なし",$H286=0,$Q286=""),"",$Q286&amp;"|S|"&amp;(COUNTIF(S$4:S285,$Q286&amp;"|S|*")+1))</f>
        <v/>
      </c>
      <c r="T286" s="769" t="str">
        <f>IF(OR($F286="",$P286="支払なし",$R286=0,$Q286=""),"",$Q286&amp;"|L|"&amp;(COUNTIF(T$4:T285,$Q286&amp;"|L|*")+1))</f>
        <v>前期損益修正損|L|1</v>
      </c>
      <c r="U286" s="769">
        <f>IF(OR($F286="",$A286=""),"",MOD(MONTH($A286)-4,12)+1)</f>
        <v>6</v>
      </c>
    </row>
    <row r="287" ht="16.5" customFormat="1" customHeight="1" s="43">
      <c r="A287" s="760" t="n">
        <v>46293</v>
      </c>
      <c r="B287" s="761" t="n"/>
      <c r="C287" s="762" t="inlineStr">
        <is>
          <t>負担金</t>
        </is>
      </c>
      <c r="D287" s="762" t="inlineStr">
        <is>
          <t>負担金</t>
        </is>
      </c>
      <c r="E287" s="762" t="inlineStr">
        <is>
          <t>共済短期・介護負担金（９月月例分）長期</t>
        </is>
      </c>
      <c r="F287" s="771" t="n">
        <v>20974</v>
      </c>
      <c r="G287" s="772" t="n">
        <v>3</v>
      </c>
      <c r="H287" s="765">
        <f>IF(G287=1,F287-I287-J287-K287,IF(G287=2,F287,0))</f>
        <v>0</v>
      </c>
      <c r="I287" s="765">
        <f>ROUND(IF(G287=1,F287*10/23,IF(G287=3,F287-J287-K287,IF(G287=4,F287,IF(G287=5,F287*10/11,IF(G287=7,F287*10/11,0))))),0)</f>
        <v>17478</v>
      </c>
      <c r="J287" s="765">
        <f>ROUND(IF(G287=1,F287/23,IF(G287=3,F287/12,IF(G287=5,F287-I287,IF(G287=8,F287,0)))),0)</f>
        <v>1748</v>
      </c>
      <c r="K287" s="766">
        <f>ROUND(IF(G287=1,F287/23,IF(G287=3,F287/12,IF(G287=6,F287,IF(G287=7,F287-I287,0)))),0)</f>
        <v>1748</v>
      </c>
      <c r="L287" s="767">
        <f>IF(G287=6,F287,0)</f>
        <v>0</v>
      </c>
      <c r="M287" s="572">
        <f>IF(F287="",0,MONTH(A287))</f>
        <v>9</v>
      </c>
      <c r="P287" s="768" t="inlineStr">
        <is>
          <t>確認済</t>
        </is>
      </c>
      <c r="Q287" s="769" t="str">
        <f>IF($F287="","",IFERROR(VLOOKUP($C287&amp;"|"&amp;$D287,科目表!$A$5:$B$200,2,FALSE),"※未登録"))</f>
        <v>共済負担金等</v>
      </c>
      <c r="R287" s="769">
        <f>IF($F287="","",$I287+$J287+$K287)</f>
        <v>20974</v>
      </c>
      <c r="S287" s="769" t="str">
        <f>IF(OR($F287="",$P287="支払なし",$H287=0,$Q287=""),"",$Q287&amp;"|S|"&amp;(COUNTIF(S$4:S286,$Q287&amp;"|S|*")+1))</f>
        <v/>
      </c>
      <c r="T287" s="769" t="str">
        <f>IF(OR($F287="",$P287="支払なし",$R287=0,$Q287=""),"",$Q287&amp;"|L|"&amp;(COUNTIF(T$4:T286,$Q287&amp;"|L|*")+1))</f>
        <v>共済負担金等|L|9</v>
      </c>
      <c r="U287" s="769">
        <f>IF(OR($F287="",$A287=""),"",MOD(MONTH($A287)-4,12)+1)</f>
        <v>6</v>
      </c>
    </row>
    <row r="288" ht="16.5" customFormat="1" customHeight="1" s="43">
      <c r="A288" s="760" t="n">
        <v>46293</v>
      </c>
      <c r="B288" s="761" t="n"/>
      <c r="C288" s="762" t="inlineStr">
        <is>
          <t>負担金</t>
        </is>
      </c>
      <c r="D288" s="762" t="inlineStr">
        <is>
          <t>負担金</t>
        </is>
      </c>
      <c r="E288" s="762" t="inlineStr">
        <is>
          <t>共済短期・介護負担金（９月月例分）短期</t>
        </is>
      </c>
      <c r="F288" s="774" t="n">
        <v>37763</v>
      </c>
      <c r="G288" s="772" t="n">
        <v>2</v>
      </c>
      <c r="H288" s="765">
        <f>IF(G288=1,F288-I288-J288-K288,IF(G288=2,F288,0))</f>
        <v>37763</v>
      </c>
      <c r="I288" s="765">
        <f>ROUND(IF(G288=1,F288*10/23,IF(G288=3,F288-J288-K288,IF(G288=4,F288,IF(G288=5,F288*10/11,IF(G288=7,F288*10/11,0))))),0)</f>
        <v>0</v>
      </c>
      <c r="J288" s="765">
        <f>ROUND(IF(G288=1,F288/23,IF(G288=3,F288/12,IF(G288=5,F288-I288,IF(G288=8,F288,0)))),0)</f>
        <v>0</v>
      </c>
      <c r="K288" s="766">
        <f>ROUND(IF(G288=1,F288/23,IF(G288=3,F288/12,IF(G288=6,F288,IF(G288=7,F288-I288,0)))),0)</f>
        <v>0</v>
      </c>
      <c r="L288" s="767">
        <f>IF(G288=6,F288,0)</f>
        <v>0</v>
      </c>
      <c r="M288" s="572">
        <f>IF(F288="",0,MONTH(A288))</f>
        <v>9</v>
      </c>
      <c r="P288" s="768" t="inlineStr">
        <is>
          <t>確認済</t>
        </is>
      </c>
      <c r="Q288" s="769" t="str">
        <f>IF($F288="","",IFERROR(VLOOKUP($C288&amp;"|"&amp;$D288,科目表!$A$5:$B$200,2,FALSE),"※未登録"))</f>
        <v>共済負担金等</v>
      </c>
      <c r="R288" s="769">
        <f>IF($F288="","",$I288+$J288+$K288)</f>
        <v>0</v>
      </c>
      <c r="S288" s="769" t="str">
        <f>IF(OR($F288="",$P288="支払なし",$H288=0,$Q288=""),"",$Q288&amp;"|S|"&amp;(COUNTIF(S$4:S287,$Q288&amp;"|S|*")+1))</f>
        <v>共済負担金等|S|8</v>
      </c>
      <c r="T288" s="769" t="str">
        <f>IF(OR($F288="",$P288="支払なし",$R288=0,$Q288=""),"",$Q288&amp;"|L|"&amp;(COUNTIF(T$4:T287,$Q288&amp;"|L|*")+1))</f>
        <v/>
      </c>
      <c r="U288" s="769">
        <f>IF(OR($F288="",$A288=""),"",MOD(MONTH($A288)-4,12)+1)</f>
        <v>6</v>
      </c>
    </row>
    <row r="289" ht="16.5" customFormat="1" customHeight="1" s="43">
      <c r="A289" s="760" t="n">
        <v>46325</v>
      </c>
      <c r="B289" s="761" t="n"/>
      <c r="C289" s="762" t="inlineStr">
        <is>
          <t>事務費</t>
        </is>
      </c>
      <c r="D289" s="762" t="inlineStr">
        <is>
          <t>図書印刷費</t>
        </is>
      </c>
      <c r="E289" s="770" t="inlineStr">
        <is>
          <t>健康保険質疑応答集 追録106－108号</t>
        </is>
      </c>
      <c r="F289" s="764" t="n">
        <v>21780</v>
      </c>
      <c r="G289" s="764" t="n">
        <v>2</v>
      </c>
      <c r="H289" s="765">
        <f>IF(G289=1,F289-I289-J289-K289,IF(G289=2,F289,0))</f>
        <v>21780</v>
      </c>
      <c r="I289" s="765">
        <f>ROUND(IF(G289=1,F289*10/23,IF(G289=3,F289-J289-K289,IF(G289=4,F289,IF(G289=5,F289*10/11,IF(G289=7,F289*10/11,0))))),0)</f>
        <v>0</v>
      </c>
      <c r="J289" s="765">
        <f>ROUND(IF(G289=1,F289/23,IF(G289=3,F289/12,IF(G289=5,F289-I289,IF(G289=8,F289,0)))),0)</f>
        <v>0</v>
      </c>
      <c r="K289" s="766">
        <f>ROUND(IF(G289=1,F289/23,IF(G289=3,F289/12,IF(G289=6,F289,IF(G289=7,F289-I289,0)))),0)</f>
        <v>0</v>
      </c>
      <c r="L289" s="767">
        <f>IF(G289=6,F289,0)</f>
        <v>0</v>
      </c>
      <c r="M289" s="572">
        <f>IF(F289="",0,MONTH(A289))</f>
        <v>10</v>
      </c>
      <c r="P289" s="768" t="inlineStr">
        <is>
          <t>確認済</t>
        </is>
      </c>
      <c r="Q289" s="769" t="str">
        <f>IF($F289="","",IFERROR(VLOOKUP($C289&amp;"|"&amp;$D289,科目表!$A$5:$B$200,2,FALSE),"※未登録"))</f>
        <v>図書印刷費</v>
      </c>
      <c r="R289" s="769">
        <f>IF($F289="","",$I289+$J289+$K289)</f>
        <v>0</v>
      </c>
      <c r="S289" s="769" t="str">
        <f>IF(OR($F289="",$P289="支払なし",$H289=0,$Q289=""),"",$Q289&amp;"|S|"&amp;(COUNTIF(S$4:S288,$Q289&amp;"|S|*")+1))</f>
        <v>図書印刷費|S|13</v>
      </c>
      <c r="T289" s="769" t="str">
        <f>IF(OR($F289="",$P289="支払なし",$R289=0,$Q289=""),"",$Q289&amp;"|L|"&amp;(COUNTIF(T$4:T288,$Q289&amp;"|L|*")+1))</f>
        <v/>
      </c>
      <c r="U289" s="769">
        <f>IF(OR($F289="",$A289=""),"",MOD(MONTH($A289)-4,12)+1)</f>
        <v>7</v>
      </c>
    </row>
    <row r="290" ht="16.5" customFormat="1" customHeight="1" s="43">
      <c r="A290" s="760" t="n">
        <v>46295</v>
      </c>
      <c r="B290" s="761" t="n"/>
      <c r="C290" s="762" t="inlineStr">
        <is>
          <t>事務費</t>
        </is>
      </c>
      <c r="D290" s="762" t="inlineStr">
        <is>
          <t>事務用消耗品費</t>
        </is>
      </c>
      <c r="E290" s="770" t="inlineStr">
        <is>
          <t>PPフラットファイル　青　３パック　他９点</t>
        </is>
      </c>
      <c r="F290" s="764" t="n">
        <v>45203</v>
      </c>
      <c r="G290" s="764" t="n">
        <v>2</v>
      </c>
      <c r="H290" s="765">
        <f>IF(G290=1,F290-I290-J290-K290,IF(G290=2,F290,0))</f>
        <v>45203</v>
      </c>
      <c r="I290" s="765">
        <f>ROUND(IF(G290=1,F290*10/23,IF(G290=3,F290-J290-K290,IF(G290=4,F290,IF(G290=5,F290*10/11,IF(G290=7,F290*10/11,0))))),0)</f>
        <v>0</v>
      </c>
      <c r="J290" s="765">
        <f>ROUND(IF(G290=1,F290/23,IF(G290=3,F290/12,IF(G290=5,F290-I290,IF(G290=8,F290,0)))),0)</f>
        <v>0</v>
      </c>
      <c r="K290" s="766">
        <f>ROUND(IF(G290=1,F290/23,IF(G290=3,F290/12,IF(G290=6,F290,IF(G290=7,F290-I290,0)))),0)</f>
        <v>0</v>
      </c>
      <c r="L290" s="767">
        <f>IF(G290=6,F290,0)</f>
        <v>0</v>
      </c>
      <c r="M290" s="572">
        <f>IF(F290="",0,MONTH(A290))</f>
        <v>9</v>
      </c>
      <c r="P290" s="768" t="inlineStr">
        <is>
          <t>確認済</t>
        </is>
      </c>
      <c r="Q290" s="769" t="str">
        <f>IF($F290="","",IFERROR(VLOOKUP($C290&amp;"|"&amp;$D290,科目表!$A$5:$B$200,2,FALSE),"※未登録"))</f>
        <v>事務用消耗品費</v>
      </c>
      <c r="R290" s="769">
        <f>IF($F290="","",$I290+$J290+$K290)</f>
        <v>0</v>
      </c>
      <c r="S290" s="769" t="str">
        <f>IF(OR($F290="",$P290="支払なし",$H290=0,$Q290=""),"",$Q290&amp;"|S|"&amp;(COUNTIF(S$4:S289,$Q290&amp;"|S|*")+1))</f>
        <v>事務用消耗品費|S|20</v>
      </c>
      <c r="T290" s="769" t="str">
        <f>IF(OR($F290="",$P290="支払なし",$R290=0,$Q290=""),"",$Q290&amp;"|L|"&amp;(COUNTIF(T$4:T289,$Q290&amp;"|L|*")+1))</f>
        <v/>
      </c>
      <c r="U290" s="769">
        <f>IF(OR($F290="",$A290=""),"",MOD(MONTH($A290)-4,12)+1)</f>
        <v>6</v>
      </c>
    </row>
    <row r="291" ht="16.5" customFormat="1" customHeight="1" s="422">
      <c r="A291" s="760" t="n">
        <v>44104</v>
      </c>
      <c r="B291" s="761" t="n"/>
      <c r="C291" s="762" t="inlineStr">
        <is>
          <t>事務費</t>
        </is>
      </c>
      <c r="D291" s="762" t="inlineStr">
        <is>
          <t>事務用消耗品費</t>
        </is>
      </c>
      <c r="E291" s="770" t="inlineStr">
        <is>
          <t>ウイルス飛沫防止板　アクリル製　他(長期）</t>
        </is>
      </c>
      <c r="F291" s="764" t="n">
        <v>10725</v>
      </c>
      <c r="G291" s="764" t="n">
        <v>3</v>
      </c>
      <c r="H291" s="765">
        <f>IF(G291=1,F291-I291-J291-K291,IF(G291=2,F291,0))</f>
        <v>0</v>
      </c>
      <c r="I291" s="765">
        <f>ROUND(IF(G291=1,F291*10/23,IF(G291=3,F291-J291-K291,IF(G291=4,F291,IF(G291=5,F291*10/11,IF(G291=7,F291*10/11,0))))),0)</f>
        <v>8937</v>
      </c>
      <c r="J291" s="765">
        <f>ROUND(IF(G291=1,F291/23,IF(G291=3,F291/12,IF(G291=5,F291-I291,IF(G291=8,F291,0)))),0)</f>
        <v>894</v>
      </c>
      <c r="K291" s="766">
        <f>ROUND(IF(G291=1,F291/23,IF(G291=3,F291/12,IF(G291=6,F291,IF(G291=7,F291-I291,0)))),0)</f>
        <v>894</v>
      </c>
      <c r="L291" s="767">
        <f>IF(G291=6,F291,0)</f>
        <v>0</v>
      </c>
      <c r="M291" s="421">
        <f>IF(F291="",0,MONTH(A291))</f>
        <v>9</v>
      </c>
      <c r="P291" s="768" t="inlineStr">
        <is>
          <t>昨年実績</t>
        </is>
      </c>
      <c r="Q291" s="769" t="str">
        <f>IF($F291="","",IFERROR(VLOOKUP($C291&amp;"|"&amp;$D291,科目表!$A$5:$B$200,2,FALSE),"※未登録"))</f>
        <v>事務用消耗品費</v>
      </c>
      <c r="R291" s="769">
        <f>IF($F291="","",$I291+$J291+$K291)</f>
        <v>10725</v>
      </c>
      <c r="S291" s="769" t="str">
        <f>IF(OR($F291="",$P291="支払なし",$H291=0,$Q291=""),"",$Q291&amp;"|S|"&amp;(COUNTIF(S$4:S290,$Q291&amp;"|S|*")+1))</f>
        <v/>
      </c>
      <c r="T291" s="769" t="str">
        <f>IF(OR($F291="",$P291="支払なし",$R291=0,$Q291=""),"",$Q291&amp;"|L|"&amp;(COUNTIF(T$4:T290,$Q291&amp;"|L|*")+1))</f>
        <v>事務用消耗品費|L|11</v>
      </c>
      <c r="U291" s="769">
        <f>IF(OR($F291="",$A291=""),"",MOD(MONTH($A291)-4,12)+1)</f>
        <v>6</v>
      </c>
    </row>
    <row r="292" ht="16.5" customFormat="1" customHeight="1" s="43">
      <c r="A292" s="760" t="n">
        <v>46295</v>
      </c>
      <c r="B292" s="761" t="n"/>
      <c r="C292" s="762" t="inlineStr">
        <is>
          <t>委託費</t>
        </is>
      </c>
      <c r="D292" s="762" t="n"/>
      <c r="E292" s="762" t="inlineStr">
        <is>
          <t>柔整等療養費支給申請書の入力（８月分）</t>
        </is>
      </c>
      <c r="F292" s="772" t="n">
        <v>141958</v>
      </c>
      <c r="G292" s="772" t="n">
        <v>2</v>
      </c>
      <c r="H292" s="765">
        <f>IF(G292=1,F292-I292-J292-K292,IF(G292=2,F292,0))</f>
        <v>141958</v>
      </c>
      <c r="I292" s="765">
        <f>ROUND(IF(G292=1,F292*10/23,IF(G292=3,F292-J292-K292,IF(G292=4,F292,IF(G292=5,F292*10/11,IF(G292=7,F292*10/11,0))))),0)</f>
        <v>0</v>
      </c>
      <c r="J292" s="765">
        <f>ROUND(IF(G292=1,F292/23,IF(G292=3,F292/12,IF(G292=5,F292-I292,IF(G292=8,F292,0)))),0)</f>
        <v>0</v>
      </c>
      <c r="K292" s="766">
        <f>ROUND(IF(G292=1,F292/23,IF(G292=3,F292/12,IF(G292=6,F292,IF(G292=7,F292-I292,0)))),0)</f>
        <v>0</v>
      </c>
      <c r="L292" s="767">
        <f>IF(G292=6,F292,0)</f>
        <v>0</v>
      </c>
      <c r="M292" s="572">
        <f>IF(F292="",0,MONTH(A292))</f>
        <v>9</v>
      </c>
      <c r="P292" s="768" t="inlineStr">
        <is>
          <t>確認済</t>
        </is>
      </c>
      <c r="Q292" s="769" t="str">
        <f>IF($F292="","",IFERROR(VLOOKUP($C292&amp;"|"&amp;$D292,科目表!$A$5:$B$200,2,FALSE),"※未登録"))</f>
        <v>委託費</v>
      </c>
      <c r="R292" s="769">
        <f>IF($F292="","",$I292+$J292+$K292)</f>
        <v>0</v>
      </c>
      <c r="S292" s="769" t="str">
        <f>IF(OR($F292="",$P292="支払なし",$H292=0,$Q292=""),"",$Q292&amp;"|S|"&amp;(COUNTIF(S$4:S291,$Q292&amp;"|S|*")+1))</f>
        <v>委託費|S|29</v>
      </c>
      <c r="T292" s="769" t="str">
        <f>IF(OR($F292="",$P292="支払なし",$R292=0,$Q292=""),"",$Q292&amp;"|L|"&amp;(COUNTIF(T$4:T291,$Q292&amp;"|L|*")+1))</f>
        <v/>
      </c>
      <c r="U292" s="769">
        <f>IF(OR($F292="",$A292=""),"",MOD(MONTH($A292)-4,12)+1)</f>
        <v>6</v>
      </c>
    </row>
    <row r="293" ht="16.5" customFormat="1" customHeight="1" s="422">
      <c r="A293" s="760" t="n"/>
      <c r="B293" s="761" t="n"/>
      <c r="C293" s="762" t="n"/>
      <c r="D293" s="762" t="n"/>
      <c r="E293" s="762" t="n"/>
      <c r="F293" s="772" t="n"/>
      <c r="G293" s="772" t="n"/>
      <c r="H293" s="765">
        <f>IF(G293=1,F293-I293-J293-K293,IF(G293=2,F293,0))</f>
        <v>0</v>
      </c>
      <c r="I293" s="765">
        <f>ROUND(IF(G293=1,F293*10/23,IF(G293=3,F293-J293-K293,IF(G293=4,F293,IF(G293=5,F293*10/11,IF(G293=7,F293*10/11,0))))),0)</f>
        <v>0</v>
      </c>
      <c r="J293" s="765">
        <f>ROUND(IF(G293=1,F293/23,IF(G293=3,F293/12,IF(G293=5,F293-I293,IF(G293=8,F293,0)))),0)</f>
        <v>0</v>
      </c>
      <c r="K293" s="766">
        <f>ROUND(IF(G293=1,F293/23,IF(G293=3,F293/12,IF(G293=6,F293,IF(G293=7,F293-I293,0)))),0)</f>
        <v>0</v>
      </c>
      <c r="L293" s="767">
        <f>IF(G293=6,F293,0)</f>
        <v>0</v>
      </c>
      <c r="M293" s="421">
        <f>IF(F293="",0,MONTH(A293))</f>
        <v>0</v>
      </c>
      <c r="P293" s="768" t="n"/>
      <c r="Q293" s="769" t="str">
        <f>IF($F293="","",IFERROR(VLOOKUP($C293&amp;"|"&amp;$D293,科目表!$A$5:$B$200,2,FALSE),"※未登録"))</f>
        <v/>
      </c>
      <c r="R293" s="769" t="str">
        <f>IF($F293="","",$I293+$J293+$K293)</f>
        <v/>
      </c>
      <c r="S293" s="769" t="str">
        <f>IF(OR($F293="",$P293="支払なし",$H293=0,$Q293=""),"",$Q293&amp;"|S|"&amp;(COUNTIF(S$4:S292,$Q293&amp;"|S|*")+1))</f>
        <v/>
      </c>
      <c r="T293" s="769" t="str">
        <f>IF(OR($F293="",$P293="支払なし",$R293=0,$Q293=""),"",$Q293&amp;"|L|"&amp;(COUNTIF(T$4:T292,$Q293&amp;"|L|*")+1))</f>
        <v/>
      </c>
      <c r="U293" s="769" t="str">
        <f>IF(OR($F293="",$A293=""),"",MOD(MONTH($A293)-4,12)+1)</f>
        <v/>
      </c>
    </row>
    <row r="294" ht="16.5" customFormat="1" customHeight="1" s="43">
      <c r="A294" s="760" t="n">
        <v>46295</v>
      </c>
      <c r="B294" s="761" t="n"/>
      <c r="C294" s="762" t="inlineStr">
        <is>
          <t>負担金</t>
        </is>
      </c>
      <c r="D294" s="762" t="inlineStr">
        <is>
          <t>厚年負担金等</t>
        </is>
      </c>
      <c r="E294" s="775" t="inlineStr">
        <is>
          <t>８月月例分（短期分）子ども子育て拠出金を含む</t>
        </is>
      </c>
      <c r="F294" s="774" t="n">
        <v>62766</v>
      </c>
      <c r="G294" s="764" t="n">
        <v>2</v>
      </c>
      <c r="H294" s="765">
        <f>IF(G294=1,F294-I294-J294-K294,IF(G294=2,F294,0))</f>
        <v>62766</v>
      </c>
      <c r="I294" s="765">
        <f>ROUND(IF(G294=1,F294*10/23,IF(G294=3,F294-J294-K294,IF(G294=4,F294,IF(G294=5,F294*10/11,IF(G294=7,F294*10/11,0))))),0)</f>
        <v>0</v>
      </c>
      <c r="J294" s="765">
        <f>ROUND(IF(G294=1,F294/23,IF(G294=3,F294/12,IF(G294=5,F294-I294,IF(G294=8,F294,0)))),0)</f>
        <v>0</v>
      </c>
      <c r="K294" s="766">
        <f>ROUND(IF(G294=1,F294/23,IF(G294=3,F294/12,IF(G294=6,F294,IF(G294=7,F294-I294,0)))),0)</f>
        <v>0</v>
      </c>
      <c r="L294" s="767">
        <f>IF(G294=6,F294,0)</f>
        <v>0</v>
      </c>
      <c r="M294" s="572">
        <f>IF(F294="",0,MONTH(A294))</f>
        <v>9</v>
      </c>
      <c r="P294" s="768" t="inlineStr">
        <is>
          <t>確認済</t>
        </is>
      </c>
      <c r="Q294" s="769" t="str">
        <f>IF($F294="","",IFERROR(VLOOKUP($C294&amp;"|"&amp;$D294,科目表!$A$5:$B$200,2,FALSE),"※未登録"))</f>
        <v>厚年負担金等</v>
      </c>
      <c r="R294" s="769">
        <f>IF($F294="","",$I294+$J294+$K294)</f>
        <v>0</v>
      </c>
      <c r="S294" s="769" t="str">
        <f>IF(OR($F294="",$P294="支払なし",$H294=0,$Q294=""),"",$Q294&amp;"|S|"&amp;(COUNTIF(S$4:S293,$Q294&amp;"|S|*")+1))</f>
        <v>厚年負担金等|S|5</v>
      </c>
      <c r="T294" s="769" t="str">
        <f>IF(OR($F294="",$P294="支払なし",$R294=0,$Q294=""),"",$Q294&amp;"|L|"&amp;(COUNTIF(T$4:T293,$Q294&amp;"|L|*")+1))</f>
        <v/>
      </c>
      <c r="U294" s="769">
        <f>IF(OR($F294="",$A294=""),"",MOD(MONTH($A294)-4,12)+1)</f>
        <v>6</v>
      </c>
    </row>
    <row r="295" ht="16.5" customFormat="1" customHeight="1" s="43">
      <c r="A295" s="760" t="n"/>
      <c r="B295" s="761" t="n"/>
      <c r="C295" s="762" t="n"/>
      <c r="D295" s="762" t="n"/>
      <c r="E295" s="762" t="n"/>
      <c r="F295" s="772" t="n"/>
      <c r="G295" s="772" t="n"/>
      <c r="H295" s="765">
        <f>IF(G295=1,F295-I295-J295-K295,IF(G295=2,F295,0))</f>
        <v>0</v>
      </c>
      <c r="I295" s="765">
        <f>ROUND(IF(G295=1,F295*10/23,IF(G295=3,F295-J295-K295,IF(G295=4,F295,IF(G295=5,F295*10/11,IF(G295=7,F295*10/11,0))))),0)</f>
        <v>0</v>
      </c>
      <c r="J295" s="765">
        <f>ROUND(IF(G295=1,F295/23,IF(G295=3,F295/12,IF(G295=5,F295-I295,IF(G295=8,F295,0)))),0)</f>
        <v>0</v>
      </c>
      <c r="K295" s="766">
        <f>ROUND(IF(G295=1,F295/23,IF(G295=3,F295/12,IF(G295=6,F295,IF(G295=7,F295-I295,0)))),0)</f>
        <v>0</v>
      </c>
      <c r="L295" s="767">
        <f>IF(G295=6,F295,0)</f>
        <v>0</v>
      </c>
      <c r="M295" s="572">
        <f>IF(F295="",0,MONTH(A295))</f>
        <v>0</v>
      </c>
      <c r="P295" s="768" t="n"/>
      <c r="Q295" s="769" t="str">
        <f>IF($F295="","",IFERROR(VLOOKUP($C295&amp;"|"&amp;$D295,科目表!$A$5:$B$200,2,FALSE),"※未登録"))</f>
        <v/>
      </c>
      <c r="R295" s="769" t="str">
        <f>IF($F295="","",$I295+$J295+$K295)</f>
        <v/>
      </c>
      <c r="S295" s="769" t="str">
        <f>IF(OR($F295="",$P295="支払なし",$H295=0,$Q295=""),"",$Q295&amp;"|S|"&amp;(COUNTIF(S$4:S294,$Q295&amp;"|S|*")+1))</f>
        <v/>
      </c>
      <c r="T295" s="769" t="str">
        <f>IF(OR($F295="",$P295="支払なし",$R295=0,$Q295=""),"",$Q295&amp;"|L|"&amp;(COUNTIF(T$4:T294,$Q295&amp;"|L|*")+1))</f>
        <v/>
      </c>
      <c r="U295" s="769" t="str">
        <f>IF(OR($F295="",$A295=""),"",MOD(MONTH($A295)-4,12)+1)</f>
        <v/>
      </c>
    </row>
    <row r="296" ht="16.5" customFormat="1" customHeight="1" s="43">
      <c r="A296" s="760" t="n">
        <v>46295</v>
      </c>
      <c r="B296" s="761" t="n"/>
      <c r="C296" s="762" t="inlineStr">
        <is>
          <t>負担金</t>
        </is>
      </c>
      <c r="D296" s="762" t="inlineStr">
        <is>
          <t>厚年負担金等</t>
        </is>
      </c>
      <c r="E296" s="775" t="inlineStr">
        <is>
          <t>８月月例分（長期分）子ども子育て拠出金を含む</t>
        </is>
      </c>
      <c r="F296" s="774" t="n">
        <v>37089</v>
      </c>
      <c r="G296" s="764" t="n">
        <v>3</v>
      </c>
      <c r="H296" s="765">
        <f>IF(G296=1,F296-I296-J296-K296,IF(G296=2,F296,0))</f>
        <v>0</v>
      </c>
      <c r="I296" s="765">
        <f>ROUND(IF(G296=1,F296*10/23,IF(G296=3,F296-J296-K296,IF(G296=4,F296,IF(G296=5,F296*10/11,IF(G296=7,F296*10/11,0))))),0)</f>
        <v>30907</v>
      </c>
      <c r="J296" s="765">
        <f>ROUND(IF(G296=1,F296/23,IF(G296=3,F296/12,IF(G296=5,F296-I296,IF(G296=8,F296,0)))),0)</f>
        <v>3091</v>
      </c>
      <c r="K296" s="766">
        <f>ROUND(IF(G296=1,F296/23,IF(G296=3,F296/12,IF(G296=6,F296,IF(G296=7,F296-I296,0)))),0)</f>
        <v>3091</v>
      </c>
      <c r="L296" s="767">
        <f>IF(G296=6,F296,0)</f>
        <v>0</v>
      </c>
      <c r="M296" s="572">
        <f>IF(F296="",0,MONTH(A296))</f>
        <v>9</v>
      </c>
      <c r="P296" s="768" t="inlineStr">
        <is>
          <t>確認済</t>
        </is>
      </c>
      <c r="Q296" s="769" t="str">
        <f>IF($F296="","",IFERROR(VLOOKUP($C296&amp;"|"&amp;$D296,科目表!$A$5:$B$200,2,FALSE),"※未登録"))</f>
        <v>厚年負担金等</v>
      </c>
      <c r="R296" s="769">
        <f>IF($F296="","",$I296+$J296+$K296)</f>
        <v>37089</v>
      </c>
      <c r="S296" s="769" t="str">
        <f>IF(OR($F296="",$P296="支払なし",$H296=0,$Q296=""),"",$Q296&amp;"|S|"&amp;(COUNTIF(S$4:S295,$Q296&amp;"|S|*")+1))</f>
        <v/>
      </c>
      <c r="T296" s="769" t="str">
        <f>IF(OR($F296="",$P296="支払なし",$R296=0,$Q296=""),"",$Q296&amp;"|L|"&amp;(COUNTIF(T$4:T295,$Q296&amp;"|L|*")+1))</f>
        <v>厚年負担金等|L|5</v>
      </c>
      <c r="U296" s="769">
        <f>IF(OR($F296="",$A296=""),"",MOD(MONTH($A296)-4,12)+1)</f>
        <v>6</v>
      </c>
    </row>
    <row r="297" ht="16.5" customFormat="1" customHeight="1" s="43">
      <c r="A297" s="760" t="n">
        <v>46300</v>
      </c>
      <c r="B297" s="761" t="n"/>
      <c r="C297" s="762" t="inlineStr">
        <is>
          <t>事務費</t>
        </is>
      </c>
      <c r="D297" s="762" t="inlineStr">
        <is>
          <t>通信運搬費</t>
        </is>
      </c>
      <c r="E297" s="763" t="inlineStr">
        <is>
          <t>インターネット通信料金（７・８月利用・９月請求分）</t>
        </is>
      </c>
      <c r="F297" s="772" t="n">
        <v>3663</v>
      </c>
      <c r="G297" s="772" t="n">
        <v>2</v>
      </c>
      <c r="H297" s="765">
        <f>IF(G297=1,F297-I297-J297-K297,IF(G297=2,F297,0))</f>
        <v>3663</v>
      </c>
      <c r="I297" s="765">
        <f>ROUND(IF(G297=1,F297*10/23,IF(G297=3,F297-J297-K297,IF(G297=4,F297,IF(G297=5,F297*10/11,IF(G297=7,F297*10/11,0))))),0)</f>
        <v>0</v>
      </c>
      <c r="J297" s="765">
        <f>ROUND(IF(G297=1,F297/23,IF(G297=3,F297/12,IF(G297=5,F297-I297,IF(G297=8,F297,0)))),0)</f>
        <v>0</v>
      </c>
      <c r="K297" s="766">
        <f>ROUND(IF(G297=1,F297/23,IF(G297=3,F297/12,IF(G297=6,F297,IF(G297=7,F297-I297,0)))),0)</f>
        <v>0</v>
      </c>
      <c r="L297" s="767">
        <f>IF(G297=6,F297,0)</f>
        <v>0</v>
      </c>
      <c r="M297" s="572">
        <f>IF(F297="",0,MONTH(A297))</f>
        <v>10</v>
      </c>
      <c r="P297" s="768" t="inlineStr">
        <is>
          <t>確認済</t>
        </is>
      </c>
      <c r="Q297" s="769" t="str">
        <f>IF($F297="","",IFERROR(VLOOKUP($C297&amp;"|"&amp;$D297,科目表!$A$5:$B$200,2,FALSE),"※未登録"))</f>
        <v>通信運搬費</v>
      </c>
      <c r="R297" s="769">
        <f>IF($F297="","",$I297+$J297+$K297)</f>
        <v>0</v>
      </c>
      <c r="S297" s="769" t="str">
        <f>IF(OR($F297="",$P297="支払なし",$H297=0,$Q297=""),"",$Q297&amp;"|S|"&amp;(COUNTIF(S$4:S296,$Q297&amp;"|S|*")+1))</f>
        <v>通信運搬費|S|31</v>
      </c>
      <c r="T297" s="769" t="str">
        <f>IF(OR($F297="",$P297="支払なし",$R297=0,$Q297=""),"",$Q297&amp;"|L|"&amp;(COUNTIF(T$4:T296,$Q297&amp;"|L|*")+1))</f>
        <v/>
      </c>
      <c r="U297" s="769">
        <f>IF(OR($F297="",$A297=""),"",MOD(MONTH($A297)-4,12)+1)</f>
        <v>7</v>
      </c>
    </row>
    <row r="298" ht="16.5" customFormat="1" customHeight="1" s="422">
      <c r="A298" s="760" t="n">
        <v>45565</v>
      </c>
      <c r="B298" s="761" t="n"/>
      <c r="C298" s="762" t="inlineStr">
        <is>
          <t>事務費</t>
        </is>
      </c>
      <c r="D298" s="762" t="inlineStr">
        <is>
          <t>通信運搬費</t>
        </is>
      </c>
      <c r="E298" s="763" t="inlineStr">
        <is>
          <t>フレッツ光ネクスト利用料等（８月利用・９月請求分）</t>
        </is>
      </c>
      <c r="F298" s="772" t="n">
        <v>5126</v>
      </c>
      <c r="G298" s="772" t="n">
        <v>2</v>
      </c>
      <c r="H298" s="765">
        <f>IF(G298=1,F298-I298-J298-K298,IF(G298=2,F298,0))</f>
        <v>5126</v>
      </c>
      <c r="I298" s="765">
        <f>ROUND(IF(G298=1,F298*10/23,IF(G298=3,F298-J298-K298,IF(G298=4,F298,IF(G298=5,F298*10/11,IF(G298=7,F298*10/11,0))))),0)</f>
        <v>0</v>
      </c>
      <c r="J298" s="765">
        <f>ROUND(IF(G298=1,F298/23,IF(G298=3,F298/12,IF(G298=5,F298-I298,IF(G298=8,F298,0)))),0)</f>
        <v>0</v>
      </c>
      <c r="K298" s="766">
        <f>ROUND(IF(G298=1,F298/23,IF(G298=3,F298/12,IF(G298=6,F298,IF(G298=7,F298-I298,0)))),0)</f>
        <v>0</v>
      </c>
      <c r="L298" s="767">
        <f>IF(G298=6,F298,0)</f>
        <v>0</v>
      </c>
      <c r="M298" s="421">
        <f>IF(F298="",0,MONTH(A298))</f>
        <v>9</v>
      </c>
      <c r="P298" s="768" t="inlineStr">
        <is>
          <t>昨年実績</t>
        </is>
      </c>
      <c r="Q298" s="769" t="str">
        <f>IF($F298="","",IFERROR(VLOOKUP($C298&amp;"|"&amp;$D298,科目表!$A$5:$B$200,2,FALSE),"※未登録"))</f>
        <v>通信運搬費</v>
      </c>
      <c r="R298" s="769">
        <f>IF($F298="","",$I298+$J298+$K298)</f>
        <v>0</v>
      </c>
      <c r="S298" s="769" t="str">
        <f>IF(OR($F298="",$P298="支払なし",$H298=0,$Q298=""),"",$Q298&amp;"|S|"&amp;(COUNTIF(S$4:S297,$Q298&amp;"|S|*")+1))</f>
        <v>通信運搬費|S|32</v>
      </c>
      <c r="T298" s="769" t="str">
        <f>IF(OR($F298="",$P298="支払なし",$R298=0,$Q298=""),"",$Q298&amp;"|L|"&amp;(COUNTIF(T$4:T297,$Q298&amp;"|L|*")+1))</f>
        <v/>
      </c>
      <c r="U298" s="769">
        <f>IF(OR($F298="",$A298=""),"",MOD(MONTH($A298)-4,12)+1)</f>
        <v>6</v>
      </c>
    </row>
    <row r="299" ht="16.5" customFormat="1" customHeight="1" s="43">
      <c r="A299" s="760" t="n">
        <v>46302</v>
      </c>
      <c r="B299" s="761" t="n"/>
      <c r="C299" s="762" t="inlineStr">
        <is>
          <t>事務費負担金払込金</t>
        </is>
      </c>
      <c r="D299" s="762" t="n"/>
      <c r="E299" s="775" t="inlineStr">
        <is>
          <t>９月分事務費負担金払込金　連合会へ払込</t>
        </is>
      </c>
      <c r="F299" s="764" t="n">
        <v>5366000</v>
      </c>
      <c r="G299" s="764" t="n">
        <v>5</v>
      </c>
      <c r="H299" s="765">
        <f>IF(G299=1,F299-I299-J299-K299,IF(G299=2,F299,0))</f>
        <v>0</v>
      </c>
      <c r="I299" s="765">
        <f>ROUND(IF(G299=1,F299*10/23,IF(G299=3,F299-J299-K299,IF(G299=4,F299,IF(G299=5,F299*10/11,IF(G299=7,F299*10/11,0))))),0)</f>
        <v>4878182</v>
      </c>
      <c r="J299" s="765">
        <f>ROUND(IF(G299=1,F299/23,IF(G299=3,F299/12,IF(G299=5,F299-I299,IF(G299=8,F299,0)))),0)</f>
        <v>487818</v>
      </c>
      <c r="K299" s="766">
        <f>ROUND(IF(G299=1,F299/23,IF(G299=3,F299/12,IF(G299=6,F299,IF(G299=7,F299-I299,0)))),0)</f>
        <v>0</v>
      </c>
      <c r="L299" s="767">
        <f>IF(G299=6,F299,0)</f>
        <v>0</v>
      </c>
      <c r="M299" s="572">
        <f>IF(F299="",0,MONTH(A299))</f>
        <v>10</v>
      </c>
      <c r="P299" s="768" t="inlineStr">
        <is>
          <t>確認済</t>
        </is>
      </c>
      <c r="Q299" s="769" t="str">
        <f>IF($F299="","",IFERROR(VLOOKUP($C299&amp;"|"&amp;$D299,科目表!$A$5:$B$200,2,FALSE),"※未登録"))</f>
        <v>事務費負担金払込金</v>
      </c>
      <c r="R299" s="769">
        <f>IF($F299="","",$I299+$J299+$K299)</f>
        <v>5366000</v>
      </c>
      <c r="S299" s="769" t="str">
        <f>IF(OR($F299="",$P299="支払なし",$H299=0,$Q299=""),"",$Q299&amp;"|S|"&amp;(COUNTIF(S$4:S298,$Q299&amp;"|S|*")+1))</f>
        <v/>
      </c>
      <c r="T299" s="769" t="str">
        <f>IF(OR($F299="",$P299="支払なし",$R299=0,$Q299=""),"",$Q299&amp;"|L|"&amp;(COUNTIF(T$4:T298,$Q299&amp;"|L|*")+1))</f>
        <v>事務費負担金払込金|L|7</v>
      </c>
      <c r="U299" s="769">
        <f>IF(OR($F299="",$A299=""),"",MOD(MONTH($A299)-4,12)+1)</f>
        <v>7</v>
      </c>
    </row>
    <row r="300" ht="16.5" customFormat="1" customHeight="1" s="422">
      <c r="A300" s="760" t="n">
        <v>43745</v>
      </c>
      <c r="B300" s="761" t="n"/>
      <c r="C300" s="762" t="inlineStr">
        <is>
          <t>負担金</t>
        </is>
      </c>
      <c r="D300" s="762" t="inlineStr">
        <is>
          <t>負担金</t>
        </is>
      </c>
      <c r="E300" s="762" t="inlineStr">
        <is>
          <t>収入印紙</t>
        </is>
      </c>
      <c r="F300" s="772" t="n">
        <v>1000</v>
      </c>
      <c r="G300" s="772" t="n">
        <v>3</v>
      </c>
      <c r="H300" s="765">
        <f>IF(G300=1,F300-I300-J300-K300,IF(G300=2,F300,0))</f>
        <v>0</v>
      </c>
      <c r="I300" s="765">
        <f>ROUND(IF(G300=1,F300*10/23,IF(G300=3,F300-J300-K300,IF(G300=4,F300,IF(G300=5,F300*10/11,IF(G300=7,F300*10/11,0))))),0)</f>
        <v>834</v>
      </c>
      <c r="J300" s="765">
        <f>ROUND(IF(G300=1,F300/23,IF(G300=3,F300/12,IF(G300=5,F300-I300,IF(G300=8,F300,0)))),0)</f>
        <v>83</v>
      </c>
      <c r="K300" s="766">
        <f>ROUND(IF(G300=1,F300/23,IF(G300=3,F300/12,IF(G300=6,F300,IF(G300=7,F300-I300,0)))),0)</f>
        <v>83</v>
      </c>
      <c r="L300" s="767">
        <f>IF(G300=6,F300,0)</f>
        <v>0</v>
      </c>
      <c r="M300" s="421">
        <f>IF(F300="",0,MONTH(A300))</f>
        <v>10</v>
      </c>
      <c r="P300" s="768" t="inlineStr">
        <is>
          <t>昨年実績</t>
        </is>
      </c>
      <c r="Q300" s="769" t="str">
        <f>IF($F300="","",IFERROR(VLOOKUP($C300&amp;"|"&amp;$D300,科目表!$A$5:$B$200,2,FALSE),"※未登録"))</f>
        <v>共済負担金等</v>
      </c>
      <c r="R300" s="769">
        <f>IF($F300="","",$I300+$J300+$K300)</f>
        <v>1000</v>
      </c>
      <c r="S300" s="769" t="str">
        <f>IF(OR($F300="",$P300="支払なし",$H300=0,$Q300=""),"",$Q300&amp;"|S|"&amp;(COUNTIF(S$4:S299,$Q300&amp;"|S|*")+1))</f>
        <v/>
      </c>
      <c r="T300" s="769" t="str">
        <f>IF(OR($F300="",$P300="支払なし",$R300=0,$Q300=""),"",$Q300&amp;"|L|"&amp;(COUNTIF(T$4:T299,$Q300&amp;"|L|*")+1))</f>
        <v>共済負担金等|L|10</v>
      </c>
      <c r="U300" s="769">
        <f>IF(OR($F300="",$A300=""),"",MOD(MONTH($A300)-4,12)+1)</f>
        <v>7</v>
      </c>
    </row>
    <row r="301" ht="16.5" customFormat="1" customHeight="1" s="43">
      <c r="A301" s="760" t="n">
        <v>46308</v>
      </c>
      <c r="B301" s="761" t="n"/>
      <c r="C301" s="762" t="inlineStr">
        <is>
          <t>事務費</t>
        </is>
      </c>
      <c r="D301" s="762" t="inlineStr">
        <is>
          <t>送金料</t>
        </is>
      </c>
      <c r="E301" s="775" t="inlineStr">
        <is>
          <t>振込手数料（広銀）９月分　長期分</t>
        </is>
      </c>
      <c r="F301" s="764" t="n">
        <v>15324</v>
      </c>
      <c r="G301" s="764" t="n">
        <v>3</v>
      </c>
      <c r="H301" s="765">
        <f>IF(G301=1,F301-I301-J301-K301,IF(G301=2,F301,0))</f>
        <v>0</v>
      </c>
      <c r="I301" s="765">
        <f>ROUND(IF(G301=1,F301*10/23,IF(G301=3,F301-J301-K301,IF(G301=4,F301,IF(G301=5,F301*10/11,IF(G301=7,F301*10/11,0))))),0)</f>
        <v>12770</v>
      </c>
      <c r="J301" s="765">
        <f>ROUND(IF(G301=1,F301/23,IF(G301=3,F301/12,IF(G301=5,F301-I301,IF(G301=8,F301,0)))),0)</f>
        <v>1277</v>
      </c>
      <c r="K301" s="766">
        <f>ROUND(IF(G301=1,F301/23,IF(G301=3,F301/12,IF(G301=6,F301,IF(G301=7,F301-I301,0)))),0)</f>
        <v>1277</v>
      </c>
      <c r="L301" s="767">
        <f>IF(G301=6,F301,0)</f>
        <v>0</v>
      </c>
      <c r="M301" s="572">
        <f>IF(F301="",0,MONTH(A301))</f>
        <v>10</v>
      </c>
      <c r="P301" s="768" t="inlineStr">
        <is>
          <t>確認済</t>
        </is>
      </c>
      <c r="Q301" s="769" t="str">
        <f>IF($F301="","",IFERROR(VLOOKUP($C301&amp;"|"&amp;$D301,科目表!$A$5:$B$200,2,FALSE),"※未登録"))</f>
        <v>送金料</v>
      </c>
      <c r="R301" s="769">
        <f>IF($F301="","",$I301+$J301+$K301)</f>
        <v>15324</v>
      </c>
      <c r="S301" s="769" t="str">
        <f>IF(OR($F301="",$P301="支払なし",$H301=0,$Q301=""),"",$Q301&amp;"|S|"&amp;(COUNTIF(S$4:S300,$Q301&amp;"|S|*")+1))</f>
        <v/>
      </c>
      <c r="T301" s="769" t="str">
        <f>IF(OR($F301="",$P301="支払なし",$R301=0,$Q301=""),"",$Q301&amp;"|L|"&amp;(COUNTIF(T$4:T300,$Q301&amp;"|L|*")+1))</f>
        <v>送金料|L|6</v>
      </c>
      <c r="U301" s="769">
        <f>IF(OR($F301="",$A301=""),"",MOD(MONTH($A301)-4,12)+1)</f>
        <v>7</v>
      </c>
    </row>
    <row r="302" ht="16.5" customFormat="1" customHeight="1" s="43">
      <c r="A302" s="760" t="n">
        <v>46308</v>
      </c>
      <c r="B302" s="761" t="n"/>
      <c r="C302" s="762" t="inlineStr">
        <is>
          <t>事務費</t>
        </is>
      </c>
      <c r="D302" s="762" t="inlineStr">
        <is>
          <t>送金料</t>
        </is>
      </c>
      <c r="E302" s="775" t="inlineStr">
        <is>
          <t>振込手数料（広銀）９月分　短期分</t>
        </is>
      </c>
      <c r="F302" s="764" t="n">
        <v>152707</v>
      </c>
      <c r="G302" s="764" t="n">
        <v>2</v>
      </c>
      <c r="H302" s="765">
        <f>IF(G302=1,F302-I302-J302-K302,IF(G302=2,F302,0))</f>
        <v>152707</v>
      </c>
      <c r="I302" s="765">
        <f>ROUND(IF(G302=1,F302*10/23,IF(G302=3,F302-J302-K302,IF(G302=4,F302,IF(G302=5,F302*10/11,IF(G302=7,F302*10/11,0))))),0)</f>
        <v>0</v>
      </c>
      <c r="J302" s="765">
        <f>ROUND(IF(G302=1,F302/23,IF(G302=3,F302/12,IF(G302=5,F302-I302,IF(G302=8,F302,0)))),0)</f>
        <v>0</v>
      </c>
      <c r="K302" s="766">
        <f>ROUND(IF(G302=1,F302/23,IF(G302=3,F302/12,IF(G302=6,F302,IF(G302=7,F302-I302,0)))),0)</f>
        <v>0</v>
      </c>
      <c r="L302" s="767">
        <f>IF(G302=6,F302,0)</f>
        <v>0</v>
      </c>
      <c r="M302" s="572">
        <f>IF(F302="",0,MONTH(A302))</f>
        <v>10</v>
      </c>
      <c r="P302" s="768" t="inlineStr">
        <is>
          <t>確認済</t>
        </is>
      </c>
      <c r="Q302" s="769" t="str">
        <f>IF($F302="","",IFERROR(VLOOKUP($C302&amp;"|"&amp;$D302,科目表!$A$5:$B$200,2,FALSE),"※未登録"))</f>
        <v>送金料</v>
      </c>
      <c r="R302" s="769">
        <f>IF($F302="","",$I302+$J302+$K302)</f>
        <v>0</v>
      </c>
      <c r="S302" s="769" t="str">
        <f>IF(OR($F302="",$P302="支払なし",$H302=0,$Q302=""),"",$Q302&amp;"|S|"&amp;(COUNTIF(S$4:S301,$Q302&amp;"|S|*")+1))</f>
        <v>送金料|S|11</v>
      </c>
      <c r="T302" s="769" t="str">
        <f>IF(OR($F302="",$P302="支払なし",$R302=0,$Q302=""),"",$Q302&amp;"|L|"&amp;(COUNTIF(T$4:T301,$Q302&amp;"|L|*")+1))</f>
        <v/>
      </c>
      <c r="U302" s="769">
        <f>IF(OR($F302="",$A302=""),"",MOD(MONTH($A302)-4,12)+1)</f>
        <v>7</v>
      </c>
    </row>
    <row r="303" ht="16.5" customFormat="1" customHeight="1" s="422">
      <c r="A303" s="760" t="n">
        <v>43385</v>
      </c>
      <c r="B303" s="761" t="n"/>
      <c r="C303" s="762" t="inlineStr">
        <is>
          <t>事務費</t>
        </is>
      </c>
      <c r="D303" s="762" t="inlineStr">
        <is>
          <t>通信運搬費</t>
        </is>
      </c>
      <c r="E303" s="773" t="inlineStr">
        <is>
          <t>切手</t>
        </is>
      </c>
      <c r="F303" s="764" t="n">
        <v>1137800</v>
      </c>
      <c r="G303" s="764" t="n">
        <v>3</v>
      </c>
      <c r="H303" s="765">
        <f>IF(G303=1,F303-I303-J303-K303,IF(G303=2,F303,0))</f>
        <v>0</v>
      </c>
      <c r="I303" s="765">
        <f>ROUND(IF(G303=1,F303*10/23,IF(G303=3,F303-J303-K303,IF(G303=4,F303,IF(G303=5,F303*10/11,IF(G303=7,F303*10/11,0))))),0)</f>
        <v>948166</v>
      </c>
      <c r="J303" s="765">
        <f>ROUND(IF(G303=1,F303/23,IF(G303=3,F303/12,IF(G303=5,F303-I303,IF(G303=8,F303,0)))),0)</f>
        <v>94817</v>
      </c>
      <c r="K303" s="766">
        <f>ROUND(IF(G303=1,F303/23,IF(G303=3,F303/12,IF(G303=6,F303,IF(G303=7,F303-I303,0)))),0)</f>
        <v>94817</v>
      </c>
      <c r="L303" s="767">
        <f>IF(G303=6,F303,0)</f>
        <v>0</v>
      </c>
      <c r="M303" s="421">
        <f>IF(F303="",0,MONTH(A303))</f>
        <v>10</v>
      </c>
      <c r="P303" s="768" t="inlineStr">
        <is>
          <t>昨年実績</t>
        </is>
      </c>
      <c r="Q303" s="769" t="str">
        <f>IF($F303="","",IFERROR(VLOOKUP($C303&amp;"|"&amp;$D303,科目表!$A$5:$B$200,2,FALSE),"※未登録"))</f>
        <v>通信運搬費</v>
      </c>
      <c r="R303" s="769">
        <f>IF($F303="","",$I303+$J303+$K303)</f>
        <v>1137800</v>
      </c>
      <c r="S303" s="769" t="str">
        <f>IF(OR($F303="",$P303="支払なし",$H303=0,$Q303=""),"",$Q303&amp;"|S|"&amp;(COUNTIF(S$4:S302,$Q303&amp;"|S|*")+1))</f>
        <v/>
      </c>
      <c r="T303" s="769" t="str">
        <f>IF(OR($F303="",$P303="支払なし",$R303=0,$Q303=""),"",$Q303&amp;"|L|"&amp;(COUNTIF(T$4:T302,$Q303&amp;"|L|*")+1))</f>
        <v>通信運搬費|L|11</v>
      </c>
      <c r="U303" s="769">
        <f>IF(OR($F303="",$A303=""),"",MOD(MONTH($A303)-4,12)+1)</f>
        <v>7</v>
      </c>
    </row>
    <row r="304" ht="16.5" customFormat="1" customHeight="1" s="422">
      <c r="A304" s="760" t="n">
        <v>44119</v>
      </c>
      <c r="B304" s="761" t="n"/>
      <c r="C304" s="762" t="inlineStr">
        <is>
          <t>事務費</t>
        </is>
      </c>
      <c r="D304" s="762" t="inlineStr">
        <is>
          <t>図書印刷費</t>
        </is>
      </c>
      <c r="E304" s="763" t="inlineStr">
        <is>
          <t>窓付封筒（290×240）1,000枚</t>
        </is>
      </c>
      <c r="F304" s="772" t="n">
        <v>35750</v>
      </c>
      <c r="G304" s="772" t="n">
        <v>3</v>
      </c>
      <c r="H304" s="765">
        <f>IF(G304=1,F304-I304-J304-K304,IF(G304=2,F304,0))</f>
        <v>0</v>
      </c>
      <c r="I304" s="765">
        <f>ROUND(IF(G304=1,F304*10/23,IF(G304=3,F304-J304-K304,IF(G304=4,F304,IF(G304=5,F304*10/11,IF(G304=7,F304*10/11,0))))),0)</f>
        <v>29792</v>
      </c>
      <c r="J304" s="765">
        <f>ROUND(IF(G304=1,F304/23,IF(G304=3,F304/12,IF(G304=5,F304-I304,IF(G304=8,F304,0)))),0)</f>
        <v>2979</v>
      </c>
      <c r="K304" s="766">
        <f>ROUND(IF(G304=1,F304/23,IF(G304=3,F304/12,IF(G304=6,F304,IF(G304=7,F304-I304,0)))),0)</f>
        <v>2979</v>
      </c>
      <c r="L304" s="767">
        <f>IF(G304=6,F304,0)</f>
        <v>0</v>
      </c>
      <c r="M304" s="421">
        <f>IF(F304="",0,MONTH(A304))</f>
        <v>10</v>
      </c>
      <c r="P304" s="768" t="inlineStr">
        <is>
          <t>昨年実績</t>
        </is>
      </c>
      <c r="Q304" s="769" t="str">
        <f>IF($F304="","",IFERROR(VLOOKUP($C304&amp;"|"&amp;$D304,科目表!$A$5:$B$200,2,FALSE),"※未登録"))</f>
        <v>図書印刷費</v>
      </c>
      <c r="R304" s="769">
        <f>IF($F304="","",$I304+$J304+$K304)</f>
        <v>35750</v>
      </c>
      <c r="S304" s="769" t="str">
        <f>IF(OR($F304="",$P304="支払なし",$H304=0,$Q304=""),"",$Q304&amp;"|S|"&amp;(COUNTIF(S$4:S303,$Q304&amp;"|S|*")+1))</f>
        <v/>
      </c>
      <c r="T304" s="769" t="str">
        <f>IF(OR($F304="",$P304="支払なし",$R304=0,$Q304=""),"",$Q304&amp;"|L|"&amp;(COUNTIF(T$4:T303,$Q304&amp;"|L|*")+1))</f>
        <v>図書印刷費|L|8</v>
      </c>
      <c r="U304" s="769">
        <f>IF(OR($F304="",$A304=""),"",MOD(MONTH($A304)-4,12)+1)</f>
        <v>7</v>
      </c>
    </row>
    <row r="305" ht="16.5" customFormat="1" customHeight="1" s="43">
      <c r="A305" s="760" t="n">
        <v>46324</v>
      </c>
      <c r="B305" s="761" t="n"/>
      <c r="C305" s="762" t="inlineStr">
        <is>
          <t>委託費</t>
        </is>
      </c>
      <c r="D305" s="762" t="n"/>
      <c r="E305" s="762" t="inlineStr">
        <is>
          <t>ねんきん定期便（９月分）送付業務</t>
        </is>
      </c>
      <c r="F305" s="772" t="n">
        <v>89824</v>
      </c>
      <c r="G305" s="772" t="n">
        <v>5</v>
      </c>
      <c r="H305" s="765">
        <f>IF(G305=1,F305-I305-J305-K305,IF(G305=2,F305,0))</f>
        <v>0</v>
      </c>
      <c r="I305" s="765">
        <f>ROUND(IF(G305=1,F305*10/23,IF(G305=3,F305-J305-K305,IF(G305=4,F305,IF(G305=5,F305*10/11,IF(G305=7,F305*10/11,0))))),0)</f>
        <v>81658</v>
      </c>
      <c r="J305" s="765">
        <f>ROUND(IF(G305=1,F305/23,IF(G305=3,F305/12,IF(G305=5,F305-I305,IF(G305=8,F305,0)))),0)</f>
        <v>8166</v>
      </c>
      <c r="K305" s="766">
        <f>ROUND(IF(G305=1,F305/23,IF(G305=3,F305/12,IF(G305=6,F305,IF(G305=7,F305-I305,0)))),0)</f>
        <v>0</v>
      </c>
      <c r="L305" s="767">
        <f>IF(G305=6,F305,0)</f>
        <v>0</v>
      </c>
      <c r="M305" s="572">
        <f>IF(F305="",0,MONTH(A305))</f>
        <v>10</v>
      </c>
      <c r="P305" s="768" t="inlineStr">
        <is>
          <t>確認済</t>
        </is>
      </c>
      <c r="Q305" s="769" t="str">
        <f>IF($F305="","",IFERROR(VLOOKUP($C305&amp;"|"&amp;$D305,科目表!$A$5:$B$200,2,FALSE),"※未登録"))</f>
        <v>委託費</v>
      </c>
      <c r="R305" s="769">
        <f>IF($F305="","",$I305+$J305+$K305)</f>
        <v>89824</v>
      </c>
      <c r="S305" s="769" t="str">
        <f>IF(OR($F305="",$P305="支払なし",$H305=0,$Q305=""),"",$Q305&amp;"|S|"&amp;(COUNTIF(S$4:S304,$Q305&amp;"|S|*")+1))</f>
        <v/>
      </c>
      <c r="T305" s="769" t="str">
        <f>IF(OR($F305="",$P305="支払なし",$R305=0,$Q305=""),"",$Q305&amp;"|L|"&amp;(COUNTIF(T$4:T304,$Q305&amp;"|L|*")+1))</f>
        <v>委託費|L|9</v>
      </c>
      <c r="U305" s="769">
        <f>IF(OR($F305="",$A305=""),"",MOD(MONTH($A305)-4,12)+1)</f>
        <v>7</v>
      </c>
    </row>
    <row r="306" ht="16.5" customFormat="1" customHeight="1" s="43">
      <c r="A306" s="760" t="n">
        <v>45959</v>
      </c>
      <c r="B306" s="761" t="n"/>
      <c r="C306" s="762" t="inlineStr">
        <is>
          <t>賃借料</t>
        </is>
      </c>
      <c r="D306" s="762" t="n"/>
      <c r="E306" s="762" t="inlineStr">
        <is>
          <t>パソコン（業務経理用）９月分</t>
        </is>
      </c>
      <c r="F306" s="772" t="n">
        <v>5060</v>
      </c>
      <c r="G306" s="772" t="n">
        <v>2</v>
      </c>
      <c r="H306" s="765">
        <f>IF(G306=1,F306-I306-J306-K306,IF(G306=2,F306,0))</f>
        <v>5060</v>
      </c>
      <c r="I306" s="765">
        <f>ROUND(IF(G306=1,F306*10/23,IF(G306=3,F306-J306-K306,IF(G306=4,F306,IF(G306=5,F306*10/11,IF(G306=7,F306*10/11,0))))),0)</f>
        <v>0</v>
      </c>
      <c r="J306" s="765">
        <f>ROUND(IF(G306=1,F306/23,IF(G306=3,F306/12,IF(G306=5,F306-I306,IF(G306=8,F306,0)))),0)</f>
        <v>0</v>
      </c>
      <c r="K306" s="766">
        <f>ROUND(IF(G306=1,F306/23,IF(G306=3,F306/12,IF(G306=6,F306,IF(G306=7,F306-I306,0)))),0)</f>
        <v>0</v>
      </c>
      <c r="L306" s="767">
        <f>IF(G306=6,F306,0)</f>
        <v>0</v>
      </c>
      <c r="M306" s="572">
        <f>IF(F306="",0,MONTH(A306))</f>
        <v>10</v>
      </c>
      <c r="P306" s="768" t="inlineStr">
        <is>
          <t>昨年実績</t>
        </is>
      </c>
      <c r="Q306" s="769" t="str">
        <f>IF($F306="","",IFERROR(VLOOKUP($C306&amp;"|"&amp;$D306,科目表!$A$5:$B$200,2,FALSE),"※未登録"))</f>
        <v>賃借料</v>
      </c>
      <c r="R306" s="769">
        <f>IF($F306="","",$I306+$J306+$K306)</f>
        <v>0</v>
      </c>
      <c r="S306" s="769" t="str">
        <f>IF(OR($F306="",$P306="支払なし",$H306=0,$Q306=""),"",$Q306&amp;"|S|"&amp;(COUNTIF(S$4:S305,$Q306&amp;"|S|*")+1))</f>
        <v>賃借料|S|28</v>
      </c>
      <c r="T306" s="769" t="str">
        <f>IF(OR($F306="",$P306="支払なし",$R306=0,$Q306=""),"",$Q306&amp;"|L|"&amp;(COUNTIF(T$4:T305,$Q306&amp;"|L|*")+1))</f>
        <v/>
      </c>
      <c r="U306" s="769">
        <f>IF(OR($F306="",$A306=""),"",MOD(MONTH($A306)-4,12)+1)</f>
        <v>7</v>
      </c>
    </row>
    <row r="307" ht="16.5" customFormat="1" customHeight="1" s="43">
      <c r="A307" s="760" t="n">
        <v>46310</v>
      </c>
      <c r="B307" s="761" t="n"/>
      <c r="C307" s="762" t="inlineStr">
        <is>
          <t>賃金</t>
        </is>
      </c>
      <c r="D307" s="762" t="n"/>
      <c r="E307" s="762" t="inlineStr">
        <is>
          <t>臨時職員賃金９月分　天畠吏梨　外１名分（短期１００％）</t>
        </is>
      </c>
      <c r="F307" s="764" t="n">
        <v>378520</v>
      </c>
      <c r="G307" s="764" t="n">
        <v>2</v>
      </c>
      <c r="H307" s="765">
        <f>IF(G307=1,F307-I307-J307-K307,IF(G307=2,F307,0))</f>
        <v>378520</v>
      </c>
      <c r="I307" s="765">
        <f>ROUND(IF(G307=1,F307*10/23,IF(G307=3,F307-J307-K307,IF(G307=4,F307,IF(G307=5,F307*10/11,IF(G307=7,F307*10/11,0))))),0)</f>
        <v>0</v>
      </c>
      <c r="J307" s="765">
        <f>ROUND(IF(G307=1,F307/23,IF(G307=3,F307/12,IF(G307=5,F307-I307,IF(G307=8,F307,0)))),0)</f>
        <v>0</v>
      </c>
      <c r="K307" s="766">
        <f>ROUND(IF(G307=1,F307/23,IF(G307=3,F307/12,IF(G307=6,F307,IF(G307=7,F307-I307,0)))),0)</f>
        <v>0</v>
      </c>
      <c r="L307" s="767">
        <f>IF(G307=6,F307,0)</f>
        <v>0</v>
      </c>
      <c r="M307" s="572">
        <f>IF(F307="",0,MONTH(A307))</f>
        <v>10</v>
      </c>
      <c r="P307" s="768" t="inlineStr">
        <is>
          <t>確認済</t>
        </is>
      </c>
      <c r="Q307" s="769" t="str">
        <f>IF($F307="","",IFERROR(VLOOKUP($C307&amp;"|"&amp;$D307,科目表!$A$5:$B$200,2,FALSE),"※未登録"))</f>
        <v>賃金</v>
      </c>
      <c r="R307" s="769">
        <f>IF($F307="","",$I307+$J307+$K307)</f>
        <v>0</v>
      </c>
      <c r="S307" s="769" t="str">
        <f>IF(OR($F307="",$P307="支払なし",$H307=0,$Q307=""),"",$Q307&amp;"|S|"&amp;(COUNTIF(S$4:S306,$Q307&amp;"|S|*")+1))</f>
        <v>賃金|S|6</v>
      </c>
      <c r="T307" s="769" t="str">
        <f>IF(OR($F307="",$P307="支払なし",$R307=0,$Q307=""),"",$Q307&amp;"|L|"&amp;(COUNTIF(T$4:T306,$Q307&amp;"|L|*")+1))</f>
        <v/>
      </c>
      <c r="U307" s="769">
        <f>IF(OR($F307="",$A307=""),"",MOD(MONTH($A307)-4,12)+1)</f>
        <v>7</v>
      </c>
    </row>
    <row r="308" ht="16.5" customFormat="1" customHeight="1" s="43">
      <c r="A308" s="760" t="n">
        <v>46294</v>
      </c>
      <c r="B308" s="761" t="n"/>
      <c r="C308" s="762" t="inlineStr">
        <is>
          <t>事務費</t>
        </is>
      </c>
      <c r="D308" s="762" t="inlineStr">
        <is>
          <t>図書印刷費</t>
        </is>
      </c>
      <c r="E308" s="799" t="inlineStr">
        <is>
          <t>地方公務員共済組合関係法令実例判例集追録1180-1188号</t>
        </is>
      </c>
      <c r="F308" s="764" t="n">
        <v>26136</v>
      </c>
      <c r="G308" s="764" t="n">
        <v>3</v>
      </c>
      <c r="H308" s="765">
        <f>IF(G308=1,F308-I308-J308-K308,IF(G308=2,F308,0))</f>
        <v>0</v>
      </c>
      <c r="I308" s="765">
        <f>ROUND(IF(G308=1,F308*10/23,IF(G308=3,F308-J308-K308,IF(G308=4,F308,IF(G308=5,F308*10/11,IF(G308=7,F308*10/11,0))))),0)</f>
        <v>21780</v>
      </c>
      <c r="J308" s="765">
        <f>ROUND(IF(G308=1,F308/23,IF(G308=3,F308/12,IF(G308=5,F308-I308,IF(G308=8,F308,0)))),0)</f>
        <v>2178</v>
      </c>
      <c r="K308" s="766">
        <f>ROUND(IF(G308=1,F308/23,IF(G308=3,F308/12,IF(G308=6,F308,IF(G308=7,F308-I308,0)))),0)</f>
        <v>2178</v>
      </c>
      <c r="L308" s="767">
        <f>IF(G308=6,F308,0)</f>
        <v>0</v>
      </c>
      <c r="M308" s="572">
        <f>IF(F308="",0,MONTH(A308))</f>
        <v>9</v>
      </c>
      <c r="P308" s="768" t="inlineStr">
        <is>
          <t>確認済</t>
        </is>
      </c>
      <c r="Q308" s="769" t="str">
        <f>IF($F308="","",IFERROR(VLOOKUP($C308&amp;"|"&amp;$D308,科目表!$A$5:$B$200,2,FALSE),"※未登録"))</f>
        <v>図書印刷費</v>
      </c>
      <c r="R308" s="769">
        <f>IF($F308="","",$I308+$J308+$K308)</f>
        <v>26136</v>
      </c>
      <c r="S308" s="769" t="str">
        <f>IF(OR($F308="",$P308="支払なし",$H308=0,$Q308=""),"",$Q308&amp;"|S|"&amp;(COUNTIF(S$4:S307,$Q308&amp;"|S|*")+1))</f>
        <v/>
      </c>
      <c r="T308" s="769" t="str">
        <f>IF(OR($F308="",$P308="支払なし",$R308=0,$Q308=""),"",$Q308&amp;"|L|"&amp;(COUNTIF(T$4:T307,$Q308&amp;"|L|*")+1))</f>
        <v>図書印刷費|L|9</v>
      </c>
      <c r="U308" s="769">
        <f>IF(OR($F308="",$A308=""),"",MOD(MONTH($A308)-4,12)+1)</f>
        <v>6</v>
      </c>
    </row>
    <row r="309" ht="16.5" customFormat="1" customHeight="1" s="422">
      <c r="A309" s="760" t="n">
        <v>44799</v>
      </c>
      <c r="B309" s="761" t="n"/>
      <c r="C309" s="762" t="inlineStr">
        <is>
          <t>事務費</t>
        </is>
      </c>
      <c r="D309" s="762" t="inlineStr">
        <is>
          <t>図書印刷費</t>
        </is>
      </c>
      <c r="E309" s="763" t="inlineStr">
        <is>
          <t>窓付洋形（２３５×１２０）封筒のり付　１２，０００枚</t>
        </is>
      </c>
      <c r="F309" s="772" t="n">
        <v>109560</v>
      </c>
      <c r="G309" s="772" t="n">
        <v>3</v>
      </c>
      <c r="H309" s="765">
        <f>IF(G309=1,F309-I309-J309-K309,IF(G309=2,F309,0))</f>
        <v>0</v>
      </c>
      <c r="I309" s="765">
        <f>ROUND(IF(G309=1,F309*10/23,IF(G309=3,F309-J309-K309,IF(G309=4,F309,IF(G309=5,F309*10/11,IF(G309=7,F309*10/11,0))))),0)</f>
        <v>91300</v>
      </c>
      <c r="J309" s="765">
        <f>ROUND(IF(G309=1,F309/23,IF(G309=3,F309/12,IF(G309=5,F309-I309,IF(G309=8,F309,0)))),0)</f>
        <v>9130</v>
      </c>
      <c r="K309" s="766">
        <f>ROUND(IF(G309=1,F309/23,IF(G309=3,F309/12,IF(G309=6,F309,IF(G309=7,F309-I309,0)))),0)</f>
        <v>9130</v>
      </c>
      <c r="L309" s="767">
        <f>IF(G309=6,F309,0)</f>
        <v>0</v>
      </c>
      <c r="M309" s="421">
        <f>IF(F309="",0,MONTH(A309))</f>
        <v>8</v>
      </c>
      <c r="P309" s="768" t="inlineStr">
        <is>
          <t>昨年実績</t>
        </is>
      </c>
      <c r="Q309" s="769" t="str">
        <f>IF($F309="","",IFERROR(VLOOKUP($C309&amp;"|"&amp;$D309,科目表!$A$5:$B$200,2,FALSE),"※未登録"))</f>
        <v>図書印刷費</v>
      </c>
      <c r="R309" s="769">
        <f>IF($F309="","",$I309+$J309+$K309)</f>
        <v>109560</v>
      </c>
      <c r="S309" s="769" t="str">
        <f>IF(OR($F309="",$P309="支払なし",$H309=0,$Q309=""),"",$Q309&amp;"|S|"&amp;(COUNTIF(S$4:S308,$Q309&amp;"|S|*")+1))</f>
        <v/>
      </c>
      <c r="T309" s="769" t="str">
        <f>IF(OR($F309="",$P309="支払なし",$R309=0,$Q309=""),"",$Q309&amp;"|L|"&amp;(COUNTIF(T$4:T308,$Q309&amp;"|L|*")+1))</f>
        <v>図書印刷費|L|10</v>
      </c>
      <c r="U309" s="769">
        <f>IF(OR($F309="",$A309=""),"",MOD(MONTH($A309)-4,12)+1)</f>
        <v>5</v>
      </c>
    </row>
    <row r="310" ht="16.5" customFormat="1" customHeight="1" s="43">
      <c r="A310" s="760" t="n">
        <v>45912</v>
      </c>
      <c r="B310" s="761" t="n"/>
      <c r="C310" s="762" t="inlineStr">
        <is>
          <t>事務費</t>
        </is>
      </c>
      <c r="D310" s="762" t="inlineStr">
        <is>
          <t>事務用消耗品費</t>
        </is>
      </c>
      <c r="E310" s="770" t="inlineStr">
        <is>
          <t>トナーカートリッジ（再生品）ＬＰＢ３Ｔ３４　４個</t>
        </is>
      </c>
      <c r="F310" s="764" t="n">
        <v>30360</v>
      </c>
      <c r="G310" s="764" t="n">
        <v>3</v>
      </c>
      <c r="H310" s="765">
        <f>IF(G310=1,F310-I310-J310-K310,IF(G310=2,F310,0))</f>
        <v>0</v>
      </c>
      <c r="I310" s="765">
        <f>ROUND(IF(G310=1,F310*10/23,IF(G310=3,F310-J310-K310,IF(G310=4,F310,IF(G310=5,F310*10/11,IF(G310=7,F310*10/11,0))))),0)</f>
        <v>25300</v>
      </c>
      <c r="J310" s="765">
        <f>ROUND(IF(G310=1,F310/23,IF(G310=3,F310/12,IF(G310=5,F310-I310,IF(G310=8,F310,0)))),0)</f>
        <v>2530</v>
      </c>
      <c r="K310" s="766">
        <f>ROUND(IF(G310=1,F310/23,IF(G310=3,F310/12,IF(G310=6,F310,IF(G310=7,F310-I310,0)))),0)</f>
        <v>2530</v>
      </c>
      <c r="L310" s="767">
        <f>IF(G310=6,F310,0)</f>
        <v>0</v>
      </c>
      <c r="M310" s="572">
        <f>IF(F310="",0,MONTH(A310))</f>
        <v>9</v>
      </c>
      <c r="P310" s="768" t="inlineStr">
        <is>
          <t>昨年実績</t>
        </is>
      </c>
      <c r="Q310" s="769" t="str">
        <f>IF($F310="","",IFERROR(VLOOKUP($C310&amp;"|"&amp;$D310,科目表!$A$5:$B$200,2,FALSE),"※未登録"))</f>
        <v>事務用消耗品費</v>
      </c>
      <c r="R310" s="769">
        <f>IF($F310="","",$I310+$J310+$K310)</f>
        <v>30360</v>
      </c>
      <c r="S310" s="769" t="str">
        <f>IF(OR($F310="",$P310="支払なし",$H310=0,$Q310=""),"",$Q310&amp;"|S|"&amp;(COUNTIF(S$4:S309,$Q310&amp;"|S|*")+1))</f>
        <v/>
      </c>
      <c r="T310" s="769" t="str">
        <f>IF(OR($F310="",$P310="支払なし",$R310=0,$Q310=""),"",$Q310&amp;"|L|"&amp;(COUNTIF(T$4:T309,$Q310&amp;"|L|*")+1))</f>
        <v>事務用消耗品費|L|12</v>
      </c>
      <c r="U310" s="769">
        <f>IF(OR($F310="",$A310=""),"",MOD(MONTH($A310)-4,12)+1)</f>
        <v>6</v>
      </c>
    </row>
    <row r="311" ht="16.5" customFormat="1" customHeight="1" s="43">
      <c r="A311" s="760" t="n">
        <v>46325</v>
      </c>
      <c r="B311" s="761" t="n"/>
      <c r="C311" s="762" t="inlineStr">
        <is>
          <t>事務費</t>
        </is>
      </c>
      <c r="D311" s="762" t="inlineStr">
        <is>
          <t>図書印刷費</t>
        </is>
      </c>
      <c r="E311" s="770" t="inlineStr">
        <is>
          <t>厚生法規総覧追録　6146-6155号</t>
        </is>
      </c>
      <c r="F311" s="764" t="n">
        <v>33154</v>
      </c>
      <c r="G311" s="764" t="n">
        <v>2</v>
      </c>
      <c r="H311" s="765">
        <f>IF(G311=1,F311-I311-J311-K311,IF(G311=2,F311,0))</f>
        <v>33154</v>
      </c>
      <c r="I311" s="765">
        <f>ROUND(IF(G311=1,F311*10/23,IF(G311=3,F311-J311-K311,IF(G311=4,F311,IF(G311=5,F311*10/11,IF(G311=7,F311*10/11,0))))),0)</f>
        <v>0</v>
      </c>
      <c r="J311" s="765">
        <f>ROUND(IF(G311=1,F311/23,IF(G311=3,F311/12,IF(G311=5,F311-I311,IF(G311=8,F311,0)))),0)</f>
        <v>0</v>
      </c>
      <c r="K311" s="766">
        <f>ROUND(IF(G311=1,F311/23,IF(G311=3,F311/12,IF(G311=6,F311,IF(G311=7,F311-I311,0)))),0)</f>
        <v>0</v>
      </c>
      <c r="L311" s="767">
        <f>IF(G311=6,F311,0)</f>
        <v>0</v>
      </c>
      <c r="M311" s="572">
        <f>IF(F311="",0,MONTH(A311))</f>
        <v>10</v>
      </c>
      <c r="P311" s="768" t="inlineStr">
        <is>
          <t>確認済</t>
        </is>
      </c>
      <c r="Q311" s="769" t="str">
        <f>IF($F311="","",IFERROR(VLOOKUP($C311&amp;"|"&amp;$D311,科目表!$A$5:$B$200,2,FALSE),"※未登録"))</f>
        <v>図書印刷費</v>
      </c>
      <c r="R311" s="769">
        <f>IF($F311="","",$I311+$J311+$K311)</f>
        <v>0</v>
      </c>
      <c r="S311" s="769" t="str">
        <f>IF(OR($F311="",$P311="支払なし",$H311=0,$Q311=""),"",$Q311&amp;"|S|"&amp;(COUNTIF(S$4:S310,$Q311&amp;"|S|*")+1))</f>
        <v>図書印刷費|S|14</v>
      </c>
      <c r="T311" s="769" t="str">
        <f>IF(OR($F311="",$P311="支払なし",$R311=0,$Q311=""),"",$Q311&amp;"|L|"&amp;(COUNTIF(T$4:T310,$Q311&amp;"|L|*")+1))</f>
        <v/>
      </c>
      <c r="U311" s="769">
        <f>IF(OR($F311="",$A311=""),"",MOD(MONTH($A311)-4,12)+1)</f>
        <v>7</v>
      </c>
    </row>
    <row r="312" ht="16.5" customFormat="1" customHeight="1" s="422">
      <c r="A312" s="760" t="n">
        <v>44848</v>
      </c>
      <c r="B312" s="761" t="n"/>
      <c r="C312" s="762" t="inlineStr">
        <is>
          <t>事務費</t>
        </is>
      </c>
      <c r="D312" s="762" t="inlineStr">
        <is>
          <t>図書印刷費</t>
        </is>
      </c>
      <c r="E312" s="762" t="inlineStr">
        <is>
          <t>組合員原票（Ａ４）700部</t>
        </is>
      </c>
      <c r="F312" s="772" t="n">
        <v>49665</v>
      </c>
      <c r="G312" s="772" t="n">
        <v>3</v>
      </c>
      <c r="H312" s="765">
        <f>IF(G312=1,F312-I312-J312-K312,IF(G312=2,F312,0))</f>
        <v>0</v>
      </c>
      <c r="I312" s="765">
        <f>ROUND(IF(G312=1,F312*10/23,IF(G312=3,F312-J312-K312,IF(G312=4,F312,IF(G312=5,F312*10/11,IF(G312=7,F312*10/11,0))))),0)</f>
        <v>41387</v>
      </c>
      <c r="J312" s="765">
        <f>ROUND(IF(G312=1,F312/23,IF(G312=3,F312/12,IF(G312=5,F312-I312,IF(G312=8,F312,0)))),0)</f>
        <v>4139</v>
      </c>
      <c r="K312" s="766">
        <f>ROUND(IF(G312=1,F312/23,IF(G312=3,F312/12,IF(G312=6,F312,IF(G312=7,F312-I312,0)))),0)</f>
        <v>4139</v>
      </c>
      <c r="L312" s="767">
        <f>IF(G312=6,F312,0)</f>
        <v>0</v>
      </c>
      <c r="M312" s="421">
        <f>IF(F312="",0,MONTH(A312))</f>
        <v>10</v>
      </c>
      <c r="P312" s="768" t="inlineStr">
        <is>
          <t>昨年実績</t>
        </is>
      </c>
      <c r="Q312" s="769" t="str">
        <f>IF($F312="","",IFERROR(VLOOKUP($C312&amp;"|"&amp;$D312,科目表!$A$5:$B$200,2,FALSE),"※未登録"))</f>
        <v>図書印刷費</v>
      </c>
      <c r="R312" s="769">
        <f>IF($F312="","",$I312+$J312+$K312)</f>
        <v>49665</v>
      </c>
      <c r="S312" s="769" t="str">
        <f>IF(OR($F312="",$P312="支払なし",$H312=0,$Q312=""),"",$Q312&amp;"|S|"&amp;(COUNTIF(S$4:S311,$Q312&amp;"|S|*")+1))</f>
        <v/>
      </c>
      <c r="T312" s="769" t="str">
        <f>IF(OR($F312="",$P312="支払なし",$R312=0,$Q312=""),"",$Q312&amp;"|L|"&amp;(COUNTIF(T$4:T311,$Q312&amp;"|L|*")+1))</f>
        <v>図書印刷費|L|11</v>
      </c>
      <c r="U312" s="769">
        <f>IF(OR($F312="",$A312=""),"",MOD(MONTH($A312)-4,12)+1)</f>
        <v>7</v>
      </c>
    </row>
    <row r="313" ht="16.5" customFormat="1" customHeight="1" s="422">
      <c r="A313" s="760" t="n">
        <v>44848</v>
      </c>
      <c r="B313" s="761" t="n"/>
      <c r="C313" s="762" t="inlineStr">
        <is>
          <t>事務費</t>
        </is>
      </c>
      <c r="D313" s="762" t="inlineStr">
        <is>
          <t>図書印刷費</t>
        </is>
      </c>
      <c r="E313" s="770" t="inlineStr">
        <is>
          <t>長３封筒（両面テープ付）1,000枚</t>
        </is>
      </c>
      <c r="F313" s="772" t="n">
        <v>13200</v>
      </c>
      <c r="G313" s="772" t="n">
        <v>3</v>
      </c>
      <c r="H313" s="765">
        <f>IF(G313=1,F313-I313-J313-K313,IF(G313=2,F313,0))</f>
        <v>0</v>
      </c>
      <c r="I313" s="765">
        <f>ROUND(IF(G313=1,F313*10/23,IF(G313=3,F313-J313-K313,IF(G313=4,F313,IF(G313=5,F313*10/11,IF(G313=7,F313*10/11,0))))),0)</f>
        <v>11000</v>
      </c>
      <c r="J313" s="765">
        <f>ROUND(IF(G313=1,F313/23,IF(G313=3,F313/12,IF(G313=5,F313-I313,IF(G313=8,F313,0)))),0)</f>
        <v>1100</v>
      </c>
      <c r="K313" s="766">
        <f>ROUND(IF(G313=1,F313/23,IF(G313=3,F313/12,IF(G313=6,F313,IF(G313=7,F313-I313,0)))),0)</f>
        <v>1100</v>
      </c>
      <c r="L313" s="767">
        <f>IF(G313=6,F313,0)</f>
        <v>0</v>
      </c>
      <c r="M313" s="421">
        <f>IF(F313="",0,MONTH(A313))</f>
        <v>10</v>
      </c>
      <c r="P313" s="768" t="inlineStr">
        <is>
          <t>昨年実績</t>
        </is>
      </c>
      <c r="Q313" s="769" t="str">
        <f>IF($F313="","",IFERROR(VLOOKUP($C313&amp;"|"&amp;$D313,科目表!$A$5:$B$200,2,FALSE),"※未登録"))</f>
        <v>図書印刷費</v>
      </c>
      <c r="R313" s="769">
        <f>IF($F313="","",$I313+$J313+$K313)</f>
        <v>13200</v>
      </c>
      <c r="S313" s="769" t="str">
        <f>IF(OR($F313="",$P313="支払なし",$H313=0,$Q313=""),"",$Q313&amp;"|S|"&amp;(COUNTIF(S$4:S312,$Q313&amp;"|S|*")+1))</f>
        <v/>
      </c>
      <c r="T313" s="769" t="str">
        <f>IF(OR($F313="",$P313="支払なし",$R313=0,$Q313=""),"",$Q313&amp;"|L|"&amp;(COUNTIF(T$4:T312,$Q313&amp;"|L|*")+1))</f>
        <v>図書印刷費|L|12</v>
      </c>
      <c r="U313" s="769">
        <f>IF(OR($F313="",$A313=""),"",MOD(MONTH($A313)-4,12)+1)</f>
        <v>7</v>
      </c>
    </row>
    <row r="314" ht="16.5" customFormat="1" customHeight="1" s="43">
      <c r="A314" s="760" t="n">
        <v>46316</v>
      </c>
      <c r="B314" s="761" t="n"/>
      <c r="C314" s="762" t="inlineStr">
        <is>
          <t>事務費</t>
        </is>
      </c>
      <c r="D314" s="762" t="inlineStr">
        <is>
          <t>送金料</t>
        </is>
      </c>
      <c r="E314" s="775" t="inlineStr">
        <is>
          <t>年金過払金等返還金振替料金（ゆうちょ銀行）</t>
        </is>
      </c>
      <c r="F314" s="772" t="n">
        <v>584</v>
      </c>
      <c r="G314" s="764" t="n">
        <v>3</v>
      </c>
      <c r="H314" s="765">
        <f>IF(G314=1,F314-I314-J314-K314,IF(G314=2,F314,0))</f>
        <v>0</v>
      </c>
      <c r="I314" s="765">
        <f>ROUND(IF(G314=1,F314*10/23,IF(G314=3,F314-J314-K314,IF(G314=4,F314,IF(G314=5,F314*10/11,IF(G314=7,F314*10/11,0))))),0)</f>
        <v>486</v>
      </c>
      <c r="J314" s="765">
        <f>ROUND(IF(G314=1,F314/23,IF(G314=3,F314/12,IF(G314=5,F314-I314,IF(G314=8,F314,0)))),0)</f>
        <v>49</v>
      </c>
      <c r="K314" s="766">
        <f>ROUND(IF(G314=1,F314/23,IF(G314=3,F314/12,IF(G314=6,F314,IF(G314=7,F314-I314,0)))),0)</f>
        <v>49</v>
      </c>
      <c r="L314" s="767">
        <f>IF(G314=6,F314,0)</f>
        <v>0</v>
      </c>
      <c r="M314" s="572">
        <f>IF(F314="",0,MONTH(A314))</f>
        <v>10</v>
      </c>
      <c r="P314" s="768" t="inlineStr">
        <is>
          <t>確認済</t>
        </is>
      </c>
      <c r="Q314" s="769" t="str">
        <f>IF($F314="","",IFERROR(VLOOKUP($C314&amp;"|"&amp;$D314,科目表!$A$5:$B$200,2,FALSE),"※未登録"))</f>
        <v>送金料</v>
      </c>
      <c r="R314" s="769">
        <f>IF($F314="","",$I314+$J314+$K314)</f>
        <v>584</v>
      </c>
      <c r="S314" s="769" t="str">
        <f>IF(OR($F314="",$P314="支払なし",$H314=0,$Q314=""),"",$Q314&amp;"|S|"&amp;(COUNTIF(S$4:S313,$Q314&amp;"|S|*")+1))</f>
        <v/>
      </c>
      <c r="T314" s="769" t="str">
        <f>IF(OR($F314="",$P314="支払なし",$R314=0,$Q314=""),"",$Q314&amp;"|L|"&amp;(COUNTIF(T$4:T313,$Q314&amp;"|L|*")+1))</f>
        <v>送金料|L|7</v>
      </c>
      <c r="U314" s="769">
        <f>IF(OR($F314="",$A314=""),"",MOD(MONTH($A314)-4,12)+1)</f>
        <v>7</v>
      </c>
    </row>
    <row r="315" ht="16.5" customFormat="1" customHeight="1" s="43">
      <c r="A315" s="760" t="n">
        <v>46316</v>
      </c>
      <c r="B315" s="761" t="n"/>
      <c r="C315" s="762" t="inlineStr">
        <is>
          <t>事務費</t>
        </is>
      </c>
      <c r="D315" s="762" t="inlineStr">
        <is>
          <t>雑費</t>
        </is>
      </c>
      <c r="E315" s="762" t="inlineStr">
        <is>
          <t>ゆうちょ銀行一般振替口座　残高証明書発行手数料</t>
        </is>
      </c>
      <c r="F315" s="772" t="n">
        <v>3300</v>
      </c>
      <c r="G315" s="764" t="n">
        <v>3</v>
      </c>
      <c r="H315" s="765">
        <f>IF(G315=1,F315-I315-J315-K315,IF(G315=2,F315,0))</f>
        <v>0</v>
      </c>
      <c r="I315" s="765">
        <f>ROUND(IF(G315=1,F315*10/23,IF(G315=3,F315-J315-K315,IF(G315=4,F315,IF(G315=5,F315*10/11,IF(G315=7,F315*10/11,0))))),0)</f>
        <v>2750</v>
      </c>
      <c r="J315" s="765">
        <f>ROUND(IF(G315=1,F315/23,IF(G315=3,F315/12,IF(G315=5,F315-I315,IF(G315=8,F315,0)))),0)</f>
        <v>275</v>
      </c>
      <c r="K315" s="766">
        <f>ROUND(IF(G315=1,F315/23,IF(G315=3,F315/12,IF(G315=6,F315,IF(G315=7,F315-I315,0)))),0)</f>
        <v>275</v>
      </c>
      <c r="L315" s="767">
        <f>IF(G315=6,F315,0)</f>
        <v>0</v>
      </c>
      <c r="M315" s="572">
        <f>IF(F315="",0,MONTH(A315))</f>
        <v>10</v>
      </c>
      <c r="P315" s="768" t="inlineStr">
        <is>
          <t>確認済</t>
        </is>
      </c>
      <c r="Q315" s="769" t="str">
        <f>IF($F315="","",IFERROR(VLOOKUP($C315&amp;"|"&amp;$D315,科目表!$A$5:$B$200,2,FALSE),"※未登録"))</f>
        <v>事務費・雑費</v>
      </c>
      <c r="R315" s="769">
        <f>IF($F315="","",$I315+$J315+$K315)</f>
        <v>3300</v>
      </c>
      <c r="S315" s="769" t="str">
        <f>IF(OR($F315="",$P315="支払なし",$H315=0,$Q315=""),"",$Q315&amp;"|S|"&amp;(COUNTIF(S$4:S314,$Q315&amp;"|S|*")+1))</f>
        <v/>
      </c>
      <c r="T315" s="769" t="str">
        <f>IF(OR($F315="",$P315="支払なし",$R315=0,$Q315=""),"",$Q315&amp;"|L|"&amp;(COUNTIF(T$4:T314,$Q315&amp;"|L|*")+1))</f>
        <v>事務費・雑費|L|1</v>
      </c>
      <c r="U315" s="769">
        <f>IF(OR($F315="",$A315=""),"",MOD(MONTH($A315)-4,12)+1)</f>
        <v>7</v>
      </c>
    </row>
    <row r="316" ht="16.5" customFormat="1" customHeight="1" s="43">
      <c r="A316" s="760" t="n">
        <v>46324</v>
      </c>
      <c r="B316" s="761" t="n"/>
      <c r="C316" s="762" t="inlineStr">
        <is>
          <t>事務費</t>
        </is>
      </c>
      <c r="D316" s="762" t="inlineStr">
        <is>
          <t>事務用消耗品費</t>
        </is>
      </c>
      <c r="E316" s="770" t="inlineStr">
        <is>
          <t>トナーカートリッジ（再生品）ＬＰＢ３Ｔ３４　7個</t>
        </is>
      </c>
      <c r="F316" s="764" t="n">
        <v>53130</v>
      </c>
      <c r="G316" s="764" t="n">
        <v>3</v>
      </c>
      <c r="H316" s="765">
        <f>IF(G316=1,F316-I316-J316-K316,IF(G316=2,F316,0))</f>
        <v>0</v>
      </c>
      <c r="I316" s="765">
        <f>ROUND(IF(G316=1,F316*10/23,IF(G316=3,F316-J316-K316,IF(G316=4,F316,IF(G316=5,F316*10/11,IF(G316=7,F316*10/11,0))))),0)</f>
        <v>44274</v>
      </c>
      <c r="J316" s="765">
        <f>ROUND(IF(G316=1,F316/23,IF(G316=3,F316/12,IF(G316=5,F316-I316,IF(G316=8,F316,0)))),0)</f>
        <v>4428</v>
      </c>
      <c r="K316" s="766">
        <f>ROUND(IF(G316=1,F316/23,IF(G316=3,F316/12,IF(G316=6,F316,IF(G316=7,F316-I316,0)))),0)</f>
        <v>4428</v>
      </c>
      <c r="L316" s="767">
        <f>IF(G316=6,F316,0)</f>
        <v>0</v>
      </c>
      <c r="M316" s="572">
        <f>IF(F316="",0,MONTH(A316))</f>
        <v>10</v>
      </c>
      <c r="P316" s="768" t="inlineStr">
        <is>
          <t>確認済</t>
        </is>
      </c>
      <c r="Q316" s="769" t="str">
        <f>IF($F316="","",IFERROR(VLOOKUP($C316&amp;"|"&amp;$D316,科目表!$A$5:$B$200,2,FALSE),"※未登録"))</f>
        <v>事務用消耗品費</v>
      </c>
      <c r="R316" s="769">
        <f>IF($F316="","",$I316+$J316+$K316)</f>
        <v>53130</v>
      </c>
      <c r="S316" s="769" t="str">
        <f>IF(OR($F316="",$P316="支払なし",$H316=0,$Q316=""),"",$Q316&amp;"|S|"&amp;(COUNTIF(S$4:S315,$Q316&amp;"|S|*")+1))</f>
        <v/>
      </c>
      <c r="T316" s="769" t="str">
        <f>IF(OR($F316="",$P316="支払なし",$R316=0,$Q316=""),"",$Q316&amp;"|L|"&amp;(COUNTIF(T$4:T315,$Q316&amp;"|L|*")+1))</f>
        <v>事務用消耗品費|L|13</v>
      </c>
      <c r="U316" s="769">
        <f>IF(OR($F316="",$A316=""),"",MOD(MONTH($A316)-4,12)+1)</f>
        <v>7</v>
      </c>
    </row>
    <row r="317" ht="16.5" customFormat="1" customHeight="1" s="43">
      <c r="A317" s="760" t="n">
        <v>46315</v>
      </c>
      <c r="B317" s="761" t="n"/>
      <c r="C317" s="762" t="inlineStr">
        <is>
          <t>委託費</t>
        </is>
      </c>
      <c r="D317" s="762" t="n"/>
      <c r="E317" s="763" t="inlineStr">
        <is>
          <t>レセプト電子データ提供料（７月診療分）</t>
        </is>
      </c>
      <c r="F317" s="764" t="n">
        <v>59462</v>
      </c>
      <c r="G317" s="764" t="n">
        <v>2</v>
      </c>
      <c r="H317" s="765">
        <f>IF(G317=1,F317-I317-J317-K317,IF(G317=2,F317,0))</f>
        <v>59462</v>
      </c>
      <c r="I317" s="765">
        <f>ROUND(IF(G317=1,F317*10/23,IF(G317=3,F317-J317-K317,IF(G317=4,F317,IF(G317=5,F317*10/11,IF(G317=7,F317*10/11,0))))),0)</f>
        <v>0</v>
      </c>
      <c r="J317" s="765">
        <f>ROUND(IF(G317=1,F317/23,IF(G317=3,F317/12,IF(G317=5,F317-I317,IF(G317=8,F317,0)))),0)</f>
        <v>0</v>
      </c>
      <c r="K317" s="766">
        <f>ROUND(IF(G317=1,F317/23,IF(G317=3,F317/12,IF(G317=6,F317,IF(G317=7,F317-I317,0)))),0)</f>
        <v>0</v>
      </c>
      <c r="L317" s="767">
        <f>IF(G317=6,F317,0)</f>
        <v>0</v>
      </c>
      <c r="M317" s="572">
        <f>IF(F317="",0,MONTH(A317))</f>
        <v>10</v>
      </c>
      <c r="P317" s="768" t="inlineStr">
        <is>
          <t>確認済</t>
        </is>
      </c>
      <c r="Q317" s="769" t="str">
        <f>IF($F317="","",IFERROR(VLOOKUP($C317&amp;"|"&amp;$D317,科目表!$A$5:$B$200,2,FALSE),"※未登録"))</f>
        <v>委託費</v>
      </c>
      <c r="R317" s="769">
        <f>IF($F317="","",$I317+$J317+$K317)</f>
        <v>0</v>
      </c>
      <c r="S317" s="769" t="str">
        <f>IF(OR($F317="",$P317="支払なし",$H317=0,$Q317=""),"",$Q317&amp;"|S|"&amp;(COUNTIF(S$4:S316,$Q317&amp;"|S|*")+1))</f>
        <v>委託費|S|30</v>
      </c>
      <c r="T317" s="769" t="str">
        <f>IF(OR($F317="",$P317="支払なし",$R317=0,$Q317=""),"",$Q317&amp;"|L|"&amp;(COUNTIF(T$4:T316,$Q317&amp;"|L|*")+1))</f>
        <v/>
      </c>
      <c r="U317" s="769">
        <f>IF(OR($F317="",$A317=""),"",MOD(MONTH($A317)-4,12)+1)</f>
        <v>7</v>
      </c>
    </row>
    <row r="318" ht="16.5" customFormat="1" customHeight="1" s="418">
      <c r="A318" s="760" t="n">
        <v>46316</v>
      </c>
      <c r="B318" s="761" t="n"/>
      <c r="C318" s="762" t="inlineStr">
        <is>
          <t>職員給与</t>
        </is>
      </c>
      <c r="D318" s="762" t="inlineStr">
        <is>
          <t>非常勤職員手当</t>
        </is>
      </c>
      <c r="E318" s="762" t="inlineStr">
        <is>
          <t>10月分給与（長期分）</t>
        </is>
      </c>
      <c r="F318" s="764" t="n">
        <v>380800</v>
      </c>
      <c r="G318" s="772" t="n">
        <v>3</v>
      </c>
      <c r="H318" s="765">
        <f>IF(G318=1,F318-I318-J318-K318,IF(G318=2,F318,0))</f>
        <v>0</v>
      </c>
      <c r="I318" s="765">
        <f>ROUND(IF(G318=1,F318*10/23,IF(G318=3,F318-J318-K318,IF(G318=4,F318,IF(G318=5,F318*10/11,IF(G318=7,F318*10/11,0))))),0)</f>
        <v>317334</v>
      </c>
      <c r="J318" s="765">
        <f>ROUND(IF(G318=1,F318/23,IF(G318=3,F318/12,IF(G318=5,F318-I318,IF(G318=8,F318,0)))),0)</f>
        <v>31733</v>
      </c>
      <c r="K318" s="766">
        <f>ROUND(IF(G318=1,F318/23,IF(G318=3,F318/12,IF(G318=6,F318,IF(G318=7,F318-I318,0)))),0)</f>
        <v>31733</v>
      </c>
      <c r="L318" s="767">
        <f>IF(G318=6,F318,0)</f>
        <v>0</v>
      </c>
      <c r="M318" s="570">
        <f>IF(F318="",0,MONTH(A318))</f>
        <v>10</v>
      </c>
      <c r="P318" s="768" t="inlineStr">
        <is>
          <t>確認済</t>
        </is>
      </c>
      <c r="Q318" s="769" t="str">
        <f>IF($F318="","",IFERROR(VLOOKUP($C318&amp;"|"&amp;$D318,科目表!$A$5:$B$200,2,FALSE),"※未登録"))</f>
        <v>非常勤職員手当</v>
      </c>
      <c r="R318" s="769">
        <f>IF($F318="","",$I318+$J318+$K318)</f>
        <v>380800</v>
      </c>
      <c r="S318" s="769" t="str">
        <f>IF(OR($F318="",$P318="支払なし",$H318=0,$Q318=""),"",$Q318&amp;"|S|"&amp;(COUNTIF(S$4:S317,$Q318&amp;"|S|*")+1))</f>
        <v/>
      </c>
      <c r="T318" s="769" t="str">
        <f>IF(OR($F318="",$P318="支払なし",$R318=0,$Q318=""),"",$Q318&amp;"|L|"&amp;(COUNTIF(T$4:T317,$Q318&amp;"|L|*")+1))</f>
        <v>非常勤職員手当|L|9</v>
      </c>
      <c r="U318" s="769">
        <f>IF(OR($F318="",$A318=""),"",MOD(MONTH($A318)-4,12)+1)</f>
        <v>7</v>
      </c>
    </row>
    <row r="319" ht="16.5" customFormat="1" customHeight="1" s="418">
      <c r="A319" s="760" t="n">
        <v>46316</v>
      </c>
      <c r="B319" s="761" t="n"/>
      <c r="C319" s="762" t="inlineStr">
        <is>
          <t>職員給与</t>
        </is>
      </c>
      <c r="D319" s="762" t="inlineStr">
        <is>
          <t>非常勤職員手当</t>
        </is>
      </c>
      <c r="E319" s="762" t="inlineStr">
        <is>
          <t>10月分給与（短期分）</t>
        </is>
      </c>
      <c r="F319" s="764" t="n">
        <v>379380</v>
      </c>
      <c r="G319" s="772" t="n">
        <v>2</v>
      </c>
      <c r="H319" s="765">
        <f>IF(G319=1,F319-I319-J319-K319,IF(G319=2,F319,0))</f>
        <v>379380</v>
      </c>
      <c r="I319" s="765">
        <f>ROUND(IF(G319=1,F319*10/23,IF(G319=3,F319-J319-K319,IF(G319=4,F319,IF(G319=5,F319*10/11,IF(G319=7,F319*10/11,0))))),0)</f>
        <v>0</v>
      </c>
      <c r="J319" s="765">
        <f>ROUND(IF(G319=1,F319/23,IF(G319=3,F319/12,IF(G319=5,F319-I319,IF(G319=8,F319,0)))),0)</f>
        <v>0</v>
      </c>
      <c r="K319" s="766">
        <f>ROUND(IF(G319=1,F319/23,IF(G319=3,F319/12,IF(G319=6,F319,IF(G319=7,F319-I319,0)))),0)</f>
        <v>0</v>
      </c>
      <c r="L319" s="767">
        <f>IF(G319=6,F319,0)</f>
        <v>0</v>
      </c>
      <c r="M319" s="570">
        <f>IF(F319="",0,MONTH(A319))</f>
        <v>10</v>
      </c>
      <c r="P319" s="768" t="inlineStr">
        <is>
          <t>確認済</t>
        </is>
      </c>
      <c r="Q319" s="769" t="str">
        <f>IF($F319="","",IFERROR(VLOOKUP($C319&amp;"|"&amp;$D319,科目表!$A$5:$B$200,2,FALSE),"※未登録"))</f>
        <v>非常勤職員手当</v>
      </c>
      <c r="R319" s="769">
        <f>IF($F319="","",$I319+$J319+$K319)</f>
        <v>0</v>
      </c>
      <c r="S319" s="769" t="str">
        <f>IF(OR($F319="",$P319="支払なし",$H319=0,$Q319=""),"",$Q319&amp;"|S|"&amp;(COUNTIF(S$4:S318,$Q319&amp;"|S|*")+1))</f>
        <v>非常勤職員手当|S|8</v>
      </c>
      <c r="T319" s="769" t="str">
        <f>IF(OR($F319="",$P319="支払なし",$R319=0,$Q319=""),"",$Q319&amp;"|L|"&amp;(COUNTIF(T$4:T318,$Q319&amp;"|L|*")+1))</f>
        <v/>
      </c>
      <c r="U319" s="769">
        <f>IF(OR($F319="",$A319=""),"",MOD(MONTH($A319)-4,12)+1)</f>
        <v>7</v>
      </c>
    </row>
    <row r="320" ht="16.5" customFormat="1" customHeight="1" s="418">
      <c r="A320" s="760" t="n">
        <v>46316</v>
      </c>
      <c r="B320" s="761" t="n"/>
      <c r="C320" s="762" t="inlineStr">
        <is>
          <t>負担金</t>
        </is>
      </c>
      <c r="D320" s="762" t="inlineStr">
        <is>
          <t>互助会費</t>
        </is>
      </c>
      <c r="E320" s="762" t="inlineStr">
        <is>
          <t>助成金（10月長期分）</t>
        </is>
      </c>
      <c r="F320" s="764" t="n">
        <v>466</v>
      </c>
      <c r="G320" s="764" t="n">
        <v>3</v>
      </c>
      <c r="H320" s="765">
        <f>IF(G320=1,F320-I320-J320-K320,IF(G320=2,F320,0))</f>
        <v>0</v>
      </c>
      <c r="I320" s="765">
        <f>ROUND(IF(G320=1,F320*10/23,IF(G320=3,F320-J320-K320,IF(G320=4,F320,IF(G320=5,F320*10/11,IF(G320=7,F320*10/11,0))))),0)</f>
        <v>388</v>
      </c>
      <c r="J320" s="765">
        <f>ROUND(IF(G320=1,F320/23,IF(G320=3,F320/12,IF(G320=5,F320-I320,IF(G320=8,F320,0)))),0)</f>
        <v>39</v>
      </c>
      <c r="K320" s="766">
        <f>ROUND(IF(G320=1,F320/23,IF(G320=3,F320/12,IF(G320=6,F320,IF(G320=7,F320-I320,0)))),0)</f>
        <v>39</v>
      </c>
      <c r="L320" s="767">
        <f>IF(G320=6,F320,0)</f>
        <v>0</v>
      </c>
      <c r="M320" s="570">
        <f>IF(F320="",0,MONTH(A320))</f>
        <v>10</v>
      </c>
      <c r="P320" s="768" t="inlineStr">
        <is>
          <t>確認済</t>
        </is>
      </c>
      <c r="Q320" s="769" t="str">
        <f>IF($F320="","",IFERROR(VLOOKUP($C320&amp;"|"&amp;$D320,科目表!$A$5:$B$200,2,FALSE),"※未登録"))</f>
        <v>互助会費</v>
      </c>
      <c r="R320" s="769">
        <f>IF($F320="","",$I320+$J320+$K320)</f>
        <v>466</v>
      </c>
      <c r="S320" s="769" t="str">
        <f>IF(OR($F320="",$P320="支払なし",$H320=0,$Q320=""),"",$Q320&amp;"|S|"&amp;(COUNTIF(S$4:S319,$Q320&amp;"|S|*")+1))</f>
        <v/>
      </c>
      <c r="T320" s="769" t="str">
        <f>IF(OR($F320="",$P320="支払なし",$R320=0,$Q320=""),"",$Q320&amp;"|L|"&amp;(COUNTIF(T$4:T319,$Q320&amp;"|L|*")+1))</f>
        <v>互助会費|L|7</v>
      </c>
      <c r="U320" s="769">
        <f>IF(OR($F320="",$A320=""),"",MOD(MONTH($A320)-4,12)+1)</f>
        <v>7</v>
      </c>
    </row>
    <row r="321" ht="16.5" customFormat="1" customHeight="1" s="418">
      <c r="A321" s="760" t="n">
        <v>46316</v>
      </c>
      <c r="B321" s="761" t="n"/>
      <c r="C321" s="762" t="inlineStr">
        <is>
          <t>負担金</t>
        </is>
      </c>
      <c r="D321" s="762" t="inlineStr">
        <is>
          <t>互助会費</t>
        </is>
      </c>
      <c r="E321" s="762" t="inlineStr">
        <is>
          <t>助成金（10月短期分）</t>
        </is>
      </c>
      <c r="F321" s="764" t="n">
        <v>240</v>
      </c>
      <c r="G321" s="764" t="n">
        <v>2</v>
      </c>
      <c r="H321" s="765">
        <f>IF(G321=1,F321-I321-J321-K321,IF(G321=2,F321,0))</f>
        <v>240</v>
      </c>
      <c r="I321" s="765">
        <f>ROUND(IF(G321=1,F321*10/23,IF(G321=3,F321-J321-K321,IF(G321=4,F321,IF(G321=5,F321*10/11,IF(G321=7,F321*10/11,0))))),0)</f>
        <v>0</v>
      </c>
      <c r="J321" s="765">
        <f>ROUND(IF(G321=1,F321/23,IF(G321=3,F321/12,IF(G321=5,F321-I321,IF(G321=8,F321,0)))),0)</f>
        <v>0</v>
      </c>
      <c r="K321" s="766">
        <f>ROUND(IF(G321=1,F321/23,IF(G321=3,F321/12,IF(G321=6,F321,IF(G321=7,F321-I321,0)))),0)</f>
        <v>0</v>
      </c>
      <c r="L321" s="767">
        <f>IF(G321=6,F321,0)</f>
        <v>0</v>
      </c>
      <c r="M321" s="570">
        <f>IF(F321="",0,MONTH(A321))</f>
        <v>10</v>
      </c>
      <c r="P321" s="768" t="inlineStr">
        <is>
          <t>確認済</t>
        </is>
      </c>
      <c r="Q321" s="769" t="str">
        <f>IF($F321="","",IFERROR(VLOOKUP($C321&amp;"|"&amp;$D321,科目表!$A$5:$B$200,2,FALSE),"※未登録"))</f>
        <v>互助会費</v>
      </c>
      <c r="R321" s="769">
        <f>IF($F321="","",$I321+$J321+$K321)</f>
        <v>0</v>
      </c>
      <c r="S321" s="769" t="str">
        <f>IF(OR($F321="",$P321="支払なし",$H321=0,$Q321=""),"",$Q321&amp;"|S|"&amp;(COUNTIF(S$4:S320,$Q321&amp;"|S|*")+1))</f>
        <v>互助会費|S|7</v>
      </c>
      <c r="T321" s="769" t="str">
        <f>IF(OR($F321="",$P321="支払なし",$R321=0,$Q321=""),"",$Q321&amp;"|L|"&amp;(COUNTIF(T$4:T320,$Q321&amp;"|L|*")+1))</f>
        <v/>
      </c>
      <c r="U321" s="769">
        <f>IF(OR($F321="",$A321=""),"",MOD(MONTH($A321)-4,12)+1)</f>
        <v>7</v>
      </c>
    </row>
    <row r="322" ht="16.5" customFormat="1" customHeight="1" s="422">
      <c r="A322" s="760" t="n">
        <v>44489</v>
      </c>
      <c r="B322" s="761" t="n"/>
      <c r="C322" s="762" t="inlineStr">
        <is>
          <t>事務費</t>
        </is>
      </c>
      <c r="D322" s="762" t="inlineStr">
        <is>
          <t>通信運搬費</t>
        </is>
      </c>
      <c r="E322" s="762" t="inlineStr">
        <is>
          <t>電話料金（９月使用・１０月請求分）</t>
        </is>
      </c>
      <c r="F322" s="772" t="n">
        <v>5408</v>
      </c>
      <c r="G322" s="772" t="n">
        <v>2</v>
      </c>
      <c r="H322" s="765">
        <f>IF(G322=1,F322-I322-J322-K322,IF(G322=2,F322,0))</f>
        <v>5408</v>
      </c>
      <c r="I322" s="765">
        <f>ROUND(IF(G322=1,F322*10/23,IF(G322=3,F322-J322-K322,IF(G322=4,F322,IF(G322=5,F322*10/11,IF(G322=7,F322*10/11,0))))),0)</f>
        <v>0</v>
      </c>
      <c r="J322" s="765">
        <f>ROUND(IF(G322=1,F322/23,IF(G322=3,F322/12,IF(G322=5,F322-I322,IF(G322=8,F322,0)))),0)</f>
        <v>0</v>
      </c>
      <c r="K322" s="766">
        <f>ROUND(IF(G322=1,F322/23,IF(G322=3,F322/12,IF(G322=6,F322,IF(G322=7,F322-I322,0)))),0)</f>
        <v>0</v>
      </c>
      <c r="L322" s="767">
        <f>IF(G322=6,F322,0)</f>
        <v>0</v>
      </c>
      <c r="M322" s="421">
        <f>IF(F322="",0,MONTH(A322))</f>
        <v>10</v>
      </c>
      <c r="P322" s="768" t="inlineStr">
        <is>
          <t>昨年実績</t>
        </is>
      </c>
      <c r="Q322" s="769" t="str">
        <f>IF($F322="","",IFERROR(VLOOKUP($C322&amp;"|"&amp;$D322,科目表!$A$5:$B$200,2,FALSE),"※未登録"))</f>
        <v>通信運搬費</v>
      </c>
      <c r="R322" s="769">
        <f>IF($F322="","",$I322+$J322+$K322)</f>
        <v>0</v>
      </c>
      <c r="S322" s="769" t="str">
        <f>IF(OR($F322="",$P322="支払なし",$H322=0,$Q322=""),"",$Q322&amp;"|S|"&amp;(COUNTIF(S$4:S321,$Q322&amp;"|S|*")+1))</f>
        <v>通信運搬費|S|33</v>
      </c>
      <c r="T322" s="769" t="str">
        <f>IF(OR($F322="",$P322="支払なし",$R322=0,$Q322=""),"",$Q322&amp;"|L|"&amp;(COUNTIF(T$4:T321,$Q322&amp;"|L|*")+1))</f>
        <v/>
      </c>
      <c r="U322" s="769">
        <f>IF(OR($F322="",$A322=""),"",MOD(MONTH($A322)-4,12)+1)</f>
        <v>7</v>
      </c>
    </row>
    <row r="323" ht="16.5" customFormat="1" customHeight="1" s="43">
      <c r="A323" s="760" t="n">
        <v>46325</v>
      </c>
      <c r="B323" s="761" t="n"/>
      <c r="C323" s="762" t="inlineStr">
        <is>
          <t>事務費</t>
        </is>
      </c>
      <c r="D323" s="762" t="inlineStr">
        <is>
          <t>送金料</t>
        </is>
      </c>
      <c r="E323" s="775" t="inlineStr">
        <is>
          <t>ゆうちょ銀行手数料（９月分）短期</t>
        </is>
      </c>
      <c r="F323" s="764" t="n">
        <v>27204</v>
      </c>
      <c r="G323" s="764" t="n">
        <v>2</v>
      </c>
      <c r="H323" s="765">
        <f>IF(G323=1,F323-I323-J323-K323,IF(G323=2,F323,0))</f>
        <v>27204</v>
      </c>
      <c r="I323" s="765">
        <f>ROUND(IF(G323=1,F323*10/23,IF(G323=3,F323-J323-K323,IF(G323=4,F323,IF(G323=5,F323*10/11,IF(G323=7,F323*10/11,0))))),0)</f>
        <v>0</v>
      </c>
      <c r="J323" s="765">
        <f>ROUND(IF(G323=1,F323/23,IF(G323=3,F323/12,IF(G323=5,F323-I323,IF(G323=8,F323,0)))),0)</f>
        <v>0</v>
      </c>
      <c r="K323" s="766">
        <f>ROUND(IF(G323=1,F323/23,IF(G323=3,F323/12,IF(G323=6,F323,IF(G323=7,F323-I323,0)))),0)</f>
        <v>0</v>
      </c>
      <c r="L323" s="767">
        <f>IF(G323=6,F323,0)</f>
        <v>0</v>
      </c>
      <c r="M323" s="572">
        <f>IF(F323="",0,MONTH(A323))</f>
        <v>10</v>
      </c>
      <c r="P323" s="768" t="inlineStr">
        <is>
          <t>確認済</t>
        </is>
      </c>
      <c r="Q323" s="769" t="str">
        <f>IF($F323="","",IFERROR(VLOOKUP($C323&amp;"|"&amp;$D323,科目表!$A$5:$B$200,2,FALSE),"※未登録"))</f>
        <v>送金料</v>
      </c>
      <c r="R323" s="769">
        <f>IF($F323="","",$I323+$J323+$K323)</f>
        <v>0</v>
      </c>
      <c r="S323" s="769" t="str">
        <f>IF(OR($F323="",$P323="支払なし",$H323=0,$Q323=""),"",$Q323&amp;"|S|"&amp;(COUNTIF(S$4:S322,$Q323&amp;"|S|*")+1))</f>
        <v>送金料|S|12</v>
      </c>
      <c r="T323" s="769" t="str">
        <f>IF(OR($F323="",$P323="支払なし",$R323=0,$Q323=""),"",$Q323&amp;"|L|"&amp;(COUNTIF(T$4:T322,$Q323&amp;"|L|*")+1))</f>
        <v/>
      </c>
      <c r="U323" s="769">
        <f>IF(OR($F323="",$A323=""),"",MOD(MONTH($A323)-4,12)+1)</f>
        <v>7</v>
      </c>
    </row>
    <row r="324" ht="16.5" customFormat="1" customHeight="1" s="43">
      <c r="A324" s="760" t="n">
        <v>46325</v>
      </c>
      <c r="B324" s="761" t="n"/>
      <c r="C324" s="762" t="inlineStr">
        <is>
          <t>事務費</t>
        </is>
      </c>
      <c r="D324" s="762" t="inlineStr">
        <is>
          <t>雑費</t>
        </is>
      </c>
      <c r="E324" s="775" t="inlineStr">
        <is>
          <t>ゆうちょ銀行振替口座残高証明（９月分）短期</t>
        </is>
      </c>
      <c r="F324" s="764" t="n">
        <v>550</v>
      </c>
      <c r="G324" s="764" t="n">
        <v>2</v>
      </c>
      <c r="H324" s="765">
        <f>IF(G324=1,F324-I324-J324-K324,IF(G324=2,F324,0))</f>
        <v>550</v>
      </c>
      <c r="I324" s="765">
        <f>ROUND(IF(G324=1,F324*10/23,IF(G324=3,F324-J324-K324,IF(G324=4,F324,IF(G324=5,F324*10/11,IF(G324=7,F324*10/11,0))))),0)</f>
        <v>0</v>
      </c>
      <c r="J324" s="765">
        <f>ROUND(IF(G324=1,F324/23,IF(G324=3,F324/12,IF(G324=5,F324-I324,IF(G324=8,F324,0)))),0)</f>
        <v>0</v>
      </c>
      <c r="K324" s="766">
        <f>ROUND(IF(G324=1,F324/23,IF(G324=3,F324/12,IF(G324=6,F324,IF(G324=7,F324-I324,0)))),0)</f>
        <v>0</v>
      </c>
      <c r="L324" s="767">
        <f>IF(G324=6,F324,0)</f>
        <v>0</v>
      </c>
      <c r="M324" s="572">
        <f>IF(F324="",0,MONTH(A324))</f>
        <v>10</v>
      </c>
      <c r="P324" s="768" t="inlineStr">
        <is>
          <t>確認済</t>
        </is>
      </c>
      <c r="Q324" s="769" t="str">
        <f>IF($F324="","",IFERROR(VLOOKUP($C324&amp;"|"&amp;$D324,科目表!$A$5:$B$200,2,FALSE),"※未登録"))</f>
        <v>事務費・雑費</v>
      </c>
      <c r="R324" s="769">
        <f>IF($F324="","",$I324+$J324+$K324)</f>
        <v>0</v>
      </c>
      <c r="S324" s="769" t="str">
        <f>IF(OR($F324="",$P324="支払なし",$H324=0,$Q324=""),"",$Q324&amp;"|S|"&amp;(COUNTIF(S$4:S323,$Q324&amp;"|S|*")+1))</f>
        <v>事務費・雑費|S|11</v>
      </c>
      <c r="T324" s="769" t="str">
        <f>IF(OR($F324="",$P324="支払なし",$R324=0,$Q324=""),"",$Q324&amp;"|L|"&amp;(COUNTIF(T$4:T323,$Q324&amp;"|L|*")+1))</f>
        <v/>
      </c>
      <c r="U324" s="769">
        <f>IF(OR($F324="",$A324=""),"",MOD(MONTH($A324)-4,12)+1)</f>
        <v>7</v>
      </c>
    </row>
    <row r="325" ht="16.5" customFormat="1" customHeight="1" s="422">
      <c r="A325" s="760" t="n">
        <v>45315</v>
      </c>
      <c r="B325" s="761" t="n"/>
      <c r="C325" s="762" t="inlineStr">
        <is>
          <t>賃借料</t>
        </is>
      </c>
      <c r="D325" s="762" t="n"/>
      <c r="E325" s="763" t="inlineStr">
        <is>
          <t>サーバ版標準システム構成機器の賃借料（R5.4～9月分)</t>
        </is>
      </c>
      <c r="F325" s="772" t="n">
        <v>26598</v>
      </c>
      <c r="G325" s="764" t="n">
        <v>3</v>
      </c>
      <c r="H325" s="765">
        <f>IF(G325=1,F325-I325-J325-K325,IF(G325=2,F325,0))</f>
        <v>0</v>
      </c>
      <c r="I325" s="765">
        <f>ROUND(IF(G325=1,F325*10/23,IF(G325=3,F325-J325-K325,IF(G325=4,F325,IF(G325=5,F325*10/11,IF(G325=7,F325*10/11,0))))),0)</f>
        <v>22164</v>
      </c>
      <c r="J325" s="765">
        <f>ROUND(IF(G325=1,F325/23,IF(G325=3,F325/12,IF(G325=5,F325-I325,IF(G325=8,F325,0)))),0)</f>
        <v>2217</v>
      </c>
      <c r="K325" s="766">
        <f>ROUND(IF(G325=1,F325/23,IF(G325=3,F325/12,IF(G325=6,F325,IF(G325=7,F325-I325,0)))),0)</f>
        <v>2217</v>
      </c>
      <c r="L325" s="767">
        <f>IF(G325=6,F325,0)</f>
        <v>0</v>
      </c>
      <c r="M325" s="421">
        <f>IF(F325="",0,MONTH(A325))</f>
        <v>1</v>
      </c>
      <c r="P325" s="768" t="inlineStr">
        <is>
          <t>昨年実績</t>
        </is>
      </c>
      <c r="Q325" s="769" t="str">
        <f>IF($F325="","",IFERROR(VLOOKUP($C325&amp;"|"&amp;$D325,科目表!$A$5:$B$200,2,FALSE),"※未登録"))</f>
        <v>賃借料</v>
      </c>
      <c r="R325" s="769">
        <f>IF($F325="","",$I325+$J325+$K325)</f>
        <v>26598</v>
      </c>
      <c r="S325" s="769" t="str">
        <f>IF(OR($F325="",$P325="支払なし",$H325=0,$Q325=""),"",$Q325&amp;"|S|"&amp;(COUNTIF(S$4:S324,$Q325&amp;"|S|*")+1))</f>
        <v/>
      </c>
      <c r="T325" s="769" t="str">
        <f>IF(OR($F325="",$P325="支払なし",$R325=0,$Q325=""),"",$Q325&amp;"|L|"&amp;(COUNTIF(T$4:T324,$Q325&amp;"|L|*")+1))</f>
        <v>賃借料|L|7</v>
      </c>
      <c r="U325" s="769">
        <f>IF(OR($F325="",$A325=""),"",MOD(MONTH($A325)-4,12)+1)</f>
        <v>10</v>
      </c>
    </row>
    <row r="326" ht="16.5" customFormat="1" customHeight="1" s="43">
      <c r="A326" s="760" t="n">
        <v>46323</v>
      </c>
      <c r="B326" s="761" t="n"/>
      <c r="C326" s="762" t="inlineStr">
        <is>
          <t>負担金</t>
        </is>
      </c>
      <c r="D326" s="762" t="inlineStr">
        <is>
          <t>負担金</t>
        </is>
      </c>
      <c r="E326" s="762" t="inlineStr">
        <is>
          <t>共済短期・介護負担金（10月月例分）長期</t>
        </is>
      </c>
      <c r="F326" s="772" t="n">
        <v>20974</v>
      </c>
      <c r="G326" s="772" t="n">
        <v>3</v>
      </c>
      <c r="H326" s="765">
        <f>IF(G326=1,F326-I326-J326-K326,IF(G326=2,F326,0))</f>
        <v>0</v>
      </c>
      <c r="I326" s="765">
        <f>ROUND(IF(G326=1,F326*10/23,IF(G326=3,F326-J326-K326,IF(G326=4,F326,IF(G326=5,F326*10/11,IF(G326=7,F326*10/11,0))))),0)</f>
        <v>17478</v>
      </c>
      <c r="J326" s="765">
        <f>ROUND(IF(G326=1,F326/23,IF(G326=3,F326/12,IF(G326=5,F326-I326,IF(G326=8,F326,0)))),0)</f>
        <v>1748</v>
      </c>
      <c r="K326" s="766">
        <f>ROUND(IF(G326=1,F326/23,IF(G326=3,F326/12,IF(G326=6,F326,IF(G326=7,F326-I326,0)))),0)</f>
        <v>1748</v>
      </c>
      <c r="L326" s="767">
        <f>IF(G326=6,F326,0)</f>
        <v>0</v>
      </c>
      <c r="M326" s="572">
        <f>IF(F326="",0,MONTH(A326))</f>
        <v>10</v>
      </c>
      <c r="P326" s="768" t="inlineStr">
        <is>
          <t>確認済</t>
        </is>
      </c>
      <c r="Q326" s="769" t="str">
        <f>IF($F326="","",IFERROR(VLOOKUP($C326&amp;"|"&amp;$D326,科目表!$A$5:$B$200,2,FALSE),"※未登録"))</f>
        <v>共済負担金等</v>
      </c>
      <c r="R326" s="769">
        <f>IF($F326="","",$I326+$J326+$K326)</f>
        <v>20974</v>
      </c>
      <c r="S326" s="769" t="str">
        <f>IF(OR($F326="",$P326="支払なし",$H326=0,$Q326=""),"",$Q326&amp;"|S|"&amp;(COUNTIF(S$4:S325,$Q326&amp;"|S|*")+1))</f>
        <v/>
      </c>
      <c r="T326" s="769" t="str">
        <f>IF(OR($F326="",$P326="支払なし",$R326=0,$Q326=""),"",$Q326&amp;"|L|"&amp;(COUNTIF(T$4:T325,$Q326&amp;"|L|*")+1))</f>
        <v>共済負担金等|L|11</v>
      </c>
      <c r="U326" s="769">
        <f>IF(OR($F326="",$A326=""),"",MOD(MONTH($A326)-4,12)+1)</f>
        <v>7</v>
      </c>
    </row>
    <row r="327" ht="16.5" customFormat="1" customHeight="1" s="43">
      <c r="A327" s="760" t="n">
        <v>46323</v>
      </c>
      <c r="B327" s="761" t="n"/>
      <c r="C327" s="762" t="inlineStr">
        <is>
          <t>負担金</t>
        </is>
      </c>
      <c r="D327" s="762" t="inlineStr">
        <is>
          <t>負担金</t>
        </is>
      </c>
      <c r="E327" s="762" t="inlineStr">
        <is>
          <t>共済短期・介護負担金（10月月例分）短期</t>
        </is>
      </c>
      <c r="F327" s="772" t="n">
        <v>40844</v>
      </c>
      <c r="G327" s="772" t="n">
        <v>2</v>
      </c>
      <c r="H327" s="765">
        <f>IF(G327=1,F327-I327-J327-K327,IF(G327=2,F327,0))</f>
        <v>40844</v>
      </c>
      <c r="I327" s="765">
        <f>ROUND(IF(G327=1,F327*10/23,IF(G327=3,F327-J327-K327,IF(G327=4,F327,IF(G327=5,F327*10/11,IF(G327=7,F327*10/11,0))))),0)</f>
        <v>0</v>
      </c>
      <c r="J327" s="765">
        <f>ROUND(IF(G327=1,F327/23,IF(G327=3,F327/12,IF(G327=5,F327-I327,IF(G327=8,F327,0)))),0)</f>
        <v>0</v>
      </c>
      <c r="K327" s="766">
        <f>ROUND(IF(G327=1,F327/23,IF(G327=3,F327/12,IF(G327=6,F327,IF(G327=7,F327-I327,0)))),0)</f>
        <v>0</v>
      </c>
      <c r="L327" s="767">
        <f>IF(G327=6,F327,0)</f>
        <v>0</v>
      </c>
      <c r="M327" s="572">
        <f>IF(F327="",0,MONTH(A327))</f>
        <v>10</v>
      </c>
      <c r="P327" s="768" t="inlineStr">
        <is>
          <t>確認済</t>
        </is>
      </c>
      <c r="Q327" s="769" t="str">
        <f>IF($F327="","",IFERROR(VLOOKUP($C327&amp;"|"&amp;$D327,科目表!$A$5:$B$200,2,FALSE),"※未登録"))</f>
        <v>共済負担金等</v>
      </c>
      <c r="R327" s="769">
        <f>IF($F327="","",$I327+$J327+$K327)</f>
        <v>0</v>
      </c>
      <c r="S327" s="769" t="str">
        <f>IF(OR($F327="",$P327="支払なし",$H327=0,$Q327=""),"",$Q327&amp;"|S|"&amp;(COUNTIF(S$4:S326,$Q327&amp;"|S|*")+1))</f>
        <v>共済負担金等|S|9</v>
      </c>
      <c r="T327" s="769" t="str">
        <f>IF(OR($F327="",$P327="支払なし",$R327=0,$Q327=""),"",$Q327&amp;"|L|"&amp;(COUNTIF(T$4:T326,$Q327&amp;"|L|*")+1))</f>
        <v/>
      </c>
      <c r="U327" s="769">
        <f>IF(OR($F327="",$A327=""),"",MOD(MONTH($A327)-4,12)+1)</f>
        <v>7</v>
      </c>
    </row>
    <row r="328" ht="17.25" customFormat="1" customHeight="1" s="422">
      <c r="A328" s="760" t="n">
        <v>43766</v>
      </c>
      <c r="B328" s="761" t="n"/>
      <c r="C328" s="762" t="inlineStr">
        <is>
          <t>旅費</t>
        </is>
      </c>
      <c r="D328" s="762" t="n"/>
      <c r="E328" s="762" t="inlineStr">
        <is>
          <t>10/30　全国共済組合事務局長会議　特別区　胡子事務局長</t>
        </is>
      </c>
      <c r="F328" s="772" t="n">
        <v>39100</v>
      </c>
      <c r="G328" s="772" t="n">
        <v>1</v>
      </c>
      <c r="H328" s="765">
        <f>IF(G328=1,F328-I328-J328-K328,IF(G328=2,F328,0))</f>
        <v>18700</v>
      </c>
      <c r="I328" s="765">
        <f>ROUND(IF(G328=1,F328*10/23,IF(G328=3,F328-J328-K328,IF(G328=4,F328,IF(G328=5,F328*10/11,IF(G328=7,F328*10/11,0))))),0)</f>
        <v>17000</v>
      </c>
      <c r="J328" s="765">
        <f>ROUND(IF(G328=1,F328/23,IF(G328=3,F328/12,IF(G328=5,F328-I328,IF(G328=8,F328,0)))),0)</f>
        <v>1700</v>
      </c>
      <c r="K328" s="766">
        <f>ROUND(IF(G328=1,F328/23,IF(G328=3,F328/12,IF(G328=6,F328,IF(G328=7,F328-I328,0)))),0)</f>
        <v>1700</v>
      </c>
      <c r="L328" s="767">
        <f>IF(G328=6,F328,0)</f>
        <v>0</v>
      </c>
      <c r="M328" s="421">
        <f>IF(F328="",0,MONTH(A328))</f>
        <v>10</v>
      </c>
      <c r="P328" s="768" t="inlineStr">
        <is>
          <t>昨年実績</t>
        </is>
      </c>
      <c r="Q328" s="769" t="str">
        <f>IF($F328="","",IFERROR(VLOOKUP($C328&amp;"|"&amp;$D328,科目表!$A$5:$B$200,2,FALSE),"※未登録"))</f>
        <v>旅費</v>
      </c>
      <c r="R328" s="769">
        <f>IF($F328="","",$I328+$J328+$K328)</f>
        <v>20400</v>
      </c>
      <c r="S328" s="769" t="str">
        <f>IF(OR($F328="",$P328="支払なし",$H328=0,$Q328=""),"",$Q328&amp;"|S|"&amp;(COUNTIF(S$4:S327,$Q328&amp;"|S|*")+1))</f>
        <v>旅費|S|11</v>
      </c>
      <c r="T328" s="769" t="str">
        <f>IF(OR($F328="",$P328="支払なし",$R328=0,$Q328=""),"",$Q328&amp;"|L|"&amp;(COUNTIF(T$4:T327,$Q328&amp;"|L|*")+1))</f>
        <v>旅費|L|11</v>
      </c>
      <c r="U328" s="769">
        <f>IF(OR($F328="",$A328=""),"",MOD(MONTH($A328)-4,12)+1)</f>
        <v>7</v>
      </c>
    </row>
    <row r="329" ht="16.5" customFormat="1" customHeight="1" s="43">
      <c r="A329" s="760" t="n">
        <v>46324</v>
      </c>
      <c r="B329" s="761" t="n"/>
      <c r="C329" s="762" t="inlineStr">
        <is>
          <t>賃借料</t>
        </is>
      </c>
      <c r="D329" s="762" t="n"/>
      <c r="E329" s="770" t="inlineStr">
        <is>
          <t>基幹システム用機器賃借料　9月分（短期）</t>
        </is>
      </c>
      <c r="F329" s="764" t="n">
        <v>672934</v>
      </c>
      <c r="G329" s="772" t="n">
        <v>2</v>
      </c>
      <c r="H329" s="765">
        <f>IF(G329=1,F329-I329-J329-K329,IF(G329=2,F329,0))</f>
        <v>672934</v>
      </c>
      <c r="I329" s="765">
        <f>ROUND(IF(G329=1,F329*10/23,IF(G329=3,F329-J329-K329,IF(G329=4,F329,IF(G329=5,F329*10/11,IF(G329=7,F329*10/11,0))))),0)</f>
        <v>0</v>
      </c>
      <c r="J329" s="765">
        <f>ROUND(IF(G329=1,F329/23,IF(G329=3,F329/12,IF(G329=5,F329-I329,IF(G329=8,F329,0)))),0)</f>
        <v>0</v>
      </c>
      <c r="K329" s="766">
        <f>ROUND(IF(G329=1,F329/23,IF(G329=3,F329/12,IF(G329=6,F329,IF(G329=7,F329-I329,0)))),0)</f>
        <v>0</v>
      </c>
      <c r="L329" s="767">
        <f>IF(G329=6,F329,0)</f>
        <v>0</v>
      </c>
      <c r="M329" s="572">
        <f>IF(F329="",0,MONTH(A329))</f>
        <v>10</v>
      </c>
      <c r="P329" s="768" t="inlineStr">
        <is>
          <t>確認済</t>
        </is>
      </c>
      <c r="Q329" s="769" t="str">
        <f>IF($F329="","",IFERROR(VLOOKUP($C329&amp;"|"&amp;$D329,科目表!$A$5:$B$200,2,FALSE),"※未登録"))</f>
        <v>賃借料</v>
      </c>
      <c r="R329" s="769">
        <f>IF($F329="","",$I329+$J329+$K329)</f>
        <v>0</v>
      </c>
      <c r="S329" s="769" t="str">
        <f>IF(OR($F329="",$P329="支払なし",$H329=0,$Q329=""),"",$Q329&amp;"|S|"&amp;(COUNTIF(S$4:S328,$Q329&amp;"|S|*")+1))</f>
        <v>賃借料|S|29</v>
      </c>
      <c r="T329" s="769" t="str">
        <f>IF(OR($F329="",$P329="支払なし",$R329=0,$Q329=""),"",$Q329&amp;"|L|"&amp;(COUNTIF(T$4:T328,$Q329&amp;"|L|*")+1))</f>
        <v/>
      </c>
      <c r="U329" s="769">
        <f>IF(OR($F329="",$A329=""),"",MOD(MONTH($A329)-4,12)+1)</f>
        <v>7</v>
      </c>
    </row>
    <row r="330" ht="16.5" customFormat="1" customHeight="1" s="43">
      <c r="A330" s="760" t="n">
        <v>46324</v>
      </c>
      <c r="B330" s="761" t="n"/>
      <c r="C330" s="762" t="inlineStr">
        <is>
          <t>賃借料</t>
        </is>
      </c>
      <c r="D330" s="762" t="n"/>
      <c r="E330" s="770" t="inlineStr">
        <is>
          <t>基幹システム用機器賃借料　9月分（長期）</t>
        </is>
      </c>
      <c r="F330" s="772" t="n">
        <v>69613</v>
      </c>
      <c r="G330" s="772" t="n">
        <v>3</v>
      </c>
      <c r="H330" s="765">
        <f>IF(G330=1,F330-I330-J330-K330,IF(G330=2,F330,0))</f>
        <v>0</v>
      </c>
      <c r="I330" s="765">
        <f>ROUND(IF(G330=1,F330*10/23,IF(G330=3,F330-J330-K330,IF(G330=4,F330,IF(G330=5,F330*10/11,IF(G330=7,F330*10/11,0))))),0)</f>
        <v>58011</v>
      </c>
      <c r="J330" s="765">
        <f>ROUND(IF(G330=1,F330/23,IF(G330=3,F330/12,IF(G330=5,F330-I330,IF(G330=8,F330,0)))),0)</f>
        <v>5801</v>
      </c>
      <c r="K330" s="766">
        <f>ROUND(IF(G330=1,F330/23,IF(G330=3,F330/12,IF(G330=6,F330,IF(G330=7,F330-I330,0)))),0)</f>
        <v>5801</v>
      </c>
      <c r="L330" s="767">
        <f>IF(G330=6,F330,0)</f>
        <v>0</v>
      </c>
      <c r="M330" s="572">
        <f>IF(F330="",0,MONTH(A330))</f>
        <v>10</v>
      </c>
      <c r="P330" s="768" t="inlineStr">
        <is>
          <t>確認済</t>
        </is>
      </c>
      <c r="Q330" s="769" t="str">
        <f>IF($F330="","",IFERROR(VLOOKUP($C330&amp;"|"&amp;$D330,科目表!$A$5:$B$200,2,FALSE),"※未登録"))</f>
        <v>賃借料</v>
      </c>
      <c r="R330" s="769">
        <f>IF($F330="","",$I330+$J330+$K330)</f>
        <v>69613</v>
      </c>
      <c r="S330" s="769" t="str">
        <f>IF(OR($F330="",$P330="支払なし",$H330=0,$Q330=""),"",$Q330&amp;"|S|"&amp;(COUNTIF(S$4:S329,$Q330&amp;"|S|*")+1))</f>
        <v/>
      </c>
      <c r="T330" s="769" t="str">
        <f>IF(OR($F330="",$P330="支払なし",$R330=0,$Q330=""),"",$Q330&amp;"|L|"&amp;(COUNTIF(T$4:T329,$Q330&amp;"|L|*")+1))</f>
        <v>賃借料|L|8</v>
      </c>
      <c r="U330" s="769">
        <f>IF(OR($F330="",$A330=""),"",MOD(MONTH($A330)-4,12)+1)</f>
        <v>7</v>
      </c>
    </row>
    <row r="331" ht="20.25" customFormat="1" customHeight="1" s="43">
      <c r="A331" s="760" t="n">
        <v>46324</v>
      </c>
      <c r="B331" s="761" t="n"/>
      <c r="C331" s="762" t="inlineStr">
        <is>
          <t>賃借料</t>
        </is>
      </c>
      <c r="D331" s="762" t="n"/>
      <c r="E331" s="762" t="inlineStr">
        <is>
          <t>パソコン（業務経理用）９月分</t>
        </is>
      </c>
      <c r="F331" s="772" t="n">
        <v>5060</v>
      </c>
      <c r="G331" s="772" t="n">
        <v>2</v>
      </c>
      <c r="H331" s="765">
        <f>IF(G331=1,F331-I331-J331-K331,IF(G331=2,F331,0))</f>
        <v>5060</v>
      </c>
      <c r="I331" s="765">
        <f>ROUND(IF(G331=1,F331*10/23,IF(G331=3,F331-J331-K331,IF(G331=4,F331,IF(G331=5,F331*10/11,IF(G331=7,F331*10/11,0))))),0)</f>
        <v>0</v>
      </c>
      <c r="J331" s="765">
        <f>ROUND(IF(G331=1,F331/23,IF(G331=3,F331/12,IF(G331=5,F331-I331,IF(G331=8,F331,0)))),0)</f>
        <v>0</v>
      </c>
      <c r="K331" s="766">
        <f>ROUND(IF(G331=1,F331/23,IF(G331=3,F331/12,IF(G331=6,F331,IF(G331=7,F331-I331,0)))),0)</f>
        <v>0</v>
      </c>
      <c r="L331" s="767">
        <f>IF(G331=6,F331,0)</f>
        <v>0</v>
      </c>
      <c r="M331" s="572">
        <f>IF(F331="",0,MONTH(A331))</f>
        <v>10</v>
      </c>
      <c r="P331" s="768" t="inlineStr">
        <is>
          <t>確認済</t>
        </is>
      </c>
      <c r="Q331" s="769" t="str">
        <f>IF($F331="","",IFERROR(VLOOKUP($C331&amp;"|"&amp;$D331,科目表!$A$5:$B$200,2,FALSE),"※未登録"))</f>
        <v>賃借料</v>
      </c>
      <c r="R331" s="769">
        <f>IF($F331="","",$I331+$J331+$K331)</f>
        <v>0</v>
      </c>
      <c r="S331" s="769" t="str">
        <f>IF(OR($F331="",$P331="支払なし",$H331=0,$Q331=""),"",$Q331&amp;"|S|"&amp;(COUNTIF(S$4:S330,$Q331&amp;"|S|*")+1))</f>
        <v>賃借料|S|30</v>
      </c>
      <c r="T331" s="769" t="str">
        <f>IF(OR($F331="",$P331="支払なし",$R331=0,$Q331=""),"",$Q331&amp;"|L|"&amp;(COUNTIF(T$4:T330,$Q331&amp;"|L|*")+1))</f>
        <v/>
      </c>
      <c r="U331" s="769">
        <f>IF(OR($F331="",$A331=""),"",MOD(MONTH($A331)-4,12)+1)</f>
        <v>7</v>
      </c>
    </row>
    <row r="332" ht="20.25" customFormat="1" customHeight="1" s="422">
      <c r="A332" s="760" t="n">
        <v>44498</v>
      </c>
      <c r="B332" s="761" t="n"/>
      <c r="C332" s="762" t="inlineStr">
        <is>
          <t>賃借料</t>
        </is>
      </c>
      <c r="D332" s="762" t="n"/>
      <c r="E332" s="781" t="inlineStr">
        <is>
          <t>ﾊﾟｿｺﾝｳｨﾙｽ対策ｿﾌﾄ(業務用)ｻﾝﾈｯﾄ（９月分）</t>
        </is>
      </c>
      <c r="F332" s="772" t="n">
        <v>2090</v>
      </c>
      <c r="G332" s="772" t="n">
        <v>2</v>
      </c>
      <c r="H332" s="765">
        <f>IF(G332=1,F332-I332-J332-K332,IF(G332=2,F332,0))</f>
        <v>2090</v>
      </c>
      <c r="I332" s="765">
        <f>ROUND(IF(G332=1,F332*10/23,IF(G332=3,F332-J332-K332,IF(G332=4,F332,IF(G332=5,F332*10/11,IF(G332=7,F332*10/11,0))))),0)</f>
        <v>0</v>
      </c>
      <c r="J332" s="765">
        <f>ROUND(IF(G332=1,F332/23,IF(G332=3,F332/12,IF(G332=5,F332-I332,IF(G332=8,F332,0)))),0)</f>
        <v>0</v>
      </c>
      <c r="K332" s="766">
        <f>ROUND(IF(G332=1,F332/23,IF(G332=3,F332/12,IF(G332=6,F332,IF(G332=7,F332-I332,0)))),0)</f>
        <v>0</v>
      </c>
      <c r="L332" s="767">
        <f>IF(G332=6,F332,0)</f>
        <v>0</v>
      </c>
      <c r="M332" s="421">
        <f>IF(F332="",0,MONTH(A332))</f>
        <v>10</v>
      </c>
      <c r="P332" s="768" t="inlineStr">
        <is>
          <t>昨年実績</t>
        </is>
      </c>
      <c r="Q332" s="769" t="str">
        <f>IF($F332="","",IFERROR(VLOOKUP($C332&amp;"|"&amp;$D332,科目表!$A$5:$B$200,2,FALSE),"※未登録"))</f>
        <v>賃借料</v>
      </c>
      <c r="R332" s="769">
        <f>IF($F332="","",$I332+$J332+$K332)</f>
        <v>0</v>
      </c>
      <c r="S332" s="769" t="str">
        <f>IF(OR($F332="",$P332="支払なし",$H332=0,$Q332=""),"",$Q332&amp;"|S|"&amp;(COUNTIF(S$4:S331,$Q332&amp;"|S|*")+1))</f>
        <v>賃借料|S|31</v>
      </c>
      <c r="T332" s="769" t="str">
        <f>IF(OR($F332="",$P332="支払なし",$R332=0,$Q332=""),"",$Q332&amp;"|L|"&amp;(COUNTIF(T$4:T331,$Q332&amp;"|L|*")+1))</f>
        <v/>
      </c>
      <c r="U332" s="769">
        <f>IF(OR($F332="",$A332=""),"",MOD(MONTH($A332)-4,12)+1)</f>
        <v>7</v>
      </c>
    </row>
    <row r="333" ht="16.5" customFormat="1" customHeight="1" s="422">
      <c r="A333" s="760" t="n">
        <v>45580</v>
      </c>
      <c r="B333" s="761" t="n"/>
      <c r="C333" s="762" t="inlineStr">
        <is>
          <t>事務費</t>
        </is>
      </c>
      <c r="D333" s="762" t="inlineStr">
        <is>
          <t>事務用消耗品費</t>
        </is>
      </c>
      <c r="E333" s="770" t="inlineStr">
        <is>
          <t>スイッチングＨＵＢ　ＥＨＣ－Ｇ０５ＰＡ２－Ｗ</t>
        </is>
      </c>
      <c r="F333" s="772" t="n">
        <v>3201</v>
      </c>
      <c r="G333" s="772" t="n">
        <v>2</v>
      </c>
      <c r="H333" s="765">
        <f>IF(G333=1,F333-I333-J333-K333,IF(G333=2,F333,0))</f>
        <v>3201</v>
      </c>
      <c r="I333" s="765">
        <f>ROUND(IF(G333=1,F333*10/23,IF(G333=3,F333-J333-K333,IF(G333=4,F333,IF(G333=5,F333*10/11,IF(G333=7,F333*10/11,0))))),0)</f>
        <v>0</v>
      </c>
      <c r="J333" s="765">
        <f>ROUND(IF(G333=1,F333/23,IF(G333=3,F333/12,IF(G333=5,F333-I333,IF(G333=8,F333,0)))),0)</f>
        <v>0</v>
      </c>
      <c r="K333" s="766">
        <f>ROUND(IF(G333=1,F333/23,IF(G333=3,F333/12,IF(G333=6,F333,IF(G333=7,F333-I333,0)))),0)</f>
        <v>0</v>
      </c>
      <c r="L333" s="767">
        <f>IF(G333=6,F333,0)</f>
        <v>0</v>
      </c>
      <c r="M333" s="421">
        <f>IF(F333="",0,MONTH(A333))</f>
        <v>10</v>
      </c>
      <c r="P333" s="768" t="inlineStr">
        <is>
          <t>昨年実績</t>
        </is>
      </c>
      <c r="Q333" s="769" t="str">
        <f>IF($F333="","",IFERROR(VLOOKUP($C333&amp;"|"&amp;$D333,科目表!$A$5:$B$200,2,FALSE),"※未登録"))</f>
        <v>事務用消耗品費</v>
      </c>
      <c r="R333" s="769">
        <f>IF($F333="","",$I333+$J333+$K333)</f>
        <v>0</v>
      </c>
      <c r="S333" s="769" t="str">
        <f>IF(OR($F333="",$P333="支払なし",$H333=0,$Q333=""),"",$Q333&amp;"|S|"&amp;(COUNTIF(S$4:S332,$Q333&amp;"|S|*")+1))</f>
        <v>事務用消耗品費|S|21</v>
      </c>
      <c r="T333" s="769" t="str">
        <f>IF(OR($F333="",$P333="支払なし",$R333=0,$Q333=""),"",$Q333&amp;"|L|"&amp;(COUNTIF(T$4:T332,$Q333&amp;"|L|*")+1))</f>
        <v/>
      </c>
      <c r="U333" s="769">
        <f>IF(OR($F333="",$A333=""),"",MOD(MONTH($A333)-4,12)+1)</f>
        <v>7</v>
      </c>
    </row>
    <row r="334" ht="16.5" customFormat="1" customHeight="1" s="43">
      <c r="A334" s="760" t="n">
        <v>45961</v>
      </c>
      <c r="B334" s="761" t="n"/>
      <c r="C334" s="762" t="inlineStr">
        <is>
          <t>事務費</t>
        </is>
      </c>
      <c r="D334" s="762" t="inlineStr">
        <is>
          <t>図書印刷費</t>
        </is>
      </c>
      <c r="E334" s="770" t="inlineStr">
        <is>
          <t>厚生法規総覧追録　6026-6035号</t>
        </is>
      </c>
      <c r="F334" s="764" t="n">
        <v>33154</v>
      </c>
      <c r="G334" s="772" t="n">
        <v>2</v>
      </c>
      <c r="H334" s="765">
        <f>IF(G334=1,F334-I334-J334-K334,IF(G334=2,F334,0))</f>
        <v>33154</v>
      </c>
      <c r="I334" s="765">
        <f>ROUND(IF(G334=1,F334*10/23,IF(G334=3,F334-J334-K334,IF(G334=4,F334,IF(G334=5,F334*10/11,IF(G334=7,F334*10/11,0))))),0)</f>
        <v>0</v>
      </c>
      <c r="J334" s="765">
        <f>ROUND(IF(G334=1,F334/23,IF(G334=3,F334/12,IF(G334=5,F334-I334,IF(G334=8,F334,0)))),0)</f>
        <v>0</v>
      </c>
      <c r="K334" s="766">
        <f>ROUND(IF(G334=1,F334/23,IF(G334=3,F334/12,IF(G334=6,F334,IF(G334=7,F334-I334,0)))),0)</f>
        <v>0</v>
      </c>
      <c r="L334" s="767">
        <f>IF(G334=6,F334,0)</f>
        <v>0</v>
      </c>
      <c r="M334" s="572">
        <f>IF(F334="",0,MONTH(A334))</f>
        <v>10</v>
      </c>
      <c r="P334" s="768" t="inlineStr">
        <is>
          <t>昨年実績</t>
        </is>
      </c>
      <c r="Q334" s="769" t="str">
        <f>IF($F334="","",IFERROR(VLOOKUP($C334&amp;"|"&amp;$D334,科目表!$A$5:$B$200,2,FALSE),"※未登録"))</f>
        <v>図書印刷費</v>
      </c>
      <c r="R334" s="769">
        <f>IF($F334="","",$I334+$J334+$K334)</f>
        <v>0</v>
      </c>
      <c r="S334" s="769" t="str">
        <f>IF(OR($F334="",$P334="支払なし",$H334=0,$Q334=""),"",$Q334&amp;"|S|"&amp;(COUNTIF(S$4:S333,$Q334&amp;"|S|*")+1))</f>
        <v>図書印刷費|S|15</v>
      </c>
      <c r="T334" s="769" t="str">
        <f>IF(OR($F334="",$P334="支払なし",$R334=0,$Q334=""),"",$Q334&amp;"|L|"&amp;(COUNTIF(T$4:T333,$Q334&amp;"|L|*")+1))</f>
        <v/>
      </c>
      <c r="U334" s="769">
        <f>IF(OR($F334="",$A334=""),"",MOD(MONTH($A334)-4,12)+1)</f>
        <v>7</v>
      </c>
    </row>
    <row r="335" ht="16.5" customFormat="1" customHeight="1" s="422">
      <c r="A335" s="760" t="n">
        <v>44862</v>
      </c>
      <c r="B335" s="761" t="n"/>
      <c r="C335" s="762" t="inlineStr">
        <is>
          <t>事務費</t>
        </is>
      </c>
      <c r="D335" s="762" t="inlineStr">
        <is>
          <t>事務用消耗品費</t>
        </is>
      </c>
      <c r="E335" s="770" t="inlineStr">
        <is>
          <t>高齢受給者証　3,000枚</t>
        </is>
      </c>
      <c r="F335" s="772" t="n">
        <v>36300</v>
      </c>
      <c r="G335" s="772" t="n">
        <v>2</v>
      </c>
      <c r="H335" s="765">
        <f>IF(G335=1,F335-I335-J335-K335,IF(G335=2,F335,0))</f>
        <v>36300</v>
      </c>
      <c r="I335" s="765">
        <f>ROUND(IF(G335=1,F335*10/23,IF(G335=3,F335-J335-K335,IF(G335=4,F335,IF(G335=5,F335*10/11,IF(G335=7,F335*10/11,0))))),0)</f>
        <v>0</v>
      </c>
      <c r="J335" s="765">
        <f>ROUND(IF(G335=1,F335/23,IF(G335=3,F335/12,IF(G335=5,F335-I335,IF(G335=8,F335,0)))),0)</f>
        <v>0</v>
      </c>
      <c r="K335" s="766">
        <f>ROUND(IF(G335=1,F335/23,IF(G335=3,F335/12,IF(G335=6,F335,IF(G335=7,F335-I335,0)))),0)</f>
        <v>0</v>
      </c>
      <c r="L335" s="767">
        <f>IF(G335=6,F335,0)</f>
        <v>0</v>
      </c>
      <c r="M335" s="421">
        <f>IF(F335="",0,MONTH(A335))</f>
        <v>10</v>
      </c>
      <c r="P335" s="768" t="inlineStr">
        <is>
          <t>昨年実績</t>
        </is>
      </c>
      <c r="Q335" s="769" t="str">
        <f>IF($F335="","",IFERROR(VLOOKUP($C335&amp;"|"&amp;$D335,科目表!$A$5:$B$200,2,FALSE),"※未登録"))</f>
        <v>事務用消耗品費</v>
      </c>
      <c r="R335" s="769">
        <f>IF($F335="","",$I335+$J335+$K335)</f>
        <v>0</v>
      </c>
      <c r="S335" s="769" t="str">
        <f>IF(OR($F335="",$P335="支払なし",$H335=0,$Q335=""),"",$Q335&amp;"|S|"&amp;(COUNTIF(S$4:S334,$Q335&amp;"|S|*")+1))</f>
        <v>事務用消耗品費|S|22</v>
      </c>
      <c r="T335" s="769" t="str">
        <f>IF(OR($F335="",$P335="支払なし",$R335=0,$Q335=""),"",$Q335&amp;"|L|"&amp;(COUNTIF(T$4:T334,$Q335&amp;"|L|*")+1))</f>
        <v/>
      </c>
      <c r="U335" s="769">
        <f>IF(OR($F335="",$A335=""),"",MOD(MONTH($A335)-4,12)+1)</f>
        <v>7</v>
      </c>
    </row>
    <row r="336" ht="25.5" customFormat="1" customHeight="1" s="43">
      <c r="A336" s="760" t="n">
        <v>46325</v>
      </c>
      <c r="B336" s="761" t="n"/>
      <c r="C336" s="762" t="inlineStr">
        <is>
          <t>事務費</t>
        </is>
      </c>
      <c r="D336" s="762" t="inlineStr">
        <is>
          <t>事務用消耗品費</t>
        </is>
      </c>
      <c r="E336" s="770" t="inlineStr">
        <is>
          <t>ぴたえもん　ＭＳＰＬ－Ａ４／１０冊セット　７４２－５５０　１セット　他８点</t>
        </is>
      </c>
      <c r="F336" s="764" t="n">
        <v>35119</v>
      </c>
      <c r="G336" s="764" t="n">
        <v>2</v>
      </c>
      <c r="H336" s="765">
        <f>IF(G336=1,F336-I336-J336-K336,IF(G336=2,F336,0))</f>
        <v>35119</v>
      </c>
      <c r="I336" s="765">
        <f>ROUND(IF(G336=1,F336*10/23,IF(G336=3,F336-J336-K336,IF(G336=4,F336,IF(G336=5,F336*10/11,IF(G336=7,F336*10/11,0))))),0)</f>
        <v>0</v>
      </c>
      <c r="J336" s="765">
        <f>ROUND(IF(G336=1,F336/23,IF(G336=3,F336/12,IF(G336=5,F336-I336,IF(G336=8,F336,0)))),0)</f>
        <v>0</v>
      </c>
      <c r="K336" s="766">
        <f>ROUND(IF(G336=1,F336/23,IF(G336=3,F336/12,IF(G336=6,F336,IF(G336=7,F336-I336,0)))),0)</f>
        <v>0</v>
      </c>
      <c r="L336" s="767">
        <f>IF(G336=6,F336,0)</f>
        <v>0</v>
      </c>
      <c r="M336" s="572">
        <f>IF(F336="",0,MONTH(A336))</f>
        <v>10</v>
      </c>
      <c r="P336" s="768" t="inlineStr">
        <is>
          <t>確認済</t>
        </is>
      </c>
      <c r="Q336" s="769" t="str">
        <f>IF($F336="","",IFERROR(VLOOKUP($C336&amp;"|"&amp;$D336,科目表!$A$5:$B$200,2,FALSE),"※未登録"))</f>
        <v>事務用消耗品費</v>
      </c>
      <c r="R336" s="769">
        <f>IF($F336="","",$I336+$J336+$K336)</f>
        <v>0</v>
      </c>
      <c r="S336" s="769" t="str">
        <f>IF(OR($F336="",$P336="支払なし",$H336=0,$Q336=""),"",$Q336&amp;"|S|"&amp;(COUNTIF(S$4:S335,$Q336&amp;"|S|*")+1))</f>
        <v>事務用消耗品費|S|23</v>
      </c>
      <c r="T336" s="769" t="str">
        <f>IF(OR($F336="",$P336="支払なし",$R336=0,$Q336=""),"",$Q336&amp;"|L|"&amp;(COUNTIF(T$4:T335,$Q336&amp;"|L|*")+1))</f>
        <v/>
      </c>
      <c r="U336" s="769">
        <f>IF(OR($F336="",$A336=""),"",MOD(MONTH($A336)-4,12)+1)</f>
        <v>7</v>
      </c>
    </row>
    <row r="337" ht="16.5" customFormat="1" customHeight="1" s="43">
      <c r="A337" s="760" t="n">
        <v>46324</v>
      </c>
      <c r="B337" s="761" t="n"/>
      <c r="C337" s="762" t="inlineStr">
        <is>
          <t>事務費</t>
        </is>
      </c>
      <c r="D337" s="762" t="inlineStr">
        <is>
          <t>通信運搬費</t>
        </is>
      </c>
      <c r="E337" s="762" t="inlineStr">
        <is>
          <t>料金後納利用料（９月分）</t>
        </is>
      </c>
      <c r="F337" s="772" t="n">
        <v>34665</v>
      </c>
      <c r="G337" s="772" t="n">
        <v>3</v>
      </c>
      <c r="H337" s="765">
        <f>IF(G337=1,F337-I337-J337-K337,IF(G337=2,F337,0))</f>
        <v>0</v>
      </c>
      <c r="I337" s="765">
        <f>ROUND(IF(G337=1,F337*10/23,IF(G337=3,F337-J337-K337,IF(G337=4,F337,IF(G337=5,F337*10/11,IF(G337=7,F337*10/11,0))))),0)</f>
        <v>28887</v>
      </c>
      <c r="J337" s="765">
        <f>ROUND(IF(G337=1,F337/23,IF(G337=3,F337/12,IF(G337=5,F337-I337,IF(G337=8,F337,0)))),0)</f>
        <v>2889</v>
      </c>
      <c r="K337" s="766">
        <f>ROUND(IF(G337=1,F337/23,IF(G337=3,F337/12,IF(G337=6,F337,IF(G337=7,F337-I337,0)))),0)</f>
        <v>2889</v>
      </c>
      <c r="L337" s="767">
        <f>IF(G337=6,F337,0)</f>
        <v>0</v>
      </c>
      <c r="M337" s="572">
        <f>IF(F337="",0,MONTH(A337))</f>
        <v>10</v>
      </c>
      <c r="P337" s="768" t="inlineStr">
        <is>
          <t>確認済</t>
        </is>
      </c>
      <c r="Q337" s="769" t="str">
        <f>IF($F337="","",IFERROR(VLOOKUP($C337&amp;"|"&amp;$D337,科目表!$A$5:$B$200,2,FALSE),"※未登録"))</f>
        <v>通信運搬費</v>
      </c>
      <c r="R337" s="769">
        <f>IF($F337="","",$I337+$J337+$K337)</f>
        <v>34665</v>
      </c>
      <c r="S337" s="769" t="str">
        <f>IF(OR($F337="",$P337="支払なし",$H337=0,$Q337=""),"",$Q337&amp;"|S|"&amp;(COUNTIF(S$4:S336,$Q337&amp;"|S|*")+1))</f>
        <v/>
      </c>
      <c r="T337" s="769" t="str">
        <f>IF(OR($F337="",$P337="支払なし",$R337=0,$Q337=""),"",$Q337&amp;"|L|"&amp;(COUNTIF(T$4:T336,$Q337&amp;"|L|*")+1))</f>
        <v>通信運搬費|L|12</v>
      </c>
      <c r="U337" s="769">
        <f>IF(OR($F337="",$A337=""),"",MOD(MONTH($A337)-4,12)+1)</f>
        <v>7</v>
      </c>
    </row>
    <row r="338" ht="16.5" customFormat="1" customHeight="1" s="43">
      <c r="A338" s="760" t="n">
        <v>46324</v>
      </c>
      <c r="B338" s="761" t="n"/>
      <c r="C338" s="762" t="inlineStr">
        <is>
          <t>事務費</t>
        </is>
      </c>
      <c r="D338" s="762" t="inlineStr">
        <is>
          <t>通信運搬費</t>
        </is>
      </c>
      <c r="E338" s="762" t="inlineStr">
        <is>
          <t>料金後納利用料（９月分）</t>
        </is>
      </c>
      <c r="F338" s="772" t="n">
        <v>26280</v>
      </c>
      <c r="G338" s="772" t="n">
        <v>2</v>
      </c>
      <c r="H338" s="765">
        <f>IF(G338=1,F338-I338-J338-K338,IF(G338=2,F338,0))</f>
        <v>26280</v>
      </c>
      <c r="I338" s="765">
        <f>ROUND(IF(G338=1,F338*10/23,IF(G338=3,F338-J338-K338,IF(G338=4,F338,IF(G338=5,F338*10/11,IF(G338=7,F338*10/11,0))))),0)</f>
        <v>0</v>
      </c>
      <c r="J338" s="765">
        <f>ROUND(IF(G338=1,F338/23,IF(G338=3,F338/12,IF(G338=5,F338-I338,IF(G338=8,F338,0)))),0)</f>
        <v>0</v>
      </c>
      <c r="K338" s="766">
        <f>ROUND(IF(G338=1,F338/23,IF(G338=3,F338/12,IF(G338=6,F338,IF(G338=7,F338-I338,0)))),0)</f>
        <v>0</v>
      </c>
      <c r="L338" s="767">
        <f>IF(G338=6,F338,0)</f>
        <v>0</v>
      </c>
      <c r="M338" s="572">
        <f>IF(F338="",0,MONTH(A338))</f>
        <v>10</v>
      </c>
      <c r="P338" s="768" t="inlineStr">
        <is>
          <t>確認済</t>
        </is>
      </c>
      <c r="Q338" s="769" t="str">
        <f>IF($F338="","",IFERROR(VLOOKUP($C338&amp;"|"&amp;$D338,科目表!$A$5:$B$200,2,FALSE),"※未登録"))</f>
        <v>通信運搬費</v>
      </c>
      <c r="R338" s="769">
        <f>IF($F338="","",$I338+$J338+$K338)</f>
        <v>0</v>
      </c>
      <c r="S338" s="769" t="str">
        <f>IF(OR($F338="",$P338="支払なし",$H338=0,$Q338=""),"",$Q338&amp;"|S|"&amp;(COUNTIF(S$4:S337,$Q338&amp;"|S|*")+1))</f>
        <v>通信運搬費|S|34</v>
      </c>
      <c r="T338" s="769" t="str">
        <f>IF(OR($F338="",$P338="支払なし",$R338=0,$Q338=""),"",$Q338&amp;"|L|"&amp;(COUNTIF(T$4:T337,$Q338&amp;"|L|*")+1))</f>
        <v/>
      </c>
      <c r="U338" s="769">
        <f>IF(OR($F338="",$A338=""),"",MOD(MONTH($A338)-4,12)+1)</f>
        <v>7</v>
      </c>
    </row>
    <row r="339" ht="16.5" customFormat="1" customHeight="1" s="43">
      <c r="A339" s="760" t="n">
        <v>46328</v>
      </c>
      <c r="B339" s="761" t="n"/>
      <c r="C339" s="762" t="inlineStr">
        <is>
          <t>負担金</t>
        </is>
      </c>
      <c r="D339" s="762" t="inlineStr">
        <is>
          <t>厚年負担金等</t>
        </is>
      </c>
      <c r="E339" s="775" t="inlineStr">
        <is>
          <t>９月月例分（短期分）子ども子育て拠出金を含む</t>
        </is>
      </c>
      <c r="F339" s="764" t="n">
        <v>63717</v>
      </c>
      <c r="G339" s="764" t="n">
        <v>2</v>
      </c>
      <c r="H339" s="765">
        <f>IF(G339=1,F339-I339-J339-K339,IF(G339=2,F339,0))</f>
        <v>63717</v>
      </c>
      <c r="I339" s="765">
        <f>ROUND(IF(G339=1,F339*10/23,IF(G339=3,F339-J339-K339,IF(G339=4,F339,IF(G339=5,F339*10/11,IF(G339=7,F339*10/11,0))))),0)</f>
        <v>0</v>
      </c>
      <c r="J339" s="765">
        <f>ROUND(IF(G339=1,F339/23,IF(G339=3,F339/12,IF(G339=5,F339-I339,IF(G339=8,F339,0)))),0)</f>
        <v>0</v>
      </c>
      <c r="K339" s="766">
        <f>ROUND(IF(G339=1,F339/23,IF(G339=3,F339/12,IF(G339=6,F339,IF(G339=7,F339-I339,0)))),0)</f>
        <v>0</v>
      </c>
      <c r="L339" s="767">
        <f>IF(G339=6,F339,0)</f>
        <v>0</v>
      </c>
      <c r="M339" s="572">
        <f>IF(F339="",0,MONTH(A339))</f>
        <v>11</v>
      </c>
      <c r="P339" s="768" t="inlineStr">
        <is>
          <t>確認済</t>
        </is>
      </c>
      <c r="Q339" s="769" t="str">
        <f>IF($F339="","",IFERROR(VLOOKUP($C339&amp;"|"&amp;$D339,科目表!$A$5:$B$200,2,FALSE),"※未登録"))</f>
        <v>厚年負担金等</v>
      </c>
      <c r="R339" s="769">
        <f>IF($F339="","",$I339+$J339+$K339)</f>
        <v>0</v>
      </c>
      <c r="S339" s="769" t="str">
        <f>IF(OR($F339="",$P339="支払なし",$H339=0,$Q339=""),"",$Q339&amp;"|S|"&amp;(COUNTIF(S$4:S338,$Q339&amp;"|S|*")+1))</f>
        <v>厚年負担金等|S|6</v>
      </c>
      <c r="T339" s="769" t="str">
        <f>IF(OR($F339="",$P339="支払なし",$R339=0,$Q339=""),"",$Q339&amp;"|L|"&amp;(COUNTIF(T$4:T338,$Q339&amp;"|L|*")+1))</f>
        <v/>
      </c>
      <c r="U339" s="769">
        <f>IF(OR($F339="",$A339=""),"",MOD(MONTH($A339)-4,12)+1)</f>
        <v>8</v>
      </c>
    </row>
    <row r="340" ht="16.5" customFormat="1" customHeight="1" s="43">
      <c r="A340" s="760" t="n"/>
      <c r="B340" s="761" t="n"/>
      <c r="C340" s="762" t="n"/>
      <c r="D340" s="762" t="n"/>
      <c r="E340" s="762" t="n"/>
      <c r="F340" s="772" t="n"/>
      <c r="G340" s="772" t="n"/>
      <c r="H340" s="765">
        <f>IF(G340=1,F340-I340-J340-K340,IF(G340=2,F340,0))</f>
        <v>0</v>
      </c>
      <c r="I340" s="765">
        <f>ROUND(IF(G340=1,F340*10/23,IF(G340=3,F340-J340-K340,IF(G340=4,F340,IF(G340=5,F340*10/11,IF(G340=7,F340*10/11,0))))),0)</f>
        <v>0</v>
      </c>
      <c r="J340" s="765">
        <f>ROUND(IF(G340=1,F340/23,IF(G340=3,F340/12,IF(G340=5,F340-I340,IF(G340=8,F340,0)))),0)</f>
        <v>0</v>
      </c>
      <c r="K340" s="766">
        <f>ROUND(IF(G340=1,F340/23,IF(G340=3,F340/12,IF(G340=6,F340,IF(G340=7,F340-I340,0)))),0)</f>
        <v>0</v>
      </c>
      <c r="L340" s="767">
        <f>IF(G340=6,F340,0)</f>
        <v>0</v>
      </c>
      <c r="M340" s="572">
        <f>IF(F340="",0,MONTH(A340))</f>
        <v>0</v>
      </c>
      <c r="P340" s="768" t="n"/>
      <c r="Q340" s="769" t="str">
        <f>IF($F340="","",IFERROR(VLOOKUP($C340&amp;"|"&amp;$D340,科目表!$A$5:$B$200,2,FALSE),"※未登録"))</f>
        <v/>
      </c>
      <c r="R340" s="769" t="str">
        <f>IF($F340="","",$I340+$J340+$K340)</f>
        <v/>
      </c>
      <c r="S340" s="769" t="str">
        <f>IF(OR($F340="",$P340="支払なし",$H340=0,$Q340=""),"",$Q340&amp;"|S|"&amp;(COUNTIF(S$4:S339,$Q340&amp;"|S|*")+1))</f>
        <v/>
      </c>
      <c r="T340" s="769" t="str">
        <f>IF(OR($F340="",$P340="支払なし",$R340=0,$Q340=""),"",$Q340&amp;"|L|"&amp;(COUNTIF(T$4:T339,$Q340&amp;"|L|*")+1))</f>
        <v/>
      </c>
      <c r="U340" s="769" t="str">
        <f>IF(OR($F340="",$A340=""),"",MOD(MONTH($A340)-4,12)+1)</f>
        <v/>
      </c>
    </row>
    <row r="341" ht="16.5" customFormat="1" customHeight="1" s="43">
      <c r="A341" s="760" t="n">
        <v>46328</v>
      </c>
      <c r="B341" s="761" t="n"/>
      <c r="C341" s="762" t="inlineStr">
        <is>
          <t>負担金</t>
        </is>
      </c>
      <c r="D341" s="762" t="inlineStr">
        <is>
          <t>厚年負担金等</t>
        </is>
      </c>
      <c r="E341" s="775" t="inlineStr">
        <is>
          <t>９月月例分（長期分）子ども子育て拠出金を含む</t>
        </is>
      </c>
      <c r="F341" s="764" t="n">
        <v>35187</v>
      </c>
      <c r="G341" s="764" t="n">
        <v>3</v>
      </c>
      <c r="H341" s="765">
        <f>IF(G341=1,F341-I341-J341-K341,IF(G341=2,F341,0))</f>
        <v>0</v>
      </c>
      <c r="I341" s="765">
        <f>ROUND(IF(G341=1,F341*10/23,IF(G341=3,F341-J341-K341,IF(G341=4,F341,IF(G341=5,F341*10/11,IF(G341=7,F341*10/11,0))))),0)</f>
        <v>29323</v>
      </c>
      <c r="J341" s="765">
        <f>ROUND(IF(G341=1,F341/23,IF(G341=3,F341/12,IF(G341=5,F341-I341,IF(G341=8,F341,0)))),0)</f>
        <v>2932</v>
      </c>
      <c r="K341" s="766">
        <f>ROUND(IF(G341=1,F341/23,IF(G341=3,F341/12,IF(G341=6,F341,IF(G341=7,F341-I341,0)))),0)</f>
        <v>2932</v>
      </c>
      <c r="L341" s="767">
        <f>IF(G341=6,F341,0)</f>
        <v>0</v>
      </c>
      <c r="M341" s="572">
        <f>IF(F341="",0,MONTH(A341))</f>
        <v>11</v>
      </c>
      <c r="P341" s="768" t="inlineStr">
        <is>
          <t>確認済</t>
        </is>
      </c>
      <c r="Q341" s="769" t="str">
        <f>IF($F341="","",IFERROR(VLOOKUP($C341&amp;"|"&amp;$D341,科目表!$A$5:$B$200,2,FALSE),"※未登録"))</f>
        <v>厚年負担金等</v>
      </c>
      <c r="R341" s="769">
        <f>IF($F341="","",$I341+$J341+$K341)</f>
        <v>35187</v>
      </c>
      <c r="S341" s="769" t="str">
        <f>IF(OR($F341="",$P341="支払なし",$H341=0,$Q341=""),"",$Q341&amp;"|S|"&amp;(COUNTIF(S$4:S340,$Q341&amp;"|S|*")+1))</f>
        <v/>
      </c>
      <c r="T341" s="769" t="str">
        <f>IF(OR($F341="",$P341="支払なし",$R341=0,$Q341=""),"",$Q341&amp;"|L|"&amp;(COUNTIF(T$4:T340,$Q341&amp;"|L|*")+1))</f>
        <v>厚年負担金等|L|6</v>
      </c>
      <c r="U341" s="769">
        <f>IF(OR($F341="",$A341=""),"",MOD(MONTH($A341)-4,12)+1)</f>
        <v>8</v>
      </c>
    </row>
    <row r="342" ht="16.5" customFormat="1" customHeight="1" s="422">
      <c r="A342" s="760" t="n">
        <v>45618</v>
      </c>
      <c r="B342" s="761" t="n"/>
      <c r="C342" s="762" t="inlineStr">
        <is>
          <t>事務費</t>
        </is>
      </c>
      <c r="D342" s="762" t="inlineStr">
        <is>
          <t>事務用消耗品費</t>
        </is>
      </c>
      <c r="E342" s="770" t="inlineStr">
        <is>
          <t>ディスプレイ切替器　１台</t>
        </is>
      </c>
      <c r="F342" s="764" t="n">
        <v>6160</v>
      </c>
      <c r="G342" s="764" t="n">
        <v>3</v>
      </c>
      <c r="H342" s="765">
        <f>IF(G342=1,F342-I342-J342-K342,IF(G342=2,F342,0))</f>
        <v>0</v>
      </c>
      <c r="I342" s="765">
        <f>ROUND(IF(G342=1,F342*10/23,IF(G342=3,F342-J342-K342,IF(G342=4,F342,IF(G342=5,F342*10/11,IF(G342=7,F342*10/11,0))))),0)</f>
        <v>5134</v>
      </c>
      <c r="J342" s="765">
        <f>ROUND(IF(G342=1,F342/23,IF(G342=3,F342/12,IF(G342=5,F342-I342,IF(G342=8,F342,0)))),0)</f>
        <v>513</v>
      </c>
      <c r="K342" s="766">
        <f>ROUND(IF(G342=1,F342/23,IF(G342=3,F342/12,IF(G342=6,F342,IF(G342=7,F342-I342,0)))),0)</f>
        <v>513</v>
      </c>
      <c r="L342" s="767">
        <f>IF(G342=6,F342,0)</f>
        <v>0</v>
      </c>
      <c r="M342" s="421">
        <f>IF(F342="",0,MONTH(A342))</f>
        <v>11</v>
      </c>
      <c r="P342" s="768" t="inlineStr">
        <is>
          <t>昨年実績</t>
        </is>
      </c>
      <c r="Q342" s="769" t="str">
        <f>IF($F342="","",IFERROR(VLOOKUP($C342&amp;"|"&amp;$D342,科目表!$A$5:$B$200,2,FALSE),"※未登録"))</f>
        <v>事務用消耗品費</v>
      </c>
      <c r="R342" s="769">
        <f>IF($F342="","",$I342+$J342+$K342)</f>
        <v>6160</v>
      </c>
      <c r="S342" s="769" t="str">
        <f>IF(OR($F342="",$P342="支払なし",$H342=0,$Q342=""),"",$Q342&amp;"|S|"&amp;(COUNTIF(S$4:S341,$Q342&amp;"|S|*")+1))</f>
        <v/>
      </c>
      <c r="T342" s="769" t="str">
        <f>IF(OR($F342="",$P342="支払なし",$R342=0,$Q342=""),"",$Q342&amp;"|L|"&amp;(COUNTIF(T$4:T341,$Q342&amp;"|L|*")+1))</f>
        <v>事務用消耗品費|L|14</v>
      </c>
      <c r="U342" s="769">
        <f>IF(OR($F342="",$A342=""),"",MOD(MONTH($A342)-4,12)+1)</f>
        <v>8</v>
      </c>
    </row>
    <row r="343" ht="16.5" customFormat="1" customHeight="1" s="422">
      <c r="A343" s="760" t="n">
        <v>44074</v>
      </c>
      <c r="B343" s="761" t="n"/>
      <c r="C343" s="762" t="inlineStr">
        <is>
          <t>事務費</t>
        </is>
      </c>
      <c r="D343" s="762" t="inlineStr">
        <is>
          <t>事務用消耗品費</t>
        </is>
      </c>
      <c r="E343" s="775" t="inlineStr">
        <is>
          <t>ニスカカードプリンタ用リボン</t>
        </is>
      </c>
      <c r="F343" s="764" t="n">
        <v>46750</v>
      </c>
      <c r="G343" s="764" t="n">
        <v>2</v>
      </c>
      <c r="H343" s="765">
        <f>IF(G343=1,F343-I343-J343-K343,IF(G343=2,F343,0))</f>
        <v>46750</v>
      </c>
      <c r="I343" s="765">
        <f>ROUND(IF(G343=1,F343*10/23,IF(G343=3,F343-J343-K343,IF(G343=4,F343,IF(G343=5,F343*10/11,IF(G343=7,F343*10/11,0))))),0)</f>
        <v>0</v>
      </c>
      <c r="J343" s="765">
        <f>ROUND(IF(G343=1,F343/23,IF(G343=3,F343/12,IF(G343=5,F343-I343,IF(G343=8,F343,0)))),0)</f>
        <v>0</v>
      </c>
      <c r="K343" s="766">
        <f>ROUND(IF(G343=1,F343/23,IF(G343=3,F343/12,IF(G343=6,F343,IF(G343=7,F343-I343,0)))),0)</f>
        <v>0</v>
      </c>
      <c r="L343" s="767">
        <f>IF(G343=6,F343,0)</f>
        <v>0</v>
      </c>
      <c r="M343" s="421">
        <f>IF(F343="",0,MONTH(A343))</f>
        <v>8</v>
      </c>
      <c r="P343" s="768" t="inlineStr">
        <is>
          <t>昨年実績</t>
        </is>
      </c>
      <c r="Q343" s="769" t="str">
        <f>IF($F343="","",IFERROR(VLOOKUP($C343&amp;"|"&amp;$D343,科目表!$A$5:$B$200,2,FALSE),"※未登録"))</f>
        <v>事務用消耗品費</v>
      </c>
      <c r="R343" s="769">
        <f>IF($F343="","",$I343+$J343+$K343)</f>
        <v>0</v>
      </c>
      <c r="S343" s="769" t="str">
        <f>IF(OR($F343="",$P343="支払なし",$H343=0,$Q343=""),"",$Q343&amp;"|S|"&amp;(COUNTIF(S$4:S342,$Q343&amp;"|S|*")+1))</f>
        <v>事務用消耗品費|S|24</v>
      </c>
      <c r="T343" s="769" t="str">
        <f>IF(OR($F343="",$P343="支払なし",$R343=0,$Q343=""),"",$Q343&amp;"|L|"&amp;(COUNTIF(T$4:T342,$Q343&amp;"|L|*")+1))</f>
        <v/>
      </c>
      <c r="U343" s="769">
        <f>IF(OR($F343="",$A343=""),"",MOD(MONTH($A343)-4,12)+1)</f>
        <v>5</v>
      </c>
    </row>
    <row r="344" ht="16.5" customFormat="1" customHeight="1" s="422">
      <c r="A344" s="760" t="n">
        <v>44498</v>
      </c>
      <c r="B344" s="761" t="n"/>
      <c r="C344" s="762" t="inlineStr">
        <is>
          <t>委託費</t>
        </is>
      </c>
      <c r="D344" s="762" t="n"/>
      <c r="E344" s="777" t="inlineStr">
        <is>
          <t>短期給付個人番号管理システム端末保守サービス（９月分）</t>
        </is>
      </c>
      <c r="F344" s="764" t="n">
        <v>385</v>
      </c>
      <c r="G344" s="764" t="n">
        <v>2</v>
      </c>
      <c r="H344" s="765">
        <f>IF(G344=1,F344-I344-J344-K344,IF(G344=2,F344,0))</f>
        <v>385</v>
      </c>
      <c r="I344" s="765">
        <f>ROUND(IF(G344=1,F344*10/23,IF(G344=3,F344-J344-K344,IF(G344=4,F344,IF(G344=5,F344*10/11,IF(G344=7,F344*10/11,0))))),0)</f>
        <v>0</v>
      </c>
      <c r="J344" s="765">
        <f>ROUND(IF(G344=1,F344/23,IF(G344=3,F344/12,IF(G344=5,F344-I344,IF(G344=8,F344,0)))),0)</f>
        <v>0</v>
      </c>
      <c r="K344" s="766">
        <f>ROUND(IF(G344=1,F344/23,IF(G344=3,F344/12,IF(G344=6,F344,IF(G344=7,F344-I344,0)))),0)</f>
        <v>0</v>
      </c>
      <c r="L344" s="767">
        <f>IF(G344=6,F344,0)</f>
        <v>0</v>
      </c>
      <c r="M344" s="421">
        <f>IF(F344="",0,MONTH(A344))</f>
        <v>10</v>
      </c>
      <c r="P344" s="768" t="inlineStr">
        <is>
          <t>昨年実績</t>
        </is>
      </c>
      <c r="Q344" s="769" t="str">
        <f>IF($F344="","",IFERROR(VLOOKUP($C344&amp;"|"&amp;$D344,科目表!$A$5:$B$200,2,FALSE),"※未登録"))</f>
        <v>委託費</v>
      </c>
      <c r="R344" s="769">
        <f>IF($F344="","",$I344+$J344+$K344)</f>
        <v>0</v>
      </c>
      <c r="S344" s="769" t="str">
        <f>IF(OR($F344="",$P344="支払なし",$H344=0,$Q344=""),"",$Q344&amp;"|S|"&amp;(COUNTIF(S$4:S343,$Q344&amp;"|S|*")+1))</f>
        <v>委託費|S|31</v>
      </c>
      <c r="T344" s="769" t="str">
        <f>IF(OR($F344="",$P344="支払なし",$R344=0,$Q344=""),"",$Q344&amp;"|L|"&amp;(COUNTIF(T$4:T343,$Q344&amp;"|L|*")+1))</f>
        <v/>
      </c>
      <c r="U344" s="769">
        <f>IF(OR($F344="",$A344=""),"",MOD(MONTH($A344)-4,12)+1)</f>
        <v>7</v>
      </c>
    </row>
    <row r="345" ht="16.5" customFormat="1" customHeight="1" s="422">
      <c r="A345" s="760" t="n">
        <v>45230</v>
      </c>
      <c r="B345" s="761" t="n"/>
      <c r="C345" s="762" t="inlineStr">
        <is>
          <t>事務費</t>
        </is>
      </c>
      <c r="D345" s="762" t="inlineStr">
        <is>
          <t>通信運搬費</t>
        </is>
      </c>
      <c r="E345" s="775" t="inlineStr">
        <is>
          <t>柔整申請書送付（９月分）</t>
        </is>
      </c>
      <c r="F345" s="764" t="n">
        <v>1489</v>
      </c>
      <c r="G345" s="764" t="n">
        <v>2</v>
      </c>
      <c r="H345" s="765">
        <f>IF(G345=1,F345-I345-J345-K345,IF(G345=2,F345,0))</f>
        <v>1489</v>
      </c>
      <c r="I345" s="765">
        <f>ROUND(IF(G345=1,F345*10/23,IF(G345=3,F345-J345-K345,IF(G345=4,F345,IF(G345=5,F345*10/11,IF(G345=7,F345*10/11,0))))),0)</f>
        <v>0</v>
      </c>
      <c r="J345" s="765">
        <f>ROUND(IF(G345=1,F345/23,IF(G345=3,F345/12,IF(G345=5,F345-I345,IF(G345=8,F345,0)))),0)</f>
        <v>0</v>
      </c>
      <c r="K345" s="766">
        <f>ROUND(IF(G345=1,F345/23,IF(G345=3,F345/12,IF(G345=6,F345,IF(G345=7,F345-I345,0)))),0)</f>
        <v>0</v>
      </c>
      <c r="L345" s="767">
        <f>IF(G345=6,F345,0)</f>
        <v>0</v>
      </c>
      <c r="M345" s="421">
        <f>IF(F345="",0,MONTH(A345))</f>
        <v>10</v>
      </c>
      <c r="P345" s="768" t="inlineStr">
        <is>
          <t>昨年実績</t>
        </is>
      </c>
      <c r="Q345" s="769" t="str">
        <f>IF($F345="","",IFERROR(VLOOKUP($C345&amp;"|"&amp;$D345,科目表!$A$5:$B$200,2,FALSE),"※未登録"))</f>
        <v>通信運搬費</v>
      </c>
      <c r="R345" s="769">
        <f>IF($F345="","",$I345+$J345+$K345)</f>
        <v>0</v>
      </c>
      <c r="S345" s="769" t="str">
        <f>IF(OR($F345="",$P345="支払なし",$H345=0,$Q345=""),"",$Q345&amp;"|S|"&amp;(COUNTIF(S$4:S344,$Q345&amp;"|S|*")+1))</f>
        <v>通信運搬費|S|35</v>
      </c>
      <c r="T345" s="769" t="str">
        <f>IF(OR($F345="",$P345="支払なし",$R345=0,$Q345=""),"",$Q345&amp;"|L|"&amp;(COUNTIF(T$4:T344,$Q345&amp;"|L|*")+1))</f>
        <v/>
      </c>
      <c r="U345" s="769">
        <f>IF(OR($F345="",$A345=""),"",MOD(MONTH($A345)-4,12)+1)</f>
        <v>7</v>
      </c>
    </row>
    <row r="346" ht="16.5" customFormat="1" customHeight="1" s="422">
      <c r="A346" s="760" t="n">
        <v>44865</v>
      </c>
      <c r="B346" s="761" t="n"/>
      <c r="C346" s="762" t="inlineStr">
        <is>
          <t>事務費</t>
        </is>
      </c>
      <c r="D346" s="762" t="inlineStr">
        <is>
          <t>通信運搬費</t>
        </is>
      </c>
      <c r="E346" s="762" t="inlineStr">
        <is>
          <t>メール便（任継者宛厚生だより９月分）</t>
        </is>
      </c>
      <c r="F346" s="772" t="n">
        <v>9240</v>
      </c>
      <c r="G346" s="772" t="n">
        <v>2</v>
      </c>
      <c r="H346" s="765">
        <f>IF(G346=1,F346-I346-J346-K346,IF(G346=2,F346,0))</f>
        <v>9240</v>
      </c>
      <c r="I346" s="765">
        <f>ROUND(IF(G346=1,F346*10/23,IF(G346=3,F346-J346-K346,IF(G346=4,F346,IF(G346=5,F346*10/11,IF(G346=7,F346*10/11,0))))),0)</f>
        <v>0</v>
      </c>
      <c r="J346" s="765">
        <f>ROUND(IF(G346=1,F346/23,IF(G346=3,F346/12,IF(G346=5,F346-I346,IF(G346=8,F346,0)))),0)</f>
        <v>0</v>
      </c>
      <c r="K346" s="766">
        <f>ROUND(IF(G346=1,F346/23,IF(G346=3,F346/12,IF(G346=6,F346,IF(G346=7,F346-I346,0)))),0)</f>
        <v>0</v>
      </c>
      <c r="L346" s="767">
        <f>IF(G346=6,F346,0)</f>
        <v>0</v>
      </c>
      <c r="M346" s="421">
        <f>IF(F346="",0,MONTH(A346))</f>
        <v>10</v>
      </c>
      <c r="P346" s="768" t="inlineStr">
        <is>
          <t>昨年実績</t>
        </is>
      </c>
      <c r="Q346" s="769" t="str">
        <f>IF($F346="","",IFERROR(VLOOKUP($C346&amp;"|"&amp;$D346,科目表!$A$5:$B$200,2,FALSE),"※未登録"))</f>
        <v>通信運搬費</v>
      </c>
      <c r="R346" s="769">
        <f>IF($F346="","",$I346+$J346+$K346)</f>
        <v>0</v>
      </c>
      <c r="S346" s="769" t="str">
        <f>IF(OR($F346="",$P346="支払なし",$H346=0,$Q346=""),"",$Q346&amp;"|S|"&amp;(COUNTIF(S$4:S345,$Q346&amp;"|S|*")+1))</f>
        <v>通信運搬費|S|36</v>
      </c>
      <c r="T346" s="769" t="str">
        <f>IF(OR($F346="",$P346="支払なし",$R346=0,$Q346=""),"",$Q346&amp;"|L|"&amp;(COUNTIF(T$4:T345,$Q346&amp;"|L|*")+1))</f>
        <v/>
      </c>
      <c r="U346" s="769">
        <f>IF(OR($F346="",$A346=""),"",MOD(MONTH($A346)-4,12)+1)</f>
        <v>7</v>
      </c>
    </row>
    <row r="347" ht="16.5" customFormat="1" customHeight="1" s="422">
      <c r="A347" s="760" t="n">
        <v>45565</v>
      </c>
      <c r="B347" s="761" t="n"/>
      <c r="C347" s="762" t="inlineStr">
        <is>
          <t>委託費</t>
        </is>
      </c>
      <c r="D347" s="762" t="n"/>
      <c r="E347" s="770" t="inlineStr">
        <is>
          <t>基幹システム用カードプリンタの保守</t>
        </is>
      </c>
      <c r="F347" s="786" t="n">
        <v>79200</v>
      </c>
      <c r="G347" s="772" t="n">
        <v>2</v>
      </c>
      <c r="H347" s="765">
        <f>IF(G347=1,F347-I347-J347-K347,IF(G347=2,F347,0))</f>
        <v>79200</v>
      </c>
      <c r="I347" s="765">
        <f>ROUND(IF(G347=1,F347*10/23,IF(G347=3,F347-J347-K347,IF(G347=4,F347,IF(G347=5,F347*10/11,IF(G347=7,F347*10/11,0))))),0)</f>
        <v>0</v>
      </c>
      <c r="J347" s="765">
        <f>ROUND(IF(G347=1,F347/23,IF(G347=3,F347/12,IF(G347=5,F347-I347,IF(G347=8,F347,0)))),0)</f>
        <v>0</v>
      </c>
      <c r="K347" s="766">
        <f>ROUND(IF(G347=1,F347/23,IF(G347=3,F347/12,IF(G347=6,F347,IF(G347=7,F347-I347,0)))),0)</f>
        <v>0</v>
      </c>
      <c r="L347" s="767">
        <f>IF(G347=6,F347,0)</f>
        <v>0</v>
      </c>
      <c r="M347" s="421">
        <f>IF(F347="",0,MONTH(A347))</f>
        <v>9</v>
      </c>
      <c r="P347" s="768" t="inlineStr">
        <is>
          <t>昨年実績</t>
        </is>
      </c>
      <c r="Q347" s="769" t="str">
        <f>IF($F347="","",IFERROR(VLOOKUP($C347&amp;"|"&amp;$D347,科目表!$A$5:$B$200,2,FALSE),"※未登録"))</f>
        <v>委託費</v>
      </c>
      <c r="R347" s="769">
        <f>IF($F347="","",$I347+$J347+$K347)</f>
        <v>0</v>
      </c>
      <c r="S347" s="769" t="str">
        <f>IF(OR($F347="",$P347="支払なし",$H347=0,$Q347=""),"",$Q347&amp;"|S|"&amp;(COUNTIF(S$4:S346,$Q347&amp;"|S|*")+1))</f>
        <v>委託費|S|32</v>
      </c>
      <c r="T347" s="769" t="str">
        <f>IF(OR($F347="",$P347="支払なし",$R347=0,$Q347=""),"",$Q347&amp;"|L|"&amp;(COUNTIF(T$4:T346,$Q347&amp;"|L|*")+1))</f>
        <v/>
      </c>
      <c r="U347" s="769">
        <f>IF(OR($F347="",$A347=""),"",MOD(MONTH($A347)-4,12)+1)</f>
        <v>6</v>
      </c>
    </row>
    <row r="348" ht="16.5" customFormat="1" customHeight="1" s="422">
      <c r="A348" s="760" t="n">
        <v>44074</v>
      </c>
      <c r="B348" s="761" t="n"/>
      <c r="C348" s="762" t="inlineStr">
        <is>
          <t>事務費</t>
        </is>
      </c>
      <c r="D348" s="762" t="inlineStr">
        <is>
          <t>事務用消耗品費</t>
        </is>
      </c>
      <c r="E348" s="770" t="inlineStr">
        <is>
          <t>ボタン電池LR41P 370-121　他</t>
        </is>
      </c>
      <c r="F348" s="764" t="n">
        <v>10590</v>
      </c>
      <c r="G348" s="764" t="n">
        <v>2</v>
      </c>
      <c r="H348" s="765">
        <f>IF(G348=1,F348-I348-J348-K348,IF(G348=2,F348,0))</f>
        <v>10590</v>
      </c>
      <c r="I348" s="765">
        <f>ROUND(IF(G348=1,F348*10/23,IF(G348=3,F348-J348-K348,IF(G348=4,F348,IF(G348=5,F348*10/11,IF(G348=7,F348*10/11,0))))),0)</f>
        <v>0</v>
      </c>
      <c r="J348" s="765">
        <f>ROUND(IF(G348=1,F348/23,IF(G348=3,F348/12,IF(G348=5,F348-I348,IF(G348=8,F348,0)))),0)</f>
        <v>0</v>
      </c>
      <c r="K348" s="766">
        <f>ROUND(IF(G348=1,F348/23,IF(G348=3,F348/12,IF(G348=6,F348,IF(G348=7,F348-I348,0)))),0)</f>
        <v>0</v>
      </c>
      <c r="L348" s="767">
        <f>IF(G348=6,F348,0)</f>
        <v>0</v>
      </c>
      <c r="M348" s="421">
        <f>IF(F348="",0,MONTH(A348))</f>
        <v>8</v>
      </c>
      <c r="P348" s="768" t="inlineStr">
        <is>
          <t>昨年実績</t>
        </is>
      </c>
      <c r="Q348" s="769" t="str">
        <f>IF($F348="","",IFERROR(VLOOKUP($C348&amp;"|"&amp;$D348,科目表!$A$5:$B$200,2,FALSE),"※未登録"))</f>
        <v>事務用消耗品費</v>
      </c>
      <c r="R348" s="769">
        <f>IF($F348="","",$I348+$J348+$K348)</f>
        <v>0</v>
      </c>
      <c r="S348" s="769" t="str">
        <f>IF(OR($F348="",$P348="支払なし",$H348=0,$Q348=""),"",$Q348&amp;"|S|"&amp;(COUNTIF(S$4:S347,$Q348&amp;"|S|*")+1))</f>
        <v>事務用消耗品費|S|25</v>
      </c>
      <c r="T348" s="769" t="str">
        <f>IF(OR($F348="",$P348="支払なし",$R348=0,$Q348=""),"",$Q348&amp;"|L|"&amp;(COUNTIF(T$4:T347,$Q348&amp;"|L|*")+1))</f>
        <v/>
      </c>
      <c r="U348" s="769">
        <f>IF(OR($F348="",$A348=""),"",MOD(MONTH($A348)-4,12)+1)</f>
        <v>5</v>
      </c>
    </row>
    <row r="349" ht="16.5" customFormat="1" customHeight="1" s="422">
      <c r="A349" s="760" t="n">
        <v>44865</v>
      </c>
      <c r="B349" s="761" t="n"/>
      <c r="C349" s="762" t="inlineStr">
        <is>
          <t>事務費</t>
        </is>
      </c>
      <c r="D349" s="762" t="inlineStr">
        <is>
          <t>事務用消耗品費</t>
        </is>
      </c>
      <c r="E349" s="770" t="inlineStr">
        <is>
          <t>輪ゴム　B105J　№16　192-292　８箱　他</t>
        </is>
      </c>
      <c r="F349" s="764" t="n">
        <v>1590</v>
      </c>
      <c r="G349" s="764" t="n">
        <v>2</v>
      </c>
      <c r="H349" s="765">
        <f>IF(G349=1,F349-I349-J349-K349,IF(G349=2,F349,0))</f>
        <v>1590</v>
      </c>
      <c r="I349" s="765">
        <f>ROUND(IF(G349=1,F349*10/23,IF(G349=3,F349-J349-K349,IF(G349=4,F349,IF(G349=5,F349*10/11,IF(G349=7,F349*10/11,0))))),0)</f>
        <v>0</v>
      </c>
      <c r="J349" s="765">
        <f>ROUND(IF(G349=1,F349/23,IF(G349=3,F349/12,IF(G349=5,F349-I349,IF(G349=8,F349,0)))),0)</f>
        <v>0</v>
      </c>
      <c r="K349" s="766">
        <f>ROUND(IF(G349=1,F349/23,IF(G349=3,F349/12,IF(G349=6,F349,IF(G349=7,F349-I349,0)))),0)</f>
        <v>0</v>
      </c>
      <c r="L349" s="767">
        <f>IF(G349=6,F349,0)</f>
        <v>0</v>
      </c>
      <c r="M349" s="421">
        <f>IF(F349="",0,MONTH(A349))</f>
        <v>10</v>
      </c>
      <c r="P349" s="768" t="inlineStr">
        <is>
          <t>昨年実績</t>
        </is>
      </c>
      <c r="Q349" s="769" t="str">
        <f>IF($F349="","",IFERROR(VLOOKUP($C349&amp;"|"&amp;$D349,科目表!$A$5:$B$200,2,FALSE),"※未登録"))</f>
        <v>事務用消耗品費</v>
      </c>
      <c r="R349" s="769">
        <f>IF($F349="","",$I349+$J349+$K349)</f>
        <v>0</v>
      </c>
      <c r="S349" s="769" t="str">
        <f>IF(OR($F349="",$P349="支払なし",$H349=0,$Q349=""),"",$Q349&amp;"|S|"&amp;(COUNTIF(S$4:S348,$Q349&amp;"|S|*")+1))</f>
        <v>事務用消耗品費|S|26</v>
      </c>
      <c r="T349" s="769" t="str">
        <f>IF(OR($F349="",$P349="支払なし",$R349=0,$Q349=""),"",$Q349&amp;"|L|"&amp;(COUNTIF(T$4:T348,$Q349&amp;"|L|*")+1))</f>
        <v/>
      </c>
      <c r="U349" s="769">
        <f>IF(OR($F349="",$A349=""),"",MOD(MONTH($A349)-4,12)+1)</f>
        <v>7</v>
      </c>
    </row>
    <row r="350" ht="16.5" customFormat="1" customHeight="1" s="422">
      <c r="A350" s="760" t="n">
        <v>43769</v>
      </c>
      <c r="B350" s="761" t="n"/>
      <c r="C350" s="762" t="inlineStr">
        <is>
          <t>事務費</t>
        </is>
      </c>
      <c r="D350" s="762" t="inlineStr">
        <is>
          <t>事務用消耗品費</t>
        </is>
      </c>
      <c r="E350" s="770" t="inlineStr">
        <is>
          <t>桐１０Sプレミアムクラブ優待版　２２本</t>
        </is>
      </c>
      <c r="F350" s="764" t="n">
        <v>582120</v>
      </c>
      <c r="G350" s="764" t="n">
        <v>2</v>
      </c>
      <c r="H350" s="765">
        <f>IF(G350=1,F350-I350-J350-K350,IF(G350=2,F350,0))</f>
        <v>582120</v>
      </c>
      <c r="I350" s="765">
        <f>ROUND(IF(G350=1,F350*10/23,IF(G350=3,F350-J350-K350,IF(G350=4,F350,IF(G350=5,F350*10/11,IF(G350=7,F350*10/11,0))))),0)</f>
        <v>0</v>
      </c>
      <c r="J350" s="765">
        <f>ROUND(IF(G350=1,F350/23,IF(G350=3,F350/12,IF(G350=5,F350-I350,IF(G350=8,F350,0)))),0)</f>
        <v>0</v>
      </c>
      <c r="K350" s="766">
        <f>ROUND(IF(G350=1,F350/23,IF(G350=3,F350/12,IF(G350=6,F350,IF(G350=7,F350-I350,0)))),0)</f>
        <v>0</v>
      </c>
      <c r="L350" s="767">
        <f>IF(G350=6,F350,0)</f>
        <v>0</v>
      </c>
      <c r="M350" s="421">
        <f>IF(F350="",0,MONTH(A350))</f>
        <v>10</v>
      </c>
      <c r="P350" s="768" t="inlineStr">
        <is>
          <t>昨年実績</t>
        </is>
      </c>
      <c r="Q350" s="769" t="str">
        <f>IF($F350="","",IFERROR(VLOOKUP($C350&amp;"|"&amp;$D350,科目表!$A$5:$B$200,2,FALSE),"※未登録"))</f>
        <v>事務用消耗品費</v>
      </c>
      <c r="R350" s="769">
        <f>IF($F350="","",$I350+$J350+$K350)</f>
        <v>0</v>
      </c>
      <c r="S350" s="769" t="str">
        <f>IF(OR($F350="",$P350="支払なし",$H350=0,$Q350=""),"",$Q350&amp;"|S|"&amp;(COUNTIF(S$4:S349,$Q350&amp;"|S|*")+1))</f>
        <v>事務用消耗品費|S|27</v>
      </c>
      <c r="T350" s="769" t="str">
        <f>IF(OR($F350="",$P350="支払なし",$R350=0,$Q350=""),"",$Q350&amp;"|L|"&amp;(COUNTIF(T$4:T349,$Q350&amp;"|L|*")+1))</f>
        <v/>
      </c>
      <c r="U350" s="769">
        <f>IF(OR($F350="",$A350=""),"",MOD(MONTH($A350)-4,12)+1)</f>
        <v>7</v>
      </c>
    </row>
    <row r="351" ht="16.5" customFormat="1" customHeight="1" s="43">
      <c r="A351" s="760" t="n">
        <v>46325</v>
      </c>
      <c r="B351" s="761" t="n"/>
      <c r="C351" s="762" t="inlineStr">
        <is>
          <t>事務費</t>
        </is>
      </c>
      <c r="D351" s="762" t="inlineStr">
        <is>
          <t>事務用消耗品費</t>
        </is>
      </c>
      <c r="E351" s="775" t="inlineStr">
        <is>
          <t>コピー用紙等購入代分担金　互助会（第２四半期）</t>
        </is>
      </c>
      <c r="F351" s="764" t="n">
        <v>147320</v>
      </c>
      <c r="G351" s="764" t="n">
        <v>3</v>
      </c>
      <c r="H351" s="765">
        <f>IF(G351=1,F351-I351-J351-K351,IF(G351=2,F351,0))</f>
        <v>0</v>
      </c>
      <c r="I351" s="765">
        <f>ROUND(IF(G351=1,F351*10/23,IF(G351=3,F351-J351-K351,IF(G351=4,F351,IF(G351=5,F351*10/11,IF(G351=7,F351*10/11,0))))),0)</f>
        <v>122766</v>
      </c>
      <c r="J351" s="765">
        <f>ROUND(IF(G351=1,F351/23,IF(G351=3,F351/12,IF(G351=5,F351-I351,IF(G351=8,F351,0)))),0)</f>
        <v>12277</v>
      </c>
      <c r="K351" s="766">
        <f>ROUND(IF(G351=1,F351/23,IF(G351=3,F351/12,IF(G351=6,F351,IF(G351=7,F351-I351,0)))),0)</f>
        <v>12277</v>
      </c>
      <c r="L351" s="767">
        <f>IF(G351=6,F351,0)</f>
        <v>0</v>
      </c>
      <c r="M351" s="572">
        <f>IF(F351="",0,MONTH(A351))</f>
        <v>10</v>
      </c>
      <c r="P351" s="768" t="inlineStr">
        <is>
          <t>確認済</t>
        </is>
      </c>
      <c r="Q351" s="769" t="str">
        <f>IF($F351="","",IFERROR(VLOOKUP($C351&amp;"|"&amp;$D351,科目表!$A$5:$B$200,2,FALSE),"※未登録"))</f>
        <v>事務用消耗品費</v>
      </c>
      <c r="R351" s="769">
        <f>IF($F351="","",$I351+$J351+$K351)</f>
        <v>147320</v>
      </c>
      <c r="S351" s="769" t="str">
        <f>IF(OR($F351="",$P351="支払なし",$H351=0,$Q351=""),"",$Q351&amp;"|S|"&amp;(COUNTIF(S$4:S350,$Q351&amp;"|S|*")+1))</f>
        <v/>
      </c>
      <c r="T351" s="769" t="str">
        <f>IF(OR($F351="",$P351="支払なし",$R351=0,$Q351=""),"",$Q351&amp;"|L|"&amp;(COUNTIF(T$4:T350,$Q351&amp;"|L|*")+1))</f>
        <v>事務用消耗品費|L|15</v>
      </c>
      <c r="U351" s="769">
        <f>IF(OR($F351="",$A351=""),"",MOD(MONTH($A351)-4,12)+1)</f>
        <v>7</v>
      </c>
    </row>
    <row r="352" ht="16.5" customFormat="1" customHeight="1" s="43">
      <c r="A352" s="760" t="n">
        <v>46325</v>
      </c>
      <c r="B352" s="761" t="n"/>
      <c r="C352" s="762" t="inlineStr">
        <is>
          <t>普及費</t>
        </is>
      </c>
      <c r="D352" s="762" t="n"/>
      <c r="E352" s="762" t="inlineStr">
        <is>
          <t>厚生だより等印刷代分担金　互助会（第２四半期）</t>
        </is>
      </c>
      <c r="F352" s="764" t="n">
        <v>165090</v>
      </c>
      <c r="G352" s="764" t="n">
        <v>3</v>
      </c>
      <c r="H352" s="765">
        <f>IF(G352=1,F352-I352-J352-K352,IF(G352=2,F352,0))</f>
        <v>0</v>
      </c>
      <c r="I352" s="765">
        <f>ROUND(IF(G352=1,F352*10/23,IF(G352=3,F352-J352-K352,IF(G352=4,F352,IF(G352=5,F352*10/11,IF(G352=7,F352*10/11,0))))),0)</f>
        <v>137574</v>
      </c>
      <c r="J352" s="765">
        <f>ROUND(IF(G352=1,F352/23,IF(G352=3,F352/12,IF(G352=5,F352-I352,IF(G352=8,F352,0)))),0)</f>
        <v>13758</v>
      </c>
      <c r="K352" s="766">
        <f>ROUND(IF(G352=1,F352/23,IF(G352=3,F352/12,IF(G352=6,F352,IF(G352=7,F352-I352,0)))),0)</f>
        <v>13758</v>
      </c>
      <c r="L352" s="767">
        <f>IF(G352=6,F352,0)</f>
        <v>0</v>
      </c>
      <c r="M352" s="572">
        <f>IF(F352="",0,MONTH(A352))</f>
        <v>10</v>
      </c>
      <c r="P352" s="768" t="inlineStr">
        <is>
          <t>確認済</t>
        </is>
      </c>
      <c r="Q352" s="769" t="str">
        <f>IF($F352="","",IFERROR(VLOOKUP($C352&amp;"|"&amp;$D352,科目表!$A$5:$B$200,2,FALSE),"※未登録"))</f>
        <v>普及費</v>
      </c>
      <c r="R352" s="769">
        <f>IF($F352="","",$I352+$J352+$K352)</f>
        <v>165090</v>
      </c>
      <c r="S352" s="769" t="str">
        <f>IF(OR($F352="",$P352="支払なし",$H352=0,$Q352=""),"",$Q352&amp;"|S|"&amp;(COUNTIF(S$4:S351,$Q352&amp;"|S|*")+1))</f>
        <v/>
      </c>
      <c r="T352" s="769" t="str">
        <f>IF(OR($F352="",$P352="支払なし",$R352=0,$Q352=""),"",$Q352&amp;"|L|"&amp;(COUNTIF(T$4:T351,$Q352&amp;"|L|*")+1))</f>
        <v>普及費|L|1</v>
      </c>
      <c r="U352" s="769">
        <f>IF(OR($F352="",$A352=""),"",MOD(MONTH($A352)-4,12)+1)</f>
        <v>7</v>
      </c>
    </row>
    <row r="353" ht="16.5" customFormat="1" customHeight="1" s="43">
      <c r="A353" s="760" t="n">
        <v>46325</v>
      </c>
      <c r="B353" s="761" t="n"/>
      <c r="C353" s="762" t="inlineStr">
        <is>
          <t>事務費</t>
        </is>
      </c>
      <c r="D353" s="762" t="inlineStr">
        <is>
          <t>通信運搬費</t>
        </is>
      </c>
      <c r="E353" s="762" t="inlineStr">
        <is>
          <t>ＦＡＸ電話代等分担金　互助会（第２四半期）</t>
        </is>
      </c>
      <c r="F353" s="764" t="n">
        <v>5125</v>
      </c>
      <c r="G353" s="764" t="n">
        <v>3</v>
      </c>
      <c r="H353" s="765">
        <f>IF(G353=1,F353-I353-J353-K353,IF(G353=2,F353,0))</f>
        <v>0</v>
      </c>
      <c r="I353" s="765">
        <f>ROUND(IF(G353=1,F353*10/23,IF(G353=3,F353-J353-K353,IF(G353=4,F353,IF(G353=5,F353*10/11,IF(G353=7,F353*10/11,0))))),0)</f>
        <v>4271</v>
      </c>
      <c r="J353" s="765">
        <f>ROUND(IF(G353=1,F353/23,IF(G353=3,F353/12,IF(G353=5,F353-I353,IF(G353=8,F353,0)))),0)</f>
        <v>427</v>
      </c>
      <c r="K353" s="766">
        <f>ROUND(IF(G353=1,F353/23,IF(G353=3,F353/12,IF(G353=6,F353,IF(G353=7,F353-I353,0)))),0)</f>
        <v>427</v>
      </c>
      <c r="L353" s="767">
        <f>IF(G353=6,F353,0)</f>
        <v>0</v>
      </c>
      <c r="M353" s="572">
        <f>IF(F353="",0,MONTH(A353))</f>
        <v>10</v>
      </c>
      <c r="P353" s="768" t="inlineStr">
        <is>
          <t>確認済</t>
        </is>
      </c>
      <c r="Q353" s="769" t="str">
        <f>IF($F353="","",IFERROR(VLOOKUP($C353&amp;"|"&amp;$D353,科目表!$A$5:$B$200,2,FALSE),"※未登録"))</f>
        <v>通信運搬費</v>
      </c>
      <c r="R353" s="769">
        <f>IF($F353="","",$I353+$J353+$K353)</f>
        <v>5125</v>
      </c>
      <c r="S353" s="769" t="str">
        <f>IF(OR($F353="",$P353="支払なし",$H353=0,$Q353=""),"",$Q353&amp;"|S|"&amp;(COUNTIF(S$4:S352,$Q353&amp;"|S|*")+1))</f>
        <v/>
      </c>
      <c r="T353" s="769" t="str">
        <f>IF(OR($F353="",$P353="支払なし",$R353=0,$Q353=""),"",$Q353&amp;"|L|"&amp;(COUNTIF(T$4:T352,$Q353&amp;"|L|*")+1))</f>
        <v>通信運搬費|L|13</v>
      </c>
      <c r="U353" s="769">
        <f>IF(OR($F353="",$A353=""),"",MOD(MONTH($A353)-4,12)+1)</f>
        <v>7</v>
      </c>
    </row>
    <row r="354" ht="16.5" customFormat="1" customHeight="1" s="43">
      <c r="A354" s="760" t="n">
        <v>46325</v>
      </c>
      <c r="B354" s="761" t="n"/>
      <c r="C354" s="762" t="inlineStr">
        <is>
          <t>事務費</t>
        </is>
      </c>
      <c r="D354" s="762" t="inlineStr">
        <is>
          <t>事務用消耗品費</t>
        </is>
      </c>
      <c r="E354" s="775" t="inlineStr">
        <is>
          <t>コピー用紙等購入代分担金　互助会（第２四半期）</t>
        </is>
      </c>
      <c r="F354" s="764" t="n">
        <v>84920</v>
      </c>
      <c r="G354" s="764" t="n">
        <v>2</v>
      </c>
      <c r="H354" s="765">
        <f>IF(G354=1,F354-I354-J354-K354,IF(G354=2,F354,0))</f>
        <v>84920</v>
      </c>
      <c r="I354" s="765">
        <f>ROUND(IF(G354=1,F354*10/23,IF(G354=3,F354-J354-K354,IF(G354=4,F354,IF(G354=5,F354*10/11,IF(G354=7,F354*10/11,0))))),0)</f>
        <v>0</v>
      </c>
      <c r="J354" s="765">
        <f>ROUND(IF(G354=1,F354/23,IF(G354=3,F354/12,IF(G354=5,F354-I354,IF(G354=8,F354,0)))),0)</f>
        <v>0</v>
      </c>
      <c r="K354" s="766">
        <f>ROUND(IF(G354=1,F354/23,IF(G354=3,F354/12,IF(G354=6,F354,IF(G354=7,F354-I354,0)))),0)</f>
        <v>0</v>
      </c>
      <c r="L354" s="767">
        <f>IF(G354=6,F354,0)</f>
        <v>0</v>
      </c>
      <c r="M354" s="572">
        <f>IF(F354="",0,MONTH(A354))</f>
        <v>10</v>
      </c>
      <c r="P354" s="768" t="inlineStr">
        <is>
          <t>確認済</t>
        </is>
      </c>
      <c r="Q354" s="769" t="str">
        <f>IF($F354="","",IFERROR(VLOOKUP($C354&amp;"|"&amp;$D354,科目表!$A$5:$B$200,2,FALSE),"※未登録"))</f>
        <v>事務用消耗品費</v>
      </c>
      <c r="R354" s="769">
        <f>IF($F354="","",$I354+$J354+$K354)</f>
        <v>0</v>
      </c>
      <c r="S354" s="769" t="str">
        <f>IF(OR($F354="",$P354="支払なし",$H354=0,$Q354=""),"",$Q354&amp;"|S|"&amp;(COUNTIF(S$4:S353,$Q354&amp;"|S|*")+1))</f>
        <v>事務用消耗品費|S|28</v>
      </c>
      <c r="T354" s="769" t="str">
        <f>IF(OR($F354="",$P354="支払なし",$R354=0,$Q354=""),"",$Q354&amp;"|L|"&amp;(COUNTIF(T$4:T353,$Q354&amp;"|L|*")+1))</f>
        <v/>
      </c>
      <c r="U354" s="769">
        <f>IF(OR($F354="",$A354=""),"",MOD(MONTH($A354)-4,12)+1)</f>
        <v>7</v>
      </c>
    </row>
    <row r="355" ht="16.5" customFormat="1" customHeight="1" s="43">
      <c r="A355" s="760" t="n">
        <v>46325</v>
      </c>
      <c r="B355" s="761" t="n"/>
      <c r="C355" s="762" t="inlineStr">
        <is>
          <t>普及費</t>
        </is>
      </c>
      <c r="D355" s="762" t="n"/>
      <c r="E355" s="762" t="inlineStr">
        <is>
          <t>厚生だより等印刷代分担金　互助会（第２四半期）</t>
        </is>
      </c>
      <c r="F355" s="764" t="n">
        <v>124434</v>
      </c>
      <c r="G355" s="764" t="n">
        <v>2</v>
      </c>
      <c r="H355" s="765">
        <f>IF(G355=1,F355-I355-J355-K355,IF(G355=2,F355,0))</f>
        <v>124434</v>
      </c>
      <c r="I355" s="765">
        <f>ROUND(IF(G355=1,F355*10/23,IF(G355=3,F355-J355-K355,IF(G355=4,F355,IF(G355=5,F355*10/11,IF(G355=7,F355*10/11,0))))),0)</f>
        <v>0</v>
      </c>
      <c r="J355" s="765">
        <f>ROUND(IF(G355=1,F355/23,IF(G355=3,F355/12,IF(G355=5,F355-I355,IF(G355=8,F355,0)))),0)</f>
        <v>0</v>
      </c>
      <c r="K355" s="766">
        <f>ROUND(IF(G355=1,F355/23,IF(G355=3,F355/12,IF(G355=6,F355,IF(G355=7,F355-I355,0)))),0)</f>
        <v>0</v>
      </c>
      <c r="L355" s="767">
        <f>IF(G355=6,F355,0)</f>
        <v>0</v>
      </c>
      <c r="M355" s="572">
        <f>IF(F355="",0,MONTH(A355))</f>
        <v>10</v>
      </c>
      <c r="P355" s="768" t="inlineStr">
        <is>
          <t>確認済</t>
        </is>
      </c>
      <c r="Q355" s="769" t="str">
        <f>IF($F355="","",IFERROR(VLOOKUP($C355&amp;"|"&amp;$D355,科目表!$A$5:$B$200,2,FALSE),"※未登録"))</f>
        <v>普及費</v>
      </c>
      <c r="R355" s="769">
        <f>IF($F355="","",$I355+$J355+$K355)</f>
        <v>0</v>
      </c>
      <c r="S355" s="769" t="str">
        <f>IF(OR($F355="",$P355="支払なし",$H355=0,$Q355=""),"",$Q355&amp;"|S|"&amp;(COUNTIF(S$4:S354,$Q355&amp;"|S|*")+1))</f>
        <v>普及費|S|2</v>
      </c>
      <c r="T355" s="769" t="str">
        <f>IF(OR($F355="",$P355="支払なし",$R355=0,$Q355=""),"",$Q355&amp;"|L|"&amp;(COUNTIF(T$4:T354,$Q355&amp;"|L|*")+1))</f>
        <v/>
      </c>
      <c r="U355" s="769">
        <f>IF(OR($F355="",$A355=""),"",MOD(MONTH($A355)-4,12)+1)</f>
        <v>7</v>
      </c>
    </row>
    <row r="356" ht="16.5" customFormat="1" customHeight="1" s="43">
      <c r="A356" s="760" t="n">
        <v>46325</v>
      </c>
      <c r="B356" s="761" t="n"/>
      <c r="C356" s="762" t="inlineStr">
        <is>
          <t>事務費</t>
        </is>
      </c>
      <c r="D356" s="762" t="inlineStr">
        <is>
          <t>通信運搬費</t>
        </is>
      </c>
      <c r="E356" s="762" t="inlineStr">
        <is>
          <t>ＦＡＸ電話代等分担金　互助会（第２四半期）</t>
        </is>
      </c>
      <c r="F356" s="764" t="n">
        <v>5125</v>
      </c>
      <c r="G356" s="764" t="n">
        <v>2</v>
      </c>
      <c r="H356" s="765">
        <f>IF(G356=1,F356-I356-J356-K356,IF(G356=2,F356,0))</f>
        <v>5125</v>
      </c>
      <c r="I356" s="765">
        <f>ROUND(IF(G356=1,F356*10/23,IF(G356=3,F356-J356-K356,IF(G356=4,F356,IF(G356=5,F356*10/11,IF(G356=7,F356*10/11,0))))),0)</f>
        <v>0</v>
      </c>
      <c r="J356" s="765">
        <f>ROUND(IF(G356=1,F356/23,IF(G356=3,F356/12,IF(G356=5,F356-I356,IF(G356=8,F356,0)))),0)</f>
        <v>0</v>
      </c>
      <c r="K356" s="766">
        <f>ROUND(IF(G356=1,F356/23,IF(G356=3,F356/12,IF(G356=6,F356,IF(G356=7,F356-I356,0)))),0)</f>
        <v>0</v>
      </c>
      <c r="L356" s="767">
        <f>IF(G356=6,F356,0)</f>
        <v>0</v>
      </c>
      <c r="M356" s="572">
        <f>IF(F356="",0,MONTH(A356))</f>
        <v>10</v>
      </c>
      <c r="P356" s="768" t="inlineStr">
        <is>
          <t>確認済</t>
        </is>
      </c>
      <c r="Q356" s="769" t="str">
        <f>IF($F356="","",IFERROR(VLOOKUP($C356&amp;"|"&amp;$D356,科目表!$A$5:$B$200,2,FALSE),"※未登録"))</f>
        <v>通信運搬費</v>
      </c>
      <c r="R356" s="769">
        <f>IF($F356="","",$I356+$J356+$K356)</f>
        <v>0</v>
      </c>
      <c r="S356" s="769" t="str">
        <f>IF(OR($F356="",$P356="支払なし",$H356=0,$Q356=""),"",$Q356&amp;"|S|"&amp;(COUNTIF(S$4:S355,$Q356&amp;"|S|*")+1))</f>
        <v>通信運搬費|S|37</v>
      </c>
      <c r="T356" s="769" t="str">
        <f>IF(OR($F356="",$P356="支払なし",$R356=0,$Q356=""),"",$Q356&amp;"|L|"&amp;(COUNTIF(T$4:T355,$Q356&amp;"|L|*")+1))</f>
        <v/>
      </c>
      <c r="U356" s="769">
        <f>IF(OR($F356="",$A356=""),"",MOD(MONTH($A356)-4,12)+1)</f>
        <v>7</v>
      </c>
    </row>
    <row r="357" ht="16.5" customFormat="1" customHeight="1" s="43">
      <c r="A357" s="760" t="n">
        <v>46325</v>
      </c>
      <c r="B357" s="761" t="n"/>
      <c r="C357" s="762" t="inlineStr">
        <is>
          <t>委託費</t>
        </is>
      </c>
      <c r="D357" s="762" t="n"/>
      <c r="E357" s="762" t="inlineStr">
        <is>
          <t>柔整等療養費支給申請書の入力（９月分）</t>
        </is>
      </c>
      <c r="F357" s="772" t="n">
        <v>125177</v>
      </c>
      <c r="G357" s="772" t="n">
        <v>2</v>
      </c>
      <c r="H357" s="765">
        <f>IF(G357=1,F357-I357-J357-K357,IF(G357=2,F357,0))</f>
        <v>125177</v>
      </c>
      <c r="I357" s="765">
        <f>ROUND(IF(G357=1,F357*10/23,IF(G357=3,F357-J357-K357,IF(G357=4,F357,IF(G357=5,F357*10/11,IF(G357=7,F357*10/11,0))))),0)</f>
        <v>0</v>
      </c>
      <c r="J357" s="765">
        <f>ROUND(IF(G357=1,F357/23,IF(G357=3,F357/12,IF(G357=5,F357-I357,IF(G357=8,F357,0)))),0)</f>
        <v>0</v>
      </c>
      <c r="K357" s="766">
        <f>ROUND(IF(G357=1,F357/23,IF(G357=3,F357/12,IF(G357=6,F357,IF(G357=7,F357-I357,0)))),0)</f>
        <v>0</v>
      </c>
      <c r="L357" s="767">
        <f>IF(G357=6,F357,0)</f>
        <v>0</v>
      </c>
      <c r="M357" s="572">
        <f>IF(F357="",0,MONTH(A357))</f>
        <v>10</v>
      </c>
      <c r="P357" s="768" t="inlineStr">
        <is>
          <t>確認済</t>
        </is>
      </c>
      <c r="Q357" s="769" t="str">
        <f>IF($F357="","",IFERROR(VLOOKUP($C357&amp;"|"&amp;$D357,科目表!$A$5:$B$200,2,FALSE),"※未登録"))</f>
        <v>委託費</v>
      </c>
      <c r="R357" s="769">
        <f>IF($F357="","",$I357+$J357+$K357)</f>
        <v>0</v>
      </c>
      <c r="S357" s="769" t="str">
        <f>IF(OR($F357="",$P357="支払なし",$H357=0,$Q357=""),"",$Q357&amp;"|S|"&amp;(COUNTIF(S$4:S356,$Q357&amp;"|S|*")+1))</f>
        <v>委託費|S|33</v>
      </c>
      <c r="T357" s="769" t="str">
        <f>IF(OR($F357="",$P357="支払なし",$R357=0,$Q357=""),"",$Q357&amp;"|L|"&amp;(COUNTIF(T$4:T356,$Q357&amp;"|L|*")+1))</f>
        <v/>
      </c>
      <c r="U357" s="769">
        <f>IF(OR($F357="",$A357=""),"",MOD(MONTH($A357)-4,12)+1)</f>
        <v>7</v>
      </c>
    </row>
    <row r="358" ht="16.5" customFormat="1" customHeight="1" s="422">
      <c r="A358" s="760" t="n">
        <v>43769</v>
      </c>
      <c r="B358" s="761" t="n"/>
      <c r="C358" s="762" t="inlineStr">
        <is>
          <t>賃借料</t>
        </is>
      </c>
      <c r="D358" s="762" t="n"/>
      <c r="E358" s="763" t="inlineStr">
        <is>
          <t>基幹システム（短期）用機器リース料９月分</t>
        </is>
      </c>
      <c r="F358" s="772" t="n">
        <v>193676</v>
      </c>
      <c r="G358" s="772" t="n">
        <v>2</v>
      </c>
      <c r="H358" s="765">
        <f>IF(G358=1,F358-I358-J358-K358,IF(G358=2,F358,0))</f>
        <v>193676</v>
      </c>
      <c r="I358" s="765">
        <f>ROUND(IF(G358=1,F358*10/23,IF(G358=3,F358-J358-K358,IF(G358=4,F358,IF(G358=5,F358*10/11,IF(G358=7,F358*10/11,0))))),0)</f>
        <v>0</v>
      </c>
      <c r="J358" s="765">
        <f>ROUND(IF(G358=1,F358/23,IF(G358=3,F358/12,IF(G358=5,F358-I358,IF(G358=8,F358,0)))),0)</f>
        <v>0</v>
      </c>
      <c r="K358" s="766">
        <f>ROUND(IF(G358=1,F358/23,IF(G358=3,F358/12,IF(G358=6,F358,IF(G358=7,F358-I358,0)))),0)</f>
        <v>0</v>
      </c>
      <c r="L358" s="767">
        <f>IF(G358=6,F358,0)</f>
        <v>0</v>
      </c>
      <c r="M358" s="421">
        <f>IF(F358="",0,MONTH(A358))</f>
        <v>10</v>
      </c>
      <c r="P358" s="768" t="inlineStr">
        <is>
          <t>昨年実績</t>
        </is>
      </c>
      <c r="Q358" s="769" t="str">
        <f>IF($F358="","",IFERROR(VLOOKUP($C358&amp;"|"&amp;$D358,科目表!$A$5:$B$200,2,FALSE),"※未登録"))</f>
        <v>賃借料</v>
      </c>
      <c r="R358" s="769">
        <f>IF($F358="","",$I358+$J358+$K358)</f>
        <v>0</v>
      </c>
      <c r="S358" s="769" t="str">
        <f>IF(OR($F358="",$P358="支払なし",$H358=0,$Q358=""),"",$Q358&amp;"|S|"&amp;(COUNTIF(S$4:S357,$Q358&amp;"|S|*")+1))</f>
        <v>賃借料|S|32</v>
      </c>
      <c r="T358" s="769" t="str">
        <f>IF(OR($F358="",$P358="支払なし",$R358=0,$Q358=""),"",$Q358&amp;"|L|"&amp;(COUNTIF(T$4:T357,$Q358&amp;"|L|*")+1))</f>
        <v/>
      </c>
      <c r="U358" s="769">
        <f>IF(OR($F358="",$A358=""),"",MOD(MONTH($A358)-4,12)+1)</f>
        <v>7</v>
      </c>
    </row>
    <row r="359" ht="16.5" customFormat="1" customHeight="1" s="43">
      <c r="A359" s="760" t="n">
        <v>46325</v>
      </c>
      <c r="B359" s="779" t="n"/>
      <c r="C359" s="762" t="inlineStr">
        <is>
          <t>賃借料</t>
        </is>
      </c>
      <c r="D359" s="762" t="n"/>
      <c r="E359" s="777" t="inlineStr">
        <is>
          <t>統合管理端末リース料（９月分）</t>
        </is>
      </c>
      <c r="F359" s="772" t="n">
        <v>12738</v>
      </c>
      <c r="G359" s="772" t="n">
        <v>2</v>
      </c>
      <c r="H359" s="765">
        <f>IF(G359=1,F359-I359-J359-K359,IF(G359=2,F359,0))</f>
        <v>12738</v>
      </c>
      <c r="I359" s="765">
        <f>ROUND(IF(G359=1,F359*10/23,IF(G359=3,F359-J359-K359,IF(G359=4,F359,IF(G359=5,F359*10/11,IF(G359=7,F359*10/11,0))))),0)</f>
        <v>0</v>
      </c>
      <c r="J359" s="765">
        <f>ROUND(IF(G359=1,F359/23,IF(G359=3,F359/12,IF(G359=5,F359-I359,IF(G359=8,F359,0)))),0)</f>
        <v>0</v>
      </c>
      <c r="K359" s="766">
        <f>ROUND(IF(G359=1,F359/23,IF(G359=3,F359/12,IF(G359=6,F359,IF(G359=7,F359-I359,0)))),0)</f>
        <v>0</v>
      </c>
      <c r="L359" s="767">
        <f>IF(G359=6,F359,0)</f>
        <v>0</v>
      </c>
      <c r="M359" s="572">
        <f>IF(F359="",0,MONTH(A359))</f>
        <v>10</v>
      </c>
      <c r="P359" s="768" t="inlineStr">
        <is>
          <t>確認済</t>
        </is>
      </c>
      <c r="Q359" s="769" t="str">
        <f>IF($F359="","",IFERROR(VLOOKUP($C359&amp;"|"&amp;$D359,科目表!$A$5:$B$200,2,FALSE),"※未登録"))</f>
        <v>賃借料</v>
      </c>
      <c r="R359" s="769">
        <f>IF($F359="","",$I359+$J359+$K359)</f>
        <v>0</v>
      </c>
      <c r="S359" s="769" t="str">
        <f>IF(OR($F359="",$P359="支払なし",$H359=0,$Q359=""),"",$Q359&amp;"|S|"&amp;(COUNTIF(S$4:S358,$Q359&amp;"|S|*")+1))</f>
        <v>賃借料|S|33</v>
      </c>
      <c r="T359" s="769" t="str">
        <f>IF(OR($F359="",$P359="支払なし",$R359=0,$Q359=""),"",$Q359&amp;"|L|"&amp;(COUNTIF(T$4:T358,$Q359&amp;"|L|*")+1))</f>
        <v/>
      </c>
      <c r="U359" s="769">
        <f>IF(OR($F359="",$A359=""),"",MOD(MONTH($A359)-4,12)+1)</f>
        <v>7</v>
      </c>
    </row>
    <row r="360" ht="16.5" customFormat="1" customHeight="1" s="422">
      <c r="A360" s="760" t="n">
        <v>44865</v>
      </c>
      <c r="B360" s="761" t="n"/>
      <c r="C360" s="762" t="inlineStr">
        <is>
          <t>委託費</t>
        </is>
      </c>
      <c r="D360" s="762" t="n"/>
      <c r="E360" s="784" t="inlineStr">
        <is>
          <t>統合管理端末保守料（９月分）</t>
        </is>
      </c>
      <c r="F360" s="764" t="n">
        <v>770</v>
      </c>
      <c r="G360" s="764" t="n">
        <v>2</v>
      </c>
      <c r="H360" s="765">
        <f>IF(G360=1,F360-I360-J360-K360,IF(G360=2,F360,0))</f>
        <v>770</v>
      </c>
      <c r="I360" s="765">
        <f>ROUND(IF(G360=1,F360*10/23,IF(G360=3,F360-J360-K360,IF(G360=4,F360,IF(G360=5,F360*10/11,IF(G360=7,F360*10/11,0))))),0)</f>
        <v>0</v>
      </c>
      <c r="J360" s="765">
        <f>ROUND(IF(G360=1,F360/23,IF(G360=3,F360/12,IF(G360=5,F360-I360,IF(G360=8,F360,0)))),0)</f>
        <v>0</v>
      </c>
      <c r="K360" s="766">
        <f>ROUND(IF(G360=1,F360/23,IF(G360=3,F360/12,IF(G360=6,F360,IF(G360=7,F360-I360,0)))),0)</f>
        <v>0</v>
      </c>
      <c r="L360" s="767">
        <f>IF(G360=6,F360,0)</f>
        <v>0</v>
      </c>
      <c r="M360" s="421">
        <f>IF(F360="",0,MONTH(A360))</f>
        <v>10</v>
      </c>
      <c r="P360" s="768" t="inlineStr">
        <is>
          <t>昨年実績</t>
        </is>
      </c>
      <c r="Q360" s="769" t="str">
        <f>IF($F360="","",IFERROR(VLOOKUP($C360&amp;"|"&amp;$D360,科目表!$A$5:$B$200,2,FALSE),"※未登録"))</f>
        <v>委託費</v>
      </c>
      <c r="R360" s="769">
        <f>IF($F360="","",$I360+$J360+$K360)</f>
        <v>0</v>
      </c>
      <c r="S360" s="769" t="str">
        <f>IF(OR($F360="",$P360="支払なし",$H360=0,$Q360=""),"",$Q360&amp;"|S|"&amp;(COUNTIF(S$4:S359,$Q360&amp;"|S|*")+1))</f>
        <v>委託費|S|34</v>
      </c>
      <c r="T360" s="769" t="str">
        <f>IF(OR($F360="",$P360="支払なし",$R360=0,$Q360=""),"",$Q360&amp;"|L|"&amp;(COUNTIF(T$4:T359,$Q360&amp;"|L|*")+1))</f>
        <v/>
      </c>
      <c r="U360" s="769">
        <f>IF(OR($F360="",$A360=""),"",MOD(MONTH($A360)-4,12)+1)</f>
        <v>7</v>
      </c>
    </row>
    <row r="361" ht="16.5" customFormat="1" customHeight="1" s="422">
      <c r="A361" s="760" t="n">
        <v>45103</v>
      </c>
      <c r="B361" s="761" t="n"/>
      <c r="C361" s="762" t="inlineStr">
        <is>
          <t>旅費</t>
        </is>
      </c>
      <c r="D361" s="762" t="n"/>
      <c r="E361" s="762" t="inlineStr">
        <is>
          <t>4/1付人事異動　連合会派遣終了に伴う赴任旅費　梅谷主事</t>
        </is>
      </c>
      <c r="F361" s="764" t="n">
        <v>189120</v>
      </c>
      <c r="G361" s="772" t="n">
        <v>3</v>
      </c>
      <c r="H361" s="765">
        <f>IF(G361=1,F361-I361-J361-K361,IF(G361=2,F361,0))</f>
        <v>0</v>
      </c>
      <c r="I361" s="765">
        <f>ROUND(IF(G361=1,F361*10/23,IF(G361=3,F361-J361-K361,IF(G361=4,F361,IF(G361=5,F361*10/11,IF(G361=7,F361*10/11,0))))),0)</f>
        <v>157600</v>
      </c>
      <c r="J361" s="765">
        <f>ROUND(IF(G361=1,F361/23,IF(G361=3,F361/12,IF(G361=5,F361-I361,IF(G361=8,F361,0)))),0)</f>
        <v>15760</v>
      </c>
      <c r="K361" s="766">
        <f>ROUND(IF(G361=1,F361/23,IF(G361=3,F361/12,IF(G361=6,F361,IF(G361=7,F361-I361,0)))),0)</f>
        <v>15760</v>
      </c>
      <c r="L361" s="767">
        <f>IF(G361=6,F361,0)</f>
        <v>0</v>
      </c>
      <c r="M361" s="421">
        <f>IF(F361="",0,MONTH(A361))</f>
        <v>6</v>
      </c>
      <c r="P361" s="768" t="inlineStr">
        <is>
          <t>昨年実績</t>
        </is>
      </c>
      <c r="Q361" s="769" t="str">
        <f>IF($F361="","",IFERROR(VLOOKUP($C361&amp;"|"&amp;$D361,科目表!$A$5:$B$200,2,FALSE),"※未登録"))</f>
        <v>旅費</v>
      </c>
      <c r="R361" s="769">
        <f>IF($F361="","",$I361+$J361+$K361)</f>
        <v>189120</v>
      </c>
      <c r="S361" s="769" t="str">
        <f>IF(OR($F361="",$P361="支払なし",$H361=0,$Q361=""),"",$Q361&amp;"|S|"&amp;(COUNTIF(S$4:S360,$Q361&amp;"|S|*")+1))</f>
        <v/>
      </c>
      <c r="T361" s="769" t="str">
        <f>IF(OR($F361="",$P361="支払なし",$R361=0,$Q361=""),"",$Q361&amp;"|L|"&amp;(COUNTIF(T$4:T360,$Q361&amp;"|L|*")+1))</f>
        <v>旅費|L|12</v>
      </c>
      <c r="U361" s="769">
        <f>IF(OR($F361="",$A361=""),"",MOD(MONTH($A361)-4,12)+1)</f>
        <v>3</v>
      </c>
    </row>
    <row r="362" ht="16.5" customFormat="1" customHeight="1" s="422">
      <c r="A362" s="760" t="n">
        <v>43790</v>
      </c>
      <c r="B362" s="761" t="n"/>
      <c r="C362" s="762" t="inlineStr">
        <is>
          <t>旅費</t>
        </is>
      </c>
      <c r="D362" s="762" t="n"/>
      <c r="E362" s="775" t="inlineStr">
        <is>
          <t>11/25・26（小連合）データヘルス研修会（第2回）　特別区　吉野技師</t>
        </is>
      </c>
      <c r="F362" s="764" t="n">
        <v>51400</v>
      </c>
      <c r="G362" s="764" t="n">
        <v>2</v>
      </c>
      <c r="H362" s="765">
        <f>IF(G362=1,F362-I362-J362-K362,IF(G362=2,F362,0))</f>
        <v>51400</v>
      </c>
      <c r="I362" s="765">
        <f>ROUND(IF(G362=1,F362*10/23,IF(G362=3,F362-J362-K362,IF(G362=4,F362,IF(G362=5,F362*10/11,IF(G362=7,F362*10/11,0))))),0)</f>
        <v>0</v>
      </c>
      <c r="J362" s="765">
        <f>ROUND(IF(G362=1,F362/23,IF(G362=3,F362/12,IF(G362=5,F362-I362,IF(G362=8,F362,0)))),0)</f>
        <v>0</v>
      </c>
      <c r="K362" s="766">
        <f>ROUND(IF(G362=1,F362/23,IF(G362=3,F362/12,IF(G362=6,F362,IF(G362=7,F362-I362,0)))),0)</f>
        <v>0</v>
      </c>
      <c r="L362" s="767">
        <f>IF(G362=6,F362,0)</f>
        <v>0</v>
      </c>
      <c r="M362" s="421">
        <f>IF(F362="",0,MONTH(A362))</f>
        <v>11</v>
      </c>
      <c r="P362" s="768" t="inlineStr">
        <is>
          <t>昨年実績</t>
        </is>
      </c>
      <c r="Q362" s="769" t="str">
        <f>IF($F362="","",IFERROR(VLOOKUP($C362&amp;"|"&amp;$D362,科目表!$A$5:$B$200,2,FALSE),"※未登録"))</f>
        <v>旅費</v>
      </c>
      <c r="R362" s="769">
        <f>IF($F362="","",$I362+$J362+$K362)</f>
        <v>0</v>
      </c>
      <c r="S362" s="769" t="str">
        <f>IF(OR($F362="",$P362="支払なし",$H362=0,$Q362=""),"",$Q362&amp;"|S|"&amp;(COUNTIF(S$4:S361,$Q362&amp;"|S|*")+1))</f>
        <v>旅費|S|12</v>
      </c>
      <c r="T362" s="769" t="str">
        <f>IF(OR($F362="",$P362="支払なし",$R362=0,$Q362=""),"",$Q362&amp;"|L|"&amp;(COUNTIF(T$4:T361,$Q362&amp;"|L|*")+1))</f>
        <v/>
      </c>
      <c r="U362" s="769">
        <f>IF(OR($F362="",$A362=""),"",MOD(MONTH($A362)-4,12)+1)</f>
        <v>8</v>
      </c>
    </row>
    <row r="363" ht="16.5" customFormat="1" customHeight="1" s="43">
      <c r="A363" s="760" t="n">
        <v>46328</v>
      </c>
      <c r="B363" s="761" t="n"/>
      <c r="C363" s="762" t="inlineStr">
        <is>
          <t>事務費</t>
        </is>
      </c>
      <c r="D363" s="762" t="inlineStr">
        <is>
          <t>通信運搬費</t>
        </is>
      </c>
      <c r="E363" s="800" t="inlineStr">
        <is>
          <t>フレッツ光ネクスト利用料等（８月、９月利用・１０月請求分）</t>
        </is>
      </c>
      <c r="F363" s="772" t="n">
        <v>13090</v>
      </c>
      <c r="G363" s="772" t="n">
        <v>2</v>
      </c>
      <c r="H363" s="765">
        <f>IF(G363=1,F363-I363-J363-K363,IF(G363=2,F363,0))</f>
        <v>13090</v>
      </c>
      <c r="I363" s="765">
        <f>ROUND(IF(G363=1,F363*10/23,IF(G363=3,F363-J363-K363,IF(G363=4,F363,IF(G363=5,F363*10/11,IF(G363=7,F363*10/11,0))))),0)</f>
        <v>0</v>
      </c>
      <c r="J363" s="765">
        <f>ROUND(IF(G363=1,F363/23,IF(G363=3,F363/12,IF(G363=5,F363-I363,IF(G363=8,F363,0)))),0)</f>
        <v>0</v>
      </c>
      <c r="K363" s="766">
        <f>ROUND(IF(G363=1,F363/23,IF(G363=3,F363/12,IF(G363=6,F363,IF(G363=7,F363-I363,0)))),0)</f>
        <v>0</v>
      </c>
      <c r="L363" s="767">
        <f>IF(G363=6,F363,0)</f>
        <v>0</v>
      </c>
      <c r="M363" s="572">
        <f>IF(F363="",0,MONTH(A363))</f>
        <v>11</v>
      </c>
      <c r="P363" s="768" t="inlineStr">
        <is>
          <t>確認済</t>
        </is>
      </c>
      <c r="Q363" s="769" t="str">
        <f>IF($F363="","",IFERROR(VLOOKUP($C363&amp;"|"&amp;$D363,科目表!$A$5:$B$200,2,FALSE),"※未登録"))</f>
        <v>通信運搬費</v>
      </c>
      <c r="R363" s="769">
        <f>IF($F363="","",$I363+$J363+$K363)</f>
        <v>0</v>
      </c>
      <c r="S363" s="769" t="str">
        <f>IF(OR($F363="",$P363="支払なし",$H363=0,$Q363=""),"",$Q363&amp;"|S|"&amp;(COUNTIF(S$4:S362,$Q363&amp;"|S|*")+1))</f>
        <v>通信運搬費|S|38</v>
      </c>
      <c r="T363" s="769" t="str">
        <f>IF(OR($F363="",$P363="支払なし",$R363=0,$Q363=""),"",$Q363&amp;"|L|"&amp;(COUNTIF(T$4:T362,$Q363&amp;"|L|*")+1))</f>
        <v/>
      </c>
      <c r="U363" s="769">
        <f>IF(OR($F363="",$A363=""),"",MOD(MONTH($A363)-4,12)+1)</f>
        <v>8</v>
      </c>
    </row>
    <row r="364" ht="16.5" customFormat="1" customHeight="1" s="542">
      <c r="A364" s="760" t="n"/>
      <c r="B364" s="761" t="n"/>
      <c r="C364" s="762" t="n"/>
      <c r="D364" s="762" t="n"/>
      <c r="E364" s="762" t="n"/>
      <c r="F364" s="772" t="n"/>
      <c r="G364" s="772" t="n"/>
      <c r="H364" s="765">
        <f>IF(G364=1,F364-I364-J364-K364,IF(G364=2,F364,0))</f>
        <v>0</v>
      </c>
      <c r="I364" s="765">
        <f>ROUND(IF(G364=1,F364*10/23,IF(G364=3,F364-J364-K364,IF(G364=4,F364,IF(G364=5,F364*10/11,IF(G364=7,F364*10/11,0))))),0)</f>
        <v>0</v>
      </c>
      <c r="J364" s="765">
        <f>ROUND(IF(G364=1,F364/23,IF(G364=3,F364/12,IF(G364=5,F364-I364,IF(G364=8,F364,0)))),0)</f>
        <v>0</v>
      </c>
      <c r="K364" s="766">
        <f>ROUND(IF(G364=1,F364/23,IF(G364=3,F364/12,IF(G364=6,F364,IF(G364=7,F364-I364,0)))),0)</f>
        <v>0</v>
      </c>
      <c r="L364" s="767">
        <f>IF(G364=6,F364,0)</f>
        <v>0</v>
      </c>
      <c r="M364" s="541">
        <f>IF(F364="",0,MONTH(A364))</f>
        <v>0</v>
      </c>
      <c r="P364" s="768" t="n"/>
      <c r="Q364" s="769" t="str">
        <f>IF($F364="","",IFERROR(VLOOKUP($C364&amp;"|"&amp;$D364,科目表!$A$5:$B$200,2,FALSE),"※未登録"))</f>
        <v/>
      </c>
      <c r="R364" s="769" t="str">
        <f>IF($F364="","",$I364+$J364+$K364)</f>
        <v/>
      </c>
      <c r="S364" s="769" t="str">
        <f>IF(OR($F364="",$P364="支払なし",$H364=0,$Q364=""),"",$Q364&amp;"|S|"&amp;(COUNTIF(S$4:S363,$Q364&amp;"|S|*")+1))</f>
        <v/>
      </c>
      <c r="T364" s="769" t="str">
        <f>IF(OR($F364="",$P364="支払なし",$R364=0,$Q364=""),"",$Q364&amp;"|L|"&amp;(COUNTIF(T$4:T363,$Q364&amp;"|L|*")+1))</f>
        <v/>
      </c>
      <c r="U364" s="769" t="str">
        <f>IF(OR($F364="",$A364=""),"",MOD(MONTH($A364)-4,12)+1)</f>
        <v/>
      </c>
    </row>
    <row r="365" ht="16.5" customFormat="1" customHeight="1" s="542">
      <c r="A365" s="760" t="n"/>
      <c r="B365" s="761" t="n"/>
      <c r="C365" s="762" t="n"/>
      <c r="D365" s="762" t="n"/>
      <c r="E365" s="775" t="n"/>
      <c r="F365" s="764" t="n"/>
      <c r="G365" s="764" t="n"/>
      <c r="H365" s="765">
        <f>IF(G365=1,F365-I365-J365-K365,IF(G365=2,F365,0))</f>
        <v>0</v>
      </c>
      <c r="I365" s="765">
        <f>ROUND(IF(G365=1,F365*10/23,IF(G365=3,F365-J365-K365,IF(G365=4,F365,IF(G365=5,F365*10/11,IF(G365=7,F365*10/11,0))))),0)</f>
        <v>0</v>
      </c>
      <c r="J365" s="765">
        <f>ROUND(IF(G365=1,F365/23,IF(G365=3,F365/12,IF(G365=5,F365-I365,IF(G365=8,F365,0)))),0)</f>
        <v>0</v>
      </c>
      <c r="K365" s="766">
        <f>ROUND(IF(G365=1,F365/23,IF(G365=3,F365/12,IF(G365=6,F365,IF(G365=7,F365-I365,0)))),0)</f>
        <v>0</v>
      </c>
      <c r="L365" s="767">
        <f>IF(G365=6,F365,0)</f>
        <v>0</v>
      </c>
      <c r="M365" s="541">
        <f>IF(F365="",0,MONTH(A365))</f>
        <v>0</v>
      </c>
      <c r="P365" s="768" t="n"/>
      <c r="Q365" s="769" t="str">
        <f>IF($F365="","",IFERROR(VLOOKUP($C365&amp;"|"&amp;$D365,科目表!$A$5:$B$200,2,FALSE),"※未登録"))</f>
        <v/>
      </c>
      <c r="R365" s="769" t="str">
        <f>IF($F365="","",$I365+$J365+$K365)</f>
        <v/>
      </c>
      <c r="S365" s="769" t="str">
        <f>IF(OR($F365="",$P365="支払なし",$H365=0,$Q365=""),"",$Q365&amp;"|S|"&amp;(COUNTIF(S$4:S364,$Q365&amp;"|S|*")+1))</f>
        <v/>
      </c>
      <c r="T365" s="769" t="str">
        <f>IF(OR($F365="",$P365="支払なし",$R365=0,$Q365=""),"",$Q365&amp;"|L|"&amp;(COUNTIF(T$4:T364,$Q365&amp;"|L|*")+1))</f>
        <v/>
      </c>
      <c r="U365" s="769" t="str">
        <f>IF(OR($F365="",$A365=""),"",MOD(MONTH($A365)-4,12)+1)</f>
        <v/>
      </c>
    </row>
    <row r="366" ht="16.5" customFormat="1" customHeight="1" s="542">
      <c r="A366" s="760" t="n"/>
      <c r="B366" s="761" t="n"/>
      <c r="C366" s="762" t="n"/>
      <c r="D366" s="762" t="n"/>
      <c r="E366" s="762" t="n"/>
      <c r="F366" s="772" t="n"/>
      <c r="G366" s="772" t="n"/>
      <c r="H366" s="765">
        <f>IF(G366=1,F366-I366-J366-K366,IF(G366=2,F366,0))</f>
        <v>0</v>
      </c>
      <c r="I366" s="765">
        <f>ROUND(IF(G366=1,F366*10/23,IF(G366=3,F366-J366-K366,IF(G366=4,F366,IF(G366=5,F366*10/11,IF(G366=7,F366*10/11,0))))),0)</f>
        <v>0</v>
      </c>
      <c r="J366" s="765">
        <f>ROUND(IF(G366=1,F366/23,IF(G366=3,F366/12,IF(G366=5,F366-I366,IF(G366=8,F366,0)))),0)</f>
        <v>0</v>
      </c>
      <c r="K366" s="766">
        <f>ROUND(IF(G366=1,F366/23,IF(G366=3,F366/12,IF(G366=6,F366,IF(G366=7,F366-I366,0)))),0)</f>
        <v>0</v>
      </c>
      <c r="L366" s="767">
        <f>IF(G366=6,F366,0)</f>
        <v>0</v>
      </c>
      <c r="M366" s="541">
        <f>IF(F366="",0,MONTH(A366))</f>
        <v>0</v>
      </c>
      <c r="P366" s="768" t="n"/>
      <c r="Q366" s="769" t="str">
        <f>IF($F366="","",IFERROR(VLOOKUP($C366&amp;"|"&amp;$D366,科目表!$A$5:$B$200,2,FALSE),"※未登録"))</f>
        <v/>
      </c>
      <c r="R366" s="769" t="str">
        <f>IF($F366="","",$I366+$J366+$K366)</f>
        <v/>
      </c>
      <c r="S366" s="769" t="str">
        <f>IF(OR($F366="",$P366="支払なし",$H366=0,$Q366=""),"",$Q366&amp;"|S|"&amp;(COUNTIF(S$4:S365,$Q366&amp;"|S|*")+1))</f>
        <v/>
      </c>
      <c r="T366" s="769" t="str">
        <f>IF(OR($F366="",$P366="支払なし",$R366=0,$Q366=""),"",$Q366&amp;"|L|"&amp;(COUNTIF(T$4:T365,$Q366&amp;"|L|*")+1))</f>
        <v/>
      </c>
      <c r="U366" s="769" t="str">
        <f>IF(OR($F366="",$A366=""),"",MOD(MONTH($A366)-4,12)+1)</f>
        <v/>
      </c>
    </row>
    <row r="367" ht="16.5" customFormat="1" customHeight="1" s="542">
      <c r="A367" s="760" t="n"/>
      <c r="B367" s="761" t="n"/>
      <c r="C367" s="762" t="n"/>
      <c r="D367" s="762" t="n"/>
      <c r="E367" s="775" t="n"/>
      <c r="F367" s="764" t="n"/>
      <c r="G367" s="764" t="n"/>
      <c r="H367" s="765">
        <f>IF(G367=1,F367-I367-J367-K367,IF(G367=2,F367,0))</f>
        <v>0</v>
      </c>
      <c r="I367" s="765">
        <f>ROUND(IF(G367=1,F367*10/23,IF(G367=3,F367-J367-K367,IF(G367=4,F367,IF(G367=5,F367*10/11,IF(G367=7,F367*10/11,0))))),0)</f>
        <v>0</v>
      </c>
      <c r="J367" s="765">
        <f>ROUND(IF(G367=1,F367/23,IF(G367=3,F367/12,IF(G367=5,F367-I367,IF(G367=8,F367,0)))),0)</f>
        <v>0</v>
      </c>
      <c r="K367" s="766">
        <f>ROUND(IF(G367=1,F367/23,IF(G367=3,F367/12,IF(G367=6,F367,IF(G367=7,F367-I367,0)))),0)</f>
        <v>0</v>
      </c>
      <c r="L367" s="767">
        <f>IF(G367=6,F367,0)</f>
        <v>0</v>
      </c>
      <c r="M367" s="541">
        <f>IF(F367="",0,MONTH(A367))</f>
        <v>0</v>
      </c>
      <c r="P367" s="768" t="n"/>
      <c r="Q367" s="769" t="str">
        <f>IF($F367="","",IFERROR(VLOOKUP($C367&amp;"|"&amp;$D367,科目表!$A$5:$B$200,2,FALSE),"※未登録"))</f>
        <v/>
      </c>
      <c r="R367" s="769" t="str">
        <f>IF($F367="","",$I367+$J367+$K367)</f>
        <v/>
      </c>
      <c r="S367" s="769" t="str">
        <f>IF(OR($F367="",$P367="支払なし",$H367=0,$Q367=""),"",$Q367&amp;"|S|"&amp;(COUNTIF(S$4:S366,$Q367&amp;"|S|*")+1))</f>
        <v/>
      </c>
      <c r="T367" s="769" t="str">
        <f>IF(OR($F367="",$P367="支払なし",$R367=0,$Q367=""),"",$Q367&amp;"|L|"&amp;(COUNTIF(T$4:T366,$Q367&amp;"|L|*")+1))</f>
        <v/>
      </c>
      <c r="U367" s="769" t="str">
        <f>IF(OR($F367="",$A367=""),"",MOD(MONTH($A367)-4,12)+1)</f>
        <v/>
      </c>
    </row>
    <row r="368" ht="16.5" customFormat="1" customHeight="1" s="418">
      <c r="A368" s="760" t="n">
        <v>46335</v>
      </c>
      <c r="B368" s="761" t="n"/>
      <c r="C368" s="762" t="inlineStr">
        <is>
          <t>事務費負担金払込金</t>
        </is>
      </c>
      <c r="D368" s="762" t="n"/>
      <c r="E368" s="775" t="inlineStr">
        <is>
          <t>１０月分事務費負担金払込金　連合会へ払込</t>
        </is>
      </c>
      <c r="F368" s="764" t="n">
        <v>5366000</v>
      </c>
      <c r="G368" s="764" t="n">
        <v>5</v>
      </c>
      <c r="H368" s="765">
        <f>IF(G368=1,F368-I368-J368-K368,IF(G368=2,F368,0))</f>
        <v>0</v>
      </c>
      <c r="I368" s="765">
        <f>ROUND(IF(G368=1,F368*10/23,IF(G368=3,F368-J368-K368,IF(G368=4,F368,IF(G368=5,F368*10/11,IF(G368=7,F368*10/11,0))))),0)</f>
        <v>4878182</v>
      </c>
      <c r="J368" s="765">
        <f>ROUND(IF(G368=1,F368/23,IF(G368=3,F368/12,IF(G368=5,F368-I368,IF(G368=8,F368,0)))),0)</f>
        <v>487818</v>
      </c>
      <c r="K368" s="766">
        <f>ROUND(IF(G368=1,F368/23,IF(G368=3,F368/12,IF(G368=6,F368,IF(G368=7,F368-I368,0)))),0)</f>
        <v>0</v>
      </c>
      <c r="L368" s="767">
        <f>IF(G368=6,F368,0)</f>
        <v>0</v>
      </c>
      <c r="M368" s="570">
        <f>IF(F368="",0,MONTH(A368))</f>
        <v>11</v>
      </c>
      <c r="P368" s="768" t="inlineStr">
        <is>
          <t>確認済</t>
        </is>
      </c>
      <c r="Q368" s="769" t="str">
        <f>IF($F368="","",IFERROR(VLOOKUP($C368&amp;"|"&amp;$D368,科目表!$A$5:$B$200,2,FALSE),"※未登録"))</f>
        <v>事務費負担金払込金</v>
      </c>
      <c r="R368" s="769">
        <f>IF($F368="","",$I368+$J368+$K368)</f>
        <v>5366000</v>
      </c>
      <c r="S368" s="769" t="str">
        <f>IF(OR($F368="",$P368="支払なし",$H368=0,$Q368=""),"",$Q368&amp;"|S|"&amp;(COUNTIF(S$4:S367,$Q368&amp;"|S|*")+1))</f>
        <v/>
      </c>
      <c r="T368" s="769" t="str">
        <f>IF(OR($F368="",$P368="支払なし",$R368=0,$Q368=""),"",$Q368&amp;"|L|"&amp;(COUNTIF(T$4:T367,$Q368&amp;"|L|*")+1))</f>
        <v>事務費負担金払込金|L|8</v>
      </c>
      <c r="U368" s="769">
        <f>IF(OR($F368="",$A368=""),"",MOD(MONTH($A368)-4,12)+1)</f>
        <v>8</v>
      </c>
    </row>
    <row r="369" ht="16.5" customFormat="1" customHeight="1" s="422">
      <c r="A369" s="760" t="n">
        <v>45583</v>
      </c>
      <c r="B369" s="761" t="n"/>
      <c r="C369" s="762" t="inlineStr">
        <is>
          <t>事務費</t>
        </is>
      </c>
      <c r="D369" s="762" t="inlineStr">
        <is>
          <t>通信運搬費</t>
        </is>
      </c>
      <c r="E369" s="763" t="inlineStr">
        <is>
          <t>切手</t>
        </is>
      </c>
      <c r="F369" s="772" t="n">
        <v>110100</v>
      </c>
      <c r="G369" s="772" t="n">
        <v>2</v>
      </c>
      <c r="H369" s="765">
        <f>IF(G369=1,F369-I369-J369-K369,IF(G369=2,F369,0))</f>
        <v>110100</v>
      </c>
      <c r="I369" s="765">
        <f>ROUND(IF(G369=1,F369*10/23,IF(G369=3,F369-J369-K369,IF(G369=4,F369,IF(G369=5,F369*10/11,IF(G369=7,F369*10/11,0))))),0)</f>
        <v>0</v>
      </c>
      <c r="J369" s="765">
        <f>ROUND(IF(G369=1,F369/23,IF(G369=3,F369/12,IF(G369=5,F369-I369,IF(G369=8,F369,0)))),0)</f>
        <v>0</v>
      </c>
      <c r="K369" s="766">
        <f>ROUND(IF(G369=1,F369/23,IF(G369=3,F369/12,IF(G369=6,F369,IF(G369=7,F369-I369,0)))),0)</f>
        <v>0</v>
      </c>
      <c r="L369" s="767">
        <f>IF(G369=6,F369,0)</f>
        <v>0</v>
      </c>
      <c r="M369" s="421">
        <f>IF(F369="",0,MONTH(A369))</f>
        <v>10</v>
      </c>
      <c r="P369" s="768" t="inlineStr">
        <is>
          <t>昨年実績</t>
        </is>
      </c>
      <c r="Q369" s="769" t="str">
        <f>IF($F369="","",IFERROR(VLOOKUP($C369&amp;"|"&amp;$D369,科目表!$A$5:$B$200,2,FALSE),"※未登録"))</f>
        <v>通信運搬費</v>
      </c>
      <c r="R369" s="769">
        <f>IF($F369="","",$I369+$J369+$K369)</f>
        <v>0</v>
      </c>
      <c r="S369" s="769" t="str">
        <f>IF(OR($F369="",$P369="支払なし",$H369=0,$Q369=""),"",$Q369&amp;"|S|"&amp;(COUNTIF(S$4:S368,$Q369&amp;"|S|*")+1))</f>
        <v>通信運搬費|S|39</v>
      </c>
      <c r="T369" s="769" t="str">
        <f>IF(OR($F369="",$P369="支払なし",$R369=0,$Q369=""),"",$Q369&amp;"|L|"&amp;(COUNTIF(T$4:T368,$Q369&amp;"|L|*")+1))</f>
        <v/>
      </c>
      <c r="U369" s="769">
        <f>IF(OR($F369="",$A369=""),"",MOD(MONTH($A369)-4,12)+1)</f>
        <v>7</v>
      </c>
    </row>
    <row r="370" ht="16.5" customFormat="1" customHeight="1" s="43">
      <c r="A370" s="760" t="n">
        <v>45958</v>
      </c>
      <c r="B370" s="761" t="n"/>
      <c r="C370" s="762" t="inlineStr">
        <is>
          <t>事務費</t>
        </is>
      </c>
      <c r="D370" s="762" t="inlineStr">
        <is>
          <t>通信運搬費</t>
        </is>
      </c>
      <c r="E370" s="763" t="inlineStr">
        <is>
          <t>切手</t>
        </is>
      </c>
      <c r="F370" s="772" t="n">
        <v>229700</v>
      </c>
      <c r="G370" s="772" t="n">
        <v>3</v>
      </c>
      <c r="H370" s="765">
        <f>IF(G370=1,F370-I370-J370-K370,IF(G370=2,F370,0))</f>
        <v>0</v>
      </c>
      <c r="I370" s="765">
        <f>ROUND(IF(G370=1,F370*10/23,IF(G370=3,F370-J370-K370,IF(G370=4,F370,IF(G370=5,F370*10/11,IF(G370=7,F370*10/11,0))))),0)</f>
        <v>191416</v>
      </c>
      <c r="J370" s="765">
        <f>ROUND(IF(G370=1,F370/23,IF(G370=3,F370/12,IF(G370=5,F370-I370,IF(G370=8,F370,0)))),0)</f>
        <v>19142</v>
      </c>
      <c r="K370" s="766">
        <f>ROUND(IF(G370=1,F370/23,IF(G370=3,F370/12,IF(G370=6,F370,IF(G370=7,F370-I370,0)))),0)</f>
        <v>19142</v>
      </c>
      <c r="L370" s="767">
        <f>IF(G370=6,F370,0)</f>
        <v>0</v>
      </c>
      <c r="M370" s="572">
        <f>IF(F370="",0,MONTH(A370))</f>
        <v>10</v>
      </c>
      <c r="P370" s="768" t="inlineStr">
        <is>
          <t>昨年実績</t>
        </is>
      </c>
      <c r="Q370" s="769" t="str">
        <f>IF($F370="","",IFERROR(VLOOKUP($C370&amp;"|"&amp;$D370,科目表!$A$5:$B$200,2,FALSE),"※未登録"))</f>
        <v>通信運搬費</v>
      </c>
      <c r="R370" s="769">
        <f>IF($F370="","",$I370+$J370+$K370)</f>
        <v>229700</v>
      </c>
      <c r="S370" s="769" t="str">
        <f>IF(OR($F370="",$P370="支払なし",$H370=0,$Q370=""),"",$Q370&amp;"|S|"&amp;(COUNTIF(S$4:S369,$Q370&amp;"|S|*")+1))</f>
        <v/>
      </c>
      <c r="T370" s="769" t="str">
        <f>IF(OR($F370="",$P370="支払なし",$R370=0,$Q370=""),"",$Q370&amp;"|L|"&amp;(COUNTIF(T$4:T369,$Q370&amp;"|L|*")+1))</f>
        <v>通信運搬費|L|14</v>
      </c>
      <c r="U370" s="769">
        <f>IF(OR($F370="",$A370=""),"",MOD(MONTH($A370)-4,12)+1)</f>
        <v>7</v>
      </c>
    </row>
    <row r="371" ht="16.5" customFormat="1" customHeight="1" s="422">
      <c r="A371" s="760" t="n">
        <v>44876</v>
      </c>
      <c r="B371" s="761" t="n"/>
      <c r="C371" s="762" t="inlineStr">
        <is>
          <t>事務費</t>
        </is>
      </c>
      <c r="D371" s="762" t="inlineStr">
        <is>
          <t>事務用消耗品費</t>
        </is>
      </c>
      <c r="E371" s="775" t="inlineStr">
        <is>
          <t>個人情報保護シール</t>
        </is>
      </c>
      <c r="F371" s="772" t="n">
        <v>154000</v>
      </c>
      <c r="G371" s="772" t="n">
        <v>2</v>
      </c>
      <c r="H371" s="765">
        <f>IF(G371=1,F371-I371-J371-K371,IF(G371=2,F371,0))</f>
        <v>154000</v>
      </c>
      <c r="I371" s="765">
        <f>ROUND(IF(G371=1,F371*10/23,IF(G371=3,F371-J371-K371,IF(G371=4,F371,IF(G371=5,F371*10/11,IF(G371=7,F371*10/11,0))))),0)</f>
        <v>0</v>
      </c>
      <c r="J371" s="765">
        <f>ROUND(IF(G371=1,F371/23,IF(G371=3,F371/12,IF(G371=5,F371-I371,IF(G371=8,F371,0)))),0)</f>
        <v>0</v>
      </c>
      <c r="K371" s="766">
        <f>ROUND(IF(G371=1,F371/23,IF(G371=3,F371/12,IF(G371=6,F371,IF(G371=7,F371-I371,0)))),0)</f>
        <v>0</v>
      </c>
      <c r="L371" s="767">
        <f>IF(G371=6,F371,0)</f>
        <v>0</v>
      </c>
      <c r="M371" s="421">
        <f>IF(F371="",0,MONTH(A371))</f>
        <v>11</v>
      </c>
      <c r="P371" s="768" t="inlineStr">
        <is>
          <t>昨年実績</t>
        </is>
      </c>
      <c r="Q371" s="769" t="str">
        <f>IF($F371="","",IFERROR(VLOOKUP($C371&amp;"|"&amp;$D371,科目表!$A$5:$B$200,2,FALSE),"※未登録"))</f>
        <v>事務用消耗品費</v>
      </c>
      <c r="R371" s="769">
        <f>IF($F371="","",$I371+$J371+$K371)</f>
        <v>0</v>
      </c>
      <c r="S371" s="769" t="str">
        <f>IF(OR($F371="",$P371="支払なし",$H371=0,$Q371=""),"",$Q371&amp;"|S|"&amp;(COUNTIF(S$4:S370,$Q371&amp;"|S|*")+1))</f>
        <v>事務用消耗品費|S|29</v>
      </c>
      <c r="T371" s="769" t="str">
        <f>IF(OR($F371="",$P371="支払なし",$R371=0,$Q371=""),"",$Q371&amp;"|L|"&amp;(COUNTIF(T$4:T370,$Q371&amp;"|L|*")+1))</f>
        <v/>
      </c>
      <c r="U371" s="769">
        <f>IF(OR($F371="",$A371=""),"",MOD(MONTH($A371)-4,12)+1)</f>
        <v>8</v>
      </c>
    </row>
    <row r="372" ht="16.5" customFormat="1" customHeight="1" s="422">
      <c r="A372" s="760" t="n">
        <v>43734</v>
      </c>
      <c r="B372" s="761" t="n"/>
      <c r="C372" s="762" t="inlineStr">
        <is>
          <t>旅費</t>
        </is>
      </c>
      <c r="D372" s="762" t="n"/>
      <c r="E372" s="762" t="inlineStr">
        <is>
          <t>10/1・2　年金・社会保障研究セミナー　特別区　名桑次長</t>
        </is>
      </c>
      <c r="F372" s="764" t="n">
        <v>50020</v>
      </c>
      <c r="G372" s="764" t="n">
        <v>3</v>
      </c>
      <c r="H372" s="765">
        <f>IF(G372=1,F372-I372-J372-K372,IF(G372=2,F372,0))</f>
        <v>0</v>
      </c>
      <c r="I372" s="765">
        <f>ROUND(IF(G372=1,F372*10/23,IF(G372=3,F372-J372-K372,IF(G372=4,F372,IF(G372=5,F372*10/11,IF(G372=7,F372*10/11,0))))),0)</f>
        <v>41684</v>
      </c>
      <c r="J372" s="765">
        <f>ROUND(IF(G372=1,F372/23,IF(G372=3,F372/12,IF(G372=5,F372-I372,IF(G372=8,F372,0)))),0)</f>
        <v>4168</v>
      </c>
      <c r="K372" s="766">
        <f>ROUND(IF(G372=1,F372/23,IF(G372=3,F372/12,IF(G372=6,F372,IF(G372=7,F372-I372,0)))),0)</f>
        <v>4168</v>
      </c>
      <c r="L372" s="767">
        <f>IF(G372=6,F372,0)</f>
        <v>0</v>
      </c>
      <c r="M372" s="421">
        <f>IF(F372="",0,MONTH(A372))</f>
        <v>9</v>
      </c>
      <c r="P372" s="768" t="inlineStr">
        <is>
          <t>昨年実績</t>
        </is>
      </c>
      <c r="Q372" s="769" t="str">
        <f>IF($F372="","",IFERROR(VLOOKUP($C372&amp;"|"&amp;$D372,科目表!$A$5:$B$200,2,FALSE),"※未登録"))</f>
        <v>旅費</v>
      </c>
      <c r="R372" s="769">
        <f>IF($F372="","",$I372+$J372+$K372)</f>
        <v>50020</v>
      </c>
      <c r="S372" s="769" t="str">
        <f>IF(OR($F372="",$P372="支払なし",$H372=0,$Q372=""),"",$Q372&amp;"|S|"&amp;(COUNTIF(S$4:S371,$Q372&amp;"|S|*")+1))</f>
        <v/>
      </c>
      <c r="T372" s="769" t="str">
        <f>IF(OR($F372="",$P372="支払なし",$R372=0,$Q372=""),"",$Q372&amp;"|L|"&amp;(COUNTIF(T$4:T371,$Q372&amp;"|L|*")+1))</f>
        <v>旅費|L|13</v>
      </c>
      <c r="U372" s="769">
        <f>IF(OR($F372="",$A372=""),"",MOD(MONTH($A372)-4,12)+1)</f>
        <v>6</v>
      </c>
    </row>
    <row r="373" ht="16.5" customFormat="1" customHeight="1" s="43">
      <c r="A373" s="760" t="n">
        <v>45971</v>
      </c>
      <c r="B373" s="761" t="n"/>
      <c r="C373" s="762" t="inlineStr">
        <is>
          <t>事務費</t>
        </is>
      </c>
      <c r="D373" s="762" t="inlineStr">
        <is>
          <t>送金料</t>
        </is>
      </c>
      <c r="E373" s="775" t="inlineStr">
        <is>
          <t>振込手数料（広銀）１０月分　長期分</t>
        </is>
      </c>
      <c r="F373" s="764" t="n">
        <v>15579</v>
      </c>
      <c r="G373" s="764" t="n">
        <v>3</v>
      </c>
      <c r="H373" s="765">
        <f>IF(G373=1,F373-I373-J373-K373,IF(G373=2,F373,0))</f>
        <v>0</v>
      </c>
      <c r="I373" s="765">
        <f>ROUND(IF(G373=1,F373*10/23,IF(G373=3,F373-J373-K373,IF(G373=4,F373,IF(G373=5,F373*10/11,IF(G373=7,F373*10/11,0))))),0)</f>
        <v>12983</v>
      </c>
      <c r="J373" s="765">
        <f>ROUND(IF(G373=1,F373/23,IF(G373=3,F373/12,IF(G373=5,F373-I373,IF(G373=8,F373,0)))),0)</f>
        <v>1298</v>
      </c>
      <c r="K373" s="766">
        <f>ROUND(IF(G373=1,F373/23,IF(G373=3,F373/12,IF(G373=6,F373,IF(G373=7,F373-I373,0)))),0)</f>
        <v>1298</v>
      </c>
      <c r="L373" s="767">
        <f>IF(G373=6,F373,0)</f>
        <v>0</v>
      </c>
      <c r="M373" s="572">
        <f>IF(F373="",0,MONTH(A373))</f>
        <v>11</v>
      </c>
      <c r="P373" s="768" t="inlineStr">
        <is>
          <t>昨年実績</t>
        </is>
      </c>
      <c r="Q373" s="769" t="str">
        <f>IF($F373="","",IFERROR(VLOOKUP($C373&amp;"|"&amp;$D373,科目表!$A$5:$B$200,2,FALSE),"※未登録"))</f>
        <v>送金料</v>
      </c>
      <c r="R373" s="769">
        <f>IF($F373="","",$I373+$J373+$K373)</f>
        <v>15579</v>
      </c>
      <c r="S373" s="769" t="str">
        <f>IF(OR($F373="",$P373="支払なし",$H373=0,$Q373=""),"",$Q373&amp;"|S|"&amp;(COUNTIF(S$4:S372,$Q373&amp;"|S|*")+1))</f>
        <v/>
      </c>
      <c r="T373" s="769" t="str">
        <f>IF(OR($F373="",$P373="支払なし",$R373=0,$Q373=""),"",$Q373&amp;"|L|"&amp;(COUNTIF(T$4:T372,$Q373&amp;"|L|*")+1))</f>
        <v>送金料|L|8</v>
      </c>
      <c r="U373" s="769">
        <f>IF(OR($F373="",$A373=""),"",MOD(MONTH($A373)-4,12)+1)</f>
        <v>8</v>
      </c>
    </row>
    <row r="374" ht="16.5" customFormat="1" customHeight="1" s="43">
      <c r="A374" s="760" t="n">
        <v>45971</v>
      </c>
      <c r="B374" s="761" t="n"/>
      <c r="C374" s="762" t="inlineStr">
        <is>
          <t>事務費</t>
        </is>
      </c>
      <c r="D374" s="762" t="inlineStr">
        <is>
          <t>送金料</t>
        </is>
      </c>
      <c r="E374" s="775" t="inlineStr">
        <is>
          <t>振込手数料（広銀）１０月分　短期分</t>
        </is>
      </c>
      <c r="F374" s="764" t="n">
        <v>144958</v>
      </c>
      <c r="G374" s="764" t="n">
        <v>2</v>
      </c>
      <c r="H374" s="765">
        <f>IF(G374=1,F374-I374-J374-K374,IF(G374=2,F374,0))</f>
        <v>144958</v>
      </c>
      <c r="I374" s="765">
        <f>ROUND(IF(G374=1,F374*10/23,IF(G374=3,F374-J374-K374,IF(G374=4,F374,IF(G374=5,F374*10/11,IF(G374=7,F374*10/11,0))))),0)</f>
        <v>0</v>
      </c>
      <c r="J374" s="765">
        <f>ROUND(IF(G374=1,F374/23,IF(G374=3,F374/12,IF(G374=5,F374-I374,IF(G374=8,F374,0)))),0)</f>
        <v>0</v>
      </c>
      <c r="K374" s="766">
        <f>ROUND(IF(G374=1,F374/23,IF(G374=3,F374/12,IF(G374=6,F374,IF(G374=7,F374-I374,0)))),0)</f>
        <v>0</v>
      </c>
      <c r="L374" s="767">
        <f>IF(G374=6,F374,0)</f>
        <v>0</v>
      </c>
      <c r="M374" s="572">
        <f>IF(F374="",0,MONTH(A374))</f>
        <v>11</v>
      </c>
      <c r="P374" s="768" t="inlineStr">
        <is>
          <t>昨年実績</t>
        </is>
      </c>
      <c r="Q374" s="769" t="str">
        <f>IF($F374="","",IFERROR(VLOOKUP($C374&amp;"|"&amp;$D374,科目表!$A$5:$B$200,2,FALSE),"※未登録"))</f>
        <v>送金料</v>
      </c>
      <c r="R374" s="769">
        <f>IF($F374="","",$I374+$J374+$K374)</f>
        <v>0</v>
      </c>
      <c r="S374" s="769" t="str">
        <f>IF(OR($F374="",$P374="支払なし",$H374=0,$Q374=""),"",$Q374&amp;"|S|"&amp;(COUNTIF(S$4:S373,$Q374&amp;"|S|*")+1))</f>
        <v>送金料|S|13</v>
      </c>
      <c r="T374" s="769" t="str">
        <f>IF(OR($F374="",$P374="支払なし",$R374=0,$Q374=""),"",$Q374&amp;"|L|"&amp;(COUNTIF(T$4:T373,$Q374&amp;"|L|*")+1))</f>
        <v/>
      </c>
      <c r="U374" s="769">
        <f>IF(OR($F374="",$A374=""),"",MOD(MONTH($A374)-4,12)+1)</f>
        <v>8</v>
      </c>
    </row>
    <row r="375" ht="16.5" customFormat="1" customHeight="1" s="43">
      <c r="A375" s="760" t="n">
        <v>45975</v>
      </c>
      <c r="B375" s="761" t="n"/>
      <c r="C375" s="762" t="inlineStr">
        <is>
          <t>事務費</t>
        </is>
      </c>
      <c r="D375" s="762" t="inlineStr">
        <is>
          <t>事務用消耗品費</t>
        </is>
      </c>
      <c r="E375" s="775" t="inlineStr">
        <is>
          <t>コピー用紙等購入代分担金　互助会（第２四半期）[短期]</t>
        </is>
      </c>
      <c r="F375" s="772" t="n">
        <v>117393</v>
      </c>
      <c r="G375" s="772" t="n">
        <v>2</v>
      </c>
      <c r="H375" s="765">
        <f>IF(G375=1,F375-I375-J375-K375,IF(G375=2,F375,0))</f>
        <v>117393</v>
      </c>
      <c r="I375" s="765">
        <f>ROUND(IF(G375=1,F375*10/23,IF(G375=3,F375-J375-K375,IF(G375=4,F375,IF(G375=5,F375*10/11,IF(G375=7,F375*10/11,0))))),0)</f>
        <v>0</v>
      </c>
      <c r="J375" s="765">
        <f>ROUND(IF(G375=1,F375/23,IF(G375=3,F375/12,IF(G375=5,F375-I375,IF(G375=8,F375,0)))),0)</f>
        <v>0</v>
      </c>
      <c r="K375" s="766">
        <f>ROUND(IF(G375=1,F375/23,IF(G375=3,F375/12,IF(G375=6,F375,IF(G375=7,F375-I375,0)))),0)</f>
        <v>0</v>
      </c>
      <c r="L375" s="767">
        <f>IF(G375=6,F375,0)</f>
        <v>0</v>
      </c>
      <c r="M375" s="572">
        <f>IF(F375="",0,MONTH(A375))</f>
        <v>11</v>
      </c>
      <c r="P375" s="768" t="inlineStr">
        <is>
          <t>昨年実績</t>
        </is>
      </c>
      <c r="Q375" s="769" t="str">
        <f>IF($F375="","",IFERROR(VLOOKUP($C375&amp;"|"&amp;$D375,科目表!$A$5:$B$200,2,FALSE),"※未登録"))</f>
        <v>事務用消耗品費</v>
      </c>
      <c r="R375" s="769">
        <f>IF($F375="","",$I375+$J375+$K375)</f>
        <v>0</v>
      </c>
      <c r="S375" s="769" t="str">
        <f>IF(OR($F375="",$P375="支払なし",$H375=0,$Q375=""),"",$Q375&amp;"|S|"&amp;(COUNTIF(S$4:S374,$Q375&amp;"|S|*")+1))</f>
        <v>事務用消耗品費|S|30</v>
      </c>
      <c r="T375" s="769" t="str">
        <f>IF(OR($F375="",$P375="支払なし",$R375=0,$Q375=""),"",$Q375&amp;"|L|"&amp;(COUNTIF(T$4:T374,$Q375&amp;"|L|*")+1))</f>
        <v/>
      </c>
      <c r="U375" s="769">
        <f>IF(OR($F375="",$A375=""),"",MOD(MONTH($A375)-4,12)+1)</f>
        <v>8</v>
      </c>
    </row>
    <row r="376" ht="16.5" customFormat="1" customHeight="1" s="43">
      <c r="A376" s="760" t="n">
        <v>45975</v>
      </c>
      <c r="B376" s="761" t="n"/>
      <c r="C376" s="762" t="inlineStr">
        <is>
          <t>普及費</t>
        </is>
      </c>
      <c r="D376" s="762" t="n"/>
      <c r="E376" s="762" t="inlineStr">
        <is>
          <t>厚生だより等印刷代分担金　互助会（第２四半期）[短期]</t>
        </is>
      </c>
      <c r="F376" s="772" t="n">
        <v>277667</v>
      </c>
      <c r="G376" s="772" t="n">
        <v>2</v>
      </c>
      <c r="H376" s="765">
        <f>IF(G376=1,F376-I376-J376-K376,IF(G376=2,F376,0))</f>
        <v>277667</v>
      </c>
      <c r="I376" s="765">
        <f>ROUND(IF(G376=1,F376*10/23,IF(G376=3,F376-J376-K376,IF(G376=4,F376,IF(G376=5,F376*10/11,IF(G376=7,F376*10/11,0))))),0)</f>
        <v>0</v>
      </c>
      <c r="J376" s="765">
        <f>ROUND(IF(G376=1,F376/23,IF(G376=3,F376/12,IF(G376=5,F376-I376,IF(G376=8,F376,0)))),0)</f>
        <v>0</v>
      </c>
      <c r="K376" s="766">
        <f>ROUND(IF(G376=1,F376/23,IF(G376=3,F376/12,IF(G376=6,F376,IF(G376=7,F376-I376,0)))),0)</f>
        <v>0</v>
      </c>
      <c r="L376" s="767">
        <f>IF(G376=6,F376,0)</f>
        <v>0</v>
      </c>
      <c r="M376" s="572">
        <f>IF(F376="",0,MONTH(A376))</f>
        <v>11</v>
      </c>
      <c r="P376" s="768" t="inlineStr">
        <is>
          <t>昨年実績</t>
        </is>
      </c>
      <c r="Q376" s="769" t="str">
        <f>IF($F376="","",IFERROR(VLOOKUP($C376&amp;"|"&amp;$D376,科目表!$A$5:$B$200,2,FALSE),"※未登録"))</f>
        <v>普及費</v>
      </c>
      <c r="R376" s="769">
        <f>IF($F376="","",$I376+$J376+$K376)</f>
        <v>0</v>
      </c>
      <c r="S376" s="769" t="str">
        <f>IF(OR($F376="",$P376="支払なし",$H376=0,$Q376=""),"",$Q376&amp;"|S|"&amp;(COUNTIF(S$4:S375,$Q376&amp;"|S|*")+1))</f>
        <v>普及費|S|3</v>
      </c>
      <c r="T376" s="769" t="str">
        <f>IF(OR($F376="",$P376="支払なし",$R376=0,$Q376=""),"",$Q376&amp;"|L|"&amp;(COUNTIF(T$4:T375,$Q376&amp;"|L|*")+1))</f>
        <v/>
      </c>
      <c r="U376" s="769">
        <f>IF(OR($F376="",$A376=""),"",MOD(MONTH($A376)-4,12)+1)</f>
        <v>8</v>
      </c>
    </row>
    <row r="377" ht="16.5" customFormat="1" customHeight="1" s="43">
      <c r="A377" s="760" t="n">
        <v>45975</v>
      </c>
      <c r="B377" s="761" t="n"/>
      <c r="C377" s="762" t="inlineStr">
        <is>
          <t>事務費</t>
        </is>
      </c>
      <c r="D377" s="762" t="inlineStr">
        <is>
          <t>通信運搬費</t>
        </is>
      </c>
      <c r="E377" s="762" t="inlineStr">
        <is>
          <t>ＦＡＸ電話代等分担金　互助会（第２四半期）[短期]</t>
        </is>
      </c>
      <c r="F377" s="772" t="n">
        <v>5626</v>
      </c>
      <c r="G377" s="772" t="n">
        <v>2</v>
      </c>
      <c r="H377" s="765">
        <f>IF(G377=1,F377-I377-J377-K377,IF(G377=2,F377,0))</f>
        <v>5626</v>
      </c>
      <c r="I377" s="765">
        <f>ROUND(IF(G377=1,F377*10/23,IF(G377=3,F377-J377-K377,IF(G377=4,F377,IF(G377=5,F377*10/11,IF(G377=7,F377*10/11,0))))),0)</f>
        <v>0</v>
      </c>
      <c r="J377" s="765">
        <f>ROUND(IF(G377=1,F377/23,IF(G377=3,F377/12,IF(G377=5,F377-I377,IF(G377=8,F377,0)))),0)</f>
        <v>0</v>
      </c>
      <c r="K377" s="766">
        <f>ROUND(IF(G377=1,F377/23,IF(G377=3,F377/12,IF(G377=6,F377,IF(G377=7,F377-I377,0)))),0)</f>
        <v>0</v>
      </c>
      <c r="L377" s="767">
        <f>IF(G377=6,F377,0)</f>
        <v>0</v>
      </c>
      <c r="M377" s="572">
        <f>IF(F377="",0,MONTH(A377))</f>
        <v>11</v>
      </c>
      <c r="P377" s="768" t="inlineStr">
        <is>
          <t>昨年実績</t>
        </is>
      </c>
      <c r="Q377" s="769" t="str">
        <f>IF($F377="","",IFERROR(VLOOKUP($C377&amp;"|"&amp;$D377,科目表!$A$5:$B$200,2,FALSE),"※未登録"))</f>
        <v>通信運搬費</v>
      </c>
      <c r="R377" s="769">
        <f>IF($F377="","",$I377+$J377+$K377)</f>
        <v>0</v>
      </c>
      <c r="S377" s="769" t="str">
        <f>IF(OR($F377="",$P377="支払なし",$H377=0,$Q377=""),"",$Q377&amp;"|S|"&amp;(COUNTIF(S$4:S376,$Q377&amp;"|S|*")+1))</f>
        <v>通信運搬費|S|40</v>
      </c>
      <c r="T377" s="769" t="str">
        <f>IF(OR($F377="",$P377="支払なし",$R377=0,$Q377=""),"",$Q377&amp;"|L|"&amp;(COUNTIF(T$4:T376,$Q377&amp;"|L|*")+1))</f>
        <v/>
      </c>
      <c r="U377" s="769">
        <f>IF(OR($F377="",$A377=""),"",MOD(MONTH($A377)-4,12)+1)</f>
        <v>8</v>
      </c>
    </row>
    <row r="378" ht="16.5" customFormat="1" customHeight="1" s="43">
      <c r="A378" s="760" t="n">
        <v>45975</v>
      </c>
      <c r="B378" s="761" t="n"/>
      <c r="C378" s="762" t="inlineStr">
        <is>
          <t>事務費</t>
        </is>
      </c>
      <c r="D378" s="762" t="inlineStr">
        <is>
          <t>事務用消耗品費</t>
        </is>
      </c>
      <c r="E378" s="775" t="inlineStr">
        <is>
          <t>コピー用紙等購入代分担金　互助会（第２四半期）[長期]</t>
        </is>
      </c>
      <c r="F378" s="772" t="n">
        <v>184593</v>
      </c>
      <c r="G378" s="772" t="n">
        <v>3</v>
      </c>
      <c r="H378" s="765">
        <f>IF(G378=1,F378-I378-J378-K378,IF(G378=2,F378,0))</f>
        <v>0</v>
      </c>
      <c r="I378" s="765">
        <f>ROUND(IF(G378=1,F378*10/23,IF(G378=3,F378-J378-K378,IF(G378=4,F378,IF(G378=5,F378*10/11,IF(G378=7,F378*10/11,0))))),0)</f>
        <v>153827</v>
      </c>
      <c r="J378" s="765">
        <f>ROUND(IF(G378=1,F378/23,IF(G378=3,F378/12,IF(G378=5,F378-I378,IF(G378=8,F378,0)))),0)</f>
        <v>15383</v>
      </c>
      <c r="K378" s="766">
        <f>ROUND(IF(G378=1,F378/23,IF(G378=3,F378/12,IF(G378=6,F378,IF(G378=7,F378-I378,0)))),0)</f>
        <v>15383</v>
      </c>
      <c r="L378" s="767">
        <f>IF(G378=6,F378,0)</f>
        <v>0</v>
      </c>
      <c r="M378" s="572">
        <f>IF(F378="",0,MONTH(A378))</f>
        <v>11</v>
      </c>
      <c r="P378" s="768" t="inlineStr">
        <is>
          <t>昨年実績</t>
        </is>
      </c>
      <c r="Q378" s="769" t="str">
        <f>IF($F378="","",IFERROR(VLOOKUP($C378&amp;"|"&amp;$D378,科目表!$A$5:$B$200,2,FALSE),"※未登録"))</f>
        <v>事務用消耗品費</v>
      </c>
      <c r="R378" s="769">
        <f>IF($F378="","",$I378+$J378+$K378)</f>
        <v>184593</v>
      </c>
      <c r="S378" s="769" t="str">
        <f>IF(OR($F378="",$P378="支払なし",$H378=0,$Q378=""),"",$Q378&amp;"|S|"&amp;(COUNTIF(S$4:S377,$Q378&amp;"|S|*")+1))</f>
        <v/>
      </c>
      <c r="T378" s="769" t="str">
        <f>IF(OR($F378="",$P378="支払なし",$R378=0,$Q378=""),"",$Q378&amp;"|L|"&amp;(COUNTIF(T$4:T377,$Q378&amp;"|L|*")+1))</f>
        <v>事務用消耗品費|L|16</v>
      </c>
      <c r="U378" s="769">
        <f>IF(OR($F378="",$A378=""),"",MOD(MONTH($A378)-4,12)+1)</f>
        <v>8</v>
      </c>
    </row>
    <row r="379" ht="16.5" customFormat="1" customHeight="1" s="43">
      <c r="A379" s="760" t="n">
        <v>45975</v>
      </c>
      <c r="B379" s="761" t="n"/>
      <c r="C379" s="762" t="inlineStr">
        <is>
          <t>普及費</t>
        </is>
      </c>
      <c r="D379" s="762" t="n"/>
      <c r="E379" s="762" t="inlineStr">
        <is>
          <t>厚生だより等印刷代分担金　互助会（第２四半期）[長期]</t>
        </is>
      </c>
      <c r="F379" s="772" t="n">
        <v>151989</v>
      </c>
      <c r="G379" s="772" t="n">
        <v>3</v>
      </c>
      <c r="H379" s="765">
        <f>IF(G379=1,F379-I379-J379-K379,IF(G379=2,F379,0))</f>
        <v>0</v>
      </c>
      <c r="I379" s="765">
        <f>ROUND(IF(G379=1,F379*10/23,IF(G379=3,F379-J379-K379,IF(G379=4,F379,IF(G379=5,F379*10/11,IF(G379=7,F379*10/11,0))))),0)</f>
        <v>126657</v>
      </c>
      <c r="J379" s="765">
        <f>ROUND(IF(G379=1,F379/23,IF(G379=3,F379/12,IF(G379=5,F379-I379,IF(G379=8,F379,0)))),0)</f>
        <v>12666</v>
      </c>
      <c r="K379" s="766">
        <f>ROUND(IF(G379=1,F379/23,IF(G379=3,F379/12,IF(G379=6,F379,IF(G379=7,F379-I379,0)))),0)</f>
        <v>12666</v>
      </c>
      <c r="L379" s="767">
        <f>IF(G379=6,F379,0)</f>
        <v>0</v>
      </c>
      <c r="M379" s="572">
        <f>IF(F379="",0,MONTH(A379))</f>
        <v>11</v>
      </c>
      <c r="P379" s="768" t="inlineStr">
        <is>
          <t>昨年実績</t>
        </is>
      </c>
      <c r="Q379" s="769" t="str">
        <f>IF($F379="","",IFERROR(VLOOKUP($C379&amp;"|"&amp;$D379,科目表!$A$5:$B$200,2,FALSE),"※未登録"))</f>
        <v>普及費</v>
      </c>
      <c r="R379" s="769">
        <f>IF($F379="","",$I379+$J379+$K379)</f>
        <v>151989</v>
      </c>
      <c r="S379" s="769" t="str">
        <f>IF(OR($F379="",$P379="支払なし",$H379=0,$Q379=""),"",$Q379&amp;"|S|"&amp;(COUNTIF(S$4:S378,$Q379&amp;"|S|*")+1))</f>
        <v/>
      </c>
      <c r="T379" s="769" t="str">
        <f>IF(OR($F379="",$P379="支払なし",$R379=0,$Q379=""),"",$Q379&amp;"|L|"&amp;(COUNTIF(T$4:T378,$Q379&amp;"|L|*")+1))</f>
        <v>普及費|L|2</v>
      </c>
      <c r="U379" s="769">
        <f>IF(OR($F379="",$A379=""),"",MOD(MONTH($A379)-4,12)+1)</f>
        <v>8</v>
      </c>
    </row>
    <row r="380" ht="16.5" customFormat="1" customHeight="1" s="43">
      <c r="A380" s="760" t="n">
        <v>45975</v>
      </c>
      <c r="B380" s="761" t="n"/>
      <c r="C380" s="762" t="inlineStr">
        <is>
          <t>事務費</t>
        </is>
      </c>
      <c r="D380" s="762" t="inlineStr">
        <is>
          <t>通信運搬費</t>
        </is>
      </c>
      <c r="E380" s="762" t="inlineStr">
        <is>
          <t>ＦＡＸ電話代等分担金　互助会（第２四半期）[長期]</t>
        </is>
      </c>
      <c r="F380" s="772" t="n">
        <v>5626</v>
      </c>
      <c r="G380" s="772" t="n">
        <v>3</v>
      </c>
      <c r="H380" s="765">
        <f>IF(G380=1,F380-I380-J380-K380,IF(G380=2,F380,0))</f>
        <v>0</v>
      </c>
      <c r="I380" s="765">
        <f>ROUND(IF(G380=1,F380*10/23,IF(G380=3,F380-J380-K380,IF(G380=4,F380,IF(G380=5,F380*10/11,IF(G380=7,F380*10/11,0))))),0)</f>
        <v>4688</v>
      </c>
      <c r="J380" s="765">
        <f>ROUND(IF(G380=1,F380/23,IF(G380=3,F380/12,IF(G380=5,F380-I380,IF(G380=8,F380,0)))),0)</f>
        <v>469</v>
      </c>
      <c r="K380" s="766">
        <f>ROUND(IF(G380=1,F380/23,IF(G380=3,F380/12,IF(G380=6,F380,IF(G380=7,F380-I380,0)))),0)</f>
        <v>469</v>
      </c>
      <c r="L380" s="767">
        <f>IF(G380=6,F380,0)</f>
        <v>0</v>
      </c>
      <c r="M380" s="572">
        <f>IF(F380="",0,MONTH(A380))</f>
        <v>11</v>
      </c>
      <c r="P380" s="768" t="inlineStr">
        <is>
          <t>昨年実績</t>
        </is>
      </c>
      <c r="Q380" s="769" t="str">
        <f>IF($F380="","",IFERROR(VLOOKUP($C380&amp;"|"&amp;$D380,科目表!$A$5:$B$200,2,FALSE),"※未登録"))</f>
        <v>通信運搬費</v>
      </c>
      <c r="R380" s="769">
        <f>IF($F380="","",$I380+$J380+$K380)</f>
        <v>5626</v>
      </c>
      <c r="S380" s="769" t="str">
        <f>IF(OR($F380="",$P380="支払なし",$H380=0,$Q380=""),"",$Q380&amp;"|S|"&amp;(COUNTIF(S$4:S379,$Q380&amp;"|S|*")+1))</f>
        <v/>
      </c>
      <c r="T380" s="769" t="str">
        <f>IF(OR($F380="",$P380="支払なし",$R380=0,$Q380=""),"",$Q380&amp;"|L|"&amp;(COUNTIF(T$4:T379,$Q380&amp;"|L|*")+1))</f>
        <v>通信運搬費|L|15</v>
      </c>
      <c r="U380" s="769">
        <f>IF(OR($F380="",$A380=""),"",MOD(MONTH($A380)-4,12)+1)</f>
        <v>8</v>
      </c>
    </row>
    <row r="381" ht="16.5" customFormat="1" customHeight="1" s="422">
      <c r="A381" s="760" t="n">
        <v>44515</v>
      </c>
      <c r="B381" s="761" t="n"/>
      <c r="C381" s="762" t="inlineStr">
        <is>
          <t>厚生費</t>
        </is>
      </c>
      <c r="D381" s="762" t="inlineStr">
        <is>
          <t>健康診断費</t>
        </is>
      </c>
      <c r="E381" s="775" t="inlineStr">
        <is>
          <t>人間ドック自己負担超分（上久保）</t>
        </is>
      </c>
      <c r="F381" s="772" t="n">
        <v>8900</v>
      </c>
      <c r="G381" s="772" t="n">
        <v>3</v>
      </c>
      <c r="H381" s="765">
        <f>IF(G381=1,F381-I381-J381-K381,IF(G381=2,F381,0))</f>
        <v>0</v>
      </c>
      <c r="I381" s="765">
        <f>ROUND(IF(G381=1,F381*10/23,IF(G381=3,F381-J381-K381,IF(G381=4,F381,IF(G381=5,F381*10/11,IF(G381=7,F381*10/11,0))))),0)</f>
        <v>7416</v>
      </c>
      <c r="J381" s="765">
        <f>ROUND(IF(G381=1,F381/23,IF(G381=3,F381/12,IF(G381=5,F381-I381,IF(G381=8,F381,0)))),0)</f>
        <v>742</v>
      </c>
      <c r="K381" s="766">
        <f>ROUND(IF(G381=1,F381/23,IF(G381=3,F381/12,IF(G381=6,F381,IF(G381=7,F381-I381,0)))),0)</f>
        <v>742</v>
      </c>
      <c r="L381" s="767">
        <f>IF(G381=6,F381,0)</f>
        <v>0</v>
      </c>
      <c r="M381" s="421">
        <f>IF(F381="",0,MONTH(A381))</f>
        <v>11</v>
      </c>
      <c r="P381" s="768" t="inlineStr">
        <is>
          <t>昨年実績</t>
        </is>
      </c>
      <c r="Q381" s="769" t="str">
        <f>IF($F381="","",IFERROR(VLOOKUP($C381&amp;"|"&amp;$D381,科目表!$A$5:$B$200,2,FALSE),"※未登録"))</f>
        <v>厚生費</v>
      </c>
      <c r="R381" s="769">
        <f>IF($F381="","",$I381+$J381+$K381)</f>
        <v>8900</v>
      </c>
      <c r="S381" s="769" t="str">
        <f>IF(OR($F381="",$P381="支払なし",$H381=0,$Q381=""),"",$Q381&amp;"|S|"&amp;(COUNTIF(S$4:S380,$Q381&amp;"|S|*")+1))</f>
        <v/>
      </c>
      <c r="T381" s="769" t="str">
        <f>IF(OR($F381="",$P381="支払なし",$R381=0,$Q381=""),"",$Q381&amp;"|L|"&amp;(COUNTIF(T$4:T380,$Q381&amp;"|L|*")+1))</f>
        <v>厚生費|L|3</v>
      </c>
      <c r="U381" s="769">
        <f>IF(OR($F381="",$A381=""),"",MOD(MONTH($A381)-4,12)+1)</f>
        <v>8</v>
      </c>
    </row>
    <row r="382" ht="16.5" customFormat="1" customHeight="1" s="422">
      <c r="A382" s="760" t="n">
        <v>45625</v>
      </c>
      <c r="B382" s="761" t="n"/>
      <c r="C382" s="762" t="inlineStr">
        <is>
          <t>事務費</t>
        </is>
      </c>
      <c r="D382" s="762" t="inlineStr">
        <is>
          <t>事務用消耗品費</t>
        </is>
      </c>
      <c r="E382" s="775" t="inlineStr">
        <is>
          <t>プリンタ（リース満了品）</t>
        </is>
      </c>
      <c r="F382" s="764" t="n">
        <v>22000</v>
      </c>
      <c r="G382" s="764" t="n">
        <v>2</v>
      </c>
      <c r="H382" s="765">
        <f>IF(G382=1,F382-I382-J382-K382,IF(G382=2,F382,0))</f>
        <v>22000</v>
      </c>
      <c r="I382" s="765">
        <f>ROUND(IF(G382=1,F382*10/23,IF(G382=3,F382-J382-K382,IF(G382=4,F382,IF(G382=5,F382*10/11,IF(G382=7,F382*10/11,0))))),0)</f>
        <v>0</v>
      </c>
      <c r="J382" s="765">
        <f>ROUND(IF(G382=1,F382/23,IF(G382=3,F382/12,IF(G382=5,F382-I382,IF(G382=8,F382,0)))),0)</f>
        <v>0</v>
      </c>
      <c r="K382" s="766">
        <f>ROUND(IF(G382=1,F382/23,IF(G382=3,F382/12,IF(G382=6,F382,IF(G382=7,F382-I382,0)))),0)</f>
        <v>0</v>
      </c>
      <c r="L382" s="767">
        <f>IF(G382=6,F382,0)</f>
        <v>0</v>
      </c>
      <c r="M382" s="421">
        <f>IF(F382="",0,MONTH(A382))</f>
        <v>11</v>
      </c>
      <c r="P382" s="768" t="inlineStr">
        <is>
          <t>昨年実績</t>
        </is>
      </c>
      <c r="Q382" s="769" t="str">
        <f>IF($F382="","",IFERROR(VLOOKUP($C382&amp;"|"&amp;$D382,科目表!$A$5:$B$200,2,FALSE),"※未登録"))</f>
        <v>事務用消耗品費</v>
      </c>
      <c r="R382" s="769">
        <f>IF($F382="","",$I382+$J382+$K382)</f>
        <v>0</v>
      </c>
      <c r="S382" s="769" t="str">
        <f>IF(OR($F382="",$P382="支払なし",$H382=0,$Q382=""),"",$Q382&amp;"|S|"&amp;(COUNTIF(S$4:S381,$Q382&amp;"|S|*")+1))</f>
        <v>事務用消耗品費|S|31</v>
      </c>
      <c r="T382" s="769" t="str">
        <f>IF(OR($F382="",$P382="支払なし",$R382=0,$Q382=""),"",$Q382&amp;"|L|"&amp;(COUNTIF(T$4:T381,$Q382&amp;"|L|*")+1))</f>
        <v/>
      </c>
      <c r="U382" s="769">
        <f>IF(OR($F382="",$A382=""),"",MOD(MONTH($A382)-4,12)+1)</f>
        <v>8</v>
      </c>
    </row>
    <row r="383" ht="16.5" customFormat="1" customHeight="1" s="43">
      <c r="A383" s="760" t="n">
        <v>45989</v>
      </c>
      <c r="B383" s="761" t="n"/>
      <c r="C383" s="762" t="inlineStr">
        <is>
          <t>委託費</t>
        </is>
      </c>
      <c r="D383" s="762" t="n"/>
      <c r="E383" s="762" t="inlineStr">
        <is>
          <t>ねんきん定期便（１０月分）送付業務</t>
        </is>
      </c>
      <c r="F383" s="772" t="n">
        <v>84947</v>
      </c>
      <c r="G383" s="772" t="n">
        <v>5</v>
      </c>
      <c r="H383" s="765">
        <f>IF(G383=1,F383-I383-J383-K383,IF(G383=2,F383,0))</f>
        <v>0</v>
      </c>
      <c r="I383" s="765">
        <f>ROUND(IF(G383=1,F383*10/23,IF(G383=3,F383-J383-K383,IF(G383=4,F383,IF(G383=5,F383*10/11,IF(G383=7,F383*10/11,0))))),0)</f>
        <v>77225</v>
      </c>
      <c r="J383" s="765">
        <f>ROUND(IF(G383=1,F383/23,IF(G383=3,F383/12,IF(G383=5,F383-I383,IF(G383=8,F383,0)))),0)</f>
        <v>7722</v>
      </c>
      <c r="K383" s="766">
        <f>ROUND(IF(G383=1,F383/23,IF(G383=3,F383/12,IF(G383=6,F383,IF(G383=7,F383-I383,0)))),0)</f>
        <v>0</v>
      </c>
      <c r="L383" s="767">
        <f>IF(G383=6,F383,0)</f>
        <v>0</v>
      </c>
      <c r="M383" s="572">
        <f>IF(F383="",0,MONTH(A383))</f>
        <v>11</v>
      </c>
      <c r="P383" s="768" t="inlineStr">
        <is>
          <t>昨年実績</t>
        </is>
      </c>
      <c r="Q383" s="769" t="str">
        <f>IF($F383="","",IFERROR(VLOOKUP($C383&amp;"|"&amp;$D383,科目表!$A$5:$B$200,2,FALSE),"※未登録"))</f>
        <v>委託費</v>
      </c>
      <c r="R383" s="769">
        <f>IF($F383="","",$I383+$J383+$K383)</f>
        <v>84947</v>
      </c>
      <c r="S383" s="769" t="str">
        <f>IF(OR($F383="",$P383="支払なし",$H383=0,$Q383=""),"",$Q383&amp;"|S|"&amp;(COUNTIF(S$4:S382,$Q383&amp;"|S|*")+1))</f>
        <v/>
      </c>
      <c r="T383" s="769" t="str">
        <f>IF(OR($F383="",$P383="支払なし",$R383=0,$Q383=""),"",$Q383&amp;"|L|"&amp;(COUNTIF(T$4:T382,$Q383&amp;"|L|*")+1))</f>
        <v>委託費|L|10</v>
      </c>
      <c r="U383" s="769">
        <f>IF(OR($F383="",$A383=""),"",MOD(MONTH($A383)-4,12)+1)</f>
        <v>8</v>
      </c>
    </row>
    <row r="384" ht="16.5" customFormat="1" customHeight="1" s="43">
      <c r="A384" s="760" t="n">
        <v>45989</v>
      </c>
      <c r="B384" s="761" t="n"/>
      <c r="C384" s="762" t="inlineStr">
        <is>
          <t>賃借料</t>
        </is>
      </c>
      <c r="D384" s="762" t="n"/>
      <c r="E384" s="762" t="inlineStr">
        <is>
          <t>パソコン（業務経理用）１０月分</t>
        </is>
      </c>
      <c r="F384" s="772" t="n">
        <v>5060</v>
      </c>
      <c r="G384" s="772" t="n">
        <v>2</v>
      </c>
      <c r="H384" s="765">
        <f>IF(G384=1,F384-I384-J384-K384,IF(G384=2,F384,0))</f>
        <v>5060</v>
      </c>
      <c r="I384" s="765">
        <f>ROUND(IF(G384=1,F384*10/23,IF(G384=3,F384-J384-K384,IF(G384=4,F384,IF(G384=5,F384*10/11,IF(G384=7,F384*10/11,0))))),0)</f>
        <v>0</v>
      </c>
      <c r="J384" s="765">
        <f>ROUND(IF(G384=1,F384/23,IF(G384=3,F384/12,IF(G384=5,F384-I384,IF(G384=8,F384,0)))),0)</f>
        <v>0</v>
      </c>
      <c r="K384" s="766">
        <f>ROUND(IF(G384=1,F384/23,IF(G384=3,F384/12,IF(G384=6,F384,IF(G384=7,F384-I384,0)))),0)</f>
        <v>0</v>
      </c>
      <c r="L384" s="767">
        <f>IF(G384=6,F384,0)</f>
        <v>0</v>
      </c>
      <c r="M384" s="572">
        <f>IF(F384="",0,MONTH(A384))</f>
        <v>11</v>
      </c>
      <c r="P384" s="768" t="inlineStr">
        <is>
          <t>昨年実績</t>
        </is>
      </c>
      <c r="Q384" s="769" t="str">
        <f>IF($F384="","",IFERROR(VLOOKUP($C384&amp;"|"&amp;$D384,科目表!$A$5:$B$200,2,FALSE),"※未登録"))</f>
        <v>賃借料</v>
      </c>
      <c r="R384" s="769">
        <f>IF($F384="","",$I384+$J384+$K384)</f>
        <v>0</v>
      </c>
      <c r="S384" s="769" t="str">
        <f>IF(OR($F384="",$P384="支払なし",$H384=0,$Q384=""),"",$Q384&amp;"|S|"&amp;(COUNTIF(S$4:S383,$Q384&amp;"|S|*")+1))</f>
        <v>賃借料|S|34</v>
      </c>
      <c r="T384" s="769" t="str">
        <f>IF(OR($F384="",$P384="支払なし",$R384=0,$Q384=""),"",$Q384&amp;"|L|"&amp;(COUNTIF(T$4:T383,$Q384&amp;"|L|*")+1))</f>
        <v/>
      </c>
      <c r="U384" s="769">
        <f>IF(OR($F384="",$A384=""),"",MOD(MONTH($A384)-4,12)+1)</f>
        <v>8</v>
      </c>
    </row>
    <row r="385" ht="16.5" customFormat="1" customHeight="1" s="43">
      <c r="A385" s="760" t="n">
        <v>45975</v>
      </c>
      <c r="B385" s="761" t="n"/>
      <c r="C385" s="762" t="inlineStr">
        <is>
          <t>賃金</t>
        </is>
      </c>
      <c r="D385" s="762" t="n"/>
      <c r="E385" s="762" t="inlineStr">
        <is>
          <t>臨時職員賃金１０月分　佐藤幸恵外１名分（短期１００％）</t>
        </is>
      </c>
      <c r="F385" s="772" t="n">
        <v>416580</v>
      </c>
      <c r="G385" s="764" t="n">
        <v>2</v>
      </c>
      <c r="H385" s="765">
        <f>IF(G385=1,F385-I385-J385-K385,IF(G385=2,F385,0))</f>
        <v>416580</v>
      </c>
      <c r="I385" s="765">
        <f>ROUND(IF(G385=1,F385*10/23,IF(G385=3,F385-J385-K385,IF(G385=4,F385,IF(G385=5,F385*10/11,IF(G385=7,F385*10/11,0))))),0)</f>
        <v>0</v>
      </c>
      <c r="J385" s="765">
        <f>ROUND(IF(G385=1,F385/23,IF(G385=3,F385/12,IF(G385=5,F385-I385,IF(G385=8,F385,0)))),0)</f>
        <v>0</v>
      </c>
      <c r="K385" s="766">
        <f>ROUND(IF(G385=1,F385/23,IF(G385=3,F385/12,IF(G385=6,F385,IF(G385=7,F385-I385,0)))),0)</f>
        <v>0</v>
      </c>
      <c r="L385" s="767">
        <f>IF(G385=6,F385,0)</f>
        <v>0</v>
      </c>
      <c r="M385" s="572">
        <f>IF(F385="",0,MONTH(A385))</f>
        <v>11</v>
      </c>
      <c r="P385" s="768" t="inlineStr">
        <is>
          <t>昨年実績</t>
        </is>
      </c>
      <c r="Q385" s="769" t="str">
        <f>IF($F385="","",IFERROR(VLOOKUP($C385&amp;"|"&amp;$D385,科目表!$A$5:$B$200,2,FALSE),"※未登録"))</f>
        <v>賃金</v>
      </c>
      <c r="R385" s="769">
        <f>IF($F385="","",$I385+$J385+$K385)</f>
        <v>0</v>
      </c>
      <c r="S385" s="769" t="str">
        <f>IF(OR($F385="",$P385="支払なし",$H385=0,$Q385=""),"",$Q385&amp;"|S|"&amp;(COUNTIF(S$4:S384,$Q385&amp;"|S|*")+1))</f>
        <v>賃金|S|7</v>
      </c>
      <c r="T385" s="769" t="str">
        <f>IF(OR($F385="",$P385="支払なし",$R385=0,$Q385=""),"",$Q385&amp;"|L|"&amp;(COUNTIF(T$4:T384,$Q385&amp;"|L|*")+1))</f>
        <v/>
      </c>
      <c r="U385" s="769">
        <f>IF(OR($F385="",$A385=""),"",MOD(MONTH($A385)-4,12)+1)</f>
        <v>8</v>
      </c>
    </row>
    <row r="386" ht="16.5" customFormat="1" customHeight="1" s="422">
      <c r="A386" s="760" t="n">
        <v>44522</v>
      </c>
      <c r="B386" s="761" t="n"/>
      <c r="C386" s="762" t="inlineStr">
        <is>
          <t>事務費</t>
        </is>
      </c>
      <c r="D386" s="762" t="inlineStr">
        <is>
          <t>通信運搬費</t>
        </is>
      </c>
      <c r="E386" s="762" t="inlineStr">
        <is>
          <t>電話料金（１０月使用・１１月請求分）</t>
        </is>
      </c>
      <c r="F386" s="772" t="n">
        <v>5408</v>
      </c>
      <c r="G386" s="772" t="n">
        <v>2</v>
      </c>
      <c r="H386" s="765">
        <f>IF(G386=1,F386-I386-J386-K386,IF(G386=2,F386,0))</f>
        <v>5408</v>
      </c>
      <c r="I386" s="765">
        <f>ROUND(IF(G386=1,F386*10/23,IF(G386=3,F386-J386-K386,IF(G386=4,F386,IF(G386=5,F386*10/11,IF(G386=7,F386*10/11,0))))),0)</f>
        <v>0</v>
      </c>
      <c r="J386" s="765">
        <f>ROUND(IF(G386=1,F386/23,IF(G386=3,F386/12,IF(G386=5,F386-I386,IF(G386=8,F386,0)))),0)</f>
        <v>0</v>
      </c>
      <c r="K386" s="766">
        <f>ROUND(IF(G386=1,F386/23,IF(G386=3,F386/12,IF(G386=6,F386,IF(G386=7,F386-I386,0)))),0)</f>
        <v>0</v>
      </c>
      <c r="L386" s="767">
        <f>IF(G386=6,F386,0)</f>
        <v>0</v>
      </c>
      <c r="M386" s="421">
        <f>IF(F386="",0,MONTH(A386))</f>
        <v>11</v>
      </c>
      <c r="P386" s="768" t="inlineStr">
        <is>
          <t>昨年実績</t>
        </is>
      </c>
      <c r="Q386" s="769" t="str">
        <f>IF($F386="","",IFERROR(VLOOKUP($C386&amp;"|"&amp;$D386,科目表!$A$5:$B$200,2,FALSE),"※未登録"))</f>
        <v>通信運搬費</v>
      </c>
      <c r="R386" s="769">
        <f>IF($F386="","",$I386+$J386+$K386)</f>
        <v>0</v>
      </c>
      <c r="S386" s="769" t="str">
        <f>IF(OR($F386="",$P386="支払なし",$H386=0,$Q386=""),"",$Q386&amp;"|S|"&amp;(COUNTIF(S$4:S385,$Q386&amp;"|S|*")+1))</f>
        <v>通信運搬費|S|41</v>
      </c>
      <c r="T386" s="769" t="str">
        <f>IF(OR($F386="",$P386="支払なし",$R386=0,$Q386=""),"",$Q386&amp;"|L|"&amp;(COUNTIF(T$4:T385,$Q386&amp;"|L|*")+1))</f>
        <v/>
      </c>
      <c r="U386" s="769">
        <f>IF(OR($F386="",$A386=""),"",MOD(MONTH($A386)-4,12)+1)</f>
        <v>8</v>
      </c>
    </row>
    <row r="387" ht="16.5" customFormat="1" customHeight="1" s="43">
      <c r="A387" s="760" t="n">
        <v>45981</v>
      </c>
      <c r="B387" s="761" t="n"/>
      <c r="C387" s="762" t="inlineStr">
        <is>
          <t>委託費</t>
        </is>
      </c>
      <c r="D387" s="762" t="n"/>
      <c r="E387" s="763" t="inlineStr">
        <is>
          <t>レセプト電子データ提供料（８月診療分）</t>
        </is>
      </c>
      <c r="F387" s="764" t="n">
        <v>56116</v>
      </c>
      <c r="G387" s="764" t="n">
        <v>2</v>
      </c>
      <c r="H387" s="765">
        <f>IF(G387=1,F387-I387-J387-K387,IF(G387=2,F387,0))</f>
        <v>56116</v>
      </c>
      <c r="I387" s="765">
        <f>ROUND(IF(G387=1,F387*10/23,IF(G387=3,F387-J387-K387,IF(G387=4,F387,IF(G387=5,F387*10/11,IF(G387=7,F387*10/11,0))))),0)</f>
        <v>0</v>
      </c>
      <c r="J387" s="765">
        <f>ROUND(IF(G387=1,F387/23,IF(G387=3,F387/12,IF(G387=5,F387-I387,IF(G387=8,F387,0)))),0)</f>
        <v>0</v>
      </c>
      <c r="K387" s="766">
        <f>ROUND(IF(G387=1,F387/23,IF(G387=3,F387/12,IF(G387=6,F387,IF(G387=7,F387-I387,0)))),0)</f>
        <v>0</v>
      </c>
      <c r="L387" s="767">
        <f>IF(G387=6,F387,0)</f>
        <v>0</v>
      </c>
      <c r="M387" s="572">
        <f>IF(F387="",0,MONTH(A387))</f>
        <v>11</v>
      </c>
      <c r="P387" s="768" t="inlineStr">
        <is>
          <t>昨年実績</t>
        </is>
      </c>
      <c r="Q387" s="769" t="str">
        <f>IF($F387="","",IFERROR(VLOOKUP($C387&amp;"|"&amp;$D387,科目表!$A$5:$B$200,2,FALSE),"※未登録"))</f>
        <v>委託費</v>
      </c>
      <c r="R387" s="769">
        <f>IF($F387="","",$I387+$J387+$K387)</f>
        <v>0</v>
      </c>
      <c r="S387" s="769" t="str">
        <f>IF(OR($F387="",$P387="支払なし",$H387=0,$Q387=""),"",$Q387&amp;"|S|"&amp;(COUNTIF(S$4:S386,$Q387&amp;"|S|*")+1))</f>
        <v>委託費|S|35</v>
      </c>
      <c r="T387" s="769" t="str">
        <f>IF(OR($F387="",$P387="支払なし",$R387=0,$Q387=""),"",$Q387&amp;"|L|"&amp;(COUNTIF(T$4:T386,$Q387&amp;"|L|*")+1))</f>
        <v/>
      </c>
      <c r="U387" s="769">
        <f>IF(OR($F387="",$A387=""),"",MOD(MONTH($A387)-4,12)+1)</f>
        <v>8</v>
      </c>
    </row>
    <row r="388" ht="16.5" customFormat="1" customHeight="1" s="422">
      <c r="A388" s="760" t="n">
        <v>44154</v>
      </c>
      <c r="B388" s="761" t="n"/>
      <c r="C388" s="762" t="inlineStr">
        <is>
          <t>委託費</t>
        </is>
      </c>
      <c r="D388" s="762" t="n"/>
      <c r="E388" s="763" t="inlineStr">
        <is>
          <t>社会保障等制度情報提供手数料（７～９月分）</t>
        </is>
      </c>
      <c r="F388" s="764" t="n">
        <v>40</v>
      </c>
      <c r="G388" s="764" t="n">
        <v>2</v>
      </c>
      <c r="H388" s="765">
        <f>IF(G388=1,F388-I388-J388-K388,IF(G388=2,F388,0))</f>
        <v>40</v>
      </c>
      <c r="I388" s="765">
        <f>ROUND(IF(G388=1,F388*10/23,IF(G388=3,F388-J388-K388,IF(G388=4,F388,IF(G388=5,F388*10/11,IF(G388=7,F388*10/11,0))))),0)</f>
        <v>0</v>
      </c>
      <c r="J388" s="765">
        <f>ROUND(IF(G388=1,F388/23,IF(G388=3,F388/12,IF(G388=5,F388-I388,IF(G388=8,F388,0)))),0)</f>
        <v>0</v>
      </c>
      <c r="K388" s="766">
        <f>ROUND(IF(G388=1,F388/23,IF(G388=3,F388/12,IF(G388=6,F388,IF(G388=7,F388-I388,0)))),0)</f>
        <v>0</v>
      </c>
      <c r="L388" s="767">
        <f>IF(G388=6,F388,0)</f>
        <v>0</v>
      </c>
      <c r="M388" s="421">
        <f>IF(F388="",0,MONTH(A388))</f>
        <v>11</v>
      </c>
      <c r="P388" s="768" t="inlineStr">
        <is>
          <t>昨年実績</t>
        </is>
      </c>
      <c r="Q388" s="769" t="str">
        <f>IF($F388="","",IFERROR(VLOOKUP($C388&amp;"|"&amp;$D388,科目表!$A$5:$B$200,2,FALSE),"※未登録"))</f>
        <v>委託費</v>
      </c>
      <c r="R388" s="769">
        <f>IF($F388="","",$I388+$J388+$K388)</f>
        <v>0</v>
      </c>
      <c r="S388" s="769" t="str">
        <f>IF(OR($F388="",$P388="支払なし",$H388=0,$Q388=""),"",$Q388&amp;"|S|"&amp;(COUNTIF(S$4:S387,$Q388&amp;"|S|*")+1))</f>
        <v>委託費|S|36</v>
      </c>
      <c r="T388" s="769" t="str">
        <f>IF(OR($F388="",$P388="支払なし",$R388=0,$Q388=""),"",$Q388&amp;"|L|"&amp;(COUNTIF(T$4:T387,$Q388&amp;"|L|*")+1))</f>
        <v/>
      </c>
      <c r="U388" s="769">
        <f>IF(OR($F388="",$A388=""),"",MOD(MONTH($A388)-4,12)+1)</f>
        <v>8</v>
      </c>
    </row>
    <row r="389" ht="16.5" customFormat="1" customHeight="1" s="43">
      <c r="A389" s="760" t="n">
        <v>45982</v>
      </c>
      <c r="B389" s="761" t="n"/>
      <c r="C389" s="762" t="inlineStr">
        <is>
          <t>職員給与</t>
        </is>
      </c>
      <c r="D389" s="762" t="inlineStr">
        <is>
          <t>非常勤職員手当</t>
        </is>
      </c>
      <c r="E389" s="762" t="inlineStr">
        <is>
          <t>11月分給与（長期分）</t>
        </is>
      </c>
      <c r="F389" s="764" t="n">
        <v>381773</v>
      </c>
      <c r="G389" s="772" t="n">
        <v>3</v>
      </c>
      <c r="H389" s="765">
        <f>IF(G389=1,F389-I389-J389-K389,IF(G389=2,F389,0))</f>
        <v>0</v>
      </c>
      <c r="I389" s="765">
        <f>ROUND(IF(G389=1,F389*10/23,IF(G389=3,F389-J389-K389,IF(G389=4,F389,IF(G389=5,F389*10/11,IF(G389=7,F389*10/11,0))))),0)</f>
        <v>318145</v>
      </c>
      <c r="J389" s="765">
        <f>ROUND(IF(G389=1,F389/23,IF(G389=3,F389/12,IF(G389=5,F389-I389,IF(G389=8,F389,0)))),0)</f>
        <v>31814</v>
      </c>
      <c r="K389" s="766">
        <f>ROUND(IF(G389=1,F389/23,IF(G389=3,F389/12,IF(G389=6,F389,IF(G389=7,F389-I389,0)))),0)</f>
        <v>31814</v>
      </c>
      <c r="L389" s="767">
        <f>IF(G389=6,F389,0)</f>
        <v>0</v>
      </c>
      <c r="M389" s="572">
        <f>IF(F389="",0,MONTH(A389))</f>
        <v>11</v>
      </c>
      <c r="P389" s="768" t="inlineStr">
        <is>
          <t>昨年実績</t>
        </is>
      </c>
      <c r="Q389" s="769" t="str">
        <f>IF($F389="","",IFERROR(VLOOKUP($C389&amp;"|"&amp;$D389,科目表!$A$5:$B$200,2,FALSE),"※未登録"))</f>
        <v>非常勤職員手当</v>
      </c>
      <c r="R389" s="769">
        <f>IF($F389="","",$I389+$J389+$K389)</f>
        <v>381773</v>
      </c>
      <c r="S389" s="769" t="str">
        <f>IF(OR($F389="",$P389="支払なし",$H389=0,$Q389=""),"",$Q389&amp;"|S|"&amp;(COUNTIF(S$4:S388,$Q389&amp;"|S|*")+1))</f>
        <v/>
      </c>
      <c r="T389" s="769" t="str">
        <f>IF(OR($F389="",$P389="支払なし",$R389=0,$Q389=""),"",$Q389&amp;"|L|"&amp;(COUNTIF(T$4:T388,$Q389&amp;"|L|*")+1))</f>
        <v>非常勤職員手当|L|10</v>
      </c>
      <c r="U389" s="769">
        <f>IF(OR($F389="",$A389=""),"",MOD(MONTH($A389)-4,12)+1)</f>
        <v>8</v>
      </c>
    </row>
    <row r="390" ht="16.5" customFormat="1" customHeight="1" s="43">
      <c r="A390" s="760" t="n">
        <v>45982</v>
      </c>
      <c r="B390" s="761" t="n"/>
      <c r="C390" s="762" t="inlineStr">
        <is>
          <t>職員給与</t>
        </is>
      </c>
      <c r="D390" s="762" t="inlineStr">
        <is>
          <t>非常勤職員手当</t>
        </is>
      </c>
      <c r="E390" s="762" t="inlineStr">
        <is>
          <t>11月分給与（短期分）</t>
        </is>
      </c>
      <c r="F390" s="764" t="n">
        <v>227838</v>
      </c>
      <c r="G390" s="772" t="n">
        <v>2</v>
      </c>
      <c r="H390" s="765">
        <f>IF(G390=1,F390-I390-J390-K390,IF(G390=2,F390,0))</f>
        <v>227838</v>
      </c>
      <c r="I390" s="765">
        <f>ROUND(IF(G390=1,F390*10/23,IF(G390=3,F390-J390-K390,IF(G390=4,F390,IF(G390=5,F390*10/11,IF(G390=7,F390*10/11,0))))),0)</f>
        <v>0</v>
      </c>
      <c r="J390" s="765">
        <f>ROUND(IF(G390=1,F390/23,IF(G390=3,F390/12,IF(G390=5,F390-I390,IF(G390=8,F390,0)))),0)</f>
        <v>0</v>
      </c>
      <c r="K390" s="766">
        <f>ROUND(IF(G390=1,F390/23,IF(G390=3,F390/12,IF(G390=6,F390,IF(G390=7,F390-I390,0)))),0)</f>
        <v>0</v>
      </c>
      <c r="L390" s="767">
        <f>IF(G390=6,F390,0)</f>
        <v>0</v>
      </c>
      <c r="M390" s="572">
        <f>IF(F390="",0,MONTH(A390))</f>
        <v>11</v>
      </c>
      <c r="P390" s="768" t="inlineStr">
        <is>
          <t>昨年実績</t>
        </is>
      </c>
      <c r="Q390" s="769" t="str">
        <f>IF($F390="","",IFERROR(VLOOKUP($C390&amp;"|"&amp;$D390,科目表!$A$5:$B$200,2,FALSE),"※未登録"))</f>
        <v>非常勤職員手当</v>
      </c>
      <c r="R390" s="769">
        <f>IF($F390="","",$I390+$J390+$K390)</f>
        <v>0</v>
      </c>
      <c r="S390" s="769" t="str">
        <f>IF(OR($F390="",$P390="支払なし",$H390=0,$Q390=""),"",$Q390&amp;"|S|"&amp;(COUNTIF(S$4:S389,$Q390&amp;"|S|*")+1))</f>
        <v>非常勤職員手当|S|9</v>
      </c>
      <c r="T390" s="769" t="str">
        <f>IF(OR($F390="",$P390="支払なし",$R390=0,$Q390=""),"",$Q390&amp;"|L|"&amp;(COUNTIF(T$4:T389,$Q390&amp;"|L|*")+1))</f>
        <v/>
      </c>
      <c r="U390" s="769">
        <f>IF(OR($F390="",$A390=""),"",MOD(MONTH($A390)-4,12)+1)</f>
        <v>8</v>
      </c>
    </row>
    <row r="391" ht="16.5" customFormat="1" customHeight="1" s="43">
      <c r="A391" s="760" t="n">
        <v>45982</v>
      </c>
      <c r="B391" s="761" t="n"/>
      <c r="C391" s="762" t="inlineStr">
        <is>
          <t>負担金</t>
        </is>
      </c>
      <c r="D391" s="762" t="inlineStr">
        <is>
          <t>互助会費</t>
        </is>
      </c>
      <c r="E391" s="762" t="inlineStr">
        <is>
          <t>助成金（11月長期分）</t>
        </is>
      </c>
      <c r="F391" s="764" t="n">
        <v>535</v>
      </c>
      <c r="G391" s="764" t="n">
        <v>3</v>
      </c>
      <c r="H391" s="765">
        <f>IF(G391=1,F391-I391-J391-K391,IF(G391=2,F391,0))</f>
        <v>0</v>
      </c>
      <c r="I391" s="765">
        <f>ROUND(IF(G391=1,F391*10/23,IF(G391=3,F391-J391-K391,IF(G391=4,F391,IF(G391=5,F391*10/11,IF(G391=7,F391*10/11,0))))),0)</f>
        <v>445</v>
      </c>
      <c r="J391" s="765">
        <f>ROUND(IF(G391=1,F391/23,IF(G391=3,F391/12,IF(G391=5,F391-I391,IF(G391=8,F391,0)))),0)</f>
        <v>45</v>
      </c>
      <c r="K391" s="766">
        <f>ROUND(IF(G391=1,F391/23,IF(G391=3,F391/12,IF(G391=6,F391,IF(G391=7,F391-I391,0)))),0)</f>
        <v>45</v>
      </c>
      <c r="L391" s="767">
        <f>IF(G391=6,F391,0)</f>
        <v>0</v>
      </c>
      <c r="M391" s="572">
        <f>IF(F391="",0,MONTH(A391))</f>
        <v>11</v>
      </c>
      <c r="P391" s="768" t="inlineStr">
        <is>
          <t>昨年実績</t>
        </is>
      </c>
      <c r="Q391" s="769" t="str">
        <f>IF($F391="","",IFERROR(VLOOKUP($C391&amp;"|"&amp;$D391,科目表!$A$5:$B$200,2,FALSE),"※未登録"))</f>
        <v>互助会費</v>
      </c>
      <c r="R391" s="769">
        <f>IF($F391="","",$I391+$J391+$K391)</f>
        <v>535</v>
      </c>
      <c r="S391" s="769" t="str">
        <f>IF(OR($F391="",$P391="支払なし",$H391=0,$Q391=""),"",$Q391&amp;"|S|"&amp;(COUNTIF(S$4:S390,$Q391&amp;"|S|*")+1))</f>
        <v/>
      </c>
      <c r="T391" s="769" t="str">
        <f>IF(OR($F391="",$P391="支払なし",$R391=0,$Q391=""),"",$Q391&amp;"|L|"&amp;(COUNTIF(T$4:T390,$Q391&amp;"|L|*")+1))</f>
        <v>互助会費|L|8</v>
      </c>
      <c r="U391" s="769">
        <f>IF(OR($F391="",$A391=""),"",MOD(MONTH($A391)-4,12)+1)</f>
        <v>8</v>
      </c>
    </row>
    <row r="392" ht="16.5" customFormat="1" customHeight="1" s="43">
      <c r="A392" s="760" t="n">
        <v>45982</v>
      </c>
      <c r="B392" s="761" t="n"/>
      <c r="C392" s="762" t="inlineStr">
        <is>
          <t>負担金</t>
        </is>
      </c>
      <c r="D392" s="762" t="inlineStr">
        <is>
          <t>互助会費</t>
        </is>
      </c>
      <c r="E392" s="762" t="inlineStr">
        <is>
          <t>助成金（11月短期分）</t>
        </is>
      </c>
      <c r="F392" s="764" t="n">
        <v>276</v>
      </c>
      <c r="G392" s="764" t="n">
        <v>2</v>
      </c>
      <c r="H392" s="765">
        <f>IF(G392=1,F392-I392-J392-K392,IF(G392=2,F392,0))</f>
        <v>276</v>
      </c>
      <c r="I392" s="765">
        <f>ROUND(IF(G392=1,F392*10/23,IF(G392=3,F392-J392-K392,IF(G392=4,F392,IF(G392=5,F392*10/11,IF(G392=7,F392*10/11,0))))),0)</f>
        <v>0</v>
      </c>
      <c r="J392" s="765">
        <f>ROUND(IF(G392=1,F392/23,IF(G392=3,F392/12,IF(G392=5,F392-I392,IF(G392=8,F392,0)))),0)</f>
        <v>0</v>
      </c>
      <c r="K392" s="766">
        <f>ROUND(IF(G392=1,F392/23,IF(G392=3,F392/12,IF(G392=6,F392,IF(G392=7,F392-I392,0)))),0)</f>
        <v>0</v>
      </c>
      <c r="L392" s="767">
        <f>IF(G392=6,F392,0)</f>
        <v>0</v>
      </c>
      <c r="M392" s="572">
        <f>IF(F392="",0,MONTH(A392))</f>
        <v>11</v>
      </c>
      <c r="P392" s="768" t="inlineStr">
        <is>
          <t>昨年実績</t>
        </is>
      </c>
      <c r="Q392" s="769" t="str">
        <f>IF($F392="","",IFERROR(VLOOKUP($C392&amp;"|"&amp;$D392,科目表!$A$5:$B$200,2,FALSE),"※未登録"))</f>
        <v>互助会費</v>
      </c>
      <c r="R392" s="769">
        <f>IF($F392="","",$I392+$J392+$K392)</f>
        <v>0</v>
      </c>
      <c r="S392" s="769" t="str">
        <f>IF(OR($F392="",$P392="支払なし",$H392=0,$Q392=""),"",$Q392&amp;"|S|"&amp;(COUNTIF(S$4:S391,$Q392&amp;"|S|*")+1))</f>
        <v>互助会費|S|8</v>
      </c>
      <c r="T392" s="769" t="str">
        <f>IF(OR($F392="",$P392="支払なし",$R392=0,$Q392=""),"",$Q392&amp;"|L|"&amp;(COUNTIF(T$4:T391,$Q392&amp;"|L|*")+1))</f>
        <v/>
      </c>
      <c r="U392" s="769">
        <f>IF(OR($F392="",$A392=""),"",MOD(MONTH($A392)-4,12)+1)</f>
        <v>8</v>
      </c>
    </row>
    <row r="393" ht="16.5" customFormat="1" customHeight="1" s="43">
      <c r="A393" s="760" t="n">
        <v>45981</v>
      </c>
      <c r="B393" s="761" t="n"/>
      <c r="C393" s="762" t="inlineStr">
        <is>
          <t>委託費</t>
        </is>
      </c>
      <c r="D393" s="762" t="n"/>
      <c r="E393" s="777" t="inlineStr">
        <is>
          <t>社会保障等制度情報提供手数料（７～９月分）</t>
        </is>
      </c>
      <c r="F393" s="764" t="n">
        <v>7660</v>
      </c>
      <c r="G393" s="764" t="n">
        <v>2</v>
      </c>
      <c r="H393" s="765">
        <f>IF(G393=1,F393-I393-J393-K393,IF(G393=2,F393,0))</f>
        <v>7660</v>
      </c>
      <c r="I393" s="765">
        <f>ROUND(IF(G393=1,F393*10/23,IF(G393=3,F393-J393-K393,IF(G393=4,F393,IF(G393=5,F393*10/11,IF(G393=7,F393*10/11,0))))),0)</f>
        <v>0</v>
      </c>
      <c r="J393" s="765">
        <f>ROUND(IF(G393=1,F393/23,IF(G393=3,F393/12,IF(G393=5,F393-I393,IF(G393=8,F393,0)))),0)</f>
        <v>0</v>
      </c>
      <c r="K393" s="766">
        <f>ROUND(IF(G393=1,F393/23,IF(G393=3,F393/12,IF(G393=6,F393,IF(G393=7,F393-I393,0)))),0)</f>
        <v>0</v>
      </c>
      <c r="L393" s="767">
        <f>IF(G393=6,F393,0)</f>
        <v>0</v>
      </c>
      <c r="M393" s="572">
        <f>IF(F393="",0,MONTH(A393))</f>
        <v>11</v>
      </c>
      <c r="P393" s="768" t="inlineStr">
        <is>
          <t>昨年実績</t>
        </is>
      </c>
      <c r="Q393" s="769" t="str">
        <f>IF($F393="","",IFERROR(VLOOKUP($C393&amp;"|"&amp;$D393,科目表!$A$5:$B$200,2,FALSE),"※未登録"))</f>
        <v>委託費</v>
      </c>
      <c r="R393" s="769">
        <f>IF($F393="","",$I393+$J393+$K393)</f>
        <v>0</v>
      </c>
      <c r="S393" s="769" t="str">
        <f>IF(OR($F393="",$P393="支払なし",$H393=0,$Q393=""),"",$Q393&amp;"|S|"&amp;(COUNTIF(S$4:S392,$Q393&amp;"|S|*")+1))</f>
        <v>委託費|S|37</v>
      </c>
      <c r="T393" s="769" t="str">
        <f>IF(OR($F393="",$P393="支払なし",$R393=0,$Q393=""),"",$Q393&amp;"|L|"&amp;(COUNTIF(T$4:T392,$Q393&amp;"|L|*")+1))</f>
        <v/>
      </c>
      <c r="U393" s="769">
        <f>IF(OR($F393="",$A393=""),"",MOD(MONTH($A393)-4,12)+1)</f>
        <v>8</v>
      </c>
    </row>
    <row r="394" ht="16.5" customFormat="1" customHeight="1" s="43">
      <c r="A394" s="760" t="n">
        <v>45989</v>
      </c>
      <c r="B394" s="761" t="n"/>
      <c r="C394" s="762" t="inlineStr">
        <is>
          <t>事務費</t>
        </is>
      </c>
      <c r="D394" s="762" t="inlineStr">
        <is>
          <t>送金料</t>
        </is>
      </c>
      <c r="E394" s="775" t="inlineStr">
        <is>
          <t>ゆうちょ銀行手数料（１０月分）短期</t>
        </is>
      </c>
      <c r="F394" s="764" t="n">
        <v>13567</v>
      </c>
      <c r="G394" s="764" t="n">
        <v>2</v>
      </c>
      <c r="H394" s="765">
        <f>IF(G394=1,F394-I394-J394-K394,IF(G394=2,F394,0))</f>
        <v>13567</v>
      </c>
      <c r="I394" s="765">
        <f>ROUND(IF(G394=1,F394*10/23,IF(G394=3,F394-J394-K394,IF(G394=4,F394,IF(G394=5,F394*10/11,IF(G394=7,F394*10/11,0))))),0)</f>
        <v>0</v>
      </c>
      <c r="J394" s="765">
        <f>ROUND(IF(G394=1,F394/23,IF(G394=3,F394/12,IF(G394=5,F394-I394,IF(G394=8,F394,0)))),0)</f>
        <v>0</v>
      </c>
      <c r="K394" s="766">
        <f>ROUND(IF(G394=1,F394/23,IF(G394=3,F394/12,IF(G394=6,F394,IF(G394=7,F394-I394,0)))),0)</f>
        <v>0</v>
      </c>
      <c r="L394" s="767">
        <f>IF(G394=6,F394,0)</f>
        <v>0</v>
      </c>
      <c r="M394" s="572">
        <f>IF(F394="",0,MONTH(A394))</f>
        <v>11</v>
      </c>
      <c r="P394" s="768" t="inlineStr">
        <is>
          <t>昨年実績</t>
        </is>
      </c>
      <c r="Q394" s="769" t="str">
        <f>IF($F394="","",IFERROR(VLOOKUP($C394&amp;"|"&amp;$D394,科目表!$A$5:$B$200,2,FALSE),"※未登録"))</f>
        <v>送金料</v>
      </c>
      <c r="R394" s="769">
        <f>IF($F394="","",$I394+$J394+$K394)</f>
        <v>0</v>
      </c>
      <c r="S394" s="769" t="str">
        <f>IF(OR($F394="",$P394="支払なし",$H394=0,$Q394=""),"",$Q394&amp;"|S|"&amp;(COUNTIF(S$4:S393,$Q394&amp;"|S|*")+1))</f>
        <v>送金料|S|14</v>
      </c>
      <c r="T394" s="769" t="str">
        <f>IF(OR($F394="",$P394="支払なし",$R394=0,$Q394=""),"",$Q394&amp;"|L|"&amp;(COUNTIF(T$4:T393,$Q394&amp;"|L|*")+1))</f>
        <v/>
      </c>
      <c r="U394" s="769">
        <f>IF(OR($F394="",$A394=""),"",MOD(MONTH($A394)-4,12)+1)</f>
        <v>8</v>
      </c>
    </row>
    <row r="395" ht="16.5" customFormat="1" customHeight="1" s="43">
      <c r="A395" s="760" t="n">
        <v>45989</v>
      </c>
      <c r="B395" s="761" t="n"/>
      <c r="C395" s="762" t="inlineStr">
        <is>
          <t>事務費</t>
        </is>
      </c>
      <c r="D395" s="762" t="inlineStr">
        <is>
          <t>雑費</t>
        </is>
      </c>
      <c r="E395" s="775" t="inlineStr">
        <is>
          <t>ゆうちょ銀行振替口座残高証明（１０月分）短期</t>
        </is>
      </c>
      <c r="F395" s="764" t="n">
        <v>550</v>
      </c>
      <c r="G395" s="764" t="n">
        <v>2</v>
      </c>
      <c r="H395" s="765">
        <f>IF(G395=1,F395-I395-J395-K395,IF(G395=2,F395,0))</f>
        <v>550</v>
      </c>
      <c r="I395" s="765">
        <f>ROUND(IF(G395=1,F395*10/23,IF(G395=3,F395-J395-K395,IF(G395=4,F395,IF(G395=5,F395*10/11,IF(G395=7,F395*10/11,0))))),0)</f>
        <v>0</v>
      </c>
      <c r="J395" s="765">
        <f>ROUND(IF(G395=1,F395/23,IF(G395=3,F395/12,IF(G395=5,F395-I395,IF(G395=8,F395,0)))),0)</f>
        <v>0</v>
      </c>
      <c r="K395" s="766">
        <f>ROUND(IF(G395=1,F395/23,IF(G395=3,F395/12,IF(G395=6,F395,IF(G395=7,F395-I395,0)))),0)</f>
        <v>0</v>
      </c>
      <c r="L395" s="767">
        <f>IF(G395=6,F395,0)</f>
        <v>0</v>
      </c>
      <c r="M395" s="572">
        <f>IF(F395="",0,MONTH(A395))</f>
        <v>11</v>
      </c>
      <c r="P395" s="768" t="inlineStr">
        <is>
          <t>昨年実績</t>
        </is>
      </c>
      <c r="Q395" s="769" t="str">
        <f>IF($F395="","",IFERROR(VLOOKUP($C395&amp;"|"&amp;$D395,科目表!$A$5:$B$200,2,FALSE),"※未登録"))</f>
        <v>事務費・雑費</v>
      </c>
      <c r="R395" s="769">
        <f>IF($F395="","",$I395+$J395+$K395)</f>
        <v>0</v>
      </c>
      <c r="S395" s="769" t="str">
        <f>IF(OR($F395="",$P395="支払なし",$H395=0,$Q395=""),"",$Q395&amp;"|S|"&amp;(COUNTIF(S$4:S394,$Q395&amp;"|S|*")+1))</f>
        <v>事務費・雑費|S|12</v>
      </c>
      <c r="T395" s="769" t="str">
        <f>IF(OR($F395="",$P395="支払なし",$R395=0,$Q395=""),"",$Q395&amp;"|L|"&amp;(COUNTIF(T$4:T394,$Q395&amp;"|L|*")+1))</f>
        <v/>
      </c>
      <c r="U395" s="769">
        <f>IF(OR($F395="",$A395=""),"",MOD(MONTH($A395)-4,12)+1)</f>
        <v>8</v>
      </c>
    </row>
    <row r="396" ht="16.5" customFormat="1" customHeight="1" s="422">
      <c r="A396" s="760" t="n">
        <v>43791</v>
      </c>
      <c r="B396" s="761" t="n"/>
      <c r="C396" s="762" t="inlineStr">
        <is>
          <t>事務費</t>
        </is>
      </c>
      <c r="D396" s="762" t="inlineStr">
        <is>
          <t>通信運搬費</t>
        </is>
      </c>
      <c r="E396" s="763" t="inlineStr">
        <is>
          <t>切手等</t>
        </is>
      </c>
      <c r="F396" s="772" t="n">
        <v>224400</v>
      </c>
      <c r="G396" s="772" t="n">
        <v>3</v>
      </c>
      <c r="H396" s="765">
        <f>IF(G396=1,F396-I396-J396-K396,IF(G396=2,F396,0))</f>
        <v>0</v>
      </c>
      <c r="I396" s="765">
        <f>ROUND(IF(G396=1,F396*10/23,IF(G396=3,F396-J396-K396,IF(G396=4,F396,IF(G396=5,F396*10/11,IF(G396=7,F396*10/11,0))))),0)</f>
        <v>187000</v>
      </c>
      <c r="J396" s="765">
        <f>ROUND(IF(G396=1,F396/23,IF(G396=3,F396/12,IF(G396=5,F396-I396,IF(G396=8,F396,0)))),0)</f>
        <v>18700</v>
      </c>
      <c r="K396" s="766">
        <f>ROUND(IF(G396=1,F396/23,IF(G396=3,F396/12,IF(G396=6,F396,IF(G396=7,F396-I396,0)))),0)</f>
        <v>18700</v>
      </c>
      <c r="L396" s="767">
        <f>IF(G396=6,F396,0)</f>
        <v>0</v>
      </c>
      <c r="M396" s="421">
        <f>IF(F396="",0,MONTH(A396))</f>
        <v>11</v>
      </c>
      <c r="P396" s="768" t="inlineStr">
        <is>
          <t>昨年実績</t>
        </is>
      </c>
      <c r="Q396" s="769" t="str">
        <f>IF($F396="","",IFERROR(VLOOKUP($C396&amp;"|"&amp;$D396,科目表!$A$5:$B$200,2,FALSE),"※未登録"))</f>
        <v>通信運搬費</v>
      </c>
      <c r="R396" s="769">
        <f>IF($F396="","",$I396+$J396+$K396)</f>
        <v>224400</v>
      </c>
      <c r="S396" s="769" t="str">
        <f>IF(OR($F396="",$P396="支払なし",$H396=0,$Q396=""),"",$Q396&amp;"|S|"&amp;(COUNTIF(S$4:S395,$Q396&amp;"|S|*")+1))</f>
        <v/>
      </c>
      <c r="T396" s="769" t="str">
        <f>IF(OR($F396="",$P396="支払なし",$R396=0,$Q396=""),"",$Q396&amp;"|L|"&amp;(COUNTIF(T$4:T395,$Q396&amp;"|L|*")+1))</f>
        <v>通信運搬費|L|16</v>
      </c>
      <c r="U396" s="769">
        <f>IF(OR($F396="",$A396=""),"",MOD(MONTH($A396)-4,12)+1)</f>
        <v>8</v>
      </c>
    </row>
    <row r="397" ht="16.5" customFormat="1" customHeight="1" s="422">
      <c r="A397" s="760" t="n">
        <v>43791</v>
      </c>
      <c r="B397" s="761" t="n"/>
      <c r="C397" s="762" t="inlineStr">
        <is>
          <t>事務費</t>
        </is>
      </c>
      <c r="D397" s="762" t="inlineStr">
        <is>
          <t>通信運搬費</t>
        </is>
      </c>
      <c r="E397" s="763" t="inlineStr">
        <is>
          <t>切手等</t>
        </is>
      </c>
      <c r="F397" s="772" t="n">
        <v>9200</v>
      </c>
      <c r="G397" s="772" t="n">
        <v>2</v>
      </c>
      <c r="H397" s="765">
        <f>IF(G397=1,F397-I397-J397-K397,IF(G397=2,F397,0))</f>
        <v>9200</v>
      </c>
      <c r="I397" s="765">
        <f>ROUND(IF(G397=1,F397*10/23,IF(G397=3,F397-J397-K397,IF(G397=4,F397,IF(G397=5,F397*10/11,IF(G397=7,F397*10/11,0))))),0)</f>
        <v>0</v>
      </c>
      <c r="J397" s="765">
        <f>ROUND(IF(G397=1,F397/23,IF(G397=3,F397/12,IF(G397=5,F397-I397,IF(G397=8,F397,0)))),0)</f>
        <v>0</v>
      </c>
      <c r="K397" s="766">
        <f>ROUND(IF(G397=1,F397/23,IF(G397=3,F397/12,IF(G397=6,F397,IF(G397=7,F397-I397,0)))),0)</f>
        <v>0</v>
      </c>
      <c r="L397" s="767">
        <f>IF(G397=6,F397,0)</f>
        <v>0</v>
      </c>
      <c r="M397" s="421">
        <f>IF(F397="",0,MONTH(A397))</f>
        <v>11</v>
      </c>
      <c r="P397" s="768" t="inlineStr">
        <is>
          <t>昨年実績</t>
        </is>
      </c>
      <c r="Q397" s="769" t="str">
        <f>IF($F397="","",IFERROR(VLOOKUP($C397&amp;"|"&amp;$D397,科目表!$A$5:$B$200,2,FALSE),"※未登録"))</f>
        <v>通信運搬費</v>
      </c>
      <c r="R397" s="769">
        <f>IF($F397="","",$I397+$J397+$K397)</f>
        <v>0</v>
      </c>
      <c r="S397" s="769" t="str">
        <f>IF(OR($F397="",$P397="支払なし",$H397=0,$Q397=""),"",$Q397&amp;"|S|"&amp;(COUNTIF(S$4:S396,$Q397&amp;"|S|*")+1))</f>
        <v>通信運搬費|S|42</v>
      </c>
      <c r="T397" s="769" t="str">
        <f>IF(OR($F397="",$P397="支払なし",$R397=0,$Q397=""),"",$Q397&amp;"|L|"&amp;(COUNTIF(T$4:T396,$Q397&amp;"|L|*")+1))</f>
        <v/>
      </c>
      <c r="U397" s="769">
        <f>IF(OR($F397="",$A397=""),"",MOD(MONTH($A397)-4,12)+1)</f>
        <v>8</v>
      </c>
    </row>
    <row r="398" ht="16.5" customFormat="1" customHeight="1" s="422">
      <c r="A398" s="760" t="n">
        <v>45555</v>
      </c>
      <c r="B398" s="761" t="n"/>
      <c r="C398" s="762" t="inlineStr">
        <is>
          <t>旅費</t>
        </is>
      </c>
      <c r="D398" s="762" t="n"/>
      <c r="E398" s="762" t="inlineStr">
        <is>
          <t>9/24 短期給付事務研修会　特別区　石田主任技師</t>
        </is>
      </c>
      <c r="F398" s="764" t="n">
        <v>50940</v>
      </c>
      <c r="G398" s="764" t="n">
        <v>2</v>
      </c>
      <c r="H398" s="765">
        <f>IF(G398=1,F398-I398-J398-K398,IF(G398=2,F398,0))</f>
        <v>50940</v>
      </c>
      <c r="I398" s="765">
        <f>ROUND(IF(G398=1,F398*10/23,IF(G398=3,F398-J398-K398,IF(G398=4,F398,IF(G398=5,F398*10/11,IF(G398=7,F398*10/11,0))))),0)</f>
        <v>0</v>
      </c>
      <c r="J398" s="765">
        <f>ROUND(IF(G398=1,F398/23,IF(G398=3,F398/12,IF(G398=5,F398-I398,IF(G398=8,F398,0)))),0)</f>
        <v>0</v>
      </c>
      <c r="K398" s="766">
        <f>ROUND(IF(G398=1,F398/23,IF(G398=3,F398/12,IF(G398=6,F398,IF(G398=7,F398-I398,0)))),0)</f>
        <v>0</v>
      </c>
      <c r="L398" s="767">
        <f>IF(G398=6,F398,0)</f>
        <v>0</v>
      </c>
      <c r="M398" s="421">
        <f>IF(F398="",0,MONTH(A398))</f>
        <v>9</v>
      </c>
      <c r="P398" s="768" t="inlineStr">
        <is>
          <t>昨年実績</t>
        </is>
      </c>
      <c r="Q398" s="769" t="str">
        <f>IF($F398="","",IFERROR(VLOOKUP($C398&amp;"|"&amp;$D398,科目表!$A$5:$B$200,2,FALSE),"※未登録"))</f>
        <v>旅費</v>
      </c>
      <c r="R398" s="769">
        <f>IF($F398="","",$I398+$J398+$K398)</f>
        <v>0</v>
      </c>
      <c r="S398" s="769" t="str">
        <f>IF(OR($F398="",$P398="支払なし",$H398=0,$Q398=""),"",$Q398&amp;"|S|"&amp;(COUNTIF(S$4:S397,$Q398&amp;"|S|*")+1))</f>
        <v>旅費|S|13</v>
      </c>
      <c r="T398" s="769" t="str">
        <f>IF(OR($F398="",$P398="支払なし",$R398=0,$Q398=""),"",$Q398&amp;"|L|"&amp;(COUNTIF(T$4:T397,$Q398&amp;"|L|*")+1))</f>
        <v/>
      </c>
      <c r="U398" s="769">
        <f>IF(OR($F398="",$A398=""),"",MOD(MONTH($A398)-4,12)+1)</f>
        <v>6</v>
      </c>
    </row>
    <row r="399" ht="16.5" customFormat="1" customHeight="1" s="422">
      <c r="A399" s="760" t="n">
        <v>45555</v>
      </c>
      <c r="B399" s="761" t="n"/>
      <c r="C399" s="762" t="inlineStr">
        <is>
          <t>旅費</t>
        </is>
      </c>
      <c r="D399" s="762" t="n"/>
      <c r="E399" s="762" t="inlineStr">
        <is>
          <t>9/24 短期給付事務研修会　特別区　上野主事</t>
        </is>
      </c>
      <c r="F399" s="764" t="n">
        <v>50940</v>
      </c>
      <c r="G399" s="764" t="n">
        <v>2</v>
      </c>
      <c r="H399" s="765">
        <f>IF(G399=1,F399-I399-J399-K399,IF(G399=2,F399,0))</f>
        <v>50940</v>
      </c>
      <c r="I399" s="765">
        <f>ROUND(IF(G399=1,F399*10/23,IF(G399=3,F399-J399-K399,IF(G399=4,F399,IF(G399=5,F399*10/11,IF(G399=7,F399*10/11,0))))),0)</f>
        <v>0</v>
      </c>
      <c r="J399" s="765">
        <f>ROUND(IF(G399=1,F399/23,IF(G399=3,F399/12,IF(G399=5,F399-I399,IF(G399=8,F399,0)))),0)</f>
        <v>0</v>
      </c>
      <c r="K399" s="766">
        <f>ROUND(IF(G399=1,F399/23,IF(G399=3,F399/12,IF(G399=6,F399,IF(G399=7,F399-I399,0)))),0)</f>
        <v>0</v>
      </c>
      <c r="L399" s="767">
        <f>IF(G399=6,F399,0)</f>
        <v>0</v>
      </c>
      <c r="M399" s="421">
        <f>IF(F399="",0,MONTH(A399))</f>
        <v>9</v>
      </c>
      <c r="P399" s="768" t="inlineStr">
        <is>
          <t>昨年実績</t>
        </is>
      </c>
      <c r="Q399" s="769" t="str">
        <f>IF($F399="","",IFERROR(VLOOKUP($C399&amp;"|"&amp;$D399,科目表!$A$5:$B$200,2,FALSE),"※未登録"))</f>
        <v>旅費</v>
      </c>
      <c r="R399" s="769">
        <f>IF($F399="","",$I399+$J399+$K399)</f>
        <v>0</v>
      </c>
      <c r="S399" s="769" t="str">
        <f>IF(OR($F399="",$P399="支払なし",$H399=0,$Q399=""),"",$Q399&amp;"|S|"&amp;(COUNTIF(S$4:S398,$Q399&amp;"|S|*")+1))</f>
        <v>旅費|S|14</v>
      </c>
      <c r="T399" s="769" t="str">
        <f>IF(OR($F399="",$P399="支払なし",$R399=0,$Q399=""),"",$Q399&amp;"|L|"&amp;(COUNTIF(T$4:T398,$Q399&amp;"|L|*")+1))</f>
        <v/>
      </c>
      <c r="U399" s="769">
        <f>IF(OR($F399="",$A399=""),"",MOD(MONTH($A399)-4,12)+1)</f>
        <v>6</v>
      </c>
    </row>
    <row r="400" ht="16.5" customFormat="1" customHeight="1" s="422">
      <c r="A400" s="760" t="n">
        <v>43781</v>
      </c>
      <c r="B400" s="761" t="n"/>
      <c r="C400" s="762" t="inlineStr">
        <is>
          <t>旅費</t>
        </is>
      </c>
      <c r="D400" s="762" t="n"/>
      <c r="E400" s="762" t="inlineStr">
        <is>
          <t>11/14・15　大都市事務連絡会　大阪市　濱尾次長</t>
        </is>
      </c>
      <c r="F400" s="764" t="n">
        <v>35080</v>
      </c>
      <c r="G400" s="764" t="n">
        <v>1</v>
      </c>
      <c r="H400" s="765">
        <f>IF(G400=1,F400-I400-J400-K400,IF(G400=2,F400,0))</f>
        <v>16778</v>
      </c>
      <c r="I400" s="765">
        <f>ROUND(IF(G400=1,F400*10/23,IF(G400=3,F400-J400-K400,IF(G400=4,F400,IF(G400=5,F400*10/11,IF(G400=7,F400*10/11,0))))),0)</f>
        <v>15252</v>
      </c>
      <c r="J400" s="765">
        <f>ROUND(IF(G400=1,F400/23,IF(G400=3,F400/12,IF(G400=5,F400-I400,IF(G400=8,F400,0)))),0)</f>
        <v>1525</v>
      </c>
      <c r="K400" s="766">
        <f>ROUND(IF(G400=1,F400/23,IF(G400=3,F400/12,IF(G400=6,F400,IF(G400=7,F400-I400,0)))),0)</f>
        <v>1525</v>
      </c>
      <c r="L400" s="767">
        <f>IF(G400=6,F400,0)</f>
        <v>0</v>
      </c>
      <c r="M400" s="421">
        <f>IF(F400="",0,MONTH(A400))</f>
        <v>11</v>
      </c>
      <c r="P400" s="768" t="inlineStr">
        <is>
          <t>昨年実績</t>
        </is>
      </c>
      <c r="Q400" s="769" t="str">
        <f>IF($F400="","",IFERROR(VLOOKUP($C400&amp;"|"&amp;$D400,科目表!$A$5:$B$200,2,FALSE),"※未登録"))</f>
        <v>旅費</v>
      </c>
      <c r="R400" s="769">
        <f>IF($F400="","",$I400+$J400+$K400)</f>
        <v>18302</v>
      </c>
      <c r="S400" s="769" t="str">
        <f>IF(OR($F400="",$P400="支払なし",$H400=0,$Q400=""),"",$Q400&amp;"|S|"&amp;(COUNTIF(S$4:S399,$Q400&amp;"|S|*")+1))</f>
        <v>旅費|S|15</v>
      </c>
      <c r="T400" s="769" t="str">
        <f>IF(OR($F400="",$P400="支払なし",$R400=0,$Q400=""),"",$Q400&amp;"|L|"&amp;(COUNTIF(T$4:T399,$Q400&amp;"|L|*")+1))</f>
        <v>旅費|L|14</v>
      </c>
      <c r="U400" s="769">
        <f>IF(OR($F400="",$A400=""),"",MOD(MONTH($A400)-4,12)+1)</f>
        <v>8</v>
      </c>
    </row>
    <row r="401" ht="16.5" customFormat="1" customHeight="1" s="43">
      <c r="A401" s="760" t="n">
        <v>46301</v>
      </c>
      <c r="B401" s="761" t="n"/>
      <c r="C401" s="762" t="inlineStr">
        <is>
          <t>旅費</t>
        </is>
      </c>
      <c r="D401" s="762" t="n"/>
      <c r="E401" s="775" t="inlineStr">
        <is>
          <t>10/7　情報セキュリティ研修会　東京都　中田主査</t>
        </is>
      </c>
      <c r="F401" s="764" t="n">
        <v>40360</v>
      </c>
      <c r="G401" s="764" t="n">
        <v>1</v>
      </c>
      <c r="H401" s="765">
        <f>IF(G401=1,F401-I401-J401-K401,IF(G401=2,F401,0))</f>
        <v>19302</v>
      </c>
      <c r="I401" s="765">
        <f>ROUND(IF(G401=1,F401*10/23,IF(G401=3,F401-J401-K401,IF(G401=4,F401,IF(G401=5,F401*10/11,IF(G401=7,F401*10/11,0))))),0)</f>
        <v>17548</v>
      </c>
      <c r="J401" s="765">
        <f>ROUND(IF(G401=1,F401/23,IF(G401=3,F401/12,IF(G401=5,F401-I401,IF(G401=8,F401,0)))),0)</f>
        <v>1755</v>
      </c>
      <c r="K401" s="766">
        <f>ROUND(IF(G401=1,F401/23,IF(G401=3,F401/12,IF(G401=6,F401,IF(G401=7,F401-I401,0)))),0)</f>
        <v>1755</v>
      </c>
      <c r="L401" s="767">
        <f>IF(G401=6,F401,0)</f>
        <v>0</v>
      </c>
      <c r="M401" s="572">
        <f>IF(F401="",0,MONTH(A401))</f>
        <v>10</v>
      </c>
      <c r="P401" s="768" t="inlineStr">
        <is>
          <t>確認済</t>
        </is>
      </c>
      <c r="Q401" s="769" t="str">
        <f>IF($F401="","",IFERROR(VLOOKUP($C401&amp;"|"&amp;$D401,科目表!$A$5:$B$200,2,FALSE),"※未登録"))</f>
        <v>旅費</v>
      </c>
      <c r="R401" s="769">
        <f>IF($F401="","",$I401+$J401+$K401)</f>
        <v>21058</v>
      </c>
      <c r="S401" s="769" t="str">
        <f>IF(OR($F401="",$P401="支払なし",$H401=0,$Q401=""),"",$Q401&amp;"|S|"&amp;(COUNTIF(S$4:S400,$Q401&amp;"|S|*")+1))</f>
        <v>旅費|S|16</v>
      </c>
      <c r="T401" s="769" t="str">
        <f>IF(OR($F401="",$P401="支払なし",$R401=0,$Q401=""),"",$Q401&amp;"|L|"&amp;(COUNTIF(T$4:T400,$Q401&amp;"|L|*")+1))</f>
        <v>旅費|L|15</v>
      </c>
      <c r="U401" s="769">
        <f>IF(OR($F401="",$A401=""),"",MOD(MONTH($A401)-4,12)+1)</f>
        <v>7</v>
      </c>
    </row>
    <row r="402" ht="16.5" customFormat="1" customHeight="1" s="422">
      <c r="A402" s="760" t="n">
        <v>45259</v>
      </c>
      <c r="B402" s="761" t="n"/>
      <c r="C402" s="762" t="inlineStr">
        <is>
          <t>事務費</t>
        </is>
      </c>
      <c r="D402" s="762" t="inlineStr">
        <is>
          <t>事務用消耗品費</t>
        </is>
      </c>
      <c r="E402" s="801" t="inlineStr">
        <is>
          <t>インデックス　ML-131B 10冊入　2箱　ほか</t>
        </is>
      </c>
      <c r="F402" s="764" t="n">
        <v>49579</v>
      </c>
      <c r="G402" s="764" t="n">
        <v>3</v>
      </c>
      <c r="H402" s="765">
        <f>IF(G402=1,F402-I402-J402-K402,IF(G402=2,F402,0))</f>
        <v>0</v>
      </c>
      <c r="I402" s="765">
        <f>ROUND(IF(G402=1,F402*10/23,IF(G402=3,F402-J402-K402,IF(G402=4,F402,IF(G402=5,F402*10/11,IF(G402=7,F402*10/11,0))))),0)</f>
        <v>41315</v>
      </c>
      <c r="J402" s="765">
        <f>ROUND(IF(G402=1,F402/23,IF(G402=3,F402/12,IF(G402=5,F402-I402,IF(G402=8,F402,0)))),0)</f>
        <v>4132</v>
      </c>
      <c r="K402" s="766">
        <f>ROUND(IF(G402=1,F402/23,IF(G402=3,F402/12,IF(G402=6,F402,IF(G402=7,F402-I402,0)))),0)</f>
        <v>4132</v>
      </c>
      <c r="L402" s="767">
        <f>IF(G402=6,F402,0)</f>
        <v>0</v>
      </c>
      <c r="M402" s="421">
        <f>IF(F402="",0,MONTH(A402))</f>
        <v>11</v>
      </c>
      <c r="P402" s="768" t="inlineStr">
        <is>
          <t>昨年実績</t>
        </is>
      </c>
      <c r="Q402" s="769" t="str">
        <f>IF($F402="","",IFERROR(VLOOKUP($C402&amp;"|"&amp;$D402,科目表!$A$5:$B$200,2,FALSE),"※未登録"))</f>
        <v>事務用消耗品費</v>
      </c>
      <c r="R402" s="769">
        <f>IF($F402="","",$I402+$J402+$K402)</f>
        <v>49579</v>
      </c>
      <c r="S402" s="769" t="str">
        <f>IF(OR($F402="",$P402="支払なし",$H402=0,$Q402=""),"",$Q402&amp;"|S|"&amp;(COUNTIF(S$4:S401,$Q402&amp;"|S|*")+1))</f>
        <v/>
      </c>
      <c r="T402" s="769" t="str">
        <f>IF(OR($F402="",$P402="支払なし",$R402=0,$Q402=""),"",$Q402&amp;"|L|"&amp;(COUNTIF(T$4:T401,$Q402&amp;"|L|*")+1))</f>
        <v>事務用消耗品費|L|17</v>
      </c>
      <c r="U402" s="769">
        <f>IF(OR($F402="",$A402=""),"",MOD(MONTH($A402)-4,12)+1)</f>
        <v>8</v>
      </c>
    </row>
    <row r="403" ht="16.5" customFormat="1" customHeight="1" s="43">
      <c r="A403" s="760" t="n">
        <v>45989</v>
      </c>
      <c r="B403" s="761" t="n"/>
      <c r="C403" s="762" t="inlineStr">
        <is>
          <t>事務費</t>
        </is>
      </c>
      <c r="D403" s="762" t="inlineStr">
        <is>
          <t>事務用消耗品費</t>
        </is>
      </c>
      <c r="E403" s="770" t="inlineStr">
        <is>
          <t>マチ付きホルダー　ＹＧ－１４／１０枚入　８０パック　外</t>
        </is>
      </c>
      <c r="F403" s="764" t="n">
        <v>81620</v>
      </c>
      <c r="G403" s="764" t="n">
        <v>2</v>
      </c>
      <c r="H403" s="765">
        <f>IF(G403=1,F403-I403-J403-K403,IF(G403=2,F403,0))</f>
        <v>81620</v>
      </c>
      <c r="I403" s="765">
        <f>ROUND(IF(G403=1,F403*10/23,IF(G403=3,F403-J403-K403,IF(G403=4,F403,IF(G403=5,F403*10/11,IF(G403=7,F403*10/11,0))))),0)</f>
        <v>0</v>
      </c>
      <c r="J403" s="765">
        <f>ROUND(IF(G403=1,F403/23,IF(G403=3,F403/12,IF(G403=5,F403-I403,IF(G403=8,F403,0)))),0)</f>
        <v>0</v>
      </c>
      <c r="K403" s="766">
        <f>ROUND(IF(G403=1,F403/23,IF(G403=3,F403/12,IF(G403=6,F403,IF(G403=7,F403-I403,0)))),0)</f>
        <v>0</v>
      </c>
      <c r="L403" s="767">
        <f>IF(G403=6,F403,0)</f>
        <v>0</v>
      </c>
      <c r="M403" s="572">
        <f>IF(F403="",0,MONTH(A403))</f>
        <v>11</v>
      </c>
      <c r="P403" s="768" t="inlineStr">
        <is>
          <t>昨年実績</t>
        </is>
      </c>
      <c r="Q403" s="769" t="str">
        <f>IF($F403="","",IFERROR(VLOOKUP($C403&amp;"|"&amp;$D403,科目表!$A$5:$B$200,2,FALSE),"※未登録"))</f>
        <v>事務用消耗品費</v>
      </c>
      <c r="R403" s="769">
        <f>IF($F403="","",$I403+$J403+$K403)</f>
        <v>0</v>
      </c>
      <c r="S403" s="769" t="str">
        <f>IF(OR($F403="",$P403="支払なし",$H403=0,$Q403=""),"",$Q403&amp;"|S|"&amp;(COUNTIF(S$4:S402,$Q403&amp;"|S|*")+1))</f>
        <v>事務用消耗品費|S|32</v>
      </c>
      <c r="T403" s="769" t="str">
        <f>IF(OR($F403="",$P403="支払なし",$R403=0,$Q403=""),"",$Q403&amp;"|L|"&amp;(COUNTIF(T$4:T402,$Q403&amp;"|L|*")+1))</f>
        <v/>
      </c>
      <c r="U403" s="769">
        <f>IF(OR($F403="",$A403=""),"",MOD(MONTH($A403)-4,12)+1)</f>
        <v>8</v>
      </c>
    </row>
    <row r="404" ht="16.5" customFormat="1" customHeight="1" s="43">
      <c r="A404" s="760" t="n">
        <v>45989</v>
      </c>
      <c r="B404" s="761" t="n"/>
      <c r="C404" s="762" t="inlineStr">
        <is>
          <t>賃借料</t>
        </is>
      </c>
      <c r="D404" s="762" t="n"/>
      <c r="E404" s="770" t="inlineStr">
        <is>
          <t>基幹システム用機器賃借料　10月分（短期）</t>
        </is>
      </c>
      <c r="F404" s="764" t="n">
        <v>672934</v>
      </c>
      <c r="G404" s="772" t="n">
        <v>2</v>
      </c>
      <c r="H404" s="765">
        <f>IF(G404=1,F404-I404-J404-K404,IF(G404=2,F404,0))</f>
        <v>672934</v>
      </c>
      <c r="I404" s="765">
        <f>ROUND(IF(G404=1,F404*10/23,IF(G404=3,F404-J404-K404,IF(G404=4,F404,IF(G404=5,F404*10/11,IF(G404=7,F404*10/11,0))))),0)</f>
        <v>0</v>
      </c>
      <c r="J404" s="765">
        <f>ROUND(IF(G404=1,F404/23,IF(G404=3,F404/12,IF(G404=5,F404-I404,IF(G404=8,F404,0)))),0)</f>
        <v>0</v>
      </c>
      <c r="K404" s="766">
        <f>ROUND(IF(G404=1,F404/23,IF(G404=3,F404/12,IF(G404=6,F404,IF(G404=7,F404-I404,0)))),0)</f>
        <v>0</v>
      </c>
      <c r="L404" s="767">
        <f>IF(G404=6,F404,0)</f>
        <v>0</v>
      </c>
      <c r="M404" s="572">
        <f>IF(F404="",0,MONTH(A404))</f>
        <v>11</v>
      </c>
      <c r="P404" s="768" t="inlineStr">
        <is>
          <t>昨年実績</t>
        </is>
      </c>
      <c r="Q404" s="769" t="str">
        <f>IF($F404="","",IFERROR(VLOOKUP($C404&amp;"|"&amp;$D404,科目表!$A$5:$B$200,2,FALSE),"※未登録"))</f>
        <v>賃借料</v>
      </c>
      <c r="R404" s="769">
        <f>IF($F404="","",$I404+$J404+$K404)</f>
        <v>0</v>
      </c>
      <c r="S404" s="769" t="str">
        <f>IF(OR($F404="",$P404="支払なし",$H404=0,$Q404=""),"",$Q404&amp;"|S|"&amp;(COUNTIF(S$4:S403,$Q404&amp;"|S|*")+1))</f>
        <v>賃借料|S|35</v>
      </c>
      <c r="T404" s="769" t="str">
        <f>IF(OR($F404="",$P404="支払なし",$R404=0,$Q404=""),"",$Q404&amp;"|L|"&amp;(COUNTIF(T$4:T403,$Q404&amp;"|L|*")+1))</f>
        <v/>
      </c>
      <c r="U404" s="769">
        <f>IF(OR($F404="",$A404=""),"",MOD(MONTH($A404)-4,12)+1)</f>
        <v>8</v>
      </c>
    </row>
    <row r="405" ht="16.5" customFormat="1" customHeight="1" s="43">
      <c r="A405" s="760" t="n">
        <v>45989</v>
      </c>
      <c r="B405" s="761" t="n"/>
      <c r="C405" s="762" t="inlineStr">
        <is>
          <t>賃借料</t>
        </is>
      </c>
      <c r="D405" s="762" t="n"/>
      <c r="E405" s="770" t="inlineStr">
        <is>
          <t>基幹システム用機器賃借料　10月分（長期）</t>
        </is>
      </c>
      <c r="F405" s="772" t="n">
        <v>69613</v>
      </c>
      <c r="G405" s="772" t="n">
        <v>3</v>
      </c>
      <c r="H405" s="765">
        <f>IF(G405=1,F405-I405-J405-K405,IF(G405=2,F405,0))</f>
        <v>0</v>
      </c>
      <c r="I405" s="765">
        <f>ROUND(IF(G405=1,F405*10/23,IF(G405=3,F405-J405-K405,IF(G405=4,F405,IF(G405=5,F405*10/11,IF(G405=7,F405*10/11,0))))),0)</f>
        <v>58011</v>
      </c>
      <c r="J405" s="765">
        <f>ROUND(IF(G405=1,F405/23,IF(G405=3,F405/12,IF(G405=5,F405-I405,IF(G405=8,F405,0)))),0)</f>
        <v>5801</v>
      </c>
      <c r="K405" s="766">
        <f>ROUND(IF(G405=1,F405/23,IF(G405=3,F405/12,IF(G405=6,F405,IF(G405=7,F405-I405,0)))),0)</f>
        <v>5801</v>
      </c>
      <c r="L405" s="767">
        <f>IF(G405=6,F405,0)</f>
        <v>0</v>
      </c>
      <c r="M405" s="572">
        <f>IF(F405="",0,MONTH(A405))</f>
        <v>11</v>
      </c>
      <c r="P405" s="768" t="inlineStr">
        <is>
          <t>昨年実績</t>
        </is>
      </c>
      <c r="Q405" s="769" t="str">
        <f>IF($F405="","",IFERROR(VLOOKUP($C405&amp;"|"&amp;$D405,科目表!$A$5:$B$200,2,FALSE),"※未登録"))</f>
        <v>賃借料</v>
      </c>
      <c r="R405" s="769">
        <f>IF($F405="","",$I405+$J405+$K405)</f>
        <v>69613</v>
      </c>
      <c r="S405" s="769" t="str">
        <f>IF(OR($F405="",$P405="支払なし",$H405=0,$Q405=""),"",$Q405&amp;"|S|"&amp;(COUNTIF(S$4:S404,$Q405&amp;"|S|*")+1))</f>
        <v/>
      </c>
      <c r="T405" s="769" t="str">
        <f>IF(OR($F405="",$P405="支払なし",$R405=0,$Q405=""),"",$Q405&amp;"|L|"&amp;(COUNTIF(T$4:T404,$Q405&amp;"|L|*")+1))</f>
        <v>賃借料|L|9</v>
      </c>
      <c r="U405" s="769">
        <f>IF(OR($F405="",$A405=""),"",MOD(MONTH($A405)-4,12)+1)</f>
        <v>8</v>
      </c>
    </row>
    <row r="406" ht="16.5" customFormat="1" customHeight="1" s="43">
      <c r="A406" s="760" t="n">
        <v>46356</v>
      </c>
      <c r="B406" s="761" t="n"/>
      <c r="C406" s="762" t="inlineStr">
        <is>
          <t>事務費</t>
        </is>
      </c>
      <c r="D406" s="762" t="inlineStr">
        <is>
          <t>事務用消耗品費</t>
        </is>
      </c>
      <c r="E406" s="770" t="inlineStr">
        <is>
          <t>シャチハタネーム　ＥＸ１５号　キャップ式　4個</t>
        </is>
      </c>
      <c r="F406" s="764" t="n">
        <v>15200</v>
      </c>
      <c r="G406" s="772" t="n">
        <v>2</v>
      </c>
      <c r="H406" s="765">
        <f>IF(G406=1,F406-I406-J406-K406,IF(G406=2,F406,0))</f>
        <v>15200</v>
      </c>
      <c r="I406" s="765">
        <f>ROUND(IF(G406=1,F406*10/23,IF(G406=3,F406-J406-K406,IF(G406=4,F406,IF(G406=5,F406*10/11,IF(G406=7,F406*10/11,0))))),0)</f>
        <v>0</v>
      </c>
      <c r="J406" s="765">
        <f>ROUND(IF(G406=1,F406/23,IF(G406=3,F406/12,IF(G406=5,F406-I406,IF(G406=8,F406,0)))),0)</f>
        <v>0</v>
      </c>
      <c r="K406" s="766">
        <f>ROUND(IF(G406=1,F406/23,IF(G406=3,F406/12,IF(G406=6,F406,IF(G406=7,F406-I406,0)))),0)</f>
        <v>0</v>
      </c>
      <c r="L406" s="767">
        <f>IF(G406=6,F406,0)</f>
        <v>0</v>
      </c>
      <c r="M406" s="572">
        <f>IF(F406="",0,MONTH(A406))</f>
        <v>11</v>
      </c>
      <c r="P406" s="768" t="inlineStr">
        <is>
          <t>確認済</t>
        </is>
      </c>
      <c r="Q406" s="769" t="str">
        <f>IF($F406="","",IFERROR(VLOOKUP($C406&amp;"|"&amp;$D406,科目表!$A$5:$B$200,2,FALSE),"※未登録"))</f>
        <v>事務用消耗品費</v>
      </c>
      <c r="R406" s="769">
        <f>IF($F406="","",$I406+$J406+$K406)</f>
        <v>0</v>
      </c>
      <c r="S406" s="769" t="str">
        <f>IF(OR($F406="",$P406="支払なし",$H406=0,$Q406=""),"",$Q406&amp;"|S|"&amp;(COUNTIF(S$4:S405,$Q406&amp;"|S|*")+1))</f>
        <v>事務用消耗品費|S|33</v>
      </c>
      <c r="T406" s="769" t="str">
        <f>IF(OR($F406="",$P406="支払なし",$R406=0,$Q406=""),"",$Q406&amp;"|L|"&amp;(COUNTIF(T$4:T405,$Q406&amp;"|L|*")+1))</f>
        <v/>
      </c>
      <c r="U406" s="769">
        <f>IF(OR($F406="",$A406=""),"",MOD(MONTH($A406)-4,12)+1)</f>
        <v>8</v>
      </c>
    </row>
    <row r="407" ht="16.5" customFormat="1" customHeight="1" s="422">
      <c r="A407" s="760" t="n">
        <v>45259</v>
      </c>
      <c r="B407" s="761" t="n"/>
      <c r="C407" s="762" t="inlineStr">
        <is>
          <t>委託費</t>
        </is>
      </c>
      <c r="D407" s="762" t="n"/>
      <c r="E407" s="802" t="inlineStr">
        <is>
          <t>短期給付に係る個人番号管理システムシンクライアント（契約サービス）</t>
        </is>
      </c>
      <c r="F407" s="764" t="n">
        <v>41976</v>
      </c>
      <c r="G407" s="764" t="n">
        <v>2</v>
      </c>
      <c r="H407" s="765">
        <f>IF(G407=1,F407-I407-J407-K407,IF(G407=2,F407,0))</f>
        <v>41976</v>
      </c>
      <c r="I407" s="765">
        <f>ROUND(IF(G407=1,F407*10/23,IF(G407=3,F407-J407-K407,IF(G407=4,F407,IF(G407=5,F407*10/11,IF(G407=7,F407*10/11,0))))),0)</f>
        <v>0</v>
      </c>
      <c r="J407" s="765">
        <f>ROUND(IF(G407=1,F407/23,IF(G407=3,F407/12,IF(G407=5,F407-I407,IF(G407=8,F407,0)))),0)</f>
        <v>0</v>
      </c>
      <c r="K407" s="766">
        <f>ROUND(IF(G407=1,F407/23,IF(G407=3,F407/12,IF(G407=6,F407,IF(G407=7,F407-I407,0)))),0)</f>
        <v>0</v>
      </c>
      <c r="L407" s="767">
        <f>IF(G407=6,F407,0)</f>
        <v>0</v>
      </c>
      <c r="M407" s="421">
        <f>IF(F407="",0,MONTH(A407))</f>
        <v>11</v>
      </c>
      <c r="P407" s="768" t="inlineStr">
        <is>
          <t>昨年実績</t>
        </is>
      </c>
      <c r="Q407" s="769" t="str">
        <f>IF($F407="","",IFERROR(VLOOKUP($C407&amp;"|"&amp;$D407,科目表!$A$5:$B$200,2,FALSE),"※未登録"))</f>
        <v>委託費</v>
      </c>
      <c r="R407" s="769">
        <f>IF($F407="","",$I407+$J407+$K407)</f>
        <v>0</v>
      </c>
      <c r="S407" s="769" t="str">
        <f>IF(OR($F407="",$P407="支払なし",$H407=0,$Q407=""),"",$Q407&amp;"|S|"&amp;(COUNTIF(S$4:S406,$Q407&amp;"|S|*")+1))</f>
        <v>委託費|S|38</v>
      </c>
      <c r="T407" s="769" t="str">
        <f>IF(OR($F407="",$P407="支払なし",$R407=0,$Q407=""),"",$Q407&amp;"|L|"&amp;(COUNTIF(T$4:T406,$Q407&amp;"|L|*")+1))</f>
        <v/>
      </c>
      <c r="U407" s="769">
        <f>IF(OR($F407="",$A407=""),"",MOD(MONTH($A407)-4,12)+1)</f>
        <v>8</v>
      </c>
    </row>
    <row r="408" ht="16.5" customFormat="1" customHeight="1" s="43">
      <c r="A408" s="760" t="n">
        <v>46254</v>
      </c>
      <c r="B408" s="761" t="n"/>
      <c r="C408" s="762" t="inlineStr">
        <is>
          <t>事務費</t>
        </is>
      </c>
      <c r="D408" s="762" t="inlineStr">
        <is>
          <t>図書印刷費</t>
        </is>
      </c>
      <c r="E408" s="763" t="inlineStr">
        <is>
          <t>短期給付決定通知書　６，０００セット</t>
        </is>
      </c>
      <c r="F408" s="764" t="n">
        <v>165000</v>
      </c>
      <c r="G408" s="772" t="n">
        <v>2</v>
      </c>
      <c r="H408" s="765">
        <f>IF(G408=1,F408-I408-J408-K408,IF(G408=2,F408,0))</f>
        <v>165000</v>
      </c>
      <c r="I408" s="765">
        <f>ROUND(IF(G408=1,F408*10/23,IF(G408=3,F408-J408-K408,IF(G408=4,F408,IF(G408=5,F408*10/11,IF(G408=7,F408*10/11,0))))),0)</f>
        <v>0</v>
      </c>
      <c r="J408" s="765">
        <f>ROUND(IF(G408=1,F408/23,IF(G408=3,F408/12,IF(G408=5,F408-I408,IF(G408=8,F408,0)))),0)</f>
        <v>0</v>
      </c>
      <c r="K408" s="766">
        <f>ROUND(IF(G408=1,F408/23,IF(G408=3,F408/12,IF(G408=6,F408,IF(G408=7,F408-I408,0)))),0)</f>
        <v>0</v>
      </c>
      <c r="L408" s="767">
        <f>IF(G408=6,F408,0)</f>
        <v>0</v>
      </c>
      <c r="M408" s="572">
        <f>IF(F408="",0,MONTH(A408))</f>
        <v>8</v>
      </c>
      <c r="P408" s="768" t="inlineStr">
        <is>
          <t>確認済</t>
        </is>
      </c>
      <c r="Q408" s="769" t="str">
        <f>IF($F408="","",IFERROR(VLOOKUP($C408&amp;"|"&amp;$D408,科目表!$A$5:$B$200,2,FALSE),"※未登録"))</f>
        <v>図書印刷費</v>
      </c>
      <c r="R408" s="769">
        <f>IF($F408="","",$I408+$J408+$K408)</f>
        <v>0</v>
      </c>
      <c r="S408" s="769" t="str">
        <f>IF(OR($F408="",$P408="支払なし",$H408=0,$Q408=""),"",$Q408&amp;"|S|"&amp;(COUNTIF(S$4:S407,$Q408&amp;"|S|*")+1))</f>
        <v>図書印刷費|S|16</v>
      </c>
      <c r="T408" s="769" t="str">
        <f>IF(OR($F408="",$P408="支払なし",$R408=0,$Q408=""),"",$Q408&amp;"|L|"&amp;(COUNTIF(T$4:T407,$Q408&amp;"|L|*")+1))</f>
        <v/>
      </c>
      <c r="U408" s="769">
        <f>IF(OR($F408="",$A408=""),"",MOD(MONTH($A408)-4,12)+1)</f>
        <v>5</v>
      </c>
    </row>
    <row r="409" ht="16.5" customFormat="1" customHeight="1" s="43">
      <c r="A409" s="760" t="n">
        <v>45989</v>
      </c>
      <c r="B409" s="761" t="n"/>
      <c r="C409" s="762" t="inlineStr">
        <is>
          <t>事務費</t>
        </is>
      </c>
      <c r="D409" s="762" t="inlineStr">
        <is>
          <t>図書印刷費</t>
        </is>
      </c>
      <c r="E409" s="762" t="inlineStr">
        <is>
          <t>厚生法規総覧追録　６０３６－６０４５号</t>
        </is>
      </c>
      <c r="F409" s="764" t="n">
        <v>33154</v>
      </c>
      <c r="G409" s="764" t="n">
        <v>2</v>
      </c>
      <c r="H409" s="765">
        <f>IF(G409=1,F409-I409-J409-K409,IF(G409=2,F409,0))</f>
        <v>33154</v>
      </c>
      <c r="I409" s="765">
        <f>ROUND(IF(G409=1,F409*10/23,IF(G409=3,F409-J409-K409,IF(G409=4,F409,IF(G409=5,F409*10/11,IF(G409=7,F409*10/11,0))))),0)</f>
        <v>0</v>
      </c>
      <c r="J409" s="765">
        <f>ROUND(IF(G409=1,F409/23,IF(G409=3,F409/12,IF(G409=5,F409-I409,IF(G409=8,F409,0)))),0)</f>
        <v>0</v>
      </c>
      <c r="K409" s="766">
        <f>ROUND(IF(G409=1,F409/23,IF(G409=3,F409/12,IF(G409=6,F409,IF(G409=7,F409-I409,0)))),0)</f>
        <v>0</v>
      </c>
      <c r="L409" s="767">
        <f>IF(G409=6,F409,0)</f>
        <v>0</v>
      </c>
      <c r="M409" s="572">
        <f>IF(F409="",0,MONTH(A409))</f>
        <v>11</v>
      </c>
      <c r="P409" s="768" t="inlineStr">
        <is>
          <t>昨年実績</t>
        </is>
      </c>
      <c r="Q409" s="769" t="str">
        <f>IF($F409="","",IFERROR(VLOOKUP($C409&amp;"|"&amp;$D409,科目表!$A$5:$B$200,2,FALSE),"※未登録"))</f>
        <v>図書印刷費</v>
      </c>
      <c r="R409" s="769">
        <f>IF($F409="","",$I409+$J409+$K409)</f>
        <v>0</v>
      </c>
      <c r="S409" s="769" t="str">
        <f>IF(OR($F409="",$P409="支払なし",$H409=0,$Q409=""),"",$Q409&amp;"|S|"&amp;(COUNTIF(S$4:S408,$Q409&amp;"|S|*")+1))</f>
        <v>図書印刷費|S|17</v>
      </c>
      <c r="T409" s="769" t="str">
        <f>IF(OR($F409="",$P409="支払なし",$R409=0,$Q409=""),"",$Q409&amp;"|L|"&amp;(COUNTIF(T$4:T408,$Q409&amp;"|L|*")+1))</f>
        <v/>
      </c>
      <c r="U409" s="769">
        <f>IF(OR($F409="",$A409=""),"",MOD(MONTH($A409)-4,12)+1)</f>
        <v>8</v>
      </c>
    </row>
    <row r="410" ht="16.5" customFormat="1" customHeight="1" s="43">
      <c r="A410" s="760" t="n">
        <v>46295</v>
      </c>
      <c r="B410" s="761" t="n"/>
      <c r="C410" s="762" t="inlineStr">
        <is>
          <t>委託費</t>
        </is>
      </c>
      <c r="D410" s="762" t="n"/>
      <c r="E410" s="777" t="inlineStr">
        <is>
          <t>オフィスライセンス調達（長期）</t>
        </is>
      </c>
      <c r="F410" s="764" t="n">
        <v>153120</v>
      </c>
      <c r="G410" s="764" t="n">
        <v>3</v>
      </c>
      <c r="H410" s="765">
        <f>IF(G410=1,F410-I410-J410-K410,IF(G410=2,F410,0))</f>
        <v>0</v>
      </c>
      <c r="I410" s="765">
        <f>ROUND(IF(G410=1,F410*10/23,IF(G410=3,F410-J410-K410,IF(G410=4,F410,IF(G410=5,F410*10/11,IF(G410=7,F410*10/11,0))))),0)</f>
        <v>127600</v>
      </c>
      <c r="J410" s="765">
        <f>ROUND(IF(G410=1,F410/23,IF(G410=3,F410/12,IF(G410=5,F410-I410,IF(G410=8,F410,0)))),0)</f>
        <v>12760</v>
      </c>
      <c r="K410" s="766">
        <f>ROUND(IF(G410=1,F410/23,IF(G410=3,F410/12,IF(G410=6,F410,IF(G410=7,F410-I410,0)))),0)</f>
        <v>12760</v>
      </c>
      <c r="L410" s="767">
        <f>IF(G410=6,F410,0)</f>
        <v>0</v>
      </c>
      <c r="M410" s="572">
        <f>IF(F410="",0,MONTH(A410))</f>
        <v>9</v>
      </c>
      <c r="P410" s="768" t="inlineStr">
        <is>
          <t>確認済</t>
        </is>
      </c>
      <c r="Q410" s="769" t="str">
        <f>IF($F410="","",IFERROR(VLOOKUP($C410&amp;"|"&amp;$D410,科目表!$A$5:$B$200,2,FALSE),"※未登録"))</f>
        <v>委託費</v>
      </c>
      <c r="R410" s="769">
        <f>IF($F410="","",$I410+$J410+$K410)</f>
        <v>153120</v>
      </c>
      <c r="S410" s="769" t="str">
        <f>IF(OR($F410="",$P410="支払なし",$H410=0,$Q410=""),"",$Q410&amp;"|S|"&amp;(COUNTIF(S$4:S409,$Q410&amp;"|S|*")+1))</f>
        <v/>
      </c>
      <c r="T410" s="769" t="str">
        <f>IF(OR($F410="",$P410="支払なし",$R410=0,$Q410=""),"",$Q410&amp;"|L|"&amp;(COUNTIF(T$4:T409,$Q410&amp;"|L|*")+1))</f>
        <v>委託費|L|11</v>
      </c>
      <c r="U410" s="769">
        <f>IF(OR($F410="",$A410=""),"",MOD(MONTH($A410)-4,12)+1)</f>
        <v>6</v>
      </c>
    </row>
    <row r="411" ht="16.5" customFormat="1" customHeight="1" s="43">
      <c r="A411" s="760" t="n">
        <v>46295</v>
      </c>
      <c r="B411" s="761" t="n"/>
      <c r="C411" s="762" t="inlineStr">
        <is>
          <t>委託費</t>
        </is>
      </c>
      <c r="D411" s="762" t="n"/>
      <c r="E411" s="777" t="inlineStr">
        <is>
          <t>オフィスライセンス調達（短期）</t>
        </is>
      </c>
      <c r="F411" s="764" t="n">
        <v>1480160</v>
      </c>
      <c r="G411" s="764" t="n">
        <v>2</v>
      </c>
      <c r="H411" s="765">
        <f>IF(G411=1,F411-I411-J411-K411,IF(G411=2,F411,0))</f>
        <v>1480160</v>
      </c>
      <c r="I411" s="765">
        <f>ROUND(IF(G411=1,F411*10/23,IF(G411=3,F411-J411-K411,IF(G411=4,F411,IF(G411=5,F411*10/11,IF(G411=7,F411*10/11,0))))),0)</f>
        <v>0</v>
      </c>
      <c r="J411" s="765">
        <f>ROUND(IF(G411=1,F411/23,IF(G411=3,F411/12,IF(G411=5,F411-I411,IF(G411=8,F411,0)))),0)</f>
        <v>0</v>
      </c>
      <c r="K411" s="766">
        <f>ROUND(IF(G411=1,F411/23,IF(G411=3,F411/12,IF(G411=6,F411,IF(G411=7,F411-I411,0)))),0)</f>
        <v>0</v>
      </c>
      <c r="L411" s="767">
        <f>IF(G411=6,F411,0)</f>
        <v>0</v>
      </c>
      <c r="M411" s="572">
        <f>IF(F411="",0,MONTH(A411))</f>
        <v>9</v>
      </c>
      <c r="P411" s="768" t="inlineStr">
        <is>
          <t>確認済</t>
        </is>
      </c>
      <c r="Q411" s="769" t="str">
        <f>IF($F411="","",IFERROR(VLOOKUP($C411&amp;"|"&amp;$D411,科目表!$A$5:$B$200,2,FALSE),"※未登録"))</f>
        <v>委託費</v>
      </c>
      <c r="R411" s="769">
        <f>IF($F411="","",$I411+$J411+$K411)</f>
        <v>0</v>
      </c>
      <c r="S411" s="769" t="str">
        <f>IF(OR($F411="",$P411="支払なし",$H411=0,$Q411=""),"",$Q411&amp;"|S|"&amp;(COUNTIF(S$4:S410,$Q411&amp;"|S|*")+1))</f>
        <v>委託費|S|39</v>
      </c>
      <c r="T411" s="769" t="str">
        <f>IF(OR($F411="",$P411="支払なし",$R411=0,$Q411=""),"",$Q411&amp;"|L|"&amp;(COUNTIF(T$4:T410,$Q411&amp;"|L|*")+1))</f>
        <v/>
      </c>
      <c r="U411" s="769">
        <f>IF(OR($F411="",$A411=""),"",MOD(MONTH($A411)-4,12)+1)</f>
        <v>6</v>
      </c>
    </row>
    <row r="412" ht="16.5" customFormat="1" customHeight="1" s="43">
      <c r="A412" s="760" t="n">
        <v>45954</v>
      </c>
      <c r="B412" s="761" t="n"/>
      <c r="C412" s="762" t="inlineStr">
        <is>
          <t>委託費</t>
        </is>
      </c>
      <c r="D412" s="762" t="n"/>
      <c r="E412" s="777" t="inlineStr">
        <is>
          <t>基幹・特定検診等システムMicro Focus COBOL 更新ライセンス</t>
        </is>
      </c>
      <c r="F412" s="764" t="n">
        <v>36942</v>
      </c>
      <c r="G412" s="764" t="n">
        <v>3</v>
      </c>
      <c r="H412" s="765">
        <f>IF(G412=1,F412-I412-J412-K412,IF(G412=2,F412,0))</f>
        <v>0</v>
      </c>
      <c r="I412" s="765">
        <f>ROUND(IF(G412=1,F412*10/23,IF(G412=3,F412-J412-K412,IF(G412=4,F412,IF(G412=5,F412*10/11,IF(G412=7,F412*10/11,0))))),0)</f>
        <v>30784</v>
      </c>
      <c r="J412" s="765">
        <f>ROUND(IF(G412=1,F412/23,IF(G412=3,F412/12,IF(G412=5,F412-I412,IF(G412=8,F412,0)))),0)</f>
        <v>3079</v>
      </c>
      <c r="K412" s="766">
        <f>ROUND(IF(G412=1,F412/23,IF(G412=3,F412/12,IF(G412=6,F412,IF(G412=7,F412-I412,0)))),0)</f>
        <v>3079</v>
      </c>
      <c r="L412" s="767">
        <f>IF(G412=6,F412,0)</f>
        <v>0</v>
      </c>
      <c r="M412" s="572">
        <f>IF(F412="",0,MONTH(A412))</f>
        <v>10</v>
      </c>
      <c r="P412" s="768" t="inlineStr">
        <is>
          <t>昨年実績</t>
        </is>
      </c>
      <c r="Q412" s="769" t="str">
        <f>IF($F412="","",IFERROR(VLOOKUP($C412&amp;"|"&amp;$D412,科目表!$A$5:$B$200,2,FALSE),"※未登録"))</f>
        <v>委託費</v>
      </c>
      <c r="R412" s="769">
        <f>IF($F412="","",$I412+$J412+$K412)</f>
        <v>36942</v>
      </c>
      <c r="S412" s="769" t="str">
        <f>IF(OR($F412="",$P412="支払なし",$H412=0,$Q412=""),"",$Q412&amp;"|S|"&amp;(COUNTIF(S$4:S411,$Q412&amp;"|S|*")+1))</f>
        <v/>
      </c>
      <c r="T412" s="769" t="str">
        <f>IF(OR($F412="",$P412="支払なし",$R412=0,$Q412=""),"",$Q412&amp;"|L|"&amp;(COUNTIF(T$4:T411,$Q412&amp;"|L|*")+1))</f>
        <v>委託費|L|12</v>
      </c>
      <c r="U412" s="769">
        <f>IF(OR($F412="",$A412=""),"",MOD(MONTH($A412)-4,12)+1)</f>
        <v>7</v>
      </c>
    </row>
    <row r="413" ht="16.5" customFormat="1" customHeight="1" s="43">
      <c r="A413" s="760" t="n">
        <v>45954</v>
      </c>
      <c r="B413" s="761" t="n"/>
      <c r="C413" s="762" t="inlineStr">
        <is>
          <t>委託費</t>
        </is>
      </c>
      <c r="D413" s="762" t="n"/>
      <c r="E413" s="777" t="inlineStr">
        <is>
          <t>基幹・特定検診等システムMicro Focus COBOL 更新ライセンス</t>
        </is>
      </c>
      <c r="F413" s="764" t="n">
        <v>357112</v>
      </c>
      <c r="G413" s="764" t="n">
        <v>2</v>
      </c>
      <c r="H413" s="765">
        <f>IF(G413=1,F413-I413-J413-K413,IF(G413=2,F413,0))</f>
        <v>357112</v>
      </c>
      <c r="I413" s="765">
        <f>ROUND(IF(G413=1,F413*10/23,IF(G413=3,F413-J413-K413,IF(G413=4,F413,IF(G413=5,F413*10/11,IF(G413=7,F413*10/11,0))))),0)</f>
        <v>0</v>
      </c>
      <c r="J413" s="765">
        <f>ROUND(IF(G413=1,F413/23,IF(G413=3,F413/12,IF(G413=5,F413-I413,IF(G413=8,F413,0)))),0)</f>
        <v>0</v>
      </c>
      <c r="K413" s="766">
        <f>ROUND(IF(G413=1,F413/23,IF(G413=3,F413/12,IF(G413=6,F413,IF(G413=7,F413-I413,0)))),0)</f>
        <v>0</v>
      </c>
      <c r="L413" s="767">
        <f>IF(G413=6,F413,0)</f>
        <v>0</v>
      </c>
      <c r="M413" s="572">
        <f>IF(F413="",0,MONTH(A413))</f>
        <v>10</v>
      </c>
      <c r="P413" s="768" t="inlineStr">
        <is>
          <t>昨年実績</t>
        </is>
      </c>
      <c r="Q413" s="769" t="str">
        <f>IF($F413="","",IFERROR(VLOOKUP($C413&amp;"|"&amp;$D413,科目表!$A$5:$B$200,2,FALSE),"※未登録"))</f>
        <v>委託費</v>
      </c>
      <c r="R413" s="769">
        <f>IF($F413="","",$I413+$J413+$K413)</f>
        <v>0</v>
      </c>
      <c r="S413" s="769" t="str">
        <f>IF(OR($F413="",$P413="支払なし",$H413=0,$Q413=""),"",$Q413&amp;"|S|"&amp;(COUNTIF(S$4:S412,$Q413&amp;"|S|*")+1))</f>
        <v>委託費|S|40</v>
      </c>
      <c r="T413" s="769" t="str">
        <f>IF(OR($F413="",$P413="支払なし",$R413=0,$Q413=""),"",$Q413&amp;"|L|"&amp;(COUNTIF(T$4:T412,$Q413&amp;"|L|*")+1))</f>
        <v/>
      </c>
      <c r="U413" s="769">
        <f>IF(OR($F413="",$A413=""),"",MOD(MONTH($A413)-4,12)+1)</f>
        <v>7</v>
      </c>
    </row>
    <row r="414" ht="16.5" customFormat="1" customHeight="1" s="422">
      <c r="A414" s="760" t="n">
        <v>43798</v>
      </c>
      <c r="B414" s="761" t="n"/>
      <c r="C414" s="762" t="inlineStr">
        <is>
          <t>委託費</t>
        </is>
      </c>
      <c r="D414" s="762" t="n"/>
      <c r="E414" s="777" t="inlineStr">
        <is>
          <t>基幹システム機器更改導入準備作業・稼働検証（出張費）</t>
        </is>
      </c>
      <c r="F414" s="764" t="n">
        <v>13449</v>
      </c>
      <c r="G414" s="764" t="n">
        <v>3</v>
      </c>
      <c r="H414" s="765">
        <f>IF(G414=1,F414-I414-J414-K414,IF(G414=2,F414,0))</f>
        <v>0</v>
      </c>
      <c r="I414" s="765">
        <f>ROUND(IF(G414=1,F414*10/23,IF(G414=3,F414-J414-K414,IF(G414=4,F414,IF(G414=5,F414*10/11,IF(G414=7,F414*10/11,0))))),0)</f>
        <v>11207</v>
      </c>
      <c r="J414" s="765">
        <f>ROUND(IF(G414=1,F414/23,IF(G414=3,F414/12,IF(G414=5,F414-I414,IF(G414=8,F414,0)))),0)</f>
        <v>1121</v>
      </c>
      <c r="K414" s="766">
        <f>ROUND(IF(G414=1,F414/23,IF(G414=3,F414/12,IF(G414=6,F414,IF(G414=7,F414-I414,0)))),0)</f>
        <v>1121</v>
      </c>
      <c r="L414" s="767">
        <f>IF(G414=6,F414,0)</f>
        <v>0</v>
      </c>
      <c r="M414" s="421">
        <f>IF(F414="",0,MONTH(A414))</f>
        <v>11</v>
      </c>
      <c r="P414" s="768" t="inlineStr">
        <is>
          <t>昨年実績</t>
        </is>
      </c>
      <c r="Q414" s="769" t="str">
        <f>IF($F414="","",IFERROR(VLOOKUP($C414&amp;"|"&amp;$D414,科目表!$A$5:$B$200,2,FALSE),"※未登録"))</f>
        <v>委託費</v>
      </c>
      <c r="R414" s="769">
        <f>IF($F414="","",$I414+$J414+$K414)</f>
        <v>13449</v>
      </c>
      <c r="S414" s="769" t="str">
        <f>IF(OR($F414="",$P414="支払なし",$H414=0,$Q414=""),"",$Q414&amp;"|S|"&amp;(COUNTIF(S$4:S413,$Q414&amp;"|S|*")+1))</f>
        <v/>
      </c>
      <c r="T414" s="769" t="str">
        <f>IF(OR($F414="",$P414="支払なし",$R414=0,$Q414=""),"",$Q414&amp;"|L|"&amp;(COUNTIF(T$4:T413,$Q414&amp;"|L|*")+1))</f>
        <v>委託費|L|13</v>
      </c>
      <c r="U414" s="769">
        <f>IF(OR($F414="",$A414=""),"",MOD(MONTH($A414)-4,12)+1)</f>
        <v>8</v>
      </c>
    </row>
    <row r="415" ht="16.5" customFormat="1" customHeight="1" s="422">
      <c r="A415" s="760" t="n">
        <v>43798</v>
      </c>
      <c r="B415" s="761" t="n"/>
      <c r="C415" s="762" t="inlineStr">
        <is>
          <t>委託費</t>
        </is>
      </c>
      <c r="D415" s="762" t="n"/>
      <c r="E415" s="777" t="inlineStr">
        <is>
          <t>基幹システム機器更改導入準備作業・稼働検証（出張費）</t>
        </is>
      </c>
      <c r="F415" s="764" t="n">
        <v>13449</v>
      </c>
      <c r="G415" s="764" t="n">
        <v>2</v>
      </c>
      <c r="H415" s="765">
        <f>IF(G415=1,F415-I415-J415-K415,IF(G415=2,F415,0))</f>
        <v>13449</v>
      </c>
      <c r="I415" s="765">
        <f>ROUND(IF(G415=1,F415*10/23,IF(G415=3,F415-J415-K415,IF(G415=4,F415,IF(G415=5,F415*10/11,IF(G415=7,F415*10/11,0))))),0)</f>
        <v>0</v>
      </c>
      <c r="J415" s="765">
        <f>ROUND(IF(G415=1,F415/23,IF(G415=3,F415/12,IF(G415=5,F415-I415,IF(G415=8,F415,0)))),0)</f>
        <v>0</v>
      </c>
      <c r="K415" s="766">
        <f>ROUND(IF(G415=1,F415/23,IF(G415=3,F415/12,IF(G415=6,F415,IF(G415=7,F415-I415,0)))),0)</f>
        <v>0</v>
      </c>
      <c r="L415" s="767">
        <f>IF(G415=6,F415,0)</f>
        <v>0</v>
      </c>
      <c r="M415" s="421">
        <f>IF(F415="",0,MONTH(A415))</f>
        <v>11</v>
      </c>
      <c r="P415" s="768" t="inlineStr">
        <is>
          <t>昨年実績</t>
        </is>
      </c>
      <c r="Q415" s="769" t="str">
        <f>IF($F415="","",IFERROR(VLOOKUP($C415&amp;"|"&amp;$D415,科目表!$A$5:$B$200,2,FALSE),"※未登録"))</f>
        <v>委託費</v>
      </c>
      <c r="R415" s="769">
        <f>IF($F415="","",$I415+$J415+$K415)</f>
        <v>0</v>
      </c>
      <c r="S415" s="769" t="str">
        <f>IF(OR($F415="",$P415="支払なし",$H415=0,$Q415=""),"",$Q415&amp;"|S|"&amp;(COUNTIF(S$4:S414,$Q415&amp;"|S|*")+1))</f>
        <v>委託費|S|41</v>
      </c>
      <c r="T415" s="769" t="str">
        <f>IF(OR($F415="",$P415="支払なし",$R415=0,$Q415=""),"",$Q415&amp;"|L|"&amp;(COUNTIF(T$4:T414,$Q415&amp;"|L|*")+1))</f>
        <v/>
      </c>
      <c r="U415" s="769">
        <f>IF(OR($F415="",$A415=""),"",MOD(MONTH($A415)-4,12)+1)</f>
        <v>8</v>
      </c>
    </row>
    <row r="416" ht="16.5" customFormat="1" customHeight="1" s="422">
      <c r="A416" s="760" t="n">
        <v>43798</v>
      </c>
      <c r="B416" s="761" t="n"/>
      <c r="C416" s="762" t="inlineStr">
        <is>
          <t>委託費</t>
        </is>
      </c>
      <c r="D416" s="762" t="n"/>
      <c r="E416" s="777" t="inlineStr">
        <is>
          <t>基幹システム機器更改に伴う個別システム改修</t>
        </is>
      </c>
      <c r="F416" s="764" t="n">
        <v>5055402</v>
      </c>
      <c r="G416" s="764" t="n">
        <v>3</v>
      </c>
      <c r="H416" s="765">
        <f>IF(G416=1,F416-I416-J416-K416,IF(G416=2,F416,0))</f>
        <v>0</v>
      </c>
      <c r="I416" s="765">
        <f>ROUND(IF(G416=1,F416*10/23,IF(G416=3,F416-J416-K416,IF(G416=4,F416,IF(G416=5,F416*10/11,IF(G416=7,F416*10/11,0))))),0)</f>
        <v>4212834</v>
      </c>
      <c r="J416" s="765">
        <f>ROUND(IF(G416=1,F416/23,IF(G416=3,F416/12,IF(G416=5,F416-I416,IF(G416=8,F416,0)))),0)</f>
        <v>421284</v>
      </c>
      <c r="K416" s="766">
        <f>ROUND(IF(G416=1,F416/23,IF(G416=3,F416/12,IF(G416=6,F416,IF(G416=7,F416-I416,0)))),0)</f>
        <v>421284</v>
      </c>
      <c r="L416" s="767">
        <f>IF(G416=6,F416,0)</f>
        <v>0</v>
      </c>
      <c r="M416" s="421">
        <f>IF(F416="",0,MONTH(A416))</f>
        <v>11</v>
      </c>
      <c r="P416" s="768" t="inlineStr">
        <is>
          <t>昨年実績</t>
        </is>
      </c>
      <c r="Q416" s="769" t="str">
        <f>IF($F416="","",IFERROR(VLOOKUP($C416&amp;"|"&amp;$D416,科目表!$A$5:$B$200,2,FALSE),"※未登録"))</f>
        <v>委託費</v>
      </c>
      <c r="R416" s="769">
        <f>IF($F416="","",$I416+$J416+$K416)</f>
        <v>5055402</v>
      </c>
      <c r="S416" s="769" t="str">
        <f>IF(OR($F416="",$P416="支払なし",$H416=0,$Q416=""),"",$Q416&amp;"|S|"&amp;(COUNTIF(S$4:S415,$Q416&amp;"|S|*")+1))</f>
        <v/>
      </c>
      <c r="T416" s="769" t="str">
        <f>IF(OR($F416="",$P416="支払なし",$R416=0,$Q416=""),"",$Q416&amp;"|L|"&amp;(COUNTIF(T$4:T415,$Q416&amp;"|L|*")+1))</f>
        <v>委託費|L|14</v>
      </c>
      <c r="U416" s="769">
        <f>IF(OR($F416="",$A416=""),"",MOD(MONTH($A416)-4,12)+1)</f>
        <v>8</v>
      </c>
    </row>
    <row r="417" ht="16.5" customFormat="1" customHeight="1" s="422">
      <c r="A417" s="760" t="n">
        <v>45635</v>
      </c>
      <c r="B417" s="761" t="n"/>
      <c r="C417" s="762" t="inlineStr">
        <is>
          <t>委託費</t>
        </is>
      </c>
      <c r="D417" s="762" t="n"/>
      <c r="E417" s="777" t="inlineStr">
        <is>
          <t>基幹システム機器更改に伴う個別システム改修</t>
        </is>
      </c>
      <c r="F417" s="764" t="n">
        <v>6269046</v>
      </c>
      <c r="G417" s="764" t="n">
        <v>2</v>
      </c>
      <c r="H417" s="765">
        <f>IF(G417=1,F417-I417-J417-K417,IF(G417=2,F417,0))</f>
        <v>6269046</v>
      </c>
      <c r="I417" s="765">
        <f>ROUND(IF(G417=1,F417*10/23,IF(G417=3,F417-J417-K417,IF(G417=4,F417,IF(G417=5,F417*10/11,IF(G417=7,F417*10/11,0))))),0)</f>
        <v>0</v>
      </c>
      <c r="J417" s="765">
        <f>ROUND(IF(G417=1,F417/23,IF(G417=3,F417/12,IF(G417=5,F417-I417,IF(G417=8,F417,0)))),0)</f>
        <v>0</v>
      </c>
      <c r="K417" s="766">
        <f>ROUND(IF(G417=1,F417/23,IF(G417=3,F417/12,IF(G417=6,F417,IF(G417=7,F417-I417,0)))),0)</f>
        <v>0</v>
      </c>
      <c r="L417" s="767">
        <f>IF(G417=6,F417,0)</f>
        <v>0</v>
      </c>
      <c r="M417" s="421">
        <f>IF(F417="",0,MONTH(A417))</f>
        <v>12</v>
      </c>
      <c r="P417" s="768" t="inlineStr">
        <is>
          <t>昨年実績</t>
        </is>
      </c>
      <c r="Q417" s="769" t="str">
        <f>IF($F417="","",IFERROR(VLOOKUP($C417&amp;"|"&amp;$D417,科目表!$A$5:$B$200,2,FALSE),"※未登録"))</f>
        <v>委託費</v>
      </c>
      <c r="R417" s="769">
        <f>IF($F417="","",$I417+$J417+$K417)</f>
        <v>0</v>
      </c>
      <c r="S417" s="769" t="str">
        <f>IF(OR($F417="",$P417="支払なし",$H417=0,$Q417=""),"",$Q417&amp;"|S|"&amp;(COUNTIF(S$4:S416,$Q417&amp;"|S|*")+1))</f>
        <v>委託費|S|42</v>
      </c>
      <c r="T417" s="769" t="str">
        <f>IF(OR($F417="",$P417="支払なし",$R417=0,$Q417=""),"",$Q417&amp;"|L|"&amp;(COUNTIF(T$4:T416,$Q417&amp;"|L|*")+1))</f>
        <v/>
      </c>
      <c r="U417" s="769">
        <f>IF(OR($F417="",$A417=""),"",MOD(MONTH($A417)-4,12)+1)</f>
        <v>9</v>
      </c>
    </row>
    <row r="418" ht="16.5" customFormat="1" customHeight="1" s="43">
      <c r="A418" s="760" t="n">
        <v>46324</v>
      </c>
      <c r="B418" s="761" t="n"/>
      <c r="C418" s="762" t="inlineStr">
        <is>
          <t>委託費</t>
        </is>
      </c>
      <c r="D418" s="762" t="n"/>
      <c r="E418" s="770" t="inlineStr">
        <is>
          <t>令和９年扶養親族等申告書折り業務</t>
        </is>
      </c>
      <c r="F418" s="764" t="n">
        <v>9685</v>
      </c>
      <c r="G418" s="764" t="n">
        <v>3</v>
      </c>
      <c r="H418" s="765">
        <f>IF(G418=1,F418-I418-J418-K418,IF(G418=2,F418,0))</f>
        <v>0</v>
      </c>
      <c r="I418" s="765">
        <f>ROUND(IF(G418=1,F418*10/23,IF(G418=3,F418-J418-K418,IF(G418=4,F418,IF(G418=5,F418*10/11,IF(G418=7,F418*10/11,0))))),0)</f>
        <v>8071</v>
      </c>
      <c r="J418" s="765">
        <f>ROUND(IF(G418=1,F418/23,IF(G418=3,F418/12,IF(G418=5,F418-I418,IF(G418=8,F418,0)))),0)</f>
        <v>807</v>
      </c>
      <c r="K418" s="766">
        <f>ROUND(IF(G418=1,F418/23,IF(G418=3,F418/12,IF(G418=6,F418,IF(G418=7,F418-I418,0)))),0)</f>
        <v>807</v>
      </c>
      <c r="L418" s="767">
        <f>IF(G418=6,F418,0)</f>
        <v>0</v>
      </c>
      <c r="M418" s="572">
        <f>IF(F418="",0,MONTH(A418))</f>
        <v>10</v>
      </c>
      <c r="P418" s="768" t="inlineStr">
        <is>
          <t>確認済</t>
        </is>
      </c>
      <c r="Q418" s="769" t="str">
        <f>IF($F418="","",IFERROR(VLOOKUP($C418&amp;"|"&amp;$D418,科目表!$A$5:$B$200,2,FALSE),"※未登録"))</f>
        <v>委託費</v>
      </c>
      <c r="R418" s="769">
        <f>IF($F418="","",$I418+$J418+$K418)</f>
        <v>9685</v>
      </c>
      <c r="S418" s="769" t="str">
        <f>IF(OR($F418="",$P418="支払なし",$H418=0,$Q418=""),"",$Q418&amp;"|S|"&amp;(COUNTIF(S$4:S417,$Q418&amp;"|S|*")+1))</f>
        <v/>
      </c>
      <c r="T418" s="769" t="str">
        <f>IF(OR($F418="",$P418="支払なし",$R418=0,$Q418=""),"",$Q418&amp;"|L|"&amp;(COUNTIF(T$4:T417,$Q418&amp;"|L|*")+1))</f>
        <v>委託費|L|15</v>
      </c>
      <c r="U418" s="769">
        <f>IF(OR($F418="",$A418=""),"",MOD(MONTH($A418)-4,12)+1)</f>
        <v>7</v>
      </c>
    </row>
    <row r="419" ht="16.5" customFormat="1" customHeight="1" s="418">
      <c r="A419" s="760" t="n">
        <v>45987</v>
      </c>
      <c r="B419" s="761" t="n"/>
      <c r="C419" s="762" t="inlineStr">
        <is>
          <t>負担金</t>
        </is>
      </c>
      <c r="D419" s="762" t="inlineStr">
        <is>
          <t>負担金</t>
        </is>
      </c>
      <c r="E419" s="762" t="inlineStr">
        <is>
          <t>共済短期・介護負担金（11月月例分）長期</t>
        </is>
      </c>
      <c r="F419" s="772" t="n">
        <v>22835</v>
      </c>
      <c r="G419" s="772" t="n">
        <v>3</v>
      </c>
      <c r="H419" s="765">
        <f>IF(G419=1,F419-I419-J419-K419,IF(G419=2,F419,0))</f>
        <v>0</v>
      </c>
      <c r="I419" s="765">
        <f>ROUND(IF(G419=1,F419*10/23,IF(G419=3,F419-J419-K419,IF(G419=4,F419,IF(G419=5,F419*10/11,IF(G419=7,F419*10/11,0))))),0)</f>
        <v>19029</v>
      </c>
      <c r="J419" s="765">
        <f>ROUND(IF(G419=1,F419/23,IF(G419=3,F419/12,IF(G419=5,F419-I419,IF(G419=8,F419,0)))),0)</f>
        <v>1903</v>
      </c>
      <c r="K419" s="766">
        <f>ROUND(IF(G419=1,F419/23,IF(G419=3,F419/12,IF(G419=6,F419,IF(G419=7,F419-I419,0)))),0)</f>
        <v>1903</v>
      </c>
      <c r="L419" s="767">
        <f>IF(G419=6,F419,0)</f>
        <v>0</v>
      </c>
      <c r="M419" s="570">
        <f>IF(F419="",0,MONTH(A419))</f>
        <v>11</v>
      </c>
      <c r="P419" s="768" t="inlineStr">
        <is>
          <t>昨年実績</t>
        </is>
      </c>
      <c r="Q419" s="769" t="str">
        <f>IF($F419="","",IFERROR(VLOOKUP($C419&amp;"|"&amp;$D419,科目表!$A$5:$B$200,2,FALSE),"※未登録"))</f>
        <v>共済負担金等</v>
      </c>
      <c r="R419" s="769">
        <f>IF($F419="","",$I419+$J419+$K419)</f>
        <v>22835</v>
      </c>
      <c r="S419" s="769" t="str">
        <f>IF(OR($F419="",$P419="支払なし",$H419=0,$Q419=""),"",$Q419&amp;"|S|"&amp;(COUNTIF(S$4:S418,$Q419&amp;"|S|*")+1))</f>
        <v/>
      </c>
      <c r="T419" s="769" t="str">
        <f>IF(OR($F419="",$P419="支払なし",$R419=0,$Q419=""),"",$Q419&amp;"|L|"&amp;(COUNTIF(T$4:T418,$Q419&amp;"|L|*")+1))</f>
        <v>共済負担金等|L|12</v>
      </c>
      <c r="U419" s="769">
        <f>IF(OR($F419="",$A419=""),"",MOD(MONTH($A419)-4,12)+1)</f>
        <v>8</v>
      </c>
    </row>
    <row r="420" ht="16.5" customFormat="1" customHeight="1" s="418">
      <c r="A420" s="760" t="n">
        <v>45987</v>
      </c>
      <c r="B420" s="761" t="n"/>
      <c r="C420" s="762" t="inlineStr">
        <is>
          <t>負担金</t>
        </is>
      </c>
      <c r="D420" s="762" t="inlineStr">
        <is>
          <t>負担金</t>
        </is>
      </c>
      <c r="E420" s="762" t="inlineStr">
        <is>
          <t>共済短期・介護負担金（11月月例分）短期</t>
        </is>
      </c>
      <c r="F420" s="772" t="n">
        <v>39697</v>
      </c>
      <c r="G420" s="772" t="n">
        <v>2</v>
      </c>
      <c r="H420" s="765">
        <f>IF(G420=1,F420-I420-J420-K420,IF(G420=2,F420,0))</f>
        <v>39697</v>
      </c>
      <c r="I420" s="765">
        <f>ROUND(IF(G420=1,F420*10/23,IF(G420=3,F420-J420-K420,IF(G420=4,F420,IF(G420=5,F420*10/11,IF(G420=7,F420*10/11,0))))),0)</f>
        <v>0</v>
      </c>
      <c r="J420" s="765">
        <f>ROUND(IF(G420=1,F420/23,IF(G420=3,F420/12,IF(G420=5,F420-I420,IF(G420=8,F420,0)))),0)</f>
        <v>0</v>
      </c>
      <c r="K420" s="766">
        <f>ROUND(IF(G420=1,F420/23,IF(G420=3,F420/12,IF(G420=6,F420,IF(G420=7,F420-I420,0)))),0)</f>
        <v>0</v>
      </c>
      <c r="L420" s="767">
        <f>IF(G420=6,F420,0)</f>
        <v>0</v>
      </c>
      <c r="M420" s="570">
        <f>IF(F420="",0,MONTH(A420))</f>
        <v>11</v>
      </c>
      <c r="P420" s="768" t="inlineStr">
        <is>
          <t>昨年実績</t>
        </is>
      </c>
      <c r="Q420" s="769" t="str">
        <f>IF($F420="","",IFERROR(VLOOKUP($C420&amp;"|"&amp;$D420,科目表!$A$5:$B$200,2,FALSE),"※未登録"))</f>
        <v>共済負担金等</v>
      </c>
      <c r="R420" s="769">
        <f>IF($F420="","",$I420+$J420+$K420)</f>
        <v>0</v>
      </c>
      <c r="S420" s="769" t="str">
        <f>IF(OR($F420="",$P420="支払なし",$H420=0,$Q420=""),"",$Q420&amp;"|S|"&amp;(COUNTIF(S$4:S419,$Q420&amp;"|S|*")+1))</f>
        <v>共済負担金等|S|10</v>
      </c>
      <c r="T420" s="769" t="str">
        <f>IF(OR($F420="",$P420="支払なし",$R420=0,$Q420=""),"",$Q420&amp;"|L|"&amp;(COUNTIF(T$4:T419,$Q420&amp;"|L|*")+1))</f>
        <v/>
      </c>
      <c r="U420" s="769">
        <f>IF(OR($F420="",$A420=""),"",MOD(MONTH($A420)-4,12)+1)</f>
        <v>8</v>
      </c>
    </row>
    <row r="421" ht="16.5" customFormat="1" customHeight="1" s="43">
      <c r="A421" s="760" t="n">
        <v>45975</v>
      </c>
      <c r="B421" s="761" t="n"/>
      <c r="C421" s="762" t="inlineStr">
        <is>
          <t>事務費</t>
        </is>
      </c>
      <c r="D421" s="762" t="inlineStr">
        <is>
          <t>事務用消耗品費</t>
        </is>
      </c>
      <c r="E421" s="770" t="inlineStr">
        <is>
          <t>机上プリンターラック　　PR-21 171-777　1台</t>
        </is>
      </c>
      <c r="F421" s="764" t="n">
        <v>19260</v>
      </c>
      <c r="G421" s="764" t="n">
        <v>3</v>
      </c>
      <c r="H421" s="765">
        <f>IF(G421=1,F421-I421-J421-K421,IF(G421=2,F421,0))</f>
        <v>0</v>
      </c>
      <c r="I421" s="765">
        <f>ROUND(IF(G421=1,F421*10/23,IF(G421=3,F421-J421-K421,IF(G421=4,F421,IF(G421=5,F421*10/11,IF(G421=7,F421*10/11,0))))),0)</f>
        <v>16050</v>
      </c>
      <c r="J421" s="765">
        <f>ROUND(IF(G421=1,F421/23,IF(G421=3,F421/12,IF(G421=5,F421-I421,IF(G421=8,F421,0)))),0)</f>
        <v>1605</v>
      </c>
      <c r="K421" s="766">
        <f>ROUND(IF(G421=1,F421/23,IF(G421=3,F421/12,IF(G421=6,F421,IF(G421=7,F421-I421,0)))),0)</f>
        <v>1605</v>
      </c>
      <c r="L421" s="767">
        <f>IF(G421=6,F421,0)</f>
        <v>0</v>
      </c>
      <c r="M421" s="572">
        <f>IF(F421="",0,MONTH(A421))</f>
        <v>11</v>
      </c>
      <c r="P421" s="768" t="inlineStr">
        <is>
          <t>昨年実績</t>
        </is>
      </c>
      <c r="Q421" s="769" t="str">
        <f>IF($F421="","",IFERROR(VLOOKUP($C421&amp;"|"&amp;$D421,科目表!$A$5:$B$200,2,FALSE),"※未登録"))</f>
        <v>事務用消耗品費</v>
      </c>
      <c r="R421" s="769">
        <f>IF($F421="","",$I421+$J421+$K421)</f>
        <v>19260</v>
      </c>
      <c r="S421" s="769" t="str">
        <f>IF(OR($F421="",$P421="支払なし",$H421=0,$Q421=""),"",$Q421&amp;"|S|"&amp;(COUNTIF(S$4:S420,$Q421&amp;"|S|*")+1))</f>
        <v/>
      </c>
      <c r="T421" s="769" t="str">
        <f>IF(OR($F421="",$P421="支払なし",$R421=0,$Q421=""),"",$Q421&amp;"|L|"&amp;(COUNTIF(T$4:T420,$Q421&amp;"|L|*")+1))</f>
        <v>事務用消耗品費|L|18</v>
      </c>
      <c r="U421" s="769">
        <f>IF(OR($F421="",$A421=""),"",MOD(MONTH($A421)-4,12)+1)</f>
        <v>8</v>
      </c>
    </row>
    <row r="422" ht="16.5" customFormat="1" customHeight="1" s="422">
      <c r="A422" s="760" t="n">
        <v>45625</v>
      </c>
      <c r="B422" s="761" t="n"/>
      <c r="C422" s="762" t="inlineStr">
        <is>
          <t>賃借料</t>
        </is>
      </c>
      <c r="D422" s="762" t="n"/>
      <c r="E422" s="770" t="inlineStr">
        <is>
          <t>サーバーラック賃借料（ＪＥＣＣ）（４～１０月分）（短期）</t>
        </is>
      </c>
      <c r="F422" s="764" t="n">
        <v>1967</v>
      </c>
      <c r="G422" s="772" t="n">
        <v>2</v>
      </c>
      <c r="H422" s="765">
        <f>IF(G422=1,F422-I422-J422-K422,IF(G422=2,F422,0))</f>
        <v>1967</v>
      </c>
      <c r="I422" s="765">
        <f>ROUND(IF(G422=1,F422*10/23,IF(G422=3,F422-J422-K422,IF(G422=4,F422,IF(G422=5,F422*10/11,IF(G422=7,F422*10/11,0))))),0)</f>
        <v>0</v>
      </c>
      <c r="J422" s="765">
        <f>ROUND(IF(G422=1,F422/23,IF(G422=3,F422/12,IF(G422=5,F422-I422,IF(G422=8,F422,0)))),0)</f>
        <v>0</v>
      </c>
      <c r="K422" s="766">
        <f>ROUND(IF(G422=1,F422/23,IF(G422=3,F422/12,IF(G422=6,F422,IF(G422=7,F422-I422,0)))),0)</f>
        <v>0</v>
      </c>
      <c r="L422" s="767">
        <f>IF(G422=6,F422,0)</f>
        <v>0</v>
      </c>
      <c r="M422" s="421">
        <f>IF(F422="",0,MONTH(A422))</f>
        <v>11</v>
      </c>
      <c r="P422" s="768" t="inlineStr">
        <is>
          <t>昨年実績</t>
        </is>
      </c>
      <c r="Q422" s="769" t="str">
        <f>IF($F422="","",IFERROR(VLOOKUP($C422&amp;"|"&amp;$D422,科目表!$A$5:$B$200,2,FALSE),"※未登録"))</f>
        <v>賃借料</v>
      </c>
      <c r="R422" s="769">
        <f>IF($F422="","",$I422+$J422+$K422)</f>
        <v>0</v>
      </c>
      <c r="S422" s="769" t="str">
        <f>IF(OR($F422="",$P422="支払なし",$H422=0,$Q422=""),"",$Q422&amp;"|S|"&amp;(COUNTIF(S$4:S421,$Q422&amp;"|S|*")+1))</f>
        <v>賃借料|S|36</v>
      </c>
      <c r="T422" s="769" t="str">
        <f>IF(OR($F422="",$P422="支払なし",$R422=0,$Q422=""),"",$Q422&amp;"|L|"&amp;(COUNTIF(T$4:T421,$Q422&amp;"|L|*")+1))</f>
        <v/>
      </c>
      <c r="U422" s="769">
        <f>IF(OR($F422="",$A422=""),"",MOD(MONTH($A422)-4,12)+1)</f>
        <v>8</v>
      </c>
    </row>
    <row r="423" ht="16.5" customFormat="1" customHeight="1" s="422">
      <c r="A423" s="760" t="n">
        <v>45625</v>
      </c>
      <c r="B423" s="761" t="n"/>
      <c r="C423" s="762" t="inlineStr">
        <is>
          <t>賃借料</t>
        </is>
      </c>
      <c r="D423" s="762" t="n"/>
      <c r="E423" s="770" t="inlineStr">
        <is>
          <t>サーバーラック賃借料（ＪＥＣＣ）（４～１０月分）（長期）</t>
        </is>
      </c>
      <c r="F423" s="772" t="n">
        <v>217</v>
      </c>
      <c r="G423" s="772" t="n">
        <v>3</v>
      </c>
      <c r="H423" s="765">
        <f>IF(G423=1,F423-I423-J423-K423,IF(G423=2,F423,0))</f>
        <v>0</v>
      </c>
      <c r="I423" s="765">
        <f>ROUND(IF(G423=1,F423*10/23,IF(G423=3,F423-J423-K423,IF(G423=4,F423,IF(G423=5,F423*10/11,IF(G423=7,F423*10/11,0))))),0)</f>
        <v>181</v>
      </c>
      <c r="J423" s="765">
        <f>ROUND(IF(G423=1,F423/23,IF(G423=3,F423/12,IF(G423=5,F423-I423,IF(G423=8,F423,0)))),0)</f>
        <v>18</v>
      </c>
      <c r="K423" s="766">
        <f>ROUND(IF(G423=1,F423/23,IF(G423=3,F423/12,IF(G423=6,F423,IF(G423=7,F423-I423,0)))),0)</f>
        <v>18</v>
      </c>
      <c r="L423" s="767">
        <f>IF(G423=6,F423,0)</f>
        <v>0</v>
      </c>
      <c r="M423" s="421">
        <f>IF(F423="",0,MONTH(A423))</f>
        <v>11</v>
      </c>
      <c r="P423" s="768" t="inlineStr">
        <is>
          <t>昨年実績</t>
        </is>
      </c>
      <c r="Q423" s="769" t="str">
        <f>IF($F423="","",IFERROR(VLOOKUP($C423&amp;"|"&amp;$D423,科目表!$A$5:$B$200,2,FALSE),"※未登録"))</f>
        <v>賃借料</v>
      </c>
      <c r="R423" s="769">
        <f>IF($F423="","",$I423+$J423+$K423)</f>
        <v>217</v>
      </c>
      <c r="S423" s="769" t="str">
        <f>IF(OR($F423="",$P423="支払なし",$H423=0,$Q423=""),"",$Q423&amp;"|S|"&amp;(COUNTIF(S$4:S422,$Q423&amp;"|S|*")+1))</f>
        <v/>
      </c>
      <c r="T423" s="769" t="str">
        <f>IF(OR($F423="",$P423="支払なし",$R423=0,$Q423=""),"",$Q423&amp;"|L|"&amp;(COUNTIF(T$4:T422,$Q423&amp;"|L|*")+1))</f>
        <v>賃借料|L|10</v>
      </c>
      <c r="U423" s="769">
        <f>IF(OR($F423="",$A423=""),"",MOD(MONTH($A423)-4,12)+1)</f>
        <v>8</v>
      </c>
    </row>
    <row r="424" ht="16.5" customFormat="1" customHeight="1" s="422">
      <c r="A424" s="760" t="n"/>
      <c r="B424" s="761" t="n"/>
      <c r="C424" s="762" t="n"/>
      <c r="D424" s="762" t="n"/>
      <c r="E424" s="762" t="n"/>
      <c r="F424" s="772" t="n"/>
      <c r="G424" s="764" t="n"/>
      <c r="H424" s="765">
        <f>IF(G424=1,F424-I424-J424-K424,IF(G424=2,F424,0))</f>
        <v>0</v>
      </c>
      <c r="I424" s="765">
        <f>ROUND(IF(G424=1,F424*10/23,IF(G424=3,F424-J424-K424,IF(G424=4,F424,IF(G424=5,F424*10/11,IF(G424=7,F424*10/11,0))))),0)</f>
        <v>0</v>
      </c>
      <c r="J424" s="765">
        <f>ROUND(IF(G424=1,F424/23,IF(G424=3,F424/12,IF(G424=5,F424-I424,IF(G424=8,F424,0)))),0)</f>
        <v>0</v>
      </c>
      <c r="K424" s="766">
        <f>ROUND(IF(G424=1,F424/23,IF(G424=3,F424/12,IF(G424=6,F424,IF(G424=7,F424-I424,0)))),0)</f>
        <v>0</v>
      </c>
      <c r="L424" s="767">
        <f>IF(G424=6,F424,0)</f>
        <v>0</v>
      </c>
      <c r="M424" s="421">
        <f>IF(F424="",0,MONTH(A424))</f>
        <v>0</v>
      </c>
      <c r="P424" s="768" t="n"/>
      <c r="Q424" s="769" t="str">
        <f>IF($F424="","",IFERROR(VLOOKUP($C424&amp;"|"&amp;$D424,科目表!$A$5:$B$200,2,FALSE),"※未登録"))</f>
        <v/>
      </c>
      <c r="R424" s="769" t="str">
        <f>IF($F424="","",$I424+$J424+$K424)</f>
        <v/>
      </c>
      <c r="S424" s="769" t="str">
        <f>IF(OR($F424="",$P424="支払なし",$H424=0,$Q424=""),"",$Q424&amp;"|S|"&amp;(COUNTIF(S$4:S423,$Q424&amp;"|S|*")+1))</f>
        <v/>
      </c>
      <c r="T424" s="769" t="str">
        <f>IF(OR($F424="",$P424="支払なし",$R424=0,$Q424=""),"",$Q424&amp;"|L|"&amp;(COUNTIF(T$4:T423,$Q424&amp;"|L|*")+1))</f>
        <v/>
      </c>
      <c r="U424" s="769" t="str">
        <f>IF(OR($F424="",$A424=""),"",MOD(MONTH($A424)-4,12)+1)</f>
        <v/>
      </c>
    </row>
    <row r="425" ht="16.5" customFormat="1" customHeight="1" s="43">
      <c r="A425" s="760" t="n">
        <v>45992</v>
      </c>
      <c r="B425" s="761" t="n"/>
      <c r="C425" s="762" t="inlineStr">
        <is>
          <t>負担金</t>
        </is>
      </c>
      <c r="D425" s="762" t="inlineStr">
        <is>
          <t>厚年負担金等</t>
        </is>
      </c>
      <c r="E425" s="775" t="inlineStr">
        <is>
          <t>１０月月例分（短期分）子ども子育て拠出金を含む</t>
        </is>
      </c>
      <c r="F425" s="764" t="n">
        <v>59913</v>
      </c>
      <c r="G425" s="764" t="n">
        <v>2</v>
      </c>
      <c r="H425" s="765">
        <f>IF(G425=1,F425-I425-J425-K425,IF(G425=2,F425,0))</f>
        <v>59913</v>
      </c>
      <c r="I425" s="765">
        <f>ROUND(IF(G425=1,F425*10/23,IF(G425=3,F425-J425-K425,IF(G425=4,F425,IF(G425=5,F425*10/11,IF(G425=7,F425*10/11,0))))),0)</f>
        <v>0</v>
      </c>
      <c r="J425" s="765">
        <f>ROUND(IF(G425=1,F425/23,IF(G425=3,F425/12,IF(G425=5,F425-I425,IF(G425=8,F425,0)))),0)</f>
        <v>0</v>
      </c>
      <c r="K425" s="766">
        <f>ROUND(IF(G425=1,F425/23,IF(G425=3,F425/12,IF(G425=6,F425,IF(G425=7,F425-I425,0)))),0)</f>
        <v>0</v>
      </c>
      <c r="L425" s="767">
        <f>IF(G425=6,F425,0)</f>
        <v>0</v>
      </c>
      <c r="M425" s="572">
        <f>IF(F425="",0,MONTH(A425))</f>
        <v>12</v>
      </c>
      <c r="P425" s="768" t="inlineStr">
        <is>
          <t>昨年実績</t>
        </is>
      </c>
      <c r="Q425" s="769" t="str">
        <f>IF($F425="","",IFERROR(VLOOKUP($C425&amp;"|"&amp;$D425,科目表!$A$5:$B$200,2,FALSE),"※未登録"))</f>
        <v>厚年負担金等</v>
      </c>
      <c r="R425" s="769">
        <f>IF($F425="","",$I425+$J425+$K425)</f>
        <v>0</v>
      </c>
      <c r="S425" s="769" t="str">
        <f>IF(OR($F425="",$P425="支払なし",$H425=0,$Q425=""),"",$Q425&amp;"|S|"&amp;(COUNTIF(S$4:S424,$Q425&amp;"|S|*")+1))</f>
        <v>厚年負担金等|S|7</v>
      </c>
      <c r="T425" s="769" t="str">
        <f>IF(OR($F425="",$P425="支払なし",$R425=0,$Q425=""),"",$Q425&amp;"|L|"&amp;(COUNTIF(T$4:T424,$Q425&amp;"|L|*")+1))</f>
        <v/>
      </c>
      <c r="U425" s="769">
        <f>IF(OR($F425="",$A425=""),"",MOD(MONTH($A425)-4,12)+1)</f>
        <v>9</v>
      </c>
    </row>
    <row r="426" ht="16.5" customFormat="1" customHeight="1" s="43">
      <c r="A426" s="760" t="n"/>
      <c r="B426" s="761" t="n"/>
      <c r="C426" s="762" t="n"/>
      <c r="D426" s="762" t="n"/>
      <c r="E426" s="762" t="n"/>
      <c r="F426" s="772" t="n"/>
      <c r="G426" s="764" t="n"/>
      <c r="H426" s="765">
        <f>IF(G426=1,F426-I426-J426-K426,IF(G426=2,F426,0))</f>
        <v>0</v>
      </c>
      <c r="I426" s="765">
        <f>ROUND(IF(G426=1,F426*10/23,IF(G426=3,F426-J426-K426,IF(G426=4,F426,IF(G426=5,F426*10/11,IF(G426=7,F426*10/11,0))))),0)</f>
        <v>0</v>
      </c>
      <c r="J426" s="765">
        <f>ROUND(IF(G426=1,F426/23,IF(G426=3,F426/12,IF(G426=5,F426-I426,IF(G426=8,F426,0)))),0)</f>
        <v>0</v>
      </c>
      <c r="K426" s="766">
        <f>ROUND(IF(G426=1,F426/23,IF(G426=3,F426/12,IF(G426=6,F426,IF(G426=7,F426-I426,0)))),0)</f>
        <v>0</v>
      </c>
      <c r="L426" s="767">
        <f>IF(G426=6,F426,0)</f>
        <v>0</v>
      </c>
      <c r="M426" s="572">
        <f>IF(F426="",0,MONTH(A426))</f>
        <v>0</v>
      </c>
      <c r="P426" s="768" t="n"/>
      <c r="Q426" s="769" t="str">
        <f>IF($F426="","",IFERROR(VLOOKUP($C426&amp;"|"&amp;$D426,科目表!$A$5:$B$200,2,FALSE),"※未登録"))</f>
        <v/>
      </c>
      <c r="R426" s="769" t="str">
        <f>IF($F426="","",$I426+$J426+$K426)</f>
        <v/>
      </c>
      <c r="S426" s="769" t="str">
        <f>IF(OR($F426="",$P426="支払なし",$H426=0,$Q426=""),"",$Q426&amp;"|S|"&amp;(COUNTIF(S$4:S425,$Q426&amp;"|S|*")+1))</f>
        <v/>
      </c>
      <c r="T426" s="769" t="str">
        <f>IF(OR($F426="",$P426="支払なし",$R426=0,$Q426=""),"",$Q426&amp;"|L|"&amp;(COUNTIF(T$4:T425,$Q426&amp;"|L|*")+1))</f>
        <v/>
      </c>
      <c r="U426" s="769" t="str">
        <f>IF(OR($F426="",$A426=""),"",MOD(MONTH($A426)-4,12)+1)</f>
        <v/>
      </c>
    </row>
    <row r="427" ht="16.5" customFormat="1" customHeight="1" s="43">
      <c r="A427" s="760" t="n">
        <v>45992</v>
      </c>
      <c r="B427" s="761" t="n"/>
      <c r="C427" s="762" t="inlineStr">
        <is>
          <t>負担金</t>
        </is>
      </c>
      <c r="D427" s="762" t="inlineStr">
        <is>
          <t>厚年負担金等</t>
        </is>
      </c>
      <c r="E427" s="775" t="inlineStr">
        <is>
          <t>１０月月例分（長期分）子ども子育て拠出金を含む</t>
        </is>
      </c>
      <c r="F427" s="764" t="n">
        <v>37089</v>
      </c>
      <c r="G427" s="764" t="n">
        <v>3</v>
      </c>
      <c r="H427" s="765">
        <f>IF(G427=1,F427-I427-J427-K427,IF(G427=2,F427,0))</f>
        <v>0</v>
      </c>
      <c r="I427" s="765">
        <f>ROUND(IF(G427=1,F427*10/23,IF(G427=3,F427-J427-K427,IF(G427=4,F427,IF(G427=5,F427*10/11,IF(G427=7,F427*10/11,0))))),0)</f>
        <v>30907</v>
      </c>
      <c r="J427" s="765">
        <f>ROUND(IF(G427=1,F427/23,IF(G427=3,F427/12,IF(G427=5,F427-I427,IF(G427=8,F427,0)))),0)</f>
        <v>3091</v>
      </c>
      <c r="K427" s="766">
        <f>ROUND(IF(G427=1,F427/23,IF(G427=3,F427/12,IF(G427=6,F427,IF(G427=7,F427-I427,0)))),0)</f>
        <v>3091</v>
      </c>
      <c r="L427" s="767">
        <f>IF(G427=6,F427,0)</f>
        <v>0</v>
      </c>
      <c r="M427" s="572">
        <f>IF(F427="",0,MONTH(A427))</f>
        <v>12</v>
      </c>
      <c r="P427" s="768" t="inlineStr">
        <is>
          <t>昨年実績</t>
        </is>
      </c>
      <c r="Q427" s="769" t="str">
        <f>IF($F427="","",IFERROR(VLOOKUP($C427&amp;"|"&amp;$D427,科目表!$A$5:$B$200,2,FALSE),"※未登録"))</f>
        <v>厚年負担金等</v>
      </c>
      <c r="R427" s="769">
        <f>IF($F427="","",$I427+$J427+$K427)</f>
        <v>37089</v>
      </c>
      <c r="S427" s="769" t="str">
        <f>IF(OR($F427="",$P427="支払なし",$H427=0,$Q427=""),"",$Q427&amp;"|S|"&amp;(COUNTIF(S$4:S426,$Q427&amp;"|S|*")+1))</f>
        <v/>
      </c>
      <c r="T427" s="769" t="str">
        <f>IF(OR($F427="",$P427="支払なし",$R427=0,$Q427=""),"",$Q427&amp;"|L|"&amp;(COUNTIF(T$4:T426,$Q427&amp;"|L|*")+1))</f>
        <v>厚年負担金等|L|7</v>
      </c>
      <c r="U427" s="769">
        <f>IF(OR($F427="",$A427=""),"",MOD(MONTH($A427)-4,12)+1)</f>
        <v>9</v>
      </c>
    </row>
    <row r="428" ht="16.5" customFormat="1" customHeight="1" s="43">
      <c r="A428" s="760" t="n">
        <v>45989</v>
      </c>
      <c r="B428" s="761" t="n"/>
      <c r="C428" s="762" t="inlineStr">
        <is>
          <t>委託費</t>
        </is>
      </c>
      <c r="D428" s="762" t="n"/>
      <c r="E428" s="762" t="inlineStr">
        <is>
          <t>柔整等療養費支給申請書の入力（１０月分）</t>
        </is>
      </c>
      <c r="F428" s="772" t="n">
        <v>126870</v>
      </c>
      <c r="G428" s="764" t="n">
        <v>2</v>
      </c>
      <c r="H428" s="765">
        <f>IF(G428=1,F428-I428-J428-K428,IF(G428=2,F428,0))</f>
        <v>126870</v>
      </c>
      <c r="I428" s="765">
        <f>ROUND(IF(G428=1,F428*10/23,IF(G428=3,F428-J428-K428,IF(G428=4,F428,IF(G428=5,F428*10/11,IF(G428=7,F428*10/11,0))))),0)</f>
        <v>0</v>
      </c>
      <c r="J428" s="765">
        <f>ROUND(IF(G428=1,F428/23,IF(G428=3,F428/12,IF(G428=5,F428-I428,IF(G428=8,F428,0)))),0)</f>
        <v>0</v>
      </c>
      <c r="K428" s="766">
        <f>ROUND(IF(G428=1,F428/23,IF(G428=3,F428/12,IF(G428=6,F428,IF(G428=7,F428-I428,0)))),0)</f>
        <v>0</v>
      </c>
      <c r="L428" s="767">
        <f>IF(G428=6,F428,0)</f>
        <v>0</v>
      </c>
      <c r="M428" s="572">
        <f>IF(F428="",0,MONTH(A428))</f>
        <v>11</v>
      </c>
      <c r="P428" s="768" t="inlineStr">
        <is>
          <t>昨年実績</t>
        </is>
      </c>
      <c r="Q428" s="769" t="str">
        <f>IF($F428="","",IFERROR(VLOOKUP($C428&amp;"|"&amp;$D428,科目表!$A$5:$B$200,2,FALSE),"※未登録"))</f>
        <v>委託費</v>
      </c>
      <c r="R428" s="769">
        <f>IF($F428="","",$I428+$J428+$K428)</f>
        <v>0</v>
      </c>
      <c r="S428" s="769" t="str">
        <f>IF(OR($F428="",$P428="支払なし",$H428=0,$Q428=""),"",$Q428&amp;"|S|"&amp;(COUNTIF(S$4:S427,$Q428&amp;"|S|*")+1))</f>
        <v>委託費|S|43</v>
      </c>
      <c r="T428" s="769" t="str">
        <f>IF(OR($F428="",$P428="支払なし",$R428=0,$Q428=""),"",$Q428&amp;"|L|"&amp;(COUNTIF(T$4:T427,$Q428&amp;"|L|*")+1))</f>
        <v/>
      </c>
      <c r="U428" s="769">
        <f>IF(OR($F428="",$A428=""),"",MOD(MONTH($A428)-4,12)+1)</f>
        <v>8</v>
      </c>
    </row>
    <row r="429" ht="16.5" customFormat="1" customHeight="1" s="422">
      <c r="A429" s="760" t="n">
        <v>45260</v>
      </c>
      <c r="B429" s="761" t="n"/>
      <c r="C429" s="762" t="inlineStr">
        <is>
          <t>事務費</t>
        </is>
      </c>
      <c r="D429" s="762" t="inlineStr">
        <is>
          <t>通信運搬費</t>
        </is>
      </c>
      <c r="E429" s="762" t="inlineStr">
        <is>
          <t>メール便（任継者宛厚生だより１０月分）</t>
        </is>
      </c>
      <c r="F429" s="772" t="n">
        <v>18392</v>
      </c>
      <c r="G429" s="772" t="n">
        <v>2</v>
      </c>
      <c r="H429" s="765">
        <f>IF(G429=1,F429-I429-J429-K429,IF(G429=2,F429,0))</f>
        <v>18392</v>
      </c>
      <c r="I429" s="765">
        <f>ROUND(IF(G429=1,F429*10/23,IF(G429=3,F429-J429-K429,IF(G429=4,F429,IF(G429=5,F429*10/11,IF(G429=7,F429*10/11,0))))),0)</f>
        <v>0</v>
      </c>
      <c r="J429" s="765">
        <f>ROUND(IF(G429=1,F429/23,IF(G429=3,F429/12,IF(G429=5,F429-I429,IF(G429=8,F429,0)))),0)</f>
        <v>0</v>
      </c>
      <c r="K429" s="766">
        <f>ROUND(IF(G429=1,F429/23,IF(G429=3,F429/12,IF(G429=6,F429,IF(G429=7,F429-I429,0)))),0)</f>
        <v>0</v>
      </c>
      <c r="L429" s="767">
        <f>IF(G429=6,F429,0)</f>
        <v>0</v>
      </c>
      <c r="M429" s="421">
        <f>IF(F429="",0,MONTH(A429))</f>
        <v>11</v>
      </c>
      <c r="P429" s="768" t="inlineStr">
        <is>
          <t>昨年実績</t>
        </is>
      </c>
      <c r="Q429" s="769" t="str">
        <f>IF($F429="","",IFERROR(VLOOKUP($C429&amp;"|"&amp;$D429,科目表!$A$5:$B$200,2,FALSE),"※未登録"))</f>
        <v>通信運搬費</v>
      </c>
      <c r="R429" s="769">
        <f>IF($F429="","",$I429+$J429+$K429)</f>
        <v>0</v>
      </c>
      <c r="S429" s="769" t="str">
        <f>IF(OR($F429="",$P429="支払なし",$H429=0,$Q429=""),"",$Q429&amp;"|S|"&amp;(COUNTIF(S$4:S428,$Q429&amp;"|S|*")+1))</f>
        <v>通信運搬費|S|43</v>
      </c>
      <c r="T429" s="769" t="str">
        <f>IF(OR($F429="",$P429="支払なし",$R429=0,$Q429=""),"",$Q429&amp;"|L|"&amp;(COUNTIF(T$4:T428,$Q429&amp;"|L|*")+1))</f>
        <v/>
      </c>
      <c r="U429" s="769">
        <f>IF(OR($F429="",$A429=""),"",MOD(MONTH($A429)-4,12)+1)</f>
        <v>8</v>
      </c>
    </row>
    <row r="430" ht="16.5" customFormat="1" customHeight="1" s="422">
      <c r="A430" s="760" t="n">
        <v>45260</v>
      </c>
      <c r="B430" s="761" t="n"/>
      <c r="C430" s="762" t="inlineStr">
        <is>
          <t>事務費</t>
        </is>
      </c>
      <c r="D430" s="762" t="inlineStr">
        <is>
          <t>通信運搬費</t>
        </is>
      </c>
      <c r="E430" s="775" t="inlineStr">
        <is>
          <t>柔整申請書送付（１０月分）</t>
        </is>
      </c>
      <c r="F430" s="764" t="n">
        <v>1489</v>
      </c>
      <c r="G430" s="764" t="n">
        <v>2</v>
      </c>
      <c r="H430" s="765">
        <f>IF(G430=1,F430-I430-J430-K430,IF(G430=2,F430,0))</f>
        <v>1489</v>
      </c>
      <c r="I430" s="765">
        <f>ROUND(IF(G430=1,F430*10/23,IF(G430=3,F430-J430-K430,IF(G430=4,F430,IF(G430=5,F430*10/11,IF(G430=7,F430*10/11,0))))),0)</f>
        <v>0</v>
      </c>
      <c r="J430" s="765">
        <f>ROUND(IF(G430=1,F430/23,IF(G430=3,F430/12,IF(G430=5,F430-I430,IF(G430=8,F430,0)))),0)</f>
        <v>0</v>
      </c>
      <c r="K430" s="766">
        <f>ROUND(IF(G430=1,F430/23,IF(G430=3,F430/12,IF(G430=6,F430,IF(G430=7,F430-I430,0)))),0)</f>
        <v>0</v>
      </c>
      <c r="L430" s="767">
        <f>IF(G430=6,F430,0)</f>
        <v>0</v>
      </c>
      <c r="M430" s="421">
        <f>IF(F430="",0,MONTH(A430))</f>
        <v>11</v>
      </c>
      <c r="P430" s="768" t="inlineStr">
        <is>
          <t>昨年実績</t>
        </is>
      </c>
      <c r="Q430" s="769" t="str">
        <f>IF($F430="","",IFERROR(VLOOKUP($C430&amp;"|"&amp;$D430,科目表!$A$5:$B$200,2,FALSE),"※未登録"))</f>
        <v>通信運搬費</v>
      </c>
      <c r="R430" s="769">
        <f>IF($F430="","",$I430+$J430+$K430)</f>
        <v>0</v>
      </c>
      <c r="S430" s="769" t="str">
        <f>IF(OR($F430="",$P430="支払なし",$H430=0,$Q430=""),"",$Q430&amp;"|S|"&amp;(COUNTIF(S$4:S429,$Q430&amp;"|S|*")+1))</f>
        <v>通信運搬費|S|44</v>
      </c>
      <c r="T430" s="769" t="str">
        <f>IF(OR($F430="",$P430="支払なし",$R430=0,$Q430=""),"",$Q430&amp;"|L|"&amp;(COUNTIF(T$4:T429,$Q430&amp;"|L|*")+1))</f>
        <v/>
      </c>
      <c r="U430" s="769">
        <f>IF(OR($F430="",$A430=""),"",MOD(MONTH($A430)-4,12)+1)</f>
        <v>8</v>
      </c>
    </row>
    <row r="431" ht="16.5" customFormat="1" customHeight="1" s="422">
      <c r="A431" s="760" t="n">
        <v>43798</v>
      </c>
      <c r="B431" s="761" t="n"/>
      <c r="C431" s="762" t="inlineStr">
        <is>
          <t>賃借料</t>
        </is>
      </c>
      <c r="D431" s="762" t="n"/>
      <c r="E431" s="763" t="inlineStr">
        <is>
          <t>基幹システム（短期）用機器リース料１０月分</t>
        </is>
      </c>
      <c r="F431" s="772" t="n">
        <v>193676</v>
      </c>
      <c r="G431" s="772" t="n">
        <v>2</v>
      </c>
      <c r="H431" s="765">
        <f>IF(G431=1,F431-I431-J431-K431,IF(G431=2,F431,0))</f>
        <v>193676</v>
      </c>
      <c r="I431" s="765">
        <f>ROUND(IF(G431=1,F431*10/23,IF(G431=3,F431-J431-K431,IF(G431=4,F431,IF(G431=5,F431*10/11,IF(G431=7,F431*10/11,0))))),0)</f>
        <v>0</v>
      </c>
      <c r="J431" s="765">
        <f>ROUND(IF(G431=1,F431/23,IF(G431=3,F431/12,IF(G431=5,F431-I431,IF(G431=8,F431,0)))),0)</f>
        <v>0</v>
      </c>
      <c r="K431" s="766">
        <f>ROUND(IF(G431=1,F431/23,IF(G431=3,F431/12,IF(G431=6,F431,IF(G431=7,F431-I431,0)))),0)</f>
        <v>0</v>
      </c>
      <c r="L431" s="767">
        <f>IF(G431=6,F431,0)</f>
        <v>0</v>
      </c>
      <c r="M431" s="421">
        <f>IF(F431="",0,MONTH(A431))</f>
        <v>11</v>
      </c>
      <c r="P431" s="768" t="inlineStr">
        <is>
          <t>昨年実績</t>
        </is>
      </c>
      <c r="Q431" s="769" t="str">
        <f>IF($F431="","",IFERROR(VLOOKUP($C431&amp;"|"&amp;$D431,科目表!$A$5:$B$200,2,FALSE),"※未登録"))</f>
        <v>賃借料</v>
      </c>
      <c r="R431" s="769">
        <f>IF($F431="","",$I431+$J431+$K431)</f>
        <v>0</v>
      </c>
      <c r="S431" s="769" t="str">
        <f>IF(OR($F431="",$P431="支払なし",$H431=0,$Q431=""),"",$Q431&amp;"|S|"&amp;(COUNTIF(S$4:S430,$Q431&amp;"|S|*")+1))</f>
        <v>賃借料|S|37</v>
      </c>
      <c r="T431" s="769" t="str">
        <f>IF(OR($F431="",$P431="支払なし",$R431=0,$Q431=""),"",$Q431&amp;"|L|"&amp;(COUNTIF(T$4:T430,$Q431&amp;"|L|*")+1))</f>
        <v/>
      </c>
      <c r="U431" s="769">
        <f>IF(OR($F431="",$A431=""),"",MOD(MONTH($A431)-4,12)+1)</f>
        <v>8</v>
      </c>
    </row>
    <row r="432" ht="16.5" customFormat="1" customHeight="1" s="43">
      <c r="A432" s="760" t="n">
        <v>46356</v>
      </c>
      <c r="B432" s="779" t="n"/>
      <c r="C432" s="762" t="inlineStr">
        <is>
          <t>賃借料</t>
        </is>
      </c>
      <c r="D432" s="762" t="n"/>
      <c r="E432" s="777" t="inlineStr">
        <is>
          <t>統合管理端末リース料（１０月分）</t>
        </is>
      </c>
      <c r="F432" s="772" t="n">
        <v>12738</v>
      </c>
      <c r="G432" s="772" t="n">
        <v>2</v>
      </c>
      <c r="H432" s="765">
        <f>IF(G432=1,F432-I432-J432-K432,IF(G432=2,F432,0))</f>
        <v>12738</v>
      </c>
      <c r="I432" s="765">
        <f>ROUND(IF(G432=1,F432*10/23,IF(G432=3,F432-J432-K432,IF(G432=4,F432,IF(G432=5,F432*10/11,IF(G432=7,F432*10/11,0))))),0)</f>
        <v>0</v>
      </c>
      <c r="J432" s="765">
        <f>ROUND(IF(G432=1,F432/23,IF(G432=3,F432/12,IF(G432=5,F432-I432,IF(G432=8,F432,0)))),0)</f>
        <v>0</v>
      </c>
      <c r="K432" s="766">
        <f>ROUND(IF(G432=1,F432/23,IF(G432=3,F432/12,IF(G432=6,F432,IF(G432=7,F432-I432,0)))),0)</f>
        <v>0</v>
      </c>
      <c r="L432" s="767">
        <f>IF(G432=6,F432,0)</f>
        <v>0</v>
      </c>
      <c r="M432" s="572">
        <f>IF(F432="",0,MONTH(A432))</f>
        <v>11</v>
      </c>
      <c r="P432" s="768" t="inlineStr">
        <is>
          <t>確認済</t>
        </is>
      </c>
      <c r="Q432" s="769" t="str">
        <f>IF($F432="","",IFERROR(VLOOKUP($C432&amp;"|"&amp;$D432,科目表!$A$5:$B$200,2,FALSE),"※未登録"))</f>
        <v>賃借料</v>
      </c>
      <c r="R432" s="769">
        <f>IF($F432="","",$I432+$J432+$K432)</f>
        <v>0</v>
      </c>
      <c r="S432" s="769" t="str">
        <f>IF(OR($F432="",$P432="支払なし",$H432=0,$Q432=""),"",$Q432&amp;"|S|"&amp;(COUNTIF(S$4:S431,$Q432&amp;"|S|*")+1))</f>
        <v>賃借料|S|38</v>
      </c>
      <c r="T432" s="769" t="str">
        <f>IF(OR($F432="",$P432="支払なし",$R432=0,$Q432=""),"",$Q432&amp;"|L|"&amp;(COUNTIF(T$4:T431,$Q432&amp;"|L|*")+1))</f>
        <v/>
      </c>
      <c r="U432" s="769">
        <f>IF(OR($F432="",$A432=""),"",MOD(MONTH($A432)-4,12)+1)</f>
        <v>8</v>
      </c>
    </row>
    <row r="433" ht="16.5" customFormat="1" customHeight="1" s="422">
      <c r="A433" s="760" t="n">
        <v>45260</v>
      </c>
      <c r="B433" s="761" t="n"/>
      <c r="C433" s="762" t="inlineStr">
        <is>
          <t>委託費</t>
        </is>
      </c>
      <c r="D433" s="762" t="n"/>
      <c r="E433" s="784" t="inlineStr">
        <is>
          <t>統合管理端末保守料（１０月分）</t>
        </is>
      </c>
      <c r="F433" s="764" t="n">
        <v>5390</v>
      </c>
      <c r="G433" s="764" t="n">
        <v>2</v>
      </c>
      <c r="H433" s="765">
        <f>IF(G433=1,F433-I433-J433-K433,IF(G433=2,F433,0))</f>
        <v>5390</v>
      </c>
      <c r="I433" s="765">
        <f>ROUND(IF(G433=1,F433*10/23,IF(G433=3,F433-J433-K433,IF(G433=4,F433,IF(G433=5,F433*10/11,IF(G433=7,F433*10/11,0))))),0)</f>
        <v>0</v>
      </c>
      <c r="J433" s="765">
        <f>ROUND(IF(G433=1,F433/23,IF(G433=3,F433/12,IF(G433=5,F433-I433,IF(G433=8,F433,0)))),0)</f>
        <v>0</v>
      </c>
      <c r="K433" s="766">
        <f>ROUND(IF(G433=1,F433/23,IF(G433=3,F433/12,IF(G433=6,F433,IF(G433=7,F433-I433,0)))),0)</f>
        <v>0</v>
      </c>
      <c r="L433" s="767">
        <f>IF(G433=6,F433,0)</f>
        <v>0</v>
      </c>
      <c r="M433" s="421">
        <f>IF(F433="",0,MONTH(A433))</f>
        <v>11</v>
      </c>
      <c r="P433" s="768" t="inlineStr">
        <is>
          <t>昨年実績</t>
        </is>
      </c>
      <c r="Q433" s="769" t="str">
        <f>IF($F433="","",IFERROR(VLOOKUP($C433&amp;"|"&amp;$D433,科目表!$A$5:$B$200,2,FALSE),"※未登録"))</f>
        <v>委託費</v>
      </c>
      <c r="R433" s="769">
        <f>IF($F433="","",$I433+$J433+$K433)</f>
        <v>0</v>
      </c>
      <c r="S433" s="769" t="str">
        <f>IF(OR($F433="",$P433="支払なし",$H433=0,$Q433=""),"",$Q433&amp;"|S|"&amp;(COUNTIF(S$4:S432,$Q433&amp;"|S|*")+1))</f>
        <v>委託費|S|44</v>
      </c>
      <c r="T433" s="769" t="str">
        <f>IF(OR($F433="",$P433="支払なし",$R433=0,$Q433=""),"",$Q433&amp;"|L|"&amp;(COUNTIF(T$4:T432,$Q433&amp;"|L|*")+1))</f>
        <v/>
      </c>
      <c r="U433" s="769">
        <f>IF(OR($F433="",$A433=""),"",MOD(MONTH($A433)-4,12)+1)</f>
        <v>8</v>
      </c>
    </row>
    <row r="434" ht="16.5" customFormat="1" customHeight="1" s="422">
      <c r="A434" s="760" t="n">
        <v>44165</v>
      </c>
      <c r="B434" s="761" t="n"/>
      <c r="C434" s="762" t="inlineStr">
        <is>
          <t>事務費</t>
        </is>
      </c>
      <c r="D434" s="762" t="inlineStr">
        <is>
          <t>図書印刷費</t>
        </is>
      </c>
      <c r="E434" s="773" t="inlineStr">
        <is>
          <t>国家公務員等共済組合関係通達実例集追録100号</t>
        </is>
      </c>
      <c r="F434" s="764" t="n">
        <v>3993</v>
      </c>
      <c r="G434" s="764" t="n">
        <v>3</v>
      </c>
      <c r="H434" s="765">
        <f>IF(G434=1,F434-I434-J434-K434,IF(G434=2,F434,0))</f>
        <v>0</v>
      </c>
      <c r="I434" s="765">
        <f>ROUND(IF(G434=1,F434*10/23,IF(G434=3,F434-J434-K434,IF(G434=4,F434,IF(G434=5,F434*10/11,IF(G434=7,F434*10/11,0))))),0)</f>
        <v>3327</v>
      </c>
      <c r="J434" s="765">
        <f>ROUND(IF(G434=1,F434/23,IF(G434=3,F434/12,IF(G434=5,F434-I434,IF(G434=8,F434,0)))),0)</f>
        <v>333</v>
      </c>
      <c r="K434" s="766">
        <f>ROUND(IF(G434=1,F434/23,IF(G434=3,F434/12,IF(G434=6,F434,IF(G434=7,F434-I434,0)))),0)</f>
        <v>333</v>
      </c>
      <c r="L434" s="767">
        <f>IF(G434=6,F434,0)</f>
        <v>0</v>
      </c>
      <c r="M434" s="421">
        <f>IF(F434="",0,MONTH(A434))</f>
        <v>11</v>
      </c>
      <c r="P434" s="768" t="inlineStr">
        <is>
          <t>昨年実績</t>
        </is>
      </c>
      <c r="Q434" s="769" t="str">
        <f>IF($F434="","",IFERROR(VLOOKUP($C434&amp;"|"&amp;$D434,科目表!$A$5:$B$200,2,FALSE),"※未登録"))</f>
        <v>図書印刷費</v>
      </c>
      <c r="R434" s="769">
        <f>IF($F434="","",$I434+$J434+$K434)</f>
        <v>3993</v>
      </c>
      <c r="S434" s="769" t="str">
        <f>IF(OR($F434="",$P434="支払なし",$H434=0,$Q434=""),"",$Q434&amp;"|S|"&amp;(COUNTIF(S$4:S433,$Q434&amp;"|S|*")+1))</f>
        <v/>
      </c>
      <c r="T434" s="769" t="str">
        <f>IF(OR($F434="",$P434="支払なし",$R434=0,$Q434=""),"",$Q434&amp;"|L|"&amp;(COUNTIF(T$4:T433,$Q434&amp;"|L|*")+1))</f>
        <v>図書印刷費|L|13</v>
      </c>
      <c r="U434" s="769">
        <f>IF(OR($F434="",$A434=""),"",MOD(MONTH($A434)-4,12)+1)</f>
        <v>8</v>
      </c>
    </row>
    <row r="435" ht="16.5" customFormat="1" customHeight="1" s="43">
      <c r="A435" s="760" t="n">
        <v>46324</v>
      </c>
      <c r="B435" s="761" t="n"/>
      <c r="C435" s="762" t="inlineStr">
        <is>
          <t>事務費</t>
        </is>
      </c>
      <c r="D435" s="762" t="inlineStr">
        <is>
          <t>図書印刷費</t>
        </is>
      </c>
      <c r="E435" s="773" t="inlineStr">
        <is>
          <t>国家公務員等共済組合関係法令要覧追録５３９－５４６号</t>
        </is>
      </c>
      <c r="F435" s="764" t="n">
        <v>35200</v>
      </c>
      <c r="G435" s="764" t="n">
        <v>3</v>
      </c>
      <c r="H435" s="765">
        <f>IF(G435=1,F435-I435-J435-K435,IF(G435=2,F435,0))</f>
        <v>0</v>
      </c>
      <c r="I435" s="765">
        <f>ROUND(IF(G435=1,F435*10/23,IF(G435=3,F435-J435-K435,IF(G435=4,F435,IF(G435=5,F435*10/11,IF(G435=7,F435*10/11,0))))),0)</f>
        <v>29334</v>
      </c>
      <c r="J435" s="765">
        <f>ROUND(IF(G435=1,F435/23,IF(G435=3,F435/12,IF(G435=5,F435-I435,IF(G435=8,F435,0)))),0)</f>
        <v>2933</v>
      </c>
      <c r="K435" s="766">
        <f>ROUND(IF(G435=1,F435/23,IF(G435=3,F435/12,IF(G435=6,F435,IF(G435=7,F435-I435,0)))),0)</f>
        <v>2933</v>
      </c>
      <c r="L435" s="767">
        <f>IF(G435=6,F435,0)</f>
        <v>0</v>
      </c>
      <c r="M435" s="572">
        <f>IF(F435="",0,MONTH(A435))</f>
        <v>10</v>
      </c>
      <c r="P435" s="768" t="inlineStr">
        <is>
          <t>確認済</t>
        </is>
      </c>
      <c r="Q435" s="769" t="str">
        <f>IF($F435="","",IFERROR(VLOOKUP($C435&amp;"|"&amp;$D435,科目表!$A$5:$B$200,2,FALSE),"※未登録"))</f>
        <v>図書印刷費</v>
      </c>
      <c r="R435" s="769">
        <f>IF($F435="","",$I435+$J435+$K435)</f>
        <v>35200</v>
      </c>
      <c r="S435" s="769" t="str">
        <f>IF(OR($F435="",$P435="支払なし",$H435=0,$Q435=""),"",$Q435&amp;"|S|"&amp;(COUNTIF(S$4:S434,$Q435&amp;"|S|*")+1))</f>
        <v/>
      </c>
      <c r="T435" s="769" t="str">
        <f>IF(OR($F435="",$P435="支払なし",$R435=0,$Q435=""),"",$Q435&amp;"|L|"&amp;(COUNTIF(T$4:T434,$Q435&amp;"|L|*")+1))</f>
        <v>図書印刷費|L|14</v>
      </c>
      <c r="U435" s="769">
        <f>IF(OR($F435="",$A435=""),"",MOD(MONTH($A435)-4,12)+1)</f>
        <v>7</v>
      </c>
    </row>
    <row r="436" ht="16.5" customFormat="1" customHeight="1" s="422">
      <c r="A436" s="760" t="n">
        <v>44530</v>
      </c>
      <c r="B436" s="761" t="n"/>
      <c r="C436" s="762" t="inlineStr">
        <is>
          <t>事務費</t>
        </is>
      </c>
      <c r="D436" s="762" t="inlineStr">
        <is>
          <t>図書印刷費</t>
        </is>
      </c>
      <c r="E436" s="773" t="inlineStr">
        <is>
          <t>地方公務員共済組合関係法令実例判例集追録1077-1083号</t>
        </is>
      </c>
      <c r="F436" s="764" t="n">
        <v>19397</v>
      </c>
      <c r="G436" s="764" t="n">
        <v>3</v>
      </c>
      <c r="H436" s="765">
        <f>IF(G436=1,F436-I436-J436-K436,IF(G436=2,F436,0))</f>
        <v>0</v>
      </c>
      <c r="I436" s="765">
        <f>ROUND(IF(G436=1,F436*10/23,IF(G436=3,F436-J436-K436,IF(G436=4,F436,IF(G436=5,F436*10/11,IF(G436=7,F436*10/11,0))))),0)</f>
        <v>16165</v>
      </c>
      <c r="J436" s="765">
        <f>ROUND(IF(G436=1,F436/23,IF(G436=3,F436/12,IF(G436=5,F436-I436,IF(G436=8,F436,0)))),0)</f>
        <v>1616</v>
      </c>
      <c r="K436" s="766">
        <f>ROUND(IF(G436=1,F436/23,IF(G436=3,F436/12,IF(G436=6,F436,IF(G436=7,F436-I436,0)))),0)</f>
        <v>1616</v>
      </c>
      <c r="L436" s="767">
        <f>IF(G436=6,F436,0)</f>
        <v>0</v>
      </c>
      <c r="M436" s="421">
        <f>IF(F436="",0,MONTH(A436))</f>
        <v>11</v>
      </c>
      <c r="P436" s="768" t="inlineStr">
        <is>
          <t>昨年実績</t>
        </is>
      </c>
      <c r="Q436" s="769" t="str">
        <f>IF($F436="","",IFERROR(VLOOKUP($C436&amp;"|"&amp;$D436,科目表!$A$5:$B$200,2,FALSE),"※未登録"))</f>
        <v>図書印刷費</v>
      </c>
      <c r="R436" s="769">
        <f>IF($F436="","",$I436+$J436+$K436)</f>
        <v>19397</v>
      </c>
      <c r="S436" s="769" t="str">
        <f>IF(OR($F436="",$P436="支払なし",$H436=0,$Q436=""),"",$Q436&amp;"|S|"&amp;(COUNTIF(S$4:S435,$Q436&amp;"|S|*")+1))</f>
        <v/>
      </c>
      <c r="T436" s="769" t="str">
        <f>IF(OR($F436="",$P436="支払なし",$R436=0,$Q436=""),"",$Q436&amp;"|L|"&amp;(COUNTIF(T$4:T435,$Q436&amp;"|L|*")+1))</f>
        <v>図書印刷費|L|15</v>
      </c>
      <c r="U436" s="769">
        <f>IF(OR($F436="",$A436=""),"",MOD(MONTH($A436)-4,12)+1)</f>
        <v>8</v>
      </c>
    </row>
    <row r="437" ht="16.5" customFormat="1" customHeight="1" s="422">
      <c r="A437" s="760" t="n">
        <v>45628</v>
      </c>
      <c r="B437" s="761" t="n"/>
      <c r="C437" s="762" t="inlineStr">
        <is>
          <t>事務費</t>
        </is>
      </c>
      <c r="D437" s="762" t="inlineStr">
        <is>
          <t>通信運搬費</t>
        </is>
      </c>
      <c r="E437" s="777" t="inlineStr">
        <is>
          <t>インターネット通信料金（９・１０月利用・１１月請求分）</t>
        </is>
      </c>
      <c r="F437" s="772" t="n">
        <v>3416</v>
      </c>
      <c r="G437" s="772" t="n">
        <v>2</v>
      </c>
      <c r="H437" s="765">
        <f>IF(G437=1,F437-I437-J437-K437,IF(G437=2,F437,0))</f>
        <v>3416</v>
      </c>
      <c r="I437" s="765">
        <f>ROUND(IF(G437=1,F437*10/23,IF(G437=3,F437-J437-K437,IF(G437=4,F437,IF(G437=5,F437*10/11,IF(G437=7,F437*10/11,0))))),0)</f>
        <v>0</v>
      </c>
      <c r="J437" s="765">
        <f>ROUND(IF(G437=1,F437/23,IF(G437=3,F437/12,IF(G437=5,F437-I437,IF(G437=8,F437,0)))),0)</f>
        <v>0</v>
      </c>
      <c r="K437" s="766">
        <f>ROUND(IF(G437=1,F437/23,IF(G437=3,F437/12,IF(G437=6,F437,IF(G437=7,F437-I437,0)))),0)</f>
        <v>0</v>
      </c>
      <c r="L437" s="767">
        <f>IF(G437=6,F437,0)</f>
        <v>0</v>
      </c>
      <c r="M437" s="421">
        <f>IF(F437="",0,MONTH(A437))</f>
        <v>12</v>
      </c>
      <c r="P437" s="768" t="inlineStr">
        <is>
          <t>昨年実績</t>
        </is>
      </c>
      <c r="Q437" s="769" t="str">
        <f>IF($F437="","",IFERROR(VLOOKUP($C437&amp;"|"&amp;$D437,科目表!$A$5:$B$200,2,FALSE),"※未登録"))</f>
        <v>通信運搬費</v>
      </c>
      <c r="R437" s="769">
        <f>IF($F437="","",$I437+$J437+$K437)</f>
        <v>0</v>
      </c>
      <c r="S437" s="769" t="str">
        <f>IF(OR($F437="",$P437="支払なし",$H437=0,$Q437=""),"",$Q437&amp;"|S|"&amp;(COUNTIF(S$4:S436,$Q437&amp;"|S|*")+1))</f>
        <v>通信運搬費|S|45</v>
      </c>
      <c r="T437" s="769" t="str">
        <f>IF(OR($F437="",$P437="支払なし",$R437=0,$Q437=""),"",$Q437&amp;"|L|"&amp;(COUNTIF(T$4:T436,$Q437&amp;"|L|*")+1))</f>
        <v/>
      </c>
      <c r="U437" s="769">
        <f>IF(OR($F437="",$A437=""),"",MOD(MONTH($A437)-4,12)+1)</f>
        <v>9</v>
      </c>
    </row>
    <row r="438" ht="22.5" customFormat="1" customHeight="1" s="43">
      <c r="A438" s="760" t="n">
        <v>46338</v>
      </c>
      <c r="B438" s="761" t="n"/>
      <c r="C438" s="762" t="inlineStr">
        <is>
          <t>賃借料</t>
        </is>
      </c>
      <c r="D438" s="762" t="n"/>
      <c r="E438" s="803" t="inlineStr">
        <is>
          <t>標準システム端末等機器賃借料（上期分)</t>
        </is>
      </c>
      <c r="F438" s="772" t="n">
        <v>87450</v>
      </c>
      <c r="G438" s="764" t="n">
        <v>3</v>
      </c>
      <c r="H438" s="765">
        <f>IF(G438=1,F438-I438-J438-K438,IF(G438=2,F438,0))</f>
        <v>0</v>
      </c>
      <c r="I438" s="765">
        <f>ROUND(IF(G438=1,F438*10/23,IF(G438=3,F438-J438-K438,IF(G438=4,F438,IF(G438=5,F438*10/11,IF(G438=7,F438*10/11,0))))),0)</f>
        <v>72874</v>
      </c>
      <c r="J438" s="765">
        <f>ROUND(IF(G438=1,F438/23,IF(G438=3,F438/12,IF(G438=5,F438-I438,IF(G438=8,F438,0)))),0)</f>
        <v>7288</v>
      </c>
      <c r="K438" s="766">
        <f>ROUND(IF(G438=1,F438/23,IF(G438=3,F438/12,IF(G438=6,F438,IF(G438=7,F438-I438,0)))),0)</f>
        <v>7288</v>
      </c>
      <c r="L438" s="767">
        <f>IF(G438=6,F438,0)</f>
        <v>0</v>
      </c>
      <c r="M438" s="572">
        <f>IF(F438="",0,MONTH(A438))</f>
        <v>11</v>
      </c>
      <c r="P438" s="768" t="inlineStr">
        <is>
          <t>確認済</t>
        </is>
      </c>
      <c r="Q438" s="769" t="str">
        <f>IF($F438="","",IFERROR(VLOOKUP($C438&amp;"|"&amp;$D438,科目表!$A$5:$B$200,2,FALSE),"※未登録"))</f>
        <v>賃借料</v>
      </c>
      <c r="R438" s="769">
        <f>IF($F438="","",$I438+$J438+$K438)</f>
        <v>87450</v>
      </c>
      <c r="S438" s="769" t="str">
        <f>IF(OR($F438="",$P438="支払なし",$H438=0,$Q438=""),"",$Q438&amp;"|S|"&amp;(COUNTIF(S$4:S437,$Q438&amp;"|S|*")+1))</f>
        <v/>
      </c>
      <c r="T438" s="769" t="str">
        <f>IF(OR($F438="",$P438="支払なし",$R438=0,$Q438=""),"",$Q438&amp;"|L|"&amp;(COUNTIF(T$4:T437,$Q438&amp;"|L|*")+1))</f>
        <v>賃借料|L|11</v>
      </c>
      <c r="U438" s="769">
        <f>IF(OR($F438="",$A438=""),"",MOD(MONTH($A438)-4,12)+1)</f>
        <v>8</v>
      </c>
    </row>
    <row r="439" ht="16.5" customFormat="1" customHeight="1" s="422">
      <c r="A439" s="760" t="n">
        <v>43798</v>
      </c>
      <c r="B439" s="761" t="n"/>
      <c r="C439" s="762" t="inlineStr">
        <is>
          <t>賃借料</t>
        </is>
      </c>
      <c r="D439" s="762" t="n"/>
      <c r="E439" s="777" t="inlineStr">
        <is>
          <t>サーバ版標準システム構成機器　増設分（H31.4～R01.5月分)</t>
        </is>
      </c>
      <c r="F439" s="772" t="n">
        <v>14549</v>
      </c>
      <c r="G439" s="772" t="n">
        <v>3</v>
      </c>
      <c r="H439" s="765">
        <f>IF(G439=1,F439-I439-J439-K439,IF(G439=2,F439,0))</f>
        <v>0</v>
      </c>
      <c r="I439" s="765">
        <f>ROUND(IF(G439=1,F439*10/23,IF(G439=3,F439-J439-K439,IF(G439=4,F439,IF(G439=5,F439*10/11,IF(G439=7,F439*10/11,0))))),0)</f>
        <v>12125</v>
      </c>
      <c r="J439" s="765">
        <f>ROUND(IF(G439=1,F439/23,IF(G439=3,F439/12,IF(G439=5,F439-I439,IF(G439=8,F439,0)))),0)</f>
        <v>1212</v>
      </c>
      <c r="K439" s="766">
        <f>ROUND(IF(G439=1,F439/23,IF(G439=3,F439/12,IF(G439=6,F439,IF(G439=7,F439-I439,0)))),0)</f>
        <v>1212</v>
      </c>
      <c r="L439" s="767">
        <f>IF(G439=6,F439,0)</f>
        <v>0</v>
      </c>
      <c r="M439" s="421">
        <f>IF(F439="",0,MONTH(A439))</f>
        <v>11</v>
      </c>
      <c r="P439" s="768" t="inlineStr">
        <is>
          <t>昨年実績</t>
        </is>
      </c>
      <c r="Q439" s="769" t="str">
        <f>IF($F439="","",IFERROR(VLOOKUP($C439&amp;"|"&amp;$D439,科目表!$A$5:$B$200,2,FALSE),"※未登録"))</f>
        <v>賃借料</v>
      </c>
      <c r="R439" s="769">
        <f>IF($F439="","",$I439+$J439+$K439)</f>
        <v>14549</v>
      </c>
      <c r="S439" s="769" t="str">
        <f>IF(OR($F439="",$P439="支払なし",$H439=0,$Q439=""),"",$Q439&amp;"|S|"&amp;(COUNTIF(S$4:S438,$Q439&amp;"|S|*")+1))</f>
        <v/>
      </c>
      <c r="T439" s="769" t="str">
        <f>IF(OR($F439="",$P439="支払なし",$R439=0,$Q439=""),"",$Q439&amp;"|L|"&amp;(COUNTIF(T$4:T438,$Q439&amp;"|L|*")+1))</f>
        <v>賃借料|L|12</v>
      </c>
      <c r="U439" s="769">
        <f>IF(OR($F439="",$A439=""),"",MOD(MONTH($A439)-4,12)+1)</f>
        <v>8</v>
      </c>
    </row>
    <row r="440" ht="16.5" customFormat="1" customHeight="1" s="422">
      <c r="A440" s="760" t="n">
        <v>43798</v>
      </c>
      <c r="B440" s="761" t="n"/>
      <c r="C440" s="762" t="inlineStr">
        <is>
          <t>賃借料</t>
        </is>
      </c>
      <c r="D440" s="762" t="n"/>
      <c r="E440" s="763" t="inlineStr">
        <is>
          <t>サーバ版標準システム構成機器再リース（R01.6～10月分)</t>
        </is>
      </c>
      <c r="F440" s="772" t="n">
        <v>6795</v>
      </c>
      <c r="G440" s="764" t="n">
        <v>3</v>
      </c>
      <c r="H440" s="765">
        <f>IF(G440=1,F440-I440-J440-K440,IF(G440=2,F440,0))</f>
        <v>0</v>
      </c>
      <c r="I440" s="765">
        <f>ROUND(IF(G440=1,F440*10/23,IF(G440=3,F440-J440-K440,IF(G440=4,F440,IF(G440=5,F440*10/11,IF(G440=7,F440*10/11,0))))),0)</f>
        <v>5663</v>
      </c>
      <c r="J440" s="765">
        <f>ROUND(IF(G440=1,F440/23,IF(G440=3,F440/12,IF(G440=5,F440-I440,IF(G440=8,F440,0)))),0)</f>
        <v>566</v>
      </c>
      <c r="K440" s="766">
        <f>ROUND(IF(G440=1,F440/23,IF(G440=3,F440/12,IF(G440=6,F440,IF(G440=7,F440-I440,0)))),0)</f>
        <v>566</v>
      </c>
      <c r="L440" s="767">
        <f>IF(G440=6,F440,0)</f>
        <v>0</v>
      </c>
      <c r="M440" s="421">
        <f>IF(F440="",0,MONTH(A440))</f>
        <v>11</v>
      </c>
      <c r="P440" s="768" t="inlineStr">
        <is>
          <t>昨年実績</t>
        </is>
      </c>
      <c r="Q440" s="769" t="str">
        <f>IF($F440="","",IFERROR(VLOOKUP($C440&amp;"|"&amp;$D440,科目表!$A$5:$B$200,2,FALSE),"※未登録"))</f>
        <v>賃借料</v>
      </c>
      <c r="R440" s="769">
        <f>IF($F440="","",$I440+$J440+$K440)</f>
        <v>6795</v>
      </c>
      <c r="S440" s="769" t="str">
        <f>IF(OR($F440="",$P440="支払なし",$H440=0,$Q440=""),"",$Q440&amp;"|S|"&amp;(COUNTIF(S$4:S439,$Q440&amp;"|S|*")+1))</f>
        <v/>
      </c>
      <c r="T440" s="769" t="str">
        <f>IF(OR($F440="",$P440="支払なし",$R440=0,$Q440=""),"",$Q440&amp;"|L|"&amp;(COUNTIF(T$4:T439,$Q440&amp;"|L|*")+1))</f>
        <v>賃借料|L|13</v>
      </c>
      <c r="U440" s="769">
        <f>IF(OR($F440="",$A440=""),"",MOD(MONTH($A440)-4,12)+1)</f>
        <v>8</v>
      </c>
    </row>
    <row r="441" ht="16.5" customFormat="1" customHeight="1" s="43">
      <c r="A441" s="760" t="n">
        <v>45989</v>
      </c>
      <c r="B441" s="761" t="n"/>
      <c r="C441" s="762" t="inlineStr">
        <is>
          <t>事務費</t>
        </is>
      </c>
      <c r="D441" s="762" t="inlineStr">
        <is>
          <t>通信運搬費</t>
        </is>
      </c>
      <c r="E441" s="762" t="inlineStr">
        <is>
          <t>料金後納利用料（１０月分）</t>
        </is>
      </c>
      <c r="F441" s="772" t="n">
        <v>1132380</v>
      </c>
      <c r="G441" s="772" t="n">
        <v>3</v>
      </c>
      <c r="H441" s="765">
        <f>IF(G441=1,F441-I441-J441-K441,IF(G441=2,F441,0))</f>
        <v>0</v>
      </c>
      <c r="I441" s="765">
        <f>ROUND(IF(G441=1,F441*10/23,IF(G441=3,F441-J441-K441,IF(G441=4,F441,IF(G441=5,F441*10/11,IF(G441=7,F441*10/11,0))))),0)</f>
        <v>943650</v>
      </c>
      <c r="J441" s="765">
        <f>ROUND(IF(G441=1,F441/23,IF(G441=3,F441/12,IF(G441=5,F441-I441,IF(G441=8,F441,0)))),0)</f>
        <v>94365</v>
      </c>
      <c r="K441" s="766">
        <f>ROUND(IF(G441=1,F441/23,IF(G441=3,F441/12,IF(G441=6,F441,IF(G441=7,F441-I441,0)))),0)</f>
        <v>94365</v>
      </c>
      <c r="L441" s="767">
        <f>IF(G441=6,F441,0)</f>
        <v>0</v>
      </c>
      <c r="M441" s="572">
        <f>IF(F441="",0,MONTH(A441))</f>
        <v>11</v>
      </c>
      <c r="P441" s="768" t="inlineStr">
        <is>
          <t>昨年実績</t>
        </is>
      </c>
      <c r="Q441" s="769" t="str">
        <f>IF($F441="","",IFERROR(VLOOKUP($C441&amp;"|"&amp;$D441,科目表!$A$5:$B$200,2,FALSE),"※未登録"))</f>
        <v>通信運搬費</v>
      </c>
      <c r="R441" s="769">
        <f>IF($F441="","",$I441+$J441+$K441)</f>
        <v>1132380</v>
      </c>
      <c r="S441" s="769" t="str">
        <f>IF(OR($F441="",$P441="支払なし",$H441=0,$Q441=""),"",$Q441&amp;"|S|"&amp;(COUNTIF(S$4:S440,$Q441&amp;"|S|*")+1))</f>
        <v/>
      </c>
      <c r="T441" s="769" t="str">
        <f>IF(OR($F441="",$P441="支払なし",$R441=0,$Q441=""),"",$Q441&amp;"|L|"&amp;(COUNTIF(T$4:T440,$Q441&amp;"|L|*")+1))</f>
        <v>通信運搬費|L|17</v>
      </c>
      <c r="U441" s="769">
        <f>IF(OR($F441="",$A441=""),"",MOD(MONTH($A441)-4,12)+1)</f>
        <v>8</v>
      </c>
    </row>
    <row r="442" ht="16.5" customFormat="1" customHeight="1" s="422">
      <c r="A442" s="760" t="n">
        <v>45625</v>
      </c>
      <c r="B442" s="761" t="n"/>
      <c r="C442" s="762" t="inlineStr">
        <is>
          <t>事務費</t>
        </is>
      </c>
      <c r="D442" s="762" t="inlineStr">
        <is>
          <t>通信運搬費</t>
        </is>
      </c>
      <c r="E442" s="762" t="inlineStr">
        <is>
          <t>料金後納利用料（１０月分）</t>
        </is>
      </c>
      <c r="F442" s="772" t="n">
        <v>111888</v>
      </c>
      <c r="G442" s="772" t="n">
        <v>2</v>
      </c>
      <c r="H442" s="765">
        <f>IF(G442=1,F442-I442-J442-K442,IF(G442=2,F442,0))</f>
        <v>111888</v>
      </c>
      <c r="I442" s="765">
        <f>ROUND(IF(G442=1,F442*10/23,IF(G442=3,F442-J442-K442,IF(G442=4,F442,IF(G442=5,F442*10/11,IF(G442=7,F442*10/11,0))))),0)</f>
        <v>0</v>
      </c>
      <c r="J442" s="765">
        <f>ROUND(IF(G442=1,F442/23,IF(G442=3,F442/12,IF(G442=5,F442-I442,IF(G442=8,F442,0)))),0)</f>
        <v>0</v>
      </c>
      <c r="K442" s="766">
        <f>ROUND(IF(G442=1,F442/23,IF(G442=3,F442/12,IF(G442=6,F442,IF(G442=7,F442-I442,0)))),0)</f>
        <v>0</v>
      </c>
      <c r="L442" s="767">
        <f>IF(G442=6,F442,0)</f>
        <v>0</v>
      </c>
      <c r="M442" s="421">
        <f>IF(F442="",0,MONTH(A442))</f>
        <v>11</v>
      </c>
      <c r="P442" s="768" t="inlineStr">
        <is>
          <t>昨年実績</t>
        </is>
      </c>
      <c r="Q442" s="769" t="str">
        <f>IF($F442="","",IFERROR(VLOOKUP($C442&amp;"|"&amp;$D442,科目表!$A$5:$B$200,2,FALSE),"※未登録"))</f>
        <v>通信運搬費</v>
      </c>
      <c r="R442" s="769">
        <f>IF($F442="","",$I442+$J442+$K442)</f>
        <v>0</v>
      </c>
      <c r="S442" s="769" t="str">
        <f>IF(OR($F442="",$P442="支払なし",$H442=0,$Q442=""),"",$Q442&amp;"|S|"&amp;(COUNTIF(S$4:S441,$Q442&amp;"|S|*")+1))</f>
        <v>通信運搬費|S|46</v>
      </c>
      <c r="T442" s="769" t="str">
        <f>IF(OR($F442="",$P442="支払なし",$R442=0,$Q442=""),"",$Q442&amp;"|L|"&amp;(COUNTIF(T$4:T441,$Q442&amp;"|L|*")+1))</f>
        <v/>
      </c>
      <c r="U442" s="769">
        <f>IF(OR($F442="",$A442=""),"",MOD(MONTH($A442)-4,12)+1)</f>
        <v>8</v>
      </c>
    </row>
    <row r="443" ht="16.5" customFormat="1" customHeight="1" s="43">
      <c r="A443" s="760" t="n">
        <v>45992</v>
      </c>
      <c r="B443" s="761" t="n"/>
      <c r="C443" s="762" t="inlineStr">
        <is>
          <t>事務費</t>
        </is>
      </c>
      <c r="D443" s="762" t="inlineStr">
        <is>
          <t>通信運搬費</t>
        </is>
      </c>
      <c r="E443" s="763" t="inlineStr">
        <is>
          <t>インターネット通信料金（9・10月利用・11月請求分）</t>
        </is>
      </c>
      <c r="F443" s="772" t="n">
        <v>3663</v>
      </c>
      <c r="G443" s="772" t="n">
        <v>2</v>
      </c>
      <c r="H443" s="765">
        <f>IF(G443=1,F443-I443-J443-K443,IF(G443=2,F443,0))</f>
        <v>3663</v>
      </c>
      <c r="I443" s="765">
        <f>ROUND(IF(G443=1,F443*10/23,IF(G443=3,F443-J443-K443,IF(G443=4,F443,IF(G443=5,F443*10/11,IF(G443=7,F443*10/11,0))))),0)</f>
        <v>0</v>
      </c>
      <c r="J443" s="765">
        <f>ROUND(IF(G443=1,F443/23,IF(G443=3,F443/12,IF(G443=5,F443-I443,IF(G443=8,F443,0)))),0)</f>
        <v>0</v>
      </c>
      <c r="K443" s="766">
        <f>ROUND(IF(G443=1,F443/23,IF(G443=3,F443/12,IF(G443=6,F443,IF(G443=7,F443-I443,0)))),0)</f>
        <v>0</v>
      </c>
      <c r="L443" s="767">
        <f>IF(G443=6,F443,0)</f>
        <v>0</v>
      </c>
      <c r="M443" s="572">
        <f>IF(F443="",0,MONTH(A443))</f>
        <v>12</v>
      </c>
      <c r="P443" s="768" t="inlineStr">
        <is>
          <t>昨年実績</t>
        </is>
      </c>
      <c r="Q443" s="769" t="str">
        <f>IF($F443="","",IFERROR(VLOOKUP($C443&amp;"|"&amp;$D443,科目表!$A$5:$B$200,2,FALSE),"※未登録"))</f>
        <v>通信運搬費</v>
      </c>
      <c r="R443" s="769">
        <f>IF($F443="","",$I443+$J443+$K443)</f>
        <v>0</v>
      </c>
      <c r="S443" s="769" t="str">
        <f>IF(OR($F443="",$P443="支払なし",$H443=0,$Q443=""),"",$Q443&amp;"|S|"&amp;(COUNTIF(S$4:S442,$Q443&amp;"|S|*")+1))</f>
        <v>通信運搬費|S|47</v>
      </c>
      <c r="T443" s="769" t="str">
        <f>IF(OR($F443="",$P443="支払なし",$R443=0,$Q443=""),"",$Q443&amp;"|L|"&amp;(COUNTIF(T$4:T442,$Q443&amp;"|L|*")+1))</f>
        <v/>
      </c>
      <c r="U443" s="769">
        <f>IF(OR($F443="",$A443=""),"",MOD(MONTH($A443)-4,12)+1)</f>
        <v>9</v>
      </c>
    </row>
    <row r="444" ht="16.5" customFormat="1" customHeight="1" s="422">
      <c r="A444" s="760" t="n">
        <v>45628</v>
      </c>
      <c r="B444" s="761" t="n"/>
      <c r="C444" s="762" t="inlineStr">
        <is>
          <t>事務費</t>
        </is>
      </c>
      <c r="D444" s="762" t="inlineStr">
        <is>
          <t>通信運搬費</t>
        </is>
      </c>
      <c r="E444" s="763" t="inlineStr">
        <is>
          <t>フレッツ光ネクスト利用料等（10月利用・11月請求分）</t>
        </is>
      </c>
      <c r="F444" s="772" t="n">
        <v>5126</v>
      </c>
      <c r="G444" s="772" t="n">
        <v>2</v>
      </c>
      <c r="H444" s="765">
        <f>IF(G444=1,F444-I444-J444-K444,IF(G444=2,F444,0))</f>
        <v>5126</v>
      </c>
      <c r="I444" s="765">
        <f>ROUND(IF(G444=1,F444*10/23,IF(G444=3,F444-J444-K444,IF(G444=4,F444,IF(G444=5,F444*10/11,IF(G444=7,F444*10/11,0))))),0)</f>
        <v>0</v>
      </c>
      <c r="J444" s="765">
        <f>ROUND(IF(G444=1,F444/23,IF(G444=3,F444/12,IF(G444=5,F444-I444,IF(G444=8,F444,0)))),0)</f>
        <v>0</v>
      </c>
      <c r="K444" s="766">
        <f>ROUND(IF(G444=1,F444/23,IF(G444=3,F444/12,IF(G444=6,F444,IF(G444=7,F444-I444,0)))),0)</f>
        <v>0</v>
      </c>
      <c r="L444" s="767">
        <f>IF(G444=6,F444,0)</f>
        <v>0</v>
      </c>
      <c r="M444" s="421">
        <f>IF(F444="",0,MONTH(A444))</f>
        <v>12</v>
      </c>
      <c r="P444" s="768" t="inlineStr">
        <is>
          <t>昨年実績</t>
        </is>
      </c>
      <c r="Q444" s="769" t="str">
        <f>IF($F444="","",IFERROR(VLOOKUP($C444&amp;"|"&amp;$D444,科目表!$A$5:$B$200,2,FALSE),"※未登録"))</f>
        <v>通信運搬費</v>
      </c>
      <c r="R444" s="769">
        <f>IF($F444="","",$I444+$J444+$K444)</f>
        <v>0</v>
      </c>
      <c r="S444" s="769" t="str">
        <f>IF(OR($F444="",$P444="支払なし",$H444=0,$Q444=""),"",$Q444&amp;"|S|"&amp;(COUNTIF(S$4:S443,$Q444&amp;"|S|*")+1))</f>
        <v>通信運搬費|S|48</v>
      </c>
      <c r="T444" s="769" t="str">
        <f>IF(OR($F444="",$P444="支払なし",$R444=0,$Q444=""),"",$Q444&amp;"|L|"&amp;(COUNTIF(T$4:T443,$Q444&amp;"|L|*")+1))</f>
        <v/>
      </c>
      <c r="U444" s="769">
        <f>IF(OR($F444="",$A444=""),"",MOD(MONTH($A444)-4,12)+1)</f>
        <v>9</v>
      </c>
    </row>
    <row r="445" ht="16.5" customFormat="1" customHeight="1" s="422">
      <c r="A445" s="760" t="n">
        <v>45653</v>
      </c>
      <c r="B445" s="761" t="n"/>
      <c r="C445" s="762" t="inlineStr">
        <is>
          <t>委託費</t>
        </is>
      </c>
      <c r="D445" s="762" t="n"/>
      <c r="E445" s="770" t="inlineStr">
        <is>
          <t>個人番号管理システムシンクライアント（11月～10月）</t>
        </is>
      </c>
      <c r="F445" s="764" t="n">
        <v>41976</v>
      </c>
      <c r="G445" s="764" t="n">
        <v>2</v>
      </c>
      <c r="H445" s="765">
        <f>IF(G445=1,F445-I445-J445-K445,IF(G445=2,F445,0))</f>
        <v>41976</v>
      </c>
      <c r="I445" s="765">
        <f>ROUND(IF(G445=1,F445*10/23,IF(G445=3,F445-J445-K445,IF(G445=4,F445,IF(G445=5,F445*10/11,IF(G445=7,F445*10/11,0))))),0)</f>
        <v>0</v>
      </c>
      <c r="J445" s="765">
        <f>ROUND(IF(G445=1,F445/23,IF(G445=3,F445/12,IF(G445=5,F445-I445,IF(G445=8,F445,0)))),0)</f>
        <v>0</v>
      </c>
      <c r="K445" s="766">
        <f>ROUND(IF(G445=1,F445/23,IF(G445=3,F445/12,IF(G445=6,F445,IF(G445=7,F445-I445,0)))),0)</f>
        <v>0</v>
      </c>
      <c r="L445" s="767">
        <f>IF(G445=6,F445,0)</f>
        <v>0</v>
      </c>
      <c r="M445" s="421">
        <f>IF(F445="",0,MONTH(A445))</f>
        <v>12</v>
      </c>
      <c r="P445" s="768" t="inlineStr">
        <is>
          <t>昨年実績</t>
        </is>
      </c>
      <c r="Q445" s="769" t="str">
        <f>IF($F445="","",IFERROR(VLOOKUP($C445&amp;"|"&amp;$D445,科目表!$A$5:$B$200,2,FALSE),"※未登録"))</f>
        <v>委託費</v>
      </c>
      <c r="R445" s="769">
        <f>IF($F445="","",$I445+$J445+$K445)</f>
        <v>0</v>
      </c>
      <c r="S445" s="769" t="str">
        <f>IF(OR($F445="",$P445="支払なし",$H445=0,$Q445=""),"",$Q445&amp;"|S|"&amp;(COUNTIF(S$4:S444,$Q445&amp;"|S|*")+1))</f>
        <v>委託費|S|45</v>
      </c>
      <c r="T445" s="769" t="str">
        <f>IF(OR($F445="",$P445="支払なし",$R445=0,$Q445=""),"",$Q445&amp;"|L|"&amp;(COUNTIF(T$4:T444,$Q445&amp;"|L|*")+1))</f>
        <v/>
      </c>
      <c r="U445" s="769">
        <f>IF(OR($F445="",$A445=""),"",MOD(MONTH($A445)-4,12)+1)</f>
        <v>9</v>
      </c>
    </row>
    <row r="446" ht="16.5" customFormat="1" customHeight="1" s="43">
      <c r="A446" s="760" t="n">
        <v>45996</v>
      </c>
      <c r="B446" s="761" t="n"/>
      <c r="C446" s="762" t="inlineStr">
        <is>
          <t>事務費負担金払込金</t>
        </is>
      </c>
      <c r="D446" s="762" t="n"/>
      <c r="E446" s="775" t="inlineStr">
        <is>
          <t>1１月分事務費負担金払込金相殺及び連合会へ払込</t>
        </is>
      </c>
      <c r="F446" s="764" t="n">
        <v>4513000</v>
      </c>
      <c r="G446" s="764" t="n">
        <v>5</v>
      </c>
      <c r="H446" s="765">
        <f>IF(G446=1,F446-I446-J446-K446,IF(G446=2,F446,0))</f>
        <v>0</v>
      </c>
      <c r="I446" s="765">
        <f>ROUND(IF(G446=1,F446*10/23,IF(G446=3,F446-J446-K446,IF(G446=4,F446,IF(G446=5,F446*10/11,IF(G446=7,F446*10/11,0))))),0)</f>
        <v>4102727</v>
      </c>
      <c r="J446" s="765">
        <f>ROUND(IF(G446=1,F446/23,IF(G446=3,F446/12,IF(G446=5,F446-I446,IF(G446=8,F446,0)))),0)</f>
        <v>410273</v>
      </c>
      <c r="K446" s="766">
        <f>ROUND(IF(G446=1,F446/23,IF(G446=3,F446/12,IF(G446=6,F446,IF(G446=7,F446-I446,0)))),0)</f>
        <v>0</v>
      </c>
      <c r="L446" s="767">
        <f>IF(G446=6,F446,0)</f>
        <v>0</v>
      </c>
      <c r="M446" s="572">
        <f>IF(F446="",0,MONTH(A446))</f>
        <v>12</v>
      </c>
      <c r="P446" s="768" t="inlineStr">
        <is>
          <t>昨年実績</t>
        </is>
      </c>
      <c r="Q446" s="769" t="str">
        <f>IF($F446="","",IFERROR(VLOOKUP($C446&amp;"|"&amp;$D446,科目表!$A$5:$B$200,2,FALSE),"※未登録"))</f>
        <v>事務費負担金払込金</v>
      </c>
      <c r="R446" s="769">
        <f>IF($F446="","",$I446+$J446+$K446)</f>
        <v>4513000</v>
      </c>
      <c r="S446" s="769" t="str">
        <f>IF(OR($F446="",$P446="支払なし",$H446=0,$Q446=""),"",$Q446&amp;"|S|"&amp;(COUNTIF(S$4:S445,$Q446&amp;"|S|*")+1))</f>
        <v/>
      </c>
      <c r="T446" s="769" t="str">
        <f>IF(OR($F446="",$P446="支払なし",$R446=0,$Q446=""),"",$Q446&amp;"|L|"&amp;(COUNTIF(T$4:T445,$Q446&amp;"|L|*")+1))</f>
        <v>事務費負担金払込金|L|9</v>
      </c>
      <c r="U446" s="769">
        <f>IF(OR($F446="",$A446=""),"",MOD(MONTH($A446)-4,12)+1)</f>
        <v>9</v>
      </c>
    </row>
    <row r="447" ht="16.5" customFormat="1" customHeight="1" s="43">
      <c r="A447" s="760" t="n">
        <v>46001</v>
      </c>
      <c r="B447" s="761" t="n"/>
      <c r="C447" s="762" t="inlineStr">
        <is>
          <t>職員給与</t>
        </is>
      </c>
      <c r="D447" s="762" t="inlineStr">
        <is>
          <t>非常勤職員手当</t>
        </is>
      </c>
      <c r="E447" s="775" t="inlineStr">
        <is>
          <t>１２月期末・勤勉手当及び増額報酬（長期分）</t>
        </is>
      </c>
      <c r="F447" s="764" t="n">
        <v>621532</v>
      </c>
      <c r="G447" s="764" t="n">
        <v>3</v>
      </c>
      <c r="H447" s="765">
        <f>IF(G447=1,F447-I447-J447-K447,IF(G447=2,F447,0))</f>
        <v>0</v>
      </c>
      <c r="I447" s="765">
        <f>ROUND(IF(G447=1,F447*10/23,IF(G447=3,F447-J447-K447,IF(G447=4,F447,IF(G447=5,F447*10/11,IF(G447=7,F447*10/11,0))))),0)</f>
        <v>517944</v>
      </c>
      <c r="J447" s="765">
        <f>ROUND(IF(G447=1,F447/23,IF(G447=3,F447/12,IF(G447=5,F447-I447,IF(G447=8,F447,0)))),0)</f>
        <v>51794</v>
      </c>
      <c r="K447" s="766">
        <f>ROUND(IF(G447=1,F447/23,IF(G447=3,F447/12,IF(G447=6,F447,IF(G447=7,F447-I447,0)))),0)</f>
        <v>51794</v>
      </c>
      <c r="L447" s="767">
        <f>IF(G447=6,F447,0)</f>
        <v>0</v>
      </c>
      <c r="M447" s="572">
        <f>IF(F447="",0,MONTH(A447))</f>
        <v>12</v>
      </c>
      <c r="P447" s="768" t="inlineStr">
        <is>
          <t>昨年実績</t>
        </is>
      </c>
      <c r="Q447" s="769" t="str">
        <f>IF($F447="","",IFERROR(VLOOKUP($C447&amp;"|"&amp;$D447,科目表!$A$5:$B$200,2,FALSE),"※未登録"))</f>
        <v>非常勤職員手当</v>
      </c>
      <c r="R447" s="769">
        <f>IF($F447="","",$I447+$J447+$K447)</f>
        <v>621532</v>
      </c>
      <c r="S447" s="769" t="str">
        <f>IF(OR($F447="",$P447="支払なし",$H447=0,$Q447=""),"",$Q447&amp;"|S|"&amp;(COUNTIF(S$4:S446,$Q447&amp;"|S|*")+1))</f>
        <v/>
      </c>
      <c r="T447" s="769" t="str">
        <f>IF(OR($F447="",$P447="支払なし",$R447=0,$Q447=""),"",$Q447&amp;"|L|"&amp;(COUNTIF(T$4:T446,$Q447&amp;"|L|*")+1))</f>
        <v>非常勤職員手当|L|11</v>
      </c>
      <c r="U447" s="769">
        <f>IF(OR($F447="",$A447=""),"",MOD(MONTH($A447)-4,12)+1)</f>
        <v>9</v>
      </c>
    </row>
    <row r="448" ht="16.5" customFormat="1" customHeight="1" s="43">
      <c r="A448" s="760" t="n">
        <v>46001</v>
      </c>
      <c r="B448" s="761" t="n"/>
      <c r="C448" s="762" t="inlineStr">
        <is>
          <t>職員給与</t>
        </is>
      </c>
      <c r="D448" s="762" t="inlineStr">
        <is>
          <t>非常勤職員手当</t>
        </is>
      </c>
      <c r="E448" s="775" t="inlineStr">
        <is>
          <t>１２月増額報酬（短期分）</t>
        </is>
      </c>
      <c r="F448" s="764" t="n">
        <v>433105</v>
      </c>
      <c r="G448" s="764" t="n">
        <v>2</v>
      </c>
      <c r="H448" s="765">
        <f>IF(G448=1,F448-I448-J448-K448,IF(G448=2,F448,0))</f>
        <v>433105</v>
      </c>
      <c r="I448" s="765">
        <f>ROUND(IF(G448=1,F448*10/23,IF(G448=3,F448-J448-K448,IF(G448=4,F448,IF(G448=5,F448*10/11,IF(G448=7,F448*10/11,0))))),0)</f>
        <v>0</v>
      </c>
      <c r="J448" s="765">
        <f>ROUND(IF(G448=1,F448/23,IF(G448=3,F448/12,IF(G448=5,F448-I448,IF(G448=8,F448,0)))),0)</f>
        <v>0</v>
      </c>
      <c r="K448" s="766">
        <f>ROUND(IF(G448=1,F448/23,IF(G448=3,F448/12,IF(G448=6,F448,IF(G448=7,F448-I448,0)))),0)</f>
        <v>0</v>
      </c>
      <c r="L448" s="767">
        <f>IF(G448=6,F448,0)</f>
        <v>0</v>
      </c>
      <c r="M448" s="572">
        <f>IF(F448="",0,MONTH(A448))</f>
        <v>12</v>
      </c>
      <c r="P448" s="768" t="inlineStr">
        <is>
          <t>昨年実績</t>
        </is>
      </c>
      <c r="Q448" s="769" t="str">
        <f>IF($F448="","",IFERROR(VLOOKUP($C448&amp;"|"&amp;$D448,科目表!$A$5:$B$200,2,FALSE),"※未登録"))</f>
        <v>非常勤職員手当</v>
      </c>
      <c r="R448" s="769">
        <f>IF($F448="","",$I448+$J448+$K448)</f>
        <v>0</v>
      </c>
      <c r="S448" s="769" t="str">
        <f>IF(OR($F448="",$P448="支払なし",$H448=0,$Q448=""),"",$Q448&amp;"|S|"&amp;(COUNTIF(S$4:S447,$Q448&amp;"|S|*")+1))</f>
        <v>非常勤職員手当|S|10</v>
      </c>
      <c r="T448" s="769" t="str">
        <f>IF(OR($F448="",$P448="支払なし",$R448=0,$Q448=""),"",$Q448&amp;"|L|"&amp;(COUNTIF(T$4:T447,$Q448&amp;"|L|*")+1))</f>
        <v/>
      </c>
      <c r="U448" s="769">
        <f>IF(OR($F448="",$A448=""),"",MOD(MONTH($A448)-4,12)+1)</f>
        <v>9</v>
      </c>
    </row>
    <row r="449" ht="16.5" customFormat="1" customHeight="1" s="43">
      <c r="A449" s="760" t="n">
        <v>46001</v>
      </c>
      <c r="B449" s="761" t="n"/>
      <c r="C449" s="762" t="inlineStr">
        <is>
          <t>事務費</t>
        </is>
      </c>
      <c r="D449" s="762" t="inlineStr">
        <is>
          <t>送金料</t>
        </is>
      </c>
      <c r="E449" s="775" t="inlineStr">
        <is>
          <t>振込手数料（広銀）１１月分　長期分</t>
        </is>
      </c>
      <c r="F449" s="764" t="n">
        <v>16554</v>
      </c>
      <c r="G449" s="764" t="n">
        <v>3</v>
      </c>
      <c r="H449" s="765">
        <f>IF(G449=1,F449-I449-J449-K449,IF(G449=2,F449,0))</f>
        <v>0</v>
      </c>
      <c r="I449" s="765">
        <f>ROUND(IF(G449=1,F449*10/23,IF(G449=3,F449-J449-K449,IF(G449=4,F449,IF(G449=5,F449*10/11,IF(G449=7,F449*10/11,0))))),0)</f>
        <v>13794</v>
      </c>
      <c r="J449" s="765">
        <f>ROUND(IF(G449=1,F449/23,IF(G449=3,F449/12,IF(G449=5,F449-I449,IF(G449=8,F449,0)))),0)</f>
        <v>1380</v>
      </c>
      <c r="K449" s="766">
        <f>ROUND(IF(G449=1,F449/23,IF(G449=3,F449/12,IF(G449=6,F449,IF(G449=7,F449-I449,0)))),0)</f>
        <v>1380</v>
      </c>
      <c r="L449" s="767">
        <f>IF(G449=6,F449,0)</f>
        <v>0</v>
      </c>
      <c r="M449" s="572">
        <f>IF(F449="",0,MONTH(A449))</f>
        <v>12</v>
      </c>
      <c r="P449" s="768" t="inlineStr">
        <is>
          <t>昨年実績</t>
        </is>
      </c>
      <c r="Q449" s="769" t="str">
        <f>IF($F449="","",IFERROR(VLOOKUP($C449&amp;"|"&amp;$D449,科目表!$A$5:$B$200,2,FALSE),"※未登録"))</f>
        <v>送金料</v>
      </c>
      <c r="R449" s="769">
        <f>IF($F449="","",$I449+$J449+$K449)</f>
        <v>16554</v>
      </c>
      <c r="S449" s="769" t="str">
        <f>IF(OR($F449="",$P449="支払なし",$H449=0,$Q449=""),"",$Q449&amp;"|S|"&amp;(COUNTIF(S$4:S448,$Q449&amp;"|S|*")+1))</f>
        <v/>
      </c>
      <c r="T449" s="769" t="str">
        <f>IF(OR($F449="",$P449="支払なし",$R449=0,$Q449=""),"",$Q449&amp;"|L|"&amp;(COUNTIF(T$4:T448,$Q449&amp;"|L|*")+1))</f>
        <v>送金料|L|9</v>
      </c>
      <c r="U449" s="769">
        <f>IF(OR($F449="",$A449=""),"",MOD(MONTH($A449)-4,12)+1)</f>
        <v>9</v>
      </c>
    </row>
    <row r="450" ht="16.5" customFormat="1" customHeight="1" s="43">
      <c r="A450" s="760" t="n">
        <v>46001</v>
      </c>
      <c r="B450" s="761" t="n"/>
      <c r="C450" s="762" t="inlineStr">
        <is>
          <t>事務費</t>
        </is>
      </c>
      <c r="D450" s="762" t="inlineStr">
        <is>
          <t>送金料</t>
        </is>
      </c>
      <c r="E450" s="775" t="inlineStr">
        <is>
          <t>振込手数料（広銀）１１月分　短期分</t>
        </is>
      </c>
      <c r="F450" s="764" t="n">
        <v>136125</v>
      </c>
      <c r="G450" s="764" t="n">
        <v>2</v>
      </c>
      <c r="H450" s="765">
        <f>IF(G450=1,F450-I450-J450-K450,IF(G450=2,F450,0))</f>
        <v>136125</v>
      </c>
      <c r="I450" s="765">
        <f>ROUND(IF(G450=1,F450*10/23,IF(G450=3,F450-J450-K450,IF(G450=4,F450,IF(G450=5,F450*10/11,IF(G450=7,F450*10/11,0))))),0)</f>
        <v>0</v>
      </c>
      <c r="J450" s="765">
        <f>ROUND(IF(G450=1,F450/23,IF(G450=3,F450/12,IF(G450=5,F450-I450,IF(G450=8,F450,0)))),0)</f>
        <v>0</v>
      </c>
      <c r="K450" s="766">
        <f>ROUND(IF(G450=1,F450/23,IF(G450=3,F450/12,IF(G450=6,F450,IF(G450=7,F450-I450,0)))),0)</f>
        <v>0</v>
      </c>
      <c r="L450" s="767">
        <f>IF(G450=6,F450,0)</f>
        <v>0</v>
      </c>
      <c r="M450" s="572">
        <f>IF(F450="",0,MONTH(A450))</f>
        <v>12</v>
      </c>
      <c r="P450" s="768" t="inlineStr">
        <is>
          <t>昨年実績</t>
        </is>
      </c>
      <c r="Q450" s="769" t="str">
        <f>IF($F450="","",IFERROR(VLOOKUP($C450&amp;"|"&amp;$D450,科目表!$A$5:$B$200,2,FALSE),"※未登録"))</f>
        <v>送金料</v>
      </c>
      <c r="R450" s="769">
        <f>IF($F450="","",$I450+$J450+$K450)</f>
        <v>0</v>
      </c>
      <c r="S450" s="769" t="str">
        <f>IF(OR($F450="",$P450="支払なし",$H450=0,$Q450=""),"",$Q450&amp;"|S|"&amp;(COUNTIF(S$4:S449,$Q450&amp;"|S|*")+1))</f>
        <v>送金料|S|15</v>
      </c>
      <c r="T450" s="769" t="str">
        <f>IF(OR($F450="",$P450="支払なし",$R450=0,$Q450=""),"",$Q450&amp;"|L|"&amp;(COUNTIF(T$4:T449,$Q450&amp;"|L|*")+1))</f>
        <v/>
      </c>
      <c r="U450" s="769">
        <f>IF(OR($F450="",$A450=""),"",MOD(MONTH($A450)-4,12)+1)</f>
        <v>9</v>
      </c>
    </row>
    <row r="451" ht="16.5" customFormat="1" customHeight="1" s="43">
      <c r="A451" s="760" t="n">
        <v>46006</v>
      </c>
      <c r="B451" s="761" t="n"/>
      <c r="C451" s="762" t="inlineStr">
        <is>
          <t>賃金</t>
        </is>
      </c>
      <c r="D451" s="762" t="n"/>
      <c r="E451" s="762" t="inlineStr">
        <is>
          <t>臨時職員賃金１１月分　佐藤幸恵外１名分（短期１００％）</t>
        </is>
      </c>
      <c r="F451" s="772" t="n">
        <v>340920</v>
      </c>
      <c r="G451" s="764" t="n">
        <v>2</v>
      </c>
      <c r="H451" s="765">
        <f>IF(G451=1,F451-I451-J451-K451,IF(G451=2,F451,0))</f>
        <v>340920</v>
      </c>
      <c r="I451" s="765">
        <f>ROUND(IF(G451=1,F451*10/23,IF(G451=3,F451-J451-K451,IF(G451=4,F451,IF(G451=5,F451*10/11,IF(G451=7,F451*10/11,0))))),0)</f>
        <v>0</v>
      </c>
      <c r="J451" s="765">
        <f>ROUND(IF(G451=1,F451/23,IF(G451=3,F451/12,IF(G451=5,F451-I451,IF(G451=8,F451,0)))),0)</f>
        <v>0</v>
      </c>
      <c r="K451" s="766">
        <f>ROUND(IF(G451=1,F451/23,IF(G451=3,F451/12,IF(G451=6,F451,IF(G451=7,F451-I451,0)))),0)</f>
        <v>0</v>
      </c>
      <c r="L451" s="767">
        <f>IF(G451=6,F451,0)</f>
        <v>0</v>
      </c>
      <c r="M451" s="572">
        <f>IF(F451="",0,MONTH(A451))</f>
        <v>12</v>
      </c>
      <c r="P451" s="768" t="inlineStr">
        <is>
          <t>昨年実績</t>
        </is>
      </c>
      <c r="Q451" s="769" t="str">
        <f>IF($F451="","",IFERROR(VLOOKUP($C451&amp;"|"&amp;$D451,科目表!$A$5:$B$200,2,FALSE),"※未登録"))</f>
        <v>賃金</v>
      </c>
      <c r="R451" s="769">
        <f>IF($F451="","",$I451+$J451+$K451)</f>
        <v>0</v>
      </c>
      <c r="S451" s="769" t="str">
        <f>IF(OR($F451="",$P451="支払なし",$H451=0,$Q451=""),"",$Q451&amp;"|S|"&amp;(COUNTIF(S$4:S450,$Q451&amp;"|S|*")+1))</f>
        <v>賃金|S|8</v>
      </c>
      <c r="T451" s="769" t="str">
        <f>IF(OR($F451="",$P451="支払なし",$R451=0,$Q451=""),"",$Q451&amp;"|L|"&amp;(COUNTIF(T$4:T450,$Q451&amp;"|L|*")+1))</f>
        <v/>
      </c>
      <c r="U451" s="769">
        <f>IF(OR($F451="",$A451=""),"",MOD(MONTH($A451)-4,12)+1)</f>
        <v>9</v>
      </c>
    </row>
    <row r="452" ht="16.5" customFormat="1" customHeight="1" s="422">
      <c r="A452" s="760" t="n">
        <v>45989</v>
      </c>
      <c r="B452" s="761" t="n"/>
      <c r="C452" s="762" t="inlineStr">
        <is>
          <t>事務費</t>
        </is>
      </c>
      <c r="D452" s="762" t="inlineStr">
        <is>
          <t>図書印刷費</t>
        </is>
      </c>
      <c r="E452" s="770" t="inlineStr">
        <is>
          <t>資格情報通知書封筒　３，０００枚</t>
        </is>
      </c>
      <c r="F452" s="764" t="n">
        <v>99000</v>
      </c>
      <c r="G452" s="764" t="n">
        <v>2</v>
      </c>
      <c r="H452" s="765">
        <f>IF(G452=1,F452-I452-J452-K452,IF(G452=2,F452,0))</f>
        <v>99000</v>
      </c>
      <c r="I452" s="765">
        <f>ROUND(IF(G452=1,F452*10/23,IF(G452=3,F452-J452-K452,IF(G452=4,F452,IF(G452=5,F452*10/11,IF(G452=7,F452*10/11,0))))),0)</f>
        <v>0</v>
      </c>
      <c r="J452" s="765">
        <f>ROUND(IF(G452=1,F452/23,IF(G452=3,F452/12,IF(G452=5,F452-I452,IF(G452=8,F452,0)))),0)</f>
        <v>0</v>
      </c>
      <c r="K452" s="766">
        <f>ROUND(IF(G452=1,F452/23,IF(G452=3,F452/12,IF(G452=6,F452,IF(G452=7,F452-I452,0)))),0)</f>
        <v>0</v>
      </c>
      <c r="L452" s="767">
        <f>IF(G452=6,F452,0)</f>
        <v>0</v>
      </c>
      <c r="M452" s="572">
        <f>IF(F452="",0,MONTH(A452))</f>
        <v>11</v>
      </c>
      <c r="P452" s="768" t="inlineStr">
        <is>
          <t>昨年実績</t>
        </is>
      </c>
      <c r="Q452" s="769" t="str">
        <f>IF($F452="","",IFERROR(VLOOKUP($C452&amp;"|"&amp;$D452,科目表!$A$5:$B$200,2,FALSE),"※未登録"))</f>
        <v>図書印刷費</v>
      </c>
      <c r="R452" s="769">
        <f>IF($F452="","",$I452+$J452+$K452)</f>
        <v>0</v>
      </c>
      <c r="S452" s="769" t="str">
        <f>IF(OR($F452="",$P452="支払なし",$H452=0,$Q452=""),"",$Q452&amp;"|S|"&amp;(COUNTIF(S$4:S451,$Q452&amp;"|S|*")+1))</f>
        <v>図書印刷費|S|18</v>
      </c>
      <c r="T452" s="769" t="str">
        <f>IF(OR($F452="",$P452="支払なし",$R452=0,$Q452=""),"",$Q452&amp;"|L|"&amp;(COUNTIF(T$4:T451,$Q452&amp;"|L|*")+1))</f>
        <v/>
      </c>
      <c r="U452" s="769">
        <f>IF(OR($F452="",$A452=""),"",MOD(MONTH($A452)-4,12)+1)</f>
        <v>8</v>
      </c>
    </row>
    <row r="453" ht="16.5" customFormat="1" customHeight="1" s="422">
      <c r="A453" s="760" t="n">
        <v>43783</v>
      </c>
      <c r="B453" s="761" t="n"/>
      <c r="C453" s="762" t="inlineStr">
        <is>
          <t>事務費</t>
        </is>
      </c>
      <c r="D453" s="762" t="inlineStr">
        <is>
          <t>図書印刷費</t>
        </is>
      </c>
      <c r="E453" s="762" t="inlineStr">
        <is>
          <t>厚生法規総覧追録５２７４－５２８４号</t>
        </is>
      </c>
      <c r="F453" s="764" t="n">
        <v>33154</v>
      </c>
      <c r="G453" s="764" t="n">
        <v>2</v>
      </c>
      <c r="H453" s="765">
        <f>IF(G453=1,F453-I453-J453-K453,IF(G453=2,F453,0))</f>
        <v>33154</v>
      </c>
      <c r="I453" s="765">
        <f>ROUND(IF(G453=1,F453*10/23,IF(G453=3,F453-J453-K453,IF(G453=4,F453,IF(G453=5,F453*10/11,IF(G453=7,F453*10/11,0))))),0)</f>
        <v>0</v>
      </c>
      <c r="J453" s="765">
        <f>ROUND(IF(G453=1,F453/23,IF(G453=3,F453/12,IF(G453=5,F453-I453,IF(G453=8,F453,0)))),0)</f>
        <v>0</v>
      </c>
      <c r="K453" s="766">
        <f>ROUND(IF(G453=1,F453/23,IF(G453=3,F453/12,IF(G453=6,F453,IF(G453=7,F453-I453,0)))),0)</f>
        <v>0</v>
      </c>
      <c r="L453" s="767">
        <f>IF(G453=6,F453,0)</f>
        <v>0</v>
      </c>
      <c r="M453" s="421">
        <f>IF(F453="",0,MONTH(A453))</f>
        <v>11</v>
      </c>
      <c r="P453" s="768" t="inlineStr">
        <is>
          <t>昨年実績</t>
        </is>
      </c>
      <c r="Q453" s="769" t="str">
        <f>IF($F453="","",IFERROR(VLOOKUP($C453&amp;"|"&amp;$D453,科目表!$A$5:$B$200,2,FALSE),"※未登録"))</f>
        <v>図書印刷費</v>
      </c>
      <c r="R453" s="769">
        <f>IF($F453="","",$I453+$J453+$K453)</f>
        <v>0</v>
      </c>
      <c r="S453" s="769" t="str">
        <f>IF(OR($F453="",$P453="支払なし",$H453=0,$Q453=""),"",$Q453&amp;"|S|"&amp;(COUNTIF(S$4:S452,$Q453&amp;"|S|*")+1))</f>
        <v>図書印刷費|S|19</v>
      </c>
      <c r="T453" s="769" t="str">
        <f>IF(OR($F453="",$P453="支払なし",$R453=0,$Q453=""),"",$Q453&amp;"|L|"&amp;(COUNTIF(T$4:T452,$Q453&amp;"|L|*")+1))</f>
        <v/>
      </c>
      <c r="U453" s="769">
        <f>IF(OR($F453="",$A453=""),"",MOD(MONTH($A453)-4,12)+1)</f>
        <v>8</v>
      </c>
    </row>
    <row r="454" ht="16.5" customFormat="1" customHeight="1" s="422">
      <c r="A454" s="760" t="n">
        <v>45639</v>
      </c>
      <c r="B454" s="761" t="n"/>
      <c r="C454" s="762" t="inlineStr">
        <is>
          <t>事務費</t>
        </is>
      </c>
      <c r="D454" s="762" t="inlineStr">
        <is>
          <t>事務用消耗品費</t>
        </is>
      </c>
      <c r="E454" s="770" t="inlineStr">
        <is>
          <t xml:space="preserve">トナーカートリッジ　PR-L5350-12　１個　</t>
        </is>
      </c>
      <c r="F454" s="764" t="n">
        <v>6490</v>
      </c>
      <c r="G454" s="764" t="n">
        <v>3</v>
      </c>
      <c r="H454" s="765">
        <f>IF(G454=1,F454-I454-J454-K454,IF(G454=2,F454,0))</f>
        <v>0</v>
      </c>
      <c r="I454" s="765">
        <f>ROUND(IF(G454=1,F454*10/23,IF(G454=3,F454-J454-K454,IF(G454=4,F454,IF(G454=5,F454*10/11,IF(G454=7,F454*10/11,0))))),0)</f>
        <v>5408</v>
      </c>
      <c r="J454" s="765">
        <f>ROUND(IF(G454=1,F454/23,IF(G454=3,F454/12,IF(G454=5,F454-I454,IF(G454=8,F454,0)))),0)</f>
        <v>541</v>
      </c>
      <c r="K454" s="766">
        <f>ROUND(IF(G454=1,F454/23,IF(G454=3,F454/12,IF(G454=6,F454,IF(G454=7,F454-I454,0)))),0)</f>
        <v>541</v>
      </c>
      <c r="L454" s="767">
        <f>IF(G454=6,F454,0)</f>
        <v>0</v>
      </c>
      <c r="M454" s="421">
        <f>IF(F454="",0,MONTH(A454))</f>
        <v>12</v>
      </c>
      <c r="P454" s="768" t="inlineStr">
        <is>
          <t>昨年実績</t>
        </is>
      </c>
      <c r="Q454" s="769" t="str">
        <f>IF($F454="","",IFERROR(VLOOKUP($C454&amp;"|"&amp;$D454,科目表!$A$5:$B$200,2,FALSE),"※未登録"))</f>
        <v>事務用消耗品費</v>
      </c>
      <c r="R454" s="769">
        <f>IF($F454="","",$I454+$J454+$K454)</f>
        <v>6490</v>
      </c>
      <c r="S454" s="769" t="str">
        <f>IF(OR($F454="",$P454="支払なし",$H454=0,$Q454=""),"",$Q454&amp;"|S|"&amp;(COUNTIF(S$4:S453,$Q454&amp;"|S|*")+1))</f>
        <v/>
      </c>
      <c r="T454" s="769" t="str">
        <f>IF(OR($F454="",$P454="支払なし",$R454=0,$Q454=""),"",$Q454&amp;"|L|"&amp;(COUNTIF(T$4:T453,$Q454&amp;"|L|*")+1))</f>
        <v>事務用消耗品費|L|19</v>
      </c>
      <c r="U454" s="769">
        <f>IF(OR($F454="",$A454=""),"",MOD(MONTH($A454)-4,12)+1)</f>
        <v>9</v>
      </c>
    </row>
    <row r="455" ht="16.5" customFormat="1" customHeight="1" s="43">
      <c r="A455" s="760" t="n">
        <v>45996</v>
      </c>
      <c r="B455" s="761" t="n"/>
      <c r="C455" s="762" t="inlineStr">
        <is>
          <t>光熱水料</t>
        </is>
      </c>
      <c r="D455" s="762" t="inlineStr">
        <is>
          <t>電気料</t>
        </is>
      </c>
      <c r="E455" s="775" t="inlineStr">
        <is>
          <t>電気料（広島市４～９月分）</t>
        </is>
      </c>
      <c r="F455" s="764" t="n">
        <v>30112</v>
      </c>
      <c r="G455" s="764" t="n">
        <v>3</v>
      </c>
      <c r="H455" s="765">
        <f>IF(G455=1,F455-I455-J455-K455,IF(G455=2,F455,0))</f>
        <v>0</v>
      </c>
      <c r="I455" s="765">
        <f>ROUND(IF(G455=1,F455*10/23,IF(G455=3,F455-J455-K455,IF(G455=4,F455,IF(G455=5,F455*10/11,IF(G455=7,F455*10/11,0))))),0)</f>
        <v>25094</v>
      </c>
      <c r="J455" s="765">
        <f>ROUND(IF(G455=1,F455/23,IF(G455=3,F455/12,IF(G455=5,F455-I455,IF(G455=8,F455,0)))),0)</f>
        <v>2509</v>
      </c>
      <c r="K455" s="766">
        <f>ROUND(IF(G455=1,F455/23,IF(G455=3,F455/12,IF(G455=6,F455,IF(G455=7,F455-I455,0)))),0)</f>
        <v>2509</v>
      </c>
      <c r="L455" s="767">
        <f>IF(G455=6,F455,0)</f>
        <v>0</v>
      </c>
      <c r="M455" s="572">
        <f>IF(F455="",0,MONTH(A455))</f>
        <v>12</v>
      </c>
      <c r="P455" s="768" t="inlineStr">
        <is>
          <t>昨年実績</t>
        </is>
      </c>
      <c r="Q455" s="769" t="str">
        <f>IF($F455="","",IFERROR(VLOOKUP($C455&amp;"|"&amp;$D455,科目表!$A$5:$B$200,2,FALSE),"※未登録"))</f>
        <v>光熱水料</v>
      </c>
      <c r="R455" s="769">
        <f>IF($F455="","",$I455+$J455+$K455)</f>
        <v>30112</v>
      </c>
      <c r="S455" s="769" t="str">
        <f>IF(OR($F455="",$P455="支払なし",$H455=0,$Q455=""),"",$Q455&amp;"|S|"&amp;(COUNTIF(S$4:S454,$Q455&amp;"|S|*")+1))</f>
        <v/>
      </c>
      <c r="T455" s="769" t="str">
        <f>IF(OR($F455="",$P455="支払なし",$R455=0,$Q455=""),"",$Q455&amp;"|L|"&amp;(COUNTIF(T$4:T454,$Q455&amp;"|L|*")+1))</f>
        <v>光熱水料|L|1</v>
      </c>
      <c r="U455" s="769">
        <f>IF(OR($F455="",$A455=""),"",MOD(MONTH($A455)-4,12)+1)</f>
        <v>9</v>
      </c>
    </row>
    <row r="456" ht="16.5" customFormat="1" customHeight="1" s="43">
      <c r="A456" s="760" t="n">
        <v>45996</v>
      </c>
      <c r="B456" s="761" t="n"/>
      <c r="C456" s="762" t="inlineStr">
        <is>
          <t>光熱水料</t>
        </is>
      </c>
      <c r="D456" s="762" t="inlineStr">
        <is>
          <t>水道料</t>
        </is>
      </c>
      <c r="E456" s="762" t="inlineStr">
        <is>
          <t>水道料（広島市４～９月分）</t>
        </is>
      </c>
      <c r="F456" s="764" t="n">
        <v>10227</v>
      </c>
      <c r="G456" s="764" t="n">
        <v>3</v>
      </c>
      <c r="H456" s="765">
        <f>IF(G456=1,F456-I456-J456-K456,IF(G456=2,F456,0))</f>
        <v>0</v>
      </c>
      <c r="I456" s="765">
        <f>ROUND(IF(G456=1,F456*10/23,IF(G456=3,F456-J456-K456,IF(G456=4,F456,IF(G456=5,F456*10/11,IF(G456=7,F456*10/11,0))))),0)</f>
        <v>8523</v>
      </c>
      <c r="J456" s="765">
        <f>ROUND(IF(G456=1,F456/23,IF(G456=3,F456/12,IF(G456=5,F456-I456,IF(G456=8,F456,0)))),0)</f>
        <v>852</v>
      </c>
      <c r="K456" s="766">
        <f>ROUND(IF(G456=1,F456/23,IF(G456=3,F456/12,IF(G456=6,F456,IF(G456=7,F456-I456,0)))),0)</f>
        <v>852</v>
      </c>
      <c r="L456" s="767">
        <f>IF(G456=6,F456,0)</f>
        <v>0</v>
      </c>
      <c r="M456" s="572">
        <f>IF(F456="",0,MONTH(A456))</f>
        <v>12</v>
      </c>
      <c r="P456" s="768" t="inlineStr">
        <is>
          <t>昨年実績</t>
        </is>
      </c>
      <c r="Q456" s="769" t="str">
        <f>IF($F456="","",IFERROR(VLOOKUP($C456&amp;"|"&amp;$D456,科目表!$A$5:$B$200,2,FALSE),"※未登録"))</f>
        <v>光熱水料</v>
      </c>
      <c r="R456" s="769">
        <f>IF($F456="","",$I456+$J456+$K456)</f>
        <v>10227</v>
      </c>
      <c r="S456" s="769" t="str">
        <f>IF(OR($F456="",$P456="支払なし",$H456=0,$Q456=""),"",$Q456&amp;"|S|"&amp;(COUNTIF(S$4:S455,$Q456&amp;"|S|*")+1))</f>
        <v/>
      </c>
      <c r="T456" s="769" t="str">
        <f>IF(OR($F456="",$P456="支払なし",$R456=0,$Q456=""),"",$Q456&amp;"|L|"&amp;(COUNTIF(T$4:T455,$Q456&amp;"|L|*")+1))</f>
        <v>光熱水料|L|2</v>
      </c>
      <c r="U456" s="769">
        <f>IF(OR($F456="",$A456=""),"",MOD(MONTH($A456)-4,12)+1)</f>
        <v>9</v>
      </c>
    </row>
    <row r="457" ht="16.5" customFormat="1" customHeight="1" s="43">
      <c r="A457" s="760" t="n">
        <v>45996</v>
      </c>
      <c r="B457" s="761" t="n"/>
      <c r="C457" s="762" t="inlineStr">
        <is>
          <t>光熱水料</t>
        </is>
      </c>
      <c r="D457" s="762" t="inlineStr">
        <is>
          <t>ガス料</t>
        </is>
      </c>
      <c r="E457" s="775" t="inlineStr">
        <is>
          <t>ガス料（広島市４～９月分）</t>
        </is>
      </c>
      <c r="F457" s="764" t="n">
        <v>10046</v>
      </c>
      <c r="G457" s="764" t="n">
        <v>3</v>
      </c>
      <c r="H457" s="765">
        <f>IF(G457=1,F457-I457-J457-K457,IF(G457=2,F457,0))</f>
        <v>0</v>
      </c>
      <c r="I457" s="765">
        <f>ROUND(IF(G457=1,F457*10/23,IF(G457=3,F457-J457-K457,IF(G457=4,F457,IF(G457=5,F457*10/11,IF(G457=7,F457*10/11,0))))),0)</f>
        <v>8372</v>
      </c>
      <c r="J457" s="765">
        <f>ROUND(IF(G457=1,F457/23,IF(G457=3,F457/12,IF(G457=5,F457-I457,IF(G457=8,F457,0)))),0)</f>
        <v>837</v>
      </c>
      <c r="K457" s="766">
        <f>ROUND(IF(G457=1,F457/23,IF(G457=3,F457/12,IF(G457=6,F457,IF(G457=7,F457-I457,0)))),0)</f>
        <v>837</v>
      </c>
      <c r="L457" s="767">
        <f>IF(G457=6,F457,0)</f>
        <v>0</v>
      </c>
      <c r="M457" s="572">
        <f>IF(F457="",0,MONTH(A457))</f>
        <v>12</v>
      </c>
      <c r="P457" s="768" t="inlineStr">
        <is>
          <t>昨年実績</t>
        </is>
      </c>
      <c r="Q457" s="769" t="str">
        <f>IF($F457="","",IFERROR(VLOOKUP($C457&amp;"|"&amp;$D457,科目表!$A$5:$B$200,2,FALSE),"※未登録"))</f>
        <v>光熱水料</v>
      </c>
      <c r="R457" s="769">
        <f>IF($F457="","",$I457+$J457+$K457)</f>
        <v>10046</v>
      </c>
      <c r="S457" s="769" t="str">
        <f>IF(OR($F457="",$P457="支払なし",$H457=0,$Q457=""),"",$Q457&amp;"|S|"&amp;(COUNTIF(S$4:S456,$Q457&amp;"|S|*")+1))</f>
        <v/>
      </c>
      <c r="T457" s="769" t="str">
        <f>IF(OR($F457="",$P457="支払なし",$R457=0,$Q457=""),"",$Q457&amp;"|L|"&amp;(COUNTIF(T$4:T456,$Q457&amp;"|L|*")+1))</f>
        <v>光熱水料|L|3</v>
      </c>
      <c r="U457" s="769">
        <f>IF(OR($F457="",$A457=""),"",MOD(MONTH($A457)-4,12)+1)</f>
        <v>9</v>
      </c>
    </row>
    <row r="458" ht="16.5" customFormat="1" customHeight="1" s="43">
      <c r="A458" s="760" t="n">
        <v>45996</v>
      </c>
      <c r="B458" s="761" t="n"/>
      <c r="C458" s="762" t="inlineStr">
        <is>
          <t>委託費</t>
        </is>
      </c>
      <c r="D458" s="762" t="n"/>
      <c r="E458" s="762" t="inlineStr">
        <is>
          <t>清掃・警備・ごみ処理料（広島市４～９月分）</t>
        </is>
      </c>
      <c r="F458" s="764" t="n">
        <v>34460</v>
      </c>
      <c r="G458" s="764" t="n">
        <v>3</v>
      </c>
      <c r="H458" s="765">
        <f>IF(G458=1,F458-I458-J458-K458,IF(G458=2,F458,0))</f>
        <v>0</v>
      </c>
      <c r="I458" s="765">
        <f>ROUND(IF(G458=1,F458*10/23,IF(G458=3,F458-J458-K458,IF(G458=4,F458,IF(G458=5,F458*10/11,IF(G458=7,F458*10/11,0))))),0)</f>
        <v>28716</v>
      </c>
      <c r="J458" s="765">
        <f>ROUND(IF(G458=1,F458/23,IF(G458=3,F458/12,IF(G458=5,F458-I458,IF(G458=8,F458,0)))),0)</f>
        <v>2872</v>
      </c>
      <c r="K458" s="766">
        <f>ROUND(IF(G458=1,F458/23,IF(G458=3,F458/12,IF(G458=6,F458,IF(G458=7,F458-I458,0)))),0)</f>
        <v>2872</v>
      </c>
      <c r="L458" s="767">
        <f>IF(G458=6,F458,0)</f>
        <v>0</v>
      </c>
      <c r="M458" s="572">
        <f>IF(F458="",0,MONTH(A458))</f>
        <v>12</v>
      </c>
      <c r="P458" s="768" t="inlineStr">
        <is>
          <t>昨年実績</t>
        </is>
      </c>
      <c r="Q458" s="769" t="str">
        <f>IF($F458="","",IFERROR(VLOOKUP($C458&amp;"|"&amp;$D458,科目表!$A$5:$B$200,2,FALSE),"※未登録"))</f>
        <v>委託費</v>
      </c>
      <c r="R458" s="769">
        <f>IF($F458="","",$I458+$J458+$K458)</f>
        <v>34460</v>
      </c>
      <c r="S458" s="769" t="str">
        <f>IF(OR($F458="",$P458="支払なし",$H458=0,$Q458=""),"",$Q458&amp;"|S|"&amp;(COUNTIF(S$4:S457,$Q458&amp;"|S|*")+1))</f>
        <v/>
      </c>
      <c r="T458" s="769" t="str">
        <f>IF(OR($F458="",$P458="支払なし",$R458=0,$Q458=""),"",$Q458&amp;"|L|"&amp;(COUNTIF(T$4:T457,$Q458&amp;"|L|*")+1))</f>
        <v>委託費|L|16</v>
      </c>
      <c r="U458" s="769">
        <f>IF(OR($F458="",$A458=""),"",MOD(MONTH($A458)-4,12)+1)</f>
        <v>9</v>
      </c>
    </row>
    <row r="459" ht="16.5" customFormat="1" customHeight="1" s="43">
      <c r="A459" s="760" t="n">
        <v>45996</v>
      </c>
      <c r="B459" s="761" t="n"/>
      <c r="C459" s="762" t="inlineStr">
        <is>
          <t>光熱水料</t>
        </is>
      </c>
      <c r="D459" s="762" t="inlineStr">
        <is>
          <t>電気料</t>
        </is>
      </c>
      <c r="E459" s="775" t="inlineStr">
        <is>
          <t>電気料（広島市４～９月分）</t>
        </is>
      </c>
      <c r="F459" s="764" t="n">
        <v>4183</v>
      </c>
      <c r="G459" s="764" t="n">
        <v>2</v>
      </c>
      <c r="H459" s="765">
        <f>IF(G459=1,F459-I459-J459-K459,IF(G459=2,F459,0))</f>
        <v>4183</v>
      </c>
      <c r="I459" s="765">
        <f>ROUND(IF(G459=1,F459*10/23,IF(G459=3,F459-J459-K459,IF(G459=4,F459,IF(G459=5,F459*10/11,IF(G459=7,F459*10/11,0))))),0)</f>
        <v>0</v>
      </c>
      <c r="J459" s="765">
        <f>ROUND(IF(G459=1,F459/23,IF(G459=3,F459/12,IF(G459=5,F459-I459,IF(G459=8,F459,0)))),0)</f>
        <v>0</v>
      </c>
      <c r="K459" s="766">
        <f>ROUND(IF(G459=1,F459/23,IF(G459=3,F459/12,IF(G459=6,F459,IF(G459=7,F459-I459,0)))),0)</f>
        <v>0</v>
      </c>
      <c r="L459" s="767">
        <f>IF(G459=6,F459,0)</f>
        <v>0</v>
      </c>
      <c r="M459" s="572">
        <f>IF(F459="",0,MONTH(A459))</f>
        <v>12</v>
      </c>
      <c r="P459" s="768" t="inlineStr">
        <is>
          <t>昨年実績</t>
        </is>
      </c>
      <c r="Q459" s="769" t="str">
        <f>IF($F459="","",IFERROR(VLOOKUP($C459&amp;"|"&amp;$D459,科目表!$A$5:$B$200,2,FALSE),"※未登録"))</f>
        <v>光熱水料</v>
      </c>
      <c r="R459" s="769">
        <f>IF($F459="","",$I459+$J459+$K459)</f>
        <v>0</v>
      </c>
      <c r="S459" s="769" t="str">
        <f>IF(OR($F459="",$P459="支払なし",$H459=0,$Q459=""),"",$Q459&amp;"|S|"&amp;(COUNTIF(S$4:S458,$Q459&amp;"|S|*")+1))</f>
        <v>光熱水料|S|1</v>
      </c>
      <c r="T459" s="769" t="str">
        <f>IF(OR($F459="",$P459="支払なし",$R459=0,$Q459=""),"",$Q459&amp;"|L|"&amp;(COUNTIF(T$4:T458,$Q459&amp;"|L|*")+1))</f>
        <v/>
      </c>
      <c r="U459" s="769">
        <f>IF(OR($F459="",$A459=""),"",MOD(MONTH($A459)-4,12)+1)</f>
        <v>9</v>
      </c>
    </row>
    <row r="460" ht="16.5" customFormat="1" customHeight="1" s="43">
      <c r="A460" s="760" t="n">
        <v>45996</v>
      </c>
      <c r="B460" s="761" t="n"/>
      <c r="C460" s="762" t="inlineStr">
        <is>
          <t>光熱水料</t>
        </is>
      </c>
      <c r="D460" s="762" t="inlineStr">
        <is>
          <t>水道料</t>
        </is>
      </c>
      <c r="E460" s="762" t="inlineStr">
        <is>
          <t>水道料（広島市４～９月分）</t>
        </is>
      </c>
      <c r="F460" s="764" t="n">
        <v>1421</v>
      </c>
      <c r="G460" s="764" t="n">
        <v>2</v>
      </c>
      <c r="H460" s="765">
        <f>IF(G460=1,F460-I460-J460-K460,IF(G460=2,F460,0))</f>
        <v>1421</v>
      </c>
      <c r="I460" s="765">
        <f>ROUND(IF(G460=1,F460*10/23,IF(G460=3,F460-J460-K460,IF(G460=4,F460,IF(G460=5,F460*10/11,IF(G460=7,F460*10/11,0))))),0)</f>
        <v>0</v>
      </c>
      <c r="J460" s="765">
        <f>ROUND(IF(G460=1,F460/23,IF(G460=3,F460/12,IF(G460=5,F460-I460,IF(G460=8,F460,0)))),0)</f>
        <v>0</v>
      </c>
      <c r="K460" s="766">
        <f>ROUND(IF(G460=1,F460/23,IF(G460=3,F460/12,IF(G460=6,F460,IF(G460=7,F460-I460,0)))),0)</f>
        <v>0</v>
      </c>
      <c r="L460" s="767">
        <f>IF(G460=6,F460,0)</f>
        <v>0</v>
      </c>
      <c r="M460" s="572">
        <f>IF(F460="",0,MONTH(A460))</f>
        <v>12</v>
      </c>
      <c r="P460" s="768" t="inlineStr">
        <is>
          <t>昨年実績</t>
        </is>
      </c>
      <c r="Q460" s="769" t="str">
        <f>IF($F460="","",IFERROR(VLOOKUP($C460&amp;"|"&amp;$D460,科目表!$A$5:$B$200,2,FALSE),"※未登録"))</f>
        <v>光熱水料</v>
      </c>
      <c r="R460" s="769">
        <f>IF($F460="","",$I460+$J460+$K460)</f>
        <v>0</v>
      </c>
      <c r="S460" s="769" t="str">
        <f>IF(OR($F460="",$P460="支払なし",$H460=0,$Q460=""),"",$Q460&amp;"|S|"&amp;(COUNTIF(S$4:S459,$Q460&amp;"|S|*")+1))</f>
        <v>光熱水料|S|2</v>
      </c>
      <c r="T460" s="769" t="str">
        <f>IF(OR($F460="",$P460="支払なし",$R460=0,$Q460=""),"",$Q460&amp;"|L|"&amp;(COUNTIF(T$4:T459,$Q460&amp;"|L|*")+1))</f>
        <v/>
      </c>
      <c r="U460" s="769">
        <f>IF(OR($F460="",$A460=""),"",MOD(MONTH($A460)-4,12)+1)</f>
        <v>9</v>
      </c>
    </row>
    <row r="461" ht="16.5" customFormat="1" customHeight="1" s="43">
      <c r="A461" s="760" t="n">
        <v>45996</v>
      </c>
      <c r="B461" s="761" t="n"/>
      <c r="C461" s="762" t="inlineStr">
        <is>
          <t>光熱水料</t>
        </is>
      </c>
      <c r="D461" s="762" t="inlineStr">
        <is>
          <t>ガス料</t>
        </is>
      </c>
      <c r="E461" s="775" t="inlineStr">
        <is>
          <t>ガス料（広島市４～９月分）</t>
        </is>
      </c>
      <c r="F461" s="764" t="n">
        <v>1395</v>
      </c>
      <c r="G461" s="764" t="n">
        <v>2</v>
      </c>
      <c r="H461" s="765">
        <f>IF(G461=1,F461-I461-J461-K461,IF(G461=2,F461,0))</f>
        <v>1395</v>
      </c>
      <c r="I461" s="765">
        <f>ROUND(IF(G461=1,F461*10/23,IF(G461=3,F461-J461-K461,IF(G461=4,F461,IF(G461=5,F461*10/11,IF(G461=7,F461*10/11,0))))),0)</f>
        <v>0</v>
      </c>
      <c r="J461" s="765">
        <f>ROUND(IF(G461=1,F461/23,IF(G461=3,F461/12,IF(G461=5,F461-I461,IF(G461=8,F461,0)))),0)</f>
        <v>0</v>
      </c>
      <c r="K461" s="766">
        <f>ROUND(IF(G461=1,F461/23,IF(G461=3,F461/12,IF(G461=6,F461,IF(G461=7,F461-I461,0)))),0)</f>
        <v>0</v>
      </c>
      <c r="L461" s="767">
        <f>IF(G461=6,F461,0)</f>
        <v>0</v>
      </c>
      <c r="M461" s="572">
        <f>IF(F461="",0,MONTH(A461))</f>
        <v>12</v>
      </c>
      <c r="P461" s="768" t="inlineStr">
        <is>
          <t>昨年実績</t>
        </is>
      </c>
      <c r="Q461" s="769" t="str">
        <f>IF($F461="","",IFERROR(VLOOKUP($C461&amp;"|"&amp;$D461,科目表!$A$5:$B$200,2,FALSE),"※未登録"))</f>
        <v>光熱水料</v>
      </c>
      <c r="R461" s="769">
        <f>IF($F461="","",$I461+$J461+$K461)</f>
        <v>0</v>
      </c>
      <c r="S461" s="769" t="str">
        <f>IF(OR($F461="",$P461="支払なし",$H461=0,$Q461=""),"",$Q461&amp;"|S|"&amp;(COUNTIF(S$4:S460,$Q461&amp;"|S|*")+1))</f>
        <v>光熱水料|S|3</v>
      </c>
      <c r="T461" s="769" t="str">
        <f>IF(OR($F461="",$P461="支払なし",$R461=0,$Q461=""),"",$Q461&amp;"|L|"&amp;(COUNTIF(T$4:T460,$Q461&amp;"|L|*")+1))</f>
        <v/>
      </c>
      <c r="U461" s="769">
        <f>IF(OR($F461="",$A461=""),"",MOD(MONTH($A461)-4,12)+1)</f>
        <v>9</v>
      </c>
    </row>
    <row r="462" ht="16.5" customFormat="1" customHeight="1" s="43">
      <c r="A462" s="760" t="n">
        <v>45996</v>
      </c>
      <c r="B462" s="761" t="n"/>
      <c r="C462" s="762" t="inlineStr">
        <is>
          <t>委託費</t>
        </is>
      </c>
      <c r="D462" s="762" t="n"/>
      <c r="E462" s="762" t="inlineStr">
        <is>
          <t>清掃・警備・ごみ処理料（広島市４～９月分）</t>
        </is>
      </c>
      <c r="F462" s="764" t="n">
        <v>4786</v>
      </c>
      <c r="G462" s="764" t="n">
        <v>2</v>
      </c>
      <c r="H462" s="765">
        <f>IF(G462=1,F462-I462-J462-K462,IF(G462=2,F462,0))</f>
        <v>4786</v>
      </c>
      <c r="I462" s="765">
        <f>ROUND(IF(G462=1,F462*10/23,IF(G462=3,F462-J462-K462,IF(G462=4,F462,IF(G462=5,F462*10/11,IF(G462=7,F462*10/11,0))))),0)</f>
        <v>0</v>
      </c>
      <c r="J462" s="765">
        <f>ROUND(IF(G462=1,F462/23,IF(G462=3,F462/12,IF(G462=5,F462-I462,IF(G462=8,F462,0)))),0)</f>
        <v>0</v>
      </c>
      <c r="K462" s="766">
        <f>ROUND(IF(G462=1,F462/23,IF(G462=3,F462/12,IF(G462=6,F462,IF(G462=7,F462-I462,0)))),0)</f>
        <v>0</v>
      </c>
      <c r="L462" s="767">
        <f>IF(G462=6,F462,0)</f>
        <v>0</v>
      </c>
      <c r="M462" s="572">
        <f>IF(F462="",0,MONTH(A462))</f>
        <v>12</v>
      </c>
      <c r="P462" s="768" t="inlineStr">
        <is>
          <t>昨年実績</t>
        </is>
      </c>
      <c r="Q462" s="769" t="str">
        <f>IF($F462="","",IFERROR(VLOOKUP($C462&amp;"|"&amp;$D462,科目表!$A$5:$B$200,2,FALSE),"※未登録"))</f>
        <v>委託費</v>
      </c>
      <c r="R462" s="769">
        <f>IF($F462="","",$I462+$J462+$K462)</f>
        <v>0</v>
      </c>
      <c r="S462" s="769" t="str">
        <f>IF(OR($F462="",$P462="支払なし",$H462=0,$Q462=""),"",$Q462&amp;"|S|"&amp;(COUNTIF(S$4:S461,$Q462&amp;"|S|*")+1))</f>
        <v>委託費|S|46</v>
      </c>
      <c r="T462" s="769" t="str">
        <f>IF(OR($F462="",$P462="支払なし",$R462=0,$Q462=""),"",$Q462&amp;"|L|"&amp;(COUNTIF(T$4:T461,$Q462&amp;"|L|*")+1))</f>
        <v/>
      </c>
      <c r="U462" s="769">
        <f>IF(OR($F462="",$A462=""),"",MOD(MONTH($A462)-4,12)+1)</f>
        <v>9</v>
      </c>
    </row>
    <row r="463" ht="16.5" customFormat="1" customHeight="1" s="43">
      <c r="A463" s="760" t="n">
        <v>45996</v>
      </c>
      <c r="B463" s="761" t="n"/>
      <c r="C463" s="762" t="inlineStr">
        <is>
          <t>事務費</t>
        </is>
      </c>
      <c r="D463" s="762" t="inlineStr">
        <is>
          <t>通信運搬費</t>
        </is>
      </c>
      <c r="E463" s="762" t="inlineStr">
        <is>
          <t>電話料（広島市４～９月分）</t>
        </is>
      </c>
      <c r="F463" s="772" t="n">
        <v>18000</v>
      </c>
      <c r="G463" s="764" t="n">
        <v>3</v>
      </c>
      <c r="H463" s="765">
        <f>IF(G463=1,F463-I463-J463-K463,IF(G463=2,F463,0))</f>
        <v>0</v>
      </c>
      <c r="I463" s="765">
        <f>ROUND(IF(G463=1,F463*10/23,IF(G463=3,F463-J463-K463,IF(G463=4,F463,IF(G463=5,F463*10/11,IF(G463=7,F463*10/11,0))))),0)</f>
        <v>15000</v>
      </c>
      <c r="J463" s="765">
        <f>ROUND(IF(G463=1,F463/23,IF(G463=3,F463/12,IF(G463=5,F463-I463,IF(G463=8,F463,0)))),0)</f>
        <v>1500</v>
      </c>
      <c r="K463" s="766">
        <f>ROUND(IF(G463=1,F463/23,IF(G463=3,F463/12,IF(G463=6,F463,IF(G463=7,F463-I463,0)))),0)</f>
        <v>1500</v>
      </c>
      <c r="L463" s="767">
        <f>IF(G463=6,F463,0)</f>
        <v>0</v>
      </c>
      <c r="M463" s="572">
        <f>IF(F463="",0,MONTH(A463))</f>
        <v>12</v>
      </c>
      <c r="P463" s="768" t="inlineStr">
        <is>
          <t>昨年実績</t>
        </is>
      </c>
      <c r="Q463" s="769" t="str">
        <f>IF($F463="","",IFERROR(VLOOKUP($C463&amp;"|"&amp;$D463,科目表!$A$5:$B$200,2,FALSE),"※未登録"))</f>
        <v>通信運搬費</v>
      </c>
      <c r="R463" s="769">
        <f>IF($F463="","",$I463+$J463+$K463)</f>
        <v>18000</v>
      </c>
      <c r="S463" s="769" t="str">
        <f>IF(OR($F463="",$P463="支払なし",$H463=0,$Q463=""),"",$Q463&amp;"|S|"&amp;(COUNTIF(S$4:S462,$Q463&amp;"|S|*")+1))</f>
        <v/>
      </c>
      <c r="T463" s="769" t="str">
        <f>IF(OR($F463="",$P463="支払なし",$R463=0,$Q463=""),"",$Q463&amp;"|L|"&amp;(COUNTIF(T$4:T462,$Q463&amp;"|L|*")+1))</f>
        <v>通信運搬費|L|18</v>
      </c>
      <c r="U463" s="769">
        <f>IF(OR($F463="",$A463=""),"",MOD(MONTH($A463)-4,12)+1)</f>
        <v>9</v>
      </c>
    </row>
    <row r="464" ht="16.5" customFormat="1" customHeight="1" s="43">
      <c r="A464" s="760" t="n">
        <v>45996</v>
      </c>
      <c r="B464" s="761" t="n"/>
      <c r="C464" s="762" t="inlineStr">
        <is>
          <t>事務費</t>
        </is>
      </c>
      <c r="D464" s="762" t="inlineStr">
        <is>
          <t>通信運搬費</t>
        </is>
      </c>
      <c r="E464" s="762" t="inlineStr">
        <is>
          <t>電話料（広島市４～９月分）</t>
        </is>
      </c>
      <c r="F464" s="772" t="n">
        <v>54000</v>
      </c>
      <c r="G464" s="764" t="n">
        <v>2</v>
      </c>
      <c r="H464" s="765">
        <f>IF(G464=1,F464-I464-J464-K464,IF(G464=2,F464,0))</f>
        <v>54000</v>
      </c>
      <c r="I464" s="765">
        <f>ROUND(IF(G464=1,F464*10/23,IF(G464=3,F464-J464-K464,IF(G464=4,F464,IF(G464=5,F464*10/11,IF(G464=7,F464*10/11,0))))),0)</f>
        <v>0</v>
      </c>
      <c r="J464" s="765">
        <f>ROUND(IF(G464=1,F464/23,IF(G464=3,F464/12,IF(G464=5,F464-I464,IF(G464=8,F464,0)))),0)</f>
        <v>0</v>
      </c>
      <c r="K464" s="766">
        <f>ROUND(IF(G464=1,F464/23,IF(G464=3,F464/12,IF(G464=6,F464,IF(G464=7,F464-I464,0)))),0)</f>
        <v>0</v>
      </c>
      <c r="L464" s="767">
        <f>IF(G464=6,F464,0)</f>
        <v>0</v>
      </c>
      <c r="M464" s="572">
        <f>IF(F464="",0,MONTH(A464))</f>
        <v>12</v>
      </c>
      <c r="P464" s="768" t="inlineStr">
        <is>
          <t>昨年実績</t>
        </is>
      </c>
      <c r="Q464" s="769" t="str">
        <f>IF($F464="","",IFERROR(VLOOKUP($C464&amp;"|"&amp;$D464,科目表!$A$5:$B$200,2,FALSE),"※未登録"))</f>
        <v>通信運搬費</v>
      </c>
      <c r="R464" s="769">
        <f>IF($F464="","",$I464+$J464+$K464)</f>
        <v>0</v>
      </c>
      <c r="S464" s="769" t="str">
        <f>IF(OR($F464="",$P464="支払なし",$H464=0,$Q464=""),"",$Q464&amp;"|S|"&amp;(COUNTIF(S$4:S463,$Q464&amp;"|S|*")+1))</f>
        <v>通信運搬費|S|49</v>
      </c>
      <c r="T464" s="769" t="str">
        <f>IF(OR($F464="",$P464="支払なし",$R464=0,$Q464=""),"",$Q464&amp;"|L|"&amp;(COUNTIF(T$4:T463,$Q464&amp;"|L|*")+1))</f>
        <v/>
      </c>
      <c r="U464" s="769">
        <f>IF(OR($F464="",$A464=""),"",MOD(MONTH($A464)-4,12)+1)</f>
        <v>9</v>
      </c>
    </row>
    <row r="465" ht="16.5" customFormat="1" customHeight="1" s="422">
      <c r="A465" s="760" t="n">
        <v>44904</v>
      </c>
      <c r="B465" s="761" t="n"/>
      <c r="C465" s="762" t="inlineStr">
        <is>
          <t>賃借料</t>
        </is>
      </c>
      <c r="D465" s="762" t="n"/>
      <c r="E465" s="762" t="inlineStr">
        <is>
          <t>大都市職員共済組合事務担当者会議等　WEB会議用機器等</t>
        </is>
      </c>
      <c r="F465" s="772" t="n">
        <v>13970</v>
      </c>
      <c r="G465" s="772" t="n">
        <v>1</v>
      </c>
      <c r="H465" s="765">
        <f>IF(G465=1,F465-I465-J465-K465,IF(G465=2,F465,0))</f>
        <v>6682</v>
      </c>
      <c r="I465" s="765">
        <f>ROUND(IF(G465=1,F465*10/23,IF(G465=3,F465-J465-K465,IF(G465=4,F465,IF(G465=5,F465*10/11,IF(G465=7,F465*10/11,0))))),0)</f>
        <v>6074</v>
      </c>
      <c r="J465" s="765">
        <f>ROUND(IF(G465=1,F465/23,IF(G465=3,F465/12,IF(G465=5,F465-I465,IF(G465=8,F465,0)))),0)</f>
        <v>607</v>
      </c>
      <c r="K465" s="766">
        <f>ROUND(IF(G465=1,F465/23,IF(G465=3,F465/12,IF(G465=6,F465,IF(G465=7,F465-I465,0)))),0)</f>
        <v>607</v>
      </c>
      <c r="L465" s="767">
        <f>IF(G465=6,F465,0)</f>
        <v>0</v>
      </c>
      <c r="M465" s="421">
        <f>IF(F465="",0,MONTH(A465))</f>
        <v>12</v>
      </c>
      <c r="P465" s="768" t="inlineStr">
        <is>
          <t>昨年実績</t>
        </is>
      </c>
      <c r="Q465" s="769" t="str">
        <f>IF($F465="","",IFERROR(VLOOKUP($C465&amp;"|"&amp;$D465,科目表!$A$5:$B$200,2,FALSE),"※未登録"))</f>
        <v>賃借料</v>
      </c>
      <c r="R465" s="769">
        <f>IF($F465="","",$I465+$J465+$K465)</f>
        <v>7288</v>
      </c>
      <c r="S465" s="769" t="str">
        <f>IF(OR($F465="",$P465="支払なし",$H465=0,$Q465=""),"",$Q465&amp;"|S|"&amp;(COUNTIF(S$4:S464,$Q465&amp;"|S|*")+1))</f>
        <v>賃借料|S|39</v>
      </c>
      <c r="T465" s="769" t="str">
        <f>IF(OR($F465="",$P465="支払なし",$R465=0,$Q465=""),"",$Q465&amp;"|L|"&amp;(COUNTIF(T$4:T464,$Q465&amp;"|L|*")+1))</f>
        <v>賃借料|L|14</v>
      </c>
      <c r="U465" s="769">
        <f>IF(OR($F465="",$A465=""),"",MOD(MONTH($A465)-4,12)+1)</f>
        <v>9</v>
      </c>
    </row>
    <row r="466" ht="16.5" customFormat="1" customHeight="1" s="43">
      <c r="A466" s="760" t="n">
        <v>46010</v>
      </c>
      <c r="B466" s="761" t="n"/>
      <c r="C466" s="762" t="inlineStr">
        <is>
          <t>職員給与</t>
        </is>
      </c>
      <c r="D466" s="762" t="inlineStr">
        <is>
          <t>非常勤職員手当</t>
        </is>
      </c>
      <c r="E466" s="762" t="inlineStr">
        <is>
          <t>12月分給与（長期分）</t>
        </is>
      </c>
      <c r="F466" s="764" t="n">
        <v>381773</v>
      </c>
      <c r="G466" s="772" t="n">
        <v>3</v>
      </c>
      <c r="H466" s="765">
        <f>IF(G466=1,F466-I466-J466-K466,IF(G466=2,F466,0))</f>
        <v>0</v>
      </c>
      <c r="I466" s="765">
        <f>ROUND(IF(G466=1,F466*10/23,IF(G466=3,F466-J466-K466,IF(G466=4,F466,IF(G466=5,F466*10/11,IF(G466=7,F466*10/11,0))))),0)</f>
        <v>318145</v>
      </c>
      <c r="J466" s="765">
        <f>ROUND(IF(G466=1,F466/23,IF(G466=3,F466/12,IF(G466=5,F466-I466,IF(G466=8,F466,0)))),0)</f>
        <v>31814</v>
      </c>
      <c r="K466" s="766">
        <f>ROUND(IF(G466=1,F466/23,IF(G466=3,F466/12,IF(G466=6,F466,IF(G466=7,F466-I466,0)))),0)</f>
        <v>31814</v>
      </c>
      <c r="L466" s="767">
        <f>IF(G466=6,F466,0)</f>
        <v>0</v>
      </c>
      <c r="M466" s="572">
        <f>IF(F466="",0,MONTH(A466))</f>
        <v>12</v>
      </c>
      <c r="P466" s="768" t="inlineStr">
        <is>
          <t>昨年実績</t>
        </is>
      </c>
      <c r="Q466" s="769" t="str">
        <f>IF($F466="","",IFERROR(VLOOKUP($C466&amp;"|"&amp;$D466,科目表!$A$5:$B$200,2,FALSE),"※未登録"))</f>
        <v>非常勤職員手当</v>
      </c>
      <c r="R466" s="769">
        <f>IF($F466="","",$I466+$J466+$K466)</f>
        <v>381773</v>
      </c>
      <c r="S466" s="769" t="str">
        <f>IF(OR($F466="",$P466="支払なし",$H466=0,$Q466=""),"",$Q466&amp;"|S|"&amp;(COUNTIF(S$4:S465,$Q466&amp;"|S|*")+1))</f>
        <v/>
      </c>
      <c r="T466" s="769" t="str">
        <f>IF(OR($F466="",$P466="支払なし",$R466=0,$Q466=""),"",$Q466&amp;"|L|"&amp;(COUNTIF(T$4:T465,$Q466&amp;"|L|*")+1))</f>
        <v>非常勤職員手当|L|12</v>
      </c>
      <c r="U466" s="769">
        <f>IF(OR($F466="",$A466=""),"",MOD(MONTH($A466)-4,12)+1)</f>
        <v>9</v>
      </c>
    </row>
    <row r="467" ht="16.5" customFormat="1" customHeight="1" s="43">
      <c r="A467" s="760" t="n">
        <v>46010</v>
      </c>
      <c r="B467" s="761" t="n"/>
      <c r="C467" s="762" t="inlineStr">
        <is>
          <t>職員給与</t>
        </is>
      </c>
      <c r="D467" s="762" t="inlineStr">
        <is>
          <t>非常勤職員手当</t>
        </is>
      </c>
      <c r="E467" s="762" t="inlineStr">
        <is>
          <t>12月分給与（短期分）</t>
        </is>
      </c>
      <c r="F467" s="764" t="n">
        <v>225859</v>
      </c>
      <c r="G467" s="772" t="n">
        <v>2</v>
      </c>
      <c r="H467" s="765">
        <f>IF(G467=1,F467-I467-J467-K467,IF(G467=2,F467,0))</f>
        <v>225859</v>
      </c>
      <c r="I467" s="765">
        <f>ROUND(IF(G467=1,F467*10/23,IF(G467=3,F467-J467-K467,IF(G467=4,F467,IF(G467=5,F467*10/11,IF(G467=7,F467*10/11,0))))),0)</f>
        <v>0</v>
      </c>
      <c r="J467" s="765">
        <f>ROUND(IF(G467=1,F467/23,IF(G467=3,F467/12,IF(G467=5,F467-I467,IF(G467=8,F467,0)))),0)</f>
        <v>0</v>
      </c>
      <c r="K467" s="766">
        <f>ROUND(IF(G467=1,F467/23,IF(G467=3,F467/12,IF(G467=6,F467,IF(G467=7,F467-I467,0)))),0)</f>
        <v>0</v>
      </c>
      <c r="L467" s="767">
        <f>IF(G467=6,F467,0)</f>
        <v>0</v>
      </c>
      <c r="M467" s="572">
        <f>IF(F467="",0,MONTH(A467))</f>
        <v>12</v>
      </c>
      <c r="P467" s="768" t="inlineStr">
        <is>
          <t>昨年実績</t>
        </is>
      </c>
      <c r="Q467" s="769" t="str">
        <f>IF($F467="","",IFERROR(VLOOKUP($C467&amp;"|"&amp;$D467,科目表!$A$5:$B$200,2,FALSE),"※未登録"))</f>
        <v>非常勤職員手当</v>
      </c>
      <c r="R467" s="769">
        <f>IF($F467="","",$I467+$J467+$K467)</f>
        <v>0</v>
      </c>
      <c r="S467" s="769" t="str">
        <f>IF(OR($F467="",$P467="支払なし",$H467=0,$Q467=""),"",$Q467&amp;"|S|"&amp;(COUNTIF(S$4:S466,$Q467&amp;"|S|*")+1))</f>
        <v>非常勤職員手当|S|11</v>
      </c>
      <c r="T467" s="769" t="str">
        <f>IF(OR($F467="",$P467="支払なし",$R467=0,$Q467=""),"",$Q467&amp;"|L|"&amp;(COUNTIF(T$4:T466,$Q467&amp;"|L|*")+1))</f>
        <v/>
      </c>
      <c r="U467" s="769">
        <f>IF(OR($F467="",$A467=""),"",MOD(MONTH($A467)-4,12)+1)</f>
        <v>9</v>
      </c>
    </row>
    <row r="468" ht="16.5" customFormat="1" customHeight="1" s="43">
      <c r="A468" s="760" t="n">
        <v>46010</v>
      </c>
      <c r="B468" s="761" t="n"/>
      <c r="C468" s="762" t="inlineStr">
        <is>
          <t>負担金</t>
        </is>
      </c>
      <c r="D468" s="762" t="inlineStr">
        <is>
          <t>互助会費</t>
        </is>
      </c>
      <c r="E468" s="762" t="inlineStr">
        <is>
          <t>助成金（12月長期分）</t>
        </is>
      </c>
      <c r="F468" s="764" t="n">
        <v>535</v>
      </c>
      <c r="G468" s="764" t="n">
        <v>3</v>
      </c>
      <c r="H468" s="765">
        <f>IF(G468=1,F468-I468-J468-K468,IF(G468=2,F468,0))</f>
        <v>0</v>
      </c>
      <c r="I468" s="765">
        <f>ROUND(IF(G468=1,F468*10/23,IF(G468=3,F468-J468-K468,IF(G468=4,F468,IF(G468=5,F468*10/11,IF(G468=7,F468*10/11,0))))),0)</f>
        <v>445</v>
      </c>
      <c r="J468" s="765">
        <f>ROUND(IF(G468=1,F468/23,IF(G468=3,F468/12,IF(G468=5,F468-I468,IF(G468=8,F468,0)))),0)</f>
        <v>45</v>
      </c>
      <c r="K468" s="766">
        <f>ROUND(IF(G468=1,F468/23,IF(G468=3,F468/12,IF(G468=6,F468,IF(G468=7,F468-I468,0)))),0)</f>
        <v>45</v>
      </c>
      <c r="L468" s="767">
        <f>IF(G468=6,F468,0)</f>
        <v>0</v>
      </c>
      <c r="M468" s="572">
        <f>IF(F468="",0,MONTH(A468))</f>
        <v>12</v>
      </c>
      <c r="P468" s="768" t="inlineStr">
        <is>
          <t>昨年実績</t>
        </is>
      </c>
      <c r="Q468" s="769" t="str">
        <f>IF($F468="","",IFERROR(VLOOKUP($C468&amp;"|"&amp;$D468,科目表!$A$5:$B$200,2,FALSE),"※未登録"))</f>
        <v>互助会費</v>
      </c>
      <c r="R468" s="769">
        <f>IF($F468="","",$I468+$J468+$K468)</f>
        <v>535</v>
      </c>
      <c r="S468" s="769" t="str">
        <f>IF(OR($F468="",$P468="支払なし",$H468=0,$Q468=""),"",$Q468&amp;"|S|"&amp;(COUNTIF(S$4:S467,$Q468&amp;"|S|*")+1))</f>
        <v/>
      </c>
      <c r="T468" s="769" t="str">
        <f>IF(OR($F468="",$P468="支払なし",$R468=0,$Q468=""),"",$Q468&amp;"|L|"&amp;(COUNTIF(T$4:T467,$Q468&amp;"|L|*")+1))</f>
        <v>互助会費|L|9</v>
      </c>
      <c r="U468" s="769">
        <f>IF(OR($F468="",$A468=""),"",MOD(MONTH($A468)-4,12)+1)</f>
        <v>9</v>
      </c>
    </row>
    <row r="469" ht="16.5" customFormat="1" customHeight="1" s="43">
      <c r="A469" s="760" t="n">
        <v>46010</v>
      </c>
      <c r="B469" s="761" t="n"/>
      <c r="C469" s="762" t="inlineStr">
        <is>
          <t>負担金</t>
        </is>
      </c>
      <c r="D469" s="762" t="inlineStr">
        <is>
          <t>互助会費</t>
        </is>
      </c>
      <c r="E469" s="762" t="inlineStr">
        <is>
          <t>助成金（12月短期分）</t>
        </is>
      </c>
      <c r="F469" s="764" t="n">
        <v>276</v>
      </c>
      <c r="G469" s="764" t="n">
        <v>2</v>
      </c>
      <c r="H469" s="765">
        <f>IF(G469=1,F469-I469-J469-K469,IF(G469=2,F469,0))</f>
        <v>276</v>
      </c>
      <c r="I469" s="765">
        <f>ROUND(IF(G469=1,F469*10/23,IF(G469=3,F469-J469-K469,IF(G469=4,F469,IF(G469=5,F469*10/11,IF(G469=7,F469*10/11,0))))),0)</f>
        <v>0</v>
      </c>
      <c r="J469" s="765">
        <f>ROUND(IF(G469=1,F469/23,IF(G469=3,F469/12,IF(G469=5,F469-I469,IF(G469=8,F469,0)))),0)</f>
        <v>0</v>
      </c>
      <c r="K469" s="766">
        <f>ROUND(IF(G469=1,F469/23,IF(G469=3,F469/12,IF(G469=6,F469,IF(G469=7,F469-I469,0)))),0)</f>
        <v>0</v>
      </c>
      <c r="L469" s="767">
        <f>IF(G469=6,F469,0)</f>
        <v>0</v>
      </c>
      <c r="M469" s="572">
        <f>IF(F469="",0,MONTH(A469))</f>
        <v>12</v>
      </c>
      <c r="P469" s="768" t="inlineStr">
        <is>
          <t>昨年実績</t>
        </is>
      </c>
      <c r="Q469" s="769" t="str">
        <f>IF($F469="","",IFERROR(VLOOKUP($C469&amp;"|"&amp;$D469,科目表!$A$5:$B$200,2,FALSE),"※未登録"))</f>
        <v>互助会費</v>
      </c>
      <c r="R469" s="769">
        <f>IF($F469="","",$I469+$J469+$K469)</f>
        <v>0</v>
      </c>
      <c r="S469" s="769" t="str">
        <f>IF(OR($F469="",$P469="支払なし",$H469=0,$Q469=""),"",$Q469&amp;"|S|"&amp;(COUNTIF(S$4:S468,$Q469&amp;"|S|*")+1))</f>
        <v>互助会費|S|9</v>
      </c>
      <c r="T469" s="769" t="str">
        <f>IF(OR($F469="",$P469="支払なし",$R469=0,$Q469=""),"",$Q469&amp;"|L|"&amp;(COUNTIF(T$4:T468,$Q469&amp;"|L|*")+1))</f>
        <v/>
      </c>
      <c r="U469" s="769">
        <f>IF(OR($F469="",$A469=""),"",MOD(MONTH($A469)-4,12)+1)</f>
        <v>9</v>
      </c>
    </row>
    <row r="470" ht="16.5" customFormat="1" customHeight="1" s="422">
      <c r="A470" s="760" t="n">
        <v>45296</v>
      </c>
      <c r="B470" s="761" t="n"/>
      <c r="C470" s="762" t="inlineStr">
        <is>
          <t>事務費</t>
        </is>
      </c>
      <c r="D470" s="762" t="inlineStr">
        <is>
          <t>事務用消耗品費</t>
        </is>
      </c>
      <c r="E470" s="775" t="inlineStr">
        <is>
          <t>トナーカートリッジ（再生品）ＬＰＢ３Ｔ２７　９個</t>
        </is>
      </c>
      <c r="F470" s="764" t="n">
        <v>47520</v>
      </c>
      <c r="G470" s="764" t="n">
        <v>3</v>
      </c>
      <c r="H470" s="765">
        <f>IF(G470=1,F470-I470-J470-K470,IF(G470=2,F470,0))</f>
        <v>0</v>
      </c>
      <c r="I470" s="765">
        <f>ROUND(IF(G470=1,F470*10/23,IF(G470=3,F470-J470-K470,IF(G470=4,F470,IF(G470=5,F470*10/11,IF(G470=7,F470*10/11,0))))),0)</f>
        <v>39600</v>
      </c>
      <c r="J470" s="765">
        <f>ROUND(IF(G470=1,F470/23,IF(G470=3,F470/12,IF(G470=5,F470-I470,IF(G470=8,F470,0)))),0)</f>
        <v>3960</v>
      </c>
      <c r="K470" s="766">
        <f>ROUND(IF(G470=1,F470/23,IF(G470=3,F470/12,IF(G470=6,F470,IF(G470=7,F470-I470,0)))),0)</f>
        <v>3960</v>
      </c>
      <c r="L470" s="767">
        <f>IF(G470=6,F470,0)</f>
        <v>0</v>
      </c>
      <c r="M470" s="421">
        <f>IF(F470="",0,MONTH(A470))</f>
        <v>1</v>
      </c>
      <c r="P470" s="768" t="inlineStr">
        <is>
          <t>昨年実績</t>
        </is>
      </c>
      <c r="Q470" s="769" t="str">
        <f>IF($F470="","",IFERROR(VLOOKUP($C470&amp;"|"&amp;$D470,科目表!$A$5:$B$200,2,FALSE),"※未登録"))</f>
        <v>事務用消耗品費</v>
      </c>
      <c r="R470" s="769">
        <f>IF($F470="","",$I470+$J470+$K470)</f>
        <v>47520</v>
      </c>
      <c r="S470" s="769" t="str">
        <f>IF(OR($F470="",$P470="支払なし",$H470=0,$Q470=""),"",$Q470&amp;"|S|"&amp;(COUNTIF(S$4:S469,$Q470&amp;"|S|*")+1))</f>
        <v/>
      </c>
      <c r="T470" s="769" t="str">
        <f>IF(OR($F470="",$P470="支払なし",$R470=0,$Q470=""),"",$Q470&amp;"|L|"&amp;(COUNTIF(T$4:T469,$Q470&amp;"|L|*")+1))</f>
        <v>事務用消耗品費|L|20</v>
      </c>
      <c r="U470" s="769">
        <f>IF(OR($F470="",$A470=""),"",MOD(MONTH($A470)-4,12)+1)</f>
        <v>10</v>
      </c>
    </row>
    <row r="471" ht="16.5" customFormat="1" customHeight="1" s="422">
      <c r="A471" s="760" t="n">
        <v>45638</v>
      </c>
      <c r="B471" s="761" t="n"/>
      <c r="C471" s="762" t="inlineStr">
        <is>
          <t>事務費</t>
        </is>
      </c>
      <c r="D471" s="762" t="inlineStr">
        <is>
          <t>通信運搬費</t>
        </is>
      </c>
      <c r="E471" s="763" t="inlineStr">
        <is>
          <t>切手、レターパック</t>
        </is>
      </c>
      <c r="F471" s="772" t="n">
        <v>288200</v>
      </c>
      <c r="G471" s="772" t="n">
        <v>3</v>
      </c>
      <c r="H471" s="765">
        <f>IF(G471=1,F471-I471-J471-K471,IF(G471=2,F471,0))</f>
        <v>0</v>
      </c>
      <c r="I471" s="765">
        <f>ROUND(IF(G471=1,F471*10/23,IF(G471=3,F471-J471-K471,IF(G471=4,F471,IF(G471=5,F471*10/11,IF(G471=7,F471*10/11,0))))),0)</f>
        <v>240166</v>
      </c>
      <c r="J471" s="765">
        <f>ROUND(IF(G471=1,F471/23,IF(G471=3,F471/12,IF(G471=5,F471-I471,IF(G471=8,F471,0)))),0)</f>
        <v>24017</v>
      </c>
      <c r="K471" s="766">
        <f>ROUND(IF(G471=1,F471/23,IF(G471=3,F471/12,IF(G471=6,F471,IF(G471=7,F471-I471,0)))),0)</f>
        <v>24017</v>
      </c>
      <c r="L471" s="767">
        <f>IF(G471=6,F471,0)</f>
        <v>0</v>
      </c>
      <c r="M471" s="421">
        <f>IF(F471="",0,MONTH(A471))</f>
        <v>12</v>
      </c>
      <c r="P471" s="768" t="inlineStr">
        <is>
          <t>昨年実績</t>
        </is>
      </c>
      <c r="Q471" s="769" t="str">
        <f>IF($F471="","",IFERROR(VLOOKUP($C471&amp;"|"&amp;$D471,科目表!$A$5:$B$200,2,FALSE),"※未登録"))</f>
        <v>通信運搬費</v>
      </c>
      <c r="R471" s="769">
        <f>IF($F471="","",$I471+$J471+$K471)</f>
        <v>288200</v>
      </c>
      <c r="S471" s="769" t="str">
        <f>IF(OR($F471="",$P471="支払なし",$H471=0,$Q471=""),"",$Q471&amp;"|S|"&amp;(COUNTIF(S$4:S470,$Q471&amp;"|S|*")+1))</f>
        <v/>
      </c>
      <c r="T471" s="769" t="str">
        <f>IF(OR($F471="",$P471="支払なし",$R471=0,$Q471=""),"",$Q471&amp;"|L|"&amp;(COUNTIF(T$4:T470,$Q471&amp;"|L|*")+1))</f>
        <v>通信運搬費|L|19</v>
      </c>
      <c r="U471" s="769">
        <f>IF(OR($F471="",$A471=""),"",MOD(MONTH($A471)-4,12)+1)</f>
        <v>9</v>
      </c>
    </row>
    <row r="472" ht="16.5" customFormat="1" customHeight="1" s="422">
      <c r="A472" s="760" t="n">
        <v>44173</v>
      </c>
      <c r="B472" s="761" t="n"/>
      <c r="C472" s="762" t="inlineStr">
        <is>
          <t>負担金</t>
        </is>
      </c>
      <c r="D472" s="762" t="inlineStr">
        <is>
          <t>負担金</t>
        </is>
      </c>
      <c r="E472" s="762" t="inlineStr">
        <is>
          <t>収入印紙</t>
        </is>
      </c>
      <c r="F472" s="772" t="n">
        <v>4000</v>
      </c>
      <c r="G472" s="772" t="n">
        <v>3</v>
      </c>
      <c r="H472" s="765">
        <f>IF(G472=1,F472-I472-J472-K472,IF(G472=2,F472,0))</f>
        <v>0</v>
      </c>
      <c r="I472" s="765">
        <f>ROUND(IF(G472=1,F472*10/23,IF(G472=3,F472-J472-K472,IF(G472=4,F472,IF(G472=5,F472*10/11,IF(G472=7,F472*10/11,0))))),0)</f>
        <v>3334</v>
      </c>
      <c r="J472" s="765">
        <f>ROUND(IF(G472=1,F472/23,IF(G472=3,F472/12,IF(G472=5,F472-I472,IF(G472=8,F472,0)))),0)</f>
        <v>333</v>
      </c>
      <c r="K472" s="766">
        <f>ROUND(IF(G472=1,F472/23,IF(G472=3,F472/12,IF(G472=6,F472,IF(G472=7,F472-I472,0)))),0)</f>
        <v>333</v>
      </c>
      <c r="L472" s="767">
        <f>IF(G472=6,F472,0)</f>
        <v>0</v>
      </c>
      <c r="M472" s="421">
        <f>IF(F472="",0,MONTH(A472))</f>
        <v>12</v>
      </c>
      <c r="P472" s="768" t="inlineStr">
        <is>
          <t>昨年実績</t>
        </is>
      </c>
      <c r="Q472" s="769" t="str">
        <f>IF($F472="","",IFERROR(VLOOKUP($C472&amp;"|"&amp;$D472,科目表!$A$5:$B$200,2,FALSE),"※未登録"))</f>
        <v>共済負担金等</v>
      </c>
      <c r="R472" s="769">
        <f>IF($F472="","",$I472+$J472+$K472)</f>
        <v>4000</v>
      </c>
      <c r="S472" s="769" t="str">
        <f>IF(OR($F472="",$P472="支払なし",$H472=0,$Q472=""),"",$Q472&amp;"|S|"&amp;(COUNTIF(S$4:S471,$Q472&amp;"|S|*")+1))</f>
        <v/>
      </c>
      <c r="T472" s="769" t="str">
        <f>IF(OR($F472="",$P472="支払なし",$R472=0,$Q472=""),"",$Q472&amp;"|L|"&amp;(COUNTIF(T$4:T471,$Q472&amp;"|L|*")+1))</f>
        <v>共済負担金等|L|13</v>
      </c>
      <c r="U472" s="769">
        <f>IF(OR($F472="",$A472=""),"",MOD(MONTH($A472)-4,12)+1)</f>
        <v>9</v>
      </c>
    </row>
    <row r="473" ht="16.5" customFormat="1" customHeight="1" s="43">
      <c r="A473" s="760" t="n">
        <v>46017</v>
      </c>
      <c r="B473" s="761" t="n"/>
      <c r="C473" s="762" t="inlineStr">
        <is>
          <t>事務費</t>
        </is>
      </c>
      <c r="D473" s="762" t="inlineStr">
        <is>
          <t>図書印刷費</t>
        </is>
      </c>
      <c r="E473" s="770" t="inlineStr">
        <is>
          <t>厚生法規総覧追録　６０４６－６０５５号</t>
        </is>
      </c>
      <c r="F473" s="764" t="n">
        <v>33154</v>
      </c>
      <c r="G473" s="764" t="n">
        <v>2</v>
      </c>
      <c r="H473" s="765">
        <f>IF(G473=1,F473-I473-J473-K473,IF(G473=2,F473,0))</f>
        <v>33154</v>
      </c>
      <c r="I473" s="765">
        <f>ROUND(IF(G473=1,F473*10/23,IF(G473=3,F473-J473-K473,IF(G473=4,F473,IF(G473=5,F473*10/11,IF(G473=7,F473*10/11,0))))),0)</f>
        <v>0</v>
      </c>
      <c r="J473" s="765">
        <f>ROUND(IF(G473=1,F473/23,IF(G473=3,F473/12,IF(G473=5,F473-I473,IF(G473=8,F473,0)))),0)</f>
        <v>0</v>
      </c>
      <c r="K473" s="766">
        <f>ROUND(IF(G473=1,F473/23,IF(G473=3,F473/12,IF(G473=6,F473,IF(G473=7,F473-I473,0)))),0)</f>
        <v>0</v>
      </c>
      <c r="L473" s="767">
        <f>IF(G473=6,F473,0)</f>
        <v>0</v>
      </c>
      <c r="M473" s="572">
        <f>IF(F473="",0,MONTH(A473))</f>
        <v>12</v>
      </c>
      <c r="P473" s="768" t="inlineStr">
        <is>
          <t>昨年実績</t>
        </is>
      </c>
      <c r="Q473" s="769" t="str">
        <f>IF($F473="","",IFERROR(VLOOKUP($C473&amp;"|"&amp;$D473,科目表!$A$5:$B$200,2,FALSE),"※未登録"))</f>
        <v>図書印刷費</v>
      </c>
      <c r="R473" s="769">
        <f>IF($F473="","",$I473+$J473+$K473)</f>
        <v>0</v>
      </c>
      <c r="S473" s="769" t="str">
        <f>IF(OR($F473="",$P473="支払なし",$H473=0,$Q473=""),"",$Q473&amp;"|S|"&amp;(COUNTIF(S$4:S472,$Q473&amp;"|S|*")+1))</f>
        <v>図書印刷費|S|20</v>
      </c>
      <c r="T473" s="769" t="str">
        <f>IF(OR($F473="",$P473="支払なし",$R473=0,$Q473=""),"",$Q473&amp;"|L|"&amp;(COUNTIF(T$4:T472,$Q473&amp;"|L|*")+1))</f>
        <v/>
      </c>
      <c r="U473" s="769">
        <f>IF(OR($F473="",$A473=""),"",MOD(MONTH($A473)-4,12)+1)</f>
        <v>9</v>
      </c>
    </row>
    <row r="474" ht="16.5" customFormat="1" customHeight="1" s="422">
      <c r="A474" s="760" t="n">
        <v>43816</v>
      </c>
      <c r="B474" s="761" t="n"/>
      <c r="C474" s="762" t="inlineStr">
        <is>
          <t>旅費</t>
        </is>
      </c>
      <c r="D474" s="762" t="n"/>
      <c r="E474" s="775" t="inlineStr">
        <is>
          <t>12/19大都市事務担（長期）　神戸市　名桑次長</t>
        </is>
      </c>
      <c r="F474" s="764" t="n">
        <v>21540</v>
      </c>
      <c r="G474" s="764" t="n">
        <v>3</v>
      </c>
      <c r="H474" s="765">
        <f>IF(G474=1,F474-I474-J474-K474,IF(G474=2,F474,0))</f>
        <v>0</v>
      </c>
      <c r="I474" s="765">
        <f>ROUND(IF(G474=1,F474*10/23,IF(G474=3,F474-J474-K474,IF(G474=4,F474,IF(G474=5,F474*10/11,IF(G474=7,F474*10/11,0))))),0)</f>
        <v>17950</v>
      </c>
      <c r="J474" s="765">
        <f>ROUND(IF(G474=1,F474/23,IF(G474=3,F474/12,IF(G474=5,F474-I474,IF(G474=8,F474,0)))),0)</f>
        <v>1795</v>
      </c>
      <c r="K474" s="766">
        <f>ROUND(IF(G474=1,F474/23,IF(G474=3,F474/12,IF(G474=6,F474,IF(G474=7,F474-I474,0)))),0)</f>
        <v>1795</v>
      </c>
      <c r="L474" s="767">
        <f>IF(G474=6,F474,0)</f>
        <v>0</v>
      </c>
      <c r="M474" s="421">
        <f>IF(F474="",0,MONTH(A474))</f>
        <v>12</v>
      </c>
      <c r="P474" s="768" t="inlineStr">
        <is>
          <t>昨年実績</t>
        </is>
      </c>
      <c r="Q474" s="769" t="str">
        <f>IF($F474="","",IFERROR(VLOOKUP($C474&amp;"|"&amp;$D474,科目表!$A$5:$B$200,2,FALSE),"※未登録"))</f>
        <v>旅費</v>
      </c>
      <c r="R474" s="769">
        <f>IF($F474="","",$I474+$J474+$K474)</f>
        <v>21540</v>
      </c>
      <c r="S474" s="769" t="str">
        <f>IF(OR($F474="",$P474="支払なし",$H474=0,$Q474=""),"",$Q474&amp;"|S|"&amp;(COUNTIF(S$4:S473,$Q474&amp;"|S|*")+1))</f>
        <v/>
      </c>
      <c r="T474" s="769" t="str">
        <f>IF(OR($F474="",$P474="支払なし",$R474=0,$Q474=""),"",$Q474&amp;"|L|"&amp;(COUNTIF(T$4:T473,$Q474&amp;"|L|*")+1))</f>
        <v>旅費|L|16</v>
      </c>
      <c r="U474" s="769">
        <f>IF(OR($F474="",$A474=""),"",MOD(MONTH($A474)-4,12)+1)</f>
        <v>9</v>
      </c>
    </row>
    <row r="475" ht="16.5" customFormat="1" customHeight="1" s="422">
      <c r="A475" s="760" t="n">
        <v>43816</v>
      </c>
      <c r="B475" s="761" t="n"/>
      <c r="C475" s="762" t="inlineStr">
        <is>
          <t>旅費</t>
        </is>
      </c>
      <c r="D475" s="762" t="n"/>
      <c r="E475" s="775" t="inlineStr">
        <is>
          <t>12/20大都市事務担（総務）　神戸市　白石主査</t>
        </is>
      </c>
      <c r="F475" s="772" t="n">
        <v>21540</v>
      </c>
      <c r="G475" s="772" t="n">
        <v>1</v>
      </c>
      <c r="H475" s="765">
        <f>IF(G475=1,F475-I475-J475-K475,IF(G475=2,F475,0))</f>
        <v>10301</v>
      </c>
      <c r="I475" s="765">
        <f>ROUND(IF(G475=1,F475*10/23,IF(G475=3,F475-J475-K475,IF(G475=4,F475,IF(G475=5,F475*10/11,IF(G475=7,F475*10/11,0))))),0)</f>
        <v>9365</v>
      </c>
      <c r="J475" s="765">
        <f>ROUND(IF(G475=1,F475/23,IF(G475=3,F475/12,IF(G475=5,F475-I475,IF(G475=8,F475,0)))),0)</f>
        <v>937</v>
      </c>
      <c r="K475" s="766">
        <f>ROUND(IF(G475=1,F475/23,IF(G475=3,F475/12,IF(G475=6,F475,IF(G475=7,F475-I475,0)))),0)</f>
        <v>937</v>
      </c>
      <c r="L475" s="767">
        <f>IF(G475=6,F475,0)</f>
        <v>0</v>
      </c>
      <c r="M475" s="421">
        <f>IF(F475="",0,MONTH(A475))</f>
        <v>12</v>
      </c>
      <c r="P475" s="768" t="inlineStr">
        <is>
          <t>昨年実績</t>
        </is>
      </c>
      <c r="Q475" s="769" t="str">
        <f>IF($F475="","",IFERROR(VLOOKUP($C475&amp;"|"&amp;$D475,科目表!$A$5:$B$200,2,FALSE),"※未登録"))</f>
        <v>旅費</v>
      </c>
      <c r="R475" s="769">
        <f>IF($F475="","",$I475+$J475+$K475)</f>
        <v>11239</v>
      </c>
      <c r="S475" s="769" t="str">
        <f>IF(OR($F475="",$P475="支払なし",$H475=0,$Q475=""),"",$Q475&amp;"|S|"&amp;(COUNTIF(S$4:S474,$Q475&amp;"|S|*")+1))</f>
        <v>旅費|S|17</v>
      </c>
      <c r="T475" s="769" t="str">
        <f>IF(OR($F475="",$P475="支払なし",$R475=0,$Q475=""),"",$Q475&amp;"|L|"&amp;(COUNTIF(T$4:T474,$Q475&amp;"|L|*")+1))</f>
        <v>旅費|L|17</v>
      </c>
      <c r="U475" s="769">
        <f>IF(OR($F475="",$A475=""),"",MOD(MONTH($A475)-4,12)+1)</f>
        <v>9</v>
      </c>
    </row>
    <row r="476" ht="16.5" customFormat="1" customHeight="1" s="43">
      <c r="A476" s="760" t="n">
        <v>46010</v>
      </c>
      <c r="B476" s="761" t="n"/>
      <c r="C476" s="762" t="inlineStr">
        <is>
          <t>委託費</t>
        </is>
      </c>
      <c r="D476" s="762" t="n"/>
      <c r="E476" s="763" t="inlineStr">
        <is>
          <t>レセプト電子データ提供料（９月診療分）</t>
        </is>
      </c>
      <c r="F476" s="764" t="n">
        <v>59322</v>
      </c>
      <c r="G476" s="764" t="n">
        <v>2</v>
      </c>
      <c r="H476" s="765">
        <f>IF(G476=1,F476-I476-J476-K476,IF(G476=2,F476,0))</f>
        <v>59322</v>
      </c>
      <c r="I476" s="765">
        <f>ROUND(IF(G476=1,F476*10/23,IF(G476=3,F476-J476-K476,IF(G476=4,F476,IF(G476=5,F476*10/11,IF(G476=7,F476*10/11,0))))),0)</f>
        <v>0</v>
      </c>
      <c r="J476" s="765">
        <f>ROUND(IF(G476=1,F476/23,IF(G476=3,F476/12,IF(G476=5,F476-I476,IF(G476=8,F476,0)))),0)</f>
        <v>0</v>
      </c>
      <c r="K476" s="766">
        <f>ROUND(IF(G476=1,F476/23,IF(G476=3,F476/12,IF(G476=6,F476,IF(G476=7,F476-I476,0)))),0)</f>
        <v>0</v>
      </c>
      <c r="L476" s="767">
        <f>IF(G476=6,F476,0)</f>
        <v>0</v>
      </c>
      <c r="M476" s="572">
        <f>IF(F476="",0,MONTH(A476))</f>
        <v>12</v>
      </c>
      <c r="P476" s="768" t="inlineStr">
        <is>
          <t>昨年実績</t>
        </is>
      </c>
      <c r="Q476" s="769" t="str">
        <f>IF($F476="","",IFERROR(VLOOKUP($C476&amp;"|"&amp;$D476,科目表!$A$5:$B$200,2,FALSE),"※未登録"))</f>
        <v>委託費</v>
      </c>
      <c r="R476" s="769">
        <f>IF($F476="","",$I476+$J476+$K476)</f>
        <v>0</v>
      </c>
      <c r="S476" s="769" t="str">
        <f>IF(OR($F476="",$P476="支払なし",$H476=0,$Q476=""),"",$Q476&amp;"|S|"&amp;(COUNTIF(S$4:S475,$Q476&amp;"|S|*")+1))</f>
        <v>委託費|S|47</v>
      </c>
      <c r="T476" s="769" t="str">
        <f>IF(OR($F476="",$P476="支払なし",$R476=0,$Q476=""),"",$Q476&amp;"|L|"&amp;(COUNTIF(T$4:T475,$Q476&amp;"|L|*")+1))</f>
        <v/>
      </c>
      <c r="U476" s="769">
        <f>IF(OR($F476="",$A476=""),"",MOD(MONTH($A476)-4,12)+1)</f>
        <v>9</v>
      </c>
    </row>
    <row r="477" ht="16.5" customFormat="1" customHeight="1" s="422">
      <c r="A477" s="760" t="n">
        <v>44550</v>
      </c>
      <c r="B477" s="761" t="n"/>
      <c r="C477" s="762" t="inlineStr">
        <is>
          <t>事務費</t>
        </is>
      </c>
      <c r="D477" s="762" t="inlineStr">
        <is>
          <t>通信運搬費</t>
        </is>
      </c>
      <c r="E477" s="762" t="inlineStr">
        <is>
          <t>電話料金（１０月使用・１２月請求分）</t>
        </is>
      </c>
      <c r="F477" s="772" t="n">
        <v>3631</v>
      </c>
      <c r="G477" s="772" t="n">
        <v>2</v>
      </c>
      <c r="H477" s="765">
        <f>IF(G477=1,F477-I477-J477-K477,IF(G477=2,F477,0))</f>
        <v>3631</v>
      </c>
      <c r="I477" s="765">
        <f>ROUND(IF(G477=1,F477*10/23,IF(G477=3,F477-J477-K477,IF(G477=4,F477,IF(G477=5,F477*10/11,IF(G477=7,F477*10/11,0))))),0)</f>
        <v>0</v>
      </c>
      <c r="J477" s="765">
        <f>ROUND(IF(G477=1,F477/23,IF(G477=3,F477/12,IF(G477=5,F477-I477,IF(G477=8,F477,0)))),0)</f>
        <v>0</v>
      </c>
      <c r="K477" s="766">
        <f>ROUND(IF(G477=1,F477/23,IF(G477=3,F477/12,IF(G477=6,F477,IF(G477=7,F477-I477,0)))),0)</f>
        <v>0</v>
      </c>
      <c r="L477" s="767">
        <f>IF(G477=6,F477,0)</f>
        <v>0</v>
      </c>
      <c r="M477" s="421">
        <f>IF(F477="",0,MONTH(A477))</f>
        <v>12</v>
      </c>
      <c r="P477" s="768" t="inlineStr">
        <is>
          <t>昨年実績</t>
        </is>
      </c>
      <c r="Q477" s="769" t="str">
        <f>IF($F477="","",IFERROR(VLOOKUP($C477&amp;"|"&amp;$D477,科目表!$A$5:$B$200,2,FALSE),"※未登録"))</f>
        <v>通信運搬費</v>
      </c>
      <c r="R477" s="769">
        <f>IF($F477="","",$I477+$J477+$K477)</f>
        <v>0</v>
      </c>
      <c r="S477" s="769" t="str">
        <f>IF(OR($F477="",$P477="支払なし",$H477=0,$Q477=""),"",$Q477&amp;"|S|"&amp;(COUNTIF(S$4:S476,$Q477&amp;"|S|*")+1))</f>
        <v>通信運搬費|S|50</v>
      </c>
      <c r="T477" s="769" t="str">
        <f>IF(OR($F477="",$P477="支払なし",$R477=0,$Q477=""),"",$Q477&amp;"|L|"&amp;(COUNTIF(T$4:T476,$Q477&amp;"|L|*")+1))</f>
        <v/>
      </c>
      <c r="U477" s="769">
        <f>IF(OR($F477="",$A477=""),"",MOD(MONTH($A477)-4,12)+1)</f>
        <v>9</v>
      </c>
    </row>
    <row r="478" ht="16.5" customFormat="1" customHeight="1" s="43">
      <c r="A478" s="760" t="n">
        <v>46017</v>
      </c>
      <c r="B478" s="761" t="n"/>
      <c r="C478" s="762" t="inlineStr">
        <is>
          <t>事務費</t>
        </is>
      </c>
      <c r="D478" s="762" t="inlineStr">
        <is>
          <t>送金料</t>
        </is>
      </c>
      <c r="E478" s="775" t="inlineStr">
        <is>
          <t>ゆうちょ銀行手数料（１１月分）短期</t>
        </is>
      </c>
      <c r="F478" s="764" t="n">
        <v>9574</v>
      </c>
      <c r="G478" s="764" t="n">
        <v>2</v>
      </c>
      <c r="H478" s="765">
        <f>IF(G478=1,F478-I478-J478-K478,IF(G478=2,F478,0))</f>
        <v>9574</v>
      </c>
      <c r="I478" s="765">
        <f>ROUND(IF(G478=1,F478*10/23,IF(G478=3,F478-J478-K478,IF(G478=4,F478,IF(G478=5,F478*10/11,IF(G478=7,F478*10/11,0))))),0)</f>
        <v>0</v>
      </c>
      <c r="J478" s="765">
        <f>ROUND(IF(G478=1,F478/23,IF(G478=3,F478/12,IF(G478=5,F478-I478,IF(G478=8,F478,0)))),0)</f>
        <v>0</v>
      </c>
      <c r="K478" s="766">
        <f>ROUND(IF(G478=1,F478/23,IF(G478=3,F478/12,IF(G478=6,F478,IF(G478=7,F478-I478,0)))),0)</f>
        <v>0</v>
      </c>
      <c r="L478" s="767">
        <f>IF(G478=6,F478,0)</f>
        <v>0</v>
      </c>
      <c r="M478" s="572">
        <f>IF(F478="",0,MONTH(A478))</f>
        <v>12</v>
      </c>
      <c r="P478" s="768" t="inlineStr">
        <is>
          <t>昨年実績</t>
        </is>
      </c>
      <c r="Q478" s="769" t="str">
        <f>IF($F478="","",IFERROR(VLOOKUP($C478&amp;"|"&amp;$D478,科目表!$A$5:$B$200,2,FALSE),"※未登録"))</f>
        <v>送金料</v>
      </c>
      <c r="R478" s="769">
        <f>IF($F478="","",$I478+$J478+$K478)</f>
        <v>0</v>
      </c>
      <c r="S478" s="769" t="str">
        <f>IF(OR($F478="",$P478="支払なし",$H478=0,$Q478=""),"",$Q478&amp;"|S|"&amp;(COUNTIF(S$4:S477,$Q478&amp;"|S|*")+1))</f>
        <v>送金料|S|16</v>
      </c>
      <c r="T478" s="769" t="str">
        <f>IF(OR($F478="",$P478="支払なし",$R478=0,$Q478=""),"",$Q478&amp;"|L|"&amp;(COUNTIF(T$4:T477,$Q478&amp;"|L|*")+1))</f>
        <v/>
      </c>
      <c r="U478" s="769">
        <f>IF(OR($F478="",$A478=""),"",MOD(MONTH($A478)-4,12)+1)</f>
        <v>9</v>
      </c>
    </row>
    <row r="479" ht="16.5" customFormat="1" customHeight="1" s="43">
      <c r="A479" s="760" t="n">
        <v>46017</v>
      </c>
      <c r="B479" s="761" t="n"/>
      <c r="C479" s="762" t="inlineStr">
        <is>
          <t>事務費</t>
        </is>
      </c>
      <c r="D479" s="762" t="inlineStr">
        <is>
          <t>雑費</t>
        </is>
      </c>
      <c r="E479" s="775" t="inlineStr">
        <is>
          <t>ゆうちょ銀行振替口座残高証明（１１月分）短期</t>
        </is>
      </c>
      <c r="F479" s="764" t="n">
        <v>550</v>
      </c>
      <c r="G479" s="764" t="n">
        <v>2</v>
      </c>
      <c r="H479" s="765">
        <f>IF(G479=1,F479-I479-J479-K479,IF(G479=2,F479,0))</f>
        <v>550</v>
      </c>
      <c r="I479" s="765">
        <f>ROUND(IF(G479=1,F479*10/23,IF(G479=3,F479-J479-K479,IF(G479=4,F479,IF(G479=5,F479*10/11,IF(G479=7,F479*10/11,0))))),0)</f>
        <v>0</v>
      </c>
      <c r="J479" s="765">
        <f>ROUND(IF(G479=1,F479/23,IF(G479=3,F479/12,IF(G479=5,F479-I479,IF(G479=8,F479,0)))),0)</f>
        <v>0</v>
      </c>
      <c r="K479" s="766">
        <f>ROUND(IF(G479=1,F479/23,IF(G479=3,F479/12,IF(G479=6,F479,IF(G479=7,F479-I479,0)))),0)</f>
        <v>0</v>
      </c>
      <c r="L479" s="767">
        <f>IF(G479=6,F479,0)</f>
        <v>0</v>
      </c>
      <c r="M479" s="572">
        <f>IF(F479="",0,MONTH(A479))</f>
        <v>12</v>
      </c>
      <c r="P479" s="768" t="inlineStr">
        <is>
          <t>昨年実績</t>
        </is>
      </c>
      <c r="Q479" s="769" t="str">
        <f>IF($F479="","",IFERROR(VLOOKUP($C479&amp;"|"&amp;$D479,科目表!$A$5:$B$200,2,FALSE),"※未登録"))</f>
        <v>事務費・雑費</v>
      </c>
      <c r="R479" s="769">
        <f>IF($F479="","",$I479+$J479+$K479)</f>
        <v>0</v>
      </c>
      <c r="S479" s="769" t="str">
        <f>IF(OR($F479="",$P479="支払なし",$H479=0,$Q479=""),"",$Q479&amp;"|S|"&amp;(COUNTIF(S$4:S478,$Q479&amp;"|S|*")+1))</f>
        <v>事務費・雑費|S|13</v>
      </c>
      <c r="T479" s="769" t="str">
        <f>IF(OR($F479="",$P479="支払なし",$R479=0,$Q479=""),"",$Q479&amp;"|L|"&amp;(COUNTIF(T$4:T478,$Q479&amp;"|L|*")+1))</f>
        <v/>
      </c>
      <c r="U479" s="769">
        <f>IF(OR($F479="",$A479=""),"",MOD(MONTH($A479)-4,12)+1)</f>
        <v>9</v>
      </c>
    </row>
    <row r="480" ht="16.5" customFormat="1" customHeight="1" s="422">
      <c r="A480" s="760" t="n">
        <v>45636</v>
      </c>
      <c r="B480" s="761" t="n"/>
      <c r="C480" s="762" t="inlineStr">
        <is>
          <t>事務費</t>
        </is>
      </c>
      <c r="D480" s="762" t="inlineStr">
        <is>
          <t>送金料</t>
        </is>
      </c>
      <c r="E480" s="796" t="inlineStr">
        <is>
          <t>誤払い戻入金に係る振込手数料</t>
        </is>
      </c>
      <c r="F480" s="764" t="n">
        <v>165</v>
      </c>
      <c r="G480" s="764" t="n">
        <v>3</v>
      </c>
      <c r="H480" s="765">
        <f>IF(G480=1,F480-I480-J480-K480,IF(G480=2,F480,0))</f>
        <v>0</v>
      </c>
      <c r="I480" s="765">
        <f>ROUND(IF(G480=1,F480*10/23,IF(G480=3,F480-J480-K480,IF(G480=4,F480,IF(G480=5,F480*10/11,IF(G480=7,F480*10/11,0))))),0)</f>
        <v>137</v>
      </c>
      <c r="J480" s="765">
        <f>ROUND(IF(G480=1,F480/23,IF(G480=3,F480/12,IF(G480=5,F480-I480,IF(G480=8,F480,0)))),0)</f>
        <v>14</v>
      </c>
      <c r="K480" s="766">
        <f>ROUND(IF(G480=1,F480/23,IF(G480=3,F480/12,IF(G480=6,F480,IF(G480=7,F480-I480,0)))),0)</f>
        <v>14</v>
      </c>
      <c r="L480" s="767">
        <f>IF(G480=6,F480,0)</f>
        <v>0</v>
      </c>
      <c r="M480" s="421">
        <f>IF(F480="",0,MONTH(A480))</f>
        <v>12</v>
      </c>
      <c r="P480" s="768" t="inlineStr">
        <is>
          <t>昨年実績</t>
        </is>
      </c>
      <c r="Q480" s="769" t="str">
        <f>IF($F480="","",IFERROR(VLOOKUP($C480&amp;"|"&amp;$D480,科目表!$A$5:$B$200,2,FALSE),"※未登録"))</f>
        <v>送金料</v>
      </c>
      <c r="R480" s="769">
        <f>IF($F480="","",$I480+$J480+$K480)</f>
        <v>165</v>
      </c>
      <c r="S480" s="769" t="str">
        <f>IF(OR($F480="",$P480="支払なし",$H480=0,$Q480=""),"",$Q480&amp;"|S|"&amp;(COUNTIF(S$4:S479,$Q480&amp;"|S|*")+1))</f>
        <v/>
      </c>
      <c r="T480" s="769" t="str">
        <f>IF(OR($F480="",$P480="支払なし",$R480=0,$Q480=""),"",$Q480&amp;"|L|"&amp;(COUNTIF(T$4:T479,$Q480&amp;"|L|*")+1))</f>
        <v>送金料|L|10</v>
      </c>
      <c r="U480" s="769">
        <f>IF(OR($F480="",$A480=""),"",MOD(MONTH($A480)-4,12)+1)</f>
        <v>9</v>
      </c>
    </row>
    <row r="481" ht="16.5" customFormat="1" customHeight="1" s="422">
      <c r="A481" s="760" t="n">
        <v>44186</v>
      </c>
      <c r="B481" s="761" t="n"/>
      <c r="C481" s="762" t="inlineStr">
        <is>
          <t>職員給与</t>
        </is>
      </c>
      <c r="D481" s="762" t="inlineStr">
        <is>
          <t>非常勤職員手当</t>
        </is>
      </c>
      <c r="E481" s="762" t="inlineStr">
        <is>
          <t>１２月月例（１２月長期分）</t>
        </is>
      </c>
      <c r="F481" s="764" t="n">
        <v>340401</v>
      </c>
      <c r="G481" s="772" t="n">
        <v>3</v>
      </c>
      <c r="H481" s="765">
        <f>IF(G481=1,F481-I481-J481-K481,IF(G481=2,F481,0))</f>
        <v>0</v>
      </c>
      <c r="I481" s="765">
        <f>ROUND(IF(G481=1,F481*10/23,IF(G481=3,F481-J481-K481,IF(G481=4,F481,IF(G481=5,F481*10/11,IF(G481=7,F481*10/11,0))))),0)</f>
        <v>283667</v>
      </c>
      <c r="J481" s="765">
        <f>ROUND(IF(G481=1,F481/23,IF(G481=3,F481/12,IF(G481=5,F481-I481,IF(G481=8,F481,0)))),0)</f>
        <v>28367</v>
      </c>
      <c r="K481" s="766">
        <f>ROUND(IF(G481=1,F481/23,IF(G481=3,F481/12,IF(G481=6,F481,IF(G481=7,F481-I481,0)))),0)</f>
        <v>28367</v>
      </c>
      <c r="L481" s="767">
        <f>IF(G481=6,F481,0)</f>
        <v>0</v>
      </c>
      <c r="M481" s="421">
        <f>IF(F481="",0,MONTH(A481))</f>
        <v>12</v>
      </c>
      <c r="P481" s="768" t="inlineStr">
        <is>
          <t>昨年実績</t>
        </is>
      </c>
      <c r="Q481" s="769" t="str">
        <f>IF($F481="","",IFERROR(VLOOKUP($C481&amp;"|"&amp;$D481,科目表!$A$5:$B$200,2,FALSE),"※未登録"))</f>
        <v>非常勤職員手当</v>
      </c>
      <c r="R481" s="769">
        <f>IF($F481="","",$I481+$J481+$K481)</f>
        <v>340401</v>
      </c>
      <c r="S481" s="769" t="str">
        <f>IF(OR($F481="",$P481="支払なし",$H481=0,$Q481=""),"",$Q481&amp;"|S|"&amp;(COUNTIF(S$4:S480,$Q481&amp;"|S|*")+1))</f>
        <v/>
      </c>
      <c r="T481" s="769" t="str">
        <f>IF(OR($F481="",$P481="支払なし",$R481=0,$Q481=""),"",$Q481&amp;"|L|"&amp;(COUNTIF(T$4:T480,$Q481&amp;"|L|*")+1))</f>
        <v>非常勤職員手当|L|13</v>
      </c>
      <c r="U481" s="769">
        <f>IF(OR($F481="",$A481=""),"",MOD(MONTH($A481)-4,12)+1)</f>
        <v>9</v>
      </c>
    </row>
    <row r="482" ht="16.5" customFormat="1" customHeight="1" s="422">
      <c r="A482" s="760" t="n">
        <v>45625</v>
      </c>
      <c r="B482" s="761" t="n"/>
      <c r="C482" s="762" t="inlineStr">
        <is>
          <t>委託費</t>
        </is>
      </c>
      <c r="D482" s="762" t="n"/>
      <c r="E482" s="777" t="inlineStr">
        <is>
          <t>資格情報のお知らせ作成・印字及び封入封緘処理業務</t>
        </is>
      </c>
      <c r="F482" s="764" t="n">
        <v>1756972</v>
      </c>
      <c r="G482" s="764" t="n">
        <v>2</v>
      </c>
      <c r="H482" s="765">
        <f>IF(G482=1,F482-I482-J482-K482,IF(G482=2,F482,0))</f>
        <v>1756972</v>
      </c>
      <c r="I482" s="765">
        <f>ROUND(IF(G482=1,F482*10/23,IF(G482=3,F482-J482-K482,IF(G482=4,F482,IF(G482=5,F482*10/11,IF(G482=7,F482*10/11,0))))),0)</f>
        <v>0</v>
      </c>
      <c r="J482" s="765">
        <f>ROUND(IF(G482=1,F482/23,IF(G482=3,F482/12,IF(G482=5,F482-I482,IF(G482=8,F482,0)))),0)</f>
        <v>0</v>
      </c>
      <c r="K482" s="766">
        <f>ROUND(IF(G482=1,F482/23,IF(G482=3,F482/12,IF(G482=6,F482,IF(G482=7,F482-I482,0)))),0)</f>
        <v>0</v>
      </c>
      <c r="L482" s="767">
        <f>IF(G482=6,F482,0)</f>
        <v>0</v>
      </c>
      <c r="M482" s="421">
        <f>IF(F482="",0,MONTH(A482))</f>
        <v>11</v>
      </c>
      <c r="P482" s="768" t="inlineStr">
        <is>
          <t>昨年実績</t>
        </is>
      </c>
      <c r="Q482" s="769" t="str">
        <f>IF($F482="","",IFERROR(VLOOKUP($C482&amp;"|"&amp;$D482,科目表!$A$5:$B$200,2,FALSE),"※未登録"))</f>
        <v>委託費</v>
      </c>
      <c r="R482" s="769">
        <f>IF($F482="","",$I482+$J482+$K482)</f>
        <v>0</v>
      </c>
      <c r="S482" s="769" t="str">
        <f>IF(OR($F482="",$P482="支払なし",$H482=0,$Q482=""),"",$Q482&amp;"|S|"&amp;(COUNTIF(S$4:S481,$Q482&amp;"|S|*")+1))</f>
        <v>委託費|S|48</v>
      </c>
      <c r="T482" s="769" t="str">
        <f>IF(OR($F482="",$P482="支払なし",$R482=0,$Q482=""),"",$Q482&amp;"|L|"&amp;(COUNTIF(T$4:T481,$Q482&amp;"|L|*")+1))</f>
        <v/>
      </c>
      <c r="U482" s="769">
        <f>IF(OR($F482="",$A482=""),"",MOD(MONTH($A482)-4,12)+1)</f>
        <v>8</v>
      </c>
    </row>
    <row r="483" ht="16.5" customFormat="1" customHeight="1" s="43">
      <c r="A483" s="760" t="n">
        <v>46017</v>
      </c>
      <c r="B483" s="761" t="n"/>
      <c r="C483" s="762" t="inlineStr">
        <is>
          <t>委託費</t>
        </is>
      </c>
      <c r="D483" s="762" t="n"/>
      <c r="E483" s="802" t="inlineStr">
        <is>
          <t>短期給付に係る個人番号管理システムシンクライアント（契約サービス）</t>
        </is>
      </c>
      <c r="F483" s="764" t="n">
        <v>41976</v>
      </c>
      <c r="G483" s="764" t="n">
        <v>2</v>
      </c>
      <c r="H483" s="765">
        <f>IF(G483=1,F483-I483-J483-K483,IF(G483=2,F483,0))</f>
        <v>41976</v>
      </c>
      <c r="I483" s="765">
        <f>ROUND(IF(G483=1,F483*10/23,IF(G483=3,F483-J483-K483,IF(G483=4,F483,IF(G483=5,F483*10/11,IF(G483=7,F483*10/11,0))))),0)</f>
        <v>0</v>
      </c>
      <c r="J483" s="765">
        <f>ROUND(IF(G483=1,F483/23,IF(G483=3,F483/12,IF(G483=5,F483-I483,IF(G483=8,F483,0)))),0)</f>
        <v>0</v>
      </c>
      <c r="K483" s="766">
        <f>ROUND(IF(G483=1,F483/23,IF(G483=3,F483/12,IF(G483=6,F483,IF(G483=7,F483-I483,0)))),0)</f>
        <v>0</v>
      </c>
      <c r="L483" s="767">
        <f>IF(G483=6,F483,0)</f>
        <v>0</v>
      </c>
      <c r="M483" s="572">
        <f>IF(F483="",0,MONTH(A483))</f>
        <v>12</v>
      </c>
      <c r="P483" s="768" t="inlineStr">
        <is>
          <t>昨年実績</t>
        </is>
      </c>
      <c r="Q483" s="769" t="str">
        <f>IF($F483="","",IFERROR(VLOOKUP($C483&amp;"|"&amp;$D483,科目表!$A$5:$B$200,2,FALSE),"※未登録"))</f>
        <v>委託費</v>
      </c>
      <c r="R483" s="769">
        <f>IF($F483="","",$I483+$J483+$K483)</f>
        <v>0</v>
      </c>
      <c r="S483" s="769" t="str">
        <f>IF(OR($F483="",$P483="支払なし",$H483=0,$Q483=""),"",$Q483&amp;"|S|"&amp;(COUNTIF(S$4:S482,$Q483&amp;"|S|*")+1))</f>
        <v>委託費|S|49</v>
      </c>
      <c r="T483" s="769" t="str">
        <f>IF(OR($F483="",$P483="支払なし",$R483=0,$Q483=""),"",$Q483&amp;"|L|"&amp;(COUNTIF(T$4:T482,$Q483&amp;"|L|*")+1))</f>
        <v/>
      </c>
      <c r="U483" s="769">
        <f>IF(OR($F483="",$A483=""),"",MOD(MONTH($A483)-4,12)+1)</f>
        <v>9</v>
      </c>
    </row>
    <row r="484" ht="17.25" customFormat="1" customHeight="1" s="422">
      <c r="A484" s="760" t="n">
        <v>43826</v>
      </c>
      <c r="B484" s="761" t="n"/>
      <c r="C484" s="762" t="inlineStr">
        <is>
          <t>委託費</t>
        </is>
      </c>
      <c r="D484" s="762" t="n"/>
      <c r="E484" s="775" t="inlineStr">
        <is>
          <t>「年金だより」配布に伴う封入等作業料金（12月）</t>
        </is>
      </c>
      <c r="F484" s="764" t="n">
        <v>31466</v>
      </c>
      <c r="G484" s="764" t="n">
        <v>3</v>
      </c>
      <c r="H484" s="765">
        <f>IF(G484=1,F484-I484-J484-K484,IF(G484=2,F484,0))</f>
        <v>0</v>
      </c>
      <c r="I484" s="765">
        <f>ROUND(IF(G484=1,F484*10/23,IF(G484=3,F484-J484-K484,IF(G484=4,F484,IF(G484=5,F484*10/11,IF(G484=7,F484*10/11,0))))),0)</f>
        <v>26222</v>
      </c>
      <c r="J484" s="765">
        <f>ROUND(IF(G484=1,F484/23,IF(G484=3,F484/12,IF(G484=5,F484-I484,IF(G484=8,F484,0)))),0)</f>
        <v>2622</v>
      </c>
      <c r="K484" s="766">
        <f>ROUND(IF(G484=1,F484/23,IF(G484=3,F484/12,IF(G484=6,F484,IF(G484=7,F484-I484,0)))),0)</f>
        <v>2622</v>
      </c>
      <c r="L484" s="767">
        <f>IF(G484=6,F484,0)</f>
        <v>0</v>
      </c>
      <c r="M484" s="421">
        <f>IF(F484="",0,MONTH(A484))</f>
        <v>12</v>
      </c>
      <c r="P484" s="768" t="inlineStr">
        <is>
          <t>昨年実績</t>
        </is>
      </c>
      <c r="Q484" s="769" t="str">
        <f>IF($F484="","",IFERROR(VLOOKUP($C484&amp;"|"&amp;$D484,科目表!$A$5:$B$200,2,FALSE),"※未登録"))</f>
        <v>委託費</v>
      </c>
      <c r="R484" s="769">
        <f>IF($F484="","",$I484+$J484+$K484)</f>
        <v>31466</v>
      </c>
      <c r="S484" s="769" t="str">
        <f>IF(OR($F484="",$P484="支払なし",$H484=0,$Q484=""),"",$Q484&amp;"|S|"&amp;(COUNTIF(S$4:S483,$Q484&amp;"|S|*")+1))</f>
        <v/>
      </c>
      <c r="T484" s="769" t="str">
        <f>IF(OR($F484="",$P484="支払なし",$R484=0,$Q484=""),"",$Q484&amp;"|L|"&amp;(COUNTIF(T$4:T483,$Q484&amp;"|L|*")+1))</f>
        <v>委託費|L|17</v>
      </c>
      <c r="U484" s="769">
        <f>IF(OR($F484="",$A484=""),"",MOD(MONTH($A484)-4,12)+1)</f>
        <v>9</v>
      </c>
    </row>
    <row r="485" ht="16.5" customFormat="1" customHeight="1" s="43">
      <c r="A485" s="760" t="n">
        <v>46017</v>
      </c>
      <c r="B485" s="761" t="n"/>
      <c r="C485" s="762" t="inlineStr">
        <is>
          <t>職員給与</t>
        </is>
      </c>
      <c r="D485" s="762" t="inlineStr">
        <is>
          <t>非常勤職員手当</t>
        </is>
      </c>
      <c r="E485" s="762" t="inlineStr">
        <is>
          <t>非常勤職員手当　給与改定差額（長期分）</t>
        </is>
      </c>
      <c r="F485" s="764" t="n">
        <v>167027</v>
      </c>
      <c r="G485" s="772" t="n">
        <v>3</v>
      </c>
      <c r="H485" s="765">
        <f>IF(G485=1,F485-I485-J485-K485,IF(G485=2,F485,0))</f>
        <v>0</v>
      </c>
      <c r="I485" s="765">
        <f>ROUND(IF(G485=1,F485*10/23,IF(G485=3,F485-J485-K485,IF(G485=4,F485,IF(G485=5,F485*10/11,IF(G485=7,F485*10/11,0))))),0)</f>
        <v>139189</v>
      </c>
      <c r="J485" s="765">
        <f>ROUND(IF(G485=1,F485/23,IF(G485=3,F485/12,IF(G485=5,F485-I485,IF(G485=8,F485,0)))),0)</f>
        <v>13919</v>
      </c>
      <c r="K485" s="766">
        <f>ROUND(IF(G485=1,F485/23,IF(G485=3,F485/12,IF(G485=6,F485,IF(G485=7,F485-I485,0)))),0)</f>
        <v>13919</v>
      </c>
      <c r="L485" s="767">
        <f>IF(G485=6,F485,0)</f>
        <v>0</v>
      </c>
      <c r="M485" s="572">
        <f>IF(F485="",0,MONTH(A485))</f>
        <v>12</v>
      </c>
      <c r="P485" s="768" t="inlineStr">
        <is>
          <t>昨年実績</t>
        </is>
      </c>
      <c r="Q485" s="769" t="str">
        <f>IF($F485="","",IFERROR(VLOOKUP($C485&amp;"|"&amp;$D485,科目表!$A$5:$B$200,2,FALSE),"※未登録"))</f>
        <v>非常勤職員手当</v>
      </c>
      <c r="R485" s="769">
        <f>IF($F485="","",$I485+$J485+$K485)</f>
        <v>167027</v>
      </c>
      <c r="S485" s="769" t="str">
        <f>IF(OR($F485="",$P485="支払なし",$H485=0,$Q485=""),"",$Q485&amp;"|S|"&amp;(COUNTIF(S$4:S484,$Q485&amp;"|S|*")+1))</f>
        <v/>
      </c>
      <c r="T485" s="769" t="str">
        <f>IF(OR($F485="",$P485="支払なし",$R485=0,$Q485=""),"",$Q485&amp;"|L|"&amp;(COUNTIF(T$4:T484,$Q485&amp;"|L|*")+1))</f>
        <v>非常勤職員手当|L|14</v>
      </c>
      <c r="U485" s="769">
        <f>IF(OR($F485="",$A485=""),"",MOD(MONTH($A485)-4,12)+1)</f>
        <v>9</v>
      </c>
    </row>
    <row r="486" ht="16.5" customFormat="1" customHeight="1" s="43">
      <c r="A486" s="760" t="n">
        <v>46017</v>
      </c>
      <c r="B486" s="761" t="n"/>
      <c r="C486" s="762" t="inlineStr">
        <is>
          <t>職員給与</t>
        </is>
      </c>
      <c r="D486" s="762" t="inlineStr">
        <is>
          <t>非常勤職員手当</t>
        </is>
      </c>
      <c r="E486" s="762" t="inlineStr">
        <is>
          <t>非常勤職員手当　給与改定差額（短期分）</t>
        </is>
      </c>
      <c r="F486" s="764" t="n">
        <v>83097</v>
      </c>
      <c r="G486" s="772" t="n">
        <v>2</v>
      </c>
      <c r="H486" s="765">
        <f>IF(G486=1,F486-I486-J486-K486,IF(G486=2,F486,0))</f>
        <v>83097</v>
      </c>
      <c r="I486" s="765">
        <f>ROUND(IF(G486=1,F486*10/23,IF(G486=3,F486-J486-K486,IF(G486=4,F486,IF(G486=5,F486*10/11,IF(G486=7,F486*10/11,0))))),0)</f>
        <v>0</v>
      </c>
      <c r="J486" s="765">
        <f>ROUND(IF(G486=1,F486/23,IF(G486=3,F486/12,IF(G486=5,F486-I486,IF(G486=8,F486,0)))),0)</f>
        <v>0</v>
      </c>
      <c r="K486" s="766">
        <f>ROUND(IF(G486=1,F486/23,IF(G486=3,F486/12,IF(G486=6,F486,IF(G486=7,F486-I486,0)))),0)</f>
        <v>0</v>
      </c>
      <c r="L486" s="767">
        <f>IF(G486=6,F486,0)</f>
        <v>0</v>
      </c>
      <c r="M486" s="572">
        <f>IF(F486="",0,MONTH(A486))</f>
        <v>12</v>
      </c>
      <c r="P486" s="768" t="inlineStr">
        <is>
          <t>昨年実績</t>
        </is>
      </c>
      <c r="Q486" s="769" t="str">
        <f>IF($F486="","",IFERROR(VLOOKUP($C486&amp;"|"&amp;$D486,科目表!$A$5:$B$200,2,FALSE),"※未登録"))</f>
        <v>非常勤職員手当</v>
      </c>
      <c r="R486" s="769">
        <f>IF($F486="","",$I486+$J486+$K486)</f>
        <v>0</v>
      </c>
      <c r="S486" s="769" t="str">
        <f>IF(OR($F486="",$P486="支払なし",$H486=0,$Q486=""),"",$Q486&amp;"|S|"&amp;(COUNTIF(S$4:S485,$Q486&amp;"|S|*")+1))</f>
        <v>非常勤職員手当|S|12</v>
      </c>
      <c r="T486" s="769" t="str">
        <f>IF(OR($F486="",$P486="支払なし",$R486=0,$Q486=""),"",$Q486&amp;"|L|"&amp;(COUNTIF(T$4:T485,$Q486&amp;"|L|*")+1))</f>
        <v/>
      </c>
      <c r="U486" s="769">
        <f>IF(OR($F486="",$A486=""),"",MOD(MONTH($A486)-4,12)+1)</f>
        <v>9</v>
      </c>
    </row>
    <row r="487" ht="16.5" customFormat="1" customHeight="1" s="43">
      <c r="A487" s="760" t="n">
        <v>46015</v>
      </c>
      <c r="B487" s="761" t="n"/>
      <c r="C487" s="762" t="inlineStr">
        <is>
          <t>負担金</t>
        </is>
      </c>
      <c r="D487" s="762" t="inlineStr">
        <is>
          <t>負担金</t>
        </is>
      </c>
      <c r="E487" s="762" t="inlineStr">
        <is>
          <t>共済短期・介護負担金（12月賞与、12月月例分）長期</t>
        </is>
      </c>
      <c r="F487" s="772" t="n">
        <v>60083</v>
      </c>
      <c r="G487" s="772" t="n">
        <v>3</v>
      </c>
      <c r="H487" s="765">
        <f>IF(G487=1,F487-I487-J487-K487,IF(G487=2,F487,0))</f>
        <v>0</v>
      </c>
      <c r="I487" s="765">
        <f>ROUND(IF(G487=1,F487*10/23,IF(G487=3,F487-J487-K487,IF(G487=4,F487,IF(G487=5,F487*10/11,IF(G487=7,F487*10/11,0))))),0)</f>
        <v>50069</v>
      </c>
      <c r="J487" s="765">
        <f>ROUND(IF(G487=1,F487/23,IF(G487=3,F487/12,IF(G487=5,F487-I487,IF(G487=8,F487,0)))),0)</f>
        <v>5007</v>
      </c>
      <c r="K487" s="766">
        <f>ROUND(IF(G487=1,F487/23,IF(G487=3,F487/12,IF(G487=6,F487,IF(G487=7,F487-I487,0)))),0)</f>
        <v>5007</v>
      </c>
      <c r="L487" s="767">
        <f>IF(G487=6,F487,0)</f>
        <v>0</v>
      </c>
      <c r="M487" s="572">
        <f>IF(F487="",0,MONTH(A487))</f>
        <v>12</v>
      </c>
      <c r="P487" s="768" t="inlineStr">
        <is>
          <t>昨年実績</t>
        </is>
      </c>
      <c r="Q487" s="769" t="str">
        <f>IF($F487="","",IFERROR(VLOOKUP($C487&amp;"|"&amp;$D487,科目表!$A$5:$B$200,2,FALSE),"※未登録"))</f>
        <v>共済負担金等</v>
      </c>
      <c r="R487" s="769">
        <f>IF($F487="","",$I487+$J487+$K487)</f>
        <v>60083</v>
      </c>
      <c r="S487" s="769" t="str">
        <f>IF(OR($F487="",$P487="支払なし",$H487=0,$Q487=""),"",$Q487&amp;"|S|"&amp;(COUNTIF(S$4:S486,$Q487&amp;"|S|*")+1))</f>
        <v/>
      </c>
      <c r="T487" s="769" t="str">
        <f>IF(OR($F487="",$P487="支払なし",$R487=0,$Q487=""),"",$Q487&amp;"|L|"&amp;(COUNTIF(T$4:T486,$Q487&amp;"|L|*")+1))</f>
        <v>共済負担金等|L|14</v>
      </c>
      <c r="U487" s="769">
        <f>IF(OR($F487="",$A487=""),"",MOD(MONTH($A487)-4,12)+1)</f>
        <v>9</v>
      </c>
    </row>
    <row r="488" ht="16.5" customFormat="1" customHeight="1" s="43">
      <c r="A488" s="760" t="n">
        <v>46015</v>
      </c>
      <c r="B488" s="761" t="n"/>
      <c r="C488" s="762" t="inlineStr">
        <is>
          <t>負担金</t>
        </is>
      </c>
      <c r="D488" s="762" t="inlineStr">
        <is>
          <t>負担金</t>
        </is>
      </c>
      <c r="E488" s="762" t="inlineStr">
        <is>
          <t>共済短期・介護負担金（12月賞与、12月月例分）短期</t>
        </is>
      </c>
      <c r="F488" s="772" t="n">
        <v>66980</v>
      </c>
      <c r="G488" s="772" t="n">
        <v>2</v>
      </c>
      <c r="H488" s="765">
        <f>IF(G488=1,F488-I488-J488-K488,IF(G488=2,F488,0))</f>
        <v>66980</v>
      </c>
      <c r="I488" s="765">
        <f>ROUND(IF(G488=1,F488*10/23,IF(G488=3,F488-J488-K488,IF(G488=4,F488,IF(G488=5,F488*10/11,IF(G488=7,F488*10/11,0))))),0)</f>
        <v>0</v>
      </c>
      <c r="J488" s="765">
        <f>ROUND(IF(G488=1,F488/23,IF(G488=3,F488/12,IF(G488=5,F488-I488,IF(G488=8,F488,0)))),0)</f>
        <v>0</v>
      </c>
      <c r="K488" s="766">
        <f>ROUND(IF(G488=1,F488/23,IF(G488=3,F488/12,IF(G488=6,F488,IF(G488=7,F488-I488,0)))),0)</f>
        <v>0</v>
      </c>
      <c r="L488" s="767">
        <f>IF(G488=6,F488,0)</f>
        <v>0</v>
      </c>
      <c r="M488" s="572">
        <f>IF(F488="",0,MONTH(A488))</f>
        <v>12</v>
      </c>
      <c r="P488" s="768" t="inlineStr">
        <is>
          <t>昨年実績</t>
        </is>
      </c>
      <c r="Q488" s="769" t="str">
        <f>IF($F488="","",IFERROR(VLOOKUP($C488&amp;"|"&amp;$D488,科目表!$A$5:$B$200,2,FALSE),"※未登録"))</f>
        <v>共済負担金等</v>
      </c>
      <c r="R488" s="769">
        <f>IF($F488="","",$I488+$J488+$K488)</f>
        <v>0</v>
      </c>
      <c r="S488" s="769" t="str">
        <f>IF(OR($F488="",$P488="支払なし",$H488=0,$Q488=""),"",$Q488&amp;"|S|"&amp;(COUNTIF(S$4:S487,$Q488&amp;"|S|*")+1))</f>
        <v>共済負担金等|S|11</v>
      </c>
      <c r="T488" s="769" t="str">
        <f>IF(OR($F488="",$P488="支払なし",$R488=0,$Q488=""),"",$Q488&amp;"|L|"&amp;(COUNTIF(T$4:T487,$Q488&amp;"|L|*")+1))</f>
        <v/>
      </c>
      <c r="U488" s="769">
        <f>IF(OR($F488="",$A488=""),"",MOD(MONTH($A488)-4,12)+1)</f>
        <v>9</v>
      </c>
    </row>
    <row r="489" ht="16.5" customFormat="1" customHeight="1" s="422">
      <c r="A489" s="760" t="n">
        <v>43798</v>
      </c>
      <c r="B489" s="761" t="n"/>
      <c r="C489" s="762" t="inlineStr">
        <is>
          <t>賃借料</t>
        </is>
      </c>
      <c r="D489" s="762" t="n"/>
      <c r="E489" s="762" t="inlineStr">
        <is>
          <t>基幹システム用機器賃借料４～１０月（長期分）</t>
        </is>
      </c>
      <c r="F489" s="764" t="n">
        <v>186543</v>
      </c>
      <c r="G489" s="764" t="n">
        <v>3</v>
      </c>
      <c r="H489" s="765">
        <f>IF(G489=1,F489-I489-J489-K489,IF(G489=2,F489,0))</f>
        <v>0</v>
      </c>
      <c r="I489" s="765">
        <f>ROUND(IF(G489=1,F489*10/23,IF(G489=3,F489-J489-K489,IF(G489=4,F489,IF(G489=5,F489*10/11,IF(G489=7,F489*10/11,0))))),0)</f>
        <v>155453</v>
      </c>
      <c r="J489" s="765">
        <f>ROUND(IF(G489=1,F489/23,IF(G489=3,F489/12,IF(G489=5,F489-I489,IF(G489=8,F489,0)))),0)</f>
        <v>15545</v>
      </c>
      <c r="K489" s="766">
        <f>ROUND(IF(G489=1,F489/23,IF(G489=3,F489/12,IF(G489=6,F489,IF(G489=7,F489-I489,0)))),0)</f>
        <v>15545</v>
      </c>
      <c r="L489" s="767">
        <f>IF(G489=6,F489,0)</f>
        <v>0</v>
      </c>
      <c r="M489" s="421">
        <f>IF(F489="",0,MONTH(A489))</f>
        <v>11</v>
      </c>
      <c r="P489" s="768" t="inlineStr">
        <is>
          <t>昨年実績</t>
        </is>
      </c>
      <c r="Q489" s="769" t="str">
        <f>IF($F489="","",IFERROR(VLOOKUP($C489&amp;"|"&amp;$D489,科目表!$A$5:$B$200,2,FALSE),"※未登録"))</f>
        <v>賃借料</v>
      </c>
      <c r="R489" s="769">
        <f>IF($F489="","",$I489+$J489+$K489)</f>
        <v>186543</v>
      </c>
      <c r="S489" s="769" t="str">
        <f>IF(OR($F489="",$P489="支払なし",$H489=0,$Q489=""),"",$Q489&amp;"|S|"&amp;(COUNTIF(S$4:S488,$Q489&amp;"|S|*")+1))</f>
        <v/>
      </c>
      <c r="T489" s="769" t="str">
        <f>IF(OR($F489="",$P489="支払なし",$R489=0,$Q489=""),"",$Q489&amp;"|L|"&amp;(COUNTIF(T$4:T488,$Q489&amp;"|L|*")+1))</f>
        <v>賃借料|L|15</v>
      </c>
      <c r="U489" s="769">
        <f>IF(OR($F489="",$A489=""),"",MOD(MONTH($A489)-4,12)+1)</f>
        <v>8</v>
      </c>
    </row>
    <row r="490" ht="16.5" customFormat="1" customHeight="1" s="422">
      <c r="A490" s="760" t="n">
        <v>43798</v>
      </c>
      <c r="B490" s="761" t="n"/>
      <c r="C490" s="762" t="inlineStr">
        <is>
          <t>賃借料</t>
        </is>
      </c>
      <c r="D490" s="762" t="n"/>
      <c r="E490" s="762" t="inlineStr">
        <is>
          <t>基幹システム用機器賃借料４～１０月（短期分）</t>
        </is>
      </c>
      <c r="F490" s="764" t="n">
        <v>186543</v>
      </c>
      <c r="G490" s="772" t="n">
        <v>2</v>
      </c>
      <c r="H490" s="765">
        <f>IF(G490=1,F490-I490-J490-K490,IF(G490=2,F490,0))</f>
        <v>186543</v>
      </c>
      <c r="I490" s="765">
        <f>ROUND(IF(G490=1,F490*10/23,IF(G490=3,F490-J490-K490,IF(G490=4,F490,IF(G490=5,F490*10/11,IF(G490=7,F490*10/11,0))))),0)</f>
        <v>0</v>
      </c>
      <c r="J490" s="765">
        <f>ROUND(IF(G490=1,F490/23,IF(G490=3,F490/12,IF(G490=5,F490-I490,IF(G490=8,F490,0)))),0)</f>
        <v>0</v>
      </c>
      <c r="K490" s="766">
        <f>ROUND(IF(G490=1,F490/23,IF(G490=3,F490/12,IF(G490=6,F490,IF(G490=7,F490-I490,0)))),0)</f>
        <v>0</v>
      </c>
      <c r="L490" s="767">
        <f>IF(G490=6,F490,0)</f>
        <v>0</v>
      </c>
      <c r="M490" s="421">
        <f>IF(F490="",0,MONTH(A490))</f>
        <v>11</v>
      </c>
      <c r="P490" s="768" t="inlineStr">
        <is>
          <t>昨年実績</t>
        </is>
      </c>
      <c r="Q490" s="769" t="str">
        <f>IF($F490="","",IFERROR(VLOOKUP($C490&amp;"|"&amp;$D490,科目表!$A$5:$B$200,2,FALSE),"※未登録"))</f>
        <v>賃借料</v>
      </c>
      <c r="R490" s="769">
        <f>IF($F490="","",$I490+$J490+$K490)</f>
        <v>0</v>
      </c>
      <c r="S490" s="769" t="str">
        <f>IF(OR($F490="",$P490="支払なし",$H490=0,$Q490=""),"",$Q490&amp;"|S|"&amp;(COUNTIF(S$4:S489,$Q490&amp;"|S|*")+1))</f>
        <v>賃借料|S|40</v>
      </c>
      <c r="T490" s="769" t="str">
        <f>IF(OR($F490="",$P490="支払なし",$R490=0,$Q490=""),"",$Q490&amp;"|L|"&amp;(COUNTIF(T$4:T489,$Q490&amp;"|L|*")+1))</f>
        <v/>
      </c>
      <c r="U490" s="769">
        <f>IF(OR($F490="",$A490=""),"",MOD(MONTH($A490)-4,12)+1)</f>
        <v>8</v>
      </c>
    </row>
    <row r="491" ht="16.5" customFormat="1" customHeight="1" s="422">
      <c r="A491" s="760" t="n">
        <v>44558</v>
      </c>
      <c r="B491" s="761" t="n"/>
      <c r="C491" s="762" t="inlineStr">
        <is>
          <t>委託費</t>
        </is>
      </c>
      <c r="D491" s="762" t="n"/>
      <c r="E491" s="777" t="inlineStr">
        <is>
          <t>短期給付個人番号管理システム端末延長保守</t>
        </is>
      </c>
      <c r="F491" s="764" t="n">
        <v>31900</v>
      </c>
      <c r="G491" s="764" t="n">
        <v>2</v>
      </c>
      <c r="H491" s="765">
        <f>IF(G491=1,F491-I491-J491-K491,IF(G491=2,F491,0))</f>
        <v>31900</v>
      </c>
      <c r="I491" s="765">
        <f>ROUND(IF(G491=1,F491*10/23,IF(G491=3,F491-J491-K491,IF(G491=4,F491,IF(G491=5,F491*10/11,IF(G491=7,F491*10/11,0))))),0)</f>
        <v>0</v>
      </c>
      <c r="J491" s="765">
        <f>ROUND(IF(G491=1,F491/23,IF(G491=3,F491/12,IF(G491=5,F491-I491,IF(G491=8,F491,0)))),0)</f>
        <v>0</v>
      </c>
      <c r="K491" s="766">
        <f>ROUND(IF(G491=1,F491/23,IF(G491=3,F491/12,IF(G491=6,F491,IF(G491=7,F491-I491,0)))),0)</f>
        <v>0</v>
      </c>
      <c r="L491" s="767">
        <f>IF(G491=6,F491,0)</f>
        <v>0</v>
      </c>
      <c r="M491" s="421">
        <f>IF(F491="",0,MONTH(A491))</f>
        <v>12</v>
      </c>
      <c r="P491" s="768" t="inlineStr">
        <is>
          <t>昨年実績</t>
        </is>
      </c>
      <c r="Q491" s="769" t="str">
        <f>IF($F491="","",IFERROR(VLOOKUP($C491&amp;"|"&amp;$D491,科目表!$A$5:$B$200,2,FALSE),"※未登録"))</f>
        <v>委託費</v>
      </c>
      <c r="R491" s="769">
        <f>IF($F491="","",$I491+$J491+$K491)</f>
        <v>0</v>
      </c>
      <c r="S491" s="769" t="str">
        <f>IF(OR($F491="",$P491="支払なし",$H491=0,$Q491=""),"",$Q491&amp;"|S|"&amp;(COUNTIF(S$4:S490,$Q491&amp;"|S|*")+1))</f>
        <v>委託費|S|50</v>
      </c>
      <c r="T491" s="769" t="str">
        <f>IF(OR($F491="",$P491="支払なし",$R491=0,$Q491=""),"",$Q491&amp;"|L|"&amp;(COUNTIF(T$4:T490,$Q491&amp;"|L|*")+1))</f>
        <v/>
      </c>
      <c r="U491" s="769">
        <f>IF(OR($F491="",$A491=""),"",MOD(MONTH($A491)-4,12)+1)</f>
        <v>9</v>
      </c>
    </row>
    <row r="492" ht="16.5" customFormat="1" customHeight="1" s="43">
      <c r="A492" s="760" t="n">
        <v>46017</v>
      </c>
      <c r="B492" s="761" t="n"/>
      <c r="C492" s="762" t="inlineStr">
        <is>
          <t>委託費</t>
        </is>
      </c>
      <c r="D492" s="762" t="n"/>
      <c r="E492" s="762" t="inlineStr">
        <is>
          <t>ねんきん定期便（１１月分）送付業務</t>
        </is>
      </c>
      <c r="F492" s="772" t="n">
        <v>81368</v>
      </c>
      <c r="G492" s="772" t="n">
        <v>5</v>
      </c>
      <c r="H492" s="765">
        <f>IF(G492=1,F492-I492-J492-K492,IF(G492=2,F492,0))</f>
        <v>0</v>
      </c>
      <c r="I492" s="765">
        <f>ROUND(IF(G492=1,F492*10/23,IF(G492=3,F492-J492-K492,IF(G492=4,F492,IF(G492=5,F492*10/11,IF(G492=7,F492*10/11,0))))),0)</f>
        <v>73971</v>
      </c>
      <c r="J492" s="765">
        <f>ROUND(IF(G492=1,F492/23,IF(G492=3,F492/12,IF(G492=5,F492-I492,IF(G492=8,F492,0)))),0)</f>
        <v>7397</v>
      </c>
      <c r="K492" s="766">
        <f>ROUND(IF(G492=1,F492/23,IF(G492=3,F492/12,IF(G492=6,F492,IF(G492=7,F492-I492,0)))),0)</f>
        <v>0</v>
      </c>
      <c r="L492" s="767">
        <f>IF(G492=6,F492,0)</f>
        <v>0</v>
      </c>
      <c r="M492" s="572">
        <f>IF(F492="",0,MONTH(A492))</f>
        <v>12</v>
      </c>
      <c r="P492" s="768" t="inlineStr">
        <is>
          <t>昨年実績</t>
        </is>
      </c>
      <c r="Q492" s="769" t="str">
        <f>IF($F492="","",IFERROR(VLOOKUP($C492&amp;"|"&amp;$D492,科目表!$A$5:$B$200,2,FALSE),"※未登録"))</f>
        <v>委託費</v>
      </c>
      <c r="R492" s="769">
        <f>IF($F492="","",$I492+$J492+$K492)</f>
        <v>81368</v>
      </c>
      <c r="S492" s="769" t="str">
        <f>IF(OR($F492="",$P492="支払なし",$H492=0,$Q492=""),"",$Q492&amp;"|S|"&amp;(COUNTIF(S$4:S491,$Q492&amp;"|S|*")+1))</f>
        <v/>
      </c>
      <c r="T492" s="769" t="str">
        <f>IF(OR($F492="",$P492="支払なし",$R492=0,$Q492=""),"",$Q492&amp;"|L|"&amp;(COUNTIF(T$4:T491,$Q492&amp;"|L|*")+1))</f>
        <v>委託費|L|18</v>
      </c>
      <c r="U492" s="769">
        <f>IF(OR($F492="",$A492=""),"",MOD(MONTH($A492)-4,12)+1)</f>
        <v>9</v>
      </c>
    </row>
    <row r="493" ht="16.5" customFormat="1" customHeight="1" s="43">
      <c r="A493" s="760" t="n">
        <v>46017</v>
      </c>
      <c r="B493" s="761" t="n"/>
      <c r="C493" s="762" t="inlineStr">
        <is>
          <t>賃借料</t>
        </is>
      </c>
      <c r="D493" s="762" t="n"/>
      <c r="E493" s="762" t="inlineStr">
        <is>
          <t>パソコン（業務経理用）１１月分</t>
        </is>
      </c>
      <c r="F493" s="772" t="n">
        <v>5060</v>
      </c>
      <c r="G493" s="772" t="n">
        <v>2</v>
      </c>
      <c r="H493" s="765">
        <f>IF(G493=1,F493-I493-J493-K493,IF(G493=2,F493,0))</f>
        <v>5060</v>
      </c>
      <c r="I493" s="765">
        <f>ROUND(IF(G493=1,F493*10/23,IF(G493=3,F493-J493-K493,IF(G493=4,F493,IF(G493=5,F493*10/11,IF(G493=7,F493*10/11,0))))),0)</f>
        <v>0</v>
      </c>
      <c r="J493" s="765">
        <f>ROUND(IF(G493=1,F493/23,IF(G493=3,F493/12,IF(G493=5,F493-I493,IF(G493=8,F493,0)))),0)</f>
        <v>0</v>
      </c>
      <c r="K493" s="766">
        <f>ROUND(IF(G493=1,F493/23,IF(G493=3,F493/12,IF(G493=6,F493,IF(G493=7,F493-I493,0)))),0)</f>
        <v>0</v>
      </c>
      <c r="L493" s="767">
        <f>IF(G493=6,F493,0)</f>
        <v>0</v>
      </c>
      <c r="M493" s="572">
        <f>IF(F493="",0,MONTH(A493))</f>
        <v>12</v>
      </c>
      <c r="P493" s="768" t="inlineStr">
        <is>
          <t>昨年実績</t>
        </is>
      </c>
      <c r="Q493" s="769" t="str">
        <f>IF($F493="","",IFERROR(VLOOKUP($C493&amp;"|"&amp;$D493,科目表!$A$5:$B$200,2,FALSE),"※未登録"))</f>
        <v>賃借料</v>
      </c>
      <c r="R493" s="769">
        <f>IF($F493="","",$I493+$J493+$K493)</f>
        <v>0</v>
      </c>
      <c r="S493" s="769" t="str">
        <f>IF(OR($F493="",$P493="支払なし",$H493=0,$Q493=""),"",$Q493&amp;"|S|"&amp;(COUNTIF(S$4:S492,$Q493&amp;"|S|*")+1))</f>
        <v>賃借料|S|41</v>
      </c>
      <c r="T493" s="769" t="str">
        <f>IF(OR($F493="",$P493="支払なし",$R493=0,$Q493=""),"",$Q493&amp;"|L|"&amp;(COUNTIF(T$4:T492,$Q493&amp;"|L|*")+1))</f>
        <v/>
      </c>
      <c r="U493" s="769">
        <f>IF(OR($F493="",$A493=""),"",MOD(MONTH($A493)-4,12)+1)</f>
        <v>9</v>
      </c>
    </row>
    <row r="494" ht="16.5" customFormat="1" customHeight="1" s="43">
      <c r="A494" s="760" t="n">
        <v>46017</v>
      </c>
      <c r="B494" s="761" t="n"/>
      <c r="C494" s="762" t="inlineStr">
        <is>
          <t>委託費</t>
        </is>
      </c>
      <c r="D494" s="762" t="n"/>
      <c r="E494" s="762" t="inlineStr">
        <is>
          <t>柔整等療養費支給申請書の入力（１１月分）</t>
        </is>
      </c>
      <c r="F494" s="772" t="n">
        <v>133683</v>
      </c>
      <c r="G494" s="764" t="n">
        <v>2</v>
      </c>
      <c r="H494" s="765">
        <f>IF(G494=1,F494-I494-J494-K494,IF(G494=2,F494,0))</f>
        <v>133683</v>
      </c>
      <c r="I494" s="765">
        <f>ROUND(IF(G494=1,F494*10/23,IF(G494=3,F494-J494-K494,IF(G494=4,F494,IF(G494=5,F494*10/11,IF(G494=7,F494*10/11,0))))),0)</f>
        <v>0</v>
      </c>
      <c r="J494" s="765">
        <f>ROUND(IF(G494=1,F494/23,IF(G494=3,F494/12,IF(G494=5,F494-I494,IF(G494=8,F494,0)))),0)</f>
        <v>0</v>
      </c>
      <c r="K494" s="766">
        <f>ROUND(IF(G494=1,F494/23,IF(G494=3,F494/12,IF(G494=6,F494,IF(G494=7,F494-I494,0)))),0)</f>
        <v>0</v>
      </c>
      <c r="L494" s="767">
        <f>IF(G494=6,F494,0)</f>
        <v>0</v>
      </c>
      <c r="M494" s="572">
        <f>IF(F494="",0,MONTH(A494))</f>
        <v>12</v>
      </c>
      <c r="P494" s="768" t="inlineStr">
        <is>
          <t>昨年実績</t>
        </is>
      </c>
      <c r="Q494" s="769" t="str">
        <f>IF($F494="","",IFERROR(VLOOKUP($C494&amp;"|"&amp;$D494,科目表!$A$5:$B$200,2,FALSE),"※未登録"))</f>
        <v>委託費</v>
      </c>
      <c r="R494" s="769">
        <f>IF($F494="","",$I494+$J494+$K494)</f>
        <v>0</v>
      </c>
      <c r="S494" s="769" t="str">
        <f>IF(OR($F494="",$P494="支払なし",$H494=0,$Q494=""),"",$Q494&amp;"|S|"&amp;(COUNTIF(S$4:S493,$Q494&amp;"|S|*")+1))</f>
        <v>委託費|S|51</v>
      </c>
      <c r="T494" s="769" t="str">
        <f>IF(OR($F494="",$P494="支払なし",$R494=0,$Q494=""),"",$Q494&amp;"|L|"&amp;(COUNTIF(T$4:T493,$Q494&amp;"|L|*")+1))</f>
        <v/>
      </c>
      <c r="U494" s="769">
        <f>IF(OR($F494="",$A494=""),"",MOD(MONTH($A494)-4,12)+1)</f>
        <v>9</v>
      </c>
    </row>
    <row r="495" ht="16.5" customFormat="1" customHeight="1" s="422">
      <c r="A495" s="760" t="n">
        <v>44188</v>
      </c>
      <c r="B495" s="761" t="n"/>
      <c r="C495" s="762" t="inlineStr">
        <is>
          <t>厚生費</t>
        </is>
      </c>
      <c r="D495" s="762" t="inlineStr">
        <is>
          <t>健康診断費</t>
        </is>
      </c>
      <c r="E495" s="775" t="inlineStr">
        <is>
          <t>人間ドック自己負担超分（佐々木）</t>
        </is>
      </c>
      <c r="F495" s="772" t="n">
        <v>18272</v>
      </c>
      <c r="G495" s="772" t="n">
        <v>3</v>
      </c>
      <c r="H495" s="765">
        <f>IF(G495=1,F495-I495-J495-K495,IF(G495=2,F495,0))</f>
        <v>0</v>
      </c>
      <c r="I495" s="765">
        <f>ROUND(IF(G495=1,F495*10/23,IF(G495=3,F495-J495-K495,IF(G495=4,F495,IF(G495=5,F495*10/11,IF(G495=7,F495*10/11,0))))),0)</f>
        <v>15226</v>
      </c>
      <c r="J495" s="765">
        <f>ROUND(IF(G495=1,F495/23,IF(G495=3,F495/12,IF(G495=5,F495-I495,IF(G495=8,F495,0)))),0)</f>
        <v>1523</v>
      </c>
      <c r="K495" s="766">
        <f>ROUND(IF(G495=1,F495/23,IF(G495=3,F495/12,IF(G495=6,F495,IF(G495=7,F495-I495,0)))),0)</f>
        <v>1523</v>
      </c>
      <c r="L495" s="767">
        <f>IF(G495=6,F495,0)</f>
        <v>0</v>
      </c>
      <c r="M495" s="421">
        <f>IF(F495="",0,MONTH(A495))</f>
        <v>12</v>
      </c>
      <c r="P495" s="768" t="inlineStr">
        <is>
          <t>昨年実績</t>
        </is>
      </c>
      <c r="Q495" s="769" t="str">
        <f>IF($F495="","",IFERROR(VLOOKUP($C495&amp;"|"&amp;$D495,科目表!$A$5:$B$200,2,FALSE),"※未登録"))</f>
        <v>厚生費</v>
      </c>
      <c r="R495" s="769">
        <f>IF($F495="","",$I495+$J495+$K495)</f>
        <v>18272</v>
      </c>
      <c r="S495" s="769" t="str">
        <f>IF(OR($F495="",$P495="支払なし",$H495=0,$Q495=""),"",$Q495&amp;"|S|"&amp;(COUNTIF(S$4:S494,$Q495&amp;"|S|*")+1))</f>
        <v/>
      </c>
      <c r="T495" s="769" t="str">
        <f>IF(OR($F495="",$P495="支払なし",$R495=0,$Q495=""),"",$Q495&amp;"|L|"&amp;(COUNTIF(T$4:T494,$Q495&amp;"|L|*")+1))</f>
        <v>厚生費|L|4</v>
      </c>
      <c r="U495" s="769">
        <f>IF(OR($F495="",$A495=""),"",MOD(MONTH($A495)-4,12)+1)</f>
        <v>9</v>
      </c>
    </row>
    <row r="496" ht="16.5" customFormat="1" customHeight="1" s="422">
      <c r="A496" s="760" t="n">
        <v>45288</v>
      </c>
      <c r="B496" s="761" t="n"/>
      <c r="C496" s="762" t="inlineStr">
        <is>
          <t>事務費</t>
        </is>
      </c>
      <c r="D496" s="762" t="inlineStr">
        <is>
          <t>通信運搬費</t>
        </is>
      </c>
      <c r="E496" s="762" t="inlineStr">
        <is>
          <t>メール便（任継者宛厚生だより11月・12月分）</t>
        </is>
      </c>
      <c r="F496" s="772" t="n">
        <v>36115</v>
      </c>
      <c r="G496" s="772" t="n">
        <v>2</v>
      </c>
      <c r="H496" s="765">
        <f>IF(G496=1,F496-I496-J496-K496,IF(G496=2,F496,0))</f>
        <v>36115</v>
      </c>
      <c r="I496" s="765">
        <f>ROUND(IF(G496=1,F496*10/23,IF(G496=3,F496-J496-K496,IF(G496=4,F496,IF(G496=5,F496*10/11,IF(G496=7,F496*10/11,0))))),0)</f>
        <v>0</v>
      </c>
      <c r="J496" s="765">
        <f>ROUND(IF(G496=1,F496/23,IF(G496=3,F496/12,IF(G496=5,F496-I496,IF(G496=8,F496,0)))),0)</f>
        <v>0</v>
      </c>
      <c r="K496" s="766">
        <f>ROUND(IF(G496=1,F496/23,IF(G496=3,F496/12,IF(G496=6,F496,IF(G496=7,F496-I496,0)))),0)</f>
        <v>0</v>
      </c>
      <c r="L496" s="767">
        <f>IF(G496=6,F496,0)</f>
        <v>0</v>
      </c>
      <c r="M496" s="421">
        <f>IF(F496="",0,MONTH(A496))</f>
        <v>12</v>
      </c>
      <c r="P496" s="768" t="inlineStr">
        <is>
          <t>昨年実績</t>
        </is>
      </c>
      <c r="Q496" s="769" t="str">
        <f>IF($F496="","",IFERROR(VLOOKUP($C496&amp;"|"&amp;$D496,科目表!$A$5:$B$200,2,FALSE),"※未登録"))</f>
        <v>通信運搬費</v>
      </c>
      <c r="R496" s="769">
        <f>IF($F496="","",$I496+$J496+$K496)</f>
        <v>0</v>
      </c>
      <c r="S496" s="769" t="str">
        <f>IF(OR($F496="",$P496="支払なし",$H496=0,$Q496=""),"",$Q496&amp;"|S|"&amp;(COUNTIF(S$4:S495,$Q496&amp;"|S|*")+1))</f>
        <v>通信運搬費|S|51</v>
      </c>
      <c r="T496" s="769" t="str">
        <f>IF(OR($F496="",$P496="支払なし",$R496=0,$Q496=""),"",$Q496&amp;"|L|"&amp;(COUNTIF(T$4:T495,$Q496&amp;"|L|*")+1))</f>
        <v/>
      </c>
      <c r="U496" s="769">
        <f>IF(OR($F496="",$A496=""),"",MOD(MONTH($A496)-4,12)+1)</f>
        <v>9</v>
      </c>
    </row>
    <row r="497" ht="16.5" customFormat="1" customHeight="1" s="43">
      <c r="A497" s="760" t="n">
        <v>46017</v>
      </c>
      <c r="B497" s="761" t="n"/>
      <c r="C497" s="762" t="inlineStr">
        <is>
          <t>事務費</t>
        </is>
      </c>
      <c r="D497" s="762" t="inlineStr">
        <is>
          <t>図書印刷費</t>
        </is>
      </c>
      <c r="E497" s="770" t="inlineStr">
        <is>
          <t>長３封筒　１０，０００枚</t>
        </is>
      </c>
      <c r="F497" s="764" t="n">
        <v>99000</v>
      </c>
      <c r="G497" s="764" t="n">
        <v>2</v>
      </c>
      <c r="H497" s="765">
        <f>IF(G497=1,F497-I497-J497-K497,IF(G497=2,F497,0))</f>
        <v>99000</v>
      </c>
      <c r="I497" s="765">
        <f>ROUND(IF(G497=1,F497*10/23,IF(G497=3,F497-J497-K497,IF(G497=4,F497,IF(G497=5,F497*10/11,IF(G497=7,F497*10/11,0))))),0)</f>
        <v>0</v>
      </c>
      <c r="J497" s="765">
        <f>ROUND(IF(G497=1,F497/23,IF(G497=3,F497/12,IF(G497=5,F497-I497,IF(G497=8,F497,0)))),0)</f>
        <v>0</v>
      </c>
      <c r="K497" s="766">
        <f>ROUND(IF(G497=1,F497/23,IF(G497=3,F497/12,IF(G497=6,F497,IF(G497=7,F497-I497,0)))),0)</f>
        <v>0</v>
      </c>
      <c r="L497" s="767">
        <f>IF(G497=6,F497,0)</f>
        <v>0</v>
      </c>
      <c r="M497" s="572">
        <f>IF(F497="",0,MONTH(A497))</f>
        <v>12</v>
      </c>
      <c r="P497" s="768" t="inlineStr">
        <is>
          <t>昨年実績</t>
        </is>
      </c>
      <c r="Q497" s="769" t="str">
        <f>IF($F497="","",IFERROR(VLOOKUP($C497&amp;"|"&amp;$D497,科目表!$A$5:$B$200,2,FALSE),"※未登録"))</f>
        <v>図書印刷費</v>
      </c>
      <c r="R497" s="769">
        <f>IF($F497="","",$I497+$J497+$K497)</f>
        <v>0</v>
      </c>
      <c r="S497" s="769" t="str">
        <f>IF(OR($F497="",$P497="支払なし",$H497=0,$Q497=""),"",$Q497&amp;"|S|"&amp;(COUNTIF(S$4:S496,$Q497&amp;"|S|*")+1))</f>
        <v>図書印刷費|S|21</v>
      </c>
      <c r="T497" s="769" t="str">
        <f>IF(OR($F497="",$P497="支払なし",$R497=0,$Q497=""),"",$Q497&amp;"|L|"&amp;(COUNTIF(T$4:T496,$Q497&amp;"|L|*")+1))</f>
        <v/>
      </c>
      <c r="U497" s="769">
        <f>IF(OR($F497="",$A497=""),"",MOD(MONTH($A497)-4,12)+1)</f>
        <v>9</v>
      </c>
    </row>
    <row r="498" ht="16.5" customFormat="1" customHeight="1" s="43">
      <c r="A498" s="760" t="n">
        <v>46017</v>
      </c>
      <c r="B498" s="761" t="n"/>
      <c r="C498" s="762" t="inlineStr">
        <is>
          <t>賃借料</t>
        </is>
      </c>
      <c r="D498" s="762" t="n"/>
      <c r="E498" s="770" t="inlineStr">
        <is>
          <t>基幹システム用機器賃借料　11月分（短期）</t>
        </is>
      </c>
      <c r="F498" s="764" t="n">
        <v>672934</v>
      </c>
      <c r="G498" s="772" t="n">
        <v>2</v>
      </c>
      <c r="H498" s="765">
        <f>IF(G498=1,F498-I498-J498-K498,IF(G498=2,F498,0))</f>
        <v>672934</v>
      </c>
      <c r="I498" s="765">
        <f>ROUND(IF(G498=1,F498*10/23,IF(G498=3,F498-J498-K498,IF(G498=4,F498,IF(G498=5,F498*10/11,IF(G498=7,F498*10/11,0))))),0)</f>
        <v>0</v>
      </c>
      <c r="J498" s="765">
        <f>ROUND(IF(G498=1,F498/23,IF(G498=3,F498/12,IF(G498=5,F498-I498,IF(G498=8,F498,0)))),0)</f>
        <v>0</v>
      </c>
      <c r="K498" s="766">
        <f>ROUND(IF(G498=1,F498/23,IF(G498=3,F498/12,IF(G498=6,F498,IF(G498=7,F498-I498,0)))),0)</f>
        <v>0</v>
      </c>
      <c r="L498" s="767">
        <f>IF(G498=6,F498,0)</f>
        <v>0</v>
      </c>
      <c r="M498" s="572">
        <f>IF(F498="",0,MONTH(A498))</f>
        <v>12</v>
      </c>
      <c r="P498" s="768" t="inlineStr">
        <is>
          <t>昨年実績</t>
        </is>
      </c>
      <c r="Q498" s="769" t="str">
        <f>IF($F498="","",IFERROR(VLOOKUP($C498&amp;"|"&amp;$D498,科目表!$A$5:$B$200,2,FALSE),"※未登録"))</f>
        <v>賃借料</v>
      </c>
      <c r="R498" s="769">
        <f>IF($F498="","",$I498+$J498+$K498)</f>
        <v>0</v>
      </c>
      <c r="S498" s="769" t="str">
        <f>IF(OR($F498="",$P498="支払なし",$H498=0,$Q498=""),"",$Q498&amp;"|S|"&amp;(COUNTIF(S$4:S497,$Q498&amp;"|S|*")+1))</f>
        <v>賃借料|S|42</v>
      </c>
      <c r="T498" s="769" t="str">
        <f>IF(OR($F498="",$P498="支払なし",$R498=0,$Q498=""),"",$Q498&amp;"|L|"&amp;(COUNTIF(T$4:T497,$Q498&amp;"|L|*")+1))</f>
        <v/>
      </c>
      <c r="U498" s="769">
        <f>IF(OR($F498="",$A498=""),"",MOD(MONTH($A498)-4,12)+1)</f>
        <v>9</v>
      </c>
    </row>
    <row r="499" ht="16.5" customFormat="1" customHeight="1" s="43">
      <c r="A499" s="760" t="n">
        <v>46017</v>
      </c>
      <c r="B499" s="761" t="n"/>
      <c r="C499" s="762" t="inlineStr">
        <is>
          <t>賃借料</t>
        </is>
      </c>
      <c r="D499" s="762" t="n"/>
      <c r="E499" s="770" t="inlineStr">
        <is>
          <t>基幹システム用機器賃借料　11月分（長期）</t>
        </is>
      </c>
      <c r="F499" s="772" t="n">
        <v>69613</v>
      </c>
      <c r="G499" s="772" t="n">
        <v>3</v>
      </c>
      <c r="H499" s="765">
        <f>IF(G499=1,F499-I499-J499-K499,IF(G499=2,F499,0))</f>
        <v>0</v>
      </c>
      <c r="I499" s="765">
        <f>ROUND(IF(G499=1,F499*10/23,IF(G499=3,F499-J499-K499,IF(G499=4,F499,IF(G499=5,F499*10/11,IF(G499=7,F499*10/11,0))))),0)</f>
        <v>58011</v>
      </c>
      <c r="J499" s="765">
        <f>ROUND(IF(G499=1,F499/23,IF(G499=3,F499/12,IF(G499=5,F499-I499,IF(G499=8,F499,0)))),0)</f>
        <v>5801</v>
      </c>
      <c r="K499" s="766">
        <f>ROUND(IF(G499=1,F499/23,IF(G499=3,F499/12,IF(G499=6,F499,IF(G499=7,F499-I499,0)))),0)</f>
        <v>5801</v>
      </c>
      <c r="L499" s="767">
        <f>IF(G499=6,F499,0)</f>
        <v>0</v>
      </c>
      <c r="M499" s="572">
        <f>IF(F499="",0,MONTH(A499))</f>
        <v>12</v>
      </c>
      <c r="P499" s="768" t="inlineStr">
        <is>
          <t>昨年実績</t>
        </is>
      </c>
      <c r="Q499" s="769" t="str">
        <f>IF($F499="","",IFERROR(VLOOKUP($C499&amp;"|"&amp;$D499,科目表!$A$5:$B$200,2,FALSE),"※未登録"))</f>
        <v>賃借料</v>
      </c>
      <c r="R499" s="769">
        <f>IF($F499="","",$I499+$J499+$K499)</f>
        <v>69613</v>
      </c>
      <c r="S499" s="769" t="str">
        <f>IF(OR($F499="",$P499="支払なし",$H499=0,$Q499=""),"",$Q499&amp;"|S|"&amp;(COUNTIF(S$4:S498,$Q499&amp;"|S|*")+1))</f>
        <v/>
      </c>
      <c r="T499" s="769" t="str">
        <f>IF(OR($F499="",$P499="支払なし",$R499=0,$Q499=""),"",$Q499&amp;"|L|"&amp;(COUNTIF(T$4:T498,$Q499&amp;"|L|*")+1))</f>
        <v>賃借料|L|16</v>
      </c>
      <c r="U499" s="769">
        <f>IF(OR($F499="",$A499=""),"",MOD(MONTH($A499)-4,12)+1)</f>
        <v>9</v>
      </c>
    </row>
    <row r="500" ht="16.5" customFormat="1" customHeight="1" s="422">
      <c r="A500" s="760" t="n">
        <v>44193</v>
      </c>
      <c r="B500" s="761" t="n"/>
      <c r="C500" s="762" t="inlineStr">
        <is>
          <t>事務費</t>
        </is>
      </c>
      <c r="D500" s="762" t="inlineStr">
        <is>
          <t>事務用消耗品費</t>
        </is>
      </c>
      <c r="E500" s="770" t="inlineStr">
        <is>
          <t>限度額適用認定証（台紙）</t>
        </is>
      </c>
      <c r="F500" s="764" t="n">
        <v>24200</v>
      </c>
      <c r="G500" s="764" t="n">
        <v>2</v>
      </c>
      <c r="H500" s="765">
        <f>IF(G500=1,F500-I500-J500-K500,IF(G500=2,F500,0))</f>
        <v>24200</v>
      </c>
      <c r="I500" s="765">
        <f>ROUND(IF(G500=1,F500*10/23,IF(G500=3,F500-J500-K500,IF(G500=4,F500,IF(G500=5,F500*10/11,IF(G500=7,F500*10/11,0))))),0)</f>
        <v>0</v>
      </c>
      <c r="J500" s="765">
        <f>ROUND(IF(G500=1,F500/23,IF(G500=3,F500/12,IF(G500=5,F500-I500,IF(G500=8,F500,0)))),0)</f>
        <v>0</v>
      </c>
      <c r="K500" s="766">
        <f>ROUND(IF(G500=1,F500/23,IF(G500=3,F500/12,IF(G500=6,F500,IF(G500=7,F500-I500,0)))),0)</f>
        <v>0</v>
      </c>
      <c r="L500" s="767">
        <f>IF(G500=6,F500,0)</f>
        <v>0</v>
      </c>
      <c r="M500" s="421">
        <f>IF(F500="",0,MONTH(A500))</f>
        <v>12</v>
      </c>
      <c r="P500" s="768" t="inlineStr">
        <is>
          <t>昨年実績</t>
        </is>
      </c>
      <c r="Q500" s="769" t="str">
        <f>IF($F500="","",IFERROR(VLOOKUP($C500&amp;"|"&amp;$D500,科目表!$A$5:$B$200,2,FALSE),"※未登録"))</f>
        <v>事務用消耗品費</v>
      </c>
      <c r="R500" s="769">
        <f>IF($F500="","",$I500+$J500+$K500)</f>
        <v>0</v>
      </c>
      <c r="S500" s="769" t="str">
        <f>IF(OR($F500="",$P500="支払なし",$H500=0,$Q500=""),"",$Q500&amp;"|S|"&amp;(COUNTIF(S$4:S499,$Q500&amp;"|S|*")+1))</f>
        <v>事務用消耗品費|S|34</v>
      </c>
      <c r="T500" s="769" t="str">
        <f>IF(OR($F500="",$P500="支払なし",$R500=0,$Q500=""),"",$Q500&amp;"|L|"&amp;(COUNTIF(T$4:T499,$Q500&amp;"|L|*")+1))</f>
        <v/>
      </c>
      <c r="U500" s="769">
        <f>IF(OR($F500="",$A500=""),"",MOD(MONTH($A500)-4,12)+1)</f>
        <v>9</v>
      </c>
    </row>
    <row r="501" ht="16.5" customFormat="1" customHeight="1" s="422">
      <c r="A501" s="760" t="n">
        <v>43826</v>
      </c>
      <c r="B501" s="761" t="n"/>
      <c r="C501" s="762" t="inlineStr">
        <is>
          <t>賃借料</t>
        </is>
      </c>
      <c r="D501" s="762" t="n"/>
      <c r="E501" s="763" t="inlineStr">
        <is>
          <t>基幹システム（短期）用機器リース料１１月分</t>
        </is>
      </c>
      <c r="F501" s="772" t="n">
        <v>193676</v>
      </c>
      <c r="G501" s="772" t="n">
        <v>2</v>
      </c>
      <c r="H501" s="765">
        <f>IF(G501=1,F501-I501-J501-K501,IF(G501=2,F501,0))</f>
        <v>193676</v>
      </c>
      <c r="I501" s="765">
        <f>ROUND(IF(G501=1,F501*10/23,IF(G501=3,F501-J501-K501,IF(G501=4,F501,IF(G501=5,F501*10/11,IF(G501=7,F501*10/11,0))))),0)</f>
        <v>0</v>
      </c>
      <c r="J501" s="765">
        <f>ROUND(IF(G501=1,F501/23,IF(G501=3,F501/12,IF(G501=5,F501-I501,IF(G501=8,F501,0)))),0)</f>
        <v>0</v>
      </c>
      <c r="K501" s="766">
        <f>ROUND(IF(G501=1,F501/23,IF(G501=3,F501/12,IF(G501=6,F501,IF(G501=7,F501-I501,0)))),0)</f>
        <v>0</v>
      </c>
      <c r="L501" s="767">
        <f>IF(G501=6,F501,0)</f>
        <v>0</v>
      </c>
      <c r="M501" s="421">
        <f>IF(F501="",0,MONTH(A501))</f>
        <v>12</v>
      </c>
      <c r="P501" s="768" t="inlineStr">
        <is>
          <t>昨年実績</t>
        </is>
      </c>
      <c r="Q501" s="769" t="str">
        <f>IF($F501="","",IFERROR(VLOOKUP($C501&amp;"|"&amp;$D501,科目表!$A$5:$B$200,2,FALSE),"※未登録"))</f>
        <v>賃借料</v>
      </c>
      <c r="R501" s="769">
        <f>IF($F501="","",$I501+$J501+$K501)</f>
        <v>0</v>
      </c>
      <c r="S501" s="769" t="str">
        <f>IF(OR($F501="",$P501="支払なし",$H501=0,$Q501=""),"",$Q501&amp;"|S|"&amp;(COUNTIF(S$4:S500,$Q501&amp;"|S|*")+1))</f>
        <v>賃借料|S|43</v>
      </c>
      <c r="T501" s="769" t="str">
        <f>IF(OR($F501="",$P501="支払なし",$R501=0,$Q501=""),"",$Q501&amp;"|L|"&amp;(COUNTIF(T$4:T500,$Q501&amp;"|L|*")+1))</f>
        <v/>
      </c>
      <c r="U501" s="769">
        <f>IF(OR($F501="",$A501=""),"",MOD(MONTH($A501)-4,12)+1)</f>
        <v>9</v>
      </c>
    </row>
    <row r="502" ht="16.5" customFormat="1" customHeight="1" s="43">
      <c r="A502" s="760" t="n">
        <v>46007</v>
      </c>
      <c r="B502" s="779" t="n"/>
      <c r="C502" s="762" t="inlineStr">
        <is>
          <t>賃借料</t>
        </is>
      </c>
      <c r="D502" s="762" t="n"/>
      <c r="E502" s="777" t="inlineStr">
        <is>
          <t>統合管理端末リース料（１１月分）</t>
        </is>
      </c>
      <c r="F502" s="772" t="n">
        <v>12738</v>
      </c>
      <c r="G502" s="772" t="n">
        <v>2</v>
      </c>
      <c r="H502" s="765">
        <f>IF(G502=1,F502-I502-J502-K502,IF(G502=2,F502,0))</f>
        <v>12738</v>
      </c>
      <c r="I502" s="765">
        <f>ROUND(IF(G502=1,F502*10/23,IF(G502=3,F502-J502-K502,IF(G502=4,F502,IF(G502=5,F502*10/11,IF(G502=7,F502*10/11,0))))),0)</f>
        <v>0</v>
      </c>
      <c r="J502" s="765">
        <f>ROUND(IF(G502=1,F502/23,IF(G502=3,F502/12,IF(G502=5,F502-I502,IF(G502=8,F502,0)))),0)</f>
        <v>0</v>
      </c>
      <c r="K502" s="766">
        <f>ROUND(IF(G502=1,F502/23,IF(G502=3,F502/12,IF(G502=6,F502,IF(G502=7,F502-I502,0)))),0)</f>
        <v>0</v>
      </c>
      <c r="L502" s="767">
        <f>IF(G502=6,F502,0)</f>
        <v>0</v>
      </c>
      <c r="M502" s="572">
        <f>IF(F502="",0,MONTH(A502))</f>
        <v>12</v>
      </c>
      <c r="P502" s="768" t="inlineStr">
        <is>
          <t>昨年実績</t>
        </is>
      </c>
      <c r="Q502" s="769" t="str">
        <f>IF($F502="","",IFERROR(VLOOKUP($C502&amp;"|"&amp;$D502,科目表!$A$5:$B$200,2,FALSE),"※未登録"))</f>
        <v>賃借料</v>
      </c>
      <c r="R502" s="769">
        <f>IF($F502="","",$I502+$J502+$K502)</f>
        <v>0</v>
      </c>
      <c r="S502" s="769" t="str">
        <f>IF(OR($F502="",$P502="支払なし",$H502=0,$Q502=""),"",$Q502&amp;"|S|"&amp;(COUNTIF(S$4:S501,$Q502&amp;"|S|*")+1))</f>
        <v>賃借料|S|44</v>
      </c>
      <c r="T502" s="769" t="str">
        <f>IF(OR($F502="",$P502="支払なし",$R502=0,$Q502=""),"",$Q502&amp;"|L|"&amp;(COUNTIF(T$4:T501,$Q502&amp;"|L|*")+1))</f>
        <v/>
      </c>
      <c r="U502" s="769">
        <f>IF(OR($F502="",$A502=""),"",MOD(MONTH($A502)-4,12)+1)</f>
        <v>9</v>
      </c>
    </row>
    <row r="503" ht="16.5" customFormat="1" customHeight="1" s="422">
      <c r="A503" s="760" t="n">
        <v>45288</v>
      </c>
      <c r="B503" s="761" t="n"/>
      <c r="C503" s="762" t="inlineStr">
        <is>
          <t>委託費</t>
        </is>
      </c>
      <c r="D503" s="762" t="n"/>
      <c r="E503" s="784" t="inlineStr">
        <is>
          <t>統合管理端末保守料（１１月分）</t>
        </is>
      </c>
      <c r="F503" s="764" t="n">
        <v>5390</v>
      </c>
      <c r="G503" s="764" t="n">
        <v>2</v>
      </c>
      <c r="H503" s="765">
        <f>IF(G503=1,F503-I503-J503-K503,IF(G503=2,F503,0))</f>
        <v>5390</v>
      </c>
      <c r="I503" s="765">
        <f>ROUND(IF(G503=1,F503*10/23,IF(G503=3,F503-J503-K503,IF(G503=4,F503,IF(G503=5,F503*10/11,IF(G503=7,F503*10/11,0))))),0)</f>
        <v>0</v>
      </c>
      <c r="J503" s="765">
        <f>ROUND(IF(G503=1,F503/23,IF(G503=3,F503/12,IF(G503=5,F503-I503,IF(G503=8,F503,0)))),0)</f>
        <v>0</v>
      </c>
      <c r="K503" s="766">
        <f>ROUND(IF(G503=1,F503/23,IF(G503=3,F503/12,IF(G503=6,F503,IF(G503=7,F503-I503,0)))),0)</f>
        <v>0</v>
      </c>
      <c r="L503" s="767">
        <f>IF(G503=6,F503,0)</f>
        <v>0</v>
      </c>
      <c r="M503" s="421">
        <f>IF(F503="",0,MONTH(A503))</f>
        <v>12</v>
      </c>
      <c r="P503" s="768" t="inlineStr">
        <is>
          <t>昨年実績</t>
        </is>
      </c>
      <c r="Q503" s="769" t="str">
        <f>IF($F503="","",IFERROR(VLOOKUP($C503&amp;"|"&amp;$D503,科目表!$A$5:$B$200,2,FALSE),"※未登録"))</f>
        <v>委託費</v>
      </c>
      <c r="R503" s="769">
        <f>IF($F503="","",$I503+$J503+$K503)</f>
        <v>0</v>
      </c>
      <c r="S503" s="769" t="str">
        <f>IF(OR($F503="",$P503="支払なし",$H503=0,$Q503=""),"",$Q503&amp;"|S|"&amp;(COUNTIF(S$4:S502,$Q503&amp;"|S|*")+1))</f>
        <v>委託費|S|52</v>
      </c>
      <c r="T503" s="769" t="str">
        <f>IF(OR($F503="",$P503="支払なし",$R503=0,$Q503=""),"",$Q503&amp;"|L|"&amp;(COUNTIF(T$4:T502,$Q503&amp;"|L|*")+1))</f>
        <v/>
      </c>
      <c r="U503" s="769">
        <f>IF(OR($F503="",$A503=""),"",MOD(MONTH($A503)-4,12)+1)</f>
        <v>9</v>
      </c>
    </row>
    <row r="504" ht="16.5" customFormat="1" customHeight="1" s="422">
      <c r="A504" s="760" t="n">
        <v>44193</v>
      </c>
      <c r="B504" s="761" t="n"/>
      <c r="C504" s="762" t="inlineStr">
        <is>
          <t>委託費</t>
        </is>
      </c>
      <c r="D504" s="762" t="n"/>
      <c r="E504" s="784" t="inlineStr">
        <is>
          <t>秘密文書回収運搬等業務</t>
        </is>
      </c>
      <c r="F504" s="764" t="n">
        <v>63448</v>
      </c>
      <c r="G504" s="764" t="n">
        <v>2</v>
      </c>
      <c r="H504" s="765">
        <f>IF(G504=1,F504-I504-J504-K504,IF(G504=2,F504,0))</f>
        <v>63448</v>
      </c>
      <c r="I504" s="765">
        <f>ROUND(IF(G504=1,F504*10/23,IF(G504=3,F504-J504-K504,IF(G504=4,F504,IF(G504=5,F504*10/11,IF(G504=7,F504*10/11,0))))),0)</f>
        <v>0</v>
      </c>
      <c r="J504" s="765">
        <f>ROUND(IF(G504=1,F504/23,IF(G504=3,F504/12,IF(G504=5,F504-I504,IF(G504=8,F504,0)))),0)</f>
        <v>0</v>
      </c>
      <c r="K504" s="766">
        <f>ROUND(IF(G504=1,F504/23,IF(G504=3,F504/12,IF(G504=6,F504,IF(G504=7,F504-I504,0)))),0)</f>
        <v>0</v>
      </c>
      <c r="L504" s="767">
        <f>IF(G504=6,F504,0)</f>
        <v>0</v>
      </c>
      <c r="M504" s="421">
        <f>IF(F504="",0,MONTH(A504))</f>
        <v>12</v>
      </c>
      <c r="P504" s="768" t="inlineStr">
        <is>
          <t>昨年実績</t>
        </is>
      </c>
      <c r="Q504" s="769" t="str">
        <f>IF($F504="","",IFERROR(VLOOKUP($C504&amp;"|"&amp;$D504,科目表!$A$5:$B$200,2,FALSE),"※未登録"))</f>
        <v>委託費</v>
      </c>
      <c r="R504" s="769">
        <f>IF($F504="","",$I504+$J504+$K504)</f>
        <v>0</v>
      </c>
      <c r="S504" s="769" t="str">
        <f>IF(OR($F504="",$P504="支払なし",$H504=0,$Q504=""),"",$Q504&amp;"|S|"&amp;(COUNTIF(S$4:S503,$Q504&amp;"|S|*")+1))</f>
        <v>委託費|S|53</v>
      </c>
      <c r="T504" s="769" t="str">
        <f>IF(OR($F504="",$P504="支払なし",$R504=0,$Q504=""),"",$Q504&amp;"|L|"&amp;(COUNTIF(T$4:T503,$Q504&amp;"|L|*")+1))</f>
        <v/>
      </c>
      <c r="U504" s="769">
        <f>IF(OR($F504="",$A504=""),"",MOD(MONTH($A504)-4,12)+1)</f>
        <v>9</v>
      </c>
    </row>
    <row r="505" ht="16.5" customFormat="1" customHeight="1" s="422">
      <c r="A505" s="760" t="n">
        <v>45288</v>
      </c>
      <c r="B505" s="804" t="n"/>
      <c r="C505" s="762" t="inlineStr">
        <is>
          <t>事務費</t>
        </is>
      </c>
      <c r="D505" s="762" t="inlineStr">
        <is>
          <t>通信運搬費</t>
        </is>
      </c>
      <c r="E505" s="775" t="inlineStr">
        <is>
          <t>柔整申請書送付（１１月分）</t>
        </is>
      </c>
      <c r="F505" s="764" t="n">
        <v>1489</v>
      </c>
      <c r="G505" s="764" t="n">
        <v>2</v>
      </c>
      <c r="H505" s="765">
        <f>IF(G505=1,F505-I505-J505-K505,IF(G505=2,F505,0))</f>
        <v>1489</v>
      </c>
      <c r="I505" s="765">
        <f>ROUND(IF(G505=1,F505*10/23,IF(G505=3,F505-J505-K505,IF(G505=4,F505,IF(G505=5,F505*10/11,IF(G505=7,F505*10/11,0))))),0)</f>
        <v>0</v>
      </c>
      <c r="J505" s="765">
        <f>ROUND(IF(G505=1,F505/23,IF(G505=3,F505/12,IF(G505=5,F505-I505,IF(G505=8,F505,0)))),0)</f>
        <v>0</v>
      </c>
      <c r="K505" s="766">
        <f>ROUND(IF(G505=1,F505/23,IF(G505=3,F505/12,IF(G505=6,F505,IF(G505=7,F505-I505,0)))),0)</f>
        <v>0</v>
      </c>
      <c r="L505" s="767">
        <f>IF(G505=6,F505,0)</f>
        <v>0</v>
      </c>
      <c r="M505" s="421">
        <f>IF(F505="",0,MONTH(A505))</f>
        <v>12</v>
      </c>
      <c r="P505" s="768" t="inlineStr">
        <is>
          <t>昨年実績</t>
        </is>
      </c>
      <c r="Q505" s="769" t="str">
        <f>IF($F505="","",IFERROR(VLOOKUP($C505&amp;"|"&amp;$D505,科目表!$A$5:$B$200,2,FALSE),"※未登録"))</f>
        <v>通信運搬費</v>
      </c>
      <c r="R505" s="769">
        <f>IF($F505="","",$I505+$J505+$K505)</f>
        <v>0</v>
      </c>
      <c r="S505" s="769" t="str">
        <f>IF(OR($F505="",$P505="支払なし",$H505=0,$Q505=""),"",$Q505&amp;"|S|"&amp;(COUNTIF(S$4:S504,$Q505&amp;"|S|*")+1))</f>
        <v>通信運搬費|S|52</v>
      </c>
      <c r="T505" s="769" t="str">
        <f>IF(OR($F505="",$P505="支払なし",$R505=0,$Q505=""),"",$Q505&amp;"|L|"&amp;(COUNTIF(T$4:T504,$Q505&amp;"|L|*")+1))</f>
        <v/>
      </c>
      <c r="U505" s="769">
        <f>IF(OR($F505="",$A505=""),"",MOD(MONTH($A505)-4,12)+1)</f>
        <v>9</v>
      </c>
    </row>
    <row r="506" ht="16.5" customFormat="1" customHeight="1" s="43">
      <c r="A506" s="760" t="n">
        <v>46017</v>
      </c>
      <c r="B506" s="761" t="n"/>
      <c r="C506" s="762" t="inlineStr">
        <is>
          <t>事務費</t>
        </is>
      </c>
      <c r="D506" s="762" t="inlineStr">
        <is>
          <t>通信運搬費</t>
        </is>
      </c>
      <c r="E506" s="762" t="inlineStr">
        <is>
          <t>料金後納利用料（１１月分）</t>
        </is>
      </c>
      <c r="F506" s="772" t="n">
        <v>38815</v>
      </c>
      <c r="G506" s="772" t="n">
        <v>3</v>
      </c>
      <c r="H506" s="765">
        <f>IF(G506=1,F506-I506-J506-K506,IF(G506=2,F506,0))</f>
        <v>0</v>
      </c>
      <c r="I506" s="765">
        <f>ROUND(IF(G506=1,F506*10/23,IF(G506=3,F506-J506-K506,IF(G506=4,F506,IF(G506=5,F506*10/11,IF(G506=7,F506*10/11,0))))),0)</f>
        <v>32345</v>
      </c>
      <c r="J506" s="765">
        <f>ROUND(IF(G506=1,F506/23,IF(G506=3,F506/12,IF(G506=5,F506-I506,IF(G506=8,F506,0)))),0)</f>
        <v>3235</v>
      </c>
      <c r="K506" s="766">
        <f>ROUND(IF(G506=1,F506/23,IF(G506=3,F506/12,IF(G506=6,F506,IF(G506=7,F506-I506,0)))),0)</f>
        <v>3235</v>
      </c>
      <c r="L506" s="767">
        <f>IF(G506=6,F506,0)</f>
        <v>0</v>
      </c>
      <c r="M506" s="572">
        <f>IF(F506="",0,MONTH(A506))</f>
        <v>12</v>
      </c>
      <c r="P506" s="768" t="inlineStr">
        <is>
          <t>昨年実績</t>
        </is>
      </c>
      <c r="Q506" s="769" t="str">
        <f>IF($F506="","",IFERROR(VLOOKUP($C506&amp;"|"&amp;$D506,科目表!$A$5:$B$200,2,FALSE),"※未登録"))</f>
        <v>通信運搬費</v>
      </c>
      <c r="R506" s="769">
        <f>IF($F506="","",$I506+$J506+$K506)</f>
        <v>38815</v>
      </c>
      <c r="S506" s="769" t="str">
        <f>IF(OR($F506="",$P506="支払なし",$H506=0,$Q506=""),"",$Q506&amp;"|S|"&amp;(COUNTIF(S$4:S505,$Q506&amp;"|S|*")+1))</f>
        <v/>
      </c>
      <c r="T506" s="769" t="str">
        <f>IF(OR($F506="",$P506="支払なし",$R506=0,$Q506=""),"",$Q506&amp;"|L|"&amp;(COUNTIF(T$4:T505,$Q506&amp;"|L|*")+1))</f>
        <v>通信運搬費|L|20</v>
      </c>
      <c r="U506" s="769">
        <f>IF(OR($F506="",$A506=""),"",MOD(MONTH($A506)-4,12)+1)</f>
        <v>9</v>
      </c>
    </row>
    <row r="507" ht="16.5" customFormat="1" customHeight="1" s="43">
      <c r="A507" s="760" t="n">
        <v>46017</v>
      </c>
      <c r="B507" s="761" t="n"/>
      <c r="C507" s="762" t="inlineStr">
        <is>
          <t>事務費</t>
        </is>
      </c>
      <c r="D507" s="762" t="inlineStr">
        <is>
          <t>通信運搬費</t>
        </is>
      </c>
      <c r="E507" s="762" t="inlineStr">
        <is>
          <t>料金後納利用料（１１月分）</t>
        </is>
      </c>
      <c r="F507" s="772" t="n">
        <v>34670</v>
      </c>
      <c r="G507" s="772" t="n">
        <v>2</v>
      </c>
      <c r="H507" s="765">
        <f>IF(G507=1,F507-I507-J507-K507,IF(G507=2,F507,0))</f>
        <v>34670</v>
      </c>
      <c r="I507" s="765">
        <f>ROUND(IF(G507=1,F507*10/23,IF(G507=3,F507-J507-K507,IF(G507=4,F507,IF(G507=5,F507*10/11,IF(G507=7,F507*10/11,0))))),0)</f>
        <v>0</v>
      </c>
      <c r="J507" s="765">
        <f>ROUND(IF(G507=1,F507/23,IF(G507=3,F507/12,IF(G507=5,F507-I507,IF(G507=8,F507,0)))),0)</f>
        <v>0</v>
      </c>
      <c r="K507" s="766">
        <f>ROUND(IF(G507=1,F507/23,IF(G507=3,F507/12,IF(G507=6,F507,IF(G507=7,F507-I507,0)))),0)</f>
        <v>0</v>
      </c>
      <c r="L507" s="767">
        <f>IF(G507=6,F507,0)</f>
        <v>0</v>
      </c>
      <c r="M507" s="572">
        <f>IF(F507="",0,MONTH(A507))</f>
        <v>12</v>
      </c>
      <c r="P507" s="768" t="inlineStr">
        <is>
          <t>昨年実績</t>
        </is>
      </c>
      <c r="Q507" s="769" t="str">
        <f>IF($F507="","",IFERROR(VLOOKUP($C507&amp;"|"&amp;$D507,科目表!$A$5:$B$200,2,FALSE),"※未登録"))</f>
        <v>通信運搬費</v>
      </c>
      <c r="R507" s="769">
        <f>IF($F507="","",$I507+$J507+$K507)</f>
        <v>0</v>
      </c>
      <c r="S507" s="769" t="str">
        <f>IF(OR($F507="",$P507="支払なし",$H507=0,$Q507=""),"",$Q507&amp;"|S|"&amp;(COUNTIF(S$4:S506,$Q507&amp;"|S|*")+1))</f>
        <v>通信運搬費|S|53</v>
      </c>
      <c r="T507" s="769" t="str">
        <f>IF(OR($F507="",$P507="支払なし",$R507=0,$Q507=""),"",$Q507&amp;"|L|"&amp;(COUNTIF(T$4:T506,$Q507&amp;"|L|*")+1))</f>
        <v/>
      </c>
      <c r="U507" s="769">
        <f>IF(OR($F507="",$A507=""),"",MOD(MONTH($A507)-4,12)+1)</f>
        <v>9</v>
      </c>
    </row>
    <row r="508" ht="16.5" customFormat="1" customHeight="1" s="43">
      <c r="A508" s="760" t="n">
        <v>46017</v>
      </c>
      <c r="B508" s="761" t="n"/>
      <c r="C508" s="762" t="inlineStr">
        <is>
          <t>事務費</t>
        </is>
      </c>
      <c r="D508" s="762" t="inlineStr">
        <is>
          <t>図書印刷費</t>
        </is>
      </c>
      <c r="E508" s="777" t="inlineStr">
        <is>
          <t>広報誌等配布用窓付封筒　１２，２００枚</t>
        </is>
      </c>
      <c r="F508" s="782" t="n">
        <v>37039</v>
      </c>
      <c r="G508" s="772" t="n">
        <v>3</v>
      </c>
      <c r="H508" s="765">
        <f>IF(G508=1,F508-I508-J508-K508,IF(G508=2,F508,0))</f>
        <v>0</v>
      </c>
      <c r="I508" s="765">
        <f>ROUND(IF(G508=1,F508*10/23,IF(G508=3,F508-J508-K508,IF(G508=4,F508,IF(G508=5,F508*10/11,IF(G508=7,F508*10/11,0))))),0)</f>
        <v>30865</v>
      </c>
      <c r="J508" s="765">
        <f>ROUND(IF(G508=1,F508/23,IF(G508=3,F508/12,IF(G508=5,F508-I508,IF(G508=8,F508,0)))),0)</f>
        <v>3087</v>
      </c>
      <c r="K508" s="766">
        <f>ROUND(IF(G508=1,F508/23,IF(G508=3,F508/12,IF(G508=6,F508,IF(G508=7,F508-I508,0)))),0)</f>
        <v>3087</v>
      </c>
      <c r="L508" s="767">
        <f>IF(G508=6,F508,0)</f>
        <v>0</v>
      </c>
      <c r="M508" s="572">
        <f>IF(F508="",0,MONTH(A508))</f>
        <v>12</v>
      </c>
      <c r="P508" s="768" t="inlineStr">
        <is>
          <t>昨年実績</t>
        </is>
      </c>
      <c r="Q508" s="769" t="str">
        <f>IF($F508="","",IFERROR(VLOOKUP($C508&amp;"|"&amp;$D508,科目表!$A$5:$B$200,2,FALSE),"※未登録"))</f>
        <v>図書印刷費</v>
      </c>
      <c r="R508" s="769">
        <f>IF($F508="","",$I508+$J508+$K508)</f>
        <v>37039</v>
      </c>
      <c r="S508" s="769" t="str">
        <f>IF(OR($F508="",$P508="支払なし",$H508=0,$Q508=""),"",$Q508&amp;"|S|"&amp;(COUNTIF(S$4:S507,$Q508&amp;"|S|*")+1))</f>
        <v/>
      </c>
      <c r="T508" s="769" t="str">
        <f>IF(OR($F508="",$P508="支払なし",$R508=0,$Q508=""),"",$Q508&amp;"|L|"&amp;(COUNTIF(T$4:T507,$Q508&amp;"|L|*")+1))</f>
        <v>図書印刷費|L|16</v>
      </c>
      <c r="U508" s="769">
        <f>IF(OR($F508="",$A508=""),"",MOD(MONTH($A508)-4,12)+1)</f>
        <v>9</v>
      </c>
    </row>
    <row r="509" ht="16.5" customFormat="1" customHeight="1" s="43">
      <c r="A509" s="760" t="n">
        <v>46017</v>
      </c>
      <c r="B509" s="761" t="n"/>
      <c r="C509" s="762" t="inlineStr">
        <is>
          <t>事務費</t>
        </is>
      </c>
      <c r="D509" s="762" t="inlineStr">
        <is>
          <t>図書印刷費</t>
        </is>
      </c>
      <c r="E509" s="777" t="inlineStr">
        <is>
          <t>（保健医療係）短期給付決定通知書　３，０００部</t>
        </is>
      </c>
      <c r="F509" s="782" t="n">
        <v>132000</v>
      </c>
      <c r="G509" s="772" t="n">
        <v>2</v>
      </c>
      <c r="H509" s="765">
        <f>IF(G509=1,F509-I509-J509-K509,IF(G509=2,F509,0))</f>
        <v>132000</v>
      </c>
      <c r="I509" s="765">
        <f>ROUND(IF(G509=1,F509*10/23,IF(G509=3,F509-J509-K509,IF(G509=4,F509,IF(G509=5,F509*10/11,IF(G509=7,F509*10/11,0))))),0)</f>
        <v>0</v>
      </c>
      <c r="J509" s="765">
        <f>ROUND(IF(G509=1,F509/23,IF(G509=3,F509/12,IF(G509=5,F509-I509,IF(G509=8,F509,0)))),0)</f>
        <v>0</v>
      </c>
      <c r="K509" s="766">
        <f>ROUND(IF(G509=1,F509/23,IF(G509=3,F509/12,IF(G509=6,F509,IF(G509=7,F509-I509,0)))),0)</f>
        <v>0</v>
      </c>
      <c r="L509" s="767">
        <f>IF(G509=6,F509,0)</f>
        <v>0</v>
      </c>
      <c r="M509" s="572">
        <f>IF(F509="",0,MONTH(A509))</f>
        <v>12</v>
      </c>
      <c r="P509" s="768" t="inlineStr">
        <is>
          <t>昨年実績</t>
        </is>
      </c>
      <c r="Q509" s="769" t="str">
        <f>IF($F509="","",IFERROR(VLOOKUP($C509&amp;"|"&amp;$D509,科目表!$A$5:$B$200,2,FALSE),"※未登録"))</f>
        <v>図書印刷費</v>
      </c>
      <c r="R509" s="769">
        <f>IF($F509="","",$I509+$J509+$K509)</f>
        <v>0</v>
      </c>
      <c r="S509" s="769" t="str">
        <f>IF(OR($F509="",$P509="支払なし",$H509=0,$Q509=""),"",$Q509&amp;"|S|"&amp;(COUNTIF(S$4:S508,$Q509&amp;"|S|*")+1))</f>
        <v>図書印刷費|S|22</v>
      </c>
      <c r="T509" s="769" t="str">
        <f>IF(OR($F509="",$P509="支払なし",$R509=0,$Q509=""),"",$Q509&amp;"|L|"&amp;(COUNTIF(T$4:T508,$Q509&amp;"|L|*")+1))</f>
        <v/>
      </c>
      <c r="U509" s="769">
        <f>IF(OR($F509="",$A509=""),"",MOD(MONTH($A509)-4,12)+1)</f>
        <v>9</v>
      </c>
    </row>
    <row r="510" ht="16.5" customFormat="1" customHeight="1" s="422">
      <c r="A510" s="760" t="n">
        <v>45653</v>
      </c>
      <c r="B510" s="761" t="n"/>
      <c r="C510" s="762" t="inlineStr">
        <is>
          <t>委託費</t>
        </is>
      </c>
      <c r="D510" s="762" t="n"/>
      <c r="E510" s="762" t="inlineStr">
        <is>
          <t>柔整等療養費支給申請書の入力（１１月分）</t>
        </is>
      </c>
      <c r="F510" s="772" t="n">
        <v>153308</v>
      </c>
      <c r="G510" s="764" t="n">
        <v>2</v>
      </c>
      <c r="H510" s="765">
        <f>IF(G510=1,F510-I510-J510-K510,IF(G510=2,F510,0))</f>
        <v>153308</v>
      </c>
      <c r="I510" s="765">
        <f>ROUND(IF(G510=1,F510*10/23,IF(G510=3,F510-J510-K510,IF(G510=4,F510,IF(G510=5,F510*10/11,IF(G510=7,F510*10/11,0))))),0)</f>
        <v>0</v>
      </c>
      <c r="J510" s="765">
        <f>ROUND(IF(G510=1,F510/23,IF(G510=3,F510/12,IF(G510=5,F510-I510,IF(G510=8,F510,0)))),0)</f>
        <v>0</v>
      </c>
      <c r="K510" s="766">
        <f>ROUND(IF(G510=1,F510/23,IF(G510=3,F510/12,IF(G510=6,F510,IF(G510=7,F510-I510,0)))),0)</f>
        <v>0</v>
      </c>
      <c r="L510" s="767">
        <f>IF(G510=6,F510,0)</f>
        <v>0</v>
      </c>
      <c r="M510" s="421">
        <f>IF(F510="",0,MONTH(A510))</f>
        <v>12</v>
      </c>
      <c r="P510" s="768" t="inlineStr">
        <is>
          <t>昨年実績</t>
        </is>
      </c>
      <c r="Q510" s="769" t="str">
        <f>IF($F510="","",IFERROR(VLOOKUP($C510&amp;"|"&amp;$D510,科目表!$A$5:$B$200,2,FALSE),"※未登録"))</f>
        <v>委託費</v>
      </c>
      <c r="R510" s="769">
        <f>IF($F510="","",$I510+$J510+$K510)</f>
        <v>0</v>
      </c>
      <c r="S510" s="769" t="str">
        <f>IF(OR($F510="",$P510="支払なし",$H510=0,$Q510=""),"",$Q510&amp;"|S|"&amp;(COUNTIF(S$4:S509,$Q510&amp;"|S|*")+1))</f>
        <v>委託費|S|54</v>
      </c>
      <c r="T510" s="769" t="str">
        <f>IF(OR($F510="",$P510="支払なし",$R510=0,$Q510=""),"",$Q510&amp;"|L|"&amp;(COUNTIF(T$4:T509,$Q510&amp;"|L|*")+1))</f>
        <v/>
      </c>
      <c r="U510" s="769">
        <f>IF(OR($F510="",$A510=""),"",MOD(MONTH($A510)-4,12)+1)</f>
        <v>9</v>
      </c>
    </row>
    <row r="511" ht="16.5" customFormat="1" customHeight="1" s="43">
      <c r="A511" s="760" t="n">
        <v>46027</v>
      </c>
      <c r="B511" s="761" t="n"/>
      <c r="C511" s="762" t="inlineStr">
        <is>
          <t>負担金</t>
        </is>
      </c>
      <c r="D511" s="762" t="inlineStr">
        <is>
          <t>厚年負担金等</t>
        </is>
      </c>
      <c r="E511" s="775" t="inlineStr">
        <is>
          <t>１１月月例分（短期分）子ども子育て拠出金を含む</t>
        </is>
      </c>
      <c r="F511" s="764" t="n">
        <v>59913</v>
      </c>
      <c r="G511" s="764" t="n">
        <v>2</v>
      </c>
      <c r="H511" s="765">
        <f>IF(G511=1,F511-I511-J511-K511,IF(G511=2,F511,0))</f>
        <v>59913</v>
      </c>
      <c r="I511" s="765">
        <f>ROUND(IF(G511=1,F511*10/23,IF(G511=3,F511-J511-K511,IF(G511=4,F511,IF(G511=5,F511*10/11,IF(G511=7,F511*10/11,0))))),0)</f>
        <v>0</v>
      </c>
      <c r="J511" s="765">
        <f>ROUND(IF(G511=1,F511/23,IF(G511=3,F511/12,IF(G511=5,F511-I511,IF(G511=8,F511,0)))),0)</f>
        <v>0</v>
      </c>
      <c r="K511" s="766">
        <f>ROUND(IF(G511=1,F511/23,IF(G511=3,F511/12,IF(G511=6,F511,IF(G511=7,F511-I511,0)))),0)</f>
        <v>0</v>
      </c>
      <c r="L511" s="767">
        <f>IF(G511=6,F511,0)</f>
        <v>0</v>
      </c>
      <c r="M511" s="572">
        <f>IF(F511="",0,MONTH(A511))</f>
        <v>1</v>
      </c>
      <c r="P511" s="768" t="inlineStr">
        <is>
          <t>昨年実績</t>
        </is>
      </c>
      <c r="Q511" s="769" t="str">
        <f>IF($F511="","",IFERROR(VLOOKUP($C511&amp;"|"&amp;$D511,科目表!$A$5:$B$200,2,FALSE),"※未登録"))</f>
        <v>厚年負担金等</v>
      </c>
      <c r="R511" s="769">
        <f>IF($F511="","",$I511+$J511+$K511)</f>
        <v>0</v>
      </c>
      <c r="S511" s="769" t="str">
        <f>IF(OR($F511="",$P511="支払なし",$H511=0,$Q511=""),"",$Q511&amp;"|S|"&amp;(COUNTIF(S$4:S510,$Q511&amp;"|S|*")+1))</f>
        <v>厚年負担金等|S|8</v>
      </c>
      <c r="T511" s="769" t="str">
        <f>IF(OR($F511="",$P511="支払なし",$R511=0,$Q511=""),"",$Q511&amp;"|L|"&amp;(COUNTIF(T$4:T510,$Q511&amp;"|L|*")+1))</f>
        <v/>
      </c>
      <c r="U511" s="769">
        <f>IF(OR($F511="",$A511=""),"",MOD(MONTH($A511)-4,12)+1)</f>
        <v>10</v>
      </c>
    </row>
    <row r="512" ht="16.5" customFormat="1" customHeight="1" s="43">
      <c r="A512" s="760" t="n">
        <v>46027</v>
      </c>
      <c r="B512" s="761" t="n"/>
      <c r="C512" s="762" t="inlineStr">
        <is>
          <t>負担金</t>
        </is>
      </c>
      <c r="D512" s="762" t="inlineStr">
        <is>
          <t>厚年負担金等</t>
        </is>
      </c>
      <c r="E512" s="775" t="inlineStr">
        <is>
          <t>１１月月例分（長期分）子ども子育て拠出金を含む</t>
        </is>
      </c>
      <c r="F512" s="764" t="n">
        <v>37089</v>
      </c>
      <c r="G512" s="764" t="n">
        <v>3</v>
      </c>
      <c r="H512" s="765">
        <f>IF(G512=1,F512-I512-J512-K512,IF(G512=2,F512,0))</f>
        <v>0</v>
      </c>
      <c r="I512" s="765">
        <f>ROUND(IF(G512=1,F512*10/23,IF(G512=3,F512-J512-K512,IF(G512=4,F512,IF(G512=5,F512*10/11,IF(G512=7,F512*10/11,0))))),0)</f>
        <v>30907</v>
      </c>
      <c r="J512" s="765">
        <f>ROUND(IF(G512=1,F512/23,IF(G512=3,F512/12,IF(G512=5,F512-I512,IF(G512=8,F512,0)))),0)</f>
        <v>3091</v>
      </c>
      <c r="K512" s="766">
        <f>ROUND(IF(G512=1,F512/23,IF(G512=3,F512/12,IF(G512=6,F512,IF(G512=7,F512-I512,0)))),0)</f>
        <v>3091</v>
      </c>
      <c r="L512" s="767">
        <f>IF(G512=6,F512,0)</f>
        <v>0</v>
      </c>
      <c r="M512" s="572">
        <f>IF(F512="",0,MONTH(A512))</f>
        <v>1</v>
      </c>
      <c r="P512" s="768" t="inlineStr">
        <is>
          <t>昨年実績</t>
        </is>
      </c>
      <c r="Q512" s="769" t="str">
        <f>IF($F512="","",IFERROR(VLOOKUP($C512&amp;"|"&amp;$D512,科目表!$A$5:$B$200,2,FALSE),"※未登録"))</f>
        <v>厚年負担金等</v>
      </c>
      <c r="R512" s="769">
        <f>IF($F512="","",$I512+$J512+$K512)</f>
        <v>37089</v>
      </c>
      <c r="S512" s="769" t="str">
        <f>IF(OR($F512="",$P512="支払なし",$H512=0,$Q512=""),"",$Q512&amp;"|S|"&amp;(COUNTIF(S$4:S511,$Q512&amp;"|S|*")+1))</f>
        <v/>
      </c>
      <c r="T512" s="769" t="str">
        <f>IF(OR($F512="",$P512="支払なし",$R512=0,$Q512=""),"",$Q512&amp;"|L|"&amp;(COUNTIF(T$4:T511,$Q512&amp;"|L|*")+1))</f>
        <v>厚年負担金等|L|8</v>
      </c>
      <c r="U512" s="769">
        <f>IF(OR($F512="",$A512=""),"",MOD(MONTH($A512)-4,12)+1)</f>
        <v>10</v>
      </c>
    </row>
    <row r="513" ht="16.5" customFormat="1" customHeight="1" s="422">
      <c r="A513" s="760" t="n"/>
      <c r="B513" s="761" t="n"/>
      <c r="C513" s="762" t="n"/>
      <c r="D513" s="762" t="n"/>
      <c r="E513" s="775" t="n"/>
      <c r="F513" s="764" t="n"/>
      <c r="G513" s="764" t="n"/>
      <c r="H513" s="765">
        <f>IF(G513=1,F513-I513-J513-K513,IF(G513=2,F513,0))</f>
        <v>0</v>
      </c>
      <c r="I513" s="765">
        <f>ROUND(IF(G513=1,F513*10/23,IF(G513=3,F513-J513-K513,IF(G513=4,F513,IF(G513=5,F513*10/11,IF(G513=7,F513*10/11,0))))),0)</f>
        <v>0</v>
      </c>
      <c r="J513" s="765">
        <f>ROUND(IF(G513=1,F513/23,IF(G513=3,F513/12,IF(G513=5,F513-I513,IF(G513=8,F513,0)))),0)</f>
        <v>0</v>
      </c>
      <c r="K513" s="766">
        <f>ROUND(IF(G513=1,F513/23,IF(G513=3,F513/12,IF(G513=6,F513,IF(G513=7,F513-I513,0)))),0)</f>
        <v>0</v>
      </c>
      <c r="L513" s="767">
        <f>IF(G513=6,F513,0)</f>
        <v>0</v>
      </c>
      <c r="M513" s="421">
        <f>IF(F513="",0,MONTH(A513))</f>
        <v>0</v>
      </c>
      <c r="P513" s="768" t="n"/>
      <c r="Q513" s="769" t="str">
        <f>IF($F513="","",IFERROR(VLOOKUP($C513&amp;"|"&amp;$D513,科目表!$A$5:$B$200,2,FALSE),"※未登録"))</f>
        <v/>
      </c>
      <c r="R513" s="769" t="str">
        <f>IF($F513="","",$I513+$J513+$K513)</f>
        <v/>
      </c>
      <c r="S513" s="769" t="str">
        <f>IF(OR($F513="",$P513="支払なし",$H513=0,$Q513=""),"",$Q513&amp;"|S|"&amp;(COUNTIF(S$4:S512,$Q513&amp;"|S|*")+1))</f>
        <v/>
      </c>
      <c r="T513" s="769" t="str">
        <f>IF(OR($F513="",$P513="支払なし",$R513=0,$Q513=""),"",$Q513&amp;"|L|"&amp;(COUNTIF(T$4:T512,$Q513&amp;"|L|*")+1))</f>
        <v/>
      </c>
      <c r="U513" s="769" t="str">
        <f>IF(OR($F513="",$A513=""),"",MOD(MONTH($A513)-4,12)+1)</f>
        <v/>
      </c>
    </row>
    <row r="514" ht="16.5" customFormat="1" customHeight="1" s="422">
      <c r="A514" s="760" t="n"/>
      <c r="B514" s="761" t="n"/>
      <c r="C514" s="762" t="n"/>
      <c r="D514" s="762" t="n"/>
      <c r="E514" s="762" t="n"/>
      <c r="F514" s="772" t="n"/>
      <c r="G514" s="764" t="n"/>
      <c r="H514" s="765">
        <f>IF(G514=1,F514-I514-J514-K514,IF(G514=2,F514,0))</f>
        <v>0</v>
      </c>
      <c r="I514" s="765">
        <f>ROUND(IF(G514=1,F514*10/23,IF(G514=3,F514-J514-K514,IF(G514=4,F514,IF(G514=5,F514*10/11,IF(G514=7,F514*10/11,0))))),0)</f>
        <v>0</v>
      </c>
      <c r="J514" s="765">
        <f>ROUND(IF(G514=1,F514/23,IF(G514=3,F514/12,IF(G514=5,F514-I514,IF(G514=8,F514,0)))),0)</f>
        <v>0</v>
      </c>
      <c r="K514" s="766">
        <f>ROUND(IF(G514=1,F514/23,IF(G514=3,F514/12,IF(G514=6,F514,IF(G514=7,F514-I514,0)))),0)</f>
        <v>0</v>
      </c>
      <c r="L514" s="767">
        <f>IF(G514=6,F514,0)</f>
        <v>0</v>
      </c>
      <c r="M514" s="421">
        <f>IF(F514="",0,MONTH(A514))</f>
        <v>0</v>
      </c>
      <c r="P514" s="768" t="n"/>
      <c r="Q514" s="769" t="str">
        <f>IF($F514="","",IFERROR(VLOOKUP($C514&amp;"|"&amp;$D514,科目表!$A$5:$B$200,2,FALSE),"※未登録"))</f>
        <v/>
      </c>
      <c r="R514" s="769" t="str">
        <f>IF($F514="","",$I514+$J514+$K514)</f>
        <v/>
      </c>
      <c r="S514" s="769" t="str">
        <f>IF(OR($F514="",$P514="支払なし",$H514=0,$Q514=""),"",$Q514&amp;"|S|"&amp;(COUNTIF(S$4:S513,$Q514&amp;"|S|*")+1))</f>
        <v/>
      </c>
      <c r="T514" s="769" t="str">
        <f>IF(OR($F514="",$P514="支払なし",$R514=0,$Q514=""),"",$Q514&amp;"|L|"&amp;(COUNTIF(T$4:T513,$Q514&amp;"|L|*")+1))</f>
        <v/>
      </c>
      <c r="U514" s="769" t="str">
        <f>IF(OR($F514="",$A514=""),"",MOD(MONTH($A514)-4,12)+1)</f>
        <v/>
      </c>
    </row>
    <row r="515" ht="16.5" customFormat="1" customHeight="1" s="422">
      <c r="A515" s="760" t="n"/>
      <c r="B515" s="761" t="n"/>
      <c r="C515" s="762" t="n"/>
      <c r="D515" s="762" t="n"/>
      <c r="E515" s="775" t="n"/>
      <c r="F515" s="764" t="n"/>
      <c r="G515" s="764" t="n"/>
      <c r="H515" s="765">
        <f>IF(G515=1,F515-I515-J515-K515,IF(G515=2,F515,0))</f>
        <v>0</v>
      </c>
      <c r="I515" s="765">
        <f>ROUND(IF(G515=1,F515*10/23,IF(G515=3,F515-J515-K515,IF(G515=4,F515,IF(G515=5,F515*10/11,IF(G515=7,F515*10/11,0))))),0)</f>
        <v>0</v>
      </c>
      <c r="J515" s="765">
        <f>ROUND(IF(G515=1,F515/23,IF(G515=3,F515/12,IF(G515=5,F515-I515,IF(G515=8,F515,0)))),0)</f>
        <v>0</v>
      </c>
      <c r="K515" s="766">
        <f>ROUND(IF(G515=1,F515/23,IF(G515=3,F515/12,IF(G515=6,F515,IF(G515=7,F515-I515,0)))),0)</f>
        <v>0</v>
      </c>
      <c r="L515" s="767">
        <f>IF(G515=6,F515,0)</f>
        <v>0</v>
      </c>
      <c r="M515" s="421">
        <f>IF(F515="",0,MONTH(A515))</f>
        <v>0</v>
      </c>
      <c r="P515" s="768" t="n"/>
      <c r="Q515" s="769" t="str">
        <f>IF($F515="","",IFERROR(VLOOKUP($C515&amp;"|"&amp;$D515,科目表!$A$5:$B$200,2,FALSE),"※未登録"))</f>
        <v/>
      </c>
      <c r="R515" s="769" t="str">
        <f>IF($F515="","",$I515+$J515+$K515)</f>
        <v/>
      </c>
      <c r="S515" s="769" t="str">
        <f>IF(OR($F515="",$P515="支払なし",$H515=0,$Q515=""),"",$Q515&amp;"|S|"&amp;(COUNTIF(S$4:S514,$Q515&amp;"|S|*")+1))</f>
        <v/>
      </c>
      <c r="T515" s="769" t="str">
        <f>IF(OR($F515="",$P515="支払なし",$R515=0,$Q515=""),"",$Q515&amp;"|L|"&amp;(COUNTIF(T$4:T514,$Q515&amp;"|L|*")+1))</f>
        <v/>
      </c>
      <c r="U515" s="769" t="str">
        <f>IF(OR($F515="",$A515=""),"",MOD(MONTH($A515)-4,12)+1)</f>
        <v/>
      </c>
    </row>
    <row r="516" ht="16.5" customFormat="1" customHeight="1" s="43">
      <c r="A516" s="760" t="n">
        <v>46027</v>
      </c>
      <c r="B516" s="761" t="n"/>
      <c r="C516" s="762" t="inlineStr">
        <is>
          <t>事務費</t>
        </is>
      </c>
      <c r="D516" s="762" t="inlineStr">
        <is>
          <t>通信運搬費</t>
        </is>
      </c>
      <c r="E516" s="763" t="inlineStr">
        <is>
          <t>フレッツ光ネクスト利用料等（11月利用・12月請求分）</t>
        </is>
      </c>
      <c r="F516" s="772" t="n">
        <v>13090</v>
      </c>
      <c r="G516" s="772" t="n">
        <v>2</v>
      </c>
      <c r="H516" s="765">
        <f>IF(G516=1,F516-I516-J516-K516,IF(G516=2,F516,0))</f>
        <v>13090</v>
      </c>
      <c r="I516" s="765">
        <f>ROUND(IF(G516=1,F516*10/23,IF(G516=3,F516-J516-K516,IF(G516=4,F516,IF(G516=5,F516*10/11,IF(G516=7,F516*10/11,0))))),0)</f>
        <v>0</v>
      </c>
      <c r="J516" s="765">
        <f>ROUND(IF(G516=1,F516/23,IF(G516=3,F516/12,IF(G516=5,F516-I516,IF(G516=8,F516,0)))),0)</f>
        <v>0</v>
      </c>
      <c r="K516" s="766">
        <f>ROUND(IF(G516=1,F516/23,IF(G516=3,F516/12,IF(G516=6,F516,IF(G516=7,F516-I516,0)))),0)</f>
        <v>0</v>
      </c>
      <c r="L516" s="767">
        <f>IF(G516=6,F516,0)</f>
        <v>0</v>
      </c>
      <c r="M516" s="572">
        <f>IF(F516="",0,MONTH(A516))</f>
        <v>1</v>
      </c>
      <c r="P516" s="768" t="inlineStr">
        <is>
          <t>昨年実績</t>
        </is>
      </c>
      <c r="Q516" s="769" t="str">
        <f>IF($F516="","",IFERROR(VLOOKUP($C516&amp;"|"&amp;$D516,科目表!$A$5:$B$200,2,FALSE),"※未登録"))</f>
        <v>通信運搬費</v>
      </c>
      <c r="R516" s="769">
        <f>IF($F516="","",$I516+$J516+$K516)</f>
        <v>0</v>
      </c>
      <c r="S516" s="769" t="str">
        <f>IF(OR($F516="",$P516="支払なし",$H516=0,$Q516=""),"",$Q516&amp;"|S|"&amp;(COUNTIF(S$4:S515,$Q516&amp;"|S|*")+1))</f>
        <v>通信運搬費|S|54</v>
      </c>
      <c r="T516" s="769" t="str">
        <f>IF(OR($F516="",$P516="支払なし",$R516=0,$Q516=""),"",$Q516&amp;"|L|"&amp;(COUNTIF(T$4:T515,$Q516&amp;"|L|*")+1))</f>
        <v/>
      </c>
      <c r="U516" s="769">
        <f>IF(OR($F516="",$A516=""),"",MOD(MONTH($A516)-4,12)+1)</f>
        <v>10</v>
      </c>
    </row>
    <row r="517" ht="16.5" customFormat="1" customHeight="1" s="43">
      <c r="A517" s="760" t="n">
        <v>46035</v>
      </c>
      <c r="B517" s="761" t="n"/>
      <c r="C517" s="762" t="inlineStr">
        <is>
          <t>事務費</t>
        </is>
      </c>
      <c r="D517" s="762" t="inlineStr">
        <is>
          <t>送金料</t>
        </is>
      </c>
      <c r="E517" s="775" t="inlineStr">
        <is>
          <t>振込手数料（広銀）１２月分　長期分</t>
        </is>
      </c>
      <c r="F517" s="764" t="n">
        <v>16224</v>
      </c>
      <c r="G517" s="764" t="n">
        <v>3</v>
      </c>
      <c r="H517" s="765">
        <f>IF(G517=1,F517-I517-J517-K517,IF(G517=2,F517,0))</f>
        <v>0</v>
      </c>
      <c r="I517" s="765">
        <f>ROUND(IF(G517=1,F517*10/23,IF(G517=3,F517-J517-K517,IF(G517=4,F517,IF(G517=5,F517*10/11,IF(G517=7,F517*10/11,0))))),0)</f>
        <v>13520</v>
      </c>
      <c r="J517" s="765">
        <f>ROUND(IF(G517=1,F517/23,IF(G517=3,F517/12,IF(G517=5,F517-I517,IF(G517=8,F517,0)))),0)</f>
        <v>1352</v>
      </c>
      <c r="K517" s="766">
        <f>ROUND(IF(G517=1,F517/23,IF(G517=3,F517/12,IF(G517=6,F517,IF(G517=7,F517-I517,0)))),0)</f>
        <v>1352</v>
      </c>
      <c r="L517" s="767">
        <f>IF(G517=6,F517,0)</f>
        <v>0</v>
      </c>
      <c r="M517" s="572">
        <f>IF(F517="",0,MONTH(A517))</f>
        <v>1</v>
      </c>
      <c r="P517" s="768" t="inlineStr">
        <is>
          <t>昨年実績</t>
        </is>
      </c>
      <c r="Q517" s="769" t="str">
        <f>IF($F517="","",IFERROR(VLOOKUP($C517&amp;"|"&amp;$D517,科目表!$A$5:$B$200,2,FALSE),"※未登録"))</f>
        <v>送金料</v>
      </c>
      <c r="R517" s="769">
        <f>IF($F517="","",$I517+$J517+$K517)</f>
        <v>16224</v>
      </c>
      <c r="S517" s="769" t="str">
        <f>IF(OR($F517="",$P517="支払なし",$H517=0,$Q517=""),"",$Q517&amp;"|S|"&amp;(COUNTIF(S$4:S516,$Q517&amp;"|S|*")+1))</f>
        <v/>
      </c>
      <c r="T517" s="769" t="str">
        <f>IF(OR($F517="",$P517="支払なし",$R517=0,$Q517=""),"",$Q517&amp;"|L|"&amp;(COUNTIF(T$4:T516,$Q517&amp;"|L|*")+1))</f>
        <v>送金料|L|11</v>
      </c>
      <c r="U517" s="769">
        <f>IF(OR($F517="",$A517=""),"",MOD(MONTH($A517)-4,12)+1)</f>
        <v>10</v>
      </c>
    </row>
    <row r="518" ht="16.5" customFormat="1" customHeight="1" s="43">
      <c r="A518" s="760" t="n">
        <v>46035</v>
      </c>
      <c r="B518" s="761" t="n"/>
      <c r="C518" s="762" t="inlineStr">
        <is>
          <t>事務費</t>
        </is>
      </c>
      <c r="D518" s="762" t="inlineStr">
        <is>
          <t>送金料</t>
        </is>
      </c>
      <c r="E518" s="775" t="inlineStr">
        <is>
          <t>振込手数料（広銀）１２月分　短期分</t>
        </is>
      </c>
      <c r="F518" s="764" t="n">
        <v>145568</v>
      </c>
      <c r="G518" s="764" t="n">
        <v>2</v>
      </c>
      <c r="H518" s="765">
        <f>IF(G518=1,F518-I518-J518-K518,IF(G518=2,F518,0))</f>
        <v>145568</v>
      </c>
      <c r="I518" s="765">
        <f>ROUND(IF(G518=1,F518*10/23,IF(G518=3,F518-J518-K518,IF(G518=4,F518,IF(G518=5,F518*10/11,IF(G518=7,F518*10/11,0))))),0)</f>
        <v>0</v>
      </c>
      <c r="J518" s="765">
        <f>ROUND(IF(G518=1,F518/23,IF(G518=3,F518/12,IF(G518=5,F518-I518,IF(G518=8,F518,0)))),0)</f>
        <v>0</v>
      </c>
      <c r="K518" s="766">
        <f>ROUND(IF(G518=1,F518/23,IF(G518=3,F518/12,IF(G518=6,F518,IF(G518=7,F518-I518,0)))),0)</f>
        <v>0</v>
      </c>
      <c r="L518" s="767">
        <f>IF(G518=6,F518,0)</f>
        <v>0</v>
      </c>
      <c r="M518" s="572">
        <f>IF(F518="",0,MONTH(A518))</f>
        <v>1</v>
      </c>
      <c r="P518" s="768" t="inlineStr">
        <is>
          <t>昨年実績</t>
        </is>
      </c>
      <c r="Q518" s="769" t="str">
        <f>IF($F518="","",IFERROR(VLOOKUP($C518&amp;"|"&amp;$D518,科目表!$A$5:$B$200,2,FALSE),"※未登録"))</f>
        <v>送金料</v>
      </c>
      <c r="R518" s="769">
        <f>IF($F518="","",$I518+$J518+$K518)</f>
        <v>0</v>
      </c>
      <c r="S518" s="769" t="str">
        <f>IF(OR($F518="",$P518="支払なし",$H518=0,$Q518=""),"",$Q518&amp;"|S|"&amp;(COUNTIF(S$4:S517,$Q518&amp;"|S|*")+1))</f>
        <v>送金料|S|17</v>
      </c>
      <c r="T518" s="769" t="str">
        <f>IF(OR($F518="",$P518="支払なし",$R518=0,$Q518=""),"",$Q518&amp;"|L|"&amp;(COUNTIF(T$4:T517,$Q518&amp;"|L|*")+1))</f>
        <v/>
      </c>
      <c r="U518" s="769">
        <f>IF(OR($F518="",$A518=""),"",MOD(MONTH($A518)-4,12)+1)</f>
        <v>10</v>
      </c>
    </row>
    <row r="519" ht="16.5" customFormat="1" customHeight="1" s="422">
      <c r="A519" s="760" t="n">
        <v>45301</v>
      </c>
      <c r="B519" s="761" t="n"/>
      <c r="C519" s="762" t="inlineStr">
        <is>
          <t>事務費</t>
        </is>
      </c>
      <c r="D519" s="762" t="inlineStr">
        <is>
          <t>送金料</t>
        </is>
      </c>
      <c r="E519" s="773" t="inlineStr">
        <is>
          <t>ゆうちょ銀行手数料（12月分）短期</t>
        </is>
      </c>
      <c r="F519" s="764" t="n">
        <v>10590</v>
      </c>
      <c r="G519" s="764" t="n">
        <v>2</v>
      </c>
      <c r="H519" s="765">
        <f>IF(G519=1,F519-I519-J519-K519,IF(G519=2,F519,0))</f>
        <v>10590</v>
      </c>
      <c r="I519" s="765">
        <f>ROUND(IF(G519=1,F519*10/23,IF(G519=3,F519-J519-K519,IF(G519=4,F519,IF(G519=5,F519*10/11,IF(G519=7,F519*10/11,0))))),0)</f>
        <v>0</v>
      </c>
      <c r="J519" s="765">
        <f>ROUND(IF(G519=1,F519/23,IF(G519=3,F519/12,IF(G519=5,F519-I519,IF(G519=8,F519,0)))),0)</f>
        <v>0</v>
      </c>
      <c r="K519" s="766">
        <f>ROUND(IF(G519=1,F519/23,IF(G519=3,F519/12,IF(G519=6,F519,IF(G519=7,F519-I519,0)))),0)</f>
        <v>0</v>
      </c>
      <c r="L519" s="767">
        <f>IF(G519=6,F519,0)</f>
        <v>0</v>
      </c>
      <c r="M519" s="421">
        <f>IF(F519="",0,MONTH(A519))</f>
        <v>1</v>
      </c>
      <c r="P519" s="768" t="inlineStr">
        <is>
          <t>昨年実績</t>
        </is>
      </c>
      <c r="Q519" s="769" t="str">
        <f>IF($F519="","",IFERROR(VLOOKUP($C519&amp;"|"&amp;$D519,科目表!$A$5:$B$200,2,FALSE),"※未登録"))</f>
        <v>送金料</v>
      </c>
      <c r="R519" s="769">
        <f>IF($F519="","",$I519+$J519+$K519)</f>
        <v>0</v>
      </c>
      <c r="S519" s="769" t="str">
        <f>IF(OR($F519="",$P519="支払なし",$H519=0,$Q519=""),"",$Q519&amp;"|S|"&amp;(COUNTIF(S$4:S518,$Q519&amp;"|S|*")+1))</f>
        <v>送金料|S|18</v>
      </c>
      <c r="T519" s="769" t="str">
        <f>IF(OR($F519="",$P519="支払なし",$R519=0,$Q519=""),"",$Q519&amp;"|L|"&amp;(COUNTIF(T$4:T518,$Q519&amp;"|L|*")+1))</f>
        <v/>
      </c>
      <c r="U519" s="769">
        <f>IF(OR($F519="",$A519=""),"",MOD(MONTH($A519)-4,12)+1)</f>
        <v>10</v>
      </c>
    </row>
    <row r="520" ht="16.5" customFormat="1" customHeight="1" s="43">
      <c r="A520" s="760" t="n">
        <v>46037</v>
      </c>
      <c r="B520" s="761" t="n"/>
      <c r="C520" s="762" t="inlineStr">
        <is>
          <t>事務費</t>
        </is>
      </c>
      <c r="D520" s="762" t="inlineStr">
        <is>
          <t>図書印刷費</t>
        </is>
      </c>
      <c r="E520" s="799" t="inlineStr">
        <is>
          <t>地方公務員共済組合関係法令実例判例集追録1164-1170号</t>
        </is>
      </c>
      <c r="F520" s="764" t="n">
        <v>22050</v>
      </c>
      <c r="G520" s="764" t="n">
        <v>3</v>
      </c>
      <c r="H520" s="765">
        <f>IF(G520=1,F520-I520-J520-K520,IF(G520=2,F520,0))</f>
        <v>0</v>
      </c>
      <c r="I520" s="765">
        <f>ROUND(IF(G520=1,F520*10/23,IF(G520=3,F520-J520-K520,IF(G520=4,F520,IF(G520=5,F520*10/11,IF(G520=7,F520*10/11,0))))),0)</f>
        <v>18374</v>
      </c>
      <c r="J520" s="765">
        <f>ROUND(IF(G520=1,F520/23,IF(G520=3,F520/12,IF(G520=5,F520-I520,IF(G520=8,F520,0)))),0)</f>
        <v>1838</v>
      </c>
      <c r="K520" s="766">
        <f>ROUND(IF(G520=1,F520/23,IF(G520=3,F520/12,IF(G520=6,F520,IF(G520=7,F520-I520,0)))),0)</f>
        <v>1838</v>
      </c>
      <c r="L520" s="767">
        <f>IF(G520=6,F520,0)</f>
        <v>0</v>
      </c>
      <c r="M520" s="572">
        <f>IF(F520="",0,MONTH(A520))</f>
        <v>1</v>
      </c>
      <c r="P520" s="768" t="inlineStr">
        <is>
          <t>昨年実績</t>
        </is>
      </c>
      <c r="Q520" s="769" t="str">
        <f>IF($F520="","",IFERROR(VLOOKUP($C520&amp;"|"&amp;$D520,科目表!$A$5:$B$200,2,FALSE),"※未登録"))</f>
        <v>図書印刷費</v>
      </c>
      <c r="R520" s="769">
        <f>IF($F520="","",$I520+$J520+$K520)</f>
        <v>22050</v>
      </c>
      <c r="S520" s="769" t="str">
        <f>IF(OR($F520="",$P520="支払なし",$H520=0,$Q520=""),"",$Q520&amp;"|S|"&amp;(COUNTIF(S$4:S519,$Q520&amp;"|S|*")+1))</f>
        <v/>
      </c>
      <c r="T520" s="769" t="str">
        <f>IF(OR($F520="",$P520="支払なし",$R520=0,$Q520=""),"",$Q520&amp;"|L|"&amp;(COUNTIF(T$4:T519,$Q520&amp;"|L|*")+1))</f>
        <v>図書印刷費|L|17</v>
      </c>
      <c r="U520" s="769">
        <f>IF(OR($F520="",$A520=""),"",MOD(MONTH($A520)-4,12)+1)</f>
        <v>10</v>
      </c>
    </row>
    <row r="521" ht="16.5" customFormat="1" customHeight="1" s="422">
      <c r="A521" s="760" t="n">
        <v>45653</v>
      </c>
      <c r="B521" s="761" t="n"/>
      <c r="C521" s="762" t="inlineStr">
        <is>
          <t>事務費</t>
        </is>
      </c>
      <c r="D521" s="762" t="inlineStr">
        <is>
          <t>図書印刷費</t>
        </is>
      </c>
      <c r="E521" s="773" t="inlineStr">
        <is>
          <t>国家公務員等共済組合関係法令要覧追録504-514号</t>
        </is>
      </c>
      <c r="F521" s="764" t="n">
        <v>44000</v>
      </c>
      <c r="G521" s="764" t="n">
        <v>3</v>
      </c>
      <c r="H521" s="765">
        <f>IF(G521=1,F521-I521-J521-K521,IF(G521=2,F521,0))</f>
        <v>0</v>
      </c>
      <c r="I521" s="765">
        <f>ROUND(IF(G521=1,F521*10/23,IF(G521=3,F521-J521-K521,IF(G521=4,F521,IF(G521=5,F521*10/11,IF(G521=7,F521*10/11,0))))),0)</f>
        <v>36666</v>
      </c>
      <c r="J521" s="765">
        <f>ROUND(IF(G521=1,F521/23,IF(G521=3,F521/12,IF(G521=5,F521-I521,IF(G521=8,F521,0)))),0)</f>
        <v>3667</v>
      </c>
      <c r="K521" s="766">
        <f>ROUND(IF(G521=1,F521/23,IF(G521=3,F521/12,IF(G521=6,F521,IF(G521=7,F521-I521,0)))),0)</f>
        <v>3667</v>
      </c>
      <c r="L521" s="767">
        <f>IF(G521=6,F521,0)</f>
        <v>0</v>
      </c>
      <c r="M521" s="421">
        <f>IF(F521="",0,MONTH(A521))</f>
        <v>12</v>
      </c>
      <c r="P521" s="768" t="inlineStr">
        <is>
          <t>昨年実績</t>
        </is>
      </c>
      <c r="Q521" s="769" t="str">
        <f>IF($F521="","",IFERROR(VLOOKUP($C521&amp;"|"&amp;$D521,科目表!$A$5:$B$200,2,FALSE),"※未登録"))</f>
        <v>図書印刷費</v>
      </c>
      <c r="R521" s="769">
        <f>IF($F521="","",$I521+$J521+$K521)</f>
        <v>44000</v>
      </c>
      <c r="S521" s="769" t="str">
        <f>IF(OR($F521="",$P521="支払なし",$H521=0,$Q521=""),"",$Q521&amp;"|S|"&amp;(COUNTIF(S$4:S520,$Q521&amp;"|S|*")+1))</f>
        <v/>
      </c>
      <c r="T521" s="769" t="str">
        <f>IF(OR($F521="",$P521="支払なし",$R521=0,$Q521=""),"",$Q521&amp;"|L|"&amp;(COUNTIF(T$4:T520,$Q521&amp;"|L|*")+1))</f>
        <v>図書印刷費|L|18</v>
      </c>
      <c r="U521" s="769">
        <f>IF(OR($F521="",$A521=""),"",MOD(MONTH($A521)-4,12)+1)</f>
        <v>9</v>
      </c>
    </row>
    <row r="522" ht="16.5" customFormat="1" customHeight="1" s="422">
      <c r="A522" s="760" t="n">
        <v>45653</v>
      </c>
      <c r="B522" s="761" t="n"/>
      <c r="C522" s="762" t="inlineStr">
        <is>
          <t>賃借料</t>
        </is>
      </c>
      <c r="D522" s="762" t="n"/>
      <c r="E522" s="775" t="inlineStr">
        <is>
          <t>基幹システム用機器賃借料　１１月分（長期）</t>
        </is>
      </c>
      <c r="F522" s="764" t="n">
        <v>69613</v>
      </c>
      <c r="G522" s="764" t="n">
        <v>3</v>
      </c>
      <c r="H522" s="765">
        <f>IF(G522=1,F522-I522-J522-K522,IF(G522=2,F522,0))</f>
        <v>0</v>
      </c>
      <c r="I522" s="765">
        <f>ROUND(IF(G522=1,F522*10/23,IF(G522=3,F522-J522-K522,IF(G522=4,F522,IF(G522=5,F522*10/11,IF(G522=7,F522*10/11,0))))),0)</f>
        <v>58011</v>
      </c>
      <c r="J522" s="765">
        <f>ROUND(IF(G522=1,F522/23,IF(G522=3,F522/12,IF(G522=5,F522-I522,IF(G522=8,F522,0)))),0)</f>
        <v>5801</v>
      </c>
      <c r="K522" s="766">
        <f>ROUND(IF(G522=1,F522/23,IF(G522=3,F522/12,IF(G522=6,F522,IF(G522=7,F522-I522,0)))),0)</f>
        <v>5801</v>
      </c>
      <c r="L522" s="767">
        <f>IF(G522=6,F522,0)</f>
        <v>0</v>
      </c>
      <c r="M522" s="421">
        <f>IF(F522="",0,MONTH(A522))</f>
        <v>12</v>
      </c>
      <c r="P522" s="768" t="inlineStr">
        <is>
          <t>昨年実績</t>
        </is>
      </c>
      <c r="Q522" s="769" t="str">
        <f>IF($F522="","",IFERROR(VLOOKUP($C522&amp;"|"&amp;$D522,科目表!$A$5:$B$200,2,FALSE),"※未登録"))</f>
        <v>賃借料</v>
      </c>
      <c r="R522" s="769">
        <f>IF($F522="","",$I522+$J522+$K522)</f>
        <v>69613</v>
      </c>
      <c r="S522" s="769" t="str">
        <f>IF(OR($F522="",$P522="支払なし",$H522=0,$Q522=""),"",$Q522&amp;"|S|"&amp;(COUNTIF(S$4:S521,$Q522&amp;"|S|*")+1))</f>
        <v/>
      </c>
      <c r="T522" s="769" t="str">
        <f>IF(OR($F522="",$P522="支払なし",$R522=0,$Q522=""),"",$Q522&amp;"|L|"&amp;(COUNTIF(T$4:T521,$Q522&amp;"|L|*")+1))</f>
        <v>賃借料|L|17</v>
      </c>
      <c r="U522" s="769">
        <f>IF(OR($F522="",$A522=""),"",MOD(MONTH($A522)-4,12)+1)</f>
        <v>9</v>
      </c>
    </row>
    <row r="523" ht="16.5" customFormat="1" customHeight="1" s="422">
      <c r="A523" s="760" t="n">
        <v>45653</v>
      </c>
      <c r="B523" s="761" t="n"/>
      <c r="C523" s="762" t="inlineStr">
        <is>
          <t>賃借料</t>
        </is>
      </c>
      <c r="D523" s="762" t="n"/>
      <c r="E523" s="775" t="inlineStr">
        <is>
          <t>基幹システム用機器賃借料　１１月分（短期）</t>
        </is>
      </c>
      <c r="F523" s="764" t="n">
        <v>672934</v>
      </c>
      <c r="G523" s="764" t="n">
        <v>2</v>
      </c>
      <c r="H523" s="765">
        <f>IF(G523=1,F523-I523-J523-K523,IF(G523=2,F523,0))</f>
        <v>672934</v>
      </c>
      <c r="I523" s="765">
        <f>ROUND(IF(G523=1,F523*10/23,IF(G523=3,F523-J523-K523,IF(G523=4,F523,IF(G523=5,F523*10/11,IF(G523=7,F523*10/11,0))))),0)</f>
        <v>0</v>
      </c>
      <c r="J523" s="765">
        <f>ROUND(IF(G523=1,F523/23,IF(G523=3,F523/12,IF(G523=5,F523-I523,IF(G523=8,F523,0)))),0)</f>
        <v>0</v>
      </c>
      <c r="K523" s="766">
        <f>ROUND(IF(G523=1,F523/23,IF(G523=3,F523/12,IF(G523=6,F523,IF(G523=7,F523-I523,0)))),0)</f>
        <v>0</v>
      </c>
      <c r="L523" s="767">
        <f>IF(G523=6,F523,0)</f>
        <v>0</v>
      </c>
      <c r="M523" s="421">
        <f>IF(F523="",0,MONTH(A523))</f>
        <v>12</v>
      </c>
      <c r="P523" s="768" t="inlineStr">
        <is>
          <t>昨年実績</t>
        </is>
      </c>
      <c r="Q523" s="769" t="str">
        <f>IF($F523="","",IFERROR(VLOOKUP($C523&amp;"|"&amp;$D523,科目表!$A$5:$B$200,2,FALSE),"※未登録"))</f>
        <v>賃借料</v>
      </c>
      <c r="R523" s="769">
        <f>IF($F523="","",$I523+$J523+$K523)</f>
        <v>0</v>
      </c>
      <c r="S523" s="769" t="str">
        <f>IF(OR($F523="",$P523="支払なし",$H523=0,$Q523=""),"",$Q523&amp;"|S|"&amp;(COUNTIF(S$4:S522,$Q523&amp;"|S|*")+1))</f>
        <v>賃借料|S|45</v>
      </c>
      <c r="T523" s="769" t="str">
        <f>IF(OR($F523="",$P523="支払なし",$R523=0,$Q523=""),"",$Q523&amp;"|L|"&amp;(COUNTIF(T$4:T522,$Q523&amp;"|L|*")+1))</f>
        <v/>
      </c>
      <c r="U523" s="769">
        <f>IF(OR($F523="",$A523=""),"",MOD(MONTH($A523)-4,12)+1)</f>
        <v>9</v>
      </c>
    </row>
    <row r="524" ht="16.5" customFormat="1" customHeight="1" s="43">
      <c r="A524" s="760" t="n">
        <v>46017</v>
      </c>
      <c r="B524" s="761" t="n"/>
      <c r="C524" s="762" t="inlineStr">
        <is>
          <t>委託費</t>
        </is>
      </c>
      <c r="D524" s="762" t="n"/>
      <c r="E524" s="796" t="inlineStr">
        <is>
          <t>資格確認書の作成・印刷処理及び封入封緘処理業務</t>
        </is>
      </c>
      <c r="F524" s="764" t="n">
        <v>2215760</v>
      </c>
      <c r="G524" s="764" t="n">
        <v>2</v>
      </c>
      <c r="H524" s="765">
        <f>IF(G524=1,F524-I524-J524-K524,IF(G524=2,F524,0))</f>
        <v>2215760</v>
      </c>
      <c r="I524" s="765">
        <f>ROUND(IF(G524=1,F524*10/23,IF(G524=3,F524-J524-K524,IF(G524=4,F524,IF(G524=5,F524*10/11,IF(G524=7,F524*10/11,0))))),0)</f>
        <v>0</v>
      </c>
      <c r="J524" s="765">
        <f>ROUND(IF(G524=1,F524/23,IF(G524=3,F524/12,IF(G524=5,F524-I524,IF(G524=8,F524,0)))),0)</f>
        <v>0</v>
      </c>
      <c r="K524" s="766">
        <f>ROUND(IF(G524=1,F524/23,IF(G524=3,F524/12,IF(G524=6,F524,IF(G524=7,F524-I524,0)))),0)</f>
        <v>0</v>
      </c>
      <c r="L524" s="767">
        <f>IF(G524=6,F524,0)</f>
        <v>0</v>
      </c>
      <c r="M524" s="572">
        <f>IF(F524="",0,MONTH(A524))</f>
        <v>12</v>
      </c>
      <c r="P524" s="768" t="inlineStr">
        <is>
          <t>昨年実績</t>
        </is>
      </c>
      <c r="Q524" s="769" t="str">
        <f>IF($F524="","",IFERROR(VLOOKUP($C524&amp;"|"&amp;$D524,科目表!$A$5:$B$200,2,FALSE),"※未登録"))</f>
        <v>委託費</v>
      </c>
      <c r="R524" s="769">
        <f>IF($F524="","",$I524+$J524+$K524)</f>
        <v>0</v>
      </c>
      <c r="S524" s="769" t="str">
        <f>IF(OR($F524="",$P524="支払なし",$H524=0,$Q524=""),"",$Q524&amp;"|S|"&amp;(COUNTIF(S$4:S523,$Q524&amp;"|S|*")+1))</f>
        <v>委託費|S|55</v>
      </c>
      <c r="T524" s="769" t="str">
        <f>IF(OR($F524="",$P524="支払なし",$R524=0,$Q524=""),"",$Q524&amp;"|L|"&amp;(COUNTIF(T$4:T523,$Q524&amp;"|L|*")+1))</f>
        <v/>
      </c>
      <c r="U524" s="769">
        <f>IF(OR($F524="",$A524=""),"",MOD(MONTH($A524)-4,12)+1)</f>
        <v>9</v>
      </c>
    </row>
    <row r="525" ht="16.5" customFormat="1" customHeight="1" s="422">
      <c r="A525" s="760" t="n">
        <v>44923</v>
      </c>
      <c r="B525" s="761" t="n"/>
      <c r="C525" s="762" t="inlineStr">
        <is>
          <t>事務費</t>
        </is>
      </c>
      <c r="D525" s="762" t="inlineStr">
        <is>
          <t>図書印刷費</t>
        </is>
      </c>
      <c r="E525" s="777" t="inlineStr">
        <is>
          <t>角２封筒クラフト８５ｇ郵便枠付・テープ付3,000枚</t>
        </is>
      </c>
      <c r="F525" s="782" t="n">
        <v>49830</v>
      </c>
      <c r="G525" s="772" t="n">
        <v>2</v>
      </c>
      <c r="H525" s="765">
        <f>IF(G525=1,F525-I525-J525-K525,IF(G525=2,F525,0))</f>
        <v>49830</v>
      </c>
      <c r="I525" s="765">
        <f>ROUND(IF(G525=1,F525*10/23,IF(G525=3,F525-J525-K525,IF(G525=4,F525,IF(G525=5,F525*10/11,IF(G525=7,F525*10/11,0))))),0)</f>
        <v>0</v>
      </c>
      <c r="J525" s="765">
        <f>ROUND(IF(G525=1,F525/23,IF(G525=3,F525/12,IF(G525=5,F525-I525,IF(G525=8,F525,0)))),0)</f>
        <v>0</v>
      </c>
      <c r="K525" s="766">
        <f>ROUND(IF(G525=1,F525/23,IF(G525=3,F525/12,IF(G525=6,F525,IF(G525=7,F525-I525,0)))),0)</f>
        <v>0</v>
      </c>
      <c r="L525" s="767">
        <f>IF(G525=6,F525,0)</f>
        <v>0</v>
      </c>
      <c r="M525" s="421">
        <f>IF(F525="",0,MONTH(A525))</f>
        <v>12</v>
      </c>
      <c r="P525" s="768" t="inlineStr">
        <is>
          <t>昨年実績</t>
        </is>
      </c>
      <c r="Q525" s="769" t="str">
        <f>IF($F525="","",IFERROR(VLOOKUP($C525&amp;"|"&amp;$D525,科目表!$A$5:$B$200,2,FALSE),"※未登録"))</f>
        <v>図書印刷費</v>
      </c>
      <c r="R525" s="769">
        <f>IF($F525="","",$I525+$J525+$K525)</f>
        <v>0</v>
      </c>
      <c r="S525" s="769" t="str">
        <f>IF(OR($F525="",$P525="支払なし",$H525=0,$Q525=""),"",$Q525&amp;"|S|"&amp;(COUNTIF(S$4:S524,$Q525&amp;"|S|*")+1))</f>
        <v>図書印刷費|S|23</v>
      </c>
      <c r="T525" s="769" t="str">
        <f>IF(OR($F525="",$P525="支払なし",$R525=0,$Q525=""),"",$Q525&amp;"|L|"&amp;(COUNTIF(T$4:T524,$Q525&amp;"|L|*")+1))</f>
        <v/>
      </c>
      <c r="U525" s="769">
        <f>IF(OR($F525="",$A525=""),"",MOD(MONTH($A525)-4,12)+1)</f>
        <v>9</v>
      </c>
    </row>
    <row r="526" ht="16.5" customFormat="1" customHeight="1" s="422">
      <c r="A526" s="760" t="n">
        <v>45288</v>
      </c>
      <c r="B526" s="761" t="n"/>
      <c r="C526" s="762" t="inlineStr">
        <is>
          <t>事務費</t>
        </is>
      </c>
      <c r="D526" s="762" t="inlineStr">
        <is>
          <t>図書印刷費</t>
        </is>
      </c>
      <c r="E526" s="770" t="inlineStr">
        <is>
          <t>ジェネリック差額通知書　3,000枚</t>
        </is>
      </c>
      <c r="F526" s="782" t="n">
        <v>128700</v>
      </c>
      <c r="G526" s="772" t="n">
        <v>2</v>
      </c>
      <c r="H526" s="765">
        <f>IF(G526=1,F526-I526-J526-K526,IF(G526=2,F526,0))</f>
        <v>128700</v>
      </c>
      <c r="I526" s="765">
        <f>ROUND(IF(G526=1,F526*10/23,IF(G526=3,F526-J526-K526,IF(G526=4,F526,IF(G526=5,F526*10/11,IF(G526=7,F526*10/11,0))))),0)</f>
        <v>0</v>
      </c>
      <c r="J526" s="765">
        <f>ROUND(IF(G526=1,F526/23,IF(G526=3,F526/12,IF(G526=5,F526-I526,IF(G526=8,F526,0)))),0)</f>
        <v>0</v>
      </c>
      <c r="K526" s="766">
        <f>ROUND(IF(G526=1,F526/23,IF(G526=3,F526/12,IF(G526=6,F526,IF(G526=7,F526-I526,0)))),0)</f>
        <v>0</v>
      </c>
      <c r="L526" s="767">
        <f>IF(G526=6,F526,0)</f>
        <v>0</v>
      </c>
      <c r="M526" s="421">
        <f>IF(F526="",0,MONTH(A526))</f>
        <v>12</v>
      </c>
      <c r="P526" s="768" t="inlineStr">
        <is>
          <t>昨年実績</t>
        </is>
      </c>
      <c r="Q526" s="769" t="str">
        <f>IF($F526="","",IFERROR(VLOOKUP($C526&amp;"|"&amp;$D526,科目表!$A$5:$B$200,2,FALSE),"※未登録"))</f>
        <v>図書印刷費</v>
      </c>
      <c r="R526" s="769">
        <f>IF($F526="","",$I526+$J526+$K526)</f>
        <v>0</v>
      </c>
      <c r="S526" s="769" t="str">
        <f>IF(OR($F526="",$P526="支払なし",$H526=0,$Q526=""),"",$Q526&amp;"|S|"&amp;(COUNTIF(S$4:S525,$Q526&amp;"|S|*")+1))</f>
        <v>図書印刷費|S|24</v>
      </c>
      <c r="T526" s="769" t="str">
        <f>IF(OR($F526="",$P526="支払なし",$R526=0,$Q526=""),"",$Q526&amp;"|L|"&amp;(COUNTIF(T$4:T525,$Q526&amp;"|L|*")+1))</f>
        <v/>
      </c>
      <c r="U526" s="769">
        <f>IF(OR($F526="",$A526=""),"",MOD(MONTH($A526)-4,12)+1)</f>
        <v>9</v>
      </c>
    </row>
    <row r="527" ht="16.5" customFormat="1" customHeight="1" s="422">
      <c r="A527" s="760" t="n">
        <v>45288</v>
      </c>
      <c r="B527" s="761" t="n"/>
      <c r="C527" s="762" t="inlineStr">
        <is>
          <t>事務費</t>
        </is>
      </c>
      <c r="D527" s="762" t="inlineStr">
        <is>
          <t>図書印刷費</t>
        </is>
      </c>
      <c r="E527" s="763" t="inlineStr">
        <is>
          <t>(育休手当金)短期給付決定通知書３，０００枚</t>
        </is>
      </c>
      <c r="F527" s="764" t="n">
        <v>128700</v>
      </c>
      <c r="G527" s="764" t="n">
        <v>2</v>
      </c>
      <c r="H527" s="765">
        <f>IF(G527=1,F527-I527-J527-K527,IF(G527=2,F527,0))</f>
        <v>128700</v>
      </c>
      <c r="I527" s="765">
        <f>ROUND(IF(G527=1,F527*10/23,IF(G527=3,F527-J527-K527,IF(G527=4,F527,IF(G527=5,F527*10/11,IF(G527=7,F527*10/11,0))))),0)</f>
        <v>0</v>
      </c>
      <c r="J527" s="765">
        <f>ROUND(IF(G527=1,F527/23,IF(G527=3,F527/12,IF(G527=5,F527-I527,IF(G527=8,F527,0)))),0)</f>
        <v>0</v>
      </c>
      <c r="K527" s="766">
        <f>ROUND(IF(G527=1,F527/23,IF(G527=3,F527/12,IF(G527=6,F527,IF(G527=7,F527-I527,0)))),0)</f>
        <v>0</v>
      </c>
      <c r="L527" s="767">
        <f>IF(G527=6,F527,0)</f>
        <v>0</v>
      </c>
      <c r="M527" s="421">
        <f>IF(F527="",0,MONTH(A527))</f>
        <v>12</v>
      </c>
      <c r="P527" s="768" t="inlineStr">
        <is>
          <t>昨年実績</t>
        </is>
      </c>
      <c r="Q527" s="769" t="str">
        <f>IF($F527="","",IFERROR(VLOOKUP($C527&amp;"|"&amp;$D527,科目表!$A$5:$B$200,2,FALSE),"※未登録"))</f>
        <v>図書印刷費</v>
      </c>
      <c r="R527" s="769">
        <f>IF($F527="","",$I527+$J527+$K527)</f>
        <v>0</v>
      </c>
      <c r="S527" s="769" t="str">
        <f>IF(OR($F527="",$P527="支払なし",$H527=0,$Q527=""),"",$Q527&amp;"|S|"&amp;(COUNTIF(S$4:S526,$Q527&amp;"|S|*")+1))</f>
        <v>図書印刷費|S|25</v>
      </c>
      <c r="T527" s="769" t="str">
        <f>IF(OR($F527="",$P527="支払なし",$R527=0,$Q527=""),"",$Q527&amp;"|L|"&amp;(COUNTIF(T$4:T526,$Q527&amp;"|L|*")+1))</f>
        <v/>
      </c>
      <c r="U527" s="769">
        <f>IF(OR($F527="",$A527=""),"",MOD(MONTH($A527)-4,12)+1)</f>
        <v>9</v>
      </c>
    </row>
    <row r="528" ht="16.5" customFormat="1" customHeight="1" s="43">
      <c r="A528" s="760" t="n">
        <v>46017</v>
      </c>
      <c r="B528" s="761" t="n"/>
      <c r="C528" s="762" t="inlineStr">
        <is>
          <t>事務費</t>
        </is>
      </c>
      <c r="D528" s="762" t="inlineStr">
        <is>
          <t>事務用消耗品費</t>
        </is>
      </c>
      <c r="E528" s="796" t="inlineStr">
        <is>
          <t>ポストイット　５００４SS-K　５箱　他</t>
        </is>
      </c>
      <c r="F528" s="764" t="n">
        <v>62330</v>
      </c>
      <c r="G528" s="764" t="n">
        <v>2</v>
      </c>
      <c r="H528" s="765">
        <f>IF(G528=1,F528-I528-J528-K528,IF(G528=2,F528,0))</f>
        <v>62330</v>
      </c>
      <c r="I528" s="765">
        <f>ROUND(IF(G528=1,F528*10/23,IF(G528=3,F528-J528-K528,IF(G528=4,F528,IF(G528=5,F528*10/11,IF(G528=7,F528*10/11,0))))),0)</f>
        <v>0</v>
      </c>
      <c r="J528" s="765">
        <f>ROUND(IF(G528=1,F528/23,IF(G528=3,F528/12,IF(G528=5,F528-I528,IF(G528=8,F528,0)))),0)</f>
        <v>0</v>
      </c>
      <c r="K528" s="766">
        <f>ROUND(IF(G528=1,F528/23,IF(G528=3,F528/12,IF(G528=6,F528,IF(G528=7,F528-I528,0)))),0)</f>
        <v>0</v>
      </c>
      <c r="L528" s="767">
        <f>IF(G528=6,F528,0)</f>
        <v>0</v>
      </c>
      <c r="M528" s="572">
        <f>IF(F528="",0,MONTH(A528))</f>
        <v>12</v>
      </c>
      <c r="P528" s="768" t="inlineStr">
        <is>
          <t>昨年実績</t>
        </is>
      </c>
      <c r="Q528" s="769" t="str">
        <f>IF($F528="","",IFERROR(VLOOKUP($C528&amp;"|"&amp;$D528,科目表!$A$5:$B$200,2,FALSE),"※未登録"))</f>
        <v>事務用消耗品費</v>
      </c>
      <c r="R528" s="769">
        <f>IF($F528="","",$I528+$J528+$K528)</f>
        <v>0</v>
      </c>
      <c r="S528" s="769" t="str">
        <f>IF(OR($F528="",$P528="支払なし",$H528=0,$Q528=""),"",$Q528&amp;"|S|"&amp;(COUNTIF(S$4:S527,$Q528&amp;"|S|*")+1))</f>
        <v>事務用消耗品費|S|35</v>
      </c>
      <c r="T528" s="769" t="str">
        <f>IF(OR($F528="",$P528="支払なし",$R528=0,$Q528=""),"",$Q528&amp;"|L|"&amp;(COUNTIF(T$4:T527,$Q528&amp;"|L|*")+1))</f>
        <v/>
      </c>
      <c r="U528" s="769">
        <f>IF(OR($F528="",$A528=""),"",MOD(MONTH($A528)-4,12)+1)</f>
        <v>9</v>
      </c>
    </row>
    <row r="529" ht="16.5" customFormat="1" customHeight="1" s="422">
      <c r="A529" s="760" t="n">
        <v>44193</v>
      </c>
      <c r="B529" s="761" t="n"/>
      <c r="C529" s="762" t="inlineStr">
        <is>
          <t>事務費</t>
        </is>
      </c>
      <c r="D529" s="762" t="inlineStr">
        <is>
          <t>図書印刷費</t>
        </is>
      </c>
      <c r="E529" s="762" t="inlineStr">
        <is>
          <t>厚生法規総覧追録５４１７－５４２７号</t>
        </is>
      </c>
      <c r="F529" s="764" t="n">
        <v>33154</v>
      </c>
      <c r="G529" s="764" t="n">
        <v>2</v>
      </c>
      <c r="H529" s="765">
        <f>IF(G529=1,F529-I529-J529-K529,IF(G529=2,F529,0))</f>
        <v>33154</v>
      </c>
      <c r="I529" s="765">
        <f>ROUND(IF(G529=1,F529*10/23,IF(G529=3,F529-J529-K529,IF(G529=4,F529,IF(G529=5,F529*10/11,IF(G529=7,F529*10/11,0))))),0)</f>
        <v>0</v>
      </c>
      <c r="J529" s="765">
        <f>ROUND(IF(G529=1,F529/23,IF(G529=3,F529/12,IF(G529=5,F529-I529,IF(G529=8,F529,0)))),0)</f>
        <v>0</v>
      </c>
      <c r="K529" s="766">
        <f>ROUND(IF(G529=1,F529/23,IF(G529=3,F529/12,IF(G529=6,F529,IF(G529=7,F529-I529,0)))),0)</f>
        <v>0</v>
      </c>
      <c r="L529" s="767">
        <f>IF(G529=6,F529,0)</f>
        <v>0</v>
      </c>
      <c r="M529" s="421">
        <f>IF(F529="",0,MONTH(A529))</f>
        <v>12</v>
      </c>
      <c r="P529" s="768" t="inlineStr">
        <is>
          <t>昨年実績</t>
        </is>
      </c>
      <c r="Q529" s="769" t="str">
        <f>IF($F529="","",IFERROR(VLOOKUP($C529&amp;"|"&amp;$D529,科目表!$A$5:$B$200,2,FALSE),"※未登録"))</f>
        <v>図書印刷費</v>
      </c>
      <c r="R529" s="769">
        <f>IF($F529="","",$I529+$J529+$K529)</f>
        <v>0</v>
      </c>
      <c r="S529" s="769" t="str">
        <f>IF(OR($F529="",$P529="支払なし",$H529=0,$Q529=""),"",$Q529&amp;"|S|"&amp;(COUNTIF(S$4:S528,$Q529&amp;"|S|*")+1))</f>
        <v>図書印刷費|S|26</v>
      </c>
      <c r="T529" s="769" t="str">
        <f>IF(OR($F529="",$P529="支払なし",$R529=0,$Q529=""),"",$Q529&amp;"|L|"&amp;(COUNTIF(T$4:T528,$Q529&amp;"|L|*")+1))</f>
        <v/>
      </c>
      <c r="U529" s="769">
        <f>IF(OR($F529="",$A529=""),"",MOD(MONTH($A529)-4,12)+1)</f>
        <v>9</v>
      </c>
    </row>
    <row r="530" ht="16.5" customFormat="1" customHeight="1" s="43">
      <c r="A530" s="760" t="n">
        <v>46066</v>
      </c>
      <c r="B530" s="761" t="n"/>
      <c r="C530" s="762" t="inlineStr">
        <is>
          <t>委託費</t>
        </is>
      </c>
      <c r="D530" s="762" t="n"/>
      <c r="E530" s="770" t="inlineStr">
        <is>
          <t>「年金だより」配布に伴う封入作業料金（１２月支給期）</t>
        </is>
      </c>
      <c r="F530" s="764" t="n">
        <v>42026</v>
      </c>
      <c r="G530" s="764" t="n">
        <v>3</v>
      </c>
      <c r="H530" s="765">
        <f>IF(G530=1,F530-I530-J530-K530,IF(G530=2,F530,0))</f>
        <v>0</v>
      </c>
      <c r="I530" s="765">
        <f>ROUND(IF(G530=1,F530*10/23,IF(G530=3,F530-J530-K530,IF(G530=4,F530,IF(G530=5,F530*10/11,IF(G530=7,F530*10/11,0))))),0)</f>
        <v>35022</v>
      </c>
      <c r="J530" s="765">
        <f>ROUND(IF(G530=1,F530/23,IF(G530=3,F530/12,IF(G530=5,F530-I530,IF(G530=8,F530,0)))),0)</f>
        <v>3502</v>
      </c>
      <c r="K530" s="766">
        <f>ROUND(IF(G530=1,F530/23,IF(G530=3,F530/12,IF(G530=6,F530,IF(G530=7,F530-I530,0)))),0)</f>
        <v>3502</v>
      </c>
      <c r="L530" s="767">
        <f>IF(G530=6,F530,0)</f>
        <v>0</v>
      </c>
      <c r="M530" s="572">
        <f>IF(F530="",0,MONTH(A530))</f>
        <v>2</v>
      </c>
      <c r="P530" s="768" t="inlineStr">
        <is>
          <t>昨年実績</t>
        </is>
      </c>
      <c r="Q530" s="769" t="str">
        <f>IF($F530="","",IFERROR(VLOOKUP($C530&amp;"|"&amp;$D530,科目表!$A$5:$B$200,2,FALSE),"※未登録"))</f>
        <v>委託費</v>
      </c>
      <c r="R530" s="769">
        <f>IF($F530="","",$I530+$J530+$K530)</f>
        <v>42026</v>
      </c>
      <c r="S530" s="769" t="str">
        <f>IF(OR($F530="",$P530="支払なし",$H530=0,$Q530=""),"",$Q530&amp;"|S|"&amp;(COUNTIF(S$4:S529,$Q530&amp;"|S|*")+1))</f>
        <v/>
      </c>
      <c r="T530" s="769" t="str">
        <f>IF(OR($F530="",$P530="支払なし",$R530=0,$Q530=""),"",$Q530&amp;"|L|"&amp;(COUNTIF(T$4:T529,$Q530&amp;"|L|*")+1))</f>
        <v>委託費|L|19</v>
      </c>
      <c r="U530" s="769">
        <f>IF(OR($F530="",$A530=""),"",MOD(MONTH($A530)-4,12)+1)</f>
        <v>11</v>
      </c>
    </row>
    <row r="531" ht="16.5" customFormat="1" customHeight="1" s="43">
      <c r="A531" s="760" t="n">
        <v>46051</v>
      </c>
      <c r="B531" s="761" t="n"/>
      <c r="C531" s="762" t="inlineStr">
        <is>
          <t>委託費</t>
        </is>
      </c>
      <c r="D531" s="762" t="n"/>
      <c r="E531" s="762" t="inlineStr">
        <is>
          <t>ねんきん定期便（１２月分）送付業務</t>
        </is>
      </c>
      <c r="F531" s="772" t="n">
        <v>85123</v>
      </c>
      <c r="G531" s="772" t="n">
        <v>5</v>
      </c>
      <c r="H531" s="765">
        <f>IF(G531=1,F531-I531-J531-K531,IF(G531=2,F531,0))</f>
        <v>0</v>
      </c>
      <c r="I531" s="765">
        <f>ROUND(IF(G531=1,F531*10/23,IF(G531=3,F531-J531-K531,IF(G531=4,F531,IF(G531=5,F531*10/11,IF(G531=7,F531*10/11,0))))),0)</f>
        <v>77385</v>
      </c>
      <c r="J531" s="765">
        <f>ROUND(IF(G531=1,F531/23,IF(G531=3,F531/12,IF(G531=5,F531-I531,IF(G531=8,F531,0)))),0)</f>
        <v>7738</v>
      </c>
      <c r="K531" s="766">
        <f>ROUND(IF(G531=1,F531/23,IF(G531=3,F531/12,IF(G531=6,F531,IF(G531=7,F531-I531,0)))),0)</f>
        <v>0</v>
      </c>
      <c r="L531" s="767">
        <f>IF(G531=6,F531,0)</f>
        <v>0</v>
      </c>
      <c r="M531" s="572">
        <f>IF(F531="",0,MONTH(A531))</f>
        <v>1</v>
      </c>
      <c r="P531" s="768" t="inlineStr">
        <is>
          <t>昨年実績</t>
        </is>
      </c>
      <c r="Q531" s="769" t="str">
        <f>IF($F531="","",IFERROR(VLOOKUP($C531&amp;"|"&amp;$D531,科目表!$A$5:$B$200,2,FALSE),"※未登録"))</f>
        <v>委託費</v>
      </c>
      <c r="R531" s="769">
        <f>IF($F531="","",$I531+$J531+$K531)</f>
        <v>85123</v>
      </c>
      <c r="S531" s="769" t="str">
        <f>IF(OR($F531="",$P531="支払なし",$H531=0,$Q531=""),"",$Q531&amp;"|S|"&amp;(COUNTIF(S$4:S530,$Q531&amp;"|S|*")+1))</f>
        <v/>
      </c>
      <c r="T531" s="769" t="str">
        <f>IF(OR($F531="",$P531="支払なし",$R531=0,$Q531=""),"",$Q531&amp;"|L|"&amp;(COUNTIF(T$4:T530,$Q531&amp;"|L|*")+1))</f>
        <v>委託費|L|20</v>
      </c>
      <c r="U531" s="769">
        <f>IF(OR($F531="",$A531=""),"",MOD(MONTH($A531)-4,12)+1)</f>
        <v>10</v>
      </c>
    </row>
    <row r="532" ht="16.5" customFormat="1" customHeight="1" s="43">
      <c r="A532" s="760" t="n">
        <v>46051</v>
      </c>
      <c r="B532" s="761" t="n"/>
      <c r="C532" s="762" t="inlineStr">
        <is>
          <t>賃借料</t>
        </is>
      </c>
      <c r="D532" s="762" t="n"/>
      <c r="E532" s="762" t="inlineStr">
        <is>
          <t>パソコン（業務経理用）１２月分</t>
        </is>
      </c>
      <c r="F532" s="772" t="n">
        <v>5060</v>
      </c>
      <c r="G532" s="772" t="n">
        <v>2</v>
      </c>
      <c r="H532" s="765">
        <f>IF(G532=1,F532-I532-J532-K532,IF(G532=2,F532,0))</f>
        <v>5060</v>
      </c>
      <c r="I532" s="765">
        <f>ROUND(IF(G532=1,F532*10/23,IF(G532=3,F532-J532-K532,IF(G532=4,F532,IF(G532=5,F532*10/11,IF(G532=7,F532*10/11,0))))),0)</f>
        <v>0</v>
      </c>
      <c r="J532" s="765">
        <f>ROUND(IF(G532=1,F532/23,IF(G532=3,F532/12,IF(G532=5,F532-I532,IF(G532=8,F532,0)))),0)</f>
        <v>0</v>
      </c>
      <c r="K532" s="766">
        <f>ROUND(IF(G532=1,F532/23,IF(G532=3,F532/12,IF(G532=6,F532,IF(G532=7,F532-I532,0)))),0)</f>
        <v>0</v>
      </c>
      <c r="L532" s="767">
        <f>IF(G532=6,F532,0)</f>
        <v>0</v>
      </c>
      <c r="M532" s="572">
        <f>IF(F532="",0,MONTH(A532))</f>
        <v>1</v>
      </c>
      <c r="P532" s="768" t="inlineStr">
        <is>
          <t>昨年実績</t>
        </is>
      </c>
      <c r="Q532" s="769" t="str">
        <f>IF($F532="","",IFERROR(VLOOKUP($C532&amp;"|"&amp;$D532,科目表!$A$5:$B$200,2,FALSE),"※未登録"))</f>
        <v>賃借料</v>
      </c>
      <c r="R532" s="769">
        <f>IF($F532="","",$I532+$J532+$K532)</f>
        <v>0</v>
      </c>
      <c r="S532" s="769" t="str">
        <f>IF(OR($F532="",$P532="支払なし",$H532=0,$Q532=""),"",$Q532&amp;"|S|"&amp;(COUNTIF(S$4:S531,$Q532&amp;"|S|*")+1))</f>
        <v>賃借料|S|46</v>
      </c>
      <c r="T532" s="769" t="str">
        <f>IF(OR($F532="",$P532="支払なし",$R532=0,$Q532=""),"",$Q532&amp;"|L|"&amp;(COUNTIF(T$4:T531,$Q532&amp;"|L|*")+1))</f>
        <v/>
      </c>
      <c r="U532" s="769">
        <f>IF(OR($F532="",$A532=""),"",MOD(MONTH($A532)-4,12)+1)</f>
        <v>10</v>
      </c>
    </row>
    <row r="533" ht="16.5" customFormat="1" customHeight="1" s="43">
      <c r="A533" s="760" t="n">
        <v>46037</v>
      </c>
      <c r="B533" s="761" t="n"/>
      <c r="C533" s="762" t="inlineStr">
        <is>
          <t>賃金</t>
        </is>
      </c>
      <c r="D533" s="762" t="n"/>
      <c r="E533" s="762" t="inlineStr">
        <is>
          <t>臨時職員賃金１２月分　竹口範子外１名分（短期１００％）</t>
        </is>
      </c>
      <c r="F533" s="764" t="n">
        <v>377520</v>
      </c>
      <c r="G533" s="764" t="n">
        <v>2</v>
      </c>
      <c r="H533" s="765">
        <f>IF(G533=1,F533-I533-J533-K533,IF(G533=2,F533,0))</f>
        <v>377520</v>
      </c>
      <c r="I533" s="765">
        <f>ROUND(IF(G533=1,F533*10/23,IF(G533=3,F533-J533-K533,IF(G533=4,F533,IF(G533=5,F533*10/11,IF(G533=7,F533*10/11,0))))),0)</f>
        <v>0</v>
      </c>
      <c r="J533" s="765">
        <f>ROUND(IF(G533=1,F533/23,IF(G533=3,F533/12,IF(G533=5,F533-I533,IF(G533=8,F533,0)))),0)</f>
        <v>0</v>
      </c>
      <c r="K533" s="766">
        <f>ROUND(IF(G533=1,F533/23,IF(G533=3,F533/12,IF(G533=6,F533,IF(G533=7,F533-I533,0)))),0)</f>
        <v>0</v>
      </c>
      <c r="L533" s="767">
        <f>IF(G533=6,F533,0)</f>
        <v>0</v>
      </c>
      <c r="M533" s="572">
        <f>IF(F533="",0,MONTH(A533))</f>
        <v>1</v>
      </c>
      <c r="P533" s="768" t="inlineStr">
        <is>
          <t>昨年実績</t>
        </is>
      </c>
      <c r="Q533" s="769" t="str">
        <f>IF($F533="","",IFERROR(VLOOKUP($C533&amp;"|"&amp;$D533,科目表!$A$5:$B$200,2,FALSE),"※未登録"))</f>
        <v>賃金</v>
      </c>
      <c r="R533" s="769">
        <f>IF($F533="","",$I533+$J533+$K533)</f>
        <v>0</v>
      </c>
      <c r="S533" s="769" t="str">
        <f>IF(OR($F533="",$P533="支払なし",$H533=0,$Q533=""),"",$Q533&amp;"|S|"&amp;(COUNTIF(S$4:S532,$Q533&amp;"|S|*")+1))</f>
        <v>賃金|S|9</v>
      </c>
      <c r="T533" s="769" t="str">
        <f>IF(OR($F533="",$P533="支払なし",$R533=0,$Q533=""),"",$Q533&amp;"|L|"&amp;(COUNTIF(T$4:T532,$Q533&amp;"|L|*")+1))</f>
        <v/>
      </c>
      <c r="U533" s="769">
        <f>IF(OR($F533="",$A533=""),"",MOD(MONTH($A533)-4,12)+1)</f>
        <v>10</v>
      </c>
    </row>
    <row r="534" ht="16.5" customFormat="1" customHeight="1" s="43">
      <c r="A534" s="760" t="n">
        <v>46031</v>
      </c>
      <c r="B534" s="761" t="n"/>
      <c r="C534" s="762" t="inlineStr">
        <is>
          <t>事務費負担金払込金</t>
        </is>
      </c>
      <c r="D534" s="762" t="n"/>
      <c r="E534" s="775" t="inlineStr">
        <is>
          <t>１２月分事務費負担金払込金　連合会へ払込</t>
        </is>
      </c>
      <c r="F534" s="764" t="n">
        <v>4513000</v>
      </c>
      <c r="G534" s="764" t="n">
        <v>5</v>
      </c>
      <c r="H534" s="765">
        <f>IF(G534=1,F534-I534-J534-K534,IF(G534=2,F534,0))</f>
        <v>0</v>
      </c>
      <c r="I534" s="765">
        <f>ROUND(IF(G534=1,F534*10/23,IF(G534=3,F534-J534-K534,IF(G534=4,F534,IF(G534=5,F534*10/11,IF(G534=7,F534*10/11,0))))),0)</f>
        <v>4102727</v>
      </c>
      <c r="J534" s="765">
        <f>ROUND(IF(G534=1,F534/23,IF(G534=3,F534/12,IF(G534=5,F534-I534,IF(G534=8,F534,0)))),0)</f>
        <v>410273</v>
      </c>
      <c r="K534" s="766">
        <f>ROUND(IF(G534=1,F534/23,IF(G534=3,F534/12,IF(G534=6,F534,IF(G534=7,F534-I534,0)))),0)</f>
        <v>0</v>
      </c>
      <c r="L534" s="767">
        <f>IF(G534=6,F534,0)</f>
        <v>0</v>
      </c>
      <c r="M534" s="572">
        <f>IF(F534="",0,MONTH(A534))</f>
        <v>1</v>
      </c>
      <c r="P534" s="768" t="inlineStr">
        <is>
          <t>昨年実績</t>
        </is>
      </c>
      <c r="Q534" s="769" t="str">
        <f>IF($F534="","",IFERROR(VLOOKUP($C534&amp;"|"&amp;$D534,科目表!$A$5:$B$200,2,FALSE),"※未登録"))</f>
        <v>事務費負担金払込金</v>
      </c>
      <c r="R534" s="769">
        <f>IF($F534="","",$I534+$J534+$K534)</f>
        <v>4513000</v>
      </c>
      <c r="S534" s="769" t="str">
        <f>IF(OR($F534="",$P534="支払なし",$H534=0,$Q534=""),"",$Q534&amp;"|S|"&amp;(COUNTIF(S$4:S533,$Q534&amp;"|S|*")+1))</f>
        <v/>
      </c>
      <c r="T534" s="769" t="str">
        <f>IF(OR($F534="",$P534="支払なし",$R534=0,$Q534=""),"",$Q534&amp;"|L|"&amp;(COUNTIF(T$4:T533,$Q534&amp;"|L|*")+1))</f>
        <v>事務費負担金払込金|L|10</v>
      </c>
      <c r="U534" s="769">
        <f>IF(OR($F534="",$A534=""),"",MOD(MONTH($A534)-4,12)+1)</f>
        <v>10</v>
      </c>
    </row>
    <row r="535" ht="16.5" customFormat="1" customHeight="1" s="422">
      <c r="A535" s="760" t="n">
        <v>43483</v>
      </c>
      <c r="B535" s="761" t="n"/>
      <c r="C535" s="762" t="inlineStr">
        <is>
          <t>事務費</t>
        </is>
      </c>
      <c r="D535" s="762" t="inlineStr">
        <is>
          <t>通信運搬費</t>
        </is>
      </c>
      <c r="E535" s="773" t="inlineStr">
        <is>
          <t>切手</t>
        </is>
      </c>
      <c r="F535" s="764" t="n">
        <v>640300</v>
      </c>
      <c r="G535" s="764" t="n">
        <v>3</v>
      </c>
      <c r="H535" s="765">
        <f>IF(G535=1,F535-I535-J535-K535,IF(G535=2,F535,0))</f>
        <v>0</v>
      </c>
      <c r="I535" s="765">
        <f>ROUND(IF(G535=1,F535*10/23,IF(G535=3,F535-J535-K535,IF(G535=4,F535,IF(G535=5,F535*10/11,IF(G535=7,F535*10/11,0))))),0)</f>
        <v>533584</v>
      </c>
      <c r="J535" s="765">
        <f>ROUND(IF(G535=1,F535/23,IF(G535=3,F535/12,IF(G535=5,F535-I535,IF(G535=8,F535,0)))),0)</f>
        <v>53358</v>
      </c>
      <c r="K535" s="766">
        <f>ROUND(IF(G535=1,F535/23,IF(G535=3,F535/12,IF(G535=6,F535,IF(G535=7,F535-I535,0)))),0)</f>
        <v>53358</v>
      </c>
      <c r="L535" s="767">
        <f>IF(G535=6,F535,0)</f>
        <v>0</v>
      </c>
      <c r="M535" s="421">
        <f>IF(F535="",0,MONTH(A535))</f>
        <v>1</v>
      </c>
      <c r="P535" s="768" t="inlineStr">
        <is>
          <t>昨年実績</t>
        </is>
      </c>
      <c r="Q535" s="769" t="str">
        <f>IF($F535="","",IFERROR(VLOOKUP($C535&amp;"|"&amp;$D535,科目表!$A$5:$B$200,2,FALSE),"※未登録"))</f>
        <v>通信運搬費</v>
      </c>
      <c r="R535" s="769">
        <f>IF($F535="","",$I535+$J535+$K535)</f>
        <v>640300</v>
      </c>
      <c r="S535" s="769" t="str">
        <f>IF(OR($F535="",$P535="支払なし",$H535=0,$Q535=""),"",$Q535&amp;"|S|"&amp;(COUNTIF(S$4:S534,$Q535&amp;"|S|*")+1))</f>
        <v/>
      </c>
      <c r="T535" s="769" t="str">
        <f>IF(OR($F535="",$P535="支払なし",$R535=0,$Q535=""),"",$Q535&amp;"|L|"&amp;(COUNTIF(T$4:T534,$Q535&amp;"|L|*")+1))</f>
        <v>通信運搬費|L|21</v>
      </c>
      <c r="U535" s="769">
        <f>IF(OR($F535="",$A535=""),"",MOD(MONTH($A535)-4,12)+1)</f>
        <v>10</v>
      </c>
    </row>
    <row r="536" ht="16.5" customFormat="1" customHeight="1" s="422">
      <c r="A536" s="760" t="n">
        <v>43483</v>
      </c>
      <c r="B536" s="761" t="n"/>
      <c r="C536" s="762" t="inlineStr">
        <is>
          <t>事務費</t>
        </is>
      </c>
      <c r="D536" s="762" t="inlineStr">
        <is>
          <t>通信運搬費</t>
        </is>
      </c>
      <c r="E536" s="773" t="inlineStr">
        <is>
          <t>切手</t>
        </is>
      </c>
      <c r="F536" s="764" t="n">
        <v>217800</v>
      </c>
      <c r="G536" s="764" t="n">
        <v>2</v>
      </c>
      <c r="H536" s="765">
        <f>IF(G536=1,F536-I536-J536-K536,IF(G536=2,F536,0))</f>
        <v>217800</v>
      </c>
      <c r="I536" s="765">
        <f>ROUND(IF(G536=1,F536*10/23,IF(G536=3,F536-J536-K536,IF(G536=4,F536,IF(G536=5,F536*10/11,IF(G536=7,F536*10/11,0))))),0)</f>
        <v>0</v>
      </c>
      <c r="J536" s="765">
        <f>ROUND(IF(G536=1,F536/23,IF(G536=3,F536/12,IF(G536=5,F536-I536,IF(G536=8,F536,0)))),0)</f>
        <v>0</v>
      </c>
      <c r="K536" s="766">
        <f>ROUND(IF(G536=1,F536/23,IF(G536=3,F536/12,IF(G536=6,F536,IF(G536=7,F536-I536,0)))),0)</f>
        <v>0</v>
      </c>
      <c r="L536" s="767">
        <f>IF(G536=6,F536,0)</f>
        <v>0</v>
      </c>
      <c r="M536" s="421">
        <f>IF(F536="",0,MONTH(A536))</f>
        <v>1</v>
      </c>
      <c r="P536" s="768" t="inlineStr">
        <is>
          <t>昨年実績</t>
        </is>
      </c>
      <c r="Q536" s="769" t="str">
        <f>IF($F536="","",IFERROR(VLOOKUP($C536&amp;"|"&amp;$D536,科目表!$A$5:$B$200,2,FALSE),"※未登録"))</f>
        <v>通信運搬費</v>
      </c>
      <c r="R536" s="769">
        <f>IF($F536="","",$I536+$J536+$K536)</f>
        <v>0</v>
      </c>
      <c r="S536" s="769" t="str">
        <f>IF(OR($F536="",$P536="支払なし",$H536=0,$Q536=""),"",$Q536&amp;"|S|"&amp;(COUNTIF(S$4:S535,$Q536&amp;"|S|*")+1))</f>
        <v>通信運搬費|S|55</v>
      </c>
      <c r="T536" s="769" t="str">
        <f>IF(OR($F536="",$P536="支払なし",$R536=0,$Q536=""),"",$Q536&amp;"|L|"&amp;(COUNTIF(T$4:T535,$Q536&amp;"|L|*")+1))</f>
        <v/>
      </c>
      <c r="U536" s="769">
        <f>IF(OR($F536="",$A536=""),"",MOD(MONTH($A536)-4,12)+1)</f>
        <v>10</v>
      </c>
    </row>
    <row r="537" ht="16.5" customFormat="1" customHeight="1" s="43">
      <c r="A537" s="760" t="n">
        <v>46042</v>
      </c>
      <c r="B537" s="761" t="n"/>
      <c r="C537" s="762" t="inlineStr">
        <is>
          <t>委託費</t>
        </is>
      </c>
      <c r="D537" s="762" t="n"/>
      <c r="E537" s="763" t="inlineStr">
        <is>
          <t>レセプト電子データ提供料（１０月診療分）</t>
        </is>
      </c>
      <c r="F537" s="764" t="n">
        <v>60454</v>
      </c>
      <c r="G537" s="764" t="n">
        <v>2</v>
      </c>
      <c r="H537" s="765">
        <f>IF(G537=1,F537-I537-J537-K537,IF(G537=2,F537,0))</f>
        <v>60454</v>
      </c>
      <c r="I537" s="765">
        <f>ROUND(IF(G537=1,F537*10/23,IF(G537=3,F537-J537-K537,IF(G537=4,F537,IF(G537=5,F537*10/11,IF(G537=7,F537*10/11,0))))),0)</f>
        <v>0</v>
      </c>
      <c r="J537" s="765">
        <f>ROUND(IF(G537=1,F537/23,IF(G537=3,F537/12,IF(G537=5,F537-I537,IF(G537=8,F537,0)))),0)</f>
        <v>0</v>
      </c>
      <c r="K537" s="766">
        <f>ROUND(IF(G537=1,F537/23,IF(G537=3,F537/12,IF(G537=6,F537,IF(G537=7,F537-I537,0)))),0)</f>
        <v>0</v>
      </c>
      <c r="L537" s="767">
        <f>IF(G537=6,F537,0)</f>
        <v>0</v>
      </c>
      <c r="M537" s="572">
        <f>IF(F537="",0,MONTH(A537))</f>
        <v>1</v>
      </c>
      <c r="P537" s="768" t="inlineStr">
        <is>
          <t>昨年実績</t>
        </is>
      </c>
      <c r="Q537" s="769" t="str">
        <f>IF($F537="","",IFERROR(VLOOKUP($C537&amp;"|"&amp;$D537,科目表!$A$5:$B$200,2,FALSE),"※未登録"))</f>
        <v>委託費</v>
      </c>
      <c r="R537" s="769">
        <f>IF($F537="","",$I537+$J537+$K537)</f>
        <v>0</v>
      </c>
      <c r="S537" s="769" t="str">
        <f>IF(OR($F537="",$P537="支払なし",$H537=0,$Q537=""),"",$Q537&amp;"|S|"&amp;(COUNTIF(S$4:S536,$Q537&amp;"|S|*")+1))</f>
        <v>委託費|S|56</v>
      </c>
      <c r="T537" s="769" t="str">
        <f>IF(OR($F537="",$P537="支払なし",$R537=0,$Q537=""),"",$Q537&amp;"|L|"&amp;(COUNTIF(T$4:T536,$Q537&amp;"|L|*")+1))</f>
        <v/>
      </c>
      <c r="U537" s="769">
        <f>IF(OR($F537="",$A537=""),"",MOD(MONTH($A537)-4,12)+1)</f>
        <v>10</v>
      </c>
    </row>
    <row r="538" ht="16.5" customFormat="1" customHeight="1" s="43">
      <c r="A538" s="760" t="n">
        <v>46043</v>
      </c>
      <c r="B538" s="761" t="n"/>
      <c r="C538" s="762" t="inlineStr">
        <is>
          <t>職員給与</t>
        </is>
      </c>
      <c r="D538" s="762" t="inlineStr">
        <is>
          <t>非常勤職員手当</t>
        </is>
      </c>
      <c r="E538" s="762" t="inlineStr">
        <is>
          <t>1月分給与（長期分）</t>
        </is>
      </c>
      <c r="F538" s="764" t="n">
        <v>395611</v>
      </c>
      <c r="G538" s="772" t="n">
        <v>3</v>
      </c>
      <c r="H538" s="765">
        <f>IF(G538=1,F538-I538-J538-K538,IF(G538=2,F538,0))</f>
        <v>0</v>
      </c>
      <c r="I538" s="765">
        <f>ROUND(IF(G538=1,F538*10/23,IF(G538=3,F538-J538-K538,IF(G538=4,F538,IF(G538=5,F538*10/11,IF(G538=7,F538*10/11,0))))),0)</f>
        <v>329675</v>
      </c>
      <c r="J538" s="765">
        <f>ROUND(IF(G538=1,F538/23,IF(G538=3,F538/12,IF(G538=5,F538-I538,IF(G538=8,F538,0)))),0)</f>
        <v>32968</v>
      </c>
      <c r="K538" s="766">
        <f>ROUND(IF(G538=1,F538/23,IF(G538=3,F538/12,IF(G538=6,F538,IF(G538=7,F538-I538,0)))),0)</f>
        <v>32968</v>
      </c>
      <c r="L538" s="767">
        <f>IF(G538=6,F538,0)</f>
        <v>0</v>
      </c>
      <c r="M538" s="572">
        <f>IF(F538="",0,MONTH(A538))</f>
        <v>1</v>
      </c>
      <c r="P538" s="768" t="inlineStr">
        <is>
          <t>昨年実績</t>
        </is>
      </c>
      <c r="Q538" s="769" t="str">
        <f>IF($F538="","",IFERROR(VLOOKUP($C538&amp;"|"&amp;$D538,科目表!$A$5:$B$200,2,FALSE),"※未登録"))</f>
        <v>非常勤職員手当</v>
      </c>
      <c r="R538" s="769">
        <f>IF($F538="","",$I538+$J538+$K538)</f>
        <v>395611</v>
      </c>
      <c r="S538" s="769" t="str">
        <f>IF(OR($F538="",$P538="支払なし",$H538=0,$Q538=""),"",$Q538&amp;"|S|"&amp;(COUNTIF(S$4:S537,$Q538&amp;"|S|*")+1))</f>
        <v/>
      </c>
      <c r="T538" s="769" t="str">
        <f>IF(OR($F538="",$P538="支払なし",$R538=0,$Q538=""),"",$Q538&amp;"|L|"&amp;(COUNTIF(T$4:T537,$Q538&amp;"|L|*")+1))</f>
        <v>非常勤職員手当|L|15</v>
      </c>
      <c r="U538" s="769">
        <f>IF(OR($F538="",$A538=""),"",MOD(MONTH($A538)-4,12)+1)</f>
        <v>10</v>
      </c>
    </row>
    <row r="539" ht="16.5" customFormat="1" customHeight="1" s="43">
      <c r="A539" s="760" t="n">
        <v>46043</v>
      </c>
      <c r="B539" s="761" t="n"/>
      <c r="C539" s="762" t="inlineStr">
        <is>
          <t>職員給与</t>
        </is>
      </c>
      <c r="D539" s="762" t="inlineStr">
        <is>
          <t>非常勤職員手当</t>
        </is>
      </c>
      <c r="E539" s="762" t="inlineStr">
        <is>
          <t>1月分給与（短期分）</t>
        </is>
      </c>
      <c r="F539" s="764" t="n">
        <v>228265</v>
      </c>
      <c r="G539" s="772" t="n">
        <v>2</v>
      </c>
      <c r="H539" s="765">
        <f>IF(G539=1,F539-I539-J539-K539,IF(G539=2,F539,0))</f>
        <v>228265</v>
      </c>
      <c r="I539" s="765">
        <f>ROUND(IF(G539=1,F539*10/23,IF(G539=3,F539-J539-K539,IF(G539=4,F539,IF(G539=5,F539*10/11,IF(G539=7,F539*10/11,0))))),0)</f>
        <v>0</v>
      </c>
      <c r="J539" s="765">
        <f>ROUND(IF(G539=1,F539/23,IF(G539=3,F539/12,IF(G539=5,F539-I539,IF(G539=8,F539,0)))),0)</f>
        <v>0</v>
      </c>
      <c r="K539" s="766">
        <f>ROUND(IF(G539=1,F539/23,IF(G539=3,F539/12,IF(G539=6,F539,IF(G539=7,F539-I539,0)))),0)</f>
        <v>0</v>
      </c>
      <c r="L539" s="767">
        <f>IF(G539=6,F539,0)</f>
        <v>0</v>
      </c>
      <c r="M539" s="572">
        <f>IF(F539="",0,MONTH(A539))</f>
        <v>1</v>
      </c>
      <c r="P539" s="768" t="inlineStr">
        <is>
          <t>昨年実績</t>
        </is>
      </c>
      <c r="Q539" s="769" t="str">
        <f>IF($F539="","",IFERROR(VLOOKUP($C539&amp;"|"&amp;$D539,科目表!$A$5:$B$200,2,FALSE),"※未登録"))</f>
        <v>非常勤職員手当</v>
      </c>
      <c r="R539" s="769">
        <f>IF($F539="","",$I539+$J539+$K539)</f>
        <v>0</v>
      </c>
      <c r="S539" s="769" t="str">
        <f>IF(OR($F539="",$P539="支払なし",$H539=0,$Q539=""),"",$Q539&amp;"|S|"&amp;(COUNTIF(S$4:S538,$Q539&amp;"|S|*")+1))</f>
        <v>非常勤職員手当|S|13</v>
      </c>
      <c r="T539" s="769" t="str">
        <f>IF(OR($F539="",$P539="支払なし",$R539=0,$Q539=""),"",$Q539&amp;"|L|"&amp;(COUNTIF(T$4:T538,$Q539&amp;"|L|*")+1))</f>
        <v/>
      </c>
      <c r="U539" s="769">
        <f>IF(OR($F539="",$A539=""),"",MOD(MONTH($A539)-4,12)+1)</f>
        <v>10</v>
      </c>
    </row>
    <row r="540" ht="16.5" customFormat="1" customHeight="1" s="43">
      <c r="A540" s="760" t="n">
        <v>46043</v>
      </c>
      <c r="B540" s="761" t="n"/>
      <c r="C540" s="762" t="inlineStr">
        <is>
          <t>負担金</t>
        </is>
      </c>
      <c r="D540" s="762" t="inlineStr">
        <is>
          <t>互助会費</t>
        </is>
      </c>
      <c r="E540" s="762" t="inlineStr">
        <is>
          <t>助成金（1月長期分）</t>
        </is>
      </c>
      <c r="F540" s="764" t="n">
        <v>554</v>
      </c>
      <c r="G540" s="764" t="n">
        <v>3</v>
      </c>
      <c r="H540" s="765">
        <f>IF(G540=1,F540-I540-J540-K540,IF(G540=2,F540,0))</f>
        <v>0</v>
      </c>
      <c r="I540" s="765">
        <f>ROUND(IF(G540=1,F540*10/23,IF(G540=3,F540-J540-K540,IF(G540=4,F540,IF(G540=5,F540*10/11,IF(G540=7,F540*10/11,0))))),0)</f>
        <v>462</v>
      </c>
      <c r="J540" s="765">
        <f>ROUND(IF(G540=1,F540/23,IF(G540=3,F540/12,IF(G540=5,F540-I540,IF(G540=8,F540,0)))),0)</f>
        <v>46</v>
      </c>
      <c r="K540" s="766">
        <f>ROUND(IF(G540=1,F540/23,IF(G540=3,F540/12,IF(G540=6,F540,IF(G540=7,F540-I540,0)))),0)</f>
        <v>46</v>
      </c>
      <c r="L540" s="767">
        <f>IF(G540=6,F540,0)</f>
        <v>0</v>
      </c>
      <c r="M540" s="572">
        <f>IF(F540="",0,MONTH(A540))</f>
        <v>1</v>
      </c>
      <c r="P540" s="768" t="inlineStr">
        <is>
          <t>昨年実績</t>
        </is>
      </c>
      <c r="Q540" s="769" t="str">
        <f>IF($F540="","",IFERROR(VLOOKUP($C540&amp;"|"&amp;$D540,科目表!$A$5:$B$200,2,FALSE),"※未登録"))</f>
        <v>互助会費</v>
      </c>
      <c r="R540" s="769">
        <f>IF($F540="","",$I540+$J540+$K540)</f>
        <v>554</v>
      </c>
      <c r="S540" s="769" t="str">
        <f>IF(OR($F540="",$P540="支払なし",$H540=0,$Q540=""),"",$Q540&amp;"|S|"&amp;(COUNTIF(S$4:S539,$Q540&amp;"|S|*")+1))</f>
        <v/>
      </c>
      <c r="T540" s="769" t="str">
        <f>IF(OR($F540="",$P540="支払なし",$R540=0,$Q540=""),"",$Q540&amp;"|L|"&amp;(COUNTIF(T$4:T539,$Q540&amp;"|L|*")+1))</f>
        <v>互助会費|L|10</v>
      </c>
      <c r="U540" s="769">
        <f>IF(OR($F540="",$A540=""),"",MOD(MONTH($A540)-4,12)+1)</f>
        <v>10</v>
      </c>
    </row>
    <row r="541" ht="16.5" customFormat="1" customHeight="1" s="43">
      <c r="A541" s="760" t="n">
        <v>46043</v>
      </c>
      <c r="B541" s="761" t="n"/>
      <c r="C541" s="762" t="inlineStr">
        <is>
          <t>負担金</t>
        </is>
      </c>
      <c r="D541" s="762" t="inlineStr">
        <is>
          <t>互助会費</t>
        </is>
      </c>
      <c r="E541" s="762" t="inlineStr">
        <is>
          <t>助成金（1月短期分）</t>
        </is>
      </c>
      <c r="F541" s="764" t="n">
        <v>284</v>
      </c>
      <c r="G541" s="764" t="n">
        <v>2</v>
      </c>
      <c r="H541" s="765">
        <f>IF(G541=1,F541-I541-J541-K541,IF(G541=2,F541,0))</f>
        <v>284</v>
      </c>
      <c r="I541" s="765">
        <f>ROUND(IF(G541=1,F541*10/23,IF(G541=3,F541-J541-K541,IF(G541=4,F541,IF(G541=5,F541*10/11,IF(G541=7,F541*10/11,0))))),0)</f>
        <v>0</v>
      </c>
      <c r="J541" s="765">
        <f>ROUND(IF(G541=1,F541/23,IF(G541=3,F541/12,IF(G541=5,F541-I541,IF(G541=8,F541,0)))),0)</f>
        <v>0</v>
      </c>
      <c r="K541" s="766">
        <f>ROUND(IF(G541=1,F541/23,IF(G541=3,F541/12,IF(G541=6,F541,IF(G541=7,F541-I541,0)))),0)</f>
        <v>0</v>
      </c>
      <c r="L541" s="767">
        <f>IF(G541=6,F541,0)</f>
        <v>0</v>
      </c>
      <c r="M541" s="572">
        <f>IF(F541="",0,MONTH(A541))</f>
        <v>1</v>
      </c>
      <c r="P541" s="768" t="inlineStr">
        <is>
          <t>昨年実績</t>
        </is>
      </c>
      <c r="Q541" s="769" t="str">
        <f>IF($F541="","",IFERROR(VLOOKUP($C541&amp;"|"&amp;$D541,科目表!$A$5:$B$200,2,FALSE),"※未登録"))</f>
        <v>互助会費</v>
      </c>
      <c r="R541" s="769">
        <f>IF($F541="","",$I541+$J541+$K541)</f>
        <v>0</v>
      </c>
      <c r="S541" s="769" t="str">
        <f>IF(OR($F541="",$P541="支払なし",$H541=0,$Q541=""),"",$Q541&amp;"|S|"&amp;(COUNTIF(S$4:S540,$Q541&amp;"|S|*")+1))</f>
        <v>互助会費|S|10</v>
      </c>
      <c r="T541" s="769" t="str">
        <f>IF(OR($F541="",$P541="支払なし",$R541=0,$Q541=""),"",$Q541&amp;"|L|"&amp;(COUNTIF(T$4:T540,$Q541&amp;"|L|*")+1))</f>
        <v/>
      </c>
      <c r="U541" s="769">
        <f>IF(OR($F541="",$A541=""),"",MOD(MONTH($A541)-4,12)+1)</f>
        <v>10</v>
      </c>
    </row>
    <row r="542" ht="16.5" customFormat="1" customHeight="1" s="422">
      <c r="A542" s="760" t="n">
        <v>44216</v>
      </c>
      <c r="B542" s="761" t="n"/>
      <c r="C542" s="762" t="inlineStr">
        <is>
          <t>事務費</t>
        </is>
      </c>
      <c r="D542" s="762" t="inlineStr">
        <is>
          <t>通信運搬費</t>
        </is>
      </c>
      <c r="E542" s="762" t="inlineStr">
        <is>
          <t>電話料金（１２月使用・１月請求分）</t>
        </is>
      </c>
      <c r="F542" s="764" t="n">
        <v>5406</v>
      </c>
      <c r="G542" s="764" t="n">
        <v>2</v>
      </c>
      <c r="H542" s="765">
        <f>IF(G542=1,F542-I542-J542-K542,IF(G542=2,F542,0))</f>
        <v>5406</v>
      </c>
      <c r="I542" s="765">
        <f>ROUND(IF(G542=1,F542*10/23,IF(G542=3,F542-J542-K542,IF(G542=4,F542,IF(G542=5,F542*10/11,IF(G542=7,F542*10/11,0))))),0)</f>
        <v>0</v>
      </c>
      <c r="J542" s="765">
        <f>ROUND(IF(G542=1,F542/23,IF(G542=3,F542/12,IF(G542=5,F542-I542,IF(G542=8,F542,0)))),0)</f>
        <v>0</v>
      </c>
      <c r="K542" s="766">
        <f>ROUND(IF(G542=1,F542/23,IF(G542=3,F542/12,IF(G542=6,F542,IF(G542=7,F542-I542,0)))),0)</f>
        <v>0</v>
      </c>
      <c r="L542" s="767">
        <f>IF(G542=6,F542,0)</f>
        <v>0</v>
      </c>
      <c r="M542" s="421">
        <f>IF(F542="",0,MONTH(A542))</f>
        <v>1</v>
      </c>
      <c r="P542" s="768" t="inlineStr">
        <is>
          <t>昨年実績</t>
        </is>
      </c>
      <c r="Q542" s="769" t="str">
        <f>IF($F542="","",IFERROR(VLOOKUP($C542&amp;"|"&amp;$D542,科目表!$A$5:$B$200,2,FALSE),"※未登録"))</f>
        <v>通信運搬費</v>
      </c>
      <c r="R542" s="769">
        <f>IF($F542="","",$I542+$J542+$K542)</f>
        <v>0</v>
      </c>
      <c r="S542" s="769" t="str">
        <f>IF(OR($F542="",$P542="支払なし",$H542=0,$Q542=""),"",$Q542&amp;"|S|"&amp;(COUNTIF(S$4:S541,$Q542&amp;"|S|*")+1))</f>
        <v>通信運搬費|S|56</v>
      </c>
      <c r="T542" s="769" t="str">
        <f>IF(OR($F542="",$P542="支払なし",$R542=0,$Q542=""),"",$Q542&amp;"|L|"&amp;(COUNTIF(T$4:T541,$Q542&amp;"|L|*")+1))</f>
        <v/>
      </c>
      <c r="U542" s="769">
        <f>IF(OR($F542="",$A542=""),"",MOD(MONTH($A542)-4,12)+1)</f>
        <v>10</v>
      </c>
    </row>
    <row r="543" ht="16.5" customFormat="1" customHeight="1" s="422">
      <c r="A543" s="760" t="n">
        <v>44217</v>
      </c>
      <c r="B543" s="761" t="n"/>
      <c r="C543" s="762" t="inlineStr">
        <is>
          <t>職員給与</t>
        </is>
      </c>
      <c r="D543" s="762" t="inlineStr">
        <is>
          <t>非常勤職員手当</t>
        </is>
      </c>
      <c r="E543" s="762" t="inlineStr">
        <is>
          <t>１月分給与（長期分）</t>
        </is>
      </c>
      <c r="F543" s="764" t="n">
        <v>340401</v>
      </c>
      <c r="G543" s="772" t="n">
        <v>3</v>
      </c>
      <c r="H543" s="765">
        <f>IF(G543=1,F543-I543-J543-K543,IF(G543=2,F543,0))</f>
        <v>0</v>
      </c>
      <c r="I543" s="765">
        <f>ROUND(IF(G543=1,F543*10/23,IF(G543=3,F543-J543-K543,IF(G543=4,F543,IF(G543=5,F543*10/11,IF(G543=7,F543*10/11,0))))),0)</f>
        <v>283667</v>
      </c>
      <c r="J543" s="765">
        <f>ROUND(IF(G543=1,F543/23,IF(G543=3,F543/12,IF(G543=5,F543-I543,IF(G543=8,F543,0)))),0)</f>
        <v>28367</v>
      </c>
      <c r="K543" s="766">
        <f>ROUND(IF(G543=1,F543/23,IF(G543=3,F543/12,IF(G543=6,F543,IF(G543=7,F543-I543,0)))),0)</f>
        <v>28367</v>
      </c>
      <c r="L543" s="767">
        <f>IF(G543=6,F543,0)</f>
        <v>0</v>
      </c>
      <c r="M543" s="421">
        <f>IF(F543="",0,MONTH(A543))</f>
        <v>1</v>
      </c>
      <c r="P543" s="768" t="inlineStr">
        <is>
          <t>昨年実績</t>
        </is>
      </c>
      <c r="Q543" s="769" t="str">
        <f>IF($F543="","",IFERROR(VLOOKUP($C543&amp;"|"&amp;$D543,科目表!$A$5:$B$200,2,FALSE),"※未登録"))</f>
        <v>非常勤職員手当</v>
      </c>
      <c r="R543" s="769">
        <f>IF($F543="","",$I543+$J543+$K543)</f>
        <v>340401</v>
      </c>
      <c r="S543" s="769" t="str">
        <f>IF(OR($F543="",$P543="支払なし",$H543=0,$Q543=""),"",$Q543&amp;"|S|"&amp;(COUNTIF(S$4:S542,$Q543&amp;"|S|*")+1))</f>
        <v/>
      </c>
      <c r="T543" s="769" t="str">
        <f>IF(OR($F543="",$P543="支払なし",$R543=0,$Q543=""),"",$Q543&amp;"|L|"&amp;(COUNTIF(T$4:T542,$Q543&amp;"|L|*")+1))</f>
        <v>非常勤職員手当|L|16</v>
      </c>
      <c r="U543" s="769">
        <f>IF(OR($F543="",$A543=""),"",MOD(MONTH($A543)-4,12)+1)</f>
        <v>10</v>
      </c>
    </row>
    <row r="544" ht="16.5" customFormat="1" customHeight="1" s="422">
      <c r="A544" s="760" t="n"/>
      <c r="B544" s="761" t="n"/>
      <c r="C544" s="762" t="n"/>
      <c r="D544" s="762" t="n"/>
      <c r="E544" s="762" t="n"/>
      <c r="F544" s="764" t="n"/>
      <c r="G544" s="764" t="n"/>
      <c r="H544" s="765">
        <f>IF(G544=1,F544-I544-J544-K544,IF(G544=2,F544,0))</f>
        <v>0</v>
      </c>
      <c r="I544" s="765">
        <f>ROUND(IF(G544=1,F544*10/23,IF(G544=3,F544-J544-K544,IF(G544=4,F544,IF(G544=5,F544*10/11,IF(G544=7,F544*10/11,0))))),0)</f>
        <v>0</v>
      </c>
      <c r="J544" s="765">
        <f>ROUND(IF(G544=1,F544/23,IF(G544=3,F544/12,IF(G544=5,F544-I544,IF(G544=8,F544,0)))),0)</f>
        <v>0</v>
      </c>
      <c r="K544" s="766">
        <f>ROUND(IF(G544=1,F544/23,IF(G544=3,F544/12,IF(G544=6,F544,IF(G544=7,F544-I544,0)))),0)</f>
        <v>0</v>
      </c>
      <c r="L544" s="767">
        <f>IF(G544=6,F544,0)</f>
        <v>0</v>
      </c>
      <c r="M544" s="421">
        <f>IF(F544="",0,MONTH(A544))</f>
        <v>0</v>
      </c>
      <c r="P544" s="768" t="n"/>
      <c r="Q544" s="769" t="str">
        <f>IF($F544="","",IFERROR(VLOOKUP($C544&amp;"|"&amp;$D544,科目表!$A$5:$B$200,2,FALSE),"※未登録"))</f>
        <v/>
      </c>
      <c r="R544" s="769" t="str">
        <f>IF($F544="","",$I544+$J544+$K544)</f>
        <v/>
      </c>
      <c r="S544" s="769" t="str">
        <f>IF(OR($F544="",$P544="支払なし",$H544=0,$Q544=""),"",$Q544&amp;"|S|"&amp;(COUNTIF(S$4:S543,$Q544&amp;"|S|*")+1))</f>
        <v/>
      </c>
      <c r="T544" s="769" t="str">
        <f>IF(OR($F544="",$P544="支払なし",$R544=0,$Q544=""),"",$Q544&amp;"|L|"&amp;(COUNTIF(T$4:T543,$Q544&amp;"|L|*")+1))</f>
        <v/>
      </c>
      <c r="U544" s="769" t="str">
        <f>IF(OR($F544="",$A544=""),"",MOD(MONTH($A544)-4,12)+1)</f>
        <v/>
      </c>
    </row>
    <row r="545" ht="16.5" customFormat="1" customHeight="1" s="43">
      <c r="A545" s="760" t="n">
        <v>46052</v>
      </c>
      <c r="B545" s="761" t="n"/>
      <c r="C545" s="762" t="inlineStr">
        <is>
          <t>事務費</t>
        </is>
      </c>
      <c r="D545" s="762" t="inlineStr">
        <is>
          <t>送金料</t>
        </is>
      </c>
      <c r="E545" s="775" t="inlineStr">
        <is>
          <t>ゆうちょ銀行手数料（１２月分）短期</t>
        </is>
      </c>
      <c r="F545" s="764" t="n">
        <v>10578</v>
      </c>
      <c r="G545" s="764" t="n">
        <v>2</v>
      </c>
      <c r="H545" s="765">
        <f>IF(G545=1,F545-I545-J545-K545,IF(G545=2,F545,0))</f>
        <v>10578</v>
      </c>
      <c r="I545" s="765">
        <f>ROUND(IF(G545=1,F545*10/23,IF(G545=3,F545-J545-K545,IF(G545=4,F545,IF(G545=5,F545*10/11,IF(G545=7,F545*10/11,0))))),0)</f>
        <v>0</v>
      </c>
      <c r="J545" s="765">
        <f>ROUND(IF(G545=1,F545/23,IF(G545=3,F545/12,IF(G545=5,F545-I545,IF(G545=8,F545,0)))),0)</f>
        <v>0</v>
      </c>
      <c r="K545" s="766">
        <f>ROUND(IF(G545=1,F545/23,IF(G545=3,F545/12,IF(G545=6,F545,IF(G545=7,F545-I545,0)))),0)</f>
        <v>0</v>
      </c>
      <c r="L545" s="767">
        <f>IF(G545=6,F545,0)</f>
        <v>0</v>
      </c>
      <c r="M545" s="572">
        <f>IF(F545="",0,MONTH(A545))</f>
        <v>1</v>
      </c>
      <c r="P545" s="768" t="inlineStr">
        <is>
          <t>昨年実績</t>
        </is>
      </c>
      <c r="Q545" s="769" t="str">
        <f>IF($F545="","",IFERROR(VLOOKUP($C545&amp;"|"&amp;$D545,科目表!$A$5:$B$200,2,FALSE),"※未登録"))</f>
        <v>送金料</v>
      </c>
      <c r="R545" s="769">
        <f>IF($F545="","",$I545+$J545+$K545)</f>
        <v>0</v>
      </c>
      <c r="S545" s="769" t="str">
        <f>IF(OR($F545="",$P545="支払なし",$H545=0,$Q545=""),"",$Q545&amp;"|S|"&amp;(COUNTIF(S$4:S544,$Q545&amp;"|S|*")+1))</f>
        <v>送金料|S|19</v>
      </c>
      <c r="T545" s="769" t="str">
        <f>IF(OR($F545="",$P545="支払なし",$R545=0,$Q545=""),"",$Q545&amp;"|L|"&amp;(COUNTIF(T$4:T544,$Q545&amp;"|L|*")+1))</f>
        <v/>
      </c>
      <c r="U545" s="769">
        <f>IF(OR($F545="",$A545=""),"",MOD(MONTH($A545)-4,12)+1)</f>
        <v>10</v>
      </c>
    </row>
    <row r="546" ht="16.5" customFormat="1" customHeight="1" s="43">
      <c r="A546" s="760" t="n">
        <v>46052</v>
      </c>
      <c r="B546" s="761" t="n"/>
      <c r="C546" s="762" t="inlineStr">
        <is>
          <t>事務費</t>
        </is>
      </c>
      <c r="D546" s="762" t="inlineStr">
        <is>
          <t>雑費</t>
        </is>
      </c>
      <c r="E546" s="775" t="inlineStr">
        <is>
          <t>ゆうちょ銀行振替口座残高証明（１２月分）短期</t>
        </is>
      </c>
      <c r="F546" s="764" t="n">
        <v>550</v>
      </c>
      <c r="G546" s="764" t="n">
        <v>2</v>
      </c>
      <c r="H546" s="765">
        <f>IF(G546=1,F546-I546-J546-K546,IF(G546=2,F546,0))</f>
        <v>550</v>
      </c>
      <c r="I546" s="765">
        <f>ROUND(IF(G546=1,F546*10/23,IF(G546=3,F546-J546-K546,IF(G546=4,F546,IF(G546=5,F546*10/11,IF(G546=7,F546*10/11,0))))),0)</f>
        <v>0</v>
      </c>
      <c r="J546" s="765">
        <f>ROUND(IF(G546=1,F546/23,IF(G546=3,F546/12,IF(G546=5,F546-I546,IF(G546=8,F546,0)))),0)</f>
        <v>0</v>
      </c>
      <c r="K546" s="766">
        <f>ROUND(IF(G546=1,F546/23,IF(G546=3,F546/12,IF(G546=6,F546,IF(G546=7,F546-I546,0)))),0)</f>
        <v>0</v>
      </c>
      <c r="L546" s="767">
        <f>IF(G546=6,F546,0)</f>
        <v>0</v>
      </c>
      <c r="M546" s="572">
        <f>IF(F546="",0,MONTH(A546))</f>
        <v>1</v>
      </c>
      <c r="P546" s="768" t="inlineStr">
        <is>
          <t>昨年実績</t>
        </is>
      </c>
      <c r="Q546" s="769" t="str">
        <f>IF($F546="","",IFERROR(VLOOKUP($C546&amp;"|"&amp;$D546,科目表!$A$5:$B$200,2,FALSE),"※未登録"))</f>
        <v>事務費・雑費</v>
      </c>
      <c r="R546" s="769">
        <f>IF($F546="","",$I546+$J546+$K546)</f>
        <v>0</v>
      </c>
      <c r="S546" s="769" t="str">
        <f>IF(OR($F546="",$P546="支払なし",$H546=0,$Q546=""),"",$Q546&amp;"|S|"&amp;(COUNTIF(S$4:S545,$Q546&amp;"|S|*")+1))</f>
        <v>事務費・雑費|S|14</v>
      </c>
      <c r="T546" s="769" t="str">
        <f>IF(OR($F546="",$P546="支払なし",$R546=0,$Q546=""),"",$Q546&amp;"|L|"&amp;(COUNTIF(T$4:T545,$Q546&amp;"|L|*")+1))</f>
        <v/>
      </c>
      <c r="U546" s="769">
        <f>IF(OR($F546="",$A546=""),"",MOD(MONTH($A546)-4,12)+1)</f>
        <v>10</v>
      </c>
    </row>
    <row r="547" ht="16.5" customFormat="1" customHeight="1" s="422">
      <c r="A547" s="760" t="n">
        <v>44582</v>
      </c>
      <c r="B547" s="761" t="n"/>
      <c r="C547" s="762" t="inlineStr">
        <is>
          <t>事務費</t>
        </is>
      </c>
      <c r="D547" s="762" t="inlineStr">
        <is>
          <t>雑費</t>
        </is>
      </c>
      <c r="E547" s="784" t="inlineStr">
        <is>
          <t>ゆうちょ銀行トークン利用に係る申込手数料</t>
        </is>
      </c>
      <c r="F547" s="764" t="n">
        <v>825</v>
      </c>
      <c r="G547" s="764" t="n">
        <v>2</v>
      </c>
      <c r="H547" s="765">
        <f>IF(G547=1,F547-I547-J547-K547,IF(G547=2,F547,0))</f>
        <v>825</v>
      </c>
      <c r="I547" s="765">
        <f>ROUND(IF(G547=1,F547*10/23,IF(G547=3,F547-J547-K547,IF(G547=4,F547,IF(G547=5,F547*10/11,IF(G547=7,F547*10/11,0))))),0)</f>
        <v>0</v>
      </c>
      <c r="J547" s="765">
        <f>ROUND(IF(G547=1,F547/23,IF(G547=3,F547/12,IF(G547=5,F547-I547,IF(G547=8,F547,0)))),0)</f>
        <v>0</v>
      </c>
      <c r="K547" s="766">
        <f>ROUND(IF(G547=1,F547/23,IF(G547=3,F547/12,IF(G547=6,F547,IF(G547=7,F547-I547,0)))),0)</f>
        <v>0</v>
      </c>
      <c r="L547" s="767">
        <f>IF(G547=6,F547,0)</f>
        <v>0</v>
      </c>
      <c r="M547" s="421">
        <f>IF(F547="",0,MONTH(A547))</f>
        <v>1</v>
      </c>
      <c r="P547" s="768" t="inlineStr">
        <is>
          <t>昨年実績</t>
        </is>
      </c>
      <c r="Q547" s="769" t="str">
        <f>IF($F547="","",IFERROR(VLOOKUP($C547&amp;"|"&amp;$D547,科目表!$A$5:$B$200,2,FALSE),"※未登録"))</f>
        <v>事務費・雑費</v>
      </c>
      <c r="R547" s="769">
        <f>IF($F547="","",$I547+$J547+$K547)</f>
        <v>0</v>
      </c>
      <c r="S547" s="769" t="str">
        <f>IF(OR($F547="",$P547="支払なし",$H547=0,$Q547=""),"",$Q547&amp;"|S|"&amp;(COUNTIF(S$4:S546,$Q547&amp;"|S|*")+1))</f>
        <v>事務費・雑費|S|15</v>
      </c>
      <c r="T547" s="769" t="str">
        <f>IF(OR($F547="",$P547="支払なし",$R547=0,$Q547=""),"",$Q547&amp;"|L|"&amp;(COUNTIF(T$4:T546,$Q547&amp;"|L|*")+1))</f>
        <v/>
      </c>
      <c r="U547" s="769">
        <f>IF(OR($F547="",$A547=""),"",MOD(MONTH($A547)-4,12)+1)</f>
        <v>10</v>
      </c>
    </row>
    <row r="548" ht="16.5" customFormat="1" customHeight="1" s="43">
      <c r="A548" s="760" t="n">
        <v>46003</v>
      </c>
      <c r="B548" s="761" t="n"/>
      <c r="C548" s="762" t="inlineStr">
        <is>
          <t>旅費</t>
        </is>
      </c>
      <c r="D548" s="762" t="n"/>
      <c r="E548" s="775" t="inlineStr">
        <is>
          <t>12/15 保健事業事務研修会　特別区　上野主事</t>
        </is>
      </c>
      <c r="F548" s="764" t="n">
        <v>50740</v>
      </c>
      <c r="G548" s="764" t="n">
        <v>2</v>
      </c>
      <c r="H548" s="765">
        <f>IF(G548=1,F548-I548-J548-K548,IF(G548=2,F548,0))</f>
        <v>50740</v>
      </c>
      <c r="I548" s="765">
        <f>ROUND(IF(G548=1,F548*10/23,IF(G548=3,F548-J548-K548,IF(G548=4,F548,IF(G548=5,F548*10/11,IF(G548=7,F548*10/11,0))))),0)</f>
        <v>0</v>
      </c>
      <c r="J548" s="765">
        <f>ROUND(IF(G548=1,F548/23,IF(G548=3,F548/12,IF(G548=5,F548-I548,IF(G548=8,F548,0)))),0)</f>
        <v>0</v>
      </c>
      <c r="K548" s="766">
        <f>ROUND(IF(G548=1,F548/23,IF(G548=3,F548/12,IF(G548=6,F548,IF(G548=7,F548-I548,0)))),0)</f>
        <v>0</v>
      </c>
      <c r="L548" s="767">
        <f>IF(G548=6,F548,0)</f>
        <v>0</v>
      </c>
      <c r="M548" s="572">
        <f>IF(F548="",0,MONTH(A548))</f>
        <v>12</v>
      </c>
      <c r="P548" s="768" t="inlineStr">
        <is>
          <t>昨年実績</t>
        </is>
      </c>
      <c r="Q548" s="769" t="str">
        <f>IF($F548="","",IFERROR(VLOOKUP($C548&amp;"|"&amp;$D548,科目表!$A$5:$B$200,2,FALSE),"※未登録"))</f>
        <v>旅費</v>
      </c>
      <c r="R548" s="769">
        <f>IF($F548="","",$I548+$J548+$K548)</f>
        <v>0</v>
      </c>
      <c r="S548" s="769" t="str">
        <f>IF(OR($F548="",$P548="支払なし",$H548=0,$Q548=""),"",$Q548&amp;"|S|"&amp;(COUNTIF(S$4:S547,$Q548&amp;"|S|*")+1))</f>
        <v>旅費|S|18</v>
      </c>
      <c r="T548" s="769" t="str">
        <f>IF(OR($F548="",$P548="支払なし",$R548=0,$Q548=""),"",$Q548&amp;"|L|"&amp;(COUNTIF(T$4:T547,$Q548&amp;"|L|*")+1))</f>
        <v/>
      </c>
      <c r="U548" s="769">
        <f>IF(OR($F548="",$A548=""),"",MOD(MONTH($A548)-4,12)+1)</f>
        <v>9</v>
      </c>
    </row>
    <row r="549" ht="16.5" customFormat="1" customHeight="1" s="43">
      <c r="A549" s="760" t="n">
        <v>46003</v>
      </c>
      <c r="B549" s="761" t="n"/>
      <c r="C549" s="762" t="inlineStr">
        <is>
          <t>旅費</t>
        </is>
      </c>
      <c r="D549" s="762" t="n"/>
      <c r="E549" s="775" t="inlineStr">
        <is>
          <t>12/15 保健事業事務研修会　特別区　半司保健師</t>
        </is>
      </c>
      <c r="F549" s="764" t="n">
        <v>30162</v>
      </c>
      <c r="G549" s="764" t="n">
        <v>2</v>
      </c>
      <c r="H549" s="765">
        <f>IF(G549=1,F549-I549-J549-K549,IF(G549=2,F549,0))</f>
        <v>30162</v>
      </c>
      <c r="I549" s="765">
        <f>ROUND(IF(G549=1,F549*10/23,IF(G549=3,F549-J549-K549,IF(G549=4,F549,IF(G549=5,F549*10/11,IF(G549=7,F549*10/11,0))))),0)</f>
        <v>0</v>
      </c>
      <c r="J549" s="765">
        <f>ROUND(IF(G549=1,F549/23,IF(G549=3,F549/12,IF(G549=5,F549-I549,IF(G549=8,F549,0)))),0)</f>
        <v>0</v>
      </c>
      <c r="K549" s="766">
        <f>ROUND(IF(G549=1,F549/23,IF(G549=3,F549/12,IF(G549=6,F549,IF(G549=7,F549-I549,0)))),0)</f>
        <v>0</v>
      </c>
      <c r="L549" s="767">
        <f>IF(G549=6,F549,0)</f>
        <v>0</v>
      </c>
      <c r="M549" s="572">
        <f>IF(F549="",0,MONTH(A549))</f>
        <v>12</v>
      </c>
      <c r="P549" s="768" t="inlineStr">
        <is>
          <t>昨年実績</t>
        </is>
      </c>
      <c r="Q549" s="769" t="str">
        <f>IF($F549="","",IFERROR(VLOOKUP($C549&amp;"|"&amp;$D549,科目表!$A$5:$B$200,2,FALSE),"※未登録"))</f>
        <v>旅費</v>
      </c>
      <c r="R549" s="769">
        <f>IF($F549="","",$I549+$J549+$K549)</f>
        <v>0</v>
      </c>
      <c r="S549" s="769" t="str">
        <f>IF(OR($F549="",$P549="支払なし",$H549=0,$Q549=""),"",$Q549&amp;"|S|"&amp;(COUNTIF(S$4:S548,$Q549&amp;"|S|*")+1))</f>
        <v>旅費|S|19</v>
      </c>
      <c r="T549" s="769" t="str">
        <f>IF(OR($F549="",$P549="支払なし",$R549=0,$Q549=""),"",$Q549&amp;"|L|"&amp;(COUNTIF(T$4:T548,$Q549&amp;"|L|*")+1))</f>
        <v/>
      </c>
      <c r="U549" s="769">
        <f>IF(OR($F549="",$A549=""),"",MOD(MONTH($A549)-4,12)+1)</f>
        <v>9</v>
      </c>
    </row>
    <row r="550" ht="16.5" customFormat="1" customHeight="1" s="422">
      <c r="A550" s="760" t="n">
        <v>45686</v>
      </c>
      <c r="B550" s="761" t="n"/>
      <c r="C550" s="762" t="inlineStr">
        <is>
          <t>負担金</t>
        </is>
      </c>
      <c r="D550" s="762" t="inlineStr">
        <is>
          <t>負担金</t>
        </is>
      </c>
      <c r="E550" s="762" t="inlineStr">
        <is>
          <t>共済短期・介護負担金（給与改定差額分）長期</t>
        </is>
      </c>
      <c r="F550" s="772" t="n">
        <v>764</v>
      </c>
      <c r="G550" s="772" t="n">
        <v>3</v>
      </c>
      <c r="H550" s="765">
        <f>IF(G550=1,F550-I550-J550-K550,IF(G550=2,F550,0))</f>
        <v>0</v>
      </c>
      <c r="I550" s="765">
        <f>ROUND(IF(G550=1,F550*10/23,IF(G550=3,F550-J550-K550,IF(G550=4,F550,IF(G550=5,F550*10/11,IF(G550=7,F550*10/11,0))))),0)</f>
        <v>636</v>
      </c>
      <c r="J550" s="765">
        <f>ROUND(IF(G550=1,F550/23,IF(G550=3,F550/12,IF(G550=5,F550-I550,IF(G550=8,F550,0)))),0)</f>
        <v>64</v>
      </c>
      <c r="K550" s="766">
        <f>ROUND(IF(G550=1,F550/23,IF(G550=3,F550/12,IF(G550=6,F550,IF(G550=7,F550-I550,0)))),0)</f>
        <v>64</v>
      </c>
      <c r="L550" s="767">
        <f>IF(G550=6,F550,0)</f>
        <v>0</v>
      </c>
      <c r="M550" s="421">
        <f>IF(F550="",0,MONTH(A550))</f>
        <v>1</v>
      </c>
      <c r="P550" s="768" t="inlineStr">
        <is>
          <t>昨年実績</t>
        </is>
      </c>
      <c r="Q550" s="769" t="str">
        <f>IF($F550="","",IFERROR(VLOOKUP($C550&amp;"|"&amp;$D550,科目表!$A$5:$B$200,2,FALSE),"※未登録"))</f>
        <v>共済負担金等</v>
      </c>
      <c r="R550" s="769">
        <f>IF($F550="","",$I550+$J550+$K550)</f>
        <v>764</v>
      </c>
      <c r="S550" s="769" t="str">
        <f>IF(OR($F550="",$P550="支払なし",$H550=0,$Q550=""),"",$Q550&amp;"|S|"&amp;(COUNTIF(S$4:S549,$Q550&amp;"|S|*")+1))</f>
        <v/>
      </c>
      <c r="T550" s="769" t="str">
        <f>IF(OR($F550="",$P550="支払なし",$R550=0,$Q550=""),"",$Q550&amp;"|L|"&amp;(COUNTIF(T$4:T549,$Q550&amp;"|L|*")+1))</f>
        <v>共済負担金等|L|15</v>
      </c>
      <c r="U550" s="769">
        <f>IF(OR($F550="",$A550=""),"",MOD(MONTH($A550)-4,12)+1)</f>
        <v>10</v>
      </c>
    </row>
    <row r="551" ht="16.5" customFormat="1" customHeight="1" s="422">
      <c r="A551" s="760" t="n">
        <v>43494</v>
      </c>
      <c r="B551" s="761" t="n"/>
      <c r="C551" s="762" t="inlineStr">
        <is>
          <t>旅費</t>
        </is>
      </c>
      <c r="D551" s="762" t="n"/>
      <c r="E551" s="775" t="inlineStr">
        <is>
          <t>1/31・2/1　包括照会支援システム研修会　調布市　石井主査</t>
        </is>
      </c>
      <c r="F551" s="772" t="n">
        <v>50300</v>
      </c>
      <c r="G551" s="772" t="n">
        <v>3</v>
      </c>
      <c r="H551" s="765">
        <f>IF(G551=1,F551-I551-J551-K551,IF(G551=2,F551,0))</f>
        <v>0</v>
      </c>
      <c r="I551" s="765">
        <f>ROUND(IF(G551=1,F551*10/23,IF(G551=3,F551-J551-K551,IF(G551=4,F551,IF(G551=5,F551*10/11,IF(G551=7,F551*10/11,0))))),0)</f>
        <v>41916</v>
      </c>
      <c r="J551" s="765">
        <f>ROUND(IF(G551=1,F551/23,IF(G551=3,F551/12,IF(G551=5,F551-I551,IF(G551=8,F551,0)))),0)</f>
        <v>4192</v>
      </c>
      <c r="K551" s="766">
        <f>ROUND(IF(G551=1,F551/23,IF(G551=3,F551/12,IF(G551=6,F551,IF(G551=7,F551-I551,0)))),0)</f>
        <v>4192</v>
      </c>
      <c r="L551" s="767">
        <f>IF(G551=6,F551,0)</f>
        <v>0</v>
      </c>
      <c r="M551" s="421">
        <f>IF(F551="",0,MONTH(A551))</f>
        <v>1</v>
      </c>
      <c r="P551" s="768" t="inlineStr">
        <is>
          <t>昨年実績</t>
        </is>
      </c>
      <c r="Q551" s="769" t="str">
        <f>IF($F551="","",IFERROR(VLOOKUP($C551&amp;"|"&amp;$D551,科目表!$A$5:$B$200,2,FALSE),"※未登録"))</f>
        <v>旅費</v>
      </c>
      <c r="R551" s="769">
        <f>IF($F551="","",$I551+$J551+$K551)</f>
        <v>50300</v>
      </c>
      <c r="S551" s="769" t="str">
        <f>IF(OR($F551="",$P551="支払なし",$H551=0,$Q551=""),"",$Q551&amp;"|S|"&amp;(COUNTIF(S$4:S550,$Q551&amp;"|S|*")+1))</f>
        <v/>
      </c>
      <c r="T551" s="769" t="str">
        <f>IF(OR($F551="",$P551="支払なし",$R551=0,$Q551=""),"",$Q551&amp;"|L|"&amp;(COUNTIF(T$4:T550,$Q551&amp;"|L|*")+1))</f>
        <v>旅費|L|18</v>
      </c>
      <c r="U551" s="769">
        <f>IF(OR($F551="",$A551=""),"",MOD(MONTH($A551)-4,12)+1)</f>
        <v>10</v>
      </c>
    </row>
    <row r="552" ht="16.5" customFormat="1" customHeight="1" s="43">
      <c r="A552" s="760" t="n">
        <v>46045</v>
      </c>
      <c r="B552" s="761" t="n"/>
      <c r="C552" s="762" t="inlineStr">
        <is>
          <t>負担金</t>
        </is>
      </c>
      <c r="D552" s="762" t="inlineStr">
        <is>
          <t>互助会費</t>
        </is>
      </c>
      <c r="E552" s="762" t="inlineStr">
        <is>
          <t>助成金（給与改定差額分：長期）</t>
        </is>
      </c>
      <c r="F552" s="764" t="n">
        <v>171</v>
      </c>
      <c r="G552" s="764" t="n">
        <v>3</v>
      </c>
      <c r="H552" s="765">
        <f>IF(G552=1,F552-I552-J552-K552,IF(G552=2,F552,0))</f>
        <v>0</v>
      </c>
      <c r="I552" s="765">
        <f>ROUND(IF(G552=1,F552*10/23,IF(G552=3,F552-J552-K552,IF(G552=4,F552,IF(G552=5,F552*10/11,IF(G552=7,F552*10/11,0))))),0)</f>
        <v>143</v>
      </c>
      <c r="J552" s="765">
        <f>ROUND(IF(G552=1,F552/23,IF(G552=3,F552/12,IF(G552=5,F552-I552,IF(G552=8,F552,0)))),0)</f>
        <v>14</v>
      </c>
      <c r="K552" s="766">
        <f>ROUND(IF(G552=1,F552/23,IF(G552=3,F552/12,IF(G552=6,F552,IF(G552=7,F552-I552,0)))),0)</f>
        <v>14</v>
      </c>
      <c r="L552" s="767">
        <f>IF(G552=6,F552,0)</f>
        <v>0</v>
      </c>
      <c r="M552" s="572">
        <f>IF(F552="",0,MONTH(A552))</f>
        <v>1</v>
      </c>
      <c r="P552" s="768" t="inlineStr">
        <is>
          <t>昨年実績</t>
        </is>
      </c>
      <c r="Q552" s="769" t="str">
        <f>IF($F552="","",IFERROR(VLOOKUP($C552&amp;"|"&amp;$D552,科目表!$A$5:$B$200,2,FALSE),"※未登録"))</f>
        <v>互助会費</v>
      </c>
      <c r="R552" s="769">
        <f>IF($F552="","",$I552+$J552+$K552)</f>
        <v>171</v>
      </c>
      <c r="S552" s="769" t="str">
        <f>IF(OR($F552="",$P552="支払なし",$H552=0,$Q552=""),"",$Q552&amp;"|S|"&amp;(COUNTIF(S$4:S551,$Q552&amp;"|S|*")+1))</f>
        <v/>
      </c>
      <c r="T552" s="769" t="str">
        <f>IF(OR($F552="",$P552="支払なし",$R552=0,$Q552=""),"",$Q552&amp;"|L|"&amp;(COUNTIF(T$4:T551,$Q552&amp;"|L|*")+1))</f>
        <v>互助会費|L|11</v>
      </c>
      <c r="U552" s="769">
        <f>IF(OR($F552="",$A552=""),"",MOD(MONTH($A552)-4,12)+1)</f>
        <v>10</v>
      </c>
    </row>
    <row r="553" ht="16.5" customFormat="1" customHeight="1" s="43">
      <c r="A553" s="760" t="n">
        <v>46045</v>
      </c>
      <c r="B553" s="761" t="n"/>
      <c r="C553" s="762" t="inlineStr">
        <is>
          <t>負担金</t>
        </is>
      </c>
      <c r="D553" s="762" t="inlineStr">
        <is>
          <t>互助会費</t>
        </is>
      </c>
      <c r="E553" s="762" t="inlineStr">
        <is>
          <t>助成金（給与改定差額分：短期）</t>
        </is>
      </c>
      <c r="F553" s="764" t="n">
        <v>72</v>
      </c>
      <c r="G553" s="764" t="n">
        <v>2</v>
      </c>
      <c r="H553" s="765">
        <f>IF(G553=1,F553-I553-J553-K553,IF(G553=2,F553,0))</f>
        <v>72</v>
      </c>
      <c r="I553" s="765">
        <f>ROUND(IF(G553=1,F553*10/23,IF(G553=3,F553-J553-K553,IF(G553=4,F553,IF(G553=5,F553*10/11,IF(G553=7,F553*10/11,0))))),0)</f>
        <v>0</v>
      </c>
      <c r="J553" s="765">
        <f>ROUND(IF(G553=1,F553/23,IF(G553=3,F553/12,IF(G553=5,F553-I553,IF(G553=8,F553,0)))),0)</f>
        <v>0</v>
      </c>
      <c r="K553" s="766">
        <f>ROUND(IF(G553=1,F553/23,IF(G553=3,F553/12,IF(G553=6,F553,IF(G553=7,F553-I553,0)))),0)</f>
        <v>0</v>
      </c>
      <c r="L553" s="767">
        <f>IF(G553=6,F553,0)</f>
        <v>0</v>
      </c>
      <c r="M553" s="572">
        <f>IF(F553="",0,MONTH(A553))</f>
        <v>1</v>
      </c>
      <c r="P553" s="768" t="inlineStr">
        <is>
          <t>昨年実績</t>
        </is>
      </c>
      <c r="Q553" s="769" t="str">
        <f>IF($F553="","",IFERROR(VLOOKUP($C553&amp;"|"&amp;$D553,科目表!$A$5:$B$200,2,FALSE),"※未登録"))</f>
        <v>互助会費</v>
      </c>
      <c r="R553" s="769">
        <f>IF($F553="","",$I553+$J553+$K553)</f>
        <v>0</v>
      </c>
      <c r="S553" s="769" t="str">
        <f>IF(OR($F553="",$P553="支払なし",$H553=0,$Q553=""),"",$Q553&amp;"|S|"&amp;(COUNTIF(S$4:S552,$Q553&amp;"|S|*")+1))</f>
        <v>互助会費|S|11</v>
      </c>
      <c r="T553" s="769" t="str">
        <f>IF(OR($F553="",$P553="支払なし",$R553=0,$Q553=""),"",$Q553&amp;"|L|"&amp;(COUNTIF(T$4:T552,$Q553&amp;"|L|*")+1))</f>
        <v/>
      </c>
      <c r="U553" s="769">
        <f>IF(OR($F553="",$A553=""),"",MOD(MONTH($A553)-4,12)+1)</f>
        <v>10</v>
      </c>
    </row>
    <row r="554" ht="16.5" customFormat="1" customHeight="1" s="422">
      <c r="A554" s="760" t="n">
        <v>45309</v>
      </c>
      <c r="B554" s="761" t="n"/>
      <c r="C554" s="762" t="inlineStr">
        <is>
          <t>事務費</t>
        </is>
      </c>
      <c r="D554" s="762" t="inlineStr">
        <is>
          <t>通信運搬費</t>
        </is>
      </c>
      <c r="E554" s="763" t="inlineStr">
        <is>
          <t>切手</t>
        </is>
      </c>
      <c r="F554" s="772" t="n">
        <v>148800</v>
      </c>
      <c r="G554" s="772" t="n">
        <v>3</v>
      </c>
      <c r="H554" s="765">
        <f>IF(G554=1,F554-I554-J554-K554,IF(G554=2,F554,0))</f>
        <v>0</v>
      </c>
      <c r="I554" s="765">
        <f>ROUND(IF(G554=1,F554*10/23,IF(G554=3,F554-J554-K554,IF(G554=4,F554,IF(G554=5,F554*10/11,IF(G554=7,F554*10/11,0))))),0)</f>
        <v>124000</v>
      </c>
      <c r="J554" s="765">
        <f>ROUND(IF(G554=1,F554/23,IF(G554=3,F554/12,IF(G554=5,F554-I554,IF(G554=8,F554,0)))),0)</f>
        <v>12400</v>
      </c>
      <c r="K554" s="766">
        <f>ROUND(IF(G554=1,F554/23,IF(G554=3,F554/12,IF(G554=6,F554,IF(G554=7,F554-I554,0)))),0)</f>
        <v>12400</v>
      </c>
      <c r="L554" s="767">
        <f>IF(G554=6,F554,0)</f>
        <v>0</v>
      </c>
      <c r="M554" s="421">
        <f>IF(F554="",0,MONTH(A554))</f>
        <v>1</v>
      </c>
      <c r="P554" s="768" t="inlineStr">
        <is>
          <t>昨年実績</t>
        </is>
      </c>
      <c r="Q554" s="769" t="str">
        <f>IF($F554="","",IFERROR(VLOOKUP($C554&amp;"|"&amp;$D554,科目表!$A$5:$B$200,2,FALSE),"※未登録"))</f>
        <v>通信運搬費</v>
      </c>
      <c r="R554" s="769">
        <f>IF($F554="","",$I554+$J554+$K554)</f>
        <v>148800</v>
      </c>
      <c r="S554" s="769" t="str">
        <f>IF(OR($F554="",$P554="支払なし",$H554=0,$Q554=""),"",$Q554&amp;"|S|"&amp;(COUNTIF(S$4:S553,$Q554&amp;"|S|*")+1))</f>
        <v/>
      </c>
      <c r="T554" s="769" t="str">
        <f>IF(OR($F554="",$P554="支払なし",$R554=0,$Q554=""),"",$Q554&amp;"|L|"&amp;(COUNTIF(T$4:T553,$Q554&amp;"|L|*")+1))</f>
        <v>通信運搬費|L|22</v>
      </c>
      <c r="U554" s="769">
        <f>IF(OR($F554="",$A554=""),"",MOD(MONTH($A554)-4,12)+1)</f>
        <v>10</v>
      </c>
    </row>
    <row r="555" ht="16.5" customFormat="1" customHeight="1" s="422">
      <c r="A555" s="760" t="n">
        <v>44225</v>
      </c>
      <c r="B555" s="761" t="n"/>
      <c r="C555" s="762" t="inlineStr">
        <is>
          <t>委託費</t>
        </is>
      </c>
      <c r="D555" s="762" t="n"/>
      <c r="E555" s="777" t="inlineStr">
        <is>
          <t>短期給付個人番号管理システム端末保守サービス（１2月分）</t>
        </is>
      </c>
      <c r="F555" s="764" t="n">
        <v>385</v>
      </c>
      <c r="G555" s="764" t="n">
        <v>2</v>
      </c>
      <c r="H555" s="765">
        <f>IF(G555=1,F555-I555-J555-K555,IF(G555=2,F555,0))</f>
        <v>385</v>
      </c>
      <c r="I555" s="765">
        <f>ROUND(IF(G555=1,F555*10/23,IF(G555=3,F555-J555-K555,IF(G555=4,F555,IF(G555=5,F555*10/11,IF(G555=7,F555*10/11,0))))),0)</f>
        <v>0</v>
      </c>
      <c r="J555" s="765">
        <f>ROUND(IF(G555=1,F555/23,IF(G555=3,F555/12,IF(G555=5,F555-I555,IF(G555=8,F555,0)))),0)</f>
        <v>0</v>
      </c>
      <c r="K555" s="766">
        <f>ROUND(IF(G555=1,F555/23,IF(G555=3,F555/12,IF(G555=6,F555,IF(G555=7,F555-I555,0)))),0)</f>
        <v>0</v>
      </c>
      <c r="L555" s="767">
        <f>IF(G555=6,F555,0)</f>
        <v>0</v>
      </c>
      <c r="M555" s="421">
        <f>IF(F555="",0,MONTH(A555))</f>
        <v>1</v>
      </c>
      <c r="P555" s="768" t="inlineStr">
        <is>
          <t>昨年実績</t>
        </is>
      </c>
      <c r="Q555" s="769" t="str">
        <f>IF($F555="","",IFERROR(VLOOKUP($C555&amp;"|"&amp;$D555,科目表!$A$5:$B$200,2,FALSE),"※未登録"))</f>
        <v>委託費</v>
      </c>
      <c r="R555" s="769">
        <f>IF($F555="","",$I555+$J555+$K555)</f>
        <v>0</v>
      </c>
      <c r="S555" s="769" t="str">
        <f>IF(OR($F555="",$P555="支払なし",$H555=0,$Q555=""),"",$Q555&amp;"|S|"&amp;(COUNTIF(S$4:S554,$Q555&amp;"|S|*")+1))</f>
        <v>委託費|S|57</v>
      </c>
      <c r="T555" s="769" t="str">
        <f>IF(OR($F555="",$P555="支払なし",$R555=0,$Q555=""),"",$Q555&amp;"|L|"&amp;(COUNTIF(T$4:T554,$Q555&amp;"|L|*")+1))</f>
        <v/>
      </c>
      <c r="U555" s="769">
        <f>IF(OR($F555="",$A555=""),"",MOD(MONTH($A555)-4,12)+1)</f>
        <v>10</v>
      </c>
    </row>
    <row r="556" ht="16.5" customFormat="1" customHeight="1" s="43">
      <c r="A556" s="760" t="n">
        <v>46051</v>
      </c>
      <c r="B556" s="761" t="n"/>
      <c r="C556" s="762" t="inlineStr">
        <is>
          <t>賃借料</t>
        </is>
      </c>
      <c r="D556" s="762" t="n"/>
      <c r="E556" s="775" t="inlineStr">
        <is>
          <t>基幹システム用機器賃借料　１２月分（長期）</t>
        </is>
      </c>
      <c r="F556" s="764" t="n">
        <v>69613</v>
      </c>
      <c r="G556" s="764" t="n">
        <v>3</v>
      </c>
      <c r="H556" s="765">
        <f>IF(G556=1,F556-I556-J556-K556,IF(G556=2,F556,0))</f>
        <v>0</v>
      </c>
      <c r="I556" s="765">
        <f>ROUND(IF(G556=1,F556*10/23,IF(G556=3,F556-J556-K556,IF(G556=4,F556,IF(G556=5,F556*10/11,IF(G556=7,F556*10/11,0))))),0)</f>
        <v>58011</v>
      </c>
      <c r="J556" s="765">
        <f>ROUND(IF(G556=1,F556/23,IF(G556=3,F556/12,IF(G556=5,F556-I556,IF(G556=8,F556,0)))),0)</f>
        <v>5801</v>
      </c>
      <c r="K556" s="766">
        <f>ROUND(IF(G556=1,F556/23,IF(G556=3,F556/12,IF(G556=6,F556,IF(G556=7,F556-I556,0)))),0)</f>
        <v>5801</v>
      </c>
      <c r="L556" s="767">
        <f>IF(G556=6,F556,0)</f>
        <v>0</v>
      </c>
      <c r="M556" s="572">
        <f>IF(F556="",0,MONTH(A556))</f>
        <v>1</v>
      </c>
      <c r="P556" s="768" t="inlineStr">
        <is>
          <t>昨年実績</t>
        </is>
      </c>
      <c r="Q556" s="769" t="str">
        <f>IF($F556="","",IFERROR(VLOOKUP($C556&amp;"|"&amp;$D556,科目表!$A$5:$B$200,2,FALSE),"※未登録"))</f>
        <v>賃借料</v>
      </c>
      <c r="R556" s="769">
        <f>IF($F556="","",$I556+$J556+$K556)</f>
        <v>69613</v>
      </c>
      <c r="S556" s="769" t="str">
        <f>IF(OR($F556="",$P556="支払なし",$H556=0,$Q556=""),"",$Q556&amp;"|S|"&amp;(COUNTIF(S$4:S555,$Q556&amp;"|S|*")+1))</f>
        <v/>
      </c>
      <c r="T556" s="769" t="str">
        <f>IF(OR($F556="",$P556="支払なし",$R556=0,$Q556=""),"",$Q556&amp;"|L|"&amp;(COUNTIF(T$4:T555,$Q556&amp;"|L|*")+1))</f>
        <v>賃借料|L|18</v>
      </c>
      <c r="U556" s="769">
        <f>IF(OR($F556="",$A556=""),"",MOD(MONTH($A556)-4,12)+1)</f>
        <v>10</v>
      </c>
    </row>
    <row r="557" ht="16.5" customFormat="1" customHeight="1" s="43">
      <c r="A557" s="760" t="n">
        <v>46051</v>
      </c>
      <c r="B557" s="761" t="n"/>
      <c r="C557" s="762" t="inlineStr">
        <is>
          <t>賃借料</t>
        </is>
      </c>
      <c r="D557" s="762" t="n"/>
      <c r="E557" s="775" t="inlineStr">
        <is>
          <t>基幹システム用機器賃借料　１２月分（短期）</t>
        </is>
      </c>
      <c r="F557" s="764" t="n">
        <v>672934</v>
      </c>
      <c r="G557" s="764" t="n">
        <v>2</v>
      </c>
      <c r="H557" s="765">
        <f>IF(G557=1,F557-I557-J557-K557,IF(G557=2,F557,0))</f>
        <v>672934</v>
      </c>
      <c r="I557" s="765">
        <f>ROUND(IF(G557=1,F557*10/23,IF(G557=3,F557-J557-K557,IF(G557=4,F557,IF(G557=5,F557*10/11,IF(G557=7,F557*10/11,0))))),0)</f>
        <v>0</v>
      </c>
      <c r="J557" s="765">
        <f>ROUND(IF(G557=1,F557/23,IF(G557=3,F557/12,IF(G557=5,F557-I557,IF(G557=8,F557,0)))),0)</f>
        <v>0</v>
      </c>
      <c r="K557" s="766">
        <f>ROUND(IF(G557=1,F557/23,IF(G557=3,F557/12,IF(G557=6,F557,IF(G557=7,F557-I557,0)))),0)</f>
        <v>0</v>
      </c>
      <c r="L557" s="767">
        <f>IF(G557=6,F557,0)</f>
        <v>0</v>
      </c>
      <c r="M557" s="572">
        <f>IF(F557="",0,MONTH(A557))</f>
        <v>1</v>
      </c>
      <c r="P557" s="768" t="inlineStr">
        <is>
          <t>昨年実績</t>
        </is>
      </c>
      <c r="Q557" s="769" t="str">
        <f>IF($F557="","",IFERROR(VLOOKUP($C557&amp;"|"&amp;$D557,科目表!$A$5:$B$200,2,FALSE),"※未登録"))</f>
        <v>賃借料</v>
      </c>
      <c r="R557" s="769">
        <f>IF($F557="","",$I557+$J557+$K557)</f>
        <v>0</v>
      </c>
      <c r="S557" s="769" t="str">
        <f>IF(OR($F557="",$P557="支払なし",$H557=0,$Q557=""),"",$Q557&amp;"|S|"&amp;(COUNTIF(S$4:S556,$Q557&amp;"|S|*")+1))</f>
        <v>賃借料|S|47</v>
      </c>
      <c r="T557" s="769" t="str">
        <f>IF(OR($F557="",$P557="支払なし",$R557=0,$Q557=""),"",$Q557&amp;"|L|"&amp;(COUNTIF(T$4:T556,$Q557&amp;"|L|*")+1))</f>
        <v/>
      </c>
      <c r="U557" s="769">
        <f>IF(OR($F557="",$A557=""),"",MOD(MONTH($A557)-4,12)+1)</f>
        <v>10</v>
      </c>
    </row>
    <row r="558" ht="16.5" customFormat="1" customHeight="1" s="422">
      <c r="A558" s="760" t="n">
        <v>44225</v>
      </c>
      <c r="B558" s="761" t="n"/>
      <c r="C558" s="762" t="inlineStr">
        <is>
          <t>事務費</t>
        </is>
      </c>
      <c r="D558" s="762" t="inlineStr">
        <is>
          <t>図書印刷費</t>
        </is>
      </c>
      <c r="E558" s="762" t="inlineStr">
        <is>
          <t>ジェネリック差額通知書</t>
        </is>
      </c>
      <c r="F558" s="764" t="n">
        <v>70400</v>
      </c>
      <c r="G558" s="764" t="n">
        <v>2</v>
      </c>
      <c r="H558" s="765">
        <f>IF(G558=1,F558-I558-J558-K558,IF(G558=2,F558,0))</f>
        <v>70400</v>
      </c>
      <c r="I558" s="765">
        <f>ROUND(IF(G558=1,F558*10/23,IF(G558=3,F558-J558-K558,IF(G558=4,F558,IF(G558=5,F558*10/11,IF(G558=7,F558*10/11,0))))),0)</f>
        <v>0</v>
      </c>
      <c r="J558" s="765">
        <f>ROUND(IF(G558=1,F558/23,IF(G558=3,F558/12,IF(G558=5,F558-I558,IF(G558=8,F558,0)))),0)</f>
        <v>0</v>
      </c>
      <c r="K558" s="766">
        <f>ROUND(IF(G558=1,F558/23,IF(G558=3,F558/12,IF(G558=6,F558,IF(G558=7,F558-I558,0)))),0)</f>
        <v>0</v>
      </c>
      <c r="L558" s="767">
        <f>IF(G558=6,F558,0)</f>
        <v>0</v>
      </c>
      <c r="M558" s="421">
        <f>IF(F558="",0,MONTH(A558))</f>
        <v>1</v>
      </c>
      <c r="P558" s="768" t="inlineStr">
        <is>
          <t>昨年実績</t>
        </is>
      </c>
      <c r="Q558" s="769" t="str">
        <f>IF($F558="","",IFERROR(VLOOKUP($C558&amp;"|"&amp;$D558,科目表!$A$5:$B$200,2,FALSE),"※未登録"))</f>
        <v>図書印刷費</v>
      </c>
      <c r="R558" s="769">
        <f>IF($F558="","",$I558+$J558+$K558)</f>
        <v>0</v>
      </c>
      <c r="S558" s="769" t="str">
        <f>IF(OR($F558="",$P558="支払なし",$H558=0,$Q558=""),"",$Q558&amp;"|S|"&amp;(COUNTIF(S$4:S557,$Q558&amp;"|S|*")+1))</f>
        <v>図書印刷費|S|27</v>
      </c>
      <c r="T558" s="769" t="str">
        <f>IF(OR($F558="",$P558="支払なし",$R558=0,$Q558=""),"",$Q558&amp;"|L|"&amp;(COUNTIF(T$4:T557,$Q558&amp;"|L|*")+1))</f>
        <v/>
      </c>
      <c r="U558" s="769">
        <f>IF(OR($F558="",$A558=""),"",MOD(MONTH($A558)-4,12)+1)</f>
        <v>10</v>
      </c>
    </row>
    <row r="559" ht="16.5" customFormat="1" customHeight="1" s="43">
      <c r="A559" s="760" t="n">
        <v>46052</v>
      </c>
      <c r="B559" s="761" t="n"/>
      <c r="C559" s="762" t="inlineStr">
        <is>
          <t>事務費</t>
        </is>
      </c>
      <c r="D559" s="762" t="inlineStr">
        <is>
          <t>図書印刷費</t>
        </is>
      </c>
      <c r="E559" s="770" t="inlineStr">
        <is>
          <t>厚生法規総覧追録　６０５６－６０６５号</t>
        </is>
      </c>
      <c r="F559" s="764" t="n">
        <v>33154</v>
      </c>
      <c r="G559" s="764" t="n">
        <v>2</v>
      </c>
      <c r="H559" s="765">
        <f>IF(G559=1,F559-I559-J559-K559,IF(G559=2,F559,0))</f>
        <v>33154</v>
      </c>
      <c r="I559" s="765">
        <f>ROUND(IF(G559=1,F559*10/23,IF(G559=3,F559-J559-K559,IF(G559=4,F559,IF(G559=5,F559*10/11,IF(G559=7,F559*10/11,0))))),0)</f>
        <v>0</v>
      </c>
      <c r="J559" s="765">
        <f>ROUND(IF(G559=1,F559/23,IF(G559=3,F559/12,IF(G559=5,F559-I559,IF(G559=8,F559,0)))),0)</f>
        <v>0</v>
      </c>
      <c r="K559" s="766">
        <f>ROUND(IF(G559=1,F559/23,IF(G559=3,F559/12,IF(G559=6,F559,IF(G559=7,F559-I559,0)))),0)</f>
        <v>0</v>
      </c>
      <c r="L559" s="767">
        <f>IF(G559=6,F559,0)</f>
        <v>0</v>
      </c>
      <c r="M559" s="572">
        <f>IF(F559="",0,MONTH(A559))</f>
        <v>1</v>
      </c>
      <c r="P559" s="768" t="inlineStr">
        <is>
          <t>昨年実績</t>
        </is>
      </c>
      <c r="Q559" s="769" t="str">
        <f>IF($F559="","",IFERROR(VLOOKUP($C559&amp;"|"&amp;$D559,科目表!$A$5:$B$200,2,FALSE),"※未登録"))</f>
        <v>図書印刷費</v>
      </c>
      <c r="R559" s="769">
        <f>IF($F559="","",$I559+$J559+$K559)</f>
        <v>0</v>
      </c>
      <c r="S559" s="769" t="str">
        <f>IF(OR($F559="",$P559="支払なし",$H559=0,$Q559=""),"",$Q559&amp;"|S|"&amp;(COUNTIF(S$4:S558,$Q559&amp;"|S|*")+1))</f>
        <v>図書印刷費|S|28</v>
      </c>
      <c r="T559" s="769" t="str">
        <f>IF(OR($F559="",$P559="支払なし",$R559=0,$Q559=""),"",$Q559&amp;"|L|"&amp;(COUNTIF(T$4:T558,$Q559&amp;"|L|*")+1))</f>
        <v/>
      </c>
      <c r="U559" s="769">
        <f>IF(OR($F559="",$A559=""),"",MOD(MONTH($A559)-4,12)+1)</f>
        <v>10</v>
      </c>
    </row>
    <row r="560" ht="16.5" customFormat="1" customHeight="1" s="422">
      <c r="A560" s="760" t="n">
        <v>45322</v>
      </c>
      <c r="B560" s="761" t="n"/>
      <c r="C560" s="762" t="inlineStr">
        <is>
          <t>事務費</t>
        </is>
      </c>
      <c r="D560" s="762" t="inlineStr">
        <is>
          <t>通信運搬費</t>
        </is>
      </c>
      <c r="E560" s="762" t="inlineStr">
        <is>
          <t>メール便（任継者宛厚生だより１月分）</t>
        </is>
      </c>
      <c r="F560" s="772" t="n">
        <v>17640</v>
      </c>
      <c r="G560" s="764" t="n">
        <v>2</v>
      </c>
      <c r="H560" s="765">
        <f>IF(G560=1,F560-I560-J560-K560,IF(G560=2,F560,0))</f>
        <v>17640</v>
      </c>
      <c r="I560" s="765">
        <f>ROUND(IF(G560=1,F560*10/23,IF(G560=3,F560-J560-K560,IF(G560=4,F560,IF(G560=5,F560*10/11,IF(G560=7,F560*10/11,0))))),0)</f>
        <v>0</v>
      </c>
      <c r="J560" s="765">
        <f>ROUND(IF(G560=1,F560/23,IF(G560=3,F560/12,IF(G560=5,F560-I560,IF(G560=8,F560,0)))),0)</f>
        <v>0</v>
      </c>
      <c r="K560" s="766">
        <f>ROUND(IF(G560=1,F560/23,IF(G560=3,F560/12,IF(G560=6,F560,IF(G560=7,F560-I560,0)))),0)</f>
        <v>0</v>
      </c>
      <c r="L560" s="767">
        <f>IF(G560=6,F560,0)</f>
        <v>0</v>
      </c>
      <c r="M560" s="421">
        <f>IF(F560="",0,MONTH(A560))</f>
        <v>1</v>
      </c>
      <c r="P560" s="768" t="inlineStr">
        <is>
          <t>昨年実績</t>
        </is>
      </c>
      <c r="Q560" s="769" t="str">
        <f>IF($F560="","",IFERROR(VLOOKUP($C560&amp;"|"&amp;$D560,科目表!$A$5:$B$200,2,FALSE),"※未登録"))</f>
        <v>通信運搬費</v>
      </c>
      <c r="R560" s="769">
        <f>IF($F560="","",$I560+$J560+$K560)</f>
        <v>0</v>
      </c>
      <c r="S560" s="769" t="str">
        <f>IF(OR($F560="",$P560="支払なし",$H560=0,$Q560=""),"",$Q560&amp;"|S|"&amp;(COUNTIF(S$4:S559,$Q560&amp;"|S|*")+1))</f>
        <v>通信運搬費|S|57</v>
      </c>
      <c r="T560" s="769" t="str">
        <f>IF(OR($F560="",$P560="支払なし",$R560=0,$Q560=""),"",$Q560&amp;"|L|"&amp;(COUNTIF(T$4:T559,$Q560&amp;"|L|*")+1))</f>
        <v/>
      </c>
      <c r="U560" s="769">
        <f>IF(OR($F560="",$A560=""),"",MOD(MONTH($A560)-4,12)+1)</f>
        <v>10</v>
      </c>
    </row>
    <row r="561" ht="16.5" customFormat="1" customHeight="1" s="422">
      <c r="A561" s="760" t="n">
        <v>45688</v>
      </c>
      <c r="B561" s="761" t="n"/>
      <c r="C561" s="762" t="inlineStr">
        <is>
          <t>事務費</t>
        </is>
      </c>
      <c r="D561" s="762" t="inlineStr">
        <is>
          <t>事務用消耗品費</t>
        </is>
      </c>
      <c r="E561" s="770" t="inlineStr">
        <is>
          <t>HDMI　ケーブル　LDC-14HDM10  ２個 他</t>
        </is>
      </c>
      <c r="F561" s="764" t="n">
        <v>5147</v>
      </c>
      <c r="G561" s="764" t="n">
        <v>2</v>
      </c>
      <c r="H561" s="765">
        <f>IF(G561=1,F561-I561-J561-K561,IF(G561=2,F561,0))</f>
        <v>5147</v>
      </c>
      <c r="I561" s="765">
        <f>ROUND(IF(G561=1,F561*10/23,IF(G561=3,F561-J561-K561,IF(G561=4,F561,IF(G561=5,F561*10/11,IF(G561=7,F561*10/11,0))))),0)</f>
        <v>0</v>
      </c>
      <c r="J561" s="765">
        <f>ROUND(IF(G561=1,F561/23,IF(G561=3,F561/12,IF(G561=5,F561-I561,IF(G561=8,F561,0)))),0)</f>
        <v>0</v>
      </c>
      <c r="K561" s="766">
        <f>ROUND(IF(G561=1,F561/23,IF(G561=3,F561/12,IF(G561=6,F561,IF(G561=7,F561-I561,0)))),0)</f>
        <v>0</v>
      </c>
      <c r="L561" s="767">
        <f>IF(G561=6,F561,0)</f>
        <v>0</v>
      </c>
      <c r="M561" s="421">
        <f>IF(F561="",0,MONTH(A561))</f>
        <v>1</v>
      </c>
      <c r="P561" s="768" t="inlineStr">
        <is>
          <t>昨年実績</t>
        </is>
      </c>
      <c r="Q561" s="769" t="str">
        <f>IF($F561="","",IFERROR(VLOOKUP($C561&amp;"|"&amp;$D561,科目表!$A$5:$B$200,2,FALSE),"※未登録"))</f>
        <v>事務用消耗品費</v>
      </c>
      <c r="R561" s="769">
        <f>IF($F561="","",$I561+$J561+$K561)</f>
        <v>0</v>
      </c>
      <c r="S561" s="769" t="str">
        <f>IF(OR($F561="",$P561="支払なし",$H561=0,$Q561=""),"",$Q561&amp;"|S|"&amp;(COUNTIF(S$4:S560,$Q561&amp;"|S|*")+1))</f>
        <v>事務用消耗品費|S|36</v>
      </c>
      <c r="T561" s="769" t="str">
        <f>IF(OR($F561="",$P561="支払なし",$R561=0,$Q561=""),"",$Q561&amp;"|L|"&amp;(COUNTIF(T$4:T560,$Q561&amp;"|L|*")+1))</f>
        <v/>
      </c>
      <c r="U561" s="769">
        <f>IF(OR($F561="",$A561=""),"",MOD(MONTH($A561)-4,12)+1)</f>
        <v>10</v>
      </c>
    </row>
    <row r="562" ht="16.5" customFormat="1" customHeight="1" s="422">
      <c r="A562" s="760" t="n">
        <v>44592</v>
      </c>
      <c r="B562" s="761" t="n"/>
      <c r="C562" s="762" t="inlineStr">
        <is>
          <t>事務費</t>
        </is>
      </c>
      <c r="D562" s="762" t="inlineStr">
        <is>
          <t>事務用消耗品費</t>
        </is>
      </c>
      <c r="E562" s="775" t="inlineStr">
        <is>
          <t>定着ユニット</t>
        </is>
      </c>
      <c r="F562" s="764" t="n">
        <v>9735</v>
      </c>
      <c r="G562" s="764" t="n">
        <v>3</v>
      </c>
      <c r="H562" s="765">
        <f>IF(G562=1,F562-I562-J562-K562,IF(G562=2,F562,0))</f>
        <v>0</v>
      </c>
      <c r="I562" s="765">
        <f>ROUND(IF(G562=1,F562*10/23,IF(G562=3,F562-J562-K562,IF(G562=4,F562,IF(G562=5,F562*10/11,IF(G562=7,F562*10/11,0))))),0)</f>
        <v>8113</v>
      </c>
      <c r="J562" s="765">
        <f>ROUND(IF(G562=1,F562/23,IF(G562=3,F562/12,IF(G562=5,F562-I562,IF(G562=8,F562,0)))),0)</f>
        <v>811</v>
      </c>
      <c r="K562" s="766">
        <f>ROUND(IF(G562=1,F562/23,IF(G562=3,F562/12,IF(G562=6,F562,IF(G562=7,F562-I562,0)))),0)</f>
        <v>811</v>
      </c>
      <c r="L562" s="767">
        <f>IF(G562=6,F562,0)</f>
        <v>0</v>
      </c>
      <c r="M562" s="421">
        <f>IF(F562="",0,MONTH(A562))</f>
        <v>1</v>
      </c>
      <c r="P562" s="768" t="inlineStr">
        <is>
          <t>昨年実績</t>
        </is>
      </c>
      <c r="Q562" s="769" t="str">
        <f>IF($F562="","",IFERROR(VLOOKUP($C562&amp;"|"&amp;$D562,科目表!$A$5:$B$200,2,FALSE),"※未登録"))</f>
        <v>事務用消耗品費</v>
      </c>
      <c r="R562" s="769">
        <f>IF($F562="","",$I562+$J562+$K562)</f>
        <v>9735</v>
      </c>
      <c r="S562" s="769" t="str">
        <f>IF(OR($F562="",$P562="支払なし",$H562=0,$Q562=""),"",$Q562&amp;"|S|"&amp;(COUNTIF(S$4:S561,$Q562&amp;"|S|*")+1))</f>
        <v/>
      </c>
      <c r="T562" s="769" t="str">
        <f>IF(OR($F562="",$P562="支払なし",$R562=0,$Q562=""),"",$Q562&amp;"|L|"&amp;(COUNTIF(T$4:T561,$Q562&amp;"|L|*")+1))</f>
        <v>事務用消耗品費|L|21</v>
      </c>
      <c r="U562" s="769">
        <f>IF(OR($F562="",$A562=""),"",MOD(MONTH($A562)-4,12)+1)</f>
        <v>10</v>
      </c>
    </row>
    <row r="563" ht="16.5" customFormat="1" customHeight="1" s="422">
      <c r="A563" s="760" t="n">
        <v>43496</v>
      </c>
      <c r="B563" s="761" t="n"/>
      <c r="C563" s="762" t="inlineStr">
        <is>
          <t>委託費</t>
        </is>
      </c>
      <c r="D563" s="762" t="n"/>
      <c r="E563" s="775" t="inlineStr">
        <is>
          <t>秘密文書回収運搬等業務</t>
        </is>
      </c>
      <c r="F563" s="764" t="n">
        <v>92746</v>
      </c>
      <c r="G563" s="764" t="n">
        <v>2</v>
      </c>
      <c r="H563" s="765">
        <f>IF(G563=1,F563-I563-J563-K563,IF(G563=2,F563,0))</f>
        <v>92746</v>
      </c>
      <c r="I563" s="765">
        <f>ROUND(IF(G563=1,F563*10/23,IF(G563=3,F563-J563-K563,IF(G563=4,F563,IF(G563=5,F563*10/11,IF(G563=7,F563*10/11,0))))),0)</f>
        <v>0</v>
      </c>
      <c r="J563" s="765">
        <f>ROUND(IF(G563=1,F563/23,IF(G563=3,F563/12,IF(G563=5,F563-I563,IF(G563=8,F563,0)))),0)</f>
        <v>0</v>
      </c>
      <c r="K563" s="766">
        <f>ROUND(IF(G563=1,F563/23,IF(G563=3,F563/12,IF(G563=6,F563,IF(G563=7,F563-I563,0)))),0)</f>
        <v>0</v>
      </c>
      <c r="L563" s="767">
        <f>IF(G563=6,F563,0)</f>
        <v>0</v>
      </c>
      <c r="M563" s="421">
        <f>IF(F563="",0,MONTH(A563))</f>
        <v>1</v>
      </c>
      <c r="P563" s="768" t="inlineStr">
        <is>
          <t>昨年実績</t>
        </is>
      </c>
      <c r="Q563" s="769" t="str">
        <f>IF($F563="","",IFERROR(VLOOKUP($C563&amp;"|"&amp;$D563,科目表!$A$5:$B$200,2,FALSE),"※未登録"))</f>
        <v>委託費</v>
      </c>
      <c r="R563" s="769">
        <f>IF($F563="","",$I563+$J563+$K563)</f>
        <v>0</v>
      </c>
      <c r="S563" s="769" t="str">
        <f>IF(OR($F563="",$P563="支払なし",$H563=0,$Q563=""),"",$Q563&amp;"|S|"&amp;(COUNTIF(S$4:S562,$Q563&amp;"|S|*")+1))</f>
        <v>委託費|S|58</v>
      </c>
      <c r="T563" s="769" t="str">
        <f>IF(OR($F563="",$P563="支払なし",$R563=0,$Q563=""),"",$Q563&amp;"|L|"&amp;(COUNTIF(T$4:T562,$Q563&amp;"|L|*")+1))</f>
        <v/>
      </c>
      <c r="U563" s="769">
        <f>IF(OR($F563="",$A563=""),"",MOD(MONTH($A563)-4,12)+1)</f>
        <v>10</v>
      </c>
    </row>
    <row r="564" ht="16.5" customFormat="1" customHeight="1" s="422">
      <c r="A564" s="760" t="n">
        <v>45322</v>
      </c>
      <c r="B564" s="804" t="n"/>
      <c r="C564" s="762" t="inlineStr">
        <is>
          <t>事務費</t>
        </is>
      </c>
      <c r="D564" s="762" t="inlineStr">
        <is>
          <t>通信運搬費</t>
        </is>
      </c>
      <c r="E564" s="775" t="inlineStr">
        <is>
          <t>柔整申請書送付（１２月分）</t>
        </is>
      </c>
      <c r="F564" s="764" t="n">
        <v>1489</v>
      </c>
      <c r="G564" s="764" t="n">
        <v>2</v>
      </c>
      <c r="H564" s="765">
        <f>IF(G564=1,F564-I564-J564-K564,IF(G564=2,F564,0))</f>
        <v>1489</v>
      </c>
      <c r="I564" s="765">
        <f>ROUND(IF(G564=1,F564*10/23,IF(G564=3,F564-J564-K564,IF(G564=4,F564,IF(G564=5,F564*10/11,IF(G564=7,F564*10/11,0))))),0)</f>
        <v>0</v>
      </c>
      <c r="J564" s="765">
        <f>ROUND(IF(G564=1,F564/23,IF(G564=3,F564/12,IF(G564=5,F564-I564,IF(G564=8,F564,0)))),0)</f>
        <v>0</v>
      </c>
      <c r="K564" s="766">
        <f>ROUND(IF(G564=1,F564/23,IF(G564=3,F564/12,IF(G564=6,F564,IF(G564=7,F564-I564,0)))),0)</f>
        <v>0</v>
      </c>
      <c r="L564" s="767">
        <f>IF(G564=6,F564,0)</f>
        <v>0</v>
      </c>
      <c r="M564" s="421">
        <f>IF(F564="",0,MONTH(A564))</f>
        <v>1</v>
      </c>
      <c r="P564" s="768" t="inlineStr">
        <is>
          <t>昨年実績</t>
        </is>
      </c>
      <c r="Q564" s="769" t="str">
        <f>IF($F564="","",IFERROR(VLOOKUP($C564&amp;"|"&amp;$D564,科目表!$A$5:$B$200,2,FALSE),"※未登録"))</f>
        <v>通信運搬費</v>
      </c>
      <c r="R564" s="769">
        <f>IF($F564="","",$I564+$J564+$K564)</f>
        <v>0</v>
      </c>
      <c r="S564" s="769" t="str">
        <f>IF(OR($F564="",$P564="支払なし",$H564=0,$Q564=""),"",$Q564&amp;"|S|"&amp;(COUNTIF(S$4:S563,$Q564&amp;"|S|*")+1))</f>
        <v>通信運搬費|S|58</v>
      </c>
      <c r="T564" s="769" t="str">
        <f>IF(OR($F564="",$P564="支払なし",$R564=0,$Q564=""),"",$Q564&amp;"|L|"&amp;(COUNTIF(T$4:T563,$Q564&amp;"|L|*")+1))</f>
        <v/>
      </c>
      <c r="U564" s="769">
        <f>IF(OR($F564="",$A564=""),"",MOD(MONTH($A564)-4,12)+1)</f>
        <v>10</v>
      </c>
    </row>
    <row r="565" ht="16.5" customFormat="1" customHeight="1" s="422">
      <c r="A565" s="760" t="n">
        <v>45688</v>
      </c>
      <c r="B565" s="761" t="n"/>
      <c r="C565" s="762" t="inlineStr">
        <is>
          <t>事務費</t>
        </is>
      </c>
      <c r="D565" s="762" t="inlineStr">
        <is>
          <t>事務用消耗品費</t>
        </is>
      </c>
      <c r="E565" s="770" t="inlineStr">
        <is>
          <t>輪ゴム　B105J/No.16 192-292  8箱 他</t>
        </is>
      </c>
      <c r="F565" s="764" t="n">
        <v>19566</v>
      </c>
      <c r="G565" s="764" t="n">
        <v>2</v>
      </c>
      <c r="H565" s="765">
        <f>IF(G565=1,F565-I565-J565-K565,IF(G565=2,F565,0))</f>
        <v>19566</v>
      </c>
      <c r="I565" s="765">
        <f>ROUND(IF(G565=1,F565*10/23,IF(G565=3,F565-J565-K565,IF(G565=4,F565,IF(G565=5,F565*10/11,IF(G565=7,F565*10/11,0))))),0)</f>
        <v>0</v>
      </c>
      <c r="J565" s="765">
        <f>ROUND(IF(G565=1,F565/23,IF(G565=3,F565/12,IF(G565=5,F565-I565,IF(G565=8,F565,0)))),0)</f>
        <v>0</v>
      </c>
      <c r="K565" s="766">
        <f>ROUND(IF(G565=1,F565/23,IF(G565=3,F565/12,IF(G565=6,F565,IF(G565=7,F565-I565,0)))),0)</f>
        <v>0</v>
      </c>
      <c r="L565" s="767">
        <f>IF(G565=6,F565,0)</f>
        <v>0</v>
      </c>
      <c r="M565" s="421">
        <f>IF(F565="",0,MONTH(A565))</f>
        <v>1</v>
      </c>
      <c r="P565" s="768" t="inlineStr">
        <is>
          <t>昨年実績</t>
        </is>
      </c>
      <c r="Q565" s="769" t="str">
        <f>IF($F565="","",IFERROR(VLOOKUP($C565&amp;"|"&amp;$D565,科目表!$A$5:$B$200,2,FALSE),"※未登録"))</f>
        <v>事務用消耗品費</v>
      </c>
      <c r="R565" s="769">
        <f>IF($F565="","",$I565+$J565+$K565)</f>
        <v>0</v>
      </c>
      <c r="S565" s="769" t="str">
        <f>IF(OR($F565="",$P565="支払なし",$H565=0,$Q565=""),"",$Q565&amp;"|S|"&amp;(COUNTIF(S$4:S564,$Q565&amp;"|S|*")+1))</f>
        <v>事務用消耗品費|S|37</v>
      </c>
      <c r="T565" s="769" t="str">
        <f>IF(OR($F565="",$P565="支払なし",$R565=0,$Q565=""),"",$Q565&amp;"|L|"&amp;(COUNTIF(T$4:T564,$Q565&amp;"|L|*")+1))</f>
        <v/>
      </c>
      <c r="U565" s="769">
        <f>IF(OR($F565="",$A565=""),"",MOD(MONTH($A565)-4,12)+1)</f>
        <v>10</v>
      </c>
    </row>
    <row r="566" ht="16.5" customFormat="1" customHeight="1" s="43">
      <c r="A566" s="760" t="n">
        <v>46051</v>
      </c>
      <c r="B566" s="761" t="n"/>
      <c r="C566" s="762" t="inlineStr">
        <is>
          <t>事務費</t>
        </is>
      </c>
      <c r="D566" s="762" t="inlineStr">
        <is>
          <t>通信運搬費</t>
        </is>
      </c>
      <c r="E566" s="762" t="inlineStr">
        <is>
          <t>料金後納利用料（１２月分）</t>
        </is>
      </c>
      <c r="F566" s="782" t="n">
        <v>1243800</v>
      </c>
      <c r="G566" s="772" t="n">
        <v>3</v>
      </c>
      <c r="H566" s="765">
        <f>IF(G566=1,F566-I566-J566-K566,IF(G566=2,F566,0))</f>
        <v>0</v>
      </c>
      <c r="I566" s="765">
        <f>ROUND(IF(G566=1,F566*10/23,IF(G566=3,F566-J566-K566,IF(G566=4,F566,IF(G566=5,F566*10/11,IF(G566=7,F566*10/11,0))))),0)</f>
        <v>1036500</v>
      </c>
      <c r="J566" s="765">
        <f>ROUND(IF(G566=1,F566/23,IF(G566=3,F566/12,IF(G566=5,F566-I566,IF(G566=8,F566,0)))),0)</f>
        <v>103650</v>
      </c>
      <c r="K566" s="766">
        <f>ROUND(IF(G566=1,F566/23,IF(G566=3,F566/12,IF(G566=6,F566,IF(G566=7,F566-I566,0)))),0)</f>
        <v>103650</v>
      </c>
      <c r="L566" s="767">
        <f>IF(G566=6,F566,0)</f>
        <v>0</v>
      </c>
      <c r="M566" s="572">
        <f>IF(F566="",0,MONTH(A566))</f>
        <v>1</v>
      </c>
      <c r="P566" s="768" t="inlineStr">
        <is>
          <t>昨年実績</t>
        </is>
      </c>
      <c r="Q566" s="769" t="str">
        <f>IF($F566="","",IFERROR(VLOOKUP($C566&amp;"|"&amp;$D566,科目表!$A$5:$B$200,2,FALSE),"※未登録"))</f>
        <v>通信運搬費</v>
      </c>
      <c r="R566" s="769">
        <f>IF($F566="","",$I566+$J566+$K566)</f>
        <v>1243800</v>
      </c>
      <c r="S566" s="769" t="str">
        <f>IF(OR($F566="",$P566="支払なし",$H566=0,$Q566=""),"",$Q566&amp;"|S|"&amp;(COUNTIF(S$4:S565,$Q566&amp;"|S|*")+1))</f>
        <v/>
      </c>
      <c r="T566" s="769" t="str">
        <f>IF(OR($F566="",$P566="支払なし",$R566=0,$Q566=""),"",$Q566&amp;"|L|"&amp;(COUNTIF(T$4:T565,$Q566&amp;"|L|*")+1))</f>
        <v>通信運搬費|L|23</v>
      </c>
      <c r="U566" s="769">
        <f>IF(OR($F566="",$A566=""),"",MOD(MONTH($A566)-4,12)+1)</f>
        <v>10</v>
      </c>
    </row>
    <row r="567" ht="16.5" customFormat="1" customHeight="1" s="43">
      <c r="A567" s="760" t="n">
        <v>46051</v>
      </c>
      <c r="B567" s="761" t="n"/>
      <c r="C567" s="762" t="inlineStr">
        <is>
          <t>事務費</t>
        </is>
      </c>
      <c r="D567" s="762" t="inlineStr">
        <is>
          <t>通信運搬費</t>
        </is>
      </c>
      <c r="E567" s="762" t="inlineStr">
        <is>
          <t>料金後納利用料（１２月分）</t>
        </is>
      </c>
      <c r="F567" s="782" t="n">
        <v>28530</v>
      </c>
      <c r="G567" s="772" t="n">
        <v>2</v>
      </c>
      <c r="H567" s="765">
        <f>IF(G567=1,F567-I567-J567-K567,IF(G567=2,F567,0))</f>
        <v>28530</v>
      </c>
      <c r="I567" s="765">
        <f>ROUND(IF(G567=1,F567*10/23,IF(G567=3,F567-J567-K567,IF(G567=4,F567,IF(G567=5,F567*10/11,IF(G567=7,F567*10/11,0))))),0)</f>
        <v>0</v>
      </c>
      <c r="J567" s="765">
        <f>ROUND(IF(G567=1,F567/23,IF(G567=3,F567/12,IF(G567=5,F567-I567,IF(G567=8,F567,0)))),0)</f>
        <v>0</v>
      </c>
      <c r="K567" s="766">
        <f>ROUND(IF(G567=1,F567/23,IF(G567=3,F567/12,IF(G567=6,F567,IF(G567=7,F567-I567,0)))),0)</f>
        <v>0</v>
      </c>
      <c r="L567" s="767">
        <f>IF(G567=6,F567,0)</f>
        <v>0</v>
      </c>
      <c r="M567" s="572">
        <f>IF(F567="",0,MONTH(A567))</f>
        <v>1</v>
      </c>
      <c r="P567" s="768" t="inlineStr">
        <is>
          <t>昨年実績</t>
        </is>
      </c>
      <c r="Q567" s="769" t="str">
        <f>IF($F567="","",IFERROR(VLOOKUP($C567&amp;"|"&amp;$D567,科目表!$A$5:$B$200,2,FALSE),"※未登録"))</f>
        <v>通信運搬費</v>
      </c>
      <c r="R567" s="769">
        <f>IF($F567="","",$I567+$J567+$K567)</f>
        <v>0</v>
      </c>
      <c r="S567" s="769" t="str">
        <f>IF(OR($F567="",$P567="支払なし",$H567=0,$Q567=""),"",$Q567&amp;"|S|"&amp;(COUNTIF(S$4:S566,$Q567&amp;"|S|*")+1))</f>
        <v>通信運搬費|S|59</v>
      </c>
      <c r="T567" s="769" t="str">
        <f>IF(OR($F567="",$P567="支払なし",$R567=0,$Q567=""),"",$Q567&amp;"|L|"&amp;(COUNTIF(T$4:T566,$Q567&amp;"|L|*")+1))</f>
        <v/>
      </c>
      <c r="U567" s="769">
        <f>IF(OR($F567="",$A567=""),"",MOD(MONTH($A567)-4,12)+1)</f>
        <v>10</v>
      </c>
    </row>
    <row r="568" ht="16.5" customFormat="1" customHeight="1" s="43">
      <c r="A568" s="760" t="n">
        <v>46055</v>
      </c>
      <c r="B568" s="761" t="n"/>
      <c r="C568" s="762" t="inlineStr">
        <is>
          <t>事務費</t>
        </is>
      </c>
      <c r="D568" s="762" t="inlineStr">
        <is>
          <t>通信運搬費</t>
        </is>
      </c>
      <c r="E568" s="777" t="inlineStr">
        <is>
          <t>インターネット通信料金（１１・１２月利用・１月請求分）</t>
        </is>
      </c>
      <c r="F568" s="772" t="n">
        <v>3663</v>
      </c>
      <c r="G568" s="772" t="n">
        <v>2</v>
      </c>
      <c r="H568" s="765">
        <f>IF(G568=1,F568-I568-J568-K568,IF(G568=2,F568,0))</f>
        <v>3663</v>
      </c>
      <c r="I568" s="765">
        <f>ROUND(IF(G568=1,F568*10/23,IF(G568=3,F568-J568-K568,IF(G568=4,F568,IF(G568=5,F568*10/11,IF(G568=7,F568*10/11,0))))),0)</f>
        <v>0</v>
      </c>
      <c r="J568" s="765">
        <f>ROUND(IF(G568=1,F568/23,IF(G568=3,F568/12,IF(G568=5,F568-I568,IF(G568=8,F568,0)))),0)</f>
        <v>0</v>
      </c>
      <c r="K568" s="766">
        <f>ROUND(IF(G568=1,F568/23,IF(G568=3,F568/12,IF(G568=6,F568,IF(G568=7,F568-I568,0)))),0)</f>
        <v>0</v>
      </c>
      <c r="L568" s="767">
        <f>IF(G568=6,F568,0)</f>
        <v>0</v>
      </c>
      <c r="M568" s="572">
        <f>IF(F568="",0,MONTH(A568))</f>
        <v>2</v>
      </c>
      <c r="P568" s="768" t="inlineStr">
        <is>
          <t>昨年実績</t>
        </is>
      </c>
      <c r="Q568" s="769" t="str">
        <f>IF($F568="","",IFERROR(VLOOKUP($C568&amp;"|"&amp;$D568,科目表!$A$5:$B$200,2,FALSE),"※未登録"))</f>
        <v>通信運搬費</v>
      </c>
      <c r="R568" s="769">
        <f>IF($F568="","",$I568+$J568+$K568)</f>
        <v>0</v>
      </c>
      <c r="S568" s="769" t="str">
        <f>IF(OR($F568="",$P568="支払なし",$H568=0,$Q568=""),"",$Q568&amp;"|S|"&amp;(COUNTIF(S$4:S567,$Q568&amp;"|S|*")+1))</f>
        <v>通信運搬費|S|60</v>
      </c>
      <c r="T568" s="769" t="str">
        <f>IF(OR($F568="",$P568="支払なし",$R568=0,$Q568=""),"",$Q568&amp;"|L|"&amp;(COUNTIF(T$4:T567,$Q568&amp;"|L|*")+1))</f>
        <v/>
      </c>
      <c r="U568" s="769">
        <f>IF(OR($F568="",$A568=""),"",MOD(MONTH($A568)-4,12)+1)</f>
        <v>11</v>
      </c>
    </row>
    <row r="569" ht="16.5" customFormat="1" customHeight="1" s="422">
      <c r="A569" s="760" t="n">
        <v>43861</v>
      </c>
      <c r="B569" s="761" t="n"/>
      <c r="C569" s="762" t="inlineStr">
        <is>
          <t>賃借料</t>
        </is>
      </c>
      <c r="D569" s="762" t="n"/>
      <c r="E569" s="763" t="inlineStr">
        <is>
          <t>基幹システム（短期）用機器リース料１２月分</t>
        </is>
      </c>
      <c r="F569" s="772" t="n">
        <v>193676</v>
      </c>
      <c r="G569" s="772" t="n">
        <v>2</v>
      </c>
      <c r="H569" s="765">
        <f>IF(G569=1,F569-I569-J569-K569,IF(G569=2,F569,0))</f>
        <v>193676</v>
      </c>
      <c r="I569" s="765">
        <f>ROUND(IF(G569=1,F569*10/23,IF(G569=3,F569-J569-K569,IF(G569=4,F569,IF(G569=5,F569*10/11,IF(G569=7,F569*10/11,0))))),0)</f>
        <v>0</v>
      </c>
      <c r="J569" s="765">
        <f>ROUND(IF(G569=1,F569/23,IF(G569=3,F569/12,IF(G569=5,F569-I569,IF(G569=8,F569,0)))),0)</f>
        <v>0</v>
      </c>
      <c r="K569" s="766">
        <f>ROUND(IF(G569=1,F569/23,IF(G569=3,F569/12,IF(G569=6,F569,IF(G569=7,F569-I569,0)))),0)</f>
        <v>0</v>
      </c>
      <c r="L569" s="767">
        <f>IF(G569=6,F569,0)</f>
        <v>0</v>
      </c>
      <c r="M569" s="421">
        <f>IF(F569="",0,MONTH(A569))</f>
        <v>1</v>
      </c>
      <c r="P569" s="768" t="inlineStr">
        <is>
          <t>昨年実績</t>
        </is>
      </c>
      <c r="Q569" s="769" t="str">
        <f>IF($F569="","",IFERROR(VLOOKUP($C569&amp;"|"&amp;$D569,科目表!$A$5:$B$200,2,FALSE),"※未登録"))</f>
        <v>賃借料</v>
      </c>
      <c r="R569" s="769">
        <f>IF($F569="","",$I569+$J569+$K569)</f>
        <v>0</v>
      </c>
      <c r="S569" s="769" t="str">
        <f>IF(OR($F569="",$P569="支払なし",$H569=0,$Q569=""),"",$Q569&amp;"|S|"&amp;(COUNTIF(S$4:S568,$Q569&amp;"|S|*")+1))</f>
        <v>賃借料|S|48</v>
      </c>
      <c r="T569" s="769" t="str">
        <f>IF(OR($F569="",$P569="支払なし",$R569=0,$Q569=""),"",$Q569&amp;"|L|"&amp;(COUNTIF(T$4:T568,$Q569&amp;"|L|*")+1))</f>
        <v/>
      </c>
      <c r="U569" s="769">
        <f>IF(OR($F569="",$A569=""),"",MOD(MONTH($A569)-4,12)+1)</f>
        <v>10</v>
      </c>
    </row>
    <row r="570" ht="16.5" customFormat="1" customHeight="1" s="43">
      <c r="A570" s="760" t="n">
        <v>46050</v>
      </c>
      <c r="B570" s="761" t="n"/>
      <c r="C570" s="762" t="inlineStr">
        <is>
          <t>負担金</t>
        </is>
      </c>
      <c r="D570" s="762" t="inlineStr">
        <is>
          <t>負担金</t>
        </is>
      </c>
      <c r="E570" s="762" t="inlineStr">
        <is>
          <t>共済短期・介護負担金（1月月例分）長期</t>
        </is>
      </c>
      <c r="F570" s="772" t="n">
        <v>22835</v>
      </c>
      <c r="G570" s="772" t="n">
        <v>3</v>
      </c>
      <c r="H570" s="765">
        <f>IF(G570=1,F570-I570-J570-K570,IF(G570=2,F570,0))</f>
        <v>0</v>
      </c>
      <c r="I570" s="765">
        <f>ROUND(IF(G570=1,F570*10/23,IF(G570=3,F570-J570-K570,IF(G570=4,F570,IF(G570=5,F570*10/11,IF(G570=7,F570*10/11,0))))),0)</f>
        <v>19029</v>
      </c>
      <c r="J570" s="765">
        <f>ROUND(IF(G570=1,F570/23,IF(G570=3,F570/12,IF(G570=5,F570-I570,IF(G570=8,F570,0)))),0)</f>
        <v>1903</v>
      </c>
      <c r="K570" s="766">
        <f>ROUND(IF(G570=1,F570/23,IF(G570=3,F570/12,IF(G570=6,F570,IF(G570=7,F570-I570,0)))),0)</f>
        <v>1903</v>
      </c>
      <c r="L570" s="767">
        <f>IF(G570=6,F570,0)</f>
        <v>0</v>
      </c>
      <c r="M570" s="572">
        <f>IF(F570="",0,MONTH(A570))</f>
        <v>1</v>
      </c>
      <c r="P570" s="768" t="inlineStr">
        <is>
          <t>昨年実績</t>
        </is>
      </c>
      <c r="Q570" s="769" t="str">
        <f>IF($F570="","",IFERROR(VLOOKUP($C570&amp;"|"&amp;$D570,科目表!$A$5:$B$200,2,FALSE),"※未登録"))</f>
        <v>共済負担金等</v>
      </c>
      <c r="R570" s="769">
        <f>IF($F570="","",$I570+$J570+$K570)</f>
        <v>22835</v>
      </c>
      <c r="S570" s="769" t="str">
        <f>IF(OR($F570="",$P570="支払なし",$H570=0,$Q570=""),"",$Q570&amp;"|S|"&amp;(COUNTIF(S$4:S569,$Q570&amp;"|S|*")+1))</f>
        <v/>
      </c>
      <c r="T570" s="769" t="str">
        <f>IF(OR($F570="",$P570="支払なし",$R570=0,$Q570=""),"",$Q570&amp;"|L|"&amp;(COUNTIF(T$4:T569,$Q570&amp;"|L|*")+1))</f>
        <v>共済負担金等|L|16</v>
      </c>
      <c r="U570" s="769">
        <f>IF(OR($F570="",$A570=""),"",MOD(MONTH($A570)-4,12)+1)</f>
        <v>10</v>
      </c>
    </row>
    <row r="571" ht="16.5" customFormat="1" customHeight="1" s="43">
      <c r="A571" s="760" t="n">
        <v>46050</v>
      </c>
      <c r="B571" s="761" t="n"/>
      <c r="C571" s="762" t="inlineStr">
        <is>
          <t>負担金</t>
        </is>
      </c>
      <c r="D571" s="762" t="inlineStr">
        <is>
          <t>負担金</t>
        </is>
      </c>
      <c r="E571" s="762" t="inlineStr">
        <is>
          <t>共済短期・介護負担金（1月月例分）短期</t>
        </is>
      </c>
      <c r="F571" s="772" t="n">
        <v>39697</v>
      </c>
      <c r="G571" s="772" t="n">
        <v>2</v>
      </c>
      <c r="H571" s="765">
        <f>IF(G571=1,F571-I571-J571-K571,IF(G571=2,F571,0))</f>
        <v>39697</v>
      </c>
      <c r="I571" s="765">
        <f>ROUND(IF(G571=1,F571*10/23,IF(G571=3,F571-J571-K571,IF(G571=4,F571,IF(G571=5,F571*10/11,IF(G571=7,F571*10/11,0))))),0)</f>
        <v>0</v>
      </c>
      <c r="J571" s="765">
        <f>ROUND(IF(G571=1,F571/23,IF(G571=3,F571/12,IF(G571=5,F571-I571,IF(G571=8,F571,0)))),0)</f>
        <v>0</v>
      </c>
      <c r="K571" s="766">
        <f>ROUND(IF(G571=1,F571/23,IF(G571=3,F571/12,IF(G571=6,F571,IF(G571=7,F571-I571,0)))),0)</f>
        <v>0</v>
      </c>
      <c r="L571" s="767">
        <f>IF(G571=6,F571,0)</f>
        <v>0</v>
      </c>
      <c r="M571" s="572">
        <f>IF(F571="",0,MONTH(A571))</f>
        <v>1</v>
      </c>
      <c r="P571" s="768" t="inlineStr">
        <is>
          <t>昨年実績</t>
        </is>
      </c>
      <c r="Q571" s="769" t="str">
        <f>IF($F571="","",IFERROR(VLOOKUP($C571&amp;"|"&amp;$D571,科目表!$A$5:$B$200,2,FALSE),"※未登録"))</f>
        <v>共済負担金等</v>
      </c>
      <c r="R571" s="769">
        <f>IF($F571="","",$I571+$J571+$K571)</f>
        <v>0</v>
      </c>
      <c r="S571" s="769" t="str">
        <f>IF(OR($F571="",$P571="支払なし",$H571=0,$Q571=""),"",$Q571&amp;"|S|"&amp;(COUNTIF(S$4:S570,$Q571&amp;"|S|*")+1))</f>
        <v>共済負担金等|S|12</v>
      </c>
      <c r="T571" s="769" t="str">
        <f>IF(OR($F571="",$P571="支払なし",$R571=0,$Q571=""),"",$Q571&amp;"|L|"&amp;(COUNTIF(T$4:T570,$Q571&amp;"|L|*")+1))</f>
        <v/>
      </c>
      <c r="U571" s="769">
        <f>IF(OR($F571="",$A571=""),"",MOD(MONTH($A571)-4,12)+1)</f>
        <v>10</v>
      </c>
    </row>
    <row r="572" ht="16.5" customFormat="1" customHeight="1" s="43">
      <c r="A572" s="760" t="n">
        <v>46050</v>
      </c>
      <c r="B572" s="761" t="n"/>
      <c r="C572" s="762" t="inlineStr">
        <is>
          <t>負担金</t>
        </is>
      </c>
      <c r="D572" s="762" t="inlineStr">
        <is>
          <t>負担金</t>
        </is>
      </c>
      <c r="E572" s="762" t="inlineStr">
        <is>
          <t>共済短期・介護負担金（12月差額分）長期</t>
        </is>
      </c>
      <c r="F572" s="772" t="n">
        <v>2503</v>
      </c>
      <c r="G572" s="772" t="n">
        <v>3</v>
      </c>
      <c r="H572" s="765">
        <f>IF(G572=1,F572-I572-J572-K572,IF(G572=2,F572,0))</f>
        <v>0</v>
      </c>
      <c r="I572" s="765">
        <f>ROUND(IF(G572=1,F572*10/23,IF(G572=3,F572-J572-K572,IF(G572=4,F572,IF(G572=5,F572*10/11,IF(G572=7,F572*10/11,0))))),0)</f>
        <v>2085</v>
      </c>
      <c r="J572" s="765">
        <f>ROUND(IF(G572=1,F572/23,IF(G572=3,F572/12,IF(G572=5,F572-I572,IF(G572=8,F572,0)))),0)</f>
        <v>209</v>
      </c>
      <c r="K572" s="766">
        <f>ROUND(IF(G572=1,F572/23,IF(G572=3,F572/12,IF(G572=6,F572,IF(G572=7,F572-I572,0)))),0)</f>
        <v>209</v>
      </c>
      <c r="L572" s="767">
        <f>IF(G572=6,F572,0)</f>
        <v>0</v>
      </c>
      <c r="M572" s="572">
        <f>IF(F572="",0,MONTH(A572))</f>
        <v>1</v>
      </c>
      <c r="P572" s="768" t="inlineStr">
        <is>
          <t>昨年実績</t>
        </is>
      </c>
      <c r="Q572" s="769" t="str">
        <f>IF($F572="","",IFERROR(VLOOKUP($C572&amp;"|"&amp;$D572,科目表!$A$5:$B$200,2,FALSE),"※未登録"))</f>
        <v>共済負担金等</v>
      </c>
      <c r="R572" s="769">
        <f>IF($F572="","",$I572+$J572+$K572)</f>
        <v>2503</v>
      </c>
      <c r="S572" s="769" t="str">
        <f>IF(OR($F572="",$P572="支払なし",$H572=0,$Q572=""),"",$Q572&amp;"|S|"&amp;(COUNTIF(S$4:S571,$Q572&amp;"|S|*")+1))</f>
        <v/>
      </c>
      <c r="T572" s="769" t="str">
        <f>IF(OR($F572="",$P572="支払なし",$R572=0,$Q572=""),"",$Q572&amp;"|L|"&amp;(COUNTIF(T$4:T571,$Q572&amp;"|L|*")+1))</f>
        <v>共済負担金等|L|17</v>
      </c>
      <c r="U572" s="769">
        <f>IF(OR($F572="",$A572=""),"",MOD(MONTH($A572)-4,12)+1)</f>
        <v>10</v>
      </c>
    </row>
    <row r="573" ht="16.5" customFormat="1" customHeight="1" s="43">
      <c r="A573" s="760" t="n">
        <v>46050</v>
      </c>
      <c r="B573" s="761" t="n"/>
      <c r="C573" s="762" t="inlineStr">
        <is>
          <t>負担金</t>
        </is>
      </c>
      <c r="D573" s="762" t="inlineStr">
        <is>
          <t>負担金</t>
        </is>
      </c>
      <c r="E573" s="762" t="inlineStr">
        <is>
          <t>共済短期・介護負担金（12月差額分）短期</t>
        </is>
      </c>
      <c r="F573" s="772" t="n">
        <v>1576</v>
      </c>
      <c r="G573" s="772" t="n">
        <v>2</v>
      </c>
      <c r="H573" s="765">
        <f>IF(G573=1,F573-I573-J573-K573,IF(G573=2,F573,0))</f>
        <v>1576</v>
      </c>
      <c r="I573" s="765">
        <f>ROUND(IF(G573=1,F573*10/23,IF(G573=3,F573-J573-K573,IF(G573=4,F573,IF(G573=5,F573*10/11,IF(G573=7,F573*10/11,0))))),0)</f>
        <v>0</v>
      </c>
      <c r="J573" s="765">
        <f>ROUND(IF(G573=1,F573/23,IF(G573=3,F573/12,IF(G573=5,F573-I573,IF(G573=8,F573,0)))),0)</f>
        <v>0</v>
      </c>
      <c r="K573" s="766">
        <f>ROUND(IF(G573=1,F573/23,IF(G573=3,F573/12,IF(G573=6,F573,IF(G573=7,F573-I573,0)))),0)</f>
        <v>0</v>
      </c>
      <c r="L573" s="767">
        <f>IF(G573=6,F573,0)</f>
        <v>0</v>
      </c>
      <c r="M573" s="572">
        <f>IF(F573="",0,MONTH(A573))</f>
        <v>1</v>
      </c>
      <c r="P573" s="768" t="inlineStr">
        <is>
          <t>昨年実績</t>
        </is>
      </c>
      <c r="Q573" s="769" t="str">
        <f>IF($F573="","",IFERROR(VLOOKUP($C573&amp;"|"&amp;$D573,科目表!$A$5:$B$200,2,FALSE),"※未登録"))</f>
        <v>共済負担金等</v>
      </c>
      <c r="R573" s="769">
        <f>IF($F573="","",$I573+$J573+$K573)</f>
        <v>0</v>
      </c>
      <c r="S573" s="769" t="str">
        <f>IF(OR($F573="",$P573="支払なし",$H573=0,$Q573=""),"",$Q573&amp;"|S|"&amp;(COUNTIF(S$4:S572,$Q573&amp;"|S|*")+1))</f>
        <v>共済負担金等|S|13</v>
      </c>
      <c r="T573" s="769" t="str">
        <f>IF(OR($F573="",$P573="支払なし",$R573=0,$Q573=""),"",$Q573&amp;"|L|"&amp;(COUNTIF(T$4:T572,$Q573&amp;"|L|*")+1))</f>
        <v/>
      </c>
      <c r="U573" s="769">
        <f>IF(OR($F573="",$A573=""),"",MOD(MONTH($A573)-4,12)+1)</f>
        <v>10</v>
      </c>
    </row>
    <row r="574" ht="16.5" customFormat="1" customHeight="1" s="422">
      <c r="A574" s="760" t="n"/>
      <c r="B574" s="761" t="n"/>
      <c r="C574" s="762" t="n"/>
      <c r="D574" s="762" t="n"/>
      <c r="E574" s="762" t="n"/>
      <c r="F574" s="772" t="n"/>
      <c r="G574" s="772" t="n"/>
      <c r="H574" s="765" t="n"/>
      <c r="I574" s="765" t="n"/>
      <c r="J574" s="765" t="n"/>
      <c r="K574" s="766" t="n"/>
      <c r="L574" s="767" t="n"/>
      <c r="M574" s="421">
        <f>IF(F574="",0,MONTH(A574))</f>
        <v>0</v>
      </c>
      <c r="P574" s="768" t="n"/>
      <c r="Q574" s="769" t="str">
        <f>IF($F574="","",IFERROR(VLOOKUP($C574&amp;"|"&amp;$D574,科目表!$A$5:$B$200,2,FALSE),"※未登録"))</f>
        <v/>
      </c>
      <c r="R574" s="769" t="str">
        <f>IF($F574="","",$I574+$J574+$K574)</f>
        <v/>
      </c>
      <c r="S574" s="769" t="str">
        <f>IF(OR($F574="",$P574="支払なし",$H574=0,$Q574=""),"",$Q574&amp;"|S|"&amp;(COUNTIF(S$4:S573,$Q574&amp;"|S|*")+1))</f>
        <v/>
      </c>
      <c r="T574" s="769" t="str">
        <f>IF(OR($F574="",$P574="支払なし",$R574=0,$Q574=""),"",$Q574&amp;"|L|"&amp;(COUNTIF(T$4:T573,$Q574&amp;"|L|*")+1))</f>
        <v/>
      </c>
      <c r="U574" s="769" t="str">
        <f>IF(OR($F574="",$A574=""),"",MOD(MONTH($A574)-4,12)+1)</f>
        <v/>
      </c>
    </row>
    <row r="575" ht="16.5" customFormat="1" customHeight="1" s="43">
      <c r="A575" s="760" t="n">
        <v>46038</v>
      </c>
      <c r="B575" s="779" t="n"/>
      <c r="C575" s="762" t="inlineStr">
        <is>
          <t>賃借料</t>
        </is>
      </c>
      <c r="D575" s="762" t="n"/>
      <c r="E575" s="777" t="inlineStr">
        <is>
          <t>統合管理端末リース料（１２月分）</t>
        </is>
      </c>
      <c r="F575" s="772" t="n">
        <v>12738</v>
      </c>
      <c r="G575" s="772" t="n">
        <v>2</v>
      </c>
      <c r="H575" s="765">
        <f>IF(G575=1,F575-I575-J575-K575,IF(G575=2,F575,0))</f>
        <v>12738</v>
      </c>
      <c r="I575" s="765">
        <f>ROUND(IF(G575=1,F575*10/23,IF(G575=3,F575-J575-K575,IF(G575=4,F575,IF(G575=5,F575*10/11,IF(G575=7,F575*10/11,0))))),0)</f>
        <v>0</v>
      </c>
      <c r="J575" s="765">
        <f>ROUND(IF(G575=1,F575/23,IF(G575=3,F575/12,IF(G575=5,F575-I575,IF(G575=8,F575,0)))),0)</f>
        <v>0</v>
      </c>
      <c r="K575" s="766">
        <f>ROUND(IF(G575=1,F575/23,IF(G575=3,F575/12,IF(G575=6,F575,IF(G575=7,F575-I575,0)))),0)</f>
        <v>0</v>
      </c>
      <c r="L575" s="767">
        <f>IF(G575=6,F575,0)</f>
        <v>0</v>
      </c>
      <c r="M575" s="572">
        <f>IF(F575="",0,MONTH(A575))</f>
        <v>1</v>
      </c>
      <c r="P575" s="768" t="inlineStr">
        <is>
          <t>昨年実績</t>
        </is>
      </c>
      <c r="Q575" s="769" t="str">
        <f>IF($F575="","",IFERROR(VLOOKUP($C575&amp;"|"&amp;$D575,科目表!$A$5:$B$200,2,FALSE),"※未登録"))</f>
        <v>賃借料</v>
      </c>
      <c r="R575" s="769">
        <f>IF($F575="","",$I575+$J575+$K575)</f>
        <v>0</v>
      </c>
      <c r="S575" s="769" t="str">
        <f>IF(OR($F575="",$P575="支払なし",$H575=0,$Q575=""),"",$Q575&amp;"|S|"&amp;(COUNTIF(S$4:S574,$Q575&amp;"|S|*")+1))</f>
        <v>賃借料|S|49</v>
      </c>
      <c r="T575" s="769" t="str">
        <f>IF(OR($F575="",$P575="支払なし",$R575=0,$Q575=""),"",$Q575&amp;"|L|"&amp;(COUNTIF(T$4:T574,$Q575&amp;"|L|*")+1))</f>
        <v/>
      </c>
      <c r="U575" s="769">
        <f>IF(OR($F575="",$A575=""),"",MOD(MONTH($A575)-4,12)+1)</f>
        <v>10</v>
      </c>
    </row>
    <row r="576" ht="16.5" customFormat="1" customHeight="1" s="422">
      <c r="A576" s="760" t="n">
        <v>45322</v>
      </c>
      <c r="B576" s="761" t="n"/>
      <c r="C576" s="762" t="inlineStr">
        <is>
          <t>委託費</t>
        </is>
      </c>
      <c r="D576" s="762" t="n"/>
      <c r="E576" s="784" t="inlineStr">
        <is>
          <t>統合管理端末保守料（１２月分）</t>
        </is>
      </c>
      <c r="F576" s="764" t="n">
        <v>5390</v>
      </c>
      <c r="G576" s="764" t="n">
        <v>2</v>
      </c>
      <c r="H576" s="765">
        <f>IF(G576=1,F576-I576-J576-K576,IF(G576=2,F576,0))</f>
        <v>5390</v>
      </c>
      <c r="I576" s="765">
        <f>ROUND(IF(G576=1,F576*10/23,IF(G576=3,F576-J576-K576,IF(G576=4,F576,IF(G576=5,F576*10/11,IF(G576=7,F576*10/11,0))))),0)</f>
        <v>0</v>
      </c>
      <c r="J576" s="765">
        <f>ROUND(IF(G576=1,F576/23,IF(G576=3,F576/12,IF(G576=5,F576-I576,IF(G576=8,F576,0)))),0)</f>
        <v>0</v>
      </c>
      <c r="K576" s="766">
        <f>ROUND(IF(G576=1,F576/23,IF(G576=3,F576/12,IF(G576=6,F576,IF(G576=7,F576-I576,0)))),0)</f>
        <v>0</v>
      </c>
      <c r="L576" s="767">
        <f>IF(G576=6,F576,0)</f>
        <v>0</v>
      </c>
      <c r="M576" s="421">
        <f>IF(F576="",0,MONTH(A576))</f>
        <v>1</v>
      </c>
      <c r="P576" s="768" t="inlineStr">
        <is>
          <t>昨年実績</t>
        </is>
      </c>
      <c r="Q576" s="769" t="str">
        <f>IF($F576="","",IFERROR(VLOOKUP($C576&amp;"|"&amp;$D576,科目表!$A$5:$B$200,2,FALSE),"※未登録"))</f>
        <v>委託費</v>
      </c>
      <c r="R576" s="769">
        <f>IF($F576="","",$I576+$J576+$K576)</f>
        <v>0</v>
      </c>
      <c r="S576" s="769" t="str">
        <f>IF(OR($F576="",$P576="支払なし",$H576=0,$Q576=""),"",$Q576&amp;"|S|"&amp;(COUNTIF(S$4:S575,$Q576&amp;"|S|*")+1))</f>
        <v>委託費|S|59</v>
      </c>
      <c r="T576" s="769" t="str">
        <f>IF(OR($F576="",$P576="支払なし",$R576=0,$Q576=""),"",$Q576&amp;"|L|"&amp;(COUNTIF(T$4:T575,$Q576&amp;"|L|*")+1))</f>
        <v/>
      </c>
      <c r="U576" s="769">
        <f>IF(OR($F576="",$A576=""),"",MOD(MONTH($A576)-4,12)+1)</f>
        <v>10</v>
      </c>
    </row>
    <row r="577" ht="16.5" customFormat="1" customHeight="1" s="422">
      <c r="A577" s="760" t="n">
        <v>44592</v>
      </c>
      <c r="B577" s="761" t="n"/>
      <c r="C577" s="762" t="inlineStr">
        <is>
          <t>事務費</t>
        </is>
      </c>
      <c r="D577" s="762" t="inlineStr">
        <is>
          <t>事務用消耗品費</t>
        </is>
      </c>
      <c r="E577" s="796" t="inlineStr">
        <is>
          <t>カラー用紙厚口／500枚／コスモス</t>
        </is>
      </c>
      <c r="F577" s="764" t="n">
        <v>1108</v>
      </c>
      <c r="G577" s="764" t="n">
        <v>3</v>
      </c>
      <c r="H577" s="765">
        <f>IF(G577=1,F577-I577-J577-K577,IF(G577=2,F577,0))</f>
        <v>0</v>
      </c>
      <c r="I577" s="765">
        <f>ROUND(IF(G577=1,F577*10/23,IF(G577=3,F577-J577-K577,IF(G577=4,F577,IF(G577=5,F577*10/11,IF(G577=7,F577*10/11,0))))),0)</f>
        <v>924</v>
      </c>
      <c r="J577" s="765">
        <f>ROUND(IF(G577=1,F577/23,IF(G577=3,F577/12,IF(G577=5,F577-I577,IF(G577=8,F577,0)))),0)</f>
        <v>92</v>
      </c>
      <c r="K577" s="766">
        <f>ROUND(IF(G577=1,F577/23,IF(G577=3,F577/12,IF(G577=6,F577,IF(G577=7,F577-I577,0)))),0)</f>
        <v>92</v>
      </c>
      <c r="L577" s="767">
        <f>IF(G577=6,F577,0)</f>
        <v>0</v>
      </c>
      <c r="M577" s="421">
        <f>IF(F577="",0,MONTH(A577))</f>
        <v>1</v>
      </c>
      <c r="P577" s="768" t="inlineStr">
        <is>
          <t>昨年実績</t>
        </is>
      </c>
      <c r="Q577" s="769" t="str">
        <f>IF($F577="","",IFERROR(VLOOKUP($C577&amp;"|"&amp;$D577,科目表!$A$5:$B$200,2,FALSE),"※未登録"))</f>
        <v>事務用消耗品費</v>
      </c>
      <c r="R577" s="769">
        <f>IF($F577="","",$I577+$J577+$K577)</f>
        <v>1108</v>
      </c>
      <c r="S577" s="769" t="str">
        <f>IF(OR($F577="",$P577="支払なし",$H577=0,$Q577=""),"",$Q577&amp;"|S|"&amp;(COUNTIF(S$4:S576,$Q577&amp;"|S|*")+1))</f>
        <v/>
      </c>
      <c r="T577" s="769" t="str">
        <f>IF(OR($F577="",$P577="支払なし",$R577=0,$Q577=""),"",$Q577&amp;"|L|"&amp;(COUNTIF(T$4:T576,$Q577&amp;"|L|*")+1))</f>
        <v>事務用消耗品費|L|22</v>
      </c>
      <c r="U577" s="769">
        <f>IF(OR($F577="",$A577=""),"",MOD(MONTH($A577)-4,12)+1)</f>
        <v>10</v>
      </c>
    </row>
    <row r="578" ht="16.5" customFormat="1" customHeight="1" s="43">
      <c r="A578" s="760" t="n">
        <v>46052</v>
      </c>
      <c r="B578" s="761" t="n"/>
      <c r="C578" s="762" t="inlineStr">
        <is>
          <t>委託費</t>
        </is>
      </c>
      <c r="D578" s="762" t="n"/>
      <c r="E578" s="762" t="inlineStr">
        <is>
          <t>柔整等療養費支給申請書の入力（１２月分）</t>
        </is>
      </c>
      <c r="F578" s="772" t="n">
        <v>113014</v>
      </c>
      <c r="G578" s="764" t="n">
        <v>2</v>
      </c>
      <c r="H578" s="765">
        <f>IF(G578=1,F578-I578-J578-K578,IF(G578=2,F578,0))</f>
        <v>113014</v>
      </c>
      <c r="I578" s="765">
        <f>ROUND(IF(G578=1,F578*10/23,IF(G578=3,F578-J578-K578,IF(G578=4,F578,IF(G578=5,F578*10/11,IF(G578=7,F578*10/11,0))))),0)</f>
        <v>0</v>
      </c>
      <c r="J578" s="765">
        <f>ROUND(IF(G578=1,F578/23,IF(G578=3,F578/12,IF(G578=5,F578-I578,IF(G578=8,F578,0)))),0)</f>
        <v>0</v>
      </c>
      <c r="K578" s="766">
        <f>ROUND(IF(G578=1,F578/23,IF(G578=3,F578/12,IF(G578=6,F578,IF(G578=7,F578-I578,0)))),0)</f>
        <v>0</v>
      </c>
      <c r="L578" s="767">
        <f>IF(G578=6,F578,0)</f>
        <v>0</v>
      </c>
      <c r="M578" s="572">
        <f>IF(F578="",0,MONTH(A578))</f>
        <v>1</v>
      </c>
      <c r="P578" s="768" t="inlineStr">
        <is>
          <t>昨年実績</t>
        </is>
      </c>
      <c r="Q578" s="769" t="str">
        <f>IF($F578="","",IFERROR(VLOOKUP($C578&amp;"|"&amp;$D578,科目表!$A$5:$B$200,2,FALSE),"※未登録"))</f>
        <v>委託費</v>
      </c>
      <c r="R578" s="769">
        <f>IF($F578="","",$I578+$J578+$K578)</f>
        <v>0</v>
      </c>
      <c r="S578" s="769" t="str">
        <f>IF(OR($F578="",$P578="支払なし",$H578=0,$Q578=""),"",$Q578&amp;"|S|"&amp;(COUNTIF(S$4:S577,$Q578&amp;"|S|*")+1))</f>
        <v>委託費|S|60</v>
      </c>
      <c r="T578" s="769" t="str">
        <f>IF(OR($F578="",$P578="支払なし",$R578=0,$Q578=""),"",$Q578&amp;"|L|"&amp;(COUNTIF(T$4:T577,$Q578&amp;"|L|*")+1))</f>
        <v/>
      </c>
      <c r="U578" s="769">
        <f>IF(OR($F578="",$A578=""),"",MOD(MONTH($A578)-4,12)+1)</f>
        <v>10</v>
      </c>
    </row>
    <row r="579" ht="16.5" customFormat="1" customHeight="1" s="422">
      <c r="A579" s="760" t="n">
        <v>45688</v>
      </c>
      <c r="B579" s="761" t="n"/>
      <c r="C579" s="762" t="inlineStr">
        <is>
          <t>事務費</t>
        </is>
      </c>
      <c r="D579" s="762" t="inlineStr">
        <is>
          <t>通信運搬費</t>
        </is>
      </c>
      <c r="E579" s="763" t="inlineStr">
        <is>
          <t>フレッツ光ネクスト利用料等（12月利用・1月請求分）</t>
        </is>
      </c>
      <c r="F579" s="772" t="n">
        <v>5126</v>
      </c>
      <c r="G579" s="772" t="n">
        <v>2</v>
      </c>
      <c r="H579" s="765">
        <f>IF(G579=1,F579-I579-J579-K579,IF(G579=2,F579,0))</f>
        <v>5126</v>
      </c>
      <c r="I579" s="765">
        <f>ROUND(IF(G579=1,F579*10/23,IF(G579=3,F579-J579-K579,IF(G579=4,F579,IF(G579=5,F579*10/11,IF(G579=7,F579*10/11,0))))),0)</f>
        <v>0</v>
      </c>
      <c r="J579" s="765">
        <f>ROUND(IF(G579=1,F579/23,IF(G579=3,F579/12,IF(G579=5,F579-I579,IF(G579=8,F579,0)))),0)</f>
        <v>0</v>
      </c>
      <c r="K579" s="766">
        <f>ROUND(IF(G579=1,F579/23,IF(G579=3,F579/12,IF(G579=6,F579,IF(G579=7,F579-I579,0)))),0)</f>
        <v>0</v>
      </c>
      <c r="L579" s="767">
        <f>IF(G579=6,F579,0)</f>
        <v>0</v>
      </c>
      <c r="M579" s="421">
        <f>IF(F579="",0,MONTH(A579))</f>
        <v>1</v>
      </c>
      <c r="P579" s="768" t="inlineStr">
        <is>
          <t>昨年実績</t>
        </is>
      </c>
      <c r="Q579" s="769" t="str">
        <f>IF($F579="","",IFERROR(VLOOKUP($C579&amp;"|"&amp;$D579,科目表!$A$5:$B$200,2,FALSE),"※未登録"))</f>
        <v>通信運搬費</v>
      </c>
      <c r="R579" s="769">
        <f>IF($F579="","",$I579+$J579+$K579)</f>
        <v>0</v>
      </c>
      <c r="S579" s="769" t="str">
        <f>IF(OR($F579="",$P579="支払なし",$H579=0,$Q579=""),"",$Q579&amp;"|S|"&amp;(COUNTIF(S$4:S578,$Q579&amp;"|S|*")+1))</f>
        <v>通信運搬費|S|61</v>
      </c>
      <c r="T579" s="769" t="str">
        <f>IF(OR($F579="",$P579="支払なし",$R579=0,$Q579=""),"",$Q579&amp;"|L|"&amp;(COUNTIF(T$4:T578,$Q579&amp;"|L|*")+1))</f>
        <v/>
      </c>
      <c r="U579" s="769">
        <f>IF(OR($F579="",$A579=""),"",MOD(MONTH($A579)-4,12)+1)</f>
        <v>10</v>
      </c>
    </row>
    <row r="580" ht="16.5" customFormat="1" customHeight="1" s="422">
      <c r="A580" s="760" t="n"/>
      <c r="B580" s="761" t="n"/>
      <c r="C580" s="762" t="n"/>
      <c r="D580" s="762" t="n"/>
      <c r="E580" s="762" t="n"/>
      <c r="F580" s="772" t="n"/>
      <c r="G580" s="764" t="n"/>
      <c r="H580" s="765">
        <f>IF(G580=1,F580-I580-J580-K580,IF(G580=2,F580,0))</f>
        <v>0</v>
      </c>
      <c r="I580" s="765">
        <f>ROUND(IF(G580=1,F580*10/23,IF(G580=3,F580-J580-K580,IF(G580=4,F580,IF(G580=5,F580*10/11,IF(G580=7,F580*10/11,0))))),0)</f>
        <v>0</v>
      </c>
      <c r="J580" s="765">
        <f>ROUND(IF(G580=1,F580/23,IF(G580=3,F580/12,IF(G580=5,F580-I580,IF(G580=8,F580,0)))),0)</f>
        <v>0</v>
      </c>
      <c r="K580" s="766">
        <f>ROUND(IF(G580=1,F580/23,IF(G580=3,F580/12,IF(G580=6,F580,IF(G580=7,F580-I580,0)))),0)</f>
        <v>0</v>
      </c>
      <c r="L580" s="767">
        <f>IF(G580=6,F580,0)</f>
        <v>0</v>
      </c>
      <c r="M580" s="421">
        <f>IF(F580="",0,MONTH(A580))</f>
        <v>0</v>
      </c>
      <c r="P580" s="768" t="n"/>
      <c r="Q580" s="769" t="str">
        <f>IF($F580="","",IFERROR(VLOOKUP($C580&amp;"|"&amp;$D580,科目表!$A$5:$B$200,2,FALSE),"※未登録"))</f>
        <v/>
      </c>
      <c r="R580" s="769" t="str">
        <f>IF($F580="","",$I580+$J580+$K580)</f>
        <v/>
      </c>
      <c r="S580" s="769" t="str">
        <f>IF(OR($F580="",$P580="支払なし",$H580=0,$Q580=""),"",$Q580&amp;"|S|"&amp;(COUNTIF(S$4:S579,$Q580&amp;"|S|*")+1))</f>
        <v/>
      </c>
      <c r="T580" s="769" t="str">
        <f>IF(OR($F580="",$P580="支払なし",$R580=0,$Q580=""),"",$Q580&amp;"|L|"&amp;(COUNTIF(T$4:T579,$Q580&amp;"|L|*")+1))</f>
        <v/>
      </c>
      <c r="U580" s="769" t="str">
        <f>IF(OR($F580="",$A580=""),"",MOD(MONTH($A580)-4,12)+1)</f>
        <v/>
      </c>
    </row>
    <row r="581" ht="16.5" customFormat="1" customHeight="1" s="43">
      <c r="A581" s="760" t="n">
        <v>46055</v>
      </c>
      <c r="B581" s="761" t="n"/>
      <c r="C581" s="762" t="inlineStr">
        <is>
          <t>負担金</t>
        </is>
      </c>
      <c r="D581" s="762" t="inlineStr">
        <is>
          <t>厚年負担金等</t>
        </is>
      </c>
      <c r="E581" s="775" t="inlineStr">
        <is>
          <t>１２月月例・期末・遡及（短期分）子ども子育て拠出金を含む</t>
        </is>
      </c>
      <c r="F581" s="764" t="n">
        <v>101092</v>
      </c>
      <c r="G581" s="772" t="n">
        <v>2</v>
      </c>
      <c r="H581" s="765">
        <f>IF(G581=1,F581-I581-J581-K581,IF(G581=2,F581,0))</f>
        <v>101092</v>
      </c>
      <c r="I581" s="765">
        <f>ROUND(IF(G581=1,F581*10/23,IF(G581=3,F581-J581-K581,IF(G581=4,F581,IF(G581=5,F581*10/11,IF(G581=7,F581*10/11,0))))),0)</f>
        <v>0</v>
      </c>
      <c r="J581" s="765">
        <f>ROUND(IF(G581=1,F581/23,IF(G581=3,F581/12,IF(G581=5,F581-I581,IF(G581=8,F581,0)))),0)</f>
        <v>0</v>
      </c>
      <c r="K581" s="766">
        <f>ROUND(IF(G581=1,F581/23,IF(G581=3,F581/12,IF(G581=6,F581,IF(G581=7,F581-I581,0)))),0)</f>
        <v>0</v>
      </c>
      <c r="L581" s="767">
        <f>IF(G581=6,F581,0)</f>
        <v>0</v>
      </c>
      <c r="M581" s="572">
        <f>IF(F581="",0,MONTH(A581))</f>
        <v>2</v>
      </c>
      <c r="P581" s="768" t="inlineStr">
        <is>
          <t>昨年実績</t>
        </is>
      </c>
      <c r="Q581" s="769" t="str">
        <f>IF($F581="","",IFERROR(VLOOKUP($C581&amp;"|"&amp;$D581,科目表!$A$5:$B$200,2,FALSE),"※未登録"))</f>
        <v>厚年負担金等</v>
      </c>
      <c r="R581" s="769">
        <f>IF($F581="","",$I581+$J581+$K581)</f>
        <v>0</v>
      </c>
      <c r="S581" s="769" t="str">
        <f>IF(OR($F581="",$P581="支払なし",$H581=0,$Q581=""),"",$Q581&amp;"|S|"&amp;(COUNTIF(S$4:S580,$Q581&amp;"|S|*")+1))</f>
        <v>厚年負担金等|S|9</v>
      </c>
      <c r="T581" s="769" t="str">
        <f>IF(OR($F581="",$P581="支払なし",$R581=0,$Q581=""),"",$Q581&amp;"|L|"&amp;(COUNTIF(T$4:T580,$Q581&amp;"|L|*")+1))</f>
        <v/>
      </c>
      <c r="U581" s="769">
        <f>IF(OR($F581="",$A581=""),"",MOD(MONTH($A581)-4,12)+1)</f>
        <v>11</v>
      </c>
    </row>
    <row r="582" ht="16.5" customFormat="1" customHeight="1" s="43">
      <c r="A582" s="760" t="n"/>
      <c r="B582" s="761" t="n"/>
      <c r="C582" s="762" t="n"/>
      <c r="D582" s="762" t="n"/>
      <c r="E582" s="762" t="n"/>
      <c r="F582" s="772" t="n"/>
      <c r="G582" s="764" t="n"/>
      <c r="H582" s="765">
        <f>IF(G582=1,F582-I582-J582-K582,IF(G582=2,F582,0))</f>
        <v>0</v>
      </c>
      <c r="I582" s="765">
        <f>ROUND(IF(G582=1,F582*10/23,IF(G582=3,F582-J582-K582,IF(G582=4,F582,IF(G582=5,F582*10/11,IF(G582=7,F582*10/11,0))))),0)</f>
        <v>0</v>
      </c>
      <c r="J582" s="765">
        <f>ROUND(IF(G582=1,F582/23,IF(G582=3,F582/12,IF(G582=5,F582-I582,IF(G582=8,F582,0)))),0)</f>
        <v>0</v>
      </c>
      <c r="K582" s="766">
        <f>ROUND(IF(G582=1,F582/23,IF(G582=3,F582/12,IF(G582=6,F582,IF(G582=7,F582-I582,0)))),0)</f>
        <v>0</v>
      </c>
      <c r="L582" s="767">
        <f>IF(G582=6,F582,0)</f>
        <v>0</v>
      </c>
      <c r="M582" s="572">
        <f>IF(F582="",0,MONTH(A582))</f>
        <v>0</v>
      </c>
      <c r="P582" s="768" t="n"/>
      <c r="Q582" s="769" t="str">
        <f>IF($F582="","",IFERROR(VLOOKUP($C582&amp;"|"&amp;$D582,科目表!$A$5:$B$200,2,FALSE),"※未登録"))</f>
        <v/>
      </c>
      <c r="R582" s="769" t="str">
        <f>IF($F582="","",$I582+$J582+$K582)</f>
        <v/>
      </c>
      <c r="S582" s="769" t="str">
        <f>IF(OR($F582="",$P582="支払なし",$H582=0,$Q582=""),"",$Q582&amp;"|S|"&amp;(COUNTIF(S$4:S581,$Q582&amp;"|S|*")+1))</f>
        <v/>
      </c>
      <c r="T582" s="769" t="str">
        <f>IF(OR($F582="",$P582="支払なし",$R582=0,$Q582=""),"",$Q582&amp;"|L|"&amp;(COUNTIF(T$4:T581,$Q582&amp;"|L|*")+1))</f>
        <v/>
      </c>
      <c r="U582" s="769" t="str">
        <f>IF(OR($F582="",$A582=""),"",MOD(MONTH($A582)-4,12)+1)</f>
        <v/>
      </c>
    </row>
    <row r="583" ht="16.5" customFormat="1" customHeight="1" s="43">
      <c r="A583" s="760" t="n">
        <v>46055</v>
      </c>
      <c r="B583" s="761" t="n"/>
      <c r="C583" s="762" t="inlineStr">
        <is>
          <t>負担金</t>
        </is>
      </c>
      <c r="D583" s="762" t="inlineStr">
        <is>
          <t>厚年負担金等</t>
        </is>
      </c>
      <c r="E583" s="775" t="inlineStr">
        <is>
          <t>１２月月例・期末・遡及（長期分）子ども子育て拠出金を含む</t>
        </is>
      </c>
      <c r="F583" s="764" t="n">
        <v>96147</v>
      </c>
      <c r="G583" s="764" t="n">
        <v>3</v>
      </c>
      <c r="H583" s="765">
        <f>IF(G583=1,F583-I583-J583-K583,IF(G583=2,F583,0))</f>
        <v>0</v>
      </c>
      <c r="I583" s="765">
        <f>ROUND(IF(G583=1,F583*10/23,IF(G583=3,F583-J583-K583,IF(G583=4,F583,IF(G583=5,F583*10/11,IF(G583=7,F583*10/11,0))))),0)</f>
        <v>80123</v>
      </c>
      <c r="J583" s="765">
        <f>ROUND(IF(G583=1,F583/23,IF(G583=3,F583/12,IF(G583=5,F583-I583,IF(G583=8,F583,0)))),0)</f>
        <v>8012</v>
      </c>
      <c r="K583" s="766">
        <f>ROUND(IF(G583=1,F583/23,IF(G583=3,F583/12,IF(G583=6,F583,IF(G583=7,F583-I583,0)))),0)</f>
        <v>8012</v>
      </c>
      <c r="L583" s="767">
        <f>IF(G583=6,F583,0)</f>
        <v>0</v>
      </c>
      <c r="M583" s="572">
        <f>IF(F583="",0,MONTH(A583))</f>
        <v>2</v>
      </c>
      <c r="P583" s="768" t="inlineStr">
        <is>
          <t>昨年実績</t>
        </is>
      </c>
      <c r="Q583" s="769" t="str">
        <f>IF($F583="","",IFERROR(VLOOKUP($C583&amp;"|"&amp;$D583,科目表!$A$5:$B$200,2,FALSE),"※未登録"))</f>
        <v>厚年負担金等</v>
      </c>
      <c r="R583" s="769">
        <f>IF($F583="","",$I583+$J583+$K583)</f>
        <v>96147</v>
      </c>
      <c r="S583" s="769" t="str">
        <f>IF(OR($F583="",$P583="支払なし",$H583=0,$Q583=""),"",$Q583&amp;"|S|"&amp;(COUNTIF(S$4:S582,$Q583&amp;"|S|*")+1))</f>
        <v/>
      </c>
      <c r="T583" s="769" t="str">
        <f>IF(OR($F583="",$P583="支払なし",$R583=0,$Q583=""),"",$Q583&amp;"|L|"&amp;(COUNTIF(T$4:T582,$Q583&amp;"|L|*")+1))</f>
        <v>厚年負担金等|L|9</v>
      </c>
      <c r="U583" s="769">
        <f>IF(OR($F583="",$A583=""),"",MOD(MONTH($A583)-4,12)+1)</f>
        <v>11</v>
      </c>
    </row>
    <row r="584" ht="16.5" customFormat="1" customHeight="1" s="422">
      <c r="A584" s="760" t="n">
        <v>45672</v>
      </c>
      <c r="B584" s="761" t="n"/>
      <c r="C584" s="762" t="inlineStr">
        <is>
          <t>事務費</t>
        </is>
      </c>
      <c r="D584" s="762" t="inlineStr">
        <is>
          <t>図書印刷費</t>
        </is>
      </c>
      <c r="E584" s="770" t="inlineStr">
        <is>
          <t>(育休手当金）短期給付決定通知書　３，０００部</t>
        </is>
      </c>
      <c r="F584" s="764" t="n">
        <v>128700</v>
      </c>
      <c r="G584" s="764" t="n">
        <v>2</v>
      </c>
      <c r="H584" s="765">
        <f>IF(G584=1,F584-I584-J584-K584,IF(G584=2,F584,0))</f>
        <v>128700</v>
      </c>
      <c r="I584" s="765">
        <f>ROUND(IF(G584=1,F584*10/23,IF(G584=3,F584-J584-K584,IF(G584=4,F584,IF(G584=5,F584*10/11,IF(G584=7,F584*10/11,0))))),0)</f>
        <v>0</v>
      </c>
      <c r="J584" s="765">
        <f>ROUND(IF(G584=1,F584/23,IF(G584=3,F584/12,IF(G584=5,F584-I584,IF(G584=8,F584,0)))),0)</f>
        <v>0</v>
      </c>
      <c r="K584" s="766">
        <f>ROUND(IF(G584=1,F584/23,IF(G584=3,F584/12,IF(G584=6,F584,IF(G584=7,F584-I584,0)))),0)</f>
        <v>0</v>
      </c>
      <c r="L584" s="767">
        <f>IF(G584=6,F584,0)</f>
        <v>0</v>
      </c>
      <c r="M584" s="421">
        <f>IF(F584="",0,MONTH(A584))</f>
        <v>1</v>
      </c>
      <c r="P584" s="768" t="inlineStr">
        <is>
          <t>昨年実績</t>
        </is>
      </c>
      <c r="Q584" s="769" t="str">
        <f>IF($F584="","",IFERROR(VLOOKUP($C584&amp;"|"&amp;$D584,科目表!$A$5:$B$200,2,FALSE),"※未登録"))</f>
        <v>図書印刷費</v>
      </c>
      <c r="R584" s="769">
        <f>IF($F584="","",$I584+$J584+$K584)</f>
        <v>0</v>
      </c>
      <c r="S584" s="769" t="str">
        <f>IF(OR($F584="",$P584="支払なし",$H584=0,$Q584=""),"",$Q584&amp;"|S|"&amp;(COUNTIF(S$4:S583,$Q584&amp;"|S|*")+1))</f>
        <v>図書印刷費|S|29</v>
      </c>
      <c r="T584" s="769" t="str">
        <f>IF(OR($F584="",$P584="支払なし",$R584=0,$Q584=""),"",$Q584&amp;"|L|"&amp;(COUNTIF(T$4:T583,$Q584&amp;"|L|*")+1))</f>
        <v/>
      </c>
      <c r="U584" s="769">
        <f>IF(OR($F584="",$A584=""),"",MOD(MONTH($A584)-4,12)+1)</f>
        <v>10</v>
      </c>
    </row>
    <row r="585" ht="16.5" customFormat="1" customHeight="1" s="422">
      <c r="A585" s="760" t="n">
        <v>45688</v>
      </c>
      <c r="B585" s="761" t="n"/>
      <c r="C585" s="762" t="inlineStr">
        <is>
          <t>委託費</t>
        </is>
      </c>
      <c r="D585" s="762" t="n"/>
      <c r="E585" s="762" t="inlineStr">
        <is>
          <t>柔整等療養費支給申請書の入力（１２月分）</t>
        </is>
      </c>
      <c r="F585" s="772" t="n">
        <v>162851</v>
      </c>
      <c r="G585" s="764" t="n">
        <v>2</v>
      </c>
      <c r="H585" s="765">
        <f>IF(G585=1,F585-I585-J585-K585,IF(G585=2,F585,0))</f>
        <v>162851</v>
      </c>
      <c r="I585" s="765">
        <f>ROUND(IF(G585=1,F585*10/23,IF(G585=3,F585-J585-K585,IF(G585=4,F585,IF(G585=5,F585*10/11,IF(G585=7,F585*10/11,0))))),0)</f>
        <v>0</v>
      </c>
      <c r="J585" s="765">
        <f>ROUND(IF(G585=1,F585/23,IF(G585=3,F585/12,IF(G585=5,F585-I585,IF(G585=8,F585,0)))),0)</f>
        <v>0</v>
      </c>
      <c r="K585" s="766">
        <f>ROUND(IF(G585=1,F585/23,IF(G585=3,F585/12,IF(G585=6,F585,IF(G585=7,F585-I585,0)))),0)</f>
        <v>0</v>
      </c>
      <c r="L585" s="767">
        <f>IF(G585=6,F585,0)</f>
        <v>0</v>
      </c>
      <c r="M585" s="421">
        <f>IF(F585="",0,MONTH(A585))</f>
        <v>1</v>
      </c>
      <c r="P585" s="768" t="inlineStr">
        <is>
          <t>昨年実績</t>
        </is>
      </c>
      <c r="Q585" s="769" t="str">
        <f>IF($F585="","",IFERROR(VLOOKUP($C585&amp;"|"&amp;$D585,科目表!$A$5:$B$200,2,FALSE),"※未登録"))</f>
        <v>委託費</v>
      </c>
      <c r="R585" s="769">
        <f>IF($F585="","",$I585+$J585+$K585)</f>
        <v>0</v>
      </c>
      <c r="S585" s="769" t="str">
        <f>IF(OR($F585="",$P585="支払なし",$H585=0,$Q585=""),"",$Q585&amp;"|S|"&amp;(COUNTIF(S$4:S584,$Q585&amp;"|S|*")+1))</f>
        <v>委託費|S|61</v>
      </c>
      <c r="T585" s="769" t="str">
        <f>IF(OR($F585="",$P585="支払なし",$R585=0,$Q585=""),"",$Q585&amp;"|L|"&amp;(COUNTIF(T$4:T584,$Q585&amp;"|L|*")+1))</f>
        <v/>
      </c>
      <c r="U585" s="769">
        <f>IF(OR($F585="",$A585=""),"",MOD(MONTH($A585)-4,12)+1)</f>
        <v>10</v>
      </c>
    </row>
    <row r="586" ht="16.5" customFormat="1" customHeight="1" s="422">
      <c r="A586" s="760" t="n">
        <v>43864</v>
      </c>
      <c r="B586" s="761" t="n"/>
      <c r="C586" s="762" t="inlineStr">
        <is>
          <t>旅費</t>
        </is>
      </c>
      <c r="D586" s="762" t="n"/>
      <c r="E586" s="775" t="inlineStr">
        <is>
          <t>2/5　小連合　事業計画及び予算説明会　特別区　白石主査</t>
        </is>
      </c>
      <c r="F586" s="764" t="n">
        <v>38300</v>
      </c>
      <c r="G586" s="764" t="n">
        <v>1</v>
      </c>
      <c r="H586" s="765">
        <f>IF(G586=1,F586-I586-J586-K586,IF(G586=2,F586,0))</f>
        <v>18318</v>
      </c>
      <c r="I586" s="765">
        <f>ROUND(IF(G586=1,F586*10/23,IF(G586=3,F586-J586-K586,IF(G586=4,F586,IF(G586=5,F586*10/11,IF(G586=7,F586*10/11,0))))),0)</f>
        <v>16652</v>
      </c>
      <c r="J586" s="765">
        <f>ROUND(IF(G586=1,F586/23,IF(G586=3,F586/12,IF(G586=5,F586-I586,IF(G586=8,F586,0)))),0)</f>
        <v>1665</v>
      </c>
      <c r="K586" s="766">
        <f>ROUND(IF(G586=1,F586/23,IF(G586=3,F586/12,IF(G586=6,F586,IF(G586=7,F586-I586,0)))),0)</f>
        <v>1665</v>
      </c>
      <c r="L586" s="767">
        <f>IF(G586=6,F586,0)</f>
        <v>0</v>
      </c>
      <c r="M586" s="421">
        <f>IF(F586="",0,MONTH(A586))</f>
        <v>2</v>
      </c>
      <c r="P586" s="768" t="inlineStr">
        <is>
          <t>昨年実績</t>
        </is>
      </c>
      <c r="Q586" s="769" t="str">
        <f>IF($F586="","",IFERROR(VLOOKUP($C586&amp;"|"&amp;$D586,科目表!$A$5:$B$200,2,FALSE),"※未登録"))</f>
        <v>旅費</v>
      </c>
      <c r="R586" s="769">
        <f>IF($F586="","",$I586+$J586+$K586)</f>
        <v>19982</v>
      </c>
      <c r="S586" s="769" t="str">
        <f>IF(OR($F586="",$P586="支払なし",$H586=0,$Q586=""),"",$Q586&amp;"|S|"&amp;(COUNTIF(S$4:S585,$Q586&amp;"|S|*")+1))</f>
        <v>旅費|S|20</v>
      </c>
      <c r="T586" s="769" t="str">
        <f>IF(OR($F586="",$P586="支払なし",$R586=0,$Q586=""),"",$Q586&amp;"|L|"&amp;(COUNTIF(T$4:T585,$Q586&amp;"|L|*")+1))</f>
        <v>旅費|L|19</v>
      </c>
      <c r="U586" s="769">
        <f>IF(OR($F586="",$A586=""),"",MOD(MONTH($A586)-4,12)+1)</f>
        <v>11</v>
      </c>
    </row>
    <row r="587" ht="16.5" customFormat="1" customHeight="1" s="43">
      <c r="A587" s="760" t="n">
        <v>46066</v>
      </c>
      <c r="B587" s="761" t="n"/>
      <c r="C587" s="762" t="inlineStr">
        <is>
          <t>賃金</t>
        </is>
      </c>
      <c r="D587" s="762" t="n"/>
      <c r="E587" s="762" t="inlineStr">
        <is>
          <t>臨時職員賃金１月分　竹口範子外１名分（短期１００％）</t>
        </is>
      </c>
      <c r="F587" s="764" t="n">
        <v>359120</v>
      </c>
      <c r="G587" s="764" t="n">
        <v>2</v>
      </c>
      <c r="H587" s="765">
        <f>IF(G587=1,F587-I587-J587-K587,IF(G587=2,F587,0))</f>
        <v>359120</v>
      </c>
      <c r="I587" s="765">
        <f>ROUND(IF(G587=1,F587*10/23,IF(G587=3,F587-J587-K587,IF(G587=4,F587,IF(G587=5,F587*10/11,IF(G587=7,F587*10/11,0))))),0)</f>
        <v>0</v>
      </c>
      <c r="J587" s="765">
        <f>ROUND(IF(G587=1,F587/23,IF(G587=3,F587/12,IF(G587=5,F587-I587,IF(G587=8,F587,0)))),0)</f>
        <v>0</v>
      </c>
      <c r="K587" s="766">
        <f>ROUND(IF(G587=1,F587/23,IF(G587=3,F587/12,IF(G587=6,F587,IF(G587=7,F587-I587,0)))),0)</f>
        <v>0</v>
      </c>
      <c r="L587" s="767">
        <f>IF(G587=6,F587,0)</f>
        <v>0</v>
      </c>
      <c r="M587" s="572">
        <f>IF(F587="",0,MONTH(A587))</f>
        <v>2</v>
      </c>
      <c r="P587" s="768" t="inlineStr">
        <is>
          <t>昨年実績</t>
        </is>
      </c>
      <c r="Q587" s="769" t="str">
        <f>IF($F587="","",IFERROR(VLOOKUP($C587&amp;"|"&amp;$D587,科目表!$A$5:$B$200,2,FALSE),"※未登録"))</f>
        <v>賃金</v>
      </c>
      <c r="R587" s="769">
        <f>IF($F587="","",$I587+$J587+$K587)</f>
        <v>0</v>
      </c>
      <c r="S587" s="769" t="str">
        <f>IF(OR($F587="",$P587="支払なし",$H587=0,$Q587=""),"",$Q587&amp;"|S|"&amp;(COUNTIF(S$4:S586,$Q587&amp;"|S|*")+1))</f>
        <v>賃金|S|10</v>
      </c>
      <c r="T587" s="769" t="str">
        <f>IF(OR($F587="",$P587="支払なし",$R587=0,$Q587=""),"",$Q587&amp;"|L|"&amp;(COUNTIF(T$4:T586,$Q587&amp;"|L|*")+1))</f>
        <v/>
      </c>
      <c r="U587" s="769">
        <f>IF(OR($F587="",$A587=""),"",MOD(MONTH($A587)-4,12)+1)</f>
        <v>11</v>
      </c>
    </row>
    <row r="588" ht="24" customFormat="1" customHeight="1" s="43">
      <c r="A588" s="760" t="n">
        <v>46066</v>
      </c>
      <c r="B588" s="761" t="n"/>
      <c r="C588" s="762" t="inlineStr">
        <is>
          <t>事務費</t>
        </is>
      </c>
      <c r="D588" s="762" t="inlineStr">
        <is>
          <t>図書印刷費</t>
        </is>
      </c>
      <c r="E588" s="773" t="inlineStr">
        <is>
          <t>国家公務員等共済組合関係法令要覧追録531-534号、通達実例集110-111号</t>
        </is>
      </c>
      <c r="F588" s="764" t="n">
        <v>26400</v>
      </c>
      <c r="G588" s="764" t="n">
        <v>3</v>
      </c>
      <c r="H588" s="765">
        <f>IF(G588=1,F588-I588-J588-K588,IF(G588=2,F588,0))</f>
        <v>0</v>
      </c>
      <c r="I588" s="765">
        <f>ROUND(IF(G588=1,F588*10/23,IF(G588=3,F588-J588-K588,IF(G588=4,F588,IF(G588=5,F588*10/11,IF(G588=7,F588*10/11,0))))),0)</f>
        <v>22000</v>
      </c>
      <c r="J588" s="765">
        <f>ROUND(IF(G588=1,F588/23,IF(G588=3,F588/12,IF(G588=5,F588-I588,IF(G588=8,F588,0)))),0)</f>
        <v>2200</v>
      </c>
      <c r="K588" s="766">
        <f>ROUND(IF(G588=1,F588/23,IF(G588=3,F588/12,IF(G588=6,F588,IF(G588=7,F588-I588,0)))),0)</f>
        <v>2200</v>
      </c>
      <c r="L588" s="767">
        <f>IF(G588=6,F588,0)</f>
        <v>0</v>
      </c>
      <c r="M588" s="572">
        <f>IF(F588="",0,MONTH(A588))</f>
        <v>2</v>
      </c>
      <c r="P588" s="768" t="inlineStr">
        <is>
          <t>昨年実績</t>
        </is>
      </c>
      <c r="Q588" s="769" t="str">
        <f>IF($F588="","",IFERROR(VLOOKUP($C588&amp;"|"&amp;$D588,科目表!$A$5:$B$200,2,FALSE),"※未登録"))</f>
        <v>図書印刷費</v>
      </c>
      <c r="R588" s="769">
        <f>IF($F588="","",$I588+$J588+$K588)</f>
        <v>26400</v>
      </c>
      <c r="S588" s="769" t="str">
        <f>IF(OR($F588="",$P588="支払なし",$H588=0,$Q588=""),"",$Q588&amp;"|S|"&amp;(COUNTIF(S$4:S587,$Q588&amp;"|S|*")+1))</f>
        <v/>
      </c>
      <c r="T588" s="769" t="str">
        <f>IF(OR($F588="",$P588="支払なし",$R588=0,$Q588=""),"",$Q588&amp;"|L|"&amp;(COUNTIF(T$4:T587,$Q588&amp;"|L|*")+1))</f>
        <v>図書印刷費|L|19</v>
      </c>
      <c r="U588" s="769">
        <f>IF(OR($F588="",$A588=""),"",MOD(MONTH($A588)-4,12)+1)</f>
        <v>11</v>
      </c>
    </row>
    <row r="589" ht="16.5" customFormat="1" customHeight="1" s="43">
      <c r="A589" s="760" t="n">
        <v>46183</v>
      </c>
      <c r="B589" s="761" t="n"/>
      <c r="C589" s="762" t="inlineStr">
        <is>
          <t>旅費</t>
        </is>
      </c>
      <c r="D589" s="762" t="n"/>
      <c r="E589" s="762" t="inlineStr">
        <is>
          <t>6/23　全国代表理事協議会　東京都　山田理事</t>
        </is>
      </c>
      <c r="F589" s="772" t="n">
        <v>39960</v>
      </c>
      <c r="G589" s="772" t="n">
        <v>1</v>
      </c>
      <c r="H589" s="765">
        <f>IF(G589=1,F589-I589-J589-K589,IF(G589=2,F589,0))</f>
        <v>19112</v>
      </c>
      <c r="I589" s="765">
        <f>ROUND(IF(G589=1,F589*10/23,IF(G589=3,F589-J589-K589,IF(G589=4,F589,IF(G589=5,F589*10/11,IF(G589=7,F589*10/11,0))))),0)</f>
        <v>17374</v>
      </c>
      <c r="J589" s="765">
        <f>ROUND(IF(G589=1,F589/23,IF(G589=3,F589/12,IF(G589=5,F589-I589,IF(G589=8,F589,0)))),0)</f>
        <v>1737</v>
      </c>
      <c r="K589" s="766">
        <f>ROUND(IF(G589=1,F589/23,IF(G589=3,F589/12,IF(G589=6,F589,IF(G589=7,F589-I589,0)))),0)</f>
        <v>1737</v>
      </c>
      <c r="L589" s="767">
        <f>IF(G589=6,F589,0)</f>
        <v>0</v>
      </c>
      <c r="M589" s="572">
        <f>IF(F589="",0,MONTH(A589))</f>
        <v>6</v>
      </c>
      <c r="P589" s="768" t="inlineStr">
        <is>
          <t>確認済</t>
        </is>
      </c>
      <c r="Q589" s="769" t="str">
        <f>IF($F589="","",IFERROR(VLOOKUP($C589&amp;"|"&amp;$D589,科目表!$A$5:$B$200,2,FALSE),"※未登録"))</f>
        <v>旅費</v>
      </c>
      <c r="R589" s="769">
        <f>IF($F589="","",$I589+$J589+$K589)</f>
        <v>20848</v>
      </c>
      <c r="S589" s="769" t="str">
        <f>IF(OR($F589="",$P589="支払なし",$H589=0,$Q589=""),"",$Q589&amp;"|S|"&amp;(COUNTIF(S$4:S588,$Q589&amp;"|S|*")+1))</f>
        <v>旅費|S|21</v>
      </c>
      <c r="T589" s="769" t="str">
        <f>IF(OR($F589="",$P589="支払なし",$R589=0,$Q589=""),"",$Q589&amp;"|L|"&amp;(COUNTIF(T$4:T588,$Q589&amp;"|L|*")+1))</f>
        <v>旅費|L|20</v>
      </c>
      <c r="U589" s="769">
        <f>IF(OR($F589="",$A589=""),"",MOD(MONTH($A589)-4,12)+1)</f>
        <v>3</v>
      </c>
    </row>
    <row r="590" ht="16.5" customFormat="1" customHeight="1" s="422">
      <c r="A590" s="760" t="n">
        <v>43871</v>
      </c>
      <c r="B590" s="761" t="n"/>
      <c r="C590" s="762" t="inlineStr">
        <is>
          <t>旅費</t>
        </is>
      </c>
      <c r="D590" s="762" t="n"/>
      <c r="E590" s="762" t="inlineStr">
        <is>
          <t>2/12中国理事長会議　岡山市　胡子事務局長</t>
        </is>
      </c>
      <c r="F590" s="772" t="n">
        <v>29520</v>
      </c>
      <c r="G590" s="772" t="n">
        <v>2</v>
      </c>
      <c r="H590" s="765">
        <f>IF(G590=1,F590-I590-J590-K590,IF(G590=2,F590,0))</f>
        <v>29520</v>
      </c>
      <c r="I590" s="765">
        <f>ROUND(IF(G590=1,F590*10/23,IF(G590=3,F590-J590-K590,IF(G590=4,F590,IF(G590=5,F590*10/11,IF(G590=7,F590*10/11,0))))),0)</f>
        <v>0</v>
      </c>
      <c r="J590" s="765">
        <f>ROUND(IF(G590=1,F590/23,IF(G590=3,F590/12,IF(G590=5,F590-I590,IF(G590=8,F590,0)))),0)</f>
        <v>0</v>
      </c>
      <c r="K590" s="766">
        <f>ROUND(IF(G590=1,F590/23,IF(G590=3,F590/12,IF(G590=6,F590,IF(G590=7,F590-I590,0)))),0)</f>
        <v>0</v>
      </c>
      <c r="L590" s="767">
        <f>IF(G590=6,F590,0)</f>
        <v>0</v>
      </c>
      <c r="M590" s="421">
        <f>IF(F590="",0,MONTH(A590))</f>
        <v>2</v>
      </c>
      <c r="P590" s="768" t="inlineStr">
        <is>
          <t>昨年実績</t>
        </is>
      </c>
      <c r="Q590" s="769" t="str">
        <f>IF($F590="","",IFERROR(VLOOKUP($C590&amp;"|"&amp;$D590,科目表!$A$5:$B$200,2,FALSE),"※未登録"))</f>
        <v>旅費</v>
      </c>
      <c r="R590" s="769">
        <f>IF($F590="","",$I590+$J590+$K590)</f>
        <v>0</v>
      </c>
      <c r="S590" s="769" t="str">
        <f>IF(OR($F590="",$P590="支払なし",$H590=0,$Q590=""),"",$Q590&amp;"|S|"&amp;(COUNTIF(S$4:S589,$Q590&amp;"|S|*")+1))</f>
        <v>旅費|S|22</v>
      </c>
      <c r="T590" s="769" t="str">
        <f>IF(OR($F590="",$P590="支払なし",$R590=0,$Q590=""),"",$Q590&amp;"|L|"&amp;(COUNTIF(T$4:T589,$Q590&amp;"|L|*")+1))</f>
        <v/>
      </c>
      <c r="U590" s="769">
        <f>IF(OR($F590="",$A590=""),"",MOD(MONTH($A590)-4,12)+1)</f>
        <v>11</v>
      </c>
    </row>
    <row r="591" ht="16.5" customFormat="1" customHeight="1" s="422">
      <c r="A591" s="760" t="n">
        <v>43871</v>
      </c>
      <c r="B591" s="761" t="n"/>
      <c r="C591" s="762" t="inlineStr">
        <is>
          <t>旅費</t>
        </is>
      </c>
      <c r="D591" s="762" t="n"/>
      <c r="E591" s="762" t="inlineStr">
        <is>
          <t>2/12中国理事長会議　岡山市　江頭次長</t>
        </is>
      </c>
      <c r="F591" s="764" t="n">
        <v>26520</v>
      </c>
      <c r="G591" s="764" t="n">
        <v>2</v>
      </c>
      <c r="H591" s="765">
        <f>IF(G591=1,F591-I591-J591-K591,IF(G591=2,F591,0))</f>
        <v>26520</v>
      </c>
      <c r="I591" s="765">
        <f>ROUND(IF(G591=1,F591*10/23,IF(G591=3,F591-J591-K591,IF(G591=4,F591,IF(G591=5,F591*10/11,IF(G591=7,F591*10/11,0))))),0)</f>
        <v>0</v>
      </c>
      <c r="J591" s="765">
        <f>ROUND(IF(G591=1,F591/23,IF(G591=3,F591/12,IF(G591=5,F591-I591,IF(G591=8,F591,0)))),0)</f>
        <v>0</v>
      </c>
      <c r="K591" s="766">
        <f>ROUND(IF(G591=1,F591/23,IF(G591=3,F591/12,IF(G591=6,F591,IF(G591=7,F591-I591,0)))),0)</f>
        <v>0</v>
      </c>
      <c r="L591" s="767">
        <f>IF(G591=6,F591,0)</f>
        <v>0</v>
      </c>
      <c r="M591" s="421">
        <f>IF(F591="",0,MONTH(A591))</f>
        <v>2</v>
      </c>
      <c r="P591" s="768" t="inlineStr">
        <is>
          <t>昨年実績</t>
        </is>
      </c>
      <c r="Q591" s="769" t="str">
        <f>IF($F591="","",IFERROR(VLOOKUP($C591&amp;"|"&amp;$D591,科目表!$A$5:$B$200,2,FALSE),"※未登録"))</f>
        <v>旅費</v>
      </c>
      <c r="R591" s="769">
        <f>IF($F591="","",$I591+$J591+$K591)</f>
        <v>0</v>
      </c>
      <c r="S591" s="769" t="str">
        <f>IF(OR($F591="",$P591="支払なし",$H591=0,$Q591=""),"",$Q591&amp;"|S|"&amp;(COUNTIF(S$4:S590,$Q591&amp;"|S|*")+1))</f>
        <v>旅費|S|23</v>
      </c>
      <c r="T591" s="769" t="str">
        <f>IF(OR($F591="",$P591="支払なし",$R591=0,$Q591=""),"",$Q591&amp;"|L|"&amp;(COUNTIF(T$4:T590,$Q591&amp;"|L|*")+1))</f>
        <v/>
      </c>
      <c r="U591" s="769">
        <f>IF(OR($F591="",$A591=""),"",MOD(MONTH($A591)-4,12)+1)</f>
        <v>11</v>
      </c>
    </row>
    <row r="592" ht="16.5" customFormat="1" customHeight="1" s="43">
      <c r="A592" s="760" t="n">
        <v>46059</v>
      </c>
      <c r="B592" s="761" t="n"/>
      <c r="C592" s="762" t="inlineStr">
        <is>
          <t>事務費負担金払込金</t>
        </is>
      </c>
      <c r="D592" s="762" t="n"/>
      <c r="E592" s="775" t="inlineStr">
        <is>
          <t>１月分事務費負担金払込金　連合会へ払込</t>
        </is>
      </c>
      <c r="F592" s="764" t="n">
        <v>4513000</v>
      </c>
      <c r="G592" s="764" t="n">
        <v>5</v>
      </c>
      <c r="H592" s="765">
        <f>IF(G592=1,F592-I592-J592-K592,IF(G592=2,F592,0))</f>
        <v>0</v>
      </c>
      <c r="I592" s="765">
        <f>ROUND(IF(G592=1,F592*10/23,IF(G592=3,F592-J592-K592,IF(G592=4,F592,IF(G592=5,F592*10/11,IF(G592=7,F592*10/11,0))))),0)</f>
        <v>4102727</v>
      </c>
      <c r="J592" s="765">
        <f>ROUND(IF(G592=1,F592/23,IF(G592=3,F592/12,IF(G592=5,F592-I592,IF(G592=8,F592,0)))),0)</f>
        <v>410273</v>
      </c>
      <c r="K592" s="766">
        <f>ROUND(IF(G592=1,F592/23,IF(G592=3,F592/12,IF(G592=6,F592,IF(G592=7,F592-I592,0)))),0)</f>
        <v>0</v>
      </c>
      <c r="L592" s="767">
        <f>IF(G592=6,F592,0)</f>
        <v>0</v>
      </c>
      <c r="M592" s="572">
        <f>IF(F592="",0,MONTH(A592))</f>
        <v>2</v>
      </c>
      <c r="P592" s="768" t="inlineStr">
        <is>
          <t>昨年実績</t>
        </is>
      </c>
      <c r="Q592" s="769" t="str">
        <f>IF($F592="","",IFERROR(VLOOKUP($C592&amp;"|"&amp;$D592,科目表!$A$5:$B$200,2,FALSE),"※未登録"))</f>
        <v>事務費負担金払込金</v>
      </c>
      <c r="R592" s="769">
        <f>IF($F592="","",$I592+$J592+$K592)</f>
        <v>4513000</v>
      </c>
      <c r="S592" s="769" t="str">
        <f>IF(OR($F592="",$P592="支払なし",$H592=0,$Q592=""),"",$Q592&amp;"|S|"&amp;(COUNTIF(S$4:S591,$Q592&amp;"|S|*")+1))</f>
        <v/>
      </c>
      <c r="T592" s="769" t="str">
        <f>IF(OR($F592="",$P592="支払なし",$R592=0,$Q592=""),"",$Q592&amp;"|L|"&amp;(COUNTIF(T$4:T591,$Q592&amp;"|L|*")+1))</f>
        <v>事務費負担金払込金|L|11</v>
      </c>
      <c r="U592" s="769">
        <f>IF(OR($F592="",$A592=""),"",MOD(MONTH($A592)-4,12)+1)</f>
        <v>11</v>
      </c>
    </row>
    <row r="593" ht="16.5" customFormat="1" customHeight="1" s="43">
      <c r="A593" s="760" t="n">
        <v>46063</v>
      </c>
      <c r="B593" s="761" t="n"/>
      <c r="C593" s="762" t="inlineStr">
        <is>
          <t>事務費</t>
        </is>
      </c>
      <c r="D593" s="762" t="inlineStr">
        <is>
          <t>送金料</t>
        </is>
      </c>
      <c r="E593" s="775" t="inlineStr">
        <is>
          <t>振込手数料（広銀）１月分　長期分</t>
        </is>
      </c>
      <c r="F593" s="764" t="n">
        <v>16564</v>
      </c>
      <c r="G593" s="764" t="n">
        <v>3</v>
      </c>
      <c r="H593" s="765">
        <f>IF(G593=1,F593-I593-J593-K593,IF(G593=2,F593,0))</f>
        <v>0</v>
      </c>
      <c r="I593" s="765">
        <f>ROUND(IF(G593=1,F593*10/23,IF(G593=3,F593-J593-K593,IF(G593=4,F593,IF(G593=5,F593*10/11,IF(G593=7,F593*10/11,0))))),0)</f>
        <v>13804</v>
      </c>
      <c r="J593" s="765">
        <f>ROUND(IF(G593=1,F593/23,IF(G593=3,F593/12,IF(G593=5,F593-I593,IF(G593=8,F593,0)))),0)</f>
        <v>1380</v>
      </c>
      <c r="K593" s="766">
        <f>ROUND(IF(G593=1,F593/23,IF(G593=3,F593/12,IF(G593=6,F593,IF(G593=7,F593-I593,0)))),0)</f>
        <v>1380</v>
      </c>
      <c r="L593" s="767">
        <f>IF(G593=6,F593,0)</f>
        <v>0</v>
      </c>
      <c r="M593" s="572">
        <f>IF(F593="",0,MONTH(A593))</f>
        <v>2</v>
      </c>
      <c r="P593" s="768" t="inlineStr">
        <is>
          <t>昨年実績</t>
        </is>
      </c>
      <c r="Q593" s="769" t="str">
        <f>IF($F593="","",IFERROR(VLOOKUP($C593&amp;"|"&amp;$D593,科目表!$A$5:$B$200,2,FALSE),"※未登録"))</f>
        <v>送金料</v>
      </c>
      <c r="R593" s="769">
        <f>IF($F593="","",$I593+$J593+$K593)</f>
        <v>16564</v>
      </c>
      <c r="S593" s="769" t="str">
        <f>IF(OR($F593="",$P593="支払なし",$H593=0,$Q593=""),"",$Q593&amp;"|S|"&amp;(COUNTIF(S$4:S592,$Q593&amp;"|S|*")+1))</f>
        <v/>
      </c>
      <c r="T593" s="769" t="str">
        <f>IF(OR($F593="",$P593="支払なし",$R593=0,$Q593=""),"",$Q593&amp;"|L|"&amp;(COUNTIF(T$4:T592,$Q593&amp;"|L|*")+1))</f>
        <v>送金料|L|12</v>
      </c>
      <c r="U593" s="769">
        <f>IF(OR($F593="",$A593=""),"",MOD(MONTH($A593)-4,12)+1)</f>
        <v>11</v>
      </c>
    </row>
    <row r="594" ht="16.5" customFormat="1" customHeight="1" s="43">
      <c r="A594" s="760" t="n">
        <v>46063</v>
      </c>
      <c r="B594" s="761" t="n"/>
      <c r="C594" s="762" t="inlineStr">
        <is>
          <t>事務費</t>
        </is>
      </c>
      <c r="D594" s="762" t="inlineStr">
        <is>
          <t>送金料</t>
        </is>
      </c>
      <c r="E594" s="775" t="inlineStr">
        <is>
          <t>振込手数料（広銀）１月分　短期分</t>
        </is>
      </c>
      <c r="F594" s="764" t="n">
        <v>145536</v>
      </c>
      <c r="G594" s="764" t="n">
        <v>2</v>
      </c>
      <c r="H594" s="765">
        <f>IF(G594=1,F594-I594-J594-K594,IF(G594=2,F594,0))</f>
        <v>145536</v>
      </c>
      <c r="I594" s="765">
        <f>ROUND(IF(G594=1,F594*10/23,IF(G594=3,F594-J594-K594,IF(G594=4,F594,IF(G594=5,F594*10/11,IF(G594=7,F594*10/11,0))))),0)</f>
        <v>0</v>
      </c>
      <c r="J594" s="765">
        <f>ROUND(IF(G594=1,F594/23,IF(G594=3,F594/12,IF(G594=5,F594-I594,IF(G594=8,F594,0)))),0)</f>
        <v>0</v>
      </c>
      <c r="K594" s="766">
        <f>ROUND(IF(G594=1,F594/23,IF(G594=3,F594/12,IF(G594=6,F594,IF(G594=7,F594-I594,0)))),0)</f>
        <v>0</v>
      </c>
      <c r="L594" s="767">
        <f>IF(G594=6,F594,0)</f>
        <v>0</v>
      </c>
      <c r="M594" s="572">
        <f>IF(F594="",0,MONTH(A594))</f>
        <v>2</v>
      </c>
      <c r="P594" s="768" t="inlineStr">
        <is>
          <t>昨年実績</t>
        </is>
      </c>
      <c r="Q594" s="769" t="str">
        <f>IF($F594="","",IFERROR(VLOOKUP($C594&amp;"|"&amp;$D594,科目表!$A$5:$B$200,2,FALSE),"※未登録"))</f>
        <v>送金料</v>
      </c>
      <c r="R594" s="769">
        <f>IF($F594="","",$I594+$J594+$K594)</f>
        <v>0</v>
      </c>
      <c r="S594" s="769" t="str">
        <f>IF(OR($F594="",$P594="支払なし",$H594=0,$Q594=""),"",$Q594&amp;"|S|"&amp;(COUNTIF(S$4:S593,$Q594&amp;"|S|*")+1))</f>
        <v>送金料|S|20</v>
      </c>
      <c r="T594" s="769" t="str">
        <f>IF(OR($F594="",$P594="支払なし",$R594=0,$Q594=""),"",$Q594&amp;"|L|"&amp;(COUNTIF(T$4:T593,$Q594&amp;"|L|*")+1))</f>
        <v/>
      </c>
      <c r="U594" s="769">
        <f>IF(OR($F594="",$A594=""),"",MOD(MONTH($A594)-4,12)+1)</f>
        <v>11</v>
      </c>
    </row>
    <row r="595" ht="16.5" customFormat="1" customHeight="1" s="422">
      <c r="A595" s="760" t="n">
        <v>44237</v>
      </c>
      <c r="B595" s="761" t="n"/>
      <c r="C595" s="762" t="inlineStr">
        <is>
          <t>厚生費</t>
        </is>
      </c>
      <c r="D595" s="762" t="inlineStr">
        <is>
          <t>健康診断費</t>
        </is>
      </c>
      <c r="E595" s="775" t="inlineStr">
        <is>
          <t>人間ドック自己負担超分（下畠）</t>
        </is>
      </c>
      <c r="F595" s="772" t="n">
        <v>17240</v>
      </c>
      <c r="G595" s="772" t="n">
        <v>2</v>
      </c>
      <c r="H595" s="765">
        <f>IF(G595=1,F595-I595-J595-K595,IF(G595=2,F595,0))</f>
        <v>17240</v>
      </c>
      <c r="I595" s="765">
        <f>ROUND(IF(G595=1,F595*10/23,IF(G595=3,F595-J595-K595,IF(G595=4,F595,IF(G595=5,F595*10/11,IF(G595=7,F595*10/11,0))))),0)</f>
        <v>0</v>
      </c>
      <c r="J595" s="765">
        <f>ROUND(IF(G595=1,F595/23,IF(G595=3,F595/12,IF(G595=5,F595-I595,IF(G595=8,F595,0)))),0)</f>
        <v>0</v>
      </c>
      <c r="K595" s="766">
        <f>ROUND(IF(G595=1,F595/23,IF(G595=3,F595/12,IF(G595=6,F595,IF(G595=7,F595-I595,0)))),0)</f>
        <v>0</v>
      </c>
      <c r="L595" s="767">
        <f>IF(G595=6,F595,0)</f>
        <v>0</v>
      </c>
      <c r="M595" s="421">
        <f>IF(F595="",0,MONTH(A595))</f>
        <v>2</v>
      </c>
      <c r="P595" s="768" t="inlineStr">
        <is>
          <t>昨年実績</t>
        </is>
      </c>
      <c r="Q595" s="769" t="str">
        <f>IF($F595="","",IFERROR(VLOOKUP($C595&amp;"|"&amp;$D595,科目表!$A$5:$B$200,2,FALSE),"※未登録"))</f>
        <v>厚生費</v>
      </c>
      <c r="R595" s="769">
        <f>IF($F595="","",$I595+$J595+$K595)</f>
        <v>0</v>
      </c>
      <c r="S595" s="769" t="str">
        <f>IF(OR($F595="",$P595="支払なし",$H595=0,$Q595=""),"",$Q595&amp;"|S|"&amp;(COUNTIF(S$4:S594,$Q595&amp;"|S|*")+1))</f>
        <v>厚生費|S|4</v>
      </c>
      <c r="T595" s="769" t="str">
        <f>IF(OR($F595="",$P595="支払なし",$R595=0,$Q595=""),"",$Q595&amp;"|L|"&amp;(COUNTIF(T$4:T594,$Q595&amp;"|L|*")+1))</f>
        <v/>
      </c>
      <c r="U595" s="769">
        <f>IF(OR($F595="",$A595=""),"",MOD(MONTH($A595)-4,12)+1)</f>
        <v>11</v>
      </c>
    </row>
    <row r="596" ht="16.5" customFormat="1" customHeight="1" s="43">
      <c r="A596" s="760" t="n">
        <v>46080</v>
      </c>
      <c r="B596" s="761" t="n"/>
      <c r="C596" s="762" t="inlineStr">
        <is>
          <t>委託費</t>
        </is>
      </c>
      <c r="D596" s="762" t="n"/>
      <c r="E596" s="762" t="inlineStr">
        <is>
          <t>ねんきん定期便（１月分）送付業務</t>
        </is>
      </c>
      <c r="F596" s="772" t="n">
        <v>84507</v>
      </c>
      <c r="G596" s="772" t="n">
        <v>5</v>
      </c>
      <c r="H596" s="765">
        <f>IF(G596=1,F596-I596-J596-K596,IF(G596=2,F596,0))</f>
        <v>0</v>
      </c>
      <c r="I596" s="765">
        <f>ROUND(IF(G596=1,F596*10/23,IF(G596=3,F596-J596-K596,IF(G596=4,F596,IF(G596=5,F596*10/11,IF(G596=7,F596*10/11,0))))),0)</f>
        <v>76825</v>
      </c>
      <c r="J596" s="765">
        <f>ROUND(IF(G596=1,F596/23,IF(G596=3,F596/12,IF(G596=5,F596-I596,IF(G596=8,F596,0)))),0)</f>
        <v>7682</v>
      </c>
      <c r="K596" s="766">
        <f>ROUND(IF(G596=1,F596/23,IF(G596=3,F596/12,IF(G596=6,F596,IF(G596=7,F596-I596,0)))),0)</f>
        <v>0</v>
      </c>
      <c r="L596" s="767">
        <f>IF(G596=6,F596,0)</f>
        <v>0</v>
      </c>
      <c r="M596" s="572">
        <f>IF(F596="",0,MONTH(A596))</f>
        <v>2</v>
      </c>
      <c r="P596" s="768" t="inlineStr">
        <is>
          <t>昨年実績</t>
        </is>
      </c>
      <c r="Q596" s="769" t="str">
        <f>IF($F596="","",IFERROR(VLOOKUP($C596&amp;"|"&amp;$D596,科目表!$A$5:$B$200,2,FALSE),"※未登録"))</f>
        <v>委託費</v>
      </c>
      <c r="R596" s="769">
        <f>IF($F596="","",$I596+$J596+$K596)</f>
        <v>84507</v>
      </c>
      <c r="S596" s="769" t="str">
        <f>IF(OR($F596="",$P596="支払なし",$H596=0,$Q596=""),"",$Q596&amp;"|S|"&amp;(COUNTIF(S$4:S595,$Q596&amp;"|S|*")+1))</f>
        <v/>
      </c>
      <c r="T596" s="769" t="str">
        <f>IF(OR($F596="",$P596="支払なし",$R596=0,$Q596=""),"",$Q596&amp;"|L|"&amp;(COUNTIF(T$4:T595,$Q596&amp;"|L|*")+1))</f>
        <v>委託費|L|21</v>
      </c>
      <c r="U596" s="769">
        <f>IF(OR($F596="",$A596=""),"",MOD(MONTH($A596)-4,12)+1)</f>
        <v>11</v>
      </c>
    </row>
    <row r="597" ht="16.5" customFormat="1" customHeight="1" s="43">
      <c r="A597" s="760" t="n">
        <v>46059</v>
      </c>
      <c r="B597" s="761" t="n"/>
      <c r="C597" s="762" t="inlineStr">
        <is>
          <t>事務費</t>
        </is>
      </c>
      <c r="D597" s="762" t="inlineStr">
        <is>
          <t>通信運搬費</t>
        </is>
      </c>
      <c r="E597" s="763" t="inlineStr">
        <is>
          <t>切手</t>
        </is>
      </c>
      <c r="F597" s="772" t="n">
        <v>312000</v>
      </c>
      <c r="G597" s="772" t="n">
        <v>2</v>
      </c>
      <c r="H597" s="765">
        <f>IF(G597=1,F597-I597-J597-K597,IF(G597=2,F597,0))</f>
        <v>312000</v>
      </c>
      <c r="I597" s="765">
        <f>ROUND(IF(G597=1,F597*10/23,IF(G597=3,F597-J597-K597,IF(G597=4,F597,IF(G597=5,F597*10/11,IF(G597=7,F597*10/11,0))))),0)</f>
        <v>0</v>
      </c>
      <c r="J597" s="765">
        <f>ROUND(IF(G597=1,F597/23,IF(G597=3,F597/12,IF(G597=5,F597-I597,IF(G597=8,F597,0)))),0)</f>
        <v>0</v>
      </c>
      <c r="K597" s="766">
        <f>ROUND(IF(G597=1,F597/23,IF(G597=3,F597/12,IF(G597=6,F597,IF(G597=7,F597-I597,0)))),0)</f>
        <v>0</v>
      </c>
      <c r="L597" s="767">
        <f>IF(G597=6,F597,0)</f>
        <v>0</v>
      </c>
      <c r="M597" s="572">
        <f>IF(F597="",0,MONTH(A597))</f>
        <v>2</v>
      </c>
      <c r="P597" s="768" t="inlineStr">
        <is>
          <t>昨年実績</t>
        </is>
      </c>
      <c r="Q597" s="769" t="str">
        <f>IF($F597="","",IFERROR(VLOOKUP($C597&amp;"|"&amp;$D597,科目表!$A$5:$B$200,2,FALSE),"※未登録"))</f>
        <v>通信運搬費</v>
      </c>
      <c r="R597" s="769">
        <f>IF($F597="","",$I597+$J597+$K597)</f>
        <v>0</v>
      </c>
      <c r="S597" s="769" t="str">
        <f>IF(OR($F597="",$P597="支払なし",$H597=0,$Q597=""),"",$Q597&amp;"|S|"&amp;(COUNTIF(S$4:S596,$Q597&amp;"|S|*")+1))</f>
        <v>通信運搬費|S|62</v>
      </c>
      <c r="T597" s="769" t="str">
        <f>IF(OR($F597="",$P597="支払なし",$R597=0,$Q597=""),"",$Q597&amp;"|L|"&amp;(COUNTIF(T$4:T596,$Q597&amp;"|L|*")+1))</f>
        <v/>
      </c>
      <c r="U597" s="769">
        <f>IF(OR($F597="",$A597=""),"",MOD(MONTH($A597)-4,12)+1)</f>
        <v>11</v>
      </c>
    </row>
    <row r="598" ht="16.5" customFormat="1" customHeight="1" s="422">
      <c r="A598" s="760" t="n">
        <v>43873</v>
      </c>
      <c r="B598" s="761" t="n"/>
      <c r="C598" s="762" t="inlineStr">
        <is>
          <t>事務費</t>
        </is>
      </c>
      <c r="D598" s="762" t="inlineStr">
        <is>
          <t>通信運搬費</t>
        </is>
      </c>
      <c r="E598" s="763" t="inlineStr">
        <is>
          <t>切手</t>
        </is>
      </c>
      <c r="F598" s="772" t="n">
        <v>32000</v>
      </c>
      <c r="G598" s="772" t="n">
        <v>3</v>
      </c>
      <c r="H598" s="765">
        <f>IF(G598=1,F598-I598-J598-K598,IF(G598=2,F598,0))</f>
        <v>0</v>
      </c>
      <c r="I598" s="765">
        <f>ROUND(IF(G598=1,F598*10/23,IF(G598=3,F598-J598-K598,IF(G598=4,F598,IF(G598=5,F598*10/11,IF(G598=7,F598*10/11,0))))),0)</f>
        <v>26666</v>
      </c>
      <c r="J598" s="765">
        <f>ROUND(IF(G598=1,F598/23,IF(G598=3,F598/12,IF(G598=5,F598-I598,IF(G598=8,F598,0)))),0)</f>
        <v>2667</v>
      </c>
      <c r="K598" s="766">
        <f>ROUND(IF(G598=1,F598/23,IF(G598=3,F598/12,IF(G598=6,F598,IF(G598=7,F598-I598,0)))),0)</f>
        <v>2667</v>
      </c>
      <c r="L598" s="767">
        <f>IF(G598=6,F598,0)</f>
        <v>0</v>
      </c>
      <c r="M598" s="421">
        <f>IF(F598="",0,MONTH(A598))</f>
        <v>2</v>
      </c>
      <c r="P598" s="768" t="inlineStr">
        <is>
          <t>昨年実績</t>
        </is>
      </c>
      <c r="Q598" s="769" t="str">
        <f>IF($F598="","",IFERROR(VLOOKUP($C598&amp;"|"&amp;$D598,科目表!$A$5:$B$200,2,FALSE),"※未登録"))</f>
        <v>通信運搬費</v>
      </c>
      <c r="R598" s="769">
        <f>IF($F598="","",$I598+$J598+$K598)</f>
        <v>32000</v>
      </c>
      <c r="S598" s="769" t="str">
        <f>IF(OR($F598="",$P598="支払なし",$H598=0,$Q598=""),"",$Q598&amp;"|S|"&amp;(COUNTIF(S$4:S597,$Q598&amp;"|S|*")+1))</f>
        <v/>
      </c>
      <c r="T598" s="769" t="str">
        <f>IF(OR($F598="",$P598="支払なし",$R598=0,$Q598=""),"",$Q598&amp;"|L|"&amp;(COUNTIF(T$4:T597,$Q598&amp;"|L|*")+1))</f>
        <v>通信運搬費|L|24</v>
      </c>
      <c r="U598" s="769">
        <f>IF(OR($F598="",$A598=""),"",MOD(MONTH($A598)-4,12)+1)</f>
        <v>11</v>
      </c>
    </row>
    <row r="599" ht="16.5" customFormat="1" customHeight="1" s="422">
      <c r="A599" s="760" t="n">
        <v>43873</v>
      </c>
      <c r="B599" s="761" t="n"/>
      <c r="C599" s="762" t="inlineStr">
        <is>
          <t>負担金</t>
        </is>
      </c>
      <c r="D599" s="762" t="inlineStr">
        <is>
          <t>会議出席負担金等</t>
        </is>
      </c>
      <c r="E599" s="775" t="inlineStr">
        <is>
          <t>中国地区指定都市・市町村職員共済組合理事長会議３名分</t>
        </is>
      </c>
      <c r="F599" s="764" t="n">
        <v>6000</v>
      </c>
      <c r="G599" s="764" t="n">
        <v>2</v>
      </c>
      <c r="H599" s="765">
        <f>IF(G599=1,F599-I599-J599-K599,IF(G599=2,F599,0))</f>
        <v>6000</v>
      </c>
      <c r="I599" s="765">
        <f>ROUND(IF(G599=1,F599*10/23,IF(G599=3,F599-J599-K599,IF(G599=4,F599,IF(G599=5,F599*10/11,IF(G599=7,F599*10/11,0))))),0)</f>
        <v>0</v>
      </c>
      <c r="J599" s="765">
        <f>ROUND(IF(G599=1,F599/23,IF(G599=3,F599/12,IF(G599=5,F599-I599,IF(G599=8,F599,0)))),0)</f>
        <v>0</v>
      </c>
      <c r="K599" s="766">
        <f>ROUND(IF(G599=1,F599/23,IF(G599=3,F599/12,IF(G599=6,F599,IF(G599=7,F599-I599,0)))),0)</f>
        <v>0</v>
      </c>
      <c r="L599" s="767">
        <f>IF(G599=6,F599,0)</f>
        <v>0</v>
      </c>
      <c r="M599" s="421">
        <f>IF(F599="",0,MONTH(A599))</f>
        <v>2</v>
      </c>
      <c r="P599" s="768" t="inlineStr">
        <is>
          <t>昨年実績</t>
        </is>
      </c>
      <c r="Q599" s="769" t="str">
        <f>IF($F599="","",IFERROR(VLOOKUP($C599&amp;"|"&amp;$D599,科目表!$A$5:$B$200,2,FALSE),"※未登録"))</f>
        <v>会議出席負担金等</v>
      </c>
      <c r="R599" s="769">
        <f>IF($F599="","",$I599+$J599+$K599)</f>
        <v>0</v>
      </c>
      <c r="S599" s="769" t="str">
        <f>IF(OR($F599="",$P599="支払なし",$H599=0,$Q599=""),"",$Q599&amp;"|S|"&amp;(COUNTIF(S$4:S598,$Q599&amp;"|S|*")+1))</f>
        <v>会議出席負担金等|S|2</v>
      </c>
      <c r="T599" s="769" t="str">
        <f>IF(OR($F599="",$P599="支払なし",$R599=0,$Q599=""),"",$Q599&amp;"|L|"&amp;(COUNTIF(T$4:T598,$Q599&amp;"|L|*")+1))</f>
        <v/>
      </c>
      <c r="U599" s="769">
        <f>IF(OR($F599="",$A599=""),"",MOD(MONTH($A599)-4,12)+1)</f>
        <v>11</v>
      </c>
    </row>
    <row r="600" ht="16.5" customFormat="1" customHeight="1" s="43">
      <c r="A600" s="760" t="n">
        <v>46073</v>
      </c>
      <c r="B600" s="761" t="n"/>
      <c r="C600" s="762" t="inlineStr">
        <is>
          <t>職員給与</t>
        </is>
      </c>
      <c r="D600" s="762" t="inlineStr">
        <is>
          <t>非常勤職員手当</t>
        </is>
      </c>
      <c r="E600" s="762" t="inlineStr">
        <is>
          <t>２月分給与（長期分）</t>
        </is>
      </c>
      <c r="F600" s="764" t="n">
        <v>395611</v>
      </c>
      <c r="G600" s="772" t="n">
        <v>3</v>
      </c>
      <c r="H600" s="765">
        <f>IF(G600=1,F600-I600-J600-K600,IF(G600=2,F600,0))</f>
        <v>0</v>
      </c>
      <c r="I600" s="765">
        <f>ROUND(IF(G600=1,F600*10/23,IF(G600=3,F600-J600-K600,IF(G600=4,F600,IF(G600=5,F600*10/11,IF(G600=7,F600*10/11,0))))),0)</f>
        <v>329675</v>
      </c>
      <c r="J600" s="765">
        <f>ROUND(IF(G600=1,F600/23,IF(G600=3,F600/12,IF(G600=5,F600-I600,IF(G600=8,F600,0)))),0)</f>
        <v>32968</v>
      </c>
      <c r="K600" s="766">
        <f>ROUND(IF(G600=1,F600/23,IF(G600=3,F600/12,IF(G600=6,F600,IF(G600=7,F600-I600,0)))),0)</f>
        <v>32968</v>
      </c>
      <c r="L600" s="767">
        <f>IF(G600=6,F600,0)</f>
        <v>0</v>
      </c>
      <c r="M600" s="572">
        <f>IF(F600="",0,MONTH(A600))</f>
        <v>2</v>
      </c>
      <c r="P600" s="768" t="inlineStr">
        <is>
          <t>昨年実績</t>
        </is>
      </c>
      <c r="Q600" s="769" t="str">
        <f>IF($F600="","",IFERROR(VLOOKUP($C600&amp;"|"&amp;$D600,科目表!$A$5:$B$200,2,FALSE),"※未登録"))</f>
        <v>非常勤職員手当</v>
      </c>
      <c r="R600" s="769">
        <f>IF($F600="","",$I600+$J600+$K600)</f>
        <v>395611</v>
      </c>
      <c r="S600" s="769" t="str">
        <f>IF(OR($F600="",$P600="支払なし",$H600=0,$Q600=""),"",$Q600&amp;"|S|"&amp;(COUNTIF(S$4:S599,$Q600&amp;"|S|*")+1))</f>
        <v/>
      </c>
      <c r="T600" s="769" t="str">
        <f>IF(OR($F600="",$P600="支払なし",$R600=0,$Q600=""),"",$Q600&amp;"|L|"&amp;(COUNTIF(T$4:T599,$Q600&amp;"|L|*")+1))</f>
        <v>非常勤職員手当|L|17</v>
      </c>
      <c r="U600" s="769">
        <f>IF(OR($F600="",$A600=""),"",MOD(MONTH($A600)-4,12)+1)</f>
        <v>11</v>
      </c>
    </row>
    <row r="601" ht="16.5" customFormat="1" customHeight="1" s="43">
      <c r="A601" s="760" t="n">
        <v>46073</v>
      </c>
      <c r="B601" s="761" t="n"/>
      <c r="C601" s="762" t="inlineStr">
        <is>
          <t>職員給与</t>
        </is>
      </c>
      <c r="D601" s="762" t="inlineStr">
        <is>
          <t>非常勤職員手当</t>
        </is>
      </c>
      <c r="E601" s="762" t="inlineStr">
        <is>
          <t>２月分給与（短期分）</t>
        </is>
      </c>
      <c r="F601" s="764" t="n">
        <v>232335</v>
      </c>
      <c r="G601" s="772" t="n">
        <v>2</v>
      </c>
      <c r="H601" s="765">
        <f>IF(G601=1,F601-I601-J601-K601,IF(G601=2,F601,0))</f>
        <v>232335</v>
      </c>
      <c r="I601" s="765">
        <f>ROUND(IF(G601=1,F601*10/23,IF(G601=3,F601-J601-K601,IF(G601=4,F601,IF(G601=5,F601*10/11,IF(G601=7,F601*10/11,0))))),0)</f>
        <v>0</v>
      </c>
      <c r="J601" s="765">
        <f>ROUND(IF(G601=1,F601/23,IF(G601=3,F601/12,IF(G601=5,F601-I601,IF(G601=8,F601,0)))),0)</f>
        <v>0</v>
      </c>
      <c r="K601" s="766">
        <f>ROUND(IF(G601=1,F601/23,IF(G601=3,F601/12,IF(G601=6,F601,IF(G601=7,F601-I601,0)))),0)</f>
        <v>0</v>
      </c>
      <c r="L601" s="767">
        <f>IF(G601=6,F601,0)</f>
        <v>0</v>
      </c>
      <c r="M601" s="572">
        <f>IF(F601="",0,MONTH(A601))</f>
        <v>2</v>
      </c>
      <c r="P601" s="768" t="inlineStr">
        <is>
          <t>昨年実績</t>
        </is>
      </c>
      <c r="Q601" s="769" t="str">
        <f>IF($F601="","",IFERROR(VLOOKUP($C601&amp;"|"&amp;$D601,科目表!$A$5:$B$200,2,FALSE),"※未登録"))</f>
        <v>非常勤職員手当</v>
      </c>
      <c r="R601" s="769">
        <f>IF($F601="","",$I601+$J601+$K601)</f>
        <v>0</v>
      </c>
      <c r="S601" s="769" t="str">
        <f>IF(OR($F601="",$P601="支払なし",$H601=0,$Q601=""),"",$Q601&amp;"|S|"&amp;(COUNTIF(S$4:S600,$Q601&amp;"|S|*")+1))</f>
        <v>非常勤職員手当|S|14</v>
      </c>
      <c r="T601" s="769" t="str">
        <f>IF(OR($F601="",$P601="支払なし",$R601=0,$Q601=""),"",$Q601&amp;"|L|"&amp;(COUNTIF(T$4:T600,$Q601&amp;"|L|*")+1))</f>
        <v/>
      </c>
      <c r="U601" s="769">
        <f>IF(OR($F601="",$A601=""),"",MOD(MONTH($A601)-4,12)+1)</f>
        <v>11</v>
      </c>
    </row>
    <row r="602" ht="16.5" customFormat="1" customHeight="1" s="43">
      <c r="A602" s="760" t="n">
        <v>46073</v>
      </c>
      <c r="B602" s="761" t="n"/>
      <c r="C602" s="762" t="inlineStr">
        <is>
          <t>負担金</t>
        </is>
      </c>
      <c r="D602" s="762" t="inlineStr">
        <is>
          <t>互助会費</t>
        </is>
      </c>
      <c r="E602" s="762" t="inlineStr">
        <is>
          <t>助成金（２月長期分）</t>
        </is>
      </c>
      <c r="F602" s="764" t="n">
        <v>554</v>
      </c>
      <c r="G602" s="764" t="n">
        <v>3</v>
      </c>
      <c r="H602" s="765">
        <f>IF(G602=1,F602-I602-J602-K602,IF(G602=2,F602,0))</f>
        <v>0</v>
      </c>
      <c r="I602" s="765">
        <f>ROUND(IF(G602=1,F602*10/23,IF(G602=3,F602-J602-K602,IF(G602=4,F602,IF(G602=5,F602*10/11,IF(G602=7,F602*10/11,0))))),0)</f>
        <v>462</v>
      </c>
      <c r="J602" s="765">
        <f>ROUND(IF(G602=1,F602/23,IF(G602=3,F602/12,IF(G602=5,F602-I602,IF(G602=8,F602,0)))),0)</f>
        <v>46</v>
      </c>
      <c r="K602" s="766">
        <f>ROUND(IF(G602=1,F602/23,IF(G602=3,F602/12,IF(G602=6,F602,IF(G602=7,F602-I602,0)))),0)</f>
        <v>46</v>
      </c>
      <c r="L602" s="767">
        <f>IF(G602=6,F602,0)</f>
        <v>0</v>
      </c>
      <c r="M602" s="572">
        <f>IF(F602="",0,MONTH(A602))</f>
        <v>2</v>
      </c>
      <c r="P602" s="768" t="inlineStr">
        <is>
          <t>昨年実績</t>
        </is>
      </c>
      <c r="Q602" s="769" t="str">
        <f>IF($F602="","",IFERROR(VLOOKUP($C602&amp;"|"&amp;$D602,科目表!$A$5:$B$200,2,FALSE),"※未登録"))</f>
        <v>互助会費</v>
      </c>
      <c r="R602" s="769">
        <f>IF($F602="","",$I602+$J602+$K602)</f>
        <v>554</v>
      </c>
      <c r="S602" s="769" t="str">
        <f>IF(OR($F602="",$P602="支払なし",$H602=0,$Q602=""),"",$Q602&amp;"|S|"&amp;(COUNTIF(S$4:S601,$Q602&amp;"|S|*")+1))</f>
        <v/>
      </c>
      <c r="T602" s="769" t="str">
        <f>IF(OR($F602="",$P602="支払なし",$R602=0,$Q602=""),"",$Q602&amp;"|L|"&amp;(COUNTIF(T$4:T601,$Q602&amp;"|L|*")+1))</f>
        <v>互助会費|L|12</v>
      </c>
      <c r="U602" s="769">
        <f>IF(OR($F602="",$A602=""),"",MOD(MONTH($A602)-4,12)+1)</f>
        <v>11</v>
      </c>
    </row>
    <row r="603" ht="16.5" customFormat="1" customHeight="1" s="43">
      <c r="A603" s="760" t="n">
        <v>46073</v>
      </c>
      <c r="B603" s="761" t="n"/>
      <c r="C603" s="762" t="inlineStr">
        <is>
          <t>負担金</t>
        </is>
      </c>
      <c r="D603" s="762" t="inlineStr">
        <is>
          <t>互助会費</t>
        </is>
      </c>
      <c r="E603" s="762" t="inlineStr">
        <is>
          <t>助成金（２月短期分）</t>
        </is>
      </c>
      <c r="F603" s="764" t="n">
        <v>284</v>
      </c>
      <c r="G603" s="764" t="n">
        <v>2</v>
      </c>
      <c r="H603" s="765">
        <f>IF(G603=1,F603-I603-J603-K603,IF(G603=2,F603,0))</f>
        <v>284</v>
      </c>
      <c r="I603" s="765">
        <f>ROUND(IF(G603=1,F603*10/23,IF(G603=3,F603-J603-K603,IF(G603=4,F603,IF(G603=5,F603*10/11,IF(G603=7,F603*10/11,0))))),0)</f>
        <v>0</v>
      </c>
      <c r="J603" s="765">
        <f>ROUND(IF(G603=1,F603/23,IF(G603=3,F603/12,IF(G603=5,F603-I603,IF(G603=8,F603,0)))),0)</f>
        <v>0</v>
      </c>
      <c r="K603" s="766">
        <f>ROUND(IF(G603=1,F603/23,IF(G603=3,F603/12,IF(G603=6,F603,IF(G603=7,F603-I603,0)))),0)</f>
        <v>0</v>
      </c>
      <c r="L603" s="767">
        <f>IF(G603=6,F603,0)</f>
        <v>0</v>
      </c>
      <c r="M603" s="572">
        <f>IF(F603="",0,MONTH(A603))</f>
        <v>2</v>
      </c>
      <c r="P603" s="768" t="inlineStr">
        <is>
          <t>昨年実績</t>
        </is>
      </c>
      <c r="Q603" s="769" t="str">
        <f>IF($F603="","",IFERROR(VLOOKUP($C603&amp;"|"&amp;$D603,科目表!$A$5:$B$200,2,FALSE),"※未登録"))</f>
        <v>互助会費</v>
      </c>
      <c r="R603" s="769">
        <f>IF($F603="","",$I603+$J603+$K603)</f>
        <v>0</v>
      </c>
      <c r="S603" s="769" t="str">
        <f>IF(OR($F603="",$P603="支払なし",$H603=0,$Q603=""),"",$Q603&amp;"|S|"&amp;(COUNTIF(S$4:S602,$Q603&amp;"|S|*")+1))</f>
        <v>互助会費|S|12</v>
      </c>
      <c r="T603" s="769" t="str">
        <f>IF(OR($F603="",$P603="支払なし",$R603=0,$Q603=""),"",$Q603&amp;"|L|"&amp;(COUNTIF(T$4:T602,$Q603&amp;"|L|*")+1))</f>
        <v/>
      </c>
      <c r="U603" s="769">
        <f>IF(OR($F603="",$A603=""),"",MOD(MONTH($A603)-4,12)+1)</f>
        <v>11</v>
      </c>
    </row>
    <row r="604" ht="16.5" customFormat="1" customHeight="1" s="43">
      <c r="A604" s="760" t="n">
        <v>46080</v>
      </c>
      <c r="B604" s="761" t="n"/>
      <c r="C604" s="762" t="inlineStr">
        <is>
          <t>事務費</t>
        </is>
      </c>
      <c r="D604" s="762" t="inlineStr">
        <is>
          <t>送金料</t>
        </is>
      </c>
      <c r="E604" s="773" t="inlineStr">
        <is>
          <t>ゆうちょ銀行手数料（1月分）短期</t>
        </is>
      </c>
      <c r="F604" s="764" t="n">
        <v>10876</v>
      </c>
      <c r="G604" s="764" t="n">
        <v>2</v>
      </c>
      <c r="H604" s="765">
        <f>IF(G604=1,F604-I604-J604-K604,IF(G604=2,F604,0))</f>
        <v>10876</v>
      </c>
      <c r="I604" s="765">
        <f>ROUND(IF(G604=1,F604*10/23,IF(G604=3,F604-J604-K604,IF(G604=4,F604,IF(G604=5,F604*10/11,IF(G604=7,F604*10/11,0))))),0)</f>
        <v>0</v>
      </c>
      <c r="J604" s="765">
        <f>ROUND(IF(G604=1,F604/23,IF(G604=3,F604/12,IF(G604=5,F604-I604,IF(G604=8,F604,0)))),0)</f>
        <v>0</v>
      </c>
      <c r="K604" s="766">
        <f>ROUND(IF(G604=1,F604/23,IF(G604=3,F604/12,IF(G604=6,F604,IF(G604=7,F604-I604,0)))),0)</f>
        <v>0</v>
      </c>
      <c r="L604" s="767">
        <f>IF(G604=6,F604,0)</f>
        <v>0</v>
      </c>
      <c r="M604" s="572">
        <f>IF(F604="",0,MONTH(A604))</f>
        <v>2</v>
      </c>
      <c r="P604" s="768" t="inlineStr">
        <is>
          <t>昨年実績</t>
        </is>
      </c>
      <c r="Q604" s="769" t="str">
        <f>IF($F604="","",IFERROR(VLOOKUP($C604&amp;"|"&amp;$D604,科目表!$A$5:$B$200,2,FALSE),"※未登録"))</f>
        <v>送金料</v>
      </c>
      <c r="R604" s="769">
        <f>IF($F604="","",$I604+$J604+$K604)</f>
        <v>0</v>
      </c>
      <c r="S604" s="769" t="str">
        <f>IF(OR($F604="",$P604="支払なし",$H604=0,$Q604=""),"",$Q604&amp;"|S|"&amp;(COUNTIF(S$4:S603,$Q604&amp;"|S|*")+1))</f>
        <v>送金料|S|21</v>
      </c>
      <c r="T604" s="769" t="str">
        <f>IF(OR($F604="",$P604="支払なし",$R604=0,$Q604=""),"",$Q604&amp;"|L|"&amp;(COUNTIF(T$4:T603,$Q604&amp;"|L|*")+1))</f>
        <v/>
      </c>
      <c r="U604" s="769">
        <f>IF(OR($F604="",$A604=""),"",MOD(MONTH($A604)-4,12)+1)</f>
        <v>11</v>
      </c>
    </row>
    <row r="605" ht="16.5" customFormat="1" customHeight="1" s="43">
      <c r="A605" s="760" t="n">
        <v>46080</v>
      </c>
      <c r="B605" s="761" t="n"/>
      <c r="C605" s="762" t="inlineStr">
        <is>
          <t>事務費</t>
        </is>
      </c>
      <c r="D605" s="762" t="inlineStr">
        <is>
          <t>雑費</t>
        </is>
      </c>
      <c r="E605" s="773" t="inlineStr">
        <is>
          <t>ゆうちょ銀行振替口座残高証明（1月分）短期</t>
        </is>
      </c>
      <c r="F605" s="764" t="n">
        <v>550</v>
      </c>
      <c r="G605" s="764" t="n">
        <v>2</v>
      </c>
      <c r="H605" s="765">
        <f>IF(G605=1,F605-I605-J605-K605,IF(G605=2,F605,0))</f>
        <v>550</v>
      </c>
      <c r="I605" s="765">
        <f>ROUND(IF(G605=1,F605*10/23,IF(G605=3,F605-J605-K605,IF(G605=4,F605,IF(G605=5,F605*10/11,IF(G605=7,F605*10/11,0))))),0)</f>
        <v>0</v>
      </c>
      <c r="J605" s="765">
        <f>ROUND(IF(G605=1,F605/23,IF(G605=3,F605/12,IF(G605=5,F605-I605,IF(G605=8,F605,0)))),0)</f>
        <v>0</v>
      </c>
      <c r="K605" s="766">
        <f>ROUND(IF(G605=1,F605/23,IF(G605=3,F605/12,IF(G605=6,F605,IF(G605=7,F605-I605,0)))),0)</f>
        <v>0</v>
      </c>
      <c r="L605" s="767">
        <f>IF(G605=6,F605,0)</f>
        <v>0</v>
      </c>
      <c r="M605" s="572">
        <f>IF(F605="",0,MONTH(A605))</f>
        <v>2</v>
      </c>
      <c r="P605" s="768" t="inlineStr">
        <is>
          <t>昨年実績</t>
        </is>
      </c>
      <c r="Q605" s="769" t="str">
        <f>IF($F605="","",IFERROR(VLOOKUP($C605&amp;"|"&amp;$D605,科目表!$A$5:$B$200,2,FALSE),"※未登録"))</f>
        <v>事務費・雑費</v>
      </c>
      <c r="R605" s="769">
        <f>IF($F605="","",$I605+$J605+$K605)</f>
        <v>0</v>
      </c>
      <c r="S605" s="769" t="str">
        <f>IF(OR($F605="",$P605="支払なし",$H605=0,$Q605=""),"",$Q605&amp;"|S|"&amp;(COUNTIF(S$4:S604,$Q605&amp;"|S|*")+1))</f>
        <v>事務費・雑費|S|16</v>
      </c>
      <c r="T605" s="769" t="str">
        <f>IF(OR($F605="",$P605="支払なし",$R605=0,$Q605=""),"",$Q605&amp;"|L|"&amp;(COUNTIF(T$4:T604,$Q605&amp;"|L|*")+1))</f>
        <v/>
      </c>
      <c r="U605" s="769">
        <f>IF(OR($F605="",$A605=""),"",MOD(MONTH($A605)-4,12)+1)</f>
        <v>11</v>
      </c>
    </row>
    <row r="606" ht="16.5" customFormat="1" customHeight="1" s="43">
      <c r="A606" s="760" t="n">
        <v>46078</v>
      </c>
      <c r="B606" s="761" t="n"/>
      <c r="C606" s="762" t="inlineStr">
        <is>
          <t>負担金</t>
        </is>
      </c>
      <c r="D606" s="762" t="inlineStr">
        <is>
          <t>負担金</t>
        </is>
      </c>
      <c r="E606" s="762" t="inlineStr">
        <is>
          <t>共済短期・介護負担金（2月月例分）長期</t>
        </is>
      </c>
      <c r="F606" s="772" t="n">
        <v>22835</v>
      </c>
      <c r="G606" s="772" t="n">
        <v>3</v>
      </c>
      <c r="H606" s="765">
        <f>IF(G606=1,F606-I606-J606-K606,IF(G606=2,F606,0))</f>
        <v>0</v>
      </c>
      <c r="I606" s="765">
        <f>ROUND(IF(G606=1,F606*10/23,IF(G606=3,F606-J606-K606,IF(G606=4,F606,IF(G606=5,F606*10/11,IF(G606=7,F606*10/11,0))))),0)</f>
        <v>19029</v>
      </c>
      <c r="J606" s="765">
        <f>ROUND(IF(G606=1,F606/23,IF(G606=3,F606/12,IF(G606=5,F606-I606,IF(G606=8,F606,0)))),0)</f>
        <v>1903</v>
      </c>
      <c r="K606" s="766">
        <f>ROUND(IF(G606=1,F606/23,IF(G606=3,F606/12,IF(G606=6,F606,IF(G606=7,F606-I606,0)))),0)</f>
        <v>1903</v>
      </c>
      <c r="L606" s="767">
        <f>IF(G606=6,F606,0)</f>
        <v>0</v>
      </c>
      <c r="M606" s="572">
        <f>IF(F606="",0,MONTH(A606))</f>
        <v>2</v>
      </c>
      <c r="P606" s="768" t="inlineStr">
        <is>
          <t>昨年実績</t>
        </is>
      </c>
      <c r="Q606" s="769" t="str">
        <f>IF($F606="","",IFERROR(VLOOKUP($C606&amp;"|"&amp;$D606,科目表!$A$5:$B$200,2,FALSE),"※未登録"))</f>
        <v>共済負担金等</v>
      </c>
      <c r="R606" s="769">
        <f>IF($F606="","",$I606+$J606+$K606)</f>
        <v>22835</v>
      </c>
      <c r="S606" s="769" t="str">
        <f>IF(OR($F606="",$P606="支払なし",$H606=0,$Q606=""),"",$Q606&amp;"|S|"&amp;(COUNTIF(S$4:S605,$Q606&amp;"|S|*")+1))</f>
        <v/>
      </c>
      <c r="T606" s="769" t="str">
        <f>IF(OR($F606="",$P606="支払なし",$R606=0,$Q606=""),"",$Q606&amp;"|L|"&amp;(COUNTIF(T$4:T605,$Q606&amp;"|L|*")+1))</f>
        <v>共済負担金等|L|18</v>
      </c>
      <c r="U606" s="769">
        <f>IF(OR($F606="",$A606=""),"",MOD(MONTH($A606)-4,12)+1)</f>
        <v>11</v>
      </c>
    </row>
    <row r="607" ht="16.5" customFormat="1" customHeight="1" s="43">
      <c r="A607" s="760" t="n">
        <v>46078</v>
      </c>
      <c r="B607" s="761" t="n"/>
      <c r="C607" s="762" t="inlineStr">
        <is>
          <t>負担金</t>
        </is>
      </c>
      <c r="D607" s="762" t="inlineStr">
        <is>
          <t>負担金</t>
        </is>
      </c>
      <c r="E607" s="762" t="inlineStr">
        <is>
          <t>共済短期・介護負担金（2月月例分）短期</t>
        </is>
      </c>
      <c r="F607" s="772" t="n">
        <v>39697</v>
      </c>
      <c r="G607" s="772" t="n">
        <v>2</v>
      </c>
      <c r="H607" s="765">
        <f>IF(G607=1,F607-I607-J607-K607,IF(G607=2,F607,0))</f>
        <v>39697</v>
      </c>
      <c r="I607" s="765">
        <f>ROUND(IF(G607=1,F607*10/23,IF(G607=3,F607-J607-K607,IF(G607=4,F607,IF(G607=5,F607*10/11,IF(G607=7,F607*10/11,0))))),0)</f>
        <v>0</v>
      </c>
      <c r="J607" s="765">
        <f>ROUND(IF(G607=1,F607/23,IF(G607=3,F607/12,IF(G607=5,F607-I607,IF(G607=8,F607,0)))),0)</f>
        <v>0</v>
      </c>
      <c r="K607" s="766">
        <f>ROUND(IF(G607=1,F607/23,IF(G607=3,F607/12,IF(G607=6,F607,IF(G607=7,F607-I607,0)))),0)</f>
        <v>0</v>
      </c>
      <c r="L607" s="767">
        <f>IF(G607=6,F607,0)</f>
        <v>0</v>
      </c>
      <c r="M607" s="572">
        <f>IF(F607="",0,MONTH(A607))</f>
        <v>2</v>
      </c>
      <c r="P607" s="768" t="inlineStr">
        <is>
          <t>昨年実績</t>
        </is>
      </c>
      <c r="Q607" s="769" t="str">
        <f>IF($F607="","",IFERROR(VLOOKUP($C607&amp;"|"&amp;$D607,科目表!$A$5:$B$200,2,FALSE),"※未登録"))</f>
        <v>共済負担金等</v>
      </c>
      <c r="R607" s="769">
        <f>IF($F607="","",$I607+$J607+$K607)</f>
        <v>0</v>
      </c>
      <c r="S607" s="769" t="str">
        <f>IF(OR($F607="",$P607="支払なし",$H607=0,$Q607=""),"",$Q607&amp;"|S|"&amp;(COUNTIF(S$4:S606,$Q607&amp;"|S|*")+1))</f>
        <v>共済負担金等|S|14</v>
      </c>
      <c r="T607" s="769" t="str">
        <f>IF(OR($F607="",$P607="支払なし",$R607=0,$Q607=""),"",$Q607&amp;"|L|"&amp;(COUNTIF(T$4:T606,$Q607&amp;"|L|*")+1))</f>
        <v/>
      </c>
      <c r="U607" s="769">
        <f>IF(OR($F607="",$A607=""),"",MOD(MONTH($A607)-4,12)+1)</f>
        <v>11</v>
      </c>
    </row>
    <row r="608" ht="16.5" customFormat="1" customHeight="1" s="422">
      <c r="A608" s="760" t="n">
        <v>45005</v>
      </c>
      <c r="B608" s="761" t="n"/>
      <c r="C608" s="762" t="inlineStr">
        <is>
          <t>旅費</t>
        </is>
      </c>
      <c r="D608" s="762" t="n"/>
      <c r="E608" s="775" t="inlineStr">
        <is>
          <t>3/22　全国監事研修会　特別区　栗栖監事</t>
        </is>
      </c>
      <c r="F608" s="764" t="n">
        <v>39500</v>
      </c>
      <c r="G608" s="764" t="n">
        <v>1</v>
      </c>
      <c r="H608" s="765">
        <f>IF(G608=1,F608-I608-J608-K608,IF(G608=2,F608,0))</f>
        <v>18892</v>
      </c>
      <c r="I608" s="765">
        <f>ROUND(IF(G608=1,F608*10/23,IF(G608=3,F608-J608-K608,IF(G608=4,F608,IF(G608=5,F608*10/11,IF(G608=7,F608*10/11,0))))),0)</f>
        <v>17174</v>
      </c>
      <c r="J608" s="765">
        <f>ROUND(IF(G608=1,F608/23,IF(G608=3,F608/12,IF(G608=5,F608-I608,IF(G608=8,F608,0)))),0)</f>
        <v>1717</v>
      </c>
      <c r="K608" s="766">
        <f>ROUND(IF(G608=1,F608/23,IF(G608=3,F608/12,IF(G608=6,F608,IF(G608=7,F608-I608,0)))),0)</f>
        <v>1717</v>
      </c>
      <c r="L608" s="767">
        <f>IF(G608=6,F608,0)</f>
        <v>0</v>
      </c>
      <c r="M608" s="421">
        <f>IF(F608="",0,MONTH(A608))</f>
        <v>3</v>
      </c>
      <c r="P608" s="768" t="inlineStr">
        <is>
          <t>昨年実績</t>
        </is>
      </c>
      <c r="Q608" s="769" t="str">
        <f>IF($F608="","",IFERROR(VLOOKUP($C608&amp;"|"&amp;$D608,科目表!$A$5:$B$200,2,FALSE),"※未登録"))</f>
        <v>旅費</v>
      </c>
      <c r="R608" s="769">
        <f>IF($F608="","",$I608+$J608+$K608)</f>
        <v>20608</v>
      </c>
      <c r="S608" s="769" t="str">
        <f>IF(OR($F608="",$P608="支払なし",$H608=0,$Q608=""),"",$Q608&amp;"|S|"&amp;(COUNTIF(S$4:S607,$Q608&amp;"|S|*")+1))</f>
        <v>旅費|S|24</v>
      </c>
      <c r="T608" s="769" t="str">
        <f>IF(OR($F608="",$P608="支払なし",$R608=0,$Q608=""),"",$Q608&amp;"|L|"&amp;(COUNTIF(T$4:T607,$Q608&amp;"|L|*")+1))</f>
        <v>旅費|L|21</v>
      </c>
      <c r="U608" s="769">
        <f>IF(OR($F608="",$A608=""),"",MOD(MONTH($A608)-4,12)+1)</f>
        <v>12</v>
      </c>
    </row>
    <row r="609" ht="16.5" customFormat="1" customHeight="1" s="422">
      <c r="A609" s="760" t="n">
        <v>44253</v>
      </c>
      <c r="B609" s="761" t="n"/>
      <c r="C609" s="762" t="inlineStr">
        <is>
          <t>委託費</t>
        </is>
      </c>
      <c r="D609" s="762" t="n"/>
      <c r="E609" s="777" t="inlineStr">
        <is>
          <t>短期給付個人番号管理システム端末保守サービス（１月分）</t>
        </is>
      </c>
      <c r="F609" s="764" t="n">
        <v>385</v>
      </c>
      <c r="G609" s="764" t="n">
        <v>2</v>
      </c>
      <c r="H609" s="765">
        <f>IF(G609=1,F609-I609-J609-K609,IF(G609=2,F609,0))</f>
        <v>385</v>
      </c>
      <c r="I609" s="765">
        <f>ROUND(IF(G609=1,F609*10/23,IF(G609=3,F609-J609-K609,IF(G609=4,F609,IF(G609=5,F609*10/11,IF(G609=7,F609*10/11,0))))),0)</f>
        <v>0</v>
      </c>
      <c r="J609" s="765">
        <f>ROUND(IF(G609=1,F609/23,IF(G609=3,F609/12,IF(G609=5,F609-I609,IF(G609=8,F609,0)))),0)</f>
        <v>0</v>
      </c>
      <c r="K609" s="766">
        <f>ROUND(IF(G609=1,F609/23,IF(G609=3,F609/12,IF(G609=6,F609,IF(G609=7,F609-I609,0)))),0)</f>
        <v>0</v>
      </c>
      <c r="L609" s="767">
        <f>IF(G609=6,F609,0)</f>
        <v>0</v>
      </c>
      <c r="M609" s="421">
        <f>IF(F609="",0,MONTH(A609))</f>
        <v>2</v>
      </c>
      <c r="P609" s="768" t="inlineStr">
        <is>
          <t>昨年実績</t>
        </is>
      </c>
      <c r="Q609" s="769" t="str">
        <f>IF($F609="","",IFERROR(VLOOKUP($C609&amp;"|"&amp;$D609,科目表!$A$5:$B$200,2,FALSE),"※未登録"))</f>
        <v>委託費</v>
      </c>
      <c r="R609" s="769">
        <f>IF($F609="","",$I609+$J609+$K609)</f>
        <v>0</v>
      </c>
      <c r="S609" s="769" t="str">
        <f>IF(OR($F609="",$P609="支払なし",$H609=0,$Q609=""),"",$Q609&amp;"|S|"&amp;(COUNTIF(S$4:S608,$Q609&amp;"|S|*")+1))</f>
        <v>委託費|S|62</v>
      </c>
      <c r="T609" s="769" t="str">
        <f>IF(OR($F609="",$P609="支払なし",$R609=0,$Q609=""),"",$Q609&amp;"|L|"&amp;(COUNTIF(T$4:T608,$Q609&amp;"|L|*")+1))</f>
        <v/>
      </c>
      <c r="U609" s="769">
        <f>IF(OR($F609="",$A609=""),"",MOD(MONTH($A609)-4,12)+1)</f>
        <v>11</v>
      </c>
    </row>
    <row r="610" ht="16.5" customFormat="1" customHeight="1" s="422">
      <c r="A610" s="760" t="n">
        <v>44253</v>
      </c>
      <c r="B610" s="761" t="n"/>
      <c r="C610" s="762" t="inlineStr">
        <is>
          <t>事務費</t>
        </is>
      </c>
      <c r="D610" s="762" t="inlineStr">
        <is>
          <t>図書印刷費</t>
        </is>
      </c>
      <c r="E610" s="773" t="inlineStr">
        <is>
          <t>国家公務員等共済組合関係法令要覧追録４５０－４５４号</t>
        </is>
      </c>
      <c r="F610" s="764" t="n">
        <v>19965</v>
      </c>
      <c r="G610" s="764" t="n">
        <v>3</v>
      </c>
      <c r="H610" s="765">
        <f>IF(G610=1,F610-I610-J610-K610,IF(G610=2,F610,0))</f>
        <v>0</v>
      </c>
      <c r="I610" s="765">
        <f>ROUND(IF(G610=1,F610*10/23,IF(G610=3,F610-J610-K610,IF(G610=4,F610,IF(G610=5,F610*10/11,IF(G610=7,F610*10/11,0))))),0)</f>
        <v>16637</v>
      </c>
      <c r="J610" s="765">
        <f>ROUND(IF(G610=1,F610/23,IF(G610=3,F610/12,IF(G610=5,F610-I610,IF(G610=8,F610,0)))),0)</f>
        <v>1664</v>
      </c>
      <c r="K610" s="766">
        <f>ROUND(IF(G610=1,F610/23,IF(G610=3,F610/12,IF(G610=6,F610,IF(G610=7,F610-I610,0)))),0)</f>
        <v>1664</v>
      </c>
      <c r="L610" s="767">
        <f>IF(G610=6,F610,0)</f>
        <v>0</v>
      </c>
      <c r="M610" s="421">
        <f>IF(F610="",0,MONTH(A610))</f>
        <v>2</v>
      </c>
      <c r="P610" s="768" t="inlineStr">
        <is>
          <t>昨年実績</t>
        </is>
      </c>
      <c r="Q610" s="769" t="str">
        <f>IF($F610="","",IFERROR(VLOOKUP($C610&amp;"|"&amp;$D610,科目表!$A$5:$B$200,2,FALSE),"※未登録"))</f>
        <v>図書印刷費</v>
      </c>
      <c r="R610" s="769">
        <f>IF($F610="","",$I610+$J610+$K610)</f>
        <v>19965</v>
      </c>
      <c r="S610" s="769" t="str">
        <f>IF(OR($F610="",$P610="支払なし",$H610=0,$Q610=""),"",$Q610&amp;"|S|"&amp;(COUNTIF(S$4:S609,$Q610&amp;"|S|*")+1))</f>
        <v/>
      </c>
      <c r="T610" s="769" t="str">
        <f>IF(OR($F610="",$P610="支払なし",$R610=0,$Q610=""),"",$Q610&amp;"|L|"&amp;(COUNTIF(T$4:T609,$Q610&amp;"|L|*")+1))</f>
        <v>図書印刷費|L|20</v>
      </c>
      <c r="U610" s="769">
        <f>IF(OR($F610="",$A610=""),"",MOD(MONTH($A610)-4,12)+1)</f>
        <v>11</v>
      </c>
    </row>
    <row r="611" ht="16.5" customFormat="1" customHeight="1" s="422">
      <c r="A611" s="760" t="n">
        <v>43875</v>
      </c>
      <c r="B611" s="761" t="n"/>
      <c r="C611" s="762" t="inlineStr">
        <is>
          <t>事務費</t>
        </is>
      </c>
      <c r="D611" s="762" t="inlineStr">
        <is>
          <t>図書印刷費</t>
        </is>
      </c>
      <c r="E611" s="775" t="inlineStr">
        <is>
          <t>書籍３冊</t>
        </is>
      </c>
      <c r="F611" s="764" t="n">
        <v>4400</v>
      </c>
      <c r="G611" s="764" t="n">
        <v>3</v>
      </c>
      <c r="H611" s="765">
        <f>IF(G611=1,F611-I611-J611-K611,IF(G611=2,F611,0))</f>
        <v>0</v>
      </c>
      <c r="I611" s="765">
        <f>ROUND(IF(G611=1,F611*10/23,IF(G611=3,F611-J611-K611,IF(G611=4,F611,IF(G611=5,F611*10/11,IF(G611=7,F611*10/11,0))))),0)</f>
        <v>3666</v>
      </c>
      <c r="J611" s="765">
        <f>ROUND(IF(G611=1,F611/23,IF(G611=3,F611/12,IF(G611=5,F611-I611,IF(G611=8,F611,0)))),0)</f>
        <v>367</v>
      </c>
      <c r="K611" s="766">
        <f>ROUND(IF(G611=1,F611/23,IF(G611=3,F611/12,IF(G611=6,F611,IF(G611=7,F611-I611,0)))),0)</f>
        <v>367</v>
      </c>
      <c r="L611" s="767">
        <f>IF(G611=6,F611,0)</f>
        <v>0</v>
      </c>
      <c r="M611" s="421">
        <f>IF(F611="",0,MONTH(A611))</f>
        <v>2</v>
      </c>
      <c r="P611" s="768" t="inlineStr">
        <is>
          <t>昨年実績</t>
        </is>
      </c>
      <c r="Q611" s="769" t="str">
        <f>IF($F611="","",IFERROR(VLOOKUP($C611&amp;"|"&amp;$D611,科目表!$A$5:$B$200,2,FALSE),"※未登録"))</f>
        <v>図書印刷費</v>
      </c>
      <c r="R611" s="769">
        <f>IF($F611="","",$I611+$J611+$K611)</f>
        <v>4400</v>
      </c>
      <c r="S611" s="769" t="str">
        <f>IF(OR($F611="",$P611="支払なし",$H611=0,$Q611=""),"",$Q611&amp;"|S|"&amp;(COUNTIF(S$4:S610,$Q611&amp;"|S|*")+1))</f>
        <v/>
      </c>
      <c r="T611" s="769" t="str">
        <f>IF(OR($F611="",$P611="支払なし",$R611=0,$Q611=""),"",$Q611&amp;"|L|"&amp;(COUNTIF(T$4:T610,$Q611&amp;"|L|*")+1))</f>
        <v>図書印刷費|L|21</v>
      </c>
      <c r="U611" s="769">
        <f>IF(OR($F611="",$A611=""),"",MOD(MONTH($A611)-4,12)+1)</f>
        <v>11</v>
      </c>
    </row>
    <row r="612" ht="16.5" customFormat="1" customHeight="1" s="43">
      <c r="A612" s="760" t="n">
        <v>46080</v>
      </c>
      <c r="B612" s="761" t="n"/>
      <c r="C612" s="762" t="inlineStr">
        <is>
          <t>賃借料</t>
        </is>
      </c>
      <c r="D612" s="762" t="n"/>
      <c r="E612" s="775" t="inlineStr">
        <is>
          <t>基幹システム用機器賃借料　１月分（長期）</t>
        </is>
      </c>
      <c r="F612" s="764" t="n">
        <v>69613</v>
      </c>
      <c r="G612" s="764" t="n">
        <v>3</v>
      </c>
      <c r="H612" s="765">
        <f>IF(G612=1,F612-I612-J612-K612,IF(G612=2,F612,0))</f>
        <v>0</v>
      </c>
      <c r="I612" s="765">
        <f>ROUND(IF(G612=1,F612*10/23,IF(G612=3,F612-J612-K612,IF(G612=4,F612,IF(G612=5,F612*10/11,IF(G612=7,F612*10/11,0))))),0)</f>
        <v>58011</v>
      </c>
      <c r="J612" s="765">
        <f>ROUND(IF(G612=1,F612/23,IF(G612=3,F612/12,IF(G612=5,F612-I612,IF(G612=8,F612,0)))),0)</f>
        <v>5801</v>
      </c>
      <c r="K612" s="766">
        <f>ROUND(IF(G612=1,F612/23,IF(G612=3,F612/12,IF(G612=6,F612,IF(G612=7,F612-I612,0)))),0)</f>
        <v>5801</v>
      </c>
      <c r="L612" s="767">
        <f>IF(G612=6,F612,0)</f>
        <v>0</v>
      </c>
      <c r="M612" s="572">
        <f>IF(F612="",0,MONTH(A612))</f>
        <v>2</v>
      </c>
      <c r="P612" s="768" t="inlineStr">
        <is>
          <t>昨年実績</t>
        </is>
      </c>
      <c r="Q612" s="769" t="str">
        <f>IF($F612="","",IFERROR(VLOOKUP($C612&amp;"|"&amp;$D612,科目表!$A$5:$B$200,2,FALSE),"※未登録"))</f>
        <v>賃借料</v>
      </c>
      <c r="R612" s="769">
        <f>IF($F612="","",$I612+$J612+$K612)</f>
        <v>69613</v>
      </c>
      <c r="S612" s="769" t="str">
        <f>IF(OR($F612="",$P612="支払なし",$H612=0,$Q612=""),"",$Q612&amp;"|S|"&amp;(COUNTIF(S$4:S611,$Q612&amp;"|S|*")+1))</f>
        <v/>
      </c>
      <c r="T612" s="769" t="str">
        <f>IF(OR($F612="",$P612="支払なし",$R612=0,$Q612=""),"",$Q612&amp;"|L|"&amp;(COUNTIF(T$4:T611,$Q612&amp;"|L|*")+1))</f>
        <v>賃借料|L|19</v>
      </c>
      <c r="U612" s="769">
        <f>IF(OR($F612="",$A612=""),"",MOD(MONTH($A612)-4,12)+1)</f>
        <v>11</v>
      </c>
    </row>
    <row r="613" ht="16.5" customFormat="1" customHeight="1" s="43">
      <c r="A613" s="760" t="n">
        <v>46080</v>
      </c>
      <c r="B613" s="761" t="n"/>
      <c r="C613" s="762" t="inlineStr">
        <is>
          <t>賃借料</t>
        </is>
      </c>
      <c r="D613" s="762" t="n"/>
      <c r="E613" s="775" t="inlineStr">
        <is>
          <t>基幹システム用機器賃借料　１月分（短期）</t>
        </is>
      </c>
      <c r="F613" s="764" t="n">
        <v>672934</v>
      </c>
      <c r="G613" s="764" t="n">
        <v>2</v>
      </c>
      <c r="H613" s="765">
        <f>IF(G613=1,F613-I613-J613-K613,IF(G613=2,F613,0))</f>
        <v>672934</v>
      </c>
      <c r="I613" s="765">
        <f>ROUND(IF(G613=1,F613*10/23,IF(G613=3,F613-J613-K613,IF(G613=4,F613,IF(G613=5,F613*10/11,IF(G613=7,F613*10/11,0))))),0)</f>
        <v>0</v>
      </c>
      <c r="J613" s="765">
        <f>ROUND(IF(G613=1,F613/23,IF(G613=3,F613/12,IF(G613=5,F613-I613,IF(G613=8,F613,0)))),0)</f>
        <v>0</v>
      </c>
      <c r="K613" s="766">
        <f>ROUND(IF(G613=1,F613/23,IF(G613=3,F613/12,IF(G613=6,F613,IF(G613=7,F613-I613,0)))),0)</f>
        <v>0</v>
      </c>
      <c r="L613" s="767">
        <f>IF(G613=6,F613,0)</f>
        <v>0</v>
      </c>
      <c r="M613" s="572">
        <f>IF(F613="",0,MONTH(A613))</f>
        <v>2</v>
      </c>
      <c r="P613" s="768" t="inlineStr">
        <is>
          <t>昨年実績</t>
        </is>
      </c>
      <c r="Q613" s="769" t="str">
        <f>IF($F613="","",IFERROR(VLOOKUP($C613&amp;"|"&amp;$D613,科目表!$A$5:$B$200,2,FALSE),"※未登録"))</f>
        <v>賃借料</v>
      </c>
      <c r="R613" s="769">
        <f>IF($F613="","",$I613+$J613+$K613)</f>
        <v>0</v>
      </c>
      <c r="S613" s="769" t="str">
        <f>IF(OR($F613="",$P613="支払なし",$H613=0,$Q613=""),"",$Q613&amp;"|S|"&amp;(COUNTIF(S$4:S612,$Q613&amp;"|S|*")+1))</f>
        <v>賃借料|S|50</v>
      </c>
      <c r="T613" s="769" t="str">
        <f>IF(OR($F613="",$P613="支払なし",$R613=0,$Q613=""),"",$Q613&amp;"|L|"&amp;(COUNTIF(T$4:T612,$Q613&amp;"|L|*")+1))</f>
        <v/>
      </c>
      <c r="U613" s="769">
        <f>IF(OR($F613="",$A613=""),"",MOD(MONTH($A613)-4,12)+1)</f>
        <v>11</v>
      </c>
    </row>
    <row r="614" ht="16.5" customFormat="1" customHeight="1" s="422">
      <c r="A614" s="760" t="n">
        <v>44242</v>
      </c>
      <c r="B614" s="761" t="n"/>
      <c r="C614" s="762" t="inlineStr">
        <is>
          <t>事務費</t>
        </is>
      </c>
      <c r="D614" s="762" t="inlineStr">
        <is>
          <t>事務用消耗品費</t>
        </is>
      </c>
      <c r="E614" s="775" t="inlineStr">
        <is>
          <t>コピファイルボックス　フーＥ４５０Ｂ　５０冊他</t>
        </is>
      </c>
      <c r="F614" s="764" t="n">
        <v>18540</v>
      </c>
      <c r="G614" s="764" t="n">
        <v>3</v>
      </c>
      <c r="H614" s="765">
        <f>IF(G614=1,F614-I614-J614-K614,IF(G614=2,F614,0))</f>
        <v>0</v>
      </c>
      <c r="I614" s="765">
        <f>ROUND(IF(G614=1,F614*10/23,IF(G614=3,F614-J614-K614,IF(G614=4,F614,IF(G614=5,F614*10/11,IF(G614=7,F614*10/11,0))))),0)</f>
        <v>15450</v>
      </c>
      <c r="J614" s="765">
        <f>ROUND(IF(G614=1,F614/23,IF(G614=3,F614/12,IF(G614=5,F614-I614,IF(G614=8,F614,0)))),0)</f>
        <v>1545</v>
      </c>
      <c r="K614" s="766">
        <f>ROUND(IF(G614=1,F614/23,IF(G614=3,F614/12,IF(G614=6,F614,IF(G614=7,F614-I614,0)))),0)</f>
        <v>1545</v>
      </c>
      <c r="L614" s="767">
        <f>IF(G614=6,F614,0)</f>
        <v>0</v>
      </c>
      <c r="M614" s="421">
        <f>IF(F614="",0,MONTH(A614))</f>
        <v>2</v>
      </c>
      <c r="P614" s="768" t="inlineStr">
        <is>
          <t>昨年実績</t>
        </is>
      </c>
      <c r="Q614" s="769" t="str">
        <f>IF($F614="","",IFERROR(VLOOKUP($C614&amp;"|"&amp;$D614,科目表!$A$5:$B$200,2,FALSE),"※未登録"))</f>
        <v>事務用消耗品費</v>
      </c>
      <c r="R614" s="769">
        <f>IF($F614="","",$I614+$J614+$K614)</f>
        <v>18540</v>
      </c>
      <c r="S614" s="769" t="str">
        <f>IF(OR($F614="",$P614="支払なし",$H614=0,$Q614=""),"",$Q614&amp;"|S|"&amp;(COUNTIF(S$4:S613,$Q614&amp;"|S|*")+1))</f>
        <v/>
      </c>
      <c r="T614" s="769" t="str">
        <f>IF(OR($F614="",$P614="支払なし",$R614=0,$Q614=""),"",$Q614&amp;"|L|"&amp;(COUNTIF(T$4:T613,$Q614&amp;"|L|*")+1))</f>
        <v>事務用消耗品費|L|23</v>
      </c>
      <c r="U614" s="769">
        <f>IF(OR($F614="",$A614=""),"",MOD(MONTH($A614)-4,12)+1)</f>
        <v>11</v>
      </c>
    </row>
    <row r="615" ht="16.5" customFormat="1" customHeight="1" s="43">
      <c r="A615" s="760" t="n">
        <v>46052</v>
      </c>
      <c r="B615" s="761" t="n"/>
      <c r="C615" s="762" t="inlineStr">
        <is>
          <t>事務費</t>
        </is>
      </c>
      <c r="D615" s="762" t="inlineStr">
        <is>
          <t>事務用消耗品費</t>
        </is>
      </c>
      <c r="E615" s="775" t="inlineStr">
        <is>
          <t>コピー用紙等購入代分担金　互助会（第３四半期）</t>
        </is>
      </c>
      <c r="F615" s="764" t="n">
        <v>71787</v>
      </c>
      <c r="G615" s="764" t="n">
        <v>3</v>
      </c>
      <c r="H615" s="765">
        <f>IF(G615=1,F615-I615-J615-K615,IF(G615=2,F615,0))</f>
        <v>0</v>
      </c>
      <c r="I615" s="765">
        <f>ROUND(IF(G615=1,F615*10/23,IF(G615=3,F615-J615-K615,IF(G615=4,F615,IF(G615=5,F615*10/11,IF(G615=7,F615*10/11,0))))),0)</f>
        <v>59823</v>
      </c>
      <c r="J615" s="765">
        <f>ROUND(IF(G615=1,F615/23,IF(G615=3,F615/12,IF(G615=5,F615-I615,IF(G615=8,F615,0)))),0)</f>
        <v>5982</v>
      </c>
      <c r="K615" s="766">
        <f>ROUND(IF(G615=1,F615/23,IF(G615=3,F615/12,IF(G615=6,F615,IF(G615=7,F615-I615,0)))),0)</f>
        <v>5982</v>
      </c>
      <c r="L615" s="767">
        <f>IF(G615=6,F615,0)</f>
        <v>0</v>
      </c>
      <c r="M615" s="572">
        <f>IF(F615="",0,MONTH(A615))</f>
        <v>1</v>
      </c>
      <c r="P615" s="768" t="inlineStr">
        <is>
          <t>昨年実績</t>
        </is>
      </c>
      <c r="Q615" s="769" t="str">
        <f>IF($F615="","",IFERROR(VLOOKUP($C615&amp;"|"&amp;$D615,科目表!$A$5:$B$200,2,FALSE),"※未登録"))</f>
        <v>事務用消耗品費</v>
      </c>
      <c r="R615" s="769">
        <f>IF($F615="","",$I615+$J615+$K615)</f>
        <v>71787</v>
      </c>
      <c r="S615" s="769" t="str">
        <f>IF(OR($F615="",$P615="支払なし",$H615=0,$Q615=""),"",$Q615&amp;"|S|"&amp;(COUNTIF(S$4:S614,$Q615&amp;"|S|*")+1))</f>
        <v/>
      </c>
      <c r="T615" s="769" t="str">
        <f>IF(OR($F615="",$P615="支払なし",$R615=0,$Q615=""),"",$Q615&amp;"|L|"&amp;(COUNTIF(T$4:T614,$Q615&amp;"|L|*")+1))</f>
        <v>事務用消耗品費|L|24</v>
      </c>
      <c r="U615" s="769">
        <f>IF(OR($F615="",$A615=""),"",MOD(MONTH($A615)-4,12)+1)</f>
        <v>10</v>
      </c>
    </row>
    <row r="616" ht="16.5" customFormat="1" customHeight="1" s="43">
      <c r="A616" s="760" t="n">
        <v>46052</v>
      </c>
      <c r="B616" s="761" t="n"/>
      <c r="C616" s="762" t="inlineStr">
        <is>
          <t>事務費</t>
        </is>
      </c>
      <c r="D616" s="762" t="inlineStr">
        <is>
          <t>通信運搬費</t>
        </is>
      </c>
      <c r="E616" s="762" t="inlineStr">
        <is>
          <t>ＦＡＸ電話代等分担金　互助会（第３四半期）</t>
        </is>
      </c>
      <c r="F616" s="764" t="n">
        <v>5235</v>
      </c>
      <c r="G616" s="764" t="n">
        <v>3</v>
      </c>
      <c r="H616" s="765">
        <f>IF(G616=1,F616-I616-J616-K616,IF(G616=2,F616,0))</f>
        <v>0</v>
      </c>
      <c r="I616" s="765">
        <f>ROUND(IF(G616=1,F616*10/23,IF(G616=3,F616-J616-K616,IF(G616=4,F616,IF(G616=5,F616*10/11,IF(G616=7,F616*10/11,0))))),0)</f>
        <v>4363</v>
      </c>
      <c r="J616" s="765">
        <f>ROUND(IF(G616=1,F616/23,IF(G616=3,F616/12,IF(G616=5,F616-I616,IF(G616=8,F616,0)))),0)</f>
        <v>436</v>
      </c>
      <c r="K616" s="766">
        <f>ROUND(IF(G616=1,F616/23,IF(G616=3,F616/12,IF(G616=6,F616,IF(G616=7,F616-I616,0)))),0)</f>
        <v>436</v>
      </c>
      <c r="L616" s="767">
        <f>IF(G616=6,F616,0)</f>
        <v>0</v>
      </c>
      <c r="M616" s="572">
        <f>IF(F616="",0,MONTH(A616))</f>
        <v>1</v>
      </c>
      <c r="P616" s="768" t="inlineStr">
        <is>
          <t>昨年実績</t>
        </is>
      </c>
      <c r="Q616" s="769" t="str">
        <f>IF($F616="","",IFERROR(VLOOKUP($C616&amp;"|"&amp;$D616,科目表!$A$5:$B$200,2,FALSE),"※未登録"))</f>
        <v>通信運搬費</v>
      </c>
      <c r="R616" s="769">
        <f>IF($F616="","",$I616+$J616+$K616)</f>
        <v>5235</v>
      </c>
      <c r="S616" s="769" t="str">
        <f>IF(OR($F616="",$P616="支払なし",$H616=0,$Q616=""),"",$Q616&amp;"|S|"&amp;(COUNTIF(S$4:S615,$Q616&amp;"|S|*")+1))</f>
        <v/>
      </c>
      <c r="T616" s="769" t="str">
        <f>IF(OR($F616="",$P616="支払なし",$R616=0,$Q616=""),"",$Q616&amp;"|L|"&amp;(COUNTIF(T$4:T615,$Q616&amp;"|L|*")+1))</f>
        <v>通信運搬費|L|25</v>
      </c>
      <c r="U616" s="769">
        <f>IF(OR($F616="",$A616=""),"",MOD(MONTH($A616)-4,12)+1)</f>
        <v>10</v>
      </c>
    </row>
    <row r="617" ht="16.5" customFormat="1" customHeight="1" s="43">
      <c r="A617" s="760" t="n">
        <v>46052</v>
      </c>
      <c r="B617" s="761" t="n"/>
      <c r="C617" s="762" t="inlineStr">
        <is>
          <t>普及費</t>
        </is>
      </c>
      <c r="D617" s="762" t="n"/>
      <c r="E617" s="762" t="inlineStr">
        <is>
          <t>厚生だより等印刷代分担金　互助会（第３四半期）</t>
        </is>
      </c>
      <c r="F617" s="764" t="n">
        <v>227354</v>
      </c>
      <c r="G617" s="764" t="n">
        <v>3</v>
      </c>
      <c r="H617" s="765">
        <f>IF(G617=1,F617-I617-J617-K617,IF(G617=2,F617,0))</f>
        <v>0</v>
      </c>
      <c r="I617" s="765">
        <f>ROUND(IF(G617=1,F617*10/23,IF(G617=3,F617-J617-K617,IF(G617=4,F617,IF(G617=5,F617*10/11,IF(G617=7,F617*10/11,0))))),0)</f>
        <v>189462</v>
      </c>
      <c r="J617" s="765">
        <f>ROUND(IF(G617=1,F617/23,IF(G617=3,F617/12,IF(G617=5,F617-I617,IF(G617=8,F617,0)))),0)</f>
        <v>18946</v>
      </c>
      <c r="K617" s="766">
        <f>ROUND(IF(G617=1,F617/23,IF(G617=3,F617/12,IF(G617=6,F617,IF(G617=7,F617-I617,0)))),0)</f>
        <v>18946</v>
      </c>
      <c r="L617" s="767">
        <f>IF(G617=6,F617,0)</f>
        <v>0</v>
      </c>
      <c r="M617" s="572">
        <f>IF(F617="",0,MONTH(A617))</f>
        <v>1</v>
      </c>
      <c r="P617" s="768" t="inlineStr">
        <is>
          <t>昨年実績</t>
        </is>
      </c>
      <c r="Q617" s="769" t="str">
        <f>IF($F617="","",IFERROR(VLOOKUP($C617&amp;"|"&amp;$D617,科目表!$A$5:$B$200,2,FALSE),"※未登録"))</f>
        <v>普及費</v>
      </c>
      <c r="R617" s="769">
        <f>IF($F617="","",$I617+$J617+$K617)</f>
        <v>227354</v>
      </c>
      <c r="S617" s="769" t="str">
        <f>IF(OR($F617="",$P617="支払なし",$H617=0,$Q617=""),"",$Q617&amp;"|S|"&amp;(COUNTIF(S$4:S616,$Q617&amp;"|S|*")+1))</f>
        <v/>
      </c>
      <c r="T617" s="769" t="str">
        <f>IF(OR($F617="",$P617="支払なし",$R617=0,$Q617=""),"",$Q617&amp;"|L|"&amp;(COUNTIF(T$4:T616,$Q617&amp;"|L|*")+1))</f>
        <v>普及費|L|3</v>
      </c>
      <c r="U617" s="769">
        <f>IF(OR($F617="",$A617=""),"",MOD(MONTH($A617)-4,12)+1)</f>
        <v>10</v>
      </c>
    </row>
    <row r="618" ht="16.5" customFormat="1" customHeight="1" s="43">
      <c r="A618" s="760" t="n">
        <v>46052</v>
      </c>
      <c r="B618" s="761" t="n"/>
      <c r="C618" s="762" t="inlineStr">
        <is>
          <t>事務費</t>
        </is>
      </c>
      <c r="D618" s="762" t="inlineStr">
        <is>
          <t>事務用消耗品費</t>
        </is>
      </c>
      <c r="E618" s="775" t="inlineStr">
        <is>
          <t>コピー用紙等購入代分担金　互助会（第３四半期）</t>
        </is>
      </c>
      <c r="F618" s="764" t="n">
        <v>71787</v>
      </c>
      <c r="G618" s="764" t="n">
        <v>2</v>
      </c>
      <c r="H618" s="765">
        <f>IF(G618=1,F618-I618-J618-K618,IF(G618=2,F618,0))</f>
        <v>71787</v>
      </c>
      <c r="I618" s="765">
        <f>ROUND(IF(G618=1,F618*10/23,IF(G618=3,F618-J618-K618,IF(G618=4,F618,IF(G618=5,F618*10/11,IF(G618=7,F618*10/11,0))))),0)</f>
        <v>0</v>
      </c>
      <c r="J618" s="765">
        <f>ROUND(IF(G618=1,F618/23,IF(G618=3,F618/12,IF(G618=5,F618-I618,IF(G618=8,F618,0)))),0)</f>
        <v>0</v>
      </c>
      <c r="K618" s="766">
        <f>ROUND(IF(G618=1,F618/23,IF(G618=3,F618/12,IF(G618=6,F618,IF(G618=7,F618-I618,0)))),0)</f>
        <v>0</v>
      </c>
      <c r="L618" s="767">
        <f>IF(G618=6,F618,0)</f>
        <v>0</v>
      </c>
      <c r="M618" s="572">
        <f>IF(F618="",0,MONTH(A618))</f>
        <v>1</v>
      </c>
      <c r="P618" s="768" t="inlineStr">
        <is>
          <t>昨年実績</t>
        </is>
      </c>
      <c r="Q618" s="769" t="str">
        <f>IF($F618="","",IFERROR(VLOOKUP($C618&amp;"|"&amp;$D618,科目表!$A$5:$B$200,2,FALSE),"※未登録"))</f>
        <v>事務用消耗品費</v>
      </c>
      <c r="R618" s="769">
        <f>IF($F618="","",$I618+$J618+$K618)</f>
        <v>0</v>
      </c>
      <c r="S618" s="769" t="str">
        <f>IF(OR($F618="",$P618="支払なし",$H618=0,$Q618=""),"",$Q618&amp;"|S|"&amp;(COUNTIF(S$4:S617,$Q618&amp;"|S|*")+1))</f>
        <v>事務用消耗品費|S|38</v>
      </c>
      <c r="T618" s="769" t="str">
        <f>IF(OR($F618="",$P618="支払なし",$R618=0,$Q618=""),"",$Q618&amp;"|L|"&amp;(COUNTIF(T$4:T617,$Q618&amp;"|L|*")+1))</f>
        <v/>
      </c>
      <c r="U618" s="769">
        <f>IF(OR($F618="",$A618=""),"",MOD(MONTH($A618)-4,12)+1)</f>
        <v>10</v>
      </c>
    </row>
    <row r="619" ht="16.5" customFormat="1" customHeight="1" s="43">
      <c r="A619" s="760" t="n">
        <v>46052</v>
      </c>
      <c r="B619" s="761" t="n"/>
      <c r="C619" s="762" t="inlineStr">
        <is>
          <t>事務費</t>
        </is>
      </c>
      <c r="D619" s="762" t="inlineStr">
        <is>
          <t>通信運搬費</t>
        </is>
      </c>
      <c r="E619" s="762" t="inlineStr">
        <is>
          <t>ＦＡＸ電話代等分担金　互助会（第３四半期）</t>
        </is>
      </c>
      <c r="F619" s="764" t="n">
        <v>5235</v>
      </c>
      <c r="G619" s="764" t="n">
        <v>2</v>
      </c>
      <c r="H619" s="765">
        <f>IF(G619=1,F619-I619-J619-K619,IF(G619=2,F619,0))</f>
        <v>5235</v>
      </c>
      <c r="I619" s="765">
        <f>ROUND(IF(G619=1,F619*10/23,IF(G619=3,F619-J619-K619,IF(G619=4,F619,IF(G619=5,F619*10/11,IF(G619=7,F619*10/11,0))))),0)</f>
        <v>0</v>
      </c>
      <c r="J619" s="765">
        <f>ROUND(IF(G619=1,F619/23,IF(G619=3,F619/12,IF(G619=5,F619-I619,IF(G619=8,F619,0)))),0)</f>
        <v>0</v>
      </c>
      <c r="K619" s="766">
        <f>ROUND(IF(G619=1,F619/23,IF(G619=3,F619/12,IF(G619=6,F619,IF(G619=7,F619-I619,0)))),0)</f>
        <v>0</v>
      </c>
      <c r="L619" s="767">
        <f>IF(G619=6,F619,0)</f>
        <v>0</v>
      </c>
      <c r="M619" s="572">
        <f>IF(F619="",0,MONTH(A619))</f>
        <v>1</v>
      </c>
      <c r="P619" s="768" t="inlineStr">
        <is>
          <t>昨年実績</t>
        </is>
      </c>
      <c r="Q619" s="769" t="str">
        <f>IF($F619="","",IFERROR(VLOOKUP($C619&amp;"|"&amp;$D619,科目表!$A$5:$B$200,2,FALSE),"※未登録"))</f>
        <v>通信運搬費</v>
      </c>
      <c r="R619" s="769">
        <f>IF($F619="","",$I619+$J619+$K619)</f>
        <v>0</v>
      </c>
      <c r="S619" s="769" t="str">
        <f>IF(OR($F619="",$P619="支払なし",$H619=0,$Q619=""),"",$Q619&amp;"|S|"&amp;(COUNTIF(S$4:S618,$Q619&amp;"|S|*")+1))</f>
        <v>通信運搬費|S|63</v>
      </c>
      <c r="T619" s="769" t="str">
        <f>IF(OR($F619="",$P619="支払なし",$R619=0,$Q619=""),"",$Q619&amp;"|L|"&amp;(COUNTIF(T$4:T618,$Q619&amp;"|L|*")+1))</f>
        <v/>
      </c>
      <c r="U619" s="769">
        <f>IF(OR($F619="",$A619=""),"",MOD(MONTH($A619)-4,12)+1)</f>
        <v>10</v>
      </c>
    </row>
    <row r="620" ht="16.5" customFormat="1" customHeight="1" s="43">
      <c r="A620" s="760" t="n">
        <v>46052</v>
      </c>
      <c r="B620" s="761" t="n"/>
      <c r="C620" s="762" t="inlineStr">
        <is>
          <t>普及費</t>
        </is>
      </c>
      <c r="D620" s="762" t="n"/>
      <c r="E620" s="762" t="inlineStr">
        <is>
          <t>厚生だより等印刷代分担金　互助会（第３四半期）</t>
        </is>
      </c>
      <c r="F620" s="764" t="n">
        <v>199257</v>
      </c>
      <c r="G620" s="764" t="n">
        <v>2</v>
      </c>
      <c r="H620" s="765">
        <f>IF(G620=1,F620-I620-J620-K620,IF(G620=2,F620,0))</f>
        <v>199257</v>
      </c>
      <c r="I620" s="765">
        <f>ROUND(IF(G620=1,F620*10/23,IF(G620=3,F620-J620-K620,IF(G620=4,F620,IF(G620=5,F620*10/11,IF(G620=7,F620*10/11,0))))),0)</f>
        <v>0</v>
      </c>
      <c r="J620" s="765">
        <f>ROUND(IF(G620=1,F620/23,IF(G620=3,F620/12,IF(G620=5,F620-I620,IF(G620=8,F620,0)))),0)</f>
        <v>0</v>
      </c>
      <c r="K620" s="766">
        <f>ROUND(IF(G620=1,F620/23,IF(G620=3,F620/12,IF(G620=6,F620,IF(G620=7,F620-I620,0)))),0)</f>
        <v>0</v>
      </c>
      <c r="L620" s="767">
        <f>IF(G620=6,F620,0)</f>
        <v>0</v>
      </c>
      <c r="M620" s="572">
        <f>IF(F620="",0,MONTH(A620))</f>
        <v>1</v>
      </c>
      <c r="P620" s="768" t="inlineStr">
        <is>
          <t>昨年実績</t>
        </is>
      </c>
      <c r="Q620" s="769" t="str">
        <f>IF($F620="","",IFERROR(VLOOKUP($C620&amp;"|"&amp;$D620,科目表!$A$5:$B$200,2,FALSE),"※未登録"))</f>
        <v>普及費</v>
      </c>
      <c r="R620" s="769">
        <f>IF($F620="","",$I620+$J620+$K620)</f>
        <v>0</v>
      </c>
      <c r="S620" s="769" t="str">
        <f>IF(OR($F620="",$P620="支払なし",$H620=0,$Q620=""),"",$Q620&amp;"|S|"&amp;(COUNTIF(S$4:S619,$Q620&amp;"|S|*")+1))</f>
        <v>普及費|S|4</v>
      </c>
      <c r="T620" s="769" t="str">
        <f>IF(OR($F620="",$P620="支払なし",$R620=0,$Q620=""),"",$Q620&amp;"|L|"&amp;(COUNTIF(T$4:T619,$Q620&amp;"|L|*")+1))</f>
        <v/>
      </c>
      <c r="U620" s="769">
        <f>IF(OR($F620="",$A620=""),"",MOD(MONTH($A620)-4,12)+1)</f>
        <v>10</v>
      </c>
    </row>
    <row r="621" ht="16.5" customFormat="1" customHeight="1" s="422">
      <c r="A621" s="760" t="n">
        <v>44608</v>
      </c>
      <c r="B621" s="761" t="n"/>
      <c r="C621" s="762" t="inlineStr">
        <is>
          <t>厚生費</t>
        </is>
      </c>
      <c r="D621" s="762" t="inlineStr">
        <is>
          <t>健康診断費</t>
        </is>
      </c>
      <c r="E621" s="775" t="inlineStr">
        <is>
          <t>人間ドック自己負担超分（佐々木）</t>
        </is>
      </c>
      <c r="F621" s="772" t="n">
        <v>5969</v>
      </c>
      <c r="G621" s="772" t="n">
        <v>3</v>
      </c>
      <c r="H621" s="765">
        <f>IF(G621=1,F621-I621-J621-K621,IF(G621=2,F621,0))</f>
        <v>0</v>
      </c>
      <c r="I621" s="765">
        <f>ROUND(IF(G621=1,F621*10/23,IF(G621=3,F621-J621-K621,IF(G621=4,F621,IF(G621=5,F621*10/11,IF(G621=7,F621*10/11,0))))),0)</f>
        <v>4975</v>
      </c>
      <c r="J621" s="765">
        <f>ROUND(IF(G621=1,F621/23,IF(G621=3,F621/12,IF(G621=5,F621-I621,IF(G621=8,F621,0)))),0)</f>
        <v>497</v>
      </c>
      <c r="K621" s="766">
        <f>ROUND(IF(G621=1,F621/23,IF(G621=3,F621/12,IF(G621=6,F621,IF(G621=7,F621-I621,0)))),0)</f>
        <v>497</v>
      </c>
      <c r="L621" s="767">
        <f>IF(G621=6,F621,0)</f>
        <v>0</v>
      </c>
      <c r="M621" s="421">
        <f>IF(F621="",0,MONTH(A621))</f>
        <v>2</v>
      </c>
      <c r="P621" s="768" t="inlineStr">
        <is>
          <t>昨年実績</t>
        </is>
      </c>
      <c r="Q621" s="769" t="str">
        <f>IF($F621="","",IFERROR(VLOOKUP($C621&amp;"|"&amp;$D621,科目表!$A$5:$B$200,2,FALSE),"※未登録"))</f>
        <v>厚生費</v>
      </c>
      <c r="R621" s="769">
        <f>IF($F621="","",$I621+$J621+$K621)</f>
        <v>5969</v>
      </c>
      <c r="S621" s="769" t="str">
        <f>IF(OR($F621="",$P621="支払なし",$H621=0,$Q621=""),"",$Q621&amp;"|S|"&amp;(COUNTIF(S$4:S620,$Q621&amp;"|S|*")+1))</f>
        <v/>
      </c>
      <c r="T621" s="769" t="str">
        <f>IF(OR($F621="",$P621="支払なし",$R621=0,$Q621=""),"",$Q621&amp;"|L|"&amp;(COUNTIF(T$4:T620,$Q621&amp;"|L|*")+1))</f>
        <v>厚生費|L|5</v>
      </c>
      <c r="U621" s="769">
        <f>IF(OR($F621="",$A621=""),"",MOD(MONTH($A621)-4,12)+1)</f>
        <v>11</v>
      </c>
    </row>
    <row r="622" ht="16.5" customFormat="1" customHeight="1" s="43">
      <c r="A622" s="760" t="n">
        <v>46080</v>
      </c>
      <c r="B622" s="761" t="n"/>
      <c r="C622" s="762" t="inlineStr">
        <is>
          <t>賃借料</t>
        </is>
      </c>
      <c r="D622" s="762" t="n"/>
      <c r="E622" s="762" t="inlineStr">
        <is>
          <t>パソコン（業務経理用）１月分</t>
        </is>
      </c>
      <c r="F622" s="772" t="n">
        <v>5060</v>
      </c>
      <c r="G622" s="772" t="n">
        <v>2</v>
      </c>
      <c r="H622" s="765">
        <f>IF(G622=1,F622-I622-J622-K622,IF(G622=2,F622,0))</f>
        <v>5060</v>
      </c>
      <c r="I622" s="765">
        <f>ROUND(IF(G622=1,F622*10/23,IF(G622=3,F622-J622-K622,IF(G622=4,F622,IF(G622=5,F622*10/11,IF(G622=7,F622*10/11,0))))),0)</f>
        <v>0</v>
      </c>
      <c r="J622" s="765">
        <f>ROUND(IF(G622=1,F622/23,IF(G622=3,F622/12,IF(G622=5,F622-I622,IF(G622=8,F622,0)))),0)</f>
        <v>0</v>
      </c>
      <c r="K622" s="766">
        <f>ROUND(IF(G622=1,F622/23,IF(G622=3,F622/12,IF(G622=6,F622,IF(G622=7,F622-I622,0)))),0)</f>
        <v>0</v>
      </c>
      <c r="L622" s="767">
        <f>IF(G622=6,F622,0)</f>
        <v>0</v>
      </c>
      <c r="M622" s="572">
        <f>IF(F622="",0,MONTH(A622))</f>
        <v>2</v>
      </c>
      <c r="P622" s="768" t="inlineStr">
        <is>
          <t>昨年実績</t>
        </is>
      </c>
      <c r="Q622" s="769" t="str">
        <f>IF($F622="","",IFERROR(VLOOKUP($C622&amp;"|"&amp;$D622,科目表!$A$5:$B$200,2,FALSE),"※未登録"))</f>
        <v>賃借料</v>
      </c>
      <c r="R622" s="769">
        <f>IF($F622="","",$I622+$J622+$K622)</f>
        <v>0</v>
      </c>
      <c r="S622" s="769" t="str">
        <f>IF(OR($F622="",$P622="支払なし",$H622=0,$Q622=""),"",$Q622&amp;"|S|"&amp;(COUNTIF(S$4:S621,$Q622&amp;"|S|*")+1))</f>
        <v>賃借料|S|51</v>
      </c>
      <c r="T622" s="769" t="str">
        <f>IF(OR($F622="",$P622="支払なし",$R622=0,$Q622=""),"",$Q622&amp;"|L|"&amp;(COUNTIF(T$4:T621,$Q622&amp;"|L|*")+1))</f>
        <v/>
      </c>
      <c r="U622" s="769">
        <f>IF(OR($F622="",$A622=""),"",MOD(MONTH($A622)-4,12)+1)</f>
        <v>11</v>
      </c>
    </row>
    <row r="623" ht="16.5" customFormat="1" customHeight="1" s="43">
      <c r="A623" s="760" t="n">
        <v>46080</v>
      </c>
      <c r="B623" s="761" t="n"/>
      <c r="C623" s="762" t="inlineStr">
        <is>
          <t>事務費</t>
        </is>
      </c>
      <c r="D623" s="762" t="inlineStr">
        <is>
          <t>図書印刷費</t>
        </is>
      </c>
      <c r="E623" s="770" t="inlineStr">
        <is>
          <t>厚生法規総覧追録　６０６６－６０７５号</t>
        </is>
      </c>
      <c r="F623" s="764" t="n">
        <v>33154</v>
      </c>
      <c r="G623" s="772" t="n">
        <v>2</v>
      </c>
      <c r="H623" s="765">
        <f>IF(G623=1,F623-I623-J623-K623,IF(G623=2,F623,0))</f>
        <v>33154</v>
      </c>
      <c r="I623" s="765">
        <f>ROUND(IF(G623=1,F623*10/23,IF(G623=3,F623-J623-K623,IF(G623=4,F623,IF(G623=5,F623*10/11,IF(G623=7,F623*10/11,0))))),0)</f>
        <v>0</v>
      </c>
      <c r="J623" s="765">
        <f>ROUND(IF(G623=1,F623/23,IF(G623=3,F623/12,IF(G623=5,F623-I623,IF(G623=8,F623,0)))),0)</f>
        <v>0</v>
      </c>
      <c r="K623" s="766">
        <f>ROUND(IF(G623=1,F623/23,IF(G623=3,F623/12,IF(G623=6,F623,IF(G623=7,F623-I623,0)))),0)</f>
        <v>0</v>
      </c>
      <c r="L623" s="767">
        <f>IF(G623=6,F623,0)</f>
        <v>0</v>
      </c>
      <c r="M623" s="572">
        <f>IF(F623="",0,MONTH(A623))</f>
        <v>2</v>
      </c>
      <c r="P623" s="768" t="inlineStr">
        <is>
          <t>昨年実績</t>
        </is>
      </c>
      <c r="Q623" s="769" t="str">
        <f>IF($F623="","",IFERROR(VLOOKUP($C623&amp;"|"&amp;$D623,科目表!$A$5:$B$200,2,FALSE),"※未登録"))</f>
        <v>図書印刷費</v>
      </c>
      <c r="R623" s="769">
        <f>IF($F623="","",$I623+$J623+$K623)</f>
        <v>0</v>
      </c>
      <c r="S623" s="769" t="str">
        <f>IF(OR($F623="",$P623="支払なし",$H623=0,$Q623=""),"",$Q623&amp;"|S|"&amp;(COUNTIF(S$4:S622,$Q623&amp;"|S|*")+1))</f>
        <v>図書印刷費|S|30</v>
      </c>
      <c r="T623" s="769" t="str">
        <f>IF(OR($F623="",$P623="支払なし",$R623=0,$Q623=""),"",$Q623&amp;"|L|"&amp;(COUNTIF(T$4:T622,$Q623&amp;"|L|*")+1))</f>
        <v/>
      </c>
      <c r="U623" s="769">
        <f>IF(OR($F623="",$A623=""),"",MOD(MONTH($A623)-4,12)+1)</f>
        <v>11</v>
      </c>
    </row>
    <row r="624" ht="16.5" customFormat="1" customHeight="1" s="422">
      <c r="A624" s="760" t="n">
        <v>45351</v>
      </c>
      <c r="B624" s="761" t="n"/>
      <c r="C624" s="762" t="inlineStr">
        <is>
          <t>事務費</t>
        </is>
      </c>
      <c r="D624" s="762" t="inlineStr">
        <is>
          <t>通信運搬費</t>
        </is>
      </c>
      <c r="E624" s="775" t="inlineStr">
        <is>
          <t>柔整申請書送付（１月分）</t>
        </is>
      </c>
      <c r="F624" s="764" t="n">
        <v>1489</v>
      </c>
      <c r="G624" s="764" t="n">
        <v>2</v>
      </c>
      <c r="H624" s="765">
        <f>IF(G624=1,F624-I624-J624-K624,IF(G624=2,F624,0))</f>
        <v>1489</v>
      </c>
      <c r="I624" s="765">
        <f>ROUND(IF(G624=1,F624*10/23,IF(G624=3,F624-J624-K624,IF(G624=4,F624,IF(G624=5,F624*10/11,IF(G624=7,F624*10/11,0))))),0)</f>
        <v>0</v>
      </c>
      <c r="J624" s="765">
        <f>ROUND(IF(G624=1,F624/23,IF(G624=3,F624/12,IF(G624=5,F624-I624,IF(G624=8,F624,0)))),0)</f>
        <v>0</v>
      </c>
      <c r="K624" s="766">
        <f>ROUND(IF(G624=1,F624/23,IF(G624=3,F624/12,IF(G624=6,F624,IF(G624=7,F624-I624,0)))),0)</f>
        <v>0</v>
      </c>
      <c r="L624" s="767">
        <f>IF(G624=6,F624,0)</f>
        <v>0</v>
      </c>
      <c r="M624" s="421">
        <f>IF(F624="",0,MONTH(A624))</f>
        <v>2</v>
      </c>
      <c r="P624" s="768" t="inlineStr">
        <is>
          <t>昨年実績</t>
        </is>
      </c>
      <c r="Q624" s="769" t="str">
        <f>IF($F624="","",IFERROR(VLOOKUP($C624&amp;"|"&amp;$D624,科目表!$A$5:$B$200,2,FALSE),"※未登録"))</f>
        <v>通信運搬費</v>
      </c>
      <c r="R624" s="769">
        <f>IF($F624="","",$I624+$J624+$K624)</f>
        <v>0</v>
      </c>
      <c r="S624" s="769" t="str">
        <f>IF(OR($F624="",$P624="支払なし",$H624=0,$Q624=""),"",$Q624&amp;"|S|"&amp;(COUNTIF(S$4:S623,$Q624&amp;"|S|*")+1))</f>
        <v>通信運搬費|S|64</v>
      </c>
      <c r="T624" s="769" t="str">
        <f>IF(OR($F624="",$P624="支払なし",$R624=0,$Q624=""),"",$Q624&amp;"|L|"&amp;(COUNTIF(T$4:T623,$Q624&amp;"|L|*")+1))</f>
        <v/>
      </c>
      <c r="U624" s="769">
        <f>IF(OR($F624="",$A624=""),"",MOD(MONTH($A624)-4,12)+1)</f>
        <v>11</v>
      </c>
    </row>
    <row r="625" ht="16.5" customFormat="1" customHeight="1" s="422">
      <c r="A625" s="760" t="n">
        <v>45351</v>
      </c>
      <c r="B625" s="761" t="n"/>
      <c r="C625" s="762" t="inlineStr">
        <is>
          <t>事務費</t>
        </is>
      </c>
      <c r="D625" s="762" t="inlineStr">
        <is>
          <t>事務用消耗品費</t>
        </is>
      </c>
      <c r="E625" s="770" t="inlineStr">
        <is>
          <t>輪ゴム　B105J/No.16 192-292  8箱 他</t>
        </is>
      </c>
      <c r="F625" s="772" t="n">
        <v>5481</v>
      </c>
      <c r="G625" s="772" t="n">
        <v>2</v>
      </c>
      <c r="H625" s="765">
        <f>IF(G625=1,F625-I625-J625-K625,IF(G625=2,F625,0))</f>
        <v>5481</v>
      </c>
      <c r="I625" s="765">
        <f>ROUND(IF(G625=1,F625*10/23,IF(G625=3,F625-J625-K625,IF(G625=4,F625,IF(G625=5,F625*10/11,IF(G625=7,F625*10/11,0))))),0)</f>
        <v>0</v>
      </c>
      <c r="J625" s="765">
        <f>ROUND(IF(G625=1,F625/23,IF(G625=3,F625/12,IF(G625=5,F625-I625,IF(G625=8,F625,0)))),0)</f>
        <v>0</v>
      </c>
      <c r="K625" s="766">
        <f>ROUND(IF(G625=1,F625/23,IF(G625=3,F625/12,IF(G625=6,F625,IF(G625=7,F625-I625,0)))),0)</f>
        <v>0</v>
      </c>
      <c r="L625" s="767">
        <f>IF(G625=6,F625,0)</f>
        <v>0</v>
      </c>
      <c r="M625" s="421">
        <f>IF(F625="",0,MONTH(A625))</f>
        <v>2</v>
      </c>
      <c r="P625" s="768" t="inlineStr">
        <is>
          <t>昨年実績</t>
        </is>
      </c>
      <c r="Q625" s="769" t="str">
        <f>IF($F625="","",IFERROR(VLOOKUP($C625&amp;"|"&amp;$D625,科目表!$A$5:$B$200,2,FALSE),"※未登録"))</f>
        <v>事務用消耗品費</v>
      </c>
      <c r="R625" s="769">
        <f>IF($F625="","",$I625+$J625+$K625)</f>
        <v>0</v>
      </c>
      <c r="S625" s="769" t="str">
        <f>IF(OR($F625="",$P625="支払なし",$H625=0,$Q625=""),"",$Q625&amp;"|S|"&amp;(COUNTIF(S$4:S624,$Q625&amp;"|S|*")+1))</f>
        <v>事務用消耗品費|S|39</v>
      </c>
      <c r="T625" s="769" t="str">
        <f>IF(OR($F625="",$P625="支払なし",$R625=0,$Q625=""),"",$Q625&amp;"|L|"&amp;(COUNTIF(T$4:T624,$Q625&amp;"|L|*")+1))</f>
        <v/>
      </c>
      <c r="U625" s="769">
        <f>IF(OR($F625="",$A625=""),"",MOD(MONTH($A625)-4,12)+1)</f>
        <v>11</v>
      </c>
    </row>
    <row r="626" ht="16.5" customFormat="1" customHeight="1" s="422">
      <c r="A626" s="760" t="n">
        <v>45351</v>
      </c>
      <c r="B626" s="761" t="n"/>
      <c r="C626" s="762" t="inlineStr">
        <is>
          <t>事務費</t>
        </is>
      </c>
      <c r="D626" s="762" t="inlineStr">
        <is>
          <t>通信運搬費</t>
        </is>
      </c>
      <c r="E626" s="762" t="inlineStr">
        <is>
          <t>メール便（任継者宛厚生だより２月分）</t>
        </is>
      </c>
      <c r="F626" s="772" t="n">
        <v>18225</v>
      </c>
      <c r="G626" s="764" t="n">
        <v>2</v>
      </c>
      <c r="H626" s="765">
        <f>IF(G626=1,F626-I626-J626-K626,IF(G626=2,F626,0))</f>
        <v>18225</v>
      </c>
      <c r="I626" s="765">
        <f>ROUND(IF(G626=1,F626*10/23,IF(G626=3,F626-J626-K626,IF(G626=4,F626,IF(G626=5,F626*10/11,IF(G626=7,F626*10/11,0))))),0)</f>
        <v>0</v>
      </c>
      <c r="J626" s="765">
        <f>ROUND(IF(G626=1,F626/23,IF(G626=3,F626/12,IF(G626=5,F626-I626,IF(G626=8,F626,0)))),0)</f>
        <v>0</v>
      </c>
      <c r="K626" s="766">
        <f>ROUND(IF(G626=1,F626/23,IF(G626=3,F626/12,IF(G626=6,F626,IF(G626=7,F626-I626,0)))),0)</f>
        <v>0</v>
      </c>
      <c r="L626" s="767">
        <f>IF(G626=6,F626,0)</f>
        <v>0</v>
      </c>
      <c r="M626" s="421">
        <f>IF(F626="",0,MONTH(A626))</f>
        <v>2</v>
      </c>
      <c r="P626" s="768" t="inlineStr">
        <is>
          <t>昨年実績</t>
        </is>
      </c>
      <c r="Q626" s="769" t="str">
        <f>IF($F626="","",IFERROR(VLOOKUP($C626&amp;"|"&amp;$D626,科目表!$A$5:$B$200,2,FALSE),"※未登録"))</f>
        <v>通信運搬費</v>
      </c>
      <c r="R626" s="769">
        <f>IF($F626="","",$I626+$J626+$K626)</f>
        <v>0</v>
      </c>
      <c r="S626" s="769" t="str">
        <f>IF(OR($F626="",$P626="支払なし",$H626=0,$Q626=""),"",$Q626&amp;"|S|"&amp;(COUNTIF(S$4:S625,$Q626&amp;"|S|*")+1))</f>
        <v>通信運搬費|S|65</v>
      </c>
      <c r="T626" s="769" t="str">
        <f>IF(OR($F626="",$P626="支払なし",$R626=0,$Q626=""),"",$Q626&amp;"|L|"&amp;(COUNTIF(T$4:T625,$Q626&amp;"|L|*")+1))</f>
        <v/>
      </c>
      <c r="U626" s="769">
        <f>IF(OR($F626="",$A626=""),"",MOD(MONTH($A626)-4,12)+1)</f>
        <v>11</v>
      </c>
    </row>
    <row r="627" ht="16.5" customFormat="1" customHeight="1" s="422">
      <c r="A627" s="760" t="n">
        <v>44253</v>
      </c>
      <c r="B627" s="761" t="n"/>
      <c r="C627" s="762" t="inlineStr">
        <is>
          <t>事務費</t>
        </is>
      </c>
      <c r="D627" s="762" t="inlineStr">
        <is>
          <t>事務用消耗品費</t>
        </is>
      </c>
      <c r="E627" s="762" t="inlineStr">
        <is>
          <t>ﾆｲﾀｶｹﾐｶﾞｰﾄﾞ 4㎏　1本　他</t>
        </is>
      </c>
      <c r="F627" s="764" t="n">
        <v>5330</v>
      </c>
      <c r="G627" s="764" t="n">
        <v>2</v>
      </c>
      <c r="H627" s="765">
        <f>IF(G627=1,F627-I627-J627-K627,IF(G627=2,F627,0))</f>
        <v>5330</v>
      </c>
      <c r="I627" s="765">
        <f>ROUND(IF(G627=1,F627*10/23,IF(G627=3,F627-J627-K627,IF(G627=4,F627,IF(G627=5,F627*10/11,IF(G627=7,F627*10/11,0))))),0)</f>
        <v>0</v>
      </c>
      <c r="J627" s="765">
        <f>ROUND(IF(G627=1,F627/23,IF(G627=3,F627/12,IF(G627=5,F627-I627,IF(G627=8,F627,0)))),0)</f>
        <v>0</v>
      </c>
      <c r="K627" s="766">
        <f>ROUND(IF(G627=1,F627/23,IF(G627=3,F627/12,IF(G627=6,F627,IF(G627=7,F627-I627,0)))),0)</f>
        <v>0</v>
      </c>
      <c r="L627" s="767">
        <f>IF(G627=6,F627,0)</f>
        <v>0</v>
      </c>
      <c r="M627" s="421">
        <f>IF(F627="",0,MONTH(A627))</f>
        <v>2</v>
      </c>
      <c r="P627" s="768" t="inlineStr">
        <is>
          <t>昨年実績</t>
        </is>
      </c>
      <c r="Q627" s="769" t="str">
        <f>IF($F627="","",IFERROR(VLOOKUP($C627&amp;"|"&amp;$D627,科目表!$A$5:$B$200,2,FALSE),"※未登録"))</f>
        <v>事務用消耗品費</v>
      </c>
      <c r="R627" s="769">
        <f>IF($F627="","",$I627+$J627+$K627)</f>
        <v>0</v>
      </c>
      <c r="S627" s="769" t="str">
        <f>IF(OR($F627="",$P627="支払なし",$H627=0,$Q627=""),"",$Q627&amp;"|S|"&amp;(COUNTIF(S$4:S626,$Q627&amp;"|S|*")+1))</f>
        <v>事務用消耗品費|S|40</v>
      </c>
      <c r="T627" s="769" t="str">
        <f>IF(OR($F627="",$P627="支払なし",$R627=0,$Q627=""),"",$Q627&amp;"|L|"&amp;(COUNTIF(T$4:T626,$Q627&amp;"|L|*")+1))</f>
        <v/>
      </c>
      <c r="U627" s="769">
        <f>IF(OR($F627="",$A627=""),"",MOD(MONTH($A627)-4,12)+1)</f>
        <v>11</v>
      </c>
    </row>
    <row r="628" ht="16.5" customFormat="1" customHeight="1" s="43">
      <c r="A628" s="760" t="n">
        <v>46080</v>
      </c>
      <c r="B628" s="761" t="n"/>
      <c r="C628" s="762" t="inlineStr">
        <is>
          <t>事務費</t>
        </is>
      </c>
      <c r="D628" s="762" t="inlineStr">
        <is>
          <t>通信運搬費</t>
        </is>
      </c>
      <c r="E628" s="762" t="inlineStr">
        <is>
          <t>料金後納利用料（１月分）</t>
        </is>
      </c>
      <c r="F628" s="772" t="n">
        <v>792478</v>
      </c>
      <c r="G628" s="772" t="n">
        <v>3</v>
      </c>
      <c r="H628" s="765">
        <f>IF(G628=1,F628-I628-J628-K628,IF(G628=2,F628,0))</f>
        <v>0</v>
      </c>
      <c r="I628" s="765">
        <f>ROUND(IF(G628=1,F628*10/23,IF(G628=3,F628-J628-K628,IF(G628=4,F628,IF(G628=5,F628*10/11,IF(G628=7,F628*10/11,0))))),0)</f>
        <v>660398</v>
      </c>
      <c r="J628" s="765">
        <f>ROUND(IF(G628=1,F628/23,IF(G628=3,F628/12,IF(G628=5,F628-I628,IF(G628=8,F628,0)))),0)</f>
        <v>66040</v>
      </c>
      <c r="K628" s="766">
        <f>ROUND(IF(G628=1,F628/23,IF(G628=3,F628/12,IF(G628=6,F628,IF(G628=7,F628-I628,0)))),0)</f>
        <v>66040</v>
      </c>
      <c r="L628" s="767">
        <f>IF(G628=6,F628,0)</f>
        <v>0</v>
      </c>
      <c r="M628" s="572">
        <f>IF(F628="",0,MONTH(A628))</f>
        <v>2</v>
      </c>
      <c r="P628" s="768" t="inlineStr">
        <is>
          <t>昨年実績</t>
        </is>
      </c>
      <c r="Q628" s="769" t="str">
        <f>IF($F628="","",IFERROR(VLOOKUP($C628&amp;"|"&amp;$D628,科目表!$A$5:$B$200,2,FALSE),"※未登録"))</f>
        <v>通信運搬費</v>
      </c>
      <c r="R628" s="769">
        <f>IF($F628="","",$I628+$J628+$K628)</f>
        <v>792478</v>
      </c>
      <c r="S628" s="769" t="str">
        <f>IF(OR($F628="",$P628="支払なし",$H628=0,$Q628=""),"",$Q628&amp;"|S|"&amp;(COUNTIF(S$4:S627,$Q628&amp;"|S|*")+1))</f>
        <v/>
      </c>
      <c r="T628" s="769" t="str">
        <f>IF(OR($F628="",$P628="支払なし",$R628=0,$Q628=""),"",$Q628&amp;"|L|"&amp;(COUNTIF(T$4:T627,$Q628&amp;"|L|*")+1))</f>
        <v>通信運搬費|L|26</v>
      </c>
      <c r="U628" s="769">
        <f>IF(OR($F628="",$A628=""),"",MOD(MONTH($A628)-4,12)+1)</f>
        <v>11</v>
      </c>
    </row>
    <row r="629" ht="16.5" customFormat="1" customHeight="1" s="422">
      <c r="A629" s="760" t="n">
        <v>45716</v>
      </c>
      <c r="B629" s="761" t="n"/>
      <c r="C629" s="762" t="inlineStr">
        <is>
          <t>事務費</t>
        </is>
      </c>
      <c r="D629" s="762" t="inlineStr">
        <is>
          <t>通信運搬費</t>
        </is>
      </c>
      <c r="E629" s="762" t="inlineStr">
        <is>
          <t>料金後納利用料（１月分）</t>
        </is>
      </c>
      <c r="F629" s="772" t="n">
        <v>14560</v>
      </c>
      <c r="G629" s="772" t="n">
        <v>2</v>
      </c>
      <c r="H629" s="765">
        <f>IF(G629=1,F629-I629-J629-K629,IF(G629=2,F629,0))</f>
        <v>14560</v>
      </c>
      <c r="I629" s="765">
        <f>ROUND(IF(G629=1,F629*10/23,IF(G629=3,F629-J629-K629,IF(G629=4,F629,IF(G629=5,F629*10/11,IF(G629=7,F629*10/11,0))))),0)</f>
        <v>0</v>
      </c>
      <c r="J629" s="765">
        <f>ROUND(IF(G629=1,F629/23,IF(G629=3,F629/12,IF(G629=5,F629-I629,IF(G629=8,F629,0)))),0)</f>
        <v>0</v>
      </c>
      <c r="K629" s="766">
        <f>ROUND(IF(G629=1,F629/23,IF(G629=3,F629/12,IF(G629=6,F629,IF(G629=7,F629-I629,0)))),0)</f>
        <v>0</v>
      </c>
      <c r="L629" s="767">
        <f>IF(G629=6,F629,0)</f>
        <v>0</v>
      </c>
      <c r="M629" s="421">
        <f>IF(F629="",0,MONTH(A629))</f>
        <v>2</v>
      </c>
      <c r="P629" s="768" t="inlineStr">
        <is>
          <t>昨年実績</t>
        </is>
      </c>
      <c r="Q629" s="769" t="str">
        <f>IF($F629="","",IFERROR(VLOOKUP($C629&amp;"|"&amp;$D629,科目表!$A$5:$B$200,2,FALSE),"※未登録"))</f>
        <v>通信運搬費</v>
      </c>
      <c r="R629" s="769">
        <f>IF($F629="","",$I629+$J629+$K629)</f>
        <v>0</v>
      </c>
      <c r="S629" s="769" t="str">
        <f>IF(OR($F629="",$P629="支払なし",$H629=0,$Q629=""),"",$Q629&amp;"|S|"&amp;(COUNTIF(S$4:S628,$Q629&amp;"|S|*")+1))</f>
        <v>通信運搬費|S|66</v>
      </c>
      <c r="T629" s="769" t="str">
        <f>IF(OR($F629="",$P629="支払なし",$R629=0,$Q629=""),"",$Q629&amp;"|L|"&amp;(COUNTIF(T$4:T628,$Q629&amp;"|L|*")+1))</f>
        <v/>
      </c>
      <c r="U629" s="769">
        <f>IF(OR($F629="",$A629=""),"",MOD(MONTH($A629)-4,12)+1)</f>
        <v>11</v>
      </c>
    </row>
    <row r="630" ht="16.5" customFormat="1" customHeight="1" s="43">
      <c r="A630" s="760" t="n">
        <v>46080</v>
      </c>
      <c r="B630" s="761" t="n"/>
      <c r="C630" s="762" t="inlineStr">
        <is>
          <t>事務費</t>
        </is>
      </c>
      <c r="D630" s="762" t="inlineStr">
        <is>
          <t>事務用消耗品費</t>
        </is>
      </c>
      <c r="E630" s="770" t="inlineStr">
        <is>
          <t>マチ付きホルダー　ＹＧ－１４／１０枚入　４０パック　外</t>
        </is>
      </c>
      <c r="F630" s="764" t="n">
        <v>49487</v>
      </c>
      <c r="G630" s="764" t="n">
        <v>2</v>
      </c>
      <c r="H630" s="765">
        <f>IF(G630=1,F630-I630-J630-K630,IF(G630=2,F630,0))</f>
        <v>49487</v>
      </c>
      <c r="I630" s="765">
        <f>ROUND(IF(G630=1,F630*10/23,IF(G630=3,F630-J630-K630,IF(G630=4,F630,IF(G630=5,F630*10/11,IF(G630=7,F630*10/11,0))))),0)</f>
        <v>0</v>
      </c>
      <c r="J630" s="765">
        <f>ROUND(IF(G630=1,F630/23,IF(G630=3,F630/12,IF(G630=5,F630-I630,IF(G630=8,F630,0)))),0)</f>
        <v>0</v>
      </c>
      <c r="K630" s="766">
        <f>ROUND(IF(G630=1,F630/23,IF(G630=3,F630/12,IF(G630=6,F630,IF(G630=7,F630-I630,0)))),0)</f>
        <v>0</v>
      </c>
      <c r="L630" s="767">
        <f>IF(G630=6,F630,0)</f>
        <v>0</v>
      </c>
      <c r="M630" s="572">
        <f>IF(F630="",0,MONTH(A630))</f>
        <v>2</v>
      </c>
      <c r="P630" s="768" t="inlineStr">
        <is>
          <t>昨年実績</t>
        </is>
      </c>
      <c r="Q630" s="769" t="str">
        <f>IF($F630="","",IFERROR(VLOOKUP($C630&amp;"|"&amp;$D630,科目表!$A$5:$B$200,2,FALSE),"※未登録"))</f>
        <v>事務用消耗品費</v>
      </c>
      <c r="R630" s="769">
        <f>IF($F630="","",$I630+$J630+$K630)</f>
        <v>0</v>
      </c>
      <c r="S630" s="769" t="str">
        <f>IF(OR($F630="",$P630="支払なし",$H630=0,$Q630=""),"",$Q630&amp;"|S|"&amp;(COUNTIF(S$4:S629,$Q630&amp;"|S|*")+1))</f>
        <v>事務用消耗品費|S|41</v>
      </c>
      <c r="T630" s="769" t="str">
        <f>IF(OR($F630="",$P630="支払なし",$R630=0,$Q630=""),"",$Q630&amp;"|L|"&amp;(COUNTIF(T$4:T629,$Q630&amp;"|L|*")+1))</f>
        <v/>
      </c>
      <c r="U630" s="769">
        <f>IF(OR($F630="",$A630=""),"",MOD(MONTH($A630)-4,12)+1)</f>
        <v>11</v>
      </c>
    </row>
    <row r="631" ht="16.5" customFormat="1" customHeight="1" s="422">
      <c r="A631" s="760" t="n">
        <v>45744</v>
      </c>
      <c r="B631" s="761" t="n"/>
      <c r="C631" s="762" t="inlineStr">
        <is>
          <t>事務費</t>
        </is>
      </c>
      <c r="D631" s="762" t="inlineStr">
        <is>
          <t>図書印刷費</t>
        </is>
      </c>
      <c r="E631" s="773" t="inlineStr">
        <is>
          <t>地方公務員共済組合関係法令実例判例集追録1155-1158号</t>
        </is>
      </c>
      <c r="F631" s="764" t="n">
        <v>12016</v>
      </c>
      <c r="G631" s="764" t="n">
        <v>3</v>
      </c>
      <c r="H631" s="765">
        <f>IF(G631=1,F631-I631-J631-K631,IF(G631=2,F631,0))</f>
        <v>0</v>
      </c>
      <c r="I631" s="765">
        <f>ROUND(IF(G631=1,F631*10/23,IF(G631=3,F631-J631-K631,IF(G631=4,F631,IF(G631=5,F631*10/11,IF(G631=7,F631*10/11,0))))),0)</f>
        <v>10014</v>
      </c>
      <c r="J631" s="765">
        <f>ROUND(IF(G631=1,F631/23,IF(G631=3,F631/12,IF(G631=5,F631-I631,IF(G631=8,F631,0)))),0)</f>
        <v>1001</v>
      </c>
      <c r="K631" s="766">
        <f>ROUND(IF(G631=1,F631/23,IF(G631=3,F631/12,IF(G631=6,F631,IF(G631=7,F631-I631,0)))),0)</f>
        <v>1001</v>
      </c>
      <c r="L631" s="767">
        <f>IF(G631=6,F631,0)</f>
        <v>0</v>
      </c>
      <c r="M631" s="421">
        <f>IF(F631="",0,MONTH(A631))</f>
        <v>3</v>
      </c>
      <c r="P631" s="768" t="inlineStr">
        <is>
          <t>昨年実績</t>
        </is>
      </c>
      <c r="Q631" s="769" t="str">
        <f>IF($F631="","",IFERROR(VLOOKUP($C631&amp;"|"&amp;$D631,科目表!$A$5:$B$200,2,FALSE),"※未登録"))</f>
        <v>図書印刷費</v>
      </c>
      <c r="R631" s="769">
        <f>IF($F631="","",$I631+$J631+$K631)</f>
        <v>12016</v>
      </c>
      <c r="S631" s="769" t="str">
        <f>IF(OR($F631="",$P631="支払なし",$H631=0,$Q631=""),"",$Q631&amp;"|S|"&amp;(COUNTIF(S$4:S630,$Q631&amp;"|S|*")+1))</f>
        <v/>
      </c>
      <c r="T631" s="769" t="str">
        <f>IF(OR($F631="",$P631="支払なし",$R631=0,$Q631=""),"",$Q631&amp;"|L|"&amp;(COUNTIF(T$4:T630,$Q631&amp;"|L|*")+1))</f>
        <v>図書印刷費|L|22</v>
      </c>
      <c r="U631" s="769">
        <f>IF(OR($F631="",$A631=""),"",MOD(MONTH($A631)-4,12)+1)</f>
        <v>12</v>
      </c>
    </row>
    <row r="632" ht="16.5" customFormat="1" customHeight="1" s="422">
      <c r="A632" s="760" t="n">
        <v>44620</v>
      </c>
      <c r="B632" s="761" t="n"/>
      <c r="C632" s="762" t="inlineStr">
        <is>
          <t>事務費</t>
        </is>
      </c>
      <c r="D632" s="762" t="inlineStr">
        <is>
          <t>事務用消耗品費</t>
        </is>
      </c>
      <c r="E632" s="770" t="inlineStr">
        <is>
          <t>特定疾病療養受療証（台紙）</t>
        </is>
      </c>
      <c r="F632" s="764" t="n">
        <v>25850</v>
      </c>
      <c r="G632" s="764" t="n">
        <v>2</v>
      </c>
      <c r="H632" s="765">
        <f>IF(G632=1,F632-I632-J632-K632,IF(G632=2,F632,0))</f>
        <v>25850</v>
      </c>
      <c r="I632" s="765">
        <f>ROUND(IF(G632=1,F632*10/23,IF(G632=3,F632-J632-K632,IF(G632=4,F632,IF(G632=5,F632*10/11,IF(G632=7,F632*10/11,0))))),0)</f>
        <v>0</v>
      </c>
      <c r="J632" s="765">
        <f>ROUND(IF(G632=1,F632/23,IF(G632=3,F632/12,IF(G632=5,F632-I632,IF(G632=8,F632,0)))),0)</f>
        <v>0</v>
      </c>
      <c r="K632" s="766">
        <f>ROUND(IF(G632=1,F632/23,IF(G632=3,F632/12,IF(G632=6,F632,IF(G632=7,F632-I632,0)))),0)</f>
        <v>0</v>
      </c>
      <c r="L632" s="767">
        <f>IF(G632=6,F632,0)</f>
        <v>0</v>
      </c>
      <c r="M632" s="421">
        <f>IF(F632="",0,MONTH(A632))</f>
        <v>2</v>
      </c>
      <c r="P632" s="768" t="inlineStr">
        <is>
          <t>昨年実績</t>
        </is>
      </c>
      <c r="Q632" s="769" t="str">
        <f>IF($F632="","",IFERROR(VLOOKUP($C632&amp;"|"&amp;$D632,科目表!$A$5:$B$200,2,FALSE),"※未登録"))</f>
        <v>事務用消耗品費</v>
      </c>
      <c r="R632" s="769">
        <f>IF($F632="","",$I632+$J632+$K632)</f>
        <v>0</v>
      </c>
      <c r="S632" s="769" t="str">
        <f>IF(OR($F632="",$P632="支払なし",$H632=0,$Q632=""),"",$Q632&amp;"|S|"&amp;(COUNTIF(S$4:S631,$Q632&amp;"|S|*")+1))</f>
        <v>事務用消耗品費|S|42</v>
      </c>
      <c r="T632" s="769" t="str">
        <f>IF(OR($F632="",$P632="支払なし",$R632=0,$Q632=""),"",$Q632&amp;"|L|"&amp;(COUNTIF(T$4:T631,$Q632&amp;"|L|*")+1))</f>
        <v/>
      </c>
      <c r="U632" s="769">
        <f>IF(OR($F632="",$A632=""),"",MOD(MONTH($A632)-4,12)+1)</f>
        <v>11</v>
      </c>
    </row>
    <row r="633" ht="16.5" customFormat="1" customHeight="1" s="43">
      <c r="A633" s="760" t="n">
        <v>46083</v>
      </c>
      <c r="B633" s="761" t="n"/>
      <c r="C633" s="762" t="inlineStr">
        <is>
          <t>事務費</t>
        </is>
      </c>
      <c r="D633" s="762" t="inlineStr">
        <is>
          <t>通信運搬費</t>
        </is>
      </c>
      <c r="E633" s="763" t="inlineStr">
        <is>
          <t>フレッツ光ネクスト利用料等（12月、1月利用・2月請求分）</t>
        </is>
      </c>
      <c r="F633" s="772" t="n">
        <v>13090</v>
      </c>
      <c r="G633" s="772" t="n">
        <v>2</v>
      </c>
      <c r="H633" s="765">
        <f>IF(G633=1,F633-I633-J633-K633,IF(G633=2,F633,0))</f>
        <v>13090</v>
      </c>
      <c r="I633" s="765">
        <f>ROUND(IF(G633=1,F633*10/23,IF(G633=3,F633-J633-K633,IF(G633=4,F633,IF(G633=5,F633*10/11,IF(G633=7,F633*10/11,0))))),0)</f>
        <v>0</v>
      </c>
      <c r="J633" s="765">
        <f>ROUND(IF(G633=1,F633/23,IF(G633=3,F633/12,IF(G633=5,F633-I633,IF(G633=8,F633,0)))),0)</f>
        <v>0</v>
      </c>
      <c r="K633" s="766">
        <f>ROUND(IF(G633=1,F633/23,IF(G633=3,F633/12,IF(G633=6,F633,IF(G633=7,F633-I633,0)))),0)</f>
        <v>0</v>
      </c>
      <c r="L633" s="767">
        <f>IF(G633=6,F633,0)</f>
        <v>0</v>
      </c>
      <c r="M633" s="572">
        <f>IF(F633="",0,MONTH(A633))</f>
        <v>3</v>
      </c>
      <c r="P633" s="768" t="inlineStr">
        <is>
          <t>昨年実績</t>
        </is>
      </c>
      <c r="Q633" s="769" t="str">
        <f>IF($F633="","",IFERROR(VLOOKUP($C633&amp;"|"&amp;$D633,科目表!$A$5:$B$200,2,FALSE),"※未登録"))</f>
        <v>通信運搬費</v>
      </c>
      <c r="R633" s="769">
        <f>IF($F633="","",$I633+$J633+$K633)</f>
        <v>0</v>
      </c>
      <c r="S633" s="769" t="str">
        <f>IF(OR($F633="",$P633="支払なし",$H633=0,$Q633=""),"",$Q633&amp;"|S|"&amp;(COUNTIF(S$4:S632,$Q633&amp;"|S|*")+1))</f>
        <v>通信運搬費|S|67</v>
      </c>
      <c r="T633" s="769" t="str">
        <f>IF(OR($F633="",$P633="支払なし",$R633=0,$Q633=""),"",$Q633&amp;"|L|"&amp;(COUNTIF(T$4:T632,$Q633&amp;"|L|*")+1))</f>
        <v/>
      </c>
      <c r="U633" s="769">
        <f>IF(OR($F633="",$A633=""),"",MOD(MONTH($A633)-4,12)+1)</f>
        <v>12</v>
      </c>
    </row>
    <row r="634" ht="16.5" customFormat="1" customHeight="1" s="43">
      <c r="A634" s="760" t="n">
        <v>46087</v>
      </c>
      <c r="B634" s="761" t="n"/>
      <c r="C634" s="762" t="inlineStr">
        <is>
          <t>事務費負担金払込金</t>
        </is>
      </c>
      <c r="D634" s="762" t="n"/>
      <c r="E634" s="775" t="inlineStr">
        <is>
          <t>２月分事務費負担金払込金　連合会へ払込</t>
        </is>
      </c>
      <c r="F634" s="764" t="n">
        <v>4513000</v>
      </c>
      <c r="G634" s="764" t="n">
        <v>5</v>
      </c>
      <c r="H634" s="765">
        <f>IF(G634=1,F634-I634-J634-K634,IF(G634=2,F634,0))</f>
        <v>0</v>
      </c>
      <c r="I634" s="765">
        <f>ROUND(IF(G634=1,F634*10/23,IF(G634=3,F634-J634-K634,IF(G634=4,F634,IF(G634=5,F634*10/11,IF(G634=7,F634*10/11,0))))),0)</f>
        <v>4102727</v>
      </c>
      <c r="J634" s="765">
        <f>ROUND(IF(G634=1,F634/23,IF(G634=3,F634/12,IF(G634=5,F634-I634,IF(G634=8,F634,0)))),0)</f>
        <v>410273</v>
      </c>
      <c r="K634" s="766">
        <f>ROUND(IF(G634=1,F634/23,IF(G634=3,F634/12,IF(G634=6,F634,IF(G634=7,F634-I634,0)))),0)</f>
        <v>0</v>
      </c>
      <c r="L634" s="767">
        <f>IF(G634=6,F634,0)</f>
        <v>0</v>
      </c>
      <c r="M634" s="572">
        <f>IF(F634="",0,MONTH(A634))</f>
        <v>3</v>
      </c>
      <c r="P634" s="768" t="inlineStr">
        <is>
          <t>昨年実績</t>
        </is>
      </c>
      <c r="Q634" s="769" t="str">
        <f>IF($F634="","",IFERROR(VLOOKUP($C634&amp;"|"&amp;$D634,科目表!$A$5:$B$200,2,FALSE),"※未登録"))</f>
        <v>事務費負担金払込金</v>
      </c>
      <c r="R634" s="769">
        <f>IF($F634="","",$I634+$J634+$K634)</f>
        <v>4513000</v>
      </c>
      <c r="S634" s="769" t="str">
        <f>IF(OR($F634="",$P634="支払なし",$H634=0,$Q634=""),"",$Q634&amp;"|S|"&amp;(COUNTIF(S$4:S633,$Q634&amp;"|S|*")+1))</f>
        <v/>
      </c>
      <c r="T634" s="769" t="str">
        <f>IF(OR($F634="",$P634="支払なし",$R634=0,$Q634=""),"",$Q634&amp;"|L|"&amp;(COUNTIF(T$4:T633,$Q634&amp;"|L|*")+1))</f>
        <v>事務費負担金払込金|L|12</v>
      </c>
      <c r="U634" s="769">
        <f>IF(OR($F634="",$A634=""),"",MOD(MONTH($A634)-4,12)+1)</f>
        <v>12</v>
      </c>
    </row>
    <row r="635" ht="16.5" customFormat="1" customHeight="1" s="43">
      <c r="A635" s="760" t="n">
        <v>46072</v>
      </c>
      <c r="B635" s="761" t="n"/>
      <c r="C635" s="762" t="inlineStr">
        <is>
          <t>委託費</t>
        </is>
      </c>
      <c r="D635" s="762" t="n"/>
      <c r="E635" s="763" t="inlineStr">
        <is>
          <t>レセプト電子データ提供料（１１月診療分）</t>
        </is>
      </c>
      <c r="F635" s="764" t="n">
        <v>61611</v>
      </c>
      <c r="G635" s="764" t="n">
        <v>2</v>
      </c>
      <c r="H635" s="765">
        <f>IF(G635=1,F635-I635-J635-K635,IF(G635=2,F635,0))</f>
        <v>61611</v>
      </c>
      <c r="I635" s="765">
        <f>ROUND(IF(G635=1,F635*10/23,IF(G635=3,F635-J635-K635,IF(G635=4,F635,IF(G635=5,F635*10/11,IF(G635=7,F635*10/11,0))))),0)</f>
        <v>0</v>
      </c>
      <c r="J635" s="765">
        <f>ROUND(IF(G635=1,F635/23,IF(G635=3,F635/12,IF(G635=5,F635-I635,IF(G635=8,F635,0)))),0)</f>
        <v>0</v>
      </c>
      <c r="K635" s="766">
        <f>ROUND(IF(G635=1,F635/23,IF(G635=3,F635/12,IF(G635=6,F635,IF(G635=7,F635-I635,0)))),0)</f>
        <v>0</v>
      </c>
      <c r="L635" s="767">
        <f>IF(G635=6,F635,0)</f>
        <v>0</v>
      </c>
      <c r="M635" s="572">
        <f>IF(F635="",0,MONTH(A635))</f>
        <v>2</v>
      </c>
      <c r="P635" s="768" t="inlineStr">
        <is>
          <t>昨年実績</t>
        </is>
      </c>
      <c r="Q635" s="769" t="str">
        <f>IF($F635="","",IFERROR(VLOOKUP($C635&amp;"|"&amp;$D635,科目表!$A$5:$B$200,2,FALSE),"※未登録"))</f>
        <v>委託費</v>
      </c>
      <c r="R635" s="769">
        <f>IF($F635="","",$I635+$J635+$K635)</f>
        <v>0</v>
      </c>
      <c r="S635" s="769" t="str">
        <f>IF(OR($F635="",$P635="支払なし",$H635=0,$Q635=""),"",$Q635&amp;"|S|"&amp;(COUNTIF(S$4:S634,$Q635&amp;"|S|*")+1))</f>
        <v>委託費|S|63</v>
      </c>
      <c r="T635" s="769" t="str">
        <f>IF(OR($F635="",$P635="支払なし",$R635=0,$Q635=""),"",$Q635&amp;"|L|"&amp;(COUNTIF(T$4:T634,$Q635&amp;"|L|*")+1))</f>
        <v/>
      </c>
      <c r="U635" s="769">
        <f>IF(OR($F635="",$A635=""),"",MOD(MONTH($A635)-4,12)+1)</f>
        <v>11</v>
      </c>
    </row>
    <row r="636" ht="16.5" customFormat="1" customHeight="1" s="43">
      <c r="A636" s="760" t="n">
        <v>46072</v>
      </c>
      <c r="B636" s="761" t="n"/>
      <c r="C636" s="762" t="inlineStr">
        <is>
          <t>委託費</t>
        </is>
      </c>
      <c r="D636" s="762" t="n"/>
      <c r="E636" s="763" t="inlineStr">
        <is>
          <t>社会保障等制度情報提供手数料（10～12月分）</t>
        </is>
      </c>
      <c r="F636" s="764" t="n">
        <v>8600</v>
      </c>
      <c r="G636" s="764" t="n">
        <v>2</v>
      </c>
      <c r="H636" s="765">
        <f>IF(G636=1,F636-I636-J636-K636,IF(G636=2,F636,0))</f>
        <v>8600</v>
      </c>
      <c r="I636" s="765">
        <f>ROUND(IF(G636=1,F636*10/23,IF(G636=3,F636-J636-K636,IF(G636=4,F636,IF(G636=5,F636*10/11,IF(G636=7,F636*10/11,0))))),0)</f>
        <v>0</v>
      </c>
      <c r="J636" s="765">
        <f>ROUND(IF(G636=1,F636/23,IF(G636=3,F636/12,IF(G636=5,F636-I636,IF(G636=8,F636,0)))),0)</f>
        <v>0</v>
      </c>
      <c r="K636" s="766">
        <f>ROUND(IF(G636=1,F636/23,IF(G636=3,F636/12,IF(G636=6,F636,IF(G636=7,F636-I636,0)))),0)</f>
        <v>0</v>
      </c>
      <c r="L636" s="767">
        <f>IF(G636=6,F636,0)</f>
        <v>0</v>
      </c>
      <c r="M636" s="572">
        <f>IF(F636="",0,MONTH(A636))</f>
        <v>2</v>
      </c>
      <c r="P636" s="768" t="inlineStr">
        <is>
          <t>昨年実績</t>
        </is>
      </c>
      <c r="Q636" s="769" t="str">
        <f>IF($F636="","",IFERROR(VLOOKUP($C636&amp;"|"&amp;$D636,科目表!$A$5:$B$200,2,FALSE),"※未登録"))</f>
        <v>委託費</v>
      </c>
      <c r="R636" s="769">
        <f>IF($F636="","",$I636+$J636+$K636)</f>
        <v>0</v>
      </c>
      <c r="S636" s="769" t="str">
        <f>IF(OR($F636="",$P636="支払なし",$H636=0,$Q636=""),"",$Q636&amp;"|S|"&amp;(COUNTIF(S$4:S635,$Q636&amp;"|S|*")+1))</f>
        <v>委託費|S|64</v>
      </c>
      <c r="T636" s="769" t="str">
        <f>IF(OR($F636="",$P636="支払なし",$R636=0,$Q636=""),"",$Q636&amp;"|L|"&amp;(COUNTIF(T$4:T635,$Q636&amp;"|L|*")+1))</f>
        <v/>
      </c>
      <c r="U636" s="769">
        <f>IF(OR($F636="",$A636=""),"",MOD(MONTH($A636)-4,12)+1)</f>
        <v>11</v>
      </c>
    </row>
    <row r="637" ht="16.5" customFormat="1" customHeight="1" s="422">
      <c r="A637" s="760" t="n">
        <v>44613</v>
      </c>
      <c r="B637" s="761" t="n"/>
      <c r="C637" s="762" t="inlineStr">
        <is>
          <t>事務費</t>
        </is>
      </c>
      <c r="D637" s="762" t="inlineStr">
        <is>
          <t>雑費</t>
        </is>
      </c>
      <c r="E637" s="762" t="inlineStr">
        <is>
          <t>電子証明書発行・更新料（令和3年12月請求）</t>
        </is>
      </c>
      <c r="F637" s="772" t="n">
        <v>750</v>
      </c>
      <c r="G637" s="772" t="n">
        <v>2</v>
      </c>
      <c r="H637" s="765">
        <f>IF(G637=1,F637-I637-J637-K637,IF(G637=2,F637,0))</f>
        <v>750</v>
      </c>
      <c r="I637" s="765">
        <f>ROUND(IF(G637=1,F637*10/23,IF(G637=3,F637-J637-K637,IF(G637=4,F637,IF(G637=5,F637*10/11,IF(G637=7,F637*10/11,0))))),0)</f>
        <v>0</v>
      </c>
      <c r="J637" s="765">
        <f>ROUND(IF(G637=1,F637/23,IF(G637=3,F637/12,IF(G637=5,F637-I637,IF(G637=8,F637,0)))),0)</f>
        <v>0</v>
      </c>
      <c r="K637" s="766">
        <f>ROUND(IF(G637=1,F637/23,IF(G637=3,F637/12,IF(G637=6,F637,IF(G637=7,F637-I637,0)))),0)</f>
        <v>0</v>
      </c>
      <c r="L637" s="767">
        <f>IF(G637=6,F637,0)</f>
        <v>0</v>
      </c>
      <c r="M637" s="421">
        <f>IF(F637="",0,MONTH(A637))</f>
        <v>2</v>
      </c>
      <c r="P637" s="768" t="inlineStr">
        <is>
          <t>昨年実績</t>
        </is>
      </c>
      <c r="Q637" s="769" t="str">
        <f>IF($F637="","",IFERROR(VLOOKUP($C637&amp;"|"&amp;$D637,科目表!$A$5:$B$200,2,FALSE),"※未登録"))</f>
        <v>事務費・雑費</v>
      </c>
      <c r="R637" s="769">
        <f>IF($F637="","",$I637+$J637+$K637)</f>
        <v>0</v>
      </c>
      <c r="S637" s="769" t="str">
        <f>IF(OR($F637="",$P637="支払なし",$H637=0,$Q637=""),"",$Q637&amp;"|S|"&amp;(COUNTIF(S$4:S636,$Q637&amp;"|S|*")+1))</f>
        <v>事務費・雑費|S|17</v>
      </c>
      <c r="T637" s="769" t="str">
        <f>IF(OR($F637="",$P637="支払なし",$R637=0,$Q637=""),"",$Q637&amp;"|L|"&amp;(COUNTIF(T$4:T636,$Q637&amp;"|L|*")+1))</f>
        <v/>
      </c>
      <c r="U637" s="769">
        <f>IF(OR($F637="",$A637=""),"",MOD(MONTH($A637)-4,12)+1)</f>
        <v>11</v>
      </c>
    </row>
    <row r="638" ht="16.5" customFormat="1" customHeight="1" s="422">
      <c r="A638" s="760" t="n">
        <v>44249</v>
      </c>
      <c r="B638" s="761" t="n"/>
      <c r="C638" s="762" t="inlineStr">
        <is>
          <t>事務費</t>
        </is>
      </c>
      <c r="D638" s="762" t="inlineStr">
        <is>
          <t>通信運搬費</t>
        </is>
      </c>
      <c r="E638" s="762" t="inlineStr">
        <is>
          <t>電話料金（１月使用・２月請求分）</t>
        </is>
      </c>
      <c r="F638" s="764" t="n">
        <v>5405</v>
      </c>
      <c r="G638" s="764" t="n">
        <v>2</v>
      </c>
      <c r="H638" s="765">
        <f>IF(G638=1,F638-I638-J638-K638,IF(G638=2,F638,0))</f>
        <v>5405</v>
      </c>
      <c r="I638" s="765">
        <f>ROUND(IF(G638=1,F638*10/23,IF(G638=3,F638-J638-K638,IF(G638=4,F638,IF(G638=5,F638*10/11,IF(G638=7,F638*10/11,0))))),0)</f>
        <v>0</v>
      </c>
      <c r="J638" s="765">
        <f>ROUND(IF(G638=1,F638/23,IF(G638=3,F638/12,IF(G638=5,F638-I638,IF(G638=8,F638,0)))),0)</f>
        <v>0</v>
      </c>
      <c r="K638" s="766">
        <f>ROUND(IF(G638=1,F638/23,IF(G638=3,F638/12,IF(G638=6,F638,IF(G638=7,F638-I638,0)))),0)</f>
        <v>0</v>
      </c>
      <c r="L638" s="767">
        <f>IF(G638=6,F638,0)</f>
        <v>0</v>
      </c>
      <c r="M638" s="421">
        <f>IF(F638="",0,MONTH(A638))</f>
        <v>2</v>
      </c>
      <c r="P638" s="768" t="inlineStr">
        <is>
          <t>昨年実績</t>
        </is>
      </c>
      <c r="Q638" s="769" t="str">
        <f>IF($F638="","",IFERROR(VLOOKUP($C638&amp;"|"&amp;$D638,科目表!$A$5:$B$200,2,FALSE),"※未登録"))</f>
        <v>通信運搬費</v>
      </c>
      <c r="R638" s="769">
        <f>IF($F638="","",$I638+$J638+$K638)</f>
        <v>0</v>
      </c>
      <c r="S638" s="769" t="str">
        <f>IF(OR($F638="",$P638="支払なし",$H638=0,$Q638=""),"",$Q638&amp;"|S|"&amp;(COUNTIF(S$4:S637,$Q638&amp;"|S|*")+1))</f>
        <v>通信運搬費|S|68</v>
      </c>
      <c r="T638" s="769" t="str">
        <f>IF(OR($F638="",$P638="支払なし",$R638=0,$Q638=""),"",$Q638&amp;"|L|"&amp;(COUNTIF(T$4:T637,$Q638&amp;"|L|*")+1))</f>
        <v/>
      </c>
      <c r="U638" s="769">
        <f>IF(OR($F638="",$A638=""),"",MOD(MONTH($A638)-4,12)+1)</f>
        <v>11</v>
      </c>
    </row>
    <row r="639" ht="16.5" customFormat="1" customHeight="1" s="422">
      <c r="A639" s="760" t="n">
        <v>44246</v>
      </c>
      <c r="B639" s="761" t="n"/>
      <c r="C639" s="762" t="inlineStr">
        <is>
          <t>職員給与</t>
        </is>
      </c>
      <c r="D639" s="762" t="inlineStr">
        <is>
          <t>非常勤職員手当</t>
        </is>
      </c>
      <c r="E639" s="762" t="inlineStr">
        <is>
          <t>２月分給与（長期分）</t>
        </is>
      </c>
      <c r="F639" s="764" t="n">
        <v>340401</v>
      </c>
      <c r="G639" s="772" t="n">
        <v>3</v>
      </c>
      <c r="H639" s="765">
        <f>IF(G639=1,F639-I639-J639-K639,IF(G639=2,F639,0))</f>
        <v>0</v>
      </c>
      <c r="I639" s="765">
        <f>ROUND(IF(G639=1,F639*10/23,IF(G639=3,F639-J639-K639,IF(G639=4,F639,IF(G639=5,F639*10/11,IF(G639=7,F639*10/11,0))))),0)</f>
        <v>283667</v>
      </c>
      <c r="J639" s="765">
        <f>ROUND(IF(G639=1,F639/23,IF(G639=3,F639/12,IF(G639=5,F639-I639,IF(G639=8,F639,0)))),0)</f>
        <v>28367</v>
      </c>
      <c r="K639" s="766">
        <f>ROUND(IF(G639=1,F639/23,IF(G639=3,F639/12,IF(G639=6,F639,IF(G639=7,F639-I639,0)))),0)</f>
        <v>28367</v>
      </c>
      <c r="L639" s="767">
        <f>IF(G639=6,F639,0)</f>
        <v>0</v>
      </c>
      <c r="M639" s="421">
        <f>IF(F639="",0,MONTH(A639))</f>
        <v>2</v>
      </c>
      <c r="P639" s="768" t="inlineStr">
        <is>
          <t>昨年実績</t>
        </is>
      </c>
      <c r="Q639" s="769" t="str">
        <f>IF($F639="","",IFERROR(VLOOKUP($C639&amp;"|"&amp;$D639,科目表!$A$5:$B$200,2,FALSE),"※未登録"))</f>
        <v>非常勤職員手当</v>
      </c>
      <c r="R639" s="769">
        <f>IF($F639="","",$I639+$J639+$K639)</f>
        <v>340401</v>
      </c>
      <c r="S639" s="769" t="str">
        <f>IF(OR($F639="",$P639="支払なし",$H639=0,$Q639=""),"",$Q639&amp;"|S|"&amp;(COUNTIF(S$4:S638,$Q639&amp;"|S|*")+1))</f>
        <v/>
      </c>
      <c r="T639" s="769" t="str">
        <f>IF(OR($F639="",$P639="支払なし",$R639=0,$Q639=""),"",$Q639&amp;"|L|"&amp;(COUNTIF(T$4:T638,$Q639&amp;"|L|*")+1))</f>
        <v>非常勤職員手当|L|18</v>
      </c>
      <c r="U639" s="769">
        <f>IF(OR($F639="",$A639=""),"",MOD(MONTH($A639)-4,12)+1)</f>
        <v>11</v>
      </c>
    </row>
    <row r="640" ht="16.5" customFormat="1" customHeight="1" s="422">
      <c r="A640" s="760" t="n">
        <v>44246</v>
      </c>
      <c r="B640" s="761" t="n"/>
      <c r="C640" s="762" t="inlineStr">
        <is>
          <t>負担金</t>
        </is>
      </c>
      <c r="D640" s="762" t="inlineStr">
        <is>
          <t>互助会費</t>
        </is>
      </c>
      <c r="E640" s="762" t="inlineStr">
        <is>
          <t>助成金（２月長期分）</t>
        </is>
      </c>
      <c r="F640" s="764" t="n">
        <v>476</v>
      </c>
      <c r="G640" s="764" t="n">
        <v>3</v>
      </c>
      <c r="H640" s="765">
        <f>IF(G640=1,F640-I640-J640-K640,IF(G640=2,F640,0))</f>
        <v>0</v>
      </c>
      <c r="I640" s="765">
        <f>ROUND(IF(G640=1,F640*10/23,IF(G640=3,F640-J640-K640,IF(G640=4,F640,IF(G640=5,F640*10/11,IF(G640=7,F640*10/11,0))))),0)</f>
        <v>396</v>
      </c>
      <c r="J640" s="765">
        <f>ROUND(IF(G640=1,F640/23,IF(G640=3,F640/12,IF(G640=5,F640-I640,IF(G640=8,F640,0)))),0)</f>
        <v>40</v>
      </c>
      <c r="K640" s="766">
        <f>ROUND(IF(G640=1,F640/23,IF(G640=3,F640/12,IF(G640=6,F640,IF(G640=7,F640-I640,0)))),0)</f>
        <v>40</v>
      </c>
      <c r="L640" s="767">
        <f>IF(G640=6,F640,0)</f>
        <v>0</v>
      </c>
      <c r="M640" s="421">
        <f>IF(F640="",0,MONTH(A640))</f>
        <v>2</v>
      </c>
      <c r="P640" s="768" t="inlineStr">
        <is>
          <t>昨年実績</t>
        </is>
      </c>
      <c r="Q640" s="769" t="str">
        <f>IF($F640="","",IFERROR(VLOOKUP($C640&amp;"|"&amp;$D640,科目表!$A$5:$B$200,2,FALSE),"※未登録"))</f>
        <v>互助会費</v>
      </c>
      <c r="R640" s="769">
        <f>IF($F640="","",$I640+$J640+$K640)</f>
        <v>476</v>
      </c>
      <c r="S640" s="769" t="str">
        <f>IF(OR($F640="",$P640="支払なし",$H640=0,$Q640=""),"",$Q640&amp;"|S|"&amp;(COUNTIF(S$4:S639,$Q640&amp;"|S|*")+1))</f>
        <v/>
      </c>
      <c r="T640" s="769" t="str">
        <f>IF(OR($F640="",$P640="支払なし",$R640=0,$Q640=""),"",$Q640&amp;"|L|"&amp;(COUNTIF(T$4:T639,$Q640&amp;"|L|*")+1))</f>
        <v>互助会費|L|13</v>
      </c>
      <c r="U640" s="769">
        <f>IF(OR($F640="",$A640=""),"",MOD(MONTH($A640)-4,12)+1)</f>
        <v>11</v>
      </c>
    </row>
    <row r="641" ht="16.5" customFormat="1" customHeight="1" s="422">
      <c r="A641" s="760" t="n">
        <v>43524</v>
      </c>
      <c r="B641" s="761" t="n"/>
      <c r="C641" s="762" t="inlineStr">
        <is>
          <t>事務費</t>
        </is>
      </c>
      <c r="D641" s="762" t="inlineStr">
        <is>
          <t>図書印刷費</t>
        </is>
      </c>
      <c r="E641" s="762" t="inlineStr">
        <is>
          <t>２０１９診療報酬Ｑ＆Ａ</t>
        </is>
      </c>
      <c r="F641" s="764" t="n">
        <v>3078</v>
      </c>
      <c r="G641" s="764" t="n">
        <v>2</v>
      </c>
      <c r="H641" s="765">
        <f>IF(G641=1,F641-I641-J641-K641,IF(G641=2,F641,0))</f>
        <v>3078</v>
      </c>
      <c r="I641" s="765">
        <f>ROUND(IF(G641=1,F641*10/23,IF(G641=3,F641-J641-K641,IF(G641=4,F641,IF(G641=5,F641*10/11,IF(G641=7,F641*10/11,0))))),0)</f>
        <v>0</v>
      </c>
      <c r="J641" s="765">
        <f>ROUND(IF(G641=1,F641/23,IF(G641=3,F641/12,IF(G641=5,F641-I641,IF(G641=8,F641,0)))),0)</f>
        <v>0</v>
      </c>
      <c r="K641" s="766">
        <f>ROUND(IF(G641=1,F641/23,IF(G641=3,F641/12,IF(G641=6,F641,IF(G641=7,F641-I641,0)))),0)</f>
        <v>0</v>
      </c>
      <c r="L641" s="767">
        <f>IF(G641=6,F641,0)</f>
        <v>0</v>
      </c>
      <c r="M641" s="421">
        <f>IF(F641="",0,MONTH(A641))</f>
        <v>2</v>
      </c>
      <c r="P641" s="768" t="inlineStr">
        <is>
          <t>昨年実績</t>
        </is>
      </c>
      <c r="Q641" s="769" t="str">
        <f>IF($F641="","",IFERROR(VLOOKUP($C641&amp;"|"&amp;$D641,科目表!$A$5:$B$200,2,FALSE),"※未登録"))</f>
        <v>図書印刷費</v>
      </c>
      <c r="R641" s="769">
        <f>IF($F641="","",$I641+$J641+$K641)</f>
        <v>0</v>
      </c>
      <c r="S641" s="769" t="str">
        <f>IF(OR($F641="",$P641="支払なし",$H641=0,$Q641=""),"",$Q641&amp;"|S|"&amp;(COUNTIF(S$4:S640,$Q641&amp;"|S|*")+1))</f>
        <v>図書印刷費|S|31</v>
      </c>
      <c r="T641" s="769" t="str">
        <f>IF(OR($F641="",$P641="支払なし",$R641=0,$Q641=""),"",$Q641&amp;"|L|"&amp;(COUNTIF(T$4:T640,$Q641&amp;"|L|*")+1))</f>
        <v/>
      </c>
      <c r="U641" s="769">
        <f>IF(OR($F641="",$A641=""),"",MOD(MONTH($A641)-4,12)+1)</f>
        <v>11</v>
      </c>
    </row>
    <row r="642" ht="16.5" customFormat="1" customHeight="1" s="43">
      <c r="A642" s="760" t="n">
        <v>46080</v>
      </c>
      <c r="B642" s="761" t="n"/>
      <c r="C642" s="762" t="inlineStr">
        <is>
          <t>委託費</t>
        </is>
      </c>
      <c r="D642" s="762" t="n"/>
      <c r="E642" s="762" t="inlineStr">
        <is>
          <t>柔整等療養費支給申請書の入力（１月分）</t>
        </is>
      </c>
      <c r="F642" s="764" t="n">
        <v>145417</v>
      </c>
      <c r="G642" s="764" t="n">
        <v>2</v>
      </c>
      <c r="H642" s="765">
        <f>IF(G642=1,F642-I642-J642-K642,IF(G642=2,F642,0))</f>
        <v>145417</v>
      </c>
      <c r="I642" s="765">
        <f>ROUND(IF(G642=1,F642*10/23,IF(G642=3,F642-J642-K642,IF(G642=4,F642,IF(G642=5,F642*10/11,IF(G642=7,F642*10/11,0))))),0)</f>
        <v>0</v>
      </c>
      <c r="J642" s="765">
        <f>ROUND(IF(G642=1,F642/23,IF(G642=3,F642/12,IF(G642=5,F642-I642,IF(G642=8,F642,0)))),0)</f>
        <v>0</v>
      </c>
      <c r="K642" s="766">
        <f>ROUND(IF(G642=1,F642/23,IF(G642=3,F642/12,IF(G642=6,F642,IF(G642=7,F642-I642,0)))),0)</f>
        <v>0</v>
      </c>
      <c r="L642" s="767">
        <f>IF(G642=6,F642,0)</f>
        <v>0</v>
      </c>
      <c r="M642" s="572">
        <f>IF(F642="",0,MONTH(A642))</f>
        <v>2</v>
      </c>
      <c r="P642" s="768" t="inlineStr">
        <is>
          <t>昨年実績</t>
        </is>
      </c>
      <c r="Q642" s="769" t="str">
        <f>IF($F642="","",IFERROR(VLOOKUP($C642&amp;"|"&amp;$D642,科目表!$A$5:$B$200,2,FALSE),"※未登録"))</f>
        <v>委託費</v>
      </c>
      <c r="R642" s="769">
        <f>IF($F642="","",$I642+$J642+$K642)</f>
        <v>0</v>
      </c>
      <c r="S642" s="769" t="str">
        <f>IF(OR($F642="",$P642="支払なし",$H642=0,$Q642=""),"",$Q642&amp;"|S|"&amp;(COUNTIF(S$4:S641,$Q642&amp;"|S|*")+1))</f>
        <v>委託費|S|65</v>
      </c>
      <c r="T642" s="769" t="str">
        <f>IF(OR($F642="",$P642="支払なし",$R642=0,$Q642=""),"",$Q642&amp;"|L|"&amp;(COUNTIF(T$4:T641,$Q642&amp;"|L|*")+1))</f>
        <v/>
      </c>
      <c r="U642" s="769">
        <f>IF(OR($F642="",$A642=""),"",MOD(MONTH($A642)-4,12)+1)</f>
        <v>11</v>
      </c>
    </row>
    <row r="643" ht="16.5" customFormat="1" customHeight="1" s="422">
      <c r="A643" s="760" t="n">
        <v>45351</v>
      </c>
      <c r="B643" s="761" t="n"/>
      <c r="C643" s="762" t="inlineStr">
        <is>
          <t>事務費</t>
        </is>
      </c>
      <c r="D643" s="762" t="inlineStr">
        <is>
          <t>図書印刷費</t>
        </is>
      </c>
      <c r="E643" s="762" t="inlineStr">
        <is>
          <t>角２封筒クラフト８５ｇ　エルコン付　３，０００枚</t>
        </is>
      </c>
      <c r="F643" s="772" t="n">
        <v>49995</v>
      </c>
      <c r="G643" s="764" t="n">
        <v>2</v>
      </c>
      <c r="H643" s="765">
        <f>IF(G643=1,F643-I643-J643-K643,IF(G643=2,F643,0))</f>
        <v>49995</v>
      </c>
      <c r="I643" s="765">
        <f>ROUND(IF(G643=1,F643*10/23,IF(G643=3,F643-J643-K643,IF(G643=4,F643,IF(G643=5,F643*10/11,IF(G643=7,F643*10/11,0))))),0)</f>
        <v>0</v>
      </c>
      <c r="J643" s="765">
        <f>ROUND(IF(G643=1,F643/23,IF(G643=3,F643/12,IF(G643=5,F643-I643,IF(G643=8,F643,0)))),0)</f>
        <v>0</v>
      </c>
      <c r="K643" s="766">
        <f>ROUND(IF(G643=1,F643/23,IF(G643=3,F643/12,IF(G643=6,F643,IF(G643=7,F643-I643,0)))),0)</f>
        <v>0</v>
      </c>
      <c r="L643" s="767">
        <f>IF(G643=6,F643,0)</f>
        <v>0</v>
      </c>
      <c r="M643" s="421">
        <f>IF(F643="",0,MONTH(A643))</f>
        <v>2</v>
      </c>
      <c r="P643" s="768" t="inlineStr">
        <is>
          <t>昨年実績</t>
        </is>
      </c>
      <c r="Q643" s="769" t="str">
        <f>IF($F643="","",IFERROR(VLOOKUP($C643&amp;"|"&amp;$D643,科目表!$A$5:$B$200,2,FALSE),"※未登録"))</f>
        <v>図書印刷費</v>
      </c>
      <c r="R643" s="769">
        <f>IF($F643="","",$I643+$J643+$K643)</f>
        <v>0</v>
      </c>
      <c r="S643" s="769" t="str">
        <f>IF(OR($F643="",$P643="支払なし",$H643=0,$Q643=""),"",$Q643&amp;"|S|"&amp;(COUNTIF(S$4:S642,$Q643&amp;"|S|*")+1))</f>
        <v>図書印刷費|S|32</v>
      </c>
      <c r="T643" s="769" t="str">
        <f>IF(OR($F643="",$P643="支払なし",$R643=0,$Q643=""),"",$Q643&amp;"|L|"&amp;(COUNTIF(T$4:T642,$Q643&amp;"|L|*")+1))</f>
        <v/>
      </c>
      <c r="U643" s="769">
        <f>IF(OR($F643="",$A643=""),"",MOD(MONTH($A643)-4,12)+1)</f>
        <v>11</v>
      </c>
    </row>
    <row r="644" ht="16.5" customFormat="1" customHeight="1" s="422">
      <c r="A644" s="760" t="n">
        <v>44253</v>
      </c>
      <c r="B644" s="761" t="n"/>
      <c r="C644" s="762" t="inlineStr">
        <is>
          <t>事務費</t>
        </is>
      </c>
      <c r="D644" s="762" t="inlineStr">
        <is>
          <t>事務用消耗品費</t>
        </is>
      </c>
      <c r="E644" s="762" t="inlineStr">
        <is>
          <t>色上質紙　厚口／５００枚／Ａ４／浅黄</t>
        </is>
      </c>
      <c r="F644" s="764" t="n">
        <v>3696</v>
      </c>
      <c r="G644" s="764" t="n">
        <v>3</v>
      </c>
      <c r="H644" s="765">
        <f>IF(G644=1,F644-I644-J644-K644,IF(G644=2,F644,0))</f>
        <v>0</v>
      </c>
      <c r="I644" s="765">
        <f>ROUND(IF(G644=1,F644*10/23,IF(G644=3,F644-J644-K644,IF(G644=4,F644,IF(G644=5,F644*10/11,IF(G644=7,F644*10/11,0))))),0)</f>
        <v>3080</v>
      </c>
      <c r="J644" s="765">
        <f>ROUND(IF(G644=1,F644/23,IF(G644=3,F644/12,IF(G644=5,F644-I644,IF(G644=8,F644,0)))),0)</f>
        <v>308</v>
      </c>
      <c r="K644" s="766">
        <f>ROUND(IF(G644=1,F644/23,IF(G644=3,F644/12,IF(G644=6,F644,IF(G644=7,F644-I644,0)))),0)</f>
        <v>308</v>
      </c>
      <c r="L644" s="767">
        <f>IF(G644=6,F644,0)</f>
        <v>0</v>
      </c>
      <c r="M644" s="421">
        <f>IF(F644="",0,MONTH(A644))</f>
        <v>2</v>
      </c>
      <c r="P644" s="768" t="inlineStr">
        <is>
          <t>昨年実績</t>
        </is>
      </c>
      <c r="Q644" s="769" t="str">
        <f>IF($F644="","",IFERROR(VLOOKUP($C644&amp;"|"&amp;$D644,科目表!$A$5:$B$200,2,FALSE),"※未登録"))</f>
        <v>事務用消耗品費</v>
      </c>
      <c r="R644" s="769">
        <f>IF($F644="","",$I644+$J644+$K644)</f>
        <v>3696</v>
      </c>
      <c r="S644" s="769" t="str">
        <f>IF(OR($F644="",$P644="支払なし",$H644=0,$Q644=""),"",$Q644&amp;"|S|"&amp;(COUNTIF(S$4:S643,$Q644&amp;"|S|*")+1))</f>
        <v/>
      </c>
      <c r="T644" s="769" t="str">
        <f>IF(OR($F644="",$P644="支払なし",$R644=0,$Q644=""),"",$Q644&amp;"|L|"&amp;(COUNTIF(T$4:T643,$Q644&amp;"|L|*")+1))</f>
        <v>事務用消耗品費|L|25</v>
      </c>
      <c r="U644" s="769">
        <f>IF(OR($F644="",$A644=""),"",MOD(MONTH($A644)-4,12)+1)</f>
        <v>11</v>
      </c>
    </row>
    <row r="645" ht="16.5" customFormat="1" customHeight="1" s="422">
      <c r="A645" s="760" t="n">
        <v>43889</v>
      </c>
      <c r="B645" s="761" t="n"/>
      <c r="C645" s="762" t="inlineStr">
        <is>
          <t>賃借料</t>
        </is>
      </c>
      <c r="D645" s="762" t="n"/>
      <c r="E645" s="763" t="inlineStr">
        <is>
          <t>基幹システム（短期）用機器リース料１月分</t>
        </is>
      </c>
      <c r="F645" s="772" t="n">
        <v>193676</v>
      </c>
      <c r="G645" s="772" t="n">
        <v>2</v>
      </c>
      <c r="H645" s="765">
        <f>IF(G645=1,F645-I645-J645-K645,IF(G645=2,F645,0))</f>
        <v>193676</v>
      </c>
      <c r="I645" s="765">
        <f>ROUND(IF(G645=1,F645*10/23,IF(G645=3,F645-J645-K645,IF(G645=4,F645,IF(G645=5,F645*10/11,IF(G645=7,F645*10/11,0))))),0)</f>
        <v>0</v>
      </c>
      <c r="J645" s="765">
        <f>ROUND(IF(G645=1,F645/23,IF(G645=3,F645/12,IF(G645=5,F645-I645,IF(G645=8,F645,0)))),0)</f>
        <v>0</v>
      </c>
      <c r="K645" s="766">
        <f>ROUND(IF(G645=1,F645/23,IF(G645=3,F645/12,IF(G645=6,F645,IF(G645=7,F645-I645,0)))),0)</f>
        <v>0</v>
      </c>
      <c r="L645" s="767">
        <f>IF(G645=6,F645,0)</f>
        <v>0</v>
      </c>
      <c r="M645" s="421">
        <f>IF(F645="",0,MONTH(A645))</f>
        <v>2</v>
      </c>
      <c r="P645" s="768" t="inlineStr">
        <is>
          <t>昨年実績</t>
        </is>
      </c>
      <c r="Q645" s="769" t="str">
        <f>IF($F645="","",IFERROR(VLOOKUP($C645&amp;"|"&amp;$D645,科目表!$A$5:$B$200,2,FALSE),"※未登録"))</f>
        <v>賃借料</v>
      </c>
      <c r="R645" s="769">
        <f>IF($F645="","",$I645+$J645+$K645)</f>
        <v>0</v>
      </c>
      <c r="S645" s="769" t="str">
        <f>IF(OR($F645="",$P645="支払なし",$H645=0,$Q645=""),"",$Q645&amp;"|S|"&amp;(COUNTIF(S$4:S644,$Q645&amp;"|S|*")+1))</f>
        <v>賃借料|S|52</v>
      </c>
      <c r="T645" s="769" t="str">
        <f>IF(OR($F645="",$P645="支払なし",$R645=0,$Q645=""),"",$Q645&amp;"|L|"&amp;(COUNTIF(T$4:T644,$Q645&amp;"|L|*")+1))</f>
        <v/>
      </c>
      <c r="U645" s="769">
        <f>IF(OR($F645="",$A645=""),"",MOD(MONTH($A645)-4,12)+1)</f>
        <v>11</v>
      </c>
    </row>
    <row r="646" ht="16.5" customFormat="1" customHeight="1" s="43">
      <c r="A646" s="760" t="n">
        <v>46071</v>
      </c>
      <c r="B646" s="779" t="n"/>
      <c r="C646" s="762" t="inlineStr">
        <is>
          <t>賃借料</t>
        </is>
      </c>
      <c r="D646" s="762" t="n"/>
      <c r="E646" s="777" t="inlineStr">
        <is>
          <t>統合管理端末リース料（１月分）</t>
        </is>
      </c>
      <c r="F646" s="772" t="n">
        <v>12738</v>
      </c>
      <c r="G646" s="772" t="n">
        <v>2</v>
      </c>
      <c r="H646" s="765">
        <f>IF(G646=1,F646-I646-J646-K646,IF(G646=2,F646,0))</f>
        <v>12738</v>
      </c>
      <c r="I646" s="765">
        <f>ROUND(IF(G646=1,F646*10/23,IF(G646=3,F646-J646-K646,IF(G646=4,F646,IF(G646=5,F646*10/11,IF(G646=7,F646*10/11,0))))),0)</f>
        <v>0</v>
      </c>
      <c r="J646" s="765">
        <f>ROUND(IF(G646=1,F646/23,IF(G646=3,F646/12,IF(G646=5,F646-I646,IF(G646=8,F646,0)))),0)</f>
        <v>0</v>
      </c>
      <c r="K646" s="766">
        <f>ROUND(IF(G646=1,F646/23,IF(G646=3,F646/12,IF(G646=6,F646,IF(G646=7,F646-I646,0)))),0)</f>
        <v>0</v>
      </c>
      <c r="L646" s="767">
        <f>IF(G646=6,F646,0)</f>
        <v>0</v>
      </c>
      <c r="M646" s="572">
        <f>IF(F646="",0,MONTH(A646))</f>
        <v>2</v>
      </c>
      <c r="P646" s="768" t="inlineStr">
        <is>
          <t>昨年実績</t>
        </is>
      </c>
      <c r="Q646" s="769" t="str">
        <f>IF($F646="","",IFERROR(VLOOKUP($C646&amp;"|"&amp;$D646,科目表!$A$5:$B$200,2,FALSE),"※未登録"))</f>
        <v>賃借料</v>
      </c>
      <c r="R646" s="769">
        <f>IF($F646="","",$I646+$J646+$K646)</f>
        <v>0</v>
      </c>
      <c r="S646" s="769" t="str">
        <f>IF(OR($F646="",$P646="支払なし",$H646=0,$Q646=""),"",$Q646&amp;"|S|"&amp;(COUNTIF(S$4:S645,$Q646&amp;"|S|*")+1))</f>
        <v>賃借料|S|53</v>
      </c>
      <c r="T646" s="769" t="str">
        <f>IF(OR($F646="",$P646="支払なし",$R646=0,$Q646=""),"",$Q646&amp;"|L|"&amp;(COUNTIF(T$4:T645,$Q646&amp;"|L|*")+1))</f>
        <v/>
      </c>
      <c r="U646" s="769">
        <f>IF(OR($F646="",$A646=""),"",MOD(MONTH($A646)-4,12)+1)</f>
        <v>11</v>
      </c>
    </row>
    <row r="647" ht="16.5" customFormat="1" customHeight="1" s="422">
      <c r="A647" s="760" t="n">
        <v>45351</v>
      </c>
      <c r="B647" s="761" t="n"/>
      <c r="C647" s="762" t="inlineStr">
        <is>
          <t>委託費</t>
        </is>
      </c>
      <c r="D647" s="762" t="n"/>
      <c r="E647" s="784" t="inlineStr">
        <is>
          <t>統合管理端末保守料（１月分）</t>
        </is>
      </c>
      <c r="F647" s="764" t="n">
        <v>5390</v>
      </c>
      <c r="G647" s="764" t="n">
        <v>2</v>
      </c>
      <c r="H647" s="765">
        <f>IF(G647=1,F647-I647-J647-K647,IF(G647=2,F647,0))</f>
        <v>5390</v>
      </c>
      <c r="I647" s="765">
        <f>ROUND(IF(G647=1,F647*10/23,IF(G647=3,F647-J647-K647,IF(G647=4,F647,IF(G647=5,F647*10/11,IF(G647=7,F647*10/11,0))))),0)</f>
        <v>0</v>
      </c>
      <c r="J647" s="765">
        <f>ROUND(IF(G647=1,F647/23,IF(G647=3,F647/12,IF(G647=5,F647-I647,IF(G647=8,F647,0)))),0)</f>
        <v>0</v>
      </c>
      <c r="K647" s="766">
        <f>ROUND(IF(G647=1,F647/23,IF(G647=3,F647/12,IF(G647=6,F647,IF(G647=7,F647-I647,0)))),0)</f>
        <v>0</v>
      </c>
      <c r="L647" s="767">
        <f>IF(G647=6,F647,0)</f>
        <v>0</v>
      </c>
      <c r="M647" s="421">
        <f>IF(F647="",0,MONTH(A647))</f>
        <v>2</v>
      </c>
      <c r="P647" s="768" t="inlineStr">
        <is>
          <t>昨年実績</t>
        </is>
      </c>
      <c r="Q647" s="769" t="str">
        <f>IF($F647="","",IFERROR(VLOOKUP($C647&amp;"|"&amp;$D647,科目表!$A$5:$B$200,2,FALSE),"※未登録"))</f>
        <v>委託費</v>
      </c>
      <c r="R647" s="769">
        <f>IF($F647="","",$I647+$J647+$K647)</f>
        <v>0</v>
      </c>
      <c r="S647" s="769" t="str">
        <f>IF(OR($F647="",$P647="支払なし",$H647=0,$Q647=""),"",$Q647&amp;"|S|"&amp;(COUNTIF(S$4:S646,$Q647&amp;"|S|*")+1))</f>
        <v>委託費|S|66</v>
      </c>
      <c r="T647" s="769" t="str">
        <f>IF(OR($F647="",$P647="支払なし",$R647=0,$Q647=""),"",$Q647&amp;"|L|"&amp;(COUNTIF(T$4:T646,$Q647&amp;"|L|*")+1))</f>
        <v/>
      </c>
      <c r="U647" s="769">
        <f>IF(OR($F647="",$A647=""),"",MOD(MONTH($A647)-4,12)+1)</f>
        <v>11</v>
      </c>
    </row>
    <row r="648" ht="16.5" customFormat="1" customHeight="1" s="43">
      <c r="A648" s="760" t="n">
        <v>46083</v>
      </c>
      <c r="B648" s="761" t="n"/>
      <c r="C648" s="762" t="inlineStr">
        <is>
          <t>負担金</t>
        </is>
      </c>
      <c r="D648" s="762" t="inlineStr">
        <is>
          <t>厚年負担金等</t>
        </is>
      </c>
      <c r="E648" s="775" t="inlineStr">
        <is>
          <t>１月月例、改定差額分（短期分）子ども子育て拠出金を含む</t>
        </is>
      </c>
      <c r="F648" s="764" t="n">
        <v>62290</v>
      </c>
      <c r="G648" s="764" t="n">
        <v>2</v>
      </c>
      <c r="H648" s="765">
        <f>IF(G648=1,F648-I648-J648-K648,IF(G648=2,F648,0))</f>
        <v>62290</v>
      </c>
      <c r="I648" s="765">
        <f>ROUND(IF(G648=1,F648*10/23,IF(G648=3,F648-J648-K648,IF(G648=4,F648,IF(G648=5,F648*10/11,IF(G648=7,F648*10/11,0))))),0)</f>
        <v>0</v>
      </c>
      <c r="J648" s="765">
        <f>ROUND(IF(G648=1,F648/23,IF(G648=3,F648/12,IF(G648=5,F648-I648,IF(G648=8,F648,0)))),0)</f>
        <v>0</v>
      </c>
      <c r="K648" s="766">
        <f>ROUND(IF(G648=1,F648/23,IF(G648=3,F648/12,IF(G648=6,F648,IF(G648=7,F648-I648,0)))),0)</f>
        <v>0</v>
      </c>
      <c r="L648" s="767">
        <f>IF(G648=6,F648,0)</f>
        <v>0</v>
      </c>
      <c r="M648" s="572">
        <f>IF(F648="",0,MONTH(A648))</f>
        <v>3</v>
      </c>
      <c r="P648" s="768" t="inlineStr">
        <is>
          <t>昨年実績</t>
        </is>
      </c>
      <c r="Q648" s="769" t="str">
        <f>IF($F648="","",IFERROR(VLOOKUP($C648&amp;"|"&amp;$D648,科目表!$A$5:$B$200,2,FALSE),"※未登録"))</f>
        <v>厚年負担金等</v>
      </c>
      <c r="R648" s="769">
        <f>IF($F648="","",$I648+$J648+$K648)</f>
        <v>0</v>
      </c>
      <c r="S648" s="769" t="str">
        <f>IF(OR($F648="",$P648="支払なし",$H648=0,$Q648=""),"",$Q648&amp;"|S|"&amp;(COUNTIF(S$4:S647,$Q648&amp;"|S|*")+1))</f>
        <v>厚年負担金等|S|10</v>
      </c>
      <c r="T648" s="769" t="str">
        <f>IF(OR($F648="",$P648="支払なし",$R648=0,$Q648=""),"",$Q648&amp;"|L|"&amp;(COUNTIF(T$4:T647,$Q648&amp;"|L|*")+1))</f>
        <v/>
      </c>
      <c r="U648" s="769">
        <f>IF(OR($F648="",$A648=""),"",MOD(MONTH($A648)-4,12)+1)</f>
        <v>12</v>
      </c>
    </row>
    <row r="649" ht="16.5" customFormat="1" customHeight="1" s="43">
      <c r="A649" s="760" t="n">
        <v>46083</v>
      </c>
      <c r="B649" s="761" t="n"/>
      <c r="C649" s="762" t="inlineStr">
        <is>
          <t>負担金</t>
        </is>
      </c>
      <c r="D649" s="762" t="inlineStr">
        <is>
          <t>厚年負担金等</t>
        </is>
      </c>
      <c r="E649" s="775" t="inlineStr">
        <is>
          <t>１月月例、改定差額分（長期分）子ども子育て拠出金を含む</t>
        </is>
      </c>
      <c r="F649" s="764" t="n">
        <v>40987</v>
      </c>
      <c r="G649" s="764" t="n">
        <v>3</v>
      </c>
      <c r="H649" s="765">
        <f>IF(G649=1,F649-I649-J649-K649,IF(G649=2,F649,0))</f>
        <v>0</v>
      </c>
      <c r="I649" s="765">
        <f>ROUND(IF(G649=1,F649*10/23,IF(G649=3,F649-J649-K649,IF(G649=4,F649,IF(G649=5,F649*10/11,IF(G649=7,F649*10/11,0))))),0)</f>
        <v>34155</v>
      </c>
      <c r="J649" s="765">
        <f>ROUND(IF(G649=1,F649/23,IF(G649=3,F649/12,IF(G649=5,F649-I649,IF(G649=8,F649,0)))),0)</f>
        <v>3416</v>
      </c>
      <c r="K649" s="766">
        <f>ROUND(IF(G649=1,F649/23,IF(G649=3,F649/12,IF(G649=6,F649,IF(G649=7,F649-I649,0)))),0)</f>
        <v>3416</v>
      </c>
      <c r="L649" s="767">
        <f>IF(G649=6,F649,0)</f>
        <v>0</v>
      </c>
      <c r="M649" s="572">
        <f>IF(F649="",0,MONTH(A649))</f>
        <v>3</v>
      </c>
      <c r="P649" s="768" t="inlineStr">
        <is>
          <t>昨年実績</t>
        </is>
      </c>
      <c r="Q649" s="769" t="str">
        <f>IF($F649="","",IFERROR(VLOOKUP($C649&amp;"|"&amp;$D649,科目表!$A$5:$B$200,2,FALSE),"※未登録"))</f>
        <v>厚年負担金等</v>
      </c>
      <c r="R649" s="769">
        <f>IF($F649="","",$I649+$J649+$K649)</f>
        <v>40987</v>
      </c>
      <c r="S649" s="769" t="str">
        <f>IF(OR($F649="",$P649="支払なし",$H649=0,$Q649=""),"",$Q649&amp;"|S|"&amp;(COUNTIF(S$4:S648,$Q649&amp;"|S|*")+1))</f>
        <v/>
      </c>
      <c r="T649" s="769" t="str">
        <f>IF(OR($F649="",$P649="支払なし",$R649=0,$Q649=""),"",$Q649&amp;"|L|"&amp;(COUNTIF(T$4:T648,$Q649&amp;"|L|*")+1))</f>
        <v>厚年負担金等|L|10</v>
      </c>
      <c r="U649" s="769">
        <f>IF(OR($F649="",$A649=""),"",MOD(MONTH($A649)-4,12)+1)</f>
        <v>12</v>
      </c>
    </row>
    <row r="650" ht="16.5" customFormat="1" customHeight="1" s="422">
      <c r="A650" s="760" t="n">
        <v>44286</v>
      </c>
      <c r="B650" s="761" t="n"/>
      <c r="C650" s="762" t="inlineStr">
        <is>
          <t>委託費</t>
        </is>
      </c>
      <c r="D650" s="762" t="n"/>
      <c r="E650" s="777" t="inlineStr">
        <is>
          <t>短期給付個人番号管理システム端末保守サービス（２月分）</t>
        </is>
      </c>
      <c r="F650" s="764" t="n">
        <v>385</v>
      </c>
      <c r="G650" s="764" t="n">
        <v>2</v>
      </c>
      <c r="H650" s="765">
        <f>IF(G650=1,F650-I650-J650-K650,IF(G650=2,F650,0))</f>
        <v>385</v>
      </c>
      <c r="I650" s="765">
        <f>ROUND(IF(G650=1,F650*10/23,IF(G650=3,F650-J650-K650,IF(G650=4,F650,IF(G650=5,F650*10/11,IF(G650=7,F650*10/11,0))))),0)</f>
        <v>0</v>
      </c>
      <c r="J650" s="765">
        <f>ROUND(IF(G650=1,F650/23,IF(G650=3,F650/12,IF(G650=5,F650-I650,IF(G650=8,F650,0)))),0)</f>
        <v>0</v>
      </c>
      <c r="K650" s="766">
        <f>ROUND(IF(G650=1,F650/23,IF(G650=3,F650/12,IF(G650=6,F650,IF(G650=7,F650-I650,0)))),0)</f>
        <v>0</v>
      </c>
      <c r="L650" s="767">
        <f>IF(G650=6,F650,0)</f>
        <v>0</v>
      </c>
      <c r="M650" s="421">
        <f>IF(F650="",0,MONTH(A650))</f>
        <v>3</v>
      </c>
      <c r="P650" s="768" t="inlineStr">
        <is>
          <t>昨年実績</t>
        </is>
      </c>
      <c r="Q650" s="769" t="str">
        <f>IF($F650="","",IFERROR(VLOOKUP($C650&amp;"|"&amp;$D650,科目表!$A$5:$B$200,2,FALSE),"※未登録"))</f>
        <v>委託費</v>
      </c>
      <c r="R650" s="769">
        <f>IF($F650="","",$I650+$J650+$K650)</f>
        <v>0</v>
      </c>
      <c r="S650" s="769" t="str">
        <f>IF(OR($F650="",$P650="支払なし",$H650=0,$Q650=""),"",$Q650&amp;"|S|"&amp;(COUNTIF(S$4:S649,$Q650&amp;"|S|*")+1))</f>
        <v>委託費|S|67</v>
      </c>
      <c r="T650" s="769" t="str">
        <f>IF(OR($F650="",$P650="支払なし",$R650=0,$Q650=""),"",$Q650&amp;"|L|"&amp;(COUNTIF(T$4:T649,$Q650&amp;"|L|*")+1))</f>
        <v/>
      </c>
      <c r="U650" s="769">
        <f>IF(OR($F650="",$A650=""),"",MOD(MONTH($A650)-4,12)+1)</f>
        <v>12</v>
      </c>
    </row>
    <row r="651" ht="16.5" customFormat="1" customHeight="1" s="422">
      <c r="A651" s="760" t="n">
        <v>43553</v>
      </c>
      <c r="B651" s="761" t="n"/>
      <c r="C651" s="762" t="inlineStr">
        <is>
          <t>事務費</t>
        </is>
      </c>
      <c r="D651" s="762" t="inlineStr">
        <is>
          <t>事務用消耗品費</t>
        </is>
      </c>
      <c r="E651" s="762" t="inlineStr">
        <is>
          <t>限度額適用認定証（台紙）</t>
        </is>
      </c>
      <c r="F651" s="764" t="n">
        <v>17820</v>
      </c>
      <c r="G651" s="764" t="n">
        <v>2</v>
      </c>
      <c r="H651" s="765">
        <f>IF(G651=1,F651-I651-J651-K651,IF(G651=2,F651,0))</f>
        <v>17820</v>
      </c>
      <c r="I651" s="765">
        <f>ROUND(IF(G651=1,F651*10/23,IF(G651=3,F651-J651-K651,IF(G651=4,F651,IF(G651=5,F651*10/11,IF(G651=7,F651*10/11,0))))),0)</f>
        <v>0</v>
      </c>
      <c r="J651" s="765">
        <f>ROUND(IF(G651=1,F651/23,IF(G651=3,F651/12,IF(G651=5,F651-I651,IF(G651=8,F651,0)))),0)</f>
        <v>0</v>
      </c>
      <c r="K651" s="766">
        <f>ROUND(IF(G651=1,F651/23,IF(G651=3,F651/12,IF(G651=6,F651,IF(G651=7,F651-I651,0)))),0)</f>
        <v>0</v>
      </c>
      <c r="L651" s="767">
        <f>IF(G651=6,F651,0)</f>
        <v>0</v>
      </c>
      <c r="M651" s="421">
        <f>IF(F651="",0,MONTH(A651))</f>
        <v>3</v>
      </c>
      <c r="P651" s="768" t="inlineStr">
        <is>
          <t>昨年実績</t>
        </is>
      </c>
      <c r="Q651" s="769" t="str">
        <f>IF($F651="","",IFERROR(VLOOKUP($C651&amp;"|"&amp;$D651,科目表!$A$5:$B$200,2,FALSE),"※未登録"))</f>
        <v>事務用消耗品費</v>
      </c>
      <c r="R651" s="769">
        <f>IF($F651="","",$I651+$J651+$K651)</f>
        <v>0</v>
      </c>
      <c r="S651" s="769" t="str">
        <f>IF(OR($F651="",$P651="支払なし",$H651=0,$Q651=""),"",$Q651&amp;"|S|"&amp;(COUNTIF(S$4:S650,$Q651&amp;"|S|*")+1))</f>
        <v>事務用消耗品費|S|43</v>
      </c>
      <c r="T651" s="769" t="str">
        <f>IF(OR($F651="",$P651="支払なし",$R651=0,$Q651=""),"",$Q651&amp;"|L|"&amp;(COUNTIF(T$4:T650,$Q651&amp;"|L|*")+1))</f>
        <v/>
      </c>
      <c r="U651" s="769">
        <f>IF(OR($F651="",$A651=""),"",MOD(MONTH($A651)-4,12)+1)</f>
        <v>12</v>
      </c>
    </row>
    <row r="652" ht="16.5" customFormat="1" customHeight="1" s="43">
      <c r="A652" s="760" t="n">
        <v>46091</v>
      </c>
      <c r="B652" s="761" t="n"/>
      <c r="C652" s="762" t="inlineStr">
        <is>
          <t>事務費</t>
        </is>
      </c>
      <c r="D652" s="762" t="inlineStr">
        <is>
          <t>送金料</t>
        </is>
      </c>
      <c r="E652" s="775" t="inlineStr">
        <is>
          <t>振込手数料（広銀）２月分　長期分</t>
        </is>
      </c>
      <c r="F652" s="764" t="n">
        <v>14994</v>
      </c>
      <c r="G652" s="764" t="n">
        <v>3</v>
      </c>
      <c r="H652" s="765">
        <f>IF(G652=1,F652-I652-J652-K652,IF(G652=2,F652,0))</f>
        <v>0</v>
      </c>
      <c r="I652" s="765">
        <f>ROUND(IF(G652=1,F652*10/23,IF(G652=3,F652-J652-K652,IF(G652=4,F652,IF(G652=5,F652*10/11,IF(G652=7,F652*10/11,0))))),0)</f>
        <v>12494</v>
      </c>
      <c r="J652" s="765">
        <f>ROUND(IF(G652=1,F652/23,IF(G652=3,F652/12,IF(G652=5,F652-I652,IF(G652=8,F652,0)))),0)</f>
        <v>1250</v>
      </c>
      <c r="K652" s="766">
        <f>ROUND(IF(G652=1,F652/23,IF(G652=3,F652/12,IF(G652=6,F652,IF(G652=7,F652-I652,0)))),0)</f>
        <v>1250</v>
      </c>
      <c r="L652" s="767">
        <f>IF(G652=6,F652,0)</f>
        <v>0</v>
      </c>
      <c r="M652" s="572">
        <f>IF(F652="",0,MONTH(A652))</f>
        <v>3</v>
      </c>
      <c r="P652" s="768" t="inlineStr">
        <is>
          <t>昨年実績</t>
        </is>
      </c>
      <c r="Q652" s="769" t="str">
        <f>IF($F652="","",IFERROR(VLOOKUP($C652&amp;"|"&amp;$D652,科目表!$A$5:$B$200,2,FALSE),"※未登録"))</f>
        <v>送金料</v>
      </c>
      <c r="R652" s="769">
        <f>IF($F652="","",$I652+$J652+$K652)</f>
        <v>14994</v>
      </c>
      <c r="S652" s="769" t="str">
        <f>IF(OR($F652="",$P652="支払なし",$H652=0,$Q652=""),"",$Q652&amp;"|S|"&amp;(COUNTIF(S$4:S651,$Q652&amp;"|S|*")+1))</f>
        <v/>
      </c>
      <c r="T652" s="769" t="str">
        <f>IF(OR($F652="",$P652="支払なし",$R652=0,$Q652=""),"",$Q652&amp;"|L|"&amp;(COUNTIF(T$4:T651,$Q652&amp;"|L|*")+1))</f>
        <v>送金料|L|13</v>
      </c>
      <c r="U652" s="769">
        <f>IF(OR($F652="",$A652=""),"",MOD(MONTH($A652)-4,12)+1)</f>
        <v>12</v>
      </c>
    </row>
    <row r="653" ht="16.5" customFormat="1" customHeight="1" s="43">
      <c r="A653" s="760" t="n">
        <v>46091</v>
      </c>
      <c r="B653" s="761" t="n"/>
      <c r="C653" s="762" t="inlineStr">
        <is>
          <t>事務費</t>
        </is>
      </c>
      <c r="D653" s="762" t="inlineStr">
        <is>
          <t>送金料</t>
        </is>
      </c>
      <c r="E653" s="775" t="inlineStr">
        <is>
          <t>振込手数料（広銀）２月分　短期分</t>
        </is>
      </c>
      <c r="F653" s="764" t="n">
        <v>139863</v>
      </c>
      <c r="G653" s="764" t="n">
        <v>2</v>
      </c>
      <c r="H653" s="765">
        <f>IF(G653=1,F653-I653-J653-K653,IF(G653=2,F653,0))</f>
        <v>139863</v>
      </c>
      <c r="I653" s="765">
        <f>ROUND(IF(G653=1,F653*10/23,IF(G653=3,F653-J653-K653,IF(G653=4,F653,IF(G653=5,F653*10/11,IF(G653=7,F653*10/11,0))))),0)</f>
        <v>0</v>
      </c>
      <c r="J653" s="765">
        <f>ROUND(IF(G653=1,F653/23,IF(G653=3,F653/12,IF(G653=5,F653-I653,IF(G653=8,F653,0)))),0)</f>
        <v>0</v>
      </c>
      <c r="K653" s="766">
        <f>ROUND(IF(G653=1,F653/23,IF(G653=3,F653/12,IF(G653=6,F653,IF(G653=7,F653-I653,0)))),0)</f>
        <v>0</v>
      </c>
      <c r="L653" s="767">
        <f>IF(G653=6,F653,0)</f>
        <v>0</v>
      </c>
      <c r="M653" s="572">
        <f>IF(F653="",0,MONTH(A653))</f>
        <v>3</v>
      </c>
      <c r="P653" s="768" t="inlineStr">
        <is>
          <t>昨年実績</t>
        </is>
      </c>
      <c r="Q653" s="769" t="str">
        <f>IF($F653="","",IFERROR(VLOOKUP($C653&amp;"|"&amp;$D653,科目表!$A$5:$B$200,2,FALSE),"※未登録"))</f>
        <v>送金料</v>
      </c>
      <c r="R653" s="769">
        <f>IF($F653="","",$I653+$J653+$K653)</f>
        <v>0</v>
      </c>
      <c r="S653" s="769" t="str">
        <f>IF(OR($F653="",$P653="支払なし",$H653=0,$Q653=""),"",$Q653&amp;"|S|"&amp;(COUNTIF(S$4:S652,$Q653&amp;"|S|*")+1))</f>
        <v>送金料|S|22</v>
      </c>
      <c r="T653" s="769" t="str">
        <f>IF(OR($F653="",$P653="支払なし",$R653=0,$Q653=""),"",$Q653&amp;"|L|"&amp;(COUNTIF(T$4:T652,$Q653&amp;"|L|*")+1))</f>
        <v/>
      </c>
      <c r="U653" s="769">
        <f>IF(OR($F653="",$A653=""),"",MOD(MONTH($A653)-4,12)+1)</f>
        <v>12</v>
      </c>
    </row>
    <row r="654" ht="16.5" customFormat="1" customHeight="1" s="43">
      <c r="A654" s="760" t="n">
        <v>46112</v>
      </c>
      <c r="B654" s="761" t="n"/>
      <c r="C654" s="762" t="inlineStr">
        <is>
          <t>事務費</t>
        </is>
      </c>
      <c r="D654" s="762" t="inlineStr">
        <is>
          <t>送金料</t>
        </is>
      </c>
      <c r="E654" s="773" t="inlineStr">
        <is>
          <t>ゆうちょ銀行手数料（2月分）短期</t>
        </is>
      </c>
      <c r="F654" s="764" t="n">
        <v>7880</v>
      </c>
      <c r="G654" s="764" t="n">
        <v>2</v>
      </c>
      <c r="H654" s="765">
        <f>IF(G654=1,F654-I654-J654-K654,IF(G654=2,F654,0))</f>
        <v>7880</v>
      </c>
      <c r="I654" s="765">
        <f>ROUND(IF(G654=1,F654*10/23,IF(G654=3,F654-J654-K654,IF(G654=4,F654,IF(G654=5,F654*10/11,IF(G654=7,F654*10/11,0))))),0)</f>
        <v>0</v>
      </c>
      <c r="J654" s="765">
        <f>ROUND(IF(G654=1,F654/23,IF(G654=3,F654/12,IF(G654=5,F654-I654,IF(G654=8,F654,0)))),0)</f>
        <v>0</v>
      </c>
      <c r="K654" s="766">
        <f>ROUND(IF(G654=1,F654/23,IF(G654=3,F654/12,IF(G654=6,F654,IF(G654=7,F654-I654,0)))),0)</f>
        <v>0</v>
      </c>
      <c r="L654" s="767">
        <f>IF(G654=6,F654,0)</f>
        <v>0</v>
      </c>
      <c r="M654" s="572">
        <f>IF(F654="",0,MONTH(A654))</f>
        <v>3</v>
      </c>
      <c r="P654" s="768" t="inlineStr">
        <is>
          <t>昨年実績</t>
        </is>
      </c>
      <c r="Q654" s="769" t="str">
        <f>IF($F654="","",IFERROR(VLOOKUP($C654&amp;"|"&amp;$D654,科目表!$A$5:$B$200,2,FALSE),"※未登録"))</f>
        <v>送金料</v>
      </c>
      <c r="R654" s="769">
        <f>IF($F654="","",$I654+$J654+$K654)</f>
        <v>0</v>
      </c>
      <c r="S654" s="769" t="str">
        <f>IF(OR($F654="",$P654="支払なし",$H654=0,$Q654=""),"",$Q654&amp;"|S|"&amp;(COUNTIF(S$4:S653,$Q654&amp;"|S|*")+1))</f>
        <v>送金料|S|23</v>
      </c>
      <c r="T654" s="769" t="str">
        <f>IF(OR($F654="",$P654="支払なし",$R654=0,$Q654=""),"",$Q654&amp;"|L|"&amp;(COUNTIF(T$4:T653,$Q654&amp;"|L|*")+1))</f>
        <v/>
      </c>
      <c r="U654" s="769">
        <f>IF(OR($F654="",$A654=""),"",MOD(MONTH($A654)-4,12)+1)</f>
        <v>12</v>
      </c>
    </row>
    <row r="655" ht="16.5" customFormat="1" customHeight="1" s="43">
      <c r="A655" s="760" t="n">
        <v>46112</v>
      </c>
      <c r="B655" s="761" t="n"/>
      <c r="C655" s="762" t="inlineStr">
        <is>
          <t>事務費</t>
        </is>
      </c>
      <c r="D655" s="762" t="inlineStr">
        <is>
          <t>雑費</t>
        </is>
      </c>
      <c r="E655" s="773" t="inlineStr">
        <is>
          <t>ゆうちょ銀行振替口座残高証明（2月分）短期</t>
        </is>
      </c>
      <c r="F655" s="764" t="n">
        <v>550</v>
      </c>
      <c r="G655" s="764" t="n">
        <v>2</v>
      </c>
      <c r="H655" s="765">
        <f>IF(G655=1,F655-I655-J655-K655,IF(G655=2,F655,0))</f>
        <v>550</v>
      </c>
      <c r="I655" s="765">
        <f>ROUND(IF(G655=1,F655*10/23,IF(G655=3,F655-J655-K655,IF(G655=4,F655,IF(G655=5,F655*10/11,IF(G655=7,F655*10/11,0))))),0)</f>
        <v>0</v>
      </c>
      <c r="J655" s="765">
        <f>ROUND(IF(G655=1,F655/23,IF(G655=3,F655/12,IF(G655=5,F655-I655,IF(G655=8,F655,0)))),0)</f>
        <v>0</v>
      </c>
      <c r="K655" s="766">
        <f>ROUND(IF(G655=1,F655/23,IF(G655=3,F655/12,IF(G655=6,F655,IF(G655=7,F655-I655,0)))),0)</f>
        <v>0</v>
      </c>
      <c r="L655" s="767">
        <f>IF(G655=6,F655,0)</f>
        <v>0</v>
      </c>
      <c r="M655" s="572">
        <f>IF(F655="",0,MONTH(A655))</f>
        <v>3</v>
      </c>
      <c r="P655" s="768" t="inlineStr">
        <is>
          <t>昨年実績</t>
        </is>
      </c>
      <c r="Q655" s="769" t="str">
        <f>IF($F655="","",IFERROR(VLOOKUP($C655&amp;"|"&amp;$D655,科目表!$A$5:$B$200,2,FALSE),"※未登録"))</f>
        <v>事務費・雑費</v>
      </c>
      <c r="R655" s="769">
        <f>IF($F655="","",$I655+$J655+$K655)</f>
        <v>0</v>
      </c>
      <c r="S655" s="769" t="str">
        <f>IF(OR($F655="",$P655="支払なし",$H655=0,$Q655=""),"",$Q655&amp;"|S|"&amp;(COUNTIF(S$4:S654,$Q655&amp;"|S|*")+1))</f>
        <v>事務費・雑費|S|18</v>
      </c>
      <c r="T655" s="769" t="str">
        <f>IF(OR($F655="",$P655="支払なし",$R655=0,$Q655=""),"",$Q655&amp;"|L|"&amp;(COUNTIF(T$4:T654,$Q655&amp;"|L|*")+1))</f>
        <v/>
      </c>
      <c r="U655" s="769">
        <f>IF(OR($F655="",$A655=""),"",MOD(MONTH($A655)-4,12)+1)</f>
        <v>12</v>
      </c>
    </row>
    <row r="656" ht="16.5" customFormat="1" customHeight="1" s="422">
      <c r="A656" s="760" t="n">
        <v>44995</v>
      </c>
      <c r="B656" s="761" t="n"/>
      <c r="C656" s="762" t="inlineStr">
        <is>
          <t>賃借料</t>
        </is>
      </c>
      <c r="D656" s="762" t="n"/>
      <c r="E656" s="773" t="inlineStr">
        <is>
          <t>総務・会館運営委員会等　WEB会議用機器等</t>
        </is>
      </c>
      <c r="F656" s="764" t="n">
        <v>13970</v>
      </c>
      <c r="G656" s="764" t="n">
        <v>1</v>
      </c>
      <c r="H656" s="765">
        <f>IF(G656=1,F656-I656-J656-K656,IF(G656=2,F656,0))</f>
        <v>6682</v>
      </c>
      <c r="I656" s="765">
        <f>ROUND(IF(G656=1,F656*10/23,IF(G656=3,F656-J656-K656,IF(G656=4,F656,IF(G656=5,F656*10/11,IF(G656=7,F656*10/11,0))))),0)</f>
        <v>6074</v>
      </c>
      <c r="J656" s="765">
        <f>ROUND(IF(G656=1,F656/23,IF(G656=3,F656/12,IF(G656=5,F656-I656,IF(G656=8,F656,0)))),0)</f>
        <v>607</v>
      </c>
      <c r="K656" s="766">
        <f>ROUND(IF(G656=1,F656/23,IF(G656=3,F656/12,IF(G656=6,F656,IF(G656=7,F656-I656,0)))),0)</f>
        <v>607</v>
      </c>
      <c r="L656" s="767">
        <f>IF(G656=6,F656,0)</f>
        <v>0</v>
      </c>
      <c r="M656" s="421">
        <f>IF(F656="",0,MONTH(A656))</f>
        <v>3</v>
      </c>
      <c r="P656" s="768" t="inlineStr">
        <is>
          <t>昨年実績</t>
        </is>
      </c>
      <c r="Q656" s="769" t="str">
        <f>IF($F656="","",IFERROR(VLOOKUP($C656&amp;"|"&amp;$D656,科目表!$A$5:$B$200,2,FALSE),"※未登録"))</f>
        <v>賃借料</v>
      </c>
      <c r="R656" s="769">
        <f>IF($F656="","",$I656+$J656+$K656)</f>
        <v>7288</v>
      </c>
      <c r="S656" s="769" t="str">
        <f>IF(OR($F656="",$P656="支払なし",$H656=0,$Q656=""),"",$Q656&amp;"|S|"&amp;(COUNTIF(S$4:S655,$Q656&amp;"|S|*")+1))</f>
        <v>賃借料|S|54</v>
      </c>
      <c r="T656" s="769" t="str">
        <f>IF(OR($F656="",$P656="支払なし",$R656=0,$Q656=""),"",$Q656&amp;"|L|"&amp;(COUNTIF(T$4:T655,$Q656&amp;"|L|*")+1))</f>
        <v>賃借料|L|20</v>
      </c>
      <c r="U656" s="769">
        <f>IF(OR($F656="",$A656=""),"",MOD(MONTH($A656)-4,12)+1)</f>
        <v>12</v>
      </c>
    </row>
    <row r="657" ht="16.5" customFormat="1" customHeight="1" s="43">
      <c r="A657" s="760" t="n">
        <v>46108</v>
      </c>
      <c r="B657" s="761" t="n"/>
      <c r="C657" s="762" t="inlineStr">
        <is>
          <t>賃借料</t>
        </is>
      </c>
      <c r="D657" s="762" t="n"/>
      <c r="E657" s="775" t="inlineStr">
        <is>
          <t>基幹システム用機器賃借料　２月分（長期）</t>
        </is>
      </c>
      <c r="F657" s="764" t="n">
        <v>69613</v>
      </c>
      <c r="G657" s="764" t="n">
        <v>3</v>
      </c>
      <c r="H657" s="765">
        <f>IF(G657=1,F657-I657-J657-K657,IF(G657=2,F657,0))</f>
        <v>0</v>
      </c>
      <c r="I657" s="765">
        <f>ROUND(IF(G657=1,F657*10/23,IF(G657=3,F657-J657-K657,IF(G657=4,F657,IF(G657=5,F657*10/11,IF(G657=7,F657*10/11,0))))),0)</f>
        <v>58011</v>
      </c>
      <c r="J657" s="765">
        <f>ROUND(IF(G657=1,F657/23,IF(G657=3,F657/12,IF(G657=5,F657-I657,IF(G657=8,F657,0)))),0)</f>
        <v>5801</v>
      </c>
      <c r="K657" s="766">
        <f>ROUND(IF(G657=1,F657/23,IF(G657=3,F657/12,IF(G657=6,F657,IF(G657=7,F657-I657,0)))),0)</f>
        <v>5801</v>
      </c>
      <c r="L657" s="767">
        <f>IF(G657=6,F657,0)</f>
        <v>0</v>
      </c>
      <c r="M657" s="572">
        <f>IF(F657="",0,MONTH(A657))</f>
        <v>3</v>
      </c>
      <c r="P657" s="768" t="inlineStr">
        <is>
          <t>昨年実績</t>
        </is>
      </c>
      <c r="Q657" s="769" t="str">
        <f>IF($F657="","",IFERROR(VLOOKUP($C657&amp;"|"&amp;$D657,科目表!$A$5:$B$200,2,FALSE),"※未登録"))</f>
        <v>賃借料</v>
      </c>
      <c r="R657" s="769">
        <f>IF($F657="","",$I657+$J657+$K657)</f>
        <v>69613</v>
      </c>
      <c r="S657" s="769" t="str">
        <f>IF(OR($F657="",$P657="支払なし",$H657=0,$Q657=""),"",$Q657&amp;"|S|"&amp;(COUNTIF(S$4:S656,$Q657&amp;"|S|*")+1))</f>
        <v/>
      </c>
      <c r="T657" s="769" t="str">
        <f>IF(OR($F657="",$P657="支払なし",$R657=0,$Q657=""),"",$Q657&amp;"|L|"&amp;(COUNTIF(T$4:T656,$Q657&amp;"|L|*")+1))</f>
        <v>賃借料|L|21</v>
      </c>
      <c r="U657" s="769">
        <f>IF(OR($F657="",$A657=""),"",MOD(MONTH($A657)-4,12)+1)</f>
        <v>12</v>
      </c>
    </row>
    <row r="658" ht="16.5" customFormat="1" customHeight="1" s="43">
      <c r="A658" s="760" t="n">
        <v>46108</v>
      </c>
      <c r="B658" s="761" t="n"/>
      <c r="C658" s="762" t="inlineStr">
        <is>
          <t>賃借料</t>
        </is>
      </c>
      <c r="D658" s="762" t="n"/>
      <c r="E658" s="775" t="inlineStr">
        <is>
          <t>基幹システム用機器賃借料　２月分（短期）</t>
        </is>
      </c>
      <c r="F658" s="764" t="n">
        <v>672934</v>
      </c>
      <c r="G658" s="764" t="n">
        <v>2</v>
      </c>
      <c r="H658" s="765">
        <f>IF(G658=1,F658-I658-J658-K658,IF(G658=2,F658,0))</f>
        <v>672934</v>
      </c>
      <c r="I658" s="765">
        <f>ROUND(IF(G658=1,F658*10/23,IF(G658=3,F658-J658-K658,IF(G658=4,F658,IF(G658=5,F658*10/11,IF(G658=7,F658*10/11,0))))),0)</f>
        <v>0</v>
      </c>
      <c r="J658" s="765">
        <f>ROUND(IF(G658=1,F658/23,IF(G658=3,F658/12,IF(G658=5,F658-I658,IF(G658=8,F658,0)))),0)</f>
        <v>0</v>
      </c>
      <c r="K658" s="766">
        <f>ROUND(IF(G658=1,F658/23,IF(G658=3,F658/12,IF(G658=6,F658,IF(G658=7,F658-I658,0)))),0)</f>
        <v>0</v>
      </c>
      <c r="L658" s="767">
        <f>IF(G658=6,F658,0)</f>
        <v>0</v>
      </c>
      <c r="M658" s="572">
        <f>IF(F658="",0,MONTH(A658))</f>
        <v>3</v>
      </c>
      <c r="P658" s="768" t="inlineStr">
        <is>
          <t>昨年実績</t>
        </is>
      </c>
      <c r="Q658" s="769" t="str">
        <f>IF($F658="","",IFERROR(VLOOKUP($C658&amp;"|"&amp;$D658,科目表!$A$5:$B$200,2,FALSE),"※未登録"))</f>
        <v>賃借料</v>
      </c>
      <c r="R658" s="769">
        <f>IF($F658="","",$I658+$J658+$K658)</f>
        <v>0</v>
      </c>
      <c r="S658" s="769" t="str">
        <f>IF(OR($F658="",$P658="支払なし",$H658=0,$Q658=""),"",$Q658&amp;"|S|"&amp;(COUNTIF(S$4:S657,$Q658&amp;"|S|*")+1))</f>
        <v>賃借料|S|55</v>
      </c>
      <c r="T658" s="769" t="str">
        <f>IF(OR($F658="",$P658="支払なし",$R658=0,$Q658=""),"",$Q658&amp;"|L|"&amp;(COUNTIF(T$4:T657,$Q658&amp;"|L|*")+1))</f>
        <v/>
      </c>
      <c r="U658" s="769">
        <f>IF(OR($F658="",$A658=""),"",MOD(MONTH($A658)-4,12)+1)</f>
        <v>12</v>
      </c>
    </row>
    <row r="659" ht="16.5" customFormat="1" customHeight="1" s="43">
      <c r="A659" s="760" t="n">
        <v>46108</v>
      </c>
      <c r="B659" s="761" t="n"/>
      <c r="C659" s="762" t="inlineStr">
        <is>
          <t>賃借料</t>
        </is>
      </c>
      <c r="D659" s="762" t="n"/>
      <c r="E659" s="762" t="inlineStr">
        <is>
          <t>パソコン（業務経理用）２月分</t>
        </is>
      </c>
      <c r="F659" s="772" t="n">
        <v>5060</v>
      </c>
      <c r="G659" s="772" t="n">
        <v>2</v>
      </c>
      <c r="H659" s="765">
        <f>IF(G659=1,F659-I659-J659-K659,IF(G659=2,F659,0))</f>
        <v>5060</v>
      </c>
      <c r="I659" s="765">
        <f>ROUND(IF(G659=1,F659*10/23,IF(G659=3,F659-J659-K659,IF(G659=4,F659,IF(G659=5,F659*10/11,IF(G659=7,F659*10/11,0))))),0)</f>
        <v>0</v>
      </c>
      <c r="J659" s="765">
        <f>ROUND(IF(G659=1,F659/23,IF(G659=3,F659/12,IF(G659=5,F659-I659,IF(G659=8,F659,0)))),0)</f>
        <v>0</v>
      </c>
      <c r="K659" s="766">
        <f>ROUND(IF(G659=1,F659/23,IF(G659=3,F659/12,IF(G659=6,F659,IF(G659=7,F659-I659,0)))),0)</f>
        <v>0</v>
      </c>
      <c r="L659" s="767">
        <f>IF(G659=6,F659,0)</f>
        <v>0</v>
      </c>
      <c r="M659" s="572">
        <f>IF(F659="",0,MONTH(A659))</f>
        <v>3</v>
      </c>
      <c r="P659" s="768" t="inlineStr">
        <is>
          <t>昨年実績</t>
        </is>
      </c>
      <c r="Q659" s="769" t="str">
        <f>IF($F659="","",IFERROR(VLOOKUP($C659&amp;"|"&amp;$D659,科目表!$A$5:$B$200,2,FALSE),"※未登録"))</f>
        <v>賃借料</v>
      </c>
      <c r="R659" s="769">
        <f>IF($F659="","",$I659+$J659+$K659)</f>
        <v>0</v>
      </c>
      <c r="S659" s="769" t="str">
        <f>IF(OR($F659="",$P659="支払なし",$H659=0,$Q659=""),"",$Q659&amp;"|S|"&amp;(COUNTIF(S$4:S658,$Q659&amp;"|S|*")+1))</f>
        <v>賃借料|S|56</v>
      </c>
      <c r="T659" s="769" t="str">
        <f>IF(OR($F659="",$P659="支払なし",$R659=0,$Q659=""),"",$Q659&amp;"|L|"&amp;(COUNTIF(T$4:T658,$Q659&amp;"|L|*")+1))</f>
        <v/>
      </c>
      <c r="U659" s="769">
        <f>IF(OR($F659="",$A659=""),"",MOD(MONTH($A659)-4,12)+1)</f>
        <v>12</v>
      </c>
    </row>
    <row r="660" ht="16.5" customFormat="1" customHeight="1" s="422">
      <c r="A660" s="760" t="n">
        <v>44985</v>
      </c>
      <c r="B660" s="761" t="n"/>
      <c r="C660" s="762" t="inlineStr">
        <is>
          <t>事務費</t>
        </is>
      </c>
      <c r="D660" s="762" t="inlineStr">
        <is>
          <t>図書印刷費</t>
        </is>
      </c>
      <c r="E660" s="770" t="inlineStr">
        <is>
          <t>厚生法規総覧追録　５７０３－５７１３号</t>
        </is>
      </c>
      <c r="F660" s="764" t="n">
        <v>33154</v>
      </c>
      <c r="G660" s="772" t="n">
        <v>2</v>
      </c>
      <c r="H660" s="765">
        <f>IF(G660=1,F660-I660-J660-K660,IF(G660=2,F660,0))</f>
        <v>33154</v>
      </c>
      <c r="I660" s="765">
        <f>ROUND(IF(G660=1,F660*10/23,IF(G660=3,F660-J660-K660,IF(G660=4,F660,IF(G660=5,F660*10/11,IF(G660=7,F660*10/11,0))))),0)</f>
        <v>0</v>
      </c>
      <c r="J660" s="765">
        <f>ROUND(IF(G660=1,F660/23,IF(G660=3,F660/12,IF(G660=5,F660-I660,IF(G660=8,F660,0)))),0)</f>
        <v>0</v>
      </c>
      <c r="K660" s="766">
        <f>ROUND(IF(G660=1,F660/23,IF(G660=3,F660/12,IF(G660=6,F660,IF(G660=7,F660-I660,0)))),0)</f>
        <v>0</v>
      </c>
      <c r="L660" s="767">
        <f>IF(G660=6,F660,0)</f>
        <v>0</v>
      </c>
      <c r="M660" s="421">
        <f>IF(F660="",0,MONTH(A660))</f>
        <v>2</v>
      </c>
      <c r="P660" s="768" t="inlineStr">
        <is>
          <t>昨年実績</t>
        </is>
      </c>
      <c r="Q660" s="769" t="str">
        <f>IF($F660="","",IFERROR(VLOOKUP($C660&amp;"|"&amp;$D660,科目表!$A$5:$B$200,2,FALSE),"※未登録"))</f>
        <v>図書印刷費</v>
      </c>
      <c r="R660" s="769">
        <f>IF($F660="","",$I660+$J660+$K660)</f>
        <v>0</v>
      </c>
      <c r="S660" s="769" t="str">
        <f>IF(OR($F660="",$P660="支払なし",$H660=0,$Q660=""),"",$Q660&amp;"|S|"&amp;(COUNTIF(S$4:S659,$Q660&amp;"|S|*")+1))</f>
        <v>図書印刷費|S|33</v>
      </c>
      <c r="T660" s="769" t="str">
        <f>IF(OR($F660="",$P660="支払なし",$R660=0,$Q660=""),"",$Q660&amp;"|L|"&amp;(COUNTIF(T$4:T659,$Q660&amp;"|L|*")+1))</f>
        <v/>
      </c>
      <c r="U660" s="769">
        <f>IF(OR($F660="",$A660=""),"",MOD(MONTH($A660)-4,12)+1)</f>
        <v>11</v>
      </c>
    </row>
    <row r="661" ht="16.5" customFormat="1" customHeight="1" s="422">
      <c r="A661" s="760" t="n">
        <v>44265</v>
      </c>
      <c r="B661" s="761" t="n"/>
      <c r="C661" s="762" t="inlineStr">
        <is>
          <t>旅費</t>
        </is>
      </c>
      <c r="D661" s="762" t="n"/>
      <c r="E661" s="762" t="inlineStr">
        <is>
          <t>3/5　職員派遣に伴う内見等（梅谷主事）</t>
        </is>
      </c>
      <c r="F661" s="764" t="n">
        <v>48580</v>
      </c>
      <c r="G661" s="772" t="n">
        <v>3</v>
      </c>
      <c r="H661" s="765">
        <f>IF(G661=1,F661-I661-J661-K661,IF(G661=2,F661,0))</f>
        <v>0</v>
      </c>
      <c r="I661" s="765">
        <f>ROUND(IF(G661=1,F661*10/23,IF(G661=3,F661-J661-K661,IF(G661=4,F661,IF(G661=5,F661*10/11,IF(G661=7,F661*10/11,0))))),0)</f>
        <v>40484</v>
      </c>
      <c r="J661" s="765">
        <f>ROUND(IF(G661=1,F661/23,IF(G661=3,F661/12,IF(G661=5,F661-I661,IF(G661=8,F661,0)))),0)</f>
        <v>4048</v>
      </c>
      <c r="K661" s="766">
        <f>ROUND(IF(G661=1,F661/23,IF(G661=3,F661/12,IF(G661=6,F661,IF(G661=7,F661-I661,0)))),0)</f>
        <v>4048</v>
      </c>
      <c r="L661" s="767">
        <f>IF(G661=6,F661,0)</f>
        <v>0</v>
      </c>
      <c r="M661" s="421">
        <f>IF(F661="",0,MONTH(A661))</f>
        <v>3</v>
      </c>
      <c r="P661" s="768" t="inlineStr">
        <is>
          <t>昨年実績</t>
        </is>
      </c>
      <c r="Q661" s="769" t="str">
        <f>IF($F661="","",IFERROR(VLOOKUP($C661&amp;"|"&amp;$D661,科目表!$A$5:$B$200,2,FALSE),"※未登録"))</f>
        <v>旅費</v>
      </c>
      <c r="R661" s="769">
        <f>IF($F661="","",$I661+$J661+$K661)</f>
        <v>48580</v>
      </c>
      <c r="S661" s="769" t="str">
        <f>IF(OR($F661="",$P661="支払なし",$H661=0,$Q661=""),"",$Q661&amp;"|S|"&amp;(COUNTIF(S$4:S660,$Q661&amp;"|S|*")+1))</f>
        <v/>
      </c>
      <c r="T661" s="769" t="str">
        <f>IF(OR($F661="",$P661="支払なし",$R661=0,$Q661=""),"",$Q661&amp;"|L|"&amp;(COUNTIF(T$4:T660,$Q661&amp;"|L|*")+1))</f>
        <v>旅費|L|22</v>
      </c>
      <c r="U661" s="769">
        <f>IF(OR($F661="",$A661=""),"",MOD(MONTH($A661)-4,12)+1)</f>
        <v>12</v>
      </c>
    </row>
    <row r="662" ht="16.5" customFormat="1" customHeight="1" s="43">
      <c r="A662" s="760" t="n">
        <v>46108</v>
      </c>
      <c r="B662" s="761" t="n"/>
      <c r="C662" s="762" t="inlineStr">
        <is>
          <t>委託費</t>
        </is>
      </c>
      <c r="D662" s="762" t="n"/>
      <c r="E662" s="762" t="inlineStr">
        <is>
          <t>ねんきん定期便（２月分）送付業務</t>
        </is>
      </c>
      <c r="F662" s="772" t="n">
        <v>78590</v>
      </c>
      <c r="G662" s="772" t="n">
        <v>5</v>
      </c>
      <c r="H662" s="765">
        <f>IF(G662=1,F662-I662-J662-K662,IF(G662=2,F662,0))</f>
        <v>0</v>
      </c>
      <c r="I662" s="765">
        <f>ROUND(IF(G662=1,F662*10/23,IF(G662=3,F662-J662-K662,IF(G662=4,F662,IF(G662=5,F662*10/11,IF(G662=7,F662*10/11,0))))),0)</f>
        <v>71445</v>
      </c>
      <c r="J662" s="765">
        <f>ROUND(IF(G662=1,F662/23,IF(G662=3,F662/12,IF(G662=5,F662-I662,IF(G662=8,F662,0)))),0)</f>
        <v>7145</v>
      </c>
      <c r="K662" s="766">
        <f>ROUND(IF(G662=1,F662/23,IF(G662=3,F662/12,IF(G662=6,F662,IF(G662=7,F662-I662,0)))),0)</f>
        <v>0</v>
      </c>
      <c r="L662" s="767">
        <f>IF(G662=6,F662,0)</f>
        <v>0</v>
      </c>
      <c r="M662" s="572">
        <f>IF(F662="",0,MONTH(A662))</f>
        <v>3</v>
      </c>
      <c r="P662" s="768" t="inlineStr">
        <is>
          <t>昨年実績</t>
        </is>
      </c>
      <c r="Q662" s="769" t="str">
        <f>IF($F662="","",IFERROR(VLOOKUP($C662&amp;"|"&amp;$D662,科目表!$A$5:$B$200,2,FALSE),"※未登録"))</f>
        <v>委託費</v>
      </c>
      <c r="R662" s="769">
        <f>IF($F662="","",$I662+$J662+$K662)</f>
        <v>78590</v>
      </c>
      <c r="S662" s="769" t="str">
        <f>IF(OR($F662="",$P662="支払なし",$H662=0,$Q662=""),"",$Q662&amp;"|S|"&amp;(COUNTIF(S$4:S661,$Q662&amp;"|S|*")+1))</f>
        <v/>
      </c>
      <c r="T662" s="769" t="str">
        <f>IF(OR($F662="",$P662="支払なし",$R662=0,$Q662=""),"",$Q662&amp;"|L|"&amp;(COUNTIF(T$4:T661,$Q662&amp;"|L|*")+1))</f>
        <v>委託費|L|22</v>
      </c>
      <c r="U662" s="769">
        <f>IF(OR($F662="",$A662=""),"",MOD(MONTH($A662)-4,12)+1)</f>
        <v>12</v>
      </c>
    </row>
    <row r="663" ht="16.5" customFormat="1" customHeight="1" s="422">
      <c r="A663" s="760" t="n">
        <v>45380</v>
      </c>
      <c r="B663" s="761" t="n"/>
      <c r="C663" s="762" t="inlineStr">
        <is>
          <t>事務費</t>
        </is>
      </c>
      <c r="D663" s="762" t="inlineStr">
        <is>
          <t>通信運搬費</t>
        </is>
      </c>
      <c r="E663" s="775" t="inlineStr">
        <is>
          <t>柔整申請書送付（２月分）</t>
        </is>
      </c>
      <c r="F663" s="764" t="n">
        <v>1489</v>
      </c>
      <c r="G663" s="764" t="n">
        <v>2</v>
      </c>
      <c r="H663" s="765">
        <f>IF(G663=1,F663-I663-J663-K663,IF(G663=2,F663,0))</f>
        <v>1489</v>
      </c>
      <c r="I663" s="765">
        <f>ROUND(IF(G663=1,F663*10/23,IF(G663=3,F663-J663-K663,IF(G663=4,F663,IF(G663=5,F663*10/11,IF(G663=7,F663*10/11,0))))),0)</f>
        <v>0</v>
      </c>
      <c r="J663" s="765">
        <f>ROUND(IF(G663=1,F663/23,IF(G663=3,F663/12,IF(G663=5,F663-I663,IF(G663=8,F663,0)))),0)</f>
        <v>0</v>
      </c>
      <c r="K663" s="766">
        <f>ROUND(IF(G663=1,F663/23,IF(G663=3,F663/12,IF(G663=6,F663,IF(G663=7,F663-I663,0)))),0)</f>
        <v>0</v>
      </c>
      <c r="L663" s="767">
        <f>IF(G663=6,F663,0)</f>
        <v>0</v>
      </c>
      <c r="M663" s="421">
        <f>IF(F663="",0,MONTH(A663))</f>
        <v>3</v>
      </c>
      <c r="P663" s="768" t="inlineStr">
        <is>
          <t>昨年実績</t>
        </is>
      </c>
      <c r="Q663" s="769" t="str">
        <f>IF($F663="","",IFERROR(VLOOKUP($C663&amp;"|"&amp;$D663,科目表!$A$5:$B$200,2,FALSE),"※未登録"))</f>
        <v>通信運搬費</v>
      </c>
      <c r="R663" s="769">
        <f>IF($F663="","",$I663+$J663+$K663)</f>
        <v>0</v>
      </c>
      <c r="S663" s="769" t="str">
        <f>IF(OR($F663="",$P663="支払なし",$H663=0,$Q663=""),"",$Q663&amp;"|S|"&amp;(COUNTIF(S$4:S662,$Q663&amp;"|S|*")+1))</f>
        <v>通信運搬費|S|69</v>
      </c>
      <c r="T663" s="769" t="str">
        <f>IF(OR($F663="",$P663="支払なし",$R663=0,$Q663=""),"",$Q663&amp;"|L|"&amp;(COUNTIF(T$4:T662,$Q663&amp;"|L|*")+1))</f>
        <v/>
      </c>
      <c r="U663" s="769">
        <f>IF(OR($F663="",$A663=""),"",MOD(MONTH($A663)-4,12)+1)</f>
        <v>12</v>
      </c>
    </row>
    <row r="664" ht="16.5" customFormat="1" customHeight="1" s="43">
      <c r="A664" s="760" t="n">
        <v>46106</v>
      </c>
      <c r="B664" s="761" t="n"/>
      <c r="C664" s="762" t="inlineStr">
        <is>
          <t>役員報酬</t>
        </is>
      </c>
      <c r="D664" s="762" t="n"/>
      <c r="E664" s="762" t="inlineStr">
        <is>
          <t>組合会３／２５　学識経験監事　栗栖　一雄</t>
        </is>
      </c>
      <c r="F664" s="772" t="n">
        <v>11000</v>
      </c>
      <c r="G664" s="772" t="n">
        <v>1</v>
      </c>
      <c r="H664" s="765">
        <f>IF(G664=1,F664-I664-J664-K664,IF(G664=2,F664,0))</f>
        <v>5261</v>
      </c>
      <c r="I664" s="765">
        <f>ROUND(IF(G664=1,F664*10/23,IF(G664=3,F664-J664-K664,IF(G664=4,F664,IF(G664=5,F664*10/11,IF(G664=7,F664*10/11,0))))),0)</f>
        <v>4783</v>
      </c>
      <c r="J664" s="765">
        <f>ROUND(IF(G664=1,F664/23,IF(G664=3,F664/12,IF(G664=5,F664-I664,IF(G664=8,F664,0)))),0)</f>
        <v>478</v>
      </c>
      <c r="K664" s="766">
        <f>ROUND(IF(G664=1,F664/23,IF(G664=3,F664/12,IF(G664=6,F664,IF(G664=7,F664-I664,0)))),0)</f>
        <v>478</v>
      </c>
      <c r="L664" s="767">
        <f>IF(G664=6,F664,0)</f>
        <v>0</v>
      </c>
      <c r="M664" s="572">
        <f>IF(F664="",0,MONTH(A664))</f>
        <v>3</v>
      </c>
      <c r="P664" s="768" t="inlineStr">
        <is>
          <t>昨年実績</t>
        </is>
      </c>
      <c r="Q664" s="769" t="str">
        <f>IF($F664="","",IFERROR(VLOOKUP($C664&amp;"|"&amp;$D664,科目表!$A$5:$B$200,2,FALSE),"※未登録"))</f>
        <v>役員報酬</v>
      </c>
      <c r="R664" s="769">
        <f>IF($F664="","",$I664+$J664+$K664)</f>
        <v>5739</v>
      </c>
      <c r="S664" s="769" t="str">
        <f>IF(OR($F664="",$P664="支払なし",$H664=0,$Q664=""),"",$Q664&amp;"|S|"&amp;(COUNTIF(S$4:S663,$Q664&amp;"|S|*")+1))</f>
        <v>役員報酬|S|3</v>
      </c>
      <c r="T664" s="769" t="str">
        <f>IF(OR($F664="",$P664="支払なし",$R664=0,$Q664=""),"",$Q664&amp;"|L|"&amp;(COUNTIF(T$4:T663,$Q664&amp;"|L|*")+1))</f>
        <v>役員報酬|L|3</v>
      </c>
      <c r="U664" s="769">
        <f>IF(OR($F664="",$A664=""),"",MOD(MONTH($A664)-4,12)+1)</f>
        <v>12</v>
      </c>
    </row>
    <row r="665" ht="16.5" customFormat="1" customHeight="1" s="43">
      <c r="A665" s="760" t="n">
        <v>46094</v>
      </c>
      <c r="B665" s="761" t="n"/>
      <c r="C665" s="762" t="inlineStr">
        <is>
          <t>職員給与</t>
        </is>
      </c>
      <c r="D665" s="762" t="inlineStr">
        <is>
          <t>非常勤職員手当</t>
        </is>
      </c>
      <c r="E665" s="762" t="inlineStr">
        <is>
          <t>３月期末手当（長期分）</t>
        </is>
      </c>
      <c r="F665" s="764" t="n">
        <v>69366</v>
      </c>
      <c r="G665" s="764" t="n">
        <v>3</v>
      </c>
      <c r="H665" s="765">
        <f>IF(G665=1,F665-I665-J665-K665,IF(G665=2,F665,0))</f>
        <v>0</v>
      </c>
      <c r="I665" s="765">
        <f>ROUND(IF(G665=1,F665*10/23,IF(G665=3,F665-J665-K665,IF(G665=4,F665,IF(G665=5,F665*10/11,IF(G665=7,F665*10/11,0))))),0)</f>
        <v>57804</v>
      </c>
      <c r="J665" s="765">
        <f>ROUND(IF(G665=1,F665/23,IF(G665=3,F665/12,IF(G665=5,F665-I665,IF(G665=8,F665,0)))),0)</f>
        <v>5781</v>
      </c>
      <c r="K665" s="766">
        <f>ROUND(IF(G665=1,F665/23,IF(G665=3,F665/12,IF(G665=6,F665,IF(G665=7,F665-I665,0)))),0)</f>
        <v>5781</v>
      </c>
      <c r="L665" s="767">
        <f>IF(G665=6,F665,0)</f>
        <v>0</v>
      </c>
      <c r="M665" s="572">
        <f>IF(F665="",0,MONTH(A665))</f>
        <v>3</v>
      </c>
      <c r="P665" s="768" t="inlineStr">
        <is>
          <t>昨年実績</t>
        </is>
      </c>
      <c r="Q665" s="769" t="str">
        <f>IF($F665="","",IFERROR(VLOOKUP($C665&amp;"|"&amp;$D665,科目表!$A$5:$B$200,2,FALSE),"※未登録"))</f>
        <v>非常勤職員手当</v>
      </c>
      <c r="R665" s="769">
        <f>IF($F665="","",$I665+$J665+$K665)</f>
        <v>69366</v>
      </c>
      <c r="S665" s="769" t="str">
        <f>IF(OR($F665="",$P665="支払なし",$H665=0,$Q665=""),"",$Q665&amp;"|S|"&amp;(COUNTIF(S$4:S664,$Q665&amp;"|S|*")+1))</f>
        <v/>
      </c>
      <c r="T665" s="769" t="str">
        <f>IF(OR($F665="",$P665="支払なし",$R665=0,$Q665=""),"",$Q665&amp;"|L|"&amp;(COUNTIF(T$4:T664,$Q665&amp;"|L|*")+1))</f>
        <v>非常勤職員手当|L|19</v>
      </c>
      <c r="U665" s="769">
        <f>IF(OR($F665="",$A665=""),"",MOD(MONTH($A665)-4,12)+1)</f>
        <v>12</v>
      </c>
    </row>
    <row r="666" ht="16.5" customFormat="1" customHeight="1" s="422">
      <c r="A666" s="760" t="n">
        <v>44651</v>
      </c>
      <c r="B666" s="761" t="n"/>
      <c r="C666" s="762" t="inlineStr">
        <is>
          <t>事務費</t>
        </is>
      </c>
      <c r="D666" s="762" t="inlineStr">
        <is>
          <t>事務用消耗品費</t>
        </is>
      </c>
      <c r="E666" s="770" t="inlineStr">
        <is>
          <t>ポストイット　７００１ＳＳ－NE　3箱他</t>
        </is>
      </c>
      <c r="F666" s="764" t="n">
        <v>10665</v>
      </c>
      <c r="G666" s="772" t="n">
        <v>2</v>
      </c>
      <c r="H666" s="765">
        <f>IF(G666=1,F666-I666-J666-K666,IF(G666=2,F666,0))</f>
        <v>10665</v>
      </c>
      <c r="I666" s="765">
        <f>ROUND(IF(G666=1,F666*10/23,IF(G666=3,F666-J666-K666,IF(G666=4,F666,IF(G666=5,F666*10/11,IF(G666=7,F666*10/11,0))))),0)</f>
        <v>0</v>
      </c>
      <c r="J666" s="765">
        <f>ROUND(IF(G666=1,F666/23,IF(G666=3,F666/12,IF(G666=5,F666-I666,IF(G666=8,F666,0)))),0)</f>
        <v>0</v>
      </c>
      <c r="K666" s="766">
        <f>ROUND(IF(G666=1,F666/23,IF(G666=3,F666/12,IF(G666=6,F666,IF(G666=7,F666-I666,0)))),0)</f>
        <v>0</v>
      </c>
      <c r="L666" s="767">
        <f>IF(G666=6,F666,0)</f>
        <v>0</v>
      </c>
      <c r="M666" s="421">
        <f>IF(F666="",0,MONTH(A666))</f>
        <v>3</v>
      </c>
      <c r="P666" s="768" t="inlineStr">
        <is>
          <t>昨年実績</t>
        </is>
      </c>
      <c r="Q666" s="769" t="str">
        <f>IF($F666="","",IFERROR(VLOOKUP($C666&amp;"|"&amp;$D666,科目表!$A$5:$B$200,2,FALSE),"※未登録"))</f>
        <v>事務用消耗品費</v>
      </c>
      <c r="R666" s="769">
        <f>IF($F666="","",$I666+$J666+$K666)</f>
        <v>0</v>
      </c>
      <c r="S666" s="769" t="str">
        <f>IF(OR($F666="",$P666="支払なし",$H666=0,$Q666=""),"",$Q666&amp;"|S|"&amp;(COUNTIF(S$4:S665,$Q666&amp;"|S|*")+1))</f>
        <v>事務用消耗品費|S|44</v>
      </c>
      <c r="T666" s="769" t="str">
        <f>IF(OR($F666="",$P666="支払なし",$R666=0,$Q666=""),"",$Q666&amp;"|L|"&amp;(COUNTIF(T$4:T665,$Q666&amp;"|L|*")+1))</f>
        <v/>
      </c>
      <c r="U666" s="769">
        <f>IF(OR($F666="",$A666=""),"",MOD(MONTH($A666)-4,12)+1)</f>
        <v>12</v>
      </c>
    </row>
    <row r="667" ht="16.5" customFormat="1" customHeight="1" s="43">
      <c r="A667" s="760" t="n">
        <v>46108</v>
      </c>
      <c r="B667" s="761" t="n"/>
      <c r="C667" s="762" t="inlineStr">
        <is>
          <t>負担金</t>
        </is>
      </c>
      <c r="D667" s="762" t="inlineStr">
        <is>
          <t>負担金</t>
        </is>
      </c>
      <c r="E667" s="762" t="inlineStr">
        <is>
          <t>共済短期・介護負担金（３月賞与、３月月例分）長期</t>
        </is>
      </c>
      <c r="F667" s="772" t="n">
        <v>26637</v>
      </c>
      <c r="G667" s="772" t="n">
        <v>3</v>
      </c>
      <c r="H667" s="765">
        <f>IF(G667=1,F667-I667-J667-K667,IF(G667=2,F667,0))</f>
        <v>0</v>
      </c>
      <c r="I667" s="765">
        <f>ROUND(IF(G667=1,F667*10/23,IF(G667=3,F667-J667-K667,IF(G667=4,F667,IF(G667=5,F667*10/11,IF(G667=7,F667*10/11,0))))),0)</f>
        <v>22197</v>
      </c>
      <c r="J667" s="765">
        <f>ROUND(IF(G667=1,F667/23,IF(G667=3,F667/12,IF(G667=5,F667-I667,IF(G667=8,F667,0)))),0)</f>
        <v>2220</v>
      </c>
      <c r="K667" s="766">
        <f>ROUND(IF(G667=1,F667/23,IF(G667=3,F667/12,IF(G667=6,F667,IF(G667=7,F667-I667,0)))),0)</f>
        <v>2220</v>
      </c>
      <c r="L667" s="767">
        <f>IF(G667=6,F667,0)</f>
        <v>0</v>
      </c>
      <c r="M667" s="572">
        <f>IF(F667="",0,MONTH(A667))</f>
        <v>3</v>
      </c>
      <c r="P667" s="768" t="inlineStr">
        <is>
          <t>昨年実績</t>
        </is>
      </c>
      <c r="Q667" s="769" t="str">
        <f>IF($F667="","",IFERROR(VLOOKUP($C667&amp;"|"&amp;$D667,科目表!$A$5:$B$200,2,FALSE),"※未登録"))</f>
        <v>共済負担金等</v>
      </c>
      <c r="R667" s="769">
        <f>IF($F667="","",$I667+$J667+$K667)</f>
        <v>26637</v>
      </c>
      <c r="S667" s="769" t="str">
        <f>IF(OR($F667="",$P667="支払なし",$H667=0,$Q667=""),"",$Q667&amp;"|S|"&amp;(COUNTIF(S$4:S666,$Q667&amp;"|S|*")+1))</f>
        <v/>
      </c>
      <c r="T667" s="769" t="str">
        <f>IF(OR($F667="",$P667="支払なし",$R667=0,$Q667=""),"",$Q667&amp;"|L|"&amp;(COUNTIF(T$4:T666,$Q667&amp;"|L|*")+1))</f>
        <v>共済負担金等|L|19</v>
      </c>
      <c r="U667" s="769">
        <f>IF(OR($F667="",$A667=""),"",MOD(MONTH($A667)-4,12)+1)</f>
        <v>12</v>
      </c>
    </row>
    <row r="668" ht="16.5" customFormat="1" customHeight="1" s="43">
      <c r="A668" s="760" t="n">
        <v>46108</v>
      </c>
      <c r="B668" s="761" t="n"/>
      <c r="C668" s="762" t="inlineStr">
        <is>
          <t>負担金</t>
        </is>
      </c>
      <c r="D668" s="762" t="inlineStr">
        <is>
          <t>負担金</t>
        </is>
      </c>
      <c r="E668" s="762" t="inlineStr">
        <is>
          <t>共済短期・介護負担金（３月月例分）短期</t>
        </is>
      </c>
      <c r="F668" s="772" t="n">
        <v>39697</v>
      </c>
      <c r="G668" s="772" t="n">
        <v>2</v>
      </c>
      <c r="H668" s="765">
        <f>IF(G668=1,F668-I668-J668-K668,IF(G668=2,F668,0))</f>
        <v>39697</v>
      </c>
      <c r="I668" s="765">
        <f>ROUND(IF(G668=1,F668*10/23,IF(G668=3,F668-J668-K668,IF(G668=4,F668,IF(G668=5,F668*10/11,IF(G668=7,F668*10/11,0))))),0)</f>
        <v>0</v>
      </c>
      <c r="J668" s="765">
        <f>ROUND(IF(G668=1,F668/23,IF(G668=3,F668/12,IF(G668=5,F668-I668,IF(G668=8,F668,0)))),0)</f>
        <v>0</v>
      </c>
      <c r="K668" s="766">
        <f>ROUND(IF(G668=1,F668/23,IF(G668=3,F668/12,IF(G668=6,F668,IF(G668=7,F668-I668,0)))),0)</f>
        <v>0</v>
      </c>
      <c r="L668" s="767">
        <f>IF(G668=6,F668,0)</f>
        <v>0</v>
      </c>
      <c r="M668" s="572">
        <f>IF(F668="",0,MONTH(A668))</f>
        <v>3</v>
      </c>
      <c r="P668" s="768" t="inlineStr">
        <is>
          <t>昨年実績</t>
        </is>
      </c>
      <c r="Q668" s="769" t="str">
        <f>IF($F668="","",IFERROR(VLOOKUP($C668&amp;"|"&amp;$D668,科目表!$A$5:$B$200,2,FALSE),"※未登録"))</f>
        <v>共済負担金等</v>
      </c>
      <c r="R668" s="769">
        <f>IF($F668="","",$I668+$J668+$K668)</f>
        <v>0</v>
      </c>
      <c r="S668" s="769" t="str">
        <f>IF(OR($F668="",$P668="支払なし",$H668=0,$Q668=""),"",$Q668&amp;"|S|"&amp;(COUNTIF(S$4:S667,$Q668&amp;"|S|*")+1))</f>
        <v>共済負担金等|S|15</v>
      </c>
      <c r="T668" s="769" t="str">
        <f>IF(OR($F668="",$P668="支払なし",$R668=0,$Q668=""),"",$Q668&amp;"|L|"&amp;(COUNTIF(T$4:T667,$Q668&amp;"|L|*")+1))</f>
        <v/>
      </c>
      <c r="U668" s="769">
        <f>IF(OR($F668="",$A668=""),"",MOD(MONTH($A668)-4,12)+1)</f>
        <v>12</v>
      </c>
    </row>
    <row r="669" ht="16.5" customFormat="1" customHeight="1" s="422">
      <c r="A669" s="760" t="n">
        <v>44651</v>
      </c>
      <c r="B669" s="761" t="n"/>
      <c r="C669" s="762" t="inlineStr">
        <is>
          <t>事務費</t>
        </is>
      </c>
      <c r="D669" s="762" t="inlineStr">
        <is>
          <t>事務用消耗品費</t>
        </is>
      </c>
      <c r="E669" s="770" t="inlineStr">
        <is>
          <t>RICOH　 SPトナー　６４００</t>
        </is>
      </c>
      <c r="F669" s="764" t="n">
        <v>18480</v>
      </c>
      <c r="G669" s="772" t="n">
        <v>2</v>
      </c>
      <c r="H669" s="765">
        <f>IF(G669=1,F669-I669-J669-K669,IF(G669=2,F669,0))</f>
        <v>18480</v>
      </c>
      <c r="I669" s="765">
        <f>ROUND(IF(G669=1,F669*10/23,IF(G669=3,F669-J669-K669,IF(G669=4,F669,IF(G669=5,F669*10/11,IF(G669=7,F669*10/11,0))))),0)</f>
        <v>0</v>
      </c>
      <c r="J669" s="765">
        <f>ROUND(IF(G669=1,F669/23,IF(G669=3,F669/12,IF(G669=5,F669-I669,IF(G669=8,F669,0)))),0)</f>
        <v>0</v>
      </c>
      <c r="K669" s="766">
        <f>ROUND(IF(G669=1,F669/23,IF(G669=3,F669/12,IF(G669=6,F669,IF(G669=7,F669-I669,0)))),0)</f>
        <v>0</v>
      </c>
      <c r="L669" s="767">
        <f>IF(G669=6,F669,0)</f>
        <v>0</v>
      </c>
      <c r="M669" s="421">
        <f>IF(F669="",0,MONTH(A669))</f>
        <v>3</v>
      </c>
      <c r="P669" s="768" t="inlineStr">
        <is>
          <t>昨年実績</t>
        </is>
      </c>
      <c r="Q669" s="769" t="str">
        <f>IF($F669="","",IFERROR(VLOOKUP($C669&amp;"|"&amp;$D669,科目表!$A$5:$B$200,2,FALSE),"※未登録"))</f>
        <v>事務用消耗品費</v>
      </c>
      <c r="R669" s="769">
        <f>IF($F669="","",$I669+$J669+$K669)</f>
        <v>0</v>
      </c>
      <c r="S669" s="769" t="str">
        <f>IF(OR($F669="",$P669="支払なし",$H669=0,$Q669=""),"",$Q669&amp;"|S|"&amp;(COUNTIF(S$4:S668,$Q669&amp;"|S|*")+1))</f>
        <v>事務用消耗品費|S|45</v>
      </c>
      <c r="T669" s="769" t="str">
        <f>IF(OR($F669="",$P669="支払なし",$R669=0,$Q669=""),"",$Q669&amp;"|L|"&amp;(COUNTIF(T$4:T668,$Q669&amp;"|L|*")+1))</f>
        <v/>
      </c>
      <c r="U669" s="769">
        <f>IF(OR($F669="",$A669=""),"",MOD(MONTH($A669)-4,12)+1)</f>
        <v>12</v>
      </c>
    </row>
    <row r="670" ht="16.5" customFormat="1" customHeight="1" s="43">
      <c r="A670" s="760" t="n">
        <v>46108</v>
      </c>
      <c r="B670" s="761" t="n"/>
      <c r="C670" s="762" t="inlineStr">
        <is>
          <t>事務費</t>
        </is>
      </c>
      <c r="D670" s="762" t="inlineStr">
        <is>
          <t>事務用消耗品費</t>
        </is>
      </c>
      <c r="E670" s="770" t="inlineStr">
        <is>
          <t xml:space="preserve">ボールペン　BK-127＊10本入／黒　2箱　ほか11点　</t>
        </is>
      </c>
      <c r="F670" s="764" t="n">
        <v>21646</v>
      </c>
      <c r="G670" s="764" t="n">
        <v>3</v>
      </c>
      <c r="H670" s="765">
        <f>IF(G670=1,F670-I670-J670-K670,IF(G670=2,F670,0))</f>
        <v>0</v>
      </c>
      <c r="I670" s="765">
        <f>ROUND(IF(G670=1,F670*10/23,IF(G670=3,F670-J670-K670,IF(G670=4,F670,IF(G670=5,F670*10/11,IF(G670=7,F670*10/11,0))))),0)</f>
        <v>18038</v>
      </c>
      <c r="J670" s="765">
        <f>ROUND(IF(G670=1,F670/23,IF(G670=3,F670/12,IF(G670=5,F670-I670,IF(G670=8,F670,0)))),0)</f>
        <v>1804</v>
      </c>
      <c r="K670" s="766">
        <f>ROUND(IF(G670=1,F670/23,IF(G670=3,F670/12,IF(G670=6,F670,IF(G670=7,F670-I670,0)))),0)</f>
        <v>1804</v>
      </c>
      <c r="L670" s="767">
        <f>IF(G670=6,F670,0)</f>
        <v>0</v>
      </c>
      <c r="M670" s="572">
        <f>IF(F670="",0,MONTH(A670))</f>
        <v>3</v>
      </c>
      <c r="P670" s="768" t="inlineStr">
        <is>
          <t>昨年実績</t>
        </is>
      </c>
      <c r="Q670" s="769" t="str">
        <f>IF($F670="","",IFERROR(VLOOKUP($C670&amp;"|"&amp;$D670,科目表!$A$5:$B$200,2,FALSE),"※未登録"))</f>
        <v>事務用消耗品費</v>
      </c>
      <c r="R670" s="769">
        <f>IF($F670="","",$I670+$J670+$K670)</f>
        <v>21646</v>
      </c>
      <c r="S670" s="769" t="str">
        <f>IF(OR($F670="",$P670="支払なし",$H670=0,$Q670=""),"",$Q670&amp;"|S|"&amp;(COUNTIF(S$4:S669,$Q670&amp;"|S|*")+1))</f>
        <v/>
      </c>
      <c r="T670" s="769" t="str">
        <f>IF(OR($F670="",$P670="支払なし",$R670=0,$Q670=""),"",$Q670&amp;"|L|"&amp;(COUNTIF(T$4:T669,$Q670&amp;"|L|*")+1))</f>
        <v>事務用消耗品費|L|26</v>
      </c>
      <c r="U670" s="769">
        <f>IF(OR($F670="",$A670=""),"",MOD(MONTH($A670)-4,12)+1)</f>
        <v>12</v>
      </c>
    </row>
    <row r="671" ht="16.5" customFormat="1" customHeight="1" s="43">
      <c r="A671" s="760" t="n">
        <v>46112</v>
      </c>
      <c r="B671" s="761" t="n"/>
      <c r="C671" s="762" t="inlineStr">
        <is>
          <t>事務費</t>
        </is>
      </c>
      <c r="D671" s="762" t="inlineStr">
        <is>
          <t>事務用消耗品費</t>
        </is>
      </c>
      <c r="E671" s="770" t="inlineStr">
        <is>
          <t>Ｖクリップ　大／500本　5箱　ほか</t>
        </is>
      </c>
      <c r="F671" s="764" t="n">
        <v>5928</v>
      </c>
      <c r="G671" s="772" t="n">
        <v>2</v>
      </c>
      <c r="H671" s="765">
        <f>IF(G671=1,F671-I671-J671-K671,IF(G671=2,F671,0))</f>
        <v>5928</v>
      </c>
      <c r="I671" s="765">
        <f>ROUND(IF(G671=1,F671*10/23,IF(G671=3,F671-J671-K671,IF(G671=4,F671,IF(G671=5,F671*10/11,IF(G671=7,F671*10/11,0))))),0)</f>
        <v>0</v>
      </c>
      <c r="J671" s="765">
        <f>ROUND(IF(G671=1,F671/23,IF(G671=3,F671/12,IF(G671=5,F671-I671,IF(G671=8,F671,0)))),0)</f>
        <v>0</v>
      </c>
      <c r="K671" s="766">
        <f>ROUND(IF(G671=1,F671/23,IF(G671=3,F671/12,IF(G671=6,F671,IF(G671=7,F671-I671,0)))),0)</f>
        <v>0</v>
      </c>
      <c r="L671" s="767">
        <f>IF(G671=6,F671,0)</f>
        <v>0</v>
      </c>
      <c r="M671" s="572">
        <f>IF(F671="",0,MONTH(A671))</f>
        <v>3</v>
      </c>
      <c r="P671" s="768" t="inlineStr">
        <is>
          <t>昨年実績</t>
        </is>
      </c>
      <c r="Q671" s="769" t="str">
        <f>IF($F671="","",IFERROR(VLOOKUP($C671&amp;"|"&amp;$D671,科目表!$A$5:$B$200,2,FALSE),"※未登録"))</f>
        <v>事務用消耗品費</v>
      </c>
      <c r="R671" s="769">
        <f>IF($F671="","",$I671+$J671+$K671)</f>
        <v>0</v>
      </c>
      <c r="S671" s="769" t="str">
        <f>IF(OR($F671="",$P671="支払なし",$H671=0,$Q671=""),"",$Q671&amp;"|S|"&amp;(COUNTIF(S$4:S670,$Q671&amp;"|S|*")+1))</f>
        <v>事務用消耗品費|S|46</v>
      </c>
      <c r="T671" s="769" t="str">
        <f>IF(OR($F671="",$P671="支払なし",$R671=0,$Q671=""),"",$Q671&amp;"|L|"&amp;(COUNTIF(T$4:T670,$Q671&amp;"|L|*")+1))</f>
        <v/>
      </c>
      <c r="U671" s="769">
        <f>IF(OR($F671="",$A671=""),"",MOD(MONTH($A671)-4,12)+1)</f>
        <v>12</v>
      </c>
    </row>
    <row r="672" ht="16.5" customFormat="1" customHeight="1" s="422">
      <c r="A672" s="760" t="n">
        <v>43921</v>
      </c>
      <c r="B672" s="761" t="n"/>
      <c r="C672" s="762" t="inlineStr">
        <is>
          <t>事務費</t>
        </is>
      </c>
      <c r="D672" s="762" t="inlineStr">
        <is>
          <t>図書印刷費</t>
        </is>
      </c>
      <c r="E672" s="762" t="inlineStr">
        <is>
          <t>角２封筒クラフト８５ｇ郵便枠付き・テープ付　３，０００枚</t>
        </is>
      </c>
      <c r="F672" s="764" t="n">
        <v>47300</v>
      </c>
      <c r="G672" s="764" t="n">
        <v>2</v>
      </c>
      <c r="H672" s="765">
        <f>IF(G672=1,F672-I672-J672-K672,IF(G672=2,F672,0))</f>
        <v>47300</v>
      </c>
      <c r="I672" s="765">
        <f>ROUND(IF(G672=1,F672*10/23,IF(G672=3,F672-J672-K672,IF(G672=4,F672,IF(G672=5,F672*10/11,IF(G672=7,F672*10/11,0))))),0)</f>
        <v>0</v>
      </c>
      <c r="J672" s="765">
        <f>ROUND(IF(G672=1,F672/23,IF(G672=3,F672/12,IF(G672=5,F672-I672,IF(G672=8,F672,0)))),0)</f>
        <v>0</v>
      </c>
      <c r="K672" s="766">
        <f>ROUND(IF(G672=1,F672/23,IF(G672=3,F672/12,IF(G672=6,F672,IF(G672=7,F672-I672,0)))),0)</f>
        <v>0</v>
      </c>
      <c r="L672" s="767">
        <f>IF(G672=6,F672,0)</f>
        <v>0</v>
      </c>
      <c r="M672" s="421">
        <f>IF(F672="",0,MONTH(A672))</f>
        <v>3</v>
      </c>
      <c r="P672" s="768" t="inlineStr">
        <is>
          <t>昨年実績</t>
        </is>
      </c>
      <c r="Q672" s="769" t="str">
        <f>IF($F672="","",IFERROR(VLOOKUP($C672&amp;"|"&amp;$D672,科目表!$A$5:$B$200,2,FALSE),"※未登録"))</f>
        <v>図書印刷費</v>
      </c>
      <c r="R672" s="769">
        <f>IF($F672="","",$I672+$J672+$K672)</f>
        <v>0</v>
      </c>
      <c r="S672" s="769" t="str">
        <f>IF(OR($F672="",$P672="支払なし",$H672=0,$Q672=""),"",$Q672&amp;"|S|"&amp;(COUNTIF(S$4:S671,$Q672&amp;"|S|*")+1))</f>
        <v>図書印刷費|S|34</v>
      </c>
      <c r="T672" s="769" t="str">
        <f>IF(OR($F672="",$P672="支払なし",$R672=0,$Q672=""),"",$Q672&amp;"|L|"&amp;(COUNTIF(T$4:T671,$Q672&amp;"|L|*")+1))</f>
        <v/>
      </c>
      <c r="U672" s="769">
        <f>IF(OR($F672="",$A672=""),"",MOD(MONTH($A672)-4,12)+1)</f>
        <v>12</v>
      </c>
    </row>
    <row r="673" ht="16.5" customFormat="1" customHeight="1" s="43">
      <c r="A673" s="760" t="n">
        <v>46094</v>
      </c>
      <c r="B673" s="761" t="n"/>
      <c r="C673" s="762" t="inlineStr">
        <is>
          <t>賃金</t>
        </is>
      </c>
      <c r="D673" s="762" t="n"/>
      <c r="E673" s="762" t="inlineStr">
        <is>
          <t>臨時職員賃金２月分　竹口範子外１名分（短期１００％）</t>
        </is>
      </c>
      <c r="F673" s="764" t="n">
        <v>339340</v>
      </c>
      <c r="G673" s="764" t="n">
        <v>2</v>
      </c>
      <c r="H673" s="765">
        <f>IF(G673=1,F673-I673-J673-K673,IF(G673=2,F673,0))</f>
        <v>339340</v>
      </c>
      <c r="I673" s="765">
        <f>ROUND(IF(G673=1,F673*10/23,IF(G673=3,F673-J673-K673,IF(G673=4,F673,IF(G673=5,F673*10/11,IF(G673=7,F673*10/11,0))))),0)</f>
        <v>0</v>
      </c>
      <c r="J673" s="765">
        <f>ROUND(IF(G673=1,F673/23,IF(G673=3,F673/12,IF(G673=5,F673-I673,IF(G673=8,F673,0)))),0)</f>
        <v>0</v>
      </c>
      <c r="K673" s="766">
        <f>ROUND(IF(G673=1,F673/23,IF(G673=3,F673/12,IF(G673=6,F673,IF(G673=7,F673-I673,0)))),0)</f>
        <v>0</v>
      </c>
      <c r="L673" s="767">
        <f>IF(G673=6,F673,0)</f>
        <v>0</v>
      </c>
      <c r="M673" s="572">
        <f>IF(F673="",0,MONTH(A673))</f>
        <v>3</v>
      </c>
      <c r="P673" s="768" t="inlineStr">
        <is>
          <t>昨年実績</t>
        </is>
      </c>
      <c r="Q673" s="769" t="str">
        <f>IF($F673="","",IFERROR(VLOOKUP($C673&amp;"|"&amp;$D673,科目表!$A$5:$B$200,2,FALSE),"※未登録"))</f>
        <v>賃金</v>
      </c>
      <c r="R673" s="769">
        <f>IF($F673="","",$I673+$J673+$K673)</f>
        <v>0</v>
      </c>
      <c r="S673" s="769" t="str">
        <f>IF(OR($F673="",$P673="支払なし",$H673=0,$Q673=""),"",$Q673&amp;"|S|"&amp;(COUNTIF(S$4:S672,$Q673&amp;"|S|*")+1))</f>
        <v>賃金|S|11</v>
      </c>
      <c r="T673" s="769" t="str">
        <f>IF(OR($F673="",$P673="支払なし",$R673=0,$Q673=""),"",$Q673&amp;"|L|"&amp;(COUNTIF(T$4:T672,$Q673&amp;"|L|*")+1))</f>
        <v/>
      </c>
      <c r="U673" s="769">
        <f>IF(OR($F673="",$A673=""),"",MOD(MONTH($A673)-4,12)+1)</f>
        <v>12</v>
      </c>
    </row>
    <row r="674" ht="16.5" customFormat="1" customHeight="1" s="422">
      <c r="A674" s="760" t="n">
        <v>44637</v>
      </c>
      <c r="B674" s="761" t="n"/>
      <c r="C674" s="762" t="inlineStr">
        <is>
          <t>厚生費</t>
        </is>
      </c>
      <c r="D674" s="762" t="inlineStr">
        <is>
          <t>健康診断費</t>
        </is>
      </c>
      <c r="E674" s="770" t="inlineStr">
        <is>
          <t>健康診断費（節目健診：非該当検査項目費用以外・高橋）</t>
        </is>
      </c>
      <c r="F674" s="772" t="n">
        <v>20476</v>
      </c>
      <c r="G674" s="772" t="n">
        <v>2</v>
      </c>
      <c r="H674" s="765">
        <f>IF(G674=1,F674-I674-J674-K674,IF(G674=2,F674,0))</f>
        <v>20476</v>
      </c>
      <c r="I674" s="765">
        <f>ROUND(IF(G674=1,F674*10/23,IF(G674=3,F674-J674-K674,IF(G674=4,F674,IF(G674=5,F674*10/11,IF(G674=7,F674*10/11,0))))),0)</f>
        <v>0</v>
      </c>
      <c r="J674" s="765">
        <f>ROUND(IF(G674=1,F674/23,IF(G674=3,F674/12,IF(G674=5,F674-I674,IF(G674=8,F674,0)))),0)</f>
        <v>0</v>
      </c>
      <c r="K674" s="766">
        <f>ROUND(IF(G674=1,F674/23,IF(G674=3,F674/12,IF(G674=6,F674,IF(G674=7,F674-I674,0)))),0)</f>
        <v>0</v>
      </c>
      <c r="L674" s="767">
        <f>IF(G674=6,F674,0)</f>
        <v>0</v>
      </c>
      <c r="M674" s="421">
        <f>IF(F674="",0,MONTH(A674))</f>
        <v>3</v>
      </c>
      <c r="P674" s="768" t="inlineStr">
        <is>
          <t>昨年実績</t>
        </is>
      </c>
      <c r="Q674" s="769" t="str">
        <f>IF($F674="","",IFERROR(VLOOKUP($C674&amp;"|"&amp;$D674,科目表!$A$5:$B$200,2,FALSE),"※未登録"))</f>
        <v>厚生費</v>
      </c>
      <c r="R674" s="769">
        <f>IF($F674="","",$I674+$J674+$K674)</f>
        <v>0</v>
      </c>
      <c r="S674" s="769" t="str">
        <f>IF(OR($F674="",$P674="支払なし",$H674=0,$Q674=""),"",$Q674&amp;"|S|"&amp;(COUNTIF(S$4:S673,$Q674&amp;"|S|*")+1))</f>
        <v>厚生費|S|5</v>
      </c>
      <c r="T674" s="769" t="str">
        <f>IF(OR($F674="",$P674="支払なし",$R674=0,$Q674=""),"",$Q674&amp;"|L|"&amp;(COUNTIF(T$4:T673,$Q674&amp;"|L|*")+1))</f>
        <v/>
      </c>
      <c r="U674" s="769">
        <f>IF(OR($F674="",$A674=""),"",MOD(MONTH($A674)-4,12)+1)</f>
        <v>12</v>
      </c>
    </row>
    <row r="675" ht="16.5" customFormat="1" customHeight="1" s="43">
      <c r="A675" s="760" t="n">
        <v>46100</v>
      </c>
      <c r="B675" s="761" t="n"/>
      <c r="C675" s="762" t="inlineStr">
        <is>
          <t>職員給与</t>
        </is>
      </c>
      <c r="D675" s="762" t="inlineStr">
        <is>
          <t>非常勤職員手当</t>
        </is>
      </c>
      <c r="E675" s="762" t="inlineStr">
        <is>
          <t>３月分給与（長期分）</t>
        </is>
      </c>
      <c r="F675" s="764" t="n">
        <v>395611</v>
      </c>
      <c r="G675" s="772" t="n">
        <v>3</v>
      </c>
      <c r="H675" s="765">
        <f>IF(G675=1,F675-I675-J675-K675,IF(G675=2,F675,0))</f>
        <v>0</v>
      </c>
      <c r="I675" s="765">
        <f>ROUND(IF(G675=1,F675*10/23,IF(G675=3,F675-J675-K675,IF(G675=4,F675,IF(G675=5,F675*10/11,IF(G675=7,F675*10/11,0))))),0)</f>
        <v>329675</v>
      </c>
      <c r="J675" s="765">
        <f>ROUND(IF(G675=1,F675/23,IF(G675=3,F675/12,IF(G675=5,F675-I675,IF(G675=8,F675,0)))),0)</f>
        <v>32968</v>
      </c>
      <c r="K675" s="766">
        <f>ROUND(IF(G675=1,F675/23,IF(G675=3,F675/12,IF(G675=6,F675,IF(G675=7,F675-I675,0)))),0)</f>
        <v>32968</v>
      </c>
      <c r="L675" s="767">
        <f>IF(G675=6,F675,0)</f>
        <v>0</v>
      </c>
      <c r="M675" s="572">
        <f>IF(F675="",0,MONTH(A675))</f>
        <v>3</v>
      </c>
      <c r="P675" s="768" t="inlineStr">
        <is>
          <t>昨年実績</t>
        </is>
      </c>
      <c r="Q675" s="769" t="str">
        <f>IF($F675="","",IFERROR(VLOOKUP($C675&amp;"|"&amp;$D675,科目表!$A$5:$B$200,2,FALSE),"※未登録"))</f>
        <v>非常勤職員手当</v>
      </c>
      <c r="R675" s="769">
        <f>IF($F675="","",$I675+$J675+$K675)</f>
        <v>395611</v>
      </c>
      <c r="S675" s="769" t="str">
        <f>IF(OR($F675="",$P675="支払なし",$H675=0,$Q675=""),"",$Q675&amp;"|S|"&amp;(COUNTIF(S$4:S674,$Q675&amp;"|S|*")+1))</f>
        <v/>
      </c>
      <c r="T675" s="769" t="str">
        <f>IF(OR($F675="",$P675="支払なし",$R675=0,$Q675=""),"",$Q675&amp;"|L|"&amp;(COUNTIF(T$4:T674,$Q675&amp;"|L|*")+1))</f>
        <v>非常勤職員手当|L|20</v>
      </c>
      <c r="U675" s="769">
        <f>IF(OR($F675="",$A675=""),"",MOD(MONTH($A675)-4,12)+1)</f>
        <v>12</v>
      </c>
    </row>
    <row r="676" ht="16.5" customFormat="1" customHeight="1" s="43">
      <c r="A676" s="760" t="n">
        <v>46100</v>
      </c>
      <c r="B676" s="761" t="n"/>
      <c r="C676" s="762" t="inlineStr">
        <is>
          <t>職員給与</t>
        </is>
      </c>
      <c r="D676" s="762" t="inlineStr">
        <is>
          <t>非常勤職員手当</t>
        </is>
      </c>
      <c r="E676" s="762" t="inlineStr">
        <is>
          <t>３月分給与（短期分）</t>
        </is>
      </c>
      <c r="F676" s="764" t="n">
        <v>234370</v>
      </c>
      <c r="G676" s="772" t="n">
        <v>2</v>
      </c>
      <c r="H676" s="765">
        <f>IF(G676=1,F676-I676-J676-K676,IF(G676=2,F676,0))</f>
        <v>234370</v>
      </c>
      <c r="I676" s="765">
        <f>ROUND(IF(G676=1,F676*10/23,IF(G676=3,F676-J676-K676,IF(G676=4,F676,IF(G676=5,F676*10/11,IF(G676=7,F676*10/11,0))))),0)</f>
        <v>0</v>
      </c>
      <c r="J676" s="765">
        <f>ROUND(IF(G676=1,F676/23,IF(G676=3,F676/12,IF(G676=5,F676-I676,IF(G676=8,F676,0)))),0)</f>
        <v>0</v>
      </c>
      <c r="K676" s="766">
        <f>ROUND(IF(G676=1,F676/23,IF(G676=3,F676/12,IF(G676=6,F676,IF(G676=7,F676-I676,0)))),0)</f>
        <v>0</v>
      </c>
      <c r="L676" s="767">
        <f>IF(G676=6,F676,0)</f>
        <v>0</v>
      </c>
      <c r="M676" s="572">
        <f>IF(F676="",0,MONTH(A676))</f>
        <v>3</v>
      </c>
      <c r="P676" s="768" t="inlineStr">
        <is>
          <t>昨年実績</t>
        </is>
      </c>
      <c r="Q676" s="769" t="str">
        <f>IF($F676="","",IFERROR(VLOOKUP($C676&amp;"|"&amp;$D676,科目表!$A$5:$B$200,2,FALSE),"※未登録"))</f>
        <v>非常勤職員手当</v>
      </c>
      <c r="R676" s="769">
        <f>IF($F676="","",$I676+$J676+$K676)</f>
        <v>0</v>
      </c>
      <c r="S676" s="769" t="str">
        <f>IF(OR($F676="",$P676="支払なし",$H676=0,$Q676=""),"",$Q676&amp;"|S|"&amp;(COUNTIF(S$4:S675,$Q676&amp;"|S|*")+1))</f>
        <v>非常勤職員手当|S|15</v>
      </c>
      <c r="T676" s="769" t="str">
        <f>IF(OR($F676="",$P676="支払なし",$R676=0,$Q676=""),"",$Q676&amp;"|L|"&amp;(COUNTIF(T$4:T675,$Q676&amp;"|L|*")+1))</f>
        <v/>
      </c>
      <c r="U676" s="769">
        <f>IF(OR($F676="",$A676=""),"",MOD(MONTH($A676)-4,12)+1)</f>
        <v>12</v>
      </c>
    </row>
    <row r="677" ht="16.5" customFormat="1" customHeight="1" s="43">
      <c r="A677" s="760" t="n">
        <v>46100</v>
      </c>
      <c r="B677" s="761" t="n"/>
      <c r="C677" s="762" t="inlineStr">
        <is>
          <t>負担金</t>
        </is>
      </c>
      <c r="D677" s="762" t="inlineStr">
        <is>
          <t>互助会費</t>
        </is>
      </c>
      <c r="E677" s="762" t="inlineStr">
        <is>
          <t>助成金（３月長期分）</t>
        </is>
      </c>
      <c r="F677" s="764" t="n">
        <v>554</v>
      </c>
      <c r="G677" s="764" t="n">
        <v>3</v>
      </c>
      <c r="H677" s="765">
        <f>IF(G677=1,F677-I677-J677-K677,IF(G677=2,F677,0))</f>
        <v>0</v>
      </c>
      <c r="I677" s="765">
        <f>ROUND(IF(G677=1,F677*10/23,IF(G677=3,F677-J677-K677,IF(G677=4,F677,IF(G677=5,F677*10/11,IF(G677=7,F677*10/11,0))))),0)</f>
        <v>462</v>
      </c>
      <c r="J677" s="765">
        <f>ROUND(IF(G677=1,F677/23,IF(G677=3,F677/12,IF(G677=5,F677-I677,IF(G677=8,F677,0)))),0)</f>
        <v>46</v>
      </c>
      <c r="K677" s="766">
        <f>ROUND(IF(G677=1,F677/23,IF(G677=3,F677/12,IF(G677=6,F677,IF(G677=7,F677-I677,0)))),0)</f>
        <v>46</v>
      </c>
      <c r="L677" s="767">
        <f>IF(G677=6,F677,0)</f>
        <v>0</v>
      </c>
      <c r="M677" s="572">
        <f>IF(F677="",0,MONTH(A677))</f>
        <v>3</v>
      </c>
      <c r="P677" s="768" t="inlineStr">
        <is>
          <t>昨年実績</t>
        </is>
      </c>
      <c r="Q677" s="769" t="str">
        <f>IF($F677="","",IFERROR(VLOOKUP($C677&amp;"|"&amp;$D677,科目表!$A$5:$B$200,2,FALSE),"※未登録"))</f>
        <v>互助会費</v>
      </c>
      <c r="R677" s="769">
        <f>IF($F677="","",$I677+$J677+$K677)</f>
        <v>554</v>
      </c>
      <c r="S677" s="769" t="str">
        <f>IF(OR($F677="",$P677="支払なし",$H677=0,$Q677=""),"",$Q677&amp;"|S|"&amp;(COUNTIF(S$4:S676,$Q677&amp;"|S|*")+1))</f>
        <v/>
      </c>
      <c r="T677" s="769" t="str">
        <f>IF(OR($F677="",$P677="支払なし",$R677=0,$Q677=""),"",$Q677&amp;"|L|"&amp;(COUNTIF(T$4:T676,$Q677&amp;"|L|*")+1))</f>
        <v>互助会費|L|14</v>
      </c>
      <c r="U677" s="769">
        <f>IF(OR($F677="",$A677=""),"",MOD(MONTH($A677)-4,12)+1)</f>
        <v>12</v>
      </c>
    </row>
    <row r="678" ht="16.5" customFormat="1" customHeight="1" s="43">
      <c r="A678" s="760" t="n">
        <v>46100</v>
      </c>
      <c r="B678" s="761" t="n"/>
      <c r="C678" s="762" t="inlineStr">
        <is>
          <t>負担金</t>
        </is>
      </c>
      <c r="D678" s="762" t="inlineStr">
        <is>
          <t>互助会費</t>
        </is>
      </c>
      <c r="E678" s="762" t="inlineStr">
        <is>
          <t>助成金（３月短期分）</t>
        </is>
      </c>
      <c r="F678" s="764" t="n">
        <v>284</v>
      </c>
      <c r="G678" s="764" t="n">
        <v>2</v>
      </c>
      <c r="H678" s="765">
        <f>IF(G678=1,F678-I678-J678-K678,IF(G678=2,F678,0))</f>
        <v>284</v>
      </c>
      <c r="I678" s="765">
        <f>ROUND(IF(G678=1,F678*10/23,IF(G678=3,F678-J678-K678,IF(G678=4,F678,IF(G678=5,F678*10/11,IF(G678=7,F678*10/11,0))))),0)</f>
        <v>0</v>
      </c>
      <c r="J678" s="765">
        <f>ROUND(IF(G678=1,F678/23,IF(G678=3,F678/12,IF(G678=5,F678-I678,IF(G678=8,F678,0)))),0)</f>
        <v>0</v>
      </c>
      <c r="K678" s="766">
        <f>ROUND(IF(G678=1,F678/23,IF(G678=3,F678/12,IF(G678=6,F678,IF(G678=7,F678-I678,0)))),0)</f>
        <v>0</v>
      </c>
      <c r="L678" s="767">
        <f>IF(G678=6,F678,0)</f>
        <v>0</v>
      </c>
      <c r="M678" s="572">
        <f>IF(F678="",0,MONTH(A678))</f>
        <v>3</v>
      </c>
      <c r="P678" s="768" t="inlineStr">
        <is>
          <t>昨年実績</t>
        </is>
      </c>
      <c r="Q678" s="769" t="str">
        <f>IF($F678="","",IFERROR(VLOOKUP($C678&amp;"|"&amp;$D678,科目表!$A$5:$B$200,2,FALSE),"※未登録"))</f>
        <v>互助会費</v>
      </c>
      <c r="R678" s="769">
        <f>IF($F678="","",$I678+$J678+$K678)</f>
        <v>0</v>
      </c>
      <c r="S678" s="769" t="str">
        <f>IF(OR($F678="",$P678="支払なし",$H678=0,$Q678=""),"",$Q678&amp;"|S|"&amp;(COUNTIF(S$4:S677,$Q678&amp;"|S|*")+1))</f>
        <v>互助会費|S|13</v>
      </c>
      <c r="T678" s="769" t="str">
        <f>IF(OR($F678="",$P678="支払なし",$R678=0,$Q678=""),"",$Q678&amp;"|L|"&amp;(COUNTIF(T$4:T677,$Q678&amp;"|L|*")+1))</f>
        <v/>
      </c>
      <c r="U678" s="769">
        <f>IF(OR($F678="",$A678=""),"",MOD(MONTH($A678)-4,12)+1)</f>
        <v>12</v>
      </c>
    </row>
    <row r="679" ht="16.5" customFormat="1" customHeight="1" s="422">
      <c r="A679" s="760" t="n">
        <v>46108</v>
      </c>
      <c r="B679" s="761" t="n"/>
      <c r="C679" s="762" t="inlineStr">
        <is>
          <t>事務費</t>
        </is>
      </c>
      <c r="D679" s="762" t="inlineStr">
        <is>
          <t>通信運搬費</t>
        </is>
      </c>
      <c r="E679" s="762" t="inlineStr">
        <is>
          <t>料金後納利用料（２月分）長期</t>
        </is>
      </c>
      <c r="F679" s="772" t="n">
        <v>559717</v>
      </c>
      <c r="G679" s="772" t="n">
        <v>3</v>
      </c>
      <c r="H679" s="765">
        <f>IF(G679=1,F679-I679-J679-K679,IF(G679=2,F679,0))</f>
        <v>0</v>
      </c>
      <c r="I679" s="765">
        <f>ROUND(IF(G679=1,F679*10/23,IF(G679=3,F679-J679-K679,IF(G679=4,F679,IF(G679=5,F679*10/11,IF(G679=7,F679*10/11,0))))),0)</f>
        <v>466431</v>
      </c>
      <c r="J679" s="765">
        <f>ROUND(IF(G679=1,F679/23,IF(G679=3,F679/12,IF(G679=5,F679-I679,IF(G679=8,F679,0)))),0)</f>
        <v>46643</v>
      </c>
      <c r="K679" s="766">
        <f>ROUND(IF(G679=1,F679/23,IF(G679=3,F679/12,IF(G679=6,F679,IF(G679=7,F679-I679,0)))),0)</f>
        <v>46643</v>
      </c>
      <c r="L679" s="767">
        <f>IF(G679=6,F679,0)</f>
        <v>0</v>
      </c>
      <c r="M679" s="572">
        <f>IF(F679="",0,MONTH(A679))</f>
        <v>3</v>
      </c>
      <c r="P679" s="768" t="inlineStr">
        <is>
          <t>昨年実績</t>
        </is>
      </c>
      <c r="Q679" s="769" t="str">
        <f>IF($F679="","",IFERROR(VLOOKUP($C679&amp;"|"&amp;$D679,科目表!$A$5:$B$200,2,FALSE),"※未登録"))</f>
        <v>通信運搬費</v>
      </c>
      <c r="R679" s="769">
        <f>IF($F679="","",$I679+$J679+$K679)</f>
        <v>559717</v>
      </c>
      <c r="S679" s="769" t="str">
        <f>IF(OR($F679="",$P679="支払なし",$H679=0,$Q679=""),"",$Q679&amp;"|S|"&amp;(COUNTIF(S$4:S678,$Q679&amp;"|S|*")+1))</f>
        <v/>
      </c>
      <c r="T679" s="769" t="str">
        <f>IF(OR($F679="",$P679="支払なし",$R679=0,$Q679=""),"",$Q679&amp;"|L|"&amp;(COUNTIF(T$4:T678,$Q679&amp;"|L|*")+1))</f>
        <v>通信運搬費|L|27</v>
      </c>
      <c r="U679" s="769">
        <f>IF(OR($F679="",$A679=""),"",MOD(MONTH($A679)-4,12)+1)</f>
        <v>12</v>
      </c>
    </row>
    <row r="680" ht="16.5" customFormat="1" customHeight="1" s="422">
      <c r="A680" s="760" t="n">
        <v>46108</v>
      </c>
      <c r="B680" s="761" t="n"/>
      <c r="C680" s="762" t="inlineStr">
        <is>
          <t>事務費</t>
        </is>
      </c>
      <c r="D680" s="762" t="inlineStr">
        <is>
          <t>通信運搬費</t>
        </is>
      </c>
      <c r="E680" s="762" t="inlineStr">
        <is>
          <t>料金後納利用料（２月分）短期</t>
        </is>
      </c>
      <c r="F680" s="772" t="n">
        <v>15960</v>
      </c>
      <c r="G680" s="772" t="n">
        <v>2</v>
      </c>
      <c r="H680" s="765">
        <f>IF(G680=1,F680-I680-J680-K680,IF(G680=2,F680,0))</f>
        <v>15960</v>
      </c>
      <c r="I680" s="765">
        <f>ROUND(IF(G680=1,F680*10/23,IF(G680=3,F680-J680-K680,IF(G680=4,F680,IF(G680=5,F680*10/11,IF(G680=7,F680*10/11,0))))),0)</f>
        <v>0</v>
      </c>
      <c r="J680" s="765">
        <f>ROUND(IF(G680=1,F680/23,IF(G680=3,F680/12,IF(G680=5,F680-I680,IF(G680=8,F680,0)))),0)</f>
        <v>0</v>
      </c>
      <c r="K680" s="766">
        <f>ROUND(IF(G680=1,F680/23,IF(G680=3,F680/12,IF(G680=6,F680,IF(G680=7,F680-I680,0)))),0)</f>
        <v>0</v>
      </c>
      <c r="L680" s="767">
        <f>IF(G680=6,F680,0)</f>
        <v>0</v>
      </c>
      <c r="M680" s="572">
        <f>IF(F680="",0,MONTH(A680))</f>
        <v>3</v>
      </c>
      <c r="P680" s="768" t="inlineStr">
        <is>
          <t>昨年実績</t>
        </is>
      </c>
      <c r="Q680" s="769" t="str">
        <f>IF($F680="","",IFERROR(VLOOKUP($C680&amp;"|"&amp;$D680,科目表!$A$5:$B$200,2,FALSE),"※未登録"))</f>
        <v>通信運搬費</v>
      </c>
      <c r="R680" s="769">
        <f>IF($F680="","",$I680+$J680+$K680)</f>
        <v>0</v>
      </c>
      <c r="S680" s="769" t="str">
        <f>IF(OR($F680="",$P680="支払なし",$H680=0,$Q680=""),"",$Q680&amp;"|S|"&amp;(COUNTIF(S$4:S679,$Q680&amp;"|S|*")+1))</f>
        <v>通信運搬費|S|70</v>
      </c>
      <c r="T680" s="769" t="str">
        <f>IF(OR($F680="",$P680="支払なし",$R680=0,$Q680=""),"",$Q680&amp;"|L|"&amp;(COUNTIF(T$4:T679,$Q680&amp;"|L|*")+1))</f>
        <v/>
      </c>
      <c r="U680" s="769">
        <f>IF(OR($F680="",$A680=""),"",MOD(MONTH($A680)-4,12)+1)</f>
        <v>12</v>
      </c>
    </row>
    <row r="681" ht="16.5" customFormat="1" customHeight="1" s="422">
      <c r="A681" s="760" t="n">
        <v>44277</v>
      </c>
      <c r="B681" s="761" t="n"/>
      <c r="C681" s="762" t="inlineStr">
        <is>
          <t>事務費</t>
        </is>
      </c>
      <c r="D681" s="762" t="inlineStr">
        <is>
          <t>通信運搬費</t>
        </is>
      </c>
      <c r="E681" s="762" t="inlineStr">
        <is>
          <t>電話料金（２月使用・３月請求分）</t>
        </is>
      </c>
      <c r="F681" s="764" t="n">
        <v>5407</v>
      </c>
      <c r="G681" s="764" t="n">
        <v>2</v>
      </c>
      <c r="H681" s="765">
        <f>IF(G681=1,F681-I681-J681-K681,IF(G681=2,F681,0))</f>
        <v>5407</v>
      </c>
      <c r="I681" s="765">
        <f>ROUND(IF(G681=1,F681*10/23,IF(G681=3,F681-J681-K681,IF(G681=4,F681,IF(G681=5,F681*10/11,IF(G681=7,F681*10/11,0))))),0)</f>
        <v>0</v>
      </c>
      <c r="J681" s="765">
        <f>ROUND(IF(G681=1,F681/23,IF(G681=3,F681/12,IF(G681=5,F681-I681,IF(G681=8,F681,0)))),0)</f>
        <v>0</v>
      </c>
      <c r="K681" s="766">
        <f>ROUND(IF(G681=1,F681/23,IF(G681=3,F681/12,IF(G681=6,F681,IF(G681=7,F681-I681,0)))),0)</f>
        <v>0</v>
      </c>
      <c r="L681" s="767">
        <f>IF(G681=6,F681,0)</f>
        <v>0</v>
      </c>
      <c r="M681" s="421">
        <f>IF(F681="",0,MONTH(A681))</f>
        <v>3</v>
      </c>
      <c r="P681" s="768" t="inlineStr">
        <is>
          <t>昨年実績</t>
        </is>
      </c>
      <c r="Q681" s="769" t="str">
        <f>IF($F681="","",IFERROR(VLOOKUP($C681&amp;"|"&amp;$D681,科目表!$A$5:$B$200,2,FALSE),"※未登録"))</f>
        <v>通信運搬費</v>
      </c>
      <c r="R681" s="769">
        <f>IF($F681="","",$I681+$J681+$K681)</f>
        <v>0</v>
      </c>
      <c r="S681" s="769" t="str">
        <f>IF(OR($F681="",$P681="支払なし",$H681=0,$Q681=""),"",$Q681&amp;"|S|"&amp;(COUNTIF(S$4:S680,$Q681&amp;"|S|*")+1))</f>
        <v>通信運搬費|S|71</v>
      </c>
      <c r="T681" s="769" t="str">
        <f>IF(OR($F681="",$P681="支払なし",$R681=0,$Q681=""),"",$Q681&amp;"|L|"&amp;(COUNTIF(T$4:T680,$Q681&amp;"|L|*")+1))</f>
        <v/>
      </c>
      <c r="U681" s="769">
        <f>IF(OR($F681="",$A681=""),"",MOD(MONTH($A681)-4,12)+1)</f>
        <v>12</v>
      </c>
    </row>
    <row r="682" ht="16.5" customFormat="1" customHeight="1" s="422">
      <c r="A682" s="760" t="n">
        <v>44985</v>
      </c>
      <c r="B682" s="761" t="n"/>
      <c r="C682" s="762" t="inlineStr">
        <is>
          <t>厚生費</t>
        </is>
      </c>
      <c r="D682" s="762" t="inlineStr">
        <is>
          <t>健康診断費</t>
        </is>
      </c>
      <c r="E682" s="796" t="inlineStr">
        <is>
          <t>定期健康診断等（天畠、高橋）</t>
        </is>
      </c>
      <c r="F682" s="786" t="n">
        <v>4675</v>
      </c>
      <c r="G682" s="772" t="n">
        <v>2</v>
      </c>
      <c r="H682" s="765">
        <f>IF(G682=1,F682-I682-J682-K682,IF(G682=2,F682,0))</f>
        <v>4675</v>
      </c>
      <c r="I682" s="765">
        <f>ROUND(IF(G682=1,F682*10/23,IF(G682=3,F682-J682-K682,IF(G682=4,F682,IF(G682=5,F682*10/11,IF(G682=7,F682*10/11,0))))),0)</f>
        <v>0</v>
      </c>
      <c r="J682" s="765">
        <f>ROUND(IF(G682=1,F682/23,IF(G682=3,F682/12,IF(G682=5,F682-I682,IF(G682=8,F682,0)))),0)</f>
        <v>0</v>
      </c>
      <c r="K682" s="766">
        <f>ROUND(IF(G682=1,F682/23,IF(G682=3,F682/12,IF(G682=6,F682,IF(G682=7,F682-I682,0)))),0)</f>
        <v>0</v>
      </c>
      <c r="L682" s="767">
        <f>IF(G682=6,F682,0)</f>
        <v>0</v>
      </c>
      <c r="M682" s="421">
        <f>IF(F682="",0,MONTH(A682))</f>
        <v>2</v>
      </c>
      <c r="P682" s="768" t="inlineStr">
        <is>
          <t>昨年実績</t>
        </is>
      </c>
      <c r="Q682" s="769" t="str">
        <f>IF($F682="","",IFERROR(VLOOKUP($C682&amp;"|"&amp;$D682,科目表!$A$5:$B$200,2,FALSE),"※未登録"))</f>
        <v>厚生費</v>
      </c>
      <c r="R682" s="769">
        <f>IF($F682="","",$I682+$J682+$K682)</f>
        <v>0</v>
      </c>
      <c r="S682" s="769" t="str">
        <f>IF(OR($F682="",$P682="支払なし",$H682=0,$Q682=""),"",$Q682&amp;"|S|"&amp;(COUNTIF(S$4:S681,$Q682&amp;"|S|*")+1))</f>
        <v>厚生費|S|6</v>
      </c>
      <c r="T682" s="769" t="str">
        <f>IF(OR($F682="",$P682="支払なし",$R682=0,$Q682=""),"",$Q682&amp;"|L|"&amp;(COUNTIF(T$4:T681,$Q682&amp;"|L|*")+1))</f>
        <v/>
      </c>
      <c r="U682" s="769">
        <f>IF(OR($F682="",$A682=""),"",MOD(MONTH($A682)-4,12)+1)</f>
        <v>11</v>
      </c>
    </row>
    <row r="683" ht="16.5" customFormat="1" customHeight="1" s="422">
      <c r="A683" s="760" t="n">
        <v>44985</v>
      </c>
      <c r="B683" s="761" t="n"/>
      <c r="C683" s="762" t="inlineStr">
        <is>
          <t>厚生費</t>
        </is>
      </c>
      <c r="D683" s="762" t="inlineStr">
        <is>
          <t>健康診断費</t>
        </is>
      </c>
      <c r="E683" s="796" t="inlineStr">
        <is>
          <t>情報機器作業従事員健康診断（上久保、佐々木）</t>
        </is>
      </c>
      <c r="F683" s="805" t="n">
        <v>3630</v>
      </c>
      <c r="G683" s="772" t="n">
        <v>3</v>
      </c>
      <c r="H683" s="765">
        <f>IF(G683=1,F683-I683-J683-K683,IF(G683=2,F683,0))</f>
        <v>0</v>
      </c>
      <c r="I683" s="765">
        <f>ROUND(IF(G683=1,F683*10/23,IF(G683=3,F683-J683-K683,IF(G683=4,F683,IF(G683=5,F683*10/11,IF(G683=7,F683*10/11,0))))),0)</f>
        <v>3024</v>
      </c>
      <c r="J683" s="765">
        <f>ROUND(IF(G683=1,F683/23,IF(G683=3,F683/12,IF(G683=5,F683-I683,IF(G683=8,F683,0)))),0)</f>
        <v>303</v>
      </c>
      <c r="K683" s="766">
        <f>ROUND(IF(G683=1,F683/23,IF(G683=3,F683/12,IF(G683=6,F683,IF(G683=7,F683-I683,0)))),0)</f>
        <v>303</v>
      </c>
      <c r="L683" s="767">
        <f>IF(G683=6,F683,0)</f>
        <v>0</v>
      </c>
      <c r="M683" s="421">
        <f>IF(F683="",0,MONTH(A683))</f>
        <v>2</v>
      </c>
      <c r="P683" s="768" t="inlineStr">
        <is>
          <t>昨年実績</t>
        </is>
      </c>
      <c r="Q683" s="769" t="str">
        <f>IF($F683="","",IFERROR(VLOOKUP($C683&amp;"|"&amp;$D683,科目表!$A$5:$B$200,2,FALSE),"※未登録"))</f>
        <v>厚生費</v>
      </c>
      <c r="R683" s="769">
        <f>IF($F683="","",$I683+$J683+$K683)</f>
        <v>3630</v>
      </c>
      <c r="S683" s="769" t="str">
        <f>IF(OR($F683="",$P683="支払なし",$H683=0,$Q683=""),"",$Q683&amp;"|S|"&amp;(COUNTIF(S$4:S682,$Q683&amp;"|S|*")+1))</f>
        <v/>
      </c>
      <c r="T683" s="769" t="str">
        <f>IF(OR($F683="",$P683="支払なし",$R683=0,$Q683=""),"",$Q683&amp;"|L|"&amp;(COUNTIF(T$4:T682,$Q683&amp;"|L|*")+1))</f>
        <v>厚生費|L|6</v>
      </c>
      <c r="U683" s="769">
        <f>IF(OR($F683="",$A683=""),"",MOD(MONTH($A683)-4,12)+1)</f>
        <v>11</v>
      </c>
    </row>
    <row r="684" ht="16.5" customFormat="1" customHeight="1" s="422">
      <c r="A684" s="760" t="n">
        <v>44274</v>
      </c>
      <c r="B684" s="761" t="n"/>
      <c r="C684" s="762" t="inlineStr">
        <is>
          <t>職員給与</t>
        </is>
      </c>
      <c r="D684" s="762" t="inlineStr">
        <is>
          <t>非常勤職員手当</t>
        </is>
      </c>
      <c r="E684" s="762" t="inlineStr">
        <is>
          <t>３月分給与（長期分）</t>
        </is>
      </c>
      <c r="F684" s="764" t="n">
        <v>340401</v>
      </c>
      <c r="G684" s="772" t="n">
        <v>3</v>
      </c>
      <c r="H684" s="765">
        <f>IF(G684=1,F684-I684-J684-K684,IF(G684=2,F684,0))</f>
        <v>0</v>
      </c>
      <c r="I684" s="765">
        <f>ROUND(IF(G684=1,F684*10/23,IF(G684=3,F684-J684-K684,IF(G684=4,F684,IF(G684=5,F684*10/11,IF(G684=7,F684*10/11,0))))),0)</f>
        <v>283667</v>
      </c>
      <c r="J684" s="765">
        <f>ROUND(IF(G684=1,F684/23,IF(G684=3,F684/12,IF(G684=5,F684-I684,IF(G684=8,F684,0)))),0)</f>
        <v>28367</v>
      </c>
      <c r="K684" s="766">
        <f>ROUND(IF(G684=1,F684/23,IF(G684=3,F684/12,IF(G684=6,F684,IF(G684=7,F684-I684,0)))),0)</f>
        <v>28367</v>
      </c>
      <c r="L684" s="767">
        <f>IF(G684=6,F684,0)</f>
        <v>0</v>
      </c>
      <c r="M684" s="421">
        <f>IF(F684="",0,MONTH(A684))</f>
        <v>3</v>
      </c>
      <c r="P684" s="768" t="inlineStr">
        <is>
          <t>昨年実績</t>
        </is>
      </c>
      <c r="Q684" s="769" t="str">
        <f>IF($F684="","",IFERROR(VLOOKUP($C684&amp;"|"&amp;$D684,科目表!$A$5:$B$200,2,FALSE),"※未登録"))</f>
        <v>非常勤職員手当</v>
      </c>
      <c r="R684" s="769">
        <f>IF($F684="","",$I684+$J684+$K684)</f>
        <v>340401</v>
      </c>
      <c r="S684" s="769" t="str">
        <f>IF(OR($F684="",$P684="支払なし",$H684=0,$Q684=""),"",$Q684&amp;"|S|"&amp;(COUNTIF(S$4:S683,$Q684&amp;"|S|*")+1))</f>
        <v/>
      </c>
      <c r="T684" s="769" t="str">
        <f>IF(OR($F684="",$P684="支払なし",$R684=0,$Q684=""),"",$Q684&amp;"|L|"&amp;(COUNTIF(T$4:T683,$Q684&amp;"|L|*")+1))</f>
        <v>非常勤職員手当|L|21</v>
      </c>
      <c r="U684" s="769">
        <f>IF(OR($F684="",$A684=""),"",MOD(MONTH($A684)-4,12)+1)</f>
        <v>12</v>
      </c>
    </row>
    <row r="685" ht="16.5" customFormat="1" customHeight="1" s="422">
      <c r="A685" s="760" t="n">
        <v>44274</v>
      </c>
      <c r="B685" s="761" t="n"/>
      <c r="C685" s="762" t="inlineStr">
        <is>
          <t>負担金</t>
        </is>
      </c>
      <c r="D685" s="762" t="inlineStr">
        <is>
          <t>互助会費</t>
        </is>
      </c>
      <c r="E685" s="762" t="inlineStr">
        <is>
          <t>助成金（３月長期分）</t>
        </is>
      </c>
      <c r="F685" s="764" t="n">
        <v>476</v>
      </c>
      <c r="G685" s="764" t="n">
        <v>3</v>
      </c>
      <c r="H685" s="765">
        <f>IF(G685=1,F685-I685-J685-K685,IF(G685=2,F685,0))</f>
        <v>0</v>
      </c>
      <c r="I685" s="765">
        <f>ROUND(IF(G685=1,F685*10/23,IF(G685=3,F685-J685-K685,IF(G685=4,F685,IF(G685=5,F685*10/11,IF(G685=7,F685*10/11,0))))),0)</f>
        <v>396</v>
      </c>
      <c r="J685" s="765">
        <f>ROUND(IF(G685=1,F685/23,IF(G685=3,F685/12,IF(G685=5,F685-I685,IF(G685=8,F685,0)))),0)</f>
        <v>40</v>
      </c>
      <c r="K685" s="766">
        <f>ROUND(IF(G685=1,F685/23,IF(G685=3,F685/12,IF(G685=6,F685,IF(G685=7,F685-I685,0)))),0)</f>
        <v>40</v>
      </c>
      <c r="L685" s="767">
        <f>IF(G685=6,F685,0)</f>
        <v>0</v>
      </c>
      <c r="M685" s="421">
        <f>IF(F685="",0,MONTH(A685))</f>
        <v>3</v>
      </c>
      <c r="P685" s="768" t="inlineStr">
        <is>
          <t>昨年実績</t>
        </is>
      </c>
      <c r="Q685" s="769" t="str">
        <f>IF($F685="","",IFERROR(VLOOKUP($C685&amp;"|"&amp;$D685,科目表!$A$5:$B$200,2,FALSE),"※未登録"))</f>
        <v>互助会費</v>
      </c>
      <c r="R685" s="769">
        <f>IF($F685="","",$I685+$J685+$K685)</f>
        <v>476</v>
      </c>
      <c r="S685" s="769" t="str">
        <f>IF(OR($F685="",$P685="支払なし",$H685=0,$Q685=""),"",$Q685&amp;"|S|"&amp;(COUNTIF(S$4:S684,$Q685&amp;"|S|*")+1))</f>
        <v/>
      </c>
      <c r="T685" s="769" t="str">
        <f>IF(OR($F685="",$P685="支払なし",$R685=0,$Q685=""),"",$Q685&amp;"|L|"&amp;(COUNTIF(T$4:T684,$Q685&amp;"|L|*")+1))</f>
        <v>互助会費|L|15</v>
      </c>
      <c r="U685" s="769">
        <f>IF(OR($F685="",$A685=""),"",MOD(MONTH($A685)-4,12)+1)</f>
        <v>12</v>
      </c>
    </row>
    <row r="686" ht="16.5" customFormat="1" customHeight="1" s="43">
      <c r="A686" s="760" t="n">
        <v>46112</v>
      </c>
      <c r="B686" s="761" t="n"/>
      <c r="C686" s="762" t="inlineStr">
        <is>
          <t>事務費</t>
        </is>
      </c>
      <c r="D686" s="762" t="inlineStr">
        <is>
          <t>通信運搬費</t>
        </is>
      </c>
      <c r="E686" s="777" t="inlineStr">
        <is>
          <t>インターネット通信料金（１・２月利用・３月請求分）</t>
        </is>
      </c>
      <c r="F686" s="772" t="n">
        <v>3663</v>
      </c>
      <c r="G686" s="772" t="n">
        <v>2</v>
      </c>
      <c r="H686" s="765">
        <f>IF(G686=1,F686-I686-J686-K686,IF(G686=2,F686,0))</f>
        <v>3663</v>
      </c>
      <c r="I686" s="765">
        <f>ROUND(IF(G686=1,F686*10/23,IF(G686=3,F686-J686-K686,IF(G686=4,F686,IF(G686=5,F686*10/11,IF(G686=7,F686*10/11,0))))),0)</f>
        <v>0</v>
      </c>
      <c r="J686" s="765">
        <f>ROUND(IF(G686=1,F686/23,IF(G686=3,F686/12,IF(G686=5,F686-I686,IF(G686=8,F686,0)))),0)</f>
        <v>0</v>
      </c>
      <c r="K686" s="766">
        <f>ROUND(IF(G686=1,F686/23,IF(G686=3,F686/12,IF(G686=6,F686,IF(G686=7,F686-I686,0)))),0)</f>
        <v>0</v>
      </c>
      <c r="L686" s="767">
        <f>IF(G686=6,F686,0)</f>
        <v>0</v>
      </c>
      <c r="M686" s="572">
        <f>IF(F686="",0,MONTH(A686))</f>
        <v>3</v>
      </c>
      <c r="P686" s="768" t="inlineStr">
        <is>
          <t>昨年実績</t>
        </is>
      </c>
      <c r="Q686" s="769" t="str">
        <f>IF($F686="","",IFERROR(VLOOKUP($C686&amp;"|"&amp;$D686,科目表!$A$5:$B$200,2,FALSE),"※未登録"))</f>
        <v>通信運搬費</v>
      </c>
      <c r="R686" s="769">
        <f>IF($F686="","",$I686+$J686+$K686)</f>
        <v>0</v>
      </c>
      <c r="S686" s="769" t="str">
        <f>IF(OR($F686="",$P686="支払なし",$H686=0,$Q686=""),"",$Q686&amp;"|S|"&amp;(COUNTIF(S$4:S685,$Q686&amp;"|S|*")+1))</f>
        <v>通信運搬費|S|72</v>
      </c>
      <c r="T686" s="769" t="str">
        <f>IF(OR($F686="",$P686="支払なし",$R686=0,$Q686=""),"",$Q686&amp;"|L|"&amp;(COUNTIF(T$4:T685,$Q686&amp;"|L|*")+1))</f>
        <v/>
      </c>
      <c r="U686" s="769">
        <f>IF(OR($F686="",$A686=""),"",MOD(MONTH($A686)-4,12)+1)</f>
        <v>12</v>
      </c>
    </row>
    <row r="687" ht="16.5" customFormat="1" customHeight="1" s="43">
      <c r="A687" s="760" t="n">
        <v>46112</v>
      </c>
      <c r="B687" s="761" t="n"/>
      <c r="C687" s="762" t="inlineStr">
        <is>
          <t>事務費</t>
        </is>
      </c>
      <c r="D687" s="762" t="inlineStr">
        <is>
          <t>図書印刷費</t>
        </is>
      </c>
      <c r="E687" s="770" t="inlineStr">
        <is>
          <t>厚生法規総覧追録　６０７６－６０８５号</t>
        </is>
      </c>
      <c r="F687" s="764" t="n">
        <v>33154</v>
      </c>
      <c r="G687" s="772" t="n">
        <v>2</v>
      </c>
      <c r="H687" s="765">
        <f>IF(G687=1,F687-I687-J687-K687,IF(G687=2,F687,0))</f>
        <v>33154</v>
      </c>
      <c r="I687" s="765">
        <f>ROUND(IF(G687=1,F687*10/23,IF(G687=3,F687-J687-K687,IF(G687=4,F687,IF(G687=5,F687*10/11,IF(G687=7,F687*10/11,0))))),0)</f>
        <v>0</v>
      </c>
      <c r="J687" s="765">
        <f>ROUND(IF(G687=1,F687/23,IF(G687=3,F687/12,IF(G687=5,F687-I687,IF(G687=8,F687,0)))),0)</f>
        <v>0</v>
      </c>
      <c r="K687" s="766">
        <f>ROUND(IF(G687=1,F687/23,IF(G687=3,F687/12,IF(G687=6,F687,IF(G687=7,F687-I687,0)))),0)</f>
        <v>0</v>
      </c>
      <c r="L687" s="767">
        <f>IF(G687=6,F687,0)</f>
        <v>0</v>
      </c>
      <c r="M687" s="572">
        <f>IF(F687="",0,MONTH(A687))</f>
        <v>3</v>
      </c>
      <c r="P687" s="768" t="inlineStr">
        <is>
          <t>昨年実績</t>
        </is>
      </c>
      <c r="Q687" s="769" t="str">
        <f>IF($F687="","",IFERROR(VLOOKUP($C687&amp;"|"&amp;$D687,科目表!$A$5:$B$200,2,FALSE),"※未登録"))</f>
        <v>図書印刷費</v>
      </c>
      <c r="R687" s="769">
        <f>IF($F687="","",$I687+$J687+$K687)</f>
        <v>0</v>
      </c>
      <c r="S687" s="769" t="str">
        <f>IF(OR($F687="",$P687="支払なし",$H687=0,$Q687=""),"",$Q687&amp;"|S|"&amp;(COUNTIF(S$4:S686,$Q687&amp;"|S|*")+1))</f>
        <v>図書印刷費|S|35</v>
      </c>
      <c r="T687" s="769" t="str">
        <f>IF(OR($F687="",$P687="支払なし",$R687=0,$Q687=""),"",$Q687&amp;"|L|"&amp;(COUNTIF(T$4:T686,$Q687&amp;"|L|*")+1))</f>
        <v/>
      </c>
      <c r="U687" s="769">
        <f>IF(OR($F687="",$A687=""),"",MOD(MONTH($A687)-4,12)+1)</f>
        <v>12</v>
      </c>
    </row>
    <row r="688" ht="16.5" customFormat="1" customHeight="1" s="422">
      <c r="A688" s="760" t="n">
        <v>45016</v>
      </c>
      <c r="B688" s="761" t="n"/>
      <c r="C688" s="762" t="inlineStr">
        <is>
          <t>事務費</t>
        </is>
      </c>
      <c r="D688" s="762" t="inlineStr">
        <is>
          <t>通信運搬費</t>
        </is>
      </c>
      <c r="E688" s="778" t="inlineStr">
        <is>
          <t>メール便（任継者宛厚生だより１・２月分）</t>
        </is>
      </c>
      <c r="F688" s="772" t="n">
        <v>18564</v>
      </c>
      <c r="G688" s="764" t="n">
        <v>2</v>
      </c>
      <c r="H688" s="765">
        <f>IF(G688=1,F688-I688-J688-K688,IF(G688=2,F688,0))</f>
        <v>18564</v>
      </c>
      <c r="I688" s="765">
        <f>ROUND(IF(G688=1,F688*10/23,IF(G688=3,F688-J688-K688,IF(G688=4,F688,IF(G688=5,F688*10/11,IF(G688=7,F688*10/11,0))))),0)</f>
        <v>0</v>
      </c>
      <c r="J688" s="765">
        <f>ROUND(IF(G688=1,F688/23,IF(G688=3,F688/12,IF(G688=5,F688-I688,IF(G688=8,F688,0)))),0)</f>
        <v>0</v>
      </c>
      <c r="K688" s="766">
        <f>ROUND(IF(G688=1,F688/23,IF(G688=3,F688/12,IF(G688=6,F688,IF(G688=7,F688-I688,0)))),0)</f>
        <v>0</v>
      </c>
      <c r="L688" s="767">
        <f>IF(G688=6,F688,0)</f>
        <v>0</v>
      </c>
      <c r="M688" s="421">
        <f>IF(F688="",0,MONTH(A688))</f>
        <v>3</v>
      </c>
      <c r="P688" s="768" t="inlineStr">
        <is>
          <t>昨年実績</t>
        </is>
      </c>
      <c r="Q688" s="769" t="str">
        <f>IF($F688="","",IFERROR(VLOOKUP($C688&amp;"|"&amp;$D688,科目表!$A$5:$B$200,2,FALSE),"※未登録"))</f>
        <v>通信運搬費</v>
      </c>
      <c r="R688" s="769">
        <f>IF($F688="","",$I688+$J688+$K688)</f>
        <v>0</v>
      </c>
      <c r="S688" s="769" t="str">
        <f>IF(OR($F688="",$P688="支払なし",$H688=0,$Q688=""),"",$Q688&amp;"|S|"&amp;(COUNTIF(S$4:S687,$Q688&amp;"|S|*")+1))</f>
        <v>通信運搬費|S|73</v>
      </c>
      <c r="T688" s="769" t="str">
        <f>IF(OR($F688="",$P688="支払なし",$R688=0,$Q688=""),"",$Q688&amp;"|L|"&amp;(COUNTIF(T$4:T687,$Q688&amp;"|L|*")+1))</f>
        <v/>
      </c>
      <c r="U688" s="769">
        <f>IF(OR($F688="",$A688=""),"",MOD(MONTH($A688)-4,12)+1)</f>
        <v>12</v>
      </c>
    </row>
    <row r="689" ht="16.5" customFormat="1" customHeight="1" s="43">
      <c r="A689" s="760" t="n">
        <v>46100</v>
      </c>
      <c r="B689" s="761" t="n"/>
      <c r="C689" s="762" t="inlineStr">
        <is>
          <t>委託費</t>
        </is>
      </c>
      <c r="D689" s="762" t="n"/>
      <c r="E689" s="763" t="inlineStr">
        <is>
          <t>レセプト電子データ提供料（１２月診療分）</t>
        </is>
      </c>
      <c r="F689" s="764" t="n">
        <v>66159</v>
      </c>
      <c r="G689" s="764" t="n">
        <v>2</v>
      </c>
      <c r="H689" s="765">
        <f>IF(G689=1,F689-I689-J689-K689,IF(G689=2,F689,0))</f>
        <v>66159</v>
      </c>
      <c r="I689" s="765">
        <f>ROUND(IF(G689=1,F689*10/23,IF(G689=3,F689-J689-K689,IF(G689=4,F689,IF(G689=5,F689*10/11,IF(G689=7,F689*10/11,0))))),0)</f>
        <v>0</v>
      </c>
      <c r="J689" s="765">
        <f>ROUND(IF(G689=1,F689/23,IF(G689=3,F689/12,IF(G689=5,F689-I689,IF(G689=8,F689,0)))),0)</f>
        <v>0</v>
      </c>
      <c r="K689" s="766">
        <f>ROUND(IF(G689=1,F689/23,IF(G689=3,F689/12,IF(G689=6,F689,IF(G689=7,F689-I689,0)))),0)</f>
        <v>0</v>
      </c>
      <c r="L689" s="767">
        <f>IF(G689=6,F689,0)</f>
        <v>0</v>
      </c>
      <c r="M689" s="572">
        <f>IF(F689="",0,MONTH(A689))</f>
        <v>3</v>
      </c>
      <c r="P689" s="768" t="inlineStr">
        <is>
          <t>昨年実績</t>
        </is>
      </c>
      <c r="Q689" s="769" t="str">
        <f>IF($F689="","",IFERROR(VLOOKUP($C689&amp;"|"&amp;$D689,科目表!$A$5:$B$200,2,FALSE),"※未登録"))</f>
        <v>委託費</v>
      </c>
      <c r="R689" s="769">
        <f>IF($F689="","",$I689+$J689+$K689)</f>
        <v>0</v>
      </c>
      <c r="S689" s="769" t="str">
        <f>IF(OR($F689="",$P689="支払なし",$H689=0,$Q689=""),"",$Q689&amp;"|S|"&amp;(COUNTIF(S$4:S688,$Q689&amp;"|S|*")+1))</f>
        <v>委託費|S|68</v>
      </c>
      <c r="T689" s="769" t="str">
        <f>IF(OR($F689="",$P689="支払なし",$R689=0,$Q689=""),"",$Q689&amp;"|L|"&amp;(COUNTIF(T$4:T688,$Q689&amp;"|L|*")+1))</f>
        <v/>
      </c>
      <c r="U689" s="769">
        <f>IF(OR($F689="",$A689=""),"",MOD(MONTH($A689)-4,12)+1)</f>
        <v>12</v>
      </c>
    </row>
    <row r="690" ht="16.5" customFormat="1" customHeight="1" s="422">
      <c r="A690" s="760" t="n">
        <v>45735</v>
      </c>
      <c r="B690" s="761" t="n"/>
      <c r="C690" s="762" t="inlineStr">
        <is>
          <t>事務費</t>
        </is>
      </c>
      <c r="D690" s="762" t="inlineStr">
        <is>
          <t>雑費</t>
        </is>
      </c>
      <c r="E690" s="793" t="inlineStr">
        <is>
          <t>電子証明書発行・更新料（令和7年3月実施分）</t>
        </is>
      </c>
      <c r="F690" s="764" t="n">
        <v>1500</v>
      </c>
      <c r="G690" s="764" t="n">
        <v>2</v>
      </c>
      <c r="H690" s="765">
        <f>IF(G690=1,F690-I690-J690-K690,IF(G690=2,F690,0))</f>
        <v>1500</v>
      </c>
      <c r="I690" s="765">
        <f>ROUND(IF(G690=1,F690*10/23,IF(G690=3,F690-J690-K690,IF(G690=4,F690,IF(G690=5,F690*10/11,IF(G690=7,F690*10/11,0))))),0)</f>
        <v>0</v>
      </c>
      <c r="J690" s="765">
        <f>ROUND(IF(G690=1,F690/23,IF(G690=3,F690/12,IF(G690=5,F690-I690,IF(G690=8,F690,0)))),0)</f>
        <v>0</v>
      </c>
      <c r="K690" s="766">
        <f>ROUND(IF(G690=1,F690/23,IF(G690=3,F690/12,IF(G690=6,F690,IF(G690=7,F690-I690,0)))),0)</f>
        <v>0</v>
      </c>
      <c r="L690" s="767">
        <f>IF(G690=6,F690,0)</f>
        <v>0</v>
      </c>
      <c r="M690" s="421">
        <f>IF(F690="",0,MONTH(A690))</f>
        <v>3</v>
      </c>
      <c r="P690" s="768" t="inlineStr">
        <is>
          <t>昨年実績</t>
        </is>
      </c>
      <c r="Q690" s="769" t="str">
        <f>IF($F690="","",IFERROR(VLOOKUP($C690&amp;"|"&amp;$D690,科目表!$A$5:$B$200,2,FALSE),"※未登録"))</f>
        <v>事務費・雑費</v>
      </c>
      <c r="R690" s="769">
        <f>IF($F690="","",$I690+$J690+$K690)</f>
        <v>0</v>
      </c>
      <c r="S690" s="769" t="str">
        <f>IF(OR($F690="",$P690="支払なし",$H690=0,$Q690=""),"",$Q690&amp;"|S|"&amp;(COUNTIF(S$4:S689,$Q690&amp;"|S|*")+1))</f>
        <v>事務費・雑費|S|19</v>
      </c>
      <c r="T690" s="769" t="str">
        <f>IF(OR($F690="",$P690="支払なし",$R690=0,$Q690=""),"",$Q690&amp;"|L|"&amp;(COUNTIF(T$4:T689,$Q690&amp;"|L|*")+1))</f>
        <v/>
      </c>
      <c r="U690" s="769">
        <f>IF(OR($F690="",$A690=""),"",MOD(MONTH($A690)-4,12)+1)</f>
        <v>12</v>
      </c>
    </row>
    <row r="691" ht="16.5" customFormat="1" customHeight="1" s="43">
      <c r="A691" s="760" t="n">
        <v>46112</v>
      </c>
      <c r="B691" s="761" t="n"/>
      <c r="C691" s="762" t="inlineStr">
        <is>
          <t>委託費</t>
        </is>
      </c>
      <c r="D691" s="762" t="n"/>
      <c r="E691" s="770" t="inlineStr">
        <is>
          <t>療養費通知及び施術者照会作成業務（柔道整復）</t>
        </is>
      </c>
      <c r="F691" s="764" t="n">
        <v>64900</v>
      </c>
      <c r="G691" s="764" t="n">
        <v>2</v>
      </c>
      <c r="H691" s="765">
        <f>IF(G691=1,F691-I691-J691-K691,IF(G691=2,F691,0))</f>
        <v>64900</v>
      </c>
      <c r="I691" s="765">
        <f>ROUND(IF(G691=1,F691*10/23,IF(G691=3,F691-J691-K691,IF(G691=4,F691,IF(G691=5,F691*10/11,IF(G691=7,F691*10/11,0))))),0)</f>
        <v>0</v>
      </c>
      <c r="J691" s="765">
        <f>ROUND(IF(G691=1,F691/23,IF(G691=3,F691/12,IF(G691=5,F691-I691,IF(G691=8,F691,0)))),0)</f>
        <v>0</v>
      </c>
      <c r="K691" s="766">
        <f>ROUND(IF(G691=1,F691/23,IF(G691=3,F691/12,IF(G691=6,F691,IF(G691=7,F691-I691,0)))),0)</f>
        <v>0</v>
      </c>
      <c r="L691" s="767">
        <f>IF(G691=6,F691,0)</f>
        <v>0</v>
      </c>
      <c r="M691" s="572">
        <f>IF(F691="",0,MONTH(A691))</f>
        <v>3</v>
      </c>
      <c r="P691" s="768" t="inlineStr">
        <is>
          <t>昨年実績</t>
        </is>
      </c>
      <c r="Q691" s="769" t="str">
        <f>IF($F691="","",IFERROR(VLOOKUP($C691&amp;"|"&amp;$D691,科目表!$A$5:$B$200,2,FALSE),"※未登録"))</f>
        <v>委託費</v>
      </c>
      <c r="R691" s="769">
        <f>IF($F691="","",$I691+$J691+$K691)</f>
        <v>0</v>
      </c>
      <c r="S691" s="769" t="str">
        <f>IF(OR($F691="",$P691="支払なし",$H691=0,$Q691=""),"",$Q691&amp;"|S|"&amp;(COUNTIF(S$4:S690,$Q691&amp;"|S|*")+1))</f>
        <v>委託費|S|69</v>
      </c>
      <c r="T691" s="769" t="str">
        <f>IF(OR($F691="",$P691="支払なし",$R691=0,$Q691=""),"",$Q691&amp;"|L|"&amp;(COUNTIF(T$4:T690,$Q691&amp;"|L|*")+1))</f>
        <v/>
      </c>
      <c r="U691" s="769">
        <f>IF(OR($F691="",$A691=""),"",MOD(MONTH($A691)-4,12)+1)</f>
        <v>12</v>
      </c>
    </row>
    <row r="692" ht="16.5" customFormat="1" customHeight="1" s="43">
      <c r="A692" s="760" t="n">
        <v>46112</v>
      </c>
      <c r="B692" s="761" t="n"/>
      <c r="C692" s="762" t="inlineStr">
        <is>
          <t>委託費</t>
        </is>
      </c>
      <c r="D692" s="762" t="n"/>
      <c r="E692" s="762" t="inlineStr">
        <is>
          <t>柔整等療養費支給申請書の入力（２月分）</t>
        </is>
      </c>
      <c r="F692" s="764" t="n">
        <v>121678</v>
      </c>
      <c r="G692" s="764" t="n">
        <v>2</v>
      </c>
      <c r="H692" s="765">
        <f>IF(G692=1,F692-I692-J692-K692,IF(G692=2,F692,0))</f>
        <v>121678</v>
      </c>
      <c r="I692" s="765">
        <f>ROUND(IF(G692=1,F692*10/23,IF(G692=3,F692-J692-K692,IF(G692=4,F692,IF(G692=5,F692*10/11,IF(G692=7,F692*10/11,0))))),0)</f>
        <v>0</v>
      </c>
      <c r="J692" s="765">
        <f>ROUND(IF(G692=1,F692/23,IF(G692=3,F692/12,IF(G692=5,F692-I692,IF(G692=8,F692,0)))),0)</f>
        <v>0</v>
      </c>
      <c r="K692" s="766">
        <f>ROUND(IF(G692=1,F692/23,IF(G692=3,F692/12,IF(G692=6,F692,IF(G692=7,F692-I692,0)))),0)</f>
        <v>0</v>
      </c>
      <c r="L692" s="767">
        <f>IF(G692=6,F692,0)</f>
        <v>0</v>
      </c>
      <c r="M692" s="572">
        <f>IF(F692="",0,MONTH(A692))</f>
        <v>3</v>
      </c>
      <c r="P692" s="768" t="inlineStr">
        <is>
          <t>昨年実績</t>
        </is>
      </c>
      <c r="Q692" s="769" t="str">
        <f>IF($F692="","",IFERROR(VLOOKUP($C692&amp;"|"&amp;$D692,科目表!$A$5:$B$200,2,FALSE),"※未登録"))</f>
        <v>委託費</v>
      </c>
      <c r="R692" s="769">
        <f>IF($F692="","",$I692+$J692+$K692)</f>
        <v>0</v>
      </c>
      <c r="S692" s="769" t="str">
        <f>IF(OR($F692="",$P692="支払なし",$H692=0,$Q692=""),"",$Q692&amp;"|S|"&amp;(COUNTIF(S$4:S691,$Q692&amp;"|S|*")+1))</f>
        <v>委託費|S|70</v>
      </c>
      <c r="T692" s="769" t="str">
        <f>IF(OR($F692="",$P692="支払なし",$R692=0,$Q692=""),"",$Q692&amp;"|L|"&amp;(COUNTIF(T$4:T691,$Q692&amp;"|L|*")+1))</f>
        <v/>
      </c>
      <c r="U692" s="769">
        <f>IF(OR($F692="",$A692=""),"",MOD(MONTH($A692)-4,12)+1)</f>
        <v>12</v>
      </c>
    </row>
    <row r="693" ht="16.5" customFormat="1" customHeight="1" s="422">
      <c r="A693" s="760" t="n">
        <v>45031</v>
      </c>
      <c r="B693" s="761" t="n"/>
      <c r="C693" s="762" t="inlineStr">
        <is>
          <t>委託費</t>
        </is>
      </c>
      <c r="D693" s="762" t="n"/>
      <c r="E693" s="762" t="inlineStr">
        <is>
          <t>ねんきん定期便（３月分）送付業務</t>
        </is>
      </c>
      <c r="F693" s="772" t="n">
        <v>58300</v>
      </c>
      <c r="G693" s="772" t="n">
        <v>5</v>
      </c>
      <c r="H693" s="765">
        <f>IF(G693=1,F693-I693-J693-K693,IF(G693=2,F693,0))</f>
        <v>0</v>
      </c>
      <c r="I693" s="765">
        <f>ROUND(IF(G693=1,F693*10/23,IF(G693=3,F693-J693-K693,IF(G693=4,F693,IF(G693=5,F693*10/11,IF(G693=7,F693*10/11,0))))),0)</f>
        <v>53000</v>
      </c>
      <c r="J693" s="765">
        <f>ROUND(IF(G693=1,F693/23,IF(G693=3,F693/12,IF(G693=5,F693-I693,IF(G693=8,F693,0)))),0)</f>
        <v>5300</v>
      </c>
      <c r="K693" s="766">
        <f>ROUND(IF(G693=1,F693/23,IF(G693=3,F693/12,IF(G693=6,F693,IF(G693=7,F693-I693,0)))),0)</f>
        <v>0</v>
      </c>
      <c r="L693" s="767">
        <f>IF(G693=6,F693,0)</f>
        <v>0</v>
      </c>
      <c r="M693" s="421">
        <f>IF(F693="",0,MONTH(A693))</f>
        <v>4</v>
      </c>
      <c r="P693" s="768" t="inlineStr">
        <is>
          <t>昨年実績</t>
        </is>
      </c>
      <c r="Q693" s="769" t="str">
        <f>IF($F693="","",IFERROR(VLOOKUP($C693&amp;"|"&amp;$D693,科目表!$A$5:$B$200,2,FALSE),"※未登録"))</f>
        <v>委託費</v>
      </c>
      <c r="R693" s="769">
        <f>IF($F693="","",$I693+$J693+$K693)</f>
        <v>58300</v>
      </c>
      <c r="S693" s="769" t="str">
        <f>IF(OR($F693="",$P693="支払なし",$H693=0,$Q693=""),"",$Q693&amp;"|S|"&amp;(COUNTIF(S$4:S692,$Q693&amp;"|S|*")+1))</f>
        <v/>
      </c>
      <c r="T693" s="769" t="str">
        <f>IF(OR($F693="",$P693="支払なし",$R693=0,$Q693=""),"",$Q693&amp;"|L|"&amp;(COUNTIF(T$4:T692,$Q693&amp;"|L|*")+1))</f>
        <v>委託費|L|23</v>
      </c>
      <c r="U693" s="769">
        <f>IF(OR($F693="",$A693=""),"",MOD(MONTH($A693)-4,12)+1)</f>
        <v>1</v>
      </c>
    </row>
    <row r="694" ht="16.5" customFormat="1" customHeight="1" s="43">
      <c r="A694" s="760" t="n">
        <v>46108</v>
      </c>
      <c r="B694" s="761" t="n"/>
      <c r="C694" s="762" t="inlineStr">
        <is>
          <t>事務費</t>
        </is>
      </c>
      <c r="D694" s="762" t="inlineStr">
        <is>
          <t>事務用消耗品費</t>
        </is>
      </c>
      <c r="E694" s="770" t="inlineStr">
        <is>
          <t>トナーカートリッジ（再生品）ＬＢ３２２B　５個</t>
        </is>
      </c>
      <c r="F694" s="764" t="n">
        <v>54450</v>
      </c>
      <c r="G694" s="764" t="n">
        <v>3</v>
      </c>
      <c r="H694" s="765">
        <f>IF(G694=1,F694-I694-J694-K694,IF(G694=2,F694,0))</f>
        <v>0</v>
      </c>
      <c r="I694" s="765">
        <f>ROUND(IF(G694=1,F694*10/23,IF(G694=3,F694-J694-K694,IF(G694=4,F694,IF(G694=5,F694*10/11,IF(G694=7,F694*10/11,0))))),0)</f>
        <v>45374</v>
      </c>
      <c r="J694" s="765">
        <f>ROUND(IF(G694=1,F694/23,IF(G694=3,F694/12,IF(G694=5,F694-I694,IF(G694=8,F694,0)))),0)</f>
        <v>4538</v>
      </c>
      <c r="K694" s="766">
        <f>ROUND(IF(G694=1,F694/23,IF(G694=3,F694/12,IF(G694=6,F694,IF(G694=7,F694-I694,0)))),0)</f>
        <v>4538</v>
      </c>
      <c r="L694" s="767">
        <f>IF(G694=6,F694,0)</f>
        <v>0</v>
      </c>
      <c r="M694" s="572">
        <f>IF(F694="",0,MONTH(A694))</f>
        <v>3</v>
      </c>
      <c r="P694" s="768" t="inlineStr">
        <is>
          <t>昨年実績</t>
        </is>
      </c>
      <c r="Q694" s="769" t="str">
        <f>IF($F694="","",IFERROR(VLOOKUP($C694&amp;"|"&amp;$D694,科目表!$A$5:$B$200,2,FALSE),"※未登録"))</f>
        <v>事務用消耗品費</v>
      </c>
      <c r="R694" s="769">
        <f>IF($F694="","",$I694+$J694+$K694)</f>
        <v>54450</v>
      </c>
      <c r="S694" s="769" t="str">
        <f>IF(OR($F694="",$P694="支払なし",$H694=0,$Q694=""),"",$Q694&amp;"|S|"&amp;(COUNTIF(S$4:S693,$Q694&amp;"|S|*")+1))</f>
        <v/>
      </c>
      <c r="T694" s="769" t="str">
        <f>IF(OR($F694="",$P694="支払なし",$R694=0,$Q694=""),"",$Q694&amp;"|L|"&amp;(COUNTIF(T$4:T693,$Q694&amp;"|L|*")+1))</f>
        <v>事務用消耗品費|L|27</v>
      </c>
      <c r="U694" s="769">
        <f>IF(OR($F694="",$A694=""),"",MOD(MONTH($A694)-4,12)+1)</f>
        <v>12</v>
      </c>
    </row>
    <row r="695" ht="16.5" customFormat="1" customHeight="1" s="422">
      <c r="A695" s="760" t="n"/>
      <c r="B695" s="761" t="n"/>
      <c r="C695" s="762" t="n"/>
      <c r="D695" s="762" t="n"/>
      <c r="E695" s="762" t="n"/>
      <c r="F695" s="772" t="n"/>
      <c r="G695" s="764" t="n"/>
      <c r="H695" s="765">
        <f>IF(G695=1,F695-I695-J695-K695,IF(G695=2,F695,0))</f>
        <v>0</v>
      </c>
      <c r="I695" s="765">
        <f>ROUND(IF(G695=1,F695*10/23,IF(G695=3,F695-J695-K695,IF(G695=4,F695,IF(G695=5,F695*10/11,IF(G695=7,F695*10/11,0))))),0)</f>
        <v>0</v>
      </c>
      <c r="J695" s="765">
        <f>ROUND(IF(G695=1,F695/23,IF(G695=3,F695/12,IF(G695=5,F695-I695,IF(G695=8,F695,0)))),0)</f>
        <v>0</v>
      </c>
      <c r="K695" s="766">
        <f>ROUND(IF(G695=1,F695/23,IF(G695=3,F695/12,IF(G695=6,F695,IF(G695=7,F695-I695,0)))),0)</f>
        <v>0</v>
      </c>
      <c r="L695" s="767">
        <f>IF(G695=6,F695,0)</f>
        <v>0</v>
      </c>
      <c r="M695" s="421">
        <f>IF(F695="",0,MONTH(A695))</f>
        <v>0</v>
      </c>
      <c r="P695" s="768" t="n"/>
      <c r="Q695" s="769" t="str">
        <f>IF($F695="","",IFERROR(VLOOKUP($C695&amp;"|"&amp;$D695,科目表!$A$5:$B$200,2,FALSE),"※未登録"))</f>
        <v/>
      </c>
      <c r="R695" s="769" t="str">
        <f>IF($F695="","",$I695+$J695+$K695)</f>
        <v/>
      </c>
      <c r="S695" s="769" t="str">
        <f>IF(OR($F695="",$P695="支払なし",$H695=0,$Q695=""),"",$Q695&amp;"|S|"&amp;(COUNTIF(S$4:S694,$Q695&amp;"|S|*")+1))</f>
        <v/>
      </c>
      <c r="T695" s="769" t="str">
        <f>IF(OR($F695="",$P695="支払なし",$R695=0,$Q695=""),"",$Q695&amp;"|L|"&amp;(COUNTIF(T$4:T694,$Q695&amp;"|L|*")+1))</f>
        <v/>
      </c>
      <c r="U695" s="769" t="str">
        <f>IF(OR($F695="",$A695=""),"",MOD(MONTH($A695)-4,12)+1)</f>
        <v/>
      </c>
    </row>
    <row r="696" ht="16.5" customFormat="1" customHeight="1" s="43">
      <c r="A696" s="760" t="n">
        <v>46086</v>
      </c>
      <c r="B696" s="761" t="n"/>
      <c r="C696" s="762" t="inlineStr">
        <is>
          <t>事務費</t>
        </is>
      </c>
      <c r="D696" s="762" t="inlineStr">
        <is>
          <t>通信運搬費</t>
        </is>
      </c>
      <c r="E696" s="763" t="inlineStr">
        <is>
          <t>切手、レターパック</t>
        </is>
      </c>
      <c r="F696" s="772" t="n">
        <v>274000</v>
      </c>
      <c r="G696" s="772" t="n">
        <v>3</v>
      </c>
      <c r="H696" s="765">
        <f>IF(G696=1,F696-I696-J696-K696,IF(G696=2,F696,0))</f>
        <v>0</v>
      </c>
      <c r="I696" s="765">
        <f>ROUND(IF(G696=1,F696*10/23,IF(G696=3,F696-J696-K696,IF(G696=4,F696,IF(G696=5,F696*10/11,IF(G696=7,F696*10/11,0))))),0)</f>
        <v>228334</v>
      </c>
      <c r="J696" s="765">
        <f>ROUND(IF(G696=1,F696/23,IF(G696=3,F696/12,IF(G696=5,F696-I696,IF(G696=8,F696,0)))),0)</f>
        <v>22833</v>
      </c>
      <c r="K696" s="766">
        <f>ROUND(IF(G696=1,F696/23,IF(G696=3,F696/12,IF(G696=6,F696,IF(G696=7,F696-I696,0)))),0)</f>
        <v>22833</v>
      </c>
      <c r="L696" s="767">
        <f>IF(G696=6,F696,0)</f>
        <v>0</v>
      </c>
      <c r="M696" s="572">
        <f>IF(F696="",0,MONTH(A696))</f>
        <v>3</v>
      </c>
      <c r="P696" s="768" t="inlineStr">
        <is>
          <t>昨年実績</t>
        </is>
      </c>
      <c r="Q696" s="769" t="str">
        <f>IF($F696="","",IFERROR(VLOOKUP($C696&amp;"|"&amp;$D696,科目表!$A$5:$B$200,2,FALSE),"※未登録"))</f>
        <v>通信運搬費</v>
      </c>
      <c r="R696" s="769">
        <f>IF($F696="","",$I696+$J696+$K696)</f>
        <v>274000</v>
      </c>
      <c r="S696" s="769" t="str">
        <f>IF(OR($F696="",$P696="支払なし",$H696=0,$Q696=""),"",$Q696&amp;"|S|"&amp;(COUNTIF(S$4:S695,$Q696&amp;"|S|*")+1))</f>
        <v/>
      </c>
      <c r="T696" s="769" t="str">
        <f>IF(OR($F696="",$P696="支払なし",$R696=0,$Q696=""),"",$Q696&amp;"|L|"&amp;(COUNTIF(T$4:T695,$Q696&amp;"|L|*")+1))</f>
        <v>通信運搬費|L|28</v>
      </c>
      <c r="U696" s="769">
        <f>IF(OR($F696="",$A696=""),"",MOD(MONTH($A696)-4,12)+1)</f>
        <v>12</v>
      </c>
    </row>
    <row r="697" ht="16.5" customFormat="1" customHeight="1" s="422">
      <c r="A697" s="760" t="n"/>
      <c r="B697" s="761" t="n"/>
      <c r="C697" s="762" t="n"/>
      <c r="D697" s="762" t="n"/>
      <c r="E697" s="762" t="n"/>
      <c r="F697" s="772" t="n"/>
      <c r="G697" s="764" t="n"/>
      <c r="H697" s="765">
        <f>IF(G697=1,F697-I697-J697-K697,IF(G697=2,F697,0))</f>
        <v>0</v>
      </c>
      <c r="I697" s="765">
        <f>ROUND(IF(G697=1,F697*10/23,IF(G697=3,F697-J697-K697,IF(G697=4,F697,IF(G697=5,F697*10/11,IF(G697=7,F697*10/11,0))))),0)</f>
        <v>0</v>
      </c>
      <c r="J697" s="765">
        <f>ROUND(IF(G697=1,F697/23,IF(G697=3,F697/12,IF(G697=5,F697-I697,IF(G697=8,F697,0)))),0)</f>
        <v>0</v>
      </c>
      <c r="K697" s="766">
        <f>ROUND(IF(G697=1,F697/23,IF(G697=3,F697/12,IF(G697=6,F697,IF(G697=7,F697-I697,0)))),0)</f>
        <v>0</v>
      </c>
      <c r="L697" s="767">
        <f>IF(G697=6,F697,0)</f>
        <v>0</v>
      </c>
      <c r="M697" s="421">
        <f>IF(F697="",0,MONTH(A697))</f>
        <v>0</v>
      </c>
      <c r="P697" s="768" t="n"/>
      <c r="Q697" s="769" t="str">
        <f>IF($F697="","",IFERROR(VLOOKUP($C697&amp;"|"&amp;$D697,科目表!$A$5:$B$200,2,FALSE),"※未登録"))</f>
        <v/>
      </c>
      <c r="R697" s="769" t="str">
        <f>IF($F697="","",$I697+$J697+$K697)</f>
        <v/>
      </c>
      <c r="S697" s="769" t="str">
        <f>IF(OR($F697="",$P697="支払なし",$H697=0,$Q697=""),"",$Q697&amp;"|S|"&amp;(COUNTIF(S$4:S696,$Q697&amp;"|S|*")+1))</f>
        <v/>
      </c>
      <c r="T697" s="769" t="str">
        <f>IF(OR($F697="",$P697="支払なし",$R697=0,$Q697=""),"",$Q697&amp;"|L|"&amp;(COUNTIF(T$4:T696,$Q697&amp;"|L|*")+1))</f>
        <v/>
      </c>
      <c r="U697" s="769" t="str">
        <f>IF(OR($F697="",$A697=""),"",MOD(MONTH($A697)-4,12)+1)</f>
        <v/>
      </c>
    </row>
    <row r="698" ht="16.5" customFormat="1" customHeight="1" s="422">
      <c r="A698" s="760" t="n"/>
      <c r="B698" s="761" t="n"/>
      <c r="C698" s="762" t="n"/>
      <c r="D698" s="762" t="n"/>
      <c r="E698" s="775" t="n"/>
      <c r="F698" s="764" t="n"/>
      <c r="G698" s="764" t="n"/>
      <c r="H698" s="765">
        <f>IF(G698=1,F698-I698-J698-K698,IF(G698=2,F698,0))</f>
        <v>0</v>
      </c>
      <c r="I698" s="765">
        <f>ROUND(IF(G698=1,F698*10/23,IF(G698=3,F698-J698-K698,IF(G698=4,F698,IF(G698=5,F698*10/11,IF(G698=7,F698*10/11,0))))),0)</f>
        <v>0</v>
      </c>
      <c r="J698" s="765">
        <f>ROUND(IF(G698=1,F698/23,IF(G698=3,F698/12,IF(G698=5,F698-I698,IF(G698=8,F698,0)))),0)</f>
        <v>0</v>
      </c>
      <c r="K698" s="766">
        <f>ROUND(IF(G698=1,F698/23,IF(G698=3,F698/12,IF(G698=6,F698,IF(G698=7,F698-I698,0)))),0)</f>
        <v>0</v>
      </c>
      <c r="L698" s="767">
        <f>IF(G698=6,F698,0)</f>
        <v>0</v>
      </c>
      <c r="M698" s="421">
        <f>IF(F698="",0,MONTH(A698))</f>
        <v>0</v>
      </c>
      <c r="P698" s="768" t="n"/>
      <c r="Q698" s="769" t="str">
        <f>IF($F698="","",IFERROR(VLOOKUP($C698&amp;"|"&amp;$D698,科目表!$A$5:$B$200,2,FALSE),"※未登録"))</f>
        <v/>
      </c>
      <c r="R698" s="769" t="str">
        <f>IF($F698="","",$I698+$J698+$K698)</f>
        <v/>
      </c>
      <c r="S698" s="769" t="str">
        <f>IF(OR($F698="",$P698="支払なし",$H698=0,$Q698=""),"",$Q698&amp;"|S|"&amp;(COUNTIF(S$4:S697,$Q698&amp;"|S|*")+1))</f>
        <v/>
      </c>
      <c r="T698" s="769" t="str">
        <f>IF(OR($F698="",$P698="支払なし",$R698=0,$Q698=""),"",$Q698&amp;"|L|"&amp;(COUNTIF(T$4:T697,$Q698&amp;"|L|*")+1))</f>
        <v/>
      </c>
      <c r="U698" s="769" t="str">
        <f>IF(OR($F698="",$A698=""),"",MOD(MONTH($A698)-4,12)+1)</f>
        <v/>
      </c>
    </row>
    <row r="699" ht="16.5" customFormat="1" customHeight="1" s="422">
      <c r="A699" s="760" t="n">
        <v>43921</v>
      </c>
      <c r="B699" s="761" t="n"/>
      <c r="C699" s="762" t="inlineStr">
        <is>
          <t>賃借料</t>
        </is>
      </c>
      <c r="D699" s="762" t="n"/>
      <c r="E699" s="763" t="inlineStr">
        <is>
          <t>基幹システム（短期）用機器リース料２月分</t>
        </is>
      </c>
      <c r="F699" s="772" t="n">
        <v>193676</v>
      </c>
      <c r="G699" s="772" t="n">
        <v>2</v>
      </c>
      <c r="H699" s="765">
        <f>IF(G699=1,F699-I699-J699-K699,IF(G699=2,F699,0))</f>
        <v>193676</v>
      </c>
      <c r="I699" s="765">
        <f>ROUND(IF(G699=1,F699*10/23,IF(G699=3,F699-J699-K699,IF(G699=4,F699,IF(G699=5,F699*10/11,IF(G699=7,F699*10/11,0))))),0)</f>
        <v>0</v>
      </c>
      <c r="J699" s="765">
        <f>ROUND(IF(G699=1,F699/23,IF(G699=3,F699/12,IF(G699=5,F699-I699,IF(G699=8,F699,0)))),0)</f>
        <v>0</v>
      </c>
      <c r="K699" s="766">
        <f>ROUND(IF(G699=1,F699/23,IF(G699=3,F699/12,IF(G699=6,F699,IF(G699=7,F699-I699,0)))),0)</f>
        <v>0</v>
      </c>
      <c r="L699" s="767">
        <f>IF(G699=6,F699,0)</f>
        <v>0</v>
      </c>
      <c r="M699" s="421">
        <f>IF(F699="",0,MONTH(A699))</f>
        <v>3</v>
      </c>
      <c r="P699" s="768" t="inlineStr">
        <is>
          <t>昨年実績</t>
        </is>
      </c>
      <c r="Q699" s="769" t="str">
        <f>IF($F699="","",IFERROR(VLOOKUP($C699&amp;"|"&amp;$D699,科目表!$A$5:$B$200,2,FALSE),"※未登録"))</f>
        <v>賃借料</v>
      </c>
      <c r="R699" s="769">
        <f>IF($F699="","",$I699+$J699+$K699)</f>
        <v>0</v>
      </c>
      <c r="S699" s="769" t="str">
        <f>IF(OR($F699="",$P699="支払なし",$H699=0,$Q699=""),"",$Q699&amp;"|S|"&amp;(COUNTIF(S$4:S698,$Q699&amp;"|S|*")+1))</f>
        <v>賃借料|S|57</v>
      </c>
      <c r="T699" s="769" t="str">
        <f>IF(OR($F699="",$P699="支払なし",$R699=0,$Q699=""),"",$Q699&amp;"|L|"&amp;(COUNTIF(T$4:T698,$Q699&amp;"|L|*")+1))</f>
        <v/>
      </c>
      <c r="U699" s="769">
        <f>IF(OR($F699="",$A699=""),"",MOD(MONTH($A699)-4,12)+1)</f>
        <v>12</v>
      </c>
    </row>
    <row r="700" ht="16.5" customFormat="1" customHeight="1" s="43">
      <c r="A700" s="760" t="n">
        <v>46098</v>
      </c>
      <c r="B700" s="779" t="n"/>
      <c r="C700" s="762" t="inlineStr">
        <is>
          <t>賃借料</t>
        </is>
      </c>
      <c r="D700" s="762" t="n"/>
      <c r="E700" s="777" t="inlineStr">
        <is>
          <t>統合管理端末リース料（２月分）</t>
        </is>
      </c>
      <c r="F700" s="772" t="n">
        <v>12738</v>
      </c>
      <c r="G700" s="772" t="n">
        <v>2</v>
      </c>
      <c r="H700" s="765">
        <f>IF(G700=1,F700-I700-J700-K700,IF(G700=2,F700,0))</f>
        <v>12738</v>
      </c>
      <c r="I700" s="765">
        <f>ROUND(IF(G700=1,F700*10/23,IF(G700=3,F700-J700-K700,IF(G700=4,F700,IF(G700=5,F700*10/11,IF(G700=7,F700*10/11,0))))),0)</f>
        <v>0</v>
      </c>
      <c r="J700" s="765">
        <f>ROUND(IF(G700=1,F700/23,IF(G700=3,F700/12,IF(G700=5,F700-I700,IF(G700=8,F700,0)))),0)</f>
        <v>0</v>
      </c>
      <c r="K700" s="766">
        <f>ROUND(IF(G700=1,F700/23,IF(G700=3,F700/12,IF(G700=6,F700,IF(G700=7,F700-I700,0)))),0)</f>
        <v>0</v>
      </c>
      <c r="L700" s="767">
        <f>IF(G700=6,F700,0)</f>
        <v>0</v>
      </c>
      <c r="M700" s="572">
        <f>IF(F700="",0,MONTH(A700))</f>
        <v>3</v>
      </c>
      <c r="P700" s="768" t="inlineStr">
        <is>
          <t>昨年実績</t>
        </is>
      </c>
      <c r="Q700" s="769" t="str">
        <f>IF($F700="","",IFERROR(VLOOKUP($C700&amp;"|"&amp;$D700,科目表!$A$5:$B$200,2,FALSE),"※未登録"))</f>
        <v>賃借料</v>
      </c>
      <c r="R700" s="769">
        <f>IF($F700="","",$I700+$J700+$K700)</f>
        <v>0</v>
      </c>
      <c r="S700" s="769" t="str">
        <f>IF(OR($F700="",$P700="支払なし",$H700=0,$Q700=""),"",$Q700&amp;"|S|"&amp;(COUNTIF(S$4:S699,$Q700&amp;"|S|*")+1))</f>
        <v>賃借料|S|58</v>
      </c>
      <c r="T700" s="769" t="str">
        <f>IF(OR($F700="",$P700="支払なし",$R700=0,$Q700=""),"",$Q700&amp;"|L|"&amp;(COUNTIF(T$4:T699,$Q700&amp;"|L|*")+1))</f>
        <v/>
      </c>
      <c r="U700" s="769">
        <f>IF(OR($F700="",$A700=""),"",MOD(MONTH($A700)-4,12)+1)</f>
        <v>12</v>
      </c>
    </row>
    <row r="701" ht="16.5" customFormat="1" customHeight="1" s="422">
      <c r="A701" s="760" t="n">
        <v>45380</v>
      </c>
      <c r="B701" s="761" t="n"/>
      <c r="C701" s="762" t="inlineStr">
        <is>
          <t>委託費</t>
        </is>
      </c>
      <c r="D701" s="762" t="n"/>
      <c r="E701" s="784" t="inlineStr">
        <is>
          <t>統合管理端末保守料（２月分）</t>
        </is>
      </c>
      <c r="F701" s="764" t="n">
        <v>5390</v>
      </c>
      <c r="G701" s="764" t="n">
        <v>2</v>
      </c>
      <c r="H701" s="765">
        <f>IF(G701=1,F701-I701-J701-K701,IF(G701=2,F701,0))</f>
        <v>5390</v>
      </c>
      <c r="I701" s="765">
        <f>ROUND(IF(G701=1,F701*10/23,IF(G701=3,F701-J701-K701,IF(G701=4,F701,IF(G701=5,F701*10/11,IF(G701=7,F701*10/11,0))))),0)</f>
        <v>0</v>
      </c>
      <c r="J701" s="765">
        <f>ROUND(IF(G701=1,F701/23,IF(G701=3,F701/12,IF(G701=5,F701-I701,IF(G701=8,F701,0)))),0)</f>
        <v>0</v>
      </c>
      <c r="K701" s="766">
        <f>ROUND(IF(G701=1,F701/23,IF(G701=3,F701/12,IF(G701=6,F701,IF(G701=7,F701-I701,0)))),0)</f>
        <v>0</v>
      </c>
      <c r="L701" s="767">
        <f>IF(G701=6,F701,0)</f>
        <v>0</v>
      </c>
      <c r="M701" s="421">
        <f>IF(F701="",0,MONTH(A701))</f>
        <v>3</v>
      </c>
      <c r="P701" s="768" t="inlineStr">
        <is>
          <t>昨年実績</t>
        </is>
      </c>
      <c r="Q701" s="769" t="str">
        <f>IF($F701="","",IFERROR(VLOOKUP($C701&amp;"|"&amp;$D701,科目表!$A$5:$B$200,2,FALSE),"※未登録"))</f>
        <v>委託費</v>
      </c>
      <c r="R701" s="769">
        <f>IF($F701="","",$I701+$J701+$K701)</f>
        <v>0</v>
      </c>
      <c r="S701" s="769" t="str">
        <f>IF(OR($F701="",$P701="支払なし",$H701=0,$Q701=""),"",$Q701&amp;"|S|"&amp;(COUNTIF(S$4:S700,$Q701&amp;"|S|*")+1))</f>
        <v>委託費|S|71</v>
      </c>
      <c r="T701" s="769" t="str">
        <f>IF(OR($F701="",$P701="支払なし",$R701=0,$Q701=""),"",$Q701&amp;"|L|"&amp;(COUNTIF(T$4:T700,$Q701&amp;"|L|*")+1))</f>
        <v/>
      </c>
      <c r="U701" s="769">
        <f>IF(OR($F701="",$A701=""),"",MOD(MONTH($A701)-4,12)+1)</f>
        <v>12</v>
      </c>
    </row>
    <row r="702" ht="16.5" customFormat="1" customHeight="1" s="422">
      <c r="A702" s="760" t="n">
        <v>45747</v>
      </c>
      <c r="B702" s="761" t="n"/>
      <c r="C702" s="762" t="inlineStr">
        <is>
          <t>事務費</t>
        </is>
      </c>
      <c r="D702" s="762" t="inlineStr">
        <is>
          <t>事務用消耗品費</t>
        </is>
      </c>
      <c r="E702" s="770" t="inlineStr">
        <is>
          <t>ラベル用紙　　LBP-F7656-100N １冊</t>
        </is>
      </c>
      <c r="F702" s="764" t="n">
        <v>6237</v>
      </c>
      <c r="G702" s="772" t="n">
        <v>2</v>
      </c>
      <c r="H702" s="765">
        <f>IF(G702=1,F702-I702-J702-K702,IF(G702=2,F702,0))</f>
        <v>6237</v>
      </c>
      <c r="I702" s="765">
        <f>ROUND(IF(G702=1,F702*10/23,IF(G702=3,F702-J702-K702,IF(G702=4,F702,IF(G702=5,F702*10/11,IF(G702=7,F702*10/11,0))))),0)</f>
        <v>0</v>
      </c>
      <c r="J702" s="765">
        <f>ROUND(IF(G702=1,F702/23,IF(G702=3,F702/12,IF(G702=5,F702-I702,IF(G702=8,F702,0)))),0)</f>
        <v>0</v>
      </c>
      <c r="K702" s="766">
        <f>ROUND(IF(G702=1,F702/23,IF(G702=3,F702/12,IF(G702=6,F702,IF(G702=7,F702-I702,0)))),0)</f>
        <v>0</v>
      </c>
      <c r="L702" s="767">
        <f>IF(G702=6,F702,0)</f>
        <v>0</v>
      </c>
      <c r="M702" s="421">
        <f>IF(F702="",0,MONTH(A702))</f>
        <v>3</v>
      </c>
      <c r="P702" s="768" t="inlineStr">
        <is>
          <t>昨年実績</t>
        </is>
      </c>
      <c r="Q702" s="769" t="str">
        <f>IF($F702="","",IFERROR(VLOOKUP($C702&amp;"|"&amp;$D702,科目表!$A$5:$B$200,2,FALSE),"※未登録"))</f>
        <v>事務用消耗品費</v>
      </c>
      <c r="R702" s="769">
        <f>IF($F702="","",$I702+$J702+$K702)</f>
        <v>0</v>
      </c>
      <c r="S702" s="769" t="str">
        <f>IF(OR($F702="",$P702="支払なし",$H702=0,$Q702=""),"",$Q702&amp;"|S|"&amp;(COUNTIF(S$4:S701,$Q702&amp;"|S|*")+1))</f>
        <v>事務用消耗品費|S|47</v>
      </c>
      <c r="T702" s="769" t="str">
        <f>IF(OR($F702="",$P702="支払なし",$R702=0,$Q702=""),"",$Q702&amp;"|L|"&amp;(COUNTIF(T$4:T701,$Q702&amp;"|L|*")+1))</f>
        <v/>
      </c>
      <c r="U702" s="769">
        <f>IF(OR($F702="",$A702=""),"",MOD(MONTH($A702)-4,12)+1)</f>
        <v>12</v>
      </c>
    </row>
    <row r="703" ht="16.5" customFormat="1" customHeight="1" s="422">
      <c r="A703" s="760" t="n">
        <v>45016</v>
      </c>
      <c r="B703" s="761" t="n"/>
      <c r="C703" s="762" t="inlineStr">
        <is>
          <t>事務費</t>
        </is>
      </c>
      <c r="D703" s="762" t="inlineStr">
        <is>
          <t>通信運搬費</t>
        </is>
      </c>
      <c r="E703" s="763" t="inlineStr">
        <is>
          <t>フレッツ光ネクスト利用料等（2月利用・3月請求分）</t>
        </is>
      </c>
      <c r="F703" s="772" t="n">
        <v>5115</v>
      </c>
      <c r="G703" s="772" t="n">
        <v>2</v>
      </c>
      <c r="H703" s="765">
        <f>IF(G703=1,F703-I703-J703-K703,IF(G703=2,F703,0))</f>
        <v>5115</v>
      </c>
      <c r="I703" s="765">
        <f>ROUND(IF(G703=1,F703*10/23,IF(G703=3,F703-J703-K703,IF(G703=4,F703,IF(G703=5,F703*10/11,IF(G703=7,F703*10/11,0))))),0)</f>
        <v>0</v>
      </c>
      <c r="J703" s="765">
        <f>ROUND(IF(G703=1,F703/23,IF(G703=3,F703/12,IF(G703=5,F703-I703,IF(G703=8,F703,0)))),0)</f>
        <v>0</v>
      </c>
      <c r="K703" s="766">
        <f>ROUND(IF(G703=1,F703/23,IF(G703=3,F703/12,IF(G703=6,F703,IF(G703=7,F703-I703,0)))),0)</f>
        <v>0</v>
      </c>
      <c r="L703" s="767">
        <f>IF(G703=6,F703,0)</f>
        <v>0</v>
      </c>
      <c r="M703" s="421">
        <f>IF(F703="",0,MONTH(A703))</f>
        <v>3</v>
      </c>
      <c r="P703" s="768" t="inlineStr">
        <is>
          <t>昨年実績</t>
        </is>
      </c>
      <c r="Q703" s="769" t="str">
        <f>IF($F703="","",IFERROR(VLOOKUP($C703&amp;"|"&amp;$D703,科目表!$A$5:$B$200,2,FALSE),"※未登録"))</f>
        <v>通信運搬費</v>
      </c>
      <c r="R703" s="769">
        <f>IF($F703="","",$I703+$J703+$K703)</f>
        <v>0</v>
      </c>
      <c r="S703" s="769" t="str">
        <f>IF(OR($F703="",$P703="支払なし",$H703=0,$Q703=""),"",$Q703&amp;"|S|"&amp;(COUNTIF(S$4:S702,$Q703&amp;"|S|*")+1))</f>
        <v>通信運搬費|S|74</v>
      </c>
      <c r="T703" s="769" t="str">
        <f>IF(OR($F703="",$P703="支払なし",$R703=0,$Q703=""),"",$Q703&amp;"|L|"&amp;(COUNTIF(T$4:T702,$Q703&amp;"|L|*")+1))</f>
        <v/>
      </c>
      <c r="U703" s="769">
        <f>IF(OR($F703="",$A703=""),"",MOD(MONTH($A703)-4,12)+1)</f>
        <v>12</v>
      </c>
    </row>
    <row r="704" ht="16.5" customFormat="1" customHeight="1" s="422">
      <c r="A704" s="760" t="n">
        <v>45380</v>
      </c>
      <c r="B704" s="761" t="n"/>
      <c r="C704" s="762" t="inlineStr">
        <is>
          <t>事務費</t>
        </is>
      </c>
      <c r="D704" s="762" t="inlineStr">
        <is>
          <t>図書印刷費</t>
        </is>
      </c>
      <c r="E704" s="781" t="inlineStr">
        <is>
          <t>国家公務員等共済組合関係通達実例集追録107号</t>
        </is>
      </c>
      <c r="F704" s="764" t="n">
        <v>4400</v>
      </c>
      <c r="G704" s="764" t="n">
        <v>3</v>
      </c>
      <c r="H704" s="765">
        <f>IF(G704=1,F704-I704-J704-K704,IF(G704=2,F704,0))</f>
        <v>0</v>
      </c>
      <c r="I704" s="765">
        <f>ROUND(IF(G704=1,F704*10/23,IF(G704=3,F704-J704-K704,IF(G704=4,F704,IF(G704=5,F704*10/11,IF(G704=7,F704*10/11,0))))),0)</f>
        <v>3666</v>
      </c>
      <c r="J704" s="765">
        <f>ROUND(IF(G704=1,F704/23,IF(G704=3,F704/12,IF(G704=5,F704-I704,IF(G704=8,F704,0)))),0)</f>
        <v>367</v>
      </c>
      <c r="K704" s="766">
        <f>ROUND(IF(G704=1,F704/23,IF(G704=3,F704/12,IF(G704=6,F704,IF(G704=7,F704-I704,0)))),0)</f>
        <v>367</v>
      </c>
      <c r="L704" s="767">
        <f>IF(G704=6,F704,0)</f>
        <v>0</v>
      </c>
      <c r="M704" s="421">
        <f>IF(F704="",0,MONTH(A704))</f>
        <v>3</v>
      </c>
      <c r="P704" s="768" t="inlineStr">
        <is>
          <t>昨年実績</t>
        </is>
      </c>
      <c r="Q704" s="769" t="str">
        <f>IF($F704="","",IFERROR(VLOOKUP($C704&amp;"|"&amp;$D704,科目表!$A$5:$B$200,2,FALSE),"※未登録"))</f>
        <v>図書印刷費</v>
      </c>
      <c r="R704" s="769">
        <f>IF($F704="","",$I704+$J704+$K704)</f>
        <v>4400</v>
      </c>
      <c r="S704" s="769" t="str">
        <f>IF(OR($F704="",$P704="支払なし",$H704=0,$Q704=""),"",$Q704&amp;"|S|"&amp;(COUNTIF(S$4:S703,$Q704&amp;"|S|*")+1))</f>
        <v/>
      </c>
      <c r="T704" s="769" t="str">
        <f>IF(OR($F704="",$P704="支払なし",$R704=0,$Q704=""),"",$Q704&amp;"|L|"&amp;(COUNTIF(T$4:T703,$Q704&amp;"|L|*")+1))</f>
        <v>図書印刷費|L|23</v>
      </c>
      <c r="U704" s="769">
        <f>IF(OR($F704="",$A704=""),"",MOD(MONTH($A704)-4,12)+1)</f>
        <v>12</v>
      </c>
    </row>
    <row r="705" ht="27" customFormat="1" customHeight="1" s="43">
      <c r="A705" s="760" t="n">
        <v>46108</v>
      </c>
      <c r="B705" s="761" t="n"/>
      <c r="C705" s="762" t="inlineStr">
        <is>
          <t>事務費</t>
        </is>
      </c>
      <c r="D705" s="762" t="inlineStr">
        <is>
          <t>図書印刷費</t>
        </is>
      </c>
      <c r="E705" s="773" t="inlineStr">
        <is>
          <t>地方公務員共済組合関係法令実例判例集追録1171-1179号</t>
        </is>
      </c>
      <c r="F705" s="764" t="n">
        <v>26757</v>
      </c>
      <c r="G705" s="764" t="n">
        <v>3</v>
      </c>
      <c r="H705" s="765">
        <f>IF(G705=1,F705-I705-J705-K705,IF(G705=2,F705,0))</f>
        <v>0</v>
      </c>
      <c r="I705" s="765">
        <f>ROUND(IF(G705=1,F705*10/23,IF(G705=3,F705-J705-K705,IF(G705=4,F705,IF(G705=5,F705*10/11,IF(G705=7,F705*10/11,0))))),0)</f>
        <v>22297</v>
      </c>
      <c r="J705" s="765">
        <f>ROUND(IF(G705=1,F705/23,IF(G705=3,F705/12,IF(G705=5,F705-I705,IF(G705=8,F705,0)))),0)</f>
        <v>2230</v>
      </c>
      <c r="K705" s="766">
        <f>ROUND(IF(G705=1,F705/23,IF(G705=3,F705/12,IF(G705=6,F705,IF(G705=7,F705-I705,0)))),0)</f>
        <v>2230</v>
      </c>
      <c r="L705" s="767">
        <f>IF(G705=6,F705,0)</f>
        <v>0</v>
      </c>
      <c r="M705" s="572">
        <f>IF(F705="",0,MONTH(A705))</f>
        <v>3</v>
      </c>
      <c r="P705" s="768" t="inlineStr">
        <is>
          <t>昨年実績</t>
        </is>
      </c>
      <c r="Q705" s="769" t="str">
        <f>IF($F705="","",IFERROR(VLOOKUP($C705&amp;"|"&amp;$D705,科目表!$A$5:$B$200,2,FALSE),"※未登録"))</f>
        <v>図書印刷費</v>
      </c>
      <c r="R705" s="769">
        <f>IF($F705="","",$I705+$J705+$K705)</f>
        <v>26757</v>
      </c>
      <c r="S705" s="769" t="str">
        <f>IF(OR($F705="",$P705="支払なし",$H705=0,$Q705=""),"",$Q705&amp;"|S|"&amp;(COUNTIF(S$4:S704,$Q705&amp;"|S|*")+1))</f>
        <v/>
      </c>
      <c r="T705" s="769" t="str">
        <f>IF(OR($F705="",$P705="支払なし",$R705=0,$Q705=""),"",$Q705&amp;"|L|"&amp;(COUNTIF(T$4:T704,$Q705&amp;"|L|*")+1))</f>
        <v>図書印刷費|L|24</v>
      </c>
      <c r="U705" s="769">
        <f>IF(OR($F705="",$A705=""),"",MOD(MONTH($A705)-4,12)+1)</f>
        <v>12</v>
      </c>
    </row>
    <row r="706" ht="16.5" customFormat="1" customHeight="1" s="43">
      <c r="A706" s="760" t="n">
        <v>46112</v>
      </c>
      <c r="B706" s="761" t="n"/>
      <c r="C706" s="762" t="inlineStr">
        <is>
          <t>事務費</t>
        </is>
      </c>
      <c r="D706" s="762" t="inlineStr">
        <is>
          <t>事務用消耗品費</t>
        </is>
      </c>
      <c r="E706" s="770" t="inlineStr">
        <is>
          <t>トナーカートリッジLPB３T３４　１３本</t>
        </is>
      </c>
      <c r="F706" s="764" t="n">
        <v>98670</v>
      </c>
      <c r="G706" s="764" t="n">
        <v>2</v>
      </c>
      <c r="H706" s="765">
        <f>IF(G706=1,F706-I706-J706-K706,IF(G706=2,F706,0))</f>
        <v>98670</v>
      </c>
      <c r="I706" s="765">
        <f>ROUND(IF(G706=1,F706*10/23,IF(G706=3,F706-J706-K706,IF(G706=4,F706,IF(G706=5,F706*10/11,IF(G706=7,F706*10/11,0))))),0)</f>
        <v>0</v>
      </c>
      <c r="J706" s="765">
        <f>ROUND(IF(G706=1,F706/23,IF(G706=3,F706/12,IF(G706=5,F706-I706,IF(G706=8,F706,0)))),0)</f>
        <v>0</v>
      </c>
      <c r="K706" s="766">
        <f>ROUND(IF(G706=1,F706/23,IF(G706=3,F706/12,IF(G706=6,F706,IF(G706=7,F706-I706,0)))),0)</f>
        <v>0</v>
      </c>
      <c r="L706" s="767">
        <f>IF(G706=6,F706,0)</f>
        <v>0</v>
      </c>
      <c r="M706" s="572">
        <f>IF(F706="",0,MONTH(A706))</f>
        <v>3</v>
      </c>
      <c r="P706" s="768" t="inlineStr">
        <is>
          <t>昨年実績</t>
        </is>
      </c>
      <c r="Q706" s="769" t="str">
        <f>IF($F706="","",IFERROR(VLOOKUP($C706&amp;"|"&amp;$D706,科目表!$A$5:$B$200,2,FALSE),"※未登録"))</f>
        <v>事務用消耗品費</v>
      </c>
      <c r="R706" s="769">
        <f>IF($F706="","",$I706+$J706+$K706)</f>
        <v>0</v>
      </c>
      <c r="S706" s="769" t="str">
        <f>IF(OR($F706="",$P706="支払なし",$H706=0,$Q706=""),"",$Q706&amp;"|S|"&amp;(COUNTIF(S$4:S705,$Q706&amp;"|S|*")+1))</f>
        <v>事務用消耗品費|S|48</v>
      </c>
      <c r="T706" s="769" t="str">
        <f>IF(OR($F706="",$P706="支払なし",$R706=0,$Q706=""),"",$Q706&amp;"|L|"&amp;(COUNTIF(T$4:T705,$Q706&amp;"|L|*")+1))</f>
        <v/>
      </c>
      <c r="U706" s="769">
        <f>IF(OR($F706="",$A706=""),"",MOD(MONTH($A706)-4,12)+1)</f>
        <v>12</v>
      </c>
    </row>
    <row r="707" ht="16.5" customFormat="1" customHeight="1" s="422">
      <c r="A707" s="760" t="n">
        <v>44251</v>
      </c>
      <c r="B707" s="761" t="n"/>
      <c r="C707" s="762" t="inlineStr">
        <is>
          <t>事務費</t>
        </is>
      </c>
      <c r="D707" s="762" t="inlineStr">
        <is>
          <t>送金料</t>
        </is>
      </c>
      <c r="E707" s="775" t="inlineStr">
        <is>
          <t>振込手数料（広銀）２月分　長期分（退職等年金経理　基本料金）</t>
        </is>
      </c>
      <c r="F707" s="764" t="n">
        <v>4180</v>
      </c>
      <c r="G707" s="764" t="n">
        <v>3</v>
      </c>
      <c r="H707" s="765">
        <f>IF(G707=1,F707-I707-J707-K707,IF(G707=2,F707,0))</f>
        <v>0</v>
      </c>
      <c r="I707" s="765">
        <f>ROUND(IF(G707=1,F707*10/23,IF(G707=3,F707-J707-K707,IF(G707=4,F707,IF(G707=5,F707*10/11,IF(G707=7,F707*10/11,0))))),0)</f>
        <v>3484</v>
      </c>
      <c r="J707" s="765">
        <f>ROUND(IF(G707=1,F707/23,IF(G707=3,F707/12,IF(G707=5,F707-I707,IF(G707=8,F707,0)))),0)</f>
        <v>348</v>
      </c>
      <c r="K707" s="766">
        <f>ROUND(IF(G707=1,F707/23,IF(G707=3,F707/12,IF(G707=6,F707,IF(G707=7,F707-I707,0)))),0)</f>
        <v>348</v>
      </c>
      <c r="L707" s="767">
        <f>IF(G707=6,F707,0)</f>
        <v>0</v>
      </c>
      <c r="M707" s="421">
        <f>IF(F707="",0,MONTH(A707))</f>
        <v>2</v>
      </c>
      <c r="P707" s="768" t="inlineStr">
        <is>
          <t>昨年実績</t>
        </is>
      </c>
      <c r="Q707" s="769" t="str">
        <f>IF($F707="","",IFERROR(VLOOKUP($C707&amp;"|"&amp;$D707,科目表!$A$5:$B$200,2,FALSE),"※未登録"))</f>
        <v>送金料</v>
      </c>
      <c r="R707" s="769">
        <f>IF($F707="","",$I707+$J707+$K707)</f>
        <v>4180</v>
      </c>
      <c r="S707" s="769" t="str">
        <f>IF(OR($F707="",$P707="支払なし",$H707=0,$Q707=""),"",$Q707&amp;"|S|"&amp;(COUNTIF(S$4:S706,$Q707&amp;"|S|*")+1))</f>
        <v/>
      </c>
      <c r="T707" s="769" t="str">
        <f>IF(OR($F707="",$P707="支払なし",$R707=0,$Q707=""),"",$Q707&amp;"|L|"&amp;(COUNTIF(T$4:T706,$Q707&amp;"|L|*")+1))</f>
        <v>送金料|L|14</v>
      </c>
      <c r="U707" s="769">
        <f>IF(OR($F707="",$A707=""),"",MOD(MONTH($A707)-4,12)+1)</f>
        <v>11</v>
      </c>
    </row>
    <row r="708" ht="15.75" customFormat="1" customHeight="1" s="43">
      <c r="A708" s="760" t="n">
        <v>46098</v>
      </c>
      <c r="B708" s="761" t="n"/>
      <c r="C708" s="762" t="inlineStr">
        <is>
          <t>事務費負担金払込金</t>
        </is>
      </c>
      <c r="D708" s="762" t="n"/>
      <c r="E708" s="775" t="inlineStr">
        <is>
          <t>３月分事務費負担金払込金　連合会へ払込</t>
        </is>
      </c>
      <c r="F708" s="764" t="n">
        <v>4510000</v>
      </c>
      <c r="G708" s="764" t="n">
        <v>5</v>
      </c>
      <c r="H708" s="765">
        <f>IF(G708=1,F708-I708-J708-K708,IF(G708=2,F708,0))</f>
        <v>0</v>
      </c>
      <c r="I708" s="765">
        <f>ROUND(IF(G708=1,F708*10/23,IF(G708=3,F708-J708-K708,IF(G708=4,F708,IF(G708=5,F708*10/11,IF(G708=7,F708*10/11,0))))),0)</f>
        <v>4100000</v>
      </c>
      <c r="J708" s="765">
        <f>ROUND(IF(G708=1,F708/23,IF(G708=3,F708/12,IF(G708=5,F708-I708,IF(G708=8,F708,0)))),0)</f>
        <v>410000</v>
      </c>
      <c r="K708" s="766">
        <f>ROUND(IF(G708=1,F708/23,IF(G708=3,F708/12,IF(G708=6,F708,IF(G708=7,F708-I708,0)))),0)</f>
        <v>0</v>
      </c>
      <c r="L708" s="767">
        <f>IF(G708=6,F708,0)</f>
        <v>0</v>
      </c>
      <c r="M708" s="572">
        <f>IF(F708="",0,MONTH(A708))</f>
        <v>3</v>
      </c>
      <c r="P708" s="768" t="inlineStr">
        <is>
          <t>昨年実績</t>
        </is>
      </c>
      <c r="Q708" s="769" t="str">
        <f>IF($F708="","",IFERROR(VLOOKUP($C708&amp;"|"&amp;$D708,科目表!$A$5:$B$200,2,FALSE),"※未登録"))</f>
        <v>事務費負担金払込金</v>
      </c>
      <c r="R708" s="769">
        <f>IF($F708="","",$I708+$J708+$K708)</f>
        <v>4510000</v>
      </c>
      <c r="S708" s="769" t="str">
        <f>IF(OR($F708="",$P708="支払なし",$H708=0,$Q708=""),"",$Q708&amp;"|S|"&amp;(COUNTIF(S$4:S707,$Q708&amp;"|S|*")+1))</f>
        <v/>
      </c>
      <c r="T708" s="769" t="str">
        <f>IF(OR($F708="",$P708="支払なし",$R708=0,$Q708=""),"",$Q708&amp;"|L|"&amp;(COUNTIF(T$4:T707,$Q708&amp;"|L|*")+1))</f>
        <v>事務費負担金払込金|L|13</v>
      </c>
      <c r="U708" s="769">
        <f>IF(OR($F708="",$A708=""),"",MOD(MONTH($A708)-4,12)+1)</f>
        <v>12</v>
      </c>
    </row>
    <row r="709" ht="16.5" customFormat="1" customHeight="1" s="422">
      <c r="A709" s="760" t="n">
        <v>44286</v>
      </c>
      <c r="B709" s="761" t="n"/>
      <c r="C709" s="762" t="inlineStr">
        <is>
          <t>委託費</t>
        </is>
      </c>
      <c r="D709" s="762" t="n"/>
      <c r="E709" s="762" t="inlineStr">
        <is>
          <t>健康スコアリングレポート作成業務</t>
        </is>
      </c>
      <c r="F709" s="764" t="n">
        <v>6875</v>
      </c>
      <c r="G709" s="764" t="n">
        <v>2</v>
      </c>
      <c r="H709" s="765">
        <f>IF(G709=1,F709-I709-J709-K709,IF(G709=2,F709,0))</f>
        <v>6875</v>
      </c>
      <c r="I709" s="765">
        <f>ROUND(IF(G709=1,F709*10/23,IF(G709=3,F709-J709-K709,IF(G709=4,F709,IF(G709=5,F709*10/11,IF(G709=7,F709*10/11,0))))),0)</f>
        <v>0</v>
      </c>
      <c r="J709" s="765">
        <f>ROUND(IF(G709=1,F709/23,IF(G709=3,F709/12,IF(G709=5,F709-I709,IF(G709=8,F709,0)))),0)</f>
        <v>0</v>
      </c>
      <c r="K709" s="766">
        <f>ROUND(IF(G709=1,F709/23,IF(G709=3,F709/12,IF(G709=6,F709,IF(G709=7,F709-I709,0)))),0)</f>
        <v>0</v>
      </c>
      <c r="L709" s="767">
        <f>IF(G709=6,F709,0)</f>
        <v>0</v>
      </c>
      <c r="M709" s="421">
        <f>IF(F709="",0,MONTH(A709))</f>
        <v>3</v>
      </c>
      <c r="P709" s="768" t="inlineStr">
        <is>
          <t>昨年実績</t>
        </is>
      </c>
      <c r="Q709" s="769" t="str">
        <f>IF($F709="","",IFERROR(VLOOKUP($C709&amp;"|"&amp;$D709,科目表!$A$5:$B$200,2,FALSE),"※未登録"))</f>
        <v>委託費</v>
      </c>
      <c r="R709" s="769">
        <f>IF($F709="","",$I709+$J709+$K709)</f>
        <v>0</v>
      </c>
      <c r="S709" s="769" t="str">
        <f>IF(OR($F709="",$P709="支払なし",$H709=0,$Q709=""),"",$Q709&amp;"|S|"&amp;(COUNTIF(S$4:S708,$Q709&amp;"|S|*")+1))</f>
        <v>委託費|S|72</v>
      </c>
      <c r="T709" s="769" t="str">
        <f>IF(OR($F709="",$P709="支払なし",$R709=0,$Q709=""),"",$Q709&amp;"|L|"&amp;(COUNTIF(T$4:T708,$Q709&amp;"|L|*")+1))</f>
        <v/>
      </c>
      <c r="U709" s="769">
        <f>IF(OR($F709="",$A709=""),"",MOD(MONTH($A709)-4,12)+1)</f>
        <v>12</v>
      </c>
    </row>
    <row r="710" ht="16.5" customFormat="1" customHeight="1" s="422">
      <c r="A710" s="760" t="n">
        <v>45015</v>
      </c>
      <c r="B710" s="761" t="n"/>
      <c r="C710" s="762" t="inlineStr">
        <is>
          <t>事務費</t>
        </is>
      </c>
      <c r="D710" s="762" t="inlineStr">
        <is>
          <t>送金料</t>
        </is>
      </c>
      <c r="E710" s="806" t="inlineStr">
        <is>
          <t>ＪＡ広島振込手数料</t>
        </is>
      </c>
      <c r="F710" s="786" t="n">
        <v>1540</v>
      </c>
      <c r="G710" s="764" t="n">
        <v>2</v>
      </c>
      <c r="H710" s="765">
        <f>IF(G710=1,F710-I710-J710-K710,IF(G710=2,F710,0))</f>
        <v>1540</v>
      </c>
      <c r="I710" s="765">
        <f>ROUND(IF(G710=1,F710*10/23,IF(G710=3,F710-J710-K710,IF(G710=4,F710,IF(G710=5,F710*10/11,IF(G710=7,F710*10/11,0))))),0)</f>
        <v>0</v>
      </c>
      <c r="J710" s="765">
        <f>ROUND(IF(G710=1,F710/23,IF(G710=3,F710/12,IF(G710=5,F710-I710,IF(G710=8,F710,0)))),0)</f>
        <v>0</v>
      </c>
      <c r="K710" s="766">
        <f>ROUND(IF(G710=1,F710/23,IF(G710=3,F710/12,IF(G710=6,F710,IF(G710=7,F710-I710,0)))),0)</f>
        <v>0</v>
      </c>
      <c r="L710" s="767">
        <f>IF(G710=6,F710,0)</f>
        <v>0</v>
      </c>
      <c r="M710" s="421">
        <f>IF(F710="",0,MONTH(A710))</f>
        <v>3</v>
      </c>
      <c r="P710" s="768" t="inlineStr">
        <is>
          <t>昨年実績</t>
        </is>
      </c>
      <c r="Q710" s="769" t="str">
        <f>IF($F710="","",IFERROR(VLOOKUP($C710&amp;"|"&amp;$D710,科目表!$A$5:$B$200,2,FALSE),"※未登録"))</f>
        <v>送金料</v>
      </c>
      <c r="R710" s="769">
        <f>IF($F710="","",$I710+$J710+$K710)</f>
        <v>0</v>
      </c>
      <c r="S710" s="769" t="str">
        <f>IF(OR($F710="",$P710="支払なし",$H710=0,$Q710=""),"",$Q710&amp;"|S|"&amp;(COUNTIF(S$4:S709,$Q710&amp;"|S|*")+1))</f>
        <v>送金料|S|24</v>
      </c>
      <c r="T710" s="769" t="str">
        <f>IF(OR($F710="",$P710="支払なし",$R710=0,$Q710=""),"",$Q710&amp;"|L|"&amp;(COUNTIF(T$4:T709,$Q710&amp;"|L|*")+1))</f>
        <v/>
      </c>
      <c r="U710" s="769">
        <f>IF(OR($F710="",$A710=""),"",MOD(MONTH($A710)-4,12)+1)</f>
        <v>12</v>
      </c>
    </row>
    <row r="711" ht="16.5" customFormat="1" customHeight="1" s="422">
      <c r="A711" s="760" t="n"/>
      <c r="B711" s="761" t="n"/>
      <c r="C711" s="762" t="n"/>
      <c r="D711" s="762" t="n"/>
      <c r="E711" s="762" t="n"/>
      <c r="F711" s="772" t="n"/>
      <c r="G711" s="764" t="n"/>
      <c r="H711" s="765">
        <f>IF(G711=1,F711-I711-J711-K711,IF(G711=2,F711,0))</f>
        <v>0</v>
      </c>
      <c r="I711" s="765">
        <f>ROUND(IF(G711=1,F711*10/23,IF(G711=3,F711-J711-K711,IF(G711=4,F711,IF(G711=5,F711*10/11,IF(G711=7,F711*10/11,0))))),0)</f>
        <v>0</v>
      </c>
      <c r="J711" s="765">
        <f>ROUND(IF(G711=1,F711/23,IF(G711=3,F711/12,IF(G711=5,F711-I711,IF(G711=8,F711,0)))),0)</f>
        <v>0</v>
      </c>
      <c r="K711" s="766">
        <f>ROUND(IF(G711=1,F711/23,IF(G711=3,F711/12,IF(G711=6,F711,IF(G711=7,F711-I711,0)))),0)</f>
        <v>0</v>
      </c>
      <c r="L711" s="767">
        <f>IF(G711=6,F711,0)</f>
        <v>0</v>
      </c>
      <c r="M711" s="421">
        <f>IF(F711="",0,MONTH(A711))</f>
        <v>0</v>
      </c>
      <c r="P711" s="768" t="n"/>
      <c r="Q711" s="769" t="str">
        <f>IF($F711="","",IFERROR(VLOOKUP($C711&amp;"|"&amp;$D711,科目表!$A$5:$B$200,2,FALSE),"※未登録"))</f>
        <v/>
      </c>
      <c r="R711" s="769" t="str">
        <f>IF($F711="","",$I711+$J711+$K711)</f>
        <v/>
      </c>
      <c r="S711" s="769" t="str">
        <f>IF(OR($F711="",$P711="支払なし",$H711=0,$Q711=""),"",$Q711&amp;"|S|"&amp;(COUNTIF(S$4:S710,$Q711&amp;"|S|*")+1))</f>
        <v/>
      </c>
      <c r="T711" s="769" t="str">
        <f>IF(OR($F711="",$P711="支払なし",$R711=0,$Q711=""),"",$Q711&amp;"|L|"&amp;(COUNTIF(T$4:T710,$Q711&amp;"|L|*")+1))</f>
        <v/>
      </c>
      <c r="U711" s="769" t="str">
        <f>IF(OR($F711="",$A711=""),"",MOD(MONTH($A711)-4,12)+1)</f>
        <v/>
      </c>
    </row>
    <row r="712" ht="16.5" customFormat="1" customHeight="1" s="422">
      <c r="A712" s="760" t="n">
        <v>45747</v>
      </c>
      <c r="B712" s="761" t="n"/>
      <c r="C712" s="762" t="inlineStr">
        <is>
          <t>事務費</t>
        </is>
      </c>
      <c r="D712" s="762" t="inlineStr">
        <is>
          <t>通信運搬費</t>
        </is>
      </c>
      <c r="E712" s="763" t="inlineStr">
        <is>
          <t>フレッツ光ネクスト利用料等（2月利用・3月請求分）</t>
        </is>
      </c>
      <c r="F712" s="772" t="n">
        <v>5126</v>
      </c>
      <c r="G712" s="772" t="n">
        <v>2</v>
      </c>
      <c r="H712" s="765">
        <f>IF(G712=1,F712-I712-J712-K712,IF(G712=2,F712,0))</f>
        <v>5126</v>
      </c>
      <c r="I712" s="765">
        <f>ROUND(IF(G712=1,F712*10/23,IF(G712=3,F712-J712-K712,IF(G712=4,F712,IF(G712=5,F712*10/11,IF(G712=7,F712*10/11,0))))),0)</f>
        <v>0</v>
      </c>
      <c r="J712" s="765">
        <f>ROUND(IF(G712=1,F712/23,IF(G712=3,F712/12,IF(G712=5,F712-I712,IF(G712=8,F712,0)))),0)</f>
        <v>0</v>
      </c>
      <c r="K712" s="766">
        <f>ROUND(IF(G712=1,F712/23,IF(G712=3,F712/12,IF(G712=6,F712,IF(G712=7,F712-I712,0)))),0)</f>
        <v>0</v>
      </c>
      <c r="L712" s="767">
        <f>IF(G712=6,F712,0)</f>
        <v>0</v>
      </c>
      <c r="M712" s="421">
        <f>IF(F712="",0,MONTH(A712))</f>
        <v>3</v>
      </c>
      <c r="P712" s="768" t="inlineStr">
        <is>
          <t>昨年実績</t>
        </is>
      </c>
      <c r="Q712" s="769" t="str">
        <f>IF($F712="","",IFERROR(VLOOKUP($C712&amp;"|"&amp;$D712,科目表!$A$5:$B$200,2,FALSE),"※未登録"))</f>
        <v>通信運搬費</v>
      </c>
      <c r="R712" s="769">
        <f>IF($F712="","",$I712+$J712+$K712)</f>
        <v>0</v>
      </c>
      <c r="S712" s="769" t="str">
        <f>IF(OR($F712="",$P712="支払なし",$H712=0,$Q712=""),"",$Q712&amp;"|S|"&amp;(COUNTIF(S$4:S711,$Q712&amp;"|S|*")+1))</f>
        <v>通信運搬費|S|75</v>
      </c>
      <c r="T712" s="769" t="str">
        <f>IF(OR($F712="",$P712="支払なし",$R712=0,$Q712=""),"",$Q712&amp;"|L|"&amp;(COUNTIF(T$4:T711,$Q712&amp;"|L|*")+1))</f>
        <v/>
      </c>
      <c r="U712" s="769">
        <f>IF(OR($F712="",$A712=""),"",MOD(MONTH($A712)-4,12)+1)</f>
        <v>12</v>
      </c>
    </row>
    <row r="713" ht="16.5" customFormat="1" customHeight="1" s="422">
      <c r="A713" s="760" t="n"/>
      <c r="B713" s="761" t="n"/>
      <c r="C713" s="762" t="n"/>
      <c r="D713" s="762" t="n"/>
      <c r="E713" s="762" t="n"/>
      <c r="F713" s="772" t="n"/>
      <c r="G713" s="764" t="n"/>
      <c r="H713" s="765">
        <f>IF(G713=1,F713-I713-J713-K713,IF(G713=2,F713,0))</f>
        <v>0</v>
      </c>
      <c r="I713" s="765">
        <f>ROUND(IF(G713=1,F713*10/23,IF(G713=3,F713-J713-K713,IF(G713=4,F713,IF(G713=5,F713*10/11,IF(G713=7,F713*10/11,0))))),0)</f>
        <v>0</v>
      </c>
      <c r="J713" s="765">
        <f>ROUND(IF(G713=1,F713/23,IF(G713=3,F713/12,IF(G713=5,F713-I713,IF(G713=8,F713,0)))),0)</f>
        <v>0</v>
      </c>
      <c r="K713" s="766">
        <f>ROUND(IF(G713=1,F713/23,IF(G713=3,F713/12,IF(G713=6,F713,IF(G713=7,F713-I713,0)))),0)</f>
        <v>0</v>
      </c>
      <c r="L713" s="767">
        <f>IF(G713=6,F713,0)</f>
        <v>0</v>
      </c>
      <c r="M713" s="421">
        <f>IF(F713="",0,MONTH(A713))</f>
        <v>0</v>
      </c>
      <c r="P713" s="768" t="n"/>
      <c r="Q713" s="769" t="str">
        <f>IF($F713="","",IFERROR(VLOOKUP($C713&amp;"|"&amp;$D713,科目表!$A$5:$B$200,2,FALSE),"※未登録"))</f>
        <v/>
      </c>
      <c r="R713" s="769" t="str">
        <f>IF($F713="","",$I713+$J713+$K713)</f>
        <v/>
      </c>
      <c r="S713" s="769" t="str">
        <f>IF(OR($F713="",$P713="支払なし",$H713=0,$Q713=""),"",$Q713&amp;"|S|"&amp;(COUNTIF(S$4:S712,$Q713&amp;"|S|*")+1))</f>
        <v/>
      </c>
      <c r="T713" s="769" t="str">
        <f>IF(OR($F713="",$P713="支払なし",$R713=0,$Q713=""),"",$Q713&amp;"|L|"&amp;(COUNTIF(T$4:T712,$Q713&amp;"|L|*")+1))</f>
        <v/>
      </c>
      <c r="U713" s="769" t="str">
        <f>IF(OR($F713="",$A713=""),"",MOD(MONTH($A713)-4,12)+1)</f>
        <v/>
      </c>
    </row>
    <row r="714" ht="16.5" customFormat="1" customHeight="1" s="422">
      <c r="A714" s="760" t="n"/>
      <c r="B714" s="761" t="n"/>
      <c r="C714" s="762" t="n"/>
      <c r="D714" s="762" t="n"/>
      <c r="E714" s="775" t="n"/>
      <c r="F714" s="764" t="n"/>
      <c r="G714" s="764" t="n"/>
      <c r="H714" s="765">
        <f>IF(G714=1,F714-I714-J714-K714,IF(G714=2,F714,0))</f>
        <v>0</v>
      </c>
      <c r="I714" s="765">
        <f>ROUND(IF(G714=1,F714*10/23,IF(G714=3,F714-J714-K714,IF(G714=4,F714,IF(G714=5,F714*10/11,IF(G714=7,F714*10/11,0))))),0)</f>
        <v>0</v>
      </c>
      <c r="J714" s="765">
        <f>ROUND(IF(G714=1,F714/23,IF(G714=3,F714/12,IF(G714=5,F714-I714,IF(G714=8,F714,0)))),0)</f>
        <v>0</v>
      </c>
      <c r="K714" s="766">
        <f>ROUND(IF(G714=1,F714/23,IF(G714=3,F714/12,IF(G714=6,F714,IF(G714=7,F714-I714,0)))),0)</f>
        <v>0</v>
      </c>
      <c r="L714" s="767">
        <f>IF(G714=6,F714,0)</f>
        <v>0</v>
      </c>
      <c r="M714" s="421">
        <f>IF(F714="",0,MONTH(A714))</f>
        <v>0</v>
      </c>
      <c r="P714" s="768" t="n"/>
      <c r="Q714" s="769" t="str">
        <f>IF($F714="","",IFERROR(VLOOKUP($C714&amp;"|"&amp;$D714,科目表!$A$5:$B$200,2,FALSE),"※未登録"))</f>
        <v/>
      </c>
      <c r="R714" s="769" t="str">
        <f>IF($F714="","",$I714+$J714+$K714)</f>
        <v/>
      </c>
      <c r="S714" s="769" t="str">
        <f>IF(OR($F714="",$P714="支払なし",$H714=0,$Q714=""),"",$Q714&amp;"|S|"&amp;(COUNTIF(S$4:S713,$Q714&amp;"|S|*")+1))</f>
        <v/>
      </c>
      <c r="T714" s="769" t="str">
        <f>IF(OR($F714="",$P714="支払なし",$R714=0,$Q714=""),"",$Q714&amp;"|L|"&amp;(COUNTIF(T$4:T713,$Q714&amp;"|L|*")+1))</f>
        <v/>
      </c>
      <c r="U714" s="769" t="str">
        <f>IF(OR($F714="",$A714=""),"",MOD(MONTH($A714)-4,12)+1)</f>
        <v/>
      </c>
    </row>
    <row r="715" ht="16.5" customFormat="1" customHeight="1" s="43">
      <c r="A715" s="760" t="n">
        <v>46112</v>
      </c>
      <c r="B715" s="761" t="n"/>
      <c r="C715" s="762" t="inlineStr">
        <is>
          <t>負担金</t>
        </is>
      </c>
      <c r="D715" s="762" t="inlineStr">
        <is>
          <t>厚年負担金等</t>
        </is>
      </c>
      <c r="E715" s="775" t="inlineStr">
        <is>
          <t>２月月例分（短期分）子ども子育て拠出金を含む</t>
        </is>
      </c>
      <c r="F715" s="807" t="n">
        <v>59913</v>
      </c>
      <c r="G715" s="764" t="n">
        <v>2</v>
      </c>
      <c r="H715" s="765">
        <f>IF(G715=1,F715-I715-J715-K715,IF(G715=2,F715,0))</f>
        <v>59913</v>
      </c>
      <c r="I715" s="765">
        <f>ROUND(IF(G715=1,F715*10/23,IF(G715=3,F715-J715-K715,IF(G715=4,F715,IF(G715=5,F715*10/11,IF(G715=7,F715*10/11,0))))),0)</f>
        <v>0</v>
      </c>
      <c r="J715" s="765">
        <f>ROUND(IF(G715=1,F715/23,IF(G715=3,F715/12,IF(G715=5,F715-I715,IF(G715=8,F715,0)))),0)</f>
        <v>0</v>
      </c>
      <c r="K715" s="766">
        <f>ROUND(IF(G715=1,F715/23,IF(G715=3,F715/12,IF(G715=6,F715,IF(G715=7,F715-I715,0)))),0)</f>
        <v>0</v>
      </c>
      <c r="L715" s="767">
        <f>IF(G715=6,F715,0)</f>
        <v>0</v>
      </c>
      <c r="M715" s="572">
        <f>IF(F715="",0,MONTH(A715))</f>
        <v>3</v>
      </c>
      <c r="P715" s="768" t="inlineStr">
        <is>
          <t>昨年実績</t>
        </is>
      </c>
      <c r="Q715" s="769" t="str">
        <f>IF($F715="","",IFERROR(VLOOKUP($C715&amp;"|"&amp;$D715,科目表!$A$5:$B$200,2,FALSE),"※未登録"))</f>
        <v>厚年負担金等</v>
      </c>
      <c r="R715" s="769">
        <f>IF($F715="","",$I715+$J715+$K715)</f>
        <v>0</v>
      </c>
      <c r="S715" s="769" t="str">
        <f>IF(OR($F715="",$P715="支払なし",$H715=0,$Q715=""),"",$Q715&amp;"|S|"&amp;(COUNTIF(S$4:S714,$Q715&amp;"|S|*")+1))</f>
        <v>厚年負担金等|S|11</v>
      </c>
      <c r="T715" s="769" t="str">
        <f>IF(OR($F715="",$P715="支払なし",$R715=0,$Q715=""),"",$Q715&amp;"|L|"&amp;(COUNTIF(T$4:T714,$Q715&amp;"|L|*")+1))</f>
        <v/>
      </c>
      <c r="U715" s="769">
        <f>IF(OR($F715="",$A715=""),"",MOD(MONTH($A715)-4,12)+1)</f>
        <v>12</v>
      </c>
    </row>
    <row r="716" ht="16.5" customFormat="1" customHeight="1" s="43">
      <c r="A716" s="760" t="n">
        <v>46112</v>
      </c>
      <c r="B716" s="761" t="n"/>
      <c r="C716" s="762" t="inlineStr">
        <is>
          <t>負担金</t>
        </is>
      </c>
      <c r="D716" s="762" t="inlineStr">
        <is>
          <t>厚年負担金等</t>
        </is>
      </c>
      <c r="E716" s="775" t="inlineStr">
        <is>
          <t>２月月例分（長期分）子ども子育て拠出金を含む</t>
        </is>
      </c>
      <c r="F716" s="807" t="n">
        <v>37089</v>
      </c>
      <c r="G716" s="764" t="n">
        <v>3</v>
      </c>
      <c r="H716" s="765">
        <f>IF(G716=1,F716-I716-J716-K716,IF(G716=2,F716,0))</f>
        <v>0</v>
      </c>
      <c r="I716" s="765">
        <f>ROUND(IF(G716=1,F716*10/23,IF(G716=3,F716-J716-K716,IF(G716=4,F716,IF(G716=5,F716*10/11,IF(G716=7,F716*10/11,0))))),0)</f>
        <v>30907</v>
      </c>
      <c r="J716" s="765">
        <f>ROUND(IF(G716=1,F716/23,IF(G716=3,F716/12,IF(G716=5,F716-I716,IF(G716=8,F716,0)))),0)</f>
        <v>3091</v>
      </c>
      <c r="K716" s="766">
        <f>ROUND(IF(G716=1,F716/23,IF(G716=3,F716/12,IF(G716=6,F716,IF(G716=7,F716-I716,0)))),0)</f>
        <v>3091</v>
      </c>
      <c r="L716" s="767">
        <f>IF(G716=6,F716,0)</f>
        <v>0</v>
      </c>
      <c r="M716" s="572">
        <f>IF(F716="",0,MONTH(A716))</f>
        <v>3</v>
      </c>
      <c r="P716" s="768" t="inlineStr">
        <is>
          <t>昨年実績</t>
        </is>
      </c>
      <c r="Q716" s="769" t="str">
        <f>IF($F716="","",IFERROR(VLOOKUP($C716&amp;"|"&amp;$D716,科目表!$A$5:$B$200,2,FALSE),"※未登録"))</f>
        <v>厚年負担金等</v>
      </c>
      <c r="R716" s="769">
        <f>IF($F716="","",$I716+$J716+$K716)</f>
        <v>37089</v>
      </c>
      <c r="S716" s="769" t="str">
        <f>IF(OR($F716="",$P716="支払なし",$H716=0,$Q716=""),"",$Q716&amp;"|S|"&amp;(COUNTIF(S$4:S715,$Q716&amp;"|S|*")+1))</f>
        <v/>
      </c>
      <c r="T716" s="769" t="str">
        <f>IF(OR($F716="",$P716="支払なし",$R716=0,$Q716=""),"",$Q716&amp;"|L|"&amp;(COUNTIF(T$4:T715,$Q716&amp;"|L|*")+1))</f>
        <v>厚年負担金等|L|11</v>
      </c>
      <c r="U716" s="769">
        <f>IF(OR($F716="",$A716=""),"",MOD(MONTH($A716)-4,12)+1)</f>
        <v>12</v>
      </c>
    </row>
    <row r="717" ht="16.5" customFormat="1" customHeight="1" s="422">
      <c r="A717" s="760" t="n">
        <v>45380</v>
      </c>
      <c r="B717" s="761" t="n"/>
      <c r="C717" s="762" t="inlineStr">
        <is>
          <t>事務費</t>
        </is>
      </c>
      <c r="D717" s="762" t="inlineStr">
        <is>
          <t>図書印刷費</t>
        </is>
      </c>
      <c r="E717" s="770" t="inlineStr">
        <is>
          <t>厚生法規総覧追録　５８３６－５８４５号</t>
        </is>
      </c>
      <c r="F717" s="764" t="n">
        <v>33154</v>
      </c>
      <c r="G717" s="772" t="n">
        <v>2</v>
      </c>
      <c r="H717" s="765">
        <f>IF(G717=1,F717-I717-J717-K717,IF(G717=2,F717,0))</f>
        <v>33154</v>
      </c>
      <c r="I717" s="765">
        <f>ROUND(IF(G717=1,F717*10/23,IF(G717=3,F717-J717-K717,IF(G717=4,F717,IF(G717=5,F717*10/11,IF(G717=7,F717*10/11,0))))),0)</f>
        <v>0</v>
      </c>
      <c r="J717" s="765">
        <f>ROUND(IF(G717=1,F717/23,IF(G717=3,F717/12,IF(G717=5,F717-I717,IF(G717=8,F717,0)))),0)</f>
        <v>0</v>
      </c>
      <c r="K717" s="766">
        <f>ROUND(IF(G717=1,F717/23,IF(G717=3,F717/12,IF(G717=6,F717,IF(G717=7,F717-I717,0)))),0)</f>
        <v>0</v>
      </c>
      <c r="L717" s="767">
        <f>IF(G717=6,F717,0)</f>
        <v>0</v>
      </c>
      <c r="M717" s="421">
        <f>IF(F717="",0,MONTH(A717))</f>
        <v>3</v>
      </c>
      <c r="P717" s="768" t="inlineStr">
        <is>
          <t>昨年実績</t>
        </is>
      </c>
      <c r="Q717" s="769" t="str">
        <f>IF($F717="","",IFERROR(VLOOKUP($C717&amp;"|"&amp;$D717,科目表!$A$5:$B$200,2,FALSE),"※未登録"))</f>
        <v>図書印刷費</v>
      </c>
      <c r="R717" s="769">
        <f>IF($F717="","",$I717+$J717+$K717)</f>
        <v>0</v>
      </c>
      <c r="S717" s="769" t="str">
        <f>IF(OR($F717="",$P717="支払なし",$H717=0,$Q717=""),"",$Q717&amp;"|S|"&amp;(COUNTIF(S$4:S716,$Q717&amp;"|S|*")+1))</f>
        <v>図書印刷費|S|36</v>
      </c>
      <c r="T717" s="769" t="str">
        <f>IF(OR($F717="",$P717="支払なし",$R717=0,$Q717=""),"",$Q717&amp;"|L|"&amp;(COUNTIF(T$4:T716,$Q717&amp;"|L|*")+1))</f>
        <v/>
      </c>
      <c r="U717" s="769">
        <f>IF(OR($F717="",$A717=""),"",MOD(MONTH($A717)-4,12)+1)</f>
        <v>12</v>
      </c>
    </row>
    <row r="718" ht="16.5" customFormat="1" customHeight="1" s="422">
      <c r="A718" s="760" t="n">
        <v>45747</v>
      </c>
      <c r="B718" s="761" t="n"/>
      <c r="C718" s="762" t="inlineStr">
        <is>
          <t>事務費</t>
        </is>
      </c>
      <c r="D718" s="762" t="inlineStr">
        <is>
          <t>事務用消耗品費</t>
        </is>
      </c>
      <c r="E718" s="770" t="inlineStr">
        <is>
          <t>キャパティE5 　FB-E4-CRN 7個　他</t>
        </is>
      </c>
      <c r="F718" s="764" t="n">
        <v>49633</v>
      </c>
      <c r="G718" s="772" t="n">
        <v>2</v>
      </c>
      <c r="H718" s="765">
        <f>IF(G718=1,F718-I718-J718-K718,IF(G718=2,F718,0))</f>
        <v>49633</v>
      </c>
      <c r="I718" s="765">
        <f>ROUND(IF(G718=1,F718*10/23,IF(G718=3,F718-J718-K718,IF(G718=4,F718,IF(G718=5,F718*10/11,IF(G718=7,F718*10/11,0))))),0)</f>
        <v>0</v>
      </c>
      <c r="J718" s="765">
        <f>ROUND(IF(G718=1,F718/23,IF(G718=3,F718/12,IF(G718=5,F718-I718,IF(G718=8,F718,0)))),0)</f>
        <v>0</v>
      </c>
      <c r="K718" s="766">
        <f>ROUND(IF(G718=1,F718/23,IF(G718=3,F718/12,IF(G718=6,F718,IF(G718=7,F718-I718,0)))),0)</f>
        <v>0</v>
      </c>
      <c r="L718" s="767">
        <f>IF(G718=6,F718,0)</f>
        <v>0</v>
      </c>
      <c r="M718" s="421">
        <f>IF(F718="",0,MONTH(A718))</f>
        <v>3</v>
      </c>
      <c r="P718" s="768" t="inlineStr">
        <is>
          <t>昨年実績</t>
        </is>
      </c>
      <c r="Q718" s="769" t="str">
        <f>IF($F718="","",IFERROR(VLOOKUP($C718&amp;"|"&amp;$D718,科目表!$A$5:$B$200,2,FALSE),"※未登録"))</f>
        <v>事務用消耗品費</v>
      </c>
      <c r="R718" s="769">
        <f>IF($F718="","",$I718+$J718+$K718)</f>
        <v>0</v>
      </c>
      <c r="S718" s="769" t="str">
        <f>IF(OR($F718="",$P718="支払なし",$H718=0,$Q718=""),"",$Q718&amp;"|S|"&amp;(COUNTIF(S$4:S717,$Q718&amp;"|S|*")+1))</f>
        <v>事務用消耗品費|S|49</v>
      </c>
      <c r="T718" s="769" t="str">
        <f>IF(OR($F718="",$P718="支払なし",$R718=0,$Q718=""),"",$Q718&amp;"|L|"&amp;(COUNTIF(T$4:T717,$Q718&amp;"|L|*")+1))</f>
        <v/>
      </c>
      <c r="U718" s="769">
        <f>IF(OR($F718="",$A718=""),"",MOD(MONTH($A718)-4,12)+1)</f>
        <v>12</v>
      </c>
    </row>
    <row r="719" ht="16.5" customFormat="1" customHeight="1" s="422">
      <c r="A719" s="760" t="n">
        <v>45001</v>
      </c>
      <c r="B719" s="761" t="n"/>
      <c r="C719" s="762" t="inlineStr">
        <is>
          <t>事務費</t>
        </is>
      </c>
      <c r="D719" s="762" t="inlineStr">
        <is>
          <t>事務用消耗品費</t>
        </is>
      </c>
      <c r="E719" s="796" t="inlineStr">
        <is>
          <t>トナーカートリッジＬＰＢ３Ｔ２７　９本</t>
        </is>
      </c>
      <c r="F719" s="764" t="n">
        <v>48510</v>
      </c>
      <c r="G719" s="764" t="n">
        <v>3</v>
      </c>
      <c r="H719" s="765">
        <f>IF(G719=1,F719-I719-J719-K719,IF(G719=2,F719,0))</f>
        <v>0</v>
      </c>
      <c r="I719" s="765">
        <f>ROUND(IF(G719=1,F719*10/23,IF(G719=3,F719-J719-K719,IF(G719=4,F719,IF(G719=5,F719*10/11,IF(G719=7,F719*10/11,0))))),0)</f>
        <v>40424</v>
      </c>
      <c r="J719" s="765">
        <f>ROUND(IF(G719=1,F719/23,IF(G719=3,F719/12,IF(G719=5,F719-I719,IF(G719=8,F719,0)))),0)</f>
        <v>4043</v>
      </c>
      <c r="K719" s="766">
        <f>ROUND(IF(G719=1,F719/23,IF(G719=3,F719/12,IF(G719=6,F719,IF(G719=7,F719-I719,0)))),0)</f>
        <v>4043</v>
      </c>
      <c r="L719" s="767">
        <f>IF(G719=6,F719,0)</f>
        <v>0</v>
      </c>
      <c r="M719" s="421">
        <f>IF(F719="",0,MONTH(A719))</f>
        <v>3</v>
      </c>
      <c r="P719" s="768" t="inlineStr">
        <is>
          <t>昨年実績</t>
        </is>
      </c>
      <c r="Q719" s="769" t="str">
        <f>IF($F719="","",IFERROR(VLOOKUP($C719&amp;"|"&amp;$D719,科目表!$A$5:$B$200,2,FALSE),"※未登録"))</f>
        <v>事務用消耗品費</v>
      </c>
      <c r="R719" s="769">
        <f>IF($F719="","",$I719+$J719+$K719)</f>
        <v>48510</v>
      </c>
      <c r="S719" s="769" t="str">
        <f>IF(OR($F719="",$P719="支払なし",$H719=0,$Q719=""),"",$Q719&amp;"|S|"&amp;(COUNTIF(S$4:S718,$Q719&amp;"|S|*")+1))</f>
        <v/>
      </c>
      <c r="T719" s="769" t="str">
        <f>IF(OR($F719="",$P719="支払なし",$R719=0,$Q719=""),"",$Q719&amp;"|L|"&amp;(COUNTIF(T$4:T718,$Q719&amp;"|L|*")+1))</f>
        <v>事務用消耗品費|L|28</v>
      </c>
      <c r="U719" s="769">
        <f>IF(OR($F719="",$A719=""),"",MOD(MONTH($A719)-4,12)+1)</f>
        <v>12</v>
      </c>
    </row>
    <row r="720" ht="16.5" customFormat="1" customHeight="1" s="422">
      <c r="A720" s="760" t="n">
        <v>45016</v>
      </c>
      <c r="B720" s="761" t="n"/>
      <c r="C720" s="762" t="inlineStr">
        <is>
          <t>器具及び備品</t>
        </is>
      </c>
      <c r="D720" s="762" t="n"/>
      <c r="E720" s="808" t="inlineStr">
        <is>
          <t>個人番号管理システム端末 ハードウェア</t>
        </is>
      </c>
      <c r="F720" s="809" t="n">
        <v>127710</v>
      </c>
      <c r="G720" s="772" t="n">
        <v>2</v>
      </c>
      <c r="H720" s="765">
        <f>IF(G720=1,F720-I720-J720-K720,IF(G720=2,F720,0))</f>
        <v>127710</v>
      </c>
      <c r="I720" s="765">
        <f>ROUND(IF(G720=1,F720*10/23,IF(G720=3,F720-J720-K720,IF(G720=4,F720,IF(G720=5,F720*10/11,IF(G720=7,F720*10/11,0))))),0)</f>
        <v>0</v>
      </c>
      <c r="J720" s="765">
        <f>ROUND(IF(G720=1,F720/23,IF(G720=3,F720/12,IF(G720=5,F720-I720,IF(G720=8,F720,0)))),0)</f>
        <v>0</v>
      </c>
      <c r="K720" s="766">
        <f>ROUND(IF(G720=1,F720/23,IF(G720=3,F720/12,IF(G720=6,F720,IF(G720=7,F720-I720,0)))),0)</f>
        <v>0</v>
      </c>
      <c r="L720" s="767">
        <f>IF(G720=6,F720,0)</f>
        <v>0</v>
      </c>
      <c r="M720" s="421">
        <f>IF(F720="",0,MONTH(A720))</f>
        <v>3</v>
      </c>
      <c r="P720" s="768" t="inlineStr">
        <is>
          <t>昨年実績</t>
        </is>
      </c>
      <c r="Q720" s="769" t="str">
        <f>IF($F720="","",IFERROR(VLOOKUP($C720&amp;"|"&amp;$D720,科目表!$A$5:$B$200,2,FALSE),"※未登録"))</f>
        <v>器具及び備品</v>
      </c>
      <c r="R720" s="769">
        <f>IF($F720="","",$I720+$J720+$K720)</f>
        <v>0</v>
      </c>
      <c r="S720" s="769" t="str">
        <f>IF(OR($F720="",$P720="支払なし",$H720=0,$Q720=""),"",$Q720&amp;"|S|"&amp;(COUNTIF(S$4:S719,$Q720&amp;"|S|*")+1))</f>
        <v>器具及び備品|S|2</v>
      </c>
      <c r="T720" s="769" t="str">
        <f>IF(OR($F720="",$P720="支払なし",$R720=0,$Q720=""),"",$Q720&amp;"|L|"&amp;(COUNTIF(T$4:T719,$Q720&amp;"|L|*")+1))</f>
        <v/>
      </c>
      <c r="U720" s="769">
        <f>IF(OR($F720="",$A720=""),"",MOD(MONTH($A720)-4,12)+1)</f>
        <v>12</v>
      </c>
    </row>
    <row r="721" ht="16.5" customFormat="1" customHeight="1" s="422">
      <c r="A721" s="760" t="n">
        <v>45016</v>
      </c>
      <c r="B721" s="761" t="n"/>
      <c r="C721" s="762" t="inlineStr">
        <is>
          <t>事務費</t>
        </is>
      </c>
      <c r="D721" s="762" t="inlineStr">
        <is>
          <t>事務用消耗品費</t>
        </is>
      </c>
      <c r="E721" s="808" t="inlineStr">
        <is>
          <t>個人番号管理システム端末 ソフトウェアほか</t>
        </is>
      </c>
      <c r="F721" s="786" t="n">
        <v>61270</v>
      </c>
      <c r="G721" s="772" t="n">
        <v>2</v>
      </c>
      <c r="H721" s="765">
        <f>IF(G721=1,F721-I721-J721-K721,IF(G721=2,F721,0))</f>
        <v>61270</v>
      </c>
      <c r="I721" s="765">
        <f>ROUND(IF(G721=1,F721*10/23,IF(G721=3,F721-J721-K721,IF(G721=4,F721,IF(G721=5,F721*10/11,IF(G721=7,F721*10/11,0))))),0)</f>
        <v>0</v>
      </c>
      <c r="J721" s="765">
        <f>ROUND(IF(G721=1,F721/23,IF(G721=3,F721/12,IF(G721=5,F721-I721,IF(G721=8,F721,0)))),0)</f>
        <v>0</v>
      </c>
      <c r="K721" s="766">
        <f>ROUND(IF(G721=1,F721/23,IF(G721=3,F721/12,IF(G721=6,F721,IF(G721=7,F721-I721,0)))),0)</f>
        <v>0</v>
      </c>
      <c r="L721" s="767">
        <f>IF(G721=6,F721,0)</f>
        <v>0</v>
      </c>
      <c r="M721" s="421">
        <f>IF(F721="",0,MONTH(A721))</f>
        <v>3</v>
      </c>
      <c r="P721" s="768" t="inlineStr">
        <is>
          <t>昨年実績</t>
        </is>
      </c>
      <c r="Q721" s="769" t="str">
        <f>IF($F721="","",IFERROR(VLOOKUP($C721&amp;"|"&amp;$D721,科目表!$A$5:$B$200,2,FALSE),"※未登録"))</f>
        <v>事務用消耗品費</v>
      </c>
      <c r="R721" s="769">
        <f>IF($F721="","",$I721+$J721+$K721)</f>
        <v>0</v>
      </c>
      <c r="S721" s="769" t="str">
        <f>IF(OR($F721="",$P721="支払なし",$H721=0,$Q721=""),"",$Q721&amp;"|S|"&amp;(COUNTIF(S$4:S720,$Q721&amp;"|S|*")+1))</f>
        <v>事務用消耗品費|S|50</v>
      </c>
      <c r="T721" s="769" t="str">
        <f>IF(OR($F721="",$P721="支払なし",$R721=0,$Q721=""),"",$Q721&amp;"|L|"&amp;(COUNTIF(T$4:T720,$Q721&amp;"|L|*")+1))</f>
        <v/>
      </c>
      <c r="U721" s="769">
        <f>IF(OR($F721="",$A721=""),"",MOD(MONTH($A721)-4,12)+1)</f>
        <v>12</v>
      </c>
    </row>
    <row r="722" ht="16.5" customFormat="1" customHeight="1" s="422">
      <c r="A722" s="760" t="n">
        <v>45016</v>
      </c>
      <c r="B722" s="761" t="n"/>
      <c r="C722" s="762" t="inlineStr">
        <is>
          <t>委託費</t>
        </is>
      </c>
      <c r="D722" s="762" t="n"/>
      <c r="E722" s="808" t="inlineStr">
        <is>
          <t>個人番号管理システム端末 搬入・調整</t>
        </is>
      </c>
      <c r="F722" s="786" t="n">
        <v>143000</v>
      </c>
      <c r="G722" s="772" t="n">
        <v>2</v>
      </c>
      <c r="H722" s="765">
        <f>IF(G722=1,F722-I722-J722-K722,IF(G722=2,F722,0))</f>
        <v>143000</v>
      </c>
      <c r="I722" s="765">
        <f>ROUND(IF(G722=1,F722*10/23,IF(G722=3,F722-J722-K722,IF(G722=4,F722,IF(G722=5,F722*10/11,IF(G722=7,F722*10/11,0))))),0)</f>
        <v>0</v>
      </c>
      <c r="J722" s="765">
        <f>ROUND(IF(G722=1,F722/23,IF(G722=3,F722/12,IF(G722=5,F722-I722,IF(G722=8,F722,0)))),0)</f>
        <v>0</v>
      </c>
      <c r="K722" s="766">
        <f>ROUND(IF(G722=1,F722/23,IF(G722=3,F722/12,IF(G722=6,F722,IF(G722=7,F722-I722,0)))),0)</f>
        <v>0</v>
      </c>
      <c r="L722" s="767">
        <f>IF(G722=6,F722,0)</f>
        <v>0</v>
      </c>
      <c r="M722" s="421">
        <f>IF(F722="",0,MONTH(A722))</f>
        <v>3</v>
      </c>
      <c r="P722" s="768" t="inlineStr">
        <is>
          <t>昨年実績</t>
        </is>
      </c>
      <c r="Q722" s="769" t="str">
        <f>IF($F722="","",IFERROR(VLOOKUP($C722&amp;"|"&amp;$D722,科目表!$A$5:$B$200,2,FALSE),"※未登録"))</f>
        <v>委託費</v>
      </c>
      <c r="R722" s="769">
        <f>IF($F722="","",$I722+$J722+$K722)</f>
        <v>0</v>
      </c>
      <c r="S722" s="769" t="str">
        <f>IF(OR($F722="",$P722="支払なし",$H722=0,$Q722=""),"",$Q722&amp;"|S|"&amp;(COUNTIF(S$4:S721,$Q722&amp;"|S|*")+1))</f>
        <v>委託費|S|73</v>
      </c>
      <c r="T722" s="769" t="str">
        <f>IF(OR($F722="",$P722="支払なし",$R722=0,$Q722=""),"",$Q722&amp;"|L|"&amp;(COUNTIF(T$4:T721,$Q722&amp;"|L|*")+1))</f>
        <v/>
      </c>
      <c r="U722" s="769">
        <f>IF(OR($F722="",$A722=""),"",MOD(MONTH($A722)-4,12)+1)</f>
        <v>12</v>
      </c>
    </row>
    <row r="723" ht="16.5" customFormat="1" customHeight="1" s="43">
      <c r="A723" s="760" t="n">
        <v>46112</v>
      </c>
      <c r="B723" s="761" t="n"/>
      <c r="C723" s="762" t="inlineStr">
        <is>
          <t>事務費</t>
        </is>
      </c>
      <c r="D723" s="762" t="inlineStr">
        <is>
          <t>図書印刷費</t>
        </is>
      </c>
      <c r="E723" s="770" t="inlineStr">
        <is>
          <t>資格情報通知書封筒　３，０００枚</t>
        </is>
      </c>
      <c r="F723" s="810" t="n">
        <v>99000</v>
      </c>
      <c r="G723" s="772" t="n">
        <v>2</v>
      </c>
      <c r="H723" s="765">
        <f>IF(G723=1,F723-I723-J723-K723,IF(G723=2,F723,0))</f>
        <v>99000</v>
      </c>
      <c r="I723" s="765">
        <f>ROUND(IF(G723=1,F723*10/23,IF(G723=3,F723-J723-K723,IF(G723=4,F723,IF(G723=5,F723*10/11,IF(G723=7,F723*10/11,0))))),0)</f>
        <v>0</v>
      </c>
      <c r="J723" s="765">
        <f>ROUND(IF(G723=1,F723/23,IF(G723=3,F723/12,IF(G723=5,F723-I723,IF(G723=8,F723,0)))),0)</f>
        <v>0</v>
      </c>
      <c r="K723" s="766">
        <f>ROUND(IF(G723=1,F723/23,IF(G723=3,F723/12,IF(G723=6,F723,IF(G723=7,F723-I723,0)))),0)</f>
        <v>0</v>
      </c>
      <c r="L723" s="767">
        <f>IF(G723=6,F723,0)</f>
        <v>0</v>
      </c>
      <c r="M723" s="572">
        <f>IF(F723="",0,MONTH(A723))</f>
        <v>3</v>
      </c>
      <c r="P723" s="768" t="inlineStr">
        <is>
          <t>昨年実績</t>
        </is>
      </c>
      <c r="Q723" s="769" t="str">
        <f>IF($F723="","",IFERROR(VLOOKUP($C723&amp;"|"&amp;$D723,科目表!$A$5:$B$200,2,FALSE),"※未登録"))</f>
        <v>図書印刷費</v>
      </c>
      <c r="R723" s="769">
        <f>IF($F723="","",$I723+$J723+$K723)</f>
        <v>0</v>
      </c>
      <c r="S723" s="769" t="str">
        <f>IF(OR($F723="",$P723="支払なし",$H723=0,$Q723=""),"",$Q723&amp;"|S|"&amp;(COUNTIF(S$4:S722,$Q723&amp;"|S|*")+1))</f>
        <v>図書印刷費|S|37</v>
      </c>
      <c r="T723" s="769" t="str">
        <f>IF(OR($F723="",$P723="支払なし",$R723=0,$Q723=""),"",$Q723&amp;"|L|"&amp;(COUNTIF(T$4:T722,$Q723&amp;"|L|*")+1))</f>
        <v/>
      </c>
      <c r="U723" s="769">
        <f>IF(OR($F723="",$A723=""),"",MOD(MONTH($A723)-4,12)+1)</f>
        <v>12</v>
      </c>
    </row>
    <row r="724" ht="16.5" customFormat="1" customHeight="1" s="422">
      <c r="A724" s="760" t="n">
        <v>45016</v>
      </c>
      <c r="B724" s="761" t="n"/>
      <c r="C724" s="762" t="inlineStr">
        <is>
          <t>事務費</t>
        </is>
      </c>
      <c r="D724" s="762" t="inlineStr">
        <is>
          <t>図書印刷費</t>
        </is>
      </c>
      <c r="E724" s="796" t="inlineStr">
        <is>
          <t>厚生法規総覧追録　５７２５－５７３５号</t>
        </is>
      </c>
      <c r="F724" s="764" t="n">
        <v>33154</v>
      </c>
      <c r="G724" s="772" t="n">
        <v>2</v>
      </c>
      <c r="H724" s="765">
        <f>IF(G724=1,F724-I724-J724-K724,IF(G724=2,F724,0))</f>
        <v>33154</v>
      </c>
      <c r="I724" s="765">
        <f>ROUND(IF(G724=1,F724*10/23,IF(G724=3,F724-J724-K724,IF(G724=4,F724,IF(G724=5,F724*10/11,IF(G724=7,F724*10/11,0))))),0)</f>
        <v>0</v>
      </c>
      <c r="J724" s="765">
        <f>ROUND(IF(G724=1,F724/23,IF(G724=3,F724/12,IF(G724=5,F724-I724,IF(G724=8,F724,0)))),0)</f>
        <v>0</v>
      </c>
      <c r="K724" s="766">
        <f>ROUND(IF(G724=1,F724/23,IF(G724=3,F724/12,IF(G724=6,F724,IF(G724=7,F724-I724,0)))),0)</f>
        <v>0</v>
      </c>
      <c r="L724" s="767">
        <f>IF(G724=6,F724,0)</f>
        <v>0</v>
      </c>
      <c r="M724" s="421">
        <f>IF(F724="",0,MONTH(A724))</f>
        <v>3</v>
      </c>
      <c r="P724" s="768" t="inlineStr">
        <is>
          <t>昨年実績</t>
        </is>
      </c>
      <c r="Q724" s="769" t="str">
        <f>IF($F724="","",IFERROR(VLOOKUP($C724&amp;"|"&amp;$D724,科目表!$A$5:$B$200,2,FALSE),"※未登録"))</f>
        <v>図書印刷費</v>
      </c>
      <c r="R724" s="769">
        <f>IF($F724="","",$I724+$J724+$K724)</f>
        <v>0</v>
      </c>
      <c r="S724" s="769" t="str">
        <f>IF(OR($F724="",$P724="支払なし",$H724=0,$Q724=""),"",$Q724&amp;"|S|"&amp;(COUNTIF(S$4:S723,$Q724&amp;"|S|*")+1))</f>
        <v>図書印刷費|S|38</v>
      </c>
      <c r="T724" s="769" t="str">
        <f>IF(OR($F724="",$P724="支払なし",$R724=0,$Q724=""),"",$Q724&amp;"|L|"&amp;(COUNTIF(T$4:T723,$Q724&amp;"|L|*")+1))</f>
        <v/>
      </c>
      <c r="U724" s="769">
        <f>IF(OR($F724="",$A724=""),"",MOD(MONTH($A724)-4,12)+1)</f>
        <v>12</v>
      </c>
    </row>
    <row r="725" ht="16.5" customFormat="1" customHeight="1" s="422">
      <c r="A725" s="760" t="n"/>
      <c r="B725" s="761" t="n"/>
      <c r="C725" s="762" t="n"/>
      <c r="D725" s="762" t="n"/>
      <c r="E725" s="762" t="n"/>
      <c r="F725" s="764" t="n"/>
      <c r="G725" s="764" t="n"/>
      <c r="H725" s="765">
        <f>IF(G725=1,F725-I725-J725-K725,IF(G725=2,F725,0))</f>
        <v>0</v>
      </c>
      <c r="I725" s="765">
        <f>ROUND(IF(G725=1,F725*10/23,IF(G725=3,F725-J725-K725,IF(G725=4,F725,IF(G725=5,F725*10/11,IF(G725=7,F725*10/11,0))))),0)</f>
        <v>0</v>
      </c>
      <c r="J725" s="765">
        <f>ROUND(IF(G725=1,F725/23,IF(G725=3,F725/12,IF(G725=5,F725-I725,IF(G725=8,F725,0)))),0)</f>
        <v>0</v>
      </c>
      <c r="K725" s="766">
        <f>ROUND(IF(G725=1,F725/23,IF(G725=3,F725/12,IF(G725=6,F725,IF(G725=7,F725-I725,0)))),0)</f>
        <v>0</v>
      </c>
      <c r="L725" s="767">
        <f>IF(G725=6,F725,0)</f>
        <v>0</v>
      </c>
      <c r="M725" s="421">
        <f>IF(F725="",0,MONTH(A725))</f>
        <v>0</v>
      </c>
      <c r="P725" s="768" t="n"/>
      <c r="Q725" s="769" t="str">
        <f>IF($F725="","",IFERROR(VLOOKUP($C725&amp;"|"&amp;$D725,科目表!$A$5:$B$200,2,FALSE),"※未登録"))</f>
        <v/>
      </c>
      <c r="R725" s="769" t="str">
        <f>IF($F725="","",$I725+$J725+$K725)</f>
        <v/>
      </c>
      <c r="S725" s="769" t="str">
        <f>IF(OR($F725="",$P725="支払なし",$H725=0,$Q725=""),"",$Q725&amp;"|S|"&amp;(COUNTIF(S$4:S724,$Q725&amp;"|S|*")+1))</f>
        <v/>
      </c>
      <c r="T725" s="769" t="str">
        <f>IF(OR($F725="",$P725="支払なし",$R725=0,$Q725=""),"",$Q725&amp;"|L|"&amp;(COUNTIF(T$4:T724,$Q725&amp;"|L|*")+1))</f>
        <v/>
      </c>
      <c r="U725" s="769" t="str">
        <f>IF(OR($F725="",$A725=""),"",MOD(MONTH($A725)-4,12)+1)</f>
        <v/>
      </c>
    </row>
    <row r="726" ht="16.5" customFormat="1" customHeight="1" s="422">
      <c r="A726" s="760" t="n"/>
      <c r="B726" s="761" t="n"/>
      <c r="C726" s="762" t="n"/>
      <c r="D726" s="762" t="n"/>
      <c r="E726" s="762" t="n"/>
      <c r="F726" s="772" t="n"/>
      <c r="G726" s="764" t="n"/>
      <c r="H726" s="765">
        <f>IF(G726=1,F726-I726-J726-K726,IF(G726=2,F726,0))</f>
        <v>0</v>
      </c>
      <c r="I726" s="765">
        <f>ROUND(IF(G726=1,F726*10/23,IF(G726=3,F726-J726-K726,IF(G726=4,F726,IF(G726=5,F726*10/11,IF(G726=7,F726*10/11,0))))),0)</f>
        <v>0</v>
      </c>
      <c r="J726" s="765">
        <f>ROUND(IF(G726=1,F726/23,IF(G726=3,F726/12,IF(G726=5,F726-I726,IF(G726=8,F726,0)))),0)</f>
        <v>0</v>
      </c>
      <c r="K726" s="766">
        <f>ROUND(IF(G726=1,F726/23,IF(G726=3,F726/12,IF(G726=6,F726,IF(G726=7,F726-I726,0)))),0)</f>
        <v>0</v>
      </c>
      <c r="L726" s="767">
        <f>IF(G726=6,F726,0)</f>
        <v>0</v>
      </c>
      <c r="M726" s="421">
        <f>IF(F726="",0,MONTH(A726))</f>
        <v>0</v>
      </c>
      <c r="P726" s="768" t="n"/>
      <c r="Q726" s="769" t="str">
        <f>IF($F726="","",IFERROR(VLOOKUP($C726&amp;"|"&amp;$D726,科目表!$A$5:$B$200,2,FALSE),"※未登録"))</f>
        <v/>
      </c>
      <c r="R726" s="769" t="str">
        <f>IF($F726="","",$I726+$J726+$K726)</f>
        <v/>
      </c>
      <c r="S726" s="769" t="str">
        <f>IF(OR($F726="",$P726="支払なし",$H726=0,$Q726=""),"",$Q726&amp;"|S|"&amp;(COUNTIF(S$4:S725,$Q726&amp;"|S|*")+1))</f>
        <v/>
      </c>
      <c r="T726" s="769" t="str">
        <f>IF(OR($F726="",$P726="支払なし",$R726=0,$Q726=""),"",$Q726&amp;"|L|"&amp;(COUNTIF(T$4:T725,$Q726&amp;"|L|*")+1))</f>
        <v/>
      </c>
      <c r="U726" s="769" t="str">
        <f>IF(OR($F726="",$A726=""),"",MOD(MONTH($A726)-4,12)+1)</f>
        <v/>
      </c>
    </row>
    <row r="727" ht="16.5" customFormat="1" customHeight="1" s="422">
      <c r="A727" s="760" t="n"/>
      <c r="B727" s="761" t="n"/>
      <c r="C727" s="762" t="n"/>
      <c r="D727" s="762" t="n"/>
      <c r="E727" s="762" t="n"/>
      <c r="F727" s="772" t="n"/>
      <c r="G727" s="772" t="n"/>
      <c r="H727" s="765">
        <f>IF(G727=1,F727-I727-J727-K727,IF(G727=2,F727,0))</f>
        <v>0</v>
      </c>
      <c r="I727" s="765">
        <f>ROUND(IF(G727=1,F727*10/23,IF(G727=3,F727-J727-K727,IF(G727=4,F727,IF(G727=5,F727*10/11,IF(G727=7,F727*10/11,0))))),0)</f>
        <v>0</v>
      </c>
      <c r="J727" s="765">
        <f>ROUND(IF(G727=1,F727/23,IF(G727=3,F727/12,IF(G727=5,F727-I727,IF(G727=8,F727,0)))),0)</f>
        <v>0</v>
      </c>
      <c r="K727" s="766">
        <f>ROUND(IF(G727=1,F727/23,IF(G727=3,F727/12,IF(G727=6,F727,IF(G727=7,F727-I727,0)))),0)</f>
        <v>0</v>
      </c>
      <c r="L727" s="767">
        <f>IF(G727=6,F727,0)</f>
        <v>0</v>
      </c>
      <c r="M727" s="421">
        <f>IF(F727="",0,MONTH(A727))</f>
        <v>0</v>
      </c>
      <c r="P727" s="768" t="n"/>
      <c r="Q727" s="769" t="str">
        <f>IF($F727="","",IFERROR(VLOOKUP($C727&amp;"|"&amp;$D727,科目表!$A$5:$B$200,2,FALSE),"※未登録"))</f>
        <v/>
      </c>
      <c r="R727" s="769" t="str">
        <f>IF($F727="","",$I727+$J727+$K727)</f>
        <v/>
      </c>
      <c r="S727" s="769" t="str">
        <f>IF(OR($F727="",$P727="支払なし",$H727=0,$Q727=""),"",$Q727&amp;"|S|"&amp;(COUNTIF(S$4:S726,$Q727&amp;"|S|*")+1))</f>
        <v/>
      </c>
      <c r="T727" s="769" t="str">
        <f>IF(OR($F727="",$P727="支払なし",$R727=0,$Q727=""),"",$Q727&amp;"|L|"&amp;(COUNTIF(T$4:T726,$Q727&amp;"|L|*")+1))</f>
        <v/>
      </c>
      <c r="U727" s="769" t="str">
        <f>IF(OR($F727="",$A727=""),"",MOD(MONTH($A727)-4,12)+1)</f>
        <v/>
      </c>
    </row>
    <row r="728" ht="16.5" customFormat="1" customHeight="1" s="422">
      <c r="A728" s="760" t="n"/>
      <c r="B728" s="761" t="n"/>
      <c r="C728" s="762" t="n"/>
      <c r="D728" s="762" t="n"/>
      <c r="E728" s="762" t="n"/>
      <c r="F728" s="764" t="n"/>
      <c r="G728" s="764" t="n"/>
      <c r="H728" s="765">
        <f>IF(G728=1,F728-I728-J728-K728,IF(G728=2,F728,0))</f>
        <v>0</v>
      </c>
      <c r="I728" s="765">
        <f>ROUND(IF(G728=1,F728*10/23,IF(G728=3,F728-J728-K728,IF(G728=4,F728,IF(G728=5,F728*10/11,IF(G728=7,F728*10/11,0))))),0)</f>
        <v>0</v>
      </c>
      <c r="J728" s="765">
        <f>ROUND(IF(G728=1,F728/23,IF(G728=3,F728/12,IF(G728=5,F728-I728,IF(G728=8,F728,0)))),0)</f>
        <v>0</v>
      </c>
      <c r="K728" s="766">
        <f>ROUND(IF(G728=1,F728/23,IF(G728=3,F728/12,IF(G728=6,F728,IF(G728=7,F728-I728,0)))),0)</f>
        <v>0</v>
      </c>
      <c r="L728" s="767">
        <f>IF(G728=6,F728,0)</f>
        <v>0</v>
      </c>
      <c r="M728" s="421">
        <f>IF(F728="",0,MONTH(A728))</f>
        <v>0</v>
      </c>
      <c r="P728" s="768" t="n"/>
      <c r="Q728" s="769" t="str">
        <f>IF($F728="","",IFERROR(VLOOKUP($C728&amp;"|"&amp;$D728,科目表!$A$5:$B$200,2,FALSE),"※未登録"))</f>
        <v/>
      </c>
      <c r="R728" s="769" t="str">
        <f>IF($F728="","",$I728+$J728+$K728)</f>
        <v/>
      </c>
      <c r="S728" s="769" t="str">
        <f>IF(OR($F728="",$P728="支払なし",$H728=0,$Q728=""),"",$Q728&amp;"|S|"&amp;(COUNTIF(S$4:S727,$Q728&amp;"|S|*")+1))</f>
        <v/>
      </c>
      <c r="T728" s="769" t="str">
        <f>IF(OR($F728="",$P728="支払なし",$R728=0,$Q728=""),"",$Q728&amp;"|L|"&amp;(COUNTIF(T$4:T727,$Q728&amp;"|L|*")+1))</f>
        <v/>
      </c>
      <c r="U728" s="769" t="str">
        <f>IF(OR($F728="",$A728=""),"",MOD(MONTH($A728)-4,12)+1)</f>
        <v/>
      </c>
    </row>
    <row r="729" ht="16.5" customFormat="1" customHeight="1" s="422">
      <c r="A729" s="760" t="n"/>
      <c r="B729" s="761" t="n"/>
      <c r="C729" s="762" t="n"/>
      <c r="D729" s="762" t="n"/>
      <c r="E729" s="762" t="n"/>
      <c r="F729" s="772" t="n"/>
      <c r="G729" s="764" t="n"/>
      <c r="H729" s="765">
        <f>IF(G729=1,F729-I729-J729-K729,IF(G729=2,F729,0))</f>
        <v>0</v>
      </c>
      <c r="I729" s="765">
        <f>ROUND(IF(G729=1,F729*10/23,IF(G729=3,F729-J729-K729,IF(G729=4,F729,IF(G729=5,F729*10/11,IF(G729=7,F729*10/11,0))))),0)</f>
        <v>0</v>
      </c>
      <c r="J729" s="765">
        <f>ROUND(IF(G729=1,F729/23,IF(G729=3,F729/12,IF(G729=5,F729-I729,IF(G729=8,F729,0)))),0)</f>
        <v>0</v>
      </c>
      <c r="K729" s="766">
        <f>ROUND(IF(G729=1,F729/23,IF(G729=3,F729/12,IF(G729=6,F729,IF(G729=7,F729-I729,0)))),0)</f>
        <v>0</v>
      </c>
      <c r="L729" s="767">
        <f>IF(G729=6,F729,0)</f>
        <v>0</v>
      </c>
      <c r="M729" s="421">
        <f>IF(F729="",0,MONTH(A729))</f>
        <v>0</v>
      </c>
      <c r="P729" s="768" t="n"/>
      <c r="Q729" s="769" t="str">
        <f>IF($F729="","",IFERROR(VLOOKUP($C729&amp;"|"&amp;$D729,科目表!$A$5:$B$200,2,FALSE),"※未登録"))</f>
        <v/>
      </c>
      <c r="R729" s="769" t="str">
        <f>IF($F729="","",$I729+$J729+$K729)</f>
        <v/>
      </c>
      <c r="S729" s="769" t="str">
        <f>IF(OR($F729="",$P729="支払なし",$H729=0,$Q729=""),"",$Q729&amp;"|S|"&amp;(COUNTIF(S$4:S728,$Q729&amp;"|S|*")+1))</f>
        <v/>
      </c>
      <c r="T729" s="769" t="str">
        <f>IF(OR($F729="",$P729="支払なし",$R729=0,$Q729=""),"",$Q729&amp;"|L|"&amp;(COUNTIF(T$4:T728,$Q729&amp;"|L|*")+1))</f>
        <v/>
      </c>
      <c r="U729" s="769" t="str">
        <f>IF(OR($F729="",$A729=""),"",MOD(MONTH($A729)-4,12)+1)</f>
        <v/>
      </c>
    </row>
    <row r="730" ht="16.5" customFormat="1" customHeight="1" s="422">
      <c r="A730" s="760" t="n"/>
      <c r="B730" s="761" t="n"/>
      <c r="C730" s="762" t="n"/>
      <c r="D730" s="762" t="n"/>
      <c r="E730" s="775" t="n"/>
      <c r="F730" s="764" t="n"/>
      <c r="G730" s="764" t="n"/>
      <c r="H730" s="765">
        <f>IF(G730=1,F730-I730-J730-K730,IF(G730=2,F730,0))</f>
        <v>0</v>
      </c>
      <c r="I730" s="765">
        <f>ROUND(IF(G730=1,F730*10/23,IF(G730=3,F730-J730-K730,IF(G730=4,F730,IF(G730=5,F730*10/11,IF(G730=7,F730*10/11,0))))),0)</f>
        <v>0</v>
      </c>
      <c r="J730" s="765">
        <f>ROUND(IF(G730=1,F730/23,IF(G730=3,F730/12,IF(G730=5,F730-I730,IF(G730=8,F730,0)))),0)</f>
        <v>0</v>
      </c>
      <c r="K730" s="766">
        <f>ROUND(IF(G730=1,F730/23,IF(G730=3,F730/12,IF(G730=6,F730,IF(G730=7,F730-I730,0)))),0)</f>
        <v>0</v>
      </c>
      <c r="L730" s="767">
        <f>IF(G730=6,F730,0)</f>
        <v>0</v>
      </c>
      <c r="M730" s="421">
        <f>IF(F730="",0,MONTH(A730))</f>
        <v>0</v>
      </c>
      <c r="P730" s="768" t="n"/>
      <c r="Q730" s="769" t="str">
        <f>IF($F730="","",IFERROR(VLOOKUP($C730&amp;"|"&amp;$D730,科目表!$A$5:$B$200,2,FALSE),"※未登録"))</f>
        <v/>
      </c>
      <c r="R730" s="769" t="str">
        <f>IF($F730="","",$I730+$J730+$K730)</f>
        <v/>
      </c>
      <c r="S730" s="769" t="str">
        <f>IF(OR($F730="",$P730="支払なし",$H730=0,$Q730=""),"",$Q730&amp;"|S|"&amp;(COUNTIF(S$4:S729,$Q730&amp;"|S|*")+1))</f>
        <v/>
      </c>
      <c r="T730" s="769" t="str">
        <f>IF(OR($F730="",$P730="支払なし",$R730=0,$Q730=""),"",$Q730&amp;"|L|"&amp;(COUNTIF(T$4:T729,$Q730&amp;"|L|*")+1))</f>
        <v/>
      </c>
      <c r="U730" s="769" t="str">
        <f>IF(OR($F730="",$A730=""),"",MOD(MONTH($A730)-4,12)+1)</f>
        <v/>
      </c>
    </row>
    <row r="731" ht="16.5" customFormat="1" customHeight="1" s="422">
      <c r="A731" s="760" t="n"/>
      <c r="B731" s="761" t="n"/>
      <c r="C731" s="762" t="n"/>
      <c r="D731" s="762" t="n"/>
      <c r="E731" s="775" t="n"/>
      <c r="F731" s="764" t="n"/>
      <c r="G731" s="764" t="n"/>
      <c r="H731" s="765">
        <f>IF(G731=1,F731-I731-J731-K731,IF(G731=2,F731,0))</f>
        <v>0</v>
      </c>
      <c r="I731" s="765">
        <f>ROUND(IF(G731=1,F731*10/23,IF(G731=3,F731-J731-K731,IF(G731=4,F731,IF(G731=5,F731*10/11,IF(G731=7,F731*10/11,0))))),0)</f>
        <v>0</v>
      </c>
      <c r="J731" s="765">
        <f>ROUND(IF(G731=1,F731/23,IF(G731=3,F731/12,IF(G731=5,F731-I731,IF(G731=8,F731,0)))),0)</f>
        <v>0</v>
      </c>
      <c r="K731" s="766">
        <f>ROUND(IF(G731=1,F731/23,IF(G731=3,F731/12,IF(G731=6,F731,IF(G731=7,F731-I731,0)))),0)</f>
        <v>0</v>
      </c>
      <c r="L731" s="767">
        <f>IF(G731=6,F731,0)</f>
        <v>0</v>
      </c>
      <c r="M731" s="421">
        <f>IF(F731="",0,MONTH(A731))</f>
        <v>0</v>
      </c>
      <c r="P731" s="768" t="n"/>
      <c r="Q731" s="769" t="str">
        <f>IF($F731="","",IFERROR(VLOOKUP($C731&amp;"|"&amp;$D731,科目表!$A$5:$B$200,2,FALSE),"※未登録"))</f>
        <v/>
      </c>
      <c r="R731" s="769" t="str">
        <f>IF($F731="","",$I731+$J731+$K731)</f>
        <v/>
      </c>
      <c r="S731" s="769" t="str">
        <f>IF(OR($F731="",$P731="支払なし",$H731=0,$Q731=""),"",$Q731&amp;"|S|"&amp;(COUNTIF(S$4:S730,$Q731&amp;"|S|*")+1))</f>
        <v/>
      </c>
      <c r="T731" s="769" t="str">
        <f>IF(OR($F731="",$P731="支払なし",$R731=0,$Q731=""),"",$Q731&amp;"|L|"&amp;(COUNTIF(T$4:T730,$Q731&amp;"|L|*")+1))</f>
        <v/>
      </c>
      <c r="U731" s="769" t="str">
        <f>IF(OR($F731="",$A731=""),"",MOD(MONTH($A731)-4,12)+1)</f>
        <v/>
      </c>
    </row>
    <row r="732" ht="16.5" customFormat="1" customHeight="1" s="422">
      <c r="A732" s="760" t="n"/>
      <c r="B732" s="761" t="n"/>
      <c r="C732" s="762" t="n"/>
      <c r="D732" s="762" t="n"/>
      <c r="E732" s="775" t="n"/>
      <c r="F732" s="764" t="n"/>
      <c r="G732" s="764" t="n"/>
      <c r="H732" s="765">
        <f>IF(G732=1,F732-I732-J732-K732,IF(G732=2,F732,0))</f>
        <v>0</v>
      </c>
      <c r="I732" s="765">
        <f>ROUND(IF(G732=1,F732*10/23,IF(G732=3,F732-J732-K732,IF(G732=4,F732,IF(G732=5,F732*10/11,IF(G732=7,F732*10/11,0))))),0)</f>
        <v>0</v>
      </c>
      <c r="J732" s="765">
        <f>ROUND(IF(G732=1,F732/23,IF(G732=3,F732/12,IF(G732=5,F732-I732,IF(G732=8,F732,0)))),0)</f>
        <v>0</v>
      </c>
      <c r="K732" s="766">
        <f>ROUND(IF(G732=1,F732/23,IF(G732=3,F732/12,IF(G732=6,F732,IF(G732=7,F732-I732,0)))),0)</f>
        <v>0</v>
      </c>
      <c r="L732" s="767">
        <f>IF(G732=6,F732,0)</f>
        <v>0</v>
      </c>
      <c r="M732" s="421">
        <f>IF(F732="",0,MONTH(A732))</f>
        <v>0</v>
      </c>
      <c r="P732" s="768" t="n"/>
      <c r="Q732" s="769" t="str">
        <f>IF($F732="","",IFERROR(VLOOKUP($C732&amp;"|"&amp;$D732,科目表!$A$5:$B$200,2,FALSE),"※未登録"))</f>
        <v/>
      </c>
      <c r="R732" s="769" t="str">
        <f>IF($F732="","",$I732+$J732+$K732)</f>
        <v/>
      </c>
      <c r="S732" s="769" t="str">
        <f>IF(OR($F732="",$P732="支払なし",$H732=0,$Q732=""),"",$Q732&amp;"|S|"&amp;(COUNTIF(S$4:S731,$Q732&amp;"|S|*")+1))</f>
        <v/>
      </c>
      <c r="T732" s="769" t="str">
        <f>IF(OR($F732="",$P732="支払なし",$R732=0,$Q732=""),"",$Q732&amp;"|L|"&amp;(COUNTIF(T$4:T731,$Q732&amp;"|L|*")+1))</f>
        <v/>
      </c>
      <c r="U732" s="769" t="str">
        <f>IF(OR($F732="",$A732=""),"",MOD(MONTH($A732)-4,12)+1)</f>
        <v/>
      </c>
    </row>
    <row r="733" ht="16.5" customFormat="1" customHeight="1" s="422">
      <c r="A733" s="760" t="n"/>
      <c r="B733" s="761" t="n"/>
      <c r="C733" s="762" t="n"/>
      <c r="D733" s="762" t="n"/>
      <c r="E733" s="775" t="n"/>
      <c r="F733" s="764" t="n"/>
      <c r="G733" s="764" t="n"/>
      <c r="H733" s="765">
        <f>IF(G733=1,F733-I733-J733-K733,IF(G733=2,F733,0))</f>
        <v>0</v>
      </c>
      <c r="I733" s="765">
        <f>ROUND(IF(G733=1,F733*10/23,IF(G733=3,F733-J733-K733,IF(G733=4,F733,IF(G733=5,F733*10/11,IF(G733=7,F733*10/11,0))))),0)</f>
        <v>0</v>
      </c>
      <c r="J733" s="765">
        <f>ROUND(IF(G733=1,F733/23,IF(G733=3,F733/12,IF(G733=5,F733-I733,IF(G733=8,F733,0)))),0)</f>
        <v>0</v>
      </c>
      <c r="K733" s="766">
        <f>ROUND(IF(G733=1,F733/23,IF(G733=3,F733/12,IF(G733=6,F733,IF(G733=7,F733-I733,0)))),0)</f>
        <v>0</v>
      </c>
      <c r="L733" s="767">
        <f>IF(G733=6,F733,0)</f>
        <v>0</v>
      </c>
      <c r="M733" s="421">
        <f>IF(F733="",0,MONTH(A733))</f>
        <v>0</v>
      </c>
      <c r="P733" s="768" t="n"/>
      <c r="Q733" s="769" t="str">
        <f>IF($F733="","",IFERROR(VLOOKUP($C733&amp;"|"&amp;$D733,科目表!$A$5:$B$200,2,FALSE),"※未登録"))</f>
        <v/>
      </c>
      <c r="R733" s="769" t="str">
        <f>IF($F733="","",$I733+$J733+$K733)</f>
        <v/>
      </c>
      <c r="S733" s="769" t="str">
        <f>IF(OR($F733="",$P733="支払なし",$H733=0,$Q733=""),"",$Q733&amp;"|S|"&amp;(COUNTIF(S$4:S732,$Q733&amp;"|S|*")+1))</f>
        <v/>
      </c>
      <c r="T733" s="769" t="str">
        <f>IF(OR($F733="",$P733="支払なし",$R733=0,$Q733=""),"",$Q733&amp;"|L|"&amp;(COUNTIF(T$4:T732,$Q733&amp;"|L|*")+1))</f>
        <v/>
      </c>
      <c r="U733" s="769" t="str">
        <f>IF(OR($F733="",$A733=""),"",MOD(MONTH($A733)-4,12)+1)</f>
        <v/>
      </c>
    </row>
    <row r="734" ht="16.5" customFormat="1" customHeight="1" s="422">
      <c r="A734" s="760" t="n"/>
      <c r="B734" s="761" t="n"/>
      <c r="C734" s="762" t="n"/>
      <c r="D734" s="762" t="n"/>
      <c r="E734" s="762" t="n"/>
      <c r="F734" s="764" t="n"/>
      <c r="G734" s="764" t="n"/>
      <c r="H734" s="765">
        <f>IF(G734=1,F734-I734-J734-K734,IF(G734=2,F734,0))</f>
        <v>0</v>
      </c>
      <c r="I734" s="765">
        <f>ROUND(IF(G734=1,F734*10/23,IF(G734=3,F734-J734-K734,IF(G734=4,F734,IF(G734=5,F734*10/11,IF(G734=7,F734*10/11,0))))),0)</f>
        <v>0</v>
      </c>
      <c r="J734" s="765">
        <f>ROUND(IF(G734=1,F734/23,IF(G734=3,F734/12,IF(G734=5,F734-I734,IF(G734=8,F734,0)))),0)</f>
        <v>0</v>
      </c>
      <c r="K734" s="766">
        <f>ROUND(IF(G734=1,F734/23,IF(G734=3,F734/12,IF(G734=6,F734,IF(G734=7,F734-I734,0)))),0)</f>
        <v>0</v>
      </c>
      <c r="L734" s="767">
        <f>IF(G734=6,F734,0)</f>
        <v>0</v>
      </c>
      <c r="M734" s="421">
        <f>IF(F734="",0,MONTH(A734))</f>
        <v>0</v>
      </c>
      <c r="P734" s="768" t="n"/>
      <c r="Q734" s="769" t="str">
        <f>IF($F734="","",IFERROR(VLOOKUP($C734&amp;"|"&amp;$D734,科目表!$A$5:$B$200,2,FALSE),"※未登録"))</f>
        <v/>
      </c>
      <c r="R734" s="769" t="str">
        <f>IF($F734="","",$I734+$J734+$K734)</f>
        <v/>
      </c>
      <c r="S734" s="769" t="str">
        <f>IF(OR($F734="",$P734="支払なし",$H734=0,$Q734=""),"",$Q734&amp;"|S|"&amp;(COUNTIF(S$4:S733,$Q734&amp;"|S|*")+1))</f>
        <v/>
      </c>
      <c r="T734" s="769" t="str">
        <f>IF(OR($F734="",$P734="支払なし",$R734=0,$Q734=""),"",$Q734&amp;"|L|"&amp;(COUNTIF(T$4:T733,$Q734&amp;"|L|*")+1))</f>
        <v/>
      </c>
      <c r="U734" s="769" t="str">
        <f>IF(OR($F734="",$A734=""),"",MOD(MONTH($A734)-4,12)+1)</f>
        <v/>
      </c>
    </row>
    <row r="735" ht="16.5" customFormat="1" customHeight="1" s="422">
      <c r="A735" s="760" t="n"/>
      <c r="B735" s="761" t="n"/>
      <c r="C735" s="762" t="n"/>
      <c r="D735" s="762" t="n"/>
      <c r="E735" s="775" t="n"/>
      <c r="F735" s="764" t="n"/>
      <c r="G735" s="764" t="n"/>
      <c r="H735" s="765">
        <f>IF(G735=1,F735-I735-J735-K735,IF(G735=2,F735,0))</f>
        <v>0</v>
      </c>
      <c r="I735" s="765">
        <f>ROUND(IF(G735=1,F735*10/23,IF(G735=3,F735-J735-K735,IF(G735=4,F735,IF(G735=5,F735*10/11,IF(G735=7,F735*10/11,0))))),0)</f>
        <v>0</v>
      </c>
      <c r="J735" s="765">
        <f>ROUND(IF(G735=1,F735/23,IF(G735=3,F735/12,IF(G735=5,F735-I735,IF(G735=8,F735,0)))),0)</f>
        <v>0</v>
      </c>
      <c r="K735" s="766">
        <f>ROUND(IF(G735=1,F735/23,IF(G735=3,F735/12,IF(G735=6,F735,IF(G735=7,F735-I735,0)))),0)</f>
        <v>0</v>
      </c>
      <c r="L735" s="767">
        <f>IF(G735=6,F735,0)</f>
        <v>0</v>
      </c>
      <c r="M735" s="421">
        <f>IF(F735="",0,MONTH(A735))</f>
        <v>0</v>
      </c>
      <c r="P735" s="768" t="n"/>
      <c r="Q735" s="769" t="str">
        <f>IF($F735="","",IFERROR(VLOOKUP($C735&amp;"|"&amp;$D735,科目表!$A$5:$B$200,2,FALSE),"※未登録"))</f>
        <v/>
      </c>
      <c r="R735" s="769" t="str">
        <f>IF($F735="","",$I735+$J735+$K735)</f>
        <v/>
      </c>
      <c r="S735" s="769" t="str">
        <f>IF(OR($F735="",$P735="支払なし",$H735=0,$Q735=""),"",$Q735&amp;"|S|"&amp;(COUNTIF(S$4:S734,$Q735&amp;"|S|*")+1))</f>
        <v/>
      </c>
      <c r="T735" s="769" t="str">
        <f>IF(OR($F735="",$P735="支払なし",$R735=0,$Q735=""),"",$Q735&amp;"|L|"&amp;(COUNTIF(T$4:T734,$Q735&amp;"|L|*")+1))</f>
        <v/>
      </c>
      <c r="U735" s="769" t="str">
        <f>IF(OR($F735="",$A735=""),"",MOD(MONTH($A735)-4,12)+1)</f>
        <v/>
      </c>
    </row>
    <row r="736" ht="16.5" customFormat="1" customHeight="1" s="422">
      <c r="A736" s="760" t="n"/>
      <c r="B736" s="761" t="n"/>
      <c r="C736" s="762" t="n"/>
      <c r="D736" s="762" t="n"/>
      <c r="E736" s="775" t="n"/>
      <c r="F736" s="764" t="n"/>
      <c r="G736" s="764" t="n"/>
      <c r="H736" s="765">
        <f>IF(G736=1,F736-I736-J736-K736,IF(G736=2,F736,0))</f>
        <v>0</v>
      </c>
      <c r="I736" s="765">
        <f>ROUND(IF(G736=1,F736*10/23,IF(G736=3,F736-J736-K736,IF(G736=4,F736,IF(G736=5,F736*10/11,IF(G736=7,F736*10/11,0))))),0)</f>
        <v>0</v>
      </c>
      <c r="J736" s="765">
        <f>ROUND(IF(G736=1,F736/23,IF(G736=3,F736/12,IF(G736=5,F736-I736,IF(G736=8,F736,0)))),0)</f>
        <v>0</v>
      </c>
      <c r="K736" s="766">
        <f>ROUND(IF(G736=1,F736/23,IF(G736=3,F736/12,IF(G736=6,F736,IF(G736=7,F736-I736,0)))),0)</f>
        <v>0</v>
      </c>
      <c r="L736" s="767">
        <f>IF(G736=6,F736,0)</f>
        <v>0</v>
      </c>
      <c r="M736" s="421">
        <f>IF(F736="",0,MONTH(A736))</f>
        <v>0</v>
      </c>
      <c r="P736" s="768" t="n"/>
      <c r="Q736" s="769" t="str">
        <f>IF($F736="","",IFERROR(VLOOKUP($C736&amp;"|"&amp;$D736,科目表!$A$5:$B$200,2,FALSE),"※未登録"))</f>
        <v/>
      </c>
      <c r="R736" s="769" t="str">
        <f>IF($F736="","",$I736+$J736+$K736)</f>
        <v/>
      </c>
      <c r="S736" s="769" t="str">
        <f>IF(OR($F736="",$P736="支払なし",$H736=0,$Q736=""),"",$Q736&amp;"|S|"&amp;(COUNTIF(S$4:S735,$Q736&amp;"|S|*")+1))</f>
        <v/>
      </c>
      <c r="T736" s="769" t="str">
        <f>IF(OR($F736="",$P736="支払なし",$R736=0,$Q736=""),"",$Q736&amp;"|L|"&amp;(COUNTIF(T$4:T735,$Q736&amp;"|L|*")+1))</f>
        <v/>
      </c>
      <c r="U736" s="769" t="str">
        <f>IF(OR($F736="",$A736=""),"",MOD(MONTH($A736)-4,12)+1)</f>
        <v/>
      </c>
    </row>
    <row r="737" ht="16.5" customFormat="1" customHeight="1" s="422">
      <c r="A737" s="760" t="n"/>
      <c r="B737" s="761" t="n"/>
      <c r="C737" s="762" t="n"/>
      <c r="D737" s="762" t="n"/>
      <c r="E737" s="775" t="n"/>
      <c r="F737" s="764" t="n"/>
      <c r="G737" s="764" t="n"/>
      <c r="H737" s="765">
        <f>IF(G737=1,F737-I737-J737-K737,IF(G737=2,F737,0))</f>
        <v>0</v>
      </c>
      <c r="I737" s="765">
        <f>ROUND(IF(G737=1,F737*10/23,IF(G737=3,F737-J737-K737,IF(G737=4,F737,IF(G737=5,F737*10/11,IF(G737=7,F737*10/11,0))))),0)</f>
        <v>0</v>
      </c>
      <c r="J737" s="765">
        <f>ROUND(IF(G737=1,F737/23,IF(G737=3,F737/12,IF(G737=5,F737-I737,IF(G737=8,F737,0)))),0)</f>
        <v>0</v>
      </c>
      <c r="K737" s="766">
        <f>ROUND(IF(G737=1,F737/23,IF(G737=3,F737/12,IF(G737=6,F737,IF(G737=7,F737-I737,0)))),0)</f>
        <v>0</v>
      </c>
      <c r="L737" s="767">
        <f>IF(G737=6,F737,0)</f>
        <v>0</v>
      </c>
      <c r="M737" s="421">
        <f>IF(F737="",0,MONTH(A737))</f>
        <v>0</v>
      </c>
      <c r="P737" s="768" t="n"/>
      <c r="Q737" s="769" t="str">
        <f>IF($F737="","",IFERROR(VLOOKUP($C737&amp;"|"&amp;$D737,科目表!$A$5:$B$200,2,FALSE),"※未登録"))</f>
        <v/>
      </c>
      <c r="R737" s="769" t="str">
        <f>IF($F737="","",$I737+$J737+$K737)</f>
        <v/>
      </c>
      <c r="S737" s="769" t="str">
        <f>IF(OR($F737="",$P737="支払なし",$H737=0,$Q737=""),"",$Q737&amp;"|S|"&amp;(COUNTIF(S$4:S736,$Q737&amp;"|S|*")+1))</f>
        <v/>
      </c>
      <c r="T737" s="769" t="str">
        <f>IF(OR($F737="",$P737="支払なし",$R737=0,$Q737=""),"",$Q737&amp;"|L|"&amp;(COUNTIF(T$4:T736,$Q737&amp;"|L|*")+1))</f>
        <v/>
      </c>
      <c r="U737" s="769" t="str">
        <f>IF(OR($F737="",$A737=""),"",MOD(MONTH($A737)-4,12)+1)</f>
        <v/>
      </c>
    </row>
    <row r="738" ht="16.5" customFormat="1" customHeight="1" s="422">
      <c r="A738" s="760" t="n"/>
      <c r="B738" s="761" t="n"/>
      <c r="C738" s="762" t="n"/>
      <c r="D738" s="762" t="n"/>
      <c r="E738" s="775" t="n"/>
      <c r="F738" s="764" t="n"/>
      <c r="G738" s="764" t="n"/>
      <c r="H738" s="765">
        <f>IF(G738=1,F738-I738-J738-K738,IF(G738=2,F738,0))</f>
        <v>0</v>
      </c>
      <c r="I738" s="765">
        <f>ROUND(IF(G738=1,F738*10/23,IF(G738=3,F738-J738-K738,IF(G738=4,F738,IF(G738=5,F738*10/11,IF(G738=7,F738*10/11,0))))),0)</f>
        <v>0</v>
      </c>
      <c r="J738" s="765">
        <f>ROUND(IF(G738=1,F738/23,IF(G738=3,F738/12,IF(G738=5,F738-I738,IF(G738=8,F738,0)))),0)</f>
        <v>0</v>
      </c>
      <c r="K738" s="766">
        <f>ROUND(IF(G738=1,F738/23,IF(G738=3,F738/12,IF(G738=6,F738,IF(G738=7,F738-I738,0)))),0)</f>
        <v>0</v>
      </c>
      <c r="L738" s="767">
        <f>IF(G738=6,F738,0)</f>
        <v>0</v>
      </c>
      <c r="M738" s="421">
        <f>IF(F738="",0,MONTH(A738))</f>
        <v>0</v>
      </c>
      <c r="P738" s="768" t="n"/>
      <c r="Q738" s="769" t="str">
        <f>IF($F738="","",IFERROR(VLOOKUP($C738&amp;"|"&amp;$D738,科目表!$A$5:$B$200,2,FALSE),"※未登録"))</f>
        <v/>
      </c>
      <c r="R738" s="769" t="str">
        <f>IF($F738="","",$I738+$J738+$K738)</f>
        <v/>
      </c>
      <c r="S738" s="769" t="str">
        <f>IF(OR($F738="",$P738="支払なし",$H738=0,$Q738=""),"",$Q738&amp;"|S|"&amp;(COUNTIF(S$4:S737,$Q738&amp;"|S|*")+1))</f>
        <v/>
      </c>
      <c r="T738" s="769" t="str">
        <f>IF(OR($F738="",$P738="支払なし",$R738=0,$Q738=""),"",$Q738&amp;"|L|"&amp;(COUNTIF(T$4:T737,$Q738&amp;"|L|*")+1))</f>
        <v/>
      </c>
      <c r="U738" s="769" t="str">
        <f>IF(OR($F738="",$A738=""),"",MOD(MONTH($A738)-4,12)+1)</f>
        <v/>
      </c>
    </row>
    <row r="739" ht="16.5" customFormat="1" customHeight="1" s="422">
      <c r="A739" s="760" t="n"/>
      <c r="B739" s="761" t="n"/>
      <c r="C739" s="762" t="n"/>
      <c r="D739" s="762" t="n"/>
      <c r="E739" s="762" t="n"/>
      <c r="F739" s="772" t="n"/>
      <c r="G739" s="764" t="n"/>
      <c r="H739" s="765">
        <f>IF(G739=1,F739-I739-J739-K739,IF(G739=2,F739,0))</f>
        <v>0</v>
      </c>
      <c r="I739" s="765">
        <f>ROUND(IF(G739=1,F739*10/23,IF(G739=3,F739-J739-K739,IF(G739=4,F739,IF(G739=5,F739*10/11,IF(G739=7,F739*10/11,0))))),0)</f>
        <v>0</v>
      </c>
      <c r="J739" s="765">
        <f>ROUND(IF(G739=1,F739/23,IF(G739=3,F739/12,IF(G739=5,F739-I739,IF(G739=8,F739,0)))),0)</f>
        <v>0</v>
      </c>
      <c r="K739" s="766">
        <f>ROUND(IF(G739=1,F739/23,IF(G739=3,F739/12,IF(G739=6,F739,IF(G739=7,F739-I739,0)))),0)</f>
        <v>0</v>
      </c>
      <c r="L739" s="767">
        <f>IF(G739=6,F739,0)</f>
        <v>0</v>
      </c>
      <c r="M739" s="421">
        <f>IF(F739="",0,MONTH(A739))</f>
        <v>0</v>
      </c>
      <c r="P739" s="768" t="n"/>
      <c r="Q739" s="769" t="str">
        <f>IF($F739="","",IFERROR(VLOOKUP($C739&amp;"|"&amp;$D739,科目表!$A$5:$B$200,2,FALSE),"※未登録"))</f>
        <v/>
      </c>
      <c r="R739" s="769" t="str">
        <f>IF($F739="","",$I739+$J739+$K739)</f>
        <v/>
      </c>
      <c r="S739" s="769" t="str">
        <f>IF(OR($F739="",$P739="支払なし",$H739=0,$Q739=""),"",$Q739&amp;"|S|"&amp;(COUNTIF(S$4:S738,$Q739&amp;"|S|*")+1))</f>
        <v/>
      </c>
      <c r="T739" s="769" t="str">
        <f>IF(OR($F739="",$P739="支払なし",$R739=0,$Q739=""),"",$Q739&amp;"|L|"&amp;(COUNTIF(T$4:T738,$Q739&amp;"|L|*")+1))</f>
        <v/>
      </c>
      <c r="U739" s="769" t="str">
        <f>IF(OR($F739="",$A739=""),"",MOD(MONTH($A739)-4,12)+1)</f>
        <v/>
      </c>
    </row>
    <row r="740" ht="16.5" customFormat="1" customHeight="1" s="85">
      <c r="A740" s="760" t="n"/>
      <c r="B740" s="761" t="n"/>
      <c r="C740" s="762" t="n"/>
      <c r="D740" s="762" t="n"/>
      <c r="E740" s="775" t="n"/>
      <c r="F740" s="764" t="n"/>
      <c r="G740" s="764" t="n"/>
      <c r="H740" s="765">
        <f>IF(G740=1,F740-I740-J740-K740,IF(G740=2,F740,0))</f>
        <v>0</v>
      </c>
      <c r="I740" s="765">
        <f>ROUND(IF(G740=1,F740*10/23,IF(G740=3,F740-J740-K740,IF(G740=4,F740,IF(G740=5,F740*10/11,IF(G740=7,F740*10/11,0))))),0)</f>
        <v>0</v>
      </c>
      <c r="J740" s="765">
        <f>ROUND(IF(G740=1,F740/23,IF(G740=3,F740/12,IF(G740=5,F740-I740,IF(G740=8,F740,0)))),0)</f>
        <v>0</v>
      </c>
      <c r="K740" s="766">
        <f>ROUND(IF(G740=1,F740/23,IF(G740=3,F740/12,IF(G740=6,F740,IF(G740=7,F740-I740,0)))),0)</f>
        <v>0</v>
      </c>
      <c r="L740" s="767">
        <f>IF(G740=6,F740,0)</f>
        <v>0</v>
      </c>
      <c r="M740" s="55">
        <f>IF(F740="",0,MONTH(A740))</f>
        <v>0</v>
      </c>
      <c r="P740" s="768" t="n"/>
      <c r="Q740" s="769" t="str">
        <f>IF($F740="","",IFERROR(VLOOKUP($C740&amp;"|"&amp;$D740,科目表!$A$5:$B$200,2,FALSE),"※未登録"))</f>
        <v/>
      </c>
      <c r="R740" s="769" t="str">
        <f>IF($F740="","",$I740+$J740+$K740)</f>
        <v/>
      </c>
      <c r="S740" s="769" t="str">
        <f>IF(OR($F740="",$P740="支払なし",$H740=0,$Q740=""),"",$Q740&amp;"|S|"&amp;(COUNTIF(S$4:S739,$Q740&amp;"|S|*")+1))</f>
        <v/>
      </c>
      <c r="T740" s="769" t="str">
        <f>IF(OR($F740="",$P740="支払なし",$R740=0,$Q740=""),"",$Q740&amp;"|L|"&amp;(COUNTIF(T$4:T739,$Q740&amp;"|L|*")+1))</f>
        <v/>
      </c>
      <c r="U740" s="769" t="str">
        <f>IF(OR($F740="",$A740=""),"",MOD(MONTH($A740)-4,12)+1)</f>
        <v/>
      </c>
    </row>
    <row r="741" ht="16.5" customFormat="1" customHeight="1" s="85">
      <c r="A741" s="760" t="n"/>
      <c r="B741" s="761" t="n"/>
      <c r="C741" s="762" t="n"/>
      <c r="D741" s="762" t="n"/>
      <c r="E741" s="775" t="n"/>
      <c r="F741" s="764" t="n"/>
      <c r="G741" s="764" t="n"/>
      <c r="H741" s="765">
        <f>IF(G741=1,F741-I741-J741-K741,IF(G741=2,F741,0))</f>
        <v>0</v>
      </c>
      <c r="I741" s="765">
        <f>ROUND(IF(G741=1,F741*10/23,IF(G741=3,F741-J741-K741,IF(G741=4,F741,IF(G741=5,F741*10/11,IF(G741=7,F741*10/11,0))))),0)</f>
        <v>0</v>
      </c>
      <c r="J741" s="765">
        <f>ROUND(IF(G741=1,F741/23,IF(G741=3,F741/12,IF(G741=5,F741-I741,IF(G741=8,F741,0)))),0)</f>
        <v>0</v>
      </c>
      <c r="K741" s="766">
        <f>ROUND(IF(G741=1,F741/23,IF(G741=3,F741/12,IF(G741=6,F741,IF(G741=7,F741-I741,0)))),0)</f>
        <v>0</v>
      </c>
      <c r="L741" s="767">
        <f>IF(G741=6,F741,0)</f>
        <v>0</v>
      </c>
      <c r="M741" s="55">
        <f>IF(F741="",0,MONTH(A741))</f>
        <v>0</v>
      </c>
      <c r="P741" s="768" t="n"/>
      <c r="Q741" s="769" t="str">
        <f>IF($F741="","",IFERROR(VLOOKUP($C741&amp;"|"&amp;$D741,科目表!$A$5:$B$200,2,FALSE),"※未登録"))</f>
        <v/>
      </c>
      <c r="R741" s="769" t="str">
        <f>IF($F741="","",$I741+$J741+$K741)</f>
        <v/>
      </c>
      <c r="S741" s="769" t="str">
        <f>IF(OR($F741="",$P741="支払なし",$H741=0,$Q741=""),"",$Q741&amp;"|S|"&amp;(COUNTIF(S$4:S740,$Q741&amp;"|S|*")+1))</f>
        <v/>
      </c>
      <c r="T741" s="769" t="str">
        <f>IF(OR($F741="",$P741="支払なし",$R741=0,$Q741=""),"",$Q741&amp;"|L|"&amp;(COUNTIF(T$4:T740,$Q741&amp;"|L|*")+1))</f>
        <v/>
      </c>
      <c r="U741" s="769" t="str">
        <f>IF(OR($F741="",$A741=""),"",MOD(MONTH($A741)-4,12)+1)</f>
        <v/>
      </c>
    </row>
    <row r="742" ht="16.5" customFormat="1" customHeight="1" s="85">
      <c r="A742" s="760" t="n"/>
      <c r="B742" s="761" t="n"/>
      <c r="C742" s="762" t="n"/>
      <c r="D742" s="762" t="n"/>
      <c r="E742" s="775" t="n"/>
      <c r="F742" s="764" t="n"/>
      <c r="G742" s="764" t="n"/>
      <c r="H742" s="765">
        <f>IF(G742=1,F742-I742-J742-K742,IF(G742=2,F742,0))</f>
        <v>0</v>
      </c>
      <c r="I742" s="765">
        <f>ROUND(IF(G742=1,F742*10/23,IF(G742=3,F742-J742-K742,IF(G742=4,F742,IF(G742=5,F742*10/11,IF(G742=7,F742*10/11,0))))),0)</f>
        <v>0</v>
      </c>
      <c r="J742" s="765">
        <f>ROUND(IF(G742=1,F742/23,IF(G742=3,F742/12,IF(G742=5,F742-I742,IF(G742=8,F742,0)))),0)</f>
        <v>0</v>
      </c>
      <c r="K742" s="766">
        <f>ROUND(IF(G742=1,F742/23,IF(G742=3,F742/12,IF(G742=6,F742,IF(G742=7,F742-I742,0)))),0)</f>
        <v>0</v>
      </c>
      <c r="L742" s="767">
        <f>IF(G742=6,F742,0)</f>
        <v>0</v>
      </c>
      <c r="M742" s="55">
        <f>IF(F742="",0,MONTH(A742))</f>
        <v>0</v>
      </c>
      <c r="P742" s="768" t="n"/>
      <c r="Q742" s="769" t="str">
        <f>IF($F742="","",IFERROR(VLOOKUP($C742&amp;"|"&amp;$D742,科目表!$A$5:$B$200,2,FALSE),"※未登録"))</f>
        <v/>
      </c>
      <c r="R742" s="769" t="str">
        <f>IF($F742="","",$I742+$J742+$K742)</f>
        <v/>
      </c>
      <c r="S742" s="769" t="str">
        <f>IF(OR($F742="",$P742="支払なし",$H742=0,$Q742=""),"",$Q742&amp;"|S|"&amp;(COUNTIF(S$4:S741,$Q742&amp;"|S|*")+1))</f>
        <v/>
      </c>
      <c r="T742" s="769" t="str">
        <f>IF(OR($F742="",$P742="支払なし",$R742=0,$Q742=""),"",$Q742&amp;"|L|"&amp;(COUNTIF(T$4:T741,$Q742&amp;"|L|*")+1))</f>
        <v/>
      </c>
      <c r="U742" s="769" t="str">
        <f>IF(OR($F742="",$A742=""),"",MOD(MONTH($A742)-4,12)+1)</f>
        <v/>
      </c>
    </row>
    <row r="743" ht="16.5" customFormat="1" customHeight="1" s="85">
      <c r="A743" s="760" t="n"/>
      <c r="B743" s="761" t="n"/>
      <c r="C743" s="762" t="n"/>
      <c r="D743" s="762" t="n"/>
      <c r="E743" s="775" t="n"/>
      <c r="F743" s="764" t="n"/>
      <c r="G743" s="764" t="n"/>
      <c r="H743" s="765">
        <f>IF(G743=1,F743-I743-J743-K743,IF(G743=2,F743,0))</f>
        <v>0</v>
      </c>
      <c r="I743" s="765">
        <f>ROUND(IF(G743=1,F743*10/23,IF(G743=3,F743-J743-K743,IF(G743=4,F743,IF(G743=5,F743*10/11,IF(G743=7,F743*10/11,0))))),0)</f>
        <v>0</v>
      </c>
      <c r="J743" s="765">
        <f>ROUND(IF(G743=1,F743/23,IF(G743=3,F743/12,IF(G743=5,F743-I743,IF(G743=8,F743,0)))),0)</f>
        <v>0</v>
      </c>
      <c r="K743" s="766">
        <f>ROUND(IF(G743=1,F743/23,IF(G743=3,F743/12,IF(G743=6,F743,IF(G743=7,F743-I743,0)))),0)</f>
        <v>0</v>
      </c>
      <c r="L743" s="767">
        <f>IF(G743=6,F743,0)</f>
        <v>0</v>
      </c>
      <c r="M743" s="55">
        <f>IF(F743="",0,MONTH(A743))</f>
        <v>0</v>
      </c>
      <c r="P743" s="768" t="n"/>
      <c r="Q743" s="769" t="str">
        <f>IF($F743="","",IFERROR(VLOOKUP($C743&amp;"|"&amp;$D743,科目表!$A$5:$B$200,2,FALSE),"※未登録"))</f>
        <v/>
      </c>
      <c r="R743" s="769" t="str">
        <f>IF($F743="","",$I743+$J743+$K743)</f>
        <v/>
      </c>
      <c r="S743" s="769" t="str">
        <f>IF(OR($F743="",$P743="支払なし",$H743=0,$Q743=""),"",$Q743&amp;"|S|"&amp;(COUNTIF(S$4:S742,$Q743&amp;"|S|*")+1))</f>
        <v/>
      </c>
      <c r="T743" s="769" t="str">
        <f>IF(OR($F743="",$P743="支払なし",$R743=0,$Q743=""),"",$Q743&amp;"|L|"&amp;(COUNTIF(T$4:T742,$Q743&amp;"|L|*")+1))</f>
        <v/>
      </c>
      <c r="U743" s="769" t="str">
        <f>IF(OR($F743="",$A743=""),"",MOD(MONTH($A743)-4,12)+1)</f>
        <v/>
      </c>
    </row>
    <row r="744" ht="16.5" customFormat="1" customHeight="1" s="85">
      <c r="A744" s="760" t="n"/>
      <c r="B744" s="761" t="n"/>
      <c r="C744" s="762" t="n"/>
      <c r="D744" s="762" t="n"/>
      <c r="E744" s="775" t="n"/>
      <c r="F744" s="764" t="n"/>
      <c r="G744" s="764" t="n"/>
      <c r="H744" s="765">
        <f>IF(G744=1,F744-I744-J744-K744,IF(G744=2,F744,0))</f>
        <v>0</v>
      </c>
      <c r="I744" s="765">
        <f>ROUND(IF(G744=1,F744*10/23,IF(G744=3,F744-J744-K744,IF(G744=4,F744,IF(G744=5,F744*10/11,IF(G744=7,F744*10/11,0))))),0)</f>
        <v>0</v>
      </c>
      <c r="J744" s="765">
        <f>ROUND(IF(G744=1,F744/23,IF(G744=3,F744/12,IF(G744=5,F744-I744,IF(G744=8,F744,0)))),0)</f>
        <v>0</v>
      </c>
      <c r="K744" s="766">
        <f>ROUND(IF(G744=1,F744/23,IF(G744=3,F744/12,IF(G744=6,F744,IF(G744=7,F744-I744,0)))),0)</f>
        <v>0</v>
      </c>
      <c r="L744" s="767">
        <f>IF(G744=6,F744,0)</f>
        <v>0</v>
      </c>
      <c r="M744" s="55">
        <f>IF(F744="",0,MONTH(A744))</f>
        <v>0</v>
      </c>
      <c r="P744" s="768" t="n"/>
      <c r="Q744" s="769" t="str">
        <f>IF($F744="","",IFERROR(VLOOKUP($C744&amp;"|"&amp;$D744,科目表!$A$5:$B$200,2,FALSE),"※未登録"))</f>
        <v/>
      </c>
      <c r="R744" s="769" t="str">
        <f>IF($F744="","",$I744+$J744+$K744)</f>
        <v/>
      </c>
      <c r="S744" s="769" t="str">
        <f>IF(OR($F744="",$P744="支払なし",$H744=0,$Q744=""),"",$Q744&amp;"|S|"&amp;(COUNTIF(S$4:S743,$Q744&amp;"|S|*")+1))</f>
        <v/>
      </c>
      <c r="T744" s="769" t="str">
        <f>IF(OR($F744="",$P744="支払なし",$R744=0,$Q744=""),"",$Q744&amp;"|L|"&amp;(COUNTIF(T$4:T743,$Q744&amp;"|L|*")+1))</f>
        <v/>
      </c>
      <c r="U744" s="769" t="str">
        <f>IF(OR($F744="",$A744=""),"",MOD(MONTH($A744)-4,12)+1)</f>
        <v/>
      </c>
    </row>
    <row r="745" ht="16.5" customFormat="1" customHeight="1" s="85">
      <c r="A745" s="760" t="n"/>
      <c r="B745" s="761" t="n"/>
      <c r="C745" s="762" t="n"/>
      <c r="D745" s="762" t="n"/>
      <c r="E745" s="775" t="n"/>
      <c r="F745" s="764" t="n"/>
      <c r="G745" s="764" t="n"/>
      <c r="H745" s="765">
        <f>IF(G745=1,F745-I745-J745-K745,IF(G745=2,F745,0))</f>
        <v>0</v>
      </c>
      <c r="I745" s="765">
        <f>ROUND(IF(G745=1,F745*10/23,IF(G745=3,F745-J745-K745,IF(G745=4,F745,IF(G745=5,F745*10/11,IF(G745=7,F745*10/11,0))))),0)</f>
        <v>0</v>
      </c>
      <c r="J745" s="765">
        <f>ROUND(IF(G745=1,F745/23,IF(G745=3,F745/12,IF(G745=5,F745-I745,IF(G745=8,F745,0)))),0)</f>
        <v>0</v>
      </c>
      <c r="K745" s="766">
        <f>ROUND(IF(G745=1,F745/23,IF(G745=3,F745/12,IF(G745=6,F745,IF(G745=7,F745-I745,0)))),0)</f>
        <v>0</v>
      </c>
      <c r="L745" s="767">
        <f>IF(G745=6,F745,0)</f>
        <v>0</v>
      </c>
      <c r="M745" s="55">
        <f>IF(F745="",0,MONTH(A745))</f>
        <v>0</v>
      </c>
      <c r="P745" s="768" t="n"/>
      <c r="Q745" s="769" t="str">
        <f>IF($F745="","",IFERROR(VLOOKUP($C745&amp;"|"&amp;$D745,科目表!$A$5:$B$200,2,FALSE),"※未登録"))</f>
        <v/>
      </c>
      <c r="R745" s="769" t="str">
        <f>IF($F745="","",$I745+$J745+$K745)</f>
        <v/>
      </c>
      <c r="S745" s="769" t="str">
        <f>IF(OR($F745="",$P745="支払なし",$H745=0,$Q745=""),"",$Q745&amp;"|S|"&amp;(COUNTIF(S$4:S744,$Q745&amp;"|S|*")+1))</f>
        <v/>
      </c>
      <c r="T745" s="769" t="str">
        <f>IF(OR($F745="",$P745="支払なし",$R745=0,$Q745=""),"",$Q745&amp;"|L|"&amp;(COUNTIF(T$4:T744,$Q745&amp;"|L|*")+1))</f>
        <v/>
      </c>
      <c r="U745" s="769" t="str">
        <f>IF(OR($F745="",$A745=""),"",MOD(MONTH($A745)-4,12)+1)</f>
        <v/>
      </c>
    </row>
    <row r="746" ht="16.5" customFormat="1" customHeight="1" s="85">
      <c r="A746" s="760" t="n"/>
      <c r="B746" s="761" t="n"/>
      <c r="C746" s="762" t="n"/>
      <c r="D746" s="762" t="n"/>
      <c r="E746" s="775" t="n"/>
      <c r="F746" s="764" t="n"/>
      <c r="G746" s="764" t="n"/>
      <c r="H746" s="765">
        <f>IF(G746=1,F746-I746-J746-K746,IF(G746=2,F746,0))</f>
        <v>0</v>
      </c>
      <c r="I746" s="765">
        <f>ROUND(IF(G746=1,F746*10/23,IF(G746=3,F746-J746-K746,IF(G746=4,F746,IF(G746=5,F746*10/11,IF(G746=7,F746*10/11,0))))),0)</f>
        <v>0</v>
      </c>
      <c r="J746" s="765">
        <f>ROUND(IF(G746=1,F746/23,IF(G746=3,F746/12,IF(G746=5,F746-I746,IF(G746=8,F746,0)))),0)</f>
        <v>0</v>
      </c>
      <c r="K746" s="766">
        <f>ROUND(IF(G746=1,F746/23,IF(G746=3,F746/12,IF(G746=6,F746,IF(G746=7,F746-I746,0)))),0)</f>
        <v>0</v>
      </c>
      <c r="L746" s="767">
        <f>IF(G746=6,F746,0)</f>
        <v>0</v>
      </c>
      <c r="M746" s="55">
        <f>IF(F746="",0,MONTH(A746))</f>
        <v>0</v>
      </c>
      <c r="P746" s="768" t="n"/>
      <c r="Q746" s="769" t="str">
        <f>IF($F746="","",IFERROR(VLOOKUP($C746&amp;"|"&amp;$D746,科目表!$A$5:$B$200,2,FALSE),"※未登録"))</f>
        <v/>
      </c>
      <c r="R746" s="769" t="str">
        <f>IF($F746="","",$I746+$J746+$K746)</f>
        <v/>
      </c>
      <c r="S746" s="769" t="str">
        <f>IF(OR($F746="",$P746="支払なし",$H746=0,$Q746=""),"",$Q746&amp;"|S|"&amp;(COUNTIF(S$4:S745,$Q746&amp;"|S|*")+1))</f>
        <v/>
      </c>
      <c r="T746" s="769" t="str">
        <f>IF(OR($F746="",$P746="支払なし",$R746=0,$Q746=""),"",$Q746&amp;"|L|"&amp;(COUNTIF(T$4:T745,$Q746&amp;"|L|*")+1))</f>
        <v/>
      </c>
      <c r="U746" s="769" t="str">
        <f>IF(OR($F746="",$A746=""),"",MOD(MONTH($A746)-4,12)+1)</f>
        <v/>
      </c>
    </row>
    <row r="747" ht="16.5" customFormat="1" customHeight="1" s="85">
      <c r="A747" s="760" t="n"/>
      <c r="B747" s="761" t="n"/>
      <c r="C747" s="762" t="n"/>
      <c r="D747" s="762" t="n"/>
      <c r="E747" s="775" t="n"/>
      <c r="F747" s="764" t="n"/>
      <c r="G747" s="764" t="n"/>
      <c r="H747" s="765">
        <f>IF(G747=1,F747-I747-J747-K747,IF(G747=2,F747,0))</f>
        <v>0</v>
      </c>
      <c r="I747" s="765">
        <f>ROUND(IF(G747=1,F747*10/23,IF(G747=3,F747-J747-K747,IF(G747=4,F747,IF(G747=5,F747*10/11,IF(G747=7,F747*10/11,0))))),0)</f>
        <v>0</v>
      </c>
      <c r="J747" s="765">
        <f>ROUND(IF(G747=1,F747/23,IF(G747=3,F747/12,IF(G747=5,F747-I747,IF(G747=8,F747,0)))),0)</f>
        <v>0</v>
      </c>
      <c r="K747" s="766">
        <f>ROUND(IF(G747=1,F747/23,IF(G747=3,F747/12,IF(G747=6,F747,IF(G747=7,F747-I747,0)))),0)</f>
        <v>0</v>
      </c>
      <c r="L747" s="767">
        <f>IF(G747=6,F747,0)</f>
        <v>0</v>
      </c>
      <c r="M747" s="55">
        <f>IF(F747="",0,MONTH(A747))</f>
        <v>0</v>
      </c>
      <c r="P747" s="768" t="n"/>
      <c r="Q747" s="769" t="str">
        <f>IF($F747="","",IFERROR(VLOOKUP($C747&amp;"|"&amp;$D747,科目表!$A$5:$B$200,2,FALSE),"※未登録"))</f>
        <v/>
      </c>
      <c r="R747" s="769" t="str">
        <f>IF($F747="","",$I747+$J747+$K747)</f>
        <v/>
      </c>
      <c r="S747" s="769" t="str">
        <f>IF(OR($F747="",$P747="支払なし",$H747=0,$Q747=""),"",$Q747&amp;"|S|"&amp;(COUNTIF(S$4:S746,$Q747&amp;"|S|*")+1))</f>
        <v/>
      </c>
      <c r="T747" s="769" t="str">
        <f>IF(OR($F747="",$P747="支払なし",$R747=0,$Q747=""),"",$Q747&amp;"|L|"&amp;(COUNTIF(T$4:T746,$Q747&amp;"|L|*")+1))</f>
        <v/>
      </c>
      <c r="U747" s="769" t="str">
        <f>IF(OR($F747="",$A747=""),"",MOD(MONTH($A747)-4,12)+1)</f>
        <v/>
      </c>
    </row>
    <row r="748" ht="16.5" customFormat="1" customHeight="1" s="85">
      <c r="A748" s="760" t="n"/>
      <c r="B748" s="761" t="n"/>
      <c r="C748" s="762" t="n"/>
      <c r="D748" s="762" t="n"/>
      <c r="E748" s="775" t="n"/>
      <c r="F748" s="764" t="n"/>
      <c r="G748" s="764" t="n"/>
      <c r="H748" s="765">
        <f>IF(G748=1,F748-I748-J748-K748,IF(G748=2,F748,0))</f>
        <v>0</v>
      </c>
      <c r="I748" s="765">
        <f>ROUND(IF(G748=1,F748*10/23,IF(G748=3,F748-J748-K748,IF(G748=4,F748,IF(G748=5,F748*10/11,IF(G748=7,F748*10/11,0))))),0)</f>
        <v>0</v>
      </c>
      <c r="J748" s="765">
        <f>ROUND(IF(G748=1,F748/23,IF(G748=3,F748/12,IF(G748=5,F748-I748,IF(G748=8,F748,0)))),0)</f>
        <v>0</v>
      </c>
      <c r="K748" s="766">
        <f>ROUND(IF(G748=1,F748/23,IF(G748=3,F748/12,IF(G748=6,F748,IF(G748=7,F748-I748,0)))),0)</f>
        <v>0</v>
      </c>
      <c r="L748" s="767">
        <f>IF(G748=6,F748,0)</f>
        <v>0</v>
      </c>
      <c r="M748" s="55">
        <f>IF(F748="",0,MONTH(A748))</f>
        <v>0</v>
      </c>
      <c r="P748" s="768" t="n"/>
      <c r="Q748" s="769" t="str">
        <f>IF($F748="","",IFERROR(VLOOKUP($C748&amp;"|"&amp;$D748,科目表!$A$5:$B$200,2,FALSE),"※未登録"))</f>
        <v/>
      </c>
      <c r="R748" s="769" t="str">
        <f>IF($F748="","",$I748+$J748+$K748)</f>
        <v/>
      </c>
      <c r="S748" s="769" t="str">
        <f>IF(OR($F748="",$P748="支払なし",$H748=0,$Q748=""),"",$Q748&amp;"|S|"&amp;(COUNTIF(S$4:S747,$Q748&amp;"|S|*")+1))</f>
        <v/>
      </c>
      <c r="T748" s="769" t="str">
        <f>IF(OR($F748="",$P748="支払なし",$R748=0,$Q748=""),"",$Q748&amp;"|L|"&amp;(COUNTIF(T$4:T747,$Q748&amp;"|L|*")+1))</f>
        <v/>
      </c>
      <c r="U748" s="769" t="str">
        <f>IF(OR($F748="",$A748=""),"",MOD(MONTH($A748)-4,12)+1)</f>
        <v/>
      </c>
    </row>
    <row r="749" ht="16.5" customFormat="1" customHeight="1" s="85">
      <c r="A749" s="760" t="n"/>
      <c r="B749" s="761" t="n"/>
      <c r="C749" s="762" t="n"/>
      <c r="D749" s="762" t="n"/>
      <c r="E749" s="775" t="n"/>
      <c r="F749" s="764" t="n"/>
      <c r="G749" s="764" t="n"/>
      <c r="H749" s="765">
        <f>IF(G749=1,F749-I749-J749-K749,IF(G749=2,F749,0))</f>
        <v>0</v>
      </c>
      <c r="I749" s="765">
        <f>ROUND(IF(G749=1,F749*10/23,IF(G749=3,F749-J749-K749,IF(G749=4,F749,IF(G749=5,F749*10/11,IF(G749=7,F749*10/11,0))))),0)</f>
        <v>0</v>
      </c>
      <c r="J749" s="765">
        <f>ROUND(IF(G749=1,F749/23,IF(G749=3,F749/12,IF(G749=5,F749-I749,IF(G749=8,F749,0)))),0)</f>
        <v>0</v>
      </c>
      <c r="K749" s="766">
        <f>ROUND(IF(G749=1,F749/23,IF(G749=3,F749/12,IF(G749=6,F749,IF(G749=7,F749-I749,0)))),0)</f>
        <v>0</v>
      </c>
      <c r="L749" s="767">
        <f>IF(G749=6,F749,0)</f>
        <v>0</v>
      </c>
      <c r="M749" s="55">
        <f>IF(F749="",0,MONTH(A749))</f>
        <v>0</v>
      </c>
      <c r="P749" s="768" t="n"/>
      <c r="Q749" s="769" t="str">
        <f>IF($F749="","",IFERROR(VLOOKUP($C749&amp;"|"&amp;$D749,科目表!$A$5:$B$200,2,FALSE),"※未登録"))</f>
        <v/>
      </c>
      <c r="R749" s="769" t="str">
        <f>IF($F749="","",$I749+$J749+$K749)</f>
        <v/>
      </c>
      <c r="S749" s="769" t="str">
        <f>IF(OR($F749="",$P749="支払なし",$H749=0,$Q749=""),"",$Q749&amp;"|S|"&amp;(COUNTIF(S$4:S748,$Q749&amp;"|S|*")+1))</f>
        <v/>
      </c>
      <c r="T749" s="769" t="str">
        <f>IF(OR($F749="",$P749="支払なし",$R749=0,$Q749=""),"",$Q749&amp;"|L|"&amp;(COUNTIF(T$4:T748,$Q749&amp;"|L|*")+1))</f>
        <v/>
      </c>
      <c r="U749" s="769" t="str">
        <f>IF(OR($F749="",$A749=""),"",MOD(MONTH($A749)-4,12)+1)</f>
        <v/>
      </c>
    </row>
    <row r="750" ht="16.5" customFormat="1" customHeight="1" s="85">
      <c r="A750" s="760" t="n"/>
      <c r="B750" s="761" t="n"/>
      <c r="C750" s="762" t="n"/>
      <c r="D750" s="762" t="n"/>
      <c r="E750" s="775" t="n"/>
      <c r="F750" s="764" t="n"/>
      <c r="G750" s="764" t="n"/>
      <c r="H750" s="765">
        <f>IF(G750=1,F750-I750-J750-K750,IF(G750=2,F750,0))</f>
        <v>0</v>
      </c>
      <c r="I750" s="765">
        <f>ROUND(IF(G750=1,F750*10/23,IF(G750=3,F750-J750-K750,IF(G750=4,F750,IF(G750=5,F750*10/11,IF(G750=7,F750*10/11,0))))),0)</f>
        <v>0</v>
      </c>
      <c r="J750" s="765">
        <f>ROUND(IF(G750=1,F750/23,IF(G750=3,F750/12,IF(G750=5,F750-I750,IF(G750=8,F750,0)))),0)</f>
        <v>0</v>
      </c>
      <c r="K750" s="766">
        <f>ROUND(IF(G750=1,F750/23,IF(G750=3,F750/12,IF(G750=6,F750,IF(G750=7,F750-I750,0)))),0)</f>
        <v>0</v>
      </c>
      <c r="L750" s="767">
        <f>IF(G750=6,F750,0)</f>
        <v>0</v>
      </c>
      <c r="M750" s="55">
        <f>IF(F750="",0,MONTH(A750))</f>
        <v>0</v>
      </c>
      <c r="P750" s="768" t="n"/>
      <c r="Q750" s="769" t="str">
        <f>IF($F750="","",IFERROR(VLOOKUP($C750&amp;"|"&amp;$D750,科目表!$A$5:$B$200,2,FALSE),"※未登録"))</f>
        <v/>
      </c>
      <c r="R750" s="769" t="str">
        <f>IF($F750="","",$I750+$J750+$K750)</f>
        <v/>
      </c>
      <c r="S750" s="769" t="str">
        <f>IF(OR($F750="",$P750="支払なし",$H750=0,$Q750=""),"",$Q750&amp;"|S|"&amp;(COUNTIF(S$4:S749,$Q750&amp;"|S|*")+1))</f>
        <v/>
      </c>
      <c r="T750" s="769" t="str">
        <f>IF(OR($F750="",$P750="支払なし",$R750=0,$Q750=""),"",$Q750&amp;"|L|"&amp;(COUNTIF(T$4:T749,$Q750&amp;"|L|*")+1))</f>
        <v/>
      </c>
      <c r="U750" s="769" t="str">
        <f>IF(OR($F750="",$A750=""),"",MOD(MONTH($A750)-4,12)+1)</f>
        <v/>
      </c>
    </row>
    <row r="751" ht="16.5" customFormat="1" customHeight="1" s="85">
      <c r="A751" s="760" t="n"/>
      <c r="B751" s="761" t="n"/>
      <c r="C751" s="762" t="n"/>
      <c r="D751" s="762" t="n"/>
      <c r="E751" s="775" t="n"/>
      <c r="F751" s="764" t="n"/>
      <c r="G751" s="764" t="n"/>
      <c r="H751" s="765">
        <f>IF(G751=1,F751-I751-J751-K751,IF(G751=2,F751,0))</f>
        <v>0</v>
      </c>
      <c r="I751" s="765">
        <f>ROUND(IF(G751=1,F751*10/23,IF(G751=3,F751-J751-K751,IF(G751=4,F751,IF(G751=5,F751*10/11,IF(G751=7,F751*10/11,0))))),0)</f>
        <v>0</v>
      </c>
      <c r="J751" s="765">
        <f>ROUND(IF(G751=1,F751/23,IF(G751=3,F751/12,IF(G751=5,F751-I751,IF(G751=8,F751,0)))),0)</f>
        <v>0</v>
      </c>
      <c r="K751" s="766">
        <f>ROUND(IF(G751=1,F751/23,IF(G751=3,F751/12,IF(G751=6,F751,IF(G751=7,F751-I751,0)))),0)</f>
        <v>0</v>
      </c>
      <c r="L751" s="767">
        <f>IF(G751=6,F751,0)</f>
        <v>0</v>
      </c>
      <c r="M751" s="55">
        <f>IF(F751="",0,MONTH(A751))</f>
        <v>0</v>
      </c>
      <c r="P751" s="768" t="n"/>
      <c r="Q751" s="769" t="str">
        <f>IF($F751="","",IFERROR(VLOOKUP($C751&amp;"|"&amp;$D751,科目表!$A$5:$B$200,2,FALSE),"※未登録"))</f>
        <v/>
      </c>
      <c r="R751" s="769" t="str">
        <f>IF($F751="","",$I751+$J751+$K751)</f>
        <v/>
      </c>
      <c r="S751" s="769" t="str">
        <f>IF(OR($F751="",$P751="支払なし",$H751=0,$Q751=""),"",$Q751&amp;"|S|"&amp;(COUNTIF(S$4:S750,$Q751&amp;"|S|*")+1))</f>
        <v/>
      </c>
      <c r="T751" s="769" t="str">
        <f>IF(OR($F751="",$P751="支払なし",$R751=0,$Q751=""),"",$Q751&amp;"|L|"&amp;(COUNTIF(T$4:T750,$Q751&amp;"|L|*")+1))</f>
        <v/>
      </c>
      <c r="U751" s="769" t="str">
        <f>IF(OR($F751="",$A751=""),"",MOD(MONTH($A751)-4,12)+1)</f>
        <v/>
      </c>
    </row>
    <row r="752" ht="16.5" customFormat="1" customHeight="1" s="85">
      <c r="A752" s="760" t="n"/>
      <c r="B752" s="761" t="n"/>
      <c r="C752" s="762" t="n"/>
      <c r="D752" s="762" t="n"/>
      <c r="E752" s="775" t="n"/>
      <c r="F752" s="764" t="n"/>
      <c r="G752" s="764" t="n"/>
      <c r="H752" s="765">
        <f>IF(G752=1,F752-I752-J752-K752,IF(G752=2,F752,0))</f>
        <v>0</v>
      </c>
      <c r="I752" s="765">
        <f>ROUND(IF(G752=1,F752*10/23,IF(G752=3,F752-J752-K752,IF(G752=4,F752,IF(G752=5,F752*10/11,IF(G752=7,F752*10/11,0))))),0)</f>
        <v>0</v>
      </c>
      <c r="J752" s="765">
        <f>ROUND(IF(G752=1,F752/23,IF(G752=3,F752/12,IF(G752=5,F752-I752,IF(G752=8,F752,0)))),0)</f>
        <v>0</v>
      </c>
      <c r="K752" s="766">
        <f>ROUND(IF(G752=1,F752/23,IF(G752=3,F752/12,IF(G752=6,F752,IF(G752=7,F752-I752,0)))),0)</f>
        <v>0</v>
      </c>
      <c r="L752" s="767">
        <f>IF(G752=6,F752,0)</f>
        <v>0</v>
      </c>
      <c r="M752" s="55">
        <f>IF(F752="",0,MONTH(A752))</f>
        <v>0</v>
      </c>
      <c r="P752" s="768" t="n"/>
      <c r="Q752" s="769" t="str">
        <f>IF($F752="","",IFERROR(VLOOKUP($C752&amp;"|"&amp;$D752,科目表!$A$5:$B$200,2,FALSE),"※未登録"))</f>
        <v/>
      </c>
      <c r="R752" s="769" t="str">
        <f>IF($F752="","",$I752+$J752+$K752)</f>
        <v/>
      </c>
      <c r="S752" s="769" t="str">
        <f>IF(OR($F752="",$P752="支払なし",$H752=0,$Q752=""),"",$Q752&amp;"|S|"&amp;(COUNTIF(S$4:S751,$Q752&amp;"|S|*")+1))</f>
        <v/>
      </c>
      <c r="T752" s="769" t="str">
        <f>IF(OR($F752="",$P752="支払なし",$R752=0,$Q752=""),"",$Q752&amp;"|L|"&amp;(COUNTIF(T$4:T751,$Q752&amp;"|L|*")+1))</f>
        <v/>
      </c>
      <c r="U752" s="769" t="str">
        <f>IF(OR($F752="",$A752=""),"",MOD(MONTH($A752)-4,12)+1)</f>
        <v/>
      </c>
    </row>
    <row r="753" ht="16.5" customFormat="1" customHeight="1" s="85">
      <c r="A753" s="760" t="n"/>
      <c r="B753" s="761" t="n"/>
      <c r="C753" s="762" t="n"/>
      <c r="D753" s="762" t="n"/>
      <c r="E753" s="775" t="n"/>
      <c r="F753" s="764" t="n"/>
      <c r="G753" s="764" t="n"/>
      <c r="H753" s="765">
        <f>IF(G753=1,F753-I753-J753-K753,IF(G753=2,F753,0))</f>
        <v>0</v>
      </c>
      <c r="I753" s="765">
        <f>ROUND(IF(G753=1,F753*10/23,IF(G753=3,F753-J753-K753,IF(G753=4,F753,IF(G753=5,F753*10/11,IF(G753=7,F753*10/11,0))))),0)</f>
        <v>0</v>
      </c>
      <c r="J753" s="765">
        <f>ROUND(IF(G753=1,F753/23,IF(G753=3,F753/12,IF(G753=5,F753-I753,IF(G753=8,F753,0)))),0)</f>
        <v>0</v>
      </c>
      <c r="K753" s="766">
        <f>ROUND(IF(G753=1,F753/23,IF(G753=3,F753/12,IF(G753=6,F753,IF(G753=7,F753-I753,0)))),0)</f>
        <v>0</v>
      </c>
      <c r="L753" s="767">
        <f>IF(G753=6,F753,0)</f>
        <v>0</v>
      </c>
      <c r="M753" s="55">
        <f>IF(F753="",0,MONTH(A753))</f>
        <v>0</v>
      </c>
      <c r="P753" s="768" t="n"/>
      <c r="Q753" s="769" t="str">
        <f>IF($F753="","",IFERROR(VLOOKUP($C753&amp;"|"&amp;$D753,科目表!$A$5:$B$200,2,FALSE),"※未登録"))</f>
        <v/>
      </c>
      <c r="R753" s="769" t="str">
        <f>IF($F753="","",$I753+$J753+$K753)</f>
        <v/>
      </c>
      <c r="S753" s="769" t="str">
        <f>IF(OR($F753="",$P753="支払なし",$H753=0,$Q753=""),"",$Q753&amp;"|S|"&amp;(COUNTIF(S$4:S752,$Q753&amp;"|S|*")+1))</f>
        <v/>
      </c>
      <c r="T753" s="769" t="str">
        <f>IF(OR($F753="",$P753="支払なし",$R753=0,$Q753=""),"",$Q753&amp;"|L|"&amp;(COUNTIF(T$4:T752,$Q753&amp;"|L|*")+1))</f>
        <v/>
      </c>
      <c r="U753" s="769" t="str">
        <f>IF(OR($F753="",$A753=""),"",MOD(MONTH($A753)-4,12)+1)</f>
        <v/>
      </c>
    </row>
    <row r="754" ht="16.5" customFormat="1" customHeight="1" s="85">
      <c r="A754" s="760" t="n"/>
      <c r="B754" s="761" t="n"/>
      <c r="C754" s="762" t="n"/>
      <c r="D754" s="762" t="n"/>
      <c r="E754" s="775" t="n"/>
      <c r="F754" s="764" t="n"/>
      <c r="G754" s="764" t="n"/>
      <c r="H754" s="765">
        <f>IF(G754=1,F754-I754-J754-K754,IF(G754=2,F754,0))</f>
        <v>0</v>
      </c>
      <c r="I754" s="765">
        <f>ROUND(IF(G754=1,F754*10/23,IF(G754=3,F754-J754-K754,IF(G754=4,F754,IF(G754=5,F754*10/11,IF(G754=7,F754*10/11,0))))),0)</f>
        <v>0</v>
      </c>
      <c r="J754" s="765">
        <f>ROUND(IF(G754=1,F754/23,IF(G754=3,F754/12,IF(G754=5,F754-I754,IF(G754=8,F754,0)))),0)</f>
        <v>0</v>
      </c>
      <c r="K754" s="766">
        <f>ROUND(IF(G754=1,F754/23,IF(G754=3,F754/12,IF(G754=6,F754,IF(G754=7,F754-I754,0)))),0)</f>
        <v>0</v>
      </c>
      <c r="L754" s="767">
        <f>IF(G754=6,F754,0)</f>
        <v>0</v>
      </c>
      <c r="M754" s="55">
        <f>IF(F754="",0,MONTH(A754))</f>
        <v>0</v>
      </c>
      <c r="P754" s="768" t="n"/>
      <c r="Q754" s="769" t="str">
        <f>IF($F754="","",IFERROR(VLOOKUP($C754&amp;"|"&amp;$D754,科目表!$A$5:$B$200,2,FALSE),"※未登録"))</f>
        <v/>
      </c>
      <c r="R754" s="769" t="str">
        <f>IF($F754="","",$I754+$J754+$K754)</f>
        <v/>
      </c>
      <c r="S754" s="769" t="str">
        <f>IF(OR($F754="",$P754="支払なし",$H754=0,$Q754=""),"",$Q754&amp;"|S|"&amp;(COUNTIF(S$4:S753,$Q754&amp;"|S|*")+1))</f>
        <v/>
      </c>
      <c r="T754" s="769" t="str">
        <f>IF(OR($F754="",$P754="支払なし",$R754=0,$Q754=""),"",$Q754&amp;"|L|"&amp;(COUNTIF(T$4:T753,$Q754&amp;"|L|*")+1))</f>
        <v/>
      </c>
      <c r="U754" s="769" t="str">
        <f>IF(OR($F754="",$A754=""),"",MOD(MONTH($A754)-4,12)+1)</f>
        <v/>
      </c>
    </row>
    <row r="755" ht="16.5" customFormat="1" customHeight="1" s="85">
      <c r="A755" s="760" t="n"/>
      <c r="B755" s="761" t="n"/>
      <c r="C755" s="762" t="n"/>
      <c r="D755" s="762" t="n"/>
      <c r="E755" s="775" t="n"/>
      <c r="F755" s="764" t="n"/>
      <c r="G755" s="764" t="n"/>
      <c r="H755" s="765">
        <f>IF(G755=1,F755-I755-J755-K755,IF(G755=2,F755,0))</f>
        <v>0</v>
      </c>
      <c r="I755" s="765">
        <f>ROUND(IF(G755=1,F755*10/23,IF(G755=3,F755-J755-K755,IF(G755=4,F755,IF(G755=5,F755*10/11,IF(G755=7,F755*10/11,0))))),0)</f>
        <v>0</v>
      </c>
      <c r="J755" s="765">
        <f>ROUND(IF(G755=1,F755/23,IF(G755=3,F755/12,IF(G755=5,F755-I755,IF(G755=8,F755,0)))),0)</f>
        <v>0</v>
      </c>
      <c r="K755" s="766">
        <f>ROUND(IF(G755=1,F755/23,IF(G755=3,F755/12,IF(G755=6,F755,IF(G755=7,F755-I755,0)))),0)</f>
        <v>0</v>
      </c>
      <c r="L755" s="767">
        <f>IF(G755=6,F755,0)</f>
        <v>0</v>
      </c>
      <c r="M755" s="55">
        <f>IF(F755="",0,MONTH(A755))</f>
        <v>0</v>
      </c>
      <c r="P755" s="768" t="n"/>
      <c r="Q755" s="769" t="str">
        <f>IF($F755="","",IFERROR(VLOOKUP($C755&amp;"|"&amp;$D755,科目表!$A$5:$B$200,2,FALSE),"※未登録"))</f>
        <v/>
      </c>
      <c r="R755" s="769" t="str">
        <f>IF($F755="","",$I755+$J755+$K755)</f>
        <v/>
      </c>
      <c r="S755" s="769" t="str">
        <f>IF(OR($F755="",$P755="支払なし",$H755=0,$Q755=""),"",$Q755&amp;"|S|"&amp;(COUNTIF(S$4:S754,$Q755&amp;"|S|*")+1))</f>
        <v/>
      </c>
      <c r="T755" s="769" t="str">
        <f>IF(OR($F755="",$P755="支払なし",$R755=0,$Q755=""),"",$Q755&amp;"|L|"&amp;(COUNTIF(T$4:T754,$Q755&amp;"|L|*")+1))</f>
        <v/>
      </c>
      <c r="U755" s="769" t="str">
        <f>IF(OR($F755="",$A755=""),"",MOD(MONTH($A755)-4,12)+1)</f>
        <v/>
      </c>
    </row>
    <row r="756" ht="16.5" customFormat="1" customHeight="1" s="85">
      <c r="A756" s="760" t="n"/>
      <c r="B756" s="761" t="n"/>
      <c r="C756" s="762" t="n"/>
      <c r="D756" s="762" t="n"/>
      <c r="E756" s="775" t="n"/>
      <c r="F756" s="764" t="n"/>
      <c r="G756" s="764" t="n"/>
      <c r="H756" s="765">
        <f>IF(G756=1,F756-I756-J756-K756,IF(G756=2,F756,0))</f>
        <v>0</v>
      </c>
      <c r="I756" s="765">
        <f>ROUND(IF(G756=1,F756*10/23,IF(G756=3,F756-J756-K756,IF(G756=4,F756,IF(G756=5,F756*10/11,IF(G756=7,F756*10/11,0))))),0)</f>
        <v>0</v>
      </c>
      <c r="J756" s="765">
        <f>ROUND(IF(G756=1,F756/23,IF(G756=3,F756/12,IF(G756=5,F756-I756,IF(G756=8,F756,0)))),0)</f>
        <v>0</v>
      </c>
      <c r="K756" s="766">
        <f>ROUND(IF(G756=1,F756/23,IF(G756=3,F756/12,IF(G756=6,F756,IF(G756=7,F756-I756,0)))),0)</f>
        <v>0</v>
      </c>
      <c r="L756" s="767">
        <f>IF(G756=6,F756,0)</f>
        <v>0</v>
      </c>
      <c r="M756" s="55">
        <f>IF(F756="",0,MONTH(A756))</f>
        <v>0</v>
      </c>
      <c r="P756" s="768" t="n"/>
      <c r="Q756" s="769" t="str">
        <f>IF($F756="","",IFERROR(VLOOKUP($C756&amp;"|"&amp;$D756,科目表!$A$5:$B$200,2,FALSE),"※未登録"))</f>
        <v/>
      </c>
      <c r="R756" s="769" t="str">
        <f>IF($F756="","",$I756+$J756+$K756)</f>
        <v/>
      </c>
      <c r="S756" s="769" t="str">
        <f>IF(OR($F756="",$P756="支払なし",$H756=0,$Q756=""),"",$Q756&amp;"|S|"&amp;(COUNTIF(S$4:S755,$Q756&amp;"|S|*")+1))</f>
        <v/>
      </c>
      <c r="T756" s="769" t="str">
        <f>IF(OR($F756="",$P756="支払なし",$R756=0,$Q756=""),"",$Q756&amp;"|L|"&amp;(COUNTIF(T$4:T755,$Q756&amp;"|L|*")+1))</f>
        <v/>
      </c>
      <c r="U756" s="769" t="str">
        <f>IF(OR($F756="",$A756=""),"",MOD(MONTH($A756)-4,12)+1)</f>
        <v/>
      </c>
    </row>
    <row r="757" ht="16.5" customFormat="1" customHeight="1" s="85">
      <c r="A757" s="760" t="n"/>
      <c r="B757" s="761" t="n"/>
      <c r="C757" s="762" t="n"/>
      <c r="D757" s="762" t="n"/>
      <c r="E757" s="775" t="n"/>
      <c r="F757" s="764" t="n"/>
      <c r="G757" s="764" t="n"/>
      <c r="H757" s="765">
        <f>IF(G757=1,F757-I757-J757-K757,IF(G757=2,F757,0))</f>
        <v>0</v>
      </c>
      <c r="I757" s="765">
        <f>ROUND(IF(G757=1,F757*10/23,IF(G757=3,F757-J757-K757,IF(G757=4,F757,IF(G757=5,F757*10/11,IF(G757=7,F757*10/11,0))))),0)</f>
        <v>0</v>
      </c>
      <c r="J757" s="765">
        <f>ROUND(IF(G757=1,F757/23,IF(G757=3,F757/12,IF(G757=5,F757-I757,IF(G757=8,F757,0)))),0)</f>
        <v>0</v>
      </c>
      <c r="K757" s="766">
        <f>ROUND(IF(G757=1,F757/23,IF(G757=3,F757/12,IF(G757=6,F757,IF(G757=7,F757-I757,0)))),0)</f>
        <v>0</v>
      </c>
      <c r="L757" s="767">
        <f>IF(G757=6,F757,0)</f>
        <v>0</v>
      </c>
      <c r="M757" s="55">
        <f>IF(F757="",0,MONTH(A757))</f>
        <v>0</v>
      </c>
      <c r="P757" s="768" t="n"/>
      <c r="Q757" s="769" t="str">
        <f>IF($F757="","",IFERROR(VLOOKUP($C757&amp;"|"&amp;$D757,科目表!$A$5:$B$200,2,FALSE),"※未登録"))</f>
        <v/>
      </c>
      <c r="R757" s="769" t="str">
        <f>IF($F757="","",$I757+$J757+$K757)</f>
        <v/>
      </c>
      <c r="S757" s="769" t="str">
        <f>IF(OR($F757="",$P757="支払なし",$H757=0,$Q757=""),"",$Q757&amp;"|S|"&amp;(COUNTIF(S$4:S756,$Q757&amp;"|S|*")+1))</f>
        <v/>
      </c>
      <c r="T757" s="769" t="str">
        <f>IF(OR($F757="",$P757="支払なし",$R757=0,$Q757=""),"",$Q757&amp;"|L|"&amp;(COUNTIF(T$4:T756,$Q757&amp;"|L|*")+1))</f>
        <v/>
      </c>
      <c r="U757" s="769" t="str">
        <f>IF(OR($F757="",$A757=""),"",MOD(MONTH($A757)-4,12)+1)</f>
        <v/>
      </c>
    </row>
    <row r="758" ht="16.5" customFormat="1" customHeight="1" s="85">
      <c r="A758" s="760" t="n"/>
      <c r="B758" s="761" t="n"/>
      <c r="C758" s="762" t="n"/>
      <c r="D758" s="762" t="n"/>
      <c r="E758" s="775" t="n"/>
      <c r="F758" s="764" t="n"/>
      <c r="G758" s="764" t="n"/>
      <c r="H758" s="765">
        <f>IF(G758=1,F758-I758-J758-K758,IF(G758=2,F758,0))</f>
        <v>0</v>
      </c>
      <c r="I758" s="765">
        <f>ROUND(IF(G758=1,F758*10/23,IF(G758=3,F758-J758-K758,IF(G758=4,F758,IF(G758=5,F758*10/11,IF(G758=7,F758*10/11,0))))),0)</f>
        <v>0</v>
      </c>
      <c r="J758" s="765">
        <f>ROUND(IF(G758=1,F758/23,IF(G758=3,F758/12,IF(G758=5,F758-I758,IF(G758=8,F758,0)))),0)</f>
        <v>0</v>
      </c>
      <c r="K758" s="766">
        <f>ROUND(IF(G758=1,F758/23,IF(G758=3,F758/12,IF(G758=6,F758,IF(G758=7,F758-I758,0)))),0)</f>
        <v>0</v>
      </c>
      <c r="L758" s="767">
        <f>IF(G758=6,F758,0)</f>
        <v>0</v>
      </c>
      <c r="M758" s="55">
        <f>IF(F758="",0,MONTH(A758))</f>
        <v>0</v>
      </c>
      <c r="P758" s="768" t="n"/>
      <c r="Q758" s="769" t="str">
        <f>IF($F758="","",IFERROR(VLOOKUP($C758&amp;"|"&amp;$D758,科目表!$A$5:$B$200,2,FALSE),"※未登録"))</f>
        <v/>
      </c>
      <c r="R758" s="769" t="str">
        <f>IF($F758="","",$I758+$J758+$K758)</f>
        <v/>
      </c>
      <c r="S758" s="769" t="str">
        <f>IF(OR($F758="",$P758="支払なし",$H758=0,$Q758=""),"",$Q758&amp;"|S|"&amp;(COUNTIF(S$4:S757,$Q758&amp;"|S|*")+1))</f>
        <v/>
      </c>
      <c r="T758" s="769" t="str">
        <f>IF(OR($F758="",$P758="支払なし",$R758=0,$Q758=""),"",$Q758&amp;"|L|"&amp;(COUNTIF(T$4:T757,$Q758&amp;"|L|*")+1))</f>
        <v/>
      </c>
      <c r="U758" s="769" t="str">
        <f>IF(OR($F758="",$A758=""),"",MOD(MONTH($A758)-4,12)+1)</f>
        <v/>
      </c>
    </row>
    <row r="759" ht="16.5" customFormat="1" customHeight="1" s="85">
      <c r="A759" s="760" t="n"/>
      <c r="B759" s="761" t="n"/>
      <c r="C759" s="762" t="n"/>
      <c r="D759" s="762" t="n"/>
      <c r="E759" s="775" t="n"/>
      <c r="F759" s="764" t="n"/>
      <c r="G759" s="764" t="n"/>
      <c r="H759" s="765">
        <f>IF(G759=1,F759-I759-J759-K759,IF(G759=2,F759,0))</f>
        <v>0</v>
      </c>
      <c r="I759" s="765">
        <f>ROUND(IF(G759=1,F759*10/23,IF(G759=3,F759-J759-K759,IF(G759=4,F759,IF(G759=5,F759*10/11,IF(G759=7,F759*10/11,0))))),0)</f>
        <v>0</v>
      </c>
      <c r="J759" s="765">
        <f>ROUND(IF(G759=1,F759/23,IF(G759=3,F759/12,IF(G759=5,F759-I759,IF(G759=8,F759,0)))),0)</f>
        <v>0</v>
      </c>
      <c r="K759" s="766">
        <f>ROUND(IF(G759=1,F759/23,IF(G759=3,F759/12,IF(G759=6,F759,IF(G759=7,F759-I759,0)))),0)</f>
        <v>0</v>
      </c>
      <c r="L759" s="767">
        <f>IF(G759=6,F759,0)</f>
        <v>0</v>
      </c>
      <c r="M759" s="55">
        <f>IF(F759="",0,MONTH(A759))</f>
        <v>0</v>
      </c>
      <c r="P759" s="768" t="n"/>
      <c r="Q759" s="769" t="str">
        <f>IF($F759="","",IFERROR(VLOOKUP($C759&amp;"|"&amp;$D759,科目表!$A$5:$B$200,2,FALSE),"※未登録"))</f>
        <v/>
      </c>
      <c r="R759" s="769" t="str">
        <f>IF($F759="","",$I759+$J759+$K759)</f>
        <v/>
      </c>
      <c r="S759" s="769" t="str">
        <f>IF(OR($F759="",$P759="支払なし",$H759=0,$Q759=""),"",$Q759&amp;"|S|"&amp;(COUNTIF(S$4:S758,$Q759&amp;"|S|*")+1))</f>
        <v/>
      </c>
      <c r="T759" s="769" t="str">
        <f>IF(OR($F759="",$P759="支払なし",$R759=0,$Q759=""),"",$Q759&amp;"|L|"&amp;(COUNTIF(T$4:T758,$Q759&amp;"|L|*")+1))</f>
        <v/>
      </c>
      <c r="U759" s="769" t="str">
        <f>IF(OR($F759="",$A759=""),"",MOD(MONTH($A759)-4,12)+1)</f>
        <v/>
      </c>
    </row>
    <row r="760" ht="16.5" customFormat="1" customHeight="1" s="85">
      <c r="A760" s="760" t="n"/>
      <c r="B760" s="761" t="n"/>
      <c r="C760" s="762" t="n"/>
      <c r="D760" s="762" t="n"/>
      <c r="E760" s="775" t="n"/>
      <c r="F760" s="764" t="n"/>
      <c r="G760" s="764" t="n"/>
      <c r="H760" s="765">
        <f>IF(G760=1,F760-I760-J760-K760,IF(G760=2,F760,0))</f>
        <v>0</v>
      </c>
      <c r="I760" s="765">
        <f>ROUND(IF(G760=1,F760*10/23,IF(G760=3,F760-J760-K760,IF(G760=4,F760,IF(G760=5,F760*10/11,IF(G760=7,F760*10/11,0))))),0)</f>
        <v>0</v>
      </c>
      <c r="J760" s="765">
        <f>ROUND(IF(G760=1,F760/23,IF(G760=3,F760/12,IF(G760=5,F760-I760,IF(G760=8,F760,0)))),0)</f>
        <v>0</v>
      </c>
      <c r="K760" s="766">
        <f>ROUND(IF(G760=1,F760/23,IF(G760=3,F760/12,IF(G760=6,F760,IF(G760=7,F760-I760,0)))),0)</f>
        <v>0</v>
      </c>
      <c r="L760" s="767">
        <f>IF(G760=6,F760,0)</f>
        <v>0</v>
      </c>
      <c r="M760" s="55">
        <f>IF(F760="",0,MONTH(A760))</f>
        <v>0</v>
      </c>
      <c r="P760" s="768" t="n"/>
      <c r="Q760" s="769" t="str">
        <f>IF($F760="","",IFERROR(VLOOKUP($C760&amp;"|"&amp;$D760,科目表!$A$5:$B$200,2,FALSE),"※未登録"))</f>
        <v/>
      </c>
      <c r="R760" s="769" t="str">
        <f>IF($F760="","",$I760+$J760+$K760)</f>
        <v/>
      </c>
      <c r="S760" s="769" t="str">
        <f>IF(OR($F760="",$P760="支払なし",$H760=0,$Q760=""),"",$Q760&amp;"|S|"&amp;(COUNTIF(S$4:S759,$Q760&amp;"|S|*")+1))</f>
        <v/>
      </c>
      <c r="T760" s="769" t="str">
        <f>IF(OR($F760="",$P760="支払なし",$R760=0,$Q760=""),"",$Q760&amp;"|L|"&amp;(COUNTIF(T$4:T759,$Q760&amp;"|L|*")+1))</f>
        <v/>
      </c>
      <c r="U760" s="769" t="str">
        <f>IF(OR($F760="",$A760=""),"",MOD(MONTH($A760)-4,12)+1)</f>
        <v/>
      </c>
    </row>
    <row r="761" ht="16.5" customFormat="1" customHeight="1" s="85">
      <c r="A761" s="760" t="n"/>
      <c r="B761" s="761" t="n"/>
      <c r="C761" s="762" t="n"/>
      <c r="D761" s="762" t="n"/>
      <c r="E761" s="775" t="n"/>
      <c r="F761" s="764" t="n"/>
      <c r="G761" s="764" t="n"/>
      <c r="H761" s="765">
        <f>IF(G761=1,F761-I761-J761-K761,IF(G761=2,F761,0))</f>
        <v>0</v>
      </c>
      <c r="I761" s="765">
        <f>ROUND(IF(G761=1,F761*10/23,IF(G761=3,F761-J761-K761,IF(G761=4,F761,IF(G761=5,F761*10/11,IF(G761=7,F761*10/11,0))))),0)</f>
        <v>0</v>
      </c>
      <c r="J761" s="765">
        <f>ROUND(IF(G761=1,F761/23,IF(G761=3,F761/12,IF(G761=5,F761-I761,IF(G761=8,F761,0)))),0)</f>
        <v>0</v>
      </c>
      <c r="K761" s="766">
        <f>ROUND(IF(G761=1,F761/23,IF(G761=3,F761/12,IF(G761=6,F761,IF(G761=7,F761-I761,0)))),0)</f>
        <v>0</v>
      </c>
      <c r="L761" s="767">
        <f>IF(G761=6,F761,0)</f>
        <v>0</v>
      </c>
      <c r="M761" s="55">
        <f>IF(F761="",0,MONTH(A761))</f>
        <v>0</v>
      </c>
      <c r="P761" s="768" t="n"/>
      <c r="Q761" s="769" t="str">
        <f>IF($F761="","",IFERROR(VLOOKUP($C761&amp;"|"&amp;$D761,科目表!$A$5:$B$200,2,FALSE),"※未登録"))</f>
        <v/>
      </c>
      <c r="R761" s="769" t="str">
        <f>IF($F761="","",$I761+$J761+$K761)</f>
        <v/>
      </c>
      <c r="S761" s="769" t="str">
        <f>IF(OR($F761="",$P761="支払なし",$H761=0,$Q761=""),"",$Q761&amp;"|S|"&amp;(COUNTIF(S$4:S760,$Q761&amp;"|S|*")+1))</f>
        <v/>
      </c>
      <c r="T761" s="769" t="str">
        <f>IF(OR($F761="",$P761="支払なし",$R761=0,$Q761=""),"",$Q761&amp;"|L|"&amp;(COUNTIF(T$4:T760,$Q761&amp;"|L|*")+1))</f>
        <v/>
      </c>
      <c r="U761" s="769" t="str">
        <f>IF(OR($F761="",$A761=""),"",MOD(MONTH($A761)-4,12)+1)</f>
        <v/>
      </c>
    </row>
    <row r="762" ht="16.5" customFormat="1" customHeight="1" s="85">
      <c r="A762" s="760" t="n"/>
      <c r="B762" s="761" t="n"/>
      <c r="C762" s="762" t="n"/>
      <c r="D762" s="762" t="n"/>
      <c r="E762" s="775" t="n"/>
      <c r="F762" s="764" t="n"/>
      <c r="G762" s="764" t="n"/>
      <c r="H762" s="765">
        <f>IF(G762=1,F762-I762-J762-K762,IF(G762=2,F762,0))</f>
        <v>0</v>
      </c>
      <c r="I762" s="765">
        <f>ROUND(IF(G762=1,F762*10/23,IF(G762=3,F762-J762-K762,IF(G762=4,F762,IF(G762=5,F762*10/11,IF(G762=7,F762*10/11,0))))),0)</f>
        <v>0</v>
      </c>
      <c r="J762" s="765">
        <f>ROUND(IF(G762=1,F762/23,IF(G762=3,F762/12,IF(G762=5,F762-I762,IF(G762=8,F762,0)))),0)</f>
        <v>0</v>
      </c>
      <c r="K762" s="766">
        <f>ROUND(IF(G762=1,F762/23,IF(G762=3,F762/12,IF(G762=6,F762,IF(G762=7,F762-I762,0)))),0)</f>
        <v>0</v>
      </c>
      <c r="L762" s="767">
        <f>IF(G762=6,F762,0)</f>
        <v>0</v>
      </c>
      <c r="M762" s="55">
        <f>IF(F762="",0,MONTH(A762))</f>
        <v>0</v>
      </c>
      <c r="P762" s="768" t="n"/>
      <c r="Q762" s="769" t="str">
        <f>IF($F762="","",IFERROR(VLOOKUP($C762&amp;"|"&amp;$D762,科目表!$A$5:$B$200,2,FALSE),"※未登録"))</f>
        <v/>
      </c>
      <c r="R762" s="769" t="str">
        <f>IF($F762="","",$I762+$J762+$K762)</f>
        <v/>
      </c>
      <c r="S762" s="769" t="str">
        <f>IF(OR($F762="",$P762="支払なし",$H762=0,$Q762=""),"",$Q762&amp;"|S|"&amp;(COUNTIF(S$4:S761,$Q762&amp;"|S|*")+1))</f>
        <v/>
      </c>
      <c r="T762" s="769" t="str">
        <f>IF(OR($F762="",$P762="支払なし",$R762=0,$Q762=""),"",$Q762&amp;"|L|"&amp;(COUNTIF(T$4:T761,$Q762&amp;"|L|*")+1))</f>
        <v/>
      </c>
      <c r="U762" s="769" t="str">
        <f>IF(OR($F762="",$A762=""),"",MOD(MONTH($A762)-4,12)+1)</f>
        <v/>
      </c>
    </row>
    <row r="763" ht="16.5" customFormat="1" customHeight="1" s="85">
      <c r="A763" s="760" t="n"/>
      <c r="B763" s="761" t="n"/>
      <c r="C763" s="762" t="n"/>
      <c r="D763" s="762" t="n"/>
      <c r="E763" s="775" t="n"/>
      <c r="F763" s="764" t="n"/>
      <c r="G763" s="764" t="n"/>
      <c r="H763" s="765">
        <f>IF(G763=1,F763-I763-J763-K763,IF(G763=2,F763,0))</f>
        <v>0</v>
      </c>
      <c r="I763" s="765">
        <f>ROUND(IF(G763=1,F763*10/23,IF(G763=3,F763-J763-K763,IF(G763=4,F763,IF(G763=5,F763*10/11,IF(G763=7,F763*10/11,0))))),0)</f>
        <v>0</v>
      </c>
      <c r="J763" s="765">
        <f>ROUND(IF(G763=1,F763/23,IF(G763=3,F763/12,IF(G763=5,F763-I763,IF(G763=8,F763,0)))),0)</f>
        <v>0</v>
      </c>
      <c r="K763" s="766">
        <f>ROUND(IF(G763=1,F763/23,IF(G763=3,F763/12,IF(G763=6,F763,IF(G763=7,F763-I763,0)))),0)</f>
        <v>0</v>
      </c>
      <c r="L763" s="767">
        <f>IF(G763=6,F763,0)</f>
        <v>0</v>
      </c>
      <c r="M763" s="55">
        <f>IF(F763="",0,MONTH(A763))</f>
        <v>0</v>
      </c>
      <c r="P763" s="768" t="n"/>
      <c r="Q763" s="769" t="str">
        <f>IF($F763="","",IFERROR(VLOOKUP($C763&amp;"|"&amp;$D763,科目表!$A$5:$B$200,2,FALSE),"※未登録"))</f>
        <v/>
      </c>
      <c r="R763" s="769" t="str">
        <f>IF($F763="","",$I763+$J763+$K763)</f>
        <v/>
      </c>
      <c r="S763" s="769" t="str">
        <f>IF(OR($F763="",$P763="支払なし",$H763=0,$Q763=""),"",$Q763&amp;"|S|"&amp;(COUNTIF(S$4:S762,$Q763&amp;"|S|*")+1))</f>
        <v/>
      </c>
      <c r="T763" s="769" t="str">
        <f>IF(OR($F763="",$P763="支払なし",$R763=0,$Q763=""),"",$Q763&amp;"|L|"&amp;(COUNTIF(T$4:T762,$Q763&amp;"|L|*")+1))</f>
        <v/>
      </c>
      <c r="U763" s="769" t="str">
        <f>IF(OR($F763="",$A763=""),"",MOD(MONTH($A763)-4,12)+1)</f>
        <v/>
      </c>
    </row>
    <row r="764" ht="16.5" customFormat="1" customHeight="1" s="85">
      <c r="A764" s="760" t="n"/>
      <c r="B764" s="761" t="n"/>
      <c r="C764" s="762" t="n"/>
      <c r="D764" s="762" t="n"/>
      <c r="E764" s="775" t="n"/>
      <c r="F764" s="764" t="n"/>
      <c r="G764" s="764" t="n"/>
      <c r="H764" s="765">
        <f>IF(G764=1,F764-I764-J764-K764,IF(G764=2,F764,0))</f>
        <v>0</v>
      </c>
      <c r="I764" s="765">
        <f>ROUND(IF(G764=1,F764*10/23,IF(G764=3,F764-J764-K764,IF(G764=4,F764,IF(G764=5,F764*10/11,IF(G764=7,F764*10/11,0))))),0)</f>
        <v>0</v>
      </c>
      <c r="J764" s="765">
        <f>ROUND(IF(G764=1,F764/23,IF(G764=3,F764/12,IF(G764=5,F764-I764,IF(G764=8,F764,0)))),0)</f>
        <v>0</v>
      </c>
      <c r="K764" s="766">
        <f>ROUND(IF(G764=1,F764/23,IF(G764=3,F764/12,IF(G764=6,F764,IF(G764=7,F764-I764,0)))),0)</f>
        <v>0</v>
      </c>
      <c r="L764" s="767">
        <f>IF(G764=6,F764,0)</f>
        <v>0</v>
      </c>
      <c r="M764" s="55">
        <f>IF(F764="",0,MONTH(A764))</f>
        <v>0</v>
      </c>
      <c r="P764" s="768" t="n"/>
      <c r="Q764" s="769" t="str">
        <f>IF($F764="","",IFERROR(VLOOKUP($C764&amp;"|"&amp;$D764,科目表!$A$5:$B$200,2,FALSE),"※未登録"))</f>
        <v/>
      </c>
      <c r="R764" s="769" t="str">
        <f>IF($F764="","",$I764+$J764+$K764)</f>
        <v/>
      </c>
      <c r="S764" s="769" t="str">
        <f>IF(OR($F764="",$P764="支払なし",$H764=0,$Q764=""),"",$Q764&amp;"|S|"&amp;(COUNTIF(S$4:S763,$Q764&amp;"|S|*")+1))</f>
        <v/>
      </c>
      <c r="T764" s="769" t="str">
        <f>IF(OR($F764="",$P764="支払なし",$R764=0,$Q764=""),"",$Q764&amp;"|L|"&amp;(COUNTIF(T$4:T763,$Q764&amp;"|L|*")+1))</f>
        <v/>
      </c>
      <c r="U764" s="769" t="str">
        <f>IF(OR($F764="",$A764=""),"",MOD(MONTH($A764)-4,12)+1)</f>
        <v/>
      </c>
    </row>
    <row r="765" ht="16.5" customFormat="1" customHeight="1" s="85">
      <c r="A765" s="760" t="n"/>
      <c r="B765" s="761" t="n"/>
      <c r="C765" s="762" t="n"/>
      <c r="D765" s="762" t="n"/>
      <c r="E765" s="775" t="n"/>
      <c r="F765" s="764" t="n"/>
      <c r="G765" s="764" t="n"/>
      <c r="H765" s="765">
        <f>IF(G765=1,F765-I765-J765-K765,IF(G765=2,F765,0))</f>
        <v>0</v>
      </c>
      <c r="I765" s="765">
        <f>ROUND(IF(G765=1,F765*10/23,IF(G765=3,F765-J765-K765,IF(G765=4,F765,IF(G765=5,F765*10/11,IF(G765=7,F765*10/11,0))))),0)</f>
        <v>0</v>
      </c>
      <c r="J765" s="765">
        <f>ROUND(IF(G765=1,F765/23,IF(G765=3,F765/12,IF(G765=5,F765-I765,IF(G765=8,F765,0)))),0)</f>
        <v>0</v>
      </c>
      <c r="K765" s="766">
        <f>ROUND(IF(G765=1,F765/23,IF(G765=3,F765/12,IF(G765=6,F765,IF(G765=7,F765-I765,0)))),0)</f>
        <v>0</v>
      </c>
      <c r="L765" s="767">
        <f>IF(G765=6,F765,0)</f>
        <v>0</v>
      </c>
      <c r="M765" s="55">
        <f>IF(F765="",0,MONTH(A765))</f>
        <v>0</v>
      </c>
      <c r="P765" s="768" t="n"/>
      <c r="Q765" s="769" t="str">
        <f>IF($F765="","",IFERROR(VLOOKUP($C765&amp;"|"&amp;$D765,科目表!$A$5:$B$200,2,FALSE),"※未登録"))</f>
        <v/>
      </c>
      <c r="R765" s="769" t="str">
        <f>IF($F765="","",$I765+$J765+$K765)</f>
        <v/>
      </c>
      <c r="S765" s="769" t="str">
        <f>IF(OR($F765="",$P765="支払なし",$H765=0,$Q765=""),"",$Q765&amp;"|S|"&amp;(COUNTIF(S$4:S764,$Q765&amp;"|S|*")+1))</f>
        <v/>
      </c>
      <c r="T765" s="769" t="str">
        <f>IF(OR($F765="",$P765="支払なし",$R765=0,$Q765=""),"",$Q765&amp;"|L|"&amp;(COUNTIF(T$4:T764,$Q765&amp;"|L|*")+1))</f>
        <v/>
      </c>
      <c r="U765" s="769" t="str">
        <f>IF(OR($F765="",$A765=""),"",MOD(MONTH($A765)-4,12)+1)</f>
        <v/>
      </c>
    </row>
    <row r="766" ht="16.5" customFormat="1" customHeight="1" s="85">
      <c r="A766" s="760" t="n"/>
      <c r="B766" s="761" t="n"/>
      <c r="C766" s="762" t="n"/>
      <c r="D766" s="762" t="n"/>
      <c r="E766" s="775" t="n"/>
      <c r="F766" s="764" t="n"/>
      <c r="G766" s="764" t="n"/>
      <c r="H766" s="765">
        <f>IF(G766=1,F766-I766-J766-K766,IF(G766=2,F766,0))</f>
        <v>0</v>
      </c>
      <c r="I766" s="765">
        <f>ROUND(IF(G766=1,F766*10/23,IF(G766=3,F766-J766-K766,IF(G766=4,F766,IF(G766=5,F766*10/11,IF(G766=7,F766*10/11,0))))),0)</f>
        <v>0</v>
      </c>
      <c r="J766" s="765">
        <f>ROUND(IF(G766=1,F766/23,IF(G766=3,F766/12,IF(G766=5,F766-I766,IF(G766=8,F766,0)))),0)</f>
        <v>0</v>
      </c>
      <c r="K766" s="766">
        <f>ROUND(IF(G766=1,F766/23,IF(G766=3,F766/12,IF(G766=6,F766,IF(G766=7,F766-I766,0)))),0)</f>
        <v>0</v>
      </c>
      <c r="L766" s="767">
        <f>IF(G766=6,F766,0)</f>
        <v>0</v>
      </c>
      <c r="M766" s="55">
        <f>IF(F766="",0,MONTH(A766))</f>
        <v>0</v>
      </c>
      <c r="P766" s="768" t="n"/>
      <c r="Q766" s="769" t="str">
        <f>IF($F766="","",IFERROR(VLOOKUP($C766&amp;"|"&amp;$D766,科目表!$A$5:$B$200,2,FALSE),"※未登録"))</f>
        <v/>
      </c>
      <c r="R766" s="769" t="str">
        <f>IF($F766="","",$I766+$J766+$K766)</f>
        <v/>
      </c>
      <c r="S766" s="769" t="str">
        <f>IF(OR($F766="",$P766="支払なし",$H766=0,$Q766=""),"",$Q766&amp;"|S|"&amp;(COUNTIF(S$4:S765,$Q766&amp;"|S|*")+1))</f>
        <v/>
      </c>
      <c r="T766" s="769" t="str">
        <f>IF(OR($F766="",$P766="支払なし",$R766=0,$Q766=""),"",$Q766&amp;"|L|"&amp;(COUNTIF(T$4:T765,$Q766&amp;"|L|*")+1))</f>
        <v/>
      </c>
      <c r="U766" s="769" t="str">
        <f>IF(OR($F766="",$A766=""),"",MOD(MONTH($A766)-4,12)+1)</f>
        <v/>
      </c>
    </row>
    <row r="767" ht="16.5" customFormat="1" customHeight="1" s="85">
      <c r="A767" s="760" t="n"/>
      <c r="B767" s="761" t="n"/>
      <c r="C767" s="762" t="n"/>
      <c r="D767" s="762" t="n"/>
      <c r="E767" s="775" t="n"/>
      <c r="F767" s="764" t="n"/>
      <c r="G767" s="764" t="n"/>
      <c r="H767" s="765">
        <f>IF(G767=1,F767-I767-J767-K767,IF(G767=2,F767,0))</f>
        <v>0</v>
      </c>
      <c r="I767" s="765">
        <f>ROUND(IF(G767=1,F767*10/23,IF(G767=3,F767-J767-K767,IF(G767=4,F767,IF(G767=5,F767*10/11,IF(G767=7,F767*10/11,0))))),0)</f>
        <v>0</v>
      </c>
      <c r="J767" s="765">
        <f>ROUND(IF(G767=1,F767/23,IF(G767=3,F767/12,IF(G767=5,F767-I767,IF(G767=8,F767,0)))),0)</f>
        <v>0</v>
      </c>
      <c r="K767" s="766">
        <f>ROUND(IF(G767=1,F767/23,IF(G767=3,F767/12,IF(G767=6,F767,IF(G767=7,F767-I767,0)))),0)</f>
        <v>0</v>
      </c>
      <c r="L767" s="767">
        <f>IF(G767=6,F767,0)</f>
        <v>0</v>
      </c>
      <c r="M767" s="55">
        <f>IF(F767="",0,MONTH(A767))</f>
        <v>0</v>
      </c>
      <c r="P767" s="768" t="n"/>
      <c r="Q767" s="769" t="str">
        <f>IF($F767="","",IFERROR(VLOOKUP($C767&amp;"|"&amp;$D767,科目表!$A$5:$B$200,2,FALSE),"※未登録"))</f>
        <v/>
      </c>
      <c r="R767" s="769" t="str">
        <f>IF($F767="","",$I767+$J767+$K767)</f>
        <v/>
      </c>
      <c r="S767" s="769" t="str">
        <f>IF(OR($F767="",$P767="支払なし",$H767=0,$Q767=""),"",$Q767&amp;"|S|"&amp;(COUNTIF(S$4:S766,$Q767&amp;"|S|*")+1))</f>
        <v/>
      </c>
      <c r="T767" s="769" t="str">
        <f>IF(OR($F767="",$P767="支払なし",$R767=0,$Q767=""),"",$Q767&amp;"|L|"&amp;(COUNTIF(T$4:T766,$Q767&amp;"|L|*")+1))</f>
        <v/>
      </c>
      <c r="U767" s="769" t="str">
        <f>IF(OR($F767="",$A767=""),"",MOD(MONTH($A767)-4,12)+1)</f>
        <v/>
      </c>
    </row>
    <row r="768" ht="16.5" customFormat="1" customHeight="1" s="85">
      <c r="A768" s="760" t="n"/>
      <c r="B768" s="761" t="n"/>
      <c r="C768" s="762" t="n"/>
      <c r="D768" s="762" t="n"/>
      <c r="E768" s="775" t="n"/>
      <c r="F768" s="764" t="n"/>
      <c r="G768" s="764" t="n"/>
      <c r="H768" s="765">
        <f>IF(G768=1,F768-I768-J768-K768,IF(G768=2,F768,0))</f>
        <v>0</v>
      </c>
      <c r="I768" s="765">
        <f>ROUND(IF(G768=1,F768*10/23,IF(G768=3,F768-J768-K768,IF(G768=4,F768,IF(G768=5,F768*10/11,IF(G768=7,F768*10/11,0))))),0)</f>
        <v>0</v>
      </c>
      <c r="J768" s="765">
        <f>ROUND(IF(G768=1,F768/23,IF(G768=3,F768/12,IF(G768=5,F768-I768,IF(G768=8,F768,0)))),0)</f>
        <v>0</v>
      </c>
      <c r="K768" s="766">
        <f>ROUND(IF(G768=1,F768/23,IF(G768=3,F768/12,IF(G768=6,F768,IF(G768=7,F768-I768,0)))),0)</f>
        <v>0</v>
      </c>
      <c r="L768" s="767">
        <f>IF(G768=6,F768,0)</f>
        <v>0</v>
      </c>
      <c r="M768" s="55">
        <f>IF(F768="",0,MONTH(A768))</f>
        <v>0</v>
      </c>
      <c r="P768" s="768" t="n"/>
      <c r="Q768" s="769" t="str">
        <f>IF($F768="","",IFERROR(VLOOKUP($C768&amp;"|"&amp;$D768,科目表!$A$5:$B$200,2,FALSE),"※未登録"))</f>
        <v/>
      </c>
      <c r="R768" s="769" t="str">
        <f>IF($F768="","",$I768+$J768+$K768)</f>
        <v/>
      </c>
      <c r="S768" s="769" t="str">
        <f>IF(OR($F768="",$P768="支払なし",$H768=0,$Q768=""),"",$Q768&amp;"|S|"&amp;(COUNTIF(S$4:S767,$Q768&amp;"|S|*")+1))</f>
        <v/>
      </c>
      <c r="T768" s="769" t="str">
        <f>IF(OR($F768="",$P768="支払なし",$R768=0,$Q768=""),"",$Q768&amp;"|L|"&amp;(COUNTIF(T$4:T767,$Q768&amp;"|L|*")+1))</f>
        <v/>
      </c>
      <c r="U768" s="769" t="str">
        <f>IF(OR($F768="",$A768=""),"",MOD(MONTH($A768)-4,12)+1)</f>
        <v/>
      </c>
    </row>
    <row r="769" ht="16.5" customFormat="1" customHeight="1" s="85">
      <c r="A769" s="760" t="n"/>
      <c r="B769" s="761" t="n"/>
      <c r="C769" s="762" t="n"/>
      <c r="D769" s="762" t="n"/>
      <c r="E769" s="775" t="n"/>
      <c r="F769" s="764" t="n"/>
      <c r="G769" s="764" t="n"/>
      <c r="H769" s="765">
        <f>IF(G769=1,F769-I769-J769-K769,IF(G769=2,F769,0))</f>
        <v>0</v>
      </c>
      <c r="I769" s="765">
        <f>ROUND(IF(G769=1,F769*10/23,IF(G769=3,F769-J769-K769,IF(G769=4,F769,IF(G769=5,F769*10/11,IF(G769=7,F769*10/11,0))))),0)</f>
        <v>0</v>
      </c>
      <c r="J769" s="765">
        <f>ROUND(IF(G769=1,F769/23,IF(G769=3,F769/12,IF(G769=5,F769-I769,IF(G769=8,F769,0)))),0)</f>
        <v>0</v>
      </c>
      <c r="K769" s="766">
        <f>ROUND(IF(G769=1,F769/23,IF(G769=3,F769/12,IF(G769=6,F769,IF(G769=7,F769-I769,0)))),0)</f>
        <v>0</v>
      </c>
      <c r="L769" s="767">
        <f>IF(G769=6,F769,0)</f>
        <v>0</v>
      </c>
      <c r="M769" s="55">
        <f>IF(F769="",0,MONTH(A769))</f>
        <v>0</v>
      </c>
      <c r="P769" s="768" t="n"/>
      <c r="Q769" s="769" t="str">
        <f>IF($F769="","",IFERROR(VLOOKUP($C769&amp;"|"&amp;$D769,科目表!$A$5:$B$200,2,FALSE),"※未登録"))</f>
        <v/>
      </c>
      <c r="R769" s="769" t="str">
        <f>IF($F769="","",$I769+$J769+$K769)</f>
        <v/>
      </c>
      <c r="S769" s="769" t="str">
        <f>IF(OR($F769="",$P769="支払なし",$H769=0,$Q769=""),"",$Q769&amp;"|S|"&amp;(COUNTIF(S$4:S768,$Q769&amp;"|S|*")+1))</f>
        <v/>
      </c>
      <c r="T769" s="769" t="str">
        <f>IF(OR($F769="",$P769="支払なし",$R769=0,$Q769=""),"",$Q769&amp;"|L|"&amp;(COUNTIF(T$4:T768,$Q769&amp;"|L|*")+1))</f>
        <v/>
      </c>
      <c r="U769" s="769" t="str">
        <f>IF(OR($F769="",$A769=""),"",MOD(MONTH($A769)-4,12)+1)</f>
        <v/>
      </c>
    </row>
    <row r="770" ht="16.5" customFormat="1" customHeight="1" s="85">
      <c r="A770" s="760" t="n"/>
      <c r="B770" s="761" t="n"/>
      <c r="C770" s="762" t="n"/>
      <c r="D770" s="762" t="n"/>
      <c r="E770" s="775" t="n"/>
      <c r="F770" s="764" t="n"/>
      <c r="G770" s="764" t="n"/>
      <c r="H770" s="765">
        <f>IF(G770=1,F770-I770-J770-K770,IF(G770=2,F770,0))</f>
        <v>0</v>
      </c>
      <c r="I770" s="765">
        <f>ROUND(IF(G770=1,F770*10/23,IF(G770=3,F770-J770-K770,IF(G770=4,F770,IF(G770=5,F770*10/11,IF(G770=7,F770*10/11,0))))),0)</f>
        <v>0</v>
      </c>
      <c r="J770" s="765">
        <f>ROUND(IF(G770=1,F770/23,IF(G770=3,F770/12,IF(G770=5,F770-I770,IF(G770=8,F770,0)))),0)</f>
        <v>0</v>
      </c>
      <c r="K770" s="766">
        <f>ROUND(IF(G770=1,F770/23,IF(G770=3,F770/12,IF(G770=6,F770,IF(G770=7,F770-I770,0)))),0)</f>
        <v>0</v>
      </c>
      <c r="L770" s="767">
        <f>IF(G770=6,F770,0)</f>
        <v>0</v>
      </c>
      <c r="M770" s="55">
        <f>IF(F770="",0,MONTH(A770))</f>
        <v>0</v>
      </c>
      <c r="P770" s="768" t="n"/>
      <c r="Q770" s="769" t="str">
        <f>IF($F770="","",IFERROR(VLOOKUP($C770&amp;"|"&amp;$D770,科目表!$A$5:$B$200,2,FALSE),"※未登録"))</f>
        <v/>
      </c>
      <c r="R770" s="769" t="str">
        <f>IF($F770="","",$I770+$J770+$K770)</f>
        <v/>
      </c>
      <c r="S770" s="769" t="str">
        <f>IF(OR($F770="",$P770="支払なし",$H770=0,$Q770=""),"",$Q770&amp;"|S|"&amp;(COUNTIF(S$4:S769,$Q770&amp;"|S|*")+1))</f>
        <v/>
      </c>
      <c r="T770" s="769" t="str">
        <f>IF(OR($F770="",$P770="支払なし",$R770=0,$Q770=""),"",$Q770&amp;"|L|"&amp;(COUNTIF(T$4:T769,$Q770&amp;"|L|*")+1))</f>
        <v/>
      </c>
      <c r="U770" s="769" t="str">
        <f>IF(OR($F770="",$A770=""),"",MOD(MONTH($A770)-4,12)+1)</f>
        <v/>
      </c>
    </row>
    <row r="771" ht="16.5" customFormat="1" customHeight="1" s="85">
      <c r="A771" s="760" t="n"/>
      <c r="B771" s="761" t="n"/>
      <c r="C771" s="762" t="n"/>
      <c r="D771" s="762" t="n"/>
      <c r="E771" s="775" t="n"/>
      <c r="F771" s="764" t="n"/>
      <c r="G771" s="764" t="n"/>
      <c r="H771" s="765">
        <f>IF(G771=1,F771-I771-J771-K771,IF(G771=2,F771,0))</f>
        <v>0</v>
      </c>
      <c r="I771" s="765">
        <f>ROUND(IF(G771=1,F771*10/23,IF(G771=3,F771-J771-K771,IF(G771=4,F771,IF(G771=5,F771*10/11,IF(G771=7,F771*10/11,0))))),0)</f>
        <v>0</v>
      </c>
      <c r="J771" s="765">
        <f>ROUND(IF(G771=1,F771/23,IF(G771=3,F771/12,IF(G771=5,F771-I771,IF(G771=8,F771,0)))),0)</f>
        <v>0</v>
      </c>
      <c r="K771" s="766">
        <f>ROUND(IF(G771=1,F771/23,IF(G771=3,F771/12,IF(G771=6,F771,IF(G771=7,F771-I771,0)))),0)</f>
        <v>0</v>
      </c>
      <c r="L771" s="767">
        <f>IF(G771=6,F771,0)</f>
        <v>0</v>
      </c>
      <c r="M771" s="55">
        <f>IF(F771="",0,MONTH(A771))</f>
        <v>0</v>
      </c>
      <c r="P771" s="768" t="n"/>
      <c r="Q771" s="769" t="str">
        <f>IF($F771="","",IFERROR(VLOOKUP($C771&amp;"|"&amp;$D771,科目表!$A$5:$B$200,2,FALSE),"※未登録"))</f>
        <v/>
      </c>
      <c r="R771" s="769" t="str">
        <f>IF($F771="","",$I771+$J771+$K771)</f>
        <v/>
      </c>
      <c r="S771" s="769" t="str">
        <f>IF(OR($F771="",$P771="支払なし",$H771=0,$Q771=""),"",$Q771&amp;"|S|"&amp;(COUNTIF(S$4:S770,$Q771&amp;"|S|*")+1))</f>
        <v/>
      </c>
      <c r="T771" s="769" t="str">
        <f>IF(OR($F771="",$P771="支払なし",$R771=0,$Q771=""),"",$Q771&amp;"|L|"&amp;(COUNTIF(T$4:T770,$Q771&amp;"|L|*")+1))</f>
        <v/>
      </c>
      <c r="U771" s="769" t="str">
        <f>IF(OR($F771="",$A771=""),"",MOD(MONTH($A771)-4,12)+1)</f>
        <v/>
      </c>
    </row>
    <row r="772" ht="16.5" customFormat="1" customHeight="1" s="85">
      <c r="A772" s="760" t="n"/>
      <c r="B772" s="761" t="n"/>
      <c r="C772" s="762" t="n"/>
      <c r="D772" s="762" t="n"/>
      <c r="E772" s="775" t="n"/>
      <c r="F772" s="764" t="n"/>
      <c r="G772" s="764" t="n"/>
      <c r="H772" s="765">
        <f>IF(G772=1,F772-I772-J772-K772,IF(G772=2,F772,0))</f>
        <v>0</v>
      </c>
      <c r="I772" s="765">
        <f>ROUND(IF(G772=1,F772*10/23,IF(G772=3,F772-J772-K772,IF(G772=4,F772,IF(G772=5,F772*10/11,IF(G772=7,F772*10/11,0))))),0)</f>
        <v>0</v>
      </c>
      <c r="J772" s="765">
        <f>ROUND(IF(G772=1,F772/23,IF(G772=3,F772/12,IF(G772=5,F772-I772,IF(G772=8,F772,0)))),0)</f>
        <v>0</v>
      </c>
      <c r="K772" s="766">
        <f>ROUND(IF(G772=1,F772/23,IF(G772=3,F772/12,IF(G772=6,F772,IF(G772=7,F772-I772,0)))),0)</f>
        <v>0</v>
      </c>
      <c r="L772" s="767">
        <f>IF(G772=6,F772,0)</f>
        <v>0</v>
      </c>
      <c r="M772" s="55">
        <f>IF(F772="",0,MONTH(A772))</f>
        <v>0</v>
      </c>
      <c r="P772" s="768" t="n"/>
      <c r="Q772" s="769" t="str">
        <f>IF($F772="","",IFERROR(VLOOKUP($C772&amp;"|"&amp;$D772,科目表!$A$5:$B$200,2,FALSE),"※未登録"))</f>
        <v/>
      </c>
      <c r="R772" s="769" t="str">
        <f>IF($F772="","",$I772+$J772+$K772)</f>
        <v/>
      </c>
      <c r="S772" s="769" t="str">
        <f>IF(OR($F772="",$P772="支払なし",$H772=0,$Q772=""),"",$Q772&amp;"|S|"&amp;(COUNTIF(S$4:S771,$Q772&amp;"|S|*")+1))</f>
        <v/>
      </c>
      <c r="T772" s="769" t="str">
        <f>IF(OR($F772="",$P772="支払なし",$R772=0,$Q772=""),"",$Q772&amp;"|L|"&amp;(COUNTIF(T$4:T771,$Q772&amp;"|L|*")+1))</f>
        <v/>
      </c>
      <c r="U772" s="769" t="str">
        <f>IF(OR($F772="",$A772=""),"",MOD(MONTH($A772)-4,12)+1)</f>
        <v/>
      </c>
    </row>
    <row r="773" ht="16.5" customFormat="1" customHeight="1" s="85">
      <c r="A773" s="760" t="n"/>
      <c r="B773" s="761" t="n"/>
      <c r="C773" s="762" t="n"/>
      <c r="D773" s="762" t="n"/>
      <c r="E773" s="775" t="n"/>
      <c r="F773" s="764" t="n"/>
      <c r="G773" s="764" t="n"/>
      <c r="H773" s="765">
        <f>IF(G773=1,F773-I773-J773-K773,IF(G773=2,F773,0))</f>
        <v>0</v>
      </c>
      <c r="I773" s="765">
        <f>ROUND(IF(G773=1,F773*10/23,IF(G773=3,F773-J773-K773,IF(G773=4,F773,IF(G773=5,F773*10/11,IF(G773=7,F773*10/11,0))))),0)</f>
        <v>0</v>
      </c>
      <c r="J773" s="765">
        <f>ROUND(IF(G773=1,F773/23,IF(G773=3,F773/12,IF(G773=5,F773-I773,IF(G773=8,F773,0)))),0)</f>
        <v>0</v>
      </c>
      <c r="K773" s="766">
        <f>ROUND(IF(G773=1,F773/23,IF(G773=3,F773/12,IF(G773=6,F773,IF(G773=7,F773-I773,0)))),0)</f>
        <v>0</v>
      </c>
      <c r="L773" s="767">
        <f>IF(G773=6,F773,0)</f>
        <v>0</v>
      </c>
      <c r="M773" s="55">
        <f>IF(F773="",0,MONTH(A773))</f>
        <v>0</v>
      </c>
      <c r="P773" s="768" t="n"/>
      <c r="Q773" s="769" t="str">
        <f>IF($F773="","",IFERROR(VLOOKUP($C773&amp;"|"&amp;$D773,科目表!$A$5:$B$200,2,FALSE),"※未登録"))</f>
        <v/>
      </c>
      <c r="R773" s="769" t="str">
        <f>IF($F773="","",$I773+$J773+$K773)</f>
        <v/>
      </c>
      <c r="S773" s="769" t="str">
        <f>IF(OR($F773="",$P773="支払なし",$H773=0,$Q773=""),"",$Q773&amp;"|S|"&amp;(COUNTIF(S$4:S772,$Q773&amp;"|S|*")+1))</f>
        <v/>
      </c>
      <c r="T773" s="769" t="str">
        <f>IF(OR($F773="",$P773="支払なし",$R773=0,$Q773=""),"",$Q773&amp;"|L|"&amp;(COUNTIF(T$4:T772,$Q773&amp;"|L|*")+1))</f>
        <v/>
      </c>
      <c r="U773" s="769" t="str">
        <f>IF(OR($F773="",$A773=""),"",MOD(MONTH($A773)-4,12)+1)</f>
        <v/>
      </c>
    </row>
    <row r="774" ht="16.5" customFormat="1" customHeight="1" s="85">
      <c r="A774" s="760" t="n"/>
      <c r="B774" s="761" t="n"/>
      <c r="C774" s="762" t="n"/>
      <c r="D774" s="762" t="n"/>
      <c r="E774" s="775" t="n"/>
      <c r="F774" s="764" t="n"/>
      <c r="G774" s="764" t="n"/>
      <c r="H774" s="765">
        <f>IF(G774=1,F774-I774-J774-K774,IF(G774=2,F774,0))</f>
        <v>0</v>
      </c>
      <c r="I774" s="765">
        <f>ROUND(IF(G774=1,F774*10/23,IF(G774=3,F774-J774-K774,IF(G774=4,F774,IF(G774=5,F774*10/11,IF(G774=7,F774*10/11,0))))),0)</f>
        <v>0</v>
      </c>
      <c r="J774" s="765">
        <f>ROUND(IF(G774=1,F774/23,IF(G774=3,F774/12,IF(G774=5,F774-I774,IF(G774=8,F774,0)))),0)</f>
        <v>0</v>
      </c>
      <c r="K774" s="766">
        <f>ROUND(IF(G774=1,F774/23,IF(G774=3,F774/12,IF(G774=6,F774,IF(G774=7,F774-I774,0)))),0)</f>
        <v>0</v>
      </c>
      <c r="L774" s="767">
        <f>IF(G774=6,F774,0)</f>
        <v>0</v>
      </c>
      <c r="M774" s="55">
        <f>IF(F774="",0,MONTH(A774))</f>
        <v>0</v>
      </c>
      <c r="P774" s="768" t="n"/>
      <c r="Q774" s="769" t="str">
        <f>IF($F774="","",IFERROR(VLOOKUP($C774&amp;"|"&amp;$D774,科目表!$A$5:$B$200,2,FALSE),"※未登録"))</f>
        <v/>
      </c>
      <c r="R774" s="769" t="str">
        <f>IF($F774="","",$I774+$J774+$K774)</f>
        <v/>
      </c>
      <c r="S774" s="769" t="str">
        <f>IF(OR($F774="",$P774="支払なし",$H774=0,$Q774=""),"",$Q774&amp;"|S|"&amp;(COUNTIF(S$4:S773,$Q774&amp;"|S|*")+1))</f>
        <v/>
      </c>
      <c r="T774" s="769" t="str">
        <f>IF(OR($F774="",$P774="支払なし",$R774=0,$Q774=""),"",$Q774&amp;"|L|"&amp;(COUNTIF(T$4:T773,$Q774&amp;"|L|*")+1))</f>
        <v/>
      </c>
      <c r="U774" s="769" t="str">
        <f>IF(OR($F774="",$A774=""),"",MOD(MONTH($A774)-4,12)+1)</f>
        <v/>
      </c>
    </row>
    <row r="775" ht="16.5" customFormat="1" customHeight="1" s="85">
      <c r="A775" s="760" t="n"/>
      <c r="B775" s="761" t="n"/>
      <c r="C775" s="762" t="n"/>
      <c r="D775" s="762" t="n"/>
      <c r="E775" s="775" t="n"/>
      <c r="F775" s="764" t="n"/>
      <c r="G775" s="764" t="n"/>
      <c r="H775" s="765">
        <f>IF(G775=1,F775-I775-J775-K775,IF(G775=2,F775,0))</f>
        <v>0</v>
      </c>
      <c r="I775" s="765">
        <f>ROUND(IF(G775=1,F775*10/23,IF(G775=3,F775-J775-K775,IF(G775=4,F775,IF(G775=5,F775*10/11,IF(G775=7,F775*10/11,0))))),0)</f>
        <v>0</v>
      </c>
      <c r="J775" s="765">
        <f>ROUND(IF(G775=1,F775/23,IF(G775=3,F775/12,IF(G775=5,F775-I775,IF(G775=8,F775,0)))),0)</f>
        <v>0</v>
      </c>
      <c r="K775" s="766">
        <f>ROUND(IF(G775=1,F775/23,IF(G775=3,F775/12,IF(G775=6,F775,IF(G775=7,F775-I775,0)))),0)</f>
        <v>0</v>
      </c>
      <c r="L775" s="767">
        <f>IF(G775=6,F775,0)</f>
        <v>0</v>
      </c>
      <c r="M775" s="55">
        <f>IF(F775="",0,MONTH(A775))</f>
        <v>0</v>
      </c>
      <c r="P775" s="768" t="n"/>
      <c r="Q775" s="769" t="str">
        <f>IF($F775="","",IFERROR(VLOOKUP($C775&amp;"|"&amp;$D775,科目表!$A$5:$B$200,2,FALSE),"※未登録"))</f>
        <v/>
      </c>
      <c r="R775" s="769" t="str">
        <f>IF($F775="","",$I775+$J775+$K775)</f>
        <v/>
      </c>
      <c r="S775" s="769" t="str">
        <f>IF(OR($F775="",$P775="支払なし",$H775=0,$Q775=""),"",$Q775&amp;"|S|"&amp;(COUNTIF(S$4:S774,$Q775&amp;"|S|*")+1))</f>
        <v/>
      </c>
      <c r="T775" s="769" t="str">
        <f>IF(OR($F775="",$P775="支払なし",$R775=0,$Q775=""),"",$Q775&amp;"|L|"&amp;(COUNTIF(T$4:T774,$Q775&amp;"|L|*")+1))</f>
        <v/>
      </c>
      <c r="U775" s="769" t="str">
        <f>IF(OR($F775="",$A775=""),"",MOD(MONTH($A775)-4,12)+1)</f>
        <v/>
      </c>
    </row>
    <row r="776" ht="16.5" customFormat="1" customHeight="1" s="85">
      <c r="A776" s="760" t="n"/>
      <c r="B776" s="761" t="n"/>
      <c r="C776" s="762" t="n"/>
      <c r="D776" s="762" t="n"/>
      <c r="E776" s="775" t="n"/>
      <c r="F776" s="764" t="n"/>
      <c r="G776" s="764" t="n"/>
      <c r="H776" s="765">
        <f>IF(G776=1,F776-I776-J776-K776,IF(G776=2,F776,0))</f>
        <v>0</v>
      </c>
      <c r="I776" s="765">
        <f>ROUND(IF(G776=1,F776*10/23,IF(G776=3,F776-J776-K776,IF(G776=4,F776,IF(G776=5,F776*10/11,IF(G776=7,F776*10/11,0))))),0)</f>
        <v>0</v>
      </c>
      <c r="J776" s="765">
        <f>ROUND(IF(G776=1,F776/23,IF(G776=3,F776/12,IF(G776=5,F776-I776,IF(G776=8,F776,0)))),0)</f>
        <v>0</v>
      </c>
      <c r="K776" s="766">
        <f>ROUND(IF(G776=1,F776/23,IF(G776=3,F776/12,IF(G776=6,F776,IF(G776=7,F776-I776,0)))),0)</f>
        <v>0</v>
      </c>
      <c r="L776" s="767">
        <f>IF(G776=6,F776,0)</f>
        <v>0</v>
      </c>
      <c r="M776" s="55">
        <f>IF(F776="",0,MONTH(A776))</f>
        <v>0</v>
      </c>
      <c r="P776" s="768" t="n"/>
      <c r="Q776" s="769" t="str">
        <f>IF($F776="","",IFERROR(VLOOKUP($C776&amp;"|"&amp;$D776,科目表!$A$5:$B$200,2,FALSE),"※未登録"))</f>
        <v/>
      </c>
      <c r="R776" s="769" t="str">
        <f>IF($F776="","",$I776+$J776+$K776)</f>
        <v/>
      </c>
      <c r="S776" s="769" t="str">
        <f>IF(OR($F776="",$P776="支払なし",$H776=0,$Q776=""),"",$Q776&amp;"|S|"&amp;(COUNTIF(S$4:S775,$Q776&amp;"|S|*")+1))</f>
        <v/>
      </c>
      <c r="T776" s="769" t="str">
        <f>IF(OR($F776="",$P776="支払なし",$R776=0,$Q776=""),"",$Q776&amp;"|L|"&amp;(COUNTIF(T$4:T775,$Q776&amp;"|L|*")+1))</f>
        <v/>
      </c>
      <c r="U776" s="769" t="str">
        <f>IF(OR($F776="",$A776=""),"",MOD(MONTH($A776)-4,12)+1)</f>
        <v/>
      </c>
    </row>
    <row r="777" ht="16.5" customFormat="1" customHeight="1" s="85">
      <c r="A777" s="760" t="n"/>
      <c r="B777" s="761" t="n"/>
      <c r="C777" s="762" t="n"/>
      <c r="D777" s="762" t="n"/>
      <c r="E777" s="775" t="n"/>
      <c r="F777" s="764" t="n"/>
      <c r="G777" s="764" t="n"/>
      <c r="H777" s="765">
        <f>IF(G777=1,F777-I777-J777-K777,IF(G777=2,F777,0))</f>
        <v>0</v>
      </c>
      <c r="I777" s="765">
        <f>ROUND(IF(G777=1,F777*10/23,IF(G777=3,F777-J777-K777,IF(G777=4,F777,IF(G777=5,F777*10/11,IF(G777=7,F777*10/11,0))))),0)</f>
        <v>0</v>
      </c>
      <c r="J777" s="765">
        <f>ROUND(IF(G777=1,F777/23,IF(G777=3,F777/12,IF(G777=5,F777-I777,IF(G777=8,F777,0)))),0)</f>
        <v>0</v>
      </c>
      <c r="K777" s="766">
        <f>ROUND(IF(G777=1,F777/23,IF(G777=3,F777/12,IF(G777=6,F777,IF(G777=7,F777-I777,0)))),0)</f>
        <v>0</v>
      </c>
      <c r="L777" s="767">
        <f>IF(G777=6,F777,0)</f>
        <v>0</v>
      </c>
      <c r="M777" s="55">
        <f>IF(F777="",0,MONTH(A777))</f>
        <v>0</v>
      </c>
      <c r="P777" s="768" t="n"/>
      <c r="Q777" s="769" t="str">
        <f>IF($F777="","",IFERROR(VLOOKUP($C777&amp;"|"&amp;$D777,科目表!$A$5:$B$200,2,FALSE),"※未登録"))</f>
        <v/>
      </c>
      <c r="R777" s="769" t="str">
        <f>IF($F777="","",$I777+$J777+$K777)</f>
        <v/>
      </c>
      <c r="S777" s="769" t="str">
        <f>IF(OR($F777="",$P777="支払なし",$H777=0,$Q777=""),"",$Q777&amp;"|S|"&amp;(COUNTIF(S$4:S776,$Q777&amp;"|S|*")+1))</f>
        <v/>
      </c>
      <c r="T777" s="769" t="str">
        <f>IF(OR($F777="",$P777="支払なし",$R777=0,$Q777=""),"",$Q777&amp;"|L|"&amp;(COUNTIF(T$4:T776,$Q777&amp;"|L|*")+1))</f>
        <v/>
      </c>
      <c r="U777" s="769" t="str">
        <f>IF(OR($F777="",$A777=""),"",MOD(MONTH($A777)-4,12)+1)</f>
        <v/>
      </c>
    </row>
    <row r="778" ht="16.5" customFormat="1" customHeight="1" s="85">
      <c r="A778" s="760" t="n"/>
      <c r="B778" s="761" t="n"/>
      <c r="C778" s="762" t="n"/>
      <c r="D778" s="762" t="n"/>
      <c r="E778" s="775" t="n"/>
      <c r="F778" s="764" t="n"/>
      <c r="G778" s="764" t="n"/>
      <c r="H778" s="765">
        <f>IF(G778=1,F778-I778-J778-K778,IF(G778=2,F778,0))</f>
        <v>0</v>
      </c>
      <c r="I778" s="765">
        <f>ROUND(IF(G778=1,F778*10/23,IF(G778=3,F778-J778-K778,IF(G778=4,F778,IF(G778=5,F778*10/11,IF(G778=7,F778*10/11,0))))),0)</f>
        <v>0</v>
      </c>
      <c r="J778" s="765">
        <f>ROUND(IF(G778=1,F778/23,IF(G778=3,F778/12,IF(G778=5,F778-I778,IF(G778=8,F778,0)))),0)</f>
        <v>0</v>
      </c>
      <c r="K778" s="766">
        <f>ROUND(IF(G778=1,F778/23,IF(G778=3,F778/12,IF(G778=6,F778,IF(G778=7,F778-I778,0)))),0)</f>
        <v>0</v>
      </c>
      <c r="L778" s="767">
        <f>IF(G778=6,F778,0)</f>
        <v>0</v>
      </c>
      <c r="M778" s="55">
        <f>IF(F778="",0,MONTH(A778))</f>
        <v>0</v>
      </c>
      <c r="P778" s="768" t="n"/>
      <c r="Q778" s="769" t="str">
        <f>IF($F778="","",IFERROR(VLOOKUP($C778&amp;"|"&amp;$D778,科目表!$A$5:$B$200,2,FALSE),"※未登録"))</f>
        <v/>
      </c>
      <c r="R778" s="769" t="str">
        <f>IF($F778="","",$I778+$J778+$K778)</f>
        <v/>
      </c>
      <c r="S778" s="769" t="str">
        <f>IF(OR($F778="",$P778="支払なし",$H778=0,$Q778=""),"",$Q778&amp;"|S|"&amp;(COUNTIF(S$4:S777,$Q778&amp;"|S|*")+1))</f>
        <v/>
      </c>
      <c r="T778" s="769" t="str">
        <f>IF(OR($F778="",$P778="支払なし",$R778=0,$Q778=""),"",$Q778&amp;"|L|"&amp;(COUNTIF(T$4:T777,$Q778&amp;"|L|*")+1))</f>
        <v/>
      </c>
      <c r="U778" s="769" t="str">
        <f>IF(OR($F778="",$A778=""),"",MOD(MONTH($A778)-4,12)+1)</f>
        <v/>
      </c>
    </row>
    <row r="779" ht="16.5" customFormat="1" customHeight="1" s="85">
      <c r="A779" s="760" t="n"/>
      <c r="B779" s="761" t="n"/>
      <c r="C779" s="762" t="n"/>
      <c r="D779" s="762" t="n"/>
      <c r="E779" s="775" t="n"/>
      <c r="F779" s="764" t="n"/>
      <c r="G779" s="764" t="n"/>
      <c r="H779" s="765">
        <f>IF(G779=1,F779-I779-J779-K779,IF(G779=2,F779,0))</f>
        <v>0</v>
      </c>
      <c r="I779" s="765">
        <f>ROUND(IF(G779=1,F779*10/23,IF(G779=3,F779-J779-K779,IF(G779=4,F779,IF(G779=5,F779*10/11,IF(G779=7,F779*10/11,0))))),0)</f>
        <v>0</v>
      </c>
      <c r="J779" s="765">
        <f>ROUND(IF(G779=1,F779/23,IF(G779=3,F779/12,IF(G779=5,F779-I779,IF(G779=8,F779,0)))),0)</f>
        <v>0</v>
      </c>
      <c r="K779" s="766">
        <f>ROUND(IF(G779=1,F779/23,IF(G779=3,F779/12,IF(G779=6,F779,IF(G779=7,F779-I779,0)))),0)</f>
        <v>0</v>
      </c>
      <c r="L779" s="767">
        <f>IF(G779=6,F779,0)</f>
        <v>0</v>
      </c>
      <c r="M779" s="55">
        <f>IF(F779="",0,MONTH(A779))</f>
        <v>0</v>
      </c>
      <c r="P779" s="768" t="n"/>
      <c r="Q779" s="769" t="str">
        <f>IF($F779="","",IFERROR(VLOOKUP($C779&amp;"|"&amp;$D779,科目表!$A$5:$B$200,2,FALSE),"※未登録"))</f>
        <v/>
      </c>
      <c r="R779" s="769" t="str">
        <f>IF($F779="","",$I779+$J779+$K779)</f>
        <v/>
      </c>
      <c r="S779" s="769" t="str">
        <f>IF(OR($F779="",$P779="支払なし",$H779=0,$Q779=""),"",$Q779&amp;"|S|"&amp;(COUNTIF(S$4:S778,$Q779&amp;"|S|*")+1))</f>
        <v/>
      </c>
      <c r="T779" s="769" t="str">
        <f>IF(OR($F779="",$P779="支払なし",$R779=0,$Q779=""),"",$Q779&amp;"|L|"&amp;(COUNTIF(T$4:T778,$Q779&amp;"|L|*")+1))</f>
        <v/>
      </c>
      <c r="U779" s="769" t="str">
        <f>IF(OR($F779="",$A779=""),"",MOD(MONTH($A779)-4,12)+1)</f>
        <v/>
      </c>
    </row>
    <row r="780" ht="16.5" customFormat="1" customHeight="1" s="85">
      <c r="A780" s="760" t="n"/>
      <c r="B780" s="761" t="n"/>
      <c r="C780" s="762" t="n"/>
      <c r="D780" s="762" t="n"/>
      <c r="E780" s="775" t="n"/>
      <c r="F780" s="764" t="n"/>
      <c r="G780" s="764" t="n"/>
      <c r="H780" s="765">
        <f>IF(G780=1,F780-I780-J780-K780,IF(G780=2,F780,0))</f>
        <v>0</v>
      </c>
      <c r="I780" s="765">
        <f>ROUND(IF(G780=1,F780*10/23,IF(G780=3,F780-J780-K780,IF(G780=4,F780,IF(G780=5,F780*10/11,IF(G780=7,F780*10/11,0))))),0)</f>
        <v>0</v>
      </c>
      <c r="J780" s="765">
        <f>ROUND(IF(G780=1,F780/23,IF(G780=3,F780/12,IF(G780=5,F780-I780,IF(G780=8,F780,0)))),0)</f>
        <v>0</v>
      </c>
      <c r="K780" s="766">
        <f>ROUND(IF(G780=1,F780/23,IF(G780=3,F780/12,IF(G780=6,F780,IF(G780=7,F780-I780,0)))),0)</f>
        <v>0</v>
      </c>
      <c r="L780" s="767">
        <f>IF(G780=6,F780,0)</f>
        <v>0</v>
      </c>
      <c r="M780" s="55">
        <f>IF(F780="",0,MONTH(A780))</f>
        <v>0</v>
      </c>
      <c r="P780" s="768" t="n"/>
      <c r="Q780" s="769" t="str">
        <f>IF($F780="","",IFERROR(VLOOKUP($C780&amp;"|"&amp;$D780,科目表!$A$5:$B$200,2,FALSE),"※未登録"))</f>
        <v/>
      </c>
      <c r="R780" s="769" t="str">
        <f>IF($F780="","",$I780+$J780+$K780)</f>
        <v/>
      </c>
      <c r="S780" s="769" t="str">
        <f>IF(OR($F780="",$P780="支払なし",$H780=0,$Q780=""),"",$Q780&amp;"|S|"&amp;(COUNTIF(S$4:S779,$Q780&amp;"|S|*")+1))</f>
        <v/>
      </c>
      <c r="T780" s="769" t="str">
        <f>IF(OR($F780="",$P780="支払なし",$R780=0,$Q780=""),"",$Q780&amp;"|L|"&amp;(COUNTIF(T$4:T779,$Q780&amp;"|L|*")+1))</f>
        <v/>
      </c>
      <c r="U780" s="769" t="str">
        <f>IF(OR($F780="",$A780=""),"",MOD(MONTH($A780)-4,12)+1)</f>
        <v/>
      </c>
    </row>
    <row r="781" ht="16.5" customFormat="1" customHeight="1" s="85">
      <c r="A781" s="760" t="n"/>
      <c r="B781" s="761" t="n"/>
      <c r="C781" s="762" t="n"/>
      <c r="D781" s="762" t="n"/>
      <c r="E781" s="775" t="n"/>
      <c r="F781" s="764" t="n"/>
      <c r="G781" s="764" t="n"/>
      <c r="H781" s="765">
        <f>IF(G781=1,F781-I781-J781-K781,IF(G781=2,F781,0))</f>
        <v>0</v>
      </c>
      <c r="I781" s="765">
        <f>ROUND(IF(G781=1,F781*10/23,IF(G781=3,F781-J781-K781,IF(G781=4,F781,IF(G781=5,F781*10/11,IF(G781=7,F781*10/11,0))))),0)</f>
        <v>0</v>
      </c>
      <c r="J781" s="765">
        <f>ROUND(IF(G781=1,F781/23,IF(G781=3,F781/12,IF(G781=5,F781-I781,IF(G781=8,F781,0)))),0)</f>
        <v>0</v>
      </c>
      <c r="K781" s="766">
        <f>ROUND(IF(G781=1,F781/23,IF(G781=3,F781/12,IF(G781=6,F781,IF(G781=7,F781-I781,0)))),0)</f>
        <v>0</v>
      </c>
      <c r="L781" s="767">
        <f>IF(G781=6,F781,0)</f>
        <v>0</v>
      </c>
      <c r="M781" s="55">
        <f>IF(F781="",0,MONTH(A781))</f>
        <v>0</v>
      </c>
      <c r="P781" s="768" t="n"/>
      <c r="Q781" s="769" t="str">
        <f>IF($F781="","",IFERROR(VLOOKUP($C781&amp;"|"&amp;$D781,科目表!$A$5:$B$200,2,FALSE),"※未登録"))</f>
        <v/>
      </c>
      <c r="R781" s="769" t="str">
        <f>IF($F781="","",$I781+$J781+$K781)</f>
        <v/>
      </c>
      <c r="S781" s="769" t="str">
        <f>IF(OR($F781="",$P781="支払なし",$H781=0,$Q781=""),"",$Q781&amp;"|S|"&amp;(COUNTIF(S$4:S780,$Q781&amp;"|S|*")+1))</f>
        <v/>
      </c>
      <c r="T781" s="769" t="str">
        <f>IF(OR($F781="",$P781="支払なし",$R781=0,$Q781=""),"",$Q781&amp;"|L|"&amp;(COUNTIF(T$4:T780,$Q781&amp;"|L|*")+1))</f>
        <v/>
      </c>
      <c r="U781" s="769" t="str">
        <f>IF(OR($F781="",$A781=""),"",MOD(MONTH($A781)-4,12)+1)</f>
        <v/>
      </c>
    </row>
    <row r="782" ht="16.5" customFormat="1" customHeight="1" s="85">
      <c r="A782" s="760" t="n"/>
      <c r="B782" s="761" t="n"/>
      <c r="C782" s="762" t="n"/>
      <c r="D782" s="762" t="n"/>
      <c r="E782" s="775" t="n"/>
      <c r="F782" s="764" t="n"/>
      <c r="G782" s="764" t="n"/>
      <c r="H782" s="765">
        <f>IF(G782=1,F782-I782-J782-K782,IF(G782=2,F782,0))</f>
        <v>0</v>
      </c>
      <c r="I782" s="765">
        <f>ROUND(IF(G782=1,F782*10/23,IF(G782=3,F782-J782-K782,IF(G782=4,F782,IF(G782=5,F782*10/11,IF(G782=7,F782*10/11,0))))),0)</f>
        <v>0</v>
      </c>
      <c r="J782" s="765">
        <f>ROUND(IF(G782=1,F782/23,IF(G782=3,F782/12,IF(G782=5,F782-I782,IF(G782=8,F782,0)))),0)</f>
        <v>0</v>
      </c>
      <c r="K782" s="766">
        <f>ROUND(IF(G782=1,F782/23,IF(G782=3,F782/12,IF(G782=6,F782,IF(G782=7,F782-I782,0)))),0)</f>
        <v>0</v>
      </c>
      <c r="L782" s="767">
        <f>IF(G782=6,F782,0)</f>
        <v>0</v>
      </c>
      <c r="M782" s="55">
        <f>IF(F782="",0,MONTH(A782))</f>
        <v>0</v>
      </c>
      <c r="P782" s="768" t="n"/>
      <c r="Q782" s="769" t="str">
        <f>IF($F782="","",IFERROR(VLOOKUP($C782&amp;"|"&amp;$D782,科目表!$A$5:$B$200,2,FALSE),"※未登録"))</f>
        <v/>
      </c>
      <c r="R782" s="769" t="str">
        <f>IF($F782="","",$I782+$J782+$K782)</f>
        <v/>
      </c>
      <c r="S782" s="769" t="str">
        <f>IF(OR($F782="",$P782="支払なし",$H782=0,$Q782=""),"",$Q782&amp;"|S|"&amp;(COUNTIF(S$4:S781,$Q782&amp;"|S|*")+1))</f>
        <v/>
      </c>
      <c r="T782" s="769" t="str">
        <f>IF(OR($F782="",$P782="支払なし",$R782=0,$Q782=""),"",$Q782&amp;"|L|"&amp;(COUNTIF(T$4:T781,$Q782&amp;"|L|*")+1))</f>
        <v/>
      </c>
      <c r="U782" s="769" t="str">
        <f>IF(OR($F782="",$A782=""),"",MOD(MONTH($A782)-4,12)+1)</f>
        <v/>
      </c>
    </row>
    <row r="783" ht="16.5" customFormat="1" customHeight="1" s="85">
      <c r="A783" s="760" t="n"/>
      <c r="B783" s="761" t="n"/>
      <c r="C783" s="762" t="n"/>
      <c r="D783" s="762" t="n"/>
      <c r="E783" s="775" t="n"/>
      <c r="F783" s="764" t="n"/>
      <c r="G783" s="764" t="n"/>
      <c r="H783" s="765">
        <f>IF(G783=1,F783-I783-J783-K783,IF(G783=2,F783,0))</f>
        <v>0</v>
      </c>
      <c r="I783" s="765">
        <f>ROUND(IF(G783=1,F783*10/23,IF(G783=3,F783-J783-K783,IF(G783=4,F783,IF(G783=5,F783*10/11,IF(G783=7,F783*10/11,0))))),0)</f>
        <v>0</v>
      </c>
      <c r="J783" s="765">
        <f>ROUND(IF(G783=1,F783/23,IF(G783=3,F783/12,IF(G783=5,F783-I783,IF(G783=8,F783,0)))),0)</f>
        <v>0</v>
      </c>
      <c r="K783" s="766">
        <f>ROUND(IF(G783=1,F783/23,IF(G783=3,F783/12,IF(G783=6,F783,IF(G783=7,F783-I783,0)))),0)</f>
        <v>0</v>
      </c>
      <c r="L783" s="767">
        <f>IF(G783=6,F783,0)</f>
        <v>0</v>
      </c>
      <c r="M783" s="55">
        <f>IF(F783="",0,MONTH(A783))</f>
        <v>0</v>
      </c>
      <c r="P783" s="768" t="n"/>
      <c r="Q783" s="769" t="str">
        <f>IF($F783="","",IFERROR(VLOOKUP($C783&amp;"|"&amp;$D783,科目表!$A$5:$B$200,2,FALSE),"※未登録"))</f>
        <v/>
      </c>
      <c r="R783" s="769" t="str">
        <f>IF($F783="","",$I783+$J783+$K783)</f>
        <v/>
      </c>
      <c r="S783" s="769" t="str">
        <f>IF(OR($F783="",$P783="支払なし",$H783=0,$Q783=""),"",$Q783&amp;"|S|"&amp;(COUNTIF(S$4:S782,$Q783&amp;"|S|*")+1))</f>
        <v/>
      </c>
      <c r="T783" s="769" t="str">
        <f>IF(OR($F783="",$P783="支払なし",$R783=0,$Q783=""),"",$Q783&amp;"|L|"&amp;(COUNTIF(T$4:T782,$Q783&amp;"|L|*")+1))</f>
        <v/>
      </c>
      <c r="U783" s="769" t="str">
        <f>IF(OR($F783="",$A783=""),"",MOD(MONTH($A783)-4,12)+1)</f>
        <v/>
      </c>
    </row>
    <row r="784" ht="16.5" customFormat="1" customHeight="1" s="85">
      <c r="A784" s="760" t="n"/>
      <c r="B784" s="761" t="n"/>
      <c r="C784" s="762" t="n"/>
      <c r="D784" s="762" t="n"/>
      <c r="E784" s="775" t="n"/>
      <c r="F784" s="764" t="n"/>
      <c r="G784" s="764" t="n"/>
      <c r="H784" s="765">
        <f>IF(G784=1,F784-I784-J784-K784,IF(G784=2,F784,0))</f>
        <v>0</v>
      </c>
      <c r="I784" s="765">
        <f>ROUND(IF(G784=1,F784*10/23,IF(G784=3,F784-J784-K784,IF(G784=4,F784,IF(G784=5,F784*10/11,IF(G784=7,F784*10/11,0))))),0)</f>
        <v>0</v>
      </c>
      <c r="J784" s="765">
        <f>ROUND(IF(G784=1,F784/23,IF(G784=3,F784/12,IF(G784=5,F784-I784,IF(G784=8,F784,0)))),0)</f>
        <v>0</v>
      </c>
      <c r="K784" s="766">
        <f>ROUND(IF(G784=1,F784/23,IF(G784=3,F784/12,IF(G784=6,F784,IF(G784=7,F784-I784,0)))),0)</f>
        <v>0</v>
      </c>
      <c r="L784" s="767">
        <f>IF(G784=6,F784,0)</f>
        <v>0</v>
      </c>
      <c r="M784" s="55">
        <f>IF(F784="",0,MONTH(A784))</f>
        <v>0</v>
      </c>
      <c r="P784" s="768" t="n"/>
      <c r="Q784" s="769" t="str">
        <f>IF($F784="","",IFERROR(VLOOKUP($C784&amp;"|"&amp;$D784,科目表!$A$5:$B$200,2,FALSE),"※未登録"))</f>
        <v/>
      </c>
      <c r="R784" s="769" t="str">
        <f>IF($F784="","",$I784+$J784+$K784)</f>
        <v/>
      </c>
      <c r="S784" s="769" t="str">
        <f>IF(OR($F784="",$P784="支払なし",$H784=0,$Q784=""),"",$Q784&amp;"|S|"&amp;(COUNTIF(S$4:S783,$Q784&amp;"|S|*")+1))</f>
        <v/>
      </c>
      <c r="T784" s="769" t="str">
        <f>IF(OR($F784="",$P784="支払なし",$R784=0,$Q784=""),"",$Q784&amp;"|L|"&amp;(COUNTIF(T$4:T783,$Q784&amp;"|L|*")+1))</f>
        <v/>
      </c>
      <c r="U784" s="769" t="str">
        <f>IF(OR($F784="",$A784=""),"",MOD(MONTH($A784)-4,12)+1)</f>
        <v/>
      </c>
    </row>
    <row r="785" ht="16.5" customFormat="1" customHeight="1" s="85">
      <c r="A785" s="760" t="n"/>
      <c r="B785" s="761" t="n"/>
      <c r="C785" s="762" t="n"/>
      <c r="D785" s="762" t="n"/>
      <c r="E785" s="775" t="n"/>
      <c r="F785" s="764" t="n"/>
      <c r="G785" s="764" t="n"/>
      <c r="H785" s="765">
        <f>IF(G785=1,F785-I785-J785-K785,IF(G785=2,F785,0))</f>
        <v>0</v>
      </c>
      <c r="I785" s="765">
        <f>ROUND(IF(G785=1,F785*10/23,IF(G785=3,F785-J785-K785,IF(G785=4,F785,IF(G785=5,F785*10/11,IF(G785=7,F785*10/11,0))))),0)</f>
        <v>0</v>
      </c>
      <c r="J785" s="765">
        <f>ROUND(IF(G785=1,F785/23,IF(G785=3,F785/12,IF(G785=5,F785-I785,IF(G785=8,F785,0)))),0)</f>
        <v>0</v>
      </c>
      <c r="K785" s="766">
        <f>ROUND(IF(G785=1,F785/23,IF(G785=3,F785/12,IF(G785=6,F785,IF(G785=7,F785-I785,0)))),0)</f>
        <v>0</v>
      </c>
      <c r="L785" s="767">
        <f>IF(G785=6,F785,0)</f>
        <v>0</v>
      </c>
      <c r="M785" s="55">
        <f>IF(F785="",0,MONTH(A785))</f>
        <v>0</v>
      </c>
      <c r="P785" s="768" t="n"/>
      <c r="Q785" s="769" t="str">
        <f>IF($F785="","",IFERROR(VLOOKUP($C785&amp;"|"&amp;$D785,科目表!$A$5:$B$200,2,FALSE),"※未登録"))</f>
        <v/>
      </c>
      <c r="R785" s="769" t="str">
        <f>IF($F785="","",$I785+$J785+$K785)</f>
        <v/>
      </c>
      <c r="S785" s="769" t="str">
        <f>IF(OR($F785="",$P785="支払なし",$H785=0,$Q785=""),"",$Q785&amp;"|S|"&amp;(COUNTIF(S$4:S784,$Q785&amp;"|S|*")+1))</f>
        <v/>
      </c>
      <c r="T785" s="769" t="str">
        <f>IF(OR($F785="",$P785="支払なし",$R785=0,$Q785=""),"",$Q785&amp;"|L|"&amp;(COUNTIF(T$4:T784,$Q785&amp;"|L|*")+1))</f>
        <v/>
      </c>
      <c r="U785" s="769" t="str">
        <f>IF(OR($F785="",$A785=""),"",MOD(MONTH($A785)-4,12)+1)</f>
        <v/>
      </c>
    </row>
    <row r="786" ht="16.5" customFormat="1" customHeight="1" s="85">
      <c r="A786" s="760" t="n"/>
      <c r="B786" s="761" t="n"/>
      <c r="C786" s="762" t="n"/>
      <c r="D786" s="762" t="n"/>
      <c r="E786" s="775" t="n"/>
      <c r="F786" s="764" t="n"/>
      <c r="G786" s="764" t="n"/>
      <c r="H786" s="765">
        <f>IF(G786=1,F786-I786-J786-K786,IF(G786=2,F786,0))</f>
        <v>0</v>
      </c>
      <c r="I786" s="765">
        <f>ROUND(IF(G786=1,F786*10/23,IF(G786=3,F786-J786-K786,IF(G786=4,F786,IF(G786=5,F786*10/11,IF(G786=7,F786*10/11,0))))),0)</f>
        <v>0</v>
      </c>
      <c r="J786" s="765">
        <f>ROUND(IF(G786=1,F786/23,IF(G786=3,F786/12,IF(G786=5,F786-I786,IF(G786=8,F786,0)))),0)</f>
        <v>0</v>
      </c>
      <c r="K786" s="766">
        <f>ROUND(IF(G786=1,F786/23,IF(G786=3,F786/12,IF(G786=6,F786,IF(G786=7,F786-I786,0)))),0)</f>
        <v>0</v>
      </c>
      <c r="L786" s="767">
        <f>IF(G786=6,F786,0)</f>
        <v>0</v>
      </c>
      <c r="M786" s="55">
        <f>IF(F786="",0,MONTH(A786))</f>
        <v>0</v>
      </c>
      <c r="P786" s="768" t="n"/>
      <c r="Q786" s="769" t="str">
        <f>IF($F786="","",IFERROR(VLOOKUP($C786&amp;"|"&amp;$D786,科目表!$A$5:$B$200,2,FALSE),"※未登録"))</f>
        <v/>
      </c>
      <c r="R786" s="769" t="str">
        <f>IF($F786="","",$I786+$J786+$K786)</f>
        <v/>
      </c>
      <c r="S786" s="769" t="str">
        <f>IF(OR($F786="",$P786="支払なし",$H786=0,$Q786=""),"",$Q786&amp;"|S|"&amp;(COUNTIF(S$4:S785,$Q786&amp;"|S|*")+1))</f>
        <v/>
      </c>
      <c r="T786" s="769" t="str">
        <f>IF(OR($F786="",$P786="支払なし",$R786=0,$Q786=""),"",$Q786&amp;"|L|"&amp;(COUNTIF(T$4:T785,$Q786&amp;"|L|*")+1))</f>
        <v/>
      </c>
      <c r="U786" s="769" t="str">
        <f>IF(OR($F786="",$A786=""),"",MOD(MONTH($A786)-4,12)+1)</f>
        <v/>
      </c>
    </row>
    <row r="787" ht="16.5" customFormat="1" customHeight="1" s="85">
      <c r="A787" s="760" t="n"/>
      <c r="B787" s="761" t="n"/>
      <c r="C787" s="762" t="n"/>
      <c r="D787" s="762" t="n"/>
      <c r="E787" s="775" t="n"/>
      <c r="F787" s="764" t="n"/>
      <c r="G787" s="764" t="n"/>
      <c r="H787" s="765">
        <f>IF(G787=1,F787-I787-J787-K787,IF(G787=2,F787,0))</f>
        <v>0</v>
      </c>
      <c r="I787" s="765">
        <f>ROUND(IF(G787=1,F787*10/23,IF(G787=3,F787-J787-K787,IF(G787=4,F787,IF(G787=5,F787*10/11,IF(G787=7,F787*10/11,0))))),0)</f>
        <v>0</v>
      </c>
      <c r="J787" s="765">
        <f>ROUND(IF(G787=1,F787/23,IF(G787=3,F787/12,IF(G787=5,F787-I787,IF(G787=8,F787,0)))),0)</f>
        <v>0</v>
      </c>
      <c r="K787" s="766">
        <f>ROUND(IF(G787=1,F787/23,IF(G787=3,F787/12,IF(G787=6,F787,IF(G787=7,F787-I787,0)))),0)</f>
        <v>0</v>
      </c>
      <c r="L787" s="767">
        <f>IF(G787=6,F787,0)</f>
        <v>0</v>
      </c>
      <c r="M787" s="55">
        <f>IF(F787="",0,MONTH(A787))</f>
        <v>0</v>
      </c>
      <c r="P787" s="768" t="n"/>
      <c r="Q787" s="769" t="str">
        <f>IF($F787="","",IFERROR(VLOOKUP($C787&amp;"|"&amp;$D787,科目表!$A$5:$B$200,2,FALSE),"※未登録"))</f>
        <v/>
      </c>
      <c r="R787" s="769" t="str">
        <f>IF($F787="","",$I787+$J787+$K787)</f>
        <v/>
      </c>
      <c r="S787" s="769" t="str">
        <f>IF(OR($F787="",$P787="支払なし",$H787=0,$Q787=""),"",$Q787&amp;"|S|"&amp;(COUNTIF(S$4:S786,$Q787&amp;"|S|*")+1))</f>
        <v/>
      </c>
      <c r="T787" s="769" t="str">
        <f>IF(OR($F787="",$P787="支払なし",$R787=0,$Q787=""),"",$Q787&amp;"|L|"&amp;(COUNTIF(T$4:T786,$Q787&amp;"|L|*")+1))</f>
        <v/>
      </c>
      <c r="U787" s="769" t="str">
        <f>IF(OR($F787="",$A787=""),"",MOD(MONTH($A787)-4,12)+1)</f>
        <v/>
      </c>
    </row>
    <row r="788" ht="16.5" customFormat="1" customHeight="1" s="85">
      <c r="A788" s="760" t="n"/>
      <c r="B788" s="761" t="n"/>
      <c r="C788" s="762" t="n"/>
      <c r="D788" s="762" t="n"/>
      <c r="E788" s="775" t="n"/>
      <c r="F788" s="764" t="n"/>
      <c r="G788" s="764" t="n"/>
      <c r="H788" s="765">
        <f>IF(G788=1,F788-I788-J788-K788,IF(G788=2,F788,0))</f>
        <v>0</v>
      </c>
      <c r="I788" s="765">
        <f>ROUND(IF(G788=1,F788*10/23,IF(G788=3,F788-J788-K788,IF(G788=4,F788,IF(G788=5,F788*10/11,IF(G788=7,F788*10/11,0))))),0)</f>
        <v>0</v>
      </c>
      <c r="J788" s="765">
        <f>ROUND(IF(G788=1,F788/23,IF(G788=3,F788/12,IF(G788=5,F788-I788,IF(G788=8,F788,0)))),0)</f>
        <v>0</v>
      </c>
      <c r="K788" s="766">
        <f>ROUND(IF(G788=1,F788/23,IF(G788=3,F788/12,IF(G788=6,F788,IF(G788=7,F788-I788,0)))),0)</f>
        <v>0</v>
      </c>
      <c r="L788" s="767">
        <f>IF(G788=6,F788,0)</f>
        <v>0</v>
      </c>
      <c r="M788" s="55">
        <f>IF(F788="",0,MONTH(A788))</f>
        <v>0</v>
      </c>
      <c r="P788" s="768" t="n"/>
      <c r="Q788" s="769" t="str">
        <f>IF($F788="","",IFERROR(VLOOKUP($C788&amp;"|"&amp;$D788,科目表!$A$5:$B$200,2,FALSE),"※未登録"))</f>
        <v/>
      </c>
      <c r="R788" s="769" t="str">
        <f>IF($F788="","",$I788+$J788+$K788)</f>
        <v/>
      </c>
      <c r="S788" s="769" t="str">
        <f>IF(OR($F788="",$P788="支払なし",$H788=0,$Q788=""),"",$Q788&amp;"|S|"&amp;(COUNTIF(S$4:S787,$Q788&amp;"|S|*")+1))</f>
        <v/>
      </c>
      <c r="T788" s="769" t="str">
        <f>IF(OR($F788="",$P788="支払なし",$R788=0,$Q788=""),"",$Q788&amp;"|L|"&amp;(COUNTIF(T$4:T787,$Q788&amp;"|L|*")+1))</f>
        <v/>
      </c>
      <c r="U788" s="769" t="str">
        <f>IF(OR($F788="",$A788=""),"",MOD(MONTH($A788)-4,12)+1)</f>
        <v/>
      </c>
    </row>
    <row r="789" ht="8.25" customFormat="1" customHeight="1" s="85">
      <c r="A789" s="755" t="n"/>
      <c r="B789" s="755" t="n"/>
      <c r="C789" s="600" t="n"/>
      <c r="D789" s="600" t="n"/>
      <c r="E789" s="600" t="n"/>
      <c r="F789" s="601" t="n"/>
      <c r="G789" s="601" t="n"/>
      <c r="H789" s="601" t="n"/>
      <c r="I789" s="601" t="n"/>
      <c r="J789" s="601" t="n"/>
      <c r="K789" s="601" t="n"/>
      <c r="L789" s="601" t="n"/>
      <c r="M789" s="55" t="n"/>
    </row>
    <row r="790" ht="16.5" customFormat="1" customHeight="1" s="85">
      <c r="A790" s="811" t="inlineStr">
        <is>
          <t>4月分計</t>
        </is>
      </c>
      <c r="B790" s="811" t="n"/>
      <c r="C790" s="574" t="inlineStr">
        <is>
          <t>費用</t>
        </is>
      </c>
      <c r="D790" s="574" t="n"/>
      <c r="E790" s="317" t="n"/>
      <c r="F790" s="348">
        <f>SUMPRODUCT((MONTH($A$5:$A$788)=4)*($F$5:$F$788))-F791</f>
        <v>1910013</v>
      </c>
      <c r="G790" s="624" t="n"/>
      <c r="H790" s="624">
        <f>SUMPRODUCT((MONTH($A$5:$A$788)=4)*($H$5:$H$788))-H791</f>
        <v>1265934</v>
      </c>
      <c r="I790" s="624">
        <f>SUMPRODUCT((MONTH($A$5:$A$788)=4)*($I$5:$I$788))-I791</f>
        <v>541149</v>
      </c>
      <c r="J790" s="624">
        <f>SUMPRODUCT((MONTH($A$5:$A$788)=4)*($J$5:$J$788))-J791</f>
        <v>54115</v>
      </c>
      <c r="K790" s="625">
        <f>SUMPRODUCT((MONTH($A$5:$A$788)=4)*($K$5:$K$788))-K791</f>
        <v>48815</v>
      </c>
      <c r="L790" s="626">
        <f>SUMPRODUCT((MONTH($A$5:$A$788)=4)*($L$5:$L$788))-L791</f>
        <v>0</v>
      </c>
      <c r="M790" s="55" t="n"/>
    </row>
    <row r="791" ht="16.5" customFormat="1" customHeight="1" s="85">
      <c r="A791" s="811" t="inlineStr">
        <is>
          <t>4月分計</t>
        </is>
      </c>
      <c r="B791" s="811" t="n"/>
      <c r="C791" s="574" t="inlineStr">
        <is>
          <t>仮払消費税</t>
        </is>
      </c>
      <c r="D791" s="574" t="n"/>
      <c r="E791" s="317" t="n"/>
      <c r="F791" s="348">
        <f>SUMPRODUCT((MONTH($A$5:$A$788)=4)*(($C$5:$C$788)=$C$791)*($F$5:$F$788))</f>
        <v>0</v>
      </c>
      <c r="G791" s="624" t="n"/>
      <c r="H791" s="624">
        <f>SUMPRODUCT((MONTH($A$5:$A$788)=4)*(($C$5:$C$788)=$C$791)*($H$5:$H$788))</f>
        <v>0</v>
      </c>
      <c r="I791" s="624">
        <f>SUMPRODUCT((MONTH($A$5:$A$788)=4)*(($C$5:$C$788)=$C$791)*($I$5:$I$788))</f>
        <v>0</v>
      </c>
      <c r="J791" s="624">
        <f>SUMPRODUCT((MONTH($A$5:$A$788)=4)*(($C$5:$C$788)=$C$791)*($J$5:$J$788))</f>
        <v>0</v>
      </c>
      <c r="K791" s="625">
        <f>SUMPRODUCT((MONTH($A$5:$A$788)=4)*(($C$5:$C$788)=$C$791)*($K$5:$K$788))</f>
        <v>0</v>
      </c>
      <c r="L791" s="626">
        <f>SUMPRODUCT((MONTH($A$5:$A$788)=4)*(($C$5:$C$788)=$C$791)*($L$5:$L$788))</f>
        <v>0</v>
      </c>
      <c r="M791" s="55" t="n"/>
    </row>
    <row r="792" ht="16.5" customFormat="1" customHeight="1" s="85">
      <c r="A792" s="811" t="inlineStr">
        <is>
          <t>4月分計</t>
        </is>
      </c>
      <c r="B792" s="811" t="n"/>
      <c r="C792" s="574" t="inlineStr">
        <is>
          <t>合計</t>
        </is>
      </c>
      <c r="D792" s="574" t="n"/>
      <c r="E792" s="317" t="inlineStr">
        <is>
          <t xml:space="preserve">　</t>
        </is>
      </c>
      <c r="F792" s="348">
        <f>SUM(F790:F791)</f>
        <v>1910013</v>
      </c>
      <c r="G792" s="624" t="n"/>
      <c r="H792" s="624">
        <f>SUM(H790:H791)</f>
        <v>1265934</v>
      </c>
      <c r="I792" s="624">
        <f>SUM(I790:I791)</f>
        <v>541149</v>
      </c>
      <c r="J792" s="624">
        <f>SUM(J790:J791)</f>
        <v>54115</v>
      </c>
      <c r="K792" s="625">
        <f>SUM(K790:K791)</f>
        <v>48815</v>
      </c>
      <c r="L792" s="626">
        <f>SUM(L790:L791)</f>
        <v>0</v>
      </c>
      <c r="M792" s="55" t="n"/>
    </row>
    <row r="793" ht="16.5" customFormat="1" customHeight="1" s="85">
      <c r="A793" s="755" t="n"/>
      <c r="B793" s="755" t="n"/>
      <c r="C793" s="600" t="n"/>
      <c r="D793" s="600" t="n"/>
      <c r="E793" s="600" t="n"/>
      <c r="F793" s="601" t="n"/>
      <c r="G793" s="601" t="n"/>
      <c r="H793" s="601" t="n"/>
      <c r="I793" s="601" t="n"/>
      <c r="J793" s="601" t="n"/>
      <c r="K793" s="601" t="n"/>
      <c r="L793" s="601" t="n"/>
      <c r="M793" s="55" t="n"/>
    </row>
    <row r="794" ht="16.5" customFormat="1" customHeight="1" s="85">
      <c r="A794" s="811" t="inlineStr">
        <is>
          <t>5月分計</t>
        </is>
      </c>
      <c r="B794" s="811" t="n"/>
      <c r="C794" s="574" t="inlineStr">
        <is>
          <t>費用</t>
        </is>
      </c>
      <c r="D794" s="574" t="n"/>
      <c r="E794" s="317" t="n"/>
      <c r="F794" s="348">
        <f>SUMPRODUCT((MONTH($A$5:$A$788)=5)*($F$5:$F$788))-F795</f>
        <v>11190781</v>
      </c>
      <c r="G794" s="624" t="n"/>
      <c r="H794" s="624">
        <f>SUMPRODUCT((MONTH($A$5:$A$788)=5)*($H$5:$H$788))-H795</f>
        <v>5153038</v>
      </c>
      <c r="I794" s="624">
        <f>SUMPRODUCT((MONTH($A$5:$A$788)=5)*($I$5:$I$788))-I795</f>
        <v>5437967</v>
      </c>
      <c r="J794" s="624">
        <f>SUMPRODUCT((MONTH($A$5:$A$788)=5)*($J$5:$J$788))-J795</f>
        <v>543797</v>
      </c>
      <c r="K794" s="625">
        <f>SUMPRODUCT((MONTH($A$5:$A$788)=5)*($K$5:$K$788))-K795</f>
        <v>55979</v>
      </c>
      <c r="L794" s="626">
        <f>SUMPRODUCT((MONTH($A$5:$A$788)=5)*($L$5:$L$788))-L795</f>
        <v>0</v>
      </c>
      <c r="M794" s="55" t="n"/>
    </row>
    <row r="795" ht="16.5" customFormat="1" customHeight="1" s="85">
      <c r="A795" s="811" t="inlineStr">
        <is>
          <t>5月分計</t>
        </is>
      </c>
      <c r="B795" s="811" t="n"/>
      <c r="C795" s="574" t="inlineStr">
        <is>
          <t>仮払消費税</t>
        </is>
      </c>
      <c r="D795" s="574" t="n"/>
      <c r="E795" s="317" t="n"/>
      <c r="F795" s="348">
        <f>SUMPRODUCT((MONTH($A$5:$A$788)=5)*(($C$5:$C$788)=$C$795)*($F$5:$F$788))</f>
        <v>0</v>
      </c>
      <c r="G795" s="624" t="n"/>
      <c r="H795" s="624">
        <f>SUMPRODUCT((MONTH($A$5:$A$788)=5)*(($C$5:$C$788)=$C$795)*($H$5:$H$788))</f>
        <v>0</v>
      </c>
      <c r="I795" s="624">
        <f>SUMPRODUCT((MONTH($A$5:$A$788)=5)*(($C$5:$C$788)=$C$795)*($I$5:$I$788))</f>
        <v>0</v>
      </c>
      <c r="J795" s="624">
        <f>SUMPRODUCT((MONTH($A$5:$A$788)=5)*(($C$5:$C$788)=$C$795)*($J$5:$J$788))</f>
        <v>0</v>
      </c>
      <c r="K795" s="625">
        <f>SUMPRODUCT((MONTH($A$5:$A$788)=5)*(($C$5:$C$788)=$C$795)*($K$5:$K$788))</f>
        <v>0</v>
      </c>
      <c r="L795" s="626">
        <f>SUMPRODUCT((MONTH($A$5:$A$788)=5)*(($C$5:$C$788)=$C$795)*($L$5:$L$788))</f>
        <v>0</v>
      </c>
      <c r="M795" s="55" t="n"/>
    </row>
    <row r="796" ht="16.5" customFormat="1" customHeight="1" s="85">
      <c r="A796" s="811" t="inlineStr">
        <is>
          <t>5月分計</t>
        </is>
      </c>
      <c r="B796" s="811" t="n"/>
      <c r="C796" s="574" t="inlineStr">
        <is>
          <t>合計</t>
        </is>
      </c>
      <c r="D796" s="574" t="n"/>
      <c r="E796" s="317" t="n"/>
      <c r="F796" s="348">
        <f>SUM(F794:F795)</f>
        <v>11190781</v>
      </c>
      <c r="G796" s="624" t="n"/>
      <c r="H796" s="624">
        <f>SUM(H794:H795)</f>
        <v>5153038</v>
      </c>
      <c r="I796" s="624">
        <f>SUM(I794:I795)</f>
        <v>5437967</v>
      </c>
      <c r="J796" s="624">
        <f>SUM(J794:J795)</f>
        <v>543797</v>
      </c>
      <c r="K796" s="625">
        <f>SUM(K794:K795)</f>
        <v>55979</v>
      </c>
      <c r="L796" s="626">
        <f>SUM(L794:L795)</f>
        <v>0</v>
      </c>
      <c r="M796" s="55" t="n"/>
    </row>
    <row r="797" ht="16.5" customFormat="1" customHeight="1" s="85">
      <c r="A797" s="755" t="n"/>
      <c r="B797" s="755" t="n"/>
      <c r="C797" s="600" t="n"/>
      <c r="D797" s="600" t="n"/>
      <c r="E797" s="600" t="n"/>
      <c r="F797" s="601" t="n"/>
      <c r="G797" s="601" t="n"/>
      <c r="H797" s="601" t="n"/>
      <c r="I797" s="601" t="n"/>
      <c r="J797" s="601" t="n"/>
      <c r="K797" s="601" t="n"/>
      <c r="L797" s="601" t="n"/>
      <c r="M797" s="55" t="n"/>
    </row>
    <row r="798" ht="16.5" customFormat="1" customHeight="1" s="85">
      <c r="A798" s="811" t="inlineStr">
        <is>
          <t>6月分計</t>
        </is>
      </c>
      <c r="B798" s="811" t="n"/>
      <c r="C798" s="574" t="inlineStr">
        <is>
          <t>費用</t>
        </is>
      </c>
      <c r="D798" s="574" t="n"/>
      <c r="E798" s="317" t="n"/>
      <c r="F798" s="348">
        <f>SUMPRODUCT((MONTH($A$5:$A$788)=6)*($F$5:$F$788))-F799</f>
        <v>14026875</v>
      </c>
      <c r="G798" s="624" t="n"/>
      <c r="H798" s="624">
        <f>SUMPRODUCT((MONTH($A$5:$A$788)=6)*($H$5:$H$788))-H799</f>
        <v>2968953</v>
      </c>
      <c r="I798" s="624">
        <f>SUMPRODUCT((MONTH($A$5:$A$788)=6)*($I$5:$I$788))-I799</f>
        <v>9890614</v>
      </c>
      <c r="J798" s="624">
        <f>SUMPRODUCT((MONTH($A$5:$A$788)=6)*($J$5:$J$788))-J799</f>
        <v>989063</v>
      </c>
      <c r="K798" s="625">
        <f>SUMPRODUCT((MONTH($A$5:$A$788)=6)*($K$5:$K$788))-K799</f>
        <v>178245</v>
      </c>
      <c r="L798" s="626">
        <f>SUMPRODUCT((MONTH($A$5:$A$788)=6)*($L$5:$L$788))-L799</f>
        <v>0</v>
      </c>
      <c r="M798" s="55" t="n"/>
    </row>
    <row r="799" ht="16.5" customFormat="1" customHeight="1" s="85">
      <c r="A799" s="811" t="inlineStr">
        <is>
          <t>6月分計</t>
        </is>
      </c>
      <c r="B799" s="811" t="n"/>
      <c r="C799" s="574" t="inlineStr">
        <is>
          <t>仮払消費税</t>
        </is>
      </c>
      <c r="D799" s="574" t="n"/>
      <c r="E799" s="317" t="n"/>
      <c r="F799" s="348">
        <f>SUMPRODUCT((MONTH($A$5:$A$788)=6)*(($C$5:$C$788)=$C$799)*($F$5:$F$788))</f>
        <v>0</v>
      </c>
      <c r="G799" s="624" t="n"/>
      <c r="H799" s="624">
        <f>SUMPRODUCT((MONTH($A$5:$A$788)=6)*(($C$5:$C$788)=$C$799)*($H$5:$H$788))</f>
        <v>0</v>
      </c>
      <c r="I799" s="624">
        <f>SUMPRODUCT((MONTH($A$5:$A$788)=6)*(($C$5:$C$788)=$C$799)*($I$5:$I$788))</f>
        <v>0</v>
      </c>
      <c r="J799" s="624">
        <f>SUMPRODUCT((MONTH($A$5:$A$788)=6)*(($C$5:$C$788)=$C$799)*($J$5:$J$788))</f>
        <v>0</v>
      </c>
      <c r="K799" s="625">
        <f>SUMPRODUCT((MONTH($A$5:$A$788)=6)*(($C$5:$C$788)=$C$799)*($K$5:$K$788))</f>
        <v>0</v>
      </c>
      <c r="L799" s="626">
        <f>SUMPRODUCT((MONTH($A$5:$A$788)=6)*(($C$5:$C$788)=$C$799)*($L$5:$L$788))</f>
        <v>0</v>
      </c>
      <c r="M799" s="55" t="n"/>
    </row>
    <row r="800" ht="16.5" customFormat="1" customHeight="1" s="85">
      <c r="A800" s="811" t="inlineStr">
        <is>
          <t>6月分計</t>
        </is>
      </c>
      <c r="B800" s="811" t="n"/>
      <c r="C800" s="574" t="inlineStr">
        <is>
          <t>合計</t>
        </is>
      </c>
      <c r="D800" s="574" t="n"/>
      <c r="E800" s="317" t="n"/>
      <c r="F800" s="348">
        <f>SUM(F798:F799)</f>
        <v>14026875</v>
      </c>
      <c r="G800" s="624" t="n"/>
      <c r="H800" s="624">
        <f>SUM(H798:H799)</f>
        <v>2968953</v>
      </c>
      <c r="I800" s="624">
        <f>SUM(I798:I799)</f>
        <v>9890614</v>
      </c>
      <c r="J800" s="624">
        <f>SUM(J798:J799)</f>
        <v>989063</v>
      </c>
      <c r="K800" s="625">
        <f>SUM(K798:K799)</f>
        <v>178245</v>
      </c>
      <c r="L800" s="626">
        <f>SUM(L798:L799)</f>
        <v>0</v>
      </c>
      <c r="M800" s="55" t="n"/>
    </row>
    <row r="801" ht="16.5" customFormat="1" customHeight="1" s="85">
      <c r="A801" s="755" t="n"/>
      <c r="B801" s="755" t="n"/>
      <c r="C801" s="600" t="n"/>
      <c r="D801" s="600" t="n"/>
      <c r="E801" s="600" t="n"/>
      <c r="F801" s="601" t="n"/>
      <c r="G801" s="601" t="n"/>
      <c r="H801" s="601" t="n"/>
      <c r="I801" s="601" t="n"/>
      <c r="J801" s="601" t="n"/>
      <c r="K801" s="601" t="n"/>
      <c r="L801" s="601" t="n"/>
      <c r="M801" s="55" t="n"/>
    </row>
    <row r="802" ht="16.5" customFormat="1" customHeight="1" s="85">
      <c r="A802" s="811" t="inlineStr">
        <is>
          <t>7月分計</t>
        </is>
      </c>
      <c r="B802" s="811" t="n"/>
      <c r="C802" s="574" t="inlineStr">
        <is>
          <t>費用</t>
        </is>
      </c>
      <c r="D802" s="574" t="n"/>
      <c r="E802" s="317" t="n"/>
      <c r="F802" s="348">
        <f>SUMPRODUCT((MONTH($A$5:$A$788)=7)*($F$5:$F$788))-F803</f>
        <v>10837848</v>
      </c>
      <c r="G802" s="624" t="n"/>
      <c r="H802" s="624">
        <f>SUMPRODUCT((MONTH($A$5:$A$788)=7)*($H$5:$H$788))-H803</f>
        <v>2671948</v>
      </c>
      <c r="I802" s="624">
        <f>SUMPRODUCT((MONTH($A$5:$A$788)=7)*($I$5:$I$788))-I803</f>
        <v>7224826</v>
      </c>
      <c r="J802" s="624">
        <f>SUMPRODUCT((MONTH($A$5:$A$788)=7)*($J$5:$J$788))-J803</f>
        <v>722485</v>
      </c>
      <c r="K802" s="625">
        <f>SUMPRODUCT((MONTH($A$5:$A$788)=7)*($K$5:$K$788))-K803</f>
        <v>218589</v>
      </c>
      <c r="L802" s="626">
        <f>SUMPRODUCT((MONTH($A$5:$A$788)=7)*($L$5:$L$788))-L803</f>
        <v>0</v>
      </c>
      <c r="M802" s="55" t="n"/>
    </row>
    <row r="803" ht="16.5" customFormat="1" customHeight="1" s="85">
      <c r="A803" s="811" t="inlineStr">
        <is>
          <t>7月分計</t>
        </is>
      </c>
      <c r="B803" s="811" t="n"/>
      <c r="C803" s="574" t="inlineStr">
        <is>
          <t>仮払消費税</t>
        </is>
      </c>
      <c r="D803" s="574" t="n"/>
      <c r="E803" s="317" t="n"/>
      <c r="F803" s="348">
        <f>SUMPRODUCT((MONTH($A$5:$A$788)=7)*(($C$5:$C$788)=$C$803)*($F$5:$F$788))</f>
        <v>0</v>
      </c>
      <c r="G803" s="624" t="n"/>
      <c r="H803" s="624">
        <f>SUMPRODUCT((MONTH($A$5:$A$788)=7)*(($C$5:$C$788)=$C$803)*($H$5:$H$788))</f>
        <v>0</v>
      </c>
      <c r="I803" s="624">
        <f>SUMPRODUCT((MONTH($A$5:$A$788)=7)*(($C$5:$C$788)=$C$803)*($I$5:$I$788))</f>
        <v>0</v>
      </c>
      <c r="J803" s="624">
        <f>SUMPRODUCT((MONTH($A$5:$A$788)=7)*(($C$5:$C$788)=$C$803)*($J$5:$J$788))</f>
        <v>0</v>
      </c>
      <c r="K803" s="625">
        <f>SUMPRODUCT((MONTH($A$5:$A$788)=7)*(($C$5:$C$788)=$C$803)*($K$5:$K$788))</f>
        <v>0</v>
      </c>
      <c r="L803" s="626">
        <f>SUMPRODUCT((MONTH($A$5:$A$788)=7)*(($C$5:$C$788)=$C$803)*($L$5:$L$788))</f>
        <v>0</v>
      </c>
      <c r="M803" s="55" t="n"/>
    </row>
    <row r="804" ht="16.5" customFormat="1" customHeight="1" s="85">
      <c r="A804" s="811" t="inlineStr">
        <is>
          <t>7月分計</t>
        </is>
      </c>
      <c r="B804" s="811" t="n"/>
      <c r="C804" s="574" t="inlineStr">
        <is>
          <t>合計</t>
        </is>
      </c>
      <c r="D804" s="574" t="n"/>
      <c r="E804" s="317" t="n"/>
      <c r="F804" s="348">
        <f>SUM(F802:F803)</f>
        <v>10837848</v>
      </c>
      <c r="G804" s="624" t="n"/>
      <c r="H804" s="624">
        <f>SUM(H802:H803)</f>
        <v>2671948</v>
      </c>
      <c r="I804" s="624">
        <f>SUM(I802:I803)</f>
        <v>7224826</v>
      </c>
      <c r="J804" s="624">
        <f>SUM(J802:J803)</f>
        <v>722485</v>
      </c>
      <c r="K804" s="625">
        <f>SUM(K802:K803)</f>
        <v>218589</v>
      </c>
      <c r="L804" s="626">
        <f>SUM(L802:L803)</f>
        <v>0</v>
      </c>
      <c r="M804" s="55" t="n"/>
    </row>
    <row r="805" ht="16.5" customFormat="1" customHeight="1" s="85">
      <c r="A805" s="755" t="n"/>
      <c r="B805" s="755" t="n"/>
      <c r="C805" s="600" t="n"/>
      <c r="D805" s="600" t="n"/>
      <c r="E805" s="600" t="n"/>
      <c r="F805" s="601" t="n"/>
      <c r="G805" s="601" t="n"/>
      <c r="H805" s="601" t="n"/>
      <c r="I805" s="601" t="n"/>
      <c r="J805" s="601" t="n"/>
      <c r="K805" s="601" t="n"/>
      <c r="L805" s="601" t="n"/>
      <c r="M805" s="55" t="n"/>
    </row>
    <row r="806" ht="16.5" customFormat="1" customHeight="1" s="85">
      <c r="A806" s="811" t="inlineStr">
        <is>
          <t>8月分計</t>
        </is>
      </c>
      <c r="B806" s="811" t="n"/>
      <c r="C806" s="574" t="inlineStr">
        <is>
          <t>費用</t>
        </is>
      </c>
      <c r="D806" s="574" t="n"/>
      <c r="E806" s="317" t="n"/>
      <c r="F806" s="348">
        <f>SUMPRODUCT((MONTH($A$5:$A$788)=8)*($F$5:$F$788))-F807</f>
        <v>11705164</v>
      </c>
      <c r="G806" s="624" t="n"/>
      <c r="H806" s="624">
        <f>SUMPRODUCT((MONTH($A$5:$A$788)=8)*($H$5:$H$788))-H807</f>
        <v>3903128</v>
      </c>
      <c r="I806" s="624">
        <f>SUMPRODUCT((MONTH($A$5:$A$788)=8)*($I$5:$I$788))-I807</f>
        <v>6121539</v>
      </c>
      <c r="J806" s="624">
        <f>SUMPRODUCT((MONTH($A$5:$A$788)=8)*($J$5:$J$788))-J807</f>
        <v>612155</v>
      </c>
      <c r="K806" s="625">
        <f>SUMPRODUCT((MONTH($A$5:$A$788)=8)*($K$5:$K$788))-K807</f>
        <v>1068342</v>
      </c>
      <c r="L806" s="626">
        <f>SUMPRODUCT((MONTH($A$5:$A$788)=8)*($L$5:$L$788))-L807</f>
        <v>951706</v>
      </c>
      <c r="M806" s="55" t="n"/>
    </row>
    <row r="807" ht="16.5" customFormat="1" customHeight="1" s="85">
      <c r="A807" s="811" t="inlineStr">
        <is>
          <t>8月分計</t>
        </is>
      </c>
      <c r="B807" s="811" t="n"/>
      <c r="C807" s="574" t="inlineStr">
        <is>
          <t>仮払消費税</t>
        </is>
      </c>
      <c r="D807" s="574" t="n"/>
      <c r="E807" s="317" t="n"/>
      <c r="F807" s="348">
        <f>SUMPRODUCT((MONTH($A$5:$A$788)=8)*(($C$5:$C$788)=$C$807)*($F$5:$F$788))</f>
        <v>0</v>
      </c>
      <c r="G807" s="624" t="n"/>
      <c r="H807" s="624">
        <f>SUMPRODUCT((MONTH($A$5:$A$788)=8)*(($C$5:$C$788)=$C$807)*($H$5:$H$788))</f>
        <v>0</v>
      </c>
      <c r="I807" s="624">
        <f>SUMPRODUCT((MONTH($A$5:$A$788)=8)*(($C$5:$C$788)=$C$807)*($I$5:$I$788))</f>
        <v>0</v>
      </c>
      <c r="J807" s="624">
        <f>SUMPRODUCT((MONTH($A$5:$A$788)=8)*(($C$5:$C$788)=$C$807)*($J$5:$J$788))</f>
        <v>0</v>
      </c>
      <c r="K807" s="625">
        <f>SUMPRODUCT((MONTH($A$5:$A$788)=8)*(($C$5:$C$788)=$C$807)*($K$5:$K$788))</f>
        <v>0</v>
      </c>
      <c r="L807" s="626">
        <f>SUMPRODUCT((MONTH($A$5:$A$788)=8)*(($C$5:$C$788)=$C$807)*($L$5:$L$788))</f>
        <v>0</v>
      </c>
      <c r="M807" s="55" t="n"/>
    </row>
    <row r="808" ht="16.5" customFormat="1" customHeight="1" s="85">
      <c r="A808" s="811" t="inlineStr">
        <is>
          <t>8月分計</t>
        </is>
      </c>
      <c r="B808" s="811" t="n"/>
      <c r="C808" s="574" t="inlineStr">
        <is>
          <t>合計</t>
        </is>
      </c>
      <c r="D808" s="574" t="n"/>
      <c r="E808" s="317" t="n"/>
      <c r="F808" s="348">
        <f>SUM(F806:F807)</f>
        <v>11705164</v>
      </c>
      <c r="G808" s="624" t="n"/>
      <c r="H808" s="624">
        <f>SUM(H806:H807)</f>
        <v>3903128</v>
      </c>
      <c r="I808" s="624">
        <f>SUM(I806:I807)</f>
        <v>6121539</v>
      </c>
      <c r="J808" s="624">
        <f>SUM(J806:J807)</f>
        <v>612155</v>
      </c>
      <c r="K808" s="625">
        <f>SUM(K806:K807)</f>
        <v>1068342</v>
      </c>
      <c r="L808" s="626">
        <f>SUM(L806:L807)</f>
        <v>951706</v>
      </c>
      <c r="M808" s="55" t="n"/>
    </row>
    <row r="809" ht="16.5" customFormat="1" customHeight="1" s="85">
      <c r="A809" s="755" t="n"/>
      <c r="B809" s="755" t="n"/>
      <c r="C809" s="600" t="n"/>
      <c r="D809" s="600" t="n"/>
      <c r="E809" s="600" t="n"/>
      <c r="F809" s="601" t="n"/>
      <c r="G809" s="601" t="n"/>
      <c r="H809" s="601" t="n"/>
      <c r="I809" s="601" t="n"/>
      <c r="J809" s="601" t="n"/>
      <c r="K809" s="601" t="n"/>
      <c r="L809" s="601" t="n"/>
      <c r="M809" s="55" t="n"/>
    </row>
    <row r="810" ht="16.5" customFormat="1" customHeight="1" s="85">
      <c r="A810" s="811" t="inlineStr">
        <is>
          <t>9月分計</t>
        </is>
      </c>
      <c r="B810" s="811" t="n"/>
      <c r="C810" s="574" t="inlineStr">
        <is>
          <t>費用</t>
        </is>
      </c>
      <c r="D810" s="574" t="n"/>
      <c r="E810" s="317" t="n"/>
      <c r="F810" s="348">
        <f>SUMPRODUCT((MONTH($A$5:$A$788)=9)*($F$5:$F$788))-F811</f>
        <v>34107889</v>
      </c>
      <c r="G810" s="624" t="n"/>
      <c r="H810" s="624">
        <f>SUMPRODUCT((MONTH($A$5:$A$788)=9)*($H$5:$H$788))-H811</f>
        <v>25069442</v>
      </c>
      <c r="I810" s="624">
        <f>SUMPRODUCT((MONTH($A$5:$A$788)=9)*($I$5:$I$788))-I811</f>
        <v>6374649</v>
      </c>
      <c r="J810" s="624">
        <f>SUMPRODUCT((MONTH($A$5:$A$788)=9)*($J$5:$J$788))-J811</f>
        <v>637466</v>
      </c>
      <c r="K810" s="625">
        <f>SUMPRODUCT((MONTH($A$5:$A$788)=9)*($K$5:$K$788))-K811</f>
        <v>2026332</v>
      </c>
      <c r="L810" s="626">
        <f>SUMPRODUCT((MONTH($A$5:$A$788)=9)*($L$5:$L$788))-L811</f>
        <v>1893758</v>
      </c>
      <c r="M810" s="55" t="n"/>
    </row>
    <row r="811" ht="16.5" customFormat="1" customHeight="1" s="85">
      <c r="A811" s="811" t="inlineStr">
        <is>
          <t>9月分計</t>
        </is>
      </c>
      <c r="B811" s="811" t="n"/>
      <c r="C811" s="574" t="inlineStr">
        <is>
          <t>仮払消費税</t>
        </is>
      </c>
      <c r="D811" s="574" t="n"/>
      <c r="E811" s="317" t="n"/>
      <c r="F811" s="348">
        <f>SUMPRODUCT((MONTH($A$5:$A$788)=9)*(($C$5:$C$788)=$C$811)*($F$5:$F$788))</f>
        <v>0</v>
      </c>
      <c r="G811" s="624" t="n"/>
      <c r="H811" s="624">
        <f>SUMPRODUCT((MONTH($A$5:$A$788)=8)*(($C$5:$C$788)=$C$811)*($H$5:$H$788))</f>
        <v>0</v>
      </c>
      <c r="I811" s="624">
        <f>SUMPRODUCT((MONTH($A$5:$A$788)=9)*(($C$5:$C$788)=$C$811)*($I$5:$I$788))</f>
        <v>0</v>
      </c>
      <c r="J811" s="624">
        <f>SUMPRODUCT((MONTH($A$5:$A$788)=9)*(($C$5:$C$788)=$C$811)*($J$5:$J$788))</f>
        <v>0</v>
      </c>
      <c r="K811" s="625">
        <f>SUMPRODUCT((MONTH($A$5:$A$788)=9)*(($C$5:$C$788)=$C$811)*($K$5:$K$788))</f>
        <v>0</v>
      </c>
      <c r="L811" s="626">
        <f>SUMPRODUCT((MONTH($A$5:$A$788)=9)*(($C$5:$C$788)=$C$811)*($L$5:$L$788))</f>
        <v>0</v>
      </c>
      <c r="M811" s="55" t="n"/>
    </row>
    <row r="812" ht="16.5" customFormat="1" customHeight="1" s="85">
      <c r="A812" s="811" t="inlineStr">
        <is>
          <t>9月分計</t>
        </is>
      </c>
      <c r="B812" s="811" t="n"/>
      <c r="C812" s="574" t="inlineStr">
        <is>
          <t>合計</t>
        </is>
      </c>
      <c r="D812" s="574" t="n"/>
      <c r="E812" s="317" t="n"/>
      <c r="F812" s="348">
        <f>SUM(F810:F811)</f>
        <v>34107889</v>
      </c>
      <c r="G812" s="624" t="n"/>
      <c r="H812" s="624">
        <f>SUM(H810:H811)</f>
        <v>25069442</v>
      </c>
      <c r="I812" s="624">
        <f>SUM(I810:I811)</f>
        <v>6374649</v>
      </c>
      <c r="J812" s="624">
        <f>SUM(J810:J811)</f>
        <v>637466</v>
      </c>
      <c r="K812" s="625">
        <f>SUM(K810:K811)</f>
        <v>2026332</v>
      </c>
      <c r="L812" s="626">
        <f>SUM(L810:L811)</f>
        <v>1893758</v>
      </c>
      <c r="M812" s="55" t="n"/>
    </row>
    <row r="813" ht="16.5" customFormat="1" customHeight="1" s="85">
      <c r="A813" s="755" t="n"/>
      <c r="B813" s="755" t="n"/>
      <c r="C813" s="600" t="n"/>
      <c r="D813" s="600" t="n"/>
      <c r="E813" s="600" t="n"/>
      <c r="F813" s="601" t="n"/>
      <c r="G813" s="601" t="n"/>
      <c r="H813" s="601" t="n"/>
      <c r="I813" s="601" t="n"/>
      <c r="J813" s="601" t="n"/>
      <c r="K813" s="601" t="n"/>
      <c r="L813" s="601" t="n"/>
      <c r="M813" s="55" t="n"/>
    </row>
    <row r="814" ht="16.5" customFormat="1" customHeight="1" s="85">
      <c r="A814" s="811" t="inlineStr">
        <is>
          <t>10月分計</t>
        </is>
      </c>
      <c r="B814" s="811" t="n"/>
      <c r="C814" s="574" t="inlineStr">
        <is>
          <t>費用</t>
        </is>
      </c>
      <c r="D814" s="574" t="n"/>
      <c r="E814" s="317" t="n"/>
      <c r="F814" s="348">
        <f>SUMPRODUCT((MONTH($A$5:$A$788)=10)*($F$5:$F$788))-F815</f>
        <v>11611943</v>
      </c>
      <c r="G814" s="624" t="n"/>
      <c r="H814" s="624">
        <f>SUMPRODUCT((MONTH($A$5:$A$788)=10)*($H$5:$H$788))-H815</f>
        <v>3669328</v>
      </c>
      <c r="I814" s="624">
        <f>SUMPRODUCT((MONTH($A$5:$A$788)=10)*($I$5:$I$788))-I815</f>
        <v>7032161</v>
      </c>
      <c r="J814" s="624">
        <f>SUMPRODUCT((MONTH($A$5:$A$788)=10)*($J$5:$J$788))-J815</f>
        <v>703219</v>
      </c>
      <c r="K814" s="625">
        <f>SUMPRODUCT((MONTH($A$5:$A$788)=10)*($K$5:$K$788))-K815</f>
        <v>207235</v>
      </c>
      <c r="L814" s="626">
        <f>SUMPRODUCT((MONTH($A$5:$A$788)=10)*($L$5:$L$788))-L815</f>
        <v>0</v>
      </c>
      <c r="M814" s="55" t="n"/>
    </row>
    <row r="815" ht="16.5" customFormat="1" customHeight="1" s="85">
      <c r="A815" s="811" t="inlineStr">
        <is>
          <t>10月分計</t>
        </is>
      </c>
      <c r="B815" s="811" t="n"/>
      <c r="C815" s="574" t="inlineStr">
        <is>
          <t>仮払消費税</t>
        </is>
      </c>
      <c r="D815" s="574" t="n"/>
      <c r="E815" s="317" t="n"/>
      <c r="F815" s="348">
        <f>SUMPRODUCT((MONTH($A$5:$A$788)=10)*(($C$5:$C$788)=$C$815)*($F$5:$F$788))</f>
        <v>0</v>
      </c>
      <c r="G815" s="624" t="n"/>
      <c r="H815" s="624">
        <f>SUMPRODUCT((MONTH($A$5:$A$788)=10)*(($C$5:$C$788)=$C$815)*($H$5:$H$788))</f>
        <v>0</v>
      </c>
      <c r="I815" s="624">
        <f>SUMPRODUCT((MONTH($A$5:$A$788)=10)*(($C$5:$C$788)=$C$815)*($I$5:$I$788))</f>
        <v>0</v>
      </c>
      <c r="J815" s="624">
        <f>SUMPRODUCT((MONTH($A$5:$A$788)=10)*(($C$5:$C$788)=$C$815)*($J$5:$J$788))</f>
        <v>0</v>
      </c>
      <c r="K815" s="625">
        <f>SUMPRODUCT((MONTH($A$5:$A$788)=10)*(($C$5:$C$788)=$C$815)*($K$5:$K$788))</f>
        <v>0</v>
      </c>
      <c r="L815" s="626">
        <f>SUMPRODUCT((MONTH($A$5:$A$788)=10)*(($C$5:$C$788)=$C$815)*($L$5:$L$788))</f>
        <v>0</v>
      </c>
      <c r="M815" s="55" t="n"/>
    </row>
    <row r="816" ht="16.5" customFormat="1" customHeight="1" s="85">
      <c r="A816" s="811" t="inlineStr">
        <is>
          <t>10月分計</t>
        </is>
      </c>
      <c r="B816" s="811" t="n"/>
      <c r="C816" s="574" t="inlineStr">
        <is>
          <t>合計</t>
        </is>
      </c>
      <c r="D816" s="574" t="n"/>
      <c r="E816" s="317" t="n"/>
      <c r="F816" s="348">
        <f>SUM(F814:F815)</f>
        <v>11611943</v>
      </c>
      <c r="G816" s="624" t="n"/>
      <c r="H816" s="624">
        <f>SUM(H814:H815)</f>
        <v>3669328</v>
      </c>
      <c r="I816" s="624">
        <f>SUM(I814:I815)</f>
        <v>7032161</v>
      </c>
      <c r="J816" s="624">
        <f>SUM(J814:J815)</f>
        <v>703219</v>
      </c>
      <c r="K816" s="625">
        <f>SUM(K814:K815)</f>
        <v>207235</v>
      </c>
      <c r="L816" s="626">
        <f>SUM(L814:L815)</f>
        <v>0</v>
      </c>
      <c r="M816" s="55" t="n"/>
    </row>
    <row r="817" ht="16.5" customFormat="1" customHeight="1" s="85">
      <c r="A817" s="755" t="n"/>
      <c r="B817" s="755" t="n"/>
      <c r="C817" s="600" t="n"/>
      <c r="D817" s="600" t="n"/>
      <c r="E817" s="600" t="n"/>
      <c r="F817" s="601" t="n"/>
      <c r="G817" s="601" t="n"/>
      <c r="H817" s="601" t="n"/>
      <c r="I817" s="601" t="n"/>
      <c r="J817" s="601" t="n"/>
      <c r="K817" s="601" t="n"/>
      <c r="L817" s="601" t="n"/>
      <c r="M817" s="55" t="n"/>
    </row>
    <row r="818" ht="16.5" customFormat="1" customHeight="1" s="85">
      <c r="A818" s="811" t="inlineStr">
        <is>
          <t>11月分計</t>
        </is>
      </c>
      <c r="B818" s="811" t="n"/>
      <c r="C818" s="574" t="inlineStr">
        <is>
          <t>費用</t>
        </is>
      </c>
      <c r="D818" s="574" t="n"/>
      <c r="E818" s="317" t="n"/>
      <c r="F818" s="348">
        <f>SUMPRODUCT((MONTH($A$5:$A$788)=11)*($F$5:$F$788))-F819</f>
        <v>18220486</v>
      </c>
      <c r="G818" s="624" t="n"/>
      <c r="H818" s="624">
        <f>SUMPRODUCT((MONTH($A$5:$A$788)=11)*($H$5:$H$788))-H819</f>
        <v>5055033</v>
      </c>
      <c r="I818" s="624">
        <f>SUMPRODUCT((MONTH($A$5:$A$788)=11)*($I$5:$I$788))-I819</f>
        <v>11384161</v>
      </c>
      <c r="J818" s="624">
        <f>SUMPRODUCT((MONTH($A$5:$A$788)=11)*($J$5:$J$788))-J819</f>
        <v>1138416</v>
      </c>
      <c r="K818" s="625">
        <f>SUMPRODUCT((MONTH($A$5:$A$788)=11)*($K$5:$K$788))-K819</f>
        <v>642876</v>
      </c>
      <c r="L818" s="626">
        <f>SUMPRODUCT((MONTH($A$5:$A$788)=11)*($L$5:$L$788))-L819</f>
        <v>0</v>
      </c>
      <c r="M818" s="55" t="n"/>
    </row>
    <row r="819" ht="16.5" customFormat="1" customHeight="1" s="85">
      <c r="A819" s="811" t="inlineStr">
        <is>
          <t>11月分計</t>
        </is>
      </c>
      <c r="B819" s="811" t="n"/>
      <c r="C819" s="574" t="inlineStr">
        <is>
          <t>仮払消費税</t>
        </is>
      </c>
      <c r="D819" s="574" t="n"/>
      <c r="E819" s="317" t="n"/>
      <c r="F819" s="348">
        <f>SUMPRODUCT((MONTH($A$5:$A$788)=11)*(($C$5:$C$788)=$C$819)*($F$5:$F$788))</f>
        <v>0</v>
      </c>
      <c r="G819" s="624" t="n"/>
      <c r="H819" s="624">
        <f>SUMPRODUCT((MONTH($A$5:$A$788)=11)*(($C$5:$C$788)=$C$819)*($H$5:$H$788))</f>
        <v>0</v>
      </c>
      <c r="I819" s="624">
        <f>SUMPRODUCT((MONTH($A$5:$A$788)=11)*(($C$5:$C$788)=$C$819)*($I$5:$I$788))</f>
        <v>0</v>
      </c>
      <c r="J819" s="624">
        <f>SUMPRODUCT((MONTH($A$5:$A$788)=11)*(($C$5:$C$788)=$C$819)*($J$5:$J$788))</f>
        <v>0</v>
      </c>
      <c r="K819" s="625">
        <f>SUMPRODUCT((MONTH($A$5:$A$788)=11)*(($C$5:$C$788)=$C$819)*($K$5:$K$788))</f>
        <v>0</v>
      </c>
      <c r="L819" s="626">
        <f>SUMPRODUCT((MONTH($A$5:$A$788)=11)*(($C$5:$C$788)=$C$819)*($L$5:$L$788))</f>
        <v>0</v>
      </c>
      <c r="M819" s="55" t="n"/>
    </row>
    <row r="820" ht="16.5" customFormat="1" customHeight="1" s="85">
      <c r="A820" s="811" t="inlineStr">
        <is>
          <t>11月分計</t>
        </is>
      </c>
      <c r="B820" s="811" t="n"/>
      <c r="C820" s="574" t="inlineStr">
        <is>
          <t>合計</t>
        </is>
      </c>
      <c r="D820" s="574" t="n"/>
      <c r="E820" s="317" t="n"/>
      <c r="F820" s="348">
        <f>SUM(F818:F819)</f>
        <v>18220486</v>
      </c>
      <c r="G820" s="624" t="n"/>
      <c r="H820" s="624">
        <f>SUM(H818:H819)</f>
        <v>5055033</v>
      </c>
      <c r="I820" s="624">
        <f>SUM(I818:I819)</f>
        <v>11384161</v>
      </c>
      <c r="J820" s="624">
        <f>SUM(J818:J819)</f>
        <v>1138416</v>
      </c>
      <c r="K820" s="625">
        <f>SUM(K818:K819)</f>
        <v>642876</v>
      </c>
      <c r="L820" s="626">
        <f>SUM(L818:L819)</f>
        <v>0</v>
      </c>
      <c r="M820" s="55" t="n"/>
    </row>
    <row r="821" ht="16.5" customFormat="1" customHeight="1" s="85">
      <c r="A821" s="755" t="n"/>
      <c r="B821" s="755" t="n"/>
      <c r="C821" s="600" t="n"/>
      <c r="D821" s="600" t="n"/>
      <c r="E821" s="600" t="n"/>
      <c r="F821" s="601" t="n"/>
      <c r="G821" s="601" t="n"/>
      <c r="H821" s="601" t="n"/>
      <c r="I821" s="601" t="n"/>
      <c r="J821" s="601" t="n"/>
      <c r="K821" s="601" t="n"/>
      <c r="L821" s="601" t="n"/>
      <c r="M821" s="55" t="n"/>
    </row>
    <row r="822" ht="16.5" customFormat="1" customHeight="1" s="85">
      <c r="A822" s="811" t="inlineStr">
        <is>
          <t>12月分計</t>
        </is>
      </c>
      <c r="B822" s="811" t="n"/>
      <c r="C822" s="574" t="inlineStr">
        <is>
          <t>費用</t>
        </is>
      </c>
      <c r="D822" s="574" t="n"/>
      <c r="E822" s="317" t="n"/>
      <c r="F822" s="348">
        <f>SUMPRODUCT((MONTH($A$5:$A$788)=12)*($F$5:$F$788))-F823</f>
        <v>19842345</v>
      </c>
      <c r="G822" s="624" t="n"/>
      <c r="H822" s="624">
        <f>SUMPRODUCT((MONTH($A$5:$A$788)=12)*($H$5:$H$788))-H823</f>
        <v>12872398</v>
      </c>
      <c r="I822" s="624">
        <f>SUMPRODUCT((MONTH($A$5:$A$788)=12)*($I$5:$I$788))-I823</f>
        <v>6156343</v>
      </c>
      <c r="J822" s="624">
        <f>SUMPRODUCT((MONTH($A$5:$A$788)=12)*($J$5:$J$788))-J823</f>
        <v>615637</v>
      </c>
      <c r="K822" s="625">
        <f>SUMPRODUCT((MONTH($A$5:$A$788)=12)*($K$5:$K$788))-K823</f>
        <v>197967</v>
      </c>
      <c r="L822" s="626">
        <f>SUMPRODUCT((MONTH($A$5:$A$788)=12)*($L$5:$L$788))-L823</f>
        <v>0</v>
      </c>
      <c r="M822" s="55" t="n"/>
    </row>
    <row r="823" ht="16.5" customFormat="1" customHeight="1" s="85">
      <c r="A823" s="811" t="inlineStr">
        <is>
          <t>12月分計</t>
        </is>
      </c>
      <c r="B823" s="811" t="n"/>
      <c r="C823" s="574" t="inlineStr">
        <is>
          <t>仮払消費税</t>
        </is>
      </c>
      <c r="D823" s="574" t="n"/>
      <c r="E823" s="317" t="n"/>
      <c r="F823" s="348">
        <f>SUMPRODUCT((MONTH($A$5:$A$788)=12)*(($C$5:$C$788)=$C$823)*($F$5:$F$788))</f>
        <v>0</v>
      </c>
      <c r="G823" s="624" t="n"/>
      <c r="H823" s="624">
        <f>SUMPRODUCT((MONTH($A$5:$A$788)=12)*(($C$5:$C$788)=$C$823)*($H$5:$H$788))</f>
        <v>0</v>
      </c>
      <c r="I823" s="624">
        <f>SUMPRODUCT((MONTH($A$5:$A$788)=12)*(($C$5:$C$788)=$C$823)*($I$5:$I$788))</f>
        <v>0</v>
      </c>
      <c r="J823" s="624">
        <f>SUMPRODUCT((MONTH($A$5:$A$788)=12)*(($C$5:$C$788)=$C$823)*($J$5:$J$788))</f>
        <v>0</v>
      </c>
      <c r="K823" s="625">
        <f>SUMPRODUCT((MONTH($A$5:$A$788)=12)*(($C$5:$C$788)=$C$823)*($K$5:$K$788))</f>
        <v>0</v>
      </c>
      <c r="L823" s="626">
        <f>SUMPRODUCT((MONTH($A$5:$A$788)=12)*(($C$5:$C$788)=$C$823)*($L$5:$L$788))</f>
        <v>0</v>
      </c>
      <c r="M823" s="55" t="n"/>
    </row>
    <row r="824" ht="16.5" customFormat="1" customHeight="1" s="85">
      <c r="A824" s="811" t="inlineStr">
        <is>
          <t>12月分計</t>
        </is>
      </c>
      <c r="B824" s="811" t="n"/>
      <c r="C824" s="574" t="inlineStr">
        <is>
          <t>合計</t>
        </is>
      </c>
      <c r="D824" s="574" t="n"/>
      <c r="E824" s="317" t="n"/>
      <c r="F824" s="348">
        <f>SUM(F822:F823)</f>
        <v>19842345</v>
      </c>
      <c r="G824" s="624" t="n"/>
      <c r="H824" s="624">
        <f>SUM(H822:H823)</f>
        <v>12872398</v>
      </c>
      <c r="I824" s="624">
        <f>SUM(I822:I823)</f>
        <v>6156343</v>
      </c>
      <c r="J824" s="624">
        <f>SUM(J822:J823)</f>
        <v>615637</v>
      </c>
      <c r="K824" s="625">
        <f>SUM(K822:K823)</f>
        <v>197967</v>
      </c>
      <c r="L824" s="626">
        <f>SUM(L822:L823)</f>
        <v>0</v>
      </c>
      <c r="M824" s="55" t="n"/>
    </row>
    <row r="825" ht="16.5" customFormat="1" customHeight="1" s="85">
      <c r="A825" s="755" t="n"/>
      <c r="B825" s="755" t="n"/>
      <c r="C825" s="600" t="n"/>
      <c r="D825" s="600" t="n"/>
      <c r="E825" s="600" t="n"/>
      <c r="F825" s="601" t="n"/>
      <c r="G825" s="601" t="n"/>
      <c r="H825" s="601" t="n"/>
      <c r="I825" s="601" t="n"/>
      <c r="J825" s="601" t="n"/>
      <c r="K825" s="601" t="n"/>
      <c r="L825" s="601" t="n"/>
      <c r="M825" s="55" t="n"/>
    </row>
    <row r="826" ht="16.5" customFormat="1" customHeight="1" s="85">
      <c r="A826" s="811" t="inlineStr">
        <is>
          <t>1月分計</t>
        </is>
      </c>
      <c r="B826" s="811" t="n"/>
      <c r="C826" s="574" t="inlineStr">
        <is>
          <t>費用</t>
        </is>
      </c>
      <c r="D826" s="574" t="n"/>
      <c r="E826" s="317" t="n"/>
      <c r="F826" s="348">
        <f>SUMPRODUCT((MONTH($A$5:$A$788)=1)*($F$5:$F$788))-F827</f>
        <v>10995488</v>
      </c>
      <c r="G826" s="624" t="n"/>
      <c r="H826" s="624">
        <f>SUMPRODUCT((MONTH($A$5:$A$788)=1)*($H$5:$H$788))-H827</f>
        <v>3017013</v>
      </c>
      <c r="I826" s="624">
        <f>SUMPRODUCT((MONTH($A$5:$A$788)=1)*($I$5:$I$788))-I827</f>
        <v>6997070</v>
      </c>
      <c r="J826" s="624">
        <f>SUMPRODUCT((MONTH($A$5:$A$788)=1)*($J$5:$J$788))-J827</f>
        <v>699708</v>
      </c>
      <c r="K826" s="625">
        <f>SUMPRODUCT((MONTH($A$5:$A$788)=1)*($K$5:$K$788))-K827</f>
        <v>281697</v>
      </c>
      <c r="L826" s="626">
        <f>SUMPRODUCT((MONTH($A$5:$A$788)=1)*($L$5:$L$788))-L827</f>
        <v>0</v>
      </c>
      <c r="M826" s="55" t="n"/>
    </row>
    <row r="827" ht="16.5" customFormat="1" customHeight="1" s="85">
      <c r="A827" s="811" t="inlineStr">
        <is>
          <t>1月分計</t>
        </is>
      </c>
      <c r="B827" s="811" t="n"/>
      <c r="C827" s="574" t="inlineStr">
        <is>
          <t>仮払消費税</t>
        </is>
      </c>
      <c r="D827" s="574" t="n"/>
      <c r="E827" s="317" t="n"/>
      <c r="F827" s="348">
        <f>SUMPRODUCT((MONTH($A$5:$A$788)=1)*(($C$5:$C$788)=$C$827)*($F$5:$F$788))</f>
        <v>0</v>
      </c>
      <c r="G827" s="624" t="n"/>
      <c r="H827" s="624">
        <f>SUMPRODUCT((MONTH($A$5:$A$788)=1)*(($C$5:$C$788)=$C$827)*($H$5:$H$788))</f>
        <v>0</v>
      </c>
      <c r="I827" s="624">
        <f>SUMPRODUCT((MONTH($A$5:$A$788)=1)*(($C$5:$C$788)=$C$827)*($I$5:$I$788))</f>
        <v>0</v>
      </c>
      <c r="J827" s="624">
        <f>SUMPRODUCT((MONTH($A$5:$A$788)=1)*(($C$5:$C$788)=$C$827)*($J$5:$J$788))</f>
        <v>0</v>
      </c>
      <c r="K827" s="625">
        <f>SUMPRODUCT((MONTH($A$5:$A$788)=1)*(($C$5:$C$788)=$C$827)*($K$5:$K$788))</f>
        <v>0</v>
      </c>
      <c r="L827" s="626">
        <f>SUMPRODUCT((MONTH($A$5:$A$788)=1)*(($C$5:$C$788)=$C$827)*($L$5:$L$788))</f>
        <v>0</v>
      </c>
      <c r="M827" s="55" t="n"/>
    </row>
    <row r="828" ht="16.5" customFormat="1" customHeight="1" s="85">
      <c r="A828" s="811" t="inlineStr">
        <is>
          <t>1月分計</t>
        </is>
      </c>
      <c r="B828" s="811" t="n"/>
      <c r="C828" s="574" t="inlineStr">
        <is>
          <t>合計</t>
        </is>
      </c>
      <c r="D828" s="574" t="n"/>
      <c r="E828" s="317" t="n"/>
      <c r="F828" s="348">
        <f>SUM(F826:F827)</f>
        <v>10995488</v>
      </c>
      <c r="G828" s="624" t="n"/>
      <c r="H828" s="624">
        <f>SUM(H826:H827)</f>
        <v>3017013</v>
      </c>
      <c r="I828" s="624">
        <f>SUM(I826:I827)</f>
        <v>6997070</v>
      </c>
      <c r="J828" s="624">
        <f>SUM(J826:J827)</f>
        <v>699708</v>
      </c>
      <c r="K828" s="625">
        <f>SUM(K826:K827)</f>
        <v>281697</v>
      </c>
      <c r="L828" s="626">
        <f>SUM(L826:L827)</f>
        <v>0</v>
      </c>
      <c r="M828" s="55" t="n"/>
    </row>
    <row r="829" ht="16.5" customFormat="1" customHeight="1" s="85">
      <c r="A829" s="755" t="n"/>
      <c r="B829" s="755" t="n"/>
      <c r="C829" s="600" t="n"/>
      <c r="D829" s="600" t="n"/>
      <c r="E829" s="600" t="n"/>
      <c r="F829" s="601" t="n"/>
      <c r="G829" s="601" t="n"/>
      <c r="H829" s="601" t="n"/>
      <c r="I829" s="601" t="n"/>
      <c r="J829" s="601" t="n"/>
      <c r="K829" s="601" t="n"/>
      <c r="L829" s="601" t="n"/>
      <c r="M829" s="55" t="n"/>
    </row>
    <row r="830" ht="16.5" customFormat="1" customHeight="1" s="85">
      <c r="A830" s="811" t="inlineStr">
        <is>
          <t>2月分計</t>
        </is>
      </c>
      <c r="B830" s="811" t="n"/>
      <c r="C830" s="574" t="inlineStr">
        <is>
          <t>費用</t>
        </is>
      </c>
      <c r="D830" s="574" t="n"/>
      <c r="E830" s="317" t="n"/>
      <c r="F830" s="348">
        <f>SUMPRODUCT((MONTH($A$5:$A$788)=2)*($F$5:$F$788))-F831</f>
        <v>9172169</v>
      </c>
      <c r="G830" s="624" t="n"/>
      <c r="H830" s="624">
        <f>SUMPRODUCT((MONTH($A$5:$A$788)=2)*($H$5:$H$788))-H831</f>
        <v>2659195</v>
      </c>
      <c r="I830" s="624">
        <f>SUMPRODUCT((MONTH($A$5:$A$788)=2)*($I$5:$I$788))-I831</f>
        <v>5775773</v>
      </c>
      <c r="J830" s="624">
        <f>SUMPRODUCT((MONTH($A$5:$A$788)=2)*($J$5:$J$788))-J831</f>
        <v>577578</v>
      </c>
      <c r="K830" s="625">
        <f>SUMPRODUCT((MONTH($A$5:$A$788)=2)*($K$5:$K$788))-K831</f>
        <v>159623</v>
      </c>
      <c r="L830" s="626">
        <f>SUMPRODUCT((MONTH($A$5:$A$788)=2)*($L$5:$L$788))-L831</f>
        <v>0</v>
      </c>
      <c r="M830" s="55" t="n"/>
    </row>
    <row r="831" ht="16.5" customFormat="1" customHeight="1" s="85">
      <c r="A831" s="811" t="inlineStr">
        <is>
          <t>2月分計</t>
        </is>
      </c>
      <c r="B831" s="811" t="n"/>
      <c r="C831" s="574" t="inlineStr">
        <is>
          <t>仮払消費税</t>
        </is>
      </c>
      <c r="D831" s="574" t="n"/>
      <c r="E831" s="317" t="n"/>
      <c r="F831" s="348">
        <f>SUMPRODUCT((MONTH($A$5:$A$788)=2)*(($C$5:$C$788)=$C$831)*($F$5:$F$788))</f>
        <v>0</v>
      </c>
      <c r="G831" s="624" t="n"/>
      <c r="H831" s="624">
        <f>SUMPRODUCT((MONTH($A$5:$A$788)=2)*(($C$5:$C$788)=$C$831)*($H$5:$H$788))</f>
        <v>0</v>
      </c>
      <c r="I831" s="624">
        <f>SUMPRODUCT((MONTH($A$5:$A$788)=2)*(($C$5:$C$788)=$C$831)*($I$5:$I$788))</f>
        <v>0</v>
      </c>
      <c r="J831" s="624">
        <f>SUMPRODUCT((MONTH($A$5:$A$788)=2)*(($C$5:$C$788)=$C$831)*($J$5:$J$788))</f>
        <v>0</v>
      </c>
      <c r="K831" s="625">
        <f>SUMPRODUCT((MONTH($A$5:$A$788)=2)*(($C$5:$C$788)=$C$831)*($K$5:$K$788))</f>
        <v>0</v>
      </c>
      <c r="L831" s="626">
        <f>SUMPRODUCT((MONTH($A$5:$A$788)=2)*(($C$5:$C$788)=$C$831)*($L$5:$L$788))</f>
        <v>0</v>
      </c>
      <c r="M831" s="55" t="n"/>
    </row>
    <row r="832" ht="16.5" customFormat="1" customHeight="1" s="85">
      <c r="A832" s="811" t="inlineStr">
        <is>
          <t>2月分計</t>
        </is>
      </c>
      <c r="B832" s="811" t="n"/>
      <c r="C832" s="574" t="inlineStr">
        <is>
          <t>合計</t>
        </is>
      </c>
      <c r="D832" s="574" t="n"/>
      <c r="E832" s="317" t="n"/>
      <c r="F832" s="348">
        <f>SUM(F830:F831)</f>
        <v>9172169</v>
      </c>
      <c r="G832" s="624" t="n"/>
      <c r="H832" s="624">
        <f>SUM(H830:H831)</f>
        <v>2659195</v>
      </c>
      <c r="I832" s="624">
        <f>SUM(I830:I831)</f>
        <v>5775773</v>
      </c>
      <c r="J832" s="624">
        <f>SUM(J830:J831)</f>
        <v>577578</v>
      </c>
      <c r="K832" s="625">
        <f>SUM(K830:K831)</f>
        <v>159623</v>
      </c>
      <c r="L832" s="626">
        <f>SUM(L830:L831)</f>
        <v>0</v>
      </c>
      <c r="M832" s="55" t="n"/>
    </row>
    <row r="833" ht="16.5" customFormat="1" customHeight="1" s="85">
      <c r="A833" s="755" t="n"/>
      <c r="B833" s="755" t="n"/>
      <c r="C833" s="600" t="n"/>
      <c r="D833" s="600" t="n"/>
      <c r="E833" s="600" t="n"/>
      <c r="F833" s="601" t="n"/>
      <c r="G833" s="601" t="n"/>
      <c r="H833" s="601" t="n"/>
      <c r="I833" s="601" t="n"/>
      <c r="J833" s="601" t="n"/>
      <c r="K833" s="601" t="n"/>
      <c r="L833" s="601" t="n"/>
      <c r="M833" s="55" t="n"/>
    </row>
    <row r="834" ht="16.5" customFormat="1" customHeight="1" s="85">
      <c r="A834" s="811" t="inlineStr">
        <is>
          <t>3月分計</t>
        </is>
      </c>
      <c r="B834" s="811" t="n"/>
      <c r="C834" s="574" t="inlineStr">
        <is>
          <t>費用</t>
        </is>
      </c>
      <c r="D834" s="574" t="n"/>
      <c r="E834" s="317" t="n"/>
      <c r="F834" s="348">
        <f>SUMPRODUCT((MONTH($A$5:$A$788)=3)*($F$5:$F$788))-F835</f>
        <v>14122951</v>
      </c>
      <c r="G834" s="624" t="n"/>
      <c r="H834" s="624">
        <f>SUMPRODUCT((MONTH($A$5:$A$788)=3)*($H$5:$H$788))-H835</f>
        <v>2941922</v>
      </c>
      <c r="I834" s="624">
        <f>SUMPRODUCT((MONTH($A$5:$A$788)=3)*($I$5:$I$788))-I835</f>
        <v>10007033</v>
      </c>
      <c r="J834" s="624">
        <f>SUMPRODUCT((MONTH($A$5:$A$788)=3)*($J$5:$J$788))-J835</f>
        <v>1000707</v>
      </c>
      <c r="K834" s="625">
        <f>SUMPRODUCT((MONTH($A$5:$A$788)=3)*($K$5:$K$788))-K835</f>
        <v>173289</v>
      </c>
      <c r="L834" s="626">
        <f>SUMPRODUCT((MONTH($A$5:$A$788)=3)*($L$5:$L$788))-L835</f>
        <v>0</v>
      </c>
      <c r="M834" s="55" t="n"/>
    </row>
    <row r="835" ht="16.5" customFormat="1" customHeight="1" s="85">
      <c r="A835" s="811" t="inlineStr">
        <is>
          <t>3月分計</t>
        </is>
      </c>
      <c r="B835" s="811" t="n"/>
      <c r="C835" s="574" t="inlineStr">
        <is>
          <t>仮払消費税</t>
        </is>
      </c>
      <c r="D835" s="574" t="n"/>
      <c r="E835" s="317" t="n"/>
      <c r="F835" s="348">
        <f>SUMPRODUCT((MONTH($A$5:$A$788)=3)*(($C$5:$C$788)=$C$835)*($F$5:$F$788))</f>
        <v>0</v>
      </c>
      <c r="G835" s="624" t="n"/>
      <c r="H835" s="624">
        <f>SUMPRODUCT((MONTH($A$5:$A$788)=3)*(($C$5:$C$788)=$C$835)*($H$5:$H$788))</f>
        <v>0</v>
      </c>
      <c r="I835" s="624">
        <f>SUMPRODUCT((MONTH($A$5:$A$788)=3)*(($C$5:$C$788)=$C$835)*($I$5:$I$788))</f>
        <v>0</v>
      </c>
      <c r="J835" s="624">
        <f>SUMPRODUCT((MONTH($A$5:$A$788)=3)*(($C$5:$C$788)=$C$835)*($J$5:$J$788))</f>
        <v>0</v>
      </c>
      <c r="K835" s="625">
        <f>SUMPRODUCT((MONTH($A$5:$A$788)=3)*(($C$5:$C$788)=$C$835)*($K$5:$K$788))</f>
        <v>0</v>
      </c>
      <c r="L835" s="626">
        <f>SUMPRODUCT((MONTH($A$5:$A$788)=3)*(($C$5:$C$788)=$C$835)*($L$5:$L$788))</f>
        <v>0</v>
      </c>
      <c r="M835" s="55" t="n"/>
    </row>
    <row r="836" ht="16.5" customFormat="1" customHeight="1" s="85">
      <c r="A836" s="811" t="inlineStr">
        <is>
          <t>3月分計</t>
        </is>
      </c>
      <c r="B836" s="811" t="n"/>
      <c r="C836" s="574" t="inlineStr">
        <is>
          <t>合計</t>
        </is>
      </c>
      <c r="D836" s="574" t="n"/>
      <c r="E836" s="317" t="n"/>
      <c r="F836" s="348">
        <f>SUM(F834:F835)</f>
        <v>14122951</v>
      </c>
      <c r="G836" s="624" t="n"/>
      <c r="H836" s="624">
        <f>SUM(H834:H835)</f>
        <v>2941922</v>
      </c>
      <c r="I836" s="624">
        <f>SUM(I834:I835)</f>
        <v>10007033</v>
      </c>
      <c r="J836" s="624">
        <f>SUM(J834:J835)</f>
        <v>1000707</v>
      </c>
      <c r="K836" s="625">
        <f>SUM(K834:K835)</f>
        <v>173289</v>
      </c>
      <c r="L836" s="626">
        <f>SUM(L834:L835)</f>
        <v>0</v>
      </c>
      <c r="M836" s="55" t="n"/>
    </row>
    <row r="837" ht="16.5" customFormat="1" customHeight="1" s="85">
      <c r="A837" s="755" t="n"/>
      <c r="B837" s="755" t="n"/>
      <c r="C837" s="600" t="n"/>
      <c r="D837" s="600" t="n"/>
      <c r="E837" s="600" t="n"/>
      <c r="F837" s="601" t="n"/>
      <c r="G837" s="601" t="n"/>
      <c r="H837" s="601" t="n"/>
      <c r="I837" s="601" t="n"/>
      <c r="J837" s="601" t="n"/>
      <c r="K837" s="601" t="n"/>
      <c r="L837" s="601" t="n"/>
      <c r="M837" s="55" t="n"/>
    </row>
    <row r="838" ht="16.5" customFormat="1" customHeight="1" s="85">
      <c r="A838" s="811" t="inlineStr">
        <is>
          <t>総合計</t>
        </is>
      </c>
      <c r="B838" s="811" t="n"/>
      <c r="C838" s="574" t="inlineStr">
        <is>
          <t>費用</t>
        </is>
      </c>
      <c r="D838" s="574" t="n"/>
      <c r="E838" s="317" t="n"/>
      <c r="F838" s="348">
        <f>F790+F794+F798+F802+F806+F810+F814+F818+F822+F826+F830+F834</f>
        <v>167743952</v>
      </c>
      <c r="G838" s="624" t="n"/>
      <c r="H838" s="624">
        <f>H790+H794+H798+H802+H806+H810+H814+H818+H822+H826+H830+H834</f>
        <v>71247332</v>
      </c>
      <c r="I838" s="624">
        <f>I790+I794+I798+I802+I806+I810+I814+I818+I822+I826+I830+I834</f>
        <v>82943285</v>
      </c>
      <c r="J838" s="624">
        <f>J790+J794+J798+J802+J806+J810+J814+J818+J822+J826+J830+J834</f>
        <v>8294346</v>
      </c>
      <c r="K838" s="625">
        <f>K790+K794+K798+K802+K806+K810+K814+K818+K822+K826+K830+K834</f>
        <v>5258989</v>
      </c>
      <c r="L838" s="626">
        <f>L790+L794+L798+L802+L806+L810+L814+L818+L822+L826+L830+L834</f>
        <v>2845464</v>
      </c>
      <c r="M838" s="55" t="n"/>
    </row>
    <row r="839" ht="16.5" customFormat="1" customHeight="1" s="85">
      <c r="A839" s="811" t="inlineStr">
        <is>
          <t>総合計</t>
        </is>
      </c>
      <c r="B839" s="811" t="n"/>
      <c r="C839" s="574" t="inlineStr">
        <is>
          <t>仮払消費税</t>
        </is>
      </c>
      <c r="D839" s="574" t="n"/>
      <c r="E839" s="317" t="n"/>
      <c r="F839" s="348">
        <f>F791+F795+F799+F803+F807+F811+F815+F819+F823+F827+F831+F835</f>
        <v>0</v>
      </c>
      <c r="G839" s="624" t="n"/>
      <c r="H839" s="624">
        <f>H791+H795+H799+H803+H807+H811+H815+H819+H823+H827+H831+H835</f>
        <v>0</v>
      </c>
      <c r="I839" s="624">
        <f>I791+I795+I799+I803+I807+I811+I815+I819+I823+I827+I831+I835</f>
        <v>0</v>
      </c>
      <c r="J839" s="624">
        <f>J791+J795+J799+J803+J807+J811+J815+J819+J823+J827+J831+J835</f>
        <v>0</v>
      </c>
      <c r="K839" s="625">
        <f>K791+K795+K799+K803+K807+K811+K815+K819+K823+K827+K831+K835</f>
        <v>0</v>
      </c>
      <c r="L839" s="626">
        <f>L791+L795+L799+L803+L807+L811+L815+L819+L823+L827+L831+L835</f>
        <v>0</v>
      </c>
      <c r="M839" s="55" t="n"/>
    </row>
    <row r="840" ht="16.5" customFormat="1" customHeight="1" s="85">
      <c r="A840" s="811" t="inlineStr">
        <is>
          <t>総合計</t>
        </is>
      </c>
      <c r="B840" s="811" t="n"/>
      <c r="C840" s="574" t="inlineStr">
        <is>
          <t>合計</t>
        </is>
      </c>
      <c r="D840" s="574" t="n"/>
      <c r="E840" s="317" t="n"/>
      <c r="F840" s="348">
        <f>SUM(F838:F839)</f>
        <v>167743952</v>
      </c>
      <c r="G840" s="624" t="n"/>
      <c r="H840" s="624">
        <f>SUM(H838:H839)</f>
        <v>71247332</v>
      </c>
      <c r="I840" s="624">
        <f>SUM(I838:I839)</f>
        <v>82943285</v>
      </c>
      <c r="J840" s="624">
        <f>SUM(J838:J839)</f>
        <v>8294346</v>
      </c>
      <c r="K840" s="625">
        <f>SUM(K838:K839)</f>
        <v>5258989</v>
      </c>
      <c r="L840" s="626">
        <f>SUM(L838:L839)</f>
        <v>2845464</v>
      </c>
      <c r="M840" s="55" t="n"/>
    </row>
    <row r="841">
      <c r="H841" s="601" t="n"/>
      <c r="I841" s="601" t="n"/>
      <c r="J841" s="601" t="n"/>
      <c r="K841" s="601" t="n"/>
      <c r="L841" s="601" t="n"/>
    </row>
    <row r="842">
      <c r="H842" s="601" t="n"/>
      <c r="I842" s="601" t="n"/>
      <c r="J842" s="601" t="n"/>
      <c r="K842" s="601" t="n"/>
      <c r="L842" s="601" t="n"/>
    </row>
  </sheetData>
  <autoFilter ref="A4:U788"/>
  <mergeCells count="1">
    <mergeCell ref="A1:K1"/>
  </mergeCells>
  <conditionalFormatting sqref="A5:L788">
    <cfRule type="expression" priority="1" dxfId="6">
      <formula>$P5="昨年実績"</formula>
    </cfRule>
    <cfRule type="expression" priority="2" dxfId="7">
      <formula>$P5="確認済"</formula>
    </cfRule>
    <cfRule type="expression" priority="3" dxfId="8">
      <formula>$P5="支払なし"</formula>
    </cfRule>
  </conditionalFormatting>
  <conditionalFormatting sqref="Q5:Q788">
    <cfRule type="expression" priority="4" dxfId="4">
      <formula>$Q5="※未登録"</formula>
    </cfRule>
  </conditionalFormatting>
  <dataValidations xWindow="88" yWindow="678" count="4">
    <dataValidation sqref="B451:B453 C6:C285 C287:C788" showDropDown="0" showInputMessage="1" showErrorMessage="1" allowBlank="1" type="list">
      <formula1>中項目</formula1>
    </dataValidation>
    <dataValidation sqref="E4:E11 E14:E43 E45:E46 E48:E54 E56 E61:E76 E78:E89 E91:E95 E99:E105 E108:E115 E117:E118 E123:E130 E132:E141 E144 E147:E157 E159:E165 E167:E168 E171:E173 E175:E178 E180:E186 E188:E189 E192:E205 E207:E211 E213:E219 E221:E222 E225:E238 E241:E250 E252:E253 E255:E262 E265:E268 E270:E271 E273:E276 E279 E282:E283 E286:E288 E291 E293:E309 E312:E315 E317 E319:E328 E331 E333 E335:E336 E339 E341:E346 E348:E359 E361:E365 E367:E388 E390:E403 E406:E417 E419:E420 E422:E437 E439:E440 E443:E444 E446:E451 E456:E458 E460:E465 E467:E479 E481:E483 E487:E497 E500:E505 E508:E532 E534:E537 E539:E565 E568 E570:E576 E578:E583 E585:E586 E589:E599 E601:E619 E621:E627 E630:E634 E637:E669 E671:E672 E674 E676:E678 E681 E683:E688 E690 E692:E719 E724:E64456" showDropDown="0" showInputMessage="1" showErrorMessage="1" allowBlank="1" imeMode="on"/>
    <dataValidation sqref="A1:B447 A448:A453 A454:B1048576 B448:B450 F1:G10 F11 F14:F17 F18:G26 F27:F29 F32:G80 F82:F125 F127:F146 F148 F149:G233 F234:F236 F240 F242:G268 F271:G338 F339 F341 F342:G346 F348:G367 F369:G500 F501 F503:F505 F506:G529 F531:G574 F576 F577:G645 F647:F666 F667:G668 F669:F681 F684:F689 F690:G696 F697:F699 F701:F711 F712:G712 F713:F719 F724:G1048576 G11:G17 G27:G31 G81:G148 G234:G241 G269:G270 G339:G341 G347 G368 G501:G505 G530 G575:G576 G646:G666 G669:G689 G697:G711 G713:G723" showDropDown="0" showInputMessage="1" showErrorMessage="0" allowBlank="1"/>
    <dataValidation sqref="P5:P788" showDropDown="0" showInputMessage="0" showErrorMessage="0" allowBlank="1" type="list">
      <formula1>=科目表!$I$5:$I$8</formula1>
    </dataValidation>
  </dataValidations>
  <printOptions horizontalCentered="1"/>
  <pageMargins left="0.2362204724409449" right="0.1968503937007874" top="0.5905511811023623" bottom="0.3937007874015748" header="0.1968503937007874" footer="0.3149606299212598"/>
  <pageSetup orientation="landscape" paperSize="9" scale="64" horizontalDpi="300" verticalDpi="300"/>
  <rowBreaks count="7" manualBreakCount="7">
    <brk id="184" min="0" max="16383" man="1"/>
    <brk id="236" min="0" max="16383" man="1"/>
    <brk id="499" min="0" max="12" man="1"/>
    <brk id="587" min="0" max="12" man="1"/>
    <brk id="640" min="0" max="16383" man="1"/>
    <brk id="739" min="1" max="12" man="1"/>
    <brk id="788" min="1" max="12" man="1"/>
  </rowBreaks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U1891"/>
  <sheetViews>
    <sheetView showGridLines="0" tabSelected="0" view="pageBreakPreview" zoomScaleNormal="100" zoomScaleSheetLayoutView="100" workbookViewId="0">
      <pane ySplit="4" topLeftCell="A13" activePane="bottomLeft" state="frozen"/>
      <selection pane="bottomLeft" activeCell="B4" sqref="B4"/>
    </sheetView>
  </sheetViews>
  <sheetFormatPr baseColWidth="8" defaultRowHeight="12"/>
  <cols>
    <col width="10.5" bestFit="1" customWidth="1" style="812" min="1" max="1"/>
    <col width="10.5" customWidth="1" style="812" min="2" max="2"/>
    <col width="10.875" customWidth="1" style="79" min="3" max="4"/>
    <col width="46.75" customWidth="1" style="79" min="5" max="5"/>
    <col width="14.625" customWidth="1" style="80" min="6" max="6"/>
    <col width="13" customWidth="1" style="80" min="7" max="7"/>
    <col width="11.5" customWidth="1" style="80" min="8" max="12"/>
    <col width="10" customWidth="1" style="66" min="13" max="13"/>
    <col width="11.375" customWidth="1" style="66" min="14" max="14"/>
    <col width="9" customWidth="1" style="66" min="15" max="16384"/>
    <col width="10" customWidth="1" style="186" min="16" max="16"/>
    <col width="18" customWidth="1" style="186" min="17" max="17"/>
    <col width="11" customWidth="1" style="186" min="18" max="18"/>
    <col width="20" customWidth="1" style="186" min="19" max="19"/>
    <col width="20" customWidth="1" style="186" min="20" max="20"/>
    <col width="8" customWidth="1" style="186" min="21" max="21"/>
  </cols>
  <sheetData>
    <row r="1" ht="22.5" customHeight="1" s="186">
      <c r="A1" s="705" t="inlineStr">
        <is>
          <t xml:space="preserve">【　決　算　整　理　】　令　和　８　年　度　業　務　経　理　経　費　給　付　区　分　別　執　行　額　一　覧　表　</t>
        </is>
      </c>
      <c r="L1" s="705" t="n"/>
    </row>
    <row r="2" ht="22.5" customHeight="1" s="186">
      <c r="A2" s="813" t="n"/>
      <c r="B2" s="813" t="n"/>
      <c r="C2" s="1" t="n"/>
      <c r="D2" s="1" t="n"/>
      <c r="E2" s="1" t="n"/>
      <c r="F2" s="1" t="n"/>
      <c r="H2" s="1" t="n"/>
      <c r="I2" s="46" t="n"/>
      <c r="J2" s="1" t="n"/>
      <c r="K2" s="1" t="inlineStr">
        <is>
          <t>（単位:円）</t>
        </is>
      </c>
      <c r="L2" s="1" t="n"/>
    </row>
    <row r="3" ht="49.5" customHeight="1" s="186">
      <c r="A3" s="814" t="n"/>
      <c r="B3" s="814" t="n"/>
      <c r="C3" s="60" t="n"/>
      <c r="D3" s="60" t="n"/>
      <c r="E3" s="60" t="n"/>
      <c r="F3" s="61" t="n"/>
      <c r="G3" s="62" t="n"/>
      <c r="H3" s="63" t="n"/>
      <c r="I3" s="63" t="n"/>
      <c r="J3" s="63" t="n"/>
      <c r="K3" s="64" t="n"/>
      <c r="L3" s="65" t="n"/>
      <c r="P3" s="728" t="inlineStr">
        <is>
          <t>←支払担当者が「未確認」、経理担当者が伝票確認後に「確認済」</t>
        </is>
      </c>
    </row>
    <row r="4" ht="75" customFormat="1" customHeight="1" s="72">
      <c r="A4" s="815" t="inlineStr">
        <is>
          <t>支出日</t>
        </is>
      </c>
      <c r="B4" s="816" t="inlineStr">
        <is>
          <t>決算整理
区分</t>
        </is>
      </c>
      <c r="C4" s="67" t="inlineStr">
        <is>
          <t>中項目</t>
        </is>
      </c>
      <c r="D4" s="84" t="inlineStr">
        <is>
          <t>小項目</t>
        </is>
      </c>
      <c r="E4" s="67" t="inlineStr">
        <is>
          <t>摘要</t>
        </is>
      </c>
      <c r="F4" s="68" t="inlineStr">
        <is>
          <t>執行額</t>
        </is>
      </c>
      <c r="G4" s="68" t="inlineStr">
        <is>
          <t>経費区分</t>
        </is>
      </c>
      <c r="H4" s="69" t="inlineStr">
        <is>
          <t xml:space="preserve">短期
</t>
        </is>
      </c>
      <c r="I4" s="69" t="inlineStr">
        <is>
          <t xml:space="preserve">厚年
</t>
        </is>
      </c>
      <c r="J4" s="69" t="inlineStr">
        <is>
          <t xml:space="preserve">経過的
</t>
        </is>
      </c>
      <c r="K4" s="70" t="inlineStr">
        <is>
          <t xml:space="preserve">退職等
</t>
        </is>
      </c>
      <c r="L4" s="71" t="inlineStr">
        <is>
          <t xml:space="preserve">（再掲）
退職等単独
</t>
        </is>
      </c>
      <c r="P4" s="817" t="inlineStr">
        <is>
          <t>状態</t>
        </is>
      </c>
      <c r="Q4" s="817" t="inlineStr">
        <is>
          <t>費目
(自動)</t>
        </is>
      </c>
      <c r="R4" s="817" t="inlineStr">
        <is>
          <t>長期額
(自動)</t>
        </is>
      </c>
      <c r="S4" s="817" t="inlineStr">
        <is>
          <t>短期
通番キー</t>
        </is>
      </c>
      <c r="T4" s="817" t="inlineStr">
        <is>
          <t>長期
通番キー</t>
        </is>
      </c>
      <c r="U4" s="817" t="inlineStr">
        <is>
          <t>計上列
(自動)</t>
        </is>
      </c>
    </row>
    <row r="5" ht="16.5" customFormat="1" customHeight="1" s="43">
      <c r="A5" s="760" t="n">
        <v>43951</v>
      </c>
      <c r="B5" s="760" t="inlineStr">
        <is>
          <t>未払金</t>
        </is>
      </c>
      <c r="C5" s="762" t="inlineStr">
        <is>
          <t>委託費</t>
        </is>
      </c>
      <c r="D5" s="762" t="n"/>
      <c r="E5" s="762" t="inlineStr">
        <is>
          <t>人・給システム、庶務事務システム及び端末の使用料（短期分）</t>
        </is>
      </c>
      <c r="F5" s="807" t="n">
        <v>17630</v>
      </c>
      <c r="G5" s="807" t="n">
        <v>2</v>
      </c>
      <c r="H5" s="818">
        <f>IF(G5=1,F5-I5-J5-K5,IF(G5=2,F5,0))</f>
        <v>17630</v>
      </c>
      <c r="I5" s="818">
        <f>ROUND(IF(G5=1,F5*10/23,IF(G5=3,F5-J5-K5,IF(G5=4,F5,IF(G5=5,F5*10/11,IF(G5=7,F5*10/11,0))))),0)</f>
        <v>0</v>
      </c>
      <c r="J5" s="818">
        <f>ROUND(IF(G5=1,F5/23,IF(G5=3,F5/12,IF(G5=5,F5-I5,IF(G5=8,F5,0)))),0)</f>
        <v>0</v>
      </c>
      <c r="K5" s="819">
        <f>ROUND(IF(G5=1,F5/23,IF(G5=3,F5/12,IF(G5=6,F5,IF(G5=7,F5-I5,0)))),0)</f>
        <v>0</v>
      </c>
      <c r="L5" s="820">
        <f>IF(G5=6,F5,0)</f>
        <v>0</v>
      </c>
      <c r="N5" s="85" t="inlineStr">
        <is>
          <t>非常勤職員手当</t>
        </is>
      </c>
      <c r="P5" s="768" t="inlineStr">
        <is>
          <t>昨年実績</t>
        </is>
      </c>
      <c r="Q5" s="769" t="str">
        <f>IF($F5="","",IFERROR(VLOOKUP($C5&amp;"|"&amp;$D5,科目表!$A$5:$B$200,2,FALSE),"※未登録"))</f>
        <v>委託費</v>
      </c>
      <c r="R5" s="769">
        <f>IF($F5="","",$I5+$J5+$K5)</f>
        <v>0</v>
      </c>
      <c r="S5" s="769" t="str">
        <f>IF(OR($F5="",$P5="支払なし",$H5=0,$Q5=""),"",$Q5&amp;"|S|"&amp;(COUNTIF(S$4:S4,$Q5&amp;"|S|*")+1))</f>
        <v>委託費|S|1</v>
      </c>
      <c r="T5" s="769" t="str">
        <f>IF(OR($F5="",$P5="支払なし",$R5=0,$Q5=""),"",$Q5&amp;"|L|"&amp;(COUNTIF(T$4:T4,$Q5&amp;"|L|*")+1))</f>
        <v/>
      </c>
      <c r="U5" s="769">
        <f>IF($F5="","",13)</f>
        <v>13</v>
      </c>
    </row>
    <row r="6" ht="16.5" customFormat="1" customHeight="1" s="418">
      <c r="A6" s="760" t="n">
        <v>44666</v>
      </c>
      <c r="B6" s="760" t="inlineStr">
        <is>
          <t>未払金</t>
        </is>
      </c>
      <c r="C6" s="762" t="inlineStr">
        <is>
          <t>事務費</t>
        </is>
      </c>
      <c r="D6" s="762" t="inlineStr">
        <is>
          <t>図書印刷費</t>
        </is>
      </c>
      <c r="E6" s="770" t="inlineStr">
        <is>
          <t>窓付角形封筒（のり付）１，０００枚ほか</t>
        </is>
      </c>
      <c r="F6" s="821" t="n">
        <v>149600</v>
      </c>
      <c r="G6" s="821" t="n">
        <v>3</v>
      </c>
      <c r="H6" s="818">
        <f>IF(G6=1,F6-I6-J6-K6,IF(G6=2,F6,0))</f>
        <v>0</v>
      </c>
      <c r="I6" s="818">
        <f>ROUND(IF(G6=1,F6*10/23,IF(G6=3,F6-J6-K6,IF(G6=4,F6,IF(G6=5,F6*10/11,IF(G6=7,F6*10/11,0))))),0)</f>
        <v>124666</v>
      </c>
      <c r="J6" s="818">
        <f>ROUND(IF(G6=1,F6/23,IF(G6=3,F6/12,IF(G6=5,F6-I6,IF(G6=8,F6,0)))),0)</f>
        <v>12467</v>
      </c>
      <c r="K6" s="819">
        <f>ROUND(IF(G6=1,F6/23,IF(G6=3,F6/12,IF(G6=6,F6,IF(G6=7,F6-I6,0)))),0)</f>
        <v>12467</v>
      </c>
      <c r="L6" s="820">
        <f>IF(G6=6,F6,0)</f>
        <v>0</v>
      </c>
      <c r="P6" s="768" t="inlineStr">
        <is>
          <t>昨年実績</t>
        </is>
      </c>
      <c r="Q6" s="769" t="str">
        <f>IF($F6="","",IFERROR(VLOOKUP($C6&amp;"|"&amp;$D6,科目表!$A$5:$B$200,2,FALSE),"※未登録"))</f>
        <v>図書印刷費</v>
      </c>
      <c r="R6" s="769">
        <f>IF($F6="","",$I6+$J6+$K6)</f>
        <v>149600</v>
      </c>
      <c r="S6" s="769" t="str">
        <f>IF(OR($F6="",$P6="支払なし",$H6=0,$Q6=""),"",$Q6&amp;"|S|"&amp;(COUNTIF(S$4:S5,$Q6&amp;"|S|*")+1))</f>
        <v/>
      </c>
      <c r="T6" s="769" t="str">
        <f>IF(OR($F6="",$P6="支払なし",$R6=0,$Q6=""),"",$Q6&amp;"|L|"&amp;(COUNTIF(T$4:T5,$Q6&amp;"|L|*")+1))</f>
        <v>図書印刷費|L|1</v>
      </c>
      <c r="U6" s="769">
        <f>IF($F6="","",13)</f>
        <v>13</v>
      </c>
    </row>
    <row r="7" ht="16.5" customFormat="1" customHeight="1" s="43">
      <c r="A7" s="760" t="n">
        <v>45777</v>
      </c>
      <c r="B7" s="760" t="inlineStr">
        <is>
          <t>未払金</t>
        </is>
      </c>
      <c r="C7" s="762" t="inlineStr">
        <is>
          <t>事務費</t>
        </is>
      </c>
      <c r="D7" s="762" t="inlineStr">
        <is>
          <t>図書印刷費</t>
        </is>
      </c>
      <c r="E7" s="770" t="inlineStr">
        <is>
          <t>厚生法規総覧追録　５９６６－５９７５号</t>
        </is>
      </c>
      <c r="F7" s="821" t="n">
        <v>33154</v>
      </c>
      <c r="G7" s="821" t="n">
        <v>2</v>
      </c>
      <c r="H7" s="818">
        <f>IF(G7=1,F7-I7-J7-K7,IF(G7=2,F7,0))</f>
        <v>33154</v>
      </c>
      <c r="I7" s="818">
        <f>ROUND(IF(G7=1,F7*10/23,IF(G7=3,F7-J7-K7,IF(G7=4,F7,IF(G7=5,F7*10/11,IF(G7=7,F7*10/11,0))))),0)</f>
        <v>0</v>
      </c>
      <c r="J7" s="818">
        <f>ROUND(IF(G7=1,F7/23,IF(G7=3,F7/12,IF(G7=5,F7-I7,IF(G7=8,F7,0)))),0)</f>
        <v>0</v>
      </c>
      <c r="K7" s="819">
        <f>ROUND(IF(G7=1,F7/23,IF(G7=3,F7/12,IF(G7=6,F7,IF(G7=7,F7-I7,0)))),0)</f>
        <v>0</v>
      </c>
      <c r="L7" s="820">
        <f>IF(G7=6,F7,0)</f>
        <v>0</v>
      </c>
      <c r="P7" s="768" t="inlineStr">
        <is>
          <t>昨年実績</t>
        </is>
      </c>
      <c r="Q7" s="769" t="str">
        <f>IF($F7="","",IFERROR(VLOOKUP($C7&amp;"|"&amp;$D7,科目表!$A$5:$B$200,2,FALSE),"※未登録"))</f>
        <v>図書印刷費</v>
      </c>
      <c r="R7" s="769">
        <f>IF($F7="","",$I7+$J7+$K7)</f>
        <v>0</v>
      </c>
      <c r="S7" s="769" t="str">
        <f>IF(OR($F7="",$P7="支払なし",$H7=0,$Q7=""),"",$Q7&amp;"|S|"&amp;(COUNTIF(S$4:S6,$Q7&amp;"|S|*")+1))</f>
        <v>図書印刷費|S|1</v>
      </c>
      <c r="T7" s="769" t="str">
        <f>IF(OR($F7="",$P7="支払なし",$R7=0,$Q7=""),"",$Q7&amp;"|L|"&amp;(COUNTIF(T$4:T6,$Q7&amp;"|L|*")+1))</f>
        <v/>
      </c>
      <c r="U7" s="769">
        <f>IF($F7="","",13)</f>
        <v>13</v>
      </c>
    </row>
    <row r="8" ht="16.5" customFormat="1" customHeight="1" s="43">
      <c r="A8" s="760" t="n">
        <v>45777</v>
      </c>
      <c r="B8" s="760" t="inlineStr">
        <is>
          <t>未払金</t>
        </is>
      </c>
      <c r="C8" s="762" t="inlineStr">
        <is>
          <t>事務費</t>
        </is>
      </c>
      <c r="D8" s="762" t="inlineStr">
        <is>
          <t>図書印刷費</t>
        </is>
      </c>
      <c r="E8" s="770" t="inlineStr">
        <is>
          <t>長３封筒　４，０００枚</t>
        </is>
      </c>
      <c r="F8" s="821" t="n">
        <v>48400</v>
      </c>
      <c r="G8" s="821" t="n">
        <v>2</v>
      </c>
      <c r="H8" s="818">
        <f>IF(G8=1,F8-I8-J8-K8,IF(G8=2,F8,0))</f>
        <v>48400</v>
      </c>
      <c r="I8" s="818">
        <f>ROUND(IF(G8=1,F8*10/23,IF(G8=3,F8-J8-K8,IF(G8=4,F8,IF(G8=5,F8*10/11,IF(G8=7,F8*10/11,0))))),0)</f>
        <v>0</v>
      </c>
      <c r="J8" s="818">
        <f>ROUND(IF(G8=1,F8/23,IF(G8=3,F8/12,IF(G8=5,F8-I8,IF(G8=8,F8,0)))),0)</f>
        <v>0</v>
      </c>
      <c r="K8" s="819">
        <f>ROUND(IF(G8=1,F8/23,IF(G8=3,F8/12,IF(G8=6,F8,IF(G8=7,F8-I8,0)))),0)</f>
        <v>0</v>
      </c>
      <c r="L8" s="820">
        <f>IF(G8=6,F8,0)</f>
        <v>0</v>
      </c>
      <c r="P8" s="768" t="inlineStr">
        <is>
          <t>昨年実績</t>
        </is>
      </c>
      <c r="Q8" s="769" t="str">
        <f>IF($F8="","",IFERROR(VLOOKUP($C8&amp;"|"&amp;$D8,科目表!$A$5:$B$200,2,FALSE),"※未登録"))</f>
        <v>図書印刷費</v>
      </c>
      <c r="R8" s="769">
        <f>IF($F8="","",$I8+$J8+$K8)</f>
        <v>0</v>
      </c>
      <c r="S8" s="769" t="str">
        <f>IF(OR($F8="",$P8="支払なし",$H8=0,$Q8=""),"",$Q8&amp;"|S|"&amp;(COUNTIF(S$4:S7,$Q8&amp;"|S|*")+1))</f>
        <v>図書印刷費|S|2</v>
      </c>
      <c r="T8" s="769" t="str">
        <f>IF(OR($F8="",$P8="支払なし",$R8=0,$Q8=""),"",$Q8&amp;"|L|"&amp;(COUNTIF(T$4:T7,$Q8&amp;"|L|*")+1))</f>
        <v/>
      </c>
      <c r="U8" s="769">
        <f>IF($F8="","",13)</f>
        <v>13</v>
      </c>
    </row>
    <row r="9" ht="16.5" customFormat="1" customHeight="1" s="43">
      <c r="A9" s="760" t="n">
        <v>46127</v>
      </c>
      <c r="B9" s="760" t="inlineStr">
        <is>
          <t>未払金</t>
        </is>
      </c>
      <c r="C9" s="762" t="inlineStr">
        <is>
          <t>委託費</t>
        </is>
      </c>
      <c r="D9" s="762" t="n"/>
      <c r="E9" s="762" t="inlineStr">
        <is>
          <t>個別システム保守料（令７年度）短期分</t>
        </is>
      </c>
      <c r="F9" s="807" t="n">
        <v>360360</v>
      </c>
      <c r="G9" s="807" t="n">
        <v>2</v>
      </c>
      <c r="H9" s="818">
        <f>IF(G9=1,F9-I9-J9-K9,IF(G9=2,F9,0))</f>
        <v>360360</v>
      </c>
      <c r="I9" s="818">
        <f>ROUND(IF(G9=1,F9*10/23,IF(G9=3,F9-J9-K9,IF(G9=4,F9,IF(G9=5,F9*10/11,IF(G9=7,F9*10/11,0))))),0)</f>
        <v>0</v>
      </c>
      <c r="J9" s="818">
        <f>ROUND(IF(G9=1,F9/23,IF(G9=3,F9/12,IF(G9=5,F9-I9,IF(G9=8,F9,0)))),0)</f>
        <v>0</v>
      </c>
      <c r="K9" s="819">
        <f>ROUND(IF(G9=1,F9/23,IF(G9=3,F9/12,IF(G9=6,F9,IF(G9=7,F9-I9,0)))),0)</f>
        <v>0</v>
      </c>
      <c r="L9" s="820">
        <f>IF(G9=6,F9,0)</f>
        <v>0</v>
      </c>
      <c r="N9" s="43" t="inlineStr">
        <is>
          <t>退職給与金</t>
        </is>
      </c>
      <c r="P9" s="768" t="inlineStr">
        <is>
          <t>昨年実績</t>
        </is>
      </c>
      <c r="Q9" s="769" t="str">
        <f>IF($F9="","",IFERROR(VLOOKUP($C9&amp;"|"&amp;$D9,科目表!$A$5:$B$200,2,FALSE),"※未登録"))</f>
        <v>委託費</v>
      </c>
      <c r="R9" s="769">
        <f>IF($F9="","",$I9+$J9+$K9)</f>
        <v>0</v>
      </c>
      <c r="S9" s="769" t="str">
        <f>IF(OR($F9="",$P9="支払なし",$H9=0,$Q9=""),"",$Q9&amp;"|S|"&amp;(COUNTIF(S$4:S8,$Q9&amp;"|S|*")+1))</f>
        <v>委託費|S|2</v>
      </c>
      <c r="T9" s="769" t="str">
        <f>IF(OR($F9="",$P9="支払なし",$R9=0,$Q9=""),"",$Q9&amp;"|L|"&amp;(COUNTIF(T$4:T8,$Q9&amp;"|L|*")+1))</f>
        <v/>
      </c>
      <c r="U9" s="769">
        <f>IF($F9="","",13)</f>
        <v>13</v>
      </c>
    </row>
    <row r="10" ht="16.5" customHeight="1" s="186">
      <c r="A10" s="760" t="n">
        <v>43951</v>
      </c>
      <c r="B10" s="760" t="inlineStr">
        <is>
          <t>未払金</t>
        </is>
      </c>
      <c r="C10" s="762" t="inlineStr">
        <is>
          <t>委託費</t>
        </is>
      </c>
      <c r="D10" s="762" t="n"/>
      <c r="E10" s="762" t="inlineStr">
        <is>
          <t>短期給付等に係る個人番号管理システム端末保守サービス（３月分）</t>
        </is>
      </c>
      <c r="F10" s="807" t="n">
        <v>385</v>
      </c>
      <c r="G10" s="807" t="n">
        <v>2</v>
      </c>
      <c r="H10" s="818">
        <f>IF(G10=1,F10-I10-J10-K10,IF(G10=2,F10,0))</f>
        <v>385</v>
      </c>
      <c r="I10" s="818">
        <f>ROUND(IF(G10=1,F10*10/23,IF(G10=3,F10-J10-K10,IF(G10=4,F10,IF(G10=5,F10*10/11,IF(G10=7,F10*10/11,0))))),0)</f>
        <v>0</v>
      </c>
      <c r="J10" s="818">
        <f>ROUND(IF(G10=1,F10/23,IF(G10=3,F10/12,IF(G10=5,F10-I10,IF(G10=8,F10,0)))),0)</f>
        <v>0</v>
      </c>
      <c r="K10" s="819">
        <f>ROUND(IF(G10=1,F10/23,IF(G10=3,F10/12,IF(G10=6,F10,IF(G10=7,F10-I10,0)))),0)</f>
        <v>0</v>
      </c>
      <c r="L10" s="820">
        <f>IF(G10=6,F10,0)</f>
        <v>0</v>
      </c>
      <c r="N10" s="43" t="inlineStr">
        <is>
          <t>健康診断費</t>
        </is>
      </c>
      <c r="P10" s="768" t="inlineStr">
        <is>
          <t>昨年実績</t>
        </is>
      </c>
      <c r="Q10" s="769" t="str">
        <f>IF($F10="","",IFERROR(VLOOKUP($C10&amp;"|"&amp;$D10,科目表!$A$5:$B$200,2,FALSE),"※未登録"))</f>
        <v>委託費</v>
      </c>
      <c r="R10" s="769">
        <f>IF($F10="","",$I10+$J10+$K10)</f>
        <v>0</v>
      </c>
      <c r="S10" s="769" t="str">
        <f>IF(OR($F10="",$P10="支払なし",$H10=0,$Q10=""),"",$Q10&amp;"|S|"&amp;(COUNTIF(S$4:S9,$Q10&amp;"|S|*")+1))</f>
        <v>委託費|S|3</v>
      </c>
      <c r="T10" s="769" t="str">
        <f>IF(OR($F10="",$P10="支払なし",$R10=0,$Q10=""),"",$Q10&amp;"|L|"&amp;(COUNTIF(T$4:T9,$Q10&amp;"|L|*")+1))</f>
        <v/>
      </c>
      <c r="U10" s="769">
        <f>IF($F10="","",13)</f>
        <v>13</v>
      </c>
    </row>
    <row r="11" ht="16.5" customFormat="1" customHeight="1" s="418">
      <c r="A11" s="760" t="n">
        <v>44679</v>
      </c>
      <c r="B11" s="760" t="inlineStr">
        <is>
          <t>未払金</t>
        </is>
      </c>
      <c r="C11" s="762" t="inlineStr">
        <is>
          <t>委託費</t>
        </is>
      </c>
      <c r="D11" s="762" t="n"/>
      <c r="E11" s="762" t="inlineStr">
        <is>
          <t>病院機構人給システム（ネットワーク等経費）短期</t>
        </is>
      </c>
      <c r="F11" s="807" t="n">
        <v>43626</v>
      </c>
      <c r="G11" s="807" t="n">
        <v>2</v>
      </c>
      <c r="H11" s="818">
        <f>IF(G11=1,F11-I11-J11-K11,IF(G11=2,F11,0))</f>
        <v>43626</v>
      </c>
      <c r="I11" s="818">
        <f>ROUND(IF(G11=1,F11*10/23,IF(G11=3,F11-J11-K11,IF(G11=4,F11,IF(G11=5,F11*10/11,IF(G11=7,F11*10/11,0))))),0)</f>
        <v>0</v>
      </c>
      <c r="J11" s="818">
        <f>ROUND(IF(G11=1,F11/23,IF(G11=3,F11/12,IF(G11=5,F11-I11,IF(G11=8,F11,0)))),0)</f>
        <v>0</v>
      </c>
      <c r="K11" s="819">
        <f>ROUND(IF(G11=1,F11/23,IF(G11=3,F11/12,IF(G11=6,F11,IF(G11=7,F11-I11,0)))),0)</f>
        <v>0</v>
      </c>
      <c r="L11" s="820">
        <f>IF(G11=6,F11,0)</f>
        <v>0</v>
      </c>
      <c r="N11" s="418" t="inlineStr">
        <is>
          <t>事務用消耗品費</t>
        </is>
      </c>
      <c r="P11" s="768" t="inlineStr">
        <is>
          <t>昨年実績</t>
        </is>
      </c>
      <c r="Q11" s="769" t="str">
        <f>IF($F11="","",IFERROR(VLOOKUP($C11&amp;"|"&amp;$D11,科目表!$A$5:$B$200,2,FALSE),"※未登録"))</f>
        <v>委託費</v>
      </c>
      <c r="R11" s="769">
        <f>IF($F11="","",$I11+$J11+$K11)</f>
        <v>0</v>
      </c>
      <c r="S11" s="769" t="str">
        <f>IF(OR($F11="",$P11="支払なし",$H11=0,$Q11=""),"",$Q11&amp;"|S|"&amp;(COUNTIF(S$4:S10,$Q11&amp;"|S|*")+1))</f>
        <v>委託費|S|4</v>
      </c>
      <c r="T11" s="769" t="str">
        <f>IF(OR($F11="",$P11="支払なし",$R11=0,$Q11=""),"",$Q11&amp;"|L|"&amp;(COUNTIF(T$4:T10,$Q11&amp;"|L|*")+1))</f>
        <v/>
      </c>
      <c r="U11" s="769">
        <f>IF($F11="","",13)</f>
        <v>13</v>
      </c>
    </row>
    <row r="12" ht="16.5" customFormat="1" customHeight="1" s="43">
      <c r="A12" s="760" t="n">
        <v>43951</v>
      </c>
      <c r="B12" s="760" t="inlineStr">
        <is>
          <t>未払金</t>
        </is>
      </c>
      <c r="C12" s="762" t="inlineStr">
        <is>
          <t>委託費</t>
        </is>
      </c>
      <c r="D12" s="762" t="n"/>
      <c r="E12" s="762" t="inlineStr">
        <is>
          <t>清掃・警備・ごみ処理（１０～３月分）</t>
        </is>
      </c>
      <c r="F12" s="807" t="n">
        <v>4154</v>
      </c>
      <c r="G12" s="807" t="n">
        <v>2</v>
      </c>
      <c r="H12" s="818">
        <f>IF(G12=1,F12-I12-J12-K12,IF(G12=2,F12,0))</f>
        <v>4154</v>
      </c>
      <c r="I12" s="818">
        <f>ROUND(IF(G12=1,F12*10/23,IF(G12=3,F12-J12-K12,IF(G12=4,F12,IF(G12=5,F12*10/11,IF(G12=7,F12*10/11,0))))),0)</f>
        <v>0</v>
      </c>
      <c r="J12" s="818">
        <f>ROUND(IF(G12=1,F12/23,IF(G12=3,F12/12,IF(G12=5,F12-I12,IF(G12=8,F12,0)))),0)</f>
        <v>0</v>
      </c>
      <c r="K12" s="819">
        <f>ROUND(IF(G12=1,F12/23,IF(G12=3,F12/12,IF(G12=6,F12,IF(G12=7,F12-I12,0)))),0)</f>
        <v>0</v>
      </c>
      <c r="L12" s="820">
        <f>IF(G12=6,F12,0)</f>
        <v>0</v>
      </c>
      <c r="N12" s="43" t="inlineStr">
        <is>
          <t>図書印刷費</t>
        </is>
      </c>
      <c r="P12" s="768" t="inlineStr">
        <is>
          <t>昨年実績</t>
        </is>
      </c>
      <c r="Q12" s="769" t="str">
        <f>IF($F12="","",IFERROR(VLOOKUP($C12&amp;"|"&amp;$D12,科目表!$A$5:$B$200,2,FALSE),"※未登録"))</f>
        <v>委託費</v>
      </c>
      <c r="R12" s="769">
        <f>IF($F12="","",$I12+$J12+$K12)</f>
        <v>0</v>
      </c>
      <c r="S12" s="769" t="str">
        <f>IF(OR($F12="",$P12="支払なし",$H12=0,$Q12=""),"",$Q12&amp;"|S|"&amp;(COUNTIF(S$4:S11,$Q12&amp;"|S|*")+1))</f>
        <v>委託費|S|5</v>
      </c>
      <c r="T12" s="769" t="str">
        <f>IF(OR($F12="",$P12="支払なし",$R12=0,$Q12=""),"",$Q12&amp;"|L|"&amp;(COUNTIF(T$4:T11,$Q12&amp;"|L|*")+1))</f>
        <v/>
      </c>
      <c r="U12" s="769">
        <f>IF($F12="","",13)</f>
        <v>13</v>
      </c>
    </row>
    <row r="13" ht="16.5" customFormat="1" customHeight="1" s="43">
      <c r="A13" s="760" t="n">
        <v>43951</v>
      </c>
      <c r="B13" s="760" t="inlineStr">
        <is>
          <t>未払金</t>
        </is>
      </c>
      <c r="C13" s="762" t="inlineStr">
        <is>
          <t>委託費</t>
        </is>
      </c>
      <c r="D13" s="762" t="n"/>
      <c r="E13" s="762" t="inlineStr">
        <is>
          <t>柔整等療養費支給申請書の入力（３月分）</t>
        </is>
      </c>
      <c r="F13" s="807" t="n">
        <v>61281</v>
      </c>
      <c r="G13" s="807" t="n">
        <v>2</v>
      </c>
      <c r="H13" s="818">
        <f>IF(G13=1,F13-I13-J13-K13,IF(G13=2,F13,0))</f>
        <v>61281</v>
      </c>
      <c r="I13" s="818">
        <f>ROUND(IF(G13=1,F13*10/23,IF(G13=3,F13-J13-K13,IF(G13=4,F13,IF(G13=5,F13*10/11,IF(G13=7,F13*10/11,0))))),0)</f>
        <v>0</v>
      </c>
      <c r="J13" s="818">
        <f>ROUND(IF(G13=1,F13/23,IF(G13=3,F13/12,IF(G13=5,F13-I13,IF(G13=8,F13,0)))),0)</f>
        <v>0</v>
      </c>
      <c r="K13" s="819">
        <f>ROUND(IF(G13=1,F13/23,IF(G13=3,F13/12,IF(G13=6,F13,IF(G13=7,F13-I13,0)))),0)</f>
        <v>0</v>
      </c>
      <c r="L13" s="820">
        <f>IF(G13=6,F13,0)</f>
        <v>0</v>
      </c>
      <c r="N13" s="85" t="inlineStr">
        <is>
          <t>送金料</t>
        </is>
      </c>
      <c r="P13" s="768" t="inlineStr">
        <is>
          <t>昨年実績</t>
        </is>
      </c>
      <c r="Q13" s="769" t="str">
        <f>IF($F13="","",IFERROR(VLOOKUP($C13&amp;"|"&amp;$D13,科目表!$A$5:$B$200,2,FALSE),"※未登録"))</f>
        <v>委託費</v>
      </c>
      <c r="R13" s="769">
        <f>IF($F13="","",$I13+$J13+$K13)</f>
        <v>0</v>
      </c>
      <c r="S13" s="769" t="str">
        <f>IF(OR($F13="",$P13="支払なし",$H13=0,$Q13=""),"",$Q13&amp;"|S|"&amp;(COUNTIF(S$4:S12,$Q13&amp;"|S|*")+1))</f>
        <v>委託費|S|6</v>
      </c>
      <c r="T13" s="769" t="str">
        <f>IF(OR($F13="",$P13="支払なし",$R13=0,$Q13=""),"",$Q13&amp;"|L|"&amp;(COUNTIF(T$4:T12,$Q13&amp;"|L|*")+1))</f>
        <v/>
      </c>
      <c r="U13" s="769">
        <f>IF($F13="","",13)</f>
        <v>13</v>
      </c>
    </row>
    <row r="14" ht="16.5" customFormat="1" customHeight="1" s="418">
      <c r="A14" s="760" t="n">
        <v>44679</v>
      </c>
      <c r="B14" s="760" t="inlineStr">
        <is>
          <t>未払金</t>
        </is>
      </c>
      <c r="C14" s="762" t="inlineStr">
        <is>
          <t>委託費</t>
        </is>
      </c>
      <c r="D14" s="762" t="n"/>
      <c r="E14" s="762" t="inlineStr">
        <is>
          <t>統合管理端末保守料（３月分）</t>
        </is>
      </c>
      <c r="F14" s="807" t="n">
        <v>770</v>
      </c>
      <c r="G14" s="807" t="n">
        <v>2</v>
      </c>
      <c r="H14" s="818">
        <f>IF(G14=1,F14-I14-J14-K14,IF(G14=2,F14,0))</f>
        <v>770</v>
      </c>
      <c r="I14" s="818">
        <f>ROUND(IF(G14=1,F14*10/23,IF(G14=3,F14-J14-K14,IF(G14=4,F14,IF(G14=5,F14*10/11,IF(G14=7,F14*10/11,0))))),0)</f>
        <v>0</v>
      </c>
      <c r="J14" s="818">
        <f>ROUND(IF(G14=1,F14/23,IF(G14=3,F14/12,IF(G14=5,F14-I14,IF(G14=8,F14,0)))),0)</f>
        <v>0</v>
      </c>
      <c r="K14" s="819">
        <f>ROUND(IF(G14=1,F14/23,IF(G14=3,F14/12,IF(G14=6,F14,IF(G14=7,F14-I14,0)))),0)</f>
        <v>0</v>
      </c>
      <c r="L14" s="820">
        <f>IF(G14=6,F14,0)</f>
        <v>0</v>
      </c>
      <c r="N14" s="418" t="inlineStr">
        <is>
          <t>通信運搬費</t>
        </is>
      </c>
      <c r="P14" s="768" t="inlineStr">
        <is>
          <t>昨年実績</t>
        </is>
      </c>
      <c r="Q14" s="769" t="str">
        <f>IF($F14="","",IFERROR(VLOOKUP($C14&amp;"|"&amp;$D14,科目表!$A$5:$B$200,2,FALSE),"※未登録"))</f>
        <v>委託費</v>
      </c>
      <c r="R14" s="769">
        <f>IF($F14="","",$I14+$J14+$K14)</f>
        <v>0</v>
      </c>
      <c r="S14" s="769" t="str">
        <f>IF(OR($F14="",$P14="支払なし",$H14=0,$Q14=""),"",$Q14&amp;"|S|"&amp;(COUNTIF(S$4:S13,$Q14&amp;"|S|*")+1))</f>
        <v>委託費|S|7</v>
      </c>
      <c r="T14" s="769" t="str">
        <f>IF(OR($F14="",$P14="支払なし",$R14=0,$Q14=""),"",$Q14&amp;"|L|"&amp;(COUNTIF(T$4:T13,$Q14&amp;"|L|*")+1))</f>
        <v/>
      </c>
      <c r="U14" s="769">
        <f>IF($F14="","",13)</f>
        <v>13</v>
      </c>
    </row>
    <row r="15" ht="16.5" customFormat="1" customHeight="1" s="43">
      <c r="A15" s="760" t="n">
        <v>43980</v>
      </c>
      <c r="B15" s="760" t="inlineStr">
        <is>
          <t>未払金</t>
        </is>
      </c>
      <c r="C15" s="762" t="inlineStr">
        <is>
          <t>委託費</t>
        </is>
      </c>
      <c r="D15" s="762" t="n"/>
      <c r="E15" s="762" t="inlineStr">
        <is>
          <t>個人番号管理システム（短期等）平成３１年度分</t>
        </is>
      </c>
      <c r="F15" s="807" t="n">
        <v>686447</v>
      </c>
      <c r="G15" s="807" t="n">
        <v>2</v>
      </c>
      <c r="H15" s="818">
        <f>IF(G15=1,F15-I15-J15-K15,IF(G15=2,F15,0))</f>
        <v>686447</v>
      </c>
      <c r="I15" s="818">
        <f>ROUND(IF(G15=1,F15*10/23,IF(G15=3,F15-J15-K15,IF(G15=4,F15,IF(G15=5,F15*10/11,IF(G15=7,F15*10/11,0))))),0)</f>
        <v>0</v>
      </c>
      <c r="J15" s="818">
        <f>ROUND(IF(G15=1,F15/23,IF(G15=3,F15/12,IF(G15=5,F15-I15,IF(G15=8,F15,0)))),0)</f>
        <v>0</v>
      </c>
      <c r="K15" s="819">
        <f>ROUND(IF(G15=1,F15/23,IF(G15=3,F15/12,IF(G15=6,F15,IF(G15=7,F15-I15,0)))),0)</f>
        <v>0</v>
      </c>
      <c r="L15" s="820">
        <f>IF(G15=6,F15,0)</f>
        <v>0</v>
      </c>
      <c r="N15" s="85" t="inlineStr">
        <is>
          <t>会議費</t>
        </is>
      </c>
      <c r="P15" s="768" t="inlineStr">
        <is>
          <t>昨年実績</t>
        </is>
      </c>
      <c r="Q15" s="769" t="str">
        <f>IF($F15="","",IFERROR(VLOOKUP($C15&amp;"|"&amp;$D15,科目表!$A$5:$B$200,2,FALSE),"※未登録"))</f>
        <v>委託費</v>
      </c>
      <c r="R15" s="769">
        <f>IF($F15="","",$I15+$J15+$K15)</f>
        <v>0</v>
      </c>
      <c r="S15" s="769" t="str">
        <f>IF(OR($F15="",$P15="支払なし",$H15=0,$Q15=""),"",$Q15&amp;"|S|"&amp;(COUNTIF(S$4:S14,$Q15&amp;"|S|*")+1))</f>
        <v>委託費|S|8</v>
      </c>
      <c r="T15" s="769" t="str">
        <f>IF(OR($F15="",$P15="支払なし",$R15=0,$Q15=""),"",$Q15&amp;"|L|"&amp;(COUNTIF(T$4:T14,$Q15&amp;"|L|*")+1))</f>
        <v/>
      </c>
      <c r="U15" s="769">
        <f>IF($F15="","",13)</f>
        <v>13</v>
      </c>
    </row>
    <row r="16" ht="16.5" customFormat="1" customHeight="1" s="43">
      <c r="A16" s="760" t="n">
        <v>43951</v>
      </c>
      <c r="B16" s="760" t="inlineStr">
        <is>
          <t>未払金</t>
        </is>
      </c>
      <c r="C16" s="762" t="inlineStr">
        <is>
          <t>光熱水料</t>
        </is>
      </c>
      <c r="D16" s="762" t="inlineStr">
        <is>
          <t>ガス料</t>
        </is>
      </c>
      <c r="E16" s="762" t="inlineStr">
        <is>
          <t>行政財産使用ガス料（１０～３月分）</t>
        </is>
      </c>
      <c r="F16" s="807" t="n">
        <v>1255</v>
      </c>
      <c r="G16" s="807" t="n">
        <v>2</v>
      </c>
      <c r="H16" s="818">
        <f>IF(G16=1,F16-I16-J16-K16,IF(G16=2,F16,0))</f>
        <v>1255</v>
      </c>
      <c r="I16" s="818">
        <f>ROUND(IF(G16=1,F16*10/23,IF(G16=3,F16-J16-K16,IF(G16=4,F16,IF(G16=5,F16*10/11,IF(G16=7,F16*10/11,0))))),0)</f>
        <v>0</v>
      </c>
      <c r="J16" s="818">
        <f>ROUND(IF(G16=1,F16/23,IF(G16=3,F16/12,IF(G16=5,F16-I16,IF(G16=8,F16,0)))),0)</f>
        <v>0</v>
      </c>
      <c r="K16" s="819">
        <f>ROUND(IF(G16=1,F16/23,IF(G16=3,F16/12,IF(G16=6,F16,IF(G16=7,F16-I16,0)))),0)</f>
        <v>0</v>
      </c>
      <c r="L16" s="820">
        <f>IF(G16=6,F16,0)</f>
        <v>0</v>
      </c>
      <c r="N16" s="85" t="inlineStr">
        <is>
          <t>雑費</t>
        </is>
      </c>
      <c r="P16" s="768" t="inlineStr">
        <is>
          <t>昨年実績</t>
        </is>
      </c>
      <c r="Q16" s="769" t="str">
        <f>IF($F16="","",IFERROR(VLOOKUP($C16&amp;"|"&amp;$D16,科目表!$A$5:$B$200,2,FALSE),"※未登録"))</f>
        <v>光熱水料</v>
      </c>
      <c r="R16" s="769">
        <f>IF($F16="","",$I16+$J16+$K16)</f>
        <v>0</v>
      </c>
      <c r="S16" s="769" t="str">
        <f>IF(OR($F16="",$P16="支払なし",$H16=0,$Q16=""),"",$Q16&amp;"|S|"&amp;(COUNTIF(S$4:S15,$Q16&amp;"|S|*")+1))</f>
        <v>光熱水料|S|1</v>
      </c>
      <c r="T16" s="769" t="str">
        <f>IF(OR($F16="",$P16="支払なし",$R16=0,$Q16=""),"",$Q16&amp;"|L|"&amp;(COUNTIF(T$4:T15,$Q16&amp;"|L|*")+1))</f>
        <v/>
      </c>
      <c r="U16" s="769">
        <f>IF($F16="","",13)</f>
        <v>13</v>
      </c>
    </row>
    <row r="17" ht="16.5" customFormat="1" customHeight="1" s="43">
      <c r="A17" s="760" t="n">
        <v>43951</v>
      </c>
      <c r="B17" s="760" t="inlineStr">
        <is>
          <t>未払金</t>
        </is>
      </c>
      <c r="C17" s="762" t="inlineStr">
        <is>
          <t>光熱水料</t>
        </is>
      </c>
      <c r="D17" s="762" t="inlineStr">
        <is>
          <t>水道料</t>
        </is>
      </c>
      <c r="E17" s="762" t="inlineStr">
        <is>
          <t>行政財産使用水道料（１０～３月分）</t>
        </is>
      </c>
      <c r="F17" s="807" t="n">
        <v>2324</v>
      </c>
      <c r="G17" s="807" t="n">
        <v>2</v>
      </c>
      <c r="H17" s="818">
        <f>IF(G17=1,F17-I17-J17-K17,IF(G17=2,F17,0))</f>
        <v>2324</v>
      </c>
      <c r="I17" s="818">
        <f>ROUND(IF(G17=1,F17*10/23,IF(G17=3,F17-J17-K17,IF(G17=4,F17,IF(G17=5,F17*10/11,IF(G17=7,F17*10/11,0))))),0)</f>
        <v>0</v>
      </c>
      <c r="J17" s="818">
        <f>ROUND(IF(G17=1,F17/23,IF(G17=3,F17/12,IF(G17=5,F17-I17,IF(G17=8,F17,0)))),0)</f>
        <v>0</v>
      </c>
      <c r="K17" s="819">
        <f>ROUND(IF(G17=1,F17/23,IF(G17=3,F17/12,IF(G17=6,F17,IF(G17=7,F17-I17,0)))),0)</f>
        <v>0</v>
      </c>
      <c r="L17" s="820">
        <f>IF(G17=6,F17,0)</f>
        <v>0</v>
      </c>
      <c r="N17" s="43" t="inlineStr">
        <is>
          <t>電気料</t>
        </is>
      </c>
      <c r="P17" s="768" t="inlineStr">
        <is>
          <t>昨年実績</t>
        </is>
      </c>
      <c r="Q17" s="769" t="str">
        <f>IF($F17="","",IFERROR(VLOOKUP($C17&amp;"|"&amp;$D17,科目表!$A$5:$B$200,2,FALSE),"※未登録"))</f>
        <v>光熱水料</v>
      </c>
      <c r="R17" s="769">
        <f>IF($F17="","",$I17+$J17+$K17)</f>
        <v>0</v>
      </c>
      <c r="S17" s="769" t="str">
        <f>IF(OR($F17="",$P17="支払なし",$H17=0,$Q17=""),"",$Q17&amp;"|S|"&amp;(COUNTIF(S$4:S16,$Q17&amp;"|S|*")+1))</f>
        <v>光熱水料|S|2</v>
      </c>
      <c r="T17" s="769" t="str">
        <f>IF(OR($F17="",$P17="支払なし",$R17=0,$Q17=""),"",$Q17&amp;"|L|"&amp;(COUNTIF(T$4:T16,$Q17&amp;"|L|*")+1))</f>
        <v/>
      </c>
      <c r="U17" s="769">
        <f>IF($F17="","",13)</f>
        <v>13</v>
      </c>
    </row>
    <row r="18" ht="16.5" customFormat="1" customHeight="1" s="43">
      <c r="A18" s="760" t="n">
        <v>43951</v>
      </c>
      <c r="B18" s="760" t="inlineStr">
        <is>
          <t>未払金</t>
        </is>
      </c>
      <c r="C18" s="762" t="inlineStr">
        <is>
          <t>光熱水料</t>
        </is>
      </c>
      <c r="D18" s="762" t="inlineStr">
        <is>
          <t>電気料</t>
        </is>
      </c>
      <c r="E18" s="762" t="inlineStr">
        <is>
          <t>行政財産使用電気料（１０～３月分）</t>
        </is>
      </c>
      <c r="F18" s="807" t="n">
        <v>3770</v>
      </c>
      <c r="G18" s="807" t="n">
        <v>2</v>
      </c>
      <c r="H18" s="818">
        <f>IF(G18=1,F18-I18-J18-K18,IF(G18=2,F18,0))</f>
        <v>3770</v>
      </c>
      <c r="I18" s="818">
        <f>ROUND(IF(G18=1,F18*10/23,IF(G18=3,F18-J18-K18,IF(G18=4,F18,IF(G18=5,F18*10/11,IF(G18=7,F18*10/11,0))))),0)</f>
        <v>0</v>
      </c>
      <c r="J18" s="818">
        <f>ROUND(IF(G18=1,F18/23,IF(G18=3,F18/12,IF(G18=5,F18-I18,IF(G18=8,F18,0)))),0)</f>
        <v>0</v>
      </c>
      <c r="K18" s="819">
        <f>ROUND(IF(G18=1,F18/23,IF(G18=3,F18/12,IF(G18=6,F18,IF(G18=7,F18-I18,0)))),0)</f>
        <v>0</v>
      </c>
      <c r="L18" s="820">
        <f>IF(G18=6,F18,0)</f>
        <v>0</v>
      </c>
      <c r="N18" s="43" t="inlineStr">
        <is>
          <t>ガス料</t>
        </is>
      </c>
      <c r="P18" s="768" t="inlineStr">
        <is>
          <t>昨年実績</t>
        </is>
      </c>
      <c r="Q18" s="769" t="str">
        <f>IF($F18="","",IFERROR(VLOOKUP($C18&amp;"|"&amp;$D18,科目表!$A$5:$B$200,2,FALSE),"※未登録"))</f>
        <v>光熱水料</v>
      </c>
      <c r="R18" s="769">
        <f>IF($F18="","",$I18+$J18+$K18)</f>
        <v>0</v>
      </c>
      <c r="S18" s="769" t="str">
        <f>IF(OR($F18="",$P18="支払なし",$H18=0,$Q18=""),"",$Q18&amp;"|S|"&amp;(COUNTIF(S$4:S17,$Q18&amp;"|S|*")+1))</f>
        <v>光熱水料|S|3</v>
      </c>
      <c r="T18" s="769" t="str">
        <f>IF(OR($F18="",$P18="支払なし",$R18=0,$Q18=""),"",$Q18&amp;"|L|"&amp;(COUNTIF(T$4:T17,$Q18&amp;"|L|*")+1))</f>
        <v/>
      </c>
      <c r="U18" s="769">
        <f>IF($F18="","",13)</f>
        <v>13</v>
      </c>
    </row>
    <row r="19" ht="16.5" customFormat="1" customHeight="1" s="43">
      <c r="A19" s="760" t="n">
        <v>43951</v>
      </c>
      <c r="B19" s="760" t="inlineStr">
        <is>
          <t>未払金</t>
        </is>
      </c>
      <c r="C19" s="762" t="inlineStr">
        <is>
          <t>事務費</t>
        </is>
      </c>
      <c r="D19" s="762" t="inlineStr">
        <is>
          <t>事務用消耗品費</t>
        </is>
      </c>
      <c r="E19" s="762" t="inlineStr">
        <is>
          <t>複写機用紙等購入代分担金（第4四半期）短期</t>
        </is>
      </c>
      <c r="F19" s="807" t="n">
        <v>92843</v>
      </c>
      <c r="G19" s="807" t="n">
        <v>2</v>
      </c>
      <c r="H19" s="818">
        <f>IF(G19=1,F19-I19-J19-K19,IF(G19=2,F19,0))</f>
        <v>92843</v>
      </c>
      <c r="I19" s="818">
        <f>ROUND(IF(G19=1,F19*10/23,IF(G19=3,F19-J19-K19,IF(G19=4,F19,IF(G19=5,F19*10/11,IF(G19=7,F19*10/11,0))))),0)</f>
        <v>0</v>
      </c>
      <c r="J19" s="818">
        <f>ROUND(IF(G19=1,F19/23,IF(G19=3,F19/12,IF(G19=5,F19-I19,IF(G19=8,F19,0)))),0)</f>
        <v>0</v>
      </c>
      <c r="K19" s="819">
        <f>ROUND(IF(G19=1,F19/23,IF(G19=3,F19/12,IF(G19=6,F19,IF(G19=7,F19-I19,0)))),0)</f>
        <v>0</v>
      </c>
      <c r="L19" s="820">
        <f>IF(G19=6,F19,0)</f>
        <v>0</v>
      </c>
      <c r="N19" s="43" t="inlineStr">
        <is>
          <t>水道料</t>
        </is>
      </c>
      <c r="P19" s="768" t="inlineStr">
        <is>
          <t>昨年実績</t>
        </is>
      </c>
      <c r="Q19" s="769" t="str">
        <f>IF($F19="","",IFERROR(VLOOKUP($C19&amp;"|"&amp;$D19,科目表!$A$5:$B$200,2,FALSE),"※未登録"))</f>
        <v>事務用消耗品費</v>
      </c>
      <c r="R19" s="769">
        <f>IF($F19="","",$I19+$J19+$K19)</f>
        <v>0</v>
      </c>
      <c r="S19" s="769" t="str">
        <f>IF(OR($F19="",$P19="支払なし",$H19=0,$Q19=""),"",$Q19&amp;"|S|"&amp;(COUNTIF(S$4:S18,$Q19&amp;"|S|*")+1))</f>
        <v>事務用消耗品費|S|1</v>
      </c>
      <c r="T19" s="769" t="str">
        <f>IF(OR($F19="",$P19="支払なし",$R19=0,$Q19=""),"",$Q19&amp;"|L|"&amp;(COUNTIF(T$4:T18,$Q19&amp;"|L|*")+1))</f>
        <v/>
      </c>
      <c r="U19" s="769">
        <f>IF($F19="","",13)</f>
        <v>13</v>
      </c>
    </row>
    <row r="20" ht="16.5" customHeight="1" s="186">
      <c r="A20" s="760" t="n">
        <v>43931</v>
      </c>
      <c r="B20" s="760" t="inlineStr">
        <is>
          <t>未払金</t>
        </is>
      </c>
      <c r="C20" s="762" t="inlineStr">
        <is>
          <t>事務費</t>
        </is>
      </c>
      <c r="D20" s="762" t="inlineStr">
        <is>
          <t>送金料</t>
        </is>
      </c>
      <c r="E20" s="775" t="inlineStr">
        <is>
          <t>広銀手数料（３月分）短期</t>
        </is>
      </c>
      <c r="F20" s="821" t="n">
        <v>100870</v>
      </c>
      <c r="G20" s="821" t="n">
        <v>2</v>
      </c>
      <c r="H20" s="818">
        <f>IF(G20=1,F20-I20-J20-K20,IF(G20=2,F20,0))</f>
        <v>100870</v>
      </c>
      <c r="I20" s="818">
        <f>ROUND(IF(G20=1,F20*10/23,IF(G20=3,F20-J20-K20,IF(G20=4,F20,IF(G20=5,F20*10/11,IF(G20=7,F20*10/11,0))))),0)</f>
        <v>0</v>
      </c>
      <c r="J20" s="818">
        <f>ROUND(IF(G20=1,F20/23,IF(G20=3,F20/12,IF(G20=5,F20-I20,IF(G20=8,F20,0)))),0)</f>
        <v>0</v>
      </c>
      <c r="K20" s="819">
        <f>ROUND(IF(G20=1,F20/23,IF(G20=3,F20/12,IF(G20=6,F20,IF(G20=7,F20-I20,0)))),0)</f>
        <v>0</v>
      </c>
      <c r="L20" s="820">
        <f>IF(G20=6,F20,0)</f>
        <v>0</v>
      </c>
      <c r="N20" s="85" t="inlineStr">
        <is>
          <t>協会けんぽ保険料等</t>
        </is>
      </c>
      <c r="P20" s="768" t="inlineStr">
        <is>
          <t>昨年実績</t>
        </is>
      </c>
      <c r="Q20" s="769" t="str">
        <f>IF($F20="","",IFERROR(VLOOKUP($C20&amp;"|"&amp;$D20,科目表!$A$5:$B$200,2,FALSE),"※未登録"))</f>
        <v>送金料</v>
      </c>
      <c r="R20" s="769">
        <f>IF($F20="","",$I20+$J20+$K20)</f>
        <v>0</v>
      </c>
      <c r="S20" s="769" t="str">
        <f>IF(OR($F20="",$P20="支払なし",$H20=0,$Q20=""),"",$Q20&amp;"|S|"&amp;(COUNTIF(S$4:S19,$Q20&amp;"|S|*")+1))</f>
        <v>送金料|S|1</v>
      </c>
      <c r="T20" s="769" t="str">
        <f>IF(OR($F20="",$P20="支払なし",$R20=0,$Q20=""),"",$Q20&amp;"|L|"&amp;(COUNTIF(T$4:T19,$Q20&amp;"|L|*")+1))</f>
        <v/>
      </c>
      <c r="U20" s="769">
        <f>IF($F20="","",13)</f>
        <v>13</v>
      </c>
    </row>
    <row r="21" ht="16.5" customFormat="1" customHeight="1" s="418">
      <c r="A21" s="760" t="n">
        <v>44679</v>
      </c>
      <c r="B21" s="760" t="inlineStr">
        <is>
          <t>未払金</t>
        </is>
      </c>
      <c r="C21" s="762" t="inlineStr">
        <is>
          <t>事務費</t>
        </is>
      </c>
      <c r="D21" s="762" t="inlineStr">
        <is>
          <t>通信運搬費</t>
        </is>
      </c>
      <c r="E21" s="762" t="inlineStr">
        <is>
          <t>柔整申請書送付（3月分）</t>
        </is>
      </c>
      <c r="F21" s="821" t="n">
        <v>1386</v>
      </c>
      <c r="G21" s="821" t="n">
        <v>2</v>
      </c>
      <c r="H21" s="818">
        <f>IF(G21=1,F21-I21-J21-K21,IF(G21=2,F21,0))</f>
        <v>1386</v>
      </c>
      <c r="I21" s="818">
        <f>ROUND(IF(G21=1,F21*10/23,IF(G21=3,F21-J21-K21,IF(G21=4,F21,IF(G21=5,F21*10/11,IF(G21=7,F21*10/11,0))))),0)</f>
        <v>0</v>
      </c>
      <c r="J21" s="818">
        <f>ROUND(IF(G21=1,F21/23,IF(G21=3,F21/12,IF(G21=5,F21-I21,IF(G21=8,F21,0)))),0)</f>
        <v>0</v>
      </c>
      <c r="K21" s="819">
        <f>ROUND(IF(G21=1,F21/23,IF(G21=3,F21/12,IF(G21=6,F21,IF(G21=7,F21-I21,0)))),0)</f>
        <v>0</v>
      </c>
      <c r="L21" s="820">
        <f>IF(G21=6,F21,0)</f>
        <v>0</v>
      </c>
      <c r="N21" s="418" t="inlineStr">
        <is>
          <t>厚年負担金等</t>
        </is>
      </c>
      <c r="P21" s="768" t="inlineStr">
        <is>
          <t>昨年実績</t>
        </is>
      </c>
      <c r="Q21" s="769" t="str">
        <f>IF($F21="","",IFERROR(VLOOKUP($C21&amp;"|"&amp;$D21,科目表!$A$5:$B$200,2,FALSE),"※未登録"))</f>
        <v>通信運搬費</v>
      </c>
      <c r="R21" s="769">
        <f>IF($F21="","",$I21+$J21+$K21)</f>
        <v>0</v>
      </c>
      <c r="S21" s="769" t="str">
        <f>IF(OR($F21="",$P21="支払なし",$H21=0,$Q21=""),"",$Q21&amp;"|S|"&amp;(COUNTIF(S$4:S20,$Q21&amp;"|S|*")+1))</f>
        <v>通信運搬費|S|1</v>
      </c>
      <c r="T21" s="769" t="str">
        <f>IF(OR($F21="",$P21="支払なし",$R21=0,$Q21=""),"",$Q21&amp;"|L|"&amp;(COUNTIF(T$4:T20,$Q21&amp;"|L|*")+1))</f>
        <v/>
      </c>
      <c r="U21" s="769">
        <f>IF($F21="","",13)</f>
        <v>13</v>
      </c>
    </row>
    <row r="22" ht="16.5" customFormat="1" customHeight="1" s="418">
      <c r="A22" s="760" t="n">
        <v>45383</v>
      </c>
      <c r="B22" s="760" t="inlineStr">
        <is>
          <t>未払金</t>
        </is>
      </c>
      <c r="C22" s="762" t="inlineStr">
        <is>
          <t>事務費</t>
        </is>
      </c>
      <c r="D22" s="762" t="inlineStr">
        <is>
          <t>通信運搬費</t>
        </is>
      </c>
      <c r="E22" s="763" t="inlineStr">
        <is>
          <t>フレッツ光ネクスト利用料等（2月利用・3月請求分）</t>
        </is>
      </c>
      <c r="F22" s="821" t="n">
        <v>4906</v>
      </c>
      <c r="G22" s="821" t="n">
        <v>2</v>
      </c>
      <c r="H22" s="818">
        <f>IF(G22=1,F22-I22-J22-K22,IF(G22=2,F22,0))</f>
        <v>4906</v>
      </c>
      <c r="I22" s="818">
        <f>ROUND(IF(G22=1,F22*10/23,IF(G22=3,F22-J22-K22,IF(G22=4,F22,IF(G22=5,F22*10/11,IF(G22=7,F22*10/11,0))))),0)</f>
        <v>0</v>
      </c>
      <c r="J22" s="818">
        <f>ROUND(IF(G22=1,F22/23,IF(G22=3,F22/12,IF(G22=5,F22-I22,IF(G22=8,F22,0)))),0)</f>
        <v>0</v>
      </c>
      <c r="K22" s="819">
        <f>ROUND(IF(G22=1,F22/23,IF(G22=3,F22/12,IF(G22=6,F22,IF(G22=7,F22-I22,0)))),0)</f>
        <v>0</v>
      </c>
      <c r="L22" s="820">
        <f>IF(G22=6,F22,0)</f>
        <v>0</v>
      </c>
      <c r="P22" s="768" t="inlineStr">
        <is>
          <t>昨年実績</t>
        </is>
      </c>
      <c r="Q22" s="769" t="str">
        <f>IF($F22="","",IFERROR(VLOOKUP($C22&amp;"|"&amp;$D22,科目表!$A$5:$B$200,2,FALSE),"※未登録"))</f>
        <v>通信運搬費</v>
      </c>
      <c r="R22" s="769">
        <f>IF($F22="","",$I22+$J22+$K22)</f>
        <v>0</v>
      </c>
      <c r="S22" s="769" t="str">
        <f>IF(OR($F22="",$P22="支払なし",$H22=0,$Q22=""),"",$Q22&amp;"|S|"&amp;(COUNTIF(S$4:S21,$Q22&amp;"|S|*")+1))</f>
        <v>通信運搬費|S|2</v>
      </c>
      <c r="T22" s="769" t="str">
        <f>IF(OR($F22="",$P22="支払なし",$R22=0,$Q22=""),"",$Q22&amp;"|L|"&amp;(COUNTIF(T$4:T21,$Q22&amp;"|L|*")+1))</f>
        <v/>
      </c>
      <c r="U22" s="769">
        <f>IF($F22="","",13)</f>
        <v>13</v>
      </c>
    </row>
    <row r="23" ht="16.5" customHeight="1" s="186">
      <c r="A23" s="760" t="n">
        <v>43951</v>
      </c>
      <c r="B23" s="760" t="inlineStr">
        <is>
          <t>未払金</t>
        </is>
      </c>
      <c r="C23" s="762" t="inlineStr">
        <is>
          <t>事務費</t>
        </is>
      </c>
      <c r="D23" s="762" t="inlineStr">
        <is>
          <t>通信運搬費</t>
        </is>
      </c>
      <c r="E23" s="775" t="inlineStr">
        <is>
          <t>事務局電話代　3月使用4月請求分</t>
        </is>
      </c>
      <c r="F23" s="821" t="n">
        <v>5406</v>
      </c>
      <c r="G23" s="821" t="n">
        <v>2</v>
      </c>
      <c r="H23" s="818">
        <f>IF(G23=1,F23-I23-J23-K23,IF(G23=2,F23,0))</f>
        <v>5406</v>
      </c>
      <c r="I23" s="818">
        <f>ROUND(IF(G23=1,F23*10/23,IF(G23=3,F23-J23-K23,IF(G23=4,F23,IF(G23=5,F23*10/11,IF(G23=7,F23*10/11,0))))),0)</f>
        <v>0</v>
      </c>
      <c r="J23" s="818">
        <f>ROUND(IF(G23=1,F23/23,IF(G23=3,F23/12,IF(G23=5,F23-I23,IF(G23=8,F23,0)))),0)</f>
        <v>0</v>
      </c>
      <c r="K23" s="819">
        <f>ROUND(IF(G23=1,F23/23,IF(G23=3,F23/12,IF(G23=6,F23,IF(G23=7,F23-I23,0)))),0)</f>
        <v>0</v>
      </c>
      <c r="L23" s="820">
        <f>IF(G23=6,F23,0)</f>
        <v>0</v>
      </c>
      <c r="N23" s="43" t="inlineStr">
        <is>
          <t>労災・雇用保険料</t>
        </is>
      </c>
      <c r="P23" s="768" t="inlineStr">
        <is>
          <t>昨年実績</t>
        </is>
      </c>
      <c r="Q23" s="769" t="str">
        <f>IF($F23="","",IFERROR(VLOOKUP($C23&amp;"|"&amp;$D23,科目表!$A$5:$B$200,2,FALSE),"※未登録"))</f>
        <v>通信運搬費</v>
      </c>
      <c r="R23" s="769">
        <f>IF($F23="","",$I23+$J23+$K23)</f>
        <v>0</v>
      </c>
      <c r="S23" s="769" t="str">
        <f>IF(OR($F23="",$P23="支払なし",$H23=0,$Q23=""),"",$Q23&amp;"|S|"&amp;(COUNTIF(S$4:S22,$Q23&amp;"|S|*")+1))</f>
        <v>通信運搬費|S|3</v>
      </c>
      <c r="T23" s="769" t="str">
        <f>IF(OR($F23="",$P23="支払なし",$R23=0,$Q23=""),"",$Q23&amp;"|L|"&amp;(COUNTIF(T$4:T22,$Q23&amp;"|L|*")+1))</f>
        <v/>
      </c>
      <c r="U23" s="769">
        <f>IF($F23="","",13)</f>
        <v>13</v>
      </c>
    </row>
    <row r="24" ht="16.5" customFormat="1" customHeight="1" s="43">
      <c r="A24" s="760" t="n">
        <v>43951</v>
      </c>
      <c r="B24" s="760" t="inlineStr">
        <is>
          <t>未払金</t>
        </is>
      </c>
      <c r="C24" s="762" t="inlineStr">
        <is>
          <t>事務費</t>
        </is>
      </c>
      <c r="D24" s="762" t="inlineStr">
        <is>
          <t>通信運搬費</t>
        </is>
      </c>
      <c r="E24" s="762" t="inlineStr">
        <is>
          <t>ファクシミリ電話代等分担金（第4四半期）短期</t>
        </is>
      </c>
      <c r="F24" s="807" t="n">
        <v>5952</v>
      </c>
      <c r="G24" s="807" t="n">
        <v>2</v>
      </c>
      <c r="H24" s="818">
        <f>IF(G24=1,F24-I24-J24-K24,IF(G24=2,F24,0))</f>
        <v>5952</v>
      </c>
      <c r="I24" s="818">
        <f>ROUND(IF(G24=1,F24*10/23,IF(G24=3,F24-J24-K24,IF(G24=4,F24,IF(G24=5,F24*10/11,IF(G24=7,F24*10/11,0))))),0)</f>
        <v>0</v>
      </c>
      <c r="J24" s="818">
        <f>ROUND(IF(G24=1,F24/23,IF(G24=3,F24/12,IF(G24=5,F24-I24,IF(G24=8,F24,0)))),0)</f>
        <v>0</v>
      </c>
      <c r="K24" s="819">
        <f>ROUND(IF(G24=1,F24/23,IF(G24=3,F24/12,IF(G24=6,F24,IF(G24=7,F24-I24,0)))),0)</f>
        <v>0</v>
      </c>
      <c r="L24" s="820">
        <f>IF(G24=6,F24,0)</f>
        <v>0</v>
      </c>
      <c r="N24" s="85" t="inlineStr">
        <is>
          <t>互助会費</t>
        </is>
      </c>
      <c r="P24" s="768" t="inlineStr">
        <is>
          <t>昨年実績</t>
        </is>
      </c>
      <c r="Q24" s="769" t="str">
        <f>IF($F24="","",IFERROR(VLOOKUP($C24&amp;"|"&amp;$D24,科目表!$A$5:$B$200,2,FALSE),"※未登録"))</f>
        <v>通信運搬費</v>
      </c>
      <c r="R24" s="769">
        <f>IF($F24="","",$I24+$J24+$K24)</f>
        <v>0</v>
      </c>
      <c r="S24" s="769" t="str">
        <f>IF(OR($F24="",$P24="支払なし",$H24=0,$Q24=""),"",$Q24&amp;"|S|"&amp;(COUNTIF(S$4:S23,$Q24&amp;"|S|*")+1))</f>
        <v>通信運搬費|S|4</v>
      </c>
      <c r="T24" s="769" t="str">
        <f>IF(OR($F24="",$P24="支払なし",$R24=0,$Q24=""),"",$Q24&amp;"|L|"&amp;(COUNTIF(T$4:T23,$Q24&amp;"|L|*")+1))</f>
        <v/>
      </c>
      <c r="U24" s="769">
        <f>IF($F24="","",13)</f>
        <v>13</v>
      </c>
    </row>
    <row r="25" ht="16.5" customFormat="1" customHeight="1" s="43">
      <c r="A25" s="760" t="n">
        <v>43951</v>
      </c>
      <c r="B25" s="760" t="inlineStr">
        <is>
          <t>未払金</t>
        </is>
      </c>
      <c r="C25" s="762" t="inlineStr">
        <is>
          <t>事務費</t>
        </is>
      </c>
      <c r="D25" s="762" t="inlineStr">
        <is>
          <t>通信運搬費</t>
        </is>
      </c>
      <c r="E25" s="762" t="inlineStr">
        <is>
          <t>行政財産使用電話料（１０～３月分）</t>
        </is>
      </c>
      <c r="F25" s="807" t="n">
        <v>54000</v>
      </c>
      <c r="G25" s="807" t="n">
        <v>2</v>
      </c>
      <c r="H25" s="818">
        <f>IF(G25=1,F25-I25-J25-K25,IF(G25=2,F25,0))</f>
        <v>54000</v>
      </c>
      <c r="I25" s="818">
        <f>ROUND(IF(G25=1,F25*10/23,IF(G25=3,F25-J25-K25,IF(G25=4,F25,IF(G25=5,F25*10/11,IF(G25=7,F25*10/11,0))))),0)</f>
        <v>0</v>
      </c>
      <c r="J25" s="818">
        <f>ROUND(IF(G25=1,F25/23,IF(G25=3,F25/12,IF(G25=5,F25-I25,IF(G25=8,F25,0)))),0)</f>
        <v>0</v>
      </c>
      <c r="K25" s="819">
        <f>ROUND(IF(G25=1,F25/23,IF(G25=3,F25/12,IF(G25=6,F25,IF(G25=7,F25-I25,0)))),0)</f>
        <v>0</v>
      </c>
      <c r="L25" s="820">
        <f>IF(G25=6,F25,0)</f>
        <v>0</v>
      </c>
      <c r="N25" s="43" t="inlineStr">
        <is>
          <t>会議出席負担金等</t>
        </is>
      </c>
      <c r="P25" s="768" t="inlineStr">
        <is>
          <t>昨年実績</t>
        </is>
      </c>
      <c r="Q25" s="769" t="str">
        <f>IF($F25="","",IFERROR(VLOOKUP($C25&amp;"|"&amp;$D25,科目表!$A$5:$B$200,2,FALSE),"※未登録"))</f>
        <v>通信運搬費</v>
      </c>
      <c r="R25" s="769">
        <f>IF($F25="","",$I25+$J25+$K25)</f>
        <v>0</v>
      </c>
      <c r="S25" s="769" t="str">
        <f>IF(OR($F25="",$P25="支払なし",$H25=0,$Q25=""),"",$Q25&amp;"|S|"&amp;(COUNTIF(S$4:S24,$Q25&amp;"|S|*")+1))</f>
        <v>通信運搬費|S|5</v>
      </c>
      <c r="T25" s="769" t="str">
        <f>IF(OR($F25="",$P25="支払なし",$R25=0,$Q25=""),"",$Q25&amp;"|L|"&amp;(COUNTIF(T$4:T24,$Q25&amp;"|L|*")+1))</f>
        <v/>
      </c>
      <c r="U25" s="769">
        <f>IF($F25="","",13)</f>
        <v>13</v>
      </c>
    </row>
    <row r="26" ht="16.5" customFormat="1" customHeight="1" s="418">
      <c r="A26" s="760" t="n">
        <v>45383</v>
      </c>
      <c r="B26" s="760" t="inlineStr">
        <is>
          <t>未払金</t>
        </is>
      </c>
      <c r="C26" s="762" t="inlineStr">
        <is>
          <t>事務費</t>
        </is>
      </c>
      <c r="D26" s="762" t="inlineStr">
        <is>
          <t>通信運搬費</t>
        </is>
      </c>
      <c r="E26" s="762" t="inlineStr">
        <is>
          <t>インターネット通信料金（１月・２月使用・３月請求分）</t>
        </is>
      </c>
      <c r="F26" s="807" t="n">
        <v>3415</v>
      </c>
      <c r="G26" s="807" t="n">
        <v>2</v>
      </c>
      <c r="H26" s="818">
        <f>IF(G26=1,F26-I26-J26-K26,IF(G26=2,F26,0))</f>
        <v>3415</v>
      </c>
      <c r="I26" s="818">
        <f>ROUND(IF(G26=1,F26*10/23,IF(G26=3,F26-J26-K26,IF(G26=4,F26,IF(G26=5,F26*10/11,IF(G26=7,F26*10/11,0))))),0)</f>
        <v>0</v>
      </c>
      <c r="J26" s="818">
        <f>ROUND(IF(G26=1,F26/23,IF(G26=3,F26/12,IF(G26=5,F26-I26,IF(G26=8,F26,0)))),0)</f>
        <v>0</v>
      </c>
      <c r="K26" s="819">
        <f>ROUND(IF(G26=1,F26/23,IF(G26=3,F26/12,IF(G26=6,F26,IF(G26=7,F26-I26,0)))),0)</f>
        <v>0</v>
      </c>
      <c r="L26" s="820">
        <f>IF(G26=6,F26,0)</f>
        <v>0</v>
      </c>
      <c r="N26" s="418" t="inlineStr">
        <is>
          <t>市町村連合会分担金</t>
        </is>
      </c>
      <c r="P26" s="768" t="inlineStr">
        <is>
          <t>昨年実績</t>
        </is>
      </c>
      <c r="Q26" s="769" t="str">
        <f>IF($F26="","",IFERROR(VLOOKUP($C26&amp;"|"&amp;$D26,科目表!$A$5:$B$200,2,FALSE),"※未登録"))</f>
        <v>通信運搬費</v>
      </c>
      <c r="R26" s="769">
        <f>IF($F26="","",$I26+$J26+$K26)</f>
        <v>0</v>
      </c>
      <c r="S26" s="769" t="str">
        <f>IF(OR($F26="",$P26="支払なし",$H26=0,$Q26=""),"",$Q26&amp;"|S|"&amp;(COUNTIF(S$4:S25,$Q26&amp;"|S|*")+1))</f>
        <v>通信運搬費|S|6</v>
      </c>
      <c r="T26" s="769" t="str">
        <f>IF(OR($F26="",$P26="支払なし",$R26=0,$Q26=""),"",$Q26&amp;"|L|"&amp;(COUNTIF(T$4:T25,$Q26&amp;"|L|*")+1))</f>
        <v/>
      </c>
      <c r="U26" s="769">
        <f>IF($F26="","",13)</f>
        <v>13</v>
      </c>
    </row>
    <row r="27" ht="16.5" customFormat="1" customHeight="1" s="43">
      <c r="A27" s="760" t="n">
        <v>46127</v>
      </c>
      <c r="B27" s="760" t="inlineStr">
        <is>
          <t>未払費用</t>
        </is>
      </c>
      <c r="C27" s="762" t="inlineStr">
        <is>
          <t>賃金</t>
        </is>
      </c>
      <c r="D27" s="762" t="n"/>
      <c r="E27" s="762" t="inlineStr">
        <is>
          <t>臨時職員賃金３月分　佐藤幸恵他１名分（短期１００％）</t>
        </is>
      </c>
      <c r="F27" s="807" t="n">
        <v>376346</v>
      </c>
      <c r="G27" s="807" t="n">
        <v>2</v>
      </c>
      <c r="H27" s="818">
        <f>IF(G27=1,F27-I27-J27-K27,IF(G27=2,F27,0))</f>
        <v>376346</v>
      </c>
      <c r="I27" s="818">
        <f>ROUND(IF(G27=1,F27*10/23,IF(G27=3,F27-J27-K27,IF(G27=4,F27,IF(G27=5,F27*10/11,IF(G27=7,F27*10/11,0))))),0)</f>
        <v>0</v>
      </c>
      <c r="J27" s="818">
        <f>ROUND(IF(G27=1,F27/23,IF(G27=3,F27/12,IF(G27=5,F27-I27,IF(G27=8,F27,0)))),0)</f>
        <v>0</v>
      </c>
      <c r="K27" s="819">
        <f>ROUND(IF(G27=1,F27/23,IF(G27=3,F27/12,IF(G27=6,F27,IF(G27=7,F27-I27,0)))),0)</f>
        <v>0</v>
      </c>
      <c r="L27" s="820">
        <f>IF(G27=6,F27,0)</f>
        <v>0</v>
      </c>
      <c r="N27" s="43" t="inlineStr">
        <is>
          <t>器具及び備品</t>
        </is>
      </c>
      <c r="P27" s="768" t="inlineStr">
        <is>
          <t>昨年実績</t>
        </is>
      </c>
      <c r="Q27" s="769" t="str">
        <f>IF($F27="","",IFERROR(VLOOKUP($C27&amp;"|"&amp;$D27,科目表!$A$5:$B$200,2,FALSE),"※未登録"))</f>
        <v>賃金</v>
      </c>
      <c r="R27" s="769">
        <f>IF($F27="","",$I27+$J27+$K27)</f>
        <v>0</v>
      </c>
      <c r="S27" s="769" t="str">
        <f>IF(OR($F27="",$P27="支払なし",$H27=0,$Q27=""),"",$Q27&amp;"|S|"&amp;(COUNTIF(S$4:S26,$Q27&amp;"|S|*")+1))</f>
        <v>賃金|S|1</v>
      </c>
      <c r="T27" s="769" t="str">
        <f>IF(OR($F27="",$P27="支払なし",$R27=0,$Q27=""),"",$Q27&amp;"|L|"&amp;(COUNTIF(T$4:T26,$Q27&amp;"|L|*")+1))</f>
        <v/>
      </c>
      <c r="U27" s="769">
        <f>IF($F27="","",13)</f>
        <v>13</v>
      </c>
    </row>
    <row r="28" ht="16.5" customFormat="1" customHeight="1" s="43">
      <c r="A28" s="760" t="n">
        <v>46127</v>
      </c>
      <c r="B28" s="760" t="inlineStr">
        <is>
          <t>未払金</t>
        </is>
      </c>
      <c r="C28" s="762" t="inlineStr">
        <is>
          <t>賃借料</t>
        </is>
      </c>
      <c r="D28" s="762" t="n"/>
      <c r="E28" s="762" t="inlineStr">
        <is>
          <t>パソコン（業務経理用）3月分</t>
        </is>
      </c>
      <c r="F28" s="807" t="n">
        <v>5060</v>
      </c>
      <c r="G28" s="807" t="n">
        <v>2</v>
      </c>
      <c r="H28" s="818">
        <f>IF(G28=1,F28-I28-J28-K28,IF(G28=2,F28,0))</f>
        <v>5060</v>
      </c>
      <c r="I28" s="818">
        <f>ROUND(IF(G28=1,F28*10/23,IF(G28=3,F28-J28-K28,IF(G28=4,F28,IF(G28=5,F28*10/11,IF(G28=7,F28*10/11,0))))),0)</f>
        <v>0</v>
      </c>
      <c r="J28" s="818">
        <f>ROUND(IF(G28=1,F28/23,IF(G28=3,F28/12,IF(G28=5,F28-I28,IF(G28=8,F28,0)))),0)</f>
        <v>0</v>
      </c>
      <c r="K28" s="819">
        <f>ROUND(IF(G28=1,F28/23,IF(G28=3,F28/12,IF(G28=6,F28,IF(G28=7,F28-I28,0)))),0)</f>
        <v>0</v>
      </c>
      <c r="L28" s="820">
        <f>IF(G28=6,F28,0)</f>
        <v>0</v>
      </c>
      <c r="P28" s="768" t="inlineStr">
        <is>
          <t>昨年実績</t>
        </is>
      </c>
      <c r="Q28" s="769" t="str">
        <f>IF($F28="","",IFERROR(VLOOKUP($C28&amp;"|"&amp;$D28,科目表!$A$5:$B$200,2,FALSE),"※未登録"))</f>
        <v>賃借料</v>
      </c>
      <c r="R28" s="769">
        <f>IF($F28="","",$I28+$J28+$K28)</f>
        <v>0</v>
      </c>
      <c r="S28" s="769" t="str">
        <f>IF(OR($F28="",$P28="支払なし",$H28=0,$Q28=""),"",$Q28&amp;"|S|"&amp;(COUNTIF(S$4:S27,$Q28&amp;"|S|*")+1))</f>
        <v>賃借料|S|1</v>
      </c>
      <c r="T28" s="769" t="str">
        <f>IF(OR($F28="",$P28="支払なし",$R28=0,$Q28=""),"",$Q28&amp;"|L|"&amp;(COUNTIF(T$4:T27,$Q28&amp;"|L|*")+1))</f>
        <v/>
      </c>
      <c r="U28" s="769">
        <f>IF($F28="","",13)</f>
        <v>13</v>
      </c>
    </row>
    <row r="29" ht="16.5" customFormat="1" customHeight="1" s="43">
      <c r="A29" s="760" t="n">
        <v>44316</v>
      </c>
      <c r="B29" s="760" t="inlineStr">
        <is>
          <t>未払金</t>
        </is>
      </c>
      <c r="C29" s="762" t="inlineStr">
        <is>
          <t>事務費</t>
        </is>
      </c>
      <c r="D29" s="762" t="inlineStr">
        <is>
          <t>事務用消耗品費</t>
        </is>
      </c>
      <c r="E29" s="762" t="inlineStr">
        <is>
          <t>リサイクルトナー　ＬＰＢ３Ｔ２７</t>
        </is>
      </c>
      <c r="F29" s="807" t="n">
        <v>49500</v>
      </c>
      <c r="G29" s="807" t="n">
        <v>2</v>
      </c>
      <c r="H29" s="818">
        <f>IF(G29=1,F29-I29-J29-K29,IF(G29=2,F29,0))</f>
        <v>49500</v>
      </c>
      <c r="I29" s="818">
        <f>ROUND(IF(G29=1,F29*10/23,IF(G29=3,F29-J29-K29,IF(G29=4,F29,IF(G29=5,F29*10/11,IF(G29=7,F29*10/11,0))))),0)</f>
        <v>0</v>
      </c>
      <c r="J29" s="818">
        <f>ROUND(IF(G29=1,F29/23,IF(G29=3,F29/12,IF(G29=5,F29-I29,IF(G29=8,F29,0)))),0)</f>
        <v>0</v>
      </c>
      <c r="K29" s="819">
        <f>ROUND(IF(G29=1,F29/23,IF(G29=3,F29/12,IF(G29=6,F29,IF(G29=7,F29-I29,0)))),0)</f>
        <v>0</v>
      </c>
      <c r="L29" s="820">
        <f>IF(G29=6,F29,0)</f>
        <v>0</v>
      </c>
      <c r="P29" s="768" t="inlineStr">
        <is>
          <t>昨年実績</t>
        </is>
      </c>
      <c r="Q29" s="769" t="str">
        <f>IF($F29="","",IFERROR(VLOOKUP($C29&amp;"|"&amp;$D29,科目表!$A$5:$B$200,2,FALSE),"※未登録"))</f>
        <v>事務用消耗品費</v>
      </c>
      <c r="R29" s="769">
        <f>IF($F29="","",$I29+$J29+$K29)</f>
        <v>0</v>
      </c>
      <c r="S29" s="769" t="str">
        <f>IF(OR($F29="",$P29="支払なし",$H29=0,$Q29=""),"",$Q29&amp;"|S|"&amp;(COUNTIF(S$4:S28,$Q29&amp;"|S|*")+1))</f>
        <v>事務用消耗品費|S|2</v>
      </c>
      <c r="T29" s="769" t="str">
        <f>IF(OR($F29="",$P29="支払なし",$R29=0,$Q29=""),"",$Q29&amp;"|L|"&amp;(COUNTIF(T$4:T28,$Q29&amp;"|L|*")+1))</f>
        <v/>
      </c>
      <c r="U29" s="769">
        <f>IF($F29="","",13)</f>
        <v>13</v>
      </c>
    </row>
    <row r="30" ht="16.5" customFormat="1" customHeight="1" s="43">
      <c r="A30" s="760" t="n">
        <v>46140</v>
      </c>
      <c r="B30" s="760" t="inlineStr">
        <is>
          <t>未払金</t>
        </is>
      </c>
      <c r="C30" s="762" t="inlineStr">
        <is>
          <t>賃借料</t>
        </is>
      </c>
      <c r="D30" s="762" t="n"/>
      <c r="E30" s="762" t="inlineStr">
        <is>
          <t>サーバーラック賃借料　（短期）</t>
        </is>
      </c>
      <c r="F30" s="807" t="n">
        <v>156144</v>
      </c>
      <c r="G30" s="807" t="n">
        <v>2</v>
      </c>
      <c r="H30" s="818">
        <f>IF(G30=1,F30-I30-J30-K30,IF(G30=2,F30,0))</f>
        <v>156144</v>
      </c>
      <c r="I30" s="818">
        <f>ROUND(IF(G30=1,F30*10/23,IF(G30=3,F30-J30-K30,IF(G30=4,F30,IF(G30=5,F30*10/11,IF(G30=7,F30*10/11,0))))),0)</f>
        <v>0</v>
      </c>
      <c r="J30" s="818">
        <f>ROUND(IF(G30=1,F30/23,IF(G30=3,F30/12,IF(G30=5,F30-I30,IF(G30=8,F30,0)))),0)</f>
        <v>0</v>
      </c>
      <c r="K30" s="819">
        <f>ROUND(IF(G30=1,F30/23,IF(G30=3,F30/12,IF(G30=6,F30,IF(G30=7,F30-I30,0)))),0)</f>
        <v>0</v>
      </c>
      <c r="L30" s="820">
        <f>IF(G30=6,F30,0)</f>
        <v>0</v>
      </c>
      <c r="P30" s="768" t="inlineStr">
        <is>
          <t>昨年実績</t>
        </is>
      </c>
      <c r="Q30" s="769" t="str">
        <f>IF($F30="","",IFERROR(VLOOKUP($C30&amp;"|"&amp;$D30,科目表!$A$5:$B$200,2,FALSE),"※未登録"))</f>
        <v>賃借料</v>
      </c>
      <c r="R30" s="769">
        <f>IF($F30="","",$I30+$J30+$K30)</f>
        <v>0</v>
      </c>
      <c r="S30" s="769" t="str">
        <f>IF(OR($F30="",$P30="支払なし",$H30=0,$Q30=""),"",$Q30&amp;"|S|"&amp;(COUNTIF(S$4:S29,$Q30&amp;"|S|*")+1))</f>
        <v>賃借料|S|2</v>
      </c>
      <c r="T30" s="769" t="str">
        <f>IF(OR($F30="",$P30="支払なし",$R30=0,$Q30=""),"",$Q30&amp;"|L|"&amp;(COUNTIF(T$4:T29,$Q30&amp;"|L|*")+1))</f>
        <v/>
      </c>
      <c r="U30" s="769">
        <f>IF($F30="","",13)</f>
        <v>13</v>
      </c>
    </row>
    <row r="31" ht="16.5" customFormat="1" customHeight="1" s="418">
      <c r="A31" s="760" t="n">
        <v>45397</v>
      </c>
      <c r="B31" s="760" t="inlineStr">
        <is>
          <t>未払金</t>
        </is>
      </c>
      <c r="C31" s="762" t="inlineStr">
        <is>
          <t>賃借料</t>
        </is>
      </c>
      <c r="D31" s="762" t="n"/>
      <c r="E31" s="762" t="inlineStr">
        <is>
          <t>サーバーラック賃借料　（長期）</t>
        </is>
      </c>
      <c r="F31" s="821" t="n">
        <v>372</v>
      </c>
      <c r="G31" s="821" t="n">
        <v>3</v>
      </c>
      <c r="H31" s="818">
        <f>IF(G31=1,F31-I31-J31-K31,IF(G31=2,F31,0))</f>
        <v>0</v>
      </c>
      <c r="I31" s="818">
        <f>ROUND(IF(G31=1,F31*10/23,IF(G31=3,F31-J31-K31,IF(G31=4,F31,IF(G31=5,F31*10/11,IF(G31=7,F31*10/11,0))))),0)</f>
        <v>310</v>
      </c>
      <c r="J31" s="818">
        <f>ROUND(IF(G31=1,F31/23,IF(G31=3,F31/12,IF(G31=5,F31-I31,IF(G31=8,F31,0)))),0)</f>
        <v>31</v>
      </c>
      <c r="K31" s="819">
        <f>ROUND(IF(G31=1,F31/23,IF(G31=3,F31/12,IF(G31=6,F31,IF(G31=7,F31-I31,0)))),0)</f>
        <v>31</v>
      </c>
      <c r="L31" s="820">
        <f>IF(G31=6,F31,0)</f>
        <v>0</v>
      </c>
      <c r="P31" s="768" t="inlineStr">
        <is>
          <t>昨年実績</t>
        </is>
      </c>
      <c r="Q31" s="769" t="str">
        <f>IF($F31="","",IFERROR(VLOOKUP($C31&amp;"|"&amp;$D31,科目表!$A$5:$B$200,2,FALSE),"※未登録"))</f>
        <v>賃借料</v>
      </c>
      <c r="R31" s="769">
        <f>IF($F31="","",$I31+$J31+$K31)</f>
        <v>372</v>
      </c>
      <c r="S31" s="769" t="str">
        <f>IF(OR($F31="",$P31="支払なし",$H31=0,$Q31=""),"",$Q31&amp;"|S|"&amp;(COUNTIF(S$4:S30,$Q31&amp;"|S|*")+1))</f>
        <v/>
      </c>
      <c r="T31" s="769" t="str">
        <f>IF(OR($F31="",$P31="支払なし",$R31=0,$Q31=""),"",$Q31&amp;"|L|"&amp;(COUNTIF(T$4:T30,$Q31&amp;"|L|*")+1))</f>
        <v>賃借料|L|1</v>
      </c>
      <c r="U31" s="769">
        <f>IF($F31="","",13)</f>
        <v>13</v>
      </c>
    </row>
    <row r="32" ht="16.5" customFormat="1" customHeight="1" s="418">
      <c r="A32" s="760" t="n">
        <v>44679</v>
      </c>
      <c r="B32" s="760" t="inlineStr">
        <is>
          <t>未払金</t>
        </is>
      </c>
      <c r="C32" s="762" t="inlineStr">
        <is>
          <t>賃借料</t>
        </is>
      </c>
      <c r="D32" s="762" t="n"/>
      <c r="E32" s="762" t="inlineStr">
        <is>
          <t>病院機構人給システム（パソコン・プリンタ使用料）短期</t>
        </is>
      </c>
      <c r="F32" s="807" t="n">
        <v>25902</v>
      </c>
      <c r="G32" s="807" t="n">
        <v>2</v>
      </c>
      <c r="H32" s="818">
        <f>IF(G32=1,F32-I32-J32-K32,IF(G32=2,F32,0))</f>
        <v>25902</v>
      </c>
      <c r="I32" s="818">
        <f>ROUND(IF(G32=1,F32*10/23,IF(G32=3,F32-J32-K32,IF(G32=4,F32,IF(G32=5,F32*10/11,IF(G32=7,F32*10/11,0))))),0)</f>
        <v>0</v>
      </c>
      <c r="J32" s="818">
        <f>ROUND(IF(G32=1,F32/23,IF(G32=3,F32/12,IF(G32=5,F32-I32,IF(G32=8,F32,0)))),0)</f>
        <v>0</v>
      </c>
      <c r="K32" s="819">
        <f>ROUND(IF(G32=1,F32/23,IF(G32=3,F32/12,IF(G32=6,F32,IF(G32=7,F32-I32,0)))),0)</f>
        <v>0</v>
      </c>
      <c r="L32" s="820">
        <f>IF(G32=6,F32,0)</f>
        <v>0</v>
      </c>
      <c r="P32" s="768" t="inlineStr">
        <is>
          <t>昨年実績</t>
        </is>
      </c>
      <c r="Q32" s="769" t="str">
        <f>IF($F32="","",IFERROR(VLOOKUP($C32&amp;"|"&amp;$D32,科目表!$A$5:$B$200,2,FALSE),"※未登録"))</f>
        <v>賃借料</v>
      </c>
      <c r="R32" s="769">
        <f>IF($F32="","",$I32+$J32+$K32)</f>
        <v>0</v>
      </c>
      <c r="S32" s="769" t="str">
        <f>IF(OR($F32="",$P32="支払なし",$H32=0,$Q32=""),"",$Q32&amp;"|S|"&amp;(COUNTIF(S$4:S31,$Q32&amp;"|S|*")+1))</f>
        <v>賃借料|S|3</v>
      </c>
      <c r="T32" s="769" t="str">
        <f>IF(OR($F32="",$P32="支払なし",$R32=0,$Q32=""),"",$Q32&amp;"|L|"&amp;(COUNTIF(T$4:T31,$Q32&amp;"|L|*")+1))</f>
        <v/>
      </c>
      <c r="U32" s="769">
        <f>IF($F32="","",13)</f>
        <v>13</v>
      </c>
    </row>
    <row r="33" ht="16.5" customFormat="1" customHeight="1" s="43">
      <c r="A33" s="760" t="n">
        <v>46128</v>
      </c>
      <c r="B33" s="760" t="inlineStr">
        <is>
          <t>未払金</t>
        </is>
      </c>
      <c r="C33" s="762" t="inlineStr">
        <is>
          <t>賃借料</t>
        </is>
      </c>
      <c r="D33" s="762" t="n"/>
      <c r="E33" s="775" t="inlineStr">
        <is>
          <t>統合管理端末リース料（３月分）</t>
        </is>
      </c>
      <c r="F33" s="821" t="n">
        <v>12738</v>
      </c>
      <c r="G33" s="821" t="n">
        <v>2</v>
      </c>
      <c r="H33" s="818">
        <f>IF(G33=1,F33-I33-J33-K33,IF(G33=2,F33,0))</f>
        <v>12738</v>
      </c>
      <c r="I33" s="818">
        <f>ROUND(IF(G33=1,F33*10/23,IF(G33=3,F33-J33-K33,IF(G33=4,F33,IF(G33=5,F33*10/11,IF(G33=7,F33*10/11,0))))),0)</f>
        <v>0</v>
      </c>
      <c r="J33" s="818">
        <f>ROUND(IF(G33=1,F33/23,IF(G33=3,F33/12,IF(G33=5,F33-I33,IF(G33=8,F33,0)))),0)</f>
        <v>0</v>
      </c>
      <c r="K33" s="819">
        <f>ROUND(IF(G33=1,F33/23,IF(G33=3,F33/12,IF(G33=6,F33,IF(G33=7,F33-I33,0)))),0)</f>
        <v>0</v>
      </c>
      <c r="L33" s="820">
        <f>IF(G33=6,F33,0)</f>
        <v>0</v>
      </c>
      <c r="P33" s="768" t="inlineStr">
        <is>
          <t>昨年実績</t>
        </is>
      </c>
      <c r="Q33" s="769" t="str">
        <f>IF($F33="","",IFERROR(VLOOKUP($C33&amp;"|"&amp;$D33,科目表!$A$5:$B$200,2,FALSE),"※未登録"))</f>
        <v>賃借料</v>
      </c>
      <c r="R33" s="769">
        <f>IF($F33="","",$I33+$J33+$K33)</f>
        <v>0</v>
      </c>
      <c r="S33" s="769" t="str">
        <f>IF(OR($F33="",$P33="支払なし",$H33=0,$Q33=""),"",$Q33&amp;"|S|"&amp;(COUNTIF(S$4:S32,$Q33&amp;"|S|*")+1))</f>
        <v>賃借料|S|4</v>
      </c>
      <c r="T33" s="769" t="str">
        <f>IF(OR($F33="",$P33="支払なし",$R33=0,$Q33=""),"",$Q33&amp;"|L|"&amp;(COUNTIF(T$4:T32,$Q33&amp;"|L|*")+1))</f>
        <v/>
      </c>
      <c r="U33" s="769">
        <f>IF($F33="","",13)</f>
        <v>13</v>
      </c>
    </row>
    <row r="34" ht="16.5" customHeight="1" s="186">
      <c r="A34" s="760" t="n">
        <v>43951</v>
      </c>
      <c r="B34" s="760" t="inlineStr">
        <is>
          <t>未払金</t>
        </is>
      </c>
      <c r="C34" s="762" t="inlineStr">
        <is>
          <t>普及費</t>
        </is>
      </c>
      <c r="D34" s="762" t="n"/>
      <c r="E34" s="762" t="inlineStr">
        <is>
          <t>厚生だより等印刷代分担金（第4四半期）短期</t>
        </is>
      </c>
      <c r="F34" s="821" t="n">
        <v>532196</v>
      </c>
      <c r="G34" s="821" t="n">
        <v>2</v>
      </c>
      <c r="H34" s="818">
        <f>IF(G34=1,F34-I34-J34-K34,IF(G34=2,F34,0))</f>
        <v>532196</v>
      </c>
      <c r="I34" s="818">
        <f>ROUND(IF(G34=1,F34*10/23,IF(G34=3,F34-J34-K34,IF(G34=4,F34,IF(G34=5,F34*10/11,IF(G34=7,F34*10/11,0))))),0)</f>
        <v>0</v>
      </c>
      <c r="J34" s="818">
        <f>ROUND(IF(G34=1,F34/23,IF(G34=3,F34/12,IF(G34=5,F34-I34,IF(G34=8,F34,0)))),0)</f>
        <v>0</v>
      </c>
      <c r="K34" s="819">
        <f>ROUND(IF(G34=1,F34/23,IF(G34=3,F34/12,IF(G34=6,F34,IF(G34=7,F34-I34,0)))),0)</f>
        <v>0</v>
      </c>
      <c r="L34" s="820">
        <f>IF(G34=6,F34,0)</f>
        <v>0</v>
      </c>
      <c r="P34" s="768" t="inlineStr">
        <is>
          <t>昨年実績</t>
        </is>
      </c>
      <c r="Q34" s="769" t="str">
        <f>IF($F34="","",IFERROR(VLOOKUP($C34&amp;"|"&amp;$D34,科目表!$A$5:$B$200,2,FALSE),"※未登録"))</f>
        <v>普及費</v>
      </c>
      <c r="R34" s="769">
        <f>IF($F34="","",$I34+$J34+$K34)</f>
        <v>0</v>
      </c>
      <c r="S34" s="769" t="str">
        <f>IF(OR($F34="",$P34="支払なし",$H34=0,$Q34=""),"",$Q34&amp;"|S|"&amp;(COUNTIF(S$4:S33,$Q34&amp;"|S|*")+1))</f>
        <v>普及費|S|1</v>
      </c>
      <c r="T34" s="769" t="str">
        <f>IF(OR($F34="",$P34="支払なし",$R34=0,$Q34=""),"",$Q34&amp;"|L|"&amp;(COUNTIF(T$4:T33,$Q34&amp;"|L|*")+1))</f>
        <v/>
      </c>
      <c r="U34" s="769">
        <f>IF($F34="","",13)</f>
        <v>13</v>
      </c>
    </row>
    <row r="35" ht="16.5" customHeight="1" s="186">
      <c r="A35" s="760" t="n">
        <v>43951</v>
      </c>
      <c r="B35" s="760" t="inlineStr">
        <is>
          <t>未払金</t>
        </is>
      </c>
      <c r="C35" s="762" t="inlineStr">
        <is>
          <t>負担金</t>
        </is>
      </c>
      <c r="D35" s="762" t="inlineStr">
        <is>
          <t>厚年負担金等</t>
        </is>
      </c>
      <c r="E35" s="775" t="inlineStr">
        <is>
          <t>３月月例+３月賞与分（短期分）子ども子育て拠出金を含む</t>
        </is>
      </c>
      <c r="F35" s="821" t="n">
        <v>49538</v>
      </c>
      <c r="G35" s="821" t="n">
        <v>2</v>
      </c>
      <c r="H35" s="818">
        <f>IF(G35=1,F35-I35-J35-K35,IF(G35=2,F35,0))</f>
        <v>49538</v>
      </c>
      <c r="I35" s="818">
        <f>ROUND(IF(G35=1,F35*10/23,IF(G35=3,F35-J35-K35,IF(G35=4,F35,IF(G35=5,F35*10/11,IF(G35=7,F35*10/11,0))))),0)</f>
        <v>0</v>
      </c>
      <c r="J35" s="818">
        <f>ROUND(IF(G35=1,F35/23,IF(G35=3,F35/12,IF(G35=5,F35-I35,IF(G35=8,F35,0)))),0)</f>
        <v>0</v>
      </c>
      <c r="K35" s="819">
        <f>ROUND(IF(G35=1,F35/23,IF(G35=3,F35/12,IF(G35=6,F35,IF(G35=7,F35-I35,0)))),0)</f>
        <v>0</v>
      </c>
      <c r="L35" s="820">
        <f>IF(G35=6,F35,0)</f>
        <v>0</v>
      </c>
      <c r="P35" s="768" t="inlineStr">
        <is>
          <t>昨年実績</t>
        </is>
      </c>
      <c r="Q35" s="769" t="str">
        <f>IF($F35="","",IFERROR(VLOOKUP($C35&amp;"|"&amp;$D35,科目表!$A$5:$B$200,2,FALSE),"※未登録"))</f>
        <v>厚年負担金等</v>
      </c>
      <c r="R35" s="769">
        <f>IF($F35="","",$I35+$J35+$K35)</f>
        <v>0</v>
      </c>
      <c r="S35" s="769" t="str">
        <f>IF(OR($F35="",$P35="支払なし",$H35=0,$Q35=""),"",$Q35&amp;"|S|"&amp;(COUNTIF(S$4:S34,$Q35&amp;"|S|*")+1))</f>
        <v>厚年負担金等|S|1</v>
      </c>
      <c r="T35" s="769" t="str">
        <f>IF(OR($F35="",$P35="支払なし",$R35=0,$Q35=""),"",$Q35&amp;"|L|"&amp;(COUNTIF(T$4:T34,$Q35&amp;"|L|*")+1))</f>
        <v/>
      </c>
      <c r="U35" s="769">
        <f>IF($F35="","",13)</f>
        <v>13</v>
      </c>
    </row>
    <row r="36" ht="16.5" customFormat="1" customHeight="1" s="43">
      <c r="A36" s="760" t="n">
        <v>43951</v>
      </c>
      <c r="B36" s="760" t="inlineStr">
        <is>
          <t>未払金</t>
        </is>
      </c>
      <c r="C36" s="762" t="inlineStr">
        <is>
          <t>負担金</t>
        </is>
      </c>
      <c r="D36" s="762" t="inlineStr">
        <is>
          <t>協会けんぽ保険料等</t>
        </is>
      </c>
      <c r="E36" s="762" t="inlineStr">
        <is>
          <t>３月月例+３月賞与分（短期分）</t>
        </is>
      </c>
      <c r="F36" s="807" t="n">
        <v>28829</v>
      </c>
      <c r="G36" s="807" t="n">
        <v>2</v>
      </c>
      <c r="H36" s="818">
        <f>IF(G36=1,F36-I36-J36-K36,IF(G36=2,F36,0))</f>
        <v>28829</v>
      </c>
      <c r="I36" s="818">
        <f>ROUND(IF(G36=1,F36*10/23,IF(G36=3,F36-J36-K36,IF(G36=4,F36,IF(G36=5,F36*10/11,IF(G36=7,F36*10/11,0))))),0)</f>
        <v>0</v>
      </c>
      <c r="J36" s="818">
        <f>ROUND(IF(G36=1,F36/23,IF(G36=3,F36/12,IF(G36=5,F36-I36,IF(G36=8,F36,0)))),0)</f>
        <v>0</v>
      </c>
      <c r="K36" s="819">
        <f>ROUND(IF(G36=1,F36/23,IF(G36=3,F36/12,IF(G36=6,F36,IF(G36=7,F36-I36,0)))),0)</f>
        <v>0</v>
      </c>
      <c r="L36" s="820">
        <f>IF(G36=6,F36,0)</f>
        <v>0</v>
      </c>
      <c r="P36" s="768" t="inlineStr">
        <is>
          <t>昨年実績</t>
        </is>
      </c>
      <c r="Q36" s="769" t="str">
        <f>IF($F36="","",IFERROR(VLOOKUP($C36&amp;"|"&amp;$D36,科目表!$A$5:$B$200,2,FALSE),"※未登録"))</f>
        <v>協会けんぽ保険料等</v>
      </c>
      <c r="R36" s="769">
        <f>IF($F36="","",$I36+$J36+$K36)</f>
        <v>0</v>
      </c>
      <c r="S36" s="769" t="str">
        <f>IF(OR($F36="",$P36="支払なし",$H36=0,$Q36=""),"",$Q36&amp;"|S|"&amp;(COUNTIF(S$4:S35,$Q36&amp;"|S|*")+1))</f>
        <v>協会けんぽ保険料等|S|1</v>
      </c>
      <c r="T36" s="769" t="str">
        <f>IF(OR($F36="",$P36="支払なし",$R36=0,$Q36=""),"",$Q36&amp;"|L|"&amp;(COUNTIF(T$4:T35,$Q36&amp;"|L|*")+1))</f>
        <v/>
      </c>
      <c r="U36" s="769">
        <f>IF($F36="","",13)</f>
        <v>13</v>
      </c>
    </row>
    <row r="37" ht="16.5" customFormat="1" customHeight="1" s="43">
      <c r="A37" s="760" t="n">
        <v>43942</v>
      </c>
      <c r="B37" s="760" t="inlineStr">
        <is>
          <t>未払金</t>
        </is>
      </c>
      <c r="C37" s="762" t="inlineStr">
        <is>
          <t>立替金</t>
        </is>
      </c>
      <c r="D37" s="762" t="n"/>
      <c r="E37" s="762" t="inlineStr">
        <is>
          <t>ゆうちょ銀行払込料金</t>
        </is>
      </c>
      <c r="F37" s="807" t="n">
        <v>6400</v>
      </c>
      <c r="G37" s="807" t="n">
        <v>3</v>
      </c>
      <c r="H37" s="818">
        <f>IF(G37=1,F37-I37-J37-K37,IF(G37=2,F37,0))</f>
        <v>0</v>
      </c>
      <c r="I37" s="818">
        <f>ROUND(IF(G37=1,F37*10/23,IF(G37=3,F37-J37-K37,IF(G37=4,F37,IF(G37=5,F37*10/11,IF(G37=7,F37*10/11,0))))),0)</f>
        <v>5334</v>
      </c>
      <c r="J37" s="818">
        <f>ROUND(IF(G37=1,F37/23,IF(G37=3,F37/12,IF(G37=5,F37-I37,IF(G37=8,F37,0)))),0)</f>
        <v>533</v>
      </c>
      <c r="K37" s="819">
        <f>ROUND(IF(G37=1,F37/23,IF(G37=3,F37/12,IF(G37=6,F37,IF(G37=7,F37-I37,0)))),0)</f>
        <v>533</v>
      </c>
      <c r="L37" s="820">
        <f>IF(G37=6,F37,0)</f>
        <v>0</v>
      </c>
      <c r="P37" s="768" t="inlineStr">
        <is>
          <t>昨年実績</t>
        </is>
      </c>
      <c r="Q37" s="769" t="str">
        <f>IF($F37="","",IFERROR(VLOOKUP($C37&amp;"|"&amp;$D37,科目表!$A$5:$B$200,2,FALSE),"※未登録"))</f>
        <v>立替金</v>
      </c>
      <c r="R37" s="769">
        <f>IF($F37="","",$I37+$J37+$K37)</f>
        <v>6400</v>
      </c>
      <c r="S37" s="769" t="str">
        <f>IF(OR($F37="",$P37="支払なし",$H37=0,$Q37=""),"",$Q37&amp;"|S|"&amp;(COUNTIF(S$4:S36,$Q37&amp;"|S|*")+1))</f>
        <v/>
      </c>
      <c r="T37" s="769" t="str">
        <f>IF(OR($F37="",$P37="支払なし",$R37=0,$Q37=""),"",$Q37&amp;"|L|"&amp;(COUNTIF(T$4:T36,$Q37&amp;"|L|*")+1))</f>
        <v>立替金|L|1</v>
      </c>
      <c r="U37" s="769">
        <f>IF($F37="","",13)</f>
        <v>13</v>
      </c>
    </row>
    <row r="38" ht="16.5" customFormat="1" customHeight="1" s="422">
      <c r="A38" s="760" t="n">
        <v>45768</v>
      </c>
      <c r="B38" s="760" t="inlineStr">
        <is>
          <t>未払金</t>
        </is>
      </c>
      <c r="C38" s="762" t="inlineStr">
        <is>
          <t>事務費</t>
        </is>
      </c>
      <c r="D38" s="762" t="inlineStr">
        <is>
          <t>雑費</t>
        </is>
      </c>
      <c r="E38" s="762" t="inlineStr">
        <is>
          <t>ゆうちょ銀行一般振替口座　残高証明書発行手数料</t>
        </is>
      </c>
      <c r="F38" s="772" t="n">
        <v>3300</v>
      </c>
      <c r="G38" s="807" t="n">
        <v>3</v>
      </c>
      <c r="H38" s="818">
        <f>IF(G38=1,F38-I38-J38-K38,IF(G38=2,F38,0))</f>
        <v>0</v>
      </c>
      <c r="I38" s="818">
        <f>ROUND(IF(G38=1,F38*10/23,IF(G38=3,F38-J38-K38,IF(G38=4,F38,IF(G38=5,F38*10/11,IF(G38=7,F38*10/11,0))))),0)</f>
        <v>2750</v>
      </c>
      <c r="J38" s="818">
        <f>ROUND(IF(G38=1,F38/23,IF(G38=3,F38/12,IF(G38=5,F38-I38,IF(G38=8,F38,0)))),0)</f>
        <v>275</v>
      </c>
      <c r="K38" s="819">
        <f>ROUND(IF(G38=1,F38/23,IF(G38=3,F38/12,IF(G38=6,F38,IF(G38=7,F38-I38,0)))),0)</f>
        <v>275</v>
      </c>
      <c r="L38" s="820">
        <f>IF(G38=6,F38,0)</f>
        <v>0</v>
      </c>
      <c r="P38" s="768" t="inlineStr">
        <is>
          <t>昨年実績</t>
        </is>
      </c>
      <c r="Q38" s="769" t="str">
        <f>IF($F38="","",IFERROR(VLOOKUP($C38&amp;"|"&amp;$D38,科目表!$A$5:$B$200,2,FALSE),"※未登録"))</f>
        <v>事務費・雑費</v>
      </c>
      <c r="R38" s="769">
        <f>IF($F38="","",$I38+$J38+$K38)</f>
        <v>3300</v>
      </c>
      <c r="S38" s="769" t="str">
        <f>IF(OR($F38="",$P38="支払なし",$H38=0,$Q38=""),"",$Q38&amp;"|S|"&amp;(COUNTIF(S$4:S37,$Q38&amp;"|S|*")+1))</f>
        <v/>
      </c>
      <c r="T38" s="769" t="str">
        <f>IF(OR($F38="",$P38="支払なし",$R38=0,$Q38=""),"",$Q38&amp;"|L|"&amp;(COUNTIF(T$4:T37,$Q38&amp;"|L|*")+1))</f>
        <v>事務費・雑費|L|1</v>
      </c>
      <c r="U38" s="769">
        <f>IF($F38="","",13)</f>
        <v>13</v>
      </c>
    </row>
    <row r="39" ht="16.5" customHeight="1" s="186">
      <c r="A39" s="760" t="n">
        <v>43936</v>
      </c>
      <c r="B39" s="760" t="inlineStr">
        <is>
          <t>未払金</t>
        </is>
      </c>
      <c r="C39" s="762" t="inlineStr">
        <is>
          <t>委託費</t>
        </is>
      </c>
      <c r="D39" s="762" t="n"/>
      <c r="E39" s="775" t="inlineStr">
        <is>
          <t>個別システム保守料（平成３１年度）長期分</t>
        </is>
      </c>
      <c r="F39" s="821" t="n">
        <v>198020</v>
      </c>
      <c r="G39" s="821" t="n">
        <v>3</v>
      </c>
      <c r="H39" s="818">
        <f>IF(G39=1,F39-I39-J39-K39,IF(G39=2,F39,0))</f>
        <v>0</v>
      </c>
      <c r="I39" s="818">
        <f>ROUND(IF(G39=1,F39*10/23,IF(G39=3,F39-J39-K39,IF(G39=4,F39,IF(G39=5,F39*10/11,IF(G39=7,F39*10/11,0))))),0)</f>
        <v>165016</v>
      </c>
      <c r="J39" s="818">
        <f>ROUND(IF(G39=1,F39/23,IF(G39=3,F39/12,IF(G39=5,F39-I39,IF(G39=8,F39,0)))),0)</f>
        <v>16502</v>
      </c>
      <c r="K39" s="819">
        <f>ROUND(IF(G39=1,F39/23,IF(G39=3,F39/12,IF(G39=6,F39,IF(G39=7,F39-I39,0)))),0)</f>
        <v>16502</v>
      </c>
      <c r="L39" s="820">
        <f>IF(G39=6,F39,0)</f>
        <v>0</v>
      </c>
      <c r="P39" s="768" t="inlineStr">
        <is>
          <t>昨年実績</t>
        </is>
      </c>
      <c r="Q39" s="769" t="str">
        <f>IF($F39="","",IFERROR(VLOOKUP($C39&amp;"|"&amp;$D39,科目表!$A$5:$B$200,2,FALSE),"※未登録"))</f>
        <v>委託費</v>
      </c>
      <c r="R39" s="769">
        <f>IF($F39="","",$I39+$J39+$K39)</f>
        <v>198020</v>
      </c>
      <c r="S39" s="769" t="str">
        <f>IF(OR($F39="",$P39="支払なし",$H39=0,$Q39=""),"",$Q39&amp;"|S|"&amp;(COUNTIF(S$4:S38,$Q39&amp;"|S|*")+1))</f>
        <v/>
      </c>
      <c r="T39" s="769" t="str">
        <f>IF(OR($F39="",$P39="支払なし",$R39=0,$Q39=""),"",$Q39&amp;"|L|"&amp;(COUNTIF(T$4:T38,$Q39&amp;"|L|*")+1))</f>
        <v>委託費|L|1</v>
      </c>
      <c r="U39" s="769">
        <f>IF($F39="","",13)</f>
        <v>13</v>
      </c>
    </row>
    <row r="40" ht="16.5" customFormat="1" customHeight="1" s="418">
      <c r="A40" s="760" t="n">
        <v>44679</v>
      </c>
      <c r="B40" s="760" t="inlineStr">
        <is>
          <t>未払金</t>
        </is>
      </c>
      <c r="C40" s="762" t="inlineStr">
        <is>
          <t>委託費</t>
        </is>
      </c>
      <c r="D40" s="762" t="n"/>
      <c r="E40" s="762" t="inlineStr">
        <is>
          <t>病院機構人給システム（ネットワーク等経費）長期</t>
        </is>
      </c>
      <c r="F40" s="821" t="n">
        <v>43626</v>
      </c>
      <c r="G40" s="821" t="n">
        <v>3</v>
      </c>
      <c r="H40" s="818">
        <f>IF(G40=1,F40-I40-J40-K40,IF(G40=2,F40,0))</f>
        <v>0</v>
      </c>
      <c r="I40" s="818">
        <f>ROUND(IF(G40=1,F40*10/23,IF(G40=3,F40-J40-K40,IF(G40=4,F40,IF(G40=5,F40*10/11,IF(G40=7,F40*10/11,0))))),0)</f>
        <v>36354</v>
      </c>
      <c r="J40" s="818">
        <f>ROUND(IF(G40=1,F40/23,IF(G40=3,F40/12,IF(G40=5,F40-I40,IF(G40=8,F40,0)))),0)</f>
        <v>3636</v>
      </c>
      <c r="K40" s="819">
        <f>ROUND(IF(G40=1,F40/23,IF(G40=3,F40/12,IF(G40=6,F40,IF(G40=7,F40-I40,0)))),0)</f>
        <v>3636</v>
      </c>
      <c r="L40" s="820">
        <f>IF(G40=6,F40,0)</f>
        <v>0</v>
      </c>
      <c r="P40" s="768" t="inlineStr">
        <is>
          <t>昨年実績</t>
        </is>
      </c>
      <c r="Q40" s="769" t="str">
        <f>IF($F40="","",IFERROR(VLOOKUP($C40&amp;"|"&amp;$D40,科目表!$A$5:$B$200,2,FALSE),"※未登録"))</f>
        <v>委託費</v>
      </c>
      <c r="R40" s="769">
        <f>IF($F40="","",$I40+$J40+$K40)</f>
        <v>43626</v>
      </c>
      <c r="S40" s="769" t="str">
        <f>IF(OR($F40="",$P40="支払なし",$H40=0,$Q40=""),"",$Q40&amp;"|S|"&amp;(COUNTIF(S$4:S39,$Q40&amp;"|S|*")+1))</f>
        <v/>
      </c>
      <c r="T40" s="769" t="str">
        <f>IF(OR($F40="",$P40="支払なし",$R40=0,$Q40=""),"",$Q40&amp;"|L|"&amp;(COUNTIF(T$4:T39,$Q40&amp;"|L|*")+1))</f>
        <v>委託費|L|2</v>
      </c>
      <c r="U40" s="769">
        <f>IF($F40="","",13)</f>
        <v>13</v>
      </c>
    </row>
    <row r="41" ht="16.5" customFormat="1" customHeight="1" s="418">
      <c r="A41" s="760" t="n">
        <v>45044</v>
      </c>
      <c r="B41" s="760" t="inlineStr">
        <is>
          <t>未払金</t>
        </is>
      </c>
      <c r="C41" s="762" t="inlineStr">
        <is>
          <t>事務費</t>
        </is>
      </c>
      <c r="D41" s="762" t="inlineStr">
        <is>
          <t>事務用消耗品費</t>
        </is>
      </c>
      <c r="E41" s="770" t="inlineStr">
        <is>
          <t>マグネットポケット　マクー５００NB　1個</t>
        </is>
      </c>
      <c r="F41" s="807" t="n">
        <v>1579</v>
      </c>
      <c r="G41" s="807" t="n">
        <v>2</v>
      </c>
      <c r="H41" s="818">
        <f>IF(G41=1,F41-I41-J41-K41,IF(G41=2,F41,0))</f>
        <v>1579</v>
      </c>
      <c r="I41" s="818">
        <f>ROUND(IF(G41=1,F41*10/23,IF(G41=3,F41-J41-K41,IF(G41=4,F41,IF(G41=5,F41*10/11,IF(G41=7,F41*10/11,0))))),0)</f>
        <v>0</v>
      </c>
      <c r="J41" s="818">
        <f>ROUND(IF(G41=1,F41/23,IF(G41=3,F41/12,IF(G41=5,F41-I41,IF(G41=8,F41,0)))),0)</f>
        <v>0</v>
      </c>
      <c r="K41" s="819">
        <f>ROUND(IF(G41=1,F41/23,IF(G41=3,F41/12,IF(G41=6,F41,IF(G41=7,F41-I41,0)))),0)</f>
        <v>0</v>
      </c>
      <c r="L41" s="820">
        <f>IF(G41=6,F41,0)</f>
        <v>0</v>
      </c>
      <c r="P41" s="768" t="inlineStr">
        <is>
          <t>昨年実績</t>
        </is>
      </c>
      <c r="Q41" s="769" t="str">
        <f>IF($F41="","",IFERROR(VLOOKUP($C41&amp;"|"&amp;$D41,科目表!$A$5:$B$200,2,FALSE),"※未登録"))</f>
        <v>事務用消耗品費</v>
      </c>
      <c r="R41" s="769">
        <f>IF($F41="","",$I41+$J41+$K41)</f>
        <v>0</v>
      </c>
      <c r="S41" s="769" t="str">
        <f>IF(OR($F41="",$P41="支払なし",$H41=0,$Q41=""),"",$Q41&amp;"|S|"&amp;(COUNTIF(S$4:S40,$Q41&amp;"|S|*")+1))</f>
        <v>事務用消耗品費|S|3</v>
      </c>
      <c r="T41" s="769" t="str">
        <f>IF(OR($F41="",$P41="支払なし",$R41=0,$Q41=""),"",$Q41&amp;"|L|"&amp;(COUNTIF(T$4:T40,$Q41&amp;"|L|*")+1))</f>
        <v/>
      </c>
      <c r="U41" s="769">
        <f>IF($F41="","",13)</f>
        <v>13</v>
      </c>
    </row>
    <row r="42" ht="16.5" customHeight="1" s="186">
      <c r="A42" s="760" t="n">
        <v>43951</v>
      </c>
      <c r="B42" s="760" t="inlineStr">
        <is>
          <t>未払金</t>
        </is>
      </c>
      <c r="C42" s="762" t="inlineStr">
        <is>
          <t>委託費</t>
        </is>
      </c>
      <c r="D42" s="762" t="n"/>
      <c r="E42" s="775" t="inlineStr">
        <is>
          <t>清掃・警備・ごみ処理（１０～３月分）</t>
        </is>
      </c>
      <c r="F42" s="821" t="n">
        <v>23404</v>
      </c>
      <c r="G42" s="821" t="n">
        <v>3</v>
      </c>
      <c r="H42" s="818">
        <f>IF(G42=1,F42-I42-J42-K42,IF(G42=2,F42,0))</f>
        <v>0</v>
      </c>
      <c r="I42" s="818">
        <f>ROUND(IF(G42=1,F42*10/23,IF(G42=3,F42-J42-K42,IF(G42=4,F42,IF(G42=5,F42*10/11,IF(G42=7,F42*10/11,0))))),0)</f>
        <v>19504</v>
      </c>
      <c r="J42" s="818">
        <f>ROUND(IF(G42=1,F42/23,IF(G42=3,F42/12,IF(G42=5,F42-I42,IF(G42=8,F42,0)))),0)</f>
        <v>1950</v>
      </c>
      <c r="K42" s="819">
        <f>ROUND(IF(G42=1,F42/23,IF(G42=3,F42/12,IF(G42=6,F42,IF(G42=7,F42-I42,0)))),0)</f>
        <v>1950</v>
      </c>
      <c r="L42" s="820">
        <f>IF(G42=6,F42,0)</f>
        <v>0</v>
      </c>
      <c r="P42" s="768" t="inlineStr">
        <is>
          <t>昨年実績</t>
        </is>
      </c>
      <c r="Q42" s="769" t="str">
        <f>IF($F42="","",IFERROR(VLOOKUP($C42&amp;"|"&amp;$D42,科目表!$A$5:$B$200,2,FALSE),"※未登録"))</f>
        <v>委託費</v>
      </c>
      <c r="R42" s="769">
        <f>IF($F42="","",$I42+$J42+$K42)</f>
        <v>23404</v>
      </c>
      <c r="S42" s="769" t="str">
        <f>IF(OR($F42="",$P42="支払なし",$H42=0,$Q42=""),"",$Q42&amp;"|S|"&amp;(COUNTIF(S$4:S41,$Q42&amp;"|S|*")+1))</f>
        <v/>
      </c>
      <c r="T42" s="769" t="str">
        <f>IF(OR($F42="",$P42="支払なし",$R42=0,$Q42=""),"",$Q42&amp;"|L|"&amp;(COUNTIF(T$4:T41,$Q42&amp;"|L|*")+1))</f>
        <v>委託費|L|3</v>
      </c>
      <c r="U42" s="769">
        <f>IF($F42="","",13)</f>
        <v>13</v>
      </c>
    </row>
    <row r="43" ht="16.5" customHeight="1" s="186">
      <c r="A43" s="760" t="n">
        <v>43951</v>
      </c>
      <c r="B43" s="760" t="inlineStr">
        <is>
          <t>未払金</t>
        </is>
      </c>
      <c r="C43" s="762" t="inlineStr">
        <is>
          <t>光熱水料</t>
        </is>
      </c>
      <c r="D43" s="762" t="inlineStr">
        <is>
          <t>ガス料</t>
        </is>
      </c>
      <c r="E43" s="762" t="inlineStr">
        <is>
          <t>行政財産使用ガス料（１０～３月分）</t>
        </is>
      </c>
      <c r="F43" s="807" t="n">
        <v>7073</v>
      </c>
      <c r="G43" s="807" t="n">
        <v>3</v>
      </c>
      <c r="H43" s="818">
        <f>IF(G43=1,F43-I43-J43-K43,IF(G43=2,F43,0))</f>
        <v>0</v>
      </c>
      <c r="I43" s="818">
        <f>ROUND(IF(G43=1,F43*10/23,IF(G43=3,F43-J43-K43,IF(G43=4,F43,IF(G43=5,F43*10/11,IF(G43=7,F43*10/11,0))))),0)</f>
        <v>5895</v>
      </c>
      <c r="J43" s="818">
        <f>ROUND(IF(G43=1,F43/23,IF(G43=3,F43/12,IF(G43=5,F43-I43,IF(G43=8,F43,0)))),0)</f>
        <v>589</v>
      </c>
      <c r="K43" s="819">
        <f>ROUND(IF(G43=1,F43/23,IF(G43=3,F43/12,IF(G43=6,F43,IF(G43=7,F43-I43,0)))),0)</f>
        <v>589</v>
      </c>
      <c r="L43" s="820">
        <f>IF(G43=6,F43,0)</f>
        <v>0</v>
      </c>
      <c r="P43" s="768" t="inlineStr">
        <is>
          <t>昨年実績</t>
        </is>
      </c>
      <c r="Q43" s="769" t="str">
        <f>IF($F43="","",IFERROR(VLOOKUP($C43&amp;"|"&amp;$D43,科目表!$A$5:$B$200,2,FALSE),"※未登録"))</f>
        <v>光熱水料</v>
      </c>
      <c r="R43" s="769">
        <f>IF($F43="","",$I43+$J43+$K43)</f>
        <v>7073</v>
      </c>
      <c r="S43" s="769" t="str">
        <f>IF(OR($F43="",$P43="支払なし",$H43=0,$Q43=""),"",$Q43&amp;"|S|"&amp;(COUNTIF(S$4:S42,$Q43&amp;"|S|*")+1))</f>
        <v/>
      </c>
      <c r="T43" s="769" t="str">
        <f>IF(OR($F43="",$P43="支払なし",$R43=0,$Q43=""),"",$Q43&amp;"|L|"&amp;(COUNTIF(T$4:T42,$Q43&amp;"|L|*")+1))</f>
        <v>光熱水料|L|1</v>
      </c>
      <c r="U43" s="769">
        <f>IF($F43="","",13)</f>
        <v>13</v>
      </c>
    </row>
    <row r="44" ht="16.5" customHeight="1" s="186">
      <c r="A44" s="760" t="n">
        <v>43951</v>
      </c>
      <c r="B44" s="760" t="inlineStr">
        <is>
          <t>未払金</t>
        </is>
      </c>
      <c r="C44" s="762" t="inlineStr">
        <is>
          <t>光熱水料</t>
        </is>
      </c>
      <c r="D44" s="762" t="inlineStr">
        <is>
          <t>水道料</t>
        </is>
      </c>
      <c r="E44" s="762" t="inlineStr">
        <is>
          <t>行政財産使用水道料（１０～３月分）</t>
        </is>
      </c>
      <c r="F44" s="807" t="n">
        <v>13093</v>
      </c>
      <c r="G44" s="807" t="n">
        <v>3</v>
      </c>
      <c r="H44" s="818">
        <f>IF(G44=1,F44-I44-J44-K44,IF(G44=2,F44,0))</f>
        <v>0</v>
      </c>
      <c r="I44" s="818">
        <f>ROUND(IF(G44=1,F44*10/23,IF(G44=3,F44-J44-K44,IF(G44=4,F44,IF(G44=5,F44*10/11,IF(G44=7,F44*10/11,0))))),0)</f>
        <v>10911</v>
      </c>
      <c r="J44" s="818">
        <f>ROUND(IF(G44=1,F44/23,IF(G44=3,F44/12,IF(G44=5,F44-I44,IF(G44=8,F44,0)))),0)</f>
        <v>1091</v>
      </c>
      <c r="K44" s="819">
        <f>ROUND(IF(G44=1,F44/23,IF(G44=3,F44/12,IF(G44=6,F44,IF(G44=7,F44-I44,0)))),0)</f>
        <v>1091</v>
      </c>
      <c r="L44" s="820">
        <f>IF(G44=6,F44,0)</f>
        <v>0</v>
      </c>
      <c r="P44" s="768" t="inlineStr">
        <is>
          <t>昨年実績</t>
        </is>
      </c>
      <c r="Q44" s="769" t="str">
        <f>IF($F44="","",IFERROR(VLOOKUP($C44&amp;"|"&amp;$D44,科目表!$A$5:$B$200,2,FALSE),"※未登録"))</f>
        <v>光熱水料</v>
      </c>
      <c r="R44" s="769">
        <f>IF($F44="","",$I44+$J44+$K44)</f>
        <v>13093</v>
      </c>
      <c r="S44" s="769" t="str">
        <f>IF(OR($F44="",$P44="支払なし",$H44=0,$Q44=""),"",$Q44&amp;"|S|"&amp;(COUNTIF(S$4:S43,$Q44&amp;"|S|*")+1))</f>
        <v/>
      </c>
      <c r="T44" s="769" t="str">
        <f>IF(OR($F44="",$P44="支払なし",$R44=0,$Q44=""),"",$Q44&amp;"|L|"&amp;(COUNTIF(T$4:T43,$Q44&amp;"|L|*")+1))</f>
        <v>光熱水料|L|2</v>
      </c>
      <c r="U44" s="769">
        <f>IF($F44="","",13)</f>
        <v>13</v>
      </c>
    </row>
    <row r="45" ht="16.5" customFormat="1" customHeight="1" s="43">
      <c r="A45" s="760" t="n">
        <v>43951</v>
      </c>
      <c r="B45" s="760" t="inlineStr">
        <is>
          <t>未払金</t>
        </is>
      </c>
      <c r="C45" s="762" t="inlineStr">
        <is>
          <t>光熱水料</t>
        </is>
      </c>
      <c r="D45" s="762" t="inlineStr">
        <is>
          <t>電気料</t>
        </is>
      </c>
      <c r="E45" s="762" t="inlineStr">
        <is>
          <t>行政財産使用電気料（１０～３月分）</t>
        </is>
      </c>
      <c r="F45" s="807" t="n">
        <v>21240</v>
      </c>
      <c r="G45" s="807" t="n">
        <v>3</v>
      </c>
      <c r="H45" s="818">
        <f>IF(G45=1,F45-I45-J45-K45,IF(G45=2,F45,0))</f>
        <v>0</v>
      </c>
      <c r="I45" s="818">
        <f>ROUND(IF(G45=1,F45*10/23,IF(G45=3,F45-J45-K45,IF(G45=4,F45,IF(G45=5,F45*10/11,IF(G45=7,F45*10/11,0))))),0)</f>
        <v>17700</v>
      </c>
      <c r="J45" s="818">
        <f>ROUND(IF(G45=1,F45/23,IF(G45=3,F45/12,IF(G45=5,F45-I45,IF(G45=8,F45,0)))),0)</f>
        <v>1770</v>
      </c>
      <c r="K45" s="819">
        <f>ROUND(IF(G45=1,F45/23,IF(G45=3,F45/12,IF(G45=6,F45,IF(G45=7,F45-I45,0)))),0)</f>
        <v>1770</v>
      </c>
      <c r="L45" s="820">
        <f>IF(G45=6,F45,0)</f>
        <v>0</v>
      </c>
      <c r="P45" s="768" t="inlineStr">
        <is>
          <t>昨年実績</t>
        </is>
      </c>
      <c r="Q45" s="769" t="str">
        <f>IF($F45="","",IFERROR(VLOOKUP($C45&amp;"|"&amp;$D45,科目表!$A$5:$B$200,2,FALSE),"※未登録"))</f>
        <v>光熱水料</v>
      </c>
      <c r="R45" s="769">
        <f>IF($F45="","",$I45+$J45+$K45)</f>
        <v>21240</v>
      </c>
      <c r="S45" s="769" t="str">
        <f>IF(OR($F45="",$P45="支払なし",$H45=0,$Q45=""),"",$Q45&amp;"|S|"&amp;(COUNTIF(S$4:S44,$Q45&amp;"|S|*")+1))</f>
        <v/>
      </c>
      <c r="T45" s="769" t="str">
        <f>IF(OR($F45="",$P45="支払なし",$R45=0,$Q45=""),"",$Q45&amp;"|L|"&amp;(COUNTIF(T$4:T44,$Q45&amp;"|L|*")+1))</f>
        <v>光熱水料|L|3</v>
      </c>
      <c r="U45" s="769">
        <f>IF($F45="","",13)</f>
        <v>13</v>
      </c>
    </row>
    <row r="46" ht="16.5" customFormat="1" customHeight="1" s="418">
      <c r="A46" s="760" t="n">
        <v>45775</v>
      </c>
      <c r="B46" s="760" t="inlineStr">
        <is>
          <t>未払金</t>
        </is>
      </c>
      <c r="C46" s="762" t="inlineStr">
        <is>
          <t>事務費</t>
        </is>
      </c>
      <c r="D46" s="762" t="inlineStr">
        <is>
          <t>事務用消耗品費</t>
        </is>
      </c>
      <c r="E46" s="762" t="inlineStr">
        <is>
          <t>ゴム印　１式</t>
        </is>
      </c>
      <c r="F46" s="807" t="n">
        <v>16035</v>
      </c>
      <c r="G46" s="807" t="n">
        <v>3</v>
      </c>
      <c r="H46" s="818">
        <f>IF(G46=1,F46-I46-J46-K46,IF(G46=2,F46,0))</f>
        <v>0</v>
      </c>
      <c r="I46" s="818">
        <f>ROUND(IF(G46=1,F46*10/23,IF(G46=3,F46-J46-K46,IF(G46=4,F46,IF(G46=5,F46*10/11,IF(G46=7,F46*10/11,0))))),0)</f>
        <v>13363</v>
      </c>
      <c r="J46" s="818">
        <f>ROUND(IF(G46=1,F46/23,IF(G46=3,F46/12,IF(G46=5,F46-I46,IF(G46=8,F46,0)))),0)</f>
        <v>1336</v>
      </c>
      <c r="K46" s="819">
        <f>ROUND(IF(G46=1,F46/23,IF(G46=3,F46/12,IF(G46=6,F46,IF(G46=7,F46-I46,0)))),0)</f>
        <v>1336</v>
      </c>
      <c r="L46" s="820">
        <f>IF(G46=6,F46,0)</f>
        <v>0</v>
      </c>
      <c r="P46" s="768" t="inlineStr">
        <is>
          <t>昨年実績</t>
        </is>
      </c>
      <c r="Q46" s="769" t="str">
        <f>IF($F46="","",IFERROR(VLOOKUP($C46&amp;"|"&amp;$D46,科目表!$A$5:$B$200,2,FALSE),"※未登録"))</f>
        <v>事務用消耗品費</v>
      </c>
      <c r="R46" s="769">
        <f>IF($F46="","",$I46+$J46+$K46)</f>
        <v>16035</v>
      </c>
      <c r="S46" s="769" t="str">
        <f>IF(OR($F46="",$P46="支払なし",$H46=0,$Q46=""),"",$Q46&amp;"|S|"&amp;(COUNTIF(S$4:S45,$Q46&amp;"|S|*")+1))</f>
        <v/>
      </c>
      <c r="T46" s="769" t="str">
        <f>IF(OR($F46="",$P46="支払なし",$R46=0,$Q46=""),"",$Q46&amp;"|L|"&amp;(COUNTIF(T$4:T45,$Q46&amp;"|L|*")+1))</f>
        <v>事務用消耗品費|L|1</v>
      </c>
      <c r="U46" s="769">
        <f>IF($F46="","",13)</f>
        <v>13</v>
      </c>
    </row>
    <row r="47" ht="16.5" customFormat="1" customHeight="1" s="43">
      <c r="A47" s="760" t="n">
        <v>43951</v>
      </c>
      <c r="B47" s="760" t="inlineStr">
        <is>
          <t>未払金</t>
        </is>
      </c>
      <c r="C47" s="762" t="inlineStr">
        <is>
          <t>事務費</t>
        </is>
      </c>
      <c r="D47" s="762" t="inlineStr">
        <is>
          <t>事務用消耗品費</t>
        </is>
      </c>
      <c r="E47" s="762" t="inlineStr">
        <is>
          <t>複写機用紙等購入代分担金（第4四半期）長期</t>
        </is>
      </c>
      <c r="F47" s="807" t="n">
        <v>92843</v>
      </c>
      <c r="G47" s="807" t="n">
        <v>3</v>
      </c>
      <c r="H47" s="818">
        <f>IF(G47=1,F47-I47-J47-K47,IF(G47=2,F47,0))</f>
        <v>0</v>
      </c>
      <c r="I47" s="818">
        <f>ROUND(IF(G47=1,F47*10/23,IF(G47=3,F47-J47-K47,IF(G47=4,F47,IF(G47=5,F47*10/11,IF(G47=7,F47*10/11,0))))),0)</f>
        <v>77369</v>
      </c>
      <c r="J47" s="818">
        <f>ROUND(IF(G47=1,F47/23,IF(G47=3,F47/12,IF(G47=5,F47-I47,IF(G47=8,F47,0)))),0)</f>
        <v>7737</v>
      </c>
      <c r="K47" s="819">
        <f>ROUND(IF(G47=1,F47/23,IF(G47=3,F47/12,IF(G47=6,F47,IF(G47=7,F47-I47,0)))),0)</f>
        <v>7737</v>
      </c>
      <c r="L47" s="820">
        <f>IF(G47=6,F47,0)</f>
        <v>0</v>
      </c>
      <c r="P47" s="768" t="inlineStr">
        <is>
          <t>昨年実績</t>
        </is>
      </c>
      <c r="Q47" s="769" t="str">
        <f>IF($F47="","",IFERROR(VLOOKUP($C47&amp;"|"&amp;$D47,科目表!$A$5:$B$200,2,FALSE),"※未登録"))</f>
        <v>事務用消耗品費</v>
      </c>
      <c r="R47" s="769">
        <f>IF($F47="","",$I47+$J47+$K47)</f>
        <v>92843</v>
      </c>
      <c r="S47" s="769" t="str">
        <f>IF(OR($F47="",$P47="支払なし",$H47=0,$Q47=""),"",$Q47&amp;"|S|"&amp;(COUNTIF(S$4:S46,$Q47&amp;"|S|*")+1))</f>
        <v/>
      </c>
      <c r="T47" s="769" t="str">
        <f>IF(OR($F47="",$P47="支払なし",$R47=0,$Q47=""),"",$Q47&amp;"|L|"&amp;(COUNTIF(T$4:T46,$Q47&amp;"|L|*")+1))</f>
        <v>事務用消耗品費|L|2</v>
      </c>
      <c r="U47" s="769">
        <f>IF($F47="","",13)</f>
        <v>13</v>
      </c>
    </row>
    <row r="48" ht="16.5" customFormat="1" customHeight="1" s="43">
      <c r="A48" s="760" t="n">
        <v>43942</v>
      </c>
      <c r="B48" s="760" t="inlineStr">
        <is>
          <t>未払金</t>
        </is>
      </c>
      <c r="C48" s="762" t="inlineStr">
        <is>
          <t>事務費</t>
        </is>
      </c>
      <c r="D48" s="762" t="inlineStr">
        <is>
          <t>送金料</t>
        </is>
      </c>
      <c r="E48" s="762" t="inlineStr">
        <is>
          <t>年金過払金等返還金振替料金（ゆうちょ銀行）</t>
        </is>
      </c>
      <c r="F48" s="807" t="n">
        <v>1022</v>
      </c>
      <c r="G48" s="807" t="n">
        <v>3</v>
      </c>
      <c r="H48" s="818">
        <f>IF(G48=1,F48-I48-J48-K48,IF(G48=2,F48,0))</f>
        <v>0</v>
      </c>
      <c r="I48" s="818">
        <f>ROUND(IF(G48=1,F48*10/23,IF(G48=3,F48-J48-K48,IF(G48=4,F48,IF(G48=5,F48*10/11,IF(G48=7,F48*10/11,0))))),0)</f>
        <v>852</v>
      </c>
      <c r="J48" s="818">
        <f>ROUND(IF(G48=1,F48/23,IF(G48=3,F48/12,IF(G48=5,F48-I48,IF(G48=8,F48,0)))),0)</f>
        <v>85</v>
      </c>
      <c r="K48" s="819">
        <f>ROUND(IF(G48=1,F48/23,IF(G48=3,F48/12,IF(G48=6,F48,IF(G48=7,F48-I48,0)))),0)</f>
        <v>85</v>
      </c>
      <c r="L48" s="820">
        <f>IF(G48=6,F48,0)</f>
        <v>0</v>
      </c>
      <c r="P48" s="768" t="inlineStr">
        <is>
          <t>昨年実績</t>
        </is>
      </c>
      <c r="Q48" s="769" t="str">
        <f>IF($F48="","",IFERROR(VLOOKUP($C48&amp;"|"&amp;$D48,科目表!$A$5:$B$200,2,FALSE),"※未登録"))</f>
        <v>送金料</v>
      </c>
      <c r="R48" s="769">
        <f>IF($F48="","",$I48+$J48+$K48)</f>
        <v>1022</v>
      </c>
      <c r="S48" s="769" t="str">
        <f>IF(OR($F48="",$P48="支払なし",$H48=0,$Q48=""),"",$Q48&amp;"|S|"&amp;(COUNTIF(S$4:S47,$Q48&amp;"|S|*")+1))</f>
        <v/>
      </c>
      <c r="T48" s="769" t="str">
        <f>IF(OR($F48="",$P48="支払なし",$R48=0,$Q48=""),"",$Q48&amp;"|L|"&amp;(COUNTIF(T$4:T47,$Q48&amp;"|L|*")+1))</f>
        <v>送金料|L|1</v>
      </c>
      <c r="U48" s="769">
        <f>IF($F48="","",13)</f>
        <v>13</v>
      </c>
    </row>
    <row r="49" ht="16.5" customFormat="1" customHeight="1" s="43">
      <c r="A49" s="760" t="n">
        <v>43931</v>
      </c>
      <c r="B49" s="760" t="inlineStr">
        <is>
          <t>未払金</t>
        </is>
      </c>
      <c r="C49" s="762" t="inlineStr">
        <is>
          <t>事務費</t>
        </is>
      </c>
      <c r="D49" s="762" t="inlineStr">
        <is>
          <t>送金料</t>
        </is>
      </c>
      <c r="E49" s="762" t="inlineStr">
        <is>
          <t>広銀手数料（３月分）長期</t>
        </is>
      </c>
      <c r="F49" s="807" t="n">
        <v>19580</v>
      </c>
      <c r="G49" s="807" t="n">
        <v>3</v>
      </c>
      <c r="H49" s="818">
        <f>IF(G49=1,F49-I49-J49-K49,IF(G49=2,F49,0))</f>
        <v>0</v>
      </c>
      <c r="I49" s="818">
        <f>ROUND(IF(G49=1,F49*10/23,IF(G49=3,F49-J49-K49,IF(G49=4,F49,IF(G49=5,F49*10/11,IF(G49=7,F49*10/11,0))))),0)</f>
        <v>16316</v>
      </c>
      <c r="J49" s="818">
        <f>ROUND(IF(G49=1,F49/23,IF(G49=3,F49/12,IF(G49=5,F49-I49,IF(G49=8,F49,0)))),0)</f>
        <v>1632</v>
      </c>
      <c r="K49" s="819">
        <f>ROUND(IF(G49=1,F49/23,IF(G49=3,F49/12,IF(G49=6,F49,IF(G49=7,F49-I49,0)))),0)</f>
        <v>1632</v>
      </c>
      <c r="L49" s="820">
        <f>IF(G49=6,F49,0)</f>
        <v>0</v>
      </c>
      <c r="P49" s="768" t="inlineStr">
        <is>
          <t>昨年実績</t>
        </is>
      </c>
      <c r="Q49" s="769" t="str">
        <f>IF($F49="","",IFERROR(VLOOKUP($C49&amp;"|"&amp;$D49,科目表!$A$5:$B$200,2,FALSE),"※未登録"))</f>
        <v>送金料</v>
      </c>
      <c r="R49" s="769">
        <f>IF($F49="","",$I49+$J49+$K49)</f>
        <v>19580</v>
      </c>
      <c r="S49" s="769" t="str">
        <f>IF(OR($F49="",$P49="支払なし",$H49=0,$Q49=""),"",$Q49&amp;"|S|"&amp;(COUNTIF(S$4:S48,$Q49&amp;"|S|*")+1))</f>
        <v/>
      </c>
      <c r="T49" s="769" t="str">
        <f>IF(OR($F49="",$P49="支払なし",$R49=0,$Q49=""),"",$Q49&amp;"|L|"&amp;(COUNTIF(T$4:T48,$Q49&amp;"|L|*")+1))</f>
        <v>送金料|L|2</v>
      </c>
      <c r="U49" s="769">
        <f>IF($F49="","",13)</f>
        <v>13</v>
      </c>
    </row>
    <row r="50" ht="16.5" customFormat="1" customHeight="1" s="43">
      <c r="A50" s="760" t="n">
        <v>43951</v>
      </c>
      <c r="B50" s="760" t="inlineStr">
        <is>
          <t>未払金</t>
        </is>
      </c>
      <c r="C50" s="762" t="inlineStr">
        <is>
          <t>事務費</t>
        </is>
      </c>
      <c r="D50" s="762" t="inlineStr">
        <is>
          <t>通信運搬費</t>
        </is>
      </c>
      <c r="E50" s="762" t="inlineStr">
        <is>
          <t>後納料金利用料　3月分</t>
        </is>
      </c>
      <c r="F50" s="807" t="n">
        <v>80599</v>
      </c>
      <c r="G50" s="807" t="n">
        <v>3</v>
      </c>
      <c r="H50" s="818">
        <f>IF(G50=1,F50-I50-J50-K50,IF(G50=2,F50,0))</f>
        <v>0</v>
      </c>
      <c r="I50" s="818">
        <f>ROUND(IF(G50=1,F50*10/23,IF(G50=3,F50-J50-K50,IF(G50=4,F50,IF(G50=5,F50*10/11,IF(G50=7,F50*10/11,0))))),0)</f>
        <v>67165</v>
      </c>
      <c r="J50" s="818">
        <f>ROUND(IF(G50=1,F50/23,IF(G50=3,F50/12,IF(G50=5,F50-I50,IF(G50=8,F50,0)))),0)</f>
        <v>6717</v>
      </c>
      <c r="K50" s="819">
        <f>ROUND(IF(G50=1,F50/23,IF(G50=3,F50/12,IF(G50=6,F50,IF(G50=7,F50-I50,0)))),0)</f>
        <v>6717</v>
      </c>
      <c r="L50" s="820">
        <f>IF(G50=6,F50,0)</f>
        <v>0</v>
      </c>
      <c r="P50" s="768" t="inlineStr">
        <is>
          <t>昨年実績</t>
        </is>
      </c>
      <c r="Q50" s="769" t="str">
        <f>IF($F50="","",IFERROR(VLOOKUP($C50&amp;"|"&amp;$D50,科目表!$A$5:$B$200,2,FALSE),"※未登録"))</f>
        <v>通信運搬費</v>
      </c>
      <c r="R50" s="769">
        <f>IF($F50="","",$I50+$J50+$K50)</f>
        <v>80599</v>
      </c>
      <c r="S50" s="769" t="str">
        <f>IF(OR($F50="",$P50="支払なし",$H50=0,$Q50=""),"",$Q50&amp;"|S|"&amp;(COUNTIF(S$4:S49,$Q50&amp;"|S|*")+1))</f>
        <v/>
      </c>
      <c r="T50" s="769" t="str">
        <f>IF(OR($F50="",$P50="支払なし",$R50=0,$Q50=""),"",$Q50&amp;"|L|"&amp;(COUNTIF(T$4:T49,$Q50&amp;"|L|*")+1))</f>
        <v>通信運搬費|L|1</v>
      </c>
      <c r="U50" s="769">
        <f>IF($F50="","",13)</f>
        <v>13</v>
      </c>
    </row>
    <row r="51" ht="16.5" customFormat="1" customHeight="1" s="43">
      <c r="A51" s="760" t="n">
        <v>43951</v>
      </c>
      <c r="B51" s="760" t="inlineStr">
        <is>
          <t>未払金</t>
        </is>
      </c>
      <c r="C51" s="762" t="inlineStr">
        <is>
          <t>事務費</t>
        </is>
      </c>
      <c r="D51" s="762" t="inlineStr">
        <is>
          <t>通信運搬費</t>
        </is>
      </c>
      <c r="E51" s="762" t="inlineStr">
        <is>
          <t>ファクシミリ電話代等分担金（第4四半期）長期</t>
        </is>
      </c>
      <c r="F51" s="807" t="n">
        <v>5952</v>
      </c>
      <c r="G51" s="807" t="n">
        <v>3</v>
      </c>
      <c r="H51" s="818">
        <f>IF(G51=1,F51-I51-J51-K51,IF(G51=2,F51,0))</f>
        <v>0</v>
      </c>
      <c r="I51" s="818">
        <f>ROUND(IF(G51=1,F51*10/23,IF(G51=3,F51-J51-K51,IF(G51=4,F51,IF(G51=5,F51*10/11,IF(G51=7,F51*10/11,0))))),0)</f>
        <v>4960</v>
      </c>
      <c r="J51" s="818">
        <f>ROUND(IF(G51=1,F51/23,IF(G51=3,F51/12,IF(G51=5,F51-I51,IF(G51=8,F51,0)))),0)</f>
        <v>496</v>
      </c>
      <c r="K51" s="819">
        <f>ROUND(IF(G51=1,F51/23,IF(G51=3,F51/12,IF(G51=6,F51,IF(G51=7,F51-I51,0)))),0)</f>
        <v>496</v>
      </c>
      <c r="L51" s="820">
        <f>IF(G51=6,F51,0)</f>
        <v>0</v>
      </c>
      <c r="P51" s="768" t="inlineStr">
        <is>
          <t>昨年実績</t>
        </is>
      </c>
      <c r="Q51" s="769" t="str">
        <f>IF($F51="","",IFERROR(VLOOKUP($C51&amp;"|"&amp;$D51,科目表!$A$5:$B$200,2,FALSE),"※未登録"))</f>
        <v>通信運搬費</v>
      </c>
      <c r="R51" s="769">
        <f>IF($F51="","",$I51+$J51+$K51)</f>
        <v>5952</v>
      </c>
      <c r="S51" s="769" t="str">
        <f>IF(OR($F51="",$P51="支払なし",$H51=0,$Q51=""),"",$Q51&amp;"|S|"&amp;(COUNTIF(S$4:S50,$Q51&amp;"|S|*")+1))</f>
        <v/>
      </c>
      <c r="T51" s="769" t="str">
        <f>IF(OR($F51="",$P51="支払なし",$R51=0,$Q51=""),"",$Q51&amp;"|L|"&amp;(COUNTIF(T$4:T50,$Q51&amp;"|L|*")+1))</f>
        <v>通信運搬費|L|2</v>
      </c>
      <c r="U51" s="769">
        <f>IF($F51="","",13)</f>
        <v>13</v>
      </c>
    </row>
    <row r="52" ht="16.5" customFormat="1" customHeight="1" s="43">
      <c r="A52" s="760" t="n">
        <v>43951</v>
      </c>
      <c r="B52" s="760" t="inlineStr">
        <is>
          <t>未払金</t>
        </is>
      </c>
      <c r="C52" s="762" t="inlineStr">
        <is>
          <t>事務費</t>
        </is>
      </c>
      <c r="D52" s="762" t="inlineStr">
        <is>
          <t>通信運搬費</t>
        </is>
      </c>
      <c r="E52" s="762" t="inlineStr">
        <is>
          <t>行政財産使用電話料（１０～３月分）</t>
        </is>
      </c>
      <c r="F52" s="807" t="n">
        <v>18000</v>
      </c>
      <c r="G52" s="807" t="n">
        <v>3</v>
      </c>
      <c r="H52" s="818">
        <f>IF(G52=1,F52-I52-J52-K52,IF(G52=2,F52,0))</f>
        <v>0</v>
      </c>
      <c r="I52" s="818">
        <f>ROUND(IF(G52=1,F52*10/23,IF(G52=3,F52-J52-K52,IF(G52=4,F52,IF(G52=5,F52*10/11,IF(G52=7,F52*10/11,0))))),0)</f>
        <v>15000</v>
      </c>
      <c r="J52" s="818">
        <f>ROUND(IF(G52=1,F52/23,IF(G52=3,F52/12,IF(G52=5,F52-I52,IF(G52=8,F52,0)))),0)</f>
        <v>1500</v>
      </c>
      <c r="K52" s="819">
        <f>ROUND(IF(G52=1,F52/23,IF(G52=3,F52/12,IF(G52=6,F52,IF(G52=7,F52-I52,0)))),0)</f>
        <v>1500</v>
      </c>
      <c r="L52" s="820">
        <f>IF(G52=6,F52,0)</f>
        <v>0</v>
      </c>
      <c r="P52" s="768" t="inlineStr">
        <is>
          <t>昨年実績</t>
        </is>
      </c>
      <c r="Q52" s="769" t="str">
        <f>IF($F52="","",IFERROR(VLOOKUP($C52&amp;"|"&amp;$D52,科目表!$A$5:$B$200,2,FALSE),"※未登録"))</f>
        <v>通信運搬費</v>
      </c>
      <c r="R52" s="769">
        <f>IF($F52="","",$I52+$J52+$K52)</f>
        <v>18000</v>
      </c>
      <c r="S52" s="769" t="str">
        <f>IF(OR($F52="",$P52="支払なし",$H52=0,$Q52=""),"",$Q52&amp;"|S|"&amp;(COUNTIF(S$4:S51,$Q52&amp;"|S|*")+1))</f>
        <v/>
      </c>
      <c r="T52" s="769" t="str">
        <f>IF(OR($F52="",$P52="支払なし",$R52=0,$Q52=""),"",$Q52&amp;"|L|"&amp;(COUNTIF(T$4:T51,$Q52&amp;"|L|*")+1))</f>
        <v>通信運搬費|L|3</v>
      </c>
      <c r="U52" s="769">
        <f>IF($F52="","",13)</f>
        <v>13</v>
      </c>
    </row>
    <row r="53" ht="16.5" customFormat="1" customHeight="1" s="43">
      <c r="A53" s="760" t="n">
        <v>43942</v>
      </c>
      <c r="B53" s="760" t="inlineStr">
        <is>
          <t>未払金</t>
        </is>
      </c>
      <c r="C53" s="762" t="inlineStr">
        <is>
          <t>事務費</t>
        </is>
      </c>
      <c r="D53" s="762" t="n"/>
      <c r="E53" s="762" t="inlineStr">
        <is>
          <t>ゆうちょ銀行一般振替口座　残高証明書発行手数料</t>
        </is>
      </c>
      <c r="F53" s="807" t="n">
        <v>617</v>
      </c>
      <c r="G53" s="807" t="n">
        <v>3</v>
      </c>
      <c r="H53" s="818">
        <f>IF(G53=1,F53-I53-J53-K53,IF(G53=2,F53,0))</f>
        <v>0</v>
      </c>
      <c r="I53" s="818">
        <f>ROUND(IF(G53=1,F53*10/23,IF(G53=3,F53-J53-K53,IF(G53=4,F53,IF(G53=5,F53*10/11,IF(G53=7,F53*10/11,0))))),0)</f>
        <v>515</v>
      </c>
      <c r="J53" s="818">
        <f>ROUND(IF(G53=1,F53/23,IF(G53=3,F53/12,IF(G53=5,F53-I53,IF(G53=8,F53,0)))),0)</f>
        <v>51</v>
      </c>
      <c r="K53" s="819">
        <f>ROUND(IF(G53=1,F53/23,IF(G53=3,F53/12,IF(G53=6,F53,IF(G53=7,F53-I53,0)))),0)</f>
        <v>51</v>
      </c>
      <c r="L53" s="820">
        <f>IF(G53=6,F53,0)</f>
        <v>0</v>
      </c>
      <c r="P53" s="768" t="inlineStr">
        <is>
          <t>昨年実績</t>
        </is>
      </c>
      <c r="Q53" s="769" t="str">
        <f>IF($F53="","",IFERROR(VLOOKUP($C53&amp;"|"&amp;$D53,科目表!$A$5:$B$200,2,FALSE),"※未登録"))</f>
        <v>事務費・雑費</v>
      </c>
      <c r="R53" s="769">
        <f>IF($F53="","",$I53+$J53+$K53)</f>
        <v>617</v>
      </c>
      <c r="S53" s="769" t="str">
        <f>IF(OR($F53="",$P53="支払なし",$H53=0,$Q53=""),"",$Q53&amp;"|S|"&amp;(COUNTIF(S$4:S52,$Q53&amp;"|S|*")+1))</f>
        <v/>
      </c>
      <c r="T53" s="769" t="str">
        <f>IF(OR($F53="",$P53="支払なし",$R53=0,$Q53=""),"",$Q53&amp;"|L|"&amp;(COUNTIF(T$4:T52,$Q53&amp;"|L|*")+1))</f>
        <v>事務費・雑費|L|2</v>
      </c>
      <c r="U53" s="769">
        <f>IF($F53="","",13)</f>
        <v>13</v>
      </c>
    </row>
    <row r="54" ht="16.5" customFormat="1" customHeight="1" s="43">
      <c r="A54" s="760" t="n">
        <v>46140</v>
      </c>
      <c r="B54" s="760" t="inlineStr">
        <is>
          <t>未払金</t>
        </is>
      </c>
      <c r="C54" s="762" t="inlineStr">
        <is>
          <t>賃借料</t>
        </is>
      </c>
      <c r="D54" s="762" t="n"/>
      <c r="E54" s="775" t="inlineStr">
        <is>
          <t>サーバラック（長期）</t>
        </is>
      </c>
      <c r="F54" s="821" t="n">
        <v>16152</v>
      </c>
      <c r="G54" s="821" t="n">
        <v>3</v>
      </c>
      <c r="H54" s="818">
        <f>IF(G54=1,F54-I54-J54-K54,IF(G54=2,F54,0))</f>
        <v>0</v>
      </c>
      <c r="I54" s="818">
        <f>ROUND(IF(G54=1,F54*10/23,IF(G54=3,F54-J54-K54,IF(G54=4,F54,IF(G54=5,F54*10/11,IF(G54=7,F54*10/11,0))))),0)</f>
        <v>13460</v>
      </c>
      <c r="J54" s="818">
        <f>ROUND(IF(G54=1,F54/23,IF(G54=3,F54/12,IF(G54=5,F54-I54,IF(G54=8,F54,0)))),0)</f>
        <v>1346</v>
      </c>
      <c r="K54" s="819">
        <f>ROUND(IF(G54=1,F54/23,IF(G54=3,F54/12,IF(G54=6,F54,IF(G54=7,F54-I54,0)))),0)</f>
        <v>1346</v>
      </c>
      <c r="L54" s="820">
        <f>IF(G54=6,F54,0)</f>
        <v>0</v>
      </c>
      <c r="P54" s="768" t="inlineStr">
        <is>
          <t>昨年実績</t>
        </is>
      </c>
      <c r="Q54" s="769" t="str">
        <f>IF($F54="","",IFERROR(VLOOKUP($C54&amp;"|"&amp;$D54,科目表!$A$5:$B$200,2,FALSE),"※未登録"))</f>
        <v>賃借料</v>
      </c>
      <c r="R54" s="769">
        <f>IF($F54="","",$I54+$J54+$K54)</f>
        <v>16152</v>
      </c>
      <c r="S54" s="769" t="str">
        <f>IF(OR($F54="",$P54="支払なし",$H54=0,$Q54=""),"",$Q54&amp;"|S|"&amp;(COUNTIF(S$4:S53,$Q54&amp;"|S|*")+1))</f>
        <v/>
      </c>
      <c r="T54" s="769" t="str">
        <f>IF(OR($F54="",$P54="支払なし",$R54=0,$Q54=""),"",$Q54&amp;"|L|"&amp;(COUNTIF(T$4:T53,$Q54&amp;"|L|*")+1))</f>
        <v>賃借料|L|2</v>
      </c>
      <c r="U54" s="769">
        <f>IF($F54="","",13)</f>
        <v>13</v>
      </c>
    </row>
    <row r="55" ht="16.5" customFormat="1" customHeight="1" s="418">
      <c r="A55" s="760" t="n">
        <v>44679</v>
      </c>
      <c r="B55" s="760" t="inlineStr">
        <is>
          <t>未払金</t>
        </is>
      </c>
      <c r="C55" s="762" t="inlineStr">
        <is>
          <t>賃借料</t>
        </is>
      </c>
      <c r="D55" s="762" t="n"/>
      <c r="E55" s="775" t="inlineStr">
        <is>
          <t>病院機構人給システム（パソコン・プリンタ使用料）長期</t>
        </is>
      </c>
      <c r="F55" s="821" t="n">
        <v>25902</v>
      </c>
      <c r="G55" s="821" t="n">
        <v>3</v>
      </c>
      <c r="H55" s="818">
        <f>IF(G55=1,F55-I55-J55-K55,IF(G55=2,F55,0))</f>
        <v>0</v>
      </c>
      <c r="I55" s="818">
        <f>ROUND(IF(G55=1,F55*10/23,IF(G55=3,F55-J55-K55,IF(G55=4,F55,IF(G55=5,F55*10/11,IF(G55=7,F55*10/11,0))))),0)</f>
        <v>21584</v>
      </c>
      <c r="J55" s="818">
        <f>ROUND(IF(G55=1,F55/23,IF(G55=3,F55/12,IF(G55=5,F55-I55,IF(G55=8,F55,0)))),0)</f>
        <v>2159</v>
      </c>
      <c r="K55" s="819">
        <f>ROUND(IF(G55=1,F55/23,IF(G55=3,F55/12,IF(G55=6,F55,IF(G55=7,F55-I55,0)))),0)</f>
        <v>2159</v>
      </c>
      <c r="L55" s="820">
        <f>IF(G55=6,F55,0)</f>
        <v>0</v>
      </c>
      <c r="P55" s="768" t="inlineStr">
        <is>
          <t>昨年実績</t>
        </is>
      </c>
      <c r="Q55" s="769" t="str">
        <f>IF($F55="","",IFERROR(VLOOKUP($C55&amp;"|"&amp;$D55,科目表!$A$5:$B$200,2,FALSE),"※未登録"))</f>
        <v>賃借料</v>
      </c>
      <c r="R55" s="769">
        <f>IF($F55="","",$I55+$J55+$K55)</f>
        <v>25902</v>
      </c>
      <c r="S55" s="769" t="str">
        <f>IF(OR($F55="",$P55="支払なし",$H55=0,$Q55=""),"",$Q55&amp;"|S|"&amp;(COUNTIF(S$4:S54,$Q55&amp;"|S|*")+1))</f>
        <v/>
      </c>
      <c r="T55" s="769" t="str">
        <f>IF(OR($F55="",$P55="支払なし",$R55=0,$Q55=""),"",$Q55&amp;"|L|"&amp;(COUNTIF(T$4:T54,$Q55&amp;"|L|*")+1))</f>
        <v>賃借料|L|3</v>
      </c>
      <c r="U55" s="769">
        <f>IF($F55="","",13)</f>
        <v>13</v>
      </c>
    </row>
    <row r="56" ht="16.5" customFormat="1" customHeight="1" s="43">
      <c r="A56" s="760" t="n">
        <v>43951</v>
      </c>
      <c r="B56" s="760" t="inlineStr">
        <is>
          <t>未払金</t>
        </is>
      </c>
      <c r="C56" s="762" t="inlineStr">
        <is>
          <t>普及費</t>
        </is>
      </c>
      <c r="D56" s="762" t="n"/>
      <c r="E56" s="762" t="inlineStr">
        <is>
          <t>厚生だより等印刷代分担金（第4四半期）長期</t>
        </is>
      </c>
      <c r="F56" s="807" t="n">
        <v>522996</v>
      </c>
      <c r="G56" s="807" t="n">
        <v>3</v>
      </c>
      <c r="H56" s="818">
        <f>IF(G56=1,F56-I56-J56-K56,IF(G56=2,F56,0))</f>
        <v>0</v>
      </c>
      <c r="I56" s="818">
        <f>ROUND(IF(G56=1,F56*10/23,IF(G56=3,F56-J56-K56,IF(G56=4,F56,IF(G56=5,F56*10/11,IF(G56=7,F56*10/11,0))))),0)</f>
        <v>435830</v>
      </c>
      <c r="J56" s="818">
        <f>ROUND(IF(G56=1,F56/23,IF(G56=3,F56/12,IF(G56=5,F56-I56,IF(G56=8,F56,0)))),0)</f>
        <v>43583</v>
      </c>
      <c r="K56" s="819">
        <f>ROUND(IF(G56=1,F56/23,IF(G56=3,F56/12,IF(G56=6,F56,IF(G56=7,F56-I56,0)))),0)</f>
        <v>43583</v>
      </c>
      <c r="L56" s="820">
        <f>IF(G56=6,F56,0)</f>
        <v>0</v>
      </c>
      <c r="P56" s="768" t="inlineStr">
        <is>
          <t>昨年実績</t>
        </is>
      </c>
      <c r="Q56" s="769" t="str">
        <f>IF($F56="","",IFERROR(VLOOKUP($C56&amp;"|"&amp;$D56,科目表!$A$5:$B$200,2,FALSE),"※未登録"))</f>
        <v>普及費</v>
      </c>
      <c r="R56" s="769">
        <f>IF($F56="","",$I56+$J56+$K56)</f>
        <v>522996</v>
      </c>
      <c r="S56" s="769" t="str">
        <f>IF(OR($F56="",$P56="支払なし",$H56=0,$Q56=""),"",$Q56&amp;"|S|"&amp;(COUNTIF(S$4:S55,$Q56&amp;"|S|*")+1))</f>
        <v/>
      </c>
      <c r="T56" s="769" t="str">
        <f>IF(OR($F56="",$P56="支払なし",$R56=0,$Q56=""),"",$Q56&amp;"|L|"&amp;(COUNTIF(T$4:T55,$Q56&amp;"|L|*")+1))</f>
        <v>普及費|L|1</v>
      </c>
      <c r="U56" s="769">
        <f>IF($F56="","",13)</f>
        <v>13</v>
      </c>
    </row>
    <row r="57" ht="16.5" customFormat="1" customHeight="1" s="43">
      <c r="A57" s="760" t="n">
        <v>43951</v>
      </c>
      <c r="B57" s="760" t="inlineStr">
        <is>
          <t>未払金</t>
        </is>
      </c>
      <c r="C57" s="762" t="inlineStr">
        <is>
          <t>負担金</t>
        </is>
      </c>
      <c r="D57" s="762" t="inlineStr">
        <is>
          <t>厚年負担金等</t>
        </is>
      </c>
      <c r="E57" s="762" t="inlineStr">
        <is>
          <t>３月月例+３月賞与分（長期分）子ども子育て拠出金を含む</t>
        </is>
      </c>
      <c r="F57" s="807" t="n">
        <v>39858</v>
      </c>
      <c r="G57" s="807" t="n">
        <v>3</v>
      </c>
      <c r="H57" s="818">
        <f>IF(G57=1,F57-I57-J57-K57,IF(G57=2,F57,0))</f>
        <v>0</v>
      </c>
      <c r="I57" s="818">
        <f>ROUND(IF(G57=1,F57*10/23,IF(G57=3,F57-J57-K57,IF(G57=4,F57,IF(G57=5,F57*10/11,IF(G57=7,F57*10/11,0))))),0)</f>
        <v>33214</v>
      </c>
      <c r="J57" s="818">
        <f>ROUND(IF(G57=1,F57/23,IF(G57=3,F57/12,IF(G57=5,F57-I57,IF(G57=8,F57,0)))),0)</f>
        <v>3322</v>
      </c>
      <c r="K57" s="819">
        <f>ROUND(IF(G57=1,F57/23,IF(G57=3,F57/12,IF(G57=6,F57,IF(G57=7,F57-I57,0)))),0)</f>
        <v>3322</v>
      </c>
      <c r="L57" s="820">
        <f>IF(G57=6,F57,0)</f>
        <v>0</v>
      </c>
      <c r="P57" s="768" t="inlineStr">
        <is>
          <t>昨年実績</t>
        </is>
      </c>
      <c r="Q57" s="769" t="str">
        <f>IF($F57="","",IFERROR(VLOOKUP($C57&amp;"|"&amp;$D57,科目表!$A$5:$B$200,2,FALSE),"※未登録"))</f>
        <v>厚年負担金等</v>
      </c>
      <c r="R57" s="769">
        <f>IF($F57="","",$I57+$J57+$K57)</f>
        <v>39858</v>
      </c>
      <c r="S57" s="769" t="str">
        <f>IF(OR($F57="",$P57="支払なし",$H57=0,$Q57=""),"",$Q57&amp;"|S|"&amp;(COUNTIF(S$4:S56,$Q57&amp;"|S|*")+1))</f>
        <v/>
      </c>
      <c r="T57" s="769" t="str">
        <f>IF(OR($F57="",$P57="支払なし",$R57=0,$Q57=""),"",$Q57&amp;"|L|"&amp;(COUNTIF(T$4:T56,$Q57&amp;"|L|*")+1))</f>
        <v>厚年負担金等|L|1</v>
      </c>
      <c r="U57" s="769">
        <f>IF($F57="","",13)</f>
        <v>13</v>
      </c>
    </row>
    <row r="58" ht="16.5" customFormat="1" customHeight="1" s="43">
      <c r="A58" s="760" t="n">
        <v>43951</v>
      </c>
      <c r="B58" s="760" t="inlineStr">
        <is>
          <t>未払金</t>
        </is>
      </c>
      <c r="C58" s="762" t="inlineStr">
        <is>
          <t>負担金</t>
        </is>
      </c>
      <c r="D58" s="762" t="inlineStr">
        <is>
          <t>協会けんぽ保険料等</t>
        </is>
      </c>
      <c r="E58" s="762" t="inlineStr">
        <is>
          <t>３月月例+３月賞与分（長期分）</t>
        </is>
      </c>
      <c r="F58" s="807" t="n">
        <v>22364</v>
      </c>
      <c r="G58" s="807" t="n">
        <v>3</v>
      </c>
      <c r="H58" s="818">
        <f>IF(G58=1,F58-I58-J58-K58,IF(G58=2,F58,0))</f>
        <v>0</v>
      </c>
      <c r="I58" s="818">
        <f>ROUND(IF(G58=1,F58*10/23,IF(G58=3,F58-J58-K58,IF(G58=4,F58,IF(G58=5,F58*10/11,IF(G58=7,F58*10/11,0))))),0)</f>
        <v>18636</v>
      </c>
      <c r="J58" s="818">
        <f>ROUND(IF(G58=1,F58/23,IF(G58=3,F58/12,IF(G58=5,F58-I58,IF(G58=8,F58,0)))),0)</f>
        <v>1864</v>
      </c>
      <c r="K58" s="819">
        <f>ROUND(IF(G58=1,F58/23,IF(G58=3,F58/12,IF(G58=6,F58,IF(G58=7,F58-I58,0)))),0)</f>
        <v>1864</v>
      </c>
      <c r="L58" s="820">
        <f>IF(G58=6,F58,0)</f>
        <v>0</v>
      </c>
      <c r="P58" s="768" t="inlineStr">
        <is>
          <t>昨年実績</t>
        </is>
      </c>
      <c r="Q58" s="769" t="str">
        <f>IF($F58="","",IFERROR(VLOOKUP($C58&amp;"|"&amp;$D58,科目表!$A$5:$B$200,2,FALSE),"※未登録"))</f>
        <v>協会けんぽ保険料等</v>
      </c>
      <c r="R58" s="769">
        <f>IF($F58="","",$I58+$J58+$K58)</f>
        <v>22364</v>
      </c>
      <c r="S58" s="769" t="str">
        <f>IF(OR($F58="",$P58="支払なし",$H58=0,$Q58=""),"",$Q58&amp;"|S|"&amp;(COUNTIF(S$4:S57,$Q58&amp;"|S|*")+1))</f>
        <v/>
      </c>
      <c r="T58" s="769" t="str">
        <f>IF(OR($F58="",$P58="支払なし",$R58=0,$Q58=""),"",$Q58&amp;"|L|"&amp;(COUNTIF(T$4:T57,$Q58&amp;"|L|*")+1))</f>
        <v>協会けんぽ保険料等|L|1</v>
      </c>
      <c r="U58" s="769">
        <f>IF($F58="","",13)</f>
        <v>13</v>
      </c>
    </row>
    <row r="59" ht="16.5" customFormat="1" customHeight="1" s="43">
      <c r="A59" s="760" t="n">
        <v>46127</v>
      </c>
      <c r="B59" s="760" t="inlineStr">
        <is>
          <t>未払金</t>
        </is>
      </c>
      <c r="C59" s="762" t="inlineStr">
        <is>
          <t>委託費</t>
        </is>
      </c>
      <c r="D59" s="762" t="n"/>
      <c r="E59" s="762" t="inlineStr">
        <is>
          <t>ねんきん定期便（３月分）送付業務</t>
        </is>
      </c>
      <c r="F59" s="807" t="n">
        <v>80964</v>
      </c>
      <c r="G59" s="807" t="n">
        <v>5</v>
      </c>
      <c r="H59" s="818">
        <f>IF(G59=1,F59-I59-J59-K59,IF(G59=2,F59,0))</f>
        <v>0</v>
      </c>
      <c r="I59" s="818">
        <f>ROUND(IF(G59=1,F59*10/23,IF(G59=3,F59-J59-K59,IF(G59=4,F59,IF(G59=5,F59*10/11,IF(G59=7,F59*10/11,0))))),0)</f>
        <v>73604</v>
      </c>
      <c r="J59" s="818">
        <f>ROUND(IF(G59=1,F59/23,IF(G59=3,F59/12,IF(G59=5,F59-I59,IF(G59=8,F59,0)))),0)</f>
        <v>7360</v>
      </c>
      <c r="K59" s="819">
        <f>ROUND(IF(G59=1,F59/23,IF(G59=3,F59/12,IF(G59=6,F59,IF(G59=7,F59-I59,0)))),0)</f>
        <v>0</v>
      </c>
      <c r="L59" s="820">
        <f>IF(G59=6,F59,0)</f>
        <v>0</v>
      </c>
      <c r="P59" s="768" t="inlineStr">
        <is>
          <t>昨年実績</t>
        </is>
      </c>
      <c r="Q59" s="769" t="str">
        <f>IF($F59="","",IFERROR(VLOOKUP($C59&amp;"|"&amp;$D59,科目表!$A$5:$B$200,2,FALSE),"※未登録"))</f>
        <v>委託費</v>
      </c>
      <c r="R59" s="769">
        <f>IF($F59="","",$I59+$J59+$K59)</f>
        <v>80964</v>
      </c>
      <c r="S59" s="769" t="str">
        <f>IF(OR($F59="",$P59="支払なし",$H59=0,$Q59=""),"",$Q59&amp;"|S|"&amp;(COUNTIF(S$4:S58,$Q59&amp;"|S|*")+1))</f>
        <v/>
      </c>
      <c r="T59" s="769" t="str">
        <f>IF(OR($F59="",$P59="支払なし",$R59=0,$Q59=""),"",$Q59&amp;"|L|"&amp;(COUNTIF(T$4:T58,$Q59&amp;"|L|*")+1))</f>
        <v>委託費|L|4</v>
      </c>
      <c r="U59" s="769">
        <f>IF($F59="","",13)</f>
        <v>13</v>
      </c>
    </row>
    <row r="60" ht="16.5" customFormat="1" customHeight="1" s="43">
      <c r="A60" s="760" t="n">
        <v>46127</v>
      </c>
      <c r="B60" s="760" t="inlineStr">
        <is>
          <t>未払金</t>
        </is>
      </c>
      <c r="C60" s="762" t="inlineStr">
        <is>
          <t>賃借料</t>
        </is>
      </c>
      <c r="D60" s="762" t="n"/>
      <c r="E60" s="762" t="inlineStr">
        <is>
          <t>サーバ版標準システム構成機器（10～3月分)</t>
        </is>
      </c>
      <c r="F60" s="772" t="n">
        <v>87450</v>
      </c>
      <c r="G60" s="772" t="n">
        <v>3</v>
      </c>
      <c r="H60" s="765">
        <f>IF(G60=1,F60-I60-J60-K60,IF(G60=2,F60,0))</f>
        <v>0</v>
      </c>
      <c r="I60" s="765">
        <f>ROUND(IF(G60=1,F60*10/23,IF(G60=3,F60-J60-K60,IF(G60=4,F60,IF(G60=5,F60*10/11,IF(G60=7,F60*10/11,0))))),0)</f>
        <v>72874</v>
      </c>
      <c r="J60" s="765">
        <f>ROUND(IF(G60=1,F60/23,IF(G60=3,F60/12,IF(G60=5,F60-I60,IF(G60=8,F60,0)))),0)</f>
        <v>7288</v>
      </c>
      <c r="K60" s="766">
        <f>ROUND(IF(G60=1,F60/23,IF(G60=3,F60/12,IF(G60=6,F60,IF(G60=7,F60-I60,0)))),0)</f>
        <v>7288</v>
      </c>
      <c r="L60" s="767">
        <f>IF(G60=6,F60,0)</f>
        <v>0</v>
      </c>
      <c r="P60" s="768" t="inlineStr">
        <is>
          <t>昨年実績</t>
        </is>
      </c>
      <c r="Q60" s="769" t="str">
        <f>IF($F60="","",IFERROR(VLOOKUP($C60&amp;"|"&amp;$D60,科目表!$A$5:$B$200,2,FALSE),"※未登録"))</f>
        <v>賃借料</v>
      </c>
      <c r="R60" s="769">
        <f>IF($F60="","",$I60+$J60+$K60)</f>
        <v>87450</v>
      </c>
      <c r="S60" s="769" t="str">
        <f>IF(OR($F60="",$P60="支払なし",$H60=0,$Q60=""),"",$Q60&amp;"|S|"&amp;(COUNTIF(S$4:S59,$Q60&amp;"|S|*")+1))</f>
        <v/>
      </c>
      <c r="T60" s="769" t="str">
        <f>IF(OR($F60="",$P60="支払なし",$R60=0,$Q60=""),"",$Q60&amp;"|L|"&amp;(COUNTIF(T$4:T59,$Q60&amp;"|L|*")+1))</f>
        <v>賃借料|L|4</v>
      </c>
      <c r="U60" s="769">
        <f>IF($F60="","",13)</f>
        <v>13</v>
      </c>
    </row>
    <row r="61" ht="16.5" customFormat="1" customHeight="1" s="43">
      <c r="A61" s="760" t="n">
        <v>46140</v>
      </c>
      <c r="B61" s="760" t="inlineStr">
        <is>
          <t>未払金</t>
        </is>
      </c>
      <c r="C61" s="762" t="inlineStr">
        <is>
          <t>賃借料</t>
        </is>
      </c>
      <c r="D61" s="762" t="n"/>
      <c r="E61" s="775" t="inlineStr">
        <is>
          <t>基幹システム用機器賃借料　３月分（長期）</t>
        </is>
      </c>
      <c r="F61" s="764" t="n">
        <v>69613</v>
      </c>
      <c r="G61" s="764" t="n">
        <v>3</v>
      </c>
      <c r="H61" s="765">
        <f>IF(G61=1,F61-I61-J61-K61,IF(G61=2,F61,0))</f>
        <v>0</v>
      </c>
      <c r="I61" s="765">
        <f>ROUND(IF(G61=1,F61*10/23,IF(G61=3,F61-J61-K61,IF(G61=4,F61,IF(G61=5,F61*10/11,IF(G61=7,F61*10/11,0))))),0)</f>
        <v>58011</v>
      </c>
      <c r="J61" s="765">
        <f>ROUND(IF(G61=1,F61/23,IF(G61=3,F61/12,IF(G61=5,F61-I61,IF(G61=8,F61,0)))),0)</f>
        <v>5801</v>
      </c>
      <c r="K61" s="766">
        <f>ROUND(IF(G61=1,F61/23,IF(G61=3,F61/12,IF(G61=6,F61,IF(G61=7,F61-I61,0)))),0)</f>
        <v>5801</v>
      </c>
      <c r="L61" s="767">
        <f>IF(G61=6,F61,0)</f>
        <v>0</v>
      </c>
      <c r="P61" s="768" t="inlineStr">
        <is>
          <t>昨年実績</t>
        </is>
      </c>
      <c r="Q61" s="769" t="str">
        <f>IF($F61="","",IFERROR(VLOOKUP($C61&amp;"|"&amp;$D61,科目表!$A$5:$B$200,2,FALSE),"※未登録"))</f>
        <v>賃借料</v>
      </c>
      <c r="R61" s="769">
        <f>IF($F61="","",$I61+$J61+$K61)</f>
        <v>69613</v>
      </c>
      <c r="S61" s="769" t="str">
        <f>IF(OR($F61="",$P61="支払なし",$H61=0,$Q61=""),"",$Q61&amp;"|S|"&amp;(COUNTIF(S$4:S60,$Q61&amp;"|S|*")+1))</f>
        <v/>
      </c>
      <c r="T61" s="769" t="str">
        <f>IF(OR($F61="",$P61="支払なし",$R61=0,$Q61=""),"",$Q61&amp;"|L|"&amp;(COUNTIF(T$4:T60,$Q61&amp;"|L|*")+1))</f>
        <v>賃借料|L|5</v>
      </c>
      <c r="U61" s="769">
        <f>IF($F61="","",13)</f>
        <v>13</v>
      </c>
    </row>
    <row r="62" ht="16.5" customFormat="1" customHeight="1" s="43">
      <c r="A62" s="760" t="n">
        <v>46140</v>
      </c>
      <c r="B62" s="760" t="inlineStr">
        <is>
          <t>未払金</t>
        </is>
      </c>
      <c r="C62" s="762" t="inlineStr">
        <is>
          <t>賃借料</t>
        </is>
      </c>
      <c r="D62" s="762" t="n"/>
      <c r="E62" s="775" t="inlineStr">
        <is>
          <t>基幹システム用機器賃借料　３月分（短期）</t>
        </is>
      </c>
      <c r="F62" s="764" t="n">
        <v>672934</v>
      </c>
      <c r="G62" s="764" t="n">
        <v>2</v>
      </c>
      <c r="H62" s="765">
        <f>IF(G62=1,F62-I62-J62-K62,IF(G62=2,F62,0))</f>
        <v>672934</v>
      </c>
      <c r="I62" s="765">
        <f>ROUND(IF(G62=1,F62*10/23,IF(G62=3,F62-J62-K62,IF(G62=4,F62,IF(G62=5,F62*10/11,IF(G62=7,F62*10/11,0))))),0)</f>
        <v>0</v>
      </c>
      <c r="J62" s="765">
        <f>ROUND(IF(G62=1,F62/23,IF(G62=3,F62/12,IF(G62=5,F62-I62,IF(G62=8,F62,0)))),0)</f>
        <v>0</v>
      </c>
      <c r="K62" s="766">
        <f>ROUND(IF(G62=1,F62/23,IF(G62=3,F62/12,IF(G62=6,F62,IF(G62=7,F62-I62,0)))),0)</f>
        <v>0</v>
      </c>
      <c r="L62" s="767">
        <f>IF(G62=6,F62,0)</f>
        <v>0</v>
      </c>
      <c r="P62" s="768" t="inlineStr">
        <is>
          <t>昨年実績</t>
        </is>
      </c>
      <c r="Q62" s="769" t="str">
        <f>IF($F62="","",IFERROR(VLOOKUP($C62&amp;"|"&amp;$D62,科目表!$A$5:$B$200,2,FALSE),"※未登録"))</f>
        <v>賃借料</v>
      </c>
      <c r="R62" s="769">
        <f>IF($F62="","",$I62+$J62+$K62)</f>
        <v>0</v>
      </c>
      <c r="S62" s="769" t="str">
        <f>IF(OR($F62="",$P62="支払なし",$H62=0,$Q62=""),"",$Q62&amp;"|S|"&amp;(COUNTIF(S$4:S61,$Q62&amp;"|S|*")+1))</f>
        <v>賃借料|S|5</v>
      </c>
      <c r="T62" s="769" t="str">
        <f>IF(OR($F62="",$P62="支払なし",$R62=0,$Q62=""),"",$Q62&amp;"|L|"&amp;(COUNTIF(T$4:T61,$Q62&amp;"|L|*")+1))</f>
        <v/>
      </c>
      <c r="U62" s="769">
        <f>IF($F62="","",13)</f>
        <v>13</v>
      </c>
    </row>
    <row r="63" ht="16.5" customFormat="1" customHeight="1" s="43">
      <c r="A63" s="760" t="n">
        <v>44679</v>
      </c>
      <c r="B63" s="760" t="inlineStr">
        <is>
          <t>未払金</t>
        </is>
      </c>
      <c r="C63" s="762" t="inlineStr">
        <is>
          <t>事務費</t>
        </is>
      </c>
      <c r="D63" s="762" t="inlineStr">
        <is>
          <t>通信運搬費</t>
        </is>
      </c>
      <c r="E63" s="778" t="inlineStr">
        <is>
          <t>メール便（任継者宛厚生だより３月分）</t>
        </is>
      </c>
      <c r="F63" s="764" t="n">
        <v>3024</v>
      </c>
      <c r="G63" s="764" t="n">
        <v>2</v>
      </c>
      <c r="H63" s="765">
        <f>IF(G63=1,F63-I63-J63-K63,IF(G63=2,F63,0))</f>
        <v>3024</v>
      </c>
      <c r="I63" s="765">
        <f>ROUND(IF(G63=1,F63*10/23,IF(G63=3,F63-J63-K63,IF(G63=4,F63,IF(G63=5,F63*10/11,IF(G63=7,F63*10/11,0))))),0)</f>
        <v>0</v>
      </c>
      <c r="J63" s="765">
        <f>ROUND(IF(G63=1,F63/23,IF(G63=3,F63/12,IF(G63=5,F63-I63,IF(G63=8,F63,0)))),0)</f>
        <v>0</v>
      </c>
      <c r="K63" s="766">
        <f>ROUND(IF(G63=1,F63/23,IF(G63=3,F63/12,IF(G63=6,F63,IF(G63=7,F63-I63,0)))),0)</f>
        <v>0</v>
      </c>
      <c r="L63" s="767">
        <f>IF(G63=6,F63,0)</f>
        <v>0</v>
      </c>
      <c r="P63" s="768" t="inlineStr">
        <is>
          <t>昨年実績</t>
        </is>
      </c>
      <c r="Q63" s="769" t="str">
        <f>IF($F63="","",IFERROR(VLOOKUP($C63&amp;"|"&amp;$D63,科目表!$A$5:$B$200,2,FALSE),"※未登録"))</f>
        <v>通信運搬費</v>
      </c>
      <c r="R63" s="769">
        <f>IF($F63="","",$I63+$J63+$K63)</f>
        <v>0</v>
      </c>
      <c r="S63" s="769" t="str">
        <f>IF(OR($F63="",$P63="支払なし",$H63=0,$Q63=""),"",$Q63&amp;"|S|"&amp;(COUNTIF(S$4:S62,$Q63&amp;"|S|*")+1))</f>
        <v>通信運搬費|S|7</v>
      </c>
      <c r="T63" s="769" t="str">
        <f>IF(OR($F63="",$P63="支払なし",$R63=0,$Q63=""),"",$Q63&amp;"|L|"&amp;(COUNTIF(T$4:T62,$Q63&amp;"|L|*")+1))</f>
        <v/>
      </c>
      <c r="U63" s="769">
        <f>IF($F63="","",13)</f>
        <v>13</v>
      </c>
    </row>
    <row r="64" ht="16.5" customHeight="1" s="186">
      <c r="A64" s="760" t="n"/>
      <c r="B64" s="760" t="n"/>
      <c r="C64" s="762" t="n"/>
      <c r="D64" s="762" t="n"/>
      <c r="E64" s="775" t="n"/>
      <c r="F64" s="821" t="n"/>
      <c r="G64" s="821" t="n"/>
      <c r="H64" s="818">
        <f>IF(G64=1,F64-I64-J64-K64,IF(G64=2,F64,0))</f>
        <v>0</v>
      </c>
      <c r="I64" s="818">
        <f>ROUND(IF(G64=1,F64*10/23,IF(G64=3,F64-J64-K64,IF(G64=4,F64,IF(G64=5,F64*10/11,IF(G64=7,F64*10/11,0))))),0)</f>
        <v>0</v>
      </c>
      <c r="J64" s="818">
        <f>ROUND(IF(G64=1,F64/23,IF(G64=3,F64/12,IF(G64=5,F64-I64,IF(G64=8,F64,0)))),0)</f>
        <v>0</v>
      </c>
      <c r="K64" s="819">
        <f>ROUND(IF(G64=1,F64/23,IF(G64=3,F64/12,IF(G64=6,F64,IF(G64=7,F64-I64,0)))),0)</f>
        <v>0</v>
      </c>
      <c r="L64" s="820">
        <f>IF(G64=6,F64,0)</f>
        <v>0</v>
      </c>
      <c r="P64" s="768" t="n"/>
      <c r="Q64" s="769" t="str">
        <f>IF($F64="","",IFERROR(VLOOKUP($C64&amp;"|"&amp;$D64,科目表!$A$5:$B$200,2,FALSE),"※未登録"))</f>
        <v/>
      </c>
      <c r="R64" s="769" t="str">
        <f>IF($F64="","",$I64+$J64+$K64)</f>
        <v/>
      </c>
      <c r="S64" s="769" t="str">
        <f>IF(OR($F64="",$P64="支払なし",$H64=0,$Q64=""),"",$Q64&amp;"|S|"&amp;(COUNTIF(S$4:S63,$Q64&amp;"|S|*")+1))</f>
        <v/>
      </c>
      <c r="T64" s="769" t="str">
        <f>IF(OR($F64="",$P64="支払なし",$R64=0,$Q64=""),"",$Q64&amp;"|L|"&amp;(COUNTIF(T$4:T63,$Q64&amp;"|L|*")+1))</f>
        <v/>
      </c>
      <c r="U64" s="769" t="str">
        <f>IF($F64="","",13)</f>
        <v/>
      </c>
    </row>
    <row r="65" ht="16.5" customHeight="1" s="186">
      <c r="A65" s="760" t="n"/>
      <c r="B65" s="760" t="n"/>
      <c r="C65" s="762" t="n"/>
      <c r="D65" s="762" t="n"/>
      <c r="E65" s="762" t="n"/>
      <c r="F65" s="821" t="n"/>
      <c r="G65" s="821" t="n"/>
      <c r="H65" s="818">
        <f>IF(G65=1,F65-I65-J65-K65,IF(G65=2,F65,0))</f>
        <v>0</v>
      </c>
      <c r="I65" s="818">
        <f>ROUND(IF(G65=1,F65*10/23,IF(G65=3,F65-J65-K65,IF(G65=4,F65,IF(G65=5,F65*10/11,IF(G65=7,F65*10/11,0))))),0)</f>
        <v>0</v>
      </c>
      <c r="J65" s="818">
        <f>ROUND(IF(G65=1,F65/23,IF(G65=3,F65/12,IF(G65=5,F65-I65,IF(G65=8,F65,0)))),0)</f>
        <v>0</v>
      </c>
      <c r="K65" s="819">
        <f>ROUND(IF(G65=1,F65/23,IF(G65=3,F65/12,IF(G65=6,F65,IF(G65=7,F65-I65,0)))),0)</f>
        <v>0</v>
      </c>
      <c r="L65" s="820">
        <f>IF(G65=6,F65,0)</f>
        <v>0</v>
      </c>
      <c r="P65" s="768" t="n"/>
      <c r="Q65" s="769" t="str">
        <f>IF($F65="","",IFERROR(VLOOKUP($C65&amp;"|"&amp;$D65,科目表!$A$5:$B$200,2,FALSE),"※未登録"))</f>
        <v/>
      </c>
      <c r="R65" s="769" t="str">
        <f>IF($F65="","",$I65+$J65+$K65)</f>
        <v/>
      </c>
      <c r="S65" s="769" t="str">
        <f>IF(OR($F65="",$P65="支払なし",$H65=0,$Q65=""),"",$Q65&amp;"|S|"&amp;(COUNTIF(S$4:S64,$Q65&amp;"|S|*")+1))</f>
        <v/>
      </c>
      <c r="T65" s="769" t="str">
        <f>IF(OR($F65="",$P65="支払なし",$R65=0,$Q65=""),"",$Q65&amp;"|L|"&amp;(COUNTIF(T$4:T64,$Q65&amp;"|L|*")+1))</f>
        <v/>
      </c>
      <c r="U65" s="769" t="str">
        <f>IF($F65="","",13)</f>
        <v/>
      </c>
    </row>
    <row r="66" ht="16.5" customHeight="1" s="186">
      <c r="A66" s="760" t="n"/>
      <c r="B66" s="760" t="n"/>
      <c r="C66" s="762" t="n"/>
      <c r="D66" s="762" t="n"/>
      <c r="E66" s="775" t="n"/>
      <c r="F66" s="821" t="n"/>
      <c r="G66" s="821" t="n"/>
      <c r="H66" s="818">
        <f>IF(G66=1,F66-I66-J66-K66,IF(G66=2,F66,0))</f>
        <v>0</v>
      </c>
      <c r="I66" s="818">
        <f>ROUND(IF(G66=1,F66*10/23,IF(G66=3,F66-J66-K66,IF(G66=4,F66,IF(G66=5,F66*10/11,IF(G66=7,F66*10/11,0))))),0)</f>
        <v>0</v>
      </c>
      <c r="J66" s="818">
        <f>ROUND(IF(G66=1,F66/23,IF(G66=3,F66/12,IF(G66=5,F66-I66,IF(G66=8,F66,0)))),0)</f>
        <v>0</v>
      </c>
      <c r="K66" s="819">
        <f>ROUND(IF(G66=1,F66/23,IF(G66=3,F66/12,IF(G66=6,F66,IF(G66=7,F66-I66,0)))),0)</f>
        <v>0</v>
      </c>
      <c r="L66" s="820">
        <f>IF(G66=6,F66,0)</f>
        <v>0</v>
      </c>
      <c r="P66" s="768" t="n"/>
      <c r="Q66" s="769" t="str">
        <f>IF($F66="","",IFERROR(VLOOKUP($C66&amp;"|"&amp;$D66,科目表!$A$5:$B$200,2,FALSE),"※未登録"))</f>
        <v/>
      </c>
      <c r="R66" s="769" t="str">
        <f>IF($F66="","",$I66+$J66+$K66)</f>
        <v/>
      </c>
      <c r="S66" s="769" t="str">
        <f>IF(OR($F66="",$P66="支払なし",$H66=0,$Q66=""),"",$Q66&amp;"|S|"&amp;(COUNTIF(S$4:S65,$Q66&amp;"|S|*")+1))</f>
        <v/>
      </c>
      <c r="T66" s="769" t="str">
        <f>IF(OR($F66="",$P66="支払なし",$R66=0,$Q66=""),"",$Q66&amp;"|L|"&amp;(COUNTIF(T$4:T65,$Q66&amp;"|L|*")+1))</f>
        <v/>
      </c>
      <c r="U66" s="769" t="str">
        <f>IF($F66="","",13)</f>
        <v/>
      </c>
    </row>
    <row r="67" ht="16.5" customFormat="1" customHeight="1" s="43">
      <c r="A67" s="760" t="n"/>
      <c r="B67" s="760" t="n"/>
      <c r="C67" s="762" t="n"/>
      <c r="D67" s="762" t="n"/>
      <c r="E67" s="762" t="n"/>
      <c r="F67" s="807" t="n"/>
      <c r="G67" s="807" t="n"/>
      <c r="H67" s="818">
        <f>IF(G67=1,F67-I67-J67-K67,IF(G67=2,F67,0))</f>
        <v>0</v>
      </c>
      <c r="I67" s="818">
        <f>ROUND(IF(G67=1,F67*10/23,IF(G67=3,F67-J67-K67,IF(G67=4,F67,IF(G67=5,F67*10/11,IF(G67=7,F67*10/11,0))))),0)</f>
        <v>0</v>
      </c>
      <c r="J67" s="818">
        <f>ROUND(IF(G67=1,F67/23,IF(G67=3,F67/12,IF(G67=5,F67-I67,IF(G67=8,F67,0)))),0)</f>
        <v>0</v>
      </c>
      <c r="K67" s="819">
        <f>ROUND(IF(G67=1,F67/23,IF(G67=3,F67/12,IF(G67=6,F67,IF(G67=7,F67-I67,0)))),0)</f>
        <v>0</v>
      </c>
      <c r="L67" s="820">
        <f>IF(G67=6,F67,0)</f>
        <v>0</v>
      </c>
      <c r="P67" s="768" t="n"/>
      <c r="Q67" s="769" t="str">
        <f>IF($F67="","",IFERROR(VLOOKUP($C67&amp;"|"&amp;$D67,科目表!$A$5:$B$200,2,FALSE),"※未登録"))</f>
        <v/>
      </c>
      <c r="R67" s="769" t="str">
        <f>IF($F67="","",$I67+$J67+$K67)</f>
        <v/>
      </c>
      <c r="S67" s="769" t="str">
        <f>IF(OR($F67="",$P67="支払なし",$H67=0,$Q67=""),"",$Q67&amp;"|S|"&amp;(COUNTIF(S$4:S66,$Q67&amp;"|S|*")+1))</f>
        <v/>
      </c>
      <c r="T67" s="769" t="str">
        <f>IF(OR($F67="",$P67="支払なし",$R67=0,$Q67=""),"",$Q67&amp;"|L|"&amp;(COUNTIF(T$4:T66,$Q67&amp;"|L|*")+1))</f>
        <v/>
      </c>
      <c r="U67" s="769" t="str">
        <f>IF($F67="","",13)</f>
        <v/>
      </c>
    </row>
    <row r="68" ht="16.5" customFormat="1" customHeight="1" s="43">
      <c r="A68" s="760" t="n"/>
      <c r="B68" s="760" t="n"/>
      <c r="C68" s="762" t="n"/>
      <c r="D68" s="762" t="n"/>
      <c r="E68" s="762" t="n"/>
      <c r="F68" s="807" t="n"/>
      <c r="G68" s="807" t="n"/>
      <c r="H68" s="818">
        <f>IF(G68=1,F68-I68-J68-K68,IF(G68=2,F68,0))</f>
        <v>0</v>
      </c>
      <c r="I68" s="818">
        <f>ROUND(IF(G68=1,F68*10/23,IF(G68=3,F68-J68-K68,IF(G68=4,F68,IF(G68=5,F68*10/11,IF(G68=7,F68*10/11,0))))),0)</f>
        <v>0</v>
      </c>
      <c r="J68" s="818">
        <f>ROUND(IF(G68=1,F68/23,IF(G68=3,F68/12,IF(G68=5,F68-I68,IF(G68=8,F68,0)))),0)</f>
        <v>0</v>
      </c>
      <c r="K68" s="819">
        <f>ROUND(IF(G68=1,F68/23,IF(G68=3,F68/12,IF(G68=6,F68,IF(G68=7,F68-I68,0)))),0)</f>
        <v>0</v>
      </c>
      <c r="L68" s="820">
        <f>IF(G68=6,F68,0)</f>
        <v>0</v>
      </c>
      <c r="P68" s="768" t="n"/>
      <c r="Q68" s="769" t="str">
        <f>IF($F68="","",IFERROR(VLOOKUP($C68&amp;"|"&amp;$D68,科目表!$A$5:$B$200,2,FALSE),"※未登録"))</f>
        <v/>
      </c>
      <c r="R68" s="769" t="str">
        <f>IF($F68="","",$I68+$J68+$K68)</f>
        <v/>
      </c>
      <c r="S68" s="769" t="str">
        <f>IF(OR($F68="",$P68="支払なし",$H68=0,$Q68=""),"",$Q68&amp;"|S|"&amp;(COUNTIF(S$4:S67,$Q68&amp;"|S|*")+1))</f>
        <v/>
      </c>
      <c r="T68" s="769" t="str">
        <f>IF(OR($F68="",$P68="支払なし",$R68=0,$Q68=""),"",$Q68&amp;"|L|"&amp;(COUNTIF(T$4:T67,$Q68&amp;"|L|*")+1))</f>
        <v/>
      </c>
      <c r="U68" s="769" t="str">
        <f>IF($F68="","",13)</f>
        <v/>
      </c>
    </row>
    <row r="69" ht="16.5" customFormat="1" customHeight="1" s="43">
      <c r="A69" s="760" t="n"/>
      <c r="B69" s="760" t="n"/>
      <c r="C69" s="762" t="n"/>
      <c r="D69" s="762" t="n"/>
      <c r="E69" s="762" t="n"/>
      <c r="F69" s="807" t="n"/>
      <c r="G69" s="807" t="n"/>
      <c r="H69" s="818">
        <f>IF(G69=1,F69-I69-J69-K69,IF(G69=2,F69,0))</f>
        <v>0</v>
      </c>
      <c r="I69" s="818">
        <f>ROUND(IF(G69=1,F69*10/23,IF(G69=3,F69-J69-K69,IF(G69=4,F69,IF(G69=5,F69*10/11,IF(G69=7,F69*10/11,0))))),0)</f>
        <v>0</v>
      </c>
      <c r="J69" s="818">
        <f>ROUND(IF(G69=1,F69/23,IF(G69=3,F69/12,IF(G69=5,F69-I69,IF(G69=8,F69,0)))),0)</f>
        <v>0</v>
      </c>
      <c r="K69" s="819">
        <f>ROUND(IF(G69=1,F69/23,IF(G69=3,F69/12,IF(G69=6,F69,IF(G69=7,F69-I69,0)))),0)</f>
        <v>0</v>
      </c>
      <c r="L69" s="820">
        <f>IF(G69=6,F69,0)</f>
        <v>0</v>
      </c>
      <c r="P69" s="768" t="n"/>
      <c r="Q69" s="769" t="str">
        <f>IF($F69="","",IFERROR(VLOOKUP($C69&amp;"|"&amp;$D69,科目表!$A$5:$B$200,2,FALSE),"※未登録"))</f>
        <v/>
      </c>
      <c r="R69" s="769" t="str">
        <f>IF($F69="","",$I69+$J69+$K69)</f>
        <v/>
      </c>
      <c r="S69" s="769" t="str">
        <f>IF(OR($F69="",$P69="支払なし",$H69=0,$Q69=""),"",$Q69&amp;"|S|"&amp;(COUNTIF(S$4:S68,$Q69&amp;"|S|*")+1))</f>
        <v/>
      </c>
      <c r="T69" s="769" t="str">
        <f>IF(OR($F69="",$P69="支払なし",$R69=0,$Q69=""),"",$Q69&amp;"|L|"&amp;(COUNTIF(T$4:T68,$Q69&amp;"|L|*")+1))</f>
        <v/>
      </c>
      <c r="U69" s="769" t="str">
        <f>IF($F69="","",13)</f>
        <v/>
      </c>
    </row>
    <row r="70" ht="16.5" customHeight="1" s="186">
      <c r="A70" s="760" t="n"/>
      <c r="B70" s="760" t="n"/>
      <c r="C70" s="762" t="n"/>
      <c r="D70" s="762" t="n"/>
      <c r="E70" s="775" t="n"/>
      <c r="F70" s="821" t="n"/>
      <c r="G70" s="821" t="n"/>
      <c r="H70" s="818">
        <f>IF(G70=1,F70-I70-J70-K70,IF(G70=2,F70,0))</f>
        <v>0</v>
      </c>
      <c r="I70" s="818">
        <f>ROUND(IF(G70=1,F70*10/23,IF(G70=3,F70-J70-K70,IF(G70=4,F70,IF(G70=5,F70*10/11,IF(G70=7,F70*10/11,0))))),0)</f>
        <v>0</v>
      </c>
      <c r="J70" s="818">
        <f>ROUND(IF(G70=1,F70/23,IF(G70=3,F70/12,IF(G70=5,F70-I70,IF(G70=8,F70,0)))),0)</f>
        <v>0</v>
      </c>
      <c r="K70" s="819">
        <f>ROUND(IF(G70=1,F70/23,IF(G70=3,F70/12,IF(G70=6,F70,IF(G70=7,F70-I70,0)))),0)</f>
        <v>0</v>
      </c>
      <c r="L70" s="820">
        <f>IF(G70=6,F70,0)</f>
        <v>0</v>
      </c>
      <c r="P70" s="768" t="n"/>
      <c r="Q70" s="769" t="str">
        <f>IF($F70="","",IFERROR(VLOOKUP($C70&amp;"|"&amp;$D70,科目表!$A$5:$B$200,2,FALSE),"※未登録"))</f>
        <v/>
      </c>
      <c r="R70" s="769" t="str">
        <f>IF($F70="","",$I70+$J70+$K70)</f>
        <v/>
      </c>
      <c r="S70" s="769" t="str">
        <f>IF(OR($F70="",$P70="支払なし",$H70=0,$Q70=""),"",$Q70&amp;"|S|"&amp;(COUNTIF(S$4:S69,$Q70&amp;"|S|*")+1))</f>
        <v/>
      </c>
      <c r="T70" s="769" t="str">
        <f>IF(OR($F70="",$P70="支払なし",$R70=0,$Q70=""),"",$Q70&amp;"|L|"&amp;(COUNTIF(T$4:T69,$Q70&amp;"|L|*")+1))</f>
        <v/>
      </c>
      <c r="U70" s="769" t="str">
        <f>IF($F70="","",13)</f>
        <v/>
      </c>
    </row>
    <row r="71" ht="16.5" customFormat="1" customHeight="1" s="43">
      <c r="A71" s="760" t="n"/>
      <c r="B71" s="760" t="n"/>
      <c r="C71" s="762" t="n"/>
      <c r="D71" s="762" t="n"/>
      <c r="E71" s="762" t="n"/>
      <c r="F71" s="807" t="n"/>
      <c r="G71" s="807" t="n"/>
      <c r="H71" s="818">
        <f>IF(G71=1,F71-I71-J71-K71,IF(G71=2,F71,0))</f>
        <v>0</v>
      </c>
      <c r="I71" s="818">
        <f>ROUND(IF(G71=1,F71*10/23,IF(G71=3,F71-J71-K71,IF(G71=4,F71,IF(G71=5,F71*10/11,IF(G71=7,F71*10/11,0))))),0)</f>
        <v>0</v>
      </c>
      <c r="J71" s="818">
        <f>ROUND(IF(G71=1,F71/23,IF(G71=3,F71/12,IF(G71=5,F71-I71,IF(G71=8,F71,0)))),0)</f>
        <v>0</v>
      </c>
      <c r="K71" s="819">
        <f>ROUND(IF(G71=1,F71/23,IF(G71=3,F71/12,IF(G71=6,F71,IF(G71=7,F71-I71,0)))),0)</f>
        <v>0</v>
      </c>
      <c r="L71" s="820">
        <f>IF(G71=6,F71,0)</f>
        <v>0</v>
      </c>
      <c r="P71" s="768" t="n"/>
      <c r="Q71" s="769" t="str">
        <f>IF($F71="","",IFERROR(VLOOKUP($C71&amp;"|"&amp;$D71,科目表!$A$5:$B$200,2,FALSE),"※未登録"))</f>
        <v/>
      </c>
      <c r="R71" s="769" t="str">
        <f>IF($F71="","",$I71+$J71+$K71)</f>
        <v/>
      </c>
      <c r="S71" s="769" t="str">
        <f>IF(OR($F71="",$P71="支払なし",$H71=0,$Q71=""),"",$Q71&amp;"|S|"&amp;(COUNTIF(S$4:S70,$Q71&amp;"|S|*")+1))</f>
        <v/>
      </c>
      <c r="T71" s="769" t="str">
        <f>IF(OR($F71="",$P71="支払なし",$R71=0,$Q71=""),"",$Q71&amp;"|L|"&amp;(COUNTIF(T$4:T70,$Q71&amp;"|L|*")+1))</f>
        <v/>
      </c>
      <c r="U71" s="769" t="str">
        <f>IF($F71="","",13)</f>
        <v/>
      </c>
    </row>
    <row r="72" ht="16.5" customFormat="1" customHeight="1" s="43">
      <c r="A72" s="760" t="n"/>
      <c r="B72" s="760" t="n"/>
      <c r="C72" s="762" t="n"/>
      <c r="D72" s="762" t="n"/>
      <c r="E72" s="762" t="n"/>
      <c r="F72" s="807" t="n"/>
      <c r="G72" s="807" t="n"/>
      <c r="H72" s="818">
        <f>IF(G72=1,F72-I72-J72-K72,IF(G72=2,F72,0))</f>
        <v>0</v>
      </c>
      <c r="I72" s="818">
        <f>ROUND(IF(G72=1,F72*10/23,IF(G72=3,F72-J72-K72,IF(G72=4,F72,IF(G72=5,F72*10/11,IF(G72=7,F72*10/11,0))))),0)</f>
        <v>0</v>
      </c>
      <c r="J72" s="818">
        <f>ROUND(IF(G72=1,F72/23,IF(G72=3,F72/12,IF(G72=5,F72-I72,IF(G72=8,F72,0)))),0)</f>
        <v>0</v>
      </c>
      <c r="K72" s="819">
        <f>ROUND(IF(G72=1,F72/23,IF(G72=3,F72/12,IF(G72=6,F72,IF(G72=7,F72-I72,0)))),0)</f>
        <v>0</v>
      </c>
      <c r="L72" s="820">
        <f>IF(G72=6,F72,0)</f>
        <v>0</v>
      </c>
      <c r="P72" s="768" t="n"/>
      <c r="Q72" s="769" t="str">
        <f>IF($F72="","",IFERROR(VLOOKUP($C72&amp;"|"&amp;$D72,科目表!$A$5:$B$200,2,FALSE),"※未登録"))</f>
        <v/>
      </c>
      <c r="R72" s="769" t="str">
        <f>IF($F72="","",$I72+$J72+$K72)</f>
        <v/>
      </c>
      <c r="S72" s="769" t="str">
        <f>IF(OR($F72="",$P72="支払なし",$H72=0,$Q72=""),"",$Q72&amp;"|S|"&amp;(COUNTIF(S$4:S71,$Q72&amp;"|S|*")+1))</f>
        <v/>
      </c>
      <c r="T72" s="769" t="str">
        <f>IF(OR($F72="",$P72="支払なし",$R72=0,$Q72=""),"",$Q72&amp;"|L|"&amp;(COUNTIF(T$4:T71,$Q72&amp;"|L|*")+1))</f>
        <v/>
      </c>
      <c r="U72" s="769" t="str">
        <f>IF($F72="","",13)</f>
        <v/>
      </c>
    </row>
    <row r="73" ht="16.5" customHeight="1" s="186">
      <c r="A73" s="760" t="n"/>
      <c r="B73" s="760" t="n"/>
      <c r="C73" s="762" t="n"/>
      <c r="D73" s="762" t="n"/>
      <c r="E73" s="762" t="n"/>
      <c r="F73" s="821" t="n"/>
      <c r="G73" s="821" t="n"/>
      <c r="H73" s="818">
        <f>IF(G73=1,F73-I73-J73-K73,IF(G73=2,F73,0))</f>
        <v>0</v>
      </c>
      <c r="I73" s="818">
        <f>ROUND(IF(G73=1,F73*10/23,IF(G73=3,F73-J73-K73,IF(G73=4,F73,IF(G73=5,F73*10/11,IF(G73=7,F73*10/11,0))))),0)</f>
        <v>0</v>
      </c>
      <c r="J73" s="818">
        <f>ROUND(IF(G73=1,F73/23,IF(G73=3,F73/12,IF(G73=5,F73-I73,IF(G73=8,F73,0)))),0)</f>
        <v>0</v>
      </c>
      <c r="K73" s="819">
        <f>ROUND(IF(G73=1,F73/23,IF(G73=3,F73/12,IF(G73=6,F73,IF(G73=7,F73-I73,0)))),0)</f>
        <v>0</v>
      </c>
      <c r="L73" s="820">
        <f>IF(G73=6,F73,0)</f>
        <v>0</v>
      </c>
      <c r="P73" s="768" t="n"/>
      <c r="Q73" s="769" t="str">
        <f>IF($F73="","",IFERROR(VLOOKUP($C73&amp;"|"&amp;$D73,科目表!$A$5:$B$200,2,FALSE),"※未登録"))</f>
        <v/>
      </c>
      <c r="R73" s="769" t="str">
        <f>IF($F73="","",$I73+$J73+$K73)</f>
        <v/>
      </c>
      <c r="S73" s="769" t="str">
        <f>IF(OR($F73="",$P73="支払なし",$H73=0,$Q73=""),"",$Q73&amp;"|S|"&amp;(COUNTIF(S$4:S72,$Q73&amp;"|S|*")+1))</f>
        <v/>
      </c>
      <c r="T73" s="769" t="str">
        <f>IF(OR($F73="",$P73="支払なし",$R73=0,$Q73=""),"",$Q73&amp;"|L|"&amp;(COUNTIF(T$4:T72,$Q73&amp;"|L|*")+1))</f>
        <v/>
      </c>
      <c r="U73" s="769" t="str">
        <f>IF($F73="","",13)</f>
        <v/>
      </c>
    </row>
    <row r="74" ht="16.5" customHeight="1" s="186">
      <c r="A74" s="760" t="n"/>
      <c r="B74" s="760" t="n"/>
      <c r="C74" s="762" t="n"/>
      <c r="D74" s="762" t="n"/>
      <c r="E74" s="775" t="n"/>
      <c r="F74" s="821" t="n"/>
      <c r="G74" s="821" t="n"/>
      <c r="H74" s="818">
        <f>IF(G74=1,F74-I74-J74-K74,IF(G74=2,F74,0))</f>
        <v>0</v>
      </c>
      <c r="I74" s="818">
        <f>ROUND(IF(G74=1,F74*10/23,IF(G74=3,F74-J74-K74,IF(G74=4,F74,IF(G74=5,F74*10/11,IF(G74=7,F74*10/11,0))))),0)</f>
        <v>0</v>
      </c>
      <c r="J74" s="818">
        <f>ROUND(IF(G74=1,F74/23,IF(G74=3,F74/12,IF(G74=5,F74-I74,IF(G74=8,F74,0)))),0)</f>
        <v>0</v>
      </c>
      <c r="K74" s="819">
        <f>ROUND(IF(G74=1,F74/23,IF(G74=3,F74/12,IF(G74=6,F74,IF(G74=7,F74-I74,0)))),0)</f>
        <v>0</v>
      </c>
      <c r="L74" s="820">
        <f>IF(G74=6,F74,0)</f>
        <v>0</v>
      </c>
      <c r="P74" s="768" t="n"/>
      <c r="Q74" s="769" t="str">
        <f>IF($F74="","",IFERROR(VLOOKUP($C74&amp;"|"&amp;$D74,科目表!$A$5:$B$200,2,FALSE),"※未登録"))</f>
        <v/>
      </c>
      <c r="R74" s="769" t="str">
        <f>IF($F74="","",$I74+$J74+$K74)</f>
        <v/>
      </c>
      <c r="S74" s="769" t="str">
        <f>IF(OR($F74="",$P74="支払なし",$H74=0,$Q74=""),"",$Q74&amp;"|S|"&amp;(COUNTIF(S$4:S73,$Q74&amp;"|S|*")+1))</f>
        <v/>
      </c>
      <c r="T74" s="769" t="str">
        <f>IF(OR($F74="",$P74="支払なし",$R74=0,$Q74=""),"",$Q74&amp;"|L|"&amp;(COUNTIF(T$4:T73,$Q74&amp;"|L|*")+1))</f>
        <v/>
      </c>
      <c r="U74" s="769" t="str">
        <f>IF($F74="","",13)</f>
        <v/>
      </c>
    </row>
    <row r="75" ht="16.5" customHeight="1" s="186">
      <c r="A75" s="760" t="n"/>
      <c r="B75" s="760" t="n"/>
      <c r="C75" s="762" t="n"/>
      <c r="D75" s="762" t="n"/>
      <c r="E75" s="775" t="n"/>
      <c r="F75" s="821" t="n"/>
      <c r="G75" s="821" t="n"/>
      <c r="H75" s="818">
        <f>IF(G75=1,F75-I75-J75-K75,IF(G75=2,F75,0))</f>
        <v>0</v>
      </c>
      <c r="I75" s="818">
        <f>ROUND(IF(G75=1,F75*10/23,IF(G75=3,F75-J75-K75,IF(G75=4,F75,IF(G75=5,F75*10/11,IF(G75=7,F75*10/11,0))))),0)</f>
        <v>0</v>
      </c>
      <c r="J75" s="818">
        <f>ROUND(IF(G75=1,F75/23,IF(G75=3,F75/12,IF(G75=5,F75-I75,IF(G75=8,F75,0)))),0)</f>
        <v>0</v>
      </c>
      <c r="K75" s="819">
        <f>ROUND(IF(G75=1,F75/23,IF(G75=3,F75/12,IF(G75=6,F75,IF(G75=7,F75-I75,0)))),0)</f>
        <v>0</v>
      </c>
      <c r="L75" s="820">
        <f>IF(G75=6,F75,0)</f>
        <v>0</v>
      </c>
      <c r="P75" s="768" t="n"/>
      <c r="Q75" s="769" t="str">
        <f>IF($F75="","",IFERROR(VLOOKUP($C75&amp;"|"&amp;$D75,科目表!$A$5:$B$200,2,FALSE),"※未登録"))</f>
        <v/>
      </c>
      <c r="R75" s="769" t="str">
        <f>IF($F75="","",$I75+$J75+$K75)</f>
        <v/>
      </c>
      <c r="S75" s="769" t="str">
        <f>IF(OR($F75="",$P75="支払なし",$H75=0,$Q75=""),"",$Q75&amp;"|S|"&amp;(COUNTIF(S$4:S74,$Q75&amp;"|S|*")+1))</f>
        <v/>
      </c>
      <c r="T75" s="769" t="str">
        <f>IF(OR($F75="",$P75="支払なし",$R75=0,$Q75=""),"",$Q75&amp;"|L|"&amp;(COUNTIF(T$4:T74,$Q75&amp;"|L|*")+1))</f>
        <v/>
      </c>
      <c r="U75" s="769" t="str">
        <f>IF($F75="","",13)</f>
        <v/>
      </c>
    </row>
    <row r="76" ht="16.5" customFormat="1" customHeight="1" s="43">
      <c r="A76" s="760" t="n"/>
      <c r="B76" s="760" t="n"/>
      <c r="C76" s="762" t="n"/>
      <c r="D76" s="762" t="n"/>
      <c r="E76" s="762" t="n"/>
      <c r="F76" s="807" t="n"/>
      <c r="G76" s="807" t="n"/>
      <c r="H76" s="818">
        <f>IF(G76=1,F76-I76-J76-K76,IF(G76=2,F76,0))</f>
        <v>0</v>
      </c>
      <c r="I76" s="818">
        <f>ROUND(IF(G76=1,F76*10/23,IF(G76=3,F76-J76-K76,IF(G76=4,F76,IF(G76=5,F76*10/11,IF(G76=7,F76*10/11,0))))),0)</f>
        <v>0</v>
      </c>
      <c r="J76" s="818">
        <f>ROUND(IF(G76=1,F76/23,IF(G76=3,F76/12,IF(G76=5,F76-I76,IF(G76=8,F76,0)))),0)</f>
        <v>0</v>
      </c>
      <c r="K76" s="819">
        <f>ROUND(IF(G76=1,F76/23,IF(G76=3,F76/12,IF(G76=6,F76,IF(G76=7,F76-I76,0)))),0)</f>
        <v>0</v>
      </c>
      <c r="L76" s="820">
        <f>IF(G76=6,F76,0)</f>
        <v>0</v>
      </c>
      <c r="P76" s="768" t="n"/>
      <c r="Q76" s="769" t="str">
        <f>IF($F76="","",IFERROR(VLOOKUP($C76&amp;"|"&amp;$D76,科目表!$A$5:$B$200,2,FALSE),"※未登録"))</f>
        <v/>
      </c>
      <c r="R76" s="769" t="str">
        <f>IF($F76="","",$I76+$J76+$K76)</f>
        <v/>
      </c>
      <c r="S76" s="769" t="str">
        <f>IF(OR($F76="",$P76="支払なし",$H76=0,$Q76=""),"",$Q76&amp;"|S|"&amp;(COUNTIF(S$4:S75,$Q76&amp;"|S|*")+1))</f>
        <v/>
      </c>
      <c r="T76" s="769" t="str">
        <f>IF(OR($F76="",$P76="支払なし",$R76=0,$Q76=""),"",$Q76&amp;"|L|"&amp;(COUNTIF(T$4:T75,$Q76&amp;"|L|*")+1))</f>
        <v/>
      </c>
      <c r="U76" s="769" t="str">
        <f>IF($F76="","",13)</f>
        <v/>
      </c>
    </row>
    <row r="77" ht="16.5" customHeight="1" s="186">
      <c r="A77" s="760" t="n"/>
      <c r="B77" s="760" t="n"/>
      <c r="C77" s="762" t="n"/>
      <c r="D77" s="762" t="n"/>
      <c r="E77" s="762" t="n"/>
      <c r="F77" s="821" t="n"/>
      <c r="G77" s="821" t="n"/>
      <c r="H77" s="818">
        <f>IF(G77=1,F77-I77-J77-K77,IF(G77=2,F77,0))</f>
        <v>0</v>
      </c>
      <c r="I77" s="818">
        <f>ROUND(IF(G77=1,F77*10/23,IF(G77=3,F77-J77-K77,IF(G77=4,F77,IF(G77=5,F77*10/11,IF(G77=7,F77*10/11,0))))),0)</f>
        <v>0</v>
      </c>
      <c r="J77" s="818">
        <f>ROUND(IF(G77=1,F77/23,IF(G77=3,F77/12,IF(G77=5,F77-I77,IF(G77=8,F77,0)))),0)</f>
        <v>0</v>
      </c>
      <c r="K77" s="819">
        <f>ROUND(IF(G77=1,F77/23,IF(G77=3,F77/12,IF(G77=6,F77,IF(G77=7,F77-I77,0)))),0)</f>
        <v>0</v>
      </c>
      <c r="L77" s="820">
        <f>IF(G77=6,F77,0)</f>
        <v>0</v>
      </c>
      <c r="P77" s="768" t="n"/>
      <c r="Q77" s="769" t="str">
        <f>IF($F77="","",IFERROR(VLOOKUP($C77&amp;"|"&amp;$D77,科目表!$A$5:$B$200,2,FALSE),"※未登録"))</f>
        <v/>
      </c>
      <c r="R77" s="769" t="str">
        <f>IF($F77="","",$I77+$J77+$K77)</f>
        <v/>
      </c>
      <c r="S77" s="769" t="str">
        <f>IF(OR($F77="",$P77="支払なし",$H77=0,$Q77=""),"",$Q77&amp;"|S|"&amp;(COUNTIF(S$4:S76,$Q77&amp;"|S|*")+1))</f>
        <v/>
      </c>
      <c r="T77" s="769" t="str">
        <f>IF(OR($F77="",$P77="支払なし",$R77=0,$Q77=""),"",$Q77&amp;"|L|"&amp;(COUNTIF(T$4:T76,$Q77&amp;"|L|*")+1))</f>
        <v/>
      </c>
      <c r="U77" s="769" t="str">
        <f>IF($F77="","",13)</f>
        <v/>
      </c>
    </row>
    <row r="78" ht="16.5" customHeight="1" s="186">
      <c r="A78" s="760" t="n"/>
      <c r="B78" s="760" t="n"/>
      <c r="C78" s="762" t="n"/>
      <c r="D78" s="762" t="n"/>
      <c r="E78" s="762" t="n"/>
      <c r="F78" s="821" t="n"/>
      <c r="G78" s="821" t="n"/>
      <c r="H78" s="818">
        <f>IF(G78=1,F78-I78-J78-K78,IF(G78=2,F78,0))</f>
        <v>0</v>
      </c>
      <c r="I78" s="818">
        <f>ROUND(IF(G78=1,F78*10/23,IF(G78=3,F78-J78-K78,IF(G78=4,F78,IF(G78=5,F78*10/11,IF(G78=7,F78*10/11,0))))),0)</f>
        <v>0</v>
      </c>
      <c r="J78" s="818">
        <f>ROUND(IF(G78=1,F78/23,IF(G78=3,F78/12,IF(G78=5,F78-I78,IF(G78=8,F78,0)))),0)</f>
        <v>0</v>
      </c>
      <c r="K78" s="819">
        <f>ROUND(IF(G78=1,F78/23,IF(G78=3,F78/12,IF(G78=6,F78,IF(G78=7,F78-I78,0)))),0)</f>
        <v>0</v>
      </c>
      <c r="L78" s="820">
        <f>IF(G78=6,F78,0)</f>
        <v>0</v>
      </c>
      <c r="P78" s="768" t="n"/>
      <c r="Q78" s="769" t="str">
        <f>IF($F78="","",IFERROR(VLOOKUP($C78&amp;"|"&amp;$D78,科目表!$A$5:$B$200,2,FALSE),"※未登録"))</f>
        <v/>
      </c>
      <c r="R78" s="769" t="str">
        <f>IF($F78="","",$I78+$J78+$K78)</f>
        <v/>
      </c>
      <c r="S78" s="769" t="str">
        <f>IF(OR($F78="",$P78="支払なし",$H78=0,$Q78=""),"",$Q78&amp;"|S|"&amp;(COUNTIF(S$4:S77,$Q78&amp;"|S|*")+1))</f>
        <v/>
      </c>
      <c r="T78" s="769" t="str">
        <f>IF(OR($F78="",$P78="支払なし",$R78=0,$Q78=""),"",$Q78&amp;"|L|"&amp;(COUNTIF(T$4:T77,$Q78&amp;"|L|*")+1))</f>
        <v/>
      </c>
      <c r="U78" s="769" t="str">
        <f>IF($F78="","",13)</f>
        <v/>
      </c>
    </row>
    <row r="79" ht="16.5" customHeight="1" s="186">
      <c r="A79" s="760" t="n"/>
      <c r="B79" s="760" t="n"/>
      <c r="C79" s="762" t="n"/>
      <c r="D79" s="762" t="n"/>
      <c r="E79" s="775" t="n"/>
      <c r="F79" s="821" t="n"/>
      <c r="G79" s="821" t="n"/>
      <c r="H79" s="818">
        <f>IF(G79=1,F79-I79-J79-K79,IF(G79=2,F79,0))</f>
        <v>0</v>
      </c>
      <c r="I79" s="818">
        <f>ROUND(IF(G79=1,F79*10/23,IF(G79=3,F79-J79-K79,IF(G79=4,F79,IF(G79=5,F79*10/11,IF(G79=7,F79*10/11,0))))),0)</f>
        <v>0</v>
      </c>
      <c r="J79" s="818">
        <f>ROUND(IF(G79=1,F79/23,IF(G79=3,F79/12,IF(G79=5,F79-I79,IF(G79=8,F79,0)))),0)</f>
        <v>0</v>
      </c>
      <c r="K79" s="819">
        <f>ROUND(IF(G79=1,F79/23,IF(G79=3,F79/12,IF(G79=6,F79,IF(G79=7,F79-I79,0)))),0)</f>
        <v>0</v>
      </c>
      <c r="L79" s="820">
        <f>IF(G79=6,F79,0)</f>
        <v>0</v>
      </c>
      <c r="P79" s="768" t="n"/>
      <c r="Q79" s="769" t="str">
        <f>IF($F79="","",IFERROR(VLOOKUP($C79&amp;"|"&amp;$D79,科目表!$A$5:$B$200,2,FALSE),"※未登録"))</f>
        <v/>
      </c>
      <c r="R79" s="769" t="str">
        <f>IF($F79="","",$I79+$J79+$K79)</f>
        <v/>
      </c>
      <c r="S79" s="769" t="str">
        <f>IF(OR($F79="",$P79="支払なし",$H79=0,$Q79=""),"",$Q79&amp;"|S|"&amp;(COUNTIF(S$4:S78,$Q79&amp;"|S|*")+1))</f>
        <v/>
      </c>
      <c r="T79" s="769" t="str">
        <f>IF(OR($F79="",$P79="支払なし",$R79=0,$Q79=""),"",$Q79&amp;"|L|"&amp;(COUNTIF(T$4:T78,$Q79&amp;"|L|*")+1))</f>
        <v/>
      </c>
      <c r="U79" s="769" t="str">
        <f>IF($F79="","",13)</f>
        <v/>
      </c>
    </row>
    <row r="80" ht="16.5" customHeight="1" s="186">
      <c r="A80" s="760" t="n"/>
      <c r="B80" s="760" t="n"/>
      <c r="C80" s="762" t="n"/>
      <c r="D80" s="762" t="n"/>
      <c r="E80" s="775" t="n"/>
      <c r="F80" s="821" t="n"/>
      <c r="G80" s="821" t="n"/>
      <c r="H80" s="818">
        <f>IF(G80=1,F80-I80-J80-K80,IF(G80=2,F80,0))</f>
        <v>0</v>
      </c>
      <c r="I80" s="818">
        <f>ROUND(IF(G80=1,F80*10/23,IF(G80=3,F80-J80-K80,IF(G80=4,F80,IF(G80=5,F80*10/11,IF(G80=7,F80*10/11,0))))),0)</f>
        <v>0</v>
      </c>
      <c r="J80" s="818">
        <f>ROUND(IF(G80=1,F80/23,IF(G80=3,F80/12,IF(G80=5,F80-I80,IF(G80=8,F80,0)))),0)</f>
        <v>0</v>
      </c>
      <c r="K80" s="819">
        <f>ROUND(IF(G80=1,F80/23,IF(G80=3,F80/12,IF(G80=6,F80,IF(G80=7,F80-I80,0)))),0)</f>
        <v>0</v>
      </c>
      <c r="L80" s="820">
        <f>IF(G80=6,F80,0)</f>
        <v>0</v>
      </c>
      <c r="P80" s="768" t="n"/>
      <c r="Q80" s="769" t="str">
        <f>IF($F80="","",IFERROR(VLOOKUP($C80&amp;"|"&amp;$D80,科目表!$A$5:$B$200,2,FALSE),"※未登録"))</f>
        <v/>
      </c>
      <c r="R80" s="769" t="str">
        <f>IF($F80="","",$I80+$J80+$K80)</f>
        <v/>
      </c>
      <c r="S80" s="769" t="str">
        <f>IF(OR($F80="",$P80="支払なし",$H80=0,$Q80=""),"",$Q80&amp;"|S|"&amp;(COUNTIF(S$4:S79,$Q80&amp;"|S|*")+1))</f>
        <v/>
      </c>
      <c r="T80" s="769" t="str">
        <f>IF(OR($F80="",$P80="支払なし",$R80=0,$Q80=""),"",$Q80&amp;"|L|"&amp;(COUNTIF(T$4:T79,$Q80&amp;"|L|*")+1))</f>
        <v/>
      </c>
      <c r="U80" s="769" t="str">
        <f>IF($F80="","",13)</f>
        <v/>
      </c>
    </row>
    <row r="81" ht="16.5" customFormat="1" customHeight="1" s="43">
      <c r="A81" s="760" t="n"/>
      <c r="B81" s="760" t="n"/>
      <c r="C81" s="762" t="n"/>
      <c r="D81" s="762" t="n"/>
      <c r="E81" s="762" t="n"/>
      <c r="F81" s="807" t="n"/>
      <c r="G81" s="807" t="n"/>
      <c r="H81" s="818">
        <f>IF(G81=1,F81-I81-J81-K81,IF(G81=2,F81,0))</f>
        <v>0</v>
      </c>
      <c r="I81" s="818">
        <f>ROUND(IF(G81=1,F81*10/23,IF(G81=3,F81-J81-K81,IF(G81=4,F81,IF(G81=5,F81*10/11,IF(G81=7,F81*10/11,0))))),0)</f>
        <v>0</v>
      </c>
      <c r="J81" s="818">
        <f>ROUND(IF(G81=1,F81/23,IF(G81=3,F81/12,IF(G81=5,F81-I81,IF(G81=8,F81,0)))),0)</f>
        <v>0</v>
      </c>
      <c r="K81" s="819">
        <f>ROUND(IF(G81=1,F81/23,IF(G81=3,F81/12,IF(G81=6,F81,IF(G81=7,F81-I81,0)))),0)</f>
        <v>0</v>
      </c>
      <c r="L81" s="820">
        <f>IF(G81=6,F81,0)</f>
        <v>0</v>
      </c>
      <c r="P81" s="768" t="n"/>
      <c r="Q81" s="769" t="str">
        <f>IF($F81="","",IFERROR(VLOOKUP($C81&amp;"|"&amp;$D81,科目表!$A$5:$B$200,2,FALSE),"※未登録"))</f>
        <v/>
      </c>
      <c r="R81" s="769" t="str">
        <f>IF($F81="","",$I81+$J81+$K81)</f>
        <v/>
      </c>
      <c r="S81" s="769" t="str">
        <f>IF(OR($F81="",$P81="支払なし",$H81=0,$Q81=""),"",$Q81&amp;"|S|"&amp;(COUNTIF(S$4:S80,$Q81&amp;"|S|*")+1))</f>
        <v/>
      </c>
      <c r="T81" s="769" t="str">
        <f>IF(OR($F81="",$P81="支払なし",$R81=0,$Q81=""),"",$Q81&amp;"|L|"&amp;(COUNTIF(T$4:T80,$Q81&amp;"|L|*")+1))</f>
        <v/>
      </c>
      <c r="U81" s="769" t="str">
        <f>IF($F81="","",13)</f>
        <v/>
      </c>
    </row>
    <row r="82" ht="16.5" customFormat="1" customHeight="1" s="43">
      <c r="A82" s="760" t="n"/>
      <c r="B82" s="760" t="n"/>
      <c r="C82" s="762" t="n"/>
      <c r="D82" s="762" t="n"/>
      <c r="E82" s="762" t="n"/>
      <c r="F82" s="807" t="n"/>
      <c r="G82" s="807" t="n"/>
      <c r="H82" s="818">
        <f>IF(G82=1,F82-I82-J82-K82,IF(G82=2,F82,0))</f>
        <v>0</v>
      </c>
      <c r="I82" s="818">
        <f>ROUND(IF(G82=1,F82*10/23,IF(G82=3,F82-J82-K82,IF(G82=4,F82,IF(G82=5,F82*10/11,IF(G82=7,F82*10/11,0))))),0)</f>
        <v>0</v>
      </c>
      <c r="J82" s="818">
        <f>ROUND(IF(G82=1,F82/23,IF(G82=3,F82/12,IF(G82=5,F82-I82,IF(G82=8,F82,0)))),0)</f>
        <v>0</v>
      </c>
      <c r="K82" s="819">
        <f>ROUND(IF(G82=1,F82/23,IF(G82=3,F82/12,IF(G82=6,F82,IF(G82=7,F82-I82,0)))),0)</f>
        <v>0</v>
      </c>
      <c r="L82" s="820">
        <f>IF(G82=6,F82,0)</f>
        <v>0</v>
      </c>
      <c r="P82" s="768" t="n"/>
      <c r="Q82" s="769" t="str">
        <f>IF($F82="","",IFERROR(VLOOKUP($C82&amp;"|"&amp;$D82,科目表!$A$5:$B$200,2,FALSE),"※未登録"))</f>
        <v/>
      </c>
      <c r="R82" s="769" t="str">
        <f>IF($F82="","",$I82+$J82+$K82)</f>
        <v/>
      </c>
      <c r="S82" s="769" t="str">
        <f>IF(OR($F82="",$P82="支払なし",$H82=0,$Q82=""),"",$Q82&amp;"|S|"&amp;(COUNTIF(S$4:S81,$Q82&amp;"|S|*")+1))</f>
        <v/>
      </c>
      <c r="T82" s="769" t="str">
        <f>IF(OR($F82="",$P82="支払なし",$R82=0,$Q82=""),"",$Q82&amp;"|L|"&amp;(COUNTIF(T$4:T81,$Q82&amp;"|L|*")+1))</f>
        <v/>
      </c>
      <c r="U82" s="769" t="str">
        <f>IF($F82="","",13)</f>
        <v/>
      </c>
    </row>
    <row r="83" ht="16.5" customFormat="1" customHeight="1" s="43">
      <c r="A83" s="760" t="n"/>
      <c r="B83" s="760" t="n"/>
      <c r="C83" s="762" t="n"/>
      <c r="D83" s="762" t="n"/>
      <c r="E83" s="762" t="n"/>
      <c r="F83" s="807" t="n"/>
      <c r="G83" s="807" t="n"/>
      <c r="H83" s="818">
        <f>IF(G83=1,F83-I83-J83-K83,IF(G83=2,F83,0))</f>
        <v>0</v>
      </c>
      <c r="I83" s="818">
        <f>ROUND(IF(G83=1,F83*10/23,IF(G83=3,F83-J83-K83,IF(G83=4,F83,IF(G83=5,F83*10/11,IF(G83=7,F83*10/11,0))))),0)</f>
        <v>0</v>
      </c>
      <c r="J83" s="818">
        <f>ROUND(IF(G83=1,F83/23,IF(G83=3,F83/12,IF(G83=5,F83-I83,IF(G83=8,F83,0)))),0)</f>
        <v>0</v>
      </c>
      <c r="K83" s="819">
        <f>ROUND(IF(G83=1,F83/23,IF(G83=3,F83/12,IF(G83=6,F83,IF(G83=7,F83-I83,0)))),0)</f>
        <v>0</v>
      </c>
      <c r="L83" s="820">
        <f>IF(G83=6,F83,0)</f>
        <v>0</v>
      </c>
      <c r="P83" s="768" t="n"/>
      <c r="Q83" s="769" t="str">
        <f>IF($F83="","",IFERROR(VLOOKUP($C83&amp;"|"&amp;$D83,科目表!$A$5:$B$200,2,FALSE),"※未登録"))</f>
        <v/>
      </c>
      <c r="R83" s="769" t="str">
        <f>IF($F83="","",$I83+$J83+$K83)</f>
        <v/>
      </c>
      <c r="S83" s="769" t="str">
        <f>IF(OR($F83="",$P83="支払なし",$H83=0,$Q83=""),"",$Q83&amp;"|S|"&amp;(COUNTIF(S$4:S82,$Q83&amp;"|S|*")+1))</f>
        <v/>
      </c>
      <c r="T83" s="769" t="str">
        <f>IF(OR($F83="",$P83="支払なし",$R83=0,$Q83=""),"",$Q83&amp;"|L|"&amp;(COUNTIF(T$4:T82,$Q83&amp;"|L|*")+1))</f>
        <v/>
      </c>
      <c r="U83" s="769" t="str">
        <f>IF($F83="","",13)</f>
        <v/>
      </c>
    </row>
    <row r="84" ht="16.5" customHeight="1" s="186">
      <c r="A84" s="760" t="n"/>
      <c r="B84" s="760" t="n"/>
      <c r="C84" s="762" t="n"/>
      <c r="D84" s="762" t="n"/>
      <c r="E84" s="775" t="n"/>
      <c r="F84" s="821" t="n"/>
      <c r="G84" s="821" t="n"/>
      <c r="H84" s="818">
        <f>IF(G84=1,F84-I84-J84-K84,IF(G84=2,F84,0))</f>
        <v>0</v>
      </c>
      <c r="I84" s="818">
        <f>ROUND(IF(G84=1,F84*10/23,IF(G84=3,F84-J84-K84,IF(G84=4,F84,IF(G84=5,F84*10/11,IF(G84=7,F84*10/11,0))))),0)</f>
        <v>0</v>
      </c>
      <c r="J84" s="818">
        <f>ROUND(IF(G84=1,F84/23,IF(G84=3,F84/12,IF(G84=5,F84-I84,IF(G84=8,F84,0)))),0)</f>
        <v>0</v>
      </c>
      <c r="K84" s="819">
        <f>ROUND(IF(G84=1,F84/23,IF(G84=3,F84/12,IF(G84=6,F84,IF(G84=7,F84-I84,0)))),0)</f>
        <v>0</v>
      </c>
      <c r="L84" s="820">
        <f>IF(G84=6,F84,0)</f>
        <v>0</v>
      </c>
      <c r="P84" s="768" t="n"/>
      <c r="Q84" s="769" t="str">
        <f>IF($F84="","",IFERROR(VLOOKUP($C84&amp;"|"&amp;$D84,科目表!$A$5:$B$200,2,FALSE),"※未登録"))</f>
        <v/>
      </c>
      <c r="R84" s="769" t="str">
        <f>IF($F84="","",$I84+$J84+$K84)</f>
        <v/>
      </c>
      <c r="S84" s="769" t="str">
        <f>IF(OR($F84="",$P84="支払なし",$H84=0,$Q84=""),"",$Q84&amp;"|S|"&amp;(COUNTIF(S$4:S83,$Q84&amp;"|S|*")+1))</f>
        <v/>
      </c>
      <c r="T84" s="769" t="str">
        <f>IF(OR($F84="",$P84="支払なし",$R84=0,$Q84=""),"",$Q84&amp;"|L|"&amp;(COUNTIF(T$4:T83,$Q84&amp;"|L|*")+1))</f>
        <v/>
      </c>
      <c r="U84" s="769" t="str">
        <f>IF($F84="","",13)</f>
        <v/>
      </c>
    </row>
    <row r="85" ht="16.5" customHeight="1" s="186">
      <c r="A85" s="760" t="n"/>
      <c r="B85" s="760" t="n"/>
      <c r="C85" s="762" t="n"/>
      <c r="D85" s="762" t="n"/>
      <c r="E85" s="762" t="n"/>
      <c r="F85" s="821" t="n"/>
      <c r="G85" s="821" t="n"/>
      <c r="H85" s="818">
        <f>IF(G85=1,F85-I85-J85-K85,IF(G85=2,F85,0))</f>
        <v>0</v>
      </c>
      <c r="I85" s="818">
        <f>ROUND(IF(G85=1,F85*10/23,IF(G85=3,F85-J85-K85,IF(G85=4,F85,IF(G85=5,F85*10/11,IF(G85=7,F85*10/11,0))))),0)</f>
        <v>0</v>
      </c>
      <c r="J85" s="818">
        <f>ROUND(IF(G85=1,F85/23,IF(G85=3,F85/12,IF(G85=5,F85-I85,IF(G85=8,F85,0)))),0)</f>
        <v>0</v>
      </c>
      <c r="K85" s="819">
        <f>ROUND(IF(G85=1,F85/23,IF(G85=3,F85/12,IF(G85=6,F85,IF(G85=7,F85-I85,0)))),0)</f>
        <v>0</v>
      </c>
      <c r="L85" s="820">
        <f>IF(G85=6,F85,0)</f>
        <v>0</v>
      </c>
      <c r="P85" s="768" t="n"/>
      <c r="Q85" s="769" t="str">
        <f>IF($F85="","",IFERROR(VLOOKUP($C85&amp;"|"&amp;$D85,科目表!$A$5:$B$200,2,FALSE),"※未登録"))</f>
        <v/>
      </c>
      <c r="R85" s="769" t="str">
        <f>IF($F85="","",$I85+$J85+$K85)</f>
        <v/>
      </c>
      <c r="S85" s="769" t="str">
        <f>IF(OR($F85="",$P85="支払なし",$H85=0,$Q85=""),"",$Q85&amp;"|S|"&amp;(COUNTIF(S$4:S84,$Q85&amp;"|S|*")+1))</f>
        <v/>
      </c>
      <c r="T85" s="769" t="str">
        <f>IF(OR($F85="",$P85="支払なし",$R85=0,$Q85=""),"",$Q85&amp;"|L|"&amp;(COUNTIF(T$4:T84,$Q85&amp;"|L|*")+1))</f>
        <v/>
      </c>
      <c r="U85" s="769" t="str">
        <f>IF($F85="","",13)</f>
        <v/>
      </c>
    </row>
    <row r="86" ht="16.5" customHeight="1" s="186">
      <c r="A86" s="760" t="n"/>
      <c r="B86" s="760" t="n"/>
      <c r="C86" s="762" t="n"/>
      <c r="D86" s="762" t="n"/>
      <c r="E86" s="775" t="n"/>
      <c r="F86" s="821" t="n"/>
      <c r="G86" s="821" t="n"/>
      <c r="H86" s="818">
        <f>IF(G86=1,F86-I86-J86-K86,IF(G86=2,F86,0))</f>
        <v>0</v>
      </c>
      <c r="I86" s="818">
        <f>ROUND(IF(G86=1,F86*10/23,IF(G86=3,F86-J86-K86,IF(G86=4,F86,IF(G86=5,F86*10/11,IF(G86=7,F86*10/11,0))))),0)</f>
        <v>0</v>
      </c>
      <c r="J86" s="818">
        <f>ROUND(IF(G86=1,F86/23,IF(G86=3,F86/12,IF(G86=5,F86-I86,IF(G86=8,F86,0)))),0)</f>
        <v>0</v>
      </c>
      <c r="K86" s="819">
        <f>ROUND(IF(G86=1,F86/23,IF(G86=3,F86/12,IF(G86=6,F86,IF(G86=7,F86-I86,0)))),0)</f>
        <v>0</v>
      </c>
      <c r="L86" s="820">
        <f>IF(G86=6,F86,0)</f>
        <v>0</v>
      </c>
      <c r="P86" s="768" t="n"/>
      <c r="Q86" s="769" t="str">
        <f>IF($F86="","",IFERROR(VLOOKUP($C86&amp;"|"&amp;$D86,科目表!$A$5:$B$200,2,FALSE),"※未登録"))</f>
        <v/>
      </c>
      <c r="R86" s="769" t="str">
        <f>IF($F86="","",$I86+$J86+$K86)</f>
        <v/>
      </c>
      <c r="S86" s="769" t="str">
        <f>IF(OR($F86="",$P86="支払なし",$H86=0,$Q86=""),"",$Q86&amp;"|S|"&amp;(COUNTIF(S$4:S85,$Q86&amp;"|S|*")+1))</f>
        <v/>
      </c>
      <c r="T86" s="769" t="str">
        <f>IF(OR($F86="",$P86="支払なし",$R86=0,$Q86=""),"",$Q86&amp;"|L|"&amp;(COUNTIF(T$4:T85,$Q86&amp;"|L|*")+1))</f>
        <v/>
      </c>
      <c r="U86" s="769" t="str">
        <f>IF($F86="","",13)</f>
        <v/>
      </c>
    </row>
    <row r="87" ht="16.5" customHeight="1" s="186">
      <c r="A87" s="760" t="n"/>
      <c r="B87" s="760" t="n"/>
      <c r="C87" s="762" t="n"/>
      <c r="D87" s="762" t="n"/>
      <c r="E87" s="775" t="n"/>
      <c r="F87" s="821" t="n"/>
      <c r="G87" s="821" t="n"/>
      <c r="H87" s="818">
        <f>IF(G87=1,F87-I87-J87-K87,IF(G87=2,F87,0))</f>
        <v>0</v>
      </c>
      <c r="I87" s="818">
        <f>ROUND(IF(G87=1,F87*10/23,IF(G87=3,F87-J87-K87,IF(G87=4,F87,IF(G87=5,F87*10/11,IF(G87=7,F87*10/11,0))))),0)</f>
        <v>0</v>
      </c>
      <c r="J87" s="818">
        <f>ROUND(IF(G87=1,F87/23,IF(G87=3,F87/12,IF(G87=5,F87-I87,IF(G87=8,F87,0)))),0)</f>
        <v>0</v>
      </c>
      <c r="K87" s="819">
        <f>ROUND(IF(G87=1,F87/23,IF(G87=3,F87/12,IF(G87=6,F87,IF(G87=7,F87-I87,0)))),0)</f>
        <v>0</v>
      </c>
      <c r="L87" s="820">
        <f>IF(G87=6,F87,0)</f>
        <v>0</v>
      </c>
      <c r="P87" s="768" t="n"/>
      <c r="Q87" s="769" t="str">
        <f>IF($F87="","",IFERROR(VLOOKUP($C87&amp;"|"&amp;$D87,科目表!$A$5:$B$200,2,FALSE),"※未登録"))</f>
        <v/>
      </c>
      <c r="R87" s="769" t="str">
        <f>IF($F87="","",$I87+$J87+$K87)</f>
        <v/>
      </c>
      <c r="S87" s="769" t="str">
        <f>IF(OR($F87="",$P87="支払なし",$H87=0,$Q87=""),"",$Q87&amp;"|S|"&amp;(COUNTIF(S$4:S86,$Q87&amp;"|S|*")+1))</f>
        <v/>
      </c>
      <c r="T87" s="769" t="str">
        <f>IF(OR($F87="",$P87="支払なし",$R87=0,$Q87=""),"",$Q87&amp;"|L|"&amp;(COUNTIF(T$4:T86,$Q87&amp;"|L|*")+1))</f>
        <v/>
      </c>
      <c r="U87" s="769" t="str">
        <f>IF($F87="","",13)</f>
        <v/>
      </c>
    </row>
    <row r="88" ht="16.5" customFormat="1" customHeight="1" s="43">
      <c r="A88" s="760" t="n"/>
      <c r="B88" s="760" t="n"/>
      <c r="C88" s="762" t="n"/>
      <c r="D88" s="762" t="n"/>
      <c r="E88" s="762" t="n"/>
      <c r="F88" s="807" t="n"/>
      <c r="G88" s="807" t="n"/>
      <c r="H88" s="818">
        <f>IF(G88=1,F88-I88-J88-K88,IF(G88=2,F88,0))</f>
        <v>0</v>
      </c>
      <c r="I88" s="818">
        <f>ROUND(IF(G88=1,F88*10/23,IF(G88=3,F88-J88-K88,IF(G88=4,F88,IF(G88=5,F88*10/11,IF(G88=7,F88*10/11,0))))),0)</f>
        <v>0</v>
      </c>
      <c r="J88" s="818">
        <f>ROUND(IF(G88=1,F88/23,IF(G88=3,F88/12,IF(G88=5,F88-I88,IF(G88=8,F88,0)))),0)</f>
        <v>0</v>
      </c>
      <c r="K88" s="819">
        <f>ROUND(IF(G88=1,F88/23,IF(G88=3,F88/12,IF(G88=6,F88,IF(G88=7,F88-I88,0)))),0)</f>
        <v>0</v>
      </c>
      <c r="L88" s="820">
        <f>IF(G88=6,F88,0)</f>
        <v>0</v>
      </c>
      <c r="P88" s="768" t="n"/>
      <c r="Q88" s="769" t="str">
        <f>IF($F88="","",IFERROR(VLOOKUP($C88&amp;"|"&amp;$D88,科目表!$A$5:$B$200,2,FALSE),"※未登録"))</f>
        <v/>
      </c>
      <c r="R88" s="769" t="str">
        <f>IF($F88="","",$I88+$J88+$K88)</f>
        <v/>
      </c>
      <c r="S88" s="769" t="str">
        <f>IF(OR($F88="",$P88="支払なし",$H88=0,$Q88=""),"",$Q88&amp;"|S|"&amp;(COUNTIF(S$4:S87,$Q88&amp;"|S|*")+1))</f>
        <v/>
      </c>
      <c r="T88" s="769" t="str">
        <f>IF(OR($F88="",$P88="支払なし",$R88=0,$Q88=""),"",$Q88&amp;"|L|"&amp;(COUNTIF(T$4:T87,$Q88&amp;"|L|*")+1))</f>
        <v/>
      </c>
      <c r="U88" s="769" t="str">
        <f>IF($F88="","",13)</f>
        <v/>
      </c>
    </row>
    <row r="89" ht="16.5" customFormat="1" customHeight="1" s="43">
      <c r="A89" s="760" t="n"/>
      <c r="B89" s="760" t="n"/>
      <c r="C89" s="762" t="n"/>
      <c r="D89" s="762" t="n"/>
      <c r="E89" s="762" t="n"/>
      <c r="F89" s="807" t="n"/>
      <c r="G89" s="807" t="n"/>
      <c r="H89" s="818">
        <f>IF(G89=1,F89-I89-J89-K89,IF(G89=2,F89,0))</f>
        <v>0</v>
      </c>
      <c r="I89" s="818">
        <f>ROUND(IF(G89=1,F89*10/23,IF(G89=3,F89-J89-K89,IF(G89=4,F89,IF(G89=5,F89*10/11,IF(G89=7,F89*10/11,0))))),0)</f>
        <v>0</v>
      </c>
      <c r="J89" s="818">
        <f>ROUND(IF(G89=1,F89/23,IF(G89=3,F89/12,IF(G89=5,F89-I89,IF(G89=8,F89,0)))),0)</f>
        <v>0</v>
      </c>
      <c r="K89" s="819">
        <f>ROUND(IF(G89=1,F89/23,IF(G89=3,F89/12,IF(G89=6,F89,IF(G89=7,F89-I89,0)))),0)</f>
        <v>0</v>
      </c>
      <c r="L89" s="820">
        <f>IF(G89=6,F89,0)</f>
        <v>0</v>
      </c>
      <c r="P89" s="768" t="n"/>
      <c r="Q89" s="769" t="str">
        <f>IF($F89="","",IFERROR(VLOOKUP($C89&amp;"|"&amp;$D89,科目表!$A$5:$B$200,2,FALSE),"※未登録"))</f>
        <v/>
      </c>
      <c r="R89" s="769" t="str">
        <f>IF($F89="","",$I89+$J89+$K89)</f>
        <v/>
      </c>
      <c r="S89" s="769" t="str">
        <f>IF(OR($F89="",$P89="支払なし",$H89=0,$Q89=""),"",$Q89&amp;"|S|"&amp;(COUNTIF(S$4:S88,$Q89&amp;"|S|*")+1))</f>
        <v/>
      </c>
      <c r="T89" s="769" t="str">
        <f>IF(OR($F89="",$P89="支払なし",$R89=0,$Q89=""),"",$Q89&amp;"|L|"&amp;(COUNTIF(T$4:T88,$Q89&amp;"|L|*")+1))</f>
        <v/>
      </c>
      <c r="U89" s="769" t="str">
        <f>IF($F89="","",13)</f>
        <v/>
      </c>
    </row>
    <row r="90" ht="16.5" customHeight="1" s="186">
      <c r="A90" s="760" t="n"/>
      <c r="B90" s="760" t="n"/>
      <c r="C90" s="762" t="n"/>
      <c r="D90" s="762" t="n"/>
      <c r="E90" s="775" t="n"/>
      <c r="F90" s="821" t="n"/>
      <c r="G90" s="821" t="n"/>
      <c r="H90" s="818">
        <f>IF(G90=1,F90-I90-J90-K90,IF(G90=2,F90,0))</f>
        <v>0</v>
      </c>
      <c r="I90" s="818">
        <f>ROUND(IF(G90=1,F90*10/23,IF(G90=3,F90-J90-K90,IF(G90=4,F90,IF(G90=5,F90*10/11,IF(G90=7,F90*10/11,0))))),0)</f>
        <v>0</v>
      </c>
      <c r="J90" s="818">
        <f>ROUND(IF(G90=1,F90/23,IF(G90=3,F90/12,IF(G90=5,F90-I90,IF(G90=8,F90,0)))),0)</f>
        <v>0</v>
      </c>
      <c r="K90" s="819">
        <f>ROUND(IF(G90=1,F90/23,IF(G90=3,F90/12,IF(G90=6,F90,IF(G90=7,F90-I90,0)))),0)</f>
        <v>0</v>
      </c>
      <c r="L90" s="820">
        <f>IF(G90=6,F90,0)</f>
        <v>0</v>
      </c>
      <c r="P90" s="768" t="n"/>
      <c r="Q90" s="769" t="str">
        <f>IF($F90="","",IFERROR(VLOOKUP($C90&amp;"|"&amp;$D90,科目表!$A$5:$B$200,2,FALSE),"※未登録"))</f>
        <v/>
      </c>
      <c r="R90" s="769" t="str">
        <f>IF($F90="","",$I90+$J90+$K90)</f>
        <v/>
      </c>
      <c r="S90" s="769" t="str">
        <f>IF(OR($F90="",$P90="支払なし",$H90=0,$Q90=""),"",$Q90&amp;"|S|"&amp;(COUNTIF(S$4:S89,$Q90&amp;"|S|*")+1))</f>
        <v/>
      </c>
      <c r="T90" s="769" t="str">
        <f>IF(OR($F90="",$P90="支払なし",$R90=0,$Q90=""),"",$Q90&amp;"|L|"&amp;(COUNTIF(T$4:T89,$Q90&amp;"|L|*")+1))</f>
        <v/>
      </c>
      <c r="U90" s="769" t="str">
        <f>IF($F90="","",13)</f>
        <v/>
      </c>
    </row>
    <row r="91" ht="16.5" customHeight="1" s="186">
      <c r="A91" s="760" t="n"/>
      <c r="B91" s="760" t="n"/>
      <c r="C91" s="762" t="n"/>
      <c r="D91" s="762" t="n"/>
      <c r="E91" s="775" t="n"/>
      <c r="F91" s="821" t="n"/>
      <c r="G91" s="821" t="n"/>
      <c r="H91" s="818">
        <f>IF(G91=1,F91-I91-J91-K91,IF(G91=2,F91,0))</f>
        <v>0</v>
      </c>
      <c r="I91" s="818">
        <f>ROUND(IF(G91=1,F91*10/23,IF(G91=3,F91-J91-K91,IF(G91=4,F91,IF(G91=5,F91*10/11,IF(G91=7,F91*10/11,0))))),0)</f>
        <v>0</v>
      </c>
      <c r="J91" s="818">
        <f>ROUND(IF(G91=1,F91/23,IF(G91=3,F91/12,IF(G91=5,F91-I91,IF(G91=8,F91,0)))),0)</f>
        <v>0</v>
      </c>
      <c r="K91" s="819">
        <f>ROUND(IF(G91=1,F91/23,IF(G91=3,F91/12,IF(G91=6,F91,IF(G91=7,F91-I91,0)))),0)</f>
        <v>0</v>
      </c>
      <c r="L91" s="820">
        <f>IF(G91=6,F91,0)</f>
        <v>0</v>
      </c>
      <c r="P91" s="768" t="n"/>
      <c r="Q91" s="769" t="str">
        <f>IF($F91="","",IFERROR(VLOOKUP($C91&amp;"|"&amp;$D91,科目表!$A$5:$B$200,2,FALSE),"※未登録"))</f>
        <v/>
      </c>
      <c r="R91" s="769" t="str">
        <f>IF($F91="","",$I91+$J91+$K91)</f>
        <v/>
      </c>
      <c r="S91" s="769" t="str">
        <f>IF(OR($F91="",$P91="支払なし",$H91=0,$Q91=""),"",$Q91&amp;"|S|"&amp;(COUNTIF(S$4:S90,$Q91&amp;"|S|*")+1))</f>
        <v/>
      </c>
      <c r="T91" s="769" t="str">
        <f>IF(OR($F91="",$P91="支払なし",$R91=0,$Q91=""),"",$Q91&amp;"|L|"&amp;(COUNTIF(T$4:T90,$Q91&amp;"|L|*")+1))</f>
        <v/>
      </c>
      <c r="U91" s="769" t="str">
        <f>IF($F91="","",13)</f>
        <v/>
      </c>
    </row>
    <row r="92" ht="16.5" customHeight="1" s="186">
      <c r="A92" s="760" t="n"/>
      <c r="B92" s="760" t="n"/>
      <c r="C92" s="762" t="n"/>
      <c r="D92" s="762" t="n"/>
      <c r="E92" s="775" t="n"/>
      <c r="F92" s="821" t="n"/>
      <c r="G92" s="821" t="n"/>
      <c r="H92" s="818">
        <f>IF(G92=1,F92-I92-J92-K92,IF(G92=2,F92,0))</f>
        <v>0</v>
      </c>
      <c r="I92" s="818">
        <f>ROUND(IF(G92=1,F92*10/23,IF(G92=3,F92-J92-K92,IF(G92=4,F92,IF(G92=5,F92*10/11,IF(G92=7,F92*10/11,0))))),0)</f>
        <v>0</v>
      </c>
      <c r="J92" s="818">
        <f>ROUND(IF(G92=1,F92/23,IF(G92=3,F92/12,IF(G92=5,F92-I92,IF(G92=8,F92,0)))),0)</f>
        <v>0</v>
      </c>
      <c r="K92" s="819">
        <f>ROUND(IF(G92=1,F92/23,IF(G92=3,F92/12,IF(G92=6,F92,IF(G92=7,F92-I92,0)))),0)</f>
        <v>0</v>
      </c>
      <c r="L92" s="820">
        <f>IF(G92=6,F92,0)</f>
        <v>0</v>
      </c>
      <c r="P92" s="768" t="n"/>
      <c r="Q92" s="769" t="str">
        <f>IF($F92="","",IFERROR(VLOOKUP($C92&amp;"|"&amp;$D92,科目表!$A$5:$B$200,2,FALSE),"※未登録"))</f>
        <v/>
      </c>
      <c r="R92" s="769" t="str">
        <f>IF($F92="","",$I92+$J92+$K92)</f>
        <v/>
      </c>
      <c r="S92" s="769" t="str">
        <f>IF(OR($F92="",$P92="支払なし",$H92=0,$Q92=""),"",$Q92&amp;"|S|"&amp;(COUNTIF(S$4:S91,$Q92&amp;"|S|*")+1))</f>
        <v/>
      </c>
      <c r="T92" s="769" t="str">
        <f>IF(OR($F92="",$P92="支払なし",$R92=0,$Q92=""),"",$Q92&amp;"|L|"&amp;(COUNTIF(T$4:T91,$Q92&amp;"|L|*")+1))</f>
        <v/>
      </c>
      <c r="U92" s="769" t="str">
        <f>IF($F92="","",13)</f>
        <v/>
      </c>
    </row>
    <row r="93" ht="16.5" customHeight="1" s="186">
      <c r="A93" s="760" t="n"/>
      <c r="B93" s="760" t="n"/>
      <c r="C93" s="762" t="n"/>
      <c r="D93" s="762" t="n"/>
      <c r="E93" s="775" t="n"/>
      <c r="F93" s="821" t="n"/>
      <c r="G93" s="821" t="n"/>
      <c r="H93" s="818">
        <f>IF(G93=1,F93-I93-J93-K93,IF(G93=2,F93,0))</f>
        <v>0</v>
      </c>
      <c r="I93" s="818">
        <f>ROUND(IF(G93=1,F93*10/23,IF(G93=3,F93-J93-K93,IF(G93=4,F93,IF(G93=5,F93*10/11,IF(G93=7,F93*10/11,0))))),0)</f>
        <v>0</v>
      </c>
      <c r="J93" s="818">
        <f>ROUND(IF(G93=1,F93/23,IF(G93=3,F93/12,IF(G93=5,F93-I93,IF(G93=8,F93,0)))),0)</f>
        <v>0</v>
      </c>
      <c r="K93" s="819">
        <f>ROUND(IF(G93=1,F93/23,IF(G93=3,F93/12,IF(G93=6,F93,IF(G93=7,F93-I93,0)))),0)</f>
        <v>0</v>
      </c>
      <c r="L93" s="820">
        <f>IF(G93=6,F93,0)</f>
        <v>0</v>
      </c>
      <c r="P93" s="768" t="n"/>
      <c r="Q93" s="769" t="str">
        <f>IF($F93="","",IFERROR(VLOOKUP($C93&amp;"|"&amp;$D93,科目表!$A$5:$B$200,2,FALSE),"※未登録"))</f>
        <v/>
      </c>
      <c r="R93" s="769" t="str">
        <f>IF($F93="","",$I93+$J93+$K93)</f>
        <v/>
      </c>
      <c r="S93" s="769" t="str">
        <f>IF(OR($F93="",$P93="支払なし",$H93=0,$Q93=""),"",$Q93&amp;"|S|"&amp;(COUNTIF(S$4:S92,$Q93&amp;"|S|*")+1))</f>
        <v/>
      </c>
      <c r="T93" s="769" t="str">
        <f>IF(OR($F93="",$P93="支払なし",$R93=0,$Q93=""),"",$Q93&amp;"|L|"&amp;(COUNTIF(T$4:T92,$Q93&amp;"|L|*")+1))</f>
        <v/>
      </c>
      <c r="U93" s="769" t="str">
        <f>IF($F93="","",13)</f>
        <v/>
      </c>
    </row>
    <row r="94" ht="16.5" customFormat="1" customHeight="1" s="43">
      <c r="A94" s="760" t="n"/>
      <c r="B94" s="760" t="n"/>
      <c r="C94" s="762" t="n"/>
      <c r="D94" s="762" t="n"/>
      <c r="E94" s="762" t="n"/>
      <c r="F94" s="807" t="n"/>
      <c r="G94" s="807" t="n"/>
      <c r="H94" s="818">
        <f>IF(G94=1,F94-I94-J94-K94,IF(G94=2,F94,0))</f>
        <v>0</v>
      </c>
      <c r="I94" s="818">
        <f>ROUND(IF(G94=1,F94*10/23,IF(G94=3,F94-J94-K94,IF(G94=4,F94,IF(G94=5,F94*10/11,IF(G94=7,F94*10/11,0))))),0)</f>
        <v>0</v>
      </c>
      <c r="J94" s="818">
        <f>ROUND(IF(G94=1,F94/23,IF(G94=3,F94/12,IF(G94=5,F94-I94,IF(G94=8,F94,0)))),0)</f>
        <v>0</v>
      </c>
      <c r="K94" s="819">
        <f>ROUND(IF(G94=1,F94/23,IF(G94=3,F94/12,IF(G94=6,F94,IF(G94=7,F94-I94,0)))),0)</f>
        <v>0</v>
      </c>
      <c r="L94" s="820">
        <f>IF(G94=6,F94,0)</f>
        <v>0</v>
      </c>
      <c r="P94" s="768" t="n"/>
      <c r="Q94" s="769" t="str">
        <f>IF($F94="","",IFERROR(VLOOKUP($C94&amp;"|"&amp;$D94,科目表!$A$5:$B$200,2,FALSE),"※未登録"))</f>
        <v/>
      </c>
      <c r="R94" s="769" t="str">
        <f>IF($F94="","",$I94+$J94+$K94)</f>
        <v/>
      </c>
      <c r="S94" s="769" t="str">
        <f>IF(OR($F94="",$P94="支払なし",$H94=0,$Q94=""),"",$Q94&amp;"|S|"&amp;(COUNTIF(S$4:S93,$Q94&amp;"|S|*")+1))</f>
        <v/>
      </c>
      <c r="T94" s="769" t="str">
        <f>IF(OR($F94="",$P94="支払なし",$R94=0,$Q94=""),"",$Q94&amp;"|L|"&amp;(COUNTIF(T$4:T93,$Q94&amp;"|L|*")+1))</f>
        <v/>
      </c>
      <c r="U94" s="769" t="str">
        <f>IF($F94="","",13)</f>
        <v/>
      </c>
    </row>
    <row r="95" ht="16.5" customFormat="1" customHeight="1" s="43">
      <c r="A95" s="760" t="n"/>
      <c r="B95" s="760" t="n"/>
      <c r="C95" s="762" t="n"/>
      <c r="D95" s="762" t="n"/>
      <c r="E95" s="762" t="n"/>
      <c r="F95" s="807" t="n"/>
      <c r="G95" s="807" t="n"/>
      <c r="H95" s="818">
        <f>IF(G95=1,F95-I95-J95-K95,IF(G95=2,F95,0))</f>
        <v>0</v>
      </c>
      <c r="I95" s="818">
        <f>ROUND(IF(G95=1,F95*10/23,IF(G95=3,F95-J95-K95,IF(G95=4,F95,IF(G95=5,F95*10/11,IF(G95=7,F95*10/11,0))))),0)</f>
        <v>0</v>
      </c>
      <c r="J95" s="818">
        <f>ROUND(IF(G95=1,F95/23,IF(G95=3,F95/12,IF(G95=5,F95-I95,IF(G95=8,F95,0)))),0)</f>
        <v>0</v>
      </c>
      <c r="K95" s="819">
        <f>ROUND(IF(G95=1,F95/23,IF(G95=3,F95/12,IF(G95=6,F95,IF(G95=7,F95-I95,0)))),0)</f>
        <v>0</v>
      </c>
      <c r="L95" s="820">
        <f>IF(G95=6,F95,0)</f>
        <v>0</v>
      </c>
      <c r="P95" s="768" t="n"/>
      <c r="Q95" s="769" t="str">
        <f>IF($F95="","",IFERROR(VLOOKUP($C95&amp;"|"&amp;$D95,科目表!$A$5:$B$200,2,FALSE),"※未登録"))</f>
        <v/>
      </c>
      <c r="R95" s="769" t="str">
        <f>IF($F95="","",$I95+$J95+$K95)</f>
        <v/>
      </c>
      <c r="S95" s="769" t="str">
        <f>IF(OR($F95="",$P95="支払なし",$H95=0,$Q95=""),"",$Q95&amp;"|S|"&amp;(COUNTIF(S$4:S94,$Q95&amp;"|S|*")+1))</f>
        <v/>
      </c>
      <c r="T95" s="769" t="str">
        <f>IF(OR($F95="",$P95="支払なし",$R95=0,$Q95=""),"",$Q95&amp;"|L|"&amp;(COUNTIF(T$4:T94,$Q95&amp;"|L|*")+1))</f>
        <v/>
      </c>
      <c r="U95" s="769" t="str">
        <f>IF($F95="","",13)</f>
        <v/>
      </c>
    </row>
    <row r="96" ht="16.5" customFormat="1" customHeight="1" s="43">
      <c r="A96" s="760" t="n"/>
      <c r="B96" s="760" t="n"/>
      <c r="C96" s="762" t="n"/>
      <c r="D96" s="762" t="n"/>
      <c r="E96" s="762" t="n"/>
      <c r="F96" s="807" t="n"/>
      <c r="G96" s="807" t="n"/>
      <c r="H96" s="818">
        <f>IF(G96=1,F96-I96-J96-K96,IF(G96=2,F96,0))</f>
        <v>0</v>
      </c>
      <c r="I96" s="818">
        <f>ROUND(IF(G96=1,F96*10/23,IF(G96=3,F96-J96-K96,IF(G96=4,F96,IF(G96=5,F96*10/11,IF(G96=7,F96*10/11,0))))),0)</f>
        <v>0</v>
      </c>
      <c r="J96" s="818">
        <f>ROUND(IF(G96=1,F96/23,IF(G96=3,F96/12,IF(G96=5,F96-I96,IF(G96=8,F96,0)))),0)</f>
        <v>0</v>
      </c>
      <c r="K96" s="819">
        <f>ROUND(IF(G96=1,F96/23,IF(G96=3,F96/12,IF(G96=6,F96,IF(G96=7,F96-I96,0)))),0)</f>
        <v>0</v>
      </c>
      <c r="L96" s="820">
        <f>IF(G96=6,F96,0)</f>
        <v>0</v>
      </c>
      <c r="P96" s="768" t="n"/>
      <c r="Q96" s="769" t="str">
        <f>IF($F96="","",IFERROR(VLOOKUP($C96&amp;"|"&amp;$D96,科目表!$A$5:$B$200,2,FALSE),"※未登録"))</f>
        <v/>
      </c>
      <c r="R96" s="769" t="str">
        <f>IF($F96="","",$I96+$J96+$K96)</f>
        <v/>
      </c>
      <c r="S96" s="769" t="str">
        <f>IF(OR($F96="",$P96="支払なし",$H96=0,$Q96=""),"",$Q96&amp;"|S|"&amp;(COUNTIF(S$4:S95,$Q96&amp;"|S|*")+1))</f>
        <v/>
      </c>
      <c r="T96" s="769" t="str">
        <f>IF(OR($F96="",$P96="支払なし",$R96=0,$Q96=""),"",$Q96&amp;"|L|"&amp;(COUNTIF(T$4:T95,$Q96&amp;"|L|*")+1))</f>
        <v/>
      </c>
      <c r="U96" s="769" t="str">
        <f>IF($F96="","",13)</f>
        <v/>
      </c>
    </row>
    <row r="97" ht="16.5" customHeight="1" s="186">
      <c r="A97" s="760" t="n"/>
      <c r="B97" s="760" t="n"/>
      <c r="C97" s="762" t="n"/>
      <c r="D97" s="762" t="n"/>
      <c r="E97" s="775" t="n"/>
      <c r="F97" s="821" t="n"/>
      <c r="G97" s="821" t="n"/>
      <c r="H97" s="818">
        <f>IF(G97=1,F97-I97-J97-K97,IF(G97=2,F97,0))</f>
        <v>0</v>
      </c>
      <c r="I97" s="818">
        <f>ROUND(IF(G97=1,F97*10/23,IF(G97=3,F97-J97-K97,IF(G97=4,F97,IF(G97=5,F97*10/11,IF(G97=7,F97*10/11,0))))),0)</f>
        <v>0</v>
      </c>
      <c r="J97" s="818">
        <f>ROUND(IF(G97=1,F97/23,IF(G97=3,F97/12,IF(G97=5,F97-I97,IF(G97=8,F97,0)))),0)</f>
        <v>0</v>
      </c>
      <c r="K97" s="819">
        <f>ROUND(IF(G97=1,F97/23,IF(G97=3,F97/12,IF(G97=6,F97,IF(G97=7,F97-I97,0)))),0)</f>
        <v>0</v>
      </c>
      <c r="L97" s="820">
        <f>IF(G97=6,F97,0)</f>
        <v>0</v>
      </c>
      <c r="P97" s="768" t="n"/>
      <c r="Q97" s="769" t="str">
        <f>IF($F97="","",IFERROR(VLOOKUP($C97&amp;"|"&amp;$D97,科目表!$A$5:$B$200,2,FALSE),"※未登録"))</f>
        <v/>
      </c>
      <c r="R97" s="769" t="str">
        <f>IF($F97="","",$I97+$J97+$K97)</f>
        <v/>
      </c>
      <c r="S97" s="769" t="str">
        <f>IF(OR($F97="",$P97="支払なし",$H97=0,$Q97=""),"",$Q97&amp;"|S|"&amp;(COUNTIF(S$4:S96,$Q97&amp;"|S|*")+1))</f>
        <v/>
      </c>
      <c r="T97" s="769" t="str">
        <f>IF(OR($F97="",$P97="支払なし",$R97=0,$Q97=""),"",$Q97&amp;"|L|"&amp;(COUNTIF(T$4:T96,$Q97&amp;"|L|*")+1))</f>
        <v/>
      </c>
      <c r="U97" s="769" t="str">
        <f>IF($F97="","",13)</f>
        <v/>
      </c>
    </row>
    <row r="98" ht="16.5" customHeight="1" s="186">
      <c r="A98" s="760" t="n"/>
      <c r="B98" s="760" t="n"/>
      <c r="C98" s="762" t="n"/>
      <c r="D98" s="762" t="n"/>
      <c r="E98" s="762" t="n"/>
      <c r="F98" s="821" t="n"/>
      <c r="G98" s="821" t="n"/>
      <c r="H98" s="818">
        <f>IF(G98=1,F98-I98-J98-K98,IF(G98=2,F98,0))</f>
        <v>0</v>
      </c>
      <c r="I98" s="818">
        <f>ROUND(IF(G98=1,F98*10/23,IF(G98=3,F98-J98-K98,IF(G98=4,F98,IF(G98=5,F98*10/11,IF(G98=7,F98*10/11,0))))),0)</f>
        <v>0</v>
      </c>
      <c r="J98" s="818">
        <f>ROUND(IF(G98=1,F98/23,IF(G98=3,F98/12,IF(G98=5,F98-I98,IF(G98=8,F98,0)))),0)</f>
        <v>0</v>
      </c>
      <c r="K98" s="819">
        <f>ROUND(IF(G98=1,F98/23,IF(G98=3,F98/12,IF(G98=6,F98,IF(G98=7,F98-I98,0)))),0)</f>
        <v>0</v>
      </c>
      <c r="L98" s="820">
        <f>IF(G98=6,F98,0)</f>
        <v>0</v>
      </c>
      <c r="P98" s="768" t="n"/>
      <c r="Q98" s="769" t="str">
        <f>IF($F98="","",IFERROR(VLOOKUP($C98&amp;"|"&amp;$D98,科目表!$A$5:$B$200,2,FALSE),"※未登録"))</f>
        <v/>
      </c>
      <c r="R98" s="769" t="str">
        <f>IF($F98="","",$I98+$J98+$K98)</f>
        <v/>
      </c>
      <c r="S98" s="769" t="str">
        <f>IF(OR($F98="",$P98="支払なし",$H98=0,$Q98=""),"",$Q98&amp;"|S|"&amp;(COUNTIF(S$4:S97,$Q98&amp;"|S|*")+1))</f>
        <v/>
      </c>
      <c r="T98" s="769" t="str">
        <f>IF(OR($F98="",$P98="支払なし",$R98=0,$Q98=""),"",$Q98&amp;"|L|"&amp;(COUNTIF(T$4:T97,$Q98&amp;"|L|*")+1))</f>
        <v/>
      </c>
      <c r="U98" s="769" t="str">
        <f>IF($F98="","",13)</f>
        <v/>
      </c>
    </row>
    <row r="99" ht="16.5" customHeight="1" s="186">
      <c r="A99" s="760" t="n"/>
      <c r="B99" s="760" t="n"/>
      <c r="C99" s="762" t="n"/>
      <c r="D99" s="762" t="n"/>
      <c r="E99" s="775" t="n"/>
      <c r="F99" s="821" t="n"/>
      <c r="G99" s="821" t="n"/>
      <c r="H99" s="818">
        <f>IF(G99=1,F99-I99-J99-K99,IF(G99=2,F99,0))</f>
        <v>0</v>
      </c>
      <c r="I99" s="818">
        <f>ROUND(IF(G99=1,F99*10/23,IF(G99=3,F99-J99-K99,IF(G99=4,F99,IF(G99=5,F99*10/11,IF(G99=7,F99*10/11,0))))),0)</f>
        <v>0</v>
      </c>
      <c r="J99" s="818">
        <f>ROUND(IF(G99=1,F99/23,IF(G99=3,F99/12,IF(G99=5,F99-I99,IF(G99=8,F99,0)))),0)</f>
        <v>0</v>
      </c>
      <c r="K99" s="819">
        <f>ROUND(IF(G99=1,F99/23,IF(G99=3,F99/12,IF(G99=6,F99,IF(G99=7,F99-I99,0)))),0)</f>
        <v>0</v>
      </c>
      <c r="L99" s="820">
        <f>IF(G99=6,F99,0)</f>
        <v>0</v>
      </c>
      <c r="P99" s="768" t="n"/>
      <c r="Q99" s="769" t="str">
        <f>IF($F99="","",IFERROR(VLOOKUP($C99&amp;"|"&amp;$D99,科目表!$A$5:$B$200,2,FALSE),"※未登録"))</f>
        <v/>
      </c>
      <c r="R99" s="769" t="str">
        <f>IF($F99="","",$I99+$J99+$K99)</f>
        <v/>
      </c>
      <c r="S99" s="769" t="str">
        <f>IF(OR($F99="",$P99="支払なし",$H99=0,$Q99=""),"",$Q99&amp;"|S|"&amp;(COUNTIF(S$4:S98,$Q99&amp;"|S|*")+1))</f>
        <v/>
      </c>
      <c r="T99" s="769" t="str">
        <f>IF(OR($F99="",$P99="支払なし",$R99=0,$Q99=""),"",$Q99&amp;"|L|"&amp;(COUNTIF(T$4:T98,$Q99&amp;"|L|*")+1))</f>
        <v/>
      </c>
      <c r="U99" s="769" t="str">
        <f>IF($F99="","",13)</f>
        <v/>
      </c>
    </row>
    <row r="100" ht="16.5" customHeight="1" s="186">
      <c r="A100" s="760" t="n"/>
      <c r="B100" s="760" t="n"/>
      <c r="C100" s="762" t="n"/>
      <c r="D100" s="762" t="n"/>
      <c r="E100" s="775" t="n"/>
      <c r="F100" s="821" t="n"/>
      <c r="G100" s="821" t="n"/>
      <c r="H100" s="818">
        <f>IF(G100=1,F100-I100-J100-K100,IF(G100=2,F100,0))</f>
        <v>0</v>
      </c>
      <c r="I100" s="818">
        <f>ROUND(IF(G100=1,F100*10/23,IF(G100=3,F100-J100-K100,IF(G100=4,F100,IF(G100=5,F100*10/11,IF(G100=7,F100*10/11,0))))),0)</f>
        <v>0</v>
      </c>
      <c r="J100" s="818">
        <f>ROUND(IF(G100=1,F100/23,IF(G100=3,F100/12,IF(G100=5,F100-I100,IF(G100=8,F100,0)))),0)</f>
        <v>0</v>
      </c>
      <c r="K100" s="819">
        <f>ROUND(IF(G100=1,F100/23,IF(G100=3,F100/12,IF(G100=6,F100,IF(G100=7,F100-I100,0)))),0)</f>
        <v>0</v>
      </c>
      <c r="L100" s="820">
        <f>IF(G100=6,F100,0)</f>
        <v>0</v>
      </c>
      <c r="P100" s="768" t="n"/>
      <c r="Q100" s="769" t="str">
        <f>IF($F100="","",IFERROR(VLOOKUP($C100&amp;"|"&amp;$D100,科目表!$A$5:$B$200,2,FALSE),"※未登録"))</f>
        <v/>
      </c>
      <c r="R100" s="769" t="str">
        <f>IF($F100="","",$I100+$J100+$K100)</f>
        <v/>
      </c>
      <c r="S100" s="769" t="str">
        <f>IF(OR($F100="",$P100="支払なし",$H100=0,$Q100=""),"",$Q100&amp;"|S|"&amp;(COUNTIF(S$4:S99,$Q100&amp;"|S|*")+1))</f>
        <v/>
      </c>
      <c r="T100" s="769" t="str">
        <f>IF(OR($F100="",$P100="支払なし",$R100=0,$Q100=""),"",$Q100&amp;"|L|"&amp;(COUNTIF(T$4:T99,$Q100&amp;"|L|*")+1))</f>
        <v/>
      </c>
      <c r="U100" s="769" t="str">
        <f>IF($F100="","",13)</f>
        <v/>
      </c>
    </row>
    <row r="101" ht="16.5" customFormat="1" customHeight="1" s="43">
      <c r="A101" s="760" t="n"/>
      <c r="B101" s="760" t="n"/>
      <c r="C101" s="762" t="n"/>
      <c r="D101" s="762" t="n"/>
      <c r="E101" s="762" t="n"/>
      <c r="F101" s="807" t="n"/>
      <c r="G101" s="807" t="n"/>
      <c r="H101" s="818">
        <f>IF(G101=1,F101-I101-J101-K101,IF(G101=2,F101,0))</f>
        <v>0</v>
      </c>
      <c r="I101" s="818">
        <f>ROUND(IF(G101=1,F101*10/23,IF(G101=3,F101-J101-K101,IF(G101=4,F101,IF(G101=5,F101*10/11,IF(G101=7,F101*10/11,0))))),0)</f>
        <v>0</v>
      </c>
      <c r="J101" s="818">
        <f>ROUND(IF(G101=1,F101/23,IF(G101=3,F101/12,IF(G101=5,F101-I101,IF(G101=8,F101,0)))),0)</f>
        <v>0</v>
      </c>
      <c r="K101" s="819">
        <f>ROUND(IF(G101=1,F101/23,IF(G101=3,F101/12,IF(G101=6,F101,IF(G101=7,F101-I101,0)))),0)</f>
        <v>0</v>
      </c>
      <c r="L101" s="820">
        <f>IF(G101=6,F101,0)</f>
        <v>0</v>
      </c>
      <c r="P101" s="768" t="n"/>
      <c r="Q101" s="769" t="str">
        <f>IF($F101="","",IFERROR(VLOOKUP($C101&amp;"|"&amp;$D101,科目表!$A$5:$B$200,2,FALSE),"※未登録"))</f>
        <v/>
      </c>
      <c r="R101" s="769" t="str">
        <f>IF($F101="","",$I101+$J101+$K101)</f>
        <v/>
      </c>
      <c r="S101" s="769" t="str">
        <f>IF(OR($F101="",$P101="支払なし",$H101=0,$Q101=""),"",$Q101&amp;"|S|"&amp;(COUNTIF(S$4:S100,$Q101&amp;"|S|*")+1))</f>
        <v/>
      </c>
      <c r="T101" s="769" t="str">
        <f>IF(OR($F101="",$P101="支払なし",$R101=0,$Q101=""),"",$Q101&amp;"|L|"&amp;(COUNTIF(T$4:T100,$Q101&amp;"|L|*")+1))</f>
        <v/>
      </c>
      <c r="U101" s="769" t="str">
        <f>IF($F101="","",13)</f>
        <v/>
      </c>
    </row>
    <row r="102" ht="16.5" customHeight="1" s="186">
      <c r="A102" s="760" t="n"/>
      <c r="B102" s="760" t="n"/>
      <c r="C102" s="762" t="n"/>
      <c r="D102" s="762" t="n"/>
      <c r="E102" s="775" t="n"/>
      <c r="F102" s="821" t="n"/>
      <c r="G102" s="821" t="n"/>
      <c r="H102" s="818">
        <f>IF(G102=1,F102-I102-J102-K102,IF(G102=2,F102,0))</f>
        <v>0</v>
      </c>
      <c r="I102" s="818">
        <f>ROUND(IF(G102=1,F102*10/23,IF(G102=3,F102-J102-K102,IF(G102=4,F102,IF(G102=5,F102*10/11,IF(G102=7,F102*10/11,0))))),0)</f>
        <v>0</v>
      </c>
      <c r="J102" s="818">
        <f>ROUND(IF(G102=1,F102/23,IF(G102=3,F102/12,IF(G102=5,F102-I102,IF(G102=8,F102,0)))),0)</f>
        <v>0</v>
      </c>
      <c r="K102" s="819">
        <f>ROUND(IF(G102=1,F102/23,IF(G102=3,F102/12,IF(G102=6,F102,IF(G102=7,F102-I102,0)))),0)</f>
        <v>0</v>
      </c>
      <c r="L102" s="820">
        <f>IF(G102=6,F102,0)</f>
        <v>0</v>
      </c>
      <c r="P102" s="768" t="n"/>
      <c r="Q102" s="769" t="str">
        <f>IF($F102="","",IFERROR(VLOOKUP($C102&amp;"|"&amp;$D102,科目表!$A$5:$B$200,2,FALSE),"※未登録"))</f>
        <v/>
      </c>
      <c r="R102" s="769" t="str">
        <f>IF($F102="","",$I102+$J102+$K102)</f>
        <v/>
      </c>
      <c r="S102" s="769" t="str">
        <f>IF(OR($F102="",$P102="支払なし",$H102=0,$Q102=""),"",$Q102&amp;"|S|"&amp;(COUNTIF(S$4:S101,$Q102&amp;"|S|*")+1))</f>
        <v/>
      </c>
      <c r="T102" s="769" t="str">
        <f>IF(OR($F102="",$P102="支払なし",$R102=0,$Q102=""),"",$Q102&amp;"|L|"&amp;(COUNTIF(T$4:T101,$Q102&amp;"|L|*")+1))</f>
        <v/>
      </c>
      <c r="U102" s="769" t="str">
        <f>IF($F102="","",13)</f>
        <v/>
      </c>
    </row>
    <row r="103" ht="16.5" customHeight="1" s="186">
      <c r="A103" s="760" t="n"/>
      <c r="B103" s="760" t="n"/>
      <c r="C103" s="762" t="n"/>
      <c r="D103" s="762" t="n"/>
      <c r="E103" s="762" t="n"/>
      <c r="F103" s="821" t="n"/>
      <c r="G103" s="821" t="n"/>
      <c r="H103" s="818">
        <f>IF(G103=1,F103-I103-J103-K103,IF(G103=2,F103,0))</f>
        <v>0</v>
      </c>
      <c r="I103" s="818">
        <f>ROUND(IF(G103=1,F103*10/23,IF(G103=3,F103-J103-K103,IF(G103=4,F103,IF(G103=5,F103*10/11,IF(G103=7,F103*10/11,0))))),0)</f>
        <v>0</v>
      </c>
      <c r="J103" s="818">
        <f>ROUND(IF(G103=1,F103/23,IF(G103=3,F103/12,IF(G103=5,F103-I103,IF(G103=8,F103,0)))),0)</f>
        <v>0</v>
      </c>
      <c r="K103" s="819">
        <f>ROUND(IF(G103=1,F103/23,IF(G103=3,F103/12,IF(G103=6,F103,IF(G103=7,F103-I103,0)))),0)</f>
        <v>0</v>
      </c>
      <c r="L103" s="820">
        <f>IF(G103=6,F103,0)</f>
        <v>0</v>
      </c>
      <c r="P103" s="768" t="n"/>
      <c r="Q103" s="769" t="str">
        <f>IF($F103="","",IFERROR(VLOOKUP($C103&amp;"|"&amp;$D103,科目表!$A$5:$B$200,2,FALSE),"※未登録"))</f>
        <v/>
      </c>
      <c r="R103" s="769" t="str">
        <f>IF($F103="","",$I103+$J103+$K103)</f>
        <v/>
      </c>
      <c r="S103" s="769" t="str">
        <f>IF(OR($F103="",$P103="支払なし",$H103=0,$Q103=""),"",$Q103&amp;"|S|"&amp;(COUNTIF(S$4:S102,$Q103&amp;"|S|*")+1))</f>
        <v/>
      </c>
      <c r="T103" s="769" t="str">
        <f>IF(OR($F103="",$P103="支払なし",$R103=0,$Q103=""),"",$Q103&amp;"|L|"&amp;(COUNTIF(T$4:T102,$Q103&amp;"|L|*")+1))</f>
        <v/>
      </c>
      <c r="U103" s="769" t="str">
        <f>IF($F103="","",13)</f>
        <v/>
      </c>
    </row>
    <row r="104" ht="16.5" customHeight="1" s="186">
      <c r="A104" s="760" t="n"/>
      <c r="B104" s="760" t="n"/>
      <c r="C104" s="762" t="n"/>
      <c r="D104" s="762" t="n"/>
      <c r="E104" s="775" t="n"/>
      <c r="F104" s="821" t="n"/>
      <c r="G104" s="821" t="n"/>
      <c r="H104" s="818">
        <f>IF(G104=1,F104-I104-J104-K104,IF(G104=2,F104,0))</f>
        <v>0</v>
      </c>
      <c r="I104" s="818">
        <f>ROUND(IF(G104=1,F104*10/23,IF(G104=3,F104-J104-K104,IF(G104=4,F104,IF(G104=5,F104*10/11,IF(G104=7,F104*10/11,0))))),0)</f>
        <v>0</v>
      </c>
      <c r="J104" s="818">
        <f>ROUND(IF(G104=1,F104/23,IF(G104=3,F104/12,IF(G104=5,F104-I104,IF(G104=8,F104,0)))),0)</f>
        <v>0</v>
      </c>
      <c r="K104" s="819">
        <f>ROUND(IF(G104=1,F104/23,IF(G104=3,F104/12,IF(G104=6,F104,IF(G104=7,F104-I104,0)))),0)</f>
        <v>0</v>
      </c>
      <c r="L104" s="820">
        <f>IF(G104=6,F104,0)</f>
        <v>0</v>
      </c>
      <c r="P104" s="768" t="n"/>
      <c r="Q104" s="769" t="str">
        <f>IF($F104="","",IFERROR(VLOOKUP($C104&amp;"|"&amp;$D104,科目表!$A$5:$B$200,2,FALSE),"※未登録"))</f>
        <v/>
      </c>
      <c r="R104" s="769" t="str">
        <f>IF($F104="","",$I104+$J104+$K104)</f>
        <v/>
      </c>
      <c r="S104" s="769" t="str">
        <f>IF(OR($F104="",$P104="支払なし",$H104=0,$Q104=""),"",$Q104&amp;"|S|"&amp;(COUNTIF(S$4:S103,$Q104&amp;"|S|*")+1))</f>
        <v/>
      </c>
      <c r="T104" s="769" t="str">
        <f>IF(OR($F104="",$P104="支払なし",$R104=0,$Q104=""),"",$Q104&amp;"|L|"&amp;(COUNTIF(T$4:T103,$Q104&amp;"|L|*")+1))</f>
        <v/>
      </c>
      <c r="U104" s="769" t="str">
        <f>IF($F104="","",13)</f>
        <v/>
      </c>
    </row>
    <row r="105" ht="16.5" customHeight="1" s="186">
      <c r="A105" s="760" t="n"/>
      <c r="B105" s="760" t="n"/>
      <c r="C105" s="762" t="n"/>
      <c r="D105" s="762" t="n"/>
      <c r="E105" s="775" t="n"/>
      <c r="F105" s="821" t="n"/>
      <c r="G105" s="821" t="n"/>
      <c r="H105" s="818">
        <f>IF(G105=1,F105-I105-J105-K105,IF(G105=2,F105,0))</f>
        <v>0</v>
      </c>
      <c r="I105" s="818">
        <f>ROUND(IF(G105=1,F105*10/23,IF(G105=3,F105-J105-K105,IF(G105=4,F105,IF(G105=5,F105*10/11,IF(G105=7,F105*10/11,0))))),0)</f>
        <v>0</v>
      </c>
      <c r="J105" s="818">
        <f>ROUND(IF(G105=1,F105/23,IF(G105=3,F105/12,IF(G105=5,F105-I105,IF(G105=8,F105,0)))),0)</f>
        <v>0</v>
      </c>
      <c r="K105" s="819">
        <f>ROUND(IF(G105=1,F105/23,IF(G105=3,F105/12,IF(G105=6,F105,IF(G105=7,F105-I105,0)))),0)</f>
        <v>0</v>
      </c>
      <c r="L105" s="820">
        <f>IF(G105=6,F105,0)</f>
        <v>0</v>
      </c>
      <c r="P105" s="768" t="n"/>
      <c r="Q105" s="769" t="str">
        <f>IF($F105="","",IFERROR(VLOOKUP($C105&amp;"|"&amp;$D105,科目表!$A$5:$B$200,2,FALSE),"※未登録"))</f>
        <v/>
      </c>
      <c r="R105" s="769" t="str">
        <f>IF($F105="","",$I105+$J105+$K105)</f>
        <v/>
      </c>
      <c r="S105" s="769" t="str">
        <f>IF(OR($F105="",$P105="支払なし",$H105=0,$Q105=""),"",$Q105&amp;"|S|"&amp;(COUNTIF(S$4:S104,$Q105&amp;"|S|*")+1))</f>
        <v/>
      </c>
      <c r="T105" s="769" t="str">
        <f>IF(OR($F105="",$P105="支払なし",$R105=0,$Q105=""),"",$Q105&amp;"|L|"&amp;(COUNTIF(T$4:T104,$Q105&amp;"|L|*")+1))</f>
        <v/>
      </c>
      <c r="U105" s="769" t="str">
        <f>IF($F105="","",13)</f>
        <v/>
      </c>
    </row>
    <row r="106" ht="16.5" customFormat="1" customHeight="1" s="43">
      <c r="A106" s="760" t="n"/>
      <c r="B106" s="760" t="n"/>
      <c r="C106" s="762" t="n"/>
      <c r="D106" s="762" t="n"/>
      <c r="E106" s="762" t="n"/>
      <c r="F106" s="807" t="n"/>
      <c r="G106" s="807" t="n"/>
      <c r="H106" s="818">
        <f>IF(G106=1,F106-I106-J106-K106,IF(G106=2,F106,0))</f>
        <v>0</v>
      </c>
      <c r="I106" s="818">
        <f>ROUND(IF(G106=1,F106*10/23,IF(G106=3,F106-J106-K106,IF(G106=4,F106,IF(G106=5,F106*10/11,IF(G106=7,F106*10/11,0))))),0)</f>
        <v>0</v>
      </c>
      <c r="J106" s="818">
        <f>ROUND(IF(G106=1,F106/23,IF(G106=3,F106/12,IF(G106=5,F106-I106,IF(G106=8,F106,0)))),0)</f>
        <v>0</v>
      </c>
      <c r="K106" s="819">
        <f>ROUND(IF(G106=1,F106/23,IF(G106=3,F106/12,IF(G106=6,F106,IF(G106=7,F106-I106,0)))),0)</f>
        <v>0</v>
      </c>
      <c r="L106" s="820">
        <f>IF(G106=6,F106,0)</f>
        <v>0</v>
      </c>
      <c r="P106" s="768" t="n"/>
      <c r="Q106" s="769" t="str">
        <f>IF($F106="","",IFERROR(VLOOKUP($C106&amp;"|"&amp;$D106,科目表!$A$5:$B$200,2,FALSE),"※未登録"))</f>
        <v/>
      </c>
      <c r="R106" s="769" t="str">
        <f>IF($F106="","",$I106+$J106+$K106)</f>
        <v/>
      </c>
      <c r="S106" s="769" t="str">
        <f>IF(OR($F106="",$P106="支払なし",$H106=0,$Q106=""),"",$Q106&amp;"|S|"&amp;(COUNTIF(S$4:S105,$Q106&amp;"|S|*")+1))</f>
        <v/>
      </c>
      <c r="T106" s="769" t="str">
        <f>IF(OR($F106="",$P106="支払なし",$R106=0,$Q106=""),"",$Q106&amp;"|L|"&amp;(COUNTIF(T$4:T105,$Q106&amp;"|L|*")+1))</f>
        <v/>
      </c>
      <c r="U106" s="769" t="str">
        <f>IF($F106="","",13)</f>
        <v/>
      </c>
    </row>
    <row r="107" ht="16.5" customHeight="1" s="186">
      <c r="A107" s="760" t="n"/>
      <c r="B107" s="760" t="n"/>
      <c r="C107" s="762" t="n"/>
      <c r="D107" s="762" t="n"/>
      <c r="E107" s="775" t="n"/>
      <c r="F107" s="821" t="n"/>
      <c r="G107" s="821" t="n"/>
      <c r="H107" s="818">
        <f>IF(G107=1,F107-I107-J107-K107,IF(G107=2,F107,0))</f>
        <v>0</v>
      </c>
      <c r="I107" s="818">
        <f>ROUND(IF(G107=1,F107*10/23,IF(G107=3,F107-J107-K107,IF(G107=4,F107,IF(G107=5,F107*10/11,IF(G107=7,F107*10/11,0))))),0)</f>
        <v>0</v>
      </c>
      <c r="J107" s="818">
        <f>ROUND(IF(G107=1,F107/23,IF(G107=3,F107/12,IF(G107=5,F107-I107,IF(G107=8,F107,0)))),0)</f>
        <v>0</v>
      </c>
      <c r="K107" s="819">
        <f>ROUND(IF(G107=1,F107/23,IF(G107=3,F107/12,IF(G107=6,F107,IF(G107=7,F107-I107,0)))),0)</f>
        <v>0</v>
      </c>
      <c r="L107" s="820">
        <f>IF(G107=6,F107,0)</f>
        <v>0</v>
      </c>
      <c r="P107" s="768" t="n"/>
      <c r="Q107" s="769" t="str">
        <f>IF($F107="","",IFERROR(VLOOKUP($C107&amp;"|"&amp;$D107,科目表!$A$5:$B$200,2,FALSE),"※未登録"))</f>
        <v/>
      </c>
      <c r="R107" s="769" t="str">
        <f>IF($F107="","",$I107+$J107+$K107)</f>
        <v/>
      </c>
      <c r="S107" s="769" t="str">
        <f>IF(OR($F107="",$P107="支払なし",$H107=0,$Q107=""),"",$Q107&amp;"|S|"&amp;(COUNTIF(S$4:S106,$Q107&amp;"|S|*")+1))</f>
        <v/>
      </c>
      <c r="T107" s="769" t="str">
        <f>IF(OR($F107="",$P107="支払なし",$R107=0,$Q107=""),"",$Q107&amp;"|L|"&amp;(COUNTIF(T$4:T106,$Q107&amp;"|L|*")+1))</f>
        <v/>
      </c>
      <c r="U107" s="769" t="str">
        <f>IF($F107="","",13)</f>
        <v/>
      </c>
    </row>
    <row r="108" ht="16.5" customHeight="1" s="186">
      <c r="A108" s="760" t="n"/>
      <c r="B108" s="760" t="n"/>
      <c r="C108" s="762" t="n"/>
      <c r="D108" s="762" t="n"/>
      <c r="E108" s="762" t="n"/>
      <c r="F108" s="821" t="n"/>
      <c r="G108" s="821" t="n"/>
      <c r="H108" s="818">
        <f>IF(G108=1,F108-I108-J108-K108,IF(G108=2,F108,0))</f>
        <v>0</v>
      </c>
      <c r="I108" s="818">
        <f>ROUND(IF(G108=1,F108*10/23,IF(G108=3,F108-J108-K108,IF(G108=4,F108,IF(G108=5,F108*10/11,IF(G108=7,F108*10/11,0))))),0)</f>
        <v>0</v>
      </c>
      <c r="J108" s="818">
        <f>ROUND(IF(G108=1,F108/23,IF(G108=3,F108/12,IF(G108=5,F108-I108,IF(G108=8,F108,0)))),0)</f>
        <v>0</v>
      </c>
      <c r="K108" s="819">
        <f>ROUND(IF(G108=1,F108/23,IF(G108=3,F108/12,IF(G108=6,F108,IF(G108=7,F108-I108,0)))),0)</f>
        <v>0</v>
      </c>
      <c r="L108" s="820">
        <f>IF(G108=6,F108,0)</f>
        <v>0</v>
      </c>
      <c r="P108" s="768" t="n"/>
      <c r="Q108" s="769" t="str">
        <f>IF($F108="","",IFERROR(VLOOKUP($C108&amp;"|"&amp;$D108,科目表!$A$5:$B$200,2,FALSE),"※未登録"))</f>
        <v/>
      </c>
      <c r="R108" s="769" t="str">
        <f>IF($F108="","",$I108+$J108+$K108)</f>
        <v/>
      </c>
      <c r="S108" s="769" t="str">
        <f>IF(OR($F108="",$P108="支払なし",$H108=0,$Q108=""),"",$Q108&amp;"|S|"&amp;(COUNTIF(S$4:S107,$Q108&amp;"|S|*")+1))</f>
        <v/>
      </c>
      <c r="T108" s="769" t="str">
        <f>IF(OR($F108="",$P108="支払なし",$R108=0,$Q108=""),"",$Q108&amp;"|L|"&amp;(COUNTIF(T$4:T107,$Q108&amp;"|L|*")+1))</f>
        <v/>
      </c>
      <c r="U108" s="769" t="str">
        <f>IF($F108="","",13)</f>
        <v/>
      </c>
    </row>
    <row r="109" ht="16.5" customHeight="1" s="186">
      <c r="A109" s="760" t="n"/>
      <c r="B109" s="760" t="n"/>
      <c r="C109" s="762" t="n"/>
      <c r="D109" s="762" t="n"/>
      <c r="E109" s="775" t="n"/>
      <c r="F109" s="821" t="n"/>
      <c r="G109" s="821" t="n"/>
      <c r="H109" s="818">
        <f>IF(G109=1,F109-I109-J109-K109,IF(G109=2,F109,0))</f>
        <v>0</v>
      </c>
      <c r="I109" s="818">
        <f>ROUND(IF(G109=1,F109*10/23,IF(G109=3,F109-J109-K109,IF(G109=4,F109,IF(G109=5,F109*10/11,IF(G109=7,F109*10/11,0))))),0)</f>
        <v>0</v>
      </c>
      <c r="J109" s="818">
        <f>ROUND(IF(G109=1,F109/23,IF(G109=3,F109/12,IF(G109=5,F109-I109,IF(G109=8,F109,0)))),0)</f>
        <v>0</v>
      </c>
      <c r="K109" s="819">
        <f>ROUND(IF(G109=1,F109/23,IF(G109=3,F109/12,IF(G109=6,F109,IF(G109=7,F109-I109,0)))),0)</f>
        <v>0</v>
      </c>
      <c r="L109" s="820">
        <f>IF(G109=6,F109,0)</f>
        <v>0</v>
      </c>
      <c r="P109" s="768" t="n"/>
      <c r="Q109" s="769" t="str">
        <f>IF($F109="","",IFERROR(VLOOKUP($C109&amp;"|"&amp;$D109,科目表!$A$5:$B$200,2,FALSE),"※未登録"))</f>
        <v/>
      </c>
      <c r="R109" s="769" t="str">
        <f>IF($F109="","",$I109+$J109+$K109)</f>
        <v/>
      </c>
      <c r="S109" s="769" t="str">
        <f>IF(OR($F109="",$P109="支払なし",$H109=0,$Q109=""),"",$Q109&amp;"|S|"&amp;(COUNTIF(S$4:S108,$Q109&amp;"|S|*")+1))</f>
        <v/>
      </c>
      <c r="T109" s="769" t="str">
        <f>IF(OR($F109="",$P109="支払なし",$R109=0,$Q109=""),"",$Q109&amp;"|L|"&amp;(COUNTIF(T$4:T108,$Q109&amp;"|L|*")+1))</f>
        <v/>
      </c>
      <c r="U109" s="769" t="str">
        <f>IF($F109="","",13)</f>
        <v/>
      </c>
    </row>
    <row r="110" ht="16.5" customHeight="1" s="186">
      <c r="A110" s="760" t="n"/>
      <c r="B110" s="760" t="n"/>
      <c r="C110" s="762" t="n"/>
      <c r="D110" s="762" t="n"/>
      <c r="E110" s="775" t="n"/>
      <c r="F110" s="821" t="n"/>
      <c r="G110" s="821" t="n"/>
      <c r="H110" s="818">
        <f>IF(G110=1,F110-I110-J110-K110,IF(G110=2,F110,0))</f>
        <v>0</v>
      </c>
      <c r="I110" s="818">
        <f>ROUND(IF(G110=1,F110*10/23,IF(G110=3,F110-J110-K110,IF(G110=4,F110,IF(G110=5,F110*10/11,IF(G110=7,F110*10/11,0))))),0)</f>
        <v>0</v>
      </c>
      <c r="J110" s="818">
        <f>ROUND(IF(G110=1,F110/23,IF(G110=3,F110/12,IF(G110=5,F110-I110,IF(G110=8,F110,0)))),0)</f>
        <v>0</v>
      </c>
      <c r="K110" s="819">
        <f>ROUND(IF(G110=1,F110/23,IF(G110=3,F110/12,IF(G110=6,F110,IF(G110=7,F110-I110,0)))),0)</f>
        <v>0</v>
      </c>
      <c r="L110" s="820">
        <f>IF(G110=6,F110,0)</f>
        <v>0</v>
      </c>
      <c r="P110" s="768" t="n"/>
      <c r="Q110" s="769" t="str">
        <f>IF($F110="","",IFERROR(VLOOKUP($C110&amp;"|"&amp;$D110,科目表!$A$5:$B$200,2,FALSE),"※未登録"))</f>
        <v/>
      </c>
      <c r="R110" s="769" t="str">
        <f>IF($F110="","",$I110+$J110+$K110)</f>
        <v/>
      </c>
      <c r="S110" s="769" t="str">
        <f>IF(OR($F110="",$P110="支払なし",$H110=0,$Q110=""),"",$Q110&amp;"|S|"&amp;(COUNTIF(S$4:S109,$Q110&amp;"|S|*")+1))</f>
        <v/>
      </c>
      <c r="T110" s="769" t="str">
        <f>IF(OR($F110="",$P110="支払なし",$R110=0,$Q110=""),"",$Q110&amp;"|L|"&amp;(COUNTIF(T$4:T109,$Q110&amp;"|L|*")+1))</f>
        <v/>
      </c>
      <c r="U110" s="769" t="str">
        <f>IF($F110="","",13)</f>
        <v/>
      </c>
    </row>
    <row r="111" ht="16.5" customFormat="1" customHeight="1" s="43">
      <c r="A111" s="760" t="n"/>
      <c r="B111" s="760" t="n"/>
      <c r="C111" s="762" t="n"/>
      <c r="D111" s="762" t="n"/>
      <c r="E111" s="762" t="n"/>
      <c r="F111" s="807" t="n"/>
      <c r="G111" s="807" t="n"/>
      <c r="H111" s="818">
        <f>IF(G111=1,F111-I111-J111-K111,IF(G111=2,F111,0))</f>
        <v>0</v>
      </c>
      <c r="I111" s="818">
        <f>ROUND(IF(G111=1,F111*10/23,IF(G111=3,F111-J111-K111,IF(G111=4,F111,IF(G111=5,F111*10/11,IF(G111=7,F111*10/11,0))))),0)</f>
        <v>0</v>
      </c>
      <c r="J111" s="818">
        <f>ROUND(IF(G111=1,F111/23,IF(G111=3,F111/12,IF(G111=5,F111-I111,IF(G111=8,F111,0)))),0)</f>
        <v>0</v>
      </c>
      <c r="K111" s="819">
        <f>ROUND(IF(G111=1,F111/23,IF(G111=3,F111/12,IF(G111=6,F111,IF(G111=7,F111-I111,0)))),0)</f>
        <v>0</v>
      </c>
      <c r="L111" s="820">
        <f>IF(G111=6,F111,0)</f>
        <v>0</v>
      </c>
      <c r="P111" s="768" t="n"/>
      <c r="Q111" s="769" t="str">
        <f>IF($F111="","",IFERROR(VLOOKUP($C111&amp;"|"&amp;$D111,科目表!$A$5:$B$200,2,FALSE),"※未登録"))</f>
        <v/>
      </c>
      <c r="R111" s="769" t="str">
        <f>IF($F111="","",$I111+$J111+$K111)</f>
        <v/>
      </c>
      <c r="S111" s="769" t="str">
        <f>IF(OR($F111="",$P111="支払なし",$H111=0,$Q111=""),"",$Q111&amp;"|S|"&amp;(COUNTIF(S$4:S110,$Q111&amp;"|S|*")+1))</f>
        <v/>
      </c>
      <c r="T111" s="769" t="str">
        <f>IF(OR($F111="",$P111="支払なし",$R111=0,$Q111=""),"",$Q111&amp;"|L|"&amp;(COUNTIF(T$4:T110,$Q111&amp;"|L|*")+1))</f>
        <v/>
      </c>
      <c r="U111" s="769" t="str">
        <f>IF($F111="","",13)</f>
        <v/>
      </c>
    </row>
    <row r="112" ht="16.5" customFormat="1" customHeight="1" s="43">
      <c r="A112" s="760" t="n"/>
      <c r="B112" s="760" t="n"/>
      <c r="C112" s="762" t="n"/>
      <c r="D112" s="762" t="n"/>
      <c r="E112" s="762" t="n"/>
      <c r="F112" s="807" t="n"/>
      <c r="G112" s="807" t="n"/>
      <c r="H112" s="818">
        <f>IF(G112=1,F112-I112-J112-K112,IF(G112=2,F112,0))</f>
        <v>0</v>
      </c>
      <c r="I112" s="818">
        <f>ROUND(IF(G112=1,F112*10/23,IF(G112=3,F112-J112-K112,IF(G112=4,F112,IF(G112=5,F112*10/11,IF(G112=7,F112*10/11,0))))),0)</f>
        <v>0</v>
      </c>
      <c r="J112" s="818">
        <f>ROUND(IF(G112=1,F112/23,IF(G112=3,F112/12,IF(G112=5,F112-I112,IF(G112=8,F112,0)))),0)</f>
        <v>0</v>
      </c>
      <c r="K112" s="819">
        <f>ROUND(IF(G112=1,F112/23,IF(G112=3,F112/12,IF(G112=6,F112,IF(G112=7,F112-I112,0)))),0)</f>
        <v>0</v>
      </c>
      <c r="L112" s="820">
        <f>IF(G112=6,F112,0)</f>
        <v>0</v>
      </c>
      <c r="P112" s="768" t="n"/>
      <c r="Q112" s="769" t="str">
        <f>IF($F112="","",IFERROR(VLOOKUP($C112&amp;"|"&amp;$D112,科目表!$A$5:$B$200,2,FALSE),"※未登録"))</f>
        <v/>
      </c>
      <c r="R112" s="769" t="str">
        <f>IF($F112="","",$I112+$J112+$K112)</f>
        <v/>
      </c>
      <c r="S112" s="769" t="str">
        <f>IF(OR($F112="",$P112="支払なし",$H112=0,$Q112=""),"",$Q112&amp;"|S|"&amp;(COUNTIF(S$4:S111,$Q112&amp;"|S|*")+1))</f>
        <v/>
      </c>
      <c r="T112" s="769" t="str">
        <f>IF(OR($F112="",$P112="支払なし",$R112=0,$Q112=""),"",$Q112&amp;"|L|"&amp;(COUNTIF(T$4:T111,$Q112&amp;"|L|*")+1))</f>
        <v/>
      </c>
      <c r="U112" s="769" t="str">
        <f>IF($F112="","",13)</f>
        <v/>
      </c>
    </row>
    <row r="113" ht="16.5" customHeight="1" s="186">
      <c r="A113" s="760" t="n"/>
      <c r="B113" s="760" t="n"/>
      <c r="C113" s="762" t="n"/>
      <c r="D113" s="762" t="n"/>
      <c r="E113" s="775" t="n"/>
      <c r="F113" s="821" t="n"/>
      <c r="G113" s="821" t="n"/>
      <c r="H113" s="818">
        <f>IF(G113=1,F113-I113-J113-K113,IF(G113=2,F113,0))</f>
        <v>0</v>
      </c>
      <c r="I113" s="818">
        <f>ROUND(IF(G113=1,F113*10/23,IF(G113=3,F113-J113-K113,IF(G113=4,F113,IF(G113=5,F113*10/11,IF(G113=7,F113*10/11,0))))),0)</f>
        <v>0</v>
      </c>
      <c r="J113" s="818">
        <f>ROUND(IF(G113=1,F113/23,IF(G113=3,F113/12,IF(G113=5,F113-I113,IF(G113=8,F113,0)))),0)</f>
        <v>0</v>
      </c>
      <c r="K113" s="819">
        <f>ROUND(IF(G113=1,F113/23,IF(G113=3,F113/12,IF(G113=6,F113,IF(G113=7,F113-I113,0)))),0)</f>
        <v>0</v>
      </c>
      <c r="L113" s="820">
        <f>IF(G113=6,F113,0)</f>
        <v>0</v>
      </c>
      <c r="P113" s="768" t="n"/>
      <c r="Q113" s="769" t="str">
        <f>IF($F113="","",IFERROR(VLOOKUP($C113&amp;"|"&amp;$D113,科目表!$A$5:$B$200,2,FALSE),"※未登録"))</f>
        <v/>
      </c>
      <c r="R113" s="769" t="str">
        <f>IF($F113="","",$I113+$J113+$K113)</f>
        <v/>
      </c>
      <c r="S113" s="769" t="str">
        <f>IF(OR($F113="",$P113="支払なし",$H113=0,$Q113=""),"",$Q113&amp;"|S|"&amp;(COUNTIF(S$4:S112,$Q113&amp;"|S|*")+1))</f>
        <v/>
      </c>
      <c r="T113" s="769" t="str">
        <f>IF(OR($F113="",$P113="支払なし",$R113=0,$Q113=""),"",$Q113&amp;"|L|"&amp;(COUNTIF(T$4:T112,$Q113&amp;"|L|*")+1))</f>
        <v/>
      </c>
      <c r="U113" s="769" t="str">
        <f>IF($F113="","",13)</f>
        <v/>
      </c>
    </row>
    <row r="114" ht="16.5" customHeight="1" s="186">
      <c r="A114" s="760" t="n"/>
      <c r="B114" s="760" t="n"/>
      <c r="C114" s="762" t="n"/>
      <c r="D114" s="762" t="n"/>
      <c r="E114" s="762" t="n"/>
      <c r="F114" s="821" t="n"/>
      <c r="G114" s="821" t="n"/>
      <c r="H114" s="818">
        <f>IF(G114=1,F114-I114-J114-K114,IF(G114=2,F114,0))</f>
        <v>0</v>
      </c>
      <c r="I114" s="818">
        <f>ROUND(IF(G114=1,F114*10/23,IF(G114=3,F114-J114-K114,IF(G114=4,F114,IF(G114=5,F114*10/11,IF(G114=7,F114*10/11,0))))),0)</f>
        <v>0</v>
      </c>
      <c r="J114" s="818">
        <f>ROUND(IF(G114=1,F114/23,IF(G114=3,F114/12,IF(G114=5,F114-I114,IF(G114=8,F114,0)))),0)</f>
        <v>0</v>
      </c>
      <c r="K114" s="819">
        <f>ROUND(IF(G114=1,F114/23,IF(G114=3,F114/12,IF(G114=6,F114,IF(G114=7,F114-I114,0)))),0)</f>
        <v>0</v>
      </c>
      <c r="L114" s="820">
        <f>IF(G114=6,F114,0)</f>
        <v>0</v>
      </c>
      <c r="P114" s="768" t="n"/>
      <c r="Q114" s="769" t="str">
        <f>IF($F114="","",IFERROR(VLOOKUP($C114&amp;"|"&amp;$D114,科目表!$A$5:$B$200,2,FALSE),"※未登録"))</f>
        <v/>
      </c>
      <c r="R114" s="769" t="str">
        <f>IF($F114="","",$I114+$J114+$K114)</f>
        <v/>
      </c>
      <c r="S114" s="769" t="str">
        <f>IF(OR($F114="",$P114="支払なし",$H114=0,$Q114=""),"",$Q114&amp;"|S|"&amp;(COUNTIF(S$4:S113,$Q114&amp;"|S|*")+1))</f>
        <v/>
      </c>
      <c r="T114" s="769" t="str">
        <f>IF(OR($F114="",$P114="支払なし",$R114=0,$Q114=""),"",$Q114&amp;"|L|"&amp;(COUNTIF(T$4:T113,$Q114&amp;"|L|*")+1))</f>
        <v/>
      </c>
      <c r="U114" s="769" t="str">
        <f>IF($F114="","",13)</f>
        <v/>
      </c>
    </row>
    <row r="115" ht="16.5" customHeight="1" s="186">
      <c r="A115" s="760" t="n"/>
      <c r="B115" s="760" t="n"/>
      <c r="C115" s="762" t="n"/>
      <c r="D115" s="762" t="n"/>
      <c r="E115" s="775" t="n"/>
      <c r="F115" s="821" t="n"/>
      <c r="G115" s="821" t="n"/>
      <c r="H115" s="818">
        <f>IF(G115=1,F115-I115-J115-K115,IF(G115=2,F115,0))</f>
        <v>0</v>
      </c>
      <c r="I115" s="818">
        <f>ROUND(IF(G115=1,F115*10/23,IF(G115=3,F115-J115-K115,IF(G115=4,F115,IF(G115=5,F115*10/11,IF(G115=7,F115*10/11,0))))),0)</f>
        <v>0</v>
      </c>
      <c r="J115" s="818">
        <f>ROUND(IF(G115=1,F115/23,IF(G115=3,F115/12,IF(G115=5,F115-I115,IF(G115=8,F115,0)))),0)</f>
        <v>0</v>
      </c>
      <c r="K115" s="819">
        <f>ROUND(IF(G115=1,F115/23,IF(G115=3,F115/12,IF(G115=6,F115,IF(G115=7,F115-I115,0)))),0)</f>
        <v>0</v>
      </c>
      <c r="L115" s="820">
        <f>IF(G115=6,F115,0)</f>
        <v>0</v>
      </c>
      <c r="P115" s="768" t="n"/>
      <c r="Q115" s="769" t="str">
        <f>IF($F115="","",IFERROR(VLOOKUP($C115&amp;"|"&amp;$D115,科目表!$A$5:$B$200,2,FALSE),"※未登録"))</f>
        <v/>
      </c>
      <c r="R115" s="769" t="str">
        <f>IF($F115="","",$I115+$J115+$K115)</f>
        <v/>
      </c>
      <c r="S115" s="769" t="str">
        <f>IF(OR($F115="",$P115="支払なし",$H115=0,$Q115=""),"",$Q115&amp;"|S|"&amp;(COUNTIF(S$4:S114,$Q115&amp;"|S|*")+1))</f>
        <v/>
      </c>
      <c r="T115" s="769" t="str">
        <f>IF(OR($F115="",$P115="支払なし",$R115=0,$Q115=""),"",$Q115&amp;"|L|"&amp;(COUNTIF(T$4:T114,$Q115&amp;"|L|*")+1))</f>
        <v/>
      </c>
      <c r="U115" s="769" t="str">
        <f>IF($F115="","",13)</f>
        <v/>
      </c>
    </row>
    <row r="116" ht="16.5" customHeight="1" s="186">
      <c r="A116" s="760" t="n"/>
      <c r="B116" s="760" t="n"/>
      <c r="C116" s="762" t="n"/>
      <c r="D116" s="762" t="n"/>
      <c r="E116" s="775" t="n"/>
      <c r="F116" s="821" t="n"/>
      <c r="G116" s="821" t="n"/>
      <c r="H116" s="818">
        <f>IF(G116=1,F116-I116-J116-K116,IF(G116=2,F116,0))</f>
        <v>0</v>
      </c>
      <c r="I116" s="818">
        <f>ROUND(IF(G116=1,F116*10/23,IF(G116=3,F116-J116-K116,IF(G116=4,F116,IF(G116=5,F116*10/11,IF(G116=7,F116*10/11,0))))),0)</f>
        <v>0</v>
      </c>
      <c r="J116" s="818">
        <f>ROUND(IF(G116=1,F116/23,IF(G116=3,F116/12,IF(G116=5,F116-I116,IF(G116=8,F116,0)))),0)</f>
        <v>0</v>
      </c>
      <c r="K116" s="819">
        <f>ROUND(IF(G116=1,F116/23,IF(G116=3,F116/12,IF(G116=6,F116,IF(G116=7,F116-I116,0)))),0)</f>
        <v>0</v>
      </c>
      <c r="L116" s="820">
        <f>IF(G116=6,F116,0)</f>
        <v>0</v>
      </c>
      <c r="P116" s="768" t="n"/>
      <c r="Q116" s="769" t="str">
        <f>IF($F116="","",IFERROR(VLOOKUP($C116&amp;"|"&amp;$D116,科目表!$A$5:$B$200,2,FALSE),"※未登録"))</f>
        <v/>
      </c>
      <c r="R116" s="769" t="str">
        <f>IF($F116="","",$I116+$J116+$K116)</f>
        <v/>
      </c>
      <c r="S116" s="769" t="str">
        <f>IF(OR($F116="",$P116="支払なし",$H116=0,$Q116=""),"",$Q116&amp;"|S|"&amp;(COUNTIF(S$4:S115,$Q116&amp;"|S|*")+1))</f>
        <v/>
      </c>
      <c r="T116" s="769" t="str">
        <f>IF(OR($F116="",$P116="支払なし",$R116=0,$Q116=""),"",$Q116&amp;"|L|"&amp;(COUNTIF(T$4:T115,$Q116&amp;"|L|*")+1))</f>
        <v/>
      </c>
      <c r="U116" s="769" t="str">
        <f>IF($F116="","",13)</f>
        <v/>
      </c>
    </row>
    <row r="117" ht="16.5" customFormat="1" customHeight="1" s="43">
      <c r="A117" s="760" t="n"/>
      <c r="B117" s="760" t="n"/>
      <c r="C117" s="762" t="n"/>
      <c r="D117" s="762" t="n"/>
      <c r="E117" s="762" t="n"/>
      <c r="F117" s="807" t="n"/>
      <c r="G117" s="807" t="n"/>
      <c r="H117" s="818">
        <f>IF(G117=1,F117-I117-J117-K117,IF(G117=2,F117,0))</f>
        <v>0</v>
      </c>
      <c r="I117" s="818">
        <f>ROUND(IF(G117=1,F117*10/23,IF(G117=3,F117-J117-K117,IF(G117=4,F117,IF(G117=5,F117*10/11,IF(G117=7,F117*10/11,0))))),0)</f>
        <v>0</v>
      </c>
      <c r="J117" s="818">
        <f>ROUND(IF(G117=1,F117/23,IF(G117=3,F117/12,IF(G117=5,F117-I117,IF(G117=8,F117,0)))),0)</f>
        <v>0</v>
      </c>
      <c r="K117" s="819">
        <f>ROUND(IF(G117=1,F117/23,IF(G117=3,F117/12,IF(G117=6,F117,IF(G117=7,F117-I117,0)))),0)</f>
        <v>0</v>
      </c>
      <c r="L117" s="820">
        <f>IF(G117=6,F117,0)</f>
        <v>0</v>
      </c>
      <c r="P117" s="768" t="n"/>
      <c r="Q117" s="769" t="str">
        <f>IF($F117="","",IFERROR(VLOOKUP($C117&amp;"|"&amp;$D117,科目表!$A$5:$B$200,2,FALSE),"※未登録"))</f>
        <v/>
      </c>
      <c r="R117" s="769" t="str">
        <f>IF($F117="","",$I117+$J117+$K117)</f>
        <v/>
      </c>
      <c r="S117" s="769" t="str">
        <f>IF(OR($F117="",$P117="支払なし",$H117=0,$Q117=""),"",$Q117&amp;"|S|"&amp;(COUNTIF(S$4:S116,$Q117&amp;"|S|*")+1))</f>
        <v/>
      </c>
      <c r="T117" s="769" t="str">
        <f>IF(OR($F117="",$P117="支払なし",$R117=0,$Q117=""),"",$Q117&amp;"|L|"&amp;(COUNTIF(T$4:T116,$Q117&amp;"|L|*")+1))</f>
        <v/>
      </c>
      <c r="U117" s="769" t="str">
        <f>IF($F117="","",13)</f>
        <v/>
      </c>
    </row>
    <row r="118" ht="16.5" customFormat="1" customHeight="1" s="43">
      <c r="A118" s="760" t="n"/>
      <c r="B118" s="760" t="n"/>
      <c r="C118" s="762" t="n"/>
      <c r="D118" s="762" t="n"/>
      <c r="E118" s="762" t="n"/>
      <c r="F118" s="807" t="n"/>
      <c r="G118" s="807" t="n"/>
      <c r="H118" s="818">
        <f>IF(G118=1,F118-I118-J118-K118,IF(G118=2,F118,0))</f>
        <v>0</v>
      </c>
      <c r="I118" s="818">
        <f>ROUND(IF(G118=1,F118*10/23,IF(G118=3,F118-J118-K118,IF(G118=4,F118,IF(G118=5,F118*10/11,IF(G118=7,F118*10/11,0))))),0)</f>
        <v>0</v>
      </c>
      <c r="J118" s="818">
        <f>ROUND(IF(G118=1,F118/23,IF(G118=3,F118/12,IF(G118=5,F118-I118,IF(G118=8,F118,0)))),0)</f>
        <v>0</v>
      </c>
      <c r="K118" s="819">
        <f>ROUND(IF(G118=1,F118/23,IF(G118=3,F118/12,IF(G118=6,F118,IF(G118=7,F118-I118,0)))),0)</f>
        <v>0</v>
      </c>
      <c r="L118" s="820">
        <f>IF(G118=6,F118,0)</f>
        <v>0</v>
      </c>
      <c r="P118" s="768" t="n"/>
      <c r="Q118" s="769" t="str">
        <f>IF($F118="","",IFERROR(VLOOKUP($C118&amp;"|"&amp;$D118,科目表!$A$5:$B$200,2,FALSE),"※未登録"))</f>
        <v/>
      </c>
      <c r="R118" s="769" t="str">
        <f>IF($F118="","",$I118+$J118+$K118)</f>
        <v/>
      </c>
      <c r="S118" s="769" t="str">
        <f>IF(OR($F118="",$P118="支払なし",$H118=0,$Q118=""),"",$Q118&amp;"|S|"&amp;(COUNTIF(S$4:S117,$Q118&amp;"|S|*")+1))</f>
        <v/>
      </c>
      <c r="T118" s="769" t="str">
        <f>IF(OR($F118="",$P118="支払なし",$R118=0,$Q118=""),"",$Q118&amp;"|L|"&amp;(COUNTIF(T$4:T117,$Q118&amp;"|L|*")+1))</f>
        <v/>
      </c>
      <c r="U118" s="769" t="str">
        <f>IF($F118="","",13)</f>
        <v/>
      </c>
    </row>
    <row r="119" ht="16.5" customFormat="1" customHeight="1" s="43">
      <c r="A119" s="760" t="n"/>
      <c r="B119" s="760" t="n"/>
      <c r="C119" s="762" t="n"/>
      <c r="D119" s="762" t="n"/>
      <c r="E119" s="762" t="n"/>
      <c r="F119" s="807" t="n"/>
      <c r="G119" s="807" t="n"/>
      <c r="H119" s="818">
        <f>IF(G119=1,F119-I119-J119-K119,IF(G119=2,F119,0))</f>
        <v>0</v>
      </c>
      <c r="I119" s="818">
        <f>ROUND(IF(G119=1,F119*10/23,IF(G119=3,F119-J119-K119,IF(G119=4,F119,IF(G119=5,F119*10/11,IF(G119=7,F119*10/11,0))))),0)</f>
        <v>0</v>
      </c>
      <c r="J119" s="818">
        <f>ROUND(IF(G119=1,F119/23,IF(G119=3,F119/12,IF(G119=5,F119-I119,IF(G119=8,F119,0)))),0)</f>
        <v>0</v>
      </c>
      <c r="K119" s="819">
        <f>ROUND(IF(G119=1,F119/23,IF(G119=3,F119/12,IF(G119=6,F119,IF(G119=7,F119-I119,0)))),0)</f>
        <v>0</v>
      </c>
      <c r="L119" s="820">
        <f>IF(G119=6,F119,0)</f>
        <v>0</v>
      </c>
      <c r="P119" s="768" t="n"/>
      <c r="Q119" s="769" t="str">
        <f>IF($F119="","",IFERROR(VLOOKUP($C119&amp;"|"&amp;$D119,科目表!$A$5:$B$200,2,FALSE),"※未登録"))</f>
        <v/>
      </c>
      <c r="R119" s="769" t="str">
        <f>IF($F119="","",$I119+$J119+$K119)</f>
        <v/>
      </c>
      <c r="S119" s="769" t="str">
        <f>IF(OR($F119="",$P119="支払なし",$H119=0,$Q119=""),"",$Q119&amp;"|S|"&amp;(COUNTIF(S$4:S118,$Q119&amp;"|S|*")+1))</f>
        <v/>
      </c>
      <c r="T119" s="769" t="str">
        <f>IF(OR($F119="",$P119="支払なし",$R119=0,$Q119=""),"",$Q119&amp;"|L|"&amp;(COUNTIF(T$4:T118,$Q119&amp;"|L|*")+1))</f>
        <v/>
      </c>
      <c r="U119" s="769" t="str">
        <f>IF($F119="","",13)</f>
        <v/>
      </c>
    </row>
    <row r="120" ht="16.5" customHeight="1" s="186">
      <c r="A120" s="760" t="n"/>
      <c r="B120" s="760" t="n"/>
      <c r="C120" s="762" t="n"/>
      <c r="D120" s="762" t="n"/>
      <c r="E120" s="775" t="n"/>
      <c r="F120" s="821" t="n"/>
      <c r="G120" s="821" t="n"/>
      <c r="H120" s="818">
        <f>IF(G120=1,F120-I120-J120-K120,IF(G120=2,F120,0))</f>
        <v>0</v>
      </c>
      <c r="I120" s="818">
        <f>ROUND(IF(G120=1,F120*10/23,IF(G120=3,F120-J120-K120,IF(G120=4,F120,IF(G120=5,F120*10/11,IF(G120=7,F120*10/11,0))))),0)</f>
        <v>0</v>
      </c>
      <c r="J120" s="818">
        <f>ROUND(IF(G120=1,F120/23,IF(G120=3,F120/12,IF(G120=5,F120-I120,IF(G120=8,F120,0)))),0)</f>
        <v>0</v>
      </c>
      <c r="K120" s="819">
        <f>ROUND(IF(G120=1,F120/23,IF(G120=3,F120/12,IF(G120=6,F120,IF(G120=7,F120-I120,0)))),0)</f>
        <v>0</v>
      </c>
      <c r="L120" s="820">
        <f>IF(G120=6,F120,0)</f>
        <v>0</v>
      </c>
      <c r="P120" s="768" t="n"/>
      <c r="Q120" s="769" t="str">
        <f>IF($F120="","",IFERROR(VLOOKUP($C120&amp;"|"&amp;$D120,科目表!$A$5:$B$200,2,FALSE),"※未登録"))</f>
        <v/>
      </c>
      <c r="R120" s="769" t="str">
        <f>IF($F120="","",$I120+$J120+$K120)</f>
        <v/>
      </c>
      <c r="S120" s="769" t="str">
        <f>IF(OR($F120="",$P120="支払なし",$H120=0,$Q120=""),"",$Q120&amp;"|S|"&amp;(COUNTIF(S$4:S119,$Q120&amp;"|S|*")+1))</f>
        <v/>
      </c>
      <c r="T120" s="769" t="str">
        <f>IF(OR($F120="",$P120="支払なし",$R120=0,$Q120=""),"",$Q120&amp;"|L|"&amp;(COUNTIF(T$4:T119,$Q120&amp;"|L|*")+1))</f>
        <v/>
      </c>
      <c r="U120" s="769" t="str">
        <f>IF($F120="","",13)</f>
        <v/>
      </c>
    </row>
    <row r="121" ht="16.5" customHeight="1" s="186">
      <c r="A121" s="760" t="n"/>
      <c r="B121" s="760" t="n"/>
      <c r="C121" s="762" t="n"/>
      <c r="D121" s="762" t="n"/>
      <c r="E121" s="762" t="n"/>
      <c r="F121" s="821" t="n"/>
      <c r="G121" s="821" t="n"/>
      <c r="H121" s="818">
        <f>IF(G121=1,F121-I121-J121-K121,IF(G121=2,F121,0))</f>
        <v>0</v>
      </c>
      <c r="I121" s="818">
        <f>ROUND(IF(G121=1,F121*10/23,IF(G121=3,F121-J121-K121,IF(G121=4,F121,IF(G121=5,F121*10/11,IF(G121=7,F121*10/11,0))))),0)</f>
        <v>0</v>
      </c>
      <c r="J121" s="818">
        <f>ROUND(IF(G121=1,F121/23,IF(G121=3,F121/12,IF(G121=5,F121-I121,IF(G121=8,F121,0)))),0)</f>
        <v>0</v>
      </c>
      <c r="K121" s="819">
        <f>ROUND(IF(G121=1,F121/23,IF(G121=3,F121/12,IF(G121=6,F121,IF(G121=7,F121-I121,0)))),0)</f>
        <v>0</v>
      </c>
      <c r="L121" s="820">
        <f>IF(G121=6,F121,0)</f>
        <v>0</v>
      </c>
      <c r="P121" s="768" t="n"/>
      <c r="Q121" s="769" t="str">
        <f>IF($F121="","",IFERROR(VLOOKUP($C121&amp;"|"&amp;$D121,科目表!$A$5:$B$200,2,FALSE),"※未登録"))</f>
        <v/>
      </c>
      <c r="R121" s="769" t="str">
        <f>IF($F121="","",$I121+$J121+$K121)</f>
        <v/>
      </c>
      <c r="S121" s="769" t="str">
        <f>IF(OR($F121="",$P121="支払なし",$H121=0,$Q121=""),"",$Q121&amp;"|S|"&amp;(COUNTIF(S$4:S120,$Q121&amp;"|S|*")+1))</f>
        <v/>
      </c>
      <c r="T121" s="769" t="str">
        <f>IF(OR($F121="",$P121="支払なし",$R121=0,$Q121=""),"",$Q121&amp;"|L|"&amp;(COUNTIF(T$4:T120,$Q121&amp;"|L|*")+1))</f>
        <v/>
      </c>
      <c r="U121" s="769" t="str">
        <f>IF($F121="","",13)</f>
        <v/>
      </c>
    </row>
    <row r="122" ht="16.5" customHeight="1" s="186">
      <c r="A122" s="760" t="n"/>
      <c r="B122" s="760" t="n"/>
      <c r="C122" s="762" t="n"/>
      <c r="D122" s="762" t="n"/>
      <c r="E122" s="762" t="n"/>
      <c r="F122" s="821" t="n"/>
      <c r="G122" s="821" t="n"/>
      <c r="H122" s="818">
        <f>IF(G122=1,F122-I122-J122-K122,IF(G122=2,F122,0))</f>
        <v>0</v>
      </c>
      <c r="I122" s="818">
        <f>ROUND(IF(G122=1,F122*10/23,IF(G122=3,F122-J122-K122,IF(G122=4,F122,IF(G122=5,F122*10/11,IF(G122=7,F122*10/11,0))))),0)</f>
        <v>0</v>
      </c>
      <c r="J122" s="818">
        <f>ROUND(IF(G122=1,F122/23,IF(G122=3,F122/12,IF(G122=5,F122-I122,IF(G122=8,F122,0)))),0)</f>
        <v>0</v>
      </c>
      <c r="K122" s="819">
        <f>ROUND(IF(G122=1,F122/23,IF(G122=3,F122/12,IF(G122=6,F122,IF(G122=7,F122-I122,0)))),0)</f>
        <v>0</v>
      </c>
      <c r="L122" s="820">
        <f>IF(G122=6,F122,0)</f>
        <v>0</v>
      </c>
      <c r="P122" s="768" t="n"/>
      <c r="Q122" s="769" t="str">
        <f>IF($F122="","",IFERROR(VLOOKUP($C122&amp;"|"&amp;$D122,科目表!$A$5:$B$200,2,FALSE),"※未登録"))</f>
        <v/>
      </c>
      <c r="R122" s="769" t="str">
        <f>IF($F122="","",$I122+$J122+$K122)</f>
        <v/>
      </c>
      <c r="S122" s="769" t="str">
        <f>IF(OR($F122="",$P122="支払なし",$H122=0,$Q122=""),"",$Q122&amp;"|S|"&amp;(COUNTIF(S$4:S121,$Q122&amp;"|S|*")+1))</f>
        <v/>
      </c>
      <c r="T122" s="769" t="str">
        <f>IF(OR($F122="",$P122="支払なし",$R122=0,$Q122=""),"",$Q122&amp;"|L|"&amp;(COUNTIF(T$4:T121,$Q122&amp;"|L|*")+1))</f>
        <v/>
      </c>
      <c r="U122" s="769" t="str">
        <f>IF($F122="","",13)</f>
        <v/>
      </c>
    </row>
    <row r="123" ht="16.5" customHeight="1" s="186">
      <c r="A123" s="760" t="n"/>
      <c r="B123" s="760" t="n"/>
      <c r="C123" s="762" t="n"/>
      <c r="D123" s="762" t="n"/>
      <c r="E123" s="775" t="n"/>
      <c r="F123" s="821" t="n"/>
      <c r="G123" s="821" t="n"/>
      <c r="H123" s="818">
        <f>IF(G123=1,F123-I123-J123-K123,IF(G123=2,F123,0))</f>
        <v>0</v>
      </c>
      <c r="I123" s="818">
        <f>ROUND(IF(G123=1,F123*10/23,IF(G123=3,F123-J123-K123,IF(G123=4,F123,IF(G123=5,F123*10/11,IF(G123=7,F123*10/11,0))))),0)</f>
        <v>0</v>
      </c>
      <c r="J123" s="818">
        <f>ROUND(IF(G123=1,F123/23,IF(G123=3,F123/12,IF(G123=5,F123-I123,IF(G123=8,F123,0)))),0)</f>
        <v>0</v>
      </c>
      <c r="K123" s="819">
        <f>ROUND(IF(G123=1,F123/23,IF(G123=3,F123/12,IF(G123=6,F123,IF(G123=7,F123-I123,0)))),0)</f>
        <v>0</v>
      </c>
      <c r="L123" s="820">
        <f>IF(G123=6,F123,0)</f>
        <v>0</v>
      </c>
      <c r="P123" s="768" t="n"/>
      <c r="Q123" s="769" t="str">
        <f>IF($F123="","",IFERROR(VLOOKUP($C123&amp;"|"&amp;$D123,科目表!$A$5:$B$200,2,FALSE),"※未登録"))</f>
        <v/>
      </c>
      <c r="R123" s="769" t="str">
        <f>IF($F123="","",$I123+$J123+$K123)</f>
        <v/>
      </c>
      <c r="S123" s="769" t="str">
        <f>IF(OR($F123="",$P123="支払なし",$H123=0,$Q123=""),"",$Q123&amp;"|S|"&amp;(COUNTIF(S$4:S122,$Q123&amp;"|S|*")+1))</f>
        <v/>
      </c>
      <c r="T123" s="769" t="str">
        <f>IF(OR($F123="",$P123="支払なし",$R123=0,$Q123=""),"",$Q123&amp;"|L|"&amp;(COUNTIF(T$4:T122,$Q123&amp;"|L|*")+1))</f>
        <v/>
      </c>
      <c r="U123" s="769" t="str">
        <f>IF($F123="","",13)</f>
        <v/>
      </c>
    </row>
    <row r="124" ht="16.5" customFormat="1" customHeight="1" s="43">
      <c r="A124" s="760" t="n"/>
      <c r="B124" s="760" t="n"/>
      <c r="C124" s="762" t="n"/>
      <c r="D124" s="762" t="n"/>
      <c r="E124" s="762" t="n"/>
      <c r="F124" s="807" t="n"/>
      <c r="G124" s="807" t="n"/>
      <c r="H124" s="818">
        <f>IF(G124=1,F124-I124-J124-K124,IF(G124=2,F124,0))</f>
        <v>0</v>
      </c>
      <c r="I124" s="818">
        <f>ROUND(IF(G124=1,F124*10/23,IF(G124=3,F124-J124-K124,IF(G124=4,F124,IF(G124=5,F124*10/11,IF(G124=7,F124*10/11,0))))),0)</f>
        <v>0</v>
      </c>
      <c r="J124" s="818">
        <f>ROUND(IF(G124=1,F124/23,IF(G124=3,F124/12,IF(G124=5,F124-I124,IF(G124=8,F124,0)))),0)</f>
        <v>0</v>
      </c>
      <c r="K124" s="819">
        <f>ROUND(IF(G124=1,F124/23,IF(G124=3,F124/12,IF(G124=6,F124,IF(G124=7,F124-I124,0)))),0)</f>
        <v>0</v>
      </c>
      <c r="L124" s="820">
        <f>IF(G124=6,F124,0)</f>
        <v>0</v>
      </c>
      <c r="P124" s="768" t="n"/>
      <c r="Q124" s="769" t="str">
        <f>IF($F124="","",IFERROR(VLOOKUP($C124&amp;"|"&amp;$D124,科目表!$A$5:$B$200,2,FALSE),"※未登録"))</f>
        <v/>
      </c>
      <c r="R124" s="769" t="str">
        <f>IF($F124="","",$I124+$J124+$K124)</f>
        <v/>
      </c>
      <c r="S124" s="769" t="str">
        <f>IF(OR($F124="",$P124="支払なし",$H124=0,$Q124=""),"",$Q124&amp;"|S|"&amp;(COUNTIF(S$4:S123,$Q124&amp;"|S|*")+1))</f>
        <v/>
      </c>
      <c r="T124" s="769" t="str">
        <f>IF(OR($F124="",$P124="支払なし",$R124=0,$Q124=""),"",$Q124&amp;"|L|"&amp;(COUNTIF(T$4:T123,$Q124&amp;"|L|*")+1))</f>
        <v/>
      </c>
      <c r="U124" s="769" t="str">
        <f>IF($F124="","",13)</f>
        <v/>
      </c>
    </row>
    <row r="125" ht="16.5" customHeight="1" s="186">
      <c r="A125" s="760" t="n"/>
      <c r="B125" s="760" t="n"/>
      <c r="C125" s="762" t="n"/>
      <c r="D125" s="762" t="n"/>
      <c r="E125" s="775" t="n"/>
      <c r="F125" s="821" t="n"/>
      <c r="G125" s="821" t="n"/>
      <c r="H125" s="818">
        <f>IF(G125=1,F125-I125-J125-K125,IF(G125=2,F125,0))</f>
        <v>0</v>
      </c>
      <c r="I125" s="818">
        <f>ROUND(IF(G125=1,F125*10/23,IF(G125=3,F125-J125-K125,IF(G125=4,F125,IF(G125=5,F125*10/11,IF(G125=7,F125*10/11,0))))),0)</f>
        <v>0</v>
      </c>
      <c r="J125" s="818">
        <f>ROUND(IF(G125=1,F125/23,IF(G125=3,F125/12,IF(G125=5,F125-I125,IF(G125=8,F125,0)))),0)</f>
        <v>0</v>
      </c>
      <c r="K125" s="819">
        <f>ROUND(IF(G125=1,F125/23,IF(G125=3,F125/12,IF(G125=6,F125,IF(G125=7,F125-I125,0)))),0)</f>
        <v>0</v>
      </c>
      <c r="L125" s="820">
        <f>IF(G125=6,F125,0)</f>
        <v>0</v>
      </c>
      <c r="P125" s="768" t="n"/>
      <c r="Q125" s="769" t="str">
        <f>IF($F125="","",IFERROR(VLOOKUP($C125&amp;"|"&amp;$D125,科目表!$A$5:$B$200,2,FALSE),"※未登録"))</f>
        <v/>
      </c>
      <c r="R125" s="769" t="str">
        <f>IF($F125="","",$I125+$J125+$K125)</f>
        <v/>
      </c>
      <c r="S125" s="769" t="str">
        <f>IF(OR($F125="",$P125="支払なし",$H125=0,$Q125=""),"",$Q125&amp;"|S|"&amp;(COUNTIF(S$4:S124,$Q125&amp;"|S|*")+1))</f>
        <v/>
      </c>
      <c r="T125" s="769" t="str">
        <f>IF(OR($F125="",$P125="支払なし",$R125=0,$Q125=""),"",$Q125&amp;"|L|"&amp;(COUNTIF(T$4:T124,$Q125&amp;"|L|*")+1))</f>
        <v/>
      </c>
      <c r="U125" s="769" t="str">
        <f>IF($F125="","",13)</f>
        <v/>
      </c>
    </row>
    <row r="126" ht="16.5" customHeight="1" s="186">
      <c r="A126" s="760" t="n"/>
      <c r="B126" s="760" t="n"/>
      <c r="C126" s="762" t="n"/>
      <c r="D126" s="762" t="n"/>
      <c r="E126" s="762" t="n"/>
      <c r="F126" s="821" t="n"/>
      <c r="G126" s="821" t="n"/>
      <c r="H126" s="818">
        <f>IF(G126=1,F126-I126-J126-K126,IF(G126=2,F126,0))</f>
        <v>0</v>
      </c>
      <c r="I126" s="818">
        <f>ROUND(IF(G126=1,F126*10/23,IF(G126=3,F126-J126-K126,IF(G126=4,F126,IF(G126=5,F126*10/11,IF(G126=7,F126*10/11,0))))),0)</f>
        <v>0</v>
      </c>
      <c r="J126" s="818">
        <f>ROUND(IF(G126=1,F126/23,IF(G126=3,F126/12,IF(G126=5,F126-I126,IF(G126=8,F126,0)))),0)</f>
        <v>0</v>
      </c>
      <c r="K126" s="819">
        <f>ROUND(IF(G126=1,F126/23,IF(G126=3,F126/12,IF(G126=6,F126,IF(G126=7,F126-I126,0)))),0)</f>
        <v>0</v>
      </c>
      <c r="L126" s="820">
        <f>IF(G126=6,F126,0)</f>
        <v>0</v>
      </c>
      <c r="P126" s="768" t="n"/>
      <c r="Q126" s="769" t="str">
        <f>IF($F126="","",IFERROR(VLOOKUP($C126&amp;"|"&amp;$D126,科目表!$A$5:$B$200,2,FALSE),"※未登録"))</f>
        <v/>
      </c>
      <c r="R126" s="769" t="str">
        <f>IF($F126="","",$I126+$J126+$K126)</f>
        <v/>
      </c>
      <c r="S126" s="769" t="str">
        <f>IF(OR($F126="",$P126="支払なし",$H126=0,$Q126=""),"",$Q126&amp;"|S|"&amp;(COUNTIF(S$4:S125,$Q126&amp;"|S|*")+1))</f>
        <v/>
      </c>
      <c r="T126" s="769" t="str">
        <f>IF(OR($F126="",$P126="支払なし",$R126=0,$Q126=""),"",$Q126&amp;"|L|"&amp;(COUNTIF(T$4:T125,$Q126&amp;"|L|*")+1))</f>
        <v/>
      </c>
      <c r="U126" s="769" t="str">
        <f>IF($F126="","",13)</f>
        <v/>
      </c>
    </row>
    <row r="127" ht="16.5" customHeight="1" s="186">
      <c r="A127" s="760" t="n"/>
      <c r="B127" s="760" t="n"/>
      <c r="C127" s="762" t="n"/>
      <c r="D127" s="762" t="n"/>
      <c r="E127" s="775" t="n"/>
      <c r="F127" s="821" t="n"/>
      <c r="G127" s="821" t="n"/>
      <c r="H127" s="818">
        <f>IF(G127=1,F127-I127-J127-K127,IF(G127=2,F127,0))</f>
        <v>0</v>
      </c>
      <c r="I127" s="818">
        <f>ROUND(IF(G127=1,F127*10/23,IF(G127=3,F127-J127-K127,IF(G127=4,F127,IF(G127=5,F127*10/11,IF(G127=7,F127*10/11,0))))),0)</f>
        <v>0</v>
      </c>
      <c r="J127" s="818">
        <f>ROUND(IF(G127=1,F127/23,IF(G127=3,F127/12,IF(G127=5,F127-I127,IF(G127=8,F127,0)))),0)</f>
        <v>0</v>
      </c>
      <c r="K127" s="819">
        <f>ROUND(IF(G127=1,F127/23,IF(G127=3,F127/12,IF(G127=6,F127,IF(G127=7,F127-I127,0)))),0)</f>
        <v>0</v>
      </c>
      <c r="L127" s="820">
        <f>IF(G127=6,F127,0)</f>
        <v>0</v>
      </c>
      <c r="P127" s="768" t="n"/>
      <c r="Q127" s="769" t="str">
        <f>IF($F127="","",IFERROR(VLOOKUP($C127&amp;"|"&amp;$D127,科目表!$A$5:$B$200,2,FALSE),"※未登録"))</f>
        <v/>
      </c>
      <c r="R127" s="769" t="str">
        <f>IF($F127="","",$I127+$J127+$K127)</f>
        <v/>
      </c>
      <c r="S127" s="769" t="str">
        <f>IF(OR($F127="",$P127="支払なし",$H127=0,$Q127=""),"",$Q127&amp;"|S|"&amp;(COUNTIF(S$4:S126,$Q127&amp;"|S|*")+1))</f>
        <v/>
      </c>
      <c r="T127" s="769" t="str">
        <f>IF(OR($F127="",$P127="支払なし",$R127=0,$Q127=""),"",$Q127&amp;"|L|"&amp;(COUNTIF(T$4:T126,$Q127&amp;"|L|*")+1))</f>
        <v/>
      </c>
      <c r="U127" s="769" t="str">
        <f>IF($F127="","",13)</f>
        <v/>
      </c>
    </row>
    <row r="128" ht="16.5" customHeight="1" s="186">
      <c r="A128" s="760" t="n"/>
      <c r="B128" s="760" t="n"/>
      <c r="C128" s="762" t="n"/>
      <c r="D128" s="762" t="n"/>
      <c r="E128" s="775" t="n"/>
      <c r="F128" s="821" t="n"/>
      <c r="G128" s="821" t="n"/>
      <c r="H128" s="818">
        <f>IF(G128=1,F128-I128-J128-K128,IF(G128=2,F128,0))</f>
        <v>0</v>
      </c>
      <c r="I128" s="818">
        <f>ROUND(IF(G128=1,F128*10/23,IF(G128=3,F128-J128-K128,IF(G128=4,F128,IF(G128=5,F128*10/11,IF(G128=7,F128*10/11,0))))),0)</f>
        <v>0</v>
      </c>
      <c r="J128" s="818">
        <f>ROUND(IF(G128=1,F128/23,IF(G128=3,F128/12,IF(G128=5,F128-I128,IF(G128=8,F128,0)))),0)</f>
        <v>0</v>
      </c>
      <c r="K128" s="819">
        <f>ROUND(IF(G128=1,F128/23,IF(G128=3,F128/12,IF(G128=6,F128,IF(G128=7,F128-I128,0)))),0)</f>
        <v>0</v>
      </c>
      <c r="L128" s="820">
        <f>IF(G128=6,F128,0)</f>
        <v>0</v>
      </c>
      <c r="P128" s="768" t="n"/>
      <c r="Q128" s="769" t="str">
        <f>IF($F128="","",IFERROR(VLOOKUP($C128&amp;"|"&amp;$D128,科目表!$A$5:$B$200,2,FALSE),"※未登録"))</f>
        <v/>
      </c>
      <c r="R128" s="769" t="str">
        <f>IF($F128="","",$I128+$J128+$K128)</f>
        <v/>
      </c>
      <c r="S128" s="769" t="str">
        <f>IF(OR($F128="",$P128="支払なし",$H128=0,$Q128=""),"",$Q128&amp;"|S|"&amp;(COUNTIF(S$4:S127,$Q128&amp;"|S|*")+1))</f>
        <v/>
      </c>
      <c r="T128" s="769" t="str">
        <f>IF(OR($F128="",$P128="支払なし",$R128=0,$Q128=""),"",$Q128&amp;"|L|"&amp;(COUNTIF(T$4:T127,$Q128&amp;"|L|*")+1))</f>
        <v/>
      </c>
      <c r="U128" s="769" t="str">
        <f>IF($F128="","",13)</f>
        <v/>
      </c>
    </row>
    <row r="129" ht="16.5" customFormat="1" customHeight="1" s="43">
      <c r="A129" s="760" t="n"/>
      <c r="B129" s="760" t="n"/>
      <c r="C129" s="762" t="n"/>
      <c r="D129" s="762" t="n"/>
      <c r="E129" s="762" t="n"/>
      <c r="F129" s="807" t="n"/>
      <c r="G129" s="807" t="n"/>
      <c r="H129" s="818">
        <f>IF(G129=1,F129-I129-J129-K129,IF(G129=2,F129,0))</f>
        <v>0</v>
      </c>
      <c r="I129" s="818">
        <f>ROUND(IF(G129=1,F129*10/23,IF(G129=3,F129-J129-K129,IF(G129=4,F129,IF(G129=5,F129*10/11,IF(G129=7,F129*10/11,0))))),0)</f>
        <v>0</v>
      </c>
      <c r="J129" s="818">
        <f>ROUND(IF(G129=1,F129/23,IF(G129=3,F129/12,IF(G129=5,F129-I129,IF(G129=8,F129,0)))),0)</f>
        <v>0</v>
      </c>
      <c r="K129" s="819">
        <f>ROUND(IF(G129=1,F129/23,IF(G129=3,F129/12,IF(G129=6,F129,IF(G129=7,F129-I129,0)))),0)</f>
        <v>0</v>
      </c>
      <c r="L129" s="820">
        <f>IF(G129=6,F129,0)</f>
        <v>0</v>
      </c>
      <c r="P129" s="768" t="n"/>
      <c r="Q129" s="769" t="str">
        <f>IF($F129="","",IFERROR(VLOOKUP($C129&amp;"|"&amp;$D129,科目表!$A$5:$B$200,2,FALSE),"※未登録"))</f>
        <v/>
      </c>
      <c r="R129" s="769" t="str">
        <f>IF($F129="","",$I129+$J129+$K129)</f>
        <v/>
      </c>
      <c r="S129" s="769" t="str">
        <f>IF(OR($F129="",$P129="支払なし",$H129=0,$Q129=""),"",$Q129&amp;"|S|"&amp;(COUNTIF(S$4:S128,$Q129&amp;"|S|*")+1))</f>
        <v/>
      </c>
      <c r="T129" s="769" t="str">
        <f>IF(OR($F129="",$P129="支払なし",$R129=0,$Q129=""),"",$Q129&amp;"|L|"&amp;(COUNTIF(T$4:T128,$Q129&amp;"|L|*")+1))</f>
        <v/>
      </c>
      <c r="U129" s="769" t="str">
        <f>IF($F129="","",13)</f>
        <v/>
      </c>
    </row>
    <row r="130" ht="16.5" customFormat="1" customHeight="1" s="43">
      <c r="A130" s="760" t="n"/>
      <c r="B130" s="760" t="n"/>
      <c r="C130" s="762" t="n"/>
      <c r="D130" s="762" t="n"/>
      <c r="E130" s="762" t="n"/>
      <c r="F130" s="807" t="n"/>
      <c r="G130" s="807" t="n"/>
      <c r="H130" s="818">
        <f>IF(G130=1,F130-I130-J130-K130,IF(G130=2,F130,0))</f>
        <v>0</v>
      </c>
      <c r="I130" s="818">
        <f>ROUND(IF(G130=1,F130*10/23,IF(G130=3,F130-J130-K130,IF(G130=4,F130,IF(G130=5,F130*10/11,IF(G130=7,F130*10/11,0))))),0)</f>
        <v>0</v>
      </c>
      <c r="J130" s="818">
        <f>ROUND(IF(G130=1,F130/23,IF(G130=3,F130/12,IF(G130=5,F130-I130,IF(G130=8,F130,0)))),0)</f>
        <v>0</v>
      </c>
      <c r="K130" s="819">
        <f>ROUND(IF(G130=1,F130/23,IF(G130=3,F130/12,IF(G130=6,F130,IF(G130=7,F130-I130,0)))),0)</f>
        <v>0</v>
      </c>
      <c r="L130" s="820">
        <f>IF(G130=6,F130,0)</f>
        <v>0</v>
      </c>
      <c r="P130" s="768" t="n"/>
      <c r="Q130" s="769" t="str">
        <f>IF($F130="","",IFERROR(VLOOKUP($C130&amp;"|"&amp;$D130,科目表!$A$5:$B$200,2,FALSE),"※未登録"))</f>
        <v/>
      </c>
      <c r="R130" s="769" t="str">
        <f>IF($F130="","",$I130+$J130+$K130)</f>
        <v/>
      </c>
      <c r="S130" s="769" t="str">
        <f>IF(OR($F130="",$P130="支払なし",$H130=0,$Q130=""),"",$Q130&amp;"|S|"&amp;(COUNTIF(S$4:S129,$Q130&amp;"|S|*")+1))</f>
        <v/>
      </c>
      <c r="T130" s="769" t="str">
        <f>IF(OR($F130="",$P130="支払なし",$R130=0,$Q130=""),"",$Q130&amp;"|L|"&amp;(COUNTIF(T$4:T129,$Q130&amp;"|L|*")+1))</f>
        <v/>
      </c>
      <c r="U130" s="769" t="str">
        <f>IF($F130="","",13)</f>
        <v/>
      </c>
    </row>
    <row r="131" ht="16.5" customFormat="1" customHeight="1" s="43">
      <c r="A131" s="760" t="n"/>
      <c r="B131" s="760" t="n"/>
      <c r="C131" s="762" t="n"/>
      <c r="D131" s="762" t="n"/>
      <c r="E131" s="762" t="n"/>
      <c r="F131" s="807" t="n"/>
      <c r="G131" s="807" t="n"/>
      <c r="H131" s="818">
        <f>IF(G131=1,F131-I131-J131-K131,IF(G131=2,F131,0))</f>
        <v>0</v>
      </c>
      <c r="I131" s="818">
        <f>ROUND(IF(G131=1,F131*10/23,IF(G131=3,F131-J131-K131,IF(G131=4,F131,IF(G131=5,F131*10/11,IF(G131=7,F131*10/11,0))))),0)</f>
        <v>0</v>
      </c>
      <c r="J131" s="818">
        <f>ROUND(IF(G131=1,F131/23,IF(G131=3,F131/12,IF(G131=5,F131-I131,IF(G131=8,F131,0)))),0)</f>
        <v>0</v>
      </c>
      <c r="K131" s="819">
        <f>ROUND(IF(G131=1,F131/23,IF(G131=3,F131/12,IF(G131=6,F131,IF(G131=7,F131-I131,0)))),0)</f>
        <v>0</v>
      </c>
      <c r="L131" s="820">
        <f>IF(G131=6,F131,0)</f>
        <v>0</v>
      </c>
      <c r="P131" s="768" t="n"/>
      <c r="Q131" s="769" t="str">
        <f>IF($F131="","",IFERROR(VLOOKUP($C131&amp;"|"&amp;$D131,科目表!$A$5:$B$200,2,FALSE),"※未登録"))</f>
        <v/>
      </c>
      <c r="R131" s="769" t="str">
        <f>IF($F131="","",$I131+$J131+$K131)</f>
        <v/>
      </c>
      <c r="S131" s="769" t="str">
        <f>IF(OR($F131="",$P131="支払なし",$H131=0,$Q131=""),"",$Q131&amp;"|S|"&amp;(COUNTIF(S$4:S130,$Q131&amp;"|S|*")+1))</f>
        <v/>
      </c>
      <c r="T131" s="769" t="str">
        <f>IF(OR($F131="",$P131="支払なし",$R131=0,$Q131=""),"",$Q131&amp;"|L|"&amp;(COUNTIF(T$4:T130,$Q131&amp;"|L|*")+1))</f>
        <v/>
      </c>
      <c r="U131" s="769" t="str">
        <f>IF($F131="","",13)</f>
        <v/>
      </c>
    </row>
    <row r="132" ht="16.5" customHeight="1" s="186">
      <c r="A132" s="760" t="n"/>
      <c r="B132" s="760" t="n"/>
      <c r="C132" s="762" t="n"/>
      <c r="D132" s="762" t="n"/>
      <c r="E132" s="775" t="n"/>
      <c r="F132" s="821" t="n"/>
      <c r="G132" s="821" t="n"/>
      <c r="H132" s="818">
        <f>IF(G132=1,F132-I132-J132-K132,IF(G132=2,F132,0))</f>
        <v>0</v>
      </c>
      <c r="I132" s="818">
        <f>ROUND(IF(G132=1,F132*10/23,IF(G132=3,F132-J132-K132,IF(G132=4,F132,IF(G132=5,F132*10/11,IF(G132=7,F132*10/11,0))))),0)</f>
        <v>0</v>
      </c>
      <c r="J132" s="818">
        <f>ROUND(IF(G132=1,F132/23,IF(G132=3,F132/12,IF(G132=5,F132-I132,IF(G132=8,F132,0)))),0)</f>
        <v>0</v>
      </c>
      <c r="K132" s="819">
        <f>ROUND(IF(G132=1,F132/23,IF(G132=3,F132/12,IF(G132=6,F132,IF(G132=7,F132-I132,0)))),0)</f>
        <v>0</v>
      </c>
      <c r="L132" s="820">
        <f>IF(G132=6,F132,0)</f>
        <v>0</v>
      </c>
      <c r="P132" s="768" t="n"/>
      <c r="Q132" s="769" t="str">
        <f>IF($F132="","",IFERROR(VLOOKUP($C132&amp;"|"&amp;$D132,科目表!$A$5:$B$200,2,FALSE),"※未登録"))</f>
        <v/>
      </c>
      <c r="R132" s="769" t="str">
        <f>IF($F132="","",$I132+$J132+$K132)</f>
        <v/>
      </c>
      <c r="S132" s="769" t="str">
        <f>IF(OR($F132="",$P132="支払なし",$H132=0,$Q132=""),"",$Q132&amp;"|S|"&amp;(COUNTIF(S$4:S131,$Q132&amp;"|S|*")+1))</f>
        <v/>
      </c>
      <c r="T132" s="769" t="str">
        <f>IF(OR($F132="",$P132="支払なし",$R132=0,$Q132=""),"",$Q132&amp;"|L|"&amp;(COUNTIF(T$4:T131,$Q132&amp;"|L|*")+1))</f>
        <v/>
      </c>
      <c r="U132" s="769" t="str">
        <f>IF($F132="","",13)</f>
        <v/>
      </c>
    </row>
    <row r="133" ht="16.5" customHeight="1" s="186">
      <c r="A133" s="760" t="n"/>
      <c r="B133" s="760" t="n"/>
      <c r="C133" s="762" t="n"/>
      <c r="D133" s="762" t="n"/>
      <c r="E133" s="762" t="n"/>
      <c r="F133" s="821" t="n"/>
      <c r="G133" s="821" t="n"/>
      <c r="H133" s="818">
        <f>IF(G133=1,F133-I133-J133-K133,IF(G133=2,F133,0))</f>
        <v>0</v>
      </c>
      <c r="I133" s="818">
        <f>ROUND(IF(G133=1,F133*10/23,IF(G133=3,F133-J133-K133,IF(G133=4,F133,IF(G133=5,F133*10/11,IF(G133=7,F133*10/11,0))))),0)</f>
        <v>0</v>
      </c>
      <c r="J133" s="818">
        <f>ROUND(IF(G133=1,F133/23,IF(G133=3,F133/12,IF(G133=5,F133-I133,IF(G133=8,F133,0)))),0)</f>
        <v>0</v>
      </c>
      <c r="K133" s="819">
        <f>ROUND(IF(G133=1,F133/23,IF(G133=3,F133/12,IF(G133=6,F133,IF(G133=7,F133-I133,0)))),0)</f>
        <v>0</v>
      </c>
      <c r="L133" s="820">
        <f>IF(G133=6,F133,0)</f>
        <v>0</v>
      </c>
      <c r="P133" s="768" t="n"/>
      <c r="Q133" s="769" t="str">
        <f>IF($F133="","",IFERROR(VLOOKUP($C133&amp;"|"&amp;$D133,科目表!$A$5:$B$200,2,FALSE),"※未登録"))</f>
        <v/>
      </c>
      <c r="R133" s="769" t="str">
        <f>IF($F133="","",$I133+$J133+$K133)</f>
        <v/>
      </c>
      <c r="S133" s="769" t="str">
        <f>IF(OR($F133="",$P133="支払なし",$H133=0,$Q133=""),"",$Q133&amp;"|S|"&amp;(COUNTIF(S$4:S132,$Q133&amp;"|S|*")+1))</f>
        <v/>
      </c>
      <c r="T133" s="769" t="str">
        <f>IF(OR($F133="",$P133="支払なし",$R133=0,$Q133=""),"",$Q133&amp;"|L|"&amp;(COUNTIF(T$4:T132,$Q133&amp;"|L|*")+1))</f>
        <v/>
      </c>
      <c r="U133" s="769" t="str">
        <f>IF($F133="","",13)</f>
        <v/>
      </c>
    </row>
    <row r="134" ht="16.5" customHeight="1" s="186">
      <c r="A134" s="760" t="n"/>
      <c r="B134" s="760" t="n"/>
      <c r="C134" s="762" t="n"/>
      <c r="D134" s="762" t="n"/>
      <c r="E134" s="775" t="n"/>
      <c r="F134" s="821" t="n"/>
      <c r="G134" s="821" t="n"/>
      <c r="H134" s="818">
        <f>IF(G134=1,F134-I134-J134-K134,IF(G134=2,F134,0))</f>
        <v>0</v>
      </c>
      <c r="I134" s="818">
        <f>ROUND(IF(G134=1,F134*10/23,IF(G134=3,F134-J134-K134,IF(G134=4,F134,IF(G134=5,F134*10/11,IF(G134=7,F134*10/11,0))))),0)</f>
        <v>0</v>
      </c>
      <c r="J134" s="818">
        <f>ROUND(IF(G134=1,F134/23,IF(G134=3,F134/12,IF(G134=5,F134-I134,IF(G134=8,F134,0)))),0)</f>
        <v>0</v>
      </c>
      <c r="K134" s="819">
        <f>ROUND(IF(G134=1,F134/23,IF(G134=3,F134/12,IF(G134=6,F134,IF(G134=7,F134-I134,0)))),0)</f>
        <v>0</v>
      </c>
      <c r="L134" s="820">
        <f>IF(G134=6,F134,0)</f>
        <v>0</v>
      </c>
      <c r="P134" s="768" t="n"/>
      <c r="Q134" s="769" t="str">
        <f>IF($F134="","",IFERROR(VLOOKUP($C134&amp;"|"&amp;$D134,科目表!$A$5:$B$200,2,FALSE),"※未登録"))</f>
        <v/>
      </c>
      <c r="R134" s="769" t="str">
        <f>IF($F134="","",$I134+$J134+$K134)</f>
        <v/>
      </c>
      <c r="S134" s="769" t="str">
        <f>IF(OR($F134="",$P134="支払なし",$H134=0,$Q134=""),"",$Q134&amp;"|S|"&amp;(COUNTIF(S$4:S133,$Q134&amp;"|S|*")+1))</f>
        <v/>
      </c>
      <c r="T134" s="769" t="str">
        <f>IF(OR($F134="",$P134="支払なし",$R134=0,$Q134=""),"",$Q134&amp;"|L|"&amp;(COUNTIF(T$4:T133,$Q134&amp;"|L|*")+1))</f>
        <v/>
      </c>
      <c r="U134" s="769" t="str">
        <f>IF($F134="","",13)</f>
        <v/>
      </c>
    </row>
    <row r="135" ht="16.5" customHeight="1" s="186">
      <c r="A135" s="760" t="n"/>
      <c r="B135" s="760" t="n"/>
      <c r="C135" s="762" t="n"/>
      <c r="D135" s="762" t="n"/>
      <c r="E135" s="775" t="n"/>
      <c r="F135" s="821" t="n"/>
      <c r="G135" s="821" t="n"/>
      <c r="H135" s="818">
        <f>IF(G135=1,F135-I135-J135-K135,IF(G135=2,F135,0))</f>
        <v>0</v>
      </c>
      <c r="I135" s="818">
        <f>ROUND(IF(G135=1,F135*10/23,IF(G135=3,F135-J135-K135,IF(G135=4,F135,IF(G135=5,F135*10/11,IF(G135=7,F135*10/11,0))))),0)</f>
        <v>0</v>
      </c>
      <c r="J135" s="818">
        <f>ROUND(IF(G135=1,F135/23,IF(G135=3,F135/12,IF(G135=5,F135-I135,IF(G135=8,F135,0)))),0)</f>
        <v>0</v>
      </c>
      <c r="K135" s="819">
        <f>ROUND(IF(G135=1,F135/23,IF(G135=3,F135/12,IF(G135=6,F135,IF(G135=7,F135-I135,0)))),0)</f>
        <v>0</v>
      </c>
      <c r="L135" s="820">
        <f>IF(G135=6,F135,0)</f>
        <v>0</v>
      </c>
      <c r="P135" s="768" t="n"/>
      <c r="Q135" s="769" t="str">
        <f>IF($F135="","",IFERROR(VLOOKUP($C135&amp;"|"&amp;$D135,科目表!$A$5:$B$200,2,FALSE),"※未登録"))</f>
        <v/>
      </c>
      <c r="R135" s="769" t="str">
        <f>IF($F135="","",$I135+$J135+$K135)</f>
        <v/>
      </c>
      <c r="S135" s="769" t="str">
        <f>IF(OR($F135="",$P135="支払なし",$H135=0,$Q135=""),"",$Q135&amp;"|S|"&amp;(COUNTIF(S$4:S134,$Q135&amp;"|S|*")+1))</f>
        <v/>
      </c>
      <c r="T135" s="769" t="str">
        <f>IF(OR($F135="",$P135="支払なし",$R135=0,$Q135=""),"",$Q135&amp;"|L|"&amp;(COUNTIF(T$4:T134,$Q135&amp;"|L|*")+1))</f>
        <v/>
      </c>
      <c r="U135" s="769" t="str">
        <f>IF($F135="","",13)</f>
        <v/>
      </c>
    </row>
    <row r="136" ht="16.5" customFormat="1" customHeight="1" s="43">
      <c r="A136" s="760" t="n"/>
      <c r="B136" s="760" t="n"/>
      <c r="C136" s="762" t="n"/>
      <c r="D136" s="762" t="n"/>
      <c r="E136" s="762" t="n"/>
      <c r="F136" s="807" t="n"/>
      <c r="G136" s="807" t="n"/>
      <c r="H136" s="818">
        <f>IF(G136=1,F136-I136-J136-K136,IF(G136=2,F136,0))</f>
        <v>0</v>
      </c>
      <c r="I136" s="818">
        <f>ROUND(IF(G136=1,F136*10/23,IF(G136=3,F136-J136-K136,IF(G136=4,F136,IF(G136=5,F136*10/11,IF(G136=7,F136*10/11,0))))),0)</f>
        <v>0</v>
      </c>
      <c r="J136" s="818">
        <f>ROUND(IF(G136=1,F136/23,IF(G136=3,F136/12,IF(G136=5,F136-I136,IF(G136=8,F136,0)))),0)</f>
        <v>0</v>
      </c>
      <c r="K136" s="819">
        <f>ROUND(IF(G136=1,F136/23,IF(G136=3,F136/12,IF(G136=6,F136,IF(G136=7,F136-I136,0)))),0)</f>
        <v>0</v>
      </c>
      <c r="L136" s="820">
        <f>IF(G136=6,F136,0)</f>
        <v>0</v>
      </c>
      <c r="P136" s="768" t="n"/>
      <c r="Q136" s="769" t="str">
        <f>IF($F136="","",IFERROR(VLOOKUP($C136&amp;"|"&amp;$D136,科目表!$A$5:$B$200,2,FALSE),"※未登録"))</f>
        <v/>
      </c>
      <c r="R136" s="769" t="str">
        <f>IF($F136="","",$I136+$J136+$K136)</f>
        <v/>
      </c>
      <c r="S136" s="769" t="str">
        <f>IF(OR($F136="",$P136="支払なし",$H136=0,$Q136=""),"",$Q136&amp;"|S|"&amp;(COUNTIF(S$4:S135,$Q136&amp;"|S|*")+1))</f>
        <v/>
      </c>
      <c r="T136" s="769" t="str">
        <f>IF(OR($F136="",$P136="支払なし",$R136=0,$Q136=""),"",$Q136&amp;"|L|"&amp;(COUNTIF(T$4:T135,$Q136&amp;"|L|*")+1))</f>
        <v/>
      </c>
      <c r="U136" s="769" t="str">
        <f>IF($F136="","",13)</f>
        <v/>
      </c>
    </row>
    <row r="137" ht="16.5" customFormat="1" customHeight="1" s="43">
      <c r="A137" s="760" t="n"/>
      <c r="B137" s="760" t="n"/>
      <c r="C137" s="762" t="n"/>
      <c r="D137" s="762" t="n"/>
      <c r="E137" s="762" t="n"/>
      <c r="F137" s="807" t="n"/>
      <c r="G137" s="807" t="n"/>
      <c r="H137" s="818">
        <f>IF(G137=1,F137-I137-J137-K137,IF(G137=2,F137,0))</f>
        <v>0</v>
      </c>
      <c r="I137" s="818">
        <f>ROUND(IF(G137=1,F137*10/23,IF(G137=3,F137-J137-K137,IF(G137=4,F137,IF(G137=5,F137*10/11,IF(G137=7,F137*10/11,0))))),0)</f>
        <v>0</v>
      </c>
      <c r="J137" s="818">
        <f>ROUND(IF(G137=1,F137/23,IF(G137=3,F137/12,IF(G137=5,F137-I137,IF(G137=8,F137,0)))),0)</f>
        <v>0</v>
      </c>
      <c r="K137" s="819">
        <f>ROUND(IF(G137=1,F137/23,IF(G137=3,F137/12,IF(G137=6,F137,IF(G137=7,F137-I137,0)))),0)</f>
        <v>0</v>
      </c>
      <c r="L137" s="820">
        <f>IF(G137=6,F137,0)</f>
        <v>0</v>
      </c>
      <c r="P137" s="768" t="n"/>
      <c r="Q137" s="769" t="str">
        <f>IF($F137="","",IFERROR(VLOOKUP($C137&amp;"|"&amp;$D137,科目表!$A$5:$B$200,2,FALSE),"※未登録"))</f>
        <v/>
      </c>
      <c r="R137" s="769" t="str">
        <f>IF($F137="","",$I137+$J137+$K137)</f>
        <v/>
      </c>
      <c r="S137" s="769" t="str">
        <f>IF(OR($F137="",$P137="支払なし",$H137=0,$Q137=""),"",$Q137&amp;"|S|"&amp;(COUNTIF(S$4:S136,$Q137&amp;"|S|*")+1))</f>
        <v/>
      </c>
      <c r="T137" s="769" t="str">
        <f>IF(OR($F137="",$P137="支払なし",$R137=0,$Q137=""),"",$Q137&amp;"|L|"&amp;(COUNTIF(T$4:T136,$Q137&amp;"|L|*")+1))</f>
        <v/>
      </c>
      <c r="U137" s="769" t="str">
        <f>IF($F137="","",13)</f>
        <v/>
      </c>
    </row>
    <row r="138" ht="16.5" customHeight="1" s="186">
      <c r="A138" s="760" t="n"/>
      <c r="B138" s="760" t="n"/>
      <c r="C138" s="762" t="n"/>
      <c r="D138" s="762" t="n"/>
      <c r="E138" s="775" t="n"/>
      <c r="F138" s="821" t="n"/>
      <c r="G138" s="821" t="n"/>
      <c r="H138" s="818">
        <f>IF(G138=1,F138-I138-J138-K138,IF(G138=2,F138,0))</f>
        <v>0</v>
      </c>
      <c r="I138" s="818">
        <f>ROUND(IF(G138=1,F138*10/23,IF(G138=3,F138-J138-K138,IF(G138=4,F138,IF(G138=5,F138*10/11,IF(G138=7,F138*10/11,0))))),0)</f>
        <v>0</v>
      </c>
      <c r="J138" s="818">
        <f>ROUND(IF(G138=1,F138/23,IF(G138=3,F138/12,IF(G138=5,F138-I138,IF(G138=8,F138,0)))),0)</f>
        <v>0</v>
      </c>
      <c r="K138" s="819">
        <f>ROUND(IF(G138=1,F138/23,IF(G138=3,F138/12,IF(G138=6,F138,IF(G138=7,F138-I138,0)))),0)</f>
        <v>0</v>
      </c>
      <c r="L138" s="820">
        <f>IF(G138=6,F138,0)</f>
        <v>0</v>
      </c>
      <c r="P138" s="768" t="n"/>
      <c r="Q138" s="769" t="str">
        <f>IF($F138="","",IFERROR(VLOOKUP($C138&amp;"|"&amp;$D138,科目表!$A$5:$B$200,2,FALSE),"※未登録"))</f>
        <v/>
      </c>
      <c r="R138" s="769" t="str">
        <f>IF($F138="","",$I138+$J138+$K138)</f>
        <v/>
      </c>
      <c r="S138" s="769" t="str">
        <f>IF(OR($F138="",$P138="支払なし",$H138=0,$Q138=""),"",$Q138&amp;"|S|"&amp;(COUNTIF(S$4:S137,$Q138&amp;"|S|*")+1))</f>
        <v/>
      </c>
      <c r="T138" s="769" t="str">
        <f>IF(OR($F138="",$P138="支払なし",$R138=0,$Q138=""),"",$Q138&amp;"|L|"&amp;(COUNTIF(T$4:T137,$Q138&amp;"|L|*")+1))</f>
        <v/>
      </c>
      <c r="U138" s="769" t="str">
        <f>IF($F138="","",13)</f>
        <v/>
      </c>
    </row>
    <row r="139" ht="16.5" customHeight="1" s="186">
      <c r="A139" s="760" t="n"/>
      <c r="B139" s="760" t="n"/>
      <c r="C139" s="762" t="n"/>
      <c r="D139" s="762" t="n"/>
      <c r="E139" s="762" t="n"/>
      <c r="F139" s="821" t="n"/>
      <c r="G139" s="821" t="n"/>
      <c r="H139" s="818">
        <f>IF(G139=1,F139-I139-J139-K139,IF(G139=2,F139,0))</f>
        <v>0</v>
      </c>
      <c r="I139" s="818">
        <f>ROUND(IF(G139=1,F139*10/23,IF(G139=3,F139-J139-K139,IF(G139=4,F139,IF(G139=5,F139*10/11,IF(G139=7,F139*10/11,0))))),0)</f>
        <v>0</v>
      </c>
      <c r="J139" s="818">
        <f>ROUND(IF(G139=1,F139/23,IF(G139=3,F139/12,IF(G139=5,F139-I139,IF(G139=8,F139,0)))),0)</f>
        <v>0</v>
      </c>
      <c r="K139" s="819">
        <f>ROUND(IF(G139=1,F139/23,IF(G139=3,F139/12,IF(G139=6,F139,IF(G139=7,F139-I139,0)))),0)</f>
        <v>0</v>
      </c>
      <c r="L139" s="820">
        <f>IF(G139=6,F139,0)</f>
        <v>0</v>
      </c>
      <c r="P139" s="768" t="n"/>
      <c r="Q139" s="769" t="str">
        <f>IF($F139="","",IFERROR(VLOOKUP($C139&amp;"|"&amp;$D139,科目表!$A$5:$B$200,2,FALSE),"※未登録"))</f>
        <v/>
      </c>
      <c r="R139" s="769" t="str">
        <f>IF($F139="","",$I139+$J139+$K139)</f>
        <v/>
      </c>
      <c r="S139" s="769" t="str">
        <f>IF(OR($F139="",$P139="支払なし",$H139=0,$Q139=""),"",$Q139&amp;"|S|"&amp;(COUNTIF(S$4:S138,$Q139&amp;"|S|*")+1))</f>
        <v/>
      </c>
      <c r="T139" s="769" t="str">
        <f>IF(OR($F139="",$P139="支払なし",$R139=0,$Q139=""),"",$Q139&amp;"|L|"&amp;(COUNTIF(T$4:T138,$Q139&amp;"|L|*")+1))</f>
        <v/>
      </c>
      <c r="U139" s="769" t="str">
        <f>IF($F139="","",13)</f>
        <v/>
      </c>
    </row>
    <row r="140" ht="16.5" customHeight="1" s="186">
      <c r="A140" s="760" t="n"/>
      <c r="B140" s="760" t="n"/>
      <c r="C140" s="762" t="n"/>
      <c r="D140" s="762" t="n"/>
      <c r="E140" s="775" t="n"/>
      <c r="F140" s="821" t="n"/>
      <c r="G140" s="821" t="n"/>
      <c r="H140" s="818">
        <f>IF(G140=1,F140-I140-J140-K140,IF(G140=2,F140,0))</f>
        <v>0</v>
      </c>
      <c r="I140" s="818">
        <f>ROUND(IF(G140=1,F140*10/23,IF(G140=3,F140-J140-K140,IF(G140=4,F140,IF(G140=5,F140*10/11,IF(G140=7,F140*10/11,0))))),0)</f>
        <v>0</v>
      </c>
      <c r="J140" s="818">
        <f>ROUND(IF(G140=1,F140/23,IF(G140=3,F140/12,IF(G140=5,F140-I140,IF(G140=8,F140,0)))),0)</f>
        <v>0</v>
      </c>
      <c r="K140" s="819">
        <f>ROUND(IF(G140=1,F140/23,IF(G140=3,F140/12,IF(G140=6,F140,IF(G140=7,F140-I140,0)))),0)</f>
        <v>0</v>
      </c>
      <c r="L140" s="820">
        <f>IF(G140=6,F140,0)</f>
        <v>0</v>
      </c>
      <c r="P140" s="768" t="n"/>
      <c r="Q140" s="769" t="str">
        <f>IF($F140="","",IFERROR(VLOOKUP($C140&amp;"|"&amp;$D140,科目表!$A$5:$B$200,2,FALSE),"※未登録"))</f>
        <v/>
      </c>
      <c r="R140" s="769" t="str">
        <f>IF($F140="","",$I140+$J140+$K140)</f>
        <v/>
      </c>
      <c r="S140" s="769" t="str">
        <f>IF(OR($F140="",$P140="支払なし",$H140=0,$Q140=""),"",$Q140&amp;"|S|"&amp;(COUNTIF(S$4:S139,$Q140&amp;"|S|*")+1))</f>
        <v/>
      </c>
      <c r="T140" s="769" t="str">
        <f>IF(OR($F140="",$P140="支払なし",$R140=0,$Q140=""),"",$Q140&amp;"|L|"&amp;(COUNTIF(T$4:T139,$Q140&amp;"|L|*")+1))</f>
        <v/>
      </c>
      <c r="U140" s="769" t="str">
        <f>IF($F140="","",13)</f>
        <v/>
      </c>
    </row>
    <row r="141" ht="16.5" customHeight="1" s="186">
      <c r="A141" s="760" t="n"/>
      <c r="B141" s="760" t="n"/>
      <c r="C141" s="762" t="n"/>
      <c r="D141" s="762" t="n"/>
      <c r="E141" s="775" t="n"/>
      <c r="F141" s="821" t="n"/>
      <c r="G141" s="821" t="n"/>
      <c r="H141" s="818">
        <f>IF(G141=1,F141-I141-J141-K141,IF(G141=2,F141,0))</f>
        <v>0</v>
      </c>
      <c r="I141" s="818">
        <f>ROUND(IF(G141=1,F141*10/23,IF(G141=3,F141-J141-K141,IF(G141=4,F141,IF(G141=5,F141*10/11,IF(G141=7,F141*10/11,0))))),0)</f>
        <v>0</v>
      </c>
      <c r="J141" s="818">
        <f>ROUND(IF(G141=1,F141/23,IF(G141=3,F141/12,IF(G141=5,F141-I141,IF(G141=8,F141,0)))),0)</f>
        <v>0</v>
      </c>
      <c r="K141" s="819">
        <f>ROUND(IF(G141=1,F141/23,IF(G141=3,F141/12,IF(G141=6,F141,IF(G141=7,F141-I141,0)))),0)</f>
        <v>0</v>
      </c>
      <c r="L141" s="820">
        <f>IF(G141=6,F141,0)</f>
        <v>0</v>
      </c>
      <c r="P141" s="768" t="n"/>
      <c r="Q141" s="769" t="str">
        <f>IF($F141="","",IFERROR(VLOOKUP($C141&amp;"|"&amp;$D141,科目表!$A$5:$B$200,2,FALSE),"※未登録"))</f>
        <v/>
      </c>
      <c r="R141" s="769" t="str">
        <f>IF($F141="","",$I141+$J141+$K141)</f>
        <v/>
      </c>
      <c r="S141" s="769" t="str">
        <f>IF(OR($F141="",$P141="支払なし",$H141=0,$Q141=""),"",$Q141&amp;"|S|"&amp;(COUNTIF(S$4:S140,$Q141&amp;"|S|*")+1))</f>
        <v/>
      </c>
      <c r="T141" s="769" t="str">
        <f>IF(OR($F141="",$P141="支払なし",$R141=0,$Q141=""),"",$Q141&amp;"|L|"&amp;(COUNTIF(T$4:T140,$Q141&amp;"|L|*")+1))</f>
        <v/>
      </c>
      <c r="U141" s="769" t="str">
        <f>IF($F141="","",13)</f>
        <v/>
      </c>
    </row>
    <row r="142" ht="16.5" customFormat="1" customHeight="1" s="43">
      <c r="A142" s="760" t="n"/>
      <c r="B142" s="760" t="n"/>
      <c r="C142" s="762" t="n"/>
      <c r="D142" s="762" t="n"/>
      <c r="E142" s="762" t="n"/>
      <c r="F142" s="807" t="n"/>
      <c r="G142" s="807" t="n"/>
      <c r="H142" s="818">
        <f>IF(G142=1,F142-I142-J142-K142,IF(G142=2,F142,0))</f>
        <v>0</v>
      </c>
      <c r="I142" s="818">
        <f>ROUND(IF(G142=1,F142*10/23,IF(G142=3,F142-J142-K142,IF(G142=4,F142,IF(G142=5,F142*10/11,IF(G142=7,F142*10/11,0))))),0)</f>
        <v>0</v>
      </c>
      <c r="J142" s="818">
        <f>ROUND(IF(G142=1,F142/23,IF(G142=3,F142/12,IF(G142=5,F142-I142,IF(G142=8,F142,0)))),0)</f>
        <v>0</v>
      </c>
      <c r="K142" s="819">
        <f>ROUND(IF(G142=1,F142/23,IF(G142=3,F142/12,IF(G142=6,F142,IF(G142=7,F142-I142,0)))),0)</f>
        <v>0</v>
      </c>
      <c r="L142" s="820">
        <f>IF(G142=6,F142,0)</f>
        <v>0</v>
      </c>
      <c r="P142" s="768" t="n"/>
      <c r="Q142" s="769" t="str">
        <f>IF($F142="","",IFERROR(VLOOKUP($C142&amp;"|"&amp;$D142,科目表!$A$5:$B$200,2,FALSE),"※未登録"))</f>
        <v/>
      </c>
      <c r="R142" s="769" t="str">
        <f>IF($F142="","",$I142+$J142+$K142)</f>
        <v/>
      </c>
      <c r="S142" s="769" t="str">
        <f>IF(OR($F142="",$P142="支払なし",$H142=0,$Q142=""),"",$Q142&amp;"|S|"&amp;(COUNTIF(S$4:S141,$Q142&amp;"|S|*")+1))</f>
        <v/>
      </c>
      <c r="T142" s="769" t="str">
        <f>IF(OR($F142="",$P142="支払なし",$R142=0,$Q142=""),"",$Q142&amp;"|L|"&amp;(COUNTIF(T$4:T141,$Q142&amp;"|L|*")+1))</f>
        <v/>
      </c>
      <c r="U142" s="769" t="str">
        <f>IF($F142="","",13)</f>
        <v/>
      </c>
    </row>
    <row r="143" ht="16.5" customFormat="1" customHeight="1" s="43">
      <c r="A143" s="760" t="n"/>
      <c r="B143" s="760" t="n"/>
      <c r="C143" s="762" t="n"/>
      <c r="D143" s="762" t="n"/>
      <c r="E143" s="762" t="n"/>
      <c r="F143" s="807" t="n"/>
      <c r="G143" s="807" t="n"/>
      <c r="H143" s="818">
        <f>IF(G143=1,F143-I143-J143-K143,IF(G143=2,F143,0))</f>
        <v>0</v>
      </c>
      <c r="I143" s="818">
        <f>ROUND(IF(G143=1,F143*10/23,IF(G143=3,F143-J143-K143,IF(G143=4,F143,IF(G143=5,F143*10/11,IF(G143=7,F143*10/11,0))))),0)</f>
        <v>0</v>
      </c>
      <c r="J143" s="818">
        <f>ROUND(IF(G143=1,F143/23,IF(G143=3,F143/12,IF(G143=5,F143-I143,IF(G143=8,F143,0)))),0)</f>
        <v>0</v>
      </c>
      <c r="K143" s="819">
        <f>ROUND(IF(G143=1,F143/23,IF(G143=3,F143/12,IF(G143=6,F143,IF(G143=7,F143-I143,0)))),0)</f>
        <v>0</v>
      </c>
      <c r="L143" s="820">
        <f>IF(G143=6,F143,0)</f>
        <v>0</v>
      </c>
      <c r="P143" s="768" t="n"/>
      <c r="Q143" s="769" t="str">
        <f>IF($F143="","",IFERROR(VLOOKUP($C143&amp;"|"&amp;$D143,科目表!$A$5:$B$200,2,FALSE),"※未登録"))</f>
        <v/>
      </c>
      <c r="R143" s="769" t="str">
        <f>IF($F143="","",$I143+$J143+$K143)</f>
        <v/>
      </c>
      <c r="S143" s="769" t="str">
        <f>IF(OR($F143="",$P143="支払なし",$H143=0,$Q143=""),"",$Q143&amp;"|S|"&amp;(COUNTIF(S$4:S142,$Q143&amp;"|S|*")+1))</f>
        <v/>
      </c>
      <c r="T143" s="769" t="str">
        <f>IF(OR($F143="",$P143="支払なし",$R143=0,$Q143=""),"",$Q143&amp;"|L|"&amp;(COUNTIF(T$4:T142,$Q143&amp;"|L|*")+1))</f>
        <v/>
      </c>
      <c r="U143" s="769" t="str">
        <f>IF($F143="","",13)</f>
        <v/>
      </c>
    </row>
    <row r="144" ht="16.5" customHeight="1" s="186">
      <c r="A144" s="760" t="n"/>
      <c r="B144" s="760" t="n"/>
      <c r="C144" s="762" t="n"/>
      <c r="D144" s="762" t="n"/>
      <c r="E144" s="762" t="n"/>
      <c r="F144" s="821" t="n"/>
      <c r="G144" s="821" t="n"/>
      <c r="H144" s="818">
        <f>IF(G144=1,F144-I144-J144-K144,IF(G144=2,F144,0))</f>
        <v>0</v>
      </c>
      <c r="I144" s="818">
        <f>ROUND(IF(G144=1,F144*10/23,IF(G144=3,F144-J144-K144,IF(G144=4,F144,IF(G144=5,F144*10/11,IF(G144=7,F144*10/11,0))))),0)</f>
        <v>0</v>
      </c>
      <c r="J144" s="818">
        <f>ROUND(IF(G144=1,F144/23,IF(G144=3,F144/12,IF(G144=5,F144-I144,IF(G144=8,F144,0)))),0)</f>
        <v>0</v>
      </c>
      <c r="K144" s="819">
        <f>ROUND(IF(G144=1,F144/23,IF(G144=3,F144/12,IF(G144=6,F144,IF(G144=7,F144-I144,0)))),0)</f>
        <v>0</v>
      </c>
      <c r="L144" s="820">
        <f>IF(G144=6,F144,0)</f>
        <v>0</v>
      </c>
      <c r="P144" s="768" t="n"/>
      <c r="Q144" s="769" t="str">
        <f>IF($F144="","",IFERROR(VLOOKUP($C144&amp;"|"&amp;$D144,科目表!$A$5:$B$200,2,FALSE),"※未登録"))</f>
        <v/>
      </c>
      <c r="R144" s="769" t="str">
        <f>IF($F144="","",$I144+$J144+$K144)</f>
        <v/>
      </c>
      <c r="S144" s="769" t="str">
        <f>IF(OR($F144="",$P144="支払なし",$H144=0,$Q144=""),"",$Q144&amp;"|S|"&amp;(COUNTIF(S$4:S143,$Q144&amp;"|S|*")+1))</f>
        <v/>
      </c>
      <c r="T144" s="769" t="str">
        <f>IF(OR($F144="",$P144="支払なし",$R144=0,$Q144=""),"",$Q144&amp;"|L|"&amp;(COUNTIF(T$4:T143,$Q144&amp;"|L|*")+1))</f>
        <v/>
      </c>
      <c r="U144" s="769" t="str">
        <f>IF($F144="","",13)</f>
        <v/>
      </c>
    </row>
    <row r="145" ht="16.5" customHeight="1" s="186">
      <c r="A145" s="760" t="n"/>
      <c r="B145" s="760" t="n"/>
      <c r="C145" s="762" t="n"/>
      <c r="D145" s="762" t="n"/>
      <c r="E145" s="762" t="n"/>
      <c r="F145" s="821" t="n"/>
      <c r="G145" s="821" t="n"/>
      <c r="H145" s="818">
        <f>IF(G145=1,F145-I145-J145-K145,IF(G145=2,F145,0))</f>
        <v>0</v>
      </c>
      <c r="I145" s="818">
        <f>ROUND(IF(G145=1,F145*10/23,IF(G145=3,F145-J145-K145,IF(G145=4,F145,IF(G145=5,F145*10/11,IF(G145=7,F145*10/11,0))))),0)</f>
        <v>0</v>
      </c>
      <c r="J145" s="818">
        <f>ROUND(IF(G145=1,F145/23,IF(G145=3,F145/12,IF(G145=5,F145-I145,IF(G145=8,F145,0)))),0)</f>
        <v>0</v>
      </c>
      <c r="K145" s="819">
        <f>ROUND(IF(G145=1,F145/23,IF(G145=3,F145/12,IF(G145=6,F145,IF(G145=7,F145-I145,0)))),0)</f>
        <v>0</v>
      </c>
      <c r="L145" s="820">
        <f>IF(G145=6,F145,0)</f>
        <v>0</v>
      </c>
      <c r="P145" s="768" t="n"/>
      <c r="Q145" s="769" t="str">
        <f>IF($F145="","",IFERROR(VLOOKUP($C145&amp;"|"&amp;$D145,科目表!$A$5:$B$200,2,FALSE),"※未登録"))</f>
        <v/>
      </c>
      <c r="R145" s="769" t="str">
        <f>IF($F145="","",$I145+$J145+$K145)</f>
        <v/>
      </c>
      <c r="S145" s="769" t="str">
        <f>IF(OR($F145="",$P145="支払なし",$H145=0,$Q145=""),"",$Q145&amp;"|S|"&amp;(COUNTIF(S$4:S144,$Q145&amp;"|S|*")+1))</f>
        <v/>
      </c>
      <c r="T145" s="769" t="str">
        <f>IF(OR($F145="",$P145="支払なし",$R145=0,$Q145=""),"",$Q145&amp;"|L|"&amp;(COUNTIF(T$4:T144,$Q145&amp;"|L|*")+1))</f>
        <v/>
      </c>
      <c r="U145" s="769" t="str">
        <f>IF($F145="","",13)</f>
        <v/>
      </c>
    </row>
    <row r="146" ht="16.5" customHeight="1" s="186">
      <c r="A146" s="760" t="n"/>
      <c r="B146" s="760" t="n"/>
      <c r="C146" s="762" t="n"/>
      <c r="D146" s="762" t="n"/>
      <c r="E146" s="775" t="n"/>
      <c r="F146" s="821" t="n"/>
      <c r="G146" s="821" t="n"/>
      <c r="H146" s="818">
        <f>IF(G146=1,F146-I146-J146-K146,IF(G146=2,F146,0))</f>
        <v>0</v>
      </c>
      <c r="I146" s="818">
        <f>ROUND(IF(G146=1,F146*10/23,IF(G146=3,F146-J146-K146,IF(G146=4,F146,IF(G146=5,F146*10/11,IF(G146=7,F146*10/11,0))))),0)</f>
        <v>0</v>
      </c>
      <c r="J146" s="818">
        <f>ROUND(IF(G146=1,F146/23,IF(G146=3,F146/12,IF(G146=5,F146-I146,IF(G146=8,F146,0)))),0)</f>
        <v>0</v>
      </c>
      <c r="K146" s="819">
        <f>ROUND(IF(G146=1,F146/23,IF(G146=3,F146/12,IF(G146=6,F146,IF(G146=7,F146-I146,0)))),0)</f>
        <v>0</v>
      </c>
      <c r="L146" s="820">
        <f>IF(G146=6,F146,0)</f>
        <v>0</v>
      </c>
      <c r="P146" s="768" t="n"/>
      <c r="Q146" s="769" t="str">
        <f>IF($F146="","",IFERROR(VLOOKUP($C146&amp;"|"&amp;$D146,科目表!$A$5:$B$200,2,FALSE),"※未登録"))</f>
        <v/>
      </c>
      <c r="R146" s="769" t="str">
        <f>IF($F146="","",$I146+$J146+$K146)</f>
        <v/>
      </c>
      <c r="S146" s="769" t="str">
        <f>IF(OR($F146="",$P146="支払なし",$H146=0,$Q146=""),"",$Q146&amp;"|S|"&amp;(COUNTIF(S$4:S145,$Q146&amp;"|S|*")+1))</f>
        <v/>
      </c>
      <c r="T146" s="769" t="str">
        <f>IF(OR($F146="",$P146="支払なし",$R146=0,$Q146=""),"",$Q146&amp;"|L|"&amp;(COUNTIF(T$4:T145,$Q146&amp;"|L|*")+1))</f>
        <v/>
      </c>
      <c r="U146" s="769" t="str">
        <f>IF($F146="","",13)</f>
        <v/>
      </c>
    </row>
    <row r="147" ht="16.5" customHeight="1" s="186">
      <c r="A147" s="760" t="n"/>
      <c r="B147" s="760" t="n"/>
      <c r="C147" s="762" t="n"/>
      <c r="D147" s="762" t="n"/>
      <c r="E147" s="775" t="n"/>
      <c r="F147" s="821" t="n"/>
      <c r="G147" s="821" t="n"/>
      <c r="H147" s="818">
        <f>IF(G147=1,F147-I147-J147-K147,IF(G147=2,F147,0))</f>
        <v>0</v>
      </c>
      <c r="I147" s="818">
        <f>ROUND(IF(G147=1,F147*10/23,IF(G147=3,F147-J147-K147,IF(G147=4,F147,IF(G147=5,F147*10/11,IF(G147=7,F147*10/11,0))))),0)</f>
        <v>0</v>
      </c>
      <c r="J147" s="818">
        <f>ROUND(IF(G147=1,F147/23,IF(G147=3,F147/12,IF(G147=5,F147-I147,IF(G147=8,F147,0)))),0)</f>
        <v>0</v>
      </c>
      <c r="K147" s="819">
        <f>ROUND(IF(G147=1,F147/23,IF(G147=3,F147/12,IF(G147=6,F147,IF(G147=7,F147-I147,0)))),0)</f>
        <v>0</v>
      </c>
      <c r="L147" s="820">
        <f>IF(G147=6,F147,0)</f>
        <v>0</v>
      </c>
      <c r="P147" s="768" t="n"/>
      <c r="Q147" s="769" t="str">
        <f>IF($F147="","",IFERROR(VLOOKUP($C147&amp;"|"&amp;$D147,科目表!$A$5:$B$200,2,FALSE),"※未登録"))</f>
        <v/>
      </c>
      <c r="R147" s="769" t="str">
        <f>IF($F147="","",$I147+$J147+$K147)</f>
        <v/>
      </c>
      <c r="S147" s="769" t="str">
        <f>IF(OR($F147="",$P147="支払なし",$H147=0,$Q147=""),"",$Q147&amp;"|S|"&amp;(COUNTIF(S$4:S146,$Q147&amp;"|S|*")+1))</f>
        <v/>
      </c>
      <c r="T147" s="769" t="str">
        <f>IF(OR($F147="",$P147="支払なし",$R147=0,$Q147=""),"",$Q147&amp;"|L|"&amp;(COUNTIF(T$4:T146,$Q147&amp;"|L|*")+1))</f>
        <v/>
      </c>
      <c r="U147" s="769" t="str">
        <f>IF($F147="","",13)</f>
        <v/>
      </c>
    </row>
    <row r="148" ht="16.5" customHeight="1" s="186">
      <c r="A148" s="760" t="n"/>
      <c r="B148" s="760" t="n"/>
      <c r="C148" s="762" t="n"/>
      <c r="D148" s="762" t="n"/>
      <c r="E148" s="775" t="n"/>
      <c r="F148" s="821" t="n"/>
      <c r="G148" s="821" t="n"/>
      <c r="H148" s="818">
        <f>IF(G148=1,F148-I148-J148-K148,IF(G148=2,F148,0))</f>
        <v>0</v>
      </c>
      <c r="I148" s="818">
        <f>ROUND(IF(G148=1,F148*10/23,IF(G148=3,F148-J148-K148,IF(G148=4,F148,IF(G148=5,F148*10/11,IF(G148=7,F148*10/11,0))))),0)</f>
        <v>0</v>
      </c>
      <c r="J148" s="818">
        <f>ROUND(IF(G148=1,F148/23,IF(G148=3,F148/12,IF(G148=5,F148-I148,IF(G148=8,F148,0)))),0)</f>
        <v>0</v>
      </c>
      <c r="K148" s="819">
        <f>ROUND(IF(G148=1,F148/23,IF(G148=3,F148/12,IF(G148=6,F148,IF(G148=7,F148-I148,0)))),0)</f>
        <v>0</v>
      </c>
      <c r="L148" s="820">
        <f>IF(G148=6,F148,0)</f>
        <v>0</v>
      </c>
      <c r="P148" s="768" t="n"/>
      <c r="Q148" s="769" t="str">
        <f>IF($F148="","",IFERROR(VLOOKUP($C148&amp;"|"&amp;$D148,科目表!$A$5:$B$200,2,FALSE),"※未登録"))</f>
        <v/>
      </c>
      <c r="R148" s="769" t="str">
        <f>IF($F148="","",$I148+$J148+$K148)</f>
        <v/>
      </c>
      <c r="S148" s="769" t="str">
        <f>IF(OR($F148="",$P148="支払なし",$H148=0,$Q148=""),"",$Q148&amp;"|S|"&amp;(COUNTIF(S$4:S147,$Q148&amp;"|S|*")+1))</f>
        <v/>
      </c>
      <c r="T148" s="769" t="str">
        <f>IF(OR($F148="",$P148="支払なし",$R148=0,$Q148=""),"",$Q148&amp;"|L|"&amp;(COUNTIF(T$4:T147,$Q148&amp;"|L|*")+1))</f>
        <v/>
      </c>
      <c r="U148" s="769" t="str">
        <f>IF($F148="","",13)</f>
        <v/>
      </c>
    </row>
    <row r="149" ht="16.5" customHeight="1" s="186">
      <c r="A149" s="760" t="n"/>
      <c r="B149" s="760" t="n"/>
      <c r="C149" s="762" t="n"/>
      <c r="D149" s="762" t="n"/>
      <c r="E149" s="775" t="n"/>
      <c r="F149" s="821" t="n"/>
      <c r="G149" s="821" t="n"/>
      <c r="H149" s="818">
        <f>IF(G149=1,F149-I149-J149-K149,IF(G149=2,F149,0))</f>
        <v>0</v>
      </c>
      <c r="I149" s="818">
        <f>ROUND(IF(G149=1,F149*10/23,IF(G149=3,F149-J149-K149,IF(G149=4,F149,IF(G149=5,F149*10/11,IF(G149=7,F149*10/11,0))))),0)</f>
        <v>0</v>
      </c>
      <c r="J149" s="818">
        <f>ROUND(IF(G149=1,F149/23,IF(G149=3,F149/12,IF(G149=5,F149-I149,IF(G149=8,F149,0)))),0)</f>
        <v>0</v>
      </c>
      <c r="K149" s="819">
        <f>ROUND(IF(G149=1,F149/23,IF(G149=3,F149/12,IF(G149=6,F149,IF(G149=7,F149-I149,0)))),0)</f>
        <v>0</v>
      </c>
      <c r="L149" s="820">
        <f>IF(G149=6,F149,0)</f>
        <v>0</v>
      </c>
      <c r="P149" s="768" t="n"/>
      <c r="Q149" s="769" t="str">
        <f>IF($F149="","",IFERROR(VLOOKUP($C149&amp;"|"&amp;$D149,科目表!$A$5:$B$200,2,FALSE),"※未登録"))</f>
        <v/>
      </c>
      <c r="R149" s="769" t="str">
        <f>IF($F149="","",$I149+$J149+$K149)</f>
        <v/>
      </c>
      <c r="S149" s="769" t="str">
        <f>IF(OR($F149="",$P149="支払なし",$H149=0,$Q149=""),"",$Q149&amp;"|S|"&amp;(COUNTIF(S$4:S148,$Q149&amp;"|S|*")+1))</f>
        <v/>
      </c>
      <c r="T149" s="769" t="str">
        <f>IF(OR($F149="",$P149="支払なし",$R149=0,$Q149=""),"",$Q149&amp;"|L|"&amp;(COUNTIF(T$4:T148,$Q149&amp;"|L|*")+1))</f>
        <v/>
      </c>
      <c r="U149" s="769" t="str">
        <f>IF($F149="","",13)</f>
        <v/>
      </c>
    </row>
    <row r="150" ht="16.5" customHeight="1" s="186">
      <c r="A150" s="760" t="n"/>
      <c r="B150" s="760" t="n"/>
      <c r="C150" s="762" t="n"/>
      <c r="D150" s="762" t="n"/>
      <c r="E150" s="775" t="n"/>
      <c r="F150" s="821" t="n"/>
      <c r="G150" s="821" t="n"/>
      <c r="H150" s="818">
        <f>IF(G150=1,F150-I150-J150-K150,IF(G150=2,F150,0))</f>
        <v>0</v>
      </c>
      <c r="I150" s="818">
        <f>ROUND(IF(G150=1,F150*10/23,IF(G150=3,F150-J150-K150,IF(G150=4,F150,IF(G150=5,F150*10/11,IF(G150=7,F150*10/11,0))))),0)</f>
        <v>0</v>
      </c>
      <c r="J150" s="818">
        <f>ROUND(IF(G150=1,F150/23,IF(G150=3,F150/12,IF(G150=5,F150-I150,IF(G150=8,F150,0)))),0)</f>
        <v>0</v>
      </c>
      <c r="K150" s="819">
        <f>ROUND(IF(G150=1,F150/23,IF(G150=3,F150/12,IF(G150=6,F150,IF(G150=7,F150-I150,0)))),0)</f>
        <v>0</v>
      </c>
      <c r="L150" s="820">
        <f>IF(G150=6,F150,0)</f>
        <v>0</v>
      </c>
      <c r="P150" s="768" t="n"/>
      <c r="Q150" s="769" t="str">
        <f>IF($F150="","",IFERROR(VLOOKUP($C150&amp;"|"&amp;$D150,科目表!$A$5:$B$200,2,FALSE),"※未登録"))</f>
        <v/>
      </c>
      <c r="R150" s="769" t="str">
        <f>IF($F150="","",$I150+$J150+$K150)</f>
        <v/>
      </c>
      <c r="S150" s="769" t="str">
        <f>IF(OR($F150="",$P150="支払なし",$H150=0,$Q150=""),"",$Q150&amp;"|S|"&amp;(COUNTIF(S$4:S149,$Q150&amp;"|S|*")+1))</f>
        <v/>
      </c>
      <c r="T150" s="769" t="str">
        <f>IF(OR($F150="",$P150="支払なし",$R150=0,$Q150=""),"",$Q150&amp;"|L|"&amp;(COUNTIF(T$4:T149,$Q150&amp;"|L|*")+1))</f>
        <v/>
      </c>
      <c r="U150" s="769" t="str">
        <f>IF($F150="","",13)</f>
        <v/>
      </c>
    </row>
    <row r="151" ht="16.5" customHeight="1" s="186">
      <c r="A151" s="760" t="n"/>
      <c r="B151" s="760" t="n"/>
      <c r="C151" s="762" t="n"/>
      <c r="D151" s="762" t="n"/>
      <c r="E151" s="775" t="n"/>
      <c r="F151" s="821" t="n"/>
      <c r="G151" s="821" t="n"/>
      <c r="H151" s="818">
        <f>IF(G151=1,F151-I151-J151-K151,IF(G151=2,F151,0))</f>
        <v>0</v>
      </c>
      <c r="I151" s="818">
        <f>ROUND(IF(G151=1,F151*10/23,IF(G151=3,F151-J151-K151,IF(G151=4,F151,IF(G151=5,F151*10/11,IF(G151=7,F151*10/11,0))))),0)</f>
        <v>0</v>
      </c>
      <c r="J151" s="818">
        <f>ROUND(IF(G151=1,F151/23,IF(G151=3,F151/12,IF(G151=5,F151-I151,IF(G151=8,F151,0)))),0)</f>
        <v>0</v>
      </c>
      <c r="K151" s="819">
        <f>ROUND(IF(G151=1,F151/23,IF(G151=3,F151/12,IF(G151=6,F151,IF(G151=7,F151-I151,0)))),0)</f>
        <v>0</v>
      </c>
      <c r="L151" s="820">
        <f>IF(G151=6,F151,0)</f>
        <v>0</v>
      </c>
      <c r="P151" s="768" t="n"/>
      <c r="Q151" s="769" t="str">
        <f>IF($F151="","",IFERROR(VLOOKUP($C151&amp;"|"&amp;$D151,科目表!$A$5:$B$200,2,FALSE),"※未登録"))</f>
        <v/>
      </c>
      <c r="R151" s="769" t="str">
        <f>IF($F151="","",$I151+$J151+$K151)</f>
        <v/>
      </c>
      <c r="S151" s="769" t="str">
        <f>IF(OR($F151="",$P151="支払なし",$H151=0,$Q151=""),"",$Q151&amp;"|S|"&amp;(COUNTIF(S$4:S150,$Q151&amp;"|S|*")+1))</f>
        <v/>
      </c>
      <c r="T151" s="769" t="str">
        <f>IF(OR($F151="",$P151="支払なし",$R151=0,$Q151=""),"",$Q151&amp;"|L|"&amp;(COUNTIF(T$4:T150,$Q151&amp;"|L|*")+1))</f>
        <v/>
      </c>
      <c r="U151" s="769" t="str">
        <f>IF($F151="","",13)</f>
        <v/>
      </c>
    </row>
    <row r="152" ht="16.5" customHeight="1" s="186">
      <c r="A152" s="760" t="n"/>
      <c r="B152" s="760" t="n"/>
      <c r="C152" s="762" t="n"/>
      <c r="D152" s="762" t="n"/>
      <c r="E152" s="775" t="n"/>
      <c r="F152" s="821" t="n"/>
      <c r="G152" s="821" t="n"/>
      <c r="H152" s="818">
        <f>IF(G152=1,F152-I152-J152-K152,IF(G152=2,F152,0))</f>
        <v>0</v>
      </c>
      <c r="I152" s="818">
        <f>ROUND(IF(G152=1,F152*10/23,IF(G152=3,F152-J152-K152,IF(G152=4,F152,IF(G152=5,F152*10/11,IF(G152=7,F152*10/11,0))))),0)</f>
        <v>0</v>
      </c>
      <c r="J152" s="818">
        <f>ROUND(IF(G152=1,F152/23,IF(G152=3,F152/12,IF(G152=5,F152-I152,IF(G152=8,F152,0)))),0)</f>
        <v>0</v>
      </c>
      <c r="K152" s="819">
        <f>ROUND(IF(G152=1,F152/23,IF(G152=3,F152/12,IF(G152=6,F152,IF(G152=7,F152-I152,0)))),0)</f>
        <v>0</v>
      </c>
      <c r="L152" s="820">
        <f>IF(G152=6,F152,0)</f>
        <v>0</v>
      </c>
      <c r="P152" s="768" t="n"/>
      <c r="Q152" s="769" t="str">
        <f>IF($F152="","",IFERROR(VLOOKUP($C152&amp;"|"&amp;$D152,科目表!$A$5:$B$200,2,FALSE),"※未登録"))</f>
        <v/>
      </c>
      <c r="R152" s="769" t="str">
        <f>IF($F152="","",$I152+$J152+$K152)</f>
        <v/>
      </c>
      <c r="S152" s="769" t="str">
        <f>IF(OR($F152="",$P152="支払なし",$H152=0,$Q152=""),"",$Q152&amp;"|S|"&amp;(COUNTIF(S$4:S151,$Q152&amp;"|S|*")+1))</f>
        <v/>
      </c>
      <c r="T152" s="769" t="str">
        <f>IF(OR($F152="",$P152="支払なし",$R152=0,$Q152=""),"",$Q152&amp;"|L|"&amp;(COUNTIF(T$4:T151,$Q152&amp;"|L|*")+1))</f>
        <v/>
      </c>
      <c r="U152" s="769" t="str">
        <f>IF($F152="","",13)</f>
        <v/>
      </c>
    </row>
    <row r="153" ht="16.5" customHeight="1" s="186">
      <c r="A153" s="760" t="n"/>
      <c r="B153" s="760" t="n"/>
      <c r="C153" s="762" t="n"/>
      <c r="D153" s="762" t="n"/>
      <c r="E153" s="775" t="n"/>
      <c r="F153" s="821" t="n"/>
      <c r="G153" s="821" t="n"/>
      <c r="H153" s="818">
        <f>IF(G153=1,F153-I153-J153-K153,IF(G153=2,F153,0))</f>
        <v>0</v>
      </c>
      <c r="I153" s="818">
        <f>ROUND(IF(G153=1,F153*10/23,IF(G153=3,F153-J153-K153,IF(G153=4,F153,IF(G153=5,F153*10/11,IF(G153=7,F153*10/11,0))))),0)</f>
        <v>0</v>
      </c>
      <c r="J153" s="818">
        <f>ROUND(IF(G153=1,F153/23,IF(G153=3,F153/12,IF(G153=5,F153-I153,IF(G153=8,F153,0)))),0)</f>
        <v>0</v>
      </c>
      <c r="K153" s="819">
        <f>ROUND(IF(G153=1,F153/23,IF(G153=3,F153/12,IF(G153=6,F153,IF(G153=7,F153-I153,0)))),0)</f>
        <v>0</v>
      </c>
      <c r="L153" s="820">
        <f>IF(G153=6,F153,0)</f>
        <v>0</v>
      </c>
      <c r="P153" s="768" t="n"/>
      <c r="Q153" s="769" t="str">
        <f>IF($F153="","",IFERROR(VLOOKUP($C153&amp;"|"&amp;$D153,科目表!$A$5:$B$200,2,FALSE),"※未登録"))</f>
        <v/>
      </c>
      <c r="R153" s="769" t="str">
        <f>IF($F153="","",$I153+$J153+$K153)</f>
        <v/>
      </c>
      <c r="S153" s="769" t="str">
        <f>IF(OR($F153="",$P153="支払なし",$H153=0,$Q153=""),"",$Q153&amp;"|S|"&amp;(COUNTIF(S$4:S152,$Q153&amp;"|S|*")+1))</f>
        <v/>
      </c>
      <c r="T153" s="769" t="str">
        <f>IF(OR($F153="",$P153="支払なし",$R153=0,$Q153=""),"",$Q153&amp;"|L|"&amp;(COUNTIF(T$4:T152,$Q153&amp;"|L|*")+1))</f>
        <v/>
      </c>
      <c r="U153" s="769" t="str">
        <f>IF($F153="","",13)</f>
        <v/>
      </c>
    </row>
    <row r="154" ht="16.5" customHeight="1" s="186">
      <c r="A154" s="760" t="n"/>
      <c r="B154" s="760" t="n"/>
      <c r="C154" s="762" t="n"/>
      <c r="D154" s="762" t="n"/>
      <c r="E154" s="775" t="n"/>
      <c r="F154" s="821" t="n"/>
      <c r="G154" s="821" t="n"/>
      <c r="H154" s="818">
        <f>IF(G154=1,F154-I154-J154-K154,IF(G154=2,F154,0))</f>
        <v>0</v>
      </c>
      <c r="I154" s="818">
        <f>ROUND(IF(G154=1,F154*10/23,IF(G154=3,F154-J154-K154,IF(G154=4,F154,IF(G154=5,F154*10/11,IF(G154=7,F154*10/11,0))))),0)</f>
        <v>0</v>
      </c>
      <c r="J154" s="818">
        <f>ROUND(IF(G154=1,F154/23,IF(G154=3,F154/12,IF(G154=5,F154-I154,IF(G154=8,F154,0)))),0)</f>
        <v>0</v>
      </c>
      <c r="K154" s="819">
        <f>ROUND(IF(G154=1,F154/23,IF(G154=3,F154/12,IF(G154=6,F154,IF(G154=7,F154-I154,0)))),0)</f>
        <v>0</v>
      </c>
      <c r="L154" s="820">
        <f>IF(G154=6,F154,0)</f>
        <v>0</v>
      </c>
      <c r="P154" s="768" t="n"/>
      <c r="Q154" s="769" t="str">
        <f>IF($F154="","",IFERROR(VLOOKUP($C154&amp;"|"&amp;$D154,科目表!$A$5:$B$200,2,FALSE),"※未登録"))</f>
        <v/>
      </c>
      <c r="R154" s="769" t="str">
        <f>IF($F154="","",$I154+$J154+$K154)</f>
        <v/>
      </c>
      <c r="S154" s="769" t="str">
        <f>IF(OR($F154="",$P154="支払なし",$H154=0,$Q154=""),"",$Q154&amp;"|S|"&amp;(COUNTIF(S$4:S153,$Q154&amp;"|S|*")+1))</f>
        <v/>
      </c>
      <c r="T154" s="769" t="str">
        <f>IF(OR($F154="",$P154="支払なし",$R154=0,$Q154=""),"",$Q154&amp;"|L|"&amp;(COUNTIF(T$4:T153,$Q154&amp;"|L|*")+1))</f>
        <v/>
      </c>
      <c r="U154" s="769" t="str">
        <f>IF($F154="","",13)</f>
        <v/>
      </c>
    </row>
    <row r="155" ht="16.5" customHeight="1" s="186">
      <c r="A155" s="760" t="n"/>
      <c r="B155" s="760" t="n"/>
      <c r="C155" s="762" t="n"/>
      <c r="D155" s="762" t="n"/>
      <c r="E155" s="775" t="n"/>
      <c r="F155" s="821" t="n"/>
      <c r="G155" s="821" t="n"/>
      <c r="H155" s="818">
        <f>IF(G155=1,F155-I155-J155-K155,IF(G155=2,F155,0))</f>
        <v>0</v>
      </c>
      <c r="I155" s="818">
        <f>ROUND(IF(G155=1,F155*10/23,IF(G155=3,F155-J155-K155,IF(G155=4,F155,IF(G155=5,F155*10/11,IF(G155=7,F155*10/11,0))))),0)</f>
        <v>0</v>
      </c>
      <c r="J155" s="818">
        <f>ROUND(IF(G155=1,F155/23,IF(G155=3,F155/12,IF(G155=5,F155-I155,IF(G155=8,F155,0)))),0)</f>
        <v>0</v>
      </c>
      <c r="K155" s="819">
        <f>ROUND(IF(G155=1,F155/23,IF(G155=3,F155/12,IF(G155=6,F155,IF(G155=7,F155-I155,0)))),0)</f>
        <v>0</v>
      </c>
      <c r="L155" s="820">
        <f>IF(G155=6,F155,0)</f>
        <v>0</v>
      </c>
      <c r="P155" s="768" t="n"/>
      <c r="Q155" s="769" t="str">
        <f>IF($F155="","",IFERROR(VLOOKUP($C155&amp;"|"&amp;$D155,科目表!$A$5:$B$200,2,FALSE),"※未登録"))</f>
        <v/>
      </c>
      <c r="R155" s="769" t="str">
        <f>IF($F155="","",$I155+$J155+$K155)</f>
        <v/>
      </c>
      <c r="S155" s="769" t="str">
        <f>IF(OR($F155="",$P155="支払なし",$H155=0,$Q155=""),"",$Q155&amp;"|S|"&amp;(COUNTIF(S$4:S154,$Q155&amp;"|S|*")+1))</f>
        <v/>
      </c>
      <c r="T155" s="769" t="str">
        <f>IF(OR($F155="",$P155="支払なし",$R155=0,$Q155=""),"",$Q155&amp;"|L|"&amp;(COUNTIF(T$4:T154,$Q155&amp;"|L|*")+1))</f>
        <v/>
      </c>
      <c r="U155" s="769" t="str">
        <f>IF($F155="","",13)</f>
        <v/>
      </c>
    </row>
    <row r="156" ht="16.5" customHeight="1" s="186">
      <c r="A156" s="760" t="n"/>
      <c r="B156" s="760" t="n"/>
      <c r="C156" s="762" t="n"/>
      <c r="D156" s="762" t="n"/>
      <c r="E156" s="775" t="n"/>
      <c r="F156" s="821" t="n"/>
      <c r="G156" s="821" t="n"/>
      <c r="H156" s="818">
        <f>IF(G156=1,F156-I156-J156-K156,IF(G156=2,F156,0))</f>
        <v>0</v>
      </c>
      <c r="I156" s="818">
        <f>ROUND(IF(G156=1,F156*10/23,IF(G156=3,F156-J156-K156,IF(G156=4,F156,IF(G156=5,F156*10/11,IF(G156=7,F156*10/11,0))))),0)</f>
        <v>0</v>
      </c>
      <c r="J156" s="818">
        <f>ROUND(IF(G156=1,F156/23,IF(G156=3,F156/12,IF(G156=5,F156-I156,IF(G156=8,F156,0)))),0)</f>
        <v>0</v>
      </c>
      <c r="K156" s="819">
        <f>ROUND(IF(G156=1,F156/23,IF(G156=3,F156/12,IF(G156=6,F156,IF(G156=7,F156-I156,0)))),0)</f>
        <v>0</v>
      </c>
      <c r="L156" s="820">
        <f>IF(G156=6,F156,0)</f>
        <v>0</v>
      </c>
      <c r="P156" s="768" t="n"/>
      <c r="Q156" s="769" t="str">
        <f>IF($F156="","",IFERROR(VLOOKUP($C156&amp;"|"&amp;$D156,科目表!$A$5:$B$200,2,FALSE),"※未登録"))</f>
        <v/>
      </c>
      <c r="R156" s="769" t="str">
        <f>IF($F156="","",$I156+$J156+$K156)</f>
        <v/>
      </c>
      <c r="S156" s="769" t="str">
        <f>IF(OR($F156="",$P156="支払なし",$H156=0,$Q156=""),"",$Q156&amp;"|S|"&amp;(COUNTIF(S$4:S155,$Q156&amp;"|S|*")+1))</f>
        <v/>
      </c>
      <c r="T156" s="769" t="str">
        <f>IF(OR($F156="",$P156="支払なし",$R156=0,$Q156=""),"",$Q156&amp;"|L|"&amp;(COUNTIF(T$4:T155,$Q156&amp;"|L|*")+1))</f>
        <v/>
      </c>
      <c r="U156" s="769" t="str">
        <f>IF($F156="","",13)</f>
        <v/>
      </c>
    </row>
    <row r="157" ht="16.5" customHeight="1" s="186">
      <c r="A157" s="760" t="n"/>
      <c r="B157" s="760" t="n"/>
      <c r="C157" s="762" t="n"/>
      <c r="D157" s="762" t="n"/>
      <c r="E157" s="775" t="n"/>
      <c r="F157" s="821" t="n"/>
      <c r="G157" s="821" t="n"/>
      <c r="H157" s="818">
        <f>IF(G157=1,F157-I157-J157-K157,IF(G157=2,F157,0))</f>
        <v>0</v>
      </c>
      <c r="I157" s="818">
        <f>ROUND(IF(G157=1,F157*10/23,IF(G157=3,F157-J157-K157,IF(G157=4,F157,IF(G157=5,F157*10/11,IF(G157=7,F157*10/11,0))))),0)</f>
        <v>0</v>
      </c>
      <c r="J157" s="818">
        <f>ROUND(IF(G157=1,F157/23,IF(G157=3,F157/12,IF(G157=5,F157-I157,IF(G157=8,F157,0)))),0)</f>
        <v>0</v>
      </c>
      <c r="K157" s="819">
        <f>ROUND(IF(G157=1,F157/23,IF(G157=3,F157/12,IF(G157=6,F157,IF(G157=7,F157-I157,0)))),0)</f>
        <v>0</v>
      </c>
      <c r="L157" s="820">
        <f>IF(G157=6,F157,0)</f>
        <v>0</v>
      </c>
      <c r="P157" s="768" t="n"/>
      <c r="Q157" s="769" t="str">
        <f>IF($F157="","",IFERROR(VLOOKUP($C157&amp;"|"&amp;$D157,科目表!$A$5:$B$200,2,FALSE),"※未登録"))</f>
        <v/>
      </c>
      <c r="R157" s="769" t="str">
        <f>IF($F157="","",$I157+$J157+$K157)</f>
        <v/>
      </c>
      <c r="S157" s="769" t="str">
        <f>IF(OR($F157="",$P157="支払なし",$H157=0,$Q157=""),"",$Q157&amp;"|S|"&amp;(COUNTIF(S$4:S156,$Q157&amp;"|S|*")+1))</f>
        <v/>
      </c>
      <c r="T157" s="769" t="str">
        <f>IF(OR($F157="",$P157="支払なし",$R157=0,$Q157=""),"",$Q157&amp;"|L|"&amp;(COUNTIF(T$4:T156,$Q157&amp;"|L|*")+1))</f>
        <v/>
      </c>
      <c r="U157" s="769" t="str">
        <f>IF($F157="","",13)</f>
        <v/>
      </c>
    </row>
    <row r="158" ht="16.5" customHeight="1" s="186">
      <c r="A158" s="760" t="n"/>
      <c r="B158" s="760" t="n"/>
      <c r="C158" s="762" t="n"/>
      <c r="D158" s="762" t="n"/>
      <c r="E158" s="775" t="n"/>
      <c r="F158" s="821" t="n"/>
      <c r="G158" s="821" t="n"/>
      <c r="H158" s="818">
        <f>IF(G158=1,F158-I158-J158-K158,IF(G158=2,F158,0))</f>
        <v>0</v>
      </c>
      <c r="I158" s="818">
        <f>ROUND(IF(G158=1,F158*10/23,IF(G158=3,F158-J158-K158,IF(G158=4,F158,IF(G158=5,F158*10/11,IF(G158=7,F158*10/11,0))))),0)</f>
        <v>0</v>
      </c>
      <c r="J158" s="818">
        <f>ROUND(IF(G158=1,F158/23,IF(G158=3,F158/12,IF(G158=5,F158-I158,IF(G158=8,F158,0)))),0)</f>
        <v>0</v>
      </c>
      <c r="K158" s="819">
        <f>ROUND(IF(G158=1,F158/23,IF(G158=3,F158/12,IF(G158=6,F158,IF(G158=7,F158-I158,0)))),0)</f>
        <v>0</v>
      </c>
      <c r="L158" s="820">
        <f>IF(G158=6,F158,0)</f>
        <v>0</v>
      </c>
      <c r="P158" s="768" t="n"/>
      <c r="Q158" s="769" t="str">
        <f>IF($F158="","",IFERROR(VLOOKUP($C158&amp;"|"&amp;$D158,科目表!$A$5:$B$200,2,FALSE),"※未登録"))</f>
        <v/>
      </c>
      <c r="R158" s="769" t="str">
        <f>IF($F158="","",$I158+$J158+$K158)</f>
        <v/>
      </c>
      <c r="S158" s="769" t="str">
        <f>IF(OR($F158="",$P158="支払なし",$H158=0,$Q158=""),"",$Q158&amp;"|S|"&amp;(COUNTIF(S$4:S157,$Q158&amp;"|S|*")+1))</f>
        <v/>
      </c>
      <c r="T158" s="769" t="str">
        <f>IF(OR($F158="",$P158="支払なし",$R158=0,$Q158=""),"",$Q158&amp;"|L|"&amp;(COUNTIF(T$4:T157,$Q158&amp;"|L|*")+1))</f>
        <v/>
      </c>
      <c r="U158" s="769" t="str">
        <f>IF($F158="","",13)</f>
        <v/>
      </c>
    </row>
    <row r="159" ht="16.5" customHeight="1" s="186">
      <c r="A159" s="760" t="n"/>
      <c r="B159" s="760" t="n"/>
      <c r="C159" s="762" t="n"/>
      <c r="D159" s="762" t="n"/>
      <c r="E159" s="775" t="n"/>
      <c r="F159" s="821" t="n"/>
      <c r="G159" s="821" t="n"/>
      <c r="H159" s="818">
        <f>IF(G159=1,F159-I159-J159-K159,IF(G159=2,F159,0))</f>
        <v>0</v>
      </c>
      <c r="I159" s="818">
        <f>ROUND(IF(G159=1,F159*10/23,IF(G159=3,F159-J159-K159,IF(G159=4,F159,IF(G159=5,F159*10/11,IF(G159=7,F159*10/11,0))))),0)</f>
        <v>0</v>
      </c>
      <c r="J159" s="818">
        <f>ROUND(IF(G159=1,F159/23,IF(G159=3,F159/12,IF(G159=5,F159-I159,IF(G159=8,F159,0)))),0)</f>
        <v>0</v>
      </c>
      <c r="K159" s="819">
        <f>ROUND(IF(G159=1,F159/23,IF(G159=3,F159/12,IF(G159=6,F159,IF(G159=7,F159-I159,0)))),0)</f>
        <v>0</v>
      </c>
      <c r="L159" s="820">
        <f>IF(G159=6,F159,0)</f>
        <v>0</v>
      </c>
      <c r="P159" s="768" t="n"/>
      <c r="Q159" s="769" t="str">
        <f>IF($F159="","",IFERROR(VLOOKUP($C159&amp;"|"&amp;$D159,科目表!$A$5:$B$200,2,FALSE),"※未登録"))</f>
        <v/>
      </c>
      <c r="R159" s="769" t="str">
        <f>IF($F159="","",$I159+$J159+$K159)</f>
        <v/>
      </c>
      <c r="S159" s="769" t="str">
        <f>IF(OR($F159="",$P159="支払なし",$H159=0,$Q159=""),"",$Q159&amp;"|S|"&amp;(COUNTIF(S$4:S158,$Q159&amp;"|S|*")+1))</f>
        <v/>
      </c>
      <c r="T159" s="769" t="str">
        <f>IF(OR($F159="",$P159="支払なし",$R159=0,$Q159=""),"",$Q159&amp;"|L|"&amp;(COUNTIF(T$4:T158,$Q159&amp;"|L|*")+1))</f>
        <v/>
      </c>
      <c r="U159" s="769" t="str">
        <f>IF($F159="","",13)</f>
        <v/>
      </c>
    </row>
    <row r="160" ht="16.5" customHeight="1" s="186">
      <c r="A160" s="760" t="n"/>
      <c r="B160" s="760" t="n"/>
      <c r="C160" s="762" t="n"/>
      <c r="D160" s="762" t="n"/>
      <c r="E160" s="775" t="n"/>
      <c r="F160" s="821" t="n"/>
      <c r="G160" s="821" t="n"/>
      <c r="H160" s="818">
        <f>IF(G160=1,F160-I160-J160-K160,IF(G160=2,F160,0))</f>
        <v>0</v>
      </c>
      <c r="I160" s="818">
        <f>ROUND(IF(G160=1,F160*10/23,IF(G160=3,F160-J160-K160,IF(G160=4,F160,IF(G160=5,F160*10/11,IF(G160=7,F160*10/11,0))))),0)</f>
        <v>0</v>
      </c>
      <c r="J160" s="818">
        <f>ROUND(IF(G160=1,F160/23,IF(G160=3,F160/12,IF(G160=5,F160-I160,IF(G160=8,F160,0)))),0)</f>
        <v>0</v>
      </c>
      <c r="K160" s="819">
        <f>ROUND(IF(G160=1,F160/23,IF(G160=3,F160/12,IF(G160=6,F160,IF(G160=7,F160-I160,0)))),0)</f>
        <v>0</v>
      </c>
      <c r="L160" s="820">
        <f>IF(G160=6,F160,0)</f>
        <v>0</v>
      </c>
      <c r="P160" s="768" t="n"/>
      <c r="Q160" s="769" t="str">
        <f>IF($F160="","",IFERROR(VLOOKUP($C160&amp;"|"&amp;$D160,科目表!$A$5:$B$200,2,FALSE),"※未登録"))</f>
        <v/>
      </c>
      <c r="R160" s="769" t="str">
        <f>IF($F160="","",$I160+$J160+$K160)</f>
        <v/>
      </c>
      <c r="S160" s="769" t="str">
        <f>IF(OR($F160="",$P160="支払なし",$H160=0,$Q160=""),"",$Q160&amp;"|S|"&amp;(COUNTIF(S$4:S159,$Q160&amp;"|S|*")+1))</f>
        <v/>
      </c>
      <c r="T160" s="769" t="str">
        <f>IF(OR($F160="",$P160="支払なし",$R160=0,$Q160=""),"",$Q160&amp;"|L|"&amp;(COUNTIF(T$4:T159,$Q160&amp;"|L|*")+1))</f>
        <v/>
      </c>
      <c r="U160" s="769" t="str">
        <f>IF($F160="","",13)</f>
        <v/>
      </c>
    </row>
    <row r="161" ht="16.5" customHeight="1" s="186">
      <c r="A161" s="760" t="n"/>
      <c r="B161" s="760" t="n"/>
      <c r="C161" s="762" t="n"/>
      <c r="D161" s="762" t="n"/>
      <c r="E161" s="775" t="n"/>
      <c r="F161" s="821" t="n"/>
      <c r="G161" s="821" t="n"/>
      <c r="H161" s="818">
        <f>IF(G161=1,F161-I161-J161-K161,IF(G161=2,F161,0))</f>
        <v>0</v>
      </c>
      <c r="I161" s="818">
        <f>ROUND(IF(G161=1,F161*10/23,IF(G161=3,F161-J161-K161,IF(G161=4,F161,IF(G161=5,F161*10/11,IF(G161=7,F161*10/11,0))))),0)</f>
        <v>0</v>
      </c>
      <c r="J161" s="818">
        <f>ROUND(IF(G161=1,F161/23,IF(G161=3,F161/12,IF(G161=5,F161-I161,IF(G161=8,F161,0)))),0)</f>
        <v>0</v>
      </c>
      <c r="K161" s="819">
        <f>ROUND(IF(G161=1,F161/23,IF(G161=3,F161/12,IF(G161=6,F161,IF(G161=7,F161-I161,0)))),0)</f>
        <v>0</v>
      </c>
      <c r="L161" s="820">
        <f>IF(G161=6,F161,0)</f>
        <v>0</v>
      </c>
      <c r="P161" s="768" t="n"/>
      <c r="Q161" s="769" t="str">
        <f>IF($F161="","",IFERROR(VLOOKUP($C161&amp;"|"&amp;$D161,科目表!$A$5:$B$200,2,FALSE),"※未登録"))</f>
        <v/>
      </c>
      <c r="R161" s="769" t="str">
        <f>IF($F161="","",$I161+$J161+$K161)</f>
        <v/>
      </c>
      <c r="S161" s="769" t="str">
        <f>IF(OR($F161="",$P161="支払なし",$H161=0,$Q161=""),"",$Q161&amp;"|S|"&amp;(COUNTIF(S$4:S160,$Q161&amp;"|S|*")+1))</f>
        <v/>
      </c>
      <c r="T161" s="769" t="str">
        <f>IF(OR($F161="",$P161="支払なし",$R161=0,$Q161=""),"",$Q161&amp;"|L|"&amp;(COUNTIF(T$4:T160,$Q161&amp;"|L|*")+1))</f>
        <v/>
      </c>
      <c r="U161" s="769" t="str">
        <f>IF($F161="","",13)</f>
        <v/>
      </c>
    </row>
    <row r="162" ht="16.5" customHeight="1" s="186">
      <c r="A162" s="760" t="n"/>
      <c r="B162" s="760" t="n"/>
      <c r="C162" s="762" t="n"/>
      <c r="D162" s="762" t="n"/>
      <c r="E162" s="775" t="n"/>
      <c r="F162" s="821" t="n"/>
      <c r="G162" s="821" t="n"/>
      <c r="H162" s="818">
        <f>IF(G162=1,F162-I162-J162-K162,IF(G162=2,F162,0))</f>
        <v>0</v>
      </c>
      <c r="I162" s="818">
        <f>ROUND(IF(G162=1,F162*10/23,IF(G162=3,F162-J162-K162,IF(G162=4,F162,IF(G162=5,F162*10/11,IF(G162=7,F162*10/11,0))))),0)</f>
        <v>0</v>
      </c>
      <c r="J162" s="818">
        <f>ROUND(IF(G162=1,F162/23,IF(G162=3,F162/12,IF(G162=5,F162-I162,IF(G162=8,F162,0)))),0)</f>
        <v>0</v>
      </c>
      <c r="K162" s="819">
        <f>ROUND(IF(G162=1,F162/23,IF(G162=3,F162/12,IF(G162=6,F162,IF(G162=7,F162-I162,0)))),0)</f>
        <v>0</v>
      </c>
      <c r="L162" s="820">
        <f>IF(G162=6,F162,0)</f>
        <v>0</v>
      </c>
      <c r="P162" s="768" t="n"/>
      <c r="Q162" s="769" t="str">
        <f>IF($F162="","",IFERROR(VLOOKUP($C162&amp;"|"&amp;$D162,科目表!$A$5:$B$200,2,FALSE),"※未登録"))</f>
        <v/>
      </c>
      <c r="R162" s="769" t="str">
        <f>IF($F162="","",$I162+$J162+$K162)</f>
        <v/>
      </c>
      <c r="S162" s="769" t="str">
        <f>IF(OR($F162="",$P162="支払なし",$H162=0,$Q162=""),"",$Q162&amp;"|S|"&amp;(COUNTIF(S$4:S161,$Q162&amp;"|S|*")+1))</f>
        <v/>
      </c>
      <c r="T162" s="769" t="str">
        <f>IF(OR($F162="",$P162="支払なし",$R162=0,$Q162=""),"",$Q162&amp;"|L|"&amp;(COUNTIF(T$4:T161,$Q162&amp;"|L|*")+1))</f>
        <v/>
      </c>
      <c r="U162" s="769" t="str">
        <f>IF($F162="","",13)</f>
        <v/>
      </c>
    </row>
    <row r="163" ht="16.5" customHeight="1" s="186">
      <c r="A163" s="760" t="n"/>
      <c r="B163" s="760" t="n"/>
      <c r="C163" s="762" t="n"/>
      <c r="D163" s="762" t="n"/>
      <c r="E163" s="775" t="n"/>
      <c r="F163" s="821" t="n"/>
      <c r="G163" s="821" t="n"/>
      <c r="H163" s="818">
        <f>IF(G163=1,F163-I163-J163-K163,IF(G163=2,F163,0))</f>
        <v>0</v>
      </c>
      <c r="I163" s="818">
        <f>ROUND(IF(G163=1,F163*10/23,IF(G163=3,F163-J163-K163,IF(G163=4,F163,IF(G163=5,F163*10/11,IF(G163=7,F163*10/11,0))))),0)</f>
        <v>0</v>
      </c>
      <c r="J163" s="818">
        <f>ROUND(IF(G163=1,F163/23,IF(G163=3,F163/12,IF(G163=5,F163-I163,IF(G163=8,F163,0)))),0)</f>
        <v>0</v>
      </c>
      <c r="K163" s="819">
        <f>ROUND(IF(G163=1,F163/23,IF(G163=3,F163/12,IF(G163=6,F163,IF(G163=7,F163-I163,0)))),0)</f>
        <v>0</v>
      </c>
      <c r="L163" s="820">
        <f>IF(G163=6,F163,0)</f>
        <v>0</v>
      </c>
      <c r="P163" s="768" t="n"/>
      <c r="Q163" s="769" t="str">
        <f>IF($F163="","",IFERROR(VLOOKUP($C163&amp;"|"&amp;$D163,科目表!$A$5:$B$200,2,FALSE),"※未登録"))</f>
        <v/>
      </c>
      <c r="R163" s="769" t="str">
        <f>IF($F163="","",$I163+$J163+$K163)</f>
        <v/>
      </c>
      <c r="S163" s="769" t="str">
        <f>IF(OR($F163="",$P163="支払なし",$H163=0,$Q163=""),"",$Q163&amp;"|S|"&amp;(COUNTIF(S$4:S162,$Q163&amp;"|S|*")+1))</f>
        <v/>
      </c>
      <c r="T163" s="769" t="str">
        <f>IF(OR($F163="",$P163="支払なし",$R163=0,$Q163=""),"",$Q163&amp;"|L|"&amp;(COUNTIF(T$4:T162,$Q163&amp;"|L|*")+1))</f>
        <v/>
      </c>
      <c r="U163" s="769" t="str">
        <f>IF($F163="","",13)</f>
        <v/>
      </c>
    </row>
    <row r="164" ht="16.5" customHeight="1" s="186">
      <c r="A164" s="760" t="n"/>
      <c r="B164" s="760" t="n"/>
      <c r="C164" s="762" t="n"/>
      <c r="D164" s="762" t="n"/>
      <c r="E164" s="775" t="n"/>
      <c r="F164" s="821" t="n"/>
      <c r="G164" s="821" t="n"/>
      <c r="H164" s="818">
        <f>IF(G164=1,F164-I164-J164-K164,IF(G164=2,F164,0))</f>
        <v>0</v>
      </c>
      <c r="I164" s="818">
        <f>ROUND(IF(G164=1,F164*10/23,IF(G164=3,F164-J164-K164,IF(G164=4,F164,IF(G164=5,F164*10/11,IF(G164=7,F164*10/11,0))))),0)</f>
        <v>0</v>
      </c>
      <c r="J164" s="818">
        <f>ROUND(IF(G164=1,F164/23,IF(G164=3,F164/12,IF(G164=5,F164-I164,IF(G164=8,F164,0)))),0)</f>
        <v>0</v>
      </c>
      <c r="K164" s="819">
        <f>ROUND(IF(G164=1,F164/23,IF(G164=3,F164/12,IF(G164=6,F164,IF(G164=7,F164-I164,0)))),0)</f>
        <v>0</v>
      </c>
      <c r="L164" s="820">
        <f>IF(G164=6,F164,0)</f>
        <v>0</v>
      </c>
      <c r="P164" s="768" t="n"/>
      <c r="Q164" s="769" t="str">
        <f>IF($F164="","",IFERROR(VLOOKUP($C164&amp;"|"&amp;$D164,科目表!$A$5:$B$200,2,FALSE),"※未登録"))</f>
        <v/>
      </c>
      <c r="R164" s="769" t="str">
        <f>IF($F164="","",$I164+$J164+$K164)</f>
        <v/>
      </c>
      <c r="S164" s="769" t="str">
        <f>IF(OR($F164="",$P164="支払なし",$H164=0,$Q164=""),"",$Q164&amp;"|S|"&amp;(COUNTIF(S$4:S163,$Q164&amp;"|S|*")+1))</f>
        <v/>
      </c>
      <c r="T164" s="769" t="str">
        <f>IF(OR($F164="",$P164="支払なし",$R164=0,$Q164=""),"",$Q164&amp;"|L|"&amp;(COUNTIF(T$4:T163,$Q164&amp;"|L|*")+1))</f>
        <v/>
      </c>
      <c r="U164" s="769" t="str">
        <f>IF($F164="","",13)</f>
        <v/>
      </c>
    </row>
    <row r="165" ht="16.5" customHeight="1" s="186">
      <c r="A165" s="760" t="n"/>
      <c r="B165" s="760" t="n"/>
      <c r="C165" s="762" t="n"/>
      <c r="D165" s="762" t="n"/>
      <c r="E165" s="775" t="n"/>
      <c r="F165" s="821" t="n"/>
      <c r="G165" s="821" t="n"/>
      <c r="H165" s="818">
        <f>IF(G165=1,F165-I165-J165-K165,IF(G165=2,F165,0))</f>
        <v>0</v>
      </c>
      <c r="I165" s="818">
        <f>ROUND(IF(G165=1,F165*10/23,IF(G165=3,F165-J165-K165,IF(G165=4,F165,IF(G165=5,F165*10/11,IF(G165=7,F165*10/11,0))))),0)</f>
        <v>0</v>
      </c>
      <c r="J165" s="818">
        <f>ROUND(IF(G165=1,F165/23,IF(G165=3,F165/12,IF(G165=5,F165-I165,IF(G165=8,F165,0)))),0)</f>
        <v>0</v>
      </c>
      <c r="K165" s="819">
        <f>ROUND(IF(G165=1,F165/23,IF(G165=3,F165/12,IF(G165=6,F165,IF(G165=7,F165-I165,0)))),0)</f>
        <v>0</v>
      </c>
      <c r="L165" s="820">
        <f>IF(G165=6,F165,0)</f>
        <v>0</v>
      </c>
      <c r="P165" s="768" t="n"/>
      <c r="Q165" s="769" t="str">
        <f>IF($F165="","",IFERROR(VLOOKUP($C165&amp;"|"&amp;$D165,科目表!$A$5:$B$200,2,FALSE),"※未登録"))</f>
        <v/>
      </c>
      <c r="R165" s="769" t="str">
        <f>IF($F165="","",$I165+$J165+$K165)</f>
        <v/>
      </c>
      <c r="S165" s="769" t="str">
        <f>IF(OR($F165="",$P165="支払なし",$H165=0,$Q165=""),"",$Q165&amp;"|S|"&amp;(COUNTIF(S$4:S164,$Q165&amp;"|S|*")+1))</f>
        <v/>
      </c>
      <c r="T165" s="769" t="str">
        <f>IF(OR($F165="",$P165="支払なし",$R165=0,$Q165=""),"",$Q165&amp;"|L|"&amp;(COUNTIF(T$4:T164,$Q165&amp;"|L|*")+1))</f>
        <v/>
      </c>
      <c r="U165" s="769" t="str">
        <f>IF($F165="","",13)</f>
        <v/>
      </c>
    </row>
    <row r="166" ht="16.5" customHeight="1" s="186">
      <c r="A166" s="760" t="n"/>
      <c r="B166" s="760" t="n"/>
      <c r="C166" s="762" t="n"/>
      <c r="D166" s="762" t="n"/>
      <c r="E166" s="775" t="n"/>
      <c r="F166" s="821" t="n"/>
      <c r="G166" s="821" t="n"/>
      <c r="H166" s="818">
        <f>IF(G166=1,F166-I166-J166-K166,IF(G166=2,F166,0))</f>
        <v>0</v>
      </c>
      <c r="I166" s="818">
        <f>ROUND(IF(G166=1,F166*10/23,IF(G166=3,F166-J166-K166,IF(G166=4,F166,IF(G166=5,F166*10/11,IF(G166=7,F166*10/11,0))))),0)</f>
        <v>0</v>
      </c>
      <c r="J166" s="818">
        <f>ROUND(IF(G166=1,F166/23,IF(G166=3,F166/12,IF(G166=5,F166-I166,IF(G166=8,F166,0)))),0)</f>
        <v>0</v>
      </c>
      <c r="K166" s="819">
        <f>ROUND(IF(G166=1,F166/23,IF(G166=3,F166/12,IF(G166=6,F166,IF(G166=7,F166-I166,0)))),0)</f>
        <v>0</v>
      </c>
      <c r="L166" s="820">
        <f>IF(G166=6,F166,0)</f>
        <v>0</v>
      </c>
      <c r="P166" s="768" t="n"/>
      <c r="Q166" s="769" t="str">
        <f>IF($F166="","",IFERROR(VLOOKUP($C166&amp;"|"&amp;$D166,科目表!$A$5:$B$200,2,FALSE),"※未登録"))</f>
        <v/>
      </c>
      <c r="R166" s="769" t="str">
        <f>IF($F166="","",$I166+$J166+$K166)</f>
        <v/>
      </c>
      <c r="S166" s="769" t="str">
        <f>IF(OR($F166="",$P166="支払なし",$H166=0,$Q166=""),"",$Q166&amp;"|S|"&amp;(COUNTIF(S$4:S165,$Q166&amp;"|S|*")+1))</f>
        <v/>
      </c>
      <c r="T166" s="769" t="str">
        <f>IF(OR($F166="",$P166="支払なし",$R166=0,$Q166=""),"",$Q166&amp;"|L|"&amp;(COUNTIF(T$4:T165,$Q166&amp;"|L|*")+1))</f>
        <v/>
      </c>
      <c r="U166" s="769" t="str">
        <f>IF($F166="","",13)</f>
        <v/>
      </c>
    </row>
    <row r="167" ht="16.5" customHeight="1" s="186">
      <c r="A167" s="760" t="n"/>
      <c r="B167" s="760" t="n"/>
      <c r="C167" s="762" t="n"/>
      <c r="D167" s="762" t="n"/>
      <c r="E167" s="775" t="n"/>
      <c r="F167" s="821" t="n"/>
      <c r="G167" s="821" t="n"/>
      <c r="H167" s="818">
        <f>IF(G167=1,F167-I167-J167-K167,IF(G167=2,F167,0))</f>
        <v>0</v>
      </c>
      <c r="I167" s="818">
        <f>ROUND(IF(G167=1,F167*10/23,IF(G167=3,F167-J167-K167,IF(G167=4,F167,IF(G167=5,F167*10/11,IF(G167=7,F167*10/11,0))))),0)</f>
        <v>0</v>
      </c>
      <c r="J167" s="818">
        <f>ROUND(IF(G167=1,F167/23,IF(G167=3,F167/12,IF(G167=5,F167-I167,IF(G167=8,F167,0)))),0)</f>
        <v>0</v>
      </c>
      <c r="K167" s="819">
        <f>ROUND(IF(G167=1,F167/23,IF(G167=3,F167/12,IF(G167=6,F167,IF(G167=7,F167-I167,0)))),0)</f>
        <v>0</v>
      </c>
      <c r="L167" s="820">
        <f>IF(G167=6,F167,0)</f>
        <v>0</v>
      </c>
      <c r="P167" s="768" t="n"/>
      <c r="Q167" s="769" t="str">
        <f>IF($F167="","",IFERROR(VLOOKUP($C167&amp;"|"&amp;$D167,科目表!$A$5:$B$200,2,FALSE),"※未登録"))</f>
        <v/>
      </c>
      <c r="R167" s="769" t="str">
        <f>IF($F167="","",$I167+$J167+$K167)</f>
        <v/>
      </c>
      <c r="S167" s="769" t="str">
        <f>IF(OR($F167="",$P167="支払なし",$H167=0,$Q167=""),"",$Q167&amp;"|S|"&amp;(COUNTIF(S$4:S166,$Q167&amp;"|S|*")+1))</f>
        <v/>
      </c>
      <c r="T167" s="769" t="str">
        <f>IF(OR($F167="",$P167="支払なし",$R167=0,$Q167=""),"",$Q167&amp;"|L|"&amp;(COUNTIF(T$4:T166,$Q167&amp;"|L|*")+1))</f>
        <v/>
      </c>
      <c r="U167" s="769" t="str">
        <f>IF($F167="","",13)</f>
        <v/>
      </c>
    </row>
    <row r="168" ht="16.5" customHeight="1" s="186">
      <c r="A168" s="760" t="n"/>
      <c r="B168" s="760" t="n"/>
      <c r="C168" s="762" t="n"/>
      <c r="D168" s="762" t="n"/>
      <c r="E168" s="775" t="n"/>
      <c r="F168" s="821" t="n"/>
      <c r="G168" s="821" t="n"/>
      <c r="H168" s="818">
        <f>IF(G168=1,F168-I168-J168-K168,IF(G168=2,F168,0))</f>
        <v>0</v>
      </c>
      <c r="I168" s="818">
        <f>ROUND(IF(G168=1,F168*10/23,IF(G168=3,F168-J168-K168,IF(G168=4,F168,IF(G168=5,F168*10/11,IF(G168=7,F168*10/11,0))))),0)</f>
        <v>0</v>
      </c>
      <c r="J168" s="818">
        <f>ROUND(IF(G168=1,F168/23,IF(G168=3,F168/12,IF(G168=5,F168-I168,IF(G168=8,F168,0)))),0)</f>
        <v>0</v>
      </c>
      <c r="K168" s="819">
        <f>ROUND(IF(G168=1,F168/23,IF(G168=3,F168/12,IF(G168=6,F168,IF(G168=7,F168-I168,0)))),0)</f>
        <v>0</v>
      </c>
      <c r="L168" s="820">
        <f>IF(G168=6,F168,0)</f>
        <v>0</v>
      </c>
      <c r="P168" s="768" t="n"/>
      <c r="Q168" s="769" t="str">
        <f>IF($F168="","",IFERROR(VLOOKUP($C168&amp;"|"&amp;$D168,科目表!$A$5:$B$200,2,FALSE),"※未登録"))</f>
        <v/>
      </c>
      <c r="R168" s="769" t="str">
        <f>IF($F168="","",$I168+$J168+$K168)</f>
        <v/>
      </c>
      <c r="S168" s="769" t="str">
        <f>IF(OR($F168="",$P168="支払なし",$H168=0,$Q168=""),"",$Q168&amp;"|S|"&amp;(COUNTIF(S$4:S167,$Q168&amp;"|S|*")+1))</f>
        <v/>
      </c>
      <c r="T168" s="769" t="str">
        <f>IF(OR($F168="",$P168="支払なし",$R168=0,$Q168=""),"",$Q168&amp;"|L|"&amp;(COUNTIF(T$4:T167,$Q168&amp;"|L|*")+1))</f>
        <v/>
      </c>
      <c r="U168" s="769" t="str">
        <f>IF($F168="","",13)</f>
        <v/>
      </c>
    </row>
    <row r="169" ht="16.5" customHeight="1" s="186">
      <c r="A169" s="760" t="n"/>
      <c r="B169" s="760" t="n"/>
      <c r="C169" s="762" t="n"/>
      <c r="D169" s="762" t="n"/>
      <c r="E169" s="775" t="n"/>
      <c r="F169" s="821" t="n"/>
      <c r="G169" s="821" t="n"/>
      <c r="H169" s="818">
        <f>IF(G169=1,F169-I169-J169-K169,IF(G169=2,F169,0))</f>
        <v>0</v>
      </c>
      <c r="I169" s="818">
        <f>ROUND(IF(G169=1,F169*10/23,IF(G169=3,F169-J169-K169,IF(G169=4,F169,IF(G169=5,F169*10/11,IF(G169=7,F169*10/11,0))))),0)</f>
        <v>0</v>
      </c>
      <c r="J169" s="818">
        <f>ROUND(IF(G169=1,F169/23,IF(G169=3,F169/12,IF(G169=5,F169-I169,IF(G169=8,F169,0)))),0)</f>
        <v>0</v>
      </c>
      <c r="K169" s="819">
        <f>ROUND(IF(G169=1,F169/23,IF(G169=3,F169/12,IF(G169=6,F169,IF(G169=7,F169-I169,0)))),0)</f>
        <v>0</v>
      </c>
      <c r="L169" s="820">
        <f>IF(G169=6,F169,0)</f>
        <v>0</v>
      </c>
      <c r="P169" s="768" t="n"/>
      <c r="Q169" s="769" t="str">
        <f>IF($F169="","",IFERROR(VLOOKUP($C169&amp;"|"&amp;$D169,科目表!$A$5:$B$200,2,FALSE),"※未登録"))</f>
        <v/>
      </c>
      <c r="R169" s="769" t="str">
        <f>IF($F169="","",$I169+$J169+$K169)</f>
        <v/>
      </c>
      <c r="S169" s="769" t="str">
        <f>IF(OR($F169="",$P169="支払なし",$H169=0,$Q169=""),"",$Q169&amp;"|S|"&amp;(COUNTIF(S$4:S168,$Q169&amp;"|S|*")+1))</f>
        <v/>
      </c>
      <c r="T169" s="769" t="str">
        <f>IF(OR($F169="",$P169="支払なし",$R169=0,$Q169=""),"",$Q169&amp;"|L|"&amp;(COUNTIF(T$4:T168,$Q169&amp;"|L|*")+1))</f>
        <v/>
      </c>
      <c r="U169" s="769" t="str">
        <f>IF($F169="","",13)</f>
        <v/>
      </c>
    </row>
    <row r="170" ht="16.5" customHeight="1" s="186">
      <c r="A170" s="760" t="n"/>
      <c r="B170" s="760" t="n"/>
      <c r="C170" s="762" t="n"/>
      <c r="D170" s="762" t="n"/>
      <c r="E170" s="775" t="n"/>
      <c r="F170" s="821" t="n"/>
      <c r="G170" s="821" t="n"/>
      <c r="H170" s="818">
        <f>IF(G170=1,F170-I170-J170-K170,IF(G170=2,F170,0))</f>
        <v>0</v>
      </c>
      <c r="I170" s="818">
        <f>ROUND(IF(G170=1,F170*10/23,IF(G170=3,F170-J170-K170,IF(G170=4,F170,IF(G170=5,F170*10/11,IF(G170=7,F170*10/11,0))))),0)</f>
        <v>0</v>
      </c>
      <c r="J170" s="818">
        <f>ROUND(IF(G170=1,F170/23,IF(G170=3,F170/12,IF(G170=5,F170-I170,IF(G170=8,F170,0)))),0)</f>
        <v>0</v>
      </c>
      <c r="K170" s="819">
        <f>ROUND(IF(G170=1,F170/23,IF(G170=3,F170/12,IF(G170=6,F170,IF(G170=7,F170-I170,0)))),0)</f>
        <v>0</v>
      </c>
      <c r="L170" s="820">
        <f>IF(G170=6,F170,0)</f>
        <v>0</v>
      </c>
      <c r="P170" s="768" t="n"/>
      <c r="Q170" s="769" t="str">
        <f>IF($F170="","",IFERROR(VLOOKUP($C170&amp;"|"&amp;$D170,科目表!$A$5:$B$200,2,FALSE),"※未登録"))</f>
        <v/>
      </c>
      <c r="R170" s="769" t="str">
        <f>IF($F170="","",$I170+$J170+$K170)</f>
        <v/>
      </c>
      <c r="S170" s="769" t="str">
        <f>IF(OR($F170="",$P170="支払なし",$H170=0,$Q170=""),"",$Q170&amp;"|S|"&amp;(COUNTIF(S$4:S169,$Q170&amp;"|S|*")+1))</f>
        <v/>
      </c>
      <c r="T170" s="769" t="str">
        <f>IF(OR($F170="",$P170="支払なし",$R170=0,$Q170=""),"",$Q170&amp;"|L|"&amp;(COUNTIF(T$4:T169,$Q170&amp;"|L|*")+1))</f>
        <v/>
      </c>
      <c r="U170" s="769" t="str">
        <f>IF($F170="","",13)</f>
        <v/>
      </c>
    </row>
    <row r="171" ht="16.5" customHeight="1" s="186">
      <c r="A171" s="760" t="n"/>
      <c r="B171" s="760" t="n"/>
      <c r="C171" s="762" t="n"/>
      <c r="D171" s="762" t="n"/>
      <c r="E171" s="775" t="n"/>
      <c r="F171" s="821" t="n"/>
      <c r="G171" s="821" t="n"/>
      <c r="H171" s="818">
        <f>IF(G171=1,F171-I171-J171-K171,IF(G171=2,F171,0))</f>
        <v>0</v>
      </c>
      <c r="I171" s="818">
        <f>ROUND(IF(G171=1,F171*10/23,IF(G171=3,F171-J171-K171,IF(G171=4,F171,IF(G171=5,F171*10/11,IF(G171=7,F171*10/11,0))))),0)</f>
        <v>0</v>
      </c>
      <c r="J171" s="818">
        <f>ROUND(IF(G171=1,F171/23,IF(G171=3,F171/12,IF(G171=5,F171-I171,IF(G171=8,F171,0)))),0)</f>
        <v>0</v>
      </c>
      <c r="K171" s="819">
        <f>ROUND(IF(G171=1,F171/23,IF(G171=3,F171/12,IF(G171=6,F171,IF(G171=7,F171-I171,0)))),0)</f>
        <v>0</v>
      </c>
      <c r="L171" s="820">
        <f>IF(G171=6,F171,0)</f>
        <v>0</v>
      </c>
      <c r="P171" s="768" t="n"/>
      <c r="Q171" s="769" t="str">
        <f>IF($F171="","",IFERROR(VLOOKUP($C171&amp;"|"&amp;$D171,科目表!$A$5:$B$200,2,FALSE),"※未登録"))</f>
        <v/>
      </c>
      <c r="R171" s="769" t="str">
        <f>IF($F171="","",$I171+$J171+$K171)</f>
        <v/>
      </c>
      <c r="S171" s="769" t="str">
        <f>IF(OR($F171="",$P171="支払なし",$H171=0,$Q171=""),"",$Q171&amp;"|S|"&amp;(COUNTIF(S$4:S170,$Q171&amp;"|S|*")+1))</f>
        <v/>
      </c>
      <c r="T171" s="769" t="str">
        <f>IF(OR($F171="",$P171="支払なし",$R171=0,$Q171=""),"",$Q171&amp;"|L|"&amp;(COUNTIF(T$4:T170,$Q171&amp;"|L|*")+1))</f>
        <v/>
      </c>
      <c r="U171" s="769" t="str">
        <f>IF($F171="","",13)</f>
        <v/>
      </c>
    </row>
    <row r="172" ht="16.5" customHeight="1" s="186">
      <c r="A172" s="760" t="n"/>
      <c r="B172" s="760" t="n"/>
      <c r="C172" s="762" t="n"/>
      <c r="D172" s="762" t="n"/>
      <c r="E172" s="775" t="n"/>
      <c r="F172" s="821" t="n"/>
      <c r="G172" s="821" t="n"/>
      <c r="H172" s="818">
        <f>IF(G172=1,F172-I172-J172-K172,IF(G172=2,F172,0))</f>
        <v>0</v>
      </c>
      <c r="I172" s="818">
        <f>ROUND(IF(G172=1,F172*10/23,IF(G172=3,F172-J172-K172,IF(G172=4,F172,IF(G172=5,F172*10/11,IF(G172=7,F172*10/11,0))))),0)</f>
        <v>0</v>
      </c>
      <c r="J172" s="818">
        <f>ROUND(IF(G172=1,F172/23,IF(G172=3,F172/12,IF(G172=5,F172-I172,IF(G172=8,F172,0)))),0)</f>
        <v>0</v>
      </c>
      <c r="K172" s="819">
        <f>ROUND(IF(G172=1,F172/23,IF(G172=3,F172/12,IF(G172=6,F172,IF(G172=7,F172-I172,0)))),0)</f>
        <v>0</v>
      </c>
      <c r="L172" s="820">
        <f>IF(G172=6,F172,0)</f>
        <v>0</v>
      </c>
      <c r="P172" s="768" t="n"/>
      <c r="Q172" s="769" t="str">
        <f>IF($F172="","",IFERROR(VLOOKUP($C172&amp;"|"&amp;$D172,科目表!$A$5:$B$200,2,FALSE),"※未登録"))</f>
        <v/>
      </c>
      <c r="R172" s="769" t="str">
        <f>IF($F172="","",$I172+$J172+$K172)</f>
        <v/>
      </c>
      <c r="S172" s="769" t="str">
        <f>IF(OR($F172="",$P172="支払なし",$H172=0,$Q172=""),"",$Q172&amp;"|S|"&amp;(COUNTIF(S$4:S171,$Q172&amp;"|S|*")+1))</f>
        <v/>
      </c>
      <c r="T172" s="769" t="str">
        <f>IF(OR($F172="",$P172="支払なし",$R172=0,$Q172=""),"",$Q172&amp;"|L|"&amp;(COUNTIF(T$4:T171,$Q172&amp;"|L|*")+1))</f>
        <v/>
      </c>
      <c r="U172" s="769" t="str">
        <f>IF($F172="","",13)</f>
        <v/>
      </c>
    </row>
    <row r="173" ht="16.5" customHeight="1" s="186">
      <c r="A173" s="760" t="n"/>
      <c r="B173" s="760" t="n"/>
      <c r="C173" s="762" t="n"/>
      <c r="D173" s="762" t="n"/>
      <c r="E173" s="775" t="n"/>
      <c r="F173" s="821" t="n"/>
      <c r="G173" s="821" t="n"/>
      <c r="H173" s="818">
        <f>IF(G173=1,F173-I173-J173-K173,IF(G173=2,F173,0))</f>
        <v>0</v>
      </c>
      <c r="I173" s="818">
        <f>ROUND(IF(G173=1,F173*10/23,IF(G173=3,F173-J173-K173,IF(G173=4,F173,IF(G173=5,F173*10/11,IF(G173=7,F173*10/11,0))))),0)</f>
        <v>0</v>
      </c>
      <c r="J173" s="818">
        <f>ROUND(IF(G173=1,F173/23,IF(G173=3,F173/12,IF(G173=5,F173-I173,IF(G173=8,F173,0)))),0)</f>
        <v>0</v>
      </c>
      <c r="K173" s="819">
        <f>ROUND(IF(G173=1,F173/23,IF(G173=3,F173/12,IF(G173=6,F173,IF(G173=7,F173-I173,0)))),0)</f>
        <v>0</v>
      </c>
      <c r="L173" s="820">
        <f>IF(G173=6,F173,0)</f>
        <v>0</v>
      </c>
      <c r="P173" s="768" t="n"/>
      <c r="Q173" s="769" t="str">
        <f>IF($F173="","",IFERROR(VLOOKUP($C173&amp;"|"&amp;$D173,科目表!$A$5:$B$200,2,FALSE),"※未登録"))</f>
        <v/>
      </c>
      <c r="R173" s="769" t="str">
        <f>IF($F173="","",$I173+$J173+$K173)</f>
        <v/>
      </c>
      <c r="S173" s="769" t="str">
        <f>IF(OR($F173="",$P173="支払なし",$H173=0,$Q173=""),"",$Q173&amp;"|S|"&amp;(COUNTIF(S$4:S172,$Q173&amp;"|S|*")+1))</f>
        <v/>
      </c>
      <c r="T173" s="769" t="str">
        <f>IF(OR($F173="",$P173="支払なし",$R173=0,$Q173=""),"",$Q173&amp;"|L|"&amp;(COUNTIF(T$4:T172,$Q173&amp;"|L|*")+1))</f>
        <v/>
      </c>
      <c r="U173" s="769" t="str">
        <f>IF($F173="","",13)</f>
        <v/>
      </c>
    </row>
    <row r="174" ht="16.5" customHeight="1" s="186">
      <c r="A174" s="760" t="n"/>
      <c r="B174" s="760" t="n"/>
      <c r="C174" s="762" t="n"/>
      <c r="D174" s="762" t="n"/>
      <c r="E174" s="775" t="n"/>
      <c r="F174" s="821" t="n"/>
      <c r="G174" s="821" t="n"/>
      <c r="H174" s="818">
        <f>IF(G174=1,F174-I174-J174-K174,IF(G174=2,F174,0))</f>
        <v>0</v>
      </c>
      <c r="I174" s="818">
        <f>ROUND(IF(G174=1,F174*10/23,IF(G174=3,F174-J174-K174,IF(G174=4,F174,IF(G174=5,F174*10/11,IF(G174=7,F174*10/11,0))))),0)</f>
        <v>0</v>
      </c>
      <c r="J174" s="818">
        <f>ROUND(IF(G174=1,F174/23,IF(G174=3,F174/12,IF(G174=5,F174-I174,IF(G174=8,F174,0)))),0)</f>
        <v>0</v>
      </c>
      <c r="K174" s="819">
        <f>ROUND(IF(G174=1,F174/23,IF(G174=3,F174/12,IF(G174=6,F174,IF(G174=7,F174-I174,0)))),0)</f>
        <v>0</v>
      </c>
      <c r="L174" s="820">
        <f>IF(G174=6,F174,0)</f>
        <v>0</v>
      </c>
      <c r="P174" s="768" t="n"/>
      <c r="Q174" s="769" t="str">
        <f>IF($F174="","",IFERROR(VLOOKUP($C174&amp;"|"&amp;$D174,科目表!$A$5:$B$200,2,FALSE),"※未登録"))</f>
        <v/>
      </c>
      <c r="R174" s="769" t="str">
        <f>IF($F174="","",$I174+$J174+$K174)</f>
        <v/>
      </c>
      <c r="S174" s="769" t="str">
        <f>IF(OR($F174="",$P174="支払なし",$H174=0,$Q174=""),"",$Q174&amp;"|S|"&amp;(COUNTIF(S$4:S173,$Q174&amp;"|S|*")+1))</f>
        <v/>
      </c>
      <c r="T174" s="769" t="str">
        <f>IF(OR($F174="",$P174="支払なし",$R174=0,$Q174=""),"",$Q174&amp;"|L|"&amp;(COUNTIF(T$4:T173,$Q174&amp;"|L|*")+1))</f>
        <v/>
      </c>
      <c r="U174" s="769" t="str">
        <f>IF($F174="","",13)</f>
        <v/>
      </c>
    </row>
    <row r="175" ht="16.5" customHeight="1" s="186">
      <c r="A175" s="760" t="n"/>
      <c r="B175" s="760" t="n"/>
      <c r="C175" s="762" t="n"/>
      <c r="D175" s="762" t="n"/>
      <c r="E175" s="775" t="n"/>
      <c r="F175" s="821" t="n"/>
      <c r="G175" s="821" t="n"/>
      <c r="H175" s="818">
        <f>IF(G175=1,F175-I175-J175-K175,IF(G175=2,F175,0))</f>
        <v>0</v>
      </c>
      <c r="I175" s="818">
        <f>ROUND(IF(G175=1,F175*10/23,IF(G175=3,F175-J175-K175,IF(G175=4,F175,IF(G175=5,F175*10/11,IF(G175=7,F175*10/11,0))))),0)</f>
        <v>0</v>
      </c>
      <c r="J175" s="818">
        <f>ROUND(IF(G175=1,F175/23,IF(G175=3,F175/12,IF(G175=5,F175-I175,IF(G175=8,F175,0)))),0)</f>
        <v>0</v>
      </c>
      <c r="K175" s="819">
        <f>ROUND(IF(G175=1,F175/23,IF(G175=3,F175/12,IF(G175=6,F175,IF(G175=7,F175-I175,0)))),0)</f>
        <v>0</v>
      </c>
      <c r="L175" s="820">
        <f>IF(G175=6,F175,0)</f>
        <v>0</v>
      </c>
      <c r="P175" s="768" t="n"/>
      <c r="Q175" s="769" t="str">
        <f>IF($F175="","",IFERROR(VLOOKUP($C175&amp;"|"&amp;$D175,科目表!$A$5:$B$200,2,FALSE),"※未登録"))</f>
        <v/>
      </c>
      <c r="R175" s="769" t="str">
        <f>IF($F175="","",$I175+$J175+$K175)</f>
        <v/>
      </c>
      <c r="S175" s="769" t="str">
        <f>IF(OR($F175="",$P175="支払なし",$H175=0,$Q175=""),"",$Q175&amp;"|S|"&amp;(COUNTIF(S$4:S174,$Q175&amp;"|S|*")+1))</f>
        <v/>
      </c>
      <c r="T175" s="769" t="str">
        <f>IF(OR($F175="",$P175="支払なし",$R175=0,$Q175=""),"",$Q175&amp;"|L|"&amp;(COUNTIF(T$4:T174,$Q175&amp;"|L|*")+1))</f>
        <v/>
      </c>
      <c r="U175" s="769" t="str">
        <f>IF($F175="","",13)</f>
        <v/>
      </c>
    </row>
    <row r="176" ht="16.5" customHeight="1" s="186">
      <c r="A176" s="760" t="n"/>
      <c r="B176" s="760" t="n"/>
      <c r="C176" s="762" t="n"/>
      <c r="D176" s="762" t="n"/>
      <c r="E176" s="775" t="n"/>
      <c r="F176" s="821" t="n"/>
      <c r="G176" s="821" t="n"/>
      <c r="H176" s="818">
        <f>IF(G176=1,F176-I176-J176-K176,IF(G176=2,F176,0))</f>
        <v>0</v>
      </c>
      <c r="I176" s="818">
        <f>ROUND(IF(G176=1,F176*10/23,IF(G176=3,F176-J176-K176,IF(G176=4,F176,IF(G176=5,F176*10/11,IF(G176=7,F176*10/11,0))))),0)</f>
        <v>0</v>
      </c>
      <c r="J176" s="818">
        <f>ROUND(IF(G176=1,F176/23,IF(G176=3,F176/12,IF(G176=5,F176-I176,IF(G176=8,F176,0)))),0)</f>
        <v>0</v>
      </c>
      <c r="K176" s="819">
        <f>ROUND(IF(G176=1,F176/23,IF(G176=3,F176/12,IF(G176=6,F176,IF(G176=7,F176-I176,0)))),0)</f>
        <v>0</v>
      </c>
      <c r="L176" s="820">
        <f>IF(G176=6,F176,0)</f>
        <v>0</v>
      </c>
      <c r="P176" s="768" t="n"/>
      <c r="Q176" s="769" t="str">
        <f>IF($F176="","",IFERROR(VLOOKUP($C176&amp;"|"&amp;$D176,科目表!$A$5:$B$200,2,FALSE),"※未登録"))</f>
        <v/>
      </c>
      <c r="R176" s="769" t="str">
        <f>IF($F176="","",$I176+$J176+$K176)</f>
        <v/>
      </c>
      <c r="S176" s="769" t="str">
        <f>IF(OR($F176="",$P176="支払なし",$H176=0,$Q176=""),"",$Q176&amp;"|S|"&amp;(COUNTIF(S$4:S175,$Q176&amp;"|S|*")+1))</f>
        <v/>
      </c>
      <c r="T176" s="769" t="str">
        <f>IF(OR($F176="",$P176="支払なし",$R176=0,$Q176=""),"",$Q176&amp;"|L|"&amp;(COUNTIF(T$4:T175,$Q176&amp;"|L|*")+1))</f>
        <v/>
      </c>
      <c r="U176" s="769" t="str">
        <f>IF($F176="","",13)</f>
        <v/>
      </c>
    </row>
    <row r="177" ht="16.5" customHeight="1" s="186">
      <c r="A177" s="760" t="n"/>
      <c r="B177" s="760" t="n"/>
      <c r="C177" s="762" t="n"/>
      <c r="D177" s="762" t="n"/>
      <c r="E177" s="775" t="n"/>
      <c r="F177" s="821" t="n"/>
      <c r="G177" s="821" t="n"/>
      <c r="H177" s="818">
        <f>IF(G177=1,F177-I177-J177-K177,IF(G177=2,F177,0))</f>
        <v>0</v>
      </c>
      <c r="I177" s="818">
        <f>ROUND(IF(G177=1,F177*10/23,IF(G177=3,F177-J177-K177,IF(G177=4,F177,IF(G177=5,F177*10/11,IF(G177=7,F177*10/11,0))))),0)</f>
        <v>0</v>
      </c>
      <c r="J177" s="818">
        <f>ROUND(IF(G177=1,F177/23,IF(G177=3,F177/12,IF(G177=5,F177-I177,IF(G177=8,F177,0)))),0)</f>
        <v>0</v>
      </c>
      <c r="K177" s="819">
        <f>ROUND(IF(G177=1,F177/23,IF(G177=3,F177/12,IF(G177=6,F177,IF(G177=7,F177-I177,0)))),0)</f>
        <v>0</v>
      </c>
      <c r="L177" s="820">
        <f>IF(G177=6,F177,0)</f>
        <v>0</v>
      </c>
      <c r="P177" s="768" t="n"/>
      <c r="Q177" s="769" t="str">
        <f>IF($F177="","",IFERROR(VLOOKUP($C177&amp;"|"&amp;$D177,科目表!$A$5:$B$200,2,FALSE),"※未登録"))</f>
        <v/>
      </c>
      <c r="R177" s="769" t="str">
        <f>IF($F177="","",$I177+$J177+$K177)</f>
        <v/>
      </c>
      <c r="S177" s="769" t="str">
        <f>IF(OR($F177="",$P177="支払なし",$H177=0,$Q177=""),"",$Q177&amp;"|S|"&amp;(COUNTIF(S$4:S176,$Q177&amp;"|S|*")+1))</f>
        <v/>
      </c>
      <c r="T177" s="769" t="str">
        <f>IF(OR($F177="",$P177="支払なし",$R177=0,$Q177=""),"",$Q177&amp;"|L|"&amp;(COUNTIF(T$4:T176,$Q177&amp;"|L|*")+1))</f>
        <v/>
      </c>
      <c r="U177" s="769" t="str">
        <f>IF($F177="","",13)</f>
        <v/>
      </c>
    </row>
    <row r="178" ht="16.5" customHeight="1" s="186">
      <c r="A178" s="760" t="n"/>
      <c r="B178" s="760" t="n"/>
      <c r="C178" s="762" t="n"/>
      <c r="D178" s="762" t="n"/>
      <c r="E178" s="775" t="n"/>
      <c r="F178" s="821" t="n"/>
      <c r="G178" s="821" t="n"/>
      <c r="H178" s="818">
        <f>IF(G178=1,F178-I178-J178-K178,IF(G178=2,F178,0))</f>
        <v>0</v>
      </c>
      <c r="I178" s="818">
        <f>ROUND(IF(G178=1,F178*10/23,IF(G178=3,F178-J178-K178,IF(G178=4,F178,IF(G178=5,F178*10/11,IF(G178=7,F178*10/11,0))))),0)</f>
        <v>0</v>
      </c>
      <c r="J178" s="818">
        <f>ROUND(IF(G178=1,F178/23,IF(G178=3,F178/12,IF(G178=5,F178-I178,IF(G178=8,F178,0)))),0)</f>
        <v>0</v>
      </c>
      <c r="K178" s="819">
        <f>ROUND(IF(G178=1,F178/23,IF(G178=3,F178/12,IF(G178=6,F178,IF(G178=7,F178-I178,0)))),0)</f>
        <v>0</v>
      </c>
      <c r="L178" s="820">
        <f>IF(G178=6,F178,0)</f>
        <v>0</v>
      </c>
      <c r="P178" s="768" t="n"/>
      <c r="Q178" s="769" t="str">
        <f>IF($F178="","",IFERROR(VLOOKUP($C178&amp;"|"&amp;$D178,科目表!$A$5:$B$200,2,FALSE),"※未登録"))</f>
        <v/>
      </c>
      <c r="R178" s="769" t="str">
        <f>IF($F178="","",$I178+$J178+$K178)</f>
        <v/>
      </c>
      <c r="S178" s="769" t="str">
        <f>IF(OR($F178="",$P178="支払なし",$H178=0,$Q178=""),"",$Q178&amp;"|S|"&amp;(COUNTIF(S$4:S177,$Q178&amp;"|S|*")+1))</f>
        <v/>
      </c>
      <c r="T178" s="769" t="str">
        <f>IF(OR($F178="",$P178="支払なし",$R178=0,$Q178=""),"",$Q178&amp;"|L|"&amp;(COUNTIF(T$4:T177,$Q178&amp;"|L|*")+1))</f>
        <v/>
      </c>
      <c r="U178" s="769" t="str">
        <f>IF($F178="","",13)</f>
        <v/>
      </c>
    </row>
    <row r="179" ht="16.5" customHeight="1" s="186">
      <c r="A179" s="760" t="n"/>
      <c r="B179" s="760" t="n"/>
      <c r="C179" s="762" t="n"/>
      <c r="D179" s="762" t="n"/>
      <c r="E179" s="775" t="n"/>
      <c r="F179" s="821" t="n"/>
      <c r="G179" s="821" t="n"/>
      <c r="H179" s="818">
        <f>IF(G179=1,F179-I179-J179-K179,IF(G179=2,F179,0))</f>
        <v>0</v>
      </c>
      <c r="I179" s="818">
        <f>ROUND(IF(G179=1,F179*10/23,IF(G179=3,F179-J179-K179,IF(G179=4,F179,IF(G179=5,F179*10/11,IF(G179=7,F179*10/11,0))))),0)</f>
        <v>0</v>
      </c>
      <c r="J179" s="818">
        <f>ROUND(IF(G179=1,F179/23,IF(G179=3,F179/12,IF(G179=5,F179-I179,IF(G179=8,F179,0)))),0)</f>
        <v>0</v>
      </c>
      <c r="K179" s="819">
        <f>ROUND(IF(G179=1,F179/23,IF(G179=3,F179/12,IF(G179=6,F179,IF(G179=7,F179-I179,0)))),0)</f>
        <v>0</v>
      </c>
      <c r="L179" s="820">
        <f>IF(G179=6,F179,0)</f>
        <v>0</v>
      </c>
      <c r="P179" s="768" t="n"/>
      <c r="Q179" s="769" t="str">
        <f>IF($F179="","",IFERROR(VLOOKUP($C179&amp;"|"&amp;$D179,科目表!$A$5:$B$200,2,FALSE),"※未登録"))</f>
        <v/>
      </c>
      <c r="R179" s="769" t="str">
        <f>IF($F179="","",$I179+$J179+$K179)</f>
        <v/>
      </c>
      <c r="S179" s="769" t="str">
        <f>IF(OR($F179="",$P179="支払なし",$H179=0,$Q179=""),"",$Q179&amp;"|S|"&amp;(COUNTIF(S$4:S178,$Q179&amp;"|S|*")+1))</f>
        <v/>
      </c>
      <c r="T179" s="769" t="str">
        <f>IF(OR($F179="",$P179="支払なし",$R179=0,$Q179=""),"",$Q179&amp;"|L|"&amp;(COUNTIF(T$4:T178,$Q179&amp;"|L|*")+1))</f>
        <v/>
      </c>
      <c r="U179" s="769" t="str">
        <f>IF($F179="","",13)</f>
        <v/>
      </c>
    </row>
    <row r="180" ht="16.5" customHeight="1" s="186">
      <c r="A180" s="760" t="n"/>
      <c r="B180" s="760" t="n"/>
      <c r="C180" s="762" t="n"/>
      <c r="D180" s="762" t="n"/>
      <c r="E180" s="775" t="n"/>
      <c r="F180" s="821" t="n"/>
      <c r="G180" s="821" t="n"/>
      <c r="H180" s="818">
        <f>IF(G180=1,F180-I180-J180-K180,IF(G180=2,F180,0))</f>
        <v>0</v>
      </c>
      <c r="I180" s="818">
        <f>ROUND(IF(G180=1,F180*10/23,IF(G180=3,F180-J180-K180,IF(G180=4,F180,IF(G180=5,F180*10/11,IF(G180=7,F180*10/11,0))))),0)</f>
        <v>0</v>
      </c>
      <c r="J180" s="818">
        <f>ROUND(IF(G180=1,F180/23,IF(G180=3,F180/12,IF(G180=5,F180-I180,IF(G180=8,F180,0)))),0)</f>
        <v>0</v>
      </c>
      <c r="K180" s="819">
        <f>ROUND(IF(G180=1,F180/23,IF(G180=3,F180/12,IF(G180=6,F180,IF(G180=7,F180-I180,0)))),0)</f>
        <v>0</v>
      </c>
      <c r="L180" s="820">
        <f>IF(G180=6,F180,0)</f>
        <v>0</v>
      </c>
      <c r="P180" s="768" t="n"/>
      <c r="Q180" s="769" t="str">
        <f>IF($F180="","",IFERROR(VLOOKUP($C180&amp;"|"&amp;$D180,科目表!$A$5:$B$200,2,FALSE),"※未登録"))</f>
        <v/>
      </c>
      <c r="R180" s="769" t="str">
        <f>IF($F180="","",$I180+$J180+$K180)</f>
        <v/>
      </c>
      <c r="S180" s="769" t="str">
        <f>IF(OR($F180="",$P180="支払なし",$H180=0,$Q180=""),"",$Q180&amp;"|S|"&amp;(COUNTIF(S$4:S179,$Q180&amp;"|S|*")+1))</f>
        <v/>
      </c>
      <c r="T180" s="769" t="str">
        <f>IF(OR($F180="",$P180="支払なし",$R180=0,$Q180=""),"",$Q180&amp;"|L|"&amp;(COUNTIF(T$4:T179,$Q180&amp;"|L|*")+1))</f>
        <v/>
      </c>
      <c r="U180" s="769" t="str">
        <f>IF($F180="","",13)</f>
        <v/>
      </c>
    </row>
    <row r="181" ht="16.5" customHeight="1" s="186">
      <c r="A181" s="760" t="n"/>
      <c r="B181" s="760" t="n"/>
      <c r="C181" s="762" t="n"/>
      <c r="D181" s="762" t="n"/>
      <c r="E181" s="775" t="n"/>
      <c r="F181" s="821" t="n"/>
      <c r="G181" s="821" t="n"/>
      <c r="H181" s="818">
        <f>IF(G181=1,F181-I181-J181-K181,IF(G181=2,F181,0))</f>
        <v>0</v>
      </c>
      <c r="I181" s="818">
        <f>ROUND(IF(G181=1,F181*10/23,IF(G181=3,F181-J181-K181,IF(G181=4,F181,IF(G181=5,F181*10/11,IF(G181=7,F181*10/11,0))))),0)</f>
        <v>0</v>
      </c>
      <c r="J181" s="818">
        <f>ROUND(IF(G181=1,F181/23,IF(G181=3,F181/12,IF(G181=5,F181-I181,IF(G181=8,F181,0)))),0)</f>
        <v>0</v>
      </c>
      <c r="K181" s="819">
        <f>ROUND(IF(G181=1,F181/23,IF(G181=3,F181/12,IF(G181=6,F181,IF(G181=7,F181-I181,0)))),0)</f>
        <v>0</v>
      </c>
      <c r="L181" s="820">
        <f>IF(G181=6,F181,0)</f>
        <v>0</v>
      </c>
      <c r="P181" s="768" t="n"/>
      <c r="Q181" s="769" t="str">
        <f>IF($F181="","",IFERROR(VLOOKUP($C181&amp;"|"&amp;$D181,科目表!$A$5:$B$200,2,FALSE),"※未登録"))</f>
        <v/>
      </c>
      <c r="R181" s="769" t="str">
        <f>IF($F181="","",$I181+$J181+$K181)</f>
        <v/>
      </c>
      <c r="S181" s="769" t="str">
        <f>IF(OR($F181="",$P181="支払なし",$H181=0,$Q181=""),"",$Q181&amp;"|S|"&amp;(COUNTIF(S$4:S180,$Q181&amp;"|S|*")+1))</f>
        <v/>
      </c>
      <c r="T181" s="769" t="str">
        <f>IF(OR($F181="",$P181="支払なし",$R181=0,$Q181=""),"",$Q181&amp;"|L|"&amp;(COUNTIF(T$4:T180,$Q181&amp;"|L|*")+1))</f>
        <v/>
      </c>
      <c r="U181" s="769" t="str">
        <f>IF($F181="","",13)</f>
        <v/>
      </c>
    </row>
    <row r="182" ht="16.5" customHeight="1" s="186">
      <c r="A182" s="760" t="n"/>
      <c r="B182" s="760" t="n"/>
      <c r="C182" s="762" t="n"/>
      <c r="D182" s="762" t="n"/>
      <c r="E182" s="775" t="n"/>
      <c r="F182" s="821" t="n"/>
      <c r="G182" s="821" t="n"/>
      <c r="H182" s="818">
        <f>IF(G182=1,F182-I182-J182-K182,IF(G182=2,F182,0))</f>
        <v>0</v>
      </c>
      <c r="I182" s="818">
        <f>ROUND(IF(G182=1,F182*10/23,IF(G182=3,F182-J182-K182,IF(G182=4,F182,IF(G182=5,F182*10/11,IF(G182=7,F182*10/11,0))))),0)</f>
        <v>0</v>
      </c>
      <c r="J182" s="818">
        <f>ROUND(IF(G182=1,F182/23,IF(G182=3,F182/12,IF(G182=5,F182-I182,IF(G182=8,F182,0)))),0)</f>
        <v>0</v>
      </c>
      <c r="K182" s="819">
        <f>ROUND(IF(G182=1,F182/23,IF(G182=3,F182/12,IF(G182=6,F182,IF(G182=7,F182-I182,0)))),0)</f>
        <v>0</v>
      </c>
      <c r="L182" s="820">
        <f>IF(G182=6,F182,0)</f>
        <v>0</v>
      </c>
      <c r="P182" s="768" t="n"/>
      <c r="Q182" s="769" t="str">
        <f>IF($F182="","",IFERROR(VLOOKUP($C182&amp;"|"&amp;$D182,科目表!$A$5:$B$200,2,FALSE),"※未登録"))</f>
        <v/>
      </c>
      <c r="R182" s="769" t="str">
        <f>IF($F182="","",$I182+$J182+$K182)</f>
        <v/>
      </c>
      <c r="S182" s="769" t="str">
        <f>IF(OR($F182="",$P182="支払なし",$H182=0,$Q182=""),"",$Q182&amp;"|S|"&amp;(COUNTIF(S$4:S181,$Q182&amp;"|S|*")+1))</f>
        <v/>
      </c>
      <c r="T182" s="769" t="str">
        <f>IF(OR($F182="",$P182="支払なし",$R182=0,$Q182=""),"",$Q182&amp;"|L|"&amp;(COUNTIF(T$4:T181,$Q182&amp;"|L|*")+1))</f>
        <v/>
      </c>
      <c r="U182" s="769" t="str">
        <f>IF($F182="","",13)</f>
        <v/>
      </c>
    </row>
    <row r="183" ht="16.5" customHeight="1" s="186">
      <c r="A183" s="760" t="n"/>
      <c r="B183" s="760" t="n"/>
      <c r="C183" s="762" t="n"/>
      <c r="D183" s="762" t="n"/>
      <c r="E183" s="775" t="n"/>
      <c r="F183" s="821" t="n"/>
      <c r="G183" s="821" t="n"/>
      <c r="H183" s="818">
        <f>IF(G183=1,F183-I183-J183-K183,IF(G183=2,F183,0))</f>
        <v>0</v>
      </c>
      <c r="I183" s="818">
        <f>ROUND(IF(G183=1,F183*10/23,IF(G183=3,F183-J183-K183,IF(G183=4,F183,IF(G183=5,F183*10/11,IF(G183=7,F183*10/11,0))))),0)</f>
        <v>0</v>
      </c>
      <c r="J183" s="818">
        <f>ROUND(IF(G183=1,F183/23,IF(G183=3,F183/12,IF(G183=5,F183-I183,IF(G183=8,F183,0)))),0)</f>
        <v>0</v>
      </c>
      <c r="K183" s="819">
        <f>ROUND(IF(G183=1,F183/23,IF(G183=3,F183/12,IF(G183=6,F183,IF(G183=7,F183-I183,0)))),0)</f>
        <v>0</v>
      </c>
      <c r="L183" s="820">
        <f>IF(G183=6,F183,0)</f>
        <v>0</v>
      </c>
      <c r="P183" s="768" t="n"/>
      <c r="Q183" s="769" t="str">
        <f>IF($F183="","",IFERROR(VLOOKUP($C183&amp;"|"&amp;$D183,科目表!$A$5:$B$200,2,FALSE),"※未登録"))</f>
        <v/>
      </c>
      <c r="R183" s="769" t="str">
        <f>IF($F183="","",$I183+$J183+$K183)</f>
        <v/>
      </c>
      <c r="S183" s="769" t="str">
        <f>IF(OR($F183="",$P183="支払なし",$H183=0,$Q183=""),"",$Q183&amp;"|S|"&amp;(COUNTIF(S$4:S182,$Q183&amp;"|S|*")+1))</f>
        <v/>
      </c>
      <c r="T183" s="769" t="str">
        <f>IF(OR($F183="",$P183="支払なし",$R183=0,$Q183=""),"",$Q183&amp;"|L|"&amp;(COUNTIF(T$4:T182,$Q183&amp;"|L|*")+1))</f>
        <v/>
      </c>
      <c r="U183" s="769" t="str">
        <f>IF($F183="","",13)</f>
        <v/>
      </c>
    </row>
    <row r="184" ht="16.5" customHeight="1" s="186">
      <c r="A184" s="760" t="n"/>
      <c r="B184" s="760" t="n"/>
      <c r="C184" s="762" t="n"/>
      <c r="D184" s="762" t="n"/>
      <c r="E184" s="775" t="n"/>
      <c r="F184" s="821" t="n"/>
      <c r="G184" s="821" t="n"/>
      <c r="H184" s="818">
        <f>IF(G184=1,F184-I184-J184-K184,IF(G184=2,F184,0))</f>
        <v>0</v>
      </c>
      <c r="I184" s="818">
        <f>ROUND(IF(G184=1,F184*10/23,IF(G184=3,F184-J184-K184,IF(G184=4,F184,IF(G184=5,F184*10/11,IF(G184=7,F184*10/11,0))))),0)</f>
        <v>0</v>
      </c>
      <c r="J184" s="818">
        <f>ROUND(IF(G184=1,F184/23,IF(G184=3,F184/12,IF(G184=5,F184-I184,IF(G184=8,F184,0)))),0)</f>
        <v>0</v>
      </c>
      <c r="K184" s="819">
        <f>ROUND(IF(G184=1,F184/23,IF(G184=3,F184/12,IF(G184=6,F184,IF(G184=7,F184-I184,0)))),0)</f>
        <v>0</v>
      </c>
      <c r="L184" s="820">
        <f>IF(G184=6,F184,0)</f>
        <v>0</v>
      </c>
      <c r="P184" s="768" t="n"/>
      <c r="Q184" s="769" t="str">
        <f>IF($F184="","",IFERROR(VLOOKUP($C184&amp;"|"&amp;$D184,科目表!$A$5:$B$200,2,FALSE),"※未登録"))</f>
        <v/>
      </c>
      <c r="R184" s="769" t="str">
        <f>IF($F184="","",$I184+$J184+$K184)</f>
        <v/>
      </c>
      <c r="S184" s="769" t="str">
        <f>IF(OR($F184="",$P184="支払なし",$H184=0,$Q184=""),"",$Q184&amp;"|S|"&amp;(COUNTIF(S$4:S183,$Q184&amp;"|S|*")+1))</f>
        <v/>
      </c>
      <c r="T184" s="769" t="str">
        <f>IF(OR($F184="",$P184="支払なし",$R184=0,$Q184=""),"",$Q184&amp;"|L|"&amp;(COUNTIF(T$4:T183,$Q184&amp;"|L|*")+1))</f>
        <v/>
      </c>
      <c r="U184" s="769" t="str">
        <f>IF($F184="","",13)</f>
        <v/>
      </c>
    </row>
    <row r="185" ht="16.5" customHeight="1" s="186">
      <c r="A185" s="760" t="n"/>
      <c r="B185" s="760" t="n"/>
      <c r="C185" s="762" t="n"/>
      <c r="D185" s="762" t="n"/>
      <c r="E185" s="775" t="n"/>
      <c r="F185" s="821" t="n"/>
      <c r="G185" s="821" t="n"/>
      <c r="H185" s="818">
        <f>IF(G185=1,F185-I185-J185-K185,IF(G185=2,F185,0))</f>
        <v>0</v>
      </c>
      <c r="I185" s="818">
        <f>ROUND(IF(G185=1,F185*10/23,IF(G185=3,F185-J185-K185,IF(G185=4,F185,IF(G185=5,F185*10/11,IF(G185=7,F185*10/11,0))))),0)</f>
        <v>0</v>
      </c>
      <c r="J185" s="818">
        <f>ROUND(IF(G185=1,F185/23,IF(G185=3,F185/12,IF(G185=5,F185-I185,IF(G185=8,F185,0)))),0)</f>
        <v>0</v>
      </c>
      <c r="K185" s="819">
        <f>ROUND(IF(G185=1,F185/23,IF(G185=3,F185/12,IF(G185=6,F185,IF(G185=7,F185-I185,0)))),0)</f>
        <v>0</v>
      </c>
      <c r="L185" s="820">
        <f>IF(G185=6,F185,0)</f>
        <v>0</v>
      </c>
      <c r="P185" s="768" t="n"/>
      <c r="Q185" s="769" t="str">
        <f>IF($F185="","",IFERROR(VLOOKUP($C185&amp;"|"&amp;$D185,科目表!$A$5:$B$200,2,FALSE),"※未登録"))</f>
        <v/>
      </c>
      <c r="R185" s="769" t="str">
        <f>IF($F185="","",$I185+$J185+$K185)</f>
        <v/>
      </c>
      <c r="S185" s="769" t="str">
        <f>IF(OR($F185="",$P185="支払なし",$H185=0,$Q185=""),"",$Q185&amp;"|S|"&amp;(COUNTIF(S$4:S184,$Q185&amp;"|S|*")+1))</f>
        <v/>
      </c>
      <c r="T185" s="769" t="str">
        <f>IF(OR($F185="",$P185="支払なし",$R185=0,$Q185=""),"",$Q185&amp;"|L|"&amp;(COUNTIF(T$4:T184,$Q185&amp;"|L|*")+1))</f>
        <v/>
      </c>
      <c r="U185" s="769" t="str">
        <f>IF($F185="","",13)</f>
        <v/>
      </c>
    </row>
    <row r="186" ht="16.5" customHeight="1" s="186">
      <c r="A186" s="760" t="n"/>
      <c r="B186" s="760" t="n"/>
      <c r="C186" s="762" t="n"/>
      <c r="D186" s="762" t="n"/>
      <c r="E186" s="775" t="n"/>
      <c r="F186" s="821" t="n"/>
      <c r="G186" s="821" t="n"/>
      <c r="H186" s="818">
        <f>IF(G186=1,F186-I186-J186-K186,IF(G186=2,F186,0))</f>
        <v>0</v>
      </c>
      <c r="I186" s="818">
        <f>ROUND(IF(G186=1,F186*10/23,IF(G186=3,F186-J186-K186,IF(G186=4,F186,IF(G186=5,F186*10/11,IF(G186=7,F186*10/11,0))))),0)</f>
        <v>0</v>
      </c>
      <c r="J186" s="818">
        <f>ROUND(IF(G186=1,F186/23,IF(G186=3,F186/12,IF(G186=5,F186-I186,IF(G186=8,F186,0)))),0)</f>
        <v>0</v>
      </c>
      <c r="K186" s="819">
        <f>ROUND(IF(G186=1,F186/23,IF(G186=3,F186/12,IF(G186=6,F186,IF(G186=7,F186-I186,0)))),0)</f>
        <v>0</v>
      </c>
      <c r="L186" s="820">
        <f>IF(G186=6,F186,0)</f>
        <v>0</v>
      </c>
      <c r="P186" s="768" t="n"/>
      <c r="Q186" s="769" t="str">
        <f>IF($F186="","",IFERROR(VLOOKUP($C186&amp;"|"&amp;$D186,科目表!$A$5:$B$200,2,FALSE),"※未登録"))</f>
        <v/>
      </c>
      <c r="R186" s="769" t="str">
        <f>IF($F186="","",$I186+$J186+$K186)</f>
        <v/>
      </c>
      <c r="S186" s="769" t="str">
        <f>IF(OR($F186="",$P186="支払なし",$H186=0,$Q186=""),"",$Q186&amp;"|S|"&amp;(COUNTIF(S$4:S185,$Q186&amp;"|S|*")+1))</f>
        <v/>
      </c>
      <c r="T186" s="769" t="str">
        <f>IF(OR($F186="",$P186="支払なし",$R186=0,$Q186=""),"",$Q186&amp;"|L|"&amp;(COUNTIF(T$4:T185,$Q186&amp;"|L|*")+1))</f>
        <v/>
      </c>
      <c r="U186" s="769" t="str">
        <f>IF($F186="","",13)</f>
        <v/>
      </c>
    </row>
    <row r="187" ht="16.5" customHeight="1" s="186">
      <c r="A187" s="760" t="n"/>
      <c r="B187" s="760" t="n"/>
      <c r="C187" s="762" t="n"/>
      <c r="D187" s="762" t="n"/>
      <c r="E187" s="775" t="n"/>
      <c r="F187" s="821" t="n"/>
      <c r="G187" s="821" t="n"/>
      <c r="H187" s="818">
        <f>IF(G187=1,F187-I187-J187-K187,IF(G187=2,F187,0))</f>
        <v>0</v>
      </c>
      <c r="I187" s="818">
        <f>ROUND(IF(G187=1,F187*10/23,IF(G187=3,F187-J187-K187,IF(G187=4,F187,IF(G187=5,F187*10/11,IF(G187=7,F187*10/11,0))))),0)</f>
        <v>0</v>
      </c>
      <c r="J187" s="818">
        <f>ROUND(IF(G187=1,F187/23,IF(G187=3,F187/12,IF(G187=5,F187-I187,IF(G187=8,F187,0)))),0)</f>
        <v>0</v>
      </c>
      <c r="K187" s="819">
        <f>ROUND(IF(G187=1,F187/23,IF(G187=3,F187/12,IF(G187=6,F187,IF(G187=7,F187-I187,0)))),0)</f>
        <v>0</v>
      </c>
      <c r="L187" s="820">
        <f>IF(G187=6,F187,0)</f>
        <v>0</v>
      </c>
      <c r="P187" s="768" t="n"/>
      <c r="Q187" s="769" t="str">
        <f>IF($F187="","",IFERROR(VLOOKUP($C187&amp;"|"&amp;$D187,科目表!$A$5:$B$200,2,FALSE),"※未登録"))</f>
        <v/>
      </c>
      <c r="R187" s="769" t="str">
        <f>IF($F187="","",$I187+$J187+$K187)</f>
        <v/>
      </c>
      <c r="S187" s="769" t="str">
        <f>IF(OR($F187="",$P187="支払なし",$H187=0,$Q187=""),"",$Q187&amp;"|S|"&amp;(COUNTIF(S$4:S186,$Q187&amp;"|S|*")+1))</f>
        <v/>
      </c>
      <c r="T187" s="769" t="str">
        <f>IF(OR($F187="",$P187="支払なし",$R187=0,$Q187=""),"",$Q187&amp;"|L|"&amp;(COUNTIF(T$4:T186,$Q187&amp;"|L|*")+1))</f>
        <v/>
      </c>
      <c r="U187" s="769" t="str">
        <f>IF($F187="","",13)</f>
        <v/>
      </c>
    </row>
    <row r="188" ht="16.5" customHeight="1" s="186">
      <c r="A188" s="760" t="n"/>
      <c r="B188" s="760" t="n"/>
      <c r="C188" s="762" t="n"/>
      <c r="D188" s="762" t="n"/>
      <c r="E188" s="775" t="n"/>
      <c r="F188" s="821" t="n"/>
      <c r="G188" s="821" t="n"/>
      <c r="H188" s="818">
        <f>IF(G188=1,F188-I188-J188-K188,IF(G188=2,F188,0))</f>
        <v>0</v>
      </c>
      <c r="I188" s="818">
        <f>ROUND(IF(G188=1,F188*10/23,IF(G188=3,F188-J188-K188,IF(G188=4,F188,IF(G188=5,F188*10/11,IF(G188=7,F188*10/11,0))))),0)</f>
        <v>0</v>
      </c>
      <c r="J188" s="818">
        <f>ROUND(IF(G188=1,F188/23,IF(G188=3,F188/12,IF(G188=5,F188-I188,IF(G188=8,F188,0)))),0)</f>
        <v>0</v>
      </c>
      <c r="K188" s="819">
        <f>ROUND(IF(G188=1,F188/23,IF(G188=3,F188/12,IF(G188=6,F188,IF(G188=7,F188-I188,0)))),0)</f>
        <v>0</v>
      </c>
      <c r="L188" s="820">
        <f>IF(G188=6,F188,0)</f>
        <v>0</v>
      </c>
      <c r="P188" s="768" t="n"/>
      <c r="Q188" s="769" t="str">
        <f>IF($F188="","",IFERROR(VLOOKUP($C188&amp;"|"&amp;$D188,科目表!$A$5:$B$200,2,FALSE),"※未登録"))</f>
        <v/>
      </c>
      <c r="R188" s="769" t="str">
        <f>IF($F188="","",$I188+$J188+$K188)</f>
        <v/>
      </c>
      <c r="S188" s="769" t="str">
        <f>IF(OR($F188="",$P188="支払なし",$H188=0,$Q188=""),"",$Q188&amp;"|S|"&amp;(COUNTIF(S$4:S187,$Q188&amp;"|S|*")+1))</f>
        <v/>
      </c>
      <c r="T188" s="769" t="str">
        <f>IF(OR($F188="",$P188="支払なし",$R188=0,$Q188=""),"",$Q188&amp;"|L|"&amp;(COUNTIF(T$4:T187,$Q188&amp;"|L|*")+1))</f>
        <v/>
      </c>
      <c r="U188" s="769" t="str">
        <f>IF($F188="","",13)</f>
        <v/>
      </c>
    </row>
    <row r="189" ht="16.5" customHeight="1" s="186">
      <c r="A189" s="760" t="n"/>
      <c r="B189" s="760" t="n"/>
      <c r="C189" s="762" t="n"/>
      <c r="D189" s="762" t="n"/>
      <c r="E189" s="775" t="n"/>
      <c r="F189" s="821" t="n"/>
      <c r="G189" s="821" t="n"/>
      <c r="H189" s="818">
        <f>IF(G189=1,F189-I189-J189-K189,IF(G189=2,F189,0))</f>
        <v>0</v>
      </c>
      <c r="I189" s="818">
        <f>ROUND(IF(G189=1,F189*10/23,IF(G189=3,F189-J189-K189,IF(G189=4,F189,IF(G189=5,F189*10/11,IF(G189=7,F189*10/11,0))))),0)</f>
        <v>0</v>
      </c>
      <c r="J189" s="818">
        <f>ROUND(IF(G189=1,F189/23,IF(G189=3,F189/12,IF(G189=5,F189-I189,IF(G189=8,F189,0)))),0)</f>
        <v>0</v>
      </c>
      <c r="K189" s="819">
        <f>ROUND(IF(G189=1,F189/23,IF(G189=3,F189/12,IF(G189=6,F189,IF(G189=7,F189-I189,0)))),0)</f>
        <v>0</v>
      </c>
      <c r="L189" s="820">
        <f>IF(G189=6,F189,0)</f>
        <v>0</v>
      </c>
      <c r="P189" s="768" t="n"/>
      <c r="Q189" s="769" t="str">
        <f>IF($F189="","",IFERROR(VLOOKUP($C189&amp;"|"&amp;$D189,科目表!$A$5:$B$200,2,FALSE),"※未登録"))</f>
        <v/>
      </c>
      <c r="R189" s="769" t="str">
        <f>IF($F189="","",$I189+$J189+$K189)</f>
        <v/>
      </c>
      <c r="S189" s="769" t="str">
        <f>IF(OR($F189="",$P189="支払なし",$H189=0,$Q189=""),"",$Q189&amp;"|S|"&amp;(COUNTIF(S$4:S188,$Q189&amp;"|S|*")+1))</f>
        <v/>
      </c>
      <c r="T189" s="769" t="str">
        <f>IF(OR($F189="",$P189="支払なし",$R189=0,$Q189=""),"",$Q189&amp;"|L|"&amp;(COUNTIF(T$4:T188,$Q189&amp;"|L|*")+1))</f>
        <v/>
      </c>
      <c r="U189" s="769" t="str">
        <f>IF($F189="","",13)</f>
        <v/>
      </c>
    </row>
    <row r="190" ht="16.5" customHeight="1" s="186">
      <c r="A190" s="760" t="n"/>
      <c r="B190" s="760" t="n"/>
      <c r="C190" s="762" t="n"/>
      <c r="D190" s="762" t="n"/>
      <c r="E190" s="775" t="n"/>
      <c r="F190" s="821" t="n"/>
      <c r="G190" s="821" t="n"/>
      <c r="H190" s="818">
        <f>IF(G190=1,F190-I190-J190-K190,IF(G190=2,F190,0))</f>
        <v>0</v>
      </c>
      <c r="I190" s="818">
        <f>ROUND(IF(G190=1,F190*10/23,IF(G190=3,F190-J190-K190,IF(G190=4,F190,IF(G190=5,F190*10/11,IF(G190=7,F190*10/11,0))))),0)</f>
        <v>0</v>
      </c>
      <c r="J190" s="818">
        <f>ROUND(IF(G190=1,F190/23,IF(G190=3,F190/12,IF(G190=5,F190-I190,IF(G190=8,F190,0)))),0)</f>
        <v>0</v>
      </c>
      <c r="K190" s="819">
        <f>ROUND(IF(G190=1,F190/23,IF(G190=3,F190/12,IF(G190=6,F190,IF(G190=7,F190-I190,0)))),0)</f>
        <v>0</v>
      </c>
      <c r="L190" s="820">
        <f>IF(G190=6,F190,0)</f>
        <v>0</v>
      </c>
      <c r="P190" s="768" t="n"/>
      <c r="Q190" s="769" t="str">
        <f>IF($F190="","",IFERROR(VLOOKUP($C190&amp;"|"&amp;$D190,科目表!$A$5:$B$200,2,FALSE),"※未登録"))</f>
        <v/>
      </c>
      <c r="R190" s="769" t="str">
        <f>IF($F190="","",$I190+$J190+$K190)</f>
        <v/>
      </c>
      <c r="S190" s="769" t="str">
        <f>IF(OR($F190="",$P190="支払なし",$H190=0,$Q190=""),"",$Q190&amp;"|S|"&amp;(COUNTIF(S$4:S189,$Q190&amp;"|S|*")+1))</f>
        <v/>
      </c>
      <c r="T190" s="769" t="str">
        <f>IF(OR($F190="",$P190="支払なし",$R190=0,$Q190=""),"",$Q190&amp;"|L|"&amp;(COUNTIF(T$4:T189,$Q190&amp;"|L|*")+1))</f>
        <v/>
      </c>
      <c r="U190" s="769" t="str">
        <f>IF($F190="","",13)</f>
        <v/>
      </c>
    </row>
    <row r="191" ht="16.5" customHeight="1" s="186">
      <c r="A191" s="760" t="n"/>
      <c r="B191" s="760" t="n"/>
      <c r="C191" s="762" t="n"/>
      <c r="D191" s="762" t="n"/>
      <c r="E191" s="775" t="n"/>
      <c r="F191" s="821" t="n"/>
      <c r="G191" s="821" t="n"/>
      <c r="H191" s="818">
        <f>IF(G191=1,F191-I191-J191-K191,IF(G191=2,F191,0))</f>
        <v>0</v>
      </c>
      <c r="I191" s="818">
        <f>ROUND(IF(G191=1,F191*10/23,IF(G191=3,F191-J191-K191,IF(G191=4,F191,IF(G191=5,F191*10/11,IF(G191=7,F191*10/11,0))))),0)</f>
        <v>0</v>
      </c>
      <c r="J191" s="818">
        <f>ROUND(IF(G191=1,F191/23,IF(G191=3,F191/12,IF(G191=5,F191-I191,IF(G191=8,F191,0)))),0)</f>
        <v>0</v>
      </c>
      <c r="K191" s="819">
        <f>ROUND(IF(G191=1,F191/23,IF(G191=3,F191/12,IF(G191=6,F191,IF(G191=7,F191-I191,0)))),0)</f>
        <v>0</v>
      </c>
      <c r="L191" s="820">
        <f>IF(G191=6,F191,0)</f>
        <v>0</v>
      </c>
      <c r="P191" s="768" t="n"/>
      <c r="Q191" s="769" t="str">
        <f>IF($F191="","",IFERROR(VLOOKUP($C191&amp;"|"&amp;$D191,科目表!$A$5:$B$200,2,FALSE),"※未登録"))</f>
        <v/>
      </c>
      <c r="R191" s="769" t="str">
        <f>IF($F191="","",$I191+$J191+$K191)</f>
        <v/>
      </c>
      <c r="S191" s="769" t="str">
        <f>IF(OR($F191="",$P191="支払なし",$H191=0,$Q191=""),"",$Q191&amp;"|S|"&amp;(COUNTIF(S$4:S190,$Q191&amp;"|S|*")+1))</f>
        <v/>
      </c>
      <c r="T191" s="769" t="str">
        <f>IF(OR($F191="",$P191="支払なし",$R191=0,$Q191=""),"",$Q191&amp;"|L|"&amp;(COUNTIF(T$4:T190,$Q191&amp;"|L|*")+1))</f>
        <v/>
      </c>
      <c r="U191" s="769" t="str">
        <f>IF($F191="","",13)</f>
        <v/>
      </c>
    </row>
    <row r="192" ht="16.5" customHeight="1" s="186">
      <c r="A192" s="760" t="n"/>
      <c r="B192" s="760" t="n"/>
      <c r="C192" s="762" t="n"/>
      <c r="D192" s="762" t="n"/>
      <c r="E192" s="775" t="n"/>
      <c r="F192" s="821" t="n"/>
      <c r="G192" s="821" t="n"/>
      <c r="H192" s="818">
        <f>IF(G192=1,F192-I192-J192-K192,IF(G192=2,F192,0))</f>
        <v>0</v>
      </c>
      <c r="I192" s="818">
        <f>ROUND(IF(G192=1,F192*10/23,IF(G192=3,F192-J192-K192,IF(G192=4,F192,IF(G192=5,F192*10/11,IF(G192=7,F192*10/11,0))))),0)</f>
        <v>0</v>
      </c>
      <c r="J192" s="818">
        <f>ROUND(IF(G192=1,F192/23,IF(G192=3,F192/12,IF(G192=5,F192-I192,IF(G192=8,F192,0)))),0)</f>
        <v>0</v>
      </c>
      <c r="K192" s="819">
        <f>ROUND(IF(G192=1,F192/23,IF(G192=3,F192/12,IF(G192=6,F192,IF(G192=7,F192-I192,0)))),0)</f>
        <v>0</v>
      </c>
      <c r="L192" s="820">
        <f>IF(G192=6,F192,0)</f>
        <v>0</v>
      </c>
      <c r="P192" s="768" t="n"/>
      <c r="Q192" s="769" t="str">
        <f>IF($F192="","",IFERROR(VLOOKUP($C192&amp;"|"&amp;$D192,科目表!$A$5:$B$200,2,FALSE),"※未登録"))</f>
        <v/>
      </c>
      <c r="R192" s="769" t="str">
        <f>IF($F192="","",$I192+$J192+$K192)</f>
        <v/>
      </c>
      <c r="S192" s="769" t="str">
        <f>IF(OR($F192="",$P192="支払なし",$H192=0,$Q192=""),"",$Q192&amp;"|S|"&amp;(COUNTIF(S$4:S191,$Q192&amp;"|S|*")+1))</f>
        <v/>
      </c>
      <c r="T192" s="769" t="str">
        <f>IF(OR($F192="",$P192="支払なし",$R192=0,$Q192=""),"",$Q192&amp;"|L|"&amp;(COUNTIF(T$4:T191,$Q192&amp;"|L|*")+1))</f>
        <v/>
      </c>
      <c r="U192" s="769" t="str">
        <f>IF($F192="","",13)</f>
        <v/>
      </c>
    </row>
    <row r="193" ht="16.5" customHeight="1" s="186">
      <c r="A193" s="760" t="n"/>
      <c r="B193" s="760" t="n"/>
      <c r="C193" s="762" t="n"/>
      <c r="D193" s="762" t="n"/>
      <c r="E193" s="775" t="n"/>
      <c r="F193" s="821" t="n"/>
      <c r="G193" s="821" t="n"/>
      <c r="H193" s="818">
        <f>IF(G193=1,F193-I193-J193-K193,IF(G193=2,F193,0))</f>
        <v>0</v>
      </c>
      <c r="I193" s="818">
        <f>ROUND(IF(G193=1,F193*10/23,IF(G193=3,F193-J193-K193,IF(G193=4,F193,IF(G193=5,F193*10/11,IF(G193=7,F193*10/11,0))))),0)</f>
        <v>0</v>
      </c>
      <c r="J193" s="818">
        <f>ROUND(IF(G193=1,F193/23,IF(G193=3,F193/12,IF(G193=5,F193-I193,IF(G193=8,F193,0)))),0)</f>
        <v>0</v>
      </c>
      <c r="K193" s="819">
        <f>ROUND(IF(G193=1,F193/23,IF(G193=3,F193/12,IF(G193=6,F193,IF(G193=7,F193-I193,0)))),0)</f>
        <v>0</v>
      </c>
      <c r="L193" s="820">
        <f>IF(G193=6,F193,0)</f>
        <v>0</v>
      </c>
      <c r="P193" s="768" t="n"/>
      <c r="Q193" s="769" t="str">
        <f>IF($F193="","",IFERROR(VLOOKUP($C193&amp;"|"&amp;$D193,科目表!$A$5:$B$200,2,FALSE),"※未登録"))</f>
        <v/>
      </c>
      <c r="R193" s="769" t="str">
        <f>IF($F193="","",$I193+$J193+$K193)</f>
        <v/>
      </c>
      <c r="S193" s="769" t="str">
        <f>IF(OR($F193="",$P193="支払なし",$H193=0,$Q193=""),"",$Q193&amp;"|S|"&amp;(COUNTIF(S$4:S192,$Q193&amp;"|S|*")+1))</f>
        <v/>
      </c>
      <c r="T193" s="769" t="str">
        <f>IF(OR($F193="",$P193="支払なし",$R193=0,$Q193=""),"",$Q193&amp;"|L|"&amp;(COUNTIF(T$4:T192,$Q193&amp;"|L|*")+1))</f>
        <v/>
      </c>
      <c r="U193" s="769" t="str">
        <f>IF($F193="","",13)</f>
        <v/>
      </c>
    </row>
    <row r="194" ht="16.5" customHeight="1" s="186">
      <c r="A194" s="760" t="n"/>
      <c r="B194" s="760" t="n"/>
      <c r="C194" s="762" t="n"/>
      <c r="D194" s="762" t="n"/>
      <c r="E194" s="775" t="n"/>
      <c r="F194" s="821" t="n"/>
      <c r="G194" s="821" t="n"/>
      <c r="H194" s="818">
        <f>IF(G194=1,F194-I194-J194-K194,IF(G194=2,F194,0))</f>
        <v>0</v>
      </c>
      <c r="I194" s="818">
        <f>ROUND(IF(G194=1,F194*10/23,IF(G194=3,F194-J194-K194,IF(G194=4,F194,IF(G194=5,F194*10/11,IF(G194=7,F194*10/11,0))))),0)</f>
        <v>0</v>
      </c>
      <c r="J194" s="818">
        <f>ROUND(IF(G194=1,F194/23,IF(G194=3,F194/12,IF(G194=5,F194-I194,IF(G194=8,F194,0)))),0)</f>
        <v>0</v>
      </c>
      <c r="K194" s="819">
        <f>ROUND(IF(G194=1,F194/23,IF(G194=3,F194/12,IF(G194=6,F194,IF(G194=7,F194-I194,0)))),0)</f>
        <v>0</v>
      </c>
      <c r="L194" s="820">
        <f>IF(G194=6,F194,0)</f>
        <v>0</v>
      </c>
      <c r="P194" s="768" t="n"/>
      <c r="Q194" s="769" t="str">
        <f>IF($F194="","",IFERROR(VLOOKUP($C194&amp;"|"&amp;$D194,科目表!$A$5:$B$200,2,FALSE),"※未登録"))</f>
        <v/>
      </c>
      <c r="R194" s="769" t="str">
        <f>IF($F194="","",$I194+$J194+$K194)</f>
        <v/>
      </c>
      <c r="S194" s="769" t="str">
        <f>IF(OR($F194="",$P194="支払なし",$H194=0,$Q194=""),"",$Q194&amp;"|S|"&amp;(COUNTIF(S$4:S193,$Q194&amp;"|S|*")+1))</f>
        <v/>
      </c>
      <c r="T194" s="769" t="str">
        <f>IF(OR($F194="",$P194="支払なし",$R194=0,$Q194=""),"",$Q194&amp;"|L|"&amp;(COUNTIF(T$4:T193,$Q194&amp;"|L|*")+1))</f>
        <v/>
      </c>
      <c r="U194" s="769" t="str">
        <f>IF($F194="","",13)</f>
        <v/>
      </c>
    </row>
    <row r="195" ht="16.5" customHeight="1" s="186">
      <c r="A195" s="760" t="n"/>
      <c r="B195" s="760" t="n"/>
      <c r="C195" s="762" t="n"/>
      <c r="D195" s="762" t="n"/>
      <c r="E195" s="775" t="n"/>
      <c r="F195" s="821" t="n"/>
      <c r="G195" s="821" t="n"/>
      <c r="H195" s="818">
        <f>IF(G195=1,F195-I195-J195-K195,IF(G195=2,F195,0))</f>
        <v>0</v>
      </c>
      <c r="I195" s="818">
        <f>ROUND(IF(G195=1,F195*10/23,IF(G195=3,F195-J195-K195,IF(G195=4,F195,IF(G195=5,F195*10/11,IF(G195=7,F195*10/11,0))))),0)</f>
        <v>0</v>
      </c>
      <c r="J195" s="818">
        <f>ROUND(IF(G195=1,F195/23,IF(G195=3,F195/12,IF(G195=5,F195-I195,IF(G195=8,F195,0)))),0)</f>
        <v>0</v>
      </c>
      <c r="K195" s="819">
        <f>ROUND(IF(G195=1,F195/23,IF(G195=3,F195/12,IF(G195=6,F195,IF(G195=7,F195-I195,0)))),0)</f>
        <v>0</v>
      </c>
      <c r="L195" s="820">
        <f>IF(G195=6,F195,0)</f>
        <v>0</v>
      </c>
      <c r="P195" s="768" t="n"/>
      <c r="Q195" s="769" t="str">
        <f>IF($F195="","",IFERROR(VLOOKUP($C195&amp;"|"&amp;$D195,科目表!$A$5:$B$200,2,FALSE),"※未登録"))</f>
        <v/>
      </c>
      <c r="R195" s="769" t="str">
        <f>IF($F195="","",$I195+$J195+$K195)</f>
        <v/>
      </c>
      <c r="S195" s="769" t="str">
        <f>IF(OR($F195="",$P195="支払なし",$H195=0,$Q195=""),"",$Q195&amp;"|S|"&amp;(COUNTIF(S$4:S194,$Q195&amp;"|S|*")+1))</f>
        <v/>
      </c>
      <c r="T195" s="769" t="str">
        <f>IF(OR($F195="",$P195="支払なし",$R195=0,$Q195=""),"",$Q195&amp;"|L|"&amp;(COUNTIF(T$4:T194,$Q195&amp;"|L|*")+1))</f>
        <v/>
      </c>
      <c r="U195" s="769" t="str">
        <f>IF($F195="","",13)</f>
        <v/>
      </c>
    </row>
    <row r="196" ht="16.5" customHeight="1" s="186">
      <c r="A196" s="760" t="n"/>
      <c r="B196" s="760" t="n"/>
      <c r="C196" s="762" t="n"/>
      <c r="D196" s="762" t="n"/>
      <c r="E196" s="775" t="n"/>
      <c r="F196" s="821" t="n"/>
      <c r="G196" s="821" t="n"/>
      <c r="H196" s="818">
        <f>IF(G196=1,F196-I196-J196-K196,IF(G196=2,F196,0))</f>
        <v>0</v>
      </c>
      <c r="I196" s="818">
        <f>ROUND(IF(G196=1,F196*10/23,IF(G196=3,F196-J196-K196,IF(G196=4,F196,IF(G196=5,F196*10/11,IF(G196=7,F196*10/11,0))))),0)</f>
        <v>0</v>
      </c>
      <c r="J196" s="818">
        <f>ROUND(IF(G196=1,F196/23,IF(G196=3,F196/12,IF(G196=5,F196-I196,IF(G196=8,F196,0)))),0)</f>
        <v>0</v>
      </c>
      <c r="K196" s="819">
        <f>ROUND(IF(G196=1,F196/23,IF(G196=3,F196/12,IF(G196=6,F196,IF(G196=7,F196-I196,0)))),0)</f>
        <v>0</v>
      </c>
      <c r="L196" s="820">
        <f>IF(G196=6,F196,0)</f>
        <v>0</v>
      </c>
      <c r="P196" s="768" t="n"/>
      <c r="Q196" s="769" t="str">
        <f>IF($F196="","",IFERROR(VLOOKUP($C196&amp;"|"&amp;$D196,科目表!$A$5:$B$200,2,FALSE),"※未登録"))</f>
        <v/>
      </c>
      <c r="R196" s="769" t="str">
        <f>IF($F196="","",$I196+$J196+$K196)</f>
        <v/>
      </c>
      <c r="S196" s="769" t="str">
        <f>IF(OR($F196="",$P196="支払なし",$H196=0,$Q196=""),"",$Q196&amp;"|S|"&amp;(COUNTIF(S$4:S195,$Q196&amp;"|S|*")+1))</f>
        <v/>
      </c>
      <c r="T196" s="769" t="str">
        <f>IF(OR($F196="",$P196="支払なし",$R196=0,$Q196=""),"",$Q196&amp;"|L|"&amp;(COUNTIF(T$4:T195,$Q196&amp;"|L|*")+1))</f>
        <v/>
      </c>
      <c r="U196" s="769" t="str">
        <f>IF($F196="","",13)</f>
        <v/>
      </c>
    </row>
    <row r="197" ht="16.5" customHeight="1" s="186">
      <c r="A197" s="760" t="n"/>
      <c r="B197" s="760" t="n"/>
      <c r="C197" s="762" t="n"/>
      <c r="D197" s="762" t="n"/>
      <c r="E197" s="775" t="n"/>
      <c r="F197" s="821" t="n"/>
      <c r="G197" s="821" t="n"/>
      <c r="H197" s="818">
        <f>IF(G197=1,F197-I197-J197-K197,IF(G197=2,F197,0))</f>
        <v>0</v>
      </c>
      <c r="I197" s="818">
        <f>ROUND(IF(G197=1,F197*10/23,IF(G197=3,F197-J197-K197,IF(G197=4,F197,IF(G197=5,F197*10/11,IF(G197=7,F197*10/11,0))))),0)</f>
        <v>0</v>
      </c>
      <c r="J197" s="818">
        <f>ROUND(IF(G197=1,F197/23,IF(G197=3,F197/12,IF(G197=5,F197-I197,IF(G197=8,F197,0)))),0)</f>
        <v>0</v>
      </c>
      <c r="K197" s="819">
        <f>ROUND(IF(G197=1,F197/23,IF(G197=3,F197/12,IF(G197=6,F197,IF(G197=7,F197-I197,0)))),0)</f>
        <v>0</v>
      </c>
      <c r="L197" s="820">
        <f>IF(G197=6,F197,0)</f>
        <v>0</v>
      </c>
      <c r="P197" s="768" t="n"/>
      <c r="Q197" s="769" t="str">
        <f>IF($F197="","",IFERROR(VLOOKUP($C197&amp;"|"&amp;$D197,科目表!$A$5:$B$200,2,FALSE),"※未登録"))</f>
        <v/>
      </c>
      <c r="R197" s="769" t="str">
        <f>IF($F197="","",$I197+$J197+$K197)</f>
        <v/>
      </c>
      <c r="S197" s="769" t="str">
        <f>IF(OR($F197="",$P197="支払なし",$H197=0,$Q197=""),"",$Q197&amp;"|S|"&amp;(COUNTIF(S$4:S196,$Q197&amp;"|S|*")+1))</f>
        <v/>
      </c>
      <c r="T197" s="769" t="str">
        <f>IF(OR($F197="",$P197="支払なし",$R197=0,$Q197=""),"",$Q197&amp;"|L|"&amp;(COUNTIF(T$4:T196,$Q197&amp;"|L|*")+1))</f>
        <v/>
      </c>
      <c r="U197" s="769" t="str">
        <f>IF($F197="","",13)</f>
        <v/>
      </c>
    </row>
    <row r="198" ht="16.5" customHeight="1" s="186">
      <c r="A198" s="760" t="n"/>
      <c r="B198" s="760" t="n"/>
      <c r="C198" s="762" t="n"/>
      <c r="D198" s="762" t="n"/>
      <c r="E198" s="775" t="n"/>
      <c r="F198" s="821" t="n"/>
      <c r="G198" s="821" t="n"/>
      <c r="H198" s="818">
        <f>IF(G198=1,F198-I198-J198-K198,IF(G198=2,F198,0))</f>
        <v>0</v>
      </c>
      <c r="I198" s="818">
        <f>ROUND(IF(G198=1,F198*10/23,IF(G198=3,F198-J198-K198,IF(G198=4,F198,IF(G198=5,F198*10/11,IF(G198=7,F198*10/11,0))))),0)</f>
        <v>0</v>
      </c>
      <c r="J198" s="818">
        <f>ROUND(IF(G198=1,F198/23,IF(G198=3,F198/12,IF(G198=5,F198-I198,IF(G198=8,F198,0)))),0)</f>
        <v>0</v>
      </c>
      <c r="K198" s="819">
        <f>ROUND(IF(G198=1,F198/23,IF(G198=3,F198/12,IF(G198=6,F198,IF(G198=7,F198-I198,0)))),0)</f>
        <v>0</v>
      </c>
      <c r="L198" s="820">
        <f>IF(G198=6,F198,0)</f>
        <v>0</v>
      </c>
      <c r="P198" s="768" t="n"/>
      <c r="Q198" s="769" t="str">
        <f>IF($F198="","",IFERROR(VLOOKUP($C198&amp;"|"&amp;$D198,科目表!$A$5:$B$200,2,FALSE),"※未登録"))</f>
        <v/>
      </c>
      <c r="R198" s="769" t="str">
        <f>IF($F198="","",$I198+$J198+$K198)</f>
        <v/>
      </c>
      <c r="S198" s="769" t="str">
        <f>IF(OR($F198="",$P198="支払なし",$H198=0,$Q198=""),"",$Q198&amp;"|S|"&amp;(COUNTIF(S$4:S197,$Q198&amp;"|S|*")+1))</f>
        <v/>
      </c>
      <c r="T198" s="769" t="str">
        <f>IF(OR($F198="",$P198="支払なし",$R198=0,$Q198=""),"",$Q198&amp;"|L|"&amp;(COUNTIF(T$4:T197,$Q198&amp;"|L|*")+1))</f>
        <v/>
      </c>
      <c r="U198" s="769" t="str">
        <f>IF($F198="","",13)</f>
        <v/>
      </c>
    </row>
    <row r="199" ht="16.5" customHeight="1" s="186">
      <c r="A199" s="760" t="n"/>
      <c r="B199" s="760" t="n"/>
      <c r="C199" s="762" t="n"/>
      <c r="D199" s="762" t="n"/>
      <c r="E199" s="775" t="n"/>
      <c r="F199" s="821" t="n"/>
      <c r="G199" s="821" t="n"/>
      <c r="H199" s="818">
        <f>IF(G199=1,F199-I199-J199-K199,IF(G199=2,F199,0))</f>
        <v>0</v>
      </c>
      <c r="I199" s="818">
        <f>ROUND(IF(G199=1,F199*10/23,IF(G199=3,F199-J199-K199,IF(G199=4,F199,IF(G199=5,F199*10/11,IF(G199=7,F199*10/11,0))))),0)</f>
        <v>0</v>
      </c>
      <c r="J199" s="818">
        <f>ROUND(IF(G199=1,F199/23,IF(G199=3,F199/12,IF(G199=5,F199-I199,IF(G199=8,F199,0)))),0)</f>
        <v>0</v>
      </c>
      <c r="K199" s="819">
        <f>ROUND(IF(G199=1,F199/23,IF(G199=3,F199/12,IF(G199=6,F199,IF(G199=7,F199-I199,0)))),0)</f>
        <v>0</v>
      </c>
      <c r="L199" s="820">
        <f>IF(G199=6,F199,0)</f>
        <v>0</v>
      </c>
      <c r="P199" s="768" t="n"/>
      <c r="Q199" s="769" t="str">
        <f>IF($F199="","",IFERROR(VLOOKUP($C199&amp;"|"&amp;$D199,科目表!$A$5:$B$200,2,FALSE),"※未登録"))</f>
        <v/>
      </c>
      <c r="R199" s="769" t="str">
        <f>IF($F199="","",$I199+$J199+$K199)</f>
        <v/>
      </c>
      <c r="S199" s="769" t="str">
        <f>IF(OR($F199="",$P199="支払なし",$H199=0,$Q199=""),"",$Q199&amp;"|S|"&amp;(COUNTIF(S$4:S198,$Q199&amp;"|S|*")+1))</f>
        <v/>
      </c>
      <c r="T199" s="769" t="str">
        <f>IF(OR($F199="",$P199="支払なし",$R199=0,$Q199=""),"",$Q199&amp;"|L|"&amp;(COUNTIF(T$4:T198,$Q199&amp;"|L|*")+1))</f>
        <v/>
      </c>
      <c r="U199" s="769" t="str">
        <f>IF($F199="","",13)</f>
        <v/>
      </c>
    </row>
    <row r="200" ht="16.5" customHeight="1" s="186">
      <c r="A200" s="760" t="n"/>
      <c r="B200" s="760" t="n"/>
      <c r="C200" s="762" t="n"/>
      <c r="D200" s="762" t="n"/>
      <c r="E200" s="775" t="n"/>
      <c r="F200" s="821" t="n"/>
      <c r="G200" s="821" t="n"/>
      <c r="H200" s="818">
        <f>IF(G200=1,F200-I200-J200-K200,IF(G200=2,F200,0))</f>
        <v>0</v>
      </c>
      <c r="I200" s="818">
        <f>ROUND(IF(G200=1,F200*10/23,IF(G200=3,F200-J200-K200,IF(G200=4,F200,IF(G200=5,F200*10/11,IF(G200=7,F200*10/11,0))))),0)</f>
        <v>0</v>
      </c>
      <c r="J200" s="818">
        <f>ROUND(IF(G200=1,F200/23,IF(G200=3,F200/12,IF(G200=5,F200-I200,IF(G200=8,F200,0)))),0)</f>
        <v>0</v>
      </c>
      <c r="K200" s="819">
        <f>ROUND(IF(G200=1,F200/23,IF(G200=3,F200/12,IF(G200=6,F200,IF(G200=7,F200-I200,0)))),0)</f>
        <v>0</v>
      </c>
      <c r="L200" s="820">
        <f>IF(G200=6,F200,0)</f>
        <v>0</v>
      </c>
      <c r="P200" s="768" t="n"/>
      <c r="Q200" s="769" t="str">
        <f>IF($F200="","",IFERROR(VLOOKUP($C200&amp;"|"&amp;$D200,科目表!$A$5:$B$200,2,FALSE),"※未登録"))</f>
        <v/>
      </c>
      <c r="R200" s="769" t="str">
        <f>IF($F200="","",$I200+$J200+$K200)</f>
        <v/>
      </c>
      <c r="S200" s="769" t="str">
        <f>IF(OR($F200="",$P200="支払なし",$H200=0,$Q200=""),"",$Q200&amp;"|S|"&amp;(COUNTIF(S$4:S199,$Q200&amp;"|S|*")+1))</f>
        <v/>
      </c>
      <c r="T200" s="769" t="str">
        <f>IF(OR($F200="",$P200="支払なし",$R200=0,$Q200=""),"",$Q200&amp;"|L|"&amp;(COUNTIF(T$4:T199,$Q200&amp;"|L|*")+1))</f>
        <v/>
      </c>
      <c r="U200" s="769" t="str">
        <f>IF($F200="","",13)</f>
        <v/>
      </c>
    </row>
    <row r="201" ht="16.5" customHeight="1" s="186">
      <c r="A201" s="760" t="n"/>
      <c r="B201" s="760" t="n"/>
      <c r="C201" s="762" t="n"/>
      <c r="D201" s="762" t="n"/>
      <c r="E201" s="775" t="n"/>
      <c r="F201" s="821" t="n"/>
      <c r="G201" s="821" t="n"/>
      <c r="H201" s="818">
        <f>IF(G201=1,F201-I201-J201-K201,IF(G201=2,F201,0))</f>
        <v>0</v>
      </c>
      <c r="I201" s="818">
        <f>ROUND(IF(G201=1,F201*10/23,IF(G201=3,F201-J201-K201,IF(G201=4,F201,IF(G201=5,F201*10/11,IF(G201=7,F201*10/11,0))))),0)</f>
        <v>0</v>
      </c>
      <c r="J201" s="818">
        <f>ROUND(IF(G201=1,F201/23,IF(G201=3,F201/12,IF(G201=5,F201-I201,IF(G201=8,F201,0)))),0)</f>
        <v>0</v>
      </c>
      <c r="K201" s="819">
        <f>ROUND(IF(G201=1,F201/23,IF(G201=3,F201/12,IF(G201=6,F201,IF(G201=7,F201-I201,0)))),0)</f>
        <v>0</v>
      </c>
      <c r="L201" s="820">
        <f>IF(G201=6,F201,0)</f>
        <v>0</v>
      </c>
      <c r="P201" s="768" t="n"/>
      <c r="Q201" s="769" t="str">
        <f>IF($F201="","",IFERROR(VLOOKUP($C201&amp;"|"&amp;$D201,科目表!$A$5:$B$200,2,FALSE),"※未登録"))</f>
        <v/>
      </c>
      <c r="R201" s="769" t="str">
        <f>IF($F201="","",$I201+$J201+$K201)</f>
        <v/>
      </c>
      <c r="S201" s="769" t="str">
        <f>IF(OR($F201="",$P201="支払なし",$H201=0,$Q201=""),"",$Q201&amp;"|S|"&amp;(COUNTIF(S$4:S200,$Q201&amp;"|S|*")+1))</f>
        <v/>
      </c>
      <c r="T201" s="769" t="str">
        <f>IF(OR($F201="",$P201="支払なし",$R201=0,$Q201=""),"",$Q201&amp;"|L|"&amp;(COUNTIF(T$4:T200,$Q201&amp;"|L|*")+1))</f>
        <v/>
      </c>
      <c r="U201" s="769" t="str">
        <f>IF($F201="","",13)</f>
        <v/>
      </c>
    </row>
    <row r="202" ht="16.5" customHeight="1" s="186">
      <c r="A202" s="760" t="n"/>
      <c r="B202" s="760" t="n"/>
      <c r="C202" s="762" t="n"/>
      <c r="D202" s="762" t="n"/>
      <c r="E202" s="775" t="n"/>
      <c r="F202" s="821" t="n"/>
      <c r="G202" s="821" t="n"/>
      <c r="H202" s="818">
        <f>IF(G202=1,F202-I202-J202-K202,IF(G202=2,F202,0))</f>
        <v>0</v>
      </c>
      <c r="I202" s="818">
        <f>ROUND(IF(G202=1,F202*10/23,IF(G202=3,F202-J202-K202,IF(G202=4,F202,IF(G202=5,F202*10/11,IF(G202=7,F202*10/11,0))))),0)</f>
        <v>0</v>
      </c>
      <c r="J202" s="818">
        <f>ROUND(IF(G202=1,F202/23,IF(G202=3,F202/12,IF(G202=5,F202-I202,IF(G202=8,F202,0)))),0)</f>
        <v>0</v>
      </c>
      <c r="K202" s="819">
        <f>ROUND(IF(G202=1,F202/23,IF(G202=3,F202/12,IF(G202=6,F202,IF(G202=7,F202-I202,0)))),0)</f>
        <v>0</v>
      </c>
      <c r="L202" s="820">
        <f>IF(G202=6,F202,0)</f>
        <v>0</v>
      </c>
      <c r="P202" s="768" t="n"/>
      <c r="Q202" s="769" t="str">
        <f>IF($F202="","",IFERROR(VLOOKUP($C202&amp;"|"&amp;$D202,科目表!$A$5:$B$200,2,FALSE),"※未登録"))</f>
        <v/>
      </c>
      <c r="R202" s="769" t="str">
        <f>IF($F202="","",$I202+$J202+$K202)</f>
        <v/>
      </c>
      <c r="S202" s="769" t="str">
        <f>IF(OR($F202="",$P202="支払なし",$H202=0,$Q202=""),"",$Q202&amp;"|S|"&amp;(COUNTIF(S$4:S201,$Q202&amp;"|S|*")+1))</f>
        <v/>
      </c>
      <c r="T202" s="769" t="str">
        <f>IF(OR($F202="",$P202="支払なし",$R202=0,$Q202=""),"",$Q202&amp;"|L|"&amp;(COUNTIF(T$4:T201,$Q202&amp;"|L|*")+1))</f>
        <v/>
      </c>
      <c r="U202" s="769" t="str">
        <f>IF($F202="","",13)</f>
        <v/>
      </c>
    </row>
    <row r="203" ht="16.5" customHeight="1" s="186">
      <c r="A203" s="760" t="n"/>
      <c r="B203" s="760" t="n"/>
      <c r="C203" s="762" t="n"/>
      <c r="D203" s="762" t="n"/>
      <c r="E203" s="775" t="n"/>
      <c r="F203" s="821" t="n"/>
      <c r="G203" s="821" t="n"/>
      <c r="H203" s="818">
        <f>IF(G203=1,F203-I203-J203-K203,IF(G203=2,F203,0))</f>
        <v>0</v>
      </c>
      <c r="I203" s="818">
        <f>ROUND(IF(G203=1,F203*10/23,IF(G203=3,F203-J203-K203,IF(G203=4,F203,IF(G203=5,F203*10/11,IF(G203=7,F203*10/11,0))))),0)</f>
        <v>0</v>
      </c>
      <c r="J203" s="818">
        <f>ROUND(IF(G203=1,F203/23,IF(G203=3,F203/12,IF(G203=5,F203-I203,IF(G203=8,F203,0)))),0)</f>
        <v>0</v>
      </c>
      <c r="K203" s="819">
        <f>ROUND(IF(G203=1,F203/23,IF(G203=3,F203/12,IF(G203=6,F203,IF(G203=7,F203-I203,0)))),0)</f>
        <v>0</v>
      </c>
      <c r="L203" s="820">
        <f>IF(G203=6,F203,0)</f>
        <v>0</v>
      </c>
      <c r="P203" s="768" t="n"/>
      <c r="Q203" s="769" t="str">
        <f>IF($F203="","",IFERROR(VLOOKUP($C203&amp;"|"&amp;$D203,科目表!$A$5:$B$200,2,FALSE),"※未登録"))</f>
        <v/>
      </c>
      <c r="R203" s="769" t="str">
        <f>IF($F203="","",$I203+$J203+$K203)</f>
        <v/>
      </c>
      <c r="S203" s="769" t="str">
        <f>IF(OR($F203="",$P203="支払なし",$H203=0,$Q203=""),"",$Q203&amp;"|S|"&amp;(COUNTIF(S$4:S202,$Q203&amp;"|S|*")+1))</f>
        <v/>
      </c>
      <c r="T203" s="769" t="str">
        <f>IF(OR($F203="",$P203="支払なし",$R203=0,$Q203=""),"",$Q203&amp;"|L|"&amp;(COUNTIF(T$4:T202,$Q203&amp;"|L|*")+1))</f>
        <v/>
      </c>
      <c r="U203" s="769" t="str">
        <f>IF($F203="","",13)</f>
        <v/>
      </c>
    </row>
    <row r="204" ht="16.5" customHeight="1" s="186">
      <c r="A204" s="760" t="n"/>
      <c r="B204" s="760" t="n"/>
      <c r="C204" s="762" t="n"/>
      <c r="D204" s="762" t="n"/>
      <c r="E204" s="775" t="n"/>
      <c r="F204" s="821" t="n"/>
      <c r="G204" s="821" t="n"/>
      <c r="H204" s="818">
        <f>IF(G204=1,F204-I204-J204-K204,IF(G204=2,F204,0))</f>
        <v>0</v>
      </c>
      <c r="I204" s="818">
        <f>ROUND(IF(G204=1,F204*10/23,IF(G204=3,F204-J204-K204,IF(G204=4,F204,IF(G204=5,F204*10/11,IF(G204=7,F204*10/11,0))))),0)</f>
        <v>0</v>
      </c>
      <c r="J204" s="818">
        <f>ROUND(IF(G204=1,F204/23,IF(G204=3,F204/12,IF(G204=5,F204-I204,IF(G204=8,F204,0)))),0)</f>
        <v>0</v>
      </c>
      <c r="K204" s="819">
        <f>ROUND(IF(G204=1,F204/23,IF(G204=3,F204/12,IF(G204=6,F204,IF(G204=7,F204-I204,0)))),0)</f>
        <v>0</v>
      </c>
      <c r="L204" s="820">
        <f>IF(G204=6,F204,0)</f>
        <v>0</v>
      </c>
      <c r="P204" s="768" t="n"/>
      <c r="Q204" s="769" t="str">
        <f>IF($F204="","",IFERROR(VLOOKUP($C204&amp;"|"&amp;$D204,科目表!$A$5:$B$200,2,FALSE),"※未登録"))</f>
        <v/>
      </c>
      <c r="R204" s="769" t="str">
        <f>IF($F204="","",$I204+$J204+$K204)</f>
        <v/>
      </c>
      <c r="S204" s="769" t="str">
        <f>IF(OR($F204="",$P204="支払なし",$H204=0,$Q204=""),"",$Q204&amp;"|S|"&amp;(COUNTIF(S$4:S203,$Q204&amp;"|S|*")+1))</f>
        <v/>
      </c>
      <c r="T204" s="769" t="str">
        <f>IF(OR($F204="",$P204="支払なし",$R204=0,$Q204=""),"",$Q204&amp;"|L|"&amp;(COUNTIF(T$4:T203,$Q204&amp;"|L|*")+1))</f>
        <v/>
      </c>
      <c r="U204" s="769" t="str">
        <f>IF($F204="","",13)</f>
        <v/>
      </c>
    </row>
    <row r="205" ht="16.5" customHeight="1" s="186">
      <c r="A205" s="760" t="n"/>
      <c r="B205" s="760" t="n"/>
      <c r="C205" s="762" t="n"/>
      <c r="D205" s="762" t="n"/>
      <c r="E205" s="775" t="n"/>
      <c r="F205" s="821" t="n"/>
      <c r="G205" s="821" t="n"/>
      <c r="H205" s="818">
        <f>IF(G205=1,F205-I205-J205-K205,IF(G205=2,F205,0))</f>
        <v>0</v>
      </c>
      <c r="I205" s="818">
        <f>ROUND(IF(G205=1,F205*10/23,IF(G205=3,F205-J205-K205,IF(G205=4,F205,IF(G205=5,F205*10/11,IF(G205=7,F205*10/11,0))))),0)</f>
        <v>0</v>
      </c>
      <c r="J205" s="818">
        <f>ROUND(IF(G205=1,F205/23,IF(G205=3,F205/12,IF(G205=5,F205-I205,IF(G205=8,F205,0)))),0)</f>
        <v>0</v>
      </c>
      <c r="K205" s="819">
        <f>ROUND(IF(G205=1,F205/23,IF(G205=3,F205/12,IF(G205=6,F205,IF(G205=7,F205-I205,0)))),0)</f>
        <v>0</v>
      </c>
      <c r="L205" s="820">
        <f>IF(G205=6,F205,0)</f>
        <v>0</v>
      </c>
      <c r="P205" s="768" t="n"/>
      <c r="Q205" s="769" t="str">
        <f>IF($F205="","",IFERROR(VLOOKUP($C205&amp;"|"&amp;$D205,科目表!$A$5:$B$200,2,FALSE),"※未登録"))</f>
        <v/>
      </c>
      <c r="R205" s="769" t="str">
        <f>IF($F205="","",$I205+$J205+$K205)</f>
        <v/>
      </c>
      <c r="S205" s="769" t="str">
        <f>IF(OR($F205="",$P205="支払なし",$H205=0,$Q205=""),"",$Q205&amp;"|S|"&amp;(COUNTIF(S$4:S204,$Q205&amp;"|S|*")+1))</f>
        <v/>
      </c>
      <c r="T205" s="769" t="str">
        <f>IF(OR($F205="",$P205="支払なし",$R205=0,$Q205=""),"",$Q205&amp;"|L|"&amp;(COUNTIF(T$4:T204,$Q205&amp;"|L|*")+1))</f>
        <v/>
      </c>
      <c r="U205" s="769" t="str">
        <f>IF($F205="","",13)</f>
        <v/>
      </c>
    </row>
    <row r="206" ht="16.5" customHeight="1" s="186">
      <c r="A206" s="760" t="n"/>
      <c r="B206" s="760" t="n"/>
      <c r="C206" s="762" t="n"/>
      <c r="D206" s="762" t="n"/>
      <c r="E206" s="775" t="n"/>
      <c r="F206" s="821" t="n"/>
      <c r="G206" s="821" t="n"/>
      <c r="H206" s="818">
        <f>IF(G206=1,F206-I206-J206-K206,IF(G206=2,F206,0))</f>
        <v>0</v>
      </c>
      <c r="I206" s="818">
        <f>ROUND(IF(G206=1,F206*10/23,IF(G206=3,F206-J206-K206,IF(G206=4,F206,IF(G206=5,F206*10/11,IF(G206=7,F206*10/11,0))))),0)</f>
        <v>0</v>
      </c>
      <c r="J206" s="818">
        <f>ROUND(IF(G206=1,F206/23,IF(G206=3,F206/12,IF(G206=5,F206-I206,IF(G206=8,F206,0)))),0)</f>
        <v>0</v>
      </c>
      <c r="K206" s="819">
        <f>ROUND(IF(G206=1,F206/23,IF(G206=3,F206/12,IF(G206=6,F206,IF(G206=7,F206-I206,0)))),0)</f>
        <v>0</v>
      </c>
      <c r="L206" s="820">
        <f>IF(G206=6,F206,0)</f>
        <v>0</v>
      </c>
      <c r="P206" s="768" t="n"/>
      <c r="Q206" s="769" t="str">
        <f>IF($F206="","",IFERROR(VLOOKUP($C206&amp;"|"&amp;$D206,科目表!$A$5:$B$200,2,FALSE),"※未登録"))</f>
        <v/>
      </c>
      <c r="R206" s="769" t="str">
        <f>IF($F206="","",$I206+$J206+$K206)</f>
        <v/>
      </c>
      <c r="S206" s="769" t="str">
        <f>IF(OR($F206="",$P206="支払なし",$H206=0,$Q206=""),"",$Q206&amp;"|S|"&amp;(COUNTIF(S$4:S205,$Q206&amp;"|S|*")+1))</f>
        <v/>
      </c>
      <c r="T206" s="769" t="str">
        <f>IF(OR($F206="",$P206="支払なし",$R206=0,$Q206=""),"",$Q206&amp;"|L|"&amp;(COUNTIF(T$4:T205,$Q206&amp;"|L|*")+1))</f>
        <v/>
      </c>
      <c r="U206" s="769" t="str">
        <f>IF($F206="","",13)</f>
        <v/>
      </c>
    </row>
    <row r="207" ht="16.5" customHeight="1" s="186">
      <c r="A207" s="760" t="n"/>
      <c r="B207" s="760" t="n"/>
      <c r="C207" s="762" t="n"/>
      <c r="D207" s="762" t="n"/>
      <c r="E207" s="775" t="n"/>
      <c r="F207" s="821" t="n"/>
      <c r="G207" s="821" t="n"/>
      <c r="H207" s="818">
        <f>IF(G207=1,F207-I207-J207-K207,IF(G207=2,F207,0))</f>
        <v>0</v>
      </c>
      <c r="I207" s="818">
        <f>ROUND(IF(G207=1,F207*10/23,IF(G207=3,F207-J207-K207,IF(G207=4,F207,IF(G207=5,F207*10/11,IF(G207=7,F207*10/11,0))))),0)</f>
        <v>0</v>
      </c>
      <c r="J207" s="818">
        <f>ROUND(IF(G207=1,F207/23,IF(G207=3,F207/12,IF(G207=5,F207-I207,IF(G207=8,F207,0)))),0)</f>
        <v>0</v>
      </c>
      <c r="K207" s="819">
        <f>ROUND(IF(G207=1,F207/23,IF(G207=3,F207/12,IF(G207=6,F207,IF(G207=7,F207-I207,0)))),0)</f>
        <v>0</v>
      </c>
      <c r="L207" s="820">
        <f>IF(G207=6,F207,0)</f>
        <v>0</v>
      </c>
      <c r="P207" s="768" t="n"/>
      <c r="Q207" s="769" t="str">
        <f>IF($F207="","",IFERROR(VLOOKUP($C207&amp;"|"&amp;$D207,科目表!$A$5:$B$200,2,FALSE),"※未登録"))</f>
        <v/>
      </c>
      <c r="R207" s="769" t="str">
        <f>IF($F207="","",$I207+$J207+$K207)</f>
        <v/>
      </c>
      <c r="S207" s="769" t="str">
        <f>IF(OR($F207="",$P207="支払なし",$H207=0,$Q207=""),"",$Q207&amp;"|S|"&amp;(COUNTIF(S$4:S206,$Q207&amp;"|S|*")+1))</f>
        <v/>
      </c>
      <c r="T207" s="769" t="str">
        <f>IF(OR($F207="",$P207="支払なし",$R207=0,$Q207=""),"",$Q207&amp;"|L|"&amp;(COUNTIF(T$4:T206,$Q207&amp;"|L|*")+1))</f>
        <v/>
      </c>
      <c r="U207" s="769" t="str">
        <f>IF($F207="","",13)</f>
        <v/>
      </c>
    </row>
    <row r="208" ht="16.5" customHeight="1" s="186">
      <c r="A208" s="760" t="n"/>
      <c r="B208" s="760" t="n"/>
      <c r="C208" s="762" t="n"/>
      <c r="D208" s="762" t="n"/>
      <c r="E208" s="775" t="n"/>
      <c r="F208" s="821" t="n"/>
      <c r="G208" s="821" t="n"/>
      <c r="H208" s="818">
        <f>IF(G208=1,F208-I208-J208-K208,IF(G208=2,F208,0))</f>
        <v>0</v>
      </c>
      <c r="I208" s="818">
        <f>ROUND(IF(G208=1,F208*10/23,IF(G208=3,F208-J208-K208,IF(G208=4,F208,IF(G208=5,F208*10/11,IF(G208=7,F208*10/11,0))))),0)</f>
        <v>0</v>
      </c>
      <c r="J208" s="818">
        <f>ROUND(IF(G208=1,F208/23,IF(G208=3,F208/12,IF(G208=5,F208-I208,IF(G208=8,F208,0)))),0)</f>
        <v>0</v>
      </c>
      <c r="K208" s="819">
        <f>ROUND(IF(G208=1,F208/23,IF(G208=3,F208/12,IF(G208=6,F208,IF(G208=7,F208-I208,0)))),0)</f>
        <v>0</v>
      </c>
      <c r="L208" s="820">
        <f>IF(G208=6,F208,0)</f>
        <v>0</v>
      </c>
      <c r="P208" s="768" t="n"/>
      <c r="Q208" s="769" t="str">
        <f>IF($F208="","",IFERROR(VLOOKUP($C208&amp;"|"&amp;$D208,科目表!$A$5:$B$200,2,FALSE),"※未登録"))</f>
        <v/>
      </c>
      <c r="R208" s="769" t="str">
        <f>IF($F208="","",$I208+$J208+$K208)</f>
        <v/>
      </c>
      <c r="S208" s="769" t="str">
        <f>IF(OR($F208="",$P208="支払なし",$H208=0,$Q208=""),"",$Q208&amp;"|S|"&amp;(COUNTIF(S$4:S207,$Q208&amp;"|S|*")+1))</f>
        <v/>
      </c>
      <c r="T208" s="769" t="str">
        <f>IF(OR($F208="",$P208="支払なし",$R208=0,$Q208=""),"",$Q208&amp;"|L|"&amp;(COUNTIF(T$4:T207,$Q208&amp;"|L|*")+1))</f>
        <v/>
      </c>
      <c r="U208" s="769" t="str">
        <f>IF($F208="","",13)</f>
        <v/>
      </c>
    </row>
    <row r="209" ht="16.5" customHeight="1" s="186">
      <c r="A209" s="760" t="n"/>
      <c r="B209" s="760" t="n"/>
      <c r="C209" s="762" t="n"/>
      <c r="D209" s="762" t="n"/>
      <c r="E209" s="775" t="n"/>
      <c r="F209" s="821" t="n"/>
      <c r="G209" s="821" t="n"/>
      <c r="H209" s="818">
        <f>IF(G209=1,F209-I209-J209-K209,IF(G209=2,F209,0))</f>
        <v>0</v>
      </c>
      <c r="I209" s="818">
        <f>ROUND(IF(G209=1,F209*10/23,IF(G209=3,F209-J209-K209,IF(G209=4,F209,IF(G209=5,F209*10/11,IF(G209=7,F209*10/11,0))))),0)</f>
        <v>0</v>
      </c>
      <c r="J209" s="818">
        <f>ROUND(IF(G209=1,F209/23,IF(G209=3,F209/12,IF(G209=5,F209-I209,IF(G209=8,F209,0)))),0)</f>
        <v>0</v>
      </c>
      <c r="K209" s="819">
        <f>ROUND(IF(G209=1,F209/23,IF(G209=3,F209/12,IF(G209=6,F209,IF(G209=7,F209-I209,0)))),0)</f>
        <v>0</v>
      </c>
      <c r="L209" s="820">
        <f>IF(G209=6,F209,0)</f>
        <v>0</v>
      </c>
      <c r="P209" s="768" t="n"/>
      <c r="Q209" s="769" t="str">
        <f>IF($F209="","",IFERROR(VLOOKUP($C209&amp;"|"&amp;$D209,科目表!$A$5:$B$200,2,FALSE),"※未登録"))</f>
        <v/>
      </c>
      <c r="R209" s="769" t="str">
        <f>IF($F209="","",$I209+$J209+$K209)</f>
        <v/>
      </c>
      <c r="S209" s="769" t="str">
        <f>IF(OR($F209="",$P209="支払なし",$H209=0,$Q209=""),"",$Q209&amp;"|S|"&amp;(COUNTIF(S$4:S208,$Q209&amp;"|S|*")+1))</f>
        <v/>
      </c>
      <c r="T209" s="769" t="str">
        <f>IF(OR($F209="",$P209="支払なし",$R209=0,$Q209=""),"",$Q209&amp;"|L|"&amp;(COUNTIF(T$4:T208,$Q209&amp;"|L|*")+1))</f>
        <v/>
      </c>
      <c r="U209" s="769" t="str">
        <f>IF($F209="","",13)</f>
        <v/>
      </c>
    </row>
    <row r="210" ht="16.5" customHeight="1" s="186">
      <c r="A210" s="760" t="n"/>
      <c r="B210" s="760" t="n"/>
      <c r="C210" s="762" t="n"/>
      <c r="D210" s="762" t="n"/>
      <c r="E210" s="775" t="n"/>
      <c r="F210" s="821" t="n"/>
      <c r="G210" s="821" t="n"/>
      <c r="H210" s="818">
        <f>IF(G210=1,F210-I210-J210-K210,IF(G210=2,F210,0))</f>
        <v>0</v>
      </c>
      <c r="I210" s="818">
        <f>ROUND(IF(G210=1,F210*10/23,IF(G210=3,F210-J210-K210,IF(G210=4,F210,IF(G210=5,F210*10/11,IF(G210=7,F210*10/11,0))))),0)</f>
        <v>0</v>
      </c>
      <c r="J210" s="818">
        <f>ROUND(IF(G210=1,F210/23,IF(G210=3,F210/12,IF(G210=5,F210-I210,IF(G210=8,F210,0)))),0)</f>
        <v>0</v>
      </c>
      <c r="K210" s="819">
        <f>ROUND(IF(G210=1,F210/23,IF(G210=3,F210/12,IF(G210=6,F210,IF(G210=7,F210-I210,0)))),0)</f>
        <v>0</v>
      </c>
      <c r="L210" s="820">
        <f>IF(G210=6,F210,0)</f>
        <v>0</v>
      </c>
      <c r="P210" s="768" t="n"/>
      <c r="Q210" s="769" t="str">
        <f>IF($F210="","",IFERROR(VLOOKUP($C210&amp;"|"&amp;$D210,科目表!$A$5:$B$200,2,FALSE),"※未登録"))</f>
        <v/>
      </c>
      <c r="R210" s="769" t="str">
        <f>IF($F210="","",$I210+$J210+$K210)</f>
        <v/>
      </c>
      <c r="S210" s="769" t="str">
        <f>IF(OR($F210="",$P210="支払なし",$H210=0,$Q210=""),"",$Q210&amp;"|S|"&amp;(COUNTIF(S$4:S209,$Q210&amp;"|S|*")+1))</f>
        <v/>
      </c>
      <c r="T210" s="769" t="str">
        <f>IF(OR($F210="",$P210="支払なし",$R210=0,$Q210=""),"",$Q210&amp;"|L|"&amp;(COUNTIF(T$4:T209,$Q210&amp;"|L|*")+1))</f>
        <v/>
      </c>
      <c r="U210" s="769" t="str">
        <f>IF($F210="","",13)</f>
        <v/>
      </c>
    </row>
    <row r="211" ht="16.5" customHeight="1" s="186">
      <c r="A211" s="760" t="n"/>
      <c r="B211" s="760" t="n"/>
      <c r="C211" s="762" t="n"/>
      <c r="D211" s="762" t="n"/>
      <c r="E211" s="775" t="n"/>
      <c r="F211" s="821" t="n"/>
      <c r="G211" s="821" t="n"/>
      <c r="H211" s="818">
        <f>IF(G211=1,F211-I211-J211-K211,IF(G211=2,F211,0))</f>
        <v>0</v>
      </c>
      <c r="I211" s="818">
        <f>ROUND(IF(G211=1,F211*10/23,IF(G211=3,F211-J211-K211,IF(G211=4,F211,IF(G211=5,F211*10/11,IF(G211=7,F211*10/11,0))))),0)</f>
        <v>0</v>
      </c>
      <c r="J211" s="818">
        <f>ROUND(IF(G211=1,F211/23,IF(G211=3,F211/12,IF(G211=5,F211-I211,IF(G211=8,F211,0)))),0)</f>
        <v>0</v>
      </c>
      <c r="K211" s="819">
        <f>ROUND(IF(G211=1,F211/23,IF(G211=3,F211/12,IF(G211=6,F211,IF(G211=7,F211-I211,0)))),0)</f>
        <v>0</v>
      </c>
      <c r="L211" s="820">
        <f>IF(G211=6,F211,0)</f>
        <v>0</v>
      </c>
      <c r="P211" s="768" t="n"/>
      <c r="Q211" s="769" t="str">
        <f>IF($F211="","",IFERROR(VLOOKUP($C211&amp;"|"&amp;$D211,科目表!$A$5:$B$200,2,FALSE),"※未登録"))</f>
        <v/>
      </c>
      <c r="R211" s="769" t="str">
        <f>IF($F211="","",$I211+$J211+$K211)</f>
        <v/>
      </c>
      <c r="S211" s="769" t="str">
        <f>IF(OR($F211="",$P211="支払なし",$H211=0,$Q211=""),"",$Q211&amp;"|S|"&amp;(COUNTIF(S$4:S210,$Q211&amp;"|S|*")+1))</f>
        <v/>
      </c>
      <c r="T211" s="769" t="str">
        <f>IF(OR($F211="",$P211="支払なし",$R211=0,$Q211=""),"",$Q211&amp;"|L|"&amp;(COUNTIF(T$4:T210,$Q211&amp;"|L|*")+1))</f>
        <v/>
      </c>
      <c r="U211" s="769" t="str">
        <f>IF($F211="","",13)</f>
        <v/>
      </c>
    </row>
    <row r="212" ht="16.5" customHeight="1" s="186">
      <c r="A212" s="760" t="n"/>
      <c r="B212" s="760" t="n"/>
      <c r="C212" s="762" t="n"/>
      <c r="D212" s="762" t="n"/>
      <c r="E212" s="775" t="n"/>
      <c r="F212" s="821" t="n"/>
      <c r="G212" s="821" t="n"/>
      <c r="H212" s="818">
        <f>IF(G212=1,F212-I212-J212-K212,IF(G212=2,F212,0))</f>
        <v>0</v>
      </c>
      <c r="I212" s="818">
        <f>ROUND(IF(G212=1,F212*10/23,IF(G212=3,F212-J212-K212,IF(G212=4,F212,IF(G212=5,F212*10/11,IF(G212=7,F212*10/11,0))))),0)</f>
        <v>0</v>
      </c>
      <c r="J212" s="818">
        <f>ROUND(IF(G212=1,F212/23,IF(G212=3,F212/12,IF(G212=5,F212-I212,IF(G212=8,F212,0)))),0)</f>
        <v>0</v>
      </c>
      <c r="K212" s="819">
        <f>ROUND(IF(G212=1,F212/23,IF(G212=3,F212/12,IF(G212=6,F212,IF(G212=7,F212-I212,0)))),0)</f>
        <v>0</v>
      </c>
      <c r="L212" s="820">
        <f>IF(G212=6,F212,0)</f>
        <v>0</v>
      </c>
      <c r="P212" s="768" t="n"/>
      <c r="Q212" s="769" t="str">
        <f>IF($F212="","",IFERROR(VLOOKUP($C212&amp;"|"&amp;$D212,科目表!$A$5:$B$200,2,FALSE),"※未登録"))</f>
        <v/>
      </c>
      <c r="R212" s="769" t="str">
        <f>IF($F212="","",$I212+$J212+$K212)</f>
        <v/>
      </c>
      <c r="S212" s="769" t="str">
        <f>IF(OR($F212="",$P212="支払なし",$H212=0,$Q212=""),"",$Q212&amp;"|S|"&amp;(COUNTIF(S$4:S211,$Q212&amp;"|S|*")+1))</f>
        <v/>
      </c>
      <c r="T212" s="769" t="str">
        <f>IF(OR($F212="",$P212="支払なし",$R212=0,$Q212=""),"",$Q212&amp;"|L|"&amp;(COUNTIF(T$4:T211,$Q212&amp;"|L|*")+1))</f>
        <v/>
      </c>
      <c r="U212" s="769" t="str">
        <f>IF($F212="","",13)</f>
        <v/>
      </c>
    </row>
    <row r="213" ht="16.5" customHeight="1" s="186">
      <c r="A213" s="760" t="n"/>
      <c r="B213" s="760" t="n"/>
      <c r="C213" s="762" t="n"/>
      <c r="D213" s="762" t="n"/>
      <c r="E213" s="775" t="n"/>
      <c r="F213" s="821" t="n"/>
      <c r="G213" s="821" t="n"/>
      <c r="H213" s="818">
        <f>IF(G213=1,F213-I213-J213-K213,IF(G213=2,F213,0))</f>
        <v>0</v>
      </c>
      <c r="I213" s="818">
        <f>ROUND(IF(G213=1,F213*10/23,IF(G213=3,F213-J213-K213,IF(G213=4,F213,IF(G213=5,F213*10/11,IF(G213=7,F213*10/11,0))))),0)</f>
        <v>0</v>
      </c>
      <c r="J213" s="818">
        <f>ROUND(IF(G213=1,F213/23,IF(G213=3,F213/12,IF(G213=5,F213-I213,IF(G213=8,F213,0)))),0)</f>
        <v>0</v>
      </c>
      <c r="K213" s="819">
        <f>ROUND(IF(G213=1,F213/23,IF(G213=3,F213/12,IF(G213=6,F213,IF(G213=7,F213-I213,0)))),0)</f>
        <v>0</v>
      </c>
      <c r="L213" s="820">
        <f>IF(G213=6,F213,0)</f>
        <v>0</v>
      </c>
      <c r="P213" s="768" t="n"/>
      <c r="Q213" s="769" t="str">
        <f>IF($F213="","",IFERROR(VLOOKUP($C213&amp;"|"&amp;$D213,科目表!$A$5:$B$200,2,FALSE),"※未登録"))</f>
        <v/>
      </c>
      <c r="R213" s="769" t="str">
        <f>IF($F213="","",$I213+$J213+$K213)</f>
        <v/>
      </c>
      <c r="S213" s="769" t="str">
        <f>IF(OR($F213="",$P213="支払なし",$H213=0,$Q213=""),"",$Q213&amp;"|S|"&amp;(COUNTIF(S$4:S212,$Q213&amp;"|S|*")+1))</f>
        <v/>
      </c>
      <c r="T213" s="769" t="str">
        <f>IF(OR($F213="",$P213="支払なし",$R213=0,$Q213=""),"",$Q213&amp;"|L|"&amp;(COUNTIF(T$4:T212,$Q213&amp;"|L|*")+1))</f>
        <v/>
      </c>
      <c r="U213" s="769" t="str">
        <f>IF($F213="","",13)</f>
        <v/>
      </c>
    </row>
    <row r="214" ht="16.5" customHeight="1" s="186">
      <c r="A214" s="760" t="n"/>
      <c r="B214" s="760" t="n"/>
      <c r="C214" s="762" t="n"/>
      <c r="D214" s="762" t="n"/>
      <c r="E214" s="775" t="n"/>
      <c r="F214" s="821" t="n"/>
      <c r="G214" s="821" t="n"/>
      <c r="H214" s="818">
        <f>IF(G214=1,F214-I214-J214-K214,IF(G214=2,F214,0))</f>
        <v>0</v>
      </c>
      <c r="I214" s="818">
        <f>ROUND(IF(G214=1,F214*10/23,IF(G214=3,F214-J214-K214,IF(G214=4,F214,IF(G214=5,F214*10/11,IF(G214=7,F214*10/11,0))))),0)</f>
        <v>0</v>
      </c>
      <c r="J214" s="818">
        <f>ROUND(IF(G214=1,F214/23,IF(G214=3,F214/12,IF(G214=5,F214-I214,IF(G214=8,F214,0)))),0)</f>
        <v>0</v>
      </c>
      <c r="K214" s="819">
        <f>ROUND(IF(G214=1,F214/23,IF(G214=3,F214/12,IF(G214=6,F214,IF(G214=7,F214-I214,0)))),0)</f>
        <v>0</v>
      </c>
      <c r="L214" s="820">
        <f>IF(G214=6,F214,0)</f>
        <v>0</v>
      </c>
      <c r="P214" s="768" t="n"/>
      <c r="Q214" s="769" t="str">
        <f>IF($F214="","",IFERROR(VLOOKUP($C214&amp;"|"&amp;$D214,科目表!$A$5:$B$200,2,FALSE),"※未登録"))</f>
        <v/>
      </c>
      <c r="R214" s="769" t="str">
        <f>IF($F214="","",$I214+$J214+$K214)</f>
        <v/>
      </c>
      <c r="S214" s="769" t="str">
        <f>IF(OR($F214="",$P214="支払なし",$H214=0,$Q214=""),"",$Q214&amp;"|S|"&amp;(COUNTIF(S$4:S213,$Q214&amp;"|S|*")+1))</f>
        <v/>
      </c>
      <c r="T214" s="769" t="str">
        <f>IF(OR($F214="",$P214="支払なし",$R214=0,$Q214=""),"",$Q214&amp;"|L|"&amp;(COUNTIF(T$4:T213,$Q214&amp;"|L|*")+1))</f>
        <v/>
      </c>
      <c r="U214" s="769" t="str">
        <f>IF($F214="","",13)</f>
        <v/>
      </c>
    </row>
    <row r="215" ht="16.5" customHeight="1" s="186">
      <c r="A215" s="760" t="n"/>
      <c r="B215" s="760" t="n"/>
      <c r="C215" s="762" t="n"/>
      <c r="D215" s="762" t="n"/>
      <c r="E215" s="775" t="n"/>
      <c r="F215" s="821" t="n"/>
      <c r="G215" s="821" t="n"/>
      <c r="H215" s="818">
        <f>IF(G215=1,F215-I215-J215-K215,IF(G215=2,F215,0))</f>
        <v>0</v>
      </c>
      <c r="I215" s="818">
        <f>ROUND(IF(G215=1,F215*10/23,IF(G215=3,F215-J215-K215,IF(G215=4,F215,IF(G215=5,F215*10/11,IF(G215=7,F215*10/11,0))))),0)</f>
        <v>0</v>
      </c>
      <c r="J215" s="818">
        <f>ROUND(IF(G215=1,F215/23,IF(G215=3,F215/12,IF(G215=5,F215-I215,IF(G215=8,F215,0)))),0)</f>
        <v>0</v>
      </c>
      <c r="K215" s="819">
        <f>ROUND(IF(G215=1,F215/23,IF(G215=3,F215/12,IF(G215=6,F215,IF(G215=7,F215-I215,0)))),0)</f>
        <v>0</v>
      </c>
      <c r="L215" s="820">
        <f>IF(G215=6,F215,0)</f>
        <v>0</v>
      </c>
      <c r="P215" s="768" t="n"/>
      <c r="Q215" s="769" t="str">
        <f>IF($F215="","",IFERROR(VLOOKUP($C215&amp;"|"&amp;$D215,科目表!$A$5:$B$200,2,FALSE),"※未登録"))</f>
        <v/>
      </c>
      <c r="R215" s="769" t="str">
        <f>IF($F215="","",$I215+$J215+$K215)</f>
        <v/>
      </c>
      <c r="S215" s="769" t="str">
        <f>IF(OR($F215="",$P215="支払なし",$H215=0,$Q215=""),"",$Q215&amp;"|S|"&amp;(COUNTIF(S$4:S214,$Q215&amp;"|S|*")+1))</f>
        <v/>
      </c>
      <c r="T215" s="769" t="str">
        <f>IF(OR($F215="",$P215="支払なし",$R215=0,$Q215=""),"",$Q215&amp;"|L|"&amp;(COUNTIF(T$4:T214,$Q215&amp;"|L|*")+1))</f>
        <v/>
      </c>
      <c r="U215" s="769" t="str">
        <f>IF($F215="","",13)</f>
        <v/>
      </c>
    </row>
    <row r="216" ht="16.5" customHeight="1" s="186">
      <c r="A216" s="760" t="n"/>
      <c r="B216" s="760" t="n"/>
      <c r="C216" s="762" t="n"/>
      <c r="D216" s="762" t="n"/>
      <c r="E216" s="775" t="n"/>
      <c r="F216" s="821" t="n"/>
      <c r="G216" s="821" t="n"/>
      <c r="H216" s="818">
        <f>IF(G216=1,F216-I216-J216-K216,IF(G216=2,F216,0))</f>
        <v>0</v>
      </c>
      <c r="I216" s="818">
        <f>ROUND(IF(G216=1,F216*10/23,IF(G216=3,F216-J216-K216,IF(G216=4,F216,IF(G216=5,F216*10/11,IF(G216=7,F216*10/11,0))))),0)</f>
        <v>0</v>
      </c>
      <c r="J216" s="818">
        <f>ROUND(IF(G216=1,F216/23,IF(G216=3,F216/12,IF(G216=5,F216-I216,IF(G216=8,F216,0)))),0)</f>
        <v>0</v>
      </c>
      <c r="K216" s="819">
        <f>ROUND(IF(G216=1,F216/23,IF(G216=3,F216/12,IF(G216=6,F216,IF(G216=7,F216-I216,0)))),0)</f>
        <v>0</v>
      </c>
      <c r="L216" s="820">
        <f>IF(G216=6,F216,0)</f>
        <v>0</v>
      </c>
      <c r="P216" s="768" t="n"/>
      <c r="Q216" s="769" t="str">
        <f>IF($F216="","",IFERROR(VLOOKUP($C216&amp;"|"&amp;$D216,科目表!$A$5:$B$200,2,FALSE),"※未登録"))</f>
        <v/>
      </c>
      <c r="R216" s="769" t="str">
        <f>IF($F216="","",$I216+$J216+$K216)</f>
        <v/>
      </c>
      <c r="S216" s="769" t="str">
        <f>IF(OR($F216="",$P216="支払なし",$H216=0,$Q216=""),"",$Q216&amp;"|S|"&amp;(COUNTIF(S$4:S215,$Q216&amp;"|S|*")+1))</f>
        <v/>
      </c>
      <c r="T216" s="769" t="str">
        <f>IF(OR($F216="",$P216="支払なし",$R216=0,$Q216=""),"",$Q216&amp;"|L|"&amp;(COUNTIF(T$4:T215,$Q216&amp;"|L|*")+1))</f>
        <v/>
      </c>
      <c r="U216" s="769" t="str">
        <f>IF($F216="","",13)</f>
        <v/>
      </c>
    </row>
    <row r="217" ht="16.5" customHeight="1" s="186">
      <c r="A217" s="760" t="n"/>
      <c r="B217" s="760" t="n"/>
      <c r="C217" s="762" t="n"/>
      <c r="D217" s="762" t="n"/>
      <c r="E217" s="775" t="n"/>
      <c r="F217" s="821" t="n"/>
      <c r="G217" s="821" t="n"/>
      <c r="H217" s="818">
        <f>IF(G217=1,F217-I217-J217-K217,IF(G217=2,F217,0))</f>
        <v>0</v>
      </c>
      <c r="I217" s="818">
        <f>ROUND(IF(G217=1,F217*10/23,IF(G217=3,F217-J217-K217,IF(G217=4,F217,IF(G217=5,F217*10/11,IF(G217=7,F217*10/11,0))))),0)</f>
        <v>0</v>
      </c>
      <c r="J217" s="818">
        <f>ROUND(IF(G217=1,F217/23,IF(G217=3,F217/12,IF(G217=5,F217-I217,IF(G217=8,F217,0)))),0)</f>
        <v>0</v>
      </c>
      <c r="K217" s="819">
        <f>ROUND(IF(G217=1,F217/23,IF(G217=3,F217/12,IF(G217=6,F217,IF(G217=7,F217-I217,0)))),0)</f>
        <v>0</v>
      </c>
      <c r="L217" s="820">
        <f>IF(G217=6,F217,0)</f>
        <v>0</v>
      </c>
      <c r="P217" s="768" t="n"/>
      <c r="Q217" s="769" t="str">
        <f>IF($F217="","",IFERROR(VLOOKUP($C217&amp;"|"&amp;$D217,科目表!$A$5:$B$200,2,FALSE),"※未登録"))</f>
        <v/>
      </c>
      <c r="R217" s="769" t="str">
        <f>IF($F217="","",$I217+$J217+$K217)</f>
        <v/>
      </c>
      <c r="S217" s="769" t="str">
        <f>IF(OR($F217="",$P217="支払なし",$H217=0,$Q217=""),"",$Q217&amp;"|S|"&amp;(COUNTIF(S$4:S216,$Q217&amp;"|S|*")+1))</f>
        <v/>
      </c>
      <c r="T217" s="769" t="str">
        <f>IF(OR($F217="",$P217="支払なし",$R217=0,$Q217=""),"",$Q217&amp;"|L|"&amp;(COUNTIF(T$4:T216,$Q217&amp;"|L|*")+1))</f>
        <v/>
      </c>
      <c r="U217" s="769" t="str">
        <f>IF($F217="","",13)</f>
        <v/>
      </c>
    </row>
    <row r="218" ht="16.5" customHeight="1" s="186">
      <c r="A218" s="760" t="n"/>
      <c r="B218" s="760" t="n"/>
      <c r="C218" s="762" t="n"/>
      <c r="D218" s="762" t="n"/>
      <c r="E218" s="775" t="n"/>
      <c r="F218" s="821" t="n"/>
      <c r="G218" s="821" t="n"/>
      <c r="H218" s="818">
        <f>IF(G218=1,F218-I218-J218-K218,IF(G218=2,F218,0))</f>
        <v>0</v>
      </c>
      <c r="I218" s="818">
        <f>ROUND(IF(G218=1,F218*10/23,IF(G218=3,F218-J218-K218,IF(G218=4,F218,IF(G218=5,F218*10/11,IF(G218=7,F218*10/11,0))))),0)</f>
        <v>0</v>
      </c>
      <c r="J218" s="818">
        <f>ROUND(IF(G218=1,F218/23,IF(G218=3,F218/12,IF(G218=5,F218-I218,IF(G218=8,F218,0)))),0)</f>
        <v>0</v>
      </c>
      <c r="K218" s="819">
        <f>ROUND(IF(G218=1,F218/23,IF(G218=3,F218/12,IF(G218=6,F218,IF(G218=7,F218-I218,0)))),0)</f>
        <v>0</v>
      </c>
      <c r="L218" s="820">
        <f>IF(G218=6,F218,0)</f>
        <v>0</v>
      </c>
      <c r="P218" s="768" t="n"/>
      <c r="Q218" s="769" t="str">
        <f>IF($F218="","",IFERROR(VLOOKUP($C218&amp;"|"&amp;$D218,科目表!$A$5:$B$200,2,FALSE),"※未登録"))</f>
        <v/>
      </c>
      <c r="R218" s="769" t="str">
        <f>IF($F218="","",$I218+$J218+$K218)</f>
        <v/>
      </c>
      <c r="S218" s="769" t="str">
        <f>IF(OR($F218="",$P218="支払なし",$H218=0,$Q218=""),"",$Q218&amp;"|S|"&amp;(COUNTIF(S$4:S217,$Q218&amp;"|S|*")+1))</f>
        <v/>
      </c>
      <c r="T218" s="769" t="str">
        <f>IF(OR($F218="",$P218="支払なし",$R218=0,$Q218=""),"",$Q218&amp;"|L|"&amp;(COUNTIF(T$4:T217,$Q218&amp;"|L|*")+1))</f>
        <v/>
      </c>
      <c r="U218" s="769" t="str">
        <f>IF($F218="","",13)</f>
        <v/>
      </c>
    </row>
    <row r="219" ht="16.5" customHeight="1" s="186">
      <c r="A219" s="760" t="n"/>
      <c r="B219" s="760" t="n"/>
      <c r="C219" s="762" t="n"/>
      <c r="D219" s="762" t="n"/>
      <c r="E219" s="775" t="n"/>
      <c r="F219" s="821" t="n"/>
      <c r="G219" s="821" t="n"/>
      <c r="H219" s="818">
        <f>IF(G219=1,F219-I219-J219-K219,IF(G219=2,F219,0))</f>
        <v>0</v>
      </c>
      <c r="I219" s="818">
        <f>ROUND(IF(G219=1,F219*10/23,IF(G219=3,F219-J219-K219,IF(G219=4,F219,IF(G219=5,F219*10/11,IF(G219=7,F219*10/11,0))))),0)</f>
        <v>0</v>
      </c>
      <c r="J219" s="818">
        <f>ROUND(IF(G219=1,F219/23,IF(G219=3,F219/12,IF(G219=5,F219-I219,IF(G219=8,F219,0)))),0)</f>
        <v>0</v>
      </c>
      <c r="K219" s="819">
        <f>ROUND(IF(G219=1,F219/23,IF(G219=3,F219/12,IF(G219=6,F219,IF(G219=7,F219-I219,0)))),0)</f>
        <v>0</v>
      </c>
      <c r="L219" s="820">
        <f>IF(G219=6,F219,0)</f>
        <v>0</v>
      </c>
      <c r="P219" s="768" t="n"/>
      <c r="Q219" s="769" t="str">
        <f>IF($F219="","",IFERROR(VLOOKUP($C219&amp;"|"&amp;$D219,科目表!$A$5:$B$200,2,FALSE),"※未登録"))</f>
        <v/>
      </c>
      <c r="R219" s="769" t="str">
        <f>IF($F219="","",$I219+$J219+$K219)</f>
        <v/>
      </c>
      <c r="S219" s="769" t="str">
        <f>IF(OR($F219="",$P219="支払なし",$H219=0,$Q219=""),"",$Q219&amp;"|S|"&amp;(COUNTIF(S$4:S218,$Q219&amp;"|S|*")+1))</f>
        <v/>
      </c>
      <c r="T219" s="769" t="str">
        <f>IF(OR($F219="",$P219="支払なし",$R219=0,$Q219=""),"",$Q219&amp;"|L|"&amp;(COUNTIF(T$4:T218,$Q219&amp;"|L|*")+1))</f>
        <v/>
      </c>
      <c r="U219" s="769" t="str">
        <f>IF($F219="","",13)</f>
        <v/>
      </c>
    </row>
    <row r="220" ht="16.5" customHeight="1" s="186">
      <c r="A220" s="760" t="n"/>
      <c r="B220" s="760" t="n"/>
      <c r="C220" s="762" t="n"/>
      <c r="D220" s="762" t="n"/>
      <c r="E220" s="775" t="n"/>
      <c r="F220" s="821" t="n"/>
      <c r="G220" s="821" t="n"/>
      <c r="H220" s="818">
        <f>IF(G220=1,F220-I220-J220-K220,IF(G220=2,F220,0))</f>
        <v>0</v>
      </c>
      <c r="I220" s="818">
        <f>ROUND(IF(G220=1,F220*10/23,IF(G220=3,F220-J220-K220,IF(G220=4,F220,IF(G220=5,F220*10/11,IF(G220=7,F220*10/11,0))))),0)</f>
        <v>0</v>
      </c>
      <c r="J220" s="818">
        <f>ROUND(IF(G220=1,F220/23,IF(G220=3,F220/12,IF(G220=5,F220-I220,IF(G220=8,F220,0)))),0)</f>
        <v>0</v>
      </c>
      <c r="K220" s="819">
        <f>ROUND(IF(G220=1,F220/23,IF(G220=3,F220/12,IF(G220=6,F220,IF(G220=7,F220-I220,0)))),0)</f>
        <v>0</v>
      </c>
      <c r="L220" s="820">
        <f>IF(G220=6,F220,0)</f>
        <v>0</v>
      </c>
      <c r="P220" s="768" t="n"/>
      <c r="Q220" s="769" t="str">
        <f>IF($F220="","",IFERROR(VLOOKUP($C220&amp;"|"&amp;$D220,科目表!$A$5:$B$200,2,FALSE),"※未登録"))</f>
        <v/>
      </c>
      <c r="R220" s="769" t="str">
        <f>IF($F220="","",$I220+$J220+$K220)</f>
        <v/>
      </c>
      <c r="S220" s="769" t="str">
        <f>IF(OR($F220="",$P220="支払なし",$H220=0,$Q220=""),"",$Q220&amp;"|S|"&amp;(COUNTIF(S$4:S219,$Q220&amp;"|S|*")+1))</f>
        <v/>
      </c>
      <c r="T220" s="769" t="str">
        <f>IF(OR($F220="",$P220="支払なし",$R220=0,$Q220=""),"",$Q220&amp;"|L|"&amp;(COUNTIF(T$4:T219,$Q220&amp;"|L|*")+1))</f>
        <v/>
      </c>
      <c r="U220" s="769" t="str">
        <f>IF($F220="","",13)</f>
        <v/>
      </c>
    </row>
    <row r="221" ht="16.5" customHeight="1" s="186">
      <c r="A221" s="760" t="n"/>
      <c r="B221" s="760" t="n"/>
      <c r="C221" s="762" t="n"/>
      <c r="D221" s="762" t="n"/>
      <c r="E221" s="775" t="n"/>
      <c r="F221" s="821" t="n"/>
      <c r="G221" s="821" t="n"/>
      <c r="H221" s="818">
        <f>IF(G221=1,F221-I221-J221-K221,IF(G221=2,F221,0))</f>
        <v>0</v>
      </c>
      <c r="I221" s="818">
        <f>ROUND(IF(G221=1,F221*10/23,IF(G221=3,F221-J221-K221,IF(G221=4,F221,IF(G221=5,F221*10/11,IF(G221=7,F221*10/11,0))))),0)</f>
        <v>0</v>
      </c>
      <c r="J221" s="818">
        <f>ROUND(IF(G221=1,F221/23,IF(G221=3,F221/12,IF(G221=5,F221-I221,IF(G221=8,F221,0)))),0)</f>
        <v>0</v>
      </c>
      <c r="K221" s="819">
        <f>ROUND(IF(G221=1,F221/23,IF(G221=3,F221/12,IF(G221=6,F221,IF(G221=7,F221-I221,0)))),0)</f>
        <v>0</v>
      </c>
      <c r="L221" s="820">
        <f>IF(G221=6,F221,0)</f>
        <v>0</v>
      </c>
      <c r="P221" s="768" t="n"/>
      <c r="Q221" s="769" t="str">
        <f>IF($F221="","",IFERROR(VLOOKUP($C221&amp;"|"&amp;$D221,科目表!$A$5:$B$200,2,FALSE),"※未登録"))</f>
        <v/>
      </c>
      <c r="R221" s="769" t="str">
        <f>IF($F221="","",$I221+$J221+$K221)</f>
        <v/>
      </c>
      <c r="S221" s="769" t="str">
        <f>IF(OR($F221="",$P221="支払なし",$H221=0,$Q221=""),"",$Q221&amp;"|S|"&amp;(COUNTIF(S$4:S220,$Q221&amp;"|S|*")+1))</f>
        <v/>
      </c>
      <c r="T221" s="769" t="str">
        <f>IF(OR($F221="",$P221="支払なし",$R221=0,$Q221=""),"",$Q221&amp;"|L|"&amp;(COUNTIF(T$4:T220,$Q221&amp;"|L|*")+1))</f>
        <v/>
      </c>
      <c r="U221" s="769" t="str">
        <f>IF($F221="","",13)</f>
        <v/>
      </c>
    </row>
    <row r="222" ht="16.5" customHeight="1" s="186">
      <c r="A222" s="760" t="n"/>
      <c r="B222" s="760" t="n"/>
      <c r="C222" s="762" t="n"/>
      <c r="D222" s="762" t="n"/>
      <c r="E222" s="775" t="n"/>
      <c r="F222" s="821" t="n"/>
      <c r="G222" s="821" t="n"/>
      <c r="H222" s="818">
        <f>IF(G222=1,F222-I222-J222-K222,IF(G222=2,F222,0))</f>
        <v>0</v>
      </c>
      <c r="I222" s="818">
        <f>ROUND(IF(G222=1,F222*10/23,IF(G222=3,F222-J222-K222,IF(G222=4,F222,IF(G222=5,F222*10/11,IF(G222=7,F222*10/11,0))))),0)</f>
        <v>0</v>
      </c>
      <c r="J222" s="818">
        <f>ROUND(IF(G222=1,F222/23,IF(G222=3,F222/12,IF(G222=5,F222-I222,IF(G222=8,F222,0)))),0)</f>
        <v>0</v>
      </c>
      <c r="K222" s="819">
        <f>ROUND(IF(G222=1,F222/23,IF(G222=3,F222/12,IF(G222=6,F222,IF(G222=7,F222-I222,0)))),0)</f>
        <v>0</v>
      </c>
      <c r="L222" s="820">
        <f>IF(G222=6,F222,0)</f>
        <v>0</v>
      </c>
      <c r="P222" s="768" t="n"/>
      <c r="Q222" s="769" t="str">
        <f>IF($F222="","",IFERROR(VLOOKUP($C222&amp;"|"&amp;$D222,科目表!$A$5:$B$200,2,FALSE),"※未登録"))</f>
        <v/>
      </c>
      <c r="R222" s="769" t="str">
        <f>IF($F222="","",$I222+$J222+$K222)</f>
        <v/>
      </c>
      <c r="S222" s="769" t="str">
        <f>IF(OR($F222="",$P222="支払なし",$H222=0,$Q222=""),"",$Q222&amp;"|S|"&amp;(COUNTIF(S$4:S221,$Q222&amp;"|S|*")+1))</f>
        <v/>
      </c>
      <c r="T222" s="769" t="str">
        <f>IF(OR($F222="",$P222="支払なし",$R222=0,$Q222=""),"",$Q222&amp;"|L|"&amp;(COUNTIF(T$4:T221,$Q222&amp;"|L|*")+1))</f>
        <v/>
      </c>
      <c r="U222" s="769" t="str">
        <f>IF($F222="","",13)</f>
        <v/>
      </c>
    </row>
    <row r="223" ht="16.5" customHeight="1" s="186">
      <c r="A223" s="760" t="n"/>
      <c r="B223" s="760" t="n"/>
      <c r="C223" s="762" t="n"/>
      <c r="D223" s="762" t="n"/>
      <c r="E223" s="775" t="n"/>
      <c r="F223" s="821" t="n"/>
      <c r="G223" s="821" t="n"/>
      <c r="H223" s="818">
        <f>IF(G223=1,F223-I223-J223-K223,IF(G223=2,F223,0))</f>
        <v>0</v>
      </c>
      <c r="I223" s="818">
        <f>ROUND(IF(G223=1,F223*10/23,IF(G223=3,F223-J223-K223,IF(G223=4,F223,IF(G223=5,F223*10/11,IF(G223=7,F223*10/11,0))))),0)</f>
        <v>0</v>
      </c>
      <c r="J223" s="818">
        <f>ROUND(IF(G223=1,F223/23,IF(G223=3,F223/12,IF(G223=5,F223-I223,IF(G223=8,F223,0)))),0)</f>
        <v>0</v>
      </c>
      <c r="K223" s="819">
        <f>ROUND(IF(G223=1,F223/23,IF(G223=3,F223/12,IF(G223=6,F223,IF(G223=7,F223-I223,0)))),0)</f>
        <v>0</v>
      </c>
      <c r="L223" s="820">
        <f>IF(G223=6,F223,0)</f>
        <v>0</v>
      </c>
      <c r="P223" s="768" t="n"/>
      <c r="Q223" s="769" t="str">
        <f>IF($F223="","",IFERROR(VLOOKUP($C223&amp;"|"&amp;$D223,科目表!$A$5:$B$200,2,FALSE),"※未登録"))</f>
        <v/>
      </c>
      <c r="R223" s="769" t="str">
        <f>IF($F223="","",$I223+$J223+$K223)</f>
        <v/>
      </c>
      <c r="S223" s="769" t="str">
        <f>IF(OR($F223="",$P223="支払なし",$H223=0,$Q223=""),"",$Q223&amp;"|S|"&amp;(COUNTIF(S$4:S222,$Q223&amp;"|S|*")+1))</f>
        <v/>
      </c>
      <c r="T223" s="769" t="str">
        <f>IF(OR($F223="",$P223="支払なし",$R223=0,$Q223=""),"",$Q223&amp;"|L|"&amp;(COUNTIF(T$4:T222,$Q223&amp;"|L|*")+1))</f>
        <v/>
      </c>
      <c r="U223" s="769" t="str">
        <f>IF($F223="","",13)</f>
        <v/>
      </c>
    </row>
    <row r="224" ht="16.5" customHeight="1" s="186">
      <c r="A224" s="760" t="n"/>
      <c r="B224" s="760" t="n"/>
      <c r="C224" s="762" t="n"/>
      <c r="D224" s="762" t="n"/>
      <c r="E224" s="775" t="n"/>
      <c r="F224" s="821" t="n"/>
      <c r="G224" s="821" t="n"/>
      <c r="H224" s="818">
        <f>IF(G224=1,F224-I224-J224-K224,IF(G224=2,F224,0))</f>
        <v>0</v>
      </c>
      <c r="I224" s="818">
        <f>ROUND(IF(G224=1,F224*10/23,IF(G224=3,F224-J224-K224,IF(G224=4,F224,IF(G224=5,F224*10/11,IF(G224=7,F224*10/11,0))))),0)</f>
        <v>0</v>
      </c>
      <c r="J224" s="818">
        <f>ROUND(IF(G224=1,F224/23,IF(G224=3,F224/12,IF(G224=5,F224-I224,IF(G224=8,F224,0)))),0)</f>
        <v>0</v>
      </c>
      <c r="K224" s="819">
        <f>ROUND(IF(G224=1,F224/23,IF(G224=3,F224/12,IF(G224=6,F224,IF(G224=7,F224-I224,0)))),0)</f>
        <v>0</v>
      </c>
      <c r="L224" s="820">
        <f>IF(G224=6,F224,0)</f>
        <v>0</v>
      </c>
      <c r="P224" s="768" t="n"/>
      <c r="Q224" s="769" t="str">
        <f>IF($F224="","",IFERROR(VLOOKUP($C224&amp;"|"&amp;$D224,科目表!$A$5:$B$200,2,FALSE),"※未登録"))</f>
        <v/>
      </c>
      <c r="R224" s="769" t="str">
        <f>IF($F224="","",$I224+$J224+$K224)</f>
        <v/>
      </c>
      <c r="S224" s="769" t="str">
        <f>IF(OR($F224="",$P224="支払なし",$H224=0,$Q224=""),"",$Q224&amp;"|S|"&amp;(COUNTIF(S$4:S223,$Q224&amp;"|S|*")+1))</f>
        <v/>
      </c>
      <c r="T224" s="769" t="str">
        <f>IF(OR($F224="",$P224="支払なし",$R224=0,$Q224=""),"",$Q224&amp;"|L|"&amp;(COUNTIF(T$4:T223,$Q224&amp;"|L|*")+1))</f>
        <v/>
      </c>
      <c r="U224" s="769" t="str">
        <f>IF($F224="","",13)</f>
        <v/>
      </c>
    </row>
    <row r="225" ht="16.5" customHeight="1" s="186">
      <c r="A225" s="760" t="n"/>
      <c r="B225" s="760" t="n"/>
      <c r="C225" s="762" t="n"/>
      <c r="D225" s="762" t="n"/>
      <c r="E225" s="775" t="n"/>
      <c r="F225" s="821" t="n"/>
      <c r="G225" s="821" t="n"/>
      <c r="H225" s="818">
        <f>IF(G225=1,F225-I225-J225-K225,IF(G225=2,F225,0))</f>
        <v>0</v>
      </c>
      <c r="I225" s="818">
        <f>ROUND(IF(G225=1,F225*10/23,IF(G225=3,F225-J225-K225,IF(G225=4,F225,IF(G225=5,F225*10/11,IF(G225=7,F225*10/11,0))))),0)</f>
        <v>0</v>
      </c>
      <c r="J225" s="818">
        <f>ROUND(IF(G225=1,F225/23,IF(G225=3,F225/12,IF(G225=5,F225-I225,IF(G225=8,F225,0)))),0)</f>
        <v>0</v>
      </c>
      <c r="K225" s="819">
        <f>ROUND(IF(G225=1,F225/23,IF(G225=3,F225/12,IF(G225=6,F225,IF(G225=7,F225-I225,0)))),0)</f>
        <v>0</v>
      </c>
      <c r="L225" s="820">
        <f>IF(G225=6,F225,0)</f>
        <v>0</v>
      </c>
      <c r="P225" s="768" t="n"/>
      <c r="Q225" s="769" t="str">
        <f>IF($F225="","",IFERROR(VLOOKUP($C225&amp;"|"&amp;$D225,科目表!$A$5:$B$200,2,FALSE),"※未登録"))</f>
        <v/>
      </c>
      <c r="R225" s="769" t="str">
        <f>IF($F225="","",$I225+$J225+$K225)</f>
        <v/>
      </c>
      <c r="S225" s="769" t="str">
        <f>IF(OR($F225="",$P225="支払なし",$H225=0,$Q225=""),"",$Q225&amp;"|S|"&amp;(COUNTIF(S$4:S224,$Q225&amp;"|S|*")+1))</f>
        <v/>
      </c>
      <c r="T225" s="769" t="str">
        <f>IF(OR($F225="",$P225="支払なし",$R225=0,$Q225=""),"",$Q225&amp;"|L|"&amp;(COUNTIF(T$4:T224,$Q225&amp;"|L|*")+1))</f>
        <v/>
      </c>
      <c r="U225" s="769" t="str">
        <f>IF($F225="","",13)</f>
        <v/>
      </c>
    </row>
    <row r="226" ht="16.5" customHeight="1" s="186">
      <c r="A226" s="760" t="n"/>
      <c r="B226" s="760" t="n"/>
      <c r="C226" s="762" t="n"/>
      <c r="D226" s="762" t="n"/>
      <c r="E226" s="775" t="n"/>
      <c r="F226" s="821" t="n"/>
      <c r="G226" s="821" t="n"/>
      <c r="H226" s="818">
        <f>IF(G226=1,F226-I226-J226-K226,IF(G226=2,F226,0))</f>
        <v>0</v>
      </c>
      <c r="I226" s="818">
        <f>ROUND(IF(G226=1,F226*10/23,IF(G226=3,F226-J226-K226,IF(G226=4,F226,IF(G226=5,F226*10/11,IF(G226=7,F226*10/11,0))))),0)</f>
        <v>0</v>
      </c>
      <c r="J226" s="818">
        <f>ROUND(IF(G226=1,F226/23,IF(G226=3,F226/12,IF(G226=5,F226-I226,IF(G226=8,F226,0)))),0)</f>
        <v>0</v>
      </c>
      <c r="K226" s="819">
        <f>ROUND(IF(G226=1,F226/23,IF(G226=3,F226/12,IF(G226=6,F226,IF(G226=7,F226-I226,0)))),0)</f>
        <v>0</v>
      </c>
      <c r="L226" s="820">
        <f>IF(G226=6,F226,0)</f>
        <v>0</v>
      </c>
      <c r="P226" s="768" t="n"/>
      <c r="Q226" s="769" t="str">
        <f>IF($F226="","",IFERROR(VLOOKUP($C226&amp;"|"&amp;$D226,科目表!$A$5:$B$200,2,FALSE),"※未登録"))</f>
        <v/>
      </c>
      <c r="R226" s="769" t="str">
        <f>IF($F226="","",$I226+$J226+$K226)</f>
        <v/>
      </c>
      <c r="S226" s="769" t="str">
        <f>IF(OR($F226="",$P226="支払なし",$H226=0,$Q226=""),"",$Q226&amp;"|S|"&amp;(COUNTIF(S$4:S225,$Q226&amp;"|S|*")+1))</f>
        <v/>
      </c>
      <c r="T226" s="769" t="str">
        <f>IF(OR($F226="",$P226="支払なし",$R226=0,$Q226=""),"",$Q226&amp;"|L|"&amp;(COUNTIF(T$4:T225,$Q226&amp;"|L|*")+1))</f>
        <v/>
      </c>
      <c r="U226" s="769" t="str">
        <f>IF($F226="","",13)</f>
        <v/>
      </c>
    </row>
    <row r="227" ht="16.5" customHeight="1" s="186">
      <c r="A227" s="760" t="n"/>
      <c r="B227" s="760" t="n"/>
      <c r="C227" s="762" t="n"/>
      <c r="D227" s="762" t="n"/>
      <c r="E227" s="775" t="n"/>
      <c r="F227" s="821" t="n"/>
      <c r="G227" s="821" t="n"/>
      <c r="H227" s="818">
        <f>IF(G227=1,F227-I227-J227-K227,IF(G227=2,F227,0))</f>
        <v>0</v>
      </c>
      <c r="I227" s="818">
        <f>ROUND(IF(G227=1,F227*10/23,IF(G227=3,F227-J227-K227,IF(G227=4,F227,IF(G227=5,F227*10/11,IF(G227=7,F227*10/11,0))))),0)</f>
        <v>0</v>
      </c>
      <c r="J227" s="818">
        <f>ROUND(IF(G227=1,F227/23,IF(G227=3,F227/12,IF(G227=5,F227-I227,IF(G227=8,F227,0)))),0)</f>
        <v>0</v>
      </c>
      <c r="K227" s="819">
        <f>ROUND(IF(G227=1,F227/23,IF(G227=3,F227/12,IF(G227=6,F227,IF(G227=7,F227-I227,0)))),0)</f>
        <v>0</v>
      </c>
      <c r="L227" s="820">
        <f>IF(G227=6,F227,0)</f>
        <v>0</v>
      </c>
      <c r="P227" s="768" t="n"/>
      <c r="Q227" s="769" t="str">
        <f>IF($F227="","",IFERROR(VLOOKUP($C227&amp;"|"&amp;$D227,科目表!$A$5:$B$200,2,FALSE),"※未登録"))</f>
        <v/>
      </c>
      <c r="R227" s="769" t="str">
        <f>IF($F227="","",$I227+$J227+$K227)</f>
        <v/>
      </c>
      <c r="S227" s="769" t="str">
        <f>IF(OR($F227="",$P227="支払なし",$H227=0,$Q227=""),"",$Q227&amp;"|S|"&amp;(COUNTIF(S$4:S226,$Q227&amp;"|S|*")+1))</f>
        <v/>
      </c>
      <c r="T227" s="769" t="str">
        <f>IF(OR($F227="",$P227="支払なし",$R227=0,$Q227=""),"",$Q227&amp;"|L|"&amp;(COUNTIF(T$4:T226,$Q227&amp;"|L|*")+1))</f>
        <v/>
      </c>
      <c r="U227" s="769" t="str">
        <f>IF($F227="","",13)</f>
        <v/>
      </c>
    </row>
    <row r="228" ht="16.5" customHeight="1" s="186">
      <c r="A228" s="760" t="n"/>
      <c r="B228" s="760" t="n"/>
      <c r="C228" s="762" t="n"/>
      <c r="D228" s="762" t="n"/>
      <c r="E228" s="775" t="n"/>
      <c r="F228" s="821" t="n"/>
      <c r="G228" s="821" t="n"/>
      <c r="H228" s="818">
        <f>IF(G228=1,F228-I228-J228-K228,IF(G228=2,F228,0))</f>
        <v>0</v>
      </c>
      <c r="I228" s="818">
        <f>ROUND(IF(G228=1,F228*10/23,IF(G228=3,F228-J228-K228,IF(G228=4,F228,IF(G228=5,F228*10/11,IF(G228=7,F228*10/11,0))))),0)</f>
        <v>0</v>
      </c>
      <c r="J228" s="818">
        <f>ROUND(IF(G228=1,F228/23,IF(G228=3,F228/12,IF(G228=5,F228-I228,IF(G228=8,F228,0)))),0)</f>
        <v>0</v>
      </c>
      <c r="K228" s="819">
        <f>ROUND(IF(G228=1,F228/23,IF(G228=3,F228/12,IF(G228=6,F228,IF(G228=7,F228-I228,0)))),0)</f>
        <v>0</v>
      </c>
      <c r="L228" s="820">
        <f>IF(G228=6,F228,0)</f>
        <v>0</v>
      </c>
      <c r="P228" s="768" t="n"/>
      <c r="Q228" s="769" t="str">
        <f>IF($F228="","",IFERROR(VLOOKUP($C228&amp;"|"&amp;$D228,科目表!$A$5:$B$200,2,FALSE),"※未登録"))</f>
        <v/>
      </c>
      <c r="R228" s="769" t="str">
        <f>IF($F228="","",$I228+$J228+$K228)</f>
        <v/>
      </c>
      <c r="S228" s="769" t="str">
        <f>IF(OR($F228="",$P228="支払なし",$H228=0,$Q228=""),"",$Q228&amp;"|S|"&amp;(COUNTIF(S$4:S227,$Q228&amp;"|S|*")+1))</f>
        <v/>
      </c>
      <c r="T228" s="769" t="str">
        <f>IF(OR($F228="",$P228="支払なし",$R228=0,$Q228=""),"",$Q228&amp;"|L|"&amp;(COUNTIF(T$4:T227,$Q228&amp;"|L|*")+1))</f>
        <v/>
      </c>
      <c r="U228" s="769" t="str">
        <f>IF($F228="","",13)</f>
        <v/>
      </c>
    </row>
    <row r="229" ht="16.5" customHeight="1" s="186">
      <c r="A229" s="760" t="n"/>
      <c r="B229" s="760" t="n"/>
      <c r="C229" s="762" t="n"/>
      <c r="D229" s="762" t="n"/>
      <c r="E229" s="775" t="n"/>
      <c r="F229" s="821" t="n"/>
      <c r="G229" s="821" t="n"/>
      <c r="H229" s="818">
        <f>IF(G229=1,F229-I229-J229-K229,IF(G229=2,F229,0))</f>
        <v>0</v>
      </c>
      <c r="I229" s="818">
        <f>ROUND(IF(G229=1,F229*10/23,IF(G229=3,F229-J229-K229,IF(G229=4,F229,IF(G229=5,F229*10/11,IF(G229=7,F229*10/11,0))))),0)</f>
        <v>0</v>
      </c>
      <c r="J229" s="818">
        <f>ROUND(IF(G229=1,F229/23,IF(G229=3,F229/12,IF(G229=5,F229-I229,IF(G229=8,F229,0)))),0)</f>
        <v>0</v>
      </c>
      <c r="K229" s="819">
        <f>ROUND(IF(G229=1,F229/23,IF(G229=3,F229/12,IF(G229=6,F229,IF(G229=7,F229-I229,0)))),0)</f>
        <v>0</v>
      </c>
      <c r="L229" s="820">
        <f>IF(G229=6,F229,0)</f>
        <v>0</v>
      </c>
      <c r="P229" s="768" t="n"/>
      <c r="Q229" s="769" t="str">
        <f>IF($F229="","",IFERROR(VLOOKUP($C229&amp;"|"&amp;$D229,科目表!$A$5:$B$200,2,FALSE),"※未登録"))</f>
        <v/>
      </c>
      <c r="R229" s="769" t="str">
        <f>IF($F229="","",$I229+$J229+$K229)</f>
        <v/>
      </c>
      <c r="S229" s="769" t="str">
        <f>IF(OR($F229="",$P229="支払なし",$H229=0,$Q229=""),"",$Q229&amp;"|S|"&amp;(COUNTIF(S$4:S228,$Q229&amp;"|S|*")+1))</f>
        <v/>
      </c>
      <c r="T229" s="769" t="str">
        <f>IF(OR($F229="",$P229="支払なし",$R229=0,$Q229=""),"",$Q229&amp;"|L|"&amp;(COUNTIF(T$4:T228,$Q229&amp;"|L|*")+1))</f>
        <v/>
      </c>
      <c r="U229" s="769" t="str">
        <f>IF($F229="","",13)</f>
        <v/>
      </c>
    </row>
    <row r="230" ht="16.5" customHeight="1" s="186">
      <c r="A230" s="760" t="n"/>
      <c r="B230" s="760" t="n"/>
      <c r="C230" s="762" t="n"/>
      <c r="D230" s="762" t="n"/>
      <c r="E230" s="775" t="n"/>
      <c r="F230" s="821" t="n"/>
      <c r="G230" s="821" t="n"/>
      <c r="H230" s="818">
        <f>IF(G230=1,F230-I230-J230-K230,IF(G230=2,F230,0))</f>
        <v>0</v>
      </c>
      <c r="I230" s="818">
        <f>ROUND(IF(G230=1,F230*10/23,IF(G230=3,F230-J230-K230,IF(G230=4,F230,IF(G230=5,F230*10/11,IF(G230=7,F230*10/11,0))))),0)</f>
        <v>0</v>
      </c>
      <c r="J230" s="818">
        <f>ROUND(IF(G230=1,F230/23,IF(G230=3,F230/12,IF(G230=5,F230-I230,IF(G230=8,F230,0)))),0)</f>
        <v>0</v>
      </c>
      <c r="K230" s="819">
        <f>ROUND(IF(G230=1,F230/23,IF(G230=3,F230/12,IF(G230=6,F230,IF(G230=7,F230-I230,0)))),0)</f>
        <v>0</v>
      </c>
      <c r="L230" s="820">
        <f>IF(G230=6,F230,0)</f>
        <v>0</v>
      </c>
      <c r="P230" s="768" t="n"/>
      <c r="Q230" s="769" t="str">
        <f>IF($F230="","",IFERROR(VLOOKUP($C230&amp;"|"&amp;$D230,科目表!$A$5:$B$200,2,FALSE),"※未登録"))</f>
        <v/>
      </c>
      <c r="R230" s="769" t="str">
        <f>IF($F230="","",$I230+$J230+$K230)</f>
        <v/>
      </c>
      <c r="S230" s="769" t="str">
        <f>IF(OR($F230="",$P230="支払なし",$H230=0,$Q230=""),"",$Q230&amp;"|S|"&amp;(COUNTIF(S$4:S229,$Q230&amp;"|S|*")+1))</f>
        <v/>
      </c>
      <c r="T230" s="769" t="str">
        <f>IF(OR($F230="",$P230="支払なし",$R230=0,$Q230=""),"",$Q230&amp;"|L|"&amp;(COUNTIF(T$4:T229,$Q230&amp;"|L|*")+1))</f>
        <v/>
      </c>
      <c r="U230" s="769" t="str">
        <f>IF($F230="","",13)</f>
        <v/>
      </c>
    </row>
    <row r="231" ht="16.5" customHeight="1" s="186">
      <c r="A231" s="760" t="n"/>
      <c r="B231" s="760" t="n"/>
      <c r="C231" s="762" t="n"/>
      <c r="D231" s="762" t="n"/>
      <c r="E231" s="775" t="n"/>
      <c r="F231" s="821" t="n"/>
      <c r="G231" s="821" t="n"/>
      <c r="H231" s="818">
        <f>IF(G231=1,F231-I231-J231-K231,IF(G231=2,F231,0))</f>
        <v>0</v>
      </c>
      <c r="I231" s="818">
        <f>ROUND(IF(G231=1,F231*10/23,IF(G231=3,F231-J231-K231,IF(G231=4,F231,IF(G231=5,F231*10/11,IF(G231=7,F231*10/11,0))))),0)</f>
        <v>0</v>
      </c>
      <c r="J231" s="818">
        <f>ROUND(IF(G231=1,F231/23,IF(G231=3,F231/12,IF(G231=5,F231-I231,IF(G231=8,F231,0)))),0)</f>
        <v>0</v>
      </c>
      <c r="K231" s="819">
        <f>ROUND(IF(G231=1,F231/23,IF(G231=3,F231/12,IF(G231=6,F231,IF(G231=7,F231-I231,0)))),0)</f>
        <v>0</v>
      </c>
      <c r="L231" s="820">
        <f>IF(G231=6,F231,0)</f>
        <v>0</v>
      </c>
      <c r="P231" s="768" t="n"/>
      <c r="Q231" s="769" t="str">
        <f>IF($F231="","",IFERROR(VLOOKUP($C231&amp;"|"&amp;$D231,科目表!$A$5:$B$200,2,FALSE),"※未登録"))</f>
        <v/>
      </c>
      <c r="R231" s="769" t="str">
        <f>IF($F231="","",$I231+$J231+$K231)</f>
        <v/>
      </c>
      <c r="S231" s="769" t="str">
        <f>IF(OR($F231="",$P231="支払なし",$H231=0,$Q231=""),"",$Q231&amp;"|S|"&amp;(COUNTIF(S$4:S230,$Q231&amp;"|S|*")+1))</f>
        <v/>
      </c>
      <c r="T231" s="769" t="str">
        <f>IF(OR($F231="",$P231="支払なし",$R231=0,$Q231=""),"",$Q231&amp;"|L|"&amp;(COUNTIF(T$4:T230,$Q231&amp;"|L|*")+1))</f>
        <v/>
      </c>
      <c r="U231" s="769" t="str">
        <f>IF($F231="","",13)</f>
        <v/>
      </c>
    </row>
    <row r="232" ht="16.5" customHeight="1" s="186">
      <c r="A232" s="760" t="n"/>
      <c r="B232" s="760" t="n"/>
      <c r="C232" s="762" t="n"/>
      <c r="D232" s="762" t="n"/>
      <c r="E232" s="775" t="n"/>
      <c r="F232" s="821" t="n"/>
      <c r="G232" s="821" t="n"/>
      <c r="H232" s="818">
        <f>IF(G232=1,F232-I232-J232-K232,IF(G232=2,F232,0))</f>
        <v>0</v>
      </c>
      <c r="I232" s="818">
        <f>ROUND(IF(G232=1,F232*10/23,IF(G232=3,F232-J232-K232,IF(G232=4,F232,IF(G232=5,F232*10/11,IF(G232=7,F232*10/11,0))))),0)</f>
        <v>0</v>
      </c>
      <c r="J232" s="818">
        <f>ROUND(IF(G232=1,F232/23,IF(G232=3,F232/12,IF(G232=5,F232-I232,IF(G232=8,F232,0)))),0)</f>
        <v>0</v>
      </c>
      <c r="K232" s="819">
        <f>ROUND(IF(G232=1,F232/23,IF(G232=3,F232/12,IF(G232=6,F232,IF(G232=7,F232-I232,0)))),0)</f>
        <v>0</v>
      </c>
      <c r="L232" s="820">
        <f>IF(G232=6,F232,0)</f>
        <v>0</v>
      </c>
      <c r="P232" s="768" t="n"/>
      <c r="Q232" s="769" t="str">
        <f>IF($F232="","",IFERROR(VLOOKUP($C232&amp;"|"&amp;$D232,科目表!$A$5:$B$200,2,FALSE),"※未登録"))</f>
        <v/>
      </c>
      <c r="R232" s="769" t="str">
        <f>IF($F232="","",$I232+$J232+$K232)</f>
        <v/>
      </c>
      <c r="S232" s="769" t="str">
        <f>IF(OR($F232="",$P232="支払なし",$H232=0,$Q232=""),"",$Q232&amp;"|S|"&amp;(COUNTIF(S$4:S231,$Q232&amp;"|S|*")+1))</f>
        <v/>
      </c>
      <c r="T232" s="769" t="str">
        <f>IF(OR($F232="",$P232="支払なし",$R232=0,$Q232=""),"",$Q232&amp;"|L|"&amp;(COUNTIF(T$4:T231,$Q232&amp;"|L|*")+1))</f>
        <v/>
      </c>
      <c r="U232" s="769" t="str">
        <f>IF($F232="","",13)</f>
        <v/>
      </c>
    </row>
    <row r="233" ht="16.5" customHeight="1" s="186">
      <c r="A233" s="760" t="n"/>
      <c r="B233" s="760" t="n"/>
      <c r="C233" s="762" t="n"/>
      <c r="D233" s="762" t="n"/>
      <c r="E233" s="775" t="n"/>
      <c r="F233" s="821" t="n"/>
      <c r="G233" s="821" t="n"/>
      <c r="H233" s="818">
        <f>IF(G233=1,F233-I233-J233-K233,IF(G233=2,F233,0))</f>
        <v>0</v>
      </c>
      <c r="I233" s="818">
        <f>ROUND(IF(G233=1,F233*10/23,IF(G233=3,F233-J233-K233,IF(G233=4,F233,IF(G233=5,F233*10/11,IF(G233=7,F233*10/11,0))))),0)</f>
        <v>0</v>
      </c>
      <c r="J233" s="818">
        <f>ROUND(IF(G233=1,F233/23,IF(G233=3,F233/12,IF(G233=5,F233-I233,IF(G233=8,F233,0)))),0)</f>
        <v>0</v>
      </c>
      <c r="K233" s="819">
        <f>ROUND(IF(G233=1,F233/23,IF(G233=3,F233/12,IF(G233=6,F233,IF(G233=7,F233-I233,0)))),0)</f>
        <v>0</v>
      </c>
      <c r="L233" s="820">
        <f>IF(G233=6,F233,0)</f>
        <v>0</v>
      </c>
      <c r="P233" s="768" t="n"/>
      <c r="Q233" s="769" t="str">
        <f>IF($F233="","",IFERROR(VLOOKUP($C233&amp;"|"&amp;$D233,科目表!$A$5:$B$200,2,FALSE),"※未登録"))</f>
        <v/>
      </c>
      <c r="R233" s="769" t="str">
        <f>IF($F233="","",$I233+$J233+$K233)</f>
        <v/>
      </c>
      <c r="S233" s="769" t="str">
        <f>IF(OR($F233="",$P233="支払なし",$H233=0,$Q233=""),"",$Q233&amp;"|S|"&amp;(COUNTIF(S$4:S232,$Q233&amp;"|S|*")+1))</f>
        <v/>
      </c>
      <c r="T233" s="769" t="str">
        <f>IF(OR($F233="",$P233="支払なし",$R233=0,$Q233=""),"",$Q233&amp;"|L|"&amp;(COUNTIF(T$4:T232,$Q233&amp;"|L|*")+1))</f>
        <v/>
      </c>
      <c r="U233" s="769" t="str">
        <f>IF($F233="","",13)</f>
        <v/>
      </c>
    </row>
    <row r="234" ht="16.5" customHeight="1" s="186">
      <c r="A234" s="760" t="n"/>
      <c r="B234" s="760" t="n"/>
      <c r="C234" s="762" t="n"/>
      <c r="D234" s="762" t="n"/>
      <c r="E234" s="775" t="n"/>
      <c r="F234" s="821" t="n"/>
      <c r="G234" s="821" t="n"/>
      <c r="H234" s="818">
        <f>IF(G234=1,F234-I234-J234-K234,IF(G234=2,F234,0))</f>
        <v>0</v>
      </c>
      <c r="I234" s="818">
        <f>ROUND(IF(G234=1,F234*10/23,IF(G234=3,F234-J234-K234,IF(G234=4,F234,IF(G234=5,F234*10/11,IF(G234=7,F234*10/11,0))))),0)</f>
        <v>0</v>
      </c>
      <c r="J234" s="818">
        <f>ROUND(IF(G234=1,F234/23,IF(G234=3,F234/12,IF(G234=5,F234-I234,IF(G234=8,F234,0)))),0)</f>
        <v>0</v>
      </c>
      <c r="K234" s="819">
        <f>ROUND(IF(G234=1,F234/23,IF(G234=3,F234/12,IF(G234=6,F234,IF(G234=7,F234-I234,0)))),0)</f>
        <v>0</v>
      </c>
      <c r="L234" s="820">
        <f>IF(G234=6,F234,0)</f>
        <v>0</v>
      </c>
      <c r="P234" s="768" t="n"/>
      <c r="Q234" s="769" t="str">
        <f>IF($F234="","",IFERROR(VLOOKUP($C234&amp;"|"&amp;$D234,科目表!$A$5:$B$200,2,FALSE),"※未登録"))</f>
        <v/>
      </c>
      <c r="R234" s="769" t="str">
        <f>IF($F234="","",$I234+$J234+$K234)</f>
        <v/>
      </c>
      <c r="S234" s="769" t="str">
        <f>IF(OR($F234="",$P234="支払なし",$H234=0,$Q234=""),"",$Q234&amp;"|S|"&amp;(COUNTIF(S$4:S233,$Q234&amp;"|S|*")+1))</f>
        <v/>
      </c>
      <c r="T234" s="769" t="str">
        <f>IF(OR($F234="",$P234="支払なし",$R234=0,$Q234=""),"",$Q234&amp;"|L|"&amp;(COUNTIF(T$4:T233,$Q234&amp;"|L|*")+1))</f>
        <v/>
      </c>
      <c r="U234" s="769" t="str">
        <f>IF($F234="","",13)</f>
        <v/>
      </c>
    </row>
    <row r="235" ht="16.5" customHeight="1" s="186">
      <c r="A235" s="760" t="n"/>
      <c r="B235" s="760" t="n"/>
      <c r="C235" s="762" t="n"/>
      <c r="D235" s="762" t="n"/>
      <c r="E235" s="775" t="n"/>
      <c r="F235" s="821" t="n"/>
      <c r="G235" s="821" t="n"/>
      <c r="H235" s="818">
        <f>IF(G235=1,F235-I235-J235-K235,IF(G235=2,F235,0))</f>
        <v>0</v>
      </c>
      <c r="I235" s="818">
        <f>ROUND(IF(G235=1,F235*10/23,IF(G235=3,F235-J235-K235,IF(G235=4,F235,IF(G235=5,F235*10/11,IF(G235=7,F235*10/11,0))))),0)</f>
        <v>0</v>
      </c>
      <c r="J235" s="818">
        <f>ROUND(IF(G235=1,F235/23,IF(G235=3,F235/12,IF(G235=5,F235-I235,IF(G235=8,F235,0)))),0)</f>
        <v>0</v>
      </c>
      <c r="K235" s="819">
        <f>ROUND(IF(G235=1,F235/23,IF(G235=3,F235/12,IF(G235=6,F235,IF(G235=7,F235-I235,0)))),0)</f>
        <v>0</v>
      </c>
      <c r="L235" s="820">
        <f>IF(G235=6,F235,0)</f>
        <v>0</v>
      </c>
      <c r="P235" s="768" t="n"/>
      <c r="Q235" s="769" t="str">
        <f>IF($F235="","",IFERROR(VLOOKUP($C235&amp;"|"&amp;$D235,科目表!$A$5:$B$200,2,FALSE),"※未登録"))</f>
        <v/>
      </c>
      <c r="R235" s="769" t="str">
        <f>IF($F235="","",$I235+$J235+$K235)</f>
        <v/>
      </c>
      <c r="S235" s="769" t="str">
        <f>IF(OR($F235="",$P235="支払なし",$H235=0,$Q235=""),"",$Q235&amp;"|S|"&amp;(COUNTIF(S$4:S234,$Q235&amp;"|S|*")+1))</f>
        <v/>
      </c>
      <c r="T235" s="769" t="str">
        <f>IF(OR($F235="",$P235="支払なし",$R235=0,$Q235=""),"",$Q235&amp;"|L|"&amp;(COUNTIF(T$4:T234,$Q235&amp;"|L|*")+1))</f>
        <v/>
      </c>
      <c r="U235" s="769" t="str">
        <f>IF($F235="","",13)</f>
        <v/>
      </c>
    </row>
    <row r="236" ht="16.5" customHeight="1" s="186">
      <c r="A236" s="760" t="n"/>
      <c r="B236" s="760" t="n"/>
      <c r="C236" s="762" t="n"/>
      <c r="D236" s="762" t="n"/>
      <c r="E236" s="775" t="n"/>
      <c r="F236" s="821" t="n"/>
      <c r="G236" s="821" t="n"/>
      <c r="H236" s="818">
        <f>IF(G236=1,F236-I236-J236-K236,IF(G236=2,F236,0))</f>
        <v>0</v>
      </c>
      <c r="I236" s="818">
        <f>ROUND(IF(G236=1,F236*10/23,IF(G236=3,F236-J236-K236,IF(G236=4,F236,IF(G236=5,F236*10/11,IF(G236=7,F236*10/11,0))))),0)</f>
        <v>0</v>
      </c>
      <c r="J236" s="818">
        <f>ROUND(IF(G236=1,F236/23,IF(G236=3,F236/12,IF(G236=5,F236-I236,IF(G236=8,F236,0)))),0)</f>
        <v>0</v>
      </c>
      <c r="K236" s="819">
        <f>ROUND(IF(G236=1,F236/23,IF(G236=3,F236/12,IF(G236=6,F236,IF(G236=7,F236-I236,0)))),0)</f>
        <v>0</v>
      </c>
      <c r="L236" s="820">
        <f>IF(G236=6,F236,0)</f>
        <v>0</v>
      </c>
      <c r="P236" s="768" t="n"/>
      <c r="Q236" s="769" t="str">
        <f>IF($F236="","",IFERROR(VLOOKUP($C236&amp;"|"&amp;$D236,科目表!$A$5:$B$200,2,FALSE),"※未登録"))</f>
        <v/>
      </c>
      <c r="R236" s="769" t="str">
        <f>IF($F236="","",$I236+$J236+$K236)</f>
        <v/>
      </c>
      <c r="S236" s="769" t="str">
        <f>IF(OR($F236="",$P236="支払なし",$H236=0,$Q236=""),"",$Q236&amp;"|S|"&amp;(COUNTIF(S$4:S235,$Q236&amp;"|S|*")+1))</f>
        <v/>
      </c>
      <c r="T236" s="769" t="str">
        <f>IF(OR($F236="",$P236="支払なし",$R236=0,$Q236=""),"",$Q236&amp;"|L|"&amp;(COUNTIF(T$4:T235,$Q236&amp;"|L|*")+1))</f>
        <v/>
      </c>
      <c r="U236" s="769" t="str">
        <f>IF($F236="","",13)</f>
        <v/>
      </c>
    </row>
    <row r="237" ht="16.5" customHeight="1" s="186">
      <c r="A237" s="760" t="n"/>
      <c r="B237" s="760" t="n"/>
      <c r="C237" s="762" t="n"/>
      <c r="D237" s="762" t="n"/>
      <c r="E237" s="775" t="n"/>
      <c r="F237" s="821" t="n"/>
      <c r="G237" s="821" t="n"/>
      <c r="H237" s="818">
        <f>IF(G237=1,F237-I237-J237-K237,IF(G237=2,F237,0))</f>
        <v>0</v>
      </c>
      <c r="I237" s="818">
        <f>ROUND(IF(G237=1,F237*10/23,IF(G237=3,F237-J237-K237,IF(G237=4,F237,IF(G237=5,F237*10/11,IF(G237=7,F237*10/11,0))))),0)</f>
        <v>0</v>
      </c>
      <c r="J237" s="818">
        <f>ROUND(IF(G237=1,F237/23,IF(G237=3,F237/12,IF(G237=5,F237-I237,IF(G237=8,F237,0)))),0)</f>
        <v>0</v>
      </c>
      <c r="K237" s="819">
        <f>ROUND(IF(G237=1,F237/23,IF(G237=3,F237/12,IF(G237=6,F237,IF(G237=7,F237-I237,0)))),0)</f>
        <v>0</v>
      </c>
      <c r="L237" s="820">
        <f>IF(G237=6,F237,0)</f>
        <v>0</v>
      </c>
      <c r="P237" s="768" t="n"/>
      <c r="Q237" s="769" t="str">
        <f>IF($F237="","",IFERROR(VLOOKUP($C237&amp;"|"&amp;$D237,科目表!$A$5:$B$200,2,FALSE),"※未登録"))</f>
        <v/>
      </c>
      <c r="R237" s="769" t="str">
        <f>IF($F237="","",$I237+$J237+$K237)</f>
        <v/>
      </c>
      <c r="S237" s="769" t="str">
        <f>IF(OR($F237="",$P237="支払なし",$H237=0,$Q237=""),"",$Q237&amp;"|S|"&amp;(COUNTIF(S$4:S236,$Q237&amp;"|S|*")+1))</f>
        <v/>
      </c>
      <c r="T237" s="769" t="str">
        <f>IF(OR($F237="",$P237="支払なし",$R237=0,$Q237=""),"",$Q237&amp;"|L|"&amp;(COUNTIF(T$4:T236,$Q237&amp;"|L|*")+1))</f>
        <v/>
      </c>
      <c r="U237" s="769" t="str">
        <f>IF($F237="","",13)</f>
        <v/>
      </c>
    </row>
    <row r="238" ht="16.5" customHeight="1" s="186">
      <c r="A238" s="760" t="n"/>
      <c r="B238" s="760" t="n"/>
      <c r="C238" s="762" t="n"/>
      <c r="D238" s="762" t="n"/>
      <c r="E238" s="775" t="n"/>
      <c r="F238" s="821" t="n"/>
      <c r="G238" s="821" t="n"/>
      <c r="H238" s="818">
        <f>IF(G238=1,F238-I238-J238-K238,IF(G238=2,F238,0))</f>
        <v>0</v>
      </c>
      <c r="I238" s="818">
        <f>ROUND(IF(G238=1,F238*10/23,IF(G238=3,F238-J238-K238,IF(G238=4,F238,IF(G238=5,F238*10/11,IF(G238=7,F238*10/11,0))))),0)</f>
        <v>0</v>
      </c>
      <c r="J238" s="818">
        <f>ROUND(IF(G238=1,F238/23,IF(G238=3,F238/12,IF(G238=5,F238-I238,IF(G238=8,F238,0)))),0)</f>
        <v>0</v>
      </c>
      <c r="K238" s="819">
        <f>ROUND(IF(G238=1,F238/23,IF(G238=3,F238/12,IF(G238=6,F238,IF(G238=7,F238-I238,0)))),0)</f>
        <v>0</v>
      </c>
      <c r="L238" s="820">
        <f>IF(G238=6,F238,0)</f>
        <v>0</v>
      </c>
      <c r="P238" s="768" t="n"/>
      <c r="Q238" s="769" t="str">
        <f>IF($F238="","",IFERROR(VLOOKUP($C238&amp;"|"&amp;$D238,科目表!$A$5:$B$200,2,FALSE),"※未登録"))</f>
        <v/>
      </c>
      <c r="R238" s="769" t="str">
        <f>IF($F238="","",$I238+$J238+$K238)</f>
        <v/>
      </c>
      <c r="S238" s="769" t="str">
        <f>IF(OR($F238="",$P238="支払なし",$H238=0,$Q238=""),"",$Q238&amp;"|S|"&amp;(COUNTIF(S$4:S237,$Q238&amp;"|S|*")+1))</f>
        <v/>
      </c>
      <c r="T238" s="769" t="str">
        <f>IF(OR($F238="",$P238="支払なし",$R238=0,$Q238=""),"",$Q238&amp;"|L|"&amp;(COUNTIF(T$4:T237,$Q238&amp;"|L|*")+1))</f>
        <v/>
      </c>
      <c r="U238" s="769" t="str">
        <f>IF($F238="","",13)</f>
        <v/>
      </c>
    </row>
    <row r="239" ht="16.5" customHeight="1" s="186">
      <c r="A239" s="760" t="n"/>
      <c r="B239" s="760" t="n"/>
      <c r="C239" s="762" t="n"/>
      <c r="D239" s="762" t="n"/>
      <c r="E239" s="775" t="n"/>
      <c r="F239" s="821" t="n"/>
      <c r="G239" s="821" t="n"/>
      <c r="H239" s="818">
        <f>IF(G239=1,F239-I239-J239-K239,IF(G239=2,F239,0))</f>
        <v>0</v>
      </c>
      <c r="I239" s="818">
        <f>ROUND(IF(G239=1,F239*10/23,IF(G239=3,F239-J239-K239,IF(G239=4,F239,IF(G239=5,F239*10/11,IF(G239=7,F239*10/11,0))))),0)</f>
        <v>0</v>
      </c>
      <c r="J239" s="818">
        <f>ROUND(IF(G239=1,F239/23,IF(G239=3,F239/12,IF(G239=5,F239-I239,IF(G239=8,F239,0)))),0)</f>
        <v>0</v>
      </c>
      <c r="K239" s="819">
        <f>ROUND(IF(G239=1,F239/23,IF(G239=3,F239/12,IF(G239=6,F239,IF(G239=7,F239-I239,0)))),0)</f>
        <v>0</v>
      </c>
      <c r="L239" s="820">
        <f>IF(G239=6,F239,0)</f>
        <v>0</v>
      </c>
      <c r="P239" s="768" t="n"/>
      <c r="Q239" s="769" t="str">
        <f>IF($F239="","",IFERROR(VLOOKUP($C239&amp;"|"&amp;$D239,科目表!$A$5:$B$200,2,FALSE),"※未登録"))</f>
        <v/>
      </c>
      <c r="R239" s="769" t="str">
        <f>IF($F239="","",$I239+$J239+$K239)</f>
        <v/>
      </c>
      <c r="S239" s="769" t="str">
        <f>IF(OR($F239="",$P239="支払なし",$H239=0,$Q239=""),"",$Q239&amp;"|S|"&amp;(COUNTIF(S$4:S238,$Q239&amp;"|S|*")+1))</f>
        <v/>
      </c>
      <c r="T239" s="769" t="str">
        <f>IF(OR($F239="",$P239="支払なし",$R239=0,$Q239=""),"",$Q239&amp;"|L|"&amp;(COUNTIF(T$4:T238,$Q239&amp;"|L|*")+1))</f>
        <v/>
      </c>
      <c r="U239" s="769" t="str">
        <f>IF($F239="","",13)</f>
        <v/>
      </c>
    </row>
    <row r="240" ht="16.5" customHeight="1" s="186">
      <c r="A240" s="760" t="n"/>
      <c r="B240" s="760" t="n"/>
      <c r="C240" s="762" t="n"/>
      <c r="D240" s="762" t="n"/>
      <c r="E240" s="775" t="n"/>
      <c r="F240" s="821" t="n"/>
      <c r="G240" s="821" t="n"/>
      <c r="H240" s="818">
        <f>IF(G240=1,F240-I240-J240-K240,IF(G240=2,F240,0))</f>
        <v>0</v>
      </c>
      <c r="I240" s="818">
        <f>ROUND(IF(G240=1,F240*10/23,IF(G240=3,F240-J240-K240,IF(G240=4,F240,IF(G240=5,F240*10/11,IF(G240=7,F240*10/11,0))))),0)</f>
        <v>0</v>
      </c>
      <c r="J240" s="818">
        <f>ROUND(IF(G240=1,F240/23,IF(G240=3,F240/12,IF(G240=5,F240-I240,IF(G240=8,F240,0)))),0)</f>
        <v>0</v>
      </c>
      <c r="K240" s="819">
        <f>ROUND(IF(G240=1,F240/23,IF(G240=3,F240/12,IF(G240=6,F240,IF(G240=7,F240-I240,0)))),0)</f>
        <v>0</v>
      </c>
      <c r="L240" s="820">
        <f>IF(G240=6,F240,0)</f>
        <v>0</v>
      </c>
      <c r="P240" s="768" t="n"/>
      <c r="Q240" s="769" t="str">
        <f>IF($F240="","",IFERROR(VLOOKUP($C240&amp;"|"&amp;$D240,科目表!$A$5:$B$200,2,FALSE),"※未登録"))</f>
        <v/>
      </c>
      <c r="R240" s="769" t="str">
        <f>IF($F240="","",$I240+$J240+$K240)</f>
        <v/>
      </c>
      <c r="S240" s="769" t="str">
        <f>IF(OR($F240="",$P240="支払なし",$H240=0,$Q240=""),"",$Q240&amp;"|S|"&amp;(COUNTIF(S$4:S239,$Q240&amp;"|S|*")+1))</f>
        <v/>
      </c>
      <c r="T240" s="769" t="str">
        <f>IF(OR($F240="",$P240="支払なし",$R240=0,$Q240=""),"",$Q240&amp;"|L|"&amp;(COUNTIF(T$4:T239,$Q240&amp;"|L|*")+1))</f>
        <v/>
      </c>
      <c r="U240" s="769" t="str">
        <f>IF($F240="","",13)</f>
        <v/>
      </c>
    </row>
    <row r="241" ht="16.5" customHeight="1" s="186">
      <c r="A241" s="760" t="n"/>
      <c r="B241" s="760" t="n"/>
      <c r="C241" s="762" t="n"/>
      <c r="D241" s="762" t="n"/>
      <c r="E241" s="775" t="n"/>
      <c r="F241" s="821" t="n"/>
      <c r="G241" s="821" t="n"/>
      <c r="H241" s="818">
        <f>IF(G241=1,F241-I241-J241-K241,IF(G241=2,F241,0))</f>
        <v>0</v>
      </c>
      <c r="I241" s="818">
        <f>ROUND(IF(G241=1,F241*10/23,IF(G241=3,F241-J241-K241,IF(G241=4,F241,IF(G241=5,F241*10/11,IF(G241=7,F241*10/11,0))))),0)</f>
        <v>0</v>
      </c>
      <c r="J241" s="818">
        <f>ROUND(IF(G241=1,F241/23,IF(G241=3,F241/12,IF(G241=5,F241-I241,IF(G241=8,F241,0)))),0)</f>
        <v>0</v>
      </c>
      <c r="K241" s="819">
        <f>ROUND(IF(G241=1,F241/23,IF(G241=3,F241/12,IF(G241=6,F241,IF(G241=7,F241-I241,0)))),0)</f>
        <v>0</v>
      </c>
      <c r="L241" s="820">
        <f>IF(G241=6,F241,0)</f>
        <v>0</v>
      </c>
      <c r="P241" s="768" t="n"/>
      <c r="Q241" s="769" t="str">
        <f>IF($F241="","",IFERROR(VLOOKUP($C241&amp;"|"&amp;$D241,科目表!$A$5:$B$200,2,FALSE),"※未登録"))</f>
        <v/>
      </c>
      <c r="R241" s="769" t="str">
        <f>IF($F241="","",$I241+$J241+$K241)</f>
        <v/>
      </c>
      <c r="S241" s="769" t="str">
        <f>IF(OR($F241="",$P241="支払なし",$H241=0,$Q241=""),"",$Q241&amp;"|S|"&amp;(COUNTIF(S$4:S240,$Q241&amp;"|S|*")+1))</f>
        <v/>
      </c>
      <c r="T241" s="769" t="str">
        <f>IF(OR($F241="",$P241="支払なし",$R241=0,$Q241=""),"",$Q241&amp;"|L|"&amp;(COUNTIF(T$4:T240,$Q241&amp;"|L|*")+1))</f>
        <v/>
      </c>
      <c r="U241" s="769" t="str">
        <f>IF($F241="","",13)</f>
        <v/>
      </c>
    </row>
    <row r="242" ht="16.5" customHeight="1" s="186">
      <c r="A242" s="760" t="n"/>
      <c r="B242" s="760" t="n"/>
      <c r="C242" s="762" t="n"/>
      <c r="D242" s="762" t="n"/>
      <c r="E242" s="775" t="n"/>
      <c r="F242" s="821" t="n"/>
      <c r="G242" s="821" t="n"/>
      <c r="H242" s="818">
        <f>IF(G242=1,F242-I242-J242-K242,IF(G242=2,F242,0))</f>
        <v>0</v>
      </c>
      <c r="I242" s="818">
        <f>ROUND(IF(G242=1,F242*10/23,IF(G242=3,F242-J242-K242,IF(G242=4,F242,IF(G242=5,F242*10/11,IF(G242=7,F242*10/11,0))))),0)</f>
        <v>0</v>
      </c>
      <c r="J242" s="818">
        <f>ROUND(IF(G242=1,F242/23,IF(G242=3,F242/12,IF(G242=5,F242-I242,IF(G242=8,F242,0)))),0)</f>
        <v>0</v>
      </c>
      <c r="K242" s="819">
        <f>ROUND(IF(G242=1,F242/23,IF(G242=3,F242/12,IF(G242=6,F242,IF(G242=7,F242-I242,0)))),0)</f>
        <v>0</v>
      </c>
      <c r="L242" s="820">
        <f>IF(G242=6,F242,0)</f>
        <v>0</v>
      </c>
      <c r="P242" s="768" t="n"/>
      <c r="Q242" s="769" t="str">
        <f>IF($F242="","",IFERROR(VLOOKUP($C242&amp;"|"&amp;$D242,科目表!$A$5:$B$200,2,FALSE),"※未登録"))</f>
        <v/>
      </c>
      <c r="R242" s="769" t="str">
        <f>IF($F242="","",$I242+$J242+$K242)</f>
        <v/>
      </c>
      <c r="S242" s="769" t="str">
        <f>IF(OR($F242="",$P242="支払なし",$H242=0,$Q242=""),"",$Q242&amp;"|S|"&amp;(COUNTIF(S$4:S241,$Q242&amp;"|S|*")+1))</f>
        <v/>
      </c>
      <c r="T242" s="769" t="str">
        <f>IF(OR($F242="",$P242="支払なし",$R242=0,$Q242=""),"",$Q242&amp;"|L|"&amp;(COUNTIF(T$4:T241,$Q242&amp;"|L|*")+1))</f>
        <v/>
      </c>
      <c r="U242" s="769" t="str">
        <f>IF($F242="","",13)</f>
        <v/>
      </c>
    </row>
    <row r="243" ht="16.5" customHeight="1" s="186">
      <c r="A243" s="760" t="n"/>
      <c r="B243" s="760" t="n"/>
      <c r="C243" s="762" t="n"/>
      <c r="D243" s="762" t="n"/>
      <c r="E243" s="775" t="n"/>
      <c r="F243" s="821" t="n"/>
      <c r="G243" s="821" t="n"/>
      <c r="H243" s="818">
        <f>IF(G243=1,F243-I243-J243-K243,IF(G243=2,F243,0))</f>
        <v>0</v>
      </c>
      <c r="I243" s="818">
        <f>ROUND(IF(G243=1,F243*10/23,IF(G243=3,F243-J243-K243,IF(G243=4,F243,IF(G243=5,F243*10/11,IF(G243=7,F243*10/11,0))))),0)</f>
        <v>0</v>
      </c>
      <c r="J243" s="818">
        <f>ROUND(IF(G243=1,F243/23,IF(G243=3,F243/12,IF(G243=5,F243-I243,IF(G243=8,F243,0)))),0)</f>
        <v>0</v>
      </c>
      <c r="K243" s="819">
        <f>ROUND(IF(G243=1,F243/23,IF(G243=3,F243/12,IF(G243=6,F243,IF(G243=7,F243-I243,0)))),0)</f>
        <v>0</v>
      </c>
      <c r="L243" s="820">
        <f>IF(G243=6,F243,0)</f>
        <v>0</v>
      </c>
      <c r="P243" s="768" t="n"/>
      <c r="Q243" s="769" t="str">
        <f>IF($F243="","",IFERROR(VLOOKUP($C243&amp;"|"&amp;$D243,科目表!$A$5:$B$200,2,FALSE),"※未登録"))</f>
        <v/>
      </c>
      <c r="R243" s="769" t="str">
        <f>IF($F243="","",$I243+$J243+$K243)</f>
        <v/>
      </c>
      <c r="S243" s="769" t="str">
        <f>IF(OR($F243="",$P243="支払なし",$H243=0,$Q243=""),"",$Q243&amp;"|S|"&amp;(COUNTIF(S$4:S242,$Q243&amp;"|S|*")+1))</f>
        <v/>
      </c>
      <c r="T243" s="769" t="str">
        <f>IF(OR($F243="",$P243="支払なし",$R243=0,$Q243=""),"",$Q243&amp;"|L|"&amp;(COUNTIF(T$4:T242,$Q243&amp;"|L|*")+1))</f>
        <v/>
      </c>
      <c r="U243" s="769" t="str">
        <f>IF($F243="","",13)</f>
        <v/>
      </c>
    </row>
    <row r="244" ht="16.5" customHeight="1" s="186">
      <c r="A244" s="760" t="n"/>
      <c r="B244" s="760" t="n"/>
      <c r="C244" s="762" t="n"/>
      <c r="D244" s="762" t="n"/>
      <c r="E244" s="775" t="n"/>
      <c r="F244" s="821" t="n"/>
      <c r="G244" s="821" t="n"/>
      <c r="H244" s="818">
        <f>IF(G244=1,F244-I244-J244-K244,IF(G244=2,F244,0))</f>
        <v>0</v>
      </c>
      <c r="I244" s="818">
        <f>ROUND(IF(G244=1,F244*10/23,IF(G244=3,F244-J244-K244,IF(G244=4,F244,IF(G244=5,F244*10/11,IF(G244=7,F244*10/11,0))))),0)</f>
        <v>0</v>
      </c>
      <c r="J244" s="818">
        <f>ROUND(IF(G244=1,F244/23,IF(G244=3,F244/12,IF(G244=5,F244-I244,IF(G244=8,F244,0)))),0)</f>
        <v>0</v>
      </c>
      <c r="K244" s="819">
        <f>ROUND(IF(G244=1,F244/23,IF(G244=3,F244/12,IF(G244=6,F244,IF(G244=7,F244-I244,0)))),0)</f>
        <v>0</v>
      </c>
      <c r="L244" s="820">
        <f>IF(G244=6,F244,0)</f>
        <v>0</v>
      </c>
      <c r="P244" s="768" t="n"/>
      <c r="Q244" s="769" t="str">
        <f>IF($F244="","",IFERROR(VLOOKUP($C244&amp;"|"&amp;$D244,科目表!$A$5:$B$200,2,FALSE),"※未登録"))</f>
        <v/>
      </c>
      <c r="R244" s="769" t="str">
        <f>IF($F244="","",$I244+$J244+$K244)</f>
        <v/>
      </c>
      <c r="S244" s="769" t="str">
        <f>IF(OR($F244="",$P244="支払なし",$H244=0,$Q244=""),"",$Q244&amp;"|S|"&amp;(COUNTIF(S$4:S243,$Q244&amp;"|S|*")+1))</f>
        <v/>
      </c>
      <c r="T244" s="769" t="str">
        <f>IF(OR($F244="",$P244="支払なし",$R244=0,$Q244=""),"",$Q244&amp;"|L|"&amp;(COUNTIF(T$4:T243,$Q244&amp;"|L|*")+1))</f>
        <v/>
      </c>
      <c r="U244" s="769" t="str">
        <f>IF($F244="","",13)</f>
        <v/>
      </c>
    </row>
    <row r="245" ht="16.5" customHeight="1" s="186">
      <c r="A245" s="760" t="n"/>
      <c r="B245" s="760" t="n"/>
      <c r="C245" s="762" t="n"/>
      <c r="D245" s="762" t="n"/>
      <c r="E245" s="775" t="n"/>
      <c r="F245" s="821" t="n"/>
      <c r="G245" s="821" t="n"/>
      <c r="H245" s="818">
        <f>IF(G245=1,F245-I245-J245-K245,IF(G245=2,F245,0))</f>
        <v>0</v>
      </c>
      <c r="I245" s="818">
        <f>ROUND(IF(G245=1,F245*10/23,IF(G245=3,F245-J245-K245,IF(G245=4,F245,IF(G245=5,F245*10/11,IF(G245=7,F245*10/11,0))))),0)</f>
        <v>0</v>
      </c>
      <c r="J245" s="818">
        <f>ROUND(IF(G245=1,F245/23,IF(G245=3,F245/12,IF(G245=5,F245-I245,IF(G245=8,F245,0)))),0)</f>
        <v>0</v>
      </c>
      <c r="K245" s="819">
        <f>ROUND(IF(G245=1,F245/23,IF(G245=3,F245/12,IF(G245=6,F245,IF(G245=7,F245-I245,0)))),0)</f>
        <v>0</v>
      </c>
      <c r="L245" s="820">
        <f>IF(G245=6,F245,0)</f>
        <v>0</v>
      </c>
      <c r="P245" s="768" t="n"/>
      <c r="Q245" s="769" t="str">
        <f>IF($F245="","",IFERROR(VLOOKUP($C245&amp;"|"&amp;$D245,科目表!$A$5:$B$200,2,FALSE),"※未登録"))</f>
        <v/>
      </c>
      <c r="R245" s="769" t="str">
        <f>IF($F245="","",$I245+$J245+$K245)</f>
        <v/>
      </c>
      <c r="S245" s="769" t="str">
        <f>IF(OR($F245="",$P245="支払なし",$H245=0,$Q245=""),"",$Q245&amp;"|S|"&amp;(COUNTIF(S$4:S244,$Q245&amp;"|S|*")+1))</f>
        <v/>
      </c>
      <c r="T245" s="769" t="str">
        <f>IF(OR($F245="",$P245="支払なし",$R245=0,$Q245=""),"",$Q245&amp;"|L|"&amp;(COUNTIF(T$4:T244,$Q245&amp;"|L|*")+1))</f>
        <v/>
      </c>
      <c r="U245" s="769" t="str">
        <f>IF($F245="","",13)</f>
        <v/>
      </c>
    </row>
    <row r="246" ht="16.5" customHeight="1" s="186">
      <c r="A246" s="760" t="n"/>
      <c r="B246" s="760" t="n"/>
      <c r="C246" s="762" t="n"/>
      <c r="D246" s="762" t="n"/>
      <c r="E246" s="775" t="n"/>
      <c r="F246" s="821" t="n"/>
      <c r="G246" s="821" t="n"/>
      <c r="H246" s="818">
        <f>IF(G246=1,F246-I246-J246-K246,IF(G246=2,F246,0))</f>
        <v>0</v>
      </c>
      <c r="I246" s="818">
        <f>ROUND(IF(G246=1,F246*10/23,IF(G246=3,F246-J246-K246,IF(G246=4,F246,IF(G246=5,F246*10/11,IF(G246=7,F246*10/11,0))))),0)</f>
        <v>0</v>
      </c>
      <c r="J246" s="818">
        <f>ROUND(IF(G246=1,F246/23,IF(G246=3,F246/12,IF(G246=5,F246-I246,IF(G246=8,F246,0)))),0)</f>
        <v>0</v>
      </c>
      <c r="K246" s="819">
        <f>ROUND(IF(G246=1,F246/23,IF(G246=3,F246/12,IF(G246=6,F246,IF(G246=7,F246-I246,0)))),0)</f>
        <v>0</v>
      </c>
      <c r="L246" s="820">
        <f>IF(G246=6,F246,0)</f>
        <v>0</v>
      </c>
      <c r="P246" s="768" t="n"/>
      <c r="Q246" s="769" t="str">
        <f>IF($F246="","",IFERROR(VLOOKUP($C246&amp;"|"&amp;$D246,科目表!$A$5:$B$200,2,FALSE),"※未登録"))</f>
        <v/>
      </c>
      <c r="R246" s="769" t="str">
        <f>IF($F246="","",$I246+$J246+$K246)</f>
        <v/>
      </c>
      <c r="S246" s="769" t="str">
        <f>IF(OR($F246="",$P246="支払なし",$H246=0,$Q246=""),"",$Q246&amp;"|S|"&amp;(COUNTIF(S$4:S245,$Q246&amp;"|S|*")+1))</f>
        <v/>
      </c>
      <c r="T246" s="769" t="str">
        <f>IF(OR($F246="",$P246="支払なし",$R246=0,$Q246=""),"",$Q246&amp;"|L|"&amp;(COUNTIF(T$4:T245,$Q246&amp;"|L|*")+1))</f>
        <v/>
      </c>
      <c r="U246" s="769" t="str">
        <f>IF($F246="","",13)</f>
        <v/>
      </c>
    </row>
    <row r="247" ht="16.5" customHeight="1" s="186">
      <c r="A247" s="760" t="n"/>
      <c r="B247" s="760" t="n"/>
      <c r="C247" s="762" t="n"/>
      <c r="D247" s="762" t="n"/>
      <c r="E247" s="775" t="n"/>
      <c r="F247" s="821" t="n"/>
      <c r="G247" s="821" t="n"/>
      <c r="H247" s="818">
        <f>IF(G247=1,F247-I247-J247-K247,IF(G247=2,F247,0))</f>
        <v>0</v>
      </c>
      <c r="I247" s="818">
        <f>ROUND(IF(G247=1,F247*10/23,IF(G247=3,F247-J247-K247,IF(G247=4,F247,IF(G247=5,F247*10/11,IF(G247=7,F247*10/11,0))))),0)</f>
        <v>0</v>
      </c>
      <c r="J247" s="818">
        <f>ROUND(IF(G247=1,F247/23,IF(G247=3,F247/12,IF(G247=5,F247-I247,IF(G247=8,F247,0)))),0)</f>
        <v>0</v>
      </c>
      <c r="K247" s="819">
        <f>ROUND(IF(G247=1,F247/23,IF(G247=3,F247/12,IF(G247=6,F247,IF(G247=7,F247-I247,0)))),0)</f>
        <v>0</v>
      </c>
      <c r="L247" s="820">
        <f>IF(G247=6,F247,0)</f>
        <v>0</v>
      </c>
      <c r="P247" s="768" t="n"/>
      <c r="Q247" s="769" t="str">
        <f>IF($F247="","",IFERROR(VLOOKUP($C247&amp;"|"&amp;$D247,科目表!$A$5:$B$200,2,FALSE),"※未登録"))</f>
        <v/>
      </c>
      <c r="R247" s="769" t="str">
        <f>IF($F247="","",$I247+$J247+$K247)</f>
        <v/>
      </c>
      <c r="S247" s="769" t="str">
        <f>IF(OR($F247="",$P247="支払なし",$H247=0,$Q247=""),"",$Q247&amp;"|S|"&amp;(COUNTIF(S$4:S246,$Q247&amp;"|S|*")+1))</f>
        <v/>
      </c>
      <c r="T247" s="769" t="str">
        <f>IF(OR($F247="",$P247="支払なし",$R247=0,$Q247=""),"",$Q247&amp;"|L|"&amp;(COUNTIF(T$4:T246,$Q247&amp;"|L|*")+1))</f>
        <v/>
      </c>
      <c r="U247" s="769" t="str">
        <f>IF($F247="","",13)</f>
        <v/>
      </c>
    </row>
    <row r="248" ht="16.5" customHeight="1" s="186">
      <c r="A248" s="760" t="n"/>
      <c r="B248" s="760" t="n"/>
      <c r="C248" s="762" t="n"/>
      <c r="D248" s="762" t="n"/>
      <c r="E248" s="775" t="n"/>
      <c r="F248" s="821" t="n"/>
      <c r="G248" s="821" t="n"/>
      <c r="H248" s="818">
        <f>IF(G248=1,F248-I248-J248-K248,IF(G248=2,F248,0))</f>
        <v>0</v>
      </c>
      <c r="I248" s="818">
        <f>ROUND(IF(G248=1,F248*10/23,IF(G248=3,F248-J248-K248,IF(G248=4,F248,IF(G248=5,F248*10/11,IF(G248=7,F248*10/11,0))))),0)</f>
        <v>0</v>
      </c>
      <c r="J248" s="818">
        <f>ROUND(IF(G248=1,F248/23,IF(G248=3,F248/12,IF(G248=5,F248-I248,IF(G248=8,F248,0)))),0)</f>
        <v>0</v>
      </c>
      <c r="K248" s="819">
        <f>ROUND(IF(G248=1,F248/23,IF(G248=3,F248/12,IF(G248=6,F248,IF(G248=7,F248-I248,0)))),0)</f>
        <v>0</v>
      </c>
      <c r="L248" s="820">
        <f>IF(G248=6,F248,0)</f>
        <v>0</v>
      </c>
      <c r="P248" s="768" t="n"/>
      <c r="Q248" s="769" t="str">
        <f>IF($F248="","",IFERROR(VLOOKUP($C248&amp;"|"&amp;$D248,科目表!$A$5:$B$200,2,FALSE),"※未登録"))</f>
        <v/>
      </c>
      <c r="R248" s="769" t="str">
        <f>IF($F248="","",$I248+$J248+$K248)</f>
        <v/>
      </c>
      <c r="S248" s="769" t="str">
        <f>IF(OR($F248="",$P248="支払なし",$H248=0,$Q248=""),"",$Q248&amp;"|S|"&amp;(COUNTIF(S$4:S247,$Q248&amp;"|S|*")+1))</f>
        <v/>
      </c>
      <c r="T248" s="769" t="str">
        <f>IF(OR($F248="",$P248="支払なし",$R248=0,$Q248=""),"",$Q248&amp;"|L|"&amp;(COUNTIF(T$4:T247,$Q248&amp;"|L|*")+1))</f>
        <v/>
      </c>
      <c r="U248" s="769" t="str">
        <f>IF($F248="","",13)</f>
        <v/>
      </c>
    </row>
    <row r="249" ht="16.5" customHeight="1" s="186">
      <c r="A249" s="760" t="n"/>
      <c r="B249" s="760" t="n"/>
      <c r="C249" s="762" t="n"/>
      <c r="D249" s="762" t="n"/>
      <c r="E249" s="775" t="n"/>
      <c r="F249" s="821" t="n"/>
      <c r="G249" s="821" t="n"/>
      <c r="H249" s="818">
        <f>IF(G249=1,F249-I249-J249-K249,IF(G249=2,F249,0))</f>
        <v>0</v>
      </c>
      <c r="I249" s="818">
        <f>ROUND(IF(G249=1,F249*10/23,IF(G249=3,F249-J249-K249,IF(G249=4,F249,IF(G249=5,F249*10/11,IF(G249=7,F249*10/11,0))))),0)</f>
        <v>0</v>
      </c>
      <c r="J249" s="818">
        <f>ROUND(IF(G249=1,F249/23,IF(G249=3,F249/12,IF(G249=5,F249-I249,IF(G249=8,F249,0)))),0)</f>
        <v>0</v>
      </c>
      <c r="K249" s="819">
        <f>ROUND(IF(G249=1,F249/23,IF(G249=3,F249/12,IF(G249=6,F249,IF(G249=7,F249-I249,0)))),0)</f>
        <v>0</v>
      </c>
      <c r="L249" s="820">
        <f>IF(G249=6,F249,0)</f>
        <v>0</v>
      </c>
      <c r="P249" s="768" t="n"/>
      <c r="Q249" s="769" t="str">
        <f>IF($F249="","",IFERROR(VLOOKUP($C249&amp;"|"&amp;$D249,科目表!$A$5:$B$200,2,FALSE),"※未登録"))</f>
        <v/>
      </c>
      <c r="R249" s="769" t="str">
        <f>IF($F249="","",$I249+$J249+$K249)</f>
        <v/>
      </c>
      <c r="S249" s="769" t="str">
        <f>IF(OR($F249="",$P249="支払なし",$H249=0,$Q249=""),"",$Q249&amp;"|S|"&amp;(COUNTIF(S$4:S248,$Q249&amp;"|S|*")+1))</f>
        <v/>
      </c>
      <c r="T249" s="769" t="str">
        <f>IF(OR($F249="",$P249="支払なし",$R249=0,$Q249=""),"",$Q249&amp;"|L|"&amp;(COUNTIF(T$4:T248,$Q249&amp;"|L|*")+1))</f>
        <v/>
      </c>
      <c r="U249" s="769" t="str">
        <f>IF($F249="","",13)</f>
        <v/>
      </c>
    </row>
    <row r="250" ht="16.5" customHeight="1" s="186">
      <c r="A250" s="760" t="n"/>
      <c r="B250" s="760" t="n"/>
      <c r="C250" s="762" t="n"/>
      <c r="D250" s="762" t="n"/>
      <c r="E250" s="775" t="n"/>
      <c r="F250" s="821" t="n"/>
      <c r="G250" s="821" t="n"/>
      <c r="H250" s="818">
        <f>IF(G250=1,F250-I250-J250-K250,IF(G250=2,F250,0))</f>
        <v>0</v>
      </c>
      <c r="I250" s="818">
        <f>ROUND(IF(G250=1,F250*10/23,IF(G250=3,F250-J250-K250,IF(G250=4,F250,IF(G250=5,F250*10/11,IF(G250=7,F250*10/11,0))))),0)</f>
        <v>0</v>
      </c>
      <c r="J250" s="818">
        <f>ROUND(IF(G250=1,F250/23,IF(G250=3,F250/12,IF(G250=5,F250-I250,IF(G250=8,F250,0)))),0)</f>
        <v>0</v>
      </c>
      <c r="K250" s="819">
        <f>ROUND(IF(G250=1,F250/23,IF(G250=3,F250/12,IF(G250=6,F250,IF(G250=7,F250-I250,0)))),0)</f>
        <v>0</v>
      </c>
      <c r="L250" s="820">
        <f>IF(G250=6,F250,0)</f>
        <v>0</v>
      </c>
      <c r="P250" s="768" t="n"/>
      <c r="Q250" s="769" t="str">
        <f>IF($F250="","",IFERROR(VLOOKUP($C250&amp;"|"&amp;$D250,科目表!$A$5:$B$200,2,FALSE),"※未登録"))</f>
        <v/>
      </c>
      <c r="R250" s="769" t="str">
        <f>IF($F250="","",$I250+$J250+$K250)</f>
        <v/>
      </c>
      <c r="S250" s="769" t="str">
        <f>IF(OR($F250="",$P250="支払なし",$H250=0,$Q250=""),"",$Q250&amp;"|S|"&amp;(COUNTIF(S$4:S249,$Q250&amp;"|S|*")+1))</f>
        <v/>
      </c>
      <c r="T250" s="769" t="str">
        <f>IF(OR($F250="",$P250="支払なし",$R250=0,$Q250=""),"",$Q250&amp;"|L|"&amp;(COUNTIF(T$4:T249,$Q250&amp;"|L|*")+1))</f>
        <v/>
      </c>
      <c r="U250" s="769" t="str">
        <f>IF($F250="","",13)</f>
        <v/>
      </c>
    </row>
    <row r="251" ht="16.5" customHeight="1" s="186">
      <c r="A251" s="760" t="n"/>
      <c r="B251" s="760" t="n"/>
      <c r="C251" s="762" t="n"/>
      <c r="D251" s="762" t="n"/>
      <c r="E251" s="775" t="n"/>
      <c r="F251" s="821" t="n"/>
      <c r="G251" s="821" t="n"/>
      <c r="H251" s="818">
        <f>IF(G251=1,F251-I251-J251-K251,IF(G251=2,F251,0))</f>
        <v>0</v>
      </c>
      <c r="I251" s="818">
        <f>ROUND(IF(G251=1,F251*10/23,IF(G251=3,F251-J251-K251,IF(G251=4,F251,IF(G251=5,F251*10/11,IF(G251=7,F251*10/11,0))))),0)</f>
        <v>0</v>
      </c>
      <c r="J251" s="818">
        <f>ROUND(IF(G251=1,F251/23,IF(G251=3,F251/12,IF(G251=5,F251-I251,IF(G251=8,F251,0)))),0)</f>
        <v>0</v>
      </c>
      <c r="K251" s="819">
        <f>ROUND(IF(G251=1,F251/23,IF(G251=3,F251/12,IF(G251=6,F251,IF(G251=7,F251-I251,0)))),0)</f>
        <v>0</v>
      </c>
      <c r="L251" s="820">
        <f>IF(G251=6,F251,0)</f>
        <v>0</v>
      </c>
      <c r="P251" s="768" t="n"/>
      <c r="Q251" s="769" t="str">
        <f>IF($F251="","",IFERROR(VLOOKUP($C251&amp;"|"&amp;$D251,科目表!$A$5:$B$200,2,FALSE),"※未登録"))</f>
        <v/>
      </c>
      <c r="R251" s="769" t="str">
        <f>IF($F251="","",$I251+$J251+$K251)</f>
        <v/>
      </c>
      <c r="S251" s="769" t="str">
        <f>IF(OR($F251="",$P251="支払なし",$H251=0,$Q251=""),"",$Q251&amp;"|S|"&amp;(COUNTIF(S$4:S250,$Q251&amp;"|S|*")+1))</f>
        <v/>
      </c>
      <c r="T251" s="769" t="str">
        <f>IF(OR($F251="",$P251="支払なし",$R251=0,$Q251=""),"",$Q251&amp;"|L|"&amp;(COUNTIF(T$4:T250,$Q251&amp;"|L|*")+1))</f>
        <v/>
      </c>
      <c r="U251" s="769" t="str">
        <f>IF($F251="","",13)</f>
        <v/>
      </c>
    </row>
    <row r="252" ht="16.5" customHeight="1" s="186">
      <c r="A252" s="760" t="n"/>
      <c r="B252" s="760" t="n"/>
      <c r="C252" s="762" t="n"/>
      <c r="D252" s="762" t="n"/>
      <c r="E252" s="775" t="n"/>
      <c r="F252" s="821" t="n"/>
      <c r="G252" s="821" t="n"/>
      <c r="H252" s="818">
        <f>IF(G252=1,F252-I252-J252-K252,IF(G252=2,F252,0))</f>
        <v>0</v>
      </c>
      <c r="I252" s="818">
        <f>ROUND(IF(G252=1,F252*10/23,IF(G252=3,F252-J252-K252,IF(G252=4,F252,IF(G252=5,F252*10/11,IF(G252=7,F252*10/11,0))))),0)</f>
        <v>0</v>
      </c>
      <c r="J252" s="818">
        <f>ROUND(IF(G252=1,F252/23,IF(G252=3,F252/12,IF(G252=5,F252-I252,IF(G252=8,F252,0)))),0)</f>
        <v>0</v>
      </c>
      <c r="K252" s="819">
        <f>ROUND(IF(G252=1,F252/23,IF(G252=3,F252/12,IF(G252=6,F252,IF(G252=7,F252-I252,0)))),0)</f>
        <v>0</v>
      </c>
      <c r="L252" s="820">
        <f>IF(G252=6,F252,0)</f>
        <v>0</v>
      </c>
      <c r="P252" s="768" t="n"/>
      <c r="Q252" s="769" t="str">
        <f>IF($F252="","",IFERROR(VLOOKUP($C252&amp;"|"&amp;$D252,科目表!$A$5:$B$200,2,FALSE),"※未登録"))</f>
        <v/>
      </c>
      <c r="R252" s="769" t="str">
        <f>IF($F252="","",$I252+$J252+$K252)</f>
        <v/>
      </c>
      <c r="S252" s="769" t="str">
        <f>IF(OR($F252="",$P252="支払なし",$H252=0,$Q252=""),"",$Q252&amp;"|S|"&amp;(COUNTIF(S$4:S251,$Q252&amp;"|S|*")+1))</f>
        <v/>
      </c>
      <c r="T252" s="769" t="str">
        <f>IF(OR($F252="",$P252="支払なし",$R252=0,$Q252=""),"",$Q252&amp;"|L|"&amp;(COUNTIF(T$4:T251,$Q252&amp;"|L|*")+1))</f>
        <v/>
      </c>
      <c r="U252" s="769" t="str">
        <f>IF($F252="","",13)</f>
        <v/>
      </c>
    </row>
    <row r="253" ht="16.5" customHeight="1" s="186">
      <c r="A253" s="760" t="n"/>
      <c r="B253" s="760" t="n"/>
      <c r="C253" s="762" t="n"/>
      <c r="D253" s="762" t="n"/>
      <c r="E253" s="775" t="n"/>
      <c r="F253" s="821" t="n"/>
      <c r="G253" s="821" t="n"/>
      <c r="H253" s="818">
        <f>IF(G253=1,F253-I253-J253-K253,IF(G253=2,F253,0))</f>
        <v>0</v>
      </c>
      <c r="I253" s="818">
        <f>ROUND(IF(G253=1,F253*10/23,IF(G253=3,F253-J253-K253,IF(G253=4,F253,IF(G253=5,F253*10/11,IF(G253=7,F253*10/11,0))))),0)</f>
        <v>0</v>
      </c>
      <c r="J253" s="818">
        <f>ROUND(IF(G253=1,F253/23,IF(G253=3,F253/12,IF(G253=5,F253-I253,IF(G253=8,F253,0)))),0)</f>
        <v>0</v>
      </c>
      <c r="K253" s="819">
        <f>ROUND(IF(G253=1,F253/23,IF(G253=3,F253/12,IF(G253=6,F253,IF(G253=7,F253-I253,0)))),0)</f>
        <v>0</v>
      </c>
      <c r="L253" s="820">
        <f>IF(G253=6,F253,0)</f>
        <v>0</v>
      </c>
      <c r="P253" s="768" t="n"/>
      <c r="Q253" s="769" t="str">
        <f>IF($F253="","",IFERROR(VLOOKUP($C253&amp;"|"&amp;$D253,科目表!$A$5:$B$200,2,FALSE),"※未登録"))</f>
        <v/>
      </c>
      <c r="R253" s="769" t="str">
        <f>IF($F253="","",$I253+$J253+$K253)</f>
        <v/>
      </c>
      <c r="S253" s="769" t="str">
        <f>IF(OR($F253="",$P253="支払なし",$H253=0,$Q253=""),"",$Q253&amp;"|S|"&amp;(COUNTIF(S$4:S252,$Q253&amp;"|S|*")+1))</f>
        <v/>
      </c>
      <c r="T253" s="769" t="str">
        <f>IF(OR($F253="",$P253="支払なし",$R253=0,$Q253=""),"",$Q253&amp;"|L|"&amp;(COUNTIF(T$4:T252,$Q253&amp;"|L|*")+1))</f>
        <v/>
      </c>
      <c r="U253" s="769" t="str">
        <f>IF($F253="","",13)</f>
        <v/>
      </c>
    </row>
    <row r="254" ht="16.5" customHeight="1" s="186">
      <c r="A254" s="760" t="n"/>
      <c r="B254" s="760" t="n"/>
      <c r="C254" s="762" t="n"/>
      <c r="D254" s="762" t="n"/>
      <c r="E254" s="775" t="n"/>
      <c r="F254" s="821" t="n"/>
      <c r="G254" s="821" t="n"/>
      <c r="H254" s="818">
        <f>IF(G254=1,F254-I254-J254-K254,IF(G254=2,F254,0))</f>
        <v>0</v>
      </c>
      <c r="I254" s="818">
        <f>ROUND(IF(G254=1,F254*10/23,IF(G254=3,F254-J254-K254,IF(G254=4,F254,IF(G254=5,F254*10/11,IF(G254=7,F254*10/11,0))))),0)</f>
        <v>0</v>
      </c>
      <c r="J254" s="818">
        <f>ROUND(IF(G254=1,F254/23,IF(G254=3,F254/12,IF(G254=5,F254-I254,IF(G254=8,F254,0)))),0)</f>
        <v>0</v>
      </c>
      <c r="K254" s="819">
        <f>ROUND(IF(G254=1,F254/23,IF(G254=3,F254/12,IF(G254=6,F254,IF(G254=7,F254-I254,0)))),0)</f>
        <v>0</v>
      </c>
      <c r="L254" s="820">
        <f>IF(G254=6,F254,0)</f>
        <v>0</v>
      </c>
      <c r="P254" s="768" t="n"/>
      <c r="Q254" s="769" t="str">
        <f>IF($F254="","",IFERROR(VLOOKUP($C254&amp;"|"&amp;$D254,科目表!$A$5:$B$200,2,FALSE),"※未登録"))</f>
        <v/>
      </c>
      <c r="R254" s="769" t="str">
        <f>IF($F254="","",$I254+$J254+$K254)</f>
        <v/>
      </c>
      <c r="S254" s="769" t="str">
        <f>IF(OR($F254="",$P254="支払なし",$H254=0,$Q254=""),"",$Q254&amp;"|S|"&amp;(COUNTIF(S$4:S253,$Q254&amp;"|S|*")+1))</f>
        <v/>
      </c>
      <c r="T254" s="769" t="str">
        <f>IF(OR($F254="",$P254="支払なし",$R254=0,$Q254=""),"",$Q254&amp;"|L|"&amp;(COUNTIF(T$4:T253,$Q254&amp;"|L|*")+1))</f>
        <v/>
      </c>
      <c r="U254" s="769" t="str">
        <f>IF($F254="","",13)</f>
        <v/>
      </c>
    </row>
    <row r="255" ht="16.5" customHeight="1" s="186">
      <c r="A255" s="760" t="n"/>
      <c r="B255" s="760" t="n"/>
      <c r="C255" s="762" t="n"/>
      <c r="D255" s="762" t="n"/>
      <c r="E255" s="775" t="n"/>
      <c r="F255" s="821" t="n"/>
      <c r="G255" s="821" t="n"/>
      <c r="H255" s="818">
        <f>IF(G255=1,F255-I255-J255-K255,IF(G255=2,F255,0))</f>
        <v>0</v>
      </c>
      <c r="I255" s="818">
        <f>ROUND(IF(G255=1,F255*10/23,IF(G255=3,F255-J255-K255,IF(G255=4,F255,IF(G255=5,F255*10/11,IF(G255=7,F255*10/11,0))))),0)</f>
        <v>0</v>
      </c>
      <c r="J255" s="818">
        <f>ROUND(IF(G255=1,F255/23,IF(G255=3,F255/12,IF(G255=5,F255-I255,IF(G255=8,F255,0)))),0)</f>
        <v>0</v>
      </c>
      <c r="K255" s="819">
        <f>ROUND(IF(G255=1,F255/23,IF(G255=3,F255/12,IF(G255=6,F255,IF(G255=7,F255-I255,0)))),0)</f>
        <v>0</v>
      </c>
      <c r="L255" s="820">
        <f>IF(G255=6,F255,0)</f>
        <v>0</v>
      </c>
      <c r="P255" s="768" t="n"/>
      <c r="Q255" s="769" t="str">
        <f>IF($F255="","",IFERROR(VLOOKUP($C255&amp;"|"&amp;$D255,科目表!$A$5:$B$200,2,FALSE),"※未登録"))</f>
        <v/>
      </c>
      <c r="R255" s="769" t="str">
        <f>IF($F255="","",$I255+$J255+$K255)</f>
        <v/>
      </c>
      <c r="S255" s="769" t="str">
        <f>IF(OR($F255="",$P255="支払なし",$H255=0,$Q255=""),"",$Q255&amp;"|S|"&amp;(COUNTIF(S$4:S254,$Q255&amp;"|S|*")+1))</f>
        <v/>
      </c>
      <c r="T255" s="769" t="str">
        <f>IF(OR($F255="",$P255="支払なし",$R255=0,$Q255=""),"",$Q255&amp;"|L|"&amp;(COUNTIF(T$4:T254,$Q255&amp;"|L|*")+1))</f>
        <v/>
      </c>
      <c r="U255" s="769" t="str">
        <f>IF($F255="","",13)</f>
        <v/>
      </c>
    </row>
    <row r="256" ht="16.5" customHeight="1" s="186">
      <c r="A256" s="760" t="n"/>
      <c r="B256" s="760" t="n"/>
      <c r="C256" s="762" t="n"/>
      <c r="D256" s="762" t="n"/>
      <c r="E256" s="775" t="n"/>
      <c r="F256" s="821" t="n"/>
      <c r="G256" s="821" t="n"/>
      <c r="H256" s="818">
        <f>IF(G256=1,F256-I256-J256-K256,IF(G256=2,F256,0))</f>
        <v>0</v>
      </c>
      <c r="I256" s="818">
        <f>ROUND(IF(G256=1,F256*10/23,IF(G256=3,F256-J256-K256,IF(G256=4,F256,IF(G256=5,F256*10/11,IF(G256=7,F256*10/11,0))))),0)</f>
        <v>0</v>
      </c>
      <c r="J256" s="818">
        <f>ROUND(IF(G256=1,F256/23,IF(G256=3,F256/12,IF(G256=5,F256-I256,IF(G256=8,F256,0)))),0)</f>
        <v>0</v>
      </c>
      <c r="K256" s="819">
        <f>ROUND(IF(G256=1,F256/23,IF(G256=3,F256/12,IF(G256=6,F256,IF(G256=7,F256-I256,0)))),0)</f>
        <v>0</v>
      </c>
      <c r="L256" s="820">
        <f>IF(G256=6,F256,0)</f>
        <v>0</v>
      </c>
      <c r="P256" s="768" t="n"/>
      <c r="Q256" s="769" t="str">
        <f>IF($F256="","",IFERROR(VLOOKUP($C256&amp;"|"&amp;$D256,科目表!$A$5:$B$200,2,FALSE),"※未登録"))</f>
        <v/>
      </c>
      <c r="R256" s="769" t="str">
        <f>IF($F256="","",$I256+$J256+$K256)</f>
        <v/>
      </c>
      <c r="S256" s="769" t="str">
        <f>IF(OR($F256="",$P256="支払なし",$H256=0,$Q256=""),"",$Q256&amp;"|S|"&amp;(COUNTIF(S$4:S255,$Q256&amp;"|S|*")+1))</f>
        <v/>
      </c>
      <c r="T256" s="769" t="str">
        <f>IF(OR($F256="",$P256="支払なし",$R256=0,$Q256=""),"",$Q256&amp;"|L|"&amp;(COUNTIF(T$4:T255,$Q256&amp;"|L|*")+1))</f>
        <v/>
      </c>
      <c r="U256" s="769" t="str">
        <f>IF($F256="","",13)</f>
        <v/>
      </c>
    </row>
    <row r="257" ht="16.5" customHeight="1" s="186">
      <c r="A257" s="760" t="n"/>
      <c r="B257" s="760" t="n"/>
      <c r="C257" s="762" t="n"/>
      <c r="D257" s="762" t="n"/>
      <c r="E257" s="775" t="n"/>
      <c r="F257" s="821" t="n"/>
      <c r="G257" s="821" t="n"/>
      <c r="H257" s="818">
        <f>IF(G257=1,F257-I257-J257-K257,IF(G257=2,F257,0))</f>
        <v>0</v>
      </c>
      <c r="I257" s="818">
        <f>ROUND(IF(G257=1,F257*10/23,IF(G257=3,F257-J257-K257,IF(G257=4,F257,IF(G257=5,F257*10/11,IF(G257=7,F257*10/11,0))))),0)</f>
        <v>0</v>
      </c>
      <c r="J257" s="818">
        <f>ROUND(IF(G257=1,F257/23,IF(G257=3,F257/12,IF(G257=5,F257-I257,IF(G257=8,F257,0)))),0)</f>
        <v>0</v>
      </c>
      <c r="K257" s="819">
        <f>ROUND(IF(G257=1,F257/23,IF(G257=3,F257/12,IF(G257=6,F257,IF(G257=7,F257-I257,0)))),0)</f>
        <v>0</v>
      </c>
      <c r="L257" s="820">
        <f>IF(G257=6,F257,0)</f>
        <v>0</v>
      </c>
      <c r="P257" s="768" t="n"/>
      <c r="Q257" s="769" t="str">
        <f>IF($F257="","",IFERROR(VLOOKUP($C257&amp;"|"&amp;$D257,科目表!$A$5:$B$200,2,FALSE),"※未登録"))</f>
        <v/>
      </c>
      <c r="R257" s="769" t="str">
        <f>IF($F257="","",$I257+$J257+$K257)</f>
        <v/>
      </c>
      <c r="S257" s="769" t="str">
        <f>IF(OR($F257="",$P257="支払なし",$H257=0,$Q257=""),"",$Q257&amp;"|S|"&amp;(COUNTIF(S$4:S256,$Q257&amp;"|S|*")+1))</f>
        <v/>
      </c>
      <c r="T257" s="769" t="str">
        <f>IF(OR($F257="",$P257="支払なし",$R257=0,$Q257=""),"",$Q257&amp;"|L|"&amp;(COUNTIF(T$4:T256,$Q257&amp;"|L|*")+1))</f>
        <v/>
      </c>
      <c r="U257" s="769" t="str">
        <f>IF($F257="","",13)</f>
        <v/>
      </c>
    </row>
    <row r="258" ht="16.5" customHeight="1" s="186">
      <c r="A258" s="760" t="n"/>
      <c r="B258" s="760" t="n"/>
      <c r="C258" s="762" t="n"/>
      <c r="D258" s="762" t="n"/>
      <c r="E258" s="775" t="n"/>
      <c r="F258" s="821" t="n"/>
      <c r="G258" s="821" t="n"/>
      <c r="H258" s="818">
        <f>IF(G258=1,F258-I258-J258-K258,IF(G258=2,F258,0))</f>
        <v>0</v>
      </c>
      <c r="I258" s="818">
        <f>ROUND(IF(G258=1,F258*10/23,IF(G258=3,F258-J258-K258,IF(G258=4,F258,IF(G258=5,F258*10/11,IF(G258=7,F258*10/11,0))))),0)</f>
        <v>0</v>
      </c>
      <c r="J258" s="818">
        <f>ROUND(IF(G258=1,F258/23,IF(G258=3,F258/12,IF(G258=5,F258-I258,IF(G258=8,F258,0)))),0)</f>
        <v>0</v>
      </c>
      <c r="K258" s="819">
        <f>ROUND(IF(G258=1,F258/23,IF(G258=3,F258/12,IF(G258=6,F258,IF(G258=7,F258-I258,0)))),0)</f>
        <v>0</v>
      </c>
      <c r="L258" s="820">
        <f>IF(G258=6,F258,0)</f>
        <v>0</v>
      </c>
      <c r="P258" s="768" t="n"/>
      <c r="Q258" s="769" t="str">
        <f>IF($F258="","",IFERROR(VLOOKUP($C258&amp;"|"&amp;$D258,科目表!$A$5:$B$200,2,FALSE),"※未登録"))</f>
        <v/>
      </c>
      <c r="R258" s="769" t="str">
        <f>IF($F258="","",$I258+$J258+$K258)</f>
        <v/>
      </c>
      <c r="S258" s="769" t="str">
        <f>IF(OR($F258="",$P258="支払なし",$H258=0,$Q258=""),"",$Q258&amp;"|S|"&amp;(COUNTIF(S$4:S257,$Q258&amp;"|S|*")+1))</f>
        <v/>
      </c>
      <c r="T258" s="769" t="str">
        <f>IF(OR($F258="",$P258="支払なし",$R258=0,$Q258=""),"",$Q258&amp;"|L|"&amp;(COUNTIF(T$4:T257,$Q258&amp;"|L|*")+1))</f>
        <v/>
      </c>
      <c r="U258" s="769" t="str">
        <f>IF($F258="","",13)</f>
        <v/>
      </c>
    </row>
    <row r="259" ht="16.5" customHeight="1" s="186">
      <c r="A259" s="760" t="n"/>
      <c r="B259" s="760" t="n"/>
      <c r="C259" s="762" t="n"/>
      <c r="D259" s="762" t="n"/>
      <c r="E259" s="775" t="n"/>
      <c r="F259" s="821" t="n"/>
      <c r="G259" s="821" t="n"/>
      <c r="H259" s="818">
        <f>IF(G259=1,F259-I259-J259-K259,IF(G259=2,F259,0))</f>
        <v>0</v>
      </c>
      <c r="I259" s="818">
        <f>ROUND(IF(G259=1,F259*10/23,IF(G259=3,F259-J259-K259,IF(G259=4,F259,IF(G259=5,F259*10/11,IF(G259=7,F259*10/11,0))))),0)</f>
        <v>0</v>
      </c>
      <c r="J259" s="818">
        <f>ROUND(IF(G259=1,F259/23,IF(G259=3,F259/12,IF(G259=5,F259-I259,IF(G259=8,F259,0)))),0)</f>
        <v>0</v>
      </c>
      <c r="K259" s="819">
        <f>ROUND(IF(G259=1,F259/23,IF(G259=3,F259/12,IF(G259=6,F259,IF(G259=7,F259-I259,0)))),0)</f>
        <v>0</v>
      </c>
      <c r="L259" s="820">
        <f>IF(G259=6,F259,0)</f>
        <v>0</v>
      </c>
      <c r="P259" s="768" t="n"/>
      <c r="Q259" s="769" t="str">
        <f>IF($F259="","",IFERROR(VLOOKUP($C259&amp;"|"&amp;$D259,科目表!$A$5:$B$200,2,FALSE),"※未登録"))</f>
        <v/>
      </c>
      <c r="R259" s="769" t="str">
        <f>IF($F259="","",$I259+$J259+$K259)</f>
        <v/>
      </c>
      <c r="S259" s="769" t="str">
        <f>IF(OR($F259="",$P259="支払なし",$H259=0,$Q259=""),"",$Q259&amp;"|S|"&amp;(COUNTIF(S$4:S258,$Q259&amp;"|S|*")+1))</f>
        <v/>
      </c>
      <c r="T259" s="769" t="str">
        <f>IF(OR($F259="",$P259="支払なし",$R259=0,$Q259=""),"",$Q259&amp;"|L|"&amp;(COUNTIF(T$4:T258,$Q259&amp;"|L|*")+1))</f>
        <v/>
      </c>
      <c r="U259" s="769" t="str">
        <f>IF($F259="","",13)</f>
        <v/>
      </c>
    </row>
    <row r="260" ht="16.5" customHeight="1" s="186">
      <c r="A260" s="760" t="n"/>
      <c r="B260" s="760" t="n"/>
      <c r="C260" s="762" t="n"/>
      <c r="D260" s="762" t="n"/>
      <c r="E260" s="775" t="n"/>
      <c r="F260" s="821" t="n"/>
      <c r="G260" s="821" t="n"/>
      <c r="H260" s="818">
        <f>IF(G260=1,F260-I260-J260-K260,IF(G260=2,F260,0))</f>
        <v>0</v>
      </c>
      <c r="I260" s="818">
        <f>ROUND(IF(G260=1,F260*10/23,IF(G260=3,F260-J260-K260,IF(G260=4,F260,IF(G260=5,F260*10/11,IF(G260=7,F260*10/11,0))))),0)</f>
        <v>0</v>
      </c>
      <c r="J260" s="818">
        <f>ROUND(IF(G260=1,F260/23,IF(G260=3,F260/12,IF(G260=5,F260-I260,IF(G260=8,F260,0)))),0)</f>
        <v>0</v>
      </c>
      <c r="K260" s="819">
        <f>ROUND(IF(G260=1,F260/23,IF(G260=3,F260/12,IF(G260=6,F260,IF(G260=7,F260-I260,0)))),0)</f>
        <v>0</v>
      </c>
      <c r="L260" s="820">
        <f>IF(G260=6,F260,0)</f>
        <v>0</v>
      </c>
      <c r="P260" s="768" t="n"/>
      <c r="Q260" s="769" t="str">
        <f>IF($F260="","",IFERROR(VLOOKUP($C260&amp;"|"&amp;$D260,科目表!$A$5:$B$200,2,FALSE),"※未登録"))</f>
        <v/>
      </c>
      <c r="R260" s="769" t="str">
        <f>IF($F260="","",$I260+$J260+$K260)</f>
        <v/>
      </c>
      <c r="S260" s="769" t="str">
        <f>IF(OR($F260="",$P260="支払なし",$H260=0,$Q260=""),"",$Q260&amp;"|S|"&amp;(COUNTIF(S$4:S259,$Q260&amp;"|S|*")+1))</f>
        <v/>
      </c>
      <c r="T260" s="769" t="str">
        <f>IF(OR($F260="",$P260="支払なし",$R260=0,$Q260=""),"",$Q260&amp;"|L|"&amp;(COUNTIF(T$4:T259,$Q260&amp;"|L|*")+1))</f>
        <v/>
      </c>
      <c r="U260" s="769" t="str">
        <f>IF($F260="","",13)</f>
        <v/>
      </c>
    </row>
    <row r="261" ht="16.5" customHeight="1" s="186">
      <c r="A261" s="760" t="n"/>
      <c r="B261" s="760" t="n"/>
      <c r="C261" s="762" t="n"/>
      <c r="D261" s="762" t="n"/>
      <c r="E261" s="775" t="n"/>
      <c r="F261" s="821" t="n"/>
      <c r="G261" s="821" t="n"/>
      <c r="H261" s="818">
        <f>IF(G261=1,F261-I261-J261-K261,IF(G261=2,F261,0))</f>
        <v>0</v>
      </c>
      <c r="I261" s="818">
        <f>ROUND(IF(G261=1,F261*10/23,IF(G261=3,F261-J261-K261,IF(G261=4,F261,IF(G261=5,F261*10/11,IF(G261=7,F261*10/11,0))))),0)</f>
        <v>0</v>
      </c>
      <c r="J261" s="818">
        <f>ROUND(IF(G261=1,F261/23,IF(G261=3,F261/12,IF(G261=5,F261-I261,IF(G261=8,F261,0)))),0)</f>
        <v>0</v>
      </c>
      <c r="K261" s="819">
        <f>ROUND(IF(G261=1,F261/23,IF(G261=3,F261/12,IF(G261=6,F261,IF(G261=7,F261-I261,0)))),0)</f>
        <v>0</v>
      </c>
      <c r="L261" s="820">
        <f>IF(G261=6,F261,0)</f>
        <v>0</v>
      </c>
      <c r="P261" s="768" t="n"/>
      <c r="Q261" s="769" t="str">
        <f>IF($F261="","",IFERROR(VLOOKUP($C261&amp;"|"&amp;$D261,科目表!$A$5:$B$200,2,FALSE),"※未登録"))</f>
        <v/>
      </c>
      <c r="R261" s="769" t="str">
        <f>IF($F261="","",$I261+$J261+$K261)</f>
        <v/>
      </c>
      <c r="S261" s="769" t="str">
        <f>IF(OR($F261="",$P261="支払なし",$H261=0,$Q261=""),"",$Q261&amp;"|S|"&amp;(COUNTIF(S$4:S260,$Q261&amp;"|S|*")+1))</f>
        <v/>
      </c>
      <c r="T261" s="769" t="str">
        <f>IF(OR($F261="",$P261="支払なし",$R261=0,$Q261=""),"",$Q261&amp;"|L|"&amp;(COUNTIF(T$4:T260,$Q261&amp;"|L|*")+1))</f>
        <v/>
      </c>
      <c r="U261" s="769" t="str">
        <f>IF($F261="","",13)</f>
        <v/>
      </c>
    </row>
    <row r="262" ht="16.5" customHeight="1" s="186">
      <c r="A262" s="760" t="n"/>
      <c r="B262" s="760" t="n"/>
      <c r="C262" s="762" t="n"/>
      <c r="D262" s="762" t="n"/>
      <c r="E262" s="775" t="n"/>
      <c r="F262" s="821" t="n"/>
      <c r="G262" s="821" t="n"/>
      <c r="H262" s="818">
        <f>IF(G262=1,F262-I262-J262-K262,IF(G262=2,F262,0))</f>
        <v>0</v>
      </c>
      <c r="I262" s="818">
        <f>ROUND(IF(G262=1,F262*10/23,IF(G262=3,F262-J262-K262,IF(G262=4,F262,IF(G262=5,F262*10/11,IF(G262=7,F262*10/11,0))))),0)</f>
        <v>0</v>
      </c>
      <c r="J262" s="818">
        <f>ROUND(IF(G262=1,F262/23,IF(G262=3,F262/12,IF(G262=5,F262-I262,IF(G262=8,F262,0)))),0)</f>
        <v>0</v>
      </c>
      <c r="K262" s="819">
        <f>ROUND(IF(G262=1,F262/23,IF(G262=3,F262/12,IF(G262=6,F262,IF(G262=7,F262-I262,0)))),0)</f>
        <v>0</v>
      </c>
      <c r="L262" s="820">
        <f>IF(G262=6,F262,0)</f>
        <v>0</v>
      </c>
      <c r="P262" s="768" t="n"/>
      <c r="Q262" s="769" t="str">
        <f>IF($F262="","",IFERROR(VLOOKUP($C262&amp;"|"&amp;$D262,科目表!$A$5:$B$200,2,FALSE),"※未登録"))</f>
        <v/>
      </c>
      <c r="R262" s="769" t="str">
        <f>IF($F262="","",$I262+$J262+$K262)</f>
        <v/>
      </c>
      <c r="S262" s="769" t="str">
        <f>IF(OR($F262="",$P262="支払なし",$H262=0,$Q262=""),"",$Q262&amp;"|S|"&amp;(COUNTIF(S$4:S261,$Q262&amp;"|S|*")+1))</f>
        <v/>
      </c>
      <c r="T262" s="769" t="str">
        <f>IF(OR($F262="",$P262="支払なし",$R262=0,$Q262=""),"",$Q262&amp;"|L|"&amp;(COUNTIF(T$4:T261,$Q262&amp;"|L|*")+1))</f>
        <v/>
      </c>
      <c r="U262" s="769" t="str">
        <f>IF($F262="","",13)</f>
        <v/>
      </c>
    </row>
    <row r="263" ht="16.5" customHeight="1" s="186">
      <c r="A263" s="760" t="n"/>
      <c r="B263" s="760" t="n"/>
      <c r="C263" s="762" t="n"/>
      <c r="D263" s="762" t="n"/>
      <c r="E263" s="775" t="n"/>
      <c r="F263" s="821" t="n"/>
      <c r="G263" s="821" t="n"/>
      <c r="H263" s="818">
        <f>IF(G263=1,F263-I263-J263-K263,IF(G263=2,F263,0))</f>
        <v>0</v>
      </c>
      <c r="I263" s="818">
        <f>ROUND(IF(G263=1,F263*10/23,IF(G263=3,F263-J263-K263,IF(G263=4,F263,IF(G263=5,F263*10/11,IF(G263=7,F263*10/11,0))))),0)</f>
        <v>0</v>
      </c>
      <c r="J263" s="818">
        <f>ROUND(IF(G263=1,F263/23,IF(G263=3,F263/12,IF(G263=5,F263-I263,IF(G263=8,F263,0)))),0)</f>
        <v>0</v>
      </c>
      <c r="K263" s="819">
        <f>ROUND(IF(G263=1,F263/23,IF(G263=3,F263/12,IF(G263=6,F263,IF(G263=7,F263-I263,0)))),0)</f>
        <v>0</v>
      </c>
      <c r="L263" s="820">
        <f>IF(G263=6,F263,0)</f>
        <v>0</v>
      </c>
      <c r="P263" s="768" t="n"/>
      <c r="Q263" s="769" t="str">
        <f>IF($F263="","",IFERROR(VLOOKUP($C263&amp;"|"&amp;$D263,科目表!$A$5:$B$200,2,FALSE),"※未登録"))</f>
        <v/>
      </c>
      <c r="R263" s="769" t="str">
        <f>IF($F263="","",$I263+$J263+$K263)</f>
        <v/>
      </c>
      <c r="S263" s="769" t="str">
        <f>IF(OR($F263="",$P263="支払なし",$H263=0,$Q263=""),"",$Q263&amp;"|S|"&amp;(COUNTIF(S$4:S262,$Q263&amp;"|S|*")+1))</f>
        <v/>
      </c>
      <c r="T263" s="769" t="str">
        <f>IF(OR($F263="",$P263="支払なし",$R263=0,$Q263=""),"",$Q263&amp;"|L|"&amp;(COUNTIF(T$4:T262,$Q263&amp;"|L|*")+1))</f>
        <v/>
      </c>
      <c r="U263" s="769" t="str">
        <f>IF($F263="","",13)</f>
        <v/>
      </c>
    </row>
    <row r="264" ht="16.5" customHeight="1" s="186">
      <c r="A264" s="760" t="n"/>
      <c r="B264" s="760" t="n"/>
      <c r="C264" s="762" t="n"/>
      <c r="D264" s="762" t="n"/>
      <c r="E264" s="775" t="n"/>
      <c r="F264" s="821" t="n"/>
      <c r="G264" s="821" t="n"/>
      <c r="H264" s="818">
        <f>IF(G264=1,F264-I264-J264-K264,IF(G264=2,F264,0))</f>
        <v>0</v>
      </c>
      <c r="I264" s="818">
        <f>ROUND(IF(G264=1,F264*10/23,IF(G264=3,F264-J264-K264,IF(G264=4,F264,IF(G264=5,F264*10/11,IF(G264=7,F264*10/11,0))))),0)</f>
        <v>0</v>
      </c>
      <c r="J264" s="818">
        <f>ROUND(IF(G264=1,F264/23,IF(G264=3,F264/12,IF(G264=5,F264-I264,IF(G264=8,F264,0)))),0)</f>
        <v>0</v>
      </c>
      <c r="K264" s="819">
        <f>ROUND(IF(G264=1,F264/23,IF(G264=3,F264/12,IF(G264=6,F264,IF(G264=7,F264-I264,0)))),0)</f>
        <v>0</v>
      </c>
      <c r="L264" s="820">
        <f>IF(G264=6,F264,0)</f>
        <v>0</v>
      </c>
      <c r="P264" s="768" t="n"/>
      <c r="Q264" s="769" t="str">
        <f>IF($F264="","",IFERROR(VLOOKUP($C264&amp;"|"&amp;$D264,科目表!$A$5:$B$200,2,FALSE),"※未登録"))</f>
        <v/>
      </c>
      <c r="R264" s="769" t="str">
        <f>IF($F264="","",$I264+$J264+$K264)</f>
        <v/>
      </c>
      <c r="S264" s="769" t="str">
        <f>IF(OR($F264="",$P264="支払なし",$H264=0,$Q264=""),"",$Q264&amp;"|S|"&amp;(COUNTIF(S$4:S263,$Q264&amp;"|S|*")+1))</f>
        <v/>
      </c>
      <c r="T264" s="769" t="str">
        <f>IF(OR($F264="",$P264="支払なし",$R264=0,$Q264=""),"",$Q264&amp;"|L|"&amp;(COUNTIF(T$4:T263,$Q264&amp;"|L|*")+1))</f>
        <v/>
      </c>
      <c r="U264" s="769" t="str">
        <f>IF($F264="","",13)</f>
        <v/>
      </c>
    </row>
    <row r="265" ht="16.5" customHeight="1" s="186">
      <c r="A265" s="760" t="n"/>
      <c r="B265" s="760" t="n"/>
      <c r="C265" s="762" t="n"/>
      <c r="D265" s="762" t="n"/>
      <c r="E265" s="775" t="n"/>
      <c r="F265" s="821" t="n"/>
      <c r="G265" s="821" t="n"/>
      <c r="H265" s="818">
        <f>IF(G265=1,F265-I265-J265-K265,IF(G265=2,F265,0))</f>
        <v>0</v>
      </c>
      <c r="I265" s="818">
        <f>ROUND(IF(G265=1,F265*10/23,IF(G265=3,F265-J265-K265,IF(G265=4,F265,IF(G265=5,F265*10/11,IF(G265=7,F265*10/11,0))))),0)</f>
        <v>0</v>
      </c>
      <c r="J265" s="818">
        <f>ROUND(IF(G265=1,F265/23,IF(G265=3,F265/12,IF(G265=5,F265-I265,IF(G265=8,F265,0)))),0)</f>
        <v>0</v>
      </c>
      <c r="K265" s="819">
        <f>ROUND(IF(G265=1,F265/23,IF(G265=3,F265/12,IF(G265=6,F265,IF(G265=7,F265-I265,0)))),0)</f>
        <v>0</v>
      </c>
      <c r="L265" s="820">
        <f>IF(G265=6,F265,0)</f>
        <v>0</v>
      </c>
      <c r="P265" s="768" t="n"/>
      <c r="Q265" s="769" t="str">
        <f>IF($F265="","",IFERROR(VLOOKUP($C265&amp;"|"&amp;$D265,科目表!$A$5:$B$200,2,FALSE),"※未登録"))</f>
        <v/>
      </c>
      <c r="R265" s="769" t="str">
        <f>IF($F265="","",$I265+$J265+$K265)</f>
        <v/>
      </c>
      <c r="S265" s="769" t="str">
        <f>IF(OR($F265="",$P265="支払なし",$H265=0,$Q265=""),"",$Q265&amp;"|S|"&amp;(COUNTIF(S$4:S264,$Q265&amp;"|S|*")+1))</f>
        <v/>
      </c>
      <c r="T265" s="769" t="str">
        <f>IF(OR($F265="",$P265="支払なし",$R265=0,$Q265=""),"",$Q265&amp;"|L|"&amp;(COUNTIF(T$4:T264,$Q265&amp;"|L|*")+1))</f>
        <v/>
      </c>
      <c r="U265" s="769" t="str">
        <f>IF($F265="","",13)</f>
        <v/>
      </c>
    </row>
    <row r="266" ht="16.5" customHeight="1" s="186">
      <c r="A266" s="760" t="n"/>
      <c r="B266" s="760" t="n"/>
      <c r="C266" s="762" t="n"/>
      <c r="D266" s="762" t="n"/>
      <c r="E266" s="775" t="n"/>
      <c r="F266" s="821" t="n"/>
      <c r="G266" s="821" t="n"/>
      <c r="H266" s="818">
        <f>IF(G266=1,F266-I266-J266-K266,IF(G266=2,F266,0))</f>
        <v>0</v>
      </c>
      <c r="I266" s="818">
        <f>ROUND(IF(G266=1,F266*10/23,IF(G266=3,F266-J266-K266,IF(G266=4,F266,IF(G266=5,F266*10/11,IF(G266=7,F266*10/11,0))))),0)</f>
        <v>0</v>
      </c>
      <c r="J266" s="818">
        <f>ROUND(IF(G266=1,F266/23,IF(G266=3,F266/12,IF(G266=5,F266-I266,IF(G266=8,F266,0)))),0)</f>
        <v>0</v>
      </c>
      <c r="K266" s="819">
        <f>ROUND(IF(G266=1,F266/23,IF(G266=3,F266/12,IF(G266=6,F266,IF(G266=7,F266-I266,0)))),0)</f>
        <v>0</v>
      </c>
      <c r="L266" s="820">
        <f>IF(G266=6,F266,0)</f>
        <v>0</v>
      </c>
      <c r="P266" s="768" t="n"/>
      <c r="Q266" s="769" t="str">
        <f>IF($F266="","",IFERROR(VLOOKUP($C266&amp;"|"&amp;$D266,科目表!$A$5:$B$200,2,FALSE),"※未登録"))</f>
        <v/>
      </c>
      <c r="R266" s="769" t="str">
        <f>IF($F266="","",$I266+$J266+$K266)</f>
        <v/>
      </c>
      <c r="S266" s="769" t="str">
        <f>IF(OR($F266="",$P266="支払なし",$H266=0,$Q266=""),"",$Q266&amp;"|S|"&amp;(COUNTIF(S$4:S265,$Q266&amp;"|S|*")+1))</f>
        <v/>
      </c>
      <c r="T266" s="769" t="str">
        <f>IF(OR($F266="",$P266="支払なし",$R266=0,$Q266=""),"",$Q266&amp;"|L|"&amp;(COUNTIF(T$4:T265,$Q266&amp;"|L|*")+1))</f>
        <v/>
      </c>
      <c r="U266" s="769" t="str">
        <f>IF($F266="","",13)</f>
        <v/>
      </c>
    </row>
    <row r="267" ht="16.5" customHeight="1" s="186">
      <c r="A267" s="760" t="n"/>
      <c r="B267" s="760" t="n"/>
      <c r="C267" s="762" t="n"/>
      <c r="D267" s="762" t="n"/>
      <c r="E267" s="775" t="n"/>
      <c r="F267" s="821" t="n"/>
      <c r="G267" s="821" t="n"/>
      <c r="H267" s="818">
        <f>IF(G267=1,F267-I267-J267-K267,IF(G267=2,F267,0))</f>
        <v>0</v>
      </c>
      <c r="I267" s="818">
        <f>ROUND(IF(G267=1,F267*10/23,IF(G267=3,F267-J267-K267,IF(G267=4,F267,IF(G267=5,F267*10/11,IF(G267=7,F267*10/11,0))))),0)</f>
        <v>0</v>
      </c>
      <c r="J267" s="818">
        <f>ROUND(IF(G267=1,F267/23,IF(G267=3,F267/12,IF(G267=5,F267-I267,IF(G267=8,F267,0)))),0)</f>
        <v>0</v>
      </c>
      <c r="K267" s="819">
        <f>ROUND(IF(G267=1,F267/23,IF(G267=3,F267/12,IF(G267=6,F267,IF(G267=7,F267-I267,0)))),0)</f>
        <v>0</v>
      </c>
      <c r="L267" s="820">
        <f>IF(G267=6,F267,0)</f>
        <v>0</v>
      </c>
      <c r="P267" s="768" t="n"/>
      <c r="Q267" s="769" t="str">
        <f>IF($F267="","",IFERROR(VLOOKUP($C267&amp;"|"&amp;$D267,科目表!$A$5:$B$200,2,FALSE),"※未登録"))</f>
        <v/>
      </c>
      <c r="R267" s="769" t="str">
        <f>IF($F267="","",$I267+$J267+$K267)</f>
        <v/>
      </c>
      <c r="S267" s="769" t="str">
        <f>IF(OR($F267="",$P267="支払なし",$H267=0,$Q267=""),"",$Q267&amp;"|S|"&amp;(COUNTIF(S$4:S266,$Q267&amp;"|S|*")+1))</f>
        <v/>
      </c>
      <c r="T267" s="769" t="str">
        <f>IF(OR($F267="",$P267="支払なし",$R267=0,$Q267=""),"",$Q267&amp;"|L|"&amp;(COUNTIF(T$4:T266,$Q267&amp;"|L|*")+1))</f>
        <v/>
      </c>
      <c r="U267" s="769" t="str">
        <f>IF($F267="","",13)</f>
        <v/>
      </c>
    </row>
    <row r="268" ht="16.5" customHeight="1" s="186">
      <c r="A268" s="760" t="n"/>
      <c r="B268" s="760" t="n"/>
      <c r="C268" s="762" t="n"/>
      <c r="D268" s="762" t="n"/>
      <c r="E268" s="775" t="n"/>
      <c r="F268" s="821" t="n"/>
      <c r="G268" s="821" t="n"/>
      <c r="H268" s="818">
        <f>IF(G268=1,F268-I268-J268-K268,IF(G268=2,F268,0))</f>
        <v>0</v>
      </c>
      <c r="I268" s="818">
        <f>ROUND(IF(G268=1,F268*10/23,IF(G268=3,F268-J268-K268,IF(G268=4,F268,IF(G268=5,F268*10/11,IF(G268=7,F268*10/11,0))))),0)</f>
        <v>0</v>
      </c>
      <c r="J268" s="818">
        <f>ROUND(IF(G268=1,F268/23,IF(G268=3,F268/12,IF(G268=5,F268-I268,IF(G268=8,F268,0)))),0)</f>
        <v>0</v>
      </c>
      <c r="K268" s="819">
        <f>ROUND(IF(G268=1,F268/23,IF(G268=3,F268/12,IF(G268=6,F268,IF(G268=7,F268-I268,0)))),0)</f>
        <v>0</v>
      </c>
      <c r="L268" s="820">
        <f>IF(G268=6,F268,0)</f>
        <v>0</v>
      </c>
      <c r="P268" s="768" t="n"/>
      <c r="Q268" s="769" t="str">
        <f>IF($F268="","",IFERROR(VLOOKUP($C268&amp;"|"&amp;$D268,科目表!$A$5:$B$200,2,FALSE),"※未登録"))</f>
        <v/>
      </c>
      <c r="R268" s="769" t="str">
        <f>IF($F268="","",$I268+$J268+$K268)</f>
        <v/>
      </c>
      <c r="S268" s="769" t="str">
        <f>IF(OR($F268="",$P268="支払なし",$H268=0,$Q268=""),"",$Q268&amp;"|S|"&amp;(COUNTIF(S$4:S267,$Q268&amp;"|S|*")+1))</f>
        <v/>
      </c>
      <c r="T268" s="769" t="str">
        <f>IF(OR($F268="",$P268="支払なし",$R268=0,$Q268=""),"",$Q268&amp;"|L|"&amp;(COUNTIF(T$4:T267,$Q268&amp;"|L|*")+1))</f>
        <v/>
      </c>
      <c r="U268" s="769" t="str">
        <f>IF($F268="","",13)</f>
        <v/>
      </c>
    </row>
    <row r="269" ht="16.5" customHeight="1" s="186">
      <c r="A269" s="760" t="n"/>
      <c r="B269" s="760" t="n"/>
      <c r="C269" s="762" t="n"/>
      <c r="D269" s="762" t="n"/>
      <c r="E269" s="775" t="n"/>
      <c r="F269" s="821" t="n"/>
      <c r="G269" s="821" t="n"/>
      <c r="H269" s="818">
        <f>IF(G269=1,F269-I269-J269-K269,IF(G269=2,F269,0))</f>
        <v>0</v>
      </c>
      <c r="I269" s="818">
        <f>ROUND(IF(G269=1,F269*10/23,IF(G269=3,F269-J269-K269,IF(G269=4,F269,IF(G269=5,F269*10/11,IF(G269=7,F269*10/11,0))))),0)</f>
        <v>0</v>
      </c>
      <c r="J269" s="818">
        <f>ROUND(IF(G269=1,F269/23,IF(G269=3,F269/12,IF(G269=5,F269-I269,IF(G269=8,F269,0)))),0)</f>
        <v>0</v>
      </c>
      <c r="K269" s="819">
        <f>ROUND(IF(G269=1,F269/23,IF(G269=3,F269/12,IF(G269=6,F269,IF(G269=7,F269-I269,0)))),0)</f>
        <v>0</v>
      </c>
      <c r="L269" s="820">
        <f>IF(G269=6,F269,0)</f>
        <v>0</v>
      </c>
      <c r="P269" s="768" t="n"/>
      <c r="Q269" s="769" t="str">
        <f>IF($F269="","",IFERROR(VLOOKUP($C269&amp;"|"&amp;$D269,科目表!$A$5:$B$200,2,FALSE),"※未登録"))</f>
        <v/>
      </c>
      <c r="R269" s="769" t="str">
        <f>IF($F269="","",$I269+$J269+$K269)</f>
        <v/>
      </c>
      <c r="S269" s="769" t="str">
        <f>IF(OR($F269="",$P269="支払なし",$H269=0,$Q269=""),"",$Q269&amp;"|S|"&amp;(COUNTIF(S$4:S268,$Q269&amp;"|S|*")+1))</f>
        <v/>
      </c>
      <c r="T269" s="769" t="str">
        <f>IF(OR($F269="",$P269="支払なし",$R269=0,$Q269=""),"",$Q269&amp;"|L|"&amp;(COUNTIF(T$4:T268,$Q269&amp;"|L|*")+1))</f>
        <v/>
      </c>
      <c r="U269" s="769" t="str">
        <f>IF($F269="","",13)</f>
        <v/>
      </c>
    </row>
    <row r="270" ht="16.5" customHeight="1" s="186">
      <c r="A270" s="760" t="n"/>
      <c r="B270" s="760" t="n"/>
      <c r="C270" s="762" t="n"/>
      <c r="D270" s="762" t="n"/>
      <c r="E270" s="775" t="n"/>
      <c r="F270" s="821" t="n"/>
      <c r="G270" s="821" t="n"/>
      <c r="H270" s="818">
        <f>IF(G270=1,F270-I270-J270-K270,IF(G270=2,F270,0))</f>
        <v>0</v>
      </c>
      <c r="I270" s="818">
        <f>ROUND(IF(G270=1,F270*10/23,IF(G270=3,F270-J270-K270,IF(G270=4,F270,IF(G270=5,F270*10/11,IF(G270=7,F270*10/11,0))))),0)</f>
        <v>0</v>
      </c>
      <c r="J270" s="818">
        <f>ROUND(IF(G270=1,F270/23,IF(G270=3,F270/12,IF(G270=5,F270-I270,IF(G270=8,F270,0)))),0)</f>
        <v>0</v>
      </c>
      <c r="K270" s="819">
        <f>ROUND(IF(G270=1,F270/23,IF(G270=3,F270/12,IF(G270=6,F270,IF(G270=7,F270-I270,0)))),0)</f>
        <v>0</v>
      </c>
      <c r="L270" s="820">
        <f>IF(G270=6,F270,0)</f>
        <v>0</v>
      </c>
      <c r="P270" s="768" t="n"/>
      <c r="Q270" s="769" t="str">
        <f>IF($F270="","",IFERROR(VLOOKUP($C270&amp;"|"&amp;$D270,科目表!$A$5:$B$200,2,FALSE),"※未登録"))</f>
        <v/>
      </c>
      <c r="R270" s="769" t="str">
        <f>IF($F270="","",$I270+$J270+$K270)</f>
        <v/>
      </c>
      <c r="S270" s="769" t="str">
        <f>IF(OR($F270="",$P270="支払なし",$H270=0,$Q270=""),"",$Q270&amp;"|S|"&amp;(COUNTIF(S$4:S269,$Q270&amp;"|S|*")+1))</f>
        <v/>
      </c>
      <c r="T270" s="769" t="str">
        <f>IF(OR($F270="",$P270="支払なし",$R270=0,$Q270=""),"",$Q270&amp;"|L|"&amp;(COUNTIF(T$4:T269,$Q270&amp;"|L|*")+1))</f>
        <v/>
      </c>
      <c r="U270" s="769" t="str">
        <f>IF($F270="","",13)</f>
        <v/>
      </c>
    </row>
    <row r="271" ht="16.5" customHeight="1" s="186">
      <c r="A271" s="760" t="n"/>
      <c r="B271" s="760" t="n"/>
      <c r="C271" s="762" t="n"/>
      <c r="D271" s="762" t="n"/>
      <c r="E271" s="775" t="n"/>
      <c r="F271" s="821" t="n"/>
      <c r="G271" s="821" t="n"/>
      <c r="H271" s="818">
        <f>IF(G271=1,F271-I271-J271-K271,IF(G271=2,F271,0))</f>
        <v>0</v>
      </c>
      <c r="I271" s="818">
        <f>ROUND(IF(G271=1,F271*10/23,IF(G271=3,F271-J271-K271,IF(G271=4,F271,IF(G271=5,F271*10/11,IF(G271=7,F271*10/11,0))))),0)</f>
        <v>0</v>
      </c>
      <c r="J271" s="818">
        <f>ROUND(IF(G271=1,F271/23,IF(G271=3,F271/12,IF(G271=5,F271-I271,IF(G271=8,F271,0)))),0)</f>
        <v>0</v>
      </c>
      <c r="K271" s="819">
        <f>ROUND(IF(G271=1,F271/23,IF(G271=3,F271/12,IF(G271=6,F271,IF(G271=7,F271-I271,0)))),0)</f>
        <v>0</v>
      </c>
      <c r="L271" s="820">
        <f>IF(G271=6,F271,0)</f>
        <v>0</v>
      </c>
      <c r="P271" s="768" t="n"/>
      <c r="Q271" s="769" t="str">
        <f>IF($F271="","",IFERROR(VLOOKUP($C271&amp;"|"&amp;$D271,科目表!$A$5:$B$200,2,FALSE),"※未登録"))</f>
        <v/>
      </c>
      <c r="R271" s="769" t="str">
        <f>IF($F271="","",$I271+$J271+$K271)</f>
        <v/>
      </c>
      <c r="S271" s="769" t="str">
        <f>IF(OR($F271="",$P271="支払なし",$H271=0,$Q271=""),"",$Q271&amp;"|S|"&amp;(COUNTIF(S$4:S270,$Q271&amp;"|S|*")+1))</f>
        <v/>
      </c>
      <c r="T271" s="769" t="str">
        <f>IF(OR($F271="",$P271="支払なし",$R271=0,$Q271=""),"",$Q271&amp;"|L|"&amp;(COUNTIF(T$4:T270,$Q271&amp;"|L|*")+1))</f>
        <v/>
      </c>
      <c r="U271" s="769" t="str">
        <f>IF($F271="","",13)</f>
        <v/>
      </c>
    </row>
    <row r="272" ht="16.5" customHeight="1" s="186">
      <c r="A272" s="760" t="n"/>
      <c r="B272" s="760" t="n"/>
      <c r="C272" s="762" t="n"/>
      <c r="D272" s="762" t="n"/>
      <c r="E272" s="775" t="n"/>
      <c r="F272" s="821" t="n"/>
      <c r="G272" s="821" t="n"/>
      <c r="H272" s="818">
        <f>IF(G272=1,F272-I272-J272-K272,IF(G272=2,F272,0))</f>
        <v>0</v>
      </c>
      <c r="I272" s="818">
        <f>ROUND(IF(G272=1,F272*10/23,IF(G272=3,F272-J272-K272,IF(G272=4,F272,IF(G272=5,F272*10/11,IF(G272=7,F272*10/11,0))))),0)</f>
        <v>0</v>
      </c>
      <c r="J272" s="818">
        <f>ROUND(IF(G272=1,F272/23,IF(G272=3,F272/12,IF(G272=5,F272-I272,IF(G272=8,F272,0)))),0)</f>
        <v>0</v>
      </c>
      <c r="K272" s="819">
        <f>ROUND(IF(G272=1,F272/23,IF(G272=3,F272/12,IF(G272=6,F272,IF(G272=7,F272-I272,0)))),0)</f>
        <v>0</v>
      </c>
      <c r="L272" s="820">
        <f>IF(G272=6,F272,0)</f>
        <v>0</v>
      </c>
      <c r="P272" s="768" t="n"/>
      <c r="Q272" s="769" t="str">
        <f>IF($F272="","",IFERROR(VLOOKUP($C272&amp;"|"&amp;$D272,科目表!$A$5:$B$200,2,FALSE),"※未登録"))</f>
        <v/>
      </c>
      <c r="R272" s="769" t="str">
        <f>IF($F272="","",$I272+$J272+$K272)</f>
        <v/>
      </c>
      <c r="S272" s="769" t="str">
        <f>IF(OR($F272="",$P272="支払なし",$H272=0,$Q272=""),"",$Q272&amp;"|S|"&amp;(COUNTIF(S$4:S271,$Q272&amp;"|S|*")+1))</f>
        <v/>
      </c>
      <c r="T272" s="769" t="str">
        <f>IF(OR($F272="",$P272="支払なし",$R272=0,$Q272=""),"",$Q272&amp;"|L|"&amp;(COUNTIF(T$4:T271,$Q272&amp;"|L|*")+1))</f>
        <v/>
      </c>
      <c r="U272" s="769" t="str">
        <f>IF($F272="","",13)</f>
        <v/>
      </c>
    </row>
    <row r="273" ht="16.5" customHeight="1" s="186">
      <c r="A273" s="760" t="n"/>
      <c r="B273" s="760" t="n"/>
      <c r="C273" s="762" t="n"/>
      <c r="D273" s="762" t="n"/>
      <c r="E273" s="775" t="n"/>
      <c r="F273" s="821" t="n"/>
      <c r="G273" s="821" t="n"/>
      <c r="H273" s="818">
        <f>IF(G273=1,F273-I273-J273-K273,IF(G273=2,F273,0))</f>
        <v>0</v>
      </c>
      <c r="I273" s="818">
        <f>ROUND(IF(G273=1,F273*10/23,IF(G273=3,F273-J273-K273,IF(G273=4,F273,IF(G273=5,F273*10/11,IF(G273=7,F273*10/11,0))))),0)</f>
        <v>0</v>
      </c>
      <c r="J273" s="818">
        <f>ROUND(IF(G273=1,F273/23,IF(G273=3,F273/12,IF(G273=5,F273-I273,IF(G273=8,F273,0)))),0)</f>
        <v>0</v>
      </c>
      <c r="K273" s="819">
        <f>ROUND(IF(G273=1,F273/23,IF(G273=3,F273/12,IF(G273=6,F273,IF(G273=7,F273-I273,0)))),0)</f>
        <v>0</v>
      </c>
      <c r="L273" s="820">
        <f>IF(G273=6,F273,0)</f>
        <v>0</v>
      </c>
      <c r="P273" s="768" t="n"/>
      <c r="Q273" s="769" t="str">
        <f>IF($F273="","",IFERROR(VLOOKUP($C273&amp;"|"&amp;$D273,科目表!$A$5:$B$200,2,FALSE),"※未登録"))</f>
        <v/>
      </c>
      <c r="R273" s="769" t="str">
        <f>IF($F273="","",$I273+$J273+$K273)</f>
        <v/>
      </c>
      <c r="S273" s="769" t="str">
        <f>IF(OR($F273="",$P273="支払なし",$H273=0,$Q273=""),"",$Q273&amp;"|S|"&amp;(COUNTIF(S$4:S272,$Q273&amp;"|S|*")+1))</f>
        <v/>
      </c>
      <c r="T273" s="769" t="str">
        <f>IF(OR($F273="",$P273="支払なし",$R273=0,$Q273=""),"",$Q273&amp;"|L|"&amp;(COUNTIF(T$4:T272,$Q273&amp;"|L|*")+1))</f>
        <v/>
      </c>
      <c r="U273" s="769" t="str">
        <f>IF($F273="","",13)</f>
        <v/>
      </c>
    </row>
    <row r="274" ht="16.5" customHeight="1" s="186">
      <c r="A274" s="760" t="n"/>
      <c r="B274" s="760" t="n"/>
      <c r="C274" s="762" t="n"/>
      <c r="D274" s="762" t="n"/>
      <c r="E274" s="775" t="n"/>
      <c r="F274" s="821" t="n"/>
      <c r="G274" s="821" t="n"/>
      <c r="H274" s="818">
        <f>IF(G274=1,F274-I274-J274-K274,IF(G274=2,F274,0))</f>
        <v>0</v>
      </c>
      <c r="I274" s="818">
        <f>ROUND(IF(G274=1,F274*10/23,IF(G274=3,F274-J274-K274,IF(G274=4,F274,IF(G274=5,F274*10/11,IF(G274=7,F274*10/11,0))))),0)</f>
        <v>0</v>
      </c>
      <c r="J274" s="818">
        <f>ROUND(IF(G274=1,F274/23,IF(G274=3,F274/12,IF(G274=5,F274-I274,IF(G274=8,F274,0)))),0)</f>
        <v>0</v>
      </c>
      <c r="K274" s="819">
        <f>ROUND(IF(G274=1,F274/23,IF(G274=3,F274/12,IF(G274=6,F274,IF(G274=7,F274-I274,0)))),0)</f>
        <v>0</v>
      </c>
      <c r="L274" s="820">
        <f>IF(G274=6,F274,0)</f>
        <v>0</v>
      </c>
      <c r="P274" s="768" t="n"/>
      <c r="Q274" s="769" t="str">
        <f>IF($F274="","",IFERROR(VLOOKUP($C274&amp;"|"&amp;$D274,科目表!$A$5:$B$200,2,FALSE),"※未登録"))</f>
        <v/>
      </c>
      <c r="R274" s="769" t="str">
        <f>IF($F274="","",$I274+$J274+$K274)</f>
        <v/>
      </c>
      <c r="S274" s="769" t="str">
        <f>IF(OR($F274="",$P274="支払なし",$H274=0,$Q274=""),"",$Q274&amp;"|S|"&amp;(COUNTIF(S$4:S273,$Q274&amp;"|S|*")+1))</f>
        <v/>
      </c>
      <c r="T274" s="769" t="str">
        <f>IF(OR($F274="",$P274="支払なし",$R274=0,$Q274=""),"",$Q274&amp;"|L|"&amp;(COUNTIF(T$4:T273,$Q274&amp;"|L|*")+1))</f>
        <v/>
      </c>
      <c r="U274" s="769" t="str">
        <f>IF($F274="","",13)</f>
        <v/>
      </c>
    </row>
    <row r="275" ht="16.5" customHeight="1" s="186">
      <c r="A275" s="760" t="n"/>
      <c r="B275" s="760" t="n"/>
      <c r="C275" s="762" t="n"/>
      <c r="D275" s="762" t="n"/>
      <c r="E275" s="775" t="n"/>
      <c r="F275" s="821" t="n"/>
      <c r="G275" s="821" t="n"/>
      <c r="H275" s="818">
        <f>IF(G275=1,F275-I275-J275-K275,IF(G275=2,F275,0))</f>
        <v>0</v>
      </c>
      <c r="I275" s="818">
        <f>ROUND(IF(G275=1,F275*10/23,IF(G275=3,F275-J275-K275,IF(G275=4,F275,IF(G275=5,F275*10/11,IF(G275=7,F275*10/11,0))))),0)</f>
        <v>0</v>
      </c>
      <c r="J275" s="818">
        <f>ROUND(IF(G275=1,F275/23,IF(G275=3,F275/12,IF(G275=5,F275-I275,IF(G275=8,F275,0)))),0)</f>
        <v>0</v>
      </c>
      <c r="K275" s="819">
        <f>ROUND(IF(G275=1,F275/23,IF(G275=3,F275/12,IF(G275=6,F275,IF(G275=7,F275-I275,0)))),0)</f>
        <v>0</v>
      </c>
      <c r="L275" s="820">
        <f>IF(G275=6,F275,0)</f>
        <v>0</v>
      </c>
      <c r="P275" s="768" t="n"/>
      <c r="Q275" s="769" t="str">
        <f>IF($F275="","",IFERROR(VLOOKUP($C275&amp;"|"&amp;$D275,科目表!$A$5:$B$200,2,FALSE),"※未登録"))</f>
        <v/>
      </c>
      <c r="R275" s="769" t="str">
        <f>IF($F275="","",$I275+$J275+$K275)</f>
        <v/>
      </c>
      <c r="S275" s="769" t="str">
        <f>IF(OR($F275="",$P275="支払なし",$H275=0,$Q275=""),"",$Q275&amp;"|S|"&amp;(COUNTIF(S$4:S274,$Q275&amp;"|S|*")+1))</f>
        <v/>
      </c>
      <c r="T275" s="769" t="str">
        <f>IF(OR($F275="",$P275="支払なし",$R275=0,$Q275=""),"",$Q275&amp;"|L|"&amp;(COUNTIF(T$4:T274,$Q275&amp;"|L|*")+1))</f>
        <v/>
      </c>
      <c r="U275" s="769" t="str">
        <f>IF($F275="","",13)</f>
        <v/>
      </c>
    </row>
    <row r="276" ht="16.5" customHeight="1" s="186">
      <c r="A276" s="760" t="n"/>
      <c r="B276" s="760" t="n"/>
      <c r="C276" s="762" t="n"/>
      <c r="D276" s="762" t="n"/>
      <c r="E276" s="775" t="n"/>
      <c r="F276" s="821" t="n"/>
      <c r="G276" s="821" t="n"/>
      <c r="H276" s="818">
        <f>IF(G276=1,F276-I276-J276-K276,IF(G276=2,F276,0))</f>
        <v>0</v>
      </c>
      <c r="I276" s="818">
        <f>ROUND(IF(G276=1,F276*10/23,IF(G276=3,F276-J276-K276,IF(G276=4,F276,IF(G276=5,F276*10/11,IF(G276=7,F276*10/11,0))))),0)</f>
        <v>0</v>
      </c>
      <c r="J276" s="818">
        <f>ROUND(IF(G276=1,F276/23,IF(G276=3,F276/12,IF(G276=5,F276-I276,IF(G276=8,F276,0)))),0)</f>
        <v>0</v>
      </c>
      <c r="K276" s="819">
        <f>ROUND(IF(G276=1,F276/23,IF(G276=3,F276/12,IF(G276=6,F276,IF(G276=7,F276-I276,0)))),0)</f>
        <v>0</v>
      </c>
      <c r="L276" s="820">
        <f>IF(G276=6,F276,0)</f>
        <v>0</v>
      </c>
      <c r="P276" s="768" t="n"/>
      <c r="Q276" s="769" t="str">
        <f>IF($F276="","",IFERROR(VLOOKUP($C276&amp;"|"&amp;$D276,科目表!$A$5:$B$200,2,FALSE),"※未登録"))</f>
        <v/>
      </c>
      <c r="R276" s="769" t="str">
        <f>IF($F276="","",$I276+$J276+$K276)</f>
        <v/>
      </c>
      <c r="S276" s="769" t="str">
        <f>IF(OR($F276="",$P276="支払なし",$H276=0,$Q276=""),"",$Q276&amp;"|S|"&amp;(COUNTIF(S$4:S275,$Q276&amp;"|S|*")+1))</f>
        <v/>
      </c>
      <c r="T276" s="769" t="str">
        <f>IF(OR($F276="",$P276="支払なし",$R276=0,$Q276=""),"",$Q276&amp;"|L|"&amp;(COUNTIF(T$4:T275,$Q276&amp;"|L|*")+1))</f>
        <v/>
      </c>
      <c r="U276" s="769" t="str">
        <f>IF($F276="","",13)</f>
        <v/>
      </c>
    </row>
    <row r="277" ht="16.5" customHeight="1" s="186">
      <c r="A277" s="760" t="n"/>
      <c r="B277" s="760" t="n"/>
      <c r="C277" s="762" t="n"/>
      <c r="D277" s="762" t="n"/>
      <c r="E277" s="775" t="n"/>
      <c r="F277" s="821" t="n"/>
      <c r="G277" s="821" t="n"/>
      <c r="H277" s="818">
        <f>IF(G277=1,F277-I277-J277-K277,IF(G277=2,F277,0))</f>
        <v>0</v>
      </c>
      <c r="I277" s="818">
        <f>ROUND(IF(G277=1,F277*10/23,IF(G277=3,F277-J277-K277,IF(G277=4,F277,IF(G277=5,F277*10/11,IF(G277=7,F277*10/11,0))))),0)</f>
        <v>0</v>
      </c>
      <c r="J277" s="818">
        <f>ROUND(IF(G277=1,F277/23,IF(G277=3,F277/12,IF(G277=5,F277-I277,IF(G277=8,F277,0)))),0)</f>
        <v>0</v>
      </c>
      <c r="K277" s="819">
        <f>ROUND(IF(G277=1,F277/23,IF(G277=3,F277/12,IF(G277=6,F277,IF(G277=7,F277-I277,0)))),0)</f>
        <v>0</v>
      </c>
      <c r="L277" s="820">
        <f>IF(G277=6,F277,0)</f>
        <v>0</v>
      </c>
      <c r="P277" s="768" t="n"/>
      <c r="Q277" s="769" t="str">
        <f>IF($F277="","",IFERROR(VLOOKUP($C277&amp;"|"&amp;$D277,科目表!$A$5:$B$200,2,FALSE),"※未登録"))</f>
        <v/>
      </c>
      <c r="R277" s="769" t="str">
        <f>IF($F277="","",$I277+$J277+$K277)</f>
        <v/>
      </c>
      <c r="S277" s="769" t="str">
        <f>IF(OR($F277="",$P277="支払なし",$H277=0,$Q277=""),"",$Q277&amp;"|S|"&amp;(COUNTIF(S$4:S276,$Q277&amp;"|S|*")+1))</f>
        <v/>
      </c>
      <c r="T277" s="769" t="str">
        <f>IF(OR($F277="",$P277="支払なし",$R277=0,$Q277=""),"",$Q277&amp;"|L|"&amp;(COUNTIF(T$4:T276,$Q277&amp;"|L|*")+1))</f>
        <v/>
      </c>
      <c r="U277" s="769" t="str">
        <f>IF($F277="","",13)</f>
        <v/>
      </c>
    </row>
    <row r="278" ht="16.5" customHeight="1" s="186">
      <c r="A278" s="760" t="n"/>
      <c r="B278" s="760" t="n"/>
      <c r="C278" s="762" t="n"/>
      <c r="D278" s="762" t="n"/>
      <c r="E278" s="775" t="n"/>
      <c r="F278" s="821" t="n"/>
      <c r="G278" s="821" t="n"/>
      <c r="H278" s="818">
        <f>IF(G278=1,F278-I278-J278-K278,IF(G278=2,F278,0))</f>
        <v>0</v>
      </c>
      <c r="I278" s="818">
        <f>ROUND(IF(G278=1,F278*10/23,IF(G278=3,F278-J278-K278,IF(G278=4,F278,IF(G278=5,F278*10/11,IF(G278=7,F278*10/11,0))))),0)</f>
        <v>0</v>
      </c>
      <c r="J278" s="818">
        <f>ROUND(IF(G278=1,F278/23,IF(G278=3,F278/12,IF(G278=5,F278-I278,IF(G278=8,F278,0)))),0)</f>
        <v>0</v>
      </c>
      <c r="K278" s="819">
        <f>ROUND(IF(G278=1,F278/23,IF(G278=3,F278/12,IF(G278=6,F278,IF(G278=7,F278-I278,0)))),0)</f>
        <v>0</v>
      </c>
      <c r="L278" s="820">
        <f>IF(G278=6,F278,0)</f>
        <v>0</v>
      </c>
      <c r="P278" s="768" t="n"/>
      <c r="Q278" s="769" t="str">
        <f>IF($F278="","",IFERROR(VLOOKUP($C278&amp;"|"&amp;$D278,科目表!$A$5:$B$200,2,FALSE),"※未登録"))</f>
        <v/>
      </c>
      <c r="R278" s="769" t="str">
        <f>IF($F278="","",$I278+$J278+$K278)</f>
        <v/>
      </c>
      <c r="S278" s="769" t="str">
        <f>IF(OR($F278="",$P278="支払なし",$H278=0,$Q278=""),"",$Q278&amp;"|S|"&amp;(COUNTIF(S$4:S277,$Q278&amp;"|S|*")+1))</f>
        <v/>
      </c>
      <c r="T278" s="769" t="str">
        <f>IF(OR($F278="",$P278="支払なし",$R278=0,$Q278=""),"",$Q278&amp;"|L|"&amp;(COUNTIF(T$4:T277,$Q278&amp;"|L|*")+1))</f>
        <v/>
      </c>
      <c r="U278" s="769" t="str">
        <f>IF($F278="","",13)</f>
        <v/>
      </c>
    </row>
    <row r="279" ht="16.5" customHeight="1" s="186">
      <c r="A279" s="760" t="n"/>
      <c r="B279" s="760" t="n"/>
      <c r="C279" s="762" t="n"/>
      <c r="D279" s="762" t="n"/>
      <c r="E279" s="775" t="n"/>
      <c r="F279" s="821" t="n"/>
      <c r="G279" s="821" t="n"/>
      <c r="H279" s="818">
        <f>IF(G279=1,F279-I279-J279-K279,IF(G279=2,F279,0))</f>
        <v>0</v>
      </c>
      <c r="I279" s="818">
        <f>ROUND(IF(G279=1,F279*10/23,IF(G279=3,F279-J279-K279,IF(G279=4,F279,IF(G279=5,F279*10/11,IF(G279=7,F279*10/11,0))))),0)</f>
        <v>0</v>
      </c>
      <c r="J279" s="818">
        <f>ROUND(IF(G279=1,F279/23,IF(G279=3,F279/12,IF(G279=5,F279-I279,IF(G279=8,F279,0)))),0)</f>
        <v>0</v>
      </c>
      <c r="K279" s="819">
        <f>ROUND(IF(G279=1,F279/23,IF(G279=3,F279/12,IF(G279=6,F279,IF(G279=7,F279-I279,0)))),0)</f>
        <v>0</v>
      </c>
      <c r="L279" s="820">
        <f>IF(G279=6,F279,0)</f>
        <v>0</v>
      </c>
      <c r="P279" s="768" t="n"/>
      <c r="Q279" s="769" t="str">
        <f>IF($F279="","",IFERROR(VLOOKUP($C279&amp;"|"&amp;$D279,科目表!$A$5:$B$200,2,FALSE),"※未登録"))</f>
        <v/>
      </c>
      <c r="R279" s="769" t="str">
        <f>IF($F279="","",$I279+$J279+$K279)</f>
        <v/>
      </c>
      <c r="S279" s="769" t="str">
        <f>IF(OR($F279="",$P279="支払なし",$H279=0,$Q279=""),"",$Q279&amp;"|S|"&amp;(COUNTIF(S$4:S278,$Q279&amp;"|S|*")+1))</f>
        <v/>
      </c>
      <c r="T279" s="769" t="str">
        <f>IF(OR($F279="",$P279="支払なし",$R279=0,$Q279=""),"",$Q279&amp;"|L|"&amp;(COUNTIF(T$4:T278,$Q279&amp;"|L|*")+1))</f>
        <v/>
      </c>
      <c r="U279" s="769" t="str">
        <f>IF($F279="","",13)</f>
        <v/>
      </c>
    </row>
    <row r="280" ht="16.5" customHeight="1" s="186">
      <c r="A280" s="760" t="n"/>
      <c r="B280" s="760" t="n"/>
      <c r="C280" s="762" t="n"/>
      <c r="D280" s="762" t="n"/>
      <c r="E280" s="775" t="n"/>
      <c r="F280" s="821" t="n"/>
      <c r="G280" s="821" t="n"/>
      <c r="H280" s="818">
        <f>IF(G280=1,F280-I280-J280-K280,IF(G280=2,F280,0))</f>
        <v>0</v>
      </c>
      <c r="I280" s="818">
        <f>ROUND(IF(G280=1,F280*10/23,IF(G280=3,F280-J280-K280,IF(G280=4,F280,IF(G280=5,F280*10/11,IF(G280=7,F280*10/11,0))))),0)</f>
        <v>0</v>
      </c>
      <c r="J280" s="818">
        <f>ROUND(IF(G280=1,F280/23,IF(G280=3,F280/12,IF(G280=5,F280-I280,IF(G280=8,F280,0)))),0)</f>
        <v>0</v>
      </c>
      <c r="K280" s="819">
        <f>ROUND(IF(G280=1,F280/23,IF(G280=3,F280/12,IF(G280=6,F280,IF(G280=7,F280-I280,0)))),0)</f>
        <v>0</v>
      </c>
      <c r="L280" s="820">
        <f>IF(G280=6,F280,0)</f>
        <v>0</v>
      </c>
      <c r="P280" s="768" t="n"/>
      <c r="Q280" s="769" t="str">
        <f>IF($F280="","",IFERROR(VLOOKUP($C280&amp;"|"&amp;$D280,科目表!$A$5:$B$200,2,FALSE),"※未登録"))</f>
        <v/>
      </c>
      <c r="R280" s="769" t="str">
        <f>IF($F280="","",$I280+$J280+$K280)</f>
        <v/>
      </c>
      <c r="S280" s="769" t="str">
        <f>IF(OR($F280="",$P280="支払なし",$H280=0,$Q280=""),"",$Q280&amp;"|S|"&amp;(COUNTIF(S$4:S279,$Q280&amp;"|S|*")+1))</f>
        <v/>
      </c>
      <c r="T280" s="769" t="str">
        <f>IF(OR($F280="",$P280="支払なし",$R280=0,$Q280=""),"",$Q280&amp;"|L|"&amp;(COUNTIF(T$4:T279,$Q280&amp;"|L|*")+1))</f>
        <v/>
      </c>
      <c r="U280" s="769" t="str">
        <f>IF($F280="","",13)</f>
        <v/>
      </c>
    </row>
    <row r="281" ht="16.5" customHeight="1" s="186">
      <c r="A281" s="760" t="n"/>
      <c r="B281" s="760" t="n"/>
      <c r="C281" s="762" t="n"/>
      <c r="D281" s="762" t="n"/>
      <c r="E281" s="775" t="n"/>
      <c r="F281" s="821" t="n"/>
      <c r="G281" s="821" t="n"/>
      <c r="H281" s="818">
        <f>IF(G281=1,F281-I281-J281-K281,IF(G281=2,F281,0))</f>
        <v>0</v>
      </c>
      <c r="I281" s="818">
        <f>ROUND(IF(G281=1,F281*10/23,IF(G281=3,F281-J281-K281,IF(G281=4,F281,IF(G281=5,F281*10/11,IF(G281=7,F281*10/11,0))))),0)</f>
        <v>0</v>
      </c>
      <c r="J281" s="818">
        <f>ROUND(IF(G281=1,F281/23,IF(G281=3,F281/12,IF(G281=5,F281-I281,IF(G281=8,F281,0)))),0)</f>
        <v>0</v>
      </c>
      <c r="K281" s="819">
        <f>ROUND(IF(G281=1,F281/23,IF(G281=3,F281/12,IF(G281=6,F281,IF(G281=7,F281-I281,0)))),0)</f>
        <v>0</v>
      </c>
      <c r="L281" s="820">
        <f>IF(G281=6,F281,0)</f>
        <v>0</v>
      </c>
      <c r="P281" s="768" t="n"/>
      <c r="Q281" s="769" t="str">
        <f>IF($F281="","",IFERROR(VLOOKUP($C281&amp;"|"&amp;$D281,科目表!$A$5:$B$200,2,FALSE),"※未登録"))</f>
        <v/>
      </c>
      <c r="R281" s="769" t="str">
        <f>IF($F281="","",$I281+$J281+$K281)</f>
        <v/>
      </c>
      <c r="S281" s="769" t="str">
        <f>IF(OR($F281="",$P281="支払なし",$H281=0,$Q281=""),"",$Q281&amp;"|S|"&amp;(COUNTIF(S$4:S280,$Q281&amp;"|S|*")+1))</f>
        <v/>
      </c>
      <c r="T281" s="769" t="str">
        <f>IF(OR($F281="",$P281="支払なし",$R281=0,$Q281=""),"",$Q281&amp;"|L|"&amp;(COUNTIF(T$4:T280,$Q281&amp;"|L|*")+1))</f>
        <v/>
      </c>
      <c r="U281" s="769" t="str">
        <f>IF($F281="","",13)</f>
        <v/>
      </c>
    </row>
    <row r="282" ht="16.5" customHeight="1" s="186">
      <c r="A282" s="760" t="n"/>
      <c r="B282" s="760" t="n"/>
      <c r="C282" s="762" t="n"/>
      <c r="D282" s="762" t="n"/>
      <c r="E282" s="775" t="n"/>
      <c r="F282" s="821" t="n"/>
      <c r="G282" s="821" t="n"/>
      <c r="H282" s="818">
        <f>IF(G282=1,F282-I282-J282-K282,IF(G282=2,F282,0))</f>
        <v>0</v>
      </c>
      <c r="I282" s="818">
        <f>ROUND(IF(G282=1,F282*10/23,IF(G282=3,F282-J282-K282,IF(G282=4,F282,IF(G282=5,F282*10/11,IF(G282=7,F282*10/11,0))))),0)</f>
        <v>0</v>
      </c>
      <c r="J282" s="818">
        <f>ROUND(IF(G282=1,F282/23,IF(G282=3,F282/12,IF(G282=5,F282-I282,IF(G282=8,F282,0)))),0)</f>
        <v>0</v>
      </c>
      <c r="K282" s="819">
        <f>ROUND(IF(G282=1,F282/23,IF(G282=3,F282/12,IF(G282=6,F282,IF(G282=7,F282-I282,0)))),0)</f>
        <v>0</v>
      </c>
      <c r="L282" s="820">
        <f>IF(G282=6,F282,0)</f>
        <v>0</v>
      </c>
      <c r="P282" s="768" t="n"/>
      <c r="Q282" s="769" t="str">
        <f>IF($F282="","",IFERROR(VLOOKUP($C282&amp;"|"&amp;$D282,科目表!$A$5:$B$200,2,FALSE),"※未登録"))</f>
        <v/>
      </c>
      <c r="R282" s="769" t="str">
        <f>IF($F282="","",$I282+$J282+$K282)</f>
        <v/>
      </c>
      <c r="S282" s="769" t="str">
        <f>IF(OR($F282="",$P282="支払なし",$H282=0,$Q282=""),"",$Q282&amp;"|S|"&amp;(COUNTIF(S$4:S281,$Q282&amp;"|S|*")+1))</f>
        <v/>
      </c>
      <c r="T282" s="769" t="str">
        <f>IF(OR($F282="",$P282="支払なし",$R282=0,$Q282=""),"",$Q282&amp;"|L|"&amp;(COUNTIF(T$4:T281,$Q282&amp;"|L|*")+1))</f>
        <v/>
      </c>
      <c r="U282" s="769" t="str">
        <f>IF($F282="","",13)</f>
        <v/>
      </c>
    </row>
    <row r="283" ht="16.5" customHeight="1" s="186">
      <c r="A283" s="760" t="n"/>
      <c r="B283" s="760" t="n"/>
      <c r="C283" s="762" t="n"/>
      <c r="D283" s="762" t="n"/>
      <c r="E283" s="775" t="n"/>
      <c r="F283" s="821" t="n"/>
      <c r="G283" s="821" t="n"/>
      <c r="H283" s="818">
        <f>IF(G283=1,F283-I283-J283-K283,IF(G283=2,F283,0))</f>
        <v>0</v>
      </c>
      <c r="I283" s="818">
        <f>ROUND(IF(G283=1,F283*10/23,IF(G283=3,F283-J283-K283,IF(G283=4,F283,IF(G283=5,F283*10/11,IF(G283=7,F283*10/11,0))))),0)</f>
        <v>0</v>
      </c>
      <c r="J283" s="818">
        <f>ROUND(IF(G283=1,F283/23,IF(G283=3,F283/12,IF(G283=5,F283-I283,IF(G283=8,F283,0)))),0)</f>
        <v>0</v>
      </c>
      <c r="K283" s="819">
        <f>ROUND(IF(G283=1,F283/23,IF(G283=3,F283/12,IF(G283=6,F283,IF(G283=7,F283-I283,0)))),0)</f>
        <v>0</v>
      </c>
      <c r="L283" s="820">
        <f>IF(G283=6,F283,0)</f>
        <v>0</v>
      </c>
      <c r="P283" s="768" t="n"/>
      <c r="Q283" s="769" t="str">
        <f>IF($F283="","",IFERROR(VLOOKUP($C283&amp;"|"&amp;$D283,科目表!$A$5:$B$200,2,FALSE),"※未登録"))</f>
        <v/>
      </c>
      <c r="R283" s="769" t="str">
        <f>IF($F283="","",$I283+$J283+$K283)</f>
        <v/>
      </c>
      <c r="S283" s="769" t="str">
        <f>IF(OR($F283="",$P283="支払なし",$H283=0,$Q283=""),"",$Q283&amp;"|S|"&amp;(COUNTIF(S$4:S282,$Q283&amp;"|S|*")+1))</f>
        <v/>
      </c>
      <c r="T283" s="769" t="str">
        <f>IF(OR($F283="",$P283="支払なし",$R283=0,$Q283=""),"",$Q283&amp;"|L|"&amp;(COUNTIF(T$4:T282,$Q283&amp;"|L|*")+1))</f>
        <v/>
      </c>
      <c r="U283" s="769" t="str">
        <f>IF($F283="","",13)</f>
        <v/>
      </c>
    </row>
    <row r="284" ht="16.5" customHeight="1" s="186">
      <c r="A284" s="760" t="n"/>
      <c r="B284" s="760" t="n"/>
      <c r="C284" s="762" t="n"/>
      <c r="D284" s="762" t="n"/>
      <c r="E284" s="775" t="n"/>
      <c r="F284" s="821" t="n"/>
      <c r="G284" s="821" t="n"/>
      <c r="H284" s="818">
        <f>IF(G284=1,F284-I284-J284-K284,IF(G284=2,F284,0))</f>
        <v>0</v>
      </c>
      <c r="I284" s="818">
        <f>ROUND(IF(G284=1,F284*10/23,IF(G284=3,F284-J284-K284,IF(G284=4,F284,IF(G284=5,F284*10/11,IF(G284=7,F284*10/11,0))))),0)</f>
        <v>0</v>
      </c>
      <c r="J284" s="818">
        <f>ROUND(IF(G284=1,F284/23,IF(G284=3,F284/12,IF(G284=5,F284-I284,IF(G284=8,F284,0)))),0)</f>
        <v>0</v>
      </c>
      <c r="K284" s="819">
        <f>ROUND(IF(G284=1,F284/23,IF(G284=3,F284/12,IF(G284=6,F284,IF(G284=7,F284-I284,0)))),0)</f>
        <v>0</v>
      </c>
      <c r="L284" s="820">
        <f>IF(G284=6,F284,0)</f>
        <v>0</v>
      </c>
      <c r="P284" s="768" t="n"/>
      <c r="Q284" s="769" t="str">
        <f>IF($F284="","",IFERROR(VLOOKUP($C284&amp;"|"&amp;$D284,科目表!$A$5:$B$200,2,FALSE),"※未登録"))</f>
        <v/>
      </c>
      <c r="R284" s="769" t="str">
        <f>IF($F284="","",$I284+$J284+$K284)</f>
        <v/>
      </c>
      <c r="S284" s="769" t="str">
        <f>IF(OR($F284="",$P284="支払なし",$H284=0,$Q284=""),"",$Q284&amp;"|S|"&amp;(COUNTIF(S$4:S283,$Q284&amp;"|S|*")+1))</f>
        <v/>
      </c>
      <c r="T284" s="769" t="str">
        <f>IF(OR($F284="",$P284="支払なし",$R284=0,$Q284=""),"",$Q284&amp;"|L|"&amp;(COUNTIF(T$4:T283,$Q284&amp;"|L|*")+1))</f>
        <v/>
      </c>
      <c r="U284" s="769" t="str">
        <f>IF($F284="","",13)</f>
        <v/>
      </c>
    </row>
    <row r="285" ht="16.5" customHeight="1" s="186">
      <c r="A285" s="760" t="n"/>
      <c r="B285" s="760" t="n"/>
      <c r="C285" s="762" t="n"/>
      <c r="D285" s="762" t="n"/>
      <c r="E285" s="775" t="n"/>
      <c r="F285" s="821" t="n"/>
      <c r="G285" s="821" t="n"/>
      <c r="H285" s="818">
        <f>IF(G285=1,F285-I285-J285-K285,IF(G285=2,F285,0))</f>
        <v>0</v>
      </c>
      <c r="I285" s="818">
        <f>ROUND(IF(G285=1,F285*10/23,IF(G285=3,F285-J285-K285,IF(G285=4,F285,IF(G285=5,F285*10/11,IF(G285=7,F285*10/11,0))))),0)</f>
        <v>0</v>
      </c>
      <c r="J285" s="818">
        <f>ROUND(IF(G285=1,F285/23,IF(G285=3,F285/12,IF(G285=5,F285-I285,IF(G285=8,F285,0)))),0)</f>
        <v>0</v>
      </c>
      <c r="K285" s="819">
        <f>ROUND(IF(G285=1,F285/23,IF(G285=3,F285/12,IF(G285=6,F285,IF(G285=7,F285-I285,0)))),0)</f>
        <v>0</v>
      </c>
      <c r="L285" s="820">
        <f>IF(G285=6,F285,0)</f>
        <v>0</v>
      </c>
      <c r="P285" s="768" t="n"/>
      <c r="Q285" s="769" t="str">
        <f>IF($F285="","",IFERROR(VLOOKUP($C285&amp;"|"&amp;$D285,科目表!$A$5:$B$200,2,FALSE),"※未登録"))</f>
        <v/>
      </c>
      <c r="R285" s="769" t="str">
        <f>IF($F285="","",$I285+$J285+$K285)</f>
        <v/>
      </c>
      <c r="S285" s="769" t="str">
        <f>IF(OR($F285="",$P285="支払なし",$H285=0,$Q285=""),"",$Q285&amp;"|S|"&amp;(COUNTIF(S$4:S284,$Q285&amp;"|S|*")+1))</f>
        <v/>
      </c>
      <c r="T285" s="769" t="str">
        <f>IF(OR($F285="",$P285="支払なし",$R285=0,$Q285=""),"",$Q285&amp;"|L|"&amp;(COUNTIF(T$4:T284,$Q285&amp;"|L|*")+1))</f>
        <v/>
      </c>
      <c r="U285" s="769" t="str">
        <f>IF($F285="","",13)</f>
        <v/>
      </c>
    </row>
    <row r="286" ht="16.5" customHeight="1" s="186">
      <c r="A286" s="760" t="n"/>
      <c r="B286" s="760" t="n"/>
      <c r="C286" s="762" t="n"/>
      <c r="D286" s="762" t="n"/>
      <c r="E286" s="775" t="n"/>
      <c r="F286" s="821" t="n"/>
      <c r="G286" s="821" t="n"/>
      <c r="H286" s="818">
        <f>IF(G286=1,F286-I286-J286-K286,IF(G286=2,F286,0))</f>
        <v>0</v>
      </c>
      <c r="I286" s="818">
        <f>ROUND(IF(G286=1,F286*10/23,IF(G286=3,F286-J286-K286,IF(G286=4,F286,IF(G286=5,F286*10/11,IF(G286=7,F286*10/11,0))))),0)</f>
        <v>0</v>
      </c>
      <c r="J286" s="818">
        <f>ROUND(IF(G286=1,F286/23,IF(G286=3,F286/12,IF(G286=5,F286-I286,IF(G286=8,F286,0)))),0)</f>
        <v>0</v>
      </c>
      <c r="K286" s="819">
        <f>ROUND(IF(G286=1,F286/23,IF(G286=3,F286/12,IF(G286=6,F286,IF(G286=7,F286-I286,0)))),0)</f>
        <v>0</v>
      </c>
      <c r="L286" s="820">
        <f>IF(G286=6,F286,0)</f>
        <v>0</v>
      </c>
      <c r="P286" s="768" t="n"/>
      <c r="Q286" s="769" t="str">
        <f>IF($F286="","",IFERROR(VLOOKUP($C286&amp;"|"&amp;$D286,科目表!$A$5:$B$200,2,FALSE),"※未登録"))</f>
        <v/>
      </c>
      <c r="R286" s="769" t="str">
        <f>IF($F286="","",$I286+$J286+$K286)</f>
        <v/>
      </c>
      <c r="S286" s="769" t="str">
        <f>IF(OR($F286="",$P286="支払なし",$H286=0,$Q286=""),"",$Q286&amp;"|S|"&amp;(COUNTIF(S$4:S285,$Q286&amp;"|S|*")+1))</f>
        <v/>
      </c>
      <c r="T286" s="769" t="str">
        <f>IF(OR($F286="",$P286="支払なし",$R286=0,$Q286=""),"",$Q286&amp;"|L|"&amp;(COUNTIF(T$4:T285,$Q286&amp;"|L|*")+1))</f>
        <v/>
      </c>
      <c r="U286" s="769" t="str">
        <f>IF($F286="","",13)</f>
        <v/>
      </c>
    </row>
    <row r="287" ht="16.5" customHeight="1" s="186">
      <c r="A287" s="760" t="n"/>
      <c r="B287" s="760" t="n"/>
      <c r="C287" s="762" t="n"/>
      <c r="D287" s="762" t="n"/>
      <c r="E287" s="775" t="n"/>
      <c r="F287" s="821" t="n"/>
      <c r="G287" s="821" t="n"/>
      <c r="H287" s="818">
        <f>IF(G287=1,F287-I287-J287-K287,IF(G287=2,F287,0))</f>
        <v>0</v>
      </c>
      <c r="I287" s="818">
        <f>ROUND(IF(G287=1,F287*10/23,IF(G287=3,F287-J287-K287,IF(G287=4,F287,IF(G287=5,F287*10/11,IF(G287=7,F287*10/11,0))))),0)</f>
        <v>0</v>
      </c>
      <c r="J287" s="818">
        <f>ROUND(IF(G287=1,F287/23,IF(G287=3,F287/12,IF(G287=5,F287-I287,IF(G287=8,F287,0)))),0)</f>
        <v>0</v>
      </c>
      <c r="K287" s="819">
        <f>ROUND(IF(G287=1,F287/23,IF(G287=3,F287/12,IF(G287=6,F287,IF(G287=7,F287-I287,0)))),0)</f>
        <v>0</v>
      </c>
      <c r="L287" s="820">
        <f>IF(G287=6,F287,0)</f>
        <v>0</v>
      </c>
      <c r="P287" s="768" t="n"/>
      <c r="Q287" s="769" t="str">
        <f>IF($F287="","",IFERROR(VLOOKUP($C287&amp;"|"&amp;$D287,科目表!$A$5:$B$200,2,FALSE),"※未登録"))</f>
        <v/>
      </c>
      <c r="R287" s="769" t="str">
        <f>IF($F287="","",$I287+$J287+$K287)</f>
        <v/>
      </c>
      <c r="S287" s="769" t="str">
        <f>IF(OR($F287="",$P287="支払なし",$H287=0,$Q287=""),"",$Q287&amp;"|S|"&amp;(COUNTIF(S$4:S286,$Q287&amp;"|S|*")+1))</f>
        <v/>
      </c>
      <c r="T287" s="769" t="str">
        <f>IF(OR($F287="",$P287="支払なし",$R287=0,$Q287=""),"",$Q287&amp;"|L|"&amp;(COUNTIF(T$4:T286,$Q287&amp;"|L|*")+1))</f>
        <v/>
      </c>
      <c r="U287" s="769" t="str">
        <f>IF($F287="","",13)</f>
        <v/>
      </c>
    </row>
    <row r="288" ht="16.5" customHeight="1" s="186">
      <c r="A288" s="760" t="n"/>
      <c r="B288" s="760" t="n"/>
      <c r="C288" s="762" t="n"/>
      <c r="D288" s="762" t="n"/>
      <c r="E288" s="775" t="n"/>
      <c r="F288" s="821" t="n"/>
      <c r="G288" s="821" t="n"/>
      <c r="H288" s="818">
        <f>IF(G288=1,F288-I288-J288-K288,IF(G288=2,F288,0))</f>
        <v>0</v>
      </c>
      <c r="I288" s="818">
        <f>ROUND(IF(G288=1,F288*10/23,IF(G288=3,F288-J288-K288,IF(G288=4,F288,IF(G288=5,F288*10/11,IF(G288=7,F288*10/11,0))))),0)</f>
        <v>0</v>
      </c>
      <c r="J288" s="818">
        <f>ROUND(IF(G288=1,F288/23,IF(G288=3,F288/12,IF(G288=5,F288-I288,IF(G288=8,F288,0)))),0)</f>
        <v>0</v>
      </c>
      <c r="K288" s="819">
        <f>ROUND(IF(G288=1,F288/23,IF(G288=3,F288/12,IF(G288=6,F288,IF(G288=7,F288-I288,0)))),0)</f>
        <v>0</v>
      </c>
      <c r="L288" s="820">
        <f>IF(G288=6,F288,0)</f>
        <v>0</v>
      </c>
      <c r="P288" s="768" t="n"/>
      <c r="Q288" s="769" t="str">
        <f>IF($F288="","",IFERROR(VLOOKUP($C288&amp;"|"&amp;$D288,科目表!$A$5:$B$200,2,FALSE),"※未登録"))</f>
        <v/>
      </c>
      <c r="R288" s="769" t="str">
        <f>IF($F288="","",$I288+$J288+$K288)</f>
        <v/>
      </c>
      <c r="S288" s="769" t="str">
        <f>IF(OR($F288="",$P288="支払なし",$H288=0,$Q288=""),"",$Q288&amp;"|S|"&amp;(COUNTIF(S$4:S287,$Q288&amp;"|S|*")+1))</f>
        <v/>
      </c>
      <c r="T288" s="769" t="str">
        <f>IF(OR($F288="",$P288="支払なし",$R288=0,$Q288=""),"",$Q288&amp;"|L|"&amp;(COUNTIF(T$4:T287,$Q288&amp;"|L|*")+1))</f>
        <v/>
      </c>
      <c r="U288" s="769" t="str">
        <f>IF($F288="","",13)</f>
        <v/>
      </c>
    </row>
    <row r="289" ht="16.5" customHeight="1" s="186">
      <c r="A289" s="760" t="n"/>
      <c r="B289" s="760" t="n"/>
      <c r="C289" s="762" t="n"/>
      <c r="D289" s="762" t="n"/>
      <c r="E289" s="775" t="n"/>
      <c r="F289" s="821" t="n"/>
      <c r="G289" s="821" t="n"/>
      <c r="H289" s="818">
        <f>IF(G289=1,F289-I289-J289-K289,IF(G289=2,F289,0))</f>
        <v>0</v>
      </c>
      <c r="I289" s="818">
        <f>ROUND(IF(G289=1,F289*10/23,IF(G289=3,F289-J289-K289,IF(G289=4,F289,IF(G289=5,F289*10/11,IF(G289=7,F289*10/11,0))))),0)</f>
        <v>0</v>
      </c>
      <c r="J289" s="818">
        <f>ROUND(IF(G289=1,F289/23,IF(G289=3,F289/12,IF(G289=5,F289-I289,IF(G289=8,F289,0)))),0)</f>
        <v>0</v>
      </c>
      <c r="K289" s="819">
        <f>ROUND(IF(G289=1,F289/23,IF(G289=3,F289/12,IF(G289=6,F289,IF(G289=7,F289-I289,0)))),0)</f>
        <v>0</v>
      </c>
      <c r="L289" s="820">
        <f>IF(G289=6,F289,0)</f>
        <v>0</v>
      </c>
      <c r="P289" s="768" t="n"/>
      <c r="Q289" s="769" t="str">
        <f>IF($F289="","",IFERROR(VLOOKUP($C289&amp;"|"&amp;$D289,科目表!$A$5:$B$200,2,FALSE),"※未登録"))</f>
        <v/>
      </c>
      <c r="R289" s="769" t="str">
        <f>IF($F289="","",$I289+$J289+$K289)</f>
        <v/>
      </c>
      <c r="S289" s="769" t="str">
        <f>IF(OR($F289="",$P289="支払なし",$H289=0,$Q289=""),"",$Q289&amp;"|S|"&amp;(COUNTIF(S$4:S288,$Q289&amp;"|S|*")+1))</f>
        <v/>
      </c>
      <c r="T289" s="769" t="str">
        <f>IF(OR($F289="",$P289="支払なし",$R289=0,$Q289=""),"",$Q289&amp;"|L|"&amp;(COUNTIF(T$4:T288,$Q289&amp;"|L|*")+1))</f>
        <v/>
      </c>
      <c r="U289" s="769" t="str">
        <f>IF($F289="","",13)</f>
        <v/>
      </c>
    </row>
    <row r="290" ht="16.5" customHeight="1" s="186">
      <c r="A290" s="760" t="n"/>
      <c r="B290" s="760" t="n"/>
      <c r="C290" s="762" t="n"/>
      <c r="D290" s="762" t="n"/>
      <c r="E290" s="775" t="n"/>
      <c r="F290" s="821" t="n"/>
      <c r="G290" s="821" t="n"/>
      <c r="H290" s="818">
        <f>IF(G290=1,F290-I290-J290-K290,IF(G290=2,F290,0))</f>
        <v>0</v>
      </c>
      <c r="I290" s="818">
        <f>ROUND(IF(G290=1,F290*10/23,IF(G290=3,F290-J290-K290,IF(G290=4,F290,IF(G290=5,F290*10/11,IF(G290=7,F290*10/11,0))))),0)</f>
        <v>0</v>
      </c>
      <c r="J290" s="818">
        <f>ROUND(IF(G290=1,F290/23,IF(G290=3,F290/12,IF(G290=5,F290-I290,IF(G290=8,F290,0)))),0)</f>
        <v>0</v>
      </c>
      <c r="K290" s="819">
        <f>ROUND(IF(G290=1,F290/23,IF(G290=3,F290/12,IF(G290=6,F290,IF(G290=7,F290-I290,0)))),0)</f>
        <v>0</v>
      </c>
      <c r="L290" s="820">
        <f>IF(G290=6,F290,0)</f>
        <v>0</v>
      </c>
      <c r="P290" s="768" t="n"/>
      <c r="Q290" s="769" t="str">
        <f>IF($F290="","",IFERROR(VLOOKUP($C290&amp;"|"&amp;$D290,科目表!$A$5:$B$200,2,FALSE),"※未登録"))</f>
        <v/>
      </c>
      <c r="R290" s="769" t="str">
        <f>IF($F290="","",$I290+$J290+$K290)</f>
        <v/>
      </c>
      <c r="S290" s="769" t="str">
        <f>IF(OR($F290="",$P290="支払なし",$H290=0,$Q290=""),"",$Q290&amp;"|S|"&amp;(COUNTIF(S$4:S289,$Q290&amp;"|S|*")+1))</f>
        <v/>
      </c>
      <c r="T290" s="769" t="str">
        <f>IF(OR($F290="",$P290="支払なし",$R290=0,$Q290=""),"",$Q290&amp;"|L|"&amp;(COUNTIF(T$4:T289,$Q290&amp;"|L|*")+1))</f>
        <v/>
      </c>
      <c r="U290" s="769" t="str">
        <f>IF($F290="","",13)</f>
        <v/>
      </c>
    </row>
    <row r="291" ht="16.5" customHeight="1" s="186">
      <c r="A291" s="760" t="n"/>
      <c r="B291" s="760" t="n"/>
      <c r="C291" s="762" t="n"/>
      <c r="D291" s="762" t="n"/>
      <c r="E291" s="775" t="n"/>
      <c r="F291" s="821" t="n"/>
      <c r="G291" s="821" t="n"/>
      <c r="H291" s="818">
        <f>IF(G291=1,F291-I291-J291-K291,IF(G291=2,F291,0))</f>
        <v>0</v>
      </c>
      <c r="I291" s="818">
        <f>ROUND(IF(G291=1,F291*10/23,IF(G291=3,F291-J291-K291,IF(G291=4,F291,IF(G291=5,F291*10/11,IF(G291=7,F291*10/11,0))))),0)</f>
        <v>0</v>
      </c>
      <c r="J291" s="818">
        <f>ROUND(IF(G291=1,F291/23,IF(G291=3,F291/12,IF(G291=5,F291-I291,IF(G291=8,F291,0)))),0)</f>
        <v>0</v>
      </c>
      <c r="K291" s="819">
        <f>ROUND(IF(G291=1,F291/23,IF(G291=3,F291/12,IF(G291=6,F291,IF(G291=7,F291-I291,0)))),0)</f>
        <v>0</v>
      </c>
      <c r="L291" s="820">
        <f>IF(G291=6,F291,0)</f>
        <v>0</v>
      </c>
      <c r="P291" s="768" t="n"/>
      <c r="Q291" s="769" t="str">
        <f>IF($F291="","",IFERROR(VLOOKUP($C291&amp;"|"&amp;$D291,科目表!$A$5:$B$200,2,FALSE),"※未登録"))</f>
        <v/>
      </c>
      <c r="R291" s="769" t="str">
        <f>IF($F291="","",$I291+$J291+$K291)</f>
        <v/>
      </c>
      <c r="S291" s="769" t="str">
        <f>IF(OR($F291="",$P291="支払なし",$H291=0,$Q291=""),"",$Q291&amp;"|S|"&amp;(COUNTIF(S$4:S290,$Q291&amp;"|S|*")+1))</f>
        <v/>
      </c>
      <c r="T291" s="769" t="str">
        <f>IF(OR($F291="",$P291="支払なし",$R291=0,$Q291=""),"",$Q291&amp;"|L|"&amp;(COUNTIF(T$4:T290,$Q291&amp;"|L|*")+1))</f>
        <v/>
      </c>
      <c r="U291" s="769" t="str">
        <f>IF($F291="","",13)</f>
        <v/>
      </c>
    </row>
    <row r="292" ht="16.5" customHeight="1" s="186">
      <c r="A292" s="760" t="n"/>
      <c r="B292" s="760" t="n"/>
      <c r="C292" s="762" t="n"/>
      <c r="D292" s="762" t="n"/>
      <c r="E292" s="775" t="n"/>
      <c r="F292" s="821" t="n"/>
      <c r="G292" s="821" t="n"/>
      <c r="H292" s="818">
        <f>IF(G292=1,F292-I292-J292-K292,IF(G292=2,F292,0))</f>
        <v>0</v>
      </c>
      <c r="I292" s="818">
        <f>ROUND(IF(G292=1,F292*10/23,IF(G292=3,F292-J292-K292,IF(G292=4,F292,IF(G292=5,F292*10/11,IF(G292=7,F292*10/11,0))))),0)</f>
        <v>0</v>
      </c>
      <c r="J292" s="818">
        <f>ROUND(IF(G292=1,F292/23,IF(G292=3,F292/12,IF(G292=5,F292-I292,IF(G292=8,F292,0)))),0)</f>
        <v>0</v>
      </c>
      <c r="K292" s="819">
        <f>ROUND(IF(G292=1,F292/23,IF(G292=3,F292/12,IF(G292=6,F292,IF(G292=7,F292-I292,0)))),0)</f>
        <v>0</v>
      </c>
      <c r="L292" s="820">
        <f>IF(G292=6,F292,0)</f>
        <v>0</v>
      </c>
      <c r="P292" s="768" t="n"/>
      <c r="Q292" s="769" t="str">
        <f>IF($F292="","",IFERROR(VLOOKUP($C292&amp;"|"&amp;$D292,科目表!$A$5:$B$200,2,FALSE),"※未登録"))</f>
        <v/>
      </c>
      <c r="R292" s="769" t="str">
        <f>IF($F292="","",$I292+$J292+$K292)</f>
        <v/>
      </c>
      <c r="S292" s="769" t="str">
        <f>IF(OR($F292="",$P292="支払なし",$H292=0,$Q292=""),"",$Q292&amp;"|S|"&amp;(COUNTIF(S$4:S291,$Q292&amp;"|S|*")+1))</f>
        <v/>
      </c>
      <c r="T292" s="769" t="str">
        <f>IF(OR($F292="",$P292="支払なし",$R292=0,$Q292=""),"",$Q292&amp;"|L|"&amp;(COUNTIF(T$4:T291,$Q292&amp;"|L|*")+1))</f>
        <v/>
      </c>
      <c r="U292" s="769" t="str">
        <f>IF($F292="","",13)</f>
        <v/>
      </c>
    </row>
    <row r="293" ht="16.5" customHeight="1" s="186">
      <c r="A293" s="760" t="n"/>
      <c r="B293" s="760" t="n"/>
      <c r="C293" s="762" t="n"/>
      <c r="D293" s="762" t="n"/>
      <c r="E293" s="775" t="n"/>
      <c r="F293" s="821" t="n"/>
      <c r="G293" s="821" t="n"/>
      <c r="H293" s="818">
        <f>IF(G293=1,F293-I293-J293-K293,IF(G293=2,F293,0))</f>
        <v>0</v>
      </c>
      <c r="I293" s="818">
        <f>ROUND(IF(G293=1,F293*10/23,IF(G293=3,F293-J293-K293,IF(G293=4,F293,IF(G293=5,F293*10/11,IF(G293=7,F293*10/11,0))))),0)</f>
        <v>0</v>
      </c>
      <c r="J293" s="818">
        <f>ROUND(IF(G293=1,F293/23,IF(G293=3,F293/12,IF(G293=5,F293-I293,IF(G293=8,F293,0)))),0)</f>
        <v>0</v>
      </c>
      <c r="K293" s="819">
        <f>ROUND(IF(G293=1,F293/23,IF(G293=3,F293/12,IF(G293=6,F293,IF(G293=7,F293-I293,0)))),0)</f>
        <v>0</v>
      </c>
      <c r="L293" s="820">
        <f>IF(G293=6,F293,0)</f>
        <v>0</v>
      </c>
      <c r="P293" s="768" t="n"/>
      <c r="Q293" s="769" t="str">
        <f>IF($F293="","",IFERROR(VLOOKUP($C293&amp;"|"&amp;$D293,科目表!$A$5:$B$200,2,FALSE),"※未登録"))</f>
        <v/>
      </c>
      <c r="R293" s="769" t="str">
        <f>IF($F293="","",$I293+$J293+$K293)</f>
        <v/>
      </c>
      <c r="S293" s="769" t="str">
        <f>IF(OR($F293="",$P293="支払なし",$H293=0,$Q293=""),"",$Q293&amp;"|S|"&amp;(COUNTIF(S$4:S292,$Q293&amp;"|S|*")+1))</f>
        <v/>
      </c>
      <c r="T293" s="769" t="str">
        <f>IF(OR($F293="",$P293="支払なし",$R293=0,$Q293=""),"",$Q293&amp;"|L|"&amp;(COUNTIF(T$4:T292,$Q293&amp;"|L|*")+1))</f>
        <v/>
      </c>
      <c r="U293" s="769" t="str">
        <f>IF($F293="","",13)</f>
        <v/>
      </c>
    </row>
    <row r="294" ht="16.5" customHeight="1" s="186">
      <c r="A294" s="760" t="n"/>
      <c r="B294" s="760" t="n"/>
      <c r="C294" s="762" t="n"/>
      <c r="D294" s="762" t="n"/>
      <c r="E294" s="775" t="n"/>
      <c r="F294" s="821" t="n"/>
      <c r="G294" s="821" t="n"/>
      <c r="H294" s="818">
        <f>IF(G294=1,F294-I294-J294-K294,IF(G294=2,F294,0))</f>
        <v>0</v>
      </c>
      <c r="I294" s="818">
        <f>ROUND(IF(G294=1,F294*10/23,IF(G294=3,F294-J294-K294,IF(G294=4,F294,IF(G294=5,F294*10/11,IF(G294=7,F294*10/11,0))))),0)</f>
        <v>0</v>
      </c>
      <c r="J294" s="818">
        <f>ROUND(IF(G294=1,F294/23,IF(G294=3,F294/12,IF(G294=5,F294-I294,IF(G294=8,F294,0)))),0)</f>
        <v>0</v>
      </c>
      <c r="K294" s="819">
        <f>ROUND(IF(G294=1,F294/23,IF(G294=3,F294/12,IF(G294=6,F294,IF(G294=7,F294-I294,0)))),0)</f>
        <v>0</v>
      </c>
      <c r="L294" s="820">
        <f>IF(G294=6,F294,0)</f>
        <v>0</v>
      </c>
      <c r="P294" s="768" t="n"/>
      <c r="Q294" s="769" t="str">
        <f>IF($F294="","",IFERROR(VLOOKUP($C294&amp;"|"&amp;$D294,科目表!$A$5:$B$200,2,FALSE),"※未登録"))</f>
        <v/>
      </c>
      <c r="R294" s="769" t="str">
        <f>IF($F294="","",$I294+$J294+$K294)</f>
        <v/>
      </c>
      <c r="S294" s="769" t="str">
        <f>IF(OR($F294="",$P294="支払なし",$H294=0,$Q294=""),"",$Q294&amp;"|S|"&amp;(COUNTIF(S$4:S293,$Q294&amp;"|S|*")+1))</f>
        <v/>
      </c>
      <c r="T294" s="769" t="str">
        <f>IF(OR($F294="",$P294="支払なし",$R294=0,$Q294=""),"",$Q294&amp;"|L|"&amp;(COUNTIF(T$4:T293,$Q294&amp;"|L|*")+1))</f>
        <v/>
      </c>
      <c r="U294" s="769" t="str">
        <f>IF($F294="","",13)</f>
        <v/>
      </c>
    </row>
    <row r="295" ht="16.5" customHeight="1" s="186">
      <c r="A295" s="760" t="n"/>
      <c r="B295" s="760" t="n"/>
      <c r="C295" s="762" t="n"/>
      <c r="D295" s="762" t="n"/>
      <c r="E295" s="775" t="n"/>
      <c r="F295" s="821" t="n"/>
      <c r="G295" s="821" t="n"/>
      <c r="H295" s="818">
        <f>IF(G295=1,F295-I295-J295-K295,IF(G295=2,F295,0))</f>
        <v>0</v>
      </c>
      <c r="I295" s="818">
        <f>ROUND(IF(G295=1,F295*10/23,IF(G295=3,F295-J295-K295,IF(G295=4,F295,IF(G295=5,F295*10/11,IF(G295=7,F295*10/11,0))))),0)</f>
        <v>0</v>
      </c>
      <c r="J295" s="818">
        <f>ROUND(IF(G295=1,F295/23,IF(G295=3,F295/12,IF(G295=5,F295-I295,IF(G295=8,F295,0)))),0)</f>
        <v>0</v>
      </c>
      <c r="K295" s="819">
        <f>ROUND(IF(G295=1,F295/23,IF(G295=3,F295/12,IF(G295=6,F295,IF(G295=7,F295-I295,0)))),0)</f>
        <v>0</v>
      </c>
      <c r="L295" s="820">
        <f>IF(G295=6,F295,0)</f>
        <v>0</v>
      </c>
      <c r="P295" s="768" t="n"/>
      <c r="Q295" s="769" t="str">
        <f>IF($F295="","",IFERROR(VLOOKUP($C295&amp;"|"&amp;$D295,科目表!$A$5:$B$200,2,FALSE),"※未登録"))</f>
        <v/>
      </c>
      <c r="R295" s="769" t="str">
        <f>IF($F295="","",$I295+$J295+$K295)</f>
        <v/>
      </c>
      <c r="S295" s="769" t="str">
        <f>IF(OR($F295="",$P295="支払なし",$H295=0,$Q295=""),"",$Q295&amp;"|S|"&amp;(COUNTIF(S$4:S294,$Q295&amp;"|S|*")+1))</f>
        <v/>
      </c>
      <c r="T295" s="769" t="str">
        <f>IF(OR($F295="",$P295="支払なし",$R295=0,$Q295=""),"",$Q295&amp;"|L|"&amp;(COUNTIF(T$4:T294,$Q295&amp;"|L|*")+1))</f>
        <v/>
      </c>
      <c r="U295" s="769" t="str">
        <f>IF($F295="","",13)</f>
        <v/>
      </c>
    </row>
    <row r="296" ht="16.5" customHeight="1" s="186">
      <c r="A296" s="760" t="n"/>
      <c r="B296" s="760" t="n"/>
      <c r="C296" s="762" t="n"/>
      <c r="D296" s="762" t="n"/>
      <c r="E296" s="775" t="n"/>
      <c r="F296" s="821" t="n"/>
      <c r="G296" s="821" t="n"/>
      <c r="H296" s="818">
        <f>IF(G296=1,F296-I296-J296-K296,IF(G296=2,F296,0))</f>
        <v>0</v>
      </c>
      <c r="I296" s="818">
        <f>ROUND(IF(G296=1,F296*10/23,IF(G296=3,F296-J296-K296,IF(G296=4,F296,IF(G296=5,F296*10/11,IF(G296=7,F296*10/11,0))))),0)</f>
        <v>0</v>
      </c>
      <c r="J296" s="818">
        <f>ROUND(IF(G296=1,F296/23,IF(G296=3,F296/12,IF(G296=5,F296-I296,IF(G296=8,F296,0)))),0)</f>
        <v>0</v>
      </c>
      <c r="K296" s="819">
        <f>ROUND(IF(G296=1,F296/23,IF(G296=3,F296/12,IF(G296=6,F296,IF(G296=7,F296-I296,0)))),0)</f>
        <v>0</v>
      </c>
      <c r="L296" s="820">
        <f>IF(G296=6,F296,0)</f>
        <v>0</v>
      </c>
      <c r="P296" s="768" t="n"/>
      <c r="Q296" s="769" t="str">
        <f>IF($F296="","",IFERROR(VLOOKUP($C296&amp;"|"&amp;$D296,科目表!$A$5:$B$200,2,FALSE),"※未登録"))</f>
        <v/>
      </c>
      <c r="R296" s="769" t="str">
        <f>IF($F296="","",$I296+$J296+$K296)</f>
        <v/>
      </c>
      <c r="S296" s="769" t="str">
        <f>IF(OR($F296="",$P296="支払なし",$H296=0,$Q296=""),"",$Q296&amp;"|S|"&amp;(COUNTIF(S$4:S295,$Q296&amp;"|S|*")+1))</f>
        <v/>
      </c>
      <c r="T296" s="769" t="str">
        <f>IF(OR($F296="",$P296="支払なし",$R296=0,$Q296=""),"",$Q296&amp;"|L|"&amp;(COUNTIF(T$4:T295,$Q296&amp;"|L|*")+1))</f>
        <v/>
      </c>
      <c r="U296" s="769" t="str">
        <f>IF($F296="","",13)</f>
        <v/>
      </c>
    </row>
    <row r="297" ht="16.5" customHeight="1" s="186">
      <c r="A297" s="760" t="n"/>
      <c r="B297" s="760" t="n"/>
      <c r="C297" s="762" t="n"/>
      <c r="D297" s="762" t="n"/>
      <c r="E297" s="775" t="n"/>
      <c r="F297" s="821" t="n"/>
      <c r="G297" s="821" t="n"/>
      <c r="H297" s="818">
        <f>IF(G297=1,F297-I297-J297-K297,IF(G297=2,F297,0))</f>
        <v>0</v>
      </c>
      <c r="I297" s="818">
        <f>ROUND(IF(G297=1,F297*10/23,IF(G297=3,F297-J297-K297,IF(G297=4,F297,IF(G297=5,F297*10/11,IF(G297=7,F297*10/11,0))))),0)</f>
        <v>0</v>
      </c>
      <c r="J297" s="818">
        <f>ROUND(IF(G297=1,F297/23,IF(G297=3,F297/12,IF(G297=5,F297-I297,IF(G297=8,F297,0)))),0)</f>
        <v>0</v>
      </c>
      <c r="K297" s="819">
        <f>ROUND(IF(G297=1,F297/23,IF(G297=3,F297/12,IF(G297=6,F297,IF(G297=7,F297-I297,0)))),0)</f>
        <v>0</v>
      </c>
      <c r="L297" s="820">
        <f>IF(G297=6,F297,0)</f>
        <v>0</v>
      </c>
      <c r="P297" s="768" t="n"/>
      <c r="Q297" s="769" t="str">
        <f>IF($F297="","",IFERROR(VLOOKUP($C297&amp;"|"&amp;$D297,科目表!$A$5:$B$200,2,FALSE),"※未登録"))</f>
        <v/>
      </c>
      <c r="R297" s="769" t="str">
        <f>IF($F297="","",$I297+$J297+$K297)</f>
        <v/>
      </c>
      <c r="S297" s="769" t="str">
        <f>IF(OR($F297="",$P297="支払なし",$H297=0,$Q297=""),"",$Q297&amp;"|S|"&amp;(COUNTIF(S$4:S296,$Q297&amp;"|S|*")+1))</f>
        <v/>
      </c>
      <c r="T297" s="769" t="str">
        <f>IF(OR($F297="",$P297="支払なし",$R297=0,$Q297=""),"",$Q297&amp;"|L|"&amp;(COUNTIF(T$4:T296,$Q297&amp;"|L|*")+1))</f>
        <v/>
      </c>
      <c r="U297" s="769" t="str">
        <f>IF($F297="","",13)</f>
        <v/>
      </c>
    </row>
    <row r="298" ht="16.5" customHeight="1" s="186">
      <c r="A298" s="760" t="n"/>
      <c r="B298" s="760" t="n"/>
      <c r="C298" s="762" t="n"/>
      <c r="D298" s="762" t="n"/>
      <c r="E298" s="775" t="n"/>
      <c r="F298" s="821" t="n"/>
      <c r="G298" s="821" t="n"/>
      <c r="H298" s="818">
        <f>IF(G298=1,F298-I298-J298-K298,IF(G298=2,F298,0))</f>
        <v>0</v>
      </c>
      <c r="I298" s="818">
        <f>ROUND(IF(G298=1,F298*10/23,IF(G298=3,F298-J298-K298,IF(G298=4,F298,IF(G298=5,F298*10/11,IF(G298=7,F298*10/11,0))))),0)</f>
        <v>0</v>
      </c>
      <c r="J298" s="818">
        <f>ROUND(IF(G298=1,F298/23,IF(G298=3,F298/12,IF(G298=5,F298-I298,IF(G298=8,F298,0)))),0)</f>
        <v>0</v>
      </c>
      <c r="K298" s="819">
        <f>ROUND(IF(G298=1,F298/23,IF(G298=3,F298/12,IF(G298=6,F298,IF(G298=7,F298-I298,0)))),0)</f>
        <v>0</v>
      </c>
      <c r="L298" s="820">
        <f>IF(G298=6,F298,0)</f>
        <v>0</v>
      </c>
      <c r="P298" s="768" t="n"/>
      <c r="Q298" s="769" t="str">
        <f>IF($F298="","",IFERROR(VLOOKUP($C298&amp;"|"&amp;$D298,科目表!$A$5:$B$200,2,FALSE),"※未登録"))</f>
        <v/>
      </c>
      <c r="R298" s="769" t="str">
        <f>IF($F298="","",$I298+$J298+$K298)</f>
        <v/>
      </c>
      <c r="S298" s="769" t="str">
        <f>IF(OR($F298="",$P298="支払なし",$H298=0,$Q298=""),"",$Q298&amp;"|S|"&amp;(COUNTIF(S$4:S297,$Q298&amp;"|S|*")+1))</f>
        <v/>
      </c>
      <c r="T298" s="769" t="str">
        <f>IF(OR($F298="",$P298="支払なし",$R298=0,$Q298=""),"",$Q298&amp;"|L|"&amp;(COUNTIF(T$4:T297,$Q298&amp;"|L|*")+1))</f>
        <v/>
      </c>
      <c r="U298" s="769" t="str">
        <f>IF($F298="","",13)</f>
        <v/>
      </c>
    </row>
    <row r="299" ht="16.5" customHeight="1" s="186">
      <c r="A299" s="760" t="n"/>
      <c r="B299" s="760" t="n"/>
      <c r="C299" s="762" t="n"/>
      <c r="D299" s="762" t="n"/>
      <c r="E299" s="775" t="n"/>
      <c r="F299" s="821" t="n"/>
      <c r="G299" s="821" t="n"/>
      <c r="H299" s="818">
        <f>IF(G299=1,F299-I299-J299-K299,IF(G299=2,F299,0))</f>
        <v>0</v>
      </c>
      <c r="I299" s="818">
        <f>ROUND(IF(G299=1,F299*10/23,IF(G299=3,F299-J299-K299,IF(G299=4,F299,IF(G299=5,F299*10/11,IF(G299=7,F299*10/11,0))))),0)</f>
        <v>0</v>
      </c>
      <c r="J299" s="818">
        <f>ROUND(IF(G299=1,F299/23,IF(G299=3,F299/12,IF(G299=5,F299-I299,IF(G299=8,F299,0)))),0)</f>
        <v>0</v>
      </c>
      <c r="K299" s="819">
        <f>ROUND(IF(G299=1,F299/23,IF(G299=3,F299/12,IF(G299=6,F299,IF(G299=7,F299-I299,0)))),0)</f>
        <v>0</v>
      </c>
      <c r="L299" s="820">
        <f>IF(G299=6,F299,0)</f>
        <v>0</v>
      </c>
      <c r="P299" s="768" t="n"/>
      <c r="Q299" s="769" t="str">
        <f>IF($F299="","",IFERROR(VLOOKUP($C299&amp;"|"&amp;$D299,科目表!$A$5:$B$200,2,FALSE),"※未登録"))</f>
        <v/>
      </c>
      <c r="R299" s="769" t="str">
        <f>IF($F299="","",$I299+$J299+$K299)</f>
        <v/>
      </c>
      <c r="S299" s="769" t="str">
        <f>IF(OR($F299="",$P299="支払なし",$H299=0,$Q299=""),"",$Q299&amp;"|S|"&amp;(COUNTIF(S$4:S298,$Q299&amp;"|S|*")+1))</f>
        <v/>
      </c>
      <c r="T299" s="769" t="str">
        <f>IF(OR($F299="",$P299="支払なし",$R299=0,$Q299=""),"",$Q299&amp;"|L|"&amp;(COUNTIF(T$4:T298,$Q299&amp;"|L|*")+1))</f>
        <v/>
      </c>
      <c r="U299" s="769" t="str">
        <f>IF($F299="","",13)</f>
        <v/>
      </c>
    </row>
    <row r="300" ht="16.5" customHeight="1" s="186">
      <c r="A300" s="760" t="n"/>
      <c r="B300" s="760" t="n"/>
      <c r="C300" s="762" t="n"/>
      <c r="D300" s="762" t="n"/>
      <c r="E300" s="775" t="n"/>
      <c r="F300" s="821" t="n"/>
      <c r="G300" s="821" t="n"/>
      <c r="H300" s="818">
        <f>IF(G300=1,F300-I300-J300-K300,IF(G300=2,F300,0))</f>
        <v>0</v>
      </c>
      <c r="I300" s="818">
        <f>ROUND(IF(G300=1,F300*10/23,IF(G300=3,F300-J300-K300,IF(G300=4,F300,IF(G300=5,F300*10/11,IF(G300=7,F300*10/11,0))))),0)</f>
        <v>0</v>
      </c>
      <c r="J300" s="818">
        <f>ROUND(IF(G300=1,F300/23,IF(G300=3,F300/12,IF(G300=5,F300-I300,IF(G300=8,F300,0)))),0)</f>
        <v>0</v>
      </c>
      <c r="K300" s="819">
        <f>ROUND(IF(G300=1,F300/23,IF(G300=3,F300/12,IF(G300=6,F300,IF(G300=7,F300-I300,0)))),0)</f>
        <v>0</v>
      </c>
      <c r="L300" s="820">
        <f>IF(G300=6,F300,0)</f>
        <v>0</v>
      </c>
      <c r="P300" s="768" t="n"/>
      <c r="Q300" s="769" t="str">
        <f>IF($F300="","",IFERROR(VLOOKUP($C300&amp;"|"&amp;$D300,科目表!$A$5:$B$200,2,FALSE),"※未登録"))</f>
        <v/>
      </c>
      <c r="R300" s="769" t="str">
        <f>IF($F300="","",$I300+$J300+$K300)</f>
        <v/>
      </c>
      <c r="S300" s="769" t="str">
        <f>IF(OR($F300="",$P300="支払なし",$H300=0,$Q300=""),"",$Q300&amp;"|S|"&amp;(COUNTIF(S$4:S299,$Q300&amp;"|S|*")+1))</f>
        <v/>
      </c>
      <c r="T300" s="769" t="str">
        <f>IF(OR($F300="",$P300="支払なし",$R300=0,$Q300=""),"",$Q300&amp;"|L|"&amp;(COUNTIF(T$4:T299,$Q300&amp;"|L|*")+1))</f>
        <v/>
      </c>
      <c r="U300" s="769" t="str">
        <f>IF($F300="","",13)</f>
        <v/>
      </c>
    </row>
    <row r="301" ht="16.5" customHeight="1" s="186">
      <c r="A301" s="760" t="n"/>
      <c r="B301" s="760" t="n"/>
      <c r="C301" s="762" t="n"/>
      <c r="D301" s="762" t="n"/>
      <c r="E301" s="775" t="n"/>
      <c r="F301" s="821" t="n"/>
      <c r="G301" s="821" t="n"/>
      <c r="H301" s="818">
        <f>IF(G301=1,F301-I301-J301-K301,IF(G301=2,F301,0))</f>
        <v>0</v>
      </c>
      <c r="I301" s="818">
        <f>ROUND(IF(G301=1,F301*10/23,IF(G301=3,F301-J301-K301,IF(G301=4,F301,IF(G301=5,F301*10/11,IF(G301=7,F301*10/11,0))))),0)</f>
        <v>0</v>
      </c>
      <c r="J301" s="818">
        <f>ROUND(IF(G301=1,F301/23,IF(G301=3,F301/12,IF(G301=5,F301-I301,IF(G301=8,F301,0)))),0)</f>
        <v>0</v>
      </c>
      <c r="K301" s="819">
        <f>ROUND(IF(G301=1,F301/23,IF(G301=3,F301/12,IF(G301=6,F301,IF(G301=7,F301-I301,0)))),0)</f>
        <v>0</v>
      </c>
      <c r="L301" s="820">
        <f>IF(G301=6,F301,0)</f>
        <v>0</v>
      </c>
      <c r="P301" s="768" t="n"/>
      <c r="Q301" s="769" t="str">
        <f>IF($F301="","",IFERROR(VLOOKUP($C301&amp;"|"&amp;$D301,科目表!$A$5:$B$200,2,FALSE),"※未登録"))</f>
        <v/>
      </c>
      <c r="R301" s="769" t="str">
        <f>IF($F301="","",$I301+$J301+$K301)</f>
        <v/>
      </c>
      <c r="S301" s="769" t="str">
        <f>IF(OR($F301="",$P301="支払なし",$H301=0,$Q301=""),"",$Q301&amp;"|S|"&amp;(COUNTIF(S$4:S300,$Q301&amp;"|S|*")+1))</f>
        <v/>
      </c>
      <c r="T301" s="769" t="str">
        <f>IF(OR($F301="",$P301="支払なし",$R301=0,$Q301=""),"",$Q301&amp;"|L|"&amp;(COUNTIF(T$4:T300,$Q301&amp;"|L|*")+1))</f>
        <v/>
      </c>
      <c r="U301" s="769" t="str">
        <f>IF($F301="","",13)</f>
        <v/>
      </c>
    </row>
    <row r="302" ht="16.5" customHeight="1" s="186">
      <c r="A302" s="760" t="n"/>
      <c r="B302" s="760" t="n"/>
      <c r="C302" s="762" t="n"/>
      <c r="D302" s="762" t="n"/>
      <c r="E302" s="775" t="n"/>
      <c r="F302" s="821" t="n"/>
      <c r="G302" s="821" t="n"/>
      <c r="H302" s="818">
        <f>IF(G302=1,F302-I302-J302-K302,IF(G302=2,F302,0))</f>
        <v>0</v>
      </c>
      <c r="I302" s="818">
        <f>ROUND(IF(G302=1,F302*10/23,IF(G302=3,F302-J302-K302,IF(G302=4,F302,IF(G302=5,F302*10/11,IF(G302=7,F302*10/11,0))))),0)</f>
        <v>0</v>
      </c>
      <c r="J302" s="818">
        <f>ROUND(IF(G302=1,F302/23,IF(G302=3,F302/12,IF(G302=5,F302-I302,IF(G302=8,F302,0)))),0)</f>
        <v>0</v>
      </c>
      <c r="K302" s="819">
        <f>ROUND(IF(G302=1,F302/23,IF(G302=3,F302/12,IF(G302=6,F302,IF(G302=7,F302-I302,0)))),0)</f>
        <v>0</v>
      </c>
      <c r="L302" s="820">
        <f>IF(G302=6,F302,0)</f>
        <v>0</v>
      </c>
      <c r="P302" s="768" t="n"/>
      <c r="Q302" s="769" t="str">
        <f>IF($F302="","",IFERROR(VLOOKUP($C302&amp;"|"&amp;$D302,科目表!$A$5:$B$200,2,FALSE),"※未登録"))</f>
        <v/>
      </c>
      <c r="R302" s="769" t="str">
        <f>IF($F302="","",$I302+$J302+$K302)</f>
        <v/>
      </c>
      <c r="S302" s="769" t="str">
        <f>IF(OR($F302="",$P302="支払なし",$H302=0,$Q302=""),"",$Q302&amp;"|S|"&amp;(COUNTIF(S$4:S301,$Q302&amp;"|S|*")+1))</f>
        <v/>
      </c>
      <c r="T302" s="769" t="str">
        <f>IF(OR($F302="",$P302="支払なし",$R302=0,$Q302=""),"",$Q302&amp;"|L|"&amp;(COUNTIF(T$4:T301,$Q302&amp;"|L|*")+1))</f>
        <v/>
      </c>
      <c r="U302" s="769" t="str">
        <f>IF($F302="","",13)</f>
        <v/>
      </c>
    </row>
    <row r="303" ht="16.5" customHeight="1" s="186">
      <c r="A303" s="760" t="n"/>
      <c r="B303" s="760" t="n"/>
      <c r="C303" s="762" t="n"/>
      <c r="D303" s="762" t="n"/>
      <c r="E303" s="775" t="n"/>
      <c r="F303" s="821" t="n"/>
      <c r="G303" s="821" t="n"/>
      <c r="H303" s="818">
        <f>IF(G303=1,F303-I303-J303-K303,IF(G303=2,F303,0))</f>
        <v>0</v>
      </c>
      <c r="I303" s="818">
        <f>ROUND(IF(G303=1,F303*10/23,IF(G303=3,F303-J303-K303,IF(G303=4,F303,IF(G303=5,F303*10/11,IF(G303=7,F303*10/11,0))))),0)</f>
        <v>0</v>
      </c>
      <c r="J303" s="818">
        <f>ROUND(IF(G303=1,F303/23,IF(G303=3,F303/12,IF(G303=5,F303-I303,IF(G303=8,F303,0)))),0)</f>
        <v>0</v>
      </c>
      <c r="K303" s="819">
        <f>ROUND(IF(G303=1,F303/23,IF(G303=3,F303/12,IF(G303=6,F303,IF(G303=7,F303-I303,0)))),0)</f>
        <v>0</v>
      </c>
      <c r="L303" s="820">
        <f>IF(G303=6,F303,0)</f>
        <v>0</v>
      </c>
      <c r="P303" s="768" t="n"/>
      <c r="Q303" s="769" t="str">
        <f>IF($F303="","",IFERROR(VLOOKUP($C303&amp;"|"&amp;$D303,科目表!$A$5:$B$200,2,FALSE),"※未登録"))</f>
        <v/>
      </c>
      <c r="R303" s="769" t="str">
        <f>IF($F303="","",$I303+$J303+$K303)</f>
        <v/>
      </c>
      <c r="S303" s="769" t="str">
        <f>IF(OR($F303="",$P303="支払なし",$H303=0,$Q303=""),"",$Q303&amp;"|S|"&amp;(COUNTIF(S$4:S302,$Q303&amp;"|S|*")+1))</f>
        <v/>
      </c>
      <c r="T303" s="769" t="str">
        <f>IF(OR($F303="",$P303="支払なし",$R303=0,$Q303=""),"",$Q303&amp;"|L|"&amp;(COUNTIF(T$4:T302,$Q303&amp;"|L|*")+1))</f>
        <v/>
      </c>
      <c r="U303" s="769" t="str">
        <f>IF($F303="","",13)</f>
        <v/>
      </c>
    </row>
    <row r="304" ht="16.5" customHeight="1" s="186">
      <c r="A304" s="760" t="n"/>
      <c r="B304" s="760" t="n"/>
      <c r="C304" s="762" t="n"/>
      <c r="D304" s="762" t="n"/>
      <c r="E304" s="775" t="n"/>
      <c r="F304" s="821" t="n"/>
      <c r="G304" s="821" t="n"/>
      <c r="H304" s="818">
        <f>IF(G304=1,F304-I304-J304-K304,IF(G304=2,F304,0))</f>
        <v>0</v>
      </c>
      <c r="I304" s="818">
        <f>ROUND(IF(G304=1,F304*10/23,IF(G304=3,F304-J304-K304,IF(G304=4,F304,IF(G304=5,F304*10/11,IF(G304=7,F304*10/11,0))))),0)</f>
        <v>0</v>
      </c>
      <c r="J304" s="818">
        <f>ROUND(IF(G304=1,F304/23,IF(G304=3,F304/12,IF(G304=5,F304-I304,IF(G304=8,F304,0)))),0)</f>
        <v>0</v>
      </c>
      <c r="K304" s="819">
        <f>ROUND(IF(G304=1,F304/23,IF(G304=3,F304/12,IF(G304=6,F304,IF(G304=7,F304-I304,0)))),0)</f>
        <v>0</v>
      </c>
      <c r="L304" s="820">
        <f>IF(G304=6,F304,0)</f>
        <v>0</v>
      </c>
      <c r="P304" s="768" t="n"/>
      <c r="Q304" s="769" t="str">
        <f>IF($F304="","",IFERROR(VLOOKUP($C304&amp;"|"&amp;$D304,科目表!$A$5:$B$200,2,FALSE),"※未登録"))</f>
        <v/>
      </c>
      <c r="R304" s="769" t="str">
        <f>IF($F304="","",$I304+$J304+$K304)</f>
        <v/>
      </c>
      <c r="S304" s="769" t="str">
        <f>IF(OR($F304="",$P304="支払なし",$H304=0,$Q304=""),"",$Q304&amp;"|S|"&amp;(COUNTIF(S$4:S303,$Q304&amp;"|S|*")+1))</f>
        <v/>
      </c>
      <c r="T304" s="769" t="str">
        <f>IF(OR($F304="",$P304="支払なし",$R304=0,$Q304=""),"",$Q304&amp;"|L|"&amp;(COUNTIF(T$4:T303,$Q304&amp;"|L|*")+1))</f>
        <v/>
      </c>
      <c r="U304" s="769" t="str">
        <f>IF($F304="","",13)</f>
        <v/>
      </c>
    </row>
    <row r="305" ht="16.5" customHeight="1" s="186">
      <c r="A305" s="760" t="n"/>
      <c r="B305" s="760" t="n"/>
      <c r="C305" s="762" t="n"/>
      <c r="D305" s="762" t="n"/>
      <c r="E305" s="775" t="n"/>
      <c r="F305" s="821" t="n"/>
      <c r="G305" s="821" t="n"/>
      <c r="H305" s="818">
        <f>IF(G305=1,F305-I305-J305-K305,IF(G305=2,F305,0))</f>
        <v>0</v>
      </c>
      <c r="I305" s="818">
        <f>ROUND(IF(G305=1,F305*10/23,IF(G305=3,F305-J305-K305,IF(G305=4,F305,IF(G305=5,F305*10/11,IF(G305=7,F305*10/11,0))))),0)</f>
        <v>0</v>
      </c>
      <c r="J305" s="818">
        <f>ROUND(IF(G305=1,F305/23,IF(G305=3,F305/12,IF(G305=5,F305-I305,IF(G305=8,F305,0)))),0)</f>
        <v>0</v>
      </c>
      <c r="K305" s="819">
        <f>ROUND(IF(G305=1,F305/23,IF(G305=3,F305/12,IF(G305=6,F305,IF(G305=7,F305-I305,0)))),0)</f>
        <v>0</v>
      </c>
      <c r="L305" s="820">
        <f>IF(G305=6,F305,0)</f>
        <v>0</v>
      </c>
      <c r="P305" s="768" t="n"/>
      <c r="Q305" s="769" t="str">
        <f>IF($F305="","",IFERROR(VLOOKUP($C305&amp;"|"&amp;$D305,科目表!$A$5:$B$200,2,FALSE),"※未登録"))</f>
        <v/>
      </c>
      <c r="R305" s="769" t="str">
        <f>IF($F305="","",$I305+$J305+$K305)</f>
        <v/>
      </c>
      <c r="S305" s="769" t="str">
        <f>IF(OR($F305="",$P305="支払なし",$H305=0,$Q305=""),"",$Q305&amp;"|S|"&amp;(COUNTIF(S$4:S304,$Q305&amp;"|S|*")+1))</f>
        <v/>
      </c>
      <c r="T305" s="769" t="str">
        <f>IF(OR($F305="",$P305="支払なし",$R305=0,$Q305=""),"",$Q305&amp;"|L|"&amp;(COUNTIF(T$4:T304,$Q305&amp;"|L|*")+1))</f>
        <v/>
      </c>
      <c r="U305" s="769" t="str">
        <f>IF($F305="","",13)</f>
        <v/>
      </c>
    </row>
    <row r="306" ht="16.5" customHeight="1" s="186">
      <c r="A306" s="760" t="n"/>
      <c r="B306" s="760" t="n"/>
      <c r="C306" s="762" t="n"/>
      <c r="D306" s="762" t="n"/>
      <c r="E306" s="775" t="n"/>
      <c r="F306" s="821" t="n"/>
      <c r="G306" s="821" t="n"/>
      <c r="H306" s="818">
        <f>IF(G306=1,F306-I306-J306-K306,IF(G306=2,F306,0))</f>
        <v>0</v>
      </c>
      <c r="I306" s="818">
        <f>ROUND(IF(G306=1,F306*10/23,IF(G306=3,F306-J306-K306,IF(G306=4,F306,IF(G306=5,F306*10/11,IF(G306=7,F306*10/11,0))))),0)</f>
        <v>0</v>
      </c>
      <c r="J306" s="818">
        <f>ROUND(IF(G306=1,F306/23,IF(G306=3,F306/12,IF(G306=5,F306-I306,IF(G306=8,F306,0)))),0)</f>
        <v>0</v>
      </c>
      <c r="K306" s="819">
        <f>ROUND(IF(G306=1,F306/23,IF(G306=3,F306/12,IF(G306=6,F306,IF(G306=7,F306-I306,0)))),0)</f>
        <v>0</v>
      </c>
      <c r="L306" s="820">
        <f>IF(G306=6,F306,0)</f>
        <v>0</v>
      </c>
      <c r="P306" s="768" t="n"/>
      <c r="Q306" s="769" t="str">
        <f>IF($F306="","",IFERROR(VLOOKUP($C306&amp;"|"&amp;$D306,科目表!$A$5:$B$200,2,FALSE),"※未登録"))</f>
        <v/>
      </c>
      <c r="R306" s="769" t="str">
        <f>IF($F306="","",$I306+$J306+$K306)</f>
        <v/>
      </c>
      <c r="S306" s="769" t="str">
        <f>IF(OR($F306="",$P306="支払なし",$H306=0,$Q306=""),"",$Q306&amp;"|S|"&amp;(COUNTIF(S$4:S305,$Q306&amp;"|S|*")+1))</f>
        <v/>
      </c>
      <c r="T306" s="769" t="str">
        <f>IF(OR($F306="",$P306="支払なし",$R306=0,$Q306=""),"",$Q306&amp;"|L|"&amp;(COUNTIF(T$4:T305,$Q306&amp;"|L|*")+1))</f>
        <v/>
      </c>
      <c r="U306" s="769" t="str">
        <f>IF($F306="","",13)</f>
        <v/>
      </c>
    </row>
    <row r="307" ht="16.5" customHeight="1" s="186">
      <c r="A307" s="760" t="n"/>
      <c r="B307" s="760" t="n"/>
      <c r="C307" s="762" t="n"/>
      <c r="D307" s="762" t="n"/>
      <c r="E307" s="775" t="n"/>
      <c r="F307" s="821" t="n"/>
      <c r="G307" s="821" t="n"/>
      <c r="H307" s="818">
        <f>IF(G307=1,F307-I307-J307-K307,IF(G307=2,F307,0))</f>
        <v>0</v>
      </c>
      <c r="I307" s="818">
        <f>ROUND(IF(G307=1,F307*10/23,IF(G307=3,F307-J307-K307,IF(G307=4,F307,IF(G307=5,F307*10/11,IF(G307=7,F307*10/11,0))))),0)</f>
        <v>0</v>
      </c>
      <c r="J307" s="818">
        <f>ROUND(IF(G307=1,F307/23,IF(G307=3,F307/12,IF(G307=5,F307-I307,IF(G307=8,F307,0)))),0)</f>
        <v>0</v>
      </c>
      <c r="K307" s="819">
        <f>ROUND(IF(G307=1,F307/23,IF(G307=3,F307/12,IF(G307=6,F307,IF(G307=7,F307-I307,0)))),0)</f>
        <v>0</v>
      </c>
      <c r="L307" s="820">
        <f>IF(G307=6,F307,0)</f>
        <v>0</v>
      </c>
      <c r="P307" s="768" t="n"/>
      <c r="Q307" s="769" t="str">
        <f>IF($F307="","",IFERROR(VLOOKUP($C307&amp;"|"&amp;$D307,科目表!$A$5:$B$200,2,FALSE),"※未登録"))</f>
        <v/>
      </c>
      <c r="R307" s="769" t="str">
        <f>IF($F307="","",$I307+$J307+$K307)</f>
        <v/>
      </c>
      <c r="S307" s="769" t="str">
        <f>IF(OR($F307="",$P307="支払なし",$H307=0,$Q307=""),"",$Q307&amp;"|S|"&amp;(COUNTIF(S$4:S306,$Q307&amp;"|S|*")+1))</f>
        <v/>
      </c>
      <c r="T307" s="769" t="str">
        <f>IF(OR($F307="",$P307="支払なし",$R307=0,$Q307=""),"",$Q307&amp;"|L|"&amp;(COUNTIF(T$4:T306,$Q307&amp;"|L|*")+1))</f>
        <v/>
      </c>
      <c r="U307" s="769" t="str">
        <f>IF($F307="","",13)</f>
        <v/>
      </c>
    </row>
    <row r="308" ht="16.5" customHeight="1" s="186">
      <c r="A308" s="760" t="n"/>
      <c r="B308" s="760" t="n"/>
      <c r="C308" s="762" t="n"/>
      <c r="D308" s="762" t="n"/>
      <c r="E308" s="775" t="n"/>
      <c r="F308" s="821" t="n"/>
      <c r="G308" s="821" t="n"/>
      <c r="H308" s="818">
        <f>IF(G308=1,F308-I308-J308-K308,IF(G308=2,F308,0))</f>
        <v>0</v>
      </c>
      <c r="I308" s="818">
        <f>ROUND(IF(G308=1,F308*10/23,IF(G308=3,F308-J308-K308,IF(G308=4,F308,IF(G308=5,F308*10/11,IF(G308=7,F308*10/11,0))))),0)</f>
        <v>0</v>
      </c>
      <c r="J308" s="818">
        <f>ROUND(IF(G308=1,F308/23,IF(G308=3,F308/12,IF(G308=5,F308-I308,IF(G308=8,F308,0)))),0)</f>
        <v>0</v>
      </c>
      <c r="K308" s="819">
        <f>ROUND(IF(G308=1,F308/23,IF(G308=3,F308/12,IF(G308=6,F308,IF(G308=7,F308-I308,0)))),0)</f>
        <v>0</v>
      </c>
      <c r="L308" s="820">
        <f>IF(G308=6,F308,0)</f>
        <v>0</v>
      </c>
      <c r="P308" s="768" t="n"/>
      <c r="Q308" s="769" t="str">
        <f>IF($F308="","",IFERROR(VLOOKUP($C308&amp;"|"&amp;$D308,科目表!$A$5:$B$200,2,FALSE),"※未登録"))</f>
        <v/>
      </c>
      <c r="R308" s="769" t="str">
        <f>IF($F308="","",$I308+$J308+$K308)</f>
        <v/>
      </c>
      <c r="S308" s="769" t="str">
        <f>IF(OR($F308="",$P308="支払なし",$H308=0,$Q308=""),"",$Q308&amp;"|S|"&amp;(COUNTIF(S$4:S307,$Q308&amp;"|S|*")+1))</f>
        <v/>
      </c>
      <c r="T308" s="769" t="str">
        <f>IF(OR($F308="",$P308="支払なし",$R308=0,$Q308=""),"",$Q308&amp;"|L|"&amp;(COUNTIF(T$4:T307,$Q308&amp;"|L|*")+1))</f>
        <v/>
      </c>
      <c r="U308" s="769" t="str">
        <f>IF($F308="","",13)</f>
        <v/>
      </c>
    </row>
    <row r="309" ht="16.5" customHeight="1" s="186">
      <c r="A309" s="760" t="n"/>
      <c r="B309" s="760" t="n"/>
      <c r="C309" s="762" t="n"/>
      <c r="D309" s="762" t="n"/>
      <c r="E309" s="775" t="n"/>
      <c r="F309" s="821" t="n"/>
      <c r="G309" s="821" t="n"/>
      <c r="H309" s="818">
        <f>IF(G309=1,F309-I309-J309-K309,IF(G309=2,F309,0))</f>
        <v>0</v>
      </c>
      <c r="I309" s="818">
        <f>ROUND(IF(G309=1,F309*10/23,IF(G309=3,F309-J309-K309,IF(G309=4,F309,IF(G309=5,F309*10/11,IF(G309=7,F309*10/11,0))))),0)</f>
        <v>0</v>
      </c>
      <c r="J309" s="818">
        <f>ROUND(IF(G309=1,F309/23,IF(G309=3,F309/12,IF(G309=5,F309-I309,IF(G309=8,F309,0)))),0)</f>
        <v>0</v>
      </c>
      <c r="K309" s="819">
        <f>ROUND(IF(G309=1,F309/23,IF(G309=3,F309/12,IF(G309=6,F309,IF(G309=7,F309-I309,0)))),0)</f>
        <v>0</v>
      </c>
      <c r="L309" s="820">
        <f>IF(G309=6,F309,0)</f>
        <v>0</v>
      </c>
      <c r="P309" s="768" t="n"/>
      <c r="Q309" s="769" t="str">
        <f>IF($F309="","",IFERROR(VLOOKUP($C309&amp;"|"&amp;$D309,科目表!$A$5:$B$200,2,FALSE),"※未登録"))</f>
        <v/>
      </c>
      <c r="R309" s="769" t="str">
        <f>IF($F309="","",$I309+$J309+$K309)</f>
        <v/>
      </c>
      <c r="S309" s="769" t="str">
        <f>IF(OR($F309="",$P309="支払なし",$H309=0,$Q309=""),"",$Q309&amp;"|S|"&amp;(COUNTIF(S$4:S308,$Q309&amp;"|S|*")+1))</f>
        <v/>
      </c>
      <c r="T309" s="769" t="str">
        <f>IF(OR($F309="",$P309="支払なし",$R309=0,$Q309=""),"",$Q309&amp;"|L|"&amp;(COUNTIF(T$4:T308,$Q309&amp;"|L|*")+1))</f>
        <v/>
      </c>
      <c r="U309" s="769" t="str">
        <f>IF($F309="","",13)</f>
        <v/>
      </c>
    </row>
    <row r="310" ht="16.5" customHeight="1" s="186">
      <c r="A310" s="760" t="n"/>
      <c r="B310" s="760" t="n"/>
      <c r="C310" s="762" t="n"/>
      <c r="D310" s="762" t="n"/>
      <c r="E310" s="775" t="n"/>
      <c r="F310" s="821" t="n"/>
      <c r="G310" s="821" t="n"/>
      <c r="H310" s="818">
        <f>IF(G310=1,F310-I310-J310-K310,IF(G310=2,F310,0))</f>
        <v>0</v>
      </c>
      <c r="I310" s="818">
        <f>ROUND(IF(G310=1,F310*10/23,IF(G310=3,F310-J310-K310,IF(G310=4,F310,IF(G310=5,F310*10/11,IF(G310=7,F310*10/11,0))))),0)</f>
        <v>0</v>
      </c>
      <c r="J310" s="818">
        <f>ROUND(IF(G310=1,F310/23,IF(G310=3,F310/12,IF(G310=5,F310-I310,IF(G310=8,F310,0)))),0)</f>
        <v>0</v>
      </c>
      <c r="K310" s="819">
        <f>ROUND(IF(G310=1,F310/23,IF(G310=3,F310/12,IF(G310=6,F310,IF(G310=7,F310-I310,0)))),0)</f>
        <v>0</v>
      </c>
      <c r="L310" s="820">
        <f>IF(G310=6,F310,0)</f>
        <v>0</v>
      </c>
      <c r="P310" s="768" t="n"/>
      <c r="Q310" s="769" t="str">
        <f>IF($F310="","",IFERROR(VLOOKUP($C310&amp;"|"&amp;$D310,科目表!$A$5:$B$200,2,FALSE),"※未登録"))</f>
        <v/>
      </c>
      <c r="R310" s="769" t="str">
        <f>IF($F310="","",$I310+$J310+$K310)</f>
        <v/>
      </c>
      <c r="S310" s="769" t="str">
        <f>IF(OR($F310="",$P310="支払なし",$H310=0,$Q310=""),"",$Q310&amp;"|S|"&amp;(COUNTIF(S$4:S309,$Q310&amp;"|S|*")+1))</f>
        <v/>
      </c>
      <c r="T310" s="769" t="str">
        <f>IF(OR($F310="",$P310="支払なし",$R310=0,$Q310=""),"",$Q310&amp;"|L|"&amp;(COUNTIF(T$4:T309,$Q310&amp;"|L|*")+1))</f>
        <v/>
      </c>
      <c r="U310" s="769" t="str">
        <f>IF($F310="","",13)</f>
        <v/>
      </c>
    </row>
    <row r="311" ht="16.5" customHeight="1" s="186">
      <c r="A311" s="760" t="n"/>
      <c r="B311" s="760" t="n"/>
      <c r="C311" s="762" t="n"/>
      <c r="D311" s="762" t="n"/>
      <c r="E311" s="775" t="n"/>
      <c r="F311" s="821" t="n"/>
      <c r="G311" s="821" t="n"/>
      <c r="H311" s="818">
        <f>IF(G311=1,F311-I311-J311-K311,IF(G311=2,F311,0))</f>
        <v>0</v>
      </c>
      <c r="I311" s="818">
        <f>ROUND(IF(G311=1,F311*10/23,IF(G311=3,F311-J311-K311,IF(G311=4,F311,IF(G311=5,F311*10/11,IF(G311=7,F311*10/11,0))))),0)</f>
        <v>0</v>
      </c>
      <c r="J311" s="818">
        <f>ROUND(IF(G311=1,F311/23,IF(G311=3,F311/12,IF(G311=5,F311-I311,IF(G311=8,F311,0)))),0)</f>
        <v>0</v>
      </c>
      <c r="K311" s="819">
        <f>ROUND(IF(G311=1,F311/23,IF(G311=3,F311/12,IF(G311=6,F311,IF(G311=7,F311-I311,0)))),0)</f>
        <v>0</v>
      </c>
      <c r="L311" s="820">
        <f>IF(G311=6,F311,0)</f>
        <v>0</v>
      </c>
      <c r="P311" s="768" t="n"/>
      <c r="Q311" s="769" t="str">
        <f>IF($F311="","",IFERROR(VLOOKUP($C311&amp;"|"&amp;$D311,科目表!$A$5:$B$200,2,FALSE),"※未登録"))</f>
        <v/>
      </c>
      <c r="R311" s="769" t="str">
        <f>IF($F311="","",$I311+$J311+$K311)</f>
        <v/>
      </c>
      <c r="S311" s="769" t="str">
        <f>IF(OR($F311="",$P311="支払なし",$H311=0,$Q311=""),"",$Q311&amp;"|S|"&amp;(COUNTIF(S$4:S310,$Q311&amp;"|S|*")+1))</f>
        <v/>
      </c>
      <c r="T311" s="769" t="str">
        <f>IF(OR($F311="",$P311="支払なし",$R311=0,$Q311=""),"",$Q311&amp;"|L|"&amp;(COUNTIF(T$4:T310,$Q311&amp;"|L|*")+1))</f>
        <v/>
      </c>
      <c r="U311" s="769" t="str">
        <f>IF($F311="","",13)</f>
        <v/>
      </c>
    </row>
    <row r="312" ht="16.5" customHeight="1" s="186">
      <c r="A312" s="760" t="n"/>
      <c r="B312" s="760" t="n"/>
      <c r="C312" s="762" t="n"/>
      <c r="D312" s="762" t="n"/>
      <c r="E312" s="775" t="n"/>
      <c r="F312" s="821" t="n"/>
      <c r="G312" s="821" t="n"/>
      <c r="H312" s="818">
        <f>IF(G312=1,F312-I312-J312-K312,IF(G312=2,F312,0))</f>
        <v>0</v>
      </c>
      <c r="I312" s="818">
        <f>ROUND(IF(G312=1,F312*10/23,IF(G312=3,F312-J312-K312,IF(G312=4,F312,IF(G312=5,F312*10/11,IF(G312=7,F312*10/11,0))))),0)</f>
        <v>0</v>
      </c>
      <c r="J312" s="818">
        <f>ROUND(IF(G312=1,F312/23,IF(G312=3,F312/12,IF(G312=5,F312-I312,IF(G312=8,F312,0)))),0)</f>
        <v>0</v>
      </c>
      <c r="K312" s="819">
        <f>ROUND(IF(G312=1,F312/23,IF(G312=3,F312/12,IF(G312=6,F312,IF(G312=7,F312-I312,0)))),0)</f>
        <v>0</v>
      </c>
      <c r="L312" s="820">
        <f>IF(G312=6,F312,0)</f>
        <v>0</v>
      </c>
      <c r="P312" s="768" t="n"/>
      <c r="Q312" s="769" t="str">
        <f>IF($F312="","",IFERROR(VLOOKUP($C312&amp;"|"&amp;$D312,科目表!$A$5:$B$200,2,FALSE),"※未登録"))</f>
        <v/>
      </c>
      <c r="R312" s="769" t="str">
        <f>IF($F312="","",$I312+$J312+$K312)</f>
        <v/>
      </c>
      <c r="S312" s="769" t="str">
        <f>IF(OR($F312="",$P312="支払なし",$H312=0,$Q312=""),"",$Q312&amp;"|S|"&amp;(COUNTIF(S$4:S311,$Q312&amp;"|S|*")+1))</f>
        <v/>
      </c>
      <c r="T312" s="769" t="str">
        <f>IF(OR($F312="",$P312="支払なし",$R312=0,$Q312=""),"",$Q312&amp;"|L|"&amp;(COUNTIF(T$4:T311,$Q312&amp;"|L|*")+1))</f>
        <v/>
      </c>
      <c r="U312" s="769" t="str">
        <f>IF($F312="","",13)</f>
        <v/>
      </c>
    </row>
    <row r="313" ht="16.5" customHeight="1" s="186">
      <c r="A313" s="760" t="n"/>
      <c r="B313" s="760" t="n"/>
      <c r="C313" s="762" t="n"/>
      <c r="D313" s="762" t="n"/>
      <c r="E313" s="775" t="n"/>
      <c r="F313" s="821" t="n"/>
      <c r="G313" s="821" t="n"/>
      <c r="H313" s="818">
        <f>IF(G313=1,F313-I313-J313-K313,IF(G313=2,F313,0))</f>
        <v>0</v>
      </c>
      <c r="I313" s="818">
        <f>ROUND(IF(G313=1,F313*10/23,IF(G313=3,F313-J313-K313,IF(G313=4,F313,IF(G313=5,F313*10/11,IF(G313=7,F313*10/11,0))))),0)</f>
        <v>0</v>
      </c>
      <c r="J313" s="818">
        <f>ROUND(IF(G313=1,F313/23,IF(G313=3,F313/12,IF(G313=5,F313-I313,IF(G313=8,F313,0)))),0)</f>
        <v>0</v>
      </c>
      <c r="K313" s="819">
        <f>ROUND(IF(G313=1,F313/23,IF(G313=3,F313/12,IF(G313=6,F313,IF(G313=7,F313-I313,0)))),0)</f>
        <v>0</v>
      </c>
      <c r="L313" s="820">
        <f>IF(G313=6,F313,0)</f>
        <v>0</v>
      </c>
      <c r="P313" s="768" t="n"/>
      <c r="Q313" s="769" t="str">
        <f>IF($F313="","",IFERROR(VLOOKUP($C313&amp;"|"&amp;$D313,科目表!$A$5:$B$200,2,FALSE),"※未登録"))</f>
        <v/>
      </c>
      <c r="R313" s="769" t="str">
        <f>IF($F313="","",$I313+$J313+$K313)</f>
        <v/>
      </c>
      <c r="S313" s="769" t="str">
        <f>IF(OR($F313="",$P313="支払なし",$H313=0,$Q313=""),"",$Q313&amp;"|S|"&amp;(COUNTIF(S$4:S312,$Q313&amp;"|S|*")+1))</f>
        <v/>
      </c>
      <c r="T313" s="769" t="str">
        <f>IF(OR($F313="",$P313="支払なし",$R313=0,$Q313=""),"",$Q313&amp;"|L|"&amp;(COUNTIF(T$4:T312,$Q313&amp;"|L|*")+1))</f>
        <v/>
      </c>
      <c r="U313" s="769" t="str">
        <f>IF($F313="","",13)</f>
        <v/>
      </c>
    </row>
    <row r="314" ht="16.5" customHeight="1" s="186">
      <c r="A314" s="760" t="n"/>
      <c r="B314" s="760" t="n"/>
      <c r="C314" s="762" t="n"/>
      <c r="D314" s="762" t="n"/>
      <c r="E314" s="775" t="n"/>
      <c r="F314" s="821" t="n"/>
      <c r="G314" s="821" t="n"/>
      <c r="H314" s="818">
        <f>IF(G314=1,F314-I314-J314-K314,IF(G314=2,F314,0))</f>
        <v>0</v>
      </c>
      <c r="I314" s="818">
        <f>ROUND(IF(G314=1,F314*10/23,IF(G314=3,F314-J314-K314,IF(G314=4,F314,IF(G314=5,F314*10/11,IF(G314=7,F314*10/11,0))))),0)</f>
        <v>0</v>
      </c>
      <c r="J314" s="818">
        <f>ROUND(IF(G314=1,F314/23,IF(G314=3,F314/12,IF(G314=5,F314-I314,IF(G314=8,F314,0)))),0)</f>
        <v>0</v>
      </c>
      <c r="K314" s="819">
        <f>ROUND(IF(G314=1,F314/23,IF(G314=3,F314/12,IF(G314=6,F314,IF(G314=7,F314-I314,0)))),0)</f>
        <v>0</v>
      </c>
      <c r="L314" s="820">
        <f>IF(G314=6,F314,0)</f>
        <v>0</v>
      </c>
      <c r="P314" s="768" t="n"/>
      <c r="Q314" s="769" t="str">
        <f>IF($F314="","",IFERROR(VLOOKUP($C314&amp;"|"&amp;$D314,科目表!$A$5:$B$200,2,FALSE),"※未登録"))</f>
        <v/>
      </c>
      <c r="R314" s="769" t="str">
        <f>IF($F314="","",$I314+$J314+$K314)</f>
        <v/>
      </c>
      <c r="S314" s="769" t="str">
        <f>IF(OR($F314="",$P314="支払なし",$H314=0,$Q314=""),"",$Q314&amp;"|S|"&amp;(COUNTIF(S$4:S313,$Q314&amp;"|S|*")+1))</f>
        <v/>
      </c>
      <c r="T314" s="769" t="str">
        <f>IF(OR($F314="",$P314="支払なし",$R314=0,$Q314=""),"",$Q314&amp;"|L|"&amp;(COUNTIF(T$4:T313,$Q314&amp;"|L|*")+1))</f>
        <v/>
      </c>
      <c r="U314" s="769" t="str">
        <f>IF($F314="","",13)</f>
        <v/>
      </c>
    </row>
    <row r="315" ht="16.5" customHeight="1" s="186">
      <c r="A315" s="760" t="n"/>
      <c r="B315" s="760" t="n"/>
      <c r="C315" s="762" t="n"/>
      <c r="D315" s="762" t="n"/>
      <c r="E315" s="775" t="n"/>
      <c r="F315" s="821" t="n"/>
      <c r="G315" s="821" t="n"/>
      <c r="H315" s="818">
        <f>IF(G315=1,F315-I315-J315-K315,IF(G315=2,F315,0))</f>
        <v>0</v>
      </c>
      <c r="I315" s="818">
        <f>ROUND(IF(G315=1,F315*10/23,IF(G315=3,F315-J315-K315,IF(G315=4,F315,IF(G315=5,F315*10/11,IF(G315=7,F315*10/11,0))))),0)</f>
        <v>0</v>
      </c>
      <c r="J315" s="818">
        <f>ROUND(IF(G315=1,F315/23,IF(G315=3,F315/12,IF(G315=5,F315-I315,IF(G315=8,F315,0)))),0)</f>
        <v>0</v>
      </c>
      <c r="K315" s="819">
        <f>ROUND(IF(G315=1,F315/23,IF(G315=3,F315/12,IF(G315=6,F315,IF(G315=7,F315-I315,0)))),0)</f>
        <v>0</v>
      </c>
      <c r="L315" s="820">
        <f>IF(G315=6,F315,0)</f>
        <v>0</v>
      </c>
      <c r="P315" s="768" t="n"/>
      <c r="Q315" s="769" t="str">
        <f>IF($F315="","",IFERROR(VLOOKUP($C315&amp;"|"&amp;$D315,科目表!$A$5:$B$200,2,FALSE),"※未登録"))</f>
        <v/>
      </c>
      <c r="R315" s="769" t="str">
        <f>IF($F315="","",$I315+$J315+$K315)</f>
        <v/>
      </c>
      <c r="S315" s="769" t="str">
        <f>IF(OR($F315="",$P315="支払なし",$H315=0,$Q315=""),"",$Q315&amp;"|S|"&amp;(COUNTIF(S$4:S314,$Q315&amp;"|S|*")+1))</f>
        <v/>
      </c>
      <c r="T315" s="769" t="str">
        <f>IF(OR($F315="",$P315="支払なし",$R315=0,$Q315=""),"",$Q315&amp;"|L|"&amp;(COUNTIF(T$4:T314,$Q315&amp;"|L|*")+1))</f>
        <v/>
      </c>
      <c r="U315" s="769" t="str">
        <f>IF($F315="","",13)</f>
        <v/>
      </c>
    </row>
    <row r="316" ht="16.5" customHeight="1" s="186">
      <c r="A316" s="760" t="n"/>
      <c r="B316" s="760" t="n"/>
      <c r="C316" s="762" t="n"/>
      <c r="D316" s="762" t="n"/>
      <c r="E316" s="775" t="n"/>
      <c r="F316" s="821" t="n"/>
      <c r="G316" s="821" t="n"/>
      <c r="H316" s="818">
        <f>IF(G316=1,F316-I316-J316-K316,IF(G316=2,F316,0))</f>
        <v>0</v>
      </c>
      <c r="I316" s="818">
        <f>ROUND(IF(G316=1,F316*10/23,IF(G316=3,F316-J316-K316,IF(G316=4,F316,IF(G316=5,F316*10/11,IF(G316=7,F316*10/11,0))))),0)</f>
        <v>0</v>
      </c>
      <c r="J316" s="818">
        <f>ROUND(IF(G316=1,F316/23,IF(G316=3,F316/12,IF(G316=5,F316-I316,IF(G316=8,F316,0)))),0)</f>
        <v>0</v>
      </c>
      <c r="K316" s="819">
        <f>ROUND(IF(G316=1,F316/23,IF(G316=3,F316/12,IF(G316=6,F316,IF(G316=7,F316-I316,0)))),0)</f>
        <v>0</v>
      </c>
      <c r="L316" s="820">
        <f>IF(G316=6,F316,0)</f>
        <v>0</v>
      </c>
      <c r="P316" s="768" t="n"/>
      <c r="Q316" s="769" t="str">
        <f>IF($F316="","",IFERROR(VLOOKUP($C316&amp;"|"&amp;$D316,科目表!$A$5:$B$200,2,FALSE),"※未登録"))</f>
        <v/>
      </c>
      <c r="R316" s="769" t="str">
        <f>IF($F316="","",$I316+$J316+$K316)</f>
        <v/>
      </c>
      <c r="S316" s="769" t="str">
        <f>IF(OR($F316="",$P316="支払なし",$H316=0,$Q316=""),"",$Q316&amp;"|S|"&amp;(COUNTIF(S$4:S315,$Q316&amp;"|S|*")+1))</f>
        <v/>
      </c>
      <c r="T316" s="769" t="str">
        <f>IF(OR($F316="",$P316="支払なし",$R316=0,$Q316=""),"",$Q316&amp;"|L|"&amp;(COUNTIF(T$4:T315,$Q316&amp;"|L|*")+1))</f>
        <v/>
      </c>
      <c r="U316" s="769" t="str">
        <f>IF($F316="","",13)</f>
        <v/>
      </c>
    </row>
    <row r="317" ht="16.5" customHeight="1" s="186">
      <c r="A317" s="760" t="n"/>
      <c r="B317" s="760" t="n"/>
      <c r="C317" s="762" t="n"/>
      <c r="D317" s="762" t="n"/>
      <c r="E317" s="775" t="n"/>
      <c r="F317" s="821" t="n"/>
      <c r="G317" s="821" t="n"/>
      <c r="H317" s="818">
        <f>IF(G317=1,F317-I317-J317-K317,IF(G317=2,F317,0))</f>
        <v>0</v>
      </c>
      <c r="I317" s="818">
        <f>ROUND(IF(G317=1,F317*10/23,IF(G317=3,F317-J317-K317,IF(G317=4,F317,IF(G317=5,F317*10/11,IF(G317=7,F317*10/11,0))))),0)</f>
        <v>0</v>
      </c>
      <c r="J317" s="818">
        <f>ROUND(IF(G317=1,F317/23,IF(G317=3,F317/12,IF(G317=5,F317-I317,IF(G317=8,F317,0)))),0)</f>
        <v>0</v>
      </c>
      <c r="K317" s="819">
        <f>ROUND(IF(G317=1,F317/23,IF(G317=3,F317/12,IF(G317=6,F317,IF(G317=7,F317-I317,0)))),0)</f>
        <v>0</v>
      </c>
      <c r="L317" s="820">
        <f>IF(G317=6,F317,0)</f>
        <v>0</v>
      </c>
      <c r="P317" s="768" t="n"/>
      <c r="Q317" s="769" t="str">
        <f>IF($F317="","",IFERROR(VLOOKUP($C317&amp;"|"&amp;$D317,科目表!$A$5:$B$200,2,FALSE),"※未登録"))</f>
        <v/>
      </c>
      <c r="R317" s="769" t="str">
        <f>IF($F317="","",$I317+$J317+$K317)</f>
        <v/>
      </c>
      <c r="S317" s="769" t="str">
        <f>IF(OR($F317="",$P317="支払なし",$H317=0,$Q317=""),"",$Q317&amp;"|S|"&amp;(COUNTIF(S$4:S316,$Q317&amp;"|S|*")+1))</f>
        <v/>
      </c>
      <c r="T317" s="769" t="str">
        <f>IF(OR($F317="",$P317="支払なし",$R317=0,$Q317=""),"",$Q317&amp;"|L|"&amp;(COUNTIF(T$4:T316,$Q317&amp;"|L|*")+1))</f>
        <v/>
      </c>
      <c r="U317" s="769" t="str">
        <f>IF($F317="","",13)</f>
        <v/>
      </c>
    </row>
    <row r="318" ht="16.5" customHeight="1" s="186">
      <c r="A318" s="760" t="n"/>
      <c r="B318" s="760" t="n"/>
      <c r="C318" s="762" t="n"/>
      <c r="D318" s="762" t="n"/>
      <c r="E318" s="775" t="n"/>
      <c r="F318" s="821" t="n"/>
      <c r="G318" s="821" t="n"/>
      <c r="H318" s="818">
        <f>IF(G318=1,F318-I318-J318-K318,IF(G318=2,F318,0))</f>
        <v>0</v>
      </c>
      <c r="I318" s="818">
        <f>ROUND(IF(G318=1,F318*10/23,IF(G318=3,F318-J318-K318,IF(G318=4,F318,IF(G318=5,F318*10/11,IF(G318=7,F318*10/11,0))))),0)</f>
        <v>0</v>
      </c>
      <c r="J318" s="818">
        <f>ROUND(IF(G318=1,F318/23,IF(G318=3,F318/12,IF(G318=5,F318-I318,IF(G318=8,F318,0)))),0)</f>
        <v>0</v>
      </c>
      <c r="K318" s="819">
        <f>ROUND(IF(G318=1,F318/23,IF(G318=3,F318/12,IF(G318=6,F318,IF(G318=7,F318-I318,0)))),0)</f>
        <v>0</v>
      </c>
      <c r="L318" s="820">
        <f>IF(G318=6,F318,0)</f>
        <v>0</v>
      </c>
      <c r="P318" s="768" t="n"/>
      <c r="Q318" s="769" t="str">
        <f>IF($F318="","",IFERROR(VLOOKUP($C318&amp;"|"&amp;$D318,科目表!$A$5:$B$200,2,FALSE),"※未登録"))</f>
        <v/>
      </c>
      <c r="R318" s="769" t="str">
        <f>IF($F318="","",$I318+$J318+$K318)</f>
        <v/>
      </c>
      <c r="S318" s="769" t="str">
        <f>IF(OR($F318="",$P318="支払なし",$H318=0,$Q318=""),"",$Q318&amp;"|S|"&amp;(COUNTIF(S$4:S317,$Q318&amp;"|S|*")+1))</f>
        <v/>
      </c>
      <c r="T318" s="769" t="str">
        <f>IF(OR($F318="",$P318="支払なし",$R318=0,$Q318=""),"",$Q318&amp;"|L|"&amp;(COUNTIF(T$4:T317,$Q318&amp;"|L|*")+1))</f>
        <v/>
      </c>
      <c r="U318" s="769" t="str">
        <f>IF($F318="","",13)</f>
        <v/>
      </c>
    </row>
    <row r="319" ht="16.5" customHeight="1" s="186">
      <c r="A319" s="760" t="n"/>
      <c r="B319" s="760" t="n"/>
      <c r="C319" s="762" t="n"/>
      <c r="D319" s="762" t="n"/>
      <c r="E319" s="775" t="n"/>
      <c r="F319" s="821" t="n"/>
      <c r="G319" s="821" t="n"/>
      <c r="H319" s="818">
        <f>IF(G319=1,F319-I319-J319-K319,IF(G319=2,F319,0))</f>
        <v>0</v>
      </c>
      <c r="I319" s="818">
        <f>ROUND(IF(G319=1,F319*10/23,IF(G319=3,F319-J319-K319,IF(G319=4,F319,IF(G319=5,F319*10/11,IF(G319=7,F319*10/11,0))))),0)</f>
        <v>0</v>
      </c>
      <c r="J319" s="818">
        <f>ROUND(IF(G319=1,F319/23,IF(G319=3,F319/12,IF(G319=5,F319-I319,IF(G319=8,F319,0)))),0)</f>
        <v>0</v>
      </c>
      <c r="K319" s="819">
        <f>ROUND(IF(G319=1,F319/23,IF(G319=3,F319/12,IF(G319=6,F319,IF(G319=7,F319-I319,0)))),0)</f>
        <v>0</v>
      </c>
      <c r="L319" s="820">
        <f>IF(G319=6,F319,0)</f>
        <v>0</v>
      </c>
      <c r="P319" s="768" t="n"/>
      <c r="Q319" s="769" t="str">
        <f>IF($F319="","",IFERROR(VLOOKUP($C319&amp;"|"&amp;$D319,科目表!$A$5:$B$200,2,FALSE),"※未登録"))</f>
        <v/>
      </c>
      <c r="R319" s="769" t="str">
        <f>IF($F319="","",$I319+$J319+$K319)</f>
        <v/>
      </c>
      <c r="S319" s="769" t="str">
        <f>IF(OR($F319="",$P319="支払なし",$H319=0,$Q319=""),"",$Q319&amp;"|S|"&amp;(COUNTIF(S$4:S318,$Q319&amp;"|S|*")+1))</f>
        <v/>
      </c>
      <c r="T319" s="769" t="str">
        <f>IF(OR($F319="",$P319="支払なし",$R319=0,$Q319=""),"",$Q319&amp;"|L|"&amp;(COUNTIF(T$4:T318,$Q319&amp;"|L|*")+1))</f>
        <v/>
      </c>
      <c r="U319" s="769" t="str">
        <f>IF($F319="","",13)</f>
        <v/>
      </c>
    </row>
    <row r="320" ht="16.5" customHeight="1" s="186">
      <c r="A320" s="760" t="n"/>
      <c r="B320" s="760" t="n"/>
      <c r="C320" s="762" t="n"/>
      <c r="D320" s="762" t="n"/>
      <c r="E320" s="775" t="n"/>
      <c r="F320" s="821" t="n"/>
      <c r="G320" s="821" t="n"/>
      <c r="H320" s="818">
        <f>IF(G320=1,F320-I320-J320-K320,IF(G320=2,F320,0))</f>
        <v>0</v>
      </c>
      <c r="I320" s="818">
        <f>ROUND(IF(G320=1,F320*10/23,IF(G320=3,F320-J320-K320,IF(G320=4,F320,IF(G320=5,F320*10/11,IF(G320=7,F320*10/11,0))))),0)</f>
        <v>0</v>
      </c>
      <c r="J320" s="818">
        <f>ROUND(IF(G320=1,F320/23,IF(G320=3,F320/12,IF(G320=5,F320-I320,IF(G320=8,F320,0)))),0)</f>
        <v>0</v>
      </c>
      <c r="K320" s="819">
        <f>ROUND(IF(G320=1,F320/23,IF(G320=3,F320/12,IF(G320=6,F320,IF(G320=7,F320-I320,0)))),0)</f>
        <v>0</v>
      </c>
      <c r="L320" s="820">
        <f>IF(G320=6,F320,0)</f>
        <v>0</v>
      </c>
      <c r="P320" s="768" t="n"/>
      <c r="Q320" s="769" t="str">
        <f>IF($F320="","",IFERROR(VLOOKUP($C320&amp;"|"&amp;$D320,科目表!$A$5:$B$200,2,FALSE),"※未登録"))</f>
        <v/>
      </c>
      <c r="R320" s="769" t="str">
        <f>IF($F320="","",$I320+$J320+$K320)</f>
        <v/>
      </c>
      <c r="S320" s="769" t="str">
        <f>IF(OR($F320="",$P320="支払なし",$H320=0,$Q320=""),"",$Q320&amp;"|S|"&amp;(COUNTIF(S$4:S319,$Q320&amp;"|S|*")+1))</f>
        <v/>
      </c>
      <c r="T320" s="769" t="str">
        <f>IF(OR($F320="",$P320="支払なし",$R320=0,$Q320=""),"",$Q320&amp;"|L|"&amp;(COUNTIF(T$4:T319,$Q320&amp;"|L|*")+1))</f>
        <v/>
      </c>
      <c r="U320" s="769" t="str">
        <f>IF($F320="","",13)</f>
        <v/>
      </c>
    </row>
    <row r="321" ht="16.5" customHeight="1" s="186">
      <c r="A321" s="760" t="n"/>
      <c r="B321" s="760" t="n"/>
      <c r="C321" s="762" t="n"/>
      <c r="D321" s="762" t="n"/>
      <c r="E321" s="775" t="n"/>
      <c r="F321" s="821" t="n"/>
      <c r="G321" s="821" t="n"/>
      <c r="H321" s="818">
        <f>IF(G321=1,F321-I321-J321-K321,IF(G321=2,F321,0))</f>
        <v>0</v>
      </c>
      <c r="I321" s="818">
        <f>ROUND(IF(G321=1,F321*10/23,IF(G321=3,F321-J321-K321,IF(G321=4,F321,IF(G321=5,F321*10/11,IF(G321=7,F321*10/11,0))))),0)</f>
        <v>0</v>
      </c>
      <c r="J321" s="818">
        <f>ROUND(IF(G321=1,F321/23,IF(G321=3,F321/12,IF(G321=5,F321-I321,IF(G321=8,F321,0)))),0)</f>
        <v>0</v>
      </c>
      <c r="K321" s="819">
        <f>ROUND(IF(G321=1,F321/23,IF(G321=3,F321/12,IF(G321=6,F321,IF(G321=7,F321-I321,0)))),0)</f>
        <v>0</v>
      </c>
      <c r="L321" s="820">
        <f>IF(G321=6,F321,0)</f>
        <v>0</v>
      </c>
      <c r="P321" s="768" t="n"/>
      <c r="Q321" s="769" t="str">
        <f>IF($F321="","",IFERROR(VLOOKUP($C321&amp;"|"&amp;$D321,科目表!$A$5:$B$200,2,FALSE),"※未登録"))</f>
        <v/>
      </c>
      <c r="R321" s="769" t="str">
        <f>IF($F321="","",$I321+$J321+$K321)</f>
        <v/>
      </c>
      <c r="S321" s="769" t="str">
        <f>IF(OR($F321="",$P321="支払なし",$H321=0,$Q321=""),"",$Q321&amp;"|S|"&amp;(COUNTIF(S$4:S320,$Q321&amp;"|S|*")+1))</f>
        <v/>
      </c>
      <c r="T321" s="769" t="str">
        <f>IF(OR($F321="",$P321="支払なし",$R321=0,$Q321=""),"",$Q321&amp;"|L|"&amp;(COUNTIF(T$4:T320,$Q321&amp;"|L|*")+1))</f>
        <v/>
      </c>
      <c r="U321" s="769" t="str">
        <f>IF($F321="","",13)</f>
        <v/>
      </c>
    </row>
    <row r="322" ht="16.5" customHeight="1" s="186">
      <c r="A322" s="760" t="n"/>
      <c r="B322" s="760" t="n"/>
      <c r="C322" s="762" t="n"/>
      <c r="D322" s="762" t="n"/>
      <c r="E322" s="775" t="n"/>
      <c r="F322" s="821" t="n"/>
      <c r="G322" s="821" t="n"/>
      <c r="H322" s="818">
        <f>IF(G322=1,F322-I322-J322-K322,IF(G322=2,F322,0))</f>
        <v>0</v>
      </c>
      <c r="I322" s="818">
        <f>ROUND(IF(G322=1,F322*10/23,IF(G322=3,F322-J322-K322,IF(G322=4,F322,IF(G322=5,F322*10/11,IF(G322=7,F322*10/11,0))))),0)</f>
        <v>0</v>
      </c>
      <c r="J322" s="818">
        <f>ROUND(IF(G322=1,F322/23,IF(G322=3,F322/12,IF(G322=5,F322-I322,IF(G322=8,F322,0)))),0)</f>
        <v>0</v>
      </c>
      <c r="K322" s="819">
        <f>ROUND(IF(G322=1,F322/23,IF(G322=3,F322/12,IF(G322=6,F322,IF(G322=7,F322-I322,0)))),0)</f>
        <v>0</v>
      </c>
      <c r="L322" s="820">
        <f>IF(G322=6,F322,0)</f>
        <v>0</v>
      </c>
      <c r="P322" s="768" t="n"/>
      <c r="Q322" s="769" t="str">
        <f>IF($F322="","",IFERROR(VLOOKUP($C322&amp;"|"&amp;$D322,科目表!$A$5:$B$200,2,FALSE),"※未登録"))</f>
        <v/>
      </c>
      <c r="R322" s="769" t="str">
        <f>IF($F322="","",$I322+$J322+$K322)</f>
        <v/>
      </c>
      <c r="S322" s="769" t="str">
        <f>IF(OR($F322="",$P322="支払なし",$H322=0,$Q322=""),"",$Q322&amp;"|S|"&amp;(COUNTIF(S$4:S321,$Q322&amp;"|S|*")+1))</f>
        <v/>
      </c>
      <c r="T322" s="769" t="str">
        <f>IF(OR($F322="",$P322="支払なし",$R322=0,$Q322=""),"",$Q322&amp;"|L|"&amp;(COUNTIF(T$4:T321,$Q322&amp;"|L|*")+1))</f>
        <v/>
      </c>
      <c r="U322" s="769" t="str">
        <f>IF($F322="","",13)</f>
        <v/>
      </c>
    </row>
    <row r="323" ht="16.5" customHeight="1" s="186">
      <c r="A323" s="760" t="n"/>
      <c r="B323" s="760" t="n"/>
      <c r="C323" s="762" t="n"/>
      <c r="D323" s="762" t="n"/>
      <c r="E323" s="775" t="n"/>
      <c r="F323" s="821" t="n"/>
      <c r="G323" s="821" t="n"/>
      <c r="H323" s="818">
        <f>IF(G323=1,F323-I323-J323-K323,IF(G323=2,F323,0))</f>
        <v>0</v>
      </c>
      <c r="I323" s="818">
        <f>ROUND(IF(G323=1,F323*10/23,IF(G323=3,F323-J323-K323,IF(G323=4,F323,IF(G323=5,F323*10/11,IF(G323=7,F323*10/11,0))))),0)</f>
        <v>0</v>
      </c>
      <c r="J323" s="818">
        <f>ROUND(IF(G323=1,F323/23,IF(G323=3,F323/12,IF(G323=5,F323-I323,IF(G323=8,F323,0)))),0)</f>
        <v>0</v>
      </c>
      <c r="K323" s="819">
        <f>ROUND(IF(G323=1,F323/23,IF(G323=3,F323/12,IF(G323=6,F323,IF(G323=7,F323-I323,0)))),0)</f>
        <v>0</v>
      </c>
      <c r="L323" s="820">
        <f>IF(G323=6,F323,0)</f>
        <v>0</v>
      </c>
      <c r="P323" s="768" t="n"/>
      <c r="Q323" s="769" t="str">
        <f>IF($F323="","",IFERROR(VLOOKUP($C323&amp;"|"&amp;$D323,科目表!$A$5:$B$200,2,FALSE),"※未登録"))</f>
        <v/>
      </c>
      <c r="R323" s="769" t="str">
        <f>IF($F323="","",$I323+$J323+$K323)</f>
        <v/>
      </c>
      <c r="S323" s="769" t="str">
        <f>IF(OR($F323="",$P323="支払なし",$H323=0,$Q323=""),"",$Q323&amp;"|S|"&amp;(COUNTIF(S$4:S322,$Q323&amp;"|S|*")+1))</f>
        <v/>
      </c>
      <c r="T323" s="769" t="str">
        <f>IF(OR($F323="",$P323="支払なし",$R323=0,$Q323=""),"",$Q323&amp;"|L|"&amp;(COUNTIF(T$4:T322,$Q323&amp;"|L|*")+1))</f>
        <v/>
      </c>
      <c r="U323" s="769" t="str">
        <f>IF($F323="","",13)</f>
        <v/>
      </c>
    </row>
    <row r="324" ht="16.5" customHeight="1" s="186">
      <c r="A324" s="760" t="n"/>
      <c r="B324" s="760" t="n"/>
      <c r="C324" s="762" t="n"/>
      <c r="D324" s="762" t="n"/>
      <c r="E324" s="775" t="n"/>
      <c r="F324" s="821" t="n"/>
      <c r="G324" s="821" t="n"/>
      <c r="H324" s="818">
        <f>IF(G324=1,F324-I324-J324-K324,IF(G324=2,F324,0))</f>
        <v>0</v>
      </c>
      <c r="I324" s="818">
        <f>ROUND(IF(G324=1,F324*10/23,IF(G324=3,F324-J324-K324,IF(G324=4,F324,IF(G324=5,F324*10/11,IF(G324=7,F324*10/11,0))))),0)</f>
        <v>0</v>
      </c>
      <c r="J324" s="818">
        <f>ROUND(IF(G324=1,F324/23,IF(G324=3,F324/12,IF(G324=5,F324-I324,IF(G324=8,F324,0)))),0)</f>
        <v>0</v>
      </c>
      <c r="K324" s="819">
        <f>ROUND(IF(G324=1,F324/23,IF(G324=3,F324/12,IF(G324=6,F324,IF(G324=7,F324-I324,0)))),0)</f>
        <v>0</v>
      </c>
      <c r="L324" s="820">
        <f>IF(G324=6,F324,0)</f>
        <v>0</v>
      </c>
      <c r="P324" s="768" t="n"/>
      <c r="Q324" s="769" t="str">
        <f>IF($F324="","",IFERROR(VLOOKUP($C324&amp;"|"&amp;$D324,科目表!$A$5:$B$200,2,FALSE),"※未登録"))</f>
        <v/>
      </c>
      <c r="R324" s="769" t="str">
        <f>IF($F324="","",$I324+$J324+$K324)</f>
        <v/>
      </c>
      <c r="S324" s="769" t="str">
        <f>IF(OR($F324="",$P324="支払なし",$H324=0,$Q324=""),"",$Q324&amp;"|S|"&amp;(COUNTIF(S$4:S323,$Q324&amp;"|S|*")+1))</f>
        <v/>
      </c>
      <c r="T324" s="769" t="str">
        <f>IF(OR($F324="",$P324="支払なし",$R324=0,$Q324=""),"",$Q324&amp;"|L|"&amp;(COUNTIF(T$4:T323,$Q324&amp;"|L|*")+1))</f>
        <v/>
      </c>
      <c r="U324" s="769" t="str">
        <f>IF($F324="","",13)</f>
        <v/>
      </c>
    </row>
    <row r="325" ht="16.5" customHeight="1" s="186">
      <c r="A325" s="760" t="n"/>
      <c r="B325" s="760" t="n"/>
      <c r="C325" s="762" t="n"/>
      <c r="D325" s="762" t="n"/>
      <c r="E325" s="775" t="n"/>
      <c r="F325" s="821" t="n"/>
      <c r="G325" s="821" t="n"/>
      <c r="H325" s="818">
        <f>IF(G325=1,F325-I325-J325-K325,IF(G325=2,F325,0))</f>
        <v>0</v>
      </c>
      <c r="I325" s="818">
        <f>ROUND(IF(G325=1,F325*10/23,IF(G325=3,F325-J325-K325,IF(G325=4,F325,IF(G325=5,F325*10/11,IF(G325=7,F325*10/11,0))))),0)</f>
        <v>0</v>
      </c>
      <c r="J325" s="818">
        <f>ROUND(IF(G325=1,F325/23,IF(G325=3,F325/12,IF(G325=5,F325-I325,IF(G325=8,F325,0)))),0)</f>
        <v>0</v>
      </c>
      <c r="K325" s="819">
        <f>ROUND(IF(G325=1,F325/23,IF(G325=3,F325/12,IF(G325=6,F325,IF(G325=7,F325-I325,0)))),0)</f>
        <v>0</v>
      </c>
      <c r="L325" s="820">
        <f>IF(G325=6,F325,0)</f>
        <v>0</v>
      </c>
      <c r="P325" s="768" t="n"/>
      <c r="Q325" s="769" t="str">
        <f>IF($F325="","",IFERROR(VLOOKUP($C325&amp;"|"&amp;$D325,科目表!$A$5:$B$200,2,FALSE),"※未登録"))</f>
        <v/>
      </c>
      <c r="R325" s="769" t="str">
        <f>IF($F325="","",$I325+$J325+$K325)</f>
        <v/>
      </c>
      <c r="S325" s="769" t="str">
        <f>IF(OR($F325="",$P325="支払なし",$H325=0,$Q325=""),"",$Q325&amp;"|S|"&amp;(COUNTIF(S$4:S324,$Q325&amp;"|S|*")+1))</f>
        <v/>
      </c>
      <c r="T325" s="769" t="str">
        <f>IF(OR($F325="",$P325="支払なし",$R325=0,$Q325=""),"",$Q325&amp;"|L|"&amp;(COUNTIF(T$4:T324,$Q325&amp;"|L|*")+1))</f>
        <v/>
      </c>
      <c r="U325" s="769" t="str">
        <f>IF($F325="","",13)</f>
        <v/>
      </c>
    </row>
    <row r="326" ht="16.5" customHeight="1" s="186">
      <c r="A326" s="760" t="n"/>
      <c r="B326" s="760" t="n"/>
      <c r="C326" s="762" t="n"/>
      <c r="D326" s="762" t="n"/>
      <c r="E326" s="775" t="n"/>
      <c r="F326" s="821" t="n"/>
      <c r="G326" s="821" t="n"/>
      <c r="H326" s="818">
        <f>IF(G326=1,F326-I326-J326-K326,IF(G326=2,F326,0))</f>
        <v>0</v>
      </c>
      <c r="I326" s="818">
        <f>ROUND(IF(G326=1,F326*10/23,IF(G326=3,F326-J326-K326,IF(G326=4,F326,IF(G326=5,F326*10/11,IF(G326=7,F326*10/11,0))))),0)</f>
        <v>0</v>
      </c>
      <c r="J326" s="818">
        <f>ROUND(IF(G326=1,F326/23,IF(G326=3,F326/12,IF(G326=5,F326-I326,IF(G326=8,F326,0)))),0)</f>
        <v>0</v>
      </c>
      <c r="K326" s="819">
        <f>ROUND(IF(G326=1,F326/23,IF(G326=3,F326/12,IF(G326=6,F326,IF(G326=7,F326-I326,0)))),0)</f>
        <v>0</v>
      </c>
      <c r="L326" s="820">
        <f>IF(G326=6,F326,0)</f>
        <v>0</v>
      </c>
      <c r="P326" s="768" t="n"/>
      <c r="Q326" s="769" t="str">
        <f>IF($F326="","",IFERROR(VLOOKUP($C326&amp;"|"&amp;$D326,科目表!$A$5:$B$200,2,FALSE),"※未登録"))</f>
        <v/>
      </c>
      <c r="R326" s="769" t="str">
        <f>IF($F326="","",$I326+$J326+$K326)</f>
        <v/>
      </c>
      <c r="S326" s="769" t="str">
        <f>IF(OR($F326="",$P326="支払なし",$H326=0,$Q326=""),"",$Q326&amp;"|S|"&amp;(COUNTIF(S$4:S325,$Q326&amp;"|S|*")+1))</f>
        <v/>
      </c>
      <c r="T326" s="769" t="str">
        <f>IF(OR($F326="",$P326="支払なし",$R326=0,$Q326=""),"",$Q326&amp;"|L|"&amp;(COUNTIF(T$4:T325,$Q326&amp;"|L|*")+1))</f>
        <v/>
      </c>
      <c r="U326" s="769" t="str">
        <f>IF($F326="","",13)</f>
        <v/>
      </c>
    </row>
    <row r="327" ht="16.5" customHeight="1" s="186">
      <c r="A327" s="760" t="n"/>
      <c r="B327" s="760" t="n"/>
      <c r="C327" s="762" t="n"/>
      <c r="D327" s="762" t="n"/>
      <c r="E327" s="775" t="n"/>
      <c r="F327" s="821" t="n"/>
      <c r="G327" s="821" t="n"/>
      <c r="H327" s="818">
        <f>IF(G327=1,F327-I327-J327-K327,IF(G327=2,F327,0))</f>
        <v>0</v>
      </c>
      <c r="I327" s="818">
        <f>ROUND(IF(G327=1,F327*10/23,IF(G327=3,F327-J327-K327,IF(G327=4,F327,IF(G327=5,F327*10/11,IF(G327=7,F327*10/11,0))))),0)</f>
        <v>0</v>
      </c>
      <c r="J327" s="818">
        <f>ROUND(IF(G327=1,F327/23,IF(G327=3,F327/12,IF(G327=5,F327-I327,IF(G327=8,F327,0)))),0)</f>
        <v>0</v>
      </c>
      <c r="K327" s="819">
        <f>ROUND(IF(G327=1,F327/23,IF(G327=3,F327/12,IF(G327=6,F327,IF(G327=7,F327-I327,0)))),0)</f>
        <v>0</v>
      </c>
      <c r="L327" s="820">
        <f>IF(G327=6,F327,0)</f>
        <v>0</v>
      </c>
      <c r="P327" s="768" t="n"/>
      <c r="Q327" s="769" t="str">
        <f>IF($F327="","",IFERROR(VLOOKUP($C327&amp;"|"&amp;$D327,科目表!$A$5:$B$200,2,FALSE),"※未登録"))</f>
        <v/>
      </c>
      <c r="R327" s="769" t="str">
        <f>IF($F327="","",$I327+$J327+$K327)</f>
        <v/>
      </c>
      <c r="S327" s="769" t="str">
        <f>IF(OR($F327="",$P327="支払なし",$H327=0,$Q327=""),"",$Q327&amp;"|S|"&amp;(COUNTIF(S$4:S326,$Q327&amp;"|S|*")+1))</f>
        <v/>
      </c>
      <c r="T327" s="769" t="str">
        <f>IF(OR($F327="",$P327="支払なし",$R327=0,$Q327=""),"",$Q327&amp;"|L|"&amp;(COUNTIF(T$4:T326,$Q327&amp;"|L|*")+1))</f>
        <v/>
      </c>
      <c r="U327" s="769" t="str">
        <f>IF($F327="","",13)</f>
        <v/>
      </c>
    </row>
    <row r="328" ht="16.5" customHeight="1" s="186">
      <c r="A328" s="760" t="n"/>
      <c r="B328" s="760" t="n"/>
      <c r="C328" s="762" t="n"/>
      <c r="D328" s="762" t="n"/>
      <c r="E328" s="775" t="n"/>
      <c r="F328" s="821" t="n"/>
      <c r="G328" s="821" t="n"/>
      <c r="H328" s="818">
        <f>IF(G328=1,F328-I328-J328-K328,IF(G328=2,F328,0))</f>
        <v>0</v>
      </c>
      <c r="I328" s="818">
        <f>ROUND(IF(G328=1,F328*10/23,IF(G328=3,F328-J328-K328,IF(G328=4,F328,IF(G328=5,F328*10/11,IF(G328=7,F328*10/11,0))))),0)</f>
        <v>0</v>
      </c>
      <c r="J328" s="818">
        <f>ROUND(IF(G328=1,F328/23,IF(G328=3,F328/12,IF(G328=5,F328-I328,IF(G328=8,F328,0)))),0)</f>
        <v>0</v>
      </c>
      <c r="K328" s="819">
        <f>ROUND(IF(G328=1,F328/23,IF(G328=3,F328/12,IF(G328=6,F328,IF(G328=7,F328-I328,0)))),0)</f>
        <v>0</v>
      </c>
      <c r="L328" s="820">
        <f>IF(G328=6,F328,0)</f>
        <v>0</v>
      </c>
      <c r="P328" s="768" t="n"/>
      <c r="Q328" s="769" t="str">
        <f>IF($F328="","",IFERROR(VLOOKUP($C328&amp;"|"&amp;$D328,科目表!$A$5:$B$200,2,FALSE),"※未登録"))</f>
        <v/>
      </c>
      <c r="R328" s="769" t="str">
        <f>IF($F328="","",$I328+$J328+$K328)</f>
        <v/>
      </c>
      <c r="S328" s="769" t="str">
        <f>IF(OR($F328="",$P328="支払なし",$H328=0,$Q328=""),"",$Q328&amp;"|S|"&amp;(COUNTIF(S$4:S327,$Q328&amp;"|S|*")+1))</f>
        <v/>
      </c>
      <c r="T328" s="769" t="str">
        <f>IF(OR($F328="",$P328="支払なし",$R328=0,$Q328=""),"",$Q328&amp;"|L|"&amp;(COUNTIF(T$4:T327,$Q328&amp;"|L|*")+1))</f>
        <v/>
      </c>
      <c r="U328" s="769" t="str">
        <f>IF($F328="","",13)</f>
        <v/>
      </c>
    </row>
    <row r="329" ht="16.5" customHeight="1" s="186">
      <c r="A329" s="760" t="n"/>
      <c r="B329" s="760" t="n"/>
      <c r="C329" s="762" t="n"/>
      <c r="D329" s="762" t="n"/>
      <c r="E329" s="775" t="n"/>
      <c r="F329" s="821" t="n"/>
      <c r="G329" s="821" t="n"/>
      <c r="H329" s="818">
        <f>IF(G329=1,F329-I329-J329-K329,IF(G329=2,F329,0))</f>
        <v>0</v>
      </c>
      <c r="I329" s="818">
        <f>ROUND(IF(G329=1,F329*10/23,IF(G329=3,F329-J329-K329,IF(G329=4,F329,IF(G329=5,F329*10/11,IF(G329=7,F329*10/11,0))))),0)</f>
        <v>0</v>
      </c>
      <c r="J329" s="818">
        <f>ROUND(IF(G329=1,F329/23,IF(G329=3,F329/12,IF(G329=5,F329-I329,IF(G329=8,F329,0)))),0)</f>
        <v>0</v>
      </c>
      <c r="K329" s="819">
        <f>ROUND(IF(G329=1,F329/23,IF(G329=3,F329/12,IF(G329=6,F329,IF(G329=7,F329-I329,0)))),0)</f>
        <v>0</v>
      </c>
      <c r="L329" s="820">
        <f>IF(G329=6,F329,0)</f>
        <v>0</v>
      </c>
      <c r="P329" s="768" t="n"/>
      <c r="Q329" s="769" t="str">
        <f>IF($F329="","",IFERROR(VLOOKUP($C329&amp;"|"&amp;$D329,科目表!$A$5:$B$200,2,FALSE),"※未登録"))</f>
        <v/>
      </c>
      <c r="R329" s="769" t="str">
        <f>IF($F329="","",$I329+$J329+$K329)</f>
        <v/>
      </c>
      <c r="S329" s="769" t="str">
        <f>IF(OR($F329="",$P329="支払なし",$H329=0,$Q329=""),"",$Q329&amp;"|S|"&amp;(COUNTIF(S$4:S328,$Q329&amp;"|S|*")+1))</f>
        <v/>
      </c>
      <c r="T329" s="769" t="str">
        <f>IF(OR($F329="",$P329="支払なし",$R329=0,$Q329=""),"",$Q329&amp;"|L|"&amp;(COUNTIF(T$4:T328,$Q329&amp;"|L|*")+1))</f>
        <v/>
      </c>
      <c r="U329" s="769" t="str">
        <f>IF($F329="","",13)</f>
        <v/>
      </c>
    </row>
    <row r="330" ht="16.5" customHeight="1" s="186">
      <c r="A330" s="760" t="n"/>
      <c r="B330" s="760" t="n"/>
      <c r="C330" s="762" t="n"/>
      <c r="D330" s="762" t="n"/>
      <c r="E330" s="775" t="n"/>
      <c r="F330" s="821" t="n"/>
      <c r="G330" s="821" t="n"/>
      <c r="H330" s="818">
        <f>IF(G330=1,F330-I330-J330-K330,IF(G330=2,F330,0))</f>
        <v>0</v>
      </c>
      <c r="I330" s="818">
        <f>ROUND(IF(G330=1,F330*10/23,IF(G330=3,F330-J330-K330,IF(G330=4,F330,IF(G330=5,F330*10/11,IF(G330=7,F330*10/11,0))))),0)</f>
        <v>0</v>
      </c>
      <c r="J330" s="818">
        <f>ROUND(IF(G330=1,F330/23,IF(G330=3,F330/12,IF(G330=5,F330-I330,IF(G330=8,F330,0)))),0)</f>
        <v>0</v>
      </c>
      <c r="K330" s="819">
        <f>ROUND(IF(G330=1,F330/23,IF(G330=3,F330/12,IF(G330=6,F330,IF(G330=7,F330-I330,0)))),0)</f>
        <v>0</v>
      </c>
      <c r="L330" s="820">
        <f>IF(G330=6,F330,0)</f>
        <v>0</v>
      </c>
      <c r="P330" s="768" t="n"/>
      <c r="Q330" s="769" t="str">
        <f>IF($F330="","",IFERROR(VLOOKUP($C330&amp;"|"&amp;$D330,科目表!$A$5:$B$200,2,FALSE),"※未登録"))</f>
        <v/>
      </c>
      <c r="R330" s="769" t="str">
        <f>IF($F330="","",$I330+$J330+$K330)</f>
        <v/>
      </c>
      <c r="S330" s="769" t="str">
        <f>IF(OR($F330="",$P330="支払なし",$H330=0,$Q330=""),"",$Q330&amp;"|S|"&amp;(COUNTIF(S$4:S329,$Q330&amp;"|S|*")+1))</f>
        <v/>
      </c>
      <c r="T330" s="769" t="str">
        <f>IF(OR($F330="",$P330="支払なし",$R330=0,$Q330=""),"",$Q330&amp;"|L|"&amp;(COUNTIF(T$4:T329,$Q330&amp;"|L|*")+1))</f>
        <v/>
      </c>
      <c r="U330" s="769" t="str">
        <f>IF($F330="","",13)</f>
        <v/>
      </c>
    </row>
    <row r="331" ht="16.5" customHeight="1" s="186">
      <c r="A331" s="760" t="n"/>
      <c r="B331" s="760" t="n"/>
      <c r="C331" s="762" t="n"/>
      <c r="D331" s="762" t="n"/>
      <c r="E331" s="775" t="n"/>
      <c r="F331" s="821" t="n"/>
      <c r="G331" s="821" t="n"/>
      <c r="H331" s="818">
        <f>IF(G331=1,F331-I331-J331-K331,IF(G331=2,F331,0))</f>
        <v>0</v>
      </c>
      <c r="I331" s="818">
        <f>ROUND(IF(G331=1,F331*10/23,IF(G331=3,F331-J331-K331,IF(G331=4,F331,IF(G331=5,F331*10/11,IF(G331=7,F331*10/11,0))))),0)</f>
        <v>0</v>
      </c>
      <c r="J331" s="818">
        <f>ROUND(IF(G331=1,F331/23,IF(G331=3,F331/12,IF(G331=5,F331-I331,IF(G331=8,F331,0)))),0)</f>
        <v>0</v>
      </c>
      <c r="K331" s="819">
        <f>ROUND(IF(G331=1,F331/23,IF(G331=3,F331/12,IF(G331=6,F331,IF(G331=7,F331-I331,0)))),0)</f>
        <v>0</v>
      </c>
      <c r="L331" s="820">
        <f>IF(G331=6,F331,0)</f>
        <v>0</v>
      </c>
      <c r="P331" s="768" t="n"/>
      <c r="Q331" s="769" t="str">
        <f>IF($F331="","",IFERROR(VLOOKUP($C331&amp;"|"&amp;$D331,科目表!$A$5:$B$200,2,FALSE),"※未登録"))</f>
        <v/>
      </c>
      <c r="R331" s="769" t="str">
        <f>IF($F331="","",$I331+$J331+$K331)</f>
        <v/>
      </c>
      <c r="S331" s="769" t="str">
        <f>IF(OR($F331="",$P331="支払なし",$H331=0,$Q331=""),"",$Q331&amp;"|S|"&amp;(COUNTIF(S$4:S330,$Q331&amp;"|S|*")+1))</f>
        <v/>
      </c>
      <c r="T331" s="769" t="str">
        <f>IF(OR($F331="",$P331="支払なし",$R331=0,$Q331=""),"",$Q331&amp;"|L|"&amp;(COUNTIF(T$4:T330,$Q331&amp;"|L|*")+1))</f>
        <v/>
      </c>
      <c r="U331" s="769" t="str">
        <f>IF($F331="","",13)</f>
        <v/>
      </c>
    </row>
    <row r="332" ht="16.5" customHeight="1" s="186">
      <c r="A332" s="760" t="n"/>
      <c r="B332" s="760" t="n"/>
      <c r="C332" s="762" t="n"/>
      <c r="D332" s="762" t="n"/>
      <c r="E332" s="775" t="n"/>
      <c r="F332" s="821" t="n"/>
      <c r="G332" s="821" t="n"/>
      <c r="H332" s="818">
        <f>IF(G332=1,F332-I332-J332-K332,IF(G332=2,F332,0))</f>
        <v>0</v>
      </c>
      <c r="I332" s="818">
        <f>ROUND(IF(G332=1,F332*10/23,IF(G332=3,F332-J332-K332,IF(G332=4,F332,IF(G332=5,F332*10/11,IF(G332=7,F332*10/11,0))))),0)</f>
        <v>0</v>
      </c>
      <c r="J332" s="818">
        <f>ROUND(IF(G332=1,F332/23,IF(G332=3,F332/12,IF(G332=5,F332-I332,IF(G332=8,F332,0)))),0)</f>
        <v>0</v>
      </c>
      <c r="K332" s="819">
        <f>ROUND(IF(G332=1,F332/23,IF(G332=3,F332/12,IF(G332=6,F332,IF(G332=7,F332-I332,0)))),0)</f>
        <v>0</v>
      </c>
      <c r="L332" s="820">
        <f>IF(G332=6,F332,0)</f>
        <v>0</v>
      </c>
      <c r="P332" s="768" t="n"/>
      <c r="Q332" s="769" t="str">
        <f>IF($F332="","",IFERROR(VLOOKUP($C332&amp;"|"&amp;$D332,科目表!$A$5:$B$200,2,FALSE),"※未登録"))</f>
        <v/>
      </c>
      <c r="R332" s="769" t="str">
        <f>IF($F332="","",$I332+$J332+$K332)</f>
        <v/>
      </c>
      <c r="S332" s="769" t="str">
        <f>IF(OR($F332="",$P332="支払なし",$H332=0,$Q332=""),"",$Q332&amp;"|S|"&amp;(COUNTIF(S$4:S331,$Q332&amp;"|S|*")+1))</f>
        <v/>
      </c>
      <c r="T332" s="769" t="str">
        <f>IF(OR($F332="",$P332="支払なし",$R332=0,$Q332=""),"",$Q332&amp;"|L|"&amp;(COUNTIF(T$4:T331,$Q332&amp;"|L|*")+1))</f>
        <v/>
      </c>
      <c r="U332" s="769" t="str">
        <f>IF($F332="","",13)</f>
        <v/>
      </c>
    </row>
    <row r="333" ht="16.5" customHeight="1" s="186">
      <c r="A333" s="760" t="n"/>
      <c r="B333" s="760" t="n"/>
      <c r="C333" s="762" t="n"/>
      <c r="D333" s="762" t="n"/>
      <c r="E333" s="775" t="n"/>
      <c r="F333" s="821" t="n"/>
      <c r="G333" s="821" t="n"/>
      <c r="H333" s="818">
        <f>IF(G333=1,F333-I333-J333-K333,IF(G333=2,F333,0))</f>
        <v>0</v>
      </c>
      <c r="I333" s="818">
        <f>ROUND(IF(G333=1,F333*10/23,IF(G333=3,F333-J333-K333,IF(G333=4,F333,IF(G333=5,F333*10/11,IF(G333=7,F333*10/11,0))))),0)</f>
        <v>0</v>
      </c>
      <c r="J333" s="818">
        <f>ROUND(IF(G333=1,F333/23,IF(G333=3,F333/12,IF(G333=5,F333-I333,IF(G333=8,F333,0)))),0)</f>
        <v>0</v>
      </c>
      <c r="K333" s="819">
        <f>ROUND(IF(G333=1,F333/23,IF(G333=3,F333/12,IF(G333=6,F333,IF(G333=7,F333-I333,0)))),0)</f>
        <v>0</v>
      </c>
      <c r="L333" s="820">
        <f>IF(G333=6,F333,0)</f>
        <v>0</v>
      </c>
      <c r="P333" s="768" t="n"/>
      <c r="Q333" s="769" t="str">
        <f>IF($F333="","",IFERROR(VLOOKUP($C333&amp;"|"&amp;$D333,科目表!$A$5:$B$200,2,FALSE),"※未登録"))</f>
        <v/>
      </c>
      <c r="R333" s="769" t="str">
        <f>IF($F333="","",$I333+$J333+$K333)</f>
        <v/>
      </c>
      <c r="S333" s="769" t="str">
        <f>IF(OR($F333="",$P333="支払なし",$H333=0,$Q333=""),"",$Q333&amp;"|S|"&amp;(COUNTIF(S$4:S332,$Q333&amp;"|S|*")+1))</f>
        <v/>
      </c>
      <c r="T333" s="769" t="str">
        <f>IF(OR($F333="",$P333="支払なし",$R333=0,$Q333=""),"",$Q333&amp;"|L|"&amp;(COUNTIF(T$4:T332,$Q333&amp;"|L|*")+1))</f>
        <v/>
      </c>
      <c r="U333" s="769" t="str">
        <f>IF($F333="","",13)</f>
        <v/>
      </c>
    </row>
    <row r="334" ht="16.5" customHeight="1" s="186">
      <c r="A334" s="760" t="n"/>
      <c r="B334" s="760" t="n"/>
      <c r="C334" s="762" t="n"/>
      <c r="D334" s="762" t="n"/>
      <c r="E334" s="775" t="n"/>
      <c r="F334" s="821" t="n"/>
      <c r="G334" s="821" t="n"/>
      <c r="H334" s="818">
        <f>IF(G334=1,F334-I334-J334-K334,IF(G334=2,F334,0))</f>
        <v>0</v>
      </c>
      <c r="I334" s="818">
        <f>ROUND(IF(G334=1,F334*10/23,IF(G334=3,F334-J334-K334,IF(G334=4,F334,IF(G334=5,F334*10/11,IF(G334=7,F334*10/11,0))))),0)</f>
        <v>0</v>
      </c>
      <c r="J334" s="818">
        <f>ROUND(IF(G334=1,F334/23,IF(G334=3,F334/12,IF(G334=5,F334-I334,IF(G334=8,F334,0)))),0)</f>
        <v>0</v>
      </c>
      <c r="K334" s="819">
        <f>ROUND(IF(G334=1,F334/23,IF(G334=3,F334/12,IF(G334=6,F334,IF(G334=7,F334-I334,0)))),0)</f>
        <v>0</v>
      </c>
      <c r="L334" s="820">
        <f>IF(G334=6,F334,0)</f>
        <v>0</v>
      </c>
      <c r="P334" s="768" t="n"/>
      <c r="Q334" s="769" t="str">
        <f>IF($F334="","",IFERROR(VLOOKUP($C334&amp;"|"&amp;$D334,科目表!$A$5:$B$200,2,FALSE),"※未登録"))</f>
        <v/>
      </c>
      <c r="R334" s="769" t="str">
        <f>IF($F334="","",$I334+$J334+$K334)</f>
        <v/>
      </c>
      <c r="S334" s="769" t="str">
        <f>IF(OR($F334="",$P334="支払なし",$H334=0,$Q334=""),"",$Q334&amp;"|S|"&amp;(COUNTIF(S$4:S333,$Q334&amp;"|S|*")+1))</f>
        <v/>
      </c>
      <c r="T334" s="769" t="str">
        <f>IF(OR($F334="",$P334="支払なし",$R334=0,$Q334=""),"",$Q334&amp;"|L|"&amp;(COUNTIF(T$4:T333,$Q334&amp;"|L|*")+1))</f>
        <v/>
      </c>
      <c r="U334" s="769" t="str">
        <f>IF($F334="","",13)</f>
        <v/>
      </c>
    </row>
    <row r="335" ht="16.5" customHeight="1" s="186">
      <c r="A335" s="760" t="n"/>
      <c r="B335" s="760" t="n"/>
      <c r="C335" s="762" t="n"/>
      <c r="D335" s="762" t="n"/>
      <c r="E335" s="775" t="n"/>
      <c r="F335" s="821" t="n"/>
      <c r="G335" s="821" t="n"/>
      <c r="H335" s="818">
        <f>IF(G335=1,F335-I335-J335-K335,IF(G335=2,F335,0))</f>
        <v>0</v>
      </c>
      <c r="I335" s="818">
        <f>ROUND(IF(G335=1,F335*10/23,IF(G335=3,F335-J335-K335,IF(G335=4,F335,IF(G335=5,F335*10/11,IF(G335=7,F335*10/11,0))))),0)</f>
        <v>0</v>
      </c>
      <c r="J335" s="818">
        <f>ROUND(IF(G335=1,F335/23,IF(G335=3,F335/12,IF(G335=5,F335-I335,IF(G335=8,F335,0)))),0)</f>
        <v>0</v>
      </c>
      <c r="K335" s="819">
        <f>ROUND(IF(G335=1,F335/23,IF(G335=3,F335/12,IF(G335=6,F335,IF(G335=7,F335-I335,0)))),0)</f>
        <v>0</v>
      </c>
      <c r="L335" s="820">
        <f>IF(G335=6,F335,0)</f>
        <v>0</v>
      </c>
      <c r="P335" s="768" t="n"/>
      <c r="Q335" s="769" t="str">
        <f>IF($F335="","",IFERROR(VLOOKUP($C335&amp;"|"&amp;$D335,科目表!$A$5:$B$200,2,FALSE),"※未登録"))</f>
        <v/>
      </c>
      <c r="R335" s="769" t="str">
        <f>IF($F335="","",$I335+$J335+$K335)</f>
        <v/>
      </c>
      <c r="S335" s="769" t="str">
        <f>IF(OR($F335="",$P335="支払なし",$H335=0,$Q335=""),"",$Q335&amp;"|S|"&amp;(COUNTIF(S$4:S334,$Q335&amp;"|S|*")+1))</f>
        <v/>
      </c>
      <c r="T335" s="769" t="str">
        <f>IF(OR($F335="",$P335="支払なし",$R335=0,$Q335=""),"",$Q335&amp;"|L|"&amp;(COUNTIF(T$4:T334,$Q335&amp;"|L|*")+1))</f>
        <v/>
      </c>
      <c r="U335" s="769" t="str">
        <f>IF($F335="","",13)</f>
        <v/>
      </c>
    </row>
    <row r="336" ht="16.5" customHeight="1" s="186">
      <c r="A336" s="760" t="n"/>
      <c r="B336" s="760" t="n"/>
      <c r="C336" s="762" t="n"/>
      <c r="D336" s="762" t="n"/>
      <c r="E336" s="775" t="n"/>
      <c r="F336" s="821" t="n"/>
      <c r="G336" s="821" t="n"/>
      <c r="H336" s="818">
        <f>IF(G336=1,F336-I336-J336-K336,IF(G336=2,F336,0))</f>
        <v>0</v>
      </c>
      <c r="I336" s="818">
        <f>ROUND(IF(G336=1,F336*10/23,IF(G336=3,F336-J336-K336,IF(G336=4,F336,IF(G336=5,F336*10/11,IF(G336=7,F336*10/11,0))))),0)</f>
        <v>0</v>
      </c>
      <c r="J336" s="818">
        <f>ROUND(IF(G336=1,F336/23,IF(G336=3,F336/12,IF(G336=5,F336-I336,IF(G336=8,F336,0)))),0)</f>
        <v>0</v>
      </c>
      <c r="K336" s="819">
        <f>ROUND(IF(G336=1,F336/23,IF(G336=3,F336/12,IF(G336=6,F336,IF(G336=7,F336-I336,0)))),0)</f>
        <v>0</v>
      </c>
      <c r="L336" s="820">
        <f>IF(G336=6,F336,0)</f>
        <v>0</v>
      </c>
      <c r="P336" s="768" t="n"/>
      <c r="Q336" s="769" t="str">
        <f>IF($F336="","",IFERROR(VLOOKUP($C336&amp;"|"&amp;$D336,科目表!$A$5:$B$200,2,FALSE),"※未登録"))</f>
        <v/>
      </c>
      <c r="R336" s="769" t="str">
        <f>IF($F336="","",$I336+$J336+$K336)</f>
        <v/>
      </c>
      <c r="S336" s="769" t="str">
        <f>IF(OR($F336="",$P336="支払なし",$H336=0,$Q336=""),"",$Q336&amp;"|S|"&amp;(COUNTIF(S$4:S335,$Q336&amp;"|S|*")+1))</f>
        <v/>
      </c>
      <c r="T336" s="769" t="str">
        <f>IF(OR($F336="",$P336="支払なし",$R336=0,$Q336=""),"",$Q336&amp;"|L|"&amp;(COUNTIF(T$4:T335,$Q336&amp;"|L|*")+1))</f>
        <v/>
      </c>
      <c r="U336" s="769" t="str">
        <f>IF($F336="","",13)</f>
        <v/>
      </c>
    </row>
    <row r="337" ht="16.5" customHeight="1" s="186">
      <c r="A337" s="760" t="n"/>
      <c r="B337" s="760" t="n"/>
      <c r="C337" s="762" t="n"/>
      <c r="D337" s="762" t="n"/>
      <c r="E337" s="775" t="n"/>
      <c r="F337" s="821" t="n"/>
      <c r="G337" s="821" t="n"/>
      <c r="H337" s="818">
        <f>IF(G337=1,F337-I337-J337-K337,IF(G337=2,F337,0))</f>
        <v>0</v>
      </c>
      <c r="I337" s="818">
        <f>ROUND(IF(G337=1,F337*10/23,IF(G337=3,F337-J337-K337,IF(G337=4,F337,IF(G337=5,F337*10/11,IF(G337=7,F337*10/11,0))))),0)</f>
        <v>0</v>
      </c>
      <c r="J337" s="818">
        <f>ROUND(IF(G337=1,F337/23,IF(G337=3,F337/12,IF(G337=5,F337-I337,IF(G337=8,F337,0)))),0)</f>
        <v>0</v>
      </c>
      <c r="K337" s="819">
        <f>ROUND(IF(G337=1,F337/23,IF(G337=3,F337/12,IF(G337=6,F337,IF(G337=7,F337-I337,0)))),0)</f>
        <v>0</v>
      </c>
      <c r="L337" s="820">
        <f>IF(G337=6,F337,0)</f>
        <v>0</v>
      </c>
      <c r="P337" s="768" t="n"/>
      <c r="Q337" s="769" t="str">
        <f>IF($F337="","",IFERROR(VLOOKUP($C337&amp;"|"&amp;$D337,科目表!$A$5:$B$200,2,FALSE),"※未登録"))</f>
        <v/>
      </c>
      <c r="R337" s="769" t="str">
        <f>IF($F337="","",$I337+$J337+$K337)</f>
        <v/>
      </c>
      <c r="S337" s="769" t="str">
        <f>IF(OR($F337="",$P337="支払なし",$H337=0,$Q337=""),"",$Q337&amp;"|S|"&amp;(COUNTIF(S$4:S336,$Q337&amp;"|S|*")+1))</f>
        <v/>
      </c>
      <c r="T337" s="769" t="str">
        <f>IF(OR($F337="",$P337="支払なし",$R337=0,$Q337=""),"",$Q337&amp;"|L|"&amp;(COUNTIF(T$4:T336,$Q337&amp;"|L|*")+1))</f>
        <v/>
      </c>
      <c r="U337" s="769" t="str">
        <f>IF($F337="","",13)</f>
        <v/>
      </c>
    </row>
    <row r="338" ht="16.5" customHeight="1" s="186">
      <c r="A338" s="760" t="n"/>
      <c r="B338" s="760" t="n"/>
      <c r="C338" s="762" t="n"/>
      <c r="D338" s="762" t="n"/>
      <c r="E338" s="775" t="n"/>
      <c r="F338" s="821" t="n"/>
      <c r="G338" s="821" t="n"/>
      <c r="H338" s="818">
        <f>IF(G338=1,F338-I338-J338-K338,IF(G338=2,F338,0))</f>
        <v>0</v>
      </c>
      <c r="I338" s="818">
        <f>ROUND(IF(G338=1,F338*10/23,IF(G338=3,F338-J338-K338,IF(G338=4,F338,IF(G338=5,F338*10/11,IF(G338=7,F338*10/11,0))))),0)</f>
        <v>0</v>
      </c>
      <c r="J338" s="818">
        <f>ROUND(IF(G338=1,F338/23,IF(G338=3,F338/12,IF(G338=5,F338-I338,IF(G338=8,F338,0)))),0)</f>
        <v>0</v>
      </c>
      <c r="K338" s="819">
        <f>ROUND(IF(G338=1,F338/23,IF(G338=3,F338/12,IF(G338=6,F338,IF(G338=7,F338-I338,0)))),0)</f>
        <v>0</v>
      </c>
      <c r="L338" s="820">
        <f>IF(G338=6,F338,0)</f>
        <v>0</v>
      </c>
      <c r="P338" s="768" t="n"/>
      <c r="Q338" s="769" t="str">
        <f>IF($F338="","",IFERROR(VLOOKUP($C338&amp;"|"&amp;$D338,科目表!$A$5:$B$200,2,FALSE),"※未登録"))</f>
        <v/>
      </c>
      <c r="R338" s="769" t="str">
        <f>IF($F338="","",$I338+$J338+$K338)</f>
        <v/>
      </c>
      <c r="S338" s="769" t="str">
        <f>IF(OR($F338="",$P338="支払なし",$H338=0,$Q338=""),"",$Q338&amp;"|S|"&amp;(COUNTIF(S$4:S337,$Q338&amp;"|S|*")+1))</f>
        <v/>
      </c>
      <c r="T338" s="769" t="str">
        <f>IF(OR($F338="",$P338="支払なし",$R338=0,$Q338=""),"",$Q338&amp;"|L|"&amp;(COUNTIF(T$4:T337,$Q338&amp;"|L|*")+1))</f>
        <v/>
      </c>
      <c r="U338" s="769" t="str">
        <f>IF($F338="","",13)</f>
        <v/>
      </c>
    </row>
    <row r="339" ht="16.5" customHeight="1" s="186">
      <c r="A339" s="760" t="n"/>
      <c r="B339" s="760" t="n"/>
      <c r="C339" s="762" t="n"/>
      <c r="D339" s="762" t="n"/>
      <c r="E339" s="775" t="n"/>
      <c r="F339" s="821" t="n"/>
      <c r="G339" s="821" t="n"/>
      <c r="H339" s="818">
        <f>IF(G339=1,F339-I339-J339-K339,IF(G339=2,F339,0))</f>
        <v>0</v>
      </c>
      <c r="I339" s="818">
        <f>ROUND(IF(G339=1,F339*10/23,IF(G339=3,F339-J339-K339,IF(G339=4,F339,IF(G339=5,F339*10/11,IF(G339=7,F339*10/11,0))))),0)</f>
        <v>0</v>
      </c>
      <c r="J339" s="818">
        <f>ROUND(IF(G339=1,F339/23,IF(G339=3,F339/12,IF(G339=5,F339-I339,IF(G339=8,F339,0)))),0)</f>
        <v>0</v>
      </c>
      <c r="K339" s="819">
        <f>ROUND(IF(G339=1,F339/23,IF(G339=3,F339/12,IF(G339=6,F339,IF(G339=7,F339-I339,0)))),0)</f>
        <v>0</v>
      </c>
      <c r="L339" s="820">
        <f>IF(G339=6,F339,0)</f>
        <v>0</v>
      </c>
      <c r="P339" s="768" t="n"/>
      <c r="Q339" s="769" t="str">
        <f>IF($F339="","",IFERROR(VLOOKUP($C339&amp;"|"&amp;$D339,科目表!$A$5:$B$200,2,FALSE),"※未登録"))</f>
        <v/>
      </c>
      <c r="R339" s="769" t="str">
        <f>IF($F339="","",$I339+$J339+$K339)</f>
        <v/>
      </c>
      <c r="S339" s="769" t="str">
        <f>IF(OR($F339="",$P339="支払なし",$H339=0,$Q339=""),"",$Q339&amp;"|S|"&amp;(COUNTIF(S$4:S338,$Q339&amp;"|S|*")+1))</f>
        <v/>
      </c>
      <c r="T339" s="769" t="str">
        <f>IF(OR($F339="",$P339="支払なし",$R339=0,$Q339=""),"",$Q339&amp;"|L|"&amp;(COUNTIF(T$4:T338,$Q339&amp;"|L|*")+1))</f>
        <v/>
      </c>
      <c r="U339" s="769" t="str">
        <f>IF($F339="","",13)</f>
        <v/>
      </c>
    </row>
    <row r="340" ht="16.5" customHeight="1" s="186">
      <c r="A340" s="760" t="n"/>
      <c r="B340" s="760" t="n"/>
      <c r="C340" s="762" t="n"/>
      <c r="D340" s="762" t="n"/>
      <c r="E340" s="775" t="n"/>
      <c r="F340" s="821" t="n"/>
      <c r="G340" s="821" t="n"/>
      <c r="H340" s="818">
        <f>IF(G340=1,F340-I340-J340-K340,IF(G340=2,F340,0))</f>
        <v>0</v>
      </c>
      <c r="I340" s="818">
        <f>ROUND(IF(G340=1,F340*10/23,IF(G340=3,F340-J340-K340,IF(G340=4,F340,IF(G340=5,F340*10/11,IF(G340=7,F340*10/11,0))))),0)</f>
        <v>0</v>
      </c>
      <c r="J340" s="818">
        <f>ROUND(IF(G340=1,F340/23,IF(G340=3,F340/12,IF(G340=5,F340-I340,IF(G340=8,F340,0)))),0)</f>
        <v>0</v>
      </c>
      <c r="K340" s="819">
        <f>ROUND(IF(G340=1,F340/23,IF(G340=3,F340/12,IF(G340=6,F340,IF(G340=7,F340-I340,0)))),0)</f>
        <v>0</v>
      </c>
      <c r="L340" s="820">
        <f>IF(G340=6,F340,0)</f>
        <v>0</v>
      </c>
      <c r="P340" s="768" t="n"/>
      <c r="Q340" s="769" t="str">
        <f>IF($F340="","",IFERROR(VLOOKUP($C340&amp;"|"&amp;$D340,科目表!$A$5:$B$200,2,FALSE),"※未登録"))</f>
        <v/>
      </c>
      <c r="R340" s="769" t="str">
        <f>IF($F340="","",$I340+$J340+$K340)</f>
        <v/>
      </c>
      <c r="S340" s="769" t="str">
        <f>IF(OR($F340="",$P340="支払なし",$H340=0,$Q340=""),"",$Q340&amp;"|S|"&amp;(COUNTIF(S$4:S339,$Q340&amp;"|S|*")+1))</f>
        <v/>
      </c>
      <c r="T340" s="769" t="str">
        <f>IF(OR($F340="",$P340="支払なし",$R340=0,$Q340=""),"",$Q340&amp;"|L|"&amp;(COUNTIF(T$4:T339,$Q340&amp;"|L|*")+1))</f>
        <v/>
      </c>
      <c r="U340" s="769" t="str">
        <f>IF($F340="","",13)</f>
        <v/>
      </c>
    </row>
    <row r="341" ht="16.5" customHeight="1" s="186">
      <c r="A341" s="760" t="n"/>
      <c r="B341" s="760" t="n"/>
      <c r="C341" s="762" t="n"/>
      <c r="D341" s="762" t="n"/>
      <c r="E341" s="775" t="n"/>
      <c r="F341" s="821" t="n"/>
      <c r="G341" s="821" t="n"/>
      <c r="H341" s="818">
        <f>IF(G341=1,F341-I341-J341-K341,IF(G341=2,F341,0))</f>
        <v>0</v>
      </c>
      <c r="I341" s="818">
        <f>ROUND(IF(G341=1,F341*10/23,IF(G341=3,F341-J341-K341,IF(G341=4,F341,IF(G341=5,F341*10/11,IF(G341=7,F341*10/11,0))))),0)</f>
        <v>0</v>
      </c>
      <c r="J341" s="818">
        <f>ROUND(IF(G341=1,F341/23,IF(G341=3,F341/12,IF(G341=5,F341-I341,IF(G341=8,F341,0)))),0)</f>
        <v>0</v>
      </c>
      <c r="K341" s="819">
        <f>ROUND(IF(G341=1,F341/23,IF(G341=3,F341/12,IF(G341=6,F341,IF(G341=7,F341-I341,0)))),0)</f>
        <v>0</v>
      </c>
      <c r="L341" s="820">
        <f>IF(G341=6,F341,0)</f>
        <v>0</v>
      </c>
      <c r="P341" s="768" t="n"/>
      <c r="Q341" s="769" t="str">
        <f>IF($F341="","",IFERROR(VLOOKUP($C341&amp;"|"&amp;$D341,科目表!$A$5:$B$200,2,FALSE),"※未登録"))</f>
        <v/>
      </c>
      <c r="R341" s="769" t="str">
        <f>IF($F341="","",$I341+$J341+$K341)</f>
        <v/>
      </c>
      <c r="S341" s="769" t="str">
        <f>IF(OR($F341="",$P341="支払なし",$H341=0,$Q341=""),"",$Q341&amp;"|S|"&amp;(COUNTIF(S$4:S340,$Q341&amp;"|S|*")+1))</f>
        <v/>
      </c>
      <c r="T341" s="769" t="str">
        <f>IF(OR($F341="",$P341="支払なし",$R341=0,$Q341=""),"",$Q341&amp;"|L|"&amp;(COUNTIF(T$4:T340,$Q341&amp;"|L|*")+1))</f>
        <v/>
      </c>
      <c r="U341" s="769" t="str">
        <f>IF($F341="","",13)</f>
        <v/>
      </c>
    </row>
    <row r="342" ht="16.5" customHeight="1" s="186">
      <c r="A342" s="760" t="n"/>
      <c r="B342" s="760" t="n"/>
      <c r="C342" s="762" t="n"/>
      <c r="D342" s="762" t="n"/>
      <c r="E342" s="775" t="n"/>
      <c r="F342" s="821" t="n"/>
      <c r="G342" s="821" t="n"/>
      <c r="H342" s="818">
        <f>IF(G342=1,F342-I342-J342-K342,IF(G342=2,F342,0))</f>
        <v>0</v>
      </c>
      <c r="I342" s="818">
        <f>ROUND(IF(G342=1,F342*10/23,IF(G342=3,F342-J342-K342,IF(G342=4,F342,IF(G342=5,F342*10/11,IF(G342=7,F342*10/11,0))))),0)</f>
        <v>0</v>
      </c>
      <c r="J342" s="818">
        <f>ROUND(IF(G342=1,F342/23,IF(G342=3,F342/12,IF(G342=5,F342-I342,IF(G342=8,F342,0)))),0)</f>
        <v>0</v>
      </c>
      <c r="K342" s="819">
        <f>ROUND(IF(G342=1,F342/23,IF(G342=3,F342/12,IF(G342=6,F342,IF(G342=7,F342-I342,0)))),0)</f>
        <v>0</v>
      </c>
      <c r="L342" s="820">
        <f>IF(G342=6,F342,0)</f>
        <v>0</v>
      </c>
      <c r="P342" s="768" t="n"/>
      <c r="Q342" s="769" t="str">
        <f>IF($F342="","",IFERROR(VLOOKUP($C342&amp;"|"&amp;$D342,科目表!$A$5:$B$200,2,FALSE),"※未登録"))</f>
        <v/>
      </c>
      <c r="R342" s="769" t="str">
        <f>IF($F342="","",$I342+$J342+$K342)</f>
        <v/>
      </c>
      <c r="S342" s="769" t="str">
        <f>IF(OR($F342="",$P342="支払なし",$H342=0,$Q342=""),"",$Q342&amp;"|S|"&amp;(COUNTIF(S$4:S341,$Q342&amp;"|S|*")+1))</f>
        <v/>
      </c>
      <c r="T342" s="769" t="str">
        <f>IF(OR($F342="",$P342="支払なし",$R342=0,$Q342=""),"",$Q342&amp;"|L|"&amp;(COUNTIF(T$4:T341,$Q342&amp;"|L|*")+1))</f>
        <v/>
      </c>
      <c r="U342" s="769" t="str">
        <f>IF($F342="","",13)</f>
        <v/>
      </c>
    </row>
    <row r="343" ht="16.5" customHeight="1" s="186">
      <c r="A343" s="760" t="n"/>
      <c r="B343" s="760" t="n"/>
      <c r="C343" s="762" t="n"/>
      <c r="D343" s="762" t="n"/>
      <c r="E343" s="775" t="n"/>
      <c r="F343" s="821" t="n"/>
      <c r="G343" s="821" t="n"/>
      <c r="H343" s="818">
        <f>IF(G343=1,F343-I343-J343-K343,IF(G343=2,F343,0))</f>
        <v>0</v>
      </c>
      <c r="I343" s="818">
        <f>ROUND(IF(G343=1,F343*10/23,IF(G343=3,F343-J343-K343,IF(G343=4,F343,IF(G343=5,F343*10/11,IF(G343=7,F343*10/11,0))))),0)</f>
        <v>0</v>
      </c>
      <c r="J343" s="818">
        <f>ROUND(IF(G343=1,F343/23,IF(G343=3,F343/12,IF(G343=5,F343-I343,IF(G343=8,F343,0)))),0)</f>
        <v>0</v>
      </c>
      <c r="K343" s="819">
        <f>ROUND(IF(G343=1,F343/23,IF(G343=3,F343/12,IF(G343=6,F343,IF(G343=7,F343-I343,0)))),0)</f>
        <v>0</v>
      </c>
      <c r="L343" s="820">
        <f>IF(G343=6,F343,0)</f>
        <v>0</v>
      </c>
      <c r="P343" s="768" t="n"/>
      <c r="Q343" s="769" t="str">
        <f>IF($F343="","",IFERROR(VLOOKUP($C343&amp;"|"&amp;$D343,科目表!$A$5:$B$200,2,FALSE),"※未登録"))</f>
        <v/>
      </c>
      <c r="R343" s="769" t="str">
        <f>IF($F343="","",$I343+$J343+$K343)</f>
        <v/>
      </c>
      <c r="S343" s="769" t="str">
        <f>IF(OR($F343="",$P343="支払なし",$H343=0,$Q343=""),"",$Q343&amp;"|S|"&amp;(COUNTIF(S$4:S342,$Q343&amp;"|S|*")+1))</f>
        <v/>
      </c>
      <c r="T343" s="769" t="str">
        <f>IF(OR($F343="",$P343="支払なし",$R343=0,$Q343=""),"",$Q343&amp;"|L|"&amp;(COUNTIF(T$4:T342,$Q343&amp;"|L|*")+1))</f>
        <v/>
      </c>
      <c r="U343" s="769" t="str">
        <f>IF($F343="","",13)</f>
        <v/>
      </c>
    </row>
    <row r="344" ht="16.5" customHeight="1" s="186">
      <c r="A344" s="760" t="n"/>
      <c r="B344" s="760" t="n"/>
      <c r="C344" s="762" t="n"/>
      <c r="D344" s="762" t="n"/>
      <c r="E344" s="775" t="n"/>
      <c r="F344" s="821" t="n"/>
      <c r="G344" s="821" t="n"/>
      <c r="H344" s="818">
        <f>IF(G344=1,F344-I344-J344-K344,IF(G344=2,F344,0))</f>
        <v>0</v>
      </c>
      <c r="I344" s="818">
        <f>ROUND(IF(G344=1,F344*10/23,IF(G344=3,F344-J344-K344,IF(G344=4,F344,IF(G344=5,F344*10/11,IF(G344=7,F344*10/11,0))))),0)</f>
        <v>0</v>
      </c>
      <c r="J344" s="818">
        <f>ROUND(IF(G344=1,F344/23,IF(G344=3,F344/12,IF(G344=5,F344-I344,IF(G344=8,F344,0)))),0)</f>
        <v>0</v>
      </c>
      <c r="K344" s="819">
        <f>ROUND(IF(G344=1,F344/23,IF(G344=3,F344/12,IF(G344=6,F344,IF(G344=7,F344-I344,0)))),0)</f>
        <v>0</v>
      </c>
      <c r="L344" s="820">
        <f>IF(G344=6,F344,0)</f>
        <v>0</v>
      </c>
      <c r="P344" s="768" t="n"/>
      <c r="Q344" s="769" t="str">
        <f>IF($F344="","",IFERROR(VLOOKUP($C344&amp;"|"&amp;$D344,科目表!$A$5:$B$200,2,FALSE),"※未登録"))</f>
        <v/>
      </c>
      <c r="R344" s="769" t="str">
        <f>IF($F344="","",$I344+$J344+$K344)</f>
        <v/>
      </c>
      <c r="S344" s="769" t="str">
        <f>IF(OR($F344="",$P344="支払なし",$H344=0,$Q344=""),"",$Q344&amp;"|S|"&amp;(COUNTIF(S$4:S343,$Q344&amp;"|S|*")+1))</f>
        <v/>
      </c>
      <c r="T344" s="769" t="str">
        <f>IF(OR($F344="",$P344="支払なし",$R344=0,$Q344=""),"",$Q344&amp;"|L|"&amp;(COUNTIF(T$4:T343,$Q344&amp;"|L|*")+1))</f>
        <v/>
      </c>
      <c r="U344" s="769" t="str">
        <f>IF($F344="","",13)</f>
        <v/>
      </c>
    </row>
    <row r="345" ht="16.5" customHeight="1" s="186">
      <c r="A345" s="760" t="n"/>
      <c r="B345" s="760" t="n"/>
      <c r="C345" s="762" t="n"/>
      <c r="D345" s="762" t="n"/>
      <c r="E345" s="775" t="n"/>
      <c r="F345" s="821" t="n"/>
      <c r="G345" s="821" t="n"/>
      <c r="H345" s="818">
        <f>IF(G345=1,F345-I345-J345-K345,IF(G345=2,F345,0))</f>
        <v>0</v>
      </c>
      <c r="I345" s="818">
        <f>ROUND(IF(G345=1,F345*10/23,IF(G345=3,F345-J345-K345,IF(G345=4,F345,IF(G345=5,F345*10/11,IF(G345=7,F345*10/11,0))))),0)</f>
        <v>0</v>
      </c>
      <c r="J345" s="818">
        <f>ROUND(IF(G345=1,F345/23,IF(G345=3,F345/12,IF(G345=5,F345-I345,IF(G345=8,F345,0)))),0)</f>
        <v>0</v>
      </c>
      <c r="K345" s="819">
        <f>ROUND(IF(G345=1,F345/23,IF(G345=3,F345/12,IF(G345=6,F345,IF(G345=7,F345-I345,0)))),0)</f>
        <v>0</v>
      </c>
      <c r="L345" s="820">
        <f>IF(G345=6,F345,0)</f>
        <v>0</v>
      </c>
      <c r="P345" s="768" t="n"/>
      <c r="Q345" s="769" t="str">
        <f>IF($F345="","",IFERROR(VLOOKUP($C345&amp;"|"&amp;$D345,科目表!$A$5:$B$200,2,FALSE),"※未登録"))</f>
        <v/>
      </c>
      <c r="R345" s="769" t="str">
        <f>IF($F345="","",$I345+$J345+$K345)</f>
        <v/>
      </c>
      <c r="S345" s="769" t="str">
        <f>IF(OR($F345="",$P345="支払なし",$H345=0,$Q345=""),"",$Q345&amp;"|S|"&amp;(COUNTIF(S$4:S344,$Q345&amp;"|S|*")+1))</f>
        <v/>
      </c>
      <c r="T345" s="769" t="str">
        <f>IF(OR($F345="",$P345="支払なし",$R345=0,$Q345=""),"",$Q345&amp;"|L|"&amp;(COUNTIF(T$4:T344,$Q345&amp;"|L|*")+1))</f>
        <v/>
      </c>
      <c r="U345" s="769" t="str">
        <f>IF($F345="","",13)</f>
        <v/>
      </c>
    </row>
    <row r="346" ht="16.5" customHeight="1" s="186">
      <c r="A346" s="760" t="n"/>
      <c r="B346" s="760" t="n"/>
      <c r="C346" s="762" t="n"/>
      <c r="D346" s="762" t="n"/>
      <c r="E346" s="762" t="n"/>
      <c r="F346" s="821" t="n"/>
      <c r="G346" s="821" t="n"/>
      <c r="H346" s="818">
        <f>IF(G346=1,F346-I346-J346-K346,IF(G346=2,F346,0))</f>
        <v>0</v>
      </c>
      <c r="I346" s="818">
        <f>ROUND(IF(G346=1,F346*10/23,IF(G346=3,F346-J346-K346,IF(G346=4,F346,IF(G346=5,F346*10/11,IF(G346=7,F346*10/11,0))))),0)</f>
        <v>0</v>
      </c>
      <c r="J346" s="818">
        <f>ROUND(IF(G346=1,F346/23,IF(G346=3,F346/12,IF(G346=5,F346-I346,IF(G346=8,F346,0)))),0)</f>
        <v>0</v>
      </c>
      <c r="K346" s="819">
        <f>ROUND(IF(G346=1,F346/23,IF(G346=3,F346/12,IF(G346=6,F346,IF(G346=7,F346-I346,0)))),0)</f>
        <v>0</v>
      </c>
      <c r="L346" s="820">
        <f>IF(G346=6,F346,0)</f>
        <v>0</v>
      </c>
      <c r="P346" s="768" t="n"/>
      <c r="Q346" s="769" t="str">
        <f>IF($F346="","",IFERROR(VLOOKUP($C346&amp;"|"&amp;$D346,科目表!$A$5:$B$200,2,FALSE),"※未登録"))</f>
        <v/>
      </c>
      <c r="R346" s="769" t="str">
        <f>IF($F346="","",$I346+$J346+$K346)</f>
        <v/>
      </c>
      <c r="S346" s="769" t="str">
        <f>IF(OR($F346="",$P346="支払なし",$H346=0,$Q346=""),"",$Q346&amp;"|S|"&amp;(COUNTIF(S$4:S345,$Q346&amp;"|S|*")+1))</f>
        <v/>
      </c>
      <c r="T346" s="769" t="str">
        <f>IF(OR($F346="",$P346="支払なし",$R346=0,$Q346=""),"",$Q346&amp;"|L|"&amp;(COUNTIF(T$4:T345,$Q346&amp;"|L|*")+1))</f>
        <v/>
      </c>
      <c r="U346" s="769" t="str">
        <f>IF($F346="","",13)</f>
        <v/>
      </c>
    </row>
    <row r="347" ht="16.5" customHeight="1" s="186">
      <c r="A347" s="760" t="n"/>
      <c r="B347" s="760" t="n"/>
      <c r="C347" s="762" t="n"/>
      <c r="D347" s="762" t="n"/>
      <c r="E347" s="762" t="n"/>
      <c r="F347" s="821" t="n"/>
      <c r="G347" s="821" t="n"/>
      <c r="H347" s="818">
        <f>IF(G347=1,F347-I347-J347-K347,IF(G347=2,F347,0))</f>
        <v>0</v>
      </c>
      <c r="I347" s="818">
        <f>ROUND(IF(G347=1,F347*10/23,IF(G347=3,F347-J347-K347,IF(G347=4,F347,IF(G347=5,F347*10/11,IF(G347=7,F347*10/11,0))))),0)</f>
        <v>0</v>
      </c>
      <c r="J347" s="818">
        <f>ROUND(IF(G347=1,F347/23,IF(G347=3,F347/12,IF(G347=5,F347-I347,IF(G347=8,F347,0)))),0)</f>
        <v>0</v>
      </c>
      <c r="K347" s="819">
        <f>ROUND(IF(G347=1,F347/23,IF(G347=3,F347/12,IF(G347=6,F347,IF(G347=7,F347-I347,0)))),0)</f>
        <v>0</v>
      </c>
      <c r="L347" s="820">
        <f>IF(G347=6,F347,0)</f>
        <v>0</v>
      </c>
      <c r="P347" s="768" t="n"/>
      <c r="Q347" s="769" t="str">
        <f>IF($F347="","",IFERROR(VLOOKUP($C347&amp;"|"&amp;$D347,科目表!$A$5:$B$200,2,FALSE),"※未登録"))</f>
        <v/>
      </c>
      <c r="R347" s="769" t="str">
        <f>IF($F347="","",$I347+$J347+$K347)</f>
        <v/>
      </c>
      <c r="S347" s="769" t="str">
        <f>IF(OR($F347="",$P347="支払なし",$H347=0,$Q347=""),"",$Q347&amp;"|S|"&amp;(COUNTIF(S$4:S346,$Q347&amp;"|S|*")+1))</f>
        <v/>
      </c>
      <c r="T347" s="769" t="str">
        <f>IF(OR($F347="",$P347="支払なし",$R347=0,$Q347=""),"",$Q347&amp;"|L|"&amp;(COUNTIF(T$4:T346,$Q347&amp;"|L|*")+1))</f>
        <v/>
      </c>
      <c r="U347" s="769" t="str">
        <f>IF($F347="","",13)</f>
        <v/>
      </c>
    </row>
    <row r="348" ht="16.5" customHeight="1" s="186">
      <c r="A348" s="760" t="n"/>
      <c r="B348" s="760" t="n"/>
      <c r="C348" s="762" t="n"/>
      <c r="D348" s="762" t="n"/>
      <c r="E348" s="762" t="n"/>
      <c r="F348" s="821" t="n"/>
      <c r="G348" s="821" t="n"/>
      <c r="H348" s="818">
        <f>IF(G348=1,F348-I348-J348-K348,IF(G348=2,F348,0))</f>
        <v>0</v>
      </c>
      <c r="I348" s="818">
        <f>ROUND(IF(G348=1,F348*10/23,IF(G348=3,F348-J348-K348,IF(G348=4,F348,IF(G348=5,F348*10/11,IF(G348=7,F348*10/11,0))))),0)</f>
        <v>0</v>
      </c>
      <c r="J348" s="818">
        <f>ROUND(IF(G348=1,F348/23,IF(G348=3,F348/12,IF(G348=5,F348-I348,IF(G348=8,F348,0)))),0)</f>
        <v>0</v>
      </c>
      <c r="K348" s="819">
        <f>ROUND(IF(G348=1,F348/23,IF(G348=3,F348/12,IF(G348=6,F348,IF(G348=7,F348-I348,0)))),0)</f>
        <v>0</v>
      </c>
      <c r="L348" s="820">
        <f>IF(G348=6,F348,0)</f>
        <v>0</v>
      </c>
      <c r="P348" s="768" t="n"/>
      <c r="Q348" s="769" t="str">
        <f>IF($F348="","",IFERROR(VLOOKUP($C348&amp;"|"&amp;$D348,科目表!$A$5:$B$200,2,FALSE),"※未登録"))</f>
        <v/>
      </c>
      <c r="R348" s="769" t="str">
        <f>IF($F348="","",$I348+$J348+$K348)</f>
        <v/>
      </c>
      <c r="S348" s="769" t="str">
        <f>IF(OR($F348="",$P348="支払なし",$H348=0,$Q348=""),"",$Q348&amp;"|S|"&amp;(COUNTIF(S$4:S347,$Q348&amp;"|S|*")+1))</f>
        <v/>
      </c>
      <c r="T348" s="769" t="str">
        <f>IF(OR($F348="",$P348="支払なし",$R348=0,$Q348=""),"",$Q348&amp;"|L|"&amp;(COUNTIF(T$4:T347,$Q348&amp;"|L|*")+1))</f>
        <v/>
      </c>
      <c r="U348" s="769" t="str">
        <f>IF($F348="","",13)</f>
        <v/>
      </c>
    </row>
    <row r="349" ht="16.5" customHeight="1" s="186">
      <c r="A349" s="760" t="n"/>
      <c r="B349" s="760" t="n"/>
      <c r="C349" s="762" t="n"/>
      <c r="D349" s="762" t="n"/>
      <c r="E349" s="762" t="n"/>
      <c r="F349" s="821" t="n"/>
      <c r="G349" s="821" t="n"/>
      <c r="H349" s="818">
        <f>IF(G349=1,F349-I349-J349-K349,IF(G349=2,F349,0))</f>
        <v>0</v>
      </c>
      <c r="I349" s="818">
        <f>ROUND(IF(G349=1,F349*10/23,IF(G349=3,F349-J349-K349,IF(G349=4,F349,IF(G349=5,F349*10/11,IF(G349=7,F349*10/11,0))))),0)</f>
        <v>0</v>
      </c>
      <c r="J349" s="818">
        <f>ROUND(IF(G349=1,F349/23,IF(G349=3,F349/12,IF(G349=5,F349-I349,IF(G349=8,F349,0)))),0)</f>
        <v>0</v>
      </c>
      <c r="K349" s="819">
        <f>ROUND(IF(G349=1,F349/23,IF(G349=3,F349/12,IF(G349=6,F349,IF(G349=7,F349-I349,0)))),0)</f>
        <v>0</v>
      </c>
      <c r="L349" s="820">
        <f>IF(G349=6,F349,0)</f>
        <v>0</v>
      </c>
      <c r="P349" s="768" t="n"/>
      <c r="Q349" s="769" t="str">
        <f>IF($F349="","",IFERROR(VLOOKUP($C349&amp;"|"&amp;$D349,科目表!$A$5:$B$200,2,FALSE),"※未登録"))</f>
        <v/>
      </c>
      <c r="R349" s="769" t="str">
        <f>IF($F349="","",$I349+$J349+$K349)</f>
        <v/>
      </c>
      <c r="S349" s="769" t="str">
        <f>IF(OR($F349="",$P349="支払なし",$H349=0,$Q349=""),"",$Q349&amp;"|S|"&amp;(COUNTIF(S$4:S348,$Q349&amp;"|S|*")+1))</f>
        <v/>
      </c>
      <c r="T349" s="769" t="str">
        <f>IF(OR($F349="",$P349="支払なし",$R349=0,$Q349=""),"",$Q349&amp;"|L|"&amp;(COUNTIF(T$4:T348,$Q349&amp;"|L|*")+1))</f>
        <v/>
      </c>
      <c r="U349" s="769" t="str">
        <f>IF($F349="","",13)</f>
        <v/>
      </c>
    </row>
    <row r="350" ht="16.5" customHeight="1" s="186">
      <c r="A350" s="760" t="n"/>
      <c r="B350" s="760" t="n"/>
      <c r="C350" s="762" t="n"/>
      <c r="D350" s="762" t="n"/>
      <c r="E350" s="775" t="n"/>
      <c r="F350" s="821" t="n"/>
      <c r="G350" s="821" t="n"/>
      <c r="H350" s="818">
        <f>IF(G350=1,F350-I350-J350-K350,IF(G350=2,F350,0))</f>
        <v>0</v>
      </c>
      <c r="I350" s="818">
        <f>ROUND(IF(G350=1,F350*10/23,IF(G350=3,F350-J350-K350,IF(G350=4,F350,IF(G350=5,F350*10/11,IF(G350=7,F350*10/11,0))))),0)</f>
        <v>0</v>
      </c>
      <c r="J350" s="818">
        <f>ROUND(IF(G350=1,F350/23,IF(G350=3,F350/12,IF(G350=5,F350-I350,IF(G350=8,F350,0)))),0)</f>
        <v>0</v>
      </c>
      <c r="K350" s="819">
        <f>ROUND(IF(G350=1,F350/23,IF(G350=3,F350/12,IF(G350=6,F350,IF(G350=7,F350-I350,0)))),0)</f>
        <v>0</v>
      </c>
      <c r="L350" s="820">
        <f>IF(G350=6,F350,0)</f>
        <v>0</v>
      </c>
      <c r="P350" s="768" t="n"/>
      <c r="Q350" s="769" t="str">
        <f>IF($F350="","",IFERROR(VLOOKUP($C350&amp;"|"&amp;$D350,科目表!$A$5:$B$200,2,FALSE),"※未登録"))</f>
        <v/>
      </c>
      <c r="R350" s="769" t="str">
        <f>IF($F350="","",$I350+$J350+$K350)</f>
        <v/>
      </c>
      <c r="S350" s="769" t="str">
        <f>IF(OR($F350="",$P350="支払なし",$H350=0,$Q350=""),"",$Q350&amp;"|S|"&amp;(COUNTIF(S$4:S349,$Q350&amp;"|S|*")+1))</f>
        <v/>
      </c>
      <c r="T350" s="769" t="str">
        <f>IF(OR($F350="",$P350="支払なし",$R350=0,$Q350=""),"",$Q350&amp;"|L|"&amp;(COUNTIF(T$4:T349,$Q350&amp;"|L|*")+1))</f>
        <v/>
      </c>
      <c r="U350" s="769" t="str">
        <f>IF($F350="","",13)</f>
        <v/>
      </c>
    </row>
    <row r="351" ht="16.5" customHeight="1" s="186">
      <c r="A351" s="760" t="n"/>
      <c r="B351" s="760" t="n"/>
      <c r="C351" s="762" t="n"/>
      <c r="D351" s="762" t="n"/>
      <c r="E351" s="762" t="n"/>
      <c r="F351" s="821" t="n"/>
      <c r="G351" s="821" t="n"/>
      <c r="H351" s="818">
        <f>IF(G351=1,F351-I351-J351-K351,IF(G351=2,F351,0))</f>
        <v>0</v>
      </c>
      <c r="I351" s="818">
        <f>ROUND(IF(G351=1,F351*10/23,IF(G351=3,F351-J351-K351,IF(G351=4,F351,IF(G351=5,F351*10/11,IF(G351=7,F351*10/11,0))))),0)</f>
        <v>0</v>
      </c>
      <c r="J351" s="818">
        <f>ROUND(IF(G351=1,F351/23,IF(G351=3,F351/12,IF(G351=5,F351-I351,IF(G351=8,F351,0)))),0)</f>
        <v>0</v>
      </c>
      <c r="K351" s="819">
        <f>ROUND(IF(G351=1,F351/23,IF(G351=3,F351/12,IF(G351=6,F351,IF(G351=7,F351-I351,0)))),0)</f>
        <v>0</v>
      </c>
      <c r="L351" s="820">
        <f>IF(G351=6,F351,0)</f>
        <v>0</v>
      </c>
      <c r="P351" s="768" t="n"/>
      <c r="Q351" s="769" t="str">
        <f>IF($F351="","",IFERROR(VLOOKUP($C351&amp;"|"&amp;$D351,科目表!$A$5:$B$200,2,FALSE),"※未登録"))</f>
        <v/>
      </c>
      <c r="R351" s="769" t="str">
        <f>IF($F351="","",$I351+$J351+$K351)</f>
        <v/>
      </c>
      <c r="S351" s="769" t="str">
        <f>IF(OR($F351="",$P351="支払なし",$H351=0,$Q351=""),"",$Q351&amp;"|S|"&amp;(COUNTIF(S$4:S350,$Q351&amp;"|S|*")+1))</f>
        <v/>
      </c>
      <c r="T351" s="769" t="str">
        <f>IF(OR($F351="",$P351="支払なし",$R351=0,$Q351=""),"",$Q351&amp;"|L|"&amp;(COUNTIF(T$4:T350,$Q351&amp;"|L|*")+1))</f>
        <v/>
      </c>
      <c r="U351" s="769" t="str">
        <f>IF($F351="","",13)</f>
        <v/>
      </c>
    </row>
    <row r="352" ht="16.5" customHeight="1" s="186">
      <c r="A352" s="760" t="n"/>
      <c r="B352" s="760" t="n"/>
      <c r="C352" s="762" t="n"/>
      <c r="D352" s="762" t="n"/>
      <c r="E352" s="775" t="n"/>
      <c r="F352" s="821" t="n"/>
      <c r="G352" s="821" t="n"/>
      <c r="H352" s="818">
        <f>IF(G352=1,F352-I352-J352-K352,IF(G352=2,F352,0))</f>
        <v>0</v>
      </c>
      <c r="I352" s="818">
        <f>ROUND(IF(G352=1,F352*10/23,IF(G352=3,F352-J352-K352,IF(G352=4,F352,IF(G352=5,F352*10/11,IF(G352=7,F352*10/11,0))))),0)</f>
        <v>0</v>
      </c>
      <c r="J352" s="818">
        <f>ROUND(IF(G352=1,F352/23,IF(G352=3,F352/12,IF(G352=5,F352-I352,IF(G352=8,F352,0)))),0)</f>
        <v>0</v>
      </c>
      <c r="K352" s="819">
        <f>ROUND(IF(G352=1,F352/23,IF(G352=3,F352/12,IF(G352=6,F352,IF(G352=7,F352-I352,0)))),0)</f>
        <v>0</v>
      </c>
      <c r="L352" s="820">
        <f>IF(G352=6,F352,0)</f>
        <v>0</v>
      </c>
      <c r="P352" s="768" t="n"/>
      <c r="Q352" s="769" t="str">
        <f>IF($F352="","",IFERROR(VLOOKUP($C352&amp;"|"&amp;$D352,科目表!$A$5:$B$200,2,FALSE),"※未登録"))</f>
        <v/>
      </c>
      <c r="R352" s="769" t="str">
        <f>IF($F352="","",$I352+$J352+$K352)</f>
        <v/>
      </c>
      <c r="S352" s="769" t="str">
        <f>IF(OR($F352="",$P352="支払なし",$H352=0,$Q352=""),"",$Q352&amp;"|S|"&amp;(COUNTIF(S$4:S351,$Q352&amp;"|S|*")+1))</f>
        <v/>
      </c>
      <c r="T352" s="769" t="str">
        <f>IF(OR($F352="",$P352="支払なし",$R352=0,$Q352=""),"",$Q352&amp;"|L|"&amp;(COUNTIF(T$4:T351,$Q352&amp;"|L|*")+1))</f>
        <v/>
      </c>
      <c r="U352" s="769" t="str">
        <f>IF($F352="","",13)</f>
        <v/>
      </c>
    </row>
    <row r="353" ht="16.5" customHeight="1" s="186">
      <c r="A353" s="760" t="n"/>
      <c r="B353" s="760" t="n"/>
      <c r="C353" s="762" t="n"/>
      <c r="D353" s="762" t="n"/>
      <c r="E353" s="775" t="n"/>
      <c r="F353" s="821" t="n"/>
      <c r="G353" s="821" t="n"/>
      <c r="H353" s="818">
        <f>IF(G353=1,F353-I353-J353-K353,IF(G353=2,F353,0))</f>
        <v>0</v>
      </c>
      <c r="I353" s="818">
        <f>ROUND(IF(G353=1,F353*10/23,IF(G353=3,F353-J353-K353,IF(G353=4,F353,IF(G353=5,F353*10/11,IF(G353=7,F353*10/11,0))))),0)</f>
        <v>0</v>
      </c>
      <c r="J353" s="818">
        <f>ROUND(IF(G353=1,F353/23,IF(G353=3,F353/12,IF(G353=5,F353-I353,IF(G353=8,F353,0)))),0)</f>
        <v>0</v>
      </c>
      <c r="K353" s="819">
        <f>ROUND(IF(G353=1,F353/23,IF(G353=3,F353/12,IF(G353=6,F353,IF(G353=7,F353-I353,0)))),0)</f>
        <v>0</v>
      </c>
      <c r="L353" s="820">
        <f>IF(G353=6,F353,0)</f>
        <v>0</v>
      </c>
      <c r="P353" s="768" t="n"/>
      <c r="Q353" s="769" t="str">
        <f>IF($F353="","",IFERROR(VLOOKUP($C353&amp;"|"&amp;$D353,科目表!$A$5:$B$200,2,FALSE),"※未登録"))</f>
        <v/>
      </c>
      <c r="R353" s="769" t="str">
        <f>IF($F353="","",$I353+$J353+$K353)</f>
        <v/>
      </c>
      <c r="S353" s="769" t="str">
        <f>IF(OR($F353="",$P353="支払なし",$H353=0,$Q353=""),"",$Q353&amp;"|S|"&amp;(COUNTIF(S$4:S352,$Q353&amp;"|S|*")+1))</f>
        <v/>
      </c>
      <c r="T353" s="769" t="str">
        <f>IF(OR($F353="",$P353="支払なし",$R353=0,$Q353=""),"",$Q353&amp;"|L|"&amp;(COUNTIF(T$4:T352,$Q353&amp;"|L|*")+1))</f>
        <v/>
      </c>
      <c r="U353" s="769" t="str">
        <f>IF($F353="","",13)</f>
        <v/>
      </c>
    </row>
    <row r="354" ht="16.5" customHeight="1" s="186">
      <c r="A354" s="760" t="n"/>
      <c r="B354" s="760" t="n"/>
      <c r="C354" s="762" t="n"/>
      <c r="D354" s="762" t="n"/>
      <c r="E354" s="762" t="n"/>
      <c r="F354" s="821" t="n"/>
      <c r="G354" s="821" t="n"/>
      <c r="H354" s="818">
        <f>IF(G354=1,F354-I354-J354-K354,IF(G354=2,F354,0))</f>
        <v>0</v>
      </c>
      <c r="I354" s="818">
        <f>ROUND(IF(G354=1,F354*10/23,IF(G354=3,F354-J354-K354,IF(G354=4,F354,IF(G354=5,F354*10/11,IF(G354=7,F354*10/11,0))))),0)</f>
        <v>0</v>
      </c>
      <c r="J354" s="818">
        <f>ROUND(IF(G354=1,F354/23,IF(G354=3,F354/12,IF(G354=5,F354-I354,IF(G354=8,F354,0)))),0)</f>
        <v>0</v>
      </c>
      <c r="K354" s="819">
        <f>ROUND(IF(G354=1,F354/23,IF(G354=3,F354/12,IF(G354=6,F354,IF(G354=7,F354-I354,0)))),0)</f>
        <v>0</v>
      </c>
      <c r="L354" s="820">
        <f>IF(G354=6,F354,0)</f>
        <v>0</v>
      </c>
      <c r="P354" s="768" t="n"/>
      <c r="Q354" s="769" t="str">
        <f>IF($F354="","",IFERROR(VLOOKUP($C354&amp;"|"&amp;$D354,科目表!$A$5:$B$200,2,FALSE),"※未登録"))</f>
        <v/>
      </c>
      <c r="R354" s="769" t="str">
        <f>IF($F354="","",$I354+$J354+$K354)</f>
        <v/>
      </c>
      <c r="S354" s="769" t="str">
        <f>IF(OR($F354="",$P354="支払なし",$H354=0,$Q354=""),"",$Q354&amp;"|S|"&amp;(COUNTIF(S$4:S353,$Q354&amp;"|S|*")+1))</f>
        <v/>
      </c>
      <c r="T354" s="769" t="str">
        <f>IF(OR($F354="",$P354="支払なし",$R354=0,$Q354=""),"",$Q354&amp;"|L|"&amp;(COUNTIF(T$4:T353,$Q354&amp;"|L|*")+1))</f>
        <v/>
      </c>
      <c r="U354" s="769" t="str">
        <f>IF($F354="","",13)</f>
        <v/>
      </c>
    </row>
    <row r="355" ht="16.5" customHeight="1" s="186">
      <c r="A355" s="760" t="n"/>
      <c r="B355" s="760" t="n"/>
      <c r="C355" s="762" t="n"/>
      <c r="D355" s="762" t="n"/>
      <c r="E355" s="775" t="n"/>
      <c r="F355" s="821" t="n"/>
      <c r="G355" s="821" t="n"/>
      <c r="H355" s="818">
        <f>IF(G355=1,F355-I355-J355-K355,IF(G355=2,F355,0))</f>
        <v>0</v>
      </c>
      <c r="I355" s="818">
        <f>ROUND(IF(G355=1,F355*10/23,IF(G355=3,F355-J355-K355,IF(G355=4,F355,IF(G355=5,F355*10/11,IF(G355=7,F355*10/11,0))))),0)</f>
        <v>0</v>
      </c>
      <c r="J355" s="818">
        <f>ROUND(IF(G355=1,F355/23,IF(G355=3,F355/12,IF(G355=5,F355-I355,IF(G355=8,F355,0)))),0)</f>
        <v>0</v>
      </c>
      <c r="K355" s="819">
        <f>ROUND(IF(G355=1,F355/23,IF(G355=3,F355/12,IF(G355=6,F355,IF(G355=7,F355-I355,0)))),0)</f>
        <v>0</v>
      </c>
      <c r="L355" s="820">
        <f>IF(G355=6,F355,0)</f>
        <v>0</v>
      </c>
      <c r="P355" s="768" t="n"/>
      <c r="Q355" s="769" t="str">
        <f>IF($F355="","",IFERROR(VLOOKUP($C355&amp;"|"&amp;$D355,科目表!$A$5:$B$200,2,FALSE),"※未登録"))</f>
        <v/>
      </c>
      <c r="R355" s="769" t="str">
        <f>IF($F355="","",$I355+$J355+$K355)</f>
        <v/>
      </c>
      <c r="S355" s="769" t="str">
        <f>IF(OR($F355="",$P355="支払なし",$H355=0,$Q355=""),"",$Q355&amp;"|S|"&amp;(COUNTIF(S$4:S354,$Q355&amp;"|S|*")+1))</f>
        <v/>
      </c>
      <c r="T355" s="769" t="str">
        <f>IF(OR($F355="",$P355="支払なし",$R355=0,$Q355=""),"",$Q355&amp;"|L|"&amp;(COUNTIF(T$4:T354,$Q355&amp;"|L|*")+1))</f>
        <v/>
      </c>
      <c r="U355" s="769" t="str">
        <f>IF($F355="","",13)</f>
        <v/>
      </c>
    </row>
    <row r="356" ht="16.5" customHeight="1" s="186">
      <c r="A356" s="760" t="n"/>
      <c r="B356" s="760" t="n"/>
      <c r="C356" s="762" t="n"/>
      <c r="D356" s="762" t="n"/>
      <c r="E356" s="775" t="n"/>
      <c r="F356" s="821" t="n"/>
      <c r="G356" s="821" t="n"/>
      <c r="H356" s="818">
        <f>IF(G356=1,F356-I356-J356-K356,IF(G356=2,F356,0))</f>
        <v>0</v>
      </c>
      <c r="I356" s="818">
        <f>ROUND(IF(G356=1,F356*10/23,IF(G356=3,F356-J356-K356,IF(G356=4,F356,IF(G356=5,F356*10/11,IF(G356=7,F356*10/11,0))))),0)</f>
        <v>0</v>
      </c>
      <c r="J356" s="818">
        <f>ROUND(IF(G356=1,F356/23,IF(G356=3,F356/12,IF(G356=5,F356-I356,IF(G356=8,F356,0)))),0)</f>
        <v>0</v>
      </c>
      <c r="K356" s="819">
        <f>ROUND(IF(G356=1,F356/23,IF(G356=3,F356/12,IF(G356=6,F356,IF(G356=7,F356-I356,0)))),0)</f>
        <v>0</v>
      </c>
      <c r="L356" s="820">
        <f>IF(G356=6,F356,0)</f>
        <v>0</v>
      </c>
      <c r="P356" s="768" t="n"/>
      <c r="Q356" s="769" t="str">
        <f>IF($F356="","",IFERROR(VLOOKUP($C356&amp;"|"&amp;$D356,科目表!$A$5:$B$200,2,FALSE),"※未登録"))</f>
        <v/>
      </c>
      <c r="R356" s="769" t="str">
        <f>IF($F356="","",$I356+$J356+$K356)</f>
        <v/>
      </c>
      <c r="S356" s="769" t="str">
        <f>IF(OR($F356="",$P356="支払なし",$H356=0,$Q356=""),"",$Q356&amp;"|S|"&amp;(COUNTIF(S$4:S355,$Q356&amp;"|S|*")+1))</f>
        <v/>
      </c>
      <c r="T356" s="769" t="str">
        <f>IF(OR($F356="",$P356="支払なし",$R356=0,$Q356=""),"",$Q356&amp;"|L|"&amp;(COUNTIF(T$4:T355,$Q356&amp;"|L|*")+1))</f>
        <v/>
      </c>
      <c r="U356" s="769" t="str">
        <f>IF($F356="","",13)</f>
        <v/>
      </c>
    </row>
    <row r="357" ht="16.5" customHeight="1" s="186">
      <c r="A357" s="760" t="n"/>
      <c r="B357" s="760" t="n"/>
      <c r="C357" s="762" t="n"/>
      <c r="D357" s="762" t="n"/>
      <c r="E357" s="775" t="n"/>
      <c r="F357" s="821" t="n"/>
      <c r="G357" s="821" t="n"/>
      <c r="H357" s="818">
        <f>IF(G357=1,F357-I357-J357-K357,IF(G357=2,F357,0))</f>
        <v>0</v>
      </c>
      <c r="I357" s="818">
        <f>ROUND(IF(G357=1,F357*10/23,IF(G357=3,F357-J357-K357,IF(G357=4,F357,IF(G357=5,F357*10/11,IF(G357=7,F357*10/11,0))))),0)</f>
        <v>0</v>
      </c>
      <c r="J357" s="818">
        <f>ROUND(IF(G357=1,F357/23,IF(G357=3,F357/12,IF(G357=5,F357-I357,IF(G357=8,F357,0)))),0)</f>
        <v>0</v>
      </c>
      <c r="K357" s="819">
        <f>ROUND(IF(G357=1,F357/23,IF(G357=3,F357/12,IF(G357=6,F357,IF(G357=7,F357-I357,0)))),0)</f>
        <v>0</v>
      </c>
      <c r="L357" s="820">
        <f>IF(G357=6,F357,0)</f>
        <v>0</v>
      </c>
      <c r="P357" s="768" t="n"/>
      <c r="Q357" s="769" t="str">
        <f>IF($F357="","",IFERROR(VLOOKUP($C357&amp;"|"&amp;$D357,科目表!$A$5:$B$200,2,FALSE),"※未登録"))</f>
        <v/>
      </c>
      <c r="R357" s="769" t="str">
        <f>IF($F357="","",$I357+$J357+$K357)</f>
        <v/>
      </c>
      <c r="S357" s="769" t="str">
        <f>IF(OR($F357="",$P357="支払なし",$H357=0,$Q357=""),"",$Q357&amp;"|S|"&amp;(COUNTIF(S$4:S356,$Q357&amp;"|S|*")+1))</f>
        <v/>
      </c>
      <c r="T357" s="769" t="str">
        <f>IF(OR($F357="",$P357="支払なし",$R357=0,$Q357=""),"",$Q357&amp;"|L|"&amp;(COUNTIF(T$4:T356,$Q357&amp;"|L|*")+1))</f>
        <v/>
      </c>
      <c r="U357" s="769" t="str">
        <f>IF($F357="","",13)</f>
        <v/>
      </c>
    </row>
    <row r="358" ht="16.5" customHeight="1" s="186">
      <c r="A358" s="760" t="n"/>
      <c r="B358" s="760" t="n"/>
      <c r="C358" s="762" t="n"/>
      <c r="D358" s="762" t="n"/>
      <c r="E358" s="775" t="n"/>
      <c r="F358" s="821" t="n"/>
      <c r="G358" s="821" t="n"/>
      <c r="H358" s="818">
        <f>IF(G358=1,F358-I358-J358-K358,IF(G358=2,F358,0))</f>
        <v>0</v>
      </c>
      <c r="I358" s="818">
        <f>ROUND(IF(G358=1,F358*10/23,IF(G358=3,F358-J358-K358,IF(G358=4,F358,IF(G358=5,F358*10/11,IF(G358=7,F358*10/11,0))))),0)</f>
        <v>0</v>
      </c>
      <c r="J358" s="818">
        <f>ROUND(IF(G358=1,F358/23,IF(G358=3,F358/12,IF(G358=5,F358-I358,IF(G358=8,F358,0)))),0)</f>
        <v>0</v>
      </c>
      <c r="K358" s="819">
        <f>ROUND(IF(G358=1,F358/23,IF(G358=3,F358/12,IF(G358=6,F358,IF(G358=7,F358-I358,0)))),0)</f>
        <v>0</v>
      </c>
      <c r="L358" s="820">
        <f>IF(G358=6,F358,0)</f>
        <v>0</v>
      </c>
      <c r="P358" s="768" t="n"/>
      <c r="Q358" s="769" t="str">
        <f>IF($F358="","",IFERROR(VLOOKUP($C358&amp;"|"&amp;$D358,科目表!$A$5:$B$200,2,FALSE),"※未登録"))</f>
        <v/>
      </c>
      <c r="R358" s="769" t="str">
        <f>IF($F358="","",$I358+$J358+$K358)</f>
        <v/>
      </c>
      <c r="S358" s="769" t="str">
        <f>IF(OR($F358="",$P358="支払なし",$H358=0,$Q358=""),"",$Q358&amp;"|S|"&amp;(COUNTIF(S$4:S357,$Q358&amp;"|S|*")+1))</f>
        <v/>
      </c>
      <c r="T358" s="769" t="str">
        <f>IF(OR($F358="",$P358="支払なし",$R358=0,$Q358=""),"",$Q358&amp;"|L|"&amp;(COUNTIF(T$4:T357,$Q358&amp;"|L|*")+1))</f>
        <v/>
      </c>
      <c r="U358" s="769" t="str">
        <f>IF($F358="","",13)</f>
        <v/>
      </c>
    </row>
    <row r="359" ht="16.5" customHeight="1" s="186">
      <c r="A359" s="760" t="n"/>
      <c r="B359" s="760" t="n"/>
      <c r="C359" s="762" t="n"/>
      <c r="D359" s="762" t="n"/>
      <c r="E359" s="775" t="n"/>
      <c r="F359" s="821" t="n"/>
      <c r="G359" s="821" t="n"/>
      <c r="H359" s="818">
        <f>IF(G359=1,F359-I359-J359-K359,IF(G359=2,F359,0))</f>
        <v>0</v>
      </c>
      <c r="I359" s="818">
        <f>ROUND(IF(G359=1,F359*10/23,IF(G359=3,F359-J359-K359,IF(G359=4,F359,IF(G359=5,F359*10/11,IF(G359=7,F359*10/11,0))))),0)</f>
        <v>0</v>
      </c>
      <c r="J359" s="818">
        <f>ROUND(IF(G359=1,F359/23,IF(G359=3,F359/12,IF(G359=5,F359-I359,IF(G359=8,F359,0)))),0)</f>
        <v>0</v>
      </c>
      <c r="K359" s="819">
        <f>ROUND(IF(G359=1,F359/23,IF(G359=3,F359/12,IF(G359=6,F359,IF(G359=7,F359-I359,0)))),0)</f>
        <v>0</v>
      </c>
      <c r="L359" s="820">
        <f>IF(G359=6,F359,0)</f>
        <v>0</v>
      </c>
      <c r="P359" s="768" t="n"/>
      <c r="Q359" s="769" t="str">
        <f>IF($F359="","",IFERROR(VLOOKUP($C359&amp;"|"&amp;$D359,科目表!$A$5:$B$200,2,FALSE),"※未登録"))</f>
        <v/>
      </c>
      <c r="R359" s="769" t="str">
        <f>IF($F359="","",$I359+$J359+$K359)</f>
        <v/>
      </c>
      <c r="S359" s="769" t="str">
        <f>IF(OR($F359="",$P359="支払なし",$H359=0,$Q359=""),"",$Q359&amp;"|S|"&amp;(COUNTIF(S$4:S358,$Q359&amp;"|S|*")+1))</f>
        <v/>
      </c>
      <c r="T359" s="769" t="str">
        <f>IF(OR($F359="",$P359="支払なし",$R359=0,$Q359=""),"",$Q359&amp;"|L|"&amp;(COUNTIF(T$4:T358,$Q359&amp;"|L|*")+1))</f>
        <v/>
      </c>
      <c r="U359" s="769" t="str">
        <f>IF($F359="","",13)</f>
        <v/>
      </c>
    </row>
    <row r="360" ht="16.5" customHeight="1" s="186">
      <c r="A360" s="760" t="n"/>
      <c r="B360" s="760" t="n"/>
      <c r="C360" s="762" t="n"/>
      <c r="D360" s="762" t="n"/>
      <c r="E360" s="775" t="n"/>
      <c r="F360" s="821" t="n"/>
      <c r="G360" s="821" t="n"/>
      <c r="H360" s="818">
        <f>IF(G360=1,F360-I360-J360-K360,IF(G360=2,F360,0))</f>
        <v>0</v>
      </c>
      <c r="I360" s="818">
        <f>ROUND(IF(G360=1,F360*10/23,IF(G360=3,F360-J360-K360,IF(G360=4,F360,IF(G360=5,F360*10/11,IF(G360=7,F360*10/11,0))))),0)</f>
        <v>0</v>
      </c>
      <c r="J360" s="818">
        <f>ROUND(IF(G360=1,F360/23,IF(G360=3,F360/12,IF(G360=5,F360-I360,IF(G360=8,F360,0)))),0)</f>
        <v>0</v>
      </c>
      <c r="K360" s="819">
        <f>ROUND(IF(G360=1,F360/23,IF(G360=3,F360/12,IF(G360=6,F360,IF(G360=7,F360-I360,0)))),0)</f>
        <v>0</v>
      </c>
      <c r="L360" s="820">
        <f>IF(G360=6,F360,0)</f>
        <v>0</v>
      </c>
      <c r="P360" s="768" t="n"/>
      <c r="Q360" s="769" t="str">
        <f>IF($F360="","",IFERROR(VLOOKUP($C360&amp;"|"&amp;$D360,科目表!$A$5:$B$200,2,FALSE),"※未登録"))</f>
        <v/>
      </c>
      <c r="R360" s="769" t="str">
        <f>IF($F360="","",$I360+$J360+$K360)</f>
        <v/>
      </c>
      <c r="S360" s="769" t="str">
        <f>IF(OR($F360="",$P360="支払なし",$H360=0,$Q360=""),"",$Q360&amp;"|S|"&amp;(COUNTIF(S$4:S359,$Q360&amp;"|S|*")+1))</f>
        <v/>
      </c>
      <c r="T360" s="769" t="str">
        <f>IF(OR($F360="",$P360="支払なし",$R360=0,$Q360=""),"",$Q360&amp;"|L|"&amp;(COUNTIF(T$4:T359,$Q360&amp;"|L|*")+1))</f>
        <v/>
      </c>
      <c r="U360" s="769" t="str">
        <f>IF($F360="","",13)</f>
        <v/>
      </c>
    </row>
    <row r="361" ht="16.5" customHeight="1" s="186">
      <c r="A361" s="760" t="n"/>
      <c r="B361" s="760" t="n"/>
      <c r="C361" s="762" t="n"/>
      <c r="D361" s="762" t="n"/>
      <c r="E361" s="775" t="n"/>
      <c r="F361" s="821" t="n"/>
      <c r="G361" s="821" t="n"/>
      <c r="H361" s="818">
        <f>IF(G361=1,F361-I361-J361-K361,IF(G361=2,F361,0))</f>
        <v>0</v>
      </c>
      <c r="I361" s="818">
        <f>ROUND(IF(G361=1,F361*10/23,IF(G361=3,F361-J361-K361,IF(G361=4,F361,IF(G361=5,F361*10/11,IF(G361=7,F361*10/11,0))))),0)</f>
        <v>0</v>
      </c>
      <c r="J361" s="818">
        <f>ROUND(IF(G361=1,F361/23,IF(G361=3,F361/12,IF(G361=5,F361-I361,IF(G361=8,F361,0)))),0)</f>
        <v>0</v>
      </c>
      <c r="K361" s="819">
        <f>ROUND(IF(G361=1,F361/23,IF(G361=3,F361/12,IF(G361=6,F361,IF(G361=7,F361-I361,0)))),0)</f>
        <v>0</v>
      </c>
      <c r="L361" s="820">
        <f>IF(G361=6,F361,0)</f>
        <v>0</v>
      </c>
      <c r="P361" s="768" t="n"/>
      <c r="Q361" s="769" t="str">
        <f>IF($F361="","",IFERROR(VLOOKUP($C361&amp;"|"&amp;$D361,科目表!$A$5:$B$200,2,FALSE),"※未登録"))</f>
        <v/>
      </c>
      <c r="R361" s="769" t="str">
        <f>IF($F361="","",$I361+$J361+$K361)</f>
        <v/>
      </c>
      <c r="S361" s="769" t="str">
        <f>IF(OR($F361="",$P361="支払なし",$H361=0,$Q361=""),"",$Q361&amp;"|S|"&amp;(COUNTIF(S$4:S360,$Q361&amp;"|S|*")+1))</f>
        <v/>
      </c>
      <c r="T361" s="769" t="str">
        <f>IF(OR($F361="",$P361="支払なし",$R361=0,$Q361=""),"",$Q361&amp;"|L|"&amp;(COUNTIF(T$4:T360,$Q361&amp;"|L|*")+1))</f>
        <v/>
      </c>
      <c r="U361" s="769" t="str">
        <f>IF($F361="","",13)</f>
        <v/>
      </c>
    </row>
    <row r="362" ht="16.5" customHeight="1" s="186">
      <c r="A362" s="760" t="n"/>
      <c r="B362" s="760" t="n"/>
      <c r="C362" s="762" t="n"/>
      <c r="D362" s="762" t="n"/>
      <c r="E362" s="775" t="n"/>
      <c r="F362" s="821" t="n"/>
      <c r="G362" s="821" t="n"/>
      <c r="H362" s="818">
        <f>IF(G362=1,F362-I362-J362-K362,IF(G362=2,F362,0))</f>
        <v>0</v>
      </c>
      <c r="I362" s="818">
        <f>ROUND(IF(G362=1,F362*10/23,IF(G362=3,F362-J362-K362,IF(G362=4,F362,IF(G362=5,F362*10/11,IF(G362=7,F362*10/11,0))))),0)</f>
        <v>0</v>
      </c>
      <c r="J362" s="818">
        <f>ROUND(IF(G362=1,F362/23,IF(G362=3,F362/12,IF(G362=5,F362-I362,IF(G362=8,F362,0)))),0)</f>
        <v>0</v>
      </c>
      <c r="K362" s="819">
        <f>ROUND(IF(G362=1,F362/23,IF(G362=3,F362/12,IF(G362=6,F362,IF(G362=7,F362-I362,0)))),0)</f>
        <v>0</v>
      </c>
      <c r="L362" s="820">
        <f>IF(G362=6,F362,0)</f>
        <v>0</v>
      </c>
      <c r="P362" s="768" t="n"/>
      <c r="Q362" s="769" t="str">
        <f>IF($F362="","",IFERROR(VLOOKUP($C362&amp;"|"&amp;$D362,科目表!$A$5:$B$200,2,FALSE),"※未登録"))</f>
        <v/>
      </c>
      <c r="R362" s="769" t="str">
        <f>IF($F362="","",$I362+$J362+$K362)</f>
        <v/>
      </c>
      <c r="S362" s="769" t="str">
        <f>IF(OR($F362="",$P362="支払なし",$H362=0,$Q362=""),"",$Q362&amp;"|S|"&amp;(COUNTIF(S$4:S361,$Q362&amp;"|S|*")+1))</f>
        <v/>
      </c>
      <c r="T362" s="769" t="str">
        <f>IF(OR($F362="",$P362="支払なし",$R362=0,$Q362=""),"",$Q362&amp;"|L|"&amp;(COUNTIF(T$4:T361,$Q362&amp;"|L|*")+1))</f>
        <v/>
      </c>
      <c r="U362" s="769" t="str">
        <f>IF($F362="","",13)</f>
        <v/>
      </c>
    </row>
    <row r="363" ht="16.5" customHeight="1" s="186">
      <c r="A363" s="760" t="n"/>
      <c r="B363" s="760" t="n"/>
      <c r="C363" s="762" t="n"/>
      <c r="D363" s="762" t="n"/>
      <c r="E363" s="775" t="n"/>
      <c r="F363" s="821" t="n"/>
      <c r="G363" s="821" t="n"/>
      <c r="H363" s="818">
        <f>IF(G363=1,F363-I363-J363-K363,IF(G363=2,F363,0))</f>
        <v>0</v>
      </c>
      <c r="I363" s="818">
        <f>ROUND(IF(G363=1,F363*10/23,IF(G363=3,F363-J363-K363,IF(G363=4,F363,IF(G363=5,F363*10/11,IF(G363=7,F363*10/11,0))))),0)</f>
        <v>0</v>
      </c>
      <c r="J363" s="818">
        <f>ROUND(IF(G363=1,F363/23,IF(G363=3,F363/12,IF(G363=5,F363-I363,IF(G363=8,F363,0)))),0)</f>
        <v>0</v>
      </c>
      <c r="K363" s="819">
        <f>ROUND(IF(G363=1,F363/23,IF(G363=3,F363/12,IF(G363=6,F363,IF(G363=7,F363-I363,0)))),0)</f>
        <v>0</v>
      </c>
      <c r="L363" s="820">
        <f>IF(G363=6,F363,0)</f>
        <v>0</v>
      </c>
      <c r="P363" s="768" t="n"/>
      <c r="Q363" s="769" t="str">
        <f>IF($F363="","",IFERROR(VLOOKUP($C363&amp;"|"&amp;$D363,科目表!$A$5:$B$200,2,FALSE),"※未登録"))</f>
        <v/>
      </c>
      <c r="R363" s="769" t="str">
        <f>IF($F363="","",$I363+$J363+$K363)</f>
        <v/>
      </c>
      <c r="S363" s="769" t="str">
        <f>IF(OR($F363="",$P363="支払なし",$H363=0,$Q363=""),"",$Q363&amp;"|S|"&amp;(COUNTIF(S$4:S362,$Q363&amp;"|S|*")+1))</f>
        <v/>
      </c>
      <c r="T363" s="769" t="str">
        <f>IF(OR($F363="",$P363="支払なし",$R363=0,$Q363=""),"",$Q363&amp;"|L|"&amp;(COUNTIF(T$4:T362,$Q363&amp;"|L|*")+1))</f>
        <v/>
      </c>
      <c r="U363" s="769" t="str">
        <f>IF($F363="","",13)</f>
        <v/>
      </c>
    </row>
    <row r="364" ht="16.5" customHeight="1" s="186">
      <c r="A364" s="760" t="n"/>
      <c r="B364" s="760" t="n"/>
      <c r="C364" s="762" t="n"/>
      <c r="D364" s="762" t="n"/>
      <c r="E364" s="775" t="n"/>
      <c r="F364" s="821" t="n"/>
      <c r="G364" s="821" t="n"/>
      <c r="H364" s="818">
        <f>IF(G364=1,F364-I364-J364-K364,IF(G364=2,F364,0))</f>
        <v>0</v>
      </c>
      <c r="I364" s="818">
        <f>ROUND(IF(G364=1,F364*10/23,IF(G364=3,F364-J364-K364,IF(G364=4,F364,IF(G364=5,F364*10/11,IF(G364=7,F364*10/11,0))))),0)</f>
        <v>0</v>
      </c>
      <c r="J364" s="818">
        <f>ROUND(IF(G364=1,F364/23,IF(G364=3,F364/12,IF(G364=5,F364-I364,IF(G364=8,F364,0)))),0)</f>
        <v>0</v>
      </c>
      <c r="K364" s="819">
        <f>ROUND(IF(G364=1,F364/23,IF(G364=3,F364/12,IF(G364=6,F364,IF(G364=7,F364-I364,0)))),0)</f>
        <v>0</v>
      </c>
      <c r="L364" s="820">
        <f>IF(G364=6,F364,0)</f>
        <v>0</v>
      </c>
      <c r="P364" s="768" t="n"/>
      <c r="Q364" s="769" t="str">
        <f>IF($F364="","",IFERROR(VLOOKUP($C364&amp;"|"&amp;$D364,科目表!$A$5:$B$200,2,FALSE),"※未登録"))</f>
        <v/>
      </c>
      <c r="R364" s="769" t="str">
        <f>IF($F364="","",$I364+$J364+$K364)</f>
        <v/>
      </c>
      <c r="S364" s="769" t="str">
        <f>IF(OR($F364="",$P364="支払なし",$H364=0,$Q364=""),"",$Q364&amp;"|S|"&amp;(COUNTIF(S$4:S363,$Q364&amp;"|S|*")+1))</f>
        <v/>
      </c>
      <c r="T364" s="769" t="str">
        <f>IF(OR($F364="",$P364="支払なし",$R364=0,$Q364=""),"",$Q364&amp;"|L|"&amp;(COUNTIF(T$4:T363,$Q364&amp;"|L|*")+1))</f>
        <v/>
      </c>
      <c r="U364" s="769" t="str">
        <f>IF($F364="","",13)</f>
        <v/>
      </c>
    </row>
    <row r="365" ht="16.5" customHeight="1" s="186">
      <c r="A365" s="760" t="n"/>
      <c r="B365" s="760" t="n"/>
      <c r="C365" s="762" t="n"/>
      <c r="D365" s="762" t="n"/>
      <c r="E365" s="775" t="n"/>
      <c r="F365" s="821" t="n"/>
      <c r="G365" s="821" t="n"/>
      <c r="H365" s="818">
        <f>IF(G365=1,F365-I365-J365-K365,IF(G365=2,F365,0))</f>
        <v>0</v>
      </c>
      <c r="I365" s="818">
        <f>ROUND(IF(G365=1,F365*10/23,IF(G365=3,F365-J365-K365,IF(G365=4,F365,IF(G365=5,F365*10/11,IF(G365=7,F365*10/11,0))))),0)</f>
        <v>0</v>
      </c>
      <c r="J365" s="818">
        <f>ROUND(IF(G365=1,F365/23,IF(G365=3,F365/12,IF(G365=5,F365-I365,IF(G365=8,F365,0)))),0)</f>
        <v>0</v>
      </c>
      <c r="K365" s="819">
        <f>ROUND(IF(G365=1,F365/23,IF(G365=3,F365/12,IF(G365=6,F365,IF(G365=7,F365-I365,0)))),0)</f>
        <v>0</v>
      </c>
      <c r="L365" s="820">
        <f>IF(G365=6,F365,0)</f>
        <v>0</v>
      </c>
      <c r="P365" s="768" t="n"/>
      <c r="Q365" s="769" t="str">
        <f>IF($F365="","",IFERROR(VLOOKUP($C365&amp;"|"&amp;$D365,科目表!$A$5:$B$200,2,FALSE),"※未登録"))</f>
        <v/>
      </c>
      <c r="R365" s="769" t="str">
        <f>IF($F365="","",$I365+$J365+$K365)</f>
        <v/>
      </c>
      <c r="S365" s="769" t="str">
        <f>IF(OR($F365="",$P365="支払なし",$H365=0,$Q365=""),"",$Q365&amp;"|S|"&amp;(COUNTIF(S$4:S364,$Q365&amp;"|S|*")+1))</f>
        <v/>
      </c>
      <c r="T365" s="769" t="str">
        <f>IF(OR($F365="",$P365="支払なし",$R365=0,$Q365=""),"",$Q365&amp;"|L|"&amp;(COUNTIF(T$4:T364,$Q365&amp;"|L|*")+1))</f>
        <v/>
      </c>
      <c r="U365" s="769" t="str">
        <f>IF($F365="","",13)</f>
        <v/>
      </c>
    </row>
    <row r="366" ht="16.5" customHeight="1" s="186">
      <c r="A366" s="760" t="n"/>
      <c r="B366" s="760" t="n"/>
      <c r="C366" s="762" t="n"/>
      <c r="D366" s="762" t="n"/>
      <c r="E366" s="775" t="n"/>
      <c r="F366" s="821" t="n"/>
      <c r="G366" s="821" t="n"/>
      <c r="H366" s="818">
        <f>IF(G366=1,F366-I366-J366-K366,IF(G366=2,F366,0))</f>
        <v>0</v>
      </c>
      <c r="I366" s="818">
        <f>ROUND(IF(G366=1,F366*10/23,IF(G366=3,F366-J366-K366,IF(G366=4,F366,IF(G366=5,F366*10/11,IF(G366=7,F366*10/11,0))))),0)</f>
        <v>0</v>
      </c>
      <c r="J366" s="818">
        <f>ROUND(IF(G366=1,F366/23,IF(G366=3,F366/12,IF(G366=5,F366-I366,IF(G366=8,F366,0)))),0)</f>
        <v>0</v>
      </c>
      <c r="K366" s="819">
        <f>ROUND(IF(G366=1,F366/23,IF(G366=3,F366/12,IF(G366=6,F366,IF(G366=7,F366-I366,0)))),0)</f>
        <v>0</v>
      </c>
      <c r="L366" s="820">
        <f>IF(G366=6,F366,0)</f>
        <v>0</v>
      </c>
      <c r="P366" s="768" t="n"/>
      <c r="Q366" s="769" t="str">
        <f>IF($F366="","",IFERROR(VLOOKUP($C366&amp;"|"&amp;$D366,科目表!$A$5:$B$200,2,FALSE),"※未登録"))</f>
        <v/>
      </c>
      <c r="R366" s="769" t="str">
        <f>IF($F366="","",$I366+$J366+$K366)</f>
        <v/>
      </c>
      <c r="S366" s="769" t="str">
        <f>IF(OR($F366="",$P366="支払なし",$H366=0,$Q366=""),"",$Q366&amp;"|S|"&amp;(COUNTIF(S$4:S365,$Q366&amp;"|S|*")+1))</f>
        <v/>
      </c>
      <c r="T366" s="769" t="str">
        <f>IF(OR($F366="",$P366="支払なし",$R366=0,$Q366=""),"",$Q366&amp;"|L|"&amp;(COUNTIF(T$4:T365,$Q366&amp;"|L|*")+1))</f>
        <v/>
      </c>
      <c r="U366" s="769" t="str">
        <f>IF($F366="","",13)</f>
        <v/>
      </c>
    </row>
    <row r="367" ht="16.5" customHeight="1" s="186">
      <c r="A367" s="760" t="n"/>
      <c r="B367" s="760" t="n"/>
      <c r="C367" s="762" t="n"/>
      <c r="D367" s="762" t="n"/>
      <c r="E367" s="775" t="n"/>
      <c r="F367" s="821" t="n"/>
      <c r="G367" s="821" t="n"/>
      <c r="H367" s="818">
        <f>IF(G367=1,F367-I367-J367-K367,IF(G367=2,F367,0))</f>
        <v>0</v>
      </c>
      <c r="I367" s="818">
        <f>ROUND(IF(G367=1,F367*10/23,IF(G367=3,F367-J367-K367,IF(G367=4,F367,IF(G367=5,F367*10/11,IF(G367=7,F367*10/11,0))))),0)</f>
        <v>0</v>
      </c>
      <c r="J367" s="818">
        <f>ROUND(IF(G367=1,F367/23,IF(G367=3,F367/12,IF(G367=5,F367-I367,IF(G367=8,F367,0)))),0)</f>
        <v>0</v>
      </c>
      <c r="K367" s="819">
        <f>ROUND(IF(G367=1,F367/23,IF(G367=3,F367/12,IF(G367=6,F367,IF(G367=7,F367-I367,0)))),0)</f>
        <v>0</v>
      </c>
      <c r="L367" s="820">
        <f>IF(G367=6,F367,0)</f>
        <v>0</v>
      </c>
      <c r="P367" s="768" t="n"/>
      <c r="Q367" s="769" t="str">
        <f>IF($F367="","",IFERROR(VLOOKUP($C367&amp;"|"&amp;$D367,科目表!$A$5:$B$200,2,FALSE),"※未登録"))</f>
        <v/>
      </c>
      <c r="R367" s="769" t="str">
        <f>IF($F367="","",$I367+$J367+$K367)</f>
        <v/>
      </c>
      <c r="S367" s="769" t="str">
        <f>IF(OR($F367="",$P367="支払なし",$H367=0,$Q367=""),"",$Q367&amp;"|S|"&amp;(COUNTIF(S$4:S366,$Q367&amp;"|S|*")+1))</f>
        <v/>
      </c>
      <c r="T367" s="769" t="str">
        <f>IF(OR($F367="",$P367="支払なし",$R367=0,$Q367=""),"",$Q367&amp;"|L|"&amp;(COUNTIF(T$4:T366,$Q367&amp;"|L|*")+1))</f>
        <v/>
      </c>
      <c r="U367" s="769" t="str">
        <f>IF($F367="","",13)</f>
        <v/>
      </c>
    </row>
    <row r="368" ht="16.5" customHeight="1" s="186">
      <c r="A368" s="760" t="n"/>
      <c r="B368" s="760" t="n"/>
      <c r="C368" s="762" t="n"/>
      <c r="D368" s="762" t="n"/>
      <c r="E368" s="775" t="n"/>
      <c r="F368" s="821" t="n"/>
      <c r="G368" s="821" t="n"/>
      <c r="H368" s="818">
        <f>IF(G368=1,F368-I368-J368-K368,IF(G368=2,F368,0))</f>
        <v>0</v>
      </c>
      <c r="I368" s="818">
        <f>ROUND(IF(G368=1,F368*10/23,IF(G368=3,F368-J368-K368,IF(G368=4,F368,IF(G368=5,F368*10/11,IF(G368=7,F368*10/11,0))))),0)</f>
        <v>0</v>
      </c>
      <c r="J368" s="818">
        <f>ROUND(IF(G368=1,F368/23,IF(G368=3,F368/12,IF(G368=5,F368-I368,IF(G368=8,F368,0)))),0)</f>
        <v>0</v>
      </c>
      <c r="K368" s="819">
        <f>ROUND(IF(G368=1,F368/23,IF(G368=3,F368/12,IF(G368=6,F368,IF(G368=7,F368-I368,0)))),0)</f>
        <v>0</v>
      </c>
      <c r="L368" s="820">
        <f>IF(G368=6,F368,0)</f>
        <v>0</v>
      </c>
      <c r="P368" s="768" t="n"/>
      <c r="Q368" s="769" t="str">
        <f>IF($F368="","",IFERROR(VLOOKUP($C368&amp;"|"&amp;$D368,科目表!$A$5:$B$200,2,FALSE),"※未登録"))</f>
        <v/>
      </c>
      <c r="R368" s="769" t="str">
        <f>IF($F368="","",$I368+$J368+$K368)</f>
        <v/>
      </c>
      <c r="S368" s="769" t="str">
        <f>IF(OR($F368="",$P368="支払なし",$H368=0,$Q368=""),"",$Q368&amp;"|S|"&amp;(COUNTIF(S$4:S367,$Q368&amp;"|S|*")+1))</f>
        <v/>
      </c>
      <c r="T368" s="769" t="str">
        <f>IF(OR($F368="",$P368="支払なし",$R368=0,$Q368=""),"",$Q368&amp;"|L|"&amp;(COUNTIF(T$4:T367,$Q368&amp;"|L|*")+1))</f>
        <v/>
      </c>
      <c r="U368" s="769" t="str">
        <f>IF($F368="","",13)</f>
        <v/>
      </c>
    </row>
    <row r="369" ht="16.5" customHeight="1" s="186">
      <c r="A369" s="760" t="n"/>
      <c r="B369" s="760" t="n"/>
      <c r="C369" s="762" t="n"/>
      <c r="D369" s="762" t="n"/>
      <c r="E369" s="775" t="n"/>
      <c r="F369" s="821" t="n"/>
      <c r="G369" s="821" t="n"/>
      <c r="H369" s="818">
        <f>IF(G369=1,F369-I369-J369-K369,IF(G369=2,F369,0))</f>
        <v>0</v>
      </c>
      <c r="I369" s="818">
        <f>ROUND(IF(G369=1,F369*10/23,IF(G369=3,F369-J369-K369,IF(G369=4,F369,IF(G369=5,F369*10/11,IF(G369=7,F369*10/11,0))))),0)</f>
        <v>0</v>
      </c>
      <c r="J369" s="818">
        <f>ROUND(IF(G369=1,F369/23,IF(G369=3,F369/12,IF(G369=5,F369-I369,IF(G369=8,F369,0)))),0)</f>
        <v>0</v>
      </c>
      <c r="K369" s="819">
        <f>ROUND(IF(G369=1,F369/23,IF(G369=3,F369/12,IF(G369=6,F369,IF(G369=7,F369-I369,0)))),0)</f>
        <v>0</v>
      </c>
      <c r="L369" s="820">
        <f>IF(G369=6,F369,0)</f>
        <v>0</v>
      </c>
      <c r="P369" s="768" t="n"/>
      <c r="Q369" s="769" t="str">
        <f>IF($F369="","",IFERROR(VLOOKUP($C369&amp;"|"&amp;$D369,科目表!$A$5:$B$200,2,FALSE),"※未登録"))</f>
        <v/>
      </c>
      <c r="R369" s="769" t="str">
        <f>IF($F369="","",$I369+$J369+$K369)</f>
        <v/>
      </c>
      <c r="S369" s="769" t="str">
        <f>IF(OR($F369="",$P369="支払なし",$H369=0,$Q369=""),"",$Q369&amp;"|S|"&amp;(COUNTIF(S$4:S368,$Q369&amp;"|S|*")+1))</f>
        <v/>
      </c>
      <c r="T369" s="769" t="str">
        <f>IF(OR($F369="",$P369="支払なし",$R369=0,$Q369=""),"",$Q369&amp;"|L|"&amp;(COUNTIF(T$4:T368,$Q369&amp;"|L|*")+1))</f>
        <v/>
      </c>
      <c r="U369" s="769" t="str">
        <f>IF($F369="","",13)</f>
        <v/>
      </c>
    </row>
    <row r="370" ht="16.5" customHeight="1" s="186">
      <c r="A370" s="760" t="n"/>
      <c r="B370" s="760" t="n"/>
      <c r="C370" s="762" t="n"/>
      <c r="D370" s="762" t="n"/>
      <c r="E370" s="775" t="n"/>
      <c r="F370" s="821" t="n"/>
      <c r="G370" s="821" t="n"/>
      <c r="H370" s="818">
        <f>IF(G370=1,F370-I370-J370-K370,IF(G370=2,F370,0))</f>
        <v>0</v>
      </c>
      <c r="I370" s="818">
        <f>ROUND(IF(G370=1,F370*10/23,IF(G370=3,F370-J370-K370,IF(G370=4,F370,IF(G370=5,F370*10/11,IF(G370=7,F370*10/11,0))))),0)</f>
        <v>0</v>
      </c>
      <c r="J370" s="818">
        <f>ROUND(IF(G370=1,F370/23,IF(G370=3,F370/12,IF(G370=5,F370-I370,IF(G370=8,F370,0)))),0)</f>
        <v>0</v>
      </c>
      <c r="K370" s="819">
        <f>ROUND(IF(G370=1,F370/23,IF(G370=3,F370/12,IF(G370=6,F370,IF(G370=7,F370-I370,0)))),0)</f>
        <v>0</v>
      </c>
      <c r="L370" s="820">
        <f>IF(G370=6,F370,0)</f>
        <v>0</v>
      </c>
      <c r="P370" s="768" t="n"/>
      <c r="Q370" s="769" t="str">
        <f>IF($F370="","",IFERROR(VLOOKUP($C370&amp;"|"&amp;$D370,科目表!$A$5:$B$200,2,FALSE),"※未登録"))</f>
        <v/>
      </c>
      <c r="R370" s="769" t="str">
        <f>IF($F370="","",$I370+$J370+$K370)</f>
        <v/>
      </c>
      <c r="S370" s="769" t="str">
        <f>IF(OR($F370="",$P370="支払なし",$H370=0,$Q370=""),"",$Q370&amp;"|S|"&amp;(COUNTIF(S$4:S369,$Q370&amp;"|S|*")+1))</f>
        <v/>
      </c>
      <c r="T370" s="769" t="str">
        <f>IF(OR($F370="",$P370="支払なし",$R370=0,$Q370=""),"",$Q370&amp;"|L|"&amp;(COUNTIF(T$4:T369,$Q370&amp;"|L|*")+1))</f>
        <v/>
      </c>
      <c r="U370" s="769" t="str">
        <f>IF($F370="","",13)</f>
        <v/>
      </c>
    </row>
    <row r="371" ht="16.5" customHeight="1" s="186">
      <c r="A371" s="760" t="n"/>
      <c r="B371" s="760" t="n"/>
      <c r="C371" s="762" t="n"/>
      <c r="D371" s="762" t="n"/>
      <c r="E371" s="775" t="n"/>
      <c r="F371" s="821" t="n"/>
      <c r="G371" s="821" t="n"/>
      <c r="H371" s="818">
        <f>IF(G371=1,F371-I371-J371-K371,IF(G371=2,F371,0))</f>
        <v>0</v>
      </c>
      <c r="I371" s="818">
        <f>ROUND(IF(G371=1,F371*10/23,IF(G371=3,F371-J371-K371,IF(G371=4,F371,IF(G371=5,F371*10/11,IF(G371=7,F371*10/11,0))))),0)</f>
        <v>0</v>
      </c>
      <c r="J371" s="818">
        <f>ROUND(IF(G371=1,F371/23,IF(G371=3,F371/12,IF(G371=5,F371-I371,IF(G371=8,F371,0)))),0)</f>
        <v>0</v>
      </c>
      <c r="K371" s="819">
        <f>ROUND(IF(G371=1,F371/23,IF(G371=3,F371/12,IF(G371=6,F371,IF(G371=7,F371-I371,0)))),0)</f>
        <v>0</v>
      </c>
      <c r="L371" s="820">
        <f>IF(G371=6,F371,0)</f>
        <v>0</v>
      </c>
      <c r="P371" s="768" t="n"/>
      <c r="Q371" s="769" t="str">
        <f>IF($F371="","",IFERROR(VLOOKUP($C371&amp;"|"&amp;$D371,科目表!$A$5:$B$200,2,FALSE),"※未登録"))</f>
        <v/>
      </c>
      <c r="R371" s="769" t="str">
        <f>IF($F371="","",$I371+$J371+$K371)</f>
        <v/>
      </c>
      <c r="S371" s="769" t="str">
        <f>IF(OR($F371="",$P371="支払なし",$H371=0,$Q371=""),"",$Q371&amp;"|S|"&amp;(COUNTIF(S$4:S370,$Q371&amp;"|S|*")+1))</f>
        <v/>
      </c>
      <c r="T371" s="769" t="str">
        <f>IF(OR($F371="",$P371="支払なし",$R371=0,$Q371=""),"",$Q371&amp;"|L|"&amp;(COUNTIF(T$4:T370,$Q371&amp;"|L|*")+1))</f>
        <v/>
      </c>
      <c r="U371" s="769" t="str">
        <f>IF($F371="","",13)</f>
        <v/>
      </c>
    </row>
    <row r="372" ht="16.5" customHeight="1" s="186">
      <c r="A372" s="760" t="n"/>
      <c r="B372" s="760" t="n"/>
      <c r="C372" s="762" t="n"/>
      <c r="D372" s="762" t="n"/>
      <c r="E372" s="775" t="n"/>
      <c r="F372" s="821" t="n"/>
      <c r="G372" s="821" t="n"/>
      <c r="H372" s="818">
        <f>IF(G372=1,F372-I372-J372-K372,IF(G372=2,F372,0))</f>
        <v>0</v>
      </c>
      <c r="I372" s="818">
        <f>ROUND(IF(G372=1,F372*10/23,IF(G372=3,F372-J372-K372,IF(G372=4,F372,IF(G372=5,F372*10/11,IF(G372=7,F372*10/11,0))))),0)</f>
        <v>0</v>
      </c>
      <c r="J372" s="818">
        <f>ROUND(IF(G372=1,F372/23,IF(G372=3,F372/12,IF(G372=5,F372-I372,IF(G372=8,F372,0)))),0)</f>
        <v>0</v>
      </c>
      <c r="K372" s="819">
        <f>ROUND(IF(G372=1,F372/23,IF(G372=3,F372/12,IF(G372=6,F372,IF(G372=7,F372-I372,0)))),0)</f>
        <v>0</v>
      </c>
      <c r="L372" s="820">
        <f>IF(G372=6,F372,0)</f>
        <v>0</v>
      </c>
      <c r="P372" s="768" t="n"/>
      <c r="Q372" s="769" t="str">
        <f>IF($F372="","",IFERROR(VLOOKUP($C372&amp;"|"&amp;$D372,科目表!$A$5:$B$200,2,FALSE),"※未登録"))</f>
        <v/>
      </c>
      <c r="R372" s="769" t="str">
        <f>IF($F372="","",$I372+$J372+$K372)</f>
        <v/>
      </c>
      <c r="S372" s="769" t="str">
        <f>IF(OR($F372="",$P372="支払なし",$H372=0,$Q372=""),"",$Q372&amp;"|S|"&amp;(COUNTIF(S$4:S371,$Q372&amp;"|S|*")+1))</f>
        <v/>
      </c>
      <c r="T372" s="769" t="str">
        <f>IF(OR($F372="",$P372="支払なし",$R372=0,$Q372=""),"",$Q372&amp;"|L|"&amp;(COUNTIF(T$4:T371,$Q372&amp;"|L|*")+1))</f>
        <v/>
      </c>
      <c r="U372" s="769" t="str">
        <f>IF($F372="","",13)</f>
        <v/>
      </c>
    </row>
    <row r="373" ht="16.5" customHeight="1" s="186">
      <c r="A373" s="760" t="n"/>
      <c r="B373" s="760" t="n"/>
      <c r="C373" s="762" t="n"/>
      <c r="D373" s="762" t="n"/>
      <c r="E373" s="775" t="n"/>
      <c r="F373" s="821" t="n"/>
      <c r="G373" s="821" t="n"/>
      <c r="H373" s="818">
        <f>IF(G373=1,F373-I373-J373-K373,IF(G373=2,F373,0))</f>
        <v>0</v>
      </c>
      <c r="I373" s="818">
        <f>ROUND(IF(G373=1,F373*10/23,IF(G373=3,F373-J373-K373,IF(G373=4,F373,IF(G373=5,F373*10/11,IF(G373=7,F373*10/11,0))))),0)</f>
        <v>0</v>
      </c>
      <c r="J373" s="818">
        <f>ROUND(IF(G373=1,F373/23,IF(G373=3,F373/12,IF(G373=5,F373-I373,IF(G373=8,F373,0)))),0)</f>
        <v>0</v>
      </c>
      <c r="K373" s="819">
        <f>ROUND(IF(G373=1,F373/23,IF(G373=3,F373/12,IF(G373=6,F373,IF(G373=7,F373-I373,0)))),0)</f>
        <v>0</v>
      </c>
      <c r="L373" s="820">
        <f>IF(G373=6,F373,0)</f>
        <v>0</v>
      </c>
      <c r="P373" s="768" t="n"/>
      <c r="Q373" s="769" t="str">
        <f>IF($F373="","",IFERROR(VLOOKUP($C373&amp;"|"&amp;$D373,科目表!$A$5:$B$200,2,FALSE),"※未登録"))</f>
        <v/>
      </c>
      <c r="R373" s="769" t="str">
        <f>IF($F373="","",$I373+$J373+$K373)</f>
        <v/>
      </c>
      <c r="S373" s="769" t="str">
        <f>IF(OR($F373="",$P373="支払なし",$H373=0,$Q373=""),"",$Q373&amp;"|S|"&amp;(COUNTIF(S$4:S372,$Q373&amp;"|S|*")+1))</f>
        <v/>
      </c>
      <c r="T373" s="769" t="str">
        <f>IF(OR($F373="",$P373="支払なし",$R373=0,$Q373=""),"",$Q373&amp;"|L|"&amp;(COUNTIF(T$4:T372,$Q373&amp;"|L|*")+1))</f>
        <v/>
      </c>
      <c r="U373" s="769" t="str">
        <f>IF($F373="","",13)</f>
        <v/>
      </c>
    </row>
    <row r="374" ht="16.5" customHeight="1" s="186">
      <c r="A374" s="760" t="n"/>
      <c r="B374" s="760" t="n"/>
      <c r="C374" s="762" t="n"/>
      <c r="D374" s="762" t="n"/>
      <c r="E374" s="775" t="n"/>
      <c r="F374" s="821" t="n"/>
      <c r="G374" s="821" t="n"/>
      <c r="H374" s="818">
        <f>IF(G374=1,F374-I374-J374-K374,IF(G374=2,F374,0))</f>
        <v>0</v>
      </c>
      <c r="I374" s="818">
        <f>ROUND(IF(G374=1,F374*10/23,IF(G374=3,F374-J374-K374,IF(G374=4,F374,IF(G374=5,F374*10/11,IF(G374=7,F374*10/11,0))))),0)</f>
        <v>0</v>
      </c>
      <c r="J374" s="818">
        <f>ROUND(IF(G374=1,F374/23,IF(G374=3,F374/12,IF(G374=5,F374-I374,IF(G374=8,F374,0)))),0)</f>
        <v>0</v>
      </c>
      <c r="K374" s="819">
        <f>ROUND(IF(G374=1,F374/23,IF(G374=3,F374/12,IF(G374=6,F374,IF(G374=7,F374-I374,0)))),0)</f>
        <v>0</v>
      </c>
      <c r="L374" s="820">
        <f>IF(G374=6,F374,0)</f>
        <v>0</v>
      </c>
      <c r="P374" s="768" t="n"/>
      <c r="Q374" s="769" t="str">
        <f>IF($F374="","",IFERROR(VLOOKUP($C374&amp;"|"&amp;$D374,科目表!$A$5:$B$200,2,FALSE),"※未登録"))</f>
        <v/>
      </c>
      <c r="R374" s="769" t="str">
        <f>IF($F374="","",$I374+$J374+$K374)</f>
        <v/>
      </c>
      <c r="S374" s="769" t="str">
        <f>IF(OR($F374="",$P374="支払なし",$H374=0,$Q374=""),"",$Q374&amp;"|S|"&amp;(COUNTIF(S$4:S373,$Q374&amp;"|S|*")+1))</f>
        <v/>
      </c>
      <c r="T374" s="769" t="str">
        <f>IF(OR($F374="",$P374="支払なし",$R374=0,$Q374=""),"",$Q374&amp;"|L|"&amp;(COUNTIF(T$4:T373,$Q374&amp;"|L|*")+1))</f>
        <v/>
      </c>
      <c r="U374" s="769" t="str">
        <f>IF($F374="","",13)</f>
        <v/>
      </c>
    </row>
    <row r="375" ht="16.5" customHeight="1" s="186">
      <c r="A375" s="760" t="n"/>
      <c r="B375" s="760" t="n"/>
      <c r="C375" s="762" t="n"/>
      <c r="D375" s="762" t="n"/>
      <c r="E375" s="775" t="n"/>
      <c r="F375" s="821" t="n"/>
      <c r="G375" s="821" t="n"/>
      <c r="H375" s="818">
        <f>IF(G375=1,F375-I375-J375-K375,IF(G375=2,F375,0))</f>
        <v>0</v>
      </c>
      <c r="I375" s="818">
        <f>ROUND(IF(G375=1,F375*10/23,IF(G375=3,F375-J375-K375,IF(G375=4,F375,IF(G375=5,F375*10/11,IF(G375=7,F375*10/11,0))))),0)</f>
        <v>0</v>
      </c>
      <c r="J375" s="818">
        <f>ROUND(IF(G375=1,F375/23,IF(G375=3,F375/12,IF(G375=5,F375-I375,IF(G375=8,F375,0)))),0)</f>
        <v>0</v>
      </c>
      <c r="K375" s="819">
        <f>ROUND(IF(G375=1,F375/23,IF(G375=3,F375/12,IF(G375=6,F375,IF(G375=7,F375-I375,0)))),0)</f>
        <v>0</v>
      </c>
      <c r="L375" s="820">
        <f>IF(G375=6,F375,0)</f>
        <v>0</v>
      </c>
      <c r="P375" s="768" t="n"/>
      <c r="Q375" s="769" t="str">
        <f>IF($F375="","",IFERROR(VLOOKUP($C375&amp;"|"&amp;$D375,科目表!$A$5:$B$200,2,FALSE),"※未登録"))</f>
        <v/>
      </c>
      <c r="R375" s="769" t="str">
        <f>IF($F375="","",$I375+$J375+$K375)</f>
        <v/>
      </c>
      <c r="S375" s="769" t="str">
        <f>IF(OR($F375="",$P375="支払なし",$H375=0,$Q375=""),"",$Q375&amp;"|S|"&amp;(COUNTIF(S$4:S374,$Q375&amp;"|S|*")+1))</f>
        <v/>
      </c>
      <c r="T375" s="769" t="str">
        <f>IF(OR($F375="",$P375="支払なし",$R375=0,$Q375=""),"",$Q375&amp;"|L|"&amp;(COUNTIF(T$4:T374,$Q375&amp;"|L|*")+1))</f>
        <v/>
      </c>
      <c r="U375" s="769" t="str">
        <f>IF($F375="","",13)</f>
        <v/>
      </c>
    </row>
    <row r="376" ht="16.5" customHeight="1" s="186">
      <c r="A376" s="760" t="n"/>
      <c r="B376" s="760" t="n"/>
      <c r="C376" s="762" t="n"/>
      <c r="D376" s="762" t="n"/>
      <c r="E376" s="775" t="n"/>
      <c r="F376" s="821" t="n"/>
      <c r="G376" s="821" t="n"/>
      <c r="H376" s="818">
        <f>IF(G376=1,F376-I376-J376-K376,IF(G376=2,F376,0))</f>
        <v>0</v>
      </c>
      <c r="I376" s="818">
        <f>ROUND(IF(G376=1,F376*10/23,IF(G376=3,F376-J376-K376,IF(G376=4,F376,IF(G376=5,F376*10/11,IF(G376=7,F376*10/11,0))))),0)</f>
        <v>0</v>
      </c>
      <c r="J376" s="818">
        <f>ROUND(IF(G376=1,F376/23,IF(G376=3,F376/12,IF(G376=5,F376-I376,IF(G376=8,F376,0)))),0)</f>
        <v>0</v>
      </c>
      <c r="K376" s="819">
        <f>ROUND(IF(G376=1,F376/23,IF(G376=3,F376/12,IF(G376=6,F376,IF(G376=7,F376-I376,0)))),0)</f>
        <v>0</v>
      </c>
      <c r="L376" s="820">
        <f>IF(G376=6,F376,0)</f>
        <v>0</v>
      </c>
      <c r="P376" s="768" t="n"/>
      <c r="Q376" s="769" t="str">
        <f>IF($F376="","",IFERROR(VLOOKUP($C376&amp;"|"&amp;$D376,科目表!$A$5:$B$200,2,FALSE),"※未登録"))</f>
        <v/>
      </c>
      <c r="R376" s="769" t="str">
        <f>IF($F376="","",$I376+$J376+$K376)</f>
        <v/>
      </c>
      <c r="S376" s="769" t="str">
        <f>IF(OR($F376="",$P376="支払なし",$H376=0,$Q376=""),"",$Q376&amp;"|S|"&amp;(COUNTIF(S$4:S375,$Q376&amp;"|S|*")+1))</f>
        <v/>
      </c>
      <c r="T376" s="769" t="str">
        <f>IF(OR($F376="",$P376="支払なし",$R376=0,$Q376=""),"",$Q376&amp;"|L|"&amp;(COUNTIF(T$4:T375,$Q376&amp;"|L|*")+1))</f>
        <v/>
      </c>
      <c r="U376" s="769" t="str">
        <f>IF($F376="","",13)</f>
        <v/>
      </c>
    </row>
    <row r="377" ht="16.5" customHeight="1" s="186">
      <c r="A377" s="760" t="n"/>
      <c r="B377" s="760" t="n"/>
      <c r="C377" s="762" t="n"/>
      <c r="D377" s="762" t="n"/>
      <c r="E377" s="775" t="n"/>
      <c r="F377" s="821" t="n"/>
      <c r="G377" s="821" t="n"/>
      <c r="H377" s="818">
        <f>IF(G377=1,F377-I377-J377-K377,IF(G377=2,F377,0))</f>
        <v>0</v>
      </c>
      <c r="I377" s="818">
        <f>ROUND(IF(G377=1,F377*10/23,IF(G377=3,F377-J377-K377,IF(G377=4,F377,IF(G377=5,F377*10/11,IF(G377=7,F377*10/11,0))))),0)</f>
        <v>0</v>
      </c>
      <c r="J377" s="818">
        <f>ROUND(IF(G377=1,F377/23,IF(G377=3,F377/12,IF(G377=5,F377-I377,IF(G377=8,F377,0)))),0)</f>
        <v>0</v>
      </c>
      <c r="K377" s="819">
        <f>ROUND(IF(G377=1,F377/23,IF(G377=3,F377/12,IF(G377=6,F377,IF(G377=7,F377-I377,0)))),0)</f>
        <v>0</v>
      </c>
      <c r="L377" s="820">
        <f>IF(G377=6,F377,0)</f>
        <v>0</v>
      </c>
      <c r="P377" s="768" t="n"/>
      <c r="Q377" s="769" t="str">
        <f>IF($F377="","",IFERROR(VLOOKUP($C377&amp;"|"&amp;$D377,科目表!$A$5:$B$200,2,FALSE),"※未登録"))</f>
        <v/>
      </c>
      <c r="R377" s="769" t="str">
        <f>IF($F377="","",$I377+$J377+$K377)</f>
        <v/>
      </c>
      <c r="S377" s="769" t="str">
        <f>IF(OR($F377="",$P377="支払なし",$H377=0,$Q377=""),"",$Q377&amp;"|S|"&amp;(COUNTIF(S$4:S376,$Q377&amp;"|S|*")+1))</f>
        <v/>
      </c>
      <c r="T377" s="769" t="str">
        <f>IF(OR($F377="",$P377="支払なし",$R377=0,$Q377=""),"",$Q377&amp;"|L|"&amp;(COUNTIF(T$4:T376,$Q377&amp;"|L|*")+1))</f>
        <v/>
      </c>
      <c r="U377" s="769" t="str">
        <f>IF($F377="","",13)</f>
        <v/>
      </c>
    </row>
    <row r="378" ht="16.5" customHeight="1" s="186">
      <c r="A378" s="760" t="n"/>
      <c r="B378" s="760" t="n"/>
      <c r="C378" s="762" t="n"/>
      <c r="D378" s="762" t="n"/>
      <c r="E378" s="775" t="n"/>
      <c r="F378" s="821" t="n"/>
      <c r="G378" s="821" t="n"/>
      <c r="H378" s="818">
        <f>IF(G378=1,F378-I378-J378-K378,IF(G378=2,F378,0))</f>
        <v>0</v>
      </c>
      <c r="I378" s="818">
        <f>ROUND(IF(G378=1,F378*10/23,IF(G378=3,F378-J378-K378,IF(G378=4,F378,IF(G378=5,F378*10/11,IF(G378=7,F378*10/11,0))))),0)</f>
        <v>0</v>
      </c>
      <c r="J378" s="818">
        <f>ROUND(IF(G378=1,F378/23,IF(G378=3,F378/12,IF(G378=5,F378-I378,IF(G378=8,F378,0)))),0)</f>
        <v>0</v>
      </c>
      <c r="K378" s="819">
        <f>ROUND(IF(G378=1,F378/23,IF(G378=3,F378/12,IF(G378=6,F378,IF(G378=7,F378-I378,0)))),0)</f>
        <v>0</v>
      </c>
      <c r="L378" s="820">
        <f>IF(G378=6,F378,0)</f>
        <v>0</v>
      </c>
      <c r="P378" s="768" t="n"/>
      <c r="Q378" s="769" t="str">
        <f>IF($F378="","",IFERROR(VLOOKUP($C378&amp;"|"&amp;$D378,科目表!$A$5:$B$200,2,FALSE),"※未登録"))</f>
        <v/>
      </c>
      <c r="R378" s="769" t="str">
        <f>IF($F378="","",$I378+$J378+$K378)</f>
        <v/>
      </c>
      <c r="S378" s="769" t="str">
        <f>IF(OR($F378="",$P378="支払なし",$H378=0,$Q378=""),"",$Q378&amp;"|S|"&amp;(COUNTIF(S$4:S377,$Q378&amp;"|S|*")+1))</f>
        <v/>
      </c>
      <c r="T378" s="769" t="str">
        <f>IF(OR($F378="",$P378="支払なし",$R378=0,$Q378=""),"",$Q378&amp;"|L|"&amp;(COUNTIF(T$4:T377,$Q378&amp;"|L|*")+1))</f>
        <v/>
      </c>
      <c r="U378" s="769" t="str">
        <f>IF($F378="","",13)</f>
        <v/>
      </c>
    </row>
    <row r="379" ht="16.5" customHeight="1" s="186">
      <c r="A379" s="760" t="n"/>
      <c r="B379" s="760" t="n"/>
      <c r="C379" s="762" t="n"/>
      <c r="D379" s="762" t="n"/>
      <c r="E379" s="775" t="n"/>
      <c r="F379" s="821" t="n"/>
      <c r="G379" s="821" t="n"/>
      <c r="H379" s="818">
        <f>IF(G379=1,F379-I379-J379-K379,IF(G379=2,F379,0))</f>
        <v>0</v>
      </c>
      <c r="I379" s="818">
        <f>ROUND(IF(G379=1,F379*10/23,IF(G379=3,F379-J379-K379,IF(G379=4,F379,IF(G379=5,F379*10/11,IF(G379=7,F379*10/11,0))))),0)</f>
        <v>0</v>
      </c>
      <c r="J379" s="818">
        <f>ROUND(IF(G379=1,F379/23,IF(G379=3,F379/12,IF(G379=5,F379-I379,IF(G379=8,F379,0)))),0)</f>
        <v>0</v>
      </c>
      <c r="K379" s="819">
        <f>ROUND(IF(G379=1,F379/23,IF(G379=3,F379/12,IF(G379=6,F379,IF(G379=7,F379-I379,0)))),0)</f>
        <v>0</v>
      </c>
      <c r="L379" s="820">
        <f>IF(G379=6,F379,0)</f>
        <v>0</v>
      </c>
      <c r="P379" s="768" t="n"/>
      <c r="Q379" s="769" t="str">
        <f>IF($F379="","",IFERROR(VLOOKUP($C379&amp;"|"&amp;$D379,科目表!$A$5:$B$200,2,FALSE),"※未登録"))</f>
        <v/>
      </c>
      <c r="R379" s="769" t="str">
        <f>IF($F379="","",$I379+$J379+$K379)</f>
        <v/>
      </c>
      <c r="S379" s="769" t="str">
        <f>IF(OR($F379="",$P379="支払なし",$H379=0,$Q379=""),"",$Q379&amp;"|S|"&amp;(COUNTIF(S$4:S378,$Q379&amp;"|S|*")+1))</f>
        <v/>
      </c>
      <c r="T379" s="769" t="str">
        <f>IF(OR($F379="",$P379="支払なし",$R379=0,$Q379=""),"",$Q379&amp;"|L|"&amp;(COUNTIF(T$4:T378,$Q379&amp;"|L|*")+1))</f>
        <v/>
      </c>
      <c r="U379" s="769" t="str">
        <f>IF($F379="","",13)</f>
        <v/>
      </c>
    </row>
    <row r="380" ht="16.5" customHeight="1" s="186">
      <c r="A380" s="760" t="n"/>
      <c r="B380" s="760" t="n"/>
      <c r="C380" s="762" t="n"/>
      <c r="D380" s="762" t="n"/>
      <c r="E380" s="775" t="n"/>
      <c r="F380" s="821" t="n"/>
      <c r="G380" s="821" t="n"/>
      <c r="H380" s="818">
        <f>IF(G380=1,F380-I380-J380-K380,IF(G380=2,F380,0))</f>
        <v>0</v>
      </c>
      <c r="I380" s="818">
        <f>ROUND(IF(G380=1,F380*10/23,IF(G380=3,F380-J380-K380,IF(G380=4,F380,IF(G380=5,F380*10/11,IF(G380=7,F380*10/11,0))))),0)</f>
        <v>0</v>
      </c>
      <c r="J380" s="818">
        <f>ROUND(IF(G380=1,F380/23,IF(G380=3,F380/12,IF(G380=5,F380-I380,IF(G380=8,F380,0)))),0)</f>
        <v>0</v>
      </c>
      <c r="K380" s="819">
        <f>ROUND(IF(G380=1,F380/23,IF(G380=3,F380/12,IF(G380=6,F380,IF(G380=7,F380-I380,0)))),0)</f>
        <v>0</v>
      </c>
      <c r="L380" s="820">
        <f>IF(G380=6,F380,0)</f>
        <v>0</v>
      </c>
      <c r="P380" s="768" t="n"/>
      <c r="Q380" s="769" t="str">
        <f>IF($F380="","",IFERROR(VLOOKUP($C380&amp;"|"&amp;$D380,科目表!$A$5:$B$200,2,FALSE),"※未登録"))</f>
        <v/>
      </c>
      <c r="R380" s="769" t="str">
        <f>IF($F380="","",$I380+$J380+$K380)</f>
        <v/>
      </c>
      <c r="S380" s="769" t="str">
        <f>IF(OR($F380="",$P380="支払なし",$H380=0,$Q380=""),"",$Q380&amp;"|S|"&amp;(COUNTIF(S$4:S379,$Q380&amp;"|S|*")+1))</f>
        <v/>
      </c>
      <c r="T380" s="769" t="str">
        <f>IF(OR($F380="",$P380="支払なし",$R380=0,$Q380=""),"",$Q380&amp;"|L|"&amp;(COUNTIF(T$4:T379,$Q380&amp;"|L|*")+1))</f>
        <v/>
      </c>
      <c r="U380" s="769" t="str">
        <f>IF($F380="","",13)</f>
        <v/>
      </c>
    </row>
    <row r="381" ht="16.5" customHeight="1" s="186">
      <c r="A381" s="760" t="n"/>
      <c r="B381" s="760" t="n"/>
      <c r="C381" s="762" t="n"/>
      <c r="D381" s="762" t="n"/>
      <c r="E381" s="775" t="n"/>
      <c r="F381" s="821" t="n"/>
      <c r="G381" s="821" t="n"/>
      <c r="H381" s="818">
        <f>IF(G381=1,F381-I381-J381-K381,IF(G381=2,F381,0))</f>
        <v>0</v>
      </c>
      <c r="I381" s="818">
        <f>ROUND(IF(G381=1,F381*10/23,IF(G381=3,F381-J381-K381,IF(G381=4,F381,IF(G381=5,F381*10/11,IF(G381=7,F381*10/11,0))))),0)</f>
        <v>0</v>
      </c>
      <c r="J381" s="818">
        <f>ROUND(IF(G381=1,F381/23,IF(G381=3,F381/12,IF(G381=5,F381-I381,IF(G381=8,F381,0)))),0)</f>
        <v>0</v>
      </c>
      <c r="K381" s="819">
        <f>ROUND(IF(G381=1,F381/23,IF(G381=3,F381/12,IF(G381=6,F381,IF(G381=7,F381-I381,0)))),0)</f>
        <v>0</v>
      </c>
      <c r="L381" s="820">
        <f>IF(G381=6,F381,0)</f>
        <v>0</v>
      </c>
      <c r="P381" s="768" t="n"/>
      <c r="Q381" s="769" t="str">
        <f>IF($F381="","",IFERROR(VLOOKUP($C381&amp;"|"&amp;$D381,科目表!$A$5:$B$200,2,FALSE),"※未登録"))</f>
        <v/>
      </c>
      <c r="R381" s="769" t="str">
        <f>IF($F381="","",$I381+$J381+$K381)</f>
        <v/>
      </c>
      <c r="S381" s="769" t="str">
        <f>IF(OR($F381="",$P381="支払なし",$H381=0,$Q381=""),"",$Q381&amp;"|S|"&amp;(COUNTIF(S$4:S380,$Q381&amp;"|S|*")+1))</f>
        <v/>
      </c>
      <c r="T381" s="769" t="str">
        <f>IF(OR($F381="",$P381="支払なし",$R381=0,$Q381=""),"",$Q381&amp;"|L|"&amp;(COUNTIF(T$4:T380,$Q381&amp;"|L|*")+1))</f>
        <v/>
      </c>
      <c r="U381" s="769" t="str">
        <f>IF($F381="","",13)</f>
        <v/>
      </c>
    </row>
    <row r="382" ht="16.5" customHeight="1" s="186">
      <c r="A382" s="760" t="n"/>
      <c r="B382" s="760" t="n"/>
      <c r="C382" s="762" t="n"/>
      <c r="D382" s="762" t="n"/>
      <c r="E382" s="775" t="n"/>
      <c r="F382" s="821" t="n"/>
      <c r="G382" s="821" t="n"/>
      <c r="H382" s="818">
        <f>IF(G382=1,F382-I382-J382-K382,IF(G382=2,F382,0))</f>
        <v>0</v>
      </c>
      <c r="I382" s="818">
        <f>ROUND(IF(G382=1,F382*10/23,IF(G382=3,F382-J382-K382,IF(G382=4,F382,IF(G382=5,F382*10/11,IF(G382=7,F382*10/11,0))))),0)</f>
        <v>0</v>
      </c>
      <c r="J382" s="818">
        <f>ROUND(IF(G382=1,F382/23,IF(G382=3,F382/12,IF(G382=5,F382-I382,IF(G382=8,F382,0)))),0)</f>
        <v>0</v>
      </c>
      <c r="K382" s="819">
        <f>ROUND(IF(G382=1,F382/23,IF(G382=3,F382/12,IF(G382=6,F382,IF(G382=7,F382-I382,0)))),0)</f>
        <v>0</v>
      </c>
      <c r="L382" s="820">
        <f>IF(G382=6,F382,0)</f>
        <v>0</v>
      </c>
      <c r="P382" s="768" t="n"/>
      <c r="Q382" s="769" t="str">
        <f>IF($F382="","",IFERROR(VLOOKUP($C382&amp;"|"&amp;$D382,科目表!$A$5:$B$200,2,FALSE),"※未登録"))</f>
        <v/>
      </c>
      <c r="R382" s="769" t="str">
        <f>IF($F382="","",$I382+$J382+$K382)</f>
        <v/>
      </c>
      <c r="S382" s="769" t="str">
        <f>IF(OR($F382="",$P382="支払なし",$H382=0,$Q382=""),"",$Q382&amp;"|S|"&amp;(COUNTIF(S$4:S381,$Q382&amp;"|S|*")+1))</f>
        <v/>
      </c>
      <c r="T382" s="769" t="str">
        <f>IF(OR($F382="",$P382="支払なし",$R382=0,$Q382=""),"",$Q382&amp;"|L|"&amp;(COUNTIF(T$4:T381,$Q382&amp;"|L|*")+1))</f>
        <v/>
      </c>
      <c r="U382" s="769" t="str">
        <f>IF($F382="","",13)</f>
        <v/>
      </c>
    </row>
    <row r="383" ht="16.5" customHeight="1" s="186">
      <c r="A383" s="760" t="n"/>
      <c r="B383" s="760" t="n"/>
      <c r="C383" s="762" t="n"/>
      <c r="D383" s="762" t="n"/>
      <c r="E383" s="775" t="n"/>
      <c r="F383" s="821" t="n"/>
      <c r="G383" s="821" t="n"/>
      <c r="H383" s="818">
        <f>IF(G383=1,F383-I383-J383-K383,IF(G383=2,F383,0))</f>
        <v>0</v>
      </c>
      <c r="I383" s="818">
        <f>ROUND(IF(G383=1,F383*10/23,IF(G383=3,F383-J383-K383,IF(G383=4,F383,IF(G383=5,F383*10/11,IF(G383=7,F383*10/11,0))))),0)</f>
        <v>0</v>
      </c>
      <c r="J383" s="818">
        <f>ROUND(IF(G383=1,F383/23,IF(G383=3,F383/12,IF(G383=5,F383-I383,IF(G383=8,F383,0)))),0)</f>
        <v>0</v>
      </c>
      <c r="K383" s="819">
        <f>ROUND(IF(G383=1,F383/23,IF(G383=3,F383/12,IF(G383=6,F383,IF(G383=7,F383-I383,0)))),0)</f>
        <v>0</v>
      </c>
      <c r="L383" s="820">
        <f>IF(G383=6,F383,0)</f>
        <v>0</v>
      </c>
      <c r="P383" s="768" t="n"/>
      <c r="Q383" s="769" t="str">
        <f>IF($F383="","",IFERROR(VLOOKUP($C383&amp;"|"&amp;$D383,科目表!$A$5:$B$200,2,FALSE),"※未登録"))</f>
        <v/>
      </c>
      <c r="R383" s="769" t="str">
        <f>IF($F383="","",$I383+$J383+$K383)</f>
        <v/>
      </c>
      <c r="S383" s="769" t="str">
        <f>IF(OR($F383="",$P383="支払なし",$H383=0,$Q383=""),"",$Q383&amp;"|S|"&amp;(COUNTIF(S$4:S382,$Q383&amp;"|S|*")+1))</f>
        <v/>
      </c>
      <c r="T383" s="769" t="str">
        <f>IF(OR($F383="",$P383="支払なし",$R383=0,$Q383=""),"",$Q383&amp;"|L|"&amp;(COUNTIF(T$4:T382,$Q383&amp;"|L|*")+1))</f>
        <v/>
      </c>
      <c r="U383" s="769" t="str">
        <f>IF($F383="","",13)</f>
        <v/>
      </c>
    </row>
    <row r="384" ht="16.5" customHeight="1" s="186">
      <c r="A384" s="760" t="n"/>
      <c r="B384" s="760" t="n"/>
      <c r="C384" s="762" t="n"/>
      <c r="D384" s="762" t="n"/>
      <c r="E384" s="775" t="n"/>
      <c r="F384" s="821" t="n"/>
      <c r="G384" s="821" t="n"/>
      <c r="H384" s="818">
        <f>IF(G384=1,F384-I384-J384-K384,IF(G384=2,F384,0))</f>
        <v>0</v>
      </c>
      <c r="I384" s="818">
        <f>ROUND(IF(G384=1,F384*10/23,IF(G384=3,F384-J384-K384,IF(G384=4,F384,IF(G384=5,F384*10/11,IF(G384=7,F384*10/11,0))))),0)</f>
        <v>0</v>
      </c>
      <c r="J384" s="818">
        <f>ROUND(IF(G384=1,F384/23,IF(G384=3,F384/12,IF(G384=5,F384-I384,IF(G384=8,F384,0)))),0)</f>
        <v>0</v>
      </c>
      <c r="K384" s="819">
        <f>ROUND(IF(G384=1,F384/23,IF(G384=3,F384/12,IF(G384=6,F384,IF(G384=7,F384-I384,0)))),0)</f>
        <v>0</v>
      </c>
      <c r="L384" s="820">
        <f>IF(G384=6,F384,0)</f>
        <v>0</v>
      </c>
      <c r="P384" s="768" t="n"/>
      <c r="Q384" s="769" t="str">
        <f>IF($F384="","",IFERROR(VLOOKUP($C384&amp;"|"&amp;$D384,科目表!$A$5:$B$200,2,FALSE),"※未登録"))</f>
        <v/>
      </c>
      <c r="R384" s="769" t="str">
        <f>IF($F384="","",$I384+$J384+$K384)</f>
        <v/>
      </c>
      <c r="S384" s="769" t="str">
        <f>IF(OR($F384="",$P384="支払なし",$H384=0,$Q384=""),"",$Q384&amp;"|S|"&amp;(COUNTIF(S$4:S383,$Q384&amp;"|S|*")+1))</f>
        <v/>
      </c>
      <c r="T384" s="769" t="str">
        <f>IF(OR($F384="",$P384="支払なし",$R384=0,$Q384=""),"",$Q384&amp;"|L|"&amp;(COUNTIF(T$4:T383,$Q384&amp;"|L|*")+1))</f>
        <v/>
      </c>
      <c r="U384" s="769" t="str">
        <f>IF($F384="","",13)</f>
        <v/>
      </c>
    </row>
    <row r="385" ht="16.5" customHeight="1" s="186">
      <c r="A385" s="760" t="n"/>
      <c r="B385" s="760" t="n"/>
      <c r="C385" s="762" t="n"/>
      <c r="D385" s="762" t="n"/>
      <c r="E385" s="775" t="n"/>
      <c r="F385" s="821" t="n"/>
      <c r="G385" s="821" t="n"/>
      <c r="H385" s="818">
        <f>IF(G385=1,F385-I385-J385-K385,IF(G385=2,F385,0))</f>
        <v>0</v>
      </c>
      <c r="I385" s="818">
        <f>ROUND(IF(G385=1,F385*10/23,IF(G385=3,F385-J385-K385,IF(G385=4,F385,IF(G385=5,F385*10/11,IF(G385=7,F385*10/11,0))))),0)</f>
        <v>0</v>
      </c>
      <c r="J385" s="818">
        <f>ROUND(IF(G385=1,F385/23,IF(G385=3,F385/12,IF(G385=5,F385-I385,IF(G385=8,F385,0)))),0)</f>
        <v>0</v>
      </c>
      <c r="K385" s="819">
        <f>ROUND(IF(G385=1,F385/23,IF(G385=3,F385/12,IF(G385=6,F385,IF(G385=7,F385-I385,0)))),0)</f>
        <v>0</v>
      </c>
      <c r="L385" s="820">
        <f>IF(G385=6,F385,0)</f>
        <v>0</v>
      </c>
      <c r="P385" s="768" t="n"/>
      <c r="Q385" s="769" t="str">
        <f>IF($F385="","",IFERROR(VLOOKUP($C385&amp;"|"&amp;$D385,科目表!$A$5:$B$200,2,FALSE),"※未登録"))</f>
        <v/>
      </c>
      <c r="R385" s="769" t="str">
        <f>IF($F385="","",$I385+$J385+$K385)</f>
        <v/>
      </c>
      <c r="S385" s="769" t="str">
        <f>IF(OR($F385="",$P385="支払なし",$H385=0,$Q385=""),"",$Q385&amp;"|S|"&amp;(COUNTIF(S$4:S384,$Q385&amp;"|S|*")+1))</f>
        <v/>
      </c>
      <c r="T385" s="769" t="str">
        <f>IF(OR($F385="",$P385="支払なし",$R385=0,$Q385=""),"",$Q385&amp;"|L|"&amp;(COUNTIF(T$4:T384,$Q385&amp;"|L|*")+1))</f>
        <v/>
      </c>
      <c r="U385" s="769" t="str">
        <f>IF($F385="","",13)</f>
        <v/>
      </c>
    </row>
    <row r="386" ht="16.5" customHeight="1" s="186">
      <c r="A386" s="760" t="n"/>
      <c r="B386" s="760" t="n"/>
      <c r="C386" s="762" t="n"/>
      <c r="D386" s="762" t="n"/>
      <c r="E386" s="775" t="n"/>
      <c r="F386" s="821" t="n"/>
      <c r="G386" s="821" t="n"/>
      <c r="H386" s="818">
        <f>IF(G386=1,F386-I386-J386-K386,IF(G386=2,F386,0))</f>
        <v>0</v>
      </c>
      <c r="I386" s="818">
        <f>ROUND(IF(G386=1,F386*10/23,IF(G386=3,F386-J386-K386,IF(G386=4,F386,IF(G386=5,F386*10/11,IF(G386=7,F386*10/11,0))))),0)</f>
        <v>0</v>
      </c>
      <c r="J386" s="818">
        <f>ROUND(IF(G386=1,F386/23,IF(G386=3,F386/12,IF(G386=5,F386-I386,IF(G386=8,F386,0)))),0)</f>
        <v>0</v>
      </c>
      <c r="K386" s="819">
        <f>ROUND(IF(G386=1,F386/23,IF(G386=3,F386/12,IF(G386=6,F386,IF(G386=7,F386-I386,0)))),0)</f>
        <v>0</v>
      </c>
      <c r="L386" s="820">
        <f>IF(G386=6,F386,0)</f>
        <v>0</v>
      </c>
      <c r="P386" s="768" t="n"/>
      <c r="Q386" s="769" t="str">
        <f>IF($F386="","",IFERROR(VLOOKUP($C386&amp;"|"&amp;$D386,科目表!$A$5:$B$200,2,FALSE),"※未登録"))</f>
        <v/>
      </c>
      <c r="R386" s="769" t="str">
        <f>IF($F386="","",$I386+$J386+$K386)</f>
        <v/>
      </c>
      <c r="S386" s="769" t="str">
        <f>IF(OR($F386="",$P386="支払なし",$H386=0,$Q386=""),"",$Q386&amp;"|S|"&amp;(COUNTIF(S$4:S385,$Q386&amp;"|S|*")+1))</f>
        <v/>
      </c>
      <c r="T386" s="769" t="str">
        <f>IF(OR($F386="",$P386="支払なし",$R386=0,$Q386=""),"",$Q386&amp;"|L|"&amp;(COUNTIF(T$4:T385,$Q386&amp;"|L|*")+1))</f>
        <v/>
      </c>
      <c r="U386" s="769" t="str">
        <f>IF($F386="","",13)</f>
        <v/>
      </c>
    </row>
    <row r="387" ht="16.5" customHeight="1" s="186">
      <c r="A387" s="760" t="n"/>
      <c r="B387" s="760" t="n"/>
      <c r="C387" s="762" t="n"/>
      <c r="D387" s="762" t="n"/>
      <c r="E387" s="775" t="n"/>
      <c r="F387" s="821" t="n"/>
      <c r="G387" s="821" t="n"/>
      <c r="H387" s="818">
        <f>IF(G387=1,F387-I387-J387-K387,IF(G387=2,F387,0))</f>
        <v>0</v>
      </c>
      <c r="I387" s="818">
        <f>ROUND(IF(G387=1,F387*10/23,IF(G387=3,F387-J387-K387,IF(G387=4,F387,IF(G387=5,F387*10/11,IF(G387=7,F387*10/11,0))))),0)</f>
        <v>0</v>
      </c>
      <c r="J387" s="818">
        <f>ROUND(IF(G387=1,F387/23,IF(G387=3,F387/12,IF(G387=5,F387-I387,IF(G387=8,F387,0)))),0)</f>
        <v>0</v>
      </c>
      <c r="K387" s="819">
        <f>ROUND(IF(G387=1,F387/23,IF(G387=3,F387/12,IF(G387=6,F387,IF(G387=7,F387-I387,0)))),0)</f>
        <v>0</v>
      </c>
      <c r="L387" s="820">
        <f>IF(G387=6,F387,0)</f>
        <v>0</v>
      </c>
      <c r="P387" s="768" t="n"/>
      <c r="Q387" s="769" t="str">
        <f>IF($F387="","",IFERROR(VLOOKUP($C387&amp;"|"&amp;$D387,科目表!$A$5:$B$200,2,FALSE),"※未登録"))</f>
        <v/>
      </c>
      <c r="R387" s="769" t="str">
        <f>IF($F387="","",$I387+$J387+$K387)</f>
        <v/>
      </c>
      <c r="S387" s="769" t="str">
        <f>IF(OR($F387="",$P387="支払なし",$H387=0,$Q387=""),"",$Q387&amp;"|S|"&amp;(COUNTIF(S$4:S386,$Q387&amp;"|S|*")+1))</f>
        <v/>
      </c>
      <c r="T387" s="769" t="str">
        <f>IF(OR($F387="",$P387="支払なし",$R387=0,$Q387=""),"",$Q387&amp;"|L|"&amp;(COUNTIF(T$4:T386,$Q387&amp;"|L|*")+1))</f>
        <v/>
      </c>
      <c r="U387" s="769" t="str">
        <f>IF($F387="","",13)</f>
        <v/>
      </c>
    </row>
    <row r="388" ht="16.5" customHeight="1" s="186">
      <c r="A388" s="760" t="n"/>
      <c r="B388" s="760" t="n"/>
      <c r="C388" s="762" t="n"/>
      <c r="D388" s="762" t="n"/>
      <c r="E388" s="775" t="n"/>
      <c r="F388" s="821" t="n"/>
      <c r="G388" s="821" t="n"/>
      <c r="H388" s="818">
        <f>IF(G388=1,F388-I388-J388-K388,IF(G388=2,F388,0))</f>
        <v>0</v>
      </c>
      <c r="I388" s="818">
        <f>ROUND(IF(G388=1,F388*10/23,IF(G388=3,F388-J388-K388,IF(G388=4,F388,IF(G388=5,F388*10/11,IF(G388=7,F388*10/11,0))))),0)</f>
        <v>0</v>
      </c>
      <c r="J388" s="818">
        <f>ROUND(IF(G388=1,F388/23,IF(G388=3,F388/12,IF(G388=5,F388-I388,IF(G388=8,F388,0)))),0)</f>
        <v>0</v>
      </c>
      <c r="K388" s="819">
        <f>ROUND(IF(G388=1,F388/23,IF(G388=3,F388/12,IF(G388=6,F388,IF(G388=7,F388-I388,0)))),0)</f>
        <v>0</v>
      </c>
      <c r="L388" s="820">
        <f>IF(G388=6,F388,0)</f>
        <v>0</v>
      </c>
      <c r="P388" s="768" t="n"/>
      <c r="Q388" s="769" t="str">
        <f>IF($F388="","",IFERROR(VLOOKUP($C388&amp;"|"&amp;$D388,科目表!$A$5:$B$200,2,FALSE),"※未登録"))</f>
        <v/>
      </c>
      <c r="R388" s="769" t="str">
        <f>IF($F388="","",$I388+$J388+$K388)</f>
        <v/>
      </c>
      <c r="S388" s="769" t="str">
        <f>IF(OR($F388="",$P388="支払なし",$H388=0,$Q388=""),"",$Q388&amp;"|S|"&amp;(COUNTIF(S$4:S387,$Q388&amp;"|S|*")+1))</f>
        <v/>
      </c>
      <c r="T388" s="769" t="str">
        <f>IF(OR($F388="",$P388="支払なし",$R388=0,$Q388=""),"",$Q388&amp;"|L|"&amp;(COUNTIF(T$4:T387,$Q388&amp;"|L|*")+1))</f>
        <v/>
      </c>
      <c r="U388" s="769" t="str">
        <f>IF($F388="","",13)</f>
        <v/>
      </c>
    </row>
    <row r="389" ht="16.5" customHeight="1" s="186">
      <c r="A389" s="760" t="n"/>
      <c r="B389" s="760" t="n"/>
      <c r="C389" s="762" t="n"/>
      <c r="D389" s="762" t="n"/>
      <c r="E389" s="775" t="n"/>
      <c r="F389" s="821" t="n"/>
      <c r="G389" s="821" t="n"/>
      <c r="H389" s="818">
        <f>IF(G389=1,F389-I389-J389-K389,IF(G389=2,F389,0))</f>
        <v>0</v>
      </c>
      <c r="I389" s="818">
        <f>ROUND(IF(G389=1,F389*10/23,IF(G389=3,F389-J389-K389,IF(G389=4,F389,IF(G389=5,F389*10/11,IF(G389=7,F389*10/11,0))))),0)</f>
        <v>0</v>
      </c>
      <c r="J389" s="818">
        <f>ROUND(IF(G389=1,F389/23,IF(G389=3,F389/12,IF(G389=5,F389-I389,IF(G389=8,F389,0)))),0)</f>
        <v>0</v>
      </c>
      <c r="K389" s="819">
        <f>ROUND(IF(G389=1,F389/23,IF(G389=3,F389/12,IF(G389=6,F389,IF(G389=7,F389-I389,0)))),0)</f>
        <v>0</v>
      </c>
      <c r="L389" s="820">
        <f>IF(G389=6,F389,0)</f>
        <v>0</v>
      </c>
      <c r="P389" s="768" t="n"/>
      <c r="Q389" s="769" t="str">
        <f>IF($F389="","",IFERROR(VLOOKUP($C389&amp;"|"&amp;$D389,科目表!$A$5:$B$200,2,FALSE),"※未登録"))</f>
        <v/>
      </c>
      <c r="R389" s="769" t="str">
        <f>IF($F389="","",$I389+$J389+$K389)</f>
        <v/>
      </c>
      <c r="S389" s="769" t="str">
        <f>IF(OR($F389="",$P389="支払なし",$H389=0,$Q389=""),"",$Q389&amp;"|S|"&amp;(COUNTIF(S$4:S388,$Q389&amp;"|S|*")+1))</f>
        <v/>
      </c>
      <c r="T389" s="769" t="str">
        <f>IF(OR($F389="",$P389="支払なし",$R389=0,$Q389=""),"",$Q389&amp;"|L|"&amp;(COUNTIF(T$4:T388,$Q389&amp;"|L|*")+1))</f>
        <v/>
      </c>
      <c r="U389" s="769" t="str">
        <f>IF($F389="","",13)</f>
        <v/>
      </c>
    </row>
    <row r="390" ht="16.5" customHeight="1" s="186">
      <c r="A390" s="760" t="n"/>
      <c r="B390" s="760" t="n"/>
      <c r="C390" s="762" t="n"/>
      <c r="D390" s="762" t="n"/>
      <c r="E390" s="775" t="n"/>
      <c r="F390" s="821" t="n"/>
      <c r="G390" s="821" t="n"/>
      <c r="H390" s="818">
        <f>IF(G390=1,F390-I390-J390-K390,IF(G390=2,F390,0))</f>
        <v>0</v>
      </c>
      <c r="I390" s="818">
        <f>ROUND(IF(G390=1,F390*10/23,IF(G390=3,F390-J390-K390,IF(G390=4,F390,IF(G390=5,F390*10/11,IF(G390=7,F390*10/11,0))))),0)</f>
        <v>0</v>
      </c>
      <c r="J390" s="818">
        <f>ROUND(IF(G390=1,F390/23,IF(G390=3,F390/12,IF(G390=5,F390-I390,IF(G390=8,F390,0)))),0)</f>
        <v>0</v>
      </c>
      <c r="K390" s="819">
        <f>ROUND(IF(G390=1,F390/23,IF(G390=3,F390/12,IF(G390=6,F390,IF(G390=7,F390-I390,0)))),0)</f>
        <v>0</v>
      </c>
      <c r="L390" s="820">
        <f>IF(G390=6,F390,0)</f>
        <v>0</v>
      </c>
      <c r="P390" s="768" t="n"/>
      <c r="Q390" s="769" t="str">
        <f>IF($F390="","",IFERROR(VLOOKUP($C390&amp;"|"&amp;$D390,科目表!$A$5:$B$200,2,FALSE),"※未登録"))</f>
        <v/>
      </c>
      <c r="R390" s="769" t="str">
        <f>IF($F390="","",$I390+$J390+$K390)</f>
        <v/>
      </c>
      <c r="S390" s="769" t="str">
        <f>IF(OR($F390="",$P390="支払なし",$H390=0,$Q390=""),"",$Q390&amp;"|S|"&amp;(COUNTIF(S$4:S389,$Q390&amp;"|S|*")+1))</f>
        <v/>
      </c>
      <c r="T390" s="769" t="str">
        <f>IF(OR($F390="",$P390="支払なし",$R390=0,$Q390=""),"",$Q390&amp;"|L|"&amp;(COUNTIF(T$4:T389,$Q390&amp;"|L|*")+1))</f>
        <v/>
      </c>
      <c r="U390" s="769" t="str">
        <f>IF($F390="","",13)</f>
        <v/>
      </c>
    </row>
    <row r="391" ht="16.5" customHeight="1" s="186">
      <c r="A391" s="760" t="n"/>
      <c r="B391" s="760" t="n"/>
      <c r="C391" s="762" t="n"/>
      <c r="D391" s="762" t="n"/>
      <c r="E391" s="775" t="n"/>
      <c r="F391" s="821" t="n"/>
      <c r="G391" s="821" t="n"/>
      <c r="H391" s="818">
        <f>IF(G391=1,F391-I391-J391-K391,IF(G391=2,F391,0))</f>
        <v>0</v>
      </c>
      <c r="I391" s="818">
        <f>ROUND(IF(G391=1,F391*10/23,IF(G391=3,F391-J391-K391,IF(G391=4,F391,IF(G391=5,F391*10/11,IF(G391=7,F391*10/11,0))))),0)</f>
        <v>0</v>
      </c>
      <c r="J391" s="818">
        <f>ROUND(IF(G391=1,F391/23,IF(G391=3,F391/12,IF(G391=5,F391-I391,IF(G391=8,F391,0)))),0)</f>
        <v>0</v>
      </c>
      <c r="K391" s="819">
        <f>ROUND(IF(G391=1,F391/23,IF(G391=3,F391/12,IF(G391=6,F391,IF(G391=7,F391-I391,0)))),0)</f>
        <v>0</v>
      </c>
      <c r="L391" s="820">
        <f>IF(G391=6,F391,0)</f>
        <v>0</v>
      </c>
      <c r="P391" s="768" t="n"/>
      <c r="Q391" s="769" t="str">
        <f>IF($F391="","",IFERROR(VLOOKUP($C391&amp;"|"&amp;$D391,科目表!$A$5:$B$200,2,FALSE),"※未登録"))</f>
        <v/>
      </c>
      <c r="R391" s="769" t="str">
        <f>IF($F391="","",$I391+$J391+$K391)</f>
        <v/>
      </c>
      <c r="S391" s="769" t="str">
        <f>IF(OR($F391="",$P391="支払なし",$H391=0,$Q391=""),"",$Q391&amp;"|S|"&amp;(COUNTIF(S$4:S390,$Q391&amp;"|S|*")+1))</f>
        <v/>
      </c>
      <c r="T391" s="769" t="str">
        <f>IF(OR($F391="",$P391="支払なし",$R391=0,$Q391=""),"",$Q391&amp;"|L|"&amp;(COUNTIF(T$4:T390,$Q391&amp;"|L|*")+1))</f>
        <v/>
      </c>
      <c r="U391" s="769" t="str">
        <f>IF($F391="","",13)</f>
        <v/>
      </c>
    </row>
    <row r="392" ht="16.5" customHeight="1" s="186">
      <c r="A392" s="760" t="n"/>
      <c r="B392" s="760" t="n"/>
      <c r="C392" s="762" t="n"/>
      <c r="D392" s="762" t="n"/>
      <c r="E392" s="775" t="n"/>
      <c r="F392" s="821" t="n"/>
      <c r="G392" s="821" t="n"/>
      <c r="H392" s="818">
        <f>IF(G392=1,F392-I392-J392-K392,IF(G392=2,F392,0))</f>
        <v>0</v>
      </c>
      <c r="I392" s="818">
        <f>ROUND(IF(G392=1,F392*10/23,IF(G392=3,F392-J392-K392,IF(G392=4,F392,IF(G392=5,F392*10/11,IF(G392=7,F392*10/11,0))))),0)</f>
        <v>0</v>
      </c>
      <c r="J392" s="818">
        <f>ROUND(IF(G392=1,F392/23,IF(G392=3,F392/12,IF(G392=5,F392-I392,IF(G392=8,F392,0)))),0)</f>
        <v>0</v>
      </c>
      <c r="K392" s="819">
        <f>ROUND(IF(G392=1,F392/23,IF(G392=3,F392/12,IF(G392=6,F392,IF(G392=7,F392-I392,0)))),0)</f>
        <v>0</v>
      </c>
      <c r="L392" s="820">
        <f>IF(G392=6,F392,0)</f>
        <v>0</v>
      </c>
      <c r="P392" s="768" t="n"/>
      <c r="Q392" s="769" t="str">
        <f>IF($F392="","",IFERROR(VLOOKUP($C392&amp;"|"&amp;$D392,科目表!$A$5:$B$200,2,FALSE),"※未登録"))</f>
        <v/>
      </c>
      <c r="R392" s="769" t="str">
        <f>IF($F392="","",$I392+$J392+$K392)</f>
        <v/>
      </c>
      <c r="S392" s="769" t="str">
        <f>IF(OR($F392="",$P392="支払なし",$H392=0,$Q392=""),"",$Q392&amp;"|S|"&amp;(COUNTIF(S$4:S391,$Q392&amp;"|S|*")+1))</f>
        <v/>
      </c>
      <c r="T392" s="769" t="str">
        <f>IF(OR($F392="",$P392="支払なし",$R392=0,$Q392=""),"",$Q392&amp;"|L|"&amp;(COUNTIF(T$4:T391,$Q392&amp;"|L|*")+1))</f>
        <v/>
      </c>
      <c r="U392" s="769" t="str">
        <f>IF($F392="","",13)</f>
        <v/>
      </c>
    </row>
    <row r="393" ht="16.5" customHeight="1" s="186">
      <c r="A393" s="760" t="n"/>
      <c r="B393" s="760" t="n"/>
      <c r="C393" s="762" t="n"/>
      <c r="D393" s="762" t="n"/>
      <c r="E393" s="775" t="n"/>
      <c r="F393" s="821" t="n"/>
      <c r="G393" s="821" t="n"/>
      <c r="H393" s="818">
        <f>IF(G393=1,F393-I393-J393-K393,IF(G393=2,F393,0))</f>
        <v>0</v>
      </c>
      <c r="I393" s="818">
        <f>ROUND(IF(G393=1,F393*10/23,IF(G393=3,F393-J393-K393,IF(G393=4,F393,IF(G393=5,F393*10/11,IF(G393=7,F393*10/11,0))))),0)</f>
        <v>0</v>
      </c>
      <c r="J393" s="818">
        <f>ROUND(IF(G393=1,F393/23,IF(G393=3,F393/12,IF(G393=5,F393-I393,IF(G393=8,F393,0)))),0)</f>
        <v>0</v>
      </c>
      <c r="K393" s="819">
        <f>ROUND(IF(G393=1,F393/23,IF(G393=3,F393/12,IF(G393=6,F393,IF(G393=7,F393-I393,0)))),0)</f>
        <v>0</v>
      </c>
      <c r="L393" s="820">
        <f>IF(G393=6,F393,0)</f>
        <v>0</v>
      </c>
      <c r="P393" s="768" t="n"/>
      <c r="Q393" s="769" t="str">
        <f>IF($F393="","",IFERROR(VLOOKUP($C393&amp;"|"&amp;$D393,科目表!$A$5:$B$200,2,FALSE),"※未登録"))</f>
        <v/>
      </c>
      <c r="R393" s="769" t="str">
        <f>IF($F393="","",$I393+$J393+$K393)</f>
        <v/>
      </c>
      <c r="S393" s="769" t="str">
        <f>IF(OR($F393="",$P393="支払なし",$H393=0,$Q393=""),"",$Q393&amp;"|S|"&amp;(COUNTIF(S$4:S392,$Q393&amp;"|S|*")+1))</f>
        <v/>
      </c>
      <c r="T393" s="769" t="str">
        <f>IF(OR($F393="",$P393="支払なし",$R393=0,$Q393=""),"",$Q393&amp;"|L|"&amp;(COUNTIF(T$4:T392,$Q393&amp;"|L|*")+1))</f>
        <v/>
      </c>
      <c r="U393" s="769" t="str">
        <f>IF($F393="","",13)</f>
        <v/>
      </c>
    </row>
    <row r="394" ht="16.5" customHeight="1" s="186">
      <c r="A394" s="760" t="n"/>
      <c r="B394" s="760" t="n"/>
      <c r="C394" s="762" t="n"/>
      <c r="D394" s="762" t="n"/>
      <c r="E394" s="775" t="n"/>
      <c r="F394" s="821" t="n"/>
      <c r="G394" s="821" t="n"/>
      <c r="H394" s="818">
        <f>IF(G394=1,F394-I394-J394-K394,IF(G394=2,F394,0))</f>
        <v>0</v>
      </c>
      <c r="I394" s="818">
        <f>ROUND(IF(G394=1,F394*10/23,IF(G394=3,F394-J394-K394,IF(G394=4,F394,IF(G394=5,F394*10/11,IF(G394=7,F394*10/11,0))))),0)</f>
        <v>0</v>
      </c>
      <c r="J394" s="818">
        <f>ROUND(IF(G394=1,F394/23,IF(G394=3,F394/12,IF(G394=5,F394-I394,IF(G394=8,F394,0)))),0)</f>
        <v>0</v>
      </c>
      <c r="K394" s="819">
        <f>ROUND(IF(G394=1,F394/23,IF(G394=3,F394/12,IF(G394=6,F394,IF(G394=7,F394-I394,0)))),0)</f>
        <v>0</v>
      </c>
      <c r="L394" s="820">
        <f>IF(G394=6,F394,0)</f>
        <v>0</v>
      </c>
      <c r="P394" s="768" t="n"/>
      <c r="Q394" s="769" t="str">
        <f>IF($F394="","",IFERROR(VLOOKUP($C394&amp;"|"&amp;$D394,科目表!$A$5:$B$200,2,FALSE),"※未登録"))</f>
        <v/>
      </c>
      <c r="R394" s="769" t="str">
        <f>IF($F394="","",$I394+$J394+$K394)</f>
        <v/>
      </c>
      <c r="S394" s="769" t="str">
        <f>IF(OR($F394="",$P394="支払なし",$H394=0,$Q394=""),"",$Q394&amp;"|S|"&amp;(COUNTIF(S$4:S393,$Q394&amp;"|S|*")+1))</f>
        <v/>
      </c>
      <c r="T394" s="769" t="str">
        <f>IF(OR($F394="",$P394="支払なし",$R394=0,$Q394=""),"",$Q394&amp;"|L|"&amp;(COUNTIF(T$4:T393,$Q394&amp;"|L|*")+1))</f>
        <v/>
      </c>
      <c r="U394" s="769" t="str">
        <f>IF($F394="","",13)</f>
        <v/>
      </c>
    </row>
    <row r="395" ht="16.5" customHeight="1" s="186">
      <c r="A395" s="760" t="n"/>
      <c r="B395" s="760" t="n"/>
      <c r="C395" s="762" t="n"/>
      <c r="D395" s="762" t="n"/>
      <c r="E395" s="775" t="n"/>
      <c r="F395" s="821" t="n"/>
      <c r="G395" s="821" t="n"/>
      <c r="H395" s="818">
        <f>IF(G395=1,F395-I395-J395-K395,IF(G395=2,F395,0))</f>
        <v>0</v>
      </c>
      <c r="I395" s="818">
        <f>ROUND(IF(G395=1,F395*10/23,IF(G395=3,F395-J395-K395,IF(G395=4,F395,IF(G395=5,F395*10/11,IF(G395=7,F395*10/11,0))))),0)</f>
        <v>0</v>
      </c>
      <c r="J395" s="818">
        <f>ROUND(IF(G395=1,F395/23,IF(G395=3,F395/12,IF(G395=5,F395-I395,IF(G395=8,F395,0)))),0)</f>
        <v>0</v>
      </c>
      <c r="K395" s="819">
        <f>ROUND(IF(G395=1,F395/23,IF(G395=3,F395/12,IF(G395=6,F395,IF(G395=7,F395-I395,0)))),0)</f>
        <v>0</v>
      </c>
      <c r="L395" s="820">
        <f>IF(G395=6,F395,0)</f>
        <v>0</v>
      </c>
      <c r="P395" s="768" t="n"/>
      <c r="Q395" s="769" t="str">
        <f>IF($F395="","",IFERROR(VLOOKUP($C395&amp;"|"&amp;$D395,科目表!$A$5:$B$200,2,FALSE),"※未登録"))</f>
        <v/>
      </c>
      <c r="R395" s="769" t="str">
        <f>IF($F395="","",$I395+$J395+$K395)</f>
        <v/>
      </c>
      <c r="S395" s="769" t="str">
        <f>IF(OR($F395="",$P395="支払なし",$H395=0,$Q395=""),"",$Q395&amp;"|S|"&amp;(COUNTIF(S$4:S394,$Q395&amp;"|S|*")+1))</f>
        <v/>
      </c>
      <c r="T395" s="769" t="str">
        <f>IF(OR($F395="",$P395="支払なし",$R395=0,$Q395=""),"",$Q395&amp;"|L|"&amp;(COUNTIF(T$4:T394,$Q395&amp;"|L|*")+1))</f>
        <v/>
      </c>
      <c r="U395" s="769" t="str">
        <f>IF($F395="","",13)</f>
        <v/>
      </c>
    </row>
    <row r="396" ht="16.5" customHeight="1" s="186">
      <c r="A396" s="760" t="n"/>
      <c r="B396" s="760" t="n"/>
      <c r="C396" s="762" t="n"/>
      <c r="D396" s="762" t="n"/>
      <c r="E396" s="775" t="n"/>
      <c r="F396" s="821" t="n"/>
      <c r="G396" s="821" t="n"/>
      <c r="H396" s="818">
        <f>IF(G396=1,F396-I396-J396-K396,IF(G396=2,F396,0))</f>
        <v>0</v>
      </c>
      <c r="I396" s="818">
        <f>ROUND(IF(G396=1,F396*10/23,IF(G396=3,F396-J396-K396,IF(G396=4,F396,IF(G396=5,F396*10/11,IF(G396=7,F396*10/11,0))))),0)</f>
        <v>0</v>
      </c>
      <c r="J396" s="818">
        <f>ROUND(IF(G396=1,F396/23,IF(G396=3,F396/12,IF(G396=5,F396-I396,IF(G396=8,F396,0)))),0)</f>
        <v>0</v>
      </c>
      <c r="K396" s="819">
        <f>ROUND(IF(G396=1,F396/23,IF(G396=3,F396/12,IF(G396=6,F396,IF(G396=7,F396-I396,0)))),0)</f>
        <v>0</v>
      </c>
      <c r="L396" s="820">
        <f>IF(G396=6,F396,0)</f>
        <v>0</v>
      </c>
      <c r="P396" s="768" t="n"/>
      <c r="Q396" s="769" t="str">
        <f>IF($F396="","",IFERROR(VLOOKUP($C396&amp;"|"&amp;$D396,科目表!$A$5:$B$200,2,FALSE),"※未登録"))</f>
        <v/>
      </c>
      <c r="R396" s="769" t="str">
        <f>IF($F396="","",$I396+$J396+$K396)</f>
        <v/>
      </c>
      <c r="S396" s="769" t="str">
        <f>IF(OR($F396="",$P396="支払なし",$H396=0,$Q396=""),"",$Q396&amp;"|S|"&amp;(COUNTIF(S$4:S395,$Q396&amp;"|S|*")+1))</f>
        <v/>
      </c>
      <c r="T396" s="769" t="str">
        <f>IF(OR($F396="",$P396="支払なし",$R396=0,$Q396=""),"",$Q396&amp;"|L|"&amp;(COUNTIF(T$4:T395,$Q396&amp;"|L|*")+1))</f>
        <v/>
      </c>
      <c r="U396" s="769" t="str">
        <f>IF($F396="","",13)</f>
        <v/>
      </c>
    </row>
    <row r="397" ht="16.5" customHeight="1" s="186">
      <c r="A397" s="760" t="n"/>
      <c r="B397" s="760" t="n"/>
      <c r="C397" s="762" t="n"/>
      <c r="D397" s="762" t="n"/>
      <c r="E397" s="775" t="n"/>
      <c r="F397" s="821" t="n"/>
      <c r="G397" s="821" t="n"/>
      <c r="H397" s="818">
        <f>IF(G397=1,F397-I397-J397-K397,IF(G397=2,F397,0))</f>
        <v>0</v>
      </c>
      <c r="I397" s="818">
        <f>ROUND(IF(G397=1,F397*10/23,IF(G397=3,F397-J397-K397,IF(G397=4,F397,IF(G397=5,F397*10/11,IF(G397=7,F397*10/11,0))))),0)</f>
        <v>0</v>
      </c>
      <c r="J397" s="818">
        <f>ROUND(IF(G397=1,F397/23,IF(G397=3,F397/12,IF(G397=5,F397-I397,IF(G397=8,F397,0)))),0)</f>
        <v>0</v>
      </c>
      <c r="K397" s="819">
        <f>ROUND(IF(G397=1,F397/23,IF(G397=3,F397/12,IF(G397=6,F397,IF(G397=7,F397-I397,0)))),0)</f>
        <v>0</v>
      </c>
      <c r="L397" s="820">
        <f>IF(G397=6,F397,0)</f>
        <v>0</v>
      </c>
      <c r="P397" s="768" t="n"/>
      <c r="Q397" s="769" t="str">
        <f>IF($F397="","",IFERROR(VLOOKUP($C397&amp;"|"&amp;$D397,科目表!$A$5:$B$200,2,FALSE),"※未登録"))</f>
        <v/>
      </c>
      <c r="R397" s="769" t="str">
        <f>IF($F397="","",$I397+$J397+$K397)</f>
        <v/>
      </c>
      <c r="S397" s="769" t="str">
        <f>IF(OR($F397="",$P397="支払なし",$H397=0,$Q397=""),"",$Q397&amp;"|S|"&amp;(COUNTIF(S$4:S396,$Q397&amp;"|S|*")+1))</f>
        <v/>
      </c>
      <c r="T397" s="769" t="str">
        <f>IF(OR($F397="",$P397="支払なし",$R397=0,$Q397=""),"",$Q397&amp;"|L|"&amp;(COUNTIF(T$4:T396,$Q397&amp;"|L|*")+1))</f>
        <v/>
      </c>
      <c r="U397" s="769" t="str">
        <f>IF($F397="","",13)</f>
        <v/>
      </c>
    </row>
    <row r="398" ht="16.5" customHeight="1" s="186">
      <c r="A398" s="760" t="n"/>
      <c r="B398" s="760" t="n"/>
      <c r="C398" s="762" t="n"/>
      <c r="D398" s="762" t="n"/>
      <c r="E398" s="775" t="n"/>
      <c r="F398" s="821" t="n"/>
      <c r="G398" s="821" t="n"/>
      <c r="H398" s="818">
        <f>IF(G398=1,F398-I398-J398-K398,IF(G398=2,F398,0))</f>
        <v>0</v>
      </c>
      <c r="I398" s="818">
        <f>ROUND(IF(G398=1,F398*10/23,IF(G398=3,F398-J398-K398,IF(G398=4,F398,IF(G398=5,F398*10/11,IF(G398=7,F398*10/11,0))))),0)</f>
        <v>0</v>
      </c>
      <c r="J398" s="818">
        <f>ROUND(IF(G398=1,F398/23,IF(G398=3,F398/12,IF(G398=5,F398-I398,IF(G398=8,F398,0)))),0)</f>
        <v>0</v>
      </c>
      <c r="K398" s="819">
        <f>ROUND(IF(G398=1,F398/23,IF(G398=3,F398/12,IF(G398=6,F398,IF(G398=7,F398-I398,0)))),0)</f>
        <v>0</v>
      </c>
      <c r="L398" s="820">
        <f>IF(G398=6,F398,0)</f>
        <v>0</v>
      </c>
      <c r="P398" s="768" t="n"/>
      <c r="Q398" s="769" t="str">
        <f>IF($F398="","",IFERROR(VLOOKUP($C398&amp;"|"&amp;$D398,科目表!$A$5:$B$200,2,FALSE),"※未登録"))</f>
        <v/>
      </c>
      <c r="R398" s="769" t="str">
        <f>IF($F398="","",$I398+$J398+$K398)</f>
        <v/>
      </c>
      <c r="S398" s="769" t="str">
        <f>IF(OR($F398="",$P398="支払なし",$H398=0,$Q398=""),"",$Q398&amp;"|S|"&amp;(COUNTIF(S$4:S397,$Q398&amp;"|S|*")+1))</f>
        <v/>
      </c>
      <c r="T398" s="769" t="str">
        <f>IF(OR($F398="",$P398="支払なし",$R398=0,$Q398=""),"",$Q398&amp;"|L|"&amp;(COUNTIF(T$4:T397,$Q398&amp;"|L|*")+1))</f>
        <v/>
      </c>
      <c r="U398" s="769" t="str">
        <f>IF($F398="","",13)</f>
        <v/>
      </c>
    </row>
    <row r="399" ht="16.5" customHeight="1" s="186">
      <c r="A399" s="760" t="n"/>
      <c r="B399" s="760" t="n"/>
      <c r="C399" s="762" t="n"/>
      <c r="D399" s="762" t="n"/>
      <c r="E399" s="775" t="n"/>
      <c r="F399" s="821" t="n"/>
      <c r="G399" s="821" t="n"/>
      <c r="H399" s="818">
        <f>IF(G399=1,F399-I399-J399-K399,IF(G399=2,F399,0))</f>
        <v>0</v>
      </c>
      <c r="I399" s="818">
        <f>ROUND(IF(G399=1,F399*10/23,IF(G399=3,F399-J399-K399,IF(G399=4,F399,IF(G399=5,F399*10/11,IF(G399=7,F399*10/11,0))))),0)</f>
        <v>0</v>
      </c>
      <c r="J399" s="818">
        <f>ROUND(IF(G399=1,F399/23,IF(G399=3,F399/12,IF(G399=5,F399-I399,IF(G399=8,F399,0)))),0)</f>
        <v>0</v>
      </c>
      <c r="K399" s="819">
        <f>ROUND(IF(G399=1,F399/23,IF(G399=3,F399/12,IF(G399=6,F399,IF(G399=7,F399-I399,0)))),0)</f>
        <v>0</v>
      </c>
      <c r="L399" s="820">
        <f>IF(G399=6,F399,0)</f>
        <v>0</v>
      </c>
      <c r="P399" s="768" t="n"/>
      <c r="Q399" s="769" t="str">
        <f>IF($F399="","",IFERROR(VLOOKUP($C399&amp;"|"&amp;$D399,科目表!$A$5:$B$200,2,FALSE),"※未登録"))</f>
        <v/>
      </c>
      <c r="R399" s="769" t="str">
        <f>IF($F399="","",$I399+$J399+$K399)</f>
        <v/>
      </c>
      <c r="S399" s="769" t="str">
        <f>IF(OR($F399="",$P399="支払なし",$H399=0,$Q399=""),"",$Q399&amp;"|S|"&amp;(COUNTIF(S$4:S398,$Q399&amp;"|S|*")+1))</f>
        <v/>
      </c>
      <c r="T399" s="769" t="str">
        <f>IF(OR($F399="",$P399="支払なし",$R399=0,$Q399=""),"",$Q399&amp;"|L|"&amp;(COUNTIF(T$4:T398,$Q399&amp;"|L|*")+1))</f>
        <v/>
      </c>
      <c r="U399" s="769" t="str">
        <f>IF($F399="","",13)</f>
        <v/>
      </c>
    </row>
    <row r="400" ht="16.5" customHeight="1" s="186">
      <c r="A400" s="760" t="n"/>
      <c r="B400" s="760" t="n"/>
      <c r="C400" s="762" t="n"/>
      <c r="D400" s="762" t="n"/>
      <c r="E400" s="775" t="n"/>
      <c r="F400" s="821" t="n"/>
      <c r="G400" s="821" t="n"/>
      <c r="H400" s="818">
        <f>IF(G400=1,F400-I400-J400-K400,IF(G400=2,F400,0))</f>
        <v>0</v>
      </c>
      <c r="I400" s="818">
        <f>ROUND(IF(G400=1,F400*10/23,IF(G400=3,F400-J400-K400,IF(G400=4,F400,IF(G400=5,F400*10/11,IF(G400=7,F400*10/11,0))))),0)</f>
        <v>0</v>
      </c>
      <c r="J400" s="818">
        <f>ROUND(IF(G400=1,F400/23,IF(G400=3,F400/12,IF(G400=5,F400-I400,IF(G400=8,F400,0)))),0)</f>
        <v>0</v>
      </c>
      <c r="K400" s="819">
        <f>ROUND(IF(G400=1,F400/23,IF(G400=3,F400/12,IF(G400=6,F400,IF(G400=7,F400-I400,0)))),0)</f>
        <v>0</v>
      </c>
      <c r="L400" s="820">
        <f>IF(G400=6,F400,0)</f>
        <v>0</v>
      </c>
      <c r="P400" s="768" t="n"/>
      <c r="Q400" s="769" t="str">
        <f>IF($F400="","",IFERROR(VLOOKUP($C400&amp;"|"&amp;$D400,科目表!$A$5:$B$200,2,FALSE),"※未登録"))</f>
        <v/>
      </c>
      <c r="R400" s="769" t="str">
        <f>IF($F400="","",$I400+$J400+$K400)</f>
        <v/>
      </c>
      <c r="S400" s="769" t="str">
        <f>IF(OR($F400="",$P400="支払なし",$H400=0,$Q400=""),"",$Q400&amp;"|S|"&amp;(COUNTIF(S$4:S399,$Q400&amp;"|S|*")+1))</f>
        <v/>
      </c>
      <c r="T400" s="769" t="str">
        <f>IF(OR($F400="",$P400="支払なし",$R400=0,$Q400=""),"",$Q400&amp;"|L|"&amp;(COUNTIF(T$4:T399,$Q400&amp;"|L|*")+1))</f>
        <v/>
      </c>
      <c r="U400" s="769" t="str">
        <f>IF($F400="","",13)</f>
        <v/>
      </c>
    </row>
    <row r="401" ht="16.5" customHeight="1" s="186">
      <c r="A401" s="760" t="n"/>
      <c r="B401" s="760" t="n"/>
      <c r="C401" s="762" t="n"/>
      <c r="D401" s="762" t="n"/>
      <c r="E401" s="775" t="n"/>
      <c r="F401" s="821" t="n"/>
      <c r="G401" s="821" t="n"/>
      <c r="H401" s="818">
        <f>IF(G401=1,F401-I401-J401-K401,IF(G401=2,F401,0))</f>
        <v>0</v>
      </c>
      <c r="I401" s="818">
        <f>ROUND(IF(G401=1,F401*10/23,IF(G401=3,F401-J401-K401,IF(G401=4,F401,IF(G401=5,F401*10/11,IF(G401=7,F401*10/11,0))))),0)</f>
        <v>0</v>
      </c>
      <c r="J401" s="818">
        <f>ROUND(IF(G401=1,F401/23,IF(G401=3,F401/12,IF(G401=5,F401-I401,IF(G401=8,F401,0)))),0)</f>
        <v>0</v>
      </c>
      <c r="K401" s="819">
        <f>ROUND(IF(G401=1,F401/23,IF(G401=3,F401/12,IF(G401=6,F401,IF(G401=7,F401-I401,0)))),0)</f>
        <v>0</v>
      </c>
      <c r="L401" s="820">
        <f>IF(G401=6,F401,0)</f>
        <v>0</v>
      </c>
      <c r="P401" s="768" t="n"/>
      <c r="Q401" s="769" t="str">
        <f>IF($F401="","",IFERROR(VLOOKUP($C401&amp;"|"&amp;$D401,科目表!$A$5:$B$200,2,FALSE),"※未登録"))</f>
        <v/>
      </c>
      <c r="R401" s="769" t="str">
        <f>IF($F401="","",$I401+$J401+$K401)</f>
        <v/>
      </c>
      <c r="S401" s="769" t="str">
        <f>IF(OR($F401="",$P401="支払なし",$H401=0,$Q401=""),"",$Q401&amp;"|S|"&amp;(COUNTIF(S$4:S400,$Q401&amp;"|S|*")+1))</f>
        <v/>
      </c>
      <c r="T401" s="769" t="str">
        <f>IF(OR($F401="",$P401="支払なし",$R401=0,$Q401=""),"",$Q401&amp;"|L|"&amp;(COUNTIF(T$4:T400,$Q401&amp;"|L|*")+1))</f>
        <v/>
      </c>
      <c r="U401" s="769" t="str">
        <f>IF($F401="","",13)</f>
        <v/>
      </c>
    </row>
    <row r="402" ht="16.5" customHeight="1" s="186">
      <c r="A402" s="760" t="n"/>
      <c r="B402" s="760" t="n"/>
      <c r="C402" s="762" t="n"/>
      <c r="D402" s="762" t="n"/>
      <c r="E402" s="775" t="n"/>
      <c r="F402" s="821" t="n"/>
      <c r="G402" s="821" t="n"/>
      <c r="H402" s="818">
        <f>IF(G402=1,F402-I402-J402-K402,IF(G402=2,F402,0))</f>
        <v>0</v>
      </c>
      <c r="I402" s="818">
        <f>ROUND(IF(G402=1,F402*10/23,IF(G402=3,F402-J402-K402,IF(G402=4,F402,IF(G402=5,F402*10/11,IF(G402=7,F402*10/11,0))))),0)</f>
        <v>0</v>
      </c>
      <c r="J402" s="818">
        <f>ROUND(IF(G402=1,F402/23,IF(G402=3,F402/12,IF(G402=5,F402-I402,IF(G402=8,F402,0)))),0)</f>
        <v>0</v>
      </c>
      <c r="K402" s="819">
        <f>ROUND(IF(G402=1,F402/23,IF(G402=3,F402/12,IF(G402=6,F402,IF(G402=7,F402-I402,0)))),0)</f>
        <v>0</v>
      </c>
      <c r="L402" s="820">
        <f>IF(G402=6,F402,0)</f>
        <v>0</v>
      </c>
      <c r="P402" s="768" t="n"/>
      <c r="Q402" s="769" t="str">
        <f>IF($F402="","",IFERROR(VLOOKUP($C402&amp;"|"&amp;$D402,科目表!$A$5:$B$200,2,FALSE),"※未登録"))</f>
        <v/>
      </c>
      <c r="R402" s="769" t="str">
        <f>IF($F402="","",$I402+$J402+$K402)</f>
        <v/>
      </c>
      <c r="S402" s="769" t="str">
        <f>IF(OR($F402="",$P402="支払なし",$H402=0,$Q402=""),"",$Q402&amp;"|S|"&amp;(COUNTIF(S$4:S401,$Q402&amp;"|S|*")+1))</f>
        <v/>
      </c>
      <c r="T402" s="769" t="str">
        <f>IF(OR($F402="",$P402="支払なし",$R402=0,$Q402=""),"",$Q402&amp;"|L|"&amp;(COUNTIF(T$4:T401,$Q402&amp;"|L|*")+1))</f>
        <v/>
      </c>
      <c r="U402" s="769" t="str">
        <f>IF($F402="","",13)</f>
        <v/>
      </c>
    </row>
    <row r="403" ht="16.5" customHeight="1" s="186">
      <c r="A403" s="760" t="n"/>
      <c r="B403" s="760" t="n"/>
      <c r="C403" s="762" t="n"/>
      <c r="D403" s="762" t="n"/>
      <c r="E403" s="775" t="n"/>
      <c r="F403" s="821" t="n"/>
      <c r="G403" s="821" t="n"/>
      <c r="H403" s="818">
        <f>IF(G403=1,F403-I403-J403-K403,IF(G403=2,F403,0))</f>
        <v>0</v>
      </c>
      <c r="I403" s="818">
        <f>ROUND(IF(G403=1,F403*10/23,IF(G403=3,F403-J403-K403,IF(G403=4,F403,IF(G403=5,F403*10/11,IF(G403=7,F403*10/11,0))))),0)</f>
        <v>0</v>
      </c>
      <c r="J403" s="818">
        <f>ROUND(IF(G403=1,F403/23,IF(G403=3,F403/12,IF(G403=5,F403-I403,IF(G403=8,F403,0)))),0)</f>
        <v>0</v>
      </c>
      <c r="K403" s="819">
        <f>ROUND(IF(G403=1,F403/23,IF(G403=3,F403/12,IF(G403=6,F403,IF(G403=7,F403-I403,0)))),0)</f>
        <v>0</v>
      </c>
      <c r="L403" s="820">
        <f>IF(G403=6,F403,0)</f>
        <v>0</v>
      </c>
      <c r="P403" s="768" t="n"/>
      <c r="Q403" s="769" t="str">
        <f>IF($F403="","",IFERROR(VLOOKUP($C403&amp;"|"&amp;$D403,科目表!$A$5:$B$200,2,FALSE),"※未登録"))</f>
        <v/>
      </c>
      <c r="R403" s="769" t="str">
        <f>IF($F403="","",$I403+$J403+$K403)</f>
        <v/>
      </c>
      <c r="S403" s="769" t="str">
        <f>IF(OR($F403="",$P403="支払なし",$H403=0,$Q403=""),"",$Q403&amp;"|S|"&amp;(COUNTIF(S$4:S402,$Q403&amp;"|S|*")+1))</f>
        <v/>
      </c>
      <c r="T403" s="769" t="str">
        <f>IF(OR($F403="",$P403="支払なし",$R403=0,$Q403=""),"",$Q403&amp;"|L|"&amp;(COUNTIF(T$4:T402,$Q403&amp;"|L|*")+1))</f>
        <v/>
      </c>
      <c r="U403" s="769" t="str">
        <f>IF($F403="","",13)</f>
        <v/>
      </c>
    </row>
    <row r="404" ht="16.5" customHeight="1" s="186">
      <c r="A404" s="760" t="n"/>
      <c r="B404" s="760" t="n"/>
      <c r="C404" s="762" t="n"/>
      <c r="D404" s="762" t="n"/>
      <c r="E404" s="775" t="n"/>
      <c r="F404" s="821" t="n"/>
      <c r="G404" s="821" t="n"/>
      <c r="H404" s="818">
        <f>IF(G404=1,F404-I404-J404-K404,IF(G404=2,F404,0))</f>
        <v>0</v>
      </c>
      <c r="I404" s="818">
        <f>ROUND(IF(G404=1,F404*10/23,IF(G404=3,F404-J404-K404,IF(G404=4,F404,IF(G404=5,F404*10/11,IF(G404=7,F404*10/11,0))))),0)</f>
        <v>0</v>
      </c>
      <c r="J404" s="818">
        <f>ROUND(IF(G404=1,F404/23,IF(G404=3,F404/12,IF(G404=5,F404-I404,IF(G404=8,F404,0)))),0)</f>
        <v>0</v>
      </c>
      <c r="K404" s="819">
        <f>ROUND(IF(G404=1,F404/23,IF(G404=3,F404/12,IF(G404=6,F404,IF(G404=7,F404-I404,0)))),0)</f>
        <v>0</v>
      </c>
      <c r="L404" s="820">
        <f>IF(G404=6,F404,0)</f>
        <v>0</v>
      </c>
      <c r="P404" s="768" t="n"/>
      <c r="Q404" s="769" t="str">
        <f>IF($F404="","",IFERROR(VLOOKUP($C404&amp;"|"&amp;$D404,科目表!$A$5:$B$200,2,FALSE),"※未登録"))</f>
        <v/>
      </c>
      <c r="R404" s="769" t="str">
        <f>IF($F404="","",$I404+$J404+$K404)</f>
        <v/>
      </c>
      <c r="S404" s="769" t="str">
        <f>IF(OR($F404="",$P404="支払なし",$H404=0,$Q404=""),"",$Q404&amp;"|S|"&amp;(COUNTIF(S$4:S403,$Q404&amp;"|S|*")+1))</f>
        <v/>
      </c>
      <c r="T404" s="769" t="str">
        <f>IF(OR($F404="",$P404="支払なし",$R404=0,$Q404=""),"",$Q404&amp;"|L|"&amp;(COUNTIF(T$4:T403,$Q404&amp;"|L|*")+1))</f>
        <v/>
      </c>
      <c r="U404" s="769" t="str">
        <f>IF($F404="","",13)</f>
        <v/>
      </c>
    </row>
    <row r="405" ht="16.5" customHeight="1" s="186">
      <c r="A405" s="760" t="n"/>
      <c r="B405" s="760" t="n"/>
      <c r="C405" s="762" t="n"/>
      <c r="D405" s="762" t="n"/>
      <c r="E405" s="775" t="n"/>
      <c r="F405" s="821" t="n"/>
      <c r="G405" s="821" t="n"/>
      <c r="H405" s="818">
        <f>IF(G405=1,F405-I405-J405-K405,IF(G405=2,F405,0))</f>
        <v>0</v>
      </c>
      <c r="I405" s="818">
        <f>ROUND(IF(G405=1,F405*10/23,IF(G405=3,F405-J405-K405,IF(G405=4,F405,IF(G405=5,F405*10/11,IF(G405=7,F405*10/11,0))))),0)</f>
        <v>0</v>
      </c>
      <c r="J405" s="818">
        <f>ROUND(IF(G405=1,F405/23,IF(G405=3,F405/12,IF(G405=5,F405-I405,IF(G405=8,F405,0)))),0)</f>
        <v>0</v>
      </c>
      <c r="K405" s="819">
        <f>ROUND(IF(G405=1,F405/23,IF(G405=3,F405/12,IF(G405=6,F405,IF(G405=7,F405-I405,0)))),0)</f>
        <v>0</v>
      </c>
      <c r="L405" s="820">
        <f>IF(G405=6,F405,0)</f>
        <v>0</v>
      </c>
      <c r="P405" s="768" t="n"/>
      <c r="Q405" s="769" t="str">
        <f>IF($F405="","",IFERROR(VLOOKUP($C405&amp;"|"&amp;$D405,科目表!$A$5:$B$200,2,FALSE),"※未登録"))</f>
        <v/>
      </c>
      <c r="R405" s="769" t="str">
        <f>IF($F405="","",$I405+$J405+$K405)</f>
        <v/>
      </c>
      <c r="S405" s="769" t="str">
        <f>IF(OR($F405="",$P405="支払なし",$H405=0,$Q405=""),"",$Q405&amp;"|S|"&amp;(COUNTIF(S$4:S404,$Q405&amp;"|S|*")+1))</f>
        <v/>
      </c>
      <c r="T405" s="769" t="str">
        <f>IF(OR($F405="",$P405="支払なし",$R405=0,$Q405=""),"",$Q405&amp;"|L|"&amp;(COUNTIF(T$4:T404,$Q405&amp;"|L|*")+1))</f>
        <v/>
      </c>
      <c r="U405" s="769" t="str">
        <f>IF($F405="","",13)</f>
        <v/>
      </c>
    </row>
    <row r="406" ht="16.5" customHeight="1" s="186">
      <c r="A406" s="760" t="n"/>
      <c r="B406" s="760" t="n"/>
      <c r="C406" s="762" t="n"/>
      <c r="D406" s="762" t="n"/>
      <c r="E406" s="775" t="n"/>
      <c r="F406" s="821" t="n"/>
      <c r="G406" s="821" t="n"/>
      <c r="H406" s="818">
        <f>IF(G406=1,F406-I406-J406-K406,IF(G406=2,F406,0))</f>
        <v>0</v>
      </c>
      <c r="I406" s="818">
        <f>ROUND(IF(G406=1,F406*10/23,IF(G406=3,F406-J406-K406,IF(G406=4,F406,IF(G406=5,F406*10/11,IF(G406=7,F406*10/11,0))))),0)</f>
        <v>0</v>
      </c>
      <c r="J406" s="818">
        <f>ROUND(IF(G406=1,F406/23,IF(G406=3,F406/12,IF(G406=5,F406-I406,IF(G406=8,F406,0)))),0)</f>
        <v>0</v>
      </c>
      <c r="K406" s="819">
        <f>ROUND(IF(G406=1,F406/23,IF(G406=3,F406/12,IF(G406=6,F406,IF(G406=7,F406-I406,0)))),0)</f>
        <v>0</v>
      </c>
      <c r="L406" s="820">
        <f>IF(G406=6,F406,0)</f>
        <v>0</v>
      </c>
      <c r="P406" s="768" t="n"/>
      <c r="Q406" s="769" t="str">
        <f>IF($F406="","",IFERROR(VLOOKUP($C406&amp;"|"&amp;$D406,科目表!$A$5:$B$200,2,FALSE),"※未登録"))</f>
        <v/>
      </c>
      <c r="R406" s="769" t="str">
        <f>IF($F406="","",$I406+$J406+$K406)</f>
        <v/>
      </c>
      <c r="S406" s="769" t="str">
        <f>IF(OR($F406="",$P406="支払なし",$H406=0,$Q406=""),"",$Q406&amp;"|S|"&amp;(COUNTIF(S$4:S405,$Q406&amp;"|S|*")+1))</f>
        <v/>
      </c>
      <c r="T406" s="769" t="str">
        <f>IF(OR($F406="",$P406="支払なし",$R406=0,$Q406=""),"",$Q406&amp;"|L|"&amp;(COUNTIF(T$4:T405,$Q406&amp;"|L|*")+1))</f>
        <v/>
      </c>
      <c r="U406" s="769" t="str">
        <f>IF($F406="","",13)</f>
        <v/>
      </c>
    </row>
    <row r="407" ht="16.5" customHeight="1" s="186">
      <c r="A407" s="760" t="n"/>
      <c r="B407" s="760" t="n"/>
      <c r="C407" s="762" t="n"/>
      <c r="D407" s="762" t="n"/>
      <c r="E407" s="775" t="n"/>
      <c r="F407" s="821" t="n"/>
      <c r="G407" s="821" t="n"/>
      <c r="H407" s="818">
        <f>IF(G407=1,F407-I407-J407-K407,IF(G407=2,F407,0))</f>
        <v>0</v>
      </c>
      <c r="I407" s="818">
        <f>ROUND(IF(G407=1,F407*10/23,IF(G407=3,F407-J407-K407,IF(G407=4,F407,IF(G407=5,F407*10/11,IF(G407=7,F407*10/11,0))))),0)</f>
        <v>0</v>
      </c>
      <c r="J407" s="818">
        <f>ROUND(IF(G407=1,F407/23,IF(G407=3,F407/12,IF(G407=5,F407-I407,IF(G407=8,F407,0)))),0)</f>
        <v>0</v>
      </c>
      <c r="K407" s="819">
        <f>ROUND(IF(G407=1,F407/23,IF(G407=3,F407/12,IF(G407=6,F407,IF(G407=7,F407-I407,0)))),0)</f>
        <v>0</v>
      </c>
      <c r="L407" s="820">
        <f>IF(G407=6,F407,0)</f>
        <v>0</v>
      </c>
      <c r="P407" s="768" t="n"/>
      <c r="Q407" s="769" t="str">
        <f>IF($F407="","",IFERROR(VLOOKUP($C407&amp;"|"&amp;$D407,科目表!$A$5:$B$200,2,FALSE),"※未登録"))</f>
        <v/>
      </c>
      <c r="R407" s="769" t="str">
        <f>IF($F407="","",$I407+$J407+$K407)</f>
        <v/>
      </c>
      <c r="S407" s="769" t="str">
        <f>IF(OR($F407="",$P407="支払なし",$H407=0,$Q407=""),"",$Q407&amp;"|S|"&amp;(COUNTIF(S$4:S406,$Q407&amp;"|S|*")+1))</f>
        <v/>
      </c>
      <c r="T407" s="769" t="str">
        <f>IF(OR($F407="",$P407="支払なし",$R407=0,$Q407=""),"",$Q407&amp;"|L|"&amp;(COUNTIF(T$4:T406,$Q407&amp;"|L|*")+1))</f>
        <v/>
      </c>
      <c r="U407" s="769" t="str">
        <f>IF($F407="","",13)</f>
        <v/>
      </c>
    </row>
    <row r="408" ht="16.5" customHeight="1" s="186">
      <c r="A408" s="760" t="n"/>
      <c r="B408" s="760" t="n"/>
      <c r="C408" s="762" t="n"/>
      <c r="D408" s="762" t="n"/>
      <c r="E408" s="775" t="n"/>
      <c r="F408" s="821" t="n"/>
      <c r="G408" s="821" t="n"/>
      <c r="H408" s="818">
        <f>IF(G408=1,F408-I408-J408-K408,IF(G408=2,F408,0))</f>
        <v>0</v>
      </c>
      <c r="I408" s="818">
        <f>ROUND(IF(G408=1,F408*10/23,IF(G408=3,F408-J408-K408,IF(G408=4,F408,IF(G408=5,F408*10/11,IF(G408=7,F408*10/11,0))))),0)</f>
        <v>0</v>
      </c>
      <c r="J408" s="818">
        <f>ROUND(IF(G408=1,F408/23,IF(G408=3,F408/12,IF(G408=5,F408-I408,IF(G408=8,F408,0)))),0)</f>
        <v>0</v>
      </c>
      <c r="K408" s="819">
        <f>ROUND(IF(G408=1,F408/23,IF(G408=3,F408/12,IF(G408=6,F408,IF(G408=7,F408-I408,0)))),0)</f>
        <v>0</v>
      </c>
      <c r="L408" s="820">
        <f>IF(G408=6,F408,0)</f>
        <v>0</v>
      </c>
      <c r="P408" s="768" t="n"/>
      <c r="Q408" s="769" t="str">
        <f>IF($F408="","",IFERROR(VLOOKUP($C408&amp;"|"&amp;$D408,科目表!$A$5:$B$200,2,FALSE),"※未登録"))</f>
        <v/>
      </c>
      <c r="R408" s="769" t="str">
        <f>IF($F408="","",$I408+$J408+$K408)</f>
        <v/>
      </c>
      <c r="S408" s="769" t="str">
        <f>IF(OR($F408="",$P408="支払なし",$H408=0,$Q408=""),"",$Q408&amp;"|S|"&amp;(COUNTIF(S$4:S407,$Q408&amp;"|S|*")+1))</f>
        <v/>
      </c>
      <c r="T408" s="769" t="str">
        <f>IF(OR($F408="",$P408="支払なし",$R408=0,$Q408=""),"",$Q408&amp;"|L|"&amp;(COUNTIF(T$4:T407,$Q408&amp;"|L|*")+1))</f>
        <v/>
      </c>
      <c r="U408" s="769" t="str">
        <f>IF($F408="","",13)</f>
        <v/>
      </c>
    </row>
    <row r="409" ht="16.5" customHeight="1" s="186">
      <c r="A409" s="760" t="n"/>
      <c r="B409" s="760" t="n"/>
      <c r="C409" s="762" t="n"/>
      <c r="D409" s="762" t="n"/>
      <c r="E409" s="775" t="n"/>
      <c r="F409" s="821" t="n"/>
      <c r="G409" s="821" t="n"/>
      <c r="H409" s="818">
        <f>IF(G409=1,F409-I409-J409-K409,IF(G409=2,F409,0))</f>
        <v>0</v>
      </c>
      <c r="I409" s="818">
        <f>ROUND(IF(G409=1,F409*10/23,IF(G409=3,F409-J409-K409,IF(G409=4,F409,IF(G409=5,F409*10/11,IF(G409=7,F409*10/11,0))))),0)</f>
        <v>0</v>
      </c>
      <c r="J409" s="818">
        <f>ROUND(IF(G409=1,F409/23,IF(G409=3,F409/12,IF(G409=5,F409-I409,IF(G409=8,F409,0)))),0)</f>
        <v>0</v>
      </c>
      <c r="K409" s="819">
        <f>ROUND(IF(G409=1,F409/23,IF(G409=3,F409/12,IF(G409=6,F409,IF(G409=7,F409-I409,0)))),0)</f>
        <v>0</v>
      </c>
      <c r="L409" s="820">
        <f>IF(G409=6,F409,0)</f>
        <v>0</v>
      </c>
      <c r="P409" s="768" t="n"/>
      <c r="Q409" s="769" t="str">
        <f>IF($F409="","",IFERROR(VLOOKUP($C409&amp;"|"&amp;$D409,科目表!$A$5:$B$200,2,FALSE),"※未登録"))</f>
        <v/>
      </c>
      <c r="R409" s="769" t="str">
        <f>IF($F409="","",$I409+$J409+$K409)</f>
        <v/>
      </c>
      <c r="S409" s="769" t="str">
        <f>IF(OR($F409="",$P409="支払なし",$H409=0,$Q409=""),"",$Q409&amp;"|S|"&amp;(COUNTIF(S$4:S408,$Q409&amp;"|S|*")+1))</f>
        <v/>
      </c>
      <c r="T409" s="769" t="str">
        <f>IF(OR($F409="",$P409="支払なし",$R409=0,$Q409=""),"",$Q409&amp;"|L|"&amp;(COUNTIF(T$4:T408,$Q409&amp;"|L|*")+1))</f>
        <v/>
      </c>
      <c r="U409" s="769" t="str">
        <f>IF($F409="","",13)</f>
        <v/>
      </c>
    </row>
    <row r="410" ht="16.5" customHeight="1" s="186">
      <c r="A410" s="760" t="n"/>
      <c r="B410" s="760" t="n"/>
      <c r="C410" s="762" t="n"/>
      <c r="D410" s="762" t="n"/>
      <c r="E410" s="775" t="n"/>
      <c r="F410" s="821" t="n"/>
      <c r="G410" s="821" t="n"/>
      <c r="H410" s="818">
        <f>IF(G410=1,F410-I410-J410-K410,IF(G410=2,F410,0))</f>
        <v>0</v>
      </c>
      <c r="I410" s="818">
        <f>ROUND(IF(G410=1,F410*10/23,IF(G410=3,F410-J410-K410,IF(G410=4,F410,IF(G410=5,F410*10/11,IF(G410=7,F410*10/11,0))))),0)</f>
        <v>0</v>
      </c>
      <c r="J410" s="818">
        <f>ROUND(IF(G410=1,F410/23,IF(G410=3,F410/12,IF(G410=5,F410-I410,IF(G410=8,F410,0)))),0)</f>
        <v>0</v>
      </c>
      <c r="K410" s="819">
        <f>ROUND(IF(G410=1,F410/23,IF(G410=3,F410/12,IF(G410=6,F410,IF(G410=7,F410-I410,0)))),0)</f>
        <v>0</v>
      </c>
      <c r="L410" s="820">
        <f>IF(G410=6,F410,0)</f>
        <v>0</v>
      </c>
      <c r="P410" s="768" t="n"/>
      <c r="Q410" s="769" t="str">
        <f>IF($F410="","",IFERROR(VLOOKUP($C410&amp;"|"&amp;$D410,科目表!$A$5:$B$200,2,FALSE),"※未登録"))</f>
        <v/>
      </c>
      <c r="R410" s="769" t="str">
        <f>IF($F410="","",$I410+$J410+$K410)</f>
        <v/>
      </c>
      <c r="S410" s="769" t="str">
        <f>IF(OR($F410="",$P410="支払なし",$H410=0,$Q410=""),"",$Q410&amp;"|S|"&amp;(COUNTIF(S$4:S409,$Q410&amp;"|S|*")+1))</f>
        <v/>
      </c>
      <c r="T410" s="769" t="str">
        <f>IF(OR($F410="",$P410="支払なし",$R410=0,$Q410=""),"",$Q410&amp;"|L|"&amp;(COUNTIF(T$4:T409,$Q410&amp;"|L|*")+1))</f>
        <v/>
      </c>
      <c r="U410" s="769" t="str">
        <f>IF($F410="","",13)</f>
        <v/>
      </c>
    </row>
    <row r="411" ht="16.5" customHeight="1" s="186">
      <c r="A411" s="760" t="n"/>
      <c r="B411" s="760" t="n"/>
      <c r="C411" s="762" t="n"/>
      <c r="D411" s="762" t="n"/>
      <c r="E411" s="775" t="n"/>
      <c r="F411" s="821" t="n"/>
      <c r="G411" s="821" t="n"/>
      <c r="H411" s="818">
        <f>IF(G411=1,F411-I411-J411-K411,IF(G411=2,F411,0))</f>
        <v>0</v>
      </c>
      <c r="I411" s="818">
        <f>ROUND(IF(G411=1,F411*10/23,IF(G411=3,F411-J411-K411,IF(G411=4,F411,IF(G411=5,F411*10/11,IF(G411=7,F411*10/11,0))))),0)</f>
        <v>0</v>
      </c>
      <c r="J411" s="818">
        <f>ROUND(IF(G411=1,F411/23,IF(G411=3,F411/12,IF(G411=5,F411-I411,IF(G411=8,F411,0)))),0)</f>
        <v>0</v>
      </c>
      <c r="K411" s="819">
        <f>ROUND(IF(G411=1,F411/23,IF(G411=3,F411/12,IF(G411=6,F411,IF(G411=7,F411-I411,0)))),0)</f>
        <v>0</v>
      </c>
      <c r="L411" s="820">
        <f>IF(G411=6,F411,0)</f>
        <v>0</v>
      </c>
      <c r="P411" s="768" t="n"/>
      <c r="Q411" s="769" t="str">
        <f>IF($F411="","",IFERROR(VLOOKUP($C411&amp;"|"&amp;$D411,科目表!$A$5:$B$200,2,FALSE),"※未登録"))</f>
        <v/>
      </c>
      <c r="R411" s="769" t="str">
        <f>IF($F411="","",$I411+$J411+$K411)</f>
        <v/>
      </c>
      <c r="S411" s="769" t="str">
        <f>IF(OR($F411="",$P411="支払なし",$H411=0,$Q411=""),"",$Q411&amp;"|S|"&amp;(COUNTIF(S$4:S410,$Q411&amp;"|S|*")+1))</f>
        <v/>
      </c>
      <c r="T411" s="769" t="str">
        <f>IF(OR($F411="",$P411="支払なし",$R411=0,$Q411=""),"",$Q411&amp;"|L|"&amp;(COUNTIF(T$4:T410,$Q411&amp;"|L|*")+1))</f>
        <v/>
      </c>
      <c r="U411" s="769" t="str">
        <f>IF($F411="","",13)</f>
        <v/>
      </c>
    </row>
    <row r="412" ht="16.5" customHeight="1" s="186">
      <c r="A412" s="760" t="n"/>
      <c r="B412" s="760" t="n"/>
      <c r="C412" s="762" t="n"/>
      <c r="D412" s="762" t="n"/>
      <c r="E412" s="775" t="n"/>
      <c r="F412" s="821" t="n"/>
      <c r="G412" s="821" t="n"/>
      <c r="H412" s="818">
        <f>IF(G412=1,F412-I412-J412-K412,IF(G412=2,F412,0))</f>
        <v>0</v>
      </c>
      <c r="I412" s="818">
        <f>ROUND(IF(G412=1,F412*10/23,IF(G412=3,F412-J412-K412,IF(G412=4,F412,IF(G412=5,F412*10/11,IF(G412=7,F412*10/11,0))))),0)</f>
        <v>0</v>
      </c>
      <c r="J412" s="818">
        <f>ROUND(IF(G412=1,F412/23,IF(G412=3,F412/12,IF(G412=5,F412-I412,IF(G412=8,F412,0)))),0)</f>
        <v>0</v>
      </c>
      <c r="K412" s="819">
        <f>ROUND(IF(G412=1,F412/23,IF(G412=3,F412/12,IF(G412=6,F412,IF(G412=7,F412-I412,0)))),0)</f>
        <v>0</v>
      </c>
      <c r="L412" s="820">
        <f>IF(G412=6,F412,0)</f>
        <v>0</v>
      </c>
      <c r="P412" s="768" t="n"/>
      <c r="Q412" s="769" t="str">
        <f>IF($F412="","",IFERROR(VLOOKUP($C412&amp;"|"&amp;$D412,科目表!$A$5:$B$200,2,FALSE),"※未登録"))</f>
        <v/>
      </c>
      <c r="R412" s="769" t="str">
        <f>IF($F412="","",$I412+$J412+$K412)</f>
        <v/>
      </c>
      <c r="S412" s="769" t="str">
        <f>IF(OR($F412="",$P412="支払なし",$H412=0,$Q412=""),"",$Q412&amp;"|S|"&amp;(COUNTIF(S$4:S411,$Q412&amp;"|S|*")+1))</f>
        <v/>
      </c>
      <c r="T412" s="769" t="str">
        <f>IF(OR($F412="",$P412="支払なし",$R412=0,$Q412=""),"",$Q412&amp;"|L|"&amp;(COUNTIF(T$4:T411,$Q412&amp;"|L|*")+1))</f>
        <v/>
      </c>
      <c r="U412" s="769" t="str">
        <f>IF($F412="","",13)</f>
        <v/>
      </c>
    </row>
    <row r="413" ht="16.5" customHeight="1" s="186">
      <c r="A413" s="760" t="n"/>
      <c r="B413" s="760" t="n"/>
      <c r="C413" s="762" t="n"/>
      <c r="D413" s="762" t="n"/>
      <c r="E413" s="775" t="n"/>
      <c r="F413" s="821" t="n"/>
      <c r="G413" s="821" t="n"/>
      <c r="H413" s="818">
        <f>IF(G413=1,F413-I413-J413-K413,IF(G413=2,F413,0))</f>
        <v>0</v>
      </c>
      <c r="I413" s="818">
        <f>ROUND(IF(G413=1,F413*10/23,IF(G413=3,F413-J413-K413,IF(G413=4,F413,IF(G413=5,F413*10/11,IF(G413=7,F413*10/11,0))))),0)</f>
        <v>0</v>
      </c>
      <c r="J413" s="818">
        <f>ROUND(IF(G413=1,F413/23,IF(G413=3,F413/12,IF(G413=5,F413-I413,IF(G413=8,F413,0)))),0)</f>
        <v>0</v>
      </c>
      <c r="K413" s="819">
        <f>ROUND(IF(G413=1,F413/23,IF(G413=3,F413/12,IF(G413=6,F413,IF(G413=7,F413-I413,0)))),0)</f>
        <v>0</v>
      </c>
      <c r="L413" s="820">
        <f>IF(G413=6,F413,0)</f>
        <v>0</v>
      </c>
      <c r="P413" s="768" t="n"/>
      <c r="Q413" s="769" t="str">
        <f>IF($F413="","",IFERROR(VLOOKUP($C413&amp;"|"&amp;$D413,科目表!$A$5:$B$200,2,FALSE),"※未登録"))</f>
        <v/>
      </c>
      <c r="R413" s="769" t="str">
        <f>IF($F413="","",$I413+$J413+$K413)</f>
        <v/>
      </c>
      <c r="S413" s="769" t="str">
        <f>IF(OR($F413="",$P413="支払なし",$H413=0,$Q413=""),"",$Q413&amp;"|S|"&amp;(COUNTIF(S$4:S412,$Q413&amp;"|S|*")+1))</f>
        <v/>
      </c>
      <c r="T413" s="769" t="str">
        <f>IF(OR($F413="",$P413="支払なし",$R413=0,$Q413=""),"",$Q413&amp;"|L|"&amp;(COUNTIF(T$4:T412,$Q413&amp;"|L|*")+1))</f>
        <v/>
      </c>
      <c r="U413" s="769" t="str">
        <f>IF($F413="","",13)</f>
        <v/>
      </c>
    </row>
    <row r="414" ht="16.5" customHeight="1" s="186">
      <c r="A414" s="760" t="n"/>
      <c r="B414" s="760" t="n"/>
      <c r="C414" s="762" t="n"/>
      <c r="D414" s="762" t="n"/>
      <c r="E414" s="775" t="n"/>
      <c r="F414" s="821" t="n"/>
      <c r="G414" s="821" t="n"/>
      <c r="H414" s="818">
        <f>IF(G414=1,F414-I414-J414-K414,IF(G414=2,F414,0))</f>
        <v>0</v>
      </c>
      <c r="I414" s="818">
        <f>ROUND(IF(G414=1,F414*10/23,IF(G414=3,F414-J414-K414,IF(G414=4,F414,IF(G414=5,F414*10/11,IF(G414=7,F414*10/11,0))))),0)</f>
        <v>0</v>
      </c>
      <c r="J414" s="818">
        <f>ROUND(IF(G414=1,F414/23,IF(G414=3,F414/12,IF(G414=5,F414-I414,IF(G414=8,F414,0)))),0)</f>
        <v>0</v>
      </c>
      <c r="K414" s="819">
        <f>ROUND(IF(G414=1,F414/23,IF(G414=3,F414/12,IF(G414=6,F414,IF(G414=7,F414-I414,0)))),0)</f>
        <v>0</v>
      </c>
      <c r="L414" s="820">
        <f>IF(G414=6,F414,0)</f>
        <v>0</v>
      </c>
      <c r="P414" s="768" t="n"/>
      <c r="Q414" s="769" t="str">
        <f>IF($F414="","",IFERROR(VLOOKUP($C414&amp;"|"&amp;$D414,科目表!$A$5:$B$200,2,FALSE),"※未登録"))</f>
        <v/>
      </c>
      <c r="R414" s="769" t="str">
        <f>IF($F414="","",$I414+$J414+$K414)</f>
        <v/>
      </c>
      <c r="S414" s="769" t="str">
        <f>IF(OR($F414="",$P414="支払なし",$H414=0,$Q414=""),"",$Q414&amp;"|S|"&amp;(COUNTIF(S$4:S413,$Q414&amp;"|S|*")+1))</f>
        <v/>
      </c>
      <c r="T414" s="769" t="str">
        <f>IF(OR($F414="",$P414="支払なし",$R414=0,$Q414=""),"",$Q414&amp;"|L|"&amp;(COUNTIF(T$4:T413,$Q414&amp;"|L|*")+1))</f>
        <v/>
      </c>
      <c r="U414" s="769" t="str">
        <f>IF($F414="","",13)</f>
        <v/>
      </c>
    </row>
    <row r="415" ht="16.5" customHeight="1" s="186">
      <c r="A415" s="760" t="n"/>
      <c r="B415" s="760" t="n"/>
      <c r="C415" s="762" t="n"/>
      <c r="D415" s="762" t="n"/>
      <c r="E415" s="775" t="n"/>
      <c r="F415" s="821" t="n"/>
      <c r="G415" s="821" t="n"/>
      <c r="H415" s="818">
        <f>IF(G415=1,F415-I415-J415-K415,IF(G415=2,F415,0))</f>
        <v>0</v>
      </c>
      <c r="I415" s="818">
        <f>ROUND(IF(G415=1,F415*10/23,IF(G415=3,F415-J415-K415,IF(G415=4,F415,IF(G415=5,F415*10/11,IF(G415=7,F415*10/11,0))))),0)</f>
        <v>0</v>
      </c>
      <c r="J415" s="818">
        <f>ROUND(IF(G415=1,F415/23,IF(G415=3,F415/12,IF(G415=5,F415-I415,IF(G415=8,F415,0)))),0)</f>
        <v>0</v>
      </c>
      <c r="K415" s="819">
        <f>ROUND(IF(G415=1,F415/23,IF(G415=3,F415/12,IF(G415=6,F415,IF(G415=7,F415-I415,0)))),0)</f>
        <v>0</v>
      </c>
      <c r="L415" s="820">
        <f>IF(G415=6,F415,0)</f>
        <v>0</v>
      </c>
      <c r="P415" s="768" t="n"/>
      <c r="Q415" s="769" t="str">
        <f>IF($F415="","",IFERROR(VLOOKUP($C415&amp;"|"&amp;$D415,科目表!$A$5:$B$200,2,FALSE),"※未登録"))</f>
        <v/>
      </c>
      <c r="R415" s="769" t="str">
        <f>IF($F415="","",$I415+$J415+$K415)</f>
        <v/>
      </c>
      <c r="S415" s="769" t="str">
        <f>IF(OR($F415="",$P415="支払なし",$H415=0,$Q415=""),"",$Q415&amp;"|S|"&amp;(COUNTIF(S$4:S414,$Q415&amp;"|S|*")+1))</f>
        <v/>
      </c>
      <c r="T415" s="769" t="str">
        <f>IF(OR($F415="",$P415="支払なし",$R415=0,$Q415=""),"",$Q415&amp;"|L|"&amp;(COUNTIF(T$4:T414,$Q415&amp;"|L|*")+1))</f>
        <v/>
      </c>
      <c r="U415" s="769" t="str">
        <f>IF($F415="","",13)</f>
        <v/>
      </c>
    </row>
    <row r="416" ht="16.5" customHeight="1" s="186">
      <c r="A416" s="760" t="n"/>
      <c r="B416" s="760" t="n"/>
      <c r="C416" s="762" t="n"/>
      <c r="D416" s="762" t="n"/>
      <c r="E416" s="775" t="n"/>
      <c r="F416" s="821" t="n"/>
      <c r="G416" s="821" t="n"/>
      <c r="H416" s="818">
        <f>IF(G416=1,F416-I416-J416-K416,IF(G416=2,F416,0))</f>
        <v>0</v>
      </c>
      <c r="I416" s="818">
        <f>ROUND(IF(G416=1,F416*10/23,IF(G416=3,F416-J416-K416,IF(G416=4,F416,IF(G416=5,F416*10/11,IF(G416=7,F416*10/11,0))))),0)</f>
        <v>0</v>
      </c>
      <c r="J416" s="818">
        <f>ROUND(IF(G416=1,F416/23,IF(G416=3,F416/12,IF(G416=5,F416-I416,IF(G416=8,F416,0)))),0)</f>
        <v>0</v>
      </c>
      <c r="K416" s="819">
        <f>ROUND(IF(G416=1,F416/23,IF(G416=3,F416/12,IF(G416=6,F416,IF(G416=7,F416-I416,0)))),0)</f>
        <v>0</v>
      </c>
      <c r="L416" s="820">
        <f>IF(G416=6,F416,0)</f>
        <v>0</v>
      </c>
      <c r="P416" s="768" t="n"/>
      <c r="Q416" s="769" t="str">
        <f>IF($F416="","",IFERROR(VLOOKUP($C416&amp;"|"&amp;$D416,科目表!$A$5:$B$200,2,FALSE),"※未登録"))</f>
        <v/>
      </c>
      <c r="R416" s="769" t="str">
        <f>IF($F416="","",$I416+$J416+$K416)</f>
        <v/>
      </c>
      <c r="S416" s="769" t="str">
        <f>IF(OR($F416="",$P416="支払なし",$H416=0,$Q416=""),"",$Q416&amp;"|S|"&amp;(COUNTIF(S$4:S415,$Q416&amp;"|S|*")+1))</f>
        <v/>
      </c>
      <c r="T416" s="769" t="str">
        <f>IF(OR($F416="",$P416="支払なし",$R416=0,$Q416=""),"",$Q416&amp;"|L|"&amp;(COUNTIF(T$4:T415,$Q416&amp;"|L|*")+1))</f>
        <v/>
      </c>
      <c r="U416" s="769" t="str">
        <f>IF($F416="","",13)</f>
        <v/>
      </c>
    </row>
    <row r="417" ht="16.5" customHeight="1" s="186">
      <c r="A417" s="760" t="n"/>
      <c r="B417" s="760" t="n"/>
      <c r="C417" s="762" t="n"/>
      <c r="D417" s="762" t="n"/>
      <c r="E417" s="775" t="n"/>
      <c r="F417" s="821" t="n"/>
      <c r="G417" s="821" t="n"/>
      <c r="H417" s="818">
        <f>IF(G417=1,F417-I417-J417-K417,IF(G417=2,F417,0))</f>
        <v>0</v>
      </c>
      <c r="I417" s="818">
        <f>ROUND(IF(G417=1,F417*10/23,IF(G417=3,F417-J417-K417,IF(G417=4,F417,IF(G417=5,F417*10/11,IF(G417=7,F417*10/11,0))))),0)</f>
        <v>0</v>
      </c>
      <c r="J417" s="818">
        <f>ROUND(IF(G417=1,F417/23,IF(G417=3,F417/12,IF(G417=5,F417-I417,IF(G417=8,F417,0)))),0)</f>
        <v>0</v>
      </c>
      <c r="K417" s="819">
        <f>ROUND(IF(G417=1,F417/23,IF(G417=3,F417/12,IF(G417=6,F417,IF(G417=7,F417-I417,0)))),0)</f>
        <v>0</v>
      </c>
      <c r="L417" s="820">
        <f>IF(G417=6,F417,0)</f>
        <v>0</v>
      </c>
      <c r="P417" s="768" t="n"/>
      <c r="Q417" s="769" t="str">
        <f>IF($F417="","",IFERROR(VLOOKUP($C417&amp;"|"&amp;$D417,科目表!$A$5:$B$200,2,FALSE),"※未登録"))</f>
        <v/>
      </c>
      <c r="R417" s="769" t="str">
        <f>IF($F417="","",$I417+$J417+$K417)</f>
        <v/>
      </c>
      <c r="S417" s="769" t="str">
        <f>IF(OR($F417="",$P417="支払なし",$H417=0,$Q417=""),"",$Q417&amp;"|S|"&amp;(COUNTIF(S$4:S416,$Q417&amp;"|S|*")+1))</f>
        <v/>
      </c>
      <c r="T417" s="769" t="str">
        <f>IF(OR($F417="",$P417="支払なし",$R417=0,$Q417=""),"",$Q417&amp;"|L|"&amp;(COUNTIF(T$4:T416,$Q417&amp;"|L|*")+1))</f>
        <v/>
      </c>
      <c r="U417" s="769" t="str">
        <f>IF($F417="","",13)</f>
        <v/>
      </c>
    </row>
    <row r="418" ht="16.5" customHeight="1" s="186">
      <c r="A418" s="760" t="n"/>
      <c r="B418" s="760" t="n"/>
      <c r="C418" s="762" t="n"/>
      <c r="D418" s="762" t="n"/>
      <c r="E418" s="775" t="n"/>
      <c r="F418" s="821" t="n"/>
      <c r="G418" s="821" t="n"/>
      <c r="H418" s="818">
        <f>IF(G418=1,F418-I418-J418-K418,IF(G418=2,F418,0))</f>
        <v>0</v>
      </c>
      <c r="I418" s="818">
        <f>ROUND(IF(G418=1,F418*10/23,IF(G418=3,F418-J418-K418,IF(G418=4,F418,IF(G418=5,F418*10/11,IF(G418=7,F418*10/11,0))))),0)</f>
        <v>0</v>
      </c>
      <c r="J418" s="818">
        <f>ROUND(IF(G418=1,F418/23,IF(G418=3,F418/12,IF(G418=5,F418-I418,IF(G418=8,F418,0)))),0)</f>
        <v>0</v>
      </c>
      <c r="K418" s="819">
        <f>ROUND(IF(G418=1,F418/23,IF(G418=3,F418/12,IF(G418=6,F418,IF(G418=7,F418-I418,0)))),0)</f>
        <v>0</v>
      </c>
      <c r="L418" s="820">
        <f>IF(G418=6,F418,0)</f>
        <v>0</v>
      </c>
      <c r="P418" s="768" t="n"/>
      <c r="Q418" s="769" t="str">
        <f>IF($F418="","",IFERROR(VLOOKUP($C418&amp;"|"&amp;$D418,科目表!$A$5:$B$200,2,FALSE),"※未登録"))</f>
        <v/>
      </c>
      <c r="R418" s="769" t="str">
        <f>IF($F418="","",$I418+$J418+$K418)</f>
        <v/>
      </c>
      <c r="S418" s="769" t="str">
        <f>IF(OR($F418="",$P418="支払なし",$H418=0,$Q418=""),"",$Q418&amp;"|S|"&amp;(COUNTIF(S$4:S417,$Q418&amp;"|S|*")+1))</f>
        <v/>
      </c>
      <c r="T418" s="769" t="str">
        <f>IF(OR($F418="",$P418="支払なし",$R418=0,$Q418=""),"",$Q418&amp;"|L|"&amp;(COUNTIF(T$4:T417,$Q418&amp;"|L|*")+1))</f>
        <v/>
      </c>
      <c r="U418" s="769" t="str">
        <f>IF($F418="","",13)</f>
        <v/>
      </c>
    </row>
    <row r="419" ht="16.5" customHeight="1" s="186">
      <c r="A419" s="760" t="n"/>
      <c r="B419" s="760" t="n"/>
      <c r="C419" s="762" t="n"/>
      <c r="D419" s="762" t="n"/>
      <c r="E419" s="775" t="n"/>
      <c r="F419" s="821" t="n"/>
      <c r="G419" s="821" t="n"/>
      <c r="H419" s="818">
        <f>IF(G419=1,F419-I419-J419-K419,IF(G419=2,F419,0))</f>
        <v>0</v>
      </c>
      <c r="I419" s="818">
        <f>ROUND(IF(G419=1,F419*10/23,IF(G419=3,F419-J419-K419,IF(G419=4,F419,IF(G419=5,F419*10/11,IF(G419=7,F419*10/11,0))))),0)</f>
        <v>0</v>
      </c>
      <c r="J419" s="818">
        <f>ROUND(IF(G419=1,F419/23,IF(G419=3,F419/12,IF(G419=5,F419-I419,IF(G419=8,F419,0)))),0)</f>
        <v>0</v>
      </c>
      <c r="K419" s="819">
        <f>ROUND(IF(G419=1,F419/23,IF(G419=3,F419/12,IF(G419=6,F419,IF(G419=7,F419-I419,0)))),0)</f>
        <v>0</v>
      </c>
      <c r="L419" s="820">
        <f>IF(G419=6,F419,0)</f>
        <v>0</v>
      </c>
      <c r="P419" s="768" t="n"/>
      <c r="Q419" s="769" t="str">
        <f>IF($F419="","",IFERROR(VLOOKUP($C419&amp;"|"&amp;$D419,科目表!$A$5:$B$200,2,FALSE),"※未登録"))</f>
        <v/>
      </c>
      <c r="R419" s="769" t="str">
        <f>IF($F419="","",$I419+$J419+$K419)</f>
        <v/>
      </c>
      <c r="S419" s="769" t="str">
        <f>IF(OR($F419="",$P419="支払なし",$H419=0,$Q419=""),"",$Q419&amp;"|S|"&amp;(COUNTIF(S$4:S418,$Q419&amp;"|S|*")+1))</f>
        <v/>
      </c>
      <c r="T419" s="769" t="str">
        <f>IF(OR($F419="",$P419="支払なし",$R419=0,$Q419=""),"",$Q419&amp;"|L|"&amp;(COUNTIF(T$4:T418,$Q419&amp;"|L|*")+1))</f>
        <v/>
      </c>
      <c r="U419" s="769" t="str">
        <f>IF($F419="","",13)</f>
        <v/>
      </c>
    </row>
    <row r="420" ht="16.5" customHeight="1" s="186">
      <c r="A420" s="760" t="n"/>
      <c r="B420" s="760" t="n"/>
      <c r="C420" s="762" t="n"/>
      <c r="D420" s="762" t="n"/>
      <c r="E420" s="775" t="n"/>
      <c r="F420" s="821" t="n"/>
      <c r="G420" s="821" t="n"/>
      <c r="H420" s="818">
        <f>IF(G420=1,F420-I420-J420-K420,IF(G420=2,F420,0))</f>
        <v>0</v>
      </c>
      <c r="I420" s="818">
        <f>ROUND(IF(G420=1,F420*10/23,IF(G420=3,F420-J420-K420,IF(G420=4,F420,IF(G420=5,F420*10/11,IF(G420=7,F420*10/11,0))))),0)</f>
        <v>0</v>
      </c>
      <c r="J420" s="818">
        <f>ROUND(IF(G420=1,F420/23,IF(G420=3,F420/12,IF(G420=5,F420-I420,IF(G420=8,F420,0)))),0)</f>
        <v>0</v>
      </c>
      <c r="K420" s="819">
        <f>ROUND(IF(G420=1,F420/23,IF(G420=3,F420/12,IF(G420=6,F420,IF(G420=7,F420-I420,0)))),0)</f>
        <v>0</v>
      </c>
      <c r="L420" s="820">
        <f>IF(G420=6,F420,0)</f>
        <v>0</v>
      </c>
      <c r="P420" s="768" t="n"/>
      <c r="Q420" s="769" t="str">
        <f>IF($F420="","",IFERROR(VLOOKUP($C420&amp;"|"&amp;$D420,科目表!$A$5:$B$200,2,FALSE),"※未登録"))</f>
        <v/>
      </c>
      <c r="R420" s="769" t="str">
        <f>IF($F420="","",$I420+$J420+$K420)</f>
        <v/>
      </c>
      <c r="S420" s="769" t="str">
        <f>IF(OR($F420="",$P420="支払なし",$H420=0,$Q420=""),"",$Q420&amp;"|S|"&amp;(COUNTIF(S$4:S419,$Q420&amp;"|S|*")+1))</f>
        <v/>
      </c>
      <c r="T420" s="769" t="str">
        <f>IF(OR($F420="",$P420="支払なし",$R420=0,$Q420=""),"",$Q420&amp;"|L|"&amp;(COUNTIF(T$4:T419,$Q420&amp;"|L|*")+1))</f>
        <v/>
      </c>
      <c r="U420" s="769" t="str">
        <f>IF($F420="","",13)</f>
        <v/>
      </c>
    </row>
    <row r="421" ht="16.5" customHeight="1" s="186">
      <c r="A421" s="760" t="n"/>
      <c r="B421" s="760" t="n"/>
      <c r="C421" s="762" t="n"/>
      <c r="D421" s="762" t="n"/>
      <c r="E421" s="775" t="n"/>
      <c r="F421" s="821" t="n"/>
      <c r="G421" s="821" t="n"/>
      <c r="H421" s="818">
        <f>IF(G421=1,F421-I421-J421-K421,IF(G421=2,F421,0))</f>
        <v>0</v>
      </c>
      <c r="I421" s="818">
        <f>ROUND(IF(G421=1,F421*10/23,IF(G421=3,F421-J421-K421,IF(G421=4,F421,IF(G421=5,F421*10/11,IF(G421=7,F421*10/11,0))))),0)</f>
        <v>0</v>
      </c>
      <c r="J421" s="818">
        <f>ROUND(IF(G421=1,F421/23,IF(G421=3,F421/12,IF(G421=5,F421-I421,IF(G421=8,F421,0)))),0)</f>
        <v>0</v>
      </c>
      <c r="K421" s="819">
        <f>ROUND(IF(G421=1,F421/23,IF(G421=3,F421/12,IF(G421=6,F421,IF(G421=7,F421-I421,0)))),0)</f>
        <v>0</v>
      </c>
      <c r="L421" s="820">
        <f>IF(G421=6,F421,0)</f>
        <v>0</v>
      </c>
      <c r="P421" s="768" t="n"/>
      <c r="Q421" s="769" t="str">
        <f>IF($F421="","",IFERROR(VLOOKUP($C421&amp;"|"&amp;$D421,科目表!$A$5:$B$200,2,FALSE),"※未登録"))</f>
        <v/>
      </c>
      <c r="R421" s="769" t="str">
        <f>IF($F421="","",$I421+$J421+$K421)</f>
        <v/>
      </c>
      <c r="S421" s="769" t="str">
        <f>IF(OR($F421="",$P421="支払なし",$H421=0,$Q421=""),"",$Q421&amp;"|S|"&amp;(COUNTIF(S$4:S420,$Q421&amp;"|S|*")+1))</f>
        <v/>
      </c>
      <c r="T421" s="769" t="str">
        <f>IF(OR($F421="",$P421="支払なし",$R421=0,$Q421=""),"",$Q421&amp;"|L|"&amp;(COUNTIF(T$4:T420,$Q421&amp;"|L|*")+1))</f>
        <v/>
      </c>
      <c r="U421" s="769" t="str">
        <f>IF($F421="","",13)</f>
        <v/>
      </c>
    </row>
    <row r="422" ht="16.5" customHeight="1" s="186">
      <c r="A422" s="760" t="n"/>
      <c r="B422" s="760" t="n"/>
      <c r="C422" s="762" t="n"/>
      <c r="D422" s="762" t="n"/>
      <c r="E422" s="775" t="n"/>
      <c r="F422" s="821" t="n"/>
      <c r="G422" s="821" t="n"/>
      <c r="H422" s="818">
        <f>IF(G422=1,F422-I422-J422-K422,IF(G422=2,F422,0))</f>
        <v>0</v>
      </c>
      <c r="I422" s="818">
        <f>ROUND(IF(G422=1,F422*10/23,IF(G422=3,F422-J422-K422,IF(G422=4,F422,IF(G422=5,F422*10/11,IF(G422=7,F422*10/11,0))))),0)</f>
        <v>0</v>
      </c>
      <c r="J422" s="818">
        <f>ROUND(IF(G422=1,F422/23,IF(G422=3,F422/12,IF(G422=5,F422-I422,IF(G422=8,F422,0)))),0)</f>
        <v>0</v>
      </c>
      <c r="K422" s="819">
        <f>ROUND(IF(G422=1,F422/23,IF(G422=3,F422/12,IF(G422=6,F422,IF(G422=7,F422-I422,0)))),0)</f>
        <v>0</v>
      </c>
      <c r="L422" s="820">
        <f>IF(G422=6,F422,0)</f>
        <v>0</v>
      </c>
      <c r="P422" s="768" t="n"/>
      <c r="Q422" s="769" t="str">
        <f>IF($F422="","",IFERROR(VLOOKUP($C422&amp;"|"&amp;$D422,科目表!$A$5:$B$200,2,FALSE),"※未登録"))</f>
        <v/>
      </c>
      <c r="R422" s="769" t="str">
        <f>IF($F422="","",$I422+$J422+$K422)</f>
        <v/>
      </c>
      <c r="S422" s="769" t="str">
        <f>IF(OR($F422="",$P422="支払なし",$H422=0,$Q422=""),"",$Q422&amp;"|S|"&amp;(COUNTIF(S$4:S421,$Q422&amp;"|S|*")+1))</f>
        <v/>
      </c>
      <c r="T422" s="769" t="str">
        <f>IF(OR($F422="",$P422="支払なし",$R422=0,$Q422=""),"",$Q422&amp;"|L|"&amp;(COUNTIF(T$4:T421,$Q422&amp;"|L|*")+1))</f>
        <v/>
      </c>
      <c r="U422" s="769" t="str">
        <f>IF($F422="","",13)</f>
        <v/>
      </c>
    </row>
    <row r="423" ht="16.5" customHeight="1" s="186">
      <c r="A423" s="760" t="n"/>
      <c r="B423" s="760" t="n"/>
      <c r="C423" s="762" t="n"/>
      <c r="D423" s="762" t="n"/>
      <c r="E423" s="775" t="n"/>
      <c r="F423" s="821" t="n"/>
      <c r="G423" s="821" t="n"/>
      <c r="H423" s="818">
        <f>IF(G423=1,F423-I423-J423-K423,IF(G423=2,F423,0))</f>
        <v>0</v>
      </c>
      <c r="I423" s="818">
        <f>ROUND(IF(G423=1,F423*10/23,IF(G423=3,F423-J423-K423,IF(G423=4,F423,IF(G423=5,F423*10/11,IF(G423=7,F423*10/11,0))))),0)</f>
        <v>0</v>
      </c>
      <c r="J423" s="818">
        <f>ROUND(IF(G423=1,F423/23,IF(G423=3,F423/12,IF(G423=5,F423-I423,IF(G423=8,F423,0)))),0)</f>
        <v>0</v>
      </c>
      <c r="K423" s="819">
        <f>ROUND(IF(G423=1,F423/23,IF(G423=3,F423/12,IF(G423=6,F423,IF(G423=7,F423-I423,0)))),0)</f>
        <v>0</v>
      </c>
      <c r="L423" s="820">
        <f>IF(G423=6,F423,0)</f>
        <v>0</v>
      </c>
      <c r="P423" s="768" t="n"/>
      <c r="Q423" s="769" t="str">
        <f>IF($F423="","",IFERROR(VLOOKUP($C423&amp;"|"&amp;$D423,科目表!$A$5:$B$200,2,FALSE),"※未登録"))</f>
        <v/>
      </c>
      <c r="R423" s="769" t="str">
        <f>IF($F423="","",$I423+$J423+$K423)</f>
        <v/>
      </c>
      <c r="S423" s="769" t="str">
        <f>IF(OR($F423="",$P423="支払なし",$H423=0,$Q423=""),"",$Q423&amp;"|S|"&amp;(COUNTIF(S$4:S422,$Q423&amp;"|S|*")+1))</f>
        <v/>
      </c>
      <c r="T423" s="769" t="str">
        <f>IF(OR($F423="",$P423="支払なし",$R423=0,$Q423=""),"",$Q423&amp;"|L|"&amp;(COUNTIF(T$4:T422,$Q423&amp;"|L|*")+1))</f>
        <v/>
      </c>
      <c r="U423" s="769" t="str">
        <f>IF($F423="","",13)</f>
        <v/>
      </c>
    </row>
    <row r="424" ht="16.5" customHeight="1" s="186">
      <c r="A424" s="760" t="n"/>
      <c r="B424" s="760" t="n"/>
      <c r="C424" s="762" t="n"/>
      <c r="D424" s="762" t="n"/>
      <c r="E424" s="775" t="n"/>
      <c r="F424" s="821" t="n"/>
      <c r="G424" s="821" t="n"/>
      <c r="H424" s="818">
        <f>IF(G424=1,F424-I424-J424-K424,IF(G424=2,F424,0))</f>
        <v>0</v>
      </c>
      <c r="I424" s="818">
        <f>ROUND(IF(G424=1,F424*10/23,IF(G424=3,F424-J424-K424,IF(G424=4,F424,IF(G424=5,F424*10/11,IF(G424=7,F424*10/11,0))))),0)</f>
        <v>0</v>
      </c>
      <c r="J424" s="818">
        <f>ROUND(IF(G424=1,F424/23,IF(G424=3,F424/12,IF(G424=5,F424-I424,IF(G424=8,F424,0)))),0)</f>
        <v>0</v>
      </c>
      <c r="K424" s="819">
        <f>ROUND(IF(G424=1,F424/23,IF(G424=3,F424/12,IF(G424=6,F424,IF(G424=7,F424-I424,0)))),0)</f>
        <v>0</v>
      </c>
      <c r="L424" s="820">
        <f>IF(G424=6,F424,0)</f>
        <v>0</v>
      </c>
      <c r="P424" s="768" t="n"/>
      <c r="Q424" s="769" t="str">
        <f>IF($F424="","",IFERROR(VLOOKUP($C424&amp;"|"&amp;$D424,科目表!$A$5:$B$200,2,FALSE),"※未登録"))</f>
        <v/>
      </c>
      <c r="R424" s="769" t="str">
        <f>IF($F424="","",$I424+$J424+$K424)</f>
        <v/>
      </c>
      <c r="S424" s="769" t="str">
        <f>IF(OR($F424="",$P424="支払なし",$H424=0,$Q424=""),"",$Q424&amp;"|S|"&amp;(COUNTIF(S$4:S423,$Q424&amp;"|S|*")+1))</f>
        <v/>
      </c>
      <c r="T424" s="769" t="str">
        <f>IF(OR($F424="",$P424="支払なし",$R424=0,$Q424=""),"",$Q424&amp;"|L|"&amp;(COUNTIF(T$4:T423,$Q424&amp;"|L|*")+1))</f>
        <v/>
      </c>
      <c r="U424" s="769" t="str">
        <f>IF($F424="","",13)</f>
        <v/>
      </c>
    </row>
    <row r="425" ht="16.5" customHeight="1" s="186">
      <c r="A425" s="760" t="n"/>
      <c r="B425" s="760" t="n"/>
      <c r="C425" s="762" t="n"/>
      <c r="D425" s="762" t="n"/>
      <c r="E425" s="775" t="n"/>
      <c r="F425" s="821" t="n"/>
      <c r="G425" s="821" t="n"/>
      <c r="H425" s="818">
        <f>IF(G425=1,F425-I425-J425-K425,IF(G425=2,F425,0))</f>
        <v>0</v>
      </c>
      <c r="I425" s="818">
        <f>ROUND(IF(G425=1,F425*10/23,IF(G425=3,F425-J425-K425,IF(G425=4,F425,IF(G425=5,F425*10/11,IF(G425=7,F425*10/11,0))))),0)</f>
        <v>0</v>
      </c>
      <c r="J425" s="818">
        <f>ROUND(IF(G425=1,F425/23,IF(G425=3,F425/12,IF(G425=5,F425-I425,IF(G425=8,F425,0)))),0)</f>
        <v>0</v>
      </c>
      <c r="K425" s="819">
        <f>ROUND(IF(G425=1,F425/23,IF(G425=3,F425/12,IF(G425=6,F425,IF(G425=7,F425-I425,0)))),0)</f>
        <v>0</v>
      </c>
      <c r="L425" s="820">
        <f>IF(G425=6,F425,0)</f>
        <v>0</v>
      </c>
      <c r="P425" s="768" t="n"/>
      <c r="Q425" s="769" t="str">
        <f>IF($F425="","",IFERROR(VLOOKUP($C425&amp;"|"&amp;$D425,科目表!$A$5:$B$200,2,FALSE),"※未登録"))</f>
        <v/>
      </c>
      <c r="R425" s="769" t="str">
        <f>IF($F425="","",$I425+$J425+$K425)</f>
        <v/>
      </c>
      <c r="S425" s="769" t="str">
        <f>IF(OR($F425="",$P425="支払なし",$H425=0,$Q425=""),"",$Q425&amp;"|S|"&amp;(COUNTIF(S$4:S424,$Q425&amp;"|S|*")+1))</f>
        <v/>
      </c>
      <c r="T425" s="769" t="str">
        <f>IF(OR($F425="",$P425="支払なし",$R425=0,$Q425=""),"",$Q425&amp;"|L|"&amp;(COUNTIF(T$4:T424,$Q425&amp;"|L|*")+1))</f>
        <v/>
      </c>
      <c r="U425" s="769" t="str">
        <f>IF($F425="","",13)</f>
        <v/>
      </c>
    </row>
    <row r="426" ht="16.5" customHeight="1" s="186">
      <c r="A426" s="760" t="n"/>
      <c r="B426" s="760" t="n"/>
      <c r="C426" s="762" t="n"/>
      <c r="D426" s="762" t="n"/>
      <c r="E426" s="775" t="n"/>
      <c r="F426" s="821" t="n"/>
      <c r="G426" s="821" t="n"/>
      <c r="H426" s="818">
        <f>IF(G426=1,F426-I426-J426-K426,IF(G426=2,F426,0))</f>
        <v>0</v>
      </c>
      <c r="I426" s="818">
        <f>ROUND(IF(G426=1,F426*10/23,IF(G426=3,F426-J426-K426,IF(G426=4,F426,IF(G426=5,F426*10/11,IF(G426=7,F426*10/11,0))))),0)</f>
        <v>0</v>
      </c>
      <c r="J426" s="818">
        <f>ROUND(IF(G426=1,F426/23,IF(G426=3,F426/12,IF(G426=5,F426-I426,IF(G426=8,F426,0)))),0)</f>
        <v>0</v>
      </c>
      <c r="K426" s="819">
        <f>ROUND(IF(G426=1,F426/23,IF(G426=3,F426/12,IF(G426=6,F426,IF(G426=7,F426-I426,0)))),0)</f>
        <v>0</v>
      </c>
      <c r="L426" s="820">
        <f>IF(G426=6,F426,0)</f>
        <v>0</v>
      </c>
      <c r="P426" s="768" t="n"/>
      <c r="Q426" s="769" t="str">
        <f>IF($F426="","",IFERROR(VLOOKUP($C426&amp;"|"&amp;$D426,科目表!$A$5:$B$200,2,FALSE),"※未登録"))</f>
        <v/>
      </c>
      <c r="R426" s="769" t="str">
        <f>IF($F426="","",$I426+$J426+$K426)</f>
        <v/>
      </c>
      <c r="S426" s="769" t="str">
        <f>IF(OR($F426="",$P426="支払なし",$H426=0,$Q426=""),"",$Q426&amp;"|S|"&amp;(COUNTIF(S$4:S425,$Q426&amp;"|S|*")+1))</f>
        <v/>
      </c>
      <c r="T426" s="769" t="str">
        <f>IF(OR($F426="",$P426="支払なし",$R426=0,$Q426=""),"",$Q426&amp;"|L|"&amp;(COUNTIF(T$4:T425,$Q426&amp;"|L|*")+1))</f>
        <v/>
      </c>
      <c r="U426" s="769" t="str">
        <f>IF($F426="","",13)</f>
        <v/>
      </c>
    </row>
    <row r="427" ht="16.5" customHeight="1" s="186">
      <c r="A427" s="760" t="n"/>
      <c r="B427" s="760" t="n"/>
      <c r="C427" s="762" t="n"/>
      <c r="D427" s="762" t="n"/>
      <c r="E427" s="775" t="n"/>
      <c r="F427" s="821" t="n"/>
      <c r="G427" s="821" t="n"/>
      <c r="H427" s="818">
        <f>IF(G427=1,F427-I427-J427-K427,IF(G427=2,F427,0))</f>
        <v>0</v>
      </c>
      <c r="I427" s="818">
        <f>ROUND(IF(G427=1,F427*10/23,IF(G427=3,F427-J427-K427,IF(G427=4,F427,IF(G427=5,F427*10/11,IF(G427=7,F427*10/11,0))))),0)</f>
        <v>0</v>
      </c>
      <c r="J427" s="818">
        <f>ROUND(IF(G427=1,F427/23,IF(G427=3,F427/12,IF(G427=5,F427-I427,IF(G427=8,F427,0)))),0)</f>
        <v>0</v>
      </c>
      <c r="K427" s="819">
        <f>ROUND(IF(G427=1,F427/23,IF(G427=3,F427/12,IF(G427=6,F427,IF(G427=7,F427-I427,0)))),0)</f>
        <v>0</v>
      </c>
      <c r="L427" s="820">
        <f>IF(G427=6,F427,0)</f>
        <v>0</v>
      </c>
      <c r="P427" s="768" t="n"/>
      <c r="Q427" s="769" t="str">
        <f>IF($F427="","",IFERROR(VLOOKUP($C427&amp;"|"&amp;$D427,科目表!$A$5:$B$200,2,FALSE),"※未登録"))</f>
        <v/>
      </c>
      <c r="R427" s="769" t="str">
        <f>IF($F427="","",$I427+$J427+$K427)</f>
        <v/>
      </c>
      <c r="S427" s="769" t="str">
        <f>IF(OR($F427="",$P427="支払なし",$H427=0,$Q427=""),"",$Q427&amp;"|S|"&amp;(COUNTIF(S$4:S426,$Q427&amp;"|S|*")+1))</f>
        <v/>
      </c>
      <c r="T427" s="769" t="str">
        <f>IF(OR($F427="",$P427="支払なし",$R427=0,$Q427=""),"",$Q427&amp;"|L|"&amp;(COUNTIF(T$4:T426,$Q427&amp;"|L|*")+1))</f>
        <v/>
      </c>
      <c r="U427" s="769" t="str">
        <f>IF($F427="","",13)</f>
        <v/>
      </c>
    </row>
    <row r="428" ht="16.5" customHeight="1" s="186">
      <c r="A428" s="760" t="n"/>
      <c r="B428" s="760" t="n"/>
      <c r="C428" s="762" t="n"/>
      <c r="D428" s="762" t="n"/>
      <c r="E428" s="775" t="n"/>
      <c r="F428" s="821" t="n"/>
      <c r="G428" s="821" t="n"/>
      <c r="H428" s="818">
        <f>IF(G428=1,F428-I428-J428-K428,IF(G428=2,F428,0))</f>
        <v>0</v>
      </c>
      <c r="I428" s="818">
        <f>ROUND(IF(G428=1,F428*10/23,IF(G428=3,F428-J428-K428,IF(G428=4,F428,IF(G428=5,F428*10/11,IF(G428=7,F428*10/11,0))))),0)</f>
        <v>0</v>
      </c>
      <c r="J428" s="818">
        <f>ROUND(IF(G428=1,F428/23,IF(G428=3,F428/12,IF(G428=5,F428-I428,IF(G428=8,F428,0)))),0)</f>
        <v>0</v>
      </c>
      <c r="K428" s="819">
        <f>ROUND(IF(G428=1,F428/23,IF(G428=3,F428/12,IF(G428=6,F428,IF(G428=7,F428-I428,0)))),0)</f>
        <v>0</v>
      </c>
      <c r="L428" s="820">
        <f>IF(G428=6,F428,0)</f>
        <v>0</v>
      </c>
      <c r="P428" s="768" t="n"/>
      <c r="Q428" s="769" t="str">
        <f>IF($F428="","",IFERROR(VLOOKUP($C428&amp;"|"&amp;$D428,科目表!$A$5:$B$200,2,FALSE),"※未登録"))</f>
        <v/>
      </c>
      <c r="R428" s="769" t="str">
        <f>IF($F428="","",$I428+$J428+$K428)</f>
        <v/>
      </c>
      <c r="S428" s="769" t="str">
        <f>IF(OR($F428="",$P428="支払なし",$H428=0,$Q428=""),"",$Q428&amp;"|S|"&amp;(COUNTIF(S$4:S427,$Q428&amp;"|S|*")+1))</f>
        <v/>
      </c>
      <c r="T428" s="769" t="str">
        <f>IF(OR($F428="",$P428="支払なし",$R428=0,$Q428=""),"",$Q428&amp;"|L|"&amp;(COUNTIF(T$4:T427,$Q428&amp;"|L|*")+1))</f>
        <v/>
      </c>
      <c r="U428" s="769" t="str">
        <f>IF($F428="","",13)</f>
        <v/>
      </c>
    </row>
    <row r="429" ht="16.5" customHeight="1" s="186">
      <c r="A429" s="760" t="n"/>
      <c r="B429" s="760" t="n"/>
      <c r="C429" s="762" t="n"/>
      <c r="D429" s="762" t="n"/>
      <c r="E429" s="775" t="n"/>
      <c r="F429" s="821" t="n"/>
      <c r="G429" s="821" t="n"/>
      <c r="H429" s="818">
        <f>IF(G429=1,F429-I429-J429-K429,IF(G429=2,F429,0))</f>
        <v>0</v>
      </c>
      <c r="I429" s="818">
        <f>ROUND(IF(G429=1,F429*10/23,IF(G429=3,F429-J429-K429,IF(G429=4,F429,IF(G429=5,F429*10/11,IF(G429=7,F429*10/11,0))))),0)</f>
        <v>0</v>
      </c>
      <c r="J429" s="818">
        <f>ROUND(IF(G429=1,F429/23,IF(G429=3,F429/12,IF(G429=5,F429-I429,IF(G429=8,F429,0)))),0)</f>
        <v>0</v>
      </c>
      <c r="K429" s="819">
        <f>ROUND(IF(G429=1,F429/23,IF(G429=3,F429/12,IF(G429=6,F429,IF(G429=7,F429-I429,0)))),0)</f>
        <v>0</v>
      </c>
      <c r="L429" s="820">
        <f>IF(G429=6,F429,0)</f>
        <v>0</v>
      </c>
      <c r="P429" s="768" t="n"/>
      <c r="Q429" s="769" t="str">
        <f>IF($F429="","",IFERROR(VLOOKUP($C429&amp;"|"&amp;$D429,科目表!$A$5:$B$200,2,FALSE),"※未登録"))</f>
        <v/>
      </c>
      <c r="R429" s="769" t="str">
        <f>IF($F429="","",$I429+$J429+$K429)</f>
        <v/>
      </c>
      <c r="S429" s="769" t="str">
        <f>IF(OR($F429="",$P429="支払なし",$H429=0,$Q429=""),"",$Q429&amp;"|S|"&amp;(COUNTIF(S$4:S428,$Q429&amp;"|S|*")+1))</f>
        <v/>
      </c>
      <c r="T429" s="769" t="str">
        <f>IF(OR($F429="",$P429="支払なし",$R429=0,$Q429=""),"",$Q429&amp;"|L|"&amp;(COUNTIF(T$4:T428,$Q429&amp;"|L|*")+1))</f>
        <v/>
      </c>
      <c r="U429" s="769" t="str">
        <f>IF($F429="","",13)</f>
        <v/>
      </c>
    </row>
    <row r="430" ht="16.5" customHeight="1" s="186">
      <c r="A430" s="760" t="n"/>
      <c r="B430" s="760" t="n"/>
      <c r="C430" s="762" t="n"/>
      <c r="D430" s="762" t="n"/>
      <c r="E430" s="775" t="n"/>
      <c r="F430" s="821" t="n"/>
      <c r="G430" s="821" t="n"/>
      <c r="H430" s="818">
        <f>IF(G430=1,F430-I430-J430-K430,IF(G430=2,F430,0))</f>
        <v>0</v>
      </c>
      <c r="I430" s="818">
        <f>ROUND(IF(G430=1,F430*10/23,IF(G430=3,F430-J430-K430,IF(G430=4,F430,IF(G430=5,F430*10/11,IF(G430=7,F430*10/11,0))))),0)</f>
        <v>0</v>
      </c>
      <c r="J430" s="818">
        <f>ROUND(IF(G430=1,F430/23,IF(G430=3,F430/12,IF(G430=5,F430-I430,IF(G430=8,F430,0)))),0)</f>
        <v>0</v>
      </c>
      <c r="K430" s="819">
        <f>ROUND(IF(G430=1,F430/23,IF(G430=3,F430/12,IF(G430=6,F430,IF(G430=7,F430-I430,0)))),0)</f>
        <v>0</v>
      </c>
      <c r="L430" s="820">
        <f>IF(G430=6,F430,0)</f>
        <v>0</v>
      </c>
      <c r="P430" s="768" t="n"/>
      <c r="Q430" s="769" t="str">
        <f>IF($F430="","",IFERROR(VLOOKUP($C430&amp;"|"&amp;$D430,科目表!$A$5:$B$200,2,FALSE),"※未登録"))</f>
        <v/>
      </c>
      <c r="R430" s="769" t="str">
        <f>IF($F430="","",$I430+$J430+$K430)</f>
        <v/>
      </c>
      <c r="S430" s="769" t="str">
        <f>IF(OR($F430="",$P430="支払なし",$H430=0,$Q430=""),"",$Q430&amp;"|S|"&amp;(COUNTIF(S$4:S429,$Q430&amp;"|S|*")+1))</f>
        <v/>
      </c>
      <c r="T430" s="769" t="str">
        <f>IF(OR($F430="",$P430="支払なし",$R430=0,$Q430=""),"",$Q430&amp;"|L|"&amp;(COUNTIF(T$4:T429,$Q430&amp;"|L|*")+1))</f>
        <v/>
      </c>
      <c r="U430" s="769" t="str">
        <f>IF($F430="","",13)</f>
        <v/>
      </c>
    </row>
    <row r="431" ht="16.5" customHeight="1" s="186">
      <c r="A431" s="760" t="n"/>
      <c r="B431" s="760" t="n"/>
      <c r="C431" s="762" t="n"/>
      <c r="D431" s="762" t="n"/>
      <c r="E431" s="775" t="n"/>
      <c r="F431" s="821" t="n"/>
      <c r="G431" s="821" t="n"/>
      <c r="H431" s="818">
        <f>IF(G431=1,F431-I431-J431-K431,IF(G431=2,F431,0))</f>
        <v>0</v>
      </c>
      <c r="I431" s="818">
        <f>ROUND(IF(G431=1,F431*10/23,IF(G431=3,F431-J431-K431,IF(G431=4,F431,IF(G431=5,F431*10/11,IF(G431=7,F431*10/11,0))))),0)</f>
        <v>0</v>
      </c>
      <c r="J431" s="818">
        <f>ROUND(IF(G431=1,F431/23,IF(G431=3,F431/12,IF(G431=5,F431-I431,IF(G431=8,F431,0)))),0)</f>
        <v>0</v>
      </c>
      <c r="K431" s="819">
        <f>ROUND(IF(G431=1,F431/23,IF(G431=3,F431/12,IF(G431=6,F431,IF(G431=7,F431-I431,0)))),0)</f>
        <v>0</v>
      </c>
      <c r="L431" s="820">
        <f>IF(G431=6,F431,0)</f>
        <v>0</v>
      </c>
      <c r="P431" s="768" t="n"/>
      <c r="Q431" s="769" t="str">
        <f>IF($F431="","",IFERROR(VLOOKUP($C431&amp;"|"&amp;$D431,科目表!$A$5:$B$200,2,FALSE),"※未登録"))</f>
        <v/>
      </c>
      <c r="R431" s="769" t="str">
        <f>IF($F431="","",$I431+$J431+$K431)</f>
        <v/>
      </c>
      <c r="S431" s="769" t="str">
        <f>IF(OR($F431="",$P431="支払なし",$H431=0,$Q431=""),"",$Q431&amp;"|S|"&amp;(COUNTIF(S$4:S430,$Q431&amp;"|S|*")+1))</f>
        <v/>
      </c>
      <c r="T431" s="769" t="str">
        <f>IF(OR($F431="",$P431="支払なし",$R431=0,$Q431=""),"",$Q431&amp;"|L|"&amp;(COUNTIF(T$4:T430,$Q431&amp;"|L|*")+1))</f>
        <v/>
      </c>
      <c r="U431" s="769" t="str">
        <f>IF($F431="","",13)</f>
        <v/>
      </c>
    </row>
    <row r="432" ht="16.5" customHeight="1" s="186">
      <c r="A432" s="760" t="n"/>
      <c r="B432" s="760" t="n"/>
      <c r="C432" s="762" t="n"/>
      <c r="D432" s="762" t="n"/>
      <c r="E432" s="775" t="n"/>
      <c r="F432" s="821" t="n"/>
      <c r="G432" s="821" t="n"/>
      <c r="H432" s="818">
        <f>IF(G432=1,F432-I432-J432-K432,IF(G432=2,F432,0))</f>
        <v>0</v>
      </c>
      <c r="I432" s="818">
        <f>ROUND(IF(G432=1,F432*10/23,IF(G432=3,F432-J432-K432,IF(G432=4,F432,IF(G432=5,F432*10/11,IF(G432=7,F432*10/11,0))))),0)</f>
        <v>0</v>
      </c>
      <c r="J432" s="818">
        <f>ROUND(IF(G432=1,F432/23,IF(G432=3,F432/12,IF(G432=5,F432-I432,IF(G432=8,F432,0)))),0)</f>
        <v>0</v>
      </c>
      <c r="K432" s="819">
        <f>ROUND(IF(G432=1,F432/23,IF(G432=3,F432/12,IF(G432=6,F432,IF(G432=7,F432-I432,0)))),0)</f>
        <v>0</v>
      </c>
      <c r="L432" s="820">
        <f>IF(G432=6,F432,0)</f>
        <v>0</v>
      </c>
      <c r="P432" s="768" t="n"/>
      <c r="Q432" s="769" t="str">
        <f>IF($F432="","",IFERROR(VLOOKUP($C432&amp;"|"&amp;$D432,科目表!$A$5:$B$200,2,FALSE),"※未登録"))</f>
        <v/>
      </c>
      <c r="R432" s="769" t="str">
        <f>IF($F432="","",$I432+$J432+$K432)</f>
        <v/>
      </c>
      <c r="S432" s="769" t="str">
        <f>IF(OR($F432="",$P432="支払なし",$H432=0,$Q432=""),"",$Q432&amp;"|S|"&amp;(COUNTIF(S$4:S431,$Q432&amp;"|S|*")+1))</f>
        <v/>
      </c>
      <c r="T432" s="769" t="str">
        <f>IF(OR($F432="",$P432="支払なし",$R432=0,$Q432=""),"",$Q432&amp;"|L|"&amp;(COUNTIF(T$4:T431,$Q432&amp;"|L|*")+1))</f>
        <v/>
      </c>
      <c r="U432" s="769" t="str">
        <f>IF($F432="","",13)</f>
        <v/>
      </c>
    </row>
    <row r="433" ht="16.5" customHeight="1" s="186">
      <c r="A433" s="760" t="n"/>
      <c r="B433" s="760" t="n"/>
      <c r="C433" s="762" t="n"/>
      <c r="D433" s="762" t="n"/>
      <c r="E433" s="775" t="n"/>
      <c r="F433" s="821" t="n"/>
      <c r="G433" s="821" t="n"/>
      <c r="H433" s="818">
        <f>IF(G433=1,F433-I433-J433-K433,IF(G433=2,F433,0))</f>
        <v>0</v>
      </c>
      <c r="I433" s="818">
        <f>ROUND(IF(G433=1,F433*10/23,IF(G433=3,F433-J433-K433,IF(G433=4,F433,IF(G433=5,F433*10/11,IF(G433=7,F433*10/11,0))))),0)</f>
        <v>0</v>
      </c>
      <c r="J433" s="818">
        <f>ROUND(IF(G433=1,F433/23,IF(G433=3,F433/12,IF(G433=5,F433-I433,IF(G433=8,F433,0)))),0)</f>
        <v>0</v>
      </c>
      <c r="K433" s="819">
        <f>ROUND(IF(G433=1,F433/23,IF(G433=3,F433/12,IF(G433=6,F433,IF(G433=7,F433-I433,0)))),0)</f>
        <v>0</v>
      </c>
      <c r="L433" s="820">
        <f>IF(G433=6,F433,0)</f>
        <v>0</v>
      </c>
      <c r="P433" s="768" t="n"/>
      <c r="Q433" s="769" t="str">
        <f>IF($F433="","",IFERROR(VLOOKUP($C433&amp;"|"&amp;$D433,科目表!$A$5:$B$200,2,FALSE),"※未登録"))</f>
        <v/>
      </c>
      <c r="R433" s="769" t="str">
        <f>IF($F433="","",$I433+$J433+$K433)</f>
        <v/>
      </c>
      <c r="S433" s="769" t="str">
        <f>IF(OR($F433="",$P433="支払なし",$H433=0,$Q433=""),"",$Q433&amp;"|S|"&amp;(COUNTIF(S$4:S432,$Q433&amp;"|S|*")+1))</f>
        <v/>
      </c>
      <c r="T433" s="769" t="str">
        <f>IF(OR($F433="",$P433="支払なし",$R433=0,$Q433=""),"",$Q433&amp;"|L|"&amp;(COUNTIF(T$4:T432,$Q433&amp;"|L|*")+1))</f>
        <v/>
      </c>
      <c r="U433" s="769" t="str">
        <f>IF($F433="","",13)</f>
        <v/>
      </c>
    </row>
    <row r="434" ht="16.5" customHeight="1" s="186">
      <c r="A434" s="760" t="n"/>
      <c r="B434" s="760" t="n"/>
      <c r="C434" s="762" t="n"/>
      <c r="D434" s="762" t="n"/>
      <c r="E434" s="775" t="n"/>
      <c r="F434" s="821" t="n"/>
      <c r="G434" s="821" t="n"/>
      <c r="H434" s="818">
        <f>IF(G434=1,F434-I434-J434-K434,IF(G434=2,F434,0))</f>
        <v>0</v>
      </c>
      <c r="I434" s="818">
        <f>ROUND(IF(G434=1,F434*10/23,IF(G434=3,F434-J434-K434,IF(G434=4,F434,IF(G434=5,F434*10/11,IF(G434=7,F434*10/11,0))))),0)</f>
        <v>0</v>
      </c>
      <c r="J434" s="818">
        <f>ROUND(IF(G434=1,F434/23,IF(G434=3,F434/12,IF(G434=5,F434-I434,IF(G434=8,F434,0)))),0)</f>
        <v>0</v>
      </c>
      <c r="K434" s="819">
        <f>ROUND(IF(G434=1,F434/23,IF(G434=3,F434/12,IF(G434=6,F434,IF(G434=7,F434-I434,0)))),0)</f>
        <v>0</v>
      </c>
      <c r="L434" s="820">
        <f>IF(G434=6,F434,0)</f>
        <v>0</v>
      </c>
      <c r="P434" s="768" t="n"/>
      <c r="Q434" s="769" t="str">
        <f>IF($F434="","",IFERROR(VLOOKUP($C434&amp;"|"&amp;$D434,科目表!$A$5:$B$200,2,FALSE),"※未登録"))</f>
        <v/>
      </c>
      <c r="R434" s="769" t="str">
        <f>IF($F434="","",$I434+$J434+$K434)</f>
        <v/>
      </c>
      <c r="S434" s="769" t="str">
        <f>IF(OR($F434="",$P434="支払なし",$H434=0,$Q434=""),"",$Q434&amp;"|S|"&amp;(COUNTIF(S$4:S433,$Q434&amp;"|S|*")+1))</f>
        <v/>
      </c>
      <c r="T434" s="769" t="str">
        <f>IF(OR($F434="",$P434="支払なし",$R434=0,$Q434=""),"",$Q434&amp;"|L|"&amp;(COUNTIF(T$4:T433,$Q434&amp;"|L|*")+1))</f>
        <v/>
      </c>
      <c r="U434" s="769" t="str">
        <f>IF($F434="","",13)</f>
        <v/>
      </c>
    </row>
    <row r="435" ht="16.5" customHeight="1" s="186">
      <c r="A435" s="760" t="n"/>
      <c r="B435" s="760" t="n"/>
      <c r="C435" s="762" t="n"/>
      <c r="D435" s="762" t="n"/>
      <c r="E435" s="775" t="n"/>
      <c r="F435" s="821" t="n"/>
      <c r="G435" s="821" t="n"/>
      <c r="H435" s="818">
        <f>IF(G435=1,F435-I435-J435-K435,IF(G435=2,F435,0))</f>
        <v>0</v>
      </c>
      <c r="I435" s="818">
        <f>ROUND(IF(G435=1,F435*10/23,IF(G435=3,F435-J435-K435,IF(G435=4,F435,IF(G435=5,F435*10/11,IF(G435=7,F435*10/11,0))))),0)</f>
        <v>0</v>
      </c>
      <c r="J435" s="818">
        <f>ROUND(IF(G435=1,F435/23,IF(G435=3,F435/12,IF(G435=5,F435-I435,IF(G435=8,F435,0)))),0)</f>
        <v>0</v>
      </c>
      <c r="K435" s="819">
        <f>ROUND(IF(G435=1,F435/23,IF(G435=3,F435/12,IF(G435=6,F435,IF(G435=7,F435-I435,0)))),0)</f>
        <v>0</v>
      </c>
      <c r="L435" s="820">
        <f>IF(G435=6,F435,0)</f>
        <v>0</v>
      </c>
      <c r="P435" s="768" t="n"/>
      <c r="Q435" s="769" t="str">
        <f>IF($F435="","",IFERROR(VLOOKUP($C435&amp;"|"&amp;$D435,科目表!$A$5:$B$200,2,FALSE),"※未登録"))</f>
        <v/>
      </c>
      <c r="R435" s="769" t="str">
        <f>IF($F435="","",$I435+$J435+$K435)</f>
        <v/>
      </c>
      <c r="S435" s="769" t="str">
        <f>IF(OR($F435="",$P435="支払なし",$H435=0,$Q435=""),"",$Q435&amp;"|S|"&amp;(COUNTIF(S$4:S434,$Q435&amp;"|S|*")+1))</f>
        <v/>
      </c>
      <c r="T435" s="769" t="str">
        <f>IF(OR($F435="",$P435="支払なし",$R435=0,$Q435=""),"",$Q435&amp;"|L|"&amp;(COUNTIF(T$4:T434,$Q435&amp;"|L|*")+1))</f>
        <v/>
      </c>
      <c r="U435" s="769" t="str">
        <f>IF($F435="","",13)</f>
        <v/>
      </c>
    </row>
    <row r="436" ht="16.5" customHeight="1" s="186">
      <c r="A436" s="760" t="n"/>
      <c r="B436" s="760" t="n"/>
      <c r="C436" s="762" t="n"/>
      <c r="D436" s="762" t="n"/>
      <c r="E436" s="775" t="n"/>
      <c r="F436" s="821" t="n"/>
      <c r="G436" s="821" t="n"/>
      <c r="H436" s="818">
        <f>IF(G436=1,F436-I436-J436-K436,IF(G436=2,F436,0))</f>
        <v>0</v>
      </c>
      <c r="I436" s="818">
        <f>ROUND(IF(G436=1,F436*10/23,IF(G436=3,F436-J436-K436,IF(G436=4,F436,IF(G436=5,F436*10/11,IF(G436=7,F436*10/11,0))))),0)</f>
        <v>0</v>
      </c>
      <c r="J436" s="818">
        <f>ROUND(IF(G436=1,F436/23,IF(G436=3,F436/12,IF(G436=5,F436-I436,IF(G436=8,F436,0)))),0)</f>
        <v>0</v>
      </c>
      <c r="K436" s="819">
        <f>ROUND(IF(G436=1,F436/23,IF(G436=3,F436/12,IF(G436=6,F436,IF(G436=7,F436-I436,0)))),0)</f>
        <v>0</v>
      </c>
      <c r="L436" s="820">
        <f>IF(G436=6,F436,0)</f>
        <v>0</v>
      </c>
      <c r="P436" s="768" t="n"/>
      <c r="Q436" s="769" t="str">
        <f>IF($F436="","",IFERROR(VLOOKUP($C436&amp;"|"&amp;$D436,科目表!$A$5:$B$200,2,FALSE),"※未登録"))</f>
        <v/>
      </c>
      <c r="R436" s="769" t="str">
        <f>IF($F436="","",$I436+$J436+$K436)</f>
        <v/>
      </c>
      <c r="S436" s="769" t="str">
        <f>IF(OR($F436="",$P436="支払なし",$H436=0,$Q436=""),"",$Q436&amp;"|S|"&amp;(COUNTIF(S$4:S435,$Q436&amp;"|S|*")+1))</f>
        <v/>
      </c>
      <c r="T436" s="769" t="str">
        <f>IF(OR($F436="",$P436="支払なし",$R436=0,$Q436=""),"",$Q436&amp;"|L|"&amp;(COUNTIF(T$4:T435,$Q436&amp;"|L|*")+1))</f>
        <v/>
      </c>
      <c r="U436" s="769" t="str">
        <f>IF($F436="","",13)</f>
        <v/>
      </c>
    </row>
    <row r="437" ht="16.5" customHeight="1" s="186">
      <c r="A437" s="760" t="n"/>
      <c r="B437" s="760" t="n"/>
      <c r="C437" s="762" t="n"/>
      <c r="D437" s="762" t="n"/>
      <c r="E437" s="775" t="n"/>
      <c r="F437" s="821" t="n"/>
      <c r="G437" s="821" t="n"/>
      <c r="H437" s="818">
        <f>IF(G437=1,F437-I437-J437-K437,IF(G437=2,F437,0))</f>
        <v>0</v>
      </c>
      <c r="I437" s="818">
        <f>ROUND(IF(G437=1,F437*10/23,IF(G437=3,F437-J437-K437,IF(G437=4,F437,IF(G437=5,F437*10/11,IF(G437=7,F437*10/11,0))))),0)</f>
        <v>0</v>
      </c>
      <c r="J437" s="818">
        <f>ROUND(IF(G437=1,F437/23,IF(G437=3,F437/12,IF(G437=5,F437-I437,IF(G437=8,F437,0)))),0)</f>
        <v>0</v>
      </c>
      <c r="K437" s="819">
        <f>ROUND(IF(G437=1,F437/23,IF(G437=3,F437/12,IF(G437=6,F437,IF(G437=7,F437-I437,0)))),0)</f>
        <v>0</v>
      </c>
      <c r="L437" s="820">
        <f>IF(G437=6,F437,0)</f>
        <v>0</v>
      </c>
      <c r="P437" s="768" t="n"/>
      <c r="Q437" s="769" t="str">
        <f>IF($F437="","",IFERROR(VLOOKUP($C437&amp;"|"&amp;$D437,科目表!$A$5:$B$200,2,FALSE),"※未登録"))</f>
        <v/>
      </c>
      <c r="R437" s="769" t="str">
        <f>IF($F437="","",$I437+$J437+$K437)</f>
        <v/>
      </c>
      <c r="S437" s="769" t="str">
        <f>IF(OR($F437="",$P437="支払なし",$H437=0,$Q437=""),"",$Q437&amp;"|S|"&amp;(COUNTIF(S$4:S436,$Q437&amp;"|S|*")+1))</f>
        <v/>
      </c>
      <c r="T437" s="769" t="str">
        <f>IF(OR($F437="",$P437="支払なし",$R437=0,$Q437=""),"",$Q437&amp;"|L|"&amp;(COUNTIF(T$4:T436,$Q437&amp;"|L|*")+1))</f>
        <v/>
      </c>
      <c r="U437" s="769" t="str">
        <f>IF($F437="","",13)</f>
        <v/>
      </c>
    </row>
    <row r="438" ht="16.5" customHeight="1" s="186">
      <c r="A438" s="760" t="n"/>
      <c r="B438" s="760" t="n"/>
      <c r="C438" s="762" t="n"/>
      <c r="D438" s="762" t="n"/>
      <c r="E438" s="775" t="n"/>
      <c r="F438" s="821" t="n"/>
      <c r="G438" s="821" t="n"/>
      <c r="H438" s="818">
        <f>IF(G438=1,F438-I438-J438-K438,IF(G438=2,F438,0))</f>
        <v>0</v>
      </c>
      <c r="I438" s="818">
        <f>ROUND(IF(G438=1,F438*10/23,IF(G438=3,F438-J438-K438,IF(G438=4,F438,IF(G438=5,F438*10/11,IF(G438=7,F438*10/11,0))))),0)</f>
        <v>0</v>
      </c>
      <c r="J438" s="818">
        <f>ROUND(IF(G438=1,F438/23,IF(G438=3,F438/12,IF(G438=5,F438-I438,IF(G438=8,F438,0)))),0)</f>
        <v>0</v>
      </c>
      <c r="K438" s="819">
        <f>ROUND(IF(G438=1,F438/23,IF(G438=3,F438/12,IF(G438=6,F438,IF(G438=7,F438-I438,0)))),0)</f>
        <v>0</v>
      </c>
      <c r="L438" s="820">
        <f>IF(G438=6,F438,0)</f>
        <v>0</v>
      </c>
      <c r="P438" s="768" t="n"/>
      <c r="Q438" s="769" t="str">
        <f>IF($F438="","",IFERROR(VLOOKUP($C438&amp;"|"&amp;$D438,科目表!$A$5:$B$200,2,FALSE),"※未登録"))</f>
        <v/>
      </c>
      <c r="R438" s="769" t="str">
        <f>IF($F438="","",$I438+$J438+$K438)</f>
        <v/>
      </c>
      <c r="S438" s="769" t="str">
        <f>IF(OR($F438="",$P438="支払なし",$H438=0,$Q438=""),"",$Q438&amp;"|S|"&amp;(COUNTIF(S$4:S437,$Q438&amp;"|S|*")+1))</f>
        <v/>
      </c>
      <c r="T438" s="769" t="str">
        <f>IF(OR($F438="",$P438="支払なし",$R438=0,$Q438=""),"",$Q438&amp;"|L|"&amp;(COUNTIF(T$4:T437,$Q438&amp;"|L|*")+1))</f>
        <v/>
      </c>
      <c r="U438" s="769" t="str">
        <f>IF($F438="","",13)</f>
        <v/>
      </c>
    </row>
    <row r="439" ht="16.5" customHeight="1" s="186">
      <c r="A439" s="760" t="n"/>
      <c r="B439" s="760" t="n"/>
      <c r="C439" s="762" t="n"/>
      <c r="D439" s="762" t="n"/>
      <c r="E439" s="775" t="n"/>
      <c r="F439" s="821" t="n"/>
      <c r="G439" s="821" t="n"/>
      <c r="H439" s="818">
        <f>IF(G439=1,F439-I439-J439-K439,IF(G439=2,F439,0))</f>
        <v>0</v>
      </c>
      <c r="I439" s="818">
        <f>ROUND(IF(G439=1,F439*10/23,IF(G439=3,F439-J439-K439,IF(G439=4,F439,IF(G439=5,F439*10/11,IF(G439=7,F439*10/11,0))))),0)</f>
        <v>0</v>
      </c>
      <c r="J439" s="818">
        <f>ROUND(IF(G439=1,F439/23,IF(G439=3,F439/12,IF(G439=5,F439-I439,IF(G439=8,F439,0)))),0)</f>
        <v>0</v>
      </c>
      <c r="K439" s="819">
        <f>ROUND(IF(G439=1,F439/23,IF(G439=3,F439/12,IF(G439=6,F439,IF(G439=7,F439-I439,0)))),0)</f>
        <v>0</v>
      </c>
      <c r="L439" s="820">
        <f>IF(G439=6,F439,0)</f>
        <v>0</v>
      </c>
      <c r="P439" s="768" t="n"/>
      <c r="Q439" s="769" t="str">
        <f>IF($F439="","",IFERROR(VLOOKUP($C439&amp;"|"&amp;$D439,科目表!$A$5:$B$200,2,FALSE),"※未登録"))</f>
        <v/>
      </c>
      <c r="R439" s="769" t="str">
        <f>IF($F439="","",$I439+$J439+$K439)</f>
        <v/>
      </c>
      <c r="S439" s="769" t="str">
        <f>IF(OR($F439="",$P439="支払なし",$H439=0,$Q439=""),"",$Q439&amp;"|S|"&amp;(COUNTIF(S$4:S438,$Q439&amp;"|S|*")+1))</f>
        <v/>
      </c>
      <c r="T439" s="769" t="str">
        <f>IF(OR($F439="",$P439="支払なし",$R439=0,$Q439=""),"",$Q439&amp;"|L|"&amp;(COUNTIF(T$4:T438,$Q439&amp;"|L|*")+1))</f>
        <v/>
      </c>
      <c r="U439" s="769" t="str">
        <f>IF($F439="","",13)</f>
        <v/>
      </c>
    </row>
    <row r="440" ht="16.5" customHeight="1" s="186">
      <c r="A440" s="760" t="n"/>
      <c r="B440" s="760" t="n"/>
      <c r="C440" s="762" t="n"/>
      <c r="D440" s="762" t="n"/>
      <c r="E440" s="775" t="n"/>
      <c r="F440" s="821" t="n"/>
      <c r="G440" s="821" t="n"/>
      <c r="H440" s="818">
        <f>IF(G440=1,F440-I440-J440-K440,IF(G440=2,F440,0))</f>
        <v>0</v>
      </c>
      <c r="I440" s="818">
        <f>ROUND(IF(G440=1,F440*10/23,IF(G440=3,F440-J440-K440,IF(G440=4,F440,IF(G440=5,F440*10/11,IF(G440=7,F440*10/11,0))))),0)</f>
        <v>0</v>
      </c>
      <c r="J440" s="818">
        <f>ROUND(IF(G440=1,F440/23,IF(G440=3,F440/12,IF(G440=5,F440-I440,IF(G440=8,F440,0)))),0)</f>
        <v>0</v>
      </c>
      <c r="K440" s="819">
        <f>ROUND(IF(G440=1,F440/23,IF(G440=3,F440/12,IF(G440=6,F440,IF(G440=7,F440-I440,0)))),0)</f>
        <v>0</v>
      </c>
      <c r="L440" s="820">
        <f>IF(G440=6,F440,0)</f>
        <v>0</v>
      </c>
      <c r="P440" s="768" t="n"/>
      <c r="Q440" s="769" t="str">
        <f>IF($F440="","",IFERROR(VLOOKUP($C440&amp;"|"&amp;$D440,科目表!$A$5:$B$200,2,FALSE),"※未登録"))</f>
        <v/>
      </c>
      <c r="R440" s="769" t="str">
        <f>IF($F440="","",$I440+$J440+$K440)</f>
        <v/>
      </c>
      <c r="S440" s="769" t="str">
        <f>IF(OR($F440="",$P440="支払なし",$H440=0,$Q440=""),"",$Q440&amp;"|S|"&amp;(COUNTIF(S$4:S439,$Q440&amp;"|S|*")+1))</f>
        <v/>
      </c>
      <c r="T440" s="769" t="str">
        <f>IF(OR($F440="",$P440="支払なし",$R440=0,$Q440=""),"",$Q440&amp;"|L|"&amp;(COUNTIF(T$4:T439,$Q440&amp;"|L|*")+1))</f>
        <v/>
      </c>
      <c r="U440" s="769" t="str">
        <f>IF($F440="","",13)</f>
        <v/>
      </c>
    </row>
    <row r="441" ht="16.5" customHeight="1" s="186">
      <c r="A441" s="760" t="n"/>
      <c r="B441" s="760" t="n"/>
      <c r="C441" s="762" t="n"/>
      <c r="D441" s="762" t="n"/>
      <c r="E441" s="775" t="n"/>
      <c r="F441" s="821" t="n"/>
      <c r="G441" s="821" t="n"/>
      <c r="H441" s="818">
        <f>IF(G441=1,F441-I441-J441-K441,IF(G441=2,F441,0))</f>
        <v>0</v>
      </c>
      <c r="I441" s="818">
        <f>ROUND(IF(G441=1,F441*10/23,IF(G441=3,F441-J441-K441,IF(G441=4,F441,IF(G441=5,F441*10/11,IF(G441=7,F441*10/11,0))))),0)</f>
        <v>0</v>
      </c>
      <c r="J441" s="818">
        <f>ROUND(IF(G441=1,F441/23,IF(G441=3,F441/12,IF(G441=5,F441-I441,IF(G441=8,F441,0)))),0)</f>
        <v>0</v>
      </c>
      <c r="K441" s="819">
        <f>ROUND(IF(G441=1,F441/23,IF(G441=3,F441/12,IF(G441=6,F441,IF(G441=7,F441-I441,0)))),0)</f>
        <v>0</v>
      </c>
      <c r="L441" s="820">
        <f>IF(G441=6,F441,0)</f>
        <v>0</v>
      </c>
      <c r="P441" s="768" t="n"/>
      <c r="Q441" s="769" t="str">
        <f>IF($F441="","",IFERROR(VLOOKUP($C441&amp;"|"&amp;$D441,科目表!$A$5:$B$200,2,FALSE),"※未登録"))</f>
        <v/>
      </c>
      <c r="R441" s="769" t="str">
        <f>IF($F441="","",$I441+$J441+$K441)</f>
        <v/>
      </c>
      <c r="S441" s="769" t="str">
        <f>IF(OR($F441="",$P441="支払なし",$H441=0,$Q441=""),"",$Q441&amp;"|S|"&amp;(COUNTIF(S$4:S440,$Q441&amp;"|S|*")+1))</f>
        <v/>
      </c>
      <c r="T441" s="769" t="str">
        <f>IF(OR($F441="",$P441="支払なし",$R441=0,$Q441=""),"",$Q441&amp;"|L|"&amp;(COUNTIF(T$4:T440,$Q441&amp;"|L|*")+1))</f>
        <v/>
      </c>
      <c r="U441" s="769" t="str">
        <f>IF($F441="","",13)</f>
        <v/>
      </c>
    </row>
    <row r="442" ht="16.5" customHeight="1" s="186">
      <c r="A442" s="760" t="n"/>
      <c r="B442" s="760" t="n"/>
      <c r="C442" s="762" t="n"/>
      <c r="D442" s="762" t="n"/>
      <c r="E442" s="775" t="n"/>
      <c r="F442" s="821" t="n"/>
      <c r="G442" s="821" t="n"/>
      <c r="H442" s="818">
        <f>IF(G442=1,F442-I442-J442-K442,IF(G442=2,F442,0))</f>
        <v>0</v>
      </c>
      <c r="I442" s="818">
        <f>ROUND(IF(G442=1,F442*10/23,IF(G442=3,F442-J442-K442,IF(G442=4,F442,IF(G442=5,F442*10/11,IF(G442=7,F442*10/11,0))))),0)</f>
        <v>0</v>
      </c>
      <c r="J442" s="818">
        <f>ROUND(IF(G442=1,F442/23,IF(G442=3,F442/12,IF(G442=5,F442-I442,IF(G442=8,F442,0)))),0)</f>
        <v>0</v>
      </c>
      <c r="K442" s="819">
        <f>ROUND(IF(G442=1,F442/23,IF(G442=3,F442/12,IF(G442=6,F442,IF(G442=7,F442-I442,0)))),0)</f>
        <v>0</v>
      </c>
      <c r="L442" s="820">
        <f>IF(G442=6,F442,0)</f>
        <v>0</v>
      </c>
      <c r="P442" s="768" t="n"/>
      <c r="Q442" s="769" t="str">
        <f>IF($F442="","",IFERROR(VLOOKUP($C442&amp;"|"&amp;$D442,科目表!$A$5:$B$200,2,FALSE),"※未登録"))</f>
        <v/>
      </c>
      <c r="R442" s="769" t="str">
        <f>IF($F442="","",$I442+$J442+$K442)</f>
        <v/>
      </c>
      <c r="S442" s="769" t="str">
        <f>IF(OR($F442="",$P442="支払なし",$H442=0,$Q442=""),"",$Q442&amp;"|S|"&amp;(COUNTIF(S$4:S441,$Q442&amp;"|S|*")+1))</f>
        <v/>
      </c>
      <c r="T442" s="769" t="str">
        <f>IF(OR($F442="",$P442="支払なし",$R442=0,$Q442=""),"",$Q442&amp;"|L|"&amp;(COUNTIF(T$4:T441,$Q442&amp;"|L|*")+1))</f>
        <v/>
      </c>
      <c r="U442" s="769" t="str">
        <f>IF($F442="","",13)</f>
        <v/>
      </c>
    </row>
    <row r="443" ht="16.5" customHeight="1" s="186">
      <c r="A443" s="760" t="n"/>
      <c r="B443" s="760" t="n"/>
      <c r="C443" s="762" t="n"/>
      <c r="D443" s="762" t="n"/>
      <c r="E443" s="775" t="n"/>
      <c r="F443" s="821" t="n"/>
      <c r="G443" s="821" t="n"/>
      <c r="H443" s="818">
        <f>IF(G443=1,F443-I443-J443-K443,IF(G443=2,F443,0))</f>
        <v>0</v>
      </c>
      <c r="I443" s="818">
        <f>ROUND(IF(G443=1,F443*10/23,IF(G443=3,F443-J443-K443,IF(G443=4,F443,IF(G443=5,F443*10/11,IF(G443=7,F443*10/11,0))))),0)</f>
        <v>0</v>
      </c>
      <c r="J443" s="818">
        <f>ROUND(IF(G443=1,F443/23,IF(G443=3,F443/12,IF(G443=5,F443-I443,IF(G443=8,F443,0)))),0)</f>
        <v>0</v>
      </c>
      <c r="K443" s="819">
        <f>ROUND(IF(G443=1,F443/23,IF(G443=3,F443/12,IF(G443=6,F443,IF(G443=7,F443-I443,0)))),0)</f>
        <v>0</v>
      </c>
      <c r="L443" s="820">
        <f>IF(G443=6,F443,0)</f>
        <v>0</v>
      </c>
      <c r="P443" s="768" t="n"/>
      <c r="Q443" s="769" t="str">
        <f>IF($F443="","",IFERROR(VLOOKUP($C443&amp;"|"&amp;$D443,科目表!$A$5:$B$200,2,FALSE),"※未登録"))</f>
        <v/>
      </c>
      <c r="R443" s="769" t="str">
        <f>IF($F443="","",$I443+$J443+$K443)</f>
        <v/>
      </c>
      <c r="S443" s="769" t="str">
        <f>IF(OR($F443="",$P443="支払なし",$H443=0,$Q443=""),"",$Q443&amp;"|S|"&amp;(COUNTIF(S$4:S442,$Q443&amp;"|S|*")+1))</f>
        <v/>
      </c>
      <c r="T443" s="769" t="str">
        <f>IF(OR($F443="",$P443="支払なし",$R443=0,$Q443=""),"",$Q443&amp;"|L|"&amp;(COUNTIF(T$4:T442,$Q443&amp;"|L|*")+1))</f>
        <v/>
      </c>
      <c r="U443" s="769" t="str">
        <f>IF($F443="","",13)</f>
        <v/>
      </c>
    </row>
    <row r="444" ht="16.5" customHeight="1" s="186">
      <c r="A444" s="760" t="n"/>
      <c r="B444" s="760" t="n"/>
      <c r="C444" s="762" t="n"/>
      <c r="D444" s="762" t="n"/>
      <c r="E444" s="775" t="n"/>
      <c r="F444" s="821" t="n"/>
      <c r="G444" s="821" t="n"/>
      <c r="H444" s="818">
        <f>IF(G444=1,F444-I444-J444-K444,IF(G444=2,F444,0))</f>
        <v>0</v>
      </c>
      <c r="I444" s="818">
        <f>ROUND(IF(G444=1,F444*10/23,IF(G444=3,F444-J444-K444,IF(G444=4,F444,IF(G444=5,F444*10/11,IF(G444=7,F444*10/11,0))))),0)</f>
        <v>0</v>
      </c>
      <c r="J444" s="818">
        <f>ROUND(IF(G444=1,F444/23,IF(G444=3,F444/12,IF(G444=5,F444-I444,IF(G444=8,F444,0)))),0)</f>
        <v>0</v>
      </c>
      <c r="K444" s="819">
        <f>ROUND(IF(G444=1,F444/23,IF(G444=3,F444/12,IF(G444=6,F444,IF(G444=7,F444-I444,0)))),0)</f>
        <v>0</v>
      </c>
      <c r="L444" s="820">
        <f>IF(G444=6,F444,0)</f>
        <v>0</v>
      </c>
      <c r="P444" s="768" t="n"/>
      <c r="Q444" s="769" t="str">
        <f>IF($F444="","",IFERROR(VLOOKUP($C444&amp;"|"&amp;$D444,科目表!$A$5:$B$200,2,FALSE),"※未登録"))</f>
        <v/>
      </c>
      <c r="R444" s="769" t="str">
        <f>IF($F444="","",$I444+$J444+$K444)</f>
        <v/>
      </c>
      <c r="S444" s="769" t="str">
        <f>IF(OR($F444="",$P444="支払なし",$H444=0,$Q444=""),"",$Q444&amp;"|S|"&amp;(COUNTIF(S$4:S443,$Q444&amp;"|S|*")+1))</f>
        <v/>
      </c>
      <c r="T444" s="769" t="str">
        <f>IF(OR($F444="",$P444="支払なし",$R444=0,$Q444=""),"",$Q444&amp;"|L|"&amp;(COUNTIF(T$4:T443,$Q444&amp;"|L|*")+1))</f>
        <v/>
      </c>
      <c r="U444" s="769" t="str">
        <f>IF($F444="","",13)</f>
        <v/>
      </c>
    </row>
    <row r="445" ht="16.5" customHeight="1" s="186">
      <c r="A445" s="760" t="n"/>
      <c r="B445" s="760" t="n"/>
      <c r="C445" s="762" t="n"/>
      <c r="D445" s="762" t="n"/>
      <c r="E445" s="775" t="n"/>
      <c r="F445" s="821" t="n"/>
      <c r="G445" s="821" t="n"/>
      <c r="H445" s="818">
        <f>IF(G445=1,F445-I445-J445-K445,IF(G445=2,F445,0))</f>
        <v>0</v>
      </c>
      <c r="I445" s="818">
        <f>ROUND(IF(G445=1,F445*10/23,IF(G445=3,F445-J445-K445,IF(G445=4,F445,IF(G445=5,F445*10/11,IF(G445=7,F445*10/11,0))))),0)</f>
        <v>0</v>
      </c>
      <c r="J445" s="818">
        <f>ROUND(IF(G445=1,F445/23,IF(G445=3,F445/12,IF(G445=5,F445-I445,IF(G445=8,F445,0)))),0)</f>
        <v>0</v>
      </c>
      <c r="K445" s="819">
        <f>ROUND(IF(G445=1,F445/23,IF(G445=3,F445/12,IF(G445=6,F445,IF(G445=7,F445-I445,0)))),0)</f>
        <v>0</v>
      </c>
      <c r="L445" s="820">
        <f>IF(G445=6,F445,0)</f>
        <v>0</v>
      </c>
      <c r="P445" s="768" t="n"/>
      <c r="Q445" s="769" t="str">
        <f>IF($F445="","",IFERROR(VLOOKUP($C445&amp;"|"&amp;$D445,科目表!$A$5:$B$200,2,FALSE),"※未登録"))</f>
        <v/>
      </c>
      <c r="R445" s="769" t="str">
        <f>IF($F445="","",$I445+$J445+$K445)</f>
        <v/>
      </c>
      <c r="S445" s="769" t="str">
        <f>IF(OR($F445="",$P445="支払なし",$H445=0,$Q445=""),"",$Q445&amp;"|S|"&amp;(COUNTIF(S$4:S444,$Q445&amp;"|S|*")+1))</f>
        <v/>
      </c>
      <c r="T445" s="769" t="str">
        <f>IF(OR($F445="",$P445="支払なし",$R445=0,$Q445=""),"",$Q445&amp;"|L|"&amp;(COUNTIF(T$4:T444,$Q445&amp;"|L|*")+1))</f>
        <v/>
      </c>
      <c r="U445" s="769" t="str">
        <f>IF($F445="","",13)</f>
        <v/>
      </c>
    </row>
    <row r="446" ht="16.5" customHeight="1" s="186">
      <c r="A446" s="760" t="n"/>
      <c r="B446" s="760" t="n"/>
      <c r="C446" s="762" t="n"/>
      <c r="D446" s="762" t="n"/>
      <c r="E446" s="775" t="n"/>
      <c r="F446" s="821" t="n"/>
      <c r="G446" s="821" t="n"/>
      <c r="H446" s="818">
        <f>IF(G446=1,F446-I446-J446-K446,IF(G446=2,F446,0))</f>
        <v>0</v>
      </c>
      <c r="I446" s="818">
        <f>ROUND(IF(G446=1,F446*10/23,IF(G446=3,F446-J446-K446,IF(G446=4,F446,IF(G446=5,F446*10/11,IF(G446=7,F446*10/11,0))))),0)</f>
        <v>0</v>
      </c>
      <c r="J446" s="818">
        <f>ROUND(IF(G446=1,F446/23,IF(G446=3,F446/12,IF(G446=5,F446-I446,IF(G446=8,F446,0)))),0)</f>
        <v>0</v>
      </c>
      <c r="K446" s="819">
        <f>ROUND(IF(G446=1,F446/23,IF(G446=3,F446/12,IF(G446=6,F446,IF(G446=7,F446-I446,0)))),0)</f>
        <v>0</v>
      </c>
      <c r="L446" s="820">
        <f>IF(G446=6,F446,0)</f>
        <v>0</v>
      </c>
      <c r="P446" s="768" t="n"/>
      <c r="Q446" s="769" t="str">
        <f>IF($F446="","",IFERROR(VLOOKUP($C446&amp;"|"&amp;$D446,科目表!$A$5:$B$200,2,FALSE),"※未登録"))</f>
        <v/>
      </c>
      <c r="R446" s="769" t="str">
        <f>IF($F446="","",$I446+$J446+$K446)</f>
        <v/>
      </c>
      <c r="S446" s="769" t="str">
        <f>IF(OR($F446="",$P446="支払なし",$H446=0,$Q446=""),"",$Q446&amp;"|S|"&amp;(COUNTIF(S$4:S445,$Q446&amp;"|S|*")+1))</f>
        <v/>
      </c>
      <c r="T446" s="769" t="str">
        <f>IF(OR($F446="",$P446="支払なし",$R446=0,$Q446=""),"",$Q446&amp;"|L|"&amp;(COUNTIF(T$4:T445,$Q446&amp;"|L|*")+1))</f>
        <v/>
      </c>
      <c r="U446" s="769" t="str">
        <f>IF($F446="","",13)</f>
        <v/>
      </c>
    </row>
    <row r="447" ht="16.5" customHeight="1" s="186">
      <c r="A447" s="760" t="n"/>
      <c r="B447" s="760" t="n"/>
      <c r="C447" s="762" t="n"/>
      <c r="D447" s="762" t="n"/>
      <c r="E447" s="775" t="n"/>
      <c r="F447" s="821" t="n"/>
      <c r="G447" s="821" t="n"/>
      <c r="H447" s="818">
        <f>IF(G447=1,F447-I447-J447-K447,IF(G447=2,F447,0))</f>
        <v>0</v>
      </c>
      <c r="I447" s="818">
        <f>ROUND(IF(G447=1,F447*10/23,IF(G447=3,F447-J447-K447,IF(G447=4,F447,IF(G447=5,F447*10/11,IF(G447=7,F447*10/11,0))))),0)</f>
        <v>0</v>
      </c>
      <c r="J447" s="818">
        <f>ROUND(IF(G447=1,F447/23,IF(G447=3,F447/12,IF(G447=5,F447-I447,IF(G447=8,F447,0)))),0)</f>
        <v>0</v>
      </c>
      <c r="K447" s="819">
        <f>ROUND(IF(G447=1,F447/23,IF(G447=3,F447/12,IF(G447=6,F447,IF(G447=7,F447-I447,0)))),0)</f>
        <v>0</v>
      </c>
      <c r="L447" s="820">
        <f>IF(G447=6,F447,0)</f>
        <v>0</v>
      </c>
      <c r="P447" s="768" t="n"/>
      <c r="Q447" s="769" t="str">
        <f>IF($F447="","",IFERROR(VLOOKUP($C447&amp;"|"&amp;$D447,科目表!$A$5:$B$200,2,FALSE),"※未登録"))</f>
        <v/>
      </c>
      <c r="R447" s="769" t="str">
        <f>IF($F447="","",$I447+$J447+$K447)</f>
        <v/>
      </c>
      <c r="S447" s="769" t="str">
        <f>IF(OR($F447="",$P447="支払なし",$H447=0,$Q447=""),"",$Q447&amp;"|S|"&amp;(COUNTIF(S$4:S446,$Q447&amp;"|S|*")+1))</f>
        <v/>
      </c>
      <c r="T447" s="769" t="str">
        <f>IF(OR($F447="",$P447="支払なし",$R447=0,$Q447=""),"",$Q447&amp;"|L|"&amp;(COUNTIF(T$4:T446,$Q447&amp;"|L|*")+1))</f>
        <v/>
      </c>
      <c r="U447" s="769" t="str">
        <f>IF($F447="","",13)</f>
        <v/>
      </c>
    </row>
    <row r="448" ht="16.5" customHeight="1" s="186">
      <c r="A448" s="760" t="n"/>
      <c r="B448" s="760" t="n"/>
      <c r="C448" s="762" t="n"/>
      <c r="D448" s="762" t="n"/>
      <c r="E448" s="775" t="n"/>
      <c r="F448" s="821" t="n"/>
      <c r="G448" s="821" t="n"/>
      <c r="H448" s="818">
        <f>IF(G448=1,F448-I448-J448-K448,IF(G448=2,F448,0))</f>
        <v>0</v>
      </c>
      <c r="I448" s="818">
        <f>ROUND(IF(G448=1,F448*10/23,IF(G448=3,F448-J448-K448,IF(G448=4,F448,IF(G448=5,F448*10/11,IF(G448=7,F448*10/11,0))))),0)</f>
        <v>0</v>
      </c>
      <c r="J448" s="818">
        <f>ROUND(IF(G448=1,F448/23,IF(G448=3,F448/12,IF(G448=5,F448-I448,IF(G448=8,F448,0)))),0)</f>
        <v>0</v>
      </c>
      <c r="K448" s="819">
        <f>ROUND(IF(G448=1,F448/23,IF(G448=3,F448/12,IF(G448=6,F448,IF(G448=7,F448-I448,0)))),0)</f>
        <v>0</v>
      </c>
      <c r="L448" s="820">
        <f>IF(G448=6,F448,0)</f>
        <v>0</v>
      </c>
      <c r="P448" s="768" t="n"/>
      <c r="Q448" s="769" t="str">
        <f>IF($F448="","",IFERROR(VLOOKUP($C448&amp;"|"&amp;$D448,科目表!$A$5:$B$200,2,FALSE),"※未登録"))</f>
        <v/>
      </c>
      <c r="R448" s="769" t="str">
        <f>IF($F448="","",$I448+$J448+$K448)</f>
        <v/>
      </c>
      <c r="S448" s="769" t="str">
        <f>IF(OR($F448="",$P448="支払なし",$H448=0,$Q448=""),"",$Q448&amp;"|S|"&amp;(COUNTIF(S$4:S447,$Q448&amp;"|S|*")+1))</f>
        <v/>
      </c>
      <c r="T448" s="769" t="str">
        <f>IF(OR($F448="",$P448="支払なし",$R448=0,$Q448=""),"",$Q448&amp;"|L|"&amp;(COUNTIF(T$4:T447,$Q448&amp;"|L|*")+1))</f>
        <v/>
      </c>
      <c r="U448" s="769" t="str">
        <f>IF($F448="","",13)</f>
        <v/>
      </c>
    </row>
    <row r="449" ht="16.5" customHeight="1" s="186">
      <c r="A449" s="760" t="n"/>
      <c r="B449" s="760" t="n"/>
      <c r="C449" s="762" t="n"/>
      <c r="D449" s="762" t="n"/>
      <c r="E449" s="775" t="n"/>
      <c r="F449" s="821" t="n"/>
      <c r="G449" s="821" t="n"/>
      <c r="H449" s="818">
        <f>IF(G449=1,F449-I449-J449-K449,IF(G449=2,F449,0))</f>
        <v>0</v>
      </c>
      <c r="I449" s="818">
        <f>ROUND(IF(G449=1,F449*10/23,IF(G449=3,F449-J449-K449,IF(G449=4,F449,IF(G449=5,F449*10/11,IF(G449=7,F449*10/11,0))))),0)</f>
        <v>0</v>
      </c>
      <c r="J449" s="818">
        <f>ROUND(IF(G449=1,F449/23,IF(G449=3,F449/12,IF(G449=5,F449-I449,IF(G449=8,F449,0)))),0)</f>
        <v>0</v>
      </c>
      <c r="K449" s="819">
        <f>ROUND(IF(G449=1,F449/23,IF(G449=3,F449/12,IF(G449=6,F449,IF(G449=7,F449-I449,0)))),0)</f>
        <v>0</v>
      </c>
      <c r="L449" s="820">
        <f>IF(G449=6,F449,0)</f>
        <v>0</v>
      </c>
      <c r="P449" s="768" t="n"/>
      <c r="Q449" s="769" t="str">
        <f>IF($F449="","",IFERROR(VLOOKUP($C449&amp;"|"&amp;$D449,科目表!$A$5:$B$200,2,FALSE),"※未登録"))</f>
        <v/>
      </c>
      <c r="R449" s="769" t="str">
        <f>IF($F449="","",$I449+$J449+$K449)</f>
        <v/>
      </c>
      <c r="S449" s="769" t="str">
        <f>IF(OR($F449="",$P449="支払なし",$H449=0,$Q449=""),"",$Q449&amp;"|S|"&amp;(COUNTIF(S$4:S448,$Q449&amp;"|S|*")+1))</f>
        <v/>
      </c>
      <c r="T449" s="769" t="str">
        <f>IF(OR($F449="",$P449="支払なし",$R449=0,$Q449=""),"",$Q449&amp;"|L|"&amp;(COUNTIF(T$4:T448,$Q449&amp;"|L|*")+1))</f>
        <v/>
      </c>
      <c r="U449" s="769" t="str">
        <f>IF($F449="","",13)</f>
        <v/>
      </c>
    </row>
    <row r="450" ht="16.5" customHeight="1" s="186">
      <c r="A450" s="760" t="n"/>
      <c r="B450" s="760" t="n"/>
      <c r="C450" s="762" t="n"/>
      <c r="D450" s="762" t="n"/>
      <c r="E450" s="775" t="n"/>
      <c r="F450" s="821" t="n"/>
      <c r="G450" s="821" t="n"/>
      <c r="H450" s="818">
        <f>IF(G450=1,F450-I450-J450-K450,IF(G450=2,F450,0))</f>
        <v>0</v>
      </c>
      <c r="I450" s="818">
        <f>ROUND(IF(G450=1,F450*10/23,IF(G450=3,F450-J450-K450,IF(G450=4,F450,IF(G450=5,F450*10/11,IF(G450=7,F450*10/11,0))))),0)</f>
        <v>0</v>
      </c>
      <c r="J450" s="818">
        <f>ROUND(IF(G450=1,F450/23,IF(G450=3,F450/12,IF(G450=5,F450-I450,IF(G450=8,F450,0)))),0)</f>
        <v>0</v>
      </c>
      <c r="K450" s="819">
        <f>ROUND(IF(G450=1,F450/23,IF(G450=3,F450/12,IF(G450=6,F450,IF(G450=7,F450-I450,0)))),0)</f>
        <v>0</v>
      </c>
      <c r="L450" s="820">
        <f>IF(G450=6,F450,0)</f>
        <v>0</v>
      </c>
      <c r="P450" s="768" t="n"/>
      <c r="Q450" s="769" t="str">
        <f>IF($F450="","",IFERROR(VLOOKUP($C450&amp;"|"&amp;$D450,科目表!$A$5:$B$200,2,FALSE),"※未登録"))</f>
        <v/>
      </c>
      <c r="R450" s="769" t="str">
        <f>IF($F450="","",$I450+$J450+$K450)</f>
        <v/>
      </c>
      <c r="S450" s="769" t="str">
        <f>IF(OR($F450="",$P450="支払なし",$H450=0,$Q450=""),"",$Q450&amp;"|S|"&amp;(COUNTIF(S$4:S449,$Q450&amp;"|S|*")+1))</f>
        <v/>
      </c>
      <c r="T450" s="769" t="str">
        <f>IF(OR($F450="",$P450="支払なし",$R450=0,$Q450=""),"",$Q450&amp;"|L|"&amp;(COUNTIF(T$4:T449,$Q450&amp;"|L|*")+1))</f>
        <v/>
      </c>
      <c r="U450" s="769" t="str">
        <f>IF($F450="","",13)</f>
        <v/>
      </c>
    </row>
    <row r="451" ht="16.5" customHeight="1" s="186">
      <c r="A451" s="760" t="n"/>
      <c r="B451" s="760" t="n"/>
      <c r="C451" s="762" t="n"/>
      <c r="D451" s="762" t="n"/>
      <c r="E451" s="775" t="n"/>
      <c r="F451" s="821" t="n"/>
      <c r="G451" s="821" t="n"/>
      <c r="H451" s="818">
        <f>IF(G451=1,F451-I451-J451-K451,IF(G451=2,F451,0))</f>
        <v>0</v>
      </c>
      <c r="I451" s="818">
        <f>ROUND(IF(G451=1,F451*10/23,IF(G451=3,F451-J451-K451,IF(G451=4,F451,IF(G451=5,F451*10/11,IF(G451=7,F451*10/11,0))))),0)</f>
        <v>0</v>
      </c>
      <c r="J451" s="818">
        <f>ROUND(IF(G451=1,F451/23,IF(G451=3,F451/12,IF(G451=5,F451-I451,IF(G451=8,F451,0)))),0)</f>
        <v>0</v>
      </c>
      <c r="K451" s="819">
        <f>ROUND(IF(G451=1,F451/23,IF(G451=3,F451/12,IF(G451=6,F451,IF(G451=7,F451-I451,0)))),0)</f>
        <v>0</v>
      </c>
      <c r="L451" s="820">
        <f>IF(G451=6,F451,0)</f>
        <v>0</v>
      </c>
      <c r="P451" s="768" t="n"/>
      <c r="Q451" s="769" t="str">
        <f>IF($F451="","",IFERROR(VLOOKUP($C451&amp;"|"&amp;$D451,科目表!$A$5:$B$200,2,FALSE),"※未登録"))</f>
        <v/>
      </c>
      <c r="R451" s="769" t="str">
        <f>IF($F451="","",$I451+$J451+$K451)</f>
        <v/>
      </c>
      <c r="S451" s="769" t="str">
        <f>IF(OR($F451="",$P451="支払なし",$H451=0,$Q451=""),"",$Q451&amp;"|S|"&amp;(COUNTIF(S$4:S450,$Q451&amp;"|S|*")+1))</f>
        <v/>
      </c>
      <c r="T451" s="769" t="str">
        <f>IF(OR($F451="",$P451="支払なし",$R451=0,$Q451=""),"",$Q451&amp;"|L|"&amp;(COUNTIF(T$4:T450,$Q451&amp;"|L|*")+1))</f>
        <v/>
      </c>
      <c r="U451" s="769" t="str">
        <f>IF($F451="","",13)</f>
        <v/>
      </c>
    </row>
    <row r="452" ht="16.5" customHeight="1" s="186">
      <c r="A452" s="760" t="n"/>
      <c r="B452" s="760" t="n"/>
      <c r="C452" s="762" t="n"/>
      <c r="D452" s="762" t="n"/>
      <c r="E452" s="775" t="n"/>
      <c r="F452" s="821" t="n"/>
      <c r="G452" s="821" t="n"/>
      <c r="H452" s="818">
        <f>IF(G452=1,F452-I452-J452-K452,IF(G452=2,F452,0))</f>
        <v>0</v>
      </c>
      <c r="I452" s="818">
        <f>ROUND(IF(G452=1,F452*10/23,IF(G452=3,F452-J452-K452,IF(G452=4,F452,IF(G452=5,F452*10/11,IF(G452=7,F452*10/11,0))))),0)</f>
        <v>0</v>
      </c>
      <c r="J452" s="818">
        <f>ROUND(IF(G452=1,F452/23,IF(G452=3,F452/12,IF(G452=5,F452-I452,IF(G452=8,F452,0)))),0)</f>
        <v>0</v>
      </c>
      <c r="K452" s="819">
        <f>ROUND(IF(G452=1,F452/23,IF(G452=3,F452/12,IF(G452=6,F452,IF(G452=7,F452-I452,0)))),0)</f>
        <v>0</v>
      </c>
      <c r="L452" s="820">
        <f>IF(G452=6,F452,0)</f>
        <v>0</v>
      </c>
      <c r="P452" s="768" t="n"/>
      <c r="Q452" s="769" t="str">
        <f>IF($F452="","",IFERROR(VLOOKUP($C452&amp;"|"&amp;$D452,科目表!$A$5:$B$200,2,FALSE),"※未登録"))</f>
        <v/>
      </c>
      <c r="R452" s="769" t="str">
        <f>IF($F452="","",$I452+$J452+$K452)</f>
        <v/>
      </c>
      <c r="S452" s="769" t="str">
        <f>IF(OR($F452="",$P452="支払なし",$H452=0,$Q452=""),"",$Q452&amp;"|S|"&amp;(COUNTIF(S$4:S451,$Q452&amp;"|S|*")+1))</f>
        <v/>
      </c>
      <c r="T452" s="769" t="str">
        <f>IF(OR($F452="",$P452="支払なし",$R452=0,$Q452=""),"",$Q452&amp;"|L|"&amp;(COUNTIF(T$4:T451,$Q452&amp;"|L|*")+1))</f>
        <v/>
      </c>
      <c r="U452" s="769" t="str">
        <f>IF($F452="","",13)</f>
        <v/>
      </c>
    </row>
    <row r="453" ht="16.5" customHeight="1" s="186">
      <c r="A453" s="760" t="n"/>
      <c r="B453" s="760" t="n"/>
      <c r="C453" s="762" t="n"/>
      <c r="D453" s="762" t="n"/>
      <c r="E453" s="775" t="n"/>
      <c r="F453" s="821" t="n"/>
      <c r="G453" s="821" t="n"/>
      <c r="H453" s="818">
        <f>IF(G453=1,F453-I453-J453-K453,IF(G453=2,F453,0))</f>
        <v>0</v>
      </c>
      <c r="I453" s="818">
        <f>ROUND(IF(G453=1,F453*10/23,IF(G453=3,F453-J453-K453,IF(G453=4,F453,IF(G453=5,F453*10/11,IF(G453=7,F453*10/11,0))))),0)</f>
        <v>0</v>
      </c>
      <c r="J453" s="818">
        <f>ROUND(IF(G453=1,F453/23,IF(G453=3,F453/12,IF(G453=5,F453-I453,IF(G453=8,F453,0)))),0)</f>
        <v>0</v>
      </c>
      <c r="K453" s="819">
        <f>ROUND(IF(G453=1,F453/23,IF(G453=3,F453/12,IF(G453=6,F453,IF(G453=7,F453-I453,0)))),0)</f>
        <v>0</v>
      </c>
      <c r="L453" s="820">
        <f>IF(G453=6,F453,0)</f>
        <v>0</v>
      </c>
      <c r="P453" s="768" t="n"/>
      <c r="Q453" s="769" t="str">
        <f>IF($F453="","",IFERROR(VLOOKUP($C453&amp;"|"&amp;$D453,科目表!$A$5:$B$200,2,FALSE),"※未登録"))</f>
        <v/>
      </c>
      <c r="R453" s="769" t="str">
        <f>IF($F453="","",$I453+$J453+$K453)</f>
        <v/>
      </c>
      <c r="S453" s="769" t="str">
        <f>IF(OR($F453="",$P453="支払なし",$H453=0,$Q453=""),"",$Q453&amp;"|S|"&amp;(COUNTIF(S$4:S452,$Q453&amp;"|S|*")+1))</f>
        <v/>
      </c>
      <c r="T453" s="769" t="str">
        <f>IF(OR($F453="",$P453="支払なし",$R453=0,$Q453=""),"",$Q453&amp;"|L|"&amp;(COUNTIF(T$4:T452,$Q453&amp;"|L|*")+1))</f>
        <v/>
      </c>
      <c r="U453" s="769" t="str">
        <f>IF($F453="","",13)</f>
        <v/>
      </c>
    </row>
    <row r="454" ht="16.5" customHeight="1" s="186">
      <c r="A454" s="760" t="n"/>
      <c r="B454" s="760" t="n"/>
      <c r="C454" s="762" t="n"/>
      <c r="D454" s="762" t="n"/>
      <c r="E454" s="775" t="n"/>
      <c r="F454" s="821" t="n"/>
      <c r="G454" s="821" t="n"/>
      <c r="H454" s="818">
        <f>IF(G454=1,F454-I454-J454-K454,IF(G454=2,F454,0))</f>
        <v>0</v>
      </c>
      <c r="I454" s="818">
        <f>ROUND(IF(G454=1,F454*10/23,IF(G454=3,F454-J454-K454,IF(G454=4,F454,IF(G454=5,F454*10/11,IF(G454=7,F454*10/11,0))))),0)</f>
        <v>0</v>
      </c>
      <c r="J454" s="818">
        <f>ROUND(IF(G454=1,F454/23,IF(G454=3,F454/12,IF(G454=5,F454-I454,IF(G454=8,F454,0)))),0)</f>
        <v>0</v>
      </c>
      <c r="K454" s="819">
        <f>ROUND(IF(G454=1,F454/23,IF(G454=3,F454/12,IF(G454=6,F454,IF(G454=7,F454-I454,0)))),0)</f>
        <v>0</v>
      </c>
      <c r="L454" s="820">
        <f>IF(G454=6,F454,0)</f>
        <v>0</v>
      </c>
      <c r="P454" s="768" t="n"/>
      <c r="Q454" s="769" t="str">
        <f>IF($F454="","",IFERROR(VLOOKUP($C454&amp;"|"&amp;$D454,科目表!$A$5:$B$200,2,FALSE),"※未登録"))</f>
        <v/>
      </c>
      <c r="R454" s="769" t="str">
        <f>IF($F454="","",$I454+$J454+$K454)</f>
        <v/>
      </c>
      <c r="S454" s="769" t="str">
        <f>IF(OR($F454="",$P454="支払なし",$H454=0,$Q454=""),"",$Q454&amp;"|S|"&amp;(COUNTIF(S$4:S453,$Q454&amp;"|S|*")+1))</f>
        <v/>
      </c>
      <c r="T454" s="769" t="str">
        <f>IF(OR($F454="",$P454="支払なし",$R454=0,$Q454=""),"",$Q454&amp;"|L|"&amp;(COUNTIF(T$4:T453,$Q454&amp;"|L|*")+1))</f>
        <v/>
      </c>
      <c r="U454" s="769" t="str">
        <f>IF($F454="","",13)</f>
        <v/>
      </c>
    </row>
    <row r="455" ht="16.5" customHeight="1" s="186">
      <c r="A455" s="760" t="n"/>
      <c r="B455" s="760" t="n"/>
      <c r="C455" s="762" t="n"/>
      <c r="D455" s="762" t="n"/>
      <c r="E455" s="775" t="n"/>
      <c r="F455" s="821" t="n"/>
      <c r="G455" s="821" t="n"/>
      <c r="H455" s="818">
        <f>IF(G455=1,F455-I455-J455-K455,IF(G455=2,F455,0))</f>
        <v>0</v>
      </c>
      <c r="I455" s="818">
        <f>ROUND(IF(G455=1,F455*10/23,IF(G455=3,F455-J455-K455,IF(G455=4,F455,IF(G455=5,F455*10/11,IF(G455=7,F455*10/11,0))))),0)</f>
        <v>0</v>
      </c>
      <c r="J455" s="818">
        <f>ROUND(IF(G455=1,F455/23,IF(G455=3,F455/12,IF(G455=5,F455-I455,IF(G455=8,F455,0)))),0)</f>
        <v>0</v>
      </c>
      <c r="K455" s="819">
        <f>ROUND(IF(G455=1,F455/23,IF(G455=3,F455/12,IF(G455=6,F455,IF(G455=7,F455-I455,0)))),0)</f>
        <v>0</v>
      </c>
      <c r="L455" s="820">
        <f>IF(G455=6,F455,0)</f>
        <v>0</v>
      </c>
      <c r="P455" s="768" t="n"/>
      <c r="Q455" s="769" t="str">
        <f>IF($F455="","",IFERROR(VLOOKUP($C455&amp;"|"&amp;$D455,科目表!$A$5:$B$200,2,FALSE),"※未登録"))</f>
        <v/>
      </c>
      <c r="R455" s="769" t="str">
        <f>IF($F455="","",$I455+$J455+$K455)</f>
        <v/>
      </c>
      <c r="S455" s="769" t="str">
        <f>IF(OR($F455="",$P455="支払なし",$H455=0,$Q455=""),"",$Q455&amp;"|S|"&amp;(COUNTIF(S$4:S454,$Q455&amp;"|S|*")+1))</f>
        <v/>
      </c>
      <c r="T455" s="769" t="str">
        <f>IF(OR($F455="",$P455="支払なし",$R455=0,$Q455=""),"",$Q455&amp;"|L|"&amp;(COUNTIF(T$4:T454,$Q455&amp;"|L|*")+1))</f>
        <v/>
      </c>
      <c r="U455" s="769" t="str">
        <f>IF($F455="","",13)</f>
        <v/>
      </c>
    </row>
    <row r="456" ht="16.5" customHeight="1" s="186">
      <c r="A456" s="760" t="n"/>
      <c r="B456" s="760" t="n"/>
      <c r="C456" s="762" t="n"/>
      <c r="D456" s="762" t="n"/>
      <c r="E456" s="775" t="n"/>
      <c r="F456" s="821" t="n"/>
      <c r="G456" s="821" t="n"/>
      <c r="H456" s="818">
        <f>IF(G456=1,F456-I456-J456-K456,IF(G456=2,F456,0))</f>
        <v>0</v>
      </c>
      <c r="I456" s="818">
        <f>ROUND(IF(G456=1,F456*10/23,IF(G456=3,F456-J456-K456,IF(G456=4,F456,IF(G456=5,F456*10/11,IF(G456=7,F456*10/11,0))))),0)</f>
        <v>0</v>
      </c>
      <c r="J456" s="818">
        <f>ROUND(IF(G456=1,F456/23,IF(G456=3,F456/12,IF(G456=5,F456-I456,IF(G456=8,F456,0)))),0)</f>
        <v>0</v>
      </c>
      <c r="K456" s="819">
        <f>ROUND(IF(G456=1,F456/23,IF(G456=3,F456/12,IF(G456=6,F456,IF(G456=7,F456-I456,0)))),0)</f>
        <v>0</v>
      </c>
      <c r="L456" s="820">
        <f>IF(G456=6,F456,0)</f>
        <v>0</v>
      </c>
      <c r="P456" s="768" t="n"/>
      <c r="Q456" s="769" t="str">
        <f>IF($F456="","",IFERROR(VLOOKUP($C456&amp;"|"&amp;$D456,科目表!$A$5:$B$200,2,FALSE),"※未登録"))</f>
        <v/>
      </c>
      <c r="R456" s="769" t="str">
        <f>IF($F456="","",$I456+$J456+$K456)</f>
        <v/>
      </c>
      <c r="S456" s="769" t="str">
        <f>IF(OR($F456="",$P456="支払なし",$H456=0,$Q456=""),"",$Q456&amp;"|S|"&amp;(COUNTIF(S$4:S455,$Q456&amp;"|S|*")+1))</f>
        <v/>
      </c>
      <c r="T456" s="769" t="str">
        <f>IF(OR($F456="",$P456="支払なし",$R456=0,$Q456=""),"",$Q456&amp;"|L|"&amp;(COUNTIF(T$4:T455,$Q456&amp;"|L|*")+1))</f>
        <v/>
      </c>
      <c r="U456" s="769" t="str">
        <f>IF($F456="","",13)</f>
        <v/>
      </c>
    </row>
    <row r="457" ht="16.5" customHeight="1" s="186">
      <c r="A457" s="760" t="n"/>
      <c r="B457" s="760" t="n"/>
      <c r="C457" s="762" t="n"/>
      <c r="D457" s="762" t="n"/>
      <c r="E457" s="775" t="n"/>
      <c r="F457" s="821" t="n"/>
      <c r="G457" s="821" t="n"/>
      <c r="H457" s="818">
        <f>IF(G457=1,F457-I457-J457-K457,IF(G457=2,F457,0))</f>
        <v>0</v>
      </c>
      <c r="I457" s="818">
        <f>ROUND(IF(G457=1,F457*10/23,IF(G457=3,F457-J457-K457,IF(G457=4,F457,IF(G457=5,F457*10/11,IF(G457=7,F457*10/11,0))))),0)</f>
        <v>0</v>
      </c>
      <c r="J457" s="818">
        <f>ROUND(IF(G457=1,F457/23,IF(G457=3,F457/12,IF(G457=5,F457-I457,IF(G457=8,F457,0)))),0)</f>
        <v>0</v>
      </c>
      <c r="K457" s="819">
        <f>ROUND(IF(G457=1,F457/23,IF(G457=3,F457/12,IF(G457=6,F457,IF(G457=7,F457-I457,0)))),0)</f>
        <v>0</v>
      </c>
      <c r="L457" s="820">
        <f>IF(G457=6,F457,0)</f>
        <v>0</v>
      </c>
      <c r="P457" s="768" t="n"/>
      <c r="Q457" s="769" t="str">
        <f>IF($F457="","",IFERROR(VLOOKUP($C457&amp;"|"&amp;$D457,科目表!$A$5:$B$200,2,FALSE),"※未登録"))</f>
        <v/>
      </c>
      <c r="R457" s="769" t="str">
        <f>IF($F457="","",$I457+$J457+$K457)</f>
        <v/>
      </c>
      <c r="S457" s="769" t="str">
        <f>IF(OR($F457="",$P457="支払なし",$H457=0,$Q457=""),"",$Q457&amp;"|S|"&amp;(COUNTIF(S$4:S456,$Q457&amp;"|S|*")+1))</f>
        <v/>
      </c>
      <c r="T457" s="769" t="str">
        <f>IF(OR($F457="",$P457="支払なし",$R457=0,$Q457=""),"",$Q457&amp;"|L|"&amp;(COUNTIF(T$4:T456,$Q457&amp;"|L|*")+1))</f>
        <v/>
      </c>
      <c r="U457" s="769" t="str">
        <f>IF($F457="","",13)</f>
        <v/>
      </c>
    </row>
    <row r="458" ht="16.5" customHeight="1" s="186">
      <c r="A458" s="760" t="n"/>
      <c r="B458" s="760" t="n"/>
      <c r="C458" s="762" t="n"/>
      <c r="D458" s="762" t="n"/>
      <c r="E458" s="775" t="n"/>
      <c r="F458" s="821" t="n"/>
      <c r="G458" s="821" t="n"/>
      <c r="H458" s="818">
        <f>IF(G458=1,F458-I458-J458-K458,IF(G458=2,F458,0))</f>
        <v>0</v>
      </c>
      <c r="I458" s="818">
        <f>ROUND(IF(G458=1,F458*10/23,IF(G458=3,F458-J458-K458,IF(G458=4,F458,IF(G458=5,F458*10/11,IF(G458=7,F458*10/11,0))))),0)</f>
        <v>0</v>
      </c>
      <c r="J458" s="818">
        <f>ROUND(IF(G458=1,F458/23,IF(G458=3,F458/12,IF(G458=5,F458-I458,IF(G458=8,F458,0)))),0)</f>
        <v>0</v>
      </c>
      <c r="K458" s="819">
        <f>ROUND(IF(G458=1,F458/23,IF(G458=3,F458/12,IF(G458=6,F458,IF(G458=7,F458-I458,0)))),0)</f>
        <v>0</v>
      </c>
      <c r="L458" s="820">
        <f>IF(G458=6,F458,0)</f>
        <v>0</v>
      </c>
      <c r="P458" s="768" t="n"/>
      <c r="Q458" s="769" t="str">
        <f>IF($F458="","",IFERROR(VLOOKUP($C458&amp;"|"&amp;$D458,科目表!$A$5:$B$200,2,FALSE),"※未登録"))</f>
        <v/>
      </c>
      <c r="R458" s="769" t="str">
        <f>IF($F458="","",$I458+$J458+$K458)</f>
        <v/>
      </c>
      <c r="S458" s="769" t="str">
        <f>IF(OR($F458="",$P458="支払なし",$H458=0,$Q458=""),"",$Q458&amp;"|S|"&amp;(COUNTIF(S$4:S457,$Q458&amp;"|S|*")+1))</f>
        <v/>
      </c>
      <c r="T458" s="769" t="str">
        <f>IF(OR($F458="",$P458="支払なし",$R458=0,$Q458=""),"",$Q458&amp;"|L|"&amp;(COUNTIF(T$4:T457,$Q458&amp;"|L|*")+1))</f>
        <v/>
      </c>
      <c r="U458" s="769" t="str">
        <f>IF($F458="","",13)</f>
        <v/>
      </c>
    </row>
    <row r="459" ht="16.5" customHeight="1" s="186">
      <c r="A459" s="760" t="n"/>
      <c r="B459" s="760" t="n"/>
      <c r="C459" s="762" t="n"/>
      <c r="D459" s="762" t="n"/>
      <c r="E459" s="775" t="n"/>
      <c r="F459" s="821" t="n"/>
      <c r="G459" s="821" t="n"/>
      <c r="H459" s="818">
        <f>IF(G459=1,F459-I459-J459-K459,IF(G459=2,F459,0))</f>
        <v>0</v>
      </c>
      <c r="I459" s="818">
        <f>ROUND(IF(G459=1,F459*10/23,IF(G459=3,F459-J459-K459,IF(G459=4,F459,IF(G459=5,F459*10/11,IF(G459=7,F459*10/11,0))))),0)</f>
        <v>0</v>
      </c>
      <c r="J459" s="818">
        <f>ROUND(IF(G459=1,F459/23,IF(G459=3,F459/12,IF(G459=5,F459-I459,IF(G459=8,F459,0)))),0)</f>
        <v>0</v>
      </c>
      <c r="K459" s="819">
        <f>ROUND(IF(G459=1,F459/23,IF(G459=3,F459/12,IF(G459=6,F459,IF(G459=7,F459-I459,0)))),0)</f>
        <v>0</v>
      </c>
      <c r="L459" s="820">
        <f>IF(G459=6,F459,0)</f>
        <v>0</v>
      </c>
      <c r="P459" s="768" t="n"/>
      <c r="Q459" s="769" t="str">
        <f>IF($F459="","",IFERROR(VLOOKUP($C459&amp;"|"&amp;$D459,科目表!$A$5:$B$200,2,FALSE),"※未登録"))</f>
        <v/>
      </c>
      <c r="R459" s="769" t="str">
        <f>IF($F459="","",$I459+$J459+$K459)</f>
        <v/>
      </c>
      <c r="S459" s="769" t="str">
        <f>IF(OR($F459="",$P459="支払なし",$H459=0,$Q459=""),"",$Q459&amp;"|S|"&amp;(COUNTIF(S$4:S458,$Q459&amp;"|S|*")+1))</f>
        <v/>
      </c>
      <c r="T459" s="769" t="str">
        <f>IF(OR($F459="",$P459="支払なし",$R459=0,$Q459=""),"",$Q459&amp;"|L|"&amp;(COUNTIF(T$4:T458,$Q459&amp;"|L|*")+1))</f>
        <v/>
      </c>
      <c r="U459" s="769" t="str">
        <f>IF($F459="","",13)</f>
        <v/>
      </c>
    </row>
    <row r="460" ht="16.5" customHeight="1" s="186">
      <c r="A460" s="760" t="n"/>
      <c r="B460" s="760" t="n"/>
      <c r="C460" s="762" t="n"/>
      <c r="D460" s="762" t="n"/>
      <c r="E460" s="775" t="n"/>
      <c r="F460" s="821" t="n"/>
      <c r="G460" s="821" t="n"/>
      <c r="H460" s="818">
        <f>IF(G460=1,F460-I460-J460-K460,IF(G460=2,F460,0))</f>
        <v>0</v>
      </c>
      <c r="I460" s="818">
        <f>ROUND(IF(G460=1,F460*10/23,IF(G460=3,F460-J460-K460,IF(G460=4,F460,IF(G460=5,F460*10/11,IF(G460=7,F460*10/11,0))))),0)</f>
        <v>0</v>
      </c>
      <c r="J460" s="818">
        <f>ROUND(IF(G460=1,F460/23,IF(G460=3,F460/12,IF(G460=5,F460-I460,IF(G460=8,F460,0)))),0)</f>
        <v>0</v>
      </c>
      <c r="K460" s="819">
        <f>ROUND(IF(G460=1,F460/23,IF(G460=3,F460/12,IF(G460=6,F460,IF(G460=7,F460-I460,0)))),0)</f>
        <v>0</v>
      </c>
      <c r="L460" s="820">
        <f>IF(G460=6,F460,0)</f>
        <v>0</v>
      </c>
      <c r="P460" s="768" t="n"/>
      <c r="Q460" s="769" t="str">
        <f>IF($F460="","",IFERROR(VLOOKUP($C460&amp;"|"&amp;$D460,科目表!$A$5:$B$200,2,FALSE),"※未登録"))</f>
        <v/>
      </c>
      <c r="R460" s="769" t="str">
        <f>IF($F460="","",$I460+$J460+$K460)</f>
        <v/>
      </c>
      <c r="S460" s="769" t="str">
        <f>IF(OR($F460="",$P460="支払なし",$H460=0,$Q460=""),"",$Q460&amp;"|S|"&amp;(COUNTIF(S$4:S459,$Q460&amp;"|S|*")+1))</f>
        <v/>
      </c>
      <c r="T460" s="769" t="str">
        <f>IF(OR($F460="",$P460="支払なし",$R460=0,$Q460=""),"",$Q460&amp;"|L|"&amp;(COUNTIF(T$4:T459,$Q460&amp;"|L|*")+1))</f>
        <v/>
      </c>
      <c r="U460" s="769" t="str">
        <f>IF($F460="","",13)</f>
        <v/>
      </c>
    </row>
    <row r="461" ht="16.5" customHeight="1" s="186">
      <c r="A461" s="760" t="n"/>
      <c r="B461" s="760" t="n"/>
      <c r="C461" s="762" t="n"/>
      <c r="D461" s="762" t="n"/>
      <c r="E461" s="775" t="n"/>
      <c r="F461" s="821" t="n"/>
      <c r="G461" s="821" t="n"/>
      <c r="H461" s="818">
        <f>IF(G461=1,F461-I461-J461-K461,IF(G461=2,F461,0))</f>
        <v>0</v>
      </c>
      <c r="I461" s="818">
        <f>ROUND(IF(G461=1,F461*10/23,IF(G461=3,F461-J461-K461,IF(G461=4,F461,IF(G461=5,F461*10/11,IF(G461=7,F461*10/11,0))))),0)</f>
        <v>0</v>
      </c>
      <c r="J461" s="818">
        <f>ROUND(IF(G461=1,F461/23,IF(G461=3,F461/12,IF(G461=5,F461-I461,IF(G461=8,F461,0)))),0)</f>
        <v>0</v>
      </c>
      <c r="K461" s="819">
        <f>ROUND(IF(G461=1,F461/23,IF(G461=3,F461/12,IF(G461=6,F461,IF(G461=7,F461-I461,0)))),0)</f>
        <v>0</v>
      </c>
      <c r="L461" s="820">
        <f>IF(G461=6,F461,0)</f>
        <v>0</v>
      </c>
      <c r="P461" s="768" t="n"/>
      <c r="Q461" s="769" t="str">
        <f>IF($F461="","",IFERROR(VLOOKUP($C461&amp;"|"&amp;$D461,科目表!$A$5:$B$200,2,FALSE),"※未登録"))</f>
        <v/>
      </c>
      <c r="R461" s="769" t="str">
        <f>IF($F461="","",$I461+$J461+$K461)</f>
        <v/>
      </c>
      <c r="S461" s="769" t="str">
        <f>IF(OR($F461="",$P461="支払なし",$H461=0,$Q461=""),"",$Q461&amp;"|S|"&amp;(COUNTIF(S$4:S460,$Q461&amp;"|S|*")+1))</f>
        <v/>
      </c>
      <c r="T461" s="769" t="str">
        <f>IF(OR($F461="",$P461="支払なし",$R461=0,$Q461=""),"",$Q461&amp;"|L|"&amp;(COUNTIF(T$4:T460,$Q461&amp;"|L|*")+1))</f>
        <v/>
      </c>
      <c r="U461" s="769" t="str">
        <f>IF($F461="","",13)</f>
        <v/>
      </c>
    </row>
    <row r="462" ht="16.5" customHeight="1" s="186">
      <c r="A462" s="760" t="n"/>
      <c r="B462" s="760" t="n"/>
      <c r="C462" s="762" t="n"/>
      <c r="D462" s="762" t="n"/>
      <c r="E462" s="775" t="n"/>
      <c r="F462" s="821" t="n"/>
      <c r="G462" s="821" t="n"/>
      <c r="H462" s="818">
        <f>IF(G462=1,F462-I462-J462-K462,IF(G462=2,F462,0))</f>
        <v>0</v>
      </c>
      <c r="I462" s="818">
        <f>ROUND(IF(G462=1,F462*10/23,IF(G462=3,F462-J462-K462,IF(G462=4,F462,IF(G462=5,F462*10/11,IF(G462=7,F462*10/11,0))))),0)</f>
        <v>0</v>
      </c>
      <c r="J462" s="818">
        <f>ROUND(IF(G462=1,F462/23,IF(G462=3,F462/12,IF(G462=5,F462-I462,IF(G462=8,F462,0)))),0)</f>
        <v>0</v>
      </c>
      <c r="K462" s="819">
        <f>ROUND(IF(G462=1,F462/23,IF(G462=3,F462/12,IF(G462=6,F462,IF(G462=7,F462-I462,0)))),0)</f>
        <v>0</v>
      </c>
      <c r="L462" s="820">
        <f>IF(G462=6,F462,0)</f>
        <v>0</v>
      </c>
      <c r="P462" s="768" t="n"/>
      <c r="Q462" s="769" t="str">
        <f>IF($F462="","",IFERROR(VLOOKUP($C462&amp;"|"&amp;$D462,科目表!$A$5:$B$200,2,FALSE),"※未登録"))</f>
        <v/>
      </c>
      <c r="R462" s="769" t="str">
        <f>IF($F462="","",$I462+$J462+$K462)</f>
        <v/>
      </c>
      <c r="S462" s="769" t="str">
        <f>IF(OR($F462="",$P462="支払なし",$H462=0,$Q462=""),"",$Q462&amp;"|S|"&amp;(COUNTIF(S$4:S461,$Q462&amp;"|S|*")+1))</f>
        <v/>
      </c>
      <c r="T462" s="769" t="str">
        <f>IF(OR($F462="",$P462="支払なし",$R462=0,$Q462=""),"",$Q462&amp;"|L|"&amp;(COUNTIF(T$4:T461,$Q462&amp;"|L|*")+1))</f>
        <v/>
      </c>
      <c r="U462" s="769" t="str">
        <f>IF($F462="","",13)</f>
        <v/>
      </c>
    </row>
    <row r="463" ht="16.5" customHeight="1" s="186">
      <c r="A463" s="760" t="n"/>
      <c r="B463" s="760" t="n"/>
      <c r="C463" s="762" t="n"/>
      <c r="D463" s="762" t="n"/>
      <c r="E463" s="775" t="n"/>
      <c r="F463" s="821" t="n"/>
      <c r="G463" s="821" t="n"/>
      <c r="H463" s="818">
        <f>IF(G463=1,F463-I463-J463-K463,IF(G463=2,F463,0))</f>
        <v>0</v>
      </c>
      <c r="I463" s="818">
        <f>ROUND(IF(G463=1,F463*10/23,IF(G463=3,F463-J463-K463,IF(G463=4,F463,IF(G463=5,F463*10/11,IF(G463=7,F463*10/11,0))))),0)</f>
        <v>0</v>
      </c>
      <c r="J463" s="818">
        <f>ROUND(IF(G463=1,F463/23,IF(G463=3,F463/12,IF(G463=5,F463-I463,IF(G463=8,F463,0)))),0)</f>
        <v>0</v>
      </c>
      <c r="K463" s="819">
        <f>ROUND(IF(G463=1,F463/23,IF(G463=3,F463/12,IF(G463=6,F463,IF(G463=7,F463-I463,0)))),0)</f>
        <v>0</v>
      </c>
      <c r="L463" s="820">
        <f>IF(G463=6,F463,0)</f>
        <v>0</v>
      </c>
      <c r="P463" s="768" t="n"/>
      <c r="Q463" s="769" t="str">
        <f>IF($F463="","",IFERROR(VLOOKUP($C463&amp;"|"&amp;$D463,科目表!$A$5:$B$200,2,FALSE),"※未登録"))</f>
        <v/>
      </c>
      <c r="R463" s="769" t="str">
        <f>IF($F463="","",$I463+$J463+$K463)</f>
        <v/>
      </c>
      <c r="S463" s="769" t="str">
        <f>IF(OR($F463="",$P463="支払なし",$H463=0,$Q463=""),"",$Q463&amp;"|S|"&amp;(COUNTIF(S$4:S462,$Q463&amp;"|S|*")+1))</f>
        <v/>
      </c>
      <c r="T463" s="769" t="str">
        <f>IF(OR($F463="",$P463="支払なし",$R463=0,$Q463=""),"",$Q463&amp;"|L|"&amp;(COUNTIF(T$4:T462,$Q463&amp;"|L|*")+1))</f>
        <v/>
      </c>
      <c r="U463" s="769" t="str">
        <f>IF($F463="","",13)</f>
        <v/>
      </c>
    </row>
    <row r="464" ht="16.5" customHeight="1" s="186">
      <c r="A464" s="760" t="n"/>
      <c r="B464" s="760" t="n"/>
      <c r="C464" s="762" t="n"/>
      <c r="D464" s="762" t="n"/>
      <c r="E464" s="775" t="n"/>
      <c r="F464" s="821" t="n"/>
      <c r="G464" s="821" t="n"/>
      <c r="H464" s="818">
        <f>IF(G464=1,F464-I464-J464-K464,IF(G464=2,F464,0))</f>
        <v>0</v>
      </c>
      <c r="I464" s="818">
        <f>ROUND(IF(G464=1,F464*10/23,IF(G464=3,F464-J464-K464,IF(G464=4,F464,IF(G464=5,F464*10/11,IF(G464=7,F464*10/11,0))))),0)</f>
        <v>0</v>
      </c>
      <c r="J464" s="818">
        <f>ROUND(IF(G464=1,F464/23,IF(G464=3,F464/12,IF(G464=5,F464-I464,IF(G464=8,F464,0)))),0)</f>
        <v>0</v>
      </c>
      <c r="K464" s="819">
        <f>ROUND(IF(G464=1,F464/23,IF(G464=3,F464/12,IF(G464=6,F464,IF(G464=7,F464-I464,0)))),0)</f>
        <v>0</v>
      </c>
      <c r="L464" s="820">
        <f>IF(G464=6,F464,0)</f>
        <v>0</v>
      </c>
      <c r="P464" s="768" t="n"/>
      <c r="Q464" s="769" t="str">
        <f>IF($F464="","",IFERROR(VLOOKUP($C464&amp;"|"&amp;$D464,科目表!$A$5:$B$200,2,FALSE),"※未登録"))</f>
        <v/>
      </c>
      <c r="R464" s="769" t="str">
        <f>IF($F464="","",$I464+$J464+$K464)</f>
        <v/>
      </c>
      <c r="S464" s="769" t="str">
        <f>IF(OR($F464="",$P464="支払なし",$H464=0,$Q464=""),"",$Q464&amp;"|S|"&amp;(COUNTIF(S$4:S463,$Q464&amp;"|S|*")+1))</f>
        <v/>
      </c>
      <c r="T464" s="769" t="str">
        <f>IF(OR($F464="",$P464="支払なし",$R464=0,$Q464=""),"",$Q464&amp;"|L|"&amp;(COUNTIF(T$4:T463,$Q464&amp;"|L|*")+1))</f>
        <v/>
      </c>
      <c r="U464" s="769" t="str">
        <f>IF($F464="","",13)</f>
        <v/>
      </c>
    </row>
    <row r="465" ht="16.5" customHeight="1" s="186">
      <c r="A465" s="760" t="n"/>
      <c r="B465" s="760" t="n"/>
      <c r="C465" s="762" t="n"/>
      <c r="D465" s="762" t="n"/>
      <c r="E465" s="775" t="n"/>
      <c r="F465" s="821" t="n"/>
      <c r="G465" s="821" t="n"/>
      <c r="H465" s="818">
        <f>IF(G465=1,F465-I465-J465-K465,IF(G465=2,F465,0))</f>
        <v>0</v>
      </c>
      <c r="I465" s="818">
        <f>ROUND(IF(G465=1,F465*10/23,IF(G465=3,F465-J465-K465,IF(G465=4,F465,IF(G465=5,F465*10/11,IF(G465=7,F465*10/11,0))))),0)</f>
        <v>0</v>
      </c>
      <c r="J465" s="818">
        <f>ROUND(IF(G465=1,F465/23,IF(G465=3,F465/12,IF(G465=5,F465-I465,IF(G465=8,F465,0)))),0)</f>
        <v>0</v>
      </c>
      <c r="K465" s="819">
        <f>ROUND(IF(G465=1,F465/23,IF(G465=3,F465/12,IF(G465=6,F465,IF(G465=7,F465-I465,0)))),0)</f>
        <v>0</v>
      </c>
      <c r="L465" s="820">
        <f>IF(G465=6,F465,0)</f>
        <v>0</v>
      </c>
      <c r="P465" s="768" t="n"/>
      <c r="Q465" s="769" t="str">
        <f>IF($F465="","",IFERROR(VLOOKUP($C465&amp;"|"&amp;$D465,科目表!$A$5:$B$200,2,FALSE),"※未登録"))</f>
        <v/>
      </c>
      <c r="R465" s="769" t="str">
        <f>IF($F465="","",$I465+$J465+$K465)</f>
        <v/>
      </c>
      <c r="S465" s="769" t="str">
        <f>IF(OR($F465="",$P465="支払なし",$H465=0,$Q465=""),"",$Q465&amp;"|S|"&amp;(COUNTIF(S$4:S464,$Q465&amp;"|S|*")+1))</f>
        <v/>
      </c>
      <c r="T465" s="769" t="str">
        <f>IF(OR($F465="",$P465="支払なし",$R465=0,$Q465=""),"",$Q465&amp;"|L|"&amp;(COUNTIF(T$4:T464,$Q465&amp;"|L|*")+1))</f>
        <v/>
      </c>
      <c r="U465" s="769" t="str">
        <f>IF($F465="","",13)</f>
        <v/>
      </c>
    </row>
    <row r="466" ht="16.5" customHeight="1" s="186">
      <c r="A466" s="760" t="n"/>
      <c r="B466" s="760" t="n"/>
      <c r="C466" s="762" t="n"/>
      <c r="D466" s="762" t="n"/>
      <c r="E466" s="775" t="n"/>
      <c r="F466" s="821" t="n"/>
      <c r="G466" s="821" t="n"/>
      <c r="H466" s="818">
        <f>IF(G466=1,F466-I466-J466-K466,IF(G466=2,F466,0))</f>
        <v>0</v>
      </c>
      <c r="I466" s="818">
        <f>ROUND(IF(G466=1,F466*10/23,IF(G466=3,F466-J466-K466,IF(G466=4,F466,IF(G466=5,F466*10/11,IF(G466=7,F466*10/11,0))))),0)</f>
        <v>0</v>
      </c>
      <c r="J466" s="818">
        <f>ROUND(IF(G466=1,F466/23,IF(G466=3,F466/12,IF(G466=5,F466-I466,IF(G466=8,F466,0)))),0)</f>
        <v>0</v>
      </c>
      <c r="K466" s="819">
        <f>ROUND(IF(G466=1,F466/23,IF(G466=3,F466/12,IF(G466=6,F466,IF(G466=7,F466-I466,0)))),0)</f>
        <v>0</v>
      </c>
      <c r="L466" s="820">
        <f>IF(G466=6,F466,0)</f>
        <v>0</v>
      </c>
      <c r="P466" s="768" t="n"/>
      <c r="Q466" s="769" t="str">
        <f>IF($F466="","",IFERROR(VLOOKUP($C466&amp;"|"&amp;$D466,科目表!$A$5:$B$200,2,FALSE),"※未登録"))</f>
        <v/>
      </c>
      <c r="R466" s="769" t="str">
        <f>IF($F466="","",$I466+$J466+$K466)</f>
        <v/>
      </c>
      <c r="S466" s="769" t="str">
        <f>IF(OR($F466="",$P466="支払なし",$H466=0,$Q466=""),"",$Q466&amp;"|S|"&amp;(COUNTIF(S$4:S465,$Q466&amp;"|S|*")+1))</f>
        <v/>
      </c>
      <c r="T466" s="769" t="str">
        <f>IF(OR($F466="",$P466="支払なし",$R466=0,$Q466=""),"",$Q466&amp;"|L|"&amp;(COUNTIF(T$4:T465,$Q466&amp;"|L|*")+1))</f>
        <v/>
      </c>
      <c r="U466" s="769" t="str">
        <f>IF($F466="","",13)</f>
        <v/>
      </c>
    </row>
    <row r="467" ht="16.5" customHeight="1" s="186">
      <c r="A467" s="760" t="n"/>
      <c r="B467" s="760" t="n"/>
      <c r="C467" s="762" t="n"/>
      <c r="D467" s="762" t="n"/>
      <c r="E467" s="775" t="n"/>
      <c r="F467" s="821" t="n"/>
      <c r="G467" s="821" t="n"/>
      <c r="H467" s="818">
        <f>IF(G467=1,F467-I467-J467-K467,IF(G467=2,F467,0))</f>
        <v>0</v>
      </c>
      <c r="I467" s="818">
        <f>ROUND(IF(G467=1,F467*10/23,IF(G467=3,F467-J467-K467,IF(G467=4,F467,IF(G467=5,F467*10/11,IF(G467=7,F467*10/11,0))))),0)</f>
        <v>0</v>
      </c>
      <c r="J467" s="818">
        <f>ROUND(IF(G467=1,F467/23,IF(G467=3,F467/12,IF(G467=5,F467-I467,IF(G467=8,F467,0)))),0)</f>
        <v>0</v>
      </c>
      <c r="K467" s="819">
        <f>ROUND(IF(G467=1,F467/23,IF(G467=3,F467/12,IF(G467=6,F467,IF(G467=7,F467-I467,0)))),0)</f>
        <v>0</v>
      </c>
      <c r="L467" s="820">
        <f>IF(G467=6,F467,0)</f>
        <v>0</v>
      </c>
      <c r="P467" s="768" t="n"/>
      <c r="Q467" s="769" t="str">
        <f>IF($F467="","",IFERROR(VLOOKUP($C467&amp;"|"&amp;$D467,科目表!$A$5:$B$200,2,FALSE),"※未登録"))</f>
        <v/>
      </c>
      <c r="R467" s="769" t="str">
        <f>IF($F467="","",$I467+$J467+$K467)</f>
        <v/>
      </c>
      <c r="S467" s="769" t="str">
        <f>IF(OR($F467="",$P467="支払なし",$H467=0,$Q467=""),"",$Q467&amp;"|S|"&amp;(COUNTIF(S$4:S466,$Q467&amp;"|S|*")+1))</f>
        <v/>
      </c>
      <c r="T467" s="769" t="str">
        <f>IF(OR($F467="",$P467="支払なし",$R467=0,$Q467=""),"",$Q467&amp;"|L|"&amp;(COUNTIF(T$4:T466,$Q467&amp;"|L|*")+1))</f>
        <v/>
      </c>
      <c r="U467" s="769" t="str">
        <f>IF($F467="","",13)</f>
        <v/>
      </c>
    </row>
    <row r="468" ht="16.5" customHeight="1" s="186">
      <c r="A468" s="760" t="n"/>
      <c r="B468" s="760" t="n"/>
      <c r="C468" s="762" t="n"/>
      <c r="D468" s="762" t="n"/>
      <c r="E468" s="775" t="n"/>
      <c r="F468" s="821" t="n"/>
      <c r="G468" s="821" t="n"/>
      <c r="H468" s="818">
        <f>IF(G468=1,F468-I468-J468-K468,IF(G468=2,F468,0))</f>
        <v>0</v>
      </c>
      <c r="I468" s="818">
        <f>ROUND(IF(G468=1,F468*10/23,IF(G468=3,F468-J468-K468,IF(G468=4,F468,IF(G468=5,F468*10/11,IF(G468=7,F468*10/11,0))))),0)</f>
        <v>0</v>
      </c>
      <c r="J468" s="818">
        <f>ROUND(IF(G468=1,F468/23,IF(G468=3,F468/12,IF(G468=5,F468-I468,IF(G468=8,F468,0)))),0)</f>
        <v>0</v>
      </c>
      <c r="K468" s="819">
        <f>ROUND(IF(G468=1,F468/23,IF(G468=3,F468/12,IF(G468=6,F468,IF(G468=7,F468-I468,0)))),0)</f>
        <v>0</v>
      </c>
      <c r="L468" s="820">
        <f>IF(G468=6,F468,0)</f>
        <v>0</v>
      </c>
      <c r="P468" s="768" t="n"/>
      <c r="Q468" s="769" t="str">
        <f>IF($F468="","",IFERROR(VLOOKUP($C468&amp;"|"&amp;$D468,科目表!$A$5:$B$200,2,FALSE),"※未登録"))</f>
        <v/>
      </c>
      <c r="R468" s="769" t="str">
        <f>IF($F468="","",$I468+$J468+$K468)</f>
        <v/>
      </c>
      <c r="S468" s="769" t="str">
        <f>IF(OR($F468="",$P468="支払なし",$H468=0,$Q468=""),"",$Q468&amp;"|S|"&amp;(COUNTIF(S$4:S467,$Q468&amp;"|S|*")+1))</f>
        <v/>
      </c>
      <c r="T468" s="769" t="str">
        <f>IF(OR($F468="",$P468="支払なし",$R468=0,$Q468=""),"",$Q468&amp;"|L|"&amp;(COUNTIF(T$4:T467,$Q468&amp;"|L|*")+1))</f>
        <v/>
      </c>
      <c r="U468" s="769" t="str">
        <f>IF($F468="","",13)</f>
        <v/>
      </c>
    </row>
    <row r="469" ht="16.5" customHeight="1" s="186">
      <c r="A469" s="760" t="n"/>
      <c r="B469" s="760" t="n"/>
      <c r="C469" s="762" t="n"/>
      <c r="D469" s="762" t="n"/>
      <c r="E469" s="775" t="n"/>
      <c r="F469" s="821" t="n"/>
      <c r="G469" s="821" t="n"/>
      <c r="H469" s="818">
        <f>IF(G469=1,F469-I469-J469-K469,IF(G469=2,F469,0))</f>
        <v>0</v>
      </c>
      <c r="I469" s="818">
        <f>ROUND(IF(G469=1,F469*10/23,IF(G469=3,F469-J469-K469,IF(G469=4,F469,IF(G469=5,F469*10/11,IF(G469=7,F469*10/11,0))))),0)</f>
        <v>0</v>
      </c>
      <c r="J469" s="818">
        <f>ROUND(IF(G469=1,F469/23,IF(G469=3,F469/12,IF(G469=5,F469-I469,IF(G469=8,F469,0)))),0)</f>
        <v>0</v>
      </c>
      <c r="K469" s="819">
        <f>ROUND(IF(G469=1,F469/23,IF(G469=3,F469/12,IF(G469=6,F469,IF(G469=7,F469-I469,0)))),0)</f>
        <v>0</v>
      </c>
      <c r="L469" s="820">
        <f>IF(G469=6,F469,0)</f>
        <v>0</v>
      </c>
      <c r="P469" s="768" t="n"/>
      <c r="Q469" s="769" t="str">
        <f>IF($F469="","",IFERROR(VLOOKUP($C469&amp;"|"&amp;$D469,科目表!$A$5:$B$200,2,FALSE),"※未登録"))</f>
        <v/>
      </c>
      <c r="R469" s="769" t="str">
        <f>IF($F469="","",$I469+$J469+$K469)</f>
        <v/>
      </c>
      <c r="S469" s="769" t="str">
        <f>IF(OR($F469="",$P469="支払なし",$H469=0,$Q469=""),"",$Q469&amp;"|S|"&amp;(COUNTIF(S$4:S468,$Q469&amp;"|S|*")+1))</f>
        <v/>
      </c>
      <c r="T469" s="769" t="str">
        <f>IF(OR($F469="",$P469="支払なし",$R469=0,$Q469=""),"",$Q469&amp;"|L|"&amp;(COUNTIF(T$4:T468,$Q469&amp;"|L|*")+1))</f>
        <v/>
      </c>
      <c r="U469" s="769" t="str">
        <f>IF($F469="","",13)</f>
        <v/>
      </c>
    </row>
    <row r="470" ht="16.5" customHeight="1" s="186">
      <c r="A470" s="760" t="n"/>
      <c r="B470" s="760" t="n"/>
      <c r="C470" s="762" t="n"/>
      <c r="D470" s="762" t="n"/>
      <c r="E470" s="775" t="n"/>
      <c r="F470" s="821" t="n"/>
      <c r="G470" s="821" t="n"/>
      <c r="H470" s="818">
        <f>IF(G470=1,F470-I470-J470-K470,IF(G470=2,F470,0))</f>
        <v>0</v>
      </c>
      <c r="I470" s="818">
        <f>ROUND(IF(G470=1,F470*10/23,IF(G470=3,F470-J470-K470,IF(G470=4,F470,IF(G470=5,F470*10/11,IF(G470=7,F470*10/11,0))))),0)</f>
        <v>0</v>
      </c>
      <c r="J470" s="818">
        <f>ROUND(IF(G470=1,F470/23,IF(G470=3,F470/12,IF(G470=5,F470-I470,IF(G470=8,F470,0)))),0)</f>
        <v>0</v>
      </c>
      <c r="K470" s="819">
        <f>ROUND(IF(G470=1,F470/23,IF(G470=3,F470/12,IF(G470=6,F470,IF(G470=7,F470-I470,0)))),0)</f>
        <v>0</v>
      </c>
      <c r="L470" s="820">
        <f>IF(G470=6,F470,0)</f>
        <v>0</v>
      </c>
      <c r="P470" s="768" t="n"/>
      <c r="Q470" s="769" t="str">
        <f>IF($F470="","",IFERROR(VLOOKUP($C470&amp;"|"&amp;$D470,科目表!$A$5:$B$200,2,FALSE),"※未登録"))</f>
        <v/>
      </c>
      <c r="R470" s="769" t="str">
        <f>IF($F470="","",$I470+$J470+$K470)</f>
        <v/>
      </c>
      <c r="S470" s="769" t="str">
        <f>IF(OR($F470="",$P470="支払なし",$H470=0,$Q470=""),"",$Q470&amp;"|S|"&amp;(COUNTIF(S$4:S469,$Q470&amp;"|S|*")+1))</f>
        <v/>
      </c>
      <c r="T470" s="769" t="str">
        <f>IF(OR($F470="",$P470="支払なし",$R470=0,$Q470=""),"",$Q470&amp;"|L|"&amp;(COUNTIF(T$4:T469,$Q470&amp;"|L|*")+1))</f>
        <v/>
      </c>
      <c r="U470" s="769" t="str">
        <f>IF($F470="","",13)</f>
        <v/>
      </c>
    </row>
    <row r="471" ht="16.5" customHeight="1" s="186">
      <c r="A471" s="760" t="n"/>
      <c r="B471" s="760" t="n"/>
      <c r="C471" s="762" t="n"/>
      <c r="D471" s="762" t="n"/>
      <c r="E471" s="775" t="n"/>
      <c r="F471" s="821" t="n"/>
      <c r="G471" s="821" t="n"/>
      <c r="H471" s="818">
        <f>IF(G471=1,F471-I471-J471-K471,IF(G471=2,F471,0))</f>
        <v>0</v>
      </c>
      <c r="I471" s="818">
        <f>ROUND(IF(G471=1,F471*10/23,IF(G471=3,F471-J471-K471,IF(G471=4,F471,IF(G471=5,F471*10/11,IF(G471=7,F471*10/11,0))))),0)</f>
        <v>0</v>
      </c>
      <c r="J471" s="818">
        <f>ROUND(IF(G471=1,F471/23,IF(G471=3,F471/12,IF(G471=5,F471-I471,IF(G471=8,F471,0)))),0)</f>
        <v>0</v>
      </c>
      <c r="K471" s="819">
        <f>ROUND(IF(G471=1,F471/23,IF(G471=3,F471/12,IF(G471=6,F471,IF(G471=7,F471-I471,0)))),0)</f>
        <v>0</v>
      </c>
      <c r="L471" s="820">
        <f>IF(G471=6,F471,0)</f>
        <v>0</v>
      </c>
      <c r="P471" s="768" t="n"/>
      <c r="Q471" s="769" t="str">
        <f>IF($F471="","",IFERROR(VLOOKUP($C471&amp;"|"&amp;$D471,科目表!$A$5:$B$200,2,FALSE),"※未登録"))</f>
        <v/>
      </c>
      <c r="R471" s="769" t="str">
        <f>IF($F471="","",$I471+$J471+$K471)</f>
        <v/>
      </c>
      <c r="S471" s="769" t="str">
        <f>IF(OR($F471="",$P471="支払なし",$H471=0,$Q471=""),"",$Q471&amp;"|S|"&amp;(COUNTIF(S$4:S470,$Q471&amp;"|S|*")+1))</f>
        <v/>
      </c>
      <c r="T471" s="769" t="str">
        <f>IF(OR($F471="",$P471="支払なし",$R471=0,$Q471=""),"",$Q471&amp;"|L|"&amp;(COUNTIF(T$4:T470,$Q471&amp;"|L|*")+1))</f>
        <v/>
      </c>
      <c r="U471" s="769" t="str">
        <f>IF($F471="","",13)</f>
        <v/>
      </c>
    </row>
    <row r="472" ht="16.5" customHeight="1" s="186">
      <c r="A472" s="760" t="n"/>
      <c r="B472" s="760" t="n"/>
      <c r="C472" s="762" t="n"/>
      <c r="D472" s="762" t="n"/>
      <c r="E472" s="775" t="n"/>
      <c r="F472" s="821" t="n"/>
      <c r="G472" s="821" t="n"/>
      <c r="H472" s="818">
        <f>IF(G472=1,F472-I472-J472-K472,IF(G472=2,F472,0))</f>
        <v>0</v>
      </c>
      <c r="I472" s="818">
        <f>ROUND(IF(G472=1,F472*10/23,IF(G472=3,F472-J472-K472,IF(G472=4,F472,IF(G472=5,F472*10/11,IF(G472=7,F472*10/11,0))))),0)</f>
        <v>0</v>
      </c>
      <c r="J472" s="818">
        <f>ROUND(IF(G472=1,F472/23,IF(G472=3,F472/12,IF(G472=5,F472-I472,IF(G472=8,F472,0)))),0)</f>
        <v>0</v>
      </c>
      <c r="K472" s="819">
        <f>ROUND(IF(G472=1,F472/23,IF(G472=3,F472/12,IF(G472=6,F472,IF(G472=7,F472-I472,0)))),0)</f>
        <v>0</v>
      </c>
      <c r="L472" s="820">
        <f>IF(G472=6,F472,0)</f>
        <v>0</v>
      </c>
      <c r="P472" s="768" t="n"/>
      <c r="Q472" s="769" t="str">
        <f>IF($F472="","",IFERROR(VLOOKUP($C472&amp;"|"&amp;$D472,科目表!$A$5:$B$200,2,FALSE),"※未登録"))</f>
        <v/>
      </c>
      <c r="R472" s="769" t="str">
        <f>IF($F472="","",$I472+$J472+$K472)</f>
        <v/>
      </c>
      <c r="S472" s="769" t="str">
        <f>IF(OR($F472="",$P472="支払なし",$H472=0,$Q472=""),"",$Q472&amp;"|S|"&amp;(COUNTIF(S$4:S471,$Q472&amp;"|S|*")+1))</f>
        <v/>
      </c>
      <c r="T472" s="769" t="str">
        <f>IF(OR($F472="",$P472="支払なし",$R472=0,$Q472=""),"",$Q472&amp;"|L|"&amp;(COUNTIF(T$4:T471,$Q472&amp;"|L|*")+1))</f>
        <v/>
      </c>
      <c r="U472" s="769" t="str">
        <f>IF($F472="","",13)</f>
        <v/>
      </c>
    </row>
    <row r="473" ht="16.5" customHeight="1" s="186">
      <c r="A473" s="760" t="n"/>
      <c r="B473" s="760" t="n"/>
      <c r="C473" s="762" t="n"/>
      <c r="D473" s="762" t="n"/>
      <c r="E473" s="775" t="n"/>
      <c r="F473" s="821" t="n"/>
      <c r="G473" s="821" t="n"/>
      <c r="H473" s="818">
        <f>IF(G473=1,F473-I473-J473-K473,IF(G473=2,F473,0))</f>
        <v>0</v>
      </c>
      <c r="I473" s="818">
        <f>ROUND(IF(G473=1,F473*10/23,IF(G473=3,F473-J473-K473,IF(G473=4,F473,IF(G473=5,F473*10/11,IF(G473=7,F473*10/11,0))))),0)</f>
        <v>0</v>
      </c>
      <c r="J473" s="818">
        <f>ROUND(IF(G473=1,F473/23,IF(G473=3,F473/12,IF(G473=5,F473-I473,IF(G473=8,F473,0)))),0)</f>
        <v>0</v>
      </c>
      <c r="K473" s="819">
        <f>ROUND(IF(G473=1,F473/23,IF(G473=3,F473/12,IF(G473=6,F473,IF(G473=7,F473-I473,0)))),0)</f>
        <v>0</v>
      </c>
      <c r="L473" s="820">
        <f>IF(G473=6,F473,0)</f>
        <v>0</v>
      </c>
      <c r="P473" s="768" t="n"/>
      <c r="Q473" s="769" t="str">
        <f>IF($F473="","",IFERROR(VLOOKUP($C473&amp;"|"&amp;$D473,科目表!$A$5:$B$200,2,FALSE),"※未登録"))</f>
        <v/>
      </c>
      <c r="R473" s="769" t="str">
        <f>IF($F473="","",$I473+$J473+$K473)</f>
        <v/>
      </c>
      <c r="S473" s="769" t="str">
        <f>IF(OR($F473="",$P473="支払なし",$H473=0,$Q473=""),"",$Q473&amp;"|S|"&amp;(COUNTIF(S$4:S472,$Q473&amp;"|S|*")+1))</f>
        <v/>
      </c>
      <c r="T473" s="769" t="str">
        <f>IF(OR($F473="",$P473="支払なし",$R473=0,$Q473=""),"",$Q473&amp;"|L|"&amp;(COUNTIF(T$4:T472,$Q473&amp;"|L|*")+1))</f>
        <v/>
      </c>
      <c r="U473" s="769" t="str">
        <f>IF($F473="","",13)</f>
        <v/>
      </c>
    </row>
    <row r="474" ht="16.5" customHeight="1" s="186">
      <c r="A474" s="760" t="n"/>
      <c r="B474" s="760" t="n"/>
      <c r="C474" s="762" t="n"/>
      <c r="D474" s="762" t="n"/>
      <c r="E474" s="775" t="n"/>
      <c r="F474" s="821" t="n"/>
      <c r="G474" s="821" t="n"/>
      <c r="H474" s="818">
        <f>IF(G474=1,F474-I474-J474-K474,IF(G474=2,F474,0))</f>
        <v>0</v>
      </c>
      <c r="I474" s="818">
        <f>ROUND(IF(G474=1,F474*10/23,IF(G474=3,F474-J474-K474,IF(G474=4,F474,IF(G474=5,F474*10/11,IF(G474=7,F474*10/11,0))))),0)</f>
        <v>0</v>
      </c>
      <c r="J474" s="818">
        <f>ROUND(IF(G474=1,F474/23,IF(G474=3,F474/12,IF(G474=5,F474-I474,IF(G474=8,F474,0)))),0)</f>
        <v>0</v>
      </c>
      <c r="K474" s="819">
        <f>ROUND(IF(G474=1,F474/23,IF(G474=3,F474/12,IF(G474=6,F474,IF(G474=7,F474-I474,0)))),0)</f>
        <v>0</v>
      </c>
      <c r="L474" s="820">
        <f>IF(G474=6,F474,0)</f>
        <v>0</v>
      </c>
      <c r="P474" s="768" t="n"/>
      <c r="Q474" s="769" t="str">
        <f>IF($F474="","",IFERROR(VLOOKUP($C474&amp;"|"&amp;$D474,科目表!$A$5:$B$200,2,FALSE),"※未登録"))</f>
        <v/>
      </c>
      <c r="R474" s="769" t="str">
        <f>IF($F474="","",$I474+$J474+$K474)</f>
        <v/>
      </c>
      <c r="S474" s="769" t="str">
        <f>IF(OR($F474="",$P474="支払なし",$H474=0,$Q474=""),"",$Q474&amp;"|S|"&amp;(COUNTIF(S$4:S473,$Q474&amp;"|S|*")+1))</f>
        <v/>
      </c>
      <c r="T474" s="769" t="str">
        <f>IF(OR($F474="",$P474="支払なし",$R474=0,$Q474=""),"",$Q474&amp;"|L|"&amp;(COUNTIF(T$4:T473,$Q474&amp;"|L|*")+1))</f>
        <v/>
      </c>
      <c r="U474" s="769" t="str">
        <f>IF($F474="","",13)</f>
        <v/>
      </c>
    </row>
    <row r="475" ht="16.5" customHeight="1" s="186">
      <c r="A475" s="760" t="n"/>
      <c r="B475" s="760" t="n"/>
      <c r="C475" s="762" t="n"/>
      <c r="D475" s="762" t="n"/>
      <c r="E475" s="775" t="n"/>
      <c r="F475" s="821" t="n"/>
      <c r="G475" s="821" t="n"/>
      <c r="H475" s="818">
        <f>IF(G475=1,F475-I475-J475-K475,IF(G475=2,F475,0))</f>
        <v>0</v>
      </c>
      <c r="I475" s="818">
        <f>ROUND(IF(G475=1,F475*10/23,IF(G475=3,F475-J475-K475,IF(G475=4,F475,IF(G475=5,F475*10/11,IF(G475=7,F475*10/11,0))))),0)</f>
        <v>0</v>
      </c>
      <c r="J475" s="818">
        <f>ROUND(IF(G475=1,F475/23,IF(G475=3,F475/12,IF(G475=5,F475-I475,IF(G475=8,F475,0)))),0)</f>
        <v>0</v>
      </c>
      <c r="K475" s="819">
        <f>ROUND(IF(G475=1,F475/23,IF(G475=3,F475/12,IF(G475=6,F475,IF(G475=7,F475-I475,0)))),0)</f>
        <v>0</v>
      </c>
      <c r="L475" s="820">
        <f>IF(G475=6,F475,0)</f>
        <v>0</v>
      </c>
      <c r="P475" s="768" t="n"/>
      <c r="Q475" s="769" t="str">
        <f>IF($F475="","",IFERROR(VLOOKUP($C475&amp;"|"&amp;$D475,科目表!$A$5:$B$200,2,FALSE),"※未登録"))</f>
        <v/>
      </c>
      <c r="R475" s="769" t="str">
        <f>IF($F475="","",$I475+$J475+$K475)</f>
        <v/>
      </c>
      <c r="S475" s="769" t="str">
        <f>IF(OR($F475="",$P475="支払なし",$H475=0,$Q475=""),"",$Q475&amp;"|S|"&amp;(COUNTIF(S$4:S474,$Q475&amp;"|S|*")+1))</f>
        <v/>
      </c>
      <c r="T475" s="769" t="str">
        <f>IF(OR($F475="",$P475="支払なし",$R475=0,$Q475=""),"",$Q475&amp;"|L|"&amp;(COUNTIF(T$4:T474,$Q475&amp;"|L|*")+1))</f>
        <v/>
      </c>
      <c r="U475" s="769" t="str">
        <f>IF($F475="","",13)</f>
        <v/>
      </c>
    </row>
    <row r="476" ht="16.5" customHeight="1" s="186">
      <c r="A476" s="760" t="n"/>
      <c r="B476" s="760" t="n"/>
      <c r="C476" s="762" t="n"/>
      <c r="D476" s="762" t="n"/>
      <c r="E476" s="775" t="n"/>
      <c r="F476" s="821" t="n"/>
      <c r="G476" s="821" t="n"/>
      <c r="H476" s="818">
        <f>IF(G476=1,F476-I476-J476-K476,IF(G476=2,F476,0))</f>
        <v>0</v>
      </c>
      <c r="I476" s="818">
        <f>ROUND(IF(G476=1,F476*10/23,IF(G476=3,F476-J476-K476,IF(G476=4,F476,IF(G476=5,F476*10/11,IF(G476=7,F476*10/11,0))))),0)</f>
        <v>0</v>
      </c>
      <c r="J476" s="818">
        <f>ROUND(IF(G476=1,F476/23,IF(G476=3,F476/12,IF(G476=5,F476-I476,IF(G476=8,F476,0)))),0)</f>
        <v>0</v>
      </c>
      <c r="K476" s="819">
        <f>ROUND(IF(G476=1,F476/23,IF(G476=3,F476/12,IF(G476=6,F476,IF(G476=7,F476-I476,0)))),0)</f>
        <v>0</v>
      </c>
      <c r="L476" s="820">
        <f>IF(G476=6,F476,0)</f>
        <v>0</v>
      </c>
      <c r="P476" s="768" t="n"/>
      <c r="Q476" s="769" t="str">
        <f>IF($F476="","",IFERROR(VLOOKUP($C476&amp;"|"&amp;$D476,科目表!$A$5:$B$200,2,FALSE),"※未登録"))</f>
        <v/>
      </c>
      <c r="R476" s="769" t="str">
        <f>IF($F476="","",$I476+$J476+$K476)</f>
        <v/>
      </c>
      <c r="S476" s="769" t="str">
        <f>IF(OR($F476="",$P476="支払なし",$H476=0,$Q476=""),"",$Q476&amp;"|S|"&amp;(COUNTIF(S$4:S475,$Q476&amp;"|S|*")+1))</f>
        <v/>
      </c>
      <c r="T476" s="769" t="str">
        <f>IF(OR($F476="",$P476="支払なし",$R476=0,$Q476=""),"",$Q476&amp;"|L|"&amp;(COUNTIF(T$4:T475,$Q476&amp;"|L|*")+1))</f>
        <v/>
      </c>
      <c r="U476" s="769" t="str">
        <f>IF($F476="","",13)</f>
        <v/>
      </c>
    </row>
    <row r="477" ht="16.5" customHeight="1" s="186">
      <c r="A477" s="760" t="n"/>
      <c r="B477" s="760" t="n"/>
      <c r="C477" s="762" t="n"/>
      <c r="D477" s="762" t="n"/>
      <c r="E477" s="775" t="n"/>
      <c r="F477" s="821" t="n"/>
      <c r="G477" s="821" t="n"/>
      <c r="H477" s="818">
        <f>IF(G477=1,F477-I477-J477-K477,IF(G477=2,F477,0))</f>
        <v>0</v>
      </c>
      <c r="I477" s="818">
        <f>ROUND(IF(G477=1,F477*10/23,IF(G477=3,F477-J477-K477,IF(G477=4,F477,IF(G477=5,F477*10/11,IF(G477=7,F477*10/11,0))))),0)</f>
        <v>0</v>
      </c>
      <c r="J477" s="818">
        <f>ROUND(IF(G477=1,F477/23,IF(G477=3,F477/12,IF(G477=5,F477-I477,IF(G477=8,F477,0)))),0)</f>
        <v>0</v>
      </c>
      <c r="K477" s="819">
        <f>ROUND(IF(G477=1,F477/23,IF(G477=3,F477/12,IF(G477=6,F477,IF(G477=7,F477-I477,0)))),0)</f>
        <v>0</v>
      </c>
      <c r="L477" s="820">
        <f>IF(G477=6,F477,0)</f>
        <v>0</v>
      </c>
      <c r="P477" s="768" t="n"/>
      <c r="Q477" s="769" t="str">
        <f>IF($F477="","",IFERROR(VLOOKUP($C477&amp;"|"&amp;$D477,科目表!$A$5:$B$200,2,FALSE),"※未登録"))</f>
        <v/>
      </c>
      <c r="R477" s="769" t="str">
        <f>IF($F477="","",$I477+$J477+$K477)</f>
        <v/>
      </c>
      <c r="S477" s="769" t="str">
        <f>IF(OR($F477="",$P477="支払なし",$H477=0,$Q477=""),"",$Q477&amp;"|S|"&amp;(COUNTIF(S$4:S476,$Q477&amp;"|S|*")+1))</f>
        <v/>
      </c>
      <c r="T477" s="769" t="str">
        <f>IF(OR($F477="",$P477="支払なし",$R477=0,$Q477=""),"",$Q477&amp;"|L|"&amp;(COUNTIF(T$4:T476,$Q477&amp;"|L|*")+1))</f>
        <v/>
      </c>
      <c r="U477" s="769" t="str">
        <f>IF($F477="","",13)</f>
        <v/>
      </c>
    </row>
    <row r="478" ht="16.5" customHeight="1" s="186">
      <c r="A478" s="760" t="n"/>
      <c r="B478" s="760" t="n"/>
      <c r="C478" s="762" t="n"/>
      <c r="D478" s="762" t="n"/>
      <c r="E478" s="775" t="n"/>
      <c r="F478" s="821" t="n"/>
      <c r="G478" s="821" t="n"/>
      <c r="H478" s="818">
        <f>IF(G478=1,F478-I478-J478-K478,IF(G478=2,F478,0))</f>
        <v>0</v>
      </c>
      <c r="I478" s="818">
        <f>ROUND(IF(G478=1,F478*10/23,IF(G478=3,F478-J478-K478,IF(G478=4,F478,IF(G478=5,F478*10/11,IF(G478=7,F478*10/11,0))))),0)</f>
        <v>0</v>
      </c>
      <c r="J478" s="818">
        <f>ROUND(IF(G478=1,F478/23,IF(G478=3,F478/12,IF(G478=5,F478-I478,IF(G478=8,F478,0)))),0)</f>
        <v>0</v>
      </c>
      <c r="K478" s="819">
        <f>ROUND(IF(G478=1,F478/23,IF(G478=3,F478/12,IF(G478=6,F478,IF(G478=7,F478-I478,0)))),0)</f>
        <v>0</v>
      </c>
      <c r="L478" s="820">
        <f>IF(G478=6,F478,0)</f>
        <v>0</v>
      </c>
      <c r="P478" s="768" t="n"/>
      <c r="Q478" s="769" t="str">
        <f>IF($F478="","",IFERROR(VLOOKUP($C478&amp;"|"&amp;$D478,科目表!$A$5:$B$200,2,FALSE),"※未登録"))</f>
        <v/>
      </c>
      <c r="R478" s="769" t="str">
        <f>IF($F478="","",$I478+$J478+$K478)</f>
        <v/>
      </c>
      <c r="S478" s="769" t="str">
        <f>IF(OR($F478="",$P478="支払なし",$H478=0,$Q478=""),"",$Q478&amp;"|S|"&amp;(COUNTIF(S$4:S477,$Q478&amp;"|S|*")+1))</f>
        <v/>
      </c>
      <c r="T478" s="769" t="str">
        <f>IF(OR($F478="",$P478="支払なし",$R478=0,$Q478=""),"",$Q478&amp;"|L|"&amp;(COUNTIF(T$4:T477,$Q478&amp;"|L|*")+1))</f>
        <v/>
      </c>
      <c r="U478" s="769" t="str">
        <f>IF($F478="","",13)</f>
        <v/>
      </c>
    </row>
    <row r="479" ht="16.5" customHeight="1" s="186">
      <c r="A479" s="760" t="n"/>
      <c r="B479" s="760" t="n"/>
      <c r="C479" s="762" t="n"/>
      <c r="D479" s="762" t="n"/>
      <c r="E479" s="775" t="n"/>
      <c r="F479" s="821" t="n"/>
      <c r="G479" s="821" t="n"/>
      <c r="H479" s="818">
        <f>IF(G479=1,F479-I479-J479-K479,IF(G479=2,F479,0))</f>
        <v>0</v>
      </c>
      <c r="I479" s="818">
        <f>ROUND(IF(G479=1,F479*10/23,IF(G479=3,F479-J479-K479,IF(G479=4,F479,IF(G479=5,F479*10/11,IF(G479=7,F479*10/11,0))))),0)</f>
        <v>0</v>
      </c>
      <c r="J479" s="818">
        <f>ROUND(IF(G479=1,F479/23,IF(G479=3,F479/12,IF(G479=5,F479-I479,IF(G479=8,F479,0)))),0)</f>
        <v>0</v>
      </c>
      <c r="K479" s="819">
        <f>ROUND(IF(G479=1,F479/23,IF(G479=3,F479/12,IF(G479=6,F479,IF(G479=7,F479-I479,0)))),0)</f>
        <v>0</v>
      </c>
      <c r="L479" s="820">
        <f>IF(G479=6,F479,0)</f>
        <v>0</v>
      </c>
      <c r="P479" s="768" t="n"/>
      <c r="Q479" s="769" t="str">
        <f>IF($F479="","",IFERROR(VLOOKUP($C479&amp;"|"&amp;$D479,科目表!$A$5:$B$200,2,FALSE),"※未登録"))</f>
        <v/>
      </c>
      <c r="R479" s="769" t="str">
        <f>IF($F479="","",$I479+$J479+$K479)</f>
        <v/>
      </c>
      <c r="S479" s="769" t="str">
        <f>IF(OR($F479="",$P479="支払なし",$H479=0,$Q479=""),"",$Q479&amp;"|S|"&amp;(COUNTIF(S$4:S478,$Q479&amp;"|S|*")+1))</f>
        <v/>
      </c>
      <c r="T479" s="769" t="str">
        <f>IF(OR($F479="",$P479="支払なし",$R479=0,$Q479=""),"",$Q479&amp;"|L|"&amp;(COUNTIF(T$4:T478,$Q479&amp;"|L|*")+1))</f>
        <v/>
      </c>
      <c r="U479" s="769" t="str">
        <f>IF($F479="","",13)</f>
        <v/>
      </c>
    </row>
    <row r="480" ht="16.5" customHeight="1" s="186">
      <c r="A480" s="760" t="n"/>
      <c r="B480" s="760" t="n"/>
      <c r="C480" s="762" t="n"/>
      <c r="D480" s="762" t="n"/>
      <c r="E480" s="775" t="n"/>
      <c r="F480" s="821" t="n"/>
      <c r="G480" s="821" t="n"/>
      <c r="H480" s="818">
        <f>IF(G480=1,F480-I480-J480-K480,IF(G480=2,F480,0))</f>
        <v>0</v>
      </c>
      <c r="I480" s="818">
        <f>ROUND(IF(G480=1,F480*10/23,IF(G480=3,F480-J480-K480,IF(G480=4,F480,IF(G480=5,F480*10/11,IF(G480=7,F480*10/11,0))))),0)</f>
        <v>0</v>
      </c>
      <c r="J480" s="818">
        <f>ROUND(IF(G480=1,F480/23,IF(G480=3,F480/12,IF(G480=5,F480-I480,IF(G480=8,F480,0)))),0)</f>
        <v>0</v>
      </c>
      <c r="K480" s="819">
        <f>ROUND(IF(G480=1,F480/23,IF(G480=3,F480/12,IF(G480=6,F480,IF(G480=7,F480-I480,0)))),0)</f>
        <v>0</v>
      </c>
      <c r="L480" s="820">
        <f>IF(G480=6,F480,0)</f>
        <v>0</v>
      </c>
      <c r="P480" s="768" t="n"/>
      <c r="Q480" s="769" t="str">
        <f>IF($F480="","",IFERROR(VLOOKUP($C480&amp;"|"&amp;$D480,科目表!$A$5:$B$200,2,FALSE),"※未登録"))</f>
        <v/>
      </c>
      <c r="R480" s="769" t="str">
        <f>IF($F480="","",$I480+$J480+$K480)</f>
        <v/>
      </c>
      <c r="S480" s="769" t="str">
        <f>IF(OR($F480="",$P480="支払なし",$H480=0,$Q480=""),"",$Q480&amp;"|S|"&amp;(COUNTIF(S$4:S479,$Q480&amp;"|S|*")+1))</f>
        <v/>
      </c>
      <c r="T480" s="769" t="str">
        <f>IF(OR($F480="",$P480="支払なし",$R480=0,$Q480=""),"",$Q480&amp;"|L|"&amp;(COUNTIF(T$4:T479,$Q480&amp;"|L|*")+1))</f>
        <v/>
      </c>
      <c r="U480" s="769" t="str">
        <f>IF($F480="","",13)</f>
        <v/>
      </c>
    </row>
    <row r="481" ht="16.5" customHeight="1" s="186">
      <c r="A481" s="760" t="n"/>
      <c r="B481" s="760" t="n"/>
      <c r="C481" s="762" t="n"/>
      <c r="D481" s="762" t="n"/>
      <c r="E481" s="775" t="n"/>
      <c r="F481" s="821" t="n"/>
      <c r="G481" s="821" t="n"/>
      <c r="H481" s="818">
        <f>IF(G481=1,F481-I481-J481-K481,IF(G481=2,F481,0))</f>
        <v>0</v>
      </c>
      <c r="I481" s="818">
        <f>ROUND(IF(G481=1,F481*10/23,IF(G481=3,F481-J481-K481,IF(G481=4,F481,IF(G481=5,F481*10/11,IF(G481=7,F481*10/11,0))))),0)</f>
        <v>0</v>
      </c>
      <c r="J481" s="818">
        <f>ROUND(IF(G481=1,F481/23,IF(G481=3,F481/12,IF(G481=5,F481-I481,IF(G481=8,F481,0)))),0)</f>
        <v>0</v>
      </c>
      <c r="K481" s="819">
        <f>ROUND(IF(G481=1,F481/23,IF(G481=3,F481/12,IF(G481=6,F481,IF(G481=7,F481-I481,0)))),0)</f>
        <v>0</v>
      </c>
      <c r="L481" s="820">
        <f>IF(G481=6,F481,0)</f>
        <v>0</v>
      </c>
      <c r="P481" s="768" t="n"/>
      <c r="Q481" s="769" t="str">
        <f>IF($F481="","",IFERROR(VLOOKUP($C481&amp;"|"&amp;$D481,科目表!$A$5:$B$200,2,FALSE),"※未登録"))</f>
        <v/>
      </c>
      <c r="R481" s="769" t="str">
        <f>IF($F481="","",$I481+$J481+$K481)</f>
        <v/>
      </c>
      <c r="S481" s="769" t="str">
        <f>IF(OR($F481="",$P481="支払なし",$H481=0,$Q481=""),"",$Q481&amp;"|S|"&amp;(COUNTIF(S$4:S480,$Q481&amp;"|S|*")+1))</f>
        <v/>
      </c>
      <c r="T481" s="769" t="str">
        <f>IF(OR($F481="",$P481="支払なし",$R481=0,$Q481=""),"",$Q481&amp;"|L|"&amp;(COUNTIF(T$4:T480,$Q481&amp;"|L|*")+1))</f>
        <v/>
      </c>
      <c r="U481" s="769" t="str">
        <f>IF($F481="","",13)</f>
        <v/>
      </c>
    </row>
    <row r="482" ht="16.5" customHeight="1" s="186">
      <c r="A482" s="760" t="n"/>
      <c r="B482" s="760" t="n"/>
      <c r="C482" s="762" t="n"/>
      <c r="D482" s="762" t="n"/>
      <c r="E482" s="775" t="n"/>
      <c r="F482" s="821" t="n"/>
      <c r="G482" s="821" t="n"/>
      <c r="H482" s="818">
        <f>IF(G482=1,F482-I482-J482-K482,IF(G482=2,F482,0))</f>
        <v>0</v>
      </c>
      <c r="I482" s="818">
        <f>ROUND(IF(G482=1,F482*10/23,IF(G482=3,F482-J482-K482,IF(G482=4,F482,IF(G482=5,F482*10/11,IF(G482=7,F482*10/11,0))))),0)</f>
        <v>0</v>
      </c>
      <c r="J482" s="818">
        <f>ROUND(IF(G482=1,F482/23,IF(G482=3,F482/12,IF(G482=5,F482-I482,IF(G482=8,F482,0)))),0)</f>
        <v>0</v>
      </c>
      <c r="K482" s="819">
        <f>ROUND(IF(G482=1,F482/23,IF(G482=3,F482/12,IF(G482=6,F482,IF(G482=7,F482-I482,0)))),0)</f>
        <v>0</v>
      </c>
      <c r="L482" s="820">
        <f>IF(G482=6,F482,0)</f>
        <v>0</v>
      </c>
      <c r="P482" s="768" t="n"/>
      <c r="Q482" s="769" t="str">
        <f>IF($F482="","",IFERROR(VLOOKUP($C482&amp;"|"&amp;$D482,科目表!$A$5:$B$200,2,FALSE),"※未登録"))</f>
        <v/>
      </c>
      <c r="R482" s="769" t="str">
        <f>IF($F482="","",$I482+$J482+$K482)</f>
        <v/>
      </c>
      <c r="S482" s="769" t="str">
        <f>IF(OR($F482="",$P482="支払なし",$H482=0,$Q482=""),"",$Q482&amp;"|S|"&amp;(COUNTIF(S$4:S481,$Q482&amp;"|S|*")+1))</f>
        <v/>
      </c>
      <c r="T482" s="769" t="str">
        <f>IF(OR($F482="",$P482="支払なし",$R482=0,$Q482=""),"",$Q482&amp;"|L|"&amp;(COUNTIF(T$4:T481,$Q482&amp;"|L|*")+1))</f>
        <v/>
      </c>
      <c r="U482" s="769" t="str">
        <f>IF($F482="","",13)</f>
        <v/>
      </c>
    </row>
    <row r="483" ht="16.5" customHeight="1" s="186">
      <c r="A483" s="760" t="n"/>
      <c r="B483" s="760" t="n"/>
      <c r="C483" s="762" t="n"/>
      <c r="D483" s="762" t="n"/>
      <c r="E483" s="775" t="n"/>
      <c r="F483" s="821" t="n"/>
      <c r="G483" s="821" t="n"/>
      <c r="H483" s="818">
        <f>IF(G483=1,F483-I483-J483-K483,IF(G483=2,F483,0))</f>
        <v>0</v>
      </c>
      <c r="I483" s="818">
        <f>ROUND(IF(G483=1,F483*10/23,IF(G483=3,F483-J483-K483,IF(G483=4,F483,IF(G483=5,F483*10/11,IF(G483=7,F483*10/11,0))))),0)</f>
        <v>0</v>
      </c>
      <c r="J483" s="818">
        <f>ROUND(IF(G483=1,F483/23,IF(G483=3,F483/12,IF(G483=5,F483-I483,IF(G483=8,F483,0)))),0)</f>
        <v>0</v>
      </c>
      <c r="K483" s="819">
        <f>ROUND(IF(G483=1,F483/23,IF(G483=3,F483/12,IF(G483=6,F483,IF(G483=7,F483-I483,0)))),0)</f>
        <v>0</v>
      </c>
      <c r="L483" s="820">
        <f>IF(G483=6,F483,0)</f>
        <v>0</v>
      </c>
      <c r="P483" s="768" t="n"/>
      <c r="Q483" s="769" t="str">
        <f>IF($F483="","",IFERROR(VLOOKUP($C483&amp;"|"&amp;$D483,科目表!$A$5:$B$200,2,FALSE),"※未登録"))</f>
        <v/>
      </c>
      <c r="R483" s="769" t="str">
        <f>IF($F483="","",$I483+$J483+$K483)</f>
        <v/>
      </c>
      <c r="S483" s="769" t="str">
        <f>IF(OR($F483="",$P483="支払なし",$H483=0,$Q483=""),"",$Q483&amp;"|S|"&amp;(COUNTIF(S$4:S482,$Q483&amp;"|S|*")+1))</f>
        <v/>
      </c>
      <c r="T483" s="769" t="str">
        <f>IF(OR($F483="",$P483="支払なし",$R483=0,$Q483=""),"",$Q483&amp;"|L|"&amp;(COUNTIF(T$4:T482,$Q483&amp;"|L|*")+1))</f>
        <v/>
      </c>
      <c r="U483" s="769" t="str">
        <f>IF($F483="","",13)</f>
        <v/>
      </c>
    </row>
    <row r="484" ht="16.5" customHeight="1" s="186">
      <c r="A484" s="760" t="n"/>
      <c r="B484" s="760" t="n"/>
      <c r="C484" s="762" t="n"/>
      <c r="D484" s="762" t="n"/>
      <c r="E484" s="775" t="n"/>
      <c r="F484" s="821" t="n"/>
      <c r="G484" s="821" t="n"/>
      <c r="H484" s="818">
        <f>IF(G484=1,F484-I484-J484-K484,IF(G484=2,F484,0))</f>
        <v>0</v>
      </c>
      <c r="I484" s="818">
        <f>ROUND(IF(G484=1,F484*10/23,IF(G484=3,F484-J484-K484,IF(G484=4,F484,IF(G484=5,F484*10/11,IF(G484=7,F484*10/11,0))))),0)</f>
        <v>0</v>
      </c>
      <c r="J484" s="818">
        <f>ROUND(IF(G484=1,F484/23,IF(G484=3,F484/12,IF(G484=5,F484-I484,IF(G484=8,F484,0)))),0)</f>
        <v>0</v>
      </c>
      <c r="K484" s="819">
        <f>ROUND(IF(G484=1,F484/23,IF(G484=3,F484/12,IF(G484=6,F484,IF(G484=7,F484-I484,0)))),0)</f>
        <v>0</v>
      </c>
      <c r="L484" s="820">
        <f>IF(G484=6,F484,0)</f>
        <v>0</v>
      </c>
      <c r="P484" s="768" t="n"/>
      <c r="Q484" s="769" t="str">
        <f>IF($F484="","",IFERROR(VLOOKUP($C484&amp;"|"&amp;$D484,科目表!$A$5:$B$200,2,FALSE),"※未登録"))</f>
        <v/>
      </c>
      <c r="R484" s="769" t="str">
        <f>IF($F484="","",$I484+$J484+$K484)</f>
        <v/>
      </c>
      <c r="S484" s="769" t="str">
        <f>IF(OR($F484="",$P484="支払なし",$H484=0,$Q484=""),"",$Q484&amp;"|S|"&amp;(COUNTIF(S$4:S483,$Q484&amp;"|S|*")+1))</f>
        <v/>
      </c>
      <c r="T484" s="769" t="str">
        <f>IF(OR($F484="",$P484="支払なし",$R484=0,$Q484=""),"",$Q484&amp;"|L|"&amp;(COUNTIF(T$4:T483,$Q484&amp;"|L|*")+1))</f>
        <v/>
      </c>
      <c r="U484" s="769" t="str">
        <f>IF($F484="","",13)</f>
        <v/>
      </c>
    </row>
    <row r="485" ht="16.5" customHeight="1" s="186">
      <c r="A485" s="760" t="n"/>
      <c r="B485" s="760" t="n"/>
      <c r="C485" s="762" t="n"/>
      <c r="D485" s="762" t="n"/>
      <c r="E485" s="775" t="n"/>
      <c r="F485" s="821" t="n"/>
      <c r="G485" s="821" t="n"/>
      <c r="H485" s="818">
        <f>IF(G485=1,F485-I485-J485-K485,IF(G485=2,F485,0))</f>
        <v>0</v>
      </c>
      <c r="I485" s="818">
        <f>ROUND(IF(G485=1,F485*10/23,IF(G485=3,F485-J485-K485,IF(G485=4,F485,IF(G485=5,F485*10/11,IF(G485=7,F485*10/11,0))))),0)</f>
        <v>0</v>
      </c>
      <c r="J485" s="818">
        <f>ROUND(IF(G485=1,F485/23,IF(G485=3,F485/12,IF(G485=5,F485-I485,IF(G485=8,F485,0)))),0)</f>
        <v>0</v>
      </c>
      <c r="K485" s="819">
        <f>ROUND(IF(G485=1,F485/23,IF(G485=3,F485/12,IF(G485=6,F485,IF(G485=7,F485-I485,0)))),0)</f>
        <v>0</v>
      </c>
      <c r="L485" s="820">
        <f>IF(G485=6,F485,0)</f>
        <v>0</v>
      </c>
      <c r="P485" s="768" t="n"/>
      <c r="Q485" s="769" t="str">
        <f>IF($F485="","",IFERROR(VLOOKUP($C485&amp;"|"&amp;$D485,科目表!$A$5:$B$200,2,FALSE),"※未登録"))</f>
        <v/>
      </c>
      <c r="R485" s="769" t="str">
        <f>IF($F485="","",$I485+$J485+$K485)</f>
        <v/>
      </c>
      <c r="S485" s="769" t="str">
        <f>IF(OR($F485="",$P485="支払なし",$H485=0,$Q485=""),"",$Q485&amp;"|S|"&amp;(COUNTIF(S$4:S484,$Q485&amp;"|S|*")+1))</f>
        <v/>
      </c>
      <c r="T485" s="769" t="str">
        <f>IF(OR($F485="",$P485="支払なし",$R485=0,$Q485=""),"",$Q485&amp;"|L|"&amp;(COUNTIF(T$4:T484,$Q485&amp;"|L|*")+1))</f>
        <v/>
      </c>
      <c r="U485" s="769" t="str">
        <f>IF($F485="","",13)</f>
        <v/>
      </c>
    </row>
    <row r="486" ht="16.5" customHeight="1" s="186">
      <c r="A486" s="760" t="n"/>
      <c r="B486" s="760" t="n"/>
      <c r="C486" s="762" t="n"/>
      <c r="D486" s="762" t="n"/>
      <c r="E486" s="775" t="n"/>
      <c r="F486" s="821" t="n"/>
      <c r="G486" s="821" t="n"/>
      <c r="H486" s="818">
        <f>IF(G486=1,F486-I486-J486-K486,IF(G486=2,F486,0))</f>
        <v>0</v>
      </c>
      <c r="I486" s="818">
        <f>ROUND(IF(G486=1,F486*10/23,IF(G486=3,F486-J486-K486,IF(G486=4,F486,IF(G486=5,F486*10/11,IF(G486=7,F486*10/11,0))))),0)</f>
        <v>0</v>
      </c>
      <c r="J486" s="818">
        <f>ROUND(IF(G486=1,F486/23,IF(G486=3,F486/12,IF(G486=5,F486-I486,IF(G486=8,F486,0)))),0)</f>
        <v>0</v>
      </c>
      <c r="K486" s="819">
        <f>ROUND(IF(G486=1,F486/23,IF(G486=3,F486/12,IF(G486=6,F486,IF(G486=7,F486-I486,0)))),0)</f>
        <v>0</v>
      </c>
      <c r="L486" s="820">
        <f>IF(G486=6,F486,0)</f>
        <v>0</v>
      </c>
      <c r="P486" s="768" t="n"/>
      <c r="Q486" s="769" t="str">
        <f>IF($F486="","",IFERROR(VLOOKUP($C486&amp;"|"&amp;$D486,科目表!$A$5:$B$200,2,FALSE),"※未登録"))</f>
        <v/>
      </c>
      <c r="R486" s="769" t="str">
        <f>IF($F486="","",$I486+$J486+$K486)</f>
        <v/>
      </c>
      <c r="S486" s="769" t="str">
        <f>IF(OR($F486="",$P486="支払なし",$H486=0,$Q486=""),"",$Q486&amp;"|S|"&amp;(COUNTIF(S$4:S485,$Q486&amp;"|S|*")+1))</f>
        <v/>
      </c>
      <c r="T486" s="769" t="str">
        <f>IF(OR($F486="",$P486="支払なし",$R486=0,$Q486=""),"",$Q486&amp;"|L|"&amp;(COUNTIF(T$4:T485,$Q486&amp;"|L|*")+1))</f>
        <v/>
      </c>
      <c r="U486" s="769" t="str">
        <f>IF($F486="","",13)</f>
        <v/>
      </c>
    </row>
    <row r="487" ht="16.5" customHeight="1" s="186">
      <c r="A487" s="760" t="n"/>
      <c r="B487" s="760" t="n"/>
      <c r="C487" s="762" t="n"/>
      <c r="D487" s="762" t="n"/>
      <c r="E487" s="775" t="n"/>
      <c r="F487" s="821" t="n"/>
      <c r="G487" s="821" t="n"/>
      <c r="H487" s="818">
        <f>IF(G487=1,F487-I487-J487-K487,IF(G487=2,F487,0))</f>
        <v>0</v>
      </c>
      <c r="I487" s="818">
        <f>ROUND(IF(G487=1,F487*10/23,IF(G487=3,F487-J487-K487,IF(G487=4,F487,IF(G487=5,F487*10/11,IF(G487=7,F487*10/11,0))))),0)</f>
        <v>0</v>
      </c>
      <c r="J487" s="818">
        <f>ROUND(IF(G487=1,F487/23,IF(G487=3,F487/12,IF(G487=5,F487-I487,IF(G487=8,F487,0)))),0)</f>
        <v>0</v>
      </c>
      <c r="K487" s="819">
        <f>ROUND(IF(G487=1,F487/23,IF(G487=3,F487/12,IF(G487=6,F487,IF(G487=7,F487-I487,0)))),0)</f>
        <v>0</v>
      </c>
      <c r="L487" s="820">
        <f>IF(G487=6,F487,0)</f>
        <v>0</v>
      </c>
      <c r="P487" s="768" t="n"/>
      <c r="Q487" s="769" t="str">
        <f>IF($F487="","",IFERROR(VLOOKUP($C487&amp;"|"&amp;$D487,科目表!$A$5:$B$200,2,FALSE),"※未登録"))</f>
        <v/>
      </c>
      <c r="R487" s="769" t="str">
        <f>IF($F487="","",$I487+$J487+$K487)</f>
        <v/>
      </c>
      <c r="S487" s="769" t="str">
        <f>IF(OR($F487="",$P487="支払なし",$H487=0,$Q487=""),"",$Q487&amp;"|S|"&amp;(COUNTIF(S$4:S486,$Q487&amp;"|S|*")+1))</f>
        <v/>
      </c>
      <c r="T487" s="769" t="str">
        <f>IF(OR($F487="",$P487="支払なし",$R487=0,$Q487=""),"",$Q487&amp;"|L|"&amp;(COUNTIF(T$4:T486,$Q487&amp;"|L|*")+1))</f>
        <v/>
      </c>
      <c r="U487" s="769" t="str">
        <f>IF($F487="","",13)</f>
        <v/>
      </c>
    </row>
    <row r="488" ht="16.5" customHeight="1" s="186">
      <c r="A488" s="760" t="n"/>
      <c r="B488" s="760" t="n"/>
      <c r="C488" s="762" t="n"/>
      <c r="D488" s="762" t="n"/>
      <c r="E488" s="775" t="n"/>
      <c r="F488" s="821" t="n"/>
      <c r="G488" s="821" t="n"/>
      <c r="H488" s="818">
        <f>IF(G488=1,F488-I488-J488-K488,IF(G488=2,F488,0))</f>
        <v>0</v>
      </c>
      <c r="I488" s="818">
        <f>ROUND(IF(G488=1,F488*10/23,IF(G488=3,F488-J488-K488,IF(G488=4,F488,IF(G488=5,F488*10/11,IF(G488=7,F488*10/11,0))))),0)</f>
        <v>0</v>
      </c>
      <c r="J488" s="818">
        <f>ROUND(IF(G488=1,F488/23,IF(G488=3,F488/12,IF(G488=5,F488-I488,IF(G488=8,F488,0)))),0)</f>
        <v>0</v>
      </c>
      <c r="K488" s="819">
        <f>ROUND(IF(G488=1,F488/23,IF(G488=3,F488/12,IF(G488=6,F488,IF(G488=7,F488-I488,0)))),0)</f>
        <v>0</v>
      </c>
      <c r="L488" s="820">
        <f>IF(G488=6,F488,0)</f>
        <v>0</v>
      </c>
      <c r="P488" s="768" t="n"/>
      <c r="Q488" s="769" t="str">
        <f>IF($F488="","",IFERROR(VLOOKUP($C488&amp;"|"&amp;$D488,科目表!$A$5:$B$200,2,FALSE),"※未登録"))</f>
        <v/>
      </c>
      <c r="R488" s="769" t="str">
        <f>IF($F488="","",$I488+$J488+$K488)</f>
        <v/>
      </c>
      <c r="S488" s="769" t="str">
        <f>IF(OR($F488="",$P488="支払なし",$H488=0,$Q488=""),"",$Q488&amp;"|S|"&amp;(COUNTIF(S$4:S487,$Q488&amp;"|S|*")+1))</f>
        <v/>
      </c>
      <c r="T488" s="769" t="str">
        <f>IF(OR($F488="",$P488="支払なし",$R488=0,$Q488=""),"",$Q488&amp;"|L|"&amp;(COUNTIF(T$4:T487,$Q488&amp;"|L|*")+1))</f>
        <v/>
      </c>
      <c r="U488" s="769" t="str">
        <f>IF($F488="","",13)</f>
        <v/>
      </c>
    </row>
    <row r="489" ht="16.5" customHeight="1" s="186">
      <c r="A489" s="760" t="n"/>
      <c r="B489" s="760" t="n"/>
      <c r="C489" s="762" t="n"/>
      <c r="D489" s="762" t="n"/>
      <c r="E489" s="775" t="n"/>
      <c r="F489" s="821" t="n"/>
      <c r="G489" s="821" t="n"/>
      <c r="H489" s="818">
        <f>IF(G489=1,F489-I489-J489-K489,IF(G489=2,F489,0))</f>
        <v>0</v>
      </c>
      <c r="I489" s="818">
        <f>ROUND(IF(G489=1,F489*10/23,IF(G489=3,F489-J489-K489,IF(G489=4,F489,IF(G489=5,F489*10/11,IF(G489=7,F489*10/11,0))))),0)</f>
        <v>0</v>
      </c>
      <c r="J489" s="818">
        <f>ROUND(IF(G489=1,F489/23,IF(G489=3,F489/12,IF(G489=5,F489-I489,IF(G489=8,F489,0)))),0)</f>
        <v>0</v>
      </c>
      <c r="K489" s="819">
        <f>ROUND(IF(G489=1,F489/23,IF(G489=3,F489/12,IF(G489=6,F489,IF(G489=7,F489-I489,0)))),0)</f>
        <v>0</v>
      </c>
      <c r="L489" s="820">
        <f>IF(G489=6,F489,0)</f>
        <v>0</v>
      </c>
      <c r="P489" s="768" t="n"/>
      <c r="Q489" s="769" t="str">
        <f>IF($F489="","",IFERROR(VLOOKUP($C489&amp;"|"&amp;$D489,科目表!$A$5:$B$200,2,FALSE),"※未登録"))</f>
        <v/>
      </c>
      <c r="R489" s="769" t="str">
        <f>IF($F489="","",$I489+$J489+$K489)</f>
        <v/>
      </c>
      <c r="S489" s="769" t="str">
        <f>IF(OR($F489="",$P489="支払なし",$H489=0,$Q489=""),"",$Q489&amp;"|S|"&amp;(COUNTIF(S$4:S488,$Q489&amp;"|S|*")+1))</f>
        <v/>
      </c>
      <c r="T489" s="769" t="str">
        <f>IF(OR($F489="",$P489="支払なし",$R489=0,$Q489=""),"",$Q489&amp;"|L|"&amp;(COUNTIF(T$4:T488,$Q489&amp;"|L|*")+1))</f>
        <v/>
      </c>
      <c r="U489" s="769" t="str">
        <f>IF($F489="","",13)</f>
        <v/>
      </c>
    </row>
    <row r="490" ht="16.5" customHeight="1" s="186">
      <c r="A490" s="760" t="n"/>
      <c r="B490" s="760" t="n"/>
      <c r="C490" s="762" t="n"/>
      <c r="D490" s="762" t="n"/>
      <c r="E490" s="775" t="n"/>
      <c r="F490" s="821" t="n"/>
      <c r="G490" s="821" t="n"/>
      <c r="H490" s="818">
        <f>IF(G490=1,F490-I490-J490-K490,IF(G490=2,F490,0))</f>
        <v>0</v>
      </c>
      <c r="I490" s="818">
        <f>ROUND(IF(G490=1,F490*10/23,IF(G490=3,F490-J490-K490,IF(G490=4,F490,IF(G490=5,F490*10/11,IF(G490=7,F490*10/11,0))))),0)</f>
        <v>0</v>
      </c>
      <c r="J490" s="818">
        <f>ROUND(IF(G490=1,F490/23,IF(G490=3,F490/12,IF(G490=5,F490-I490,IF(G490=8,F490,0)))),0)</f>
        <v>0</v>
      </c>
      <c r="K490" s="819">
        <f>ROUND(IF(G490=1,F490/23,IF(G490=3,F490/12,IF(G490=6,F490,IF(G490=7,F490-I490,0)))),0)</f>
        <v>0</v>
      </c>
      <c r="L490" s="820">
        <f>IF(G490=6,F490,0)</f>
        <v>0</v>
      </c>
      <c r="P490" s="768" t="n"/>
      <c r="Q490" s="769" t="str">
        <f>IF($F490="","",IFERROR(VLOOKUP($C490&amp;"|"&amp;$D490,科目表!$A$5:$B$200,2,FALSE),"※未登録"))</f>
        <v/>
      </c>
      <c r="R490" s="769" t="str">
        <f>IF($F490="","",$I490+$J490+$K490)</f>
        <v/>
      </c>
      <c r="S490" s="769" t="str">
        <f>IF(OR($F490="",$P490="支払なし",$H490=0,$Q490=""),"",$Q490&amp;"|S|"&amp;(COUNTIF(S$4:S489,$Q490&amp;"|S|*")+1))</f>
        <v/>
      </c>
      <c r="T490" s="769" t="str">
        <f>IF(OR($F490="",$P490="支払なし",$R490=0,$Q490=""),"",$Q490&amp;"|L|"&amp;(COUNTIF(T$4:T489,$Q490&amp;"|L|*")+1))</f>
        <v/>
      </c>
      <c r="U490" s="769" t="str">
        <f>IF($F490="","",13)</f>
        <v/>
      </c>
    </row>
    <row r="491" ht="16.5" customHeight="1" s="186">
      <c r="A491" s="760" t="n"/>
      <c r="B491" s="760" t="n"/>
      <c r="C491" s="762" t="n"/>
      <c r="D491" s="762" t="n"/>
      <c r="E491" s="775" t="n"/>
      <c r="F491" s="821" t="n"/>
      <c r="G491" s="821" t="n"/>
      <c r="H491" s="818">
        <f>IF(G491=1,F491-I491-J491-K491,IF(G491=2,F491,0))</f>
        <v>0</v>
      </c>
      <c r="I491" s="818">
        <f>ROUND(IF(G491=1,F491*10/23,IF(G491=3,F491-J491-K491,IF(G491=4,F491,IF(G491=5,F491*10/11,IF(G491=7,F491*10/11,0))))),0)</f>
        <v>0</v>
      </c>
      <c r="J491" s="818">
        <f>ROUND(IF(G491=1,F491/23,IF(G491=3,F491/12,IF(G491=5,F491-I491,IF(G491=8,F491,0)))),0)</f>
        <v>0</v>
      </c>
      <c r="K491" s="819">
        <f>ROUND(IF(G491=1,F491/23,IF(G491=3,F491/12,IF(G491=6,F491,IF(G491=7,F491-I491,0)))),0)</f>
        <v>0</v>
      </c>
      <c r="L491" s="820">
        <f>IF(G491=6,F491,0)</f>
        <v>0</v>
      </c>
      <c r="P491" s="768" t="n"/>
      <c r="Q491" s="769" t="str">
        <f>IF($F491="","",IFERROR(VLOOKUP($C491&amp;"|"&amp;$D491,科目表!$A$5:$B$200,2,FALSE),"※未登録"))</f>
        <v/>
      </c>
      <c r="R491" s="769" t="str">
        <f>IF($F491="","",$I491+$J491+$K491)</f>
        <v/>
      </c>
      <c r="S491" s="769" t="str">
        <f>IF(OR($F491="",$P491="支払なし",$H491=0,$Q491=""),"",$Q491&amp;"|S|"&amp;(COUNTIF(S$4:S490,$Q491&amp;"|S|*")+1))</f>
        <v/>
      </c>
      <c r="T491" s="769" t="str">
        <f>IF(OR($F491="",$P491="支払なし",$R491=0,$Q491=""),"",$Q491&amp;"|L|"&amp;(COUNTIF(T$4:T490,$Q491&amp;"|L|*")+1))</f>
        <v/>
      </c>
      <c r="U491" s="769" t="str">
        <f>IF($F491="","",13)</f>
        <v/>
      </c>
    </row>
    <row r="492" ht="16.5" customHeight="1" s="186">
      <c r="A492" s="760" t="n"/>
      <c r="B492" s="760" t="n"/>
      <c r="C492" s="762" t="n"/>
      <c r="D492" s="762" t="n"/>
      <c r="E492" s="775" t="n"/>
      <c r="F492" s="821" t="n"/>
      <c r="G492" s="821" t="n"/>
      <c r="H492" s="818">
        <f>IF(G492=1,F492-I492-J492-K492,IF(G492=2,F492,0))</f>
        <v>0</v>
      </c>
      <c r="I492" s="818">
        <f>ROUND(IF(G492=1,F492*10/23,IF(G492=3,F492-J492-K492,IF(G492=4,F492,IF(G492=5,F492*10/11,IF(G492=7,F492*10/11,0))))),0)</f>
        <v>0</v>
      </c>
      <c r="J492" s="818">
        <f>ROUND(IF(G492=1,F492/23,IF(G492=3,F492/12,IF(G492=5,F492-I492,IF(G492=8,F492,0)))),0)</f>
        <v>0</v>
      </c>
      <c r="K492" s="819">
        <f>ROUND(IF(G492=1,F492/23,IF(G492=3,F492/12,IF(G492=6,F492,IF(G492=7,F492-I492,0)))),0)</f>
        <v>0</v>
      </c>
      <c r="L492" s="820">
        <f>IF(G492=6,F492,0)</f>
        <v>0</v>
      </c>
      <c r="P492" s="768" t="n"/>
      <c r="Q492" s="769" t="str">
        <f>IF($F492="","",IFERROR(VLOOKUP($C492&amp;"|"&amp;$D492,科目表!$A$5:$B$200,2,FALSE),"※未登録"))</f>
        <v/>
      </c>
      <c r="R492" s="769" t="str">
        <f>IF($F492="","",$I492+$J492+$K492)</f>
        <v/>
      </c>
      <c r="S492" s="769" t="str">
        <f>IF(OR($F492="",$P492="支払なし",$H492=0,$Q492=""),"",$Q492&amp;"|S|"&amp;(COUNTIF(S$4:S491,$Q492&amp;"|S|*")+1))</f>
        <v/>
      </c>
      <c r="T492" s="769" t="str">
        <f>IF(OR($F492="",$P492="支払なし",$R492=0,$Q492=""),"",$Q492&amp;"|L|"&amp;(COUNTIF(T$4:T491,$Q492&amp;"|L|*")+1))</f>
        <v/>
      </c>
      <c r="U492" s="769" t="str">
        <f>IF($F492="","",13)</f>
        <v/>
      </c>
    </row>
    <row r="493" ht="16.5" customHeight="1" s="186">
      <c r="A493" s="760" t="n"/>
      <c r="B493" s="760" t="n"/>
      <c r="C493" s="762" t="n"/>
      <c r="D493" s="762" t="n"/>
      <c r="E493" s="775" t="n"/>
      <c r="F493" s="821" t="n"/>
      <c r="G493" s="821" t="n"/>
      <c r="H493" s="818">
        <f>IF(G493=1,F493-I493-J493-K493,IF(G493=2,F493,0))</f>
        <v>0</v>
      </c>
      <c r="I493" s="818">
        <f>ROUND(IF(G493=1,F493*10/23,IF(G493=3,F493-J493-K493,IF(G493=4,F493,IF(G493=5,F493*10/11,IF(G493=7,F493*10/11,0))))),0)</f>
        <v>0</v>
      </c>
      <c r="J493" s="818">
        <f>ROUND(IF(G493=1,F493/23,IF(G493=3,F493/12,IF(G493=5,F493-I493,IF(G493=8,F493,0)))),0)</f>
        <v>0</v>
      </c>
      <c r="K493" s="819">
        <f>ROUND(IF(G493=1,F493/23,IF(G493=3,F493/12,IF(G493=6,F493,IF(G493=7,F493-I493,0)))),0)</f>
        <v>0</v>
      </c>
      <c r="L493" s="820">
        <f>IF(G493=6,F493,0)</f>
        <v>0</v>
      </c>
      <c r="P493" s="768" t="n"/>
      <c r="Q493" s="769" t="str">
        <f>IF($F493="","",IFERROR(VLOOKUP($C493&amp;"|"&amp;$D493,科目表!$A$5:$B$200,2,FALSE),"※未登録"))</f>
        <v/>
      </c>
      <c r="R493" s="769" t="str">
        <f>IF($F493="","",$I493+$J493+$K493)</f>
        <v/>
      </c>
      <c r="S493" s="769" t="str">
        <f>IF(OR($F493="",$P493="支払なし",$H493=0,$Q493=""),"",$Q493&amp;"|S|"&amp;(COUNTIF(S$4:S492,$Q493&amp;"|S|*")+1))</f>
        <v/>
      </c>
      <c r="T493" s="769" t="str">
        <f>IF(OR($F493="",$P493="支払なし",$R493=0,$Q493=""),"",$Q493&amp;"|L|"&amp;(COUNTIF(T$4:T492,$Q493&amp;"|L|*")+1))</f>
        <v/>
      </c>
      <c r="U493" s="769" t="str">
        <f>IF($F493="","",13)</f>
        <v/>
      </c>
    </row>
    <row r="494" ht="16.5" customHeight="1" s="186">
      <c r="A494" s="760" t="n"/>
      <c r="B494" s="760" t="n"/>
      <c r="C494" s="762" t="n"/>
      <c r="D494" s="762" t="n"/>
      <c r="E494" s="775" t="n"/>
      <c r="F494" s="821" t="n"/>
      <c r="G494" s="821" t="n"/>
      <c r="H494" s="818">
        <f>IF(G494=1,F494-I494-J494-K494,IF(G494=2,F494,0))</f>
        <v>0</v>
      </c>
      <c r="I494" s="818">
        <f>ROUND(IF(G494=1,F494*10/23,IF(G494=3,F494-J494-K494,IF(G494=4,F494,IF(G494=5,F494*10/11,IF(G494=7,F494*10/11,0))))),0)</f>
        <v>0</v>
      </c>
      <c r="J494" s="818">
        <f>ROUND(IF(G494=1,F494/23,IF(G494=3,F494/12,IF(G494=5,F494-I494,IF(G494=8,F494,0)))),0)</f>
        <v>0</v>
      </c>
      <c r="K494" s="819">
        <f>ROUND(IF(G494=1,F494/23,IF(G494=3,F494/12,IF(G494=6,F494,IF(G494=7,F494-I494,0)))),0)</f>
        <v>0</v>
      </c>
      <c r="L494" s="820">
        <f>IF(G494=6,F494,0)</f>
        <v>0</v>
      </c>
      <c r="P494" s="768" t="n"/>
      <c r="Q494" s="769" t="str">
        <f>IF($F494="","",IFERROR(VLOOKUP($C494&amp;"|"&amp;$D494,科目表!$A$5:$B$200,2,FALSE),"※未登録"))</f>
        <v/>
      </c>
      <c r="R494" s="769" t="str">
        <f>IF($F494="","",$I494+$J494+$K494)</f>
        <v/>
      </c>
      <c r="S494" s="769" t="str">
        <f>IF(OR($F494="",$P494="支払なし",$H494=0,$Q494=""),"",$Q494&amp;"|S|"&amp;(COUNTIF(S$4:S493,$Q494&amp;"|S|*")+1))</f>
        <v/>
      </c>
      <c r="T494" s="769" t="str">
        <f>IF(OR($F494="",$P494="支払なし",$R494=0,$Q494=""),"",$Q494&amp;"|L|"&amp;(COUNTIF(T$4:T493,$Q494&amp;"|L|*")+1))</f>
        <v/>
      </c>
      <c r="U494" s="769" t="str">
        <f>IF($F494="","",13)</f>
        <v/>
      </c>
    </row>
    <row r="495" ht="16.5" customHeight="1" s="186">
      <c r="A495" s="760" t="n"/>
      <c r="B495" s="760" t="n"/>
      <c r="C495" s="762" t="n"/>
      <c r="D495" s="762" t="n"/>
      <c r="E495" s="775" t="n"/>
      <c r="F495" s="821" t="n"/>
      <c r="G495" s="821" t="n"/>
      <c r="H495" s="818">
        <f>IF(G495=1,F495-I495-J495-K495,IF(G495=2,F495,0))</f>
        <v>0</v>
      </c>
      <c r="I495" s="818">
        <f>ROUND(IF(G495=1,F495*10/23,IF(G495=3,F495-J495-K495,IF(G495=4,F495,IF(G495=5,F495*10/11,IF(G495=7,F495*10/11,0))))),0)</f>
        <v>0</v>
      </c>
      <c r="J495" s="818">
        <f>ROUND(IF(G495=1,F495/23,IF(G495=3,F495/12,IF(G495=5,F495-I495,IF(G495=8,F495,0)))),0)</f>
        <v>0</v>
      </c>
      <c r="K495" s="819">
        <f>ROUND(IF(G495=1,F495/23,IF(G495=3,F495/12,IF(G495=6,F495,IF(G495=7,F495-I495,0)))),0)</f>
        <v>0</v>
      </c>
      <c r="L495" s="820">
        <f>IF(G495=6,F495,0)</f>
        <v>0</v>
      </c>
      <c r="P495" s="768" t="n"/>
      <c r="Q495" s="769" t="str">
        <f>IF($F495="","",IFERROR(VLOOKUP($C495&amp;"|"&amp;$D495,科目表!$A$5:$B$200,2,FALSE),"※未登録"))</f>
        <v/>
      </c>
      <c r="R495" s="769" t="str">
        <f>IF($F495="","",$I495+$J495+$K495)</f>
        <v/>
      </c>
      <c r="S495" s="769" t="str">
        <f>IF(OR($F495="",$P495="支払なし",$H495=0,$Q495=""),"",$Q495&amp;"|S|"&amp;(COUNTIF(S$4:S494,$Q495&amp;"|S|*")+1))</f>
        <v/>
      </c>
      <c r="T495" s="769" t="str">
        <f>IF(OR($F495="",$P495="支払なし",$R495=0,$Q495=""),"",$Q495&amp;"|L|"&amp;(COUNTIF(T$4:T494,$Q495&amp;"|L|*")+1))</f>
        <v/>
      </c>
      <c r="U495" s="769" t="str">
        <f>IF($F495="","",13)</f>
        <v/>
      </c>
    </row>
    <row r="496" ht="16.5" customHeight="1" s="186">
      <c r="A496" s="760" t="n"/>
      <c r="B496" s="760" t="n"/>
      <c r="C496" s="762" t="n"/>
      <c r="D496" s="762" t="n"/>
      <c r="E496" s="775" t="n"/>
      <c r="F496" s="821" t="n"/>
      <c r="G496" s="821" t="n"/>
      <c r="H496" s="818">
        <f>IF(G496=1,F496-I496-J496-K496,IF(G496=2,F496,0))</f>
        <v>0</v>
      </c>
      <c r="I496" s="818">
        <f>ROUND(IF(G496=1,F496*10/23,IF(G496=3,F496-J496-K496,IF(G496=4,F496,IF(G496=5,F496*10/11,IF(G496=7,F496*10/11,0))))),0)</f>
        <v>0</v>
      </c>
      <c r="J496" s="818">
        <f>ROUND(IF(G496=1,F496/23,IF(G496=3,F496/12,IF(G496=5,F496-I496,IF(G496=8,F496,0)))),0)</f>
        <v>0</v>
      </c>
      <c r="K496" s="819">
        <f>ROUND(IF(G496=1,F496/23,IF(G496=3,F496/12,IF(G496=6,F496,IF(G496=7,F496-I496,0)))),0)</f>
        <v>0</v>
      </c>
      <c r="L496" s="820">
        <f>IF(G496=6,F496,0)</f>
        <v>0</v>
      </c>
      <c r="P496" s="768" t="n"/>
      <c r="Q496" s="769" t="str">
        <f>IF($F496="","",IFERROR(VLOOKUP($C496&amp;"|"&amp;$D496,科目表!$A$5:$B$200,2,FALSE),"※未登録"))</f>
        <v/>
      </c>
      <c r="R496" s="769" t="str">
        <f>IF($F496="","",$I496+$J496+$K496)</f>
        <v/>
      </c>
      <c r="S496" s="769" t="str">
        <f>IF(OR($F496="",$P496="支払なし",$H496=0,$Q496=""),"",$Q496&amp;"|S|"&amp;(COUNTIF(S$4:S495,$Q496&amp;"|S|*")+1))</f>
        <v/>
      </c>
      <c r="T496" s="769" t="str">
        <f>IF(OR($F496="",$P496="支払なし",$R496=0,$Q496=""),"",$Q496&amp;"|L|"&amp;(COUNTIF(T$4:T495,$Q496&amp;"|L|*")+1))</f>
        <v/>
      </c>
      <c r="U496" s="769" t="str">
        <f>IF($F496="","",13)</f>
        <v/>
      </c>
    </row>
    <row r="497" ht="16.5" customHeight="1" s="186">
      <c r="A497" s="760" t="n"/>
      <c r="B497" s="760" t="n"/>
      <c r="C497" s="762" t="n"/>
      <c r="D497" s="762" t="n"/>
      <c r="E497" s="775" t="n"/>
      <c r="F497" s="821" t="n"/>
      <c r="G497" s="821" t="n"/>
      <c r="H497" s="818">
        <f>IF(G497=1,F497-I497-J497-K497,IF(G497=2,F497,0))</f>
        <v>0</v>
      </c>
      <c r="I497" s="818">
        <f>ROUND(IF(G497=1,F497*10/23,IF(G497=3,F497-J497-K497,IF(G497=4,F497,IF(G497=5,F497*10/11,IF(G497=7,F497*10/11,0))))),0)</f>
        <v>0</v>
      </c>
      <c r="J497" s="818">
        <f>ROUND(IF(G497=1,F497/23,IF(G497=3,F497/12,IF(G497=5,F497-I497,IF(G497=8,F497,0)))),0)</f>
        <v>0</v>
      </c>
      <c r="K497" s="819">
        <f>ROUND(IF(G497=1,F497/23,IF(G497=3,F497/12,IF(G497=6,F497,IF(G497=7,F497-I497,0)))),0)</f>
        <v>0</v>
      </c>
      <c r="L497" s="820">
        <f>IF(G497=6,F497,0)</f>
        <v>0</v>
      </c>
      <c r="P497" s="768" t="n"/>
      <c r="Q497" s="769" t="str">
        <f>IF($F497="","",IFERROR(VLOOKUP($C497&amp;"|"&amp;$D497,科目表!$A$5:$B$200,2,FALSE),"※未登録"))</f>
        <v/>
      </c>
      <c r="R497" s="769" t="str">
        <f>IF($F497="","",$I497+$J497+$K497)</f>
        <v/>
      </c>
      <c r="S497" s="769" t="str">
        <f>IF(OR($F497="",$P497="支払なし",$H497=0,$Q497=""),"",$Q497&amp;"|S|"&amp;(COUNTIF(S$4:S496,$Q497&amp;"|S|*")+1))</f>
        <v/>
      </c>
      <c r="T497" s="769" t="str">
        <f>IF(OR($F497="",$P497="支払なし",$R497=0,$Q497=""),"",$Q497&amp;"|L|"&amp;(COUNTIF(T$4:T496,$Q497&amp;"|L|*")+1))</f>
        <v/>
      </c>
      <c r="U497" s="769" t="str">
        <f>IF($F497="","",13)</f>
        <v/>
      </c>
    </row>
    <row r="498" ht="16.5" customHeight="1" s="186">
      <c r="A498" s="760" t="n"/>
      <c r="B498" s="760" t="n"/>
      <c r="C498" s="762" t="n"/>
      <c r="D498" s="762" t="n"/>
      <c r="E498" s="775" t="n"/>
      <c r="F498" s="821" t="n"/>
      <c r="G498" s="821" t="n"/>
      <c r="H498" s="818">
        <f>IF(G498=1,F498-I498-J498-K498,IF(G498=2,F498,0))</f>
        <v>0</v>
      </c>
      <c r="I498" s="818">
        <f>ROUND(IF(G498=1,F498*10/23,IF(G498=3,F498-J498-K498,IF(G498=4,F498,IF(G498=5,F498*10/11,IF(G498=7,F498*10/11,0))))),0)</f>
        <v>0</v>
      </c>
      <c r="J498" s="818">
        <f>ROUND(IF(G498=1,F498/23,IF(G498=3,F498/12,IF(G498=5,F498-I498,IF(G498=8,F498,0)))),0)</f>
        <v>0</v>
      </c>
      <c r="K498" s="819">
        <f>ROUND(IF(G498=1,F498/23,IF(G498=3,F498/12,IF(G498=6,F498,IF(G498=7,F498-I498,0)))),0)</f>
        <v>0</v>
      </c>
      <c r="L498" s="820">
        <f>IF(G498=6,F498,0)</f>
        <v>0</v>
      </c>
      <c r="P498" s="768" t="n"/>
      <c r="Q498" s="769" t="str">
        <f>IF($F498="","",IFERROR(VLOOKUP($C498&amp;"|"&amp;$D498,科目表!$A$5:$B$200,2,FALSE),"※未登録"))</f>
        <v/>
      </c>
      <c r="R498" s="769" t="str">
        <f>IF($F498="","",$I498+$J498+$K498)</f>
        <v/>
      </c>
      <c r="S498" s="769" t="str">
        <f>IF(OR($F498="",$P498="支払なし",$H498=0,$Q498=""),"",$Q498&amp;"|S|"&amp;(COUNTIF(S$4:S497,$Q498&amp;"|S|*")+1))</f>
        <v/>
      </c>
      <c r="T498" s="769" t="str">
        <f>IF(OR($F498="",$P498="支払なし",$R498=0,$Q498=""),"",$Q498&amp;"|L|"&amp;(COUNTIF(T$4:T497,$Q498&amp;"|L|*")+1))</f>
        <v/>
      </c>
      <c r="U498" s="769" t="str">
        <f>IF($F498="","",13)</f>
        <v/>
      </c>
    </row>
    <row r="499" ht="16.5" customHeight="1" s="186">
      <c r="A499" s="760" t="n"/>
      <c r="B499" s="760" t="n"/>
      <c r="C499" s="762" t="n"/>
      <c r="D499" s="762" t="n"/>
      <c r="E499" s="775" t="n"/>
      <c r="F499" s="821" t="n"/>
      <c r="G499" s="821" t="n"/>
      <c r="H499" s="818">
        <f>IF(G499=1,F499-I499-J499-K499,IF(G499=2,F499,0))</f>
        <v>0</v>
      </c>
      <c r="I499" s="818">
        <f>ROUND(IF(G499=1,F499*10/23,IF(G499=3,F499-J499-K499,IF(G499=4,F499,IF(G499=5,F499*10/11,IF(G499=7,F499*10/11,0))))),0)</f>
        <v>0</v>
      </c>
      <c r="J499" s="818">
        <f>ROUND(IF(G499=1,F499/23,IF(G499=3,F499/12,IF(G499=5,F499-I499,IF(G499=8,F499,0)))),0)</f>
        <v>0</v>
      </c>
      <c r="K499" s="819">
        <f>ROUND(IF(G499=1,F499/23,IF(G499=3,F499/12,IF(G499=6,F499,IF(G499=7,F499-I499,0)))),0)</f>
        <v>0</v>
      </c>
      <c r="L499" s="820">
        <f>IF(G499=6,F499,0)</f>
        <v>0</v>
      </c>
      <c r="P499" s="768" t="n"/>
      <c r="Q499" s="769" t="str">
        <f>IF($F499="","",IFERROR(VLOOKUP($C499&amp;"|"&amp;$D499,科目表!$A$5:$B$200,2,FALSE),"※未登録"))</f>
        <v/>
      </c>
      <c r="R499" s="769" t="str">
        <f>IF($F499="","",$I499+$J499+$K499)</f>
        <v/>
      </c>
      <c r="S499" s="769" t="str">
        <f>IF(OR($F499="",$P499="支払なし",$H499=0,$Q499=""),"",$Q499&amp;"|S|"&amp;(COUNTIF(S$4:S498,$Q499&amp;"|S|*")+1))</f>
        <v/>
      </c>
      <c r="T499" s="769" t="str">
        <f>IF(OR($F499="",$P499="支払なし",$R499=0,$Q499=""),"",$Q499&amp;"|L|"&amp;(COUNTIF(T$4:T498,$Q499&amp;"|L|*")+1))</f>
        <v/>
      </c>
      <c r="U499" s="769" t="str">
        <f>IF($F499="","",13)</f>
        <v/>
      </c>
    </row>
    <row r="500" ht="16.5" customHeight="1" s="186">
      <c r="A500" s="760" t="n"/>
      <c r="B500" s="760" t="n"/>
      <c r="C500" s="762" t="n"/>
      <c r="D500" s="762" t="n"/>
      <c r="E500" s="775" t="n"/>
      <c r="F500" s="821" t="n"/>
      <c r="G500" s="821" t="n"/>
      <c r="H500" s="818">
        <f>IF(G500=1,F500-I500-J500-K500,IF(G500=2,F500,0))</f>
        <v>0</v>
      </c>
      <c r="I500" s="818">
        <f>ROUND(IF(G500=1,F500*10/23,IF(G500=3,F500-J500-K500,IF(G500=4,F500,IF(G500=5,F500*10/11,IF(G500=7,F500*10/11,0))))),0)</f>
        <v>0</v>
      </c>
      <c r="J500" s="818">
        <f>ROUND(IF(G500=1,F500/23,IF(G500=3,F500/12,IF(G500=5,F500-I500,IF(G500=8,F500,0)))),0)</f>
        <v>0</v>
      </c>
      <c r="K500" s="819">
        <f>ROUND(IF(G500=1,F500/23,IF(G500=3,F500/12,IF(G500=6,F500,IF(G500=7,F500-I500,0)))),0)</f>
        <v>0</v>
      </c>
      <c r="L500" s="820">
        <f>IF(G500=6,F500,0)</f>
        <v>0</v>
      </c>
      <c r="P500" s="768" t="n"/>
      <c r="Q500" s="769" t="str">
        <f>IF($F500="","",IFERROR(VLOOKUP($C500&amp;"|"&amp;$D500,科目表!$A$5:$B$200,2,FALSE),"※未登録"))</f>
        <v/>
      </c>
      <c r="R500" s="769" t="str">
        <f>IF($F500="","",$I500+$J500+$K500)</f>
        <v/>
      </c>
      <c r="S500" s="769" t="str">
        <f>IF(OR($F500="",$P500="支払なし",$H500=0,$Q500=""),"",$Q500&amp;"|S|"&amp;(COUNTIF(S$4:S499,$Q500&amp;"|S|*")+1))</f>
        <v/>
      </c>
      <c r="T500" s="769" t="str">
        <f>IF(OR($F500="",$P500="支払なし",$R500=0,$Q500=""),"",$Q500&amp;"|L|"&amp;(COUNTIF(T$4:T499,$Q500&amp;"|L|*")+1))</f>
        <v/>
      </c>
      <c r="U500" s="769" t="str">
        <f>IF($F500="","",13)</f>
        <v/>
      </c>
    </row>
    <row r="501" ht="16.5" customHeight="1" s="186">
      <c r="A501" s="760" t="n"/>
      <c r="B501" s="760" t="n"/>
      <c r="C501" s="762" t="n"/>
      <c r="D501" s="762" t="n"/>
      <c r="E501" s="775" t="n"/>
      <c r="F501" s="821" t="n"/>
      <c r="G501" s="821" t="n"/>
      <c r="H501" s="818">
        <f>IF(G501=1,F501-I501-J501-K501,IF(G501=2,F501,0))</f>
        <v>0</v>
      </c>
      <c r="I501" s="818">
        <f>ROUND(IF(G501=1,F501*10/23,IF(G501=3,F501-J501-K501,IF(G501=4,F501,IF(G501=5,F501*10/11,IF(G501=7,F501*10/11,0))))),0)</f>
        <v>0</v>
      </c>
      <c r="J501" s="818">
        <f>ROUND(IF(G501=1,F501/23,IF(G501=3,F501/12,IF(G501=5,F501-I501,IF(G501=8,F501,0)))),0)</f>
        <v>0</v>
      </c>
      <c r="K501" s="819">
        <f>ROUND(IF(G501=1,F501/23,IF(G501=3,F501/12,IF(G501=6,F501,IF(G501=7,F501-I501,0)))),0)</f>
        <v>0</v>
      </c>
      <c r="L501" s="820">
        <f>IF(G501=6,F501,0)</f>
        <v>0</v>
      </c>
      <c r="P501" s="768" t="n"/>
      <c r="Q501" s="769" t="str">
        <f>IF($F501="","",IFERROR(VLOOKUP($C501&amp;"|"&amp;$D501,科目表!$A$5:$B$200,2,FALSE),"※未登録"))</f>
        <v/>
      </c>
      <c r="R501" s="769" t="str">
        <f>IF($F501="","",$I501+$J501+$K501)</f>
        <v/>
      </c>
      <c r="S501" s="769" t="str">
        <f>IF(OR($F501="",$P501="支払なし",$H501=0,$Q501=""),"",$Q501&amp;"|S|"&amp;(COUNTIF(S$4:S500,$Q501&amp;"|S|*")+1))</f>
        <v/>
      </c>
      <c r="T501" s="769" t="str">
        <f>IF(OR($F501="",$P501="支払なし",$R501=0,$Q501=""),"",$Q501&amp;"|L|"&amp;(COUNTIF(T$4:T500,$Q501&amp;"|L|*")+1))</f>
        <v/>
      </c>
      <c r="U501" s="769" t="str">
        <f>IF($F501="","",13)</f>
        <v/>
      </c>
    </row>
    <row r="502" ht="16.5" customHeight="1" s="186">
      <c r="A502" s="760" t="n"/>
      <c r="B502" s="760" t="n"/>
      <c r="C502" s="762" t="n"/>
      <c r="D502" s="762" t="n"/>
      <c r="E502" s="775" t="n"/>
      <c r="F502" s="821" t="n"/>
      <c r="G502" s="821" t="n"/>
      <c r="H502" s="818">
        <f>IF(G502=1,F502-I502-J502-K502,IF(G502=2,F502,0))</f>
        <v>0</v>
      </c>
      <c r="I502" s="818">
        <f>ROUND(IF(G502=1,F502*10/23,IF(G502=3,F502-J502-K502,IF(G502=4,F502,IF(G502=5,F502*10/11,IF(G502=7,F502*10/11,0))))),0)</f>
        <v>0</v>
      </c>
      <c r="J502" s="818">
        <f>ROUND(IF(G502=1,F502/23,IF(G502=3,F502/12,IF(G502=5,F502-I502,IF(G502=8,F502,0)))),0)</f>
        <v>0</v>
      </c>
      <c r="K502" s="819">
        <f>ROUND(IF(G502=1,F502/23,IF(G502=3,F502/12,IF(G502=6,F502,IF(G502=7,F502-I502,0)))),0)</f>
        <v>0</v>
      </c>
      <c r="L502" s="820">
        <f>IF(G502=6,F502,0)</f>
        <v>0</v>
      </c>
      <c r="P502" s="768" t="n"/>
      <c r="Q502" s="769" t="str">
        <f>IF($F502="","",IFERROR(VLOOKUP($C502&amp;"|"&amp;$D502,科目表!$A$5:$B$200,2,FALSE),"※未登録"))</f>
        <v/>
      </c>
      <c r="R502" s="769" t="str">
        <f>IF($F502="","",$I502+$J502+$K502)</f>
        <v/>
      </c>
      <c r="S502" s="769" t="str">
        <f>IF(OR($F502="",$P502="支払なし",$H502=0,$Q502=""),"",$Q502&amp;"|S|"&amp;(COUNTIF(S$4:S501,$Q502&amp;"|S|*")+1))</f>
        <v/>
      </c>
      <c r="T502" s="769" t="str">
        <f>IF(OR($F502="",$P502="支払なし",$R502=0,$Q502=""),"",$Q502&amp;"|L|"&amp;(COUNTIF(T$4:T501,$Q502&amp;"|L|*")+1))</f>
        <v/>
      </c>
      <c r="U502" s="769" t="str">
        <f>IF($F502="","",13)</f>
        <v/>
      </c>
    </row>
    <row r="503" ht="16.5" customHeight="1" s="186">
      <c r="A503" s="760" t="n"/>
      <c r="B503" s="760" t="n"/>
      <c r="C503" s="762" t="n"/>
      <c r="D503" s="762" t="n"/>
      <c r="E503" s="775" t="n"/>
      <c r="F503" s="821" t="n"/>
      <c r="G503" s="821" t="n"/>
      <c r="H503" s="818">
        <f>IF(G503=1,F503-I503-J503-K503,IF(G503=2,F503,0))</f>
        <v>0</v>
      </c>
      <c r="I503" s="818">
        <f>ROUND(IF(G503=1,F503*10/23,IF(G503=3,F503-J503-K503,IF(G503=4,F503,IF(G503=5,F503*10/11,IF(G503=7,F503*10/11,0))))),0)</f>
        <v>0</v>
      </c>
      <c r="J503" s="818">
        <f>ROUND(IF(G503=1,F503/23,IF(G503=3,F503/12,IF(G503=5,F503-I503,IF(G503=8,F503,0)))),0)</f>
        <v>0</v>
      </c>
      <c r="K503" s="819">
        <f>ROUND(IF(G503=1,F503/23,IF(G503=3,F503/12,IF(G503=6,F503,IF(G503=7,F503-I503,0)))),0)</f>
        <v>0</v>
      </c>
      <c r="L503" s="820">
        <f>IF(G503=6,F503,0)</f>
        <v>0</v>
      </c>
      <c r="P503" s="768" t="n"/>
      <c r="Q503" s="769" t="str">
        <f>IF($F503="","",IFERROR(VLOOKUP($C503&amp;"|"&amp;$D503,科目表!$A$5:$B$200,2,FALSE),"※未登録"))</f>
        <v/>
      </c>
      <c r="R503" s="769" t="str">
        <f>IF($F503="","",$I503+$J503+$K503)</f>
        <v/>
      </c>
      <c r="S503" s="769" t="str">
        <f>IF(OR($F503="",$P503="支払なし",$H503=0,$Q503=""),"",$Q503&amp;"|S|"&amp;(COUNTIF(S$4:S502,$Q503&amp;"|S|*")+1))</f>
        <v/>
      </c>
      <c r="T503" s="769" t="str">
        <f>IF(OR($F503="",$P503="支払なし",$R503=0,$Q503=""),"",$Q503&amp;"|L|"&amp;(COUNTIF(T$4:T502,$Q503&amp;"|L|*")+1))</f>
        <v/>
      </c>
      <c r="U503" s="769" t="str">
        <f>IF($F503="","",13)</f>
        <v/>
      </c>
    </row>
    <row r="504" ht="16.5" customFormat="1" customHeight="1" s="43">
      <c r="A504" s="760" t="n"/>
      <c r="B504" s="760" t="n"/>
      <c r="C504" s="762" t="n"/>
      <c r="D504" s="762" t="n"/>
      <c r="E504" s="762" t="n"/>
      <c r="F504" s="807" t="n"/>
      <c r="G504" s="807" t="n"/>
      <c r="H504" s="818">
        <f>IF(G504=1,F504-I504-J504-K504,IF(G504=2,F504,0))</f>
        <v>0</v>
      </c>
      <c r="I504" s="818">
        <f>ROUND(IF(G504=1,F504*10/23,IF(G504=3,F504-J504-K504,IF(G504=4,F504,IF(G504=5,F504*10/11,IF(G504=7,F504*10/11,0))))),0)</f>
        <v>0</v>
      </c>
      <c r="J504" s="818">
        <f>ROUND(IF(G504=1,F504/23,IF(G504=3,F504/12,IF(G504=5,F504-I504,IF(G504=8,F504,0)))),0)</f>
        <v>0</v>
      </c>
      <c r="K504" s="819">
        <f>ROUND(IF(G504=1,F504/23,IF(G504=3,F504/12,IF(G504=6,F504,IF(G504=7,F504-I504,0)))),0)</f>
        <v>0</v>
      </c>
      <c r="L504" s="820">
        <f>IF(G504=6,F504,0)</f>
        <v>0</v>
      </c>
      <c r="P504" s="768" t="n"/>
      <c r="Q504" s="769" t="str">
        <f>IF($F504="","",IFERROR(VLOOKUP($C504&amp;"|"&amp;$D504,科目表!$A$5:$B$200,2,FALSE),"※未登録"))</f>
        <v/>
      </c>
      <c r="R504" s="769" t="str">
        <f>IF($F504="","",$I504+$J504+$K504)</f>
        <v/>
      </c>
      <c r="S504" s="769" t="str">
        <f>IF(OR($F504="",$P504="支払なし",$H504=0,$Q504=""),"",$Q504&amp;"|S|"&amp;(COUNTIF(S$4:S503,$Q504&amp;"|S|*")+1))</f>
        <v/>
      </c>
      <c r="T504" s="769" t="str">
        <f>IF(OR($F504="",$P504="支払なし",$R504=0,$Q504=""),"",$Q504&amp;"|L|"&amp;(COUNTIF(T$4:T503,$Q504&amp;"|L|*")+1))</f>
        <v/>
      </c>
      <c r="U504" s="769" t="str">
        <f>IF($F504="","",13)</f>
        <v/>
      </c>
    </row>
    <row r="505" ht="16.5" customHeight="1" s="186">
      <c r="A505" s="760" t="n"/>
      <c r="B505" s="760" t="n"/>
      <c r="C505" s="762" t="n"/>
      <c r="D505" s="762" t="n"/>
      <c r="E505" s="775" t="n"/>
      <c r="F505" s="821" t="n"/>
      <c r="G505" s="821" t="n"/>
      <c r="H505" s="818">
        <f>IF(G505=1,F505-I505-J505-K505,IF(G505=2,F505,0))</f>
        <v>0</v>
      </c>
      <c r="I505" s="818">
        <f>ROUND(IF(G505=1,F505*10/23,IF(G505=3,F505-J505-K505,IF(G505=4,F505,IF(G505=5,F505*10/11,IF(G505=7,F505*10/11,0))))),0)</f>
        <v>0</v>
      </c>
      <c r="J505" s="818">
        <f>ROUND(IF(G505=1,F505/23,IF(G505=3,F505/12,IF(G505=5,F505-I505,IF(G505=8,F505,0)))),0)</f>
        <v>0</v>
      </c>
      <c r="K505" s="819">
        <f>ROUND(IF(G505=1,F505/23,IF(G505=3,F505/12,IF(G505=6,F505,IF(G505=7,F505-I505,0)))),0)</f>
        <v>0</v>
      </c>
      <c r="L505" s="820">
        <f>IF(G505=6,F505,0)</f>
        <v>0</v>
      </c>
      <c r="P505" s="768" t="n"/>
      <c r="Q505" s="769" t="str">
        <f>IF($F505="","",IFERROR(VLOOKUP($C505&amp;"|"&amp;$D505,科目表!$A$5:$B$200,2,FALSE),"※未登録"))</f>
        <v/>
      </c>
      <c r="R505" s="769" t="str">
        <f>IF($F505="","",$I505+$J505+$K505)</f>
        <v/>
      </c>
      <c r="S505" s="769" t="str">
        <f>IF(OR($F505="",$P505="支払なし",$H505=0,$Q505=""),"",$Q505&amp;"|S|"&amp;(COUNTIF(S$4:S504,$Q505&amp;"|S|*")+1))</f>
        <v/>
      </c>
      <c r="T505" s="769" t="str">
        <f>IF(OR($F505="",$P505="支払なし",$R505=0,$Q505=""),"",$Q505&amp;"|L|"&amp;(COUNTIF(T$4:T504,$Q505&amp;"|L|*")+1))</f>
        <v/>
      </c>
      <c r="U505" s="769" t="str">
        <f>IF($F505="","",13)</f>
        <v/>
      </c>
    </row>
    <row r="506" ht="16.5" customHeight="1" s="186">
      <c r="A506" s="760" t="n"/>
      <c r="B506" s="760" t="n"/>
      <c r="C506" s="762" t="n"/>
      <c r="D506" s="762" t="n"/>
      <c r="E506" s="775" t="n"/>
      <c r="F506" s="821" t="n"/>
      <c r="G506" s="821" t="n"/>
      <c r="H506" s="818">
        <f>IF(G506=1,F506-I506-J506-K506,IF(G506=2,F506,0))</f>
        <v>0</v>
      </c>
      <c r="I506" s="818">
        <f>ROUND(IF(G506=1,F506*10/23,IF(G506=3,F506-J506-K506,IF(G506=4,F506,IF(G506=5,F506*10/11,IF(G506=7,F506*10/11,0))))),0)</f>
        <v>0</v>
      </c>
      <c r="J506" s="818">
        <f>ROUND(IF(G506=1,F506/23,IF(G506=3,F506/12,IF(G506=5,F506-I506,IF(G506=8,F506,0)))),0)</f>
        <v>0</v>
      </c>
      <c r="K506" s="819">
        <f>ROUND(IF(G506=1,F506/23,IF(G506=3,F506/12,IF(G506=6,F506,IF(G506=7,F506-I506,0)))),0)</f>
        <v>0</v>
      </c>
      <c r="L506" s="820">
        <f>IF(G506=6,F506,0)</f>
        <v>0</v>
      </c>
      <c r="P506" s="768" t="n"/>
      <c r="Q506" s="769" t="str">
        <f>IF($F506="","",IFERROR(VLOOKUP($C506&amp;"|"&amp;$D506,科目表!$A$5:$B$200,2,FALSE),"※未登録"))</f>
        <v/>
      </c>
      <c r="R506" s="769" t="str">
        <f>IF($F506="","",$I506+$J506+$K506)</f>
        <v/>
      </c>
      <c r="S506" s="769" t="str">
        <f>IF(OR($F506="",$P506="支払なし",$H506=0,$Q506=""),"",$Q506&amp;"|S|"&amp;(COUNTIF(S$4:S505,$Q506&amp;"|S|*")+1))</f>
        <v/>
      </c>
      <c r="T506" s="769" t="str">
        <f>IF(OR($F506="",$P506="支払なし",$R506=0,$Q506=""),"",$Q506&amp;"|L|"&amp;(COUNTIF(T$4:T505,$Q506&amp;"|L|*")+1))</f>
        <v/>
      </c>
      <c r="U506" s="769" t="str">
        <f>IF($F506="","",13)</f>
        <v/>
      </c>
    </row>
    <row r="507" ht="16.5" customHeight="1" s="186">
      <c r="A507" s="760" t="n"/>
      <c r="B507" s="760" t="n"/>
      <c r="C507" s="762" t="n"/>
      <c r="D507" s="762" t="n"/>
      <c r="E507" s="775" t="n"/>
      <c r="F507" s="821" t="n"/>
      <c r="G507" s="821" t="n"/>
      <c r="H507" s="818">
        <f>IF(G507=1,F507-I507-J507-K507,IF(G507=2,F507,0))</f>
        <v>0</v>
      </c>
      <c r="I507" s="818">
        <f>ROUND(IF(G507=1,F507*10/23,IF(G507=3,F507-J507-K507,IF(G507=4,F507,IF(G507=5,F507*10/11,IF(G507=7,F507*10/11,0))))),0)</f>
        <v>0</v>
      </c>
      <c r="J507" s="818">
        <f>ROUND(IF(G507=1,F507/23,IF(G507=3,F507/12,IF(G507=5,F507-I507,IF(G507=8,F507,0)))),0)</f>
        <v>0</v>
      </c>
      <c r="K507" s="819">
        <f>ROUND(IF(G507=1,F507/23,IF(G507=3,F507/12,IF(G507=6,F507,IF(G507=7,F507-I507,0)))),0)</f>
        <v>0</v>
      </c>
      <c r="L507" s="820">
        <f>IF(G507=6,F507,0)</f>
        <v>0</v>
      </c>
      <c r="P507" s="768" t="n"/>
      <c r="Q507" s="769" t="str">
        <f>IF($F507="","",IFERROR(VLOOKUP($C507&amp;"|"&amp;$D507,科目表!$A$5:$B$200,2,FALSE),"※未登録"))</f>
        <v/>
      </c>
      <c r="R507" s="769" t="str">
        <f>IF($F507="","",$I507+$J507+$K507)</f>
        <v/>
      </c>
      <c r="S507" s="769" t="str">
        <f>IF(OR($F507="",$P507="支払なし",$H507=0,$Q507=""),"",$Q507&amp;"|S|"&amp;(COUNTIF(S$4:S506,$Q507&amp;"|S|*")+1))</f>
        <v/>
      </c>
      <c r="T507" s="769" t="str">
        <f>IF(OR($F507="",$P507="支払なし",$R507=0,$Q507=""),"",$Q507&amp;"|L|"&amp;(COUNTIF(T$4:T506,$Q507&amp;"|L|*")+1))</f>
        <v/>
      </c>
      <c r="U507" s="769" t="str">
        <f>IF($F507="","",13)</f>
        <v/>
      </c>
    </row>
    <row r="508" ht="16.5" customHeight="1" s="186">
      <c r="A508" s="760" t="n"/>
      <c r="B508" s="760" t="n"/>
      <c r="C508" s="762" t="n"/>
      <c r="D508" s="762" t="n"/>
      <c r="E508" s="775" t="n"/>
      <c r="F508" s="821" t="n"/>
      <c r="G508" s="821" t="n"/>
      <c r="H508" s="818">
        <f>IF(G508=1,F508-I508-J508-K508,IF(G508=2,F508,0))</f>
        <v>0</v>
      </c>
      <c r="I508" s="818">
        <f>ROUND(IF(G508=1,F508*10/23,IF(G508=3,F508-J508-K508,IF(G508=4,F508,IF(G508=5,F508*10/11,IF(G508=7,F508*10/11,0))))),0)</f>
        <v>0</v>
      </c>
      <c r="J508" s="818">
        <f>ROUND(IF(G508=1,F508/23,IF(G508=3,F508/12,IF(G508=5,F508-I508,IF(G508=8,F508,0)))),0)</f>
        <v>0</v>
      </c>
      <c r="K508" s="819">
        <f>ROUND(IF(G508=1,F508/23,IF(G508=3,F508/12,IF(G508=6,F508,IF(G508=7,F508-I508,0)))),0)</f>
        <v>0</v>
      </c>
      <c r="L508" s="820">
        <f>IF(G508=6,F508,0)</f>
        <v>0</v>
      </c>
      <c r="P508" s="768" t="n"/>
      <c r="Q508" s="769" t="str">
        <f>IF($F508="","",IFERROR(VLOOKUP($C508&amp;"|"&amp;$D508,科目表!$A$5:$B$200,2,FALSE),"※未登録"))</f>
        <v/>
      </c>
      <c r="R508" s="769" t="str">
        <f>IF($F508="","",$I508+$J508+$K508)</f>
        <v/>
      </c>
      <c r="S508" s="769" t="str">
        <f>IF(OR($F508="",$P508="支払なし",$H508=0,$Q508=""),"",$Q508&amp;"|S|"&amp;(COUNTIF(S$4:S507,$Q508&amp;"|S|*")+1))</f>
        <v/>
      </c>
      <c r="T508" s="769" t="str">
        <f>IF(OR($F508="",$P508="支払なし",$R508=0,$Q508=""),"",$Q508&amp;"|L|"&amp;(COUNTIF(T$4:T507,$Q508&amp;"|L|*")+1))</f>
        <v/>
      </c>
      <c r="U508" s="769" t="str">
        <f>IF($F508="","",13)</f>
        <v/>
      </c>
    </row>
    <row r="509" ht="16.5" customHeight="1" s="186">
      <c r="A509" s="760" t="n"/>
      <c r="B509" s="760" t="n"/>
      <c r="C509" s="762" t="n"/>
      <c r="D509" s="762" t="n"/>
      <c r="E509" s="775" t="n"/>
      <c r="F509" s="821" t="n"/>
      <c r="G509" s="821" t="n"/>
      <c r="H509" s="818">
        <f>IF(G509=1,F509-I509-J509-K509,IF(G509=2,F509,0))</f>
        <v>0</v>
      </c>
      <c r="I509" s="818">
        <f>ROUND(IF(G509=1,F509*10/23,IF(G509=3,F509-J509-K509,IF(G509=4,F509,IF(G509=5,F509*10/11,IF(G509=7,F509*10/11,0))))),0)</f>
        <v>0</v>
      </c>
      <c r="J509" s="818">
        <f>ROUND(IF(G509=1,F509/23,IF(G509=3,F509/12,IF(G509=5,F509-I509,IF(G509=8,F509,0)))),0)</f>
        <v>0</v>
      </c>
      <c r="K509" s="819">
        <f>ROUND(IF(G509=1,F509/23,IF(G509=3,F509/12,IF(G509=6,F509,IF(G509=7,F509-I509,0)))),0)</f>
        <v>0</v>
      </c>
      <c r="L509" s="820">
        <f>IF(G509=6,F509,0)</f>
        <v>0</v>
      </c>
      <c r="P509" s="768" t="n"/>
      <c r="Q509" s="769" t="str">
        <f>IF($F509="","",IFERROR(VLOOKUP($C509&amp;"|"&amp;$D509,科目表!$A$5:$B$200,2,FALSE),"※未登録"))</f>
        <v/>
      </c>
      <c r="R509" s="769" t="str">
        <f>IF($F509="","",$I509+$J509+$K509)</f>
        <v/>
      </c>
      <c r="S509" s="769" t="str">
        <f>IF(OR($F509="",$P509="支払なし",$H509=0,$Q509=""),"",$Q509&amp;"|S|"&amp;(COUNTIF(S$4:S508,$Q509&amp;"|S|*")+1))</f>
        <v/>
      </c>
      <c r="T509" s="769" t="str">
        <f>IF(OR($F509="",$P509="支払なし",$R509=0,$Q509=""),"",$Q509&amp;"|L|"&amp;(COUNTIF(T$4:T508,$Q509&amp;"|L|*")+1))</f>
        <v/>
      </c>
      <c r="U509" s="769" t="str">
        <f>IF($F509="","",13)</f>
        <v/>
      </c>
    </row>
    <row r="510" ht="16.5" customHeight="1" s="186">
      <c r="A510" s="760" t="n"/>
      <c r="B510" s="760" t="n"/>
      <c r="C510" s="762" t="n"/>
      <c r="D510" s="762" t="n"/>
      <c r="E510" s="775" t="n"/>
      <c r="F510" s="821" t="n"/>
      <c r="G510" s="821" t="n"/>
      <c r="H510" s="818">
        <f>IF(G510=1,F510-I510-J510-K510,IF(G510=2,F510,0))</f>
        <v>0</v>
      </c>
      <c r="I510" s="818">
        <f>ROUND(IF(G510=1,F510*10/23,IF(G510=3,F510-J510-K510,IF(G510=4,F510,IF(G510=5,F510*10/11,IF(G510=7,F510*10/11,0))))),0)</f>
        <v>0</v>
      </c>
      <c r="J510" s="818">
        <f>ROUND(IF(G510=1,F510/23,IF(G510=3,F510/12,IF(G510=5,F510-I510,IF(G510=8,F510,0)))),0)</f>
        <v>0</v>
      </c>
      <c r="K510" s="819">
        <f>ROUND(IF(G510=1,F510/23,IF(G510=3,F510/12,IF(G510=6,F510,IF(G510=7,F510-I510,0)))),0)</f>
        <v>0</v>
      </c>
      <c r="L510" s="820">
        <f>IF(G510=6,F510,0)</f>
        <v>0</v>
      </c>
      <c r="P510" s="768" t="n"/>
      <c r="Q510" s="769" t="str">
        <f>IF($F510="","",IFERROR(VLOOKUP($C510&amp;"|"&amp;$D510,科目表!$A$5:$B$200,2,FALSE),"※未登録"))</f>
        <v/>
      </c>
      <c r="R510" s="769" t="str">
        <f>IF($F510="","",$I510+$J510+$K510)</f>
        <v/>
      </c>
      <c r="S510" s="769" t="str">
        <f>IF(OR($F510="",$P510="支払なし",$H510=0,$Q510=""),"",$Q510&amp;"|S|"&amp;(COUNTIF(S$4:S509,$Q510&amp;"|S|*")+1))</f>
        <v/>
      </c>
      <c r="T510" s="769" t="str">
        <f>IF(OR($F510="",$P510="支払なし",$R510=0,$Q510=""),"",$Q510&amp;"|L|"&amp;(COUNTIF(T$4:T509,$Q510&amp;"|L|*")+1))</f>
        <v/>
      </c>
      <c r="U510" s="769" t="str">
        <f>IF($F510="","",13)</f>
        <v/>
      </c>
    </row>
    <row r="511" ht="16.5" customHeight="1" s="186">
      <c r="A511" s="760" t="n"/>
      <c r="B511" s="760" t="n"/>
      <c r="C511" s="762" t="n"/>
      <c r="D511" s="762" t="n"/>
      <c r="E511" s="775" t="n"/>
      <c r="F511" s="821" t="n"/>
      <c r="G511" s="821" t="n"/>
      <c r="H511" s="818">
        <f>IF(G511=1,F511-I511-J511-K511,IF(G511=2,F511,0))</f>
        <v>0</v>
      </c>
      <c r="I511" s="818">
        <f>ROUND(IF(G511=1,F511*10/23,IF(G511=3,F511-J511-K511,IF(G511=4,F511,IF(G511=5,F511*10/11,IF(G511=7,F511*10/11,0))))),0)</f>
        <v>0</v>
      </c>
      <c r="J511" s="818">
        <f>ROUND(IF(G511=1,F511/23,IF(G511=3,F511/12,IF(G511=5,F511-I511,IF(G511=8,F511,0)))),0)</f>
        <v>0</v>
      </c>
      <c r="K511" s="819">
        <f>ROUND(IF(G511=1,F511/23,IF(G511=3,F511/12,IF(G511=6,F511,IF(G511=7,F511-I511,0)))),0)</f>
        <v>0</v>
      </c>
      <c r="L511" s="820">
        <f>IF(G511=6,F511,0)</f>
        <v>0</v>
      </c>
      <c r="P511" s="768" t="n"/>
      <c r="Q511" s="769" t="str">
        <f>IF($F511="","",IFERROR(VLOOKUP($C511&amp;"|"&amp;$D511,科目表!$A$5:$B$200,2,FALSE),"※未登録"))</f>
        <v/>
      </c>
      <c r="R511" s="769" t="str">
        <f>IF($F511="","",$I511+$J511+$K511)</f>
        <v/>
      </c>
      <c r="S511" s="769" t="str">
        <f>IF(OR($F511="",$P511="支払なし",$H511=0,$Q511=""),"",$Q511&amp;"|S|"&amp;(COUNTIF(S$4:S510,$Q511&amp;"|S|*")+1))</f>
        <v/>
      </c>
      <c r="T511" s="769" t="str">
        <f>IF(OR($F511="",$P511="支払なし",$R511=0,$Q511=""),"",$Q511&amp;"|L|"&amp;(COUNTIF(T$4:T510,$Q511&amp;"|L|*")+1))</f>
        <v/>
      </c>
      <c r="U511" s="769" t="str">
        <f>IF($F511="","",13)</f>
        <v/>
      </c>
    </row>
    <row r="512" ht="16.5" customHeight="1" s="186">
      <c r="A512" s="760" t="n"/>
      <c r="B512" s="760" t="n"/>
      <c r="C512" s="762" t="n"/>
      <c r="D512" s="762" t="n"/>
      <c r="E512" s="775" t="n"/>
      <c r="F512" s="821" t="n"/>
      <c r="G512" s="821" t="n"/>
      <c r="H512" s="818">
        <f>IF(G512=1,F512-I512-J512-K512,IF(G512=2,F512,0))</f>
        <v>0</v>
      </c>
      <c r="I512" s="818">
        <f>ROUND(IF(G512=1,F512*10/23,IF(G512=3,F512-J512-K512,IF(G512=4,F512,IF(G512=5,F512*10/11,IF(G512=7,F512*10/11,0))))),0)</f>
        <v>0</v>
      </c>
      <c r="J512" s="818">
        <f>ROUND(IF(G512=1,F512/23,IF(G512=3,F512/12,IF(G512=5,F512-I512,IF(G512=8,F512,0)))),0)</f>
        <v>0</v>
      </c>
      <c r="K512" s="819">
        <f>ROUND(IF(G512=1,F512/23,IF(G512=3,F512/12,IF(G512=6,F512,IF(G512=7,F512-I512,0)))),0)</f>
        <v>0</v>
      </c>
      <c r="L512" s="820">
        <f>IF(G512=6,F512,0)</f>
        <v>0</v>
      </c>
      <c r="P512" s="768" t="n"/>
      <c r="Q512" s="769" t="str">
        <f>IF($F512="","",IFERROR(VLOOKUP($C512&amp;"|"&amp;$D512,科目表!$A$5:$B$200,2,FALSE),"※未登録"))</f>
        <v/>
      </c>
      <c r="R512" s="769" t="str">
        <f>IF($F512="","",$I512+$J512+$K512)</f>
        <v/>
      </c>
      <c r="S512" s="769" t="str">
        <f>IF(OR($F512="",$P512="支払なし",$H512=0,$Q512=""),"",$Q512&amp;"|S|"&amp;(COUNTIF(S$4:S511,$Q512&amp;"|S|*")+1))</f>
        <v/>
      </c>
      <c r="T512" s="769" t="str">
        <f>IF(OR($F512="",$P512="支払なし",$R512=0,$Q512=""),"",$Q512&amp;"|L|"&amp;(COUNTIF(T$4:T511,$Q512&amp;"|L|*")+1))</f>
        <v/>
      </c>
      <c r="U512" s="769" t="str">
        <f>IF($F512="","",13)</f>
        <v/>
      </c>
    </row>
    <row r="513" ht="16.5" customHeight="1" s="186">
      <c r="A513" s="760" t="n"/>
      <c r="B513" s="760" t="n"/>
      <c r="C513" s="762" t="n"/>
      <c r="D513" s="762" t="n"/>
      <c r="E513" s="775" t="n"/>
      <c r="F513" s="821" t="n"/>
      <c r="G513" s="821" t="n"/>
      <c r="H513" s="818">
        <f>IF(G513=1,F513-I513-J513-K513,IF(G513=2,F513,0))</f>
        <v>0</v>
      </c>
      <c r="I513" s="818">
        <f>ROUND(IF(G513=1,F513*10/23,IF(G513=3,F513-J513-K513,IF(G513=4,F513,IF(G513=5,F513*10/11,IF(G513=7,F513*10/11,0))))),0)</f>
        <v>0</v>
      </c>
      <c r="J513" s="818">
        <f>ROUND(IF(G513=1,F513/23,IF(G513=3,F513/12,IF(G513=5,F513-I513,IF(G513=8,F513,0)))),0)</f>
        <v>0</v>
      </c>
      <c r="K513" s="819">
        <f>ROUND(IF(G513=1,F513/23,IF(G513=3,F513/12,IF(G513=6,F513,IF(G513=7,F513-I513,0)))),0)</f>
        <v>0</v>
      </c>
      <c r="L513" s="820">
        <f>IF(G513=6,F513,0)</f>
        <v>0</v>
      </c>
      <c r="P513" s="768" t="n"/>
      <c r="Q513" s="769" t="str">
        <f>IF($F513="","",IFERROR(VLOOKUP($C513&amp;"|"&amp;$D513,科目表!$A$5:$B$200,2,FALSE),"※未登録"))</f>
        <v/>
      </c>
      <c r="R513" s="769" t="str">
        <f>IF($F513="","",$I513+$J513+$K513)</f>
        <v/>
      </c>
      <c r="S513" s="769" t="str">
        <f>IF(OR($F513="",$P513="支払なし",$H513=0,$Q513=""),"",$Q513&amp;"|S|"&amp;(COUNTIF(S$4:S512,$Q513&amp;"|S|*")+1))</f>
        <v/>
      </c>
      <c r="T513" s="769" t="str">
        <f>IF(OR($F513="",$P513="支払なし",$R513=0,$Q513=""),"",$Q513&amp;"|L|"&amp;(COUNTIF(T$4:T512,$Q513&amp;"|L|*")+1))</f>
        <v/>
      </c>
      <c r="U513" s="769" t="str">
        <f>IF($F513="","",13)</f>
        <v/>
      </c>
    </row>
    <row r="514" ht="16.5" customHeight="1" s="186">
      <c r="A514" s="760" t="n"/>
      <c r="B514" s="760" t="n"/>
      <c r="C514" s="762" t="n"/>
      <c r="D514" s="762" t="n"/>
      <c r="E514" s="775" t="n"/>
      <c r="F514" s="821" t="n"/>
      <c r="G514" s="821" t="n"/>
      <c r="H514" s="818">
        <f>IF(G514=1,F514-I514-J514-K514,IF(G514=2,F514,0))</f>
        <v>0</v>
      </c>
      <c r="I514" s="818">
        <f>ROUND(IF(G514=1,F514*10/23,IF(G514=3,F514-J514-K514,IF(G514=4,F514,IF(G514=5,F514*10/11,IF(G514=7,F514*10/11,0))))),0)</f>
        <v>0</v>
      </c>
      <c r="J514" s="818">
        <f>ROUND(IF(G514=1,F514/23,IF(G514=3,F514/12,IF(G514=5,F514-I514,IF(G514=8,F514,0)))),0)</f>
        <v>0</v>
      </c>
      <c r="K514" s="819">
        <f>ROUND(IF(G514=1,F514/23,IF(G514=3,F514/12,IF(G514=6,F514,IF(G514=7,F514-I514,0)))),0)</f>
        <v>0</v>
      </c>
      <c r="L514" s="820">
        <f>IF(G514=6,F514,0)</f>
        <v>0</v>
      </c>
      <c r="P514" s="768" t="n"/>
      <c r="Q514" s="769" t="str">
        <f>IF($F514="","",IFERROR(VLOOKUP($C514&amp;"|"&amp;$D514,科目表!$A$5:$B$200,2,FALSE),"※未登録"))</f>
        <v/>
      </c>
      <c r="R514" s="769" t="str">
        <f>IF($F514="","",$I514+$J514+$K514)</f>
        <v/>
      </c>
      <c r="S514" s="769" t="str">
        <f>IF(OR($F514="",$P514="支払なし",$H514=0,$Q514=""),"",$Q514&amp;"|S|"&amp;(COUNTIF(S$4:S513,$Q514&amp;"|S|*")+1))</f>
        <v/>
      </c>
      <c r="T514" s="769" t="str">
        <f>IF(OR($F514="",$P514="支払なし",$R514=0,$Q514=""),"",$Q514&amp;"|L|"&amp;(COUNTIF(T$4:T513,$Q514&amp;"|L|*")+1))</f>
        <v/>
      </c>
      <c r="U514" s="769" t="str">
        <f>IF($F514="","",13)</f>
        <v/>
      </c>
    </row>
    <row r="515" ht="16.5" customHeight="1" s="186">
      <c r="A515" s="760" t="n"/>
      <c r="B515" s="760" t="n"/>
      <c r="C515" s="762" t="n"/>
      <c r="D515" s="762" t="n"/>
      <c r="E515" s="775" t="n"/>
      <c r="F515" s="821" t="n"/>
      <c r="G515" s="821" t="n"/>
      <c r="H515" s="818">
        <f>IF(G515=1,F515-I515-J515-K515,IF(G515=2,F515,0))</f>
        <v>0</v>
      </c>
      <c r="I515" s="818">
        <f>ROUND(IF(G515=1,F515*10/23,IF(G515=3,F515-J515-K515,IF(G515=4,F515,IF(G515=5,F515*10/11,IF(G515=7,F515*10/11,0))))),0)</f>
        <v>0</v>
      </c>
      <c r="J515" s="818">
        <f>ROUND(IF(G515=1,F515/23,IF(G515=3,F515/12,IF(G515=5,F515-I515,IF(G515=8,F515,0)))),0)</f>
        <v>0</v>
      </c>
      <c r="K515" s="819">
        <f>ROUND(IF(G515=1,F515/23,IF(G515=3,F515/12,IF(G515=6,F515,IF(G515=7,F515-I515,0)))),0)</f>
        <v>0</v>
      </c>
      <c r="L515" s="820">
        <f>IF(G515=6,F515,0)</f>
        <v>0</v>
      </c>
      <c r="P515" s="768" t="n"/>
      <c r="Q515" s="769" t="str">
        <f>IF($F515="","",IFERROR(VLOOKUP($C515&amp;"|"&amp;$D515,科目表!$A$5:$B$200,2,FALSE),"※未登録"))</f>
        <v/>
      </c>
      <c r="R515" s="769" t="str">
        <f>IF($F515="","",$I515+$J515+$K515)</f>
        <v/>
      </c>
      <c r="S515" s="769" t="str">
        <f>IF(OR($F515="",$P515="支払なし",$H515=0,$Q515=""),"",$Q515&amp;"|S|"&amp;(COUNTIF(S$4:S514,$Q515&amp;"|S|*")+1))</f>
        <v/>
      </c>
      <c r="T515" s="769" t="str">
        <f>IF(OR($F515="",$P515="支払なし",$R515=0,$Q515=""),"",$Q515&amp;"|L|"&amp;(COUNTIF(T$4:T514,$Q515&amp;"|L|*")+1))</f>
        <v/>
      </c>
      <c r="U515" s="769" t="str">
        <f>IF($F515="","",13)</f>
        <v/>
      </c>
    </row>
    <row r="516" ht="16.5" customHeight="1" s="186">
      <c r="A516" s="760" t="n"/>
      <c r="B516" s="760" t="n"/>
      <c r="C516" s="762" t="n"/>
      <c r="D516" s="762" t="n"/>
      <c r="E516" s="775" t="n"/>
      <c r="F516" s="821" t="n"/>
      <c r="G516" s="821" t="n"/>
      <c r="H516" s="818">
        <f>IF(G516=1,F516-I516-J516-K516,IF(G516=2,F516,0))</f>
        <v>0</v>
      </c>
      <c r="I516" s="818">
        <f>ROUND(IF(G516=1,F516*10/23,IF(G516=3,F516-J516-K516,IF(G516=4,F516,IF(G516=5,F516*10/11,IF(G516=7,F516*10/11,0))))),0)</f>
        <v>0</v>
      </c>
      <c r="J516" s="818">
        <f>ROUND(IF(G516=1,F516/23,IF(G516=3,F516/12,IF(G516=5,F516-I516,IF(G516=8,F516,0)))),0)</f>
        <v>0</v>
      </c>
      <c r="K516" s="819">
        <f>ROUND(IF(G516=1,F516/23,IF(G516=3,F516/12,IF(G516=6,F516,IF(G516=7,F516-I516,0)))),0)</f>
        <v>0</v>
      </c>
      <c r="L516" s="820">
        <f>IF(G516=6,F516,0)</f>
        <v>0</v>
      </c>
      <c r="P516" s="768" t="n"/>
      <c r="Q516" s="769" t="str">
        <f>IF($F516="","",IFERROR(VLOOKUP($C516&amp;"|"&amp;$D516,科目表!$A$5:$B$200,2,FALSE),"※未登録"))</f>
        <v/>
      </c>
      <c r="R516" s="769" t="str">
        <f>IF($F516="","",$I516+$J516+$K516)</f>
        <v/>
      </c>
      <c r="S516" s="769" t="str">
        <f>IF(OR($F516="",$P516="支払なし",$H516=0,$Q516=""),"",$Q516&amp;"|S|"&amp;(COUNTIF(S$4:S515,$Q516&amp;"|S|*")+1))</f>
        <v/>
      </c>
      <c r="T516" s="769" t="str">
        <f>IF(OR($F516="",$P516="支払なし",$R516=0,$Q516=""),"",$Q516&amp;"|L|"&amp;(COUNTIF(T$4:T515,$Q516&amp;"|L|*")+1))</f>
        <v/>
      </c>
      <c r="U516" s="769" t="str">
        <f>IF($F516="","",13)</f>
        <v/>
      </c>
    </row>
    <row r="517" ht="16.5" customHeight="1" s="186">
      <c r="A517" s="760" t="n"/>
      <c r="B517" s="760" t="n"/>
      <c r="C517" s="762" t="n"/>
      <c r="D517" s="762" t="n"/>
      <c r="E517" s="775" t="n"/>
      <c r="F517" s="821" t="n"/>
      <c r="G517" s="821" t="n"/>
      <c r="H517" s="818">
        <f>IF(G517=1,F517-I517-J517-K517,IF(G517=2,F517,0))</f>
        <v>0</v>
      </c>
      <c r="I517" s="818">
        <f>ROUND(IF(G517=1,F517*10/23,IF(G517=3,F517-J517-K517,IF(G517=4,F517,IF(G517=5,F517*10/11,IF(G517=7,F517*10/11,0))))),0)</f>
        <v>0</v>
      </c>
      <c r="J517" s="818">
        <f>ROUND(IF(G517=1,F517/23,IF(G517=3,F517/12,IF(G517=5,F517-I517,IF(G517=8,F517,0)))),0)</f>
        <v>0</v>
      </c>
      <c r="K517" s="819">
        <f>ROUND(IF(G517=1,F517/23,IF(G517=3,F517/12,IF(G517=6,F517,IF(G517=7,F517-I517,0)))),0)</f>
        <v>0</v>
      </c>
      <c r="L517" s="820">
        <f>IF(G517=6,F517,0)</f>
        <v>0</v>
      </c>
      <c r="P517" s="768" t="n"/>
      <c r="Q517" s="769" t="str">
        <f>IF($F517="","",IFERROR(VLOOKUP($C517&amp;"|"&amp;$D517,科目表!$A$5:$B$200,2,FALSE),"※未登録"))</f>
        <v/>
      </c>
      <c r="R517" s="769" t="str">
        <f>IF($F517="","",$I517+$J517+$K517)</f>
        <v/>
      </c>
      <c r="S517" s="769" t="str">
        <f>IF(OR($F517="",$P517="支払なし",$H517=0,$Q517=""),"",$Q517&amp;"|S|"&amp;(COUNTIF(S$4:S516,$Q517&amp;"|S|*")+1))</f>
        <v/>
      </c>
      <c r="T517" s="769" t="str">
        <f>IF(OR($F517="",$P517="支払なし",$R517=0,$Q517=""),"",$Q517&amp;"|L|"&amp;(COUNTIF(T$4:T516,$Q517&amp;"|L|*")+1))</f>
        <v/>
      </c>
      <c r="U517" s="769" t="str">
        <f>IF($F517="","",13)</f>
        <v/>
      </c>
    </row>
    <row r="518" ht="16.5" customHeight="1" s="186">
      <c r="A518" s="760" t="n"/>
      <c r="B518" s="760" t="n"/>
      <c r="C518" s="762" t="n"/>
      <c r="D518" s="762" t="n"/>
      <c r="E518" s="775" t="n"/>
      <c r="F518" s="821" t="n"/>
      <c r="G518" s="821" t="n"/>
      <c r="H518" s="818">
        <f>IF(G518=1,F518-I518-J518-K518,IF(G518=2,F518,0))</f>
        <v>0</v>
      </c>
      <c r="I518" s="818">
        <f>ROUND(IF(G518=1,F518*10/23,IF(G518=3,F518-J518-K518,IF(G518=4,F518,IF(G518=5,F518*10/11,IF(G518=7,F518*10/11,0))))),0)</f>
        <v>0</v>
      </c>
      <c r="J518" s="818">
        <f>ROUND(IF(G518=1,F518/23,IF(G518=3,F518/12,IF(G518=5,F518-I518,IF(G518=8,F518,0)))),0)</f>
        <v>0</v>
      </c>
      <c r="K518" s="819">
        <f>ROUND(IF(G518=1,F518/23,IF(G518=3,F518/12,IF(G518=6,F518,IF(G518=7,F518-I518,0)))),0)</f>
        <v>0</v>
      </c>
      <c r="L518" s="820">
        <f>IF(G518=6,F518,0)</f>
        <v>0</v>
      </c>
      <c r="P518" s="768" t="n"/>
      <c r="Q518" s="769" t="str">
        <f>IF($F518="","",IFERROR(VLOOKUP($C518&amp;"|"&amp;$D518,科目表!$A$5:$B$200,2,FALSE),"※未登録"))</f>
        <v/>
      </c>
      <c r="R518" s="769" t="str">
        <f>IF($F518="","",$I518+$J518+$K518)</f>
        <v/>
      </c>
      <c r="S518" s="769" t="str">
        <f>IF(OR($F518="",$P518="支払なし",$H518=0,$Q518=""),"",$Q518&amp;"|S|"&amp;(COUNTIF(S$4:S517,$Q518&amp;"|S|*")+1))</f>
        <v/>
      </c>
      <c r="T518" s="769" t="str">
        <f>IF(OR($F518="",$P518="支払なし",$R518=0,$Q518=""),"",$Q518&amp;"|L|"&amp;(COUNTIF(T$4:T517,$Q518&amp;"|L|*")+1))</f>
        <v/>
      </c>
      <c r="U518" s="769" t="str">
        <f>IF($F518="","",13)</f>
        <v/>
      </c>
    </row>
    <row r="519" ht="16.5" customHeight="1" s="186">
      <c r="A519" s="760" t="n"/>
      <c r="B519" s="760" t="n"/>
      <c r="C519" s="762" t="n"/>
      <c r="D519" s="762" t="n"/>
      <c r="E519" s="775" t="n"/>
      <c r="F519" s="821" t="n"/>
      <c r="G519" s="821" t="n"/>
      <c r="H519" s="818">
        <f>IF(G519=1,F519-I519-J519-K519,IF(G519=2,F519,0))</f>
        <v>0</v>
      </c>
      <c r="I519" s="818">
        <f>ROUND(IF(G519=1,F519*10/23,IF(G519=3,F519-J519-K519,IF(G519=4,F519,IF(G519=5,F519*10/11,IF(G519=7,F519*10/11,0))))),0)</f>
        <v>0</v>
      </c>
      <c r="J519" s="818">
        <f>ROUND(IF(G519=1,F519/23,IF(G519=3,F519/12,IF(G519=5,F519-I519,IF(G519=8,F519,0)))),0)</f>
        <v>0</v>
      </c>
      <c r="K519" s="819">
        <f>ROUND(IF(G519=1,F519/23,IF(G519=3,F519/12,IF(G519=6,F519,IF(G519=7,F519-I519,0)))),0)</f>
        <v>0</v>
      </c>
      <c r="L519" s="820">
        <f>IF(G519=6,F519,0)</f>
        <v>0</v>
      </c>
      <c r="P519" s="768" t="n"/>
      <c r="Q519" s="769" t="str">
        <f>IF($F519="","",IFERROR(VLOOKUP($C519&amp;"|"&amp;$D519,科目表!$A$5:$B$200,2,FALSE),"※未登録"))</f>
        <v/>
      </c>
      <c r="R519" s="769" t="str">
        <f>IF($F519="","",$I519+$J519+$K519)</f>
        <v/>
      </c>
      <c r="S519" s="769" t="str">
        <f>IF(OR($F519="",$P519="支払なし",$H519=0,$Q519=""),"",$Q519&amp;"|S|"&amp;(COUNTIF(S$4:S518,$Q519&amp;"|S|*")+1))</f>
        <v/>
      </c>
      <c r="T519" s="769" t="str">
        <f>IF(OR($F519="",$P519="支払なし",$R519=0,$Q519=""),"",$Q519&amp;"|L|"&amp;(COUNTIF(T$4:T518,$Q519&amp;"|L|*")+1))</f>
        <v/>
      </c>
      <c r="U519" s="769" t="str">
        <f>IF($F519="","",13)</f>
        <v/>
      </c>
    </row>
    <row r="520" ht="16.5" customHeight="1" s="186">
      <c r="A520" s="760" t="n"/>
      <c r="B520" s="760" t="n"/>
      <c r="C520" s="762" t="n"/>
      <c r="D520" s="762" t="n"/>
      <c r="E520" s="775" t="n"/>
      <c r="F520" s="821" t="n"/>
      <c r="G520" s="821" t="n"/>
      <c r="H520" s="818">
        <f>IF(G520=1,F520-I520-J520-K520,IF(G520=2,F520,0))</f>
        <v>0</v>
      </c>
      <c r="I520" s="818">
        <f>ROUND(IF(G520=1,F520*10/23,IF(G520=3,F520-J520-K520,IF(G520=4,F520,IF(G520=5,F520*10/11,IF(G520=7,F520*10/11,0))))),0)</f>
        <v>0</v>
      </c>
      <c r="J520" s="818">
        <f>ROUND(IF(G520=1,F520/23,IF(G520=3,F520/12,IF(G520=5,F520-I520,IF(G520=8,F520,0)))),0)</f>
        <v>0</v>
      </c>
      <c r="K520" s="819">
        <f>ROUND(IF(G520=1,F520/23,IF(G520=3,F520/12,IF(G520=6,F520,IF(G520=7,F520-I520,0)))),0)</f>
        <v>0</v>
      </c>
      <c r="L520" s="820">
        <f>IF(G520=6,F520,0)</f>
        <v>0</v>
      </c>
      <c r="P520" s="768" t="n"/>
      <c r="Q520" s="769" t="str">
        <f>IF($F520="","",IFERROR(VLOOKUP($C520&amp;"|"&amp;$D520,科目表!$A$5:$B$200,2,FALSE),"※未登録"))</f>
        <v/>
      </c>
      <c r="R520" s="769" t="str">
        <f>IF($F520="","",$I520+$J520+$K520)</f>
        <v/>
      </c>
      <c r="S520" s="769" t="str">
        <f>IF(OR($F520="",$P520="支払なし",$H520=0,$Q520=""),"",$Q520&amp;"|S|"&amp;(COUNTIF(S$4:S519,$Q520&amp;"|S|*")+1))</f>
        <v/>
      </c>
      <c r="T520" s="769" t="str">
        <f>IF(OR($F520="",$P520="支払なし",$R520=0,$Q520=""),"",$Q520&amp;"|L|"&amp;(COUNTIF(T$4:T519,$Q520&amp;"|L|*")+1))</f>
        <v/>
      </c>
      <c r="U520" s="769" t="str">
        <f>IF($F520="","",13)</f>
        <v/>
      </c>
    </row>
    <row r="521" ht="16.5" customHeight="1" s="186">
      <c r="A521" s="760" t="n"/>
      <c r="B521" s="760" t="n"/>
      <c r="C521" s="762" t="n"/>
      <c r="D521" s="762" t="n"/>
      <c r="E521" s="762" t="n"/>
      <c r="F521" s="821" t="n"/>
      <c r="G521" s="821" t="n"/>
      <c r="H521" s="818">
        <f>IF(G521=1,F521-I521-J521-K521,IF(G521=2,F521,0))</f>
        <v>0</v>
      </c>
      <c r="I521" s="818">
        <f>ROUND(IF(G521=1,F521*10/23,IF(G521=3,F521-J521-K521,IF(G521=4,F521,IF(G521=5,F521*10/11,IF(G521=7,F521*10/11,0))))),0)</f>
        <v>0</v>
      </c>
      <c r="J521" s="818">
        <f>ROUND(IF(G521=1,F521/23,IF(G521=3,F521/12,IF(G521=5,F521-I521,IF(G521=8,F521,0)))),0)</f>
        <v>0</v>
      </c>
      <c r="K521" s="819">
        <f>ROUND(IF(G521=1,F521/23,IF(G521=3,F521/12,IF(G521=6,F521,IF(G521=7,F521-I521,0)))),0)</f>
        <v>0</v>
      </c>
      <c r="L521" s="820">
        <f>IF(G521=6,F521,0)</f>
        <v>0</v>
      </c>
      <c r="P521" s="768" t="n"/>
      <c r="Q521" s="769" t="str">
        <f>IF($F521="","",IFERROR(VLOOKUP($C521&amp;"|"&amp;$D521,科目表!$A$5:$B$200,2,FALSE),"※未登録"))</f>
        <v/>
      </c>
      <c r="R521" s="769" t="str">
        <f>IF($F521="","",$I521+$J521+$K521)</f>
        <v/>
      </c>
      <c r="S521" s="769" t="str">
        <f>IF(OR($F521="",$P521="支払なし",$H521=0,$Q521=""),"",$Q521&amp;"|S|"&amp;(COUNTIF(S$4:S520,$Q521&amp;"|S|*")+1))</f>
        <v/>
      </c>
      <c r="T521" s="769" t="str">
        <f>IF(OR($F521="",$P521="支払なし",$R521=0,$Q521=""),"",$Q521&amp;"|L|"&amp;(COUNTIF(T$4:T520,$Q521&amp;"|L|*")+1))</f>
        <v/>
      </c>
      <c r="U521" s="769" t="str">
        <f>IF($F521="","",13)</f>
        <v/>
      </c>
    </row>
    <row r="522" ht="16.5" customHeight="1" s="186">
      <c r="A522" s="760" t="n"/>
      <c r="B522" s="760" t="n"/>
      <c r="C522" s="762" t="n"/>
      <c r="D522" s="762" t="n"/>
      <c r="E522" s="775" t="n"/>
      <c r="F522" s="821" t="n"/>
      <c r="G522" s="821" t="n"/>
      <c r="H522" s="818">
        <f>IF(G522=1,F522-I522-J522-K522,IF(G522=2,F522,0))</f>
        <v>0</v>
      </c>
      <c r="I522" s="818">
        <f>ROUND(IF(G522=1,F522*10/23,IF(G522=3,F522-J522-K522,IF(G522=4,F522,IF(G522=5,F522*10/11,IF(G522=7,F522*10/11,0))))),0)</f>
        <v>0</v>
      </c>
      <c r="J522" s="818">
        <f>ROUND(IF(G522=1,F522/23,IF(G522=3,F522/12,IF(G522=5,F522-I522,IF(G522=8,F522,0)))),0)</f>
        <v>0</v>
      </c>
      <c r="K522" s="819">
        <f>ROUND(IF(G522=1,F522/23,IF(G522=3,F522/12,IF(G522=6,F522,IF(G522=7,F522-I522,0)))),0)</f>
        <v>0</v>
      </c>
      <c r="L522" s="820">
        <f>IF(G522=6,F522,0)</f>
        <v>0</v>
      </c>
      <c r="P522" s="768" t="n"/>
      <c r="Q522" s="769" t="str">
        <f>IF($F522="","",IFERROR(VLOOKUP($C522&amp;"|"&amp;$D522,科目表!$A$5:$B$200,2,FALSE),"※未登録"))</f>
        <v/>
      </c>
      <c r="R522" s="769" t="str">
        <f>IF($F522="","",$I522+$J522+$K522)</f>
        <v/>
      </c>
      <c r="S522" s="769" t="str">
        <f>IF(OR($F522="",$P522="支払なし",$H522=0,$Q522=""),"",$Q522&amp;"|S|"&amp;(COUNTIF(S$4:S521,$Q522&amp;"|S|*")+1))</f>
        <v/>
      </c>
      <c r="T522" s="769" t="str">
        <f>IF(OR($F522="",$P522="支払なし",$R522=0,$Q522=""),"",$Q522&amp;"|L|"&amp;(COUNTIF(T$4:T521,$Q522&amp;"|L|*")+1))</f>
        <v/>
      </c>
      <c r="U522" s="769" t="str">
        <f>IF($F522="","",13)</f>
        <v/>
      </c>
    </row>
    <row r="523" ht="16.5" customHeight="1" s="186">
      <c r="A523" s="760" t="n"/>
      <c r="B523" s="760" t="n"/>
      <c r="C523" s="762" t="n"/>
      <c r="D523" s="762" t="n"/>
      <c r="E523" s="775" t="n"/>
      <c r="F523" s="821" t="n"/>
      <c r="G523" s="821" t="n"/>
      <c r="H523" s="818">
        <f>IF(G523=1,F523-I523-J523-K523,IF(G523=2,F523,0))</f>
        <v>0</v>
      </c>
      <c r="I523" s="818">
        <f>ROUND(IF(G523=1,F523*10/23,IF(G523=3,F523-J523-K523,IF(G523=4,F523,IF(G523=5,F523*10/11,IF(G523=7,F523*10/11,0))))),0)</f>
        <v>0</v>
      </c>
      <c r="J523" s="818">
        <f>ROUND(IF(G523=1,F523/23,IF(G523=3,F523/12,IF(G523=5,F523-I523,IF(G523=8,F523,0)))),0)</f>
        <v>0</v>
      </c>
      <c r="K523" s="819">
        <f>ROUND(IF(G523=1,F523/23,IF(G523=3,F523/12,IF(G523=6,F523,IF(G523=7,F523-I523,0)))),0)</f>
        <v>0</v>
      </c>
      <c r="L523" s="820">
        <f>IF(G523=6,F523,0)</f>
        <v>0</v>
      </c>
      <c r="P523" s="768" t="n"/>
      <c r="Q523" s="769" t="str">
        <f>IF($F523="","",IFERROR(VLOOKUP($C523&amp;"|"&amp;$D523,科目表!$A$5:$B$200,2,FALSE),"※未登録"))</f>
        <v/>
      </c>
      <c r="R523" s="769" t="str">
        <f>IF($F523="","",$I523+$J523+$K523)</f>
        <v/>
      </c>
      <c r="S523" s="769" t="str">
        <f>IF(OR($F523="",$P523="支払なし",$H523=0,$Q523=""),"",$Q523&amp;"|S|"&amp;(COUNTIF(S$4:S522,$Q523&amp;"|S|*")+1))</f>
        <v/>
      </c>
      <c r="T523" s="769" t="str">
        <f>IF(OR($F523="",$P523="支払なし",$R523=0,$Q523=""),"",$Q523&amp;"|L|"&amp;(COUNTIF(T$4:T522,$Q523&amp;"|L|*")+1))</f>
        <v/>
      </c>
      <c r="U523" s="769" t="str">
        <f>IF($F523="","",13)</f>
        <v/>
      </c>
    </row>
    <row r="524" ht="16.5" customHeight="1" s="186">
      <c r="A524" s="760" t="n"/>
      <c r="B524" s="760" t="n"/>
      <c r="C524" s="762" t="n"/>
      <c r="D524" s="762" t="n"/>
      <c r="E524" s="775" t="n"/>
      <c r="F524" s="821" t="n"/>
      <c r="G524" s="821" t="n"/>
      <c r="H524" s="818">
        <f>IF(G524=1,F524-I524-J524-K524,IF(G524=2,F524,0))</f>
        <v>0</v>
      </c>
      <c r="I524" s="818">
        <f>ROUND(IF(G524=1,F524*10/23,IF(G524=3,F524-J524-K524,IF(G524=4,F524,IF(G524=5,F524*10/11,IF(G524=7,F524*10/11,0))))),0)</f>
        <v>0</v>
      </c>
      <c r="J524" s="818">
        <f>ROUND(IF(G524=1,F524/23,IF(G524=3,F524/12,IF(G524=5,F524-I524,IF(G524=8,F524,0)))),0)</f>
        <v>0</v>
      </c>
      <c r="K524" s="819">
        <f>ROUND(IF(G524=1,F524/23,IF(G524=3,F524/12,IF(G524=6,F524,IF(G524=7,F524-I524,0)))),0)</f>
        <v>0</v>
      </c>
      <c r="L524" s="820">
        <f>IF(G524=6,F524,0)</f>
        <v>0</v>
      </c>
      <c r="P524" s="768" t="n"/>
      <c r="Q524" s="769" t="str">
        <f>IF($F524="","",IFERROR(VLOOKUP($C524&amp;"|"&amp;$D524,科目表!$A$5:$B$200,2,FALSE),"※未登録"))</f>
        <v/>
      </c>
      <c r="R524" s="769" t="str">
        <f>IF($F524="","",$I524+$J524+$K524)</f>
        <v/>
      </c>
      <c r="S524" s="769" t="str">
        <f>IF(OR($F524="",$P524="支払なし",$H524=0,$Q524=""),"",$Q524&amp;"|S|"&amp;(COUNTIF(S$4:S523,$Q524&amp;"|S|*")+1))</f>
        <v/>
      </c>
      <c r="T524" s="769" t="str">
        <f>IF(OR($F524="",$P524="支払なし",$R524=0,$Q524=""),"",$Q524&amp;"|L|"&amp;(COUNTIF(T$4:T523,$Q524&amp;"|L|*")+1))</f>
        <v/>
      </c>
      <c r="U524" s="769" t="str">
        <f>IF($F524="","",13)</f>
        <v/>
      </c>
    </row>
    <row r="525" ht="16.5" customHeight="1" s="186">
      <c r="A525" s="760" t="n"/>
      <c r="B525" s="760" t="n"/>
      <c r="C525" s="762" t="n"/>
      <c r="D525" s="762" t="n"/>
      <c r="E525" s="775" t="n"/>
      <c r="F525" s="821" t="n"/>
      <c r="G525" s="821" t="n"/>
      <c r="H525" s="818">
        <f>IF(G525=1,F525-I525-J525-K525,IF(G525=2,F525,0))</f>
        <v>0</v>
      </c>
      <c r="I525" s="818">
        <f>ROUND(IF(G525=1,F525*10/23,IF(G525=3,F525-J525-K525,IF(G525=4,F525,IF(G525=5,F525*10/11,IF(G525=7,F525*10/11,0))))),0)</f>
        <v>0</v>
      </c>
      <c r="J525" s="818">
        <f>ROUND(IF(G525=1,F525/23,IF(G525=3,F525/12,IF(G525=5,F525-I525,IF(G525=8,F525,0)))),0)</f>
        <v>0</v>
      </c>
      <c r="K525" s="819">
        <f>ROUND(IF(G525=1,F525/23,IF(G525=3,F525/12,IF(G525=6,F525,IF(G525=7,F525-I525,0)))),0)</f>
        <v>0</v>
      </c>
      <c r="L525" s="820">
        <f>IF(G525=6,F525,0)</f>
        <v>0</v>
      </c>
      <c r="P525" s="768" t="n"/>
      <c r="Q525" s="769" t="str">
        <f>IF($F525="","",IFERROR(VLOOKUP($C525&amp;"|"&amp;$D525,科目表!$A$5:$B$200,2,FALSE),"※未登録"))</f>
        <v/>
      </c>
      <c r="R525" s="769" t="str">
        <f>IF($F525="","",$I525+$J525+$K525)</f>
        <v/>
      </c>
      <c r="S525" s="769" t="str">
        <f>IF(OR($F525="",$P525="支払なし",$H525=0,$Q525=""),"",$Q525&amp;"|S|"&amp;(COUNTIF(S$4:S524,$Q525&amp;"|S|*")+1))</f>
        <v/>
      </c>
      <c r="T525" s="769" t="str">
        <f>IF(OR($F525="",$P525="支払なし",$R525=0,$Q525=""),"",$Q525&amp;"|L|"&amp;(COUNTIF(T$4:T524,$Q525&amp;"|L|*")+1))</f>
        <v/>
      </c>
      <c r="U525" s="769" t="str">
        <f>IF($F525="","",13)</f>
        <v/>
      </c>
    </row>
    <row r="526" ht="16.5" customHeight="1" s="186">
      <c r="A526" s="760" t="n"/>
      <c r="B526" s="760" t="n"/>
      <c r="C526" s="762" t="n"/>
      <c r="D526" s="762" t="n"/>
      <c r="E526" s="775" t="n"/>
      <c r="F526" s="821" t="n"/>
      <c r="G526" s="821" t="n"/>
      <c r="H526" s="818">
        <f>IF(G526=1,F526-I526-J526-K526,IF(G526=2,F526,0))</f>
        <v>0</v>
      </c>
      <c r="I526" s="818">
        <f>ROUND(IF(G526=1,F526*10/23,IF(G526=3,F526-J526-K526,IF(G526=4,F526,IF(G526=5,F526*10/11,IF(G526=7,F526*10/11,0))))),0)</f>
        <v>0</v>
      </c>
      <c r="J526" s="818">
        <f>ROUND(IF(G526=1,F526/23,IF(G526=3,F526/12,IF(G526=5,F526-I526,IF(G526=8,F526,0)))),0)</f>
        <v>0</v>
      </c>
      <c r="K526" s="819">
        <f>ROUND(IF(G526=1,F526/23,IF(G526=3,F526/12,IF(G526=6,F526,IF(G526=7,F526-I526,0)))),0)</f>
        <v>0</v>
      </c>
      <c r="L526" s="820">
        <f>IF(G526=6,F526,0)</f>
        <v>0</v>
      </c>
      <c r="P526" s="768" t="n"/>
      <c r="Q526" s="769" t="str">
        <f>IF($F526="","",IFERROR(VLOOKUP($C526&amp;"|"&amp;$D526,科目表!$A$5:$B$200,2,FALSE),"※未登録"))</f>
        <v/>
      </c>
      <c r="R526" s="769" t="str">
        <f>IF($F526="","",$I526+$J526+$K526)</f>
        <v/>
      </c>
      <c r="S526" s="769" t="str">
        <f>IF(OR($F526="",$P526="支払なし",$H526=0,$Q526=""),"",$Q526&amp;"|S|"&amp;(COUNTIF(S$4:S525,$Q526&amp;"|S|*")+1))</f>
        <v/>
      </c>
      <c r="T526" s="769" t="str">
        <f>IF(OR($F526="",$P526="支払なし",$R526=0,$Q526=""),"",$Q526&amp;"|L|"&amp;(COUNTIF(T$4:T525,$Q526&amp;"|L|*")+1))</f>
        <v/>
      </c>
      <c r="U526" s="769" t="str">
        <f>IF($F526="","",13)</f>
        <v/>
      </c>
    </row>
    <row r="527" ht="16.5" customHeight="1" s="186">
      <c r="A527" s="760" t="n"/>
      <c r="B527" s="760" t="n"/>
      <c r="C527" s="762" t="n"/>
      <c r="D527" s="762" t="n"/>
      <c r="E527" s="775" t="n"/>
      <c r="F527" s="821" t="n"/>
      <c r="G527" s="821" t="n"/>
      <c r="H527" s="818">
        <f>IF(G527=1,F527-I527-J527-K527,IF(G527=2,F527,0))</f>
        <v>0</v>
      </c>
      <c r="I527" s="818">
        <f>ROUND(IF(G527=1,F527*10/23,IF(G527=3,F527-J527-K527,IF(G527=4,F527,IF(G527=5,F527*10/11,IF(G527=7,F527*10/11,0))))),0)</f>
        <v>0</v>
      </c>
      <c r="J527" s="818">
        <f>ROUND(IF(G527=1,F527/23,IF(G527=3,F527/12,IF(G527=5,F527-I527,IF(G527=8,F527,0)))),0)</f>
        <v>0</v>
      </c>
      <c r="K527" s="819">
        <f>ROUND(IF(G527=1,F527/23,IF(G527=3,F527/12,IF(G527=6,F527,IF(G527=7,F527-I527,0)))),0)</f>
        <v>0</v>
      </c>
      <c r="L527" s="820">
        <f>IF(G527=6,F527,0)</f>
        <v>0</v>
      </c>
      <c r="P527" s="768" t="n"/>
      <c r="Q527" s="769" t="str">
        <f>IF($F527="","",IFERROR(VLOOKUP($C527&amp;"|"&amp;$D527,科目表!$A$5:$B$200,2,FALSE),"※未登録"))</f>
        <v/>
      </c>
      <c r="R527" s="769" t="str">
        <f>IF($F527="","",$I527+$J527+$K527)</f>
        <v/>
      </c>
      <c r="S527" s="769" t="str">
        <f>IF(OR($F527="",$P527="支払なし",$H527=0,$Q527=""),"",$Q527&amp;"|S|"&amp;(COUNTIF(S$4:S526,$Q527&amp;"|S|*")+1))</f>
        <v/>
      </c>
      <c r="T527" s="769" t="str">
        <f>IF(OR($F527="",$P527="支払なし",$R527=0,$Q527=""),"",$Q527&amp;"|L|"&amp;(COUNTIF(T$4:T526,$Q527&amp;"|L|*")+1))</f>
        <v/>
      </c>
      <c r="U527" s="769" t="str">
        <f>IF($F527="","",13)</f>
        <v/>
      </c>
    </row>
    <row r="528" ht="16.5" customHeight="1" s="186">
      <c r="A528" s="760" t="n"/>
      <c r="B528" s="760" t="n"/>
      <c r="C528" s="762" t="n"/>
      <c r="D528" s="762" t="n"/>
      <c r="E528" s="775" t="n"/>
      <c r="F528" s="821" t="n"/>
      <c r="G528" s="821" t="n"/>
      <c r="H528" s="818">
        <f>IF(G528=1,F528-I528-J528-K528,IF(G528=2,F528,0))</f>
        <v>0</v>
      </c>
      <c r="I528" s="818">
        <f>ROUND(IF(G528=1,F528*10/23,IF(G528=3,F528-J528-K528,IF(G528=4,F528,IF(G528=5,F528*10/11,IF(G528=7,F528*10/11,0))))),0)</f>
        <v>0</v>
      </c>
      <c r="J528" s="818">
        <f>ROUND(IF(G528=1,F528/23,IF(G528=3,F528/12,IF(G528=5,F528-I528,IF(G528=8,F528,0)))),0)</f>
        <v>0</v>
      </c>
      <c r="K528" s="819">
        <f>ROUND(IF(G528=1,F528/23,IF(G528=3,F528/12,IF(G528=6,F528,IF(G528=7,F528-I528,0)))),0)</f>
        <v>0</v>
      </c>
      <c r="L528" s="820">
        <f>IF(G528=6,F528,0)</f>
        <v>0</v>
      </c>
      <c r="P528" s="768" t="n"/>
      <c r="Q528" s="769" t="str">
        <f>IF($F528="","",IFERROR(VLOOKUP($C528&amp;"|"&amp;$D528,科目表!$A$5:$B$200,2,FALSE),"※未登録"))</f>
        <v/>
      </c>
      <c r="R528" s="769" t="str">
        <f>IF($F528="","",$I528+$J528+$K528)</f>
        <v/>
      </c>
      <c r="S528" s="769" t="str">
        <f>IF(OR($F528="",$P528="支払なし",$H528=0,$Q528=""),"",$Q528&amp;"|S|"&amp;(COUNTIF(S$4:S527,$Q528&amp;"|S|*")+1))</f>
        <v/>
      </c>
      <c r="T528" s="769" t="str">
        <f>IF(OR($F528="",$P528="支払なし",$R528=0,$Q528=""),"",$Q528&amp;"|L|"&amp;(COUNTIF(T$4:T527,$Q528&amp;"|L|*")+1))</f>
        <v/>
      </c>
      <c r="U528" s="769" t="str">
        <f>IF($F528="","",13)</f>
        <v/>
      </c>
    </row>
    <row r="529" ht="16.5" customHeight="1" s="186">
      <c r="A529" s="760" t="n"/>
      <c r="B529" s="760" t="n"/>
      <c r="C529" s="762" t="n"/>
      <c r="D529" s="762" t="n"/>
      <c r="E529" s="775" t="n"/>
      <c r="F529" s="821" t="n"/>
      <c r="G529" s="821" t="n"/>
      <c r="H529" s="818">
        <f>IF(G529=1,F529-I529-J529-K529,IF(G529=2,F529,0))</f>
        <v>0</v>
      </c>
      <c r="I529" s="818">
        <f>ROUND(IF(G529=1,F529*10/23,IF(G529=3,F529-J529-K529,IF(G529=4,F529,IF(G529=5,F529*10/11,IF(G529=7,F529*10/11,0))))),0)</f>
        <v>0</v>
      </c>
      <c r="J529" s="818">
        <f>ROUND(IF(G529=1,F529/23,IF(G529=3,F529/12,IF(G529=5,F529-I529,IF(G529=8,F529,0)))),0)</f>
        <v>0</v>
      </c>
      <c r="K529" s="819">
        <f>ROUND(IF(G529=1,F529/23,IF(G529=3,F529/12,IF(G529=6,F529,IF(G529=7,F529-I529,0)))),0)</f>
        <v>0</v>
      </c>
      <c r="L529" s="820">
        <f>IF(G529=6,F529,0)</f>
        <v>0</v>
      </c>
      <c r="P529" s="768" t="n"/>
      <c r="Q529" s="769" t="str">
        <f>IF($F529="","",IFERROR(VLOOKUP($C529&amp;"|"&amp;$D529,科目表!$A$5:$B$200,2,FALSE),"※未登録"))</f>
        <v/>
      </c>
      <c r="R529" s="769" t="str">
        <f>IF($F529="","",$I529+$J529+$K529)</f>
        <v/>
      </c>
      <c r="S529" s="769" t="str">
        <f>IF(OR($F529="",$P529="支払なし",$H529=0,$Q529=""),"",$Q529&amp;"|S|"&amp;(COUNTIF(S$4:S528,$Q529&amp;"|S|*")+1))</f>
        <v/>
      </c>
      <c r="T529" s="769" t="str">
        <f>IF(OR($F529="",$P529="支払なし",$R529=0,$Q529=""),"",$Q529&amp;"|L|"&amp;(COUNTIF(T$4:T528,$Q529&amp;"|L|*")+1))</f>
        <v/>
      </c>
      <c r="U529" s="769" t="str">
        <f>IF($F529="","",13)</f>
        <v/>
      </c>
    </row>
    <row r="530" ht="16.5" customHeight="1" s="186">
      <c r="A530" s="760" t="n"/>
      <c r="B530" s="760" t="n"/>
      <c r="C530" s="762" t="n"/>
      <c r="D530" s="762" t="n"/>
      <c r="E530" s="775" t="n"/>
      <c r="F530" s="821" t="n"/>
      <c r="G530" s="821" t="n"/>
      <c r="H530" s="818">
        <f>IF(G530=1,F530-I530-J530-K530,IF(G530=2,F530,0))</f>
        <v>0</v>
      </c>
      <c r="I530" s="818">
        <f>ROUND(IF(G530=1,F530*10/23,IF(G530=3,F530-J530-K530,IF(G530=4,F530,IF(G530=5,F530*10/11,IF(G530=7,F530*10/11,0))))),0)</f>
        <v>0</v>
      </c>
      <c r="J530" s="818">
        <f>ROUND(IF(G530=1,F530/23,IF(G530=3,F530/12,IF(G530=5,F530-I530,IF(G530=8,F530,0)))),0)</f>
        <v>0</v>
      </c>
      <c r="K530" s="819">
        <f>ROUND(IF(G530=1,F530/23,IF(G530=3,F530/12,IF(G530=6,F530,IF(G530=7,F530-I530,0)))),0)</f>
        <v>0</v>
      </c>
      <c r="L530" s="820">
        <f>IF(G530=6,F530,0)</f>
        <v>0</v>
      </c>
      <c r="P530" s="768" t="n"/>
      <c r="Q530" s="769" t="str">
        <f>IF($F530="","",IFERROR(VLOOKUP($C530&amp;"|"&amp;$D530,科目表!$A$5:$B$200,2,FALSE),"※未登録"))</f>
        <v/>
      </c>
      <c r="R530" s="769" t="str">
        <f>IF($F530="","",$I530+$J530+$K530)</f>
        <v/>
      </c>
      <c r="S530" s="769" t="str">
        <f>IF(OR($F530="",$P530="支払なし",$H530=0,$Q530=""),"",$Q530&amp;"|S|"&amp;(COUNTIF(S$4:S529,$Q530&amp;"|S|*")+1))</f>
        <v/>
      </c>
      <c r="T530" s="769" t="str">
        <f>IF(OR($F530="",$P530="支払なし",$R530=0,$Q530=""),"",$Q530&amp;"|L|"&amp;(COUNTIF(T$4:T529,$Q530&amp;"|L|*")+1))</f>
        <v/>
      </c>
      <c r="U530" s="769" t="str">
        <f>IF($F530="","",13)</f>
        <v/>
      </c>
    </row>
    <row r="531" ht="16.5" customHeight="1" s="186">
      <c r="A531" s="760" t="n"/>
      <c r="B531" s="760" t="n"/>
      <c r="C531" s="762" t="n"/>
      <c r="D531" s="762" t="n"/>
      <c r="E531" s="775" t="n"/>
      <c r="F531" s="821" t="n"/>
      <c r="G531" s="821" t="n"/>
      <c r="H531" s="818">
        <f>IF(G531=1,F531-I531-J531-K531,IF(G531=2,F531,0))</f>
        <v>0</v>
      </c>
      <c r="I531" s="818">
        <f>ROUND(IF(G531=1,F531*10/23,IF(G531=3,F531-J531-K531,IF(G531=4,F531,IF(G531=5,F531*10/11,IF(G531=7,F531*10/11,0))))),0)</f>
        <v>0</v>
      </c>
      <c r="J531" s="818">
        <f>ROUND(IF(G531=1,F531/23,IF(G531=3,F531/12,IF(G531=5,F531-I531,IF(G531=8,F531,0)))),0)</f>
        <v>0</v>
      </c>
      <c r="K531" s="819">
        <f>ROUND(IF(G531=1,F531/23,IF(G531=3,F531/12,IF(G531=6,F531,IF(G531=7,F531-I531,0)))),0)</f>
        <v>0</v>
      </c>
      <c r="L531" s="820">
        <f>IF(G531=6,F531,0)</f>
        <v>0</v>
      </c>
      <c r="P531" s="768" t="n"/>
      <c r="Q531" s="769" t="str">
        <f>IF($F531="","",IFERROR(VLOOKUP($C531&amp;"|"&amp;$D531,科目表!$A$5:$B$200,2,FALSE),"※未登録"))</f>
        <v/>
      </c>
      <c r="R531" s="769" t="str">
        <f>IF($F531="","",$I531+$J531+$K531)</f>
        <v/>
      </c>
      <c r="S531" s="769" t="str">
        <f>IF(OR($F531="",$P531="支払なし",$H531=0,$Q531=""),"",$Q531&amp;"|S|"&amp;(COUNTIF(S$4:S530,$Q531&amp;"|S|*")+1))</f>
        <v/>
      </c>
      <c r="T531" s="769" t="str">
        <f>IF(OR($F531="",$P531="支払なし",$R531=0,$Q531=""),"",$Q531&amp;"|L|"&amp;(COUNTIF(T$4:T530,$Q531&amp;"|L|*")+1))</f>
        <v/>
      </c>
      <c r="U531" s="769" t="str">
        <f>IF($F531="","",13)</f>
        <v/>
      </c>
    </row>
    <row r="532" ht="16.5" customHeight="1" s="186">
      <c r="A532" s="760" t="n"/>
      <c r="B532" s="760" t="n"/>
      <c r="C532" s="762" t="n"/>
      <c r="D532" s="762" t="n"/>
      <c r="E532" s="775" t="n"/>
      <c r="F532" s="821" t="n"/>
      <c r="G532" s="821" t="n"/>
      <c r="H532" s="818">
        <f>IF(G532=1,F532-I532-J532-K532,IF(G532=2,F532,0))</f>
        <v>0</v>
      </c>
      <c r="I532" s="818">
        <f>ROUND(IF(G532=1,F532*10/23,IF(G532=3,F532-J532-K532,IF(G532=4,F532,IF(G532=5,F532*10/11,IF(G532=7,F532*10/11,0))))),0)</f>
        <v>0</v>
      </c>
      <c r="J532" s="818">
        <f>ROUND(IF(G532=1,F532/23,IF(G532=3,F532/12,IF(G532=5,F532-I532,IF(G532=8,F532,0)))),0)</f>
        <v>0</v>
      </c>
      <c r="K532" s="819">
        <f>ROUND(IF(G532=1,F532/23,IF(G532=3,F532/12,IF(G532=6,F532,IF(G532=7,F532-I532,0)))),0)</f>
        <v>0</v>
      </c>
      <c r="L532" s="820">
        <f>IF(G532=6,F532,0)</f>
        <v>0</v>
      </c>
      <c r="P532" s="768" t="n"/>
      <c r="Q532" s="769" t="str">
        <f>IF($F532="","",IFERROR(VLOOKUP($C532&amp;"|"&amp;$D532,科目表!$A$5:$B$200,2,FALSE),"※未登録"))</f>
        <v/>
      </c>
      <c r="R532" s="769" t="str">
        <f>IF($F532="","",$I532+$J532+$K532)</f>
        <v/>
      </c>
      <c r="S532" s="769" t="str">
        <f>IF(OR($F532="",$P532="支払なし",$H532=0,$Q532=""),"",$Q532&amp;"|S|"&amp;(COUNTIF(S$4:S531,$Q532&amp;"|S|*")+1))</f>
        <v/>
      </c>
      <c r="T532" s="769" t="str">
        <f>IF(OR($F532="",$P532="支払なし",$R532=0,$Q532=""),"",$Q532&amp;"|L|"&amp;(COUNTIF(T$4:T531,$Q532&amp;"|L|*")+1))</f>
        <v/>
      </c>
      <c r="U532" s="769" t="str">
        <f>IF($F532="","",13)</f>
        <v/>
      </c>
    </row>
    <row r="533" ht="16.5" customHeight="1" s="186">
      <c r="A533" s="760" t="n"/>
      <c r="B533" s="760" t="n"/>
      <c r="C533" s="762" t="n"/>
      <c r="D533" s="762" t="n"/>
      <c r="E533" s="775" t="n"/>
      <c r="F533" s="821" t="n"/>
      <c r="G533" s="821" t="n"/>
      <c r="H533" s="818">
        <f>IF(G533=1,F533-I533-J533-K533,IF(G533=2,F533,0))</f>
        <v>0</v>
      </c>
      <c r="I533" s="818">
        <f>ROUND(IF(G533=1,F533*10/23,IF(G533=3,F533-J533-K533,IF(G533=4,F533,IF(G533=5,F533*10/11,IF(G533=7,F533*10/11,0))))),0)</f>
        <v>0</v>
      </c>
      <c r="J533" s="818">
        <f>ROUND(IF(G533=1,F533/23,IF(G533=3,F533/12,IF(G533=5,F533-I533,IF(G533=8,F533,0)))),0)</f>
        <v>0</v>
      </c>
      <c r="K533" s="819">
        <f>ROUND(IF(G533=1,F533/23,IF(G533=3,F533/12,IF(G533=6,F533,IF(G533=7,F533-I533,0)))),0)</f>
        <v>0</v>
      </c>
      <c r="L533" s="820">
        <f>IF(G533=6,F533,0)</f>
        <v>0</v>
      </c>
      <c r="P533" s="768" t="n"/>
      <c r="Q533" s="769" t="str">
        <f>IF($F533="","",IFERROR(VLOOKUP($C533&amp;"|"&amp;$D533,科目表!$A$5:$B$200,2,FALSE),"※未登録"))</f>
        <v/>
      </c>
      <c r="R533" s="769" t="str">
        <f>IF($F533="","",$I533+$J533+$K533)</f>
        <v/>
      </c>
      <c r="S533" s="769" t="str">
        <f>IF(OR($F533="",$P533="支払なし",$H533=0,$Q533=""),"",$Q533&amp;"|S|"&amp;(COUNTIF(S$4:S532,$Q533&amp;"|S|*")+1))</f>
        <v/>
      </c>
      <c r="T533" s="769" t="str">
        <f>IF(OR($F533="",$P533="支払なし",$R533=0,$Q533=""),"",$Q533&amp;"|L|"&amp;(COUNTIF(T$4:T532,$Q533&amp;"|L|*")+1))</f>
        <v/>
      </c>
      <c r="U533" s="769" t="str">
        <f>IF($F533="","",13)</f>
        <v/>
      </c>
    </row>
    <row r="534" ht="16.5" customHeight="1" s="186">
      <c r="A534" s="760" t="n"/>
      <c r="B534" s="760" t="n"/>
      <c r="C534" s="762" t="n"/>
      <c r="D534" s="762" t="n"/>
      <c r="E534" s="775" t="n"/>
      <c r="F534" s="821" t="n"/>
      <c r="G534" s="821" t="n"/>
      <c r="H534" s="818">
        <f>IF(G534=1,F534-I534-J534-K534,IF(G534=2,F534,0))</f>
        <v>0</v>
      </c>
      <c r="I534" s="818">
        <f>ROUND(IF(G534=1,F534*10/23,IF(G534=3,F534-J534-K534,IF(G534=4,F534,IF(G534=5,F534*10/11,IF(G534=7,F534*10/11,0))))),0)</f>
        <v>0</v>
      </c>
      <c r="J534" s="818">
        <f>ROUND(IF(G534=1,F534/23,IF(G534=3,F534/12,IF(G534=5,F534-I534,IF(G534=8,F534,0)))),0)</f>
        <v>0</v>
      </c>
      <c r="K534" s="819">
        <f>ROUND(IF(G534=1,F534/23,IF(G534=3,F534/12,IF(G534=6,F534,IF(G534=7,F534-I534,0)))),0)</f>
        <v>0</v>
      </c>
      <c r="L534" s="820">
        <f>IF(G534=6,F534,0)</f>
        <v>0</v>
      </c>
      <c r="P534" s="768" t="n"/>
      <c r="Q534" s="769" t="str">
        <f>IF($F534="","",IFERROR(VLOOKUP($C534&amp;"|"&amp;$D534,科目表!$A$5:$B$200,2,FALSE),"※未登録"))</f>
        <v/>
      </c>
      <c r="R534" s="769" t="str">
        <f>IF($F534="","",$I534+$J534+$K534)</f>
        <v/>
      </c>
      <c r="S534" s="769" t="str">
        <f>IF(OR($F534="",$P534="支払なし",$H534=0,$Q534=""),"",$Q534&amp;"|S|"&amp;(COUNTIF(S$4:S533,$Q534&amp;"|S|*")+1))</f>
        <v/>
      </c>
      <c r="T534" s="769" t="str">
        <f>IF(OR($F534="",$P534="支払なし",$R534=0,$Q534=""),"",$Q534&amp;"|L|"&amp;(COUNTIF(T$4:T533,$Q534&amp;"|L|*")+1))</f>
        <v/>
      </c>
      <c r="U534" s="769" t="str">
        <f>IF($F534="","",13)</f>
        <v/>
      </c>
    </row>
    <row r="535" ht="16.5" customHeight="1" s="186">
      <c r="A535" s="760" t="n"/>
      <c r="B535" s="760" t="n"/>
      <c r="C535" s="762" t="n"/>
      <c r="D535" s="762" t="n"/>
      <c r="E535" s="775" t="n"/>
      <c r="F535" s="821" t="n"/>
      <c r="G535" s="821" t="n"/>
      <c r="H535" s="818">
        <f>IF(G535=1,F535-I535-J535-K535,IF(G535=2,F535,0))</f>
        <v>0</v>
      </c>
      <c r="I535" s="818">
        <f>ROUND(IF(G535=1,F535*10/23,IF(G535=3,F535-J535-K535,IF(G535=4,F535,IF(G535=5,F535*10/11,IF(G535=7,F535*10/11,0))))),0)</f>
        <v>0</v>
      </c>
      <c r="J535" s="818">
        <f>ROUND(IF(G535=1,F535/23,IF(G535=3,F535/12,IF(G535=5,F535-I535,IF(G535=8,F535,0)))),0)</f>
        <v>0</v>
      </c>
      <c r="K535" s="819">
        <f>ROUND(IF(G535=1,F535/23,IF(G535=3,F535/12,IF(G535=6,F535,IF(G535=7,F535-I535,0)))),0)</f>
        <v>0</v>
      </c>
      <c r="L535" s="820">
        <f>IF(G535=6,F535,0)</f>
        <v>0</v>
      </c>
      <c r="P535" s="768" t="n"/>
      <c r="Q535" s="769" t="str">
        <f>IF($F535="","",IFERROR(VLOOKUP($C535&amp;"|"&amp;$D535,科目表!$A$5:$B$200,2,FALSE),"※未登録"))</f>
        <v/>
      </c>
      <c r="R535" s="769" t="str">
        <f>IF($F535="","",$I535+$J535+$K535)</f>
        <v/>
      </c>
      <c r="S535" s="769" t="str">
        <f>IF(OR($F535="",$P535="支払なし",$H535=0,$Q535=""),"",$Q535&amp;"|S|"&amp;(COUNTIF(S$4:S534,$Q535&amp;"|S|*")+1))</f>
        <v/>
      </c>
      <c r="T535" s="769" t="str">
        <f>IF(OR($F535="",$P535="支払なし",$R535=0,$Q535=""),"",$Q535&amp;"|L|"&amp;(COUNTIF(T$4:T534,$Q535&amp;"|L|*")+1))</f>
        <v/>
      </c>
      <c r="U535" s="769" t="str">
        <f>IF($F535="","",13)</f>
        <v/>
      </c>
    </row>
    <row r="536" ht="16.5" customHeight="1" s="186">
      <c r="A536" s="760" t="n"/>
      <c r="B536" s="760" t="n"/>
      <c r="C536" s="762" t="n"/>
      <c r="D536" s="762" t="n"/>
      <c r="E536" s="775" t="n"/>
      <c r="F536" s="821" t="n"/>
      <c r="G536" s="821" t="n"/>
      <c r="H536" s="818">
        <f>IF(G536=1,F536-I536-J536-K536,IF(G536=2,F536,0))</f>
        <v>0</v>
      </c>
      <c r="I536" s="818">
        <f>ROUND(IF(G536=1,F536*10/23,IF(G536=3,F536-J536-K536,IF(G536=4,F536,IF(G536=5,F536*10/11,IF(G536=7,F536*10/11,0))))),0)</f>
        <v>0</v>
      </c>
      <c r="J536" s="818">
        <f>ROUND(IF(G536=1,F536/23,IF(G536=3,F536/12,IF(G536=5,F536-I536,IF(G536=8,F536,0)))),0)</f>
        <v>0</v>
      </c>
      <c r="K536" s="819">
        <f>ROUND(IF(G536=1,F536/23,IF(G536=3,F536/12,IF(G536=6,F536,IF(G536=7,F536-I536,0)))),0)</f>
        <v>0</v>
      </c>
      <c r="L536" s="820">
        <f>IF(G536=6,F536,0)</f>
        <v>0</v>
      </c>
      <c r="P536" s="768" t="n"/>
      <c r="Q536" s="769" t="str">
        <f>IF($F536="","",IFERROR(VLOOKUP($C536&amp;"|"&amp;$D536,科目表!$A$5:$B$200,2,FALSE),"※未登録"))</f>
        <v/>
      </c>
      <c r="R536" s="769" t="str">
        <f>IF($F536="","",$I536+$J536+$K536)</f>
        <v/>
      </c>
      <c r="S536" s="769" t="str">
        <f>IF(OR($F536="",$P536="支払なし",$H536=0,$Q536=""),"",$Q536&amp;"|S|"&amp;(COUNTIF(S$4:S535,$Q536&amp;"|S|*")+1))</f>
        <v/>
      </c>
      <c r="T536" s="769" t="str">
        <f>IF(OR($F536="",$P536="支払なし",$R536=0,$Q536=""),"",$Q536&amp;"|L|"&amp;(COUNTIF(T$4:T535,$Q536&amp;"|L|*")+1))</f>
        <v/>
      </c>
      <c r="U536" s="769" t="str">
        <f>IF($F536="","",13)</f>
        <v/>
      </c>
    </row>
    <row r="537" ht="16.5" customHeight="1" s="186">
      <c r="A537" s="760" t="n"/>
      <c r="B537" s="760" t="n"/>
      <c r="C537" s="762" t="n"/>
      <c r="D537" s="762" t="n"/>
      <c r="E537" s="775" t="n"/>
      <c r="F537" s="821" t="n"/>
      <c r="G537" s="821" t="n"/>
      <c r="H537" s="818">
        <f>IF(G537=1,F537-I537-J537-K537,IF(G537=2,F537,0))</f>
        <v>0</v>
      </c>
      <c r="I537" s="818">
        <f>ROUND(IF(G537=1,F537*10/23,IF(G537=3,F537-J537-K537,IF(G537=4,F537,IF(G537=5,F537*10/11,IF(G537=7,F537*10/11,0))))),0)</f>
        <v>0</v>
      </c>
      <c r="J537" s="818">
        <f>ROUND(IF(G537=1,F537/23,IF(G537=3,F537/12,IF(G537=5,F537-I537,IF(G537=8,F537,0)))),0)</f>
        <v>0</v>
      </c>
      <c r="K537" s="819">
        <f>ROUND(IF(G537=1,F537/23,IF(G537=3,F537/12,IF(G537=6,F537,IF(G537=7,F537-I537,0)))),0)</f>
        <v>0</v>
      </c>
      <c r="L537" s="820">
        <f>IF(G537=6,F537,0)</f>
        <v>0</v>
      </c>
      <c r="P537" s="768" t="n"/>
      <c r="Q537" s="769" t="str">
        <f>IF($F537="","",IFERROR(VLOOKUP($C537&amp;"|"&amp;$D537,科目表!$A$5:$B$200,2,FALSE),"※未登録"))</f>
        <v/>
      </c>
      <c r="R537" s="769" t="str">
        <f>IF($F537="","",$I537+$J537+$K537)</f>
        <v/>
      </c>
      <c r="S537" s="769" t="str">
        <f>IF(OR($F537="",$P537="支払なし",$H537=0,$Q537=""),"",$Q537&amp;"|S|"&amp;(COUNTIF(S$4:S536,$Q537&amp;"|S|*")+1))</f>
        <v/>
      </c>
      <c r="T537" s="769" t="str">
        <f>IF(OR($F537="",$P537="支払なし",$R537=0,$Q537=""),"",$Q537&amp;"|L|"&amp;(COUNTIF(T$4:T536,$Q537&amp;"|L|*")+1))</f>
        <v/>
      </c>
      <c r="U537" s="769" t="str">
        <f>IF($F537="","",13)</f>
        <v/>
      </c>
    </row>
    <row r="538" ht="16.5" customHeight="1" s="186">
      <c r="A538" s="760" t="n"/>
      <c r="B538" s="760" t="n"/>
      <c r="C538" s="762" t="n"/>
      <c r="D538" s="762" t="n"/>
      <c r="E538" s="775" t="n"/>
      <c r="F538" s="821" t="n"/>
      <c r="G538" s="821" t="n"/>
      <c r="H538" s="818">
        <f>IF(G538=1,F538-I538-J538-K538,IF(G538=2,F538,0))</f>
        <v>0</v>
      </c>
      <c r="I538" s="818">
        <f>ROUND(IF(G538=1,F538*10/23,IF(G538=3,F538-J538-K538,IF(G538=4,F538,IF(G538=5,F538*10/11,IF(G538=7,F538*10/11,0))))),0)</f>
        <v>0</v>
      </c>
      <c r="J538" s="818">
        <f>ROUND(IF(G538=1,F538/23,IF(G538=3,F538/12,IF(G538=5,F538-I538,IF(G538=8,F538,0)))),0)</f>
        <v>0</v>
      </c>
      <c r="K538" s="819">
        <f>ROUND(IF(G538=1,F538/23,IF(G538=3,F538/12,IF(G538=6,F538,IF(G538=7,F538-I538,0)))),0)</f>
        <v>0</v>
      </c>
      <c r="L538" s="820">
        <f>IF(G538=6,F538,0)</f>
        <v>0</v>
      </c>
      <c r="P538" s="768" t="n"/>
      <c r="Q538" s="769" t="str">
        <f>IF($F538="","",IFERROR(VLOOKUP($C538&amp;"|"&amp;$D538,科目表!$A$5:$B$200,2,FALSE),"※未登録"))</f>
        <v/>
      </c>
      <c r="R538" s="769" t="str">
        <f>IF($F538="","",$I538+$J538+$K538)</f>
        <v/>
      </c>
      <c r="S538" s="769" t="str">
        <f>IF(OR($F538="",$P538="支払なし",$H538=0,$Q538=""),"",$Q538&amp;"|S|"&amp;(COUNTIF(S$4:S537,$Q538&amp;"|S|*")+1))</f>
        <v/>
      </c>
      <c r="T538" s="769" t="str">
        <f>IF(OR($F538="",$P538="支払なし",$R538=0,$Q538=""),"",$Q538&amp;"|L|"&amp;(COUNTIF(T$4:T537,$Q538&amp;"|L|*")+1))</f>
        <v/>
      </c>
      <c r="U538" s="769" t="str">
        <f>IF($F538="","",13)</f>
        <v/>
      </c>
    </row>
    <row r="539" ht="16.5" customHeight="1" s="186">
      <c r="A539" s="760" t="n"/>
      <c r="B539" s="760" t="n"/>
      <c r="C539" s="762" t="n"/>
      <c r="D539" s="762" t="n"/>
      <c r="E539" s="775" t="n"/>
      <c r="F539" s="821" t="n"/>
      <c r="G539" s="821" t="n"/>
      <c r="H539" s="818">
        <f>IF(G539=1,F539-I539-J539-K539,IF(G539=2,F539,0))</f>
        <v>0</v>
      </c>
      <c r="I539" s="818">
        <f>ROUND(IF(G539=1,F539*10/23,IF(G539=3,F539-J539-K539,IF(G539=4,F539,IF(G539=5,F539*10/11,IF(G539=7,F539*10/11,0))))),0)</f>
        <v>0</v>
      </c>
      <c r="J539" s="818">
        <f>ROUND(IF(G539=1,F539/23,IF(G539=3,F539/12,IF(G539=5,F539-I539,IF(G539=8,F539,0)))),0)</f>
        <v>0</v>
      </c>
      <c r="K539" s="819">
        <f>ROUND(IF(G539=1,F539/23,IF(G539=3,F539/12,IF(G539=6,F539,IF(G539=7,F539-I539,0)))),0)</f>
        <v>0</v>
      </c>
      <c r="L539" s="820">
        <f>IF(G539=6,F539,0)</f>
        <v>0</v>
      </c>
      <c r="P539" s="768" t="n"/>
      <c r="Q539" s="769" t="str">
        <f>IF($F539="","",IFERROR(VLOOKUP($C539&amp;"|"&amp;$D539,科目表!$A$5:$B$200,2,FALSE),"※未登録"))</f>
        <v/>
      </c>
      <c r="R539" s="769" t="str">
        <f>IF($F539="","",$I539+$J539+$K539)</f>
        <v/>
      </c>
      <c r="S539" s="769" t="str">
        <f>IF(OR($F539="",$P539="支払なし",$H539=0,$Q539=""),"",$Q539&amp;"|S|"&amp;(COUNTIF(S$4:S538,$Q539&amp;"|S|*")+1))</f>
        <v/>
      </c>
      <c r="T539" s="769" t="str">
        <f>IF(OR($F539="",$P539="支払なし",$R539=0,$Q539=""),"",$Q539&amp;"|L|"&amp;(COUNTIF(T$4:T538,$Q539&amp;"|L|*")+1))</f>
        <v/>
      </c>
      <c r="U539" s="769" t="str">
        <f>IF($F539="","",13)</f>
        <v/>
      </c>
    </row>
    <row r="540" ht="16.5" customHeight="1" s="186">
      <c r="A540" s="760" t="n"/>
      <c r="B540" s="760" t="n"/>
      <c r="C540" s="762" t="n"/>
      <c r="D540" s="762" t="n"/>
      <c r="E540" s="775" t="n"/>
      <c r="F540" s="821" t="n"/>
      <c r="G540" s="821" t="n"/>
      <c r="H540" s="818">
        <f>IF(G540=1,F540-I540-J540-K540,IF(G540=2,F540,0))</f>
        <v>0</v>
      </c>
      <c r="I540" s="818">
        <f>ROUND(IF(G540=1,F540*10/23,IF(G540=3,F540-J540-K540,IF(G540=4,F540,IF(G540=5,F540*10/11,IF(G540=7,F540*10/11,0))))),0)</f>
        <v>0</v>
      </c>
      <c r="J540" s="818">
        <f>ROUND(IF(G540=1,F540/23,IF(G540=3,F540/12,IF(G540=5,F540-I540,IF(G540=8,F540,0)))),0)</f>
        <v>0</v>
      </c>
      <c r="K540" s="819">
        <f>ROUND(IF(G540=1,F540/23,IF(G540=3,F540/12,IF(G540=6,F540,IF(G540=7,F540-I540,0)))),0)</f>
        <v>0</v>
      </c>
      <c r="L540" s="820">
        <f>IF(G540=6,F540,0)</f>
        <v>0</v>
      </c>
      <c r="P540" s="768" t="n"/>
      <c r="Q540" s="769" t="str">
        <f>IF($F540="","",IFERROR(VLOOKUP($C540&amp;"|"&amp;$D540,科目表!$A$5:$B$200,2,FALSE),"※未登録"))</f>
        <v/>
      </c>
      <c r="R540" s="769" t="str">
        <f>IF($F540="","",$I540+$J540+$K540)</f>
        <v/>
      </c>
      <c r="S540" s="769" t="str">
        <f>IF(OR($F540="",$P540="支払なし",$H540=0,$Q540=""),"",$Q540&amp;"|S|"&amp;(COUNTIF(S$4:S539,$Q540&amp;"|S|*")+1))</f>
        <v/>
      </c>
      <c r="T540" s="769" t="str">
        <f>IF(OR($F540="",$P540="支払なし",$R540=0,$Q540=""),"",$Q540&amp;"|L|"&amp;(COUNTIF(T$4:T539,$Q540&amp;"|L|*")+1))</f>
        <v/>
      </c>
      <c r="U540" s="769" t="str">
        <f>IF($F540="","",13)</f>
        <v/>
      </c>
    </row>
    <row r="541" ht="16.5" customHeight="1" s="186">
      <c r="A541" s="760" t="n"/>
      <c r="B541" s="760" t="n"/>
      <c r="C541" s="762" t="n"/>
      <c r="D541" s="762" t="n"/>
      <c r="E541" s="775" t="n"/>
      <c r="F541" s="821" t="n"/>
      <c r="G541" s="821" t="n"/>
      <c r="H541" s="818">
        <f>IF(G541=1,F541-I541-J541-K541,IF(G541=2,F541,0))</f>
        <v>0</v>
      </c>
      <c r="I541" s="818">
        <f>ROUND(IF(G541=1,F541*10/23,IF(G541=3,F541-J541-K541,IF(G541=4,F541,IF(G541=5,F541*10/11,IF(G541=7,F541*10/11,0))))),0)</f>
        <v>0</v>
      </c>
      <c r="J541" s="818">
        <f>ROUND(IF(G541=1,F541/23,IF(G541=3,F541/12,IF(G541=5,F541-I541,IF(G541=8,F541,0)))),0)</f>
        <v>0</v>
      </c>
      <c r="K541" s="819">
        <f>ROUND(IF(G541=1,F541/23,IF(G541=3,F541/12,IF(G541=6,F541,IF(G541=7,F541-I541,0)))),0)</f>
        <v>0</v>
      </c>
      <c r="L541" s="820">
        <f>IF(G541=6,F541,0)</f>
        <v>0</v>
      </c>
      <c r="P541" s="768" t="n"/>
      <c r="Q541" s="769" t="str">
        <f>IF($F541="","",IFERROR(VLOOKUP($C541&amp;"|"&amp;$D541,科目表!$A$5:$B$200,2,FALSE),"※未登録"))</f>
        <v/>
      </c>
      <c r="R541" s="769" t="str">
        <f>IF($F541="","",$I541+$J541+$K541)</f>
        <v/>
      </c>
      <c r="S541" s="769" t="str">
        <f>IF(OR($F541="",$P541="支払なし",$H541=0,$Q541=""),"",$Q541&amp;"|S|"&amp;(COUNTIF(S$4:S540,$Q541&amp;"|S|*")+1))</f>
        <v/>
      </c>
      <c r="T541" s="769" t="str">
        <f>IF(OR($F541="",$P541="支払なし",$R541=0,$Q541=""),"",$Q541&amp;"|L|"&amp;(COUNTIF(T$4:T540,$Q541&amp;"|L|*")+1))</f>
        <v/>
      </c>
      <c r="U541" s="769" t="str">
        <f>IF($F541="","",13)</f>
        <v/>
      </c>
    </row>
    <row r="542" ht="16.5" customHeight="1" s="186">
      <c r="A542" s="760" t="n"/>
      <c r="B542" s="760" t="n"/>
      <c r="C542" s="762" t="n"/>
      <c r="D542" s="762" t="n"/>
      <c r="E542" s="775" t="n"/>
      <c r="F542" s="821" t="n"/>
      <c r="G542" s="821" t="n"/>
      <c r="H542" s="818">
        <f>IF(G542=1,F542-I542-J542-K542,IF(G542=2,F542,0))</f>
        <v>0</v>
      </c>
      <c r="I542" s="818">
        <f>ROUND(IF(G542=1,F542*10/23,IF(G542=3,F542-J542-K542,IF(G542=4,F542,IF(G542=5,F542*10/11,IF(G542=7,F542*10/11,0))))),0)</f>
        <v>0</v>
      </c>
      <c r="J542" s="818">
        <f>ROUND(IF(G542=1,F542/23,IF(G542=3,F542/12,IF(G542=5,F542-I542,IF(G542=8,F542,0)))),0)</f>
        <v>0</v>
      </c>
      <c r="K542" s="819">
        <f>ROUND(IF(G542=1,F542/23,IF(G542=3,F542/12,IF(G542=6,F542,IF(G542=7,F542-I542,0)))),0)</f>
        <v>0</v>
      </c>
      <c r="L542" s="820">
        <f>IF(G542=6,F542,0)</f>
        <v>0</v>
      </c>
      <c r="P542" s="768" t="n"/>
      <c r="Q542" s="769" t="str">
        <f>IF($F542="","",IFERROR(VLOOKUP($C542&amp;"|"&amp;$D542,科目表!$A$5:$B$200,2,FALSE),"※未登録"))</f>
        <v/>
      </c>
      <c r="R542" s="769" t="str">
        <f>IF($F542="","",$I542+$J542+$K542)</f>
        <v/>
      </c>
      <c r="S542" s="769" t="str">
        <f>IF(OR($F542="",$P542="支払なし",$H542=0,$Q542=""),"",$Q542&amp;"|S|"&amp;(COUNTIF(S$4:S541,$Q542&amp;"|S|*")+1))</f>
        <v/>
      </c>
      <c r="T542" s="769" t="str">
        <f>IF(OR($F542="",$P542="支払なし",$R542=0,$Q542=""),"",$Q542&amp;"|L|"&amp;(COUNTIF(T$4:T541,$Q542&amp;"|L|*")+1))</f>
        <v/>
      </c>
      <c r="U542" s="769" t="str">
        <f>IF($F542="","",13)</f>
        <v/>
      </c>
    </row>
    <row r="543" ht="16.5" customHeight="1" s="186">
      <c r="A543" s="760" t="n"/>
      <c r="B543" s="760" t="n"/>
      <c r="C543" s="762" t="n"/>
      <c r="D543" s="762" t="n"/>
      <c r="E543" s="775" t="n"/>
      <c r="F543" s="821" t="n"/>
      <c r="G543" s="821" t="n"/>
      <c r="H543" s="818">
        <f>IF(G543=1,F543-I543-J543-K543,IF(G543=2,F543,0))</f>
        <v>0</v>
      </c>
      <c r="I543" s="818">
        <f>ROUND(IF(G543=1,F543*10/23,IF(G543=3,F543-J543-K543,IF(G543=4,F543,IF(G543=5,F543*10/11,IF(G543=7,F543*10/11,0))))),0)</f>
        <v>0</v>
      </c>
      <c r="J543" s="818">
        <f>ROUND(IF(G543=1,F543/23,IF(G543=3,F543/12,IF(G543=5,F543-I543,IF(G543=8,F543,0)))),0)</f>
        <v>0</v>
      </c>
      <c r="K543" s="819">
        <f>ROUND(IF(G543=1,F543/23,IF(G543=3,F543/12,IF(G543=6,F543,IF(G543=7,F543-I543,0)))),0)</f>
        <v>0</v>
      </c>
      <c r="L543" s="820">
        <f>IF(G543=6,F543,0)</f>
        <v>0</v>
      </c>
      <c r="P543" s="768" t="n"/>
      <c r="Q543" s="769" t="str">
        <f>IF($F543="","",IFERROR(VLOOKUP($C543&amp;"|"&amp;$D543,科目表!$A$5:$B$200,2,FALSE),"※未登録"))</f>
        <v/>
      </c>
      <c r="R543" s="769" t="str">
        <f>IF($F543="","",$I543+$J543+$K543)</f>
        <v/>
      </c>
      <c r="S543" s="769" t="str">
        <f>IF(OR($F543="",$P543="支払なし",$H543=0,$Q543=""),"",$Q543&amp;"|S|"&amp;(COUNTIF(S$4:S542,$Q543&amp;"|S|*")+1))</f>
        <v/>
      </c>
      <c r="T543" s="769" t="str">
        <f>IF(OR($F543="",$P543="支払なし",$R543=0,$Q543=""),"",$Q543&amp;"|L|"&amp;(COUNTIF(T$4:T542,$Q543&amp;"|L|*")+1))</f>
        <v/>
      </c>
      <c r="U543" s="769" t="str">
        <f>IF($F543="","",13)</f>
        <v/>
      </c>
    </row>
    <row r="544" ht="16.5" customHeight="1" s="186">
      <c r="A544" s="760" t="n"/>
      <c r="B544" s="760" t="n"/>
      <c r="C544" s="762" t="n"/>
      <c r="D544" s="762" t="n"/>
      <c r="E544" s="775" t="n"/>
      <c r="F544" s="821" t="n"/>
      <c r="G544" s="821" t="n"/>
      <c r="H544" s="818">
        <f>IF(G544=1,F544-I544-J544-K544,IF(G544=2,F544,0))</f>
        <v>0</v>
      </c>
      <c r="I544" s="818">
        <f>ROUND(IF(G544=1,F544*10/23,IF(G544=3,F544-J544-K544,IF(G544=4,F544,IF(G544=5,F544*10/11,IF(G544=7,F544*10/11,0))))),0)</f>
        <v>0</v>
      </c>
      <c r="J544" s="818">
        <f>ROUND(IF(G544=1,F544/23,IF(G544=3,F544/12,IF(G544=5,F544-I544,IF(G544=8,F544,0)))),0)</f>
        <v>0</v>
      </c>
      <c r="K544" s="819">
        <f>ROUND(IF(G544=1,F544/23,IF(G544=3,F544/12,IF(G544=6,F544,IF(G544=7,F544-I544,0)))),0)</f>
        <v>0</v>
      </c>
      <c r="L544" s="820">
        <f>IF(G544=6,F544,0)</f>
        <v>0</v>
      </c>
      <c r="P544" s="768" t="n"/>
      <c r="Q544" s="769" t="str">
        <f>IF($F544="","",IFERROR(VLOOKUP($C544&amp;"|"&amp;$D544,科目表!$A$5:$B$200,2,FALSE),"※未登録"))</f>
        <v/>
      </c>
      <c r="R544" s="769" t="str">
        <f>IF($F544="","",$I544+$J544+$K544)</f>
        <v/>
      </c>
      <c r="S544" s="769" t="str">
        <f>IF(OR($F544="",$P544="支払なし",$H544=0,$Q544=""),"",$Q544&amp;"|S|"&amp;(COUNTIF(S$4:S543,$Q544&amp;"|S|*")+1))</f>
        <v/>
      </c>
      <c r="T544" s="769" t="str">
        <f>IF(OR($F544="",$P544="支払なし",$R544=0,$Q544=""),"",$Q544&amp;"|L|"&amp;(COUNTIF(T$4:T543,$Q544&amp;"|L|*")+1))</f>
        <v/>
      </c>
      <c r="U544" s="769" t="str">
        <f>IF($F544="","",13)</f>
        <v/>
      </c>
    </row>
    <row r="545" ht="16.5" customHeight="1" s="186">
      <c r="A545" s="760" t="n"/>
      <c r="B545" s="760" t="n"/>
      <c r="C545" s="762" t="n"/>
      <c r="D545" s="762" t="n"/>
      <c r="E545" s="775" t="n"/>
      <c r="F545" s="821" t="n"/>
      <c r="G545" s="821" t="n"/>
      <c r="H545" s="818">
        <f>IF(G545=1,F545-I545-J545-K545,IF(G545=2,F545,0))</f>
        <v>0</v>
      </c>
      <c r="I545" s="818">
        <f>ROUND(IF(G545=1,F545*10/23,IF(G545=3,F545-J545-K545,IF(G545=4,F545,IF(G545=5,F545*10/11,IF(G545=7,F545*10/11,0))))),0)</f>
        <v>0</v>
      </c>
      <c r="J545" s="818">
        <f>ROUND(IF(G545=1,F545/23,IF(G545=3,F545/12,IF(G545=5,F545-I545,IF(G545=8,F545,0)))),0)</f>
        <v>0</v>
      </c>
      <c r="K545" s="819">
        <f>ROUND(IF(G545=1,F545/23,IF(G545=3,F545/12,IF(G545=6,F545,IF(G545=7,F545-I545,0)))),0)</f>
        <v>0</v>
      </c>
      <c r="L545" s="820">
        <f>IF(G545=6,F545,0)</f>
        <v>0</v>
      </c>
      <c r="P545" s="768" t="n"/>
      <c r="Q545" s="769" t="str">
        <f>IF($F545="","",IFERROR(VLOOKUP($C545&amp;"|"&amp;$D545,科目表!$A$5:$B$200,2,FALSE),"※未登録"))</f>
        <v/>
      </c>
      <c r="R545" s="769" t="str">
        <f>IF($F545="","",$I545+$J545+$K545)</f>
        <v/>
      </c>
      <c r="S545" s="769" t="str">
        <f>IF(OR($F545="",$P545="支払なし",$H545=0,$Q545=""),"",$Q545&amp;"|S|"&amp;(COUNTIF(S$4:S544,$Q545&amp;"|S|*")+1))</f>
        <v/>
      </c>
      <c r="T545" s="769" t="str">
        <f>IF(OR($F545="",$P545="支払なし",$R545=0,$Q545=""),"",$Q545&amp;"|L|"&amp;(COUNTIF(T$4:T544,$Q545&amp;"|L|*")+1))</f>
        <v/>
      </c>
      <c r="U545" s="769" t="str">
        <f>IF($F545="","",13)</f>
        <v/>
      </c>
    </row>
    <row r="546" ht="16.5" customHeight="1" s="186">
      <c r="A546" s="760" t="n"/>
      <c r="B546" s="760" t="n"/>
      <c r="C546" s="762" t="n"/>
      <c r="D546" s="762" t="n"/>
      <c r="E546" s="775" t="n"/>
      <c r="F546" s="821" t="n"/>
      <c r="G546" s="821" t="n"/>
      <c r="H546" s="818">
        <f>IF(G546=1,F546-I546-J546-K546,IF(G546=2,F546,0))</f>
        <v>0</v>
      </c>
      <c r="I546" s="818">
        <f>ROUND(IF(G546=1,F546*10/23,IF(G546=3,F546-J546-K546,IF(G546=4,F546,IF(G546=5,F546*10/11,IF(G546=7,F546*10/11,0))))),0)</f>
        <v>0</v>
      </c>
      <c r="J546" s="818">
        <f>ROUND(IF(G546=1,F546/23,IF(G546=3,F546/12,IF(G546=5,F546-I546,IF(G546=8,F546,0)))),0)</f>
        <v>0</v>
      </c>
      <c r="K546" s="819">
        <f>ROUND(IF(G546=1,F546/23,IF(G546=3,F546/12,IF(G546=6,F546,IF(G546=7,F546-I546,0)))),0)</f>
        <v>0</v>
      </c>
      <c r="L546" s="820">
        <f>IF(G546=6,F546,0)</f>
        <v>0</v>
      </c>
      <c r="P546" s="768" t="n"/>
      <c r="Q546" s="769" t="str">
        <f>IF($F546="","",IFERROR(VLOOKUP($C546&amp;"|"&amp;$D546,科目表!$A$5:$B$200,2,FALSE),"※未登録"))</f>
        <v/>
      </c>
      <c r="R546" s="769" t="str">
        <f>IF($F546="","",$I546+$J546+$K546)</f>
        <v/>
      </c>
      <c r="S546" s="769" t="str">
        <f>IF(OR($F546="",$P546="支払なし",$H546=0,$Q546=""),"",$Q546&amp;"|S|"&amp;(COUNTIF(S$4:S545,$Q546&amp;"|S|*")+1))</f>
        <v/>
      </c>
      <c r="T546" s="769" t="str">
        <f>IF(OR($F546="",$P546="支払なし",$R546=0,$Q546=""),"",$Q546&amp;"|L|"&amp;(COUNTIF(T$4:T545,$Q546&amp;"|L|*")+1))</f>
        <v/>
      </c>
      <c r="U546" s="769" t="str">
        <f>IF($F546="","",13)</f>
        <v/>
      </c>
    </row>
    <row r="547" ht="16.5" customHeight="1" s="186">
      <c r="A547" s="760" t="n"/>
      <c r="B547" s="760" t="n"/>
      <c r="C547" s="762" t="n"/>
      <c r="D547" s="762" t="n"/>
      <c r="E547" s="775" t="n"/>
      <c r="F547" s="821" t="n"/>
      <c r="G547" s="821" t="n"/>
      <c r="H547" s="818">
        <f>IF(G547=1,F547-I547-J547-K547,IF(G547=2,F547,0))</f>
        <v>0</v>
      </c>
      <c r="I547" s="818">
        <f>ROUND(IF(G547=1,F547*10/23,IF(G547=3,F547-J547-K547,IF(G547=4,F547,IF(G547=5,F547*10/11,IF(G547=7,F547*10/11,0))))),0)</f>
        <v>0</v>
      </c>
      <c r="J547" s="818">
        <f>ROUND(IF(G547=1,F547/23,IF(G547=3,F547/12,IF(G547=5,F547-I547,IF(G547=8,F547,0)))),0)</f>
        <v>0</v>
      </c>
      <c r="K547" s="819">
        <f>ROUND(IF(G547=1,F547/23,IF(G547=3,F547/12,IF(G547=6,F547,IF(G547=7,F547-I547,0)))),0)</f>
        <v>0</v>
      </c>
      <c r="L547" s="820">
        <f>IF(G547=6,F547,0)</f>
        <v>0</v>
      </c>
      <c r="P547" s="768" t="n"/>
      <c r="Q547" s="769" t="str">
        <f>IF($F547="","",IFERROR(VLOOKUP($C547&amp;"|"&amp;$D547,科目表!$A$5:$B$200,2,FALSE),"※未登録"))</f>
        <v/>
      </c>
      <c r="R547" s="769" t="str">
        <f>IF($F547="","",$I547+$J547+$K547)</f>
        <v/>
      </c>
      <c r="S547" s="769" t="str">
        <f>IF(OR($F547="",$P547="支払なし",$H547=0,$Q547=""),"",$Q547&amp;"|S|"&amp;(COUNTIF(S$4:S546,$Q547&amp;"|S|*")+1))</f>
        <v/>
      </c>
      <c r="T547" s="769" t="str">
        <f>IF(OR($F547="",$P547="支払なし",$R547=0,$Q547=""),"",$Q547&amp;"|L|"&amp;(COUNTIF(T$4:T546,$Q547&amp;"|L|*")+1))</f>
        <v/>
      </c>
      <c r="U547" s="769" t="str">
        <f>IF($F547="","",13)</f>
        <v/>
      </c>
    </row>
    <row r="548" ht="16.5" customHeight="1" s="186">
      <c r="A548" s="760" t="n"/>
      <c r="B548" s="760" t="n"/>
      <c r="C548" s="762" t="n"/>
      <c r="D548" s="762" t="n"/>
      <c r="E548" s="775" t="n"/>
      <c r="F548" s="821" t="n"/>
      <c r="G548" s="821" t="n"/>
      <c r="H548" s="818">
        <f>IF(G548=1,F548-I548-J548-K548,IF(G548=2,F548,0))</f>
        <v>0</v>
      </c>
      <c r="I548" s="818">
        <f>ROUND(IF(G548=1,F548*10/23,IF(G548=3,F548-J548-K548,IF(G548=4,F548,IF(G548=5,F548*10/11,IF(G548=7,F548*10/11,0))))),0)</f>
        <v>0</v>
      </c>
      <c r="J548" s="818">
        <f>ROUND(IF(G548=1,F548/23,IF(G548=3,F548/12,IF(G548=5,F548-I548,IF(G548=8,F548,0)))),0)</f>
        <v>0</v>
      </c>
      <c r="K548" s="819">
        <f>ROUND(IF(G548=1,F548/23,IF(G548=3,F548/12,IF(G548=6,F548,IF(G548=7,F548-I548,0)))),0)</f>
        <v>0</v>
      </c>
      <c r="L548" s="820">
        <f>IF(G548=6,F548,0)</f>
        <v>0</v>
      </c>
      <c r="P548" s="768" t="n"/>
      <c r="Q548" s="769" t="str">
        <f>IF($F548="","",IFERROR(VLOOKUP($C548&amp;"|"&amp;$D548,科目表!$A$5:$B$200,2,FALSE),"※未登録"))</f>
        <v/>
      </c>
      <c r="R548" s="769" t="str">
        <f>IF($F548="","",$I548+$J548+$K548)</f>
        <v/>
      </c>
      <c r="S548" s="769" t="str">
        <f>IF(OR($F548="",$P548="支払なし",$H548=0,$Q548=""),"",$Q548&amp;"|S|"&amp;(COUNTIF(S$4:S547,$Q548&amp;"|S|*")+1))</f>
        <v/>
      </c>
      <c r="T548" s="769" t="str">
        <f>IF(OR($F548="",$P548="支払なし",$R548=0,$Q548=""),"",$Q548&amp;"|L|"&amp;(COUNTIF(T$4:T547,$Q548&amp;"|L|*")+1))</f>
        <v/>
      </c>
      <c r="U548" s="769" t="str">
        <f>IF($F548="","",13)</f>
        <v/>
      </c>
    </row>
    <row r="549" ht="16.5" customHeight="1" s="186">
      <c r="A549" s="760" t="n"/>
      <c r="B549" s="760" t="n"/>
      <c r="C549" s="762" t="n"/>
      <c r="D549" s="762" t="n"/>
      <c r="E549" s="775" t="n"/>
      <c r="F549" s="821" t="n"/>
      <c r="G549" s="821" t="n"/>
      <c r="H549" s="818">
        <f>IF(G549=1,F549-I549-J549-K549,IF(G549=2,F549,0))</f>
        <v>0</v>
      </c>
      <c r="I549" s="818">
        <f>ROUND(IF(G549=1,F549*10/23,IF(G549=3,F549-J549-K549,IF(G549=4,F549,IF(G549=5,F549*10/11,IF(G549=7,F549*10/11,0))))),0)</f>
        <v>0</v>
      </c>
      <c r="J549" s="818">
        <f>ROUND(IF(G549=1,F549/23,IF(G549=3,F549/12,IF(G549=5,F549-I549,IF(G549=8,F549,0)))),0)</f>
        <v>0</v>
      </c>
      <c r="K549" s="819">
        <f>ROUND(IF(G549=1,F549/23,IF(G549=3,F549/12,IF(G549=6,F549,IF(G549=7,F549-I549,0)))),0)</f>
        <v>0</v>
      </c>
      <c r="L549" s="820">
        <f>IF(G549=6,F549,0)</f>
        <v>0</v>
      </c>
      <c r="P549" s="768" t="n"/>
      <c r="Q549" s="769" t="str">
        <f>IF($F549="","",IFERROR(VLOOKUP($C549&amp;"|"&amp;$D549,科目表!$A$5:$B$200,2,FALSE),"※未登録"))</f>
        <v/>
      </c>
      <c r="R549" s="769" t="str">
        <f>IF($F549="","",$I549+$J549+$K549)</f>
        <v/>
      </c>
      <c r="S549" s="769" t="str">
        <f>IF(OR($F549="",$P549="支払なし",$H549=0,$Q549=""),"",$Q549&amp;"|S|"&amp;(COUNTIF(S$4:S548,$Q549&amp;"|S|*")+1))</f>
        <v/>
      </c>
      <c r="T549" s="769" t="str">
        <f>IF(OR($F549="",$P549="支払なし",$R549=0,$Q549=""),"",$Q549&amp;"|L|"&amp;(COUNTIF(T$4:T548,$Q549&amp;"|L|*")+1))</f>
        <v/>
      </c>
      <c r="U549" s="769" t="str">
        <f>IF($F549="","",13)</f>
        <v/>
      </c>
    </row>
    <row r="550" ht="16.5" customHeight="1" s="186">
      <c r="A550" s="760" t="n"/>
      <c r="B550" s="760" t="n"/>
      <c r="C550" s="762" t="n"/>
      <c r="D550" s="762" t="n"/>
      <c r="E550" s="775" t="n"/>
      <c r="F550" s="821" t="n"/>
      <c r="G550" s="821" t="n"/>
      <c r="H550" s="818">
        <f>IF(G550=1,F550-I550-J550-K550,IF(G550=2,F550,0))</f>
        <v>0</v>
      </c>
      <c r="I550" s="818">
        <f>ROUND(IF(G550=1,F550*10/23,IF(G550=3,F550-J550-K550,IF(G550=4,F550,IF(G550=5,F550*10/11,IF(G550=7,F550*10/11,0))))),0)</f>
        <v>0</v>
      </c>
      <c r="J550" s="818">
        <f>ROUND(IF(G550=1,F550/23,IF(G550=3,F550/12,IF(G550=5,F550-I550,IF(G550=8,F550,0)))),0)</f>
        <v>0</v>
      </c>
      <c r="K550" s="819">
        <f>ROUND(IF(G550=1,F550/23,IF(G550=3,F550/12,IF(G550=6,F550,IF(G550=7,F550-I550,0)))),0)</f>
        <v>0</v>
      </c>
      <c r="L550" s="820">
        <f>IF(G550=6,F550,0)</f>
        <v>0</v>
      </c>
      <c r="P550" s="768" t="n"/>
      <c r="Q550" s="769" t="str">
        <f>IF($F550="","",IFERROR(VLOOKUP($C550&amp;"|"&amp;$D550,科目表!$A$5:$B$200,2,FALSE),"※未登録"))</f>
        <v/>
      </c>
      <c r="R550" s="769" t="str">
        <f>IF($F550="","",$I550+$J550+$K550)</f>
        <v/>
      </c>
      <c r="S550" s="769" t="str">
        <f>IF(OR($F550="",$P550="支払なし",$H550=0,$Q550=""),"",$Q550&amp;"|S|"&amp;(COUNTIF(S$4:S549,$Q550&amp;"|S|*")+1))</f>
        <v/>
      </c>
      <c r="T550" s="769" t="str">
        <f>IF(OR($F550="",$P550="支払なし",$R550=0,$Q550=""),"",$Q550&amp;"|L|"&amp;(COUNTIF(T$4:T549,$Q550&amp;"|L|*")+1))</f>
        <v/>
      </c>
      <c r="U550" s="769" t="str">
        <f>IF($F550="","",13)</f>
        <v/>
      </c>
    </row>
    <row r="551" ht="16.5" customHeight="1" s="186">
      <c r="A551" s="760" t="n"/>
      <c r="B551" s="760" t="n"/>
      <c r="C551" s="762" t="n"/>
      <c r="D551" s="762" t="n"/>
      <c r="E551" s="775" t="n"/>
      <c r="F551" s="821" t="n"/>
      <c r="G551" s="821" t="n"/>
      <c r="H551" s="818">
        <f>IF(G551=1,F551-I551-J551-K551,IF(G551=2,F551,0))</f>
        <v>0</v>
      </c>
      <c r="I551" s="818">
        <f>ROUND(IF(G551=1,F551*10/23,IF(G551=3,F551-J551-K551,IF(G551=4,F551,IF(G551=5,F551*10/11,IF(G551=7,F551*10/11,0))))),0)</f>
        <v>0</v>
      </c>
      <c r="J551" s="818">
        <f>ROUND(IF(G551=1,F551/23,IF(G551=3,F551/12,IF(G551=5,F551-I551,IF(G551=8,F551,0)))),0)</f>
        <v>0</v>
      </c>
      <c r="K551" s="819">
        <f>ROUND(IF(G551=1,F551/23,IF(G551=3,F551/12,IF(G551=6,F551,IF(G551=7,F551-I551,0)))),0)</f>
        <v>0</v>
      </c>
      <c r="L551" s="820">
        <f>IF(G551=6,F551,0)</f>
        <v>0</v>
      </c>
      <c r="P551" s="768" t="n"/>
      <c r="Q551" s="769" t="str">
        <f>IF($F551="","",IFERROR(VLOOKUP($C551&amp;"|"&amp;$D551,科目表!$A$5:$B$200,2,FALSE),"※未登録"))</f>
        <v/>
      </c>
      <c r="R551" s="769" t="str">
        <f>IF($F551="","",$I551+$J551+$K551)</f>
        <v/>
      </c>
      <c r="S551" s="769" t="str">
        <f>IF(OR($F551="",$P551="支払なし",$H551=0,$Q551=""),"",$Q551&amp;"|S|"&amp;(COUNTIF(S$4:S550,$Q551&amp;"|S|*")+1))</f>
        <v/>
      </c>
      <c r="T551" s="769" t="str">
        <f>IF(OR($F551="",$P551="支払なし",$R551=0,$Q551=""),"",$Q551&amp;"|L|"&amp;(COUNTIF(T$4:T550,$Q551&amp;"|L|*")+1))</f>
        <v/>
      </c>
      <c r="U551" s="769" t="str">
        <f>IF($F551="","",13)</f>
        <v/>
      </c>
    </row>
    <row r="552" ht="16.5" customHeight="1" s="186">
      <c r="A552" s="760" t="n"/>
      <c r="B552" s="760" t="n"/>
      <c r="C552" s="762" t="n"/>
      <c r="D552" s="762" t="n"/>
      <c r="E552" s="775" t="n"/>
      <c r="F552" s="821" t="n"/>
      <c r="G552" s="821" t="n"/>
      <c r="H552" s="818">
        <f>IF(G552=1,F552-I552-J552-K552,IF(G552=2,F552,0))</f>
        <v>0</v>
      </c>
      <c r="I552" s="818">
        <f>ROUND(IF(G552=1,F552*10/23,IF(G552=3,F552-J552-K552,IF(G552=4,F552,IF(G552=5,F552*10/11,IF(G552=7,F552*10/11,0))))),0)</f>
        <v>0</v>
      </c>
      <c r="J552" s="818">
        <f>ROUND(IF(G552=1,F552/23,IF(G552=3,F552/12,IF(G552=5,F552-I552,IF(G552=8,F552,0)))),0)</f>
        <v>0</v>
      </c>
      <c r="K552" s="819">
        <f>ROUND(IF(G552=1,F552/23,IF(G552=3,F552/12,IF(G552=6,F552,IF(G552=7,F552-I552,0)))),0)</f>
        <v>0</v>
      </c>
      <c r="L552" s="820">
        <f>IF(G552=6,F552,0)</f>
        <v>0</v>
      </c>
      <c r="P552" s="768" t="n"/>
      <c r="Q552" s="769" t="str">
        <f>IF($F552="","",IFERROR(VLOOKUP($C552&amp;"|"&amp;$D552,科目表!$A$5:$B$200,2,FALSE),"※未登録"))</f>
        <v/>
      </c>
      <c r="R552" s="769" t="str">
        <f>IF($F552="","",$I552+$J552+$K552)</f>
        <v/>
      </c>
      <c r="S552" s="769" t="str">
        <f>IF(OR($F552="",$P552="支払なし",$H552=0,$Q552=""),"",$Q552&amp;"|S|"&amp;(COUNTIF(S$4:S551,$Q552&amp;"|S|*")+1))</f>
        <v/>
      </c>
      <c r="T552" s="769" t="str">
        <f>IF(OR($F552="",$P552="支払なし",$R552=0,$Q552=""),"",$Q552&amp;"|L|"&amp;(COUNTIF(T$4:T551,$Q552&amp;"|L|*")+1))</f>
        <v/>
      </c>
      <c r="U552" s="769" t="str">
        <f>IF($F552="","",13)</f>
        <v/>
      </c>
    </row>
    <row r="553" ht="16.5" customHeight="1" s="186">
      <c r="A553" s="760" t="n"/>
      <c r="B553" s="760" t="n"/>
      <c r="C553" s="762" t="n"/>
      <c r="D553" s="762" t="n"/>
      <c r="E553" s="775" t="n"/>
      <c r="F553" s="821" t="n"/>
      <c r="G553" s="821" t="n"/>
      <c r="H553" s="818">
        <f>IF(G553=1,F553-I553-J553-K553,IF(G553=2,F553,0))</f>
        <v>0</v>
      </c>
      <c r="I553" s="818">
        <f>ROUND(IF(G553=1,F553*10/23,IF(G553=3,F553-J553-K553,IF(G553=4,F553,IF(G553=5,F553*10/11,IF(G553=7,F553*10/11,0))))),0)</f>
        <v>0</v>
      </c>
      <c r="J553" s="818">
        <f>ROUND(IF(G553=1,F553/23,IF(G553=3,F553/12,IF(G553=5,F553-I553,IF(G553=8,F553,0)))),0)</f>
        <v>0</v>
      </c>
      <c r="K553" s="819">
        <f>ROUND(IF(G553=1,F553/23,IF(G553=3,F553/12,IF(G553=6,F553,IF(G553=7,F553-I553,0)))),0)</f>
        <v>0</v>
      </c>
      <c r="L553" s="820">
        <f>IF(G553=6,F553,0)</f>
        <v>0</v>
      </c>
      <c r="P553" s="768" t="n"/>
      <c r="Q553" s="769" t="str">
        <f>IF($F553="","",IFERROR(VLOOKUP($C553&amp;"|"&amp;$D553,科目表!$A$5:$B$200,2,FALSE),"※未登録"))</f>
        <v/>
      </c>
      <c r="R553" s="769" t="str">
        <f>IF($F553="","",$I553+$J553+$K553)</f>
        <v/>
      </c>
      <c r="S553" s="769" t="str">
        <f>IF(OR($F553="",$P553="支払なし",$H553=0,$Q553=""),"",$Q553&amp;"|S|"&amp;(COUNTIF(S$4:S552,$Q553&amp;"|S|*")+1))</f>
        <v/>
      </c>
      <c r="T553" s="769" t="str">
        <f>IF(OR($F553="",$P553="支払なし",$R553=0,$Q553=""),"",$Q553&amp;"|L|"&amp;(COUNTIF(T$4:T552,$Q553&amp;"|L|*")+1))</f>
        <v/>
      </c>
      <c r="U553" s="769" t="str">
        <f>IF($F553="","",13)</f>
        <v/>
      </c>
    </row>
    <row r="554" ht="16.5" customHeight="1" s="186">
      <c r="A554" s="760" t="n"/>
      <c r="B554" s="760" t="n"/>
      <c r="C554" s="762" t="n"/>
      <c r="D554" s="762" t="n"/>
      <c r="E554" s="775" t="n"/>
      <c r="F554" s="821" t="n"/>
      <c r="G554" s="821" t="n"/>
      <c r="H554" s="818">
        <f>IF(G554=1,F554-I554-J554-K554,IF(G554=2,F554,0))</f>
        <v>0</v>
      </c>
      <c r="I554" s="818">
        <f>ROUND(IF(G554=1,F554*10/23,IF(G554=3,F554-J554-K554,IF(G554=4,F554,IF(G554=5,F554*10/11,IF(G554=7,F554*10/11,0))))),0)</f>
        <v>0</v>
      </c>
      <c r="J554" s="818">
        <f>ROUND(IF(G554=1,F554/23,IF(G554=3,F554/12,IF(G554=5,F554-I554,IF(G554=8,F554,0)))),0)</f>
        <v>0</v>
      </c>
      <c r="K554" s="819">
        <f>ROUND(IF(G554=1,F554/23,IF(G554=3,F554/12,IF(G554=6,F554,IF(G554=7,F554-I554,0)))),0)</f>
        <v>0</v>
      </c>
      <c r="L554" s="820">
        <f>IF(G554=6,F554,0)</f>
        <v>0</v>
      </c>
      <c r="P554" s="768" t="n"/>
      <c r="Q554" s="769" t="str">
        <f>IF($F554="","",IFERROR(VLOOKUP($C554&amp;"|"&amp;$D554,科目表!$A$5:$B$200,2,FALSE),"※未登録"))</f>
        <v/>
      </c>
      <c r="R554" s="769" t="str">
        <f>IF($F554="","",$I554+$J554+$K554)</f>
        <v/>
      </c>
      <c r="S554" s="769" t="str">
        <f>IF(OR($F554="",$P554="支払なし",$H554=0,$Q554=""),"",$Q554&amp;"|S|"&amp;(COUNTIF(S$4:S553,$Q554&amp;"|S|*")+1))</f>
        <v/>
      </c>
      <c r="T554" s="769" t="str">
        <f>IF(OR($F554="",$P554="支払なし",$R554=0,$Q554=""),"",$Q554&amp;"|L|"&amp;(COUNTIF(T$4:T553,$Q554&amp;"|L|*")+1))</f>
        <v/>
      </c>
      <c r="U554" s="769" t="str">
        <f>IF($F554="","",13)</f>
        <v/>
      </c>
    </row>
    <row r="555" ht="16.5" customHeight="1" s="186">
      <c r="A555" s="760" t="n"/>
      <c r="B555" s="760" t="n"/>
      <c r="C555" s="762" t="n"/>
      <c r="D555" s="762" t="n"/>
      <c r="E555" s="775" t="n"/>
      <c r="F555" s="821" t="n"/>
      <c r="G555" s="821" t="n"/>
      <c r="H555" s="818">
        <f>IF(G555=1,F555-I555-J555-K555,IF(G555=2,F555,0))</f>
        <v>0</v>
      </c>
      <c r="I555" s="818">
        <f>ROUND(IF(G555=1,F555*10/23,IF(G555=3,F555-J555-K555,IF(G555=4,F555,IF(G555=5,F555*10/11,IF(G555=7,F555*10/11,0))))),0)</f>
        <v>0</v>
      </c>
      <c r="J555" s="818">
        <f>ROUND(IF(G555=1,F555/23,IF(G555=3,F555/12,IF(G555=5,F555-I555,IF(G555=8,F555,0)))),0)</f>
        <v>0</v>
      </c>
      <c r="K555" s="819">
        <f>ROUND(IF(G555=1,F555/23,IF(G555=3,F555/12,IF(G555=6,F555,IF(G555=7,F555-I555,0)))),0)</f>
        <v>0</v>
      </c>
      <c r="L555" s="820">
        <f>IF(G555=6,F555,0)</f>
        <v>0</v>
      </c>
      <c r="P555" s="768" t="n"/>
      <c r="Q555" s="769" t="str">
        <f>IF($F555="","",IFERROR(VLOOKUP($C555&amp;"|"&amp;$D555,科目表!$A$5:$B$200,2,FALSE),"※未登録"))</f>
        <v/>
      </c>
      <c r="R555" s="769" t="str">
        <f>IF($F555="","",$I555+$J555+$K555)</f>
        <v/>
      </c>
      <c r="S555" s="769" t="str">
        <f>IF(OR($F555="",$P555="支払なし",$H555=0,$Q555=""),"",$Q555&amp;"|S|"&amp;(COUNTIF(S$4:S554,$Q555&amp;"|S|*")+1))</f>
        <v/>
      </c>
      <c r="T555" s="769" t="str">
        <f>IF(OR($F555="",$P555="支払なし",$R555=0,$Q555=""),"",$Q555&amp;"|L|"&amp;(COUNTIF(T$4:T554,$Q555&amp;"|L|*")+1))</f>
        <v/>
      </c>
      <c r="U555" s="769" t="str">
        <f>IF($F555="","",13)</f>
        <v/>
      </c>
    </row>
    <row r="556" ht="16.5" customHeight="1" s="186">
      <c r="A556" s="760" t="n"/>
      <c r="B556" s="760" t="n"/>
      <c r="C556" s="762" t="n"/>
      <c r="D556" s="762" t="n"/>
      <c r="E556" s="775" t="n"/>
      <c r="F556" s="821" t="n"/>
      <c r="G556" s="821" t="n"/>
      <c r="H556" s="818">
        <f>IF(G556=1,F556-I556-J556-K556,IF(G556=2,F556,0))</f>
        <v>0</v>
      </c>
      <c r="I556" s="818">
        <f>ROUND(IF(G556=1,F556*10/23,IF(G556=3,F556-J556-K556,IF(G556=4,F556,IF(G556=5,F556*10/11,IF(G556=7,F556*10/11,0))))),0)</f>
        <v>0</v>
      </c>
      <c r="J556" s="818">
        <f>ROUND(IF(G556=1,F556/23,IF(G556=3,F556/12,IF(G556=5,F556-I556,IF(G556=8,F556,0)))),0)</f>
        <v>0</v>
      </c>
      <c r="K556" s="819">
        <f>ROUND(IF(G556=1,F556/23,IF(G556=3,F556/12,IF(G556=6,F556,IF(G556=7,F556-I556,0)))),0)</f>
        <v>0</v>
      </c>
      <c r="L556" s="820">
        <f>IF(G556=6,F556,0)</f>
        <v>0</v>
      </c>
      <c r="P556" s="768" t="n"/>
      <c r="Q556" s="769" t="str">
        <f>IF($F556="","",IFERROR(VLOOKUP($C556&amp;"|"&amp;$D556,科目表!$A$5:$B$200,2,FALSE),"※未登録"))</f>
        <v/>
      </c>
      <c r="R556" s="769" t="str">
        <f>IF($F556="","",$I556+$J556+$K556)</f>
        <v/>
      </c>
      <c r="S556" s="769" t="str">
        <f>IF(OR($F556="",$P556="支払なし",$H556=0,$Q556=""),"",$Q556&amp;"|S|"&amp;(COUNTIF(S$4:S555,$Q556&amp;"|S|*")+1))</f>
        <v/>
      </c>
      <c r="T556" s="769" t="str">
        <f>IF(OR($F556="",$P556="支払なし",$R556=0,$Q556=""),"",$Q556&amp;"|L|"&amp;(COUNTIF(T$4:T555,$Q556&amp;"|L|*")+1))</f>
        <v/>
      </c>
      <c r="U556" s="769" t="str">
        <f>IF($F556="","",13)</f>
        <v/>
      </c>
    </row>
    <row r="557" ht="16.5" customHeight="1" s="186">
      <c r="A557" s="760" t="n"/>
      <c r="B557" s="760" t="n"/>
      <c r="C557" s="762" t="n"/>
      <c r="D557" s="762" t="n"/>
      <c r="E557" s="775" t="n"/>
      <c r="F557" s="821" t="n"/>
      <c r="G557" s="821" t="n"/>
      <c r="H557" s="818">
        <f>IF(G557=1,F557-I557-J557-K557,IF(G557=2,F557,0))</f>
        <v>0</v>
      </c>
      <c r="I557" s="818">
        <f>ROUND(IF(G557=1,F557*10/23,IF(G557=3,F557-J557-K557,IF(G557=4,F557,IF(G557=5,F557*10/11,IF(G557=7,F557*10/11,0))))),0)</f>
        <v>0</v>
      </c>
      <c r="J557" s="818">
        <f>ROUND(IF(G557=1,F557/23,IF(G557=3,F557/12,IF(G557=5,F557-I557,IF(G557=8,F557,0)))),0)</f>
        <v>0</v>
      </c>
      <c r="K557" s="819">
        <f>ROUND(IF(G557=1,F557/23,IF(G557=3,F557/12,IF(G557=6,F557,IF(G557=7,F557-I557,0)))),0)</f>
        <v>0</v>
      </c>
      <c r="L557" s="820">
        <f>IF(G557=6,F557,0)</f>
        <v>0</v>
      </c>
      <c r="P557" s="768" t="n"/>
      <c r="Q557" s="769" t="str">
        <f>IF($F557="","",IFERROR(VLOOKUP($C557&amp;"|"&amp;$D557,科目表!$A$5:$B$200,2,FALSE),"※未登録"))</f>
        <v/>
      </c>
      <c r="R557" s="769" t="str">
        <f>IF($F557="","",$I557+$J557+$K557)</f>
        <v/>
      </c>
      <c r="S557" s="769" t="str">
        <f>IF(OR($F557="",$P557="支払なし",$H557=0,$Q557=""),"",$Q557&amp;"|S|"&amp;(COUNTIF(S$4:S556,$Q557&amp;"|S|*")+1))</f>
        <v/>
      </c>
      <c r="T557" s="769" t="str">
        <f>IF(OR($F557="",$P557="支払なし",$R557=0,$Q557=""),"",$Q557&amp;"|L|"&amp;(COUNTIF(T$4:T556,$Q557&amp;"|L|*")+1))</f>
        <v/>
      </c>
      <c r="U557" s="769" t="str">
        <f>IF($F557="","",13)</f>
        <v/>
      </c>
    </row>
    <row r="558" ht="16.5" customHeight="1" s="186">
      <c r="A558" s="760" t="n"/>
      <c r="B558" s="760" t="n"/>
      <c r="C558" s="762" t="n"/>
      <c r="D558" s="762" t="n"/>
      <c r="E558" s="775" t="n"/>
      <c r="F558" s="821" t="n"/>
      <c r="G558" s="821" t="n"/>
      <c r="H558" s="818">
        <f>IF(G558=1,F558-I558-J558-K558,IF(G558=2,F558,0))</f>
        <v>0</v>
      </c>
      <c r="I558" s="818">
        <f>ROUND(IF(G558=1,F558*10/23,IF(G558=3,F558-J558-K558,IF(G558=4,F558,IF(G558=5,F558*10/11,IF(G558=7,F558*10/11,0))))),0)</f>
        <v>0</v>
      </c>
      <c r="J558" s="818">
        <f>ROUND(IF(G558=1,F558/23,IF(G558=3,F558/12,IF(G558=5,F558-I558,IF(G558=8,F558,0)))),0)</f>
        <v>0</v>
      </c>
      <c r="K558" s="819">
        <f>ROUND(IF(G558=1,F558/23,IF(G558=3,F558/12,IF(G558=6,F558,IF(G558=7,F558-I558,0)))),0)</f>
        <v>0</v>
      </c>
      <c r="L558" s="820">
        <f>IF(G558=6,F558,0)</f>
        <v>0</v>
      </c>
      <c r="P558" s="768" t="n"/>
      <c r="Q558" s="769" t="str">
        <f>IF($F558="","",IFERROR(VLOOKUP($C558&amp;"|"&amp;$D558,科目表!$A$5:$B$200,2,FALSE),"※未登録"))</f>
        <v/>
      </c>
      <c r="R558" s="769" t="str">
        <f>IF($F558="","",$I558+$J558+$K558)</f>
        <v/>
      </c>
      <c r="S558" s="769" t="str">
        <f>IF(OR($F558="",$P558="支払なし",$H558=0,$Q558=""),"",$Q558&amp;"|S|"&amp;(COUNTIF(S$4:S557,$Q558&amp;"|S|*")+1))</f>
        <v/>
      </c>
      <c r="T558" s="769" t="str">
        <f>IF(OR($F558="",$P558="支払なし",$R558=0,$Q558=""),"",$Q558&amp;"|L|"&amp;(COUNTIF(T$4:T557,$Q558&amp;"|L|*")+1))</f>
        <v/>
      </c>
      <c r="U558" s="769" t="str">
        <f>IF($F558="","",13)</f>
        <v/>
      </c>
    </row>
    <row r="559" ht="16.5" customHeight="1" s="186">
      <c r="A559" s="760" t="n"/>
      <c r="B559" s="760" t="n"/>
      <c r="C559" s="762" t="n"/>
      <c r="D559" s="762" t="n"/>
      <c r="E559" s="775" t="n"/>
      <c r="F559" s="821" t="n"/>
      <c r="G559" s="821" t="n"/>
      <c r="H559" s="818">
        <f>IF(G559=1,F559-I559-J559-K559,IF(G559=2,F559,0))</f>
        <v>0</v>
      </c>
      <c r="I559" s="818">
        <f>ROUND(IF(G559=1,F559*10/23,IF(G559=3,F559-J559-K559,IF(G559=4,F559,IF(G559=5,F559*10/11,IF(G559=7,F559*10/11,0))))),0)</f>
        <v>0</v>
      </c>
      <c r="J559" s="818">
        <f>ROUND(IF(G559=1,F559/23,IF(G559=3,F559/12,IF(G559=5,F559-I559,IF(G559=8,F559,0)))),0)</f>
        <v>0</v>
      </c>
      <c r="K559" s="819">
        <f>ROUND(IF(G559=1,F559/23,IF(G559=3,F559/12,IF(G559=6,F559,IF(G559=7,F559-I559,0)))),0)</f>
        <v>0</v>
      </c>
      <c r="L559" s="820">
        <f>IF(G559=6,F559,0)</f>
        <v>0</v>
      </c>
      <c r="P559" s="768" t="n"/>
      <c r="Q559" s="769" t="str">
        <f>IF($F559="","",IFERROR(VLOOKUP($C559&amp;"|"&amp;$D559,科目表!$A$5:$B$200,2,FALSE),"※未登録"))</f>
        <v/>
      </c>
      <c r="R559" s="769" t="str">
        <f>IF($F559="","",$I559+$J559+$K559)</f>
        <v/>
      </c>
      <c r="S559" s="769" t="str">
        <f>IF(OR($F559="",$P559="支払なし",$H559=0,$Q559=""),"",$Q559&amp;"|S|"&amp;(COUNTIF(S$4:S558,$Q559&amp;"|S|*")+1))</f>
        <v/>
      </c>
      <c r="T559" s="769" t="str">
        <f>IF(OR($F559="",$P559="支払なし",$R559=0,$Q559=""),"",$Q559&amp;"|L|"&amp;(COUNTIF(T$4:T558,$Q559&amp;"|L|*")+1))</f>
        <v/>
      </c>
      <c r="U559" s="769" t="str">
        <f>IF($F559="","",13)</f>
        <v/>
      </c>
    </row>
    <row r="560" ht="16.5" customHeight="1" s="186">
      <c r="A560" s="760" t="n"/>
      <c r="B560" s="760" t="n"/>
      <c r="C560" s="762" t="n"/>
      <c r="D560" s="762" t="n"/>
      <c r="E560" s="775" t="n"/>
      <c r="F560" s="821" t="n"/>
      <c r="G560" s="821" t="n"/>
      <c r="H560" s="818">
        <f>IF(G560=1,F560-I560-J560-K560,IF(G560=2,F560,0))</f>
        <v>0</v>
      </c>
      <c r="I560" s="818">
        <f>ROUND(IF(G560=1,F560*10/23,IF(G560=3,F560-J560-K560,IF(G560=4,F560,IF(G560=5,F560*10/11,IF(G560=7,F560*10/11,0))))),0)</f>
        <v>0</v>
      </c>
      <c r="J560" s="818">
        <f>ROUND(IF(G560=1,F560/23,IF(G560=3,F560/12,IF(G560=5,F560-I560,IF(G560=8,F560,0)))),0)</f>
        <v>0</v>
      </c>
      <c r="K560" s="819">
        <f>ROUND(IF(G560=1,F560/23,IF(G560=3,F560/12,IF(G560=6,F560,IF(G560=7,F560-I560,0)))),0)</f>
        <v>0</v>
      </c>
      <c r="L560" s="820">
        <f>IF(G560=6,F560,0)</f>
        <v>0</v>
      </c>
      <c r="P560" s="768" t="n"/>
      <c r="Q560" s="769" t="str">
        <f>IF($F560="","",IFERROR(VLOOKUP($C560&amp;"|"&amp;$D560,科目表!$A$5:$B$200,2,FALSE),"※未登録"))</f>
        <v/>
      </c>
      <c r="R560" s="769" t="str">
        <f>IF($F560="","",$I560+$J560+$K560)</f>
        <v/>
      </c>
      <c r="S560" s="769" t="str">
        <f>IF(OR($F560="",$P560="支払なし",$H560=0,$Q560=""),"",$Q560&amp;"|S|"&amp;(COUNTIF(S$4:S559,$Q560&amp;"|S|*")+1))</f>
        <v/>
      </c>
      <c r="T560" s="769" t="str">
        <f>IF(OR($F560="",$P560="支払なし",$R560=0,$Q560=""),"",$Q560&amp;"|L|"&amp;(COUNTIF(T$4:T559,$Q560&amp;"|L|*")+1))</f>
        <v/>
      </c>
      <c r="U560" s="769" t="str">
        <f>IF($F560="","",13)</f>
        <v/>
      </c>
    </row>
    <row r="561" ht="16.5" customHeight="1" s="186">
      <c r="A561" s="760" t="n"/>
      <c r="B561" s="760" t="n"/>
      <c r="C561" s="762" t="n"/>
      <c r="D561" s="762" t="n"/>
      <c r="E561" s="775" t="n"/>
      <c r="F561" s="821" t="n"/>
      <c r="G561" s="821" t="n"/>
      <c r="H561" s="818">
        <f>IF(G561=1,F561-I561-J561-K561,IF(G561=2,F561,0))</f>
        <v>0</v>
      </c>
      <c r="I561" s="818">
        <f>ROUND(IF(G561=1,F561*10/23,IF(G561=3,F561-J561-K561,IF(G561=4,F561,IF(G561=5,F561*10/11,IF(G561=7,F561*10/11,0))))),0)</f>
        <v>0</v>
      </c>
      <c r="J561" s="818">
        <f>ROUND(IF(G561=1,F561/23,IF(G561=3,F561/12,IF(G561=5,F561-I561,IF(G561=8,F561,0)))),0)</f>
        <v>0</v>
      </c>
      <c r="K561" s="819">
        <f>ROUND(IF(G561=1,F561/23,IF(G561=3,F561/12,IF(G561=6,F561,IF(G561=7,F561-I561,0)))),0)</f>
        <v>0</v>
      </c>
      <c r="L561" s="820">
        <f>IF(G561=6,F561,0)</f>
        <v>0</v>
      </c>
      <c r="P561" s="768" t="n"/>
      <c r="Q561" s="769" t="str">
        <f>IF($F561="","",IFERROR(VLOOKUP($C561&amp;"|"&amp;$D561,科目表!$A$5:$B$200,2,FALSE),"※未登録"))</f>
        <v/>
      </c>
      <c r="R561" s="769" t="str">
        <f>IF($F561="","",$I561+$J561+$K561)</f>
        <v/>
      </c>
      <c r="S561" s="769" t="str">
        <f>IF(OR($F561="",$P561="支払なし",$H561=0,$Q561=""),"",$Q561&amp;"|S|"&amp;(COUNTIF(S$4:S560,$Q561&amp;"|S|*")+1))</f>
        <v/>
      </c>
      <c r="T561" s="769" t="str">
        <f>IF(OR($F561="",$P561="支払なし",$R561=0,$Q561=""),"",$Q561&amp;"|L|"&amp;(COUNTIF(T$4:T560,$Q561&amp;"|L|*")+1))</f>
        <v/>
      </c>
      <c r="U561" s="769" t="str">
        <f>IF($F561="","",13)</f>
        <v/>
      </c>
    </row>
    <row r="562" ht="16.5" customHeight="1" s="186">
      <c r="A562" s="760" t="n"/>
      <c r="B562" s="760" t="n"/>
      <c r="C562" s="762" t="n"/>
      <c r="D562" s="762" t="n"/>
      <c r="E562" s="775" t="n"/>
      <c r="F562" s="821" t="n"/>
      <c r="G562" s="821" t="n"/>
      <c r="H562" s="818">
        <f>IF(G562=1,F562-I562-J562-K562,IF(G562=2,F562,0))</f>
        <v>0</v>
      </c>
      <c r="I562" s="818">
        <f>ROUND(IF(G562=1,F562*10/23,IF(G562=3,F562-J562-K562,IF(G562=4,F562,IF(G562=5,F562*10/11,IF(G562=7,F562*10/11,0))))),0)</f>
        <v>0</v>
      </c>
      <c r="J562" s="818">
        <f>ROUND(IF(G562=1,F562/23,IF(G562=3,F562/12,IF(G562=5,F562-I562,IF(G562=8,F562,0)))),0)</f>
        <v>0</v>
      </c>
      <c r="K562" s="819">
        <f>ROUND(IF(G562=1,F562/23,IF(G562=3,F562/12,IF(G562=6,F562,IF(G562=7,F562-I562,0)))),0)</f>
        <v>0</v>
      </c>
      <c r="L562" s="820">
        <f>IF(G562=6,F562,0)</f>
        <v>0</v>
      </c>
      <c r="P562" s="768" t="n"/>
      <c r="Q562" s="769" t="str">
        <f>IF($F562="","",IFERROR(VLOOKUP($C562&amp;"|"&amp;$D562,科目表!$A$5:$B$200,2,FALSE),"※未登録"))</f>
        <v/>
      </c>
      <c r="R562" s="769" t="str">
        <f>IF($F562="","",$I562+$J562+$K562)</f>
        <v/>
      </c>
      <c r="S562" s="769" t="str">
        <f>IF(OR($F562="",$P562="支払なし",$H562=0,$Q562=""),"",$Q562&amp;"|S|"&amp;(COUNTIF(S$4:S561,$Q562&amp;"|S|*")+1))</f>
        <v/>
      </c>
      <c r="T562" s="769" t="str">
        <f>IF(OR($F562="",$P562="支払なし",$R562=0,$Q562=""),"",$Q562&amp;"|L|"&amp;(COUNTIF(T$4:T561,$Q562&amp;"|L|*")+1))</f>
        <v/>
      </c>
      <c r="U562" s="769" t="str">
        <f>IF($F562="","",13)</f>
        <v/>
      </c>
    </row>
    <row r="563" ht="16.5" customHeight="1" s="186">
      <c r="A563" s="760" t="n"/>
      <c r="B563" s="760" t="n"/>
      <c r="C563" s="762" t="n"/>
      <c r="D563" s="762" t="n"/>
      <c r="E563" s="775" t="n"/>
      <c r="F563" s="821" t="n"/>
      <c r="G563" s="821" t="n"/>
      <c r="H563" s="818">
        <f>IF(G563=1,F563-I563-J563-K563,IF(G563=2,F563,0))</f>
        <v>0</v>
      </c>
      <c r="I563" s="818">
        <f>ROUND(IF(G563=1,F563*10/23,IF(G563=3,F563-J563-K563,IF(G563=4,F563,IF(G563=5,F563*10/11,IF(G563=7,F563*10/11,0))))),0)</f>
        <v>0</v>
      </c>
      <c r="J563" s="818">
        <f>ROUND(IF(G563=1,F563/23,IF(G563=3,F563/12,IF(G563=5,F563-I563,IF(G563=8,F563,0)))),0)</f>
        <v>0</v>
      </c>
      <c r="K563" s="819">
        <f>ROUND(IF(G563=1,F563/23,IF(G563=3,F563/12,IF(G563=6,F563,IF(G563=7,F563-I563,0)))),0)</f>
        <v>0</v>
      </c>
      <c r="L563" s="820">
        <f>IF(G563=6,F563,0)</f>
        <v>0</v>
      </c>
      <c r="P563" s="768" t="n"/>
      <c r="Q563" s="769" t="str">
        <f>IF($F563="","",IFERROR(VLOOKUP($C563&amp;"|"&amp;$D563,科目表!$A$5:$B$200,2,FALSE),"※未登録"))</f>
        <v/>
      </c>
      <c r="R563" s="769" t="str">
        <f>IF($F563="","",$I563+$J563+$K563)</f>
        <v/>
      </c>
      <c r="S563" s="769" t="str">
        <f>IF(OR($F563="",$P563="支払なし",$H563=0,$Q563=""),"",$Q563&amp;"|S|"&amp;(COUNTIF(S$4:S562,$Q563&amp;"|S|*")+1))</f>
        <v/>
      </c>
      <c r="T563" s="769" t="str">
        <f>IF(OR($F563="",$P563="支払なし",$R563=0,$Q563=""),"",$Q563&amp;"|L|"&amp;(COUNTIF(T$4:T562,$Q563&amp;"|L|*")+1))</f>
        <v/>
      </c>
      <c r="U563" s="769" t="str">
        <f>IF($F563="","",13)</f>
        <v/>
      </c>
    </row>
    <row r="564" ht="16.5" customHeight="1" s="186">
      <c r="A564" s="760" t="n"/>
      <c r="B564" s="760" t="n"/>
      <c r="C564" s="762" t="n"/>
      <c r="D564" s="762" t="n"/>
      <c r="E564" s="775" t="n"/>
      <c r="F564" s="821" t="n"/>
      <c r="G564" s="821" t="n"/>
      <c r="H564" s="818">
        <f>IF(G564=1,F564-I564-J564-K564,IF(G564=2,F564,0))</f>
        <v>0</v>
      </c>
      <c r="I564" s="818">
        <f>ROUND(IF(G564=1,F564*10/23,IF(G564=3,F564-J564-K564,IF(G564=4,F564,IF(G564=5,F564*10/11,IF(G564=7,F564*10/11,0))))),0)</f>
        <v>0</v>
      </c>
      <c r="J564" s="818">
        <f>ROUND(IF(G564=1,F564/23,IF(G564=3,F564/12,IF(G564=5,F564-I564,IF(G564=8,F564,0)))),0)</f>
        <v>0</v>
      </c>
      <c r="K564" s="819">
        <f>ROUND(IF(G564=1,F564/23,IF(G564=3,F564/12,IF(G564=6,F564,IF(G564=7,F564-I564,0)))),0)</f>
        <v>0</v>
      </c>
      <c r="L564" s="820">
        <f>IF(G564=6,F564,0)</f>
        <v>0</v>
      </c>
      <c r="P564" s="768" t="n"/>
      <c r="Q564" s="769" t="str">
        <f>IF($F564="","",IFERROR(VLOOKUP($C564&amp;"|"&amp;$D564,科目表!$A$5:$B$200,2,FALSE),"※未登録"))</f>
        <v/>
      </c>
      <c r="R564" s="769" t="str">
        <f>IF($F564="","",$I564+$J564+$K564)</f>
        <v/>
      </c>
      <c r="S564" s="769" t="str">
        <f>IF(OR($F564="",$P564="支払なし",$H564=0,$Q564=""),"",$Q564&amp;"|S|"&amp;(COUNTIF(S$4:S563,$Q564&amp;"|S|*")+1))</f>
        <v/>
      </c>
      <c r="T564" s="769" t="str">
        <f>IF(OR($F564="",$P564="支払なし",$R564=0,$Q564=""),"",$Q564&amp;"|L|"&amp;(COUNTIF(T$4:T563,$Q564&amp;"|L|*")+1))</f>
        <v/>
      </c>
      <c r="U564" s="769" t="str">
        <f>IF($F564="","",13)</f>
        <v/>
      </c>
    </row>
    <row r="565" ht="16.5" customHeight="1" s="186">
      <c r="A565" s="760" t="n"/>
      <c r="B565" s="760" t="n"/>
      <c r="C565" s="762" t="n"/>
      <c r="D565" s="762" t="n"/>
      <c r="E565" s="775" t="n"/>
      <c r="F565" s="821" t="n"/>
      <c r="G565" s="821" t="n"/>
      <c r="H565" s="818">
        <f>IF(G565=1,F565-I565-J565-K565,IF(G565=2,F565,0))</f>
        <v>0</v>
      </c>
      <c r="I565" s="818">
        <f>ROUND(IF(G565=1,F565*10/23,IF(G565=3,F565-J565-K565,IF(G565=4,F565,IF(G565=5,F565*10/11,IF(G565=7,F565*10/11,0))))),0)</f>
        <v>0</v>
      </c>
      <c r="J565" s="818">
        <f>ROUND(IF(G565=1,F565/23,IF(G565=3,F565/12,IF(G565=5,F565-I565,IF(G565=8,F565,0)))),0)</f>
        <v>0</v>
      </c>
      <c r="K565" s="819">
        <f>ROUND(IF(G565=1,F565/23,IF(G565=3,F565/12,IF(G565=6,F565,IF(G565=7,F565-I565,0)))),0)</f>
        <v>0</v>
      </c>
      <c r="L565" s="820">
        <f>IF(G565=6,F565,0)</f>
        <v>0</v>
      </c>
      <c r="P565" s="768" t="n"/>
      <c r="Q565" s="769" t="str">
        <f>IF($F565="","",IFERROR(VLOOKUP($C565&amp;"|"&amp;$D565,科目表!$A$5:$B$200,2,FALSE),"※未登録"))</f>
        <v/>
      </c>
      <c r="R565" s="769" t="str">
        <f>IF($F565="","",$I565+$J565+$K565)</f>
        <v/>
      </c>
      <c r="S565" s="769" t="str">
        <f>IF(OR($F565="",$P565="支払なし",$H565=0,$Q565=""),"",$Q565&amp;"|S|"&amp;(COUNTIF(S$4:S564,$Q565&amp;"|S|*")+1))</f>
        <v/>
      </c>
      <c r="T565" s="769" t="str">
        <f>IF(OR($F565="",$P565="支払なし",$R565=0,$Q565=""),"",$Q565&amp;"|L|"&amp;(COUNTIF(T$4:T564,$Q565&amp;"|L|*")+1))</f>
        <v/>
      </c>
      <c r="U565" s="769" t="str">
        <f>IF($F565="","",13)</f>
        <v/>
      </c>
    </row>
    <row r="566" ht="16.5" customHeight="1" s="186">
      <c r="A566" s="760" t="n"/>
      <c r="B566" s="760" t="n"/>
      <c r="C566" s="762" t="n"/>
      <c r="D566" s="762" t="n"/>
      <c r="E566" s="775" t="n"/>
      <c r="F566" s="821" t="n"/>
      <c r="G566" s="821" t="n"/>
      <c r="H566" s="818">
        <f>IF(G566=1,F566-I566-J566-K566,IF(G566=2,F566,0))</f>
        <v>0</v>
      </c>
      <c r="I566" s="818">
        <f>ROUND(IF(G566=1,F566*10/23,IF(G566=3,F566-J566-K566,IF(G566=4,F566,IF(G566=5,F566*10/11,IF(G566=7,F566*10/11,0))))),0)</f>
        <v>0</v>
      </c>
      <c r="J566" s="818">
        <f>ROUND(IF(G566=1,F566/23,IF(G566=3,F566/12,IF(G566=5,F566-I566,IF(G566=8,F566,0)))),0)</f>
        <v>0</v>
      </c>
      <c r="K566" s="819">
        <f>ROUND(IF(G566=1,F566/23,IF(G566=3,F566/12,IF(G566=6,F566,IF(G566=7,F566-I566,0)))),0)</f>
        <v>0</v>
      </c>
      <c r="L566" s="820">
        <f>IF(G566=6,F566,0)</f>
        <v>0</v>
      </c>
      <c r="P566" s="768" t="n"/>
      <c r="Q566" s="769" t="str">
        <f>IF($F566="","",IFERROR(VLOOKUP($C566&amp;"|"&amp;$D566,科目表!$A$5:$B$200,2,FALSE),"※未登録"))</f>
        <v/>
      </c>
      <c r="R566" s="769" t="str">
        <f>IF($F566="","",$I566+$J566+$K566)</f>
        <v/>
      </c>
      <c r="S566" s="769" t="str">
        <f>IF(OR($F566="",$P566="支払なし",$H566=0,$Q566=""),"",$Q566&amp;"|S|"&amp;(COUNTIF(S$4:S565,$Q566&amp;"|S|*")+1))</f>
        <v/>
      </c>
      <c r="T566" s="769" t="str">
        <f>IF(OR($F566="",$P566="支払なし",$R566=0,$Q566=""),"",$Q566&amp;"|L|"&amp;(COUNTIF(T$4:T565,$Q566&amp;"|L|*")+1))</f>
        <v/>
      </c>
      <c r="U566" s="769" t="str">
        <f>IF($F566="","",13)</f>
        <v/>
      </c>
    </row>
    <row r="567" ht="16.5" customHeight="1" s="186">
      <c r="A567" s="760" t="n"/>
      <c r="B567" s="760" t="n"/>
      <c r="C567" s="762" t="n"/>
      <c r="D567" s="762" t="n"/>
      <c r="E567" s="775" t="n"/>
      <c r="F567" s="821" t="n"/>
      <c r="G567" s="821" t="n"/>
      <c r="H567" s="818">
        <f>IF(G567=1,F567-I567-J567-K567,IF(G567=2,F567,0))</f>
        <v>0</v>
      </c>
      <c r="I567" s="818">
        <f>ROUND(IF(G567=1,F567*10/23,IF(G567=3,F567-J567-K567,IF(G567=4,F567,IF(G567=5,F567*10/11,IF(G567=7,F567*10/11,0))))),0)</f>
        <v>0</v>
      </c>
      <c r="J567" s="818">
        <f>ROUND(IF(G567=1,F567/23,IF(G567=3,F567/12,IF(G567=5,F567-I567,IF(G567=8,F567,0)))),0)</f>
        <v>0</v>
      </c>
      <c r="K567" s="819">
        <f>ROUND(IF(G567=1,F567/23,IF(G567=3,F567/12,IF(G567=6,F567,IF(G567=7,F567-I567,0)))),0)</f>
        <v>0</v>
      </c>
      <c r="L567" s="820">
        <f>IF(G567=6,F567,0)</f>
        <v>0</v>
      </c>
      <c r="P567" s="768" t="n"/>
      <c r="Q567" s="769" t="str">
        <f>IF($F567="","",IFERROR(VLOOKUP($C567&amp;"|"&amp;$D567,科目表!$A$5:$B$200,2,FALSE),"※未登録"))</f>
        <v/>
      </c>
      <c r="R567" s="769" t="str">
        <f>IF($F567="","",$I567+$J567+$K567)</f>
        <v/>
      </c>
      <c r="S567" s="769" t="str">
        <f>IF(OR($F567="",$P567="支払なし",$H567=0,$Q567=""),"",$Q567&amp;"|S|"&amp;(COUNTIF(S$4:S566,$Q567&amp;"|S|*")+1))</f>
        <v/>
      </c>
      <c r="T567" s="769" t="str">
        <f>IF(OR($F567="",$P567="支払なし",$R567=0,$Q567=""),"",$Q567&amp;"|L|"&amp;(COUNTIF(T$4:T566,$Q567&amp;"|L|*")+1))</f>
        <v/>
      </c>
      <c r="U567" s="769" t="str">
        <f>IF($F567="","",13)</f>
        <v/>
      </c>
    </row>
    <row r="568" ht="16.5" customHeight="1" s="186">
      <c r="A568" s="760" t="n"/>
      <c r="B568" s="760" t="n"/>
      <c r="C568" s="762" t="n"/>
      <c r="D568" s="762" t="n"/>
      <c r="E568" s="775" t="n"/>
      <c r="F568" s="821" t="n"/>
      <c r="G568" s="821" t="n"/>
      <c r="H568" s="818">
        <f>IF(G568=1,F568-I568-J568-K568,IF(G568=2,F568,0))</f>
        <v>0</v>
      </c>
      <c r="I568" s="818">
        <f>ROUND(IF(G568=1,F568*10/23,IF(G568=3,F568-J568-K568,IF(G568=4,F568,IF(G568=5,F568*10/11,IF(G568=7,F568*10/11,0))))),0)</f>
        <v>0</v>
      </c>
      <c r="J568" s="818">
        <f>ROUND(IF(G568=1,F568/23,IF(G568=3,F568/12,IF(G568=5,F568-I568,IF(G568=8,F568,0)))),0)</f>
        <v>0</v>
      </c>
      <c r="K568" s="819">
        <f>ROUND(IF(G568=1,F568/23,IF(G568=3,F568/12,IF(G568=6,F568,IF(G568=7,F568-I568,0)))),0)</f>
        <v>0</v>
      </c>
      <c r="L568" s="820">
        <f>IF(G568=6,F568,0)</f>
        <v>0</v>
      </c>
      <c r="P568" s="768" t="n"/>
      <c r="Q568" s="769" t="str">
        <f>IF($F568="","",IFERROR(VLOOKUP($C568&amp;"|"&amp;$D568,科目表!$A$5:$B$200,2,FALSE),"※未登録"))</f>
        <v/>
      </c>
      <c r="R568" s="769" t="str">
        <f>IF($F568="","",$I568+$J568+$K568)</f>
        <v/>
      </c>
      <c r="S568" s="769" t="str">
        <f>IF(OR($F568="",$P568="支払なし",$H568=0,$Q568=""),"",$Q568&amp;"|S|"&amp;(COUNTIF(S$4:S567,$Q568&amp;"|S|*")+1))</f>
        <v/>
      </c>
      <c r="T568" s="769" t="str">
        <f>IF(OR($F568="",$P568="支払なし",$R568=0,$Q568=""),"",$Q568&amp;"|L|"&amp;(COUNTIF(T$4:T567,$Q568&amp;"|L|*")+1))</f>
        <v/>
      </c>
      <c r="U568" s="769" t="str">
        <f>IF($F568="","",13)</f>
        <v/>
      </c>
    </row>
    <row r="569" ht="16.5" customHeight="1" s="186">
      <c r="A569" s="760" t="n"/>
      <c r="B569" s="760" t="n"/>
      <c r="C569" s="762" t="n"/>
      <c r="D569" s="762" t="n"/>
      <c r="E569" s="775" t="n"/>
      <c r="F569" s="821" t="n"/>
      <c r="G569" s="821" t="n"/>
      <c r="H569" s="818">
        <f>IF(G569=1,F569-I569-J569-K569,IF(G569=2,F569,0))</f>
        <v>0</v>
      </c>
      <c r="I569" s="818">
        <f>ROUND(IF(G569=1,F569*10/23,IF(G569=3,F569-J569-K569,IF(G569=4,F569,IF(G569=5,F569*10/11,IF(G569=7,F569*10/11,0))))),0)</f>
        <v>0</v>
      </c>
      <c r="J569" s="818">
        <f>ROUND(IF(G569=1,F569/23,IF(G569=3,F569/12,IF(G569=5,F569-I569,IF(G569=8,F569,0)))),0)</f>
        <v>0</v>
      </c>
      <c r="K569" s="819">
        <f>ROUND(IF(G569=1,F569/23,IF(G569=3,F569/12,IF(G569=6,F569,IF(G569=7,F569-I569,0)))),0)</f>
        <v>0</v>
      </c>
      <c r="L569" s="820">
        <f>IF(G569=6,F569,0)</f>
        <v>0</v>
      </c>
      <c r="P569" s="768" t="n"/>
      <c r="Q569" s="769" t="str">
        <f>IF($F569="","",IFERROR(VLOOKUP($C569&amp;"|"&amp;$D569,科目表!$A$5:$B$200,2,FALSE),"※未登録"))</f>
        <v/>
      </c>
      <c r="R569" s="769" t="str">
        <f>IF($F569="","",$I569+$J569+$K569)</f>
        <v/>
      </c>
      <c r="S569" s="769" t="str">
        <f>IF(OR($F569="",$P569="支払なし",$H569=0,$Q569=""),"",$Q569&amp;"|S|"&amp;(COUNTIF(S$4:S568,$Q569&amp;"|S|*")+1))</f>
        <v/>
      </c>
      <c r="T569" s="769" t="str">
        <f>IF(OR($F569="",$P569="支払なし",$R569=0,$Q569=""),"",$Q569&amp;"|L|"&amp;(COUNTIF(T$4:T568,$Q569&amp;"|L|*")+1))</f>
        <v/>
      </c>
      <c r="U569" s="769" t="str">
        <f>IF($F569="","",13)</f>
        <v/>
      </c>
    </row>
    <row r="570" ht="16.5" customHeight="1" s="186">
      <c r="A570" s="760" t="n"/>
      <c r="B570" s="760" t="n"/>
      <c r="C570" s="762" t="n"/>
      <c r="D570" s="762" t="n"/>
      <c r="E570" s="775" t="n"/>
      <c r="F570" s="821" t="n"/>
      <c r="G570" s="821" t="n"/>
      <c r="H570" s="818">
        <f>IF(G570=1,F570-I570-J570-K570,IF(G570=2,F570,0))</f>
        <v>0</v>
      </c>
      <c r="I570" s="818">
        <f>ROUND(IF(G570=1,F570*10/23,IF(G570=3,F570-J570-K570,IF(G570=4,F570,IF(G570=5,F570*10/11,IF(G570=7,F570*10/11,0))))),0)</f>
        <v>0</v>
      </c>
      <c r="J570" s="818">
        <f>ROUND(IF(G570=1,F570/23,IF(G570=3,F570/12,IF(G570=5,F570-I570,IF(G570=8,F570,0)))),0)</f>
        <v>0</v>
      </c>
      <c r="K570" s="819">
        <f>ROUND(IF(G570=1,F570/23,IF(G570=3,F570/12,IF(G570=6,F570,IF(G570=7,F570-I570,0)))),0)</f>
        <v>0</v>
      </c>
      <c r="L570" s="820">
        <f>IF(G570=6,F570,0)</f>
        <v>0</v>
      </c>
      <c r="P570" s="768" t="n"/>
      <c r="Q570" s="769" t="str">
        <f>IF($F570="","",IFERROR(VLOOKUP($C570&amp;"|"&amp;$D570,科目表!$A$5:$B$200,2,FALSE),"※未登録"))</f>
        <v/>
      </c>
      <c r="R570" s="769" t="str">
        <f>IF($F570="","",$I570+$J570+$K570)</f>
        <v/>
      </c>
      <c r="S570" s="769" t="str">
        <f>IF(OR($F570="",$P570="支払なし",$H570=0,$Q570=""),"",$Q570&amp;"|S|"&amp;(COUNTIF(S$4:S569,$Q570&amp;"|S|*")+1))</f>
        <v/>
      </c>
      <c r="T570" s="769" t="str">
        <f>IF(OR($F570="",$P570="支払なし",$R570=0,$Q570=""),"",$Q570&amp;"|L|"&amp;(COUNTIF(T$4:T569,$Q570&amp;"|L|*")+1))</f>
        <v/>
      </c>
      <c r="U570" s="769" t="str">
        <f>IF($F570="","",13)</f>
        <v/>
      </c>
    </row>
    <row r="571" ht="16.5" customHeight="1" s="186">
      <c r="A571" s="760" t="n"/>
      <c r="B571" s="760" t="n"/>
      <c r="C571" s="762" t="n"/>
      <c r="D571" s="762" t="n"/>
      <c r="E571" s="775" t="n"/>
      <c r="F571" s="821" t="n"/>
      <c r="G571" s="821" t="n"/>
      <c r="H571" s="818">
        <f>IF(G571=1,F571-I571-J571-K571,IF(G571=2,F571,0))</f>
        <v>0</v>
      </c>
      <c r="I571" s="818">
        <f>ROUND(IF(G571=1,F571*10/23,IF(G571=3,F571-J571-K571,IF(G571=4,F571,IF(G571=5,F571*10/11,IF(G571=7,F571*10/11,0))))),0)</f>
        <v>0</v>
      </c>
      <c r="J571" s="818">
        <f>ROUND(IF(G571=1,F571/23,IF(G571=3,F571/12,IF(G571=5,F571-I571,IF(G571=8,F571,0)))),0)</f>
        <v>0</v>
      </c>
      <c r="K571" s="819">
        <f>ROUND(IF(G571=1,F571/23,IF(G571=3,F571/12,IF(G571=6,F571,IF(G571=7,F571-I571,0)))),0)</f>
        <v>0</v>
      </c>
      <c r="L571" s="820">
        <f>IF(G571=6,F571,0)</f>
        <v>0</v>
      </c>
      <c r="P571" s="768" t="n"/>
      <c r="Q571" s="769" t="str">
        <f>IF($F571="","",IFERROR(VLOOKUP($C571&amp;"|"&amp;$D571,科目表!$A$5:$B$200,2,FALSE),"※未登録"))</f>
        <v/>
      </c>
      <c r="R571" s="769" t="str">
        <f>IF($F571="","",$I571+$J571+$K571)</f>
        <v/>
      </c>
      <c r="S571" s="769" t="str">
        <f>IF(OR($F571="",$P571="支払なし",$H571=0,$Q571=""),"",$Q571&amp;"|S|"&amp;(COUNTIF(S$4:S570,$Q571&amp;"|S|*")+1))</f>
        <v/>
      </c>
      <c r="T571" s="769" t="str">
        <f>IF(OR($F571="",$P571="支払なし",$R571=0,$Q571=""),"",$Q571&amp;"|L|"&amp;(COUNTIF(T$4:T570,$Q571&amp;"|L|*")+1))</f>
        <v/>
      </c>
      <c r="U571" s="769" t="str">
        <f>IF($F571="","",13)</f>
        <v/>
      </c>
    </row>
    <row r="572" ht="16.5" customHeight="1" s="186">
      <c r="A572" s="760" t="n"/>
      <c r="B572" s="760" t="n"/>
      <c r="C572" s="762" t="n"/>
      <c r="D572" s="762" t="n"/>
      <c r="E572" s="775" t="n"/>
      <c r="F572" s="821" t="n"/>
      <c r="G572" s="821" t="n"/>
      <c r="H572" s="818">
        <f>IF(G572=1,F572-I572-J572-K572,IF(G572=2,F572,0))</f>
        <v>0</v>
      </c>
      <c r="I572" s="818">
        <f>ROUND(IF(G572=1,F572*10/23,IF(G572=3,F572-J572-K572,IF(G572=4,F572,IF(G572=5,F572*10/11,IF(G572=7,F572*10/11,0))))),0)</f>
        <v>0</v>
      </c>
      <c r="J572" s="818">
        <f>ROUND(IF(G572=1,F572/23,IF(G572=3,F572/12,IF(G572=5,F572-I572,IF(G572=8,F572,0)))),0)</f>
        <v>0</v>
      </c>
      <c r="K572" s="819">
        <f>ROUND(IF(G572=1,F572/23,IF(G572=3,F572/12,IF(G572=6,F572,IF(G572=7,F572-I572,0)))),0)</f>
        <v>0</v>
      </c>
      <c r="L572" s="820">
        <f>IF(G572=6,F572,0)</f>
        <v>0</v>
      </c>
      <c r="P572" s="768" t="n"/>
      <c r="Q572" s="769" t="str">
        <f>IF($F572="","",IFERROR(VLOOKUP($C572&amp;"|"&amp;$D572,科目表!$A$5:$B$200,2,FALSE),"※未登録"))</f>
        <v/>
      </c>
      <c r="R572" s="769" t="str">
        <f>IF($F572="","",$I572+$J572+$K572)</f>
        <v/>
      </c>
      <c r="S572" s="769" t="str">
        <f>IF(OR($F572="",$P572="支払なし",$H572=0,$Q572=""),"",$Q572&amp;"|S|"&amp;(COUNTIF(S$4:S571,$Q572&amp;"|S|*")+1))</f>
        <v/>
      </c>
      <c r="T572" s="769" t="str">
        <f>IF(OR($F572="",$P572="支払なし",$R572=0,$Q572=""),"",$Q572&amp;"|L|"&amp;(COUNTIF(T$4:T571,$Q572&amp;"|L|*")+1))</f>
        <v/>
      </c>
      <c r="U572" s="769" t="str">
        <f>IF($F572="","",13)</f>
        <v/>
      </c>
    </row>
    <row r="573" ht="16.5" customHeight="1" s="186">
      <c r="A573" s="760" t="n"/>
      <c r="B573" s="760" t="n"/>
      <c r="C573" s="762" t="n"/>
      <c r="D573" s="762" t="n"/>
      <c r="E573" s="775" t="n"/>
      <c r="F573" s="821" t="n"/>
      <c r="G573" s="821" t="n"/>
      <c r="H573" s="818">
        <f>IF(G573=1,F573-I573-J573-K573,IF(G573=2,F573,0))</f>
        <v>0</v>
      </c>
      <c r="I573" s="818">
        <f>ROUND(IF(G573=1,F573*10/23,IF(G573=3,F573-J573-K573,IF(G573=4,F573,IF(G573=5,F573*10/11,IF(G573=7,F573*10/11,0))))),0)</f>
        <v>0</v>
      </c>
      <c r="J573" s="818">
        <f>ROUND(IF(G573=1,F573/23,IF(G573=3,F573/12,IF(G573=5,F573-I573,IF(G573=8,F573,0)))),0)</f>
        <v>0</v>
      </c>
      <c r="K573" s="819">
        <f>ROUND(IF(G573=1,F573/23,IF(G573=3,F573/12,IF(G573=6,F573,IF(G573=7,F573-I573,0)))),0)</f>
        <v>0</v>
      </c>
      <c r="L573" s="820">
        <f>IF(G573=6,F573,0)</f>
        <v>0</v>
      </c>
      <c r="P573" s="768" t="n"/>
      <c r="Q573" s="769" t="str">
        <f>IF($F573="","",IFERROR(VLOOKUP($C573&amp;"|"&amp;$D573,科目表!$A$5:$B$200,2,FALSE),"※未登録"))</f>
        <v/>
      </c>
      <c r="R573" s="769" t="str">
        <f>IF($F573="","",$I573+$J573+$K573)</f>
        <v/>
      </c>
      <c r="S573" s="769" t="str">
        <f>IF(OR($F573="",$P573="支払なし",$H573=0,$Q573=""),"",$Q573&amp;"|S|"&amp;(COUNTIF(S$4:S572,$Q573&amp;"|S|*")+1))</f>
        <v/>
      </c>
      <c r="T573" s="769" t="str">
        <f>IF(OR($F573="",$P573="支払なし",$R573=0,$Q573=""),"",$Q573&amp;"|L|"&amp;(COUNTIF(T$4:T572,$Q573&amp;"|L|*")+1))</f>
        <v/>
      </c>
      <c r="U573" s="769" t="str">
        <f>IF($F573="","",13)</f>
        <v/>
      </c>
    </row>
    <row r="574" ht="16.5" customHeight="1" s="186">
      <c r="A574" s="760" t="n"/>
      <c r="B574" s="760" t="n"/>
      <c r="C574" s="762" t="n"/>
      <c r="D574" s="762" t="n"/>
      <c r="E574" s="775" t="n"/>
      <c r="F574" s="821" t="n"/>
      <c r="G574" s="821" t="n"/>
      <c r="H574" s="818">
        <f>IF(G574=1,F574-I574-J574-K574,IF(G574=2,F574,0))</f>
        <v>0</v>
      </c>
      <c r="I574" s="818">
        <f>ROUND(IF(G574=1,F574*10/23,IF(G574=3,F574-J574-K574,IF(G574=4,F574,IF(G574=5,F574*10/11,IF(G574=7,F574*10/11,0))))),0)</f>
        <v>0</v>
      </c>
      <c r="J574" s="818">
        <f>ROUND(IF(G574=1,F574/23,IF(G574=3,F574/12,IF(G574=5,F574-I574,IF(G574=8,F574,0)))),0)</f>
        <v>0</v>
      </c>
      <c r="K574" s="819">
        <f>ROUND(IF(G574=1,F574/23,IF(G574=3,F574/12,IF(G574=6,F574,IF(G574=7,F574-I574,0)))),0)</f>
        <v>0</v>
      </c>
      <c r="L574" s="820">
        <f>IF(G574=6,F574,0)</f>
        <v>0</v>
      </c>
      <c r="P574" s="768" t="n"/>
      <c r="Q574" s="769" t="str">
        <f>IF($F574="","",IFERROR(VLOOKUP($C574&amp;"|"&amp;$D574,科目表!$A$5:$B$200,2,FALSE),"※未登録"))</f>
        <v/>
      </c>
      <c r="R574" s="769" t="str">
        <f>IF($F574="","",$I574+$J574+$K574)</f>
        <v/>
      </c>
      <c r="S574" s="769" t="str">
        <f>IF(OR($F574="",$P574="支払なし",$H574=0,$Q574=""),"",$Q574&amp;"|S|"&amp;(COUNTIF(S$4:S573,$Q574&amp;"|S|*")+1))</f>
        <v/>
      </c>
      <c r="T574" s="769" t="str">
        <f>IF(OR($F574="",$P574="支払なし",$R574=0,$Q574=""),"",$Q574&amp;"|L|"&amp;(COUNTIF(T$4:T573,$Q574&amp;"|L|*")+1))</f>
        <v/>
      </c>
      <c r="U574" s="769" t="str">
        <f>IF($F574="","",13)</f>
        <v/>
      </c>
    </row>
    <row r="575" ht="16.5" customHeight="1" s="186">
      <c r="A575" s="760" t="n"/>
      <c r="B575" s="760" t="n"/>
      <c r="C575" s="762" t="n"/>
      <c r="D575" s="762" t="n"/>
      <c r="E575" s="775" t="n"/>
      <c r="F575" s="821" t="n"/>
      <c r="G575" s="821" t="n"/>
      <c r="H575" s="818">
        <f>IF(G575=1,F575-I575-J575-K575,IF(G575=2,F575,0))</f>
        <v>0</v>
      </c>
      <c r="I575" s="818">
        <f>ROUND(IF(G575=1,F575*10/23,IF(G575=3,F575-J575-K575,IF(G575=4,F575,IF(G575=5,F575*10/11,IF(G575=7,F575*10/11,0))))),0)</f>
        <v>0</v>
      </c>
      <c r="J575" s="818">
        <f>ROUND(IF(G575=1,F575/23,IF(G575=3,F575/12,IF(G575=5,F575-I575,IF(G575=8,F575,0)))),0)</f>
        <v>0</v>
      </c>
      <c r="K575" s="819">
        <f>ROUND(IF(G575=1,F575/23,IF(G575=3,F575/12,IF(G575=6,F575,IF(G575=7,F575-I575,0)))),0)</f>
        <v>0</v>
      </c>
      <c r="L575" s="820">
        <f>IF(G575=6,F575,0)</f>
        <v>0</v>
      </c>
      <c r="P575" s="768" t="n"/>
      <c r="Q575" s="769" t="str">
        <f>IF($F575="","",IFERROR(VLOOKUP($C575&amp;"|"&amp;$D575,科目表!$A$5:$B$200,2,FALSE),"※未登録"))</f>
        <v/>
      </c>
      <c r="R575" s="769" t="str">
        <f>IF($F575="","",$I575+$J575+$K575)</f>
        <v/>
      </c>
      <c r="S575" s="769" t="str">
        <f>IF(OR($F575="",$P575="支払なし",$H575=0,$Q575=""),"",$Q575&amp;"|S|"&amp;(COUNTIF(S$4:S574,$Q575&amp;"|S|*")+1))</f>
        <v/>
      </c>
      <c r="T575" s="769" t="str">
        <f>IF(OR($F575="",$P575="支払なし",$R575=0,$Q575=""),"",$Q575&amp;"|L|"&amp;(COUNTIF(T$4:T574,$Q575&amp;"|L|*")+1))</f>
        <v/>
      </c>
      <c r="U575" s="769" t="str">
        <f>IF($F575="","",13)</f>
        <v/>
      </c>
    </row>
    <row r="576" ht="16.5" customHeight="1" s="186">
      <c r="A576" s="760" t="n"/>
      <c r="B576" s="760" t="n"/>
      <c r="C576" s="762" t="n"/>
      <c r="D576" s="762" t="n"/>
      <c r="E576" s="775" t="n"/>
      <c r="F576" s="821" t="n"/>
      <c r="G576" s="821" t="n"/>
      <c r="H576" s="818">
        <f>IF(G576=1,F576-I576-J576-K576,IF(G576=2,F576,0))</f>
        <v>0</v>
      </c>
      <c r="I576" s="818">
        <f>ROUND(IF(G576=1,F576*10/23,IF(G576=3,F576-J576-K576,IF(G576=4,F576,IF(G576=5,F576*10/11,IF(G576=7,F576*10/11,0))))),0)</f>
        <v>0</v>
      </c>
      <c r="J576" s="818">
        <f>ROUND(IF(G576=1,F576/23,IF(G576=3,F576/12,IF(G576=5,F576-I576,IF(G576=8,F576,0)))),0)</f>
        <v>0</v>
      </c>
      <c r="K576" s="819">
        <f>ROUND(IF(G576=1,F576/23,IF(G576=3,F576/12,IF(G576=6,F576,IF(G576=7,F576-I576,0)))),0)</f>
        <v>0</v>
      </c>
      <c r="L576" s="820">
        <f>IF(G576=6,F576,0)</f>
        <v>0</v>
      </c>
      <c r="P576" s="768" t="n"/>
      <c r="Q576" s="769" t="str">
        <f>IF($F576="","",IFERROR(VLOOKUP($C576&amp;"|"&amp;$D576,科目表!$A$5:$B$200,2,FALSE),"※未登録"))</f>
        <v/>
      </c>
      <c r="R576" s="769" t="str">
        <f>IF($F576="","",$I576+$J576+$K576)</f>
        <v/>
      </c>
      <c r="S576" s="769" t="str">
        <f>IF(OR($F576="",$P576="支払なし",$H576=0,$Q576=""),"",$Q576&amp;"|S|"&amp;(COUNTIF(S$4:S575,$Q576&amp;"|S|*")+1))</f>
        <v/>
      </c>
      <c r="T576" s="769" t="str">
        <f>IF(OR($F576="",$P576="支払なし",$R576=0,$Q576=""),"",$Q576&amp;"|L|"&amp;(COUNTIF(T$4:T575,$Q576&amp;"|L|*")+1))</f>
        <v/>
      </c>
      <c r="U576" s="769" t="str">
        <f>IF($F576="","",13)</f>
        <v/>
      </c>
    </row>
    <row r="577" ht="16.5" customHeight="1" s="186">
      <c r="A577" s="760" t="n"/>
      <c r="B577" s="760" t="n"/>
      <c r="C577" s="762" t="n"/>
      <c r="D577" s="762" t="n"/>
      <c r="E577" s="775" t="n"/>
      <c r="F577" s="821" t="n"/>
      <c r="G577" s="821" t="n"/>
      <c r="H577" s="818">
        <f>IF(G577=1,F577-I577-J577-K577,IF(G577=2,F577,0))</f>
        <v>0</v>
      </c>
      <c r="I577" s="818">
        <f>ROUND(IF(G577=1,F577*10/23,IF(G577=3,F577-J577-K577,IF(G577=4,F577,IF(G577=5,F577*10/11,IF(G577=7,F577*10/11,0))))),0)</f>
        <v>0</v>
      </c>
      <c r="J577" s="818">
        <f>ROUND(IF(G577=1,F577/23,IF(G577=3,F577/12,IF(G577=5,F577-I577,IF(G577=8,F577,0)))),0)</f>
        <v>0</v>
      </c>
      <c r="K577" s="819">
        <f>ROUND(IF(G577=1,F577/23,IF(G577=3,F577/12,IF(G577=6,F577,IF(G577=7,F577-I577,0)))),0)</f>
        <v>0</v>
      </c>
      <c r="L577" s="820">
        <f>IF(G577=6,F577,0)</f>
        <v>0</v>
      </c>
      <c r="P577" s="768" t="n"/>
      <c r="Q577" s="769" t="str">
        <f>IF($F577="","",IFERROR(VLOOKUP($C577&amp;"|"&amp;$D577,科目表!$A$5:$B$200,2,FALSE),"※未登録"))</f>
        <v/>
      </c>
      <c r="R577" s="769" t="str">
        <f>IF($F577="","",$I577+$J577+$K577)</f>
        <v/>
      </c>
      <c r="S577" s="769" t="str">
        <f>IF(OR($F577="",$P577="支払なし",$H577=0,$Q577=""),"",$Q577&amp;"|S|"&amp;(COUNTIF(S$4:S576,$Q577&amp;"|S|*")+1))</f>
        <v/>
      </c>
      <c r="T577" s="769" t="str">
        <f>IF(OR($F577="",$P577="支払なし",$R577=0,$Q577=""),"",$Q577&amp;"|L|"&amp;(COUNTIF(T$4:T576,$Q577&amp;"|L|*")+1))</f>
        <v/>
      </c>
      <c r="U577" s="769" t="str">
        <f>IF($F577="","",13)</f>
        <v/>
      </c>
    </row>
    <row r="578" ht="16.5" customHeight="1" s="186">
      <c r="A578" s="760" t="n"/>
      <c r="B578" s="760" t="n"/>
      <c r="C578" s="762" t="n"/>
      <c r="D578" s="762" t="n"/>
      <c r="E578" s="775" t="n"/>
      <c r="F578" s="821" t="n"/>
      <c r="G578" s="821" t="n"/>
      <c r="H578" s="818">
        <f>IF(G578=1,F578-I578-J578-K578,IF(G578=2,F578,0))</f>
        <v>0</v>
      </c>
      <c r="I578" s="818">
        <f>ROUND(IF(G578=1,F578*10/23,IF(G578=3,F578-J578-K578,IF(G578=4,F578,IF(G578=5,F578*10/11,IF(G578=7,F578*10/11,0))))),0)</f>
        <v>0</v>
      </c>
      <c r="J578" s="818">
        <f>ROUND(IF(G578=1,F578/23,IF(G578=3,F578/12,IF(G578=5,F578-I578,IF(G578=8,F578,0)))),0)</f>
        <v>0</v>
      </c>
      <c r="K578" s="819">
        <f>ROUND(IF(G578=1,F578/23,IF(G578=3,F578/12,IF(G578=6,F578,IF(G578=7,F578-I578,0)))),0)</f>
        <v>0</v>
      </c>
      <c r="L578" s="820">
        <f>IF(G578=6,F578,0)</f>
        <v>0</v>
      </c>
      <c r="P578" s="768" t="n"/>
      <c r="Q578" s="769" t="str">
        <f>IF($F578="","",IFERROR(VLOOKUP($C578&amp;"|"&amp;$D578,科目表!$A$5:$B$200,2,FALSE),"※未登録"))</f>
        <v/>
      </c>
      <c r="R578" s="769" t="str">
        <f>IF($F578="","",$I578+$J578+$K578)</f>
        <v/>
      </c>
      <c r="S578" s="769" t="str">
        <f>IF(OR($F578="",$P578="支払なし",$H578=0,$Q578=""),"",$Q578&amp;"|S|"&amp;(COUNTIF(S$4:S577,$Q578&amp;"|S|*")+1))</f>
        <v/>
      </c>
      <c r="T578" s="769" t="str">
        <f>IF(OR($F578="",$P578="支払なし",$R578=0,$Q578=""),"",$Q578&amp;"|L|"&amp;(COUNTIF(T$4:T577,$Q578&amp;"|L|*")+1))</f>
        <v/>
      </c>
      <c r="U578" s="769" t="str">
        <f>IF($F578="","",13)</f>
        <v/>
      </c>
    </row>
    <row r="579" ht="16.5" customHeight="1" s="186">
      <c r="A579" s="760" t="n"/>
      <c r="B579" s="760" t="n"/>
      <c r="C579" s="762" t="n"/>
      <c r="D579" s="762" t="n"/>
      <c r="E579" s="762" t="n"/>
      <c r="F579" s="821" t="n"/>
      <c r="G579" s="821" t="n"/>
      <c r="H579" s="818">
        <f>IF(G579=1,F579-I579-J579-K579,IF(G579=2,F579,0))</f>
        <v>0</v>
      </c>
      <c r="I579" s="818">
        <f>ROUND(IF(G579=1,F579*10/23,IF(G579=3,F579-J579-K579,IF(G579=4,F579,IF(G579=5,F579*10/11,IF(G579=7,F579*10/11,0))))),0)</f>
        <v>0</v>
      </c>
      <c r="J579" s="818">
        <f>ROUND(IF(G579=1,F579/23,IF(G579=3,F579/12,IF(G579=5,F579-I579,IF(G579=8,F579,0)))),0)</f>
        <v>0</v>
      </c>
      <c r="K579" s="819">
        <f>ROUND(IF(G579=1,F579/23,IF(G579=3,F579/12,IF(G579=6,F579,IF(G579=7,F579-I579,0)))),0)</f>
        <v>0</v>
      </c>
      <c r="L579" s="820">
        <f>IF(G579=6,F579,0)</f>
        <v>0</v>
      </c>
      <c r="P579" s="768" t="n"/>
      <c r="Q579" s="769" t="str">
        <f>IF($F579="","",IFERROR(VLOOKUP($C579&amp;"|"&amp;$D579,科目表!$A$5:$B$200,2,FALSE),"※未登録"))</f>
        <v/>
      </c>
      <c r="R579" s="769" t="str">
        <f>IF($F579="","",$I579+$J579+$K579)</f>
        <v/>
      </c>
      <c r="S579" s="769" t="str">
        <f>IF(OR($F579="",$P579="支払なし",$H579=0,$Q579=""),"",$Q579&amp;"|S|"&amp;(COUNTIF(S$4:S578,$Q579&amp;"|S|*")+1))</f>
        <v/>
      </c>
      <c r="T579" s="769" t="str">
        <f>IF(OR($F579="",$P579="支払なし",$R579=0,$Q579=""),"",$Q579&amp;"|L|"&amp;(COUNTIF(T$4:T578,$Q579&amp;"|L|*")+1))</f>
        <v/>
      </c>
      <c r="U579" s="769" t="str">
        <f>IF($F579="","",13)</f>
        <v/>
      </c>
    </row>
    <row r="580" ht="16.5" customHeight="1" s="186">
      <c r="A580" s="760" t="n"/>
      <c r="B580" s="760" t="n"/>
      <c r="C580" s="762" t="n"/>
      <c r="D580" s="762" t="n"/>
      <c r="E580" s="762" t="n"/>
      <c r="F580" s="821" t="n"/>
      <c r="G580" s="821" t="n"/>
      <c r="H580" s="818">
        <f>IF(G580=1,F580-I580-J580-K580,IF(G580=2,F580,0))</f>
        <v>0</v>
      </c>
      <c r="I580" s="818">
        <f>ROUND(IF(G580=1,F580*10/23,IF(G580=3,F580-J580-K580,IF(G580=4,F580,IF(G580=5,F580*10/11,IF(G580=7,F580*10/11,0))))),0)</f>
        <v>0</v>
      </c>
      <c r="J580" s="818">
        <f>ROUND(IF(G580=1,F580/23,IF(G580=3,F580/12,IF(G580=5,F580-I580,IF(G580=8,F580,0)))),0)</f>
        <v>0</v>
      </c>
      <c r="K580" s="819">
        <f>ROUND(IF(G580=1,F580/23,IF(G580=3,F580/12,IF(G580=6,F580,IF(G580=7,F580-I580,0)))),0)</f>
        <v>0</v>
      </c>
      <c r="L580" s="820">
        <f>IF(G580=6,F580,0)</f>
        <v>0</v>
      </c>
      <c r="P580" s="768" t="n"/>
      <c r="Q580" s="769" t="str">
        <f>IF($F580="","",IFERROR(VLOOKUP($C580&amp;"|"&amp;$D580,科目表!$A$5:$B$200,2,FALSE),"※未登録"))</f>
        <v/>
      </c>
      <c r="R580" s="769" t="str">
        <f>IF($F580="","",$I580+$J580+$K580)</f>
        <v/>
      </c>
      <c r="S580" s="769" t="str">
        <f>IF(OR($F580="",$P580="支払なし",$H580=0,$Q580=""),"",$Q580&amp;"|S|"&amp;(COUNTIF(S$4:S579,$Q580&amp;"|S|*")+1))</f>
        <v/>
      </c>
      <c r="T580" s="769" t="str">
        <f>IF(OR($F580="",$P580="支払なし",$R580=0,$Q580=""),"",$Q580&amp;"|L|"&amp;(COUNTIF(T$4:T579,$Q580&amp;"|L|*")+1))</f>
        <v/>
      </c>
      <c r="U580" s="769" t="str">
        <f>IF($F580="","",13)</f>
        <v/>
      </c>
    </row>
    <row r="581" ht="16.5" customHeight="1" s="186">
      <c r="A581" s="760" t="n"/>
      <c r="B581" s="760" t="n"/>
      <c r="C581" s="762" t="n"/>
      <c r="D581" s="762" t="n"/>
      <c r="E581" s="775" t="n"/>
      <c r="F581" s="821" t="n"/>
      <c r="G581" s="821" t="n"/>
      <c r="H581" s="818">
        <f>IF(G581=1,F581-I581-J581-K581,IF(G581=2,F581,0))</f>
        <v>0</v>
      </c>
      <c r="I581" s="818">
        <f>ROUND(IF(G581=1,F581*10/23,IF(G581=3,F581-J581-K581,IF(G581=4,F581,IF(G581=5,F581*10/11,IF(G581=7,F581*10/11,0))))),0)</f>
        <v>0</v>
      </c>
      <c r="J581" s="818">
        <f>ROUND(IF(G581=1,F581/23,IF(G581=3,F581/12,IF(G581=5,F581-I581,IF(G581=8,F581,0)))),0)</f>
        <v>0</v>
      </c>
      <c r="K581" s="819">
        <f>ROUND(IF(G581=1,F581/23,IF(G581=3,F581/12,IF(G581=6,F581,IF(G581=7,F581-I581,0)))),0)</f>
        <v>0</v>
      </c>
      <c r="L581" s="820">
        <f>IF(G581=6,F581,0)</f>
        <v>0</v>
      </c>
      <c r="P581" s="768" t="n"/>
      <c r="Q581" s="769" t="str">
        <f>IF($F581="","",IFERROR(VLOOKUP($C581&amp;"|"&amp;$D581,科目表!$A$5:$B$200,2,FALSE),"※未登録"))</f>
        <v/>
      </c>
      <c r="R581" s="769" t="str">
        <f>IF($F581="","",$I581+$J581+$K581)</f>
        <v/>
      </c>
      <c r="S581" s="769" t="str">
        <f>IF(OR($F581="",$P581="支払なし",$H581=0,$Q581=""),"",$Q581&amp;"|S|"&amp;(COUNTIF(S$4:S580,$Q581&amp;"|S|*")+1))</f>
        <v/>
      </c>
      <c r="T581" s="769" t="str">
        <f>IF(OR($F581="",$P581="支払なし",$R581=0,$Q581=""),"",$Q581&amp;"|L|"&amp;(COUNTIF(T$4:T580,$Q581&amp;"|L|*")+1))</f>
        <v/>
      </c>
      <c r="U581" s="769" t="str">
        <f>IF($F581="","",13)</f>
        <v/>
      </c>
    </row>
    <row r="582" ht="16.5" customHeight="1" s="186">
      <c r="A582" s="760" t="n"/>
      <c r="B582" s="760" t="n"/>
      <c r="C582" s="762" t="n"/>
      <c r="D582" s="762" t="n"/>
      <c r="E582" s="775" t="n"/>
      <c r="F582" s="821" t="n"/>
      <c r="G582" s="821" t="n"/>
      <c r="H582" s="818">
        <f>IF(G582=1,F582-I582-J582-K582,IF(G582=2,F582,0))</f>
        <v>0</v>
      </c>
      <c r="I582" s="818">
        <f>ROUND(IF(G582=1,F582*10/23,IF(G582=3,F582-J582-K582,IF(G582=4,F582,IF(G582=5,F582*10/11,IF(G582=7,F582*10/11,0))))),0)</f>
        <v>0</v>
      </c>
      <c r="J582" s="818">
        <f>ROUND(IF(G582=1,F582/23,IF(G582=3,F582/12,IF(G582=5,F582-I582,IF(G582=8,F582,0)))),0)</f>
        <v>0</v>
      </c>
      <c r="K582" s="819">
        <f>ROUND(IF(G582=1,F582/23,IF(G582=3,F582/12,IF(G582=6,F582,IF(G582=7,F582-I582,0)))),0)</f>
        <v>0</v>
      </c>
      <c r="L582" s="820">
        <f>IF(G582=6,F582,0)</f>
        <v>0</v>
      </c>
      <c r="P582" s="768" t="n"/>
      <c r="Q582" s="769" t="str">
        <f>IF($F582="","",IFERROR(VLOOKUP($C582&amp;"|"&amp;$D582,科目表!$A$5:$B$200,2,FALSE),"※未登録"))</f>
        <v/>
      </c>
      <c r="R582" s="769" t="str">
        <f>IF($F582="","",$I582+$J582+$K582)</f>
        <v/>
      </c>
      <c r="S582" s="769" t="str">
        <f>IF(OR($F582="",$P582="支払なし",$H582=0,$Q582=""),"",$Q582&amp;"|S|"&amp;(COUNTIF(S$4:S581,$Q582&amp;"|S|*")+1))</f>
        <v/>
      </c>
      <c r="T582" s="769" t="str">
        <f>IF(OR($F582="",$P582="支払なし",$R582=0,$Q582=""),"",$Q582&amp;"|L|"&amp;(COUNTIF(T$4:T581,$Q582&amp;"|L|*")+1))</f>
        <v/>
      </c>
      <c r="U582" s="769" t="str">
        <f>IF($F582="","",13)</f>
        <v/>
      </c>
    </row>
    <row r="583" ht="16.5" customHeight="1" s="186">
      <c r="A583" s="760" t="n"/>
      <c r="B583" s="760" t="n"/>
      <c r="C583" s="762" t="n"/>
      <c r="D583" s="762" t="n"/>
      <c r="E583" s="775" t="n"/>
      <c r="F583" s="821" t="n"/>
      <c r="G583" s="821" t="n"/>
      <c r="H583" s="818">
        <f>IF(G583=1,F583-I583-J583-K583,IF(G583=2,F583,0))</f>
        <v>0</v>
      </c>
      <c r="I583" s="818">
        <f>ROUND(IF(G583=1,F583*10/23,IF(G583=3,F583-J583-K583,IF(G583=4,F583,IF(G583=5,F583*10/11,IF(G583=7,F583*10/11,0))))),0)</f>
        <v>0</v>
      </c>
      <c r="J583" s="818">
        <f>ROUND(IF(G583=1,F583/23,IF(G583=3,F583/12,IF(G583=5,F583-I583,IF(G583=8,F583,0)))),0)</f>
        <v>0</v>
      </c>
      <c r="K583" s="819">
        <f>ROUND(IF(G583=1,F583/23,IF(G583=3,F583/12,IF(G583=6,F583,IF(G583=7,F583-I583,0)))),0)</f>
        <v>0</v>
      </c>
      <c r="L583" s="820">
        <f>IF(G583=6,F583,0)</f>
        <v>0</v>
      </c>
      <c r="P583" s="768" t="n"/>
      <c r="Q583" s="769" t="str">
        <f>IF($F583="","",IFERROR(VLOOKUP($C583&amp;"|"&amp;$D583,科目表!$A$5:$B$200,2,FALSE),"※未登録"))</f>
        <v/>
      </c>
      <c r="R583" s="769" t="str">
        <f>IF($F583="","",$I583+$J583+$K583)</f>
        <v/>
      </c>
      <c r="S583" s="769" t="str">
        <f>IF(OR($F583="",$P583="支払なし",$H583=0,$Q583=""),"",$Q583&amp;"|S|"&amp;(COUNTIF(S$4:S582,$Q583&amp;"|S|*")+1))</f>
        <v/>
      </c>
      <c r="T583" s="769" t="str">
        <f>IF(OR($F583="",$P583="支払なし",$R583=0,$Q583=""),"",$Q583&amp;"|L|"&amp;(COUNTIF(T$4:T582,$Q583&amp;"|L|*")+1))</f>
        <v/>
      </c>
      <c r="U583" s="769" t="str">
        <f>IF($F583="","",13)</f>
        <v/>
      </c>
    </row>
    <row r="584" ht="16.5" customHeight="1" s="186">
      <c r="A584" s="760" t="n"/>
      <c r="B584" s="760" t="n"/>
      <c r="C584" s="762" t="n"/>
      <c r="D584" s="762" t="n"/>
      <c r="E584" s="775" t="n"/>
      <c r="F584" s="821" t="n"/>
      <c r="G584" s="821" t="n"/>
      <c r="H584" s="818">
        <f>IF(G584=1,F584-I584-J584-K584,IF(G584=2,F584,0))</f>
        <v>0</v>
      </c>
      <c r="I584" s="818">
        <f>ROUND(IF(G584=1,F584*10/23,IF(G584=3,F584-J584-K584,IF(G584=4,F584,IF(G584=5,F584*10/11,IF(G584=7,F584*10/11,0))))),0)</f>
        <v>0</v>
      </c>
      <c r="J584" s="818">
        <f>ROUND(IF(G584=1,F584/23,IF(G584=3,F584/12,IF(G584=5,F584-I584,IF(G584=8,F584,0)))),0)</f>
        <v>0</v>
      </c>
      <c r="K584" s="819">
        <f>ROUND(IF(G584=1,F584/23,IF(G584=3,F584/12,IF(G584=6,F584,IF(G584=7,F584-I584,0)))),0)</f>
        <v>0</v>
      </c>
      <c r="L584" s="820">
        <f>IF(G584=6,F584,0)</f>
        <v>0</v>
      </c>
      <c r="P584" s="768" t="n"/>
      <c r="Q584" s="769" t="str">
        <f>IF($F584="","",IFERROR(VLOOKUP($C584&amp;"|"&amp;$D584,科目表!$A$5:$B$200,2,FALSE),"※未登録"))</f>
        <v/>
      </c>
      <c r="R584" s="769" t="str">
        <f>IF($F584="","",$I584+$J584+$K584)</f>
        <v/>
      </c>
      <c r="S584" s="769" t="str">
        <f>IF(OR($F584="",$P584="支払なし",$H584=0,$Q584=""),"",$Q584&amp;"|S|"&amp;(COUNTIF(S$4:S583,$Q584&amp;"|S|*")+1))</f>
        <v/>
      </c>
      <c r="T584" s="769" t="str">
        <f>IF(OR($F584="",$P584="支払なし",$R584=0,$Q584=""),"",$Q584&amp;"|L|"&amp;(COUNTIF(T$4:T583,$Q584&amp;"|L|*")+1))</f>
        <v/>
      </c>
      <c r="U584" s="769" t="str">
        <f>IF($F584="","",13)</f>
        <v/>
      </c>
    </row>
    <row r="585" ht="16.5" customHeight="1" s="186">
      <c r="A585" s="760" t="n"/>
      <c r="B585" s="760" t="n"/>
      <c r="C585" s="762" t="n"/>
      <c r="D585" s="762" t="n"/>
      <c r="E585" s="775" t="n"/>
      <c r="F585" s="821" t="n"/>
      <c r="G585" s="821" t="n"/>
      <c r="H585" s="818">
        <f>IF(G585=1,F585-I585-J585-K585,IF(G585=2,F585,0))</f>
        <v>0</v>
      </c>
      <c r="I585" s="818">
        <f>ROUND(IF(G585=1,F585*10/23,IF(G585=3,F585-J585-K585,IF(G585=4,F585,IF(G585=5,F585*10/11,IF(G585=7,F585*10/11,0))))),0)</f>
        <v>0</v>
      </c>
      <c r="J585" s="818">
        <f>ROUND(IF(G585=1,F585/23,IF(G585=3,F585/12,IF(G585=5,F585-I585,IF(G585=8,F585,0)))),0)</f>
        <v>0</v>
      </c>
      <c r="K585" s="819">
        <f>ROUND(IF(G585=1,F585/23,IF(G585=3,F585/12,IF(G585=6,F585,IF(G585=7,F585-I585,0)))),0)</f>
        <v>0</v>
      </c>
      <c r="L585" s="820">
        <f>IF(G585=6,F585,0)</f>
        <v>0</v>
      </c>
      <c r="P585" s="768" t="n"/>
      <c r="Q585" s="769" t="str">
        <f>IF($F585="","",IFERROR(VLOOKUP($C585&amp;"|"&amp;$D585,科目表!$A$5:$B$200,2,FALSE),"※未登録"))</f>
        <v/>
      </c>
      <c r="R585" s="769" t="str">
        <f>IF($F585="","",$I585+$J585+$K585)</f>
        <v/>
      </c>
      <c r="S585" s="769" t="str">
        <f>IF(OR($F585="",$P585="支払なし",$H585=0,$Q585=""),"",$Q585&amp;"|S|"&amp;(COUNTIF(S$4:S584,$Q585&amp;"|S|*")+1))</f>
        <v/>
      </c>
      <c r="T585" s="769" t="str">
        <f>IF(OR($F585="",$P585="支払なし",$R585=0,$Q585=""),"",$Q585&amp;"|L|"&amp;(COUNTIF(T$4:T584,$Q585&amp;"|L|*")+1))</f>
        <v/>
      </c>
      <c r="U585" s="769" t="str">
        <f>IF($F585="","",13)</f>
        <v/>
      </c>
    </row>
    <row r="586" ht="16.5" customHeight="1" s="186">
      <c r="A586" s="760" t="n"/>
      <c r="B586" s="760" t="n"/>
      <c r="C586" s="762" t="n"/>
      <c r="D586" s="762" t="n"/>
      <c r="E586" s="775" t="n"/>
      <c r="F586" s="821" t="n"/>
      <c r="G586" s="821" t="n"/>
      <c r="H586" s="818">
        <f>IF(G586=1,F586-I586-J586-K586,IF(G586=2,F586,0))</f>
        <v>0</v>
      </c>
      <c r="I586" s="818">
        <f>ROUND(IF(G586=1,F586*10/23,IF(G586=3,F586-J586-K586,IF(G586=4,F586,IF(G586=5,F586*10/11,IF(G586=7,F586*10/11,0))))),0)</f>
        <v>0</v>
      </c>
      <c r="J586" s="818">
        <f>ROUND(IF(G586=1,F586/23,IF(G586=3,F586/12,IF(G586=5,F586-I586,IF(G586=8,F586,0)))),0)</f>
        <v>0</v>
      </c>
      <c r="K586" s="819">
        <f>ROUND(IF(G586=1,F586/23,IF(G586=3,F586/12,IF(G586=6,F586,IF(G586=7,F586-I586,0)))),0)</f>
        <v>0</v>
      </c>
      <c r="L586" s="820">
        <f>IF(G586=6,F586,0)</f>
        <v>0</v>
      </c>
      <c r="P586" s="768" t="n"/>
      <c r="Q586" s="769" t="str">
        <f>IF($F586="","",IFERROR(VLOOKUP($C586&amp;"|"&amp;$D586,科目表!$A$5:$B$200,2,FALSE),"※未登録"))</f>
        <v/>
      </c>
      <c r="R586" s="769" t="str">
        <f>IF($F586="","",$I586+$J586+$K586)</f>
        <v/>
      </c>
      <c r="S586" s="769" t="str">
        <f>IF(OR($F586="",$P586="支払なし",$H586=0,$Q586=""),"",$Q586&amp;"|S|"&amp;(COUNTIF(S$4:S585,$Q586&amp;"|S|*")+1))</f>
        <v/>
      </c>
      <c r="T586" s="769" t="str">
        <f>IF(OR($F586="",$P586="支払なし",$R586=0,$Q586=""),"",$Q586&amp;"|L|"&amp;(COUNTIF(T$4:T585,$Q586&amp;"|L|*")+1))</f>
        <v/>
      </c>
      <c r="U586" s="769" t="str">
        <f>IF($F586="","",13)</f>
        <v/>
      </c>
    </row>
    <row r="587" ht="16.5" customHeight="1" s="186">
      <c r="A587" s="760" t="n"/>
      <c r="B587" s="760" t="n"/>
      <c r="C587" s="762" t="n"/>
      <c r="D587" s="762" t="n"/>
      <c r="E587" s="775" t="n"/>
      <c r="F587" s="821" t="n"/>
      <c r="G587" s="821" t="n"/>
      <c r="H587" s="818">
        <f>IF(G587=1,F587-I587-J587-K587,IF(G587=2,F587,0))</f>
        <v>0</v>
      </c>
      <c r="I587" s="818">
        <f>ROUND(IF(G587=1,F587*10/23,IF(G587=3,F587-J587-K587,IF(G587=4,F587,IF(G587=5,F587*10/11,IF(G587=7,F587*10/11,0))))),0)</f>
        <v>0</v>
      </c>
      <c r="J587" s="818">
        <f>ROUND(IF(G587=1,F587/23,IF(G587=3,F587/12,IF(G587=5,F587-I587,IF(G587=8,F587,0)))),0)</f>
        <v>0</v>
      </c>
      <c r="K587" s="819">
        <f>ROUND(IF(G587=1,F587/23,IF(G587=3,F587/12,IF(G587=6,F587,IF(G587=7,F587-I587,0)))),0)</f>
        <v>0</v>
      </c>
      <c r="L587" s="820">
        <f>IF(G587=6,F587,0)</f>
        <v>0</v>
      </c>
      <c r="P587" s="768" t="n"/>
      <c r="Q587" s="769" t="str">
        <f>IF($F587="","",IFERROR(VLOOKUP($C587&amp;"|"&amp;$D587,科目表!$A$5:$B$200,2,FALSE),"※未登録"))</f>
        <v/>
      </c>
      <c r="R587" s="769" t="str">
        <f>IF($F587="","",$I587+$J587+$K587)</f>
        <v/>
      </c>
      <c r="S587" s="769" t="str">
        <f>IF(OR($F587="",$P587="支払なし",$H587=0,$Q587=""),"",$Q587&amp;"|S|"&amp;(COUNTIF(S$4:S586,$Q587&amp;"|S|*")+1))</f>
        <v/>
      </c>
      <c r="T587" s="769" t="str">
        <f>IF(OR($F587="",$P587="支払なし",$R587=0,$Q587=""),"",$Q587&amp;"|L|"&amp;(COUNTIF(T$4:T586,$Q587&amp;"|L|*")+1))</f>
        <v/>
      </c>
      <c r="U587" s="769" t="str">
        <f>IF($F587="","",13)</f>
        <v/>
      </c>
    </row>
    <row r="588" ht="16.5" customHeight="1" s="186">
      <c r="A588" s="760" t="n"/>
      <c r="B588" s="760" t="n"/>
      <c r="C588" s="762" t="n"/>
      <c r="D588" s="762" t="n"/>
      <c r="E588" s="775" t="n"/>
      <c r="F588" s="821" t="n"/>
      <c r="G588" s="821" t="n"/>
      <c r="H588" s="818">
        <f>IF(G588=1,F588-I588-J588-K588,IF(G588=2,F588,0))</f>
        <v>0</v>
      </c>
      <c r="I588" s="818">
        <f>ROUND(IF(G588=1,F588*10/23,IF(G588=3,F588-J588-K588,IF(G588=4,F588,IF(G588=5,F588*10/11,IF(G588=7,F588*10/11,0))))),0)</f>
        <v>0</v>
      </c>
      <c r="J588" s="818">
        <f>ROUND(IF(G588=1,F588/23,IF(G588=3,F588/12,IF(G588=5,F588-I588,IF(G588=8,F588,0)))),0)</f>
        <v>0</v>
      </c>
      <c r="K588" s="819">
        <f>ROUND(IF(G588=1,F588/23,IF(G588=3,F588/12,IF(G588=6,F588,IF(G588=7,F588-I588,0)))),0)</f>
        <v>0</v>
      </c>
      <c r="L588" s="820">
        <f>IF(G588=6,F588,0)</f>
        <v>0</v>
      </c>
      <c r="P588" s="768" t="n"/>
      <c r="Q588" s="769" t="str">
        <f>IF($F588="","",IFERROR(VLOOKUP($C588&amp;"|"&amp;$D588,科目表!$A$5:$B$200,2,FALSE),"※未登録"))</f>
        <v/>
      </c>
      <c r="R588" s="769" t="str">
        <f>IF($F588="","",$I588+$J588+$K588)</f>
        <v/>
      </c>
      <c r="S588" s="769" t="str">
        <f>IF(OR($F588="",$P588="支払なし",$H588=0,$Q588=""),"",$Q588&amp;"|S|"&amp;(COUNTIF(S$4:S587,$Q588&amp;"|S|*")+1))</f>
        <v/>
      </c>
      <c r="T588" s="769" t="str">
        <f>IF(OR($F588="",$P588="支払なし",$R588=0,$Q588=""),"",$Q588&amp;"|L|"&amp;(COUNTIF(T$4:T587,$Q588&amp;"|L|*")+1))</f>
        <v/>
      </c>
      <c r="U588" s="769" t="str">
        <f>IF($F588="","",13)</f>
        <v/>
      </c>
    </row>
    <row r="589" ht="16.5" customHeight="1" s="186">
      <c r="A589" s="760" t="n"/>
      <c r="B589" s="760" t="n"/>
      <c r="C589" s="762" t="n"/>
      <c r="D589" s="762" t="n"/>
      <c r="E589" s="775" t="n"/>
      <c r="F589" s="821" t="n"/>
      <c r="G589" s="821" t="n"/>
      <c r="H589" s="818">
        <f>IF(G589=1,F589-I589-J589-K589,IF(G589=2,F589,0))</f>
        <v>0</v>
      </c>
      <c r="I589" s="818">
        <f>ROUND(IF(G589=1,F589*10/23,IF(G589=3,F589-J589-K589,IF(G589=4,F589,IF(G589=5,F589*10/11,IF(G589=7,F589*10/11,0))))),0)</f>
        <v>0</v>
      </c>
      <c r="J589" s="818">
        <f>ROUND(IF(G589=1,F589/23,IF(G589=3,F589/12,IF(G589=5,F589-I589,IF(G589=8,F589,0)))),0)</f>
        <v>0</v>
      </c>
      <c r="K589" s="819">
        <f>ROUND(IF(G589=1,F589/23,IF(G589=3,F589/12,IF(G589=6,F589,IF(G589=7,F589-I589,0)))),0)</f>
        <v>0</v>
      </c>
      <c r="L589" s="820">
        <f>IF(G589=6,F589,0)</f>
        <v>0</v>
      </c>
      <c r="P589" s="768" t="n"/>
      <c r="Q589" s="769" t="str">
        <f>IF($F589="","",IFERROR(VLOOKUP($C589&amp;"|"&amp;$D589,科目表!$A$5:$B$200,2,FALSE),"※未登録"))</f>
        <v/>
      </c>
      <c r="R589" s="769" t="str">
        <f>IF($F589="","",$I589+$J589+$K589)</f>
        <v/>
      </c>
      <c r="S589" s="769" t="str">
        <f>IF(OR($F589="",$P589="支払なし",$H589=0,$Q589=""),"",$Q589&amp;"|S|"&amp;(COUNTIF(S$4:S588,$Q589&amp;"|S|*")+1))</f>
        <v/>
      </c>
      <c r="T589" s="769" t="str">
        <f>IF(OR($F589="",$P589="支払なし",$R589=0,$Q589=""),"",$Q589&amp;"|L|"&amp;(COUNTIF(T$4:T588,$Q589&amp;"|L|*")+1))</f>
        <v/>
      </c>
      <c r="U589" s="769" t="str">
        <f>IF($F589="","",13)</f>
        <v/>
      </c>
    </row>
    <row r="590" ht="16.5" customHeight="1" s="186">
      <c r="A590" s="760" t="n"/>
      <c r="B590" s="760" t="n"/>
      <c r="C590" s="762" t="n"/>
      <c r="D590" s="762" t="n"/>
      <c r="E590" s="775" t="n"/>
      <c r="F590" s="821" t="n"/>
      <c r="G590" s="821" t="n"/>
      <c r="H590" s="818">
        <f>IF(G590=1,F590-I590-J590-K590,IF(G590=2,F590,0))</f>
        <v>0</v>
      </c>
      <c r="I590" s="818">
        <f>ROUND(IF(G590=1,F590*10/23,IF(G590=3,F590-J590-K590,IF(G590=4,F590,IF(G590=5,F590*10/11,IF(G590=7,F590*10/11,0))))),0)</f>
        <v>0</v>
      </c>
      <c r="J590" s="818">
        <f>ROUND(IF(G590=1,F590/23,IF(G590=3,F590/12,IF(G590=5,F590-I590,IF(G590=8,F590,0)))),0)</f>
        <v>0</v>
      </c>
      <c r="K590" s="819">
        <f>ROUND(IF(G590=1,F590/23,IF(G590=3,F590/12,IF(G590=6,F590,IF(G590=7,F590-I590,0)))),0)</f>
        <v>0</v>
      </c>
      <c r="L590" s="820">
        <f>IF(G590=6,F590,0)</f>
        <v>0</v>
      </c>
      <c r="P590" s="768" t="n"/>
      <c r="Q590" s="769" t="str">
        <f>IF($F590="","",IFERROR(VLOOKUP($C590&amp;"|"&amp;$D590,科目表!$A$5:$B$200,2,FALSE),"※未登録"))</f>
        <v/>
      </c>
      <c r="R590" s="769" t="str">
        <f>IF($F590="","",$I590+$J590+$K590)</f>
        <v/>
      </c>
      <c r="S590" s="769" t="str">
        <f>IF(OR($F590="",$P590="支払なし",$H590=0,$Q590=""),"",$Q590&amp;"|S|"&amp;(COUNTIF(S$4:S589,$Q590&amp;"|S|*")+1))</f>
        <v/>
      </c>
      <c r="T590" s="769" t="str">
        <f>IF(OR($F590="",$P590="支払なし",$R590=0,$Q590=""),"",$Q590&amp;"|L|"&amp;(COUNTIF(T$4:T589,$Q590&amp;"|L|*")+1))</f>
        <v/>
      </c>
      <c r="U590" s="769" t="str">
        <f>IF($F590="","",13)</f>
        <v/>
      </c>
    </row>
    <row r="591" ht="16.5" customHeight="1" s="186">
      <c r="A591" s="760" t="n"/>
      <c r="B591" s="760" t="n"/>
      <c r="C591" s="762" t="n"/>
      <c r="D591" s="762" t="n"/>
      <c r="E591" s="775" t="n"/>
      <c r="F591" s="821" t="n"/>
      <c r="G591" s="821" t="n"/>
      <c r="H591" s="818">
        <f>IF(G591=1,F591-I591-J591-K591,IF(G591=2,F591,0))</f>
        <v>0</v>
      </c>
      <c r="I591" s="818">
        <f>ROUND(IF(G591=1,F591*10/23,IF(G591=3,F591-J591-K591,IF(G591=4,F591,IF(G591=5,F591*10/11,IF(G591=7,F591*10/11,0))))),0)</f>
        <v>0</v>
      </c>
      <c r="J591" s="818">
        <f>ROUND(IF(G591=1,F591/23,IF(G591=3,F591/12,IF(G591=5,F591-I591,IF(G591=8,F591,0)))),0)</f>
        <v>0</v>
      </c>
      <c r="K591" s="819">
        <f>ROUND(IF(G591=1,F591/23,IF(G591=3,F591/12,IF(G591=6,F591,IF(G591=7,F591-I591,0)))),0)</f>
        <v>0</v>
      </c>
      <c r="L591" s="820">
        <f>IF(G591=6,F591,0)</f>
        <v>0</v>
      </c>
      <c r="P591" s="768" t="n"/>
      <c r="Q591" s="769" t="str">
        <f>IF($F591="","",IFERROR(VLOOKUP($C591&amp;"|"&amp;$D591,科目表!$A$5:$B$200,2,FALSE),"※未登録"))</f>
        <v/>
      </c>
      <c r="R591" s="769" t="str">
        <f>IF($F591="","",$I591+$J591+$K591)</f>
        <v/>
      </c>
      <c r="S591" s="769" t="str">
        <f>IF(OR($F591="",$P591="支払なし",$H591=0,$Q591=""),"",$Q591&amp;"|S|"&amp;(COUNTIF(S$4:S590,$Q591&amp;"|S|*")+1))</f>
        <v/>
      </c>
      <c r="T591" s="769" t="str">
        <f>IF(OR($F591="",$P591="支払なし",$R591=0,$Q591=""),"",$Q591&amp;"|L|"&amp;(COUNTIF(T$4:T590,$Q591&amp;"|L|*")+1))</f>
        <v/>
      </c>
      <c r="U591" s="769" t="str">
        <f>IF($F591="","",13)</f>
        <v/>
      </c>
    </row>
    <row r="592" ht="16.5" customHeight="1" s="186">
      <c r="A592" s="760" t="n"/>
      <c r="B592" s="760" t="n"/>
      <c r="C592" s="762" t="n"/>
      <c r="D592" s="762" t="n"/>
      <c r="E592" s="775" t="n"/>
      <c r="F592" s="821" t="n"/>
      <c r="G592" s="821" t="n"/>
      <c r="H592" s="818">
        <f>IF(G592=1,F592-I592-J592-K592,IF(G592=2,F592,0))</f>
        <v>0</v>
      </c>
      <c r="I592" s="818">
        <f>ROUND(IF(G592=1,F592*10/23,IF(G592=3,F592-J592-K592,IF(G592=4,F592,IF(G592=5,F592*10/11,IF(G592=7,F592*10/11,0))))),0)</f>
        <v>0</v>
      </c>
      <c r="J592" s="818">
        <f>ROUND(IF(G592=1,F592/23,IF(G592=3,F592/12,IF(G592=5,F592-I592,IF(G592=8,F592,0)))),0)</f>
        <v>0</v>
      </c>
      <c r="K592" s="819">
        <f>ROUND(IF(G592=1,F592/23,IF(G592=3,F592/12,IF(G592=6,F592,IF(G592=7,F592-I592,0)))),0)</f>
        <v>0</v>
      </c>
      <c r="L592" s="820">
        <f>IF(G592=6,F592,0)</f>
        <v>0</v>
      </c>
      <c r="P592" s="768" t="n"/>
      <c r="Q592" s="769" t="str">
        <f>IF($F592="","",IFERROR(VLOOKUP($C592&amp;"|"&amp;$D592,科目表!$A$5:$B$200,2,FALSE),"※未登録"))</f>
        <v/>
      </c>
      <c r="R592" s="769" t="str">
        <f>IF($F592="","",$I592+$J592+$K592)</f>
        <v/>
      </c>
      <c r="S592" s="769" t="str">
        <f>IF(OR($F592="",$P592="支払なし",$H592=0,$Q592=""),"",$Q592&amp;"|S|"&amp;(COUNTIF(S$4:S591,$Q592&amp;"|S|*")+1))</f>
        <v/>
      </c>
      <c r="T592" s="769" t="str">
        <f>IF(OR($F592="",$P592="支払なし",$R592=0,$Q592=""),"",$Q592&amp;"|L|"&amp;(COUNTIF(T$4:T591,$Q592&amp;"|L|*")+1))</f>
        <v/>
      </c>
      <c r="U592" s="769" t="str">
        <f>IF($F592="","",13)</f>
        <v/>
      </c>
    </row>
    <row r="593" ht="16.5" customHeight="1" s="186">
      <c r="A593" s="760" t="n"/>
      <c r="B593" s="760" t="n"/>
      <c r="C593" s="762" t="n"/>
      <c r="D593" s="762" t="n"/>
      <c r="E593" s="775" t="n"/>
      <c r="F593" s="821" t="n"/>
      <c r="G593" s="821" t="n"/>
      <c r="H593" s="818">
        <f>IF(G593=1,F593-I593-J593-K593,IF(G593=2,F593,0))</f>
        <v>0</v>
      </c>
      <c r="I593" s="818">
        <f>ROUND(IF(G593=1,F593*10/23,IF(G593=3,F593-J593-K593,IF(G593=4,F593,IF(G593=5,F593*10/11,IF(G593=7,F593*10/11,0))))),0)</f>
        <v>0</v>
      </c>
      <c r="J593" s="818">
        <f>ROUND(IF(G593=1,F593/23,IF(G593=3,F593/12,IF(G593=5,F593-I593,IF(G593=8,F593,0)))),0)</f>
        <v>0</v>
      </c>
      <c r="K593" s="819">
        <f>ROUND(IF(G593=1,F593/23,IF(G593=3,F593/12,IF(G593=6,F593,IF(G593=7,F593-I593,0)))),0)</f>
        <v>0</v>
      </c>
      <c r="L593" s="820">
        <f>IF(G593=6,F593,0)</f>
        <v>0</v>
      </c>
      <c r="P593" s="768" t="n"/>
      <c r="Q593" s="769" t="str">
        <f>IF($F593="","",IFERROR(VLOOKUP($C593&amp;"|"&amp;$D593,科目表!$A$5:$B$200,2,FALSE),"※未登録"))</f>
        <v/>
      </c>
      <c r="R593" s="769" t="str">
        <f>IF($F593="","",$I593+$J593+$K593)</f>
        <v/>
      </c>
      <c r="S593" s="769" t="str">
        <f>IF(OR($F593="",$P593="支払なし",$H593=0,$Q593=""),"",$Q593&amp;"|S|"&amp;(COUNTIF(S$4:S592,$Q593&amp;"|S|*")+1))</f>
        <v/>
      </c>
      <c r="T593" s="769" t="str">
        <f>IF(OR($F593="",$P593="支払なし",$R593=0,$Q593=""),"",$Q593&amp;"|L|"&amp;(COUNTIF(T$4:T592,$Q593&amp;"|L|*")+1))</f>
        <v/>
      </c>
      <c r="U593" s="769" t="str">
        <f>IF($F593="","",13)</f>
        <v/>
      </c>
    </row>
    <row r="594" ht="16.5" customHeight="1" s="186">
      <c r="A594" s="760" t="n"/>
      <c r="B594" s="760" t="n"/>
      <c r="C594" s="762" t="n"/>
      <c r="D594" s="762" t="n"/>
      <c r="E594" s="775" t="n"/>
      <c r="F594" s="821" t="n"/>
      <c r="G594" s="821" t="n"/>
      <c r="H594" s="818">
        <f>IF(G594=1,F594-I594-J594-K594,IF(G594=2,F594,0))</f>
        <v>0</v>
      </c>
      <c r="I594" s="818">
        <f>ROUND(IF(G594=1,F594*10/23,IF(G594=3,F594-J594-K594,IF(G594=4,F594,IF(G594=5,F594*10/11,IF(G594=7,F594*10/11,0))))),0)</f>
        <v>0</v>
      </c>
      <c r="J594" s="818">
        <f>ROUND(IF(G594=1,F594/23,IF(G594=3,F594/12,IF(G594=5,F594-I594,IF(G594=8,F594,0)))),0)</f>
        <v>0</v>
      </c>
      <c r="K594" s="819">
        <f>ROUND(IF(G594=1,F594/23,IF(G594=3,F594/12,IF(G594=6,F594,IF(G594=7,F594-I594,0)))),0)</f>
        <v>0</v>
      </c>
      <c r="L594" s="820">
        <f>IF(G594=6,F594,0)</f>
        <v>0</v>
      </c>
      <c r="P594" s="768" t="n"/>
      <c r="Q594" s="769" t="str">
        <f>IF($F594="","",IFERROR(VLOOKUP($C594&amp;"|"&amp;$D594,科目表!$A$5:$B$200,2,FALSE),"※未登録"))</f>
        <v/>
      </c>
      <c r="R594" s="769" t="str">
        <f>IF($F594="","",$I594+$J594+$K594)</f>
        <v/>
      </c>
      <c r="S594" s="769" t="str">
        <f>IF(OR($F594="",$P594="支払なし",$H594=0,$Q594=""),"",$Q594&amp;"|S|"&amp;(COUNTIF(S$4:S593,$Q594&amp;"|S|*")+1))</f>
        <v/>
      </c>
      <c r="T594" s="769" t="str">
        <f>IF(OR($F594="",$P594="支払なし",$R594=0,$Q594=""),"",$Q594&amp;"|L|"&amp;(COUNTIF(T$4:T593,$Q594&amp;"|L|*")+1))</f>
        <v/>
      </c>
      <c r="U594" s="769" t="str">
        <f>IF($F594="","",13)</f>
        <v/>
      </c>
    </row>
    <row r="595" ht="16.5" customHeight="1" s="186">
      <c r="A595" s="760" t="n"/>
      <c r="B595" s="760" t="n"/>
      <c r="C595" s="762" t="n"/>
      <c r="D595" s="762" t="n"/>
      <c r="E595" s="775" t="n"/>
      <c r="F595" s="821" t="n"/>
      <c r="G595" s="821" t="n"/>
      <c r="H595" s="818">
        <f>IF(G595=1,F595-I595-J595-K595,IF(G595=2,F595,0))</f>
        <v>0</v>
      </c>
      <c r="I595" s="818">
        <f>ROUND(IF(G595=1,F595*10/23,IF(G595=3,F595-J595-K595,IF(G595=4,F595,IF(G595=5,F595*10/11,IF(G595=7,F595*10/11,0))))),0)</f>
        <v>0</v>
      </c>
      <c r="J595" s="818">
        <f>ROUND(IF(G595=1,F595/23,IF(G595=3,F595/12,IF(G595=5,F595-I595,IF(G595=8,F595,0)))),0)</f>
        <v>0</v>
      </c>
      <c r="K595" s="819">
        <f>ROUND(IF(G595=1,F595/23,IF(G595=3,F595/12,IF(G595=6,F595,IF(G595=7,F595-I595,0)))),0)</f>
        <v>0</v>
      </c>
      <c r="L595" s="820">
        <f>IF(G595=6,F595,0)</f>
        <v>0</v>
      </c>
      <c r="P595" s="768" t="n"/>
      <c r="Q595" s="769" t="str">
        <f>IF($F595="","",IFERROR(VLOOKUP($C595&amp;"|"&amp;$D595,科目表!$A$5:$B$200,2,FALSE),"※未登録"))</f>
        <v/>
      </c>
      <c r="R595" s="769" t="str">
        <f>IF($F595="","",$I595+$J595+$K595)</f>
        <v/>
      </c>
      <c r="S595" s="769" t="str">
        <f>IF(OR($F595="",$P595="支払なし",$H595=0,$Q595=""),"",$Q595&amp;"|S|"&amp;(COUNTIF(S$4:S594,$Q595&amp;"|S|*")+1))</f>
        <v/>
      </c>
      <c r="T595" s="769" t="str">
        <f>IF(OR($F595="",$P595="支払なし",$R595=0,$Q595=""),"",$Q595&amp;"|L|"&amp;(COUNTIF(T$4:T594,$Q595&amp;"|L|*")+1))</f>
        <v/>
      </c>
      <c r="U595" s="769" t="str">
        <f>IF($F595="","",13)</f>
        <v/>
      </c>
    </row>
    <row r="596" ht="16.5" customHeight="1" s="186">
      <c r="A596" s="760" t="n"/>
      <c r="B596" s="760" t="n"/>
      <c r="C596" s="762" t="n"/>
      <c r="D596" s="762" t="n"/>
      <c r="E596" s="775" t="n"/>
      <c r="F596" s="821" t="n"/>
      <c r="G596" s="821" t="n"/>
      <c r="H596" s="818">
        <f>IF(G596=1,F596-I596-J596-K596,IF(G596=2,F596,0))</f>
        <v>0</v>
      </c>
      <c r="I596" s="818">
        <f>ROUND(IF(G596=1,F596*10/23,IF(G596=3,F596-J596-K596,IF(G596=4,F596,IF(G596=5,F596*10/11,IF(G596=7,F596*10/11,0))))),0)</f>
        <v>0</v>
      </c>
      <c r="J596" s="818">
        <f>ROUND(IF(G596=1,F596/23,IF(G596=3,F596/12,IF(G596=5,F596-I596,IF(G596=8,F596,0)))),0)</f>
        <v>0</v>
      </c>
      <c r="K596" s="819">
        <f>ROUND(IF(G596=1,F596/23,IF(G596=3,F596/12,IF(G596=6,F596,IF(G596=7,F596-I596,0)))),0)</f>
        <v>0</v>
      </c>
      <c r="L596" s="820">
        <f>IF(G596=6,F596,0)</f>
        <v>0</v>
      </c>
      <c r="P596" s="768" t="n"/>
      <c r="Q596" s="769" t="str">
        <f>IF($F596="","",IFERROR(VLOOKUP($C596&amp;"|"&amp;$D596,科目表!$A$5:$B$200,2,FALSE),"※未登録"))</f>
        <v/>
      </c>
      <c r="R596" s="769" t="str">
        <f>IF($F596="","",$I596+$J596+$K596)</f>
        <v/>
      </c>
      <c r="S596" s="769" t="str">
        <f>IF(OR($F596="",$P596="支払なし",$H596=0,$Q596=""),"",$Q596&amp;"|S|"&amp;(COUNTIF(S$4:S595,$Q596&amp;"|S|*")+1))</f>
        <v/>
      </c>
      <c r="T596" s="769" t="str">
        <f>IF(OR($F596="",$P596="支払なし",$R596=0,$Q596=""),"",$Q596&amp;"|L|"&amp;(COUNTIF(T$4:T595,$Q596&amp;"|L|*")+1))</f>
        <v/>
      </c>
      <c r="U596" s="769" t="str">
        <f>IF($F596="","",13)</f>
        <v/>
      </c>
    </row>
    <row r="597" ht="16.5" customHeight="1" s="186">
      <c r="A597" s="760" t="n"/>
      <c r="B597" s="760" t="n"/>
      <c r="C597" s="762" t="n"/>
      <c r="D597" s="762" t="n"/>
      <c r="E597" s="775" t="n"/>
      <c r="F597" s="821" t="n"/>
      <c r="G597" s="821" t="n"/>
      <c r="H597" s="818">
        <f>IF(G597=1,F597-I597-J597-K597,IF(G597=2,F597,0))</f>
        <v>0</v>
      </c>
      <c r="I597" s="818">
        <f>ROUND(IF(G597=1,F597*10/23,IF(G597=3,F597-J597-K597,IF(G597=4,F597,IF(G597=5,F597*10/11,IF(G597=7,F597*10/11,0))))),0)</f>
        <v>0</v>
      </c>
      <c r="J597" s="818">
        <f>ROUND(IF(G597=1,F597/23,IF(G597=3,F597/12,IF(G597=5,F597-I597,IF(G597=8,F597,0)))),0)</f>
        <v>0</v>
      </c>
      <c r="K597" s="819">
        <f>ROUND(IF(G597=1,F597/23,IF(G597=3,F597/12,IF(G597=6,F597,IF(G597=7,F597-I597,0)))),0)</f>
        <v>0</v>
      </c>
      <c r="L597" s="820">
        <f>IF(G597=6,F597,0)</f>
        <v>0</v>
      </c>
      <c r="P597" s="768" t="n"/>
      <c r="Q597" s="769" t="str">
        <f>IF($F597="","",IFERROR(VLOOKUP($C597&amp;"|"&amp;$D597,科目表!$A$5:$B$200,2,FALSE),"※未登録"))</f>
        <v/>
      </c>
      <c r="R597" s="769" t="str">
        <f>IF($F597="","",$I597+$J597+$K597)</f>
        <v/>
      </c>
      <c r="S597" s="769" t="str">
        <f>IF(OR($F597="",$P597="支払なし",$H597=0,$Q597=""),"",$Q597&amp;"|S|"&amp;(COUNTIF(S$4:S596,$Q597&amp;"|S|*")+1))</f>
        <v/>
      </c>
      <c r="T597" s="769" t="str">
        <f>IF(OR($F597="",$P597="支払なし",$R597=0,$Q597=""),"",$Q597&amp;"|L|"&amp;(COUNTIF(T$4:T596,$Q597&amp;"|L|*")+1))</f>
        <v/>
      </c>
      <c r="U597" s="769" t="str">
        <f>IF($F597="","",13)</f>
        <v/>
      </c>
    </row>
    <row r="598" ht="16.5" customHeight="1" s="186">
      <c r="A598" s="760" t="n"/>
      <c r="B598" s="760" t="n"/>
      <c r="C598" s="762" t="n"/>
      <c r="D598" s="762" t="n"/>
      <c r="E598" s="775" t="n"/>
      <c r="F598" s="821" t="n"/>
      <c r="G598" s="821" t="n"/>
      <c r="H598" s="818">
        <f>IF(G598=1,F598-I598-J598-K598,IF(G598=2,F598,0))</f>
        <v>0</v>
      </c>
      <c r="I598" s="818">
        <f>ROUND(IF(G598=1,F598*10/23,IF(G598=3,F598-J598-K598,IF(G598=4,F598,IF(G598=5,F598*10/11,IF(G598=7,F598*10/11,0))))),0)</f>
        <v>0</v>
      </c>
      <c r="J598" s="818">
        <f>ROUND(IF(G598=1,F598/23,IF(G598=3,F598/12,IF(G598=5,F598-I598,IF(G598=8,F598,0)))),0)</f>
        <v>0</v>
      </c>
      <c r="K598" s="819">
        <f>ROUND(IF(G598=1,F598/23,IF(G598=3,F598/12,IF(G598=6,F598,IF(G598=7,F598-I598,0)))),0)</f>
        <v>0</v>
      </c>
      <c r="L598" s="820">
        <f>IF(G598=6,F598,0)</f>
        <v>0</v>
      </c>
      <c r="P598" s="768" t="n"/>
      <c r="Q598" s="769" t="str">
        <f>IF($F598="","",IFERROR(VLOOKUP($C598&amp;"|"&amp;$D598,科目表!$A$5:$B$200,2,FALSE),"※未登録"))</f>
        <v/>
      </c>
      <c r="R598" s="769" t="str">
        <f>IF($F598="","",$I598+$J598+$K598)</f>
        <v/>
      </c>
      <c r="S598" s="769" t="str">
        <f>IF(OR($F598="",$P598="支払なし",$H598=0,$Q598=""),"",$Q598&amp;"|S|"&amp;(COUNTIF(S$4:S597,$Q598&amp;"|S|*")+1))</f>
        <v/>
      </c>
      <c r="T598" s="769" t="str">
        <f>IF(OR($F598="",$P598="支払なし",$R598=0,$Q598=""),"",$Q598&amp;"|L|"&amp;(COUNTIF(T$4:T597,$Q598&amp;"|L|*")+1))</f>
        <v/>
      </c>
      <c r="U598" s="769" t="str">
        <f>IF($F598="","",13)</f>
        <v/>
      </c>
    </row>
    <row r="599" ht="16.5" customHeight="1" s="186">
      <c r="A599" s="760" t="n"/>
      <c r="B599" s="760" t="n"/>
      <c r="C599" s="762" t="n"/>
      <c r="D599" s="762" t="n"/>
      <c r="E599" s="775" t="n"/>
      <c r="F599" s="821" t="n"/>
      <c r="G599" s="821" t="n"/>
      <c r="H599" s="818">
        <f>IF(G599=1,F599-I599-J599-K599,IF(G599=2,F599,0))</f>
        <v>0</v>
      </c>
      <c r="I599" s="818">
        <f>ROUND(IF(G599=1,F599*10/23,IF(G599=3,F599-J599-K599,IF(G599=4,F599,IF(G599=5,F599*10/11,IF(G599=7,F599*10/11,0))))),0)</f>
        <v>0</v>
      </c>
      <c r="J599" s="818">
        <f>ROUND(IF(G599=1,F599/23,IF(G599=3,F599/12,IF(G599=5,F599-I599,IF(G599=8,F599,0)))),0)</f>
        <v>0</v>
      </c>
      <c r="K599" s="819">
        <f>ROUND(IF(G599=1,F599/23,IF(G599=3,F599/12,IF(G599=6,F599,IF(G599=7,F599-I599,0)))),0)</f>
        <v>0</v>
      </c>
      <c r="L599" s="820">
        <f>IF(G599=6,F599,0)</f>
        <v>0</v>
      </c>
      <c r="P599" s="768" t="n"/>
      <c r="Q599" s="769" t="str">
        <f>IF($F599="","",IFERROR(VLOOKUP($C599&amp;"|"&amp;$D599,科目表!$A$5:$B$200,2,FALSE),"※未登録"))</f>
        <v/>
      </c>
      <c r="R599" s="769" t="str">
        <f>IF($F599="","",$I599+$J599+$K599)</f>
        <v/>
      </c>
      <c r="S599" s="769" t="str">
        <f>IF(OR($F599="",$P599="支払なし",$H599=0,$Q599=""),"",$Q599&amp;"|S|"&amp;(COUNTIF(S$4:S598,$Q599&amp;"|S|*")+1))</f>
        <v/>
      </c>
      <c r="T599" s="769" t="str">
        <f>IF(OR($F599="",$P599="支払なし",$R599=0,$Q599=""),"",$Q599&amp;"|L|"&amp;(COUNTIF(T$4:T598,$Q599&amp;"|L|*")+1))</f>
        <v/>
      </c>
      <c r="U599" s="769" t="str">
        <f>IF($F599="","",13)</f>
        <v/>
      </c>
    </row>
    <row r="600" ht="16.5" customHeight="1" s="186">
      <c r="A600" s="760" t="n"/>
      <c r="B600" s="760" t="n"/>
      <c r="C600" s="762" t="n"/>
      <c r="D600" s="762" t="n"/>
      <c r="E600" s="775" t="n"/>
      <c r="F600" s="821" t="n"/>
      <c r="G600" s="821" t="n"/>
      <c r="H600" s="818">
        <f>IF(G600=1,F600-I600-J600-K600,IF(G600=2,F600,0))</f>
        <v>0</v>
      </c>
      <c r="I600" s="818">
        <f>ROUND(IF(G600=1,F600*10/23,IF(G600=3,F600-J600-K600,IF(G600=4,F600,IF(G600=5,F600*10/11,IF(G600=7,F600*10/11,0))))),0)</f>
        <v>0</v>
      </c>
      <c r="J600" s="818">
        <f>ROUND(IF(G600=1,F600/23,IF(G600=3,F600/12,IF(G600=5,F600-I600,IF(G600=8,F600,0)))),0)</f>
        <v>0</v>
      </c>
      <c r="K600" s="819">
        <f>ROUND(IF(G600=1,F600/23,IF(G600=3,F600/12,IF(G600=6,F600,IF(G600=7,F600-I600,0)))),0)</f>
        <v>0</v>
      </c>
      <c r="L600" s="820">
        <f>IF(G600=6,F600,0)</f>
        <v>0</v>
      </c>
      <c r="P600" s="768" t="n"/>
      <c r="Q600" s="769" t="str">
        <f>IF($F600="","",IFERROR(VLOOKUP($C600&amp;"|"&amp;$D600,科目表!$A$5:$B$200,2,FALSE),"※未登録"))</f>
        <v/>
      </c>
      <c r="R600" s="769" t="str">
        <f>IF($F600="","",$I600+$J600+$K600)</f>
        <v/>
      </c>
      <c r="S600" s="769" t="str">
        <f>IF(OR($F600="",$P600="支払なし",$H600=0,$Q600=""),"",$Q600&amp;"|S|"&amp;(COUNTIF(S$4:S599,$Q600&amp;"|S|*")+1))</f>
        <v/>
      </c>
      <c r="T600" s="769" t="str">
        <f>IF(OR($F600="",$P600="支払なし",$R600=0,$Q600=""),"",$Q600&amp;"|L|"&amp;(COUNTIF(T$4:T599,$Q600&amp;"|L|*")+1))</f>
        <v/>
      </c>
      <c r="U600" s="769" t="str">
        <f>IF($F600="","",13)</f>
        <v/>
      </c>
    </row>
    <row r="601" ht="16.5" customHeight="1" s="186">
      <c r="A601" s="760" t="n"/>
      <c r="B601" s="760" t="n"/>
      <c r="C601" s="762" t="n"/>
      <c r="D601" s="762" t="n"/>
      <c r="E601" s="775" t="n"/>
      <c r="F601" s="821" t="n"/>
      <c r="G601" s="821" t="n"/>
      <c r="H601" s="818">
        <f>IF(G601=1,F601-I601-J601-K601,IF(G601=2,F601,0))</f>
        <v>0</v>
      </c>
      <c r="I601" s="818">
        <f>ROUND(IF(G601=1,F601*10/23,IF(G601=3,F601-J601-K601,IF(G601=4,F601,IF(G601=5,F601*10/11,IF(G601=7,F601*10/11,0))))),0)</f>
        <v>0</v>
      </c>
      <c r="J601" s="818">
        <f>ROUND(IF(G601=1,F601/23,IF(G601=3,F601/12,IF(G601=5,F601-I601,IF(G601=8,F601,0)))),0)</f>
        <v>0</v>
      </c>
      <c r="K601" s="819">
        <f>ROUND(IF(G601=1,F601/23,IF(G601=3,F601/12,IF(G601=6,F601,IF(G601=7,F601-I601,0)))),0)</f>
        <v>0</v>
      </c>
      <c r="L601" s="820">
        <f>IF(G601=6,F601,0)</f>
        <v>0</v>
      </c>
      <c r="P601" s="768" t="n"/>
      <c r="Q601" s="769" t="str">
        <f>IF($F601="","",IFERROR(VLOOKUP($C601&amp;"|"&amp;$D601,科目表!$A$5:$B$200,2,FALSE),"※未登録"))</f>
        <v/>
      </c>
      <c r="R601" s="769" t="str">
        <f>IF($F601="","",$I601+$J601+$K601)</f>
        <v/>
      </c>
      <c r="S601" s="769" t="str">
        <f>IF(OR($F601="",$P601="支払なし",$H601=0,$Q601=""),"",$Q601&amp;"|S|"&amp;(COUNTIF(S$4:S600,$Q601&amp;"|S|*")+1))</f>
        <v/>
      </c>
      <c r="T601" s="769" t="str">
        <f>IF(OR($F601="",$P601="支払なし",$R601=0,$Q601=""),"",$Q601&amp;"|L|"&amp;(COUNTIF(T$4:T600,$Q601&amp;"|L|*")+1))</f>
        <v/>
      </c>
      <c r="U601" s="769" t="str">
        <f>IF($F601="","",13)</f>
        <v/>
      </c>
    </row>
    <row r="602" ht="16.5" customHeight="1" s="186">
      <c r="A602" s="760" t="n"/>
      <c r="B602" s="760" t="n"/>
      <c r="C602" s="762" t="n"/>
      <c r="D602" s="762" t="n"/>
      <c r="E602" s="775" t="n"/>
      <c r="F602" s="821" t="n"/>
      <c r="G602" s="821" t="n"/>
      <c r="H602" s="818">
        <f>IF(G602=1,F602-I602-J602-K602,IF(G602=2,F602,0))</f>
        <v>0</v>
      </c>
      <c r="I602" s="818">
        <f>ROUND(IF(G602=1,F602*10/23,IF(G602=3,F602-J602-K602,IF(G602=4,F602,IF(G602=5,F602*10/11,IF(G602=7,F602*10/11,0))))),0)</f>
        <v>0</v>
      </c>
      <c r="J602" s="818">
        <f>ROUND(IF(G602=1,F602/23,IF(G602=3,F602/12,IF(G602=5,F602-I602,IF(G602=8,F602,0)))),0)</f>
        <v>0</v>
      </c>
      <c r="K602" s="819">
        <f>ROUND(IF(G602=1,F602/23,IF(G602=3,F602/12,IF(G602=6,F602,IF(G602=7,F602-I602,0)))),0)</f>
        <v>0</v>
      </c>
      <c r="L602" s="820">
        <f>IF(G602=6,F602,0)</f>
        <v>0</v>
      </c>
      <c r="P602" s="768" t="n"/>
      <c r="Q602" s="769" t="str">
        <f>IF($F602="","",IFERROR(VLOOKUP($C602&amp;"|"&amp;$D602,科目表!$A$5:$B$200,2,FALSE),"※未登録"))</f>
        <v/>
      </c>
      <c r="R602" s="769" t="str">
        <f>IF($F602="","",$I602+$J602+$K602)</f>
        <v/>
      </c>
      <c r="S602" s="769" t="str">
        <f>IF(OR($F602="",$P602="支払なし",$H602=0,$Q602=""),"",$Q602&amp;"|S|"&amp;(COUNTIF(S$4:S601,$Q602&amp;"|S|*")+1))</f>
        <v/>
      </c>
      <c r="T602" s="769" t="str">
        <f>IF(OR($F602="",$P602="支払なし",$R602=0,$Q602=""),"",$Q602&amp;"|L|"&amp;(COUNTIF(T$4:T601,$Q602&amp;"|L|*")+1))</f>
        <v/>
      </c>
      <c r="U602" s="769" t="str">
        <f>IF($F602="","",13)</f>
        <v/>
      </c>
    </row>
    <row r="603" ht="16.5" customHeight="1" s="186">
      <c r="A603" s="760" t="n"/>
      <c r="B603" s="760" t="n"/>
      <c r="C603" s="762" t="n"/>
      <c r="D603" s="762" t="n"/>
      <c r="E603" s="775" t="n"/>
      <c r="F603" s="821" t="n"/>
      <c r="G603" s="821" t="n"/>
      <c r="H603" s="818">
        <f>IF(G603=1,F603-I603-J603-K603,IF(G603=2,F603,0))</f>
        <v>0</v>
      </c>
      <c r="I603" s="818">
        <f>ROUND(IF(G603=1,F603*10/23,IF(G603=3,F603-J603-K603,IF(G603=4,F603,IF(G603=5,F603*10/11,IF(G603=7,F603*10/11,0))))),0)</f>
        <v>0</v>
      </c>
      <c r="J603" s="818">
        <f>ROUND(IF(G603=1,F603/23,IF(G603=3,F603/12,IF(G603=5,F603-I603,IF(G603=8,F603,0)))),0)</f>
        <v>0</v>
      </c>
      <c r="K603" s="819">
        <f>ROUND(IF(G603=1,F603/23,IF(G603=3,F603/12,IF(G603=6,F603,IF(G603=7,F603-I603,0)))),0)</f>
        <v>0</v>
      </c>
      <c r="L603" s="820">
        <f>IF(G603=6,F603,0)</f>
        <v>0</v>
      </c>
      <c r="P603" s="768" t="n"/>
      <c r="Q603" s="769" t="str">
        <f>IF($F603="","",IFERROR(VLOOKUP($C603&amp;"|"&amp;$D603,科目表!$A$5:$B$200,2,FALSE),"※未登録"))</f>
        <v/>
      </c>
      <c r="R603" s="769" t="str">
        <f>IF($F603="","",$I603+$J603+$K603)</f>
        <v/>
      </c>
      <c r="S603" s="769" t="str">
        <f>IF(OR($F603="",$P603="支払なし",$H603=0,$Q603=""),"",$Q603&amp;"|S|"&amp;(COUNTIF(S$4:S602,$Q603&amp;"|S|*")+1))</f>
        <v/>
      </c>
      <c r="T603" s="769" t="str">
        <f>IF(OR($F603="",$P603="支払なし",$R603=0,$Q603=""),"",$Q603&amp;"|L|"&amp;(COUNTIF(T$4:T602,$Q603&amp;"|L|*")+1))</f>
        <v/>
      </c>
      <c r="U603" s="769" t="str">
        <f>IF($F603="","",13)</f>
        <v/>
      </c>
    </row>
    <row r="604" ht="16.5" customHeight="1" s="186">
      <c r="A604" s="760" t="n"/>
      <c r="B604" s="760" t="n"/>
      <c r="C604" s="762" t="n"/>
      <c r="D604" s="762" t="n"/>
      <c r="E604" s="775" t="n"/>
      <c r="F604" s="821" t="n"/>
      <c r="G604" s="821" t="n"/>
      <c r="H604" s="818">
        <f>IF(G604=1,F604-I604-J604-K604,IF(G604=2,F604,0))</f>
        <v>0</v>
      </c>
      <c r="I604" s="818">
        <f>ROUND(IF(G604=1,F604*10/23,IF(G604=3,F604-J604-K604,IF(G604=4,F604,IF(G604=5,F604*10/11,IF(G604=7,F604*10/11,0))))),0)</f>
        <v>0</v>
      </c>
      <c r="J604" s="818">
        <f>ROUND(IF(G604=1,F604/23,IF(G604=3,F604/12,IF(G604=5,F604-I604,IF(G604=8,F604,0)))),0)</f>
        <v>0</v>
      </c>
      <c r="K604" s="819">
        <f>ROUND(IF(G604=1,F604/23,IF(G604=3,F604/12,IF(G604=6,F604,IF(G604=7,F604-I604,0)))),0)</f>
        <v>0</v>
      </c>
      <c r="L604" s="820">
        <f>IF(G604=6,F604,0)</f>
        <v>0</v>
      </c>
      <c r="P604" s="768" t="n"/>
      <c r="Q604" s="769" t="str">
        <f>IF($F604="","",IFERROR(VLOOKUP($C604&amp;"|"&amp;$D604,科目表!$A$5:$B$200,2,FALSE),"※未登録"))</f>
        <v/>
      </c>
      <c r="R604" s="769" t="str">
        <f>IF($F604="","",$I604+$J604+$K604)</f>
        <v/>
      </c>
      <c r="S604" s="769" t="str">
        <f>IF(OR($F604="",$P604="支払なし",$H604=0,$Q604=""),"",$Q604&amp;"|S|"&amp;(COUNTIF(S$4:S603,$Q604&amp;"|S|*")+1))</f>
        <v/>
      </c>
      <c r="T604" s="769" t="str">
        <f>IF(OR($F604="",$P604="支払なし",$R604=0,$Q604=""),"",$Q604&amp;"|L|"&amp;(COUNTIF(T$4:T603,$Q604&amp;"|L|*")+1))</f>
        <v/>
      </c>
      <c r="U604" s="769" t="str">
        <f>IF($F604="","",13)</f>
        <v/>
      </c>
    </row>
    <row r="605" ht="16.5" customHeight="1" s="186">
      <c r="A605" s="760" t="n"/>
      <c r="B605" s="760" t="n"/>
      <c r="C605" s="762" t="n"/>
      <c r="D605" s="762" t="n"/>
      <c r="E605" s="775" t="n"/>
      <c r="F605" s="821" t="n"/>
      <c r="G605" s="821" t="n"/>
      <c r="H605" s="818">
        <f>IF(G605=1,F605-I605-J605-K605,IF(G605=2,F605,0))</f>
        <v>0</v>
      </c>
      <c r="I605" s="818">
        <f>ROUND(IF(G605=1,F605*10/23,IF(G605=3,F605-J605-K605,IF(G605=4,F605,IF(G605=5,F605*10/11,IF(G605=7,F605*10/11,0))))),0)</f>
        <v>0</v>
      </c>
      <c r="J605" s="818">
        <f>ROUND(IF(G605=1,F605/23,IF(G605=3,F605/12,IF(G605=5,F605-I605,IF(G605=8,F605,0)))),0)</f>
        <v>0</v>
      </c>
      <c r="K605" s="819">
        <f>ROUND(IF(G605=1,F605/23,IF(G605=3,F605/12,IF(G605=6,F605,IF(G605=7,F605-I605,0)))),0)</f>
        <v>0</v>
      </c>
      <c r="L605" s="820">
        <f>IF(G605=6,F605,0)</f>
        <v>0</v>
      </c>
      <c r="P605" s="768" t="n"/>
      <c r="Q605" s="769" t="str">
        <f>IF($F605="","",IFERROR(VLOOKUP($C605&amp;"|"&amp;$D605,科目表!$A$5:$B$200,2,FALSE),"※未登録"))</f>
        <v/>
      </c>
      <c r="R605" s="769" t="str">
        <f>IF($F605="","",$I605+$J605+$K605)</f>
        <v/>
      </c>
      <c r="S605" s="769" t="str">
        <f>IF(OR($F605="",$P605="支払なし",$H605=0,$Q605=""),"",$Q605&amp;"|S|"&amp;(COUNTIF(S$4:S604,$Q605&amp;"|S|*")+1))</f>
        <v/>
      </c>
      <c r="T605" s="769" t="str">
        <f>IF(OR($F605="",$P605="支払なし",$R605=0,$Q605=""),"",$Q605&amp;"|L|"&amp;(COUNTIF(T$4:T604,$Q605&amp;"|L|*")+1))</f>
        <v/>
      </c>
      <c r="U605" s="769" t="str">
        <f>IF($F605="","",13)</f>
        <v/>
      </c>
    </row>
    <row r="606" ht="16.5" customHeight="1" s="186">
      <c r="A606" s="760" t="n"/>
      <c r="B606" s="760" t="n"/>
      <c r="C606" s="762" t="n"/>
      <c r="D606" s="762" t="n"/>
      <c r="E606" s="775" t="n"/>
      <c r="F606" s="821" t="n"/>
      <c r="G606" s="821" t="n"/>
      <c r="H606" s="818">
        <f>IF(G606=1,F606-I606-J606-K606,IF(G606=2,F606,0))</f>
        <v>0</v>
      </c>
      <c r="I606" s="818">
        <f>ROUND(IF(G606=1,F606*10/23,IF(G606=3,F606-J606-K606,IF(G606=4,F606,IF(G606=5,F606*10/11,IF(G606=7,F606*10/11,0))))),0)</f>
        <v>0</v>
      </c>
      <c r="J606" s="818">
        <f>ROUND(IF(G606=1,F606/23,IF(G606=3,F606/12,IF(G606=5,F606-I606,IF(G606=8,F606,0)))),0)</f>
        <v>0</v>
      </c>
      <c r="K606" s="819">
        <f>ROUND(IF(G606=1,F606/23,IF(G606=3,F606/12,IF(G606=6,F606,IF(G606=7,F606-I606,0)))),0)</f>
        <v>0</v>
      </c>
      <c r="L606" s="820">
        <f>IF(G606=6,F606,0)</f>
        <v>0</v>
      </c>
      <c r="P606" s="768" t="n"/>
      <c r="Q606" s="769" t="str">
        <f>IF($F606="","",IFERROR(VLOOKUP($C606&amp;"|"&amp;$D606,科目表!$A$5:$B$200,2,FALSE),"※未登録"))</f>
        <v/>
      </c>
      <c r="R606" s="769" t="str">
        <f>IF($F606="","",$I606+$J606+$K606)</f>
        <v/>
      </c>
      <c r="S606" s="769" t="str">
        <f>IF(OR($F606="",$P606="支払なし",$H606=0,$Q606=""),"",$Q606&amp;"|S|"&amp;(COUNTIF(S$4:S605,$Q606&amp;"|S|*")+1))</f>
        <v/>
      </c>
      <c r="T606" s="769" t="str">
        <f>IF(OR($F606="",$P606="支払なし",$R606=0,$Q606=""),"",$Q606&amp;"|L|"&amp;(COUNTIF(T$4:T605,$Q606&amp;"|L|*")+1))</f>
        <v/>
      </c>
      <c r="U606" s="769" t="str">
        <f>IF($F606="","",13)</f>
        <v/>
      </c>
    </row>
    <row r="607" ht="16.5" customHeight="1" s="186">
      <c r="A607" s="760" t="n"/>
      <c r="B607" s="760" t="n"/>
      <c r="C607" s="762" t="n"/>
      <c r="D607" s="762" t="n"/>
      <c r="E607" s="775" t="n"/>
      <c r="F607" s="821" t="n"/>
      <c r="G607" s="821" t="n"/>
      <c r="H607" s="818">
        <f>IF(G607=1,F607-I607-J607-K607,IF(G607=2,F607,0))</f>
        <v>0</v>
      </c>
      <c r="I607" s="818">
        <f>ROUND(IF(G607=1,F607*10/23,IF(G607=3,F607-J607-K607,IF(G607=4,F607,IF(G607=5,F607*10/11,IF(G607=7,F607*10/11,0))))),0)</f>
        <v>0</v>
      </c>
      <c r="J607" s="818">
        <f>ROUND(IF(G607=1,F607/23,IF(G607=3,F607/12,IF(G607=5,F607-I607,IF(G607=8,F607,0)))),0)</f>
        <v>0</v>
      </c>
      <c r="K607" s="819">
        <f>ROUND(IF(G607=1,F607/23,IF(G607=3,F607/12,IF(G607=6,F607,IF(G607=7,F607-I607,0)))),0)</f>
        <v>0</v>
      </c>
      <c r="L607" s="820">
        <f>IF(G607=6,F607,0)</f>
        <v>0</v>
      </c>
      <c r="P607" s="768" t="n"/>
      <c r="Q607" s="769" t="str">
        <f>IF($F607="","",IFERROR(VLOOKUP($C607&amp;"|"&amp;$D607,科目表!$A$5:$B$200,2,FALSE),"※未登録"))</f>
        <v/>
      </c>
      <c r="R607" s="769" t="str">
        <f>IF($F607="","",$I607+$J607+$K607)</f>
        <v/>
      </c>
      <c r="S607" s="769" t="str">
        <f>IF(OR($F607="",$P607="支払なし",$H607=0,$Q607=""),"",$Q607&amp;"|S|"&amp;(COUNTIF(S$4:S606,$Q607&amp;"|S|*")+1))</f>
        <v/>
      </c>
      <c r="T607" s="769" t="str">
        <f>IF(OR($F607="",$P607="支払なし",$R607=0,$Q607=""),"",$Q607&amp;"|L|"&amp;(COUNTIF(T$4:T606,$Q607&amp;"|L|*")+1))</f>
        <v/>
      </c>
      <c r="U607" s="769" t="str">
        <f>IF($F607="","",13)</f>
        <v/>
      </c>
    </row>
    <row r="608" ht="16.5" customHeight="1" s="186">
      <c r="A608" s="760" t="n"/>
      <c r="B608" s="760" t="n"/>
      <c r="C608" s="762" t="n"/>
      <c r="D608" s="762" t="n"/>
      <c r="E608" s="775" t="n"/>
      <c r="F608" s="821" t="n"/>
      <c r="G608" s="821" t="n"/>
      <c r="H608" s="818">
        <f>IF(G608=1,F608-I608-J608-K608,IF(G608=2,F608,0))</f>
        <v>0</v>
      </c>
      <c r="I608" s="818">
        <f>ROUND(IF(G608=1,F608*10/23,IF(G608=3,F608-J608-K608,IF(G608=4,F608,IF(G608=5,F608*10/11,IF(G608=7,F608*10/11,0))))),0)</f>
        <v>0</v>
      </c>
      <c r="J608" s="818">
        <f>ROUND(IF(G608=1,F608/23,IF(G608=3,F608/12,IF(G608=5,F608-I608,IF(G608=8,F608,0)))),0)</f>
        <v>0</v>
      </c>
      <c r="K608" s="819">
        <f>ROUND(IF(G608=1,F608/23,IF(G608=3,F608/12,IF(G608=6,F608,IF(G608=7,F608-I608,0)))),0)</f>
        <v>0</v>
      </c>
      <c r="L608" s="820">
        <f>IF(G608=6,F608,0)</f>
        <v>0</v>
      </c>
      <c r="P608" s="768" t="n"/>
      <c r="Q608" s="769" t="str">
        <f>IF($F608="","",IFERROR(VLOOKUP($C608&amp;"|"&amp;$D608,科目表!$A$5:$B$200,2,FALSE),"※未登録"))</f>
        <v/>
      </c>
      <c r="R608" s="769" t="str">
        <f>IF($F608="","",$I608+$J608+$K608)</f>
        <v/>
      </c>
      <c r="S608" s="769" t="str">
        <f>IF(OR($F608="",$P608="支払なし",$H608=0,$Q608=""),"",$Q608&amp;"|S|"&amp;(COUNTIF(S$4:S607,$Q608&amp;"|S|*")+1))</f>
        <v/>
      </c>
      <c r="T608" s="769" t="str">
        <f>IF(OR($F608="",$P608="支払なし",$R608=0,$Q608=""),"",$Q608&amp;"|L|"&amp;(COUNTIF(T$4:T607,$Q608&amp;"|L|*")+1))</f>
        <v/>
      </c>
      <c r="U608" s="769" t="str">
        <f>IF($F608="","",13)</f>
        <v/>
      </c>
    </row>
    <row r="609" ht="16.5" customHeight="1" s="186">
      <c r="A609" s="760" t="n"/>
      <c r="B609" s="760" t="n"/>
      <c r="C609" s="762" t="n"/>
      <c r="D609" s="762" t="n"/>
      <c r="E609" s="775" t="n"/>
      <c r="F609" s="821" t="n"/>
      <c r="G609" s="821" t="n"/>
      <c r="H609" s="818">
        <f>IF(G609=1,F609-I609-J609-K609,IF(G609=2,F609,0))</f>
        <v>0</v>
      </c>
      <c r="I609" s="818">
        <f>ROUND(IF(G609=1,F609*10/23,IF(G609=3,F609-J609-K609,IF(G609=4,F609,IF(G609=5,F609*10/11,IF(G609=7,F609*10/11,0))))),0)</f>
        <v>0</v>
      </c>
      <c r="J609" s="818">
        <f>ROUND(IF(G609=1,F609/23,IF(G609=3,F609/12,IF(G609=5,F609-I609,IF(G609=8,F609,0)))),0)</f>
        <v>0</v>
      </c>
      <c r="K609" s="819">
        <f>ROUND(IF(G609=1,F609/23,IF(G609=3,F609/12,IF(G609=6,F609,IF(G609=7,F609-I609,0)))),0)</f>
        <v>0</v>
      </c>
      <c r="L609" s="820">
        <f>IF(G609=6,F609,0)</f>
        <v>0</v>
      </c>
      <c r="P609" s="768" t="n"/>
      <c r="Q609" s="769" t="str">
        <f>IF($F609="","",IFERROR(VLOOKUP($C609&amp;"|"&amp;$D609,科目表!$A$5:$B$200,2,FALSE),"※未登録"))</f>
        <v/>
      </c>
      <c r="R609" s="769" t="str">
        <f>IF($F609="","",$I609+$J609+$K609)</f>
        <v/>
      </c>
      <c r="S609" s="769" t="str">
        <f>IF(OR($F609="",$P609="支払なし",$H609=0,$Q609=""),"",$Q609&amp;"|S|"&amp;(COUNTIF(S$4:S608,$Q609&amp;"|S|*")+1))</f>
        <v/>
      </c>
      <c r="T609" s="769" t="str">
        <f>IF(OR($F609="",$P609="支払なし",$R609=0,$Q609=""),"",$Q609&amp;"|L|"&amp;(COUNTIF(T$4:T608,$Q609&amp;"|L|*")+1))</f>
        <v/>
      </c>
      <c r="U609" s="769" t="str">
        <f>IF($F609="","",13)</f>
        <v/>
      </c>
    </row>
    <row r="610" ht="16.5" customHeight="1" s="186">
      <c r="A610" s="760" t="n"/>
      <c r="B610" s="760" t="n"/>
      <c r="C610" s="762" t="n"/>
      <c r="D610" s="762" t="n"/>
      <c r="E610" s="775" t="n"/>
      <c r="F610" s="821" t="n"/>
      <c r="G610" s="821" t="n"/>
      <c r="H610" s="818">
        <f>IF(G610=1,F610-I610-J610-K610,IF(G610=2,F610,0))</f>
        <v>0</v>
      </c>
      <c r="I610" s="818">
        <f>ROUND(IF(G610=1,F610*10/23,IF(G610=3,F610-J610-K610,IF(G610=4,F610,IF(G610=5,F610*10/11,IF(G610=7,F610*10/11,0))))),0)</f>
        <v>0</v>
      </c>
      <c r="J610" s="818">
        <f>ROUND(IF(G610=1,F610/23,IF(G610=3,F610/12,IF(G610=5,F610-I610,IF(G610=8,F610,0)))),0)</f>
        <v>0</v>
      </c>
      <c r="K610" s="819">
        <f>ROUND(IF(G610=1,F610/23,IF(G610=3,F610/12,IF(G610=6,F610,IF(G610=7,F610-I610,0)))),0)</f>
        <v>0</v>
      </c>
      <c r="L610" s="820">
        <f>IF(G610=6,F610,0)</f>
        <v>0</v>
      </c>
      <c r="P610" s="768" t="n"/>
      <c r="Q610" s="769" t="str">
        <f>IF($F610="","",IFERROR(VLOOKUP($C610&amp;"|"&amp;$D610,科目表!$A$5:$B$200,2,FALSE),"※未登録"))</f>
        <v/>
      </c>
      <c r="R610" s="769" t="str">
        <f>IF($F610="","",$I610+$J610+$K610)</f>
        <v/>
      </c>
      <c r="S610" s="769" t="str">
        <f>IF(OR($F610="",$P610="支払なし",$H610=0,$Q610=""),"",$Q610&amp;"|S|"&amp;(COUNTIF(S$4:S609,$Q610&amp;"|S|*")+1))</f>
        <v/>
      </c>
      <c r="T610" s="769" t="str">
        <f>IF(OR($F610="",$P610="支払なし",$R610=0,$Q610=""),"",$Q610&amp;"|L|"&amp;(COUNTIF(T$4:T609,$Q610&amp;"|L|*")+1))</f>
        <v/>
      </c>
      <c r="U610" s="769" t="str">
        <f>IF($F610="","",13)</f>
        <v/>
      </c>
    </row>
    <row r="611" ht="16.5" customHeight="1" s="186">
      <c r="A611" s="760" t="n"/>
      <c r="B611" s="760" t="n"/>
      <c r="C611" s="762" t="n"/>
      <c r="D611" s="762" t="n"/>
      <c r="E611" s="775" t="n"/>
      <c r="F611" s="821" t="n"/>
      <c r="G611" s="821" t="n"/>
      <c r="H611" s="818">
        <f>IF(G611=1,F611-I611-J611-K611,IF(G611=2,F611,0))</f>
        <v>0</v>
      </c>
      <c r="I611" s="818">
        <f>ROUND(IF(G611=1,F611*10/23,IF(G611=3,F611-J611-K611,IF(G611=4,F611,IF(G611=5,F611*10/11,IF(G611=7,F611*10/11,0))))),0)</f>
        <v>0</v>
      </c>
      <c r="J611" s="818">
        <f>ROUND(IF(G611=1,F611/23,IF(G611=3,F611/12,IF(G611=5,F611-I611,IF(G611=8,F611,0)))),0)</f>
        <v>0</v>
      </c>
      <c r="K611" s="819">
        <f>ROUND(IF(G611=1,F611/23,IF(G611=3,F611/12,IF(G611=6,F611,IF(G611=7,F611-I611,0)))),0)</f>
        <v>0</v>
      </c>
      <c r="L611" s="820">
        <f>IF(G611=6,F611,0)</f>
        <v>0</v>
      </c>
      <c r="P611" s="768" t="n"/>
      <c r="Q611" s="769" t="str">
        <f>IF($F611="","",IFERROR(VLOOKUP($C611&amp;"|"&amp;$D611,科目表!$A$5:$B$200,2,FALSE),"※未登録"))</f>
        <v/>
      </c>
      <c r="R611" s="769" t="str">
        <f>IF($F611="","",$I611+$J611+$K611)</f>
        <v/>
      </c>
      <c r="S611" s="769" t="str">
        <f>IF(OR($F611="",$P611="支払なし",$H611=0,$Q611=""),"",$Q611&amp;"|S|"&amp;(COUNTIF(S$4:S610,$Q611&amp;"|S|*")+1))</f>
        <v/>
      </c>
      <c r="T611" s="769" t="str">
        <f>IF(OR($F611="",$P611="支払なし",$R611=0,$Q611=""),"",$Q611&amp;"|L|"&amp;(COUNTIF(T$4:T610,$Q611&amp;"|L|*")+1))</f>
        <v/>
      </c>
      <c r="U611" s="769" t="str">
        <f>IF($F611="","",13)</f>
        <v/>
      </c>
    </row>
    <row r="612" ht="16.5" customHeight="1" s="186">
      <c r="A612" s="760" t="n"/>
      <c r="B612" s="760" t="n"/>
      <c r="C612" s="762" t="n"/>
      <c r="D612" s="762" t="n"/>
      <c r="E612" s="775" t="n"/>
      <c r="F612" s="821" t="n"/>
      <c r="G612" s="821" t="n"/>
      <c r="H612" s="818">
        <f>IF(G612=1,F612-I612-J612-K612,IF(G612=2,F612,0))</f>
        <v>0</v>
      </c>
      <c r="I612" s="818">
        <f>ROUND(IF(G612=1,F612*10/23,IF(G612=3,F612-J612-K612,IF(G612=4,F612,IF(G612=5,F612*10/11,IF(G612=7,F612*10/11,0))))),0)</f>
        <v>0</v>
      </c>
      <c r="J612" s="818">
        <f>ROUND(IF(G612=1,F612/23,IF(G612=3,F612/12,IF(G612=5,F612-I612,IF(G612=8,F612,0)))),0)</f>
        <v>0</v>
      </c>
      <c r="K612" s="819">
        <f>ROUND(IF(G612=1,F612/23,IF(G612=3,F612/12,IF(G612=6,F612,IF(G612=7,F612-I612,0)))),0)</f>
        <v>0</v>
      </c>
      <c r="L612" s="820">
        <f>IF(G612=6,F612,0)</f>
        <v>0</v>
      </c>
      <c r="P612" s="768" t="n"/>
      <c r="Q612" s="769" t="str">
        <f>IF($F612="","",IFERROR(VLOOKUP($C612&amp;"|"&amp;$D612,科目表!$A$5:$B$200,2,FALSE),"※未登録"))</f>
        <v/>
      </c>
      <c r="R612" s="769" t="str">
        <f>IF($F612="","",$I612+$J612+$K612)</f>
        <v/>
      </c>
      <c r="S612" s="769" t="str">
        <f>IF(OR($F612="",$P612="支払なし",$H612=0,$Q612=""),"",$Q612&amp;"|S|"&amp;(COUNTIF(S$4:S611,$Q612&amp;"|S|*")+1))</f>
        <v/>
      </c>
      <c r="T612" s="769" t="str">
        <f>IF(OR($F612="",$P612="支払なし",$R612=0,$Q612=""),"",$Q612&amp;"|L|"&amp;(COUNTIF(T$4:T611,$Q612&amp;"|L|*")+1))</f>
        <v/>
      </c>
      <c r="U612" s="769" t="str">
        <f>IF($F612="","",13)</f>
        <v/>
      </c>
    </row>
    <row r="613" ht="16.5" customHeight="1" s="186">
      <c r="A613" s="760" t="n"/>
      <c r="B613" s="760" t="n"/>
      <c r="C613" s="762" t="n"/>
      <c r="D613" s="762" t="n"/>
      <c r="E613" s="775" t="n"/>
      <c r="F613" s="821" t="n"/>
      <c r="G613" s="821" t="n"/>
      <c r="H613" s="818">
        <f>IF(G613=1,F613-I613-J613-K613,IF(G613=2,F613,0))</f>
        <v>0</v>
      </c>
      <c r="I613" s="818">
        <f>ROUND(IF(G613=1,F613*10/23,IF(G613=3,F613-J613-K613,IF(G613=4,F613,IF(G613=5,F613*10/11,IF(G613=7,F613*10/11,0))))),0)</f>
        <v>0</v>
      </c>
      <c r="J613" s="818">
        <f>ROUND(IF(G613=1,F613/23,IF(G613=3,F613/12,IF(G613=5,F613-I613,IF(G613=8,F613,0)))),0)</f>
        <v>0</v>
      </c>
      <c r="K613" s="819">
        <f>ROUND(IF(G613=1,F613/23,IF(G613=3,F613/12,IF(G613=6,F613,IF(G613=7,F613-I613,0)))),0)</f>
        <v>0</v>
      </c>
      <c r="L613" s="820">
        <f>IF(G613=6,F613,0)</f>
        <v>0</v>
      </c>
      <c r="P613" s="768" t="n"/>
      <c r="Q613" s="769" t="str">
        <f>IF($F613="","",IFERROR(VLOOKUP($C613&amp;"|"&amp;$D613,科目表!$A$5:$B$200,2,FALSE),"※未登録"))</f>
        <v/>
      </c>
      <c r="R613" s="769" t="str">
        <f>IF($F613="","",$I613+$J613+$K613)</f>
        <v/>
      </c>
      <c r="S613" s="769" t="str">
        <f>IF(OR($F613="",$P613="支払なし",$H613=0,$Q613=""),"",$Q613&amp;"|S|"&amp;(COUNTIF(S$4:S612,$Q613&amp;"|S|*")+1))</f>
        <v/>
      </c>
      <c r="T613" s="769" t="str">
        <f>IF(OR($F613="",$P613="支払なし",$R613=0,$Q613=""),"",$Q613&amp;"|L|"&amp;(COUNTIF(T$4:T612,$Q613&amp;"|L|*")+1))</f>
        <v/>
      </c>
      <c r="U613" s="769" t="str">
        <f>IF($F613="","",13)</f>
        <v/>
      </c>
    </row>
    <row r="614" ht="16.5" customHeight="1" s="186">
      <c r="A614" s="760" t="n"/>
      <c r="B614" s="760" t="n"/>
      <c r="C614" s="762" t="n"/>
      <c r="D614" s="762" t="n"/>
      <c r="E614" s="775" t="n"/>
      <c r="F614" s="821" t="n"/>
      <c r="G614" s="821" t="n"/>
      <c r="H614" s="818">
        <f>IF(G614=1,F614-I614-J614-K614,IF(G614=2,F614,0))</f>
        <v>0</v>
      </c>
      <c r="I614" s="818">
        <f>ROUND(IF(G614=1,F614*10/23,IF(G614=3,F614-J614-K614,IF(G614=4,F614,IF(G614=5,F614*10/11,IF(G614=7,F614*10/11,0))))),0)</f>
        <v>0</v>
      </c>
      <c r="J614" s="818">
        <f>ROUND(IF(G614=1,F614/23,IF(G614=3,F614/12,IF(G614=5,F614-I614,IF(G614=8,F614,0)))),0)</f>
        <v>0</v>
      </c>
      <c r="K614" s="819">
        <f>ROUND(IF(G614=1,F614/23,IF(G614=3,F614/12,IF(G614=6,F614,IF(G614=7,F614-I614,0)))),0)</f>
        <v>0</v>
      </c>
      <c r="L614" s="820">
        <f>IF(G614=6,F614,0)</f>
        <v>0</v>
      </c>
      <c r="P614" s="768" t="n"/>
      <c r="Q614" s="769" t="str">
        <f>IF($F614="","",IFERROR(VLOOKUP($C614&amp;"|"&amp;$D614,科目表!$A$5:$B$200,2,FALSE),"※未登録"))</f>
        <v/>
      </c>
      <c r="R614" s="769" t="str">
        <f>IF($F614="","",$I614+$J614+$K614)</f>
        <v/>
      </c>
      <c r="S614" s="769" t="str">
        <f>IF(OR($F614="",$P614="支払なし",$H614=0,$Q614=""),"",$Q614&amp;"|S|"&amp;(COUNTIF(S$4:S613,$Q614&amp;"|S|*")+1))</f>
        <v/>
      </c>
      <c r="T614" s="769" t="str">
        <f>IF(OR($F614="",$P614="支払なし",$R614=0,$Q614=""),"",$Q614&amp;"|L|"&amp;(COUNTIF(T$4:T613,$Q614&amp;"|L|*")+1))</f>
        <v/>
      </c>
      <c r="U614" s="769" t="str">
        <f>IF($F614="","",13)</f>
        <v/>
      </c>
    </row>
    <row r="615" ht="16.5" customHeight="1" s="186">
      <c r="A615" s="760" t="n"/>
      <c r="B615" s="760" t="n"/>
      <c r="C615" s="762" t="n"/>
      <c r="D615" s="762" t="n"/>
      <c r="E615" s="775" t="n"/>
      <c r="F615" s="821" t="n"/>
      <c r="G615" s="821" t="n"/>
      <c r="H615" s="818">
        <f>IF(G615=1,F615-I615-J615-K615,IF(G615=2,F615,0))</f>
        <v>0</v>
      </c>
      <c r="I615" s="818">
        <f>ROUND(IF(G615=1,F615*10/23,IF(G615=3,F615-J615-K615,IF(G615=4,F615,IF(G615=5,F615*10/11,IF(G615=7,F615*10/11,0))))),0)</f>
        <v>0</v>
      </c>
      <c r="J615" s="818">
        <f>ROUND(IF(G615=1,F615/23,IF(G615=3,F615/12,IF(G615=5,F615-I615,IF(G615=8,F615,0)))),0)</f>
        <v>0</v>
      </c>
      <c r="K615" s="819">
        <f>ROUND(IF(G615=1,F615/23,IF(G615=3,F615/12,IF(G615=6,F615,IF(G615=7,F615-I615,0)))),0)</f>
        <v>0</v>
      </c>
      <c r="L615" s="820">
        <f>IF(G615=6,F615,0)</f>
        <v>0</v>
      </c>
      <c r="P615" s="768" t="n"/>
      <c r="Q615" s="769" t="str">
        <f>IF($F615="","",IFERROR(VLOOKUP($C615&amp;"|"&amp;$D615,科目表!$A$5:$B$200,2,FALSE),"※未登録"))</f>
        <v/>
      </c>
      <c r="R615" s="769" t="str">
        <f>IF($F615="","",$I615+$J615+$K615)</f>
        <v/>
      </c>
      <c r="S615" s="769" t="str">
        <f>IF(OR($F615="",$P615="支払なし",$H615=0,$Q615=""),"",$Q615&amp;"|S|"&amp;(COUNTIF(S$4:S614,$Q615&amp;"|S|*")+1))</f>
        <v/>
      </c>
      <c r="T615" s="769" t="str">
        <f>IF(OR($F615="",$P615="支払なし",$R615=0,$Q615=""),"",$Q615&amp;"|L|"&amp;(COUNTIF(T$4:T614,$Q615&amp;"|L|*")+1))</f>
        <v/>
      </c>
      <c r="U615" s="769" t="str">
        <f>IF($F615="","",13)</f>
        <v/>
      </c>
    </row>
    <row r="616" ht="16.5" customHeight="1" s="186">
      <c r="A616" s="760" t="n"/>
      <c r="B616" s="760" t="n"/>
      <c r="C616" s="762" t="n"/>
      <c r="D616" s="762" t="n"/>
      <c r="E616" s="775" t="n"/>
      <c r="F616" s="821" t="n"/>
      <c r="G616" s="821" t="n"/>
      <c r="H616" s="818">
        <f>IF(G616=1,F616-I616-J616-K616,IF(G616=2,F616,0))</f>
        <v>0</v>
      </c>
      <c r="I616" s="818">
        <f>ROUND(IF(G616=1,F616*10/23,IF(G616=3,F616-J616-K616,IF(G616=4,F616,IF(G616=5,F616*10/11,IF(G616=7,F616*10/11,0))))),0)</f>
        <v>0</v>
      </c>
      <c r="J616" s="818">
        <f>ROUND(IF(G616=1,F616/23,IF(G616=3,F616/12,IF(G616=5,F616-I616,IF(G616=8,F616,0)))),0)</f>
        <v>0</v>
      </c>
      <c r="K616" s="819">
        <f>ROUND(IF(G616=1,F616/23,IF(G616=3,F616/12,IF(G616=6,F616,IF(G616=7,F616-I616,0)))),0)</f>
        <v>0</v>
      </c>
      <c r="L616" s="820">
        <f>IF(G616=6,F616,0)</f>
        <v>0</v>
      </c>
      <c r="P616" s="768" t="n"/>
      <c r="Q616" s="769" t="str">
        <f>IF($F616="","",IFERROR(VLOOKUP($C616&amp;"|"&amp;$D616,科目表!$A$5:$B$200,2,FALSE),"※未登録"))</f>
        <v/>
      </c>
      <c r="R616" s="769" t="str">
        <f>IF($F616="","",$I616+$J616+$K616)</f>
        <v/>
      </c>
      <c r="S616" s="769" t="str">
        <f>IF(OR($F616="",$P616="支払なし",$H616=0,$Q616=""),"",$Q616&amp;"|S|"&amp;(COUNTIF(S$4:S615,$Q616&amp;"|S|*")+1))</f>
        <v/>
      </c>
      <c r="T616" s="769" t="str">
        <f>IF(OR($F616="",$P616="支払なし",$R616=0,$Q616=""),"",$Q616&amp;"|L|"&amp;(COUNTIF(T$4:T615,$Q616&amp;"|L|*")+1))</f>
        <v/>
      </c>
      <c r="U616" s="769" t="str">
        <f>IF($F616="","",13)</f>
        <v/>
      </c>
    </row>
    <row r="617" ht="16.5" customHeight="1" s="186">
      <c r="A617" s="760" t="n"/>
      <c r="B617" s="760" t="n"/>
      <c r="C617" s="762" t="n"/>
      <c r="D617" s="762" t="n"/>
      <c r="E617" s="775" t="n"/>
      <c r="F617" s="821" t="n"/>
      <c r="G617" s="821" t="n"/>
      <c r="H617" s="818">
        <f>IF(G617=1,F617-I617-J617-K617,IF(G617=2,F617,0))</f>
        <v>0</v>
      </c>
      <c r="I617" s="818">
        <f>ROUND(IF(G617=1,F617*10/23,IF(G617=3,F617-J617-K617,IF(G617=4,F617,IF(G617=5,F617*10/11,IF(G617=7,F617*10/11,0))))),0)</f>
        <v>0</v>
      </c>
      <c r="J617" s="818">
        <f>ROUND(IF(G617=1,F617/23,IF(G617=3,F617/12,IF(G617=5,F617-I617,IF(G617=8,F617,0)))),0)</f>
        <v>0</v>
      </c>
      <c r="K617" s="819">
        <f>ROUND(IF(G617=1,F617/23,IF(G617=3,F617/12,IF(G617=6,F617,IF(G617=7,F617-I617,0)))),0)</f>
        <v>0</v>
      </c>
      <c r="L617" s="820">
        <f>IF(G617=6,F617,0)</f>
        <v>0</v>
      </c>
      <c r="P617" s="768" t="n"/>
      <c r="Q617" s="769" t="str">
        <f>IF($F617="","",IFERROR(VLOOKUP($C617&amp;"|"&amp;$D617,科目表!$A$5:$B$200,2,FALSE),"※未登録"))</f>
        <v/>
      </c>
      <c r="R617" s="769" t="str">
        <f>IF($F617="","",$I617+$J617+$K617)</f>
        <v/>
      </c>
      <c r="S617" s="769" t="str">
        <f>IF(OR($F617="",$P617="支払なし",$H617=0,$Q617=""),"",$Q617&amp;"|S|"&amp;(COUNTIF(S$4:S616,$Q617&amp;"|S|*")+1))</f>
        <v/>
      </c>
      <c r="T617" s="769" t="str">
        <f>IF(OR($F617="",$P617="支払なし",$R617=0,$Q617=""),"",$Q617&amp;"|L|"&amp;(COUNTIF(T$4:T616,$Q617&amp;"|L|*")+1))</f>
        <v/>
      </c>
      <c r="U617" s="769" t="str">
        <f>IF($F617="","",13)</f>
        <v/>
      </c>
    </row>
    <row r="618" ht="16.5" customHeight="1" s="186">
      <c r="A618" s="760" t="n"/>
      <c r="B618" s="760" t="n"/>
      <c r="C618" s="762" t="n"/>
      <c r="D618" s="762" t="n"/>
      <c r="E618" s="775" t="n"/>
      <c r="F618" s="821" t="n"/>
      <c r="G618" s="821" t="n"/>
      <c r="H618" s="818">
        <f>IF(G618=1,F618-I618-J618-K618,IF(G618=2,F618,0))</f>
        <v>0</v>
      </c>
      <c r="I618" s="818">
        <f>ROUND(IF(G618=1,F618*10/23,IF(G618=3,F618-J618-K618,IF(G618=4,F618,IF(G618=5,F618*10/11,IF(G618=7,F618*10/11,0))))),0)</f>
        <v>0</v>
      </c>
      <c r="J618" s="818">
        <f>ROUND(IF(G618=1,F618/23,IF(G618=3,F618/12,IF(G618=5,F618-I618,IF(G618=8,F618,0)))),0)</f>
        <v>0</v>
      </c>
      <c r="K618" s="819">
        <f>ROUND(IF(G618=1,F618/23,IF(G618=3,F618/12,IF(G618=6,F618,IF(G618=7,F618-I618,0)))),0)</f>
        <v>0</v>
      </c>
      <c r="L618" s="820">
        <f>IF(G618=6,F618,0)</f>
        <v>0</v>
      </c>
      <c r="P618" s="768" t="n"/>
      <c r="Q618" s="769" t="str">
        <f>IF($F618="","",IFERROR(VLOOKUP($C618&amp;"|"&amp;$D618,科目表!$A$5:$B$200,2,FALSE),"※未登録"))</f>
        <v/>
      </c>
      <c r="R618" s="769" t="str">
        <f>IF($F618="","",$I618+$J618+$K618)</f>
        <v/>
      </c>
      <c r="S618" s="769" t="str">
        <f>IF(OR($F618="",$P618="支払なし",$H618=0,$Q618=""),"",$Q618&amp;"|S|"&amp;(COUNTIF(S$4:S617,$Q618&amp;"|S|*")+1))</f>
        <v/>
      </c>
      <c r="T618" s="769" t="str">
        <f>IF(OR($F618="",$P618="支払なし",$R618=0,$Q618=""),"",$Q618&amp;"|L|"&amp;(COUNTIF(T$4:T617,$Q618&amp;"|L|*")+1))</f>
        <v/>
      </c>
      <c r="U618" s="769" t="str">
        <f>IF($F618="","",13)</f>
        <v/>
      </c>
    </row>
    <row r="619" ht="16.5" customHeight="1" s="186">
      <c r="A619" s="760" t="n"/>
      <c r="B619" s="760" t="n"/>
      <c r="C619" s="762" t="n"/>
      <c r="D619" s="762" t="n"/>
      <c r="E619" s="775" t="n"/>
      <c r="F619" s="821" t="n"/>
      <c r="G619" s="821" t="n"/>
      <c r="H619" s="818">
        <f>IF(G619=1,F619-I619-J619-K619,IF(G619=2,F619,0))</f>
        <v>0</v>
      </c>
      <c r="I619" s="818">
        <f>ROUND(IF(G619=1,F619*10/23,IF(G619=3,F619-J619-K619,IF(G619=4,F619,IF(G619=5,F619*10/11,IF(G619=7,F619*10/11,0))))),0)</f>
        <v>0</v>
      </c>
      <c r="J619" s="818">
        <f>ROUND(IF(G619=1,F619/23,IF(G619=3,F619/12,IF(G619=5,F619-I619,IF(G619=8,F619,0)))),0)</f>
        <v>0</v>
      </c>
      <c r="K619" s="819">
        <f>ROUND(IF(G619=1,F619/23,IF(G619=3,F619/12,IF(G619=6,F619,IF(G619=7,F619-I619,0)))),0)</f>
        <v>0</v>
      </c>
      <c r="L619" s="820">
        <f>IF(G619=6,F619,0)</f>
        <v>0</v>
      </c>
      <c r="P619" s="768" t="n"/>
      <c r="Q619" s="769" t="str">
        <f>IF($F619="","",IFERROR(VLOOKUP($C619&amp;"|"&amp;$D619,科目表!$A$5:$B$200,2,FALSE),"※未登録"))</f>
        <v/>
      </c>
      <c r="R619" s="769" t="str">
        <f>IF($F619="","",$I619+$J619+$K619)</f>
        <v/>
      </c>
      <c r="S619" s="769" t="str">
        <f>IF(OR($F619="",$P619="支払なし",$H619=0,$Q619=""),"",$Q619&amp;"|S|"&amp;(COUNTIF(S$4:S618,$Q619&amp;"|S|*")+1))</f>
        <v/>
      </c>
      <c r="T619" s="769" t="str">
        <f>IF(OR($F619="",$P619="支払なし",$R619=0,$Q619=""),"",$Q619&amp;"|L|"&amp;(COUNTIF(T$4:T618,$Q619&amp;"|L|*")+1))</f>
        <v/>
      </c>
      <c r="U619" s="769" t="str">
        <f>IF($F619="","",13)</f>
        <v/>
      </c>
    </row>
    <row r="620" ht="16.5" customHeight="1" s="186">
      <c r="A620" s="760" t="n"/>
      <c r="B620" s="760" t="n"/>
      <c r="C620" s="762" t="n"/>
      <c r="D620" s="762" t="n"/>
      <c r="E620" s="775" t="n"/>
      <c r="F620" s="821" t="n"/>
      <c r="G620" s="821" t="n"/>
      <c r="H620" s="818">
        <f>IF(G620=1,F620-I620-J620-K620,IF(G620=2,F620,0))</f>
        <v>0</v>
      </c>
      <c r="I620" s="818">
        <f>ROUND(IF(G620=1,F620*10/23,IF(G620=3,F620-J620-K620,IF(G620=4,F620,IF(G620=5,F620*10/11,IF(G620=7,F620*10/11,0))))),0)</f>
        <v>0</v>
      </c>
      <c r="J620" s="818">
        <f>ROUND(IF(G620=1,F620/23,IF(G620=3,F620/12,IF(G620=5,F620-I620,IF(G620=8,F620,0)))),0)</f>
        <v>0</v>
      </c>
      <c r="K620" s="819">
        <f>ROUND(IF(G620=1,F620/23,IF(G620=3,F620/12,IF(G620=6,F620,IF(G620=7,F620-I620,0)))),0)</f>
        <v>0</v>
      </c>
      <c r="L620" s="820">
        <f>IF(G620=6,F620,0)</f>
        <v>0</v>
      </c>
      <c r="P620" s="768" t="n"/>
      <c r="Q620" s="769" t="str">
        <f>IF($F620="","",IFERROR(VLOOKUP($C620&amp;"|"&amp;$D620,科目表!$A$5:$B$200,2,FALSE),"※未登録"))</f>
        <v/>
      </c>
      <c r="R620" s="769" t="str">
        <f>IF($F620="","",$I620+$J620+$K620)</f>
        <v/>
      </c>
      <c r="S620" s="769" t="str">
        <f>IF(OR($F620="",$P620="支払なし",$H620=0,$Q620=""),"",$Q620&amp;"|S|"&amp;(COUNTIF(S$4:S619,$Q620&amp;"|S|*")+1))</f>
        <v/>
      </c>
      <c r="T620" s="769" t="str">
        <f>IF(OR($F620="",$P620="支払なし",$R620=0,$Q620=""),"",$Q620&amp;"|L|"&amp;(COUNTIF(T$4:T619,$Q620&amp;"|L|*")+1))</f>
        <v/>
      </c>
      <c r="U620" s="769" t="str">
        <f>IF($F620="","",13)</f>
        <v/>
      </c>
    </row>
    <row r="621" ht="16.5" customHeight="1" s="186">
      <c r="A621" s="760" t="n"/>
      <c r="B621" s="760" t="n"/>
      <c r="C621" s="762" t="n"/>
      <c r="D621" s="762" t="n"/>
      <c r="E621" s="775" t="n"/>
      <c r="F621" s="821" t="n"/>
      <c r="G621" s="821" t="n"/>
      <c r="H621" s="818">
        <f>IF(G621=1,F621-I621-J621-K621,IF(G621=2,F621,0))</f>
        <v>0</v>
      </c>
      <c r="I621" s="818">
        <f>ROUND(IF(G621=1,F621*10/23,IF(G621=3,F621-J621-K621,IF(G621=4,F621,IF(G621=5,F621*10/11,IF(G621=7,F621*10/11,0))))),0)</f>
        <v>0</v>
      </c>
      <c r="J621" s="818">
        <f>ROUND(IF(G621=1,F621/23,IF(G621=3,F621/12,IF(G621=5,F621-I621,IF(G621=8,F621,0)))),0)</f>
        <v>0</v>
      </c>
      <c r="K621" s="819">
        <f>ROUND(IF(G621=1,F621/23,IF(G621=3,F621/12,IF(G621=6,F621,IF(G621=7,F621-I621,0)))),0)</f>
        <v>0</v>
      </c>
      <c r="L621" s="820">
        <f>IF(G621=6,F621,0)</f>
        <v>0</v>
      </c>
      <c r="P621" s="768" t="n"/>
      <c r="Q621" s="769" t="str">
        <f>IF($F621="","",IFERROR(VLOOKUP($C621&amp;"|"&amp;$D621,科目表!$A$5:$B$200,2,FALSE),"※未登録"))</f>
        <v/>
      </c>
      <c r="R621" s="769" t="str">
        <f>IF($F621="","",$I621+$J621+$K621)</f>
        <v/>
      </c>
      <c r="S621" s="769" t="str">
        <f>IF(OR($F621="",$P621="支払なし",$H621=0,$Q621=""),"",$Q621&amp;"|S|"&amp;(COUNTIF(S$4:S620,$Q621&amp;"|S|*")+1))</f>
        <v/>
      </c>
      <c r="T621" s="769" t="str">
        <f>IF(OR($F621="",$P621="支払なし",$R621=0,$Q621=""),"",$Q621&amp;"|L|"&amp;(COUNTIF(T$4:T620,$Q621&amp;"|L|*")+1))</f>
        <v/>
      </c>
      <c r="U621" s="769" t="str">
        <f>IF($F621="","",13)</f>
        <v/>
      </c>
    </row>
    <row r="622" ht="16.5" customHeight="1" s="186">
      <c r="A622" s="760" t="n"/>
      <c r="B622" s="760" t="n"/>
      <c r="C622" s="762" t="n"/>
      <c r="D622" s="762" t="n"/>
      <c r="E622" s="775" t="n"/>
      <c r="F622" s="821" t="n"/>
      <c r="G622" s="821" t="n"/>
      <c r="H622" s="818">
        <f>IF(G622=1,F622-I622-J622-K622,IF(G622=2,F622,0))</f>
        <v>0</v>
      </c>
      <c r="I622" s="818">
        <f>ROUND(IF(G622=1,F622*10/23,IF(G622=3,F622-J622-K622,IF(G622=4,F622,IF(G622=5,F622*10/11,IF(G622=7,F622*10/11,0))))),0)</f>
        <v>0</v>
      </c>
      <c r="J622" s="818">
        <f>ROUND(IF(G622=1,F622/23,IF(G622=3,F622/12,IF(G622=5,F622-I622,IF(G622=8,F622,0)))),0)</f>
        <v>0</v>
      </c>
      <c r="K622" s="819">
        <f>ROUND(IF(G622=1,F622/23,IF(G622=3,F622/12,IF(G622=6,F622,IF(G622=7,F622-I622,0)))),0)</f>
        <v>0</v>
      </c>
      <c r="L622" s="820">
        <f>IF(G622=6,F622,0)</f>
        <v>0</v>
      </c>
      <c r="P622" s="768" t="n"/>
      <c r="Q622" s="769" t="str">
        <f>IF($F622="","",IFERROR(VLOOKUP($C622&amp;"|"&amp;$D622,科目表!$A$5:$B$200,2,FALSE),"※未登録"))</f>
        <v/>
      </c>
      <c r="R622" s="769" t="str">
        <f>IF($F622="","",$I622+$J622+$K622)</f>
        <v/>
      </c>
      <c r="S622" s="769" t="str">
        <f>IF(OR($F622="",$P622="支払なし",$H622=0,$Q622=""),"",$Q622&amp;"|S|"&amp;(COUNTIF(S$4:S621,$Q622&amp;"|S|*")+1))</f>
        <v/>
      </c>
      <c r="T622" s="769" t="str">
        <f>IF(OR($F622="",$P622="支払なし",$R622=0,$Q622=""),"",$Q622&amp;"|L|"&amp;(COUNTIF(T$4:T621,$Q622&amp;"|L|*")+1))</f>
        <v/>
      </c>
      <c r="U622" s="769" t="str">
        <f>IF($F622="","",13)</f>
        <v/>
      </c>
    </row>
    <row r="623" ht="16.5" customHeight="1" s="186">
      <c r="A623" s="760" t="n"/>
      <c r="B623" s="760" t="n"/>
      <c r="C623" s="762" t="n"/>
      <c r="D623" s="762" t="n"/>
      <c r="E623" s="775" t="n"/>
      <c r="F623" s="821" t="n"/>
      <c r="G623" s="821" t="n"/>
      <c r="H623" s="818">
        <f>IF(G623=1,F623-I623-J623-K623,IF(G623=2,F623,0))</f>
        <v>0</v>
      </c>
      <c r="I623" s="818">
        <f>ROUND(IF(G623=1,F623*10/23,IF(G623=3,F623-J623-K623,IF(G623=4,F623,IF(G623=5,F623*10/11,IF(G623=7,F623*10/11,0))))),0)</f>
        <v>0</v>
      </c>
      <c r="J623" s="818">
        <f>ROUND(IF(G623=1,F623/23,IF(G623=3,F623/12,IF(G623=5,F623-I623,IF(G623=8,F623,0)))),0)</f>
        <v>0</v>
      </c>
      <c r="K623" s="819">
        <f>ROUND(IF(G623=1,F623/23,IF(G623=3,F623/12,IF(G623=6,F623,IF(G623=7,F623-I623,0)))),0)</f>
        <v>0</v>
      </c>
      <c r="L623" s="820">
        <f>IF(G623=6,F623,0)</f>
        <v>0</v>
      </c>
      <c r="P623" s="768" t="n"/>
      <c r="Q623" s="769" t="str">
        <f>IF($F623="","",IFERROR(VLOOKUP($C623&amp;"|"&amp;$D623,科目表!$A$5:$B$200,2,FALSE),"※未登録"))</f>
        <v/>
      </c>
      <c r="R623" s="769" t="str">
        <f>IF($F623="","",$I623+$J623+$K623)</f>
        <v/>
      </c>
      <c r="S623" s="769" t="str">
        <f>IF(OR($F623="",$P623="支払なし",$H623=0,$Q623=""),"",$Q623&amp;"|S|"&amp;(COUNTIF(S$4:S622,$Q623&amp;"|S|*")+1))</f>
        <v/>
      </c>
      <c r="T623" s="769" t="str">
        <f>IF(OR($F623="",$P623="支払なし",$R623=0,$Q623=""),"",$Q623&amp;"|L|"&amp;(COUNTIF(T$4:T622,$Q623&amp;"|L|*")+1))</f>
        <v/>
      </c>
      <c r="U623" s="769" t="str">
        <f>IF($F623="","",13)</f>
        <v/>
      </c>
    </row>
    <row r="624" ht="16.5" customHeight="1" s="186">
      <c r="A624" s="760" t="n"/>
      <c r="B624" s="760" t="n"/>
      <c r="C624" s="762" t="n"/>
      <c r="D624" s="762" t="n"/>
      <c r="E624" s="775" t="n"/>
      <c r="F624" s="821" t="n"/>
      <c r="G624" s="821" t="n"/>
      <c r="H624" s="818">
        <f>IF(G624=1,F624-I624-J624-K624,IF(G624=2,F624,0))</f>
        <v>0</v>
      </c>
      <c r="I624" s="818">
        <f>ROUND(IF(G624=1,F624*10/23,IF(G624=3,F624-J624-K624,IF(G624=4,F624,IF(G624=5,F624*10/11,IF(G624=7,F624*10/11,0))))),0)</f>
        <v>0</v>
      </c>
      <c r="J624" s="818">
        <f>ROUND(IF(G624=1,F624/23,IF(G624=3,F624/12,IF(G624=5,F624-I624,IF(G624=8,F624,0)))),0)</f>
        <v>0</v>
      </c>
      <c r="K624" s="819">
        <f>ROUND(IF(G624=1,F624/23,IF(G624=3,F624/12,IF(G624=6,F624,IF(G624=7,F624-I624,0)))),0)</f>
        <v>0</v>
      </c>
      <c r="L624" s="820">
        <f>IF(G624=6,F624,0)</f>
        <v>0</v>
      </c>
      <c r="P624" s="768" t="n"/>
      <c r="Q624" s="769" t="str">
        <f>IF($F624="","",IFERROR(VLOOKUP($C624&amp;"|"&amp;$D624,科目表!$A$5:$B$200,2,FALSE),"※未登録"))</f>
        <v/>
      </c>
      <c r="R624" s="769" t="str">
        <f>IF($F624="","",$I624+$J624+$K624)</f>
        <v/>
      </c>
      <c r="S624" s="769" t="str">
        <f>IF(OR($F624="",$P624="支払なし",$H624=0,$Q624=""),"",$Q624&amp;"|S|"&amp;(COUNTIF(S$4:S623,$Q624&amp;"|S|*")+1))</f>
        <v/>
      </c>
      <c r="T624" s="769" t="str">
        <f>IF(OR($F624="",$P624="支払なし",$R624=0,$Q624=""),"",$Q624&amp;"|L|"&amp;(COUNTIF(T$4:T623,$Q624&amp;"|L|*")+1))</f>
        <v/>
      </c>
      <c r="U624" s="769" t="str">
        <f>IF($F624="","",13)</f>
        <v/>
      </c>
    </row>
    <row r="625" ht="16.5" customHeight="1" s="186">
      <c r="A625" s="760" t="n"/>
      <c r="B625" s="760" t="n"/>
      <c r="C625" s="762" t="n"/>
      <c r="D625" s="762" t="n"/>
      <c r="E625" s="775" t="n"/>
      <c r="F625" s="821" t="n"/>
      <c r="G625" s="821" t="n"/>
      <c r="H625" s="818">
        <f>IF(G625=1,F625-I625-J625-K625,IF(G625=2,F625,0))</f>
        <v>0</v>
      </c>
      <c r="I625" s="818">
        <f>ROUND(IF(G625=1,F625*10/23,IF(G625=3,F625-J625-K625,IF(G625=4,F625,IF(G625=5,F625*10/11,IF(G625=7,F625*10/11,0))))),0)</f>
        <v>0</v>
      </c>
      <c r="J625" s="818">
        <f>ROUND(IF(G625=1,F625/23,IF(G625=3,F625/12,IF(G625=5,F625-I625,IF(G625=8,F625,0)))),0)</f>
        <v>0</v>
      </c>
      <c r="K625" s="819">
        <f>ROUND(IF(G625=1,F625/23,IF(G625=3,F625/12,IF(G625=6,F625,IF(G625=7,F625-I625,0)))),0)</f>
        <v>0</v>
      </c>
      <c r="L625" s="820">
        <f>IF(G625=6,F625,0)</f>
        <v>0</v>
      </c>
      <c r="P625" s="768" t="n"/>
      <c r="Q625" s="769" t="str">
        <f>IF($F625="","",IFERROR(VLOOKUP($C625&amp;"|"&amp;$D625,科目表!$A$5:$B$200,2,FALSE),"※未登録"))</f>
        <v/>
      </c>
      <c r="R625" s="769" t="str">
        <f>IF($F625="","",$I625+$J625+$K625)</f>
        <v/>
      </c>
      <c r="S625" s="769" t="str">
        <f>IF(OR($F625="",$P625="支払なし",$H625=0,$Q625=""),"",$Q625&amp;"|S|"&amp;(COUNTIF(S$4:S624,$Q625&amp;"|S|*")+1))</f>
        <v/>
      </c>
      <c r="T625" s="769" t="str">
        <f>IF(OR($F625="",$P625="支払なし",$R625=0,$Q625=""),"",$Q625&amp;"|L|"&amp;(COUNTIF(T$4:T624,$Q625&amp;"|L|*")+1))</f>
        <v/>
      </c>
      <c r="U625" s="769" t="str">
        <f>IF($F625="","",13)</f>
        <v/>
      </c>
    </row>
    <row r="626" ht="16.5" customHeight="1" s="186">
      <c r="A626" s="760" t="n"/>
      <c r="B626" s="760" t="n"/>
      <c r="C626" s="762" t="n"/>
      <c r="D626" s="762" t="n"/>
      <c r="E626" s="775" t="n"/>
      <c r="F626" s="821" t="n"/>
      <c r="G626" s="821" t="n"/>
      <c r="H626" s="818">
        <f>IF(G626=1,F626-I626-J626-K626,IF(G626=2,F626,0))</f>
        <v>0</v>
      </c>
      <c r="I626" s="818">
        <f>ROUND(IF(G626=1,F626*10/23,IF(G626=3,F626-J626-K626,IF(G626=4,F626,IF(G626=5,F626*10/11,IF(G626=7,F626*10/11,0))))),0)</f>
        <v>0</v>
      </c>
      <c r="J626" s="818">
        <f>ROUND(IF(G626=1,F626/23,IF(G626=3,F626/12,IF(G626=5,F626-I626,IF(G626=8,F626,0)))),0)</f>
        <v>0</v>
      </c>
      <c r="K626" s="819">
        <f>ROUND(IF(G626=1,F626/23,IF(G626=3,F626/12,IF(G626=6,F626,IF(G626=7,F626-I626,0)))),0)</f>
        <v>0</v>
      </c>
      <c r="L626" s="820">
        <f>IF(G626=6,F626,0)</f>
        <v>0</v>
      </c>
      <c r="P626" s="768" t="n"/>
      <c r="Q626" s="769" t="str">
        <f>IF($F626="","",IFERROR(VLOOKUP($C626&amp;"|"&amp;$D626,科目表!$A$5:$B$200,2,FALSE),"※未登録"))</f>
        <v/>
      </c>
      <c r="R626" s="769" t="str">
        <f>IF($F626="","",$I626+$J626+$K626)</f>
        <v/>
      </c>
      <c r="S626" s="769" t="str">
        <f>IF(OR($F626="",$P626="支払なし",$H626=0,$Q626=""),"",$Q626&amp;"|S|"&amp;(COUNTIF(S$4:S625,$Q626&amp;"|S|*")+1))</f>
        <v/>
      </c>
      <c r="T626" s="769" t="str">
        <f>IF(OR($F626="",$P626="支払なし",$R626=0,$Q626=""),"",$Q626&amp;"|L|"&amp;(COUNTIF(T$4:T625,$Q626&amp;"|L|*")+1))</f>
        <v/>
      </c>
      <c r="U626" s="769" t="str">
        <f>IF($F626="","",13)</f>
        <v/>
      </c>
    </row>
    <row r="627" ht="16.5" customHeight="1" s="186">
      <c r="A627" s="760" t="n"/>
      <c r="B627" s="760" t="n"/>
      <c r="C627" s="762" t="n"/>
      <c r="D627" s="762" t="n"/>
      <c r="E627" s="775" t="n"/>
      <c r="F627" s="821" t="n"/>
      <c r="G627" s="821" t="n"/>
      <c r="H627" s="818">
        <f>IF(G627=1,F627-I627-J627-K627,IF(G627=2,F627,0))</f>
        <v>0</v>
      </c>
      <c r="I627" s="818">
        <f>ROUND(IF(G627=1,F627*10/23,IF(G627=3,F627-J627-K627,IF(G627=4,F627,IF(G627=5,F627*10/11,IF(G627=7,F627*10/11,0))))),0)</f>
        <v>0</v>
      </c>
      <c r="J627" s="818">
        <f>ROUND(IF(G627=1,F627/23,IF(G627=3,F627/12,IF(G627=5,F627-I627,IF(G627=8,F627,0)))),0)</f>
        <v>0</v>
      </c>
      <c r="K627" s="819">
        <f>ROUND(IF(G627=1,F627/23,IF(G627=3,F627/12,IF(G627=6,F627,IF(G627=7,F627-I627,0)))),0)</f>
        <v>0</v>
      </c>
      <c r="L627" s="820">
        <f>IF(G627=6,F627,0)</f>
        <v>0</v>
      </c>
      <c r="P627" s="768" t="n"/>
      <c r="Q627" s="769" t="str">
        <f>IF($F627="","",IFERROR(VLOOKUP($C627&amp;"|"&amp;$D627,科目表!$A$5:$B$200,2,FALSE),"※未登録"))</f>
        <v/>
      </c>
      <c r="R627" s="769" t="str">
        <f>IF($F627="","",$I627+$J627+$K627)</f>
        <v/>
      </c>
      <c r="S627" s="769" t="str">
        <f>IF(OR($F627="",$P627="支払なし",$H627=0,$Q627=""),"",$Q627&amp;"|S|"&amp;(COUNTIF(S$4:S626,$Q627&amp;"|S|*")+1))</f>
        <v/>
      </c>
      <c r="T627" s="769" t="str">
        <f>IF(OR($F627="",$P627="支払なし",$R627=0,$Q627=""),"",$Q627&amp;"|L|"&amp;(COUNTIF(T$4:T626,$Q627&amp;"|L|*")+1))</f>
        <v/>
      </c>
      <c r="U627" s="769" t="str">
        <f>IF($F627="","",13)</f>
        <v/>
      </c>
    </row>
    <row r="628" ht="16.5" customHeight="1" s="186">
      <c r="A628" s="760" t="n"/>
      <c r="B628" s="760" t="n"/>
      <c r="C628" s="762" t="n"/>
      <c r="D628" s="762" t="n"/>
      <c r="E628" s="775" t="n"/>
      <c r="F628" s="821" t="n"/>
      <c r="G628" s="821" t="n"/>
      <c r="H628" s="818">
        <f>IF(G628=1,F628-I628-J628-K628,IF(G628=2,F628,0))</f>
        <v>0</v>
      </c>
      <c r="I628" s="818">
        <f>ROUND(IF(G628=1,F628*10/23,IF(G628=3,F628-J628-K628,IF(G628=4,F628,IF(G628=5,F628*10/11,IF(G628=7,F628*10/11,0))))),0)</f>
        <v>0</v>
      </c>
      <c r="J628" s="818">
        <f>ROUND(IF(G628=1,F628/23,IF(G628=3,F628/12,IF(G628=5,F628-I628,IF(G628=8,F628,0)))),0)</f>
        <v>0</v>
      </c>
      <c r="K628" s="819">
        <f>ROUND(IF(G628=1,F628/23,IF(G628=3,F628/12,IF(G628=6,F628,IF(G628=7,F628-I628,0)))),0)</f>
        <v>0</v>
      </c>
      <c r="L628" s="820">
        <f>IF(G628=6,F628,0)</f>
        <v>0</v>
      </c>
      <c r="P628" s="768" t="n"/>
      <c r="Q628" s="769" t="str">
        <f>IF($F628="","",IFERROR(VLOOKUP($C628&amp;"|"&amp;$D628,科目表!$A$5:$B$200,2,FALSE),"※未登録"))</f>
        <v/>
      </c>
      <c r="R628" s="769" t="str">
        <f>IF($F628="","",$I628+$J628+$K628)</f>
        <v/>
      </c>
      <c r="S628" s="769" t="str">
        <f>IF(OR($F628="",$P628="支払なし",$H628=0,$Q628=""),"",$Q628&amp;"|S|"&amp;(COUNTIF(S$4:S627,$Q628&amp;"|S|*")+1))</f>
        <v/>
      </c>
      <c r="T628" s="769" t="str">
        <f>IF(OR($F628="",$P628="支払なし",$R628=0,$Q628=""),"",$Q628&amp;"|L|"&amp;(COUNTIF(T$4:T627,$Q628&amp;"|L|*")+1))</f>
        <v/>
      </c>
      <c r="U628" s="769" t="str">
        <f>IF($F628="","",13)</f>
        <v/>
      </c>
    </row>
    <row r="629" ht="16.5" customHeight="1" s="186">
      <c r="A629" s="760" t="n"/>
      <c r="B629" s="760" t="n"/>
      <c r="C629" s="762" t="n"/>
      <c r="D629" s="762" t="n"/>
      <c r="E629" s="775" t="n"/>
      <c r="F629" s="821" t="n"/>
      <c r="G629" s="821" t="n"/>
      <c r="H629" s="818">
        <f>IF(G629=1,F629-I629-J629-K629,IF(G629=2,F629,0))</f>
        <v>0</v>
      </c>
      <c r="I629" s="818">
        <f>ROUND(IF(G629=1,F629*10/23,IF(G629=3,F629-J629-K629,IF(G629=4,F629,IF(G629=5,F629*10/11,IF(G629=7,F629*10/11,0))))),0)</f>
        <v>0</v>
      </c>
      <c r="J629" s="818">
        <f>ROUND(IF(G629=1,F629/23,IF(G629=3,F629/12,IF(G629=5,F629-I629,IF(G629=8,F629,0)))),0)</f>
        <v>0</v>
      </c>
      <c r="K629" s="819">
        <f>ROUND(IF(G629=1,F629/23,IF(G629=3,F629/12,IF(G629=6,F629,IF(G629=7,F629-I629,0)))),0)</f>
        <v>0</v>
      </c>
      <c r="L629" s="820">
        <f>IF(G629=6,F629,0)</f>
        <v>0</v>
      </c>
      <c r="P629" s="768" t="n"/>
      <c r="Q629" s="769" t="str">
        <f>IF($F629="","",IFERROR(VLOOKUP($C629&amp;"|"&amp;$D629,科目表!$A$5:$B$200,2,FALSE),"※未登録"))</f>
        <v/>
      </c>
      <c r="R629" s="769" t="str">
        <f>IF($F629="","",$I629+$J629+$K629)</f>
        <v/>
      </c>
      <c r="S629" s="769" t="str">
        <f>IF(OR($F629="",$P629="支払なし",$H629=0,$Q629=""),"",$Q629&amp;"|S|"&amp;(COUNTIF(S$4:S628,$Q629&amp;"|S|*")+1))</f>
        <v/>
      </c>
      <c r="T629" s="769" t="str">
        <f>IF(OR($F629="",$P629="支払なし",$R629=0,$Q629=""),"",$Q629&amp;"|L|"&amp;(COUNTIF(T$4:T628,$Q629&amp;"|L|*")+1))</f>
        <v/>
      </c>
      <c r="U629" s="769" t="str">
        <f>IF($F629="","",13)</f>
        <v/>
      </c>
    </row>
    <row r="630" ht="16.5" customHeight="1" s="186">
      <c r="A630" s="760" t="n"/>
      <c r="B630" s="760" t="n"/>
      <c r="C630" s="762" t="n"/>
      <c r="D630" s="762" t="n"/>
      <c r="E630" s="775" t="n"/>
      <c r="F630" s="821" t="n"/>
      <c r="G630" s="821" t="n"/>
      <c r="H630" s="818">
        <f>IF(G630=1,F630-I630-J630-K630,IF(G630=2,F630,0))</f>
        <v>0</v>
      </c>
      <c r="I630" s="818">
        <f>ROUND(IF(G630=1,F630*10/23,IF(G630=3,F630-J630-K630,IF(G630=4,F630,IF(G630=5,F630*10/11,IF(G630=7,F630*10/11,0))))),0)</f>
        <v>0</v>
      </c>
      <c r="J630" s="818">
        <f>ROUND(IF(G630=1,F630/23,IF(G630=3,F630/12,IF(G630=5,F630-I630,IF(G630=8,F630,0)))),0)</f>
        <v>0</v>
      </c>
      <c r="K630" s="819">
        <f>ROUND(IF(G630=1,F630/23,IF(G630=3,F630/12,IF(G630=6,F630,IF(G630=7,F630-I630,0)))),0)</f>
        <v>0</v>
      </c>
      <c r="L630" s="820">
        <f>IF(G630=6,F630,0)</f>
        <v>0</v>
      </c>
      <c r="P630" s="768" t="n"/>
      <c r="Q630" s="769" t="str">
        <f>IF($F630="","",IFERROR(VLOOKUP($C630&amp;"|"&amp;$D630,科目表!$A$5:$B$200,2,FALSE),"※未登録"))</f>
        <v/>
      </c>
      <c r="R630" s="769" t="str">
        <f>IF($F630="","",$I630+$J630+$K630)</f>
        <v/>
      </c>
      <c r="S630" s="769" t="str">
        <f>IF(OR($F630="",$P630="支払なし",$H630=0,$Q630=""),"",$Q630&amp;"|S|"&amp;(COUNTIF(S$4:S629,$Q630&amp;"|S|*")+1))</f>
        <v/>
      </c>
      <c r="T630" s="769" t="str">
        <f>IF(OR($F630="",$P630="支払なし",$R630=0,$Q630=""),"",$Q630&amp;"|L|"&amp;(COUNTIF(T$4:T629,$Q630&amp;"|L|*")+1))</f>
        <v/>
      </c>
      <c r="U630" s="769" t="str">
        <f>IF($F630="","",13)</f>
        <v/>
      </c>
    </row>
    <row r="631" ht="16.5" customHeight="1" s="186">
      <c r="A631" s="760" t="n"/>
      <c r="B631" s="760" t="n"/>
      <c r="C631" s="762" t="n"/>
      <c r="D631" s="762" t="n"/>
      <c r="E631" s="775" t="n"/>
      <c r="F631" s="821" t="n"/>
      <c r="G631" s="821" t="n"/>
      <c r="H631" s="818">
        <f>IF(G631=1,F631-I631-J631-K631,IF(G631=2,F631,0))</f>
        <v>0</v>
      </c>
      <c r="I631" s="818">
        <f>ROUND(IF(G631=1,F631*10/23,IF(G631=3,F631-J631-K631,IF(G631=4,F631,IF(G631=5,F631*10/11,IF(G631=7,F631*10/11,0))))),0)</f>
        <v>0</v>
      </c>
      <c r="J631" s="818">
        <f>ROUND(IF(G631=1,F631/23,IF(G631=3,F631/12,IF(G631=5,F631-I631,IF(G631=8,F631,0)))),0)</f>
        <v>0</v>
      </c>
      <c r="K631" s="819">
        <f>ROUND(IF(G631=1,F631/23,IF(G631=3,F631/12,IF(G631=6,F631,IF(G631=7,F631-I631,0)))),0)</f>
        <v>0</v>
      </c>
      <c r="L631" s="820">
        <f>IF(G631=6,F631,0)</f>
        <v>0</v>
      </c>
      <c r="P631" s="768" t="n"/>
      <c r="Q631" s="769" t="str">
        <f>IF($F631="","",IFERROR(VLOOKUP($C631&amp;"|"&amp;$D631,科目表!$A$5:$B$200,2,FALSE),"※未登録"))</f>
        <v/>
      </c>
      <c r="R631" s="769" t="str">
        <f>IF($F631="","",$I631+$J631+$K631)</f>
        <v/>
      </c>
      <c r="S631" s="769" t="str">
        <f>IF(OR($F631="",$P631="支払なし",$H631=0,$Q631=""),"",$Q631&amp;"|S|"&amp;(COUNTIF(S$4:S630,$Q631&amp;"|S|*")+1))</f>
        <v/>
      </c>
      <c r="T631" s="769" t="str">
        <f>IF(OR($F631="",$P631="支払なし",$R631=0,$Q631=""),"",$Q631&amp;"|L|"&amp;(COUNTIF(T$4:T630,$Q631&amp;"|L|*")+1))</f>
        <v/>
      </c>
      <c r="U631" s="769" t="str">
        <f>IF($F631="","",13)</f>
        <v/>
      </c>
    </row>
    <row r="632" ht="16.5" customHeight="1" s="186">
      <c r="A632" s="760" t="n"/>
      <c r="B632" s="760" t="n"/>
      <c r="C632" s="762" t="n"/>
      <c r="D632" s="762" t="n"/>
      <c r="E632" s="775" t="n"/>
      <c r="F632" s="821" t="n"/>
      <c r="G632" s="821" t="n"/>
      <c r="H632" s="818">
        <f>IF(G632=1,F632-I632-J632-K632,IF(G632=2,F632,0))</f>
        <v>0</v>
      </c>
      <c r="I632" s="818">
        <f>ROUND(IF(G632=1,F632*10/23,IF(G632=3,F632-J632-K632,IF(G632=4,F632,IF(G632=5,F632*10/11,IF(G632=7,F632*10/11,0))))),0)</f>
        <v>0</v>
      </c>
      <c r="J632" s="818">
        <f>ROUND(IF(G632=1,F632/23,IF(G632=3,F632/12,IF(G632=5,F632-I632,IF(G632=8,F632,0)))),0)</f>
        <v>0</v>
      </c>
      <c r="K632" s="819">
        <f>ROUND(IF(G632=1,F632/23,IF(G632=3,F632/12,IF(G632=6,F632,IF(G632=7,F632-I632,0)))),0)</f>
        <v>0</v>
      </c>
      <c r="L632" s="820">
        <f>IF(G632=6,F632,0)</f>
        <v>0</v>
      </c>
      <c r="P632" s="768" t="n"/>
      <c r="Q632" s="769" t="str">
        <f>IF($F632="","",IFERROR(VLOOKUP($C632&amp;"|"&amp;$D632,科目表!$A$5:$B$200,2,FALSE),"※未登録"))</f>
        <v/>
      </c>
      <c r="R632" s="769" t="str">
        <f>IF($F632="","",$I632+$J632+$K632)</f>
        <v/>
      </c>
      <c r="S632" s="769" t="str">
        <f>IF(OR($F632="",$P632="支払なし",$H632=0,$Q632=""),"",$Q632&amp;"|S|"&amp;(COUNTIF(S$4:S631,$Q632&amp;"|S|*")+1))</f>
        <v/>
      </c>
      <c r="T632" s="769" t="str">
        <f>IF(OR($F632="",$P632="支払なし",$R632=0,$Q632=""),"",$Q632&amp;"|L|"&amp;(COUNTIF(T$4:T631,$Q632&amp;"|L|*")+1))</f>
        <v/>
      </c>
      <c r="U632" s="769" t="str">
        <f>IF($F632="","",13)</f>
        <v/>
      </c>
    </row>
    <row r="633" ht="16.5" customHeight="1" s="186">
      <c r="A633" s="760" t="n"/>
      <c r="B633" s="760" t="n"/>
      <c r="C633" s="762" t="n"/>
      <c r="D633" s="762" t="n"/>
      <c r="E633" s="775" t="n"/>
      <c r="F633" s="821" t="n"/>
      <c r="G633" s="821" t="n"/>
      <c r="H633" s="818">
        <f>IF(G633=1,F633-I633-J633-K633,IF(G633=2,F633,0))</f>
        <v>0</v>
      </c>
      <c r="I633" s="818">
        <f>ROUND(IF(G633=1,F633*10/23,IF(G633=3,F633-J633-K633,IF(G633=4,F633,IF(G633=5,F633*10/11,IF(G633=7,F633*10/11,0))))),0)</f>
        <v>0</v>
      </c>
      <c r="J633" s="818">
        <f>ROUND(IF(G633=1,F633/23,IF(G633=3,F633/12,IF(G633=5,F633-I633,IF(G633=8,F633,0)))),0)</f>
        <v>0</v>
      </c>
      <c r="K633" s="819">
        <f>ROUND(IF(G633=1,F633/23,IF(G633=3,F633/12,IF(G633=6,F633,IF(G633=7,F633-I633,0)))),0)</f>
        <v>0</v>
      </c>
      <c r="L633" s="820">
        <f>IF(G633=6,F633,0)</f>
        <v>0</v>
      </c>
      <c r="P633" s="768" t="n"/>
      <c r="Q633" s="769" t="str">
        <f>IF($F633="","",IFERROR(VLOOKUP($C633&amp;"|"&amp;$D633,科目表!$A$5:$B$200,2,FALSE),"※未登録"))</f>
        <v/>
      </c>
      <c r="R633" s="769" t="str">
        <f>IF($F633="","",$I633+$J633+$K633)</f>
        <v/>
      </c>
      <c r="S633" s="769" t="str">
        <f>IF(OR($F633="",$P633="支払なし",$H633=0,$Q633=""),"",$Q633&amp;"|S|"&amp;(COUNTIF(S$4:S632,$Q633&amp;"|S|*")+1))</f>
        <v/>
      </c>
      <c r="T633" s="769" t="str">
        <f>IF(OR($F633="",$P633="支払なし",$R633=0,$Q633=""),"",$Q633&amp;"|L|"&amp;(COUNTIF(T$4:T632,$Q633&amp;"|L|*")+1))</f>
        <v/>
      </c>
      <c r="U633" s="769" t="str">
        <f>IF($F633="","",13)</f>
        <v/>
      </c>
    </row>
    <row r="634" ht="16.5" customHeight="1" s="186">
      <c r="A634" s="760" t="n"/>
      <c r="B634" s="760" t="n"/>
      <c r="C634" s="762" t="n"/>
      <c r="D634" s="762" t="n"/>
      <c r="E634" s="775" t="n"/>
      <c r="F634" s="821" t="n"/>
      <c r="G634" s="821" t="n"/>
      <c r="H634" s="818">
        <f>IF(G634=1,F634-I634-J634-K634,IF(G634=2,F634,0))</f>
        <v>0</v>
      </c>
      <c r="I634" s="818">
        <f>ROUND(IF(G634=1,F634*10/23,IF(G634=3,F634-J634-K634,IF(G634=4,F634,IF(G634=5,F634*10/11,IF(G634=7,F634*10/11,0))))),0)</f>
        <v>0</v>
      </c>
      <c r="J634" s="818">
        <f>ROUND(IF(G634=1,F634/23,IF(G634=3,F634/12,IF(G634=5,F634-I634,IF(G634=8,F634,0)))),0)</f>
        <v>0</v>
      </c>
      <c r="K634" s="819">
        <f>ROUND(IF(G634=1,F634/23,IF(G634=3,F634/12,IF(G634=6,F634,IF(G634=7,F634-I634,0)))),0)</f>
        <v>0</v>
      </c>
      <c r="L634" s="820">
        <f>IF(G634=6,F634,0)</f>
        <v>0</v>
      </c>
      <c r="P634" s="768" t="n"/>
      <c r="Q634" s="769" t="str">
        <f>IF($F634="","",IFERROR(VLOOKUP($C634&amp;"|"&amp;$D634,科目表!$A$5:$B$200,2,FALSE),"※未登録"))</f>
        <v/>
      </c>
      <c r="R634" s="769" t="str">
        <f>IF($F634="","",$I634+$J634+$K634)</f>
        <v/>
      </c>
      <c r="S634" s="769" t="str">
        <f>IF(OR($F634="",$P634="支払なし",$H634=0,$Q634=""),"",$Q634&amp;"|S|"&amp;(COUNTIF(S$4:S633,$Q634&amp;"|S|*")+1))</f>
        <v/>
      </c>
      <c r="T634" s="769" t="str">
        <f>IF(OR($F634="",$P634="支払なし",$R634=0,$Q634=""),"",$Q634&amp;"|L|"&amp;(COUNTIF(T$4:T633,$Q634&amp;"|L|*")+1))</f>
        <v/>
      </c>
      <c r="U634" s="769" t="str">
        <f>IF($F634="","",13)</f>
        <v/>
      </c>
    </row>
    <row r="635" ht="16.5" customHeight="1" s="186">
      <c r="A635" s="760" t="n"/>
      <c r="B635" s="760" t="n"/>
      <c r="C635" s="762" t="n"/>
      <c r="D635" s="762" t="n"/>
      <c r="E635" s="775" t="n"/>
      <c r="F635" s="821" t="n"/>
      <c r="G635" s="821" t="n"/>
      <c r="H635" s="818">
        <f>IF(G635=1,F635-I635-J635-K635,IF(G635=2,F635,0))</f>
        <v>0</v>
      </c>
      <c r="I635" s="818">
        <f>ROUND(IF(G635=1,F635*10/23,IF(G635=3,F635-J635-K635,IF(G635=4,F635,IF(G635=5,F635*10/11,IF(G635=7,F635*10/11,0))))),0)</f>
        <v>0</v>
      </c>
      <c r="J635" s="818">
        <f>ROUND(IF(G635=1,F635/23,IF(G635=3,F635/12,IF(G635=5,F635-I635,IF(G635=8,F635,0)))),0)</f>
        <v>0</v>
      </c>
      <c r="K635" s="819">
        <f>ROUND(IF(G635=1,F635/23,IF(G635=3,F635/12,IF(G635=6,F635,IF(G635=7,F635-I635,0)))),0)</f>
        <v>0</v>
      </c>
      <c r="L635" s="820">
        <f>IF(G635=6,F635,0)</f>
        <v>0</v>
      </c>
      <c r="P635" s="768" t="n"/>
      <c r="Q635" s="769" t="str">
        <f>IF($F635="","",IFERROR(VLOOKUP($C635&amp;"|"&amp;$D635,科目表!$A$5:$B$200,2,FALSE),"※未登録"))</f>
        <v/>
      </c>
      <c r="R635" s="769" t="str">
        <f>IF($F635="","",$I635+$J635+$K635)</f>
        <v/>
      </c>
      <c r="S635" s="769" t="str">
        <f>IF(OR($F635="",$P635="支払なし",$H635=0,$Q635=""),"",$Q635&amp;"|S|"&amp;(COUNTIF(S$4:S634,$Q635&amp;"|S|*")+1))</f>
        <v/>
      </c>
      <c r="T635" s="769" t="str">
        <f>IF(OR($F635="",$P635="支払なし",$R635=0,$Q635=""),"",$Q635&amp;"|L|"&amp;(COUNTIF(T$4:T634,$Q635&amp;"|L|*")+1))</f>
        <v/>
      </c>
      <c r="U635" s="769" t="str">
        <f>IF($F635="","",13)</f>
        <v/>
      </c>
    </row>
    <row r="636" ht="16.5" customHeight="1" s="186">
      <c r="A636" s="760" t="n"/>
      <c r="B636" s="760" t="n"/>
      <c r="C636" s="762" t="n"/>
      <c r="D636" s="762" t="n"/>
      <c r="E636" s="775" t="n"/>
      <c r="F636" s="821" t="n"/>
      <c r="G636" s="821" t="n"/>
      <c r="H636" s="818">
        <f>IF(G636=1,F636-I636-J636-K636,IF(G636=2,F636,0))</f>
        <v>0</v>
      </c>
      <c r="I636" s="818">
        <f>ROUND(IF(G636=1,F636*10/23,IF(G636=3,F636-J636-K636,IF(G636=4,F636,IF(G636=5,F636*10/11,IF(G636=7,F636*10/11,0))))),0)</f>
        <v>0</v>
      </c>
      <c r="J636" s="818">
        <f>ROUND(IF(G636=1,F636/23,IF(G636=3,F636/12,IF(G636=5,F636-I636,IF(G636=8,F636,0)))),0)</f>
        <v>0</v>
      </c>
      <c r="K636" s="819">
        <f>ROUND(IF(G636=1,F636/23,IF(G636=3,F636/12,IF(G636=6,F636,IF(G636=7,F636-I636,0)))),0)</f>
        <v>0</v>
      </c>
      <c r="L636" s="820">
        <f>IF(G636=6,F636,0)</f>
        <v>0</v>
      </c>
      <c r="P636" s="768" t="n"/>
      <c r="Q636" s="769" t="str">
        <f>IF($F636="","",IFERROR(VLOOKUP($C636&amp;"|"&amp;$D636,科目表!$A$5:$B$200,2,FALSE),"※未登録"))</f>
        <v/>
      </c>
      <c r="R636" s="769" t="str">
        <f>IF($F636="","",$I636+$J636+$K636)</f>
        <v/>
      </c>
      <c r="S636" s="769" t="str">
        <f>IF(OR($F636="",$P636="支払なし",$H636=0,$Q636=""),"",$Q636&amp;"|S|"&amp;(COUNTIF(S$4:S635,$Q636&amp;"|S|*")+1))</f>
        <v/>
      </c>
      <c r="T636" s="769" t="str">
        <f>IF(OR($F636="",$P636="支払なし",$R636=0,$Q636=""),"",$Q636&amp;"|L|"&amp;(COUNTIF(T$4:T635,$Q636&amp;"|L|*")+1))</f>
        <v/>
      </c>
      <c r="U636" s="769" t="str">
        <f>IF($F636="","",13)</f>
        <v/>
      </c>
    </row>
    <row r="637" ht="16.5" customHeight="1" s="186">
      <c r="A637" s="760" t="n"/>
      <c r="B637" s="760" t="n"/>
      <c r="C637" s="762" t="n"/>
      <c r="D637" s="762" t="n"/>
      <c r="E637" s="775" t="n"/>
      <c r="F637" s="821" t="n"/>
      <c r="G637" s="821" t="n"/>
      <c r="H637" s="818">
        <f>IF(G637=1,F637-I637-J637-K637,IF(G637=2,F637,0))</f>
        <v>0</v>
      </c>
      <c r="I637" s="818">
        <f>ROUND(IF(G637=1,F637*10/23,IF(G637=3,F637-J637-K637,IF(G637=4,F637,IF(G637=5,F637*10/11,IF(G637=7,F637*10/11,0))))),0)</f>
        <v>0</v>
      </c>
      <c r="J637" s="818">
        <f>ROUND(IF(G637=1,F637/23,IF(G637=3,F637/12,IF(G637=5,F637-I637,IF(G637=8,F637,0)))),0)</f>
        <v>0</v>
      </c>
      <c r="K637" s="819">
        <f>ROUND(IF(G637=1,F637/23,IF(G637=3,F637/12,IF(G637=6,F637,IF(G637=7,F637-I637,0)))),0)</f>
        <v>0</v>
      </c>
      <c r="L637" s="820">
        <f>IF(G637=6,F637,0)</f>
        <v>0</v>
      </c>
      <c r="P637" s="768" t="n"/>
      <c r="Q637" s="769" t="str">
        <f>IF($F637="","",IFERROR(VLOOKUP($C637&amp;"|"&amp;$D637,科目表!$A$5:$B$200,2,FALSE),"※未登録"))</f>
        <v/>
      </c>
      <c r="R637" s="769" t="str">
        <f>IF($F637="","",$I637+$J637+$K637)</f>
        <v/>
      </c>
      <c r="S637" s="769" t="str">
        <f>IF(OR($F637="",$P637="支払なし",$H637=0,$Q637=""),"",$Q637&amp;"|S|"&amp;(COUNTIF(S$4:S636,$Q637&amp;"|S|*")+1))</f>
        <v/>
      </c>
      <c r="T637" s="769" t="str">
        <f>IF(OR($F637="",$P637="支払なし",$R637=0,$Q637=""),"",$Q637&amp;"|L|"&amp;(COUNTIF(T$4:T636,$Q637&amp;"|L|*")+1))</f>
        <v/>
      </c>
      <c r="U637" s="769" t="str">
        <f>IF($F637="","",13)</f>
        <v/>
      </c>
    </row>
    <row r="638" ht="16.5" customHeight="1" s="186">
      <c r="A638" s="760" t="n"/>
      <c r="B638" s="760" t="n"/>
      <c r="C638" s="762" t="n"/>
      <c r="D638" s="762" t="n"/>
      <c r="E638" s="775" t="n"/>
      <c r="F638" s="821" t="n"/>
      <c r="G638" s="821" t="n"/>
      <c r="H638" s="818">
        <f>IF(G638=1,F638-I638-J638-K638,IF(G638=2,F638,0))</f>
        <v>0</v>
      </c>
      <c r="I638" s="818">
        <f>ROUND(IF(G638=1,F638*10/23,IF(G638=3,F638-J638-K638,IF(G638=4,F638,IF(G638=5,F638*10/11,IF(G638=7,F638*10/11,0))))),0)</f>
        <v>0</v>
      </c>
      <c r="J638" s="818">
        <f>ROUND(IF(G638=1,F638/23,IF(G638=3,F638/12,IF(G638=5,F638-I638,IF(G638=8,F638,0)))),0)</f>
        <v>0</v>
      </c>
      <c r="K638" s="819">
        <f>ROUND(IF(G638=1,F638/23,IF(G638=3,F638/12,IF(G638=6,F638,IF(G638=7,F638-I638,0)))),0)</f>
        <v>0</v>
      </c>
      <c r="L638" s="820">
        <f>IF(G638=6,F638,0)</f>
        <v>0</v>
      </c>
      <c r="P638" s="768" t="n"/>
      <c r="Q638" s="769" t="str">
        <f>IF($F638="","",IFERROR(VLOOKUP($C638&amp;"|"&amp;$D638,科目表!$A$5:$B$200,2,FALSE),"※未登録"))</f>
        <v/>
      </c>
      <c r="R638" s="769" t="str">
        <f>IF($F638="","",$I638+$J638+$K638)</f>
        <v/>
      </c>
      <c r="S638" s="769" t="str">
        <f>IF(OR($F638="",$P638="支払なし",$H638=0,$Q638=""),"",$Q638&amp;"|S|"&amp;(COUNTIF(S$4:S637,$Q638&amp;"|S|*")+1))</f>
        <v/>
      </c>
      <c r="T638" s="769" t="str">
        <f>IF(OR($F638="",$P638="支払なし",$R638=0,$Q638=""),"",$Q638&amp;"|L|"&amp;(COUNTIF(T$4:T637,$Q638&amp;"|L|*")+1))</f>
        <v/>
      </c>
      <c r="U638" s="769" t="str">
        <f>IF($F638="","",13)</f>
        <v/>
      </c>
    </row>
    <row r="639" ht="16.5" customHeight="1" s="186">
      <c r="A639" s="760" t="n"/>
      <c r="B639" s="760" t="n"/>
      <c r="C639" s="762" t="n"/>
      <c r="D639" s="762" t="n"/>
      <c r="E639" s="775" t="n"/>
      <c r="F639" s="821" t="n"/>
      <c r="G639" s="821" t="n"/>
      <c r="H639" s="818">
        <f>IF(G639=1,F639-I639-J639-K639,IF(G639=2,F639,0))</f>
        <v>0</v>
      </c>
      <c r="I639" s="818">
        <f>ROUND(IF(G639=1,F639*10/23,IF(G639=3,F639-J639-K639,IF(G639=4,F639,IF(G639=5,F639*10/11,IF(G639=7,F639*10/11,0))))),0)</f>
        <v>0</v>
      </c>
      <c r="J639" s="818">
        <f>ROUND(IF(G639=1,F639/23,IF(G639=3,F639/12,IF(G639=5,F639-I639,IF(G639=8,F639,0)))),0)</f>
        <v>0</v>
      </c>
      <c r="K639" s="819">
        <f>ROUND(IF(G639=1,F639/23,IF(G639=3,F639/12,IF(G639=6,F639,IF(G639=7,F639-I639,0)))),0)</f>
        <v>0</v>
      </c>
      <c r="L639" s="820">
        <f>IF(G639=6,F639,0)</f>
        <v>0</v>
      </c>
      <c r="P639" s="768" t="n"/>
      <c r="Q639" s="769" t="str">
        <f>IF($F639="","",IFERROR(VLOOKUP($C639&amp;"|"&amp;$D639,科目表!$A$5:$B$200,2,FALSE),"※未登録"))</f>
        <v/>
      </c>
      <c r="R639" s="769" t="str">
        <f>IF($F639="","",$I639+$J639+$K639)</f>
        <v/>
      </c>
      <c r="S639" s="769" t="str">
        <f>IF(OR($F639="",$P639="支払なし",$H639=0,$Q639=""),"",$Q639&amp;"|S|"&amp;(COUNTIF(S$4:S638,$Q639&amp;"|S|*")+1))</f>
        <v/>
      </c>
      <c r="T639" s="769" t="str">
        <f>IF(OR($F639="",$P639="支払なし",$R639=0,$Q639=""),"",$Q639&amp;"|L|"&amp;(COUNTIF(T$4:T638,$Q639&amp;"|L|*")+1))</f>
        <v/>
      </c>
      <c r="U639" s="769" t="str">
        <f>IF($F639="","",13)</f>
        <v/>
      </c>
    </row>
    <row r="640" ht="16.5" customHeight="1" s="186">
      <c r="A640" s="760" t="n"/>
      <c r="B640" s="760" t="n"/>
      <c r="C640" s="762" t="n"/>
      <c r="D640" s="762" t="n"/>
      <c r="E640" s="775" t="n"/>
      <c r="F640" s="821" t="n"/>
      <c r="G640" s="821" t="n"/>
      <c r="H640" s="818">
        <f>IF(G640=1,F640-I640-J640-K640,IF(G640=2,F640,0))</f>
        <v>0</v>
      </c>
      <c r="I640" s="818">
        <f>ROUND(IF(G640=1,F640*10/23,IF(G640=3,F640-J640-K640,IF(G640=4,F640,IF(G640=5,F640*10/11,IF(G640=7,F640*10/11,0))))),0)</f>
        <v>0</v>
      </c>
      <c r="J640" s="818">
        <f>ROUND(IF(G640=1,F640/23,IF(G640=3,F640/12,IF(G640=5,F640-I640,IF(G640=8,F640,0)))),0)</f>
        <v>0</v>
      </c>
      <c r="K640" s="819">
        <f>ROUND(IF(G640=1,F640/23,IF(G640=3,F640/12,IF(G640=6,F640,IF(G640=7,F640-I640,0)))),0)</f>
        <v>0</v>
      </c>
      <c r="L640" s="820">
        <f>IF(G640=6,F640,0)</f>
        <v>0</v>
      </c>
      <c r="P640" s="768" t="n"/>
      <c r="Q640" s="769" t="str">
        <f>IF($F640="","",IFERROR(VLOOKUP($C640&amp;"|"&amp;$D640,科目表!$A$5:$B$200,2,FALSE),"※未登録"))</f>
        <v/>
      </c>
      <c r="R640" s="769" t="str">
        <f>IF($F640="","",$I640+$J640+$K640)</f>
        <v/>
      </c>
      <c r="S640" s="769" t="str">
        <f>IF(OR($F640="",$P640="支払なし",$H640=0,$Q640=""),"",$Q640&amp;"|S|"&amp;(COUNTIF(S$4:S639,$Q640&amp;"|S|*")+1))</f>
        <v/>
      </c>
      <c r="T640" s="769" t="str">
        <f>IF(OR($F640="",$P640="支払なし",$R640=0,$Q640=""),"",$Q640&amp;"|L|"&amp;(COUNTIF(T$4:T639,$Q640&amp;"|L|*")+1))</f>
        <v/>
      </c>
      <c r="U640" s="769" t="str">
        <f>IF($F640="","",13)</f>
        <v/>
      </c>
    </row>
    <row r="641" ht="16.5" customHeight="1" s="186">
      <c r="A641" s="760" t="n"/>
      <c r="B641" s="760" t="n"/>
      <c r="C641" s="762" t="n"/>
      <c r="D641" s="762" t="n"/>
      <c r="E641" s="775" t="n"/>
      <c r="F641" s="821" t="n"/>
      <c r="G641" s="821" t="n"/>
      <c r="H641" s="818">
        <f>IF(G641=1,F641-I641-J641-K641,IF(G641=2,F641,0))</f>
        <v>0</v>
      </c>
      <c r="I641" s="818">
        <f>ROUND(IF(G641=1,F641*10/23,IF(G641=3,F641-J641-K641,IF(G641=4,F641,IF(G641=5,F641*10/11,IF(G641=7,F641*10/11,0))))),0)</f>
        <v>0</v>
      </c>
      <c r="J641" s="818">
        <f>ROUND(IF(G641=1,F641/23,IF(G641=3,F641/12,IF(G641=5,F641-I641,IF(G641=8,F641,0)))),0)</f>
        <v>0</v>
      </c>
      <c r="K641" s="819">
        <f>ROUND(IF(G641=1,F641/23,IF(G641=3,F641/12,IF(G641=6,F641,IF(G641=7,F641-I641,0)))),0)</f>
        <v>0</v>
      </c>
      <c r="L641" s="820">
        <f>IF(G641=6,F641,0)</f>
        <v>0</v>
      </c>
      <c r="P641" s="768" t="n"/>
      <c r="Q641" s="769" t="str">
        <f>IF($F641="","",IFERROR(VLOOKUP($C641&amp;"|"&amp;$D641,科目表!$A$5:$B$200,2,FALSE),"※未登録"))</f>
        <v/>
      </c>
      <c r="R641" s="769" t="str">
        <f>IF($F641="","",$I641+$J641+$K641)</f>
        <v/>
      </c>
      <c r="S641" s="769" t="str">
        <f>IF(OR($F641="",$P641="支払なし",$H641=0,$Q641=""),"",$Q641&amp;"|S|"&amp;(COUNTIF(S$4:S640,$Q641&amp;"|S|*")+1))</f>
        <v/>
      </c>
      <c r="T641" s="769" t="str">
        <f>IF(OR($F641="",$P641="支払なし",$R641=0,$Q641=""),"",$Q641&amp;"|L|"&amp;(COUNTIF(T$4:T640,$Q641&amp;"|L|*")+1))</f>
        <v/>
      </c>
      <c r="U641" s="769" t="str">
        <f>IF($F641="","",13)</f>
        <v/>
      </c>
    </row>
    <row r="642" ht="16.5" customHeight="1" s="186">
      <c r="A642" s="760" t="n"/>
      <c r="B642" s="760" t="n"/>
      <c r="C642" s="762" t="n"/>
      <c r="D642" s="762" t="n"/>
      <c r="E642" s="775" t="n"/>
      <c r="F642" s="821" t="n"/>
      <c r="G642" s="821" t="n"/>
      <c r="H642" s="818">
        <f>IF(G642=1,F642-I642-J642-K642,IF(G642=2,F642,0))</f>
        <v>0</v>
      </c>
      <c r="I642" s="818">
        <f>ROUND(IF(G642=1,F642*10/23,IF(G642=3,F642-J642-K642,IF(G642=4,F642,IF(G642=5,F642*10/11,IF(G642=7,F642*10/11,0))))),0)</f>
        <v>0</v>
      </c>
      <c r="J642" s="818">
        <f>ROUND(IF(G642=1,F642/23,IF(G642=3,F642/12,IF(G642=5,F642-I642,IF(G642=8,F642,0)))),0)</f>
        <v>0</v>
      </c>
      <c r="K642" s="819">
        <f>ROUND(IF(G642=1,F642/23,IF(G642=3,F642/12,IF(G642=6,F642,IF(G642=7,F642-I642,0)))),0)</f>
        <v>0</v>
      </c>
      <c r="L642" s="820">
        <f>IF(G642=6,F642,0)</f>
        <v>0</v>
      </c>
      <c r="P642" s="768" t="n"/>
      <c r="Q642" s="769" t="str">
        <f>IF($F642="","",IFERROR(VLOOKUP($C642&amp;"|"&amp;$D642,科目表!$A$5:$B$200,2,FALSE),"※未登録"))</f>
        <v/>
      </c>
      <c r="R642" s="769" t="str">
        <f>IF($F642="","",$I642+$J642+$K642)</f>
        <v/>
      </c>
      <c r="S642" s="769" t="str">
        <f>IF(OR($F642="",$P642="支払なし",$H642=0,$Q642=""),"",$Q642&amp;"|S|"&amp;(COUNTIF(S$4:S641,$Q642&amp;"|S|*")+1))</f>
        <v/>
      </c>
      <c r="T642" s="769" t="str">
        <f>IF(OR($F642="",$P642="支払なし",$R642=0,$Q642=""),"",$Q642&amp;"|L|"&amp;(COUNTIF(T$4:T641,$Q642&amp;"|L|*")+1))</f>
        <v/>
      </c>
      <c r="U642" s="769" t="str">
        <f>IF($F642="","",13)</f>
        <v/>
      </c>
    </row>
    <row r="643" ht="16.5" customHeight="1" s="186">
      <c r="A643" s="760" t="n"/>
      <c r="B643" s="760" t="n"/>
      <c r="C643" s="762" t="n"/>
      <c r="D643" s="762" t="n"/>
      <c r="E643" s="775" t="n"/>
      <c r="F643" s="821" t="n"/>
      <c r="G643" s="821" t="n"/>
      <c r="H643" s="818">
        <f>IF(G643=1,F643-I643-J643-K643,IF(G643=2,F643,0))</f>
        <v>0</v>
      </c>
      <c r="I643" s="818">
        <f>ROUND(IF(G643=1,F643*10/23,IF(G643=3,F643-J643-K643,IF(G643=4,F643,IF(G643=5,F643*10/11,IF(G643=7,F643*10/11,0))))),0)</f>
        <v>0</v>
      </c>
      <c r="J643" s="818">
        <f>ROUND(IF(G643=1,F643/23,IF(G643=3,F643/12,IF(G643=5,F643-I643,IF(G643=8,F643,0)))),0)</f>
        <v>0</v>
      </c>
      <c r="K643" s="819">
        <f>ROUND(IF(G643=1,F643/23,IF(G643=3,F643/12,IF(G643=6,F643,IF(G643=7,F643-I643,0)))),0)</f>
        <v>0</v>
      </c>
      <c r="L643" s="820">
        <f>IF(G643=6,F643,0)</f>
        <v>0</v>
      </c>
      <c r="P643" s="768" t="n"/>
      <c r="Q643" s="769" t="str">
        <f>IF($F643="","",IFERROR(VLOOKUP($C643&amp;"|"&amp;$D643,科目表!$A$5:$B$200,2,FALSE),"※未登録"))</f>
        <v/>
      </c>
      <c r="R643" s="769" t="str">
        <f>IF($F643="","",$I643+$J643+$K643)</f>
        <v/>
      </c>
      <c r="S643" s="769" t="str">
        <f>IF(OR($F643="",$P643="支払なし",$H643=0,$Q643=""),"",$Q643&amp;"|S|"&amp;(COUNTIF(S$4:S642,$Q643&amp;"|S|*")+1))</f>
        <v/>
      </c>
      <c r="T643" s="769" t="str">
        <f>IF(OR($F643="",$P643="支払なし",$R643=0,$Q643=""),"",$Q643&amp;"|L|"&amp;(COUNTIF(T$4:T642,$Q643&amp;"|L|*")+1))</f>
        <v/>
      </c>
      <c r="U643" s="769" t="str">
        <f>IF($F643="","",13)</f>
        <v/>
      </c>
    </row>
    <row r="644" ht="16.5" customHeight="1" s="186">
      <c r="A644" s="760" t="n"/>
      <c r="B644" s="760" t="n"/>
      <c r="C644" s="762" t="n"/>
      <c r="D644" s="762" t="n"/>
      <c r="E644" s="775" t="n"/>
      <c r="F644" s="821" t="n"/>
      <c r="G644" s="821" t="n"/>
      <c r="H644" s="818">
        <f>IF(G644=1,F644-I644-J644-K644,IF(G644=2,F644,0))</f>
        <v>0</v>
      </c>
      <c r="I644" s="818">
        <f>ROUND(IF(G644=1,F644*10/23,IF(G644=3,F644-J644-K644,IF(G644=4,F644,IF(G644=5,F644*10/11,IF(G644=7,F644*10/11,0))))),0)</f>
        <v>0</v>
      </c>
      <c r="J644" s="818">
        <f>ROUND(IF(G644=1,F644/23,IF(G644=3,F644/12,IF(G644=5,F644-I644,IF(G644=8,F644,0)))),0)</f>
        <v>0</v>
      </c>
      <c r="K644" s="819">
        <f>ROUND(IF(G644=1,F644/23,IF(G644=3,F644/12,IF(G644=6,F644,IF(G644=7,F644-I644,0)))),0)</f>
        <v>0</v>
      </c>
      <c r="L644" s="820">
        <f>IF(G644=6,F644,0)</f>
        <v>0</v>
      </c>
      <c r="P644" s="768" t="n"/>
      <c r="Q644" s="769" t="str">
        <f>IF($F644="","",IFERROR(VLOOKUP($C644&amp;"|"&amp;$D644,科目表!$A$5:$B$200,2,FALSE),"※未登録"))</f>
        <v/>
      </c>
      <c r="R644" s="769" t="str">
        <f>IF($F644="","",$I644+$J644+$K644)</f>
        <v/>
      </c>
      <c r="S644" s="769" t="str">
        <f>IF(OR($F644="",$P644="支払なし",$H644=0,$Q644=""),"",$Q644&amp;"|S|"&amp;(COUNTIF(S$4:S643,$Q644&amp;"|S|*")+1))</f>
        <v/>
      </c>
      <c r="T644" s="769" t="str">
        <f>IF(OR($F644="",$P644="支払なし",$R644=0,$Q644=""),"",$Q644&amp;"|L|"&amp;(COUNTIF(T$4:T643,$Q644&amp;"|L|*")+1))</f>
        <v/>
      </c>
      <c r="U644" s="769" t="str">
        <f>IF($F644="","",13)</f>
        <v/>
      </c>
    </row>
    <row r="645" ht="16.5" customHeight="1" s="186">
      <c r="A645" s="760" t="n"/>
      <c r="B645" s="760" t="n"/>
      <c r="C645" s="762" t="n"/>
      <c r="D645" s="762" t="n"/>
      <c r="E645" s="775" t="n"/>
      <c r="F645" s="821" t="n"/>
      <c r="G645" s="821" t="n"/>
      <c r="H645" s="818">
        <f>IF(G645=1,F645-I645-J645-K645,IF(G645=2,F645,0))</f>
        <v>0</v>
      </c>
      <c r="I645" s="818">
        <f>ROUND(IF(G645=1,F645*10/23,IF(G645=3,F645-J645-K645,IF(G645=4,F645,IF(G645=5,F645*10/11,IF(G645=7,F645*10/11,0))))),0)</f>
        <v>0</v>
      </c>
      <c r="J645" s="818">
        <f>ROUND(IF(G645=1,F645/23,IF(G645=3,F645/12,IF(G645=5,F645-I645,IF(G645=8,F645,0)))),0)</f>
        <v>0</v>
      </c>
      <c r="K645" s="819">
        <f>ROUND(IF(G645=1,F645/23,IF(G645=3,F645/12,IF(G645=6,F645,IF(G645=7,F645-I645,0)))),0)</f>
        <v>0</v>
      </c>
      <c r="L645" s="820">
        <f>IF(G645=6,F645,0)</f>
        <v>0</v>
      </c>
      <c r="P645" s="768" t="n"/>
      <c r="Q645" s="769" t="str">
        <f>IF($F645="","",IFERROR(VLOOKUP($C645&amp;"|"&amp;$D645,科目表!$A$5:$B$200,2,FALSE),"※未登録"))</f>
        <v/>
      </c>
      <c r="R645" s="769" t="str">
        <f>IF($F645="","",$I645+$J645+$K645)</f>
        <v/>
      </c>
      <c r="S645" s="769" t="str">
        <f>IF(OR($F645="",$P645="支払なし",$H645=0,$Q645=""),"",$Q645&amp;"|S|"&amp;(COUNTIF(S$4:S644,$Q645&amp;"|S|*")+1))</f>
        <v/>
      </c>
      <c r="T645" s="769" t="str">
        <f>IF(OR($F645="",$P645="支払なし",$R645=0,$Q645=""),"",$Q645&amp;"|L|"&amp;(COUNTIF(T$4:T644,$Q645&amp;"|L|*")+1))</f>
        <v/>
      </c>
      <c r="U645" s="769" t="str">
        <f>IF($F645="","",13)</f>
        <v/>
      </c>
    </row>
    <row r="646" ht="16.5" customHeight="1" s="186">
      <c r="A646" s="760" t="n"/>
      <c r="B646" s="760" t="n"/>
      <c r="C646" s="762" t="n"/>
      <c r="D646" s="762" t="n"/>
      <c r="E646" s="775" t="n"/>
      <c r="F646" s="821" t="n"/>
      <c r="G646" s="821" t="n"/>
      <c r="H646" s="818">
        <f>IF(G646=1,F646-I646-J646-K646,IF(G646=2,F646,0))</f>
        <v>0</v>
      </c>
      <c r="I646" s="818">
        <f>ROUND(IF(G646=1,F646*10/23,IF(G646=3,F646-J646-K646,IF(G646=4,F646,IF(G646=5,F646*10/11,IF(G646=7,F646*10/11,0))))),0)</f>
        <v>0</v>
      </c>
      <c r="J646" s="818">
        <f>ROUND(IF(G646=1,F646/23,IF(G646=3,F646/12,IF(G646=5,F646-I646,IF(G646=8,F646,0)))),0)</f>
        <v>0</v>
      </c>
      <c r="K646" s="819">
        <f>ROUND(IF(G646=1,F646/23,IF(G646=3,F646/12,IF(G646=6,F646,IF(G646=7,F646-I646,0)))),0)</f>
        <v>0</v>
      </c>
      <c r="L646" s="820">
        <f>IF(G646=6,F646,0)</f>
        <v>0</v>
      </c>
      <c r="P646" s="768" t="n"/>
      <c r="Q646" s="769" t="str">
        <f>IF($F646="","",IFERROR(VLOOKUP($C646&amp;"|"&amp;$D646,科目表!$A$5:$B$200,2,FALSE),"※未登録"))</f>
        <v/>
      </c>
      <c r="R646" s="769" t="str">
        <f>IF($F646="","",$I646+$J646+$K646)</f>
        <v/>
      </c>
      <c r="S646" s="769" t="str">
        <f>IF(OR($F646="",$P646="支払なし",$H646=0,$Q646=""),"",$Q646&amp;"|S|"&amp;(COUNTIF(S$4:S645,$Q646&amp;"|S|*")+1))</f>
        <v/>
      </c>
      <c r="T646" s="769" t="str">
        <f>IF(OR($F646="",$P646="支払なし",$R646=0,$Q646=""),"",$Q646&amp;"|L|"&amp;(COUNTIF(T$4:T645,$Q646&amp;"|L|*")+1))</f>
        <v/>
      </c>
      <c r="U646" s="769" t="str">
        <f>IF($F646="","",13)</f>
        <v/>
      </c>
    </row>
    <row r="647" ht="16.5" customHeight="1" s="186">
      <c r="A647" s="760" t="n"/>
      <c r="B647" s="760" t="n"/>
      <c r="C647" s="762" t="n"/>
      <c r="D647" s="762" t="n"/>
      <c r="E647" s="775" t="n"/>
      <c r="F647" s="821" t="n"/>
      <c r="G647" s="821" t="n"/>
      <c r="H647" s="818">
        <f>IF(G647=1,F647-I647-J647-K647,IF(G647=2,F647,0))</f>
        <v>0</v>
      </c>
      <c r="I647" s="818">
        <f>ROUND(IF(G647=1,F647*10/23,IF(G647=3,F647-J647-K647,IF(G647=4,F647,IF(G647=5,F647*10/11,IF(G647=7,F647*10/11,0))))),0)</f>
        <v>0</v>
      </c>
      <c r="J647" s="818">
        <f>ROUND(IF(G647=1,F647/23,IF(G647=3,F647/12,IF(G647=5,F647-I647,IF(G647=8,F647,0)))),0)</f>
        <v>0</v>
      </c>
      <c r="K647" s="819">
        <f>ROUND(IF(G647=1,F647/23,IF(G647=3,F647/12,IF(G647=6,F647,IF(G647=7,F647-I647,0)))),0)</f>
        <v>0</v>
      </c>
      <c r="L647" s="820">
        <f>IF(G647=6,F647,0)</f>
        <v>0</v>
      </c>
      <c r="P647" s="768" t="n"/>
      <c r="Q647" s="769" t="str">
        <f>IF($F647="","",IFERROR(VLOOKUP($C647&amp;"|"&amp;$D647,科目表!$A$5:$B$200,2,FALSE),"※未登録"))</f>
        <v/>
      </c>
      <c r="R647" s="769" t="str">
        <f>IF($F647="","",$I647+$J647+$K647)</f>
        <v/>
      </c>
      <c r="S647" s="769" t="str">
        <f>IF(OR($F647="",$P647="支払なし",$H647=0,$Q647=""),"",$Q647&amp;"|S|"&amp;(COUNTIF(S$4:S646,$Q647&amp;"|S|*")+1))</f>
        <v/>
      </c>
      <c r="T647" s="769" t="str">
        <f>IF(OR($F647="",$P647="支払なし",$R647=0,$Q647=""),"",$Q647&amp;"|L|"&amp;(COUNTIF(T$4:T646,$Q647&amp;"|L|*")+1))</f>
        <v/>
      </c>
      <c r="U647" s="769" t="str">
        <f>IF($F647="","",13)</f>
        <v/>
      </c>
    </row>
    <row r="648" ht="16.5" customHeight="1" s="186">
      <c r="A648" s="760" t="n"/>
      <c r="B648" s="760" t="n"/>
      <c r="C648" s="762" t="n"/>
      <c r="D648" s="762" t="n"/>
      <c r="E648" s="775" t="n"/>
      <c r="F648" s="821" t="n"/>
      <c r="G648" s="821" t="n"/>
      <c r="H648" s="818">
        <f>IF(G648=1,F648-I648-J648-K648,IF(G648=2,F648,0))</f>
        <v>0</v>
      </c>
      <c r="I648" s="818">
        <f>ROUND(IF(G648=1,F648*10/23,IF(G648=3,F648-J648-K648,IF(G648=4,F648,IF(G648=5,F648*10/11,IF(G648=7,F648*10/11,0))))),0)</f>
        <v>0</v>
      </c>
      <c r="J648" s="818">
        <f>ROUND(IF(G648=1,F648/23,IF(G648=3,F648/12,IF(G648=5,F648-I648,IF(G648=8,F648,0)))),0)</f>
        <v>0</v>
      </c>
      <c r="K648" s="819">
        <f>ROUND(IF(G648=1,F648/23,IF(G648=3,F648/12,IF(G648=6,F648,IF(G648=7,F648-I648,0)))),0)</f>
        <v>0</v>
      </c>
      <c r="L648" s="820">
        <f>IF(G648=6,F648,0)</f>
        <v>0</v>
      </c>
      <c r="P648" s="768" t="n"/>
      <c r="Q648" s="769" t="str">
        <f>IF($F648="","",IFERROR(VLOOKUP($C648&amp;"|"&amp;$D648,科目表!$A$5:$B$200,2,FALSE),"※未登録"))</f>
        <v/>
      </c>
      <c r="R648" s="769" t="str">
        <f>IF($F648="","",$I648+$J648+$K648)</f>
        <v/>
      </c>
      <c r="S648" s="769" t="str">
        <f>IF(OR($F648="",$P648="支払なし",$H648=0,$Q648=""),"",$Q648&amp;"|S|"&amp;(COUNTIF(S$4:S647,$Q648&amp;"|S|*")+1))</f>
        <v/>
      </c>
      <c r="T648" s="769" t="str">
        <f>IF(OR($F648="",$P648="支払なし",$R648=0,$Q648=""),"",$Q648&amp;"|L|"&amp;(COUNTIF(T$4:T647,$Q648&amp;"|L|*")+1))</f>
        <v/>
      </c>
      <c r="U648" s="769" t="str">
        <f>IF($F648="","",13)</f>
        <v/>
      </c>
    </row>
    <row r="649" ht="16.5" customHeight="1" s="186">
      <c r="A649" s="760" t="n"/>
      <c r="B649" s="760" t="n"/>
      <c r="C649" s="762" t="n"/>
      <c r="D649" s="762" t="n"/>
      <c r="E649" s="775" t="n"/>
      <c r="F649" s="821" t="n"/>
      <c r="G649" s="821" t="n"/>
      <c r="H649" s="818">
        <f>IF(G649=1,F649-I649-J649-K649,IF(G649=2,F649,0))</f>
        <v>0</v>
      </c>
      <c r="I649" s="818">
        <f>ROUND(IF(G649=1,F649*10/23,IF(G649=3,F649-J649-K649,IF(G649=4,F649,IF(G649=5,F649*10/11,IF(G649=7,F649*10/11,0))))),0)</f>
        <v>0</v>
      </c>
      <c r="J649" s="818">
        <f>ROUND(IF(G649=1,F649/23,IF(G649=3,F649/12,IF(G649=5,F649-I649,IF(G649=8,F649,0)))),0)</f>
        <v>0</v>
      </c>
      <c r="K649" s="819">
        <f>ROUND(IF(G649=1,F649/23,IF(G649=3,F649/12,IF(G649=6,F649,IF(G649=7,F649-I649,0)))),0)</f>
        <v>0</v>
      </c>
      <c r="L649" s="820">
        <f>IF(G649=6,F649,0)</f>
        <v>0</v>
      </c>
      <c r="P649" s="768" t="n"/>
      <c r="Q649" s="769" t="str">
        <f>IF($F649="","",IFERROR(VLOOKUP($C649&amp;"|"&amp;$D649,科目表!$A$5:$B$200,2,FALSE),"※未登録"))</f>
        <v/>
      </c>
      <c r="R649" s="769" t="str">
        <f>IF($F649="","",$I649+$J649+$K649)</f>
        <v/>
      </c>
      <c r="S649" s="769" t="str">
        <f>IF(OR($F649="",$P649="支払なし",$H649=0,$Q649=""),"",$Q649&amp;"|S|"&amp;(COUNTIF(S$4:S648,$Q649&amp;"|S|*")+1))</f>
        <v/>
      </c>
      <c r="T649" s="769" t="str">
        <f>IF(OR($F649="",$P649="支払なし",$R649=0,$Q649=""),"",$Q649&amp;"|L|"&amp;(COUNTIF(T$4:T648,$Q649&amp;"|L|*")+1))</f>
        <v/>
      </c>
      <c r="U649" s="769" t="str">
        <f>IF($F649="","",13)</f>
        <v/>
      </c>
    </row>
    <row r="650" ht="16.5" customHeight="1" s="186">
      <c r="A650" s="760" t="n"/>
      <c r="B650" s="760" t="n"/>
      <c r="C650" s="762" t="n"/>
      <c r="D650" s="762" t="n"/>
      <c r="E650" s="775" t="n"/>
      <c r="F650" s="821" t="n"/>
      <c r="G650" s="821" t="n"/>
      <c r="H650" s="818">
        <f>IF(G650=1,F650-I650-J650-K650,IF(G650=2,F650,0))</f>
        <v>0</v>
      </c>
      <c r="I650" s="818">
        <f>ROUND(IF(G650=1,F650*10/23,IF(G650=3,F650-J650-K650,IF(G650=4,F650,IF(G650=5,F650*10/11,IF(G650=7,F650*10/11,0))))),0)</f>
        <v>0</v>
      </c>
      <c r="J650" s="818">
        <f>ROUND(IF(G650=1,F650/23,IF(G650=3,F650/12,IF(G650=5,F650-I650,IF(G650=8,F650,0)))),0)</f>
        <v>0</v>
      </c>
      <c r="K650" s="819">
        <f>ROUND(IF(G650=1,F650/23,IF(G650=3,F650/12,IF(G650=6,F650,IF(G650=7,F650-I650,0)))),0)</f>
        <v>0</v>
      </c>
      <c r="L650" s="820">
        <f>IF(G650=6,F650,0)</f>
        <v>0</v>
      </c>
      <c r="P650" s="768" t="n"/>
      <c r="Q650" s="769" t="str">
        <f>IF($F650="","",IFERROR(VLOOKUP($C650&amp;"|"&amp;$D650,科目表!$A$5:$B$200,2,FALSE),"※未登録"))</f>
        <v/>
      </c>
      <c r="R650" s="769" t="str">
        <f>IF($F650="","",$I650+$J650+$K650)</f>
        <v/>
      </c>
      <c r="S650" s="769" t="str">
        <f>IF(OR($F650="",$P650="支払なし",$H650=0,$Q650=""),"",$Q650&amp;"|S|"&amp;(COUNTIF(S$4:S649,$Q650&amp;"|S|*")+1))</f>
        <v/>
      </c>
      <c r="T650" s="769" t="str">
        <f>IF(OR($F650="",$P650="支払なし",$R650=0,$Q650=""),"",$Q650&amp;"|L|"&amp;(COUNTIF(T$4:T649,$Q650&amp;"|L|*")+1))</f>
        <v/>
      </c>
      <c r="U650" s="769" t="str">
        <f>IF($F650="","",13)</f>
        <v/>
      </c>
    </row>
    <row r="651" ht="16.5" customHeight="1" s="186">
      <c r="A651" s="760" t="n"/>
      <c r="B651" s="760" t="n"/>
      <c r="C651" s="762" t="n"/>
      <c r="D651" s="762" t="n"/>
      <c r="E651" s="775" t="n"/>
      <c r="F651" s="821" t="n"/>
      <c r="G651" s="821" t="n"/>
      <c r="H651" s="818">
        <f>IF(G651=1,F651-I651-J651-K651,IF(G651=2,F651,0))</f>
        <v>0</v>
      </c>
      <c r="I651" s="818">
        <f>ROUND(IF(G651=1,F651*10/23,IF(G651=3,F651-J651-K651,IF(G651=4,F651,IF(G651=5,F651*10/11,IF(G651=7,F651*10/11,0))))),0)</f>
        <v>0</v>
      </c>
      <c r="J651" s="818">
        <f>ROUND(IF(G651=1,F651/23,IF(G651=3,F651/12,IF(G651=5,F651-I651,IF(G651=8,F651,0)))),0)</f>
        <v>0</v>
      </c>
      <c r="K651" s="819">
        <f>ROUND(IF(G651=1,F651/23,IF(G651=3,F651/12,IF(G651=6,F651,IF(G651=7,F651-I651,0)))),0)</f>
        <v>0</v>
      </c>
      <c r="L651" s="820">
        <f>IF(G651=6,F651,0)</f>
        <v>0</v>
      </c>
      <c r="P651" s="768" t="n"/>
      <c r="Q651" s="769" t="str">
        <f>IF($F651="","",IFERROR(VLOOKUP($C651&amp;"|"&amp;$D651,科目表!$A$5:$B$200,2,FALSE),"※未登録"))</f>
        <v/>
      </c>
      <c r="R651" s="769" t="str">
        <f>IF($F651="","",$I651+$J651+$K651)</f>
        <v/>
      </c>
      <c r="S651" s="769" t="str">
        <f>IF(OR($F651="",$P651="支払なし",$H651=0,$Q651=""),"",$Q651&amp;"|S|"&amp;(COUNTIF(S$4:S650,$Q651&amp;"|S|*")+1))</f>
        <v/>
      </c>
      <c r="T651" s="769" t="str">
        <f>IF(OR($F651="",$P651="支払なし",$R651=0,$Q651=""),"",$Q651&amp;"|L|"&amp;(COUNTIF(T$4:T650,$Q651&amp;"|L|*")+1))</f>
        <v/>
      </c>
      <c r="U651" s="769" t="str">
        <f>IF($F651="","",13)</f>
        <v/>
      </c>
    </row>
    <row r="652" ht="16.5" customHeight="1" s="186">
      <c r="A652" s="760" t="n"/>
      <c r="B652" s="760" t="n"/>
      <c r="C652" s="762" t="n"/>
      <c r="D652" s="762" t="n"/>
      <c r="E652" s="775" t="n"/>
      <c r="F652" s="821" t="n"/>
      <c r="G652" s="821" t="n"/>
      <c r="H652" s="818">
        <f>IF(G652=1,F652-I652-J652-K652,IF(G652=2,F652,0))</f>
        <v>0</v>
      </c>
      <c r="I652" s="818">
        <f>ROUND(IF(G652=1,F652*10/23,IF(G652=3,F652-J652-K652,IF(G652=4,F652,IF(G652=5,F652*10/11,IF(G652=7,F652*10/11,0))))),0)</f>
        <v>0</v>
      </c>
      <c r="J652" s="818">
        <f>ROUND(IF(G652=1,F652/23,IF(G652=3,F652/12,IF(G652=5,F652-I652,IF(G652=8,F652,0)))),0)</f>
        <v>0</v>
      </c>
      <c r="K652" s="819">
        <f>ROUND(IF(G652=1,F652/23,IF(G652=3,F652/12,IF(G652=6,F652,IF(G652=7,F652-I652,0)))),0)</f>
        <v>0</v>
      </c>
      <c r="L652" s="820">
        <f>IF(G652=6,F652,0)</f>
        <v>0</v>
      </c>
      <c r="P652" s="768" t="n"/>
      <c r="Q652" s="769" t="str">
        <f>IF($F652="","",IFERROR(VLOOKUP($C652&amp;"|"&amp;$D652,科目表!$A$5:$B$200,2,FALSE),"※未登録"))</f>
        <v/>
      </c>
      <c r="R652" s="769" t="str">
        <f>IF($F652="","",$I652+$J652+$K652)</f>
        <v/>
      </c>
      <c r="S652" s="769" t="str">
        <f>IF(OR($F652="",$P652="支払なし",$H652=0,$Q652=""),"",$Q652&amp;"|S|"&amp;(COUNTIF(S$4:S651,$Q652&amp;"|S|*")+1))</f>
        <v/>
      </c>
      <c r="T652" s="769" t="str">
        <f>IF(OR($F652="",$P652="支払なし",$R652=0,$Q652=""),"",$Q652&amp;"|L|"&amp;(COUNTIF(T$4:T651,$Q652&amp;"|L|*")+1))</f>
        <v/>
      </c>
      <c r="U652" s="769" t="str">
        <f>IF($F652="","",13)</f>
        <v/>
      </c>
    </row>
    <row r="653" ht="16.5" customHeight="1" s="186">
      <c r="A653" s="760" t="n"/>
      <c r="B653" s="760" t="n"/>
      <c r="C653" s="762" t="n"/>
      <c r="D653" s="762" t="n"/>
      <c r="E653" s="775" t="n"/>
      <c r="F653" s="821" t="n"/>
      <c r="G653" s="821" t="n"/>
      <c r="H653" s="818">
        <f>IF(G653=1,F653-I653-J653-K653,IF(G653=2,F653,0))</f>
        <v>0</v>
      </c>
      <c r="I653" s="818">
        <f>ROUND(IF(G653=1,F653*10/23,IF(G653=3,F653-J653-K653,IF(G653=4,F653,IF(G653=5,F653*10/11,IF(G653=7,F653*10/11,0))))),0)</f>
        <v>0</v>
      </c>
      <c r="J653" s="818">
        <f>ROUND(IF(G653=1,F653/23,IF(G653=3,F653/12,IF(G653=5,F653-I653,IF(G653=8,F653,0)))),0)</f>
        <v>0</v>
      </c>
      <c r="K653" s="819">
        <f>ROUND(IF(G653=1,F653/23,IF(G653=3,F653/12,IF(G653=6,F653,IF(G653=7,F653-I653,0)))),0)</f>
        <v>0</v>
      </c>
      <c r="L653" s="820">
        <f>IF(G653=6,F653,0)</f>
        <v>0</v>
      </c>
      <c r="P653" s="768" t="n"/>
      <c r="Q653" s="769" t="str">
        <f>IF($F653="","",IFERROR(VLOOKUP($C653&amp;"|"&amp;$D653,科目表!$A$5:$B$200,2,FALSE),"※未登録"))</f>
        <v/>
      </c>
      <c r="R653" s="769" t="str">
        <f>IF($F653="","",$I653+$J653+$K653)</f>
        <v/>
      </c>
      <c r="S653" s="769" t="str">
        <f>IF(OR($F653="",$P653="支払なし",$H653=0,$Q653=""),"",$Q653&amp;"|S|"&amp;(COUNTIF(S$4:S652,$Q653&amp;"|S|*")+1))</f>
        <v/>
      </c>
      <c r="T653" s="769" t="str">
        <f>IF(OR($F653="",$P653="支払なし",$R653=0,$Q653=""),"",$Q653&amp;"|L|"&amp;(COUNTIF(T$4:T652,$Q653&amp;"|L|*")+1))</f>
        <v/>
      </c>
      <c r="U653" s="769" t="str">
        <f>IF($F653="","",13)</f>
        <v/>
      </c>
    </row>
    <row r="654" ht="16.5" customHeight="1" s="186">
      <c r="A654" s="760" t="n"/>
      <c r="B654" s="760" t="n"/>
      <c r="C654" s="762" t="n"/>
      <c r="D654" s="762" t="n"/>
      <c r="E654" s="775" t="n"/>
      <c r="F654" s="821" t="n"/>
      <c r="G654" s="821" t="n"/>
      <c r="H654" s="818">
        <f>IF(G654=1,F654-I654-J654-K654,IF(G654=2,F654,0))</f>
        <v>0</v>
      </c>
      <c r="I654" s="818">
        <f>ROUND(IF(G654=1,F654*10/23,IF(G654=3,F654-J654-K654,IF(G654=4,F654,IF(G654=5,F654*10/11,IF(G654=7,F654*10/11,0))))),0)</f>
        <v>0</v>
      </c>
      <c r="J654" s="818">
        <f>ROUND(IF(G654=1,F654/23,IF(G654=3,F654/12,IF(G654=5,F654-I654,IF(G654=8,F654,0)))),0)</f>
        <v>0</v>
      </c>
      <c r="K654" s="819">
        <f>ROUND(IF(G654=1,F654/23,IF(G654=3,F654/12,IF(G654=6,F654,IF(G654=7,F654-I654,0)))),0)</f>
        <v>0</v>
      </c>
      <c r="L654" s="820">
        <f>IF(G654=6,F654,0)</f>
        <v>0</v>
      </c>
      <c r="P654" s="768" t="n"/>
      <c r="Q654" s="769" t="str">
        <f>IF($F654="","",IFERROR(VLOOKUP($C654&amp;"|"&amp;$D654,科目表!$A$5:$B$200,2,FALSE),"※未登録"))</f>
        <v/>
      </c>
      <c r="R654" s="769" t="str">
        <f>IF($F654="","",$I654+$J654+$K654)</f>
        <v/>
      </c>
      <c r="S654" s="769" t="str">
        <f>IF(OR($F654="",$P654="支払なし",$H654=0,$Q654=""),"",$Q654&amp;"|S|"&amp;(COUNTIF(S$4:S653,$Q654&amp;"|S|*")+1))</f>
        <v/>
      </c>
      <c r="T654" s="769" t="str">
        <f>IF(OR($F654="",$P654="支払なし",$R654=0,$Q654=""),"",$Q654&amp;"|L|"&amp;(COUNTIF(T$4:T653,$Q654&amp;"|L|*")+1))</f>
        <v/>
      </c>
      <c r="U654" s="769" t="str">
        <f>IF($F654="","",13)</f>
        <v/>
      </c>
    </row>
    <row r="655" ht="16.5" customHeight="1" s="186">
      <c r="A655" s="760" t="n"/>
      <c r="B655" s="760" t="n"/>
      <c r="C655" s="762" t="n"/>
      <c r="D655" s="762" t="n"/>
      <c r="E655" s="775" t="n"/>
      <c r="F655" s="821" t="n"/>
      <c r="G655" s="821" t="n"/>
      <c r="H655" s="818">
        <f>IF(G655=1,F655-I655-J655-K655,IF(G655=2,F655,0))</f>
        <v>0</v>
      </c>
      <c r="I655" s="818">
        <f>ROUND(IF(G655=1,F655*10/23,IF(G655=3,F655-J655-K655,IF(G655=4,F655,IF(G655=5,F655*10/11,IF(G655=7,F655*10/11,0))))),0)</f>
        <v>0</v>
      </c>
      <c r="J655" s="818">
        <f>ROUND(IF(G655=1,F655/23,IF(G655=3,F655/12,IF(G655=5,F655-I655,IF(G655=8,F655,0)))),0)</f>
        <v>0</v>
      </c>
      <c r="K655" s="819">
        <f>ROUND(IF(G655=1,F655/23,IF(G655=3,F655/12,IF(G655=6,F655,IF(G655=7,F655-I655,0)))),0)</f>
        <v>0</v>
      </c>
      <c r="L655" s="820">
        <f>IF(G655=6,F655,0)</f>
        <v>0</v>
      </c>
      <c r="P655" s="768" t="n"/>
      <c r="Q655" s="769" t="str">
        <f>IF($F655="","",IFERROR(VLOOKUP($C655&amp;"|"&amp;$D655,科目表!$A$5:$B$200,2,FALSE),"※未登録"))</f>
        <v/>
      </c>
      <c r="R655" s="769" t="str">
        <f>IF($F655="","",$I655+$J655+$K655)</f>
        <v/>
      </c>
      <c r="S655" s="769" t="str">
        <f>IF(OR($F655="",$P655="支払なし",$H655=0,$Q655=""),"",$Q655&amp;"|S|"&amp;(COUNTIF(S$4:S654,$Q655&amp;"|S|*")+1))</f>
        <v/>
      </c>
      <c r="T655" s="769" t="str">
        <f>IF(OR($F655="",$P655="支払なし",$R655=0,$Q655=""),"",$Q655&amp;"|L|"&amp;(COUNTIF(T$4:T654,$Q655&amp;"|L|*")+1))</f>
        <v/>
      </c>
      <c r="U655" s="769" t="str">
        <f>IF($F655="","",13)</f>
        <v/>
      </c>
    </row>
    <row r="656" ht="16.5" customHeight="1" s="186">
      <c r="A656" s="760" t="n"/>
      <c r="B656" s="760" t="n"/>
      <c r="C656" s="762" t="n"/>
      <c r="D656" s="762" t="n"/>
      <c r="E656" s="775" t="n"/>
      <c r="F656" s="821" t="n"/>
      <c r="G656" s="821" t="n"/>
      <c r="H656" s="818">
        <f>IF(G656=1,F656-I656-J656-K656,IF(G656=2,F656,0))</f>
        <v>0</v>
      </c>
      <c r="I656" s="818">
        <f>ROUND(IF(G656=1,F656*10/23,IF(G656=3,F656-J656-K656,IF(G656=4,F656,IF(G656=5,F656*10/11,IF(G656=7,F656*10/11,0))))),0)</f>
        <v>0</v>
      </c>
      <c r="J656" s="818">
        <f>ROUND(IF(G656=1,F656/23,IF(G656=3,F656/12,IF(G656=5,F656-I656,IF(G656=8,F656,0)))),0)</f>
        <v>0</v>
      </c>
      <c r="K656" s="819">
        <f>ROUND(IF(G656=1,F656/23,IF(G656=3,F656/12,IF(G656=6,F656,IF(G656=7,F656-I656,0)))),0)</f>
        <v>0</v>
      </c>
      <c r="L656" s="820">
        <f>IF(G656=6,F656,0)</f>
        <v>0</v>
      </c>
      <c r="P656" s="768" t="n"/>
      <c r="Q656" s="769" t="str">
        <f>IF($F656="","",IFERROR(VLOOKUP($C656&amp;"|"&amp;$D656,科目表!$A$5:$B$200,2,FALSE),"※未登録"))</f>
        <v/>
      </c>
      <c r="R656" s="769" t="str">
        <f>IF($F656="","",$I656+$J656+$K656)</f>
        <v/>
      </c>
      <c r="S656" s="769" t="str">
        <f>IF(OR($F656="",$P656="支払なし",$H656=0,$Q656=""),"",$Q656&amp;"|S|"&amp;(COUNTIF(S$4:S655,$Q656&amp;"|S|*")+1))</f>
        <v/>
      </c>
      <c r="T656" s="769" t="str">
        <f>IF(OR($F656="",$P656="支払なし",$R656=0,$Q656=""),"",$Q656&amp;"|L|"&amp;(COUNTIF(T$4:T655,$Q656&amp;"|L|*")+1))</f>
        <v/>
      </c>
      <c r="U656" s="769" t="str">
        <f>IF($F656="","",13)</f>
        <v/>
      </c>
    </row>
    <row r="657" ht="16.5" customHeight="1" s="186">
      <c r="A657" s="760" t="n"/>
      <c r="B657" s="760" t="n"/>
      <c r="C657" s="762" t="n"/>
      <c r="D657" s="762" t="n"/>
      <c r="E657" s="775" t="n"/>
      <c r="F657" s="821" t="n"/>
      <c r="G657" s="821" t="n"/>
      <c r="H657" s="818">
        <f>IF(G657=1,F657-I657-J657-K657,IF(G657=2,F657,0))</f>
        <v>0</v>
      </c>
      <c r="I657" s="818">
        <f>ROUND(IF(G657=1,F657*10/23,IF(G657=3,F657-J657-K657,IF(G657=4,F657,IF(G657=5,F657*10/11,IF(G657=7,F657*10/11,0))))),0)</f>
        <v>0</v>
      </c>
      <c r="J657" s="818">
        <f>ROUND(IF(G657=1,F657/23,IF(G657=3,F657/12,IF(G657=5,F657-I657,IF(G657=8,F657,0)))),0)</f>
        <v>0</v>
      </c>
      <c r="K657" s="819">
        <f>ROUND(IF(G657=1,F657/23,IF(G657=3,F657/12,IF(G657=6,F657,IF(G657=7,F657-I657,0)))),0)</f>
        <v>0</v>
      </c>
      <c r="L657" s="820">
        <f>IF(G657=6,F657,0)</f>
        <v>0</v>
      </c>
      <c r="P657" s="768" t="n"/>
      <c r="Q657" s="769" t="str">
        <f>IF($F657="","",IFERROR(VLOOKUP($C657&amp;"|"&amp;$D657,科目表!$A$5:$B$200,2,FALSE),"※未登録"))</f>
        <v/>
      </c>
      <c r="R657" s="769" t="str">
        <f>IF($F657="","",$I657+$J657+$K657)</f>
        <v/>
      </c>
      <c r="S657" s="769" t="str">
        <f>IF(OR($F657="",$P657="支払なし",$H657=0,$Q657=""),"",$Q657&amp;"|S|"&amp;(COUNTIF(S$4:S656,$Q657&amp;"|S|*")+1))</f>
        <v/>
      </c>
      <c r="T657" s="769" t="str">
        <f>IF(OR($F657="",$P657="支払なし",$R657=0,$Q657=""),"",$Q657&amp;"|L|"&amp;(COUNTIF(T$4:T656,$Q657&amp;"|L|*")+1))</f>
        <v/>
      </c>
      <c r="U657" s="769" t="str">
        <f>IF($F657="","",13)</f>
        <v/>
      </c>
    </row>
    <row r="658" ht="16.5" customHeight="1" s="186">
      <c r="A658" s="760" t="n"/>
      <c r="B658" s="760" t="n"/>
      <c r="C658" s="762" t="n"/>
      <c r="D658" s="762" t="n"/>
      <c r="E658" s="762" t="n"/>
      <c r="F658" s="821" t="n"/>
      <c r="G658" s="821" t="n"/>
      <c r="H658" s="818">
        <f>IF(G658=1,F658-I658-J658-K658,IF(G658=2,F658,0))</f>
        <v>0</v>
      </c>
      <c r="I658" s="818">
        <f>ROUND(IF(G658=1,F658*10/23,IF(G658=3,F658-J658-K658,IF(G658=4,F658,IF(G658=5,F658*10/11,IF(G658=7,F658*10/11,0))))),0)</f>
        <v>0</v>
      </c>
      <c r="J658" s="818">
        <f>ROUND(IF(G658=1,F658/23,IF(G658=3,F658/12,IF(G658=5,F658-I658,IF(G658=8,F658,0)))),0)</f>
        <v>0</v>
      </c>
      <c r="K658" s="819">
        <f>ROUND(IF(G658=1,F658/23,IF(G658=3,F658/12,IF(G658=6,F658,IF(G658=7,F658-I658,0)))),0)</f>
        <v>0</v>
      </c>
      <c r="L658" s="820">
        <f>IF(G658=6,F658,0)</f>
        <v>0</v>
      </c>
      <c r="P658" s="768" t="n"/>
      <c r="Q658" s="769" t="str">
        <f>IF($F658="","",IFERROR(VLOOKUP($C658&amp;"|"&amp;$D658,科目表!$A$5:$B$200,2,FALSE),"※未登録"))</f>
        <v/>
      </c>
      <c r="R658" s="769" t="str">
        <f>IF($F658="","",$I658+$J658+$K658)</f>
        <v/>
      </c>
      <c r="S658" s="769" t="str">
        <f>IF(OR($F658="",$P658="支払なし",$H658=0,$Q658=""),"",$Q658&amp;"|S|"&amp;(COUNTIF(S$4:S657,$Q658&amp;"|S|*")+1))</f>
        <v/>
      </c>
      <c r="T658" s="769" t="str">
        <f>IF(OR($F658="",$P658="支払なし",$R658=0,$Q658=""),"",$Q658&amp;"|L|"&amp;(COUNTIF(T$4:T657,$Q658&amp;"|L|*")+1))</f>
        <v/>
      </c>
      <c r="U658" s="769" t="str">
        <f>IF($F658="","",13)</f>
        <v/>
      </c>
    </row>
    <row r="659" ht="16.5" customHeight="1" s="186">
      <c r="A659" s="760" t="n"/>
      <c r="B659" s="760" t="n"/>
      <c r="C659" s="762" t="n"/>
      <c r="D659" s="762" t="n"/>
      <c r="E659" s="775" t="n"/>
      <c r="F659" s="821" t="n"/>
      <c r="G659" s="821" t="n"/>
      <c r="H659" s="818">
        <f>IF(G659=1,F659-I659-J659-K659,IF(G659=2,F659,0))</f>
        <v>0</v>
      </c>
      <c r="I659" s="818">
        <f>ROUND(IF(G659=1,F659*10/23,IF(G659=3,F659-J659-K659,IF(G659=4,F659,IF(G659=5,F659*10/11,IF(G659=7,F659*10/11,0))))),0)</f>
        <v>0</v>
      </c>
      <c r="J659" s="818">
        <f>ROUND(IF(G659=1,F659/23,IF(G659=3,F659/12,IF(G659=5,F659-I659,IF(G659=8,F659,0)))),0)</f>
        <v>0</v>
      </c>
      <c r="K659" s="819">
        <f>ROUND(IF(G659=1,F659/23,IF(G659=3,F659/12,IF(G659=6,F659,IF(G659=7,F659-I659,0)))),0)</f>
        <v>0</v>
      </c>
      <c r="L659" s="820">
        <f>IF(G659=6,F659,0)</f>
        <v>0</v>
      </c>
      <c r="P659" s="768" t="n"/>
      <c r="Q659" s="769" t="str">
        <f>IF($F659="","",IFERROR(VLOOKUP($C659&amp;"|"&amp;$D659,科目表!$A$5:$B$200,2,FALSE),"※未登録"))</f>
        <v/>
      </c>
      <c r="R659" s="769" t="str">
        <f>IF($F659="","",$I659+$J659+$K659)</f>
        <v/>
      </c>
      <c r="S659" s="769" t="str">
        <f>IF(OR($F659="",$P659="支払なし",$H659=0,$Q659=""),"",$Q659&amp;"|S|"&amp;(COUNTIF(S$4:S658,$Q659&amp;"|S|*")+1))</f>
        <v/>
      </c>
      <c r="T659" s="769" t="str">
        <f>IF(OR($F659="",$P659="支払なし",$R659=0,$Q659=""),"",$Q659&amp;"|L|"&amp;(COUNTIF(T$4:T658,$Q659&amp;"|L|*")+1))</f>
        <v/>
      </c>
      <c r="U659" s="769" t="str">
        <f>IF($F659="","",13)</f>
        <v/>
      </c>
    </row>
    <row r="660" ht="16.5" customHeight="1" s="186">
      <c r="A660" s="760" t="n"/>
      <c r="B660" s="760" t="n"/>
      <c r="C660" s="762" t="n"/>
      <c r="D660" s="762" t="n"/>
      <c r="E660" s="775" t="n"/>
      <c r="F660" s="821" t="n"/>
      <c r="G660" s="821" t="n"/>
      <c r="H660" s="818">
        <f>IF(G660=1,F660-I660-J660-K660,IF(G660=2,F660,0))</f>
        <v>0</v>
      </c>
      <c r="I660" s="818">
        <f>ROUND(IF(G660=1,F660*10/23,IF(G660=3,F660-J660-K660,IF(G660=4,F660,IF(G660=5,F660*10/11,IF(G660=7,F660*10/11,0))))),0)</f>
        <v>0</v>
      </c>
      <c r="J660" s="818">
        <f>ROUND(IF(G660=1,F660/23,IF(G660=3,F660/12,IF(G660=5,F660-I660,IF(G660=8,F660,0)))),0)</f>
        <v>0</v>
      </c>
      <c r="K660" s="819">
        <f>ROUND(IF(G660=1,F660/23,IF(G660=3,F660/12,IF(G660=6,F660,IF(G660=7,F660-I660,0)))),0)</f>
        <v>0</v>
      </c>
      <c r="L660" s="820">
        <f>IF(G660=6,F660,0)</f>
        <v>0</v>
      </c>
      <c r="P660" s="768" t="n"/>
      <c r="Q660" s="769" t="str">
        <f>IF($F660="","",IFERROR(VLOOKUP($C660&amp;"|"&amp;$D660,科目表!$A$5:$B$200,2,FALSE),"※未登録"))</f>
        <v/>
      </c>
      <c r="R660" s="769" t="str">
        <f>IF($F660="","",$I660+$J660+$K660)</f>
        <v/>
      </c>
      <c r="S660" s="769" t="str">
        <f>IF(OR($F660="",$P660="支払なし",$H660=0,$Q660=""),"",$Q660&amp;"|S|"&amp;(COUNTIF(S$4:S659,$Q660&amp;"|S|*")+1))</f>
        <v/>
      </c>
      <c r="T660" s="769" t="str">
        <f>IF(OR($F660="",$P660="支払なし",$R660=0,$Q660=""),"",$Q660&amp;"|L|"&amp;(COUNTIF(T$4:T659,$Q660&amp;"|L|*")+1))</f>
        <v/>
      </c>
      <c r="U660" s="769" t="str">
        <f>IF($F660="","",13)</f>
        <v/>
      </c>
    </row>
    <row r="661" ht="16.5" customHeight="1" s="186">
      <c r="A661" s="760" t="n"/>
      <c r="B661" s="760" t="n"/>
      <c r="C661" s="762" t="n"/>
      <c r="D661" s="762" t="n"/>
      <c r="E661" s="775" t="n"/>
      <c r="F661" s="821" t="n"/>
      <c r="G661" s="821" t="n"/>
      <c r="H661" s="818">
        <f>IF(G661=1,F661-I661-J661-K661,IF(G661=2,F661,0))</f>
        <v>0</v>
      </c>
      <c r="I661" s="818">
        <f>ROUND(IF(G661=1,F661*10/23,IF(G661=3,F661-J661-K661,IF(G661=4,F661,IF(G661=5,F661*10/11,IF(G661=7,F661*10/11,0))))),0)</f>
        <v>0</v>
      </c>
      <c r="J661" s="818">
        <f>ROUND(IF(G661=1,F661/23,IF(G661=3,F661/12,IF(G661=5,F661-I661,IF(G661=8,F661,0)))),0)</f>
        <v>0</v>
      </c>
      <c r="K661" s="819">
        <f>ROUND(IF(G661=1,F661/23,IF(G661=3,F661/12,IF(G661=6,F661,IF(G661=7,F661-I661,0)))),0)</f>
        <v>0</v>
      </c>
      <c r="L661" s="820">
        <f>IF(G661=6,F661,0)</f>
        <v>0</v>
      </c>
      <c r="P661" s="768" t="n"/>
      <c r="Q661" s="769" t="str">
        <f>IF($F661="","",IFERROR(VLOOKUP($C661&amp;"|"&amp;$D661,科目表!$A$5:$B$200,2,FALSE),"※未登録"))</f>
        <v/>
      </c>
      <c r="R661" s="769" t="str">
        <f>IF($F661="","",$I661+$J661+$K661)</f>
        <v/>
      </c>
      <c r="S661" s="769" t="str">
        <f>IF(OR($F661="",$P661="支払なし",$H661=0,$Q661=""),"",$Q661&amp;"|S|"&amp;(COUNTIF(S$4:S660,$Q661&amp;"|S|*")+1))</f>
        <v/>
      </c>
      <c r="T661" s="769" t="str">
        <f>IF(OR($F661="",$P661="支払なし",$R661=0,$Q661=""),"",$Q661&amp;"|L|"&amp;(COUNTIF(T$4:T660,$Q661&amp;"|L|*")+1))</f>
        <v/>
      </c>
      <c r="U661" s="769" t="str">
        <f>IF($F661="","",13)</f>
        <v/>
      </c>
    </row>
    <row r="662" ht="16.5" customHeight="1" s="186">
      <c r="A662" s="760" t="n"/>
      <c r="B662" s="760" t="n"/>
      <c r="C662" s="762" t="n"/>
      <c r="D662" s="762" t="n"/>
      <c r="E662" s="775" t="n"/>
      <c r="F662" s="821" t="n"/>
      <c r="G662" s="821" t="n"/>
      <c r="H662" s="818">
        <f>IF(G662=1,F662-I662-J662-K662,IF(G662=2,F662,0))</f>
        <v>0</v>
      </c>
      <c r="I662" s="818">
        <f>ROUND(IF(G662=1,F662*10/23,IF(G662=3,F662-J662-K662,IF(G662=4,F662,IF(G662=5,F662*10/11,IF(G662=7,F662*10/11,0))))),0)</f>
        <v>0</v>
      </c>
      <c r="J662" s="818">
        <f>ROUND(IF(G662=1,F662/23,IF(G662=3,F662/12,IF(G662=5,F662-I662,IF(G662=8,F662,0)))),0)</f>
        <v>0</v>
      </c>
      <c r="K662" s="819">
        <f>ROUND(IF(G662=1,F662/23,IF(G662=3,F662/12,IF(G662=6,F662,IF(G662=7,F662-I662,0)))),0)</f>
        <v>0</v>
      </c>
      <c r="L662" s="820">
        <f>IF(G662=6,F662,0)</f>
        <v>0</v>
      </c>
      <c r="P662" s="768" t="n"/>
      <c r="Q662" s="769" t="str">
        <f>IF($F662="","",IFERROR(VLOOKUP($C662&amp;"|"&amp;$D662,科目表!$A$5:$B$200,2,FALSE),"※未登録"))</f>
        <v/>
      </c>
      <c r="R662" s="769" t="str">
        <f>IF($F662="","",$I662+$J662+$K662)</f>
        <v/>
      </c>
      <c r="S662" s="769" t="str">
        <f>IF(OR($F662="",$P662="支払なし",$H662=0,$Q662=""),"",$Q662&amp;"|S|"&amp;(COUNTIF(S$4:S661,$Q662&amp;"|S|*")+1))</f>
        <v/>
      </c>
      <c r="T662" s="769" t="str">
        <f>IF(OR($F662="",$P662="支払なし",$R662=0,$Q662=""),"",$Q662&amp;"|L|"&amp;(COUNTIF(T$4:T661,$Q662&amp;"|L|*")+1))</f>
        <v/>
      </c>
      <c r="U662" s="769" t="str">
        <f>IF($F662="","",13)</f>
        <v/>
      </c>
    </row>
    <row r="663" ht="16.5" customHeight="1" s="186">
      <c r="A663" s="760" t="n"/>
      <c r="B663" s="760" t="n"/>
      <c r="C663" s="762" t="n"/>
      <c r="D663" s="762" t="n"/>
      <c r="E663" s="775" t="n"/>
      <c r="F663" s="821" t="n"/>
      <c r="G663" s="821" t="n"/>
      <c r="H663" s="818">
        <f>IF(G663=1,F663-I663-J663-K663,IF(G663=2,F663,0))</f>
        <v>0</v>
      </c>
      <c r="I663" s="818">
        <f>ROUND(IF(G663=1,F663*10/23,IF(G663=3,F663-J663-K663,IF(G663=4,F663,IF(G663=5,F663*10/11,IF(G663=7,F663*10/11,0))))),0)</f>
        <v>0</v>
      </c>
      <c r="J663" s="818">
        <f>ROUND(IF(G663=1,F663/23,IF(G663=3,F663/12,IF(G663=5,F663-I663,IF(G663=8,F663,0)))),0)</f>
        <v>0</v>
      </c>
      <c r="K663" s="819">
        <f>ROUND(IF(G663=1,F663/23,IF(G663=3,F663/12,IF(G663=6,F663,IF(G663=7,F663-I663,0)))),0)</f>
        <v>0</v>
      </c>
      <c r="L663" s="820">
        <f>IF(G663=6,F663,0)</f>
        <v>0</v>
      </c>
      <c r="P663" s="768" t="n"/>
      <c r="Q663" s="769" t="str">
        <f>IF($F663="","",IFERROR(VLOOKUP($C663&amp;"|"&amp;$D663,科目表!$A$5:$B$200,2,FALSE),"※未登録"))</f>
        <v/>
      </c>
      <c r="R663" s="769" t="str">
        <f>IF($F663="","",$I663+$J663+$K663)</f>
        <v/>
      </c>
      <c r="S663" s="769" t="str">
        <f>IF(OR($F663="",$P663="支払なし",$H663=0,$Q663=""),"",$Q663&amp;"|S|"&amp;(COUNTIF(S$4:S662,$Q663&amp;"|S|*")+1))</f>
        <v/>
      </c>
      <c r="T663" s="769" t="str">
        <f>IF(OR($F663="",$P663="支払なし",$R663=0,$Q663=""),"",$Q663&amp;"|L|"&amp;(COUNTIF(T$4:T662,$Q663&amp;"|L|*")+1))</f>
        <v/>
      </c>
      <c r="U663" s="769" t="str">
        <f>IF($F663="","",13)</f>
        <v/>
      </c>
    </row>
    <row r="664" ht="16.5" customHeight="1" s="186">
      <c r="A664" s="760" t="n"/>
      <c r="B664" s="760" t="n"/>
      <c r="C664" s="762" t="n"/>
      <c r="D664" s="762" t="n"/>
      <c r="E664" s="775" t="n"/>
      <c r="F664" s="821" t="n"/>
      <c r="G664" s="821" t="n"/>
      <c r="H664" s="818">
        <f>IF(G664=1,F664-I664-J664-K664,IF(G664=2,F664,0))</f>
        <v>0</v>
      </c>
      <c r="I664" s="818">
        <f>ROUND(IF(G664=1,F664*10/23,IF(G664=3,F664-J664-K664,IF(G664=4,F664,IF(G664=5,F664*10/11,IF(G664=7,F664*10/11,0))))),0)</f>
        <v>0</v>
      </c>
      <c r="J664" s="818">
        <f>ROUND(IF(G664=1,F664/23,IF(G664=3,F664/12,IF(G664=5,F664-I664,IF(G664=8,F664,0)))),0)</f>
        <v>0</v>
      </c>
      <c r="K664" s="819">
        <f>ROUND(IF(G664=1,F664/23,IF(G664=3,F664/12,IF(G664=6,F664,IF(G664=7,F664-I664,0)))),0)</f>
        <v>0</v>
      </c>
      <c r="L664" s="820">
        <f>IF(G664=6,F664,0)</f>
        <v>0</v>
      </c>
      <c r="P664" s="768" t="n"/>
      <c r="Q664" s="769" t="str">
        <f>IF($F664="","",IFERROR(VLOOKUP($C664&amp;"|"&amp;$D664,科目表!$A$5:$B$200,2,FALSE),"※未登録"))</f>
        <v/>
      </c>
      <c r="R664" s="769" t="str">
        <f>IF($F664="","",$I664+$J664+$K664)</f>
        <v/>
      </c>
      <c r="S664" s="769" t="str">
        <f>IF(OR($F664="",$P664="支払なし",$H664=0,$Q664=""),"",$Q664&amp;"|S|"&amp;(COUNTIF(S$4:S663,$Q664&amp;"|S|*")+1))</f>
        <v/>
      </c>
      <c r="T664" s="769" t="str">
        <f>IF(OR($F664="",$P664="支払なし",$R664=0,$Q664=""),"",$Q664&amp;"|L|"&amp;(COUNTIF(T$4:T663,$Q664&amp;"|L|*")+1))</f>
        <v/>
      </c>
      <c r="U664" s="769" t="str">
        <f>IF($F664="","",13)</f>
        <v/>
      </c>
    </row>
    <row r="665" ht="16.5" customHeight="1" s="186">
      <c r="A665" s="760" t="n"/>
      <c r="B665" s="760" t="n"/>
      <c r="C665" s="762" t="n"/>
      <c r="D665" s="762" t="n"/>
      <c r="E665" s="775" t="n"/>
      <c r="F665" s="821" t="n"/>
      <c r="G665" s="821" t="n"/>
      <c r="H665" s="818">
        <f>IF(G665=1,F665-I665-J665-K665,IF(G665=2,F665,0))</f>
        <v>0</v>
      </c>
      <c r="I665" s="818">
        <f>ROUND(IF(G665=1,F665*10/23,IF(G665=3,F665-J665-K665,IF(G665=4,F665,IF(G665=5,F665*10/11,IF(G665=7,F665*10/11,0))))),0)</f>
        <v>0</v>
      </c>
      <c r="J665" s="818">
        <f>ROUND(IF(G665=1,F665/23,IF(G665=3,F665/12,IF(G665=5,F665-I665,IF(G665=8,F665,0)))),0)</f>
        <v>0</v>
      </c>
      <c r="K665" s="819">
        <f>ROUND(IF(G665=1,F665/23,IF(G665=3,F665/12,IF(G665=6,F665,IF(G665=7,F665-I665,0)))),0)</f>
        <v>0</v>
      </c>
      <c r="L665" s="820">
        <f>IF(G665=6,F665,0)</f>
        <v>0</v>
      </c>
      <c r="P665" s="768" t="n"/>
      <c r="Q665" s="769" t="str">
        <f>IF($F665="","",IFERROR(VLOOKUP($C665&amp;"|"&amp;$D665,科目表!$A$5:$B$200,2,FALSE),"※未登録"))</f>
        <v/>
      </c>
      <c r="R665" s="769" t="str">
        <f>IF($F665="","",$I665+$J665+$K665)</f>
        <v/>
      </c>
      <c r="S665" s="769" t="str">
        <f>IF(OR($F665="",$P665="支払なし",$H665=0,$Q665=""),"",$Q665&amp;"|S|"&amp;(COUNTIF(S$4:S664,$Q665&amp;"|S|*")+1))</f>
        <v/>
      </c>
      <c r="T665" s="769" t="str">
        <f>IF(OR($F665="",$P665="支払なし",$R665=0,$Q665=""),"",$Q665&amp;"|L|"&amp;(COUNTIF(T$4:T664,$Q665&amp;"|L|*")+1))</f>
        <v/>
      </c>
      <c r="U665" s="769" t="str">
        <f>IF($F665="","",13)</f>
        <v/>
      </c>
    </row>
    <row r="666" ht="16.5" customHeight="1" s="186">
      <c r="A666" s="760" t="n"/>
      <c r="B666" s="760" t="n"/>
      <c r="C666" s="762" t="n"/>
      <c r="D666" s="762" t="n"/>
      <c r="E666" s="775" t="n"/>
      <c r="F666" s="821" t="n"/>
      <c r="G666" s="821" t="n"/>
      <c r="H666" s="818">
        <f>IF(G666=1,F666-I666-J666-K666,IF(G666=2,F666,0))</f>
        <v>0</v>
      </c>
      <c r="I666" s="818">
        <f>ROUND(IF(G666=1,F666*10/23,IF(G666=3,F666-J666-K666,IF(G666=4,F666,IF(G666=5,F666*10/11,IF(G666=7,F666*10/11,0))))),0)</f>
        <v>0</v>
      </c>
      <c r="J666" s="818">
        <f>ROUND(IF(G666=1,F666/23,IF(G666=3,F666/12,IF(G666=5,F666-I666,IF(G666=8,F666,0)))),0)</f>
        <v>0</v>
      </c>
      <c r="K666" s="819">
        <f>ROUND(IF(G666=1,F666/23,IF(G666=3,F666/12,IF(G666=6,F666,IF(G666=7,F666-I666,0)))),0)</f>
        <v>0</v>
      </c>
      <c r="L666" s="820">
        <f>IF(G666=6,F666,0)</f>
        <v>0</v>
      </c>
      <c r="P666" s="768" t="n"/>
      <c r="Q666" s="769" t="str">
        <f>IF($F666="","",IFERROR(VLOOKUP($C666&amp;"|"&amp;$D666,科目表!$A$5:$B$200,2,FALSE),"※未登録"))</f>
        <v/>
      </c>
      <c r="R666" s="769" t="str">
        <f>IF($F666="","",$I666+$J666+$K666)</f>
        <v/>
      </c>
      <c r="S666" s="769" t="str">
        <f>IF(OR($F666="",$P666="支払なし",$H666=0,$Q666=""),"",$Q666&amp;"|S|"&amp;(COUNTIF(S$4:S665,$Q666&amp;"|S|*")+1))</f>
        <v/>
      </c>
      <c r="T666" s="769" t="str">
        <f>IF(OR($F666="",$P666="支払なし",$R666=0,$Q666=""),"",$Q666&amp;"|L|"&amp;(COUNTIF(T$4:T665,$Q666&amp;"|L|*")+1))</f>
        <v/>
      </c>
      <c r="U666" s="769" t="str">
        <f>IF($F666="","",13)</f>
        <v/>
      </c>
    </row>
    <row r="667" ht="16.5" customHeight="1" s="186">
      <c r="A667" s="760" t="n"/>
      <c r="B667" s="760" t="n"/>
      <c r="C667" s="762" t="n"/>
      <c r="D667" s="762" t="n"/>
      <c r="E667" s="775" t="n"/>
      <c r="F667" s="821" t="n"/>
      <c r="G667" s="821" t="n"/>
      <c r="H667" s="818">
        <f>IF(G667=1,F667-I667-J667-K667,IF(G667=2,F667,0))</f>
        <v>0</v>
      </c>
      <c r="I667" s="818">
        <f>ROUND(IF(G667=1,F667*10/23,IF(G667=3,F667-J667-K667,IF(G667=4,F667,IF(G667=5,F667*10/11,IF(G667=7,F667*10/11,0))))),0)</f>
        <v>0</v>
      </c>
      <c r="J667" s="818">
        <f>ROUND(IF(G667=1,F667/23,IF(G667=3,F667/12,IF(G667=5,F667-I667,IF(G667=8,F667,0)))),0)</f>
        <v>0</v>
      </c>
      <c r="K667" s="819">
        <f>ROUND(IF(G667=1,F667/23,IF(G667=3,F667/12,IF(G667=6,F667,IF(G667=7,F667-I667,0)))),0)</f>
        <v>0</v>
      </c>
      <c r="L667" s="820">
        <f>IF(G667=6,F667,0)</f>
        <v>0</v>
      </c>
      <c r="P667" s="768" t="n"/>
      <c r="Q667" s="769" t="str">
        <f>IF($F667="","",IFERROR(VLOOKUP($C667&amp;"|"&amp;$D667,科目表!$A$5:$B$200,2,FALSE),"※未登録"))</f>
        <v/>
      </c>
      <c r="R667" s="769" t="str">
        <f>IF($F667="","",$I667+$J667+$K667)</f>
        <v/>
      </c>
      <c r="S667" s="769" t="str">
        <f>IF(OR($F667="",$P667="支払なし",$H667=0,$Q667=""),"",$Q667&amp;"|S|"&amp;(COUNTIF(S$4:S666,$Q667&amp;"|S|*")+1))</f>
        <v/>
      </c>
      <c r="T667" s="769" t="str">
        <f>IF(OR($F667="",$P667="支払なし",$R667=0,$Q667=""),"",$Q667&amp;"|L|"&amp;(COUNTIF(T$4:T666,$Q667&amp;"|L|*")+1))</f>
        <v/>
      </c>
      <c r="U667" s="769" t="str">
        <f>IF($F667="","",13)</f>
        <v/>
      </c>
    </row>
    <row r="668" ht="16.5" customHeight="1" s="186">
      <c r="A668" s="760" t="n"/>
      <c r="B668" s="760" t="n"/>
      <c r="C668" s="762" t="n"/>
      <c r="D668" s="762" t="n"/>
      <c r="E668" s="775" t="n"/>
      <c r="F668" s="821" t="n"/>
      <c r="G668" s="821" t="n"/>
      <c r="H668" s="818">
        <f>IF(G668=1,F668-I668-J668-K668,IF(G668=2,F668,0))</f>
        <v>0</v>
      </c>
      <c r="I668" s="818">
        <f>ROUND(IF(G668=1,F668*10/23,IF(G668=3,F668-J668-K668,IF(G668=4,F668,IF(G668=5,F668*10/11,IF(G668=7,F668*10/11,0))))),0)</f>
        <v>0</v>
      </c>
      <c r="J668" s="818">
        <f>ROUND(IF(G668=1,F668/23,IF(G668=3,F668/12,IF(G668=5,F668-I668,IF(G668=8,F668,0)))),0)</f>
        <v>0</v>
      </c>
      <c r="K668" s="819">
        <f>ROUND(IF(G668=1,F668/23,IF(G668=3,F668/12,IF(G668=6,F668,IF(G668=7,F668-I668,0)))),0)</f>
        <v>0</v>
      </c>
      <c r="L668" s="820">
        <f>IF(G668=6,F668,0)</f>
        <v>0</v>
      </c>
      <c r="P668" s="768" t="n"/>
      <c r="Q668" s="769" t="str">
        <f>IF($F668="","",IFERROR(VLOOKUP($C668&amp;"|"&amp;$D668,科目表!$A$5:$B$200,2,FALSE),"※未登録"))</f>
        <v/>
      </c>
      <c r="R668" s="769" t="str">
        <f>IF($F668="","",$I668+$J668+$K668)</f>
        <v/>
      </c>
      <c r="S668" s="769" t="str">
        <f>IF(OR($F668="",$P668="支払なし",$H668=0,$Q668=""),"",$Q668&amp;"|S|"&amp;(COUNTIF(S$4:S667,$Q668&amp;"|S|*")+1))</f>
        <v/>
      </c>
      <c r="T668" s="769" t="str">
        <f>IF(OR($F668="",$P668="支払なし",$R668=0,$Q668=""),"",$Q668&amp;"|L|"&amp;(COUNTIF(T$4:T667,$Q668&amp;"|L|*")+1))</f>
        <v/>
      </c>
      <c r="U668" s="769" t="str">
        <f>IF($F668="","",13)</f>
        <v/>
      </c>
    </row>
    <row r="669" ht="16.5" customHeight="1" s="186">
      <c r="A669" s="760" t="n"/>
      <c r="B669" s="760" t="n"/>
      <c r="C669" s="762" t="n"/>
      <c r="D669" s="762" t="n"/>
      <c r="E669" s="775" t="n"/>
      <c r="F669" s="821" t="n"/>
      <c r="G669" s="821" t="n"/>
      <c r="H669" s="818">
        <f>IF(G669=1,F669-I669-J669-K669,IF(G669=2,F669,0))</f>
        <v>0</v>
      </c>
      <c r="I669" s="818">
        <f>ROUND(IF(G669=1,F669*10/23,IF(G669=3,F669-J669-K669,IF(G669=4,F669,IF(G669=5,F669*10/11,IF(G669=7,F669*10/11,0))))),0)</f>
        <v>0</v>
      </c>
      <c r="J669" s="818">
        <f>ROUND(IF(G669=1,F669/23,IF(G669=3,F669/12,IF(G669=5,F669-I669,IF(G669=8,F669,0)))),0)</f>
        <v>0</v>
      </c>
      <c r="K669" s="819">
        <f>ROUND(IF(G669=1,F669/23,IF(G669=3,F669/12,IF(G669=6,F669,IF(G669=7,F669-I669,0)))),0)</f>
        <v>0</v>
      </c>
      <c r="L669" s="820">
        <f>IF(G669=6,F669,0)</f>
        <v>0</v>
      </c>
      <c r="P669" s="768" t="n"/>
      <c r="Q669" s="769" t="str">
        <f>IF($F669="","",IFERROR(VLOOKUP($C669&amp;"|"&amp;$D669,科目表!$A$5:$B$200,2,FALSE),"※未登録"))</f>
        <v/>
      </c>
      <c r="R669" s="769" t="str">
        <f>IF($F669="","",$I669+$J669+$K669)</f>
        <v/>
      </c>
      <c r="S669" s="769" t="str">
        <f>IF(OR($F669="",$P669="支払なし",$H669=0,$Q669=""),"",$Q669&amp;"|S|"&amp;(COUNTIF(S$4:S668,$Q669&amp;"|S|*")+1))</f>
        <v/>
      </c>
      <c r="T669" s="769" t="str">
        <f>IF(OR($F669="",$P669="支払なし",$R669=0,$Q669=""),"",$Q669&amp;"|L|"&amp;(COUNTIF(T$4:T668,$Q669&amp;"|L|*")+1))</f>
        <v/>
      </c>
      <c r="U669" s="769" t="str">
        <f>IF($F669="","",13)</f>
        <v/>
      </c>
    </row>
    <row r="670" ht="16.5" customHeight="1" s="186">
      <c r="A670" s="760" t="n"/>
      <c r="B670" s="760" t="n"/>
      <c r="C670" s="762" t="n"/>
      <c r="D670" s="762" t="n"/>
      <c r="E670" s="775" t="n"/>
      <c r="F670" s="821" t="n"/>
      <c r="G670" s="821" t="n"/>
      <c r="H670" s="818">
        <f>IF(G670=1,F670-I670-J670-K670,IF(G670=2,F670,0))</f>
        <v>0</v>
      </c>
      <c r="I670" s="818">
        <f>ROUND(IF(G670=1,F670*10/23,IF(G670=3,F670-J670-K670,IF(G670=4,F670,IF(G670=5,F670*10/11,IF(G670=7,F670*10/11,0))))),0)</f>
        <v>0</v>
      </c>
      <c r="J670" s="818">
        <f>ROUND(IF(G670=1,F670/23,IF(G670=3,F670/12,IF(G670=5,F670-I670,IF(G670=8,F670,0)))),0)</f>
        <v>0</v>
      </c>
      <c r="K670" s="819">
        <f>ROUND(IF(G670=1,F670/23,IF(G670=3,F670/12,IF(G670=6,F670,IF(G670=7,F670-I670,0)))),0)</f>
        <v>0</v>
      </c>
      <c r="L670" s="820">
        <f>IF(G670=6,F670,0)</f>
        <v>0</v>
      </c>
      <c r="P670" s="768" t="n"/>
      <c r="Q670" s="769" t="str">
        <f>IF($F670="","",IFERROR(VLOOKUP($C670&amp;"|"&amp;$D670,科目表!$A$5:$B$200,2,FALSE),"※未登録"))</f>
        <v/>
      </c>
      <c r="R670" s="769" t="str">
        <f>IF($F670="","",$I670+$J670+$K670)</f>
        <v/>
      </c>
      <c r="S670" s="769" t="str">
        <f>IF(OR($F670="",$P670="支払なし",$H670=0,$Q670=""),"",$Q670&amp;"|S|"&amp;(COUNTIF(S$4:S669,$Q670&amp;"|S|*")+1))</f>
        <v/>
      </c>
      <c r="T670" s="769" t="str">
        <f>IF(OR($F670="",$P670="支払なし",$R670=0,$Q670=""),"",$Q670&amp;"|L|"&amp;(COUNTIF(T$4:T669,$Q670&amp;"|L|*")+1))</f>
        <v/>
      </c>
      <c r="U670" s="769" t="str">
        <f>IF($F670="","",13)</f>
        <v/>
      </c>
    </row>
    <row r="671" ht="16.5" customHeight="1" s="186">
      <c r="A671" s="760" t="n"/>
      <c r="B671" s="760" t="n"/>
      <c r="C671" s="762" t="n"/>
      <c r="D671" s="762" t="n"/>
      <c r="E671" s="775" t="n"/>
      <c r="F671" s="821" t="n"/>
      <c r="G671" s="821" t="n"/>
      <c r="H671" s="818">
        <f>IF(G671=1,F671-I671-J671-K671,IF(G671=2,F671,0))</f>
        <v>0</v>
      </c>
      <c r="I671" s="818">
        <f>ROUND(IF(G671=1,F671*10/23,IF(G671=3,F671-J671-K671,IF(G671=4,F671,IF(G671=5,F671*10/11,IF(G671=7,F671*10/11,0))))),0)</f>
        <v>0</v>
      </c>
      <c r="J671" s="818">
        <f>ROUND(IF(G671=1,F671/23,IF(G671=3,F671/12,IF(G671=5,F671-I671,IF(G671=8,F671,0)))),0)</f>
        <v>0</v>
      </c>
      <c r="K671" s="819">
        <f>ROUND(IF(G671=1,F671/23,IF(G671=3,F671/12,IF(G671=6,F671,IF(G671=7,F671-I671,0)))),0)</f>
        <v>0</v>
      </c>
      <c r="L671" s="820">
        <f>IF(G671=6,F671,0)</f>
        <v>0</v>
      </c>
      <c r="P671" s="768" t="n"/>
      <c r="Q671" s="769" t="str">
        <f>IF($F671="","",IFERROR(VLOOKUP($C671&amp;"|"&amp;$D671,科目表!$A$5:$B$200,2,FALSE),"※未登録"))</f>
        <v/>
      </c>
      <c r="R671" s="769" t="str">
        <f>IF($F671="","",$I671+$J671+$K671)</f>
        <v/>
      </c>
      <c r="S671" s="769" t="str">
        <f>IF(OR($F671="",$P671="支払なし",$H671=0,$Q671=""),"",$Q671&amp;"|S|"&amp;(COUNTIF(S$4:S670,$Q671&amp;"|S|*")+1))</f>
        <v/>
      </c>
      <c r="T671" s="769" t="str">
        <f>IF(OR($F671="",$P671="支払なし",$R671=0,$Q671=""),"",$Q671&amp;"|L|"&amp;(COUNTIF(T$4:T670,$Q671&amp;"|L|*")+1))</f>
        <v/>
      </c>
      <c r="U671" s="769" t="str">
        <f>IF($F671="","",13)</f>
        <v/>
      </c>
    </row>
    <row r="672" ht="16.5" customHeight="1" s="186">
      <c r="A672" s="760" t="n"/>
      <c r="B672" s="760" t="n"/>
      <c r="C672" s="762" t="n"/>
      <c r="D672" s="762" t="n"/>
      <c r="E672" s="775" t="n"/>
      <c r="F672" s="821" t="n"/>
      <c r="G672" s="821" t="n"/>
      <c r="H672" s="818">
        <f>IF(G672=1,F672-I672-J672-K672,IF(G672=2,F672,0))</f>
        <v>0</v>
      </c>
      <c r="I672" s="818">
        <f>ROUND(IF(G672=1,F672*10/23,IF(G672=3,F672-J672-K672,IF(G672=4,F672,IF(G672=5,F672*10/11,IF(G672=7,F672*10/11,0))))),0)</f>
        <v>0</v>
      </c>
      <c r="J672" s="818">
        <f>ROUND(IF(G672=1,F672/23,IF(G672=3,F672/12,IF(G672=5,F672-I672,IF(G672=8,F672,0)))),0)</f>
        <v>0</v>
      </c>
      <c r="K672" s="819">
        <f>ROUND(IF(G672=1,F672/23,IF(G672=3,F672/12,IF(G672=6,F672,IF(G672=7,F672-I672,0)))),0)</f>
        <v>0</v>
      </c>
      <c r="L672" s="820">
        <f>IF(G672=6,F672,0)</f>
        <v>0</v>
      </c>
      <c r="P672" s="768" t="n"/>
      <c r="Q672" s="769" t="str">
        <f>IF($F672="","",IFERROR(VLOOKUP($C672&amp;"|"&amp;$D672,科目表!$A$5:$B$200,2,FALSE),"※未登録"))</f>
        <v/>
      </c>
      <c r="R672" s="769" t="str">
        <f>IF($F672="","",$I672+$J672+$K672)</f>
        <v/>
      </c>
      <c r="S672" s="769" t="str">
        <f>IF(OR($F672="",$P672="支払なし",$H672=0,$Q672=""),"",$Q672&amp;"|S|"&amp;(COUNTIF(S$4:S671,$Q672&amp;"|S|*")+1))</f>
        <v/>
      </c>
      <c r="T672" s="769" t="str">
        <f>IF(OR($F672="",$P672="支払なし",$R672=0,$Q672=""),"",$Q672&amp;"|L|"&amp;(COUNTIF(T$4:T671,$Q672&amp;"|L|*")+1))</f>
        <v/>
      </c>
      <c r="U672" s="769" t="str">
        <f>IF($F672="","",13)</f>
        <v/>
      </c>
    </row>
    <row r="673" ht="16.5" customHeight="1" s="186">
      <c r="A673" s="760" t="n"/>
      <c r="B673" s="760" t="n"/>
      <c r="C673" s="762" t="n"/>
      <c r="D673" s="762" t="n"/>
      <c r="E673" s="775" t="n"/>
      <c r="F673" s="821" t="n"/>
      <c r="G673" s="821" t="n"/>
      <c r="H673" s="818">
        <f>IF(G673=1,F673-I673-J673-K673,IF(G673=2,F673,0))</f>
        <v>0</v>
      </c>
      <c r="I673" s="818">
        <f>ROUND(IF(G673=1,F673*10/23,IF(G673=3,F673-J673-K673,IF(G673=4,F673,IF(G673=5,F673*10/11,IF(G673=7,F673*10/11,0))))),0)</f>
        <v>0</v>
      </c>
      <c r="J673" s="818">
        <f>ROUND(IF(G673=1,F673/23,IF(G673=3,F673/12,IF(G673=5,F673-I673,IF(G673=8,F673,0)))),0)</f>
        <v>0</v>
      </c>
      <c r="K673" s="819">
        <f>ROUND(IF(G673=1,F673/23,IF(G673=3,F673/12,IF(G673=6,F673,IF(G673=7,F673-I673,0)))),0)</f>
        <v>0</v>
      </c>
      <c r="L673" s="820">
        <f>IF(G673=6,F673,0)</f>
        <v>0</v>
      </c>
      <c r="P673" s="768" t="n"/>
      <c r="Q673" s="769" t="str">
        <f>IF($F673="","",IFERROR(VLOOKUP($C673&amp;"|"&amp;$D673,科目表!$A$5:$B$200,2,FALSE),"※未登録"))</f>
        <v/>
      </c>
      <c r="R673" s="769" t="str">
        <f>IF($F673="","",$I673+$J673+$K673)</f>
        <v/>
      </c>
      <c r="S673" s="769" t="str">
        <f>IF(OR($F673="",$P673="支払なし",$H673=0,$Q673=""),"",$Q673&amp;"|S|"&amp;(COUNTIF(S$4:S672,$Q673&amp;"|S|*")+1))</f>
        <v/>
      </c>
      <c r="T673" s="769" t="str">
        <f>IF(OR($F673="",$P673="支払なし",$R673=0,$Q673=""),"",$Q673&amp;"|L|"&amp;(COUNTIF(T$4:T672,$Q673&amp;"|L|*")+1))</f>
        <v/>
      </c>
      <c r="U673" s="769" t="str">
        <f>IF($F673="","",13)</f>
        <v/>
      </c>
    </row>
    <row r="674" ht="16.5" customHeight="1" s="186">
      <c r="A674" s="760" t="n"/>
      <c r="B674" s="760" t="n"/>
      <c r="C674" s="762" t="n"/>
      <c r="D674" s="762" t="n"/>
      <c r="E674" s="775" t="n"/>
      <c r="F674" s="821" t="n"/>
      <c r="G674" s="821" t="n"/>
      <c r="H674" s="818">
        <f>IF(G674=1,F674-I674-J674-K674,IF(G674=2,F674,0))</f>
        <v>0</v>
      </c>
      <c r="I674" s="818">
        <f>ROUND(IF(G674=1,F674*10/23,IF(G674=3,F674-J674-K674,IF(G674=4,F674,IF(G674=5,F674*10/11,IF(G674=7,F674*10/11,0))))),0)</f>
        <v>0</v>
      </c>
      <c r="J674" s="818">
        <f>ROUND(IF(G674=1,F674/23,IF(G674=3,F674/12,IF(G674=5,F674-I674,IF(G674=8,F674,0)))),0)</f>
        <v>0</v>
      </c>
      <c r="K674" s="819">
        <f>ROUND(IF(G674=1,F674/23,IF(G674=3,F674/12,IF(G674=6,F674,IF(G674=7,F674-I674,0)))),0)</f>
        <v>0</v>
      </c>
      <c r="L674" s="820">
        <f>IF(G674=6,F674,0)</f>
        <v>0</v>
      </c>
      <c r="P674" s="768" t="n"/>
      <c r="Q674" s="769" t="str">
        <f>IF($F674="","",IFERROR(VLOOKUP($C674&amp;"|"&amp;$D674,科目表!$A$5:$B$200,2,FALSE),"※未登録"))</f>
        <v/>
      </c>
      <c r="R674" s="769" t="str">
        <f>IF($F674="","",$I674+$J674+$K674)</f>
        <v/>
      </c>
      <c r="S674" s="769" t="str">
        <f>IF(OR($F674="",$P674="支払なし",$H674=0,$Q674=""),"",$Q674&amp;"|S|"&amp;(COUNTIF(S$4:S673,$Q674&amp;"|S|*")+1))</f>
        <v/>
      </c>
      <c r="T674" s="769" t="str">
        <f>IF(OR($F674="",$P674="支払なし",$R674=0,$Q674=""),"",$Q674&amp;"|L|"&amp;(COUNTIF(T$4:T673,$Q674&amp;"|L|*")+1))</f>
        <v/>
      </c>
      <c r="U674" s="769" t="str">
        <f>IF($F674="","",13)</f>
        <v/>
      </c>
    </row>
    <row r="675" ht="16.5" customHeight="1" s="186">
      <c r="A675" s="760" t="n"/>
      <c r="B675" s="760" t="n"/>
      <c r="C675" s="762" t="n"/>
      <c r="D675" s="762" t="n"/>
      <c r="E675" s="775" t="n"/>
      <c r="F675" s="821" t="n"/>
      <c r="G675" s="821" t="n"/>
      <c r="H675" s="818">
        <f>IF(G675=1,F675-I675-J675-K675,IF(G675=2,F675,0))</f>
        <v>0</v>
      </c>
      <c r="I675" s="818">
        <f>ROUND(IF(G675=1,F675*10/23,IF(G675=3,F675-J675-K675,IF(G675=4,F675,IF(G675=5,F675*10/11,IF(G675=7,F675*10/11,0))))),0)</f>
        <v>0</v>
      </c>
      <c r="J675" s="818">
        <f>ROUND(IF(G675=1,F675/23,IF(G675=3,F675/12,IF(G675=5,F675-I675,IF(G675=8,F675,0)))),0)</f>
        <v>0</v>
      </c>
      <c r="K675" s="819">
        <f>ROUND(IF(G675=1,F675/23,IF(G675=3,F675/12,IF(G675=6,F675,IF(G675=7,F675-I675,0)))),0)</f>
        <v>0</v>
      </c>
      <c r="L675" s="820">
        <f>IF(G675=6,F675,0)</f>
        <v>0</v>
      </c>
      <c r="P675" s="768" t="n"/>
      <c r="Q675" s="769" t="str">
        <f>IF($F675="","",IFERROR(VLOOKUP($C675&amp;"|"&amp;$D675,科目表!$A$5:$B$200,2,FALSE),"※未登録"))</f>
        <v/>
      </c>
      <c r="R675" s="769" t="str">
        <f>IF($F675="","",$I675+$J675+$K675)</f>
        <v/>
      </c>
      <c r="S675" s="769" t="str">
        <f>IF(OR($F675="",$P675="支払なし",$H675=0,$Q675=""),"",$Q675&amp;"|S|"&amp;(COUNTIF(S$4:S674,$Q675&amp;"|S|*")+1))</f>
        <v/>
      </c>
      <c r="T675" s="769" t="str">
        <f>IF(OR($F675="",$P675="支払なし",$R675=0,$Q675=""),"",$Q675&amp;"|L|"&amp;(COUNTIF(T$4:T674,$Q675&amp;"|L|*")+1))</f>
        <v/>
      </c>
      <c r="U675" s="769" t="str">
        <f>IF($F675="","",13)</f>
        <v/>
      </c>
    </row>
    <row r="676" ht="16.5" customHeight="1" s="186">
      <c r="A676" s="760" t="n"/>
      <c r="B676" s="760" t="n"/>
      <c r="C676" s="762" t="n"/>
      <c r="D676" s="762" t="n"/>
      <c r="E676" s="775" t="n"/>
      <c r="F676" s="821" t="n"/>
      <c r="G676" s="821" t="n"/>
      <c r="H676" s="818">
        <f>IF(G676=1,F676-I676-J676-K676,IF(G676=2,F676,0))</f>
        <v>0</v>
      </c>
      <c r="I676" s="818">
        <f>ROUND(IF(G676=1,F676*10/23,IF(G676=3,F676-J676-K676,IF(G676=4,F676,IF(G676=5,F676*10/11,IF(G676=7,F676*10/11,0))))),0)</f>
        <v>0</v>
      </c>
      <c r="J676" s="818">
        <f>ROUND(IF(G676=1,F676/23,IF(G676=3,F676/12,IF(G676=5,F676-I676,IF(G676=8,F676,0)))),0)</f>
        <v>0</v>
      </c>
      <c r="K676" s="819">
        <f>ROUND(IF(G676=1,F676/23,IF(G676=3,F676/12,IF(G676=6,F676,IF(G676=7,F676-I676,0)))),0)</f>
        <v>0</v>
      </c>
      <c r="L676" s="820">
        <f>IF(G676=6,F676,0)</f>
        <v>0</v>
      </c>
      <c r="P676" s="768" t="n"/>
      <c r="Q676" s="769" t="str">
        <f>IF($F676="","",IFERROR(VLOOKUP($C676&amp;"|"&amp;$D676,科目表!$A$5:$B$200,2,FALSE),"※未登録"))</f>
        <v/>
      </c>
      <c r="R676" s="769" t="str">
        <f>IF($F676="","",$I676+$J676+$K676)</f>
        <v/>
      </c>
      <c r="S676" s="769" t="str">
        <f>IF(OR($F676="",$P676="支払なし",$H676=0,$Q676=""),"",$Q676&amp;"|S|"&amp;(COUNTIF(S$4:S675,$Q676&amp;"|S|*")+1))</f>
        <v/>
      </c>
      <c r="T676" s="769" t="str">
        <f>IF(OR($F676="",$P676="支払なし",$R676=0,$Q676=""),"",$Q676&amp;"|L|"&amp;(COUNTIF(T$4:T675,$Q676&amp;"|L|*")+1))</f>
        <v/>
      </c>
      <c r="U676" s="769" t="str">
        <f>IF($F676="","",13)</f>
        <v/>
      </c>
    </row>
    <row r="677" ht="16.5" customHeight="1" s="186">
      <c r="A677" s="760" t="n"/>
      <c r="B677" s="760" t="n"/>
      <c r="C677" s="762" t="n"/>
      <c r="D677" s="762" t="n"/>
      <c r="E677" s="775" t="n"/>
      <c r="F677" s="821" t="n"/>
      <c r="G677" s="821" t="n"/>
      <c r="H677" s="818">
        <f>IF(G677=1,F677-I677-J677-K677,IF(G677=2,F677,0))</f>
        <v>0</v>
      </c>
      <c r="I677" s="818">
        <f>ROUND(IF(G677=1,F677*10/23,IF(G677=3,F677-J677-K677,IF(G677=4,F677,IF(G677=5,F677*10/11,IF(G677=7,F677*10/11,0))))),0)</f>
        <v>0</v>
      </c>
      <c r="J677" s="818">
        <f>ROUND(IF(G677=1,F677/23,IF(G677=3,F677/12,IF(G677=5,F677-I677,IF(G677=8,F677,0)))),0)</f>
        <v>0</v>
      </c>
      <c r="K677" s="819">
        <f>ROUND(IF(G677=1,F677/23,IF(G677=3,F677/12,IF(G677=6,F677,IF(G677=7,F677-I677,0)))),0)</f>
        <v>0</v>
      </c>
      <c r="L677" s="820">
        <f>IF(G677=6,F677,0)</f>
        <v>0</v>
      </c>
      <c r="P677" s="768" t="n"/>
      <c r="Q677" s="769" t="str">
        <f>IF($F677="","",IFERROR(VLOOKUP($C677&amp;"|"&amp;$D677,科目表!$A$5:$B$200,2,FALSE),"※未登録"))</f>
        <v/>
      </c>
      <c r="R677" s="769" t="str">
        <f>IF($F677="","",$I677+$J677+$K677)</f>
        <v/>
      </c>
      <c r="S677" s="769" t="str">
        <f>IF(OR($F677="",$P677="支払なし",$H677=0,$Q677=""),"",$Q677&amp;"|S|"&amp;(COUNTIF(S$4:S676,$Q677&amp;"|S|*")+1))</f>
        <v/>
      </c>
      <c r="T677" s="769" t="str">
        <f>IF(OR($F677="",$P677="支払なし",$R677=0,$Q677=""),"",$Q677&amp;"|L|"&amp;(COUNTIF(T$4:T676,$Q677&amp;"|L|*")+1))</f>
        <v/>
      </c>
      <c r="U677" s="769" t="str">
        <f>IF($F677="","",13)</f>
        <v/>
      </c>
    </row>
    <row r="678" ht="16.5" customHeight="1" s="186">
      <c r="A678" s="760" t="n"/>
      <c r="B678" s="760" t="n"/>
      <c r="C678" s="762" t="n"/>
      <c r="D678" s="762" t="n"/>
      <c r="E678" s="775" t="n"/>
      <c r="F678" s="821" t="n"/>
      <c r="G678" s="821" t="n"/>
      <c r="H678" s="818">
        <f>IF(G678=1,F678-I678-J678-K678,IF(G678=2,F678,0))</f>
        <v>0</v>
      </c>
      <c r="I678" s="818">
        <f>ROUND(IF(G678=1,F678*10/23,IF(G678=3,F678-J678-K678,IF(G678=4,F678,IF(G678=5,F678*10/11,IF(G678=7,F678*10/11,0))))),0)</f>
        <v>0</v>
      </c>
      <c r="J678" s="818">
        <f>ROUND(IF(G678=1,F678/23,IF(G678=3,F678/12,IF(G678=5,F678-I678,IF(G678=8,F678,0)))),0)</f>
        <v>0</v>
      </c>
      <c r="K678" s="819">
        <f>ROUND(IF(G678=1,F678/23,IF(G678=3,F678/12,IF(G678=6,F678,IF(G678=7,F678-I678,0)))),0)</f>
        <v>0</v>
      </c>
      <c r="L678" s="820">
        <f>IF(G678=6,F678,0)</f>
        <v>0</v>
      </c>
      <c r="P678" s="768" t="n"/>
      <c r="Q678" s="769" t="str">
        <f>IF($F678="","",IFERROR(VLOOKUP($C678&amp;"|"&amp;$D678,科目表!$A$5:$B$200,2,FALSE),"※未登録"))</f>
        <v/>
      </c>
      <c r="R678" s="769" t="str">
        <f>IF($F678="","",$I678+$J678+$K678)</f>
        <v/>
      </c>
      <c r="S678" s="769" t="str">
        <f>IF(OR($F678="",$P678="支払なし",$H678=0,$Q678=""),"",$Q678&amp;"|S|"&amp;(COUNTIF(S$4:S677,$Q678&amp;"|S|*")+1))</f>
        <v/>
      </c>
      <c r="T678" s="769" t="str">
        <f>IF(OR($F678="",$P678="支払なし",$R678=0,$Q678=""),"",$Q678&amp;"|L|"&amp;(COUNTIF(T$4:T677,$Q678&amp;"|L|*")+1))</f>
        <v/>
      </c>
      <c r="U678" s="769" t="str">
        <f>IF($F678="","",13)</f>
        <v/>
      </c>
    </row>
    <row r="679" ht="16.5" customHeight="1" s="186">
      <c r="A679" s="760" t="n"/>
      <c r="B679" s="760" t="n"/>
      <c r="C679" s="762" t="n"/>
      <c r="D679" s="762" t="n"/>
      <c r="E679" s="775" t="n"/>
      <c r="F679" s="821" t="n"/>
      <c r="G679" s="821" t="n"/>
      <c r="H679" s="818">
        <f>IF(G679=1,F679-I679-J679-K679,IF(G679=2,F679,0))</f>
        <v>0</v>
      </c>
      <c r="I679" s="818">
        <f>ROUND(IF(G679=1,F679*10/23,IF(G679=3,F679-J679-K679,IF(G679=4,F679,IF(G679=5,F679*10/11,IF(G679=7,F679*10/11,0))))),0)</f>
        <v>0</v>
      </c>
      <c r="J679" s="818">
        <f>ROUND(IF(G679=1,F679/23,IF(G679=3,F679/12,IF(G679=5,F679-I679,IF(G679=8,F679,0)))),0)</f>
        <v>0</v>
      </c>
      <c r="K679" s="819">
        <f>ROUND(IF(G679=1,F679/23,IF(G679=3,F679/12,IF(G679=6,F679,IF(G679=7,F679-I679,0)))),0)</f>
        <v>0</v>
      </c>
      <c r="L679" s="820">
        <f>IF(G679=6,F679,0)</f>
        <v>0</v>
      </c>
      <c r="P679" s="768" t="n"/>
      <c r="Q679" s="769" t="str">
        <f>IF($F679="","",IFERROR(VLOOKUP($C679&amp;"|"&amp;$D679,科目表!$A$5:$B$200,2,FALSE),"※未登録"))</f>
        <v/>
      </c>
      <c r="R679" s="769" t="str">
        <f>IF($F679="","",$I679+$J679+$K679)</f>
        <v/>
      </c>
      <c r="S679" s="769" t="str">
        <f>IF(OR($F679="",$P679="支払なし",$H679=0,$Q679=""),"",$Q679&amp;"|S|"&amp;(COUNTIF(S$4:S678,$Q679&amp;"|S|*")+1))</f>
        <v/>
      </c>
      <c r="T679" s="769" t="str">
        <f>IF(OR($F679="",$P679="支払なし",$R679=0,$Q679=""),"",$Q679&amp;"|L|"&amp;(COUNTIF(T$4:T678,$Q679&amp;"|L|*")+1))</f>
        <v/>
      </c>
      <c r="U679" s="769" t="str">
        <f>IF($F679="","",13)</f>
        <v/>
      </c>
    </row>
    <row r="680" ht="16.5" customHeight="1" s="186">
      <c r="A680" s="760" t="n"/>
      <c r="B680" s="760" t="n"/>
      <c r="C680" s="762" t="n"/>
      <c r="D680" s="762" t="n"/>
      <c r="E680" s="775" t="n"/>
      <c r="F680" s="821" t="n"/>
      <c r="G680" s="821" t="n"/>
      <c r="H680" s="818">
        <f>IF(G680=1,F680-I680-J680-K680,IF(G680=2,F680,0))</f>
        <v>0</v>
      </c>
      <c r="I680" s="818">
        <f>ROUND(IF(G680=1,F680*10/23,IF(G680=3,F680-J680-K680,IF(G680=4,F680,IF(G680=5,F680*10/11,IF(G680=7,F680*10/11,0))))),0)</f>
        <v>0</v>
      </c>
      <c r="J680" s="818">
        <f>ROUND(IF(G680=1,F680/23,IF(G680=3,F680/12,IF(G680=5,F680-I680,IF(G680=8,F680,0)))),0)</f>
        <v>0</v>
      </c>
      <c r="K680" s="819">
        <f>ROUND(IF(G680=1,F680/23,IF(G680=3,F680/12,IF(G680=6,F680,IF(G680=7,F680-I680,0)))),0)</f>
        <v>0</v>
      </c>
      <c r="L680" s="820">
        <f>IF(G680=6,F680,0)</f>
        <v>0</v>
      </c>
      <c r="P680" s="768" t="n"/>
      <c r="Q680" s="769" t="str">
        <f>IF($F680="","",IFERROR(VLOOKUP($C680&amp;"|"&amp;$D680,科目表!$A$5:$B$200,2,FALSE),"※未登録"))</f>
        <v/>
      </c>
      <c r="R680" s="769" t="str">
        <f>IF($F680="","",$I680+$J680+$K680)</f>
        <v/>
      </c>
      <c r="S680" s="769" t="str">
        <f>IF(OR($F680="",$P680="支払なし",$H680=0,$Q680=""),"",$Q680&amp;"|S|"&amp;(COUNTIF(S$4:S679,$Q680&amp;"|S|*")+1))</f>
        <v/>
      </c>
      <c r="T680" s="769" t="str">
        <f>IF(OR($F680="",$P680="支払なし",$R680=0,$Q680=""),"",$Q680&amp;"|L|"&amp;(COUNTIF(T$4:T679,$Q680&amp;"|L|*")+1))</f>
        <v/>
      </c>
      <c r="U680" s="769" t="str">
        <f>IF($F680="","",13)</f>
        <v/>
      </c>
    </row>
    <row r="681" ht="16.5" customHeight="1" s="186">
      <c r="A681" s="760" t="n"/>
      <c r="B681" s="760" t="n"/>
      <c r="C681" s="762" t="n"/>
      <c r="D681" s="762" t="n"/>
      <c r="E681" s="775" t="n"/>
      <c r="F681" s="821" t="n"/>
      <c r="G681" s="821" t="n"/>
      <c r="H681" s="818">
        <f>IF(G681=1,F681-I681-J681-K681,IF(G681=2,F681,0))</f>
        <v>0</v>
      </c>
      <c r="I681" s="818">
        <f>ROUND(IF(G681=1,F681*10/23,IF(G681=3,F681-J681-K681,IF(G681=4,F681,IF(G681=5,F681*10/11,IF(G681=7,F681*10/11,0))))),0)</f>
        <v>0</v>
      </c>
      <c r="J681" s="818">
        <f>ROUND(IF(G681=1,F681/23,IF(G681=3,F681/12,IF(G681=5,F681-I681,IF(G681=8,F681,0)))),0)</f>
        <v>0</v>
      </c>
      <c r="K681" s="819">
        <f>ROUND(IF(G681=1,F681/23,IF(G681=3,F681/12,IF(G681=6,F681,IF(G681=7,F681-I681,0)))),0)</f>
        <v>0</v>
      </c>
      <c r="L681" s="820">
        <f>IF(G681=6,F681,0)</f>
        <v>0</v>
      </c>
      <c r="P681" s="768" t="n"/>
      <c r="Q681" s="769" t="str">
        <f>IF($F681="","",IFERROR(VLOOKUP($C681&amp;"|"&amp;$D681,科目表!$A$5:$B$200,2,FALSE),"※未登録"))</f>
        <v/>
      </c>
      <c r="R681" s="769" t="str">
        <f>IF($F681="","",$I681+$J681+$K681)</f>
        <v/>
      </c>
      <c r="S681" s="769" t="str">
        <f>IF(OR($F681="",$P681="支払なし",$H681=0,$Q681=""),"",$Q681&amp;"|S|"&amp;(COUNTIF(S$4:S680,$Q681&amp;"|S|*")+1))</f>
        <v/>
      </c>
      <c r="T681" s="769" t="str">
        <f>IF(OR($F681="",$P681="支払なし",$R681=0,$Q681=""),"",$Q681&amp;"|L|"&amp;(COUNTIF(T$4:T680,$Q681&amp;"|L|*")+1))</f>
        <v/>
      </c>
      <c r="U681" s="769" t="str">
        <f>IF($F681="","",13)</f>
        <v/>
      </c>
    </row>
    <row r="682" ht="16.5" customHeight="1" s="186">
      <c r="A682" s="760" t="n"/>
      <c r="B682" s="760" t="n"/>
      <c r="C682" s="762" t="n"/>
      <c r="D682" s="762" t="n"/>
      <c r="E682" s="775" t="n"/>
      <c r="F682" s="821" t="n"/>
      <c r="G682" s="821" t="n"/>
      <c r="H682" s="818">
        <f>IF(G682=1,F682-I682-J682-K682,IF(G682=2,F682,0))</f>
        <v>0</v>
      </c>
      <c r="I682" s="818">
        <f>ROUND(IF(G682=1,F682*10/23,IF(G682=3,F682-J682-K682,IF(G682=4,F682,IF(G682=5,F682*10/11,IF(G682=7,F682*10/11,0))))),0)</f>
        <v>0</v>
      </c>
      <c r="J682" s="818">
        <f>ROUND(IF(G682=1,F682/23,IF(G682=3,F682/12,IF(G682=5,F682-I682,IF(G682=8,F682,0)))),0)</f>
        <v>0</v>
      </c>
      <c r="K682" s="819">
        <f>ROUND(IF(G682=1,F682/23,IF(G682=3,F682/12,IF(G682=6,F682,IF(G682=7,F682-I682,0)))),0)</f>
        <v>0</v>
      </c>
      <c r="L682" s="820">
        <f>IF(G682=6,F682,0)</f>
        <v>0</v>
      </c>
      <c r="P682" s="768" t="n"/>
      <c r="Q682" s="769" t="str">
        <f>IF($F682="","",IFERROR(VLOOKUP($C682&amp;"|"&amp;$D682,科目表!$A$5:$B$200,2,FALSE),"※未登録"))</f>
        <v/>
      </c>
      <c r="R682" s="769" t="str">
        <f>IF($F682="","",$I682+$J682+$K682)</f>
        <v/>
      </c>
      <c r="S682" s="769" t="str">
        <f>IF(OR($F682="",$P682="支払なし",$H682=0,$Q682=""),"",$Q682&amp;"|S|"&amp;(COUNTIF(S$4:S681,$Q682&amp;"|S|*")+1))</f>
        <v/>
      </c>
      <c r="T682" s="769" t="str">
        <f>IF(OR($F682="",$P682="支払なし",$R682=0,$Q682=""),"",$Q682&amp;"|L|"&amp;(COUNTIF(T$4:T681,$Q682&amp;"|L|*")+1))</f>
        <v/>
      </c>
      <c r="U682" s="769" t="str">
        <f>IF($F682="","",13)</f>
        <v/>
      </c>
    </row>
    <row r="683" ht="16.5" customHeight="1" s="186">
      <c r="A683" s="760" t="n"/>
      <c r="B683" s="760" t="n"/>
      <c r="C683" s="762" t="n"/>
      <c r="D683" s="762" t="n"/>
      <c r="E683" s="775" t="n"/>
      <c r="F683" s="821" t="n"/>
      <c r="G683" s="821" t="n"/>
      <c r="H683" s="818">
        <f>IF(G683=1,F683-I683-J683-K683,IF(G683=2,F683,0))</f>
        <v>0</v>
      </c>
      <c r="I683" s="818">
        <f>ROUND(IF(G683=1,F683*10/23,IF(G683=3,F683-J683-K683,IF(G683=4,F683,IF(G683=5,F683*10/11,IF(G683=7,F683*10/11,0))))),0)</f>
        <v>0</v>
      </c>
      <c r="J683" s="818">
        <f>ROUND(IF(G683=1,F683/23,IF(G683=3,F683/12,IF(G683=5,F683-I683,IF(G683=8,F683,0)))),0)</f>
        <v>0</v>
      </c>
      <c r="K683" s="819">
        <f>ROUND(IF(G683=1,F683/23,IF(G683=3,F683/12,IF(G683=6,F683,IF(G683=7,F683-I683,0)))),0)</f>
        <v>0</v>
      </c>
      <c r="L683" s="820">
        <f>IF(G683=6,F683,0)</f>
        <v>0</v>
      </c>
      <c r="P683" s="768" t="n"/>
      <c r="Q683" s="769" t="str">
        <f>IF($F683="","",IFERROR(VLOOKUP($C683&amp;"|"&amp;$D683,科目表!$A$5:$B$200,2,FALSE),"※未登録"))</f>
        <v/>
      </c>
      <c r="R683" s="769" t="str">
        <f>IF($F683="","",$I683+$J683+$K683)</f>
        <v/>
      </c>
      <c r="S683" s="769" t="str">
        <f>IF(OR($F683="",$P683="支払なし",$H683=0,$Q683=""),"",$Q683&amp;"|S|"&amp;(COUNTIF(S$4:S682,$Q683&amp;"|S|*")+1))</f>
        <v/>
      </c>
      <c r="T683" s="769" t="str">
        <f>IF(OR($F683="",$P683="支払なし",$R683=0,$Q683=""),"",$Q683&amp;"|L|"&amp;(COUNTIF(T$4:T682,$Q683&amp;"|L|*")+1))</f>
        <v/>
      </c>
      <c r="U683" s="769" t="str">
        <f>IF($F683="","",13)</f>
        <v/>
      </c>
    </row>
    <row r="684" ht="16.5" customHeight="1" s="186">
      <c r="A684" s="760" t="n"/>
      <c r="B684" s="760" t="n"/>
      <c r="C684" s="762" t="n"/>
      <c r="D684" s="762" t="n"/>
      <c r="E684" s="775" t="n"/>
      <c r="F684" s="821" t="n"/>
      <c r="G684" s="821" t="n"/>
      <c r="H684" s="818">
        <f>IF(G684=1,F684-I684-J684-K684,IF(G684=2,F684,0))</f>
        <v>0</v>
      </c>
      <c r="I684" s="818">
        <f>ROUND(IF(G684=1,F684*10/23,IF(G684=3,F684-J684-K684,IF(G684=4,F684,IF(G684=5,F684*10/11,IF(G684=7,F684*10/11,0))))),0)</f>
        <v>0</v>
      </c>
      <c r="J684" s="818">
        <f>ROUND(IF(G684=1,F684/23,IF(G684=3,F684/12,IF(G684=5,F684-I684,IF(G684=8,F684,0)))),0)</f>
        <v>0</v>
      </c>
      <c r="K684" s="819">
        <f>ROUND(IF(G684=1,F684/23,IF(G684=3,F684/12,IF(G684=6,F684,IF(G684=7,F684-I684,0)))),0)</f>
        <v>0</v>
      </c>
      <c r="L684" s="820">
        <f>IF(G684=6,F684,0)</f>
        <v>0</v>
      </c>
      <c r="P684" s="768" t="n"/>
      <c r="Q684" s="769" t="str">
        <f>IF($F684="","",IFERROR(VLOOKUP($C684&amp;"|"&amp;$D684,科目表!$A$5:$B$200,2,FALSE),"※未登録"))</f>
        <v/>
      </c>
      <c r="R684" s="769" t="str">
        <f>IF($F684="","",$I684+$J684+$K684)</f>
        <v/>
      </c>
      <c r="S684" s="769" t="str">
        <f>IF(OR($F684="",$P684="支払なし",$H684=0,$Q684=""),"",$Q684&amp;"|S|"&amp;(COUNTIF(S$4:S683,$Q684&amp;"|S|*")+1))</f>
        <v/>
      </c>
      <c r="T684" s="769" t="str">
        <f>IF(OR($F684="",$P684="支払なし",$R684=0,$Q684=""),"",$Q684&amp;"|L|"&amp;(COUNTIF(T$4:T683,$Q684&amp;"|L|*")+1))</f>
        <v/>
      </c>
      <c r="U684" s="769" t="str">
        <f>IF($F684="","",13)</f>
        <v/>
      </c>
    </row>
    <row r="685" ht="16.5" customHeight="1" s="186">
      <c r="A685" s="760" t="n"/>
      <c r="B685" s="760" t="n"/>
      <c r="C685" s="762" t="n"/>
      <c r="D685" s="762" t="n"/>
      <c r="E685" s="775" t="n"/>
      <c r="F685" s="821" t="n"/>
      <c r="G685" s="821" t="n"/>
      <c r="H685" s="818">
        <f>IF(G685=1,F685-I685-J685-K685,IF(G685=2,F685,0))</f>
        <v>0</v>
      </c>
      <c r="I685" s="818">
        <f>ROUND(IF(G685=1,F685*10/23,IF(G685=3,F685-J685-K685,IF(G685=4,F685,IF(G685=5,F685*10/11,IF(G685=7,F685*10/11,0))))),0)</f>
        <v>0</v>
      </c>
      <c r="J685" s="818">
        <f>ROUND(IF(G685=1,F685/23,IF(G685=3,F685/12,IF(G685=5,F685-I685,IF(G685=8,F685,0)))),0)</f>
        <v>0</v>
      </c>
      <c r="K685" s="819">
        <f>ROUND(IF(G685=1,F685/23,IF(G685=3,F685/12,IF(G685=6,F685,IF(G685=7,F685-I685,0)))),0)</f>
        <v>0</v>
      </c>
      <c r="L685" s="820">
        <f>IF(G685=6,F685,0)</f>
        <v>0</v>
      </c>
      <c r="P685" s="768" t="n"/>
      <c r="Q685" s="769" t="str">
        <f>IF($F685="","",IFERROR(VLOOKUP($C685&amp;"|"&amp;$D685,科目表!$A$5:$B$200,2,FALSE),"※未登録"))</f>
        <v/>
      </c>
      <c r="R685" s="769" t="str">
        <f>IF($F685="","",$I685+$J685+$K685)</f>
        <v/>
      </c>
      <c r="S685" s="769" t="str">
        <f>IF(OR($F685="",$P685="支払なし",$H685=0,$Q685=""),"",$Q685&amp;"|S|"&amp;(COUNTIF(S$4:S684,$Q685&amp;"|S|*")+1))</f>
        <v/>
      </c>
      <c r="T685" s="769" t="str">
        <f>IF(OR($F685="",$P685="支払なし",$R685=0,$Q685=""),"",$Q685&amp;"|L|"&amp;(COUNTIF(T$4:T684,$Q685&amp;"|L|*")+1))</f>
        <v/>
      </c>
      <c r="U685" s="769" t="str">
        <f>IF($F685="","",13)</f>
        <v/>
      </c>
    </row>
    <row r="686" ht="16.5" customHeight="1" s="186">
      <c r="A686" s="760" t="n"/>
      <c r="B686" s="760" t="n"/>
      <c r="C686" s="762" t="n"/>
      <c r="D686" s="762" t="n"/>
      <c r="E686" s="775" t="n"/>
      <c r="F686" s="821" t="n"/>
      <c r="G686" s="821" t="n"/>
      <c r="H686" s="818">
        <f>IF(G686=1,F686-I686-J686-K686,IF(G686=2,F686,0))</f>
        <v>0</v>
      </c>
      <c r="I686" s="818">
        <f>ROUND(IF(G686=1,F686*10/23,IF(G686=3,F686-J686-K686,IF(G686=4,F686,IF(G686=5,F686*10/11,IF(G686=7,F686*10/11,0))))),0)</f>
        <v>0</v>
      </c>
      <c r="J686" s="818">
        <f>ROUND(IF(G686=1,F686/23,IF(G686=3,F686/12,IF(G686=5,F686-I686,IF(G686=8,F686,0)))),0)</f>
        <v>0</v>
      </c>
      <c r="K686" s="819">
        <f>ROUND(IF(G686=1,F686/23,IF(G686=3,F686/12,IF(G686=6,F686,IF(G686=7,F686-I686,0)))),0)</f>
        <v>0</v>
      </c>
      <c r="L686" s="820">
        <f>IF(G686=6,F686,0)</f>
        <v>0</v>
      </c>
      <c r="P686" s="768" t="n"/>
      <c r="Q686" s="769" t="str">
        <f>IF($F686="","",IFERROR(VLOOKUP($C686&amp;"|"&amp;$D686,科目表!$A$5:$B$200,2,FALSE),"※未登録"))</f>
        <v/>
      </c>
      <c r="R686" s="769" t="str">
        <f>IF($F686="","",$I686+$J686+$K686)</f>
        <v/>
      </c>
      <c r="S686" s="769" t="str">
        <f>IF(OR($F686="",$P686="支払なし",$H686=0,$Q686=""),"",$Q686&amp;"|S|"&amp;(COUNTIF(S$4:S685,$Q686&amp;"|S|*")+1))</f>
        <v/>
      </c>
      <c r="T686" s="769" t="str">
        <f>IF(OR($F686="",$P686="支払なし",$R686=0,$Q686=""),"",$Q686&amp;"|L|"&amp;(COUNTIF(T$4:T685,$Q686&amp;"|L|*")+1))</f>
        <v/>
      </c>
      <c r="U686" s="769" t="str">
        <f>IF($F686="","",13)</f>
        <v/>
      </c>
    </row>
    <row r="687" ht="16.5" customHeight="1" s="186">
      <c r="A687" s="760" t="n"/>
      <c r="B687" s="760" t="n"/>
      <c r="C687" s="762" t="n"/>
      <c r="D687" s="762" t="n"/>
      <c r="E687" s="775" t="n"/>
      <c r="F687" s="821" t="n"/>
      <c r="G687" s="821" t="n"/>
      <c r="H687" s="818">
        <f>IF(G687=1,F687-I687-J687-K687,IF(G687=2,F687,0))</f>
        <v>0</v>
      </c>
      <c r="I687" s="818">
        <f>ROUND(IF(G687=1,F687*10/23,IF(G687=3,F687-J687-K687,IF(G687=4,F687,IF(G687=5,F687*10/11,IF(G687=7,F687*10/11,0))))),0)</f>
        <v>0</v>
      </c>
      <c r="J687" s="818">
        <f>ROUND(IF(G687=1,F687/23,IF(G687=3,F687/12,IF(G687=5,F687-I687,IF(G687=8,F687,0)))),0)</f>
        <v>0</v>
      </c>
      <c r="K687" s="819">
        <f>ROUND(IF(G687=1,F687/23,IF(G687=3,F687/12,IF(G687=6,F687,IF(G687=7,F687-I687,0)))),0)</f>
        <v>0</v>
      </c>
      <c r="L687" s="820">
        <f>IF(G687=6,F687,0)</f>
        <v>0</v>
      </c>
      <c r="P687" s="768" t="n"/>
      <c r="Q687" s="769" t="str">
        <f>IF($F687="","",IFERROR(VLOOKUP($C687&amp;"|"&amp;$D687,科目表!$A$5:$B$200,2,FALSE),"※未登録"))</f>
        <v/>
      </c>
      <c r="R687" s="769" t="str">
        <f>IF($F687="","",$I687+$J687+$K687)</f>
        <v/>
      </c>
      <c r="S687" s="769" t="str">
        <f>IF(OR($F687="",$P687="支払なし",$H687=0,$Q687=""),"",$Q687&amp;"|S|"&amp;(COUNTIF(S$4:S686,$Q687&amp;"|S|*")+1))</f>
        <v/>
      </c>
      <c r="T687" s="769" t="str">
        <f>IF(OR($F687="",$P687="支払なし",$R687=0,$Q687=""),"",$Q687&amp;"|L|"&amp;(COUNTIF(T$4:T686,$Q687&amp;"|L|*")+1))</f>
        <v/>
      </c>
      <c r="U687" s="769" t="str">
        <f>IF($F687="","",13)</f>
        <v/>
      </c>
    </row>
    <row r="688" ht="16.5" customHeight="1" s="186">
      <c r="A688" s="760" t="n"/>
      <c r="B688" s="760" t="n"/>
      <c r="C688" s="762" t="n"/>
      <c r="D688" s="762" t="n"/>
      <c r="E688" s="775" t="n"/>
      <c r="F688" s="821" t="n"/>
      <c r="G688" s="821" t="n"/>
      <c r="H688" s="818">
        <f>IF(G688=1,F688-I688-J688-K688,IF(G688=2,F688,0))</f>
        <v>0</v>
      </c>
      <c r="I688" s="818">
        <f>ROUND(IF(G688=1,F688*10/23,IF(G688=3,F688-J688-K688,IF(G688=4,F688,IF(G688=5,F688*10/11,IF(G688=7,F688*10/11,0))))),0)</f>
        <v>0</v>
      </c>
      <c r="J688" s="818">
        <f>ROUND(IF(G688=1,F688/23,IF(G688=3,F688/12,IF(G688=5,F688-I688,IF(G688=8,F688,0)))),0)</f>
        <v>0</v>
      </c>
      <c r="K688" s="819">
        <f>ROUND(IF(G688=1,F688/23,IF(G688=3,F688/12,IF(G688=6,F688,IF(G688=7,F688-I688,0)))),0)</f>
        <v>0</v>
      </c>
      <c r="L688" s="820">
        <f>IF(G688=6,F688,0)</f>
        <v>0</v>
      </c>
      <c r="P688" s="768" t="n"/>
      <c r="Q688" s="769" t="str">
        <f>IF($F688="","",IFERROR(VLOOKUP($C688&amp;"|"&amp;$D688,科目表!$A$5:$B$200,2,FALSE),"※未登録"))</f>
        <v/>
      </c>
      <c r="R688" s="769" t="str">
        <f>IF($F688="","",$I688+$J688+$K688)</f>
        <v/>
      </c>
      <c r="S688" s="769" t="str">
        <f>IF(OR($F688="",$P688="支払なし",$H688=0,$Q688=""),"",$Q688&amp;"|S|"&amp;(COUNTIF(S$4:S687,$Q688&amp;"|S|*")+1))</f>
        <v/>
      </c>
      <c r="T688" s="769" t="str">
        <f>IF(OR($F688="",$P688="支払なし",$R688=0,$Q688=""),"",$Q688&amp;"|L|"&amp;(COUNTIF(T$4:T687,$Q688&amp;"|L|*")+1))</f>
        <v/>
      </c>
      <c r="U688" s="769" t="str">
        <f>IF($F688="","",13)</f>
        <v/>
      </c>
    </row>
    <row r="689" ht="16.5" customHeight="1" s="186">
      <c r="A689" s="760" t="n"/>
      <c r="B689" s="760" t="n"/>
      <c r="C689" s="762" t="n"/>
      <c r="D689" s="762" t="n"/>
      <c r="E689" s="775" t="n"/>
      <c r="F689" s="821" t="n"/>
      <c r="G689" s="821" t="n"/>
      <c r="H689" s="818">
        <f>IF(G689=1,F689-I689-J689-K689,IF(G689=2,F689,0))</f>
        <v>0</v>
      </c>
      <c r="I689" s="818">
        <f>ROUND(IF(G689=1,F689*10/23,IF(G689=3,F689-J689-K689,IF(G689=4,F689,IF(G689=5,F689*10/11,IF(G689=7,F689*10/11,0))))),0)</f>
        <v>0</v>
      </c>
      <c r="J689" s="818">
        <f>ROUND(IF(G689=1,F689/23,IF(G689=3,F689/12,IF(G689=5,F689-I689,IF(G689=8,F689,0)))),0)</f>
        <v>0</v>
      </c>
      <c r="K689" s="819">
        <f>ROUND(IF(G689=1,F689/23,IF(G689=3,F689/12,IF(G689=6,F689,IF(G689=7,F689-I689,0)))),0)</f>
        <v>0</v>
      </c>
      <c r="L689" s="820">
        <f>IF(G689=6,F689,0)</f>
        <v>0</v>
      </c>
      <c r="P689" s="768" t="n"/>
      <c r="Q689" s="769" t="str">
        <f>IF($F689="","",IFERROR(VLOOKUP($C689&amp;"|"&amp;$D689,科目表!$A$5:$B$200,2,FALSE),"※未登録"))</f>
        <v/>
      </c>
      <c r="R689" s="769" t="str">
        <f>IF($F689="","",$I689+$J689+$K689)</f>
        <v/>
      </c>
      <c r="S689" s="769" t="str">
        <f>IF(OR($F689="",$P689="支払なし",$H689=0,$Q689=""),"",$Q689&amp;"|S|"&amp;(COUNTIF(S$4:S688,$Q689&amp;"|S|*")+1))</f>
        <v/>
      </c>
      <c r="T689" s="769" t="str">
        <f>IF(OR($F689="",$P689="支払なし",$R689=0,$Q689=""),"",$Q689&amp;"|L|"&amp;(COUNTIF(T$4:T688,$Q689&amp;"|L|*")+1))</f>
        <v/>
      </c>
      <c r="U689" s="769" t="str">
        <f>IF($F689="","",13)</f>
        <v/>
      </c>
    </row>
    <row r="690" ht="16.5" customHeight="1" s="186">
      <c r="A690" s="760" t="n"/>
      <c r="B690" s="760" t="n"/>
      <c r="C690" s="762" t="n"/>
      <c r="D690" s="762" t="n"/>
      <c r="E690" s="775" t="n"/>
      <c r="F690" s="821" t="n"/>
      <c r="G690" s="821" t="n"/>
      <c r="H690" s="818">
        <f>IF(G690=1,F690-I690-J690-K690,IF(G690=2,F690,0))</f>
        <v>0</v>
      </c>
      <c r="I690" s="818">
        <f>ROUND(IF(G690=1,F690*10/23,IF(G690=3,F690-J690-K690,IF(G690=4,F690,IF(G690=5,F690*10/11,IF(G690=7,F690*10/11,0))))),0)</f>
        <v>0</v>
      </c>
      <c r="J690" s="818">
        <f>ROUND(IF(G690=1,F690/23,IF(G690=3,F690/12,IF(G690=5,F690-I690,IF(G690=8,F690,0)))),0)</f>
        <v>0</v>
      </c>
      <c r="K690" s="819">
        <f>ROUND(IF(G690=1,F690/23,IF(G690=3,F690/12,IF(G690=6,F690,IF(G690=7,F690-I690,0)))),0)</f>
        <v>0</v>
      </c>
      <c r="L690" s="820">
        <f>IF(G690=6,F690,0)</f>
        <v>0</v>
      </c>
      <c r="P690" s="768" t="n"/>
      <c r="Q690" s="769" t="str">
        <f>IF($F690="","",IFERROR(VLOOKUP($C690&amp;"|"&amp;$D690,科目表!$A$5:$B$200,2,FALSE),"※未登録"))</f>
        <v/>
      </c>
      <c r="R690" s="769" t="str">
        <f>IF($F690="","",$I690+$J690+$K690)</f>
        <v/>
      </c>
      <c r="S690" s="769" t="str">
        <f>IF(OR($F690="",$P690="支払なし",$H690=0,$Q690=""),"",$Q690&amp;"|S|"&amp;(COUNTIF(S$4:S689,$Q690&amp;"|S|*")+1))</f>
        <v/>
      </c>
      <c r="T690" s="769" t="str">
        <f>IF(OR($F690="",$P690="支払なし",$R690=0,$Q690=""),"",$Q690&amp;"|L|"&amp;(COUNTIF(T$4:T689,$Q690&amp;"|L|*")+1))</f>
        <v/>
      </c>
      <c r="U690" s="769" t="str">
        <f>IF($F690="","",13)</f>
        <v/>
      </c>
    </row>
    <row r="691" ht="16.5" customHeight="1" s="186">
      <c r="A691" s="760" t="n"/>
      <c r="B691" s="760" t="n"/>
      <c r="C691" s="762" t="n"/>
      <c r="D691" s="762" t="n"/>
      <c r="E691" s="775" t="n"/>
      <c r="F691" s="821" t="n"/>
      <c r="G691" s="821" t="n"/>
      <c r="H691" s="818">
        <f>IF(G691=1,F691-I691-J691-K691,IF(G691=2,F691,0))</f>
        <v>0</v>
      </c>
      <c r="I691" s="818">
        <f>ROUND(IF(G691=1,F691*10/23,IF(G691=3,F691-J691-K691,IF(G691=4,F691,IF(G691=5,F691*10/11,IF(G691=7,F691*10/11,0))))),0)</f>
        <v>0</v>
      </c>
      <c r="J691" s="818">
        <f>ROUND(IF(G691=1,F691/23,IF(G691=3,F691/12,IF(G691=5,F691-I691,IF(G691=8,F691,0)))),0)</f>
        <v>0</v>
      </c>
      <c r="K691" s="819">
        <f>ROUND(IF(G691=1,F691/23,IF(G691=3,F691/12,IF(G691=6,F691,IF(G691=7,F691-I691,0)))),0)</f>
        <v>0</v>
      </c>
      <c r="L691" s="820">
        <f>IF(G691=6,F691,0)</f>
        <v>0</v>
      </c>
      <c r="P691" s="768" t="n"/>
      <c r="Q691" s="769" t="str">
        <f>IF($F691="","",IFERROR(VLOOKUP($C691&amp;"|"&amp;$D691,科目表!$A$5:$B$200,2,FALSE),"※未登録"))</f>
        <v/>
      </c>
      <c r="R691" s="769" t="str">
        <f>IF($F691="","",$I691+$J691+$K691)</f>
        <v/>
      </c>
      <c r="S691" s="769" t="str">
        <f>IF(OR($F691="",$P691="支払なし",$H691=0,$Q691=""),"",$Q691&amp;"|S|"&amp;(COUNTIF(S$4:S690,$Q691&amp;"|S|*")+1))</f>
        <v/>
      </c>
      <c r="T691" s="769" t="str">
        <f>IF(OR($F691="",$P691="支払なし",$R691=0,$Q691=""),"",$Q691&amp;"|L|"&amp;(COUNTIF(T$4:T690,$Q691&amp;"|L|*")+1))</f>
        <v/>
      </c>
      <c r="U691" s="769" t="str">
        <f>IF($F691="","",13)</f>
        <v/>
      </c>
    </row>
    <row r="692" ht="16.5" customHeight="1" s="186">
      <c r="A692" s="760" t="n"/>
      <c r="B692" s="760" t="n"/>
      <c r="C692" s="762" t="n"/>
      <c r="D692" s="762" t="n"/>
      <c r="E692" s="775" t="n"/>
      <c r="F692" s="821" t="n"/>
      <c r="G692" s="821" t="n"/>
      <c r="H692" s="818">
        <f>IF(G692=1,F692-I692-J692-K692,IF(G692=2,F692,0))</f>
        <v>0</v>
      </c>
      <c r="I692" s="818">
        <f>ROUND(IF(G692=1,F692*10/23,IF(G692=3,F692-J692-K692,IF(G692=4,F692,IF(G692=5,F692*10/11,IF(G692=7,F692*10/11,0))))),0)</f>
        <v>0</v>
      </c>
      <c r="J692" s="818">
        <f>ROUND(IF(G692=1,F692/23,IF(G692=3,F692/12,IF(G692=5,F692-I692,IF(G692=8,F692,0)))),0)</f>
        <v>0</v>
      </c>
      <c r="K692" s="819">
        <f>ROUND(IF(G692=1,F692/23,IF(G692=3,F692/12,IF(G692=6,F692,IF(G692=7,F692-I692,0)))),0)</f>
        <v>0</v>
      </c>
      <c r="L692" s="820">
        <f>IF(G692=6,F692,0)</f>
        <v>0</v>
      </c>
      <c r="P692" s="768" t="n"/>
      <c r="Q692" s="769" t="str">
        <f>IF($F692="","",IFERROR(VLOOKUP($C692&amp;"|"&amp;$D692,科目表!$A$5:$B$200,2,FALSE),"※未登録"))</f>
        <v/>
      </c>
      <c r="R692" s="769" t="str">
        <f>IF($F692="","",$I692+$J692+$K692)</f>
        <v/>
      </c>
      <c r="S692" s="769" t="str">
        <f>IF(OR($F692="",$P692="支払なし",$H692=0,$Q692=""),"",$Q692&amp;"|S|"&amp;(COUNTIF(S$4:S691,$Q692&amp;"|S|*")+1))</f>
        <v/>
      </c>
      <c r="T692" s="769" t="str">
        <f>IF(OR($F692="",$P692="支払なし",$R692=0,$Q692=""),"",$Q692&amp;"|L|"&amp;(COUNTIF(T$4:T691,$Q692&amp;"|L|*")+1))</f>
        <v/>
      </c>
      <c r="U692" s="769" t="str">
        <f>IF($F692="","",13)</f>
        <v/>
      </c>
    </row>
    <row r="693" ht="16.5" customHeight="1" s="186">
      <c r="A693" s="760" t="n"/>
      <c r="B693" s="760" t="n"/>
      <c r="C693" s="762" t="n"/>
      <c r="D693" s="762" t="n"/>
      <c r="E693" s="775" t="n"/>
      <c r="F693" s="821" t="n"/>
      <c r="G693" s="821" t="n"/>
      <c r="H693" s="818">
        <f>IF(G693=1,F693-I693-J693-K693,IF(G693=2,F693,0))</f>
        <v>0</v>
      </c>
      <c r="I693" s="818">
        <f>ROUND(IF(G693=1,F693*10/23,IF(G693=3,F693-J693-K693,IF(G693=4,F693,IF(G693=5,F693*10/11,IF(G693=7,F693*10/11,0))))),0)</f>
        <v>0</v>
      </c>
      <c r="J693" s="818">
        <f>ROUND(IF(G693=1,F693/23,IF(G693=3,F693/12,IF(G693=5,F693-I693,IF(G693=8,F693,0)))),0)</f>
        <v>0</v>
      </c>
      <c r="K693" s="819">
        <f>ROUND(IF(G693=1,F693/23,IF(G693=3,F693/12,IF(G693=6,F693,IF(G693=7,F693-I693,0)))),0)</f>
        <v>0</v>
      </c>
      <c r="L693" s="820">
        <f>IF(G693=6,F693,0)</f>
        <v>0</v>
      </c>
      <c r="P693" s="768" t="n"/>
      <c r="Q693" s="769" t="str">
        <f>IF($F693="","",IFERROR(VLOOKUP($C693&amp;"|"&amp;$D693,科目表!$A$5:$B$200,2,FALSE),"※未登録"))</f>
        <v/>
      </c>
      <c r="R693" s="769" t="str">
        <f>IF($F693="","",$I693+$J693+$K693)</f>
        <v/>
      </c>
      <c r="S693" s="769" t="str">
        <f>IF(OR($F693="",$P693="支払なし",$H693=0,$Q693=""),"",$Q693&amp;"|S|"&amp;(COUNTIF(S$4:S692,$Q693&amp;"|S|*")+1))</f>
        <v/>
      </c>
      <c r="T693" s="769" t="str">
        <f>IF(OR($F693="",$P693="支払なし",$R693=0,$Q693=""),"",$Q693&amp;"|L|"&amp;(COUNTIF(T$4:T692,$Q693&amp;"|L|*")+1))</f>
        <v/>
      </c>
      <c r="U693" s="769" t="str">
        <f>IF($F693="","",13)</f>
        <v/>
      </c>
    </row>
    <row r="694" ht="16.5" customHeight="1" s="186">
      <c r="A694" s="760" t="n"/>
      <c r="B694" s="760" t="n"/>
      <c r="C694" s="762" t="n"/>
      <c r="D694" s="762" t="n"/>
      <c r="E694" s="775" t="n"/>
      <c r="F694" s="821" t="n"/>
      <c r="G694" s="821" t="n"/>
      <c r="H694" s="818">
        <f>IF(G694=1,F694-I694-J694-K694,IF(G694=2,F694,0))</f>
        <v>0</v>
      </c>
      <c r="I694" s="818">
        <f>ROUND(IF(G694=1,F694*10/23,IF(G694=3,F694-J694-K694,IF(G694=4,F694,IF(G694=5,F694*10/11,IF(G694=7,F694*10/11,0))))),0)</f>
        <v>0</v>
      </c>
      <c r="J694" s="818">
        <f>ROUND(IF(G694=1,F694/23,IF(G694=3,F694/12,IF(G694=5,F694-I694,IF(G694=8,F694,0)))),0)</f>
        <v>0</v>
      </c>
      <c r="K694" s="819">
        <f>ROUND(IF(G694=1,F694/23,IF(G694=3,F694/12,IF(G694=6,F694,IF(G694=7,F694-I694,0)))),0)</f>
        <v>0</v>
      </c>
      <c r="L694" s="820">
        <f>IF(G694=6,F694,0)</f>
        <v>0</v>
      </c>
      <c r="P694" s="768" t="n"/>
      <c r="Q694" s="769" t="str">
        <f>IF($F694="","",IFERROR(VLOOKUP($C694&amp;"|"&amp;$D694,科目表!$A$5:$B$200,2,FALSE),"※未登録"))</f>
        <v/>
      </c>
      <c r="R694" s="769" t="str">
        <f>IF($F694="","",$I694+$J694+$K694)</f>
        <v/>
      </c>
      <c r="S694" s="769" t="str">
        <f>IF(OR($F694="",$P694="支払なし",$H694=0,$Q694=""),"",$Q694&amp;"|S|"&amp;(COUNTIF(S$4:S693,$Q694&amp;"|S|*")+1))</f>
        <v/>
      </c>
      <c r="T694" s="769" t="str">
        <f>IF(OR($F694="",$P694="支払なし",$R694=0,$Q694=""),"",$Q694&amp;"|L|"&amp;(COUNTIF(T$4:T693,$Q694&amp;"|L|*")+1))</f>
        <v/>
      </c>
      <c r="U694" s="769" t="str">
        <f>IF($F694="","",13)</f>
        <v/>
      </c>
    </row>
    <row r="695" ht="16.5" customHeight="1" s="186">
      <c r="A695" s="760" t="n"/>
      <c r="B695" s="760" t="n"/>
      <c r="C695" s="762" t="n"/>
      <c r="D695" s="762" t="n"/>
      <c r="E695" s="775" t="n"/>
      <c r="F695" s="821" t="n"/>
      <c r="G695" s="821" t="n"/>
      <c r="H695" s="818">
        <f>IF(G695=1,F695-I695-J695-K695,IF(G695=2,F695,0))</f>
        <v>0</v>
      </c>
      <c r="I695" s="818">
        <f>ROUND(IF(G695=1,F695*10/23,IF(G695=3,F695-J695-K695,IF(G695=4,F695,IF(G695=5,F695*10/11,IF(G695=7,F695*10/11,0))))),0)</f>
        <v>0</v>
      </c>
      <c r="J695" s="818">
        <f>ROUND(IF(G695=1,F695/23,IF(G695=3,F695/12,IF(G695=5,F695-I695,IF(G695=8,F695,0)))),0)</f>
        <v>0</v>
      </c>
      <c r="K695" s="819">
        <f>ROUND(IF(G695=1,F695/23,IF(G695=3,F695/12,IF(G695=6,F695,IF(G695=7,F695-I695,0)))),0)</f>
        <v>0</v>
      </c>
      <c r="L695" s="820">
        <f>IF(G695=6,F695,0)</f>
        <v>0</v>
      </c>
      <c r="P695" s="768" t="n"/>
      <c r="Q695" s="769" t="str">
        <f>IF($F695="","",IFERROR(VLOOKUP($C695&amp;"|"&amp;$D695,科目表!$A$5:$B$200,2,FALSE),"※未登録"))</f>
        <v/>
      </c>
      <c r="R695" s="769" t="str">
        <f>IF($F695="","",$I695+$J695+$K695)</f>
        <v/>
      </c>
      <c r="S695" s="769" t="str">
        <f>IF(OR($F695="",$P695="支払なし",$H695=0,$Q695=""),"",$Q695&amp;"|S|"&amp;(COUNTIF(S$4:S694,$Q695&amp;"|S|*")+1))</f>
        <v/>
      </c>
      <c r="T695" s="769" t="str">
        <f>IF(OR($F695="",$P695="支払なし",$R695=0,$Q695=""),"",$Q695&amp;"|L|"&amp;(COUNTIF(T$4:T694,$Q695&amp;"|L|*")+1))</f>
        <v/>
      </c>
      <c r="U695" s="769" t="str">
        <f>IF($F695="","",13)</f>
        <v/>
      </c>
    </row>
    <row r="696" ht="16.5" customHeight="1" s="186">
      <c r="A696" s="760" t="n"/>
      <c r="B696" s="760" t="n"/>
      <c r="C696" s="762" t="n"/>
      <c r="D696" s="762" t="n"/>
      <c r="E696" s="775" t="n"/>
      <c r="F696" s="821" t="n"/>
      <c r="G696" s="821" t="n"/>
      <c r="H696" s="818">
        <f>IF(G696=1,F696-I696-J696-K696,IF(G696=2,F696,0))</f>
        <v>0</v>
      </c>
      <c r="I696" s="818">
        <f>ROUND(IF(G696=1,F696*10/23,IF(G696=3,F696-J696-K696,IF(G696=4,F696,IF(G696=5,F696*10/11,IF(G696=7,F696*10/11,0))))),0)</f>
        <v>0</v>
      </c>
      <c r="J696" s="818">
        <f>ROUND(IF(G696=1,F696/23,IF(G696=3,F696/12,IF(G696=5,F696-I696,IF(G696=8,F696,0)))),0)</f>
        <v>0</v>
      </c>
      <c r="K696" s="819">
        <f>ROUND(IF(G696=1,F696/23,IF(G696=3,F696/12,IF(G696=6,F696,IF(G696=7,F696-I696,0)))),0)</f>
        <v>0</v>
      </c>
      <c r="L696" s="820">
        <f>IF(G696=6,F696,0)</f>
        <v>0</v>
      </c>
      <c r="P696" s="768" t="n"/>
      <c r="Q696" s="769" t="str">
        <f>IF($F696="","",IFERROR(VLOOKUP($C696&amp;"|"&amp;$D696,科目表!$A$5:$B$200,2,FALSE),"※未登録"))</f>
        <v/>
      </c>
      <c r="R696" s="769" t="str">
        <f>IF($F696="","",$I696+$J696+$K696)</f>
        <v/>
      </c>
      <c r="S696" s="769" t="str">
        <f>IF(OR($F696="",$P696="支払なし",$H696=0,$Q696=""),"",$Q696&amp;"|S|"&amp;(COUNTIF(S$4:S695,$Q696&amp;"|S|*")+1))</f>
        <v/>
      </c>
      <c r="T696" s="769" t="str">
        <f>IF(OR($F696="",$P696="支払なし",$R696=0,$Q696=""),"",$Q696&amp;"|L|"&amp;(COUNTIF(T$4:T695,$Q696&amp;"|L|*")+1))</f>
        <v/>
      </c>
      <c r="U696" s="769" t="str">
        <f>IF($F696="","",13)</f>
        <v/>
      </c>
    </row>
    <row r="697" ht="16.5" customHeight="1" s="186">
      <c r="A697" s="760" t="n"/>
      <c r="B697" s="760" t="n"/>
      <c r="C697" s="762" t="n"/>
      <c r="D697" s="762" t="n"/>
      <c r="E697" s="775" t="n"/>
      <c r="F697" s="821" t="n"/>
      <c r="G697" s="821" t="n"/>
      <c r="H697" s="818">
        <f>IF(G697=1,F697-I697-J697-K697,IF(G697=2,F697,0))</f>
        <v>0</v>
      </c>
      <c r="I697" s="818">
        <f>ROUND(IF(G697=1,F697*10/23,IF(G697=3,F697-J697-K697,IF(G697=4,F697,IF(G697=5,F697*10/11,IF(G697=7,F697*10/11,0))))),0)</f>
        <v>0</v>
      </c>
      <c r="J697" s="818">
        <f>ROUND(IF(G697=1,F697/23,IF(G697=3,F697/12,IF(G697=5,F697-I697,IF(G697=8,F697,0)))),0)</f>
        <v>0</v>
      </c>
      <c r="K697" s="819">
        <f>ROUND(IF(G697=1,F697/23,IF(G697=3,F697/12,IF(G697=6,F697,IF(G697=7,F697-I697,0)))),0)</f>
        <v>0</v>
      </c>
      <c r="L697" s="820">
        <f>IF(G697=6,F697,0)</f>
        <v>0</v>
      </c>
      <c r="P697" s="768" t="n"/>
      <c r="Q697" s="769" t="str">
        <f>IF($F697="","",IFERROR(VLOOKUP($C697&amp;"|"&amp;$D697,科目表!$A$5:$B$200,2,FALSE),"※未登録"))</f>
        <v/>
      </c>
      <c r="R697" s="769" t="str">
        <f>IF($F697="","",$I697+$J697+$K697)</f>
        <v/>
      </c>
      <c r="S697" s="769" t="str">
        <f>IF(OR($F697="",$P697="支払なし",$H697=0,$Q697=""),"",$Q697&amp;"|S|"&amp;(COUNTIF(S$4:S696,$Q697&amp;"|S|*")+1))</f>
        <v/>
      </c>
      <c r="T697" s="769" t="str">
        <f>IF(OR($F697="",$P697="支払なし",$R697=0,$Q697=""),"",$Q697&amp;"|L|"&amp;(COUNTIF(T$4:T696,$Q697&amp;"|L|*")+1))</f>
        <v/>
      </c>
      <c r="U697" s="769" t="str">
        <f>IF($F697="","",13)</f>
        <v/>
      </c>
    </row>
    <row r="698" ht="16.5" customHeight="1" s="186">
      <c r="A698" s="760" t="n"/>
      <c r="B698" s="760" t="n"/>
      <c r="C698" s="762" t="n"/>
      <c r="D698" s="762" t="n"/>
      <c r="E698" s="775" t="n"/>
      <c r="F698" s="821" t="n"/>
      <c r="G698" s="821" t="n"/>
      <c r="H698" s="818">
        <f>IF(G698=1,F698-I698-J698-K698,IF(G698=2,F698,0))</f>
        <v>0</v>
      </c>
      <c r="I698" s="818">
        <f>ROUND(IF(G698=1,F698*10/23,IF(G698=3,F698-J698-K698,IF(G698=4,F698,IF(G698=5,F698*10/11,IF(G698=7,F698*10/11,0))))),0)</f>
        <v>0</v>
      </c>
      <c r="J698" s="818">
        <f>ROUND(IF(G698=1,F698/23,IF(G698=3,F698/12,IF(G698=5,F698-I698,IF(G698=8,F698,0)))),0)</f>
        <v>0</v>
      </c>
      <c r="K698" s="819">
        <f>ROUND(IF(G698=1,F698/23,IF(G698=3,F698/12,IF(G698=6,F698,IF(G698=7,F698-I698,0)))),0)</f>
        <v>0</v>
      </c>
      <c r="L698" s="820">
        <f>IF(G698=6,F698,0)</f>
        <v>0</v>
      </c>
      <c r="P698" s="768" t="n"/>
      <c r="Q698" s="769" t="str">
        <f>IF($F698="","",IFERROR(VLOOKUP($C698&amp;"|"&amp;$D698,科目表!$A$5:$B$200,2,FALSE),"※未登録"))</f>
        <v/>
      </c>
      <c r="R698" s="769" t="str">
        <f>IF($F698="","",$I698+$J698+$K698)</f>
        <v/>
      </c>
      <c r="S698" s="769" t="str">
        <f>IF(OR($F698="",$P698="支払なし",$H698=0,$Q698=""),"",$Q698&amp;"|S|"&amp;(COUNTIF(S$4:S697,$Q698&amp;"|S|*")+1))</f>
        <v/>
      </c>
      <c r="T698" s="769" t="str">
        <f>IF(OR($F698="",$P698="支払なし",$R698=0,$Q698=""),"",$Q698&amp;"|L|"&amp;(COUNTIF(T$4:T697,$Q698&amp;"|L|*")+1))</f>
        <v/>
      </c>
      <c r="U698" s="769" t="str">
        <f>IF($F698="","",13)</f>
        <v/>
      </c>
    </row>
    <row r="699" ht="16.5" customHeight="1" s="186">
      <c r="A699" s="760" t="n"/>
      <c r="B699" s="760" t="n"/>
      <c r="C699" s="762" t="n"/>
      <c r="D699" s="762" t="n"/>
      <c r="E699" s="775" t="n"/>
      <c r="F699" s="821" t="n"/>
      <c r="G699" s="821" t="n"/>
      <c r="H699" s="818">
        <f>IF(G699=1,F699-I699-J699-K699,IF(G699=2,F699,0))</f>
        <v>0</v>
      </c>
      <c r="I699" s="818">
        <f>ROUND(IF(G699=1,F699*10/23,IF(G699=3,F699-J699-K699,IF(G699=4,F699,IF(G699=5,F699*10/11,IF(G699=7,F699*10/11,0))))),0)</f>
        <v>0</v>
      </c>
      <c r="J699" s="818">
        <f>ROUND(IF(G699=1,F699/23,IF(G699=3,F699/12,IF(G699=5,F699-I699,IF(G699=8,F699,0)))),0)</f>
        <v>0</v>
      </c>
      <c r="K699" s="819">
        <f>ROUND(IF(G699=1,F699/23,IF(G699=3,F699/12,IF(G699=6,F699,IF(G699=7,F699-I699,0)))),0)</f>
        <v>0</v>
      </c>
      <c r="L699" s="820">
        <f>IF(G699=6,F699,0)</f>
        <v>0</v>
      </c>
      <c r="P699" s="768" t="n"/>
      <c r="Q699" s="769" t="str">
        <f>IF($F699="","",IFERROR(VLOOKUP($C699&amp;"|"&amp;$D699,科目表!$A$5:$B$200,2,FALSE),"※未登録"))</f>
        <v/>
      </c>
      <c r="R699" s="769" t="str">
        <f>IF($F699="","",$I699+$J699+$K699)</f>
        <v/>
      </c>
      <c r="S699" s="769" t="str">
        <f>IF(OR($F699="",$P699="支払なし",$H699=0,$Q699=""),"",$Q699&amp;"|S|"&amp;(COUNTIF(S$4:S698,$Q699&amp;"|S|*")+1))</f>
        <v/>
      </c>
      <c r="T699" s="769" t="str">
        <f>IF(OR($F699="",$P699="支払なし",$R699=0,$Q699=""),"",$Q699&amp;"|L|"&amp;(COUNTIF(T$4:T698,$Q699&amp;"|L|*")+1))</f>
        <v/>
      </c>
      <c r="U699" s="769" t="str">
        <f>IF($F699="","",13)</f>
        <v/>
      </c>
    </row>
    <row r="700" ht="16.5" customHeight="1" s="186">
      <c r="A700" s="760" t="n"/>
      <c r="B700" s="760" t="n"/>
      <c r="C700" s="762" t="n"/>
      <c r="D700" s="762" t="n"/>
      <c r="E700" s="775" t="n"/>
      <c r="F700" s="821" t="n"/>
      <c r="G700" s="821" t="n"/>
      <c r="H700" s="818">
        <f>IF(G700=1,F700-I700-J700-K700,IF(G700=2,F700,0))</f>
        <v>0</v>
      </c>
      <c r="I700" s="818">
        <f>ROUND(IF(G700=1,F700*10/23,IF(G700=3,F700-J700-K700,IF(G700=4,F700,IF(G700=5,F700*10/11,IF(G700=7,F700*10/11,0))))),0)</f>
        <v>0</v>
      </c>
      <c r="J700" s="818">
        <f>ROUND(IF(G700=1,F700/23,IF(G700=3,F700/12,IF(G700=5,F700-I700,IF(G700=8,F700,0)))),0)</f>
        <v>0</v>
      </c>
      <c r="K700" s="819">
        <f>ROUND(IF(G700=1,F700/23,IF(G700=3,F700/12,IF(G700=6,F700,IF(G700=7,F700-I700,0)))),0)</f>
        <v>0</v>
      </c>
      <c r="L700" s="820">
        <f>IF(G700=6,F700,0)</f>
        <v>0</v>
      </c>
      <c r="P700" s="768" t="n"/>
      <c r="Q700" s="769" t="str">
        <f>IF($F700="","",IFERROR(VLOOKUP($C700&amp;"|"&amp;$D700,科目表!$A$5:$B$200,2,FALSE),"※未登録"))</f>
        <v/>
      </c>
      <c r="R700" s="769" t="str">
        <f>IF($F700="","",$I700+$J700+$K700)</f>
        <v/>
      </c>
      <c r="S700" s="769" t="str">
        <f>IF(OR($F700="",$P700="支払なし",$H700=0,$Q700=""),"",$Q700&amp;"|S|"&amp;(COUNTIF(S$4:S699,$Q700&amp;"|S|*")+1))</f>
        <v/>
      </c>
      <c r="T700" s="769" t="str">
        <f>IF(OR($F700="",$P700="支払なし",$R700=0,$Q700=""),"",$Q700&amp;"|L|"&amp;(COUNTIF(T$4:T699,$Q700&amp;"|L|*")+1))</f>
        <v/>
      </c>
      <c r="U700" s="769" t="str">
        <f>IF($F700="","",13)</f>
        <v/>
      </c>
    </row>
    <row r="701" ht="16.5" customHeight="1" s="186">
      <c r="A701" s="760" t="n"/>
      <c r="B701" s="760" t="n"/>
      <c r="C701" s="762" t="n"/>
      <c r="D701" s="762" t="n"/>
      <c r="E701" s="775" t="n"/>
      <c r="F701" s="821" t="n"/>
      <c r="G701" s="821" t="n"/>
      <c r="H701" s="818">
        <f>IF(G701=1,F701-I701-J701-K701,IF(G701=2,F701,0))</f>
        <v>0</v>
      </c>
      <c r="I701" s="818">
        <f>ROUND(IF(G701=1,F701*10/23,IF(G701=3,F701-J701-K701,IF(G701=4,F701,IF(G701=5,F701*10/11,IF(G701=7,F701*10/11,0))))),0)</f>
        <v>0</v>
      </c>
      <c r="J701" s="818">
        <f>ROUND(IF(G701=1,F701/23,IF(G701=3,F701/12,IF(G701=5,F701-I701,IF(G701=8,F701,0)))),0)</f>
        <v>0</v>
      </c>
      <c r="K701" s="819">
        <f>ROUND(IF(G701=1,F701/23,IF(G701=3,F701/12,IF(G701=6,F701,IF(G701=7,F701-I701,0)))),0)</f>
        <v>0</v>
      </c>
      <c r="L701" s="820">
        <f>IF(G701=6,F701,0)</f>
        <v>0</v>
      </c>
      <c r="P701" s="768" t="n"/>
      <c r="Q701" s="769" t="str">
        <f>IF($F701="","",IFERROR(VLOOKUP($C701&amp;"|"&amp;$D701,科目表!$A$5:$B$200,2,FALSE),"※未登録"))</f>
        <v/>
      </c>
      <c r="R701" s="769" t="str">
        <f>IF($F701="","",$I701+$J701+$K701)</f>
        <v/>
      </c>
      <c r="S701" s="769" t="str">
        <f>IF(OR($F701="",$P701="支払なし",$H701=0,$Q701=""),"",$Q701&amp;"|S|"&amp;(COUNTIF(S$4:S700,$Q701&amp;"|S|*")+1))</f>
        <v/>
      </c>
      <c r="T701" s="769" t="str">
        <f>IF(OR($F701="",$P701="支払なし",$R701=0,$Q701=""),"",$Q701&amp;"|L|"&amp;(COUNTIF(T$4:T700,$Q701&amp;"|L|*")+1))</f>
        <v/>
      </c>
      <c r="U701" s="769" t="str">
        <f>IF($F701="","",13)</f>
        <v/>
      </c>
    </row>
    <row r="702" ht="16.5" customHeight="1" s="186">
      <c r="A702" s="760" t="n"/>
      <c r="B702" s="760" t="n"/>
      <c r="C702" s="762" t="n"/>
      <c r="D702" s="762" t="n"/>
      <c r="E702" s="775" t="n"/>
      <c r="F702" s="821" t="n"/>
      <c r="G702" s="821" t="n"/>
      <c r="H702" s="818">
        <f>IF(G702=1,F702-I702-J702-K702,IF(G702=2,F702,0))</f>
        <v>0</v>
      </c>
      <c r="I702" s="818">
        <f>ROUND(IF(G702=1,F702*10/23,IF(G702=3,F702-J702-K702,IF(G702=4,F702,IF(G702=5,F702*10/11,IF(G702=7,F702*10/11,0))))),0)</f>
        <v>0</v>
      </c>
      <c r="J702" s="818">
        <f>ROUND(IF(G702=1,F702/23,IF(G702=3,F702/12,IF(G702=5,F702-I702,IF(G702=8,F702,0)))),0)</f>
        <v>0</v>
      </c>
      <c r="K702" s="819">
        <f>ROUND(IF(G702=1,F702/23,IF(G702=3,F702/12,IF(G702=6,F702,IF(G702=7,F702-I702,0)))),0)</f>
        <v>0</v>
      </c>
      <c r="L702" s="820">
        <f>IF(G702=6,F702,0)</f>
        <v>0</v>
      </c>
      <c r="P702" s="768" t="n"/>
      <c r="Q702" s="769" t="str">
        <f>IF($F702="","",IFERROR(VLOOKUP($C702&amp;"|"&amp;$D702,科目表!$A$5:$B$200,2,FALSE),"※未登録"))</f>
        <v/>
      </c>
      <c r="R702" s="769" t="str">
        <f>IF($F702="","",$I702+$J702+$K702)</f>
        <v/>
      </c>
      <c r="S702" s="769" t="str">
        <f>IF(OR($F702="",$P702="支払なし",$H702=0,$Q702=""),"",$Q702&amp;"|S|"&amp;(COUNTIF(S$4:S701,$Q702&amp;"|S|*")+1))</f>
        <v/>
      </c>
      <c r="T702" s="769" t="str">
        <f>IF(OR($F702="",$P702="支払なし",$R702=0,$Q702=""),"",$Q702&amp;"|L|"&amp;(COUNTIF(T$4:T701,$Q702&amp;"|L|*")+1))</f>
        <v/>
      </c>
      <c r="U702" s="769" t="str">
        <f>IF($F702="","",13)</f>
        <v/>
      </c>
    </row>
    <row r="703" ht="16.5" customHeight="1" s="186">
      <c r="A703" s="760" t="n"/>
      <c r="B703" s="760" t="n"/>
      <c r="C703" s="762" t="n"/>
      <c r="D703" s="762" t="n"/>
      <c r="E703" s="775" t="n"/>
      <c r="F703" s="821" t="n"/>
      <c r="G703" s="821" t="n"/>
      <c r="H703" s="818">
        <f>IF(G703=1,F703-I703-J703-K703,IF(G703=2,F703,0))</f>
        <v>0</v>
      </c>
      <c r="I703" s="818">
        <f>ROUND(IF(G703=1,F703*10/23,IF(G703=3,F703-J703-K703,IF(G703=4,F703,IF(G703=5,F703*10/11,IF(G703=7,F703*10/11,0))))),0)</f>
        <v>0</v>
      </c>
      <c r="J703" s="818">
        <f>ROUND(IF(G703=1,F703/23,IF(G703=3,F703/12,IF(G703=5,F703-I703,IF(G703=8,F703,0)))),0)</f>
        <v>0</v>
      </c>
      <c r="K703" s="819">
        <f>ROUND(IF(G703=1,F703/23,IF(G703=3,F703/12,IF(G703=6,F703,IF(G703=7,F703-I703,0)))),0)</f>
        <v>0</v>
      </c>
      <c r="L703" s="820">
        <f>IF(G703=6,F703,0)</f>
        <v>0</v>
      </c>
      <c r="P703" s="768" t="n"/>
      <c r="Q703" s="769" t="str">
        <f>IF($F703="","",IFERROR(VLOOKUP($C703&amp;"|"&amp;$D703,科目表!$A$5:$B$200,2,FALSE),"※未登録"))</f>
        <v/>
      </c>
      <c r="R703" s="769" t="str">
        <f>IF($F703="","",$I703+$J703+$K703)</f>
        <v/>
      </c>
      <c r="S703" s="769" t="str">
        <f>IF(OR($F703="",$P703="支払なし",$H703=0,$Q703=""),"",$Q703&amp;"|S|"&amp;(COUNTIF(S$4:S702,$Q703&amp;"|S|*")+1))</f>
        <v/>
      </c>
      <c r="T703" s="769" t="str">
        <f>IF(OR($F703="",$P703="支払なし",$R703=0,$Q703=""),"",$Q703&amp;"|L|"&amp;(COUNTIF(T$4:T702,$Q703&amp;"|L|*")+1))</f>
        <v/>
      </c>
      <c r="U703" s="769" t="str">
        <f>IF($F703="","",13)</f>
        <v/>
      </c>
    </row>
    <row r="704" ht="16.5" customHeight="1" s="186">
      <c r="A704" s="760" t="n"/>
      <c r="B704" s="760" t="n"/>
      <c r="C704" s="762" t="n"/>
      <c r="D704" s="762" t="n"/>
      <c r="E704" s="775" t="n"/>
      <c r="F704" s="821" t="n"/>
      <c r="G704" s="821" t="n"/>
      <c r="H704" s="818">
        <f>IF(G704=1,F704-I704-J704-K704,IF(G704=2,F704,0))</f>
        <v>0</v>
      </c>
      <c r="I704" s="818">
        <f>ROUND(IF(G704=1,F704*10/23,IF(G704=3,F704-J704-K704,IF(G704=4,F704,IF(G704=5,F704*10/11,IF(G704=7,F704*10/11,0))))),0)</f>
        <v>0</v>
      </c>
      <c r="J704" s="818">
        <f>ROUND(IF(G704=1,F704/23,IF(G704=3,F704/12,IF(G704=5,F704-I704,IF(G704=8,F704,0)))),0)</f>
        <v>0</v>
      </c>
      <c r="K704" s="819">
        <f>ROUND(IF(G704=1,F704/23,IF(G704=3,F704/12,IF(G704=6,F704,IF(G704=7,F704-I704,0)))),0)</f>
        <v>0</v>
      </c>
      <c r="L704" s="820">
        <f>IF(G704=6,F704,0)</f>
        <v>0</v>
      </c>
      <c r="P704" s="768" t="n"/>
      <c r="Q704" s="769" t="str">
        <f>IF($F704="","",IFERROR(VLOOKUP($C704&amp;"|"&amp;$D704,科目表!$A$5:$B$200,2,FALSE),"※未登録"))</f>
        <v/>
      </c>
      <c r="R704" s="769" t="str">
        <f>IF($F704="","",$I704+$J704+$K704)</f>
        <v/>
      </c>
      <c r="S704" s="769" t="str">
        <f>IF(OR($F704="",$P704="支払なし",$H704=0,$Q704=""),"",$Q704&amp;"|S|"&amp;(COUNTIF(S$4:S703,$Q704&amp;"|S|*")+1))</f>
        <v/>
      </c>
      <c r="T704" s="769" t="str">
        <f>IF(OR($F704="",$P704="支払なし",$R704=0,$Q704=""),"",$Q704&amp;"|L|"&amp;(COUNTIF(T$4:T703,$Q704&amp;"|L|*")+1))</f>
        <v/>
      </c>
      <c r="U704" s="769" t="str">
        <f>IF($F704="","",13)</f>
        <v/>
      </c>
    </row>
    <row r="705" ht="16.5" customHeight="1" s="186">
      <c r="A705" s="760" t="n"/>
      <c r="B705" s="760" t="n"/>
      <c r="C705" s="762" t="n"/>
      <c r="D705" s="762" t="n"/>
      <c r="E705" s="775" t="n"/>
      <c r="F705" s="821" t="n"/>
      <c r="G705" s="821" t="n"/>
      <c r="H705" s="818">
        <f>IF(G705=1,F705-I705-J705-K705,IF(G705=2,F705,0))</f>
        <v>0</v>
      </c>
      <c r="I705" s="818">
        <f>ROUND(IF(G705=1,F705*10/23,IF(G705=3,F705-J705-K705,IF(G705=4,F705,IF(G705=5,F705*10/11,IF(G705=7,F705*10/11,0))))),0)</f>
        <v>0</v>
      </c>
      <c r="J705" s="818">
        <f>ROUND(IF(G705=1,F705/23,IF(G705=3,F705/12,IF(G705=5,F705-I705,IF(G705=8,F705,0)))),0)</f>
        <v>0</v>
      </c>
      <c r="K705" s="819">
        <f>ROUND(IF(G705=1,F705/23,IF(G705=3,F705/12,IF(G705=6,F705,IF(G705=7,F705-I705,0)))),0)</f>
        <v>0</v>
      </c>
      <c r="L705" s="820">
        <f>IF(G705=6,F705,0)</f>
        <v>0</v>
      </c>
      <c r="P705" s="768" t="n"/>
      <c r="Q705" s="769" t="str">
        <f>IF($F705="","",IFERROR(VLOOKUP($C705&amp;"|"&amp;$D705,科目表!$A$5:$B$200,2,FALSE),"※未登録"))</f>
        <v/>
      </c>
      <c r="R705" s="769" t="str">
        <f>IF($F705="","",$I705+$J705+$K705)</f>
        <v/>
      </c>
      <c r="S705" s="769" t="str">
        <f>IF(OR($F705="",$P705="支払なし",$H705=0,$Q705=""),"",$Q705&amp;"|S|"&amp;(COUNTIF(S$4:S704,$Q705&amp;"|S|*")+1))</f>
        <v/>
      </c>
      <c r="T705" s="769" t="str">
        <f>IF(OR($F705="",$P705="支払なし",$R705=0,$Q705=""),"",$Q705&amp;"|L|"&amp;(COUNTIF(T$4:T704,$Q705&amp;"|L|*")+1))</f>
        <v/>
      </c>
      <c r="U705" s="769" t="str">
        <f>IF($F705="","",13)</f>
        <v/>
      </c>
    </row>
    <row r="706" ht="16.5" customHeight="1" s="186">
      <c r="A706" s="760" t="n"/>
      <c r="B706" s="760" t="n"/>
      <c r="C706" s="762" t="n"/>
      <c r="D706" s="762" t="n"/>
      <c r="E706" s="775" t="n"/>
      <c r="F706" s="821" t="n"/>
      <c r="G706" s="821" t="n"/>
      <c r="H706" s="818">
        <f>IF(G706=1,F706-I706-J706-K706,IF(G706=2,F706,0))</f>
        <v>0</v>
      </c>
      <c r="I706" s="818">
        <f>ROUND(IF(G706=1,F706*10/23,IF(G706=3,F706-J706-K706,IF(G706=4,F706,IF(G706=5,F706*10/11,IF(G706=7,F706*10/11,0))))),0)</f>
        <v>0</v>
      </c>
      <c r="J706" s="818">
        <f>ROUND(IF(G706=1,F706/23,IF(G706=3,F706/12,IF(G706=5,F706-I706,IF(G706=8,F706,0)))),0)</f>
        <v>0</v>
      </c>
      <c r="K706" s="819">
        <f>ROUND(IF(G706=1,F706/23,IF(G706=3,F706/12,IF(G706=6,F706,IF(G706=7,F706-I706,0)))),0)</f>
        <v>0</v>
      </c>
      <c r="L706" s="820">
        <f>IF(G706=6,F706,0)</f>
        <v>0</v>
      </c>
      <c r="P706" s="768" t="n"/>
      <c r="Q706" s="769" t="str">
        <f>IF($F706="","",IFERROR(VLOOKUP($C706&amp;"|"&amp;$D706,科目表!$A$5:$B$200,2,FALSE),"※未登録"))</f>
        <v/>
      </c>
      <c r="R706" s="769" t="str">
        <f>IF($F706="","",$I706+$J706+$K706)</f>
        <v/>
      </c>
      <c r="S706" s="769" t="str">
        <f>IF(OR($F706="",$P706="支払なし",$H706=0,$Q706=""),"",$Q706&amp;"|S|"&amp;(COUNTIF(S$4:S705,$Q706&amp;"|S|*")+1))</f>
        <v/>
      </c>
      <c r="T706" s="769" t="str">
        <f>IF(OR($F706="",$P706="支払なし",$R706=0,$Q706=""),"",$Q706&amp;"|L|"&amp;(COUNTIF(T$4:T705,$Q706&amp;"|L|*")+1))</f>
        <v/>
      </c>
      <c r="U706" s="769" t="str">
        <f>IF($F706="","",13)</f>
        <v/>
      </c>
    </row>
    <row r="707" ht="16.5" customHeight="1" s="186">
      <c r="A707" s="760" t="n"/>
      <c r="B707" s="760" t="n"/>
      <c r="C707" s="762" t="n"/>
      <c r="D707" s="762" t="n"/>
      <c r="E707" s="775" t="n"/>
      <c r="F707" s="821" t="n"/>
      <c r="G707" s="821" t="n"/>
      <c r="H707" s="818">
        <f>IF(G707=1,F707-I707-J707-K707,IF(G707=2,F707,0))</f>
        <v>0</v>
      </c>
      <c r="I707" s="818">
        <f>ROUND(IF(G707=1,F707*10/23,IF(G707=3,F707-J707-K707,IF(G707=4,F707,IF(G707=5,F707*10/11,IF(G707=7,F707*10/11,0))))),0)</f>
        <v>0</v>
      </c>
      <c r="J707" s="818">
        <f>ROUND(IF(G707=1,F707/23,IF(G707=3,F707/12,IF(G707=5,F707-I707,IF(G707=8,F707,0)))),0)</f>
        <v>0</v>
      </c>
      <c r="K707" s="819">
        <f>ROUND(IF(G707=1,F707/23,IF(G707=3,F707/12,IF(G707=6,F707,IF(G707=7,F707-I707,0)))),0)</f>
        <v>0</v>
      </c>
      <c r="L707" s="820">
        <f>IF(G707=6,F707,0)</f>
        <v>0</v>
      </c>
      <c r="P707" s="768" t="n"/>
      <c r="Q707" s="769" t="str">
        <f>IF($F707="","",IFERROR(VLOOKUP($C707&amp;"|"&amp;$D707,科目表!$A$5:$B$200,2,FALSE),"※未登録"))</f>
        <v/>
      </c>
      <c r="R707" s="769" t="str">
        <f>IF($F707="","",$I707+$J707+$K707)</f>
        <v/>
      </c>
      <c r="S707" s="769" t="str">
        <f>IF(OR($F707="",$P707="支払なし",$H707=0,$Q707=""),"",$Q707&amp;"|S|"&amp;(COUNTIF(S$4:S706,$Q707&amp;"|S|*")+1))</f>
        <v/>
      </c>
      <c r="T707" s="769" t="str">
        <f>IF(OR($F707="",$P707="支払なし",$R707=0,$Q707=""),"",$Q707&amp;"|L|"&amp;(COUNTIF(T$4:T706,$Q707&amp;"|L|*")+1))</f>
        <v/>
      </c>
      <c r="U707" s="769" t="str">
        <f>IF($F707="","",13)</f>
        <v/>
      </c>
    </row>
    <row r="708" ht="16.5" customHeight="1" s="186">
      <c r="A708" s="760" t="n"/>
      <c r="B708" s="760" t="n"/>
      <c r="C708" s="762" t="n"/>
      <c r="D708" s="762" t="n"/>
      <c r="E708" s="775" t="n"/>
      <c r="F708" s="821" t="n"/>
      <c r="G708" s="821" t="n"/>
      <c r="H708" s="818">
        <f>IF(G708=1,F708-I708-J708-K708,IF(G708=2,F708,0))</f>
        <v>0</v>
      </c>
      <c r="I708" s="818">
        <f>ROUND(IF(G708=1,F708*10/23,IF(G708=3,F708-J708-K708,IF(G708=4,F708,IF(G708=5,F708*10/11,IF(G708=7,F708*10/11,0))))),0)</f>
        <v>0</v>
      </c>
      <c r="J708" s="818">
        <f>ROUND(IF(G708=1,F708/23,IF(G708=3,F708/12,IF(G708=5,F708-I708,IF(G708=8,F708,0)))),0)</f>
        <v>0</v>
      </c>
      <c r="K708" s="819">
        <f>ROUND(IF(G708=1,F708/23,IF(G708=3,F708/12,IF(G708=6,F708,IF(G708=7,F708-I708,0)))),0)</f>
        <v>0</v>
      </c>
      <c r="L708" s="820">
        <f>IF(G708=6,F708,0)</f>
        <v>0</v>
      </c>
      <c r="P708" s="768" t="n"/>
      <c r="Q708" s="769" t="str">
        <f>IF($F708="","",IFERROR(VLOOKUP($C708&amp;"|"&amp;$D708,科目表!$A$5:$B$200,2,FALSE),"※未登録"))</f>
        <v/>
      </c>
      <c r="R708" s="769" t="str">
        <f>IF($F708="","",$I708+$J708+$K708)</f>
        <v/>
      </c>
      <c r="S708" s="769" t="str">
        <f>IF(OR($F708="",$P708="支払なし",$H708=0,$Q708=""),"",$Q708&amp;"|S|"&amp;(COUNTIF(S$4:S707,$Q708&amp;"|S|*")+1))</f>
        <v/>
      </c>
      <c r="T708" s="769" t="str">
        <f>IF(OR($F708="",$P708="支払なし",$R708=0,$Q708=""),"",$Q708&amp;"|L|"&amp;(COUNTIF(T$4:T707,$Q708&amp;"|L|*")+1))</f>
        <v/>
      </c>
      <c r="U708" s="769" t="str">
        <f>IF($F708="","",13)</f>
        <v/>
      </c>
    </row>
    <row r="709" ht="16.5" customHeight="1" s="186">
      <c r="A709" s="760" t="n"/>
      <c r="B709" s="760" t="n"/>
      <c r="C709" s="762" t="n"/>
      <c r="D709" s="762" t="n"/>
      <c r="E709" s="775" t="n"/>
      <c r="F709" s="821" t="n"/>
      <c r="G709" s="821" t="n"/>
      <c r="H709" s="818">
        <f>IF(G709=1,F709-I709-J709-K709,IF(G709=2,F709,0))</f>
        <v>0</v>
      </c>
      <c r="I709" s="818">
        <f>ROUND(IF(G709=1,F709*10/23,IF(G709=3,F709-J709-K709,IF(G709=4,F709,IF(G709=5,F709*10/11,IF(G709=7,F709*10/11,0))))),0)</f>
        <v>0</v>
      </c>
      <c r="J709" s="818">
        <f>ROUND(IF(G709=1,F709/23,IF(G709=3,F709/12,IF(G709=5,F709-I709,IF(G709=8,F709,0)))),0)</f>
        <v>0</v>
      </c>
      <c r="K709" s="819">
        <f>ROUND(IF(G709=1,F709/23,IF(G709=3,F709/12,IF(G709=6,F709,IF(G709=7,F709-I709,0)))),0)</f>
        <v>0</v>
      </c>
      <c r="L709" s="820">
        <f>IF(G709=6,F709,0)</f>
        <v>0</v>
      </c>
      <c r="P709" s="768" t="n"/>
      <c r="Q709" s="769" t="str">
        <f>IF($F709="","",IFERROR(VLOOKUP($C709&amp;"|"&amp;$D709,科目表!$A$5:$B$200,2,FALSE),"※未登録"))</f>
        <v/>
      </c>
      <c r="R709" s="769" t="str">
        <f>IF($F709="","",$I709+$J709+$K709)</f>
        <v/>
      </c>
      <c r="S709" s="769" t="str">
        <f>IF(OR($F709="",$P709="支払なし",$H709=0,$Q709=""),"",$Q709&amp;"|S|"&amp;(COUNTIF(S$4:S708,$Q709&amp;"|S|*")+1))</f>
        <v/>
      </c>
      <c r="T709" s="769" t="str">
        <f>IF(OR($F709="",$P709="支払なし",$R709=0,$Q709=""),"",$Q709&amp;"|L|"&amp;(COUNTIF(T$4:T708,$Q709&amp;"|L|*")+1))</f>
        <v/>
      </c>
      <c r="U709" s="769" t="str">
        <f>IF($F709="","",13)</f>
        <v/>
      </c>
    </row>
    <row r="710" ht="16.5" customHeight="1" s="186">
      <c r="A710" s="760" t="n"/>
      <c r="B710" s="760" t="n"/>
      <c r="C710" s="762" t="n"/>
      <c r="D710" s="762" t="n"/>
      <c r="E710" s="775" t="n"/>
      <c r="F710" s="821" t="n"/>
      <c r="G710" s="821" t="n"/>
      <c r="H710" s="818">
        <f>IF(G710=1,F710-I710-J710-K710,IF(G710=2,F710,0))</f>
        <v>0</v>
      </c>
      <c r="I710" s="818">
        <f>ROUND(IF(G710=1,F710*10/23,IF(G710=3,F710-J710-K710,IF(G710=4,F710,IF(G710=5,F710*10/11,IF(G710=7,F710*10/11,0))))),0)</f>
        <v>0</v>
      </c>
      <c r="J710" s="818">
        <f>ROUND(IF(G710=1,F710/23,IF(G710=3,F710/12,IF(G710=5,F710-I710,IF(G710=8,F710,0)))),0)</f>
        <v>0</v>
      </c>
      <c r="K710" s="819">
        <f>ROUND(IF(G710=1,F710/23,IF(G710=3,F710/12,IF(G710=6,F710,IF(G710=7,F710-I710,0)))),0)</f>
        <v>0</v>
      </c>
      <c r="L710" s="820">
        <f>IF(G710=6,F710,0)</f>
        <v>0</v>
      </c>
      <c r="P710" s="768" t="n"/>
      <c r="Q710" s="769" t="str">
        <f>IF($F710="","",IFERROR(VLOOKUP($C710&amp;"|"&amp;$D710,科目表!$A$5:$B$200,2,FALSE),"※未登録"))</f>
        <v/>
      </c>
      <c r="R710" s="769" t="str">
        <f>IF($F710="","",$I710+$J710+$K710)</f>
        <v/>
      </c>
      <c r="S710" s="769" t="str">
        <f>IF(OR($F710="",$P710="支払なし",$H710=0,$Q710=""),"",$Q710&amp;"|S|"&amp;(COUNTIF(S$4:S709,$Q710&amp;"|S|*")+1))</f>
        <v/>
      </c>
      <c r="T710" s="769" t="str">
        <f>IF(OR($F710="",$P710="支払なし",$R710=0,$Q710=""),"",$Q710&amp;"|L|"&amp;(COUNTIF(T$4:T709,$Q710&amp;"|L|*")+1))</f>
        <v/>
      </c>
      <c r="U710" s="769" t="str">
        <f>IF($F710="","",13)</f>
        <v/>
      </c>
    </row>
    <row r="711" ht="16.5" customHeight="1" s="186">
      <c r="A711" s="760" t="n"/>
      <c r="B711" s="760" t="n"/>
      <c r="C711" s="762" t="n"/>
      <c r="D711" s="762" t="n"/>
      <c r="E711" s="775" t="n"/>
      <c r="F711" s="821" t="n"/>
      <c r="G711" s="821" t="n"/>
      <c r="H711" s="818">
        <f>IF(G711=1,F711-I711-J711-K711,IF(G711=2,F711,0))</f>
        <v>0</v>
      </c>
      <c r="I711" s="818">
        <f>ROUND(IF(G711=1,F711*10/23,IF(G711=3,F711-J711-K711,IF(G711=4,F711,IF(G711=5,F711*10/11,IF(G711=7,F711*10/11,0))))),0)</f>
        <v>0</v>
      </c>
      <c r="J711" s="818">
        <f>ROUND(IF(G711=1,F711/23,IF(G711=3,F711/12,IF(G711=5,F711-I711,IF(G711=8,F711,0)))),0)</f>
        <v>0</v>
      </c>
      <c r="K711" s="819">
        <f>ROUND(IF(G711=1,F711/23,IF(G711=3,F711/12,IF(G711=6,F711,IF(G711=7,F711-I711,0)))),0)</f>
        <v>0</v>
      </c>
      <c r="L711" s="820">
        <f>IF(G711=6,F711,0)</f>
        <v>0</v>
      </c>
      <c r="P711" s="768" t="n"/>
      <c r="Q711" s="769" t="str">
        <f>IF($F711="","",IFERROR(VLOOKUP($C711&amp;"|"&amp;$D711,科目表!$A$5:$B$200,2,FALSE),"※未登録"))</f>
        <v/>
      </c>
      <c r="R711" s="769" t="str">
        <f>IF($F711="","",$I711+$J711+$K711)</f>
        <v/>
      </c>
      <c r="S711" s="769" t="str">
        <f>IF(OR($F711="",$P711="支払なし",$H711=0,$Q711=""),"",$Q711&amp;"|S|"&amp;(COUNTIF(S$4:S710,$Q711&amp;"|S|*")+1))</f>
        <v/>
      </c>
      <c r="T711" s="769" t="str">
        <f>IF(OR($F711="",$P711="支払なし",$R711=0,$Q711=""),"",$Q711&amp;"|L|"&amp;(COUNTIF(T$4:T710,$Q711&amp;"|L|*")+1))</f>
        <v/>
      </c>
      <c r="U711" s="769" t="str">
        <f>IF($F711="","",13)</f>
        <v/>
      </c>
    </row>
    <row r="712" ht="16.5" customHeight="1" s="186">
      <c r="A712" s="760" t="n"/>
      <c r="B712" s="760" t="n"/>
      <c r="C712" s="762" t="n"/>
      <c r="D712" s="762" t="n"/>
      <c r="E712" s="775" t="n"/>
      <c r="F712" s="821" t="n"/>
      <c r="G712" s="821" t="n"/>
      <c r="H712" s="818">
        <f>IF(G712=1,F712-I712-J712-K712,IF(G712=2,F712,0))</f>
        <v>0</v>
      </c>
      <c r="I712" s="818">
        <f>ROUND(IF(G712=1,F712*10/23,IF(G712=3,F712-J712-K712,IF(G712=4,F712,IF(G712=5,F712*10/11,IF(G712=7,F712*10/11,0))))),0)</f>
        <v>0</v>
      </c>
      <c r="J712" s="818">
        <f>ROUND(IF(G712=1,F712/23,IF(G712=3,F712/12,IF(G712=5,F712-I712,IF(G712=8,F712,0)))),0)</f>
        <v>0</v>
      </c>
      <c r="K712" s="819">
        <f>ROUND(IF(G712=1,F712/23,IF(G712=3,F712/12,IF(G712=6,F712,IF(G712=7,F712-I712,0)))),0)</f>
        <v>0</v>
      </c>
      <c r="L712" s="820">
        <f>IF(G712=6,F712,0)</f>
        <v>0</v>
      </c>
      <c r="P712" s="768" t="n"/>
      <c r="Q712" s="769" t="str">
        <f>IF($F712="","",IFERROR(VLOOKUP($C712&amp;"|"&amp;$D712,科目表!$A$5:$B$200,2,FALSE),"※未登録"))</f>
        <v/>
      </c>
      <c r="R712" s="769" t="str">
        <f>IF($F712="","",$I712+$J712+$K712)</f>
        <v/>
      </c>
      <c r="S712" s="769" t="str">
        <f>IF(OR($F712="",$P712="支払なし",$H712=0,$Q712=""),"",$Q712&amp;"|S|"&amp;(COUNTIF(S$4:S711,$Q712&amp;"|S|*")+1))</f>
        <v/>
      </c>
      <c r="T712" s="769" t="str">
        <f>IF(OR($F712="",$P712="支払なし",$R712=0,$Q712=""),"",$Q712&amp;"|L|"&amp;(COUNTIF(T$4:T711,$Q712&amp;"|L|*")+1))</f>
        <v/>
      </c>
      <c r="U712" s="769" t="str">
        <f>IF($F712="","",13)</f>
        <v/>
      </c>
    </row>
    <row r="713" ht="16.5" customHeight="1" s="186">
      <c r="A713" s="760" t="n"/>
      <c r="B713" s="760" t="n"/>
      <c r="C713" s="762" t="n"/>
      <c r="D713" s="762" t="n"/>
      <c r="E713" s="775" t="n"/>
      <c r="F713" s="821" t="n"/>
      <c r="G713" s="821" t="n"/>
      <c r="H713" s="818">
        <f>IF(G713=1,F713-I713-J713-K713,IF(G713=2,F713,0))</f>
        <v>0</v>
      </c>
      <c r="I713" s="818">
        <f>ROUND(IF(G713=1,F713*10/23,IF(G713=3,F713-J713-K713,IF(G713=4,F713,IF(G713=5,F713*10/11,IF(G713=7,F713*10/11,0))))),0)</f>
        <v>0</v>
      </c>
      <c r="J713" s="818">
        <f>ROUND(IF(G713=1,F713/23,IF(G713=3,F713/12,IF(G713=5,F713-I713,IF(G713=8,F713,0)))),0)</f>
        <v>0</v>
      </c>
      <c r="K713" s="819">
        <f>ROUND(IF(G713=1,F713/23,IF(G713=3,F713/12,IF(G713=6,F713,IF(G713=7,F713-I713,0)))),0)</f>
        <v>0</v>
      </c>
      <c r="L713" s="820">
        <f>IF(G713=6,F713,0)</f>
        <v>0</v>
      </c>
      <c r="P713" s="768" t="n"/>
      <c r="Q713" s="769" t="str">
        <f>IF($F713="","",IFERROR(VLOOKUP($C713&amp;"|"&amp;$D713,科目表!$A$5:$B$200,2,FALSE),"※未登録"))</f>
        <v/>
      </c>
      <c r="R713" s="769" t="str">
        <f>IF($F713="","",$I713+$J713+$K713)</f>
        <v/>
      </c>
      <c r="S713" s="769" t="str">
        <f>IF(OR($F713="",$P713="支払なし",$H713=0,$Q713=""),"",$Q713&amp;"|S|"&amp;(COUNTIF(S$4:S712,$Q713&amp;"|S|*")+1))</f>
        <v/>
      </c>
      <c r="T713" s="769" t="str">
        <f>IF(OR($F713="",$P713="支払なし",$R713=0,$Q713=""),"",$Q713&amp;"|L|"&amp;(COUNTIF(T$4:T712,$Q713&amp;"|L|*")+1))</f>
        <v/>
      </c>
      <c r="U713" s="769" t="str">
        <f>IF($F713="","",13)</f>
        <v/>
      </c>
    </row>
    <row r="714" ht="16.5" customHeight="1" s="186">
      <c r="A714" s="760" t="n"/>
      <c r="B714" s="760" t="n"/>
      <c r="C714" s="762" t="n"/>
      <c r="D714" s="762" t="n"/>
      <c r="E714" s="775" t="n"/>
      <c r="F714" s="821" t="n"/>
      <c r="G714" s="821" t="n"/>
      <c r="H714" s="818">
        <f>IF(G714=1,F714-I714-J714-K714,IF(G714=2,F714,0))</f>
        <v>0</v>
      </c>
      <c r="I714" s="818">
        <f>ROUND(IF(G714=1,F714*10/23,IF(G714=3,F714-J714-K714,IF(G714=4,F714,IF(G714=5,F714*10/11,IF(G714=7,F714*10/11,0))))),0)</f>
        <v>0</v>
      </c>
      <c r="J714" s="818">
        <f>ROUND(IF(G714=1,F714/23,IF(G714=3,F714/12,IF(G714=5,F714-I714,IF(G714=8,F714,0)))),0)</f>
        <v>0</v>
      </c>
      <c r="K714" s="819">
        <f>ROUND(IF(G714=1,F714/23,IF(G714=3,F714/12,IF(G714=6,F714,IF(G714=7,F714-I714,0)))),0)</f>
        <v>0</v>
      </c>
      <c r="L714" s="820">
        <f>IF(G714=6,F714,0)</f>
        <v>0</v>
      </c>
      <c r="P714" s="768" t="n"/>
      <c r="Q714" s="769" t="str">
        <f>IF($F714="","",IFERROR(VLOOKUP($C714&amp;"|"&amp;$D714,科目表!$A$5:$B$200,2,FALSE),"※未登録"))</f>
        <v/>
      </c>
      <c r="R714" s="769" t="str">
        <f>IF($F714="","",$I714+$J714+$K714)</f>
        <v/>
      </c>
      <c r="S714" s="769" t="str">
        <f>IF(OR($F714="",$P714="支払なし",$H714=0,$Q714=""),"",$Q714&amp;"|S|"&amp;(COUNTIF(S$4:S713,$Q714&amp;"|S|*")+1))</f>
        <v/>
      </c>
      <c r="T714" s="769" t="str">
        <f>IF(OR($F714="",$P714="支払なし",$R714=0,$Q714=""),"",$Q714&amp;"|L|"&amp;(COUNTIF(T$4:T713,$Q714&amp;"|L|*")+1))</f>
        <v/>
      </c>
      <c r="U714" s="769" t="str">
        <f>IF($F714="","",13)</f>
        <v/>
      </c>
    </row>
    <row r="715" ht="16.5" customHeight="1" s="186">
      <c r="A715" s="760" t="n"/>
      <c r="B715" s="760" t="n"/>
      <c r="C715" s="762" t="n"/>
      <c r="D715" s="762" t="n"/>
      <c r="E715" s="775" t="n"/>
      <c r="F715" s="821" t="n"/>
      <c r="G715" s="821" t="n"/>
      <c r="H715" s="818">
        <f>IF(G715=1,F715-I715-J715-K715,IF(G715=2,F715,0))</f>
        <v>0</v>
      </c>
      <c r="I715" s="818">
        <f>ROUND(IF(G715=1,F715*10/23,IF(G715=3,F715-J715-K715,IF(G715=4,F715,IF(G715=5,F715*10/11,IF(G715=7,F715*10/11,0))))),0)</f>
        <v>0</v>
      </c>
      <c r="J715" s="818">
        <f>ROUND(IF(G715=1,F715/23,IF(G715=3,F715/12,IF(G715=5,F715-I715,IF(G715=8,F715,0)))),0)</f>
        <v>0</v>
      </c>
      <c r="K715" s="819">
        <f>ROUND(IF(G715=1,F715/23,IF(G715=3,F715/12,IF(G715=6,F715,IF(G715=7,F715-I715,0)))),0)</f>
        <v>0</v>
      </c>
      <c r="L715" s="820">
        <f>IF(G715=6,F715,0)</f>
        <v>0</v>
      </c>
      <c r="P715" s="768" t="n"/>
      <c r="Q715" s="769" t="str">
        <f>IF($F715="","",IFERROR(VLOOKUP($C715&amp;"|"&amp;$D715,科目表!$A$5:$B$200,2,FALSE),"※未登録"))</f>
        <v/>
      </c>
      <c r="R715" s="769" t="str">
        <f>IF($F715="","",$I715+$J715+$K715)</f>
        <v/>
      </c>
      <c r="S715" s="769" t="str">
        <f>IF(OR($F715="",$P715="支払なし",$H715=0,$Q715=""),"",$Q715&amp;"|S|"&amp;(COUNTIF(S$4:S714,$Q715&amp;"|S|*")+1))</f>
        <v/>
      </c>
      <c r="T715" s="769" t="str">
        <f>IF(OR($F715="",$P715="支払なし",$R715=0,$Q715=""),"",$Q715&amp;"|L|"&amp;(COUNTIF(T$4:T714,$Q715&amp;"|L|*")+1))</f>
        <v/>
      </c>
      <c r="U715" s="769" t="str">
        <f>IF($F715="","",13)</f>
        <v/>
      </c>
    </row>
    <row r="716" ht="16.5" customHeight="1" s="186">
      <c r="A716" s="760" t="n"/>
      <c r="B716" s="760" t="n"/>
      <c r="C716" s="762" t="n"/>
      <c r="D716" s="762" t="n"/>
      <c r="E716" s="775" t="n"/>
      <c r="F716" s="821" t="n"/>
      <c r="G716" s="821" t="n"/>
      <c r="H716" s="818">
        <f>IF(G716=1,F716-I716-J716-K716,IF(G716=2,F716,0))</f>
        <v>0</v>
      </c>
      <c r="I716" s="818">
        <f>ROUND(IF(G716=1,F716*10/23,IF(G716=3,F716-J716-K716,IF(G716=4,F716,IF(G716=5,F716*10/11,IF(G716=7,F716*10/11,0))))),0)</f>
        <v>0</v>
      </c>
      <c r="J716" s="818">
        <f>ROUND(IF(G716=1,F716/23,IF(G716=3,F716/12,IF(G716=5,F716-I716,IF(G716=8,F716,0)))),0)</f>
        <v>0</v>
      </c>
      <c r="K716" s="819">
        <f>ROUND(IF(G716=1,F716/23,IF(G716=3,F716/12,IF(G716=6,F716,IF(G716=7,F716-I716,0)))),0)</f>
        <v>0</v>
      </c>
      <c r="L716" s="820">
        <f>IF(G716=6,F716,0)</f>
        <v>0</v>
      </c>
      <c r="P716" s="768" t="n"/>
      <c r="Q716" s="769" t="str">
        <f>IF($F716="","",IFERROR(VLOOKUP($C716&amp;"|"&amp;$D716,科目表!$A$5:$B$200,2,FALSE),"※未登録"))</f>
        <v/>
      </c>
      <c r="R716" s="769" t="str">
        <f>IF($F716="","",$I716+$J716+$K716)</f>
        <v/>
      </c>
      <c r="S716" s="769" t="str">
        <f>IF(OR($F716="",$P716="支払なし",$H716=0,$Q716=""),"",$Q716&amp;"|S|"&amp;(COUNTIF(S$4:S715,$Q716&amp;"|S|*")+1))</f>
        <v/>
      </c>
      <c r="T716" s="769" t="str">
        <f>IF(OR($F716="",$P716="支払なし",$R716=0,$Q716=""),"",$Q716&amp;"|L|"&amp;(COUNTIF(T$4:T715,$Q716&amp;"|L|*")+1))</f>
        <v/>
      </c>
      <c r="U716" s="769" t="str">
        <f>IF($F716="","",13)</f>
        <v/>
      </c>
    </row>
    <row r="717" ht="16.5" customHeight="1" s="186">
      <c r="A717" s="760" t="n"/>
      <c r="B717" s="760" t="n"/>
      <c r="C717" s="762" t="n"/>
      <c r="D717" s="762" t="n"/>
      <c r="E717" s="775" t="n"/>
      <c r="F717" s="821" t="n"/>
      <c r="G717" s="821" t="n"/>
      <c r="H717" s="818">
        <f>IF(G717=1,F717-I717-J717-K717,IF(G717=2,F717,0))</f>
        <v>0</v>
      </c>
      <c r="I717" s="818">
        <f>ROUND(IF(G717=1,F717*10/23,IF(G717=3,F717-J717-K717,IF(G717=4,F717,IF(G717=5,F717*10/11,IF(G717=7,F717*10/11,0))))),0)</f>
        <v>0</v>
      </c>
      <c r="J717" s="818">
        <f>ROUND(IF(G717=1,F717/23,IF(G717=3,F717/12,IF(G717=5,F717-I717,IF(G717=8,F717,0)))),0)</f>
        <v>0</v>
      </c>
      <c r="K717" s="819">
        <f>ROUND(IF(G717=1,F717/23,IF(G717=3,F717/12,IF(G717=6,F717,IF(G717=7,F717-I717,0)))),0)</f>
        <v>0</v>
      </c>
      <c r="L717" s="820">
        <f>IF(G717=6,F717,0)</f>
        <v>0</v>
      </c>
      <c r="P717" s="768" t="n"/>
      <c r="Q717" s="769" t="str">
        <f>IF($F717="","",IFERROR(VLOOKUP($C717&amp;"|"&amp;$D717,科目表!$A$5:$B$200,2,FALSE),"※未登録"))</f>
        <v/>
      </c>
      <c r="R717" s="769" t="str">
        <f>IF($F717="","",$I717+$J717+$K717)</f>
        <v/>
      </c>
      <c r="S717" s="769" t="str">
        <f>IF(OR($F717="",$P717="支払なし",$H717=0,$Q717=""),"",$Q717&amp;"|S|"&amp;(COUNTIF(S$4:S716,$Q717&amp;"|S|*")+1))</f>
        <v/>
      </c>
      <c r="T717" s="769" t="str">
        <f>IF(OR($F717="",$P717="支払なし",$R717=0,$Q717=""),"",$Q717&amp;"|L|"&amp;(COUNTIF(T$4:T716,$Q717&amp;"|L|*")+1))</f>
        <v/>
      </c>
      <c r="U717" s="769" t="str">
        <f>IF($F717="","",13)</f>
        <v/>
      </c>
    </row>
    <row r="718" ht="16.5" customHeight="1" s="186">
      <c r="A718" s="760" t="n"/>
      <c r="B718" s="760" t="n"/>
      <c r="C718" s="762" t="n"/>
      <c r="D718" s="762" t="n"/>
      <c r="E718" s="775" t="n"/>
      <c r="F718" s="821" t="n"/>
      <c r="G718" s="821" t="n"/>
      <c r="H718" s="818">
        <f>IF(G718=1,F718-I718-J718-K718,IF(G718=2,F718,0))</f>
        <v>0</v>
      </c>
      <c r="I718" s="818">
        <f>ROUND(IF(G718=1,F718*10/23,IF(G718=3,F718-J718-K718,IF(G718=4,F718,IF(G718=5,F718*10/11,IF(G718=7,F718*10/11,0))))),0)</f>
        <v>0</v>
      </c>
      <c r="J718" s="818">
        <f>ROUND(IF(G718=1,F718/23,IF(G718=3,F718/12,IF(G718=5,F718-I718,IF(G718=8,F718,0)))),0)</f>
        <v>0</v>
      </c>
      <c r="K718" s="819">
        <f>ROUND(IF(G718=1,F718/23,IF(G718=3,F718/12,IF(G718=6,F718,IF(G718=7,F718-I718,0)))),0)</f>
        <v>0</v>
      </c>
      <c r="L718" s="820">
        <f>IF(G718=6,F718,0)</f>
        <v>0</v>
      </c>
      <c r="P718" s="768" t="n"/>
      <c r="Q718" s="769" t="str">
        <f>IF($F718="","",IFERROR(VLOOKUP($C718&amp;"|"&amp;$D718,科目表!$A$5:$B$200,2,FALSE),"※未登録"))</f>
        <v/>
      </c>
      <c r="R718" s="769" t="str">
        <f>IF($F718="","",$I718+$J718+$K718)</f>
        <v/>
      </c>
      <c r="S718" s="769" t="str">
        <f>IF(OR($F718="",$P718="支払なし",$H718=0,$Q718=""),"",$Q718&amp;"|S|"&amp;(COUNTIF(S$4:S717,$Q718&amp;"|S|*")+1))</f>
        <v/>
      </c>
      <c r="T718" s="769" t="str">
        <f>IF(OR($F718="",$P718="支払なし",$R718=0,$Q718=""),"",$Q718&amp;"|L|"&amp;(COUNTIF(T$4:T717,$Q718&amp;"|L|*")+1))</f>
        <v/>
      </c>
      <c r="U718" s="769" t="str">
        <f>IF($F718="","",13)</f>
        <v/>
      </c>
    </row>
    <row r="719" ht="16.5" customHeight="1" s="186">
      <c r="A719" s="760" t="n"/>
      <c r="B719" s="760" t="n"/>
      <c r="C719" s="762" t="n"/>
      <c r="D719" s="762" t="n"/>
      <c r="E719" s="775" t="n"/>
      <c r="F719" s="821" t="n"/>
      <c r="G719" s="821" t="n"/>
      <c r="H719" s="818">
        <f>IF(G719=1,F719-I719-J719-K719,IF(G719=2,F719,0))</f>
        <v>0</v>
      </c>
      <c r="I719" s="818">
        <f>ROUND(IF(G719=1,F719*10/23,IF(G719=3,F719-J719-K719,IF(G719=4,F719,IF(G719=5,F719*10/11,IF(G719=7,F719*10/11,0))))),0)</f>
        <v>0</v>
      </c>
      <c r="J719" s="818">
        <f>ROUND(IF(G719=1,F719/23,IF(G719=3,F719/12,IF(G719=5,F719-I719,IF(G719=8,F719,0)))),0)</f>
        <v>0</v>
      </c>
      <c r="K719" s="819">
        <f>ROUND(IF(G719=1,F719/23,IF(G719=3,F719/12,IF(G719=6,F719,IF(G719=7,F719-I719,0)))),0)</f>
        <v>0</v>
      </c>
      <c r="L719" s="820">
        <f>IF(G719=6,F719,0)</f>
        <v>0</v>
      </c>
      <c r="P719" s="768" t="n"/>
      <c r="Q719" s="769" t="str">
        <f>IF($F719="","",IFERROR(VLOOKUP($C719&amp;"|"&amp;$D719,科目表!$A$5:$B$200,2,FALSE),"※未登録"))</f>
        <v/>
      </c>
      <c r="R719" s="769" t="str">
        <f>IF($F719="","",$I719+$J719+$K719)</f>
        <v/>
      </c>
      <c r="S719" s="769" t="str">
        <f>IF(OR($F719="",$P719="支払なし",$H719=0,$Q719=""),"",$Q719&amp;"|S|"&amp;(COUNTIF(S$4:S718,$Q719&amp;"|S|*")+1))</f>
        <v/>
      </c>
      <c r="T719" s="769" t="str">
        <f>IF(OR($F719="",$P719="支払なし",$R719=0,$Q719=""),"",$Q719&amp;"|L|"&amp;(COUNTIF(T$4:T718,$Q719&amp;"|L|*")+1))</f>
        <v/>
      </c>
      <c r="U719" s="769" t="str">
        <f>IF($F719="","",13)</f>
        <v/>
      </c>
    </row>
    <row r="720" ht="16.5" customHeight="1" s="186">
      <c r="A720" s="760" t="n"/>
      <c r="B720" s="760" t="n"/>
      <c r="C720" s="762" t="n"/>
      <c r="D720" s="762" t="n"/>
      <c r="E720" s="775" t="n"/>
      <c r="F720" s="821" t="n"/>
      <c r="G720" s="821" t="n"/>
      <c r="H720" s="818">
        <f>IF(G720=1,F720-I720-J720-K720,IF(G720=2,F720,0))</f>
        <v>0</v>
      </c>
      <c r="I720" s="818">
        <f>ROUND(IF(G720=1,F720*10/23,IF(G720=3,F720-J720-K720,IF(G720=4,F720,IF(G720=5,F720*10/11,IF(G720=7,F720*10/11,0))))),0)</f>
        <v>0</v>
      </c>
      <c r="J720" s="818">
        <f>ROUND(IF(G720=1,F720/23,IF(G720=3,F720/12,IF(G720=5,F720-I720,IF(G720=8,F720,0)))),0)</f>
        <v>0</v>
      </c>
      <c r="K720" s="819">
        <f>ROUND(IF(G720=1,F720/23,IF(G720=3,F720/12,IF(G720=6,F720,IF(G720=7,F720-I720,0)))),0)</f>
        <v>0</v>
      </c>
      <c r="L720" s="820">
        <f>IF(G720=6,F720,0)</f>
        <v>0</v>
      </c>
      <c r="P720" s="768" t="n"/>
      <c r="Q720" s="769" t="str">
        <f>IF($F720="","",IFERROR(VLOOKUP($C720&amp;"|"&amp;$D720,科目表!$A$5:$B$200,2,FALSE),"※未登録"))</f>
        <v/>
      </c>
      <c r="R720" s="769" t="str">
        <f>IF($F720="","",$I720+$J720+$K720)</f>
        <v/>
      </c>
      <c r="S720" s="769" t="str">
        <f>IF(OR($F720="",$P720="支払なし",$H720=0,$Q720=""),"",$Q720&amp;"|S|"&amp;(COUNTIF(S$4:S719,$Q720&amp;"|S|*")+1))</f>
        <v/>
      </c>
      <c r="T720" s="769" t="str">
        <f>IF(OR($F720="",$P720="支払なし",$R720=0,$Q720=""),"",$Q720&amp;"|L|"&amp;(COUNTIF(T$4:T719,$Q720&amp;"|L|*")+1))</f>
        <v/>
      </c>
      <c r="U720" s="769" t="str">
        <f>IF($F720="","",13)</f>
        <v/>
      </c>
    </row>
    <row r="721" ht="16.5" customHeight="1" s="186">
      <c r="A721" s="760" t="n"/>
      <c r="B721" s="760" t="n"/>
      <c r="C721" s="762" t="n"/>
      <c r="D721" s="762" t="n"/>
      <c r="E721" s="775" t="n"/>
      <c r="F721" s="821" t="n"/>
      <c r="G721" s="821" t="n"/>
      <c r="H721" s="818">
        <f>IF(G721=1,F721-I721-J721-K721,IF(G721=2,F721,0))</f>
        <v>0</v>
      </c>
      <c r="I721" s="818">
        <f>ROUND(IF(G721=1,F721*10/23,IF(G721=3,F721-J721-K721,IF(G721=4,F721,IF(G721=5,F721*10/11,IF(G721=7,F721*10/11,0))))),0)</f>
        <v>0</v>
      </c>
      <c r="J721" s="818">
        <f>ROUND(IF(G721=1,F721/23,IF(G721=3,F721/12,IF(G721=5,F721-I721,IF(G721=8,F721,0)))),0)</f>
        <v>0</v>
      </c>
      <c r="K721" s="819">
        <f>ROUND(IF(G721=1,F721/23,IF(G721=3,F721/12,IF(G721=6,F721,IF(G721=7,F721-I721,0)))),0)</f>
        <v>0</v>
      </c>
      <c r="L721" s="820">
        <f>IF(G721=6,F721,0)</f>
        <v>0</v>
      </c>
      <c r="P721" s="768" t="n"/>
      <c r="Q721" s="769" t="str">
        <f>IF($F721="","",IFERROR(VLOOKUP($C721&amp;"|"&amp;$D721,科目表!$A$5:$B$200,2,FALSE),"※未登録"))</f>
        <v/>
      </c>
      <c r="R721" s="769" t="str">
        <f>IF($F721="","",$I721+$J721+$K721)</f>
        <v/>
      </c>
      <c r="S721" s="769" t="str">
        <f>IF(OR($F721="",$P721="支払なし",$H721=0,$Q721=""),"",$Q721&amp;"|S|"&amp;(COUNTIF(S$4:S720,$Q721&amp;"|S|*")+1))</f>
        <v/>
      </c>
      <c r="T721" s="769" t="str">
        <f>IF(OR($F721="",$P721="支払なし",$R721=0,$Q721=""),"",$Q721&amp;"|L|"&amp;(COUNTIF(T$4:T720,$Q721&amp;"|L|*")+1))</f>
        <v/>
      </c>
      <c r="U721" s="769" t="str">
        <f>IF($F721="","",13)</f>
        <v/>
      </c>
    </row>
    <row r="722" ht="16.5" customHeight="1" s="186">
      <c r="A722" s="760" t="n"/>
      <c r="B722" s="760" t="n"/>
      <c r="C722" s="762" t="n"/>
      <c r="D722" s="762" t="n"/>
      <c r="E722" s="775" t="n"/>
      <c r="F722" s="821" t="n"/>
      <c r="G722" s="821" t="n"/>
      <c r="H722" s="818">
        <f>IF(G722=1,F722-I722-J722-K722,IF(G722=2,F722,0))</f>
        <v>0</v>
      </c>
      <c r="I722" s="818">
        <f>ROUND(IF(G722=1,F722*10/23,IF(G722=3,F722-J722-K722,IF(G722=4,F722,IF(G722=5,F722*10/11,IF(G722=7,F722*10/11,0))))),0)</f>
        <v>0</v>
      </c>
      <c r="J722" s="818">
        <f>ROUND(IF(G722=1,F722/23,IF(G722=3,F722/12,IF(G722=5,F722-I722,IF(G722=8,F722,0)))),0)</f>
        <v>0</v>
      </c>
      <c r="K722" s="819">
        <f>ROUND(IF(G722=1,F722/23,IF(G722=3,F722/12,IF(G722=6,F722,IF(G722=7,F722-I722,0)))),0)</f>
        <v>0</v>
      </c>
      <c r="L722" s="820">
        <f>IF(G722=6,F722,0)</f>
        <v>0</v>
      </c>
      <c r="P722" s="768" t="n"/>
      <c r="Q722" s="769" t="str">
        <f>IF($F722="","",IFERROR(VLOOKUP($C722&amp;"|"&amp;$D722,科目表!$A$5:$B$200,2,FALSE),"※未登録"))</f>
        <v/>
      </c>
      <c r="R722" s="769" t="str">
        <f>IF($F722="","",$I722+$J722+$K722)</f>
        <v/>
      </c>
      <c r="S722" s="769" t="str">
        <f>IF(OR($F722="",$P722="支払なし",$H722=0,$Q722=""),"",$Q722&amp;"|S|"&amp;(COUNTIF(S$4:S721,$Q722&amp;"|S|*")+1))</f>
        <v/>
      </c>
      <c r="T722" s="769" t="str">
        <f>IF(OR($F722="",$P722="支払なし",$R722=0,$Q722=""),"",$Q722&amp;"|L|"&amp;(COUNTIF(T$4:T721,$Q722&amp;"|L|*")+1))</f>
        <v/>
      </c>
      <c r="U722" s="769" t="str">
        <f>IF($F722="","",13)</f>
        <v/>
      </c>
    </row>
    <row r="723" ht="16.5" customHeight="1" s="186">
      <c r="A723" s="760" t="n"/>
      <c r="B723" s="760" t="n"/>
      <c r="C723" s="762" t="n"/>
      <c r="D723" s="762" t="n"/>
      <c r="E723" s="775" t="n"/>
      <c r="F723" s="821" t="n"/>
      <c r="G723" s="821" t="n"/>
      <c r="H723" s="818">
        <f>IF(G723=1,F723-I723-J723-K723,IF(G723=2,F723,0))</f>
        <v>0</v>
      </c>
      <c r="I723" s="818">
        <f>ROUND(IF(G723=1,F723*10/23,IF(G723=3,F723-J723-K723,IF(G723=4,F723,IF(G723=5,F723*10/11,IF(G723=7,F723*10/11,0))))),0)</f>
        <v>0</v>
      </c>
      <c r="J723" s="818">
        <f>ROUND(IF(G723=1,F723/23,IF(G723=3,F723/12,IF(G723=5,F723-I723,IF(G723=8,F723,0)))),0)</f>
        <v>0</v>
      </c>
      <c r="K723" s="819">
        <f>ROUND(IF(G723=1,F723/23,IF(G723=3,F723/12,IF(G723=6,F723,IF(G723=7,F723-I723,0)))),0)</f>
        <v>0</v>
      </c>
      <c r="L723" s="820">
        <f>IF(G723=6,F723,0)</f>
        <v>0</v>
      </c>
      <c r="P723" s="768" t="n"/>
      <c r="Q723" s="769" t="str">
        <f>IF($F723="","",IFERROR(VLOOKUP($C723&amp;"|"&amp;$D723,科目表!$A$5:$B$200,2,FALSE),"※未登録"))</f>
        <v/>
      </c>
      <c r="R723" s="769" t="str">
        <f>IF($F723="","",$I723+$J723+$K723)</f>
        <v/>
      </c>
      <c r="S723" s="769" t="str">
        <f>IF(OR($F723="",$P723="支払なし",$H723=0,$Q723=""),"",$Q723&amp;"|S|"&amp;(COUNTIF(S$4:S722,$Q723&amp;"|S|*")+1))</f>
        <v/>
      </c>
      <c r="T723" s="769" t="str">
        <f>IF(OR($F723="",$P723="支払なし",$R723=0,$Q723=""),"",$Q723&amp;"|L|"&amp;(COUNTIF(T$4:T722,$Q723&amp;"|L|*")+1))</f>
        <v/>
      </c>
      <c r="U723" s="769" t="str">
        <f>IF($F723="","",13)</f>
        <v/>
      </c>
    </row>
    <row r="724" ht="16.5" customHeight="1" s="186">
      <c r="A724" s="760" t="n"/>
      <c r="B724" s="760" t="n"/>
      <c r="C724" s="762" t="n"/>
      <c r="D724" s="762" t="n"/>
      <c r="E724" s="775" t="n"/>
      <c r="F724" s="821" t="n"/>
      <c r="G724" s="821" t="n"/>
      <c r="H724" s="818">
        <f>IF(G724=1,F724-I724-J724-K724,IF(G724=2,F724,0))</f>
        <v>0</v>
      </c>
      <c r="I724" s="818">
        <f>ROUND(IF(G724=1,F724*10/23,IF(G724=3,F724-J724-K724,IF(G724=4,F724,IF(G724=5,F724*10/11,IF(G724=7,F724*10/11,0))))),0)</f>
        <v>0</v>
      </c>
      <c r="J724" s="818">
        <f>ROUND(IF(G724=1,F724/23,IF(G724=3,F724/12,IF(G724=5,F724-I724,IF(G724=8,F724,0)))),0)</f>
        <v>0</v>
      </c>
      <c r="K724" s="819">
        <f>ROUND(IF(G724=1,F724/23,IF(G724=3,F724/12,IF(G724=6,F724,IF(G724=7,F724-I724,0)))),0)</f>
        <v>0</v>
      </c>
      <c r="L724" s="820">
        <f>IF(G724=6,F724,0)</f>
        <v>0</v>
      </c>
      <c r="P724" s="768" t="n"/>
      <c r="Q724" s="769" t="str">
        <f>IF($F724="","",IFERROR(VLOOKUP($C724&amp;"|"&amp;$D724,科目表!$A$5:$B$200,2,FALSE),"※未登録"))</f>
        <v/>
      </c>
      <c r="R724" s="769" t="str">
        <f>IF($F724="","",$I724+$J724+$K724)</f>
        <v/>
      </c>
      <c r="S724" s="769" t="str">
        <f>IF(OR($F724="",$P724="支払なし",$H724=0,$Q724=""),"",$Q724&amp;"|S|"&amp;(COUNTIF(S$4:S723,$Q724&amp;"|S|*")+1))</f>
        <v/>
      </c>
      <c r="T724" s="769" t="str">
        <f>IF(OR($F724="",$P724="支払なし",$R724=0,$Q724=""),"",$Q724&amp;"|L|"&amp;(COUNTIF(T$4:T723,$Q724&amp;"|L|*")+1))</f>
        <v/>
      </c>
      <c r="U724" s="769" t="str">
        <f>IF($F724="","",13)</f>
        <v/>
      </c>
    </row>
    <row r="725" ht="16.5" customHeight="1" s="186">
      <c r="A725" s="760" t="n"/>
      <c r="B725" s="760" t="n"/>
      <c r="C725" s="762" t="n"/>
      <c r="D725" s="762" t="n"/>
      <c r="E725" s="775" t="n"/>
      <c r="F725" s="821" t="n"/>
      <c r="G725" s="821" t="n"/>
      <c r="H725" s="818">
        <f>IF(G725=1,F725-I725-J725-K725,IF(G725=2,F725,0))</f>
        <v>0</v>
      </c>
      <c r="I725" s="818">
        <f>ROUND(IF(G725=1,F725*10/23,IF(G725=3,F725-J725-K725,IF(G725=4,F725,IF(G725=5,F725*10/11,IF(G725=7,F725*10/11,0))))),0)</f>
        <v>0</v>
      </c>
      <c r="J725" s="818">
        <f>ROUND(IF(G725=1,F725/23,IF(G725=3,F725/12,IF(G725=5,F725-I725,IF(G725=8,F725,0)))),0)</f>
        <v>0</v>
      </c>
      <c r="K725" s="819">
        <f>ROUND(IF(G725=1,F725/23,IF(G725=3,F725/12,IF(G725=6,F725,IF(G725=7,F725-I725,0)))),0)</f>
        <v>0</v>
      </c>
      <c r="L725" s="820">
        <f>IF(G725=6,F725,0)</f>
        <v>0</v>
      </c>
      <c r="P725" s="768" t="n"/>
      <c r="Q725" s="769" t="str">
        <f>IF($F725="","",IFERROR(VLOOKUP($C725&amp;"|"&amp;$D725,科目表!$A$5:$B$200,2,FALSE),"※未登録"))</f>
        <v/>
      </c>
      <c r="R725" s="769" t="str">
        <f>IF($F725="","",$I725+$J725+$K725)</f>
        <v/>
      </c>
      <c r="S725" s="769" t="str">
        <f>IF(OR($F725="",$P725="支払なし",$H725=0,$Q725=""),"",$Q725&amp;"|S|"&amp;(COUNTIF(S$4:S724,$Q725&amp;"|S|*")+1))</f>
        <v/>
      </c>
      <c r="T725" s="769" t="str">
        <f>IF(OR($F725="",$P725="支払なし",$R725=0,$Q725=""),"",$Q725&amp;"|L|"&amp;(COUNTIF(T$4:T724,$Q725&amp;"|L|*")+1))</f>
        <v/>
      </c>
      <c r="U725" s="769" t="str">
        <f>IF($F725="","",13)</f>
        <v/>
      </c>
    </row>
    <row r="726" ht="16.5" customHeight="1" s="186">
      <c r="A726" s="760" t="n"/>
      <c r="B726" s="760" t="n"/>
      <c r="C726" s="762" t="n"/>
      <c r="D726" s="762" t="n"/>
      <c r="E726" s="775" t="n"/>
      <c r="F726" s="821" t="n"/>
      <c r="G726" s="821" t="n"/>
      <c r="H726" s="818">
        <f>IF(G726=1,F726-I726-J726-K726,IF(G726=2,F726,0))</f>
        <v>0</v>
      </c>
      <c r="I726" s="818">
        <f>ROUND(IF(G726=1,F726*10/23,IF(G726=3,F726-J726-K726,IF(G726=4,F726,IF(G726=5,F726*10/11,IF(G726=7,F726*10/11,0))))),0)</f>
        <v>0</v>
      </c>
      <c r="J726" s="818">
        <f>ROUND(IF(G726=1,F726/23,IF(G726=3,F726/12,IF(G726=5,F726-I726,IF(G726=8,F726,0)))),0)</f>
        <v>0</v>
      </c>
      <c r="K726" s="819">
        <f>ROUND(IF(G726=1,F726/23,IF(G726=3,F726/12,IF(G726=6,F726,IF(G726=7,F726-I726,0)))),0)</f>
        <v>0</v>
      </c>
      <c r="L726" s="820">
        <f>IF(G726=6,F726,0)</f>
        <v>0</v>
      </c>
      <c r="P726" s="768" t="n"/>
      <c r="Q726" s="769" t="str">
        <f>IF($F726="","",IFERROR(VLOOKUP($C726&amp;"|"&amp;$D726,科目表!$A$5:$B$200,2,FALSE),"※未登録"))</f>
        <v/>
      </c>
      <c r="R726" s="769" t="str">
        <f>IF($F726="","",$I726+$J726+$K726)</f>
        <v/>
      </c>
      <c r="S726" s="769" t="str">
        <f>IF(OR($F726="",$P726="支払なし",$H726=0,$Q726=""),"",$Q726&amp;"|S|"&amp;(COUNTIF(S$4:S725,$Q726&amp;"|S|*")+1))</f>
        <v/>
      </c>
      <c r="T726" s="769" t="str">
        <f>IF(OR($F726="",$P726="支払なし",$R726=0,$Q726=""),"",$Q726&amp;"|L|"&amp;(COUNTIF(T$4:T725,$Q726&amp;"|L|*")+1))</f>
        <v/>
      </c>
      <c r="U726" s="769" t="str">
        <f>IF($F726="","",13)</f>
        <v/>
      </c>
    </row>
    <row r="727" ht="16.5" customHeight="1" s="186">
      <c r="A727" s="760" t="n"/>
      <c r="B727" s="760" t="n"/>
      <c r="C727" s="762" t="n"/>
      <c r="D727" s="762" t="n"/>
      <c r="E727" s="775" t="n"/>
      <c r="F727" s="821" t="n"/>
      <c r="G727" s="821" t="n"/>
      <c r="H727" s="818">
        <f>IF(G727=1,F727-I727-J727-K727,IF(G727=2,F727,0))</f>
        <v>0</v>
      </c>
      <c r="I727" s="818">
        <f>ROUND(IF(G727=1,F727*10/23,IF(G727=3,F727-J727-K727,IF(G727=4,F727,IF(G727=5,F727*10/11,IF(G727=7,F727*10/11,0))))),0)</f>
        <v>0</v>
      </c>
      <c r="J727" s="818">
        <f>ROUND(IF(G727=1,F727/23,IF(G727=3,F727/12,IF(G727=5,F727-I727,IF(G727=8,F727,0)))),0)</f>
        <v>0</v>
      </c>
      <c r="K727" s="819">
        <f>ROUND(IF(G727=1,F727/23,IF(G727=3,F727/12,IF(G727=6,F727,IF(G727=7,F727-I727,0)))),0)</f>
        <v>0</v>
      </c>
      <c r="L727" s="820">
        <f>IF(G727=6,F727,0)</f>
        <v>0</v>
      </c>
      <c r="P727" s="768" t="n"/>
      <c r="Q727" s="769" t="str">
        <f>IF($F727="","",IFERROR(VLOOKUP($C727&amp;"|"&amp;$D727,科目表!$A$5:$B$200,2,FALSE),"※未登録"))</f>
        <v/>
      </c>
      <c r="R727" s="769" t="str">
        <f>IF($F727="","",$I727+$J727+$K727)</f>
        <v/>
      </c>
      <c r="S727" s="769" t="str">
        <f>IF(OR($F727="",$P727="支払なし",$H727=0,$Q727=""),"",$Q727&amp;"|S|"&amp;(COUNTIF(S$4:S726,$Q727&amp;"|S|*")+1))</f>
        <v/>
      </c>
      <c r="T727" s="769" t="str">
        <f>IF(OR($F727="",$P727="支払なし",$R727=0,$Q727=""),"",$Q727&amp;"|L|"&amp;(COUNTIF(T$4:T726,$Q727&amp;"|L|*")+1))</f>
        <v/>
      </c>
      <c r="U727" s="769" t="str">
        <f>IF($F727="","",13)</f>
        <v/>
      </c>
    </row>
    <row r="728" ht="16.5" customHeight="1" s="186">
      <c r="A728" s="760" t="n"/>
      <c r="B728" s="760" t="n"/>
      <c r="C728" s="762" t="n"/>
      <c r="D728" s="762" t="n"/>
      <c r="E728" s="775" t="n"/>
      <c r="F728" s="821" t="n"/>
      <c r="G728" s="821" t="n"/>
      <c r="H728" s="818">
        <f>IF(G728=1,F728-I728-J728-K728,IF(G728=2,F728,0))</f>
        <v>0</v>
      </c>
      <c r="I728" s="818">
        <f>ROUND(IF(G728=1,F728*10/23,IF(G728=3,F728-J728-K728,IF(G728=4,F728,IF(G728=5,F728*10/11,IF(G728=7,F728*10/11,0))))),0)</f>
        <v>0</v>
      </c>
      <c r="J728" s="818">
        <f>ROUND(IF(G728=1,F728/23,IF(G728=3,F728/12,IF(G728=5,F728-I728,IF(G728=8,F728,0)))),0)</f>
        <v>0</v>
      </c>
      <c r="K728" s="819">
        <f>ROUND(IF(G728=1,F728/23,IF(G728=3,F728/12,IF(G728=6,F728,IF(G728=7,F728-I728,0)))),0)</f>
        <v>0</v>
      </c>
      <c r="L728" s="820">
        <f>IF(G728=6,F728,0)</f>
        <v>0</v>
      </c>
      <c r="P728" s="768" t="n"/>
      <c r="Q728" s="769" t="str">
        <f>IF($F728="","",IFERROR(VLOOKUP($C728&amp;"|"&amp;$D728,科目表!$A$5:$B$200,2,FALSE),"※未登録"))</f>
        <v/>
      </c>
      <c r="R728" s="769" t="str">
        <f>IF($F728="","",$I728+$J728+$K728)</f>
        <v/>
      </c>
      <c r="S728" s="769" t="str">
        <f>IF(OR($F728="",$P728="支払なし",$H728=0,$Q728=""),"",$Q728&amp;"|S|"&amp;(COUNTIF(S$4:S727,$Q728&amp;"|S|*")+1))</f>
        <v/>
      </c>
      <c r="T728" s="769" t="str">
        <f>IF(OR($F728="",$P728="支払なし",$R728=0,$Q728=""),"",$Q728&amp;"|L|"&amp;(COUNTIF(T$4:T727,$Q728&amp;"|L|*")+1))</f>
        <v/>
      </c>
      <c r="U728" s="769" t="str">
        <f>IF($F728="","",13)</f>
        <v/>
      </c>
    </row>
    <row r="729" ht="16.5" customHeight="1" s="186">
      <c r="A729" s="760" t="n"/>
      <c r="B729" s="760" t="n"/>
      <c r="C729" s="762" t="n"/>
      <c r="D729" s="762" t="n"/>
      <c r="E729" s="775" t="n"/>
      <c r="F729" s="821" t="n"/>
      <c r="G729" s="821" t="n"/>
      <c r="H729" s="818">
        <f>IF(G729=1,F729-I729-J729-K729,IF(G729=2,F729,0))</f>
        <v>0</v>
      </c>
      <c r="I729" s="818">
        <f>ROUND(IF(G729=1,F729*10/23,IF(G729=3,F729-J729-K729,IF(G729=4,F729,IF(G729=5,F729*10/11,IF(G729=7,F729*10/11,0))))),0)</f>
        <v>0</v>
      </c>
      <c r="J729" s="818">
        <f>ROUND(IF(G729=1,F729/23,IF(G729=3,F729/12,IF(G729=5,F729-I729,IF(G729=8,F729,0)))),0)</f>
        <v>0</v>
      </c>
      <c r="K729" s="819">
        <f>ROUND(IF(G729=1,F729/23,IF(G729=3,F729/12,IF(G729=6,F729,IF(G729=7,F729-I729,0)))),0)</f>
        <v>0</v>
      </c>
      <c r="L729" s="820">
        <f>IF(G729=6,F729,0)</f>
        <v>0</v>
      </c>
      <c r="P729" s="768" t="n"/>
      <c r="Q729" s="769" t="str">
        <f>IF($F729="","",IFERROR(VLOOKUP($C729&amp;"|"&amp;$D729,科目表!$A$5:$B$200,2,FALSE),"※未登録"))</f>
        <v/>
      </c>
      <c r="R729" s="769" t="str">
        <f>IF($F729="","",$I729+$J729+$K729)</f>
        <v/>
      </c>
      <c r="S729" s="769" t="str">
        <f>IF(OR($F729="",$P729="支払なし",$H729=0,$Q729=""),"",$Q729&amp;"|S|"&amp;(COUNTIF(S$4:S728,$Q729&amp;"|S|*")+1))</f>
        <v/>
      </c>
      <c r="T729" s="769" t="str">
        <f>IF(OR($F729="",$P729="支払なし",$R729=0,$Q729=""),"",$Q729&amp;"|L|"&amp;(COUNTIF(T$4:T728,$Q729&amp;"|L|*")+1))</f>
        <v/>
      </c>
      <c r="U729" s="769" t="str">
        <f>IF($F729="","",13)</f>
        <v/>
      </c>
    </row>
    <row r="730" ht="16.5" customHeight="1" s="186">
      <c r="A730" s="760" t="n"/>
      <c r="B730" s="760" t="n"/>
      <c r="C730" s="762" t="n"/>
      <c r="D730" s="762" t="n"/>
      <c r="E730" s="775" t="n"/>
      <c r="F730" s="821" t="n"/>
      <c r="G730" s="821" t="n"/>
      <c r="H730" s="818">
        <f>IF(G730=1,F730-I730-J730-K730,IF(G730=2,F730,0))</f>
        <v>0</v>
      </c>
      <c r="I730" s="818">
        <f>ROUND(IF(G730=1,F730*10/23,IF(G730=3,F730-J730-K730,IF(G730=4,F730,IF(G730=5,F730*10/11,IF(G730=7,F730*10/11,0))))),0)</f>
        <v>0</v>
      </c>
      <c r="J730" s="818">
        <f>ROUND(IF(G730=1,F730/23,IF(G730=3,F730/12,IF(G730=5,F730-I730,IF(G730=8,F730,0)))),0)</f>
        <v>0</v>
      </c>
      <c r="K730" s="819">
        <f>ROUND(IF(G730=1,F730/23,IF(G730=3,F730/12,IF(G730=6,F730,IF(G730=7,F730-I730,0)))),0)</f>
        <v>0</v>
      </c>
      <c r="L730" s="820">
        <f>IF(G730=6,F730,0)</f>
        <v>0</v>
      </c>
      <c r="P730" s="768" t="n"/>
      <c r="Q730" s="769" t="str">
        <f>IF($F730="","",IFERROR(VLOOKUP($C730&amp;"|"&amp;$D730,科目表!$A$5:$B$200,2,FALSE),"※未登録"))</f>
        <v/>
      </c>
      <c r="R730" s="769" t="str">
        <f>IF($F730="","",$I730+$J730+$K730)</f>
        <v/>
      </c>
      <c r="S730" s="769" t="str">
        <f>IF(OR($F730="",$P730="支払なし",$H730=0,$Q730=""),"",$Q730&amp;"|S|"&amp;(COUNTIF(S$4:S729,$Q730&amp;"|S|*")+1))</f>
        <v/>
      </c>
      <c r="T730" s="769" t="str">
        <f>IF(OR($F730="",$P730="支払なし",$R730=0,$Q730=""),"",$Q730&amp;"|L|"&amp;(COUNTIF(T$4:T729,$Q730&amp;"|L|*")+1))</f>
        <v/>
      </c>
      <c r="U730" s="769" t="str">
        <f>IF($F730="","",13)</f>
        <v/>
      </c>
    </row>
    <row r="731" ht="16.5" customHeight="1" s="186">
      <c r="A731" s="760" t="n"/>
      <c r="B731" s="760" t="n"/>
      <c r="C731" s="762" t="n"/>
      <c r="D731" s="762" t="n"/>
      <c r="E731" s="775" t="n"/>
      <c r="F731" s="821" t="n"/>
      <c r="G731" s="821" t="n"/>
      <c r="H731" s="818">
        <f>IF(G731=1,F731-I731-J731-K731,IF(G731=2,F731,0))</f>
        <v>0</v>
      </c>
      <c r="I731" s="818">
        <f>ROUND(IF(G731=1,F731*10/23,IF(G731=3,F731-J731-K731,IF(G731=4,F731,IF(G731=5,F731*10/11,IF(G731=7,F731*10/11,0))))),0)</f>
        <v>0</v>
      </c>
      <c r="J731" s="818">
        <f>ROUND(IF(G731=1,F731/23,IF(G731=3,F731/12,IF(G731=5,F731-I731,IF(G731=8,F731,0)))),0)</f>
        <v>0</v>
      </c>
      <c r="K731" s="819">
        <f>ROUND(IF(G731=1,F731/23,IF(G731=3,F731/12,IF(G731=6,F731,IF(G731=7,F731-I731,0)))),0)</f>
        <v>0</v>
      </c>
      <c r="L731" s="820">
        <f>IF(G731=6,F731,0)</f>
        <v>0</v>
      </c>
      <c r="P731" s="768" t="n"/>
      <c r="Q731" s="769" t="str">
        <f>IF($F731="","",IFERROR(VLOOKUP($C731&amp;"|"&amp;$D731,科目表!$A$5:$B$200,2,FALSE),"※未登録"))</f>
        <v/>
      </c>
      <c r="R731" s="769" t="str">
        <f>IF($F731="","",$I731+$J731+$K731)</f>
        <v/>
      </c>
      <c r="S731" s="769" t="str">
        <f>IF(OR($F731="",$P731="支払なし",$H731=0,$Q731=""),"",$Q731&amp;"|S|"&amp;(COUNTIF(S$4:S730,$Q731&amp;"|S|*")+1))</f>
        <v/>
      </c>
      <c r="T731" s="769" t="str">
        <f>IF(OR($F731="",$P731="支払なし",$R731=0,$Q731=""),"",$Q731&amp;"|L|"&amp;(COUNTIF(T$4:T730,$Q731&amp;"|L|*")+1))</f>
        <v/>
      </c>
      <c r="U731" s="769" t="str">
        <f>IF($F731="","",13)</f>
        <v/>
      </c>
    </row>
    <row r="732" ht="16.5" customHeight="1" s="186">
      <c r="A732" s="760" t="n"/>
      <c r="B732" s="760" t="n"/>
      <c r="C732" s="762" t="n"/>
      <c r="D732" s="762" t="n"/>
      <c r="E732" s="775" t="n"/>
      <c r="F732" s="821" t="n"/>
      <c r="G732" s="821" t="n"/>
      <c r="H732" s="818">
        <f>IF(G732=1,F732-I732-J732-K732,IF(G732=2,F732,0))</f>
        <v>0</v>
      </c>
      <c r="I732" s="818">
        <f>ROUND(IF(G732=1,F732*10/23,IF(G732=3,F732-J732-K732,IF(G732=4,F732,IF(G732=5,F732*10/11,IF(G732=7,F732*10/11,0))))),0)</f>
        <v>0</v>
      </c>
      <c r="J732" s="818">
        <f>ROUND(IF(G732=1,F732/23,IF(G732=3,F732/12,IF(G732=5,F732-I732,IF(G732=8,F732,0)))),0)</f>
        <v>0</v>
      </c>
      <c r="K732" s="819">
        <f>ROUND(IF(G732=1,F732/23,IF(G732=3,F732/12,IF(G732=6,F732,IF(G732=7,F732-I732,0)))),0)</f>
        <v>0</v>
      </c>
      <c r="L732" s="820">
        <f>IF(G732=6,F732,0)</f>
        <v>0</v>
      </c>
      <c r="P732" s="768" t="n"/>
      <c r="Q732" s="769" t="str">
        <f>IF($F732="","",IFERROR(VLOOKUP($C732&amp;"|"&amp;$D732,科目表!$A$5:$B$200,2,FALSE),"※未登録"))</f>
        <v/>
      </c>
      <c r="R732" s="769" t="str">
        <f>IF($F732="","",$I732+$J732+$K732)</f>
        <v/>
      </c>
      <c r="S732" s="769" t="str">
        <f>IF(OR($F732="",$P732="支払なし",$H732=0,$Q732=""),"",$Q732&amp;"|S|"&amp;(COUNTIF(S$4:S731,$Q732&amp;"|S|*")+1))</f>
        <v/>
      </c>
      <c r="T732" s="769" t="str">
        <f>IF(OR($F732="",$P732="支払なし",$R732=0,$Q732=""),"",$Q732&amp;"|L|"&amp;(COUNTIF(T$4:T731,$Q732&amp;"|L|*")+1))</f>
        <v/>
      </c>
      <c r="U732" s="769" t="str">
        <f>IF($F732="","",13)</f>
        <v/>
      </c>
    </row>
    <row r="733" ht="16.5" customHeight="1" s="186">
      <c r="A733" s="760" t="n"/>
      <c r="B733" s="760" t="n"/>
      <c r="C733" s="762" t="n"/>
      <c r="D733" s="762" t="n"/>
      <c r="E733" s="775" t="n"/>
      <c r="F733" s="821" t="n"/>
      <c r="G733" s="821" t="n"/>
      <c r="H733" s="818">
        <f>IF(G733=1,F733-I733-J733-K733,IF(G733=2,F733,0))</f>
        <v>0</v>
      </c>
      <c r="I733" s="818">
        <f>ROUND(IF(G733=1,F733*10/23,IF(G733=3,F733-J733-K733,IF(G733=4,F733,IF(G733=5,F733*10/11,IF(G733=7,F733*10/11,0))))),0)</f>
        <v>0</v>
      </c>
      <c r="J733" s="818">
        <f>ROUND(IF(G733=1,F733/23,IF(G733=3,F733/12,IF(G733=5,F733-I733,IF(G733=8,F733,0)))),0)</f>
        <v>0</v>
      </c>
      <c r="K733" s="819">
        <f>ROUND(IF(G733=1,F733/23,IF(G733=3,F733/12,IF(G733=6,F733,IF(G733=7,F733-I733,0)))),0)</f>
        <v>0</v>
      </c>
      <c r="L733" s="820">
        <f>IF(G733=6,F733,0)</f>
        <v>0</v>
      </c>
      <c r="P733" s="768" t="n"/>
      <c r="Q733" s="769" t="str">
        <f>IF($F733="","",IFERROR(VLOOKUP($C733&amp;"|"&amp;$D733,科目表!$A$5:$B$200,2,FALSE),"※未登録"))</f>
        <v/>
      </c>
      <c r="R733" s="769" t="str">
        <f>IF($F733="","",$I733+$J733+$K733)</f>
        <v/>
      </c>
      <c r="S733" s="769" t="str">
        <f>IF(OR($F733="",$P733="支払なし",$H733=0,$Q733=""),"",$Q733&amp;"|S|"&amp;(COUNTIF(S$4:S732,$Q733&amp;"|S|*")+1))</f>
        <v/>
      </c>
      <c r="T733" s="769" t="str">
        <f>IF(OR($F733="",$P733="支払なし",$R733=0,$Q733=""),"",$Q733&amp;"|L|"&amp;(COUNTIF(T$4:T732,$Q733&amp;"|L|*")+1))</f>
        <v/>
      </c>
      <c r="U733" s="769" t="str">
        <f>IF($F733="","",13)</f>
        <v/>
      </c>
    </row>
    <row r="734" ht="16.5" customHeight="1" s="186">
      <c r="A734" s="760" t="n"/>
      <c r="B734" s="760" t="n"/>
      <c r="C734" s="762" t="n"/>
      <c r="D734" s="762" t="n"/>
      <c r="E734" s="775" t="n"/>
      <c r="F734" s="821" t="n"/>
      <c r="G734" s="821" t="n"/>
      <c r="H734" s="818">
        <f>IF(G734=1,F734-I734-J734-K734,IF(G734=2,F734,0))</f>
        <v>0</v>
      </c>
      <c r="I734" s="818">
        <f>ROUND(IF(G734=1,F734*10/23,IF(G734=3,F734-J734-K734,IF(G734=4,F734,IF(G734=5,F734*10/11,IF(G734=7,F734*10/11,0))))),0)</f>
        <v>0</v>
      </c>
      <c r="J734" s="818">
        <f>ROUND(IF(G734=1,F734/23,IF(G734=3,F734/12,IF(G734=5,F734-I734,IF(G734=8,F734,0)))),0)</f>
        <v>0</v>
      </c>
      <c r="K734" s="819">
        <f>ROUND(IF(G734=1,F734/23,IF(G734=3,F734/12,IF(G734=6,F734,IF(G734=7,F734-I734,0)))),0)</f>
        <v>0</v>
      </c>
      <c r="L734" s="820">
        <f>IF(G734=6,F734,0)</f>
        <v>0</v>
      </c>
      <c r="P734" s="768" t="n"/>
      <c r="Q734" s="769" t="str">
        <f>IF($F734="","",IFERROR(VLOOKUP($C734&amp;"|"&amp;$D734,科目表!$A$5:$B$200,2,FALSE),"※未登録"))</f>
        <v/>
      </c>
      <c r="R734" s="769" t="str">
        <f>IF($F734="","",$I734+$J734+$K734)</f>
        <v/>
      </c>
      <c r="S734" s="769" t="str">
        <f>IF(OR($F734="",$P734="支払なし",$H734=0,$Q734=""),"",$Q734&amp;"|S|"&amp;(COUNTIF(S$4:S733,$Q734&amp;"|S|*")+1))</f>
        <v/>
      </c>
      <c r="T734" s="769" t="str">
        <f>IF(OR($F734="",$P734="支払なし",$R734=0,$Q734=""),"",$Q734&amp;"|L|"&amp;(COUNTIF(T$4:T733,$Q734&amp;"|L|*")+1))</f>
        <v/>
      </c>
      <c r="U734" s="769" t="str">
        <f>IF($F734="","",13)</f>
        <v/>
      </c>
    </row>
    <row r="735" ht="16.5" customHeight="1" s="186">
      <c r="A735" s="760" t="n"/>
      <c r="B735" s="760" t="n"/>
      <c r="C735" s="762" t="n"/>
      <c r="D735" s="762" t="n"/>
      <c r="E735" s="775" t="n"/>
      <c r="F735" s="821" t="n"/>
      <c r="G735" s="821" t="n"/>
      <c r="H735" s="818">
        <f>IF(G735=1,F735-I735-J735-K735,IF(G735=2,F735,0))</f>
        <v>0</v>
      </c>
      <c r="I735" s="818">
        <f>ROUND(IF(G735=1,F735*10/23,IF(G735=3,F735-J735-K735,IF(G735=4,F735,IF(G735=5,F735*10/11,IF(G735=7,F735*10/11,0))))),0)</f>
        <v>0</v>
      </c>
      <c r="J735" s="818">
        <f>ROUND(IF(G735=1,F735/23,IF(G735=3,F735/12,IF(G735=5,F735-I735,IF(G735=8,F735,0)))),0)</f>
        <v>0</v>
      </c>
      <c r="K735" s="819">
        <f>ROUND(IF(G735=1,F735/23,IF(G735=3,F735/12,IF(G735=6,F735,IF(G735=7,F735-I735,0)))),0)</f>
        <v>0</v>
      </c>
      <c r="L735" s="820">
        <f>IF(G735=6,F735,0)</f>
        <v>0</v>
      </c>
      <c r="P735" s="768" t="n"/>
      <c r="Q735" s="769" t="str">
        <f>IF($F735="","",IFERROR(VLOOKUP($C735&amp;"|"&amp;$D735,科目表!$A$5:$B$200,2,FALSE),"※未登録"))</f>
        <v/>
      </c>
      <c r="R735" s="769" t="str">
        <f>IF($F735="","",$I735+$J735+$K735)</f>
        <v/>
      </c>
      <c r="S735" s="769" t="str">
        <f>IF(OR($F735="",$P735="支払なし",$H735=0,$Q735=""),"",$Q735&amp;"|S|"&amp;(COUNTIF(S$4:S734,$Q735&amp;"|S|*")+1))</f>
        <v/>
      </c>
      <c r="T735" s="769" t="str">
        <f>IF(OR($F735="",$P735="支払なし",$R735=0,$Q735=""),"",$Q735&amp;"|L|"&amp;(COUNTIF(T$4:T734,$Q735&amp;"|L|*")+1))</f>
        <v/>
      </c>
      <c r="U735" s="769" t="str">
        <f>IF($F735="","",13)</f>
        <v/>
      </c>
    </row>
    <row r="736" ht="16.5" customHeight="1" s="186">
      <c r="A736" s="760" t="n"/>
      <c r="B736" s="760" t="n"/>
      <c r="C736" s="762" t="n"/>
      <c r="D736" s="762" t="n"/>
      <c r="E736" s="775" t="n"/>
      <c r="F736" s="821" t="n"/>
      <c r="G736" s="821" t="n"/>
      <c r="H736" s="818">
        <f>IF(G736=1,F736-I736-J736-K736,IF(G736=2,F736,0))</f>
        <v>0</v>
      </c>
      <c r="I736" s="818">
        <f>ROUND(IF(G736=1,F736*10/23,IF(G736=3,F736-J736-K736,IF(G736=4,F736,IF(G736=5,F736*10/11,IF(G736=7,F736*10/11,0))))),0)</f>
        <v>0</v>
      </c>
      <c r="J736" s="818">
        <f>ROUND(IF(G736=1,F736/23,IF(G736=3,F736/12,IF(G736=5,F736-I736,IF(G736=8,F736,0)))),0)</f>
        <v>0</v>
      </c>
      <c r="K736" s="819">
        <f>ROUND(IF(G736=1,F736/23,IF(G736=3,F736/12,IF(G736=6,F736,IF(G736=7,F736-I736,0)))),0)</f>
        <v>0</v>
      </c>
      <c r="L736" s="820">
        <f>IF(G736=6,F736,0)</f>
        <v>0</v>
      </c>
      <c r="P736" s="768" t="n"/>
      <c r="Q736" s="769" t="str">
        <f>IF($F736="","",IFERROR(VLOOKUP($C736&amp;"|"&amp;$D736,科目表!$A$5:$B$200,2,FALSE),"※未登録"))</f>
        <v/>
      </c>
      <c r="R736" s="769" t="str">
        <f>IF($F736="","",$I736+$J736+$K736)</f>
        <v/>
      </c>
      <c r="S736" s="769" t="str">
        <f>IF(OR($F736="",$P736="支払なし",$H736=0,$Q736=""),"",$Q736&amp;"|S|"&amp;(COUNTIF(S$4:S735,$Q736&amp;"|S|*")+1))</f>
        <v/>
      </c>
      <c r="T736" s="769" t="str">
        <f>IF(OR($F736="",$P736="支払なし",$R736=0,$Q736=""),"",$Q736&amp;"|L|"&amp;(COUNTIF(T$4:T735,$Q736&amp;"|L|*")+1))</f>
        <v/>
      </c>
      <c r="U736" s="769" t="str">
        <f>IF($F736="","",13)</f>
        <v/>
      </c>
    </row>
    <row r="737" ht="16.5" customHeight="1" s="186">
      <c r="A737" s="760" t="n"/>
      <c r="B737" s="760" t="n"/>
      <c r="C737" s="762" t="n"/>
      <c r="D737" s="762" t="n"/>
      <c r="E737" s="775" t="n"/>
      <c r="F737" s="821" t="n"/>
      <c r="G737" s="821" t="n"/>
      <c r="H737" s="818">
        <f>IF(G737=1,F737-I737-J737-K737,IF(G737=2,F737,0))</f>
        <v>0</v>
      </c>
      <c r="I737" s="818">
        <f>ROUND(IF(G737=1,F737*10/23,IF(G737=3,F737-J737-K737,IF(G737=4,F737,IF(G737=5,F737*10/11,IF(G737=7,F737*10/11,0))))),0)</f>
        <v>0</v>
      </c>
      <c r="J737" s="818">
        <f>ROUND(IF(G737=1,F737/23,IF(G737=3,F737/12,IF(G737=5,F737-I737,IF(G737=8,F737,0)))),0)</f>
        <v>0</v>
      </c>
      <c r="K737" s="819">
        <f>ROUND(IF(G737=1,F737/23,IF(G737=3,F737/12,IF(G737=6,F737,IF(G737=7,F737-I737,0)))),0)</f>
        <v>0</v>
      </c>
      <c r="L737" s="820">
        <f>IF(G737=6,F737,0)</f>
        <v>0</v>
      </c>
      <c r="P737" s="768" t="n"/>
      <c r="Q737" s="769" t="str">
        <f>IF($F737="","",IFERROR(VLOOKUP($C737&amp;"|"&amp;$D737,科目表!$A$5:$B$200,2,FALSE),"※未登録"))</f>
        <v/>
      </c>
      <c r="R737" s="769" t="str">
        <f>IF($F737="","",$I737+$J737+$K737)</f>
        <v/>
      </c>
      <c r="S737" s="769" t="str">
        <f>IF(OR($F737="",$P737="支払なし",$H737=0,$Q737=""),"",$Q737&amp;"|S|"&amp;(COUNTIF(S$4:S736,$Q737&amp;"|S|*")+1))</f>
        <v/>
      </c>
      <c r="T737" s="769" t="str">
        <f>IF(OR($F737="",$P737="支払なし",$R737=0,$Q737=""),"",$Q737&amp;"|L|"&amp;(COUNTIF(T$4:T736,$Q737&amp;"|L|*")+1))</f>
        <v/>
      </c>
      <c r="U737" s="769" t="str">
        <f>IF($F737="","",13)</f>
        <v/>
      </c>
    </row>
    <row r="738" ht="16.5" customHeight="1" s="186">
      <c r="A738" s="760" t="n"/>
      <c r="B738" s="760" t="n"/>
      <c r="C738" s="762" t="n"/>
      <c r="D738" s="762" t="n"/>
      <c r="E738" s="775" t="n"/>
      <c r="F738" s="821" t="n"/>
      <c r="G738" s="821" t="n"/>
      <c r="H738" s="818">
        <f>IF(G738=1,F738-I738-J738-K738,IF(G738=2,F738,0))</f>
        <v>0</v>
      </c>
      <c r="I738" s="818">
        <f>ROUND(IF(G738=1,F738*10/23,IF(G738=3,F738-J738-K738,IF(G738=4,F738,IF(G738=5,F738*10/11,IF(G738=7,F738*10/11,0))))),0)</f>
        <v>0</v>
      </c>
      <c r="J738" s="818">
        <f>ROUND(IF(G738=1,F738/23,IF(G738=3,F738/12,IF(G738=5,F738-I738,IF(G738=8,F738,0)))),0)</f>
        <v>0</v>
      </c>
      <c r="K738" s="819">
        <f>ROUND(IF(G738=1,F738/23,IF(G738=3,F738/12,IF(G738=6,F738,IF(G738=7,F738-I738,0)))),0)</f>
        <v>0</v>
      </c>
      <c r="L738" s="820">
        <f>IF(G738=6,F738,0)</f>
        <v>0</v>
      </c>
      <c r="P738" s="768" t="n"/>
      <c r="Q738" s="769" t="str">
        <f>IF($F738="","",IFERROR(VLOOKUP($C738&amp;"|"&amp;$D738,科目表!$A$5:$B$200,2,FALSE),"※未登録"))</f>
        <v/>
      </c>
      <c r="R738" s="769" t="str">
        <f>IF($F738="","",$I738+$J738+$K738)</f>
        <v/>
      </c>
      <c r="S738" s="769" t="str">
        <f>IF(OR($F738="",$P738="支払なし",$H738=0,$Q738=""),"",$Q738&amp;"|S|"&amp;(COUNTIF(S$4:S737,$Q738&amp;"|S|*")+1))</f>
        <v/>
      </c>
      <c r="T738" s="769" t="str">
        <f>IF(OR($F738="",$P738="支払なし",$R738=0,$Q738=""),"",$Q738&amp;"|L|"&amp;(COUNTIF(T$4:T737,$Q738&amp;"|L|*")+1))</f>
        <v/>
      </c>
      <c r="U738" s="769" t="str">
        <f>IF($F738="","",13)</f>
        <v/>
      </c>
    </row>
    <row r="739" ht="16.5" customHeight="1" s="186">
      <c r="A739" s="760" t="n"/>
      <c r="B739" s="760" t="n"/>
      <c r="C739" s="762" t="n"/>
      <c r="D739" s="762" t="n"/>
      <c r="E739" s="775" t="n"/>
      <c r="F739" s="821" t="n"/>
      <c r="G739" s="821" t="n"/>
      <c r="H739" s="818">
        <f>IF(G739=1,F739-I739-J739-K739,IF(G739=2,F739,0))</f>
        <v>0</v>
      </c>
      <c r="I739" s="818">
        <f>ROUND(IF(G739=1,F739*10/23,IF(G739=3,F739-J739-K739,IF(G739=4,F739,IF(G739=5,F739*10/11,IF(G739=7,F739*10/11,0))))),0)</f>
        <v>0</v>
      </c>
      <c r="J739" s="818">
        <f>ROUND(IF(G739=1,F739/23,IF(G739=3,F739/12,IF(G739=5,F739-I739,IF(G739=8,F739,0)))),0)</f>
        <v>0</v>
      </c>
      <c r="K739" s="819">
        <f>ROUND(IF(G739=1,F739/23,IF(G739=3,F739/12,IF(G739=6,F739,IF(G739=7,F739-I739,0)))),0)</f>
        <v>0</v>
      </c>
      <c r="L739" s="820">
        <f>IF(G739=6,F739,0)</f>
        <v>0</v>
      </c>
      <c r="P739" s="768" t="n"/>
      <c r="Q739" s="769" t="str">
        <f>IF($F739="","",IFERROR(VLOOKUP($C739&amp;"|"&amp;$D739,科目表!$A$5:$B$200,2,FALSE),"※未登録"))</f>
        <v/>
      </c>
      <c r="R739" s="769" t="str">
        <f>IF($F739="","",$I739+$J739+$K739)</f>
        <v/>
      </c>
      <c r="S739" s="769" t="str">
        <f>IF(OR($F739="",$P739="支払なし",$H739=0,$Q739=""),"",$Q739&amp;"|S|"&amp;(COUNTIF(S$4:S738,$Q739&amp;"|S|*")+1))</f>
        <v/>
      </c>
      <c r="T739" s="769" t="str">
        <f>IF(OR($F739="",$P739="支払なし",$R739=0,$Q739=""),"",$Q739&amp;"|L|"&amp;(COUNTIF(T$4:T738,$Q739&amp;"|L|*")+1))</f>
        <v/>
      </c>
      <c r="U739" s="769" t="str">
        <f>IF($F739="","",13)</f>
        <v/>
      </c>
    </row>
    <row r="740" ht="16.5" customHeight="1" s="186">
      <c r="A740" s="760" t="n"/>
      <c r="B740" s="760" t="n"/>
      <c r="C740" s="762" t="n"/>
      <c r="D740" s="762" t="n"/>
      <c r="E740" s="775" t="n"/>
      <c r="F740" s="821" t="n"/>
      <c r="G740" s="821" t="n"/>
      <c r="H740" s="818">
        <f>IF(G740=1,F740-I740-J740-K740,IF(G740=2,F740,0))</f>
        <v>0</v>
      </c>
      <c r="I740" s="818">
        <f>ROUND(IF(G740=1,F740*10/23,IF(G740=3,F740-J740-K740,IF(G740=4,F740,IF(G740=5,F740*10/11,IF(G740=7,F740*10/11,0))))),0)</f>
        <v>0</v>
      </c>
      <c r="J740" s="818">
        <f>ROUND(IF(G740=1,F740/23,IF(G740=3,F740/12,IF(G740=5,F740-I740,IF(G740=8,F740,0)))),0)</f>
        <v>0</v>
      </c>
      <c r="K740" s="819">
        <f>ROUND(IF(G740=1,F740/23,IF(G740=3,F740/12,IF(G740=6,F740,IF(G740=7,F740-I740,0)))),0)</f>
        <v>0</v>
      </c>
      <c r="L740" s="820">
        <f>IF(G740=6,F740,0)</f>
        <v>0</v>
      </c>
      <c r="P740" s="768" t="n"/>
      <c r="Q740" s="769" t="str">
        <f>IF($F740="","",IFERROR(VLOOKUP($C740&amp;"|"&amp;$D740,科目表!$A$5:$B$200,2,FALSE),"※未登録"))</f>
        <v/>
      </c>
      <c r="R740" s="769" t="str">
        <f>IF($F740="","",$I740+$J740+$K740)</f>
        <v/>
      </c>
      <c r="S740" s="769" t="str">
        <f>IF(OR($F740="",$P740="支払なし",$H740=0,$Q740=""),"",$Q740&amp;"|S|"&amp;(COUNTIF(S$4:S739,$Q740&amp;"|S|*")+1))</f>
        <v/>
      </c>
      <c r="T740" s="769" t="str">
        <f>IF(OR($F740="",$P740="支払なし",$R740=0,$Q740=""),"",$Q740&amp;"|L|"&amp;(COUNTIF(T$4:T739,$Q740&amp;"|L|*")+1))</f>
        <v/>
      </c>
      <c r="U740" s="769" t="str">
        <f>IF($F740="","",13)</f>
        <v/>
      </c>
    </row>
    <row r="741" ht="16.5" customHeight="1" s="186">
      <c r="A741" s="760" t="n"/>
      <c r="B741" s="760" t="n"/>
      <c r="C741" s="762" t="n"/>
      <c r="D741" s="762" t="n"/>
      <c r="E741" s="775" t="n"/>
      <c r="F741" s="821" t="n"/>
      <c r="G741" s="821" t="n"/>
      <c r="H741" s="818">
        <f>IF(G741=1,F741-I741-J741-K741,IF(G741=2,F741,0))</f>
        <v>0</v>
      </c>
      <c r="I741" s="818">
        <f>ROUND(IF(G741=1,F741*10/23,IF(G741=3,F741-J741-K741,IF(G741=4,F741,IF(G741=5,F741*10/11,IF(G741=7,F741*10/11,0))))),0)</f>
        <v>0</v>
      </c>
      <c r="J741" s="818">
        <f>ROUND(IF(G741=1,F741/23,IF(G741=3,F741/12,IF(G741=5,F741-I741,IF(G741=8,F741,0)))),0)</f>
        <v>0</v>
      </c>
      <c r="K741" s="819">
        <f>ROUND(IF(G741=1,F741/23,IF(G741=3,F741/12,IF(G741=6,F741,IF(G741=7,F741-I741,0)))),0)</f>
        <v>0</v>
      </c>
      <c r="L741" s="820">
        <f>IF(G741=6,F741,0)</f>
        <v>0</v>
      </c>
      <c r="P741" s="768" t="n"/>
      <c r="Q741" s="769" t="str">
        <f>IF($F741="","",IFERROR(VLOOKUP($C741&amp;"|"&amp;$D741,科目表!$A$5:$B$200,2,FALSE),"※未登録"))</f>
        <v/>
      </c>
      <c r="R741" s="769" t="str">
        <f>IF($F741="","",$I741+$J741+$K741)</f>
        <v/>
      </c>
      <c r="S741" s="769" t="str">
        <f>IF(OR($F741="",$P741="支払なし",$H741=0,$Q741=""),"",$Q741&amp;"|S|"&amp;(COUNTIF(S$4:S740,$Q741&amp;"|S|*")+1))</f>
        <v/>
      </c>
      <c r="T741" s="769" t="str">
        <f>IF(OR($F741="",$P741="支払なし",$R741=0,$Q741=""),"",$Q741&amp;"|L|"&amp;(COUNTIF(T$4:T740,$Q741&amp;"|L|*")+1))</f>
        <v/>
      </c>
      <c r="U741" s="769" t="str">
        <f>IF($F741="","",13)</f>
        <v/>
      </c>
    </row>
    <row r="742" ht="16.5" customHeight="1" s="186">
      <c r="A742" s="760" t="n"/>
      <c r="B742" s="760" t="n"/>
      <c r="C742" s="762" t="n"/>
      <c r="D742" s="762" t="n"/>
      <c r="E742" s="775" t="n"/>
      <c r="F742" s="821" t="n"/>
      <c r="G742" s="821" t="n"/>
      <c r="H742" s="818">
        <f>IF(G742=1,F742-I742-J742-K742,IF(G742=2,F742,0))</f>
        <v>0</v>
      </c>
      <c r="I742" s="818">
        <f>ROUND(IF(G742=1,F742*10/23,IF(G742=3,F742-J742-K742,IF(G742=4,F742,IF(G742=5,F742*10/11,IF(G742=7,F742*10/11,0))))),0)</f>
        <v>0</v>
      </c>
      <c r="J742" s="818">
        <f>ROUND(IF(G742=1,F742/23,IF(G742=3,F742/12,IF(G742=5,F742-I742,IF(G742=8,F742,0)))),0)</f>
        <v>0</v>
      </c>
      <c r="K742" s="819">
        <f>ROUND(IF(G742=1,F742/23,IF(G742=3,F742/12,IF(G742=6,F742,IF(G742=7,F742-I742,0)))),0)</f>
        <v>0</v>
      </c>
      <c r="L742" s="820">
        <f>IF(G742=6,F742,0)</f>
        <v>0</v>
      </c>
      <c r="P742" s="768" t="n"/>
      <c r="Q742" s="769" t="str">
        <f>IF($F742="","",IFERROR(VLOOKUP($C742&amp;"|"&amp;$D742,科目表!$A$5:$B$200,2,FALSE),"※未登録"))</f>
        <v/>
      </c>
      <c r="R742" s="769" t="str">
        <f>IF($F742="","",$I742+$J742+$K742)</f>
        <v/>
      </c>
      <c r="S742" s="769" t="str">
        <f>IF(OR($F742="",$P742="支払なし",$H742=0,$Q742=""),"",$Q742&amp;"|S|"&amp;(COUNTIF(S$4:S741,$Q742&amp;"|S|*")+1))</f>
        <v/>
      </c>
      <c r="T742" s="769" t="str">
        <f>IF(OR($F742="",$P742="支払なし",$R742=0,$Q742=""),"",$Q742&amp;"|L|"&amp;(COUNTIF(T$4:T741,$Q742&amp;"|L|*")+1))</f>
        <v/>
      </c>
      <c r="U742" s="769" t="str">
        <f>IF($F742="","",13)</f>
        <v/>
      </c>
    </row>
    <row r="743" ht="16.5" customHeight="1" s="186">
      <c r="A743" s="760" t="n"/>
      <c r="B743" s="760" t="n"/>
      <c r="C743" s="762" t="n"/>
      <c r="D743" s="762" t="n"/>
      <c r="E743" s="775" t="n"/>
      <c r="F743" s="821" t="n"/>
      <c r="G743" s="821" t="n"/>
      <c r="H743" s="818">
        <f>IF(G743=1,F743-I743-J743-K743,IF(G743=2,F743,0))</f>
        <v>0</v>
      </c>
      <c r="I743" s="818">
        <f>ROUND(IF(G743=1,F743*10/23,IF(G743=3,F743-J743-K743,IF(G743=4,F743,IF(G743=5,F743*10/11,IF(G743=7,F743*10/11,0))))),0)</f>
        <v>0</v>
      </c>
      <c r="J743" s="818">
        <f>ROUND(IF(G743=1,F743/23,IF(G743=3,F743/12,IF(G743=5,F743-I743,IF(G743=8,F743,0)))),0)</f>
        <v>0</v>
      </c>
      <c r="K743" s="819">
        <f>ROUND(IF(G743=1,F743/23,IF(G743=3,F743/12,IF(G743=6,F743,IF(G743=7,F743-I743,0)))),0)</f>
        <v>0</v>
      </c>
      <c r="L743" s="820">
        <f>IF(G743=6,F743,0)</f>
        <v>0</v>
      </c>
      <c r="P743" s="768" t="n"/>
      <c r="Q743" s="769" t="str">
        <f>IF($F743="","",IFERROR(VLOOKUP($C743&amp;"|"&amp;$D743,科目表!$A$5:$B$200,2,FALSE),"※未登録"))</f>
        <v/>
      </c>
      <c r="R743" s="769" t="str">
        <f>IF($F743="","",$I743+$J743+$K743)</f>
        <v/>
      </c>
      <c r="S743" s="769" t="str">
        <f>IF(OR($F743="",$P743="支払なし",$H743=0,$Q743=""),"",$Q743&amp;"|S|"&amp;(COUNTIF(S$4:S742,$Q743&amp;"|S|*")+1))</f>
        <v/>
      </c>
      <c r="T743" s="769" t="str">
        <f>IF(OR($F743="",$P743="支払なし",$R743=0,$Q743=""),"",$Q743&amp;"|L|"&amp;(COUNTIF(T$4:T742,$Q743&amp;"|L|*")+1))</f>
        <v/>
      </c>
      <c r="U743" s="769" t="str">
        <f>IF($F743="","",13)</f>
        <v/>
      </c>
    </row>
    <row r="744" ht="16.5" customHeight="1" s="186">
      <c r="A744" s="760" t="n"/>
      <c r="B744" s="760" t="n"/>
      <c r="C744" s="762" t="n"/>
      <c r="D744" s="762" t="n"/>
      <c r="E744" s="775" t="n"/>
      <c r="F744" s="821" t="n"/>
      <c r="G744" s="821" t="n"/>
      <c r="H744" s="818">
        <f>IF(G744=1,F744-I744-J744-K744,IF(G744=2,F744,0))</f>
        <v>0</v>
      </c>
      <c r="I744" s="818">
        <f>ROUND(IF(G744=1,F744*10/23,IF(G744=3,F744-J744-K744,IF(G744=4,F744,IF(G744=5,F744*10/11,IF(G744=7,F744*10/11,0))))),0)</f>
        <v>0</v>
      </c>
      <c r="J744" s="818">
        <f>ROUND(IF(G744=1,F744/23,IF(G744=3,F744/12,IF(G744=5,F744-I744,IF(G744=8,F744,0)))),0)</f>
        <v>0</v>
      </c>
      <c r="K744" s="819">
        <f>ROUND(IF(G744=1,F744/23,IF(G744=3,F744/12,IF(G744=6,F744,IF(G744=7,F744-I744,0)))),0)</f>
        <v>0</v>
      </c>
      <c r="L744" s="820">
        <f>IF(G744=6,F744,0)</f>
        <v>0</v>
      </c>
      <c r="P744" s="768" t="n"/>
      <c r="Q744" s="769" t="str">
        <f>IF($F744="","",IFERROR(VLOOKUP($C744&amp;"|"&amp;$D744,科目表!$A$5:$B$200,2,FALSE),"※未登録"))</f>
        <v/>
      </c>
      <c r="R744" s="769" t="str">
        <f>IF($F744="","",$I744+$J744+$K744)</f>
        <v/>
      </c>
      <c r="S744" s="769" t="str">
        <f>IF(OR($F744="",$P744="支払なし",$H744=0,$Q744=""),"",$Q744&amp;"|S|"&amp;(COUNTIF(S$4:S743,$Q744&amp;"|S|*")+1))</f>
        <v/>
      </c>
      <c r="T744" s="769" t="str">
        <f>IF(OR($F744="",$P744="支払なし",$R744=0,$Q744=""),"",$Q744&amp;"|L|"&amp;(COUNTIF(T$4:T743,$Q744&amp;"|L|*")+1))</f>
        <v/>
      </c>
      <c r="U744" s="769" t="str">
        <f>IF($F744="","",13)</f>
        <v/>
      </c>
    </row>
    <row r="745" ht="16.5" customHeight="1" s="186">
      <c r="A745" s="760" t="n"/>
      <c r="B745" s="760" t="n"/>
      <c r="C745" s="762" t="n"/>
      <c r="D745" s="762" t="n"/>
      <c r="E745" s="775" t="n"/>
      <c r="F745" s="821" t="n"/>
      <c r="G745" s="821" t="n"/>
      <c r="H745" s="818">
        <f>IF(G745=1,F745-I745-J745-K745,IF(G745=2,F745,0))</f>
        <v>0</v>
      </c>
      <c r="I745" s="818">
        <f>ROUND(IF(G745=1,F745*10/23,IF(G745=3,F745-J745-K745,IF(G745=4,F745,IF(G745=5,F745*10/11,IF(G745=7,F745*10/11,0))))),0)</f>
        <v>0</v>
      </c>
      <c r="J745" s="818">
        <f>ROUND(IF(G745=1,F745/23,IF(G745=3,F745/12,IF(G745=5,F745-I745,IF(G745=8,F745,0)))),0)</f>
        <v>0</v>
      </c>
      <c r="K745" s="819">
        <f>ROUND(IF(G745=1,F745/23,IF(G745=3,F745/12,IF(G745=6,F745,IF(G745=7,F745-I745,0)))),0)</f>
        <v>0</v>
      </c>
      <c r="L745" s="820">
        <f>IF(G745=6,F745,0)</f>
        <v>0</v>
      </c>
      <c r="P745" s="768" t="n"/>
      <c r="Q745" s="769" t="str">
        <f>IF($F745="","",IFERROR(VLOOKUP($C745&amp;"|"&amp;$D745,科目表!$A$5:$B$200,2,FALSE),"※未登録"))</f>
        <v/>
      </c>
      <c r="R745" s="769" t="str">
        <f>IF($F745="","",$I745+$J745+$K745)</f>
        <v/>
      </c>
      <c r="S745" s="769" t="str">
        <f>IF(OR($F745="",$P745="支払なし",$H745=0,$Q745=""),"",$Q745&amp;"|S|"&amp;(COUNTIF(S$4:S744,$Q745&amp;"|S|*")+1))</f>
        <v/>
      </c>
      <c r="T745" s="769" t="str">
        <f>IF(OR($F745="",$P745="支払なし",$R745=0,$Q745=""),"",$Q745&amp;"|L|"&amp;(COUNTIF(T$4:T744,$Q745&amp;"|L|*")+1))</f>
        <v/>
      </c>
      <c r="U745" s="769" t="str">
        <f>IF($F745="","",13)</f>
        <v/>
      </c>
    </row>
    <row r="746" ht="16.5" customHeight="1" s="186">
      <c r="A746" s="760" t="n"/>
      <c r="B746" s="760" t="n"/>
      <c r="C746" s="762" t="n"/>
      <c r="D746" s="762" t="n"/>
      <c r="E746" s="775" t="n"/>
      <c r="F746" s="821" t="n"/>
      <c r="G746" s="821" t="n"/>
      <c r="H746" s="818">
        <f>IF(G746=1,F746-I746-J746-K746,IF(G746=2,F746,0))</f>
        <v>0</v>
      </c>
      <c r="I746" s="818">
        <f>ROUND(IF(G746=1,F746*10/23,IF(G746=3,F746-J746-K746,IF(G746=4,F746,IF(G746=5,F746*10/11,IF(G746=7,F746*10/11,0))))),0)</f>
        <v>0</v>
      </c>
      <c r="J746" s="818">
        <f>ROUND(IF(G746=1,F746/23,IF(G746=3,F746/12,IF(G746=5,F746-I746,IF(G746=8,F746,0)))),0)</f>
        <v>0</v>
      </c>
      <c r="K746" s="819">
        <f>ROUND(IF(G746=1,F746/23,IF(G746=3,F746/12,IF(G746=6,F746,IF(G746=7,F746-I746,0)))),0)</f>
        <v>0</v>
      </c>
      <c r="L746" s="820">
        <f>IF(G746=6,F746,0)</f>
        <v>0</v>
      </c>
      <c r="P746" s="768" t="n"/>
      <c r="Q746" s="769" t="str">
        <f>IF($F746="","",IFERROR(VLOOKUP($C746&amp;"|"&amp;$D746,科目表!$A$5:$B$200,2,FALSE),"※未登録"))</f>
        <v/>
      </c>
      <c r="R746" s="769" t="str">
        <f>IF($F746="","",$I746+$J746+$K746)</f>
        <v/>
      </c>
      <c r="S746" s="769" t="str">
        <f>IF(OR($F746="",$P746="支払なし",$H746=0,$Q746=""),"",$Q746&amp;"|S|"&amp;(COUNTIF(S$4:S745,$Q746&amp;"|S|*")+1))</f>
        <v/>
      </c>
      <c r="T746" s="769" t="str">
        <f>IF(OR($F746="",$P746="支払なし",$R746=0,$Q746=""),"",$Q746&amp;"|L|"&amp;(COUNTIF(T$4:T745,$Q746&amp;"|L|*")+1))</f>
        <v/>
      </c>
      <c r="U746" s="769" t="str">
        <f>IF($F746="","",13)</f>
        <v/>
      </c>
    </row>
    <row r="747" ht="16.5" customHeight="1" s="186">
      <c r="A747" s="760" t="n"/>
      <c r="B747" s="760" t="n"/>
      <c r="C747" s="762" t="n"/>
      <c r="D747" s="762" t="n"/>
      <c r="E747" s="775" t="n"/>
      <c r="F747" s="821" t="n"/>
      <c r="G747" s="821" t="n"/>
      <c r="H747" s="818">
        <f>IF(G747=1,F747-I747-J747-K747,IF(G747=2,F747,0))</f>
        <v>0</v>
      </c>
      <c r="I747" s="818">
        <f>ROUND(IF(G747=1,F747*10/23,IF(G747=3,F747-J747-K747,IF(G747=4,F747,IF(G747=5,F747*10/11,IF(G747=7,F747*10/11,0))))),0)</f>
        <v>0</v>
      </c>
      <c r="J747" s="818">
        <f>ROUND(IF(G747=1,F747/23,IF(G747=3,F747/12,IF(G747=5,F747-I747,IF(G747=8,F747,0)))),0)</f>
        <v>0</v>
      </c>
      <c r="K747" s="819">
        <f>ROUND(IF(G747=1,F747/23,IF(G747=3,F747/12,IF(G747=6,F747,IF(G747=7,F747-I747,0)))),0)</f>
        <v>0</v>
      </c>
      <c r="L747" s="820">
        <f>IF(G747=6,F747,0)</f>
        <v>0</v>
      </c>
      <c r="P747" s="768" t="n"/>
      <c r="Q747" s="769" t="str">
        <f>IF($F747="","",IFERROR(VLOOKUP($C747&amp;"|"&amp;$D747,科目表!$A$5:$B$200,2,FALSE),"※未登録"))</f>
        <v/>
      </c>
      <c r="R747" s="769" t="str">
        <f>IF($F747="","",$I747+$J747+$K747)</f>
        <v/>
      </c>
      <c r="S747" s="769" t="str">
        <f>IF(OR($F747="",$P747="支払なし",$H747=0,$Q747=""),"",$Q747&amp;"|S|"&amp;(COUNTIF(S$4:S746,$Q747&amp;"|S|*")+1))</f>
        <v/>
      </c>
      <c r="T747" s="769" t="str">
        <f>IF(OR($F747="",$P747="支払なし",$R747=0,$Q747=""),"",$Q747&amp;"|L|"&amp;(COUNTIF(T$4:T746,$Q747&amp;"|L|*")+1))</f>
        <v/>
      </c>
      <c r="U747" s="769" t="str">
        <f>IF($F747="","",13)</f>
        <v/>
      </c>
    </row>
    <row r="748" ht="16.5" customHeight="1" s="186">
      <c r="A748" s="760" t="n"/>
      <c r="B748" s="760" t="n"/>
      <c r="C748" s="762" t="n"/>
      <c r="D748" s="762" t="n"/>
      <c r="E748" s="775" t="n"/>
      <c r="F748" s="821" t="n"/>
      <c r="G748" s="821" t="n"/>
      <c r="H748" s="818">
        <f>IF(G748=1,F748-I748-J748-K748,IF(G748=2,F748,0))</f>
        <v>0</v>
      </c>
      <c r="I748" s="818">
        <f>ROUND(IF(G748=1,F748*10/23,IF(G748=3,F748-J748-K748,IF(G748=4,F748,IF(G748=5,F748*10/11,IF(G748=7,F748*10/11,0))))),0)</f>
        <v>0</v>
      </c>
      <c r="J748" s="818">
        <f>ROUND(IF(G748=1,F748/23,IF(G748=3,F748/12,IF(G748=5,F748-I748,IF(G748=8,F748,0)))),0)</f>
        <v>0</v>
      </c>
      <c r="K748" s="819">
        <f>ROUND(IF(G748=1,F748/23,IF(G748=3,F748/12,IF(G748=6,F748,IF(G748=7,F748-I748,0)))),0)</f>
        <v>0</v>
      </c>
      <c r="L748" s="820">
        <f>IF(G748=6,F748,0)</f>
        <v>0</v>
      </c>
      <c r="P748" s="768" t="n"/>
      <c r="Q748" s="769" t="str">
        <f>IF($F748="","",IFERROR(VLOOKUP($C748&amp;"|"&amp;$D748,科目表!$A$5:$B$200,2,FALSE),"※未登録"))</f>
        <v/>
      </c>
      <c r="R748" s="769" t="str">
        <f>IF($F748="","",$I748+$J748+$K748)</f>
        <v/>
      </c>
      <c r="S748" s="769" t="str">
        <f>IF(OR($F748="",$P748="支払なし",$H748=0,$Q748=""),"",$Q748&amp;"|S|"&amp;(COUNTIF(S$4:S747,$Q748&amp;"|S|*")+1))</f>
        <v/>
      </c>
      <c r="T748" s="769" t="str">
        <f>IF(OR($F748="",$P748="支払なし",$R748=0,$Q748=""),"",$Q748&amp;"|L|"&amp;(COUNTIF(T$4:T747,$Q748&amp;"|L|*")+1))</f>
        <v/>
      </c>
      <c r="U748" s="769" t="str">
        <f>IF($F748="","",13)</f>
        <v/>
      </c>
    </row>
    <row r="749" ht="16.5" customHeight="1" s="186">
      <c r="A749" s="760" t="n"/>
      <c r="B749" s="760" t="n"/>
      <c r="C749" s="762" t="n"/>
      <c r="D749" s="762" t="n"/>
      <c r="E749" s="775" t="n"/>
      <c r="F749" s="821" t="n"/>
      <c r="G749" s="821" t="n"/>
      <c r="H749" s="818">
        <f>IF(G749=1,F749-I749-J749-K749,IF(G749=2,F749,0))</f>
        <v>0</v>
      </c>
      <c r="I749" s="818">
        <f>ROUND(IF(G749=1,F749*10/23,IF(G749=3,F749-J749-K749,IF(G749=4,F749,IF(G749=5,F749*10/11,IF(G749=7,F749*10/11,0))))),0)</f>
        <v>0</v>
      </c>
      <c r="J749" s="818">
        <f>ROUND(IF(G749=1,F749/23,IF(G749=3,F749/12,IF(G749=5,F749-I749,IF(G749=8,F749,0)))),0)</f>
        <v>0</v>
      </c>
      <c r="K749" s="819">
        <f>ROUND(IF(G749=1,F749/23,IF(G749=3,F749/12,IF(G749=6,F749,IF(G749=7,F749-I749,0)))),0)</f>
        <v>0</v>
      </c>
      <c r="L749" s="820">
        <f>IF(G749=6,F749,0)</f>
        <v>0</v>
      </c>
      <c r="P749" s="768" t="n"/>
      <c r="Q749" s="769" t="str">
        <f>IF($F749="","",IFERROR(VLOOKUP($C749&amp;"|"&amp;$D749,科目表!$A$5:$B$200,2,FALSE),"※未登録"))</f>
        <v/>
      </c>
      <c r="R749" s="769" t="str">
        <f>IF($F749="","",$I749+$J749+$K749)</f>
        <v/>
      </c>
      <c r="S749" s="769" t="str">
        <f>IF(OR($F749="",$P749="支払なし",$H749=0,$Q749=""),"",$Q749&amp;"|S|"&amp;(COUNTIF(S$4:S748,$Q749&amp;"|S|*")+1))</f>
        <v/>
      </c>
      <c r="T749" s="769" t="str">
        <f>IF(OR($F749="",$P749="支払なし",$R749=0,$Q749=""),"",$Q749&amp;"|L|"&amp;(COUNTIF(T$4:T748,$Q749&amp;"|L|*")+1))</f>
        <v/>
      </c>
      <c r="U749" s="769" t="str">
        <f>IF($F749="","",13)</f>
        <v/>
      </c>
    </row>
    <row r="750" ht="16.5" customHeight="1" s="186">
      <c r="A750" s="760" t="n"/>
      <c r="B750" s="760" t="n"/>
      <c r="C750" s="762" t="n"/>
      <c r="D750" s="762" t="n"/>
      <c r="E750" s="775" t="n"/>
      <c r="F750" s="821" t="n"/>
      <c r="G750" s="821" t="n"/>
      <c r="H750" s="818">
        <f>IF(G750=1,F750-I750-J750-K750,IF(G750=2,F750,0))</f>
        <v>0</v>
      </c>
      <c r="I750" s="818">
        <f>ROUND(IF(G750=1,F750*10/23,IF(G750=3,F750-J750-K750,IF(G750=4,F750,IF(G750=5,F750*10/11,IF(G750=7,F750*10/11,0))))),0)</f>
        <v>0</v>
      </c>
      <c r="J750" s="818">
        <f>ROUND(IF(G750=1,F750/23,IF(G750=3,F750/12,IF(G750=5,F750-I750,IF(G750=8,F750,0)))),0)</f>
        <v>0</v>
      </c>
      <c r="K750" s="819">
        <f>ROUND(IF(G750=1,F750/23,IF(G750=3,F750/12,IF(G750=6,F750,IF(G750=7,F750-I750,0)))),0)</f>
        <v>0</v>
      </c>
      <c r="L750" s="820">
        <f>IF(G750=6,F750,0)</f>
        <v>0</v>
      </c>
      <c r="P750" s="768" t="n"/>
      <c r="Q750" s="769" t="str">
        <f>IF($F750="","",IFERROR(VLOOKUP($C750&amp;"|"&amp;$D750,科目表!$A$5:$B$200,2,FALSE),"※未登録"))</f>
        <v/>
      </c>
      <c r="R750" s="769" t="str">
        <f>IF($F750="","",$I750+$J750+$K750)</f>
        <v/>
      </c>
      <c r="S750" s="769" t="str">
        <f>IF(OR($F750="",$P750="支払なし",$H750=0,$Q750=""),"",$Q750&amp;"|S|"&amp;(COUNTIF(S$4:S749,$Q750&amp;"|S|*")+1))</f>
        <v/>
      </c>
      <c r="T750" s="769" t="str">
        <f>IF(OR($F750="",$P750="支払なし",$R750=0,$Q750=""),"",$Q750&amp;"|L|"&amp;(COUNTIF(T$4:T749,$Q750&amp;"|L|*")+1))</f>
        <v/>
      </c>
      <c r="U750" s="769" t="str">
        <f>IF($F750="","",13)</f>
        <v/>
      </c>
    </row>
    <row r="751" ht="16.5" customHeight="1" s="186">
      <c r="A751" s="760" t="n"/>
      <c r="B751" s="760" t="n"/>
      <c r="C751" s="762" t="n"/>
      <c r="D751" s="762" t="n"/>
      <c r="E751" s="775" t="n"/>
      <c r="F751" s="821" t="n"/>
      <c r="G751" s="821" t="n"/>
      <c r="H751" s="818">
        <f>IF(G751=1,F751-I751-J751-K751,IF(G751=2,F751,0))</f>
        <v>0</v>
      </c>
      <c r="I751" s="818">
        <f>ROUND(IF(G751=1,F751*10/23,IF(G751=3,F751-J751-K751,IF(G751=4,F751,IF(G751=5,F751*10/11,IF(G751=7,F751*10/11,0))))),0)</f>
        <v>0</v>
      </c>
      <c r="J751" s="818">
        <f>ROUND(IF(G751=1,F751/23,IF(G751=3,F751/12,IF(G751=5,F751-I751,IF(G751=8,F751,0)))),0)</f>
        <v>0</v>
      </c>
      <c r="K751" s="819">
        <f>ROUND(IF(G751=1,F751/23,IF(G751=3,F751/12,IF(G751=6,F751,IF(G751=7,F751-I751,0)))),0)</f>
        <v>0</v>
      </c>
      <c r="L751" s="820">
        <f>IF(G751=6,F751,0)</f>
        <v>0</v>
      </c>
      <c r="P751" s="768" t="n"/>
      <c r="Q751" s="769" t="str">
        <f>IF($F751="","",IFERROR(VLOOKUP($C751&amp;"|"&amp;$D751,科目表!$A$5:$B$200,2,FALSE),"※未登録"))</f>
        <v/>
      </c>
      <c r="R751" s="769" t="str">
        <f>IF($F751="","",$I751+$J751+$K751)</f>
        <v/>
      </c>
      <c r="S751" s="769" t="str">
        <f>IF(OR($F751="",$P751="支払なし",$H751=0,$Q751=""),"",$Q751&amp;"|S|"&amp;(COUNTIF(S$4:S750,$Q751&amp;"|S|*")+1))</f>
        <v/>
      </c>
      <c r="T751" s="769" t="str">
        <f>IF(OR($F751="",$P751="支払なし",$R751=0,$Q751=""),"",$Q751&amp;"|L|"&amp;(COUNTIF(T$4:T750,$Q751&amp;"|L|*")+1))</f>
        <v/>
      </c>
      <c r="U751" s="769" t="str">
        <f>IF($F751="","",13)</f>
        <v/>
      </c>
    </row>
    <row r="752" ht="16.5" customHeight="1" s="186">
      <c r="A752" s="760" t="n"/>
      <c r="B752" s="760" t="n"/>
      <c r="C752" s="762" t="n"/>
      <c r="D752" s="762" t="n"/>
      <c r="E752" s="775" t="n"/>
      <c r="F752" s="821" t="n"/>
      <c r="G752" s="821" t="n"/>
      <c r="H752" s="818">
        <f>IF(G752=1,F752-I752-J752-K752,IF(G752=2,F752,0))</f>
        <v>0</v>
      </c>
      <c r="I752" s="818">
        <f>ROUND(IF(G752=1,F752*10/23,IF(G752=3,F752-J752-K752,IF(G752=4,F752,IF(G752=5,F752*10/11,IF(G752=7,F752*10/11,0))))),0)</f>
        <v>0</v>
      </c>
      <c r="J752" s="818">
        <f>ROUND(IF(G752=1,F752/23,IF(G752=3,F752/12,IF(G752=5,F752-I752,IF(G752=8,F752,0)))),0)</f>
        <v>0</v>
      </c>
      <c r="K752" s="819">
        <f>ROUND(IF(G752=1,F752/23,IF(G752=3,F752/12,IF(G752=6,F752,IF(G752=7,F752-I752,0)))),0)</f>
        <v>0</v>
      </c>
      <c r="L752" s="820">
        <f>IF(G752=6,F752,0)</f>
        <v>0</v>
      </c>
      <c r="P752" s="768" t="n"/>
      <c r="Q752" s="769" t="str">
        <f>IF($F752="","",IFERROR(VLOOKUP($C752&amp;"|"&amp;$D752,科目表!$A$5:$B$200,2,FALSE),"※未登録"))</f>
        <v/>
      </c>
      <c r="R752" s="769" t="str">
        <f>IF($F752="","",$I752+$J752+$K752)</f>
        <v/>
      </c>
      <c r="S752" s="769" t="str">
        <f>IF(OR($F752="",$P752="支払なし",$H752=0,$Q752=""),"",$Q752&amp;"|S|"&amp;(COUNTIF(S$4:S751,$Q752&amp;"|S|*")+1))</f>
        <v/>
      </c>
      <c r="T752" s="769" t="str">
        <f>IF(OR($F752="",$P752="支払なし",$R752=0,$Q752=""),"",$Q752&amp;"|L|"&amp;(COUNTIF(T$4:T751,$Q752&amp;"|L|*")+1))</f>
        <v/>
      </c>
      <c r="U752" s="769" t="str">
        <f>IF($F752="","",13)</f>
        <v/>
      </c>
    </row>
    <row r="753" ht="16.5" customHeight="1" s="186">
      <c r="A753" s="760" t="n"/>
      <c r="B753" s="760" t="n"/>
      <c r="C753" s="762" t="n"/>
      <c r="D753" s="762" t="n"/>
      <c r="E753" s="775" t="n"/>
      <c r="F753" s="821" t="n"/>
      <c r="G753" s="821" t="n"/>
      <c r="H753" s="818">
        <f>IF(G753=1,F753-I753-J753-K753,IF(G753=2,F753,0))</f>
        <v>0</v>
      </c>
      <c r="I753" s="818">
        <f>ROUND(IF(G753=1,F753*10/23,IF(G753=3,F753-J753-K753,IF(G753=4,F753,IF(G753=5,F753*10/11,IF(G753=7,F753*10/11,0))))),0)</f>
        <v>0</v>
      </c>
      <c r="J753" s="818">
        <f>ROUND(IF(G753=1,F753/23,IF(G753=3,F753/12,IF(G753=5,F753-I753,IF(G753=8,F753,0)))),0)</f>
        <v>0</v>
      </c>
      <c r="K753" s="819">
        <f>ROUND(IF(G753=1,F753/23,IF(G753=3,F753/12,IF(G753=6,F753,IF(G753=7,F753-I753,0)))),0)</f>
        <v>0</v>
      </c>
      <c r="L753" s="820">
        <f>IF(G753=6,F753,0)</f>
        <v>0</v>
      </c>
      <c r="P753" s="768" t="n"/>
      <c r="Q753" s="769" t="str">
        <f>IF($F753="","",IFERROR(VLOOKUP($C753&amp;"|"&amp;$D753,科目表!$A$5:$B$200,2,FALSE),"※未登録"))</f>
        <v/>
      </c>
      <c r="R753" s="769" t="str">
        <f>IF($F753="","",$I753+$J753+$K753)</f>
        <v/>
      </c>
      <c r="S753" s="769" t="str">
        <f>IF(OR($F753="",$P753="支払なし",$H753=0,$Q753=""),"",$Q753&amp;"|S|"&amp;(COUNTIF(S$4:S752,$Q753&amp;"|S|*")+1))</f>
        <v/>
      </c>
      <c r="T753" s="769" t="str">
        <f>IF(OR($F753="",$P753="支払なし",$R753=0,$Q753=""),"",$Q753&amp;"|L|"&amp;(COUNTIF(T$4:T752,$Q753&amp;"|L|*")+1))</f>
        <v/>
      </c>
      <c r="U753" s="769" t="str">
        <f>IF($F753="","",13)</f>
        <v/>
      </c>
    </row>
    <row r="754" ht="16.5" customHeight="1" s="186">
      <c r="A754" s="760" t="n"/>
      <c r="B754" s="760" t="n"/>
      <c r="C754" s="762" t="n"/>
      <c r="D754" s="762" t="n"/>
      <c r="E754" s="775" t="n"/>
      <c r="F754" s="821" t="n"/>
      <c r="G754" s="821" t="n"/>
      <c r="H754" s="818">
        <f>IF(G754=1,F754-I754-J754-K754,IF(G754=2,F754,0))</f>
        <v>0</v>
      </c>
      <c r="I754" s="818">
        <f>ROUND(IF(G754=1,F754*10/23,IF(G754=3,F754-J754-K754,IF(G754=4,F754,IF(G754=5,F754*10/11,IF(G754=7,F754*10/11,0))))),0)</f>
        <v>0</v>
      </c>
      <c r="J754" s="818">
        <f>ROUND(IF(G754=1,F754/23,IF(G754=3,F754/12,IF(G754=5,F754-I754,IF(G754=8,F754,0)))),0)</f>
        <v>0</v>
      </c>
      <c r="K754" s="819">
        <f>ROUND(IF(G754=1,F754/23,IF(G754=3,F754/12,IF(G754=6,F754,IF(G754=7,F754-I754,0)))),0)</f>
        <v>0</v>
      </c>
      <c r="L754" s="820">
        <f>IF(G754=6,F754,0)</f>
        <v>0</v>
      </c>
      <c r="P754" s="768" t="n"/>
      <c r="Q754" s="769" t="str">
        <f>IF($F754="","",IFERROR(VLOOKUP($C754&amp;"|"&amp;$D754,科目表!$A$5:$B$200,2,FALSE),"※未登録"))</f>
        <v/>
      </c>
      <c r="R754" s="769" t="str">
        <f>IF($F754="","",$I754+$J754+$K754)</f>
        <v/>
      </c>
      <c r="S754" s="769" t="str">
        <f>IF(OR($F754="",$P754="支払なし",$H754=0,$Q754=""),"",$Q754&amp;"|S|"&amp;(COUNTIF(S$4:S753,$Q754&amp;"|S|*")+1))</f>
        <v/>
      </c>
      <c r="T754" s="769" t="str">
        <f>IF(OR($F754="",$P754="支払なし",$R754=0,$Q754=""),"",$Q754&amp;"|L|"&amp;(COUNTIF(T$4:T753,$Q754&amp;"|L|*")+1))</f>
        <v/>
      </c>
      <c r="U754" s="769" t="str">
        <f>IF($F754="","",13)</f>
        <v/>
      </c>
    </row>
    <row r="755" ht="16.5" customHeight="1" s="186">
      <c r="A755" s="760" t="n"/>
      <c r="B755" s="760" t="n"/>
      <c r="C755" s="762" t="n"/>
      <c r="D755" s="762" t="n"/>
      <c r="E755" s="775" t="n"/>
      <c r="F755" s="821" t="n"/>
      <c r="G755" s="821" t="n"/>
      <c r="H755" s="818">
        <f>IF(G755=1,F755-I755-J755-K755,IF(G755=2,F755,0))</f>
        <v>0</v>
      </c>
      <c r="I755" s="818">
        <f>ROUND(IF(G755=1,F755*10/23,IF(G755=3,F755-J755-K755,IF(G755=4,F755,IF(G755=5,F755*10/11,IF(G755=7,F755*10/11,0))))),0)</f>
        <v>0</v>
      </c>
      <c r="J755" s="818">
        <f>ROUND(IF(G755=1,F755/23,IF(G755=3,F755/12,IF(G755=5,F755-I755,IF(G755=8,F755,0)))),0)</f>
        <v>0</v>
      </c>
      <c r="K755" s="819">
        <f>ROUND(IF(G755=1,F755/23,IF(G755=3,F755/12,IF(G755=6,F755,IF(G755=7,F755-I755,0)))),0)</f>
        <v>0</v>
      </c>
      <c r="L755" s="820">
        <f>IF(G755=6,F755,0)</f>
        <v>0</v>
      </c>
      <c r="P755" s="768" t="n"/>
      <c r="Q755" s="769" t="str">
        <f>IF($F755="","",IFERROR(VLOOKUP($C755&amp;"|"&amp;$D755,科目表!$A$5:$B$200,2,FALSE),"※未登録"))</f>
        <v/>
      </c>
      <c r="R755" s="769" t="str">
        <f>IF($F755="","",$I755+$J755+$K755)</f>
        <v/>
      </c>
      <c r="S755" s="769" t="str">
        <f>IF(OR($F755="",$P755="支払なし",$H755=0,$Q755=""),"",$Q755&amp;"|S|"&amp;(COUNTIF(S$4:S754,$Q755&amp;"|S|*")+1))</f>
        <v/>
      </c>
      <c r="T755" s="769" t="str">
        <f>IF(OR($F755="",$P755="支払なし",$R755=0,$Q755=""),"",$Q755&amp;"|L|"&amp;(COUNTIF(T$4:T754,$Q755&amp;"|L|*")+1))</f>
        <v/>
      </c>
      <c r="U755" s="769" t="str">
        <f>IF($F755="","",13)</f>
        <v/>
      </c>
    </row>
    <row r="756" ht="16.5" customHeight="1" s="186">
      <c r="A756" s="760" t="n"/>
      <c r="B756" s="760" t="n"/>
      <c r="C756" s="762" t="n"/>
      <c r="D756" s="762" t="n"/>
      <c r="E756" s="775" t="n"/>
      <c r="F756" s="821" t="n"/>
      <c r="G756" s="821" t="n"/>
      <c r="H756" s="818">
        <f>IF(G756=1,F756-I756-J756-K756,IF(G756=2,F756,0))</f>
        <v>0</v>
      </c>
      <c r="I756" s="818">
        <f>ROUND(IF(G756=1,F756*10/23,IF(G756=3,F756-J756-K756,IF(G756=4,F756,IF(G756=5,F756*10/11,IF(G756=7,F756*10/11,0))))),0)</f>
        <v>0</v>
      </c>
      <c r="J756" s="818">
        <f>ROUND(IF(G756=1,F756/23,IF(G756=3,F756/12,IF(G756=5,F756-I756,IF(G756=8,F756,0)))),0)</f>
        <v>0</v>
      </c>
      <c r="K756" s="819">
        <f>ROUND(IF(G756=1,F756/23,IF(G756=3,F756/12,IF(G756=6,F756,IF(G756=7,F756-I756,0)))),0)</f>
        <v>0</v>
      </c>
      <c r="L756" s="820">
        <f>IF(G756=6,F756,0)</f>
        <v>0</v>
      </c>
      <c r="P756" s="768" t="n"/>
      <c r="Q756" s="769" t="str">
        <f>IF($F756="","",IFERROR(VLOOKUP($C756&amp;"|"&amp;$D756,科目表!$A$5:$B$200,2,FALSE),"※未登録"))</f>
        <v/>
      </c>
      <c r="R756" s="769" t="str">
        <f>IF($F756="","",$I756+$J756+$K756)</f>
        <v/>
      </c>
      <c r="S756" s="769" t="str">
        <f>IF(OR($F756="",$P756="支払なし",$H756=0,$Q756=""),"",$Q756&amp;"|S|"&amp;(COUNTIF(S$4:S755,$Q756&amp;"|S|*")+1))</f>
        <v/>
      </c>
      <c r="T756" s="769" t="str">
        <f>IF(OR($F756="",$P756="支払なし",$R756=0,$Q756=""),"",$Q756&amp;"|L|"&amp;(COUNTIF(T$4:T755,$Q756&amp;"|L|*")+1))</f>
        <v/>
      </c>
      <c r="U756" s="769" t="str">
        <f>IF($F756="","",13)</f>
        <v/>
      </c>
    </row>
    <row r="757" ht="16.5" customHeight="1" s="186">
      <c r="A757" s="760" t="n"/>
      <c r="B757" s="760" t="n"/>
      <c r="C757" s="762" t="n"/>
      <c r="D757" s="762" t="n"/>
      <c r="E757" s="775" t="n"/>
      <c r="F757" s="821" t="n"/>
      <c r="G757" s="821" t="n"/>
      <c r="H757" s="818">
        <f>IF(G757=1,F757-I757-J757-K757,IF(G757=2,F757,0))</f>
        <v>0</v>
      </c>
      <c r="I757" s="818">
        <f>ROUND(IF(G757=1,F757*10/23,IF(G757=3,F757-J757-K757,IF(G757=4,F757,IF(G757=5,F757*10/11,IF(G757=7,F757*10/11,0))))),0)</f>
        <v>0</v>
      </c>
      <c r="J757" s="818">
        <f>ROUND(IF(G757=1,F757/23,IF(G757=3,F757/12,IF(G757=5,F757-I757,IF(G757=8,F757,0)))),0)</f>
        <v>0</v>
      </c>
      <c r="K757" s="819">
        <f>ROUND(IF(G757=1,F757/23,IF(G757=3,F757/12,IF(G757=6,F757,IF(G757=7,F757-I757,0)))),0)</f>
        <v>0</v>
      </c>
      <c r="L757" s="820">
        <f>IF(G757=6,F757,0)</f>
        <v>0</v>
      </c>
      <c r="P757" s="768" t="n"/>
      <c r="Q757" s="769" t="str">
        <f>IF($F757="","",IFERROR(VLOOKUP($C757&amp;"|"&amp;$D757,科目表!$A$5:$B$200,2,FALSE),"※未登録"))</f>
        <v/>
      </c>
      <c r="R757" s="769" t="str">
        <f>IF($F757="","",$I757+$J757+$K757)</f>
        <v/>
      </c>
      <c r="S757" s="769" t="str">
        <f>IF(OR($F757="",$P757="支払なし",$H757=0,$Q757=""),"",$Q757&amp;"|S|"&amp;(COUNTIF(S$4:S756,$Q757&amp;"|S|*")+1))</f>
        <v/>
      </c>
      <c r="T757" s="769" t="str">
        <f>IF(OR($F757="",$P757="支払なし",$R757=0,$Q757=""),"",$Q757&amp;"|L|"&amp;(COUNTIF(T$4:T756,$Q757&amp;"|L|*")+1))</f>
        <v/>
      </c>
      <c r="U757" s="769" t="str">
        <f>IF($F757="","",13)</f>
        <v/>
      </c>
    </row>
    <row r="758" ht="16.5" customHeight="1" s="186">
      <c r="A758" s="760" t="n"/>
      <c r="B758" s="760" t="n"/>
      <c r="C758" s="762" t="n"/>
      <c r="D758" s="762" t="n"/>
      <c r="E758" s="775" t="n"/>
      <c r="F758" s="821" t="n"/>
      <c r="G758" s="821" t="n"/>
      <c r="H758" s="818">
        <f>IF(G758=1,F758-I758-J758-K758,IF(G758=2,F758,0))</f>
        <v>0</v>
      </c>
      <c r="I758" s="818">
        <f>ROUND(IF(G758=1,F758*10/23,IF(G758=3,F758-J758-K758,IF(G758=4,F758,IF(G758=5,F758*10/11,IF(G758=7,F758*10/11,0))))),0)</f>
        <v>0</v>
      </c>
      <c r="J758" s="818">
        <f>ROUND(IF(G758=1,F758/23,IF(G758=3,F758/12,IF(G758=5,F758-I758,IF(G758=8,F758,0)))),0)</f>
        <v>0</v>
      </c>
      <c r="K758" s="819">
        <f>ROUND(IF(G758=1,F758/23,IF(G758=3,F758/12,IF(G758=6,F758,IF(G758=7,F758-I758,0)))),0)</f>
        <v>0</v>
      </c>
      <c r="L758" s="820">
        <f>IF(G758=6,F758,0)</f>
        <v>0</v>
      </c>
      <c r="P758" s="768" t="n"/>
      <c r="Q758" s="769" t="str">
        <f>IF($F758="","",IFERROR(VLOOKUP($C758&amp;"|"&amp;$D758,科目表!$A$5:$B$200,2,FALSE),"※未登録"))</f>
        <v/>
      </c>
      <c r="R758" s="769" t="str">
        <f>IF($F758="","",$I758+$J758+$K758)</f>
        <v/>
      </c>
      <c r="S758" s="769" t="str">
        <f>IF(OR($F758="",$P758="支払なし",$H758=0,$Q758=""),"",$Q758&amp;"|S|"&amp;(COUNTIF(S$4:S757,$Q758&amp;"|S|*")+1))</f>
        <v/>
      </c>
      <c r="T758" s="769" t="str">
        <f>IF(OR($F758="",$P758="支払なし",$R758=0,$Q758=""),"",$Q758&amp;"|L|"&amp;(COUNTIF(T$4:T757,$Q758&amp;"|L|*")+1))</f>
        <v/>
      </c>
      <c r="U758" s="769" t="str">
        <f>IF($F758="","",13)</f>
        <v/>
      </c>
    </row>
    <row r="759" ht="16.5" customHeight="1" s="186">
      <c r="A759" s="760" t="n"/>
      <c r="B759" s="760" t="n"/>
      <c r="C759" s="762" t="n"/>
      <c r="D759" s="762" t="n"/>
      <c r="E759" s="775" t="n"/>
      <c r="F759" s="821" t="n"/>
      <c r="G759" s="821" t="n"/>
      <c r="H759" s="818">
        <f>IF(G759=1,F759-I759-J759-K759,IF(G759=2,F759,0))</f>
        <v>0</v>
      </c>
      <c r="I759" s="818">
        <f>ROUND(IF(G759=1,F759*10/23,IF(G759=3,F759-J759-K759,IF(G759=4,F759,IF(G759=5,F759*10/11,IF(G759=7,F759*10/11,0))))),0)</f>
        <v>0</v>
      </c>
      <c r="J759" s="818">
        <f>ROUND(IF(G759=1,F759/23,IF(G759=3,F759/12,IF(G759=5,F759-I759,IF(G759=8,F759,0)))),0)</f>
        <v>0</v>
      </c>
      <c r="K759" s="819">
        <f>ROUND(IF(G759=1,F759/23,IF(G759=3,F759/12,IF(G759=6,F759,IF(G759=7,F759-I759,0)))),0)</f>
        <v>0</v>
      </c>
      <c r="L759" s="820">
        <f>IF(G759=6,F759,0)</f>
        <v>0</v>
      </c>
      <c r="P759" s="768" t="n"/>
      <c r="Q759" s="769" t="str">
        <f>IF($F759="","",IFERROR(VLOOKUP($C759&amp;"|"&amp;$D759,科目表!$A$5:$B$200,2,FALSE),"※未登録"))</f>
        <v/>
      </c>
      <c r="R759" s="769" t="str">
        <f>IF($F759="","",$I759+$J759+$K759)</f>
        <v/>
      </c>
      <c r="S759" s="769" t="str">
        <f>IF(OR($F759="",$P759="支払なし",$H759=0,$Q759=""),"",$Q759&amp;"|S|"&amp;(COUNTIF(S$4:S758,$Q759&amp;"|S|*")+1))</f>
        <v/>
      </c>
      <c r="T759" s="769" t="str">
        <f>IF(OR($F759="",$P759="支払なし",$R759=0,$Q759=""),"",$Q759&amp;"|L|"&amp;(COUNTIF(T$4:T758,$Q759&amp;"|L|*")+1))</f>
        <v/>
      </c>
      <c r="U759" s="769" t="str">
        <f>IF($F759="","",13)</f>
        <v/>
      </c>
    </row>
    <row r="760" ht="16.5" customHeight="1" s="186">
      <c r="A760" s="760" t="n"/>
      <c r="B760" s="760" t="n"/>
      <c r="C760" s="762" t="n"/>
      <c r="D760" s="762" t="n"/>
      <c r="E760" s="775" t="n"/>
      <c r="F760" s="821" t="n"/>
      <c r="G760" s="821" t="n"/>
      <c r="H760" s="818">
        <f>IF(G760=1,F760-I760-J760-K760,IF(G760=2,F760,0))</f>
        <v>0</v>
      </c>
      <c r="I760" s="818">
        <f>ROUND(IF(G760=1,F760*10/23,IF(G760=3,F760-J760-K760,IF(G760=4,F760,IF(G760=5,F760*10/11,IF(G760=7,F760*10/11,0))))),0)</f>
        <v>0</v>
      </c>
      <c r="J760" s="818">
        <f>ROUND(IF(G760=1,F760/23,IF(G760=3,F760/12,IF(G760=5,F760-I760,IF(G760=8,F760,0)))),0)</f>
        <v>0</v>
      </c>
      <c r="K760" s="819">
        <f>ROUND(IF(G760=1,F760/23,IF(G760=3,F760/12,IF(G760=6,F760,IF(G760=7,F760-I760,0)))),0)</f>
        <v>0</v>
      </c>
      <c r="L760" s="820">
        <f>IF(G760=6,F760,0)</f>
        <v>0</v>
      </c>
      <c r="P760" s="768" t="n"/>
      <c r="Q760" s="769" t="str">
        <f>IF($F760="","",IFERROR(VLOOKUP($C760&amp;"|"&amp;$D760,科目表!$A$5:$B$200,2,FALSE),"※未登録"))</f>
        <v/>
      </c>
      <c r="R760" s="769" t="str">
        <f>IF($F760="","",$I760+$J760+$K760)</f>
        <v/>
      </c>
      <c r="S760" s="769" t="str">
        <f>IF(OR($F760="",$P760="支払なし",$H760=0,$Q760=""),"",$Q760&amp;"|S|"&amp;(COUNTIF(S$4:S759,$Q760&amp;"|S|*")+1))</f>
        <v/>
      </c>
      <c r="T760" s="769" t="str">
        <f>IF(OR($F760="",$P760="支払なし",$R760=0,$Q760=""),"",$Q760&amp;"|L|"&amp;(COUNTIF(T$4:T759,$Q760&amp;"|L|*")+1))</f>
        <v/>
      </c>
      <c r="U760" s="769" t="str">
        <f>IF($F760="","",13)</f>
        <v/>
      </c>
    </row>
    <row r="761" ht="16.5" customHeight="1" s="186">
      <c r="A761" s="760" t="n"/>
      <c r="B761" s="760" t="n"/>
      <c r="C761" s="762" t="n"/>
      <c r="D761" s="762" t="n"/>
      <c r="E761" s="775" t="n"/>
      <c r="F761" s="821" t="n"/>
      <c r="G761" s="821" t="n"/>
      <c r="H761" s="818">
        <f>IF(G761=1,F761-I761-J761-K761,IF(G761=2,F761,0))</f>
        <v>0</v>
      </c>
      <c r="I761" s="818">
        <f>ROUND(IF(G761=1,F761*10/23,IF(G761=3,F761-J761-K761,IF(G761=4,F761,IF(G761=5,F761*10/11,IF(G761=7,F761*10/11,0))))),0)</f>
        <v>0</v>
      </c>
      <c r="J761" s="818">
        <f>ROUND(IF(G761=1,F761/23,IF(G761=3,F761/12,IF(G761=5,F761-I761,IF(G761=8,F761,0)))),0)</f>
        <v>0</v>
      </c>
      <c r="K761" s="819">
        <f>ROUND(IF(G761=1,F761/23,IF(G761=3,F761/12,IF(G761=6,F761,IF(G761=7,F761-I761,0)))),0)</f>
        <v>0</v>
      </c>
      <c r="L761" s="820">
        <f>IF(G761=6,F761,0)</f>
        <v>0</v>
      </c>
      <c r="P761" s="768" t="n"/>
      <c r="Q761" s="769" t="str">
        <f>IF($F761="","",IFERROR(VLOOKUP($C761&amp;"|"&amp;$D761,科目表!$A$5:$B$200,2,FALSE),"※未登録"))</f>
        <v/>
      </c>
      <c r="R761" s="769" t="str">
        <f>IF($F761="","",$I761+$J761+$K761)</f>
        <v/>
      </c>
      <c r="S761" s="769" t="str">
        <f>IF(OR($F761="",$P761="支払なし",$H761=0,$Q761=""),"",$Q761&amp;"|S|"&amp;(COUNTIF(S$4:S760,$Q761&amp;"|S|*")+1))</f>
        <v/>
      </c>
      <c r="T761" s="769" t="str">
        <f>IF(OR($F761="",$P761="支払なし",$R761=0,$Q761=""),"",$Q761&amp;"|L|"&amp;(COUNTIF(T$4:T760,$Q761&amp;"|L|*")+1))</f>
        <v/>
      </c>
      <c r="U761" s="769" t="str">
        <f>IF($F761="","",13)</f>
        <v/>
      </c>
    </row>
    <row r="762" ht="16.5" customHeight="1" s="186">
      <c r="A762" s="760" t="n"/>
      <c r="B762" s="760" t="n"/>
      <c r="C762" s="762" t="n"/>
      <c r="D762" s="762" t="n"/>
      <c r="E762" s="775" t="n"/>
      <c r="F762" s="821" t="n"/>
      <c r="G762" s="821" t="n"/>
      <c r="H762" s="818">
        <f>IF(G762=1,F762-I762-J762-K762,IF(G762=2,F762,0))</f>
        <v>0</v>
      </c>
      <c r="I762" s="818">
        <f>ROUND(IF(G762=1,F762*10/23,IF(G762=3,F762-J762-K762,IF(G762=4,F762,IF(G762=5,F762*10/11,IF(G762=7,F762*10/11,0))))),0)</f>
        <v>0</v>
      </c>
      <c r="J762" s="818">
        <f>ROUND(IF(G762=1,F762/23,IF(G762=3,F762/12,IF(G762=5,F762-I762,IF(G762=8,F762,0)))),0)</f>
        <v>0</v>
      </c>
      <c r="K762" s="819">
        <f>ROUND(IF(G762=1,F762/23,IF(G762=3,F762/12,IF(G762=6,F762,IF(G762=7,F762-I762,0)))),0)</f>
        <v>0</v>
      </c>
      <c r="L762" s="820">
        <f>IF(G762=6,F762,0)</f>
        <v>0</v>
      </c>
      <c r="P762" s="768" t="n"/>
      <c r="Q762" s="769" t="str">
        <f>IF($F762="","",IFERROR(VLOOKUP($C762&amp;"|"&amp;$D762,科目表!$A$5:$B$200,2,FALSE),"※未登録"))</f>
        <v/>
      </c>
      <c r="R762" s="769" t="str">
        <f>IF($F762="","",$I762+$J762+$K762)</f>
        <v/>
      </c>
      <c r="S762" s="769" t="str">
        <f>IF(OR($F762="",$P762="支払なし",$H762=0,$Q762=""),"",$Q762&amp;"|S|"&amp;(COUNTIF(S$4:S761,$Q762&amp;"|S|*")+1))</f>
        <v/>
      </c>
      <c r="T762" s="769" t="str">
        <f>IF(OR($F762="",$P762="支払なし",$R762=0,$Q762=""),"",$Q762&amp;"|L|"&amp;(COUNTIF(T$4:T761,$Q762&amp;"|L|*")+1))</f>
        <v/>
      </c>
      <c r="U762" s="769" t="str">
        <f>IF($F762="","",13)</f>
        <v/>
      </c>
    </row>
    <row r="763" ht="16.5" customHeight="1" s="186">
      <c r="A763" s="760" t="n"/>
      <c r="B763" s="760" t="n"/>
      <c r="C763" s="762" t="n"/>
      <c r="D763" s="762" t="n"/>
      <c r="E763" s="775" t="n"/>
      <c r="F763" s="821" t="n"/>
      <c r="G763" s="821" t="n"/>
      <c r="H763" s="818">
        <f>IF(G763=1,F763-I763-J763-K763,IF(G763=2,F763,0))</f>
        <v>0</v>
      </c>
      <c r="I763" s="818">
        <f>ROUND(IF(G763=1,F763*10/23,IF(G763=3,F763-J763-K763,IF(G763=4,F763,IF(G763=5,F763*10/11,IF(G763=7,F763*10/11,0))))),0)</f>
        <v>0</v>
      </c>
      <c r="J763" s="818">
        <f>ROUND(IF(G763=1,F763/23,IF(G763=3,F763/12,IF(G763=5,F763-I763,IF(G763=8,F763,0)))),0)</f>
        <v>0</v>
      </c>
      <c r="K763" s="819">
        <f>ROUND(IF(G763=1,F763/23,IF(G763=3,F763/12,IF(G763=6,F763,IF(G763=7,F763-I763,0)))),0)</f>
        <v>0</v>
      </c>
      <c r="L763" s="820">
        <f>IF(G763=6,F763,0)</f>
        <v>0</v>
      </c>
      <c r="P763" s="768" t="n"/>
      <c r="Q763" s="769" t="str">
        <f>IF($F763="","",IFERROR(VLOOKUP($C763&amp;"|"&amp;$D763,科目表!$A$5:$B$200,2,FALSE),"※未登録"))</f>
        <v/>
      </c>
      <c r="R763" s="769" t="str">
        <f>IF($F763="","",$I763+$J763+$K763)</f>
        <v/>
      </c>
      <c r="S763" s="769" t="str">
        <f>IF(OR($F763="",$P763="支払なし",$H763=0,$Q763=""),"",$Q763&amp;"|S|"&amp;(COUNTIF(S$4:S762,$Q763&amp;"|S|*")+1))</f>
        <v/>
      </c>
      <c r="T763" s="769" t="str">
        <f>IF(OR($F763="",$P763="支払なし",$R763=0,$Q763=""),"",$Q763&amp;"|L|"&amp;(COUNTIF(T$4:T762,$Q763&amp;"|L|*")+1))</f>
        <v/>
      </c>
      <c r="U763" s="769" t="str">
        <f>IF($F763="","",13)</f>
        <v/>
      </c>
    </row>
    <row r="764" ht="16.5" customHeight="1" s="186">
      <c r="A764" s="760" t="n"/>
      <c r="B764" s="760" t="n"/>
      <c r="C764" s="762" t="n"/>
      <c r="D764" s="762" t="n"/>
      <c r="E764" s="775" t="n"/>
      <c r="F764" s="821" t="n"/>
      <c r="G764" s="821" t="n"/>
      <c r="H764" s="818">
        <f>IF(G764=1,F764-I764-J764-K764,IF(G764=2,F764,0))</f>
        <v>0</v>
      </c>
      <c r="I764" s="818">
        <f>ROUND(IF(G764=1,F764*10/23,IF(G764=3,F764-J764-K764,IF(G764=4,F764,IF(G764=5,F764*10/11,IF(G764=7,F764*10/11,0))))),0)</f>
        <v>0</v>
      </c>
      <c r="J764" s="818">
        <f>ROUND(IF(G764=1,F764/23,IF(G764=3,F764/12,IF(G764=5,F764-I764,IF(G764=8,F764,0)))),0)</f>
        <v>0</v>
      </c>
      <c r="K764" s="819">
        <f>ROUND(IF(G764=1,F764/23,IF(G764=3,F764/12,IF(G764=6,F764,IF(G764=7,F764-I764,0)))),0)</f>
        <v>0</v>
      </c>
      <c r="L764" s="820">
        <f>IF(G764=6,F764,0)</f>
        <v>0</v>
      </c>
      <c r="P764" s="768" t="n"/>
      <c r="Q764" s="769" t="str">
        <f>IF($F764="","",IFERROR(VLOOKUP($C764&amp;"|"&amp;$D764,科目表!$A$5:$B$200,2,FALSE),"※未登録"))</f>
        <v/>
      </c>
      <c r="R764" s="769" t="str">
        <f>IF($F764="","",$I764+$J764+$K764)</f>
        <v/>
      </c>
      <c r="S764" s="769" t="str">
        <f>IF(OR($F764="",$P764="支払なし",$H764=0,$Q764=""),"",$Q764&amp;"|S|"&amp;(COUNTIF(S$4:S763,$Q764&amp;"|S|*")+1))</f>
        <v/>
      </c>
      <c r="T764" s="769" t="str">
        <f>IF(OR($F764="",$P764="支払なし",$R764=0,$Q764=""),"",$Q764&amp;"|L|"&amp;(COUNTIF(T$4:T763,$Q764&amp;"|L|*")+1))</f>
        <v/>
      </c>
      <c r="U764" s="769" t="str">
        <f>IF($F764="","",13)</f>
        <v/>
      </c>
    </row>
    <row r="765" ht="16.5" customHeight="1" s="186">
      <c r="A765" s="760" t="n"/>
      <c r="B765" s="760" t="n"/>
      <c r="C765" s="762" t="n"/>
      <c r="D765" s="762" t="n"/>
      <c r="E765" s="775" t="n"/>
      <c r="F765" s="821" t="n"/>
      <c r="G765" s="821" t="n"/>
      <c r="H765" s="818">
        <f>IF(G765=1,F765-I765-J765-K765,IF(G765=2,F765,0))</f>
        <v>0</v>
      </c>
      <c r="I765" s="818">
        <f>ROUND(IF(G765=1,F765*10/23,IF(G765=3,F765-J765-K765,IF(G765=4,F765,IF(G765=5,F765*10/11,IF(G765=7,F765*10/11,0))))),0)</f>
        <v>0</v>
      </c>
      <c r="J765" s="818">
        <f>ROUND(IF(G765=1,F765/23,IF(G765=3,F765/12,IF(G765=5,F765-I765,IF(G765=8,F765,0)))),0)</f>
        <v>0</v>
      </c>
      <c r="K765" s="819">
        <f>ROUND(IF(G765=1,F765/23,IF(G765=3,F765/12,IF(G765=6,F765,IF(G765=7,F765-I765,0)))),0)</f>
        <v>0</v>
      </c>
      <c r="L765" s="820">
        <f>IF(G765=6,F765,0)</f>
        <v>0</v>
      </c>
      <c r="P765" s="768" t="n"/>
      <c r="Q765" s="769" t="str">
        <f>IF($F765="","",IFERROR(VLOOKUP($C765&amp;"|"&amp;$D765,科目表!$A$5:$B$200,2,FALSE),"※未登録"))</f>
        <v/>
      </c>
      <c r="R765" s="769" t="str">
        <f>IF($F765="","",$I765+$J765+$K765)</f>
        <v/>
      </c>
      <c r="S765" s="769" t="str">
        <f>IF(OR($F765="",$P765="支払なし",$H765=0,$Q765=""),"",$Q765&amp;"|S|"&amp;(COUNTIF(S$4:S764,$Q765&amp;"|S|*")+1))</f>
        <v/>
      </c>
      <c r="T765" s="769" t="str">
        <f>IF(OR($F765="",$P765="支払なし",$R765=0,$Q765=""),"",$Q765&amp;"|L|"&amp;(COUNTIF(T$4:T764,$Q765&amp;"|L|*")+1))</f>
        <v/>
      </c>
      <c r="U765" s="769" t="str">
        <f>IF($F765="","",13)</f>
        <v/>
      </c>
    </row>
    <row r="766" ht="16.5" customHeight="1" s="186">
      <c r="A766" s="760" t="n"/>
      <c r="B766" s="760" t="n"/>
      <c r="C766" s="762" t="n"/>
      <c r="D766" s="762" t="n"/>
      <c r="E766" s="775" t="n"/>
      <c r="F766" s="821" t="n"/>
      <c r="G766" s="821" t="n"/>
      <c r="H766" s="818">
        <f>IF(G766=1,F766-I766-J766-K766,IF(G766=2,F766,0))</f>
        <v>0</v>
      </c>
      <c r="I766" s="818">
        <f>ROUND(IF(G766=1,F766*10/23,IF(G766=3,F766-J766-K766,IF(G766=4,F766,IF(G766=5,F766*10/11,IF(G766=7,F766*10/11,0))))),0)</f>
        <v>0</v>
      </c>
      <c r="J766" s="818">
        <f>ROUND(IF(G766=1,F766/23,IF(G766=3,F766/12,IF(G766=5,F766-I766,IF(G766=8,F766,0)))),0)</f>
        <v>0</v>
      </c>
      <c r="K766" s="819">
        <f>ROUND(IF(G766=1,F766/23,IF(G766=3,F766/12,IF(G766=6,F766,IF(G766=7,F766-I766,0)))),0)</f>
        <v>0</v>
      </c>
      <c r="L766" s="820">
        <f>IF(G766=6,F766,0)</f>
        <v>0</v>
      </c>
      <c r="P766" s="768" t="n"/>
      <c r="Q766" s="769" t="str">
        <f>IF($F766="","",IFERROR(VLOOKUP($C766&amp;"|"&amp;$D766,科目表!$A$5:$B$200,2,FALSE),"※未登録"))</f>
        <v/>
      </c>
      <c r="R766" s="769" t="str">
        <f>IF($F766="","",$I766+$J766+$K766)</f>
        <v/>
      </c>
      <c r="S766" s="769" t="str">
        <f>IF(OR($F766="",$P766="支払なし",$H766=0,$Q766=""),"",$Q766&amp;"|S|"&amp;(COUNTIF(S$4:S765,$Q766&amp;"|S|*")+1))</f>
        <v/>
      </c>
      <c r="T766" s="769" t="str">
        <f>IF(OR($F766="",$P766="支払なし",$R766=0,$Q766=""),"",$Q766&amp;"|L|"&amp;(COUNTIF(T$4:T765,$Q766&amp;"|L|*")+1))</f>
        <v/>
      </c>
      <c r="U766" s="769" t="str">
        <f>IF($F766="","",13)</f>
        <v/>
      </c>
    </row>
    <row r="767" ht="16.5" customHeight="1" s="186">
      <c r="A767" s="760" t="n"/>
      <c r="B767" s="760" t="n"/>
      <c r="C767" s="762" t="n"/>
      <c r="D767" s="762" t="n"/>
      <c r="E767" s="775" t="n"/>
      <c r="F767" s="821" t="n"/>
      <c r="G767" s="821" t="n"/>
      <c r="H767" s="818">
        <f>IF(G767=1,F767-I767-J767-K767,IF(G767=2,F767,0))</f>
        <v>0</v>
      </c>
      <c r="I767" s="818">
        <f>ROUND(IF(G767=1,F767*10/23,IF(G767=3,F767-J767-K767,IF(G767=4,F767,IF(G767=5,F767*10/11,IF(G767=7,F767*10/11,0))))),0)</f>
        <v>0</v>
      </c>
      <c r="J767" s="818">
        <f>ROUND(IF(G767=1,F767/23,IF(G767=3,F767/12,IF(G767=5,F767-I767,IF(G767=8,F767,0)))),0)</f>
        <v>0</v>
      </c>
      <c r="K767" s="819">
        <f>ROUND(IF(G767=1,F767/23,IF(G767=3,F767/12,IF(G767=6,F767,IF(G767=7,F767-I767,0)))),0)</f>
        <v>0</v>
      </c>
      <c r="L767" s="820">
        <f>IF(G767=6,F767,0)</f>
        <v>0</v>
      </c>
      <c r="P767" s="768" t="n"/>
      <c r="Q767" s="769" t="str">
        <f>IF($F767="","",IFERROR(VLOOKUP($C767&amp;"|"&amp;$D767,科目表!$A$5:$B$200,2,FALSE),"※未登録"))</f>
        <v/>
      </c>
      <c r="R767" s="769" t="str">
        <f>IF($F767="","",$I767+$J767+$K767)</f>
        <v/>
      </c>
      <c r="S767" s="769" t="str">
        <f>IF(OR($F767="",$P767="支払なし",$H767=0,$Q767=""),"",$Q767&amp;"|S|"&amp;(COUNTIF(S$4:S766,$Q767&amp;"|S|*")+1))</f>
        <v/>
      </c>
      <c r="T767" s="769" t="str">
        <f>IF(OR($F767="",$P767="支払なし",$R767=0,$Q767=""),"",$Q767&amp;"|L|"&amp;(COUNTIF(T$4:T766,$Q767&amp;"|L|*")+1))</f>
        <v/>
      </c>
      <c r="U767" s="769" t="str">
        <f>IF($F767="","",13)</f>
        <v/>
      </c>
    </row>
    <row r="768" ht="16.5" customHeight="1" s="186">
      <c r="A768" s="760" t="n"/>
      <c r="B768" s="760" t="n"/>
      <c r="C768" s="762" t="n"/>
      <c r="D768" s="762" t="n"/>
      <c r="E768" s="775" t="n"/>
      <c r="F768" s="821" t="n"/>
      <c r="G768" s="821" t="n"/>
      <c r="H768" s="818">
        <f>IF(G768=1,F768-I768-J768-K768,IF(G768=2,F768,0))</f>
        <v>0</v>
      </c>
      <c r="I768" s="818">
        <f>ROUND(IF(G768=1,F768*10/23,IF(G768=3,F768-J768-K768,IF(G768=4,F768,IF(G768=5,F768*10/11,IF(G768=7,F768*10/11,0))))),0)</f>
        <v>0</v>
      </c>
      <c r="J768" s="818">
        <f>ROUND(IF(G768=1,F768/23,IF(G768=3,F768/12,IF(G768=5,F768-I768,IF(G768=8,F768,0)))),0)</f>
        <v>0</v>
      </c>
      <c r="K768" s="819">
        <f>ROUND(IF(G768=1,F768/23,IF(G768=3,F768/12,IF(G768=6,F768,IF(G768=7,F768-I768,0)))),0)</f>
        <v>0</v>
      </c>
      <c r="L768" s="820">
        <f>IF(G768=6,F768,0)</f>
        <v>0</v>
      </c>
      <c r="P768" s="768" t="n"/>
      <c r="Q768" s="769" t="str">
        <f>IF($F768="","",IFERROR(VLOOKUP($C768&amp;"|"&amp;$D768,科目表!$A$5:$B$200,2,FALSE),"※未登録"))</f>
        <v/>
      </c>
      <c r="R768" s="769" t="str">
        <f>IF($F768="","",$I768+$J768+$K768)</f>
        <v/>
      </c>
      <c r="S768" s="769" t="str">
        <f>IF(OR($F768="",$P768="支払なし",$H768=0,$Q768=""),"",$Q768&amp;"|S|"&amp;(COUNTIF(S$4:S767,$Q768&amp;"|S|*")+1))</f>
        <v/>
      </c>
      <c r="T768" s="769" t="str">
        <f>IF(OR($F768="",$P768="支払なし",$R768=0,$Q768=""),"",$Q768&amp;"|L|"&amp;(COUNTIF(T$4:T767,$Q768&amp;"|L|*")+1))</f>
        <v/>
      </c>
      <c r="U768" s="769" t="str">
        <f>IF($F768="","",13)</f>
        <v/>
      </c>
    </row>
    <row r="769" ht="16.5" customHeight="1" s="186">
      <c r="A769" s="760" t="n"/>
      <c r="B769" s="760" t="n"/>
      <c r="C769" s="762" t="n"/>
      <c r="D769" s="762" t="n"/>
      <c r="E769" s="775" t="n"/>
      <c r="F769" s="821" t="n"/>
      <c r="G769" s="821" t="n"/>
      <c r="H769" s="818">
        <f>IF(G769=1,F769-I769-J769-K769,IF(G769=2,F769,0))</f>
        <v>0</v>
      </c>
      <c r="I769" s="818">
        <f>ROUND(IF(G769=1,F769*10/23,IF(G769=3,F769-J769-K769,IF(G769=4,F769,IF(G769=5,F769*10/11,IF(G769=7,F769*10/11,0))))),0)</f>
        <v>0</v>
      </c>
      <c r="J769" s="818">
        <f>ROUND(IF(G769=1,F769/23,IF(G769=3,F769/12,IF(G769=5,F769-I769,IF(G769=8,F769,0)))),0)</f>
        <v>0</v>
      </c>
      <c r="K769" s="819">
        <f>ROUND(IF(G769=1,F769/23,IF(G769=3,F769/12,IF(G769=6,F769,IF(G769=7,F769-I769,0)))),0)</f>
        <v>0</v>
      </c>
      <c r="L769" s="820">
        <f>IF(G769=6,F769,0)</f>
        <v>0</v>
      </c>
      <c r="P769" s="768" t="n"/>
      <c r="Q769" s="769" t="str">
        <f>IF($F769="","",IFERROR(VLOOKUP($C769&amp;"|"&amp;$D769,科目表!$A$5:$B$200,2,FALSE),"※未登録"))</f>
        <v/>
      </c>
      <c r="R769" s="769" t="str">
        <f>IF($F769="","",$I769+$J769+$K769)</f>
        <v/>
      </c>
      <c r="S769" s="769" t="str">
        <f>IF(OR($F769="",$P769="支払なし",$H769=0,$Q769=""),"",$Q769&amp;"|S|"&amp;(COUNTIF(S$4:S768,$Q769&amp;"|S|*")+1))</f>
        <v/>
      </c>
      <c r="T769" s="769" t="str">
        <f>IF(OR($F769="",$P769="支払なし",$R769=0,$Q769=""),"",$Q769&amp;"|L|"&amp;(COUNTIF(T$4:T768,$Q769&amp;"|L|*")+1))</f>
        <v/>
      </c>
      <c r="U769" s="769" t="str">
        <f>IF($F769="","",13)</f>
        <v/>
      </c>
    </row>
    <row r="770" ht="16.5" customHeight="1" s="186">
      <c r="A770" s="760" t="n"/>
      <c r="B770" s="760" t="n"/>
      <c r="C770" s="762" t="n"/>
      <c r="D770" s="762" t="n"/>
      <c r="E770" s="775" t="n"/>
      <c r="F770" s="821" t="n"/>
      <c r="G770" s="821" t="n"/>
      <c r="H770" s="818">
        <f>IF(G770=1,F770-I770-J770-K770,IF(G770=2,F770,0))</f>
        <v>0</v>
      </c>
      <c r="I770" s="818">
        <f>ROUND(IF(G770=1,F770*10/23,IF(G770=3,F770-J770-K770,IF(G770=4,F770,IF(G770=5,F770*10/11,IF(G770=7,F770*10/11,0))))),0)</f>
        <v>0</v>
      </c>
      <c r="J770" s="818">
        <f>ROUND(IF(G770=1,F770/23,IF(G770=3,F770/12,IF(G770=5,F770-I770,IF(G770=8,F770,0)))),0)</f>
        <v>0</v>
      </c>
      <c r="K770" s="819">
        <f>ROUND(IF(G770=1,F770/23,IF(G770=3,F770/12,IF(G770=6,F770,IF(G770=7,F770-I770,0)))),0)</f>
        <v>0</v>
      </c>
      <c r="L770" s="820">
        <f>IF(G770=6,F770,0)</f>
        <v>0</v>
      </c>
      <c r="P770" s="768" t="n"/>
      <c r="Q770" s="769" t="str">
        <f>IF($F770="","",IFERROR(VLOOKUP($C770&amp;"|"&amp;$D770,科目表!$A$5:$B$200,2,FALSE),"※未登録"))</f>
        <v/>
      </c>
      <c r="R770" s="769" t="str">
        <f>IF($F770="","",$I770+$J770+$K770)</f>
        <v/>
      </c>
      <c r="S770" s="769" t="str">
        <f>IF(OR($F770="",$P770="支払なし",$H770=0,$Q770=""),"",$Q770&amp;"|S|"&amp;(COUNTIF(S$4:S769,$Q770&amp;"|S|*")+1))</f>
        <v/>
      </c>
      <c r="T770" s="769" t="str">
        <f>IF(OR($F770="",$P770="支払なし",$R770=0,$Q770=""),"",$Q770&amp;"|L|"&amp;(COUNTIF(T$4:T769,$Q770&amp;"|L|*")+1))</f>
        <v/>
      </c>
      <c r="U770" s="769" t="str">
        <f>IF($F770="","",13)</f>
        <v/>
      </c>
    </row>
    <row r="771" ht="16.5" customHeight="1" s="186">
      <c r="A771" s="760" t="n"/>
      <c r="B771" s="760" t="n"/>
      <c r="C771" s="762" t="n"/>
      <c r="D771" s="762" t="n"/>
      <c r="E771" s="775" t="n"/>
      <c r="F771" s="821" t="n"/>
      <c r="G771" s="821" t="n"/>
      <c r="H771" s="818">
        <f>IF(G771=1,F771-I771-J771-K771,IF(G771=2,F771,0))</f>
        <v>0</v>
      </c>
      <c r="I771" s="818">
        <f>ROUND(IF(G771=1,F771*10/23,IF(G771=3,F771-J771-K771,IF(G771=4,F771,IF(G771=5,F771*10/11,IF(G771=7,F771*10/11,0))))),0)</f>
        <v>0</v>
      </c>
      <c r="J771" s="818">
        <f>ROUND(IF(G771=1,F771/23,IF(G771=3,F771/12,IF(G771=5,F771-I771,IF(G771=8,F771,0)))),0)</f>
        <v>0</v>
      </c>
      <c r="K771" s="819">
        <f>ROUND(IF(G771=1,F771/23,IF(G771=3,F771/12,IF(G771=6,F771,IF(G771=7,F771-I771,0)))),0)</f>
        <v>0</v>
      </c>
      <c r="L771" s="820">
        <f>IF(G771=6,F771,0)</f>
        <v>0</v>
      </c>
      <c r="P771" s="768" t="n"/>
      <c r="Q771" s="769" t="str">
        <f>IF($F771="","",IFERROR(VLOOKUP($C771&amp;"|"&amp;$D771,科目表!$A$5:$B$200,2,FALSE),"※未登録"))</f>
        <v/>
      </c>
      <c r="R771" s="769" t="str">
        <f>IF($F771="","",$I771+$J771+$K771)</f>
        <v/>
      </c>
      <c r="S771" s="769" t="str">
        <f>IF(OR($F771="",$P771="支払なし",$H771=0,$Q771=""),"",$Q771&amp;"|S|"&amp;(COUNTIF(S$4:S770,$Q771&amp;"|S|*")+1))</f>
        <v/>
      </c>
      <c r="T771" s="769" t="str">
        <f>IF(OR($F771="",$P771="支払なし",$R771=0,$Q771=""),"",$Q771&amp;"|L|"&amp;(COUNTIF(T$4:T770,$Q771&amp;"|L|*")+1))</f>
        <v/>
      </c>
      <c r="U771" s="769" t="str">
        <f>IF($F771="","",13)</f>
        <v/>
      </c>
    </row>
    <row r="772" ht="16.5" customHeight="1" s="186">
      <c r="A772" s="760" t="n"/>
      <c r="B772" s="760" t="n"/>
      <c r="C772" s="762" t="n"/>
      <c r="D772" s="762" t="n"/>
      <c r="E772" s="775" t="n"/>
      <c r="F772" s="821" t="n"/>
      <c r="G772" s="821" t="n"/>
      <c r="H772" s="818">
        <f>IF(G772=1,F772-I772-J772-K772,IF(G772=2,F772,0))</f>
        <v>0</v>
      </c>
      <c r="I772" s="818">
        <f>ROUND(IF(G772=1,F772*10/23,IF(G772=3,F772-J772-K772,IF(G772=4,F772,IF(G772=5,F772*10/11,IF(G772=7,F772*10/11,0))))),0)</f>
        <v>0</v>
      </c>
      <c r="J772" s="818">
        <f>ROUND(IF(G772=1,F772/23,IF(G772=3,F772/12,IF(G772=5,F772-I772,IF(G772=8,F772,0)))),0)</f>
        <v>0</v>
      </c>
      <c r="K772" s="819">
        <f>ROUND(IF(G772=1,F772/23,IF(G772=3,F772/12,IF(G772=6,F772,IF(G772=7,F772-I772,0)))),0)</f>
        <v>0</v>
      </c>
      <c r="L772" s="820">
        <f>IF(G772=6,F772,0)</f>
        <v>0</v>
      </c>
      <c r="P772" s="768" t="n"/>
      <c r="Q772" s="769" t="str">
        <f>IF($F772="","",IFERROR(VLOOKUP($C772&amp;"|"&amp;$D772,科目表!$A$5:$B$200,2,FALSE),"※未登録"))</f>
        <v/>
      </c>
      <c r="R772" s="769" t="str">
        <f>IF($F772="","",$I772+$J772+$K772)</f>
        <v/>
      </c>
      <c r="S772" s="769" t="str">
        <f>IF(OR($F772="",$P772="支払なし",$H772=0,$Q772=""),"",$Q772&amp;"|S|"&amp;(COUNTIF(S$4:S771,$Q772&amp;"|S|*")+1))</f>
        <v/>
      </c>
      <c r="T772" s="769" t="str">
        <f>IF(OR($F772="",$P772="支払なし",$R772=0,$Q772=""),"",$Q772&amp;"|L|"&amp;(COUNTIF(T$4:T771,$Q772&amp;"|L|*")+1))</f>
        <v/>
      </c>
      <c r="U772" s="769" t="str">
        <f>IF($F772="","",13)</f>
        <v/>
      </c>
    </row>
    <row r="773" ht="16.5" customHeight="1" s="186">
      <c r="A773" s="760" t="n"/>
      <c r="B773" s="760" t="n"/>
      <c r="C773" s="762" t="n"/>
      <c r="D773" s="762" t="n"/>
      <c r="E773" s="775" t="n"/>
      <c r="F773" s="821" t="n"/>
      <c r="G773" s="821" t="n"/>
      <c r="H773" s="818">
        <f>IF(G773=1,F773-I773-J773-K773,IF(G773=2,F773,0))</f>
        <v>0</v>
      </c>
      <c r="I773" s="818">
        <f>ROUND(IF(G773=1,F773*10/23,IF(G773=3,F773-J773-K773,IF(G773=4,F773,IF(G773=5,F773*10/11,IF(G773=7,F773*10/11,0))))),0)</f>
        <v>0</v>
      </c>
      <c r="J773" s="818">
        <f>ROUND(IF(G773=1,F773/23,IF(G773=3,F773/12,IF(G773=5,F773-I773,IF(G773=8,F773,0)))),0)</f>
        <v>0</v>
      </c>
      <c r="K773" s="819">
        <f>ROUND(IF(G773=1,F773/23,IF(G773=3,F773/12,IF(G773=6,F773,IF(G773=7,F773-I773,0)))),0)</f>
        <v>0</v>
      </c>
      <c r="L773" s="820">
        <f>IF(G773=6,F773,0)</f>
        <v>0</v>
      </c>
      <c r="P773" s="768" t="n"/>
      <c r="Q773" s="769" t="str">
        <f>IF($F773="","",IFERROR(VLOOKUP($C773&amp;"|"&amp;$D773,科目表!$A$5:$B$200,2,FALSE),"※未登録"))</f>
        <v/>
      </c>
      <c r="R773" s="769" t="str">
        <f>IF($F773="","",$I773+$J773+$K773)</f>
        <v/>
      </c>
      <c r="S773" s="769" t="str">
        <f>IF(OR($F773="",$P773="支払なし",$H773=0,$Q773=""),"",$Q773&amp;"|S|"&amp;(COUNTIF(S$4:S772,$Q773&amp;"|S|*")+1))</f>
        <v/>
      </c>
      <c r="T773" s="769" t="str">
        <f>IF(OR($F773="",$P773="支払なし",$R773=0,$Q773=""),"",$Q773&amp;"|L|"&amp;(COUNTIF(T$4:T772,$Q773&amp;"|L|*")+1))</f>
        <v/>
      </c>
      <c r="U773" s="769" t="str">
        <f>IF($F773="","",13)</f>
        <v/>
      </c>
    </row>
    <row r="774" ht="16.5" customHeight="1" s="186">
      <c r="A774" s="760" t="n"/>
      <c r="B774" s="760" t="n"/>
      <c r="C774" s="762" t="n"/>
      <c r="D774" s="762" t="n"/>
      <c r="E774" s="762" t="n"/>
      <c r="F774" s="821" t="n"/>
      <c r="G774" s="821" t="n"/>
      <c r="H774" s="818">
        <f>IF(G774=1,F774-I774-J774-K774,IF(G774=2,F774,0))</f>
        <v>0</v>
      </c>
      <c r="I774" s="818">
        <f>ROUND(IF(G774=1,F774*10/23,IF(G774=3,F774-J774-K774,IF(G774=4,F774,IF(G774=5,F774*10/11,IF(G774=7,F774*10/11,0))))),0)</f>
        <v>0</v>
      </c>
      <c r="J774" s="818">
        <f>ROUND(IF(G774=1,F774/23,IF(G774=3,F774/12,IF(G774=5,F774-I774,IF(G774=8,F774,0)))),0)</f>
        <v>0</v>
      </c>
      <c r="K774" s="819">
        <f>ROUND(IF(G774=1,F774/23,IF(G774=3,F774/12,IF(G774=6,F774,IF(G774=7,F774-I774,0)))),0)</f>
        <v>0</v>
      </c>
      <c r="L774" s="820">
        <f>IF(G774=6,F774,0)</f>
        <v>0</v>
      </c>
      <c r="P774" s="768" t="n"/>
      <c r="Q774" s="769" t="str">
        <f>IF($F774="","",IFERROR(VLOOKUP($C774&amp;"|"&amp;$D774,科目表!$A$5:$B$200,2,FALSE),"※未登録"))</f>
        <v/>
      </c>
      <c r="R774" s="769" t="str">
        <f>IF($F774="","",$I774+$J774+$K774)</f>
        <v/>
      </c>
      <c r="S774" s="769" t="str">
        <f>IF(OR($F774="",$P774="支払なし",$H774=0,$Q774=""),"",$Q774&amp;"|S|"&amp;(COUNTIF(S$4:S773,$Q774&amp;"|S|*")+1))</f>
        <v/>
      </c>
      <c r="T774" s="769" t="str">
        <f>IF(OR($F774="",$P774="支払なし",$R774=0,$Q774=""),"",$Q774&amp;"|L|"&amp;(COUNTIF(T$4:T773,$Q774&amp;"|L|*")+1))</f>
        <v/>
      </c>
      <c r="U774" s="769" t="str">
        <f>IF($F774="","",13)</f>
        <v/>
      </c>
    </row>
    <row r="775" ht="16.5" customHeight="1" s="186">
      <c r="A775" s="760" t="n"/>
      <c r="B775" s="760" t="n"/>
      <c r="C775" s="762" t="n"/>
      <c r="D775" s="762" t="n"/>
      <c r="E775" s="775" t="n"/>
      <c r="F775" s="821" t="n"/>
      <c r="G775" s="821" t="n"/>
      <c r="H775" s="818">
        <f>IF(G775=1,F775-I775-J775-K775,IF(G775=2,F775,0))</f>
        <v>0</v>
      </c>
      <c r="I775" s="818">
        <f>ROUND(IF(G775=1,F775*10/23,IF(G775=3,F775-J775-K775,IF(G775=4,F775,IF(G775=5,F775*10/11,IF(G775=7,F775*10/11,0))))),0)</f>
        <v>0</v>
      </c>
      <c r="J775" s="818">
        <f>ROUND(IF(G775=1,F775/23,IF(G775=3,F775/12,IF(G775=5,F775-I775,IF(G775=8,F775,0)))),0)</f>
        <v>0</v>
      </c>
      <c r="K775" s="819">
        <f>ROUND(IF(G775=1,F775/23,IF(G775=3,F775/12,IF(G775=6,F775,IF(G775=7,F775-I775,0)))),0)</f>
        <v>0</v>
      </c>
      <c r="L775" s="820">
        <f>IF(G775=6,F775,0)</f>
        <v>0</v>
      </c>
      <c r="P775" s="768" t="n"/>
      <c r="Q775" s="769" t="str">
        <f>IF($F775="","",IFERROR(VLOOKUP($C775&amp;"|"&amp;$D775,科目表!$A$5:$B$200,2,FALSE),"※未登録"))</f>
        <v/>
      </c>
      <c r="R775" s="769" t="str">
        <f>IF($F775="","",$I775+$J775+$K775)</f>
        <v/>
      </c>
      <c r="S775" s="769" t="str">
        <f>IF(OR($F775="",$P775="支払なし",$H775=0,$Q775=""),"",$Q775&amp;"|S|"&amp;(COUNTIF(S$4:S774,$Q775&amp;"|S|*")+1))</f>
        <v/>
      </c>
      <c r="T775" s="769" t="str">
        <f>IF(OR($F775="",$P775="支払なし",$R775=0,$Q775=""),"",$Q775&amp;"|L|"&amp;(COUNTIF(T$4:T774,$Q775&amp;"|L|*")+1))</f>
        <v/>
      </c>
      <c r="U775" s="769" t="str">
        <f>IF($F775="","",13)</f>
        <v/>
      </c>
    </row>
    <row r="776" ht="16.5" customHeight="1" s="186">
      <c r="A776" s="760" t="n"/>
      <c r="B776" s="760" t="n"/>
      <c r="C776" s="762" t="n"/>
      <c r="D776" s="762" t="n"/>
      <c r="E776" s="775" t="n"/>
      <c r="F776" s="821" t="n"/>
      <c r="G776" s="821" t="n"/>
      <c r="H776" s="818">
        <f>IF(G776=1,F776-I776-J776-K776,IF(G776=2,F776,0))</f>
        <v>0</v>
      </c>
      <c r="I776" s="818">
        <f>ROUND(IF(G776=1,F776*10/23,IF(G776=3,F776-J776-K776,IF(G776=4,F776,IF(G776=5,F776*10/11,IF(G776=7,F776*10/11,0))))),0)</f>
        <v>0</v>
      </c>
      <c r="J776" s="818">
        <f>ROUND(IF(G776=1,F776/23,IF(G776=3,F776/12,IF(G776=5,F776-I776,IF(G776=8,F776,0)))),0)</f>
        <v>0</v>
      </c>
      <c r="K776" s="819">
        <f>ROUND(IF(G776=1,F776/23,IF(G776=3,F776/12,IF(G776=6,F776,IF(G776=7,F776-I776,0)))),0)</f>
        <v>0</v>
      </c>
      <c r="L776" s="820">
        <f>IF(G776=6,F776,0)</f>
        <v>0</v>
      </c>
      <c r="P776" s="768" t="n"/>
      <c r="Q776" s="769" t="str">
        <f>IF($F776="","",IFERROR(VLOOKUP($C776&amp;"|"&amp;$D776,科目表!$A$5:$B$200,2,FALSE),"※未登録"))</f>
        <v/>
      </c>
      <c r="R776" s="769" t="str">
        <f>IF($F776="","",$I776+$J776+$K776)</f>
        <v/>
      </c>
      <c r="S776" s="769" t="str">
        <f>IF(OR($F776="",$P776="支払なし",$H776=0,$Q776=""),"",$Q776&amp;"|S|"&amp;(COUNTIF(S$4:S775,$Q776&amp;"|S|*")+1))</f>
        <v/>
      </c>
      <c r="T776" s="769" t="str">
        <f>IF(OR($F776="",$P776="支払なし",$R776=0,$Q776=""),"",$Q776&amp;"|L|"&amp;(COUNTIF(T$4:T775,$Q776&amp;"|L|*")+1))</f>
        <v/>
      </c>
      <c r="U776" s="769" t="str">
        <f>IF($F776="","",13)</f>
        <v/>
      </c>
    </row>
    <row r="777" ht="16.5" customHeight="1" s="186">
      <c r="A777" s="760" t="n"/>
      <c r="B777" s="760" t="n"/>
      <c r="C777" s="762" t="n"/>
      <c r="D777" s="762" t="n"/>
      <c r="E777" s="775" t="n"/>
      <c r="F777" s="821" t="n"/>
      <c r="G777" s="821" t="n"/>
      <c r="H777" s="818">
        <f>IF(G777=1,F777-I777-J777-K777,IF(G777=2,F777,0))</f>
        <v>0</v>
      </c>
      <c r="I777" s="818">
        <f>ROUND(IF(G777=1,F777*10/23,IF(G777=3,F777-J777-K777,IF(G777=4,F777,IF(G777=5,F777*10/11,IF(G777=7,F777*10/11,0))))),0)</f>
        <v>0</v>
      </c>
      <c r="J777" s="818">
        <f>ROUND(IF(G777=1,F777/23,IF(G777=3,F777/12,IF(G777=5,F777-I777,IF(G777=8,F777,0)))),0)</f>
        <v>0</v>
      </c>
      <c r="K777" s="819">
        <f>ROUND(IF(G777=1,F777/23,IF(G777=3,F777/12,IF(G777=6,F777,IF(G777=7,F777-I777,0)))),0)</f>
        <v>0</v>
      </c>
      <c r="L777" s="820">
        <f>IF(G777=6,F777,0)</f>
        <v>0</v>
      </c>
      <c r="P777" s="768" t="n"/>
      <c r="Q777" s="769" t="str">
        <f>IF($F777="","",IFERROR(VLOOKUP($C777&amp;"|"&amp;$D777,科目表!$A$5:$B$200,2,FALSE),"※未登録"))</f>
        <v/>
      </c>
      <c r="R777" s="769" t="str">
        <f>IF($F777="","",$I777+$J777+$K777)</f>
        <v/>
      </c>
      <c r="S777" s="769" t="str">
        <f>IF(OR($F777="",$P777="支払なし",$H777=0,$Q777=""),"",$Q777&amp;"|S|"&amp;(COUNTIF(S$4:S776,$Q777&amp;"|S|*")+1))</f>
        <v/>
      </c>
      <c r="T777" s="769" t="str">
        <f>IF(OR($F777="",$P777="支払なし",$R777=0,$Q777=""),"",$Q777&amp;"|L|"&amp;(COUNTIF(T$4:T776,$Q777&amp;"|L|*")+1))</f>
        <v/>
      </c>
      <c r="U777" s="769" t="str">
        <f>IF($F777="","",13)</f>
        <v/>
      </c>
    </row>
    <row r="778" ht="16.5" customHeight="1" s="186">
      <c r="A778" s="760" t="n"/>
      <c r="B778" s="760" t="n"/>
      <c r="C778" s="762" t="n"/>
      <c r="D778" s="762" t="n"/>
      <c r="E778" s="775" t="n"/>
      <c r="F778" s="821" t="n"/>
      <c r="G778" s="821" t="n"/>
      <c r="H778" s="818">
        <f>IF(G778=1,F778-I778-J778-K778,IF(G778=2,F778,0))</f>
        <v>0</v>
      </c>
      <c r="I778" s="818">
        <f>ROUND(IF(G778=1,F778*10/23,IF(G778=3,F778-J778-K778,IF(G778=4,F778,IF(G778=5,F778*10/11,IF(G778=7,F778*10/11,0))))),0)</f>
        <v>0</v>
      </c>
      <c r="J778" s="818">
        <f>ROUND(IF(G778=1,F778/23,IF(G778=3,F778/12,IF(G778=5,F778-I778,IF(G778=8,F778,0)))),0)</f>
        <v>0</v>
      </c>
      <c r="K778" s="819">
        <f>ROUND(IF(G778=1,F778/23,IF(G778=3,F778/12,IF(G778=6,F778,IF(G778=7,F778-I778,0)))),0)</f>
        <v>0</v>
      </c>
      <c r="L778" s="820">
        <f>IF(G778=6,F778,0)</f>
        <v>0</v>
      </c>
      <c r="P778" s="768" t="n"/>
      <c r="Q778" s="769" t="str">
        <f>IF($F778="","",IFERROR(VLOOKUP($C778&amp;"|"&amp;$D778,科目表!$A$5:$B$200,2,FALSE),"※未登録"))</f>
        <v/>
      </c>
      <c r="R778" s="769" t="str">
        <f>IF($F778="","",$I778+$J778+$K778)</f>
        <v/>
      </c>
      <c r="S778" s="769" t="str">
        <f>IF(OR($F778="",$P778="支払なし",$H778=0,$Q778=""),"",$Q778&amp;"|S|"&amp;(COUNTIF(S$4:S777,$Q778&amp;"|S|*")+1))</f>
        <v/>
      </c>
      <c r="T778" s="769" t="str">
        <f>IF(OR($F778="",$P778="支払なし",$R778=0,$Q778=""),"",$Q778&amp;"|L|"&amp;(COUNTIF(T$4:T777,$Q778&amp;"|L|*")+1))</f>
        <v/>
      </c>
      <c r="U778" s="769" t="str">
        <f>IF($F778="","",13)</f>
        <v/>
      </c>
    </row>
    <row r="779" ht="16.5" customHeight="1" s="186">
      <c r="A779" s="760" t="n"/>
      <c r="B779" s="760" t="n"/>
      <c r="C779" s="762" t="n"/>
      <c r="D779" s="762" t="n"/>
      <c r="E779" s="775" t="n"/>
      <c r="F779" s="821" t="n"/>
      <c r="G779" s="821" t="n"/>
      <c r="H779" s="818">
        <f>IF(G779=1,F779-I779-J779-K779,IF(G779=2,F779,0))</f>
        <v>0</v>
      </c>
      <c r="I779" s="818">
        <f>ROUND(IF(G779=1,F779*10/23,IF(G779=3,F779-J779-K779,IF(G779=4,F779,IF(G779=5,F779*10/11,IF(G779=7,F779*10/11,0))))),0)</f>
        <v>0</v>
      </c>
      <c r="J779" s="818">
        <f>ROUND(IF(G779=1,F779/23,IF(G779=3,F779/12,IF(G779=5,F779-I779,IF(G779=8,F779,0)))),0)</f>
        <v>0</v>
      </c>
      <c r="K779" s="819">
        <f>ROUND(IF(G779=1,F779/23,IF(G779=3,F779/12,IF(G779=6,F779,IF(G779=7,F779-I779,0)))),0)</f>
        <v>0</v>
      </c>
      <c r="L779" s="820">
        <f>IF(G779=6,F779,0)</f>
        <v>0</v>
      </c>
      <c r="P779" s="768" t="n"/>
      <c r="Q779" s="769" t="str">
        <f>IF($F779="","",IFERROR(VLOOKUP($C779&amp;"|"&amp;$D779,科目表!$A$5:$B$200,2,FALSE),"※未登録"))</f>
        <v/>
      </c>
      <c r="R779" s="769" t="str">
        <f>IF($F779="","",$I779+$J779+$K779)</f>
        <v/>
      </c>
      <c r="S779" s="769" t="str">
        <f>IF(OR($F779="",$P779="支払なし",$H779=0,$Q779=""),"",$Q779&amp;"|S|"&amp;(COUNTIF(S$4:S778,$Q779&amp;"|S|*")+1))</f>
        <v/>
      </c>
      <c r="T779" s="769" t="str">
        <f>IF(OR($F779="",$P779="支払なし",$R779=0,$Q779=""),"",$Q779&amp;"|L|"&amp;(COUNTIF(T$4:T778,$Q779&amp;"|L|*")+1))</f>
        <v/>
      </c>
      <c r="U779" s="769" t="str">
        <f>IF($F779="","",13)</f>
        <v/>
      </c>
    </row>
    <row r="780" ht="16.5" customHeight="1" s="186">
      <c r="A780" s="760" t="n"/>
      <c r="B780" s="760" t="n"/>
      <c r="C780" s="762" t="n"/>
      <c r="D780" s="762" t="n"/>
      <c r="E780" s="775" t="n"/>
      <c r="F780" s="821" t="n"/>
      <c r="G780" s="821" t="n"/>
      <c r="H780" s="818">
        <f>IF(G780=1,F780-I780-J780-K780,IF(G780=2,F780,0))</f>
        <v>0</v>
      </c>
      <c r="I780" s="818">
        <f>ROUND(IF(G780=1,F780*10/23,IF(G780=3,F780-J780-K780,IF(G780=4,F780,IF(G780=5,F780*10/11,IF(G780=7,F780*10/11,0))))),0)</f>
        <v>0</v>
      </c>
      <c r="J780" s="818">
        <f>ROUND(IF(G780=1,F780/23,IF(G780=3,F780/12,IF(G780=5,F780-I780,IF(G780=8,F780,0)))),0)</f>
        <v>0</v>
      </c>
      <c r="K780" s="819">
        <f>ROUND(IF(G780=1,F780/23,IF(G780=3,F780/12,IF(G780=6,F780,IF(G780=7,F780-I780,0)))),0)</f>
        <v>0</v>
      </c>
      <c r="L780" s="820">
        <f>IF(G780=6,F780,0)</f>
        <v>0</v>
      </c>
      <c r="P780" s="768" t="n"/>
      <c r="Q780" s="769" t="str">
        <f>IF($F780="","",IFERROR(VLOOKUP($C780&amp;"|"&amp;$D780,科目表!$A$5:$B$200,2,FALSE),"※未登録"))</f>
        <v/>
      </c>
      <c r="R780" s="769" t="str">
        <f>IF($F780="","",$I780+$J780+$K780)</f>
        <v/>
      </c>
      <c r="S780" s="769" t="str">
        <f>IF(OR($F780="",$P780="支払なし",$H780=0,$Q780=""),"",$Q780&amp;"|S|"&amp;(COUNTIF(S$4:S779,$Q780&amp;"|S|*")+1))</f>
        <v/>
      </c>
      <c r="T780" s="769" t="str">
        <f>IF(OR($F780="",$P780="支払なし",$R780=0,$Q780=""),"",$Q780&amp;"|L|"&amp;(COUNTIF(T$4:T779,$Q780&amp;"|L|*")+1))</f>
        <v/>
      </c>
      <c r="U780" s="769" t="str">
        <f>IF($F780="","",13)</f>
        <v/>
      </c>
    </row>
    <row r="781" ht="16.5" customHeight="1" s="186">
      <c r="A781" s="760" t="n"/>
      <c r="B781" s="760" t="n"/>
      <c r="C781" s="762" t="n"/>
      <c r="D781" s="762" t="n"/>
      <c r="E781" s="775" t="n"/>
      <c r="F781" s="821" t="n"/>
      <c r="G781" s="821" t="n"/>
      <c r="H781" s="818">
        <f>IF(G781=1,F781-I781-J781-K781,IF(G781=2,F781,0))</f>
        <v>0</v>
      </c>
      <c r="I781" s="818">
        <f>ROUND(IF(G781=1,F781*10/23,IF(G781=3,F781-J781-K781,IF(G781=4,F781,IF(G781=5,F781*10/11,IF(G781=7,F781*10/11,0))))),0)</f>
        <v>0</v>
      </c>
      <c r="J781" s="818">
        <f>ROUND(IF(G781=1,F781/23,IF(G781=3,F781/12,IF(G781=5,F781-I781,IF(G781=8,F781,0)))),0)</f>
        <v>0</v>
      </c>
      <c r="K781" s="819">
        <f>ROUND(IF(G781=1,F781/23,IF(G781=3,F781/12,IF(G781=6,F781,IF(G781=7,F781-I781,0)))),0)</f>
        <v>0</v>
      </c>
      <c r="L781" s="820">
        <f>IF(G781=6,F781,0)</f>
        <v>0</v>
      </c>
      <c r="P781" s="768" t="n"/>
      <c r="Q781" s="769" t="str">
        <f>IF($F781="","",IFERROR(VLOOKUP($C781&amp;"|"&amp;$D781,科目表!$A$5:$B$200,2,FALSE),"※未登録"))</f>
        <v/>
      </c>
      <c r="R781" s="769" t="str">
        <f>IF($F781="","",$I781+$J781+$K781)</f>
        <v/>
      </c>
      <c r="S781" s="769" t="str">
        <f>IF(OR($F781="",$P781="支払なし",$H781=0,$Q781=""),"",$Q781&amp;"|S|"&amp;(COUNTIF(S$4:S780,$Q781&amp;"|S|*")+1))</f>
        <v/>
      </c>
      <c r="T781" s="769" t="str">
        <f>IF(OR($F781="",$P781="支払なし",$R781=0,$Q781=""),"",$Q781&amp;"|L|"&amp;(COUNTIF(T$4:T780,$Q781&amp;"|L|*")+1))</f>
        <v/>
      </c>
      <c r="U781" s="769" t="str">
        <f>IF($F781="","",13)</f>
        <v/>
      </c>
    </row>
    <row r="782" ht="16.5" customHeight="1" s="186">
      <c r="A782" s="760" t="n"/>
      <c r="B782" s="760" t="n"/>
      <c r="C782" s="762" t="n"/>
      <c r="D782" s="762" t="n"/>
      <c r="E782" s="775" t="n"/>
      <c r="F782" s="821" t="n"/>
      <c r="G782" s="821" t="n"/>
      <c r="H782" s="818">
        <f>IF(G782=1,F782-I782-J782-K782,IF(G782=2,F782,0))</f>
        <v>0</v>
      </c>
      <c r="I782" s="818">
        <f>ROUND(IF(G782=1,F782*10/23,IF(G782=3,F782-J782-K782,IF(G782=4,F782,IF(G782=5,F782*10/11,IF(G782=7,F782*10/11,0))))),0)</f>
        <v>0</v>
      </c>
      <c r="J782" s="818">
        <f>ROUND(IF(G782=1,F782/23,IF(G782=3,F782/12,IF(G782=5,F782-I782,IF(G782=8,F782,0)))),0)</f>
        <v>0</v>
      </c>
      <c r="K782" s="819">
        <f>ROUND(IF(G782=1,F782/23,IF(G782=3,F782/12,IF(G782=6,F782,IF(G782=7,F782-I782,0)))),0)</f>
        <v>0</v>
      </c>
      <c r="L782" s="820">
        <f>IF(G782=6,F782,0)</f>
        <v>0</v>
      </c>
      <c r="P782" s="768" t="n"/>
      <c r="Q782" s="769" t="str">
        <f>IF($F782="","",IFERROR(VLOOKUP($C782&amp;"|"&amp;$D782,科目表!$A$5:$B$200,2,FALSE),"※未登録"))</f>
        <v/>
      </c>
      <c r="R782" s="769" t="str">
        <f>IF($F782="","",$I782+$J782+$K782)</f>
        <v/>
      </c>
      <c r="S782" s="769" t="str">
        <f>IF(OR($F782="",$P782="支払なし",$H782=0,$Q782=""),"",$Q782&amp;"|S|"&amp;(COUNTIF(S$4:S781,$Q782&amp;"|S|*")+1))</f>
        <v/>
      </c>
      <c r="T782" s="769" t="str">
        <f>IF(OR($F782="",$P782="支払なし",$R782=0,$Q782=""),"",$Q782&amp;"|L|"&amp;(COUNTIF(T$4:T781,$Q782&amp;"|L|*")+1))</f>
        <v/>
      </c>
      <c r="U782" s="769" t="str">
        <f>IF($F782="","",13)</f>
        <v/>
      </c>
    </row>
    <row r="783" ht="16.5" customHeight="1" s="186">
      <c r="A783" s="760" t="n"/>
      <c r="B783" s="760" t="n"/>
      <c r="C783" s="762" t="n"/>
      <c r="D783" s="762" t="n"/>
      <c r="E783" s="775" t="n"/>
      <c r="F783" s="821" t="n"/>
      <c r="G783" s="821" t="n"/>
      <c r="H783" s="818">
        <f>IF(G783=1,F783-I783-J783-K783,IF(G783=2,F783,0))</f>
        <v>0</v>
      </c>
      <c r="I783" s="818">
        <f>ROUND(IF(G783=1,F783*10/23,IF(G783=3,F783-J783-K783,IF(G783=4,F783,IF(G783=5,F783*10/11,IF(G783=7,F783*10/11,0))))),0)</f>
        <v>0</v>
      </c>
      <c r="J783" s="818">
        <f>ROUND(IF(G783=1,F783/23,IF(G783=3,F783/12,IF(G783=5,F783-I783,IF(G783=8,F783,0)))),0)</f>
        <v>0</v>
      </c>
      <c r="K783" s="819">
        <f>ROUND(IF(G783=1,F783/23,IF(G783=3,F783/12,IF(G783=6,F783,IF(G783=7,F783-I783,0)))),0)</f>
        <v>0</v>
      </c>
      <c r="L783" s="820">
        <f>IF(G783=6,F783,0)</f>
        <v>0</v>
      </c>
      <c r="P783" s="768" t="n"/>
      <c r="Q783" s="769" t="str">
        <f>IF($F783="","",IFERROR(VLOOKUP($C783&amp;"|"&amp;$D783,科目表!$A$5:$B$200,2,FALSE),"※未登録"))</f>
        <v/>
      </c>
      <c r="R783" s="769" t="str">
        <f>IF($F783="","",$I783+$J783+$K783)</f>
        <v/>
      </c>
      <c r="S783" s="769" t="str">
        <f>IF(OR($F783="",$P783="支払なし",$H783=0,$Q783=""),"",$Q783&amp;"|S|"&amp;(COUNTIF(S$4:S782,$Q783&amp;"|S|*")+1))</f>
        <v/>
      </c>
      <c r="T783" s="769" t="str">
        <f>IF(OR($F783="",$P783="支払なし",$R783=0,$Q783=""),"",$Q783&amp;"|L|"&amp;(COUNTIF(T$4:T782,$Q783&amp;"|L|*")+1))</f>
        <v/>
      </c>
      <c r="U783" s="769" t="str">
        <f>IF($F783="","",13)</f>
        <v/>
      </c>
    </row>
    <row r="784" ht="16.5" customHeight="1" s="186">
      <c r="A784" s="760" t="n"/>
      <c r="B784" s="760" t="n"/>
      <c r="C784" s="762" t="n"/>
      <c r="D784" s="762" t="n"/>
      <c r="E784" s="775" t="n"/>
      <c r="F784" s="821" t="n"/>
      <c r="G784" s="821" t="n"/>
      <c r="H784" s="818">
        <f>IF(G784=1,F784-I784-J784-K784,IF(G784=2,F784,0))</f>
        <v>0</v>
      </c>
      <c r="I784" s="818">
        <f>ROUND(IF(G784=1,F784*10/23,IF(G784=3,F784-J784-K784,IF(G784=4,F784,IF(G784=5,F784*10/11,IF(G784=7,F784*10/11,0))))),0)</f>
        <v>0</v>
      </c>
      <c r="J784" s="818">
        <f>ROUND(IF(G784=1,F784/23,IF(G784=3,F784/12,IF(G784=5,F784-I784,IF(G784=8,F784,0)))),0)</f>
        <v>0</v>
      </c>
      <c r="K784" s="819">
        <f>ROUND(IF(G784=1,F784/23,IF(G784=3,F784/12,IF(G784=6,F784,IF(G784=7,F784-I784,0)))),0)</f>
        <v>0</v>
      </c>
      <c r="L784" s="820">
        <f>IF(G784=6,F784,0)</f>
        <v>0</v>
      </c>
      <c r="P784" s="768" t="n"/>
      <c r="Q784" s="769" t="str">
        <f>IF($F784="","",IFERROR(VLOOKUP($C784&amp;"|"&amp;$D784,科目表!$A$5:$B$200,2,FALSE),"※未登録"))</f>
        <v/>
      </c>
      <c r="R784" s="769" t="str">
        <f>IF($F784="","",$I784+$J784+$K784)</f>
        <v/>
      </c>
      <c r="S784" s="769" t="str">
        <f>IF(OR($F784="",$P784="支払なし",$H784=0,$Q784=""),"",$Q784&amp;"|S|"&amp;(COUNTIF(S$4:S783,$Q784&amp;"|S|*")+1))</f>
        <v/>
      </c>
      <c r="T784" s="769" t="str">
        <f>IF(OR($F784="",$P784="支払なし",$R784=0,$Q784=""),"",$Q784&amp;"|L|"&amp;(COUNTIF(T$4:T783,$Q784&amp;"|L|*")+1))</f>
        <v/>
      </c>
      <c r="U784" s="769" t="str">
        <f>IF($F784="","",13)</f>
        <v/>
      </c>
    </row>
    <row r="785" ht="16.5" customHeight="1" s="186">
      <c r="A785" s="760" t="n"/>
      <c r="B785" s="760" t="n"/>
      <c r="C785" s="762" t="n"/>
      <c r="D785" s="762" t="n"/>
      <c r="E785" s="775" t="n"/>
      <c r="F785" s="821" t="n"/>
      <c r="G785" s="821" t="n"/>
      <c r="H785" s="818">
        <f>IF(G785=1,F785-I785-J785-K785,IF(G785=2,F785,0))</f>
        <v>0</v>
      </c>
      <c r="I785" s="818">
        <f>ROUND(IF(G785=1,F785*10/23,IF(G785=3,F785-J785-K785,IF(G785=4,F785,IF(G785=5,F785*10/11,IF(G785=7,F785*10/11,0))))),0)</f>
        <v>0</v>
      </c>
      <c r="J785" s="818">
        <f>ROUND(IF(G785=1,F785/23,IF(G785=3,F785/12,IF(G785=5,F785-I785,IF(G785=8,F785,0)))),0)</f>
        <v>0</v>
      </c>
      <c r="K785" s="819">
        <f>ROUND(IF(G785=1,F785/23,IF(G785=3,F785/12,IF(G785=6,F785,IF(G785=7,F785-I785,0)))),0)</f>
        <v>0</v>
      </c>
      <c r="L785" s="820">
        <f>IF(G785=6,F785,0)</f>
        <v>0</v>
      </c>
      <c r="P785" s="768" t="n"/>
      <c r="Q785" s="769" t="str">
        <f>IF($F785="","",IFERROR(VLOOKUP($C785&amp;"|"&amp;$D785,科目表!$A$5:$B$200,2,FALSE),"※未登録"))</f>
        <v/>
      </c>
      <c r="R785" s="769" t="str">
        <f>IF($F785="","",$I785+$J785+$K785)</f>
        <v/>
      </c>
      <c r="S785" s="769" t="str">
        <f>IF(OR($F785="",$P785="支払なし",$H785=0,$Q785=""),"",$Q785&amp;"|S|"&amp;(COUNTIF(S$4:S784,$Q785&amp;"|S|*")+1))</f>
        <v/>
      </c>
      <c r="T785" s="769" t="str">
        <f>IF(OR($F785="",$P785="支払なし",$R785=0,$Q785=""),"",$Q785&amp;"|L|"&amp;(COUNTIF(T$4:T784,$Q785&amp;"|L|*")+1))</f>
        <v/>
      </c>
      <c r="U785" s="769" t="str">
        <f>IF($F785="","",13)</f>
        <v/>
      </c>
    </row>
    <row r="786" ht="16.5" customHeight="1" s="186">
      <c r="A786" s="760" t="n"/>
      <c r="B786" s="760" t="n"/>
      <c r="C786" s="762" t="n"/>
      <c r="D786" s="762" t="n"/>
      <c r="E786" s="775" t="n"/>
      <c r="F786" s="821" t="n"/>
      <c r="G786" s="821" t="n"/>
      <c r="H786" s="818">
        <f>IF(G786=1,F786-I786-J786-K786,IF(G786=2,F786,0))</f>
        <v>0</v>
      </c>
      <c r="I786" s="818">
        <f>ROUND(IF(G786=1,F786*10/23,IF(G786=3,F786-J786-K786,IF(G786=4,F786,IF(G786=5,F786*10/11,IF(G786=7,F786*10/11,0))))),0)</f>
        <v>0</v>
      </c>
      <c r="J786" s="818">
        <f>ROUND(IF(G786=1,F786/23,IF(G786=3,F786/12,IF(G786=5,F786-I786,IF(G786=8,F786,0)))),0)</f>
        <v>0</v>
      </c>
      <c r="K786" s="819">
        <f>ROUND(IF(G786=1,F786/23,IF(G786=3,F786/12,IF(G786=6,F786,IF(G786=7,F786-I786,0)))),0)</f>
        <v>0</v>
      </c>
      <c r="L786" s="820">
        <f>IF(G786=6,F786,0)</f>
        <v>0</v>
      </c>
      <c r="P786" s="768" t="n"/>
      <c r="Q786" s="769" t="str">
        <f>IF($F786="","",IFERROR(VLOOKUP($C786&amp;"|"&amp;$D786,科目表!$A$5:$B$200,2,FALSE),"※未登録"))</f>
        <v/>
      </c>
      <c r="R786" s="769" t="str">
        <f>IF($F786="","",$I786+$J786+$K786)</f>
        <v/>
      </c>
      <c r="S786" s="769" t="str">
        <f>IF(OR($F786="",$P786="支払なし",$H786=0,$Q786=""),"",$Q786&amp;"|S|"&amp;(COUNTIF(S$4:S785,$Q786&amp;"|S|*")+1))</f>
        <v/>
      </c>
      <c r="T786" s="769" t="str">
        <f>IF(OR($F786="",$P786="支払なし",$R786=0,$Q786=""),"",$Q786&amp;"|L|"&amp;(COUNTIF(T$4:T785,$Q786&amp;"|L|*")+1))</f>
        <v/>
      </c>
      <c r="U786" s="769" t="str">
        <f>IF($F786="","",13)</f>
        <v/>
      </c>
    </row>
    <row r="787" ht="16.5" customHeight="1" s="186">
      <c r="A787" s="760" t="n"/>
      <c r="B787" s="760" t="n"/>
      <c r="C787" s="762" t="n"/>
      <c r="D787" s="762" t="n"/>
      <c r="E787" s="775" t="n"/>
      <c r="F787" s="821" t="n"/>
      <c r="G787" s="821" t="n"/>
      <c r="H787" s="818">
        <f>IF(G787=1,F787-I787-J787-K787,IF(G787=2,F787,0))</f>
        <v>0</v>
      </c>
      <c r="I787" s="818">
        <f>ROUND(IF(G787=1,F787*10/23,IF(G787=3,F787-J787-K787,IF(G787=4,F787,IF(G787=5,F787*10/11,IF(G787=7,F787*10/11,0))))),0)</f>
        <v>0</v>
      </c>
      <c r="J787" s="818">
        <f>ROUND(IF(G787=1,F787/23,IF(G787=3,F787/12,IF(G787=5,F787-I787,IF(G787=8,F787,0)))),0)</f>
        <v>0</v>
      </c>
      <c r="K787" s="819">
        <f>ROUND(IF(G787=1,F787/23,IF(G787=3,F787/12,IF(G787=6,F787,IF(G787=7,F787-I787,0)))),0)</f>
        <v>0</v>
      </c>
      <c r="L787" s="820">
        <f>IF(G787=6,F787,0)</f>
        <v>0</v>
      </c>
      <c r="P787" s="768" t="n"/>
      <c r="Q787" s="769" t="str">
        <f>IF($F787="","",IFERROR(VLOOKUP($C787&amp;"|"&amp;$D787,科目表!$A$5:$B$200,2,FALSE),"※未登録"))</f>
        <v/>
      </c>
      <c r="R787" s="769" t="str">
        <f>IF($F787="","",$I787+$J787+$K787)</f>
        <v/>
      </c>
      <c r="S787" s="769" t="str">
        <f>IF(OR($F787="",$P787="支払なし",$H787=0,$Q787=""),"",$Q787&amp;"|S|"&amp;(COUNTIF(S$4:S786,$Q787&amp;"|S|*")+1))</f>
        <v/>
      </c>
      <c r="T787" s="769" t="str">
        <f>IF(OR($F787="",$P787="支払なし",$R787=0,$Q787=""),"",$Q787&amp;"|L|"&amp;(COUNTIF(T$4:T786,$Q787&amp;"|L|*")+1))</f>
        <v/>
      </c>
      <c r="U787" s="769" t="str">
        <f>IF($F787="","",13)</f>
        <v/>
      </c>
    </row>
    <row r="788" ht="16.5" customHeight="1" s="186">
      <c r="A788" s="760" t="n"/>
      <c r="B788" s="760" t="n"/>
      <c r="C788" s="762" t="n"/>
      <c r="D788" s="762" t="n"/>
      <c r="E788" s="775" t="n"/>
      <c r="F788" s="821" t="n"/>
      <c r="G788" s="821" t="n"/>
      <c r="H788" s="818">
        <f>IF(G788=1,F788-I788-J788-K788,IF(G788=2,F788,0))</f>
        <v>0</v>
      </c>
      <c r="I788" s="818">
        <f>ROUND(IF(G788=1,F788*10/23,IF(G788=3,F788-J788-K788,IF(G788=4,F788,IF(G788=5,F788*10/11,IF(G788=7,F788*10/11,0))))),0)</f>
        <v>0</v>
      </c>
      <c r="J788" s="818">
        <f>ROUND(IF(G788=1,F788/23,IF(G788=3,F788/12,IF(G788=5,F788-I788,IF(G788=8,F788,0)))),0)</f>
        <v>0</v>
      </c>
      <c r="K788" s="819">
        <f>ROUND(IF(G788=1,F788/23,IF(G788=3,F788/12,IF(G788=6,F788,IF(G788=7,F788-I788,0)))),0)</f>
        <v>0</v>
      </c>
      <c r="L788" s="820">
        <f>IF(G788=6,F788,0)</f>
        <v>0</v>
      </c>
      <c r="P788" s="768" t="n"/>
      <c r="Q788" s="769" t="str">
        <f>IF($F788="","",IFERROR(VLOOKUP($C788&amp;"|"&amp;$D788,科目表!$A$5:$B$200,2,FALSE),"※未登録"))</f>
        <v/>
      </c>
      <c r="R788" s="769" t="str">
        <f>IF($F788="","",$I788+$J788+$K788)</f>
        <v/>
      </c>
      <c r="S788" s="769" t="str">
        <f>IF(OR($F788="",$P788="支払なし",$H788=0,$Q788=""),"",$Q788&amp;"|S|"&amp;(COUNTIF(S$4:S787,$Q788&amp;"|S|*")+1))</f>
        <v/>
      </c>
      <c r="T788" s="769" t="str">
        <f>IF(OR($F788="",$P788="支払なし",$R788=0,$Q788=""),"",$Q788&amp;"|L|"&amp;(COUNTIF(T$4:T787,$Q788&amp;"|L|*")+1))</f>
        <v/>
      </c>
      <c r="U788" s="769" t="str">
        <f>IF($F788="","",13)</f>
        <v/>
      </c>
    </row>
    <row r="789" ht="16.5" customHeight="1" s="186">
      <c r="A789" s="760" t="n"/>
      <c r="B789" s="760" t="n"/>
      <c r="C789" s="762" t="n"/>
      <c r="D789" s="762" t="n"/>
      <c r="E789" s="775" t="n"/>
      <c r="F789" s="821" t="n"/>
      <c r="G789" s="821" t="n"/>
      <c r="H789" s="818">
        <f>IF(G789=1,F789-I789-J789-K789,IF(G789=2,F789,0))</f>
        <v>0</v>
      </c>
      <c r="I789" s="818">
        <f>ROUND(IF(G789=1,F789*10/23,IF(G789=3,F789-J789-K789,IF(G789=4,F789,IF(G789=5,F789*10/11,IF(G789=7,F789*10/11,0))))),0)</f>
        <v>0</v>
      </c>
      <c r="J789" s="818">
        <f>ROUND(IF(G789=1,F789/23,IF(G789=3,F789/12,IF(G789=5,F789-I789,IF(G789=8,F789,0)))),0)</f>
        <v>0</v>
      </c>
      <c r="K789" s="819">
        <f>ROUND(IF(G789=1,F789/23,IF(G789=3,F789/12,IF(G789=6,F789,IF(G789=7,F789-I789,0)))),0)</f>
        <v>0</v>
      </c>
      <c r="L789" s="820">
        <f>IF(G789=6,F789,0)</f>
        <v>0</v>
      </c>
      <c r="P789" s="768" t="n"/>
      <c r="Q789" s="769" t="str">
        <f>IF($F789="","",IFERROR(VLOOKUP($C789&amp;"|"&amp;$D789,科目表!$A$5:$B$200,2,FALSE),"※未登録"))</f>
        <v/>
      </c>
      <c r="R789" s="769" t="str">
        <f>IF($F789="","",$I789+$J789+$K789)</f>
        <v/>
      </c>
      <c r="S789" s="769" t="str">
        <f>IF(OR($F789="",$P789="支払なし",$H789=0,$Q789=""),"",$Q789&amp;"|S|"&amp;(COUNTIF(S$4:S788,$Q789&amp;"|S|*")+1))</f>
        <v/>
      </c>
      <c r="T789" s="769" t="str">
        <f>IF(OR($F789="",$P789="支払なし",$R789=0,$Q789=""),"",$Q789&amp;"|L|"&amp;(COUNTIF(T$4:T788,$Q789&amp;"|L|*")+1))</f>
        <v/>
      </c>
      <c r="U789" s="769" t="str">
        <f>IF($F789="","",13)</f>
        <v/>
      </c>
    </row>
    <row r="790" ht="16.5" customHeight="1" s="186">
      <c r="A790" s="760" t="n"/>
      <c r="B790" s="760" t="n"/>
      <c r="C790" s="762" t="n"/>
      <c r="D790" s="762" t="n"/>
      <c r="E790" s="775" t="n"/>
      <c r="F790" s="821" t="n"/>
      <c r="G790" s="821" t="n"/>
      <c r="H790" s="818">
        <f>IF(G790=1,F790-I790-J790-K790,IF(G790=2,F790,0))</f>
        <v>0</v>
      </c>
      <c r="I790" s="818">
        <f>ROUND(IF(G790=1,F790*10/23,IF(G790=3,F790-J790-K790,IF(G790=4,F790,IF(G790=5,F790*10/11,IF(G790=7,F790*10/11,0))))),0)</f>
        <v>0</v>
      </c>
      <c r="J790" s="818">
        <f>ROUND(IF(G790=1,F790/23,IF(G790=3,F790/12,IF(G790=5,F790-I790,IF(G790=8,F790,0)))),0)</f>
        <v>0</v>
      </c>
      <c r="K790" s="819">
        <f>ROUND(IF(G790=1,F790/23,IF(G790=3,F790/12,IF(G790=6,F790,IF(G790=7,F790-I790,0)))),0)</f>
        <v>0</v>
      </c>
      <c r="L790" s="820">
        <f>IF(G790=6,F790,0)</f>
        <v>0</v>
      </c>
      <c r="P790" s="768" t="n"/>
      <c r="Q790" s="769" t="str">
        <f>IF($F790="","",IFERROR(VLOOKUP($C790&amp;"|"&amp;$D790,科目表!$A$5:$B$200,2,FALSE),"※未登録"))</f>
        <v/>
      </c>
      <c r="R790" s="769" t="str">
        <f>IF($F790="","",$I790+$J790+$K790)</f>
        <v/>
      </c>
      <c r="S790" s="769" t="str">
        <f>IF(OR($F790="",$P790="支払なし",$H790=0,$Q790=""),"",$Q790&amp;"|S|"&amp;(COUNTIF(S$4:S789,$Q790&amp;"|S|*")+1))</f>
        <v/>
      </c>
      <c r="T790" s="769" t="str">
        <f>IF(OR($F790="",$P790="支払なし",$R790=0,$Q790=""),"",$Q790&amp;"|L|"&amp;(COUNTIF(T$4:T789,$Q790&amp;"|L|*")+1))</f>
        <v/>
      </c>
      <c r="U790" s="769" t="str">
        <f>IF($F790="","",13)</f>
        <v/>
      </c>
    </row>
    <row r="791" ht="16.5" customHeight="1" s="186">
      <c r="A791" s="760" t="n"/>
      <c r="B791" s="760" t="n"/>
      <c r="C791" s="762" t="n"/>
      <c r="D791" s="762" t="n"/>
      <c r="E791" s="775" t="n"/>
      <c r="F791" s="821" t="n"/>
      <c r="G791" s="821" t="n"/>
      <c r="H791" s="818">
        <f>IF(G791=1,F791-I791-J791-K791,IF(G791=2,F791,0))</f>
        <v>0</v>
      </c>
      <c r="I791" s="818">
        <f>ROUND(IF(G791=1,F791*10/23,IF(G791=3,F791-J791-K791,IF(G791=4,F791,IF(G791=5,F791*10/11,IF(G791=7,F791*10/11,0))))),0)</f>
        <v>0</v>
      </c>
      <c r="J791" s="818">
        <f>ROUND(IF(G791=1,F791/23,IF(G791=3,F791/12,IF(G791=5,F791-I791,IF(G791=8,F791,0)))),0)</f>
        <v>0</v>
      </c>
      <c r="K791" s="819">
        <f>ROUND(IF(G791=1,F791/23,IF(G791=3,F791/12,IF(G791=6,F791,IF(G791=7,F791-I791,0)))),0)</f>
        <v>0</v>
      </c>
      <c r="L791" s="820">
        <f>IF(G791=6,F791,0)</f>
        <v>0</v>
      </c>
      <c r="P791" s="768" t="n"/>
      <c r="Q791" s="769" t="str">
        <f>IF($F791="","",IFERROR(VLOOKUP($C791&amp;"|"&amp;$D791,科目表!$A$5:$B$200,2,FALSE),"※未登録"))</f>
        <v/>
      </c>
      <c r="R791" s="769" t="str">
        <f>IF($F791="","",$I791+$J791+$K791)</f>
        <v/>
      </c>
      <c r="S791" s="769" t="str">
        <f>IF(OR($F791="",$P791="支払なし",$H791=0,$Q791=""),"",$Q791&amp;"|S|"&amp;(COUNTIF(S$4:S790,$Q791&amp;"|S|*")+1))</f>
        <v/>
      </c>
      <c r="T791" s="769" t="str">
        <f>IF(OR($F791="",$P791="支払なし",$R791=0,$Q791=""),"",$Q791&amp;"|L|"&amp;(COUNTIF(T$4:T790,$Q791&amp;"|L|*")+1))</f>
        <v/>
      </c>
      <c r="U791" s="769" t="str">
        <f>IF($F791="","",13)</f>
        <v/>
      </c>
    </row>
    <row r="792" ht="16.5" customHeight="1" s="186">
      <c r="A792" s="760" t="n"/>
      <c r="B792" s="760" t="n"/>
      <c r="C792" s="762" t="n"/>
      <c r="D792" s="762" t="n"/>
      <c r="E792" s="775" t="n"/>
      <c r="F792" s="821" t="n"/>
      <c r="G792" s="821" t="n"/>
      <c r="H792" s="818">
        <f>IF(G792=1,F792-I792-J792-K792,IF(G792=2,F792,0))</f>
        <v>0</v>
      </c>
      <c r="I792" s="818">
        <f>ROUND(IF(G792=1,F792*10/23,IF(G792=3,F792-J792-K792,IF(G792=4,F792,IF(G792=5,F792*10/11,IF(G792=7,F792*10/11,0))))),0)</f>
        <v>0</v>
      </c>
      <c r="J792" s="818">
        <f>ROUND(IF(G792=1,F792/23,IF(G792=3,F792/12,IF(G792=5,F792-I792,IF(G792=8,F792,0)))),0)</f>
        <v>0</v>
      </c>
      <c r="K792" s="819">
        <f>ROUND(IF(G792=1,F792/23,IF(G792=3,F792/12,IF(G792=6,F792,IF(G792=7,F792-I792,0)))),0)</f>
        <v>0</v>
      </c>
      <c r="L792" s="820">
        <f>IF(G792=6,F792,0)</f>
        <v>0</v>
      </c>
      <c r="P792" s="768" t="n"/>
      <c r="Q792" s="769" t="str">
        <f>IF($F792="","",IFERROR(VLOOKUP($C792&amp;"|"&amp;$D792,科目表!$A$5:$B$200,2,FALSE),"※未登録"))</f>
        <v/>
      </c>
      <c r="R792" s="769" t="str">
        <f>IF($F792="","",$I792+$J792+$K792)</f>
        <v/>
      </c>
      <c r="S792" s="769" t="str">
        <f>IF(OR($F792="",$P792="支払なし",$H792=0,$Q792=""),"",$Q792&amp;"|S|"&amp;(COUNTIF(S$4:S791,$Q792&amp;"|S|*")+1))</f>
        <v/>
      </c>
      <c r="T792" s="769" t="str">
        <f>IF(OR($F792="",$P792="支払なし",$R792=0,$Q792=""),"",$Q792&amp;"|L|"&amp;(COUNTIF(T$4:T791,$Q792&amp;"|L|*")+1))</f>
        <v/>
      </c>
      <c r="U792" s="769" t="str">
        <f>IF($F792="","",13)</f>
        <v/>
      </c>
    </row>
    <row r="793" ht="16.5" customHeight="1" s="186">
      <c r="A793" s="760" t="n"/>
      <c r="B793" s="760" t="n"/>
      <c r="C793" s="762" t="n"/>
      <c r="D793" s="762" t="n"/>
      <c r="E793" s="775" t="n"/>
      <c r="F793" s="821" t="n"/>
      <c r="G793" s="821" t="n"/>
      <c r="H793" s="818">
        <f>IF(G793=1,F793-I793-J793-K793,IF(G793=2,F793,0))</f>
        <v>0</v>
      </c>
      <c r="I793" s="818">
        <f>ROUND(IF(G793=1,F793*10/23,IF(G793=3,F793-J793-K793,IF(G793=4,F793,IF(G793=5,F793*10/11,IF(G793=7,F793*10/11,0))))),0)</f>
        <v>0</v>
      </c>
      <c r="J793" s="818">
        <f>ROUND(IF(G793=1,F793/23,IF(G793=3,F793/12,IF(G793=5,F793-I793,IF(G793=8,F793,0)))),0)</f>
        <v>0</v>
      </c>
      <c r="K793" s="819">
        <f>ROUND(IF(G793=1,F793/23,IF(G793=3,F793/12,IF(G793=6,F793,IF(G793=7,F793-I793,0)))),0)</f>
        <v>0</v>
      </c>
      <c r="L793" s="820">
        <f>IF(G793=6,F793,0)</f>
        <v>0</v>
      </c>
      <c r="P793" s="768" t="n"/>
      <c r="Q793" s="769" t="str">
        <f>IF($F793="","",IFERROR(VLOOKUP($C793&amp;"|"&amp;$D793,科目表!$A$5:$B$200,2,FALSE),"※未登録"))</f>
        <v/>
      </c>
      <c r="R793" s="769" t="str">
        <f>IF($F793="","",$I793+$J793+$K793)</f>
        <v/>
      </c>
      <c r="S793" s="769" t="str">
        <f>IF(OR($F793="",$P793="支払なし",$H793=0,$Q793=""),"",$Q793&amp;"|S|"&amp;(COUNTIF(S$4:S792,$Q793&amp;"|S|*")+1))</f>
        <v/>
      </c>
      <c r="T793" s="769" t="str">
        <f>IF(OR($F793="",$P793="支払なし",$R793=0,$Q793=""),"",$Q793&amp;"|L|"&amp;(COUNTIF(T$4:T792,$Q793&amp;"|L|*")+1))</f>
        <v/>
      </c>
      <c r="U793" s="769" t="str">
        <f>IF($F793="","",13)</f>
        <v/>
      </c>
    </row>
    <row r="794" ht="16.5" customHeight="1" s="186">
      <c r="A794" s="760" t="n"/>
      <c r="B794" s="760" t="n"/>
      <c r="C794" s="762" t="n"/>
      <c r="D794" s="762" t="n"/>
      <c r="E794" s="775" t="n"/>
      <c r="F794" s="821" t="n"/>
      <c r="G794" s="821" t="n"/>
      <c r="H794" s="818">
        <f>IF(G794=1,F794-I794-J794-K794,IF(G794=2,F794,0))</f>
        <v>0</v>
      </c>
      <c r="I794" s="818">
        <f>ROUND(IF(G794=1,F794*10/23,IF(G794=3,F794-J794-K794,IF(G794=4,F794,IF(G794=5,F794*10/11,IF(G794=7,F794*10/11,0))))),0)</f>
        <v>0</v>
      </c>
      <c r="J794" s="818">
        <f>ROUND(IF(G794=1,F794/23,IF(G794=3,F794/12,IF(G794=5,F794-I794,IF(G794=8,F794,0)))),0)</f>
        <v>0</v>
      </c>
      <c r="K794" s="819">
        <f>ROUND(IF(G794=1,F794/23,IF(G794=3,F794/12,IF(G794=6,F794,IF(G794=7,F794-I794,0)))),0)</f>
        <v>0</v>
      </c>
      <c r="L794" s="820">
        <f>IF(G794=6,F794,0)</f>
        <v>0</v>
      </c>
      <c r="P794" s="768" t="n"/>
      <c r="Q794" s="769" t="str">
        <f>IF($F794="","",IFERROR(VLOOKUP($C794&amp;"|"&amp;$D794,科目表!$A$5:$B$200,2,FALSE),"※未登録"))</f>
        <v/>
      </c>
      <c r="R794" s="769" t="str">
        <f>IF($F794="","",$I794+$J794+$K794)</f>
        <v/>
      </c>
      <c r="S794" s="769" t="str">
        <f>IF(OR($F794="",$P794="支払なし",$H794=0,$Q794=""),"",$Q794&amp;"|S|"&amp;(COUNTIF(S$4:S793,$Q794&amp;"|S|*")+1))</f>
        <v/>
      </c>
      <c r="T794" s="769" t="str">
        <f>IF(OR($F794="",$P794="支払なし",$R794=0,$Q794=""),"",$Q794&amp;"|L|"&amp;(COUNTIF(T$4:T793,$Q794&amp;"|L|*")+1))</f>
        <v/>
      </c>
      <c r="U794" s="769" t="str">
        <f>IF($F794="","",13)</f>
        <v/>
      </c>
    </row>
    <row r="795" ht="16.5" customHeight="1" s="186">
      <c r="A795" s="760" t="n"/>
      <c r="B795" s="760" t="n"/>
      <c r="C795" s="762" t="n"/>
      <c r="D795" s="762" t="n"/>
      <c r="E795" s="775" t="n"/>
      <c r="F795" s="821" t="n"/>
      <c r="G795" s="821" t="n"/>
      <c r="H795" s="818">
        <f>IF(G795=1,F795-I795-J795-K795,IF(G795=2,F795,0))</f>
        <v>0</v>
      </c>
      <c r="I795" s="818">
        <f>ROUND(IF(G795=1,F795*10/23,IF(G795=3,F795-J795-K795,IF(G795=4,F795,IF(G795=5,F795*10/11,IF(G795=7,F795*10/11,0))))),0)</f>
        <v>0</v>
      </c>
      <c r="J795" s="818">
        <f>ROUND(IF(G795=1,F795/23,IF(G795=3,F795/12,IF(G795=5,F795-I795,IF(G795=8,F795,0)))),0)</f>
        <v>0</v>
      </c>
      <c r="K795" s="819">
        <f>ROUND(IF(G795=1,F795/23,IF(G795=3,F795/12,IF(G795=6,F795,IF(G795=7,F795-I795,0)))),0)</f>
        <v>0</v>
      </c>
      <c r="L795" s="820">
        <f>IF(G795=6,F795,0)</f>
        <v>0</v>
      </c>
      <c r="P795" s="768" t="n"/>
      <c r="Q795" s="769" t="str">
        <f>IF($F795="","",IFERROR(VLOOKUP($C795&amp;"|"&amp;$D795,科目表!$A$5:$B$200,2,FALSE),"※未登録"))</f>
        <v/>
      </c>
      <c r="R795" s="769" t="str">
        <f>IF($F795="","",$I795+$J795+$K795)</f>
        <v/>
      </c>
      <c r="S795" s="769" t="str">
        <f>IF(OR($F795="",$P795="支払なし",$H795=0,$Q795=""),"",$Q795&amp;"|S|"&amp;(COUNTIF(S$4:S794,$Q795&amp;"|S|*")+1))</f>
        <v/>
      </c>
      <c r="T795" s="769" t="str">
        <f>IF(OR($F795="",$P795="支払なし",$R795=0,$Q795=""),"",$Q795&amp;"|L|"&amp;(COUNTIF(T$4:T794,$Q795&amp;"|L|*")+1))</f>
        <v/>
      </c>
      <c r="U795" s="769" t="str">
        <f>IF($F795="","",13)</f>
        <v/>
      </c>
    </row>
    <row r="796" ht="16.5" customHeight="1" s="186">
      <c r="A796" s="760" t="n"/>
      <c r="B796" s="760" t="n"/>
      <c r="C796" s="762" t="n"/>
      <c r="D796" s="762" t="n"/>
      <c r="E796" s="775" t="n"/>
      <c r="F796" s="821" t="n"/>
      <c r="G796" s="821" t="n"/>
      <c r="H796" s="818">
        <f>IF(G796=1,F796-I796-J796-K796,IF(G796=2,F796,0))</f>
        <v>0</v>
      </c>
      <c r="I796" s="818">
        <f>ROUND(IF(G796=1,F796*10/23,IF(G796=3,F796-J796-K796,IF(G796=4,F796,IF(G796=5,F796*10/11,IF(G796=7,F796*10/11,0))))),0)</f>
        <v>0</v>
      </c>
      <c r="J796" s="818">
        <f>ROUND(IF(G796=1,F796/23,IF(G796=3,F796/12,IF(G796=5,F796-I796,IF(G796=8,F796,0)))),0)</f>
        <v>0</v>
      </c>
      <c r="K796" s="819">
        <f>ROUND(IF(G796=1,F796/23,IF(G796=3,F796/12,IF(G796=6,F796,IF(G796=7,F796-I796,0)))),0)</f>
        <v>0</v>
      </c>
      <c r="L796" s="820">
        <f>IF(G796=6,F796,0)</f>
        <v>0</v>
      </c>
      <c r="P796" s="768" t="n"/>
      <c r="Q796" s="769" t="str">
        <f>IF($F796="","",IFERROR(VLOOKUP($C796&amp;"|"&amp;$D796,科目表!$A$5:$B$200,2,FALSE),"※未登録"))</f>
        <v/>
      </c>
      <c r="R796" s="769" t="str">
        <f>IF($F796="","",$I796+$J796+$K796)</f>
        <v/>
      </c>
      <c r="S796" s="769" t="str">
        <f>IF(OR($F796="",$P796="支払なし",$H796=0,$Q796=""),"",$Q796&amp;"|S|"&amp;(COUNTIF(S$4:S795,$Q796&amp;"|S|*")+1))</f>
        <v/>
      </c>
      <c r="T796" s="769" t="str">
        <f>IF(OR($F796="",$P796="支払なし",$R796=0,$Q796=""),"",$Q796&amp;"|L|"&amp;(COUNTIF(T$4:T795,$Q796&amp;"|L|*")+1))</f>
        <v/>
      </c>
      <c r="U796" s="769" t="str">
        <f>IF($F796="","",13)</f>
        <v/>
      </c>
    </row>
    <row r="797" ht="16.5" customHeight="1" s="186">
      <c r="A797" s="760" t="n"/>
      <c r="B797" s="760" t="n"/>
      <c r="C797" s="762" t="n"/>
      <c r="D797" s="762" t="n"/>
      <c r="E797" s="775" t="n"/>
      <c r="F797" s="821" t="n"/>
      <c r="G797" s="821" t="n"/>
      <c r="H797" s="818">
        <f>IF(G797=1,F797-I797-J797-K797,IF(G797=2,F797,0))</f>
        <v>0</v>
      </c>
      <c r="I797" s="818">
        <f>ROUND(IF(G797=1,F797*10/23,IF(G797=3,F797-J797-K797,IF(G797=4,F797,IF(G797=5,F797*10/11,IF(G797=7,F797*10/11,0))))),0)</f>
        <v>0</v>
      </c>
      <c r="J797" s="818">
        <f>ROUND(IF(G797=1,F797/23,IF(G797=3,F797/12,IF(G797=5,F797-I797,IF(G797=8,F797,0)))),0)</f>
        <v>0</v>
      </c>
      <c r="K797" s="819">
        <f>ROUND(IF(G797=1,F797/23,IF(G797=3,F797/12,IF(G797=6,F797,IF(G797=7,F797-I797,0)))),0)</f>
        <v>0</v>
      </c>
      <c r="L797" s="820">
        <f>IF(G797=6,F797,0)</f>
        <v>0</v>
      </c>
      <c r="P797" s="768" t="n"/>
      <c r="Q797" s="769" t="str">
        <f>IF($F797="","",IFERROR(VLOOKUP($C797&amp;"|"&amp;$D797,科目表!$A$5:$B$200,2,FALSE),"※未登録"))</f>
        <v/>
      </c>
      <c r="R797" s="769" t="str">
        <f>IF($F797="","",$I797+$J797+$K797)</f>
        <v/>
      </c>
      <c r="S797" s="769" t="str">
        <f>IF(OR($F797="",$P797="支払なし",$H797=0,$Q797=""),"",$Q797&amp;"|S|"&amp;(COUNTIF(S$4:S796,$Q797&amp;"|S|*")+1))</f>
        <v/>
      </c>
      <c r="T797" s="769" t="str">
        <f>IF(OR($F797="",$P797="支払なし",$R797=0,$Q797=""),"",$Q797&amp;"|L|"&amp;(COUNTIF(T$4:T796,$Q797&amp;"|L|*")+1))</f>
        <v/>
      </c>
      <c r="U797" s="769" t="str">
        <f>IF($F797="","",13)</f>
        <v/>
      </c>
    </row>
    <row r="798" ht="16.5" customHeight="1" s="186">
      <c r="A798" s="760" t="n"/>
      <c r="B798" s="760" t="n"/>
      <c r="C798" s="762" t="n"/>
      <c r="D798" s="762" t="n"/>
      <c r="E798" s="775" t="n"/>
      <c r="F798" s="821" t="n"/>
      <c r="G798" s="821" t="n"/>
      <c r="H798" s="818">
        <f>IF(G798=1,F798-I798-J798-K798,IF(G798=2,F798,0))</f>
        <v>0</v>
      </c>
      <c r="I798" s="818">
        <f>ROUND(IF(G798=1,F798*10/23,IF(G798=3,F798-J798-K798,IF(G798=4,F798,IF(G798=5,F798*10/11,IF(G798=7,F798*10/11,0))))),0)</f>
        <v>0</v>
      </c>
      <c r="J798" s="818">
        <f>ROUND(IF(G798=1,F798/23,IF(G798=3,F798/12,IF(G798=5,F798-I798,IF(G798=8,F798,0)))),0)</f>
        <v>0</v>
      </c>
      <c r="K798" s="819">
        <f>ROUND(IF(G798=1,F798/23,IF(G798=3,F798/12,IF(G798=6,F798,IF(G798=7,F798-I798,0)))),0)</f>
        <v>0</v>
      </c>
      <c r="L798" s="820">
        <f>IF(G798=6,F798,0)</f>
        <v>0</v>
      </c>
      <c r="P798" s="768" t="n"/>
      <c r="Q798" s="769" t="str">
        <f>IF($F798="","",IFERROR(VLOOKUP($C798&amp;"|"&amp;$D798,科目表!$A$5:$B$200,2,FALSE),"※未登録"))</f>
        <v/>
      </c>
      <c r="R798" s="769" t="str">
        <f>IF($F798="","",$I798+$J798+$K798)</f>
        <v/>
      </c>
      <c r="S798" s="769" t="str">
        <f>IF(OR($F798="",$P798="支払なし",$H798=0,$Q798=""),"",$Q798&amp;"|S|"&amp;(COUNTIF(S$4:S797,$Q798&amp;"|S|*")+1))</f>
        <v/>
      </c>
      <c r="T798" s="769" t="str">
        <f>IF(OR($F798="",$P798="支払なし",$R798=0,$Q798=""),"",$Q798&amp;"|L|"&amp;(COUNTIF(T$4:T797,$Q798&amp;"|L|*")+1))</f>
        <v/>
      </c>
      <c r="U798" s="769" t="str">
        <f>IF($F798="","",13)</f>
        <v/>
      </c>
    </row>
    <row r="799" ht="16.5" customHeight="1" s="186">
      <c r="A799" s="760" t="n"/>
      <c r="B799" s="760" t="n"/>
      <c r="C799" s="762" t="n"/>
      <c r="D799" s="762" t="n"/>
      <c r="E799" s="775" t="n"/>
      <c r="F799" s="821" t="n"/>
      <c r="G799" s="821" t="n"/>
      <c r="H799" s="818">
        <f>IF(G799=1,F799-I799-J799-K799,IF(G799=2,F799,0))</f>
        <v>0</v>
      </c>
      <c r="I799" s="818">
        <f>ROUND(IF(G799=1,F799*10/23,IF(G799=3,F799-J799-K799,IF(G799=4,F799,IF(G799=5,F799*10/11,IF(G799=7,F799*10/11,0))))),0)</f>
        <v>0</v>
      </c>
      <c r="J799" s="818">
        <f>ROUND(IF(G799=1,F799/23,IF(G799=3,F799/12,IF(G799=5,F799-I799,IF(G799=8,F799,0)))),0)</f>
        <v>0</v>
      </c>
      <c r="K799" s="819">
        <f>ROUND(IF(G799=1,F799/23,IF(G799=3,F799/12,IF(G799=6,F799,IF(G799=7,F799-I799,0)))),0)</f>
        <v>0</v>
      </c>
      <c r="L799" s="820">
        <f>IF(G799=6,F799,0)</f>
        <v>0</v>
      </c>
      <c r="P799" s="768" t="n"/>
      <c r="Q799" s="769" t="str">
        <f>IF($F799="","",IFERROR(VLOOKUP($C799&amp;"|"&amp;$D799,科目表!$A$5:$B$200,2,FALSE),"※未登録"))</f>
        <v/>
      </c>
      <c r="R799" s="769" t="str">
        <f>IF($F799="","",$I799+$J799+$K799)</f>
        <v/>
      </c>
      <c r="S799" s="769" t="str">
        <f>IF(OR($F799="",$P799="支払なし",$H799=0,$Q799=""),"",$Q799&amp;"|S|"&amp;(COUNTIF(S$4:S798,$Q799&amp;"|S|*")+1))</f>
        <v/>
      </c>
      <c r="T799" s="769" t="str">
        <f>IF(OR($F799="",$P799="支払なし",$R799=0,$Q799=""),"",$Q799&amp;"|L|"&amp;(COUNTIF(T$4:T798,$Q799&amp;"|L|*")+1))</f>
        <v/>
      </c>
      <c r="U799" s="769" t="str">
        <f>IF($F799="","",13)</f>
        <v/>
      </c>
    </row>
    <row r="800" ht="16.5" customHeight="1" s="186">
      <c r="A800" s="760" t="n"/>
      <c r="B800" s="760" t="n"/>
      <c r="C800" s="762" t="n"/>
      <c r="D800" s="762" t="n"/>
      <c r="E800" s="775" t="n"/>
      <c r="F800" s="821" t="n"/>
      <c r="G800" s="821" t="n"/>
      <c r="H800" s="818">
        <f>IF(G800=1,F800-I800-J800-K800,IF(G800=2,F800,0))</f>
        <v>0</v>
      </c>
      <c r="I800" s="818">
        <f>ROUND(IF(G800=1,F800*10/23,IF(G800=3,F800-J800-K800,IF(G800=4,F800,IF(G800=5,F800*10/11,IF(G800=7,F800*10/11,0))))),0)</f>
        <v>0</v>
      </c>
      <c r="J800" s="818">
        <f>ROUND(IF(G800=1,F800/23,IF(G800=3,F800/12,IF(G800=5,F800-I800,IF(G800=8,F800,0)))),0)</f>
        <v>0</v>
      </c>
      <c r="K800" s="819">
        <f>ROUND(IF(G800=1,F800/23,IF(G800=3,F800/12,IF(G800=6,F800,IF(G800=7,F800-I800,0)))),0)</f>
        <v>0</v>
      </c>
      <c r="L800" s="820">
        <f>IF(G800=6,F800,0)</f>
        <v>0</v>
      </c>
      <c r="P800" s="768" t="n"/>
      <c r="Q800" s="769" t="str">
        <f>IF($F800="","",IFERROR(VLOOKUP($C800&amp;"|"&amp;$D800,科目表!$A$5:$B$200,2,FALSE),"※未登録"))</f>
        <v/>
      </c>
      <c r="R800" s="769" t="str">
        <f>IF($F800="","",$I800+$J800+$K800)</f>
        <v/>
      </c>
      <c r="S800" s="769" t="str">
        <f>IF(OR($F800="",$P800="支払なし",$H800=0,$Q800=""),"",$Q800&amp;"|S|"&amp;(COUNTIF(S$4:S799,$Q800&amp;"|S|*")+1))</f>
        <v/>
      </c>
      <c r="T800" s="769" t="str">
        <f>IF(OR($F800="",$P800="支払なし",$R800=0,$Q800=""),"",$Q800&amp;"|L|"&amp;(COUNTIF(T$4:T799,$Q800&amp;"|L|*")+1))</f>
        <v/>
      </c>
      <c r="U800" s="769" t="str">
        <f>IF($F800="","",13)</f>
        <v/>
      </c>
    </row>
    <row r="801" ht="16.5" customHeight="1" s="186">
      <c r="A801" s="760" t="n"/>
      <c r="B801" s="760" t="n"/>
      <c r="C801" s="762" t="n"/>
      <c r="D801" s="762" t="n"/>
      <c r="E801" s="775" t="n"/>
      <c r="F801" s="821" t="n"/>
      <c r="G801" s="821" t="n"/>
      <c r="H801" s="818">
        <f>IF(G801=1,F801-I801-J801-K801,IF(G801=2,F801,0))</f>
        <v>0</v>
      </c>
      <c r="I801" s="818">
        <f>ROUND(IF(G801=1,F801*10/23,IF(G801=3,F801-J801-K801,IF(G801=4,F801,IF(G801=5,F801*10/11,IF(G801=7,F801*10/11,0))))),0)</f>
        <v>0</v>
      </c>
      <c r="J801" s="818">
        <f>ROUND(IF(G801=1,F801/23,IF(G801=3,F801/12,IF(G801=5,F801-I801,IF(G801=8,F801,0)))),0)</f>
        <v>0</v>
      </c>
      <c r="K801" s="819">
        <f>ROUND(IF(G801=1,F801/23,IF(G801=3,F801/12,IF(G801=6,F801,IF(G801=7,F801-I801,0)))),0)</f>
        <v>0</v>
      </c>
      <c r="L801" s="820">
        <f>IF(G801=6,F801,0)</f>
        <v>0</v>
      </c>
      <c r="P801" s="768" t="n"/>
      <c r="Q801" s="769" t="str">
        <f>IF($F801="","",IFERROR(VLOOKUP($C801&amp;"|"&amp;$D801,科目表!$A$5:$B$200,2,FALSE),"※未登録"))</f>
        <v/>
      </c>
      <c r="R801" s="769" t="str">
        <f>IF($F801="","",$I801+$J801+$K801)</f>
        <v/>
      </c>
      <c r="S801" s="769" t="str">
        <f>IF(OR($F801="",$P801="支払なし",$H801=0,$Q801=""),"",$Q801&amp;"|S|"&amp;(COUNTIF(S$4:S800,$Q801&amp;"|S|*")+1))</f>
        <v/>
      </c>
      <c r="T801" s="769" t="str">
        <f>IF(OR($F801="",$P801="支払なし",$R801=0,$Q801=""),"",$Q801&amp;"|L|"&amp;(COUNTIF(T$4:T800,$Q801&amp;"|L|*")+1))</f>
        <v/>
      </c>
      <c r="U801" s="769" t="str">
        <f>IF($F801="","",13)</f>
        <v/>
      </c>
    </row>
    <row r="802" ht="16.5" customHeight="1" s="186">
      <c r="A802" s="760" t="n"/>
      <c r="B802" s="760" t="n"/>
      <c r="C802" s="762" t="n"/>
      <c r="D802" s="762" t="n"/>
      <c r="E802" s="775" t="n"/>
      <c r="F802" s="821" t="n"/>
      <c r="G802" s="821" t="n"/>
      <c r="H802" s="818">
        <f>IF(G802=1,F802-I802-J802-K802,IF(G802=2,F802,0))</f>
        <v>0</v>
      </c>
      <c r="I802" s="818">
        <f>ROUND(IF(G802=1,F802*10/23,IF(G802=3,F802-J802-K802,IF(G802=4,F802,IF(G802=5,F802*10/11,IF(G802=7,F802*10/11,0))))),0)</f>
        <v>0</v>
      </c>
      <c r="J802" s="818">
        <f>ROUND(IF(G802=1,F802/23,IF(G802=3,F802/12,IF(G802=5,F802-I802,IF(G802=8,F802,0)))),0)</f>
        <v>0</v>
      </c>
      <c r="K802" s="819">
        <f>ROUND(IF(G802=1,F802/23,IF(G802=3,F802/12,IF(G802=6,F802,IF(G802=7,F802-I802,0)))),0)</f>
        <v>0</v>
      </c>
      <c r="L802" s="820">
        <f>IF(G802=6,F802,0)</f>
        <v>0</v>
      </c>
      <c r="P802" s="768" t="n"/>
      <c r="Q802" s="769" t="str">
        <f>IF($F802="","",IFERROR(VLOOKUP($C802&amp;"|"&amp;$D802,科目表!$A$5:$B$200,2,FALSE),"※未登録"))</f>
        <v/>
      </c>
      <c r="R802" s="769" t="str">
        <f>IF($F802="","",$I802+$J802+$K802)</f>
        <v/>
      </c>
      <c r="S802" s="769" t="str">
        <f>IF(OR($F802="",$P802="支払なし",$H802=0,$Q802=""),"",$Q802&amp;"|S|"&amp;(COUNTIF(S$4:S801,$Q802&amp;"|S|*")+1))</f>
        <v/>
      </c>
      <c r="T802" s="769" t="str">
        <f>IF(OR($F802="",$P802="支払なし",$R802=0,$Q802=""),"",$Q802&amp;"|L|"&amp;(COUNTIF(T$4:T801,$Q802&amp;"|L|*")+1))</f>
        <v/>
      </c>
      <c r="U802" s="769" t="str">
        <f>IF($F802="","",13)</f>
        <v/>
      </c>
    </row>
    <row r="803" ht="16.5" customHeight="1" s="186">
      <c r="A803" s="760" t="n"/>
      <c r="B803" s="760" t="n"/>
      <c r="C803" s="762" t="n"/>
      <c r="D803" s="762" t="n"/>
      <c r="E803" s="775" t="n"/>
      <c r="F803" s="821" t="n"/>
      <c r="G803" s="821" t="n"/>
      <c r="H803" s="818">
        <f>IF(G803=1,F803-I803-J803-K803,IF(G803=2,F803,0))</f>
        <v>0</v>
      </c>
      <c r="I803" s="818">
        <f>ROUND(IF(G803=1,F803*10/23,IF(G803=3,F803-J803-K803,IF(G803=4,F803,IF(G803=5,F803*10/11,IF(G803=7,F803*10/11,0))))),0)</f>
        <v>0</v>
      </c>
      <c r="J803" s="818">
        <f>ROUND(IF(G803=1,F803/23,IF(G803=3,F803/12,IF(G803=5,F803-I803,IF(G803=8,F803,0)))),0)</f>
        <v>0</v>
      </c>
      <c r="K803" s="819">
        <f>ROUND(IF(G803=1,F803/23,IF(G803=3,F803/12,IF(G803=6,F803,IF(G803=7,F803-I803,0)))),0)</f>
        <v>0</v>
      </c>
      <c r="L803" s="820">
        <f>IF(G803=6,F803,0)</f>
        <v>0</v>
      </c>
      <c r="P803" s="768" t="n"/>
      <c r="Q803" s="769" t="str">
        <f>IF($F803="","",IFERROR(VLOOKUP($C803&amp;"|"&amp;$D803,科目表!$A$5:$B$200,2,FALSE),"※未登録"))</f>
        <v/>
      </c>
      <c r="R803" s="769" t="str">
        <f>IF($F803="","",$I803+$J803+$K803)</f>
        <v/>
      </c>
      <c r="S803" s="769" t="str">
        <f>IF(OR($F803="",$P803="支払なし",$H803=0,$Q803=""),"",$Q803&amp;"|S|"&amp;(COUNTIF(S$4:S802,$Q803&amp;"|S|*")+1))</f>
        <v/>
      </c>
      <c r="T803" s="769" t="str">
        <f>IF(OR($F803="",$P803="支払なし",$R803=0,$Q803=""),"",$Q803&amp;"|L|"&amp;(COUNTIF(T$4:T802,$Q803&amp;"|L|*")+1))</f>
        <v/>
      </c>
      <c r="U803" s="769" t="str">
        <f>IF($F803="","",13)</f>
        <v/>
      </c>
    </row>
    <row r="804" ht="16.5" customHeight="1" s="186">
      <c r="A804" s="760" t="n"/>
      <c r="B804" s="760" t="n"/>
      <c r="C804" s="762" t="n"/>
      <c r="D804" s="762" t="n"/>
      <c r="E804" s="775" t="n"/>
      <c r="F804" s="821" t="n"/>
      <c r="G804" s="821" t="n"/>
      <c r="H804" s="818">
        <f>IF(G804=1,F804-I804-J804-K804,IF(G804=2,F804,0))</f>
        <v>0</v>
      </c>
      <c r="I804" s="818">
        <f>ROUND(IF(G804=1,F804*10/23,IF(G804=3,F804-J804-K804,IF(G804=4,F804,IF(G804=5,F804*10/11,IF(G804=7,F804*10/11,0))))),0)</f>
        <v>0</v>
      </c>
      <c r="J804" s="818">
        <f>ROUND(IF(G804=1,F804/23,IF(G804=3,F804/12,IF(G804=5,F804-I804,IF(G804=8,F804,0)))),0)</f>
        <v>0</v>
      </c>
      <c r="K804" s="819">
        <f>ROUND(IF(G804=1,F804/23,IF(G804=3,F804/12,IF(G804=6,F804,IF(G804=7,F804-I804,0)))),0)</f>
        <v>0</v>
      </c>
      <c r="L804" s="820">
        <f>IF(G804=6,F804,0)</f>
        <v>0</v>
      </c>
      <c r="P804" s="768" t="n"/>
      <c r="Q804" s="769" t="str">
        <f>IF($F804="","",IFERROR(VLOOKUP($C804&amp;"|"&amp;$D804,科目表!$A$5:$B$200,2,FALSE),"※未登録"))</f>
        <v/>
      </c>
      <c r="R804" s="769" t="str">
        <f>IF($F804="","",$I804+$J804+$K804)</f>
        <v/>
      </c>
      <c r="S804" s="769" t="str">
        <f>IF(OR($F804="",$P804="支払なし",$H804=0,$Q804=""),"",$Q804&amp;"|S|"&amp;(COUNTIF(S$4:S803,$Q804&amp;"|S|*")+1))</f>
        <v/>
      </c>
      <c r="T804" s="769" t="str">
        <f>IF(OR($F804="",$P804="支払なし",$R804=0,$Q804=""),"",$Q804&amp;"|L|"&amp;(COUNTIF(T$4:T803,$Q804&amp;"|L|*")+1))</f>
        <v/>
      </c>
      <c r="U804" s="769" t="str">
        <f>IF($F804="","",13)</f>
        <v/>
      </c>
    </row>
    <row r="805" ht="16.5" customHeight="1" s="186">
      <c r="A805" s="760" t="n"/>
      <c r="B805" s="760" t="n"/>
      <c r="C805" s="762" t="n"/>
      <c r="D805" s="762" t="n"/>
      <c r="E805" s="775" t="n"/>
      <c r="F805" s="821" t="n"/>
      <c r="G805" s="821" t="n"/>
      <c r="H805" s="818">
        <f>IF(G805=1,F805-I805-J805-K805,IF(G805=2,F805,0))</f>
        <v>0</v>
      </c>
      <c r="I805" s="818">
        <f>ROUND(IF(G805=1,F805*10/23,IF(G805=3,F805-J805-K805,IF(G805=4,F805,IF(G805=5,F805*10/11,IF(G805=7,F805*10/11,0))))),0)</f>
        <v>0</v>
      </c>
      <c r="J805" s="818">
        <f>ROUND(IF(G805=1,F805/23,IF(G805=3,F805/12,IF(G805=5,F805-I805,IF(G805=8,F805,0)))),0)</f>
        <v>0</v>
      </c>
      <c r="K805" s="819">
        <f>ROUND(IF(G805=1,F805/23,IF(G805=3,F805/12,IF(G805=6,F805,IF(G805=7,F805-I805,0)))),0)</f>
        <v>0</v>
      </c>
      <c r="L805" s="820">
        <f>IF(G805=6,F805,0)</f>
        <v>0</v>
      </c>
      <c r="P805" s="768" t="n"/>
      <c r="Q805" s="769" t="str">
        <f>IF($F805="","",IFERROR(VLOOKUP($C805&amp;"|"&amp;$D805,科目表!$A$5:$B$200,2,FALSE),"※未登録"))</f>
        <v/>
      </c>
      <c r="R805" s="769" t="str">
        <f>IF($F805="","",$I805+$J805+$K805)</f>
        <v/>
      </c>
      <c r="S805" s="769" t="str">
        <f>IF(OR($F805="",$P805="支払なし",$H805=0,$Q805=""),"",$Q805&amp;"|S|"&amp;(COUNTIF(S$4:S804,$Q805&amp;"|S|*")+1))</f>
        <v/>
      </c>
      <c r="T805" s="769" t="str">
        <f>IF(OR($F805="",$P805="支払なし",$R805=0,$Q805=""),"",$Q805&amp;"|L|"&amp;(COUNTIF(T$4:T804,$Q805&amp;"|L|*")+1))</f>
        <v/>
      </c>
      <c r="U805" s="769" t="str">
        <f>IF($F805="","",13)</f>
        <v/>
      </c>
    </row>
    <row r="806" ht="16.5" customHeight="1" s="186">
      <c r="A806" s="760" t="n"/>
      <c r="B806" s="760" t="n"/>
      <c r="C806" s="762" t="n"/>
      <c r="D806" s="762" t="n"/>
      <c r="E806" s="775" t="n"/>
      <c r="F806" s="821" t="n"/>
      <c r="G806" s="821" t="n"/>
      <c r="H806" s="818">
        <f>IF(G806=1,F806-I806-J806-K806,IF(G806=2,F806,0))</f>
        <v>0</v>
      </c>
      <c r="I806" s="818">
        <f>ROUND(IF(G806=1,F806*10/23,IF(G806=3,F806-J806-K806,IF(G806=4,F806,IF(G806=5,F806*10/11,IF(G806=7,F806*10/11,0))))),0)</f>
        <v>0</v>
      </c>
      <c r="J806" s="818">
        <f>ROUND(IF(G806=1,F806/23,IF(G806=3,F806/12,IF(G806=5,F806-I806,IF(G806=8,F806,0)))),0)</f>
        <v>0</v>
      </c>
      <c r="K806" s="819">
        <f>ROUND(IF(G806=1,F806/23,IF(G806=3,F806/12,IF(G806=6,F806,IF(G806=7,F806-I806,0)))),0)</f>
        <v>0</v>
      </c>
      <c r="L806" s="820">
        <f>IF(G806=6,F806,0)</f>
        <v>0</v>
      </c>
      <c r="P806" s="768" t="n"/>
      <c r="Q806" s="769" t="str">
        <f>IF($F806="","",IFERROR(VLOOKUP($C806&amp;"|"&amp;$D806,科目表!$A$5:$B$200,2,FALSE),"※未登録"))</f>
        <v/>
      </c>
      <c r="R806" s="769" t="str">
        <f>IF($F806="","",$I806+$J806+$K806)</f>
        <v/>
      </c>
      <c r="S806" s="769" t="str">
        <f>IF(OR($F806="",$P806="支払なし",$H806=0,$Q806=""),"",$Q806&amp;"|S|"&amp;(COUNTIF(S$4:S805,$Q806&amp;"|S|*")+1))</f>
        <v/>
      </c>
      <c r="T806" s="769" t="str">
        <f>IF(OR($F806="",$P806="支払なし",$R806=0,$Q806=""),"",$Q806&amp;"|L|"&amp;(COUNTIF(T$4:T805,$Q806&amp;"|L|*")+1))</f>
        <v/>
      </c>
      <c r="U806" s="769" t="str">
        <f>IF($F806="","",13)</f>
        <v/>
      </c>
    </row>
    <row r="807" ht="16.5" customHeight="1" s="186">
      <c r="A807" s="760" t="n"/>
      <c r="B807" s="760" t="n"/>
      <c r="C807" s="762" t="n"/>
      <c r="D807" s="762" t="n"/>
      <c r="E807" s="775" t="n"/>
      <c r="F807" s="821" t="n"/>
      <c r="G807" s="821" t="n"/>
      <c r="H807" s="818">
        <f>IF(G807=1,F807-I807-J807-K807,IF(G807=2,F807,0))</f>
        <v>0</v>
      </c>
      <c r="I807" s="818">
        <f>ROUND(IF(G807=1,F807*10/23,IF(G807=3,F807-J807-K807,IF(G807=4,F807,IF(G807=5,F807*10/11,IF(G807=7,F807*10/11,0))))),0)</f>
        <v>0</v>
      </c>
      <c r="J807" s="818">
        <f>ROUND(IF(G807=1,F807/23,IF(G807=3,F807/12,IF(G807=5,F807-I807,IF(G807=8,F807,0)))),0)</f>
        <v>0</v>
      </c>
      <c r="K807" s="819">
        <f>ROUND(IF(G807=1,F807/23,IF(G807=3,F807/12,IF(G807=6,F807,IF(G807=7,F807-I807,0)))),0)</f>
        <v>0</v>
      </c>
      <c r="L807" s="820">
        <f>IF(G807=6,F807,0)</f>
        <v>0</v>
      </c>
      <c r="P807" s="768" t="n"/>
      <c r="Q807" s="769" t="str">
        <f>IF($F807="","",IFERROR(VLOOKUP($C807&amp;"|"&amp;$D807,科目表!$A$5:$B$200,2,FALSE),"※未登録"))</f>
        <v/>
      </c>
      <c r="R807" s="769" t="str">
        <f>IF($F807="","",$I807+$J807+$K807)</f>
        <v/>
      </c>
      <c r="S807" s="769" t="str">
        <f>IF(OR($F807="",$P807="支払なし",$H807=0,$Q807=""),"",$Q807&amp;"|S|"&amp;(COUNTIF(S$4:S806,$Q807&amp;"|S|*")+1))</f>
        <v/>
      </c>
      <c r="T807" s="769" t="str">
        <f>IF(OR($F807="",$P807="支払なし",$R807=0,$Q807=""),"",$Q807&amp;"|L|"&amp;(COUNTIF(T$4:T806,$Q807&amp;"|L|*")+1))</f>
        <v/>
      </c>
      <c r="U807" s="769" t="str">
        <f>IF($F807="","",13)</f>
        <v/>
      </c>
    </row>
    <row r="808" ht="16.5" customHeight="1" s="186">
      <c r="A808" s="760" t="n"/>
      <c r="B808" s="760" t="n"/>
      <c r="C808" s="762" t="n"/>
      <c r="D808" s="762" t="n"/>
      <c r="E808" s="775" t="n"/>
      <c r="F808" s="821" t="n"/>
      <c r="G808" s="821" t="n"/>
      <c r="H808" s="818">
        <f>IF(G808=1,F808-I808-J808-K808,IF(G808=2,F808,0))</f>
        <v>0</v>
      </c>
      <c r="I808" s="818">
        <f>ROUND(IF(G808=1,F808*10/23,IF(G808=3,F808-J808-K808,IF(G808=4,F808,IF(G808=5,F808*10/11,IF(G808=7,F808*10/11,0))))),0)</f>
        <v>0</v>
      </c>
      <c r="J808" s="818">
        <f>ROUND(IF(G808=1,F808/23,IF(G808=3,F808/12,IF(G808=5,F808-I808,IF(G808=8,F808,0)))),0)</f>
        <v>0</v>
      </c>
      <c r="K808" s="819">
        <f>ROUND(IF(G808=1,F808/23,IF(G808=3,F808/12,IF(G808=6,F808,IF(G808=7,F808-I808,0)))),0)</f>
        <v>0</v>
      </c>
      <c r="L808" s="820">
        <f>IF(G808=6,F808,0)</f>
        <v>0</v>
      </c>
      <c r="P808" s="768" t="n"/>
      <c r="Q808" s="769" t="str">
        <f>IF($F808="","",IFERROR(VLOOKUP($C808&amp;"|"&amp;$D808,科目表!$A$5:$B$200,2,FALSE),"※未登録"))</f>
        <v/>
      </c>
      <c r="R808" s="769" t="str">
        <f>IF($F808="","",$I808+$J808+$K808)</f>
        <v/>
      </c>
      <c r="S808" s="769" t="str">
        <f>IF(OR($F808="",$P808="支払なし",$H808=0,$Q808=""),"",$Q808&amp;"|S|"&amp;(COUNTIF(S$4:S807,$Q808&amp;"|S|*")+1))</f>
        <v/>
      </c>
      <c r="T808" s="769" t="str">
        <f>IF(OR($F808="",$P808="支払なし",$R808=0,$Q808=""),"",$Q808&amp;"|L|"&amp;(COUNTIF(T$4:T807,$Q808&amp;"|L|*")+1))</f>
        <v/>
      </c>
      <c r="U808" s="769" t="str">
        <f>IF($F808="","",13)</f>
        <v/>
      </c>
    </row>
    <row r="809" ht="16.5" customHeight="1" s="186">
      <c r="A809" s="760" t="n"/>
      <c r="B809" s="760" t="n"/>
      <c r="C809" s="762" t="n"/>
      <c r="D809" s="762" t="n"/>
      <c r="E809" s="775" t="n"/>
      <c r="F809" s="821" t="n"/>
      <c r="G809" s="821" t="n"/>
      <c r="H809" s="818">
        <f>IF(G809=1,F809-I809-J809-K809,IF(G809=2,F809,0))</f>
        <v>0</v>
      </c>
      <c r="I809" s="818">
        <f>ROUND(IF(G809=1,F809*10/23,IF(G809=3,F809-J809-K809,IF(G809=4,F809,IF(G809=5,F809*10/11,IF(G809=7,F809*10/11,0))))),0)</f>
        <v>0</v>
      </c>
      <c r="J809" s="818">
        <f>ROUND(IF(G809=1,F809/23,IF(G809=3,F809/12,IF(G809=5,F809-I809,IF(G809=8,F809,0)))),0)</f>
        <v>0</v>
      </c>
      <c r="K809" s="819">
        <f>ROUND(IF(G809=1,F809/23,IF(G809=3,F809/12,IF(G809=6,F809,IF(G809=7,F809-I809,0)))),0)</f>
        <v>0</v>
      </c>
      <c r="L809" s="820">
        <f>IF(G809=6,F809,0)</f>
        <v>0</v>
      </c>
      <c r="P809" s="768" t="n"/>
      <c r="Q809" s="769" t="str">
        <f>IF($F809="","",IFERROR(VLOOKUP($C809&amp;"|"&amp;$D809,科目表!$A$5:$B$200,2,FALSE),"※未登録"))</f>
        <v/>
      </c>
      <c r="R809" s="769" t="str">
        <f>IF($F809="","",$I809+$J809+$K809)</f>
        <v/>
      </c>
      <c r="S809" s="769" t="str">
        <f>IF(OR($F809="",$P809="支払なし",$H809=0,$Q809=""),"",$Q809&amp;"|S|"&amp;(COUNTIF(S$4:S808,$Q809&amp;"|S|*")+1))</f>
        <v/>
      </c>
      <c r="T809" s="769" t="str">
        <f>IF(OR($F809="",$P809="支払なし",$R809=0,$Q809=""),"",$Q809&amp;"|L|"&amp;(COUNTIF(T$4:T808,$Q809&amp;"|L|*")+1))</f>
        <v/>
      </c>
      <c r="U809" s="769" t="str">
        <f>IF($F809="","",13)</f>
        <v/>
      </c>
    </row>
    <row r="810" ht="16.5" customHeight="1" s="186">
      <c r="A810" s="760" t="n"/>
      <c r="B810" s="760" t="n"/>
      <c r="C810" s="762" t="n"/>
      <c r="D810" s="762" t="n"/>
      <c r="E810" s="775" t="n"/>
      <c r="F810" s="821" t="n"/>
      <c r="G810" s="821" t="n"/>
      <c r="H810" s="818">
        <f>IF(G810=1,F810-I810-J810-K810,IF(G810=2,F810,0))</f>
        <v>0</v>
      </c>
      <c r="I810" s="818">
        <f>ROUND(IF(G810=1,F810*10/23,IF(G810=3,F810-J810-K810,IF(G810=4,F810,IF(G810=5,F810*10/11,IF(G810=7,F810*10/11,0))))),0)</f>
        <v>0</v>
      </c>
      <c r="J810" s="818">
        <f>ROUND(IF(G810=1,F810/23,IF(G810=3,F810/12,IF(G810=5,F810-I810,IF(G810=8,F810,0)))),0)</f>
        <v>0</v>
      </c>
      <c r="K810" s="819">
        <f>ROUND(IF(G810=1,F810/23,IF(G810=3,F810/12,IF(G810=6,F810,IF(G810=7,F810-I810,0)))),0)</f>
        <v>0</v>
      </c>
      <c r="L810" s="820">
        <f>IF(G810=6,F810,0)</f>
        <v>0</v>
      </c>
      <c r="P810" s="768" t="n"/>
      <c r="Q810" s="769" t="str">
        <f>IF($F810="","",IFERROR(VLOOKUP($C810&amp;"|"&amp;$D810,科目表!$A$5:$B$200,2,FALSE),"※未登録"))</f>
        <v/>
      </c>
      <c r="R810" s="769" t="str">
        <f>IF($F810="","",$I810+$J810+$K810)</f>
        <v/>
      </c>
      <c r="S810" s="769" t="str">
        <f>IF(OR($F810="",$P810="支払なし",$H810=0,$Q810=""),"",$Q810&amp;"|S|"&amp;(COUNTIF(S$4:S809,$Q810&amp;"|S|*")+1))</f>
        <v/>
      </c>
      <c r="T810" s="769" t="str">
        <f>IF(OR($F810="",$P810="支払なし",$R810=0,$Q810=""),"",$Q810&amp;"|L|"&amp;(COUNTIF(T$4:T809,$Q810&amp;"|L|*")+1))</f>
        <v/>
      </c>
      <c r="U810" s="769" t="str">
        <f>IF($F810="","",13)</f>
        <v/>
      </c>
    </row>
    <row r="811" ht="16.5" customHeight="1" s="186">
      <c r="A811" s="760" t="n"/>
      <c r="B811" s="760" t="n"/>
      <c r="C811" s="762" t="n"/>
      <c r="D811" s="762" t="n"/>
      <c r="E811" s="775" t="n"/>
      <c r="F811" s="821" t="n"/>
      <c r="G811" s="821" t="n"/>
      <c r="H811" s="818">
        <f>IF(G811=1,F811-I811-J811-K811,IF(G811=2,F811,0))</f>
        <v>0</v>
      </c>
      <c r="I811" s="818">
        <f>ROUND(IF(G811=1,F811*10/23,IF(G811=3,F811-J811-K811,IF(G811=4,F811,IF(G811=5,F811*10/11,IF(G811=7,F811*10/11,0))))),0)</f>
        <v>0</v>
      </c>
      <c r="J811" s="818">
        <f>ROUND(IF(G811=1,F811/23,IF(G811=3,F811/12,IF(G811=5,F811-I811,IF(G811=8,F811,0)))),0)</f>
        <v>0</v>
      </c>
      <c r="K811" s="819">
        <f>ROUND(IF(G811=1,F811/23,IF(G811=3,F811/12,IF(G811=6,F811,IF(G811=7,F811-I811,0)))),0)</f>
        <v>0</v>
      </c>
      <c r="L811" s="820">
        <f>IF(G811=6,F811,0)</f>
        <v>0</v>
      </c>
      <c r="P811" s="768" t="n"/>
      <c r="Q811" s="769" t="str">
        <f>IF($F811="","",IFERROR(VLOOKUP($C811&amp;"|"&amp;$D811,科目表!$A$5:$B$200,2,FALSE),"※未登録"))</f>
        <v/>
      </c>
      <c r="R811" s="769" t="str">
        <f>IF($F811="","",$I811+$J811+$K811)</f>
        <v/>
      </c>
      <c r="S811" s="769" t="str">
        <f>IF(OR($F811="",$P811="支払なし",$H811=0,$Q811=""),"",$Q811&amp;"|S|"&amp;(COUNTIF(S$4:S810,$Q811&amp;"|S|*")+1))</f>
        <v/>
      </c>
      <c r="T811" s="769" t="str">
        <f>IF(OR($F811="",$P811="支払なし",$R811=0,$Q811=""),"",$Q811&amp;"|L|"&amp;(COUNTIF(T$4:T810,$Q811&amp;"|L|*")+1))</f>
        <v/>
      </c>
      <c r="U811" s="769" t="str">
        <f>IF($F811="","",13)</f>
        <v/>
      </c>
    </row>
    <row r="812" ht="16.5" customHeight="1" s="186">
      <c r="A812" s="760" t="n"/>
      <c r="B812" s="760" t="n"/>
      <c r="C812" s="762" t="n"/>
      <c r="D812" s="762" t="n"/>
      <c r="E812" s="775" t="n"/>
      <c r="F812" s="821" t="n"/>
      <c r="G812" s="821" t="n"/>
      <c r="H812" s="818">
        <f>IF(G812=1,F812-I812-J812-K812,IF(G812=2,F812,0))</f>
        <v>0</v>
      </c>
      <c r="I812" s="818">
        <f>ROUND(IF(G812=1,F812*10/23,IF(G812=3,F812-J812-K812,IF(G812=4,F812,IF(G812=5,F812*10/11,IF(G812=7,F812*10/11,0))))),0)</f>
        <v>0</v>
      </c>
      <c r="J812" s="818">
        <f>ROUND(IF(G812=1,F812/23,IF(G812=3,F812/12,IF(G812=5,F812-I812,IF(G812=8,F812,0)))),0)</f>
        <v>0</v>
      </c>
      <c r="K812" s="819">
        <f>ROUND(IF(G812=1,F812/23,IF(G812=3,F812/12,IF(G812=6,F812,IF(G812=7,F812-I812,0)))),0)</f>
        <v>0</v>
      </c>
      <c r="L812" s="820">
        <f>IF(G812=6,F812,0)</f>
        <v>0</v>
      </c>
      <c r="P812" s="768" t="n"/>
      <c r="Q812" s="769" t="str">
        <f>IF($F812="","",IFERROR(VLOOKUP($C812&amp;"|"&amp;$D812,科目表!$A$5:$B$200,2,FALSE),"※未登録"))</f>
        <v/>
      </c>
      <c r="R812" s="769" t="str">
        <f>IF($F812="","",$I812+$J812+$K812)</f>
        <v/>
      </c>
      <c r="S812" s="769" t="str">
        <f>IF(OR($F812="",$P812="支払なし",$H812=0,$Q812=""),"",$Q812&amp;"|S|"&amp;(COUNTIF(S$4:S811,$Q812&amp;"|S|*")+1))</f>
        <v/>
      </c>
      <c r="T812" s="769" t="str">
        <f>IF(OR($F812="",$P812="支払なし",$R812=0,$Q812=""),"",$Q812&amp;"|L|"&amp;(COUNTIF(T$4:T811,$Q812&amp;"|L|*")+1))</f>
        <v/>
      </c>
      <c r="U812" s="769" t="str">
        <f>IF($F812="","",13)</f>
        <v/>
      </c>
    </row>
    <row r="813" ht="16.5" customHeight="1" s="186">
      <c r="A813" s="760" t="n"/>
      <c r="B813" s="760" t="n"/>
      <c r="C813" s="762" t="n"/>
      <c r="D813" s="762" t="n"/>
      <c r="E813" s="775" t="n"/>
      <c r="F813" s="821" t="n"/>
      <c r="G813" s="821" t="n"/>
      <c r="H813" s="818">
        <f>IF(G813=1,F813-I813-J813-K813,IF(G813=2,F813,0))</f>
        <v>0</v>
      </c>
      <c r="I813" s="818">
        <f>ROUND(IF(G813=1,F813*10/23,IF(G813=3,F813-J813-K813,IF(G813=4,F813,IF(G813=5,F813*10/11,IF(G813=7,F813*10/11,0))))),0)</f>
        <v>0</v>
      </c>
      <c r="J813" s="818">
        <f>ROUND(IF(G813=1,F813/23,IF(G813=3,F813/12,IF(G813=5,F813-I813,IF(G813=8,F813,0)))),0)</f>
        <v>0</v>
      </c>
      <c r="K813" s="819">
        <f>ROUND(IF(G813=1,F813/23,IF(G813=3,F813/12,IF(G813=6,F813,IF(G813=7,F813-I813,0)))),0)</f>
        <v>0</v>
      </c>
      <c r="L813" s="820">
        <f>IF(G813=6,F813,0)</f>
        <v>0</v>
      </c>
      <c r="P813" s="768" t="n"/>
      <c r="Q813" s="769" t="str">
        <f>IF($F813="","",IFERROR(VLOOKUP($C813&amp;"|"&amp;$D813,科目表!$A$5:$B$200,2,FALSE),"※未登録"))</f>
        <v/>
      </c>
      <c r="R813" s="769" t="str">
        <f>IF($F813="","",$I813+$J813+$K813)</f>
        <v/>
      </c>
      <c r="S813" s="769" t="str">
        <f>IF(OR($F813="",$P813="支払なし",$H813=0,$Q813=""),"",$Q813&amp;"|S|"&amp;(COUNTIF(S$4:S812,$Q813&amp;"|S|*")+1))</f>
        <v/>
      </c>
      <c r="T813" s="769" t="str">
        <f>IF(OR($F813="",$P813="支払なし",$R813=0,$Q813=""),"",$Q813&amp;"|L|"&amp;(COUNTIF(T$4:T812,$Q813&amp;"|L|*")+1))</f>
        <v/>
      </c>
      <c r="U813" s="769" t="str">
        <f>IF($F813="","",13)</f>
        <v/>
      </c>
    </row>
    <row r="814" ht="16.5" customHeight="1" s="186">
      <c r="A814" s="760" t="n"/>
      <c r="B814" s="760" t="n"/>
      <c r="C814" s="762" t="n"/>
      <c r="D814" s="762" t="n"/>
      <c r="E814" s="775" t="n"/>
      <c r="F814" s="821" t="n"/>
      <c r="G814" s="821" t="n"/>
      <c r="H814" s="818">
        <f>IF(G814=1,F814-I814-J814-K814,IF(G814=2,F814,0))</f>
        <v>0</v>
      </c>
      <c r="I814" s="818">
        <f>ROUND(IF(G814=1,F814*10/23,IF(G814=3,F814-J814-K814,IF(G814=4,F814,IF(G814=5,F814*10/11,IF(G814=7,F814*10/11,0))))),0)</f>
        <v>0</v>
      </c>
      <c r="J814" s="818">
        <f>ROUND(IF(G814=1,F814/23,IF(G814=3,F814/12,IF(G814=5,F814-I814,IF(G814=8,F814,0)))),0)</f>
        <v>0</v>
      </c>
      <c r="K814" s="819">
        <f>ROUND(IF(G814=1,F814/23,IF(G814=3,F814/12,IF(G814=6,F814,IF(G814=7,F814-I814,0)))),0)</f>
        <v>0</v>
      </c>
      <c r="L814" s="820">
        <f>IF(G814=6,F814,0)</f>
        <v>0</v>
      </c>
      <c r="P814" s="768" t="n"/>
      <c r="Q814" s="769" t="str">
        <f>IF($F814="","",IFERROR(VLOOKUP($C814&amp;"|"&amp;$D814,科目表!$A$5:$B$200,2,FALSE),"※未登録"))</f>
        <v/>
      </c>
      <c r="R814" s="769" t="str">
        <f>IF($F814="","",$I814+$J814+$K814)</f>
        <v/>
      </c>
      <c r="S814" s="769" t="str">
        <f>IF(OR($F814="",$P814="支払なし",$H814=0,$Q814=""),"",$Q814&amp;"|S|"&amp;(COUNTIF(S$4:S813,$Q814&amp;"|S|*")+1))</f>
        <v/>
      </c>
      <c r="T814" s="769" t="str">
        <f>IF(OR($F814="",$P814="支払なし",$R814=0,$Q814=""),"",$Q814&amp;"|L|"&amp;(COUNTIF(T$4:T813,$Q814&amp;"|L|*")+1))</f>
        <v/>
      </c>
      <c r="U814" s="769" t="str">
        <f>IF($F814="","",13)</f>
        <v/>
      </c>
    </row>
    <row r="815" ht="16.5" customHeight="1" s="186">
      <c r="A815" s="760" t="n"/>
      <c r="B815" s="760" t="n"/>
      <c r="C815" s="762" t="n"/>
      <c r="D815" s="762" t="n"/>
      <c r="E815" s="775" t="n"/>
      <c r="F815" s="821" t="n"/>
      <c r="G815" s="821" t="n"/>
      <c r="H815" s="818">
        <f>IF(G815=1,F815-I815-J815-K815,IF(G815=2,F815,0))</f>
        <v>0</v>
      </c>
      <c r="I815" s="818">
        <f>ROUND(IF(G815=1,F815*10/23,IF(G815=3,F815-J815-K815,IF(G815=4,F815,IF(G815=5,F815*10/11,IF(G815=7,F815*10/11,0))))),0)</f>
        <v>0</v>
      </c>
      <c r="J815" s="818">
        <f>ROUND(IF(G815=1,F815/23,IF(G815=3,F815/12,IF(G815=5,F815-I815,IF(G815=8,F815,0)))),0)</f>
        <v>0</v>
      </c>
      <c r="K815" s="819">
        <f>ROUND(IF(G815=1,F815/23,IF(G815=3,F815/12,IF(G815=6,F815,IF(G815=7,F815-I815,0)))),0)</f>
        <v>0</v>
      </c>
      <c r="L815" s="820">
        <f>IF(G815=6,F815,0)</f>
        <v>0</v>
      </c>
      <c r="P815" s="768" t="n"/>
      <c r="Q815" s="769" t="str">
        <f>IF($F815="","",IFERROR(VLOOKUP($C815&amp;"|"&amp;$D815,科目表!$A$5:$B$200,2,FALSE),"※未登録"))</f>
        <v/>
      </c>
      <c r="R815" s="769" t="str">
        <f>IF($F815="","",$I815+$J815+$K815)</f>
        <v/>
      </c>
      <c r="S815" s="769" t="str">
        <f>IF(OR($F815="",$P815="支払なし",$H815=0,$Q815=""),"",$Q815&amp;"|S|"&amp;(COUNTIF(S$4:S814,$Q815&amp;"|S|*")+1))</f>
        <v/>
      </c>
      <c r="T815" s="769" t="str">
        <f>IF(OR($F815="",$P815="支払なし",$R815=0,$Q815=""),"",$Q815&amp;"|L|"&amp;(COUNTIF(T$4:T814,$Q815&amp;"|L|*")+1))</f>
        <v/>
      </c>
      <c r="U815" s="769" t="str">
        <f>IF($F815="","",13)</f>
        <v/>
      </c>
    </row>
    <row r="816" ht="16.5" customHeight="1" s="186">
      <c r="A816" s="760" t="n"/>
      <c r="B816" s="760" t="n"/>
      <c r="C816" s="762" t="n"/>
      <c r="D816" s="762" t="n"/>
      <c r="E816" s="775" t="n"/>
      <c r="F816" s="821" t="n"/>
      <c r="G816" s="821" t="n"/>
      <c r="H816" s="818">
        <f>IF(G816=1,F816-I816-J816-K816,IF(G816=2,F816,0))</f>
        <v>0</v>
      </c>
      <c r="I816" s="818">
        <f>ROUND(IF(G816=1,F816*10/23,IF(G816=3,F816-J816-K816,IF(G816=4,F816,IF(G816=5,F816*10/11,IF(G816=7,F816*10/11,0))))),0)</f>
        <v>0</v>
      </c>
      <c r="J816" s="818">
        <f>ROUND(IF(G816=1,F816/23,IF(G816=3,F816/12,IF(G816=5,F816-I816,IF(G816=8,F816,0)))),0)</f>
        <v>0</v>
      </c>
      <c r="K816" s="819">
        <f>ROUND(IF(G816=1,F816/23,IF(G816=3,F816/12,IF(G816=6,F816,IF(G816=7,F816-I816,0)))),0)</f>
        <v>0</v>
      </c>
      <c r="L816" s="820">
        <f>IF(G816=6,F816,0)</f>
        <v>0</v>
      </c>
      <c r="P816" s="768" t="n"/>
      <c r="Q816" s="769" t="str">
        <f>IF($F816="","",IFERROR(VLOOKUP($C816&amp;"|"&amp;$D816,科目表!$A$5:$B$200,2,FALSE),"※未登録"))</f>
        <v/>
      </c>
      <c r="R816" s="769" t="str">
        <f>IF($F816="","",$I816+$J816+$K816)</f>
        <v/>
      </c>
      <c r="S816" s="769" t="str">
        <f>IF(OR($F816="",$P816="支払なし",$H816=0,$Q816=""),"",$Q816&amp;"|S|"&amp;(COUNTIF(S$4:S815,$Q816&amp;"|S|*")+1))</f>
        <v/>
      </c>
      <c r="T816" s="769" t="str">
        <f>IF(OR($F816="",$P816="支払なし",$R816=0,$Q816=""),"",$Q816&amp;"|L|"&amp;(COUNTIF(T$4:T815,$Q816&amp;"|L|*")+1))</f>
        <v/>
      </c>
      <c r="U816" s="769" t="str">
        <f>IF($F816="","",13)</f>
        <v/>
      </c>
    </row>
    <row r="817" ht="16.5" customHeight="1" s="186">
      <c r="A817" s="760" t="n"/>
      <c r="B817" s="760" t="n"/>
      <c r="C817" s="762" t="n"/>
      <c r="D817" s="762" t="n"/>
      <c r="E817" s="775" t="n"/>
      <c r="F817" s="821" t="n"/>
      <c r="G817" s="821" t="n"/>
      <c r="H817" s="818">
        <f>IF(G817=1,F817-I817-J817-K817,IF(G817=2,F817,0))</f>
        <v>0</v>
      </c>
      <c r="I817" s="818">
        <f>ROUND(IF(G817=1,F817*10/23,IF(G817=3,F817-J817-K817,IF(G817=4,F817,IF(G817=5,F817*10/11,IF(G817=7,F817*10/11,0))))),0)</f>
        <v>0</v>
      </c>
      <c r="J817" s="818">
        <f>ROUND(IF(G817=1,F817/23,IF(G817=3,F817/12,IF(G817=5,F817-I817,IF(G817=8,F817,0)))),0)</f>
        <v>0</v>
      </c>
      <c r="K817" s="819">
        <f>ROUND(IF(G817=1,F817/23,IF(G817=3,F817/12,IF(G817=6,F817,IF(G817=7,F817-I817,0)))),0)</f>
        <v>0</v>
      </c>
      <c r="L817" s="820">
        <f>IF(G817=6,F817,0)</f>
        <v>0</v>
      </c>
      <c r="P817" s="768" t="n"/>
      <c r="Q817" s="769" t="str">
        <f>IF($F817="","",IFERROR(VLOOKUP($C817&amp;"|"&amp;$D817,科目表!$A$5:$B$200,2,FALSE),"※未登録"))</f>
        <v/>
      </c>
      <c r="R817" s="769" t="str">
        <f>IF($F817="","",$I817+$J817+$K817)</f>
        <v/>
      </c>
      <c r="S817" s="769" t="str">
        <f>IF(OR($F817="",$P817="支払なし",$H817=0,$Q817=""),"",$Q817&amp;"|S|"&amp;(COUNTIF(S$4:S816,$Q817&amp;"|S|*")+1))</f>
        <v/>
      </c>
      <c r="T817" s="769" t="str">
        <f>IF(OR($F817="",$P817="支払なし",$R817=0,$Q817=""),"",$Q817&amp;"|L|"&amp;(COUNTIF(T$4:T816,$Q817&amp;"|L|*")+1))</f>
        <v/>
      </c>
      <c r="U817" s="769" t="str">
        <f>IF($F817="","",13)</f>
        <v/>
      </c>
    </row>
    <row r="818" ht="16.5" customHeight="1" s="186">
      <c r="A818" s="760" t="n"/>
      <c r="B818" s="760" t="n"/>
      <c r="C818" s="762" t="n"/>
      <c r="D818" s="762" t="n"/>
      <c r="E818" s="775" t="n"/>
      <c r="F818" s="821" t="n"/>
      <c r="G818" s="821" t="n"/>
      <c r="H818" s="818">
        <f>IF(G818=1,F818-I818-J818-K818,IF(G818=2,F818,0))</f>
        <v>0</v>
      </c>
      <c r="I818" s="818">
        <f>ROUND(IF(G818=1,F818*10/23,IF(G818=3,F818-J818-K818,IF(G818=4,F818,IF(G818=5,F818*10/11,IF(G818=7,F818*10/11,0))))),0)</f>
        <v>0</v>
      </c>
      <c r="J818" s="818">
        <f>ROUND(IF(G818=1,F818/23,IF(G818=3,F818/12,IF(G818=5,F818-I818,IF(G818=8,F818,0)))),0)</f>
        <v>0</v>
      </c>
      <c r="K818" s="819">
        <f>ROUND(IF(G818=1,F818/23,IF(G818=3,F818/12,IF(G818=6,F818,IF(G818=7,F818-I818,0)))),0)</f>
        <v>0</v>
      </c>
      <c r="L818" s="820">
        <f>IF(G818=6,F818,0)</f>
        <v>0</v>
      </c>
      <c r="P818" s="768" t="n"/>
      <c r="Q818" s="769" t="str">
        <f>IF($F818="","",IFERROR(VLOOKUP($C818&amp;"|"&amp;$D818,科目表!$A$5:$B$200,2,FALSE),"※未登録"))</f>
        <v/>
      </c>
      <c r="R818" s="769" t="str">
        <f>IF($F818="","",$I818+$J818+$K818)</f>
        <v/>
      </c>
      <c r="S818" s="769" t="str">
        <f>IF(OR($F818="",$P818="支払なし",$H818=0,$Q818=""),"",$Q818&amp;"|S|"&amp;(COUNTIF(S$4:S817,$Q818&amp;"|S|*")+1))</f>
        <v/>
      </c>
      <c r="T818" s="769" t="str">
        <f>IF(OR($F818="",$P818="支払なし",$R818=0,$Q818=""),"",$Q818&amp;"|L|"&amp;(COUNTIF(T$4:T817,$Q818&amp;"|L|*")+1))</f>
        <v/>
      </c>
      <c r="U818" s="769" t="str">
        <f>IF($F818="","",13)</f>
        <v/>
      </c>
    </row>
    <row r="819" ht="16.5" customHeight="1" s="186">
      <c r="A819" s="760" t="n"/>
      <c r="B819" s="760" t="n"/>
      <c r="C819" s="762" t="n"/>
      <c r="D819" s="762" t="n"/>
      <c r="E819" s="775" t="n"/>
      <c r="F819" s="821" t="n"/>
      <c r="G819" s="821" t="n"/>
      <c r="H819" s="818">
        <f>IF(G819=1,F819-I819-J819-K819,IF(G819=2,F819,0))</f>
        <v>0</v>
      </c>
      <c r="I819" s="818">
        <f>ROUND(IF(G819=1,F819*10/23,IF(G819=3,F819-J819-K819,IF(G819=4,F819,IF(G819=5,F819*10/11,IF(G819=7,F819*10/11,0))))),0)</f>
        <v>0</v>
      </c>
      <c r="J819" s="818">
        <f>ROUND(IF(G819=1,F819/23,IF(G819=3,F819/12,IF(G819=5,F819-I819,IF(G819=8,F819,0)))),0)</f>
        <v>0</v>
      </c>
      <c r="K819" s="819">
        <f>ROUND(IF(G819=1,F819/23,IF(G819=3,F819/12,IF(G819=6,F819,IF(G819=7,F819-I819,0)))),0)</f>
        <v>0</v>
      </c>
      <c r="L819" s="820">
        <f>IF(G819=6,F819,0)</f>
        <v>0</v>
      </c>
      <c r="P819" s="768" t="n"/>
      <c r="Q819" s="769" t="str">
        <f>IF($F819="","",IFERROR(VLOOKUP($C819&amp;"|"&amp;$D819,科目表!$A$5:$B$200,2,FALSE),"※未登録"))</f>
        <v/>
      </c>
      <c r="R819" s="769" t="str">
        <f>IF($F819="","",$I819+$J819+$K819)</f>
        <v/>
      </c>
      <c r="S819" s="769" t="str">
        <f>IF(OR($F819="",$P819="支払なし",$H819=0,$Q819=""),"",$Q819&amp;"|S|"&amp;(COUNTIF(S$4:S818,$Q819&amp;"|S|*")+1))</f>
        <v/>
      </c>
      <c r="T819" s="769" t="str">
        <f>IF(OR($F819="",$P819="支払なし",$R819=0,$Q819=""),"",$Q819&amp;"|L|"&amp;(COUNTIF(T$4:T818,$Q819&amp;"|L|*")+1))</f>
        <v/>
      </c>
      <c r="U819" s="769" t="str">
        <f>IF($F819="","",13)</f>
        <v/>
      </c>
    </row>
    <row r="820" ht="16.5" customHeight="1" s="186">
      <c r="A820" s="760" t="n"/>
      <c r="B820" s="760" t="n"/>
      <c r="C820" s="762" t="n"/>
      <c r="D820" s="762" t="n"/>
      <c r="E820" s="775" t="n"/>
      <c r="F820" s="821" t="n"/>
      <c r="G820" s="821" t="n"/>
      <c r="H820" s="818">
        <f>IF(G820=1,F820-I820-J820-K820,IF(G820=2,F820,0))</f>
        <v>0</v>
      </c>
      <c r="I820" s="818">
        <f>ROUND(IF(G820=1,F820*10/23,IF(G820=3,F820-J820-K820,IF(G820=4,F820,IF(G820=5,F820*10/11,IF(G820=7,F820*10/11,0))))),0)</f>
        <v>0</v>
      </c>
      <c r="J820" s="818">
        <f>ROUND(IF(G820=1,F820/23,IF(G820=3,F820/12,IF(G820=5,F820-I820,IF(G820=8,F820,0)))),0)</f>
        <v>0</v>
      </c>
      <c r="K820" s="819">
        <f>ROUND(IF(G820=1,F820/23,IF(G820=3,F820/12,IF(G820=6,F820,IF(G820=7,F820-I820,0)))),0)</f>
        <v>0</v>
      </c>
      <c r="L820" s="820">
        <f>IF(G820=6,F820,0)</f>
        <v>0</v>
      </c>
      <c r="P820" s="768" t="n"/>
      <c r="Q820" s="769" t="str">
        <f>IF($F820="","",IFERROR(VLOOKUP($C820&amp;"|"&amp;$D820,科目表!$A$5:$B$200,2,FALSE),"※未登録"))</f>
        <v/>
      </c>
      <c r="R820" s="769" t="str">
        <f>IF($F820="","",$I820+$J820+$K820)</f>
        <v/>
      </c>
      <c r="S820" s="769" t="str">
        <f>IF(OR($F820="",$P820="支払なし",$H820=0,$Q820=""),"",$Q820&amp;"|S|"&amp;(COUNTIF(S$4:S819,$Q820&amp;"|S|*")+1))</f>
        <v/>
      </c>
      <c r="T820" s="769" t="str">
        <f>IF(OR($F820="",$P820="支払なし",$R820=0,$Q820=""),"",$Q820&amp;"|L|"&amp;(COUNTIF(T$4:T819,$Q820&amp;"|L|*")+1))</f>
        <v/>
      </c>
      <c r="U820" s="769" t="str">
        <f>IF($F820="","",13)</f>
        <v/>
      </c>
    </row>
    <row r="821" ht="16.5" customHeight="1" s="186">
      <c r="A821" s="760" t="n"/>
      <c r="B821" s="760" t="n"/>
      <c r="C821" s="762" t="n"/>
      <c r="D821" s="762" t="n"/>
      <c r="E821" s="775" t="n"/>
      <c r="F821" s="821" t="n"/>
      <c r="G821" s="821" t="n"/>
      <c r="H821" s="818">
        <f>IF(G821=1,F821-I821-J821-K821,IF(G821=2,F821,0))</f>
        <v>0</v>
      </c>
      <c r="I821" s="818">
        <f>ROUND(IF(G821=1,F821*10/23,IF(G821=3,F821-J821-K821,IF(G821=4,F821,IF(G821=5,F821*10/11,IF(G821=7,F821*10/11,0))))),0)</f>
        <v>0</v>
      </c>
      <c r="J821" s="818">
        <f>ROUND(IF(G821=1,F821/23,IF(G821=3,F821/12,IF(G821=5,F821-I821,IF(G821=8,F821,0)))),0)</f>
        <v>0</v>
      </c>
      <c r="K821" s="819">
        <f>ROUND(IF(G821=1,F821/23,IF(G821=3,F821/12,IF(G821=6,F821,IF(G821=7,F821-I821,0)))),0)</f>
        <v>0</v>
      </c>
      <c r="L821" s="820">
        <f>IF(G821=6,F821,0)</f>
        <v>0</v>
      </c>
      <c r="P821" s="768" t="n"/>
      <c r="Q821" s="769" t="str">
        <f>IF($F821="","",IFERROR(VLOOKUP($C821&amp;"|"&amp;$D821,科目表!$A$5:$B$200,2,FALSE),"※未登録"))</f>
        <v/>
      </c>
      <c r="R821" s="769" t="str">
        <f>IF($F821="","",$I821+$J821+$K821)</f>
        <v/>
      </c>
      <c r="S821" s="769" t="str">
        <f>IF(OR($F821="",$P821="支払なし",$H821=0,$Q821=""),"",$Q821&amp;"|S|"&amp;(COUNTIF(S$4:S820,$Q821&amp;"|S|*")+1))</f>
        <v/>
      </c>
      <c r="T821" s="769" t="str">
        <f>IF(OR($F821="",$P821="支払なし",$R821=0,$Q821=""),"",$Q821&amp;"|L|"&amp;(COUNTIF(T$4:T820,$Q821&amp;"|L|*")+1))</f>
        <v/>
      </c>
      <c r="U821" s="769" t="str">
        <f>IF($F821="","",13)</f>
        <v/>
      </c>
    </row>
    <row r="822" ht="16.5" customHeight="1" s="186">
      <c r="A822" s="760" t="n"/>
      <c r="B822" s="760" t="n"/>
      <c r="C822" s="762" t="n"/>
      <c r="D822" s="762" t="n"/>
      <c r="E822" s="775" t="n"/>
      <c r="F822" s="821" t="n"/>
      <c r="G822" s="821" t="n"/>
      <c r="H822" s="818">
        <f>IF(G822=1,F822-I822-J822-K822,IF(G822=2,F822,0))</f>
        <v>0</v>
      </c>
      <c r="I822" s="818">
        <f>ROUND(IF(G822=1,F822*10/23,IF(G822=3,F822-J822-K822,IF(G822=4,F822,IF(G822=5,F822*10/11,IF(G822=7,F822*10/11,0))))),0)</f>
        <v>0</v>
      </c>
      <c r="J822" s="818">
        <f>ROUND(IF(G822=1,F822/23,IF(G822=3,F822/12,IF(G822=5,F822-I822,IF(G822=8,F822,0)))),0)</f>
        <v>0</v>
      </c>
      <c r="K822" s="819">
        <f>ROUND(IF(G822=1,F822/23,IF(G822=3,F822/12,IF(G822=6,F822,IF(G822=7,F822-I822,0)))),0)</f>
        <v>0</v>
      </c>
      <c r="L822" s="820">
        <f>IF(G822=6,F822,0)</f>
        <v>0</v>
      </c>
      <c r="P822" s="768" t="n"/>
      <c r="Q822" s="769" t="str">
        <f>IF($F822="","",IFERROR(VLOOKUP($C822&amp;"|"&amp;$D822,科目表!$A$5:$B$200,2,FALSE),"※未登録"))</f>
        <v/>
      </c>
      <c r="R822" s="769" t="str">
        <f>IF($F822="","",$I822+$J822+$K822)</f>
        <v/>
      </c>
      <c r="S822" s="769" t="str">
        <f>IF(OR($F822="",$P822="支払なし",$H822=0,$Q822=""),"",$Q822&amp;"|S|"&amp;(COUNTIF(S$4:S821,$Q822&amp;"|S|*")+1))</f>
        <v/>
      </c>
      <c r="T822" s="769" t="str">
        <f>IF(OR($F822="",$P822="支払なし",$R822=0,$Q822=""),"",$Q822&amp;"|L|"&amp;(COUNTIF(T$4:T821,$Q822&amp;"|L|*")+1))</f>
        <v/>
      </c>
      <c r="U822" s="769" t="str">
        <f>IF($F822="","",13)</f>
        <v/>
      </c>
    </row>
    <row r="823" ht="16.5" customHeight="1" s="186">
      <c r="A823" s="760" t="n"/>
      <c r="B823" s="760" t="n"/>
      <c r="C823" s="762" t="n"/>
      <c r="D823" s="762" t="n"/>
      <c r="E823" s="775" t="n"/>
      <c r="F823" s="821" t="n"/>
      <c r="G823" s="821" t="n"/>
      <c r="H823" s="818">
        <f>IF(G823=1,F823-I823-J823-K823,IF(G823=2,F823,0))</f>
        <v>0</v>
      </c>
      <c r="I823" s="818">
        <f>ROUND(IF(G823=1,F823*10/23,IF(G823=3,F823-J823-K823,IF(G823=4,F823,IF(G823=5,F823*10/11,IF(G823=7,F823*10/11,0))))),0)</f>
        <v>0</v>
      </c>
      <c r="J823" s="818">
        <f>ROUND(IF(G823=1,F823/23,IF(G823=3,F823/12,IF(G823=5,F823-I823,IF(G823=8,F823,0)))),0)</f>
        <v>0</v>
      </c>
      <c r="K823" s="819">
        <f>ROUND(IF(G823=1,F823/23,IF(G823=3,F823/12,IF(G823=6,F823,IF(G823=7,F823-I823,0)))),0)</f>
        <v>0</v>
      </c>
      <c r="L823" s="820">
        <f>IF(G823=6,F823,0)</f>
        <v>0</v>
      </c>
      <c r="P823" s="768" t="n"/>
      <c r="Q823" s="769" t="str">
        <f>IF($F823="","",IFERROR(VLOOKUP($C823&amp;"|"&amp;$D823,科目表!$A$5:$B$200,2,FALSE),"※未登録"))</f>
        <v/>
      </c>
      <c r="R823" s="769" t="str">
        <f>IF($F823="","",$I823+$J823+$K823)</f>
        <v/>
      </c>
      <c r="S823" s="769" t="str">
        <f>IF(OR($F823="",$P823="支払なし",$H823=0,$Q823=""),"",$Q823&amp;"|S|"&amp;(COUNTIF(S$4:S822,$Q823&amp;"|S|*")+1))</f>
        <v/>
      </c>
      <c r="T823" s="769" t="str">
        <f>IF(OR($F823="",$P823="支払なし",$R823=0,$Q823=""),"",$Q823&amp;"|L|"&amp;(COUNTIF(T$4:T822,$Q823&amp;"|L|*")+1))</f>
        <v/>
      </c>
      <c r="U823" s="769" t="str">
        <f>IF($F823="","",13)</f>
        <v/>
      </c>
    </row>
    <row r="824" ht="16.5" customHeight="1" s="186">
      <c r="A824" s="760" t="n"/>
      <c r="B824" s="760" t="n"/>
      <c r="C824" s="762" t="n"/>
      <c r="D824" s="762" t="n"/>
      <c r="E824" s="775" t="n"/>
      <c r="F824" s="821" t="n"/>
      <c r="G824" s="821" t="n"/>
      <c r="H824" s="818">
        <f>IF(G824=1,F824-I824-J824-K824,IF(G824=2,F824,0))</f>
        <v>0</v>
      </c>
      <c r="I824" s="818">
        <f>ROUND(IF(G824=1,F824*10/23,IF(G824=3,F824-J824-K824,IF(G824=4,F824,IF(G824=5,F824*10/11,IF(G824=7,F824*10/11,0))))),0)</f>
        <v>0</v>
      </c>
      <c r="J824" s="818">
        <f>ROUND(IF(G824=1,F824/23,IF(G824=3,F824/12,IF(G824=5,F824-I824,IF(G824=8,F824,0)))),0)</f>
        <v>0</v>
      </c>
      <c r="K824" s="819">
        <f>ROUND(IF(G824=1,F824/23,IF(G824=3,F824/12,IF(G824=6,F824,IF(G824=7,F824-I824,0)))),0)</f>
        <v>0</v>
      </c>
      <c r="L824" s="820">
        <f>IF(G824=6,F824,0)</f>
        <v>0</v>
      </c>
      <c r="P824" s="768" t="n"/>
      <c r="Q824" s="769" t="str">
        <f>IF($F824="","",IFERROR(VLOOKUP($C824&amp;"|"&amp;$D824,科目表!$A$5:$B$200,2,FALSE),"※未登録"))</f>
        <v/>
      </c>
      <c r="R824" s="769" t="str">
        <f>IF($F824="","",$I824+$J824+$K824)</f>
        <v/>
      </c>
      <c r="S824" s="769" t="str">
        <f>IF(OR($F824="",$P824="支払なし",$H824=0,$Q824=""),"",$Q824&amp;"|S|"&amp;(COUNTIF(S$4:S823,$Q824&amp;"|S|*")+1))</f>
        <v/>
      </c>
      <c r="T824" s="769" t="str">
        <f>IF(OR($F824="",$P824="支払なし",$R824=0,$Q824=""),"",$Q824&amp;"|L|"&amp;(COUNTIF(T$4:T823,$Q824&amp;"|L|*")+1))</f>
        <v/>
      </c>
      <c r="U824" s="769" t="str">
        <f>IF($F824="","",13)</f>
        <v/>
      </c>
    </row>
    <row r="825" ht="16.5" customHeight="1" s="186">
      <c r="A825" s="760" t="n"/>
      <c r="B825" s="760" t="n"/>
      <c r="C825" s="762" t="n"/>
      <c r="D825" s="762" t="n"/>
      <c r="E825" s="775" t="n"/>
      <c r="F825" s="821" t="n"/>
      <c r="G825" s="821" t="n"/>
      <c r="H825" s="818">
        <f>IF(G825=1,F825-I825-J825-K825,IF(G825=2,F825,0))</f>
        <v>0</v>
      </c>
      <c r="I825" s="818">
        <f>ROUND(IF(G825=1,F825*10/23,IF(G825=3,F825-J825-K825,IF(G825=4,F825,IF(G825=5,F825*10/11,IF(G825=7,F825*10/11,0))))),0)</f>
        <v>0</v>
      </c>
      <c r="J825" s="818">
        <f>ROUND(IF(G825=1,F825/23,IF(G825=3,F825/12,IF(G825=5,F825-I825,IF(G825=8,F825,0)))),0)</f>
        <v>0</v>
      </c>
      <c r="K825" s="819">
        <f>ROUND(IF(G825=1,F825/23,IF(G825=3,F825/12,IF(G825=6,F825,IF(G825=7,F825-I825,0)))),0)</f>
        <v>0</v>
      </c>
      <c r="L825" s="820">
        <f>IF(G825=6,F825,0)</f>
        <v>0</v>
      </c>
      <c r="P825" s="768" t="n"/>
      <c r="Q825" s="769" t="str">
        <f>IF($F825="","",IFERROR(VLOOKUP($C825&amp;"|"&amp;$D825,科目表!$A$5:$B$200,2,FALSE),"※未登録"))</f>
        <v/>
      </c>
      <c r="R825" s="769" t="str">
        <f>IF($F825="","",$I825+$J825+$K825)</f>
        <v/>
      </c>
      <c r="S825" s="769" t="str">
        <f>IF(OR($F825="",$P825="支払なし",$H825=0,$Q825=""),"",$Q825&amp;"|S|"&amp;(COUNTIF(S$4:S824,$Q825&amp;"|S|*")+1))</f>
        <v/>
      </c>
      <c r="T825" s="769" t="str">
        <f>IF(OR($F825="",$P825="支払なし",$R825=0,$Q825=""),"",$Q825&amp;"|L|"&amp;(COUNTIF(T$4:T824,$Q825&amp;"|L|*")+1))</f>
        <v/>
      </c>
      <c r="U825" s="769" t="str">
        <f>IF($F825="","",13)</f>
        <v/>
      </c>
    </row>
    <row r="826" ht="16.5" customHeight="1" s="186">
      <c r="A826" s="760" t="n"/>
      <c r="B826" s="760" t="n"/>
      <c r="C826" s="762" t="n"/>
      <c r="D826" s="762" t="n"/>
      <c r="E826" s="775" t="n"/>
      <c r="F826" s="821" t="n"/>
      <c r="G826" s="821" t="n"/>
      <c r="H826" s="818">
        <f>IF(G826=1,F826-I826-J826-K826,IF(G826=2,F826,0))</f>
        <v>0</v>
      </c>
      <c r="I826" s="818">
        <f>ROUND(IF(G826=1,F826*10/23,IF(G826=3,F826-J826-K826,IF(G826=4,F826,IF(G826=5,F826*10/11,IF(G826=7,F826*10/11,0))))),0)</f>
        <v>0</v>
      </c>
      <c r="J826" s="818">
        <f>ROUND(IF(G826=1,F826/23,IF(G826=3,F826/12,IF(G826=5,F826-I826,IF(G826=8,F826,0)))),0)</f>
        <v>0</v>
      </c>
      <c r="K826" s="819">
        <f>ROUND(IF(G826=1,F826/23,IF(G826=3,F826/12,IF(G826=6,F826,IF(G826=7,F826-I826,0)))),0)</f>
        <v>0</v>
      </c>
      <c r="L826" s="820">
        <f>IF(G826=6,F826,0)</f>
        <v>0</v>
      </c>
      <c r="P826" s="768" t="n"/>
      <c r="Q826" s="769" t="str">
        <f>IF($F826="","",IFERROR(VLOOKUP($C826&amp;"|"&amp;$D826,科目表!$A$5:$B$200,2,FALSE),"※未登録"))</f>
        <v/>
      </c>
      <c r="R826" s="769" t="str">
        <f>IF($F826="","",$I826+$J826+$K826)</f>
        <v/>
      </c>
      <c r="S826" s="769" t="str">
        <f>IF(OR($F826="",$P826="支払なし",$H826=0,$Q826=""),"",$Q826&amp;"|S|"&amp;(COUNTIF(S$4:S825,$Q826&amp;"|S|*")+1))</f>
        <v/>
      </c>
      <c r="T826" s="769" t="str">
        <f>IF(OR($F826="",$P826="支払なし",$R826=0,$Q826=""),"",$Q826&amp;"|L|"&amp;(COUNTIF(T$4:T825,$Q826&amp;"|L|*")+1))</f>
        <v/>
      </c>
      <c r="U826" s="769" t="str">
        <f>IF($F826="","",13)</f>
        <v/>
      </c>
    </row>
    <row r="827" ht="16.5" customHeight="1" s="186">
      <c r="A827" s="760" t="n"/>
      <c r="B827" s="760" t="n"/>
      <c r="C827" s="762" t="n"/>
      <c r="D827" s="762" t="n"/>
      <c r="E827" s="775" t="n"/>
      <c r="F827" s="821" t="n"/>
      <c r="G827" s="821" t="n"/>
      <c r="H827" s="818">
        <f>IF(G827=1,F827-I827-J827-K827,IF(G827=2,F827,0))</f>
        <v>0</v>
      </c>
      <c r="I827" s="818">
        <f>ROUND(IF(G827=1,F827*10/23,IF(G827=3,F827-J827-K827,IF(G827=4,F827,IF(G827=5,F827*10/11,IF(G827=7,F827*10/11,0))))),0)</f>
        <v>0</v>
      </c>
      <c r="J827" s="818">
        <f>ROUND(IF(G827=1,F827/23,IF(G827=3,F827/12,IF(G827=5,F827-I827,IF(G827=8,F827,0)))),0)</f>
        <v>0</v>
      </c>
      <c r="K827" s="819">
        <f>ROUND(IF(G827=1,F827/23,IF(G827=3,F827/12,IF(G827=6,F827,IF(G827=7,F827-I827,0)))),0)</f>
        <v>0</v>
      </c>
      <c r="L827" s="820">
        <f>IF(G827=6,F827,0)</f>
        <v>0</v>
      </c>
      <c r="P827" s="768" t="n"/>
      <c r="Q827" s="769" t="str">
        <f>IF($F827="","",IFERROR(VLOOKUP($C827&amp;"|"&amp;$D827,科目表!$A$5:$B$200,2,FALSE),"※未登録"))</f>
        <v/>
      </c>
      <c r="R827" s="769" t="str">
        <f>IF($F827="","",$I827+$J827+$K827)</f>
        <v/>
      </c>
      <c r="S827" s="769" t="str">
        <f>IF(OR($F827="",$P827="支払なし",$H827=0,$Q827=""),"",$Q827&amp;"|S|"&amp;(COUNTIF(S$4:S826,$Q827&amp;"|S|*")+1))</f>
        <v/>
      </c>
      <c r="T827" s="769" t="str">
        <f>IF(OR($F827="",$P827="支払なし",$R827=0,$Q827=""),"",$Q827&amp;"|L|"&amp;(COUNTIF(T$4:T826,$Q827&amp;"|L|*")+1))</f>
        <v/>
      </c>
      <c r="U827" s="769" t="str">
        <f>IF($F827="","",13)</f>
        <v/>
      </c>
    </row>
    <row r="828" ht="16.5" customHeight="1" s="186">
      <c r="A828" s="760" t="n"/>
      <c r="B828" s="760" t="n"/>
      <c r="C828" s="762" t="n"/>
      <c r="D828" s="762" t="n"/>
      <c r="E828" s="775" t="n"/>
      <c r="F828" s="821" t="n"/>
      <c r="G828" s="821" t="n"/>
      <c r="H828" s="818">
        <f>IF(G828=1,F828-I828-J828-K828,IF(G828=2,F828,0))</f>
        <v>0</v>
      </c>
      <c r="I828" s="818">
        <f>ROUND(IF(G828=1,F828*10/23,IF(G828=3,F828-J828-K828,IF(G828=4,F828,IF(G828=5,F828*10/11,IF(G828=7,F828*10/11,0))))),0)</f>
        <v>0</v>
      </c>
      <c r="J828" s="818">
        <f>ROUND(IF(G828=1,F828/23,IF(G828=3,F828/12,IF(G828=5,F828-I828,IF(G828=8,F828,0)))),0)</f>
        <v>0</v>
      </c>
      <c r="K828" s="819">
        <f>ROUND(IF(G828=1,F828/23,IF(G828=3,F828/12,IF(G828=6,F828,IF(G828=7,F828-I828,0)))),0)</f>
        <v>0</v>
      </c>
      <c r="L828" s="820">
        <f>IF(G828=6,F828,0)</f>
        <v>0</v>
      </c>
      <c r="P828" s="768" t="n"/>
      <c r="Q828" s="769" t="str">
        <f>IF($F828="","",IFERROR(VLOOKUP($C828&amp;"|"&amp;$D828,科目表!$A$5:$B$200,2,FALSE),"※未登録"))</f>
        <v/>
      </c>
      <c r="R828" s="769" t="str">
        <f>IF($F828="","",$I828+$J828+$K828)</f>
        <v/>
      </c>
      <c r="S828" s="769" t="str">
        <f>IF(OR($F828="",$P828="支払なし",$H828=0,$Q828=""),"",$Q828&amp;"|S|"&amp;(COUNTIF(S$4:S827,$Q828&amp;"|S|*")+1))</f>
        <v/>
      </c>
      <c r="T828" s="769" t="str">
        <f>IF(OR($F828="",$P828="支払なし",$R828=0,$Q828=""),"",$Q828&amp;"|L|"&amp;(COUNTIF(T$4:T827,$Q828&amp;"|L|*")+1))</f>
        <v/>
      </c>
      <c r="U828" s="769" t="str">
        <f>IF($F828="","",13)</f>
        <v/>
      </c>
    </row>
    <row r="829" ht="16.5" customHeight="1" s="186">
      <c r="A829" s="760" t="n"/>
      <c r="B829" s="760" t="n"/>
      <c r="C829" s="762" t="n"/>
      <c r="D829" s="762" t="n"/>
      <c r="E829" s="775" t="n"/>
      <c r="F829" s="821" t="n"/>
      <c r="G829" s="821" t="n"/>
      <c r="H829" s="818">
        <f>IF(G829=1,F829-I829-J829-K829,IF(G829=2,F829,0))</f>
        <v>0</v>
      </c>
      <c r="I829" s="818">
        <f>ROUND(IF(G829=1,F829*10/23,IF(G829=3,F829-J829-K829,IF(G829=4,F829,IF(G829=5,F829*10/11,IF(G829=7,F829*10/11,0))))),0)</f>
        <v>0</v>
      </c>
      <c r="J829" s="818">
        <f>ROUND(IF(G829=1,F829/23,IF(G829=3,F829/12,IF(G829=5,F829-I829,IF(G829=8,F829,0)))),0)</f>
        <v>0</v>
      </c>
      <c r="K829" s="819">
        <f>ROUND(IF(G829=1,F829/23,IF(G829=3,F829/12,IF(G829=6,F829,IF(G829=7,F829-I829,0)))),0)</f>
        <v>0</v>
      </c>
      <c r="L829" s="820">
        <f>IF(G829=6,F829,0)</f>
        <v>0</v>
      </c>
      <c r="P829" s="768" t="n"/>
      <c r="Q829" s="769" t="str">
        <f>IF($F829="","",IFERROR(VLOOKUP($C829&amp;"|"&amp;$D829,科目表!$A$5:$B$200,2,FALSE),"※未登録"))</f>
        <v/>
      </c>
      <c r="R829" s="769" t="str">
        <f>IF($F829="","",$I829+$J829+$K829)</f>
        <v/>
      </c>
      <c r="S829" s="769" t="str">
        <f>IF(OR($F829="",$P829="支払なし",$H829=0,$Q829=""),"",$Q829&amp;"|S|"&amp;(COUNTIF(S$4:S828,$Q829&amp;"|S|*")+1))</f>
        <v/>
      </c>
      <c r="T829" s="769" t="str">
        <f>IF(OR($F829="",$P829="支払なし",$R829=0,$Q829=""),"",$Q829&amp;"|L|"&amp;(COUNTIF(T$4:T828,$Q829&amp;"|L|*")+1))</f>
        <v/>
      </c>
      <c r="U829" s="769" t="str">
        <f>IF($F829="","",13)</f>
        <v/>
      </c>
    </row>
    <row r="830" ht="16.5" customHeight="1" s="186">
      <c r="A830" s="760" t="n"/>
      <c r="B830" s="760" t="n"/>
      <c r="C830" s="762" t="n"/>
      <c r="D830" s="762" t="n"/>
      <c r="E830" s="775" t="n"/>
      <c r="F830" s="821" t="n"/>
      <c r="G830" s="821" t="n"/>
      <c r="H830" s="818">
        <f>IF(G830=1,F830-I830-J830-K830,IF(G830=2,F830,0))</f>
        <v>0</v>
      </c>
      <c r="I830" s="818">
        <f>ROUND(IF(G830=1,F830*10/23,IF(G830=3,F830-J830-K830,IF(G830=4,F830,IF(G830=5,F830*10/11,IF(G830=7,F830*10/11,0))))),0)</f>
        <v>0</v>
      </c>
      <c r="J830" s="818">
        <f>ROUND(IF(G830=1,F830/23,IF(G830=3,F830/12,IF(G830=5,F830-I830,IF(G830=8,F830,0)))),0)</f>
        <v>0</v>
      </c>
      <c r="K830" s="819">
        <f>ROUND(IF(G830=1,F830/23,IF(G830=3,F830/12,IF(G830=6,F830,IF(G830=7,F830-I830,0)))),0)</f>
        <v>0</v>
      </c>
      <c r="L830" s="820">
        <f>IF(G830=6,F830,0)</f>
        <v>0</v>
      </c>
      <c r="P830" s="768" t="n"/>
      <c r="Q830" s="769" t="str">
        <f>IF($F830="","",IFERROR(VLOOKUP($C830&amp;"|"&amp;$D830,科目表!$A$5:$B$200,2,FALSE),"※未登録"))</f>
        <v/>
      </c>
      <c r="R830" s="769" t="str">
        <f>IF($F830="","",$I830+$J830+$K830)</f>
        <v/>
      </c>
      <c r="S830" s="769" t="str">
        <f>IF(OR($F830="",$P830="支払なし",$H830=0,$Q830=""),"",$Q830&amp;"|S|"&amp;(COUNTIF(S$4:S829,$Q830&amp;"|S|*")+1))</f>
        <v/>
      </c>
      <c r="T830" s="769" t="str">
        <f>IF(OR($F830="",$P830="支払なし",$R830=0,$Q830=""),"",$Q830&amp;"|L|"&amp;(COUNTIF(T$4:T829,$Q830&amp;"|L|*")+1))</f>
        <v/>
      </c>
      <c r="U830" s="769" t="str">
        <f>IF($F830="","",13)</f>
        <v/>
      </c>
    </row>
    <row r="831" ht="16.5" customHeight="1" s="186">
      <c r="A831" s="760" t="n"/>
      <c r="B831" s="760" t="n"/>
      <c r="C831" s="762" t="n"/>
      <c r="D831" s="762" t="n"/>
      <c r="E831" s="775" t="n"/>
      <c r="F831" s="821" t="n"/>
      <c r="G831" s="821" t="n"/>
      <c r="H831" s="818">
        <f>IF(G831=1,F831-I831-J831-K831,IF(G831=2,F831,0))</f>
        <v>0</v>
      </c>
      <c r="I831" s="818">
        <f>ROUND(IF(G831=1,F831*10/23,IF(G831=3,F831-J831-K831,IF(G831=4,F831,IF(G831=5,F831*10/11,IF(G831=7,F831*10/11,0))))),0)</f>
        <v>0</v>
      </c>
      <c r="J831" s="818">
        <f>ROUND(IF(G831=1,F831/23,IF(G831=3,F831/12,IF(G831=5,F831-I831,IF(G831=8,F831,0)))),0)</f>
        <v>0</v>
      </c>
      <c r="K831" s="819">
        <f>ROUND(IF(G831=1,F831/23,IF(G831=3,F831/12,IF(G831=6,F831,IF(G831=7,F831-I831,0)))),0)</f>
        <v>0</v>
      </c>
      <c r="L831" s="820">
        <f>IF(G831=6,F831,0)</f>
        <v>0</v>
      </c>
      <c r="P831" s="768" t="n"/>
      <c r="Q831" s="769" t="str">
        <f>IF($F831="","",IFERROR(VLOOKUP($C831&amp;"|"&amp;$D831,科目表!$A$5:$B$200,2,FALSE),"※未登録"))</f>
        <v/>
      </c>
      <c r="R831" s="769" t="str">
        <f>IF($F831="","",$I831+$J831+$K831)</f>
        <v/>
      </c>
      <c r="S831" s="769" t="str">
        <f>IF(OR($F831="",$P831="支払なし",$H831=0,$Q831=""),"",$Q831&amp;"|S|"&amp;(COUNTIF(S$4:S830,$Q831&amp;"|S|*")+1))</f>
        <v/>
      </c>
      <c r="T831" s="769" t="str">
        <f>IF(OR($F831="",$P831="支払なし",$R831=0,$Q831=""),"",$Q831&amp;"|L|"&amp;(COUNTIF(T$4:T830,$Q831&amp;"|L|*")+1))</f>
        <v/>
      </c>
      <c r="U831" s="769" t="str">
        <f>IF($F831="","",13)</f>
        <v/>
      </c>
    </row>
    <row r="832" ht="16.5" customHeight="1" s="186">
      <c r="A832" s="760" t="n"/>
      <c r="B832" s="760" t="n"/>
      <c r="C832" s="762" t="n"/>
      <c r="D832" s="762" t="n"/>
      <c r="E832" s="775" t="n"/>
      <c r="F832" s="821" t="n"/>
      <c r="G832" s="821" t="n"/>
      <c r="H832" s="818">
        <f>IF(G832=1,F832-I832-J832-K832,IF(G832=2,F832,0))</f>
        <v>0</v>
      </c>
      <c r="I832" s="818">
        <f>ROUND(IF(G832=1,F832*10/23,IF(G832=3,F832-J832-K832,IF(G832=4,F832,IF(G832=5,F832*10/11,IF(G832=7,F832*10/11,0))))),0)</f>
        <v>0</v>
      </c>
      <c r="J832" s="818">
        <f>ROUND(IF(G832=1,F832/23,IF(G832=3,F832/12,IF(G832=5,F832-I832,IF(G832=8,F832,0)))),0)</f>
        <v>0</v>
      </c>
      <c r="K832" s="819">
        <f>ROUND(IF(G832=1,F832/23,IF(G832=3,F832/12,IF(G832=6,F832,IF(G832=7,F832-I832,0)))),0)</f>
        <v>0</v>
      </c>
      <c r="L832" s="820">
        <f>IF(G832=6,F832,0)</f>
        <v>0</v>
      </c>
      <c r="P832" s="768" t="n"/>
      <c r="Q832" s="769" t="str">
        <f>IF($F832="","",IFERROR(VLOOKUP($C832&amp;"|"&amp;$D832,科目表!$A$5:$B$200,2,FALSE),"※未登録"))</f>
        <v/>
      </c>
      <c r="R832" s="769" t="str">
        <f>IF($F832="","",$I832+$J832+$K832)</f>
        <v/>
      </c>
      <c r="S832" s="769" t="str">
        <f>IF(OR($F832="",$P832="支払なし",$H832=0,$Q832=""),"",$Q832&amp;"|S|"&amp;(COUNTIF(S$4:S831,$Q832&amp;"|S|*")+1))</f>
        <v/>
      </c>
      <c r="T832" s="769" t="str">
        <f>IF(OR($F832="",$P832="支払なし",$R832=0,$Q832=""),"",$Q832&amp;"|L|"&amp;(COUNTIF(T$4:T831,$Q832&amp;"|L|*")+1))</f>
        <v/>
      </c>
      <c r="U832" s="769" t="str">
        <f>IF($F832="","",13)</f>
        <v/>
      </c>
    </row>
    <row r="833" ht="16.5" customHeight="1" s="186">
      <c r="A833" s="760" t="n"/>
      <c r="B833" s="760" t="n"/>
      <c r="C833" s="762" t="n"/>
      <c r="D833" s="762" t="n"/>
      <c r="E833" s="775" t="n"/>
      <c r="F833" s="821" t="n"/>
      <c r="G833" s="821" t="n"/>
      <c r="H833" s="818">
        <f>IF(G833=1,F833-I833-J833-K833,IF(G833=2,F833,0))</f>
        <v>0</v>
      </c>
      <c r="I833" s="818">
        <f>ROUND(IF(G833=1,F833*10/23,IF(G833=3,F833-J833-K833,IF(G833=4,F833,IF(G833=5,F833*10/11,IF(G833=7,F833*10/11,0))))),0)</f>
        <v>0</v>
      </c>
      <c r="J833" s="818">
        <f>ROUND(IF(G833=1,F833/23,IF(G833=3,F833/12,IF(G833=5,F833-I833,IF(G833=8,F833,0)))),0)</f>
        <v>0</v>
      </c>
      <c r="K833" s="819">
        <f>ROUND(IF(G833=1,F833/23,IF(G833=3,F833/12,IF(G833=6,F833,IF(G833=7,F833-I833,0)))),0)</f>
        <v>0</v>
      </c>
      <c r="L833" s="820">
        <f>IF(G833=6,F833,0)</f>
        <v>0</v>
      </c>
      <c r="P833" s="768" t="n"/>
      <c r="Q833" s="769" t="str">
        <f>IF($F833="","",IFERROR(VLOOKUP($C833&amp;"|"&amp;$D833,科目表!$A$5:$B$200,2,FALSE),"※未登録"))</f>
        <v/>
      </c>
      <c r="R833" s="769" t="str">
        <f>IF($F833="","",$I833+$J833+$K833)</f>
        <v/>
      </c>
      <c r="S833" s="769" t="str">
        <f>IF(OR($F833="",$P833="支払なし",$H833=0,$Q833=""),"",$Q833&amp;"|S|"&amp;(COUNTIF(S$4:S832,$Q833&amp;"|S|*")+1))</f>
        <v/>
      </c>
      <c r="T833" s="769" t="str">
        <f>IF(OR($F833="",$P833="支払なし",$R833=0,$Q833=""),"",$Q833&amp;"|L|"&amp;(COUNTIF(T$4:T832,$Q833&amp;"|L|*")+1))</f>
        <v/>
      </c>
      <c r="U833" s="769" t="str">
        <f>IF($F833="","",13)</f>
        <v/>
      </c>
    </row>
    <row r="834" ht="16.5" customHeight="1" s="186">
      <c r="A834" s="760" t="n"/>
      <c r="B834" s="760" t="n"/>
      <c r="C834" s="762" t="n"/>
      <c r="D834" s="762" t="n"/>
      <c r="E834" s="775" t="n"/>
      <c r="F834" s="821" t="n"/>
      <c r="G834" s="821" t="n"/>
      <c r="H834" s="818">
        <f>IF(G834=1,F834-I834-J834-K834,IF(G834=2,F834,0))</f>
        <v>0</v>
      </c>
      <c r="I834" s="818">
        <f>ROUND(IF(G834=1,F834*10/23,IF(G834=3,F834-J834-K834,IF(G834=4,F834,IF(G834=5,F834*10/11,IF(G834=7,F834*10/11,0))))),0)</f>
        <v>0</v>
      </c>
      <c r="J834" s="818">
        <f>ROUND(IF(G834=1,F834/23,IF(G834=3,F834/12,IF(G834=5,F834-I834,IF(G834=8,F834,0)))),0)</f>
        <v>0</v>
      </c>
      <c r="K834" s="819">
        <f>ROUND(IF(G834=1,F834/23,IF(G834=3,F834/12,IF(G834=6,F834,IF(G834=7,F834-I834,0)))),0)</f>
        <v>0</v>
      </c>
      <c r="L834" s="820">
        <f>IF(G834=6,F834,0)</f>
        <v>0</v>
      </c>
      <c r="P834" s="768" t="n"/>
      <c r="Q834" s="769" t="str">
        <f>IF($F834="","",IFERROR(VLOOKUP($C834&amp;"|"&amp;$D834,科目表!$A$5:$B$200,2,FALSE),"※未登録"))</f>
        <v/>
      </c>
      <c r="R834" s="769" t="str">
        <f>IF($F834="","",$I834+$J834+$K834)</f>
        <v/>
      </c>
      <c r="S834" s="769" t="str">
        <f>IF(OR($F834="",$P834="支払なし",$H834=0,$Q834=""),"",$Q834&amp;"|S|"&amp;(COUNTIF(S$4:S833,$Q834&amp;"|S|*")+1))</f>
        <v/>
      </c>
      <c r="T834" s="769" t="str">
        <f>IF(OR($F834="",$P834="支払なし",$R834=0,$Q834=""),"",$Q834&amp;"|L|"&amp;(COUNTIF(T$4:T833,$Q834&amp;"|L|*")+1))</f>
        <v/>
      </c>
      <c r="U834" s="769" t="str">
        <f>IF($F834="","",13)</f>
        <v/>
      </c>
    </row>
    <row r="835" ht="16.5" customHeight="1" s="186">
      <c r="A835" s="760" t="n"/>
      <c r="B835" s="760" t="n"/>
      <c r="C835" s="762" t="n"/>
      <c r="D835" s="762" t="n"/>
      <c r="E835" s="775" t="n"/>
      <c r="F835" s="821" t="n"/>
      <c r="G835" s="821" t="n"/>
      <c r="H835" s="818">
        <f>IF(G835=1,F835-I835-J835-K835,IF(G835=2,F835,0))</f>
        <v>0</v>
      </c>
      <c r="I835" s="818">
        <f>ROUND(IF(G835=1,F835*10/23,IF(G835=3,F835-J835-K835,IF(G835=4,F835,IF(G835=5,F835*10/11,IF(G835=7,F835*10/11,0))))),0)</f>
        <v>0</v>
      </c>
      <c r="J835" s="818">
        <f>ROUND(IF(G835=1,F835/23,IF(G835=3,F835/12,IF(G835=5,F835-I835,IF(G835=8,F835,0)))),0)</f>
        <v>0</v>
      </c>
      <c r="K835" s="819">
        <f>ROUND(IF(G835=1,F835/23,IF(G835=3,F835/12,IF(G835=6,F835,IF(G835=7,F835-I835,0)))),0)</f>
        <v>0</v>
      </c>
      <c r="L835" s="820">
        <f>IF(G835=6,F835,0)</f>
        <v>0</v>
      </c>
      <c r="P835" s="768" t="n"/>
      <c r="Q835" s="769" t="str">
        <f>IF($F835="","",IFERROR(VLOOKUP($C835&amp;"|"&amp;$D835,科目表!$A$5:$B$200,2,FALSE),"※未登録"))</f>
        <v/>
      </c>
      <c r="R835" s="769" t="str">
        <f>IF($F835="","",$I835+$J835+$K835)</f>
        <v/>
      </c>
      <c r="S835" s="769" t="str">
        <f>IF(OR($F835="",$P835="支払なし",$H835=0,$Q835=""),"",$Q835&amp;"|S|"&amp;(COUNTIF(S$4:S834,$Q835&amp;"|S|*")+1))</f>
        <v/>
      </c>
      <c r="T835" s="769" t="str">
        <f>IF(OR($F835="",$P835="支払なし",$R835=0,$Q835=""),"",$Q835&amp;"|L|"&amp;(COUNTIF(T$4:T834,$Q835&amp;"|L|*")+1))</f>
        <v/>
      </c>
      <c r="U835" s="769" t="str">
        <f>IF($F835="","",13)</f>
        <v/>
      </c>
    </row>
    <row r="836" ht="16.5" customHeight="1" s="186">
      <c r="A836" s="760" t="n"/>
      <c r="B836" s="760" t="n"/>
      <c r="C836" s="762" t="n"/>
      <c r="D836" s="762" t="n"/>
      <c r="E836" s="775" t="n"/>
      <c r="F836" s="821" t="n"/>
      <c r="G836" s="821" t="n"/>
      <c r="H836" s="818">
        <f>IF(G836=1,F836-I836-J836-K836,IF(G836=2,F836,0))</f>
        <v>0</v>
      </c>
      <c r="I836" s="818">
        <f>ROUND(IF(G836=1,F836*10/23,IF(G836=3,F836-J836-K836,IF(G836=4,F836,IF(G836=5,F836*10/11,IF(G836=7,F836*10/11,0))))),0)</f>
        <v>0</v>
      </c>
      <c r="J836" s="818">
        <f>ROUND(IF(G836=1,F836/23,IF(G836=3,F836/12,IF(G836=5,F836-I836,IF(G836=8,F836,0)))),0)</f>
        <v>0</v>
      </c>
      <c r="K836" s="819">
        <f>ROUND(IF(G836=1,F836/23,IF(G836=3,F836/12,IF(G836=6,F836,IF(G836=7,F836-I836,0)))),0)</f>
        <v>0</v>
      </c>
      <c r="L836" s="820">
        <f>IF(G836=6,F836,0)</f>
        <v>0</v>
      </c>
      <c r="P836" s="768" t="n"/>
      <c r="Q836" s="769" t="str">
        <f>IF($F836="","",IFERROR(VLOOKUP($C836&amp;"|"&amp;$D836,科目表!$A$5:$B$200,2,FALSE),"※未登録"))</f>
        <v/>
      </c>
      <c r="R836" s="769" t="str">
        <f>IF($F836="","",$I836+$J836+$K836)</f>
        <v/>
      </c>
      <c r="S836" s="769" t="str">
        <f>IF(OR($F836="",$P836="支払なし",$H836=0,$Q836=""),"",$Q836&amp;"|S|"&amp;(COUNTIF(S$4:S835,$Q836&amp;"|S|*")+1))</f>
        <v/>
      </c>
      <c r="T836" s="769" t="str">
        <f>IF(OR($F836="",$P836="支払なし",$R836=0,$Q836=""),"",$Q836&amp;"|L|"&amp;(COUNTIF(T$4:T835,$Q836&amp;"|L|*")+1))</f>
        <v/>
      </c>
      <c r="U836" s="769" t="str">
        <f>IF($F836="","",13)</f>
        <v/>
      </c>
    </row>
    <row r="837" ht="16.5" customHeight="1" s="186">
      <c r="A837" s="760" t="n"/>
      <c r="B837" s="760" t="n"/>
      <c r="C837" s="762" t="n"/>
      <c r="D837" s="762" t="n"/>
      <c r="E837" s="775" t="n"/>
      <c r="F837" s="821" t="n"/>
      <c r="G837" s="821" t="n"/>
      <c r="H837" s="818">
        <f>IF(G837=1,F837-I837-J837-K837,IF(G837=2,F837,0))</f>
        <v>0</v>
      </c>
      <c r="I837" s="818">
        <f>ROUND(IF(G837=1,F837*10/23,IF(G837=3,F837-J837-K837,IF(G837=4,F837,IF(G837=5,F837*10/11,IF(G837=7,F837*10/11,0))))),0)</f>
        <v>0</v>
      </c>
      <c r="J837" s="818">
        <f>ROUND(IF(G837=1,F837/23,IF(G837=3,F837/12,IF(G837=5,F837-I837,IF(G837=8,F837,0)))),0)</f>
        <v>0</v>
      </c>
      <c r="K837" s="819">
        <f>ROUND(IF(G837=1,F837/23,IF(G837=3,F837/12,IF(G837=6,F837,IF(G837=7,F837-I837,0)))),0)</f>
        <v>0</v>
      </c>
      <c r="L837" s="820">
        <f>IF(G837=6,F837,0)</f>
        <v>0</v>
      </c>
      <c r="P837" s="768" t="n"/>
      <c r="Q837" s="769" t="str">
        <f>IF($F837="","",IFERROR(VLOOKUP($C837&amp;"|"&amp;$D837,科目表!$A$5:$B$200,2,FALSE),"※未登録"))</f>
        <v/>
      </c>
      <c r="R837" s="769" t="str">
        <f>IF($F837="","",$I837+$J837+$K837)</f>
        <v/>
      </c>
      <c r="S837" s="769" t="str">
        <f>IF(OR($F837="",$P837="支払なし",$H837=0,$Q837=""),"",$Q837&amp;"|S|"&amp;(COUNTIF(S$4:S836,$Q837&amp;"|S|*")+1))</f>
        <v/>
      </c>
      <c r="T837" s="769" t="str">
        <f>IF(OR($F837="",$P837="支払なし",$R837=0,$Q837=""),"",$Q837&amp;"|L|"&amp;(COUNTIF(T$4:T836,$Q837&amp;"|L|*")+1))</f>
        <v/>
      </c>
      <c r="U837" s="769" t="str">
        <f>IF($F837="","",13)</f>
        <v/>
      </c>
    </row>
    <row r="838" ht="16.5" customHeight="1" s="186">
      <c r="A838" s="760" t="n"/>
      <c r="B838" s="760" t="n"/>
      <c r="C838" s="762" t="n"/>
      <c r="D838" s="762" t="n"/>
      <c r="E838" s="775" t="n"/>
      <c r="F838" s="821" t="n"/>
      <c r="G838" s="821" t="n"/>
      <c r="H838" s="818">
        <f>IF(G838=1,F838-I838-J838-K838,IF(G838=2,F838,0))</f>
        <v>0</v>
      </c>
      <c r="I838" s="818">
        <f>ROUND(IF(G838=1,F838*10/23,IF(G838=3,F838-J838-K838,IF(G838=4,F838,IF(G838=5,F838*10/11,IF(G838=7,F838*10/11,0))))),0)</f>
        <v>0</v>
      </c>
      <c r="J838" s="818">
        <f>ROUND(IF(G838=1,F838/23,IF(G838=3,F838/12,IF(G838=5,F838-I838,IF(G838=8,F838,0)))),0)</f>
        <v>0</v>
      </c>
      <c r="K838" s="819">
        <f>ROUND(IF(G838=1,F838/23,IF(G838=3,F838/12,IF(G838=6,F838,IF(G838=7,F838-I838,0)))),0)</f>
        <v>0</v>
      </c>
      <c r="L838" s="820">
        <f>IF(G838=6,F838,0)</f>
        <v>0</v>
      </c>
      <c r="P838" s="768" t="n"/>
      <c r="Q838" s="769" t="str">
        <f>IF($F838="","",IFERROR(VLOOKUP($C838&amp;"|"&amp;$D838,科目表!$A$5:$B$200,2,FALSE),"※未登録"))</f>
        <v/>
      </c>
      <c r="R838" s="769" t="str">
        <f>IF($F838="","",$I838+$J838+$K838)</f>
        <v/>
      </c>
      <c r="S838" s="769" t="str">
        <f>IF(OR($F838="",$P838="支払なし",$H838=0,$Q838=""),"",$Q838&amp;"|S|"&amp;(COUNTIF(S$4:S837,$Q838&amp;"|S|*")+1))</f>
        <v/>
      </c>
      <c r="T838" s="769" t="str">
        <f>IF(OR($F838="",$P838="支払なし",$R838=0,$Q838=""),"",$Q838&amp;"|L|"&amp;(COUNTIF(T$4:T837,$Q838&amp;"|L|*")+1))</f>
        <v/>
      </c>
      <c r="U838" s="769" t="str">
        <f>IF($F838="","",13)</f>
        <v/>
      </c>
    </row>
    <row r="839" ht="16.5" customHeight="1" s="186">
      <c r="A839" s="760" t="n"/>
      <c r="B839" s="760" t="n"/>
      <c r="C839" s="762" t="n"/>
      <c r="D839" s="762" t="n"/>
      <c r="E839" s="775" t="n"/>
      <c r="F839" s="821" t="n"/>
      <c r="G839" s="821" t="n"/>
      <c r="H839" s="818">
        <f>IF(G839=1,F839-I839-J839-K839,IF(G839=2,F839,0))</f>
        <v>0</v>
      </c>
      <c r="I839" s="818">
        <f>ROUND(IF(G839=1,F839*10/23,IF(G839=3,F839-J839-K839,IF(G839=4,F839,IF(G839=5,F839*10/11,IF(G839=7,F839*10/11,0))))),0)</f>
        <v>0</v>
      </c>
      <c r="J839" s="818">
        <f>ROUND(IF(G839=1,F839/23,IF(G839=3,F839/12,IF(G839=5,F839-I839,IF(G839=8,F839,0)))),0)</f>
        <v>0</v>
      </c>
      <c r="K839" s="819">
        <f>ROUND(IF(G839=1,F839/23,IF(G839=3,F839/12,IF(G839=6,F839,IF(G839=7,F839-I839,0)))),0)</f>
        <v>0</v>
      </c>
      <c r="L839" s="820">
        <f>IF(G839=6,F839,0)</f>
        <v>0</v>
      </c>
      <c r="P839" s="768" t="n"/>
      <c r="Q839" s="769" t="str">
        <f>IF($F839="","",IFERROR(VLOOKUP($C839&amp;"|"&amp;$D839,科目表!$A$5:$B$200,2,FALSE),"※未登録"))</f>
        <v/>
      </c>
      <c r="R839" s="769" t="str">
        <f>IF($F839="","",$I839+$J839+$K839)</f>
        <v/>
      </c>
      <c r="S839" s="769" t="str">
        <f>IF(OR($F839="",$P839="支払なし",$H839=0,$Q839=""),"",$Q839&amp;"|S|"&amp;(COUNTIF(S$4:S838,$Q839&amp;"|S|*")+1))</f>
        <v/>
      </c>
      <c r="T839" s="769" t="str">
        <f>IF(OR($F839="",$P839="支払なし",$R839=0,$Q839=""),"",$Q839&amp;"|L|"&amp;(COUNTIF(T$4:T838,$Q839&amp;"|L|*")+1))</f>
        <v/>
      </c>
      <c r="U839" s="769" t="str">
        <f>IF($F839="","",13)</f>
        <v/>
      </c>
    </row>
    <row r="840" ht="16.5" customHeight="1" s="186">
      <c r="A840" s="760" t="n"/>
      <c r="B840" s="760" t="n"/>
      <c r="C840" s="762" t="n"/>
      <c r="D840" s="762" t="n"/>
      <c r="E840" s="775" t="n"/>
      <c r="F840" s="821" t="n"/>
      <c r="G840" s="821" t="n"/>
      <c r="H840" s="818">
        <f>IF(G840=1,F840-I840-J840-K840,IF(G840=2,F840,0))</f>
        <v>0</v>
      </c>
      <c r="I840" s="818">
        <f>ROUND(IF(G840=1,F840*10/23,IF(G840=3,F840-J840-K840,IF(G840=4,F840,IF(G840=5,F840*10/11,IF(G840=7,F840*10/11,0))))),0)</f>
        <v>0</v>
      </c>
      <c r="J840" s="818">
        <f>ROUND(IF(G840=1,F840/23,IF(G840=3,F840/12,IF(G840=5,F840-I840,IF(G840=8,F840,0)))),0)</f>
        <v>0</v>
      </c>
      <c r="K840" s="819">
        <f>ROUND(IF(G840=1,F840/23,IF(G840=3,F840/12,IF(G840=6,F840,IF(G840=7,F840-I840,0)))),0)</f>
        <v>0</v>
      </c>
      <c r="L840" s="820">
        <f>IF(G840=6,F840,0)</f>
        <v>0</v>
      </c>
      <c r="P840" s="768" t="n"/>
      <c r="Q840" s="769" t="str">
        <f>IF($F840="","",IFERROR(VLOOKUP($C840&amp;"|"&amp;$D840,科目表!$A$5:$B$200,2,FALSE),"※未登録"))</f>
        <v/>
      </c>
      <c r="R840" s="769" t="str">
        <f>IF($F840="","",$I840+$J840+$K840)</f>
        <v/>
      </c>
      <c r="S840" s="769" t="str">
        <f>IF(OR($F840="",$P840="支払なし",$H840=0,$Q840=""),"",$Q840&amp;"|S|"&amp;(COUNTIF(S$4:S839,$Q840&amp;"|S|*")+1))</f>
        <v/>
      </c>
      <c r="T840" s="769" t="str">
        <f>IF(OR($F840="",$P840="支払なし",$R840=0,$Q840=""),"",$Q840&amp;"|L|"&amp;(COUNTIF(T$4:T839,$Q840&amp;"|L|*")+1))</f>
        <v/>
      </c>
      <c r="U840" s="769" t="str">
        <f>IF($F840="","",13)</f>
        <v/>
      </c>
    </row>
    <row r="841" ht="16.5" customHeight="1" s="186">
      <c r="A841" s="760" t="n"/>
      <c r="B841" s="760" t="n"/>
      <c r="C841" s="762" t="n"/>
      <c r="D841" s="762" t="n"/>
      <c r="E841" s="775" t="n"/>
      <c r="F841" s="821" t="n"/>
      <c r="G841" s="821" t="n"/>
      <c r="H841" s="818">
        <f>IF(G841=1,F841-I841-J841-K841,IF(G841=2,F841,0))</f>
        <v>0</v>
      </c>
      <c r="I841" s="818">
        <f>ROUND(IF(G841=1,F841*10/23,IF(G841=3,F841-J841-K841,IF(G841=4,F841,IF(G841=5,F841*10/11,IF(G841=7,F841*10/11,0))))),0)</f>
        <v>0</v>
      </c>
      <c r="J841" s="818">
        <f>ROUND(IF(G841=1,F841/23,IF(G841=3,F841/12,IF(G841=5,F841-I841,IF(G841=8,F841,0)))),0)</f>
        <v>0</v>
      </c>
      <c r="K841" s="819">
        <f>ROUND(IF(G841=1,F841/23,IF(G841=3,F841/12,IF(G841=6,F841,IF(G841=7,F841-I841,0)))),0)</f>
        <v>0</v>
      </c>
      <c r="L841" s="820">
        <f>IF(G841=6,F841,0)</f>
        <v>0</v>
      </c>
      <c r="P841" s="768" t="n"/>
      <c r="Q841" s="769" t="str">
        <f>IF($F841="","",IFERROR(VLOOKUP($C841&amp;"|"&amp;$D841,科目表!$A$5:$B$200,2,FALSE),"※未登録"))</f>
        <v/>
      </c>
      <c r="R841" s="769" t="str">
        <f>IF($F841="","",$I841+$J841+$K841)</f>
        <v/>
      </c>
      <c r="S841" s="769" t="str">
        <f>IF(OR($F841="",$P841="支払なし",$H841=0,$Q841=""),"",$Q841&amp;"|S|"&amp;(COUNTIF(S$4:S840,$Q841&amp;"|S|*")+1))</f>
        <v/>
      </c>
      <c r="T841" s="769" t="str">
        <f>IF(OR($F841="",$P841="支払なし",$R841=0,$Q841=""),"",$Q841&amp;"|L|"&amp;(COUNTIF(T$4:T840,$Q841&amp;"|L|*")+1))</f>
        <v/>
      </c>
      <c r="U841" s="769" t="str">
        <f>IF($F841="","",13)</f>
        <v/>
      </c>
    </row>
    <row r="842" ht="16.5" customHeight="1" s="186">
      <c r="A842" s="760" t="n"/>
      <c r="B842" s="760" t="n"/>
      <c r="C842" s="762" t="n"/>
      <c r="D842" s="762" t="n"/>
      <c r="E842" s="775" t="n"/>
      <c r="F842" s="821" t="n"/>
      <c r="G842" s="821" t="n"/>
      <c r="H842" s="818">
        <f>IF(G842=1,F842-I842-J842-K842,IF(G842=2,F842,0))</f>
        <v>0</v>
      </c>
      <c r="I842" s="818">
        <f>ROUND(IF(G842=1,F842*10/23,IF(G842=3,F842-J842-K842,IF(G842=4,F842,IF(G842=5,F842*10/11,IF(G842=7,F842*10/11,0))))),0)</f>
        <v>0</v>
      </c>
      <c r="J842" s="818">
        <f>ROUND(IF(G842=1,F842/23,IF(G842=3,F842/12,IF(G842=5,F842-I842,IF(G842=8,F842,0)))),0)</f>
        <v>0</v>
      </c>
      <c r="K842" s="819">
        <f>ROUND(IF(G842=1,F842/23,IF(G842=3,F842/12,IF(G842=6,F842,IF(G842=7,F842-I842,0)))),0)</f>
        <v>0</v>
      </c>
      <c r="L842" s="820">
        <f>IF(G842=6,F842,0)</f>
        <v>0</v>
      </c>
      <c r="P842" s="768" t="n"/>
      <c r="Q842" s="769" t="str">
        <f>IF($F842="","",IFERROR(VLOOKUP($C842&amp;"|"&amp;$D842,科目表!$A$5:$B$200,2,FALSE),"※未登録"))</f>
        <v/>
      </c>
      <c r="R842" s="769" t="str">
        <f>IF($F842="","",$I842+$J842+$K842)</f>
        <v/>
      </c>
      <c r="S842" s="769" t="str">
        <f>IF(OR($F842="",$P842="支払なし",$H842=0,$Q842=""),"",$Q842&amp;"|S|"&amp;(COUNTIF(S$4:S841,$Q842&amp;"|S|*")+1))</f>
        <v/>
      </c>
      <c r="T842" s="769" t="str">
        <f>IF(OR($F842="",$P842="支払なし",$R842=0,$Q842=""),"",$Q842&amp;"|L|"&amp;(COUNTIF(T$4:T841,$Q842&amp;"|L|*")+1))</f>
        <v/>
      </c>
      <c r="U842" s="769" t="str">
        <f>IF($F842="","",13)</f>
        <v/>
      </c>
    </row>
    <row r="843" ht="16.5" customHeight="1" s="186">
      <c r="A843" s="760" t="n"/>
      <c r="B843" s="760" t="n"/>
      <c r="C843" s="762" t="n"/>
      <c r="D843" s="762" t="n"/>
      <c r="E843" s="775" t="n"/>
      <c r="F843" s="821" t="n"/>
      <c r="G843" s="821" t="n"/>
      <c r="H843" s="818">
        <f>IF(G843=1,F843-I843-J843-K843,IF(G843=2,F843,0))</f>
        <v>0</v>
      </c>
      <c r="I843" s="818">
        <f>ROUND(IF(G843=1,F843*10/23,IF(G843=3,F843-J843-K843,IF(G843=4,F843,IF(G843=5,F843*10/11,IF(G843=7,F843*10/11,0))))),0)</f>
        <v>0</v>
      </c>
      <c r="J843" s="818">
        <f>ROUND(IF(G843=1,F843/23,IF(G843=3,F843/12,IF(G843=5,F843-I843,IF(G843=8,F843,0)))),0)</f>
        <v>0</v>
      </c>
      <c r="K843" s="819">
        <f>ROUND(IF(G843=1,F843/23,IF(G843=3,F843/12,IF(G843=6,F843,IF(G843=7,F843-I843,0)))),0)</f>
        <v>0</v>
      </c>
      <c r="L843" s="820">
        <f>IF(G843=6,F843,0)</f>
        <v>0</v>
      </c>
      <c r="P843" s="768" t="n"/>
      <c r="Q843" s="769" t="str">
        <f>IF($F843="","",IFERROR(VLOOKUP($C843&amp;"|"&amp;$D843,科目表!$A$5:$B$200,2,FALSE),"※未登録"))</f>
        <v/>
      </c>
      <c r="R843" s="769" t="str">
        <f>IF($F843="","",$I843+$J843+$K843)</f>
        <v/>
      </c>
      <c r="S843" s="769" t="str">
        <f>IF(OR($F843="",$P843="支払なし",$H843=0,$Q843=""),"",$Q843&amp;"|S|"&amp;(COUNTIF(S$4:S842,$Q843&amp;"|S|*")+1))</f>
        <v/>
      </c>
      <c r="T843" s="769" t="str">
        <f>IF(OR($F843="",$P843="支払なし",$R843=0,$Q843=""),"",$Q843&amp;"|L|"&amp;(COUNTIF(T$4:T842,$Q843&amp;"|L|*")+1))</f>
        <v/>
      </c>
      <c r="U843" s="769" t="str">
        <f>IF($F843="","",13)</f>
        <v/>
      </c>
    </row>
    <row r="844" ht="16.5" customHeight="1" s="186">
      <c r="A844" s="760" t="n"/>
      <c r="B844" s="760" t="n"/>
      <c r="C844" s="762" t="n"/>
      <c r="D844" s="762" t="n"/>
      <c r="E844" s="775" t="n"/>
      <c r="F844" s="821" t="n"/>
      <c r="G844" s="821" t="n"/>
      <c r="H844" s="818">
        <f>IF(G844=1,F844-I844-J844-K844,IF(G844=2,F844,0))</f>
        <v>0</v>
      </c>
      <c r="I844" s="818">
        <f>ROUND(IF(G844=1,F844*10/23,IF(G844=3,F844-J844-K844,IF(G844=4,F844,IF(G844=5,F844*10/11,IF(G844=7,F844*10/11,0))))),0)</f>
        <v>0</v>
      </c>
      <c r="J844" s="818">
        <f>ROUND(IF(G844=1,F844/23,IF(G844=3,F844/12,IF(G844=5,F844-I844,IF(G844=8,F844,0)))),0)</f>
        <v>0</v>
      </c>
      <c r="K844" s="819">
        <f>ROUND(IF(G844=1,F844/23,IF(G844=3,F844/12,IF(G844=6,F844,IF(G844=7,F844-I844,0)))),0)</f>
        <v>0</v>
      </c>
      <c r="L844" s="820">
        <f>IF(G844=6,F844,0)</f>
        <v>0</v>
      </c>
      <c r="P844" s="768" t="n"/>
      <c r="Q844" s="769" t="str">
        <f>IF($F844="","",IFERROR(VLOOKUP($C844&amp;"|"&amp;$D844,科目表!$A$5:$B$200,2,FALSE),"※未登録"))</f>
        <v/>
      </c>
      <c r="R844" s="769" t="str">
        <f>IF($F844="","",$I844+$J844+$K844)</f>
        <v/>
      </c>
      <c r="S844" s="769" t="str">
        <f>IF(OR($F844="",$P844="支払なし",$H844=0,$Q844=""),"",$Q844&amp;"|S|"&amp;(COUNTIF(S$4:S843,$Q844&amp;"|S|*")+1))</f>
        <v/>
      </c>
      <c r="T844" s="769" t="str">
        <f>IF(OR($F844="",$P844="支払なし",$R844=0,$Q844=""),"",$Q844&amp;"|L|"&amp;(COUNTIF(T$4:T843,$Q844&amp;"|L|*")+1))</f>
        <v/>
      </c>
      <c r="U844" s="769" t="str">
        <f>IF($F844="","",13)</f>
        <v/>
      </c>
    </row>
    <row r="845" ht="16.5" customHeight="1" s="186">
      <c r="A845" s="760" t="n"/>
      <c r="B845" s="760" t="n"/>
      <c r="C845" s="762" t="n"/>
      <c r="D845" s="762" t="n"/>
      <c r="E845" s="775" t="n"/>
      <c r="F845" s="821" t="n"/>
      <c r="G845" s="821" t="n"/>
      <c r="H845" s="818">
        <f>IF(G845=1,F845-I845-J845-K845,IF(G845=2,F845,0))</f>
        <v>0</v>
      </c>
      <c r="I845" s="818">
        <f>ROUND(IF(G845=1,F845*10/23,IF(G845=3,F845-J845-K845,IF(G845=4,F845,IF(G845=5,F845*10/11,IF(G845=7,F845*10/11,0))))),0)</f>
        <v>0</v>
      </c>
      <c r="J845" s="818">
        <f>ROUND(IF(G845=1,F845/23,IF(G845=3,F845/12,IF(G845=5,F845-I845,IF(G845=8,F845,0)))),0)</f>
        <v>0</v>
      </c>
      <c r="K845" s="819">
        <f>ROUND(IF(G845=1,F845/23,IF(G845=3,F845/12,IF(G845=6,F845,IF(G845=7,F845-I845,0)))),0)</f>
        <v>0</v>
      </c>
      <c r="L845" s="820">
        <f>IF(G845=6,F845,0)</f>
        <v>0</v>
      </c>
      <c r="P845" s="768" t="n"/>
      <c r="Q845" s="769" t="str">
        <f>IF($F845="","",IFERROR(VLOOKUP($C845&amp;"|"&amp;$D845,科目表!$A$5:$B$200,2,FALSE),"※未登録"))</f>
        <v/>
      </c>
      <c r="R845" s="769" t="str">
        <f>IF($F845="","",$I845+$J845+$K845)</f>
        <v/>
      </c>
      <c r="S845" s="769" t="str">
        <f>IF(OR($F845="",$P845="支払なし",$H845=0,$Q845=""),"",$Q845&amp;"|S|"&amp;(COUNTIF(S$4:S844,$Q845&amp;"|S|*")+1))</f>
        <v/>
      </c>
      <c r="T845" s="769" t="str">
        <f>IF(OR($F845="",$P845="支払なし",$R845=0,$Q845=""),"",$Q845&amp;"|L|"&amp;(COUNTIF(T$4:T844,$Q845&amp;"|L|*")+1))</f>
        <v/>
      </c>
      <c r="U845" s="769" t="str">
        <f>IF($F845="","",13)</f>
        <v/>
      </c>
    </row>
    <row r="846" ht="16.5" customHeight="1" s="186">
      <c r="A846" s="760" t="n"/>
      <c r="B846" s="760" t="n"/>
      <c r="C846" s="762" t="n"/>
      <c r="D846" s="762" t="n"/>
      <c r="E846" s="775" t="n"/>
      <c r="F846" s="821" t="n"/>
      <c r="G846" s="821" t="n"/>
      <c r="H846" s="818">
        <f>IF(G846=1,F846-I846-J846-K846,IF(G846=2,F846,0))</f>
        <v>0</v>
      </c>
      <c r="I846" s="818">
        <f>ROUND(IF(G846=1,F846*10/23,IF(G846=3,F846-J846-K846,IF(G846=4,F846,IF(G846=5,F846*10/11,IF(G846=7,F846*10/11,0))))),0)</f>
        <v>0</v>
      </c>
      <c r="J846" s="818">
        <f>ROUND(IF(G846=1,F846/23,IF(G846=3,F846/12,IF(G846=5,F846-I846,IF(G846=8,F846,0)))),0)</f>
        <v>0</v>
      </c>
      <c r="K846" s="819">
        <f>ROUND(IF(G846=1,F846/23,IF(G846=3,F846/12,IF(G846=6,F846,IF(G846=7,F846-I846,0)))),0)</f>
        <v>0</v>
      </c>
      <c r="L846" s="820">
        <f>IF(G846=6,F846,0)</f>
        <v>0</v>
      </c>
      <c r="P846" s="768" t="n"/>
      <c r="Q846" s="769" t="str">
        <f>IF($F846="","",IFERROR(VLOOKUP($C846&amp;"|"&amp;$D846,科目表!$A$5:$B$200,2,FALSE),"※未登録"))</f>
        <v/>
      </c>
      <c r="R846" s="769" t="str">
        <f>IF($F846="","",$I846+$J846+$K846)</f>
        <v/>
      </c>
      <c r="S846" s="769" t="str">
        <f>IF(OR($F846="",$P846="支払なし",$H846=0,$Q846=""),"",$Q846&amp;"|S|"&amp;(COUNTIF(S$4:S845,$Q846&amp;"|S|*")+1))</f>
        <v/>
      </c>
      <c r="T846" s="769" t="str">
        <f>IF(OR($F846="",$P846="支払なし",$R846=0,$Q846=""),"",$Q846&amp;"|L|"&amp;(COUNTIF(T$4:T845,$Q846&amp;"|L|*")+1))</f>
        <v/>
      </c>
      <c r="U846" s="769" t="str">
        <f>IF($F846="","",13)</f>
        <v/>
      </c>
    </row>
    <row r="847" ht="16.5" customHeight="1" s="186">
      <c r="A847" s="760" t="n"/>
      <c r="B847" s="760" t="n"/>
      <c r="C847" s="762" t="n"/>
      <c r="D847" s="762" t="n"/>
      <c r="E847" s="775" t="n"/>
      <c r="F847" s="821" t="n"/>
      <c r="G847" s="821" t="n"/>
      <c r="H847" s="818">
        <f>IF(G847=1,F847-I847-J847-K847,IF(G847=2,F847,0))</f>
        <v>0</v>
      </c>
      <c r="I847" s="818">
        <f>ROUND(IF(G847=1,F847*10/23,IF(G847=3,F847-J847-K847,IF(G847=4,F847,IF(G847=5,F847*10/11,IF(G847=7,F847*10/11,0))))),0)</f>
        <v>0</v>
      </c>
      <c r="J847" s="818">
        <f>ROUND(IF(G847=1,F847/23,IF(G847=3,F847/12,IF(G847=5,F847-I847,IF(G847=8,F847,0)))),0)</f>
        <v>0</v>
      </c>
      <c r="K847" s="819">
        <f>ROUND(IF(G847=1,F847/23,IF(G847=3,F847/12,IF(G847=6,F847,IF(G847=7,F847-I847,0)))),0)</f>
        <v>0</v>
      </c>
      <c r="L847" s="820">
        <f>IF(G847=6,F847,0)</f>
        <v>0</v>
      </c>
      <c r="P847" s="768" t="n"/>
      <c r="Q847" s="769" t="str">
        <f>IF($F847="","",IFERROR(VLOOKUP($C847&amp;"|"&amp;$D847,科目表!$A$5:$B$200,2,FALSE),"※未登録"))</f>
        <v/>
      </c>
      <c r="R847" s="769" t="str">
        <f>IF($F847="","",$I847+$J847+$K847)</f>
        <v/>
      </c>
      <c r="S847" s="769" t="str">
        <f>IF(OR($F847="",$P847="支払なし",$H847=0,$Q847=""),"",$Q847&amp;"|S|"&amp;(COUNTIF(S$4:S846,$Q847&amp;"|S|*")+1))</f>
        <v/>
      </c>
      <c r="T847" s="769" t="str">
        <f>IF(OR($F847="",$P847="支払なし",$R847=0,$Q847=""),"",$Q847&amp;"|L|"&amp;(COUNTIF(T$4:T846,$Q847&amp;"|L|*")+1))</f>
        <v/>
      </c>
      <c r="U847" s="769" t="str">
        <f>IF($F847="","",13)</f>
        <v/>
      </c>
    </row>
    <row r="848" ht="16.5" customHeight="1" s="186">
      <c r="A848" s="760" t="n"/>
      <c r="B848" s="760" t="n"/>
      <c r="C848" s="762" t="n"/>
      <c r="D848" s="762" t="n"/>
      <c r="E848" s="775" t="n"/>
      <c r="F848" s="821" t="n"/>
      <c r="G848" s="821" t="n"/>
      <c r="H848" s="818">
        <f>IF(G848=1,F848-I848-J848-K848,IF(G848=2,F848,0))</f>
        <v>0</v>
      </c>
      <c r="I848" s="818">
        <f>ROUND(IF(G848=1,F848*10/23,IF(G848=3,F848-J848-K848,IF(G848=4,F848,IF(G848=5,F848*10/11,IF(G848=7,F848*10/11,0))))),0)</f>
        <v>0</v>
      </c>
      <c r="J848" s="818">
        <f>ROUND(IF(G848=1,F848/23,IF(G848=3,F848/12,IF(G848=5,F848-I848,IF(G848=8,F848,0)))),0)</f>
        <v>0</v>
      </c>
      <c r="K848" s="819">
        <f>ROUND(IF(G848=1,F848/23,IF(G848=3,F848/12,IF(G848=6,F848,IF(G848=7,F848-I848,0)))),0)</f>
        <v>0</v>
      </c>
      <c r="L848" s="820">
        <f>IF(G848=6,F848,0)</f>
        <v>0</v>
      </c>
      <c r="P848" s="768" t="n"/>
      <c r="Q848" s="769" t="str">
        <f>IF($F848="","",IFERROR(VLOOKUP($C848&amp;"|"&amp;$D848,科目表!$A$5:$B$200,2,FALSE),"※未登録"))</f>
        <v/>
      </c>
      <c r="R848" s="769" t="str">
        <f>IF($F848="","",$I848+$J848+$K848)</f>
        <v/>
      </c>
      <c r="S848" s="769" t="str">
        <f>IF(OR($F848="",$P848="支払なし",$H848=0,$Q848=""),"",$Q848&amp;"|S|"&amp;(COUNTIF(S$4:S847,$Q848&amp;"|S|*")+1))</f>
        <v/>
      </c>
      <c r="T848" s="769" t="str">
        <f>IF(OR($F848="",$P848="支払なし",$R848=0,$Q848=""),"",$Q848&amp;"|L|"&amp;(COUNTIF(T$4:T847,$Q848&amp;"|L|*")+1))</f>
        <v/>
      </c>
      <c r="U848" s="769" t="str">
        <f>IF($F848="","",13)</f>
        <v/>
      </c>
    </row>
    <row r="849" ht="16.5" customHeight="1" s="186">
      <c r="A849" s="760" t="n"/>
      <c r="B849" s="760" t="n"/>
      <c r="C849" s="762" t="n"/>
      <c r="D849" s="762" t="n"/>
      <c r="E849" s="775" t="n"/>
      <c r="F849" s="821" t="n"/>
      <c r="G849" s="821" t="n"/>
      <c r="H849" s="818">
        <f>IF(G849=1,F849-I849-J849-K849,IF(G849=2,F849,0))</f>
        <v>0</v>
      </c>
      <c r="I849" s="818">
        <f>ROUND(IF(G849=1,F849*10/23,IF(G849=3,F849-J849-K849,IF(G849=4,F849,IF(G849=5,F849*10/11,IF(G849=7,F849*10/11,0))))),0)</f>
        <v>0</v>
      </c>
      <c r="J849" s="818">
        <f>ROUND(IF(G849=1,F849/23,IF(G849=3,F849/12,IF(G849=5,F849-I849,IF(G849=8,F849,0)))),0)</f>
        <v>0</v>
      </c>
      <c r="K849" s="819">
        <f>ROUND(IF(G849=1,F849/23,IF(G849=3,F849/12,IF(G849=6,F849,IF(G849=7,F849-I849,0)))),0)</f>
        <v>0</v>
      </c>
      <c r="L849" s="820">
        <f>IF(G849=6,F849,0)</f>
        <v>0</v>
      </c>
      <c r="P849" s="768" t="n"/>
      <c r="Q849" s="769" t="str">
        <f>IF($F849="","",IFERROR(VLOOKUP($C849&amp;"|"&amp;$D849,科目表!$A$5:$B$200,2,FALSE),"※未登録"))</f>
        <v/>
      </c>
      <c r="R849" s="769" t="str">
        <f>IF($F849="","",$I849+$J849+$K849)</f>
        <v/>
      </c>
      <c r="S849" s="769" t="str">
        <f>IF(OR($F849="",$P849="支払なし",$H849=0,$Q849=""),"",$Q849&amp;"|S|"&amp;(COUNTIF(S$4:S848,$Q849&amp;"|S|*")+1))</f>
        <v/>
      </c>
      <c r="T849" s="769" t="str">
        <f>IF(OR($F849="",$P849="支払なし",$R849=0,$Q849=""),"",$Q849&amp;"|L|"&amp;(COUNTIF(T$4:T848,$Q849&amp;"|L|*")+1))</f>
        <v/>
      </c>
      <c r="U849" s="769" t="str">
        <f>IF($F849="","",13)</f>
        <v/>
      </c>
    </row>
    <row r="850" ht="16.5" customHeight="1" s="186">
      <c r="A850" s="760" t="n"/>
      <c r="B850" s="760" t="n"/>
      <c r="C850" s="762" t="n"/>
      <c r="D850" s="762" t="n"/>
      <c r="E850" s="775" t="n"/>
      <c r="F850" s="821" t="n"/>
      <c r="G850" s="821" t="n"/>
      <c r="H850" s="818">
        <f>IF(G850=1,F850-I850-J850-K850,IF(G850=2,F850,0))</f>
        <v>0</v>
      </c>
      <c r="I850" s="818">
        <f>ROUND(IF(G850=1,F850*10/23,IF(G850=3,F850-J850-K850,IF(G850=4,F850,IF(G850=5,F850*10/11,IF(G850=7,F850*10/11,0))))),0)</f>
        <v>0</v>
      </c>
      <c r="J850" s="818">
        <f>ROUND(IF(G850=1,F850/23,IF(G850=3,F850/12,IF(G850=5,F850-I850,IF(G850=8,F850,0)))),0)</f>
        <v>0</v>
      </c>
      <c r="K850" s="819">
        <f>ROUND(IF(G850=1,F850/23,IF(G850=3,F850/12,IF(G850=6,F850,IF(G850=7,F850-I850,0)))),0)</f>
        <v>0</v>
      </c>
      <c r="L850" s="820">
        <f>IF(G850=6,F850,0)</f>
        <v>0</v>
      </c>
      <c r="P850" s="768" t="n"/>
      <c r="Q850" s="769" t="str">
        <f>IF($F850="","",IFERROR(VLOOKUP($C850&amp;"|"&amp;$D850,科目表!$A$5:$B$200,2,FALSE),"※未登録"))</f>
        <v/>
      </c>
      <c r="R850" s="769" t="str">
        <f>IF($F850="","",$I850+$J850+$K850)</f>
        <v/>
      </c>
      <c r="S850" s="769" t="str">
        <f>IF(OR($F850="",$P850="支払なし",$H850=0,$Q850=""),"",$Q850&amp;"|S|"&amp;(COUNTIF(S$4:S849,$Q850&amp;"|S|*")+1))</f>
        <v/>
      </c>
      <c r="T850" s="769" t="str">
        <f>IF(OR($F850="",$P850="支払なし",$R850=0,$Q850=""),"",$Q850&amp;"|L|"&amp;(COUNTIF(T$4:T849,$Q850&amp;"|L|*")+1))</f>
        <v/>
      </c>
      <c r="U850" s="769" t="str">
        <f>IF($F850="","",13)</f>
        <v/>
      </c>
    </row>
    <row r="851" ht="16.5" customHeight="1" s="186">
      <c r="A851" s="760" t="n"/>
      <c r="B851" s="760" t="n"/>
      <c r="C851" s="762" t="n"/>
      <c r="D851" s="762" t="n"/>
      <c r="E851" s="775" t="n"/>
      <c r="F851" s="821" t="n"/>
      <c r="G851" s="821" t="n"/>
      <c r="H851" s="818">
        <f>IF(G851=1,F851-I851-J851-K851,IF(G851=2,F851,0))</f>
        <v>0</v>
      </c>
      <c r="I851" s="818">
        <f>ROUND(IF(G851=1,F851*10/23,IF(G851=3,F851-J851-K851,IF(G851=4,F851,IF(G851=5,F851*10/11,IF(G851=7,F851*10/11,0))))),0)</f>
        <v>0</v>
      </c>
      <c r="J851" s="818">
        <f>ROUND(IF(G851=1,F851/23,IF(G851=3,F851/12,IF(G851=5,F851-I851,IF(G851=8,F851,0)))),0)</f>
        <v>0</v>
      </c>
      <c r="K851" s="819">
        <f>ROUND(IF(G851=1,F851/23,IF(G851=3,F851/12,IF(G851=6,F851,IF(G851=7,F851-I851,0)))),0)</f>
        <v>0</v>
      </c>
      <c r="L851" s="820">
        <f>IF(G851=6,F851,0)</f>
        <v>0</v>
      </c>
      <c r="P851" s="768" t="n"/>
      <c r="Q851" s="769" t="str">
        <f>IF($F851="","",IFERROR(VLOOKUP($C851&amp;"|"&amp;$D851,科目表!$A$5:$B$200,2,FALSE),"※未登録"))</f>
        <v/>
      </c>
      <c r="R851" s="769" t="str">
        <f>IF($F851="","",$I851+$J851+$K851)</f>
        <v/>
      </c>
      <c r="S851" s="769" t="str">
        <f>IF(OR($F851="",$P851="支払なし",$H851=0,$Q851=""),"",$Q851&amp;"|S|"&amp;(COUNTIF(S$4:S850,$Q851&amp;"|S|*")+1))</f>
        <v/>
      </c>
      <c r="T851" s="769" t="str">
        <f>IF(OR($F851="",$P851="支払なし",$R851=0,$Q851=""),"",$Q851&amp;"|L|"&amp;(COUNTIF(T$4:T850,$Q851&amp;"|L|*")+1))</f>
        <v/>
      </c>
      <c r="U851" s="769" t="str">
        <f>IF($F851="","",13)</f>
        <v/>
      </c>
    </row>
    <row r="852" ht="16.5" customHeight="1" s="186">
      <c r="A852" s="760" t="n"/>
      <c r="B852" s="760" t="n"/>
      <c r="C852" s="762" t="n"/>
      <c r="D852" s="762" t="n"/>
      <c r="E852" s="775" t="n"/>
      <c r="F852" s="821" t="n"/>
      <c r="G852" s="821" t="n"/>
      <c r="H852" s="818">
        <f>IF(G852=1,F852-I852-J852-K852,IF(G852=2,F852,0))</f>
        <v>0</v>
      </c>
      <c r="I852" s="818">
        <f>ROUND(IF(G852=1,F852*10/23,IF(G852=3,F852-J852-K852,IF(G852=4,F852,IF(G852=5,F852*10/11,IF(G852=7,F852*10/11,0))))),0)</f>
        <v>0</v>
      </c>
      <c r="J852" s="818">
        <f>ROUND(IF(G852=1,F852/23,IF(G852=3,F852/12,IF(G852=5,F852-I852,IF(G852=8,F852,0)))),0)</f>
        <v>0</v>
      </c>
      <c r="K852" s="819">
        <f>ROUND(IF(G852=1,F852/23,IF(G852=3,F852/12,IF(G852=6,F852,IF(G852=7,F852-I852,0)))),0)</f>
        <v>0</v>
      </c>
      <c r="L852" s="820">
        <f>IF(G852=6,F852,0)</f>
        <v>0</v>
      </c>
      <c r="P852" s="768" t="n"/>
      <c r="Q852" s="769" t="str">
        <f>IF($F852="","",IFERROR(VLOOKUP($C852&amp;"|"&amp;$D852,科目表!$A$5:$B$200,2,FALSE),"※未登録"))</f>
        <v/>
      </c>
      <c r="R852" s="769" t="str">
        <f>IF($F852="","",$I852+$J852+$K852)</f>
        <v/>
      </c>
      <c r="S852" s="769" t="str">
        <f>IF(OR($F852="",$P852="支払なし",$H852=0,$Q852=""),"",$Q852&amp;"|S|"&amp;(COUNTIF(S$4:S851,$Q852&amp;"|S|*")+1))</f>
        <v/>
      </c>
      <c r="T852" s="769" t="str">
        <f>IF(OR($F852="",$P852="支払なし",$R852=0,$Q852=""),"",$Q852&amp;"|L|"&amp;(COUNTIF(T$4:T851,$Q852&amp;"|L|*")+1))</f>
        <v/>
      </c>
      <c r="U852" s="769" t="str">
        <f>IF($F852="","",13)</f>
        <v/>
      </c>
    </row>
    <row r="853" ht="16.5" customHeight="1" s="186">
      <c r="A853" s="760" t="n"/>
      <c r="B853" s="760" t="n"/>
      <c r="C853" s="762" t="n"/>
      <c r="D853" s="762" t="n"/>
      <c r="E853" s="775" t="n"/>
      <c r="F853" s="821" t="n"/>
      <c r="G853" s="821" t="n"/>
      <c r="H853" s="818">
        <f>IF(G853=1,F853-I853-J853-K853,IF(G853=2,F853,0))</f>
        <v>0</v>
      </c>
      <c r="I853" s="818">
        <f>ROUND(IF(G853=1,F853*10/23,IF(G853=3,F853-J853-K853,IF(G853=4,F853,IF(G853=5,F853*10/11,IF(G853=7,F853*10/11,0))))),0)</f>
        <v>0</v>
      </c>
      <c r="J853" s="818">
        <f>ROUND(IF(G853=1,F853/23,IF(G853=3,F853/12,IF(G853=5,F853-I853,IF(G853=8,F853,0)))),0)</f>
        <v>0</v>
      </c>
      <c r="K853" s="819">
        <f>ROUND(IF(G853=1,F853/23,IF(G853=3,F853/12,IF(G853=6,F853,IF(G853=7,F853-I853,0)))),0)</f>
        <v>0</v>
      </c>
      <c r="L853" s="820">
        <f>IF(G853=6,F853,0)</f>
        <v>0</v>
      </c>
      <c r="P853" s="768" t="n"/>
      <c r="Q853" s="769" t="str">
        <f>IF($F853="","",IFERROR(VLOOKUP($C853&amp;"|"&amp;$D853,科目表!$A$5:$B$200,2,FALSE),"※未登録"))</f>
        <v/>
      </c>
      <c r="R853" s="769" t="str">
        <f>IF($F853="","",$I853+$J853+$K853)</f>
        <v/>
      </c>
      <c r="S853" s="769" t="str">
        <f>IF(OR($F853="",$P853="支払なし",$H853=0,$Q853=""),"",$Q853&amp;"|S|"&amp;(COUNTIF(S$4:S852,$Q853&amp;"|S|*")+1))</f>
        <v/>
      </c>
      <c r="T853" s="769" t="str">
        <f>IF(OR($F853="",$P853="支払なし",$R853=0,$Q853=""),"",$Q853&amp;"|L|"&amp;(COUNTIF(T$4:T852,$Q853&amp;"|L|*")+1))</f>
        <v/>
      </c>
      <c r="U853" s="769" t="str">
        <f>IF($F853="","",13)</f>
        <v/>
      </c>
    </row>
    <row r="854" ht="16.5" customHeight="1" s="186">
      <c r="A854" s="760" t="n"/>
      <c r="B854" s="760" t="n"/>
      <c r="C854" s="762" t="n"/>
      <c r="D854" s="762" t="n"/>
      <c r="E854" s="775" t="n"/>
      <c r="F854" s="821" t="n"/>
      <c r="G854" s="821" t="n"/>
      <c r="H854" s="818">
        <f>IF(G854=1,F854-I854-J854-K854,IF(G854=2,F854,0))</f>
        <v>0</v>
      </c>
      <c r="I854" s="818">
        <f>ROUND(IF(G854=1,F854*10/23,IF(G854=3,F854-J854-K854,IF(G854=4,F854,IF(G854=5,F854*10/11,IF(G854=7,F854*10/11,0))))),0)</f>
        <v>0</v>
      </c>
      <c r="J854" s="818">
        <f>ROUND(IF(G854=1,F854/23,IF(G854=3,F854/12,IF(G854=5,F854-I854,IF(G854=8,F854,0)))),0)</f>
        <v>0</v>
      </c>
      <c r="K854" s="819">
        <f>ROUND(IF(G854=1,F854/23,IF(G854=3,F854/12,IF(G854=6,F854,IF(G854=7,F854-I854,0)))),0)</f>
        <v>0</v>
      </c>
      <c r="L854" s="820">
        <f>IF(G854=6,F854,0)</f>
        <v>0</v>
      </c>
      <c r="P854" s="768" t="n"/>
      <c r="Q854" s="769" t="str">
        <f>IF($F854="","",IFERROR(VLOOKUP($C854&amp;"|"&amp;$D854,科目表!$A$5:$B$200,2,FALSE),"※未登録"))</f>
        <v/>
      </c>
      <c r="R854" s="769" t="str">
        <f>IF($F854="","",$I854+$J854+$K854)</f>
        <v/>
      </c>
      <c r="S854" s="769" t="str">
        <f>IF(OR($F854="",$P854="支払なし",$H854=0,$Q854=""),"",$Q854&amp;"|S|"&amp;(COUNTIF(S$4:S853,$Q854&amp;"|S|*")+1))</f>
        <v/>
      </c>
      <c r="T854" s="769" t="str">
        <f>IF(OR($F854="",$P854="支払なし",$R854=0,$Q854=""),"",$Q854&amp;"|L|"&amp;(COUNTIF(T$4:T853,$Q854&amp;"|L|*")+1))</f>
        <v/>
      </c>
      <c r="U854" s="769" t="str">
        <f>IF($F854="","",13)</f>
        <v/>
      </c>
    </row>
    <row r="855" ht="16.5" customHeight="1" s="186">
      <c r="A855" s="760" t="n"/>
      <c r="B855" s="760" t="n"/>
      <c r="C855" s="762" t="n"/>
      <c r="D855" s="762" t="n"/>
      <c r="E855" s="775" t="n"/>
      <c r="F855" s="821" t="n"/>
      <c r="G855" s="821" t="n"/>
      <c r="H855" s="818">
        <f>IF(G855=1,F855-I855-J855-K855,IF(G855=2,F855,0))</f>
        <v>0</v>
      </c>
      <c r="I855" s="818">
        <f>ROUND(IF(G855=1,F855*10/23,IF(G855=3,F855-J855-K855,IF(G855=4,F855,IF(G855=5,F855*10/11,IF(G855=7,F855*10/11,0))))),0)</f>
        <v>0</v>
      </c>
      <c r="J855" s="818">
        <f>ROUND(IF(G855=1,F855/23,IF(G855=3,F855/12,IF(G855=5,F855-I855,IF(G855=8,F855,0)))),0)</f>
        <v>0</v>
      </c>
      <c r="K855" s="819">
        <f>ROUND(IF(G855=1,F855/23,IF(G855=3,F855/12,IF(G855=6,F855,IF(G855=7,F855-I855,0)))),0)</f>
        <v>0</v>
      </c>
      <c r="L855" s="820">
        <f>IF(G855=6,F855,0)</f>
        <v>0</v>
      </c>
      <c r="P855" s="768" t="n"/>
      <c r="Q855" s="769" t="str">
        <f>IF($F855="","",IFERROR(VLOOKUP($C855&amp;"|"&amp;$D855,科目表!$A$5:$B$200,2,FALSE),"※未登録"))</f>
        <v/>
      </c>
      <c r="R855" s="769" t="str">
        <f>IF($F855="","",$I855+$J855+$K855)</f>
        <v/>
      </c>
      <c r="S855" s="769" t="str">
        <f>IF(OR($F855="",$P855="支払なし",$H855=0,$Q855=""),"",$Q855&amp;"|S|"&amp;(COUNTIF(S$4:S854,$Q855&amp;"|S|*")+1))</f>
        <v/>
      </c>
      <c r="T855" s="769" t="str">
        <f>IF(OR($F855="",$P855="支払なし",$R855=0,$Q855=""),"",$Q855&amp;"|L|"&amp;(COUNTIF(T$4:T854,$Q855&amp;"|L|*")+1))</f>
        <v/>
      </c>
      <c r="U855" s="769" t="str">
        <f>IF($F855="","",13)</f>
        <v/>
      </c>
    </row>
    <row r="856" ht="16.5" customHeight="1" s="186">
      <c r="A856" s="760" t="n"/>
      <c r="B856" s="760" t="n"/>
      <c r="C856" s="762" t="n"/>
      <c r="D856" s="762" t="n"/>
      <c r="E856" s="775" t="n"/>
      <c r="F856" s="821" t="n"/>
      <c r="G856" s="821" t="n"/>
      <c r="H856" s="818">
        <f>IF(G856=1,F856-I856-J856-K856,IF(G856=2,F856,0))</f>
        <v>0</v>
      </c>
      <c r="I856" s="818">
        <f>ROUND(IF(G856=1,F856*10/23,IF(G856=3,F856-J856-K856,IF(G856=4,F856,IF(G856=5,F856*10/11,IF(G856=7,F856*10/11,0))))),0)</f>
        <v>0</v>
      </c>
      <c r="J856" s="818">
        <f>ROUND(IF(G856=1,F856/23,IF(G856=3,F856/12,IF(G856=5,F856-I856,IF(G856=8,F856,0)))),0)</f>
        <v>0</v>
      </c>
      <c r="K856" s="819">
        <f>ROUND(IF(G856=1,F856/23,IF(G856=3,F856/12,IF(G856=6,F856,IF(G856=7,F856-I856,0)))),0)</f>
        <v>0</v>
      </c>
      <c r="L856" s="820">
        <f>IF(G856=6,F856,0)</f>
        <v>0</v>
      </c>
      <c r="P856" s="768" t="n"/>
      <c r="Q856" s="769" t="str">
        <f>IF($F856="","",IFERROR(VLOOKUP($C856&amp;"|"&amp;$D856,科目表!$A$5:$B$200,2,FALSE),"※未登録"))</f>
        <v/>
      </c>
      <c r="R856" s="769" t="str">
        <f>IF($F856="","",$I856+$J856+$K856)</f>
        <v/>
      </c>
      <c r="S856" s="769" t="str">
        <f>IF(OR($F856="",$P856="支払なし",$H856=0,$Q856=""),"",$Q856&amp;"|S|"&amp;(COUNTIF(S$4:S855,$Q856&amp;"|S|*")+1))</f>
        <v/>
      </c>
      <c r="T856" s="769" t="str">
        <f>IF(OR($F856="",$P856="支払なし",$R856=0,$Q856=""),"",$Q856&amp;"|L|"&amp;(COUNTIF(T$4:T855,$Q856&amp;"|L|*")+1))</f>
        <v/>
      </c>
      <c r="U856" s="769" t="str">
        <f>IF($F856="","",13)</f>
        <v/>
      </c>
    </row>
    <row r="857" ht="16.5" customHeight="1" s="186">
      <c r="A857" s="760" t="n"/>
      <c r="B857" s="760" t="n"/>
      <c r="C857" s="762" t="n"/>
      <c r="D857" s="762" t="n"/>
      <c r="E857" s="775" t="n"/>
      <c r="F857" s="821" t="n"/>
      <c r="G857" s="821" t="n"/>
      <c r="H857" s="818">
        <f>IF(G857=1,F857-I857-J857-K857,IF(G857=2,F857,0))</f>
        <v>0</v>
      </c>
      <c r="I857" s="818">
        <f>ROUND(IF(G857=1,F857*10/23,IF(G857=3,F857-J857-K857,IF(G857=4,F857,IF(G857=5,F857*10/11,IF(G857=7,F857*10/11,0))))),0)</f>
        <v>0</v>
      </c>
      <c r="J857" s="818">
        <f>ROUND(IF(G857=1,F857/23,IF(G857=3,F857/12,IF(G857=5,F857-I857,IF(G857=8,F857,0)))),0)</f>
        <v>0</v>
      </c>
      <c r="K857" s="819">
        <f>ROUND(IF(G857=1,F857/23,IF(G857=3,F857/12,IF(G857=6,F857,IF(G857=7,F857-I857,0)))),0)</f>
        <v>0</v>
      </c>
      <c r="L857" s="820">
        <f>IF(G857=6,F857,0)</f>
        <v>0</v>
      </c>
      <c r="P857" s="768" t="n"/>
      <c r="Q857" s="769" t="str">
        <f>IF($F857="","",IFERROR(VLOOKUP($C857&amp;"|"&amp;$D857,科目表!$A$5:$B$200,2,FALSE),"※未登録"))</f>
        <v/>
      </c>
      <c r="R857" s="769" t="str">
        <f>IF($F857="","",$I857+$J857+$K857)</f>
        <v/>
      </c>
      <c r="S857" s="769" t="str">
        <f>IF(OR($F857="",$P857="支払なし",$H857=0,$Q857=""),"",$Q857&amp;"|S|"&amp;(COUNTIF(S$4:S856,$Q857&amp;"|S|*")+1))</f>
        <v/>
      </c>
      <c r="T857" s="769" t="str">
        <f>IF(OR($F857="",$P857="支払なし",$R857=0,$Q857=""),"",$Q857&amp;"|L|"&amp;(COUNTIF(T$4:T856,$Q857&amp;"|L|*")+1))</f>
        <v/>
      </c>
      <c r="U857" s="769" t="str">
        <f>IF($F857="","",13)</f>
        <v/>
      </c>
    </row>
    <row r="858" ht="16.5" customHeight="1" s="186">
      <c r="A858" s="760" t="n"/>
      <c r="B858" s="760" t="n"/>
      <c r="C858" s="762" t="n"/>
      <c r="D858" s="762" t="n"/>
      <c r="E858" s="775" t="n"/>
      <c r="F858" s="821" t="n"/>
      <c r="G858" s="821" t="n"/>
      <c r="H858" s="818">
        <f>IF(G858=1,F858-I858-J858-K858,IF(G858=2,F858,0))</f>
        <v>0</v>
      </c>
      <c r="I858" s="818">
        <f>ROUND(IF(G858=1,F858*10/23,IF(G858=3,F858-J858-K858,IF(G858=4,F858,IF(G858=5,F858*10/11,IF(G858=7,F858*10/11,0))))),0)</f>
        <v>0</v>
      </c>
      <c r="J858" s="818">
        <f>ROUND(IF(G858=1,F858/23,IF(G858=3,F858/12,IF(G858=5,F858-I858,IF(G858=8,F858,0)))),0)</f>
        <v>0</v>
      </c>
      <c r="K858" s="819">
        <f>ROUND(IF(G858=1,F858/23,IF(G858=3,F858/12,IF(G858=6,F858,IF(G858=7,F858-I858,0)))),0)</f>
        <v>0</v>
      </c>
      <c r="L858" s="820">
        <f>IF(G858=6,F858,0)</f>
        <v>0</v>
      </c>
      <c r="P858" s="768" t="n"/>
      <c r="Q858" s="769" t="str">
        <f>IF($F858="","",IFERROR(VLOOKUP($C858&amp;"|"&amp;$D858,科目表!$A$5:$B$200,2,FALSE),"※未登録"))</f>
        <v/>
      </c>
      <c r="R858" s="769" t="str">
        <f>IF($F858="","",$I858+$J858+$K858)</f>
        <v/>
      </c>
      <c r="S858" s="769" t="str">
        <f>IF(OR($F858="",$P858="支払なし",$H858=0,$Q858=""),"",$Q858&amp;"|S|"&amp;(COUNTIF(S$4:S857,$Q858&amp;"|S|*")+1))</f>
        <v/>
      </c>
      <c r="T858" s="769" t="str">
        <f>IF(OR($F858="",$P858="支払なし",$R858=0,$Q858=""),"",$Q858&amp;"|L|"&amp;(COUNTIF(T$4:T857,$Q858&amp;"|L|*")+1))</f>
        <v/>
      </c>
      <c r="U858" s="769" t="str">
        <f>IF($F858="","",13)</f>
        <v/>
      </c>
    </row>
    <row r="859" ht="16.5" customHeight="1" s="186">
      <c r="A859" s="760" t="n"/>
      <c r="B859" s="760" t="n"/>
      <c r="C859" s="762" t="n"/>
      <c r="D859" s="762" t="n"/>
      <c r="E859" s="775" t="n"/>
      <c r="F859" s="821" t="n"/>
      <c r="G859" s="821" t="n"/>
      <c r="H859" s="818">
        <f>IF(G859=1,F859-I859-J859-K859,IF(G859=2,F859,0))</f>
        <v>0</v>
      </c>
      <c r="I859" s="818">
        <f>ROUND(IF(G859=1,F859*10/23,IF(G859=3,F859-J859-K859,IF(G859=4,F859,IF(G859=5,F859*10/11,IF(G859=7,F859*10/11,0))))),0)</f>
        <v>0</v>
      </c>
      <c r="J859" s="818">
        <f>ROUND(IF(G859=1,F859/23,IF(G859=3,F859/12,IF(G859=5,F859-I859,IF(G859=8,F859,0)))),0)</f>
        <v>0</v>
      </c>
      <c r="K859" s="819">
        <f>ROUND(IF(G859=1,F859/23,IF(G859=3,F859/12,IF(G859=6,F859,IF(G859=7,F859-I859,0)))),0)</f>
        <v>0</v>
      </c>
      <c r="L859" s="820">
        <f>IF(G859=6,F859,0)</f>
        <v>0</v>
      </c>
      <c r="P859" s="768" t="n"/>
      <c r="Q859" s="769" t="str">
        <f>IF($F859="","",IFERROR(VLOOKUP($C859&amp;"|"&amp;$D859,科目表!$A$5:$B$200,2,FALSE),"※未登録"))</f>
        <v/>
      </c>
      <c r="R859" s="769" t="str">
        <f>IF($F859="","",$I859+$J859+$K859)</f>
        <v/>
      </c>
      <c r="S859" s="769" t="str">
        <f>IF(OR($F859="",$P859="支払なし",$H859=0,$Q859=""),"",$Q859&amp;"|S|"&amp;(COUNTIF(S$4:S858,$Q859&amp;"|S|*")+1))</f>
        <v/>
      </c>
      <c r="T859" s="769" t="str">
        <f>IF(OR($F859="",$P859="支払なし",$R859=0,$Q859=""),"",$Q859&amp;"|L|"&amp;(COUNTIF(T$4:T858,$Q859&amp;"|L|*")+1))</f>
        <v/>
      </c>
      <c r="U859" s="769" t="str">
        <f>IF($F859="","",13)</f>
        <v/>
      </c>
    </row>
    <row r="860" ht="16.5" customHeight="1" s="186">
      <c r="A860" s="760" t="n"/>
      <c r="B860" s="760" t="n"/>
      <c r="C860" s="762" t="n"/>
      <c r="D860" s="762" t="n"/>
      <c r="E860" s="775" t="n"/>
      <c r="F860" s="821" t="n"/>
      <c r="G860" s="821" t="n"/>
      <c r="H860" s="818">
        <f>IF(G860=1,F860-I860-J860-K860,IF(G860=2,F860,0))</f>
        <v>0</v>
      </c>
      <c r="I860" s="818">
        <f>ROUND(IF(G860=1,F860*10/23,IF(G860=3,F860-J860-K860,IF(G860=4,F860,IF(G860=5,F860*10/11,IF(G860=7,F860*10/11,0))))),0)</f>
        <v>0</v>
      </c>
      <c r="J860" s="818">
        <f>ROUND(IF(G860=1,F860/23,IF(G860=3,F860/12,IF(G860=5,F860-I860,IF(G860=8,F860,0)))),0)</f>
        <v>0</v>
      </c>
      <c r="K860" s="819">
        <f>ROUND(IF(G860=1,F860/23,IF(G860=3,F860/12,IF(G860=6,F860,IF(G860=7,F860-I860,0)))),0)</f>
        <v>0</v>
      </c>
      <c r="L860" s="820">
        <f>IF(G860=6,F860,0)</f>
        <v>0</v>
      </c>
      <c r="P860" s="768" t="n"/>
      <c r="Q860" s="769" t="str">
        <f>IF($F860="","",IFERROR(VLOOKUP($C860&amp;"|"&amp;$D860,科目表!$A$5:$B$200,2,FALSE),"※未登録"))</f>
        <v/>
      </c>
      <c r="R860" s="769" t="str">
        <f>IF($F860="","",$I860+$J860+$K860)</f>
        <v/>
      </c>
      <c r="S860" s="769" t="str">
        <f>IF(OR($F860="",$P860="支払なし",$H860=0,$Q860=""),"",$Q860&amp;"|S|"&amp;(COUNTIF(S$4:S859,$Q860&amp;"|S|*")+1))</f>
        <v/>
      </c>
      <c r="T860" s="769" t="str">
        <f>IF(OR($F860="",$P860="支払なし",$R860=0,$Q860=""),"",$Q860&amp;"|L|"&amp;(COUNTIF(T$4:T859,$Q860&amp;"|L|*")+1))</f>
        <v/>
      </c>
      <c r="U860" s="769" t="str">
        <f>IF($F860="","",13)</f>
        <v/>
      </c>
    </row>
    <row r="861" ht="16.5" customHeight="1" s="186">
      <c r="A861" s="760" t="n"/>
      <c r="B861" s="760" t="n"/>
      <c r="C861" s="762" t="n"/>
      <c r="D861" s="762" t="n"/>
      <c r="E861" s="775" t="n"/>
      <c r="F861" s="821" t="n"/>
      <c r="G861" s="821" t="n"/>
      <c r="H861" s="818">
        <f>IF(G861=1,F861-I861-J861-K861,IF(G861=2,F861,0))</f>
        <v>0</v>
      </c>
      <c r="I861" s="818">
        <f>ROUND(IF(G861=1,F861*10/23,IF(G861=3,F861-J861-K861,IF(G861=4,F861,IF(G861=5,F861*10/11,IF(G861=7,F861*10/11,0))))),0)</f>
        <v>0</v>
      </c>
      <c r="J861" s="818">
        <f>ROUND(IF(G861=1,F861/23,IF(G861=3,F861/12,IF(G861=5,F861-I861,IF(G861=8,F861,0)))),0)</f>
        <v>0</v>
      </c>
      <c r="K861" s="819">
        <f>ROUND(IF(G861=1,F861/23,IF(G861=3,F861/12,IF(G861=6,F861,IF(G861=7,F861-I861,0)))),0)</f>
        <v>0</v>
      </c>
      <c r="L861" s="820">
        <f>IF(G861=6,F861,0)</f>
        <v>0</v>
      </c>
      <c r="P861" s="768" t="n"/>
      <c r="Q861" s="769" t="str">
        <f>IF($F861="","",IFERROR(VLOOKUP($C861&amp;"|"&amp;$D861,科目表!$A$5:$B$200,2,FALSE),"※未登録"))</f>
        <v/>
      </c>
      <c r="R861" s="769" t="str">
        <f>IF($F861="","",$I861+$J861+$K861)</f>
        <v/>
      </c>
      <c r="S861" s="769" t="str">
        <f>IF(OR($F861="",$P861="支払なし",$H861=0,$Q861=""),"",$Q861&amp;"|S|"&amp;(COUNTIF(S$4:S860,$Q861&amp;"|S|*")+1))</f>
        <v/>
      </c>
      <c r="T861" s="769" t="str">
        <f>IF(OR($F861="",$P861="支払なし",$R861=0,$Q861=""),"",$Q861&amp;"|L|"&amp;(COUNTIF(T$4:T860,$Q861&amp;"|L|*")+1))</f>
        <v/>
      </c>
      <c r="U861" s="769" t="str">
        <f>IF($F861="","",13)</f>
        <v/>
      </c>
    </row>
    <row r="862" ht="16.5" customHeight="1" s="186">
      <c r="A862" s="760" t="n"/>
      <c r="B862" s="760" t="n"/>
      <c r="C862" s="762" t="n"/>
      <c r="D862" s="762" t="n"/>
      <c r="E862" s="775" t="n"/>
      <c r="F862" s="821" t="n"/>
      <c r="G862" s="821" t="n"/>
      <c r="H862" s="818">
        <f>IF(G862=1,F862-I862-J862-K862,IF(G862=2,F862,0))</f>
        <v>0</v>
      </c>
      <c r="I862" s="818">
        <f>ROUND(IF(G862=1,F862*10/23,IF(G862=3,F862-J862-K862,IF(G862=4,F862,IF(G862=5,F862*10/11,IF(G862=7,F862*10/11,0))))),0)</f>
        <v>0</v>
      </c>
      <c r="J862" s="818">
        <f>ROUND(IF(G862=1,F862/23,IF(G862=3,F862/12,IF(G862=5,F862-I862,IF(G862=8,F862,0)))),0)</f>
        <v>0</v>
      </c>
      <c r="K862" s="819">
        <f>ROUND(IF(G862=1,F862/23,IF(G862=3,F862/12,IF(G862=6,F862,IF(G862=7,F862-I862,0)))),0)</f>
        <v>0</v>
      </c>
      <c r="L862" s="820">
        <f>IF(G862=6,F862,0)</f>
        <v>0</v>
      </c>
      <c r="P862" s="768" t="n"/>
      <c r="Q862" s="769" t="str">
        <f>IF($F862="","",IFERROR(VLOOKUP($C862&amp;"|"&amp;$D862,科目表!$A$5:$B$200,2,FALSE),"※未登録"))</f>
        <v/>
      </c>
      <c r="R862" s="769" t="str">
        <f>IF($F862="","",$I862+$J862+$K862)</f>
        <v/>
      </c>
      <c r="S862" s="769" t="str">
        <f>IF(OR($F862="",$P862="支払なし",$H862=0,$Q862=""),"",$Q862&amp;"|S|"&amp;(COUNTIF(S$4:S861,$Q862&amp;"|S|*")+1))</f>
        <v/>
      </c>
      <c r="T862" s="769" t="str">
        <f>IF(OR($F862="",$P862="支払なし",$R862=0,$Q862=""),"",$Q862&amp;"|L|"&amp;(COUNTIF(T$4:T861,$Q862&amp;"|L|*")+1))</f>
        <v/>
      </c>
      <c r="U862" s="769" t="str">
        <f>IF($F862="","",13)</f>
        <v/>
      </c>
    </row>
    <row r="863" ht="16.5" customHeight="1" s="186">
      <c r="A863" s="760" t="n"/>
      <c r="B863" s="760" t="n"/>
      <c r="C863" s="762" t="n"/>
      <c r="D863" s="762" t="n"/>
      <c r="E863" s="775" t="n"/>
      <c r="F863" s="821" t="n"/>
      <c r="G863" s="821" t="n"/>
      <c r="H863" s="818">
        <f>IF(G863=1,F863-I863-J863-K863,IF(G863=2,F863,0))</f>
        <v>0</v>
      </c>
      <c r="I863" s="818">
        <f>ROUND(IF(G863=1,F863*10/23,IF(G863=3,F863-J863-K863,IF(G863=4,F863,IF(G863=5,F863*10/11,IF(G863=7,F863*10/11,0))))),0)</f>
        <v>0</v>
      </c>
      <c r="J863" s="818">
        <f>ROUND(IF(G863=1,F863/23,IF(G863=3,F863/12,IF(G863=5,F863-I863,IF(G863=8,F863,0)))),0)</f>
        <v>0</v>
      </c>
      <c r="K863" s="819">
        <f>ROUND(IF(G863=1,F863/23,IF(G863=3,F863/12,IF(G863=6,F863,IF(G863=7,F863-I863,0)))),0)</f>
        <v>0</v>
      </c>
      <c r="L863" s="820">
        <f>IF(G863=6,F863,0)</f>
        <v>0</v>
      </c>
      <c r="P863" s="768" t="n"/>
      <c r="Q863" s="769" t="str">
        <f>IF($F863="","",IFERROR(VLOOKUP($C863&amp;"|"&amp;$D863,科目表!$A$5:$B$200,2,FALSE),"※未登録"))</f>
        <v/>
      </c>
      <c r="R863" s="769" t="str">
        <f>IF($F863="","",$I863+$J863+$K863)</f>
        <v/>
      </c>
      <c r="S863" s="769" t="str">
        <f>IF(OR($F863="",$P863="支払なし",$H863=0,$Q863=""),"",$Q863&amp;"|S|"&amp;(COUNTIF(S$4:S862,$Q863&amp;"|S|*")+1))</f>
        <v/>
      </c>
      <c r="T863" s="769" t="str">
        <f>IF(OR($F863="",$P863="支払なし",$R863=0,$Q863=""),"",$Q863&amp;"|L|"&amp;(COUNTIF(T$4:T862,$Q863&amp;"|L|*")+1))</f>
        <v/>
      </c>
      <c r="U863" s="769" t="str">
        <f>IF($F863="","",13)</f>
        <v/>
      </c>
    </row>
    <row r="864" ht="16.5" customHeight="1" s="186">
      <c r="A864" s="760" t="n"/>
      <c r="B864" s="760" t="n"/>
      <c r="C864" s="762" t="n"/>
      <c r="D864" s="762" t="n"/>
      <c r="E864" s="775" t="n"/>
      <c r="F864" s="821" t="n"/>
      <c r="G864" s="821" t="n"/>
      <c r="H864" s="818">
        <f>IF(G864=1,F864-I864-J864-K864,IF(G864=2,F864,0))</f>
        <v>0</v>
      </c>
      <c r="I864" s="818">
        <f>ROUND(IF(G864=1,F864*10/23,IF(G864=3,F864-J864-K864,IF(G864=4,F864,IF(G864=5,F864*10/11,IF(G864=7,F864*10/11,0))))),0)</f>
        <v>0</v>
      </c>
      <c r="J864" s="818">
        <f>ROUND(IF(G864=1,F864/23,IF(G864=3,F864/12,IF(G864=5,F864-I864,IF(G864=8,F864,0)))),0)</f>
        <v>0</v>
      </c>
      <c r="K864" s="819">
        <f>ROUND(IF(G864=1,F864/23,IF(G864=3,F864/12,IF(G864=6,F864,IF(G864=7,F864-I864,0)))),0)</f>
        <v>0</v>
      </c>
      <c r="L864" s="820">
        <f>IF(G864=6,F864,0)</f>
        <v>0</v>
      </c>
      <c r="P864" s="768" t="n"/>
      <c r="Q864" s="769" t="str">
        <f>IF($F864="","",IFERROR(VLOOKUP($C864&amp;"|"&amp;$D864,科目表!$A$5:$B$200,2,FALSE),"※未登録"))</f>
        <v/>
      </c>
      <c r="R864" s="769" t="str">
        <f>IF($F864="","",$I864+$J864+$K864)</f>
        <v/>
      </c>
      <c r="S864" s="769" t="str">
        <f>IF(OR($F864="",$P864="支払なし",$H864=0,$Q864=""),"",$Q864&amp;"|S|"&amp;(COUNTIF(S$4:S863,$Q864&amp;"|S|*")+1))</f>
        <v/>
      </c>
      <c r="T864" s="769" t="str">
        <f>IF(OR($F864="",$P864="支払なし",$R864=0,$Q864=""),"",$Q864&amp;"|L|"&amp;(COUNTIF(T$4:T863,$Q864&amp;"|L|*")+1))</f>
        <v/>
      </c>
      <c r="U864" s="769" t="str">
        <f>IF($F864="","",13)</f>
        <v/>
      </c>
    </row>
    <row r="865" ht="16.5" customHeight="1" s="186">
      <c r="A865" s="760" t="n"/>
      <c r="B865" s="760" t="n"/>
      <c r="C865" s="762" t="n"/>
      <c r="D865" s="762" t="n"/>
      <c r="E865" s="775" t="n"/>
      <c r="F865" s="821" t="n"/>
      <c r="G865" s="821" t="n"/>
      <c r="H865" s="818">
        <f>IF(G865=1,F865-I865-J865-K865,IF(G865=2,F865,0))</f>
        <v>0</v>
      </c>
      <c r="I865" s="818">
        <f>ROUND(IF(G865=1,F865*10/23,IF(G865=3,F865-J865-K865,IF(G865=4,F865,IF(G865=5,F865*10/11,IF(G865=7,F865*10/11,0))))),0)</f>
        <v>0</v>
      </c>
      <c r="J865" s="818">
        <f>ROUND(IF(G865=1,F865/23,IF(G865=3,F865/12,IF(G865=5,F865-I865,IF(G865=8,F865,0)))),0)</f>
        <v>0</v>
      </c>
      <c r="K865" s="819">
        <f>ROUND(IF(G865=1,F865/23,IF(G865=3,F865/12,IF(G865=6,F865,IF(G865=7,F865-I865,0)))),0)</f>
        <v>0</v>
      </c>
      <c r="L865" s="820">
        <f>IF(G865=6,F865,0)</f>
        <v>0</v>
      </c>
      <c r="P865" s="768" t="n"/>
      <c r="Q865" s="769" t="str">
        <f>IF($F865="","",IFERROR(VLOOKUP($C865&amp;"|"&amp;$D865,科目表!$A$5:$B$200,2,FALSE),"※未登録"))</f>
        <v/>
      </c>
      <c r="R865" s="769" t="str">
        <f>IF($F865="","",$I865+$J865+$K865)</f>
        <v/>
      </c>
      <c r="S865" s="769" t="str">
        <f>IF(OR($F865="",$P865="支払なし",$H865=0,$Q865=""),"",$Q865&amp;"|S|"&amp;(COUNTIF(S$4:S864,$Q865&amp;"|S|*")+1))</f>
        <v/>
      </c>
      <c r="T865" s="769" t="str">
        <f>IF(OR($F865="",$P865="支払なし",$R865=0,$Q865=""),"",$Q865&amp;"|L|"&amp;(COUNTIF(T$4:T864,$Q865&amp;"|L|*")+1))</f>
        <v/>
      </c>
      <c r="U865" s="769" t="str">
        <f>IF($F865="","",13)</f>
        <v/>
      </c>
    </row>
    <row r="866" ht="16.5" customHeight="1" s="186">
      <c r="A866" s="760" t="n"/>
      <c r="B866" s="760" t="n"/>
      <c r="C866" s="762" t="n"/>
      <c r="D866" s="762" t="n"/>
      <c r="E866" s="775" t="n"/>
      <c r="F866" s="821" t="n"/>
      <c r="G866" s="821" t="n"/>
      <c r="H866" s="818">
        <f>IF(G866=1,F866-I866-J866-K866,IF(G866=2,F866,0))</f>
        <v>0</v>
      </c>
      <c r="I866" s="818">
        <f>ROUND(IF(G866=1,F866*10/23,IF(G866=3,F866-J866-K866,IF(G866=4,F866,IF(G866=5,F866*10/11,IF(G866=7,F866*10/11,0))))),0)</f>
        <v>0</v>
      </c>
      <c r="J866" s="818">
        <f>ROUND(IF(G866=1,F866/23,IF(G866=3,F866/12,IF(G866=5,F866-I866,IF(G866=8,F866,0)))),0)</f>
        <v>0</v>
      </c>
      <c r="K866" s="819">
        <f>ROUND(IF(G866=1,F866/23,IF(G866=3,F866/12,IF(G866=6,F866,IF(G866=7,F866-I866,0)))),0)</f>
        <v>0</v>
      </c>
      <c r="L866" s="820">
        <f>IF(G866=6,F866,0)</f>
        <v>0</v>
      </c>
      <c r="P866" s="768" t="n"/>
      <c r="Q866" s="769" t="str">
        <f>IF($F866="","",IFERROR(VLOOKUP($C866&amp;"|"&amp;$D866,科目表!$A$5:$B$200,2,FALSE),"※未登録"))</f>
        <v/>
      </c>
      <c r="R866" s="769" t="str">
        <f>IF($F866="","",$I866+$J866+$K866)</f>
        <v/>
      </c>
      <c r="S866" s="769" t="str">
        <f>IF(OR($F866="",$P866="支払なし",$H866=0,$Q866=""),"",$Q866&amp;"|S|"&amp;(COUNTIF(S$4:S865,$Q866&amp;"|S|*")+1))</f>
        <v/>
      </c>
      <c r="T866" s="769" t="str">
        <f>IF(OR($F866="",$P866="支払なし",$R866=0,$Q866=""),"",$Q866&amp;"|L|"&amp;(COUNTIF(T$4:T865,$Q866&amp;"|L|*")+1))</f>
        <v/>
      </c>
      <c r="U866" s="769" t="str">
        <f>IF($F866="","",13)</f>
        <v/>
      </c>
    </row>
    <row r="867" ht="16.5" customHeight="1" s="186">
      <c r="A867" s="760" t="n"/>
      <c r="B867" s="760" t="n"/>
      <c r="C867" s="762" t="n"/>
      <c r="D867" s="762" t="n"/>
      <c r="E867" s="775" t="n"/>
      <c r="F867" s="821" t="n"/>
      <c r="G867" s="821" t="n"/>
      <c r="H867" s="818">
        <f>IF(G867=1,F867-I867-J867-K867,IF(G867=2,F867,0))</f>
        <v>0</v>
      </c>
      <c r="I867" s="818">
        <f>ROUND(IF(G867=1,F867*10/23,IF(G867=3,F867-J867-K867,IF(G867=4,F867,IF(G867=5,F867*10/11,IF(G867=7,F867*10/11,0))))),0)</f>
        <v>0</v>
      </c>
      <c r="J867" s="818">
        <f>ROUND(IF(G867=1,F867/23,IF(G867=3,F867/12,IF(G867=5,F867-I867,IF(G867=8,F867,0)))),0)</f>
        <v>0</v>
      </c>
      <c r="K867" s="819">
        <f>ROUND(IF(G867=1,F867/23,IF(G867=3,F867/12,IF(G867=6,F867,IF(G867=7,F867-I867,0)))),0)</f>
        <v>0</v>
      </c>
      <c r="L867" s="820">
        <f>IF(G867=6,F867,0)</f>
        <v>0</v>
      </c>
      <c r="P867" s="768" t="n"/>
      <c r="Q867" s="769" t="str">
        <f>IF($F867="","",IFERROR(VLOOKUP($C867&amp;"|"&amp;$D867,科目表!$A$5:$B$200,2,FALSE),"※未登録"))</f>
        <v/>
      </c>
      <c r="R867" s="769" t="str">
        <f>IF($F867="","",$I867+$J867+$K867)</f>
        <v/>
      </c>
      <c r="S867" s="769" t="str">
        <f>IF(OR($F867="",$P867="支払なし",$H867=0,$Q867=""),"",$Q867&amp;"|S|"&amp;(COUNTIF(S$4:S866,$Q867&amp;"|S|*")+1))</f>
        <v/>
      </c>
      <c r="T867" s="769" t="str">
        <f>IF(OR($F867="",$P867="支払なし",$R867=0,$Q867=""),"",$Q867&amp;"|L|"&amp;(COUNTIF(T$4:T866,$Q867&amp;"|L|*")+1))</f>
        <v/>
      </c>
      <c r="U867" s="769" t="str">
        <f>IF($F867="","",13)</f>
        <v/>
      </c>
    </row>
    <row r="868" ht="16.5" customHeight="1" s="186">
      <c r="A868" s="760" t="n"/>
      <c r="B868" s="760" t="n"/>
      <c r="C868" s="762" t="n"/>
      <c r="D868" s="762" t="n"/>
      <c r="E868" s="775" t="n"/>
      <c r="F868" s="821" t="n"/>
      <c r="G868" s="821" t="n"/>
      <c r="H868" s="818">
        <f>IF(G868=1,F868-I868-J868-K868,IF(G868=2,F868,0))</f>
        <v>0</v>
      </c>
      <c r="I868" s="818">
        <f>ROUND(IF(G868=1,F868*10/23,IF(G868=3,F868-J868-K868,IF(G868=4,F868,IF(G868=5,F868*10/11,IF(G868=7,F868*10/11,0))))),0)</f>
        <v>0</v>
      </c>
      <c r="J868" s="818">
        <f>ROUND(IF(G868=1,F868/23,IF(G868=3,F868/12,IF(G868=5,F868-I868,IF(G868=8,F868,0)))),0)</f>
        <v>0</v>
      </c>
      <c r="K868" s="819">
        <f>ROUND(IF(G868=1,F868/23,IF(G868=3,F868/12,IF(G868=6,F868,IF(G868=7,F868-I868,0)))),0)</f>
        <v>0</v>
      </c>
      <c r="L868" s="820">
        <f>IF(G868=6,F868,0)</f>
        <v>0</v>
      </c>
      <c r="P868" s="768" t="n"/>
      <c r="Q868" s="769" t="str">
        <f>IF($F868="","",IFERROR(VLOOKUP($C868&amp;"|"&amp;$D868,科目表!$A$5:$B$200,2,FALSE),"※未登録"))</f>
        <v/>
      </c>
      <c r="R868" s="769" t="str">
        <f>IF($F868="","",$I868+$J868+$K868)</f>
        <v/>
      </c>
      <c r="S868" s="769" t="str">
        <f>IF(OR($F868="",$P868="支払なし",$H868=0,$Q868=""),"",$Q868&amp;"|S|"&amp;(COUNTIF(S$4:S867,$Q868&amp;"|S|*")+1))</f>
        <v/>
      </c>
      <c r="T868" s="769" t="str">
        <f>IF(OR($F868="",$P868="支払なし",$R868=0,$Q868=""),"",$Q868&amp;"|L|"&amp;(COUNTIF(T$4:T867,$Q868&amp;"|L|*")+1))</f>
        <v/>
      </c>
      <c r="U868" s="769" t="str">
        <f>IF($F868="","",13)</f>
        <v/>
      </c>
    </row>
    <row r="869" ht="16.5" customHeight="1" s="186">
      <c r="A869" s="760" t="n"/>
      <c r="B869" s="760" t="n"/>
      <c r="C869" s="762" t="n"/>
      <c r="D869" s="762" t="n"/>
      <c r="E869" s="775" t="n"/>
      <c r="F869" s="821" t="n"/>
      <c r="G869" s="821" t="n"/>
      <c r="H869" s="818">
        <f>IF(G869=1,F869-I869-J869-K869,IF(G869=2,F869,0))</f>
        <v>0</v>
      </c>
      <c r="I869" s="818">
        <f>ROUND(IF(G869=1,F869*10/23,IF(G869=3,F869-J869-K869,IF(G869=4,F869,IF(G869=5,F869*10/11,IF(G869=7,F869*10/11,0))))),0)</f>
        <v>0</v>
      </c>
      <c r="J869" s="818">
        <f>ROUND(IF(G869=1,F869/23,IF(G869=3,F869/12,IF(G869=5,F869-I869,IF(G869=8,F869,0)))),0)</f>
        <v>0</v>
      </c>
      <c r="K869" s="819">
        <f>ROUND(IF(G869=1,F869/23,IF(G869=3,F869/12,IF(G869=6,F869,IF(G869=7,F869-I869,0)))),0)</f>
        <v>0</v>
      </c>
      <c r="L869" s="820">
        <f>IF(G869=6,F869,0)</f>
        <v>0</v>
      </c>
      <c r="P869" s="768" t="n"/>
      <c r="Q869" s="769" t="str">
        <f>IF($F869="","",IFERROR(VLOOKUP($C869&amp;"|"&amp;$D869,科目表!$A$5:$B$200,2,FALSE),"※未登録"))</f>
        <v/>
      </c>
      <c r="R869" s="769" t="str">
        <f>IF($F869="","",$I869+$J869+$K869)</f>
        <v/>
      </c>
      <c r="S869" s="769" t="str">
        <f>IF(OR($F869="",$P869="支払なし",$H869=0,$Q869=""),"",$Q869&amp;"|S|"&amp;(COUNTIF(S$4:S868,$Q869&amp;"|S|*")+1))</f>
        <v/>
      </c>
      <c r="T869" s="769" t="str">
        <f>IF(OR($F869="",$P869="支払なし",$R869=0,$Q869=""),"",$Q869&amp;"|L|"&amp;(COUNTIF(T$4:T868,$Q869&amp;"|L|*")+1))</f>
        <v/>
      </c>
      <c r="U869" s="769" t="str">
        <f>IF($F869="","",13)</f>
        <v/>
      </c>
    </row>
    <row r="870" ht="16.5" customHeight="1" s="186">
      <c r="A870" s="760" t="n"/>
      <c r="B870" s="760" t="n"/>
      <c r="C870" s="762" t="n"/>
      <c r="D870" s="762" t="n"/>
      <c r="E870" s="775" t="n"/>
      <c r="F870" s="821" t="n"/>
      <c r="G870" s="821" t="n"/>
      <c r="H870" s="818">
        <f>IF(G870=1,F870-I870-J870-K870,IF(G870=2,F870,0))</f>
        <v>0</v>
      </c>
      <c r="I870" s="818">
        <f>ROUND(IF(G870=1,F870*10/23,IF(G870=3,F870-J870-K870,IF(G870=4,F870,IF(G870=5,F870*10/11,IF(G870=7,F870*10/11,0))))),0)</f>
        <v>0</v>
      </c>
      <c r="J870" s="818">
        <f>ROUND(IF(G870=1,F870/23,IF(G870=3,F870/12,IF(G870=5,F870-I870,IF(G870=8,F870,0)))),0)</f>
        <v>0</v>
      </c>
      <c r="K870" s="819">
        <f>ROUND(IF(G870=1,F870/23,IF(G870=3,F870/12,IF(G870=6,F870,IF(G870=7,F870-I870,0)))),0)</f>
        <v>0</v>
      </c>
      <c r="L870" s="820">
        <f>IF(G870=6,F870,0)</f>
        <v>0</v>
      </c>
      <c r="P870" s="768" t="n"/>
      <c r="Q870" s="769" t="str">
        <f>IF($F870="","",IFERROR(VLOOKUP($C870&amp;"|"&amp;$D870,科目表!$A$5:$B$200,2,FALSE),"※未登録"))</f>
        <v/>
      </c>
      <c r="R870" s="769" t="str">
        <f>IF($F870="","",$I870+$J870+$K870)</f>
        <v/>
      </c>
      <c r="S870" s="769" t="str">
        <f>IF(OR($F870="",$P870="支払なし",$H870=0,$Q870=""),"",$Q870&amp;"|S|"&amp;(COUNTIF(S$4:S869,$Q870&amp;"|S|*")+1))</f>
        <v/>
      </c>
      <c r="T870" s="769" t="str">
        <f>IF(OR($F870="",$P870="支払なし",$R870=0,$Q870=""),"",$Q870&amp;"|L|"&amp;(COUNTIF(T$4:T869,$Q870&amp;"|L|*")+1))</f>
        <v/>
      </c>
      <c r="U870" s="769" t="str">
        <f>IF($F870="","",13)</f>
        <v/>
      </c>
    </row>
    <row r="871" ht="16.5" customHeight="1" s="186">
      <c r="A871" s="760" t="n"/>
      <c r="B871" s="760" t="n"/>
      <c r="C871" s="762" t="n"/>
      <c r="D871" s="762" t="n"/>
      <c r="E871" s="775" t="n"/>
      <c r="F871" s="821" t="n"/>
      <c r="G871" s="821" t="n"/>
      <c r="H871" s="818">
        <f>IF(G871=1,F871-I871-J871-K871,IF(G871=2,F871,0))</f>
        <v>0</v>
      </c>
      <c r="I871" s="818">
        <f>ROUND(IF(G871=1,F871*10/23,IF(G871=3,F871-J871-K871,IF(G871=4,F871,IF(G871=5,F871*10/11,IF(G871=7,F871*10/11,0))))),0)</f>
        <v>0</v>
      </c>
      <c r="J871" s="818">
        <f>ROUND(IF(G871=1,F871/23,IF(G871=3,F871/12,IF(G871=5,F871-I871,IF(G871=8,F871,0)))),0)</f>
        <v>0</v>
      </c>
      <c r="K871" s="819">
        <f>ROUND(IF(G871=1,F871/23,IF(G871=3,F871/12,IF(G871=6,F871,IF(G871=7,F871-I871,0)))),0)</f>
        <v>0</v>
      </c>
      <c r="L871" s="820">
        <f>IF(G871=6,F871,0)</f>
        <v>0</v>
      </c>
      <c r="P871" s="768" t="n"/>
      <c r="Q871" s="769" t="str">
        <f>IF($F871="","",IFERROR(VLOOKUP($C871&amp;"|"&amp;$D871,科目表!$A$5:$B$200,2,FALSE),"※未登録"))</f>
        <v/>
      </c>
      <c r="R871" s="769" t="str">
        <f>IF($F871="","",$I871+$J871+$K871)</f>
        <v/>
      </c>
      <c r="S871" s="769" t="str">
        <f>IF(OR($F871="",$P871="支払なし",$H871=0,$Q871=""),"",$Q871&amp;"|S|"&amp;(COUNTIF(S$4:S870,$Q871&amp;"|S|*")+1))</f>
        <v/>
      </c>
      <c r="T871" s="769" t="str">
        <f>IF(OR($F871="",$P871="支払なし",$R871=0,$Q871=""),"",$Q871&amp;"|L|"&amp;(COUNTIF(T$4:T870,$Q871&amp;"|L|*")+1))</f>
        <v/>
      </c>
      <c r="U871" s="769" t="str">
        <f>IF($F871="","",13)</f>
        <v/>
      </c>
    </row>
    <row r="872" ht="16.5" customHeight="1" s="186">
      <c r="A872" s="760" t="n"/>
      <c r="B872" s="760" t="n"/>
      <c r="C872" s="762" t="n"/>
      <c r="D872" s="762" t="n"/>
      <c r="E872" s="775" t="n"/>
      <c r="F872" s="821" t="n"/>
      <c r="G872" s="821" t="n"/>
      <c r="H872" s="818">
        <f>IF(G872=1,F872-I872-J872-K872,IF(G872=2,F872,0))</f>
        <v>0</v>
      </c>
      <c r="I872" s="818">
        <f>ROUND(IF(G872=1,F872*10/23,IF(G872=3,F872-J872-K872,IF(G872=4,F872,IF(G872=5,F872*10/11,IF(G872=7,F872*10/11,0))))),0)</f>
        <v>0</v>
      </c>
      <c r="J872" s="818">
        <f>ROUND(IF(G872=1,F872/23,IF(G872=3,F872/12,IF(G872=5,F872-I872,IF(G872=8,F872,0)))),0)</f>
        <v>0</v>
      </c>
      <c r="K872" s="819">
        <f>ROUND(IF(G872=1,F872/23,IF(G872=3,F872/12,IF(G872=6,F872,IF(G872=7,F872-I872,0)))),0)</f>
        <v>0</v>
      </c>
      <c r="L872" s="820">
        <f>IF(G872=6,F872,0)</f>
        <v>0</v>
      </c>
      <c r="P872" s="768" t="n"/>
      <c r="Q872" s="769" t="str">
        <f>IF($F872="","",IFERROR(VLOOKUP($C872&amp;"|"&amp;$D872,科目表!$A$5:$B$200,2,FALSE),"※未登録"))</f>
        <v/>
      </c>
      <c r="R872" s="769" t="str">
        <f>IF($F872="","",$I872+$J872+$K872)</f>
        <v/>
      </c>
      <c r="S872" s="769" t="str">
        <f>IF(OR($F872="",$P872="支払なし",$H872=0,$Q872=""),"",$Q872&amp;"|S|"&amp;(COUNTIF(S$4:S871,$Q872&amp;"|S|*")+1))</f>
        <v/>
      </c>
      <c r="T872" s="769" t="str">
        <f>IF(OR($F872="",$P872="支払なし",$R872=0,$Q872=""),"",$Q872&amp;"|L|"&amp;(COUNTIF(T$4:T871,$Q872&amp;"|L|*")+1))</f>
        <v/>
      </c>
      <c r="U872" s="769" t="str">
        <f>IF($F872="","",13)</f>
        <v/>
      </c>
    </row>
    <row r="873" ht="16.5" customHeight="1" s="186">
      <c r="A873" s="760" t="n"/>
      <c r="B873" s="760" t="n"/>
      <c r="C873" s="762" t="n"/>
      <c r="D873" s="762" t="n"/>
      <c r="E873" s="775" t="n"/>
      <c r="F873" s="821" t="n"/>
      <c r="G873" s="821" t="n"/>
      <c r="H873" s="818">
        <f>IF(G873=1,F873-I873-J873-K873,IF(G873=2,F873,0))</f>
        <v>0</v>
      </c>
      <c r="I873" s="818">
        <f>ROUND(IF(G873=1,F873*10/23,IF(G873=3,F873-J873-K873,IF(G873=4,F873,IF(G873=5,F873*10/11,IF(G873=7,F873*10/11,0))))),0)</f>
        <v>0</v>
      </c>
      <c r="J873" s="818">
        <f>ROUND(IF(G873=1,F873/23,IF(G873=3,F873/12,IF(G873=5,F873-I873,IF(G873=8,F873,0)))),0)</f>
        <v>0</v>
      </c>
      <c r="K873" s="819">
        <f>ROUND(IF(G873=1,F873/23,IF(G873=3,F873/12,IF(G873=6,F873,IF(G873=7,F873-I873,0)))),0)</f>
        <v>0</v>
      </c>
      <c r="L873" s="820">
        <f>IF(G873=6,F873,0)</f>
        <v>0</v>
      </c>
      <c r="P873" s="768" t="n"/>
      <c r="Q873" s="769" t="str">
        <f>IF($F873="","",IFERROR(VLOOKUP($C873&amp;"|"&amp;$D873,科目表!$A$5:$B$200,2,FALSE),"※未登録"))</f>
        <v/>
      </c>
      <c r="R873" s="769" t="str">
        <f>IF($F873="","",$I873+$J873+$K873)</f>
        <v/>
      </c>
      <c r="S873" s="769" t="str">
        <f>IF(OR($F873="",$P873="支払なし",$H873=0,$Q873=""),"",$Q873&amp;"|S|"&amp;(COUNTIF(S$4:S872,$Q873&amp;"|S|*")+1))</f>
        <v/>
      </c>
      <c r="T873" s="769" t="str">
        <f>IF(OR($F873="",$P873="支払なし",$R873=0,$Q873=""),"",$Q873&amp;"|L|"&amp;(COUNTIF(T$4:T872,$Q873&amp;"|L|*")+1))</f>
        <v/>
      </c>
      <c r="U873" s="769" t="str">
        <f>IF($F873="","",13)</f>
        <v/>
      </c>
    </row>
    <row r="874" ht="16.5" customHeight="1" s="186">
      <c r="A874" s="760" t="n"/>
      <c r="B874" s="760" t="n"/>
      <c r="C874" s="762" t="n"/>
      <c r="D874" s="762" t="n"/>
      <c r="E874" s="775" t="n"/>
      <c r="F874" s="821" t="n"/>
      <c r="G874" s="821" t="n"/>
      <c r="H874" s="818">
        <f>IF(G874=1,F874-I874-J874-K874,IF(G874=2,F874,0))</f>
        <v>0</v>
      </c>
      <c r="I874" s="818">
        <f>ROUND(IF(G874=1,F874*10/23,IF(G874=3,F874-J874-K874,IF(G874=4,F874,IF(G874=5,F874*10/11,IF(G874=7,F874*10/11,0))))),0)</f>
        <v>0</v>
      </c>
      <c r="J874" s="818">
        <f>ROUND(IF(G874=1,F874/23,IF(G874=3,F874/12,IF(G874=5,F874-I874,IF(G874=8,F874,0)))),0)</f>
        <v>0</v>
      </c>
      <c r="K874" s="819">
        <f>ROUND(IF(G874=1,F874/23,IF(G874=3,F874/12,IF(G874=6,F874,IF(G874=7,F874-I874,0)))),0)</f>
        <v>0</v>
      </c>
      <c r="L874" s="820">
        <f>IF(G874=6,F874,0)</f>
        <v>0</v>
      </c>
      <c r="P874" s="768" t="n"/>
      <c r="Q874" s="769" t="str">
        <f>IF($F874="","",IFERROR(VLOOKUP($C874&amp;"|"&amp;$D874,科目表!$A$5:$B$200,2,FALSE),"※未登録"))</f>
        <v/>
      </c>
      <c r="R874" s="769" t="str">
        <f>IF($F874="","",$I874+$J874+$K874)</f>
        <v/>
      </c>
      <c r="S874" s="769" t="str">
        <f>IF(OR($F874="",$P874="支払なし",$H874=0,$Q874=""),"",$Q874&amp;"|S|"&amp;(COUNTIF(S$4:S873,$Q874&amp;"|S|*")+1))</f>
        <v/>
      </c>
      <c r="T874" s="769" t="str">
        <f>IF(OR($F874="",$P874="支払なし",$R874=0,$Q874=""),"",$Q874&amp;"|L|"&amp;(COUNTIF(T$4:T873,$Q874&amp;"|L|*")+1))</f>
        <v/>
      </c>
      <c r="U874" s="769" t="str">
        <f>IF($F874="","",13)</f>
        <v/>
      </c>
    </row>
    <row r="875" ht="16.5" customHeight="1" s="186">
      <c r="A875" s="760" t="n"/>
      <c r="B875" s="760" t="n"/>
      <c r="C875" s="762" t="n"/>
      <c r="D875" s="762" t="n"/>
      <c r="E875" s="775" t="n"/>
      <c r="F875" s="821" t="n"/>
      <c r="G875" s="821" t="n"/>
      <c r="H875" s="818">
        <f>IF(G875=1,F875-I875-J875-K875,IF(G875=2,F875,0))</f>
        <v>0</v>
      </c>
      <c r="I875" s="818">
        <f>ROUND(IF(G875=1,F875*10/23,IF(G875=3,F875-J875-K875,IF(G875=4,F875,IF(G875=5,F875*10/11,IF(G875=7,F875*10/11,0))))),0)</f>
        <v>0</v>
      </c>
      <c r="J875" s="818">
        <f>ROUND(IF(G875=1,F875/23,IF(G875=3,F875/12,IF(G875=5,F875-I875,IF(G875=8,F875,0)))),0)</f>
        <v>0</v>
      </c>
      <c r="K875" s="819">
        <f>ROUND(IF(G875=1,F875/23,IF(G875=3,F875/12,IF(G875=6,F875,IF(G875=7,F875-I875,0)))),0)</f>
        <v>0</v>
      </c>
      <c r="L875" s="820">
        <f>IF(G875=6,F875,0)</f>
        <v>0</v>
      </c>
      <c r="P875" s="768" t="n"/>
      <c r="Q875" s="769" t="str">
        <f>IF($F875="","",IFERROR(VLOOKUP($C875&amp;"|"&amp;$D875,科目表!$A$5:$B$200,2,FALSE),"※未登録"))</f>
        <v/>
      </c>
      <c r="R875" s="769" t="str">
        <f>IF($F875="","",$I875+$J875+$K875)</f>
        <v/>
      </c>
      <c r="S875" s="769" t="str">
        <f>IF(OR($F875="",$P875="支払なし",$H875=0,$Q875=""),"",$Q875&amp;"|S|"&amp;(COUNTIF(S$4:S874,$Q875&amp;"|S|*")+1))</f>
        <v/>
      </c>
      <c r="T875" s="769" t="str">
        <f>IF(OR($F875="",$P875="支払なし",$R875=0,$Q875=""),"",$Q875&amp;"|L|"&amp;(COUNTIF(T$4:T874,$Q875&amp;"|L|*")+1))</f>
        <v/>
      </c>
      <c r="U875" s="769" t="str">
        <f>IF($F875="","",13)</f>
        <v/>
      </c>
    </row>
    <row r="876" ht="16.5" customHeight="1" s="186">
      <c r="A876" s="760" t="n"/>
      <c r="B876" s="760" t="n"/>
      <c r="C876" s="762" t="n"/>
      <c r="D876" s="762" t="n"/>
      <c r="E876" s="775" t="n"/>
      <c r="F876" s="821" t="n"/>
      <c r="G876" s="821" t="n"/>
      <c r="H876" s="818">
        <f>IF(G876=1,F876-I876-J876-K876,IF(G876=2,F876,0))</f>
        <v>0</v>
      </c>
      <c r="I876" s="818">
        <f>ROUND(IF(G876=1,F876*10/23,IF(G876=3,F876-J876-K876,IF(G876=4,F876,IF(G876=5,F876*10/11,IF(G876=7,F876*10/11,0))))),0)</f>
        <v>0</v>
      </c>
      <c r="J876" s="818">
        <f>ROUND(IF(G876=1,F876/23,IF(G876=3,F876/12,IF(G876=5,F876-I876,IF(G876=8,F876,0)))),0)</f>
        <v>0</v>
      </c>
      <c r="K876" s="819">
        <f>ROUND(IF(G876=1,F876/23,IF(G876=3,F876/12,IF(G876=6,F876,IF(G876=7,F876-I876,0)))),0)</f>
        <v>0</v>
      </c>
      <c r="L876" s="820">
        <f>IF(G876=6,F876,0)</f>
        <v>0</v>
      </c>
      <c r="P876" s="768" t="n"/>
      <c r="Q876" s="769" t="str">
        <f>IF($F876="","",IFERROR(VLOOKUP($C876&amp;"|"&amp;$D876,科目表!$A$5:$B$200,2,FALSE),"※未登録"))</f>
        <v/>
      </c>
      <c r="R876" s="769" t="str">
        <f>IF($F876="","",$I876+$J876+$K876)</f>
        <v/>
      </c>
      <c r="S876" s="769" t="str">
        <f>IF(OR($F876="",$P876="支払なし",$H876=0,$Q876=""),"",$Q876&amp;"|S|"&amp;(COUNTIF(S$4:S875,$Q876&amp;"|S|*")+1))</f>
        <v/>
      </c>
      <c r="T876" s="769" t="str">
        <f>IF(OR($F876="",$P876="支払なし",$R876=0,$Q876=""),"",$Q876&amp;"|L|"&amp;(COUNTIF(T$4:T875,$Q876&amp;"|L|*")+1))</f>
        <v/>
      </c>
      <c r="U876" s="769" t="str">
        <f>IF($F876="","",13)</f>
        <v/>
      </c>
    </row>
    <row r="877" ht="16.5" customHeight="1" s="186">
      <c r="A877" s="760" t="n"/>
      <c r="B877" s="760" t="n"/>
      <c r="C877" s="762" t="n"/>
      <c r="D877" s="762" t="n"/>
      <c r="E877" s="775" t="n"/>
      <c r="F877" s="821" t="n"/>
      <c r="G877" s="821" t="n"/>
      <c r="H877" s="818">
        <f>IF(G877=1,F877-I877-J877-K877,IF(G877=2,F877,0))</f>
        <v>0</v>
      </c>
      <c r="I877" s="818">
        <f>ROUND(IF(G877=1,F877*10/23,IF(G877=3,F877-J877-K877,IF(G877=4,F877,IF(G877=5,F877*10/11,IF(G877=7,F877*10/11,0))))),0)</f>
        <v>0</v>
      </c>
      <c r="J877" s="818">
        <f>ROUND(IF(G877=1,F877/23,IF(G877=3,F877/12,IF(G877=5,F877-I877,IF(G877=8,F877,0)))),0)</f>
        <v>0</v>
      </c>
      <c r="K877" s="819">
        <f>ROUND(IF(G877=1,F877/23,IF(G877=3,F877/12,IF(G877=6,F877,IF(G877=7,F877-I877,0)))),0)</f>
        <v>0</v>
      </c>
      <c r="L877" s="820">
        <f>IF(G877=6,F877,0)</f>
        <v>0</v>
      </c>
      <c r="P877" s="768" t="n"/>
      <c r="Q877" s="769" t="str">
        <f>IF($F877="","",IFERROR(VLOOKUP($C877&amp;"|"&amp;$D877,科目表!$A$5:$B$200,2,FALSE),"※未登録"))</f>
        <v/>
      </c>
      <c r="R877" s="769" t="str">
        <f>IF($F877="","",$I877+$J877+$K877)</f>
        <v/>
      </c>
      <c r="S877" s="769" t="str">
        <f>IF(OR($F877="",$P877="支払なし",$H877=0,$Q877=""),"",$Q877&amp;"|S|"&amp;(COUNTIF(S$4:S876,$Q877&amp;"|S|*")+1))</f>
        <v/>
      </c>
      <c r="T877" s="769" t="str">
        <f>IF(OR($F877="",$P877="支払なし",$R877=0,$Q877=""),"",$Q877&amp;"|L|"&amp;(COUNTIF(T$4:T876,$Q877&amp;"|L|*")+1))</f>
        <v/>
      </c>
      <c r="U877" s="769" t="str">
        <f>IF($F877="","",13)</f>
        <v/>
      </c>
    </row>
    <row r="878" ht="16.5" customHeight="1" s="186">
      <c r="A878" s="760" t="n"/>
      <c r="B878" s="760" t="n"/>
      <c r="C878" s="762" t="n"/>
      <c r="D878" s="762" t="n"/>
      <c r="E878" s="775" t="n"/>
      <c r="F878" s="821" t="n"/>
      <c r="G878" s="821" t="n"/>
      <c r="H878" s="818">
        <f>IF(G878=1,F878-I878-J878-K878,IF(G878=2,F878,0))</f>
        <v>0</v>
      </c>
      <c r="I878" s="818">
        <f>ROUND(IF(G878=1,F878*10/23,IF(G878=3,F878-J878-K878,IF(G878=4,F878,IF(G878=5,F878*10/11,IF(G878=7,F878*10/11,0))))),0)</f>
        <v>0</v>
      </c>
      <c r="J878" s="818">
        <f>ROUND(IF(G878=1,F878/23,IF(G878=3,F878/12,IF(G878=5,F878-I878,IF(G878=8,F878,0)))),0)</f>
        <v>0</v>
      </c>
      <c r="K878" s="819">
        <f>ROUND(IF(G878=1,F878/23,IF(G878=3,F878/12,IF(G878=6,F878,IF(G878=7,F878-I878,0)))),0)</f>
        <v>0</v>
      </c>
      <c r="L878" s="820">
        <f>IF(G878=6,F878,0)</f>
        <v>0</v>
      </c>
      <c r="P878" s="768" t="n"/>
      <c r="Q878" s="769" t="str">
        <f>IF($F878="","",IFERROR(VLOOKUP($C878&amp;"|"&amp;$D878,科目表!$A$5:$B$200,2,FALSE),"※未登録"))</f>
        <v/>
      </c>
      <c r="R878" s="769" t="str">
        <f>IF($F878="","",$I878+$J878+$K878)</f>
        <v/>
      </c>
      <c r="S878" s="769" t="str">
        <f>IF(OR($F878="",$P878="支払なし",$H878=0,$Q878=""),"",$Q878&amp;"|S|"&amp;(COUNTIF(S$4:S877,$Q878&amp;"|S|*")+1))</f>
        <v/>
      </c>
      <c r="T878" s="769" t="str">
        <f>IF(OR($F878="",$P878="支払なし",$R878=0,$Q878=""),"",$Q878&amp;"|L|"&amp;(COUNTIF(T$4:T877,$Q878&amp;"|L|*")+1))</f>
        <v/>
      </c>
      <c r="U878" s="769" t="str">
        <f>IF($F878="","",13)</f>
        <v/>
      </c>
    </row>
    <row r="879" ht="16.5" customHeight="1" s="186">
      <c r="A879" s="760" t="n"/>
      <c r="B879" s="760" t="n"/>
      <c r="C879" s="762" t="n"/>
      <c r="D879" s="762" t="n"/>
      <c r="E879" s="775" t="n"/>
      <c r="F879" s="821" t="n"/>
      <c r="G879" s="821" t="n"/>
      <c r="H879" s="818">
        <f>IF(G879=1,F879-I879-J879-K879,IF(G879=2,F879,0))</f>
        <v>0</v>
      </c>
      <c r="I879" s="818">
        <f>ROUND(IF(G879=1,F879*10/23,IF(G879=3,F879-J879-K879,IF(G879=4,F879,IF(G879=5,F879*10/11,IF(G879=7,F879*10/11,0))))),0)</f>
        <v>0</v>
      </c>
      <c r="J879" s="818">
        <f>ROUND(IF(G879=1,F879/23,IF(G879=3,F879/12,IF(G879=5,F879-I879,IF(G879=8,F879,0)))),0)</f>
        <v>0</v>
      </c>
      <c r="K879" s="819">
        <f>ROUND(IF(G879=1,F879/23,IF(G879=3,F879/12,IF(G879=6,F879,IF(G879=7,F879-I879,0)))),0)</f>
        <v>0</v>
      </c>
      <c r="L879" s="820">
        <f>IF(G879=6,F879,0)</f>
        <v>0</v>
      </c>
      <c r="P879" s="768" t="n"/>
      <c r="Q879" s="769" t="str">
        <f>IF($F879="","",IFERROR(VLOOKUP($C879&amp;"|"&amp;$D879,科目表!$A$5:$B$200,2,FALSE),"※未登録"))</f>
        <v/>
      </c>
      <c r="R879" s="769" t="str">
        <f>IF($F879="","",$I879+$J879+$K879)</f>
        <v/>
      </c>
      <c r="S879" s="769" t="str">
        <f>IF(OR($F879="",$P879="支払なし",$H879=0,$Q879=""),"",$Q879&amp;"|S|"&amp;(COUNTIF(S$4:S878,$Q879&amp;"|S|*")+1))</f>
        <v/>
      </c>
      <c r="T879" s="769" t="str">
        <f>IF(OR($F879="",$P879="支払なし",$R879=0,$Q879=""),"",$Q879&amp;"|L|"&amp;(COUNTIF(T$4:T878,$Q879&amp;"|L|*")+1))</f>
        <v/>
      </c>
      <c r="U879" s="769" t="str">
        <f>IF($F879="","",13)</f>
        <v/>
      </c>
    </row>
    <row r="880" ht="16.5" customHeight="1" s="186">
      <c r="A880" s="760" t="n"/>
      <c r="B880" s="760" t="n"/>
      <c r="C880" s="762" t="n"/>
      <c r="D880" s="762" t="n"/>
      <c r="E880" s="775" t="n"/>
      <c r="F880" s="821" t="n"/>
      <c r="G880" s="821" t="n"/>
      <c r="H880" s="818">
        <f>IF(G880=1,F880-I880-J880-K880,IF(G880=2,F880,0))</f>
        <v>0</v>
      </c>
      <c r="I880" s="818">
        <f>ROUND(IF(G880=1,F880*10/23,IF(G880=3,F880-J880-K880,IF(G880=4,F880,IF(G880=5,F880*10/11,IF(G880=7,F880*10/11,0))))),0)</f>
        <v>0</v>
      </c>
      <c r="J880" s="818">
        <f>ROUND(IF(G880=1,F880/23,IF(G880=3,F880/12,IF(G880=5,F880-I880,IF(G880=8,F880,0)))),0)</f>
        <v>0</v>
      </c>
      <c r="K880" s="819">
        <f>ROUND(IF(G880=1,F880/23,IF(G880=3,F880/12,IF(G880=6,F880,IF(G880=7,F880-I880,0)))),0)</f>
        <v>0</v>
      </c>
      <c r="L880" s="820">
        <f>IF(G880=6,F880,0)</f>
        <v>0</v>
      </c>
      <c r="P880" s="768" t="n"/>
      <c r="Q880" s="769" t="str">
        <f>IF($F880="","",IFERROR(VLOOKUP($C880&amp;"|"&amp;$D880,科目表!$A$5:$B$200,2,FALSE),"※未登録"))</f>
        <v/>
      </c>
      <c r="R880" s="769" t="str">
        <f>IF($F880="","",$I880+$J880+$K880)</f>
        <v/>
      </c>
      <c r="S880" s="769" t="str">
        <f>IF(OR($F880="",$P880="支払なし",$H880=0,$Q880=""),"",$Q880&amp;"|S|"&amp;(COUNTIF(S$4:S879,$Q880&amp;"|S|*")+1))</f>
        <v/>
      </c>
      <c r="T880" s="769" t="str">
        <f>IF(OR($F880="",$P880="支払なし",$R880=0,$Q880=""),"",$Q880&amp;"|L|"&amp;(COUNTIF(T$4:T879,$Q880&amp;"|L|*")+1))</f>
        <v/>
      </c>
      <c r="U880" s="769" t="str">
        <f>IF($F880="","",13)</f>
        <v/>
      </c>
    </row>
    <row r="881" ht="16.5" customHeight="1" s="186">
      <c r="A881" s="760" t="n"/>
      <c r="B881" s="760" t="n"/>
      <c r="C881" s="762" t="n"/>
      <c r="D881" s="762" t="n"/>
      <c r="E881" s="775" t="n"/>
      <c r="F881" s="821" t="n"/>
      <c r="G881" s="821" t="n"/>
      <c r="H881" s="818">
        <f>IF(G881=1,F881-I881-J881-K881,IF(G881=2,F881,0))</f>
        <v>0</v>
      </c>
      <c r="I881" s="818">
        <f>ROUND(IF(G881=1,F881*10/23,IF(G881=3,F881-J881-K881,IF(G881=4,F881,IF(G881=5,F881*10/11,IF(G881=7,F881*10/11,0))))),0)</f>
        <v>0</v>
      </c>
      <c r="J881" s="818">
        <f>ROUND(IF(G881=1,F881/23,IF(G881=3,F881/12,IF(G881=5,F881-I881,IF(G881=8,F881,0)))),0)</f>
        <v>0</v>
      </c>
      <c r="K881" s="819">
        <f>ROUND(IF(G881=1,F881/23,IF(G881=3,F881/12,IF(G881=6,F881,IF(G881=7,F881-I881,0)))),0)</f>
        <v>0</v>
      </c>
      <c r="L881" s="820">
        <f>IF(G881=6,F881,0)</f>
        <v>0</v>
      </c>
      <c r="P881" s="768" t="n"/>
      <c r="Q881" s="769" t="str">
        <f>IF($F881="","",IFERROR(VLOOKUP($C881&amp;"|"&amp;$D881,科目表!$A$5:$B$200,2,FALSE),"※未登録"))</f>
        <v/>
      </c>
      <c r="R881" s="769" t="str">
        <f>IF($F881="","",$I881+$J881+$K881)</f>
        <v/>
      </c>
      <c r="S881" s="769" t="str">
        <f>IF(OR($F881="",$P881="支払なし",$H881=0,$Q881=""),"",$Q881&amp;"|S|"&amp;(COUNTIF(S$4:S880,$Q881&amp;"|S|*")+1))</f>
        <v/>
      </c>
      <c r="T881" s="769" t="str">
        <f>IF(OR($F881="",$P881="支払なし",$R881=0,$Q881=""),"",$Q881&amp;"|L|"&amp;(COUNTIF(T$4:T880,$Q881&amp;"|L|*")+1))</f>
        <v/>
      </c>
      <c r="U881" s="769" t="str">
        <f>IF($F881="","",13)</f>
        <v/>
      </c>
    </row>
    <row r="882" ht="16.5" customHeight="1" s="186">
      <c r="A882" s="760" t="n"/>
      <c r="B882" s="760" t="n"/>
      <c r="C882" s="762" t="n"/>
      <c r="D882" s="762" t="n"/>
      <c r="E882" s="775" t="n"/>
      <c r="F882" s="821" t="n"/>
      <c r="G882" s="821" t="n"/>
      <c r="H882" s="818">
        <f>IF(G882=1,F882-I882-J882-K882,IF(G882=2,F882,0))</f>
        <v>0</v>
      </c>
      <c r="I882" s="818">
        <f>ROUND(IF(G882=1,F882*10/23,IF(G882=3,F882-J882-K882,IF(G882=4,F882,IF(G882=5,F882*10/11,IF(G882=7,F882*10/11,0))))),0)</f>
        <v>0</v>
      </c>
      <c r="J882" s="818">
        <f>ROUND(IF(G882=1,F882/23,IF(G882=3,F882/12,IF(G882=5,F882-I882,IF(G882=8,F882,0)))),0)</f>
        <v>0</v>
      </c>
      <c r="K882" s="819">
        <f>ROUND(IF(G882=1,F882/23,IF(G882=3,F882/12,IF(G882=6,F882,IF(G882=7,F882-I882,0)))),0)</f>
        <v>0</v>
      </c>
      <c r="L882" s="820">
        <f>IF(G882=6,F882,0)</f>
        <v>0</v>
      </c>
      <c r="P882" s="768" t="n"/>
      <c r="Q882" s="769" t="str">
        <f>IF($F882="","",IFERROR(VLOOKUP($C882&amp;"|"&amp;$D882,科目表!$A$5:$B$200,2,FALSE),"※未登録"))</f>
        <v/>
      </c>
      <c r="R882" s="769" t="str">
        <f>IF($F882="","",$I882+$J882+$K882)</f>
        <v/>
      </c>
      <c r="S882" s="769" t="str">
        <f>IF(OR($F882="",$P882="支払なし",$H882=0,$Q882=""),"",$Q882&amp;"|S|"&amp;(COUNTIF(S$4:S881,$Q882&amp;"|S|*")+1))</f>
        <v/>
      </c>
      <c r="T882" s="769" t="str">
        <f>IF(OR($F882="",$P882="支払なし",$R882=0,$Q882=""),"",$Q882&amp;"|L|"&amp;(COUNTIF(T$4:T881,$Q882&amp;"|L|*")+1))</f>
        <v/>
      </c>
      <c r="U882" s="769" t="str">
        <f>IF($F882="","",13)</f>
        <v/>
      </c>
    </row>
    <row r="883" ht="16.5" customHeight="1" s="186">
      <c r="A883" s="760" t="n"/>
      <c r="B883" s="760" t="n"/>
      <c r="C883" s="762" t="n"/>
      <c r="D883" s="762" t="n"/>
      <c r="E883" s="775" t="n"/>
      <c r="F883" s="821" t="n"/>
      <c r="G883" s="821" t="n"/>
      <c r="H883" s="818">
        <f>IF(G883=1,F883-I883-J883-K883,IF(G883=2,F883,0))</f>
        <v>0</v>
      </c>
      <c r="I883" s="818">
        <f>ROUND(IF(G883=1,F883*10/23,IF(G883=3,F883-J883-K883,IF(G883=4,F883,IF(G883=5,F883*10/11,IF(G883=7,F883*10/11,0))))),0)</f>
        <v>0</v>
      </c>
      <c r="J883" s="818">
        <f>ROUND(IF(G883=1,F883/23,IF(G883=3,F883/12,IF(G883=5,F883-I883,IF(G883=8,F883,0)))),0)</f>
        <v>0</v>
      </c>
      <c r="K883" s="819">
        <f>ROUND(IF(G883=1,F883/23,IF(G883=3,F883/12,IF(G883=6,F883,IF(G883=7,F883-I883,0)))),0)</f>
        <v>0</v>
      </c>
      <c r="L883" s="820">
        <f>IF(G883=6,F883,0)</f>
        <v>0</v>
      </c>
      <c r="P883" s="768" t="n"/>
      <c r="Q883" s="769" t="str">
        <f>IF($F883="","",IFERROR(VLOOKUP($C883&amp;"|"&amp;$D883,科目表!$A$5:$B$200,2,FALSE),"※未登録"))</f>
        <v/>
      </c>
      <c r="R883" s="769" t="str">
        <f>IF($F883="","",$I883+$J883+$K883)</f>
        <v/>
      </c>
      <c r="S883" s="769" t="str">
        <f>IF(OR($F883="",$P883="支払なし",$H883=0,$Q883=""),"",$Q883&amp;"|S|"&amp;(COUNTIF(S$4:S882,$Q883&amp;"|S|*")+1))</f>
        <v/>
      </c>
      <c r="T883" s="769" t="str">
        <f>IF(OR($F883="",$P883="支払なし",$R883=0,$Q883=""),"",$Q883&amp;"|L|"&amp;(COUNTIF(T$4:T882,$Q883&amp;"|L|*")+1))</f>
        <v/>
      </c>
      <c r="U883" s="769" t="str">
        <f>IF($F883="","",13)</f>
        <v/>
      </c>
    </row>
    <row r="884" ht="16.5" customHeight="1" s="186">
      <c r="A884" s="760" t="n"/>
      <c r="B884" s="760" t="n"/>
      <c r="C884" s="762" t="n"/>
      <c r="D884" s="762" t="n"/>
      <c r="E884" s="775" t="n"/>
      <c r="F884" s="821" t="n"/>
      <c r="G884" s="821" t="n"/>
      <c r="H884" s="818">
        <f>IF(G884=1,F884-I884-J884-K884,IF(G884=2,F884,0))</f>
        <v>0</v>
      </c>
      <c r="I884" s="818">
        <f>ROUND(IF(G884=1,F884*10/23,IF(G884=3,F884-J884-K884,IF(G884=4,F884,IF(G884=5,F884*10/11,IF(G884=7,F884*10/11,0))))),0)</f>
        <v>0</v>
      </c>
      <c r="J884" s="818">
        <f>ROUND(IF(G884=1,F884/23,IF(G884=3,F884/12,IF(G884=5,F884-I884,IF(G884=8,F884,0)))),0)</f>
        <v>0</v>
      </c>
      <c r="K884" s="819">
        <f>ROUND(IF(G884=1,F884/23,IF(G884=3,F884/12,IF(G884=6,F884,IF(G884=7,F884-I884,0)))),0)</f>
        <v>0</v>
      </c>
      <c r="L884" s="820">
        <f>IF(G884=6,F884,0)</f>
        <v>0</v>
      </c>
      <c r="P884" s="768" t="n"/>
      <c r="Q884" s="769" t="str">
        <f>IF($F884="","",IFERROR(VLOOKUP($C884&amp;"|"&amp;$D884,科目表!$A$5:$B$200,2,FALSE),"※未登録"))</f>
        <v/>
      </c>
      <c r="R884" s="769" t="str">
        <f>IF($F884="","",$I884+$J884+$K884)</f>
        <v/>
      </c>
      <c r="S884" s="769" t="str">
        <f>IF(OR($F884="",$P884="支払なし",$H884=0,$Q884=""),"",$Q884&amp;"|S|"&amp;(COUNTIF(S$4:S883,$Q884&amp;"|S|*")+1))</f>
        <v/>
      </c>
      <c r="T884" s="769" t="str">
        <f>IF(OR($F884="",$P884="支払なし",$R884=0,$Q884=""),"",$Q884&amp;"|L|"&amp;(COUNTIF(T$4:T883,$Q884&amp;"|L|*")+1))</f>
        <v/>
      </c>
      <c r="U884" s="769" t="str">
        <f>IF($F884="","",13)</f>
        <v/>
      </c>
    </row>
    <row r="885" ht="16.5" customHeight="1" s="186">
      <c r="A885" s="760" t="n"/>
      <c r="B885" s="760" t="n"/>
      <c r="C885" s="762" t="n"/>
      <c r="D885" s="762" t="n"/>
      <c r="E885" s="775" t="n"/>
      <c r="F885" s="821" t="n"/>
      <c r="G885" s="821" t="n"/>
      <c r="H885" s="818">
        <f>IF(G885=1,F885-I885-J885-K885,IF(G885=2,F885,0))</f>
        <v>0</v>
      </c>
      <c r="I885" s="818">
        <f>ROUND(IF(G885=1,F885*10/23,IF(G885=3,F885-J885-K885,IF(G885=4,F885,IF(G885=5,F885*10/11,IF(G885=7,F885*10/11,0))))),0)</f>
        <v>0</v>
      </c>
      <c r="J885" s="818">
        <f>ROUND(IF(G885=1,F885/23,IF(G885=3,F885/12,IF(G885=5,F885-I885,IF(G885=8,F885,0)))),0)</f>
        <v>0</v>
      </c>
      <c r="K885" s="819">
        <f>ROUND(IF(G885=1,F885/23,IF(G885=3,F885/12,IF(G885=6,F885,IF(G885=7,F885-I885,0)))),0)</f>
        <v>0</v>
      </c>
      <c r="L885" s="820">
        <f>IF(G885=6,F885,0)</f>
        <v>0</v>
      </c>
      <c r="P885" s="768" t="n"/>
      <c r="Q885" s="769" t="str">
        <f>IF($F885="","",IFERROR(VLOOKUP($C885&amp;"|"&amp;$D885,科目表!$A$5:$B$200,2,FALSE),"※未登録"))</f>
        <v/>
      </c>
      <c r="R885" s="769" t="str">
        <f>IF($F885="","",$I885+$J885+$K885)</f>
        <v/>
      </c>
      <c r="S885" s="769" t="str">
        <f>IF(OR($F885="",$P885="支払なし",$H885=0,$Q885=""),"",$Q885&amp;"|S|"&amp;(COUNTIF(S$4:S884,$Q885&amp;"|S|*")+1))</f>
        <v/>
      </c>
      <c r="T885" s="769" t="str">
        <f>IF(OR($F885="",$P885="支払なし",$R885=0,$Q885=""),"",$Q885&amp;"|L|"&amp;(COUNTIF(T$4:T884,$Q885&amp;"|L|*")+1))</f>
        <v/>
      </c>
      <c r="U885" s="769" t="str">
        <f>IF($F885="","",13)</f>
        <v/>
      </c>
    </row>
    <row r="886" ht="16.5" customHeight="1" s="186">
      <c r="A886" s="760" t="n"/>
      <c r="B886" s="760" t="n"/>
      <c r="C886" s="762" t="n"/>
      <c r="D886" s="762" t="n"/>
      <c r="E886" s="775" t="n"/>
      <c r="F886" s="821" t="n"/>
      <c r="G886" s="821" t="n"/>
      <c r="H886" s="818">
        <f>IF(G886=1,F886-I886-J886-K886,IF(G886=2,F886,0))</f>
        <v>0</v>
      </c>
      <c r="I886" s="818">
        <f>ROUND(IF(G886=1,F886*10/23,IF(G886=3,F886-J886-K886,IF(G886=4,F886,IF(G886=5,F886*10/11,IF(G886=7,F886*10/11,0))))),0)</f>
        <v>0</v>
      </c>
      <c r="J886" s="818">
        <f>ROUND(IF(G886=1,F886/23,IF(G886=3,F886/12,IF(G886=5,F886-I886,IF(G886=8,F886,0)))),0)</f>
        <v>0</v>
      </c>
      <c r="K886" s="819">
        <f>ROUND(IF(G886=1,F886/23,IF(G886=3,F886/12,IF(G886=6,F886,IF(G886=7,F886-I886,0)))),0)</f>
        <v>0</v>
      </c>
      <c r="L886" s="820">
        <f>IF(G886=6,F886,0)</f>
        <v>0</v>
      </c>
      <c r="P886" s="768" t="n"/>
      <c r="Q886" s="769" t="str">
        <f>IF($F886="","",IFERROR(VLOOKUP($C886&amp;"|"&amp;$D886,科目表!$A$5:$B$200,2,FALSE),"※未登録"))</f>
        <v/>
      </c>
      <c r="R886" s="769" t="str">
        <f>IF($F886="","",$I886+$J886+$K886)</f>
        <v/>
      </c>
      <c r="S886" s="769" t="str">
        <f>IF(OR($F886="",$P886="支払なし",$H886=0,$Q886=""),"",$Q886&amp;"|S|"&amp;(COUNTIF(S$4:S885,$Q886&amp;"|S|*")+1))</f>
        <v/>
      </c>
      <c r="T886" s="769" t="str">
        <f>IF(OR($F886="",$P886="支払なし",$R886=0,$Q886=""),"",$Q886&amp;"|L|"&amp;(COUNTIF(T$4:T885,$Q886&amp;"|L|*")+1))</f>
        <v/>
      </c>
      <c r="U886" s="769" t="str">
        <f>IF($F886="","",13)</f>
        <v/>
      </c>
    </row>
    <row r="887" ht="16.5" customHeight="1" s="186">
      <c r="A887" s="760" t="n"/>
      <c r="B887" s="760" t="n"/>
      <c r="C887" s="762" t="n"/>
      <c r="D887" s="762" t="n"/>
      <c r="E887" s="775" t="n"/>
      <c r="F887" s="821" t="n"/>
      <c r="G887" s="821" t="n"/>
      <c r="H887" s="818">
        <f>IF(G887=1,F887-I887-J887-K887,IF(G887=2,F887,0))</f>
        <v>0</v>
      </c>
      <c r="I887" s="818">
        <f>ROUND(IF(G887=1,F887*10/23,IF(G887=3,F887-J887-K887,IF(G887=4,F887,IF(G887=5,F887*10/11,IF(G887=7,F887*10/11,0))))),0)</f>
        <v>0</v>
      </c>
      <c r="J887" s="818">
        <f>ROUND(IF(G887=1,F887/23,IF(G887=3,F887/12,IF(G887=5,F887-I887,IF(G887=8,F887,0)))),0)</f>
        <v>0</v>
      </c>
      <c r="K887" s="819">
        <f>ROUND(IF(G887=1,F887/23,IF(G887=3,F887/12,IF(G887=6,F887,IF(G887=7,F887-I887,0)))),0)</f>
        <v>0</v>
      </c>
      <c r="L887" s="820">
        <f>IF(G887=6,F887,0)</f>
        <v>0</v>
      </c>
      <c r="P887" s="768" t="n"/>
      <c r="Q887" s="769" t="str">
        <f>IF($F887="","",IFERROR(VLOOKUP($C887&amp;"|"&amp;$D887,科目表!$A$5:$B$200,2,FALSE),"※未登録"))</f>
        <v/>
      </c>
      <c r="R887" s="769" t="str">
        <f>IF($F887="","",$I887+$J887+$K887)</f>
        <v/>
      </c>
      <c r="S887" s="769" t="str">
        <f>IF(OR($F887="",$P887="支払なし",$H887=0,$Q887=""),"",$Q887&amp;"|S|"&amp;(COUNTIF(S$4:S886,$Q887&amp;"|S|*")+1))</f>
        <v/>
      </c>
      <c r="T887" s="769" t="str">
        <f>IF(OR($F887="",$P887="支払なし",$R887=0,$Q887=""),"",$Q887&amp;"|L|"&amp;(COUNTIF(T$4:T886,$Q887&amp;"|L|*")+1))</f>
        <v/>
      </c>
      <c r="U887" s="769" t="str">
        <f>IF($F887="","",13)</f>
        <v/>
      </c>
    </row>
    <row r="888" ht="16.5" customHeight="1" s="186">
      <c r="A888" s="760" t="n"/>
      <c r="B888" s="760" t="n"/>
      <c r="C888" s="762" t="n"/>
      <c r="D888" s="762" t="n"/>
      <c r="E888" s="775" t="n"/>
      <c r="F888" s="821" t="n"/>
      <c r="G888" s="821" t="n"/>
      <c r="H888" s="818">
        <f>IF(G888=1,F888-I888-J888-K888,IF(G888=2,F888,0))</f>
        <v>0</v>
      </c>
      <c r="I888" s="818">
        <f>ROUND(IF(G888=1,F888*10/23,IF(G888=3,F888-J888-K888,IF(G888=4,F888,IF(G888=5,F888*10/11,IF(G888=7,F888*10/11,0))))),0)</f>
        <v>0</v>
      </c>
      <c r="J888" s="818">
        <f>ROUND(IF(G888=1,F888/23,IF(G888=3,F888/12,IF(G888=5,F888-I888,IF(G888=8,F888,0)))),0)</f>
        <v>0</v>
      </c>
      <c r="K888" s="819">
        <f>ROUND(IF(G888=1,F888/23,IF(G888=3,F888/12,IF(G888=6,F888,IF(G888=7,F888-I888,0)))),0)</f>
        <v>0</v>
      </c>
      <c r="L888" s="820">
        <f>IF(G888=6,F888,0)</f>
        <v>0</v>
      </c>
      <c r="P888" s="768" t="n"/>
      <c r="Q888" s="769" t="str">
        <f>IF($F888="","",IFERROR(VLOOKUP($C888&amp;"|"&amp;$D888,科目表!$A$5:$B$200,2,FALSE),"※未登録"))</f>
        <v/>
      </c>
      <c r="R888" s="769" t="str">
        <f>IF($F888="","",$I888+$J888+$K888)</f>
        <v/>
      </c>
      <c r="S888" s="769" t="str">
        <f>IF(OR($F888="",$P888="支払なし",$H888=0,$Q888=""),"",$Q888&amp;"|S|"&amp;(COUNTIF(S$4:S887,$Q888&amp;"|S|*")+1))</f>
        <v/>
      </c>
      <c r="T888" s="769" t="str">
        <f>IF(OR($F888="",$P888="支払なし",$R888=0,$Q888=""),"",$Q888&amp;"|L|"&amp;(COUNTIF(T$4:T887,$Q888&amp;"|L|*")+1))</f>
        <v/>
      </c>
      <c r="U888" s="769" t="str">
        <f>IF($F888="","",13)</f>
        <v/>
      </c>
    </row>
    <row r="889" ht="16.5" customHeight="1" s="186">
      <c r="A889" s="760" t="n"/>
      <c r="B889" s="760" t="n"/>
      <c r="C889" s="762" t="n"/>
      <c r="D889" s="762" t="n"/>
      <c r="E889" s="775" t="n"/>
      <c r="F889" s="821" t="n"/>
      <c r="G889" s="821" t="n"/>
      <c r="H889" s="818">
        <f>IF(G889=1,F889-I889-J889-K889,IF(G889=2,F889,0))</f>
        <v>0</v>
      </c>
      <c r="I889" s="818">
        <f>ROUND(IF(G889=1,F889*10/23,IF(G889=3,F889-J889-K889,IF(G889=4,F889,IF(G889=5,F889*10/11,IF(G889=7,F889*10/11,0))))),0)</f>
        <v>0</v>
      </c>
      <c r="J889" s="818">
        <f>ROUND(IF(G889=1,F889/23,IF(G889=3,F889/12,IF(G889=5,F889-I889,IF(G889=8,F889,0)))),0)</f>
        <v>0</v>
      </c>
      <c r="K889" s="819">
        <f>ROUND(IF(G889=1,F889/23,IF(G889=3,F889/12,IF(G889=6,F889,IF(G889=7,F889-I889,0)))),0)</f>
        <v>0</v>
      </c>
      <c r="L889" s="820">
        <f>IF(G889=6,F889,0)</f>
        <v>0</v>
      </c>
      <c r="P889" s="768" t="n"/>
      <c r="Q889" s="769" t="str">
        <f>IF($F889="","",IFERROR(VLOOKUP($C889&amp;"|"&amp;$D889,科目表!$A$5:$B$200,2,FALSE),"※未登録"))</f>
        <v/>
      </c>
      <c r="R889" s="769" t="str">
        <f>IF($F889="","",$I889+$J889+$K889)</f>
        <v/>
      </c>
      <c r="S889" s="769" t="str">
        <f>IF(OR($F889="",$P889="支払なし",$H889=0,$Q889=""),"",$Q889&amp;"|S|"&amp;(COUNTIF(S$4:S888,$Q889&amp;"|S|*")+1))</f>
        <v/>
      </c>
      <c r="T889" s="769" t="str">
        <f>IF(OR($F889="",$P889="支払なし",$R889=0,$Q889=""),"",$Q889&amp;"|L|"&amp;(COUNTIF(T$4:T888,$Q889&amp;"|L|*")+1))</f>
        <v/>
      </c>
      <c r="U889" s="769" t="str">
        <f>IF($F889="","",13)</f>
        <v/>
      </c>
    </row>
    <row r="890" ht="16.5" customHeight="1" s="186">
      <c r="A890" s="760" t="n"/>
      <c r="B890" s="760" t="n"/>
      <c r="C890" s="762" t="n"/>
      <c r="D890" s="762" t="n"/>
      <c r="E890" s="775" t="n"/>
      <c r="F890" s="821" t="n"/>
      <c r="G890" s="821" t="n"/>
      <c r="H890" s="818">
        <f>IF(G890=1,F890-I890-J890-K890,IF(G890=2,F890,0))</f>
        <v>0</v>
      </c>
      <c r="I890" s="818">
        <f>ROUND(IF(G890=1,F890*10/23,IF(G890=3,F890-J890-K890,IF(G890=4,F890,IF(G890=5,F890*10/11,IF(G890=7,F890*10/11,0))))),0)</f>
        <v>0</v>
      </c>
      <c r="J890" s="818">
        <f>ROUND(IF(G890=1,F890/23,IF(G890=3,F890/12,IF(G890=5,F890-I890,IF(G890=8,F890,0)))),0)</f>
        <v>0</v>
      </c>
      <c r="K890" s="819">
        <f>ROUND(IF(G890=1,F890/23,IF(G890=3,F890/12,IF(G890=6,F890,IF(G890=7,F890-I890,0)))),0)</f>
        <v>0</v>
      </c>
      <c r="L890" s="820">
        <f>IF(G890=6,F890,0)</f>
        <v>0</v>
      </c>
      <c r="P890" s="768" t="n"/>
      <c r="Q890" s="769" t="str">
        <f>IF($F890="","",IFERROR(VLOOKUP($C890&amp;"|"&amp;$D890,科目表!$A$5:$B$200,2,FALSE),"※未登録"))</f>
        <v/>
      </c>
      <c r="R890" s="769" t="str">
        <f>IF($F890="","",$I890+$J890+$K890)</f>
        <v/>
      </c>
      <c r="S890" s="769" t="str">
        <f>IF(OR($F890="",$P890="支払なし",$H890=0,$Q890=""),"",$Q890&amp;"|S|"&amp;(COUNTIF(S$4:S889,$Q890&amp;"|S|*")+1))</f>
        <v/>
      </c>
      <c r="T890" s="769" t="str">
        <f>IF(OR($F890="",$P890="支払なし",$R890=0,$Q890=""),"",$Q890&amp;"|L|"&amp;(COUNTIF(T$4:T889,$Q890&amp;"|L|*")+1))</f>
        <v/>
      </c>
      <c r="U890" s="769" t="str">
        <f>IF($F890="","",13)</f>
        <v/>
      </c>
    </row>
    <row r="891" ht="16.5" customHeight="1" s="186">
      <c r="A891" s="760" t="n"/>
      <c r="B891" s="760" t="n"/>
      <c r="C891" s="762" t="n"/>
      <c r="D891" s="762" t="n"/>
      <c r="E891" s="775" t="n"/>
      <c r="F891" s="821" t="n"/>
      <c r="G891" s="821" t="n"/>
      <c r="H891" s="818">
        <f>IF(G891=1,F891-I891-J891-K891,IF(G891=2,F891,0))</f>
        <v>0</v>
      </c>
      <c r="I891" s="818">
        <f>ROUND(IF(G891=1,F891*10/23,IF(G891=3,F891-J891-K891,IF(G891=4,F891,IF(G891=5,F891*10/11,IF(G891=7,F891*10/11,0))))),0)</f>
        <v>0</v>
      </c>
      <c r="J891" s="818">
        <f>ROUND(IF(G891=1,F891/23,IF(G891=3,F891/12,IF(G891=5,F891-I891,IF(G891=8,F891,0)))),0)</f>
        <v>0</v>
      </c>
      <c r="K891" s="819">
        <f>ROUND(IF(G891=1,F891/23,IF(G891=3,F891/12,IF(G891=6,F891,IF(G891=7,F891-I891,0)))),0)</f>
        <v>0</v>
      </c>
      <c r="L891" s="820">
        <f>IF(G891=6,F891,0)</f>
        <v>0</v>
      </c>
      <c r="P891" s="768" t="n"/>
      <c r="Q891" s="769" t="str">
        <f>IF($F891="","",IFERROR(VLOOKUP($C891&amp;"|"&amp;$D891,科目表!$A$5:$B$200,2,FALSE),"※未登録"))</f>
        <v/>
      </c>
      <c r="R891" s="769" t="str">
        <f>IF($F891="","",$I891+$J891+$K891)</f>
        <v/>
      </c>
      <c r="S891" s="769" t="str">
        <f>IF(OR($F891="",$P891="支払なし",$H891=0,$Q891=""),"",$Q891&amp;"|S|"&amp;(COUNTIF(S$4:S890,$Q891&amp;"|S|*")+1))</f>
        <v/>
      </c>
      <c r="T891" s="769" t="str">
        <f>IF(OR($F891="",$P891="支払なし",$R891=0,$Q891=""),"",$Q891&amp;"|L|"&amp;(COUNTIF(T$4:T890,$Q891&amp;"|L|*")+1))</f>
        <v/>
      </c>
      <c r="U891" s="769" t="str">
        <f>IF($F891="","",13)</f>
        <v/>
      </c>
    </row>
    <row r="892" ht="16.5" customHeight="1" s="186">
      <c r="A892" s="760" t="n"/>
      <c r="B892" s="760" t="n"/>
      <c r="C892" s="762" t="n"/>
      <c r="D892" s="762" t="n"/>
      <c r="E892" s="775" t="n"/>
      <c r="F892" s="821" t="n"/>
      <c r="G892" s="821" t="n"/>
      <c r="H892" s="818">
        <f>IF(G892=1,F892-I892-J892-K892,IF(G892=2,F892,0))</f>
        <v>0</v>
      </c>
      <c r="I892" s="818">
        <f>ROUND(IF(G892=1,F892*10/23,IF(G892=3,F892-J892-K892,IF(G892=4,F892,IF(G892=5,F892*10/11,IF(G892=7,F892*10/11,0))))),0)</f>
        <v>0</v>
      </c>
      <c r="J892" s="818">
        <f>ROUND(IF(G892=1,F892/23,IF(G892=3,F892/12,IF(G892=5,F892-I892,IF(G892=8,F892,0)))),0)</f>
        <v>0</v>
      </c>
      <c r="K892" s="819">
        <f>ROUND(IF(G892=1,F892/23,IF(G892=3,F892/12,IF(G892=6,F892,IF(G892=7,F892-I892,0)))),0)</f>
        <v>0</v>
      </c>
      <c r="L892" s="820">
        <f>IF(G892=6,F892,0)</f>
        <v>0</v>
      </c>
      <c r="P892" s="768" t="n"/>
      <c r="Q892" s="769" t="str">
        <f>IF($F892="","",IFERROR(VLOOKUP($C892&amp;"|"&amp;$D892,科目表!$A$5:$B$200,2,FALSE),"※未登録"))</f>
        <v/>
      </c>
      <c r="R892" s="769" t="str">
        <f>IF($F892="","",$I892+$J892+$K892)</f>
        <v/>
      </c>
      <c r="S892" s="769" t="str">
        <f>IF(OR($F892="",$P892="支払なし",$H892=0,$Q892=""),"",$Q892&amp;"|S|"&amp;(COUNTIF(S$4:S891,$Q892&amp;"|S|*")+1))</f>
        <v/>
      </c>
      <c r="T892" s="769" t="str">
        <f>IF(OR($F892="",$P892="支払なし",$R892=0,$Q892=""),"",$Q892&amp;"|L|"&amp;(COUNTIF(T$4:T891,$Q892&amp;"|L|*")+1))</f>
        <v/>
      </c>
      <c r="U892" s="769" t="str">
        <f>IF($F892="","",13)</f>
        <v/>
      </c>
    </row>
    <row r="893" ht="16.5" customHeight="1" s="186">
      <c r="A893" s="760" t="n"/>
      <c r="B893" s="760" t="n"/>
      <c r="C893" s="762" t="n"/>
      <c r="D893" s="762" t="n"/>
      <c r="E893" s="775" t="n"/>
      <c r="F893" s="821" t="n"/>
      <c r="G893" s="821" t="n"/>
      <c r="H893" s="818">
        <f>IF(G893=1,F893-I893-J893-K893,IF(G893=2,F893,0))</f>
        <v>0</v>
      </c>
      <c r="I893" s="818">
        <f>ROUND(IF(G893=1,F893*10/23,IF(G893=3,F893-J893-K893,IF(G893=4,F893,IF(G893=5,F893*10/11,IF(G893=7,F893*10/11,0))))),0)</f>
        <v>0</v>
      </c>
      <c r="J893" s="818">
        <f>ROUND(IF(G893=1,F893/23,IF(G893=3,F893/12,IF(G893=5,F893-I893,IF(G893=8,F893,0)))),0)</f>
        <v>0</v>
      </c>
      <c r="K893" s="819">
        <f>ROUND(IF(G893=1,F893/23,IF(G893=3,F893/12,IF(G893=6,F893,IF(G893=7,F893-I893,0)))),0)</f>
        <v>0</v>
      </c>
      <c r="L893" s="820">
        <f>IF(G893=6,F893,0)</f>
        <v>0</v>
      </c>
      <c r="P893" s="768" t="n"/>
      <c r="Q893" s="769" t="str">
        <f>IF($F893="","",IFERROR(VLOOKUP($C893&amp;"|"&amp;$D893,科目表!$A$5:$B$200,2,FALSE),"※未登録"))</f>
        <v/>
      </c>
      <c r="R893" s="769" t="str">
        <f>IF($F893="","",$I893+$J893+$K893)</f>
        <v/>
      </c>
      <c r="S893" s="769" t="str">
        <f>IF(OR($F893="",$P893="支払なし",$H893=0,$Q893=""),"",$Q893&amp;"|S|"&amp;(COUNTIF(S$4:S892,$Q893&amp;"|S|*")+1))</f>
        <v/>
      </c>
      <c r="T893" s="769" t="str">
        <f>IF(OR($F893="",$P893="支払なし",$R893=0,$Q893=""),"",$Q893&amp;"|L|"&amp;(COUNTIF(T$4:T892,$Q893&amp;"|L|*")+1))</f>
        <v/>
      </c>
      <c r="U893" s="769" t="str">
        <f>IF($F893="","",13)</f>
        <v/>
      </c>
    </row>
    <row r="894" ht="16.5" customHeight="1" s="186">
      <c r="A894" s="760" t="n"/>
      <c r="B894" s="760" t="n"/>
      <c r="C894" s="762" t="n"/>
      <c r="D894" s="762" t="n"/>
      <c r="E894" s="775" t="n"/>
      <c r="F894" s="821" t="n"/>
      <c r="G894" s="821" t="n"/>
      <c r="H894" s="818">
        <f>IF(G894=1,F894-I894-J894-K894,IF(G894=2,F894,0))</f>
        <v>0</v>
      </c>
      <c r="I894" s="818">
        <f>ROUND(IF(G894=1,F894*10/23,IF(G894=3,F894-J894-K894,IF(G894=4,F894,IF(G894=5,F894*10/11,IF(G894=7,F894*10/11,0))))),0)</f>
        <v>0</v>
      </c>
      <c r="J894" s="818">
        <f>ROUND(IF(G894=1,F894/23,IF(G894=3,F894/12,IF(G894=5,F894-I894,IF(G894=8,F894,0)))),0)</f>
        <v>0</v>
      </c>
      <c r="K894" s="819">
        <f>ROUND(IF(G894=1,F894/23,IF(G894=3,F894/12,IF(G894=6,F894,IF(G894=7,F894-I894,0)))),0)</f>
        <v>0</v>
      </c>
      <c r="L894" s="820">
        <f>IF(G894=6,F894,0)</f>
        <v>0</v>
      </c>
      <c r="P894" s="768" t="n"/>
      <c r="Q894" s="769" t="str">
        <f>IF($F894="","",IFERROR(VLOOKUP($C894&amp;"|"&amp;$D894,科目表!$A$5:$B$200,2,FALSE),"※未登録"))</f>
        <v/>
      </c>
      <c r="R894" s="769" t="str">
        <f>IF($F894="","",$I894+$J894+$K894)</f>
        <v/>
      </c>
      <c r="S894" s="769" t="str">
        <f>IF(OR($F894="",$P894="支払なし",$H894=0,$Q894=""),"",$Q894&amp;"|S|"&amp;(COUNTIF(S$4:S893,$Q894&amp;"|S|*")+1))</f>
        <v/>
      </c>
      <c r="T894" s="769" t="str">
        <f>IF(OR($F894="",$P894="支払なし",$R894=0,$Q894=""),"",$Q894&amp;"|L|"&amp;(COUNTIF(T$4:T893,$Q894&amp;"|L|*")+1))</f>
        <v/>
      </c>
      <c r="U894" s="769" t="str">
        <f>IF($F894="","",13)</f>
        <v/>
      </c>
    </row>
    <row r="895" ht="16.5" customHeight="1" s="186">
      <c r="A895" s="760" t="n"/>
      <c r="B895" s="760" t="n"/>
      <c r="C895" s="762" t="n"/>
      <c r="D895" s="762" t="n"/>
      <c r="E895" s="775" t="n"/>
      <c r="F895" s="821" t="n"/>
      <c r="G895" s="821" t="n"/>
      <c r="H895" s="818">
        <f>IF(G895=1,F895-I895-J895-K895,IF(G895=2,F895,0))</f>
        <v>0</v>
      </c>
      <c r="I895" s="818">
        <f>ROUND(IF(G895=1,F895*10/23,IF(G895=3,F895-J895-K895,IF(G895=4,F895,IF(G895=5,F895*10/11,IF(G895=7,F895*10/11,0))))),0)</f>
        <v>0</v>
      </c>
      <c r="J895" s="818">
        <f>ROUND(IF(G895=1,F895/23,IF(G895=3,F895/12,IF(G895=5,F895-I895,IF(G895=8,F895,0)))),0)</f>
        <v>0</v>
      </c>
      <c r="K895" s="819">
        <f>ROUND(IF(G895=1,F895/23,IF(G895=3,F895/12,IF(G895=6,F895,IF(G895=7,F895-I895,0)))),0)</f>
        <v>0</v>
      </c>
      <c r="L895" s="820">
        <f>IF(G895=6,F895,0)</f>
        <v>0</v>
      </c>
      <c r="P895" s="768" t="n"/>
      <c r="Q895" s="769" t="str">
        <f>IF($F895="","",IFERROR(VLOOKUP($C895&amp;"|"&amp;$D895,科目表!$A$5:$B$200,2,FALSE),"※未登録"))</f>
        <v/>
      </c>
      <c r="R895" s="769" t="str">
        <f>IF($F895="","",$I895+$J895+$K895)</f>
        <v/>
      </c>
      <c r="S895" s="769" t="str">
        <f>IF(OR($F895="",$P895="支払なし",$H895=0,$Q895=""),"",$Q895&amp;"|S|"&amp;(COUNTIF(S$4:S894,$Q895&amp;"|S|*")+1))</f>
        <v/>
      </c>
      <c r="T895" s="769" t="str">
        <f>IF(OR($F895="",$P895="支払なし",$R895=0,$Q895=""),"",$Q895&amp;"|L|"&amp;(COUNTIF(T$4:T894,$Q895&amp;"|L|*")+1))</f>
        <v/>
      </c>
      <c r="U895" s="769" t="str">
        <f>IF($F895="","",13)</f>
        <v/>
      </c>
    </row>
    <row r="896" ht="16.5" customHeight="1" s="186">
      <c r="A896" s="760" t="n"/>
      <c r="B896" s="760" t="n"/>
      <c r="C896" s="762" t="n"/>
      <c r="D896" s="762" t="n"/>
      <c r="E896" s="775" t="n"/>
      <c r="F896" s="821" t="n"/>
      <c r="G896" s="821" t="n"/>
      <c r="H896" s="818">
        <f>IF(G896=1,F896-I896-J896-K896,IF(G896=2,F896,0))</f>
        <v>0</v>
      </c>
      <c r="I896" s="818">
        <f>ROUND(IF(G896=1,F896*10/23,IF(G896=3,F896-J896-K896,IF(G896=4,F896,IF(G896=5,F896*10/11,IF(G896=7,F896*10/11,0))))),0)</f>
        <v>0</v>
      </c>
      <c r="J896" s="818">
        <f>ROUND(IF(G896=1,F896/23,IF(G896=3,F896/12,IF(G896=5,F896-I896,IF(G896=8,F896,0)))),0)</f>
        <v>0</v>
      </c>
      <c r="K896" s="819">
        <f>ROUND(IF(G896=1,F896/23,IF(G896=3,F896/12,IF(G896=6,F896,IF(G896=7,F896-I896,0)))),0)</f>
        <v>0</v>
      </c>
      <c r="L896" s="820">
        <f>IF(G896=6,F896,0)</f>
        <v>0</v>
      </c>
      <c r="P896" s="768" t="n"/>
      <c r="Q896" s="769" t="str">
        <f>IF($F896="","",IFERROR(VLOOKUP($C896&amp;"|"&amp;$D896,科目表!$A$5:$B$200,2,FALSE),"※未登録"))</f>
        <v/>
      </c>
      <c r="R896" s="769" t="str">
        <f>IF($F896="","",$I896+$J896+$K896)</f>
        <v/>
      </c>
      <c r="S896" s="769" t="str">
        <f>IF(OR($F896="",$P896="支払なし",$H896=0,$Q896=""),"",$Q896&amp;"|S|"&amp;(COUNTIF(S$4:S895,$Q896&amp;"|S|*")+1))</f>
        <v/>
      </c>
      <c r="T896" s="769" t="str">
        <f>IF(OR($F896="",$P896="支払なし",$R896=0,$Q896=""),"",$Q896&amp;"|L|"&amp;(COUNTIF(T$4:T895,$Q896&amp;"|L|*")+1))</f>
        <v/>
      </c>
      <c r="U896" s="769" t="str">
        <f>IF($F896="","",13)</f>
        <v/>
      </c>
    </row>
    <row r="897" ht="16.5" customHeight="1" s="186">
      <c r="A897" s="760" t="n"/>
      <c r="B897" s="760" t="n"/>
      <c r="C897" s="762" t="n"/>
      <c r="D897" s="762" t="n"/>
      <c r="E897" s="775" t="n"/>
      <c r="F897" s="821" t="n"/>
      <c r="G897" s="821" t="n"/>
      <c r="H897" s="818">
        <f>IF(G897=1,F897-I897-J897-K897,IF(G897=2,F897,0))</f>
        <v>0</v>
      </c>
      <c r="I897" s="818">
        <f>ROUND(IF(G897=1,F897*10/23,IF(G897=3,F897-J897-K897,IF(G897=4,F897,IF(G897=5,F897*10/11,IF(G897=7,F897*10/11,0))))),0)</f>
        <v>0</v>
      </c>
      <c r="J897" s="818">
        <f>ROUND(IF(G897=1,F897/23,IF(G897=3,F897/12,IF(G897=5,F897-I897,IF(G897=8,F897,0)))),0)</f>
        <v>0</v>
      </c>
      <c r="K897" s="819">
        <f>ROUND(IF(G897=1,F897/23,IF(G897=3,F897/12,IF(G897=6,F897,IF(G897=7,F897-I897,0)))),0)</f>
        <v>0</v>
      </c>
      <c r="L897" s="820">
        <f>IF(G897=6,F897,0)</f>
        <v>0</v>
      </c>
      <c r="P897" s="768" t="n"/>
      <c r="Q897" s="769" t="str">
        <f>IF($F897="","",IFERROR(VLOOKUP($C897&amp;"|"&amp;$D897,科目表!$A$5:$B$200,2,FALSE),"※未登録"))</f>
        <v/>
      </c>
      <c r="R897" s="769" t="str">
        <f>IF($F897="","",$I897+$J897+$K897)</f>
        <v/>
      </c>
      <c r="S897" s="769" t="str">
        <f>IF(OR($F897="",$P897="支払なし",$H897=0,$Q897=""),"",$Q897&amp;"|S|"&amp;(COUNTIF(S$4:S896,$Q897&amp;"|S|*")+1))</f>
        <v/>
      </c>
      <c r="T897" s="769" t="str">
        <f>IF(OR($F897="",$P897="支払なし",$R897=0,$Q897=""),"",$Q897&amp;"|L|"&amp;(COUNTIF(T$4:T896,$Q897&amp;"|L|*")+1))</f>
        <v/>
      </c>
      <c r="U897" s="769" t="str">
        <f>IF($F897="","",13)</f>
        <v/>
      </c>
    </row>
    <row r="898" ht="16.5" customHeight="1" s="186">
      <c r="A898" s="760" t="n"/>
      <c r="B898" s="760" t="n"/>
      <c r="C898" s="762" t="n"/>
      <c r="D898" s="762" t="n"/>
      <c r="E898" s="775" t="n"/>
      <c r="F898" s="821" t="n"/>
      <c r="G898" s="821" t="n"/>
      <c r="H898" s="818">
        <f>IF(G898=1,F898-I898-J898-K898,IF(G898=2,F898,0))</f>
        <v>0</v>
      </c>
      <c r="I898" s="818">
        <f>ROUND(IF(G898=1,F898*10/23,IF(G898=3,F898-J898-K898,IF(G898=4,F898,IF(G898=5,F898*10/11,IF(G898=7,F898*10/11,0))))),0)</f>
        <v>0</v>
      </c>
      <c r="J898" s="818">
        <f>ROUND(IF(G898=1,F898/23,IF(G898=3,F898/12,IF(G898=5,F898-I898,IF(G898=8,F898,0)))),0)</f>
        <v>0</v>
      </c>
      <c r="K898" s="819">
        <f>ROUND(IF(G898=1,F898/23,IF(G898=3,F898/12,IF(G898=6,F898,IF(G898=7,F898-I898,0)))),0)</f>
        <v>0</v>
      </c>
      <c r="L898" s="820">
        <f>IF(G898=6,F898,0)</f>
        <v>0</v>
      </c>
      <c r="P898" s="768" t="n"/>
      <c r="Q898" s="769" t="str">
        <f>IF($F898="","",IFERROR(VLOOKUP($C898&amp;"|"&amp;$D898,科目表!$A$5:$B$200,2,FALSE),"※未登録"))</f>
        <v/>
      </c>
      <c r="R898" s="769" t="str">
        <f>IF($F898="","",$I898+$J898+$K898)</f>
        <v/>
      </c>
      <c r="S898" s="769" t="str">
        <f>IF(OR($F898="",$P898="支払なし",$H898=0,$Q898=""),"",$Q898&amp;"|S|"&amp;(COUNTIF(S$4:S897,$Q898&amp;"|S|*")+1))</f>
        <v/>
      </c>
      <c r="T898" s="769" t="str">
        <f>IF(OR($F898="",$P898="支払なし",$R898=0,$Q898=""),"",$Q898&amp;"|L|"&amp;(COUNTIF(T$4:T897,$Q898&amp;"|L|*")+1))</f>
        <v/>
      </c>
      <c r="U898" s="769" t="str">
        <f>IF($F898="","",13)</f>
        <v/>
      </c>
    </row>
    <row r="899" ht="16.5" customHeight="1" s="186">
      <c r="A899" s="760" t="n"/>
      <c r="B899" s="760" t="n"/>
      <c r="C899" s="762" t="n"/>
      <c r="D899" s="762" t="n"/>
      <c r="E899" s="775" t="n"/>
      <c r="F899" s="821" t="n"/>
      <c r="G899" s="821" t="n"/>
      <c r="H899" s="818">
        <f>IF(G899=1,F899-I899-J899-K899,IF(G899=2,F899,0))</f>
        <v>0</v>
      </c>
      <c r="I899" s="818">
        <f>ROUND(IF(G899=1,F899*10/23,IF(G899=3,F899-J899-K899,IF(G899=4,F899,IF(G899=5,F899*10/11,IF(G899=7,F899*10/11,0))))),0)</f>
        <v>0</v>
      </c>
      <c r="J899" s="818">
        <f>ROUND(IF(G899=1,F899/23,IF(G899=3,F899/12,IF(G899=5,F899-I899,IF(G899=8,F899,0)))),0)</f>
        <v>0</v>
      </c>
      <c r="K899" s="819">
        <f>ROUND(IF(G899=1,F899/23,IF(G899=3,F899/12,IF(G899=6,F899,IF(G899=7,F899-I899,0)))),0)</f>
        <v>0</v>
      </c>
      <c r="L899" s="820">
        <f>IF(G899=6,F899,0)</f>
        <v>0</v>
      </c>
      <c r="P899" s="768" t="n"/>
      <c r="Q899" s="769" t="str">
        <f>IF($F899="","",IFERROR(VLOOKUP($C899&amp;"|"&amp;$D899,科目表!$A$5:$B$200,2,FALSE),"※未登録"))</f>
        <v/>
      </c>
      <c r="R899" s="769" t="str">
        <f>IF($F899="","",$I899+$J899+$K899)</f>
        <v/>
      </c>
      <c r="S899" s="769" t="str">
        <f>IF(OR($F899="",$P899="支払なし",$H899=0,$Q899=""),"",$Q899&amp;"|S|"&amp;(COUNTIF(S$4:S898,$Q899&amp;"|S|*")+1))</f>
        <v/>
      </c>
      <c r="T899" s="769" t="str">
        <f>IF(OR($F899="",$P899="支払なし",$R899=0,$Q899=""),"",$Q899&amp;"|L|"&amp;(COUNTIF(T$4:T898,$Q899&amp;"|L|*")+1))</f>
        <v/>
      </c>
      <c r="U899" s="769" t="str">
        <f>IF($F899="","",13)</f>
        <v/>
      </c>
    </row>
    <row r="900" ht="16.5" customHeight="1" s="186">
      <c r="A900" s="760" t="n"/>
      <c r="B900" s="760" t="n"/>
      <c r="C900" s="762" t="n"/>
      <c r="D900" s="762" t="n"/>
      <c r="E900" s="775" t="n"/>
      <c r="F900" s="821" t="n"/>
      <c r="G900" s="821" t="n"/>
      <c r="H900" s="818">
        <f>IF(G900=1,F900-I900-J900-K900,IF(G900=2,F900,0))</f>
        <v>0</v>
      </c>
      <c r="I900" s="818">
        <f>ROUND(IF(G900=1,F900*10/23,IF(G900=3,F900-J900-K900,IF(G900=4,F900,IF(G900=5,F900*10/11,IF(G900=7,F900*10/11,0))))),0)</f>
        <v>0</v>
      </c>
      <c r="J900" s="818">
        <f>ROUND(IF(G900=1,F900/23,IF(G900=3,F900/12,IF(G900=5,F900-I900,IF(G900=8,F900,0)))),0)</f>
        <v>0</v>
      </c>
      <c r="K900" s="819">
        <f>ROUND(IF(G900=1,F900/23,IF(G900=3,F900/12,IF(G900=6,F900,IF(G900=7,F900-I900,0)))),0)</f>
        <v>0</v>
      </c>
      <c r="L900" s="820">
        <f>IF(G900=6,F900,0)</f>
        <v>0</v>
      </c>
      <c r="P900" s="768" t="n"/>
      <c r="Q900" s="769" t="str">
        <f>IF($F900="","",IFERROR(VLOOKUP($C900&amp;"|"&amp;$D900,科目表!$A$5:$B$200,2,FALSE),"※未登録"))</f>
        <v/>
      </c>
      <c r="R900" s="769" t="str">
        <f>IF($F900="","",$I900+$J900+$K900)</f>
        <v/>
      </c>
      <c r="S900" s="769" t="str">
        <f>IF(OR($F900="",$P900="支払なし",$H900=0,$Q900=""),"",$Q900&amp;"|S|"&amp;(COUNTIF(S$4:S899,$Q900&amp;"|S|*")+1))</f>
        <v/>
      </c>
      <c r="T900" s="769" t="str">
        <f>IF(OR($F900="",$P900="支払なし",$R900=0,$Q900=""),"",$Q900&amp;"|L|"&amp;(COUNTIF(T$4:T899,$Q900&amp;"|L|*")+1))</f>
        <v/>
      </c>
      <c r="U900" s="769" t="str">
        <f>IF($F900="","",13)</f>
        <v/>
      </c>
    </row>
    <row r="901" ht="16.5" customHeight="1" s="186">
      <c r="A901" s="760" t="n"/>
      <c r="B901" s="760" t="n"/>
      <c r="C901" s="762" t="n"/>
      <c r="D901" s="762" t="n"/>
      <c r="E901" s="775" t="n"/>
      <c r="F901" s="821" t="n"/>
      <c r="G901" s="821" t="n"/>
      <c r="H901" s="818">
        <f>IF(G901=1,F901-I901-J901-K901,IF(G901=2,F901,0))</f>
        <v>0</v>
      </c>
      <c r="I901" s="818">
        <f>ROUND(IF(G901=1,F901*10/23,IF(G901=3,F901-J901-K901,IF(G901=4,F901,IF(G901=5,F901*10/11,IF(G901=7,F901*10/11,0))))),0)</f>
        <v>0</v>
      </c>
      <c r="J901" s="818">
        <f>ROUND(IF(G901=1,F901/23,IF(G901=3,F901/12,IF(G901=5,F901-I901,IF(G901=8,F901,0)))),0)</f>
        <v>0</v>
      </c>
      <c r="K901" s="819">
        <f>ROUND(IF(G901=1,F901/23,IF(G901=3,F901/12,IF(G901=6,F901,IF(G901=7,F901-I901,0)))),0)</f>
        <v>0</v>
      </c>
      <c r="L901" s="820">
        <f>IF(G901=6,F901,0)</f>
        <v>0</v>
      </c>
      <c r="P901" s="768" t="n"/>
      <c r="Q901" s="769" t="str">
        <f>IF($F901="","",IFERROR(VLOOKUP($C901&amp;"|"&amp;$D901,科目表!$A$5:$B$200,2,FALSE),"※未登録"))</f>
        <v/>
      </c>
      <c r="R901" s="769" t="str">
        <f>IF($F901="","",$I901+$J901+$K901)</f>
        <v/>
      </c>
      <c r="S901" s="769" t="str">
        <f>IF(OR($F901="",$P901="支払なし",$H901=0,$Q901=""),"",$Q901&amp;"|S|"&amp;(COUNTIF(S$4:S900,$Q901&amp;"|S|*")+1))</f>
        <v/>
      </c>
      <c r="T901" s="769" t="str">
        <f>IF(OR($F901="",$P901="支払なし",$R901=0,$Q901=""),"",$Q901&amp;"|L|"&amp;(COUNTIF(T$4:T900,$Q901&amp;"|L|*")+1))</f>
        <v/>
      </c>
      <c r="U901" s="769" t="str">
        <f>IF($F901="","",13)</f>
        <v/>
      </c>
    </row>
    <row r="902" ht="16.5" customHeight="1" s="186">
      <c r="A902" s="760" t="n"/>
      <c r="B902" s="760" t="n"/>
      <c r="C902" s="762" t="n"/>
      <c r="D902" s="762" t="n"/>
      <c r="E902" s="775" t="n"/>
      <c r="F902" s="821" t="n"/>
      <c r="G902" s="821" t="n"/>
      <c r="H902" s="818">
        <f>IF(G902=1,F902-I902-J902-K902,IF(G902=2,F902,0))</f>
        <v>0</v>
      </c>
      <c r="I902" s="818">
        <f>ROUND(IF(G902=1,F902*10/23,IF(G902=3,F902-J902-K902,IF(G902=4,F902,IF(G902=5,F902*10/11,IF(G902=7,F902*10/11,0))))),0)</f>
        <v>0</v>
      </c>
      <c r="J902" s="818">
        <f>ROUND(IF(G902=1,F902/23,IF(G902=3,F902/12,IF(G902=5,F902-I902,IF(G902=8,F902,0)))),0)</f>
        <v>0</v>
      </c>
      <c r="K902" s="819">
        <f>ROUND(IF(G902=1,F902/23,IF(G902=3,F902/12,IF(G902=6,F902,IF(G902=7,F902-I902,0)))),0)</f>
        <v>0</v>
      </c>
      <c r="L902" s="820">
        <f>IF(G902=6,F902,0)</f>
        <v>0</v>
      </c>
      <c r="P902" s="768" t="n"/>
      <c r="Q902" s="769" t="str">
        <f>IF($F902="","",IFERROR(VLOOKUP($C902&amp;"|"&amp;$D902,科目表!$A$5:$B$200,2,FALSE),"※未登録"))</f>
        <v/>
      </c>
      <c r="R902" s="769" t="str">
        <f>IF($F902="","",$I902+$J902+$K902)</f>
        <v/>
      </c>
      <c r="S902" s="769" t="str">
        <f>IF(OR($F902="",$P902="支払なし",$H902=0,$Q902=""),"",$Q902&amp;"|S|"&amp;(COUNTIF(S$4:S901,$Q902&amp;"|S|*")+1))</f>
        <v/>
      </c>
      <c r="T902" s="769" t="str">
        <f>IF(OR($F902="",$P902="支払なし",$R902=0,$Q902=""),"",$Q902&amp;"|L|"&amp;(COUNTIF(T$4:T901,$Q902&amp;"|L|*")+1))</f>
        <v/>
      </c>
      <c r="U902" s="769" t="str">
        <f>IF($F902="","",13)</f>
        <v/>
      </c>
    </row>
    <row r="903" ht="16.5" customHeight="1" s="186">
      <c r="A903" s="760" t="n"/>
      <c r="B903" s="760" t="n"/>
      <c r="C903" s="762" t="n"/>
      <c r="D903" s="762" t="n"/>
      <c r="E903" s="775" t="n"/>
      <c r="F903" s="821" t="n"/>
      <c r="G903" s="821" t="n"/>
      <c r="H903" s="818">
        <f>IF(G903=1,F903-I903-J903-K903,IF(G903=2,F903,0))</f>
        <v>0</v>
      </c>
      <c r="I903" s="818">
        <f>ROUND(IF(G903=1,F903*10/23,IF(G903=3,F903-J903-K903,IF(G903=4,F903,IF(G903=5,F903*10/11,IF(G903=7,F903*10/11,0))))),0)</f>
        <v>0</v>
      </c>
      <c r="J903" s="818">
        <f>ROUND(IF(G903=1,F903/23,IF(G903=3,F903/12,IF(G903=5,F903-I903,IF(G903=8,F903,0)))),0)</f>
        <v>0</v>
      </c>
      <c r="K903" s="819">
        <f>ROUND(IF(G903=1,F903/23,IF(G903=3,F903/12,IF(G903=6,F903,IF(G903=7,F903-I903,0)))),0)</f>
        <v>0</v>
      </c>
      <c r="L903" s="820">
        <f>IF(G903=6,F903,0)</f>
        <v>0</v>
      </c>
      <c r="P903" s="768" t="n"/>
      <c r="Q903" s="769" t="str">
        <f>IF($F903="","",IFERROR(VLOOKUP($C903&amp;"|"&amp;$D903,科目表!$A$5:$B$200,2,FALSE),"※未登録"))</f>
        <v/>
      </c>
      <c r="R903" s="769" t="str">
        <f>IF($F903="","",$I903+$J903+$K903)</f>
        <v/>
      </c>
      <c r="S903" s="769" t="str">
        <f>IF(OR($F903="",$P903="支払なし",$H903=0,$Q903=""),"",$Q903&amp;"|S|"&amp;(COUNTIF(S$4:S902,$Q903&amp;"|S|*")+1))</f>
        <v/>
      </c>
      <c r="T903" s="769" t="str">
        <f>IF(OR($F903="",$P903="支払なし",$R903=0,$Q903=""),"",$Q903&amp;"|L|"&amp;(COUNTIF(T$4:T902,$Q903&amp;"|L|*")+1))</f>
        <v/>
      </c>
      <c r="U903" s="769" t="str">
        <f>IF($F903="","",13)</f>
        <v/>
      </c>
    </row>
    <row r="904" ht="16.5" customHeight="1" s="186">
      <c r="A904" s="760" t="n"/>
      <c r="B904" s="760" t="n"/>
      <c r="C904" s="762" t="n"/>
      <c r="D904" s="762" t="n"/>
      <c r="E904" s="775" t="n"/>
      <c r="F904" s="821" t="n"/>
      <c r="G904" s="821" t="n"/>
      <c r="H904" s="818">
        <f>IF(G904=1,F904-I904-J904-K904,IF(G904=2,F904,0))</f>
        <v>0</v>
      </c>
      <c r="I904" s="818">
        <f>ROUND(IF(G904=1,F904*10/23,IF(G904=3,F904-J904-K904,IF(G904=4,F904,IF(G904=5,F904*10/11,IF(G904=7,F904*10/11,0))))),0)</f>
        <v>0</v>
      </c>
      <c r="J904" s="818">
        <f>ROUND(IF(G904=1,F904/23,IF(G904=3,F904/12,IF(G904=5,F904-I904,IF(G904=8,F904,0)))),0)</f>
        <v>0</v>
      </c>
      <c r="K904" s="819">
        <f>ROUND(IF(G904=1,F904/23,IF(G904=3,F904/12,IF(G904=6,F904,IF(G904=7,F904-I904,0)))),0)</f>
        <v>0</v>
      </c>
      <c r="L904" s="820">
        <f>IF(G904=6,F904,0)</f>
        <v>0</v>
      </c>
      <c r="P904" s="768" t="n"/>
      <c r="Q904" s="769" t="str">
        <f>IF($F904="","",IFERROR(VLOOKUP($C904&amp;"|"&amp;$D904,科目表!$A$5:$B$200,2,FALSE),"※未登録"))</f>
        <v/>
      </c>
      <c r="R904" s="769" t="str">
        <f>IF($F904="","",$I904+$J904+$K904)</f>
        <v/>
      </c>
      <c r="S904" s="769" t="str">
        <f>IF(OR($F904="",$P904="支払なし",$H904=0,$Q904=""),"",$Q904&amp;"|S|"&amp;(COUNTIF(S$4:S903,$Q904&amp;"|S|*")+1))</f>
        <v/>
      </c>
      <c r="T904" s="769" t="str">
        <f>IF(OR($F904="",$P904="支払なし",$R904=0,$Q904=""),"",$Q904&amp;"|L|"&amp;(COUNTIF(T$4:T903,$Q904&amp;"|L|*")+1))</f>
        <v/>
      </c>
      <c r="U904" s="769" t="str">
        <f>IF($F904="","",13)</f>
        <v/>
      </c>
    </row>
    <row r="905" ht="16.5" customHeight="1" s="186">
      <c r="A905" s="760" t="n"/>
      <c r="B905" s="760" t="n"/>
      <c r="C905" s="762" t="n"/>
      <c r="D905" s="762" t="n"/>
      <c r="E905" s="775" t="n"/>
      <c r="F905" s="821" t="n"/>
      <c r="G905" s="821" t="n"/>
      <c r="H905" s="818">
        <f>IF(G905=1,F905-I905-J905-K905,IF(G905=2,F905,0))</f>
        <v>0</v>
      </c>
      <c r="I905" s="818">
        <f>ROUND(IF(G905=1,F905*10/23,IF(G905=3,F905-J905-K905,IF(G905=4,F905,IF(G905=5,F905*10/11,IF(G905=7,F905*10/11,0))))),0)</f>
        <v>0</v>
      </c>
      <c r="J905" s="818">
        <f>ROUND(IF(G905=1,F905/23,IF(G905=3,F905/12,IF(G905=5,F905-I905,IF(G905=8,F905,0)))),0)</f>
        <v>0</v>
      </c>
      <c r="K905" s="819">
        <f>ROUND(IF(G905=1,F905/23,IF(G905=3,F905/12,IF(G905=6,F905,IF(G905=7,F905-I905,0)))),0)</f>
        <v>0</v>
      </c>
      <c r="L905" s="820">
        <f>IF(G905=6,F905,0)</f>
        <v>0</v>
      </c>
      <c r="P905" s="768" t="n"/>
      <c r="Q905" s="769" t="str">
        <f>IF($F905="","",IFERROR(VLOOKUP($C905&amp;"|"&amp;$D905,科目表!$A$5:$B$200,2,FALSE),"※未登録"))</f>
        <v/>
      </c>
      <c r="R905" s="769" t="str">
        <f>IF($F905="","",$I905+$J905+$K905)</f>
        <v/>
      </c>
      <c r="S905" s="769" t="str">
        <f>IF(OR($F905="",$P905="支払なし",$H905=0,$Q905=""),"",$Q905&amp;"|S|"&amp;(COUNTIF(S$4:S904,$Q905&amp;"|S|*")+1))</f>
        <v/>
      </c>
      <c r="T905" s="769" t="str">
        <f>IF(OR($F905="",$P905="支払なし",$R905=0,$Q905=""),"",$Q905&amp;"|L|"&amp;(COUNTIF(T$4:T904,$Q905&amp;"|L|*")+1))</f>
        <v/>
      </c>
      <c r="U905" s="769" t="str">
        <f>IF($F905="","",13)</f>
        <v/>
      </c>
    </row>
    <row r="906" ht="16.5" customHeight="1" s="186">
      <c r="A906" s="760" t="n"/>
      <c r="B906" s="760" t="n"/>
      <c r="C906" s="762" t="n"/>
      <c r="D906" s="762" t="n"/>
      <c r="E906" s="775" t="n"/>
      <c r="F906" s="821" t="n"/>
      <c r="G906" s="821" t="n"/>
      <c r="H906" s="818">
        <f>IF(G906=1,F906-I906-J906-K906,IF(G906=2,F906,0))</f>
        <v>0</v>
      </c>
      <c r="I906" s="818">
        <f>ROUND(IF(G906=1,F906*10/23,IF(G906=3,F906-J906-K906,IF(G906=4,F906,IF(G906=5,F906*10/11,IF(G906=7,F906*10/11,0))))),0)</f>
        <v>0</v>
      </c>
      <c r="J906" s="818">
        <f>ROUND(IF(G906=1,F906/23,IF(G906=3,F906/12,IF(G906=5,F906-I906,IF(G906=8,F906,0)))),0)</f>
        <v>0</v>
      </c>
      <c r="K906" s="819">
        <f>ROUND(IF(G906=1,F906/23,IF(G906=3,F906/12,IF(G906=6,F906,IF(G906=7,F906-I906,0)))),0)</f>
        <v>0</v>
      </c>
      <c r="L906" s="820">
        <f>IF(G906=6,F906,0)</f>
        <v>0</v>
      </c>
      <c r="P906" s="768" t="n"/>
      <c r="Q906" s="769" t="str">
        <f>IF($F906="","",IFERROR(VLOOKUP($C906&amp;"|"&amp;$D906,科目表!$A$5:$B$200,2,FALSE),"※未登録"))</f>
        <v/>
      </c>
      <c r="R906" s="769" t="str">
        <f>IF($F906="","",$I906+$J906+$K906)</f>
        <v/>
      </c>
      <c r="S906" s="769" t="str">
        <f>IF(OR($F906="",$P906="支払なし",$H906=0,$Q906=""),"",$Q906&amp;"|S|"&amp;(COUNTIF(S$4:S905,$Q906&amp;"|S|*")+1))</f>
        <v/>
      </c>
      <c r="T906" s="769" t="str">
        <f>IF(OR($F906="",$P906="支払なし",$R906=0,$Q906=""),"",$Q906&amp;"|L|"&amp;(COUNTIF(T$4:T905,$Q906&amp;"|L|*")+1))</f>
        <v/>
      </c>
      <c r="U906" s="769" t="str">
        <f>IF($F906="","",13)</f>
        <v/>
      </c>
    </row>
    <row r="907" ht="16.5" customHeight="1" s="186">
      <c r="A907" s="760" t="n"/>
      <c r="B907" s="760" t="n"/>
      <c r="C907" s="762" t="n"/>
      <c r="D907" s="762" t="n"/>
      <c r="E907" s="775" t="n"/>
      <c r="F907" s="821" t="n"/>
      <c r="G907" s="821" t="n"/>
      <c r="H907" s="818">
        <f>IF(G907=1,F907-I907-J907-K907,IF(G907=2,F907,0))</f>
        <v>0</v>
      </c>
      <c r="I907" s="818">
        <f>ROUND(IF(G907=1,F907*10/23,IF(G907=3,F907-J907-K907,IF(G907=4,F907,IF(G907=5,F907*10/11,IF(G907=7,F907*10/11,0))))),0)</f>
        <v>0</v>
      </c>
      <c r="J907" s="818">
        <f>ROUND(IF(G907=1,F907/23,IF(G907=3,F907/12,IF(G907=5,F907-I907,IF(G907=8,F907,0)))),0)</f>
        <v>0</v>
      </c>
      <c r="K907" s="819">
        <f>ROUND(IF(G907=1,F907/23,IF(G907=3,F907/12,IF(G907=6,F907,IF(G907=7,F907-I907,0)))),0)</f>
        <v>0</v>
      </c>
      <c r="L907" s="820">
        <f>IF(G907=6,F907,0)</f>
        <v>0</v>
      </c>
      <c r="P907" s="768" t="n"/>
      <c r="Q907" s="769" t="str">
        <f>IF($F907="","",IFERROR(VLOOKUP($C907&amp;"|"&amp;$D907,科目表!$A$5:$B$200,2,FALSE),"※未登録"))</f>
        <v/>
      </c>
      <c r="R907" s="769" t="str">
        <f>IF($F907="","",$I907+$J907+$K907)</f>
        <v/>
      </c>
      <c r="S907" s="769" t="str">
        <f>IF(OR($F907="",$P907="支払なし",$H907=0,$Q907=""),"",$Q907&amp;"|S|"&amp;(COUNTIF(S$4:S906,$Q907&amp;"|S|*")+1))</f>
        <v/>
      </c>
      <c r="T907" s="769" t="str">
        <f>IF(OR($F907="",$P907="支払なし",$R907=0,$Q907=""),"",$Q907&amp;"|L|"&amp;(COUNTIF(T$4:T906,$Q907&amp;"|L|*")+1))</f>
        <v/>
      </c>
      <c r="U907" s="769" t="str">
        <f>IF($F907="","",13)</f>
        <v/>
      </c>
    </row>
    <row r="908" ht="16.5" customHeight="1" s="186">
      <c r="A908" s="760" t="n"/>
      <c r="B908" s="760" t="n"/>
      <c r="C908" s="762" t="n"/>
      <c r="D908" s="762" t="n"/>
      <c r="E908" s="775" t="n"/>
      <c r="F908" s="821" t="n"/>
      <c r="G908" s="821" t="n"/>
      <c r="H908" s="818">
        <f>IF(G908=1,F908-I908-J908-K908,IF(G908=2,F908,0))</f>
        <v>0</v>
      </c>
      <c r="I908" s="818">
        <f>ROUND(IF(G908=1,F908*10/23,IF(G908=3,F908-J908-K908,IF(G908=4,F908,IF(G908=5,F908*10/11,IF(G908=7,F908*10/11,0))))),0)</f>
        <v>0</v>
      </c>
      <c r="J908" s="818">
        <f>ROUND(IF(G908=1,F908/23,IF(G908=3,F908/12,IF(G908=5,F908-I908,IF(G908=8,F908,0)))),0)</f>
        <v>0</v>
      </c>
      <c r="K908" s="819">
        <f>ROUND(IF(G908=1,F908/23,IF(G908=3,F908/12,IF(G908=6,F908,IF(G908=7,F908-I908,0)))),0)</f>
        <v>0</v>
      </c>
      <c r="L908" s="820">
        <f>IF(G908=6,F908,0)</f>
        <v>0</v>
      </c>
      <c r="P908" s="768" t="n"/>
      <c r="Q908" s="769" t="str">
        <f>IF($F908="","",IFERROR(VLOOKUP($C908&amp;"|"&amp;$D908,科目表!$A$5:$B$200,2,FALSE),"※未登録"))</f>
        <v/>
      </c>
      <c r="R908" s="769" t="str">
        <f>IF($F908="","",$I908+$J908+$K908)</f>
        <v/>
      </c>
      <c r="S908" s="769" t="str">
        <f>IF(OR($F908="",$P908="支払なし",$H908=0,$Q908=""),"",$Q908&amp;"|S|"&amp;(COUNTIF(S$4:S907,$Q908&amp;"|S|*")+1))</f>
        <v/>
      </c>
      <c r="T908" s="769" t="str">
        <f>IF(OR($F908="",$P908="支払なし",$R908=0,$Q908=""),"",$Q908&amp;"|L|"&amp;(COUNTIF(T$4:T907,$Q908&amp;"|L|*")+1))</f>
        <v/>
      </c>
      <c r="U908" s="769" t="str">
        <f>IF($F908="","",13)</f>
        <v/>
      </c>
    </row>
    <row r="909" ht="16.5" customHeight="1" s="186">
      <c r="A909" s="760" t="n"/>
      <c r="B909" s="760" t="n"/>
      <c r="C909" s="762" t="n"/>
      <c r="D909" s="762" t="n"/>
      <c r="E909" s="775" t="n"/>
      <c r="F909" s="821" t="n"/>
      <c r="G909" s="821" t="n"/>
      <c r="H909" s="818">
        <f>IF(G909=1,F909-I909-J909-K909,IF(G909=2,F909,0))</f>
        <v>0</v>
      </c>
      <c r="I909" s="818">
        <f>ROUND(IF(G909=1,F909*10/23,IF(G909=3,F909-J909-K909,IF(G909=4,F909,IF(G909=5,F909*10/11,IF(G909=7,F909*10/11,0))))),0)</f>
        <v>0</v>
      </c>
      <c r="J909" s="818">
        <f>ROUND(IF(G909=1,F909/23,IF(G909=3,F909/12,IF(G909=5,F909-I909,IF(G909=8,F909,0)))),0)</f>
        <v>0</v>
      </c>
      <c r="K909" s="819">
        <f>ROUND(IF(G909=1,F909/23,IF(G909=3,F909/12,IF(G909=6,F909,IF(G909=7,F909-I909,0)))),0)</f>
        <v>0</v>
      </c>
      <c r="L909" s="820">
        <f>IF(G909=6,F909,0)</f>
        <v>0</v>
      </c>
      <c r="P909" s="768" t="n"/>
      <c r="Q909" s="769" t="str">
        <f>IF($F909="","",IFERROR(VLOOKUP($C909&amp;"|"&amp;$D909,科目表!$A$5:$B$200,2,FALSE),"※未登録"))</f>
        <v/>
      </c>
      <c r="R909" s="769" t="str">
        <f>IF($F909="","",$I909+$J909+$K909)</f>
        <v/>
      </c>
      <c r="S909" s="769" t="str">
        <f>IF(OR($F909="",$P909="支払なし",$H909=0,$Q909=""),"",$Q909&amp;"|S|"&amp;(COUNTIF(S$4:S908,$Q909&amp;"|S|*")+1))</f>
        <v/>
      </c>
      <c r="T909" s="769" t="str">
        <f>IF(OR($F909="",$P909="支払なし",$R909=0,$Q909=""),"",$Q909&amp;"|L|"&amp;(COUNTIF(T$4:T908,$Q909&amp;"|L|*")+1))</f>
        <v/>
      </c>
      <c r="U909" s="769" t="str">
        <f>IF($F909="","",13)</f>
        <v/>
      </c>
    </row>
    <row r="910" ht="16.5" customHeight="1" s="186">
      <c r="A910" s="760" t="n"/>
      <c r="B910" s="760" t="n"/>
      <c r="C910" s="762" t="n"/>
      <c r="D910" s="762" t="n"/>
      <c r="E910" s="775" t="n"/>
      <c r="F910" s="821" t="n"/>
      <c r="G910" s="821" t="n"/>
      <c r="H910" s="818">
        <f>IF(G910=1,F910-I910-J910-K910,IF(G910=2,F910,0))</f>
        <v>0</v>
      </c>
      <c r="I910" s="818">
        <f>ROUND(IF(G910=1,F910*10/23,IF(G910=3,F910-J910-K910,IF(G910=4,F910,IF(G910=5,F910*10/11,IF(G910=7,F910*10/11,0))))),0)</f>
        <v>0</v>
      </c>
      <c r="J910" s="818">
        <f>ROUND(IF(G910=1,F910/23,IF(G910=3,F910/12,IF(G910=5,F910-I910,IF(G910=8,F910,0)))),0)</f>
        <v>0</v>
      </c>
      <c r="K910" s="819">
        <f>ROUND(IF(G910=1,F910/23,IF(G910=3,F910/12,IF(G910=6,F910,IF(G910=7,F910-I910,0)))),0)</f>
        <v>0</v>
      </c>
      <c r="L910" s="820">
        <f>IF(G910=6,F910,0)</f>
        <v>0</v>
      </c>
      <c r="P910" s="768" t="n"/>
      <c r="Q910" s="769" t="str">
        <f>IF($F910="","",IFERROR(VLOOKUP($C910&amp;"|"&amp;$D910,科目表!$A$5:$B$200,2,FALSE),"※未登録"))</f>
        <v/>
      </c>
      <c r="R910" s="769" t="str">
        <f>IF($F910="","",$I910+$J910+$K910)</f>
        <v/>
      </c>
      <c r="S910" s="769" t="str">
        <f>IF(OR($F910="",$P910="支払なし",$H910=0,$Q910=""),"",$Q910&amp;"|S|"&amp;(COUNTIF(S$4:S909,$Q910&amp;"|S|*")+1))</f>
        <v/>
      </c>
      <c r="T910" s="769" t="str">
        <f>IF(OR($F910="",$P910="支払なし",$R910=0,$Q910=""),"",$Q910&amp;"|L|"&amp;(COUNTIF(T$4:T909,$Q910&amp;"|L|*")+1))</f>
        <v/>
      </c>
      <c r="U910" s="769" t="str">
        <f>IF($F910="","",13)</f>
        <v/>
      </c>
    </row>
    <row r="911" ht="16.5" customHeight="1" s="186">
      <c r="A911" s="760" t="n"/>
      <c r="B911" s="760" t="n"/>
      <c r="C911" s="762" t="n"/>
      <c r="D911" s="762" t="n"/>
      <c r="E911" s="775" t="n"/>
      <c r="F911" s="821" t="n"/>
      <c r="G911" s="821" t="n"/>
      <c r="H911" s="818">
        <f>IF(G911=1,F911-I911-J911-K911,IF(G911=2,F911,0))</f>
        <v>0</v>
      </c>
      <c r="I911" s="818">
        <f>ROUND(IF(G911=1,F911*10/23,IF(G911=3,F911-J911-K911,IF(G911=4,F911,IF(G911=5,F911*10/11,IF(G911=7,F911*10/11,0))))),0)</f>
        <v>0</v>
      </c>
      <c r="J911" s="818">
        <f>ROUND(IF(G911=1,F911/23,IF(G911=3,F911/12,IF(G911=5,F911-I911,IF(G911=8,F911,0)))),0)</f>
        <v>0</v>
      </c>
      <c r="K911" s="819">
        <f>ROUND(IF(G911=1,F911/23,IF(G911=3,F911/12,IF(G911=6,F911,IF(G911=7,F911-I911,0)))),0)</f>
        <v>0</v>
      </c>
      <c r="L911" s="820">
        <f>IF(G911=6,F911,0)</f>
        <v>0</v>
      </c>
      <c r="P911" s="768" t="n"/>
      <c r="Q911" s="769" t="str">
        <f>IF($F911="","",IFERROR(VLOOKUP($C911&amp;"|"&amp;$D911,科目表!$A$5:$B$200,2,FALSE),"※未登録"))</f>
        <v/>
      </c>
      <c r="R911" s="769" t="str">
        <f>IF($F911="","",$I911+$J911+$K911)</f>
        <v/>
      </c>
      <c r="S911" s="769" t="str">
        <f>IF(OR($F911="",$P911="支払なし",$H911=0,$Q911=""),"",$Q911&amp;"|S|"&amp;(COUNTIF(S$4:S910,$Q911&amp;"|S|*")+1))</f>
        <v/>
      </c>
      <c r="T911" s="769" t="str">
        <f>IF(OR($F911="",$P911="支払なし",$R911=0,$Q911=""),"",$Q911&amp;"|L|"&amp;(COUNTIF(T$4:T910,$Q911&amp;"|L|*")+1))</f>
        <v/>
      </c>
      <c r="U911" s="769" t="str">
        <f>IF($F911="","",13)</f>
        <v/>
      </c>
    </row>
    <row r="912" ht="16.5" customHeight="1" s="186">
      <c r="A912" s="760" t="n"/>
      <c r="B912" s="760" t="n"/>
      <c r="C912" s="762" t="n"/>
      <c r="D912" s="762" t="n"/>
      <c r="E912" s="775" t="n"/>
      <c r="F912" s="821" t="n"/>
      <c r="G912" s="821" t="n"/>
      <c r="H912" s="818">
        <f>IF(G912=1,F912-I912-J912-K912,IF(G912=2,F912,0))</f>
        <v>0</v>
      </c>
      <c r="I912" s="818">
        <f>ROUND(IF(G912=1,F912*10/23,IF(G912=3,F912-J912-K912,IF(G912=4,F912,IF(G912=5,F912*10/11,IF(G912=7,F912*10/11,0))))),0)</f>
        <v>0</v>
      </c>
      <c r="J912" s="818">
        <f>ROUND(IF(G912=1,F912/23,IF(G912=3,F912/12,IF(G912=5,F912-I912,IF(G912=8,F912,0)))),0)</f>
        <v>0</v>
      </c>
      <c r="K912" s="819">
        <f>ROUND(IF(G912=1,F912/23,IF(G912=3,F912/12,IF(G912=6,F912,IF(G912=7,F912-I912,0)))),0)</f>
        <v>0</v>
      </c>
      <c r="L912" s="820">
        <f>IF(G912=6,F912,0)</f>
        <v>0</v>
      </c>
      <c r="P912" s="768" t="n"/>
      <c r="Q912" s="769" t="str">
        <f>IF($F912="","",IFERROR(VLOOKUP($C912&amp;"|"&amp;$D912,科目表!$A$5:$B$200,2,FALSE),"※未登録"))</f>
        <v/>
      </c>
      <c r="R912" s="769" t="str">
        <f>IF($F912="","",$I912+$J912+$K912)</f>
        <v/>
      </c>
      <c r="S912" s="769" t="str">
        <f>IF(OR($F912="",$P912="支払なし",$H912=0,$Q912=""),"",$Q912&amp;"|S|"&amp;(COUNTIF(S$4:S911,$Q912&amp;"|S|*")+1))</f>
        <v/>
      </c>
      <c r="T912" s="769" t="str">
        <f>IF(OR($F912="",$P912="支払なし",$R912=0,$Q912=""),"",$Q912&amp;"|L|"&amp;(COUNTIF(T$4:T911,$Q912&amp;"|L|*")+1))</f>
        <v/>
      </c>
      <c r="U912" s="769" t="str">
        <f>IF($F912="","",13)</f>
        <v/>
      </c>
    </row>
    <row r="913" ht="16.5" customHeight="1" s="186">
      <c r="A913" s="760" t="n"/>
      <c r="B913" s="760" t="n"/>
      <c r="C913" s="762" t="n"/>
      <c r="D913" s="762" t="n"/>
      <c r="E913" s="762" t="n"/>
      <c r="F913" s="821" t="n"/>
      <c r="G913" s="821" t="n"/>
      <c r="H913" s="818">
        <f>IF(G913=1,F913-I913-J913-K913,IF(G913=2,F913,0))</f>
        <v>0</v>
      </c>
      <c r="I913" s="818">
        <f>ROUND(IF(G913=1,F913*10/23,IF(G913=3,F913-J913-K913,IF(G913=4,F913,IF(G913=5,F913*10/11,IF(G913=7,F913*10/11,0))))),0)</f>
        <v>0</v>
      </c>
      <c r="J913" s="818">
        <f>ROUND(IF(G913=1,F913/23,IF(G913=3,F913/12,IF(G913=5,F913-I913,IF(G913=8,F913,0)))),0)</f>
        <v>0</v>
      </c>
      <c r="K913" s="819">
        <f>ROUND(IF(G913=1,F913/23,IF(G913=3,F913/12,IF(G913=6,F913,IF(G913=7,F913-I913,0)))),0)</f>
        <v>0</v>
      </c>
      <c r="L913" s="820">
        <f>IF(G913=6,F913,0)</f>
        <v>0</v>
      </c>
      <c r="P913" s="768" t="n"/>
      <c r="Q913" s="769" t="str">
        <f>IF($F913="","",IFERROR(VLOOKUP($C913&amp;"|"&amp;$D913,科目表!$A$5:$B$200,2,FALSE),"※未登録"))</f>
        <v/>
      </c>
      <c r="R913" s="769" t="str">
        <f>IF($F913="","",$I913+$J913+$K913)</f>
        <v/>
      </c>
      <c r="S913" s="769" t="str">
        <f>IF(OR($F913="",$P913="支払なし",$H913=0,$Q913=""),"",$Q913&amp;"|S|"&amp;(COUNTIF(S$4:S912,$Q913&amp;"|S|*")+1))</f>
        <v/>
      </c>
      <c r="T913" s="769" t="str">
        <f>IF(OR($F913="",$P913="支払なし",$R913=0,$Q913=""),"",$Q913&amp;"|L|"&amp;(COUNTIF(T$4:T912,$Q913&amp;"|L|*")+1))</f>
        <v/>
      </c>
      <c r="U913" s="769" t="str">
        <f>IF($F913="","",13)</f>
        <v/>
      </c>
    </row>
    <row r="914" ht="16.5" customHeight="1" s="186">
      <c r="A914" s="760" t="n"/>
      <c r="B914" s="760" t="n"/>
      <c r="C914" s="762" t="n"/>
      <c r="D914" s="762" t="n"/>
      <c r="E914" s="775" t="n"/>
      <c r="F914" s="821" t="n"/>
      <c r="G914" s="821" t="n"/>
      <c r="H914" s="818">
        <f>IF(G914=1,F914-I914-J914-K914,IF(G914=2,F914,0))</f>
        <v>0</v>
      </c>
      <c r="I914" s="818">
        <f>ROUND(IF(G914=1,F914*10/23,IF(G914=3,F914-J914-K914,IF(G914=4,F914,IF(G914=5,F914*10/11,IF(G914=7,F914*10/11,0))))),0)</f>
        <v>0</v>
      </c>
      <c r="J914" s="818">
        <f>ROUND(IF(G914=1,F914/23,IF(G914=3,F914/12,IF(G914=5,F914-I914,IF(G914=8,F914,0)))),0)</f>
        <v>0</v>
      </c>
      <c r="K914" s="819">
        <f>ROUND(IF(G914=1,F914/23,IF(G914=3,F914/12,IF(G914=6,F914,IF(G914=7,F914-I914,0)))),0)</f>
        <v>0</v>
      </c>
      <c r="L914" s="820">
        <f>IF(G914=6,F914,0)</f>
        <v>0</v>
      </c>
      <c r="P914" s="768" t="n"/>
      <c r="Q914" s="769" t="str">
        <f>IF($F914="","",IFERROR(VLOOKUP($C914&amp;"|"&amp;$D914,科目表!$A$5:$B$200,2,FALSE),"※未登録"))</f>
        <v/>
      </c>
      <c r="R914" s="769" t="str">
        <f>IF($F914="","",$I914+$J914+$K914)</f>
        <v/>
      </c>
      <c r="S914" s="769" t="str">
        <f>IF(OR($F914="",$P914="支払なし",$H914=0,$Q914=""),"",$Q914&amp;"|S|"&amp;(COUNTIF(S$4:S913,$Q914&amp;"|S|*")+1))</f>
        <v/>
      </c>
      <c r="T914" s="769" t="str">
        <f>IF(OR($F914="",$P914="支払なし",$R914=0,$Q914=""),"",$Q914&amp;"|L|"&amp;(COUNTIF(T$4:T913,$Q914&amp;"|L|*")+1))</f>
        <v/>
      </c>
      <c r="U914" s="769" t="str">
        <f>IF($F914="","",13)</f>
        <v/>
      </c>
    </row>
    <row r="915" ht="16.5" customHeight="1" s="186">
      <c r="A915" s="760" t="n"/>
      <c r="B915" s="760" t="n"/>
      <c r="C915" s="762" t="n"/>
      <c r="D915" s="762" t="n"/>
      <c r="E915" s="775" t="n"/>
      <c r="F915" s="821" t="n"/>
      <c r="G915" s="821" t="n"/>
      <c r="H915" s="818">
        <f>IF(G915=1,F915-I915-J915-K915,IF(G915=2,F915,0))</f>
        <v>0</v>
      </c>
      <c r="I915" s="818">
        <f>ROUND(IF(G915=1,F915*10/23,IF(G915=3,F915-J915-K915,IF(G915=4,F915,IF(G915=5,F915*10/11,IF(G915=7,F915*10/11,0))))),0)</f>
        <v>0</v>
      </c>
      <c r="J915" s="818">
        <f>ROUND(IF(G915=1,F915/23,IF(G915=3,F915/12,IF(G915=5,F915-I915,IF(G915=8,F915,0)))),0)</f>
        <v>0</v>
      </c>
      <c r="K915" s="819">
        <f>ROUND(IF(G915=1,F915/23,IF(G915=3,F915/12,IF(G915=6,F915,IF(G915=7,F915-I915,0)))),0)</f>
        <v>0</v>
      </c>
      <c r="L915" s="820">
        <f>IF(G915=6,F915,0)</f>
        <v>0</v>
      </c>
      <c r="P915" s="768" t="n"/>
      <c r="Q915" s="769" t="str">
        <f>IF($F915="","",IFERROR(VLOOKUP($C915&amp;"|"&amp;$D915,科目表!$A$5:$B$200,2,FALSE),"※未登録"))</f>
        <v/>
      </c>
      <c r="R915" s="769" t="str">
        <f>IF($F915="","",$I915+$J915+$K915)</f>
        <v/>
      </c>
      <c r="S915" s="769" t="str">
        <f>IF(OR($F915="",$P915="支払なし",$H915=0,$Q915=""),"",$Q915&amp;"|S|"&amp;(COUNTIF(S$4:S914,$Q915&amp;"|S|*")+1))</f>
        <v/>
      </c>
      <c r="T915" s="769" t="str">
        <f>IF(OR($F915="",$P915="支払なし",$R915=0,$Q915=""),"",$Q915&amp;"|L|"&amp;(COUNTIF(T$4:T914,$Q915&amp;"|L|*")+1))</f>
        <v/>
      </c>
      <c r="U915" s="769" t="str">
        <f>IF($F915="","",13)</f>
        <v/>
      </c>
    </row>
    <row r="916" ht="16.5" customHeight="1" s="186">
      <c r="A916" s="760" t="n"/>
      <c r="B916" s="760" t="n"/>
      <c r="C916" s="762" t="n"/>
      <c r="D916" s="762" t="n"/>
      <c r="E916" s="775" t="n"/>
      <c r="F916" s="821" t="n"/>
      <c r="G916" s="821" t="n"/>
      <c r="H916" s="818">
        <f>IF(G916=1,F916-I916-J916-K916,IF(G916=2,F916,0))</f>
        <v>0</v>
      </c>
      <c r="I916" s="818">
        <f>ROUND(IF(G916=1,F916*10/23,IF(G916=3,F916-J916-K916,IF(G916=4,F916,IF(G916=5,F916*10/11,IF(G916=7,F916*10/11,0))))),0)</f>
        <v>0</v>
      </c>
      <c r="J916" s="818">
        <f>ROUND(IF(G916=1,F916/23,IF(G916=3,F916/12,IF(G916=5,F916-I916,IF(G916=8,F916,0)))),0)</f>
        <v>0</v>
      </c>
      <c r="K916" s="819">
        <f>ROUND(IF(G916=1,F916/23,IF(G916=3,F916/12,IF(G916=6,F916,IF(G916=7,F916-I916,0)))),0)</f>
        <v>0</v>
      </c>
      <c r="L916" s="820">
        <f>IF(G916=6,F916,0)</f>
        <v>0</v>
      </c>
      <c r="P916" s="768" t="n"/>
      <c r="Q916" s="769" t="str">
        <f>IF($F916="","",IFERROR(VLOOKUP($C916&amp;"|"&amp;$D916,科目表!$A$5:$B$200,2,FALSE),"※未登録"))</f>
        <v/>
      </c>
      <c r="R916" s="769" t="str">
        <f>IF($F916="","",$I916+$J916+$K916)</f>
        <v/>
      </c>
      <c r="S916" s="769" t="str">
        <f>IF(OR($F916="",$P916="支払なし",$H916=0,$Q916=""),"",$Q916&amp;"|S|"&amp;(COUNTIF(S$4:S915,$Q916&amp;"|S|*")+1))</f>
        <v/>
      </c>
      <c r="T916" s="769" t="str">
        <f>IF(OR($F916="",$P916="支払なし",$R916=0,$Q916=""),"",$Q916&amp;"|L|"&amp;(COUNTIF(T$4:T915,$Q916&amp;"|L|*")+1))</f>
        <v/>
      </c>
      <c r="U916" s="769" t="str">
        <f>IF($F916="","",13)</f>
        <v/>
      </c>
    </row>
    <row r="917" ht="16.5" customHeight="1" s="186">
      <c r="A917" s="760" t="n"/>
      <c r="B917" s="760" t="n"/>
      <c r="C917" s="762" t="n"/>
      <c r="D917" s="762" t="n"/>
      <c r="E917" s="775" t="n"/>
      <c r="F917" s="821" t="n"/>
      <c r="G917" s="821" t="n"/>
      <c r="H917" s="818">
        <f>IF(G917=1,F917-I917-J917-K917,IF(G917=2,F917,0))</f>
        <v>0</v>
      </c>
      <c r="I917" s="818">
        <f>ROUND(IF(G917=1,F917*10/23,IF(G917=3,F917-J917-K917,IF(G917=4,F917,IF(G917=5,F917*10/11,IF(G917=7,F917*10/11,0))))),0)</f>
        <v>0</v>
      </c>
      <c r="J917" s="818">
        <f>ROUND(IF(G917=1,F917/23,IF(G917=3,F917/12,IF(G917=5,F917-I917,IF(G917=8,F917,0)))),0)</f>
        <v>0</v>
      </c>
      <c r="K917" s="819">
        <f>ROUND(IF(G917=1,F917/23,IF(G917=3,F917/12,IF(G917=6,F917,IF(G917=7,F917-I917,0)))),0)</f>
        <v>0</v>
      </c>
      <c r="L917" s="820">
        <f>IF(G917=6,F917,0)</f>
        <v>0</v>
      </c>
      <c r="P917" s="768" t="n"/>
      <c r="Q917" s="769" t="str">
        <f>IF($F917="","",IFERROR(VLOOKUP($C917&amp;"|"&amp;$D917,科目表!$A$5:$B$200,2,FALSE),"※未登録"))</f>
        <v/>
      </c>
      <c r="R917" s="769" t="str">
        <f>IF($F917="","",$I917+$J917+$K917)</f>
        <v/>
      </c>
      <c r="S917" s="769" t="str">
        <f>IF(OR($F917="",$P917="支払なし",$H917=0,$Q917=""),"",$Q917&amp;"|S|"&amp;(COUNTIF(S$4:S916,$Q917&amp;"|S|*")+1))</f>
        <v/>
      </c>
      <c r="T917" s="769" t="str">
        <f>IF(OR($F917="",$P917="支払なし",$R917=0,$Q917=""),"",$Q917&amp;"|L|"&amp;(COUNTIF(T$4:T916,$Q917&amp;"|L|*")+1))</f>
        <v/>
      </c>
      <c r="U917" s="769" t="str">
        <f>IF($F917="","",13)</f>
        <v/>
      </c>
    </row>
    <row r="918" ht="16.5" customHeight="1" s="186">
      <c r="A918" s="760" t="n"/>
      <c r="B918" s="760" t="n"/>
      <c r="C918" s="762" t="n"/>
      <c r="D918" s="762" t="n"/>
      <c r="E918" s="775" t="n"/>
      <c r="F918" s="821" t="n"/>
      <c r="G918" s="821" t="n"/>
      <c r="H918" s="818">
        <f>IF(G918=1,F918-I918-J918-K918,IF(G918=2,F918,0))</f>
        <v>0</v>
      </c>
      <c r="I918" s="818">
        <f>ROUND(IF(G918=1,F918*10/23,IF(G918=3,F918-J918-K918,IF(G918=4,F918,IF(G918=5,F918*10/11,IF(G918=7,F918*10/11,0))))),0)</f>
        <v>0</v>
      </c>
      <c r="J918" s="818">
        <f>ROUND(IF(G918=1,F918/23,IF(G918=3,F918/12,IF(G918=5,F918-I918,IF(G918=8,F918,0)))),0)</f>
        <v>0</v>
      </c>
      <c r="K918" s="819">
        <f>ROUND(IF(G918=1,F918/23,IF(G918=3,F918/12,IF(G918=6,F918,IF(G918=7,F918-I918,0)))),0)</f>
        <v>0</v>
      </c>
      <c r="L918" s="820">
        <f>IF(G918=6,F918,0)</f>
        <v>0</v>
      </c>
      <c r="P918" s="768" t="n"/>
      <c r="Q918" s="769" t="str">
        <f>IF($F918="","",IFERROR(VLOOKUP($C918&amp;"|"&amp;$D918,科目表!$A$5:$B$200,2,FALSE),"※未登録"))</f>
        <v/>
      </c>
      <c r="R918" s="769" t="str">
        <f>IF($F918="","",$I918+$J918+$K918)</f>
        <v/>
      </c>
      <c r="S918" s="769" t="str">
        <f>IF(OR($F918="",$P918="支払なし",$H918=0,$Q918=""),"",$Q918&amp;"|S|"&amp;(COUNTIF(S$4:S917,$Q918&amp;"|S|*")+1))</f>
        <v/>
      </c>
      <c r="T918" s="769" t="str">
        <f>IF(OR($F918="",$P918="支払なし",$R918=0,$Q918=""),"",$Q918&amp;"|L|"&amp;(COUNTIF(T$4:T917,$Q918&amp;"|L|*")+1))</f>
        <v/>
      </c>
      <c r="U918" s="769" t="str">
        <f>IF($F918="","",13)</f>
        <v/>
      </c>
    </row>
    <row r="919" ht="16.5" customHeight="1" s="186">
      <c r="A919" s="760" t="n"/>
      <c r="B919" s="760" t="n"/>
      <c r="C919" s="762" t="n"/>
      <c r="D919" s="762" t="n"/>
      <c r="E919" s="775" t="n"/>
      <c r="F919" s="821" t="n"/>
      <c r="G919" s="821" t="n"/>
      <c r="H919" s="818">
        <f>IF(G919=1,F919-I919-J919-K919,IF(G919=2,F919,0))</f>
        <v>0</v>
      </c>
      <c r="I919" s="818">
        <f>ROUND(IF(G919=1,F919*10/23,IF(G919=3,F919-J919-K919,IF(G919=4,F919,IF(G919=5,F919*10/11,IF(G919=7,F919*10/11,0))))),0)</f>
        <v>0</v>
      </c>
      <c r="J919" s="818">
        <f>ROUND(IF(G919=1,F919/23,IF(G919=3,F919/12,IF(G919=5,F919-I919,IF(G919=8,F919,0)))),0)</f>
        <v>0</v>
      </c>
      <c r="K919" s="819">
        <f>ROUND(IF(G919=1,F919/23,IF(G919=3,F919/12,IF(G919=6,F919,IF(G919=7,F919-I919,0)))),0)</f>
        <v>0</v>
      </c>
      <c r="L919" s="820">
        <f>IF(G919=6,F919,0)</f>
        <v>0</v>
      </c>
      <c r="P919" s="768" t="n"/>
      <c r="Q919" s="769" t="str">
        <f>IF($F919="","",IFERROR(VLOOKUP($C919&amp;"|"&amp;$D919,科目表!$A$5:$B$200,2,FALSE),"※未登録"))</f>
        <v/>
      </c>
      <c r="R919" s="769" t="str">
        <f>IF($F919="","",$I919+$J919+$K919)</f>
        <v/>
      </c>
      <c r="S919" s="769" t="str">
        <f>IF(OR($F919="",$P919="支払なし",$H919=0,$Q919=""),"",$Q919&amp;"|S|"&amp;(COUNTIF(S$4:S918,$Q919&amp;"|S|*")+1))</f>
        <v/>
      </c>
      <c r="T919" s="769" t="str">
        <f>IF(OR($F919="",$P919="支払なし",$R919=0,$Q919=""),"",$Q919&amp;"|L|"&amp;(COUNTIF(T$4:T918,$Q919&amp;"|L|*")+1))</f>
        <v/>
      </c>
      <c r="U919" s="769" t="str">
        <f>IF($F919="","",13)</f>
        <v/>
      </c>
    </row>
    <row r="920" ht="16.5" customHeight="1" s="186">
      <c r="A920" s="760" t="n"/>
      <c r="B920" s="760" t="n"/>
      <c r="C920" s="762" t="n"/>
      <c r="D920" s="762" t="n"/>
      <c r="E920" s="775" t="n"/>
      <c r="F920" s="821" t="n"/>
      <c r="G920" s="821" t="n"/>
      <c r="H920" s="818">
        <f>IF(G920=1,F920-I920-J920-K920,IF(G920=2,F920,0))</f>
        <v>0</v>
      </c>
      <c r="I920" s="818">
        <f>ROUND(IF(G920=1,F920*10/23,IF(G920=3,F920-J920-K920,IF(G920=4,F920,IF(G920=5,F920*10/11,IF(G920=7,F920*10/11,0))))),0)</f>
        <v>0</v>
      </c>
      <c r="J920" s="818">
        <f>ROUND(IF(G920=1,F920/23,IF(G920=3,F920/12,IF(G920=5,F920-I920,IF(G920=8,F920,0)))),0)</f>
        <v>0</v>
      </c>
      <c r="K920" s="819">
        <f>ROUND(IF(G920=1,F920/23,IF(G920=3,F920/12,IF(G920=6,F920,IF(G920=7,F920-I920,0)))),0)</f>
        <v>0</v>
      </c>
      <c r="L920" s="820">
        <f>IF(G920=6,F920,0)</f>
        <v>0</v>
      </c>
      <c r="P920" s="768" t="n"/>
      <c r="Q920" s="769" t="str">
        <f>IF($F920="","",IFERROR(VLOOKUP($C920&amp;"|"&amp;$D920,科目表!$A$5:$B$200,2,FALSE),"※未登録"))</f>
        <v/>
      </c>
      <c r="R920" s="769" t="str">
        <f>IF($F920="","",$I920+$J920+$K920)</f>
        <v/>
      </c>
      <c r="S920" s="769" t="str">
        <f>IF(OR($F920="",$P920="支払なし",$H920=0,$Q920=""),"",$Q920&amp;"|S|"&amp;(COUNTIF(S$4:S919,$Q920&amp;"|S|*")+1))</f>
        <v/>
      </c>
      <c r="T920" s="769" t="str">
        <f>IF(OR($F920="",$P920="支払なし",$R920=0,$Q920=""),"",$Q920&amp;"|L|"&amp;(COUNTIF(T$4:T919,$Q920&amp;"|L|*")+1))</f>
        <v/>
      </c>
      <c r="U920" s="769" t="str">
        <f>IF($F920="","",13)</f>
        <v/>
      </c>
    </row>
    <row r="921" ht="16.5" customHeight="1" s="186">
      <c r="A921" s="760" t="n"/>
      <c r="B921" s="760" t="n"/>
      <c r="C921" s="762" t="n"/>
      <c r="D921" s="762" t="n"/>
      <c r="E921" s="775" t="n"/>
      <c r="F921" s="821" t="n"/>
      <c r="G921" s="821" t="n"/>
      <c r="H921" s="818">
        <f>IF(G921=1,F921-I921-J921-K921,IF(G921=2,F921,0))</f>
        <v>0</v>
      </c>
      <c r="I921" s="818">
        <f>ROUND(IF(G921=1,F921*10/23,IF(G921=3,F921-J921-K921,IF(G921=4,F921,IF(G921=5,F921*10/11,IF(G921=7,F921*10/11,0))))),0)</f>
        <v>0</v>
      </c>
      <c r="J921" s="818">
        <f>ROUND(IF(G921=1,F921/23,IF(G921=3,F921/12,IF(G921=5,F921-I921,IF(G921=8,F921,0)))),0)</f>
        <v>0</v>
      </c>
      <c r="K921" s="819">
        <f>ROUND(IF(G921=1,F921/23,IF(G921=3,F921/12,IF(G921=6,F921,IF(G921=7,F921-I921,0)))),0)</f>
        <v>0</v>
      </c>
      <c r="L921" s="820">
        <f>IF(G921=6,F921,0)</f>
        <v>0</v>
      </c>
      <c r="P921" s="768" t="n"/>
      <c r="Q921" s="769" t="str">
        <f>IF($F921="","",IFERROR(VLOOKUP($C921&amp;"|"&amp;$D921,科目表!$A$5:$B$200,2,FALSE),"※未登録"))</f>
        <v/>
      </c>
      <c r="R921" s="769" t="str">
        <f>IF($F921="","",$I921+$J921+$K921)</f>
        <v/>
      </c>
      <c r="S921" s="769" t="str">
        <f>IF(OR($F921="",$P921="支払なし",$H921=0,$Q921=""),"",$Q921&amp;"|S|"&amp;(COUNTIF(S$4:S920,$Q921&amp;"|S|*")+1))</f>
        <v/>
      </c>
      <c r="T921" s="769" t="str">
        <f>IF(OR($F921="",$P921="支払なし",$R921=0,$Q921=""),"",$Q921&amp;"|L|"&amp;(COUNTIF(T$4:T920,$Q921&amp;"|L|*")+1))</f>
        <v/>
      </c>
      <c r="U921" s="769" t="str">
        <f>IF($F921="","",13)</f>
        <v/>
      </c>
    </row>
    <row r="922" ht="16.5" customHeight="1" s="186">
      <c r="A922" s="760" t="n"/>
      <c r="B922" s="760" t="n"/>
      <c r="C922" s="762" t="n"/>
      <c r="D922" s="762" t="n"/>
      <c r="E922" s="775" t="n"/>
      <c r="F922" s="821" t="n"/>
      <c r="G922" s="821" t="n"/>
      <c r="H922" s="818">
        <f>IF(G922=1,F922-I922-J922-K922,IF(G922=2,F922,0))</f>
        <v>0</v>
      </c>
      <c r="I922" s="818">
        <f>ROUND(IF(G922=1,F922*10/23,IF(G922=3,F922-J922-K922,IF(G922=4,F922,IF(G922=5,F922*10/11,IF(G922=7,F922*10/11,0))))),0)</f>
        <v>0</v>
      </c>
      <c r="J922" s="818">
        <f>ROUND(IF(G922=1,F922/23,IF(G922=3,F922/12,IF(G922=5,F922-I922,IF(G922=8,F922,0)))),0)</f>
        <v>0</v>
      </c>
      <c r="K922" s="819">
        <f>ROUND(IF(G922=1,F922/23,IF(G922=3,F922/12,IF(G922=6,F922,IF(G922=7,F922-I922,0)))),0)</f>
        <v>0</v>
      </c>
      <c r="L922" s="820">
        <f>IF(G922=6,F922,0)</f>
        <v>0</v>
      </c>
      <c r="P922" s="768" t="n"/>
      <c r="Q922" s="769" t="str">
        <f>IF($F922="","",IFERROR(VLOOKUP($C922&amp;"|"&amp;$D922,科目表!$A$5:$B$200,2,FALSE),"※未登録"))</f>
        <v/>
      </c>
      <c r="R922" s="769" t="str">
        <f>IF($F922="","",$I922+$J922+$K922)</f>
        <v/>
      </c>
      <c r="S922" s="769" t="str">
        <f>IF(OR($F922="",$P922="支払なし",$H922=0,$Q922=""),"",$Q922&amp;"|S|"&amp;(COUNTIF(S$4:S921,$Q922&amp;"|S|*")+1))</f>
        <v/>
      </c>
      <c r="T922" s="769" t="str">
        <f>IF(OR($F922="",$P922="支払なし",$R922=0,$Q922=""),"",$Q922&amp;"|L|"&amp;(COUNTIF(T$4:T921,$Q922&amp;"|L|*")+1))</f>
        <v/>
      </c>
      <c r="U922" s="769" t="str">
        <f>IF($F922="","",13)</f>
        <v/>
      </c>
    </row>
    <row r="923" ht="16.5" customHeight="1" s="186">
      <c r="A923" s="760" t="n"/>
      <c r="B923" s="760" t="n"/>
      <c r="C923" s="762" t="n"/>
      <c r="D923" s="762" t="n"/>
      <c r="E923" s="775" t="n"/>
      <c r="F923" s="821" t="n"/>
      <c r="G923" s="821" t="n"/>
      <c r="H923" s="818">
        <f>IF(G923=1,F923-I923-J923-K923,IF(G923=2,F923,0))</f>
        <v>0</v>
      </c>
      <c r="I923" s="818">
        <f>ROUND(IF(G923=1,F923*10/23,IF(G923=3,F923-J923-K923,IF(G923=4,F923,IF(G923=5,F923*10/11,IF(G923=7,F923*10/11,0))))),0)</f>
        <v>0</v>
      </c>
      <c r="J923" s="818">
        <f>ROUND(IF(G923=1,F923/23,IF(G923=3,F923/12,IF(G923=5,F923-I923,IF(G923=8,F923,0)))),0)</f>
        <v>0</v>
      </c>
      <c r="K923" s="819">
        <f>ROUND(IF(G923=1,F923/23,IF(G923=3,F923/12,IF(G923=6,F923,IF(G923=7,F923-I923,0)))),0)</f>
        <v>0</v>
      </c>
      <c r="L923" s="820">
        <f>IF(G923=6,F923,0)</f>
        <v>0</v>
      </c>
      <c r="P923" s="768" t="n"/>
      <c r="Q923" s="769" t="str">
        <f>IF($F923="","",IFERROR(VLOOKUP($C923&amp;"|"&amp;$D923,科目表!$A$5:$B$200,2,FALSE),"※未登録"))</f>
        <v/>
      </c>
      <c r="R923" s="769" t="str">
        <f>IF($F923="","",$I923+$J923+$K923)</f>
        <v/>
      </c>
      <c r="S923" s="769" t="str">
        <f>IF(OR($F923="",$P923="支払なし",$H923=0,$Q923=""),"",$Q923&amp;"|S|"&amp;(COUNTIF(S$4:S922,$Q923&amp;"|S|*")+1))</f>
        <v/>
      </c>
      <c r="T923" s="769" t="str">
        <f>IF(OR($F923="",$P923="支払なし",$R923=0,$Q923=""),"",$Q923&amp;"|L|"&amp;(COUNTIF(T$4:T922,$Q923&amp;"|L|*")+1))</f>
        <v/>
      </c>
      <c r="U923" s="769" t="str">
        <f>IF($F923="","",13)</f>
        <v/>
      </c>
    </row>
    <row r="924" ht="16.5" customHeight="1" s="186">
      <c r="A924" s="760" t="n"/>
      <c r="B924" s="760" t="n"/>
      <c r="C924" s="762" t="n"/>
      <c r="D924" s="762" t="n"/>
      <c r="E924" s="775" t="n"/>
      <c r="F924" s="821" t="n"/>
      <c r="G924" s="821" t="n"/>
      <c r="H924" s="818">
        <f>IF(G924=1,F924-I924-J924-K924,IF(G924=2,F924,0))</f>
        <v>0</v>
      </c>
      <c r="I924" s="818">
        <f>ROUND(IF(G924=1,F924*10/23,IF(G924=3,F924-J924-K924,IF(G924=4,F924,IF(G924=5,F924*10/11,IF(G924=7,F924*10/11,0))))),0)</f>
        <v>0</v>
      </c>
      <c r="J924" s="818">
        <f>ROUND(IF(G924=1,F924/23,IF(G924=3,F924/12,IF(G924=5,F924-I924,IF(G924=8,F924,0)))),0)</f>
        <v>0</v>
      </c>
      <c r="K924" s="819">
        <f>ROUND(IF(G924=1,F924/23,IF(G924=3,F924/12,IF(G924=6,F924,IF(G924=7,F924-I924,0)))),0)</f>
        <v>0</v>
      </c>
      <c r="L924" s="820">
        <f>IF(G924=6,F924,0)</f>
        <v>0</v>
      </c>
      <c r="P924" s="768" t="n"/>
      <c r="Q924" s="769" t="str">
        <f>IF($F924="","",IFERROR(VLOOKUP($C924&amp;"|"&amp;$D924,科目表!$A$5:$B$200,2,FALSE),"※未登録"))</f>
        <v/>
      </c>
      <c r="R924" s="769" t="str">
        <f>IF($F924="","",$I924+$J924+$K924)</f>
        <v/>
      </c>
      <c r="S924" s="769" t="str">
        <f>IF(OR($F924="",$P924="支払なし",$H924=0,$Q924=""),"",$Q924&amp;"|S|"&amp;(COUNTIF(S$4:S923,$Q924&amp;"|S|*")+1))</f>
        <v/>
      </c>
      <c r="T924" s="769" t="str">
        <f>IF(OR($F924="",$P924="支払なし",$R924=0,$Q924=""),"",$Q924&amp;"|L|"&amp;(COUNTIF(T$4:T923,$Q924&amp;"|L|*")+1))</f>
        <v/>
      </c>
      <c r="U924" s="769" t="str">
        <f>IF($F924="","",13)</f>
        <v/>
      </c>
    </row>
    <row r="925" ht="16.5" customHeight="1" s="186">
      <c r="A925" s="760" t="n"/>
      <c r="B925" s="760" t="n"/>
      <c r="C925" s="762" t="n"/>
      <c r="D925" s="762" t="n"/>
      <c r="E925" s="775" t="n"/>
      <c r="F925" s="821" t="n"/>
      <c r="G925" s="821" t="n"/>
      <c r="H925" s="818">
        <f>IF(G925=1,F925-I925-J925-K925,IF(G925=2,F925,0))</f>
        <v>0</v>
      </c>
      <c r="I925" s="818">
        <f>ROUND(IF(G925=1,F925*10/23,IF(G925=3,F925-J925-K925,IF(G925=4,F925,IF(G925=5,F925*10/11,IF(G925=7,F925*10/11,0))))),0)</f>
        <v>0</v>
      </c>
      <c r="J925" s="818">
        <f>ROUND(IF(G925=1,F925/23,IF(G925=3,F925/12,IF(G925=5,F925-I925,IF(G925=8,F925,0)))),0)</f>
        <v>0</v>
      </c>
      <c r="K925" s="819">
        <f>ROUND(IF(G925=1,F925/23,IF(G925=3,F925/12,IF(G925=6,F925,IF(G925=7,F925-I925,0)))),0)</f>
        <v>0</v>
      </c>
      <c r="L925" s="820">
        <f>IF(G925=6,F925,0)</f>
        <v>0</v>
      </c>
      <c r="P925" s="768" t="n"/>
      <c r="Q925" s="769" t="str">
        <f>IF($F925="","",IFERROR(VLOOKUP($C925&amp;"|"&amp;$D925,科目表!$A$5:$B$200,2,FALSE),"※未登録"))</f>
        <v/>
      </c>
      <c r="R925" s="769" t="str">
        <f>IF($F925="","",$I925+$J925+$K925)</f>
        <v/>
      </c>
      <c r="S925" s="769" t="str">
        <f>IF(OR($F925="",$P925="支払なし",$H925=0,$Q925=""),"",$Q925&amp;"|S|"&amp;(COUNTIF(S$4:S924,$Q925&amp;"|S|*")+1))</f>
        <v/>
      </c>
      <c r="T925" s="769" t="str">
        <f>IF(OR($F925="",$P925="支払なし",$R925=0,$Q925=""),"",$Q925&amp;"|L|"&amp;(COUNTIF(T$4:T924,$Q925&amp;"|L|*")+1))</f>
        <v/>
      </c>
      <c r="U925" s="769" t="str">
        <f>IF($F925="","",13)</f>
        <v/>
      </c>
    </row>
    <row r="926" ht="16.5" customHeight="1" s="186">
      <c r="A926" s="760" t="n"/>
      <c r="B926" s="760" t="n"/>
      <c r="C926" s="762" t="n"/>
      <c r="D926" s="762" t="n"/>
      <c r="E926" s="775" t="n"/>
      <c r="F926" s="821" t="n"/>
      <c r="G926" s="821" t="n"/>
      <c r="H926" s="818">
        <f>IF(G926=1,F926-I926-J926-K926,IF(G926=2,F926,0))</f>
        <v>0</v>
      </c>
      <c r="I926" s="818">
        <f>ROUND(IF(G926=1,F926*10/23,IF(G926=3,F926-J926-K926,IF(G926=4,F926,IF(G926=5,F926*10/11,IF(G926=7,F926*10/11,0))))),0)</f>
        <v>0</v>
      </c>
      <c r="J926" s="818">
        <f>ROUND(IF(G926=1,F926/23,IF(G926=3,F926/12,IF(G926=5,F926-I926,IF(G926=8,F926,0)))),0)</f>
        <v>0</v>
      </c>
      <c r="K926" s="819">
        <f>ROUND(IF(G926=1,F926/23,IF(G926=3,F926/12,IF(G926=6,F926,IF(G926=7,F926-I926,0)))),0)</f>
        <v>0</v>
      </c>
      <c r="L926" s="820">
        <f>IF(G926=6,F926,0)</f>
        <v>0</v>
      </c>
      <c r="P926" s="768" t="n"/>
      <c r="Q926" s="769" t="str">
        <f>IF($F926="","",IFERROR(VLOOKUP($C926&amp;"|"&amp;$D926,科目表!$A$5:$B$200,2,FALSE),"※未登録"))</f>
        <v/>
      </c>
      <c r="R926" s="769" t="str">
        <f>IF($F926="","",$I926+$J926+$K926)</f>
        <v/>
      </c>
      <c r="S926" s="769" t="str">
        <f>IF(OR($F926="",$P926="支払なし",$H926=0,$Q926=""),"",$Q926&amp;"|S|"&amp;(COUNTIF(S$4:S925,$Q926&amp;"|S|*")+1))</f>
        <v/>
      </c>
      <c r="T926" s="769" t="str">
        <f>IF(OR($F926="",$P926="支払なし",$R926=0,$Q926=""),"",$Q926&amp;"|L|"&amp;(COUNTIF(T$4:T925,$Q926&amp;"|L|*")+1))</f>
        <v/>
      </c>
      <c r="U926" s="769" t="str">
        <f>IF($F926="","",13)</f>
        <v/>
      </c>
    </row>
    <row r="927" ht="16.5" customHeight="1" s="186">
      <c r="A927" s="760" t="n"/>
      <c r="B927" s="760" t="n"/>
      <c r="C927" s="762" t="n"/>
      <c r="D927" s="762" t="n"/>
      <c r="E927" s="775" t="n"/>
      <c r="F927" s="821" t="n"/>
      <c r="G927" s="821" t="n"/>
      <c r="H927" s="818">
        <f>IF(G927=1,F927-I927-J927-K927,IF(G927=2,F927,0))</f>
        <v>0</v>
      </c>
      <c r="I927" s="818">
        <f>ROUND(IF(G927=1,F927*10/23,IF(G927=3,F927-J927-K927,IF(G927=4,F927,IF(G927=5,F927*10/11,IF(G927=7,F927*10/11,0))))),0)</f>
        <v>0</v>
      </c>
      <c r="J927" s="818">
        <f>ROUND(IF(G927=1,F927/23,IF(G927=3,F927/12,IF(G927=5,F927-I927,IF(G927=8,F927,0)))),0)</f>
        <v>0</v>
      </c>
      <c r="K927" s="819">
        <f>ROUND(IF(G927=1,F927/23,IF(G927=3,F927/12,IF(G927=6,F927,IF(G927=7,F927-I927,0)))),0)</f>
        <v>0</v>
      </c>
      <c r="L927" s="820">
        <f>IF(G927=6,F927,0)</f>
        <v>0</v>
      </c>
      <c r="P927" s="768" t="n"/>
      <c r="Q927" s="769" t="str">
        <f>IF($F927="","",IFERROR(VLOOKUP($C927&amp;"|"&amp;$D927,科目表!$A$5:$B$200,2,FALSE),"※未登録"))</f>
        <v/>
      </c>
      <c r="R927" s="769" t="str">
        <f>IF($F927="","",$I927+$J927+$K927)</f>
        <v/>
      </c>
      <c r="S927" s="769" t="str">
        <f>IF(OR($F927="",$P927="支払なし",$H927=0,$Q927=""),"",$Q927&amp;"|S|"&amp;(COUNTIF(S$4:S926,$Q927&amp;"|S|*")+1))</f>
        <v/>
      </c>
      <c r="T927" s="769" t="str">
        <f>IF(OR($F927="",$P927="支払なし",$R927=0,$Q927=""),"",$Q927&amp;"|L|"&amp;(COUNTIF(T$4:T926,$Q927&amp;"|L|*")+1))</f>
        <v/>
      </c>
      <c r="U927" s="769" t="str">
        <f>IF($F927="","",13)</f>
        <v/>
      </c>
    </row>
    <row r="928" ht="16.5" customHeight="1" s="186">
      <c r="A928" s="760" t="n"/>
      <c r="B928" s="760" t="n"/>
      <c r="C928" s="762" t="n"/>
      <c r="D928" s="762" t="n"/>
      <c r="E928" s="775" t="n"/>
      <c r="F928" s="821" t="n"/>
      <c r="G928" s="821" t="n"/>
      <c r="H928" s="818">
        <f>IF(G928=1,F928-I928-J928-K928,IF(G928=2,F928,0))</f>
        <v>0</v>
      </c>
      <c r="I928" s="818">
        <f>ROUND(IF(G928=1,F928*10/23,IF(G928=3,F928-J928-K928,IF(G928=4,F928,IF(G928=5,F928*10/11,IF(G928=7,F928*10/11,0))))),0)</f>
        <v>0</v>
      </c>
      <c r="J928" s="818">
        <f>ROUND(IF(G928=1,F928/23,IF(G928=3,F928/12,IF(G928=5,F928-I928,IF(G928=8,F928,0)))),0)</f>
        <v>0</v>
      </c>
      <c r="K928" s="819">
        <f>ROUND(IF(G928=1,F928/23,IF(G928=3,F928/12,IF(G928=6,F928,IF(G928=7,F928-I928,0)))),0)</f>
        <v>0</v>
      </c>
      <c r="L928" s="820">
        <f>IF(G928=6,F928,0)</f>
        <v>0</v>
      </c>
      <c r="P928" s="768" t="n"/>
      <c r="Q928" s="769" t="str">
        <f>IF($F928="","",IFERROR(VLOOKUP($C928&amp;"|"&amp;$D928,科目表!$A$5:$B$200,2,FALSE),"※未登録"))</f>
        <v/>
      </c>
      <c r="R928" s="769" t="str">
        <f>IF($F928="","",$I928+$J928+$K928)</f>
        <v/>
      </c>
      <c r="S928" s="769" t="str">
        <f>IF(OR($F928="",$P928="支払なし",$H928=0,$Q928=""),"",$Q928&amp;"|S|"&amp;(COUNTIF(S$4:S927,$Q928&amp;"|S|*")+1))</f>
        <v/>
      </c>
      <c r="T928" s="769" t="str">
        <f>IF(OR($F928="",$P928="支払なし",$R928=0,$Q928=""),"",$Q928&amp;"|L|"&amp;(COUNTIF(T$4:T927,$Q928&amp;"|L|*")+1))</f>
        <v/>
      </c>
      <c r="U928" s="769" t="str">
        <f>IF($F928="","",13)</f>
        <v/>
      </c>
    </row>
    <row r="929" ht="16.5" customHeight="1" s="186">
      <c r="A929" s="760" t="n"/>
      <c r="B929" s="760" t="n"/>
      <c r="C929" s="762" t="n"/>
      <c r="D929" s="762" t="n"/>
      <c r="E929" s="775" t="n"/>
      <c r="F929" s="821" t="n"/>
      <c r="G929" s="821" t="n"/>
      <c r="H929" s="818">
        <f>IF(G929=1,F929-I929-J929-K929,IF(G929=2,F929,0))</f>
        <v>0</v>
      </c>
      <c r="I929" s="818">
        <f>ROUND(IF(G929=1,F929*10/23,IF(G929=3,F929-J929-K929,IF(G929=4,F929,IF(G929=5,F929*10/11,IF(G929=7,F929*10/11,0))))),0)</f>
        <v>0</v>
      </c>
      <c r="J929" s="818">
        <f>ROUND(IF(G929=1,F929/23,IF(G929=3,F929/12,IF(G929=5,F929-I929,IF(G929=8,F929,0)))),0)</f>
        <v>0</v>
      </c>
      <c r="K929" s="819">
        <f>ROUND(IF(G929=1,F929/23,IF(G929=3,F929/12,IF(G929=6,F929,IF(G929=7,F929-I929,0)))),0)</f>
        <v>0</v>
      </c>
      <c r="L929" s="820">
        <f>IF(G929=6,F929,0)</f>
        <v>0</v>
      </c>
      <c r="P929" s="768" t="n"/>
      <c r="Q929" s="769" t="str">
        <f>IF($F929="","",IFERROR(VLOOKUP($C929&amp;"|"&amp;$D929,科目表!$A$5:$B$200,2,FALSE),"※未登録"))</f>
        <v/>
      </c>
      <c r="R929" s="769" t="str">
        <f>IF($F929="","",$I929+$J929+$K929)</f>
        <v/>
      </c>
      <c r="S929" s="769" t="str">
        <f>IF(OR($F929="",$P929="支払なし",$H929=0,$Q929=""),"",$Q929&amp;"|S|"&amp;(COUNTIF(S$4:S928,$Q929&amp;"|S|*")+1))</f>
        <v/>
      </c>
      <c r="T929" s="769" t="str">
        <f>IF(OR($F929="",$P929="支払なし",$R929=0,$Q929=""),"",$Q929&amp;"|L|"&amp;(COUNTIF(T$4:T928,$Q929&amp;"|L|*")+1))</f>
        <v/>
      </c>
      <c r="U929" s="769" t="str">
        <f>IF($F929="","",13)</f>
        <v/>
      </c>
    </row>
    <row r="930" ht="16.5" customHeight="1" s="186">
      <c r="A930" s="760" t="n"/>
      <c r="B930" s="760" t="n"/>
      <c r="C930" s="762" t="n"/>
      <c r="D930" s="762" t="n"/>
      <c r="E930" s="775" t="n"/>
      <c r="F930" s="821" t="n"/>
      <c r="G930" s="821" t="n"/>
      <c r="H930" s="818">
        <f>IF(G930=1,F930-I930-J930-K930,IF(G930=2,F930,0))</f>
        <v>0</v>
      </c>
      <c r="I930" s="818">
        <f>ROUND(IF(G930=1,F930*10/23,IF(G930=3,F930-J930-K930,IF(G930=4,F930,IF(G930=5,F930*10/11,IF(G930=7,F930*10/11,0))))),0)</f>
        <v>0</v>
      </c>
      <c r="J930" s="818">
        <f>ROUND(IF(G930=1,F930/23,IF(G930=3,F930/12,IF(G930=5,F930-I930,IF(G930=8,F930,0)))),0)</f>
        <v>0</v>
      </c>
      <c r="K930" s="819">
        <f>ROUND(IF(G930=1,F930/23,IF(G930=3,F930/12,IF(G930=6,F930,IF(G930=7,F930-I930,0)))),0)</f>
        <v>0</v>
      </c>
      <c r="L930" s="820">
        <f>IF(G930=6,F930,0)</f>
        <v>0</v>
      </c>
      <c r="P930" s="768" t="n"/>
      <c r="Q930" s="769" t="str">
        <f>IF($F930="","",IFERROR(VLOOKUP($C930&amp;"|"&amp;$D930,科目表!$A$5:$B$200,2,FALSE),"※未登録"))</f>
        <v/>
      </c>
      <c r="R930" s="769" t="str">
        <f>IF($F930="","",$I930+$J930+$K930)</f>
        <v/>
      </c>
      <c r="S930" s="769" t="str">
        <f>IF(OR($F930="",$P930="支払なし",$H930=0,$Q930=""),"",$Q930&amp;"|S|"&amp;(COUNTIF(S$4:S929,$Q930&amp;"|S|*")+1))</f>
        <v/>
      </c>
      <c r="T930" s="769" t="str">
        <f>IF(OR($F930="",$P930="支払なし",$R930=0,$Q930=""),"",$Q930&amp;"|L|"&amp;(COUNTIF(T$4:T929,$Q930&amp;"|L|*")+1))</f>
        <v/>
      </c>
      <c r="U930" s="769" t="str">
        <f>IF($F930="","",13)</f>
        <v/>
      </c>
    </row>
    <row r="931" ht="16.5" customHeight="1" s="186">
      <c r="A931" s="760" t="n"/>
      <c r="B931" s="760" t="n"/>
      <c r="C931" s="762" t="n"/>
      <c r="D931" s="762" t="n"/>
      <c r="E931" s="775" t="n"/>
      <c r="F931" s="821" t="n"/>
      <c r="G931" s="821" t="n"/>
      <c r="H931" s="818">
        <f>IF(G931=1,F931-I931-J931-K931,IF(G931=2,F931,0))</f>
        <v>0</v>
      </c>
      <c r="I931" s="818">
        <f>ROUND(IF(G931=1,F931*10/23,IF(G931=3,F931-J931-K931,IF(G931=4,F931,IF(G931=5,F931*10/11,IF(G931=7,F931*10/11,0))))),0)</f>
        <v>0</v>
      </c>
      <c r="J931" s="818">
        <f>ROUND(IF(G931=1,F931/23,IF(G931=3,F931/12,IF(G931=5,F931-I931,IF(G931=8,F931,0)))),0)</f>
        <v>0</v>
      </c>
      <c r="K931" s="819">
        <f>ROUND(IF(G931=1,F931/23,IF(G931=3,F931/12,IF(G931=6,F931,IF(G931=7,F931-I931,0)))),0)</f>
        <v>0</v>
      </c>
      <c r="L931" s="820">
        <f>IF(G931=6,F931,0)</f>
        <v>0</v>
      </c>
      <c r="P931" s="768" t="n"/>
      <c r="Q931" s="769" t="str">
        <f>IF($F931="","",IFERROR(VLOOKUP($C931&amp;"|"&amp;$D931,科目表!$A$5:$B$200,2,FALSE),"※未登録"))</f>
        <v/>
      </c>
      <c r="R931" s="769" t="str">
        <f>IF($F931="","",$I931+$J931+$K931)</f>
        <v/>
      </c>
      <c r="S931" s="769" t="str">
        <f>IF(OR($F931="",$P931="支払なし",$H931=0,$Q931=""),"",$Q931&amp;"|S|"&amp;(COUNTIF(S$4:S930,$Q931&amp;"|S|*")+1))</f>
        <v/>
      </c>
      <c r="T931" s="769" t="str">
        <f>IF(OR($F931="",$P931="支払なし",$R931=0,$Q931=""),"",$Q931&amp;"|L|"&amp;(COUNTIF(T$4:T930,$Q931&amp;"|L|*")+1))</f>
        <v/>
      </c>
      <c r="U931" s="769" t="str">
        <f>IF($F931="","",13)</f>
        <v/>
      </c>
    </row>
    <row r="932" ht="16.5" customHeight="1" s="186">
      <c r="A932" s="760" t="n"/>
      <c r="B932" s="760" t="n"/>
      <c r="C932" s="762" t="n"/>
      <c r="D932" s="762" t="n"/>
      <c r="E932" s="775" t="n"/>
      <c r="F932" s="821" t="n"/>
      <c r="G932" s="821" t="n"/>
      <c r="H932" s="818">
        <f>IF(G932=1,F932-I932-J932-K932,IF(G932=2,F932,0))</f>
        <v>0</v>
      </c>
      <c r="I932" s="818">
        <f>ROUND(IF(G932=1,F932*10/23,IF(G932=3,F932-J932-K932,IF(G932=4,F932,IF(G932=5,F932*10/11,IF(G932=7,F932*10/11,0))))),0)</f>
        <v>0</v>
      </c>
      <c r="J932" s="818">
        <f>ROUND(IF(G932=1,F932/23,IF(G932=3,F932/12,IF(G932=5,F932-I932,IF(G932=8,F932,0)))),0)</f>
        <v>0</v>
      </c>
      <c r="K932" s="819">
        <f>ROUND(IF(G932=1,F932/23,IF(G932=3,F932/12,IF(G932=6,F932,IF(G932=7,F932-I932,0)))),0)</f>
        <v>0</v>
      </c>
      <c r="L932" s="820">
        <f>IF(G932=6,F932,0)</f>
        <v>0</v>
      </c>
      <c r="P932" s="768" t="n"/>
      <c r="Q932" s="769" t="str">
        <f>IF($F932="","",IFERROR(VLOOKUP($C932&amp;"|"&amp;$D932,科目表!$A$5:$B$200,2,FALSE),"※未登録"))</f>
        <v/>
      </c>
      <c r="R932" s="769" t="str">
        <f>IF($F932="","",$I932+$J932+$K932)</f>
        <v/>
      </c>
      <c r="S932" s="769" t="str">
        <f>IF(OR($F932="",$P932="支払なし",$H932=0,$Q932=""),"",$Q932&amp;"|S|"&amp;(COUNTIF(S$4:S931,$Q932&amp;"|S|*")+1))</f>
        <v/>
      </c>
      <c r="T932" s="769" t="str">
        <f>IF(OR($F932="",$P932="支払なし",$R932=0,$Q932=""),"",$Q932&amp;"|L|"&amp;(COUNTIF(T$4:T931,$Q932&amp;"|L|*")+1))</f>
        <v/>
      </c>
      <c r="U932" s="769" t="str">
        <f>IF($F932="","",13)</f>
        <v/>
      </c>
    </row>
    <row r="933" ht="16.5" customHeight="1" s="186">
      <c r="A933" s="760" t="n"/>
      <c r="B933" s="760" t="n"/>
      <c r="C933" s="762" t="n"/>
      <c r="D933" s="762" t="n"/>
      <c r="E933" s="775" t="n"/>
      <c r="F933" s="821" t="n"/>
      <c r="G933" s="821" t="n"/>
      <c r="H933" s="818">
        <f>IF(G933=1,F933-I933-J933-K933,IF(G933=2,F933,0))</f>
        <v>0</v>
      </c>
      <c r="I933" s="818">
        <f>ROUND(IF(G933=1,F933*10/23,IF(G933=3,F933-J933-K933,IF(G933=4,F933,IF(G933=5,F933*10/11,IF(G933=7,F933*10/11,0))))),0)</f>
        <v>0</v>
      </c>
      <c r="J933" s="818">
        <f>ROUND(IF(G933=1,F933/23,IF(G933=3,F933/12,IF(G933=5,F933-I933,IF(G933=8,F933,0)))),0)</f>
        <v>0</v>
      </c>
      <c r="K933" s="819">
        <f>ROUND(IF(G933=1,F933/23,IF(G933=3,F933/12,IF(G933=6,F933,IF(G933=7,F933-I933,0)))),0)</f>
        <v>0</v>
      </c>
      <c r="L933" s="820">
        <f>IF(G933=6,F933,0)</f>
        <v>0</v>
      </c>
      <c r="P933" s="768" t="n"/>
      <c r="Q933" s="769" t="str">
        <f>IF($F933="","",IFERROR(VLOOKUP($C933&amp;"|"&amp;$D933,科目表!$A$5:$B$200,2,FALSE),"※未登録"))</f>
        <v/>
      </c>
      <c r="R933" s="769" t="str">
        <f>IF($F933="","",$I933+$J933+$K933)</f>
        <v/>
      </c>
      <c r="S933" s="769" t="str">
        <f>IF(OR($F933="",$P933="支払なし",$H933=0,$Q933=""),"",$Q933&amp;"|S|"&amp;(COUNTIF(S$4:S932,$Q933&amp;"|S|*")+1))</f>
        <v/>
      </c>
      <c r="T933" s="769" t="str">
        <f>IF(OR($F933="",$P933="支払なし",$R933=0,$Q933=""),"",$Q933&amp;"|L|"&amp;(COUNTIF(T$4:T932,$Q933&amp;"|L|*")+1))</f>
        <v/>
      </c>
      <c r="U933" s="769" t="str">
        <f>IF($F933="","",13)</f>
        <v/>
      </c>
    </row>
    <row r="934" ht="16.5" customHeight="1" s="186">
      <c r="A934" s="760" t="n"/>
      <c r="B934" s="760" t="n"/>
      <c r="C934" s="762" t="n"/>
      <c r="D934" s="762" t="n"/>
      <c r="E934" s="775" t="n"/>
      <c r="F934" s="821" t="n"/>
      <c r="G934" s="821" t="n"/>
      <c r="H934" s="818">
        <f>IF(G934=1,F934-I934-J934-K934,IF(G934=2,F934,0))</f>
        <v>0</v>
      </c>
      <c r="I934" s="818">
        <f>ROUND(IF(G934=1,F934*10/23,IF(G934=3,F934-J934-K934,IF(G934=4,F934,IF(G934=5,F934*10/11,IF(G934=7,F934*10/11,0))))),0)</f>
        <v>0</v>
      </c>
      <c r="J934" s="818">
        <f>ROUND(IF(G934=1,F934/23,IF(G934=3,F934/12,IF(G934=5,F934-I934,IF(G934=8,F934,0)))),0)</f>
        <v>0</v>
      </c>
      <c r="K934" s="819">
        <f>ROUND(IF(G934=1,F934/23,IF(G934=3,F934/12,IF(G934=6,F934,IF(G934=7,F934-I934,0)))),0)</f>
        <v>0</v>
      </c>
      <c r="L934" s="820">
        <f>IF(G934=6,F934,0)</f>
        <v>0</v>
      </c>
      <c r="P934" s="768" t="n"/>
      <c r="Q934" s="769" t="str">
        <f>IF($F934="","",IFERROR(VLOOKUP($C934&amp;"|"&amp;$D934,科目表!$A$5:$B$200,2,FALSE),"※未登録"))</f>
        <v/>
      </c>
      <c r="R934" s="769" t="str">
        <f>IF($F934="","",$I934+$J934+$K934)</f>
        <v/>
      </c>
      <c r="S934" s="769" t="str">
        <f>IF(OR($F934="",$P934="支払なし",$H934=0,$Q934=""),"",$Q934&amp;"|S|"&amp;(COUNTIF(S$4:S933,$Q934&amp;"|S|*")+1))</f>
        <v/>
      </c>
      <c r="T934" s="769" t="str">
        <f>IF(OR($F934="",$P934="支払なし",$R934=0,$Q934=""),"",$Q934&amp;"|L|"&amp;(COUNTIF(T$4:T933,$Q934&amp;"|L|*")+1))</f>
        <v/>
      </c>
      <c r="U934" s="769" t="str">
        <f>IF($F934="","",13)</f>
        <v/>
      </c>
    </row>
    <row r="935" ht="16.5" customHeight="1" s="186">
      <c r="A935" s="760" t="n"/>
      <c r="B935" s="760" t="n"/>
      <c r="C935" s="762" t="n"/>
      <c r="D935" s="762" t="n"/>
      <c r="E935" s="775" t="n"/>
      <c r="F935" s="821" t="n"/>
      <c r="G935" s="821" t="n"/>
      <c r="H935" s="818">
        <f>IF(G935=1,F935-I935-J935-K935,IF(G935=2,F935,0))</f>
        <v>0</v>
      </c>
      <c r="I935" s="818">
        <f>ROUND(IF(G935=1,F935*10/23,IF(G935=3,F935-J935-K935,IF(G935=4,F935,IF(G935=5,F935*10/11,IF(G935=7,F935*10/11,0))))),0)</f>
        <v>0</v>
      </c>
      <c r="J935" s="818">
        <f>ROUND(IF(G935=1,F935/23,IF(G935=3,F935/12,IF(G935=5,F935-I935,IF(G935=8,F935,0)))),0)</f>
        <v>0</v>
      </c>
      <c r="K935" s="819">
        <f>ROUND(IF(G935=1,F935/23,IF(G935=3,F935/12,IF(G935=6,F935,IF(G935=7,F935-I935,0)))),0)</f>
        <v>0</v>
      </c>
      <c r="L935" s="820">
        <f>IF(G935=6,F935,0)</f>
        <v>0</v>
      </c>
      <c r="P935" s="768" t="n"/>
      <c r="Q935" s="769" t="str">
        <f>IF($F935="","",IFERROR(VLOOKUP($C935&amp;"|"&amp;$D935,科目表!$A$5:$B$200,2,FALSE),"※未登録"))</f>
        <v/>
      </c>
      <c r="R935" s="769" t="str">
        <f>IF($F935="","",$I935+$J935+$K935)</f>
        <v/>
      </c>
      <c r="S935" s="769" t="str">
        <f>IF(OR($F935="",$P935="支払なし",$H935=0,$Q935=""),"",$Q935&amp;"|S|"&amp;(COUNTIF(S$4:S934,$Q935&amp;"|S|*")+1))</f>
        <v/>
      </c>
      <c r="T935" s="769" t="str">
        <f>IF(OR($F935="",$P935="支払なし",$R935=0,$Q935=""),"",$Q935&amp;"|L|"&amp;(COUNTIF(T$4:T934,$Q935&amp;"|L|*")+1))</f>
        <v/>
      </c>
      <c r="U935" s="769" t="str">
        <f>IF($F935="","",13)</f>
        <v/>
      </c>
    </row>
    <row r="936" ht="16.5" customHeight="1" s="186">
      <c r="A936" s="760" t="n"/>
      <c r="B936" s="760" t="n"/>
      <c r="C936" s="762" t="n"/>
      <c r="D936" s="762" t="n"/>
      <c r="E936" s="775" t="n"/>
      <c r="F936" s="821" t="n"/>
      <c r="G936" s="821" t="n"/>
      <c r="H936" s="818">
        <f>IF(G936=1,F936-I936-J936-K936,IF(G936=2,F936,0))</f>
        <v>0</v>
      </c>
      <c r="I936" s="818">
        <f>ROUND(IF(G936=1,F936*10/23,IF(G936=3,F936-J936-K936,IF(G936=4,F936,IF(G936=5,F936*10/11,IF(G936=7,F936*10/11,0))))),0)</f>
        <v>0</v>
      </c>
      <c r="J936" s="818">
        <f>ROUND(IF(G936=1,F936/23,IF(G936=3,F936/12,IF(G936=5,F936-I936,IF(G936=8,F936,0)))),0)</f>
        <v>0</v>
      </c>
      <c r="K936" s="819">
        <f>ROUND(IF(G936=1,F936/23,IF(G936=3,F936/12,IF(G936=6,F936,IF(G936=7,F936-I936,0)))),0)</f>
        <v>0</v>
      </c>
      <c r="L936" s="820">
        <f>IF(G936=6,F936,0)</f>
        <v>0</v>
      </c>
      <c r="P936" s="768" t="n"/>
      <c r="Q936" s="769" t="str">
        <f>IF($F936="","",IFERROR(VLOOKUP($C936&amp;"|"&amp;$D936,科目表!$A$5:$B$200,2,FALSE),"※未登録"))</f>
        <v/>
      </c>
      <c r="R936" s="769" t="str">
        <f>IF($F936="","",$I936+$J936+$K936)</f>
        <v/>
      </c>
      <c r="S936" s="769" t="str">
        <f>IF(OR($F936="",$P936="支払なし",$H936=0,$Q936=""),"",$Q936&amp;"|S|"&amp;(COUNTIF(S$4:S935,$Q936&amp;"|S|*")+1))</f>
        <v/>
      </c>
      <c r="T936" s="769" t="str">
        <f>IF(OR($F936="",$P936="支払なし",$R936=0,$Q936=""),"",$Q936&amp;"|L|"&amp;(COUNTIF(T$4:T935,$Q936&amp;"|L|*")+1))</f>
        <v/>
      </c>
      <c r="U936" s="769" t="str">
        <f>IF($F936="","",13)</f>
        <v/>
      </c>
    </row>
    <row r="937" ht="16.5" customHeight="1" s="186">
      <c r="A937" s="760" t="n"/>
      <c r="B937" s="760" t="n"/>
      <c r="C937" s="762" t="n"/>
      <c r="D937" s="762" t="n"/>
      <c r="E937" s="775" t="n"/>
      <c r="F937" s="821" t="n"/>
      <c r="G937" s="821" t="n"/>
      <c r="H937" s="818">
        <f>IF(G937=1,F937-I937-J937-K937,IF(G937=2,F937,0))</f>
        <v>0</v>
      </c>
      <c r="I937" s="818">
        <f>ROUND(IF(G937=1,F937*10/23,IF(G937=3,F937-J937-K937,IF(G937=4,F937,IF(G937=5,F937*10/11,IF(G937=7,F937*10/11,0))))),0)</f>
        <v>0</v>
      </c>
      <c r="J937" s="818">
        <f>ROUND(IF(G937=1,F937/23,IF(G937=3,F937/12,IF(G937=5,F937-I937,IF(G937=8,F937,0)))),0)</f>
        <v>0</v>
      </c>
      <c r="K937" s="819">
        <f>ROUND(IF(G937=1,F937/23,IF(G937=3,F937/12,IF(G937=6,F937,IF(G937=7,F937-I937,0)))),0)</f>
        <v>0</v>
      </c>
      <c r="L937" s="820">
        <f>IF(G937=6,F937,0)</f>
        <v>0</v>
      </c>
      <c r="P937" s="768" t="n"/>
      <c r="Q937" s="769" t="str">
        <f>IF($F937="","",IFERROR(VLOOKUP($C937&amp;"|"&amp;$D937,科目表!$A$5:$B$200,2,FALSE),"※未登録"))</f>
        <v/>
      </c>
      <c r="R937" s="769" t="str">
        <f>IF($F937="","",$I937+$J937+$K937)</f>
        <v/>
      </c>
      <c r="S937" s="769" t="str">
        <f>IF(OR($F937="",$P937="支払なし",$H937=0,$Q937=""),"",$Q937&amp;"|S|"&amp;(COUNTIF(S$4:S936,$Q937&amp;"|S|*")+1))</f>
        <v/>
      </c>
      <c r="T937" s="769" t="str">
        <f>IF(OR($F937="",$P937="支払なし",$R937=0,$Q937=""),"",$Q937&amp;"|L|"&amp;(COUNTIF(T$4:T936,$Q937&amp;"|L|*")+1))</f>
        <v/>
      </c>
      <c r="U937" s="769" t="str">
        <f>IF($F937="","",13)</f>
        <v/>
      </c>
    </row>
    <row r="938" ht="16.5" customHeight="1" s="186">
      <c r="A938" s="760" t="n"/>
      <c r="B938" s="760" t="n"/>
      <c r="C938" s="762" t="n"/>
      <c r="D938" s="762" t="n"/>
      <c r="E938" s="775" t="n"/>
      <c r="F938" s="821" t="n"/>
      <c r="G938" s="821" t="n"/>
      <c r="H938" s="818">
        <f>IF(G938=1,F938-I938-J938-K938,IF(G938=2,F938,0))</f>
        <v>0</v>
      </c>
      <c r="I938" s="818">
        <f>ROUND(IF(G938=1,F938*10/23,IF(G938=3,F938-J938-K938,IF(G938=4,F938,IF(G938=5,F938*10/11,IF(G938=7,F938*10/11,0))))),0)</f>
        <v>0</v>
      </c>
      <c r="J938" s="818">
        <f>ROUND(IF(G938=1,F938/23,IF(G938=3,F938/12,IF(G938=5,F938-I938,IF(G938=8,F938,0)))),0)</f>
        <v>0</v>
      </c>
      <c r="K938" s="819">
        <f>ROUND(IF(G938=1,F938/23,IF(G938=3,F938/12,IF(G938=6,F938,IF(G938=7,F938-I938,0)))),0)</f>
        <v>0</v>
      </c>
      <c r="L938" s="820">
        <f>IF(G938=6,F938,0)</f>
        <v>0</v>
      </c>
      <c r="P938" s="768" t="n"/>
      <c r="Q938" s="769" t="str">
        <f>IF($F938="","",IFERROR(VLOOKUP($C938&amp;"|"&amp;$D938,科目表!$A$5:$B$200,2,FALSE),"※未登録"))</f>
        <v/>
      </c>
      <c r="R938" s="769" t="str">
        <f>IF($F938="","",$I938+$J938+$K938)</f>
        <v/>
      </c>
      <c r="S938" s="769" t="str">
        <f>IF(OR($F938="",$P938="支払なし",$H938=0,$Q938=""),"",$Q938&amp;"|S|"&amp;(COUNTIF(S$4:S937,$Q938&amp;"|S|*")+1))</f>
        <v/>
      </c>
      <c r="T938" s="769" t="str">
        <f>IF(OR($F938="",$P938="支払なし",$R938=0,$Q938=""),"",$Q938&amp;"|L|"&amp;(COUNTIF(T$4:T937,$Q938&amp;"|L|*")+1))</f>
        <v/>
      </c>
      <c r="U938" s="769" t="str">
        <f>IF($F938="","",13)</f>
        <v/>
      </c>
    </row>
    <row r="939" ht="16.5" customHeight="1" s="186">
      <c r="A939" s="760" t="n"/>
      <c r="B939" s="760" t="n"/>
      <c r="C939" s="762" t="n"/>
      <c r="D939" s="762" t="n"/>
      <c r="E939" s="775" t="n"/>
      <c r="F939" s="821" t="n"/>
      <c r="G939" s="821" t="n"/>
      <c r="H939" s="818">
        <f>IF(G939=1,F939-I939-J939-K939,IF(G939=2,F939,0))</f>
        <v>0</v>
      </c>
      <c r="I939" s="818">
        <f>ROUND(IF(G939=1,F939*10/23,IF(G939=3,F939-J939-K939,IF(G939=4,F939,IF(G939=5,F939*10/11,IF(G939=7,F939*10/11,0))))),0)</f>
        <v>0</v>
      </c>
      <c r="J939" s="818">
        <f>ROUND(IF(G939=1,F939/23,IF(G939=3,F939/12,IF(G939=5,F939-I939,IF(G939=8,F939,0)))),0)</f>
        <v>0</v>
      </c>
      <c r="K939" s="819">
        <f>ROUND(IF(G939=1,F939/23,IF(G939=3,F939/12,IF(G939=6,F939,IF(G939=7,F939-I939,0)))),0)</f>
        <v>0</v>
      </c>
      <c r="L939" s="820">
        <f>IF(G939=6,F939,0)</f>
        <v>0</v>
      </c>
      <c r="P939" s="768" t="n"/>
      <c r="Q939" s="769" t="str">
        <f>IF($F939="","",IFERROR(VLOOKUP($C939&amp;"|"&amp;$D939,科目表!$A$5:$B$200,2,FALSE),"※未登録"))</f>
        <v/>
      </c>
      <c r="R939" s="769" t="str">
        <f>IF($F939="","",$I939+$J939+$K939)</f>
        <v/>
      </c>
      <c r="S939" s="769" t="str">
        <f>IF(OR($F939="",$P939="支払なし",$H939=0,$Q939=""),"",$Q939&amp;"|S|"&amp;(COUNTIF(S$4:S938,$Q939&amp;"|S|*")+1))</f>
        <v/>
      </c>
      <c r="T939" s="769" t="str">
        <f>IF(OR($F939="",$P939="支払なし",$R939=0,$Q939=""),"",$Q939&amp;"|L|"&amp;(COUNTIF(T$4:T938,$Q939&amp;"|L|*")+1))</f>
        <v/>
      </c>
      <c r="U939" s="769" t="str">
        <f>IF($F939="","",13)</f>
        <v/>
      </c>
    </row>
    <row r="940" ht="16.5" customHeight="1" s="186">
      <c r="A940" s="760" t="n"/>
      <c r="B940" s="760" t="n"/>
      <c r="C940" s="762" t="n"/>
      <c r="D940" s="762" t="n"/>
      <c r="E940" s="775" t="n"/>
      <c r="F940" s="821" t="n"/>
      <c r="G940" s="821" t="n"/>
      <c r="H940" s="818">
        <f>IF(G940=1,F940-I940-J940-K940,IF(G940=2,F940,0))</f>
        <v>0</v>
      </c>
      <c r="I940" s="818">
        <f>ROUND(IF(G940=1,F940*10/23,IF(G940=3,F940-J940-K940,IF(G940=4,F940,IF(G940=5,F940*10/11,IF(G940=7,F940*10/11,0))))),0)</f>
        <v>0</v>
      </c>
      <c r="J940" s="818">
        <f>ROUND(IF(G940=1,F940/23,IF(G940=3,F940/12,IF(G940=5,F940-I940,IF(G940=8,F940,0)))),0)</f>
        <v>0</v>
      </c>
      <c r="K940" s="819">
        <f>ROUND(IF(G940=1,F940/23,IF(G940=3,F940/12,IF(G940=6,F940,IF(G940=7,F940-I940,0)))),0)</f>
        <v>0</v>
      </c>
      <c r="L940" s="820">
        <f>IF(G940=6,F940,0)</f>
        <v>0</v>
      </c>
      <c r="P940" s="768" t="n"/>
      <c r="Q940" s="769" t="str">
        <f>IF($F940="","",IFERROR(VLOOKUP($C940&amp;"|"&amp;$D940,科目表!$A$5:$B$200,2,FALSE),"※未登録"))</f>
        <v/>
      </c>
      <c r="R940" s="769" t="str">
        <f>IF($F940="","",$I940+$J940+$K940)</f>
        <v/>
      </c>
      <c r="S940" s="769" t="str">
        <f>IF(OR($F940="",$P940="支払なし",$H940=0,$Q940=""),"",$Q940&amp;"|S|"&amp;(COUNTIF(S$4:S939,$Q940&amp;"|S|*")+1))</f>
        <v/>
      </c>
      <c r="T940" s="769" t="str">
        <f>IF(OR($F940="",$P940="支払なし",$R940=0,$Q940=""),"",$Q940&amp;"|L|"&amp;(COUNTIF(T$4:T939,$Q940&amp;"|L|*")+1))</f>
        <v/>
      </c>
      <c r="U940" s="769" t="str">
        <f>IF($F940="","",13)</f>
        <v/>
      </c>
    </row>
    <row r="941" ht="16.5" customHeight="1" s="186">
      <c r="A941" s="760" t="n"/>
      <c r="B941" s="760" t="n"/>
      <c r="C941" s="762" t="n"/>
      <c r="D941" s="762" t="n"/>
      <c r="E941" s="775" t="n"/>
      <c r="F941" s="821" t="n"/>
      <c r="G941" s="821" t="n"/>
      <c r="H941" s="818">
        <f>IF(G941=1,F941-I941-J941-K941,IF(G941=2,F941,0))</f>
        <v>0</v>
      </c>
      <c r="I941" s="818">
        <f>ROUND(IF(G941=1,F941*10/23,IF(G941=3,F941-J941-K941,IF(G941=4,F941,IF(G941=5,F941*10/11,IF(G941=7,F941*10/11,0))))),0)</f>
        <v>0</v>
      </c>
      <c r="J941" s="818">
        <f>ROUND(IF(G941=1,F941/23,IF(G941=3,F941/12,IF(G941=5,F941-I941,IF(G941=8,F941,0)))),0)</f>
        <v>0</v>
      </c>
      <c r="K941" s="819">
        <f>ROUND(IF(G941=1,F941/23,IF(G941=3,F941/12,IF(G941=6,F941,IF(G941=7,F941-I941,0)))),0)</f>
        <v>0</v>
      </c>
      <c r="L941" s="820">
        <f>IF(G941=6,F941,0)</f>
        <v>0</v>
      </c>
      <c r="P941" s="768" t="n"/>
      <c r="Q941" s="769" t="str">
        <f>IF($F941="","",IFERROR(VLOOKUP($C941&amp;"|"&amp;$D941,科目表!$A$5:$B$200,2,FALSE),"※未登録"))</f>
        <v/>
      </c>
      <c r="R941" s="769" t="str">
        <f>IF($F941="","",$I941+$J941+$K941)</f>
        <v/>
      </c>
      <c r="S941" s="769" t="str">
        <f>IF(OR($F941="",$P941="支払なし",$H941=0,$Q941=""),"",$Q941&amp;"|S|"&amp;(COUNTIF(S$4:S940,$Q941&amp;"|S|*")+1))</f>
        <v/>
      </c>
      <c r="T941" s="769" t="str">
        <f>IF(OR($F941="",$P941="支払なし",$R941=0,$Q941=""),"",$Q941&amp;"|L|"&amp;(COUNTIF(T$4:T940,$Q941&amp;"|L|*")+1))</f>
        <v/>
      </c>
      <c r="U941" s="769" t="str">
        <f>IF($F941="","",13)</f>
        <v/>
      </c>
    </row>
    <row r="942" ht="16.5" customHeight="1" s="186">
      <c r="A942" s="760" t="n"/>
      <c r="B942" s="760" t="n"/>
      <c r="C942" s="762" t="n"/>
      <c r="D942" s="762" t="n"/>
      <c r="E942" s="775" t="n"/>
      <c r="F942" s="821" t="n"/>
      <c r="G942" s="821" t="n"/>
      <c r="H942" s="818">
        <f>IF(G942=1,F942-I942-J942-K942,IF(G942=2,F942,0))</f>
        <v>0</v>
      </c>
      <c r="I942" s="818">
        <f>ROUND(IF(G942=1,F942*10/23,IF(G942=3,F942-J942-K942,IF(G942=4,F942,IF(G942=5,F942*10/11,IF(G942=7,F942*10/11,0))))),0)</f>
        <v>0</v>
      </c>
      <c r="J942" s="818">
        <f>ROUND(IF(G942=1,F942/23,IF(G942=3,F942/12,IF(G942=5,F942-I942,IF(G942=8,F942,0)))),0)</f>
        <v>0</v>
      </c>
      <c r="K942" s="819">
        <f>ROUND(IF(G942=1,F942/23,IF(G942=3,F942/12,IF(G942=6,F942,IF(G942=7,F942-I942,0)))),0)</f>
        <v>0</v>
      </c>
      <c r="L942" s="820">
        <f>IF(G942=6,F942,0)</f>
        <v>0</v>
      </c>
      <c r="P942" s="768" t="n"/>
      <c r="Q942" s="769" t="str">
        <f>IF($F942="","",IFERROR(VLOOKUP($C942&amp;"|"&amp;$D942,科目表!$A$5:$B$200,2,FALSE),"※未登録"))</f>
        <v/>
      </c>
      <c r="R942" s="769" t="str">
        <f>IF($F942="","",$I942+$J942+$K942)</f>
        <v/>
      </c>
      <c r="S942" s="769" t="str">
        <f>IF(OR($F942="",$P942="支払なし",$H942=0,$Q942=""),"",$Q942&amp;"|S|"&amp;(COUNTIF(S$4:S941,$Q942&amp;"|S|*")+1))</f>
        <v/>
      </c>
      <c r="T942" s="769" t="str">
        <f>IF(OR($F942="",$P942="支払なし",$R942=0,$Q942=""),"",$Q942&amp;"|L|"&amp;(COUNTIF(T$4:T941,$Q942&amp;"|L|*")+1))</f>
        <v/>
      </c>
      <c r="U942" s="769" t="str">
        <f>IF($F942="","",13)</f>
        <v/>
      </c>
    </row>
    <row r="943" ht="16.5" customHeight="1" s="186">
      <c r="A943" s="760" t="n"/>
      <c r="B943" s="760" t="n"/>
      <c r="C943" s="762" t="n"/>
      <c r="D943" s="762" t="n"/>
      <c r="E943" s="775" t="n"/>
      <c r="F943" s="821" t="n"/>
      <c r="G943" s="821" t="n"/>
      <c r="H943" s="818">
        <f>IF(G943=1,F943-I943-J943-K943,IF(G943=2,F943,0))</f>
        <v>0</v>
      </c>
      <c r="I943" s="818">
        <f>ROUND(IF(G943=1,F943*10/23,IF(G943=3,F943-J943-K943,IF(G943=4,F943,IF(G943=5,F943*10/11,IF(G943=7,F943*10/11,0))))),0)</f>
        <v>0</v>
      </c>
      <c r="J943" s="818">
        <f>ROUND(IF(G943=1,F943/23,IF(G943=3,F943/12,IF(G943=5,F943-I943,IF(G943=8,F943,0)))),0)</f>
        <v>0</v>
      </c>
      <c r="K943" s="819">
        <f>ROUND(IF(G943=1,F943/23,IF(G943=3,F943/12,IF(G943=6,F943,IF(G943=7,F943-I943,0)))),0)</f>
        <v>0</v>
      </c>
      <c r="L943" s="820">
        <f>IF(G943=6,F943,0)</f>
        <v>0</v>
      </c>
      <c r="P943" s="768" t="n"/>
      <c r="Q943" s="769" t="str">
        <f>IF($F943="","",IFERROR(VLOOKUP($C943&amp;"|"&amp;$D943,科目表!$A$5:$B$200,2,FALSE),"※未登録"))</f>
        <v/>
      </c>
      <c r="R943" s="769" t="str">
        <f>IF($F943="","",$I943+$J943+$K943)</f>
        <v/>
      </c>
      <c r="S943" s="769" t="str">
        <f>IF(OR($F943="",$P943="支払なし",$H943=0,$Q943=""),"",$Q943&amp;"|S|"&amp;(COUNTIF(S$4:S942,$Q943&amp;"|S|*")+1))</f>
        <v/>
      </c>
      <c r="T943" s="769" t="str">
        <f>IF(OR($F943="",$P943="支払なし",$R943=0,$Q943=""),"",$Q943&amp;"|L|"&amp;(COUNTIF(T$4:T942,$Q943&amp;"|L|*")+1))</f>
        <v/>
      </c>
      <c r="U943" s="769" t="str">
        <f>IF($F943="","",13)</f>
        <v/>
      </c>
    </row>
    <row r="944" ht="16.5" customHeight="1" s="186">
      <c r="A944" s="760" t="n"/>
      <c r="B944" s="760" t="n"/>
      <c r="C944" s="762" t="n"/>
      <c r="D944" s="762" t="n"/>
      <c r="E944" s="775" t="n"/>
      <c r="F944" s="821" t="n"/>
      <c r="G944" s="821" t="n"/>
      <c r="H944" s="818">
        <f>IF(G944=1,F944-I944-J944-K944,IF(G944=2,F944,0))</f>
        <v>0</v>
      </c>
      <c r="I944" s="818">
        <f>ROUND(IF(G944=1,F944*10/23,IF(G944=3,F944-J944-K944,IF(G944=4,F944,IF(G944=5,F944*10/11,IF(G944=7,F944*10/11,0))))),0)</f>
        <v>0</v>
      </c>
      <c r="J944" s="818">
        <f>ROUND(IF(G944=1,F944/23,IF(G944=3,F944/12,IF(G944=5,F944-I944,IF(G944=8,F944,0)))),0)</f>
        <v>0</v>
      </c>
      <c r="K944" s="819">
        <f>ROUND(IF(G944=1,F944/23,IF(G944=3,F944/12,IF(G944=6,F944,IF(G944=7,F944-I944,0)))),0)</f>
        <v>0</v>
      </c>
      <c r="L944" s="820">
        <f>IF(G944=6,F944,0)</f>
        <v>0</v>
      </c>
      <c r="P944" s="768" t="n"/>
      <c r="Q944" s="769" t="str">
        <f>IF($F944="","",IFERROR(VLOOKUP($C944&amp;"|"&amp;$D944,科目表!$A$5:$B$200,2,FALSE),"※未登録"))</f>
        <v/>
      </c>
      <c r="R944" s="769" t="str">
        <f>IF($F944="","",$I944+$J944+$K944)</f>
        <v/>
      </c>
      <c r="S944" s="769" t="str">
        <f>IF(OR($F944="",$P944="支払なし",$H944=0,$Q944=""),"",$Q944&amp;"|S|"&amp;(COUNTIF(S$4:S943,$Q944&amp;"|S|*")+1))</f>
        <v/>
      </c>
      <c r="T944" s="769" t="str">
        <f>IF(OR($F944="",$P944="支払なし",$R944=0,$Q944=""),"",$Q944&amp;"|L|"&amp;(COUNTIF(T$4:T943,$Q944&amp;"|L|*")+1))</f>
        <v/>
      </c>
      <c r="U944" s="769" t="str">
        <f>IF($F944="","",13)</f>
        <v/>
      </c>
    </row>
    <row r="945" ht="16.5" customHeight="1" s="186">
      <c r="A945" s="760" t="n"/>
      <c r="B945" s="760" t="n"/>
      <c r="C945" s="762" t="n"/>
      <c r="D945" s="762" t="n"/>
      <c r="E945" s="775" t="n"/>
      <c r="F945" s="821" t="n"/>
      <c r="G945" s="821" t="n"/>
      <c r="H945" s="818">
        <f>IF(G945=1,F945-I945-J945-K945,IF(G945=2,F945,0))</f>
        <v>0</v>
      </c>
      <c r="I945" s="818">
        <f>ROUND(IF(G945=1,F945*10/23,IF(G945=3,F945-J945-K945,IF(G945=4,F945,IF(G945=5,F945*10/11,IF(G945=7,F945*10/11,0))))),0)</f>
        <v>0</v>
      </c>
      <c r="J945" s="818">
        <f>ROUND(IF(G945=1,F945/23,IF(G945=3,F945/12,IF(G945=5,F945-I945,IF(G945=8,F945,0)))),0)</f>
        <v>0</v>
      </c>
      <c r="K945" s="819">
        <f>ROUND(IF(G945=1,F945/23,IF(G945=3,F945/12,IF(G945=6,F945,IF(G945=7,F945-I945,0)))),0)</f>
        <v>0</v>
      </c>
      <c r="L945" s="820">
        <f>IF(G945=6,F945,0)</f>
        <v>0</v>
      </c>
      <c r="P945" s="768" t="n"/>
      <c r="Q945" s="769" t="str">
        <f>IF($F945="","",IFERROR(VLOOKUP($C945&amp;"|"&amp;$D945,科目表!$A$5:$B$200,2,FALSE),"※未登録"))</f>
        <v/>
      </c>
      <c r="R945" s="769" t="str">
        <f>IF($F945="","",$I945+$J945+$K945)</f>
        <v/>
      </c>
      <c r="S945" s="769" t="str">
        <f>IF(OR($F945="",$P945="支払なし",$H945=0,$Q945=""),"",$Q945&amp;"|S|"&amp;(COUNTIF(S$4:S944,$Q945&amp;"|S|*")+1))</f>
        <v/>
      </c>
      <c r="T945" s="769" t="str">
        <f>IF(OR($F945="",$P945="支払なし",$R945=0,$Q945=""),"",$Q945&amp;"|L|"&amp;(COUNTIF(T$4:T944,$Q945&amp;"|L|*")+1))</f>
        <v/>
      </c>
      <c r="U945" s="769" t="str">
        <f>IF($F945="","",13)</f>
        <v/>
      </c>
    </row>
    <row r="946" ht="16.5" customHeight="1" s="186">
      <c r="A946" s="760" t="n"/>
      <c r="B946" s="760" t="n"/>
      <c r="C946" s="762" t="n"/>
      <c r="D946" s="762" t="n"/>
      <c r="E946" s="775" t="n"/>
      <c r="F946" s="821" t="n"/>
      <c r="G946" s="821" t="n"/>
      <c r="H946" s="818">
        <f>IF(G946=1,F946-I946-J946-K946,IF(G946=2,F946,0))</f>
        <v>0</v>
      </c>
      <c r="I946" s="818">
        <f>ROUND(IF(G946=1,F946*10/23,IF(G946=3,F946-J946-K946,IF(G946=4,F946,IF(G946=5,F946*10/11,IF(G946=7,F946*10/11,0))))),0)</f>
        <v>0</v>
      </c>
      <c r="J946" s="818">
        <f>ROUND(IF(G946=1,F946/23,IF(G946=3,F946/12,IF(G946=5,F946-I946,IF(G946=8,F946,0)))),0)</f>
        <v>0</v>
      </c>
      <c r="K946" s="819">
        <f>ROUND(IF(G946=1,F946/23,IF(G946=3,F946/12,IF(G946=6,F946,IF(G946=7,F946-I946,0)))),0)</f>
        <v>0</v>
      </c>
      <c r="L946" s="820">
        <f>IF(G946=6,F946,0)</f>
        <v>0</v>
      </c>
      <c r="P946" s="768" t="n"/>
      <c r="Q946" s="769" t="str">
        <f>IF($F946="","",IFERROR(VLOOKUP($C946&amp;"|"&amp;$D946,科目表!$A$5:$B$200,2,FALSE),"※未登録"))</f>
        <v/>
      </c>
      <c r="R946" s="769" t="str">
        <f>IF($F946="","",$I946+$J946+$K946)</f>
        <v/>
      </c>
      <c r="S946" s="769" t="str">
        <f>IF(OR($F946="",$P946="支払なし",$H946=0,$Q946=""),"",$Q946&amp;"|S|"&amp;(COUNTIF(S$4:S945,$Q946&amp;"|S|*")+1))</f>
        <v/>
      </c>
      <c r="T946" s="769" t="str">
        <f>IF(OR($F946="",$P946="支払なし",$R946=0,$Q946=""),"",$Q946&amp;"|L|"&amp;(COUNTIF(T$4:T945,$Q946&amp;"|L|*")+1))</f>
        <v/>
      </c>
      <c r="U946" s="769" t="str">
        <f>IF($F946="","",13)</f>
        <v/>
      </c>
    </row>
    <row r="947" ht="16.5" customHeight="1" s="186">
      <c r="A947" s="760" t="n"/>
      <c r="B947" s="760" t="n"/>
      <c r="C947" s="762" t="n"/>
      <c r="D947" s="762" t="n"/>
      <c r="E947" s="775" t="n"/>
      <c r="F947" s="821" t="n"/>
      <c r="G947" s="821" t="n"/>
      <c r="H947" s="818">
        <f>IF(G947=1,F947-I947-J947-K947,IF(G947=2,F947,0))</f>
        <v>0</v>
      </c>
      <c r="I947" s="818">
        <f>ROUND(IF(G947=1,F947*10/23,IF(G947=3,F947-J947-K947,IF(G947=4,F947,IF(G947=5,F947*10/11,IF(G947=7,F947*10/11,0))))),0)</f>
        <v>0</v>
      </c>
      <c r="J947" s="818">
        <f>ROUND(IF(G947=1,F947/23,IF(G947=3,F947/12,IF(G947=5,F947-I947,IF(G947=8,F947,0)))),0)</f>
        <v>0</v>
      </c>
      <c r="K947" s="819">
        <f>ROUND(IF(G947=1,F947/23,IF(G947=3,F947/12,IF(G947=6,F947,IF(G947=7,F947-I947,0)))),0)</f>
        <v>0</v>
      </c>
      <c r="L947" s="820">
        <f>IF(G947=6,F947,0)</f>
        <v>0</v>
      </c>
      <c r="P947" s="768" t="n"/>
      <c r="Q947" s="769" t="str">
        <f>IF($F947="","",IFERROR(VLOOKUP($C947&amp;"|"&amp;$D947,科目表!$A$5:$B$200,2,FALSE),"※未登録"))</f>
        <v/>
      </c>
      <c r="R947" s="769" t="str">
        <f>IF($F947="","",$I947+$J947+$K947)</f>
        <v/>
      </c>
      <c r="S947" s="769" t="str">
        <f>IF(OR($F947="",$P947="支払なし",$H947=0,$Q947=""),"",$Q947&amp;"|S|"&amp;(COUNTIF(S$4:S946,$Q947&amp;"|S|*")+1))</f>
        <v/>
      </c>
      <c r="T947" s="769" t="str">
        <f>IF(OR($F947="",$P947="支払なし",$R947=0,$Q947=""),"",$Q947&amp;"|L|"&amp;(COUNTIF(T$4:T946,$Q947&amp;"|L|*")+1))</f>
        <v/>
      </c>
      <c r="U947" s="769" t="str">
        <f>IF($F947="","",13)</f>
        <v/>
      </c>
    </row>
    <row r="948" ht="16.5" customHeight="1" s="186">
      <c r="A948" s="760" t="n"/>
      <c r="B948" s="760" t="n"/>
      <c r="C948" s="762" t="n"/>
      <c r="D948" s="762" t="n"/>
      <c r="E948" s="775" t="n"/>
      <c r="F948" s="821" t="n"/>
      <c r="G948" s="821" t="n"/>
      <c r="H948" s="818">
        <f>IF(G948=1,F948-I948-J948-K948,IF(G948=2,F948,0))</f>
        <v>0</v>
      </c>
      <c r="I948" s="818">
        <f>ROUND(IF(G948=1,F948*10/23,IF(G948=3,F948-J948-K948,IF(G948=4,F948,IF(G948=5,F948*10/11,IF(G948=7,F948*10/11,0))))),0)</f>
        <v>0</v>
      </c>
      <c r="J948" s="818">
        <f>ROUND(IF(G948=1,F948/23,IF(G948=3,F948/12,IF(G948=5,F948-I948,IF(G948=8,F948,0)))),0)</f>
        <v>0</v>
      </c>
      <c r="K948" s="819">
        <f>ROUND(IF(G948=1,F948/23,IF(G948=3,F948/12,IF(G948=6,F948,IF(G948=7,F948-I948,0)))),0)</f>
        <v>0</v>
      </c>
      <c r="L948" s="820">
        <f>IF(G948=6,F948,0)</f>
        <v>0</v>
      </c>
      <c r="P948" s="768" t="n"/>
      <c r="Q948" s="769" t="str">
        <f>IF($F948="","",IFERROR(VLOOKUP($C948&amp;"|"&amp;$D948,科目表!$A$5:$B$200,2,FALSE),"※未登録"))</f>
        <v/>
      </c>
      <c r="R948" s="769" t="str">
        <f>IF($F948="","",$I948+$J948+$K948)</f>
        <v/>
      </c>
      <c r="S948" s="769" t="str">
        <f>IF(OR($F948="",$P948="支払なし",$H948=0,$Q948=""),"",$Q948&amp;"|S|"&amp;(COUNTIF(S$4:S947,$Q948&amp;"|S|*")+1))</f>
        <v/>
      </c>
      <c r="T948" s="769" t="str">
        <f>IF(OR($F948="",$P948="支払なし",$R948=0,$Q948=""),"",$Q948&amp;"|L|"&amp;(COUNTIF(T$4:T947,$Q948&amp;"|L|*")+1))</f>
        <v/>
      </c>
      <c r="U948" s="769" t="str">
        <f>IF($F948="","",13)</f>
        <v/>
      </c>
    </row>
    <row r="949" ht="16.5" customHeight="1" s="186">
      <c r="A949" s="760" t="n"/>
      <c r="B949" s="760" t="n"/>
      <c r="C949" s="762" t="n"/>
      <c r="D949" s="762" t="n"/>
      <c r="E949" s="775" t="n"/>
      <c r="F949" s="821" t="n"/>
      <c r="G949" s="821" t="n"/>
      <c r="H949" s="818">
        <f>IF(G949=1,F949-I949-J949-K949,IF(G949=2,F949,0))</f>
        <v>0</v>
      </c>
      <c r="I949" s="818">
        <f>ROUND(IF(G949=1,F949*10/23,IF(G949=3,F949-J949-K949,IF(G949=4,F949,IF(G949=5,F949*10/11,IF(G949=7,F949*10/11,0))))),0)</f>
        <v>0</v>
      </c>
      <c r="J949" s="818">
        <f>ROUND(IF(G949=1,F949/23,IF(G949=3,F949/12,IF(G949=5,F949-I949,IF(G949=8,F949,0)))),0)</f>
        <v>0</v>
      </c>
      <c r="K949" s="819">
        <f>ROUND(IF(G949=1,F949/23,IF(G949=3,F949/12,IF(G949=6,F949,IF(G949=7,F949-I949,0)))),0)</f>
        <v>0</v>
      </c>
      <c r="L949" s="820">
        <f>IF(G949=6,F949,0)</f>
        <v>0</v>
      </c>
      <c r="P949" s="768" t="n"/>
      <c r="Q949" s="769" t="str">
        <f>IF($F949="","",IFERROR(VLOOKUP($C949&amp;"|"&amp;$D949,科目表!$A$5:$B$200,2,FALSE),"※未登録"))</f>
        <v/>
      </c>
      <c r="R949" s="769" t="str">
        <f>IF($F949="","",$I949+$J949+$K949)</f>
        <v/>
      </c>
      <c r="S949" s="769" t="str">
        <f>IF(OR($F949="",$P949="支払なし",$H949=0,$Q949=""),"",$Q949&amp;"|S|"&amp;(COUNTIF(S$4:S948,$Q949&amp;"|S|*")+1))</f>
        <v/>
      </c>
      <c r="T949" s="769" t="str">
        <f>IF(OR($F949="",$P949="支払なし",$R949=0,$Q949=""),"",$Q949&amp;"|L|"&amp;(COUNTIF(T$4:T948,$Q949&amp;"|L|*")+1))</f>
        <v/>
      </c>
      <c r="U949" s="769" t="str">
        <f>IF($F949="","",13)</f>
        <v/>
      </c>
    </row>
    <row r="950" ht="16.5" customHeight="1" s="186">
      <c r="A950" s="760" t="n"/>
      <c r="B950" s="760" t="n"/>
      <c r="C950" s="762" t="n"/>
      <c r="D950" s="762" t="n"/>
      <c r="E950" s="775" t="n"/>
      <c r="F950" s="821" t="n"/>
      <c r="G950" s="821" t="n"/>
      <c r="H950" s="818">
        <f>IF(G950=1,F950-I950-J950-K950,IF(G950=2,F950,0))</f>
        <v>0</v>
      </c>
      <c r="I950" s="818">
        <f>ROUND(IF(G950=1,F950*10/23,IF(G950=3,F950-J950-K950,IF(G950=4,F950,IF(G950=5,F950*10/11,IF(G950=7,F950*10/11,0))))),0)</f>
        <v>0</v>
      </c>
      <c r="J950" s="818">
        <f>ROUND(IF(G950=1,F950/23,IF(G950=3,F950/12,IF(G950=5,F950-I950,IF(G950=8,F950,0)))),0)</f>
        <v>0</v>
      </c>
      <c r="K950" s="819">
        <f>ROUND(IF(G950=1,F950/23,IF(G950=3,F950/12,IF(G950=6,F950,IF(G950=7,F950-I950,0)))),0)</f>
        <v>0</v>
      </c>
      <c r="L950" s="820">
        <f>IF(G950=6,F950,0)</f>
        <v>0</v>
      </c>
      <c r="P950" s="768" t="n"/>
      <c r="Q950" s="769" t="str">
        <f>IF($F950="","",IFERROR(VLOOKUP($C950&amp;"|"&amp;$D950,科目表!$A$5:$B$200,2,FALSE),"※未登録"))</f>
        <v/>
      </c>
      <c r="R950" s="769" t="str">
        <f>IF($F950="","",$I950+$J950+$K950)</f>
        <v/>
      </c>
      <c r="S950" s="769" t="str">
        <f>IF(OR($F950="",$P950="支払なし",$H950=0,$Q950=""),"",$Q950&amp;"|S|"&amp;(COUNTIF(S$4:S949,$Q950&amp;"|S|*")+1))</f>
        <v/>
      </c>
      <c r="T950" s="769" t="str">
        <f>IF(OR($F950="",$P950="支払なし",$R950=0,$Q950=""),"",$Q950&amp;"|L|"&amp;(COUNTIF(T$4:T949,$Q950&amp;"|L|*")+1))</f>
        <v/>
      </c>
      <c r="U950" s="769" t="str">
        <f>IF($F950="","",13)</f>
        <v/>
      </c>
    </row>
    <row r="951" ht="16.5" customHeight="1" s="186">
      <c r="A951" s="760" t="n"/>
      <c r="B951" s="760" t="n"/>
      <c r="C951" s="762" t="n"/>
      <c r="D951" s="762" t="n"/>
      <c r="E951" s="775" t="n"/>
      <c r="F951" s="821" t="n"/>
      <c r="G951" s="821" t="n"/>
      <c r="H951" s="818">
        <f>IF(G951=1,F951-I951-J951-K951,IF(G951=2,F951,0))</f>
        <v>0</v>
      </c>
      <c r="I951" s="818">
        <f>ROUND(IF(G951=1,F951*10/23,IF(G951=3,F951-J951-K951,IF(G951=4,F951,IF(G951=5,F951*10/11,IF(G951=7,F951*10/11,0))))),0)</f>
        <v>0</v>
      </c>
      <c r="J951" s="818">
        <f>ROUND(IF(G951=1,F951/23,IF(G951=3,F951/12,IF(G951=5,F951-I951,IF(G951=8,F951,0)))),0)</f>
        <v>0</v>
      </c>
      <c r="K951" s="819">
        <f>ROUND(IF(G951=1,F951/23,IF(G951=3,F951/12,IF(G951=6,F951,IF(G951=7,F951-I951,0)))),0)</f>
        <v>0</v>
      </c>
      <c r="L951" s="820">
        <f>IF(G951=6,F951,0)</f>
        <v>0</v>
      </c>
      <c r="P951" s="768" t="n"/>
      <c r="Q951" s="769" t="str">
        <f>IF($F951="","",IFERROR(VLOOKUP($C951&amp;"|"&amp;$D951,科目表!$A$5:$B$200,2,FALSE),"※未登録"))</f>
        <v/>
      </c>
      <c r="R951" s="769" t="str">
        <f>IF($F951="","",$I951+$J951+$K951)</f>
        <v/>
      </c>
      <c r="S951" s="769" t="str">
        <f>IF(OR($F951="",$P951="支払なし",$H951=0,$Q951=""),"",$Q951&amp;"|S|"&amp;(COUNTIF(S$4:S950,$Q951&amp;"|S|*")+1))</f>
        <v/>
      </c>
      <c r="T951" s="769" t="str">
        <f>IF(OR($F951="",$P951="支払なし",$R951=0,$Q951=""),"",$Q951&amp;"|L|"&amp;(COUNTIF(T$4:T950,$Q951&amp;"|L|*")+1))</f>
        <v/>
      </c>
      <c r="U951" s="769" t="str">
        <f>IF($F951="","",13)</f>
        <v/>
      </c>
    </row>
    <row r="952" ht="16.5" customHeight="1" s="186">
      <c r="A952" s="760" t="n"/>
      <c r="B952" s="760" t="n"/>
      <c r="C952" s="762" t="n"/>
      <c r="D952" s="762" t="n"/>
      <c r="E952" s="775" t="n"/>
      <c r="F952" s="821" t="n"/>
      <c r="G952" s="821" t="n"/>
      <c r="H952" s="818">
        <f>IF(G952=1,F952-I952-J952-K952,IF(G952=2,F952,0))</f>
        <v>0</v>
      </c>
      <c r="I952" s="818">
        <f>ROUND(IF(G952=1,F952*10/23,IF(G952=3,F952-J952-K952,IF(G952=4,F952,IF(G952=5,F952*10/11,IF(G952=7,F952*10/11,0))))),0)</f>
        <v>0</v>
      </c>
      <c r="J952" s="818">
        <f>ROUND(IF(G952=1,F952/23,IF(G952=3,F952/12,IF(G952=5,F952-I952,IF(G952=8,F952,0)))),0)</f>
        <v>0</v>
      </c>
      <c r="K952" s="819">
        <f>ROUND(IF(G952=1,F952/23,IF(G952=3,F952/12,IF(G952=6,F952,IF(G952=7,F952-I952,0)))),0)</f>
        <v>0</v>
      </c>
      <c r="L952" s="820">
        <f>IF(G952=6,F952,0)</f>
        <v>0</v>
      </c>
      <c r="P952" s="768" t="n"/>
      <c r="Q952" s="769" t="str">
        <f>IF($F952="","",IFERROR(VLOOKUP($C952&amp;"|"&amp;$D952,科目表!$A$5:$B$200,2,FALSE),"※未登録"))</f>
        <v/>
      </c>
      <c r="R952" s="769" t="str">
        <f>IF($F952="","",$I952+$J952+$K952)</f>
        <v/>
      </c>
      <c r="S952" s="769" t="str">
        <f>IF(OR($F952="",$P952="支払なし",$H952=0,$Q952=""),"",$Q952&amp;"|S|"&amp;(COUNTIF(S$4:S951,$Q952&amp;"|S|*")+1))</f>
        <v/>
      </c>
      <c r="T952" s="769" t="str">
        <f>IF(OR($F952="",$P952="支払なし",$R952=0,$Q952=""),"",$Q952&amp;"|L|"&amp;(COUNTIF(T$4:T951,$Q952&amp;"|L|*")+1))</f>
        <v/>
      </c>
      <c r="U952" s="769" t="str">
        <f>IF($F952="","",13)</f>
        <v/>
      </c>
    </row>
    <row r="953" ht="16.5" customHeight="1" s="186">
      <c r="A953" s="760" t="n"/>
      <c r="B953" s="760" t="n"/>
      <c r="C953" s="762" t="n"/>
      <c r="D953" s="762" t="n"/>
      <c r="E953" s="775" t="n"/>
      <c r="F953" s="821" t="n"/>
      <c r="G953" s="821" t="n"/>
      <c r="H953" s="818">
        <f>IF(G953=1,F953-I953-J953-K953,IF(G953=2,F953,0))</f>
        <v>0</v>
      </c>
      <c r="I953" s="818">
        <f>ROUND(IF(G953=1,F953*10/23,IF(G953=3,F953-J953-K953,IF(G953=4,F953,IF(G953=5,F953*10/11,IF(G953=7,F953*10/11,0))))),0)</f>
        <v>0</v>
      </c>
      <c r="J953" s="818">
        <f>ROUND(IF(G953=1,F953/23,IF(G953=3,F953/12,IF(G953=5,F953-I953,IF(G953=8,F953,0)))),0)</f>
        <v>0</v>
      </c>
      <c r="K953" s="819">
        <f>ROUND(IF(G953=1,F953/23,IF(G953=3,F953/12,IF(G953=6,F953,IF(G953=7,F953-I953,0)))),0)</f>
        <v>0</v>
      </c>
      <c r="L953" s="820">
        <f>IF(G953=6,F953,0)</f>
        <v>0</v>
      </c>
      <c r="P953" s="768" t="n"/>
      <c r="Q953" s="769" t="str">
        <f>IF($F953="","",IFERROR(VLOOKUP($C953&amp;"|"&amp;$D953,科目表!$A$5:$B$200,2,FALSE),"※未登録"))</f>
        <v/>
      </c>
      <c r="R953" s="769" t="str">
        <f>IF($F953="","",$I953+$J953+$K953)</f>
        <v/>
      </c>
      <c r="S953" s="769" t="str">
        <f>IF(OR($F953="",$P953="支払なし",$H953=0,$Q953=""),"",$Q953&amp;"|S|"&amp;(COUNTIF(S$4:S952,$Q953&amp;"|S|*")+1))</f>
        <v/>
      </c>
      <c r="T953" s="769" t="str">
        <f>IF(OR($F953="",$P953="支払なし",$R953=0,$Q953=""),"",$Q953&amp;"|L|"&amp;(COUNTIF(T$4:T952,$Q953&amp;"|L|*")+1))</f>
        <v/>
      </c>
      <c r="U953" s="769" t="str">
        <f>IF($F953="","",13)</f>
        <v/>
      </c>
    </row>
    <row r="954" ht="16.5" customHeight="1" s="186">
      <c r="A954" s="760" t="n"/>
      <c r="B954" s="760" t="n"/>
      <c r="C954" s="762" t="n"/>
      <c r="D954" s="762" t="n"/>
      <c r="E954" s="775" t="n"/>
      <c r="F954" s="821" t="n"/>
      <c r="G954" s="821" t="n"/>
      <c r="H954" s="818">
        <f>IF(G954=1,F954-I954-J954-K954,IF(G954=2,F954,0))</f>
        <v>0</v>
      </c>
      <c r="I954" s="818">
        <f>ROUND(IF(G954=1,F954*10/23,IF(G954=3,F954-J954-K954,IF(G954=4,F954,IF(G954=5,F954*10/11,IF(G954=7,F954*10/11,0))))),0)</f>
        <v>0</v>
      </c>
      <c r="J954" s="818">
        <f>ROUND(IF(G954=1,F954/23,IF(G954=3,F954/12,IF(G954=5,F954-I954,IF(G954=8,F954,0)))),0)</f>
        <v>0</v>
      </c>
      <c r="K954" s="819">
        <f>ROUND(IF(G954=1,F954/23,IF(G954=3,F954/12,IF(G954=6,F954,IF(G954=7,F954-I954,0)))),0)</f>
        <v>0</v>
      </c>
      <c r="L954" s="820">
        <f>IF(G954=6,F954,0)</f>
        <v>0</v>
      </c>
      <c r="P954" s="768" t="n"/>
      <c r="Q954" s="769" t="str">
        <f>IF($F954="","",IFERROR(VLOOKUP($C954&amp;"|"&amp;$D954,科目表!$A$5:$B$200,2,FALSE),"※未登録"))</f>
        <v/>
      </c>
      <c r="R954" s="769" t="str">
        <f>IF($F954="","",$I954+$J954+$K954)</f>
        <v/>
      </c>
      <c r="S954" s="769" t="str">
        <f>IF(OR($F954="",$P954="支払なし",$H954=0,$Q954=""),"",$Q954&amp;"|S|"&amp;(COUNTIF(S$4:S953,$Q954&amp;"|S|*")+1))</f>
        <v/>
      </c>
      <c r="T954" s="769" t="str">
        <f>IF(OR($F954="",$P954="支払なし",$R954=0,$Q954=""),"",$Q954&amp;"|L|"&amp;(COUNTIF(T$4:T953,$Q954&amp;"|L|*")+1))</f>
        <v/>
      </c>
      <c r="U954" s="769" t="str">
        <f>IF($F954="","",13)</f>
        <v/>
      </c>
    </row>
    <row r="955" ht="16.5" customHeight="1" s="186">
      <c r="A955" s="760" t="n"/>
      <c r="B955" s="760" t="n"/>
      <c r="C955" s="762" t="n"/>
      <c r="D955" s="762" t="n"/>
      <c r="E955" s="775" t="n"/>
      <c r="F955" s="821" t="n"/>
      <c r="G955" s="821" t="n"/>
      <c r="H955" s="818">
        <f>IF(G955=1,F955-I955-J955-K955,IF(G955=2,F955,0))</f>
        <v>0</v>
      </c>
      <c r="I955" s="818">
        <f>ROUND(IF(G955=1,F955*10/23,IF(G955=3,F955-J955-K955,IF(G955=4,F955,IF(G955=5,F955*10/11,IF(G955=7,F955*10/11,0))))),0)</f>
        <v>0</v>
      </c>
      <c r="J955" s="818">
        <f>ROUND(IF(G955=1,F955/23,IF(G955=3,F955/12,IF(G955=5,F955-I955,IF(G955=8,F955,0)))),0)</f>
        <v>0</v>
      </c>
      <c r="K955" s="819">
        <f>ROUND(IF(G955=1,F955/23,IF(G955=3,F955/12,IF(G955=6,F955,IF(G955=7,F955-I955,0)))),0)</f>
        <v>0</v>
      </c>
      <c r="L955" s="820">
        <f>IF(G955=6,F955,0)</f>
        <v>0</v>
      </c>
      <c r="P955" s="768" t="n"/>
      <c r="Q955" s="769" t="str">
        <f>IF($F955="","",IFERROR(VLOOKUP($C955&amp;"|"&amp;$D955,科目表!$A$5:$B$200,2,FALSE),"※未登録"))</f>
        <v/>
      </c>
      <c r="R955" s="769" t="str">
        <f>IF($F955="","",$I955+$J955+$K955)</f>
        <v/>
      </c>
      <c r="S955" s="769" t="str">
        <f>IF(OR($F955="",$P955="支払なし",$H955=0,$Q955=""),"",$Q955&amp;"|S|"&amp;(COUNTIF(S$4:S954,$Q955&amp;"|S|*")+1))</f>
        <v/>
      </c>
      <c r="T955" s="769" t="str">
        <f>IF(OR($F955="",$P955="支払なし",$R955=0,$Q955=""),"",$Q955&amp;"|L|"&amp;(COUNTIF(T$4:T954,$Q955&amp;"|L|*")+1))</f>
        <v/>
      </c>
      <c r="U955" s="769" t="str">
        <f>IF($F955="","",13)</f>
        <v/>
      </c>
    </row>
    <row r="956" ht="16.5" customHeight="1" s="186">
      <c r="A956" s="760" t="n"/>
      <c r="B956" s="760" t="n"/>
      <c r="C956" s="762" t="n"/>
      <c r="D956" s="762" t="n"/>
      <c r="E956" s="775" t="n"/>
      <c r="F956" s="821" t="n"/>
      <c r="G956" s="821" t="n"/>
      <c r="H956" s="818">
        <f>IF(G956=1,F956-I956-J956-K956,IF(G956=2,F956,0))</f>
        <v>0</v>
      </c>
      <c r="I956" s="818">
        <f>ROUND(IF(G956=1,F956*10/23,IF(G956=3,F956-J956-K956,IF(G956=4,F956,IF(G956=5,F956*10/11,IF(G956=7,F956*10/11,0))))),0)</f>
        <v>0</v>
      </c>
      <c r="J956" s="818">
        <f>ROUND(IF(G956=1,F956/23,IF(G956=3,F956/12,IF(G956=5,F956-I956,IF(G956=8,F956,0)))),0)</f>
        <v>0</v>
      </c>
      <c r="K956" s="819">
        <f>ROUND(IF(G956=1,F956/23,IF(G956=3,F956/12,IF(G956=6,F956,IF(G956=7,F956-I956,0)))),0)</f>
        <v>0</v>
      </c>
      <c r="L956" s="820">
        <f>IF(G956=6,F956,0)</f>
        <v>0</v>
      </c>
      <c r="P956" s="768" t="n"/>
      <c r="Q956" s="769" t="str">
        <f>IF($F956="","",IFERROR(VLOOKUP($C956&amp;"|"&amp;$D956,科目表!$A$5:$B$200,2,FALSE),"※未登録"))</f>
        <v/>
      </c>
      <c r="R956" s="769" t="str">
        <f>IF($F956="","",$I956+$J956+$K956)</f>
        <v/>
      </c>
      <c r="S956" s="769" t="str">
        <f>IF(OR($F956="",$P956="支払なし",$H956=0,$Q956=""),"",$Q956&amp;"|S|"&amp;(COUNTIF(S$4:S955,$Q956&amp;"|S|*")+1))</f>
        <v/>
      </c>
      <c r="T956" s="769" t="str">
        <f>IF(OR($F956="",$P956="支払なし",$R956=0,$Q956=""),"",$Q956&amp;"|L|"&amp;(COUNTIF(T$4:T955,$Q956&amp;"|L|*")+1))</f>
        <v/>
      </c>
      <c r="U956" s="769" t="str">
        <f>IF($F956="","",13)</f>
        <v/>
      </c>
    </row>
    <row r="957" ht="16.5" customHeight="1" s="186">
      <c r="A957" s="760" t="n"/>
      <c r="B957" s="760" t="n"/>
      <c r="C957" s="762" t="n"/>
      <c r="D957" s="762" t="n"/>
      <c r="E957" s="775" t="n"/>
      <c r="F957" s="821" t="n"/>
      <c r="G957" s="821" t="n"/>
      <c r="H957" s="818">
        <f>IF(G957=1,F957-I957-J957-K957,IF(G957=2,F957,0))</f>
        <v>0</v>
      </c>
      <c r="I957" s="818">
        <f>ROUND(IF(G957=1,F957*10/23,IF(G957=3,F957-J957-K957,IF(G957=4,F957,IF(G957=5,F957*10/11,IF(G957=7,F957*10/11,0))))),0)</f>
        <v>0</v>
      </c>
      <c r="J957" s="818">
        <f>ROUND(IF(G957=1,F957/23,IF(G957=3,F957/12,IF(G957=5,F957-I957,IF(G957=8,F957,0)))),0)</f>
        <v>0</v>
      </c>
      <c r="K957" s="819">
        <f>ROUND(IF(G957=1,F957/23,IF(G957=3,F957/12,IF(G957=6,F957,IF(G957=7,F957-I957,0)))),0)</f>
        <v>0</v>
      </c>
      <c r="L957" s="820">
        <f>IF(G957=6,F957,0)</f>
        <v>0</v>
      </c>
      <c r="P957" s="768" t="n"/>
      <c r="Q957" s="769" t="str">
        <f>IF($F957="","",IFERROR(VLOOKUP($C957&amp;"|"&amp;$D957,科目表!$A$5:$B$200,2,FALSE),"※未登録"))</f>
        <v/>
      </c>
      <c r="R957" s="769" t="str">
        <f>IF($F957="","",$I957+$J957+$K957)</f>
        <v/>
      </c>
      <c r="S957" s="769" t="str">
        <f>IF(OR($F957="",$P957="支払なし",$H957=0,$Q957=""),"",$Q957&amp;"|S|"&amp;(COUNTIF(S$4:S956,$Q957&amp;"|S|*")+1))</f>
        <v/>
      </c>
      <c r="T957" s="769" t="str">
        <f>IF(OR($F957="",$P957="支払なし",$R957=0,$Q957=""),"",$Q957&amp;"|L|"&amp;(COUNTIF(T$4:T956,$Q957&amp;"|L|*")+1))</f>
        <v/>
      </c>
      <c r="U957" s="769" t="str">
        <f>IF($F957="","",13)</f>
        <v/>
      </c>
    </row>
    <row r="958" ht="16.5" customHeight="1" s="186">
      <c r="A958" s="760" t="n"/>
      <c r="B958" s="760" t="n"/>
      <c r="C958" s="762" t="n"/>
      <c r="D958" s="762" t="n"/>
      <c r="E958" s="775" t="n"/>
      <c r="F958" s="821" t="n"/>
      <c r="G958" s="821" t="n"/>
      <c r="H958" s="818">
        <f>IF(G958=1,F958-I958-J958-K958,IF(G958=2,F958,0))</f>
        <v>0</v>
      </c>
      <c r="I958" s="818">
        <f>ROUND(IF(G958=1,F958*10/23,IF(G958=3,F958-J958-K958,IF(G958=4,F958,IF(G958=5,F958*10/11,IF(G958=7,F958*10/11,0))))),0)</f>
        <v>0</v>
      </c>
      <c r="J958" s="818">
        <f>ROUND(IF(G958=1,F958/23,IF(G958=3,F958/12,IF(G958=5,F958-I958,IF(G958=8,F958,0)))),0)</f>
        <v>0</v>
      </c>
      <c r="K958" s="819">
        <f>ROUND(IF(G958=1,F958/23,IF(G958=3,F958/12,IF(G958=6,F958,IF(G958=7,F958-I958,0)))),0)</f>
        <v>0</v>
      </c>
      <c r="L958" s="820">
        <f>IF(G958=6,F958,0)</f>
        <v>0</v>
      </c>
      <c r="P958" s="768" t="n"/>
      <c r="Q958" s="769" t="str">
        <f>IF($F958="","",IFERROR(VLOOKUP($C958&amp;"|"&amp;$D958,科目表!$A$5:$B$200,2,FALSE),"※未登録"))</f>
        <v/>
      </c>
      <c r="R958" s="769" t="str">
        <f>IF($F958="","",$I958+$J958+$K958)</f>
        <v/>
      </c>
      <c r="S958" s="769" t="str">
        <f>IF(OR($F958="",$P958="支払なし",$H958=0,$Q958=""),"",$Q958&amp;"|S|"&amp;(COUNTIF(S$4:S957,$Q958&amp;"|S|*")+1))</f>
        <v/>
      </c>
      <c r="T958" s="769" t="str">
        <f>IF(OR($F958="",$P958="支払なし",$R958=0,$Q958=""),"",$Q958&amp;"|L|"&amp;(COUNTIF(T$4:T957,$Q958&amp;"|L|*")+1))</f>
        <v/>
      </c>
      <c r="U958" s="769" t="str">
        <f>IF($F958="","",13)</f>
        <v/>
      </c>
    </row>
    <row r="959" ht="16.5" customHeight="1" s="186">
      <c r="A959" s="760" t="n"/>
      <c r="B959" s="760" t="n"/>
      <c r="C959" s="762" t="n"/>
      <c r="D959" s="762" t="n"/>
      <c r="E959" s="775" t="n"/>
      <c r="F959" s="821" t="n"/>
      <c r="G959" s="821" t="n"/>
      <c r="H959" s="818">
        <f>IF(G959=1,F959-I959-J959-K959,IF(G959=2,F959,0))</f>
        <v>0</v>
      </c>
      <c r="I959" s="818">
        <f>ROUND(IF(G959=1,F959*10/23,IF(G959=3,F959-J959-K959,IF(G959=4,F959,IF(G959=5,F959*10/11,IF(G959=7,F959*10/11,0))))),0)</f>
        <v>0</v>
      </c>
      <c r="J959" s="818">
        <f>ROUND(IF(G959=1,F959/23,IF(G959=3,F959/12,IF(G959=5,F959-I959,IF(G959=8,F959,0)))),0)</f>
        <v>0</v>
      </c>
      <c r="K959" s="819">
        <f>ROUND(IF(G959=1,F959/23,IF(G959=3,F959/12,IF(G959=6,F959,IF(G959=7,F959-I959,0)))),0)</f>
        <v>0</v>
      </c>
      <c r="L959" s="820">
        <f>IF(G959=6,F959,0)</f>
        <v>0</v>
      </c>
      <c r="P959" s="768" t="n"/>
      <c r="Q959" s="769" t="str">
        <f>IF($F959="","",IFERROR(VLOOKUP($C959&amp;"|"&amp;$D959,科目表!$A$5:$B$200,2,FALSE),"※未登録"))</f>
        <v/>
      </c>
      <c r="R959" s="769" t="str">
        <f>IF($F959="","",$I959+$J959+$K959)</f>
        <v/>
      </c>
      <c r="S959" s="769" t="str">
        <f>IF(OR($F959="",$P959="支払なし",$H959=0,$Q959=""),"",$Q959&amp;"|S|"&amp;(COUNTIF(S$4:S958,$Q959&amp;"|S|*")+1))</f>
        <v/>
      </c>
      <c r="T959" s="769" t="str">
        <f>IF(OR($F959="",$P959="支払なし",$R959=0,$Q959=""),"",$Q959&amp;"|L|"&amp;(COUNTIF(T$4:T958,$Q959&amp;"|L|*")+1))</f>
        <v/>
      </c>
      <c r="U959" s="769" t="str">
        <f>IF($F959="","",13)</f>
        <v/>
      </c>
    </row>
    <row r="960" ht="16.5" customHeight="1" s="186">
      <c r="A960" s="760" t="n"/>
      <c r="B960" s="760" t="n"/>
      <c r="C960" s="762" t="n"/>
      <c r="D960" s="762" t="n"/>
      <c r="E960" s="775" t="n"/>
      <c r="F960" s="821" t="n"/>
      <c r="G960" s="821" t="n"/>
      <c r="H960" s="818">
        <f>IF(G960=1,F960-I960-J960-K960,IF(G960=2,F960,0))</f>
        <v>0</v>
      </c>
      <c r="I960" s="818">
        <f>ROUND(IF(G960=1,F960*10/23,IF(G960=3,F960-J960-K960,IF(G960=4,F960,IF(G960=5,F960*10/11,IF(G960=7,F960*10/11,0))))),0)</f>
        <v>0</v>
      </c>
      <c r="J960" s="818">
        <f>ROUND(IF(G960=1,F960/23,IF(G960=3,F960/12,IF(G960=5,F960-I960,IF(G960=8,F960,0)))),0)</f>
        <v>0</v>
      </c>
      <c r="K960" s="819">
        <f>ROUND(IF(G960=1,F960/23,IF(G960=3,F960/12,IF(G960=6,F960,IF(G960=7,F960-I960,0)))),0)</f>
        <v>0</v>
      </c>
      <c r="L960" s="820">
        <f>IF(G960=6,F960,0)</f>
        <v>0</v>
      </c>
      <c r="P960" s="768" t="n"/>
      <c r="Q960" s="769" t="str">
        <f>IF($F960="","",IFERROR(VLOOKUP($C960&amp;"|"&amp;$D960,科目表!$A$5:$B$200,2,FALSE),"※未登録"))</f>
        <v/>
      </c>
      <c r="R960" s="769" t="str">
        <f>IF($F960="","",$I960+$J960+$K960)</f>
        <v/>
      </c>
      <c r="S960" s="769" t="str">
        <f>IF(OR($F960="",$P960="支払なし",$H960=0,$Q960=""),"",$Q960&amp;"|S|"&amp;(COUNTIF(S$4:S959,$Q960&amp;"|S|*")+1))</f>
        <v/>
      </c>
      <c r="T960" s="769" t="str">
        <f>IF(OR($F960="",$P960="支払なし",$R960=0,$Q960=""),"",$Q960&amp;"|L|"&amp;(COUNTIF(T$4:T959,$Q960&amp;"|L|*")+1))</f>
        <v/>
      </c>
      <c r="U960" s="769" t="str">
        <f>IF($F960="","",13)</f>
        <v/>
      </c>
    </row>
    <row r="961" ht="16.5" customHeight="1" s="186">
      <c r="A961" s="760" t="n"/>
      <c r="B961" s="760" t="n"/>
      <c r="C961" s="762" t="n"/>
      <c r="D961" s="762" t="n"/>
      <c r="E961" s="775" t="n"/>
      <c r="F961" s="821" t="n"/>
      <c r="G961" s="821" t="n"/>
      <c r="H961" s="818">
        <f>IF(G961=1,F961-I961-J961-K961,IF(G961=2,F961,0))</f>
        <v>0</v>
      </c>
      <c r="I961" s="818">
        <f>ROUND(IF(G961=1,F961*10/23,IF(G961=3,F961-J961-K961,IF(G961=4,F961,IF(G961=5,F961*10/11,IF(G961=7,F961*10/11,0))))),0)</f>
        <v>0</v>
      </c>
      <c r="J961" s="818">
        <f>ROUND(IF(G961=1,F961/23,IF(G961=3,F961/12,IF(G961=5,F961-I961,IF(G961=8,F961,0)))),0)</f>
        <v>0</v>
      </c>
      <c r="K961" s="819">
        <f>ROUND(IF(G961=1,F961/23,IF(G961=3,F961/12,IF(G961=6,F961,IF(G961=7,F961-I961,0)))),0)</f>
        <v>0</v>
      </c>
      <c r="L961" s="820">
        <f>IF(G961=6,F961,0)</f>
        <v>0</v>
      </c>
      <c r="P961" s="768" t="n"/>
      <c r="Q961" s="769" t="str">
        <f>IF($F961="","",IFERROR(VLOOKUP($C961&amp;"|"&amp;$D961,科目表!$A$5:$B$200,2,FALSE),"※未登録"))</f>
        <v/>
      </c>
      <c r="R961" s="769" t="str">
        <f>IF($F961="","",$I961+$J961+$K961)</f>
        <v/>
      </c>
      <c r="S961" s="769" t="str">
        <f>IF(OR($F961="",$P961="支払なし",$H961=0,$Q961=""),"",$Q961&amp;"|S|"&amp;(COUNTIF(S$4:S960,$Q961&amp;"|S|*")+1))</f>
        <v/>
      </c>
      <c r="T961" s="769" t="str">
        <f>IF(OR($F961="",$P961="支払なし",$R961=0,$Q961=""),"",$Q961&amp;"|L|"&amp;(COUNTIF(T$4:T960,$Q961&amp;"|L|*")+1))</f>
        <v/>
      </c>
      <c r="U961" s="769" t="str">
        <f>IF($F961="","",13)</f>
        <v/>
      </c>
    </row>
    <row r="962" ht="16.5" customHeight="1" s="186">
      <c r="A962" s="760" t="n"/>
      <c r="B962" s="760" t="n"/>
      <c r="C962" s="762" t="n"/>
      <c r="D962" s="762" t="n"/>
      <c r="E962" s="775" t="n"/>
      <c r="F962" s="821" t="n"/>
      <c r="G962" s="821" t="n"/>
      <c r="H962" s="818">
        <f>IF(G962=1,F962-I962-J962-K962,IF(G962=2,F962,0))</f>
        <v>0</v>
      </c>
      <c r="I962" s="818">
        <f>ROUND(IF(G962=1,F962*10/23,IF(G962=3,F962-J962-K962,IF(G962=4,F962,IF(G962=5,F962*10/11,IF(G962=7,F962*10/11,0))))),0)</f>
        <v>0</v>
      </c>
      <c r="J962" s="818">
        <f>ROUND(IF(G962=1,F962/23,IF(G962=3,F962/12,IF(G962=5,F962-I962,IF(G962=8,F962,0)))),0)</f>
        <v>0</v>
      </c>
      <c r="K962" s="819">
        <f>ROUND(IF(G962=1,F962/23,IF(G962=3,F962/12,IF(G962=6,F962,IF(G962=7,F962-I962,0)))),0)</f>
        <v>0</v>
      </c>
      <c r="L962" s="820">
        <f>IF(G962=6,F962,0)</f>
        <v>0</v>
      </c>
      <c r="P962" s="768" t="n"/>
      <c r="Q962" s="769" t="str">
        <f>IF($F962="","",IFERROR(VLOOKUP($C962&amp;"|"&amp;$D962,科目表!$A$5:$B$200,2,FALSE),"※未登録"))</f>
        <v/>
      </c>
      <c r="R962" s="769" t="str">
        <f>IF($F962="","",$I962+$J962+$K962)</f>
        <v/>
      </c>
      <c r="S962" s="769" t="str">
        <f>IF(OR($F962="",$P962="支払なし",$H962=0,$Q962=""),"",$Q962&amp;"|S|"&amp;(COUNTIF(S$4:S961,$Q962&amp;"|S|*")+1))</f>
        <v/>
      </c>
      <c r="T962" s="769" t="str">
        <f>IF(OR($F962="",$P962="支払なし",$R962=0,$Q962=""),"",$Q962&amp;"|L|"&amp;(COUNTIF(T$4:T961,$Q962&amp;"|L|*")+1))</f>
        <v/>
      </c>
      <c r="U962" s="769" t="str">
        <f>IF($F962="","",13)</f>
        <v/>
      </c>
    </row>
    <row r="963" ht="16.5" customHeight="1" s="186">
      <c r="A963" s="760" t="n"/>
      <c r="B963" s="760" t="n"/>
      <c r="C963" s="762" t="n"/>
      <c r="D963" s="762" t="n"/>
      <c r="E963" s="775" t="n"/>
      <c r="F963" s="821" t="n"/>
      <c r="G963" s="821" t="n"/>
      <c r="H963" s="818">
        <f>IF(G963=1,F963-I963-J963-K963,IF(G963=2,F963,0))</f>
        <v>0</v>
      </c>
      <c r="I963" s="818">
        <f>ROUND(IF(G963=1,F963*10/23,IF(G963=3,F963-J963-K963,IF(G963=4,F963,IF(G963=5,F963*10/11,IF(G963=7,F963*10/11,0))))),0)</f>
        <v>0</v>
      </c>
      <c r="J963" s="818">
        <f>ROUND(IF(G963=1,F963/23,IF(G963=3,F963/12,IF(G963=5,F963-I963,IF(G963=8,F963,0)))),0)</f>
        <v>0</v>
      </c>
      <c r="K963" s="819">
        <f>ROUND(IF(G963=1,F963/23,IF(G963=3,F963/12,IF(G963=6,F963,IF(G963=7,F963-I963,0)))),0)</f>
        <v>0</v>
      </c>
      <c r="L963" s="820">
        <f>IF(G963=6,F963,0)</f>
        <v>0</v>
      </c>
      <c r="P963" s="768" t="n"/>
      <c r="Q963" s="769" t="str">
        <f>IF($F963="","",IFERROR(VLOOKUP($C963&amp;"|"&amp;$D963,科目表!$A$5:$B$200,2,FALSE),"※未登録"))</f>
        <v/>
      </c>
      <c r="R963" s="769" t="str">
        <f>IF($F963="","",$I963+$J963+$K963)</f>
        <v/>
      </c>
      <c r="S963" s="769" t="str">
        <f>IF(OR($F963="",$P963="支払なし",$H963=0,$Q963=""),"",$Q963&amp;"|S|"&amp;(COUNTIF(S$4:S962,$Q963&amp;"|S|*")+1))</f>
        <v/>
      </c>
      <c r="T963" s="769" t="str">
        <f>IF(OR($F963="",$P963="支払なし",$R963=0,$Q963=""),"",$Q963&amp;"|L|"&amp;(COUNTIF(T$4:T962,$Q963&amp;"|L|*")+1))</f>
        <v/>
      </c>
      <c r="U963" s="769" t="str">
        <f>IF($F963="","",13)</f>
        <v/>
      </c>
    </row>
    <row r="964" ht="16.5" customHeight="1" s="186">
      <c r="A964" s="760" t="n"/>
      <c r="B964" s="760" t="n"/>
      <c r="C964" s="762" t="n"/>
      <c r="D964" s="762" t="n"/>
      <c r="E964" s="775" t="n"/>
      <c r="F964" s="821" t="n"/>
      <c r="G964" s="821" t="n"/>
      <c r="H964" s="818">
        <f>IF(G964=1,F964-I964-J964-K964,IF(G964=2,F964,0))</f>
        <v>0</v>
      </c>
      <c r="I964" s="818">
        <f>ROUND(IF(G964=1,F964*10/23,IF(G964=3,F964-J964-K964,IF(G964=4,F964,IF(G964=5,F964*10/11,IF(G964=7,F964*10/11,0))))),0)</f>
        <v>0</v>
      </c>
      <c r="J964" s="818">
        <f>ROUND(IF(G964=1,F964/23,IF(G964=3,F964/12,IF(G964=5,F964-I964,IF(G964=8,F964,0)))),0)</f>
        <v>0</v>
      </c>
      <c r="K964" s="819">
        <f>ROUND(IF(G964=1,F964/23,IF(G964=3,F964/12,IF(G964=6,F964,IF(G964=7,F964-I964,0)))),0)</f>
        <v>0</v>
      </c>
      <c r="L964" s="820">
        <f>IF(G964=6,F964,0)</f>
        <v>0</v>
      </c>
      <c r="P964" s="768" t="n"/>
      <c r="Q964" s="769" t="str">
        <f>IF($F964="","",IFERROR(VLOOKUP($C964&amp;"|"&amp;$D964,科目表!$A$5:$B$200,2,FALSE),"※未登録"))</f>
        <v/>
      </c>
      <c r="R964" s="769" t="str">
        <f>IF($F964="","",$I964+$J964+$K964)</f>
        <v/>
      </c>
      <c r="S964" s="769" t="str">
        <f>IF(OR($F964="",$P964="支払なし",$H964=0,$Q964=""),"",$Q964&amp;"|S|"&amp;(COUNTIF(S$4:S963,$Q964&amp;"|S|*")+1))</f>
        <v/>
      </c>
      <c r="T964" s="769" t="str">
        <f>IF(OR($F964="",$P964="支払なし",$R964=0,$Q964=""),"",$Q964&amp;"|L|"&amp;(COUNTIF(T$4:T963,$Q964&amp;"|L|*")+1))</f>
        <v/>
      </c>
      <c r="U964" s="769" t="str">
        <f>IF($F964="","",13)</f>
        <v/>
      </c>
    </row>
    <row r="965" ht="16.5" customHeight="1" s="186">
      <c r="A965" s="760" t="n"/>
      <c r="B965" s="760" t="n"/>
      <c r="C965" s="762" t="n"/>
      <c r="D965" s="762" t="n"/>
      <c r="E965" s="775" t="n"/>
      <c r="F965" s="821" t="n"/>
      <c r="G965" s="821" t="n"/>
      <c r="H965" s="818">
        <f>IF(G965=1,F965-I965-J965-K965,IF(G965=2,F965,0))</f>
        <v>0</v>
      </c>
      <c r="I965" s="818">
        <f>ROUND(IF(G965=1,F965*10/23,IF(G965=3,F965-J965-K965,IF(G965=4,F965,IF(G965=5,F965*10/11,IF(G965=7,F965*10/11,0))))),0)</f>
        <v>0</v>
      </c>
      <c r="J965" s="818">
        <f>ROUND(IF(G965=1,F965/23,IF(G965=3,F965/12,IF(G965=5,F965-I965,IF(G965=8,F965,0)))),0)</f>
        <v>0</v>
      </c>
      <c r="K965" s="819">
        <f>ROUND(IF(G965=1,F965/23,IF(G965=3,F965/12,IF(G965=6,F965,IF(G965=7,F965-I965,0)))),0)</f>
        <v>0</v>
      </c>
      <c r="L965" s="820">
        <f>IF(G965=6,F965,0)</f>
        <v>0</v>
      </c>
      <c r="P965" s="768" t="n"/>
      <c r="Q965" s="769" t="str">
        <f>IF($F965="","",IFERROR(VLOOKUP($C965&amp;"|"&amp;$D965,科目表!$A$5:$B$200,2,FALSE),"※未登録"))</f>
        <v/>
      </c>
      <c r="R965" s="769" t="str">
        <f>IF($F965="","",$I965+$J965+$K965)</f>
        <v/>
      </c>
      <c r="S965" s="769" t="str">
        <f>IF(OR($F965="",$P965="支払なし",$H965=0,$Q965=""),"",$Q965&amp;"|S|"&amp;(COUNTIF(S$4:S964,$Q965&amp;"|S|*")+1))</f>
        <v/>
      </c>
      <c r="T965" s="769" t="str">
        <f>IF(OR($F965="",$P965="支払なし",$R965=0,$Q965=""),"",$Q965&amp;"|L|"&amp;(COUNTIF(T$4:T964,$Q965&amp;"|L|*")+1))</f>
        <v/>
      </c>
      <c r="U965" s="769" t="str">
        <f>IF($F965="","",13)</f>
        <v/>
      </c>
    </row>
    <row r="966" ht="16.5" customHeight="1" s="186">
      <c r="A966" s="760" t="n"/>
      <c r="B966" s="760" t="n"/>
      <c r="C966" s="762" t="n"/>
      <c r="D966" s="762" t="n"/>
      <c r="E966" s="775" t="n"/>
      <c r="F966" s="821" t="n"/>
      <c r="G966" s="821" t="n"/>
      <c r="H966" s="818">
        <f>IF(G966=1,F966-I966-J966-K966,IF(G966=2,F966,0))</f>
        <v>0</v>
      </c>
      <c r="I966" s="818">
        <f>ROUND(IF(G966=1,F966*10/23,IF(G966=3,F966-J966-K966,IF(G966=4,F966,IF(G966=5,F966*10/11,IF(G966=7,F966*10/11,0))))),0)</f>
        <v>0</v>
      </c>
      <c r="J966" s="818">
        <f>ROUND(IF(G966=1,F966/23,IF(G966=3,F966/12,IF(G966=5,F966-I966,IF(G966=8,F966,0)))),0)</f>
        <v>0</v>
      </c>
      <c r="K966" s="819">
        <f>ROUND(IF(G966=1,F966/23,IF(G966=3,F966/12,IF(G966=6,F966,IF(G966=7,F966-I966,0)))),0)</f>
        <v>0</v>
      </c>
      <c r="L966" s="820">
        <f>IF(G966=6,F966,0)</f>
        <v>0</v>
      </c>
      <c r="P966" s="768" t="n"/>
      <c r="Q966" s="769" t="str">
        <f>IF($F966="","",IFERROR(VLOOKUP($C966&amp;"|"&amp;$D966,科目表!$A$5:$B$200,2,FALSE),"※未登録"))</f>
        <v/>
      </c>
      <c r="R966" s="769" t="str">
        <f>IF($F966="","",$I966+$J966+$K966)</f>
        <v/>
      </c>
      <c r="S966" s="769" t="str">
        <f>IF(OR($F966="",$P966="支払なし",$H966=0,$Q966=""),"",$Q966&amp;"|S|"&amp;(COUNTIF(S$4:S965,$Q966&amp;"|S|*")+1))</f>
        <v/>
      </c>
      <c r="T966" s="769" t="str">
        <f>IF(OR($F966="",$P966="支払なし",$R966=0,$Q966=""),"",$Q966&amp;"|L|"&amp;(COUNTIF(T$4:T965,$Q966&amp;"|L|*")+1))</f>
        <v/>
      </c>
      <c r="U966" s="769" t="str">
        <f>IF($F966="","",13)</f>
        <v/>
      </c>
    </row>
    <row r="967" ht="16.5" customHeight="1" s="186">
      <c r="A967" s="760" t="n"/>
      <c r="B967" s="760" t="n"/>
      <c r="C967" s="762" t="n"/>
      <c r="D967" s="762" t="n"/>
      <c r="E967" s="775" t="n"/>
      <c r="F967" s="821" t="n"/>
      <c r="G967" s="821" t="n"/>
      <c r="H967" s="818">
        <f>IF(G967=1,F967-I967-J967-K967,IF(G967=2,F967,0))</f>
        <v>0</v>
      </c>
      <c r="I967" s="818">
        <f>ROUND(IF(G967=1,F967*10/23,IF(G967=3,F967-J967-K967,IF(G967=4,F967,IF(G967=5,F967*10/11,IF(G967=7,F967*10/11,0))))),0)</f>
        <v>0</v>
      </c>
      <c r="J967" s="818">
        <f>ROUND(IF(G967=1,F967/23,IF(G967=3,F967/12,IF(G967=5,F967-I967,IF(G967=8,F967,0)))),0)</f>
        <v>0</v>
      </c>
      <c r="K967" s="819">
        <f>ROUND(IF(G967=1,F967/23,IF(G967=3,F967/12,IF(G967=6,F967,IF(G967=7,F967-I967,0)))),0)</f>
        <v>0</v>
      </c>
      <c r="L967" s="820">
        <f>IF(G967=6,F967,0)</f>
        <v>0</v>
      </c>
      <c r="P967" s="768" t="n"/>
      <c r="Q967" s="769" t="str">
        <f>IF($F967="","",IFERROR(VLOOKUP($C967&amp;"|"&amp;$D967,科目表!$A$5:$B$200,2,FALSE),"※未登録"))</f>
        <v/>
      </c>
      <c r="R967" s="769" t="str">
        <f>IF($F967="","",$I967+$J967+$K967)</f>
        <v/>
      </c>
      <c r="S967" s="769" t="str">
        <f>IF(OR($F967="",$P967="支払なし",$H967=0,$Q967=""),"",$Q967&amp;"|S|"&amp;(COUNTIF(S$4:S966,$Q967&amp;"|S|*")+1))</f>
        <v/>
      </c>
      <c r="T967" s="769" t="str">
        <f>IF(OR($F967="",$P967="支払なし",$R967=0,$Q967=""),"",$Q967&amp;"|L|"&amp;(COUNTIF(T$4:T966,$Q967&amp;"|L|*")+1))</f>
        <v/>
      </c>
      <c r="U967" s="769" t="str">
        <f>IF($F967="","",13)</f>
        <v/>
      </c>
    </row>
    <row r="968" ht="16.5" customHeight="1" s="186">
      <c r="A968" s="760" t="n"/>
      <c r="B968" s="760" t="n"/>
      <c r="C968" s="762" t="n"/>
      <c r="D968" s="762" t="n"/>
      <c r="E968" s="775" t="n"/>
      <c r="F968" s="821" t="n"/>
      <c r="G968" s="821" t="n"/>
      <c r="H968" s="818">
        <f>IF(G968=1,F968-I968-J968-K968,IF(G968=2,F968,0))</f>
        <v>0</v>
      </c>
      <c r="I968" s="818">
        <f>ROUND(IF(G968=1,F968*10/23,IF(G968=3,F968-J968-K968,IF(G968=4,F968,IF(G968=5,F968*10/11,IF(G968=7,F968*10/11,0))))),0)</f>
        <v>0</v>
      </c>
      <c r="J968" s="818">
        <f>ROUND(IF(G968=1,F968/23,IF(G968=3,F968/12,IF(G968=5,F968-I968,IF(G968=8,F968,0)))),0)</f>
        <v>0</v>
      </c>
      <c r="K968" s="819">
        <f>ROUND(IF(G968=1,F968/23,IF(G968=3,F968/12,IF(G968=6,F968,IF(G968=7,F968-I968,0)))),0)</f>
        <v>0</v>
      </c>
      <c r="L968" s="820">
        <f>IF(G968=6,F968,0)</f>
        <v>0</v>
      </c>
      <c r="P968" s="768" t="n"/>
      <c r="Q968" s="769" t="str">
        <f>IF($F968="","",IFERROR(VLOOKUP($C968&amp;"|"&amp;$D968,科目表!$A$5:$B$200,2,FALSE),"※未登録"))</f>
        <v/>
      </c>
      <c r="R968" s="769" t="str">
        <f>IF($F968="","",$I968+$J968+$K968)</f>
        <v/>
      </c>
      <c r="S968" s="769" t="str">
        <f>IF(OR($F968="",$P968="支払なし",$H968=0,$Q968=""),"",$Q968&amp;"|S|"&amp;(COUNTIF(S$4:S967,$Q968&amp;"|S|*")+1))</f>
        <v/>
      </c>
      <c r="T968" s="769" t="str">
        <f>IF(OR($F968="",$P968="支払なし",$R968=0,$Q968=""),"",$Q968&amp;"|L|"&amp;(COUNTIF(T$4:T967,$Q968&amp;"|L|*")+1))</f>
        <v/>
      </c>
      <c r="U968" s="769" t="str">
        <f>IF($F968="","",13)</f>
        <v/>
      </c>
    </row>
    <row r="969" ht="16.5" customHeight="1" s="186">
      <c r="A969" s="760" t="n"/>
      <c r="B969" s="760" t="n"/>
      <c r="C969" s="762" t="n"/>
      <c r="D969" s="762" t="n"/>
      <c r="E969" s="775" t="n"/>
      <c r="F969" s="821" t="n"/>
      <c r="G969" s="821" t="n"/>
      <c r="H969" s="818">
        <f>IF(G969=1,F969-I969-J969-K969,IF(G969=2,F969,0))</f>
        <v>0</v>
      </c>
      <c r="I969" s="818">
        <f>ROUND(IF(G969=1,F969*10/23,IF(G969=3,F969-J969-K969,IF(G969=4,F969,IF(G969=5,F969*10/11,IF(G969=7,F969*10/11,0))))),0)</f>
        <v>0</v>
      </c>
      <c r="J969" s="818">
        <f>ROUND(IF(G969=1,F969/23,IF(G969=3,F969/12,IF(G969=5,F969-I969,IF(G969=8,F969,0)))),0)</f>
        <v>0</v>
      </c>
      <c r="K969" s="819">
        <f>ROUND(IF(G969=1,F969/23,IF(G969=3,F969/12,IF(G969=6,F969,IF(G969=7,F969-I969,0)))),0)</f>
        <v>0</v>
      </c>
      <c r="L969" s="820">
        <f>IF(G969=6,F969,0)</f>
        <v>0</v>
      </c>
      <c r="P969" s="768" t="n"/>
      <c r="Q969" s="769" t="str">
        <f>IF($F969="","",IFERROR(VLOOKUP($C969&amp;"|"&amp;$D969,科目表!$A$5:$B$200,2,FALSE),"※未登録"))</f>
        <v/>
      </c>
      <c r="R969" s="769" t="str">
        <f>IF($F969="","",$I969+$J969+$K969)</f>
        <v/>
      </c>
      <c r="S969" s="769" t="str">
        <f>IF(OR($F969="",$P969="支払なし",$H969=0,$Q969=""),"",$Q969&amp;"|S|"&amp;(COUNTIF(S$4:S968,$Q969&amp;"|S|*")+1))</f>
        <v/>
      </c>
      <c r="T969" s="769" t="str">
        <f>IF(OR($F969="",$P969="支払なし",$R969=0,$Q969=""),"",$Q969&amp;"|L|"&amp;(COUNTIF(T$4:T968,$Q969&amp;"|L|*")+1))</f>
        <v/>
      </c>
      <c r="U969" s="769" t="str">
        <f>IF($F969="","",13)</f>
        <v/>
      </c>
    </row>
    <row r="970" ht="16.5" customHeight="1" s="186">
      <c r="A970" s="760" t="n"/>
      <c r="B970" s="760" t="n"/>
      <c r="C970" s="762" t="n"/>
      <c r="D970" s="762" t="n"/>
      <c r="E970" s="775" t="n"/>
      <c r="F970" s="821" t="n"/>
      <c r="G970" s="821" t="n"/>
      <c r="H970" s="818">
        <f>IF(G970=1,F970-I970-J970-K970,IF(G970=2,F970,0))</f>
        <v>0</v>
      </c>
      <c r="I970" s="818">
        <f>ROUND(IF(G970=1,F970*10/23,IF(G970=3,F970-J970-K970,IF(G970=4,F970,IF(G970=5,F970*10/11,IF(G970=7,F970*10/11,0))))),0)</f>
        <v>0</v>
      </c>
      <c r="J970" s="818">
        <f>ROUND(IF(G970=1,F970/23,IF(G970=3,F970/12,IF(G970=5,F970-I970,IF(G970=8,F970,0)))),0)</f>
        <v>0</v>
      </c>
      <c r="K970" s="819">
        <f>ROUND(IF(G970=1,F970/23,IF(G970=3,F970/12,IF(G970=6,F970,IF(G970=7,F970-I970,0)))),0)</f>
        <v>0</v>
      </c>
      <c r="L970" s="820">
        <f>IF(G970=6,F970,0)</f>
        <v>0</v>
      </c>
      <c r="P970" s="768" t="n"/>
      <c r="Q970" s="769" t="str">
        <f>IF($F970="","",IFERROR(VLOOKUP($C970&amp;"|"&amp;$D970,科目表!$A$5:$B$200,2,FALSE),"※未登録"))</f>
        <v/>
      </c>
      <c r="R970" s="769" t="str">
        <f>IF($F970="","",$I970+$J970+$K970)</f>
        <v/>
      </c>
      <c r="S970" s="769" t="str">
        <f>IF(OR($F970="",$P970="支払なし",$H970=0,$Q970=""),"",$Q970&amp;"|S|"&amp;(COUNTIF(S$4:S969,$Q970&amp;"|S|*")+1))</f>
        <v/>
      </c>
      <c r="T970" s="769" t="str">
        <f>IF(OR($F970="",$P970="支払なし",$R970=0,$Q970=""),"",$Q970&amp;"|L|"&amp;(COUNTIF(T$4:T969,$Q970&amp;"|L|*")+1))</f>
        <v/>
      </c>
      <c r="U970" s="769" t="str">
        <f>IF($F970="","",13)</f>
        <v/>
      </c>
    </row>
    <row r="971" ht="16.5" customHeight="1" s="186">
      <c r="A971" s="760" t="n"/>
      <c r="B971" s="760" t="n"/>
      <c r="C971" s="762" t="n"/>
      <c r="D971" s="762" t="n"/>
      <c r="E971" s="775" t="n"/>
      <c r="F971" s="821" t="n"/>
      <c r="G971" s="821" t="n"/>
      <c r="H971" s="818">
        <f>IF(G971=1,F971-I971-J971-K971,IF(G971=2,F971,0))</f>
        <v>0</v>
      </c>
      <c r="I971" s="818">
        <f>ROUND(IF(G971=1,F971*10/23,IF(G971=3,F971-J971-K971,IF(G971=4,F971,IF(G971=5,F971*10/11,IF(G971=7,F971*10/11,0))))),0)</f>
        <v>0</v>
      </c>
      <c r="J971" s="818">
        <f>ROUND(IF(G971=1,F971/23,IF(G971=3,F971/12,IF(G971=5,F971-I971,IF(G971=8,F971,0)))),0)</f>
        <v>0</v>
      </c>
      <c r="K971" s="819">
        <f>ROUND(IF(G971=1,F971/23,IF(G971=3,F971/12,IF(G971=6,F971,IF(G971=7,F971-I971,0)))),0)</f>
        <v>0</v>
      </c>
      <c r="L971" s="820">
        <f>IF(G971=6,F971,0)</f>
        <v>0</v>
      </c>
      <c r="P971" s="768" t="n"/>
      <c r="Q971" s="769" t="str">
        <f>IF($F971="","",IFERROR(VLOOKUP($C971&amp;"|"&amp;$D971,科目表!$A$5:$B$200,2,FALSE),"※未登録"))</f>
        <v/>
      </c>
      <c r="R971" s="769" t="str">
        <f>IF($F971="","",$I971+$J971+$K971)</f>
        <v/>
      </c>
      <c r="S971" s="769" t="str">
        <f>IF(OR($F971="",$P971="支払なし",$H971=0,$Q971=""),"",$Q971&amp;"|S|"&amp;(COUNTIF(S$4:S970,$Q971&amp;"|S|*")+1))</f>
        <v/>
      </c>
      <c r="T971" s="769" t="str">
        <f>IF(OR($F971="",$P971="支払なし",$R971=0,$Q971=""),"",$Q971&amp;"|L|"&amp;(COUNTIF(T$4:T970,$Q971&amp;"|L|*")+1))</f>
        <v/>
      </c>
      <c r="U971" s="769" t="str">
        <f>IF($F971="","",13)</f>
        <v/>
      </c>
    </row>
    <row r="972" ht="16.5" customHeight="1" s="186">
      <c r="A972" s="760" t="n"/>
      <c r="B972" s="760" t="n"/>
      <c r="C972" s="762" t="n"/>
      <c r="D972" s="762" t="n"/>
      <c r="E972" s="775" t="n"/>
      <c r="F972" s="821" t="n"/>
      <c r="G972" s="821" t="n"/>
      <c r="H972" s="818">
        <f>IF(G972=1,F972-I972-J972-K972,IF(G972=2,F972,0))</f>
        <v>0</v>
      </c>
      <c r="I972" s="818">
        <f>ROUND(IF(G972=1,F972*10/23,IF(G972=3,F972-J972-K972,IF(G972=4,F972,IF(G972=5,F972*10/11,IF(G972=7,F972*10/11,0))))),0)</f>
        <v>0</v>
      </c>
      <c r="J972" s="818">
        <f>ROUND(IF(G972=1,F972/23,IF(G972=3,F972/12,IF(G972=5,F972-I972,IF(G972=8,F972,0)))),0)</f>
        <v>0</v>
      </c>
      <c r="K972" s="819">
        <f>ROUND(IF(G972=1,F972/23,IF(G972=3,F972/12,IF(G972=6,F972,IF(G972=7,F972-I972,0)))),0)</f>
        <v>0</v>
      </c>
      <c r="L972" s="820">
        <f>IF(G972=6,F972,0)</f>
        <v>0</v>
      </c>
      <c r="P972" s="768" t="n"/>
      <c r="Q972" s="769" t="str">
        <f>IF($F972="","",IFERROR(VLOOKUP($C972&amp;"|"&amp;$D972,科目表!$A$5:$B$200,2,FALSE),"※未登録"))</f>
        <v/>
      </c>
      <c r="R972" s="769" t="str">
        <f>IF($F972="","",$I972+$J972+$K972)</f>
        <v/>
      </c>
      <c r="S972" s="769" t="str">
        <f>IF(OR($F972="",$P972="支払なし",$H972=0,$Q972=""),"",$Q972&amp;"|S|"&amp;(COUNTIF(S$4:S971,$Q972&amp;"|S|*")+1))</f>
        <v/>
      </c>
      <c r="T972" s="769" t="str">
        <f>IF(OR($F972="",$P972="支払なし",$R972=0,$Q972=""),"",$Q972&amp;"|L|"&amp;(COUNTIF(T$4:T971,$Q972&amp;"|L|*")+1))</f>
        <v/>
      </c>
      <c r="U972" s="769" t="str">
        <f>IF($F972="","",13)</f>
        <v/>
      </c>
    </row>
    <row r="973" ht="16.5" customHeight="1" s="186">
      <c r="A973" s="760" t="n"/>
      <c r="B973" s="760" t="n"/>
      <c r="C973" s="762" t="n"/>
      <c r="D973" s="762" t="n"/>
      <c r="E973" s="775" t="n"/>
      <c r="F973" s="821" t="n"/>
      <c r="G973" s="821" t="n"/>
      <c r="H973" s="818">
        <f>IF(G973=1,F973-I973-J973-K973,IF(G973=2,F973,0))</f>
        <v>0</v>
      </c>
      <c r="I973" s="818">
        <f>ROUND(IF(G973=1,F973*10/23,IF(G973=3,F973-J973-K973,IF(G973=4,F973,IF(G973=5,F973*10/11,IF(G973=7,F973*10/11,0))))),0)</f>
        <v>0</v>
      </c>
      <c r="J973" s="818">
        <f>ROUND(IF(G973=1,F973/23,IF(G973=3,F973/12,IF(G973=5,F973-I973,IF(G973=8,F973,0)))),0)</f>
        <v>0</v>
      </c>
      <c r="K973" s="819">
        <f>ROUND(IF(G973=1,F973/23,IF(G973=3,F973/12,IF(G973=6,F973,IF(G973=7,F973-I973,0)))),0)</f>
        <v>0</v>
      </c>
      <c r="L973" s="820">
        <f>IF(G973=6,F973,0)</f>
        <v>0</v>
      </c>
      <c r="P973" s="768" t="n"/>
      <c r="Q973" s="769" t="str">
        <f>IF($F973="","",IFERROR(VLOOKUP($C973&amp;"|"&amp;$D973,科目表!$A$5:$B$200,2,FALSE),"※未登録"))</f>
        <v/>
      </c>
      <c r="R973" s="769" t="str">
        <f>IF($F973="","",$I973+$J973+$K973)</f>
        <v/>
      </c>
      <c r="S973" s="769" t="str">
        <f>IF(OR($F973="",$P973="支払なし",$H973=0,$Q973=""),"",$Q973&amp;"|S|"&amp;(COUNTIF(S$4:S972,$Q973&amp;"|S|*")+1))</f>
        <v/>
      </c>
      <c r="T973" s="769" t="str">
        <f>IF(OR($F973="",$P973="支払なし",$R973=0,$Q973=""),"",$Q973&amp;"|L|"&amp;(COUNTIF(T$4:T972,$Q973&amp;"|L|*")+1))</f>
        <v/>
      </c>
      <c r="U973" s="769" t="str">
        <f>IF($F973="","",13)</f>
        <v/>
      </c>
    </row>
    <row r="974" ht="16.5" customHeight="1" s="186">
      <c r="A974" s="760" t="n"/>
      <c r="B974" s="760" t="n"/>
      <c r="C974" s="762" t="n"/>
      <c r="D974" s="762" t="n"/>
      <c r="E974" s="775" t="n"/>
      <c r="F974" s="821" t="n"/>
      <c r="G974" s="821" t="n"/>
      <c r="H974" s="818">
        <f>IF(G974=1,F974-I974-J974-K974,IF(G974=2,F974,0))</f>
        <v>0</v>
      </c>
      <c r="I974" s="818">
        <f>ROUND(IF(G974=1,F974*10/23,IF(G974=3,F974-J974-K974,IF(G974=4,F974,IF(G974=5,F974*10/11,IF(G974=7,F974*10/11,0))))),0)</f>
        <v>0</v>
      </c>
      <c r="J974" s="818">
        <f>ROUND(IF(G974=1,F974/23,IF(G974=3,F974/12,IF(G974=5,F974-I974,IF(G974=8,F974,0)))),0)</f>
        <v>0</v>
      </c>
      <c r="K974" s="819">
        <f>ROUND(IF(G974=1,F974/23,IF(G974=3,F974/12,IF(G974=6,F974,IF(G974=7,F974-I974,0)))),0)</f>
        <v>0</v>
      </c>
      <c r="L974" s="820">
        <f>IF(G974=6,F974,0)</f>
        <v>0</v>
      </c>
      <c r="P974" s="768" t="n"/>
      <c r="Q974" s="769" t="str">
        <f>IF($F974="","",IFERROR(VLOOKUP($C974&amp;"|"&amp;$D974,科目表!$A$5:$B$200,2,FALSE),"※未登録"))</f>
        <v/>
      </c>
      <c r="R974" s="769" t="str">
        <f>IF($F974="","",$I974+$J974+$K974)</f>
        <v/>
      </c>
      <c r="S974" s="769" t="str">
        <f>IF(OR($F974="",$P974="支払なし",$H974=0,$Q974=""),"",$Q974&amp;"|S|"&amp;(COUNTIF(S$4:S973,$Q974&amp;"|S|*")+1))</f>
        <v/>
      </c>
      <c r="T974" s="769" t="str">
        <f>IF(OR($F974="",$P974="支払なし",$R974=0,$Q974=""),"",$Q974&amp;"|L|"&amp;(COUNTIF(T$4:T973,$Q974&amp;"|L|*")+1))</f>
        <v/>
      </c>
      <c r="U974" s="769" t="str">
        <f>IF($F974="","",13)</f>
        <v/>
      </c>
    </row>
    <row r="975" ht="16.5" customHeight="1" s="186">
      <c r="A975" s="760" t="n"/>
      <c r="B975" s="760" t="n"/>
      <c r="C975" s="762" t="n"/>
      <c r="D975" s="762" t="n"/>
      <c r="E975" s="775" t="n"/>
      <c r="F975" s="821" t="n"/>
      <c r="G975" s="821" t="n"/>
      <c r="H975" s="818">
        <f>IF(G975=1,F975-I975-J975-K975,IF(G975=2,F975,0))</f>
        <v>0</v>
      </c>
      <c r="I975" s="818">
        <f>ROUND(IF(G975=1,F975*10/23,IF(G975=3,F975-J975-K975,IF(G975=4,F975,IF(G975=5,F975*10/11,IF(G975=7,F975*10/11,0))))),0)</f>
        <v>0</v>
      </c>
      <c r="J975" s="818">
        <f>ROUND(IF(G975=1,F975/23,IF(G975=3,F975/12,IF(G975=5,F975-I975,IF(G975=8,F975,0)))),0)</f>
        <v>0</v>
      </c>
      <c r="K975" s="819">
        <f>ROUND(IF(G975=1,F975/23,IF(G975=3,F975/12,IF(G975=6,F975,IF(G975=7,F975-I975,0)))),0)</f>
        <v>0</v>
      </c>
      <c r="L975" s="820">
        <f>IF(G975=6,F975,0)</f>
        <v>0</v>
      </c>
      <c r="P975" s="768" t="n"/>
      <c r="Q975" s="769" t="str">
        <f>IF($F975="","",IFERROR(VLOOKUP($C975&amp;"|"&amp;$D975,科目表!$A$5:$B$200,2,FALSE),"※未登録"))</f>
        <v/>
      </c>
      <c r="R975" s="769" t="str">
        <f>IF($F975="","",$I975+$J975+$K975)</f>
        <v/>
      </c>
      <c r="S975" s="769" t="str">
        <f>IF(OR($F975="",$P975="支払なし",$H975=0,$Q975=""),"",$Q975&amp;"|S|"&amp;(COUNTIF(S$4:S974,$Q975&amp;"|S|*")+1))</f>
        <v/>
      </c>
      <c r="T975" s="769" t="str">
        <f>IF(OR($F975="",$P975="支払なし",$R975=0,$Q975=""),"",$Q975&amp;"|L|"&amp;(COUNTIF(T$4:T974,$Q975&amp;"|L|*")+1))</f>
        <v/>
      </c>
      <c r="U975" s="769" t="str">
        <f>IF($F975="","",13)</f>
        <v/>
      </c>
    </row>
    <row r="976" ht="16.5" customHeight="1" s="186">
      <c r="A976" s="760" t="n"/>
      <c r="B976" s="760" t="n"/>
      <c r="C976" s="762" t="n"/>
      <c r="D976" s="762" t="n"/>
      <c r="E976" s="775" t="n"/>
      <c r="F976" s="821" t="n"/>
      <c r="G976" s="821" t="n"/>
      <c r="H976" s="818">
        <f>IF(G976=1,F976-I976-J976-K976,IF(G976=2,F976,0))</f>
        <v>0</v>
      </c>
      <c r="I976" s="818">
        <f>ROUND(IF(G976=1,F976*10/23,IF(G976=3,F976-J976-K976,IF(G976=4,F976,IF(G976=5,F976*10/11,IF(G976=7,F976*10/11,0))))),0)</f>
        <v>0</v>
      </c>
      <c r="J976" s="818">
        <f>ROUND(IF(G976=1,F976/23,IF(G976=3,F976/12,IF(G976=5,F976-I976,IF(G976=8,F976,0)))),0)</f>
        <v>0</v>
      </c>
      <c r="K976" s="819">
        <f>ROUND(IF(G976=1,F976/23,IF(G976=3,F976/12,IF(G976=6,F976,IF(G976=7,F976-I976,0)))),0)</f>
        <v>0</v>
      </c>
      <c r="L976" s="820">
        <f>IF(G976=6,F976,0)</f>
        <v>0</v>
      </c>
      <c r="P976" s="768" t="n"/>
      <c r="Q976" s="769" t="str">
        <f>IF($F976="","",IFERROR(VLOOKUP($C976&amp;"|"&amp;$D976,科目表!$A$5:$B$200,2,FALSE),"※未登録"))</f>
        <v/>
      </c>
      <c r="R976" s="769" t="str">
        <f>IF($F976="","",$I976+$J976+$K976)</f>
        <v/>
      </c>
      <c r="S976" s="769" t="str">
        <f>IF(OR($F976="",$P976="支払なし",$H976=0,$Q976=""),"",$Q976&amp;"|S|"&amp;(COUNTIF(S$4:S975,$Q976&amp;"|S|*")+1))</f>
        <v/>
      </c>
      <c r="T976" s="769" t="str">
        <f>IF(OR($F976="",$P976="支払なし",$R976=0,$Q976=""),"",$Q976&amp;"|L|"&amp;(COUNTIF(T$4:T975,$Q976&amp;"|L|*")+1))</f>
        <v/>
      </c>
      <c r="U976" s="769" t="str">
        <f>IF($F976="","",13)</f>
        <v/>
      </c>
    </row>
    <row r="977" ht="16.5" customHeight="1" s="186">
      <c r="A977" s="760" t="n"/>
      <c r="B977" s="760" t="n"/>
      <c r="C977" s="762" t="n"/>
      <c r="D977" s="762" t="n"/>
      <c r="E977" s="775" t="n"/>
      <c r="F977" s="821" t="n"/>
      <c r="G977" s="821" t="n"/>
      <c r="H977" s="818">
        <f>IF(G977=1,F977-I977-J977-K977,IF(G977=2,F977,0))</f>
        <v>0</v>
      </c>
      <c r="I977" s="818">
        <f>ROUND(IF(G977=1,F977*10/23,IF(G977=3,F977-J977-K977,IF(G977=4,F977,IF(G977=5,F977*10/11,IF(G977=7,F977*10/11,0))))),0)</f>
        <v>0</v>
      </c>
      <c r="J977" s="818">
        <f>ROUND(IF(G977=1,F977/23,IF(G977=3,F977/12,IF(G977=5,F977-I977,IF(G977=8,F977,0)))),0)</f>
        <v>0</v>
      </c>
      <c r="K977" s="819">
        <f>ROUND(IF(G977=1,F977/23,IF(G977=3,F977/12,IF(G977=6,F977,IF(G977=7,F977-I977,0)))),0)</f>
        <v>0</v>
      </c>
      <c r="L977" s="820">
        <f>IF(G977=6,F977,0)</f>
        <v>0</v>
      </c>
      <c r="P977" s="768" t="n"/>
      <c r="Q977" s="769" t="str">
        <f>IF($F977="","",IFERROR(VLOOKUP($C977&amp;"|"&amp;$D977,科目表!$A$5:$B$200,2,FALSE),"※未登録"))</f>
        <v/>
      </c>
      <c r="R977" s="769" t="str">
        <f>IF($F977="","",$I977+$J977+$K977)</f>
        <v/>
      </c>
      <c r="S977" s="769" t="str">
        <f>IF(OR($F977="",$P977="支払なし",$H977=0,$Q977=""),"",$Q977&amp;"|S|"&amp;(COUNTIF(S$4:S976,$Q977&amp;"|S|*")+1))</f>
        <v/>
      </c>
      <c r="T977" s="769" t="str">
        <f>IF(OR($F977="",$P977="支払なし",$R977=0,$Q977=""),"",$Q977&amp;"|L|"&amp;(COUNTIF(T$4:T976,$Q977&amp;"|L|*")+1))</f>
        <v/>
      </c>
      <c r="U977" s="769" t="str">
        <f>IF($F977="","",13)</f>
        <v/>
      </c>
    </row>
    <row r="978" ht="16.5" customHeight="1" s="186">
      <c r="A978" s="760" t="n"/>
      <c r="B978" s="760" t="n"/>
      <c r="C978" s="762" t="n"/>
      <c r="D978" s="762" t="n"/>
      <c r="E978" s="775" t="n"/>
      <c r="F978" s="821" t="n"/>
      <c r="G978" s="821" t="n"/>
      <c r="H978" s="818">
        <f>IF(G978=1,F978-I978-J978-K978,IF(G978=2,F978,0))</f>
        <v>0</v>
      </c>
      <c r="I978" s="818">
        <f>ROUND(IF(G978=1,F978*10/23,IF(G978=3,F978-J978-K978,IF(G978=4,F978,IF(G978=5,F978*10/11,IF(G978=7,F978*10/11,0))))),0)</f>
        <v>0</v>
      </c>
      <c r="J978" s="818">
        <f>ROUND(IF(G978=1,F978/23,IF(G978=3,F978/12,IF(G978=5,F978-I978,IF(G978=8,F978,0)))),0)</f>
        <v>0</v>
      </c>
      <c r="K978" s="819">
        <f>ROUND(IF(G978=1,F978/23,IF(G978=3,F978/12,IF(G978=6,F978,IF(G978=7,F978-I978,0)))),0)</f>
        <v>0</v>
      </c>
      <c r="L978" s="820">
        <f>IF(G978=6,F978,0)</f>
        <v>0</v>
      </c>
      <c r="P978" s="768" t="n"/>
      <c r="Q978" s="769" t="str">
        <f>IF($F978="","",IFERROR(VLOOKUP($C978&amp;"|"&amp;$D978,科目表!$A$5:$B$200,2,FALSE),"※未登録"))</f>
        <v/>
      </c>
      <c r="R978" s="769" t="str">
        <f>IF($F978="","",$I978+$J978+$K978)</f>
        <v/>
      </c>
      <c r="S978" s="769" t="str">
        <f>IF(OR($F978="",$P978="支払なし",$H978=0,$Q978=""),"",$Q978&amp;"|S|"&amp;(COUNTIF(S$4:S977,$Q978&amp;"|S|*")+1))</f>
        <v/>
      </c>
      <c r="T978" s="769" t="str">
        <f>IF(OR($F978="",$P978="支払なし",$R978=0,$Q978=""),"",$Q978&amp;"|L|"&amp;(COUNTIF(T$4:T977,$Q978&amp;"|L|*")+1))</f>
        <v/>
      </c>
      <c r="U978" s="769" t="str">
        <f>IF($F978="","",13)</f>
        <v/>
      </c>
    </row>
    <row r="979" ht="16.5" customHeight="1" s="186">
      <c r="A979" s="760" t="n"/>
      <c r="B979" s="760" t="n"/>
      <c r="C979" s="762" t="n"/>
      <c r="D979" s="762" t="n"/>
      <c r="E979" s="775" t="n"/>
      <c r="F979" s="821" t="n"/>
      <c r="G979" s="821" t="n"/>
      <c r="H979" s="818">
        <f>IF(G979=1,F979-I979-J979-K979,IF(G979=2,F979,0))</f>
        <v>0</v>
      </c>
      <c r="I979" s="818">
        <f>ROUND(IF(G979=1,F979*10/23,IF(G979=3,F979-J979-K979,IF(G979=4,F979,IF(G979=5,F979*10/11,IF(G979=7,F979*10/11,0))))),0)</f>
        <v>0</v>
      </c>
      <c r="J979" s="818">
        <f>ROUND(IF(G979=1,F979/23,IF(G979=3,F979/12,IF(G979=5,F979-I979,IF(G979=8,F979,0)))),0)</f>
        <v>0</v>
      </c>
      <c r="K979" s="819">
        <f>ROUND(IF(G979=1,F979/23,IF(G979=3,F979/12,IF(G979=6,F979,IF(G979=7,F979-I979,0)))),0)</f>
        <v>0</v>
      </c>
      <c r="L979" s="820">
        <f>IF(G979=6,F979,0)</f>
        <v>0</v>
      </c>
      <c r="P979" s="768" t="n"/>
      <c r="Q979" s="769" t="str">
        <f>IF($F979="","",IFERROR(VLOOKUP($C979&amp;"|"&amp;$D979,科目表!$A$5:$B$200,2,FALSE),"※未登録"))</f>
        <v/>
      </c>
      <c r="R979" s="769" t="str">
        <f>IF($F979="","",$I979+$J979+$K979)</f>
        <v/>
      </c>
      <c r="S979" s="769" t="str">
        <f>IF(OR($F979="",$P979="支払なし",$H979=0,$Q979=""),"",$Q979&amp;"|S|"&amp;(COUNTIF(S$4:S978,$Q979&amp;"|S|*")+1))</f>
        <v/>
      </c>
      <c r="T979" s="769" t="str">
        <f>IF(OR($F979="",$P979="支払なし",$R979=0,$Q979=""),"",$Q979&amp;"|L|"&amp;(COUNTIF(T$4:T978,$Q979&amp;"|L|*")+1))</f>
        <v/>
      </c>
      <c r="U979" s="769" t="str">
        <f>IF($F979="","",13)</f>
        <v/>
      </c>
    </row>
    <row r="980" ht="16.5" customHeight="1" s="186">
      <c r="A980" s="760" t="n"/>
      <c r="B980" s="760" t="n"/>
      <c r="C980" s="762" t="n"/>
      <c r="D980" s="762" t="n"/>
      <c r="E980" s="775" t="n"/>
      <c r="F980" s="821" t="n"/>
      <c r="G980" s="821" t="n"/>
      <c r="H980" s="818">
        <f>IF(G980=1,F980-I980-J980-K980,IF(G980=2,F980,0))</f>
        <v>0</v>
      </c>
      <c r="I980" s="818">
        <f>ROUND(IF(G980=1,F980*10/23,IF(G980=3,F980-J980-K980,IF(G980=4,F980,IF(G980=5,F980*10/11,IF(G980=7,F980*10/11,0))))),0)</f>
        <v>0</v>
      </c>
      <c r="J980" s="818">
        <f>ROUND(IF(G980=1,F980/23,IF(G980=3,F980/12,IF(G980=5,F980-I980,IF(G980=8,F980,0)))),0)</f>
        <v>0</v>
      </c>
      <c r="K980" s="819">
        <f>ROUND(IF(G980=1,F980/23,IF(G980=3,F980/12,IF(G980=6,F980,IF(G980=7,F980-I980,0)))),0)</f>
        <v>0</v>
      </c>
      <c r="L980" s="820">
        <f>IF(G980=6,F980,0)</f>
        <v>0</v>
      </c>
      <c r="P980" s="768" t="n"/>
      <c r="Q980" s="769" t="str">
        <f>IF($F980="","",IFERROR(VLOOKUP($C980&amp;"|"&amp;$D980,科目表!$A$5:$B$200,2,FALSE),"※未登録"))</f>
        <v/>
      </c>
      <c r="R980" s="769" t="str">
        <f>IF($F980="","",$I980+$J980+$K980)</f>
        <v/>
      </c>
      <c r="S980" s="769" t="str">
        <f>IF(OR($F980="",$P980="支払なし",$H980=0,$Q980=""),"",$Q980&amp;"|S|"&amp;(COUNTIF(S$4:S979,$Q980&amp;"|S|*")+1))</f>
        <v/>
      </c>
      <c r="T980" s="769" t="str">
        <f>IF(OR($F980="",$P980="支払なし",$R980=0,$Q980=""),"",$Q980&amp;"|L|"&amp;(COUNTIF(T$4:T979,$Q980&amp;"|L|*")+1))</f>
        <v/>
      </c>
      <c r="U980" s="769" t="str">
        <f>IF($F980="","",13)</f>
        <v/>
      </c>
    </row>
    <row r="981" ht="16.5" customHeight="1" s="186">
      <c r="A981" s="760" t="n"/>
      <c r="B981" s="760" t="n"/>
      <c r="C981" s="762" t="n"/>
      <c r="D981" s="762" t="n"/>
      <c r="E981" s="775" t="n"/>
      <c r="F981" s="821" t="n"/>
      <c r="G981" s="821" t="n"/>
      <c r="H981" s="818">
        <f>IF(G981=1,F981-I981-J981-K981,IF(G981=2,F981,0))</f>
        <v>0</v>
      </c>
      <c r="I981" s="818">
        <f>ROUND(IF(G981=1,F981*10/23,IF(G981=3,F981-J981-K981,IF(G981=4,F981,IF(G981=5,F981*10/11,IF(G981=7,F981*10/11,0))))),0)</f>
        <v>0</v>
      </c>
      <c r="J981" s="818">
        <f>ROUND(IF(G981=1,F981/23,IF(G981=3,F981/12,IF(G981=5,F981-I981,IF(G981=8,F981,0)))),0)</f>
        <v>0</v>
      </c>
      <c r="K981" s="819">
        <f>ROUND(IF(G981=1,F981/23,IF(G981=3,F981/12,IF(G981=6,F981,IF(G981=7,F981-I981,0)))),0)</f>
        <v>0</v>
      </c>
      <c r="L981" s="820">
        <f>IF(G981=6,F981,0)</f>
        <v>0</v>
      </c>
      <c r="P981" s="768" t="n"/>
      <c r="Q981" s="769" t="str">
        <f>IF($F981="","",IFERROR(VLOOKUP($C981&amp;"|"&amp;$D981,科目表!$A$5:$B$200,2,FALSE),"※未登録"))</f>
        <v/>
      </c>
      <c r="R981" s="769" t="str">
        <f>IF($F981="","",$I981+$J981+$K981)</f>
        <v/>
      </c>
      <c r="S981" s="769" t="str">
        <f>IF(OR($F981="",$P981="支払なし",$H981=0,$Q981=""),"",$Q981&amp;"|S|"&amp;(COUNTIF(S$4:S980,$Q981&amp;"|S|*")+1))</f>
        <v/>
      </c>
      <c r="T981" s="769" t="str">
        <f>IF(OR($F981="",$P981="支払なし",$R981=0,$Q981=""),"",$Q981&amp;"|L|"&amp;(COUNTIF(T$4:T980,$Q981&amp;"|L|*")+1))</f>
        <v/>
      </c>
      <c r="U981" s="769" t="str">
        <f>IF($F981="","",13)</f>
        <v/>
      </c>
    </row>
    <row r="982" ht="16.5" customHeight="1" s="186">
      <c r="A982" s="760" t="n"/>
      <c r="B982" s="760" t="n"/>
      <c r="C982" s="762" t="n"/>
      <c r="D982" s="762" t="n"/>
      <c r="E982" s="775" t="n"/>
      <c r="F982" s="821" t="n"/>
      <c r="G982" s="821" t="n"/>
      <c r="H982" s="818">
        <f>IF(G982=1,F982-I982-J982-K982,IF(G982=2,F982,0))</f>
        <v>0</v>
      </c>
      <c r="I982" s="818">
        <f>ROUND(IF(G982=1,F982*10/23,IF(G982=3,F982-J982-K982,IF(G982=4,F982,IF(G982=5,F982*10/11,IF(G982=7,F982*10/11,0))))),0)</f>
        <v>0</v>
      </c>
      <c r="J982" s="818">
        <f>ROUND(IF(G982=1,F982/23,IF(G982=3,F982/12,IF(G982=5,F982-I982,IF(G982=8,F982,0)))),0)</f>
        <v>0</v>
      </c>
      <c r="K982" s="819">
        <f>ROUND(IF(G982=1,F982/23,IF(G982=3,F982/12,IF(G982=6,F982,IF(G982=7,F982-I982,0)))),0)</f>
        <v>0</v>
      </c>
      <c r="L982" s="820">
        <f>IF(G982=6,F982,0)</f>
        <v>0</v>
      </c>
      <c r="P982" s="768" t="n"/>
      <c r="Q982" s="769" t="str">
        <f>IF($F982="","",IFERROR(VLOOKUP($C982&amp;"|"&amp;$D982,科目表!$A$5:$B$200,2,FALSE),"※未登録"))</f>
        <v/>
      </c>
      <c r="R982" s="769" t="str">
        <f>IF($F982="","",$I982+$J982+$K982)</f>
        <v/>
      </c>
      <c r="S982" s="769" t="str">
        <f>IF(OR($F982="",$P982="支払なし",$H982=0,$Q982=""),"",$Q982&amp;"|S|"&amp;(COUNTIF(S$4:S981,$Q982&amp;"|S|*")+1))</f>
        <v/>
      </c>
      <c r="T982" s="769" t="str">
        <f>IF(OR($F982="",$P982="支払なし",$R982=0,$Q982=""),"",$Q982&amp;"|L|"&amp;(COUNTIF(T$4:T981,$Q982&amp;"|L|*")+1))</f>
        <v/>
      </c>
      <c r="U982" s="769" t="str">
        <f>IF($F982="","",13)</f>
        <v/>
      </c>
    </row>
    <row r="983" ht="16.5" customHeight="1" s="186">
      <c r="A983" s="760" t="n"/>
      <c r="B983" s="760" t="n"/>
      <c r="C983" s="762" t="n"/>
      <c r="D983" s="762" t="n"/>
      <c r="E983" s="775" t="n"/>
      <c r="F983" s="821" t="n"/>
      <c r="G983" s="821" t="n"/>
      <c r="H983" s="818">
        <f>IF(G983=1,F983-I983-J983-K983,IF(G983=2,F983,0))</f>
        <v>0</v>
      </c>
      <c r="I983" s="818">
        <f>ROUND(IF(G983=1,F983*10/23,IF(G983=3,F983-J983-K983,IF(G983=4,F983,IF(G983=5,F983*10/11,IF(G983=7,F983*10/11,0))))),0)</f>
        <v>0</v>
      </c>
      <c r="J983" s="818">
        <f>ROUND(IF(G983=1,F983/23,IF(G983=3,F983/12,IF(G983=5,F983-I983,IF(G983=8,F983,0)))),0)</f>
        <v>0</v>
      </c>
      <c r="K983" s="819">
        <f>ROUND(IF(G983=1,F983/23,IF(G983=3,F983/12,IF(G983=6,F983,IF(G983=7,F983-I983,0)))),0)</f>
        <v>0</v>
      </c>
      <c r="L983" s="820">
        <f>IF(G983=6,F983,0)</f>
        <v>0</v>
      </c>
      <c r="P983" s="768" t="n"/>
      <c r="Q983" s="769" t="str">
        <f>IF($F983="","",IFERROR(VLOOKUP($C983&amp;"|"&amp;$D983,科目表!$A$5:$B$200,2,FALSE),"※未登録"))</f>
        <v/>
      </c>
      <c r="R983" s="769" t="str">
        <f>IF($F983="","",$I983+$J983+$K983)</f>
        <v/>
      </c>
      <c r="S983" s="769" t="str">
        <f>IF(OR($F983="",$P983="支払なし",$H983=0,$Q983=""),"",$Q983&amp;"|S|"&amp;(COUNTIF(S$4:S982,$Q983&amp;"|S|*")+1))</f>
        <v/>
      </c>
      <c r="T983" s="769" t="str">
        <f>IF(OR($F983="",$P983="支払なし",$R983=0,$Q983=""),"",$Q983&amp;"|L|"&amp;(COUNTIF(T$4:T982,$Q983&amp;"|L|*")+1))</f>
        <v/>
      </c>
      <c r="U983" s="769" t="str">
        <f>IF($F983="","",13)</f>
        <v/>
      </c>
    </row>
    <row r="984" ht="16.5" customHeight="1" s="186">
      <c r="A984" s="760" t="n"/>
      <c r="B984" s="760" t="n"/>
      <c r="C984" s="762" t="n"/>
      <c r="D984" s="762" t="n"/>
      <c r="E984" s="775" t="n"/>
      <c r="F984" s="821" t="n"/>
      <c r="G984" s="821" t="n"/>
      <c r="H984" s="818">
        <f>IF(G984=1,F984-I984-J984-K984,IF(G984=2,F984,0))</f>
        <v>0</v>
      </c>
      <c r="I984" s="818">
        <f>ROUND(IF(G984=1,F984*10/23,IF(G984=3,F984-J984-K984,IF(G984=4,F984,IF(G984=5,F984*10/11,IF(G984=7,F984*10/11,0))))),0)</f>
        <v>0</v>
      </c>
      <c r="J984" s="818">
        <f>ROUND(IF(G984=1,F984/23,IF(G984=3,F984/12,IF(G984=5,F984-I984,IF(G984=8,F984,0)))),0)</f>
        <v>0</v>
      </c>
      <c r="K984" s="819">
        <f>ROUND(IF(G984=1,F984/23,IF(G984=3,F984/12,IF(G984=6,F984,IF(G984=7,F984-I984,0)))),0)</f>
        <v>0</v>
      </c>
      <c r="L984" s="820">
        <f>IF(G984=6,F984,0)</f>
        <v>0</v>
      </c>
      <c r="P984" s="768" t="n"/>
      <c r="Q984" s="769" t="str">
        <f>IF($F984="","",IFERROR(VLOOKUP($C984&amp;"|"&amp;$D984,科目表!$A$5:$B$200,2,FALSE),"※未登録"))</f>
        <v/>
      </c>
      <c r="R984" s="769" t="str">
        <f>IF($F984="","",$I984+$J984+$K984)</f>
        <v/>
      </c>
      <c r="S984" s="769" t="str">
        <f>IF(OR($F984="",$P984="支払なし",$H984=0,$Q984=""),"",$Q984&amp;"|S|"&amp;(COUNTIF(S$4:S983,$Q984&amp;"|S|*")+1))</f>
        <v/>
      </c>
      <c r="T984" s="769" t="str">
        <f>IF(OR($F984="",$P984="支払なし",$R984=0,$Q984=""),"",$Q984&amp;"|L|"&amp;(COUNTIF(T$4:T983,$Q984&amp;"|L|*")+1))</f>
        <v/>
      </c>
      <c r="U984" s="769" t="str">
        <f>IF($F984="","",13)</f>
        <v/>
      </c>
    </row>
    <row r="985" ht="16.5" customHeight="1" s="186">
      <c r="A985" s="760" t="n"/>
      <c r="B985" s="760" t="n"/>
      <c r="C985" s="762" t="n"/>
      <c r="D985" s="762" t="n"/>
      <c r="E985" s="775" t="n"/>
      <c r="F985" s="821" t="n"/>
      <c r="G985" s="821" t="n"/>
      <c r="H985" s="818">
        <f>IF(G985=1,F985-I985-J985-K985,IF(G985=2,F985,0))</f>
        <v>0</v>
      </c>
      <c r="I985" s="818">
        <f>ROUND(IF(G985=1,F985*10/23,IF(G985=3,F985-J985-K985,IF(G985=4,F985,IF(G985=5,F985*10/11,IF(G985=7,F985*10/11,0))))),0)</f>
        <v>0</v>
      </c>
      <c r="J985" s="818">
        <f>ROUND(IF(G985=1,F985/23,IF(G985=3,F985/12,IF(G985=5,F985-I985,IF(G985=8,F985,0)))),0)</f>
        <v>0</v>
      </c>
      <c r="K985" s="819">
        <f>ROUND(IF(G985=1,F985/23,IF(G985=3,F985/12,IF(G985=6,F985,IF(G985=7,F985-I985,0)))),0)</f>
        <v>0</v>
      </c>
      <c r="L985" s="820">
        <f>IF(G985=6,F985,0)</f>
        <v>0</v>
      </c>
      <c r="P985" s="768" t="n"/>
      <c r="Q985" s="769" t="str">
        <f>IF($F985="","",IFERROR(VLOOKUP($C985&amp;"|"&amp;$D985,科目表!$A$5:$B$200,2,FALSE),"※未登録"))</f>
        <v/>
      </c>
      <c r="R985" s="769" t="str">
        <f>IF($F985="","",$I985+$J985+$K985)</f>
        <v/>
      </c>
      <c r="S985" s="769" t="str">
        <f>IF(OR($F985="",$P985="支払なし",$H985=0,$Q985=""),"",$Q985&amp;"|S|"&amp;(COUNTIF(S$4:S984,$Q985&amp;"|S|*")+1))</f>
        <v/>
      </c>
      <c r="T985" s="769" t="str">
        <f>IF(OR($F985="",$P985="支払なし",$R985=0,$Q985=""),"",$Q985&amp;"|L|"&amp;(COUNTIF(T$4:T984,$Q985&amp;"|L|*")+1))</f>
        <v/>
      </c>
      <c r="U985" s="769" t="str">
        <f>IF($F985="","",13)</f>
        <v/>
      </c>
    </row>
    <row r="986" ht="16.5" customHeight="1" s="186">
      <c r="A986" s="760" t="n"/>
      <c r="B986" s="760" t="n"/>
      <c r="C986" s="762" t="n"/>
      <c r="D986" s="762" t="n"/>
      <c r="E986" s="775" t="n"/>
      <c r="F986" s="821" t="n"/>
      <c r="G986" s="821" t="n"/>
      <c r="H986" s="818">
        <f>IF(G986=1,F986-I986-J986-K986,IF(G986=2,F986,0))</f>
        <v>0</v>
      </c>
      <c r="I986" s="818">
        <f>ROUND(IF(G986=1,F986*10/23,IF(G986=3,F986-J986-K986,IF(G986=4,F986,IF(G986=5,F986*10/11,IF(G986=7,F986*10/11,0))))),0)</f>
        <v>0</v>
      </c>
      <c r="J986" s="818">
        <f>ROUND(IF(G986=1,F986/23,IF(G986=3,F986/12,IF(G986=5,F986-I986,IF(G986=8,F986,0)))),0)</f>
        <v>0</v>
      </c>
      <c r="K986" s="819">
        <f>ROUND(IF(G986=1,F986/23,IF(G986=3,F986/12,IF(G986=6,F986,IF(G986=7,F986-I986,0)))),0)</f>
        <v>0</v>
      </c>
      <c r="L986" s="820">
        <f>IF(G986=6,F986,0)</f>
        <v>0</v>
      </c>
      <c r="P986" s="768" t="n"/>
      <c r="Q986" s="769" t="str">
        <f>IF($F986="","",IFERROR(VLOOKUP($C986&amp;"|"&amp;$D986,科目表!$A$5:$B$200,2,FALSE),"※未登録"))</f>
        <v/>
      </c>
      <c r="R986" s="769" t="str">
        <f>IF($F986="","",$I986+$J986+$K986)</f>
        <v/>
      </c>
      <c r="S986" s="769" t="str">
        <f>IF(OR($F986="",$P986="支払なし",$H986=0,$Q986=""),"",$Q986&amp;"|S|"&amp;(COUNTIF(S$4:S985,$Q986&amp;"|S|*")+1))</f>
        <v/>
      </c>
      <c r="T986" s="769" t="str">
        <f>IF(OR($F986="",$P986="支払なし",$R986=0,$Q986=""),"",$Q986&amp;"|L|"&amp;(COUNTIF(T$4:T985,$Q986&amp;"|L|*")+1))</f>
        <v/>
      </c>
      <c r="U986" s="769" t="str">
        <f>IF($F986="","",13)</f>
        <v/>
      </c>
    </row>
    <row r="987" ht="16.5" customHeight="1" s="186">
      <c r="A987" s="760" t="n"/>
      <c r="B987" s="760" t="n"/>
      <c r="C987" s="762" t="n"/>
      <c r="D987" s="762" t="n"/>
      <c r="E987" s="775" t="n"/>
      <c r="F987" s="821" t="n"/>
      <c r="G987" s="821" t="n"/>
      <c r="H987" s="818">
        <f>IF(G987=1,F987-I987-J987-K987,IF(G987=2,F987,0))</f>
        <v>0</v>
      </c>
      <c r="I987" s="818">
        <f>ROUND(IF(G987=1,F987*10/23,IF(G987=3,F987-J987-K987,IF(G987=4,F987,IF(G987=5,F987*10/11,IF(G987=7,F987*10/11,0))))),0)</f>
        <v>0</v>
      </c>
      <c r="J987" s="818">
        <f>ROUND(IF(G987=1,F987/23,IF(G987=3,F987/12,IF(G987=5,F987-I987,IF(G987=8,F987,0)))),0)</f>
        <v>0</v>
      </c>
      <c r="K987" s="819">
        <f>ROUND(IF(G987=1,F987/23,IF(G987=3,F987/12,IF(G987=6,F987,IF(G987=7,F987-I987,0)))),0)</f>
        <v>0</v>
      </c>
      <c r="L987" s="820">
        <f>IF(G987=6,F987,0)</f>
        <v>0</v>
      </c>
      <c r="P987" s="768" t="n"/>
      <c r="Q987" s="769" t="str">
        <f>IF($F987="","",IFERROR(VLOOKUP($C987&amp;"|"&amp;$D987,科目表!$A$5:$B$200,2,FALSE),"※未登録"))</f>
        <v/>
      </c>
      <c r="R987" s="769" t="str">
        <f>IF($F987="","",$I987+$J987+$K987)</f>
        <v/>
      </c>
      <c r="S987" s="769" t="str">
        <f>IF(OR($F987="",$P987="支払なし",$H987=0,$Q987=""),"",$Q987&amp;"|S|"&amp;(COUNTIF(S$4:S986,$Q987&amp;"|S|*")+1))</f>
        <v/>
      </c>
      <c r="T987" s="769" t="str">
        <f>IF(OR($F987="",$P987="支払なし",$R987=0,$Q987=""),"",$Q987&amp;"|L|"&amp;(COUNTIF(T$4:T986,$Q987&amp;"|L|*")+1))</f>
        <v/>
      </c>
      <c r="U987" s="769" t="str">
        <f>IF($F987="","",13)</f>
        <v/>
      </c>
    </row>
    <row r="988" ht="16.5" customHeight="1" s="186">
      <c r="A988" s="760" t="n"/>
      <c r="B988" s="760" t="n"/>
      <c r="C988" s="762" t="n"/>
      <c r="D988" s="762" t="n"/>
      <c r="E988" s="775" t="n"/>
      <c r="F988" s="821" t="n"/>
      <c r="G988" s="821" t="n"/>
      <c r="H988" s="818">
        <f>IF(G988=1,F988-I988-J988-K988,IF(G988=2,F988,0))</f>
        <v>0</v>
      </c>
      <c r="I988" s="818">
        <f>ROUND(IF(G988=1,F988*10/23,IF(G988=3,F988-J988-K988,IF(G988=4,F988,IF(G988=5,F988*10/11,IF(G988=7,F988*10/11,0))))),0)</f>
        <v>0</v>
      </c>
      <c r="J988" s="818">
        <f>ROUND(IF(G988=1,F988/23,IF(G988=3,F988/12,IF(G988=5,F988-I988,IF(G988=8,F988,0)))),0)</f>
        <v>0</v>
      </c>
      <c r="K988" s="819">
        <f>ROUND(IF(G988=1,F988/23,IF(G988=3,F988/12,IF(G988=6,F988,IF(G988=7,F988-I988,0)))),0)</f>
        <v>0</v>
      </c>
      <c r="L988" s="820">
        <f>IF(G988=6,F988,0)</f>
        <v>0</v>
      </c>
      <c r="P988" s="768" t="n"/>
      <c r="Q988" s="769" t="str">
        <f>IF($F988="","",IFERROR(VLOOKUP($C988&amp;"|"&amp;$D988,科目表!$A$5:$B$200,2,FALSE),"※未登録"))</f>
        <v/>
      </c>
      <c r="R988" s="769" t="str">
        <f>IF($F988="","",$I988+$J988+$K988)</f>
        <v/>
      </c>
      <c r="S988" s="769" t="str">
        <f>IF(OR($F988="",$P988="支払なし",$H988=0,$Q988=""),"",$Q988&amp;"|S|"&amp;(COUNTIF(S$4:S987,$Q988&amp;"|S|*")+1))</f>
        <v/>
      </c>
      <c r="T988" s="769" t="str">
        <f>IF(OR($F988="",$P988="支払なし",$R988=0,$Q988=""),"",$Q988&amp;"|L|"&amp;(COUNTIF(T$4:T987,$Q988&amp;"|L|*")+1))</f>
        <v/>
      </c>
      <c r="U988" s="769" t="str">
        <f>IF($F988="","",13)</f>
        <v/>
      </c>
    </row>
    <row r="989" ht="16.5" customHeight="1" s="186">
      <c r="A989" s="760" t="n"/>
      <c r="B989" s="760" t="n"/>
      <c r="C989" s="762" t="n"/>
      <c r="D989" s="762" t="n"/>
      <c r="E989" s="775" t="n"/>
      <c r="F989" s="821" t="n"/>
      <c r="G989" s="821" t="n"/>
      <c r="H989" s="818">
        <f>IF(G989=1,F989-I989-J989-K989,IF(G989=2,F989,0))</f>
        <v>0</v>
      </c>
      <c r="I989" s="818">
        <f>ROUND(IF(G989=1,F989*10/23,IF(G989=3,F989-J989-K989,IF(G989=4,F989,IF(G989=5,F989*10/11,IF(G989=7,F989*10/11,0))))),0)</f>
        <v>0</v>
      </c>
      <c r="J989" s="818">
        <f>ROUND(IF(G989=1,F989/23,IF(G989=3,F989/12,IF(G989=5,F989-I989,IF(G989=8,F989,0)))),0)</f>
        <v>0</v>
      </c>
      <c r="K989" s="819">
        <f>ROUND(IF(G989=1,F989/23,IF(G989=3,F989/12,IF(G989=6,F989,IF(G989=7,F989-I989,0)))),0)</f>
        <v>0</v>
      </c>
      <c r="L989" s="820">
        <f>IF(G989=6,F989,0)</f>
        <v>0</v>
      </c>
      <c r="P989" s="768" t="n"/>
      <c r="Q989" s="769" t="str">
        <f>IF($F989="","",IFERROR(VLOOKUP($C989&amp;"|"&amp;$D989,科目表!$A$5:$B$200,2,FALSE),"※未登録"))</f>
        <v/>
      </c>
      <c r="R989" s="769" t="str">
        <f>IF($F989="","",$I989+$J989+$K989)</f>
        <v/>
      </c>
      <c r="S989" s="769" t="str">
        <f>IF(OR($F989="",$P989="支払なし",$H989=0,$Q989=""),"",$Q989&amp;"|S|"&amp;(COUNTIF(S$4:S988,$Q989&amp;"|S|*")+1))</f>
        <v/>
      </c>
      <c r="T989" s="769" t="str">
        <f>IF(OR($F989="",$P989="支払なし",$R989=0,$Q989=""),"",$Q989&amp;"|L|"&amp;(COUNTIF(T$4:T988,$Q989&amp;"|L|*")+1))</f>
        <v/>
      </c>
      <c r="U989" s="769" t="str">
        <f>IF($F989="","",13)</f>
        <v/>
      </c>
    </row>
    <row r="990" ht="16.5" customHeight="1" s="186">
      <c r="A990" s="760" t="n"/>
      <c r="B990" s="760" t="n"/>
      <c r="C990" s="762" t="n"/>
      <c r="D990" s="762" t="n"/>
      <c r="E990" s="775" t="n"/>
      <c r="F990" s="821" t="n"/>
      <c r="G990" s="821" t="n"/>
      <c r="H990" s="818">
        <f>IF(G990=1,F990-I990-J990-K990,IF(G990=2,F990,0))</f>
        <v>0</v>
      </c>
      <c r="I990" s="818">
        <f>ROUND(IF(G990=1,F990*10/23,IF(G990=3,F990-J990-K990,IF(G990=4,F990,IF(G990=5,F990*10/11,IF(G990=7,F990*10/11,0))))),0)</f>
        <v>0</v>
      </c>
      <c r="J990" s="818">
        <f>ROUND(IF(G990=1,F990/23,IF(G990=3,F990/12,IF(G990=5,F990-I990,IF(G990=8,F990,0)))),0)</f>
        <v>0</v>
      </c>
      <c r="K990" s="819">
        <f>ROUND(IF(G990=1,F990/23,IF(G990=3,F990/12,IF(G990=6,F990,IF(G990=7,F990-I990,0)))),0)</f>
        <v>0</v>
      </c>
      <c r="L990" s="820">
        <f>IF(G990=6,F990,0)</f>
        <v>0</v>
      </c>
      <c r="P990" s="768" t="n"/>
      <c r="Q990" s="769" t="str">
        <f>IF($F990="","",IFERROR(VLOOKUP($C990&amp;"|"&amp;$D990,科目表!$A$5:$B$200,2,FALSE),"※未登録"))</f>
        <v/>
      </c>
      <c r="R990" s="769" t="str">
        <f>IF($F990="","",$I990+$J990+$K990)</f>
        <v/>
      </c>
      <c r="S990" s="769" t="str">
        <f>IF(OR($F990="",$P990="支払なし",$H990=0,$Q990=""),"",$Q990&amp;"|S|"&amp;(COUNTIF(S$4:S989,$Q990&amp;"|S|*")+1))</f>
        <v/>
      </c>
      <c r="T990" s="769" t="str">
        <f>IF(OR($F990="",$P990="支払なし",$R990=0,$Q990=""),"",$Q990&amp;"|L|"&amp;(COUNTIF(T$4:T989,$Q990&amp;"|L|*")+1))</f>
        <v/>
      </c>
      <c r="U990" s="769" t="str">
        <f>IF($F990="","",13)</f>
        <v/>
      </c>
    </row>
    <row r="991" ht="16.5" customHeight="1" s="186">
      <c r="A991" s="760" t="n"/>
      <c r="B991" s="760" t="n"/>
      <c r="C991" s="762" t="n"/>
      <c r="D991" s="762" t="n"/>
      <c r="E991" s="775" t="n"/>
      <c r="F991" s="821" t="n"/>
      <c r="G991" s="821" t="n"/>
      <c r="H991" s="818">
        <f>IF(G991=1,F991-I991-J991-K991,IF(G991=2,F991,0))</f>
        <v>0</v>
      </c>
      <c r="I991" s="818">
        <f>ROUND(IF(G991=1,F991*10/23,IF(G991=3,F991-J991-K991,IF(G991=4,F991,IF(G991=5,F991*10/11,IF(G991=7,F991*10/11,0))))),0)</f>
        <v>0</v>
      </c>
      <c r="J991" s="818">
        <f>ROUND(IF(G991=1,F991/23,IF(G991=3,F991/12,IF(G991=5,F991-I991,IF(G991=8,F991,0)))),0)</f>
        <v>0</v>
      </c>
      <c r="K991" s="819">
        <f>ROUND(IF(G991=1,F991/23,IF(G991=3,F991/12,IF(G991=6,F991,IF(G991=7,F991-I991,0)))),0)</f>
        <v>0</v>
      </c>
      <c r="L991" s="820">
        <f>IF(G991=6,F991,0)</f>
        <v>0</v>
      </c>
      <c r="P991" s="768" t="n"/>
      <c r="Q991" s="769" t="str">
        <f>IF($F991="","",IFERROR(VLOOKUP($C991&amp;"|"&amp;$D991,科目表!$A$5:$B$200,2,FALSE),"※未登録"))</f>
        <v/>
      </c>
      <c r="R991" s="769" t="str">
        <f>IF($F991="","",$I991+$J991+$K991)</f>
        <v/>
      </c>
      <c r="S991" s="769" t="str">
        <f>IF(OR($F991="",$P991="支払なし",$H991=0,$Q991=""),"",$Q991&amp;"|S|"&amp;(COUNTIF(S$4:S990,$Q991&amp;"|S|*")+1))</f>
        <v/>
      </c>
      <c r="T991" s="769" t="str">
        <f>IF(OR($F991="",$P991="支払なし",$R991=0,$Q991=""),"",$Q991&amp;"|L|"&amp;(COUNTIF(T$4:T990,$Q991&amp;"|L|*")+1))</f>
        <v/>
      </c>
      <c r="U991" s="769" t="str">
        <f>IF($F991="","",13)</f>
        <v/>
      </c>
    </row>
    <row r="992" ht="16.5" customHeight="1" s="186">
      <c r="A992" s="760" t="n"/>
      <c r="B992" s="760" t="n"/>
      <c r="C992" s="762" t="n"/>
      <c r="D992" s="762" t="n"/>
      <c r="E992" s="775" t="n"/>
      <c r="F992" s="821" t="n"/>
      <c r="G992" s="821" t="n"/>
      <c r="H992" s="818">
        <f>IF(G992=1,F992-I992-J992-K992,IF(G992=2,F992,0))</f>
        <v>0</v>
      </c>
      <c r="I992" s="818">
        <f>ROUND(IF(G992=1,F992*10/23,IF(G992=3,F992-J992-K992,IF(G992=4,F992,IF(G992=5,F992*10/11,IF(G992=7,F992*10/11,0))))),0)</f>
        <v>0</v>
      </c>
      <c r="J992" s="818">
        <f>ROUND(IF(G992=1,F992/23,IF(G992=3,F992/12,IF(G992=5,F992-I992,IF(G992=8,F992,0)))),0)</f>
        <v>0</v>
      </c>
      <c r="K992" s="819">
        <f>ROUND(IF(G992=1,F992/23,IF(G992=3,F992/12,IF(G992=6,F992,IF(G992=7,F992-I992,0)))),0)</f>
        <v>0</v>
      </c>
      <c r="L992" s="820">
        <f>IF(G992=6,F992,0)</f>
        <v>0</v>
      </c>
      <c r="P992" s="768" t="n"/>
      <c r="Q992" s="769" t="str">
        <f>IF($F992="","",IFERROR(VLOOKUP($C992&amp;"|"&amp;$D992,科目表!$A$5:$B$200,2,FALSE),"※未登録"))</f>
        <v/>
      </c>
      <c r="R992" s="769" t="str">
        <f>IF($F992="","",$I992+$J992+$K992)</f>
        <v/>
      </c>
      <c r="S992" s="769" t="str">
        <f>IF(OR($F992="",$P992="支払なし",$H992=0,$Q992=""),"",$Q992&amp;"|S|"&amp;(COUNTIF(S$4:S991,$Q992&amp;"|S|*")+1))</f>
        <v/>
      </c>
      <c r="T992" s="769" t="str">
        <f>IF(OR($F992="",$P992="支払なし",$R992=0,$Q992=""),"",$Q992&amp;"|L|"&amp;(COUNTIF(T$4:T991,$Q992&amp;"|L|*")+1))</f>
        <v/>
      </c>
      <c r="U992" s="769" t="str">
        <f>IF($F992="","",13)</f>
        <v/>
      </c>
    </row>
    <row r="993" ht="16.5" customHeight="1" s="186">
      <c r="A993" s="760" t="n"/>
      <c r="B993" s="760" t="n"/>
      <c r="C993" s="762" t="n"/>
      <c r="D993" s="762" t="n"/>
      <c r="E993" s="775" t="n"/>
      <c r="F993" s="821" t="n"/>
      <c r="G993" s="821" t="n"/>
      <c r="H993" s="818">
        <f>IF(G993=1,F993-I993-J993-K993,IF(G993=2,F993,0))</f>
        <v>0</v>
      </c>
      <c r="I993" s="818">
        <f>ROUND(IF(G993=1,F993*10/23,IF(G993=3,F993-J993-K993,IF(G993=4,F993,IF(G993=5,F993*10/11,IF(G993=7,F993*10/11,0))))),0)</f>
        <v>0</v>
      </c>
      <c r="J993" s="818">
        <f>ROUND(IF(G993=1,F993/23,IF(G993=3,F993/12,IF(G993=5,F993-I993,IF(G993=8,F993,0)))),0)</f>
        <v>0</v>
      </c>
      <c r="K993" s="819">
        <f>ROUND(IF(G993=1,F993/23,IF(G993=3,F993/12,IF(G993=6,F993,IF(G993=7,F993-I993,0)))),0)</f>
        <v>0</v>
      </c>
      <c r="L993" s="820">
        <f>IF(G993=6,F993,0)</f>
        <v>0</v>
      </c>
      <c r="P993" s="768" t="n"/>
      <c r="Q993" s="769" t="str">
        <f>IF($F993="","",IFERROR(VLOOKUP($C993&amp;"|"&amp;$D993,科目表!$A$5:$B$200,2,FALSE),"※未登録"))</f>
        <v/>
      </c>
      <c r="R993" s="769" t="str">
        <f>IF($F993="","",$I993+$J993+$K993)</f>
        <v/>
      </c>
      <c r="S993" s="769" t="str">
        <f>IF(OR($F993="",$P993="支払なし",$H993=0,$Q993=""),"",$Q993&amp;"|S|"&amp;(COUNTIF(S$4:S992,$Q993&amp;"|S|*")+1))</f>
        <v/>
      </c>
      <c r="T993" s="769" t="str">
        <f>IF(OR($F993="",$P993="支払なし",$R993=0,$Q993=""),"",$Q993&amp;"|L|"&amp;(COUNTIF(T$4:T992,$Q993&amp;"|L|*")+1))</f>
        <v/>
      </c>
      <c r="U993" s="769" t="str">
        <f>IF($F993="","",13)</f>
        <v/>
      </c>
    </row>
    <row r="994" ht="16.5" customHeight="1" s="186">
      <c r="A994" s="760" t="n"/>
      <c r="B994" s="760" t="n"/>
      <c r="C994" s="762" t="n"/>
      <c r="D994" s="762" t="n"/>
      <c r="E994" s="775" t="n"/>
      <c r="F994" s="821" t="n"/>
      <c r="G994" s="821" t="n"/>
      <c r="H994" s="818">
        <f>IF(G994=1,F994-I994-J994-K994,IF(G994=2,F994,0))</f>
        <v>0</v>
      </c>
      <c r="I994" s="818">
        <f>ROUND(IF(G994=1,F994*10/23,IF(G994=3,F994-J994-K994,IF(G994=4,F994,IF(G994=5,F994*10/11,IF(G994=7,F994*10/11,0))))),0)</f>
        <v>0</v>
      </c>
      <c r="J994" s="818">
        <f>ROUND(IF(G994=1,F994/23,IF(G994=3,F994/12,IF(G994=5,F994-I994,IF(G994=8,F994,0)))),0)</f>
        <v>0</v>
      </c>
      <c r="K994" s="819">
        <f>ROUND(IF(G994=1,F994/23,IF(G994=3,F994/12,IF(G994=6,F994,IF(G994=7,F994-I994,0)))),0)</f>
        <v>0</v>
      </c>
      <c r="L994" s="820">
        <f>IF(G994=6,F994,0)</f>
        <v>0</v>
      </c>
      <c r="P994" s="768" t="n"/>
      <c r="Q994" s="769" t="str">
        <f>IF($F994="","",IFERROR(VLOOKUP($C994&amp;"|"&amp;$D994,科目表!$A$5:$B$200,2,FALSE),"※未登録"))</f>
        <v/>
      </c>
      <c r="R994" s="769" t="str">
        <f>IF($F994="","",$I994+$J994+$K994)</f>
        <v/>
      </c>
      <c r="S994" s="769" t="str">
        <f>IF(OR($F994="",$P994="支払なし",$H994=0,$Q994=""),"",$Q994&amp;"|S|"&amp;(COUNTIF(S$4:S993,$Q994&amp;"|S|*")+1))</f>
        <v/>
      </c>
      <c r="T994" s="769" t="str">
        <f>IF(OR($F994="",$P994="支払なし",$R994=0,$Q994=""),"",$Q994&amp;"|L|"&amp;(COUNTIF(T$4:T993,$Q994&amp;"|L|*")+1))</f>
        <v/>
      </c>
      <c r="U994" s="769" t="str">
        <f>IF($F994="","",13)</f>
        <v/>
      </c>
    </row>
    <row r="995" ht="16.5" customHeight="1" s="186">
      <c r="A995" s="760" t="n"/>
      <c r="B995" s="760" t="n"/>
      <c r="C995" s="762" t="n"/>
      <c r="D995" s="762" t="n"/>
      <c r="E995" s="775" t="n"/>
      <c r="F995" s="821" t="n"/>
      <c r="G995" s="821" t="n"/>
      <c r="H995" s="818">
        <f>IF(G995=1,F995-I995-J995-K995,IF(G995=2,F995,0))</f>
        <v>0</v>
      </c>
      <c r="I995" s="818">
        <f>ROUND(IF(G995=1,F995*10/23,IF(G995=3,F995-J995-K995,IF(G995=4,F995,IF(G995=5,F995*10/11,IF(G995=7,F995*10/11,0))))),0)</f>
        <v>0</v>
      </c>
      <c r="J995" s="818">
        <f>ROUND(IF(G995=1,F995/23,IF(G995=3,F995/12,IF(G995=5,F995-I995,IF(G995=8,F995,0)))),0)</f>
        <v>0</v>
      </c>
      <c r="K995" s="819">
        <f>ROUND(IF(G995=1,F995/23,IF(G995=3,F995/12,IF(G995=6,F995,IF(G995=7,F995-I995,0)))),0)</f>
        <v>0</v>
      </c>
      <c r="L995" s="820">
        <f>IF(G995=6,F995,0)</f>
        <v>0</v>
      </c>
      <c r="P995" s="768" t="n"/>
      <c r="Q995" s="769" t="str">
        <f>IF($F995="","",IFERROR(VLOOKUP($C995&amp;"|"&amp;$D995,科目表!$A$5:$B$200,2,FALSE),"※未登録"))</f>
        <v/>
      </c>
      <c r="R995" s="769" t="str">
        <f>IF($F995="","",$I995+$J995+$K995)</f>
        <v/>
      </c>
      <c r="S995" s="769" t="str">
        <f>IF(OR($F995="",$P995="支払なし",$H995=0,$Q995=""),"",$Q995&amp;"|S|"&amp;(COUNTIF(S$4:S994,$Q995&amp;"|S|*")+1))</f>
        <v/>
      </c>
      <c r="T995" s="769" t="str">
        <f>IF(OR($F995="",$P995="支払なし",$R995=0,$Q995=""),"",$Q995&amp;"|L|"&amp;(COUNTIF(T$4:T994,$Q995&amp;"|L|*")+1))</f>
        <v/>
      </c>
      <c r="U995" s="769" t="str">
        <f>IF($F995="","",13)</f>
        <v/>
      </c>
    </row>
    <row r="996" ht="16.5" customHeight="1" s="186">
      <c r="A996" s="760" t="n"/>
      <c r="B996" s="760" t="n"/>
      <c r="C996" s="762" t="n"/>
      <c r="D996" s="762" t="n"/>
      <c r="E996" s="775" t="n"/>
      <c r="F996" s="821" t="n"/>
      <c r="G996" s="821" t="n"/>
      <c r="H996" s="818">
        <f>IF(G996=1,F996-I996-J996-K996,IF(G996=2,F996,0))</f>
        <v>0</v>
      </c>
      <c r="I996" s="818">
        <f>ROUND(IF(G996=1,F996*10/23,IF(G996=3,F996-J996-K996,IF(G996=4,F996,IF(G996=5,F996*10/11,IF(G996=7,F996*10/11,0))))),0)</f>
        <v>0</v>
      </c>
      <c r="J996" s="818">
        <f>ROUND(IF(G996=1,F996/23,IF(G996=3,F996/12,IF(G996=5,F996-I996,IF(G996=8,F996,0)))),0)</f>
        <v>0</v>
      </c>
      <c r="K996" s="819">
        <f>ROUND(IF(G996=1,F996/23,IF(G996=3,F996/12,IF(G996=6,F996,IF(G996=7,F996-I996,0)))),0)</f>
        <v>0</v>
      </c>
      <c r="L996" s="820">
        <f>IF(G996=6,F996,0)</f>
        <v>0</v>
      </c>
      <c r="P996" s="768" t="n"/>
      <c r="Q996" s="769" t="str">
        <f>IF($F996="","",IFERROR(VLOOKUP($C996&amp;"|"&amp;$D996,科目表!$A$5:$B$200,2,FALSE),"※未登録"))</f>
        <v/>
      </c>
      <c r="R996" s="769" t="str">
        <f>IF($F996="","",$I996+$J996+$K996)</f>
        <v/>
      </c>
      <c r="S996" s="769" t="str">
        <f>IF(OR($F996="",$P996="支払なし",$H996=0,$Q996=""),"",$Q996&amp;"|S|"&amp;(COUNTIF(S$4:S995,$Q996&amp;"|S|*")+1))</f>
        <v/>
      </c>
      <c r="T996" s="769" t="str">
        <f>IF(OR($F996="",$P996="支払なし",$R996=0,$Q996=""),"",$Q996&amp;"|L|"&amp;(COUNTIF(T$4:T995,$Q996&amp;"|L|*")+1))</f>
        <v/>
      </c>
      <c r="U996" s="769" t="str">
        <f>IF($F996="","",13)</f>
        <v/>
      </c>
    </row>
    <row r="997" ht="16.5" customHeight="1" s="186">
      <c r="A997" s="760" t="n"/>
      <c r="B997" s="760" t="n"/>
      <c r="C997" s="762" t="n"/>
      <c r="D997" s="762" t="n"/>
      <c r="E997" s="775" t="n"/>
      <c r="F997" s="821" t="n"/>
      <c r="G997" s="821" t="n"/>
      <c r="H997" s="818">
        <f>IF(G997=1,F997-I997-J997-K997,IF(G997=2,F997,0))</f>
        <v>0</v>
      </c>
      <c r="I997" s="818">
        <f>ROUND(IF(G997=1,F997*10/23,IF(G997=3,F997-J997-K997,IF(G997=4,F997,IF(G997=5,F997*10/11,IF(G997=7,F997*10/11,0))))),0)</f>
        <v>0</v>
      </c>
      <c r="J997" s="818">
        <f>ROUND(IF(G997=1,F997/23,IF(G997=3,F997/12,IF(G997=5,F997-I997,IF(G997=8,F997,0)))),0)</f>
        <v>0</v>
      </c>
      <c r="K997" s="819">
        <f>ROUND(IF(G997=1,F997/23,IF(G997=3,F997/12,IF(G997=6,F997,IF(G997=7,F997-I997,0)))),0)</f>
        <v>0</v>
      </c>
      <c r="L997" s="820">
        <f>IF(G997=6,F997,0)</f>
        <v>0</v>
      </c>
      <c r="P997" s="768" t="n"/>
      <c r="Q997" s="769" t="str">
        <f>IF($F997="","",IFERROR(VLOOKUP($C997&amp;"|"&amp;$D997,科目表!$A$5:$B$200,2,FALSE),"※未登録"))</f>
        <v/>
      </c>
      <c r="R997" s="769" t="str">
        <f>IF($F997="","",$I997+$J997+$K997)</f>
        <v/>
      </c>
      <c r="S997" s="769" t="str">
        <f>IF(OR($F997="",$P997="支払なし",$H997=0,$Q997=""),"",$Q997&amp;"|S|"&amp;(COUNTIF(S$4:S996,$Q997&amp;"|S|*")+1))</f>
        <v/>
      </c>
      <c r="T997" s="769" t="str">
        <f>IF(OR($F997="",$P997="支払なし",$R997=0,$Q997=""),"",$Q997&amp;"|L|"&amp;(COUNTIF(T$4:T996,$Q997&amp;"|L|*")+1))</f>
        <v/>
      </c>
      <c r="U997" s="769" t="str">
        <f>IF($F997="","",13)</f>
        <v/>
      </c>
    </row>
    <row r="998" ht="16.5" customHeight="1" s="186">
      <c r="A998" s="760" t="n"/>
      <c r="B998" s="760" t="n"/>
      <c r="C998" s="762" t="n"/>
      <c r="D998" s="762" t="n"/>
      <c r="E998" s="775" t="n"/>
      <c r="F998" s="821" t="n"/>
      <c r="G998" s="821" t="n"/>
      <c r="H998" s="818">
        <f>IF(G998=1,F998-I998-J998-K998,IF(G998=2,F998,0))</f>
        <v>0</v>
      </c>
      <c r="I998" s="818">
        <f>ROUND(IF(G998=1,F998*10/23,IF(G998=3,F998-J998-K998,IF(G998=4,F998,IF(G998=5,F998*10/11,IF(G998=7,F998*10/11,0))))),0)</f>
        <v>0</v>
      </c>
      <c r="J998" s="818">
        <f>ROUND(IF(G998=1,F998/23,IF(G998=3,F998/12,IF(G998=5,F998-I998,IF(G998=8,F998,0)))),0)</f>
        <v>0</v>
      </c>
      <c r="K998" s="819">
        <f>ROUND(IF(G998=1,F998/23,IF(G998=3,F998/12,IF(G998=6,F998,IF(G998=7,F998-I998,0)))),0)</f>
        <v>0</v>
      </c>
      <c r="L998" s="820">
        <f>IF(G998=6,F998,0)</f>
        <v>0</v>
      </c>
      <c r="P998" s="768" t="n"/>
      <c r="Q998" s="769" t="str">
        <f>IF($F998="","",IFERROR(VLOOKUP($C998&amp;"|"&amp;$D998,科目表!$A$5:$B$200,2,FALSE),"※未登録"))</f>
        <v/>
      </c>
      <c r="R998" s="769" t="str">
        <f>IF($F998="","",$I998+$J998+$K998)</f>
        <v/>
      </c>
      <c r="S998" s="769" t="str">
        <f>IF(OR($F998="",$P998="支払なし",$H998=0,$Q998=""),"",$Q998&amp;"|S|"&amp;(COUNTIF(S$4:S997,$Q998&amp;"|S|*")+1))</f>
        <v/>
      </c>
      <c r="T998" s="769" t="str">
        <f>IF(OR($F998="",$P998="支払なし",$R998=0,$Q998=""),"",$Q998&amp;"|L|"&amp;(COUNTIF(T$4:T997,$Q998&amp;"|L|*")+1))</f>
        <v/>
      </c>
      <c r="U998" s="769" t="str">
        <f>IF($F998="","",13)</f>
        <v/>
      </c>
    </row>
    <row r="999" ht="16.5" customHeight="1" s="186">
      <c r="A999" s="760" t="n"/>
      <c r="B999" s="760" t="n"/>
      <c r="C999" s="762" t="n"/>
      <c r="D999" s="762" t="n"/>
      <c r="E999" s="775" t="n"/>
      <c r="F999" s="821" t="n"/>
      <c r="G999" s="821" t="n"/>
      <c r="H999" s="818">
        <f>IF(G999=1,F999-I999-J999-K999,IF(G999=2,F999,0))</f>
        <v>0</v>
      </c>
      <c r="I999" s="818">
        <f>ROUND(IF(G999=1,F999*10/23,IF(G999=3,F999-J999-K999,IF(G999=4,F999,IF(G999=5,F999*10/11,IF(G999=7,F999*10/11,0))))),0)</f>
        <v>0</v>
      </c>
      <c r="J999" s="818">
        <f>ROUND(IF(G999=1,F999/23,IF(G999=3,F999/12,IF(G999=5,F999-I999,IF(G999=8,F999,0)))),0)</f>
        <v>0</v>
      </c>
      <c r="K999" s="819">
        <f>ROUND(IF(G999=1,F999/23,IF(G999=3,F999/12,IF(G999=6,F999,IF(G999=7,F999-I999,0)))),0)</f>
        <v>0</v>
      </c>
      <c r="L999" s="820">
        <f>IF(G999=6,F999,0)</f>
        <v>0</v>
      </c>
      <c r="P999" s="768" t="n"/>
      <c r="Q999" s="769" t="str">
        <f>IF($F999="","",IFERROR(VLOOKUP($C999&amp;"|"&amp;$D999,科目表!$A$5:$B$200,2,FALSE),"※未登録"))</f>
        <v/>
      </c>
      <c r="R999" s="769" t="str">
        <f>IF($F999="","",$I999+$J999+$K999)</f>
        <v/>
      </c>
      <c r="S999" s="769" t="str">
        <f>IF(OR($F999="",$P999="支払なし",$H999=0,$Q999=""),"",$Q999&amp;"|S|"&amp;(COUNTIF(S$4:S998,$Q999&amp;"|S|*")+1))</f>
        <v/>
      </c>
      <c r="T999" s="769" t="str">
        <f>IF(OR($F999="",$P999="支払なし",$R999=0,$Q999=""),"",$Q999&amp;"|L|"&amp;(COUNTIF(T$4:T998,$Q999&amp;"|L|*")+1))</f>
        <v/>
      </c>
      <c r="U999" s="769" t="str">
        <f>IF($F999="","",13)</f>
        <v/>
      </c>
    </row>
    <row r="1000" ht="16.5" customHeight="1" s="186">
      <c r="A1000" s="760" t="n"/>
      <c r="B1000" s="760" t="n"/>
      <c r="C1000" s="762" t="n"/>
      <c r="D1000" s="762" t="n"/>
      <c r="E1000" s="775" t="n"/>
      <c r="F1000" s="821" t="n"/>
      <c r="G1000" s="821" t="n"/>
      <c r="H1000" s="818">
        <f>IF(G1000=1,F1000-I1000-J1000-K1000,IF(G1000=2,F1000,0))</f>
        <v>0</v>
      </c>
      <c r="I1000" s="818">
        <f>ROUND(IF(G1000=1,F1000*10/23,IF(G1000=3,F1000-J1000-K1000,IF(G1000=4,F1000,IF(G1000=5,F1000*10/11,IF(G1000=7,F1000*10/11,0))))),0)</f>
        <v>0</v>
      </c>
      <c r="J1000" s="818">
        <f>ROUND(IF(G1000=1,F1000/23,IF(G1000=3,F1000/12,IF(G1000=5,F1000-I1000,IF(G1000=8,F1000,0)))),0)</f>
        <v>0</v>
      </c>
      <c r="K1000" s="819">
        <f>ROUND(IF(G1000=1,F1000/23,IF(G1000=3,F1000/12,IF(G1000=6,F1000,IF(G1000=7,F1000-I1000,0)))),0)</f>
        <v>0</v>
      </c>
      <c r="L1000" s="820">
        <f>IF(G1000=6,F1000,0)</f>
        <v>0</v>
      </c>
      <c r="P1000" s="768" t="n"/>
      <c r="Q1000" s="769" t="str">
        <f>IF($F1000="","",IFERROR(VLOOKUP($C1000&amp;"|"&amp;$D1000,科目表!$A$5:$B$200,2,FALSE),"※未登録"))</f>
        <v/>
      </c>
      <c r="R1000" s="769" t="str">
        <f>IF($F1000="","",$I1000+$J1000+$K1000)</f>
        <v/>
      </c>
      <c r="S1000" s="769" t="str">
        <f>IF(OR($F1000="",$P1000="支払なし",$H1000=0,$Q1000=""),"",$Q1000&amp;"|S|"&amp;(COUNTIF(S$4:S999,$Q1000&amp;"|S|*")+1))</f>
        <v/>
      </c>
      <c r="T1000" s="769" t="str">
        <f>IF(OR($F1000="",$P1000="支払なし",$R1000=0,$Q1000=""),"",$Q1000&amp;"|L|"&amp;(COUNTIF(T$4:T999,$Q1000&amp;"|L|*")+1))</f>
        <v/>
      </c>
      <c r="U1000" s="769" t="str">
        <f>IF($F1000="","",13)</f>
        <v/>
      </c>
    </row>
    <row r="1001" ht="16.5" customHeight="1" s="186">
      <c r="A1001" s="760" t="n"/>
      <c r="B1001" s="760" t="n"/>
      <c r="C1001" s="762" t="n"/>
      <c r="D1001" s="762" t="n"/>
      <c r="E1001" s="775" t="n"/>
      <c r="F1001" s="821" t="n"/>
      <c r="G1001" s="821" t="n"/>
      <c r="H1001" s="818">
        <f>IF(G1001=1,F1001-I1001-J1001-K1001,IF(G1001=2,F1001,0))</f>
        <v>0</v>
      </c>
      <c r="I1001" s="818">
        <f>ROUND(IF(G1001=1,F1001*10/23,IF(G1001=3,F1001-J1001-K1001,IF(G1001=4,F1001,IF(G1001=5,F1001*10/11,IF(G1001=7,F1001*10/11,0))))),0)</f>
        <v>0</v>
      </c>
      <c r="J1001" s="818">
        <f>ROUND(IF(G1001=1,F1001/23,IF(G1001=3,F1001/12,IF(G1001=5,F1001-I1001,IF(G1001=8,F1001,0)))),0)</f>
        <v>0</v>
      </c>
      <c r="K1001" s="819">
        <f>ROUND(IF(G1001=1,F1001/23,IF(G1001=3,F1001/12,IF(G1001=6,F1001,IF(G1001=7,F1001-I1001,0)))),0)</f>
        <v>0</v>
      </c>
      <c r="L1001" s="820">
        <f>IF(G1001=6,F1001,0)</f>
        <v>0</v>
      </c>
      <c r="P1001" s="768" t="n"/>
      <c r="Q1001" s="769" t="str">
        <f>IF($F1001="","",IFERROR(VLOOKUP($C1001&amp;"|"&amp;$D1001,科目表!$A$5:$B$200,2,FALSE),"※未登録"))</f>
        <v/>
      </c>
      <c r="R1001" s="769" t="str">
        <f>IF($F1001="","",$I1001+$J1001+$K1001)</f>
        <v/>
      </c>
      <c r="S1001" s="769" t="str">
        <f>IF(OR($F1001="",$P1001="支払なし",$H1001=0,$Q1001=""),"",$Q1001&amp;"|S|"&amp;(COUNTIF(S$4:S1000,$Q1001&amp;"|S|*")+1))</f>
        <v/>
      </c>
      <c r="T1001" s="769" t="str">
        <f>IF(OR($F1001="",$P1001="支払なし",$R1001=0,$Q1001=""),"",$Q1001&amp;"|L|"&amp;(COUNTIF(T$4:T1000,$Q1001&amp;"|L|*")+1))</f>
        <v/>
      </c>
      <c r="U1001" s="769" t="str">
        <f>IF($F1001="","",13)</f>
        <v/>
      </c>
    </row>
    <row r="1002" ht="16.5" customHeight="1" s="186">
      <c r="A1002" s="760" t="n"/>
      <c r="B1002" s="760" t="n"/>
      <c r="C1002" s="762" t="n"/>
      <c r="D1002" s="762" t="n"/>
      <c r="E1002" s="775" t="n"/>
      <c r="F1002" s="821" t="n"/>
      <c r="G1002" s="821" t="n"/>
      <c r="H1002" s="818">
        <f>IF(G1002=1,F1002-I1002-J1002-K1002,IF(G1002=2,F1002,0))</f>
        <v>0</v>
      </c>
      <c r="I1002" s="818">
        <f>ROUND(IF(G1002=1,F1002*10/23,IF(G1002=3,F1002-J1002-K1002,IF(G1002=4,F1002,IF(G1002=5,F1002*10/11,IF(G1002=7,F1002*10/11,0))))),0)</f>
        <v>0</v>
      </c>
      <c r="J1002" s="818">
        <f>ROUND(IF(G1002=1,F1002/23,IF(G1002=3,F1002/12,IF(G1002=5,F1002-I1002,IF(G1002=8,F1002,0)))),0)</f>
        <v>0</v>
      </c>
      <c r="K1002" s="819">
        <f>ROUND(IF(G1002=1,F1002/23,IF(G1002=3,F1002/12,IF(G1002=6,F1002,IF(G1002=7,F1002-I1002,0)))),0)</f>
        <v>0</v>
      </c>
      <c r="L1002" s="820">
        <f>IF(G1002=6,F1002,0)</f>
        <v>0</v>
      </c>
      <c r="P1002" s="768" t="n"/>
      <c r="Q1002" s="769" t="str">
        <f>IF($F1002="","",IFERROR(VLOOKUP($C1002&amp;"|"&amp;$D1002,科目表!$A$5:$B$200,2,FALSE),"※未登録"))</f>
        <v/>
      </c>
      <c r="R1002" s="769" t="str">
        <f>IF($F1002="","",$I1002+$J1002+$K1002)</f>
        <v/>
      </c>
      <c r="S1002" s="769" t="str">
        <f>IF(OR($F1002="",$P1002="支払なし",$H1002=0,$Q1002=""),"",$Q1002&amp;"|S|"&amp;(COUNTIF(S$4:S1001,$Q1002&amp;"|S|*")+1))</f>
        <v/>
      </c>
      <c r="T1002" s="769" t="str">
        <f>IF(OR($F1002="",$P1002="支払なし",$R1002=0,$Q1002=""),"",$Q1002&amp;"|L|"&amp;(COUNTIF(T$4:T1001,$Q1002&amp;"|L|*")+1))</f>
        <v/>
      </c>
      <c r="U1002" s="769" t="str">
        <f>IF($F1002="","",13)</f>
        <v/>
      </c>
    </row>
    <row r="1003" ht="16.5" customHeight="1" s="186">
      <c r="A1003" s="760" t="n"/>
      <c r="B1003" s="760" t="n"/>
      <c r="C1003" s="762" t="n"/>
      <c r="D1003" s="762" t="n"/>
      <c r="E1003" s="775" t="n"/>
      <c r="F1003" s="821" t="n"/>
      <c r="G1003" s="821" t="n"/>
      <c r="H1003" s="818">
        <f>IF(G1003=1,F1003-I1003-J1003-K1003,IF(G1003=2,F1003,0))</f>
        <v>0</v>
      </c>
      <c r="I1003" s="818">
        <f>ROUND(IF(G1003=1,F1003*10/23,IF(G1003=3,F1003-J1003-K1003,IF(G1003=4,F1003,IF(G1003=5,F1003*10/11,IF(G1003=7,F1003*10/11,0))))),0)</f>
        <v>0</v>
      </c>
      <c r="J1003" s="818">
        <f>ROUND(IF(G1003=1,F1003/23,IF(G1003=3,F1003/12,IF(G1003=5,F1003-I1003,IF(G1003=8,F1003,0)))),0)</f>
        <v>0</v>
      </c>
      <c r="K1003" s="819">
        <f>ROUND(IF(G1003=1,F1003/23,IF(G1003=3,F1003/12,IF(G1003=6,F1003,IF(G1003=7,F1003-I1003,0)))),0)</f>
        <v>0</v>
      </c>
      <c r="L1003" s="820">
        <f>IF(G1003=6,F1003,0)</f>
        <v>0</v>
      </c>
      <c r="P1003" s="768" t="n"/>
      <c r="Q1003" s="769" t="str">
        <f>IF($F1003="","",IFERROR(VLOOKUP($C1003&amp;"|"&amp;$D1003,科目表!$A$5:$B$200,2,FALSE),"※未登録"))</f>
        <v/>
      </c>
      <c r="R1003" s="769" t="str">
        <f>IF($F1003="","",$I1003+$J1003+$K1003)</f>
        <v/>
      </c>
      <c r="S1003" s="769" t="str">
        <f>IF(OR($F1003="",$P1003="支払なし",$H1003=0,$Q1003=""),"",$Q1003&amp;"|S|"&amp;(COUNTIF(S$4:S1002,$Q1003&amp;"|S|*")+1))</f>
        <v/>
      </c>
      <c r="T1003" s="769" t="str">
        <f>IF(OR($F1003="",$P1003="支払なし",$R1003=0,$Q1003=""),"",$Q1003&amp;"|L|"&amp;(COUNTIF(T$4:T1002,$Q1003&amp;"|L|*")+1))</f>
        <v/>
      </c>
      <c r="U1003" s="769" t="str">
        <f>IF($F1003="","",13)</f>
        <v/>
      </c>
    </row>
    <row r="1004" ht="16.5" customHeight="1" s="186">
      <c r="A1004" s="760" t="n"/>
      <c r="B1004" s="760" t="n"/>
      <c r="C1004" s="762" t="n"/>
      <c r="D1004" s="762" t="n"/>
      <c r="E1004" s="775" t="n"/>
      <c r="F1004" s="821" t="n"/>
      <c r="G1004" s="821" t="n"/>
      <c r="H1004" s="818">
        <f>IF(G1004=1,F1004-I1004-J1004-K1004,IF(G1004=2,F1004,0))</f>
        <v>0</v>
      </c>
      <c r="I1004" s="818">
        <f>ROUND(IF(G1004=1,F1004*10/23,IF(G1004=3,F1004-J1004-K1004,IF(G1004=4,F1004,IF(G1004=5,F1004*10/11,IF(G1004=7,F1004*10/11,0))))),0)</f>
        <v>0</v>
      </c>
      <c r="J1004" s="818">
        <f>ROUND(IF(G1004=1,F1004/23,IF(G1004=3,F1004/12,IF(G1004=5,F1004-I1004,IF(G1004=8,F1004,0)))),0)</f>
        <v>0</v>
      </c>
      <c r="K1004" s="819">
        <f>ROUND(IF(G1004=1,F1004/23,IF(G1004=3,F1004/12,IF(G1004=6,F1004,IF(G1004=7,F1004-I1004,0)))),0)</f>
        <v>0</v>
      </c>
      <c r="L1004" s="820">
        <f>IF(G1004=6,F1004,0)</f>
        <v>0</v>
      </c>
      <c r="P1004" s="768" t="n"/>
      <c r="Q1004" s="769" t="str">
        <f>IF($F1004="","",IFERROR(VLOOKUP($C1004&amp;"|"&amp;$D1004,科目表!$A$5:$B$200,2,FALSE),"※未登録"))</f>
        <v/>
      </c>
      <c r="R1004" s="769" t="str">
        <f>IF($F1004="","",$I1004+$J1004+$K1004)</f>
        <v/>
      </c>
      <c r="S1004" s="769" t="str">
        <f>IF(OR($F1004="",$P1004="支払なし",$H1004=0,$Q1004=""),"",$Q1004&amp;"|S|"&amp;(COUNTIF(S$4:S1003,$Q1004&amp;"|S|*")+1))</f>
        <v/>
      </c>
      <c r="T1004" s="769" t="str">
        <f>IF(OR($F1004="",$P1004="支払なし",$R1004=0,$Q1004=""),"",$Q1004&amp;"|L|"&amp;(COUNTIF(T$4:T1003,$Q1004&amp;"|L|*")+1))</f>
        <v/>
      </c>
      <c r="U1004" s="769" t="str">
        <f>IF($F1004="","",13)</f>
        <v/>
      </c>
    </row>
    <row r="1005" ht="16.5" customHeight="1" s="186">
      <c r="A1005" s="760" t="n"/>
      <c r="B1005" s="760" t="n"/>
      <c r="C1005" s="762" t="n"/>
      <c r="D1005" s="762" t="n"/>
      <c r="E1005" s="775" t="n"/>
      <c r="F1005" s="821" t="n"/>
      <c r="G1005" s="821" t="n"/>
      <c r="H1005" s="818">
        <f>IF(G1005=1,F1005-I1005-J1005-K1005,IF(G1005=2,F1005,0))</f>
        <v>0</v>
      </c>
      <c r="I1005" s="818">
        <f>ROUND(IF(G1005=1,F1005*10/23,IF(G1005=3,F1005-J1005-K1005,IF(G1005=4,F1005,IF(G1005=5,F1005*10/11,IF(G1005=7,F1005*10/11,0))))),0)</f>
        <v>0</v>
      </c>
      <c r="J1005" s="818">
        <f>ROUND(IF(G1005=1,F1005/23,IF(G1005=3,F1005/12,IF(G1005=5,F1005-I1005,IF(G1005=8,F1005,0)))),0)</f>
        <v>0</v>
      </c>
      <c r="K1005" s="819">
        <f>ROUND(IF(G1005=1,F1005/23,IF(G1005=3,F1005/12,IF(G1005=6,F1005,IF(G1005=7,F1005-I1005,0)))),0)</f>
        <v>0</v>
      </c>
      <c r="L1005" s="820">
        <f>IF(G1005=6,F1005,0)</f>
        <v>0</v>
      </c>
      <c r="P1005" s="768" t="n"/>
      <c r="Q1005" s="769" t="str">
        <f>IF($F1005="","",IFERROR(VLOOKUP($C1005&amp;"|"&amp;$D1005,科目表!$A$5:$B$200,2,FALSE),"※未登録"))</f>
        <v/>
      </c>
      <c r="R1005" s="769" t="str">
        <f>IF($F1005="","",$I1005+$J1005+$K1005)</f>
        <v/>
      </c>
      <c r="S1005" s="769" t="str">
        <f>IF(OR($F1005="",$P1005="支払なし",$H1005=0,$Q1005=""),"",$Q1005&amp;"|S|"&amp;(COUNTIF(S$4:S1004,$Q1005&amp;"|S|*")+1))</f>
        <v/>
      </c>
      <c r="T1005" s="769" t="str">
        <f>IF(OR($F1005="",$P1005="支払なし",$R1005=0,$Q1005=""),"",$Q1005&amp;"|L|"&amp;(COUNTIF(T$4:T1004,$Q1005&amp;"|L|*")+1))</f>
        <v/>
      </c>
      <c r="U1005" s="769" t="str">
        <f>IF($F1005="","",13)</f>
        <v/>
      </c>
    </row>
    <row r="1006" ht="16.5" customHeight="1" s="186">
      <c r="A1006" s="760" t="n"/>
      <c r="B1006" s="760" t="n"/>
      <c r="C1006" s="762" t="n"/>
      <c r="D1006" s="762" t="n"/>
      <c r="E1006" s="775" t="n"/>
      <c r="F1006" s="821" t="n"/>
      <c r="G1006" s="821" t="n"/>
      <c r="H1006" s="818">
        <f>IF(G1006=1,F1006-I1006-J1006-K1006,IF(G1006=2,F1006,0))</f>
        <v>0</v>
      </c>
      <c r="I1006" s="818">
        <f>ROUND(IF(G1006=1,F1006*10/23,IF(G1006=3,F1006-J1006-K1006,IF(G1006=4,F1006,IF(G1006=5,F1006*10/11,IF(G1006=7,F1006*10/11,0))))),0)</f>
        <v>0</v>
      </c>
      <c r="J1006" s="818">
        <f>ROUND(IF(G1006=1,F1006/23,IF(G1006=3,F1006/12,IF(G1006=5,F1006-I1006,IF(G1006=8,F1006,0)))),0)</f>
        <v>0</v>
      </c>
      <c r="K1006" s="819">
        <f>ROUND(IF(G1006=1,F1006/23,IF(G1006=3,F1006/12,IF(G1006=6,F1006,IF(G1006=7,F1006-I1006,0)))),0)</f>
        <v>0</v>
      </c>
      <c r="L1006" s="820">
        <f>IF(G1006=6,F1006,0)</f>
        <v>0</v>
      </c>
      <c r="P1006" s="768" t="n"/>
      <c r="Q1006" s="769" t="str">
        <f>IF($F1006="","",IFERROR(VLOOKUP($C1006&amp;"|"&amp;$D1006,科目表!$A$5:$B$200,2,FALSE),"※未登録"))</f>
        <v/>
      </c>
      <c r="R1006" s="769" t="str">
        <f>IF($F1006="","",$I1006+$J1006+$K1006)</f>
        <v/>
      </c>
      <c r="S1006" s="769" t="str">
        <f>IF(OR($F1006="",$P1006="支払なし",$H1006=0,$Q1006=""),"",$Q1006&amp;"|S|"&amp;(COUNTIF(S$4:S1005,$Q1006&amp;"|S|*")+1))</f>
        <v/>
      </c>
      <c r="T1006" s="769" t="str">
        <f>IF(OR($F1006="",$P1006="支払なし",$R1006=0,$Q1006=""),"",$Q1006&amp;"|L|"&amp;(COUNTIF(T$4:T1005,$Q1006&amp;"|L|*")+1))</f>
        <v/>
      </c>
      <c r="U1006" s="769" t="str">
        <f>IF($F1006="","",13)</f>
        <v/>
      </c>
    </row>
    <row r="1007" ht="16.5" customHeight="1" s="186">
      <c r="A1007" s="760" t="n"/>
      <c r="B1007" s="760" t="n"/>
      <c r="C1007" s="762" t="n"/>
      <c r="D1007" s="762" t="n"/>
      <c r="E1007" s="775" t="n"/>
      <c r="F1007" s="821" t="n"/>
      <c r="G1007" s="821" t="n"/>
      <c r="H1007" s="818">
        <f>IF(G1007=1,F1007-I1007-J1007-K1007,IF(G1007=2,F1007,0))</f>
        <v>0</v>
      </c>
      <c r="I1007" s="818">
        <f>ROUND(IF(G1007=1,F1007*10/23,IF(G1007=3,F1007-J1007-K1007,IF(G1007=4,F1007,IF(G1007=5,F1007*10/11,IF(G1007=7,F1007*10/11,0))))),0)</f>
        <v>0</v>
      </c>
      <c r="J1007" s="818">
        <f>ROUND(IF(G1007=1,F1007/23,IF(G1007=3,F1007/12,IF(G1007=5,F1007-I1007,IF(G1007=8,F1007,0)))),0)</f>
        <v>0</v>
      </c>
      <c r="K1007" s="819">
        <f>ROUND(IF(G1007=1,F1007/23,IF(G1007=3,F1007/12,IF(G1007=6,F1007,IF(G1007=7,F1007-I1007,0)))),0)</f>
        <v>0</v>
      </c>
      <c r="L1007" s="820">
        <f>IF(G1007=6,F1007,0)</f>
        <v>0</v>
      </c>
      <c r="P1007" s="768" t="n"/>
      <c r="Q1007" s="769" t="str">
        <f>IF($F1007="","",IFERROR(VLOOKUP($C1007&amp;"|"&amp;$D1007,科目表!$A$5:$B$200,2,FALSE),"※未登録"))</f>
        <v/>
      </c>
      <c r="R1007" s="769" t="str">
        <f>IF($F1007="","",$I1007+$J1007+$K1007)</f>
        <v/>
      </c>
      <c r="S1007" s="769" t="str">
        <f>IF(OR($F1007="",$P1007="支払なし",$H1007=0,$Q1007=""),"",$Q1007&amp;"|S|"&amp;(COUNTIF(S$4:S1006,$Q1007&amp;"|S|*")+1))</f>
        <v/>
      </c>
      <c r="T1007" s="769" t="str">
        <f>IF(OR($F1007="",$P1007="支払なし",$R1007=0,$Q1007=""),"",$Q1007&amp;"|L|"&amp;(COUNTIF(T$4:T1006,$Q1007&amp;"|L|*")+1))</f>
        <v/>
      </c>
      <c r="U1007" s="769" t="str">
        <f>IF($F1007="","",13)</f>
        <v/>
      </c>
    </row>
    <row r="1008" ht="16.5" customHeight="1" s="186">
      <c r="A1008" s="760" t="n"/>
      <c r="B1008" s="760" t="n"/>
      <c r="C1008" s="762" t="n"/>
      <c r="D1008" s="762" t="n"/>
      <c r="E1008" s="775" t="n"/>
      <c r="F1008" s="821" t="n"/>
      <c r="G1008" s="821" t="n"/>
      <c r="H1008" s="818">
        <f>IF(G1008=1,F1008-I1008-J1008-K1008,IF(G1008=2,F1008,0))</f>
        <v>0</v>
      </c>
      <c r="I1008" s="818">
        <f>ROUND(IF(G1008=1,F1008*10/23,IF(G1008=3,F1008-J1008-K1008,IF(G1008=4,F1008,IF(G1008=5,F1008*10/11,IF(G1008=7,F1008*10/11,0))))),0)</f>
        <v>0</v>
      </c>
      <c r="J1008" s="818">
        <f>ROUND(IF(G1008=1,F1008/23,IF(G1008=3,F1008/12,IF(G1008=5,F1008-I1008,IF(G1008=8,F1008,0)))),0)</f>
        <v>0</v>
      </c>
      <c r="K1008" s="819">
        <f>ROUND(IF(G1008=1,F1008/23,IF(G1008=3,F1008/12,IF(G1008=6,F1008,IF(G1008=7,F1008-I1008,0)))),0)</f>
        <v>0</v>
      </c>
      <c r="L1008" s="820">
        <f>IF(G1008=6,F1008,0)</f>
        <v>0</v>
      </c>
      <c r="P1008" s="768" t="n"/>
      <c r="Q1008" s="769" t="str">
        <f>IF($F1008="","",IFERROR(VLOOKUP($C1008&amp;"|"&amp;$D1008,科目表!$A$5:$B$200,2,FALSE),"※未登録"))</f>
        <v/>
      </c>
      <c r="R1008" s="769" t="str">
        <f>IF($F1008="","",$I1008+$J1008+$K1008)</f>
        <v/>
      </c>
      <c r="S1008" s="769" t="str">
        <f>IF(OR($F1008="",$P1008="支払なし",$H1008=0,$Q1008=""),"",$Q1008&amp;"|S|"&amp;(COUNTIF(S$4:S1007,$Q1008&amp;"|S|*")+1))</f>
        <v/>
      </c>
      <c r="T1008" s="769" t="str">
        <f>IF(OR($F1008="",$P1008="支払なし",$R1008=0,$Q1008=""),"",$Q1008&amp;"|L|"&amp;(COUNTIF(T$4:T1007,$Q1008&amp;"|L|*")+1))</f>
        <v/>
      </c>
      <c r="U1008" s="769" t="str">
        <f>IF($F1008="","",13)</f>
        <v/>
      </c>
    </row>
    <row r="1009" ht="16.5" customHeight="1" s="186">
      <c r="A1009" s="760" t="n"/>
      <c r="B1009" s="760" t="n"/>
      <c r="C1009" s="762" t="n"/>
      <c r="D1009" s="762" t="n"/>
      <c r="E1009" s="775" t="n"/>
      <c r="F1009" s="821" t="n"/>
      <c r="G1009" s="821" t="n"/>
      <c r="H1009" s="818">
        <f>IF(G1009=1,F1009-I1009-J1009-K1009,IF(G1009=2,F1009,0))</f>
        <v>0</v>
      </c>
      <c r="I1009" s="818">
        <f>ROUND(IF(G1009=1,F1009*10/23,IF(G1009=3,F1009-J1009-K1009,IF(G1009=4,F1009,IF(G1009=5,F1009*10/11,IF(G1009=7,F1009*10/11,0))))),0)</f>
        <v>0</v>
      </c>
      <c r="J1009" s="818">
        <f>ROUND(IF(G1009=1,F1009/23,IF(G1009=3,F1009/12,IF(G1009=5,F1009-I1009,IF(G1009=8,F1009,0)))),0)</f>
        <v>0</v>
      </c>
      <c r="K1009" s="819">
        <f>ROUND(IF(G1009=1,F1009/23,IF(G1009=3,F1009/12,IF(G1009=6,F1009,IF(G1009=7,F1009-I1009,0)))),0)</f>
        <v>0</v>
      </c>
      <c r="L1009" s="820">
        <f>IF(G1009=6,F1009,0)</f>
        <v>0</v>
      </c>
      <c r="P1009" s="768" t="n"/>
      <c r="Q1009" s="769" t="str">
        <f>IF($F1009="","",IFERROR(VLOOKUP($C1009&amp;"|"&amp;$D1009,科目表!$A$5:$B$200,2,FALSE),"※未登録"))</f>
        <v/>
      </c>
      <c r="R1009" s="769" t="str">
        <f>IF($F1009="","",$I1009+$J1009+$K1009)</f>
        <v/>
      </c>
      <c r="S1009" s="769" t="str">
        <f>IF(OR($F1009="",$P1009="支払なし",$H1009=0,$Q1009=""),"",$Q1009&amp;"|S|"&amp;(COUNTIF(S$4:S1008,$Q1009&amp;"|S|*")+1))</f>
        <v/>
      </c>
      <c r="T1009" s="769" t="str">
        <f>IF(OR($F1009="",$P1009="支払なし",$R1009=0,$Q1009=""),"",$Q1009&amp;"|L|"&amp;(COUNTIF(T$4:T1008,$Q1009&amp;"|L|*")+1))</f>
        <v/>
      </c>
      <c r="U1009" s="769" t="str">
        <f>IF($F1009="","",13)</f>
        <v/>
      </c>
    </row>
    <row r="1010" ht="16.5" customHeight="1" s="186">
      <c r="A1010" s="760" t="n"/>
      <c r="B1010" s="760" t="n"/>
      <c r="C1010" s="762" t="n"/>
      <c r="D1010" s="762" t="n"/>
      <c r="E1010" s="775" t="n"/>
      <c r="F1010" s="821" t="n"/>
      <c r="G1010" s="821" t="n"/>
      <c r="H1010" s="818">
        <f>IF(G1010=1,F1010-I1010-J1010-K1010,IF(G1010=2,F1010,0))</f>
        <v>0</v>
      </c>
      <c r="I1010" s="818">
        <f>ROUND(IF(G1010=1,F1010*10/23,IF(G1010=3,F1010-J1010-K1010,IF(G1010=4,F1010,IF(G1010=5,F1010*10/11,IF(G1010=7,F1010*10/11,0))))),0)</f>
        <v>0</v>
      </c>
      <c r="J1010" s="818">
        <f>ROUND(IF(G1010=1,F1010/23,IF(G1010=3,F1010/12,IF(G1010=5,F1010-I1010,IF(G1010=8,F1010,0)))),0)</f>
        <v>0</v>
      </c>
      <c r="K1010" s="819">
        <f>ROUND(IF(G1010=1,F1010/23,IF(G1010=3,F1010/12,IF(G1010=6,F1010,IF(G1010=7,F1010-I1010,0)))),0)</f>
        <v>0</v>
      </c>
      <c r="L1010" s="820">
        <f>IF(G1010=6,F1010,0)</f>
        <v>0</v>
      </c>
      <c r="P1010" s="768" t="n"/>
      <c r="Q1010" s="769" t="str">
        <f>IF($F1010="","",IFERROR(VLOOKUP($C1010&amp;"|"&amp;$D1010,科目表!$A$5:$B$200,2,FALSE),"※未登録"))</f>
        <v/>
      </c>
      <c r="R1010" s="769" t="str">
        <f>IF($F1010="","",$I1010+$J1010+$K1010)</f>
        <v/>
      </c>
      <c r="S1010" s="769" t="str">
        <f>IF(OR($F1010="",$P1010="支払なし",$H1010=0,$Q1010=""),"",$Q1010&amp;"|S|"&amp;(COUNTIF(S$4:S1009,$Q1010&amp;"|S|*")+1))</f>
        <v/>
      </c>
      <c r="T1010" s="769" t="str">
        <f>IF(OR($F1010="",$P1010="支払なし",$R1010=0,$Q1010=""),"",$Q1010&amp;"|L|"&amp;(COUNTIF(T$4:T1009,$Q1010&amp;"|L|*")+1))</f>
        <v/>
      </c>
      <c r="U1010" s="769" t="str">
        <f>IF($F1010="","",13)</f>
        <v/>
      </c>
    </row>
    <row r="1011" ht="16.5" customHeight="1" s="186">
      <c r="A1011" s="760" t="n"/>
      <c r="B1011" s="760" t="n"/>
      <c r="C1011" s="762" t="n"/>
      <c r="D1011" s="762" t="n"/>
      <c r="E1011" s="775" t="n"/>
      <c r="F1011" s="821" t="n"/>
      <c r="G1011" s="821" t="n"/>
      <c r="H1011" s="818">
        <f>IF(G1011=1,F1011-I1011-J1011-K1011,IF(G1011=2,F1011,0))</f>
        <v>0</v>
      </c>
      <c r="I1011" s="818">
        <f>ROUND(IF(G1011=1,F1011*10/23,IF(G1011=3,F1011-J1011-K1011,IF(G1011=4,F1011,IF(G1011=5,F1011*10/11,IF(G1011=7,F1011*10/11,0))))),0)</f>
        <v>0</v>
      </c>
      <c r="J1011" s="818">
        <f>ROUND(IF(G1011=1,F1011/23,IF(G1011=3,F1011/12,IF(G1011=5,F1011-I1011,IF(G1011=8,F1011,0)))),0)</f>
        <v>0</v>
      </c>
      <c r="K1011" s="819">
        <f>ROUND(IF(G1011=1,F1011/23,IF(G1011=3,F1011/12,IF(G1011=6,F1011,IF(G1011=7,F1011-I1011,0)))),0)</f>
        <v>0</v>
      </c>
      <c r="L1011" s="820">
        <f>IF(G1011=6,F1011,0)</f>
        <v>0</v>
      </c>
      <c r="P1011" s="768" t="n"/>
      <c r="Q1011" s="769" t="str">
        <f>IF($F1011="","",IFERROR(VLOOKUP($C1011&amp;"|"&amp;$D1011,科目表!$A$5:$B$200,2,FALSE),"※未登録"))</f>
        <v/>
      </c>
      <c r="R1011" s="769" t="str">
        <f>IF($F1011="","",$I1011+$J1011+$K1011)</f>
        <v/>
      </c>
      <c r="S1011" s="769" t="str">
        <f>IF(OR($F1011="",$P1011="支払なし",$H1011=0,$Q1011=""),"",$Q1011&amp;"|S|"&amp;(COUNTIF(S$4:S1010,$Q1011&amp;"|S|*")+1))</f>
        <v/>
      </c>
      <c r="T1011" s="769" t="str">
        <f>IF(OR($F1011="",$P1011="支払なし",$R1011=0,$Q1011=""),"",$Q1011&amp;"|L|"&amp;(COUNTIF(T$4:T1010,$Q1011&amp;"|L|*")+1))</f>
        <v/>
      </c>
      <c r="U1011" s="769" t="str">
        <f>IF($F1011="","",13)</f>
        <v/>
      </c>
    </row>
    <row r="1012" ht="16.5" customHeight="1" s="186">
      <c r="A1012" s="760" t="n"/>
      <c r="B1012" s="760" t="n"/>
      <c r="C1012" s="762" t="n"/>
      <c r="D1012" s="762" t="n"/>
      <c r="E1012" s="775" t="n"/>
      <c r="F1012" s="821" t="n"/>
      <c r="G1012" s="821" t="n"/>
      <c r="H1012" s="818">
        <f>IF(G1012=1,F1012-I1012-J1012-K1012,IF(G1012=2,F1012,0))</f>
        <v>0</v>
      </c>
      <c r="I1012" s="818">
        <f>ROUND(IF(G1012=1,F1012*10/23,IF(G1012=3,F1012-J1012-K1012,IF(G1012=4,F1012,IF(G1012=5,F1012*10/11,IF(G1012=7,F1012*10/11,0))))),0)</f>
        <v>0</v>
      </c>
      <c r="J1012" s="818">
        <f>ROUND(IF(G1012=1,F1012/23,IF(G1012=3,F1012/12,IF(G1012=5,F1012-I1012,IF(G1012=8,F1012,0)))),0)</f>
        <v>0</v>
      </c>
      <c r="K1012" s="819">
        <f>ROUND(IF(G1012=1,F1012/23,IF(G1012=3,F1012/12,IF(G1012=6,F1012,IF(G1012=7,F1012-I1012,0)))),0)</f>
        <v>0</v>
      </c>
      <c r="L1012" s="820">
        <f>IF(G1012=6,F1012,0)</f>
        <v>0</v>
      </c>
      <c r="P1012" s="768" t="n"/>
      <c r="Q1012" s="769" t="str">
        <f>IF($F1012="","",IFERROR(VLOOKUP($C1012&amp;"|"&amp;$D1012,科目表!$A$5:$B$200,2,FALSE),"※未登録"))</f>
        <v/>
      </c>
      <c r="R1012" s="769" t="str">
        <f>IF($F1012="","",$I1012+$J1012+$K1012)</f>
        <v/>
      </c>
      <c r="S1012" s="769" t="str">
        <f>IF(OR($F1012="",$P1012="支払なし",$H1012=0,$Q1012=""),"",$Q1012&amp;"|S|"&amp;(COUNTIF(S$4:S1011,$Q1012&amp;"|S|*")+1))</f>
        <v/>
      </c>
      <c r="T1012" s="769" t="str">
        <f>IF(OR($F1012="",$P1012="支払なし",$R1012=0,$Q1012=""),"",$Q1012&amp;"|L|"&amp;(COUNTIF(T$4:T1011,$Q1012&amp;"|L|*")+1))</f>
        <v/>
      </c>
      <c r="U1012" s="769" t="str">
        <f>IF($F1012="","",13)</f>
        <v/>
      </c>
    </row>
    <row r="1013" ht="16.5" customHeight="1" s="186">
      <c r="A1013" s="760" t="n"/>
      <c r="B1013" s="760" t="n"/>
      <c r="C1013" s="762" t="n"/>
      <c r="D1013" s="762" t="n"/>
      <c r="E1013" s="775" t="n"/>
      <c r="F1013" s="821" t="n"/>
      <c r="G1013" s="821" t="n"/>
      <c r="H1013" s="818">
        <f>IF(G1013=1,F1013-I1013-J1013-K1013,IF(G1013=2,F1013,0))</f>
        <v>0</v>
      </c>
      <c r="I1013" s="818">
        <f>ROUND(IF(G1013=1,F1013*10/23,IF(G1013=3,F1013-J1013-K1013,IF(G1013=4,F1013,IF(G1013=5,F1013*10/11,IF(G1013=7,F1013*10/11,0))))),0)</f>
        <v>0</v>
      </c>
      <c r="J1013" s="818">
        <f>ROUND(IF(G1013=1,F1013/23,IF(G1013=3,F1013/12,IF(G1013=5,F1013-I1013,IF(G1013=8,F1013,0)))),0)</f>
        <v>0</v>
      </c>
      <c r="K1013" s="819">
        <f>ROUND(IF(G1013=1,F1013/23,IF(G1013=3,F1013/12,IF(G1013=6,F1013,IF(G1013=7,F1013-I1013,0)))),0)</f>
        <v>0</v>
      </c>
      <c r="L1013" s="820">
        <f>IF(G1013=6,F1013,0)</f>
        <v>0</v>
      </c>
      <c r="P1013" s="768" t="n"/>
      <c r="Q1013" s="769" t="str">
        <f>IF($F1013="","",IFERROR(VLOOKUP($C1013&amp;"|"&amp;$D1013,科目表!$A$5:$B$200,2,FALSE),"※未登録"))</f>
        <v/>
      </c>
      <c r="R1013" s="769" t="str">
        <f>IF($F1013="","",$I1013+$J1013+$K1013)</f>
        <v/>
      </c>
      <c r="S1013" s="769" t="str">
        <f>IF(OR($F1013="",$P1013="支払なし",$H1013=0,$Q1013=""),"",$Q1013&amp;"|S|"&amp;(COUNTIF(S$4:S1012,$Q1013&amp;"|S|*")+1))</f>
        <v/>
      </c>
      <c r="T1013" s="769" t="str">
        <f>IF(OR($F1013="",$P1013="支払なし",$R1013=0,$Q1013=""),"",$Q1013&amp;"|L|"&amp;(COUNTIF(T$4:T1012,$Q1013&amp;"|L|*")+1))</f>
        <v/>
      </c>
      <c r="U1013" s="769" t="str">
        <f>IF($F1013="","",13)</f>
        <v/>
      </c>
    </row>
    <row r="1014" ht="16.5" customHeight="1" s="186">
      <c r="A1014" s="760" t="n"/>
      <c r="B1014" s="760" t="n"/>
      <c r="C1014" s="762" t="n"/>
      <c r="D1014" s="762" t="n"/>
      <c r="E1014" s="775" t="n"/>
      <c r="F1014" s="821" t="n"/>
      <c r="G1014" s="821" t="n"/>
      <c r="H1014" s="818">
        <f>IF(G1014=1,F1014-I1014-J1014-K1014,IF(G1014=2,F1014,0))</f>
        <v>0</v>
      </c>
      <c r="I1014" s="818">
        <f>ROUND(IF(G1014=1,F1014*10/23,IF(G1014=3,F1014-J1014-K1014,IF(G1014=4,F1014,IF(G1014=5,F1014*10/11,IF(G1014=7,F1014*10/11,0))))),0)</f>
        <v>0</v>
      </c>
      <c r="J1014" s="818">
        <f>ROUND(IF(G1014=1,F1014/23,IF(G1014=3,F1014/12,IF(G1014=5,F1014-I1014,IF(G1014=8,F1014,0)))),0)</f>
        <v>0</v>
      </c>
      <c r="K1014" s="819">
        <f>ROUND(IF(G1014=1,F1014/23,IF(G1014=3,F1014/12,IF(G1014=6,F1014,IF(G1014=7,F1014-I1014,0)))),0)</f>
        <v>0</v>
      </c>
      <c r="L1014" s="820">
        <f>IF(G1014=6,F1014,0)</f>
        <v>0</v>
      </c>
      <c r="P1014" s="768" t="n"/>
      <c r="Q1014" s="769" t="str">
        <f>IF($F1014="","",IFERROR(VLOOKUP($C1014&amp;"|"&amp;$D1014,科目表!$A$5:$B$200,2,FALSE),"※未登録"))</f>
        <v/>
      </c>
      <c r="R1014" s="769" t="str">
        <f>IF($F1014="","",$I1014+$J1014+$K1014)</f>
        <v/>
      </c>
      <c r="S1014" s="769" t="str">
        <f>IF(OR($F1014="",$P1014="支払なし",$H1014=0,$Q1014=""),"",$Q1014&amp;"|S|"&amp;(COUNTIF(S$4:S1013,$Q1014&amp;"|S|*")+1))</f>
        <v/>
      </c>
      <c r="T1014" s="769" t="str">
        <f>IF(OR($F1014="",$P1014="支払なし",$R1014=0,$Q1014=""),"",$Q1014&amp;"|L|"&amp;(COUNTIF(T$4:T1013,$Q1014&amp;"|L|*")+1))</f>
        <v/>
      </c>
      <c r="U1014" s="769" t="str">
        <f>IF($F1014="","",13)</f>
        <v/>
      </c>
    </row>
    <row r="1015" ht="16.5" customHeight="1" s="186">
      <c r="A1015" s="760" t="n"/>
      <c r="B1015" s="760" t="n"/>
      <c r="C1015" s="762" t="n"/>
      <c r="D1015" s="762" t="n"/>
      <c r="E1015" s="775" t="n"/>
      <c r="F1015" s="821" t="n"/>
      <c r="G1015" s="821" t="n"/>
      <c r="H1015" s="818">
        <f>IF(G1015=1,F1015-I1015-J1015-K1015,IF(G1015=2,F1015,0))</f>
        <v>0</v>
      </c>
      <c r="I1015" s="818">
        <f>ROUND(IF(G1015=1,F1015*10/23,IF(G1015=3,F1015-J1015-K1015,IF(G1015=4,F1015,IF(G1015=5,F1015*10/11,IF(G1015=7,F1015*10/11,0))))),0)</f>
        <v>0</v>
      </c>
      <c r="J1015" s="818">
        <f>ROUND(IF(G1015=1,F1015/23,IF(G1015=3,F1015/12,IF(G1015=5,F1015-I1015,IF(G1015=8,F1015,0)))),0)</f>
        <v>0</v>
      </c>
      <c r="K1015" s="819">
        <f>ROUND(IF(G1015=1,F1015/23,IF(G1015=3,F1015/12,IF(G1015=6,F1015,IF(G1015=7,F1015-I1015,0)))),0)</f>
        <v>0</v>
      </c>
      <c r="L1015" s="820">
        <f>IF(G1015=6,F1015,0)</f>
        <v>0</v>
      </c>
      <c r="P1015" s="768" t="n"/>
      <c r="Q1015" s="769" t="str">
        <f>IF($F1015="","",IFERROR(VLOOKUP($C1015&amp;"|"&amp;$D1015,科目表!$A$5:$B$200,2,FALSE),"※未登録"))</f>
        <v/>
      </c>
      <c r="R1015" s="769" t="str">
        <f>IF($F1015="","",$I1015+$J1015+$K1015)</f>
        <v/>
      </c>
      <c r="S1015" s="769" t="str">
        <f>IF(OR($F1015="",$P1015="支払なし",$H1015=0,$Q1015=""),"",$Q1015&amp;"|S|"&amp;(COUNTIF(S$4:S1014,$Q1015&amp;"|S|*")+1))</f>
        <v/>
      </c>
      <c r="T1015" s="769" t="str">
        <f>IF(OR($F1015="",$P1015="支払なし",$R1015=0,$Q1015=""),"",$Q1015&amp;"|L|"&amp;(COUNTIF(T$4:T1014,$Q1015&amp;"|L|*")+1))</f>
        <v/>
      </c>
      <c r="U1015" s="769" t="str">
        <f>IF($F1015="","",13)</f>
        <v/>
      </c>
    </row>
    <row r="1016" ht="16.5" customHeight="1" s="186">
      <c r="A1016" s="760" t="n"/>
      <c r="B1016" s="760" t="n"/>
      <c r="C1016" s="762" t="n"/>
      <c r="D1016" s="762" t="n"/>
      <c r="E1016" s="775" t="n"/>
      <c r="F1016" s="821" t="n"/>
      <c r="G1016" s="821" t="n"/>
      <c r="H1016" s="818">
        <f>IF(G1016=1,F1016-I1016-J1016-K1016,IF(G1016=2,F1016,0))</f>
        <v>0</v>
      </c>
      <c r="I1016" s="818">
        <f>ROUND(IF(G1016=1,F1016*10/23,IF(G1016=3,F1016-J1016-K1016,IF(G1016=4,F1016,IF(G1016=5,F1016*10/11,IF(G1016=7,F1016*10/11,0))))),0)</f>
        <v>0</v>
      </c>
      <c r="J1016" s="818">
        <f>ROUND(IF(G1016=1,F1016/23,IF(G1016=3,F1016/12,IF(G1016=5,F1016-I1016,IF(G1016=8,F1016,0)))),0)</f>
        <v>0</v>
      </c>
      <c r="K1016" s="819">
        <f>ROUND(IF(G1016=1,F1016/23,IF(G1016=3,F1016/12,IF(G1016=6,F1016,IF(G1016=7,F1016-I1016,0)))),0)</f>
        <v>0</v>
      </c>
      <c r="L1016" s="820">
        <f>IF(G1016=6,F1016,0)</f>
        <v>0</v>
      </c>
      <c r="P1016" s="768" t="n"/>
      <c r="Q1016" s="769" t="str">
        <f>IF($F1016="","",IFERROR(VLOOKUP($C1016&amp;"|"&amp;$D1016,科目表!$A$5:$B$200,2,FALSE),"※未登録"))</f>
        <v/>
      </c>
      <c r="R1016" s="769" t="str">
        <f>IF($F1016="","",$I1016+$J1016+$K1016)</f>
        <v/>
      </c>
      <c r="S1016" s="769" t="str">
        <f>IF(OR($F1016="",$P1016="支払なし",$H1016=0,$Q1016=""),"",$Q1016&amp;"|S|"&amp;(COUNTIF(S$4:S1015,$Q1016&amp;"|S|*")+1))</f>
        <v/>
      </c>
      <c r="T1016" s="769" t="str">
        <f>IF(OR($F1016="",$P1016="支払なし",$R1016=0,$Q1016=""),"",$Q1016&amp;"|L|"&amp;(COUNTIF(T$4:T1015,$Q1016&amp;"|L|*")+1))</f>
        <v/>
      </c>
      <c r="U1016" s="769" t="str">
        <f>IF($F1016="","",13)</f>
        <v/>
      </c>
    </row>
    <row r="1017" ht="16.5" customHeight="1" s="186">
      <c r="A1017" s="760" t="n"/>
      <c r="B1017" s="760" t="n"/>
      <c r="C1017" s="762" t="n"/>
      <c r="D1017" s="762" t="n"/>
      <c r="E1017" s="775" t="n"/>
      <c r="F1017" s="821" t="n"/>
      <c r="G1017" s="821" t="n"/>
      <c r="H1017" s="818">
        <f>IF(G1017=1,F1017-I1017-J1017-K1017,IF(G1017=2,F1017,0))</f>
        <v>0</v>
      </c>
      <c r="I1017" s="818">
        <f>ROUND(IF(G1017=1,F1017*10/23,IF(G1017=3,F1017-J1017-K1017,IF(G1017=4,F1017,IF(G1017=5,F1017*10/11,IF(G1017=7,F1017*10/11,0))))),0)</f>
        <v>0</v>
      </c>
      <c r="J1017" s="818">
        <f>ROUND(IF(G1017=1,F1017/23,IF(G1017=3,F1017/12,IF(G1017=5,F1017-I1017,IF(G1017=8,F1017,0)))),0)</f>
        <v>0</v>
      </c>
      <c r="K1017" s="819">
        <f>ROUND(IF(G1017=1,F1017/23,IF(G1017=3,F1017/12,IF(G1017=6,F1017,IF(G1017=7,F1017-I1017,0)))),0)</f>
        <v>0</v>
      </c>
      <c r="L1017" s="820">
        <f>IF(G1017=6,F1017,0)</f>
        <v>0</v>
      </c>
      <c r="P1017" s="768" t="n"/>
      <c r="Q1017" s="769" t="str">
        <f>IF($F1017="","",IFERROR(VLOOKUP($C1017&amp;"|"&amp;$D1017,科目表!$A$5:$B$200,2,FALSE),"※未登録"))</f>
        <v/>
      </c>
      <c r="R1017" s="769" t="str">
        <f>IF($F1017="","",$I1017+$J1017+$K1017)</f>
        <v/>
      </c>
      <c r="S1017" s="769" t="str">
        <f>IF(OR($F1017="",$P1017="支払なし",$H1017=0,$Q1017=""),"",$Q1017&amp;"|S|"&amp;(COUNTIF(S$4:S1016,$Q1017&amp;"|S|*")+1))</f>
        <v/>
      </c>
      <c r="T1017" s="769" t="str">
        <f>IF(OR($F1017="",$P1017="支払なし",$R1017=0,$Q1017=""),"",$Q1017&amp;"|L|"&amp;(COUNTIF(T$4:T1016,$Q1017&amp;"|L|*")+1))</f>
        <v/>
      </c>
      <c r="U1017" s="769" t="str">
        <f>IF($F1017="","",13)</f>
        <v/>
      </c>
    </row>
    <row r="1018" ht="16.5" customHeight="1" s="186">
      <c r="A1018" s="760" t="n"/>
      <c r="B1018" s="760" t="n"/>
      <c r="C1018" s="762" t="n"/>
      <c r="D1018" s="762" t="n"/>
      <c r="E1018" s="775" t="n"/>
      <c r="F1018" s="821" t="n"/>
      <c r="G1018" s="821" t="n"/>
      <c r="H1018" s="818">
        <f>IF(G1018=1,F1018-I1018-J1018-K1018,IF(G1018=2,F1018,0))</f>
        <v>0</v>
      </c>
      <c r="I1018" s="818">
        <f>ROUND(IF(G1018=1,F1018*10/23,IF(G1018=3,F1018-J1018-K1018,IF(G1018=4,F1018,IF(G1018=5,F1018*10/11,IF(G1018=7,F1018*10/11,0))))),0)</f>
        <v>0</v>
      </c>
      <c r="J1018" s="818">
        <f>ROUND(IF(G1018=1,F1018/23,IF(G1018=3,F1018/12,IF(G1018=5,F1018-I1018,IF(G1018=8,F1018,0)))),0)</f>
        <v>0</v>
      </c>
      <c r="K1018" s="819">
        <f>ROUND(IF(G1018=1,F1018/23,IF(G1018=3,F1018/12,IF(G1018=6,F1018,IF(G1018=7,F1018-I1018,0)))),0)</f>
        <v>0</v>
      </c>
      <c r="L1018" s="820">
        <f>IF(G1018=6,F1018,0)</f>
        <v>0</v>
      </c>
      <c r="P1018" s="768" t="n"/>
      <c r="Q1018" s="769" t="str">
        <f>IF($F1018="","",IFERROR(VLOOKUP($C1018&amp;"|"&amp;$D1018,科目表!$A$5:$B$200,2,FALSE),"※未登録"))</f>
        <v/>
      </c>
      <c r="R1018" s="769" t="str">
        <f>IF($F1018="","",$I1018+$J1018+$K1018)</f>
        <v/>
      </c>
      <c r="S1018" s="769" t="str">
        <f>IF(OR($F1018="",$P1018="支払なし",$H1018=0,$Q1018=""),"",$Q1018&amp;"|S|"&amp;(COUNTIF(S$4:S1017,$Q1018&amp;"|S|*")+1))</f>
        <v/>
      </c>
      <c r="T1018" s="769" t="str">
        <f>IF(OR($F1018="",$P1018="支払なし",$R1018=0,$Q1018=""),"",$Q1018&amp;"|L|"&amp;(COUNTIF(T$4:T1017,$Q1018&amp;"|L|*")+1))</f>
        <v/>
      </c>
      <c r="U1018" s="769" t="str">
        <f>IF($F1018="","",13)</f>
        <v/>
      </c>
    </row>
    <row r="1019" ht="16.5" customHeight="1" s="186">
      <c r="A1019" s="760" t="n"/>
      <c r="B1019" s="760" t="n"/>
      <c r="C1019" s="762" t="n"/>
      <c r="D1019" s="762" t="n"/>
      <c r="E1019" s="775" t="n"/>
      <c r="F1019" s="821" t="n"/>
      <c r="G1019" s="821" t="n"/>
      <c r="H1019" s="818">
        <f>IF(G1019=1,F1019-I1019-J1019-K1019,IF(G1019=2,F1019,0))</f>
        <v>0</v>
      </c>
      <c r="I1019" s="818">
        <f>ROUND(IF(G1019=1,F1019*10/23,IF(G1019=3,F1019-J1019-K1019,IF(G1019=4,F1019,IF(G1019=5,F1019*10/11,IF(G1019=7,F1019*10/11,0))))),0)</f>
        <v>0</v>
      </c>
      <c r="J1019" s="818">
        <f>ROUND(IF(G1019=1,F1019/23,IF(G1019=3,F1019/12,IF(G1019=5,F1019-I1019,IF(G1019=8,F1019,0)))),0)</f>
        <v>0</v>
      </c>
      <c r="K1019" s="819">
        <f>ROUND(IF(G1019=1,F1019/23,IF(G1019=3,F1019/12,IF(G1019=6,F1019,IF(G1019=7,F1019-I1019,0)))),0)</f>
        <v>0</v>
      </c>
      <c r="L1019" s="820">
        <f>IF(G1019=6,F1019,0)</f>
        <v>0</v>
      </c>
      <c r="P1019" s="768" t="n"/>
      <c r="Q1019" s="769" t="str">
        <f>IF($F1019="","",IFERROR(VLOOKUP($C1019&amp;"|"&amp;$D1019,科目表!$A$5:$B$200,2,FALSE),"※未登録"))</f>
        <v/>
      </c>
      <c r="R1019" s="769" t="str">
        <f>IF($F1019="","",$I1019+$J1019+$K1019)</f>
        <v/>
      </c>
      <c r="S1019" s="769" t="str">
        <f>IF(OR($F1019="",$P1019="支払なし",$H1019=0,$Q1019=""),"",$Q1019&amp;"|S|"&amp;(COUNTIF(S$4:S1018,$Q1019&amp;"|S|*")+1))</f>
        <v/>
      </c>
      <c r="T1019" s="769" t="str">
        <f>IF(OR($F1019="",$P1019="支払なし",$R1019=0,$Q1019=""),"",$Q1019&amp;"|L|"&amp;(COUNTIF(T$4:T1018,$Q1019&amp;"|L|*")+1))</f>
        <v/>
      </c>
      <c r="U1019" s="769" t="str">
        <f>IF($F1019="","",13)</f>
        <v/>
      </c>
    </row>
    <row r="1020" ht="16.5" customHeight="1" s="186">
      <c r="A1020" s="760" t="n"/>
      <c r="B1020" s="760" t="n"/>
      <c r="C1020" s="762" t="n"/>
      <c r="D1020" s="762" t="n"/>
      <c r="E1020" s="775" t="n"/>
      <c r="F1020" s="821" t="n"/>
      <c r="G1020" s="821" t="n"/>
      <c r="H1020" s="818">
        <f>IF(G1020=1,F1020-I1020-J1020-K1020,IF(G1020=2,F1020,0))</f>
        <v>0</v>
      </c>
      <c r="I1020" s="818">
        <f>ROUND(IF(G1020=1,F1020*10/23,IF(G1020=3,F1020-J1020-K1020,IF(G1020=4,F1020,IF(G1020=5,F1020*10/11,IF(G1020=7,F1020*10/11,0))))),0)</f>
        <v>0</v>
      </c>
      <c r="J1020" s="818">
        <f>ROUND(IF(G1020=1,F1020/23,IF(G1020=3,F1020/12,IF(G1020=5,F1020-I1020,IF(G1020=8,F1020,0)))),0)</f>
        <v>0</v>
      </c>
      <c r="K1020" s="819">
        <f>ROUND(IF(G1020=1,F1020/23,IF(G1020=3,F1020/12,IF(G1020=6,F1020,IF(G1020=7,F1020-I1020,0)))),0)</f>
        <v>0</v>
      </c>
      <c r="L1020" s="820">
        <f>IF(G1020=6,F1020,0)</f>
        <v>0</v>
      </c>
      <c r="P1020" s="768" t="n"/>
      <c r="Q1020" s="769" t="str">
        <f>IF($F1020="","",IFERROR(VLOOKUP($C1020&amp;"|"&amp;$D1020,科目表!$A$5:$B$200,2,FALSE),"※未登録"))</f>
        <v/>
      </c>
      <c r="R1020" s="769" t="str">
        <f>IF($F1020="","",$I1020+$J1020+$K1020)</f>
        <v/>
      </c>
      <c r="S1020" s="769" t="str">
        <f>IF(OR($F1020="",$P1020="支払なし",$H1020=0,$Q1020=""),"",$Q1020&amp;"|S|"&amp;(COUNTIF(S$4:S1019,$Q1020&amp;"|S|*")+1))</f>
        <v/>
      </c>
      <c r="T1020" s="769" t="str">
        <f>IF(OR($F1020="",$P1020="支払なし",$R1020=0,$Q1020=""),"",$Q1020&amp;"|L|"&amp;(COUNTIF(T$4:T1019,$Q1020&amp;"|L|*")+1))</f>
        <v/>
      </c>
      <c r="U1020" s="769" t="str">
        <f>IF($F1020="","",13)</f>
        <v/>
      </c>
    </row>
    <row r="1021" ht="16.5" customHeight="1" s="186">
      <c r="A1021" s="760" t="n"/>
      <c r="B1021" s="760" t="n"/>
      <c r="C1021" s="762" t="n"/>
      <c r="D1021" s="762" t="n"/>
      <c r="E1021" s="775" t="n"/>
      <c r="F1021" s="821" t="n"/>
      <c r="G1021" s="821" t="n"/>
      <c r="H1021" s="818">
        <f>IF(G1021=1,F1021-I1021-J1021-K1021,IF(G1021=2,F1021,0))</f>
        <v>0</v>
      </c>
      <c r="I1021" s="818">
        <f>ROUND(IF(G1021=1,F1021*10/23,IF(G1021=3,F1021-J1021-K1021,IF(G1021=4,F1021,IF(G1021=5,F1021*10/11,IF(G1021=7,F1021*10/11,0))))),0)</f>
        <v>0</v>
      </c>
      <c r="J1021" s="818">
        <f>ROUND(IF(G1021=1,F1021/23,IF(G1021=3,F1021/12,IF(G1021=5,F1021-I1021,IF(G1021=8,F1021,0)))),0)</f>
        <v>0</v>
      </c>
      <c r="K1021" s="819">
        <f>ROUND(IF(G1021=1,F1021/23,IF(G1021=3,F1021/12,IF(G1021=6,F1021,IF(G1021=7,F1021-I1021,0)))),0)</f>
        <v>0</v>
      </c>
      <c r="L1021" s="820">
        <f>IF(G1021=6,F1021,0)</f>
        <v>0</v>
      </c>
      <c r="P1021" s="768" t="n"/>
      <c r="Q1021" s="769" t="str">
        <f>IF($F1021="","",IFERROR(VLOOKUP($C1021&amp;"|"&amp;$D1021,科目表!$A$5:$B$200,2,FALSE),"※未登録"))</f>
        <v/>
      </c>
      <c r="R1021" s="769" t="str">
        <f>IF($F1021="","",$I1021+$J1021+$K1021)</f>
        <v/>
      </c>
      <c r="S1021" s="769" t="str">
        <f>IF(OR($F1021="",$P1021="支払なし",$H1021=0,$Q1021=""),"",$Q1021&amp;"|S|"&amp;(COUNTIF(S$4:S1020,$Q1021&amp;"|S|*")+1))</f>
        <v/>
      </c>
      <c r="T1021" s="769" t="str">
        <f>IF(OR($F1021="",$P1021="支払なし",$R1021=0,$Q1021=""),"",$Q1021&amp;"|L|"&amp;(COUNTIF(T$4:T1020,$Q1021&amp;"|L|*")+1))</f>
        <v/>
      </c>
      <c r="U1021" s="769" t="str">
        <f>IF($F1021="","",13)</f>
        <v/>
      </c>
    </row>
    <row r="1022" ht="16.5" customHeight="1" s="186">
      <c r="A1022" s="760" t="n"/>
      <c r="B1022" s="760" t="n"/>
      <c r="C1022" s="762" t="n"/>
      <c r="D1022" s="762" t="n"/>
      <c r="E1022" s="775" t="n"/>
      <c r="F1022" s="821" t="n"/>
      <c r="G1022" s="821" t="n"/>
      <c r="H1022" s="818">
        <f>IF(G1022=1,F1022-I1022-J1022-K1022,IF(G1022=2,F1022,0))</f>
        <v>0</v>
      </c>
      <c r="I1022" s="818">
        <f>ROUND(IF(G1022=1,F1022*10/23,IF(G1022=3,F1022-J1022-K1022,IF(G1022=4,F1022,IF(G1022=5,F1022*10/11,IF(G1022=7,F1022*10/11,0))))),0)</f>
        <v>0</v>
      </c>
      <c r="J1022" s="818">
        <f>ROUND(IF(G1022=1,F1022/23,IF(G1022=3,F1022/12,IF(G1022=5,F1022-I1022,IF(G1022=8,F1022,0)))),0)</f>
        <v>0</v>
      </c>
      <c r="K1022" s="819">
        <f>ROUND(IF(G1022=1,F1022/23,IF(G1022=3,F1022/12,IF(G1022=6,F1022,IF(G1022=7,F1022-I1022,0)))),0)</f>
        <v>0</v>
      </c>
      <c r="L1022" s="820">
        <f>IF(G1022=6,F1022,0)</f>
        <v>0</v>
      </c>
      <c r="P1022" s="768" t="n"/>
      <c r="Q1022" s="769" t="str">
        <f>IF($F1022="","",IFERROR(VLOOKUP($C1022&amp;"|"&amp;$D1022,科目表!$A$5:$B$200,2,FALSE),"※未登録"))</f>
        <v/>
      </c>
      <c r="R1022" s="769" t="str">
        <f>IF($F1022="","",$I1022+$J1022+$K1022)</f>
        <v/>
      </c>
      <c r="S1022" s="769" t="str">
        <f>IF(OR($F1022="",$P1022="支払なし",$H1022=0,$Q1022=""),"",$Q1022&amp;"|S|"&amp;(COUNTIF(S$4:S1021,$Q1022&amp;"|S|*")+1))</f>
        <v/>
      </c>
      <c r="T1022" s="769" t="str">
        <f>IF(OR($F1022="",$P1022="支払なし",$R1022=0,$Q1022=""),"",$Q1022&amp;"|L|"&amp;(COUNTIF(T$4:T1021,$Q1022&amp;"|L|*")+1))</f>
        <v/>
      </c>
      <c r="U1022" s="769" t="str">
        <f>IF($F1022="","",13)</f>
        <v/>
      </c>
    </row>
    <row r="1023" ht="16.5" customHeight="1" s="186">
      <c r="A1023" s="760" t="n"/>
      <c r="B1023" s="760" t="n"/>
      <c r="C1023" s="762" t="n"/>
      <c r="D1023" s="762" t="n"/>
      <c r="E1023" s="775" t="n"/>
      <c r="F1023" s="821" t="n"/>
      <c r="G1023" s="821" t="n"/>
      <c r="H1023" s="818">
        <f>IF(G1023=1,F1023-I1023-J1023-K1023,IF(G1023=2,F1023,0))</f>
        <v>0</v>
      </c>
      <c r="I1023" s="818">
        <f>ROUND(IF(G1023=1,F1023*10/23,IF(G1023=3,F1023-J1023-K1023,IF(G1023=4,F1023,IF(G1023=5,F1023*10/11,IF(G1023=7,F1023*10/11,0))))),0)</f>
        <v>0</v>
      </c>
      <c r="J1023" s="818">
        <f>ROUND(IF(G1023=1,F1023/23,IF(G1023=3,F1023/12,IF(G1023=5,F1023-I1023,IF(G1023=8,F1023,0)))),0)</f>
        <v>0</v>
      </c>
      <c r="K1023" s="819">
        <f>ROUND(IF(G1023=1,F1023/23,IF(G1023=3,F1023/12,IF(G1023=6,F1023,IF(G1023=7,F1023-I1023,0)))),0)</f>
        <v>0</v>
      </c>
      <c r="L1023" s="820">
        <f>IF(G1023=6,F1023,0)</f>
        <v>0</v>
      </c>
      <c r="P1023" s="768" t="n"/>
      <c r="Q1023" s="769" t="str">
        <f>IF($F1023="","",IFERROR(VLOOKUP($C1023&amp;"|"&amp;$D1023,科目表!$A$5:$B$200,2,FALSE),"※未登録"))</f>
        <v/>
      </c>
      <c r="R1023" s="769" t="str">
        <f>IF($F1023="","",$I1023+$J1023+$K1023)</f>
        <v/>
      </c>
      <c r="S1023" s="769" t="str">
        <f>IF(OR($F1023="",$P1023="支払なし",$H1023=0,$Q1023=""),"",$Q1023&amp;"|S|"&amp;(COUNTIF(S$4:S1022,$Q1023&amp;"|S|*")+1))</f>
        <v/>
      </c>
      <c r="T1023" s="769" t="str">
        <f>IF(OR($F1023="",$P1023="支払なし",$R1023=0,$Q1023=""),"",$Q1023&amp;"|L|"&amp;(COUNTIF(T$4:T1022,$Q1023&amp;"|L|*")+1))</f>
        <v/>
      </c>
      <c r="U1023" s="769" t="str">
        <f>IF($F1023="","",13)</f>
        <v/>
      </c>
    </row>
    <row r="1024" ht="16.5" customHeight="1" s="186">
      <c r="A1024" s="760" t="n"/>
      <c r="B1024" s="760" t="n"/>
      <c r="C1024" s="762" t="n"/>
      <c r="D1024" s="762" t="n"/>
      <c r="E1024" s="775" t="n"/>
      <c r="F1024" s="821" t="n"/>
      <c r="G1024" s="821" t="n"/>
      <c r="H1024" s="818">
        <f>IF(G1024=1,F1024-I1024-J1024-K1024,IF(G1024=2,F1024,0))</f>
        <v>0</v>
      </c>
      <c r="I1024" s="818">
        <f>ROUND(IF(G1024=1,F1024*10/23,IF(G1024=3,F1024-J1024-K1024,IF(G1024=4,F1024,IF(G1024=5,F1024*10/11,IF(G1024=7,F1024*10/11,0))))),0)</f>
        <v>0</v>
      </c>
      <c r="J1024" s="818">
        <f>ROUND(IF(G1024=1,F1024/23,IF(G1024=3,F1024/12,IF(G1024=5,F1024-I1024,IF(G1024=8,F1024,0)))),0)</f>
        <v>0</v>
      </c>
      <c r="K1024" s="819">
        <f>ROUND(IF(G1024=1,F1024/23,IF(G1024=3,F1024/12,IF(G1024=6,F1024,IF(G1024=7,F1024-I1024,0)))),0)</f>
        <v>0</v>
      </c>
      <c r="L1024" s="820">
        <f>IF(G1024=6,F1024,0)</f>
        <v>0</v>
      </c>
      <c r="P1024" s="768" t="n"/>
      <c r="Q1024" s="769" t="str">
        <f>IF($F1024="","",IFERROR(VLOOKUP($C1024&amp;"|"&amp;$D1024,科目表!$A$5:$B$200,2,FALSE),"※未登録"))</f>
        <v/>
      </c>
      <c r="R1024" s="769" t="str">
        <f>IF($F1024="","",$I1024+$J1024+$K1024)</f>
        <v/>
      </c>
      <c r="S1024" s="769" t="str">
        <f>IF(OR($F1024="",$P1024="支払なし",$H1024=0,$Q1024=""),"",$Q1024&amp;"|S|"&amp;(COUNTIF(S$4:S1023,$Q1024&amp;"|S|*")+1))</f>
        <v/>
      </c>
      <c r="T1024" s="769" t="str">
        <f>IF(OR($F1024="",$P1024="支払なし",$R1024=0,$Q1024=""),"",$Q1024&amp;"|L|"&amp;(COUNTIF(T$4:T1023,$Q1024&amp;"|L|*")+1))</f>
        <v/>
      </c>
      <c r="U1024" s="769" t="str">
        <f>IF($F1024="","",13)</f>
        <v/>
      </c>
    </row>
    <row r="1025" ht="16.5" customHeight="1" s="186">
      <c r="A1025" s="760" t="n"/>
      <c r="B1025" s="760" t="n"/>
      <c r="C1025" s="762" t="n"/>
      <c r="D1025" s="762" t="n"/>
      <c r="E1025" s="775" t="n"/>
      <c r="F1025" s="821" t="n"/>
      <c r="G1025" s="821" t="n"/>
      <c r="H1025" s="818">
        <f>IF(G1025=1,F1025-I1025-J1025-K1025,IF(G1025=2,F1025,0))</f>
        <v>0</v>
      </c>
      <c r="I1025" s="818">
        <f>ROUND(IF(G1025=1,F1025*10/23,IF(G1025=3,F1025-J1025-K1025,IF(G1025=4,F1025,IF(G1025=5,F1025*10/11,IF(G1025=7,F1025*10/11,0))))),0)</f>
        <v>0</v>
      </c>
      <c r="J1025" s="818">
        <f>ROUND(IF(G1025=1,F1025/23,IF(G1025=3,F1025/12,IF(G1025=5,F1025-I1025,IF(G1025=8,F1025,0)))),0)</f>
        <v>0</v>
      </c>
      <c r="K1025" s="819">
        <f>ROUND(IF(G1025=1,F1025/23,IF(G1025=3,F1025/12,IF(G1025=6,F1025,IF(G1025=7,F1025-I1025,0)))),0)</f>
        <v>0</v>
      </c>
      <c r="L1025" s="820">
        <f>IF(G1025=6,F1025,0)</f>
        <v>0</v>
      </c>
      <c r="P1025" s="768" t="n"/>
      <c r="Q1025" s="769" t="str">
        <f>IF($F1025="","",IFERROR(VLOOKUP($C1025&amp;"|"&amp;$D1025,科目表!$A$5:$B$200,2,FALSE),"※未登録"))</f>
        <v/>
      </c>
      <c r="R1025" s="769" t="str">
        <f>IF($F1025="","",$I1025+$J1025+$K1025)</f>
        <v/>
      </c>
      <c r="S1025" s="769" t="str">
        <f>IF(OR($F1025="",$P1025="支払なし",$H1025=0,$Q1025=""),"",$Q1025&amp;"|S|"&amp;(COUNTIF(S$4:S1024,$Q1025&amp;"|S|*")+1))</f>
        <v/>
      </c>
      <c r="T1025" s="769" t="str">
        <f>IF(OR($F1025="",$P1025="支払なし",$R1025=0,$Q1025=""),"",$Q1025&amp;"|L|"&amp;(COUNTIF(T$4:T1024,$Q1025&amp;"|L|*")+1))</f>
        <v/>
      </c>
      <c r="U1025" s="769" t="str">
        <f>IF($F1025="","",13)</f>
        <v/>
      </c>
    </row>
    <row r="1026" ht="16.5" customHeight="1" s="186">
      <c r="A1026" s="760" t="n"/>
      <c r="B1026" s="760" t="n"/>
      <c r="C1026" s="762" t="n"/>
      <c r="D1026" s="762" t="n"/>
      <c r="E1026" s="775" t="n"/>
      <c r="F1026" s="821" t="n"/>
      <c r="G1026" s="821" t="n"/>
      <c r="H1026" s="818">
        <f>IF(G1026=1,F1026-I1026-J1026-K1026,IF(G1026=2,F1026,0))</f>
        <v>0</v>
      </c>
      <c r="I1026" s="818">
        <f>ROUND(IF(G1026=1,F1026*10/23,IF(G1026=3,F1026-J1026-K1026,IF(G1026=4,F1026,IF(G1026=5,F1026*10/11,IF(G1026=7,F1026*10/11,0))))),0)</f>
        <v>0</v>
      </c>
      <c r="J1026" s="818">
        <f>ROUND(IF(G1026=1,F1026/23,IF(G1026=3,F1026/12,IF(G1026=5,F1026-I1026,IF(G1026=8,F1026,0)))),0)</f>
        <v>0</v>
      </c>
      <c r="K1026" s="819">
        <f>ROUND(IF(G1026=1,F1026/23,IF(G1026=3,F1026/12,IF(G1026=6,F1026,IF(G1026=7,F1026-I1026,0)))),0)</f>
        <v>0</v>
      </c>
      <c r="L1026" s="820">
        <f>IF(G1026=6,F1026,0)</f>
        <v>0</v>
      </c>
      <c r="P1026" s="768" t="n"/>
      <c r="Q1026" s="769" t="str">
        <f>IF($F1026="","",IFERROR(VLOOKUP($C1026&amp;"|"&amp;$D1026,科目表!$A$5:$B$200,2,FALSE),"※未登録"))</f>
        <v/>
      </c>
      <c r="R1026" s="769" t="str">
        <f>IF($F1026="","",$I1026+$J1026+$K1026)</f>
        <v/>
      </c>
      <c r="S1026" s="769" t="str">
        <f>IF(OR($F1026="",$P1026="支払なし",$H1026=0,$Q1026=""),"",$Q1026&amp;"|S|"&amp;(COUNTIF(S$4:S1025,$Q1026&amp;"|S|*")+1))</f>
        <v/>
      </c>
      <c r="T1026" s="769" t="str">
        <f>IF(OR($F1026="",$P1026="支払なし",$R1026=0,$Q1026=""),"",$Q1026&amp;"|L|"&amp;(COUNTIF(T$4:T1025,$Q1026&amp;"|L|*")+1))</f>
        <v/>
      </c>
      <c r="U1026" s="769" t="str">
        <f>IF($F1026="","",13)</f>
        <v/>
      </c>
    </row>
    <row r="1027" ht="16.5" customHeight="1" s="186">
      <c r="A1027" s="760" t="n"/>
      <c r="B1027" s="760" t="n"/>
      <c r="C1027" s="762" t="n"/>
      <c r="D1027" s="762" t="n"/>
      <c r="E1027" s="775" t="n"/>
      <c r="F1027" s="821" t="n"/>
      <c r="G1027" s="821" t="n"/>
      <c r="H1027" s="818">
        <f>IF(G1027=1,F1027-I1027-J1027-K1027,IF(G1027=2,F1027,0))</f>
        <v>0</v>
      </c>
      <c r="I1027" s="818">
        <f>ROUND(IF(G1027=1,F1027*10/23,IF(G1027=3,F1027-J1027-K1027,IF(G1027=4,F1027,IF(G1027=5,F1027*10/11,IF(G1027=7,F1027*10/11,0))))),0)</f>
        <v>0</v>
      </c>
      <c r="J1027" s="818">
        <f>ROUND(IF(G1027=1,F1027/23,IF(G1027=3,F1027/12,IF(G1027=5,F1027-I1027,IF(G1027=8,F1027,0)))),0)</f>
        <v>0</v>
      </c>
      <c r="K1027" s="819">
        <f>ROUND(IF(G1027=1,F1027/23,IF(G1027=3,F1027/12,IF(G1027=6,F1027,IF(G1027=7,F1027-I1027,0)))),0)</f>
        <v>0</v>
      </c>
      <c r="L1027" s="820">
        <f>IF(G1027=6,F1027,0)</f>
        <v>0</v>
      </c>
      <c r="P1027" s="768" t="n"/>
      <c r="Q1027" s="769" t="str">
        <f>IF($F1027="","",IFERROR(VLOOKUP($C1027&amp;"|"&amp;$D1027,科目表!$A$5:$B$200,2,FALSE),"※未登録"))</f>
        <v/>
      </c>
      <c r="R1027" s="769" t="str">
        <f>IF($F1027="","",$I1027+$J1027+$K1027)</f>
        <v/>
      </c>
      <c r="S1027" s="769" t="str">
        <f>IF(OR($F1027="",$P1027="支払なし",$H1027=0,$Q1027=""),"",$Q1027&amp;"|S|"&amp;(COUNTIF(S$4:S1026,$Q1027&amp;"|S|*")+1))</f>
        <v/>
      </c>
      <c r="T1027" s="769" t="str">
        <f>IF(OR($F1027="",$P1027="支払なし",$R1027=0,$Q1027=""),"",$Q1027&amp;"|L|"&amp;(COUNTIF(T$4:T1026,$Q1027&amp;"|L|*")+1))</f>
        <v/>
      </c>
      <c r="U1027" s="769" t="str">
        <f>IF($F1027="","",13)</f>
        <v/>
      </c>
    </row>
    <row r="1028" ht="16.5" customHeight="1" s="186">
      <c r="A1028" s="760" t="n"/>
      <c r="B1028" s="760" t="n"/>
      <c r="C1028" s="762" t="n"/>
      <c r="D1028" s="762" t="n"/>
      <c r="E1028" s="775" t="n"/>
      <c r="F1028" s="821" t="n"/>
      <c r="G1028" s="821" t="n"/>
      <c r="H1028" s="818">
        <f>IF(G1028=1,F1028-I1028-J1028-K1028,IF(G1028=2,F1028,0))</f>
        <v>0</v>
      </c>
      <c r="I1028" s="818">
        <f>ROUND(IF(G1028=1,F1028*10/23,IF(G1028=3,F1028-J1028-K1028,IF(G1028=4,F1028,IF(G1028=5,F1028*10/11,IF(G1028=7,F1028*10/11,0))))),0)</f>
        <v>0</v>
      </c>
      <c r="J1028" s="818">
        <f>ROUND(IF(G1028=1,F1028/23,IF(G1028=3,F1028/12,IF(G1028=5,F1028-I1028,IF(G1028=8,F1028,0)))),0)</f>
        <v>0</v>
      </c>
      <c r="K1028" s="819">
        <f>ROUND(IF(G1028=1,F1028/23,IF(G1028=3,F1028/12,IF(G1028=6,F1028,IF(G1028=7,F1028-I1028,0)))),0)</f>
        <v>0</v>
      </c>
      <c r="L1028" s="820">
        <f>IF(G1028=6,F1028,0)</f>
        <v>0</v>
      </c>
      <c r="P1028" s="768" t="n"/>
      <c r="Q1028" s="769" t="str">
        <f>IF($F1028="","",IFERROR(VLOOKUP($C1028&amp;"|"&amp;$D1028,科目表!$A$5:$B$200,2,FALSE),"※未登録"))</f>
        <v/>
      </c>
      <c r="R1028" s="769" t="str">
        <f>IF($F1028="","",$I1028+$J1028+$K1028)</f>
        <v/>
      </c>
      <c r="S1028" s="769" t="str">
        <f>IF(OR($F1028="",$P1028="支払なし",$H1028=0,$Q1028=""),"",$Q1028&amp;"|S|"&amp;(COUNTIF(S$4:S1027,$Q1028&amp;"|S|*")+1))</f>
        <v/>
      </c>
      <c r="T1028" s="769" t="str">
        <f>IF(OR($F1028="",$P1028="支払なし",$R1028=0,$Q1028=""),"",$Q1028&amp;"|L|"&amp;(COUNTIF(T$4:T1027,$Q1028&amp;"|L|*")+1))</f>
        <v/>
      </c>
      <c r="U1028" s="769" t="str">
        <f>IF($F1028="","",13)</f>
        <v/>
      </c>
    </row>
    <row r="1029" ht="16.5" customHeight="1" s="186">
      <c r="A1029" s="760" t="n"/>
      <c r="B1029" s="760" t="n"/>
      <c r="C1029" s="762" t="n"/>
      <c r="D1029" s="762" t="n"/>
      <c r="E1029" s="775" t="n"/>
      <c r="F1029" s="821" t="n"/>
      <c r="G1029" s="821" t="n"/>
      <c r="H1029" s="818">
        <f>IF(G1029=1,F1029-I1029-J1029-K1029,IF(G1029=2,F1029,0))</f>
        <v>0</v>
      </c>
      <c r="I1029" s="818">
        <f>ROUND(IF(G1029=1,F1029*10/23,IF(G1029=3,F1029-J1029-K1029,IF(G1029=4,F1029,IF(G1029=5,F1029*10/11,IF(G1029=7,F1029*10/11,0))))),0)</f>
        <v>0</v>
      </c>
      <c r="J1029" s="818">
        <f>ROUND(IF(G1029=1,F1029/23,IF(G1029=3,F1029/12,IF(G1029=5,F1029-I1029,IF(G1029=8,F1029,0)))),0)</f>
        <v>0</v>
      </c>
      <c r="K1029" s="819">
        <f>ROUND(IF(G1029=1,F1029/23,IF(G1029=3,F1029/12,IF(G1029=6,F1029,IF(G1029=7,F1029-I1029,0)))),0)</f>
        <v>0</v>
      </c>
      <c r="L1029" s="820">
        <f>IF(G1029=6,F1029,0)</f>
        <v>0</v>
      </c>
      <c r="P1029" s="768" t="n"/>
      <c r="Q1029" s="769" t="str">
        <f>IF($F1029="","",IFERROR(VLOOKUP($C1029&amp;"|"&amp;$D1029,科目表!$A$5:$B$200,2,FALSE),"※未登録"))</f>
        <v/>
      </c>
      <c r="R1029" s="769" t="str">
        <f>IF($F1029="","",$I1029+$J1029+$K1029)</f>
        <v/>
      </c>
      <c r="S1029" s="769" t="str">
        <f>IF(OR($F1029="",$P1029="支払なし",$H1029=0,$Q1029=""),"",$Q1029&amp;"|S|"&amp;(COUNTIF(S$4:S1028,$Q1029&amp;"|S|*")+1))</f>
        <v/>
      </c>
      <c r="T1029" s="769" t="str">
        <f>IF(OR($F1029="",$P1029="支払なし",$R1029=0,$Q1029=""),"",$Q1029&amp;"|L|"&amp;(COUNTIF(T$4:T1028,$Q1029&amp;"|L|*")+1))</f>
        <v/>
      </c>
      <c r="U1029" s="769" t="str">
        <f>IF($F1029="","",13)</f>
        <v/>
      </c>
    </row>
    <row r="1030" ht="16.5" customHeight="1" s="186">
      <c r="A1030" s="760" t="n"/>
      <c r="B1030" s="760" t="n"/>
      <c r="C1030" s="762" t="n"/>
      <c r="D1030" s="762" t="n"/>
      <c r="E1030" s="775" t="n"/>
      <c r="F1030" s="821" t="n"/>
      <c r="G1030" s="821" t="n"/>
      <c r="H1030" s="818">
        <f>IF(G1030=1,F1030-I1030-J1030-K1030,IF(G1030=2,F1030,0))</f>
        <v>0</v>
      </c>
      <c r="I1030" s="818">
        <f>ROUND(IF(G1030=1,F1030*10/23,IF(G1030=3,F1030-J1030-K1030,IF(G1030=4,F1030,IF(G1030=5,F1030*10/11,IF(G1030=7,F1030*10/11,0))))),0)</f>
        <v>0</v>
      </c>
      <c r="J1030" s="818">
        <f>ROUND(IF(G1030=1,F1030/23,IF(G1030=3,F1030/12,IF(G1030=5,F1030-I1030,IF(G1030=8,F1030,0)))),0)</f>
        <v>0</v>
      </c>
      <c r="K1030" s="819">
        <f>ROUND(IF(G1030=1,F1030/23,IF(G1030=3,F1030/12,IF(G1030=6,F1030,IF(G1030=7,F1030-I1030,0)))),0)</f>
        <v>0</v>
      </c>
      <c r="L1030" s="820">
        <f>IF(G1030=6,F1030,0)</f>
        <v>0</v>
      </c>
      <c r="P1030" s="768" t="n"/>
      <c r="Q1030" s="769" t="str">
        <f>IF($F1030="","",IFERROR(VLOOKUP($C1030&amp;"|"&amp;$D1030,科目表!$A$5:$B$200,2,FALSE),"※未登録"))</f>
        <v/>
      </c>
      <c r="R1030" s="769" t="str">
        <f>IF($F1030="","",$I1030+$J1030+$K1030)</f>
        <v/>
      </c>
      <c r="S1030" s="769" t="str">
        <f>IF(OR($F1030="",$P1030="支払なし",$H1030=0,$Q1030=""),"",$Q1030&amp;"|S|"&amp;(COUNTIF(S$4:S1029,$Q1030&amp;"|S|*")+1))</f>
        <v/>
      </c>
      <c r="T1030" s="769" t="str">
        <f>IF(OR($F1030="",$P1030="支払なし",$R1030=0,$Q1030=""),"",$Q1030&amp;"|L|"&amp;(COUNTIF(T$4:T1029,$Q1030&amp;"|L|*")+1))</f>
        <v/>
      </c>
      <c r="U1030" s="769" t="str">
        <f>IF($F1030="","",13)</f>
        <v/>
      </c>
    </row>
    <row r="1031" ht="16.5" customHeight="1" s="186">
      <c r="A1031" s="760" t="n"/>
      <c r="B1031" s="760" t="n"/>
      <c r="C1031" s="762" t="n"/>
      <c r="D1031" s="762" t="n"/>
      <c r="E1031" s="775" t="n"/>
      <c r="F1031" s="821" t="n"/>
      <c r="G1031" s="821" t="n"/>
      <c r="H1031" s="818">
        <f>IF(G1031=1,F1031-I1031-J1031-K1031,IF(G1031=2,F1031,0))</f>
        <v>0</v>
      </c>
      <c r="I1031" s="818">
        <f>ROUND(IF(G1031=1,F1031*10/23,IF(G1031=3,F1031-J1031-K1031,IF(G1031=4,F1031,IF(G1031=5,F1031*10/11,IF(G1031=7,F1031*10/11,0))))),0)</f>
        <v>0</v>
      </c>
      <c r="J1031" s="818">
        <f>ROUND(IF(G1031=1,F1031/23,IF(G1031=3,F1031/12,IF(G1031=5,F1031-I1031,IF(G1031=8,F1031,0)))),0)</f>
        <v>0</v>
      </c>
      <c r="K1031" s="819">
        <f>ROUND(IF(G1031=1,F1031/23,IF(G1031=3,F1031/12,IF(G1031=6,F1031,IF(G1031=7,F1031-I1031,0)))),0)</f>
        <v>0</v>
      </c>
      <c r="L1031" s="820">
        <f>IF(G1031=6,F1031,0)</f>
        <v>0</v>
      </c>
      <c r="P1031" s="768" t="n"/>
      <c r="Q1031" s="769" t="str">
        <f>IF($F1031="","",IFERROR(VLOOKUP($C1031&amp;"|"&amp;$D1031,科目表!$A$5:$B$200,2,FALSE),"※未登録"))</f>
        <v/>
      </c>
      <c r="R1031" s="769" t="str">
        <f>IF($F1031="","",$I1031+$J1031+$K1031)</f>
        <v/>
      </c>
      <c r="S1031" s="769" t="str">
        <f>IF(OR($F1031="",$P1031="支払なし",$H1031=0,$Q1031=""),"",$Q1031&amp;"|S|"&amp;(COUNTIF(S$4:S1030,$Q1031&amp;"|S|*")+1))</f>
        <v/>
      </c>
      <c r="T1031" s="769" t="str">
        <f>IF(OR($F1031="",$P1031="支払なし",$R1031=0,$Q1031=""),"",$Q1031&amp;"|L|"&amp;(COUNTIF(T$4:T1030,$Q1031&amp;"|L|*")+1))</f>
        <v/>
      </c>
      <c r="U1031" s="769" t="str">
        <f>IF($F1031="","",13)</f>
        <v/>
      </c>
    </row>
    <row r="1032" ht="16.5" customHeight="1" s="186">
      <c r="A1032" s="760" t="n"/>
      <c r="B1032" s="760" t="n"/>
      <c r="C1032" s="762" t="n"/>
      <c r="D1032" s="762" t="n"/>
      <c r="E1032" s="775" t="n"/>
      <c r="F1032" s="821" t="n"/>
      <c r="G1032" s="821" t="n"/>
      <c r="H1032" s="818">
        <f>IF(G1032=1,F1032-I1032-J1032-K1032,IF(G1032=2,F1032,0))</f>
        <v>0</v>
      </c>
      <c r="I1032" s="818">
        <f>ROUND(IF(G1032=1,F1032*10/23,IF(G1032=3,F1032-J1032-K1032,IF(G1032=4,F1032,IF(G1032=5,F1032*10/11,IF(G1032=7,F1032*10/11,0))))),0)</f>
        <v>0</v>
      </c>
      <c r="J1032" s="818">
        <f>ROUND(IF(G1032=1,F1032/23,IF(G1032=3,F1032/12,IF(G1032=5,F1032-I1032,IF(G1032=8,F1032,0)))),0)</f>
        <v>0</v>
      </c>
      <c r="K1032" s="819">
        <f>ROUND(IF(G1032=1,F1032/23,IF(G1032=3,F1032/12,IF(G1032=6,F1032,IF(G1032=7,F1032-I1032,0)))),0)</f>
        <v>0</v>
      </c>
      <c r="L1032" s="820">
        <f>IF(G1032=6,F1032,0)</f>
        <v>0</v>
      </c>
      <c r="P1032" s="768" t="n"/>
      <c r="Q1032" s="769" t="str">
        <f>IF($F1032="","",IFERROR(VLOOKUP($C1032&amp;"|"&amp;$D1032,科目表!$A$5:$B$200,2,FALSE),"※未登録"))</f>
        <v/>
      </c>
      <c r="R1032" s="769" t="str">
        <f>IF($F1032="","",$I1032+$J1032+$K1032)</f>
        <v/>
      </c>
      <c r="S1032" s="769" t="str">
        <f>IF(OR($F1032="",$P1032="支払なし",$H1032=0,$Q1032=""),"",$Q1032&amp;"|S|"&amp;(COUNTIF(S$4:S1031,$Q1032&amp;"|S|*")+1))</f>
        <v/>
      </c>
      <c r="T1032" s="769" t="str">
        <f>IF(OR($F1032="",$P1032="支払なし",$R1032=0,$Q1032=""),"",$Q1032&amp;"|L|"&amp;(COUNTIF(T$4:T1031,$Q1032&amp;"|L|*")+1))</f>
        <v/>
      </c>
      <c r="U1032" s="769" t="str">
        <f>IF($F1032="","",13)</f>
        <v/>
      </c>
    </row>
    <row r="1033" ht="16.5" customHeight="1" s="186">
      <c r="A1033" s="760" t="n"/>
      <c r="B1033" s="760" t="n"/>
      <c r="C1033" s="762" t="n"/>
      <c r="D1033" s="762" t="n"/>
      <c r="E1033" s="775" t="n"/>
      <c r="F1033" s="821" t="n"/>
      <c r="G1033" s="821" t="n"/>
      <c r="H1033" s="818">
        <f>IF(G1033=1,F1033-I1033-J1033-K1033,IF(G1033=2,F1033,0))</f>
        <v>0</v>
      </c>
      <c r="I1033" s="818">
        <f>ROUND(IF(G1033=1,F1033*10/23,IF(G1033=3,F1033-J1033-K1033,IF(G1033=4,F1033,IF(G1033=5,F1033*10/11,IF(G1033=7,F1033*10/11,0))))),0)</f>
        <v>0</v>
      </c>
      <c r="J1033" s="818">
        <f>ROUND(IF(G1033=1,F1033/23,IF(G1033=3,F1033/12,IF(G1033=5,F1033-I1033,IF(G1033=8,F1033,0)))),0)</f>
        <v>0</v>
      </c>
      <c r="K1033" s="819">
        <f>ROUND(IF(G1033=1,F1033/23,IF(G1033=3,F1033/12,IF(G1033=6,F1033,IF(G1033=7,F1033-I1033,0)))),0)</f>
        <v>0</v>
      </c>
      <c r="L1033" s="820">
        <f>IF(G1033=6,F1033,0)</f>
        <v>0</v>
      </c>
      <c r="P1033" s="768" t="n"/>
      <c r="Q1033" s="769" t="str">
        <f>IF($F1033="","",IFERROR(VLOOKUP($C1033&amp;"|"&amp;$D1033,科目表!$A$5:$B$200,2,FALSE),"※未登録"))</f>
        <v/>
      </c>
      <c r="R1033" s="769" t="str">
        <f>IF($F1033="","",$I1033+$J1033+$K1033)</f>
        <v/>
      </c>
      <c r="S1033" s="769" t="str">
        <f>IF(OR($F1033="",$P1033="支払なし",$H1033=0,$Q1033=""),"",$Q1033&amp;"|S|"&amp;(COUNTIF(S$4:S1032,$Q1033&amp;"|S|*")+1))</f>
        <v/>
      </c>
      <c r="T1033" s="769" t="str">
        <f>IF(OR($F1033="",$P1033="支払なし",$R1033=0,$Q1033=""),"",$Q1033&amp;"|L|"&amp;(COUNTIF(T$4:T1032,$Q1033&amp;"|L|*")+1))</f>
        <v/>
      </c>
      <c r="U1033" s="769" t="str">
        <f>IF($F1033="","",13)</f>
        <v/>
      </c>
    </row>
    <row r="1034" ht="16.5" customHeight="1" s="186">
      <c r="A1034" s="760" t="n"/>
      <c r="B1034" s="760" t="n"/>
      <c r="C1034" s="762" t="n"/>
      <c r="D1034" s="762" t="n"/>
      <c r="E1034" s="775" t="n"/>
      <c r="F1034" s="821" t="n"/>
      <c r="G1034" s="821" t="n"/>
      <c r="H1034" s="818">
        <f>IF(G1034=1,F1034-I1034-J1034-K1034,IF(G1034=2,F1034,0))</f>
        <v>0</v>
      </c>
      <c r="I1034" s="818">
        <f>ROUND(IF(G1034=1,F1034*10/23,IF(G1034=3,F1034-J1034-K1034,IF(G1034=4,F1034,IF(G1034=5,F1034*10/11,IF(G1034=7,F1034*10/11,0))))),0)</f>
        <v>0</v>
      </c>
      <c r="J1034" s="818">
        <f>ROUND(IF(G1034=1,F1034/23,IF(G1034=3,F1034/12,IF(G1034=5,F1034-I1034,IF(G1034=8,F1034,0)))),0)</f>
        <v>0</v>
      </c>
      <c r="K1034" s="819">
        <f>ROUND(IF(G1034=1,F1034/23,IF(G1034=3,F1034/12,IF(G1034=6,F1034,IF(G1034=7,F1034-I1034,0)))),0)</f>
        <v>0</v>
      </c>
      <c r="L1034" s="820">
        <f>IF(G1034=6,F1034,0)</f>
        <v>0</v>
      </c>
      <c r="P1034" s="768" t="n"/>
      <c r="Q1034" s="769" t="str">
        <f>IF($F1034="","",IFERROR(VLOOKUP($C1034&amp;"|"&amp;$D1034,科目表!$A$5:$B$200,2,FALSE),"※未登録"))</f>
        <v/>
      </c>
      <c r="R1034" s="769" t="str">
        <f>IF($F1034="","",$I1034+$J1034+$K1034)</f>
        <v/>
      </c>
      <c r="S1034" s="769" t="str">
        <f>IF(OR($F1034="",$P1034="支払なし",$H1034=0,$Q1034=""),"",$Q1034&amp;"|S|"&amp;(COUNTIF(S$4:S1033,$Q1034&amp;"|S|*")+1))</f>
        <v/>
      </c>
      <c r="T1034" s="769" t="str">
        <f>IF(OR($F1034="",$P1034="支払なし",$R1034=0,$Q1034=""),"",$Q1034&amp;"|L|"&amp;(COUNTIF(T$4:T1033,$Q1034&amp;"|L|*")+1))</f>
        <v/>
      </c>
      <c r="U1034" s="769" t="str">
        <f>IF($F1034="","",13)</f>
        <v/>
      </c>
    </row>
    <row r="1035" ht="16.5" customHeight="1" s="186">
      <c r="A1035" s="760" t="n"/>
      <c r="B1035" s="760" t="n"/>
      <c r="C1035" s="762" t="n"/>
      <c r="D1035" s="762" t="n"/>
      <c r="E1035" s="775" t="n"/>
      <c r="F1035" s="821" t="n"/>
      <c r="G1035" s="821" t="n"/>
      <c r="H1035" s="818">
        <f>IF(G1035=1,F1035-I1035-J1035-K1035,IF(G1035=2,F1035,0))</f>
        <v>0</v>
      </c>
      <c r="I1035" s="818">
        <f>ROUND(IF(G1035=1,F1035*10/23,IF(G1035=3,F1035-J1035-K1035,IF(G1035=4,F1035,IF(G1035=5,F1035*10/11,IF(G1035=7,F1035*10/11,0))))),0)</f>
        <v>0</v>
      </c>
      <c r="J1035" s="818">
        <f>ROUND(IF(G1035=1,F1035/23,IF(G1035=3,F1035/12,IF(G1035=5,F1035-I1035,IF(G1035=8,F1035,0)))),0)</f>
        <v>0</v>
      </c>
      <c r="K1035" s="819">
        <f>ROUND(IF(G1035=1,F1035/23,IF(G1035=3,F1035/12,IF(G1035=6,F1035,IF(G1035=7,F1035-I1035,0)))),0)</f>
        <v>0</v>
      </c>
      <c r="L1035" s="820">
        <f>IF(G1035=6,F1035,0)</f>
        <v>0</v>
      </c>
      <c r="P1035" s="768" t="n"/>
      <c r="Q1035" s="769" t="str">
        <f>IF($F1035="","",IFERROR(VLOOKUP($C1035&amp;"|"&amp;$D1035,科目表!$A$5:$B$200,2,FALSE),"※未登録"))</f>
        <v/>
      </c>
      <c r="R1035" s="769" t="str">
        <f>IF($F1035="","",$I1035+$J1035+$K1035)</f>
        <v/>
      </c>
      <c r="S1035" s="769" t="str">
        <f>IF(OR($F1035="",$P1035="支払なし",$H1035=0,$Q1035=""),"",$Q1035&amp;"|S|"&amp;(COUNTIF(S$4:S1034,$Q1035&amp;"|S|*")+1))</f>
        <v/>
      </c>
      <c r="T1035" s="769" t="str">
        <f>IF(OR($F1035="",$P1035="支払なし",$R1035=0,$Q1035=""),"",$Q1035&amp;"|L|"&amp;(COUNTIF(T$4:T1034,$Q1035&amp;"|L|*")+1))</f>
        <v/>
      </c>
      <c r="U1035" s="769" t="str">
        <f>IF($F1035="","",13)</f>
        <v/>
      </c>
    </row>
    <row r="1036" ht="16.5" customHeight="1" s="186">
      <c r="A1036" s="760" t="n"/>
      <c r="B1036" s="760" t="n"/>
      <c r="C1036" s="762" t="n"/>
      <c r="D1036" s="762" t="n"/>
      <c r="E1036" s="775" t="n"/>
      <c r="F1036" s="821" t="n"/>
      <c r="G1036" s="821" t="n"/>
      <c r="H1036" s="818">
        <f>IF(G1036=1,F1036-I1036-J1036-K1036,IF(G1036=2,F1036,0))</f>
        <v>0</v>
      </c>
      <c r="I1036" s="818">
        <f>ROUND(IF(G1036=1,F1036*10/23,IF(G1036=3,F1036-J1036-K1036,IF(G1036=4,F1036,IF(G1036=5,F1036*10/11,IF(G1036=7,F1036*10/11,0))))),0)</f>
        <v>0</v>
      </c>
      <c r="J1036" s="818">
        <f>ROUND(IF(G1036=1,F1036/23,IF(G1036=3,F1036/12,IF(G1036=5,F1036-I1036,IF(G1036=8,F1036,0)))),0)</f>
        <v>0</v>
      </c>
      <c r="K1036" s="819">
        <f>ROUND(IF(G1036=1,F1036/23,IF(G1036=3,F1036/12,IF(G1036=6,F1036,IF(G1036=7,F1036-I1036,0)))),0)</f>
        <v>0</v>
      </c>
      <c r="L1036" s="820">
        <f>IF(G1036=6,F1036,0)</f>
        <v>0</v>
      </c>
      <c r="P1036" s="768" t="n"/>
      <c r="Q1036" s="769" t="str">
        <f>IF($F1036="","",IFERROR(VLOOKUP($C1036&amp;"|"&amp;$D1036,科目表!$A$5:$B$200,2,FALSE),"※未登録"))</f>
        <v/>
      </c>
      <c r="R1036" s="769" t="str">
        <f>IF($F1036="","",$I1036+$J1036+$K1036)</f>
        <v/>
      </c>
      <c r="S1036" s="769" t="str">
        <f>IF(OR($F1036="",$P1036="支払なし",$H1036=0,$Q1036=""),"",$Q1036&amp;"|S|"&amp;(COUNTIF(S$4:S1035,$Q1036&amp;"|S|*")+1))</f>
        <v/>
      </c>
      <c r="T1036" s="769" t="str">
        <f>IF(OR($F1036="",$P1036="支払なし",$R1036=0,$Q1036=""),"",$Q1036&amp;"|L|"&amp;(COUNTIF(T$4:T1035,$Q1036&amp;"|L|*")+1))</f>
        <v/>
      </c>
      <c r="U1036" s="769" t="str">
        <f>IF($F1036="","",13)</f>
        <v/>
      </c>
    </row>
    <row r="1037" ht="16.5" customHeight="1" s="186">
      <c r="A1037" s="760" t="n"/>
      <c r="B1037" s="760" t="n"/>
      <c r="C1037" s="762" t="n"/>
      <c r="D1037" s="762" t="n"/>
      <c r="E1037" s="775" t="n"/>
      <c r="F1037" s="821" t="n"/>
      <c r="G1037" s="821" t="n"/>
      <c r="H1037" s="818">
        <f>IF(G1037=1,F1037-I1037-J1037-K1037,IF(G1037=2,F1037,0))</f>
        <v>0</v>
      </c>
      <c r="I1037" s="818">
        <f>ROUND(IF(G1037=1,F1037*10/23,IF(G1037=3,F1037-J1037-K1037,IF(G1037=4,F1037,IF(G1037=5,F1037*10/11,IF(G1037=7,F1037*10/11,0))))),0)</f>
        <v>0</v>
      </c>
      <c r="J1037" s="818">
        <f>ROUND(IF(G1037=1,F1037/23,IF(G1037=3,F1037/12,IF(G1037=5,F1037-I1037,IF(G1037=8,F1037,0)))),0)</f>
        <v>0</v>
      </c>
      <c r="K1037" s="819">
        <f>ROUND(IF(G1037=1,F1037/23,IF(G1037=3,F1037/12,IF(G1037=6,F1037,IF(G1037=7,F1037-I1037,0)))),0)</f>
        <v>0</v>
      </c>
      <c r="L1037" s="820">
        <f>IF(G1037=6,F1037,0)</f>
        <v>0</v>
      </c>
      <c r="P1037" s="768" t="n"/>
      <c r="Q1037" s="769" t="str">
        <f>IF($F1037="","",IFERROR(VLOOKUP($C1037&amp;"|"&amp;$D1037,科目表!$A$5:$B$200,2,FALSE),"※未登録"))</f>
        <v/>
      </c>
      <c r="R1037" s="769" t="str">
        <f>IF($F1037="","",$I1037+$J1037+$K1037)</f>
        <v/>
      </c>
      <c r="S1037" s="769" t="str">
        <f>IF(OR($F1037="",$P1037="支払なし",$H1037=0,$Q1037=""),"",$Q1037&amp;"|S|"&amp;(COUNTIF(S$4:S1036,$Q1037&amp;"|S|*")+1))</f>
        <v/>
      </c>
      <c r="T1037" s="769" t="str">
        <f>IF(OR($F1037="",$P1037="支払なし",$R1037=0,$Q1037=""),"",$Q1037&amp;"|L|"&amp;(COUNTIF(T$4:T1036,$Q1037&amp;"|L|*")+1))</f>
        <v/>
      </c>
      <c r="U1037" s="769" t="str">
        <f>IF($F1037="","",13)</f>
        <v/>
      </c>
    </row>
    <row r="1038" ht="16.5" customHeight="1" s="186">
      <c r="A1038" s="760" t="n"/>
      <c r="B1038" s="760" t="n"/>
      <c r="C1038" s="762" t="n"/>
      <c r="D1038" s="762" t="n"/>
      <c r="E1038" s="775" t="n"/>
      <c r="F1038" s="821" t="n"/>
      <c r="G1038" s="821" t="n"/>
      <c r="H1038" s="818">
        <f>IF(G1038=1,F1038-I1038-J1038-K1038,IF(G1038=2,F1038,0))</f>
        <v>0</v>
      </c>
      <c r="I1038" s="818">
        <f>ROUND(IF(G1038=1,F1038*10/23,IF(G1038=3,F1038-J1038-K1038,IF(G1038=4,F1038,IF(G1038=5,F1038*10/11,IF(G1038=7,F1038*10/11,0))))),0)</f>
        <v>0</v>
      </c>
      <c r="J1038" s="818">
        <f>ROUND(IF(G1038=1,F1038/23,IF(G1038=3,F1038/12,IF(G1038=5,F1038-I1038,IF(G1038=8,F1038,0)))),0)</f>
        <v>0</v>
      </c>
      <c r="K1038" s="819">
        <f>ROUND(IF(G1038=1,F1038/23,IF(G1038=3,F1038/12,IF(G1038=6,F1038,IF(G1038=7,F1038-I1038,0)))),0)</f>
        <v>0</v>
      </c>
      <c r="L1038" s="820">
        <f>IF(G1038=6,F1038,0)</f>
        <v>0</v>
      </c>
      <c r="P1038" s="768" t="n"/>
      <c r="Q1038" s="769" t="str">
        <f>IF($F1038="","",IFERROR(VLOOKUP($C1038&amp;"|"&amp;$D1038,科目表!$A$5:$B$200,2,FALSE),"※未登録"))</f>
        <v/>
      </c>
      <c r="R1038" s="769" t="str">
        <f>IF($F1038="","",$I1038+$J1038+$K1038)</f>
        <v/>
      </c>
      <c r="S1038" s="769" t="str">
        <f>IF(OR($F1038="",$P1038="支払なし",$H1038=0,$Q1038=""),"",$Q1038&amp;"|S|"&amp;(COUNTIF(S$4:S1037,$Q1038&amp;"|S|*")+1))</f>
        <v/>
      </c>
      <c r="T1038" s="769" t="str">
        <f>IF(OR($F1038="",$P1038="支払なし",$R1038=0,$Q1038=""),"",$Q1038&amp;"|L|"&amp;(COUNTIF(T$4:T1037,$Q1038&amp;"|L|*")+1))</f>
        <v/>
      </c>
      <c r="U1038" s="769" t="str">
        <f>IF($F1038="","",13)</f>
        <v/>
      </c>
    </row>
    <row r="1039" ht="16.5" customHeight="1" s="186">
      <c r="A1039" s="760" t="n"/>
      <c r="B1039" s="760" t="n"/>
      <c r="C1039" s="762" t="n"/>
      <c r="D1039" s="762" t="n"/>
      <c r="E1039" s="775" t="n"/>
      <c r="F1039" s="821" t="n"/>
      <c r="G1039" s="821" t="n"/>
      <c r="H1039" s="818">
        <f>IF(G1039=1,F1039-I1039-J1039-K1039,IF(G1039=2,F1039,0))</f>
        <v>0</v>
      </c>
      <c r="I1039" s="818">
        <f>ROUND(IF(G1039=1,F1039*10/23,IF(G1039=3,F1039-J1039-K1039,IF(G1039=4,F1039,IF(G1039=5,F1039*10/11,IF(G1039=7,F1039*10/11,0))))),0)</f>
        <v>0</v>
      </c>
      <c r="J1039" s="818">
        <f>ROUND(IF(G1039=1,F1039/23,IF(G1039=3,F1039/12,IF(G1039=5,F1039-I1039,IF(G1039=8,F1039,0)))),0)</f>
        <v>0</v>
      </c>
      <c r="K1039" s="819">
        <f>ROUND(IF(G1039=1,F1039/23,IF(G1039=3,F1039/12,IF(G1039=6,F1039,IF(G1039=7,F1039-I1039,0)))),0)</f>
        <v>0</v>
      </c>
      <c r="L1039" s="820">
        <f>IF(G1039=6,F1039,0)</f>
        <v>0</v>
      </c>
      <c r="P1039" s="768" t="n"/>
      <c r="Q1039" s="769" t="str">
        <f>IF($F1039="","",IFERROR(VLOOKUP($C1039&amp;"|"&amp;$D1039,科目表!$A$5:$B$200,2,FALSE),"※未登録"))</f>
        <v/>
      </c>
      <c r="R1039" s="769" t="str">
        <f>IF($F1039="","",$I1039+$J1039+$K1039)</f>
        <v/>
      </c>
      <c r="S1039" s="769" t="str">
        <f>IF(OR($F1039="",$P1039="支払なし",$H1039=0,$Q1039=""),"",$Q1039&amp;"|S|"&amp;(COUNTIF(S$4:S1038,$Q1039&amp;"|S|*")+1))</f>
        <v/>
      </c>
      <c r="T1039" s="769" t="str">
        <f>IF(OR($F1039="",$P1039="支払なし",$R1039=0,$Q1039=""),"",$Q1039&amp;"|L|"&amp;(COUNTIF(T$4:T1038,$Q1039&amp;"|L|*")+1))</f>
        <v/>
      </c>
      <c r="U1039" s="769" t="str">
        <f>IF($F1039="","",13)</f>
        <v/>
      </c>
    </row>
    <row r="1040" ht="16.5" customHeight="1" s="186">
      <c r="A1040" s="760" t="n"/>
      <c r="B1040" s="760" t="n"/>
      <c r="C1040" s="762" t="n"/>
      <c r="D1040" s="762" t="n"/>
      <c r="E1040" s="775" t="n"/>
      <c r="F1040" s="821" t="n"/>
      <c r="G1040" s="821" t="n"/>
      <c r="H1040" s="818">
        <f>IF(G1040=1,F1040-I1040-J1040-K1040,IF(G1040=2,F1040,0))</f>
        <v>0</v>
      </c>
      <c r="I1040" s="818">
        <f>ROUND(IF(G1040=1,F1040*10/23,IF(G1040=3,F1040-J1040-K1040,IF(G1040=4,F1040,IF(G1040=5,F1040*10/11,IF(G1040=7,F1040*10/11,0))))),0)</f>
        <v>0</v>
      </c>
      <c r="J1040" s="818">
        <f>ROUND(IF(G1040=1,F1040/23,IF(G1040=3,F1040/12,IF(G1040=5,F1040-I1040,IF(G1040=8,F1040,0)))),0)</f>
        <v>0</v>
      </c>
      <c r="K1040" s="819">
        <f>ROUND(IF(G1040=1,F1040/23,IF(G1040=3,F1040/12,IF(G1040=6,F1040,IF(G1040=7,F1040-I1040,0)))),0)</f>
        <v>0</v>
      </c>
      <c r="L1040" s="820">
        <f>IF(G1040=6,F1040,0)</f>
        <v>0</v>
      </c>
      <c r="P1040" s="768" t="n"/>
      <c r="Q1040" s="769" t="str">
        <f>IF($F1040="","",IFERROR(VLOOKUP($C1040&amp;"|"&amp;$D1040,科目表!$A$5:$B$200,2,FALSE),"※未登録"))</f>
        <v/>
      </c>
      <c r="R1040" s="769" t="str">
        <f>IF($F1040="","",$I1040+$J1040+$K1040)</f>
        <v/>
      </c>
      <c r="S1040" s="769" t="str">
        <f>IF(OR($F1040="",$P1040="支払なし",$H1040=0,$Q1040=""),"",$Q1040&amp;"|S|"&amp;(COUNTIF(S$4:S1039,$Q1040&amp;"|S|*")+1))</f>
        <v/>
      </c>
      <c r="T1040" s="769" t="str">
        <f>IF(OR($F1040="",$P1040="支払なし",$R1040=0,$Q1040=""),"",$Q1040&amp;"|L|"&amp;(COUNTIF(T$4:T1039,$Q1040&amp;"|L|*")+1))</f>
        <v/>
      </c>
      <c r="U1040" s="769" t="str">
        <f>IF($F1040="","",13)</f>
        <v/>
      </c>
    </row>
    <row r="1041" ht="16.5" customHeight="1" s="186">
      <c r="A1041" s="760" t="n"/>
      <c r="B1041" s="760" t="n"/>
      <c r="C1041" s="762" t="n"/>
      <c r="D1041" s="762" t="n"/>
      <c r="E1041" s="775" t="n"/>
      <c r="F1041" s="821" t="n"/>
      <c r="G1041" s="821" t="n"/>
      <c r="H1041" s="818">
        <f>IF(G1041=1,F1041-I1041-J1041-K1041,IF(G1041=2,F1041,0))</f>
        <v>0</v>
      </c>
      <c r="I1041" s="818">
        <f>ROUND(IF(G1041=1,F1041*10/23,IF(G1041=3,F1041-J1041-K1041,IF(G1041=4,F1041,IF(G1041=5,F1041*10/11,IF(G1041=7,F1041*10/11,0))))),0)</f>
        <v>0</v>
      </c>
      <c r="J1041" s="818">
        <f>ROUND(IF(G1041=1,F1041/23,IF(G1041=3,F1041/12,IF(G1041=5,F1041-I1041,IF(G1041=8,F1041,0)))),0)</f>
        <v>0</v>
      </c>
      <c r="K1041" s="819">
        <f>ROUND(IF(G1041=1,F1041/23,IF(G1041=3,F1041/12,IF(G1041=6,F1041,IF(G1041=7,F1041-I1041,0)))),0)</f>
        <v>0</v>
      </c>
      <c r="L1041" s="820">
        <f>IF(G1041=6,F1041,0)</f>
        <v>0</v>
      </c>
      <c r="P1041" s="768" t="n"/>
      <c r="Q1041" s="769" t="str">
        <f>IF($F1041="","",IFERROR(VLOOKUP($C1041&amp;"|"&amp;$D1041,科目表!$A$5:$B$200,2,FALSE),"※未登録"))</f>
        <v/>
      </c>
      <c r="R1041" s="769" t="str">
        <f>IF($F1041="","",$I1041+$J1041+$K1041)</f>
        <v/>
      </c>
      <c r="S1041" s="769" t="str">
        <f>IF(OR($F1041="",$P1041="支払なし",$H1041=0,$Q1041=""),"",$Q1041&amp;"|S|"&amp;(COUNTIF(S$4:S1040,$Q1041&amp;"|S|*")+1))</f>
        <v/>
      </c>
      <c r="T1041" s="769" t="str">
        <f>IF(OR($F1041="",$P1041="支払なし",$R1041=0,$Q1041=""),"",$Q1041&amp;"|L|"&amp;(COUNTIF(T$4:T1040,$Q1041&amp;"|L|*")+1))</f>
        <v/>
      </c>
      <c r="U1041" s="769" t="str">
        <f>IF($F1041="","",13)</f>
        <v/>
      </c>
    </row>
    <row r="1042" ht="16.5" customHeight="1" s="186">
      <c r="A1042" s="760" t="n"/>
      <c r="B1042" s="760" t="n"/>
      <c r="C1042" s="762" t="n"/>
      <c r="D1042" s="762" t="n"/>
      <c r="E1042" s="775" t="n"/>
      <c r="F1042" s="821" t="n"/>
      <c r="G1042" s="821" t="n"/>
      <c r="H1042" s="818">
        <f>IF(G1042=1,F1042-I1042-J1042-K1042,IF(G1042=2,F1042,0))</f>
        <v>0</v>
      </c>
      <c r="I1042" s="818">
        <f>ROUND(IF(G1042=1,F1042*10/23,IF(G1042=3,F1042-J1042-K1042,IF(G1042=4,F1042,IF(G1042=5,F1042*10/11,IF(G1042=7,F1042*10/11,0))))),0)</f>
        <v>0</v>
      </c>
      <c r="J1042" s="818">
        <f>ROUND(IF(G1042=1,F1042/23,IF(G1042=3,F1042/12,IF(G1042=5,F1042-I1042,IF(G1042=8,F1042,0)))),0)</f>
        <v>0</v>
      </c>
      <c r="K1042" s="819">
        <f>ROUND(IF(G1042=1,F1042/23,IF(G1042=3,F1042/12,IF(G1042=6,F1042,IF(G1042=7,F1042-I1042,0)))),0)</f>
        <v>0</v>
      </c>
      <c r="L1042" s="820">
        <f>IF(G1042=6,F1042,0)</f>
        <v>0</v>
      </c>
      <c r="P1042" s="768" t="n"/>
      <c r="Q1042" s="769" t="str">
        <f>IF($F1042="","",IFERROR(VLOOKUP($C1042&amp;"|"&amp;$D1042,科目表!$A$5:$B$200,2,FALSE),"※未登録"))</f>
        <v/>
      </c>
      <c r="R1042" s="769" t="str">
        <f>IF($F1042="","",$I1042+$J1042+$K1042)</f>
        <v/>
      </c>
      <c r="S1042" s="769" t="str">
        <f>IF(OR($F1042="",$P1042="支払なし",$H1042=0,$Q1042=""),"",$Q1042&amp;"|S|"&amp;(COUNTIF(S$4:S1041,$Q1042&amp;"|S|*")+1))</f>
        <v/>
      </c>
      <c r="T1042" s="769" t="str">
        <f>IF(OR($F1042="",$P1042="支払なし",$R1042=0,$Q1042=""),"",$Q1042&amp;"|L|"&amp;(COUNTIF(T$4:T1041,$Q1042&amp;"|L|*")+1))</f>
        <v/>
      </c>
      <c r="U1042" s="769" t="str">
        <f>IF($F1042="","",13)</f>
        <v/>
      </c>
    </row>
    <row r="1043" ht="16.5" customHeight="1" s="186">
      <c r="A1043" s="760" t="n"/>
      <c r="B1043" s="760" t="n"/>
      <c r="C1043" s="762" t="n"/>
      <c r="D1043" s="762" t="n"/>
      <c r="E1043" s="775" t="n"/>
      <c r="F1043" s="821" t="n"/>
      <c r="G1043" s="821" t="n"/>
      <c r="H1043" s="818">
        <f>IF(G1043=1,F1043-I1043-J1043-K1043,IF(G1043=2,F1043,0))</f>
        <v>0</v>
      </c>
      <c r="I1043" s="818">
        <f>ROUND(IF(G1043=1,F1043*10/23,IF(G1043=3,F1043-J1043-K1043,IF(G1043=4,F1043,IF(G1043=5,F1043*10/11,IF(G1043=7,F1043*10/11,0))))),0)</f>
        <v>0</v>
      </c>
      <c r="J1043" s="818">
        <f>ROUND(IF(G1043=1,F1043/23,IF(G1043=3,F1043/12,IF(G1043=5,F1043-I1043,IF(G1043=8,F1043,0)))),0)</f>
        <v>0</v>
      </c>
      <c r="K1043" s="819">
        <f>ROUND(IF(G1043=1,F1043/23,IF(G1043=3,F1043/12,IF(G1043=6,F1043,IF(G1043=7,F1043-I1043,0)))),0)</f>
        <v>0</v>
      </c>
      <c r="L1043" s="820">
        <f>IF(G1043=6,F1043,0)</f>
        <v>0</v>
      </c>
      <c r="P1043" s="768" t="n"/>
      <c r="Q1043" s="769" t="str">
        <f>IF($F1043="","",IFERROR(VLOOKUP($C1043&amp;"|"&amp;$D1043,科目表!$A$5:$B$200,2,FALSE),"※未登録"))</f>
        <v/>
      </c>
      <c r="R1043" s="769" t="str">
        <f>IF($F1043="","",$I1043+$J1043+$K1043)</f>
        <v/>
      </c>
      <c r="S1043" s="769" t="str">
        <f>IF(OR($F1043="",$P1043="支払なし",$H1043=0,$Q1043=""),"",$Q1043&amp;"|S|"&amp;(COUNTIF(S$4:S1042,$Q1043&amp;"|S|*")+1))</f>
        <v/>
      </c>
      <c r="T1043" s="769" t="str">
        <f>IF(OR($F1043="",$P1043="支払なし",$R1043=0,$Q1043=""),"",$Q1043&amp;"|L|"&amp;(COUNTIF(T$4:T1042,$Q1043&amp;"|L|*")+1))</f>
        <v/>
      </c>
      <c r="U1043" s="769" t="str">
        <f>IF($F1043="","",13)</f>
        <v/>
      </c>
    </row>
    <row r="1044" ht="16.5" customHeight="1" s="186">
      <c r="A1044" s="760" t="n"/>
      <c r="B1044" s="760" t="n"/>
      <c r="C1044" s="762" t="n"/>
      <c r="D1044" s="762" t="n"/>
      <c r="E1044" s="775" t="n"/>
      <c r="F1044" s="821" t="n"/>
      <c r="G1044" s="821" t="n"/>
      <c r="H1044" s="818">
        <f>IF(G1044=1,F1044-I1044-J1044-K1044,IF(G1044=2,F1044,0))</f>
        <v>0</v>
      </c>
      <c r="I1044" s="818">
        <f>ROUND(IF(G1044=1,F1044*10/23,IF(G1044=3,F1044-J1044-K1044,IF(G1044=4,F1044,IF(G1044=5,F1044*10/11,IF(G1044=7,F1044*10/11,0))))),0)</f>
        <v>0</v>
      </c>
      <c r="J1044" s="818">
        <f>ROUND(IF(G1044=1,F1044/23,IF(G1044=3,F1044/12,IF(G1044=5,F1044-I1044,IF(G1044=8,F1044,0)))),0)</f>
        <v>0</v>
      </c>
      <c r="K1044" s="819">
        <f>ROUND(IF(G1044=1,F1044/23,IF(G1044=3,F1044/12,IF(G1044=6,F1044,IF(G1044=7,F1044-I1044,0)))),0)</f>
        <v>0</v>
      </c>
      <c r="L1044" s="820">
        <f>IF(G1044=6,F1044,0)</f>
        <v>0</v>
      </c>
      <c r="P1044" s="768" t="n"/>
      <c r="Q1044" s="769" t="str">
        <f>IF($F1044="","",IFERROR(VLOOKUP($C1044&amp;"|"&amp;$D1044,科目表!$A$5:$B$200,2,FALSE),"※未登録"))</f>
        <v/>
      </c>
      <c r="R1044" s="769" t="str">
        <f>IF($F1044="","",$I1044+$J1044+$K1044)</f>
        <v/>
      </c>
      <c r="S1044" s="769" t="str">
        <f>IF(OR($F1044="",$P1044="支払なし",$H1044=0,$Q1044=""),"",$Q1044&amp;"|S|"&amp;(COUNTIF(S$4:S1043,$Q1044&amp;"|S|*")+1))</f>
        <v/>
      </c>
      <c r="T1044" s="769" t="str">
        <f>IF(OR($F1044="",$P1044="支払なし",$R1044=0,$Q1044=""),"",$Q1044&amp;"|L|"&amp;(COUNTIF(T$4:T1043,$Q1044&amp;"|L|*")+1))</f>
        <v/>
      </c>
      <c r="U1044" s="769" t="str">
        <f>IF($F1044="","",13)</f>
        <v/>
      </c>
    </row>
    <row r="1045" ht="16.5" customHeight="1" s="186">
      <c r="A1045" s="760" t="n"/>
      <c r="B1045" s="760" t="n"/>
      <c r="C1045" s="762" t="n"/>
      <c r="D1045" s="762" t="n"/>
      <c r="E1045" s="775" t="n"/>
      <c r="F1045" s="821" t="n"/>
      <c r="G1045" s="821" t="n"/>
      <c r="H1045" s="818">
        <f>IF(G1045=1,F1045-I1045-J1045-K1045,IF(G1045=2,F1045,0))</f>
        <v>0</v>
      </c>
      <c r="I1045" s="818">
        <f>ROUND(IF(G1045=1,F1045*10/23,IF(G1045=3,F1045-J1045-K1045,IF(G1045=4,F1045,IF(G1045=5,F1045*10/11,IF(G1045=7,F1045*10/11,0))))),0)</f>
        <v>0</v>
      </c>
      <c r="J1045" s="818">
        <f>ROUND(IF(G1045=1,F1045/23,IF(G1045=3,F1045/12,IF(G1045=5,F1045-I1045,IF(G1045=8,F1045,0)))),0)</f>
        <v>0</v>
      </c>
      <c r="K1045" s="819">
        <f>ROUND(IF(G1045=1,F1045/23,IF(G1045=3,F1045/12,IF(G1045=6,F1045,IF(G1045=7,F1045-I1045,0)))),0)</f>
        <v>0</v>
      </c>
      <c r="L1045" s="820">
        <f>IF(G1045=6,F1045,0)</f>
        <v>0</v>
      </c>
      <c r="P1045" s="768" t="n"/>
      <c r="Q1045" s="769" t="str">
        <f>IF($F1045="","",IFERROR(VLOOKUP($C1045&amp;"|"&amp;$D1045,科目表!$A$5:$B$200,2,FALSE),"※未登録"))</f>
        <v/>
      </c>
      <c r="R1045" s="769" t="str">
        <f>IF($F1045="","",$I1045+$J1045+$K1045)</f>
        <v/>
      </c>
      <c r="S1045" s="769" t="str">
        <f>IF(OR($F1045="",$P1045="支払なし",$H1045=0,$Q1045=""),"",$Q1045&amp;"|S|"&amp;(COUNTIF(S$4:S1044,$Q1045&amp;"|S|*")+1))</f>
        <v/>
      </c>
      <c r="T1045" s="769" t="str">
        <f>IF(OR($F1045="",$P1045="支払なし",$R1045=0,$Q1045=""),"",$Q1045&amp;"|L|"&amp;(COUNTIF(T$4:T1044,$Q1045&amp;"|L|*")+1))</f>
        <v/>
      </c>
      <c r="U1045" s="769" t="str">
        <f>IF($F1045="","",13)</f>
        <v/>
      </c>
    </row>
    <row r="1046" ht="16.5" customHeight="1" s="186">
      <c r="A1046" s="760" t="n"/>
      <c r="B1046" s="760" t="n"/>
      <c r="C1046" s="762" t="n"/>
      <c r="D1046" s="762" t="n"/>
      <c r="E1046" s="775" t="n"/>
      <c r="F1046" s="821" t="n"/>
      <c r="G1046" s="821" t="n"/>
      <c r="H1046" s="818">
        <f>IF(G1046=1,F1046-I1046-J1046-K1046,IF(G1046=2,F1046,0))</f>
        <v>0</v>
      </c>
      <c r="I1046" s="818">
        <f>ROUND(IF(G1046=1,F1046*10/23,IF(G1046=3,F1046-J1046-K1046,IF(G1046=4,F1046,IF(G1046=5,F1046*10/11,IF(G1046=7,F1046*10/11,0))))),0)</f>
        <v>0</v>
      </c>
      <c r="J1046" s="818">
        <f>ROUND(IF(G1046=1,F1046/23,IF(G1046=3,F1046/12,IF(G1046=5,F1046-I1046,IF(G1046=8,F1046,0)))),0)</f>
        <v>0</v>
      </c>
      <c r="K1046" s="819">
        <f>ROUND(IF(G1046=1,F1046/23,IF(G1046=3,F1046/12,IF(G1046=6,F1046,IF(G1046=7,F1046-I1046,0)))),0)</f>
        <v>0</v>
      </c>
      <c r="L1046" s="820">
        <f>IF(G1046=6,F1046,0)</f>
        <v>0</v>
      </c>
      <c r="P1046" s="768" t="n"/>
      <c r="Q1046" s="769" t="str">
        <f>IF($F1046="","",IFERROR(VLOOKUP($C1046&amp;"|"&amp;$D1046,科目表!$A$5:$B$200,2,FALSE),"※未登録"))</f>
        <v/>
      </c>
      <c r="R1046" s="769" t="str">
        <f>IF($F1046="","",$I1046+$J1046+$K1046)</f>
        <v/>
      </c>
      <c r="S1046" s="769" t="str">
        <f>IF(OR($F1046="",$P1046="支払なし",$H1046=0,$Q1046=""),"",$Q1046&amp;"|S|"&amp;(COUNTIF(S$4:S1045,$Q1046&amp;"|S|*")+1))</f>
        <v/>
      </c>
      <c r="T1046" s="769" t="str">
        <f>IF(OR($F1046="",$P1046="支払なし",$R1046=0,$Q1046=""),"",$Q1046&amp;"|L|"&amp;(COUNTIF(T$4:T1045,$Q1046&amp;"|L|*")+1))</f>
        <v/>
      </c>
      <c r="U1046" s="769" t="str">
        <f>IF($F1046="","",13)</f>
        <v/>
      </c>
    </row>
    <row r="1047" ht="16.5" customHeight="1" s="186">
      <c r="A1047" s="760" t="n"/>
      <c r="B1047" s="760" t="n"/>
      <c r="C1047" s="762" t="n"/>
      <c r="D1047" s="762" t="n"/>
      <c r="E1047" s="775" t="n"/>
      <c r="F1047" s="821" t="n"/>
      <c r="G1047" s="821" t="n"/>
      <c r="H1047" s="818">
        <f>IF(G1047=1,F1047-I1047-J1047-K1047,IF(G1047=2,F1047,0))</f>
        <v>0</v>
      </c>
      <c r="I1047" s="818">
        <f>ROUND(IF(G1047=1,F1047*10/23,IF(G1047=3,F1047-J1047-K1047,IF(G1047=4,F1047,IF(G1047=5,F1047*10/11,IF(G1047=7,F1047*10/11,0))))),0)</f>
        <v>0</v>
      </c>
      <c r="J1047" s="818">
        <f>ROUND(IF(G1047=1,F1047/23,IF(G1047=3,F1047/12,IF(G1047=5,F1047-I1047,IF(G1047=8,F1047,0)))),0)</f>
        <v>0</v>
      </c>
      <c r="K1047" s="819">
        <f>ROUND(IF(G1047=1,F1047/23,IF(G1047=3,F1047/12,IF(G1047=6,F1047,IF(G1047=7,F1047-I1047,0)))),0)</f>
        <v>0</v>
      </c>
      <c r="L1047" s="820">
        <f>IF(G1047=6,F1047,0)</f>
        <v>0</v>
      </c>
      <c r="P1047" s="768" t="n"/>
      <c r="Q1047" s="769" t="str">
        <f>IF($F1047="","",IFERROR(VLOOKUP($C1047&amp;"|"&amp;$D1047,科目表!$A$5:$B$200,2,FALSE),"※未登録"))</f>
        <v/>
      </c>
      <c r="R1047" s="769" t="str">
        <f>IF($F1047="","",$I1047+$J1047+$K1047)</f>
        <v/>
      </c>
      <c r="S1047" s="769" t="str">
        <f>IF(OR($F1047="",$P1047="支払なし",$H1047=0,$Q1047=""),"",$Q1047&amp;"|S|"&amp;(COUNTIF(S$4:S1046,$Q1047&amp;"|S|*")+1))</f>
        <v/>
      </c>
      <c r="T1047" s="769" t="str">
        <f>IF(OR($F1047="",$P1047="支払なし",$R1047=0,$Q1047=""),"",$Q1047&amp;"|L|"&amp;(COUNTIF(T$4:T1046,$Q1047&amp;"|L|*")+1))</f>
        <v/>
      </c>
      <c r="U1047" s="769" t="str">
        <f>IF($F1047="","",13)</f>
        <v/>
      </c>
    </row>
    <row r="1048" ht="16.5" customHeight="1" s="186">
      <c r="A1048" s="760" t="n"/>
      <c r="B1048" s="760" t="n"/>
      <c r="C1048" s="762" t="n"/>
      <c r="D1048" s="762" t="n"/>
      <c r="E1048" s="775" t="n"/>
      <c r="F1048" s="821" t="n"/>
      <c r="G1048" s="821" t="n"/>
      <c r="H1048" s="818">
        <f>IF(G1048=1,F1048-I1048-J1048-K1048,IF(G1048=2,F1048,0))</f>
        <v>0</v>
      </c>
      <c r="I1048" s="818">
        <f>ROUND(IF(G1048=1,F1048*10/23,IF(G1048=3,F1048-J1048-K1048,IF(G1048=4,F1048,IF(G1048=5,F1048*10/11,IF(G1048=7,F1048*10/11,0))))),0)</f>
        <v>0</v>
      </c>
      <c r="J1048" s="818">
        <f>ROUND(IF(G1048=1,F1048/23,IF(G1048=3,F1048/12,IF(G1048=5,F1048-I1048,IF(G1048=8,F1048,0)))),0)</f>
        <v>0</v>
      </c>
      <c r="K1048" s="819">
        <f>ROUND(IF(G1048=1,F1048/23,IF(G1048=3,F1048/12,IF(G1048=6,F1048,IF(G1048=7,F1048-I1048,0)))),0)</f>
        <v>0</v>
      </c>
      <c r="L1048" s="820">
        <f>IF(G1048=6,F1048,0)</f>
        <v>0</v>
      </c>
      <c r="P1048" s="768" t="n"/>
      <c r="Q1048" s="769" t="str">
        <f>IF($F1048="","",IFERROR(VLOOKUP($C1048&amp;"|"&amp;$D1048,科目表!$A$5:$B$200,2,FALSE),"※未登録"))</f>
        <v/>
      </c>
      <c r="R1048" s="769" t="str">
        <f>IF($F1048="","",$I1048+$J1048+$K1048)</f>
        <v/>
      </c>
      <c r="S1048" s="769" t="str">
        <f>IF(OR($F1048="",$P1048="支払なし",$H1048=0,$Q1048=""),"",$Q1048&amp;"|S|"&amp;(COUNTIF(S$4:S1047,$Q1048&amp;"|S|*")+1))</f>
        <v/>
      </c>
      <c r="T1048" s="769" t="str">
        <f>IF(OR($F1048="",$P1048="支払なし",$R1048=0,$Q1048=""),"",$Q1048&amp;"|L|"&amp;(COUNTIF(T$4:T1047,$Q1048&amp;"|L|*")+1))</f>
        <v/>
      </c>
      <c r="U1048" s="769" t="str">
        <f>IF($F1048="","",13)</f>
        <v/>
      </c>
    </row>
    <row r="1049" ht="16.5" customHeight="1" s="186">
      <c r="A1049" s="760" t="n"/>
      <c r="B1049" s="760" t="n"/>
      <c r="C1049" s="762" t="n"/>
      <c r="D1049" s="762" t="n"/>
      <c r="E1049" s="775" t="n"/>
      <c r="F1049" s="821" t="n"/>
      <c r="G1049" s="821" t="n"/>
      <c r="H1049" s="818">
        <f>IF(G1049=1,F1049-I1049-J1049-K1049,IF(G1049=2,F1049,0))</f>
        <v>0</v>
      </c>
      <c r="I1049" s="818">
        <f>ROUND(IF(G1049=1,F1049*10/23,IF(G1049=3,F1049-J1049-K1049,IF(G1049=4,F1049,IF(G1049=5,F1049*10/11,IF(G1049=7,F1049*10/11,0))))),0)</f>
        <v>0</v>
      </c>
      <c r="J1049" s="818">
        <f>ROUND(IF(G1049=1,F1049/23,IF(G1049=3,F1049/12,IF(G1049=5,F1049-I1049,IF(G1049=8,F1049,0)))),0)</f>
        <v>0</v>
      </c>
      <c r="K1049" s="819">
        <f>ROUND(IF(G1049=1,F1049/23,IF(G1049=3,F1049/12,IF(G1049=6,F1049,IF(G1049=7,F1049-I1049,0)))),0)</f>
        <v>0</v>
      </c>
      <c r="L1049" s="820">
        <f>IF(G1049=6,F1049,0)</f>
        <v>0</v>
      </c>
      <c r="P1049" s="768" t="n"/>
      <c r="Q1049" s="769" t="str">
        <f>IF($F1049="","",IFERROR(VLOOKUP($C1049&amp;"|"&amp;$D1049,科目表!$A$5:$B$200,2,FALSE),"※未登録"))</f>
        <v/>
      </c>
      <c r="R1049" s="769" t="str">
        <f>IF($F1049="","",$I1049+$J1049+$K1049)</f>
        <v/>
      </c>
      <c r="S1049" s="769" t="str">
        <f>IF(OR($F1049="",$P1049="支払なし",$H1049=0,$Q1049=""),"",$Q1049&amp;"|S|"&amp;(COUNTIF(S$4:S1048,$Q1049&amp;"|S|*")+1))</f>
        <v/>
      </c>
      <c r="T1049" s="769" t="str">
        <f>IF(OR($F1049="",$P1049="支払なし",$R1049=0,$Q1049=""),"",$Q1049&amp;"|L|"&amp;(COUNTIF(T$4:T1048,$Q1049&amp;"|L|*")+1))</f>
        <v/>
      </c>
      <c r="U1049" s="769" t="str">
        <f>IF($F1049="","",13)</f>
        <v/>
      </c>
    </row>
    <row r="1050" ht="16.5" customHeight="1" s="186">
      <c r="A1050" s="760" t="n"/>
      <c r="B1050" s="760" t="n"/>
      <c r="C1050" s="762" t="n"/>
      <c r="D1050" s="762" t="n"/>
      <c r="E1050" s="775" t="n"/>
      <c r="F1050" s="821" t="n"/>
      <c r="G1050" s="821" t="n"/>
      <c r="H1050" s="818">
        <f>IF(G1050=1,F1050-I1050-J1050-K1050,IF(G1050=2,F1050,0))</f>
        <v>0</v>
      </c>
      <c r="I1050" s="818">
        <f>ROUND(IF(G1050=1,F1050*10/23,IF(G1050=3,F1050-J1050-K1050,IF(G1050=4,F1050,IF(G1050=5,F1050*10/11,IF(G1050=7,F1050*10/11,0))))),0)</f>
        <v>0</v>
      </c>
      <c r="J1050" s="818">
        <f>ROUND(IF(G1050=1,F1050/23,IF(G1050=3,F1050/12,IF(G1050=5,F1050-I1050,IF(G1050=8,F1050,0)))),0)</f>
        <v>0</v>
      </c>
      <c r="K1050" s="819">
        <f>ROUND(IF(G1050=1,F1050/23,IF(G1050=3,F1050/12,IF(G1050=6,F1050,IF(G1050=7,F1050-I1050,0)))),0)</f>
        <v>0</v>
      </c>
      <c r="L1050" s="820">
        <f>IF(G1050=6,F1050,0)</f>
        <v>0</v>
      </c>
      <c r="P1050" s="768" t="n"/>
      <c r="Q1050" s="769" t="str">
        <f>IF($F1050="","",IFERROR(VLOOKUP($C1050&amp;"|"&amp;$D1050,科目表!$A$5:$B$200,2,FALSE),"※未登録"))</f>
        <v/>
      </c>
      <c r="R1050" s="769" t="str">
        <f>IF($F1050="","",$I1050+$J1050+$K1050)</f>
        <v/>
      </c>
      <c r="S1050" s="769" t="str">
        <f>IF(OR($F1050="",$P1050="支払なし",$H1050=0,$Q1050=""),"",$Q1050&amp;"|S|"&amp;(COUNTIF(S$4:S1049,$Q1050&amp;"|S|*")+1))</f>
        <v/>
      </c>
      <c r="T1050" s="769" t="str">
        <f>IF(OR($F1050="",$P1050="支払なし",$R1050=0,$Q1050=""),"",$Q1050&amp;"|L|"&amp;(COUNTIF(T$4:T1049,$Q1050&amp;"|L|*")+1))</f>
        <v/>
      </c>
      <c r="U1050" s="769" t="str">
        <f>IF($F1050="","",13)</f>
        <v/>
      </c>
    </row>
    <row r="1051" ht="16.5" customHeight="1" s="186">
      <c r="A1051" s="760" t="n"/>
      <c r="B1051" s="760" t="n"/>
      <c r="C1051" s="762" t="n"/>
      <c r="D1051" s="762" t="n"/>
      <c r="E1051" s="775" t="n"/>
      <c r="F1051" s="821" t="n"/>
      <c r="G1051" s="821" t="n"/>
      <c r="H1051" s="818">
        <f>IF(G1051=1,F1051-I1051-J1051-K1051,IF(G1051=2,F1051,0))</f>
        <v>0</v>
      </c>
      <c r="I1051" s="818">
        <f>ROUND(IF(G1051=1,F1051*10/23,IF(G1051=3,F1051-J1051-K1051,IF(G1051=4,F1051,IF(G1051=5,F1051*10/11,IF(G1051=7,F1051*10/11,0))))),0)</f>
        <v>0</v>
      </c>
      <c r="J1051" s="818">
        <f>ROUND(IF(G1051=1,F1051/23,IF(G1051=3,F1051/12,IF(G1051=5,F1051-I1051,IF(G1051=8,F1051,0)))),0)</f>
        <v>0</v>
      </c>
      <c r="K1051" s="819">
        <f>ROUND(IF(G1051=1,F1051/23,IF(G1051=3,F1051/12,IF(G1051=6,F1051,IF(G1051=7,F1051-I1051,0)))),0)</f>
        <v>0</v>
      </c>
      <c r="L1051" s="820">
        <f>IF(G1051=6,F1051,0)</f>
        <v>0</v>
      </c>
      <c r="P1051" s="768" t="n"/>
      <c r="Q1051" s="769" t="str">
        <f>IF($F1051="","",IFERROR(VLOOKUP($C1051&amp;"|"&amp;$D1051,科目表!$A$5:$B$200,2,FALSE),"※未登録"))</f>
        <v/>
      </c>
      <c r="R1051" s="769" t="str">
        <f>IF($F1051="","",$I1051+$J1051+$K1051)</f>
        <v/>
      </c>
      <c r="S1051" s="769" t="str">
        <f>IF(OR($F1051="",$P1051="支払なし",$H1051=0,$Q1051=""),"",$Q1051&amp;"|S|"&amp;(COUNTIF(S$4:S1050,$Q1051&amp;"|S|*")+1))</f>
        <v/>
      </c>
      <c r="T1051" s="769" t="str">
        <f>IF(OR($F1051="",$P1051="支払なし",$R1051=0,$Q1051=""),"",$Q1051&amp;"|L|"&amp;(COUNTIF(T$4:T1050,$Q1051&amp;"|L|*")+1))</f>
        <v/>
      </c>
      <c r="U1051" s="769" t="str">
        <f>IF($F1051="","",13)</f>
        <v/>
      </c>
    </row>
    <row r="1052" ht="16.5" customHeight="1" s="186">
      <c r="A1052" s="760" t="n"/>
      <c r="B1052" s="760" t="n"/>
      <c r="C1052" s="762" t="n"/>
      <c r="D1052" s="762" t="n"/>
      <c r="E1052" s="775" t="n"/>
      <c r="F1052" s="821" t="n"/>
      <c r="G1052" s="821" t="n"/>
      <c r="H1052" s="818">
        <f>IF(G1052=1,F1052-I1052-J1052-K1052,IF(G1052=2,F1052,0))</f>
        <v>0</v>
      </c>
      <c r="I1052" s="818">
        <f>ROUND(IF(G1052=1,F1052*10/23,IF(G1052=3,F1052-J1052-K1052,IF(G1052=4,F1052,IF(G1052=5,F1052*10/11,IF(G1052=7,F1052*10/11,0))))),0)</f>
        <v>0</v>
      </c>
      <c r="J1052" s="818">
        <f>ROUND(IF(G1052=1,F1052/23,IF(G1052=3,F1052/12,IF(G1052=5,F1052-I1052,IF(G1052=8,F1052,0)))),0)</f>
        <v>0</v>
      </c>
      <c r="K1052" s="819">
        <f>ROUND(IF(G1052=1,F1052/23,IF(G1052=3,F1052/12,IF(G1052=6,F1052,IF(G1052=7,F1052-I1052,0)))),0)</f>
        <v>0</v>
      </c>
      <c r="L1052" s="820">
        <f>IF(G1052=6,F1052,0)</f>
        <v>0</v>
      </c>
      <c r="P1052" s="768" t="n"/>
      <c r="Q1052" s="769" t="str">
        <f>IF($F1052="","",IFERROR(VLOOKUP($C1052&amp;"|"&amp;$D1052,科目表!$A$5:$B$200,2,FALSE),"※未登録"))</f>
        <v/>
      </c>
      <c r="R1052" s="769" t="str">
        <f>IF($F1052="","",$I1052+$J1052+$K1052)</f>
        <v/>
      </c>
      <c r="S1052" s="769" t="str">
        <f>IF(OR($F1052="",$P1052="支払なし",$H1052=0,$Q1052=""),"",$Q1052&amp;"|S|"&amp;(COUNTIF(S$4:S1051,$Q1052&amp;"|S|*")+1))</f>
        <v/>
      </c>
      <c r="T1052" s="769" t="str">
        <f>IF(OR($F1052="",$P1052="支払なし",$R1052=0,$Q1052=""),"",$Q1052&amp;"|L|"&amp;(COUNTIF(T$4:T1051,$Q1052&amp;"|L|*")+1))</f>
        <v/>
      </c>
      <c r="U1052" s="769" t="str">
        <f>IF($F1052="","",13)</f>
        <v/>
      </c>
    </row>
    <row r="1053" ht="16.5" customHeight="1" s="186">
      <c r="A1053" s="760" t="n"/>
      <c r="B1053" s="760" t="n"/>
      <c r="C1053" s="762" t="n"/>
      <c r="D1053" s="762" t="n"/>
      <c r="E1053" s="775" t="n"/>
      <c r="F1053" s="821" t="n"/>
      <c r="G1053" s="821" t="n"/>
      <c r="H1053" s="818">
        <f>IF(G1053=1,F1053-I1053-J1053-K1053,IF(G1053=2,F1053,0))</f>
        <v>0</v>
      </c>
      <c r="I1053" s="818">
        <f>ROUND(IF(G1053=1,F1053*10/23,IF(G1053=3,F1053-J1053-K1053,IF(G1053=4,F1053,IF(G1053=5,F1053*10/11,IF(G1053=7,F1053*10/11,0))))),0)</f>
        <v>0</v>
      </c>
      <c r="J1053" s="818">
        <f>ROUND(IF(G1053=1,F1053/23,IF(G1053=3,F1053/12,IF(G1053=5,F1053-I1053,IF(G1053=8,F1053,0)))),0)</f>
        <v>0</v>
      </c>
      <c r="K1053" s="819">
        <f>ROUND(IF(G1053=1,F1053/23,IF(G1053=3,F1053/12,IF(G1053=6,F1053,IF(G1053=7,F1053-I1053,0)))),0)</f>
        <v>0</v>
      </c>
      <c r="L1053" s="820">
        <f>IF(G1053=6,F1053,0)</f>
        <v>0</v>
      </c>
      <c r="P1053" s="768" t="n"/>
      <c r="Q1053" s="769" t="str">
        <f>IF($F1053="","",IFERROR(VLOOKUP($C1053&amp;"|"&amp;$D1053,科目表!$A$5:$B$200,2,FALSE),"※未登録"))</f>
        <v/>
      </c>
      <c r="R1053" s="769" t="str">
        <f>IF($F1053="","",$I1053+$J1053+$K1053)</f>
        <v/>
      </c>
      <c r="S1053" s="769" t="str">
        <f>IF(OR($F1053="",$P1053="支払なし",$H1053=0,$Q1053=""),"",$Q1053&amp;"|S|"&amp;(COUNTIF(S$4:S1052,$Q1053&amp;"|S|*")+1))</f>
        <v/>
      </c>
      <c r="T1053" s="769" t="str">
        <f>IF(OR($F1053="",$P1053="支払なし",$R1053=0,$Q1053=""),"",$Q1053&amp;"|L|"&amp;(COUNTIF(T$4:T1052,$Q1053&amp;"|L|*")+1))</f>
        <v/>
      </c>
      <c r="U1053" s="769" t="str">
        <f>IF($F1053="","",13)</f>
        <v/>
      </c>
    </row>
    <row r="1054" ht="16.5" customHeight="1" s="186">
      <c r="A1054" s="760" t="n"/>
      <c r="B1054" s="760" t="n"/>
      <c r="C1054" s="762" t="n"/>
      <c r="D1054" s="762" t="n"/>
      <c r="E1054" s="775" t="n"/>
      <c r="F1054" s="821" t="n"/>
      <c r="G1054" s="821" t="n"/>
      <c r="H1054" s="818">
        <f>IF(G1054=1,F1054-I1054-J1054-K1054,IF(G1054=2,F1054,0))</f>
        <v>0</v>
      </c>
      <c r="I1054" s="818">
        <f>ROUND(IF(G1054=1,F1054*10/23,IF(G1054=3,F1054-J1054-K1054,IF(G1054=4,F1054,IF(G1054=5,F1054*10/11,IF(G1054=7,F1054*10/11,0))))),0)</f>
        <v>0</v>
      </c>
      <c r="J1054" s="818">
        <f>ROUND(IF(G1054=1,F1054/23,IF(G1054=3,F1054/12,IF(G1054=5,F1054-I1054,IF(G1054=8,F1054,0)))),0)</f>
        <v>0</v>
      </c>
      <c r="K1054" s="819">
        <f>ROUND(IF(G1054=1,F1054/23,IF(G1054=3,F1054/12,IF(G1054=6,F1054,IF(G1054=7,F1054-I1054,0)))),0)</f>
        <v>0</v>
      </c>
      <c r="L1054" s="820">
        <f>IF(G1054=6,F1054,0)</f>
        <v>0</v>
      </c>
      <c r="P1054" s="768" t="n"/>
      <c r="Q1054" s="769" t="str">
        <f>IF($F1054="","",IFERROR(VLOOKUP($C1054&amp;"|"&amp;$D1054,科目表!$A$5:$B$200,2,FALSE),"※未登録"))</f>
        <v/>
      </c>
      <c r="R1054" s="769" t="str">
        <f>IF($F1054="","",$I1054+$J1054+$K1054)</f>
        <v/>
      </c>
      <c r="S1054" s="769" t="str">
        <f>IF(OR($F1054="",$P1054="支払なし",$H1054=0,$Q1054=""),"",$Q1054&amp;"|S|"&amp;(COUNTIF(S$4:S1053,$Q1054&amp;"|S|*")+1))</f>
        <v/>
      </c>
      <c r="T1054" s="769" t="str">
        <f>IF(OR($F1054="",$P1054="支払なし",$R1054=0,$Q1054=""),"",$Q1054&amp;"|L|"&amp;(COUNTIF(T$4:T1053,$Q1054&amp;"|L|*")+1))</f>
        <v/>
      </c>
      <c r="U1054" s="769" t="str">
        <f>IF($F1054="","",13)</f>
        <v/>
      </c>
    </row>
    <row r="1055" ht="16.5" customHeight="1" s="186">
      <c r="A1055" s="760" t="n"/>
      <c r="B1055" s="760" t="n"/>
      <c r="C1055" s="762" t="n"/>
      <c r="D1055" s="762" t="n"/>
      <c r="E1055" s="775" t="n"/>
      <c r="F1055" s="821" t="n"/>
      <c r="G1055" s="821" t="n"/>
      <c r="H1055" s="818">
        <f>IF(G1055=1,F1055-I1055-J1055-K1055,IF(G1055=2,F1055,0))</f>
        <v>0</v>
      </c>
      <c r="I1055" s="818">
        <f>ROUND(IF(G1055=1,F1055*10/23,IF(G1055=3,F1055-J1055-K1055,IF(G1055=4,F1055,IF(G1055=5,F1055*10/11,IF(G1055=7,F1055*10/11,0))))),0)</f>
        <v>0</v>
      </c>
      <c r="J1055" s="818">
        <f>ROUND(IF(G1055=1,F1055/23,IF(G1055=3,F1055/12,IF(G1055=5,F1055-I1055,IF(G1055=8,F1055,0)))),0)</f>
        <v>0</v>
      </c>
      <c r="K1055" s="819">
        <f>ROUND(IF(G1055=1,F1055/23,IF(G1055=3,F1055/12,IF(G1055=6,F1055,IF(G1055=7,F1055-I1055,0)))),0)</f>
        <v>0</v>
      </c>
      <c r="L1055" s="820">
        <f>IF(G1055=6,F1055,0)</f>
        <v>0</v>
      </c>
      <c r="P1055" s="768" t="n"/>
      <c r="Q1055" s="769" t="str">
        <f>IF($F1055="","",IFERROR(VLOOKUP($C1055&amp;"|"&amp;$D1055,科目表!$A$5:$B$200,2,FALSE),"※未登録"))</f>
        <v/>
      </c>
      <c r="R1055" s="769" t="str">
        <f>IF($F1055="","",$I1055+$J1055+$K1055)</f>
        <v/>
      </c>
      <c r="S1055" s="769" t="str">
        <f>IF(OR($F1055="",$P1055="支払なし",$H1055=0,$Q1055=""),"",$Q1055&amp;"|S|"&amp;(COUNTIF(S$4:S1054,$Q1055&amp;"|S|*")+1))</f>
        <v/>
      </c>
      <c r="T1055" s="769" t="str">
        <f>IF(OR($F1055="",$P1055="支払なし",$R1055=0,$Q1055=""),"",$Q1055&amp;"|L|"&amp;(COUNTIF(T$4:T1054,$Q1055&amp;"|L|*")+1))</f>
        <v/>
      </c>
      <c r="U1055" s="769" t="str">
        <f>IF($F1055="","",13)</f>
        <v/>
      </c>
    </row>
    <row r="1056" ht="16.5" customHeight="1" s="186">
      <c r="A1056" s="760" t="n"/>
      <c r="B1056" s="760" t="n"/>
      <c r="C1056" s="762" t="n"/>
      <c r="D1056" s="762" t="n"/>
      <c r="E1056" s="775" t="n"/>
      <c r="F1056" s="821" t="n"/>
      <c r="G1056" s="821" t="n"/>
      <c r="H1056" s="818">
        <f>IF(G1056=1,F1056-I1056-J1056-K1056,IF(G1056=2,F1056,0))</f>
        <v>0</v>
      </c>
      <c r="I1056" s="818">
        <f>ROUND(IF(G1056=1,F1056*10/23,IF(G1056=3,F1056-J1056-K1056,IF(G1056=4,F1056,IF(G1056=5,F1056*10/11,IF(G1056=7,F1056*10/11,0))))),0)</f>
        <v>0</v>
      </c>
      <c r="J1056" s="818">
        <f>ROUND(IF(G1056=1,F1056/23,IF(G1056=3,F1056/12,IF(G1056=5,F1056-I1056,IF(G1056=8,F1056,0)))),0)</f>
        <v>0</v>
      </c>
      <c r="K1056" s="819">
        <f>ROUND(IF(G1056=1,F1056/23,IF(G1056=3,F1056/12,IF(G1056=6,F1056,IF(G1056=7,F1056-I1056,0)))),0)</f>
        <v>0</v>
      </c>
      <c r="L1056" s="820">
        <f>IF(G1056=6,F1056,0)</f>
        <v>0</v>
      </c>
      <c r="P1056" s="768" t="n"/>
      <c r="Q1056" s="769" t="str">
        <f>IF($F1056="","",IFERROR(VLOOKUP($C1056&amp;"|"&amp;$D1056,科目表!$A$5:$B$200,2,FALSE),"※未登録"))</f>
        <v/>
      </c>
      <c r="R1056" s="769" t="str">
        <f>IF($F1056="","",$I1056+$J1056+$K1056)</f>
        <v/>
      </c>
      <c r="S1056" s="769" t="str">
        <f>IF(OR($F1056="",$P1056="支払なし",$H1056=0,$Q1056=""),"",$Q1056&amp;"|S|"&amp;(COUNTIF(S$4:S1055,$Q1056&amp;"|S|*")+1))</f>
        <v/>
      </c>
      <c r="T1056" s="769" t="str">
        <f>IF(OR($F1056="",$P1056="支払なし",$R1056=0,$Q1056=""),"",$Q1056&amp;"|L|"&amp;(COUNTIF(T$4:T1055,$Q1056&amp;"|L|*")+1))</f>
        <v/>
      </c>
      <c r="U1056" s="769" t="str">
        <f>IF($F1056="","",13)</f>
        <v/>
      </c>
    </row>
    <row r="1057" ht="16.5" customHeight="1" s="186">
      <c r="A1057" s="760" t="n"/>
      <c r="B1057" s="760" t="n"/>
      <c r="C1057" s="762" t="n"/>
      <c r="D1057" s="762" t="n"/>
      <c r="E1057" s="775" t="n"/>
      <c r="F1057" s="821" t="n"/>
      <c r="G1057" s="821" t="n"/>
      <c r="H1057" s="818">
        <f>IF(G1057=1,F1057-I1057-J1057-K1057,IF(G1057=2,F1057,0))</f>
        <v>0</v>
      </c>
      <c r="I1057" s="818">
        <f>ROUND(IF(G1057=1,F1057*10/23,IF(G1057=3,F1057-J1057-K1057,IF(G1057=4,F1057,IF(G1057=5,F1057*10/11,IF(G1057=7,F1057*10/11,0))))),0)</f>
        <v>0</v>
      </c>
      <c r="J1057" s="818">
        <f>ROUND(IF(G1057=1,F1057/23,IF(G1057=3,F1057/12,IF(G1057=5,F1057-I1057,IF(G1057=8,F1057,0)))),0)</f>
        <v>0</v>
      </c>
      <c r="K1057" s="819">
        <f>ROUND(IF(G1057=1,F1057/23,IF(G1057=3,F1057/12,IF(G1057=6,F1057,IF(G1057=7,F1057-I1057,0)))),0)</f>
        <v>0</v>
      </c>
      <c r="L1057" s="820">
        <f>IF(G1057=6,F1057,0)</f>
        <v>0</v>
      </c>
      <c r="P1057" s="768" t="n"/>
      <c r="Q1057" s="769" t="str">
        <f>IF($F1057="","",IFERROR(VLOOKUP($C1057&amp;"|"&amp;$D1057,科目表!$A$5:$B$200,2,FALSE),"※未登録"))</f>
        <v/>
      </c>
      <c r="R1057" s="769" t="str">
        <f>IF($F1057="","",$I1057+$J1057+$K1057)</f>
        <v/>
      </c>
      <c r="S1057" s="769" t="str">
        <f>IF(OR($F1057="",$P1057="支払なし",$H1057=0,$Q1057=""),"",$Q1057&amp;"|S|"&amp;(COUNTIF(S$4:S1056,$Q1057&amp;"|S|*")+1))</f>
        <v/>
      </c>
      <c r="T1057" s="769" t="str">
        <f>IF(OR($F1057="",$P1057="支払なし",$R1057=0,$Q1057=""),"",$Q1057&amp;"|L|"&amp;(COUNTIF(T$4:T1056,$Q1057&amp;"|L|*")+1))</f>
        <v/>
      </c>
      <c r="U1057" s="769" t="str">
        <f>IF($F1057="","",13)</f>
        <v/>
      </c>
    </row>
    <row r="1058" ht="16.5" customHeight="1" s="186">
      <c r="A1058" s="760" t="n"/>
      <c r="B1058" s="760" t="n"/>
      <c r="C1058" s="762" t="n"/>
      <c r="D1058" s="762" t="n"/>
      <c r="E1058" s="775" t="n"/>
      <c r="F1058" s="821" t="n"/>
      <c r="G1058" s="821" t="n"/>
      <c r="H1058" s="818">
        <f>IF(G1058=1,F1058-I1058-J1058-K1058,IF(G1058=2,F1058,0))</f>
        <v>0</v>
      </c>
      <c r="I1058" s="818">
        <f>ROUND(IF(G1058=1,F1058*10/23,IF(G1058=3,F1058-J1058-K1058,IF(G1058=4,F1058,IF(G1058=5,F1058*10/11,IF(G1058=7,F1058*10/11,0))))),0)</f>
        <v>0</v>
      </c>
      <c r="J1058" s="818">
        <f>ROUND(IF(G1058=1,F1058/23,IF(G1058=3,F1058/12,IF(G1058=5,F1058-I1058,IF(G1058=8,F1058,0)))),0)</f>
        <v>0</v>
      </c>
      <c r="K1058" s="819">
        <f>ROUND(IF(G1058=1,F1058/23,IF(G1058=3,F1058/12,IF(G1058=6,F1058,IF(G1058=7,F1058-I1058,0)))),0)</f>
        <v>0</v>
      </c>
      <c r="L1058" s="820">
        <f>IF(G1058=6,F1058,0)</f>
        <v>0</v>
      </c>
      <c r="P1058" s="768" t="n"/>
      <c r="Q1058" s="769" t="str">
        <f>IF($F1058="","",IFERROR(VLOOKUP($C1058&amp;"|"&amp;$D1058,科目表!$A$5:$B$200,2,FALSE),"※未登録"))</f>
        <v/>
      </c>
      <c r="R1058" s="769" t="str">
        <f>IF($F1058="","",$I1058+$J1058+$K1058)</f>
        <v/>
      </c>
      <c r="S1058" s="769" t="str">
        <f>IF(OR($F1058="",$P1058="支払なし",$H1058=0,$Q1058=""),"",$Q1058&amp;"|S|"&amp;(COUNTIF(S$4:S1057,$Q1058&amp;"|S|*")+1))</f>
        <v/>
      </c>
      <c r="T1058" s="769" t="str">
        <f>IF(OR($F1058="",$P1058="支払なし",$R1058=0,$Q1058=""),"",$Q1058&amp;"|L|"&amp;(COUNTIF(T$4:T1057,$Q1058&amp;"|L|*")+1))</f>
        <v/>
      </c>
      <c r="U1058" s="769" t="str">
        <f>IF($F1058="","",13)</f>
        <v/>
      </c>
    </row>
    <row r="1059" ht="16.5" customHeight="1" s="186">
      <c r="A1059" s="760" t="n"/>
      <c r="B1059" s="760" t="n"/>
      <c r="C1059" s="762" t="n"/>
      <c r="D1059" s="762" t="n"/>
      <c r="E1059" s="775" t="n"/>
      <c r="F1059" s="821" t="n"/>
      <c r="G1059" s="821" t="n"/>
      <c r="H1059" s="818">
        <f>IF(G1059=1,F1059-I1059-J1059-K1059,IF(G1059=2,F1059,0))</f>
        <v>0</v>
      </c>
      <c r="I1059" s="818">
        <f>ROUND(IF(G1059=1,F1059*10/23,IF(G1059=3,F1059-J1059-K1059,IF(G1059=4,F1059,IF(G1059=5,F1059*10/11,IF(G1059=7,F1059*10/11,0))))),0)</f>
        <v>0</v>
      </c>
      <c r="J1059" s="818">
        <f>ROUND(IF(G1059=1,F1059/23,IF(G1059=3,F1059/12,IF(G1059=5,F1059-I1059,IF(G1059=8,F1059,0)))),0)</f>
        <v>0</v>
      </c>
      <c r="K1059" s="819">
        <f>ROUND(IF(G1059=1,F1059/23,IF(G1059=3,F1059/12,IF(G1059=6,F1059,IF(G1059=7,F1059-I1059,0)))),0)</f>
        <v>0</v>
      </c>
      <c r="L1059" s="820">
        <f>IF(G1059=6,F1059,0)</f>
        <v>0</v>
      </c>
      <c r="P1059" s="768" t="n"/>
      <c r="Q1059" s="769" t="str">
        <f>IF($F1059="","",IFERROR(VLOOKUP($C1059&amp;"|"&amp;$D1059,科目表!$A$5:$B$200,2,FALSE),"※未登録"))</f>
        <v/>
      </c>
      <c r="R1059" s="769" t="str">
        <f>IF($F1059="","",$I1059+$J1059+$K1059)</f>
        <v/>
      </c>
      <c r="S1059" s="769" t="str">
        <f>IF(OR($F1059="",$P1059="支払なし",$H1059=0,$Q1059=""),"",$Q1059&amp;"|S|"&amp;(COUNTIF(S$4:S1058,$Q1059&amp;"|S|*")+1))</f>
        <v/>
      </c>
      <c r="T1059" s="769" t="str">
        <f>IF(OR($F1059="",$P1059="支払なし",$R1059=0,$Q1059=""),"",$Q1059&amp;"|L|"&amp;(COUNTIF(T$4:T1058,$Q1059&amp;"|L|*")+1))</f>
        <v/>
      </c>
      <c r="U1059" s="769" t="str">
        <f>IF($F1059="","",13)</f>
        <v/>
      </c>
    </row>
    <row r="1060" ht="16.5" customHeight="1" s="186">
      <c r="A1060" s="760" t="n"/>
      <c r="B1060" s="760" t="n"/>
      <c r="C1060" s="762" t="n"/>
      <c r="D1060" s="762" t="n"/>
      <c r="E1060" s="775" t="n"/>
      <c r="F1060" s="821" t="n"/>
      <c r="G1060" s="821" t="n"/>
      <c r="H1060" s="818">
        <f>IF(G1060=1,F1060-I1060-J1060-K1060,IF(G1060=2,F1060,0))</f>
        <v>0</v>
      </c>
      <c r="I1060" s="818">
        <f>ROUND(IF(G1060=1,F1060*10/23,IF(G1060=3,F1060-J1060-K1060,IF(G1060=4,F1060,IF(G1060=5,F1060*10/11,IF(G1060=7,F1060*10/11,0))))),0)</f>
        <v>0</v>
      </c>
      <c r="J1060" s="818">
        <f>ROUND(IF(G1060=1,F1060/23,IF(G1060=3,F1060/12,IF(G1060=5,F1060-I1060,IF(G1060=8,F1060,0)))),0)</f>
        <v>0</v>
      </c>
      <c r="K1060" s="819">
        <f>ROUND(IF(G1060=1,F1060/23,IF(G1060=3,F1060/12,IF(G1060=6,F1060,IF(G1060=7,F1060-I1060,0)))),0)</f>
        <v>0</v>
      </c>
      <c r="L1060" s="820">
        <f>IF(G1060=6,F1060,0)</f>
        <v>0</v>
      </c>
      <c r="P1060" s="768" t="n"/>
      <c r="Q1060" s="769" t="str">
        <f>IF($F1060="","",IFERROR(VLOOKUP($C1060&amp;"|"&amp;$D1060,科目表!$A$5:$B$200,2,FALSE),"※未登録"))</f>
        <v/>
      </c>
      <c r="R1060" s="769" t="str">
        <f>IF($F1060="","",$I1060+$J1060+$K1060)</f>
        <v/>
      </c>
      <c r="S1060" s="769" t="str">
        <f>IF(OR($F1060="",$P1060="支払なし",$H1060=0,$Q1060=""),"",$Q1060&amp;"|S|"&amp;(COUNTIF(S$4:S1059,$Q1060&amp;"|S|*")+1))</f>
        <v/>
      </c>
      <c r="T1060" s="769" t="str">
        <f>IF(OR($F1060="",$P1060="支払なし",$R1060=0,$Q1060=""),"",$Q1060&amp;"|L|"&amp;(COUNTIF(T$4:T1059,$Q1060&amp;"|L|*")+1))</f>
        <v/>
      </c>
      <c r="U1060" s="769" t="str">
        <f>IF($F1060="","",13)</f>
        <v/>
      </c>
    </row>
    <row r="1061" ht="16.5" customHeight="1" s="186">
      <c r="A1061" s="760" t="n"/>
      <c r="B1061" s="760" t="n"/>
      <c r="C1061" s="762" t="n"/>
      <c r="D1061" s="762" t="n"/>
      <c r="E1061" s="775" t="n"/>
      <c r="F1061" s="821" t="n"/>
      <c r="G1061" s="821" t="n"/>
      <c r="H1061" s="818">
        <f>IF(G1061=1,F1061-I1061-J1061-K1061,IF(G1061=2,F1061,0))</f>
        <v>0</v>
      </c>
      <c r="I1061" s="818">
        <f>ROUND(IF(G1061=1,F1061*10/23,IF(G1061=3,F1061-J1061-K1061,IF(G1061=4,F1061,IF(G1061=5,F1061*10/11,IF(G1061=7,F1061*10/11,0))))),0)</f>
        <v>0</v>
      </c>
      <c r="J1061" s="818">
        <f>ROUND(IF(G1061=1,F1061/23,IF(G1061=3,F1061/12,IF(G1061=5,F1061-I1061,IF(G1061=8,F1061,0)))),0)</f>
        <v>0</v>
      </c>
      <c r="K1061" s="819">
        <f>ROUND(IF(G1061=1,F1061/23,IF(G1061=3,F1061/12,IF(G1061=6,F1061,IF(G1061=7,F1061-I1061,0)))),0)</f>
        <v>0</v>
      </c>
      <c r="L1061" s="820">
        <f>IF(G1061=6,F1061,0)</f>
        <v>0</v>
      </c>
      <c r="P1061" s="768" t="n"/>
      <c r="Q1061" s="769" t="str">
        <f>IF($F1061="","",IFERROR(VLOOKUP($C1061&amp;"|"&amp;$D1061,科目表!$A$5:$B$200,2,FALSE),"※未登録"))</f>
        <v/>
      </c>
      <c r="R1061" s="769" t="str">
        <f>IF($F1061="","",$I1061+$J1061+$K1061)</f>
        <v/>
      </c>
      <c r="S1061" s="769" t="str">
        <f>IF(OR($F1061="",$P1061="支払なし",$H1061=0,$Q1061=""),"",$Q1061&amp;"|S|"&amp;(COUNTIF(S$4:S1060,$Q1061&amp;"|S|*")+1))</f>
        <v/>
      </c>
      <c r="T1061" s="769" t="str">
        <f>IF(OR($F1061="",$P1061="支払なし",$R1061=0,$Q1061=""),"",$Q1061&amp;"|L|"&amp;(COUNTIF(T$4:T1060,$Q1061&amp;"|L|*")+1))</f>
        <v/>
      </c>
      <c r="U1061" s="769" t="str">
        <f>IF($F1061="","",13)</f>
        <v/>
      </c>
    </row>
    <row r="1062" ht="16.5" customHeight="1" s="186">
      <c r="A1062" s="760" t="n"/>
      <c r="B1062" s="760" t="n"/>
      <c r="C1062" s="762" t="n"/>
      <c r="D1062" s="762" t="n"/>
      <c r="E1062" s="775" t="n"/>
      <c r="F1062" s="821" t="n"/>
      <c r="G1062" s="821" t="n"/>
      <c r="H1062" s="818">
        <f>IF(G1062=1,F1062-I1062-J1062-K1062,IF(G1062=2,F1062,0))</f>
        <v>0</v>
      </c>
      <c r="I1062" s="818">
        <f>ROUND(IF(G1062=1,F1062*10/23,IF(G1062=3,F1062-J1062-K1062,IF(G1062=4,F1062,IF(G1062=5,F1062*10/11,IF(G1062=7,F1062*10/11,0))))),0)</f>
        <v>0</v>
      </c>
      <c r="J1062" s="818">
        <f>ROUND(IF(G1062=1,F1062/23,IF(G1062=3,F1062/12,IF(G1062=5,F1062-I1062,IF(G1062=8,F1062,0)))),0)</f>
        <v>0</v>
      </c>
      <c r="K1062" s="819">
        <f>ROUND(IF(G1062=1,F1062/23,IF(G1062=3,F1062/12,IF(G1062=6,F1062,IF(G1062=7,F1062-I1062,0)))),0)</f>
        <v>0</v>
      </c>
      <c r="L1062" s="820">
        <f>IF(G1062=6,F1062,0)</f>
        <v>0</v>
      </c>
      <c r="P1062" s="768" t="n"/>
      <c r="Q1062" s="769" t="str">
        <f>IF($F1062="","",IFERROR(VLOOKUP($C1062&amp;"|"&amp;$D1062,科目表!$A$5:$B$200,2,FALSE),"※未登録"))</f>
        <v/>
      </c>
      <c r="R1062" s="769" t="str">
        <f>IF($F1062="","",$I1062+$J1062+$K1062)</f>
        <v/>
      </c>
      <c r="S1062" s="769" t="str">
        <f>IF(OR($F1062="",$P1062="支払なし",$H1062=0,$Q1062=""),"",$Q1062&amp;"|S|"&amp;(COUNTIF(S$4:S1061,$Q1062&amp;"|S|*")+1))</f>
        <v/>
      </c>
      <c r="T1062" s="769" t="str">
        <f>IF(OR($F1062="",$P1062="支払なし",$R1062=0,$Q1062=""),"",$Q1062&amp;"|L|"&amp;(COUNTIF(T$4:T1061,$Q1062&amp;"|L|*")+1))</f>
        <v/>
      </c>
      <c r="U1062" s="769" t="str">
        <f>IF($F1062="","",13)</f>
        <v/>
      </c>
    </row>
    <row r="1063" ht="16.5" customHeight="1" s="186">
      <c r="A1063" s="760" t="n"/>
      <c r="B1063" s="760" t="n"/>
      <c r="C1063" s="762" t="n"/>
      <c r="D1063" s="762" t="n"/>
      <c r="E1063" s="775" t="n"/>
      <c r="F1063" s="821" t="n"/>
      <c r="G1063" s="821" t="n"/>
      <c r="H1063" s="818">
        <f>IF(G1063=1,F1063-I1063-J1063-K1063,IF(G1063=2,F1063,0))</f>
        <v>0</v>
      </c>
      <c r="I1063" s="818">
        <f>ROUND(IF(G1063=1,F1063*10/23,IF(G1063=3,F1063-J1063-K1063,IF(G1063=4,F1063,IF(G1063=5,F1063*10/11,IF(G1063=7,F1063*10/11,0))))),0)</f>
        <v>0</v>
      </c>
      <c r="J1063" s="818">
        <f>ROUND(IF(G1063=1,F1063/23,IF(G1063=3,F1063/12,IF(G1063=5,F1063-I1063,IF(G1063=8,F1063,0)))),0)</f>
        <v>0</v>
      </c>
      <c r="K1063" s="819">
        <f>ROUND(IF(G1063=1,F1063/23,IF(G1063=3,F1063/12,IF(G1063=6,F1063,IF(G1063=7,F1063-I1063,0)))),0)</f>
        <v>0</v>
      </c>
      <c r="L1063" s="820">
        <f>IF(G1063=6,F1063,0)</f>
        <v>0</v>
      </c>
      <c r="P1063" s="768" t="n"/>
      <c r="Q1063" s="769" t="str">
        <f>IF($F1063="","",IFERROR(VLOOKUP($C1063&amp;"|"&amp;$D1063,科目表!$A$5:$B$200,2,FALSE),"※未登録"))</f>
        <v/>
      </c>
      <c r="R1063" s="769" t="str">
        <f>IF($F1063="","",$I1063+$J1063+$K1063)</f>
        <v/>
      </c>
      <c r="S1063" s="769" t="str">
        <f>IF(OR($F1063="",$P1063="支払なし",$H1063=0,$Q1063=""),"",$Q1063&amp;"|S|"&amp;(COUNTIF(S$4:S1062,$Q1063&amp;"|S|*")+1))</f>
        <v/>
      </c>
      <c r="T1063" s="769" t="str">
        <f>IF(OR($F1063="",$P1063="支払なし",$R1063=0,$Q1063=""),"",$Q1063&amp;"|L|"&amp;(COUNTIF(T$4:T1062,$Q1063&amp;"|L|*")+1))</f>
        <v/>
      </c>
      <c r="U1063" s="769" t="str">
        <f>IF($F1063="","",13)</f>
        <v/>
      </c>
    </row>
    <row r="1064" ht="16.5" customHeight="1" s="186">
      <c r="A1064" s="760" t="n"/>
      <c r="B1064" s="760" t="n"/>
      <c r="C1064" s="762" t="n"/>
      <c r="D1064" s="762" t="n"/>
      <c r="E1064" s="775" t="n"/>
      <c r="F1064" s="821" t="n"/>
      <c r="G1064" s="821" t="n"/>
      <c r="H1064" s="818">
        <f>IF(G1064=1,F1064-I1064-J1064-K1064,IF(G1064=2,F1064,0))</f>
        <v>0</v>
      </c>
      <c r="I1064" s="818">
        <f>ROUND(IF(G1064=1,F1064*10/23,IF(G1064=3,F1064-J1064-K1064,IF(G1064=4,F1064,IF(G1064=5,F1064*10/11,IF(G1064=7,F1064*10/11,0))))),0)</f>
        <v>0</v>
      </c>
      <c r="J1064" s="818">
        <f>ROUND(IF(G1064=1,F1064/23,IF(G1064=3,F1064/12,IF(G1064=5,F1064-I1064,IF(G1064=8,F1064,0)))),0)</f>
        <v>0</v>
      </c>
      <c r="K1064" s="819">
        <f>ROUND(IF(G1064=1,F1064/23,IF(G1064=3,F1064/12,IF(G1064=6,F1064,IF(G1064=7,F1064-I1064,0)))),0)</f>
        <v>0</v>
      </c>
      <c r="L1064" s="820">
        <f>IF(G1064=6,F1064,0)</f>
        <v>0</v>
      </c>
      <c r="P1064" s="768" t="n"/>
      <c r="Q1064" s="769" t="str">
        <f>IF($F1064="","",IFERROR(VLOOKUP($C1064&amp;"|"&amp;$D1064,科目表!$A$5:$B$200,2,FALSE),"※未登録"))</f>
        <v/>
      </c>
      <c r="R1064" s="769" t="str">
        <f>IF($F1064="","",$I1064+$J1064+$K1064)</f>
        <v/>
      </c>
      <c r="S1064" s="769" t="str">
        <f>IF(OR($F1064="",$P1064="支払なし",$H1064=0,$Q1064=""),"",$Q1064&amp;"|S|"&amp;(COUNTIF(S$4:S1063,$Q1064&amp;"|S|*")+1))</f>
        <v/>
      </c>
      <c r="T1064" s="769" t="str">
        <f>IF(OR($F1064="",$P1064="支払なし",$R1064=0,$Q1064=""),"",$Q1064&amp;"|L|"&amp;(COUNTIF(T$4:T1063,$Q1064&amp;"|L|*")+1))</f>
        <v/>
      </c>
      <c r="U1064" s="769" t="str">
        <f>IF($F1064="","",13)</f>
        <v/>
      </c>
    </row>
    <row r="1065" ht="16.5" customHeight="1" s="186">
      <c r="A1065" s="760" t="n"/>
      <c r="B1065" s="760" t="n"/>
      <c r="C1065" s="762" t="n"/>
      <c r="D1065" s="762" t="n"/>
      <c r="E1065" s="775" t="n"/>
      <c r="F1065" s="821" t="n"/>
      <c r="G1065" s="821" t="n"/>
      <c r="H1065" s="818">
        <f>IF(G1065=1,F1065-I1065-J1065-K1065,IF(G1065=2,F1065,0))</f>
        <v>0</v>
      </c>
      <c r="I1065" s="818">
        <f>ROUND(IF(G1065=1,F1065*10/23,IF(G1065=3,F1065-J1065-K1065,IF(G1065=4,F1065,IF(G1065=5,F1065*10/11,IF(G1065=7,F1065*10/11,0))))),0)</f>
        <v>0</v>
      </c>
      <c r="J1065" s="818">
        <f>ROUND(IF(G1065=1,F1065/23,IF(G1065=3,F1065/12,IF(G1065=5,F1065-I1065,IF(G1065=8,F1065,0)))),0)</f>
        <v>0</v>
      </c>
      <c r="K1065" s="819">
        <f>ROUND(IF(G1065=1,F1065/23,IF(G1065=3,F1065/12,IF(G1065=6,F1065,IF(G1065=7,F1065-I1065,0)))),0)</f>
        <v>0</v>
      </c>
      <c r="L1065" s="820">
        <f>IF(G1065=6,F1065,0)</f>
        <v>0</v>
      </c>
      <c r="P1065" s="768" t="n"/>
      <c r="Q1065" s="769" t="str">
        <f>IF($F1065="","",IFERROR(VLOOKUP($C1065&amp;"|"&amp;$D1065,科目表!$A$5:$B$200,2,FALSE),"※未登録"))</f>
        <v/>
      </c>
      <c r="R1065" s="769" t="str">
        <f>IF($F1065="","",$I1065+$J1065+$K1065)</f>
        <v/>
      </c>
      <c r="S1065" s="769" t="str">
        <f>IF(OR($F1065="",$P1065="支払なし",$H1065=0,$Q1065=""),"",$Q1065&amp;"|S|"&amp;(COUNTIF(S$4:S1064,$Q1065&amp;"|S|*")+1))</f>
        <v/>
      </c>
      <c r="T1065" s="769" t="str">
        <f>IF(OR($F1065="",$P1065="支払なし",$R1065=0,$Q1065=""),"",$Q1065&amp;"|L|"&amp;(COUNTIF(T$4:T1064,$Q1065&amp;"|L|*")+1))</f>
        <v/>
      </c>
      <c r="U1065" s="769" t="str">
        <f>IF($F1065="","",13)</f>
        <v/>
      </c>
    </row>
    <row r="1066" ht="16.5" customHeight="1" s="186">
      <c r="A1066" s="760" t="n"/>
      <c r="B1066" s="760" t="n"/>
      <c r="C1066" s="762" t="n"/>
      <c r="D1066" s="762" t="n"/>
      <c r="E1066" s="775" t="n"/>
      <c r="F1066" s="821" t="n"/>
      <c r="G1066" s="821" t="n"/>
      <c r="H1066" s="818">
        <f>IF(G1066=1,F1066-I1066-J1066-K1066,IF(G1066=2,F1066,0))</f>
        <v>0</v>
      </c>
      <c r="I1066" s="818">
        <f>ROUND(IF(G1066=1,F1066*10/23,IF(G1066=3,F1066-J1066-K1066,IF(G1066=4,F1066,IF(G1066=5,F1066*10/11,IF(G1066=7,F1066*10/11,0))))),0)</f>
        <v>0</v>
      </c>
      <c r="J1066" s="818">
        <f>ROUND(IF(G1066=1,F1066/23,IF(G1066=3,F1066/12,IF(G1066=5,F1066-I1066,IF(G1066=8,F1066,0)))),0)</f>
        <v>0</v>
      </c>
      <c r="K1066" s="819">
        <f>ROUND(IF(G1066=1,F1066/23,IF(G1066=3,F1066/12,IF(G1066=6,F1066,IF(G1066=7,F1066-I1066,0)))),0)</f>
        <v>0</v>
      </c>
      <c r="L1066" s="820">
        <f>IF(G1066=6,F1066,0)</f>
        <v>0</v>
      </c>
      <c r="P1066" s="768" t="n"/>
      <c r="Q1066" s="769" t="str">
        <f>IF($F1066="","",IFERROR(VLOOKUP($C1066&amp;"|"&amp;$D1066,科目表!$A$5:$B$200,2,FALSE),"※未登録"))</f>
        <v/>
      </c>
      <c r="R1066" s="769" t="str">
        <f>IF($F1066="","",$I1066+$J1066+$K1066)</f>
        <v/>
      </c>
      <c r="S1066" s="769" t="str">
        <f>IF(OR($F1066="",$P1066="支払なし",$H1066=0,$Q1066=""),"",$Q1066&amp;"|S|"&amp;(COUNTIF(S$4:S1065,$Q1066&amp;"|S|*")+1))</f>
        <v/>
      </c>
      <c r="T1066" s="769" t="str">
        <f>IF(OR($F1066="",$P1066="支払なし",$R1066=0,$Q1066=""),"",$Q1066&amp;"|L|"&amp;(COUNTIF(T$4:T1065,$Q1066&amp;"|L|*")+1))</f>
        <v/>
      </c>
      <c r="U1066" s="769" t="str">
        <f>IF($F1066="","",13)</f>
        <v/>
      </c>
    </row>
    <row r="1067" ht="16.5" customHeight="1" s="186">
      <c r="A1067" s="760" t="n"/>
      <c r="B1067" s="760" t="n"/>
      <c r="C1067" s="762" t="n"/>
      <c r="D1067" s="762" t="n"/>
      <c r="E1067" s="775" t="n"/>
      <c r="F1067" s="821" t="n"/>
      <c r="G1067" s="821" t="n"/>
      <c r="H1067" s="818">
        <f>IF(G1067=1,F1067-I1067-J1067-K1067,IF(G1067=2,F1067,0))</f>
        <v>0</v>
      </c>
      <c r="I1067" s="818">
        <f>ROUND(IF(G1067=1,F1067*10/23,IF(G1067=3,F1067-J1067-K1067,IF(G1067=4,F1067,IF(G1067=5,F1067*10/11,IF(G1067=7,F1067*10/11,0))))),0)</f>
        <v>0</v>
      </c>
      <c r="J1067" s="818">
        <f>ROUND(IF(G1067=1,F1067/23,IF(G1067=3,F1067/12,IF(G1067=5,F1067-I1067,IF(G1067=8,F1067,0)))),0)</f>
        <v>0</v>
      </c>
      <c r="K1067" s="819">
        <f>ROUND(IF(G1067=1,F1067/23,IF(G1067=3,F1067/12,IF(G1067=6,F1067,IF(G1067=7,F1067-I1067,0)))),0)</f>
        <v>0</v>
      </c>
      <c r="L1067" s="820">
        <f>IF(G1067=6,F1067,0)</f>
        <v>0</v>
      </c>
      <c r="P1067" s="768" t="n"/>
      <c r="Q1067" s="769" t="str">
        <f>IF($F1067="","",IFERROR(VLOOKUP($C1067&amp;"|"&amp;$D1067,科目表!$A$5:$B$200,2,FALSE),"※未登録"))</f>
        <v/>
      </c>
      <c r="R1067" s="769" t="str">
        <f>IF($F1067="","",$I1067+$J1067+$K1067)</f>
        <v/>
      </c>
      <c r="S1067" s="769" t="str">
        <f>IF(OR($F1067="",$P1067="支払なし",$H1067=0,$Q1067=""),"",$Q1067&amp;"|S|"&amp;(COUNTIF(S$4:S1066,$Q1067&amp;"|S|*")+1))</f>
        <v/>
      </c>
      <c r="T1067" s="769" t="str">
        <f>IF(OR($F1067="",$P1067="支払なし",$R1067=0,$Q1067=""),"",$Q1067&amp;"|L|"&amp;(COUNTIF(T$4:T1066,$Q1067&amp;"|L|*")+1))</f>
        <v/>
      </c>
      <c r="U1067" s="769" t="str">
        <f>IF($F1067="","",13)</f>
        <v/>
      </c>
    </row>
    <row r="1068" ht="16.5" customHeight="1" s="186">
      <c r="A1068" s="760" t="n"/>
      <c r="B1068" s="760" t="n"/>
      <c r="C1068" s="762" t="n"/>
      <c r="D1068" s="762" t="n"/>
      <c r="E1068" s="775" t="n"/>
      <c r="F1068" s="821" t="n"/>
      <c r="G1068" s="821" t="n"/>
      <c r="H1068" s="818">
        <f>IF(G1068=1,F1068-I1068-J1068-K1068,IF(G1068=2,F1068,0))</f>
        <v>0</v>
      </c>
      <c r="I1068" s="818">
        <f>ROUND(IF(G1068=1,F1068*10/23,IF(G1068=3,F1068-J1068-K1068,IF(G1068=4,F1068,IF(G1068=5,F1068*10/11,IF(G1068=7,F1068*10/11,0))))),0)</f>
        <v>0</v>
      </c>
      <c r="J1068" s="818">
        <f>ROUND(IF(G1068=1,F1068/23,IF(G1068=3,F1068/12,IF(G1068=5,F1068-I1068,IF(G1068=8,F1068,0)))),0)</f>
        <v>0</v>
      </c>
      <c r="K1068" s="819">
        <f>ROUND(IF(G1068=1,F1068/23,IF(G1068=3,F1068/12,IF(G1068=6,F1068,IF(G1068=7,F1068-I1068,0)))),0)</f>
        <v>0</v>
      </c>
      <c r="L1068" s="820">
        <f>IF(G1068=6,F1068,0)</f>
        <v>0</v>
      </c>
      <c r="P1068" s="768" t="n"/>
      <c r="Q1068" s="769" t="str">
        <f>IF($F1068="","",IFERROR(VLOOKUP($C1068&amp;"|"&amp;$D1068,科目表!$A$5:$B$200,2,FALSE),"※未登録"))</f>
        <v/>
      </c>
      <c r="R1068" s="769" t="str">
        <f>IF($F1068="","",$I1068+$J1068+$K1068)</f>
        <v/>
      </c>
      <c r="S1068" s="769" t="str">
        <f>IF(OR($F1068="",$P1068="支払なし",$H1068=0,$Q1068=""),"",$Q1068&amp;"|S|"&amp;(COUNTIF(S$4:S1067,$Q1068&amp;"|S|*")+1))</f>
        <v/>
      </c>
      <c r="T1068" s="769" t="str">
        <f>IF(OR($F1068="",$P1068="支払なし",$R1068=0,$Q1068=""),"",$Q1068&amp;"|L|"&amp;(COUNTIF(T$4:T1067,$Q1068&amp;"|L|*")+1))</f>
        <v/>
      </c>
      <c r="U1068" s="769" t="str">
        <f>IF($F1068="","",13)</f>
        <v/>
      </c>
    </row>
    <row r="1069" ht="16.5" customHeight="1" s="186">
      <c r="A1069" s="760" t="n"/>
      <c r="B1069" s="760" t="n"/>
      <c r="C1069" s="762" t="n"/>
      <c r="D1069" s="762" t="n"/>
      <c r="E1069" s="775" t="n"/>
      <c r="F1069" s="821" t="n"/>
      <c r="G1069" s="821" t="n"/>
      <c r="H1069" s="818">
        <f>IF(G1069=1,F1069-I1069-J1069-K1069,IF(G1069=2,F1069,0))</f>
        <v>0</v>
      </c>
      <c r="I1069" s="818">
        <f>ROUND(IF(G1069=1,F1069*10/23,IF(G1069=3,F1069-J1069-K1069,IF(G1069=4,F1069,IF(G1069=5,F1069*10/11,IF(G1069=7,F1069*10/11,0))))),0)</f>
        <v>0</v>
      </c>
      <c r="J1069" s="818">
        <f>ROUND(IF(G1069=1,F1069/23,IF(G1069=3,F1069/12,IF(G1069=5,F1069-I1069,IF(G1069=8,F1069,0)))),0)</f>
        <v>0</v>
      </c>
      <c r="K1069" s="819">
        <f>ROUND(IF(G1069=1,F1069/23,IF(G1069=3,F1069/12,IF(G1069=6,F1069,IF(G1069=7,F1069-I1069,0)))),0)</f>
        <v>0</v>
      </c>
      <c r="L1069" s="820">
        <f>IF(G1069=6,F1069,0)</f>
        <v>0</v>
      </c>
      <c r="P1069" s="768" t="n"/>
      <c r="Q1069" s="769" t="str">
        <f>IF($F1069="","",IFERROR(VLOOKUP($C1069&amp;"|"&amp;$D1069,科目表!$A$5:$B$200,2,FALSE),"※未登録"))</f>
        <v/>
      </c>
      <c r="R1069" s="769" t="str">
        <f>IF($F1069="","",$I1069+$J1069+$K1069)</f>
        <v/>
      </c>
      <c r="S1069" s="769" t="str">
        <f>IF(OR($F1069="",$P1069="支払なし",$H1069=0,$Q1069=""),"",$Q1069&amp;"|S|"&amp;(COUNTIF(S$4:S1068,$Q1069&amp;"|S|*")+1))</f>
        <v/>
      </c>
      <c r="T1069" s="769" t="str">
        <f>IF(OR($F1069="",$P1069="支払なし",$R1069=0,$Q1069=""),"",$Q1069&amp;"|L|"&amp;(COUNTIF(T$4:T1068,$Q1069&amp;"|L|*")+1))</f>
        <v/>
      </c>
      <c r="U1069" s="769" t="str">
        <f>IF($F1069="","",13)</f>
        <v/>
      </c>
    </row>
    <row r="1070" ht="16.5" customHeight="1" s="186">
      <c r="A1070" s="760" t="n"/>
      <c r="B1070" s="760" t="n"/>
      <c r="C1070" s="762" t="n"/>
      <c r="D1070" s="762" t="n"/>
      <c r="E1070" s="775" t="n"/>
      <c r="F1070" s="821" t="n"/>
      <c r="G1070" s="821" t="n"/>
      <c r="H1070" s="818">
        <f>IF(G1070=1,F1070-I1070-J1070-K1070,IF(G1070=2,F1070,0))</f>
        <v>0</v>
      </c>
      <c r="I1070" s="818">
        <f>ROUND(IF(G1070=1,F1070*10/23,IF(G1070=3,F1070-J1070-K1070,IF(G1070=4,F1070,IF(G1070=5,F1070*10/11,IF(G1070=7,F1070*10/11,0))))),0)</f>
        <v>0</v>
      </c>
      <c r="J1070" s="818">
        <f>ROUND(IF(G1070=1,F1070/23,IF(G1070=3,F1070/12,IF(G1070=5,F1070-I1070,IF(G1070=8,F1070,0)))),0)</f>
        <v>0</v>
      </c>
      <c r="K1070" s="819">
        <f>ROUND(IF(G1070=1,F1070/23,IF(G1070=3,F1070/12,IF(G1070=6,F1070,IF(G1070=7,F1070-I1070,0)))),0)</f>
        <v>0</v>
      </c>
      <c r="L1070" s="820">
        <f>IF(G1070=6,F1070,0)</f>
        <v>0</v>
      </c>
      <c r="P1070" s="768" t="n"/>
      <c r="Q1070" s="769" t="str">
        <f>IF($F1070="","",IFERROR(VLOOKUP($C1070&amp;"|"&amp;$D1070,科目表!$A$5:$B$200,2,FALSE),"※未登録"))</f>
        <v/>
      </c>
      <c r="R1070" s="769" t="str">
        <f>IF($F1070="","",$I1070+$J1070+$K1070)</f>
        <v/>
      </c>
      <c r="S1070" s="769" t="str">
        <f>IF(OR($F1070="",$P1070="支払なし",$H1070=0,$Q1070=""),"",$Q1070&amp;"|S|"&amp;(COUNTIF(S$4:S1069,$Q1070&amp;"|S|*")+1))</f>
        <v/>
      </c>
      <c r="T1070" s="769" t="str">
        <f>IF(OR($F1070="",$P1070="支払なし",$R1070=0,$Q1070=""),"",$Q1070&amp;"|L|"&amp;(COUNTIF(T$4:T1069,$Q1070&amp;"|L|*")+1))</f>
        <v/>
      </c>
      <c r="U1070" s="769" t="str">
        <f>IF($F1070="","",13)</f>
        <v/>
      </c>
    </row>
    <row r="1071" ht="16.5" customHeight="1" s="186">
      <c r="A1071" s="760" t="n"/>
      <c r="B1071" s="760" t="n"/>
      <c r="C1071" s="762" t="n"/>
      <c r="D1071" s="762" t="n"/>
      <c r="E1071" s="775" t="n"/>
      <c r="F1071" s="821" t="n"/>
      <c r="G1071" s="821" t="n"/>
      <c r="H1071" s="818">
        <f>IF(G1071=1,F1071-I1071-J1071-K1071,IF(G1071=2,F1071,0))</f>
        <v>0</v>
      </c>
      <c r="I1071" s="818">
        <f>ROUND(IF(G1071=1,F1071*10/23,IF(G1071=3,F1071-J1071-K1071,IF(G1071=4,F1071,IF(G1071=5,F1071*10/11,IF(G1071=7,F1071*10/11,0))))),0)</f>
        <v>0</v>
      </c>
      <c r="J1071" s="818">
        <f>ROUND(IF(G1071=1,F1071/23,IF(G1071=3,F1071/12,IF(G1071=5,F1071-I1071,IF(G1071=8,F1071,0)))),0)</f>
        <v>0</v>
      </c>
      <c r="K1071" s="819">
        <f>ROUND(IF(G1071=1,F1071/23,IF(G1071=3,F1071/12,IF(G1071=6,F1071,IF(G1071=7,F1071-I1071,0)))),0)</f>
        <v>0</v>
      </c>
      <c r="L1071" s="820">
        <f>IF(G1071=6,F1071,0)</f>
        <v>0</v>
      </c>
      <c r="P1071" s="768" t="n"/>
      <c r="Q1071" s="769" t="str">
        <f>IF($F1071="","",IFERROR(VLOOKUP($C1071&amp;"|"&amp;$D1071,科目表!$A$5:$B$200,2,FALSE),"※未登録"))</f>
        <v/>
      </c>
      <c r="R1071" s="769" t="str">
        <f>IF($F1071="","",$I1071+$J1071+$K1071)</f>
        <v/>
      </c>
      <c r="S1071" s="769" t="str">
        <f>IF(OR($F1071="",$P1071="支払なし",$H1071=0,$Q1071=""),"",$Q1071&amp;"|S|"&amp;(COUNTIF(S$4:S1070,$Q1071&amp;"|S|*")+1))</f>
        <v/>
      </c>
      <c r="T1071" s="769" t="str">
        <f>IF(OR($F1071="",$P1071="支払なし",$R1071=0,$Q1071=""),"",$Q1071&amp;"|L|"&amp;(COUNTIF(T$4:T1070,$Q1071&amp;"|L|*")+1))</f>
        <v/>
      </c>
      <c r="U1071" s="769" t="str">
        <f>IF($F1071="","",13)</f>
        <v/>
      </c>
    </row>
    <row r="1072" ht="16.5" customHeight="1" s="186">
      <c r="A1072" s="760" t="n"/>
      <c r="B1072" s="760" t="n"/>
      <c r="C1072" s="762" t="n"/>
      <c r="D1072" s="762" t="n"/>
      <c r="E1072" s="775" t="n"/>
      <c r="F1072" s="821" t="n"/>
      <c r="G1072" s="821" t="n"/>
      <c r="H1072" s="818">
        <f>IF(G1072=1,F1072-I1072-J1072-K1072,IF(G1072=2,F1072,0))</f>
        <v>0</v>
      </c>
      <c r="I1072" s="818">
        <f>ROUND(IF(G1072=1,F1072*10/23,IF(G1072=3,F1072-J1072-K1072,IF(G1072=4,F1072,IF(G1072=5,F1072*10/11,IF(G1072=7,F1072*10/11,0))))),0)</f>
        <v>0</v>
      </c>
      <c r="J1072" s="818">
        <f>ROUND(IF(G1072=1,F1072/23,IF(G1072=3,F1072/12,IF(G1072=5,F1072-I1072,IF(G1072=8,F1072,0)))),0)</f>
        <v>0</v>
      </c>
      <c r="K1072" s="819">
        <f>ROUND(IF(G1072=1,F1072/23,IF(G1072=3,F1072/12,IF(G1072=6,F1072,IF(G1072=7,F1072-I1072,0)))),0)</f>
        <v>0</v>
      </c>
      <c r="L1072" s="820">
        <f>IF(G1072=6,F1072,0)</f>
        <v>0</v>
      </c>
      <c r="P1072" s="768" t="n"/>
      <c r="Q1072" s="769" t="str">
        <f>IF($F1072="","",IFERROR(VLOOKUP($C1072&amp;"|"&amp;$D1072,科目表!$A$5:$B$200,2,FALSE),"※未登録"))</f>
        <v/>
      </c>
      <c r="R1072" s="769" t="str">
        <f>IF($F1072="","",$I1072+$J1072+$K1072)</f>
        <v/>
      </c>
      <c r="S1072" s="769" t="str">
        <f>IF(OR($F1072="",$P1072="支払なし",$H1072=0,$Q1072=""),"",$Q1072&amp;"|S|"&amp;(COUNTIF(S$4:S1071,$Q1072&amp;"|S|*")+1))</f>
        <v/>
      </c>
      <c r="T1072" s="769" t="str">
        <f>IF(OR($F1072="",$P1072="支払なし",$R1072=0,$Q1072=""),"",$Q1072&amp;"|L|"&amp;(COUNTIF(T$4:T1071,$Q1072&amp;"|L|*")+1))</f>
        <v/>
      </c>
      <c r="U1072" s="769" t="str">
        <f>IF($F1072="","",13)</f>
        <v/>
      </c>
    </row>
    <row r="1073" ht="16.5" customHeight="1" s="186">
      <c r="A1073" s="760" t="n"/>
      <c r="B1073" s="760" t="n"/>
      <c r="C1073" s="762" t="n"/>
      <c r="D1073" s="762" t="n"/>
      <c r="E1073" s="775" t="n"/>
      <c r="F1073" s="821" t="n"/>
      <c r="G1073" s="821" t="n"/>
      <c r="H1073" s="818">
        <f>IF(G1073=1,F1073-I1073-J1073-K1073,IF(G1073=2,F1073,0))</f>
        <v>0</v>
      </c>
      <c r="I1073" s="818">
        <f>ROUND(IF(G1073=1,F1073*10/23,IF(G1073=3,F1073-J1073-K1073,IF(G1073=4,F1073,IF(G1073=5,F1073*10/11,IF(G1073=7,F1073*10/11,0))))),0)</f>
        <v>0</v>
      </c>
      <c r="J1073" s="818">
        <f>ROUND(IF(G1073=1,F1073/23,IF(G1073=3,F1073/12,IF(G1073=5,F1073-I1073,IF(G1073=8,F1073,0)))),0)</f>
        <v>0</v>
      </c>
      <c r="K1073" s="819">
        <f>ROUND(IF(G1073=1,F1073/23,IF(G1073=3,F1073/12,IF(G1073=6,F1073,IF(G1073=7,F1073-I1073,0)))),0)</f>
        <v>0</v>
      </c>
      <c r="L1073" s="820">
        <f>IF(G1073=6,F1073,0)</f>
        <v>0</v>
      </c>
      <c r="P1073" s="768" t="n"/>
      <c r="Q1073" s="769" t="str">
        <f>IF($F1073="","",IFERROR(VLOOKUP($C1073&amp;"|"&amp;$D1073,科目表!$A$5:$B$200,2,FALSE),"※未登録"))</f>
        <v/>
      </c>
      <c r="R1073" s="769" t="str">
        <f>IF($F1073="","",$I1073+$J1073+$K1073)</f>
        <v/>
      </c>
      <c r="S1073" s="769" t="str">
        <f>IF(OR($F1073="",$P1073="支払なし",$H1073=0,$Q1073=""),"",$Q1073&amp;"|S|"&amp;(COUNTIF(S$4:S1072,$Q1073&amp;"|S|*")+1))</f>
        <v/>
      </c>
      <c r="T1073" s="769" t="str">
        <f>IF(OR($F1073="",$P1073="支払なし",$R1073=0,$Q1073=""),"",$Q1073&amp;"|L|"&amp;(COUNTIF(T$4:T1072,$Q1073&amp;"|L|*")+1))</f>
        <v/>
      </c>
      <c r="U1073" s="769" t="str">
        <f>IF($F1073="","",13)</f>
        <v/>
      </c>
    </row>
    <row r="1074" ht="16.5" customHeight="1" s="186">
      <c r="A1074" s="760" t="n"/>
      <c r="B1074" s="760" t="n"/>
      <c r="C1074" s="762" t="n"/>
      <c r="D1074" s="762" t="n"/>
      <c r="E1074" s="775" t="n"/>
      <c r="F1074" s="821" t="n"/>
      <c r="G1074" s="821" t="n"/>
      <c r="H1074" s="818">
        <f>IF(G1074=1,F1074-I1074-J1074-K1074,IF(G1074=2,F1074,0))</f>
        <v>0</v>
      </c>
      <c r="I1074" s="818">
        <f>ROUND(IF(G1074=1,F1074*10/23,IF(G1074=3,F1074-J1074-K1074,IF(G1074=4,F1074,IF(G1074=5,F1074*10/11,IF(G1074=7,F1074*10/11,0))))),0)</f>
        <v>0</v>
      </c>
      <c r="J1074" s="818">
        <f>ROUND(IF(G1074=1,F1074/23,IF(G1074=3,F1074/12,IF(G1074=5,F1074-I1074,IF(G1074=8,F1074,0)))),0)</f>
        <v>0</v>
      </c>
      <c r="K1074" s="819">
        <f>ROUND(IF(G1074=1,F1074/23,IF(G1074=3,F1074/12,IF(G1074=6,F1074,IF(G1074=7,F1074-I1074,0)))),0)</f>
        <v>0</v>
      </c>
      <c r="L1074" s="820">
        <f>IF(G1074=6,F1074,0)</f>
        <v>0</v>
      </c>
      <c r="P1074" s="768" t="n"/>
      <c r="Q1074" s="769" t="str">
        <f>IF($F1074="","",IFERROR(VLOOKUP($C1074&amp;"|"&amp;$D1074,科目表!$A$5:$B$200,2,FALSE),"※未登録"))</f>
        <v/>
      </c>
      <c r="R1074" s="769" t="str">
        <f>IF($F1074="","",$I1074+$J1074+$K1074)</f>
        <v/>
      </c>
      <c r="S1074" s="769" t="str">
        <f>IF(OR($F1074="",$P1074="支払なし",$H1074=0,$Q1074=""),"",$Q1074&amp;"|S|"&amp;(COUNTIF(S$4:S1073,$Q1074&amp;"|S|*")+1))</f>
        <v/>
      </c>
      <c r="T1074" s="769" t="str">
        <f>IF(OR($F1074="",$P1074="支払なし",$R1074=0,$Q1074=""),"",$Q1074&amp;"|L|"&amp;(COUNTIF(T$4:T1073,$Q1074&amp;"|L|*")+1))</f>
        <v/>
      </c>
      <c r="U1074" s="769" t="str">
        <f>IF($F1074="","",13)</f>
        <v/>
      </c>
    </row>
    <row r="1075" ht="16.5" customHeight="1" s="186">
      <c r="A1075" s="760" t="n"/>
      <c r="B1075" s="760" t="n"/>
      <c r="C1075" s="762" t="n"/>
      <c r="D1075" s="762" t="n"/>
      <c r="E1075" s="775" t="n"/>
      <c r="F1075" s="821" t="n"/>
      <c r="G1075" s="821" t="n"/>
      <c r="H1075" s="818">
        <f>IF(G1075=1,F1075-I1075-J1075-K1075,IF(G1075=2,F1075,0))</f>
        <v>0</v>
      </c>
      <c r="I1075" s="818">
        <f>ROUND(IF(G1075=1,F1075*10/23,IF(G1075=3,F1075-J1075-K1075,IF(G1075=4,F1075,IF(G1075=5,F1075*10/11,IF(G1075=7,F1075*10/11,0))))),0)</f>
        <v>0</v>
      </c>
      <c r="J1075" s="818">
        <f>ROUND(IF(G1075=1,F1075/23,IF(G1075=3,F1075/12,IF(G1075=5,F1075-I1075,IF(G1075=8,F1075,0)))),0)</f>
        <v>0</v>
      </c>
      <c r="K1075" s="819">
        <f>ROUND(IF(G1075=1,F1075/23,IF(G1075=3,F1075/12,IF(G1075=6,F1075,IF(G1075=7,F1075-I1075,0)))),0)</f>
        <v>0</v>
      </c>
      <c r="L1075" s="820">
        <f>IF(G1075=6,F1075,0)</f>
        <v>0</v>
      </c>
      <c r="P1075" s="768" t="n"/>
      <c r="Q1075" s="769" t="str">
        <f>IF($F1075="","",IFERROR(VLOOKUP($C1075&amp;"|"&amp;$D1075,科目表!$A$5:$B$200,2,FALSE),"※未登録"))</f>
        <v/>
      </c>
      <c r="R1075" s="769" t="str">
        <f>IF($F1075="","",$I1075+$J1075+$K1075)</f>
        <v/>
      </c>
      <c r="S1075" s="769" t="str">
        <f>IF(OR($F1075="",$P1075="支払なし",$H1075=0,$Q1075=""),"",$Q1075&amp;"|S|"&amp;(COUNTIF(S$4:S1074,$Q1075&amp;"|S|*")+1))</f>
        <v/>
      </c>
      <c r="T1075" s="769" t="str">
        <f>IF(OR($F1075="",$P1075="支払なし",$R1075=0,$Q1075=""),"",$Q1075&amp;"|L|"&amp;(COUNTIF(T$4:T1074,$Q1075&amp;"|L|*")+1))</f>
        <v/>
      </c>
      <c r="U1075" s="769" t="str">
        <f>IF($F1075="","",13)</f>
        <v/>
      </c>
    </row>
    <row r="1076" ht="16.5" customHeight="1" s="186">
      <c r="A1076" s="760" t="n"/>
      <c r="B1076" s="760" t="n"/>
      <c r="C1076" s="762" t="n"/>
      <c r="D1076" s="762" t="n"/>
      <c r="E1076" s="775" t="n"/>
      <c r="F1076" s="821" t="n"/>
      <c r="G1076" s="821" t="n"/>
      <c r="H1076" s="818">
        <f>IF(G1076=1,F1076-I1076-J1076-K1076,IF(G1076=2,F1076,0))</f>
        <v>0</v>
      </c>
      <c r="I1076" s="818">
        <f>ROUND(IF(G1076=1,F1076*10/23,IF(G1076=3,F1076-J1076-K1076,IF(G1076=4,F1076,IF(G1076=5,F1076*10/11,IF(G1076=7,F1076*10/11,0))))),0)</f>
        <v>0</v>
      </c>
      <c r="J1076" s="818">
        <f>ROUND(IF(G1076=1,F1076/23,IF(G1076=3,F1076/12,IF(G1076=5,F1076-I1076,IF(G1076=8,F1076,0)))),0)</f>
        <v>0</v>
      </c>
      <c r="K1076" s="819">
        <f>ROUND(IF(G1076=1,F1076/23,IF(G1076=3,F1076/12,IF(G1076=6,F1076,IF(G1076=7,F1076-I1076,0)))),0)</f>
        <v>0</v>
      </c>
      <c r="L1076" s="820">
        <f>IF(G1076=6,F1076,0)</f>
        <v>0</v>
      </c>
      <c r="P1076" s="768" t="n"/>
      <c r="Q1076" s="769" t="str">
        <f>IF($F1076="","",IFERROR(VLOOKUP($C1076&amp;"|"&amp;$D1076,科目表!$A$5:$B$200,2,FALSE),"※未登録"))</f>
        <v/>
      </c>
      <c r="R1076" s="769" t="str">
        <f>IF($F1076="","",$I1076+$J1076+$K1076)</f>
        <v/>
      </c>
      <c r="S1076" s="769" t="str">
        <f>IF(OR($F1076="",$P1076="支払なし",$H1076=0,$Q1076=""),"",$Q1076&amp;"|S|"&amp;(COUNTIF(S$4:S1075,$Q1076&amp;"|S|*")+1))</f>
        <v/>
      </c>
      <c r="T1076" s="769" t="str">
        <f>IF(OR($F1076="",$P1076="支払なし",$R1076=0,$Q1076=""),"",$Q1076&amp;"|L|"&amp;(COUNTIF(T$4:T1075,$Q1076&amp;"|L|*")+1))</f>
        <v/>
      </c>
      <c r="U1076" s="769" t="str">
        <f>IF($F1076="","",13)</f>
        <v/>
      </c>
    </row>
    <row r="1077" ht="16.5" customHeight="1" s="186">
      <c r="A1077" s="760" t="n"/>
      <c r="B1077" s="760" t="n"/>
      <c r="C1077" s="762" t="n"/>
      <c r="D1077" s="762" t="n"/>
      <c r="E1077" s="775" t="n"/>
      <c r="F1077" s="821" t="n"/>
      <c r="G1077" s="821" t="n"/>
      <c r="H1077" s="818">
        <f>IF(G1077=1,F1077-I1077-J1077-K1077,IF(G1077=2,F1077,0))</f>
        <v>0</v>
      </c>
      <c r="I1077" s="818">
        <f>ROUND(IF(G1077=1,F1077*10/23,IF(G1077=3,F1077-J1077-K1077,IF(G1077=4,F1077,IF(G1077=5,F1077*10/11,IF(G1077=7,F1077*10/11,0))))),0)</f>
        <v>0</v>
      </c>
      <c r="J1077" s="818">
        <f>ROUND(IF(G1077=1,F1077/23,IF(G1077=3,F1077/12,IF(G1077=5,F1077-I1077,IF(G1077=8,F1077,0)))),0)</f>
        <v>0</v>
      </c>
      <c r="K1077" s="819">
        <f>ROUND(IF(G1077=1,F1077/23,IF(G1077=3,F1077/12,IF(G1077=6,F1077,IF(G1077=7,F1077-I1077,0)))),0)</f>
        <v>0</v>
      </c>
      <c r="L1077" s="820">
        <f>IF(G1077=6,F1077,0)</f>
        <v>0</v>
      </c>
      <c r="P1077" s="768" t="n"/>
      <c r="Q1077" s="769" t="str">
        <f>IF($F1077="","",IFERROR(VLOOKUP($C1077&amp;"|"&amp;$D1077,科目表!$A$5:$B$200,2,FALSE),"※未登録"))</f>
        <v/>
      </c>
      <c r="R1077" s="769" t="str">
        <f>IF($F1077="","",$I1077+$J1077+$K1077)</f>
        <v/>
      </c>
      <c r="S1077" s="769" t="str">
        <f>IF(OR($F1077="",$P1077="支払なし",$H1077=0,$Q1077=""),"",$Q1077&amp;"|S|"&amp;(COUNTIF(S$4:S1076,$Q1077&amp;"|S|*")+1))</f>
        <v/>
      </c>
      <c r="T1077" s="769" t="str">
        <f>IF(OR($F1077="",$P1077="支払なし",$R1077=0,$Q1077=""),"",$Q1077&amp;"|L|"&amp;(COUNTIF(T$4:T1076,$Q1077&amp;"|L|*")+1))</f>
        <v/>
      </c>
      <c r="U1077" s="769" t="str">
        <f>IF($F1077="","",13)</f>
        <v/>
      </c>
    </row>
    <row r="1078" ht="16.5" customHeight="1" s="186">
      <c r="A1078" s="760" t="n"/>
      <c r="B1078" s="760" t="n"/>
      <c r="C1078" s="762" t="n"/>
      <c r="D1078" s="762" t="n"/>
      <c r="E1078" s="775" t="n"/>
      <c r="F1078" s="821" t="n"/>
      <c r="G1078" s="821" t="n"/>
      <c r="H1078" s="818">
        <f>IF(G1078=1,F1078-I1078-J1078-K1078,IF(G1078=2,F1078,0))</f>
        <v>0</v>
      </c>
      <c r="I1078" s="818">
        <f>ROUND(IF(G1078=1,F1078*10/23,IF(G1078=3,F1078-J1078-K1078,IF(G1078=4,F1078,IF(G1078=5,F1078*10/11,IF(G1078=7,F1078*10/11,0))))),0)</f>
        <v>0</v>
      </c>
      <c r="J1078" s="818">
        <f>ROUND(IF(G1078=1,F1078/23,IF(G1078=3,F1078/12,IF(G1078=5,F1078-I1078,IF(G1078=8,F1078,0)))),0)</f>
        <v>0</v>
      </c>
      <c r="K1078" s="819">
        <f>ROUND(IF(G1078=1,F1078/23,IF(G1078=3,F1078/12,IF(G1078=6,F1078,IF(G1078=7,F1078-I1078,0)))),0)</f>
        <v>0</v>
      </c>
      <c r="L1078" s="820">
        <f>IF(G1078=6,F1078,0)</f>
        <v>0</v>
      </c>
      <c r="P1078" s="768" t="n"/>
      <c r="Q1078" s="769" t="str">
        <f>IF($F1078="","",IFERROR(VLOOKUP($C1078&amp;"|"&amp;$D1078,科目表!$A$5:$B$200,2,FALSE),"※未登録"))</f>
        <v/>
      </c>
      <c r="R1078" s="769" t="str">
        <f>IF($F1078="","",$I1078+$J1078+$K1078)</f>
        <v/>
      </c>
      <c r="S1078" s="769" t="str">
        <f>IF(OR($F1078="",$P1078="支払なし",$H1078=0,$Q1078=""),"",$Q1078&amp;"|S|"&amp;(COUNTIF(S$4:S1077,$Q1078&amp;"|S|*")+1))</f>
        <v/>
      </c>
      <c r="T1078" s="769" t="str">
        <f>IF(OR($F1078="",$P1078="支払なし",$R1078=0,$Q1078=""),"",$Q1078&amp;"|L|"&amp;(COUNTIF(T$4:T1077,$Q1078&amp;"|L|*")+1))</f>
        <v/>
      </c>
      <c r="U1078" s="769" t="str">
        <f>IF($F1078="","",13)</f>
        <v/>
      </c>
    </row>
    <row r="1079" ht="16.5" customHeight="1" s="186">
      <c r="A1079" s="760" t="n"/>
      <c r="B1079" s="760" t="n"/>
      <c r="C1079" s="762" t="n"/>
      <c r="D1079" s="762" t="n"/>
      <c r="E1079" s="775" t="n"/>
      <c r="F1079" s="821" t="n"/>
      <c r="G1079" s="821" t="n"/>
      <c r="H1079" s="818">
        <f>IF(G1079=1,F1079-I1079-J1079-K1079,IF(G1079=2,F1079,0))</f>
        <v>0</v>
      </c>
      <c r="I1079" s="818">
        <f>ROUND(IF(G1079=1,F1079*10/23,IF(G1079=3,F1079-J1079-K1079,IF(G1079=4,F1079,IF(G1079=5,F1079*10/11,IF(G1079=7,F1079*10/11,0))))),0)</f>
        <v>0</v>
      </c>
      <c r="J1079" s="818">
        <f>ROUND(IF(G1079=1,F1079/23,IF(G1079=3,F1079/12,IF(G1079=5,F1079-I1079,IF(G1079=8,F1079,0)))),0)</f>
        <v>0</v>
      </c>
      <c r="K1079" s="819">
        <f>ROUND(IF(G1079=1,F1079/23,IF(G1079=3,F1079/12,IF(G1079=6,F1079,IF(G1079=7,F1079-I1079,0)))),0)</f>
        <v>0</v>
      </c>
      <c r="L1079" s="820">
        <f>IF(G1079=6,F1079,0)</f>
        <v>0</v>
      </c>
      <c r="P1079" s="768" t="n"/>
      <c r="Q1079" s="769" t="str">
        <f>IF($F1079="","",IFERROR(VLOOKUP($C1079&amp;"|"&amp;$D1079,科目表!$A$5:$B$200,2,FALSE),"※未登録"))</f>
        <v/>
      </c>
      <c r="R1079" s="769" t="str">
        <f>IF($F1079="","",$I1079+$J1079+$K1079)</f>
        <v/>
      </c>
      <c r="S1079" s="769" t="str">
        <f>IF(OR($F1079="",$P1079="支払なし",$H1079=0,$Q1079=""),"",$Q1079&amp;"|S|"&amp;(COUNTIF(S$4:S1078,$Q1079&amp;"|S|*")+1))</f>
        <v/>
      </c>
      <c r="T1079" s="769" t="str">
        <f>IF(OR($F1079="",$P1079="支払なし",$R1079=0,$Q1079=""),"",$Q1079&amp;"|L|"&amp;(COUNTIF(T$4:T1078,$Q1079&amp;"|L|*")+1))</f>
        <v/>
      </c>
      <c r="U1079" s="769" t="str">
        <f>IF($F1079="","",13)</f>
        <v/>
      </c>
    </row>
    <row r="1080" ht="16.5" customHeight="1" s="186">
      <c r="A1080" s="760" t="n"/>
      <c r="B1080" s="760" t="n"/>
      <c r="C1080" s="762" t="n"/>
      <c r="D1080" s="762" t="n"/>
      <c r="E1080" s="775" t="n"/>
      <c r="F1080" s="821" t="n"/>
      <c r="G1080" s="821" t="n"/>
      <c r="H1080" s="818">
        <f>IF(G1080=1,F1080-I1080-J1080-K1080,IF(G1080=2,F1080,0))</f>
        <v>0</v>
      </c>
      <c r="I1080" s="818">
        <f>ROUND(IF(G1080=1,F1080*10/23,IF(G1080=3,F1080-J1080-K1080,IF(G1080=4,F1080,IF(G1080=5,F1080*10/11,IF(G1080=7,F1080*10/11,0))))),0)</f>
        <v>0</v>
      </c>
      <c r="J1080" s="818">
        <f>ROUND(IF(G1080=1,F1080/23,IF(G1080=3,F1080/12,IF(G1080=5,F1080-I1080,IF(G1080=8,F1080,0)))),0)</f>
        <v>0</v>
      </c>
      <c r="K1080" s="819">
        <f>ROUND(IF(G1080=1,F1080/23,IF(G1080=3,F1080/12,IF(G1080=6,F1080,IF(G1080=7,F1080-I1080,0)))),0)</f>
        <v>0</v>
      </c>
      <c r="L1080" s="820">
        <f>IF(G1080=6,F1080,0)</f>
        <v>0</v>
      </c>
      <c r="P1080" s="768" t="n"/>
      <c r="Q1080" s="769" t="str">
        <f>IF($F1080="","",IFERROR(VLOOKUP($C1080&amp;"|"&amp;$D1080,科目表!$A$5:$B$200,2,FALSE),"※未登録"))</f>
        <v/>
      </c>
      <c r="R1080" s="769" t="str">
        <f>IF($F1080="","",$I1080+$J1080+$K1080)</f>
        <v/>
      </c>
      <c r="S1080" s="769" t="str">
        <f>IF(OR($F1080="",$P1080="支払なし",$H1080=0,$Q1080=""),"",$Q1080&amp;"|S|"&amp;(COUNTIF(S$4:S1079,$Q1080&amp;"|S|*")+1))</f>
        <v/>
      </c>
      <c r="T1080" s="769" t="str">
        <f>IF(OR($F1080="",$P1080="支払なし",$R1080=0,$Q1080=""),"",$Q1080&amp;"|L|"&amp;(COUNTIF(T$4:T1079,$Q1080&amp;"|L|*")+1))</f>
        <v/>
      </c>
      <c r="U1080" s="769" t="str">
        <f>IF($F1080="","",13)</f>
        <v/>
      </c>
    </row>
    <row r="1081" ht="16.5" customHeight="1" s="186">
      <c r="A1081" s="760" t="n"/>
      <c r="B1081" s="760" t="n"/>
      <c r="C1081" s="762" t="n"/>
      <c r="D1081" s="762" t="n"/>
      <c r="E1081" s="775" t="n"/>
      <c r="F1081" s="821" t="n"/>
      <c r="G1081" s="821" t="n"/>
      <c r="H1081" s="818">
        <f>IF(G1081=1,F1081-I1081-J1081-K1081,IF(G1081=2,F1081,0))</f>
        <v>0</v>
      </c>
      <c r="I1081" s="818">
        <f>ROUND(IF(G1081=1,F1081*10/23,IF(G1081=3,F1081-J1081-K1081,IF(G1081=4,F1081,IF(G1081=5,F1081*10/11,IF(G1081=7,F1081*10/11,0))))),0)</f>
        <v>0</v>
      </c>
      <c r="J1081" s="818">
        <f>ROUND(IF(G1081=1,F1081/23,IF(G1081=3,F1081/12,IF(G1081=5,F1081-I1081,IF(G1081=8,F1081,0)))),0)</f>
        <v>0</v>
      </c>
      <c r="K1081" s="819">
        <f>ROUND(IF(G1081=1,F1081/23,IF(G1081=3,F1081/12,IF(G1081=6,F1081,IF(G1081=7,F1081-I1081,0)))),0)</f>
        <v>0</v>
      </c>
      <c r="L1081" s="820">
        <f>IF(G1081=6,F1081,0)</f>
        <v>0</v>
      </c>
      <c r="P1081" s="768" t="n"/>
      <c r="Q1081" s="769" t="str">
        <f>IF($F1081="","",IFERROR(VLOOKUP($C1081&amp;"|"&amp;$D1081,科目表!$A$5:$B$200,2,FALSE),"※未登録"))</f>
        <v/>
      </c>
      <c r="R1081" s="769" t="str">
        <f>IF($F1081="","",$I1081+$J1081+$K1081)</f>
        <v/>
      </c>
      <c r="S1081" s="769" t="str">
        <f>IF(OR($F1081="",$P1081="支払なし",$H1081=0,$Q1081=""),"",$Q1081&amp;"|S|"&amp;(COUNTIF(S$4:S1080,$Q1081&amp;"|S|*")+1))</f>
        <v/>
      </c>
      <c r="T1081" s="769" t="str">
        <f>IF(OR($F1081="",$P1081="支払なし",$R1081=0,$Q1081=""),"",$Q1081&amp;"|L|"&amp;(COUNTIF(T$4:T1080,$Q1081&amp;"|L|*")+1))</f>
        <v/>
      </c>
      <c r="U1081" s="769" t="str">
        <f>IF($F1081="","",13)</f>
        <v/>
      </c>
    </row>
    <row r="1082" ht="16.5" customHeight="1" s="186">
      <c r="A1082" s="760" t="n"/>
      <c r="B1082" s="760" t="n"/>
      <c r="C1082" s="762" t="n"/>
      <c r="D1082" s="762" t="n"/>
      <c r="E1082" s="775" t="n"/>
      <c r="F1082" s="821" t="n"/>
      <c r="G1082" s="821" t="n"/>
      <c r="H1082" s="818">
        <f>IF(G1082=1,F1082-I1082-J1082-K1082,IF(G1082=2,F1082,0))</f>
        <v>0</v>
      </c>
      <c r="I1082" s="818">
        <f>ROUND(IF(G1082=1,F1082*10/23,IF(G1082=3,F1082-J1082-K1082,IF(G1082=4,F1082,IF(G1082=5,F1082*10/11,IF(G1082=7,F1082*10/11,0))))),0)</f>
        <v>0</v>
      </c>
      <c r="J1082" s="818">
        <f>ROUND(IF(G1082=1,F1082/23,IF(G1082=3,F1082/12,IF(G1082=5,F1082-I1082,IF(G1082=8,F1082,0)))),0)</f>
        <v>0</v>
      </c>
      <c r="K1082" s="819">
        <f>ROUND(IF(G1082=1,F1082/23,IF(G1082=3,F1082/12,IF(G1082=6,F1082,IF(G1082=7,F1082-I1082,0)))),0)</f>
        <v>0</v>
      </c>
      <c r="L1082" s="820">
        <f>IF(G1082=6,F1082,0)</f>
        <v>0</v>
      </c>
      <c r="P1082" s="768" t="n"/>
      <c r="Q1082" s="769" t="str">
        <f>IF($F1082="","",IFERROR(VLOOKUP($C1082&amp;"|"&amp;$D1082,科目表!$A$5:$B$200,2,FALSE),"※未登録"))</f>
        <v/>
      </c>
      <c r="R1082" s="769" t="str">
        <f>IF($F1082="","",$I1082+$J1082+$K1082)</f>
        <v/>
      </c>
      <c r="S1082" s="769" t="str">
        <f>IF(OR($F1082="",$P1082="支払なし",$H1082=0,$Q1082=""),"",$Q1082&amp;"|S|"&amp;(COUNTIF(S$4:S1081,$Q1082&amp;"|S|*")+1))</f>
        <v/>
      </c>
      <c r="T1082" s="769" t="str">
        <f>IF(OR($F1082="",$P1082="支払なし",$R1082=0,$Q1082=""),"",$Q1082&amp;"|L|"&amp;(COUNTIF(T$4:T1081,$Q1082&amp;"|L|*")+1))</f>
        <v/>
      </c>
      <c r="U1082" s="769" t="str">
        <f>IF($F1082="","",13)</f>
        <v/>
      </c>
    </row>
    <row r="1083" ht="16.5" customHeight="1" s="186">
      <c r="A1083" s="760" t="n"/>
      <c r="B1083" s="760" t="n"/>
      <c r="C1083" s="762" t="n"/>
      <c r="D1083" s="762" t="n"/>
      <c r="E1083" s="775" t="n"/>
      <c r="F1083" s="821" t="n"/>
      <c r="G1083" s="821" t="n"/>
      <c r="H1083" s="818">
        <f>IF(G1083=1,F1083-I1083-J1083-K1083,IF(G1083=2,F1083,0))</f>
        <v>0</v>
      </c>
      <c r="I1083" s="818">
        <f>ROUND(IF(G1083=1,F1083*10/23,IF(G1083=3,F1083-J1083-K1083,IF(G1083=4,F1083,IF(G1083=5,F1083*10/11,IF(G1083=7,F1083*10/11,0))))),0)</f>
        <v>0</v>
      </c>
      <c r="J1083" s="818">
        <f>ROUND(IF(G1083=1,F1083/23,IF(G1083=3,F1083/12,IF(G1083=5,F1083-I1083,IF(G1083=8,F1083,0)))),0)</f>
        <v>0</v>
      </c>
      <c r="K1083" s="819">
        <f>ROUND(IF(G1083=1,F1083/23,IF(G1083=3,F1083/12,IF(G1083=6,F1083,IF(G1083=7,F1083-I1083,0)))),0)</f>
        <v>0</v>
      </c>
      <c r="L1083" s="820">
        <f>IF(G1083=6,F1083,0)</f>
        <v>0</v>
      </c>
      <c r="P1083" s="768" t="n"/>
      <c r="Q1083" s="769" t="str">
        <f>IF($F1083="","",IFERROR(VLOOKUP($C1083&amp;"|"&amp;$D1083,科目表!$A$5:$B$200,2,FALSE),"※未登録"))</f>
        <v/>
      </c>
      <c r="R1083" s="769" t="str">
        <f>IF($F1083="","",$I1083+$J1083+$K1083)</f>
        <v/>
      </c>
      <c r="S1083" s="769" t="str">
        <f>IF(OR($F1083="",$P1083="支払なし",$H1083=0,$Q1083=""),"",$Q1083&amp;"|S|"&amp;(COUNTIF(S$4:S1082,$Q1083&amp;"|S|*")+1))</f>
        <v/>
      </c>
      <c r="T1083" s="769" t="str">
        <f>IF(OR($F1083="",$P1083="支払なし",$R1083=0,$Q1083=""),"",$Q1083&amp;"|L|"&amp;(COUNTIF(T$4:T1082,$Q1083&amp;"|L|*")+1))</f>
        <v/>
      </c>
      <c r="U1083" s="769" t="str">
        <f>IF($F1083="","",13)</f>
        <v/>
      </c>
    </row>
    <row r="1084" ht="16.5" customHeight="1" s="186">
      <c r="A1084" s="760" t="n"/>
      <c r="B1084" s="760" t="n"/>
      <c r="C1084" s="762" t="n"/>
      <c r="D1084" s="762" t="n"/>
      <c r="E1084" s="775" t="n"/>
      <c r="F1084" s="821" t="n"/>
      <c r="G1084" s="821" t="n"/>
      <c r="H1084" s="818">
        <f>IF(G1084=1,F1084-I1084-J1084-K1084,IF(G1084=2,F1084,0))</f>
        <v>0</v>
      </c>
      <c r="I1084" s="818">
        <f>ROUND(IF(G1084=1,F1084*10/23,IF(G1084=3,F1084-J1084-K1084,IF(G1084=4,F1084,IF(G1084=5,F1084*10/11,IF(G1084=7,F1084*10/11,0))))),0)</f>
        <v>0</v>
      </c>
      <c r="J1084" s="818">
        <f>ROUND(IF(G1084=1,F1084/23,IF(G1084=3,F1084/12,IF(G1084=5,F1084-I1084,IF(G1084=8,F1084,0)))),0)</f>
        <v>0</v>
      </c>
      <c r="K1084" s="819">
        <f>ROUND(IF(G1084=1,F1084/23,IF(G1084=3,F1084/12,IF(G1084=6,F1084,IF(G1084=7,F1084-I1084,0)))),0)</f>
        <v>0</v>
      </c>
      <c r="L1084" s="820">
        <f>IF(G1084=6,F1084,0)</f>
        <v>0</v>
      </c>
      <c r="P1084" s="768" t="n"/>
      <c r="Q1084" s="769" t="str">
        <f>IF($F1084="","",IFERROR(VLOOKUP($C1084&amp;"|"&amp;$D1084,科目表!$A$5:$B$200,2,FALSE),"※未登録"))</f>
        <v/>
      </c>
      <c r="R1084" s="769" t="str">
        <f>IF($F1084="","",$I1084+$J1084+$K1084)</f>
        <v/>
      </c>
      <c r="S1084" s="769" t="str">
        <f>IF(OR($F1084="",$P1084="支払なし",$H1084=0,$Q1084=""),"",$Q1084&amp;"|S|"&amp;(COUNTIF(S$4:S1083,$Q1084&amp;"|S|*")+1))</f>
        <v/>
      </c>
      <c r="T1084" s="769" t="str">
        <f>IF(OR($F1084="",$P1084="支払なし",$R1084=0,$Q1084=""),"",$Q1084&amp;"|L|"&amp;(COUNTIF(T$4:T1083,$Q1084&amp;"|L|*")+1))</f>
        <v/>
      </c>
      <c r="U1084" s="769" t="str">
        <f>IF($F1084="","",13)</f>
        <v/>
      </c>
    </row>
    <row r="1085" ht="16.5" customHeight="1" s="186">
      <c r="A1085" s="760" t="n"/>
      <c r="B1085" s="760" t="n"/>
      <c r="C1085" s="762" t="n"/>
      <c r="D1085" s="762" t="n"/>
      <c r="E1085" s="775" t="n"/>
      <c r="F1085" s="821" t="n"/>
      <c r="G1085" s="821" t="n"/>
      <c r="H1085" s="818">
        <f>IF(G1085=1,F1085-I1085-J1085-K1085,IF(G1085=2,F1085,0))</f>
        <v>0</v>
      </c>
      <c r="I1085" s="818">
        <f>ROUND(IF(G1085=1,F1085*10/23,IF(G1085=3,F1085-J1085-K1085,IF(G1085=4,F1085,IF(G1085=5,F1085*10/11,IF(G1085=7,F1085*10/11,0))))),0)</f>
        <v>0</v>
      </c>
      <c r="J1085" s="818">
        <f>ROUND(IF(G1085=1,F1085/23,IF(G1085=3,F1085/12,IF(G1085=5,F1085-I1085,IF(G1085=8,F1085,0)))),0)</f>
        <v>0</v>
      </c>
      <c r="K1085" s="819">
        <f>ROUND(IF(G1085=1,F1085/23,IF(G1085=3,F1085/12,IF(G1085=6,F1085,IF(G1085=7,F1085-I1085,0)))),0)</f>
        <v>0</v>
      </c>
      <c r="L1085" s="820">
        <f>IF(G1085=6,F1085,0)</f>
        <v>0</v>
      </c>
      <c r="P1085" s="768" t="n"/>
      <c r="Q1085" s="769" t="str">
        <f>IF($F1085="","",IFERROR(VLOOKUP($C1085&amp;"|"&amp;$D1085,科目表!$A$5:$B$200,2,FALSE),"※未登録"))</f>
        <v/>
      </c>
      <c r="R1085" s="769" t="str">
        <f>IF($F1085="","",$I1085+$J1085+$K1085)</f>
        <v/>
      </c>
      <c r="S1085" s="769" t="str">
        <f>IF(OR($F1085="",$P1085="支払なし",$H1085=0,$Q1085=""),"",$Q1085&amp;"|S|"&amp;(COUNTIF(S$4:S1084,$Q1085&amp;"|S|*")+1))</f>
        <v/>
      </c>
      <c r="T1085" s="769" t="str">
        <f>IF(OR($F1085="",$P1085="支払なし",$R1085=0,$Q1085=""),"",$Q1085&amp;"|L|"&amp;(COUNTIF(T$4:T1084,$Q1085&amp;"|L|*")+1))</f>
        <v/>
      </c>
      <c r="U1085" s="769" t="str">
        <f>IF($F1085="","",13)</f>
        <v/>
      </c>
    </row>
    <row r="1086" ht="16.5" customHeight="1" s="186">
      <c r="A1086" s="760" t="n"/>
      <c r="B1086" s="760" t="n"/>
      <c r="C1086" s="762" t="n"/>
      <c r="D1086" s="762" t="n"/>
      <c r="E1086" s="775" t="n"/>
      <c r="F1086" s="821" t="n"/>
      <c r="G1086" s="821" t="n"/>
      <c r="H1086" s="818">
        <f>IF(G1086=1,F1086-I1086-J1086-K1086,IF(G1086=2,F1086,0))</f>
        <v>0</v>
      </c>
      <c r="I1086" s="818">
        <f>ROUND(IF(G1086=1,F1086*10/23,IF(G1086=3,F1086-J1086-K1086,IF(G1086=4,F1086,IF(G1086=5,F1086*10/11,IF(G1086=7,F1086*10/11,0))))),0)</f>
        <v>0</v>
      </c>
      <c r="J1086" s="818">
        <f>ROUND(IF(G1086=1,F1086/23,IF(G1086=3,F1086/12,IF(G1086=5,F1086-I1086,IF(G1086=8,F1086,0)))),0)</f>
        <v>0</v>
      </c>
      <c r="K1086" s="819">
        <f>ROUND(IF(G1086=1,F1086/23,IF(G1086=3,F1086/12,IF(G1086=6,F1086,IF(G1086=7,F1086-I1086,0)))),0)</f>
        <v>0</v>
      </c>
      <c r="L1086" s="820">
        <f>IF(G1086=6,F1086,0)</f>
        <v>0</v>
      </c>
      <c r="P1086" s="768" t="n"/>
      <c r="Q1086" s="769" t="str">
        <f>IF($F1086="","",IFERROR(VLOOKUP($C1086&amp;"|"&amp;$D1086,科目表!$A$5:$B$200,2,FALSE),"※未登録"))</f>
        <v/>
      </c>
      <c r="R1086" s="769" t="str">
        <f>IF($F1086="","",$I1086+$J1086+$K1086)</f>
        <v/>
      </c>
      <c r="S1086" s="769" t="str">
        <f>IF(OR($F1086="",$P1086="支払なし",$H1086=0,$Q1086=""),"",$Q1086&amp;"|S|"&amp;(COUNTIF(S$4:S1085,$Q1086&amp;"|S|*")+1))</f>
        <v/>
      </c>
      <c r="T1086" s="769" t="str">
        <f>IF(OR($F1086="",$P1086="支払なし",$R1086=0,$Q1086=""),"",$Q1086&amp;"|L|"&amp;(COUNTIF(T$4:T1085,$Q1086&amp;"|L|*")+1))</f>
        <v/>
      </c>
      <c r="U1086" s="769" t="str">
        <f>IF($F1086="","",13)</f>
        <v/>
      </c>
    </row>
    <row r="1087" ht="16.5" customHeight="1" s="186">
      <c r="A1087" s="760" t="n"/>
      <c r="B1087" s="760" t="n"/>
      <c r="C1087" s="762" t="n"/>
      <c r="D1087" s="762" t="n"/>
      <c r="E1087" s="775" t="n"/>
      <c r="F1087" s="821" t="n"/>
      <c r="G1087" s="821" t="n"/>
      <c r="H1087" s="818">
        <f>IF(G1087=1,F1087-I1087-J1087-K1087,IF(G1087=2,F1087,0))</f>
        <v>0</v>
      </c>
      <c r="I1087" s="818">
        <f>ROUND(IF(G1087=1,F1087*10/23,IF(G1087=3,F1087-J1087-K1087,IF(G1087=4,F1087,IF(G1087=5,F1087*10/11,IF(G1087=7,F1087*10/11,0))))),0)</f>
        <v>0</v>
      </c>
      <c r="J1087" s="818">
        <f>ROUND(IF(G1087=1,F1087/23,IF(G1087=3,F1087/12,IF(G1087=5,F1087-I1087,IF(G1087=8,F1087,0)))),0)</f>
        <v>0</v>
      </c>
      <c r="K1087" s="819">
        <f>ROUND(IF(G1087=1,F1087/23,IF(G1087=3,F1087/12,IF(G1087=6,F1087,IF(G1087=7,F1087-I1087,0)))),0)</f>
        <v>0</v>
      </c>
      <c r="L1087" s="820">
        <f>IF(G1087=6,F1087,0)</f>
        <v>0</v>
      </c>
      <c r="P1087" s="768" t="n"/>
      <c r="Q1087" s="769" t="str">
        <f>IF($F1087="","",IFERROR(VLOOKUP($C1087&amp;"|"&amp;$D1087,科目表!$A$5:$B$200,2,FALSE),"※未登録"))</f>
        <v/>
      </c>
      <c r="R1087" s="769" t="str">
        <f>IF($F1087="","",$I1087+$J1087+$K1087)</f>
        <v/>
      </c>
      <c r="S1087" s="769" t="str">
        <f>IF(OR($F1087="",$P1087="支払なし",$H1087=0,$Q1087=""),"",$Q1087&amp;"|S|"&amp;(COUNTIF(S$4:S1086,$Q1087&amp;"|S|*")+1))</f>
        <v/>
      </c>
      <c r="T1087" s="769" t="str">
        <f>IF(OR($F1087="",$P1087="支払なし",$R1087=0,$Q1087=""),"",$Q1087&amp;"|L|"&amp;(COUNTIF(T$4:T1086,$Q1087&amp;"|L|*")+1))</f>
        <v/>
      </c>
      <c r="U1087" s="769" t="str">
        <f>IF($F1087="","",13)</f>
        <v/>
      </c>
    </row>
    <row r="1088" ht="16.5" customHeight="1" s="186">
      <c r="A1088" s="760" t="n"/>
      <c r="B1088" s="760" t="n"/>
      <c r="C1088" s="762" t="n"/>
      <c r="D1088" s="762" t="n"/>
      <c r="E1088" s="775" t="n"/>
      <c r="F1088" s="821" t="n"/>
      <c r="G1088" s="821" t="n"/>
      <c r="H1088" s="818">
        <f>IF(G1088=1,F1088-I1088-J1088-K1088,IF(G1088=2,F1088,0))</f>
        <v>0</v>
      </c>
      <c r="I1088" s="818">
        <f>ROUND(IF(G1088=1,F1088*10/23,IF(G1088=3,F1088-J1088-K1088,IF(G1088=4,F1088,IF(G1088=5,F1088*10/11,IF(G1088=7,F1088*10/11,0))))),0)</f>
        <v>0</v>
      </c>
      <c r="J1088" s="818">
        <f>ROUND(IF(G1088=1,F1088/23,IF(G1088=3,F1088/12,IF(G1088=5,F1088-I1088,IF(G1088=8,F1088,0)))),0)</f>
        <v>0</v>
      </c>
      <c r="K1088" s="819">
        <f>ROUND(IF(G1088=1,F1088/23,IF(G1088=3,F1088/12,IF(G1088=6,F1088,IF(G1088=7,F1088-I1088,0)))),0)</f>
        <v>0</v>
      </c>
      <c r="L1088" s="820">
        <f>IF(G1088=6,F1088,0)</f>
        <v>0</v>
      </c>
      <c r="P1088" s="768" t="n"/>
      <c r="Q1088" s="769" t="str">
        <f>IF($F1088="","",IFERROR(VLOOKUP($C1088&amp;"|"&amp;$D1088,科目表!$A$5:$B$200,2,FALSE),"※未登録"))</f>
        <v/>
      </c>
      <c r="R1088" s="769" t="str">
        <f>IF($F1088="","",$I1088+$J1088+$K1088)</f>
        <v/>
      </c>
      <c r="S1088" s="769" t="str">
        <f>IF(OR($F1088="",$P1088="支払なし",$H1088=0,$Q1088=""),"",$Q1088&amp;"|S|"&amp;(COUNTIF(S$4:S1087,$Q1088&amp;"|S|*")+1))</f>
        <v/>
      </c>
      <c r="T1088" s="769" t="str">
        <f>IF(OR($F1088="",$P1088="支払なし",$R1088=0,$Q1088=""),"",$Q1088&amp;"|L|"&amp;(COUNTIF(T$4:T1087,$Q1088&amp;"|L|*")+1))</f>
        <v/>
      </c>
      <c r="U1088" s="769" t="str">
        <f>IF($F1088="","",13)</f>
        <v/>
      </c>
    </row>
    <row r="1089" ht="16.5" customHeight="1" s="186">
      <c r="A1089" s="760" t="n"/>
      <c r="B1089" s="760" t="n"/>
      <c r="C1089" s="762" t="n"/>
      <c r="D1089" s="762" t="n"/>
      <c r="E1089" s="775" t="n"/>
      <c r="F1089" s="821" t="n"/>
      <c r="G1089" s="821" t="n"/>
      <c r="H1089" s="818">
        <f>IF(G1089=1,F1089-I1089-J1089-K1089,IF(G1089=2,F1089,0))</f>
        <v>0</v>
      </c>
      <c r="I1089" s="818">
        <f>ROUND(IF(G1089=1,F1089*10/23,IF(G1089=3,F1089-J1089-K1089,IF(G1089=4,F1089,IF(G1089=5,F1089*10/11,IF(G1089=7,F1089*10/11,0))))),0)</f>
        <v>0</v>
      </c>
      <c r="J1089" s="818">
        <f>ROUND(IF(G1089=1,F1089/23,IF(G1089=3,F1089/12,IF(G1089=5,F1089-I1089,IF(G1089=8,F1089,0)))),0)</f>
        <v>0</v>
      </c>
      <c r="K1089" s="819">
        <f>ROUND(IF(G1089=1,F1089/23,IF(G1089=3,F1089/12,IF(G1089=6,F1089,IF(G1089=7,F1089-I1089,0)))),0)</f>
        <v>0</v>
      </c>
      <c r="L1089" s="820">
        <f>IF(G1089=6,F1089,0)</f>
        <v>0</v>
      </c>
      <c r="P1089" s="768" t="n"/>
      <c r="Q1089" s="769" t="str">
        <f>IF($F1089="","",IFERROR(VLOOKUP($C1089&amp;"|"&amp;$D1089,科目表!$A$5:$B$200,2,FALSE),"※未登録"))</f>
        <v/>
      </c>
      <c r="R1089" s="769" t="str">
        <f>IF($F1089="","",$I1089+$J1089+$K1089)</f>
        <v/>
      </c>
      <c r="S1089" s="769" t="str">
        <f>IF(OR($F1089="",$P1089="支払なし",$H1089=0,$Q1089=""),"",$Q1089&amp;"|S|"&amp;(COUNTIF(S$4:S1088,$Q1089&amp;"|S|*")+1))</f>
        <v/>
      </c>
      <c r="T1089" s="769" t="str">
        <f>IF(OR($F1089="",$P1089="支払なし",$R1089=0,$Q1089=""),"",$Q1089&amp;"|L|"&amp;(COUNTIF(T$4:T1088,$Q1089&amp;"|L|*")+1))</f>
        <v/>
      </c>
      <c r="U1089" s="769" t="str">
        <f>IF($F1089="","",13)</f>
        <v/>
      </c>
    </row>
    <row r="1090" ht="16.5" customHeight="1" s="186">
      <c r="A1090" s="760" t="n"/>
      <c r="B1090" s="760" t="n"/>
      <c r="C1090" s="762" t="n"/>
      <c r="D1090" s="762" t="n"/>
      <c r="E1090" s="775" t="n"/>
      <c r="F1090" s="821" t="n"/>
      <c r="G1090" s="821" t="n"/>
      <c r="H1090" s="818">
        <f>IF(G1090=1,F1090-I1090-J1090-K1090,IF(G1090=2,F1090,0))</f>
        <v>0</v>
      </c>
      <c r="I1090" s="818">
        <f>ROUND(IF(G1090=1,F1090*10/23,IF(G1090=3,F1090-J1090-K1090,IF(G1090=4,F1090,IF(G1090=5,F1090*10/11,IF(G1090=7,F1090*10/11,0))))),0)</f>
        <v>0</v>
      </c>
      <c r="J1090" s="818">
        <f>ROUND(IF(G1090=1,F1090/23,IF(G1090=3,F1090/12,IF(G1090=5,F1090-I1090,IF(G1090=8,F1090,0)))),0)</f>
        <v>0</v>
      </c>
      <c r="K1090" s="819">
        <f>ROUND(IF(G1090=1,F1090/23,IF(G1090=3,F1090/12,IF(G1090=6,F1090,IF(G1090=7,F1090-I1090,0)))),0)</f>
        <v>0</v>
      </c>
      <c r="L1090" s="820">
        <f>IF(G1090=6,F1090,0)</f>
        <v>0</v>
      </c>
      <c r="P1090" s="768" t="n"/>
      <c r="Q1090" s="769" t="str">
        <f>IF($F1090="","",IFERROR(VLOOKUP($C1090&amp;"|"&amp;$D1090,科目表!$A$5:$B$200,2,FALSE),"※未登録"))</f>
        <v/>
      </c>
      <c r="R1090" s="769" t="str">
        <f>IF($F1090="","",$I1090+$J1090+$K1090)</f>
        <v/>
      </c>
      <c r="S1090" s="769" t="str">
        <f>IF(OR($F1090="",$P1090="支払なし",$H1090=0,$Q1090=""),"",$Q1090&amp;"|S|"&amp;(COUNTIF(S$4:S1089,$Q1090&amp;"|S|*")+1))</f>
        <v/>
      </c>
      <c r="T1090" s="769" t="str">
        <f>IF(OR($F1090="",$P1090="支払なし",$R1090=0,$Q1090=""),"",$Q1090&amp;"|L|"&amp;(COUNTIF(T$4:T1089,$Q1090&amp;"|L|*")+1))</f>
        <v/>
      </c>
      <c r="U1090" s="769" t="str">
        <f>IF($F1090="","",13)</f>
        <v/>
      </c>
    </row>
    <row r="1091" ht="16.5" customHeight="1" s="186">
      <c r="A1091" s="760" t="n"/>
      <c r="B1091" s="760" t="n"/>
      <c r="C1091" s="762" t="n"/>
      <c r="D1091" s="762" t="n"/>
      <c r="E1091" s="775" t="n"/>
      <c r="F1091" s="821" t="n"/>
      <c r="G1091" s="821" t="n"/>
      <c r="H1091" s="818">
        <f>IF(G1091=1,F1091-I1091-J1091-K1091,IF(G1091=2,F1091,0))</f>
        <v>0</v>
      </c>
      <c r="I1091" s="818">
        <f>ROUND(IF(G1091=1,F1091*10/23,IF(G1091=3,F1091-J1091-K1091,IF(G1091=4,F1091,IF(G1091=5,F1091*10/11,IF(G1091=7,F1091*10/11,0))))),0)</f>
        <v>0</v>
      </c>
      <c r="J1091" s="818">
        <f>ROUND(IF(G1091=1,F1091/23,IF(G1091=3,F1091/12,IF(G1091=5,F1091-I1091,IF(G1091=8,F1091,0)))),0)</f>
        <v>0</v>
      </c>
      <c r="K1091" s="819">
        <f>ROUND(IF(G1091=1,F1091/23,IF(G1091=3,F1091/12,IF(G1091=6,F1091,IF(G1091=7,F1091-I1091,0)))),0)</f>
        <v>0</v>
      </c>
      <c r="L1091" s="820">
        <f>IF(G1091=6,F1091,0)</f>
        <v>0</v>
      </c>
      <c r="P1091" s="768" t="n"/>
      <c r="Q1091" s="769" t="str">
        <f>IF($F1091="","",IFERROR(VLOOKUP($C1091&amp;"|"&amp;$D1091,科目表!$A$5:$B$200,2,FALSE),"※未登録"))</f>
        <v/>
      </c>
      <c r="R1091" s="769" t="str">
        <f>IF($F1091="","",$I1091+$J1091+$K1091)</f>
        <v/>
      </c>
      <c r="S1091" s="769" t="str">
        <f>IF(OR($F1091="",$P1091="支払なし",$H1091=0,$Q1091=""),"",$Q1091&amp;"|S|"&amp;(COUNTIF(S$4:S1090,$Q1091&amp;"|S|*")+1))</f>
        <v/>
      </c>
      <c r="T1091" s="769" t="str">
        <f>IF(OR($F1091="",$P1091="支払なし",$R1091=0,$Q1091=""),"",$Q1091&amp;"|L|"&amp;(COUNTIF(T$4:T1090,$Q1091&amp;"|L|*")+1))</f>
        <v/>
      </c>
      <c r="U1091" s="769" t="str">
        <f>IF($F1091="","",13)</f>
        <v/>
      </c>
    </row>
    <row r="1092" ht="16.5" customHeight="1" s="186">
      <c r="A1092" s="760" t="n"/>
      <c r="B1092" s="760" t="n"/>
      <c r="C1092" s="762" t="n"/>
      <c r="D1092" s="762" t="n"/>
      <c r="E1092" s="775" t="n"/>
      <c r="F1092" s="821" t="n"/>
      <c r="G1092" s="821" t="n"/>
      <c r="H1092" s="818">
        <f>IF(G1092=1,F1092-I1092-J1092-K1092,IF(G1092=2,F1092,0))</f>
        <v>0</v>
      </c>
      <c r="I1092" s="818">
        <f>ROUND(IF(G1092=1,F1092*10/23,IF(G1092=3,F1092-J1092-K1092,IF(G1092=4,F1092,IF(G1092=5,F1092*10/11,IF(G1092=7,F1092*10/11,0))))),0)</f>
        <v>0</v>
      </c>
      <c r="J1092" s="818">
        <f>ROUND(IF(G1092=1,F1092/23,IF(G1092=3,F1092/12,IF(G1092=5,F1092-I1092,IF(G1092=8,F1092,0)))),0)</f>
        <v>0</v>
      </c>
      <c r="K1092" s="819">
        <f>ROUND(IF(G1092=1,F1092/23,IF(G1092=3,F1092/12,IF(G1092=6,F1092,IF(G1092=7,F1092-I1092,0)))),0)</f>
        <v>0</v>
      </c>
      <c r="L1092" s="820">
        <f>IF(G1092=6,F1092,0)</f>
        <v>0</v>
      </c>
      <c r="P1092" s="768" t="n"/>
      <c r="Q1092" s="769" t="str">
        <f>IF($F1092="","",IFERROR(VLOOKUP($C1092&amp;"|"&amp;$D1092,科目表!$A$5:$B$200,2,FALSE),"※未登録"))</f>
        <v/>
      </c>
      <c r="R1092" s="769" t="str">
        <f>IF($F1092="","",$I1092+$J1092+$K1092)</f>
        <v/>
      </c>
      <c r="S1092" s="769" t="str">
        <f>IF(OR($F1092="",$P1092="支払なし",$H1092=0,$Q1092=""),"",$Q1092&amp;"|S|"&amp;(COUNTIF(S$4:S1091,$Q1092&amp;"|S|*")+1))</f>
        <v/>
      </c>
      <c r="T1092" s="769" t="str">
        <f>IF(OR($F1092="",$P1092="支払なし",$R1092=0,$Q1092=""),"",$Q1092&amp;"|L|"&amp;(COUNTIF(T$4:T1091,$Q1092&amp;"|L|*")+1))</f>
        <v/>
      </c>
      <c r="U1092" s="769" t="str">
        <f>IF($F1092="","",13)</f>
        <v/>
      </c>
    </row>
    <row r="1093" ht="16.5" customHeight="1" s="186">
      <c r="A1093" s="760" t="n"/>
      <c r="B1093" s="760" t="n"/>
      <c r="C1093" s="762" t="n"/>
      <c r="D1093" s="762" t="n"/>
      <c r="E1093" s="775" t="n"/>
      <c r="F1093" s="821" t="n"/>
      <c r="G1093" s="821" t="n"/>
      <c r="H1093" s="818">
        <f>IF(G1093=1,F1093-I1093-J1093-K1093,IF(G1093=2,F1093,0))</f>
        <v>0</v>
      </c>
      <c r="I1093" s="818">
        <f>ROUND(IF(G1093=1,F1093*10/23,IF(G1093=3,F1093-J1093-K1093,IF(G1093=4,F1093,IF(G1093=5,F1093*10/11,IF(G1093=7,F1093*10/11,0))))),0)</f>
        <v>0</v>
      </c>
      <c r="J1093" s="818">
        <f>ROUND(IF(G1093=1,F1093/23,IF(G1093=3,F1093/12,IF(G1093=5,F1093-I1093,IF(G1093=8,F1093,0)))),0)</f>
        <v>0</v>
      </c>
      <c r="K1093" s="819">
        <f>ROUND(IF(G1093=1,F1093/23,IF(G1093=3,F1093/12,IF(G1093=6,F1093,IF(G1093=7,F1093-I1093,0)))),0)</f>
        <v>0</v>
      </c>
      <c r="L1093" s="820">
        <f>IF(G1093=6,F1093,0)</f>
        <v>0</v>
      </c>
      <c r="P1093" s="768" t="n"/>
      <c r="Q1093" s="769" t="str">
        <f>IF($F1093="","",IFERROR(VLOOKUP($C1093&amp;"|"&amp;$D1093,科目表!$A$5:$B$200,2,FALSE),"※未登録"))</f>
        <v/>
      </c>
      <c r="R1093" s="769" t="str">
        <f>IF($F1093="","",$I1093+$J1093+$K1093)</f>
        <v/>
      </c>
      <c r="S1093" s="769" t="str">
        <f>IF(OR($F1093="",$P1093="支払なし",$H1093=0,$Q1093=""),"",$Q1093&amp;"|S|"&amp;(COUNTIF(S$4:S1092,$Q1093&amp;"|S|*")+1))</f>
        <v/>
      </c>
      <c r="T1093" s="769" t="str">
        <f>IF(OR($F1093="",$P1093="支払なし",$R1093=0,$Q1093=""),"",$Q1093&amp;"|L|"&amp;(COUNTIF(T$4:T1092,$Q1093&amp;"|L|*")+1))</f>
        <v/>
      </c>
      <c r="U1093" s="769" t="str">
        <f>IF($F1093="","",13)</f>
        <v/>
      </c>
    </row>
    <row r="1094" ht="16.5" customHeight="1" s="186">
      <c r="A1094" s="760" t="n"/>
      <c r="B1094" s="760" t="n"/>
      <c r="C1094" s="762" t="n"/>
      <c r="D1094" s="762" t="n"/>
      <c r="E1094" s="775" t="n"/>
      <c r="F1094" s="821" t="n"/>
      <c r="G1094" s="821" t="n"/>
      <c r="H1094" s="818">
        <f>IF(G1094=1,F1094-I1094-J1094-K1094,IF(G1094=2,F1094,0))</f>
        <v>0</v>
      </c>
      <c r="I1094" s="818">
        <f>ROUND(IF(G1094=1,F1094*10/23,IF(G1094=3,F1094-J1094-K1094,IF(G1094=4,F1094,IF(G1094=5,F1094*10/11,IF(G1094=7,F1094*10/11,0))))),0)</f>
        <v>0</v>
      </c>
      <c r="J1094" s="818">
        <f>ROUND(IF(G1094=1,F1094/23,IF(G1094=3,F1094/12,IF(G1094=5,F1094-I1094,IF(G1094=8,F1094,0)))),0)</f>
        <v>0</v>
      </c>
      <c r="K1094" s="819">
        <f>ROUND(IF(G1094=1,F1094/23,IF(G1094=3,F1094/12,IF(G1094=6,F1094,IF(G1094=7,F1094-I1094,0)))),0)</f>
        <v>0</v>
      </c>
      <c r="L1094" s="820">
        <f>IF(G1094=6,F1094,0)</f>
        <v>0</v>
      </c>
      <c r="P1094" s="768" t="n"/>
      <c r="Q1094" s="769" t="str">
        <f>IF($F1094="","",IFERROR(VLOOKUP($C1094&amp;"|"&amp;$D1094,科目表!$A$5:$B$200,2,FALSE),"※未登録"))</f>
        <v/>
      </c>
      <c r="R1094" s="769" t="str">
        <f>IF($F1094="","",$I1094+$J1094+$K1094)</f>
        <v/>
      </c>
      <c r="S1094" s="769" t="str">
        <f>IF(OR($F1094="",$P1094="支払なし",$H1094=0,$Q1094=""),"",$Q1094&amp;"|S|"&amp;(COUNTIF(S$4:S1093,$Q1094&amp;"|S|*")+1))</f>
        <v/>
      </c>
      <c r="T1094" s="769" t="str">
        <f>IF(OR($F1094="",$P1094="支払なし",$R1094=0,$Q1094=""),"",$Q1094&amp;"|L|"&amp;(COUNTIF(T$4:T1093,$Q1094&amp;"|L|*")+1))</f>
        <v/>
      </c>
      <c r="U1094" s="769" t="str">
        <f>IF($F1094="","",13)</f>
        <v/>
      </c>
    </row>
    <row r="1095" ht="16.5" customHeight="1" s="186">
      <c r="A1095" s="760" t="n"/>
      <c r="B1095" s="760" t="n"/>
      <c r="C1095" s="762" t="n"/>
      <c r="D1095" s="762" t="n"/>
      <c r="E1095" s="775" t="n"/>
      <c r="F1095" s="821" t="n"/>
      <c r="G1095" s="821" t="n"/>
      <c r="H1095" s="818">
        <f>IF(G1095=1,F1095-I1095-J1095-K1095,IF(G1095=2,F1095,0))</f>
        <v>0</v>
      </c>
      <c r="I1095" s="818">
        <f>ROUND(IF(G1095=1,F1095*10/23,IF(G1095=3,F1095-J1095-K1095,IF(G1095=4,F1095,IF(G1095=5,F1095*10/11,IF(G1095=7,F1095*10/11,0))))),0)</f>
        <v>0</v>
      </c>
      <c r="J1095" s="818">
        <f>ROUND(IF(G1095=1,F1095/23,IF(G1095=3,F1095/12,IF(G1095=5,F1095-I1095,IF(G1095=8,F1095,0)))),0)</f>
        <v>0</v>
      </c>
      <c r="K1095" s="819">
        <f>ROUND(IF(G1095=1,F1095/23,IF(G1095=3,F1095/12,IF(G1095=6,F1095,IF(G1095=7,F1095-I1095,0)))),0)</f>
        <v>0</v>
      </c>
      <c r="L1095" s="820">
        <f>IF(G1095=6,F1095,0)</f>
        <v>0</v>
      </c>
      <c r="P1095" s="768" t="n"/>
      <c r="Q1095" s="769" t="str">
        <f>IF($F1095="","",IFERROR(VLOOKUP($C1095&amp;"|"&amp;$D1095,科目表!$A$5:$B$200,2,FALSE),"※未登録"))</f>
        <v/>
      </c>
      <c r="R1095" s="769" t="str">
        <f>IF($F1095="","",$I1095+$J1095+$K1095)</f>
        <v/>
      </c>
      <c r="S1095" s="769" t="str">
        <f>IF(OR($F1095="",$P1095="支払なし",$H1095=0,$Q1095=""),"",$Q1095&amp;"|S|"&amp;(COUNTIF(S$4:S1094,$Q1095&amp;"|S|*")+1))</f>
        <v/>
      </c>
      <c r="T1095" s="769" t="str">
        <f>IF(OR($F1095="",$P1095="支払なし",$R1095=0,$Q1095=""),"",$Q1095&amp;"|L|"&amp;(COUNTIF(T$4:T1094,$Q1095&amp;"|L|*")+1))</f>
        <v/>
      </c>
      <c r="U1095" s="769" t="str">
        <f>IF($F1095="","",13)</f>
        <v/>
      </c>
    </row>
    <row r="1096" ht="16.5" customHeight="1" s="186">
      <c r="A1096" s="760" t="n"/>
      <c r="B1096" s="760" t="n"/>
      <c r="C1096" s="762" t="n"/>
      <c r="D1096" s="762" t="n"/>
      <c r="E1096" s="775" t="n"/>
      <c r="F1096" s="821" t="n"/>
      <c r="G1096" s="821" t="n"/>
      <c r="H1096" s="818">
        <f>IF(G1096=1,F1096-I1096-J1096-K1096,IF(G1096=2,F1096,0))</f>
        <v>0</v>
      </c>
      <c r="I1096" s="818">
        <f>ROUND(IF(G1096=1,F1096*10/23,IF(G1096=3,F1096-J1096-K1096,IF(G1096=4,F1096,IF(G1096=5,F1096*10/11,IF(G1096=7,F1096*10/11,0))))),0)</f>
        <v>0</v>
      </c>
      <c r="J1096" s="818">
        <f>ROUND(IF(G1096=1,F1096/23,IF(G1096=3,F1096/12,IF(G1096=5,F1096-I1096,IF(G1096=8,F1096,0)))),0)</f>
        <v>0</v>
      </c>
      <c r="K1096" s="819">
        <f>ROUND(IF(G1096=1,F1096/23,IF(G1096=3,F1096/12,IF(G1096=6,F1096,IF(G1096=7,F1096-I1096,0)))),0)</f>
        <v>0</v>
      </c>
      <c r="L1096" s="820">
        <f>IF(G1096=6,F1096,0)</f>
        <v>0</v>
      </c>
      <c r="P1096" s="768" t="n"/>
      <c r="Q1096" s="769" t="str">
        <f>IF($F1096="","",IFERROR(VLOOKUP($C1096&amp;"|"&amp;$D1096,科目表!$A$5:$B$200,2,FALSE),"※未登録"))</f>
        <v/>
      </c>
      <c r="R1096" s="769" t="str">
        <f>IF($F1096="","",$I1096+$J1096+$K1096)</f>
        <v/>
      </c>
      <c r="S1096" s="769" t="str">
        <f>IF(OR($F1096="",$P1096="支払なし",$H1096=0,$Q1096=""),"",$Q1096&amp;"|S|"&amp;(COUNTIF(S$4:S1095,$Q1096&amp;"|S|*")+1))</f>
        <v/>
      </c>
      <c r="T1096" s="769" t="str">
        <f>IF(OR($F1096="",$P1096="支払なし",$R1096=0,$Q1096=""),"",$Q1096&amp;"|L|"&amp;(COUNTIF(T$4:T1095,$Q1096&amp;"|L|*")+1))</f>
        <v/>
      </c>
      <c r="U1096" s="769" t="str">
        <f>IF($F1096="","",13)</f>
        <v/>
      </c>
    </row>
    <row r="1097" ht="16.5" customHeight="1" s="186">
      <c r="A1097" s="760" t="n"/>
      <c r="B1097" s="760" t="n"/>
      <c r="C1097" s="762" t="n"/>
      <c r="D1097" s="762" t="n"/>
      <c r="E1097" s="775" t="n"/>
      <c r="F1097" s="821" t="n"/>
      <c r="G1097" s="821" t="n"/>
      <c r="H1097" s="818">
        <f>IF(G1097=1,F1097-I1097-J1097-K1097,IF(G1097=2,F1097,0))</f>
        <v>0</v>
      </c>
      <c r="I1097" s="818">
        <f>ROUND(IF(G1097=1,F1097*10/23,IF(G1097=3,F1097-J1097-K1097,IF(G1097=4,F1097,IF(G1097=5,F1097*10/11,IF(G1097=7,F1097*10/11,0))))),0)</f>
        <v>0</v>
      </c>
      <c r="J1097" s="818">
        <f>ROUND(IF(G1097=1,F1097/23,IF(G1097=3,F1097/12,IF(G1097=5,F1097-I1097,IF(G1097=8,F1097,0)))),0)</f>
        <v>0</v>
      </c>
      <c r="K1097" s="819">
        <f>ROUND(IF(G1097=1,F1097/23,IF(G1097=3,F1097/12,IF(G1097=6,F1097,IF(G1097=7,F1097-I1097,0)))),0)</f>
        <v>0</v>
      </c>
      <c r="L1097" s="820">
        <f>IF(G1097=6,F1097,0)</f>
        <v>0</v>
      </c>
      <c r="P1097" s="768" t="n"/>
      <c r="Q1097" s="769" t="str">
        <f>IF($F1097="","",IFERROR(VLOOKUP($C1097&amp;"|"&amp;$D1097,科目表!$A$5:$B$200,2,FALSE),"※未登録"))</f>
        <v/>
      </c>
      <c r="R1097" s="769" t="str">
        <f>IF($F1097="","",$I1097+$J1097+$K1097)</f>
        <v/>
      </c>
      <c r="S1097" s="769" t="str">
        <f>IF(OR($F1097="",$P1097="支払なし",$H1097=0,$Q1097=""),"",$Q1097&amp;"|S|"&amp;(COUNTIF(S$4:S1096,$Q1097&amp;"|S|*")+1))</f>
        <v/>
      </c>
      <c r="T1097" s="769" t="str">
        <f>IF(OR($F1097="",$P1097="支払なし",$R1097=0,$Q1097=""),"",$Q1097&amp;"|L|"&amp;(COUNTIF(T$4:T1096,$Q1097&amp;"|L|*")+1))</f>
        <v/>
      </c>
      <c r="U1097" s="769" t="str">
        <f>IF($F1097="","",13)</f>
        <v/>
      </c>
    </row>
    <row r="1098" ht="16.5" customHeight="1" s="186">
      <c r="A1098" s="760" t="n"/>
      <c r="B1098" s="760" t="n"/>
      <c r="C1098" s="762" t="n"/>
      <c r="D1098" s="762" t="n"/>
      <c r="E1098" s="775" t="n"/>
      <c r="F1098" s="821" t="n"/>
      <c r="G1098" s="821" t="n"/>
      <c r="H1098" s="818">
        <f>IF(G1098=1,F1098-I1098-J1098-K1098,IF(G1098=2,F1098,0))</f>
        <v>0</v>
      </c>
      <c r="I1098" s="818">
        <f>ROUND(IF(G1098=1,F1098*10/23,IF(G1098=3,F1098-J1098-K1098,IF(G1098=4,F1098,IF(G1098=5,F1098*10/11,IF(G1098=7,F1098*10/11,0))))),0)</f>
        <v>0</v>
      </c>
      <c r="J1098" s="818">
        <f>ROUND(IF(G1098=1,F1098/23,IF(G1098=3,F1098/12,IF(G1098=5,F1098-I1098,IF(G1098=8,F1098,0)))),0)</f>
        <v>0</v>
      </c>
      <c r="K1098" s="819">
        <f>ROUND(IF(G1098=1,F1098/23,IF(G1098=3,F1098/12,IF(G1098=6,F1098,IF(G1098=7,F1098-I1098,0)))),0)</f>
        <v>0</v>
      </c>
      <c r="L1098" s="820">
        <f>IF(G1098=6,F1098,0)</f>
        <v>0</v>
      </c>
      <c r="P1098" s="768" t="n"/>
      <c r="Q1098" s="769" t="str">
        <f>IF($F1098="","",IFERROR(VLOOKUP($C1098&amp;"|"&amp;$D1098,科目表!$A$5:$B$200,2,FALSE),"※未登録"))</f>
        <v/>
      </c>
      <c r="R1098" s="769" t="str">
        <f>IF($F1098="","",$I1098+$J1098+$K1098)</f>
        <v/>
      </c>
      <c r="S1098" s="769" t="str">
        <f>IF(OR($F1098="",$P1098="支払なし",$H1098=0,$Q1098=""),"",$Q1098&amp;"|S|"&amp;(COUNTIF(S$4:S1097,$Q1098&amp;"|S|*")+1))</f>
        <v/>
      </c>
      <c r="T1098" s="769" t="str">
        <f>IF(OR($F1098="",$P1098="支払なし",$R1098=0,$Q1098=""),"",$Q1098&amp;"|L|"&amp;(COUNTIF(T$4:T1097,$Q1098&amp;"|L|*")+1))</f>
        <v/>
      </c>
      <c r="U1098" s="769" t="str">
        <f>IF($F1098="","",13)</f>
        <v/>
      </c>
    </row>
    <row r="1099" ht="16.5" customHeight="1" s="186">
      <c r="A1099" s="760" t="n"/>
      <c r="B1099" s="760" t="n"/>
      <c r="C1099" s="762" t="n"/>
      <c r="D1099" s="762" t="n"/>
      <c r="E1099" s="775" t="n"/>
      <c r="F1099" s="821" t="n"/>
      <c r="G1099" s="821" t="n"/>
      <c r="H1099" s="818">
        <f>IF(G1099=1,F1099-I1099-J1099-K1099,IF(G1099=2,F1099,0))</f>
        <v>0</v>
      </c>
      <c r="I1099" s="818">
        <f>ROUND(IF(G1099=1,F1099*10/23,IF(G1099=3,F1099-J1099-K1099,IF(G1099=4,F1099,IF(G1099=5,F1099*10/11,IF(G1099=7,F1099*10/11,0))))),0)</f>
        <v>0</v>
      </c>
      <c r="J1099" s="818">
        <f>ROUND(IF(G1099=1,F1099/23,IF(G1099=3,F1099/12,IF(G1099=5,F1099-I1099,IF(G1099=8,F1099,0)))),0)</f>
        <v>0</v>
      </c>
      <c r="K1099" s="819">
        <f>ROUND(IF(G1099=1,F1099/23,IF(G1099=3,F1099/12,IF(G1099=6,F1099,IF(G1099=7,F1099-I1099,0)))),0)</f>
        <v>0</v>
      </c>
      <c r="L1099" s="820">
        <f>IF(G1099=6,F1099,0)</f>
        <v>0</v>
      </c>
      <c r="P1099" s="768" t="n"/>
      <c r="Q1099" s="769" t="str">
        <f>IF($F1099="","",IFERROR(VLOOKUP($C1099&amp;"|"&amp;$D1099,科目表!$A$5:$B$200,2,FALSE),"※未登録"))</f>
        <v/>
      </c>
      <c r="R1099" s="769" t="str">
        <f>IF($F1099="","",$I1099+$J1099+$K1099)</f>
        <v/>
      </c>
      <c r="S1099" s="769" t="str">
        <f>IF(OR($F1099="",$P1099="支払なし",$H1099=0,$Q1099=""),"",$Q1099&amp;"|S|"&amp;(COUNTIF(S$4:S1098,$Q1099&amp;"|S|*")+1))</f>
        <v/>
      </c>
      <c r="T1099" s="769" t="str">
        <f>IF(OR($F1099="",$P1099="支払なし",$R1099=0,$Q1099=""),"",$Q1099&amp;"|L|"&amp;(COUNTIF(T$4:T1098,$Q1099&amp;"|L|*")+1))</f>
        <v/>
      </c>
      <c r="U1099" s="769" t="str">
        <f>IF($F1099="","",13)</f>
        <v/>
      </c>
    </row>
    <row r="1100" ht="16.5" customHeight="1" s="186">
      <c r="A1100" s="760" t="n"/>
      <c r="B1100" s="760" t="n"/>
      <c r="C1100" s="762" t="n"/>
      <c r="D1100" s="762" t="n"/>
      <c r="E1100" s="775" t="n"/>
      <c r="F1100" s="821" t="n"/>
      <c r="G1100" s="821" t="n"/>
      <c r="H1100" s="818">
        <f>IF(G1100=1,F1100-I1100-J1100-K1100,IF(G1100=2,F1100,0))</f>
        <v>0</v>
      </c>
      <c r="I1100" s="818">
        <f>ROUND(IF(G1100=1,F1100*10/23,IF(G1100=3,F1100-J1100-K1100,IF(G1100=4,F1100,IF(G1100=5,F1100*10/11,IF(G1100=7,F1100*10/11,0))))),0)</f>
        <v>0</v>
      </c>
      <c r="J1100" s="818">
        <f>ROUND(IF(G1100=1,F1100/23,IF(G1100=3,F1100/12,IF(G1100=5,F1100-I1100,IF(G1100=8,F1100,0)))),0)</f>
        <v>0</v>
      </c>
      <c r="K1100" s="819">
        <f>ROUND(IF(G1100=1,F1100/23,IF(G1100=3,F1100/12,IF(G1100=6,F1100,IF(G1100=7,F1100-I1100,0)))),0)</f>
        <v>0</v>
      </c>
      <c r="L1100" s="820">
        <f>IF(G1100=6,F1100,0)</f>
        <v>0</v>
      </c>
      <c r="P1100" s="768" t="n"/>
      <c r="Q1100" s="769" t="str">
        <f>IF($F1100="","",IFERROR(VLOOKUP($C1100&amp;"|"&amp;$D1100,科目表!$A$5:$B$200,2,FALSE),"※未登録"))</f>
        <v/>
      </c>
      <c r="R1100" s="769" t="str">
        <f>IF($F1100="","",$I1100+$J1100+$K1100)</f>
        <v/>
      </c>
      <c r="S1100" s="769" t="str">
        <f>IF(OR($F1100="",$P1100="支払なし",$H1100=0,$Q1100=""),"",$Q1100&amp;"|S|"&amp;(COUNTIF(S$4:S1099,$Q1100&amp;"|S|*")+1))</f>
        <v/>
      </c>
      <c r="T1100" s="769" t="str">
        <f>IF(OR($F1100="",$P1100="支払なし",$R1100=0,$Q1100=""),"",$Q1100&amp;"|L|"&amp;(COUNTIF(T$4:T1099,$Q1100&amp;"|L|*")+1))</f>
        <v/>
      </c>
      <c r="U1100" s="769" t="str">
        <f>IF($F1100="","",13)</f>
        <v/>
      </c>
    </row>
    <row r="1101" ht="16.5" customHeight="1" s="186">
      <c r="A1101" s="760" t="n"/>
      <c r="B1101" s="760" t="n"/>
      <c r="C1101" s="762" t="n"/>
      <c r="D1101" s="762" t="n"/>
      <c r="E1101" s="775" t="n"/>
      <c r="F1101" s="821" t="n"/>
      <c r="G1101" s="821" t="n"/>
      <c r="H1101" s="818">
        <f>IF(G1101=1,F1101-I1101-J1101-K1101,IF(G1101=2,F1101,0))</f>
        <v>0</v>
      </c>
      <c r="I1101" s="818">
        <f>ROUND(IF(G1101=1,F1101*10/23,IF(G1101=3,F1101-J1101-K1101,IF(G1101=4,F1101,IF(G1101=5,F1101*10/11,IF(G1101=7,F1101*10/11,0))))),0)</f>
        <v>0</v>
      </c>
      <c r="J1101" s="818">
        <f>ROUND(IF(G1101=1,F1101/23,IF(G1101=3,F1101/12,IF(G1101=5,F1101-I1101,IF(G1101=8,F1101,0)))),0)</f>
        <v>0</v>
      </c>
      <c r="K1101" s="819">
        <f>ROUND(IF(G1101=1,F1101/23,IF(G1101=3,F1101/12,IF(G1101=6,F1101,IF(G1101=7,F1101-I1101,0)))),0)</f>
        <v>0</v>
      </c>
      <c r="L1101" s="820">
        <f>IF(G1101=6,F1101,0)</f>
        <v>0</v>
      </c>
      <c r="P1101" s="768" t="n"/>
      <c r="Q1101" s="769" t="str">
        <f>IF($F1101="","",IFERROR(VLOOKUP($C1101&amp;"|"&amp;$D1101,科目表!$A$5:$B$200,2,FALSE),"※未登録"))</f>
        <v/>
      </c>
      <c r="R1101" s="769" t="str">
        <f>IF($F1101="","",$I1101+$J1101+$K1101)</f>
        <v/>
      </c>
      <c r="S1101" s="769" t="str">
        <f>IF(OR($F1101="",$P1101="支払なし",$H1101=0,$Q1101=""),"",$Q1101&amp;"|S|"&amp;(COUNTIF(S$4:S1100,$Q1101&amp;"|S|*")+1))</f>
        <v/>
      </c>
      <c r="T1101" s="769" t="str">
        <f>IF(OR($F1101="",$P1101="支払なし",$R1101=0,$Q1101=""),"",$Q1101&amp;"|L|"&amp;(COUNTIF(T$4:T1100,$Q1101&amp;"|L|*")+1))</f>
        <v/>
      </c>
      <c r="U1101" s="769" t="str">
        <f>IF($F1101="","",13)</f>
        <v/>
      </c>
    </row>
    <row r="1102" ht="16.5" customHeight="1" s="186">
      <c r="A1102" s="760" t="n"/>
      <c r="B1102" s="760" t="n"/>
      <c r="C1102" s="762" t="n"/>
      <c r="D1102" s="762" t="n"/>
      <c r="E1102" s="775" t="n"/>
      <c r="F1102" s="821" t="n"/>
      <c r="G1102" s="821" t="n"/>
      <c r="H1102" s="818">
        <f>IF(G1102=1,F1102-I1102-J1102-K1102,IF(G1102=2,F1102,0))</f>
        <v>0</v>
      </c>
      <c r="I1102" s="818">
        <f>ROUND(IF(G1102=1,F1102*10/23,IF(G1102=3,F1102-J1102-K1102,IF(G1102=4,F1102,IF(G1102=5,F1102*10/11,IF(G1102=7,F1102*10/11,0))))),0)</f>
        <v>0</v>
      </c>
      <c r="J1102" s="818">
        <f>ROUND(IF(G1102=1,F1102/23,IF(G1102=3,F1102/12,IF(G1102=5,F1102-I1102,IF(G1102=8,F1102,0)))),0)</f>
        <v>0</v>
      </c>
      <c r="K1102" s="819">
        <f>ROUND(IF(G1102=1,F1102/23,IF(G1102=3,F1102/12,IF(G1102=6,F1102,IF(G1102=7,F1102-I1102,0)))),0)</f>
        <v>0</v>
      </c>
      <c r="L1102" s="820">
        <f>IF(G1102=6,F1102,0)</f>
        <v>0</v>
      </c>
      <c r="P1102" s="768" t="n"/>
      <c r="Q1102" s="769" t="str">
        <f>IF($F1102="","",IFERROR(VLOOKUP($C1102&amp;"|"&amp;$D1102,科目表!$A$5:$B$200,2,FALSE),"※未登録"))</f>
        <v/>
      </c>
      <c r="R1102" s="769" t="str">
        <f>IF($F1102="","",$I1102+$J1102+$K1102)</f>
        <v/>
      </c>
      <c r="S1102" s="769" t="str">
        <f>IF(OR($F1102="",$P1102="支払なし",$H1102=0,$Q1102=""),"",$Q1102&amp;"|S|"&amp;(COUNTIF(S$4:S1101,$Q1102&amp;"|S|*")+1))</f>
        <v/>
      </c>
      <c r="T1102" s="769" t="str">
        <f>IF(OR($F1102="",$P1102="支払なし",$R1102=0,$Q1102=""),"",$Q1102&amp;"|L|"&amp;(COUNTIF(T$4:T1101,$Q1102&amp;"|L|*")+1))</f>
        <v/>
      </c>
      <c r="U1102" s="769" t="str">
        <f>IF($F1102="","",13)</f>
        <v/>
      </c>
    </row>
    <row r="1103" ht="16.5" customHeight="1" s="186">
      <c r="A1103" s="760" t="n"/>
      <c r="B1103" s="760" t="n"/>
      <c r="C1103" s="762" t="n"/>
      <c r="D1103" s="762" t="n"/>
      <c r="E1103" s="775" t="n"/>
      <c r="F1103" s="821" t="n"/>
      <c r="G1103" s="821" t="n"/>
      <c r="H1103" s="818">
        <f>IF(G1103=1,F1103-I1103-J1103-K1103,IF(G1103=2,F1103,0))</f>
        <v>0</v>
      </c>
      <c r="I1103" s="818">
        <f>ROUND(IF(G1103=1,F1103*10/23,IF(G1103=3,F1103-J1103-K1103,IF(G1103=4,F1103,IF(G1103=5,F1103*10/11,IF(G1103=7,F1103*10/11,0))))),0)</f>
        <v>0</v>
      </c>
      <c r="J1103" s="818">
        <f>ROUND(IF(G1103=1,F1103/23,IF(G1103=3,F1103/12,IF(G1103=5,F1103-I1103,IF(G1103=8,F1103,0)))),0)</f>
        <v>0</v>
      </c>
      <c r="K1103" s="819">
        <f>ROUND(IF(G1103=1,F1103/23,IF(G1103=3,F1103/12,IF(G1103=6,F1103,IF(G1103=7,F1103-I1103,0)))),0)</f>
        <v>0</v>
      </c>
      <c r="L1103" s="820">
        <f>IF(G1103=6,F1103,0)</f>
        <v>0</v>
      </c>
      <c r="P1103" s="768" t="n"/>
      <c r="Q1103" s="769" t="str">
        <f>IF($F1103="","",IFERROR(VLOOKUP($C1103&amp;"|"&amp;$D1103,科目表!$A$5:$B$200,2,FALSE),"※未登録"))</f>
        <v/>
      </c>
      <c r="R1103" s="769" t="str">
        <f>IF($F1103="","",$I1103+$J1103+$K1103)</f>
        <v/>
      </c>
      <c r="S1103" s="769" t="str">
        <f>IF(OR($F1103="",$P1103="支払なし",$H1103=0,$Q1103=""),"",$Q1103&amp;"|S|"&amp;(COUNTIF(S$4:S1102,$Q1103&amp;"|S|*")+1))</f>
        <v/>
      </c>
      <c r="T1103" s="769" t="str">
        <f>IF(OR($F1103="",$P1103="支払なし",$R1103=0,$Q1103=""),"",$Q1103&amp;"|L|"&amp;(COUNTIF(T$4:T1102,$Q1103&amp;"|L|*")+1))</f>
        <v/>
      </c>
      <c r="U1103" s="769" t="str">
        <f>IF($F1103="","",13)</f>
        <v/>
      </c>
    </row>
    <row r="1104" ht="16.5" customHeight="1" s="186">
      <c r="A1104" s="760" t="n"/>
      <c r="B1104" s="760" t="n"/>
      <c r="C1104" s="762" t="n"/>
      <c r="D1104" s="762" t="n"/>
      <c r="E1104" s="775" t="n"/>
      <c r="F1104" s="821" t="n"/>
      <c r="G1104" s="821" t="n"/>
      <c r="H1104" s="818">
        <f>IF(G1104=1,F1104-I1104-J1104-K1104,IF(G1104=2,F1104,0))</f>
        <v>0</v>
      </c>
      <c r="I1104" s="818">
        <f>ROUND(IF(G1104=1,F1104*10/23,IF(G1104=3,F1104-J1104-K1104,IF(G1104=4,F1104,IF(G1104=5,F1104*10/11,IF(G1104=7,F1104*10/11,0))))),0)</f>
        <v>0</v>
      </c>
      <c r="J1104" s="818">
        <f>ROUND(IF(G1104=1,F1104/23,IF(G1104=3,F1104/12,IF(G1104=5,F1104-I1104,IF(G1104=8,F1104,0)))),0)</f>
        <v>0</v>
      </c>
      <c r="K1104" s="819">
        <f>ROUND(IF(G1104=1,F1104/23,IF(G1104=3,F1104/12,IF(G1104=6,F1104,IF(G1104=7,F1104-I1104,0)))),0)</f>
        <v>0</v>
      </c>
      <c r="L1104" s="820">
        <f>IF(G1104=6,F1104,0)</f>
        <v>0</v>
      </c>
      <c r="P1104" s="768" t="n"/>
      <c r="Q1104" s="769" t="str">
        <f>IF($F1104="","",IFERROR(VLOOKUP($C1104&amp;"|"&amp;$D1104,科目表!$A$5:$B$200,2,FALSE),"※未登録"))</f>
        <v/>
      </c>
      <c r="R1104" s="769" t="str">
        <f>IF($F1104="","",$I1104+$J1104+$K1104)</f>
        <v/>
      </c>
      <c r="S1104" s="769" t="str">
        <f>IF(OR($F1104="",$P1104="支払なし",$H1104=0,$Q1104=""),"",$Q1104&amp;"|S|"&amp;(COUNTIF(S$4:S1103,$Q1104&amp;"|S|*")+1))</f>
        <v/>
      </c>
      <c r="T1104" s="769" t="str">
        <f>IF(OR($F1104="",$P1104="支払なし",$R1104=0,$Q1104=""),"",$Q1104&amp;"|L|"&amp;(COUNTIF(T$4:T1103,$Q1104&amp;"|L|*")+1))</f>
        <v/>
      </c>
      <c r="U1104" s="769" t="str">
        <f>IF($F1104="","",13)</f>
        <v/>
      </c>
    </row>
    <row r="1105" ht="16.5" customHeight="1" s="186">
      <c r="A1105" s="760" t="n"/>
      <c r="B1105" s="760" t="n"/>
      <c r="C1105" s="762" t="n"/>
      <c r="D1105" s="762" t="n"/>
      <c r="E1105" s="775" t="n"/>
      <c r="F1105" s="821" t="n"/>
      <c r="G1105" s="821" t="n"/>
      <c r="H1105" s="818">
        <f>IF(G1105=1,F1105-I1105-J1105-K1105,IF(G1105=2,F1105,0))</f>
        <v>0</v>
      </c>
      <c r="I1105" s="818">
        <f>ROUND(IF(G1105=1,F1105*10/23,IF(G1105=3,F1105-J1105-K1105,IF(G1105=4,F1105,IF(G1105=5,F1105*10/11,IF(G1105=7,F1105*10/11,0))))),0)</f>
        <v>0</v>
      </c>
      <c r="J1105" s="818">
        <f>ROUND(IF(G1105=1,F1105/23,IF(G1105=3,F1105/12,IF(G1105=5,F1105-I1105,IF(G1105=8,F1105,0)))),0)</f>
        <v>0</v>
      </c>
      <c r="K1105" s="819">
        <f>ROUND(IF(G1105=1,F1105/23,IF(G1105=3,F1105/12,IF(G1105=6,F1105,IF(G1105=7,F1105-I1105,0)))),0)</f>
        <v>0</v>
      </c>
      <c r="L1105" s="820">
        <f>IF(G1105=6,F1105,0)</f>
        <v>0</v>
      </c>
      <c r="P1105" s="768" t="n"/>
      <c r="Q1105" s="769" t="str">
        <f>IF($F1105="","",IFERROR(VLOOKUP($C1105&amp;"|"&amp;$D1105,科目表!$A$5:$B$200,2,FALSE),"※未登録"))</f>
        <v/>
      </c>
      <c r="R1105" s="769" t="str">
        <f>IF($F1105="","",$I1105+$J1105+$K1105)</f>
        <v/>
      </c>
      <c r="S1105" s="769" t="str">
        <f>IF(OR($F1105="",$P1105="支払なし",$H1105=0,$Q1105=""),"",$Q1105&amp;"|S|"&amp;(COUNTIF(S$4:S1104,$Q1105&amp;"|S|*")+1))</f>
        <v/>
      </c>
      <c r="T1105" s="769" t="str">
        <f>IF(OR($F1105="",$P1105="支払なし",$R1105=0,$Q1105=""),"",$Q1105&amp;"|L|"&amp;(COUNTIF(T$4:T1104,$Q1105&amp;"|L|*")+1))</f>
        <v/>
      </c>
      <c r="U1105" s="769" t="str">
        <f>IF($F1105="","",13)</f>
        <v/>
      </c>
    </row>
    <row r="1106" ht="16.5" customHeight="1" s="186">
      <c r="A1106" s="760" t="n"/>
      <c r="B1106" s="760" t="n"/>
      <c r="C1106" s="762" t="n"/>
      <c r="D1106" s="762" t="n"/>
      <c r="E1106" s="775" t="n"/>
      <c r="F1106" s="821" t="n"/>
      <c r="G1106" s="821" t="n"/>
      <c r="H1106" s="818">
        <f>IF(G1106=1,F1106-I1106-J1106-K1106,IF(G1106=2,F1106,0))</f>
        <v>0</v>
      </c>
      <c r="I1106" s="818">
        <f>ROUND(IF(G1106=1,F1106*10/23,IF(G1106=3,F1106-J1106-K1106,IF(G1106=4,F1106,IF(G1106=5,F1106*10/11,IF(G1106=7,F1106*10/11,0))))),0)</f>
        <v>0</v>
      </c>
      <c r="J1106" s="818">
        <f>ROUND(IF(G1106=1,F1106/23,IF(G1106=3,F1106/12,IF(G1106=5,F1106-I1106,IF(G1106=8,F1106,0)))),0)</f>
        <v>0</v>
      </c>
      <c r="K1106" s="819">
        <f>ROUND(IF(G1106=1,F1106/23,IF(G1106=3,F1106/12,IF(G1106=6,F1106,IF(G1106=7,F1106-I1106,0)))),0)</f>
        <v>0</v>
      </c>
      <c r="L1106" s="820">
        <f>IF(G1106=6,F1106,0)</f>
        <v>0</v>
      </c>
      <c r="P1106" s="768" t="n"/>
      <c r="Q1106" s="769" t="str">
        <f>IF($F1106="","",IFERROR(VLOOKUP($C1106&amp;"|"&amp;$D1106,科目表!$A$5:$B$200,2,FALSE),"※未登録"))</f>
        <v/>
      </c>
      <c r="R1106" s="769" t="str">
        <f>IF($F1106="","",$I1106+$J1106+$K1106)</f>
        <v/>
      </c>
      <c r="S1106" s="769" t="str">
        <f>IF(OR($F1106="",$P1106="支払なし",$H1106=0,$Q1106=""),"",$Q1106&amp;"|S|"&amp;(COUNTIF(S$4:S1105,$Q1106&amp;"|S|*")+1))</f>
        <v/>
      </c>
      <c r="T1106" s="769" t="str">
        <f>IF(OR($F1106="",$P1106="支払なし",$R1106=0,$Q1106=""),"",$Q1106&amp;"|L|"&amp;(COUNTIF(T$4:T1105,$Q1106&amp;"|L|*")+1))</f>
        <v/>
      </c>
      <c r="U1106" s="769" t="str">
        <f>IF($F1106="","",13)</f>
        <v/>
      </c>
    </row>
    <row r="1107" ht="16.5" customHeight="1" s="186">
      <c r="A1107" s="760" t="n"/>
      <c r="B1107" s="760" t="n"/>
      <c r="C1107" s="762" t="n"/>
      <c r="D1107" s="762" t="n"/>
      <c r="E1107" s="775" t="n"/>
      <c r="F1107" s="821" t="n"/>
      <c r="G1107" s="821" t="n"/>
      <c r="H1107" s="818">
        <f>IF(G1107=1,F1107-I1107-J1107-K1107,IF(G1107=2,F1107,0))</f>
        <v>0</v>
      </c>
      <c r="I1107" s="818">
        <f>ROUND(IF(G1107=1,F1107*10/23,IF(G1107=3,F1107-J1107-K1107,IF(G1107=4,F1107,IF(G1107=5,F1107*10/11,IF(G1107=7,F1107*10/11,0))))),0)</f>
        <v>0</v>
      </c>
      <c r="J1107" s="818">
        <f>ROUND(IF(G1107=1,F1107/23,IF(G1107=3,F1107/12,IF(G1107=5,F1107-I1107,IF(G1107=8,F1107,0)))),0)</f>
        <v>0</v>
      </c>
      <c r="K1107" s="819">
        <f>ROUND(IF(G1107=1,F1107/23,IF(G1107=3,F1107/12,IF(G1107=6,F1107,IF(G1107=7,F1107-I1107,0)))),0)</f>
        <v>0</v>
      </c>
      <c r="L1107" s="820">
        <f>IF(G1107=6,F1107,0)</f>
        <v>0</v>
      </c>
      <c r="P1107" s="768" t="n"/>
      <c r="Q1107" s="769" t="str">
        <f>IF($F1107="","",IFERROR(VLOOKUP($C1107&amp;"|"&amp;$D1107,科目表!$A$5:$B$200,2,FALSE),"※未登録"))</f>
        <v/>
      </c>
      <c r="R1107" s="769" t="str">
        <f>IF($F1107="","",$I1107+$J1107+$K1107)</f>
        <v/>
      </c>
      <c r="S1107" s="769" t="str">
        <f>IF(OR($F1107="",$P1107="支払なし",$H1107=0,$Q1107=""),"",$Q1107&amp;"|S|"&amp;(COUNTIF(S$4:S1106,$Q1107&amp;"|S|*")+1))</f>
        <v/>
      </c>
      <c r="T1107" s="769" t="str">
        <f>IF(OR($F1107="",$P1107="支払なし",$R1107=0,$Q1107=""),"",$Q1107&amp;"|L|"&amp;(COUNTIF(T$4:T1106,$Q1107&amp;"|L|*")+1))</f>
        <v/>
      </c>
      <c r="U1107" s="769" t="str">
        <f>IF($F1107="","",13)</f>
        <v/>
      </c>
    </row>
    <row r="1108" ht="16.5" customHeight="1" s="186">
      <c r="A1108" s="760" t="n"/>
      <c r="B1108" s="760" t="n"/>
      <c r="C1108" s="762" t="n"/>
      <c r="D1108" s="762" t="n"/>
      <c r="E1108" s="775" t="n"/>
      <c r="F1108" s="821" t="n"/>
      <c r="G1108" s="821" t="n"/>
      <c r="H1108" s="818">
        <f>IF(G1108=1,F1108-I1108-J1108-K1108,IF(G1108=2,F1108,0))</f>
        <v>0</v>
      </c>
      <c r="I1108" s="818">
        <f>ROUND(IF(G1108=1,F1108*10/23,IF(G1108=3,F1108-J1108-K1108,IF(G1108=4,F1108,IF(G1108=5,F1108*10/11,IF(G1108=7,F1108*10/11,0))))),0)</f>
        <v>0</v>
      </c>
      <c r="J1108" s="818">
        <f>ROUND(IF(G1108=1,F1108/23,IF(G1108=3,F1108/12,IF(G1108=5,F1108-I1108,IF(G1108=8,F1108,0)))),0)</f>
        <v>0</v>
      </c>
      <c r="K1108" s="819">
        <f>ROUND(IF(G1108=1,F1108/23,IF(G1108=3,F1108/12,IF(G1108=6,F1108,IF(G1108=7,F1108-I1108,0)))),0)</f>
        <v>0</v>
      </c>
      <c r="L1108" s="820">
        <f>IF(G1108=6,F1108,0)</f>
        <v>0</v>
      </c>
      <c r="P1108" s="768" t="n"/>
      <c r="Q1108" s="769" t="str">
        <f>IF($F1108="","",IFERROR(VLOOKUP($C1108&amp;"|"&amp;$D1108,科目表!$A$5:$B$200,2,FALSE),"※未登録"))</f>
        <v/>
      </c>
      <c r="R1108" s="769" t="str">
        <f>IF($F1108="","",$I1108+$J1108+$K1108)</f>
        <v/>
      </c>
      <c r="S1108" s="769" t="str">
        <f>IF(OR($F1108="",$P1108="支払なし",$H1108=0,$Q1108=""),"",$Q1108&amp;"|S|"&amp;(COUNTIF(S$4:S1107,$Q1108&amp;"|S|*")+1))</f>
        <v/>
      </c>
      <c r="T1108" s="769" t="str">
        <f>IF(OR($F1108="",$P1108="支払なし",$R1108=0,$Q1108=""),"",$Q1108&amp;"|L|"&amp;(COUNTIF(T$4:T1107,$Q1108&amp;"|L|*")+1))</f>
        <v/>
      </c>
      <c r="U1108" s="769" t="str">
        <f>IF($F1108="","",13)</f>
        <v/>
      </c>
    </row>
    <row r="1109" ht="16.5" customHeight="1" s="186">
      <c r="A1109" s="760" t="n"/>
      <c r="B1109" s="760" t="n"/>
      <c r="C1109" s="762" t="n"/>
      <c r="D1109" s="762" t="n"/>
      <c r="E1109" s="775" t="n"/>
      <c r="F1109" s="821" t="n"/>
      <c r="G1109" s="821" t="n"/>
      <c r="H1109" s="818">
        <f>IF(G1109=1,F1109-I1109-J1109-K1109,IF(G1109=2,F1109,0))</f>
        <v>0</v>
      </c>
      <c r="I1109" s="818">
        <f>ROUND(IF(G1109=1,F1109*10/23,IF(G1109=3,F1109-J1109-K1109,IF(G1109=4,F1109,IF(G1109=5,F1109*10/11,IF(G1109=7,F1109*10/11,0))))),0)</f>
        <v>0</v>
      </c>
      <c r="J1109" s="818">
        <f>ROUND(IF(G1109=1,F1109/23,IF(G1109=3,F1109/12,IF(G1109=5,F1109-I1109,IF(G1109=8,F1109,0)))),0)</f>
        <v>0</v>
      </c>
      <c r="K1109" s="819">
        <f>ROUND(IF(G1109=1,F1109/23,IF(G1109=3,F1109/12,IF(G1109=6,F1109,IF(G1109=7,F1109-I1109,0)))),0)</f>
        <v>0</v>
      </c>
      <c r="L1109" s="820">
        <f>IF(G1109=6,F1109,0)</f>
        <v>0</v>
      </c>
      <c r="P1109" s="768" t="n"/>
      <c r="Q1109" s="769" t="str">
        <f>IF($F1109="","",IFERROR(VLOOKUP($C1109&amp;"|"&amp;$D1109,科目表!$A$5:$B$200,2,FALSE),"※未登録"))</f>
        <v/>
      </c>
      <c r="R1109" s="769" t="str">
        <f>IF($F1109="","",$I1109+$J1109+$K1109)</f>
        <v/>
      </c>
      <c r="S1109" s="769" t="str">
        <f>IF(OR($F1109="",$P1109="支払なし",$H1109=0,$Q1109=""),"",$Q1109&amp;"|S|"&amp;(COUNTIF(S$4:S1108,$Q1109&amp;"|S|*")+1))</f>
        <v/>
      </c>
      <c r="T1109" s="769" t="str">
        <f>IF(OR($F1109="",$P1109="支払なし",$R1109=0,$Q1109=""),"",$Q1109&amp;"|L|"&amp;(COUNTIF(T$4:T1108,$Q1109&amp;"|L|*")+1))</f>
        <v/>
      </c>
      <c r="U1109" s="769" t="str">
        <f>IF($F1109="","",13)</f>
        <v/>
      </c>
    </row>
    <row r="1110" ht="16.5" customHeight="1" s="186">
      <c r="A1110" s="760" t="n"/>
      <c r="B1110" s="760" t="n"/>
      <c r="C1110" s="762" t="n"/>
      <c r="D1110" s="762" t="n"/>
      <c r="E1110" s="775" t="n"/>
      <c r="F1110" s="821" t="n"/>
      <c r="G1110" s="821" t="n"/>
      <c r="H1110" s="818">
        <f>IF(G1110=1,F1110-I1110-J1110-K1110,IF(G1110=2,F1110,0))</f>
        <v>0</v>
      </c>
      <c r="I1110" s="818">
        <f>ROUND(IF(G1110=1,F1110*10/23,IF(G1110=3,F1110-J1110-K1110,IF(G1110=4,F1110,IF(G1110=5,F1110*10/11,IF(G1110=7,F1110*10/11,0))))),0)</f>
        <v>0</v>
      </c>
      <c r="J1110" s="818">
        <f>ROUND(IF(G1110=1,F1110/23,IF(G1110=3,F1110/12,IF(G1110=5,F1110-I1110,IF(G1110=8,F1110,0)))),0)</f>
        <v>0</v>
      </c>
      <c r="K1110" s="819">
        <f>ROUND(IF(G1110=1,F1110/23,IF(G1110=3,F1110/12,IF(G1110=6,F1110,IF(G1110=7,F1110-I1110,0)))),0)</f>
        <v>0</v>
      </c>
      <c r="L1110" s="820">
        <f>IF(G1110=6,F1110,0)</f>
        <v>0</v>
      </c>
      <c r="P1110" s="768" t="n"/>
      <c r="Q1110" s="769" t="str">
        <f>IF($F1110="","",IFERROR(VLOOKUP($C1110&amp;"|"&amp;$D1110,科目表!$A$5:$B$200,2,FALSE),"※未登録"))</f>
        <v/>
      </c>
      <c r="R1110" s="769" t="str">
        <f>IF($F1110="","",$I1110+$J1110+$K1110)</f>
        <v/>
      </c>
      <c r="S1110" s="769" t="str">
        <f>IF(OR($F1110="",$P1110="支払なし",$H1110=0,$Q1110=""),"",$Q1110&amp;"|S|"&amp;(COUNTIF(S$4:S1109,$Q1110&amp;"|S|*")+1))</f>
        <v/>
      </c>
      <c r="T1110" s="769" t="str">
        <f>IF(OR($F1110="",$P1110="支払なし",$R1110=0,$Q1110=""),"",$Q1110&amp;"|L|"&amp;(COUNTIF(T$4:T1109,$Q1110&amp;"|L|*")+1))</f>
        <v/>
      </c>
      <c r="U1110" s="769" t="str">
        <f>IF($F1110="","",13)</f>
        <v/>
      </c>
    </row>
    <row r="1111" ht="16.5" customHeight="1" s="186">
      <c r="A1111" s="760" t="n"/>
      <c r="B1111" s="760" t="n"/>
      <c r="C1111" s="762" t="n"/>
      <c r="D1111" s="762" t="n"/>
      <c r="E1111" s="775" t="n"/>
      <c r="F1111" s="821" t="n"/>
      <c r="G1111" s="821" t="n"/>
      <c r="H1111" s="818">
        <f>IF(G1111=1,F1111-I1111-J1111-K1111,IF(G1111=2,F1111,0))</f>
        <v>0</v>
      </c>
      <c r="I1111" s="818">
        <f>ROUND(IF(G1111=1,F1111*10/23,IF(G1111=3,F1111-J1111-K1111,IF(G1111=4,F1111,IF(G1111=5,F1111*10/11,IF(G1111=7,F1111*10/11,0))))),0)</f>
        <v>0</v>
      </c>
      <c r="J1111" s="818">
        <f>ROUND(IF(G1111=1,F1111/23,IF(G1111=3,F1111/12,IF(G1111=5,F1111-I1111,IF(G1111=8,F1111,0)))),0)</f>
        <v>0</v>
      </c>
      <c r="K1111" s="819">
        <f>ROUND(IF(G1111=1,F1111/23,IF(G1111=3,F1111/12,IF(G1111=6,F1111,IF(G1111=7,F1111-I1111,0)))),0)</f>
        <v>0</v>
      </c>
      <c r="L1111" s="820">
        <f>IF(G1111=6,F1111,0)</f>
        <v>0</v>
      </c>
      <c r="P1111" s="768" t="n"/>
      <c r="Q1111" s="769" t="str">
        <f>IF($F1111="","",IFERROR(VLOOKUP($C1111&amp;"|"&amp;$D1111,科目表!$A$5:$B$200,2,FALSE),"※未登録"))</f>
        <v/>
      </c>
      <c r="R1111" s="769" t="str">
        <f>IF($F1111="","",$I1111+$J1111+$K1111)</f>
        <v/>
      </c>
      <c r="S1111" s="769" t="str">
        <f>IF(OR($F1111="",$P1111="支払なし",$H1111=0,$Q1111=""),"",$Q1111&amp;"|S|"&amp;(COUNTIF(S$4:S1110,$Q1111&amp;"|S|*")+1))</f>
        <v/>
      </c>
      <c r="T1111" s="769" t="str">
        <f>IF(OR($F1111="",$P1111="支払なし",$R1111=0,$Q1111=""),"",$Q1111&amp;"|L|"&amp;(COUNTIF(T$4:T1110,$Q1111&amp;"|L|*")+1))</f>
        <v/>
      </c>
      <c r="U1111" s="769" t="str">
        <f>IF($F1111="","",13)</f>
        <v/>
      </c>
    </row>
    <row r="1112" ht="16.5" customHeight="1" s="186">
      <c r="A1112" s="760" t="n"/>
      <c r="B1112" s="760" t="n"/>
      <c r="C1112" s="762" t="n"/>
      <c r="D1112" s="762" t="n"/>
      <c r="E1112" s="775" t="n"/>
      <c r="F1112" s="821" t="n"/>
      <c r="G1112" s="821" t="n"/>
      <c r="H1112" s="818">
        <f>IF(G1112=1,F1112-I1112-J1112-K1112,IF(G1112=2,F1112,0))</f>
        <v>0</v>
      </c>
      <c r="I1112" s="818">
        <f>ROUND(IF(G1112=1,F1112*10/23,IF(G1112=3,F1112-J1112-K1112,IF(G1112=4,F1112,IF(G1112=5,F1112*10/11,IF(G1112=7,F1112*10/11,0))))),0)</f>
        <v>0</v>
      </c>
      <c r="J1112" s="818">
        <f>ROUND(IF(G1112=1,F1112/23,IF(G1112=3,F1112/12,IF(G1112=5,F1112-I1112,IF(G1112=8,F1112,0)))),0)</f>
        <v>0</v>
      </c>
      <c r="K1112" s="819">
        <f>ROUND(IF(G1112=1,F1112/23,IF(G1112=3,F1112/12,IF(G1112=6,F1112,IF(G1112=7,F1112-I1112,0)))),0)</f>
        <v>0</v>
      </c>
      <c r="L1112" s="820">
        <f>IF(G1112=6,F1112,0)</f>
        <v>0</v>
      </c>
      <c r="P1112" s="768" t="n"/>
      <c r="Q1112" s="769" t="str">
        <f>IF($F1112="","",IFERROR(VLOOKUP($C1112&amp;"|"&amp;$D1112,科目表!$A$5:$B$200,2,FALSE),"※未登録"))</f>
        <v/>
      </c>
      <c r="R1112" s="769" t="str">
        <f>IF($F1112="","",$I1112+$J1112+$K1112)</f>
        <v/>
      </c>
      <c r="S1112" s="769" t="str">
        <f>IF(OR($F1112="",$P1112="支払なし",$H1112=0,$Q1112=""),"",$Q1112&amp;"|S|"&amp;(COUNTIF(S$4:S1111,$Q1112&amp;"|S|*")+1))</f>
        <v/>
      </c>
      <c r="T1112" s="769" t="str">
        <f>IF(OR($F1112="",$P1112="支払なし",$R1112=0,$Q1112=""),"",$Q1112&amp;"|L|"&amp;(COUNTIF(T$4:T1111,$Q1112&amp;"|L|*")+1))</f>
        <v/>
      </c>
      <c r="U1112" s="769" t="str">
        <f>IF($F1112="","",13)</f>
        <v/>
      </c>
    </row>
    <row r="1113" ht="16.5" customHeight="1" s="186">
      <c r="A1113" s="760" t="n"/>
      <c r="B1113" s="760" t="n"/>
      <c r="C1113" s="762" t="n"/>
      <c r="D1113" s="762" t="n"/>
      <c r="E1113" s="775" t="n"/>
      <c r="F1113" s="821" t="n"/>
      <c r="G1113" s="821" t="n"/>
      <c r="H1113" s="818">
        <f>IF(G1113=1,F1113-I1113-J1113-K1113,IF(G1113=2,F1113,0))</f>
        <v>0</v>
      </c>
      <c r="I1113" s="818">
        <f>ROUND(IF(G1113=1,F1113*10/23,IF(G1113=3,F1113-J1113-K1113,IF(G1113=4,F1113,IF(G1113=5,F1113*10/11,IF(G1113=7,F1113*10/11,0))))),0)</f>
        <v>0</v>
      </c>
      <c r="J1113" s="818">
        <f>ROUND(IF(G1113=1,F1113/23,IF(G1113=3,F1113/12,IF(G1113=5,F1113-I1113,IF(G1113=8,F1113,0)))),0)</f>
        <v>0</v>
      </c>
      <c r="K1113" s="819">
        <f>ROUND(IF(G1113=1,F1113/23,IF(G1113=3,F1113/12,IF(G1113=6,F1113,IF(G1113=7,F1113-I1113,0)))),0)</f>
        <v>0</v>
      </c>
      <c r="L1113" s="820">
        <f>IF(G1113=6,F1113,0)</f>
        <v>0</v>
      </c>
      <c r="P1113" s="768" t="n"/>
      <c r="Q1113" s="769" t="str">
        <f>IF($F1113="","",IFERROR(VLOOKUP($C1113&amp;"|"&amp;$D1113,科目表!$A$5:$B$200,2,FALSE),"※未登録"))</f>
        <v/>
      </c>
      <c r="R1113" s="769" t="str">
        <f>IF($F1113="","",$I1113+$J1113+$K1113)</f>
        <v/>
      </c>
      <c r="S1113" s="769" t="str">
        <f>IF(OR($F1113="",$P1113="支払なし",$H1113=0,$Q1113=""),"",$Q1113&amp;"|S|"&amp;(COUNTIF(S$4:S1112,$Q1113&amp;"|S|*")+1))</f>
        <v/>
      </c>
      <c r="T1113" s="769" t="str">
        <f>IF(OR($F1113="",$P1113="支払なし",$R1113=0,$Q1113=""),"",$Q1113&amp;"|L|"&amp;(COUNTIF(T$4:T1112,$Q1113&amp;"|L|*")+1))</f>
        <v/>
      </c>
      <c r="U1113" s="769" t="str">
        <f>IF($F1113="","",13)</f>
        <v/>
      </c>
    </row>
    <row r="1114" ht="16.5" customHeight="1" s="186">
      <c r="A1114" s="760" t="n"/>
      <c r="B1114" s="760" t="n"/>
      <c r="C1114" s="762" t="n"/>
      <c r="D1114" s="762" t="n"/>
      <c r="E1114" s="775" t="n"/>
      <c r="F1114" s="821" t="n"/>
      <c r="G1114" s="821" t="n"/>
      <c r="H1114" s="818">
        <f>IF(G1114=1,F1114-I1114-J1114-K1114,IF(G1114=2,F1114,0))</f>
        <v>0</v>
      </c>
      <c r="I1114" s="818">
        <f>ROUND(IF(G1114=1,F1114*10/23,IF(G1114=3,F1114-J1114-K1114,IF(G1114=4,F1114,IF(G1114=5,F1114*10/11,IF(G1114=7,F1114*10/11,0))))),0)</f>
        <v>0</v>
      </c>
      <c r="J1114" s="818">
        <f>ROUND(IF(G1114=1,F1114/23,IF(G1114=3,F1114/12,IF(G1114=5,F1114-I1114,IF(G1114=8,F1114,0)))),0)</f>
        <v>0</v>
      </c>
      <c r="K1114" s="819">
        <f>ROUND(IF(G1114=1,F1114/23,IF(G1114=3,F1114/12,IF(G1114=6,F1114,IF(G1114=7,F1114-I1114,0)))),0)</f>
        <v>0</v>
      </c>
      <c r="L1114" s="820">
        <f>IF(G1114=6,F1114,0)</f>
        <v>0</v>
      </c>
      <c r="P1114" s="768" t="n"/>
      <c r="Q1114" s="769" t="str">
        <f>IF($F1114="","",IFERROR(VLOOKUP($C1114&amp;"|"&amp;$D1114,科目表!$A$5:$B$200,2,FALSE),"※未登録"))</f>
        <v/>
      </c>
      <c r="R1114" s="769" t="str">
        <f>IF($F1114="","",$I1114+$J1114+$K1114)</f>
        <v/>
      </c>
      <c r="S1114" s="769" t="str">
        <f>IF(OR($F1114="",$P1114="支払なし",$H1114=0,$Q1114=""),"",$Q1114&amp;"|S|"&amp;(COUNTIF(S$4:S1113,$Q1114&amp;"|S|*")+1))</f>
        <v/>
      </c>
      <c r="T1114" s="769" t="str">
        <f>IF(OR($F1114="",$P1114="支払なし",$R1114=0,$Q1114=""),"",$Q1114&amp;"|L|"&amp;(COUNTIF(T$4:T1113,$Q1114&amp;"|L|*")+1))</f>
        <v/>
      </c>
      <c r="U1114" s="769" t="str">
        <f>IF($F1114="","",13)</f>
        <v/>
      </c>
    </row>
    <row r="1115" ht="16.5" customHeight="1" s="186">
      <c r="A1115" s="760" t="n"/>
      <c r="B1115" s="760" t="n"/>
      <c r="C1115" s="762" t="n"/>
      <c r="D1115" s="762" t="n"/>
      <c r="E1115" s="775" t="n"/>
      <c r="F1115" s="821" t="n"/>
      <c r="G1115" s="821" t="n"/>
      <c r="H1115" s="818">
        <f>IF(G1115=1,F1115-I1115-J1115-K1115,IF(G1115=2,F1115,0))</f>
        <v>0</v>
      </c>
      <c r="I1115" s="818">
        <f>ROUND(IF(G1115=1,F1115*10/23,IF(G1115=3,F1115-J1115-K1115,IF(G1115=4,F1115,IF(G1115=5,F1115*10/11,IF(G1115=7,F1115*10/11,0))))),0)</f>
        <v>0</v>
      </c>
      <c r="J1115" s="818">
        <f>ROUND(IF(G1115=1,F1115/23,IF(G1115=3,F1115/12,IF(G1115=5,F1115-I1115,IF(G1115=8,F1115,0)))),0)</f>
        <v>0</v>
      </c>
      <c r="K1115" s="819">
        <f>ROUND(IF(G1115=1,F1115/23,IF(G1115=3,F1115/12,IF(G1115=6,F1115,IF(G1115=7,F1115-I1115,0)))),0)</f>
        <v>0</v>
      </c>
      <c r="L1115" s="820">
        <f>IF(G1115=6,F1115,0)</f>
        <v>0</v>
      </c>
      <c r="P1115" s="768" t="n"/>
      <c r="Q1115" s="769" t="str">
        <f>IF($F1115="","",IFERROR(VLOOKUP($C1115&amp;"|"&amp;$D1115,科目表!$A$5:$B$200,2,FALSE),"※未登録"))</f>
        <v/>
      </c>
      <c r="R1115" s="769" t="str">
        <f>IF($F1115="","",$I1115+$J1115+$K1115)</f>
        <v/>
      </c>
      <c r="S1115" s="769" t="str">
        <f>IF(OR($F1115="",$P1115="支払なし",$H1115=0,$Q1115=""),"",$Q1115&amp;"|S|"&amp;(COUNTIF(S$4:S1114,$Q1115&amp;"|S|*")+1))</f>
        <v/>
      </c>
      <c r="T1115" s="769" t="str">
        <f>IF(OR($F1115="",$P1115="支払なし",$R1115=0,$Q1115=""),"",$Q1115&amp;"|L|"&amp;(COUNTIF(T$4:T1114,$Q1115&amp;"|L|*")+1))</f>
        <v/>
      </c>
      <c r="U1115" s="769" t="str">
        <f>IF($F1115="","",13)</f>
        <v/>
      </c>
    </row>
    <row r="1116" ht="16.5" customHeight="1" s="186">
      <c r="A1116" s="760" t="n"/>
      <c r="B1116" s="760" t="n"/>
      <c r="C1116" s="762" t="n"/>
      <c r="D1116" s="762" t="n"/>
      <c r="E1116" s="762" t="n"/>
      <c r="F1116" s="821" t="n"/>
      <c r="G1116" s="821" t="n"/>
      <c r="H1116" s="818">
        <f>IF(G1116=1,F1116-I1116-J1116-K1116,IF(G1116=2,F1116,0))</f>
        <v>0</v>
      </c>
      <c r="I1116" s="818">
        <f>ROUND(IF(G1116=1,F1116*10/23,IF(G1116=3,F1116-J1116-K1116,IF(G1116=4,F1116,IF(G1116=5,F1116*10/11,IF(G1116=7,F1116*10/11,0))))),0)</f>
        <v>0</v>
      </c>
      <c r="J1116" s="818">
        <f>ROUND(IF(G1116=1,F1116/23,IF(G1116=3,F1116/12,IF(G1116=5,F1116-I1116,IF(G1116=8,F1116,0)))),0)</f>
        <v>0</v>
      </c>
      <c r="K1116" s="819">
        <f>ROUND(IF(G1116=1,F1116/23,IF(G1116=3,F1116/12,IF(G1116=6,F1116,IF(G1116=7,F1116-I1116,0)))),0)</f>
        <v>0</v>
      </c>
      <c r="L1116" s="820">
        <f>IF(G1116=6,F1116,0)</f>
        <v>0</v>
      </c>
      <c r="P1116" s="768" t="n"/>
      <c r="Q1116" s="769" t="str">
        <f>IF($F1116="","",IFERROR(VLOOKUP($C1116&amp;"|"&amp;$D1116,科目表!$A$5:$B$200,2,FALSE),"※未登録"))</f>
        <v/>
      </c>
      <c r="R1116" s="769" t="str">
        <f>IF($F1116="","",$I1116+$J1116+$K1116)</f>
        <v/>
      </c>
      <c r="S1116" s="769" t="str">
        <f>IF(OR($F1116="",$P1116="支払なし",$H1116=0,$Q1116=""),"",$Q1116&amp;"|S|"&amp;(COUNTIF(S$4:S1115,$Q1116&amp;"|S|*")+1))</f>
        <v/>
      </c>
      <c r="T1116" s="769" t="str">
        <f>IF(OR($F1116="",$P1116="支払なし",$R1116=0,$Q1116=""),"",$Q1116&amp;"|L|"&amp;(COUNTIF(T$4:T1115,$Q1116&amp;"|L|*")+1))</f>
        <v/>
      </c>
      <c r="U1116" s="769" t="str">
        <f>IF($F1116="","",13)</f>
        <v/>
      </c>
    </row>
    <row r="1117" ht="16.5" customHeight="1" s="186">
      <c r="A1117" s="760" t="n"/>
      <c r="B1117" s="760" t="n"/>
      <c r="C1117" s="762" t="n"/>
      <c r="D1117" s="762" t="n"/>
      <c r="E1117" s="775" t="n"/>
      <c r="F1117" s="821" t="n"/>
      <c r="G1117" s="821" t="n"/>
      <c r="H1117" s="818">
        <f>IF(G1117=1,F1117-I1117-J1117-K1117,IF(G1117=2,F1117,0))</f>
        <v>0</v>
      </c>
      <c r="I1117" s="818">
        <f>ROUND(IF(G1117=1,F1117*10/23,IF(G1117=3,F1117-J1117-K1117,IF(G1117=4,F1117,IF(G1117=5,F1117*10/11,IF(G1117=7,F1117*10/11,0))))),0)</f>
        <v>0</v>
      </c>
      <c r="J1117" s="818">
        <f>ROUND(IF(G1117=1,F1117/23,IF(G1117=3,F1117/12,IF(G1117=5,F1117-I1117,IF(G1117=8,F1117,0)))),0)</f>
        <v>0</v>
      </c>
      <c r="K1117" s="819">
        <f>ROUND(IF(G1117=1,F1117/23,IF(G1117=3,F1117/12,IF(G1117=6,F1117,IF(G1117=7,F1117-I1117,0)))),0)</f>
        <v>0</v>
      </c>
      <c r="L1117" s="820">
        <f>IF(G1117=6,F1117,0)</f>
        <v>0</v>
      </c>
      <c r="P1117" s="768" t="n"/>
      <c r="Q1117" s="769" t="str">
        <f>IF($F1117="","",IFERROR(VLOOKUP($C1117&amp;"|"&amp;$D1117,科目表!$A$5:$B$200,2,FALSE),"※未登録"))</f>
        <v/>
      </c>
      <c r="R1117" s="769" t="str">
        <f>IF($F1117="","",$I1117+$J1117+$K1117)</f>
        <v/>
      </c>
      <c r="S1117" s="769" t="str">
        <f>IF(OR($F1117="",$P1117="支払なし",$H1117=0,$Q1117=""),"",$Q1117&amp;"|S|"&amp;(COUNTIF(S$4:S1116,$Q1117&amp;"|S|*")+1))</f>
        <v/>
      </c>
      <c r="T1117" s="769" t="str">
        <f>IF(OR($F1117="",$P1117="支払なし",$R1117=0,$Q1117=""),"",$Q1117&amp;"|L|"&amp;(COUNTIF(T$4:T1116,$Q1117&amp;"|L|*")+1))</f>
        <v/>
      </c>
      <c r="U1117" s="769" t="str">
        <f>IF($F1117="","",13)</f>
        <v/>
      </c>
    </row>
    <row r="1118" ht="16.5" customHeight="1" s="186">
      <c r="A1118" s="760" t="n"/>
      <c r="B1118" s="760" t="n"/>
      <c r="C1118" s="762" t="n"/>
      <c r="D1118" s="762" t="n"/>
      <c r="E1118" s="775" t="n"/>
      <c r="F1118" s="821" t="n"/>
      <c r="G1118" s="821" t="n"/>
      <c r="H1118" s="818">
        <f>IF(G1118=1,F1118-I1118-J1118-K1118,IF(G1118=2,F1118,0))</f>
        <v>0</v>
      </c>
      <c r="I1118" s="818">
        <f>ROUND(IF(G1118=1,F1118*10/23,IF(G1118=3,F1118-J1118-K1118,IF(G1118=4,F1118,IF(G1118=5,F1118*10/11,IF(G1118=7,F1118*10/11,0))))),0)</f>
        <v>0</v>
      </c>
      <c r="J1118" s="818">
        <f>ROUND(IF(G1118=1,F1118/23,IF(G1118=3,F1118/12,IF(G1118=5,F1118-I1118,IF(G1118=8,F1118,0)))),0)</f>
        <v>0</v>
      </c>
      <c r="K1118" s="819">
        <f>ROUND(IF(G1118=1,F1118/23,IF(G1118=3,F1118/12,IF(G1118=6,F1118,IF(G1118=7,F1118-I1118,0)))),0)</f>
        <v>0</v>
      </c>
      <c r="L1118" s="820">
        <f>IF(G1118=6,F1118,0)</f>
        <v>0</v>
      </c>
      <c r="P1118" s="768" t="n"/>
      <c r="Q1118" s="769" t="str">
        <f>IF($F1118="","",IFERROR(VLOOKUP($C1118&amp;"|"&amp;$D1118,科目表!$A$5:$B$200,2,FALSE),"※未登録"))</f>
        <v/>
      </c>
      <c r="R1118" s="769" t="str">
        <f>IF($F1118="","",$I1118+$J1118+$K1118)</f>
        <v/>
      </c>
      <c r="S1118" s="769" t="str">
        <f>IF(OR($F1118="",$P1118="支払なし",$H1118=0,$Q1118=""),"",$Q1118&amp;"|S|"&amp;(COUNTIF(S$4:S1117,$Q1118&amp;"|S|*")+1))</f>
        <v/>
      </c>
      <c r="T1118" s="769" t="str">
        <f>IF(OR($F1118="",$P1118="支払なし",$R1118=0,$Q1118=""),"",$Q1118&amp;"|L|"&amp;(COUNTIF(T$4:T1117,$Q1118&amp;"|L|*")+1))</f>
        <v/>
      </c>
      <c r="U1118" s="769" t="str">
        <f>IF($F1118="","",13)</f>
        <v/>
      </c>
    </row>
    <row r="1119" ht="16.5" customHeight="1" s="186">
      <c r="A1119" s="760" t="n"/>
      <c r="B1119" s="760" t="n"/>
      <c r="C1119" s="762" t="n"/>
      <c r="D1119" s="762" t="n"/>
      <c r="E1119" s="775" t="n"/>
      <c r="F1119" s="821" t="n"/>
      <c r="G1119" s="821" t="n"/>
      <c r="H1119" s="818">
        <f>IF(G1119=1,F1119-I1119-J1119-K1119,IF(G1119=2,F1119,0))</f>
        <v>0</v>
      </c>
      <c r="I1119" s="818">
        <f>ROUND(IF(G1119=1,F1119*10/23,IF(G1119=3,F1119-J1119-K1119,IF(G1119=4,F1119,IF(G1119=5,F1119*10/11,IF(G1119=7,F1119*10/11,0))))),0)</f>
        <v>0</v>
      </c>
      <c r="J1119" s="818">
        <f>ROUND(IF(G1119=1,F1119/23,IF(G1119=3,F1119/12,IF(G1119=5,F1119-I1119,IF(G1119=8,F1119,0)))),0)</f>
        <v>0</v>
      </c>
      <c r="K1119" s="819">
        <f>ROUND(IF(G1119=1,F1119/23,IF(G1119=3,F1119/12,IF(G1119=6,F1119,IF(G1119=7,F1119-I1119,0)))),0)</f>
        <v>0</v>
      </c>
      <c r="L1119" s="820">
        <f>IF(G1119=6,F1119,0)</f>
        <v>0</v>
      </c>
      <c r="P1119" s="768" t="n"/>
      <c r="Q1119" s="769" t="str">
        <f>IF($F1119="","",IFERROR(VLOOKUP($C1119&amp;"|"&amp;$D1119,科目表!$A$5:$B$200,2,FALSE),"※未登録"))</f>
        <v/>
      </c>
      <c r="R1119" s="769" t="str">
        <f>IF($F1119="","",$I1119+$J1119+$K1119)</f>
        <v/>
      </c>
      <c r="S1119" s="769" t="str">
        <f>IF(OR($F1119="",$P1119="支払なし",$H1119=0,$Q1119=""),"",$Q1119&amp;"|S|"&amp;(COUNTIF(S$4:S1118,$Q1119&amp;"|S|*")+1))</f>
        <v/>
      </c>
      <c r="T1119" s="769" t="str">
        <f>IF(OR($F1119="",$P1119="支払なし",$R1119=0,$Q1119=""),"",$Q1119&amp;"|L|"&amp;(COUNTIF(T$4:T1118,$Q1119&amp;"|L|*")+1))</f>
        <v/>
      </c>
      <c r="U1119" s="769" t="str">
        <f>IF($F1119="","",13)</f>
        <v/>
      </c>
    </row>
    <row r="1120" ht="16.5" customHeight="1" s="186">
      <c r="A1120" s="760" t="n"/>
      <c r="B1120" s="760" t="n"/>
      <c r="C1120" s="762" t="n"/>
      <c r="D1120" s="762" t="n"/>
      <c r="E1120" s="775" t="n"/>
      <c r="F1120" s="821" t="n"/>
      <c r="G1120" s="821" t="n"/>
      <c r="H1120" s="818">
        <f>IF(G1120=1,F1120-I1120-J1120-K1120,IF(G1120=2,F1120,0))</f>
        <v>0</v>
      </c>
      <c r="I1120" s="818">
        <f>ROUND(IF(G1120=1,F1120*10/23,IF(G1120=3,F1120-J1120-K1120,IF(G1120=4,F1120,IF(G1120=5,F1120*10/11,IF(G1120=7,F1120*10/11,0))))),0)</f>
        <v>0</v>
      </c>
      <c r="J1120" s="818">
        <f>ROUND(IF(G1120=1,F1120/23,IF(G1120=3,F1120/12,IF(G1120=5,F1120-I1120,IF(G1120=8,F1120,0)))),0)</f>
        <v>0</v>
      </c>
      <c r="K1120" s="819">
        <f>ROUND(IF(G1120=1,F1120/23,IF(G1120=3,F1120/12,IF(G1120=6,F1120,IF(G1120=7,F1120-I1120,0)))),0)</f>
        <v>0</v>
      </c>
      <c r="L1120" s="820">
        <f>IF(G1120=6,F1120,0)</f>
        <v>0</v>
      </c>
      <c r="P1120" s="768" t="n"/>
      <c r="Q1120" s="769" t="str">
        <f>IF($F1120="","",IFERROR(VLOOKUP($C1120&amp;"|"&amp;$D1120,科目表!$A$5:$B$200,2,FALSE),"※未登録"))</f>
        <v/>
      </c>
      <c r="R1120" s="769" t="str">
        <f>IF($F1120="","",$I1120+$J1120+$K1120)</f>
        <v/>
      </c>
      <c r="S1120" s="769" t="str">
        <f>IF(OR($F1120="",$P1120="支払なし",$H1120=0,$Q1120=""),"",$Q1120&amp;"|S|"&amp;(COUNTIF(S$4:S1119,$Q1120&amp;"|S|*")+1))</f>
        <v/>
      </c>
      <c r="T1120" s="769" t="str">
        <f>IF(OR($F1120="",$P1120="支払なし",$R1120=0,$Q1120=""),"",$Q1120&amp;"|L|"&amp;(COUNTIF(T$4:T1119,$Q1120&amp;"|L|*")+1))</f>
        <v/>
      </c>
      <c r="U1120" s="769" t="str">
        <f>IF($F1120="","",13)</f>
        <v/>
      </c>
    </row>
    <row r="1121" ht="16.5" customHeight="1" s="186">
      <c r="A1121" s="760" t="n"/>
      <c r="B1121" s="760" t="n"/>
      <c r="C1121" s="762" t="n"/>
      <c r="D1121" s="762" t="n"/>
      <c r="E1121" s="775" t="n"/>
      <c r="F1121" s="821" t="n"/>
      <c r="G1121" s="821" t="n"/>
      <c r="H1121" s="818">
        <f>IF(G1121=1,F1121-I1121-J1121-K1121,IF(G1121=2,F1121,0))</f>
        <v>0</v>
      </c>
      <c r="I1121" s="818">
        <f>ROUND(IF(G1121=1,F1121*10/23,IF(G1121=3,F1121-J1121-K1121,IF(G1121=4,F1121,IF(G1121=5,F1121*10/11,IF(G1121=7,F1121*10/11,0))))),0)</f>
        <v>0</v>
      </c>
      <c r="J1121" s="818">
        <f>ROUND(IF(G1121=1,F1121/23,IF(G1121=3,F1121/12,IF(G1121=5,F1121-I1121,IF(G1121=8,F1121,0)))),0)</f>
        <v>0</v>
      </c>
      <c r="K1121" s="819">
        <f>ROUND(IF(G1121=1,F1121/23,IF(G1121=3,F1121/12,IF(G1121=6,F1121,IF(G1121=7,F1121-I1121,0)))),0)</f>
        <v>0</v>
      </c>
      <c r="L1121" s="820">
        <f>IF(G1121=6,F1121,0)</f>
        <v>0</v>
      </c>
      <c r="P1121" s="768" t="n"/>
      <c r="Q1121" s="769" t="str">
        <f>IF($F1121="","",IFERROR(VLOOKUP($C1121&amp;"|"&amp;$D1121,科目表!$A$5:$B$200,2,FALSE),"※未登録"))</f>
        <v/>
      </c>
      <c r="R1121" s="769" t="str">
        <f>IF($F1121="","",$I1121+$J1121+$K1121)</f>
        <v/>
      </c>
      <c r="S1121" s="769" t="str">
        <f>IF(OR($F1121="",$P1121="支払なし",$H1121=0,$Q1121=""),"",$Q1121&amp;"|S|"&amp;(COUNTIF(S$4:S1120,$Q1121&amp;"|S|*")+1))</f>
        <v/>
      </c>
      <c r="T1121" s="769" t="str">
        <f>IF(OR($F1121="",$P1121="支払なし",$R1121=0,$Q1121=""),"",$Q1121&amp;"|L|"&amp;(COUNTIF(T$4:T1120,$Q1121&amp;"|L|*")+1))</f>
        <v/>
      </c>
      <c r="U1121" s="769" t="str">
        <f>IF($F1121="","",13)</f>
        <v/>
      </c>
    </row>
    <row r="1122" ht="16.5" customHeight="1" s="186">
      <c r="A1122" s="760" t="n"/>
      <c r="B1122" s="760" t="n"/>
      <c r="C1122" s="762" t="n"/>
      <c r="D1122" s="762" t="n"/>
      <c r="E1122" s="775" t="n"/>
      <c r="F1122" s="821" t="n"/>
      <c r="G1122" s="821" t="n"/>
      <c r="H1122" s="818">
        <f>IF(G1122=1,F1122-I1122-J1122-K1122,IF(G1122=2,F1122,0))</f>
        <v>0</v>
      </c>
      <c r="I1122" s="818">
        <f>ROUND(IF(G1122=1,F1122*10/23,IF(G1122=3,F1122-J1122-K1122,IF(G1122=4,F1122,IF(G1122=5,F1122*10/11,IF(G1122=7,F1122*10/11,0))))),0)</f>
        <v>0</v>
      </c>
      <c r="J1122" s="818">
        <f>ROUND(IF(G1122=1,F1122/23,IF(G1122=3,F1122/12,IF(G1122=5,F1122-I1122,IF(G1122=8,F1122,0)))),0)</f>
        <v>0</v>
      </c>
      <c r="K1122" s="819">
        <f>ROUND(IF(G1122=1,F1122/23,IF(G1122=3,F1122/12,IF(G1122=6,F1122,IF(G1122=7,F1122-I1122,0)))),0)</f>
        <v>0</v>
      </c>
      <c r="L1122" s="820">
        <f>IF(G1122=6,F1122,0)</f>
        <v>0</v>
      </c>
      <c r="P1122" s="768" t="n"/>
      <c r="Q1122" s="769" t="str">
        <f>IF($F1122="","",IFERROR(VLOOKUP($C1122&amp;"|"&amp;$D1122,科目表!$A$5:$B$200,2,FALSE),"※未登録"))</f>
        <v/>
      </c>
      <c r="R1122" s="769" t="str">
        <f>IF($F1122="","",$I1122+$J1122+$K1122)</f>
        <v/>
      </c>
      <c r="S1122" s="769" t="str">
        <f>IF(OR($F1122="",$P1122="支払なし",$H1122=0,$Q1122=""),"",$Q1122&amp;"|S|"&amp;(COUNTIF(S$4:S1121,$Q1122&amp;"|S|*")+1))</f>
        <v/>
      </c>
      <c r="T1122" s="769" t="str">
        <f>IF(OR($F1122="",$P1122="支払なし",$R1122=0,$Q1122=""),"",$Q1122&amp;"|L|"&amp;(COUNTIF(T$4:T1121,$Q1122&amp;"|L|*")+1))</f>
        <v/>
      </c>
      <c r="U1122" s="769" t="str">
        <f>IF($F1122="","",13)</f>
        <v/>
      </c>
    </row>
    <row r="1123" ht="16.5" customHeight="1" s="186">
      <c r="A1123" s="760" t="n"/>
      <c r="B1123" s="760" t="n"/>
      <c r="C1123" s="762" t="n"/>
      <c r="D1123" s="762" t="n"/>
      <c r="E1123" s="775" t="n"/>
      <c r="F1123" s="821" t="n"/>
      <c r="G1123" s="821" t="n"/>
      <c r="H1123" s="818">
        <f>IF(G1123=1,F1123-I1123-J1123-K1123,IF(G1123=2,F1123,0))</f>
        <v>0</v>
      </c>
      <c r="I1123" s="818">
        <f>ROUND(IF(G1123=1,F1123*10/23,IF(G1123=3,F1123-J1123-K1123,IF(G1123=4,F1123,IF(G1123=5,F1123*10/11,IF(G1123=7,F1123*10/11,0))))),0)</f>
        <v>0</v>
      </c>
      <c r="J1123" s="818">
        <f>ROUND(IF(G1123=1,F1123/23,IF(G1123=3,F1123/12,IF(G1123=5,F1123-I1123,IF(G1123=8,F1123,0)))),0)</f>
        <v>0</v>
      </c>
      <c r="K1123" s="819">
        <f>ROUND(IF(G1123=1,F1123/23,IF(G1123=3,F1123/12,IF(G1123=6,F1123,IF(G1123=7,F1123-I1123,0)))),0)</f>
        <v>0</v>
      </c>
      <c r="L1123" s="820">
        <f>IF(G1123=6,F1123,0)</f>
        <v>0</v>
      </c>
      <c r="P1123" s="768" t="n"/>
      <c r="Q1123" s="769" t="str">
        <f>IF($F1123="","",IFERROR(VLOOKUP($C1123&amp;"|"&amp;$D1123,科目表!$A$5:$B$200,2,FALSE),"※未登録"))</f>
        <v/>
      </c>
      <c r="R1123" s="769" t="str">
        <f>IF($F1123="","",$I1123+$J1123+$K1123)</f>
        <v/>
      </c>
      <c r="S1123" s="769" t="str">
        <f>IF(OR($F1123="",$P1123="支払なし",$H1123=0,$Q1123=""),"",$Q1123&amp;"|S|"&amp;(COUNTIF(S$4:S1122,$Q1123&amp;"|S|*")+1))</f>
        <v/>
      </c>
      <c r="T1123" s="769" t="str">
        <f>IF(OR($F1123="",$P1123="支払なし",$R1123=0,$Q1123=""),"",$Q1123&amp;"|L|"&amp;(COUNTIF(T$4:T1122,$Q1123&amp;"|L|*")+1))</f>
        <v/>
      </c>
      <c r="U1123" s="769" t="str">
        <f>IF($F1123="","",13)</f>
        <v/>
      </c>
    </row>
    <row r="1124" ht="16.5" customHeight="1" s="186">
      <c r="A1124" s="760" t="n"/>
      <c r="B1124" s="760" t="n"/>
      <c r="C1124" s="762" t="n"/>
      <c r="D1124" s="762" t="n"/>
      <c r="E1124" s="775" t="n"/>
      <c r="F1124" s="821" t="n"/>
      <c r="G1124" s="821" t="n"/>
      <c r="H1124" s="818">
        <f>IF(G1124=1,F1124-I1124-J1124-K1124,IF(G1124=2,F1124,0))</f>
        <v>0</v>
      </c>
      <c r="I1124" s="818">
        <f>ROUND(IF(G1124=1,F1124*10/23,IF(G1124=3,F1124-J1124-K1124,IF(G1124=4,F1124,IF(G1124=5,F1124*10/11,IF(G1124=7,F1124*10/11,0))))),0)</f>
        <v>0</v>
      </c>
      <c r="J1124" s="818">
        <f>ROUND(IF(G1124=1,F1124/23,IF(G1124=3,F1124/12,IF(G1124=5,F1124-I1124,IF(G1124=8,F1124,0)))),0)</f>
        <v>0</v>
      </c>
      <c r="K1124" s="819">
        <f>ROUND(IF(G1124=1,F1124/23,IF(G1124=3,F1124/12,IF(G1124=6,F1124,IF(G1124=7,F1124-I1124,0)))),0)</f>
        <v>0</v>
      </c>
      <c r="L1124" s="820">
        <f>IF(G1124=6,F1124,0)</f>
        <v>0</v>
      </c>
      <c r="P1124" s="768" t="n"/>
      <c r="Q1124" s="769" t="str">
        <f>IF($F1124="","",IFERROR(VLOOKUP($C1124&amp;"|"&amp;$D1124,科目表!$A$5:$B$200,2,FALSE),"※未登録"))</f>
        <v/>
      </c>
      <c r="R1124" s="769" t="str">
        <f>IF($F1124="","",$I1124+$J1124+$K1124)</f>
        <v/>
      </c>
      <c r="S1124" s="769" t="str">
        <f>IF(OR($F1124="",$P1124="支払なし",$H1124=0,$Q1124=""),"",$Q1124&amp;"|S|"&amp;(COUNTIF(S$4:S1123,$Q1124&amp;"|S|*")+1))</f>
        <v/>
      </c>
      <c r="T1124" s="769" t="str">
        <f>IF(OR($F1124="",$P1124="支払なし",$R1124=0,$Q1124=""),"",$Q1124&amp;"|L|"&amp;(COUNTIF(T$4:T1123,$Q1124&amp;"|L|*")+1))</f>
        <v/>
      </c>
      <c r="U1124" s="769" t="str">
        <f>IF($F1124="","",13)</f>
        <v/>
      </c>
    </row>
    <row r="1125" ht="16.5" customHeight="1" s="186">
      <c r="A1125" s="760" t="n"/>
      <c r="B1125" s="760" t="n"/>
      <c r="C1125" s="762" t="n"/>
      <c r="D1125" s="762" t="n"/>
      <c r="E1125" s="775" t="n"/>
      <c r="F1125" s="821" t="n"/>
      <c r="G1125" s="821" t="n"/>
      <c r="H1125" s="818">
        <f>IF(G1125=1,F1125-I1125-J1125-K1125,IF(G1125=2,F1125,0))</f>
        <v>0</v>
      </c>
      <c r="I1125" s="818">
        <f>ROUND(IF(G1125=1,F1125*10/23,IF(G1125=3,F1125-J1125-K1125,IF(G1125=4,F1125,IF(G1125=5,F1125*10/11,IF(G1125=7,F1125*10/11,0))))),0)</f>
        <v>0</v>
      </c>
      <c r="J1125" s="818">
        <f>ROUND(IF(G1125=1,F1125/23,IF(G1125=3,F1125/12,IF(G1125=5,F1125-I1125,IF(G1125=8,F1125,0)))),0)</f>
        <v>0</v>
      </c>
      <c r="K1125" s="819">
        <f>ROUND(IF(G1125=1,F1125/23,IF(G1125=3,F1125/12,IF(G1125=6,F1125,IF(G1125=7,F1125-I1125,0)))),0)</f>
        <v>0</v>
      </c>
      <c r="L1125" s="820">
        <f>IF(G1125=6,F1125,0)</f>
        <v>0</v>
      </c>
      <c r="P1125" s="768" t="n"/>
      <c r="Q1125" s="769" t="str">
        <f>IF($F1125="","",IFERROR(VLOOKUP($C1125&amp;"|"&amp;$D1125,科目表!$A$5:$B$200,2,FALSE),"※未登録"))</f>
        <v/>
      </c>
      <c r="R1125" s="769" t="str">
        <f>IF($F1125="","",$I1125+$J1125+$K1125)</f>
        <v/>
      </c>
      <c r="S1125" s="769" t="str">
        <f>IF(OR($F1125="",$P1125="支払なし",$H1125=0,$Q1125=""),"",$Q1125&amp;"|S|"&amp;(COUNTIF(S$4:S1124,$Q1125&amp;"|S|*")+1))</f>
        <v/>
      </c>
      <c r="T1125" s="769" t="str">
        <f>IF(OR($F1125="",$P1125="支払なし",$R1125=0,$Q1125=""),"",$Q1125&amp;"|L|"&amp;(COUNTIF(T$4:T1124,$Q1125&amp;"|L|*")+1))</f>
        <v/>
      </c>
      <c r="U1125" s="769" t="str">
        <f>IF($F1125="","",13)</f>
        <v/>
      </c>
    </row>
    <row r="1126" ht="16.5" customHeight="1" s="186">
      <c r="A1126" s="760" t="n"/>
      <c r="B1126" s="760" t="n"/>
      <c r="C1126" s="762" t="n"/>
      <c r="D1126" s="762" t="n"/>
      <c r="E1126" s="775" t="n"/>
      <c r="F1126" s="821" t="n"/>
      <c r="G1126" s="821" t="n"/>
      <c r="H1126" s="818">
        <f>IF(G1126=1,F1126-I1126-J1126-K1126,IF(G1126=2,F1126,0))</f>
        <v>0</v>
      </c>
      <c r="I1126" s="818">
        <f>ROUND(IF(G1126=1,F1126*10/23,IF(G1126=3,F1126-J1126-K1126,IF(G1126=4,F1126,IF(G1126=5,F1126*10/11,IF(G1126=7,F1126*10/11,0))))),0)</f>
        <v>0</v>
      </c>
      <c r="J1126" s="818">
        <f>ROUND(IF(G1126=1,F1126/23,IF(G1126=3,F1126/12,IF(G1126=5,F1126-I1126,IF(G1126=8,F1126,0)))),0)</f>
        <v>0</v>
      </c>
      <c r="K1126" s="819">
        <f>ROUND(IF(G1126=1,F1126/23,IF(G1126=3,F1126/12,IF(G1126=6,F1126,IF(G1126=7,F1126-I1126,0)))),0)</f>
        <v>0</v>
      </c>
      <c r="L1126" s="820">
        <f>IF(G1126=6,F1126,0)</f>
        <v>0</v>
      </c>
      <c r="P1126" s="768" t="n"/>
      <c r="Q1126" s="769" t="str">
        <f>IF($F1126="","",IFERROR(VLOOKUP($C1126&amp;"|"&amp;$D1126,科目表!$A$5:$B$200,2,FALSE),"※未登録"))</f>
        <v/>
      </c>
      <c r="R1126" s="769" t="str">
        <f>IF($F1126="","",$I1126+$J1126+$K1126)</f>
        <v/>
      </c>
      <c r="S1126" s="769" t="str">
        <f>IF(OR($F1126="",$P1126="支払なし",$H1126=0,$Q1126=""),"",$Q1126&amp;"|S|"&amp;(COUNTIF(S$4:S1125,$Q1126&amp;"|S|*")+1))</f>
        <v/>
      </c>
      <c r="T1126" s="769" t="str">
        <f>IF(OR($F1126="",$P1126="支払なし",$R1126=0,$Q1126=""),"",$Q1126&amp;"|L|"&amp;(COUNTIF(T$4:T1125,$Q1126&amp;"|L|*")+1))</f>
        <v/>
      </c>
      <c r="U1126" s="769" t="str">
        <f>IF($F1126="","",13)</f>
        <v/>
      </c>
    </row>
    <row r="1127" ht="16.5" customHeight="1" s="186">
      <c r="A1127" s="760" t="n"/>
      <c r="B1127" s="760" t="n"/>
      <c r="C1127" s="762" t="n"/>
      <c r="D1127" s="762" t="n"/>
      <c r="E1127" s="775" t="n"/>
      <c r="F1127" s="821" t="n"/>
      <c r="G1127" s="821" t="n"/>
      <c r="H1127" s="818">
        <f>IF(G1127=1,F1127-I1127-J1127-K1127,IF(G1127=2,F1127,0))</f>
        <v>0</v>
      </c>
      <c r="I1127" s="818">
        <f>ROUND(IF(G1127=1,F1127*10/23,IF(G1127=3,F1127-J1127-K1127,IF(G1127=4,F1127,IF(G1127=5,F1127*10/11,IF(G1127=7,F1127*10/11,0))))),0)</f>
        <v>0</v>
      </c>
      <c r="J1127" s="818">
        <f>ROUND(IF(G1127=1,F1127/23,IF(G1127=3,F1127/12,IF(G1127=5,F1127-I1127,IF(G1127=8,F1127,0)))),0)</f>
        <v>0</v>
      </c>
      <c r="K1127" s="819">
        <f>ROUND(IF(G1127=1,F1127/23,IF(G1127=3,F1127/12,IF(G1127=6,F1127,IF(G1127=7,F1127-I1127,0)))),0)</f>
        <v>0</v>
      </c>
      <c r="L1127" s="820">
        <f>IF(G1127=6,F1127,0)</f>
        <v>0</v>
      </c>
      <c r="P1127" s="768" t="n"/>
      <c r="Q1127" s="769" t="str">
        <f>IF($F1127="","",IFERROR(VLOOKUP($C1127&amp;"|"&amp;$D1127,科目表!$A$5:$B$200,2,FALSE),"※未登録"))</f>
        <v/>
      </c>
      <c r="R1127" s="769" t="str">
        <f>IF($F1127="","",$I1127+$J1127+$K1127)</f>
        <v/>
      </c>
      <c r="S1127" s="769" t="str">
        <f>IF(OR($F1127="",$P1127="支払なし",$H1127=0,$Q1127=""),"",$Q1127&amp;"|S|"&amp;(COUNTIF(S$4:S1126,$Q1127&amp;"|S|*")+1))</f>
        <v/>
      </c>
      <c r="T1127" s="769" t="str">
        <f>IF(OR($F1127="",$P1127="支払なし",$R1127=0,$Q1127=""),"",$Q1127&amp;"|L|"&amp;(COUNTIF(T$4:T1126,$Q1127&amp;"|L|*")+1))</f>
        <v/>
      </c>
      <c r="U1127" s="769" t="str">
        <f>IF($F1127="","",13)</f>
        <v/>
      </c>
    </row>
    <row r="1128" ht="16.5" customHeight="1" s="186">
      <c r="A1128" s="760" t="n"/>
      <c r="B1128" s="760" t="n"/>
      <c r="C1128" s="762" t="n"/>
      <c r="D1128" s="762" t="n"/>
      <c r="E1128" s="775" t="n"/>
      <c r="F1128" s="821" t="n"/>
      <c r="G1128" s="821" t="n"/>
      <c r="H1128" s="818">
        <f>IF(G1128=1,F1128-I1128-J1128-K1128,IF(G1128=2,F1128,0))</f>
        <v>0</v>
      </c>
      <c r="I1128" s="818">
        <f>ROUND(IF(G1128=1,F1128*10/23,IF(G1128=3,F1128-J1128-K1128,IF(G1128=4,F1128,IF(G1128=5,F1128*10/11,IF(G1128=7,F1128*10/11,0))))),0)</f>
        <v>0</v>
      </c>
      <c r="J1128" s="818">
        <f>ROUND(IF(G1128=1,F1128/23,IF(G1128=3,F1128/12,IF(G1128=5,F1128-I1128,IF(G1128=8,F1128,0)))),0)</f>
        <v>0</v>
      </c>
      <c r="K1128" s="819">
        <f>ROUND(IF(G1128=1,F1128/23,IF(G1128=3,F1128/12,IF(G1128=6,F1128,IF(G1128=7,F1128-I1128,0)))),0)</f>
        <v>0</v>
      </c>
      <c r="L1128" s="820">
        <f>IF(G1128=6,F1128,0)</f>
        <v>0</v>
      </c>
      <c r="P1128" s="768" t="n"/>
      <c r="Q1128" s="769" t="str">
        <f>IF($F1128="","",IFERROR(VLOOKUP($C1128&amp;"|"&amp;$D1128,科目表!$A$5:$B$200,2,FALSE),"※未登録"))</f>
        <v/>
      </c>
      <c r="R1128" s="769" t="str">
        <f>IF($F1128="","",$I1128+$J1128+$K1128)</f>
        <v/>
      </c>
      <c r="S1128" s="769" t="str">
        <f>IF(OR($F1128="",$P1128="支払なし",$H1128=0,$Q1128=""),"",$Q1128&amp;"|S|"&amp;(COUNTIF(S$4:S1127,$Q1128&amp;"|S|*")+1))</f>
        <v/>
      </c>
      <c r="T1128" s="769" t="str">
        <f>IF(OR($F1128="",$P1128="支払なし",$R1128=0,$Q1128=""),"",$Q1128&amp;"|L|"&amp;(COUNTIF(T$4:T1127,$Q1128&amp;"|L|*")+1))</f>
        <v/>
      </c>
      <c r="U1128" s="769" t="str">
        <f>IF($F1128="","",13)</f>
        <v/>
      </c>
    </row>
    <row r="1129" ht="16.5" customHeight="1" s="186">
      <c r="A1129" s="760" t="n"/>
      <c r="B1129" s="760" t="n"/>
      <c r="C1129" s="762" t="n"/>
      <c r="D1129" s="762" t="n"/>
      <c r="E1129" s="775" t="n"/>
      <c r="F1129" s="821" t="n"/>
      <c r="G1129" s="821" t="n"/>
      <c r="H1129" s="818">
        <f>IF(G1129=1,F1129-I1129-J1129-K1129,IF(G1129=2,F1129,0))</f>
        <v>0</v>
      </c>
      <c r="I1129" s="818">
        <f>ROUND(IF(G1129=1,F1129*10/23,IF(G1129=3,F1129-J1129-K1129,IF(G1129=4,F1129,IF(G1129=5,F1129*10/11,IF(G1129=7,F1129*10/11,0))))),0)</f>
        <v>0</v>
      </c>
      <c r="J1129" s="818">
        <f>ROUND(IF(G1129=1,F1129/23,IF(G1129=3,F1129/12,IF(G1129=5,F1129-I1129,IF(G1129=8,F1129,0)))),0)</f>
        <v>0</v>
      </c>
      <c r="K1129" s="819">
        <f>ROUND(IF(G1129=1,F1129/23,IF(G1129=3,F1129/12,IF(G1129=6,F1129,IF(G1129=7,F1129-I1129,0)))),0)</f>
        <v>0</v>
      </c>
      <c r="L1129" s="820">
        <f>IF(G1129=6,F1129,0)</f>
        <v>0</v>
      </c>
      <c r="P1129" s="768" t="n"/>
      <c r="Q1129" s="769" t="str">
        <f>IF($F1129="","",IFERROR(VLOOKUP($C1129&amp;"|"&amp;$D1129,科目表!$A$5:$B$200,2,FALSE),"※未登録"))</f>
        <v/>
      </c>
      <c r="R1129" s="769" t="str">
        <f>IF($F1129="","",$I1129+$J1129+$K1129)</f>
        <v/>
      </c>
      <c r="S1129" s="769" t="str">
        <f>IF(OR($F1129="",$P1129="支払なし",$H1129=0,$Q1129=""),"",$Q1129&amp;"|S|"&amp;(COUNTIF(S$4:S1128,$Q1129&amp;"|S|*")+1))</f>
        <v/>
      </c>
      <c r="T1129" s="769" t="str">
        <f>IF(OR($F1129="",$P1129="支払なし",$R1129=0,$Q1129=""),"",$Q1129&amp;"|L|"&amp;(COUNTIF(T$4:T1128,$Q1129&amp;"|L|*")+1))</f>
        <v/>
      </c>
      <c r="U1129" s="769" t="str">
        <f>IF($F1129="","",13)</f>
        <v/>
      </c>
    </row>
    <row r="1130" ht="16.5" customHeight="1" s="186">
      <c r="A1130" s="760" t="n"/>
      <c r="B1130" s="760" t="n"/>
      <c r="C1130" s="762" t="n"/>
      <c r="D1130" s="762" t="n"/>
      <c r="E1130" s="775" t="n"/>
      <c r="F1130" s="821" t="n"/>
      <c r="G1130" s="821" t="n"/>
      <c r="H1130" s="818">
        <f>IF(G1130=1,F1130-I1130-J1130-K1130,IF(G1130=2,F1130,0))</f>
        <v>0</v>
      </c>
      <c r="I1130" s="818">
        <f>ROUND(IF(G1130=1,F1130*10/23,IF(G1130=3,F1130-J1130-K1130,IF(G1130=4,F1130,IF(G1130=5,F1130*10/11,IF(G1130=7,F1130*10/11,0))))),0)</f>
        <v>0</v>
      </c>
      <c r="J1130" s="818">
        <f>ROUND(IF(G1130=1,F1130/23,IF(G1130=3,F1130/12,IF(G1130=5,F1130-I1130,IF(G1130=8,F1130,0)))),0)</f>
        <v>0</v>
      </c>
      <c r="K1130" s="819">
        <f>ROUND(IF(G1130=1,F1130/23,IF(G1130=3,F1130/12,IF(G1130=6,F1130,IF(G1130=7,F1130-I1130,0)))),0)</f>
        <v>0</v>
      </c>
      <c r="L1130" s="820">
        <f>IF(G1130=6,F1130,0)</f>
        <v>0</v>
      </c>
      <c r="P1130" s="768" t="n"/>
      <c r="Q1130" s="769" t="str">
        <f>IF($F1130="","",IFERROR(VLOOKUP($C1130&amp;"|"&amp;$D1130,科目表!$A$5:$B$200,2,FALSE),"※未登録"))</f>
        <v/>
      </c>
      <c r="R1130" s="769" t="str">
        <f>IF($F1130="","",$I1130+$J1130+$K1130)</f>
        <v/>
      </c>
      <c r="S1130" s="769" t="str">
        <f>IF(OR($F1130="",$P1130="支払なし",$H1130=0,$Q1130=""),"",$Q1130&amp;"|S|"&amp;(COUNTIF(S$4:S1129,$Q1130&amp;"|S|*")+1))</f>
        <v/>
      </c>
      <c r="T1130" s="769" t="str">
        <f>IF(OR($F1130="",$P1130="支払なし",$R1130=0,$Q1130=""),"",$Q1130&amp;"|L|"&amp;(COUNTIF(T$4:T1129,$Q1130&amp;"|L|*")+1))</f>
        <v/>
      </c>
      <c r="U1130" s="769" t="str">
        <f>IF($F1130="","",13)</f>
        <v/>
      </c>
    </row>
    <row r="1131" ht="16.5" customHeight="1" s="186">
      <c r="A1131" s="760" t="n"/>
      <c r="B1131" s="760" t="n"/>
      <c r="C1131" s="762" t="n"/>
      <c r="D1131" s="762" t="n"/>
      <c r="E1131" s="775" t="n"/>
      <c r="F1131" s="821" t="n"/>
      <c r="G1131" s="821" t="n"/>
      <c r="H1131" s="818">
        <f>IF(G1131=1,F1131-I1131-J1131-K1131,IF(G1131=2,F1131,0))</f>
        <v>0</v>
      </c>
      <c r="I1131" s="818">
        <f>ROUND(IF(G1131=1,F1131*10/23,IF(G1131=3,F1131-J1131-K1131,IF(G1131=4,F1131,IF(G1131=5,F1131*10/11,IF(G1131=7,F1131*10/11,0))))),0)</f>
        <v>0</v>
      </c>
      <c r="J1131" s="818">
        <f>ROUND(IF(G1131=1,F1131/23,IF(G1131=3,F1131/12,IF(G1131=5,F1131-I1131,IF(G1131=8,F1131,0)))),0)</f>
        <v>0</v>
      </c>
      <c r="K1131" s="819">
        <f>ROUND(IF(G1131=1,F1131/23,IF(G1131=3,F1131/12,IF(G1131=6,F1131,IF(G1131=7,F1131-I1131,0)))),0)</f>
        <v>0</v>
      </c>
      <c r="L1131" s="820">
        <f>IF(G1131=6,F1131,0)</f>
        <v>0</v>
      </c>
      <c r="P1131" s="768" t="n"/>
      <c r="Q1131" s="769" t="str">
        <f>IF($F1131="","",IFERROR(VLOOKUP($C1131&amp;"|"&amp;$D1131,科目表!$A$5:$B$200,2,FALSE),"※未登録"))</f>
        <v/>
      </c>
      <c r="R1131" s="769" t="str">
        <f>IF($F1131="","",$I1131+$J1131+$K1131)</f>
        <v/>
      </c>
      <c r="S1131" s="769" t="str">
        <f>IF(OR($F1131="",$P1131="支払なし",$H1131=0,$Q1131=""),"",$Q1131&amp;"|S|"&amp;(COUNTIF(S$4:S1130,$Q1131&amp;"|S|*")+1))</f>
        <v/>
      </c>
      <c r="T1131" s="769" t="str">
        <f>IF(OR($F1131="",$P1131="支払なし",$R1131=0,$Q1131=""),"",$Q1131&amp;"|L|"&amp;(COUNTIF(T$4:T1130,$Q1131&amp;"|L|*")+1))</f>
        <v/>
      </c>
      <c r="U1131" s="769" t="str">
        <f>IF($F1131="","",13)</f>
        <v/>
      </c>
    </row>
    <row r="1132" ht="16.5" customHeight="1" s="186">
      <c r="A1132" s="760" t="n"/>
      <c r="B1132" s="760" t="n"/>
      <c r="C1132" s="762" t="n"/>
      <c r="D1132" s="762" t="n"/>
      <c r="E1132" s="775" t="n"/>
      <c r="F1132" s="821" t="n"/>
      <c r="G1132" s="821" t="n"/>
      <c r="H1132" s="818">
        <f>IF(G1132=1,F1132-I1132-J1132-K1132,IF(G1132=2,F1132,0))</f>
        <v>0</v>
      </c>
      <c r="I1132" s="818">
        <f>ROUND(IF(G1132=1,F1132*10/23,IF(G1132=3,F1132-J1132-K1132,IF(G1132=4,F1132,IF(G1132=5,F1132*10/11,IF(G1132=7,F1132*10/11,0))))),0)</f>
        <v>0</v>
      </c>
      <c r="J1132" s="818">
        <f>ROUND(IF(G1132=1,F1132/23,IF(G1132=3,F1132/12,IF(G1132=5,F1132-I1132,IF(G1132=8,F1132,0)))),0)</f>
        <v>0</v>
      </c>
      <c r="K1132" s="819">
        <f>ROUND(IF(G1132=1,F1132/23,IF(G1132=3,F1132/12,IF(G1132=6,F1132,IF(G1132=7,F1132-I1132,0)))),0)</f>
        <v>0</v>
      </c>
      <c r="L1132" s="820">
        <f>IF(G1132=6,F1132,0)</f>
        <v>0</v>
      </c>
      <c r="P1132" s="768" t="n"/>
      <c r="Q1132" s="769" t="str">
        <f>IF($F1132="","",IFERROR(VLOOKUP($C1132&amp;"|"&amp;$D1132,科目表!$A$5:$B$200,2,FALSE),"※未登録"))</f>
        <v/>
      </c>
      <c r="R1132" s="769" t="str">
        <f>IF($F1132="","",$I1132+$J1132+$K1132)</f>
        <v/>
      </c>
      <c r="S1132" s="769" t="str">
        <f>IF(OR($F1132="",$P1132="支払なし",$H1132=0,$Q1132=""),"",$Q1132&amp;"|S|"&amp;(COUNTIF(S$4:S1131,$Q1132&amp;"|S|*")+1))</f>
        <v/>
      </c>
      <c r="T1132" s="769" t="str">
        <f>IF(OR($F1132="",$P1132="支払なし",$R1132=0,$Q1132=""),"",$Q1132&amp;"|L|"&amp;(COUNTIF(T$4:T1131,$Q1132&amp;"|L|*")+1))</f>
        <v/>
      </c>
      <c r="U1132" s="769" t="str">
        <f>IF($F1132="","",13)</f>
        <v/>
      </c>
    </row>
    <row r="1133" ht="16.5" customHeight="1" s="186">
      <c r="A1133" s="760" t="n"/>
      <c r="B1133" s="760" t="n"/>
      <c r="C1133" s="762" t="n"/>
      <c r="D1133" s="762" t="n"/>
      <c r="E1133" s="775" t="n"/>
      <c r="F1133" s="821" t="n"/>
      <c r="G1133" s="821" t="n"/>
      <c r="H1133" s="818">
        <f>IF(G1133=1,F1133-I1133-J1133-K1133,IF(G1133=2,F1133,0))</f>
        <v>0</v>
      </c>
      <c r="I1133" s="818">
        <f>ROUND(IF(G1133=1,F1133*10/23,IF(G1133=3,F1133-J1133-K1133,IF(G1133=4,F1133,IF(G1133=5,F1133*10/11,IF(G1133=7,F1133*10/11,0))))),0)</f>
        <v>0</v>
      </c>
      <c r="J1133" s="818">
        <f>ROUND(IF(G1133=1,F1133/23,IF(G1133=3,F1133/12,IF(G1133=5,F1133-I1133,IF(G1133=8,F1133,0)))),0)</f>
        <v>0</v>
      </c>
      <c r="K1133" s="819">
        <f>ROUND(IF(G1133=1,F1133/23,IF(G1133=3,F1133/12,IF(G1133=6,F1133,IF(G1133=7,F1133-I1133,0)))),0)</f>
        <v>0</v>
      </c>
      <c r="L1133" s="820">
        <f>IF(G1133=6,F1133,0)</f>
        <v>0</v>
      </c>
      <c r="P1133" s="768" t="n"/>
      <c r="Q1133" s="769" t="str">
        <f>IF($F1133="","",IFERROR(VLOOKUP($C1133&amp;"|"&amp;$D1133,科目表!$A$5:$B$200,2,FALSE),"※未登録"))</f>
        <v/>
      </c>
      <c r="R1133" s="769" t="str">
        <f>IF($F1133="","",$I1133+$J1133+$K1133)</f>
        <v/>
      </c>
      <c r="S1133" s="769" t="str">
        <f>IF(OR($F1133="",$P1133="支払なし",$H1133=0,$Q1133=""),"",$Q1133&amp;"|S|"&amp;(COUNTIF(S$4:S1132,$Q1133&amp;"|S|*")+1))</f>
        <v/>
      </c>
      <c r="T1133" s="769" t="str">
        <f>IF(OR($F1133="",$P1133="支払なし",$R1133=0,$Q1133=""),"",$Q1133&amp;"|L|"&amp;(COUNTIF(T$4:T1132,$Q1133&amp;"|L|*")+1))</f>
        <v/>
      </c>
      <c r="U1133" s="769" t="str">
        <f>IF($F1133="","",13)</f>
        <v/>
      </c>
    </row>
    <row r="1134" ht="16.5" customHeight="1" s="186">
      <c r="A1134" s="760" t="n"/>
      <c r="B1134" s="760" t="n"/>
      <c r="C1134" s="762" t="n"/>
      <c r="D1134" s="762" t="n"/>
      <c r="E1134" s="775" t="n"/>
      <c r="F1134" s="821" t="n"/>
      <c r="G1134" s="821" t="n"/>
      <c r="H1134" s="818">
        <f>IF(G1134=1,F1134-I1134-J1134-K1134,IF(G1134=2,F1134,0))</f>
        <v>0</v>
      </c>
      <c r="I1134" s="818">
        <f>ROUND(IF(G1134=1,F1134*10/23,IF(G1134=3,F1134-J1134-K1134,IF(G1134=4,F1134,IF(G1134=5,F1134*10/11,IF(G1134=7,F1134*10/11,0))))),0)</f>
        <v>0</v>
      </c>
      <c r="J1134" s="818">
        <f>ROUND(IF(G1134=1,F1134/23,IF(G1134=3,F1134/12,IF(G1134=5,F1134-I1134,IF(G1134=8,F1134,0)))),0)</f>
        <v>0</v>
      </c>
      <c r="K1134" s="819">
        <f>ROUND(IF(G1134=1,F1134/23,IF(G1134=3,F1134/12,IF(G1134=6,F1134,IF(G1134=7,F1134-I1134,0)))),0)</f>
        <v>0</v>
      </c>
      <c r="L1134" s="820">
        <f>IF(G1134=6,F1134,0)</f>
        <v>0</v>
      </c>
      <c r="P1134" s="768" t="n"/>
      <c r="Q1134" s="769" t="str">
        <f>IF($F1134="","",IFERROR(VLOOKUP($C1134&amp;"|"&amp;$D1134,科目表!$A$5:$B$200,2,FALSE),"※未登録"))</f>
        <v/>
      </c>
      <c r="R1134" s="769" t="str">
        <f>IF($F1134="","",$I1134+$J1134+$K1134)</f>
        <v/>
      </c>
      <c r="S1134" s="769" t="str">
        <f>IF(OR($F1134="",$P1134="支払なし",$H1134=0,$Q1134=""),"",$Q1134&amp;"|S|"&amp;(COUNTIF(S$4:S1133,$Q1134&amp;"|S|*")+1))</f>
        <v/>
      </c>
      <c r="T1134" s="769" t="str">
        <f>IF(OR($F1134="",$P1134="支払なし",$R1134=0,$Q1134=""),"",$Q1134&amp;"|L|"&amp;(COUNTIF(T$4:T1133,$Q1134&amp;"|L|*")+1))</f>
        <v/>
      </c>
      <c r="U1134" s="769" t="str">
        <f>IF($F1134="","",13)</f>
        <v/>
      </c>
    </row>
    <row r="1135" ht="16.5" customHeight="1" s="186">
      <c r="A1135" s="760" t="n"/>
      <c r="B1135" s="760" t="n"/>
      <c r="C1135" s="762" t="n"/>
      <c r="D1135" s="762" t="n"/>
      <c r="E1135" s="775" t="n"/>
      <c r="F1135" s="821" t="n"/>
      <c r="G1135" s="821" t="n"/>
      <c r="H1135" s="818">
        <f>IF(G1135=1,F1135-I1135-J1135-K1135,IF(G1135=2,F1135,0))</f>
        <v>0</v>
      </c>
      <c r="I1135" s="818">
        <f>ROUND(IF(G1135=1,F1135*10/23,IF(G1135=3,F1135-J1135-K1135,IF(G1135=4,F1135,IF(G1135=5,F1135*10/11,IF(G1135=7,F1135*10/11,0))))),0)</f>
        <v>0</v>
      </c>
      <c r="J1135" s="818">
        <f>ROUND(IF(G1135=1,F1135/23,IF(G1135=3,F1135/12,IF(G1135=5,F1135-I1135,IF(G1135=8,F1135,0)))),0)</f>
        <v>0</v>
      </c>
      <c r="K1135" s="819">
        <f>ROUND(IF(G1135=1,F1135/23,IF(G1135=3,F1135/12,IF(G1135=6,F1135,IF(G1135=7,F1135-I1135,0)))),0)</f>
        <v>0</v>
      </c>
      <c r="L1135" s="820">
        <f>IF(G1135=6,F1135,0)</f>
        <v>0</v>
      </c>
      <c r="P1135" s="768" t="n"/>
      <c r="Q1135" s="769" t="str">
        <f>IF($F1135="","",IFERROR(VLOOKUP($C1135&amp;"|"&amp;$D1135,科目表!$A$5:$B$200,2,FALSE),"※未登録"))</f>
        <v/>
      </c>
      <c r="R1135" s="769" t="str">
        <f>IF($F1135="","",$I1135+$J1135+$K1135)</f>
        <v/>
      </c>
      <c r="S1135" s="769" t="str">
        <f>IF(OR($F1135="",$P1135="支払なし",$H1135=0,$Q1135=""),"",$Q1135&amp;"|S|"&amp;(COUNTIF(S$4:S1134,$Q1135&amp;"|S|*")+1))</f>
        <v/>
      </c>
      <c r="T1135" s="769" t="str">
        <f>IF(OR($F1135="",$P1135="支払なし",$R1135=0,$Q1135=""),"",$Q1135&amp;"|L|"&amp;(COUNTIF(T$4:T1134,$Q1135&amp;"|L|*")+1))</f>
        <v/>
      </c>
      <c r="U1135" s="769" t="str">
        <f>IF($F1135="","",13)</f>
        <v/>
      </c>
    </row>
    <row r="1136" ht="16.5" customHeight="1" s="186">
      <c r="A1136" s="760" t="n"/>
      <c r="B1136" s="760" t="n"/>
      <c r="C1136" s="762" t="n"/>
      <c r="D1136" s="762" t="n"/>
      <c r="E1136" s="775" t="n"/>
      <c r="F1136" s="821" t="n"/>
      <c r="G1136" s="821" t="n"/>
      <c r="H1136" s="818">
        <f>IF(G1136=1,F1136-I1136-J1136-K1136,IF(G1136=2,F1136,0))</f>
        <v>0</v>
      </c>
      <c r="I1136" s="818">
        <f>ROUND(IF(G1136=1,F1136*10/23,IF(G1136=3,F1136-J1136-K1136,IF(G1136=4,F1136,IF(G1136=5,F1136*10/11,IF(G1136=7,F1136*10/11,0))))),0)</f>
        <v>0</v>
      </c>
      <c r="J1136" s="818">
        <f>ROUND(IF(G1136=1,F1136/23,IF(G1136=3,F1136/12,IF(G1136=5,F1136-I1136,IF(G1136=8,F1136,0)))),0)</f>
        <v>0</v>
      </c>
      <c r="K1136" s="819">
        <f>ROUND(IF(G1136=1,F1136/23,IF(G1136=3,F1136/12,IF(G1136=6,F1136,IF(G1136=7,F1136-I1136,0)))),0)</f>
        <v>0</v>
      </c>
      <c r="L1136" s="820">
        <f>IF(G1136=6,F1136,0)</f>
        <v>0</v>
      </c>
      <c r="P1136" s="768" t="n"/>
      <c r="Q1136" s="769" t="str">
        <f>IF($F1136="","",IFERROR(VLOOKUP($C1136&amp;"|"&amp;$D1136,科目表!$A$5:$B$200,2,FALSE),"※未登録"))</f>
        <v/>
      </c>
      <c r="R1136" s="769" t="str">
        <f>IF($F1136="","",$I1136+$J1136+$K1136)</f>
        <v/>
      </c>
      <c r="S1136" s="769" t="str">
        <f>IF(OR($F1136="",$P1136="支払なし",$H1136=0,$Q1136=""),"",$Q1136&amp;"|S|"&amp;(COUNTIF(S$4:S1135,$Q1136&amp;"|S|*")+1))</f>
        <v/>
      </c>
      <c r="T1136" s="769" t="str">
        <f>IF(OR($F1136="",$P1136="支払なし",$R1136=0,$Q1136=""),"",$Q1136&amp;"|L|"&amp;(COUNTIF(T$4:T1135,$Q1136&amp;"|L|*")+1))</f>
        <v/>
      </c>
      <c r="U1136" s="769" t="str">
        <f>IF($F1136="","",13)</f>
        <v/>
      </c>
    </row>
    <row r="1137" ht="16.5" customHeight="1" s="186">
      <c r="A1137" s="760" t="n"/>
      <c r="B1137" s="760" t="n"/>
      <c r="C1137" s="762" t="n"/>
      <c r="D1137" s="762" t="n"/>
      <c r="E1137" s="775" t="n"/>
      <c r="F1137" s="821" t="n"/>
      <c r="G1137" s="821" t="n"/>
      <c r="H1137" s="818">
        <f>IF(G1137=1,F1137-I1137-J1137-K1137,IF(G1137=2,F1137,0))</f>
        <v>0</v>
      </c>
      <c r="I1137" s="818">
        <f>ROUND(IF(G1137=1,F1137*10/23,IF(G1137=3,F1137-J1137-K1137,IF(G1137=4,F1137,IF(G1137=5,F1137*10/11,IF(G1137=7,F1137*10/11,0))))),0)</f>
        <v>0</v>
      </c>
      <c r="J1137" s="818">
        <f>ROUND(IF(G1137=1,F1137/23,IF(G1137=3,F1137/12,IF(G1137=5,F1137-I1137,IF(G1137=8,F1137,0)))),0)</f>
        <v>0</v>
      </c>
      <c r="K1137" s="819">
        <f>ROUND(IF(G1137=1,F1137/23,IF(G1137=3,F1137/12,IF(G1137=6,F1137,IF(G1137=7,F1137-I1137,0)))),0)</f>
        <v>0</v>
      </c>
      <c r="L1137" s="820">
        <f>IF(G1137=6,F1137,0)</f>
        <v>0</v>
      </c>
      <c r="P1137" s="768" t="n"/>
      <c r="Q1137" s="769" t="str">
        <f>IF($F1137="","",IFERROR(VLOOKUP($C1137&amp;"|"&amp;$D1137,科目表!$A$5:$B$200,2,FALSE),"※未登録"))</f>
        <v/>
      </c>
      <c r="R1137" s="769" t="str">
        <f>IF($F1137="","",$I1137+$J1137+$K1137)</f>
        <v/>
      </c>
      <c r="S1137" s="769" t="str">
        <f>IF(OR($F1137="",$P1137="支払なし",$H1137=0,$Q1137=""),"",$Q1137&amp;"|S|"&amp;(COUNTIF(S$4:S1136,$Q1137&amp;"|S|*")+1))</f>
        <v/>
      </c>
      <c r="T1137" s="769" t="str">
        <f>IF(OR($F1137="",$P1137="支払なし",$R1137=0,$Q1137=""),"",$Q1137&amp;"|L|"&amp;(COUNTIF(T$4:T1136,$Q1137&amp;"|L|*")+1))</f>
        <v/>
      </c>
      <c r="U1137" s="769" t="str">
        <f>IF($F1137="","",13)</f>
        <v/>
      </c>
    </row>
    <row r="1138" ht="16.5" customHeight="1" s="186">
      <c r="A1138" s="760" t="n"/>
      <c r="B1138" s="760" t="n"/>
      <c r="C1138" s="762" t="n"/>
      <c r="D1138" s="762" t="n"/>
      <c r="E1138" s="775" t="n"/>
      <c r="F1138" s="821" t="n"/>
      <c r="G1138" s="821" t="n"/>
      <c r="H1138" s="818">
        <f>IF(G1138=1,F1138-I1138-J1138-K1138,IF(G1138=2,F1138,0))</f>
        <v>0</v>
      </c>
      <c r="I1138" s="818">
        <f>ROUND(IF(G1138=1,F1138*10/23,IF(G1138=3,F1138-J1138-K1138,IF(G1138=4,F1138,IF(G1138=5,F1138*10/11,IF(G1138=7,F1138*10/11,0))))),0)</f>
        <v>0</v>
      </c>
      <c r="J1138" s="818">
        <f>ROUND(IF(G1138=1,F1138/23,IF(G1138=3,F1138/12,IF(G1138=5,F1138-I1138,IF(G1138=8,F1138,0)))),0)</f>
        <v>0</v>
      </c>
      <c r="K1138" s="819">
        <f>ROUND(IF(G1138=1,F1138/23,IF(G1138=3,F1138/12,IF(G1138=6,F1138,IF(G1138=7,F1138-I1138,0)))),0)</f>
        <v>0</v>
      </c>
      <c r="L1138" s="820">
        <f>IF(G1138=6,F1138,0)</f>
        <v>0</v>
      </c>
      <c r="P1138" s="768" t="n"/>
      <c r="Q1138" s="769" t="str">
        <f>IF($F1138="","",IFERROR(VLOOKUP($C1138&amp;"|"&amp;$D1138,科目表!$A$5:$B$200,2,FALSE),"※未登録"))</f>
        <v/>
      </c>
      <c r="R1138" s="769" t="str">
        <f>IF($F1138="","",$I1138+$J1138+$K1138)</f>
        <v/>
      </c>
      <c r="S1138" s="769" t="str">
        <f>IF(OR($F1138="",$P1138="支払なし",$H1138=0,$Q1138=""),"",$Q1138&amp;"|S|"&amp;(COUNTIF(S$4:S1137,$Q1138&amp;"|S|*")+1))</f>
        <v/>
      </c>
      <c r="T1138" s="769" t="str">
        <f>IF(OR($F1138="",$P1138="支払なし",$R1138=0,$Q1138=""),"",$Q1138&amp;"|L|"&amp;(COUNTIF(T$4:T1137,$Q1138&amp;"|L|*")+1))</f>
        <v/>
      </c>
      <c r="U1138" s="769" t="str">
        <f>IF($F1138="","",13)</f>
        <v/>
      </c>
    </row>
    <row r="1139" ht="16.5" customHeight="1" s="186">
      <c r="A1139" s="760" t="n"/>
      <c r="B1139" s="760" t="n"/>
      <c r="C1139" s="762" t="n"/>
      <c r="D1139" s="762" t="n"/>
      <c r="E1139" s="775" t="n"/>
      <c r="F1139" s="821" t="n"/>
      <c r="G1139" s="821" t="n"/>
      <c r="H1139" s="818">
        <f>IF(G1139=1,F1139-I1139-J1139-K1139,IF(G1139=2,F1139,0))</f>
        <v>0</v>
      </c>
      <c r="I1139" s="818">
        <f>ROUND(IF(G1139=1,F1139*10/23,IF(G1139=3,F1139-J1139-K1139,IF(G1139=4,F1139,IF(G1139=5,F1139*10/11,IF(G1139=7,F1139*10/11,0))))),0)</f>
        <v>0</v>
      </c>
      <c r="J1139" s="818">
        <f>ROUND(IF(G1139=1,F1139/23,IF(G1139=3,F1139/12,IF(G1139=5,F1139-I1139,IF(G1139=8,F1139,0)))),0)</f>
        <v>0</v>
      </c>
      <c r="K1139" s="819">
        <f>ROUND(IF(G1139=1,F1139/23,IF(G1139=3,F1139/12,IF(G1139=6,F1139,IF(G1139=7,F1139-I1139,0)))),0)</f>
        <v>0</v>
      </c>
      <c r="L1139" s="820">
        <f>IF(G1139=6,F1139,0)</f>
        <v>0</v>
      </c>
      <c r="P1139" s="768" t="n"/>
      <c r="Q1139" s="769" t="str">
        <f>IF($F1139="","",IFERROR(VLOOKUP($C1139&amp;"|"&amp;$D1139,科目表!$A$5:$B$200,2,FALSE),"※未登録"))</f>
        <v/>
      </c>
      <c r="R1139" s="769" t="str">
        <f>IF($F1139="","",$I1139+$J1139+$K1139)</f>
        <v/>
      </c>
      <c r="S1139" s="769" t="str">
        <f>IF(OR($F1139="",$P1139="支払なし",$H1139=0,$Q1139=""),"",$Q1139&amp;"|S|"&amp;(COUNTIF(S$4:S1138,$Q1139&amp;"|S|*")+1))</f>
        <v/>
      </c>
      <c r="T1139" s="769" t="str">
        <f>IF(OR($F1139="",$P1139="支払なし",$R1139=0,$Q1139=""),"",$Q1139&amp;"|L|"&amp;(COUNTIF(T$4:T1138,$Q1139&amp;"|L|*")+1))</f>
        <v/>
      </c>
      <c r="U1139" s="769" t="str">
        <f>IF($F1139="","",13)</f>
        <v/>
      </c>
    </row>
    <row r="1140" ht="16.5" customHeight="1" s="186">
      <c r="A1140" s="760" t="n"/>
      <c r="B1140" s="760" t="n"/>
      <c r="C1140" s="762" t="n"/>
      <c r="D1140" s="762" t="n"/>
      <c r="E1140" s="775" t="n"/>
      <c r="F1140" s="821" t="n"/>
      <c r="G1140" s="821" t="n"/>
      <c r="H1140" s="818">
        <f>IF(G1140=1,F1140-I1140-J1140-K1140,IF(G1140=2,F1140,0))</f>
        <v>0</v>
      </c>
      <c r="I1140" s="818">
        <f>ROUND(IF(G1140=1,F1140*10/23,IF(G1140=3,F1140-J1140-K1140,IF(G1140=4,F1140,IF(G1140=5,F1140*10/11,IF(G1140=7,F1140*10/11,0))))),0)</f>
        <v>0</v>
      </c>
      <c r="J1140" s="818">
        <f>ROUND(IF(G1140=1,F1140/23,IF(G1140=3,F1140/12,IF(G1140=5,F1140-I1140,IF(G1140=8,F1140,0)))),0)</f>
        <v>0</v>
      </c>
      <c r="K1140" s="819">
        <f>ROUND(IF(G1140=1,F1140/23,IF(G1140=3,F1140/12,IF(G1140=6,F1140,IF(G1140=7,F1140-I1140,0)))),0)</f>
        <v>0</v>
      </c>
      <c r="L1140" s="820">
        <f>IF(G1140=6,F1140,0)</f>
        <v>0</v>
      </c>
      <c r="P1140" s="768" t="n"/>
      <c r="Q1140" s="769" t="str">
        <f>IF($F1140="","",IFERROR(VLOOKUP($C1140&amp;"|"&amp;$D1140,科目表!$A$5:$B$200,2,FALSE),"※未登録"))</f>
        <v/>
      </c>
      <c r="R1140" s="769" t="str">
        <f>IF($F1140="","",$I1140+$J1140+$K1140)</f>
        <v/>
      </c>
      <c r="S1140" s="769" t="str">
        <f>IF(OR($F1140="",$P1140="支払なし",$H1140=0,$Q1140=""),"",$Q1140&amp;"|S|"&amp;(COUNTIF(S$4:S1139,$Q1140&amp;"|S|*")+1))</f>
        <v/>
      </c>
      <c r="T1140" s="769" t="str">
        <f>IF(OR($F1140="",$P1140="支払なし",$R1140=0,$Q1140=""),"",$Q1140&amp;"|L|"&amp;(COUNTIF(T$4:T1139,$Q1140&amp;"|L|*")+1))</f>
        <v/>
      </c>
      <c r="U1140" s="769" t="str">
        <f>IF($F1140="","",13)</f>
        <v/>
      </c>
    </row>
    <row r="1141" ht="16.5" customHeight="1" s="186">
      <c r="A1141" s="760" t="n"/>
      <c r="B1141" s="760" t="n"/>
      <c r="C1141" s="762" t="n"/>
      <c r="D1141" s="762" t="n"/>
      <c r="E1141" s="775" t="n"/>
      <c r="F1141" s="821" t="n"/>
      <c r="G1141" s="821" t="n"/>
      <c r="H1141" s="818">
        <f>IF(G1141=1,F1141-I1141-J1141-K1141,IF(G1141=2,F1141,0))</f>
        <v>0</v>
      </c>
      <c r="I1141" s="818">
        <f>ROUND(IF(G1141=1,F1141*10/23,IF(G1141=3,F1141-J1141-K1141,IF(G1141=4,F1141,IF(G1141=5,F1141*10/11,IF(G1141=7,F1141*10/11,0))))),0)</f>
        <v>0</v>
      </c>
      <c r="J1141" s="818">
        <f>ROUND(IF(G1141=1,F1141/23,IF(G1141=3,F1141/12,IF(G1141=5,F1141-I1141,IF(G1141=8,F1141,0)))),0)</f>
        <v>0</v>
      </c>
      <c r="K1141" s="819">
        <f>ROUND(IF(G1141=1,F1141/23,IF(G1141=3,F1141/12,IF(G1141=6,F1141,IF(G1141=7,F1141-I1141,0)))),0)</f>
        <v>0</v>
      </c>
      <c r="L1141" s="820">
        <f>IF(G1141=6,F1141,0)</f>
        <v>0</v>
      </c>
      <c r="P1141" s="768" t="n"/>
      <c r="Q1141" s="769" t="str">
        <f>IF($F1141="","",IFERROR(VLOOKUP($C1141&amp;"|"&amp;$D1141,科目表!$A$5:$B$200,2,FALSE),"※未登録"))</f>
        <v/>
      </c>
      <c r="R1141" s="769" t="str">
        <f>IF($F1141="","",$I1141+$J1141+$K1141)</f>
        <v/>
      </c>
      <c r="S1141" s="769" t="str">
        <f>IF(OR($F1141="",$P1141="支払なし",$H1141=0,$Q1141=""),"",$Q1141&amp;"|S|"&amp;(COUNTIF(S$4:S1140,$Q1141&amp;"|S|*")+1))</f>
        <v/>
      </c>
      <c r="T1141" s="769" t="str">
        <f>IF(OR($F1141="",$P1141="支払なし",$R1141=0,$Q1141=""),"",$Q1141&amp;"|L|"&amp;(COUNTIF(T$4:T1140,$Q1141&amp;"|L|*")+1))</f>
        <v/>
      </c>
      <c r="U1141" s="769" t="str">
        <f>IF($F1141="","",13)</f>
        <v/>
      </c>
    </row>
    <row r="1142" ht="16.5" customHeight="1" s="186">
      <c r="A1142" s="760" t="n"/>
      <c r="B1142" s="760" t="n"/>
      <c r="C1142" s="762" t="n"/>
      <c r="D1142" s="762" t="n"/>
      <c r="E1142" s="775" t="n"/>
      <c r="F1142" s="821" t="n"/>
      <c r="G1142" s="821" t="n"/>
      <c r="H1142" s="818">
        <f>IF(G1142=1,F1142-I1142-J1142-K1142,IF(G1142=2,F1142,0))</f>
        <v>0</v>
      </c>
      <c r="I1142" s="818">
        <f>ROUND(IF(G1142=1,F1142*10/23,IF(G1142=3,F1142-J1142-K1142,IF(G1142=4,F1142,IF(G1142=5,F1142*10/11,IF(G1142=7,F1142*10/11,0))))),0)</f>
        <v>0</v>
      </c>
      <c r="J1142" s="818">
        <f>ROUND(IF(G1142=1,F1142/23,IF(G1142=3,F1142/12,IF(G1142=5,F1142-I1142,IF(G1142=8,F1142,0)))),0)</f>
        <v>0</v>
      </c>
      <c r="K1142" s="819">
        <f>ROUND(IF(G1142=1,F1142/23,IF(G1142=3,F1142/12,IF(G1142=6,F1142,IF(G1142=7,F1142-I1142,0)))),0)</f>
        <v>0</v>
      </c>
      <c r="L1142" s="820">
        <f>IF(G1142=6,F1142,0)</f>
        <v>0</v>
      </c>
      <c r="P1142" s="768" t="n"/>
      <c r="Q1142" s="769" t="str">
        <f>IF($F1142="","",IFERROR(VLOOKUP($C1142&amp;"|"&amp;$D1142,科目表!$A$5:$B$200,2,FALSE),"※未登録"))</f>
        <v/>
      </c>
      <c r="R1142" s="769" t="str">
        <f>IF($F1142="","",$I1142+$J1142+$K1142)</f>
        <v/>
      </c>
      <c r="S1142" s="769" t="str">
        <f>IF(OR($F1142="",$P1142="支払なし",$H1142=0,$Q1142=""),"",$Q1142&amp;"|S|"&amp;(COUNTIF(S$4:S1141,$Q1142&amp;"|S|*")+1))</f>
        <v/>
      </c>
      <c r="T1142" s="769" t="str">
        <f>IF(OR($F1142="",$P1142="支払なし",$R1142=0,$Q1142=""),"",$Q1142&amp;"|L|"&amp;(COUNTIF(T$4:T1141,$Q1142&amp;"|L|*")+1))</f>
        <v/>
      </c>
      <c r="U1142" s="769" t="str">
        <f>IF($F1142="","",13)</f>
        <v/>
      </c>
    </row>
    <row r="1143" ht="16.5" customHeight="1" s="186">
      <c r="A1143" s="760" t="n"/>
      <c r="B1143" s="760" t="n"/>
      <c r="C1143" s="762" t="n"/>
      <c r="D1143" s="762" t="n"/>
      <c r="E1143" s="775" t="n"/>
      <c r="F1143" s="821" t="n"/>
      <c r="G1143" s="821" t="n"/>
      <c r="H1143" s="818">
        <f>IF(G1143=1,F1143-I1143-J1143-K1143,IF(G1143=2,F1143,0))</f>
        <v>0</v>
      </c>
      <c r="I1143" s="818">
        <f>ROUND(IF(G1143=1,F1143*10/23,IF(G1143=3,F1143-J1143-K1143,IF(G1143=4,F1143,IF(G1143=5,F1143*10/11,IF(G1143=7,F1143*10/11,0))))),0)</f>
        <v>0</v>
      </c>
      <c r="J1143" s="818">
        <f>ROUND(IF(G1143=1,F1143/23,IF(G1143=3,F1143/12,IF(G1143=5,F1143-I1143,IF(G1143=8,F1143,0)))),0)</f>
        <v>0</v>
      </c>
      <c r="K1143" s="819">
        <f>ROUND(IF(G1143=1,F1143/23,IF(G1143=3,F1143/12,IF(G1143=6,F1143,IF(G1143=7,F1143-I1143,0)))),0)</f>
        <v>0</v>
      </c>
      <c r="L1143" s="820">
        <f>IF(G1143=6,F1143,0)</f>
        <v>0</v>
      </c>
      <c r="P1143" s="768" t="n"/>
      <c r="Q1143" s="769" t="str">
        <f>IF($F1143="","",IFERROR(VLOOKUP($C1143&amp;"|"&amp;$D1143,科目表!$A$5:$B$200,2,FALSE),"※未登録"))</f>
        <v/>
      </c>
      <c r="R1143" s="769" t="str">
        <f>IF($F1143="","",$I1143+$J1143+$K1143)</f>
        <v/>
      </c>
      <c r="S1143" s="769" t="str">
        <f>IF(OR($F1143="",$P1143="支払なし",$H1143=0,$Q1143=""),"",$Q1143&amp;"|S|"&amp;(COUNTIF(S$4:S1142,$Q1143&amp;"|S|*")+1))</f>
        <v/>
      </c>
      <c r="T1143" s="769" t="str">
        <f>IF(OR($F1143="",$P1143="支払なし",$R1143=0,$Q1143=""),"",$Q1143&amp;"|L|"&amp;(COUNTIF(T$4:T1142,$Q1143&amp;"|L|*")+1))</f>
        <v/>
      </c>
      <c r="U1143" s="769" t="str">
        <f>IF($F1143="","",13)</f>
        <v/>
      </c>
    </row>
    <row r="1144" ht="16.5" customHeight="1" s="186">
      <c r="A1144" s="760" t="n"/>
      <c r="B1144" s="760" t="n"/>
      <c r="C1144" s="762" t="n"/>
      <c r="D1144" s="762" t="n"/>
      <c r="E1144" s="775" t="n"/>
      <c r="F1144" s="821" t="n"/>
      <c r="G1144" s="821" t="n"/>
      <c r="H1144" s="818">
        <f>IF(G1144=1,F1144-I1144-J1144-K1144,IF(G1144=2,F1144,0))</f>
        <v>0</v>
      </c>
      <c r="I1144" s="818">
        <f>ROUND(IF(G1144=1,F1144*10/23,IF(G1144=3,F1144-J1144-K1144,IF(G1144=4,F1144,IF(G1144=5,F1144*10/11,IF(G1144=7,F1144*10/11,0))))),0)</f>
        <v>0</v>
      </c>
      <c r="J1144" s="818">
        <f>ROUND(IF(G1144=1,F1144/23,IF(G1144=3,F1144/12,IF(G1144=5,F1144-I1144,IF(G1144=8,F1144,0)))),0)</f>
        <v>0</v>
      </c>
      <c r="K1144" s="819">
        <f>ROUND(IF(G1144=1,F1144/23,IF(G1144=3,F1144/12,IF(G1144=6,F1144,IF(G1144=7,F1144-I1144,0)))),0)</f>
        <v>0</v>
      </c>
      <c r="L1144" s="820">
        <f>IF(G1144=6,F1144,0)</f>
        <v>0</v>
      </c>
      <c r="P1144" s="768" t="n"/>
      <c r="Q1144" s="769" t="str">
        <f>IF($F1144="","",IFERROR(VLOOKUP($C1144&amp;"|"&amp;$D1144,科目表!$A$5:$B$200,2,FALSE),"※未登録"))</f>
        <v/>
      </c>
      <c r="R1144" s="769" t="str">
        <f>IF($F1144="","",$I1144+$J1144+$K1144)</f>
        <v/>
      </c>
      <c r="S1144" s="769" t="str">
        <f>IF(OR($F1144="",$P1144="支払なし",$H1144=0,$Q1144=""),"",$Q1144&amp;"|S|"&amp;(COUNTIF(S$4:S1143,$Q1144&amp;"|S|*")+1))</f>
        <v/>
      </c>
      <c r="T1144" s="769" t="str">
        <f>IF(OR($F1144="",$P1144="支払なし",$R1144=0,$Q1144=""),"",$Q1144&amp;"|L|"&amp;(COUNTIF(T$4:T1143,$Q1144&amp;"|L|*")+1))</f>
        <v/>
      </c>
      <c r="U1144" s="769" t="str">
        <f>IF($F1144="","",13)</f>
        <v/>
      </c>
    </row>
    <row r="1145" ht="16.5" customHeight="1" s="186">
      <c r="A1145" s="760" t="n"/>
      <c r="B1145" s="760" t="n"/>
      <c r="C1145" s="762" t="n"/>
      <c r="D1145" s="762" t="n"/>
      <c r="E1145" s="775" t="n"/>
      <c r="F1145" s="821" t="n"/>
      <c r="G1145" s="821" t="n"/>
      <c r="H1145" s="818">
        <f>IF(G1145=1,F1145-I1145-J1145-K1145,IF(G1145=2,F1145,0))</f>
        <v>0</v>
      </c>
      <c r="I1145" s="818">
        <f>ROUND(IF(G1145=1,F1145*10/23,IF(G1145=3,F1145-J1145-K1145,IF(G1145=4,F1145,IF(G1145=5,F1145*10/11,IF(G1145=7,F1145*10/11,0))))),0)</f>
        <v>0</v>
      </c>
      <c r="J1145" s="818">
        <f>ROUND(IF(G1145=1,F1145/23,IF(G1145=3,F1145/12,IF(G1145=5,F1145-I1145,IF(G1145=8,F1145,0)))),0)</f>
        <v>0</v>
      </c>
      <c r="K1145" s="819">
        <f>ROUND(IF(G1145=1,F1145/23,IF(G1145=3,F1145/12,IF(G1145=6,F1145,IF(G1145=7,F1145-I1145,0)))),0)</f>
        <v>0</v>
      </c>
      <c r="L1145" s="820">
        <f>IF(G1145=6,F1145,0)</f>
        <v>0</v>
      </c>
      <c r="P1145" s="768" t="n"/>
      <c r="Q1145" s="769" t="str">
        <f>IF($F1145="","",IFERROR(VLOOKUP($C1145&amp;"|"&amp;$D1145,科目表!$A$5:$B$200,2,FALSE),"※未登録"))</f>
        <v/>
      </c>
      <c r="R1145" s="769" t="str">
        <f>IF($F1145="","",$I1145+$J1145+$K1145)</f>
        <v/>
      </c>
      <c r="S1145" s="769" t="str">
        <f>IF(OR($F1145="",$P1145="支払なし",$H1145=0,$Q1145=""),"",$Q1145&amp;"|S|"&amp;(COUNTIF(S$4:S1144,$Q1145&amp;"|S|*")+1))</f>
        <v/>
      </c>
      <c r="T1145" s="769" t="str">
        <f>IF(OR($F1145="",$P1145="支払なし",$R1145=0,$Q1145=""),"",$Q1145&amp;"|L|"&amp;(COUNTIF(T$4:T1144,$Q1145&amp;"|L|*")+1))</f>
        <v/>
      </c>
      <c r="U1145" s="769" t="str">
        <f>IF($F1145="","",13)</f>
        <v/>
      </c>
    </row>
    <row r="1146" ht="16.5" customHeight="1" s="186">
      <c r="A1146" s="760" t="n"/>
      <c r="B1146" s="760" t="n"/>
      <c r="C1146" s="762" t="n"/>
      <c r="D1146" s="762" t="n"/>
      <c r="E1146" s="775" t="n"/>
      <c r="F1146" s="821" t="n"/>
      <c r="G1146" s="821" t="n"/>
      <c r="H1146" s="818">
        <f>IF(G1146=1,F1146-I1146-J1146-K1146,IF(G1146=2,F1146,0))</f>
        <v>0</v>
      </c>
      <c r="I1146" s="818">
        <f>ROUND(IF(G1146=1,F1146*10/23,IF(G1146=3,F1146-J1146-K1146,IF(G1146=4,F1146,IF(G1146=5,F1146*10/11,IF(G1146=7,F1146*10/11,0))))),0)</f>
        <v>0</v>
      </c>
      <c r="J1146" s="818">
        <f>ROUND(IF(G1146=1,F1146/23,IF(G1146=3,F1146/12,IF(G1146=5,F1146-I1146,IF(G1146=8,F1146,0)))),0)</f>
        <v>0</v>
      </c>
      <c r="K1146" s="819">
        <f>ROUND(IF(G1146=1,F1146/23,IF(G1146=3,F1146/12,IF(G1146=6,F1146,IF(G1146=7,F1146-I1146,0)))),0)</f>
        <v>0</v>
      </c>
      <c r="L1146" s="820">
        <f>IF(G1146=6,F1146,0)</f>
        <v>0</v>
      </c>
      <c r="P1146" s="768" t="n"/>
      <c r="Q1146" s="769" t="str">
        <f>IF($F1146="","",IFERROR(VLOOKUP($C1146&amp;"|"&amp;$D1146,科目表!$A$5:$B$200,2,FALSE),"※未登録"))</f>
        <v/>
      </c>
      <c r="R1146" s="769" t="str">
        <f>IF($F1146="","",$I1146+$J1146+$K1146)</f>
        <v/>
      </c>
      <c r="S1146" s="769" t="str">
        <f>IF(OR($F1146="",$P1146="支払なし",$H1146=0,$Q1146=""),"",$Q1146&amp;"|S|"&amp;(COUNTIF(S$4:S1145,$Q1146&amp;"|S|*")+1))</f>
        <v/>
      </c>
      <c r="T1146" s="769" t="str">
        <f>IF(OR($F1146="",$P1146="支払なし",$R1146=0,$Q1146=""),"",$Q1146&amp;"|L|"&amp;(COUNTIF(T$4:T1145,$Q1146&amp;"|L|*")+1))</f>
        <v/>
      </c>
      <c r="U1146" s="769" t="str">
        <f>IF($F1146="","",13)</f>
        <v/>
      </c>
    </row>
    <row r="1147" ht="16.5" customHeight="1" s="186">
      <c r="A1147" s="760" t="n"/>
      <c r="B1147" s="760" t="n"/>
      <c r="C1147" s="762" t="n"/>
      <c r="D1147" s="762" t="n"/>
      <c r="E1147" s="775" t="n"/>
      <c r="F1147" s="821" t="n"/>
      <c r="G1147" s="821" t="n"/>
      <c r="H1147" s="818">
        <f>IF(G1147=1,F1147-I1147-J1147-K1147,IF(G1147=2,F1147,0))</f>
        <v>0</v>
      </c>
      <c r="I1147" s="818">
        <f>ROUND(IF(G1147=1,F1147*10/23,IF(G1147=3,F1147-J1147-K1147,IF(G1147=4,F1147,IF(G1147=5,F1147*10/11,IF(G1147=7,F1147*10/11,0))))),0)</f>
        <v>0</v>
      </c>
      <c r="J1147" s="818">
        <f>ROUND(IF(G1147=1,F1147/23,IF(G1147=3,F1147/12,IF(G1147=5,F1147-I1147,IF(G1147=8,F1147,0)))),0)</f>
        <v>0</v>
      </c>
      <c r="K1147" s="819">
        <f>ROUND(IF(G1147=1,F1147/23,IF(G1147=3,F1147/12,IF(G1147=6,F1147,IF(G1147=7,F1147-I1147,0)))),0)</f>
        <v>0</v>
      </c>
      <c r="L1147" s="820">
        <f>IF(G1147=6,F1147,0)</f>
        <v>0</v>
      </c>
      <c r="P1147" s="768" t="n"/>
      <c r="Q1147" s="769" t="str">
        <f>IF($F1147="","",IFERROR(VLOOKUP($C1147&amp;"|"&amp;$D1147,科目表!$A$5:$B$200,2,FALSE),"※未登録"))</f>
        <v/>
      </c>
      <c r="R1147" s="769" t="str">
        <f>IF($F1147="","",$I1147+$J1147+$K1147)</f>
        <v/>
      </c>
      <c r="S1147" s="769" t="str">
        <f>IF(OR($F1147="",$P1147="支払なし",$H1147=0,$Q1147=""),"",$Q1147&amp;"|S|"&amp;(COUNTIF(S$4:S1146,$Q1147&amp;"|S|*")+1))</f>
        <v/>
      </c>
      <c r="T1147" s="769" t="str">
        <f>IF(OR($F1147="",$P1147="支払なし",$R1147=0,$Q1147=""),"",$Q1147&amp;"|L|"&amp;(COUNTIF(T$4:T1146,$Q1147&amp;"|L|*")+1))</f>
        <v/>
      </c>
      <c r="U1147" s="769" t="str">
        <f>IF($F1147="","",13)</f>
        <v/>
      </c>
    </row>
    <row r="1148" ht="16.5" customHeight="1" s="186">
      <c r="A1148" s="760" t="n"/>
      <c r="B1148" s="760" t="n"/>
      <c r="C1148" s="762" t="n"/>
      <c r="D1148" s="762" t="n"/>
      <c r="E1148" s="775" t="n"/>
      <c r="F1148" s="821" t="n"/>
      <c r="G1148" s="821" t="n"/>
      <c r="H1148" s="818">
        <f>IF(G1148=1,F1148-I1148-J1148-K1148,IF(G1148=2,F1148,0))</f>
        <v>0</v>
      </c>
      <c r="I1148" s="818">
        <f>ROUND(IF(G1148=1,F1148*10/23,IF(G1148=3,F1148-J1148-K1148,IF(G1148=4,F1148,IF(G1148=5,F1148*10/11,IF(G1148=7,F1148*10/11,0))))),0)</f>
        <v>0</v>
      </c>
      <c r="J1148" s="818">
        <f>ROUND(IF(G1148=1,F1148/23,IF(G1148=3,F1148/12,IF(G1148=5,F1148-I1148,IF(G1148=8,F1148,0)))),0)</f>
        <v>0</v>
      </c>
      <c r="K1148" s="819">
        <f>ROUND(IF(G1148=1,F1148/23,IF(G1148=3,F1148/12,IF(G1148=6,F1148,IF(G1148=7,F1148-I1148,0)))),0)</f>
        <v>0</v>
      </c>
      <c r="L1148" s="820">
        <f>IF(G1148=6,F1148,0)</f>
        <v>0</v>
      </c>
      <c r="P1148" s="768" t="n"/>
      <c r="Q1148" s="769" t="str">
        <f>IF($F1148="","",IFERROR(VLOOKUP($C1148&amp;"|"&amp;$D1148,科目表!$A$5:$B$200,2,FALSE),"※未登録"))</f>
        <v/>
      </c>
      <c r="R1148" s="769" t="str">
        <f>IF($F1148="","",$I1148+$J1148+$K1148)</f>
        <v/>
      </c>
      <c r="S1148" s="769" t="str">
        <f>IF(OR($F1148="",$P1148="支払なし",$H1148=0,$Q1148=""),"",$Q1148&amp;"|S|"&amp;(COUNTIF(S$4:S1147,$Q1148&amp;"|S|*")+1))</f>
        <v/>
      </c>
      <c r="T1148" s="769" t="str">
        <f>IF(OR($F1148="",$P1148="支払なし",$R1148=0,$Q1148=""),"",$Q1148&amp;"|L|"&amp;(COUNTIF(T$4:T1147,$Q1148&amp;"|L|*")+1))</f>
        <v/>
      </c>
      <c r="U1148" s="769" t="str">
        <f>IF($F1148="","",13)</f>
        <v/>
      </c>
    </row>
    <row r="1149" ht="16.5" customHeight="1" s="186">
      <c r="A1149" s="760" t="n"/>
      <c r="B1149" s="760" t="n"/>
      <c r="C1149" s="762" t="n"/>
      <c r="D1149" s="762" t="n"/>
      <c r="E1149" s="775" t="n"/>
      <c r="F1149" s="821" t="n"/>
      <c r="G1149" s="821" t="n"/>
      <c r="H1149" s="818">
        <f>IF(G1149=1,F1149-I1149-J1149-K1149,IF(G1149=2,F1149,0))</f>
        <v>0</v>
      </c>
      <c r="I1149" s="818">
        <f>ROUND(IF(G1149=1,F1149*10/23,IF(G1149=3,F1149-J1149-K1149,IF(G1149=4,F1149,IF(G1149=5,F1149*10/11,IF(G1149=7,F1149*10/11,0))))),0)</f>
        <v>0</v>
      </c>
      <c r="J1149" s="818">
        <f>ROUND(IF(G1149=1,F1149/23,IF(G1149=3,F1149/12,IF(G1149=5,F1149-I1149,IF(G1149=8,F1149,0)))),0)</f>
        <v>0</v>
      </c>
      <c r="K1149" s="819">
        <f>ROUND(IF(G1149=1,F1149/23,IF(G1149=3,F1149/12,IF(G1149=6,F1149,IF(G1149=7,F1149-I1149,0)))),0)</f>
        <v>0</v>
      </c>
      <c r="L1149" s="820">
        <f>IF(G1149=6,F1149,0)</f>
        <v>0</v>
      </c>
      <c r="P1149" s="768" t="n"/>
      <c r="Q1149" s="769" t="str">
        <f>IF($F1149="","",IFERROR(VLOOKUP($C1149&amp;"|"&amp;$D1149,科目表!$A$5:$B$200,2,FALSE),"※未登録"))</f>
        <v/>
      </c>
      <c r="R1149" s="769" t="str">
        <f>IF($F1149="","",$I1149+$J1149+$K1149)</f>
        <v/>
      </c>
      <c r="S1149" s="769" t="str">
        <f>IF(OR($F1149="",$P1149="支払なし",$H1149=0,$Q1149=""),"",$Q1149&amp;"|S|"&amp;(COUNTIF(S$4:S1148,$Q1149&amp;"|S|*")+1))</f>
        <v/>
      </c>
      <c r="T1149" s="769" t="str">
        <f>IF(OR($F1149="",$P1149="支払なし",$R1149=0,$Q1149=""),"",$Q1149&amp;"|L|"&amp;(COUNTIF(T$4:T1148,$Q1149&amp;"|L|*")+1))</f>
        <v/>
      </c>
      <c r="U1149" s="769" t="str">
        <f>IF($F1149="","",13)</f>
        <v/>
      </c>
    </row>
    <row r="1150" ht="16.5" customHeight="1" s="186">
      <c r="A1150" s="760" t="n"/>
      <c r="B1150" s="760" t="n"/>
      <c r="C1150" s="762" t="n"/>
      <c r="D1150" s="762" t="n"/>
      <c r="E1150" s="775" t="n"/>
      <c r="F1150" s="821" t="n"/>
      <c r="G1150" s="821" t="n"/>
      <c r="H1150" s="818">
        <f>IF(G1150=1,F1150-I1150-J1150-K1150,IF(G1150=2,F1150,0))</f>
        <v>0</v>
      </c>
      <c r="I1150" s="818">
        <f>ROUND(IF(G1150=1,F1150*10/23,IF(G1150=3,F1150-J1150-K1150,IF(G1150=4,F1150,IF(G1150=5,F1150*10/11,IF(G1150=7,F1150*10/11,0))))),0)</f>
        <v>0</v>
      </c>
      <c r="J1150" s="818">
        <f>ROUND(IF(G1150=1,F1150/23,IF(G1150=3,F1150/12,IF(G1150=5,F1150-I1150,IF(G1150=8,F1150,0)))),0)</f>
        <v>0</v>
      </c>
      <c r="K1150" s="819">
        <f>ROUND(IF(G1150=1,F1150/23,IF(G1150=3,F1150/12,IF(G1150=6,F1150,IF(G1150=7,F1150-I1150,0)))),0)</f>
        <v>0</v>
      </c>
      <c r="L1150" s="820">
        <f>IF(G1150=6,F1150,0)</f>
        <v>0</v>
      </c>
      <c r="P1150" s="768" t="n"/>
      <c r="Q1150" s="769" t="str">
        <f>IF($F1150="","",IFERROR(VLOOKUP($C1150&amp;"|"&amp;$D1150,科目表!$A$5:$B$200,2,FALSE),"※未登録"))</f>
        <v/>
      </c>
      <c r="R1150" s="769" t="str">
        <f>IF($F1150="","",$I1150+$J1150+$K1150)</f>
        <v/>
      </c>
      <c r="S1150" s="769" t="str">
        <f>IF(OR($F1150="",$P1150="支払なし",$H1150=0,$Q1150=""),"",$Q1150&amp;"|S|"&amp;(COUNTIF(S$4:S1149,$Q1150&amp;"|S|*")+1))</f>
        <v/>
      </c>
      <c r="T1150" s="769" t="str">
        <f>IF(OR($F1150="",$P1150="支払なし",$R1150=0,$Q1150=""),"",$Q1150&amp;"|L|"&amp;(COUNTIF(T$4:T1149,$Q1150&amp;"|L|*")+1))</f>
        <v/>
      </c>
      <c r="U1150" s="769" t="str">
        <f>IF($F1150="","",13)</f>
        <v/>
      </c>
    </row>
    <row r="1151" ht="16.5" customHeight="1" s="186">
      <c r="A1151" s="760" t="n"/>
      <c r="B1151" s="760" t="n"/>
      <c r="C1151" s="762" t="n"/>
      <c r="D1151" s="762" t="n"/>
      <c r="E1151" s="775" t="n"/>
      <c r="F1151" s="821" t="n"/>
      <c r="G1151" s="821" t="n"/>
      <c r="H1151" s="818">
        <f>IF(G1151=1,F1151-I1151-J1151-K1151,IF(G1151=2,F1151,0))</f>
        <v>0</v>
      </c>
      <c r="I1151" s="818">
        <f>ROUND(IF(G1151=1,F1151*10/23,IF(G1151=3,F1151-J1151-K1151,IF(G1151=4,F1151,IF(G1151=5,F1151*10/11,IF(G1151=7,F1151*10/11,0))))),0)</f>
        <v>0</v>
      </c>
      <c r="J1151" s="818">
        <f>ROUND(IF(G1151=1,F1151/23,IF(G1151=3,F1151/12,IF(G1151=5,F1151-I1151,IF(G1151=8,F1151,0)))),0)</f>
        <v>0</v>
      </c>
      <c r="K1151" s="819">
        <f>ROUND(IF(G1151=1,F1151/23,IF(G1151=3,F1151/12,IF(G1151=6,F1151,IF(G1151=7,F1151-I1151,0)))),0)</f>
        <v>0</v>
      </c>
      <c r="L1151" s="820">
        <f>IF(G1151=6,F1151,0)</f>
        <v>0</v>
      </c>
      <c r="P1151" s="768" t="n"/>
      <c r="Q1151" s="769" t="str">
        <f>IF($F1151="","",IFERROR(VLOOKUP($C1151&amp;"|"&amp;$D1151,科目表!$A$5:$B$200,2,FALSE),"※未登録"))</f>
        <v/>
      </c>
      <c r="R1151" s="769" t="str">
        <f>IF($F1151="","",$I1151+$J1151+$K1151)</f>
        <v/>
      </c>
      <c r="S1151" s="769" t="str">
        <f>IF(OR($F1151="",$P1151="支払なし",$H1151=0,$Q1151=""),"",$Q1151&amp;"|S|"&amp;(COUNTIF(S$4:S1150,$Q1151&amp;"|S|*")+1))</f>
        <v/>
      </c>
      <c r="T1151" s="769" t="str">
        <f>IF(OR($F1151="",$P1151="支払なし",$R1151=0,$Q1151=""),"",$Q1151&amp;"|L|"&amp;(COUNTIF(T$4:T1150,$Q1151&amp;"|L|*")+1))</f>
        <v/>
      </c>
      <c r="U1151" s="769" t="str">
        <f>IF($F1151="","",13)</f>
        <v/>
      </c>
    </row>
    <row r="1152" ht="16.5" customHeight="1" s="186">
      <c r="A1152" s="760" t="n"/>
      <c r="B1152" s="760" t="n"/>
      <c r="C1152" s="762" t="n"/>
      <c r="D1152" s="762" t="n"/>
      <c r="E1152" s="775" t="n"/>
      <c r="F1152" s="821" t="n"/>
      <c r="G1152" s="821" t="n"/>
      <c r="H1152" s="818">
        <f>IF(G1152=1,F1152-I1152-J1152-K1152,IF(G1152=2,F1152,0))</f>
        <v>0</v>
      </c>
      <c r="I1152" s="818">
        <f>ROUND(IF(G1152=1,F1152*10/23,IF(G1152=3,F1152-J1152-K1152,IF(G1152=4,F1152,IF(G1152=5,F1152*10/11,IF(G1152=7,F1152*10/11,0))))),0)</f>
        <v>0</v>
      </c>
      <c r="J1152" s="818">
        <f>ROUND(IF(G1152=1,F1152/23,IF(G1152=3,F1152/12,IF(G1152=5,F1152-I1152,IF(G1152=8,F1152,0)))),0)</f>
        <v>0</v>
      </c>
      <c r="K1152" s="819">
        <f>ROUND(IF(G1152=1,F1152/23,IF(G1152=3,F1152/12,IF(G1152=6,F1152,IF(G1152=7,F1152-I1152,0)))),0)</f>
        <v>0</v>
      </c>
      <c r="L1152" s="820">
        <f>IF(G1152=6,F1152,0)</f>
        <v>0</v>
      </c>
      <c r="P1152" s="768" t="n"/>
      <c r="Q1152" s="769" t="str">
        <f>IF($F1152="","",IFERROR(VLOOKUP($C1152&amp;"|"&amp;$D1152,科目表!$A$5:$B$200,2,FALSE),"※未登録"))</f>
        <v/>
      </c>
      <c r="R1152" s="769" t="str">
        <f>IF($F1152="","",$I1152+$J1152+$K1152)</f>
        <v/>
      </c>
      <c r="S1152" s="769" t="str">
        <f>IF(OR($F1152="",$P1152="支払なし",$H1152=0,$Q1152=""),"",$Q1152&amp;"|S|"&amp;(COUNTIF(S$4:S1151,$Q1152&amp;"|S|*")+1))</f>
        <v/>
      </c>
      <c r="T1152" s="769" t="str">
        <f>IF(OR($F1152="",$P1152="支払なし",$R1152=0,$Q1152=""),"",$Q1152&amp;"|L|"&amp;(COUNTIF(T$4:T1151,$Q1152&amp;"|L|*")+1))</f>
        <v/>
      </c>
      <c r="U1152" s="769" t="str">
        <f>IF($F1152="","",13)</f>
        <v/>
      </c>
    </row>
    <row r="1153" ht="16.5" customHeight="1" s="186">
      <c r="A1153" s="760" t="n"/>
      <c r="B1153" s="760" t="n"/>
      <c r="C1153" s="762" t="n"/>
      <c r="D1153" s="762" t="n"/>
      <c r="E1153" s="775" t="n"/>
      <c r="F1153" s="821" t="n"/>
      <c r="G1153" s="821" t="n"/>
      <c r="H1153" s="818">
        <f>IF(G1153=1,F1153-I1153-J1153-K1153,IF(G1153=2,F1153,0))</f>
        <v>0</v>
      </c>
      <c r="I1153" s="818">
        <f>ROUND(IF(G1153=1,F1153*10/23,IF(G1153=3,F1153-J1153-K1153,IF(G1153=4,F1153,IF(G1153=5,F1153*10/11,IF(G1153=7,F1153*10/11,0))))),0)</f>
        <v>0</v>
      </c>
      <c r="J1153" s="818">
        <f>ROUND(IF(G1153=1,F1153/23,IF(G1153=3,F1153/12,IF(G1153=5,F1153-I1153,IF(G1153=8,F1153,0)))),0)</f>
        <v>0</v>
      </c>
      <c r="K1153" s="819">
        <f>ROUND(IF(G1153=1,F1153/23,IF(G1153=3,F1153/12,IF(G1153=6,F1153,IF(G1153=7,F1153-I1153,0)))),0)</f>
        <v>0</v>
      </c>
      <c r="L1153" s="820">
        <f>IF(G1153=6,F1153,0)</f>
        <v>0</v>
      </c>
      <c r="P1153" s="768" t="n"/>
      <c r="Q1153" s="769" t="str">
        <f>IF($F1153="","",IFERROR(VLOOKUP($C1153&amp;"|"&amp;$D1153,科目表!$A$5:$B$200,2,FALSE),"※未登録"))</f>
        <v/>
      </c>
      <c r="R1153" s="769" t="str">
        <f>IF($F1153="","",$I1153+$J1153+$K1153)</f>
        <v/>
      </c>
      <c r="S1153" s="769" t="str">
        <f>IF(OR($F1153="",$P1153="支払なし",$H1153=0,$Q1153=""),"",$Q1153&amp;"|S|"&amp;(COUNTIF(S$4:S1152,$Q1153&amp;"|S|*")+1))</f>
        <v/>
      </c>
      <c r="T1153" s="769" t="str">
        <f>IF(OR($F1153="",$P1153="支払なし",$R1153=0,$Q1153=""),"",$Q1153&amp;"|L|"&amp;(COUNTIF(T$4:T1152,$Q1153&amp;"|L|*")+1))</f>
        <v/>
      </c>
      <c r="U1153" s="769" t="str">
        <f>IF($F1153="","",13)</f>
        <v/>
      </c>
    </row>
    <row r="1154" ht="16.5" customHeight="1" s="186">
      <c r="A1154" s="760" t="n"/>
      <c r="B1154" s="760" t="n"/>
      <c r="C1154" s="762" t="n"/>
      <c r="D1154" s="762" t="n"/>
      <c r="E1154" s="775" t="n"/>
      <c r="F1154" s="821" t="n"/>
      <c r="G1154" s="821" t="n"/>
      <c r="H1154" s="818">
        <f>IF(G1154=1,F1154-I1154-J1154-K1154,IF(G1154=2,F1154,0))</f>
        <v>0</v>
      </c>
      <c r="I1154" s="818">
        <f>ROUND(IF(G1154=1,F1154*10/23,IF(G1154=3,F1154-J1154-K1154,IF(G1154=4,F1154,IF(G1154=5,F1154*10/11,IF(G1154=7,F1154*10/11,0))))),0)</f>
        <v>0</v>
      </c>
      <c r="J1154" s="818">
        <f>ROUND(IF(G1154=1,F1154/23,IF(G1154=3,F1154/12,IF(G1154=5,F1154-I1154,IF(G1154=8,F1154,0)))),0)</f>
        <v>0</v>
      </c>
      <c r="K1154" s="819">
        <f>ROUND(IF(G1154=1,F1154/23,IF(G1154=3,F1154/12,IF(G1154=6,F1154,IF(G1154=7,F1154-I1154,0)))),0)</f>
        <v>0</v>
      </c>
      <c r="L1154" s="820">
        <f>IF(G1154=6,F1154,0)</f>
        <v>0</v>
      </c>
      <c r="P1154" s="768" t="n"/>
      <c r="Q1154" s="769" t="str">
        <f>IF($F1154="","",IFERROR(VLOOKUP($C1154&amp;"|"&amp;$D1154,科目表!$A$5:$B$200,2,FALSE),"※未登録"))</f>
        <v/>
      </c>
      <c r="R1154" s="769" t="str">
        <f>IF($F1154="","",$I1154+$J1154+$K1154)</f>
        <v/>
      </c>
      <c r="S1154" s="769" t="str">
        <f>IF(OR($F1154="",$P1154="支払なし",$H1154=0,$Q1154=""),"",$Q1154&amp;"|S|"&amp;(COUNTIF(S$4:S1153,$Q1154&amp;"|S|*")+1))</f>
        <v/>
      </c>
      <c r="T1154" s="769" t="str">
        <f>IF(OR($F1154="",$P1154="支払なし",$R1154=0,$Q1154=""),"",$Q1154&amp;"|L|"&amp;(COUNTIF(T$4:T1153,$Q1154&amp;"|L|*")+1))</f>
        <v/>
      </c>
      <c r="U1154" s="769" t="str">
        <f>IF($F1154="","",13)</f>
        <v/>
      </c>
    </row>
    <row r="1155" ht="16.5" customHeight="1" s="186">
      <c r="A1155" s="760" t="n"/>
      <c r="B1155" s="760" t="n"/>
      <c r="C1155" s="762" t="n"/>
      <c r="D1155" s="762" t="n"/>
      <c r="E1155" s="775" t="n"/>
      <c r="F1155" s="821" t="n"/>
      <c r="G1155" s="821" t="n"/>
      <c r="H1155" s="818">
        <f>IF(G1155=1,F1155-I1155-J1155-K1155,IF(G1155=2,F1155,0))</f>
        <v>0</v>
      </c>
      <c r="I1155" s="818">
        <f>ROUND(IF(G1155=1,F1155*10/23,IF(G1155=3,F1155-J1155-K1155,IF(G1155=4,F1155,IF(G1155=5,F1155*10/11,IF(G1155=7,F1155*10/11,0))))),0)</f>
        <v>0</v>
      </c>
      <c r="J1155" s="818">
        <f>ROUND(IF(G1155=1,F1155/23,IF(G1155=3,F1155/12,IF(G1155=5,F1155-I1155,IF(G1155=8,F1155,0)))),0)</f>
        <v>0</v>
      </c>
      <c r="K1155" s="819">
        <f>ROUND(IF(G1155=1,F1155/23,IF(G1155=3,F1155/12,IF(G1155=6,F1155,IF(G1155=7,F1155-I1155,0)))),0)</f>
        <v>0</v>
      </c>
      <c r="L1155" s="820">
        <f>IF(G1155=6,F1155,0)</f>
        <v>0</v>
      </c>
      <c r="P1155" s="768" t="n"/>
      <c r="Q1155" s="769" t="str">
        <f>IF($F1155="","",IFERROR(VLOOKUP($C1155&amp;"|"&amp;$D1155,科目表!$A$5:$B$200,2,FALSE),"※未登録"))</f>
        <v/>
      </c>
      <c r="R1155" s="769" t="str">
        <f>IF($F1155="","",$I1155+$J1155+$K1155)</f>
        <v/>
      </c>
      <c r="S1155" s="769" t="str">
        <f>IF(OR($F1155="",$P1155="支払なし",$H1155=0,$Q1155=""),"",$Q1155&amp;"|S|"&amp;(COUNTIF(S$4:S1154,$Q1155&amp;"|S|*")+1))</f>
        <v/>
      </c>
      <c r="T1155" s="769" t="str">
        <f>IF(OR($F1155="",$P1155="支払なし",$R1155=0,$Q1155=""),"",$Q1155&amp;"|L|"&amp;(COUNTIF(T$4:T1154,$Q1155&amp;"|L|*")+1))</f>
        <v/>
      </c>
      <c r="U1155" s="769" t="str">
        <f>IF($F1155="","",13)</f>
        <v/>
      </c>
    </row>
    <row r="1156" ht="16.5" customHeight="1" s="186">
      <c r="A1156" s="760" t="n"/>
      <c r="B1156" s="760" t="n"/>
      <c r="C1156" s="762" t="n"/>
      <c r="D1156" s="762" t="n"/>
      <c r="E1156" s="775" t="n"/>
      <c r="F1156" s="821" t="n"/>
      <c r="G1156" s="821" t="n"/>
      <c r="H1156" s="818">
        <f>IF(G1156=1,F1156-I1156-J1156-K1156,IF(G1156=2,F1156,0))</f>
        <v>0</v>
      </c>
      <c r="I1156" s="818">
        <f>ROUND(IF(G1156=1,F1156*10/23,IF(G1156=3,F1156-J1156-K1156,IF(G1156=4,F1156,IF(G1156=5,F1156*10/11,IF(G1156=7,F1156*10/11,0))))),0)</f>
        <v>0</v>
      </c>
      <c r="J1156" s="818">
        <f>ROUND(IF(G1156=1,F1156/23,IF(G1156=3,F1156/12,IF(G1156=5,F1156-I1156,IF(G1156=8,F1156,0)))),0)</f>
        <v>0</v>
      </c>
      <c r="K1156" s="819">
        <f>ROUND(IF(G1156=1,F1156/23,IF(G1156=3,F1156/12,IF(G1156=6,F1156,IF(G1156=7,F1156-I1156,0)))),0)</f>
        <v>0</v>
      </c>
      <c r="L1156" s="820">
        <f>IF(G1156=6,F1156,0)</f>
        <v>0</v>
      </c>
      <c r="P1156" s="768" t="n"/>
      <c r="Q1156" s="769" t="str">
        <f>IF($F1156="","",IFERROR(VLOOKUP($C1156&amp;"|"&amp;$D1156,科目表!$A$5:$B$200,2,FALSE),"※未登録"))</f>
        <v/>
      </c>
      <c r="R1156" s="769" t="str">
        <f>IF($F1156="","",$I1156+$J1156+$K1156)</f>
        <v/>
      </c>
      <c r="S1156" s="769" t="str">
        <f>IF(OR($F1156="",$P1156="支払なし",$H1156=0,$Q1156=""),"",$Q1156&amp;"|S|"&amp;(COUNTIF(S$4:S1155,$Q1156&amp;"|S|*")+1))</f>
        <v/>
      </c>
      <c r="T1156" s="769" t="str">
        <f>IF(OR($F1156="",$P1156="支払なし",$R1156=0,$Q1156=""),"",$Q1156&amp;"|L|"&amp;(COUNTIF(T$4:T1155,$Q1156&amp;"|L|*")+1))</f>
        <v/>
      </c>
      <c r="U1156" s="769" t="str">
        <f>IF($F1156="","",13)</f>
        <v/>
      </c>
    </row>
    <row r="1157" ht="16.5" customHeight="1" s="186">
      <c r="A1157" s="760" t="n"/>
      <c r="B1157" s="760" t="n"/>
      <c r="C1157" s="762" t="n"/>
      <c r="D1157" s="762" t="n"/>
      <c r="E1157" s="775" t="n"/>
      <c r="F1157" s="821" t="n"/>
      <c r="G1157" s="821" t="n"/>
      <c r="H1157" s="818">
        <f>IF(G1157=1,F1157-I1157-J1157-K1157,IF(G1157=2,F1157,0))</f>
        <v>0</v>
      </c>
      <c r="I1157" s="818">
        <f>ROUND(IF(G1157=1,F1157*10/23,IF(G1157=3,F1157-J1157-K1157,IF(G1157=4,F1157,IF(G1157=5,F1157*10/11,IF(G1157=7,F1157*10/11,0))))),0)</f>
        <v>0</v>
      </c>
      <c r="J1157" s="818">
        <f>ROUND(IF(G1157=1,F1157/23,IF(G1157=3,F1157/12,IF(G1157=5,F1157-I1157,IF(G1157=8,F1157,0)))),0)</f>
        <v>0</v>
      </c>
      <c r="K1157" s="819">
        <f>ROUND(IF(G1157=1,F1157/23,IF(G1157=3,F1157/12,IF(G1157=6,F1157,IF(G1157=7,F1157-I1157,0)))),0)</f>
        <v>0</v>
      </c>
      <c r="L1157" s="820">
        <f>IF(G1157=6,F1157,0)</f>
        <v>0</v>
      </c>
      <c r="P1157" s="768" t="n"/>
      <c r="Q1157" s="769" t="str">
        <f>IF($F1157="","",IFERROR(VLOOKUP($C1157&amp;"|"&amp;$D1157,科目表!$A$5:$B$200,2,FALSE),"※未登録"))</f>
        <v/>
      </c>
      <c r="R1157" s="769" t="str">
        <f>IF($F1157="","",$I1157+$J1157+$K1157)</f>
        <v/>
      </c>
      <c r="S1157" s="769" t="str">
        <f>IF(OR($F1157="",$P1157="支払なし",$H1157=0,$Q1157=""),"",$Q1157&amp;"|S|"&amp;(COUNTIF(S$4:S1156,$Q1157&amp;"|S|*")+1))</f>
        <v/>
      </c>
      <c r="T1157" s="769" t="str">
        <f>IF(OR($F1157="",$P1157="支払なし",$R1157=0,$Q1157=""),"",$Q1157&amp;"|L|"&amp;(COUNTIF(T$4:T1156,$Q1157&amp;"|L|*")+1))</f>
        <v/>
      </c>
      <c r="U1157" s="769" t="str">
        <f>IF($F1157="","",13)</f>
        <v/>
      </c>
    </row>
    <row r="1158" ht="16.5" customHeight="1" s="186">
      <c r="A1158" s="760" t="n"/>
      <c r="B1158" s="760" t="n"/>
      <c r="C1158" s="762" t="n"/>
      <c r="D1158" s="762" t="n"/>
      <c r="E1158" s="775" t="n"/>
      <c r="F1158" s="821" t="n"/>
      <c r="G1158" s="821" t="n"/>
      <c r="H1158" s="818">
        <f>IF(G1158=1,F1158-I1158-J1158-K1158,IF(G1158=2,F1158,0))</f>
        <v>0</v>
      </c>
      <c r="I1158" s="818">
        <f>ROUND(IF(G1158=1,F1158*10/23,IF(G1158=3,F1158-J1158-K1158,IF(G1158=4,F1158,IF(G1158=5,F1158*10/11,IF(G1158=7,F1158*10/11,0))))),0)</f>
        <v>0</v>
      </c>
      <c r="J1158" s="818">
        <f>ROUND(IF(G1158=1,F1158/23,IF(G1158=3,F1158/12,IF(G1158=5,F1158-I1158,IF(G1158=8,F1158,0)))),0)</f>
        <v>0</v>
      </c>
      <c r="K1158" s="819">
        <f>ROUND(IF(G1158=1,F1158/23,IF(G1158=3,F1158/12,IF(G1158=6,F1158,IF(G1158=7,F1158-I1158,0)))),0)</f>
        <v>0</v>
      </c>
      <c r="L1158" s="820">
        <f>IF(G1158=6,F1158,0)</f>
        <v>0</v>
      </c>
      <c r="P1158" s="768" t="n"/>
      <c r="Q1158" s="769" t="str">
        <f>IF($F1158="","",IFERROR(VLOOKUP($C1158&amp;"|"&amp;$D1158,科目表!$A$5:$B$200,2,FALSE),"※未登録"))</f>
        <v/>
      </c>
      <c r="R1158" s="769" t="str">
        <f>IF($F1158="","",$I1158+$J1158+$K1158)</f>
        <v/>
      </c>
      <c r="S1158" s="769" t="str">
        <f>IF(OR($F1158="",$P1158="支払なし",$H1158=0,$Q1158=""),"",$Q1158&amp;"|S|"&amp;(COUNTIF(S$4:S1157,$Q1158&amp;"|S|*")+1))</f>
        <v/>
      </c>
      <c r="T1158" s="769" t="str">
        <f>IF(OR($F1158="",$P1158="支払なし",$R1158=0,$Q1158=""),"",$Q1158&amp;"|L|"&amp;(COUNTIF(T$4:T1157,$Q1158&amp;"|L|*")+1))</f>
        <v/>
      </c>
      <c r="U1158" s="769" t="str">
        <f>IF($F1158="","",13)</f>
        <v/>
      </c>
    </row>
    <row r="1159" ht="16.5" customHeight="1" s="186">
      <c r="A1159" s="760" t="n"/>
      <c r="B1159" s="760" t="n"/>
      <c r="C1159" s="762" t="n"/>
      <c r="D1159" s="762" t="n"/>
      <c r="E1159" s="775" t="n"/>
      <c r="F1159" s="821" t="n"/>
      <c r="G1159" s="821" t="n"/>
      <c r="H1159" s="818">
        <f>IF(G1159=1,F1159-I1159-J1159-K1159,IF(G1159=2,F1159,0))</f>
        <v>0</v>
      </c>
      <c r="I1159" s="818">
        <f>ROUND(IF(G1159=1,F1159*10/23,IF(G1159=3,F1159-J1159-K1159,IF(G1159=4,F1159,IF(G1159=5,F1159*10/11,IF(G1159=7,F1159*10/11,0))))),0)</f>
        <v>0</v>
      </c>
      <c r="J1159" s="818">
        <f>ROUND(IF(G1159=1,F1159/23,IF(G1159=3,F1159/12,IF(G1159=5,F1159-I1159,IF(G1159=8,F1159,0)))),0)</f>
        <v>0</v>
      </c>
      <c r="K1159" s="819">
        <f>ROUND(IF(G1159=1,F1159/23,IF(G1159=3,F1159/12,IF(G1159=6,F1159,IF(G1159=7,F1159-I1159,0)))),0)</f>
        <v>0</v>
      </c>
      <c r="L1159" s="820">
        <f>IF(G1159=6,F1159,0)</f>
        <v>0</v>
      </c>
      <c r="P1159" s="768" t="n"/>
      <c r="Q1159" s="769" t="str">
        <f>IF($F1159="","",IFERROR(VLOOKUP($C1159&amp;"|"&amp;$D1159,科目表!$A$5:$B$200,2,FALSE),"※未登録"))</f>
        <v/>
      </c>
      <c r="R1159" s="769" t="str">
        <f>IF($F1159="","",$I1159+$J1159+$K1159)</f>
        <v/>
      </c>
      <c r="S1159" s="769" t="str">
        <f>IF(OR($F1159="",$P1159="支払なし",$H1159=0,$Q1159=""),"",$Q1159&amp;"|S|"&amp;(COUNTIF(S$4:S1158,$Q1159&amp;"|S|*")+1))</f>
        <v/>
      </c>
      <c r="T1159" s="769" t="str">
        <f>IF(OR($F1159="",$P1159="支払なし",$R1159=0,$Q1159=""),"",$Q1159&amp;"|L|"&amp;(COUNTIF(T$4:T1158,$Q1159&amp;"|L|*")+1))</f>
        <v/>
      </c>
      <c r="U1159" s="769" t="str">
        <f>IF($F1159="","",13)</f>
        <v/>
      </c>
    </row>
    <row r="1160" ht="16.5" customHeight="1" s="186">
      <c r="A1160" s="760" t="n"/>
      <c r="B1160" s="760" t="n"/>
      <c r="C1160" s="762" t="n"/>
      <c r="D1160" s="762" t="n"/>
      <c r="E1160" s="775" t="n"/>
      <c r="F1160" s="821" t="n"/>
      <c r="G1160" s="821" t="n"/>
      <c r="H1160" s="818">
        <f>IF(G1160=1,F1160-I1160-J1160-K1160,IF(G1160=2,F1160,0))</f>
        <v>0</v>
      </c>
      <c r="I1160" s="818">
        <f>ROUND(IF(G1160=1,F1160*10/23,IF(G1160=3,F1160-J1160-K1160,IF(G1160=4,F1160,IF(G1160=5,F1160*10/11,IF(G1160=7,F1160*10/11,0))))),0)</f>
        <v>0</v>
      </c>
      <c r="J1160" s="818">
        <f>ROUND(IF(G1160=1,F1160/23,IF(G1160=3,F1160/12,IF(G1160=5,F1160-I1160,IF(G1160=8,F1160,0)))),0)</f>
        <v>0</v>
      </c>
      <c r="K1160" s="819">
        <f>ROUND(IF(G1160=1,F1160/23,IF(G1160=3,F1160/12,IF(G1160=6,F1160,IF(G1160=7,F1160-I1160,0)))),0)</f>
        <v>0</v>
      </c>
      <c r="L1160" s="820">
        <f>IF(G1160=6,F1160,0)</f>
        <v>0</v>
      </c>
      <c r="P1160" s="768" t="n"/>
      <c r="Q1160" s="769" t="str">
        <f>IF($F1160="","",IFERROR(VLOOKUP($C1160&amp;"|"&amp;$D1160,科目表!$A$5:$B$200,2,FALSE),"※未登録"))</f>
        <v/>
      </c>
      <c r="R1160" s="769" t="str">
        <f>IF($F1160="","",$I1160+$J1160+$K1160)</f>
        <v/>
      </c>
      <c r="S1160" s="769" t="str">
        <f>IF(OR($F1160="",$P1160="支払なし",$H1160=0,$Q1160=""),"",$Q1160&amp;"|S|"&amp;(COUNTIF(S$4:S1159,$Q1160&amp;"|S|*")+1))</f>
        <v/>
      </c>
      <c r="T1160" s="769" t="str">
        <f>IF(OR($F1160="",$P1160="支払なし",$R1160=0,$Q1160=""),"",$Q1160&amp;"|L|"&amp;(COUNTIF(T$4:T1159,$Q1160&amp;"|L|*")+1))</f>
        <v/>
      </c>
      <c r="U1160" s="769" t="str">
        <f>IF($F1160="","",13)</f>
        <v/>
      </c>
    </row>
    <row r="1161" ht="16.5" customHeight="1" s="186">
      <c r="A1161" s="760" t="n"/>
      <c r="B1161" s="760" t="n"/>
      <c r="C1161" s="762" t="n"/>
      <c r="D1161" s="762" t="n"/>
      <c r="E1161" s="775" t="n"/>
      <c r="F1161" s="821" t="n"/>
      <c r="G1161" s="821" t="n"/>
      <c r="H1161" s="818">
        <f>IF(G1161=1,F1161-I1161-J1161-K1161,IF(G1161=2,F1161,0))</f>
        <v>0</v>
      </c>
      <c r="I1161" s="818">
        <f>ROUND(IF(G1161=1,F1161*10/23,IF(G1161=3,F1161-J1161-K1161,IF(G1161=4,F1161,IF(G1161=5,F1161*10/11,IF(G1161=7,F1161*10/11,0))))),0)</f>
        <v>0</v>
      </c>
      <c r="J1161" s="818">
        <f>ROUND(IF(G1161=1,F1161/23,IF(G1161=3,F1161/12,IF(G1161=5,F1161-I1161,IF(G1161=8,F1161,0)))),0)</f>
        <v>0</v>
      </c>
      <c r="K1161" s="819">
        <f>ROUND(IF(G1161=1,F1161/23,IF(G1161=3,F1161/12,IF(G1161=6,F1161,IF(G1161=7,F1161-I1161,0)))),0)</f>
        <v>0</v>
      </c>
      <c r="L1161" s="820">
        <f>IF(G1161=6,F1161,0)</f>
        <v>0</v>
      </c>
      <c r="P1161" s="768" t="n"/>
      <c r="Q1161" s="769" t="str">
        <f>IF($F1161="","",IFERROR(VLOOKUP($C1161&amp;"|"&amp;$D1161,科目表!$A$5:$B$200,2,FALSE),"※未登録"))</f>
        <v/>
      </c>
      <c r="R1161" s="769" t="str">
        <f>IF($F1161="","",$I1161+$J1161+$K1161)</f>
        <v/>
      </c>
      <c r="S1161" s="769" t="str">
        <f>IF(OR($F1161="",$P1161="支払なし",$H1161=0,$Q1161=""),"",$Q1161&amp;"|S|"&amp;(COUNTIF(S$4:S1160,$Q1161&amp;"|S|*")+1))</f>
        <v/>
      </c>
      <c r="T1161" s="769" t="str">
        <f>IF(OR($F1161="",$P1161="支払なし",$R1161=0,$Q1161=""),"",$Q1161&amp;"|L|"&amp;(COUNTIF(T$4:T1160,$Q1161&amp;"|L|*")+1))</f>
        <v/>
      </c>
      <c r="U1161" s="769" t="str">
        <f>IF($F1161="","",13)</f>
        <v/>
      </c>
    </row>
    <row r="1162" ht="16.5" customHeight="1" s="186">
      <c r="A1162" s="760" t="n"/>
      <c r="B1162" s="760" t="n"/>
      <c r="C1162" s="762" t="n"/>
      <c r="D1162" s="762" t="n"/>
      <c r="E1162" s="775" t="n"/>
      <c r="F1162" s="821" t="n"/>
      <c r="G1162" s="821" t="n"/>
      <c r="H1162" s="818">
        <f>IF(G1162=1,F1162-I1162-J1162-K1162,IF(G1162=2,F1162,0))</f>
        <v>0</v>
      </c>
      <c r="I1162" s="818">
        <f>ROUND(IF(G1162=1,F1162*10/23,IF(G1162=3,F1162-J1162-K1162,IF(G1162=4,F1162,IF(G1162=5,F1162*10/11,IF(G1162=7,F1162*10/11,0))))),0)</f>
        <v>0</v>
      </c>
      <c r="J1162" s="818">
        <f>ROUND(IF(G1162=1,F1162/23,IF(G1162=3,F1162/12,IF(G1162=5,F1162-I1162,IF(G1162=8,F1162,0)))),0)</f>
        <v>0</v>
      </c>
      <c r="K1162" s="819">
        <f>ROUND(IF(G1162=1,F1162/23,IF(G1162=3,F1162/12,IF(G1162=6,F1162,IF(G1162=7,F1162-I1162,0)))),0)</f>
        <v>0</v>
      </c>
      <c r="L1162" s="820">
        <f>IF(G1162=6,F1162,0)</f>
        <v>0</v>
      </c>
      <c r="P1162" s="768" t="n"/>
      <c r="Q1162" s="769" t="str">
        <f>IF($F1162="","",IFERROR(VLOOKUP($C1162&amp;"|"&amp;$D1162,科目表!$A$5:$B$200,2,FALSE),"※未登録"))</f>
        <v/>
      </c>
      <c r="R1162" s="769" t="str">
        <f>IF($F1162="","",$I1162+$J1162+$K1162)</f>
        <v/>
      </c>
      <c r="S1162" s="769" t="str">
        <f>IF(OR($F1162="",$P1162="支払なし",$H1162=0,$Q1162=""),"",$Q1162&amp;"|S|"&amp;(COUNTIF(S$4:S1161,$Q1162&amp;"|S|*")+1))</f>
        <v/>
      </c>
      <c r="T1162" s="769" t="str">
        <f>IF(OR($F1162="",$P1162="支払なし",$R1162=0,$Q1162=""),"",$Q1162&amp;"|L|"&amp;(COUNTIF(T$4:T1161,$Q1162&amp;"|L|*")+1))</f>
        <v/>
      </c>
      <c r="U1162" s="769" t="str">
        <f>IF($F1162="","",13)</f>
        <v/>
      </c>
    </row>
    <row r="1163" ht="16.5" customHeight="1" s="186">
      <c r="A1163" s="760" t="n"/>
      <c r="B1163" s="760" t="n"/>
      <c r="C1163" s="762" t="n"/>
      <c r="D1163" s="762" t="n"/>
      <c r="E1163" s="775" t="n"/>
      <c r="F1163" s="821" t="n"/>
      <c r="G1163" s="821" t="n"/>
      <c r="H1163" s="818">
        <f>IF(G1163=1,F1163-I1163-J1163-K1163,IF(G1163=2,F1163,0))</f>
        <v>0</v>
      </c>
      <c r="I1163" s="818">
        <f>ROUND(IF(G1163=1,F1163*10/23,IF(G1163=3,F1163-J1163-K1163,IF(G1163=4,F1163,IF(G1163=5,F1163*10/11,IF(G1163=7,F1163*10/11,0))))),0)</f>
        <v>0</v>
      </c>
      <c r="J1163" s="818">
        <f>ROUND(IF(G1163=1,F1163/23,IF(G1163=3,F1163/12,IF(G1163=5,F1163-I1163,IF(G1163=8,F1163,0)))),0)</f>
        <v>0</v>
      </c>
      <c r="K1163" s="819">
        <f>ROUND(IF(G1163=1,F1163/23,IF(G1163=3,F1163/12,IF(G1163=6,F1163,IF(G1163=7,F1163-I1163,0)))),0)</f>
        <v>0</v>
      </c>
      <c r="L1163" s="820">
        <f>IF(G1163=6,F1163,0)</f>
        <v>0</v>
      </c>
      <c r="P1163" s="768" t="n"/>
      <c r="Q1163" s="769" t="str">
        <f>IF($F1163="","",IFERROR(VLOOKUP($C1163&amp;"|"&amp;$D1163,科目表!$A$5:$B$200,2,FALSE),"※未登録"))</f>
        <v/>
      </c>
      <c r="R1163" s="769" t="str">
        <f>IF($F1163="","",$I1163+$J1163+$K1163)</f>
        <v/>
      </c>
      <c r="S1163" s="769" t="str">
        <f>IF(OR($F1163="",$P1163="支払なし",$H1163=0,$Q1163=""),"",$Q1163&amp;"|S|"&amp;(COUNTIF(S$4:S1162,$Q1163&amp;"|S|*")+1))</f>
        <v/>
      </c>
      <c r="T1163" s="769" t="str">
        <f>IF(OR($F1163="",$P1163="支払なし",$R1163=0,$Q1163=""),"",$Q1163&amp;"|L|"&amp;(COUNTIF(T$4:T1162,$Q1163&amp;"|L|*")+1))</f>
        <v/>
      </c>
      <c r="U1163" s="769" t="str">
        <f>IF($F1163="","",13)</f>
        <v/>
      </c>
    </row>
    <row r="1164" ht="16.5" customHeight="1" s="186">
      <c r="A1164" s="760" t="n"/>
      <c r="B1164" s="760" t="n"/>
      <c r="C1164" s="762" t="n"/>
      <c r="D1164" s="762" t="n"/>
      <c r="E1164" s="775" t="n"/>
      <c r="F1164" s="821" t="n"/>
      <c r="G1164" s="821" t="n"/>
      <c r="H1164" s="818">
        <f>IF(G1164=1,F1164-I1164-J1164-K1164,IF(G1164=2,F1164,0))</f>
        <v>0</v>
      </c>
      <c r="I1164" s="818">
        <f>ROUND(IF(G1164=1,F1164*10/23,IF(G1164=3,F1164-J1164-K1164,IF(G1164=4,F1164,IF(G1164=5,F1164*10/11,IF(G1164=7,F1164*10/11,0))))),0)</f>
        <v>0</v>
      </c>
      <c r="J1164" s="818">
        <f>ROUND(IF(G1164=1,F1164/23,IF(G1164=3,F1164/12,IF(G1164=5,F1164-I1164,IF(G1164=8,F1164,0)))),0)</f>
        <v>0</v>
      </c>
      <c r="K1164" s="819">
        <f>ROUND(IF(G1164=1,F1164/23,IF(G1164=3,F1164/12,IF(G1164=6,F1164,IF(G1164=7,F1164-I1164,0)))),0)</f>
        <v>0</v>
      </c>
      <c r="L1164" s="820">
        <f>IF(G1164=6,F1164,0)</f>
        <v>0</v>
      </c>
      <c r="P1164" s="768" t="n"/>
      <c r="Q1164" s="769" t="str">
        <f>IF($F1164="","",IFERROR(VLOOKUP($C1164&amp;"|"&amp;$D1164,科目表!$A$5:$B$200,2,FALSE),"※未登録"))</f>
        <v/>
      </c>
      <c r="R1164" s="769" t="str">
        <f>IF($F1164="","",$I1164+$J1164+$K1164)</f>
        <v/>
      </c>
      <c r="S1164" s="769" t="str">
        <f>IF(OR($F1164="",$P1164="支払なし",$H1164=0,$Q1164=""),"",$Q1164&amp;"|S|"&amp;(COUNTIF(S$4:S1163,$Q1164&amp;"|S|*")+1))</f>
        <v/>
      </c>
      <c r="T1164" s="769" t="str">
        <f>IF(OR($F1164="",$P1164="支払なし",$R1164=0,$Q1164=""),"",$Q1164&amp;"|L|"&amp;(COUNTIF(T$4:T1163,$Q1164&amp;"|L|*")+1))</f>
        <v/>
      </c>
      <c r="U1164" s="769" t="str">
        <f>IF($F1164="","",13)</f>
        <v/>
      </c>
    </row>
    <row r="1165" ht="16.5" customHeight="1" s="186">
      <c r="A1165" s="760" t="n"/>
      <c r="B1165" s="760" t="n"/>
      <c r="C1165" s="762" t="n"/>
      <c r="D1165" s="762" t="n"/>
      <c r="E1165" s="775" t="n"/>
      <c r="F1165" s="821" t="n"/>
      <c r="G1165" s="821" t="n"/>
      <c r="H1165" s="818">
        <f>IF(G1165=1,F1165-I1165-J1165-K1165,IF(G1165=2,F1165,0))</f>
        <v>0</v>
      </c>
      <c r="I1165" s="818">
        <f>ROUND(IF(G1165=1,F1165*10/23,IF(G1165=3,F1165-J1165-K1165,IF(G1165=4,F1165,IF(G1165=5,F1165*10/11,IF(G1165=7,F1165*10/11,0))))),0)</f>
        <v>0</v>
      </c>
      <c r="J1165" s="818">
        <f>ROUND(IF(G1165=1,F1165/23,IF(G1165=3,F1165/12,IF(G1165=5,F1165-I1165,IF(G1165=8,F1165,0)))),0)</f>
        <v>0</v>
      </c>
      <c r="K1165" s="819">
        <f>ROUND(IF(G1165=1,F1165/23,IF(G1165=3,F1165/12,IF(G1165=6,F1165,IF(G1165=7,F1165-I1165,0)))),0)</f>
        <v>0</v>
      </c>
      <c r="L1165" s="820">
        <f>IF(G1165=6,F1165,0)</f>
        <v>0</v>
      </c>
      <c r="P1165" s="768" t="n"/>
      <c r="Q1165" s="769" t="str">
        <f>IF($F1165="","",IFERROR(VLOOKUP($C1165&amp;"|"&amp;$D1165,科目表!$A$5:$B$200,2,FALSE),"※未登録"))</f>
        <v/>
      </c>
      <c r="R1165" s="769" t="str">
        <f>IF($F1165="","",$I1165+$J1165+$K1165)</f>
        <v/>
      </c>
      <c r="S1165" s="769" t="str">
        <f>IF(OR($F1165="",$P1165="支払なし",$H1165=0,$Q1165=""),"",$Q1165&amp;"|S|"&amp;(COUNTIF(S$4:S1164,$Q1165&amp;"|S|*")+1))</f>
        <v/>
      </c>
      <c r="T1165" s="769" t="str">
        <f>IF(OR($F1165="",$P1165="支払なし",$R1165=0,$Q1165=""),"",$Q1165&amp;"|L|"&amp;(COUNTIF(T$4:T1164,$Q1165&amp;"|L|*")+1))</f>
        <v/>
      </c>
      <c r="U1165" s="769" t="str">
        <f>IF($F1165="","",13)</f>
        <v/>
      </c>
    </row>
    <row r="1166" ht="16.5" customHeight="1" s="186">
      <c r="A1166" s="760" t="n"/>
      <c r="B1166" s="760" t="n"/>
      <c r="C1166" s="762" t="n"/>
      <c r="D1166" s="762" t="n"/>
      <c r="E1166" s="775" t="n"/>
      <c r="F1166" s="821" t="n"/>
      <c r="G1166" s="821" t="n"/>
      <c r="H1166" s="818">
        <f>IF(G1166=1,F1166-I1166-J1166-K1166,IF(G1166=2,F1166,0))</f>
        <v>0</v>
      </c>
      <c r="I1166" s="818">
        <f>ROUND(IF(G1166=1,F1166*10/23,IF(G1166=3,F1166-J1166-K1166,IF(G1166=4,F1166,IF(G1166=5,F1166*10/11,IF(G1166=7,F1166*10/11,0))))),0)</f>
        <v>0</v>
      </c>
      <c r="J1166" s="818">
        <f>ROUND(IF(G1166=1,F1166/23,IF(G1166=3,F1166/12,IF(G1166=5,F1166-I1166,IF(G1166=8,F1166,0)))),0)</f>
        <v>0</v>
      </c>
      <c r="K1166" s="819">
        <f>ROUND(IF(G1166=1,F1166/23,IF(G1166=3,F1166/12,IF(G1166=6,F1166,IF(G1166=7,F1166-I1166,0)))),0)</f>
        <v>0</v>
      </c>
      <c r="L1166" s="820">
        <f>IF(G1166=6,F1166,0)</f>
        <v>0</v>
      </c>
      <c r="P1166" s="768" t="n"/>
      <c r="Q1166" s="769" t="str">
        <f>IF($F1166="","",IFERROR(VLOOKUP($C1166&amp;"|"&amp;$D1166,科目表!$A$5:$B$200,2,FALSE),"※未登録"))</f>
        <v/>
      </c>
      <c r="R1166" s="769" t="str">
        <f>IF($F1166="","",$I1166+$J1166+$K1166)</f>
        <v/>
      </c>
      <c r="S1166" s="769" t="str">
        <f>IF(OR($F1166="",$P1166="支払なし",$H1166=0,$Q1166=""),"",$Q1166&amp;"|S|"&amp;(COUNTIF(S$4:S1165,$Q1166&amp;"|S|*")+1))</f>
        <v/>
      </c>
      <c r="T1166" s="769" t="str">
        <f>IF(OR($F1166="",$P1166="支払なし",$R1166=0,$Q1166=""),"",$Q1166&amp;"|L|"&amp;(COUNTIF(T$4:T1165,$Q1166&amp;"|L|*")+1))</f>
        <v/>
      </c>
      <c r="U1166" s="769" t="str">
        <f>IF($F1166="","",13)</f>
        <v/>
      </c>
    </row>
    <row r="1167" ht="16.5" customHeight="1" s="186">
      <c r="A1167" s="760" t="n"/>
      <c r="B1167" s="760" t="n"/>
      <c r="C1167" s="762" t="n"/>
      <c r="D1167" s="762" t="n"/>
      <c r="E1167" s="775" t="n"/>
      <c r="F1167" s="821" t="n"/>
      <c r="G1167" s="821" t="n"/>
      <c r="H1167" s="818">
        <f>IF(G1167=1,F1167-I1167-J1167-K1167,IF(G1167=2,F1167,0))</f>
        <v>0</v>
      </c>
      <c r="I1167" s="818">
        <f>ROUND(IF(G1167=1,F1167*10/23,IF(G1167=3,F1167-J1167-K1167,IF(G1167=4,F1167,IF(G1167=5,F1167*10/11,IF(G1167=7,F1167*10/11,0))))),0)</f>
        <v>0</v>
      </c>
      <c r="J1167" s="818">
        <f>ROUND(IF(G1167=1,F1167/23,IF(G1167=3,F1167/12,IF(G1167=5,F1167-I1167,IF(G1167=8,F1167,0)))),0)</f>
        <v>0</v>
      </c>
      <c r="K1167" s="819">
        <f>ROUND(IF(G1167=1,F1167/23,IF(G1167=3,F1167/12,IF(G1167=6,F1167,IF(G1167=7,F1167-I1167,0)))),0)</f>
        <v>0</v>
      </c>
      <c r="L1167" s="820">
        <f>IF(G1167=6,F1167,0)</f>
        <v>0</v>
      </c>
      <c r="P1167" s="768" t="n"/>
      <c r="Q1167" s="769" t="str">
        <f>IF($F1167="","",IFERROR(VLOOKUP($C1167&amp;"|"&amp;$D1167,科目表!$A$5:$B$200,2,FALSE),"※未登録"))</f>
        <v/>
      </c>
      <c r="R1167" s="769" t="str">
        <f>IF($F1167="","",$I1167+$J1167+$K1167)</f>
        <v/>
      </c>
      <c r="S1167" s="769" t="str">
        <f>IF(OR($F1167="",$P1167="支払なし",$H1167=0,$Q1167=""),"",$Q1167&amp;"|S|"&amp;(COUNTIF(S$4:S1166,$Q1167&amp;"|S|*")+1))</f>
        <v/>
      </c>
      <c r="T1167" s="769" t="str">
        <f>IF(OR($F1167="",$P1167="支払なし",$R1167=0,$Q1167=""),"",$Q1167&amp;"|L|"&amp;(COUNTIF(T$4:T1166,$Q1167&amp;"|L|*")+1))</f>
        <v/>
      </c>
      <c r="U1167" s="769" t="str">
        <f>IF($F1167="","",13)</f>
        <v/>
      </c>
    </row>
    <row r="1168" ht="16.5" customHeight="1" s="186">
      <c r="A1168" s="760" t="n"/>
      <c r="B1168" s="760" t="n"/>
      <c r="C1168" s="762" t="n"/>
      <c r="D1168" s="762" t="n"/>
      <c r="E1168" s="775" t="n"/>
      <c r="F1168" s="821" t="n"/>
      <c r="G1168" s="821" t="n"/>
      <c r="H1168" s="818">
        <f>IF(G1168=1,F1168-I1168-J1168-K1168,IF(G1168=2,F1168,0))</f>
        <v>0</v>
      </c>
      <c r="I1168" s="818">
        <f>ROUND(IF(G1168=1,F1168*10/23,IF(G1168=3,F1168-J1168-K1168,IF(G1168=4,F1168,IF(G1168=5,F1168*10/11,IF(G1168=7,F1168*10/11,0))))),0)</f>
        <v>0</v>
      </c>
      <c r="J1168" s="818">
        <f>ROUND(IF(G1168=1,F1168/23,IF(G1168=3,F1168/12,IF(G1168=5,F1168-I1168,IF(G1168=8,F1168,0)))),0)</f>
        <v>0</v>
      </c>
      <c r="K1168" s="819">
        <f>ROUND(IF(G1168=1,F1168/23,IF(G1168=3,F1168/12,IF(G1168=6,F1168,IF(G1168=7,F1168-I1168,0)))),0)</f>
        <v>0</v>
      </c>
      <c r="L1168" s="820">
        <f>IF(G1168=6,F1168,0)</f>
        <v>0</v>
      </c>
      <c r="P1168" s="768" t="n"/>
      <c r="Q1168" s="769" t="str">
        <f>IF($F1168="","",IFERROR(VLOOKUP($C1168&amp;"|"&amp;$D1168,科目表!$A$5:$B$200,2,FALSE),"※未登録"))</f>
        <v/>
      </c>
      <c r="R1168" s="769" t="str">
        <f>IF($F1168="","",$I1168+$J1168+$K1168)</f>
        <v/>
      </c>
      <c r="S1168" s="769" t="str">
        <f>IF(OR($F1168="",$P1168="支払なし",$H1168=0,$Q1168=""),"",$Q1168&amp;"|S|"&amp;(COUNTIF(S$4:S1167,$Q1168&amp;"|S|*")+1))</f>
        <v/>
      </c>
      <c r="T1168" s="769" t="str">
        <f>IF(OR($F1168="",$P1168="支払なし",$R1168=0,$Q1168=""),"",$Q1168&amp;"|L|"&amp;(COUNTIF(T$4:T1167,$Q1168&amp;"|L|*")+1))</f>
        <v/>
      </c>
      <c r="U1168" s="769" t="str">
        <f>IF($F1168="","",13)</f>
        <v/>
      </c>
    </row>
    <row r="1169" ht="16.5" customHeight="1" s="186">
      <c r="A1169" s="760" t="n"/>
      <c r="B1169" s="760" t="n"/>
      <c r="C1169" s="762" t="n"/>
      <c r="D1169" s="762" t="n"/>
      <c r="E1169" s="775" t="n"/>
      <c r="F1169" s="821" t="n"/>
      <c r="G1169" s="821" t="n"/>
      <c r="H1169" s="818">
        <f>IF(G1169=1,F1169-I1169-J1169-K1169,IF(G1169=2,F1169,0))</f>
        <v>0</v>
      </c>
      <c r="I1169" s="818">
        <f>ROUND(IF(G1169=1,F1169*10/23,IF(G1169=3,F1169-J1169-K1169,IF(G1169=4,F1169,IF(G1169=5,F1169*10/11,IF(G1169=7,F1169*10/11,0))))),0)</f>
        <v>0</v>
      </c>
      <c r="J1169" s="818">
        <f>ROUND(IF(G1169=1,F1169/23,IF(G1169=3,F1169/12,IF(G1169=5,F1169-I1169,IF(G1169=8,F1169,0)))),0)</f>
        <v>0</v>
      </c>
      <c r="K1169" s="819">
        <f>ROUND(IF(G1169=1,F1169/23,IF(G1169=3,F1169/12,IF(G1169=6,F1169,IF(G1169=7,F1169-I1169,0)))),0)</f>
        <v>0</v>
      </c>
      <c r="L1169" s="820">
        <f>IF(G1169=6,F1169,0)</f>
        <v>0</v>
      </c>
      <c r="P1169" s="768" t="n"/>
      <c r="Q1169" s="769" t="str">
        <f>IF($F1169="","",IFERROR(VLOOKUP($C1169&amp;"|"&amp;$D1169,科目表!$A$5:$B$200,2,FALSE),"※未登録"))</f>
        <v/>
      </c>
      <c r="R1169" s="769" t="str">
        <f>IF($F1169="","",$I1169+$J1169+$K1169)</f>
        <v/>
      </c>
      <c r="S1169" s="769" t="str">
        <f>IF(OR($F1169="",$P1169="支払なし",$H1169=0,$Q1169=""),"",$Q1169&amp;"|S|"&amp;(COUNTIF(S$4:S1168,$Q1169&amp;"|S|*")+1))</f>
        <v/>
      </c>
      <c r="T1169" s="769" t="str">
        <f>IF(OR($F1169="",$P1169="支払なし",$R1169=0,$Q1169=""),"",$Q1169&amp;"|L|"&amp;(COUNTIF(T$4:T1168,$Q1169&amp;"|L|*")+1))</f>
        <v/>
      </c>
      <c r="U1169" s="769" t="str">
        <f>IF($F1169="","",13)</f>
        <v/>
      </c>
    </row>
    <row r="1170" ht="16.5" customHeight="1" s="186">
      <c r="A1170" s="760" t="n"/>
      <c r="B1170" s="760" t="n"/>
      <c r="C1170" s="762" t="n"/>
      <c r="D1170" s="762" t="n"/>
      <c r="E1170" s="775" t="n"/>
      <c r="F1170" s="821" t="n"/>
      <c r="G1170" s="821" t="n"/>
      <c r="H1170" s="818">
        <f>IF(G1170=1,F1170-I1170-J1170-K1170,IF(G1170=2,F1170,0))</f>
        <v>0</v>
      </c>
      <c r="I1170" s="818">
        <f>ROUND(IF(G1170=1,F1170*10/23,IF(G1170=3,F1170-J1170-K1170,IF(G1170=4,F1170,IF(G1170=5,F1170*10/11,IF(G1170=7,F1170*10/11,0))))),0)</f>
        <v>0</v>
      </c>
      <c r="J1170" s="818">
        <f>ROUND(IF(G1170=1,F1170/23,IF(G1170=3,F1170/12,IF(G1170=5,F1170-I1170,IF(G1170=8,F1170,0)))),0)</f>
        <v>0</v>
      </c>
      <c r="K1170" s="819">
        <f>ROUND(IF(G1170=1,F1170/23,IF(G1170=3,F1170/12,IF(G1170=6,F1170,IF(G1170=7,F1170-I1170,0)))),0)</f>
        <v>0</v>
      </c>
      <c r="L1170" s="820">
        <f>IF(G1170=6,F1170,0)</f>
        <v>0</v>
      </c>
      <c r="P1170" s="768" t="n"/>
      <c r="Q1170" s="769" t="str">
        <f>IF($F1170="","",IFERROR(VLOOKUP($C1170&amp;"|"&amp;$D1170,科目表!$A$5:$B$200,2,FALSE),"※未登録"))</f>
        <v/>
      </c>
      <c r="R1170" s="769" t="str">
        <f>IF($F1170="","",$I1170+$J1170+$K1170)</f>
        <v/>
      </c>
      <c r="S1170" s="769" t="str">
        <f>IF(OR($F1170="",$P1170="支払なし",$H1170=0,$Q1170=""),"",$Q1170&amp;"|S|"&amp;(COUNTIF(S$4:S1169,$Q1170&amp;"|S|*")+1))</f>
        <v/>
      </c>
      <c r="T1170" s="769" t="str">
        <f>IF(OR($F1170="",$P1170="支払なし",$R1170=0,$Q1170=""),"",$Q1170&amp;"|L|"&amp;(COUNTIF(T$4:T1169,$Q1170&amp;"|L|*")+1))</f>
        <v/>
      </c>
      <c r="U1170" s="769" t="str">
        <f>IF($F1170="","",13)</f>
        <v/>
      </c>
    </row>
    <row r="1171" ht="16.5" customHeight="1" s="186">
      <c r="A1171" s="760" t="n"/>
      <c r="B1171" s="760" t="n"/>
      <c r="C1171" s="762" t="n"/>
      <c r="D1171" s="762" t="n"/>
      <c r="E1171" s="775" t="n"/>
      <c r="F1171" s="821" t="n"/>
      <c r="G1171" s="821" t="n"/>
      <c r="H1171" s="818">
        <f>IF(G1171=1,F1171-I1171-J1171-K1171,IF(G1171=2,F1171,0))</f>
        <v>0</v>
      </c>
      <c r="I1171" s="818">
        <f>ROUND(IF(G1171=1,F1171*10/23,IF(G1171=3,F1171-J1171-K1171,IF(G1171=4,F1171,IF(G1171=5,F1171*10/11,IF(G1171=7,F1171*10/11,0))))),0)</f>
        <v>0</v>
      </c>
      <c r="J1171" s="818">
        <f>ROUND(IF(G1171=1,F1171/23,IF(G1171=3,F1171/12,IF(G1171=5,F1171-I1171,IF(G1171=8,F1171,0)))),0)</f>
        <v>0</v>
      </c>
      <c r="K1171" s="819">
        <f>ROUND(IF(G1171=1,F1171/23,IF(G1171=3,F1171/12,IF(G1171=6,F1171,IF(G1171=7,F1171-I1171,0)))),0)</f>
        <v>0</v>
      </c>
      <c r="L1171" s="820">
        <f>IF(G1171=6,F1171,0)</f>
        <v>0</v>
      </c>
      <c r="P1171" s="768" t="n"/>
      <c r="Q1171" s="769" t="str">
        <f>IF($F1171="","",IFERROR(VLOOKUP($C1171&amp;"|"&amp;$D1171,科目表!$A$5:$B$200,2,FALSE),"※未登録"))</f>
        <v/>
      </c>
      <c r="R1171" s="769" t="str">
        <f>IF($F1171="","",$I1171+$J1171+$K1171)</f>
        <v/>
      </c>
      <c r="S1171" s="769" t="str">
        <f>IF(OR($F1171="",$P1171="支払なし",$H1171=0,$Q1171=""),"",$Q1171&amp;"|S|"&amp;(COUNTIF(S$4:S1170,$Q1171&amp;"|S|*")+1))</f>
        <v/>
      </c>
      <c r="T1171" s="769" t="str">
        <f>IF(OR($F1171="",$P1171="支払なし",$R1171=0,$Q1171=""),"",$Q1171&amp;"|L|"&amp;(COUNTIF(T$4:T1170,$Q1171&amp;"|L|*")+1))</f>
        <v/>
      </c>
      <c r="U1171" s="769" t="str">
        <f>IF($F1171="","",13)</f>
        <v/>
      </c>
    </row>
    <row r="1172" ht="16.5" customHeight="1" s="186">
      <c r="A1172" s="760" t="n"/>
      <c r="B1172" s="760" t="n"/>
      <c r="C1172" s="762" t="n"/>
      <c r="D1172" s="762" t="n"/>
      <c r="E1172" s="775" t="n"/>
      <c r="F1172" s="821" t="n"/>
      <c r="G1172" s="821" t="n"/>
      <c r="H1172" s="818">
        <f>IF(G1172=1,F1172-I1172-J1172-K1172,IF(G1172=2,F1172,0))</f>
        <v>0</v>
      </c>
      <c r="I1172" s="818">
        <f>ROUND(IF(G1172=1,F1172*10/23,IF(G1172=3,F1172-J1172-K1172,IF(G1172=4,F1172,IF(G1172=5,F1172*10/11,IF(G1172=7,F1172*10/11,0))))),0)</f>
        <v>0</v>
      </c>
      <c r="J1172" s="818">
        <f>ROUND(IF(G1172=1,F1172/23,IF(G1172=3,F1172/12,IF(G1172=5,F1172-I1172,IF(G1172=8,F1172,0)))),0)</f>
        <v>0</v>
      </c>
      <c r="K1172" s="819">
        <f>ROUND(IF(G1172=1,F1172/23,IF(G1172=3,F1172/12,IF(G1172=6,F1172,IF(G1172=7,F1172-I1172,0)))),0)</f>
        <v>0</v>
      </c>
      <c r="L1172" s="820">
        <f>IF(G1172=6,F1172,0)</f>
        <v>0</v>
      </c>
      <c r="P1172" s="768" t="n"/>
      <c r="Q1172" s="769" t="str">
        <f>IF($F1172="","",IFERROR(VLOOKUP($C1172&amp;"|"&amp;$D1172,科目表!$A$5:$B$200,2,FALSE),"※未登録"))</f>
        <v/>
      </c>
      <c r="R1172" s="769" t="str">
        <f>IF($F1172="","",$I1172+$J1172+$K1172)</f>
        <v/>
      </c>
      <c r="S1172" s="769" t="str">
        <f>IF(OR($F1172="",$P1172="支払なし",$H1172=0,$Q1172=""),"",$Q1172&amp;"|S|"&amp;(COUNTIF(S$4:S1171,$Q1172&amp;"|S|*")+1))</f>
        <v/>
      </c>
      <c r="T1172" s="769" t="str">
        <f>IF(OR($F1172="",$P1172="支払なし",$R1172=0,$Q1172=""),"",$Q1172&amp;"|L|"&amp;(COUNTIF(T$4:T1171,$Q1172&amp;"|L|*")+1))</f>
        <v/>
      </c>
      <c r="U1172" s="769" t="str">
        <f>IF($F1172="","",13)</f>
        <v/>
      </c>
    </row>
    <row r="1173" ht="16.5" customHeight="1" s="186">
      <c r="A1173" s="760" t="n"/>
      <c r="B1173" s="760" t="n"/>
      <c r="C1173" s="762" t="n"/>
      <c r="D1173" s="762" t="n"/>
      <c r="E1173" s="775" t="n"/>
      <c r="F1173" s="821" t="n"/>
      <c r="G1173" s="821" t="n"/>
      <c r="H1173" s="818">
        <f>IF(G1173=1,F1173-I1173-J1173-K1173,IF(G1173=2,F1173,0))</f>
        <v>0</v>
      </c>
      <c r="I1173" s="818">
        <f>ROUND(IF(G1173=1,F1173*10/23,IF(G1173=3,F1173-J1173-K1173,IF(G1173=4,F1173,IF(G1173=5,F1173*10/11,IF(G1173=7,F1173*10/11,0))))),0)</f>
        <v>0</v>
      </c>
      <c r="J1173" s="818">
        <f>ROUND(IF(G1173=1,F1173/23,IF(G1173=3,F1173/12,IF(G1173=5,F1173-I1173,IF(G1173=8,F1173,0)))),0)</f>
        <v>0</v>
      </c>
      <c r="K1173" s="819">
        <f>ROUND(IF(G1173=1,F1173/23,IF(G1173=3,F1173/12,IF(G1173=6,F1173,IF(G1173=7,F1173-I1173,0)))),0)</f>
        <v>0</v>
      </c>
      <c r="L1173" s="820">
        <f>IF(G1173=6,F1173,0)</f>
        <v>0</v>
      </c>
      <c r="P1173" s="768" t="n"/>
      <c r="Q1173" s="769" t="str">
        <f>IF($F1173="","",IFERROR(VLOOKUP($C1173&amp;"|"&amp;$D1173,科目表!$A$5:$B$200,2,FALSE),"※未登録"))</f>
        <v/>
      </c>
      <c r="R1173" s="769" t="str">
        <f>IF($F1173="","",$I1173+$J1173+$K1173)</f>
        <v/>
      </c>
      <c r="S1173" s="769" t="str">
        <f>IF(OR($F1173="",$P1173="支払なし",$H1173=0,$Q1173=""),"",$Q1173&amp;"|S|"&amp;(COUNTIF(S$4:S1172,$Q1173&amp;"|S|*")+1))</f>
        <v/>
      </c>
      <c r="T1173" s="769" t="str">
        <f>IF(OR($F1173="",$P1173="支払なし",$R1173=0,$Q1173=""),"",$Q1173&amp;"|L|"&amp;(COUNTIF(T$4:T1172,$Q1173&amp;"|L|*")+1))</f>
        <v/>
      </c>
      <c r="U1173" s="769" t="str">
        <f>IF($F1173="","",13)</f>
        <v/>
      </c>
    </row>
    <row r="1174" ht="16.5" customHeight="1" s="186">
      <c r="A1174" s="760" t="n"/>
      <c r="B1174" s="760" t="n"/>
      <c r="C1174" s="762" t="n"/>
      <c r="D1174" s="762" t="n"/>
      <c r="E1174" s="775" t="n"/>
      <c r="F1174" s="821" t="n"/>
      <c r="G1174" s="821" t="n"/>
      <c r="H1174" s="818">
        <f>IF(G1174=1,F1174-I1174-J1174-K1174,IF(G1174=2,F1174,0))</f>
        <v>0</v>
      </c>
      <c r="I1174" s="818">
        <f>ROUND(IF(G1174=1,F1174*10/23,IF(G1174=3,F1174-J1174-K1174,IF(G1174=4,F1174,IF(G1174=5,F1174*10/11,IF(G1174=7,F1174*10/11,0))))),0)</f>
        <v>0</v>
      </c>
      <c r="J1174" s="818">
        <f>ROUND(IF(G1174=1,F1174/23,IF(G1174=3,F1174/12,IF(G1174=5,F1174-I1174,IF(G1174=8,F1174,0)))),0)</f>
        <v>0</v>
      </c>
      <c r="K1174" s="819">
        <f>ROUND(IF(G1174=1,F1174/23,IF(G1174=3,F1174/12,IF(G1174=6,F1174,IF(G1174=7,F1174-I1174,0)))),0)</f>
        <v>0</v>
      </c>
      <c r="L1174" s="820">
        <f>IF(G1174=6,F1174,0)</f>
        <v>0</v>
      </c>
      <c r="P1174" s="768" t="n"/>
      <c r="Q1174" s="769" t="str">
        <f>IF($F1174="","",IFERROR(VLOOKUP($C1174&amp;"|"&amp;$D1174,科目表!$A$5:$B$200,2,FALSE),"※未登録"))</f>
        <v/>
      </c>
      <c r="R1174" s="769" t="str">
        <f>IF($F1174="","",$I1174+$J1174+$K1174)</f>
        <v/>
      </c>
      <c r="S1174" s="769" t="str">
        <f>IF(OR($F1174="",$P1174="支払なし",$H1174=0,$Q1174=""),"",$Q1174&amp;"|S|"&amp;(COUNTIF(S$4:S1173,$Q1174&amp;"|S|*")+1))</f>
        <v/>
      </c>
      <c r="T1174" s="769" t="str">
        <f>IF(OR($F1174="",$P1174="支払なし",$R1174=0,$Q1174=""),"",$Q1174&amp;"|L|"&amp;(COUNTIF(T$4:T1173,$Q1174&amp;"|L|*")+1))</f>
        <v/>
      </c>
      <c r="U1174" s="769" t="str">
        <f>IF($F1174="","",13)</f>
        <v/>
      </c>
    </row>
    <row r="1175" ht="16.5" customHeight="1" s="186">
      <c r="A1175" s="760" t="n"/>
      <c r="B1175" s="760" t="n"/>
      <c r="C1175" s="762" t="n"/>
      <c r="D1175" s="762" t="n"/>
      <c r="E1175" s="775" t="n"/>
      <c r="F1175" s="821" t="n"/>
      <c r="G1175" s="821" t="n"/>
      <c r="H1175" s="818">
        <f>IF(G1175=1,F1175-I1175-J1175-K1175,IF(G1175=2,F1175,0))</f>
        <v>0</v>
      </c>
      <c r="I1175" s="818">
        <f>ROUND(IF(G1175=1,F1175*10/23,IF(G1175=3,F1175-J1175-K1175,IF(G1175=4,F1175,IF(G1175=5,F1175*10/11,IF(G1175=7,F1175*10/11,0))))),0)</f>
        <v>0</v>
      </c>
      <c r="J1175" s="818">
        <f>ROUND(IF(G1175=1,F1175/23,IF(G1175=3,F1175/12,IF(G1175=5,F1175-I1175,IF(G1175=8,F1175,0)))),0)</f>
        <v>0</v>
      </c>
      <c r="K1175" s="819">
        <f>ROUND(IF(G1175=1,F1175/23,IF(G1175=3,F1175/12,IF(G1175=6,F1175,IF(G1175=7,F1175-I1175,0)))),0)</f>
        <v>0</v>
      </c>
      <c r="L1175" s="820">
        <f>IF(G1175=6,F1175,0)</f>
        <v>0</v>
      </c>
      <c r="P1175" s="768" t="n"/>
      <c r="Q1175" s="769" t="str">
        <f>IF($F1175="","",IFERROR(VLOOKUP($C1175&amp;"|"&amp;$D1175,科目表!$A$5:$B$200,2,FALSE),"※未登録"))</f>
        <v/>
      </c>
      <c r="R1175" s="769" t="str">
        <f>IF($F1175="","",$I1175+$J1175+$K1175)</f>
        <v/>
      </c>
      <c r="S1175" s="769" t="str">
        <f>IF(OR($F1175="",$P1175="支払なし",$H1175=0,$Q1175=""),"",$Q1175&amp;"|S|"&amp;(COUNTIF(S$4:S1174,$Q1175&amp;"|S|*")+1))</f>
        <v/>
      </c>
      <c r="T1175" s="769" t="str">
        <f>IF(OR($F1175="",$P1175="支払なし",$R1175=0,$Q1175=""),"",$Q1175&amp;"|L|"&amp;(COUNTIF(T$4:T1174,$Q1175&amp;"|L|*")+1))</f>
        <v/>
      </c>
      <c r="U1175" s="769" t="str">
        <f>IF($F1175="","",13)</f>
        <v/>
      </c>
    </row>
    <row r="1176" ht="16.5" customHeight="1" s="186">
      <c r="A1176" s="760" t="n"/>
      <c r="B1176" s="760" t="n"/>
      <c r="C1176" s="762" t="n"/>
      <c r="D1176" s="762" t="n"/>
      <c r="E1176" s="775" t="n"/>
      <c r="F1176" s="821" t="n"/>
      <c r="G1176" s="821" t="n"/>
      <c r="H1176" s="818">
        <f>IF(G1176=1,F1176-I1176-J1176-K1176,IF(G1176=2,F1176,0))</f>
        <v>0</v>
      </c>
      <c r="I1176" s="818">
        <f>ROUND(IF(G1176=1,F1176*10/23,IF(G1176=3,F1176-J1176-K1176,IF(G1176=4,F1176,IF(G1176=5,F1176*10/11,IF(G1176=7,F1176*10/11,0))))),0)</f>
        <v>0</v>
      </c>
      <c r="J1176" s="818">
        <f>ROUND(IF(G1176=1,F1176/23,IF(G1176=3,F1176/12,IF(G1176=5,F1176-I1176,IF(G1176=8,F1176,0)))),0)</f>
        <v>0</v>
      </c>
      <c r="K1176" s="819">
        <f>ROUND(IF(G1176=1,F1176/23,IF(G1176=3,F1176/12,IF(G1176=6,F1176,IF(G1176=7,F1176-I1176,0)))),0)</f>
        <v>0</v>
      </c>
      <c r="L1176" s="820">
        <f>IF(G1176=6,F1176,0)</f>
        <v>0</v>
      </c>
      <c r="P1176" s="768" t="n"/>
      <c r="Q1176" s="769" t="str">
        <f>IF($F1176="","",IFERROR(VLOOKUP($C1176&amp;"|"&amp;$D1176,科目表!$A$5:$B$200,2,FALSE),"※未登録"))</f>
        <v/>
      </c>
      <c r="R1176" s="769" t="str">
        <f>IF($F1176="","",$I1176+$J1176+$K1176)</f>
        <v/>
      </c>
      <c r="S1176" s="769" t="str">
        <f>IF(OR($F1176="",$P1176="支払なし",$H1176=0,$Q1176=""),"",$Q1176&amp;"|S|"&amp;(COUNTIF(S$4:S1175,$Q1176&amp;"|S|*")+1))</f>
        <v/>
      </c>
      <c r="T1176" s="769" t="str">
        <f>IF(OR($F1176="",$P1176="支払なし",$R1176=0,$Q1176=""),"",$Q1176&amp;"|L|"&amp;(COUNTIF(T$4:T1175,$Q1176&amp;"|L|*")+1))</f>
        <v/>
      </c>
      <c r="U1176" s="769" t="str">
        <f>IF($F1176="","",13)</f>
        <v/>
      </c>
    </row>
    <row r="1177" ht="16.5" customHeight="1" s="186">
      <c r="A1177" s="760" t="n"/>
      <c r="B1177" s="760" t="n"/>
      <c r="C1177" s="762" t="n"/>
      <c r="D1177" s="762" t="n"/>
      <c r="E1177" s="775" t="n"/>
      <c r="F1177" s="821" t="n"/>
      <c r="G1177" s="821" t="n"/>
      <c r="H1177" s="818">
        <f>IF(G1177=1,F1177-I1177-J1177-K1177,IF(G1177=2,F1177,0))</f>
        <v>0</v>
      </c>
      <c r="I1177" s="818">
        <f>ROUND(IF(G1177=1,F1177*10/23,IF(G1177=3,F1177-J1177-K1177,IF(G1177=4,F1177,IF(G1177=5,F1177*10/11,IF(G1177=7,F1177*10/11,0))))),0)</f>
        <v>0</v>
      </c>
      <c r="J1177" s="818">
        <f>ROUND(IF(G1177=1,F1177/23,IF(G1177=3,F1177/12,IF(G1177=5,F1177-I1177,IF(G1177=8,F1177,0)))),0)</f>
        <v>0</v>
      </c>
      <c r="K1177" s="819">
        <f>ROUND(IF(G1177=1,F1177/23,IF(G1177=3,F1177/12,IF(G1177=6,F1177,IF(G1177=7,F1177-I1177,0)))),0)</f>
        <v>0</v>
      </c>
      <c r="L1177" s="820">
        <f>IF(G1177=6,F1177,0)</f>
        <v>0</v>
      </c>
      <c r="P1177" s="768" t="n"/>
      <c r="Q1177" s="769" t="str">
        <f>IF($F1177="","",IFERROR(VLOOKUP($C1177&amp;"|"&amp;$D1177,科目表!$A$5:$B$200,2,FALSE),"※未登録"))</f>
        <v/>
      </c>
      <c r="R1177" s="769" t="str">
        <f>IF($F1177="","",$I1177+$J1177+$K1177)</f>
        <v/>
      </c>
      <c r="S1177" s="769" t="str">
        <f>IF(OR($F1177="",$P1177="支払なし",$H1177=0,$Q1177=""),"",$Q1177&amp;"|S|"&amp;(COUNTIF(S$4:S1176,$Q1177&amp;"|S|*")+1))</f>
        <v/>
      </c>
      <c r="T1177" s="769" t="str">
        <f>IF(OR($F1177="",$P1177="支払なし",$R1177=0,$Q1177=""),"",$Q1177&amp;"|L|"&amp;(COUNTIF(T$4:T1176,$Q1177&amp;"|L|*")+1))</f>
        <v/>
      </c>
      <c r="U1177" s="769" t="str">
        <f>IF($F1177="","",13)</f>
        <v/>
      </c>
    </row>
    <row r="1178" ht="16.5" customHeight="1" s="186">
      <c r="A1178" s="760" t="n"/>
      <c r="B1178" s="760" t="n"/>
      <c r="C1178" s="762" t="n"/>
      <c r="D1178" s="762" t="n"/>
      <c r="E1178" s="775" t="n"/>
      <c r="F1178" s="821" t="n"/>
      <c r="G1178" s="821" t="n"/>
      <c r="H1178" s="818">
        <f>IF(G1178=1,F1178-I1178-J1178-K1178,IF(G1178=2,F1178,0))</f>
        <v>0</v>
      </c>
      <c r="I1178" s="818">
        <f>ROUND(IF(G1178=1,F1178*10/23,IF(G1178=3,F1178-J1178-K1178,IF(G1178=4,F1178,IF(G1178=5,F1178*10/11,IF(G1178=7,F1178*10/11,0))))),0)</f>
        <v>0</v>
      </c>
      <c r="J1178" s="818">
        <f>ROUND(IF(G1178=1,F1178/23,IF(G1178=3,F1178/12,IF(G1178=5,F1178-I1178,IF(G1178=8,F1178,0)))),0)</f>
        <v>0</v>
      </c>
      <c r="K1178" s="819">
        <f>ROUND(IF(G1178=1,F1178/23,IF(G1178=3,F1178/12,IF(G1178=6,F1178,IF(G1178=7,F1178-I1178,0)))),0)</f>
        <v>0</v>
      </c>
      <c r="L1178" s="820">
        <f>IF(G1178=6,F1178,0)</f>
        <v>0</v>
      </c>
      <c r="P1178" s="768" t="n"/>
      <c r="Q1178" s="769" t="str">
        <f>IF($F1178="","",IFERROR(VLOOKUP($C1178&amp;"|"&amp;$D1178,科目表!$A$5:$B$200,2,FALSE),"※未登録"))</f>
        <v/>
      </c>
      <c r="R1178" s="769" t="str">
        <f>IF($F1178="","",$I1178+$J1178+$K1178)</f>
        <v/>
      </c>
      <c r="S1178" s="769" t="str">
        <f>IF(OR($F1178="",$P1178="支払なし",$H1178=0,$Q1178=""),"",$Q1178&amp;"|S|"&amp;(COUNTIF(S$4:S1177,$Q1178&amp;"|S|*")+1))</f>
        <v/>
      </c>
      <c r="T1178" s="769" t="str">
        <f>IF(OR($F1178="",$P1178="支払なし",$R1178=0,$Q1178=""),"",$Q1178&amp;"|L|"&amp;(COUNTIF(T$4:T1177,$Q1178&amp;"|L|*")+1))</f>
        <v/>
      </c>
      <c r="U1178" s="769" t="str">
        <f>IF($F1178="","",13)</f>
        <v/>
      </c>
    </row>
    <row r="1179" ht="16.5" customHeight="1" s="186">
      <c r="A1179" s="760" t="n"/>
      <c r="B1179" s="760" t="n"/>
      <c r="C1179" s="762" t="n"/>
      <c r="D1179" s="762" t="n"/>
      <c r="E1179" s="775" t="n"/>
      <c r="F1179" s="821" t="n"/>
      <c r="G1179" s="821" t="n"/>
      <c r="H1179" s="818">
        <f>IF(G1179=1,F1179-I1179-J1179-K1179,IF(G1179=2,F1179,0))</f>
        <v>0</v>
      </c>
      <c r="I1179" s="818">
        <f>ROUND(IF(G1179=1,F1179*10/23,IF(G1179=3,F1179-J1179-K1179,IF(G1179=4,F1179,IF(G1179=5,F1179*10/11,IF(G1179=7,F1179*10/11,0))))),0)</f>
        <v>0</v>
      </c>
      <c r="J1179" s="818">
        <f>ROUND(IF(G1179=1,F1179/23,IF(G1179=3,F1179/12,IF(G1179=5,F1179-I1179,IF(G1179=8,F1179,0)))),0)</f>
        <v>0</v>
      </c>
      <c r="K1179" s="819">
        <f>ROUND(IF(G1179=1,F1179/23,IF(G1179=3,F1179/12,IF(G1179=6,F1179,IF(G1179=7,F1179-I1179,0)))),0)</f>
        <v>0</v>
      </c>
      <c r="L1179" s="820">
        <f>IF(G1179=6,F1179,0)</f>
        <v>0</v>
      </c>
      <c r="P1179" s="768" t="n"/>
      <c r="Q1179" s="769" t="str">
        <f>IF($F1179="","",IFERROR(VLOOKUP($C1179&amp;"|"&amp;$D1179,科目表!$A$5:$B$200,2,FALSE),"※未登録"))</f>
        <v/>
      </c>
      <c r="R1179" s="769" t="str">
        <f>IF($F1179="","",$I1179+$J1179+$K1179)</f>
        <v/>
      </c>
      <c r="S1179" s="769" t="str">
        <f>IF(OR($F1179="",$P1179="支払なし",$H1179=0,$Q1179=""),"",$Q1179&amp;"|S|"&amp;(COUNTIF(S$4:S1178,$Q1179&amp;"|S|*")+1))</f>
        <v/>
      </c>
      <c r="T1179" s="769" t="str">
        <f>IF(OR($F1179="",$P1179="支払なし",$R1179=0,$Q1179=""),"",$Q1179&amp;"|L|"&amp;(COUNTIF(T$4:T1178,$Q1179&amp;"|L|*")+1))</f>
        <v/>
      </c>
      <c r="U1179" s="769" t="str">
        <f>IF($F1179="","",13)</f>
        <v/>
      </c>
    </row>
    <row r="1180" ht="16.5" customHeight="1" s="186">
      <c r="A1180" s="760" t="n"/>
      <c r="B1180" s="760" t="n"/>
      <c r="C1180" s="762" t="n"/>
      <c r="D1180" s="762" t="n"/>
      <c r="E1180" s="775" t="n"/>
      <c r="F1180" s="821" t="n"/>
      <c r="G1180" s="821" t="n"/>
      <c r="H1180" s="818">
        <f>IF(G1180=1,F1180-I1180-J1180-K1180,IF(G1180=2,F1180,0))</f>
        <v>0</v>
      </c>
      <c r="I1180" s="818">
        <f>ROUND(IF(G1180=1,F1180*10/23,IF(G1180=3,F1180-J1180-K1180,IF(G1180=4,F1180,IF(G1180=5,F1180*10/11,IF(G1180=7,F1180*10/11,0))))),0)</f>
        <v>0</v>
      </c>
      <c r="J1180" s="818">
        <f>ROUND(IF(G1180=1,F1180/23,IF(G1180=3,F1180/12,IF(G1180=5,F1180-I1180,IF(G1180=8,F1180,0)))),0)</f>
        <v>0</v>
      </c>
      <c r="K1180" s="819">
        <f>ROUND(IF(G1180=1,F1180/23,IF(G1180=3,F1180/12,IF(G1180=6,F1180,IF(G1180=7,F1180-I1180,0)))),0)</f>
        <v>0</v>
      </c>
      <c r="L1180" s="820">
        <f>IF(G1180=6,F1180,0)</f>
        <v>0</v>
      </c>
      <c r="P1180" s="768" t="n"/>
      <c r="Q1180" s="769" t="str">
        <f>IF($F1180="","",IFERROR(VLOOKUP($C1180&amp;"|"&amp;$D1180,科目表!$A$5:$B$200,2,FALSE),"※未登録"))</f>
        <v/>
      </c>
      <c r="R1180" s="769" t="str">
        <f>IF($F1180="","",$I1180+$J1180+$K1180)</f>
        <v/>
      </c>
      <c r="S1180" s="769" t="str">
        <f>IF(OR($F1180="",$P1180="支払なし",$H1180=0,$Q1180=""),"",$Q1180&amp;"|S|"&amp;(COUNTIF(S$4:S1179,$Q1180&amp;"|S|*")+1))</f>
        <v/>
      </c>
      <c r="T1180" s="769" t="str">
        <f>IF(OR($F1180="",$P1180="支払なし",$R1180=0,$Q1180=""),"",$Q1180&amp;"|L|"&amp;(COUNTIF(T$4:T1179,$Q1180&amp;"|L|*")+1))</f>
        <v/>
      </c>
      <c r="U1180" s="769" t="str">
        <f>IF($F1180="","",13)</f>
        <v/>
      </c>
    </row>
    <row r="1181" ht="16.5" customHeight="1" s="186">
      <c r="A1181" s="760" t="n"/>
      <c r="B1181" s="760" t="n"/>
      <c r="C1181" s="762" t="n"/>
      <c r="D1181" s="762" t="n"/>
      <c r="E1181" s="775" t="n"/>
      <c r="F1181" s="821" t="n"/>
      <c r="G1181" s="821" t="n"/>
      <c r="H1181" s="818">
        <f>IF(G1181=1,F1181-I1181-J1181-K1181,IF(G1181=2,F1181,0))</f>
        <v>0</v>
      </c>
      <c r="I1181" s="818">
        <f>ROUND(IF(G1181=1,F1181*10/23,IF(G1181=3,F1181-J1181-K1181,IF(G1181=4,F1181,IF(G1181=5,F1181*10/11,IF(G1181=7,F1181*10/11,0))))),0)</f>
        <v>0</v>
      </c>
      <c r="J1181" s="818">
        <f>ROUND(IF(G1181=1,F1181/23,IF(G1181=3,F1181/12,IF(G1181=5,F1181-I1181,IF(G1181=8,F1181,0)))),0)</f>
        <v>0</v>
      </c>
      <c r="K1181" s="819">
        <f>ROUND(IF(G1181=1,F1181/23,IF(G1181=3,F1181/12,IF(G1181=6,F1181,IF(G1181=7,F1181-I1181,0)))),0)</f>
        <v>0</v>
      </c>
      <c r="L1181" s="820">
        <f>IF(G1181=6,F1181,0)</f>
        <v>0</v>
      </c>
      <c r="P1181" s="768" t="n"/>
      <c r="Q1181" s="769" t="str">
        <f>IF($F1181="","",IFERROR(VLOOKUP($C1181&amp;"|"&amp;$D1181,科目表!$A$5:$B$200,2,FALSE),"※未登録"))</f>
        <v/>
      </c>
      <c r="R1181" s="769" t="str">
        <f>IF($F1181="","",$I1181+$J1181+$K1181)</f>
        <v/>
      </c>
      <c r="S1181" s="769" t="str">
        <f>IF(OR($F1181="",$P1181="支払なし",$H1181=0,$Q1181=""),"",$Q1181&amp;"|S|"&amp;(COUNTIF(S$4:S1180,$Q1181&amp;"|S|*")+1))</f>
        <v/>
      </c>
      <c r="T1181" s="769" t="str">
        <f>IF(OR($F1181="",$P1181="支払なし",$R1181=0,$Q1181=""),"",$Q1181&amp;"|L|"&amp;(COUNTIF(T$4:T1180,$Q1181&amp;"|L|*")+1))</f>
        <v/>
      </c>
      <c r="U1181" s="769" t="str">
        <f>IF($F1181="","",13)</f>
        <v/>
      </c>
    </row>
    <row r="1182" ht="16.5" customHeight="1" s="186">
      <c r="A1182" s="760" t="n"/>
      <c r="B1182" s="760" t="n"/>
      <c r="C1182" s="762" t="n"/>
      <c r="D1182" s="762" t="n"/>
      <c r="E1182" s="775" t="n"/>
      <c r="F1182" s="821" t="n"/>
      <c r="G1182" s="821" t="n"/>
      <c r="H1182" s="818">
        <f>IF(G1182=1,F1182-I1182-J1182-K1182,IF(G1182=2,F1182,0))</f>
        <v>0</v>
      </c>
      <c r="I1182" s="818">
        <f>ROUND(IF(G1182=1,F1182*10/23,IF(G1182=3,F1182-J1182-K1182,IF(G1182=4,F1182,IF(G1182=5,F1182*10/11,IF(G1182=7,F1182*10/11,0))))),0)</f>
        <v>0</v>
      </c>
      <c r="J1182" s="818">
        <f>ROUND(IF(G1182=1,F1182/23,IF(G1182=3,F1182/12,IF(G1182=5,F1182-I1182,IF(G1182=8,F1182,0)))),0)</f>
        <v>0</v>
      </c>
      <c r="K1182" s="819">
        <f>ROUND(IF(G1182=1,F1182/23,IF(G1182=3,F1182/12,IF(G1182=6,F1182,IF(G1182=7,F1182-I1182,0)))),0)</f>
        <v>0</v>
      </c>
      <c r="L1182" s="820">
        <f>IF(G1182=6,F1182,0)</f>
        <v>0</v>
      </c>
      <c r="P1182" s="768" t="n"/>
      <c r="Q1182" s="769" t="str">
        <f>IF($F1182="","",IFERROR(VLOOKUP($C1182&amp;"|"&amp;$D1182,科目表!$A$5:$B$200,2,FALSE),"※未登録"))</f>
        <v/>
      </c>
      <c r="R1182" s="769" t="str">
        <f>IF($F1182="","",$I1182+$J1182+$K1182)</f>
        <v/>
      </c>
      <c r="S1182" s="769" t="str">
        <f>IF(OR($F1182="",$P1182="支払なし",$H1182=0,$Q1182=""),"",$Q1182&amp;"|S|"&amp;(COUNTIF(S$4:S1181,$Q1182&amp;"|S|*")+1))</f>
        <v/>
      </c>
      <c r="T1182" s="769" t="str">
        <f>IF(OR($F1182="",$P1182="支払なし",$R1182=0,$Q1182=""),"",$Q1182&amp;"|L|"&amp;(COUNTIF(T$4:T1181,$Q1182&amp;"|L|*")+1))</f>
        <v/>
      </c>
      <c r="U1182" s="769" t="str">
        <f>IF($F1182="","",13)</f>
        <v/>
      </c>
    </row>
    <row r="1183" ht="16.5" customHeight="1" s="186">
      <c r="A1183" s="760" t="n"/>
      <c r="B1183" s="760" t="n"/>
      <c r="C1183" s="762" t="n"/>
      <c r="D1183" s="762" t="n"/>
      <c r="E1183" s="775" t="n"/>
      <c r="F1183" s="821" t="n"/>
      <c r="G1183" s="821" t="n"/>
      <c r="H1183" s="818">
        <f>IF(G1183=1,F1183-I1183-J1183-K1183,IF(G1183=2,F1183,0))</f>
        <v>0</v>
      </c>
      <c r="I1183" s="818">
        <f>ROUND(IF(G1183=1,F1183*10/23,IF(G1183=3,F1183-J1183-K1183,IF(G1183=4,F1183,IF(G1183=5,F1183*10/11,IF(G1183=7,F1183*10/11,0))))),0)</f>
        <v>0</v>
      </c>
      <c r="J1183" s="818">
        <f>ROUND(IF(G1183=1,F1183/23,IF(G1183=3,F1183/12,IF(G1183=5,F1183-I1183,IF(G1183=8,F1183,0)))),0)</f>
        <v>0</v>
      </c>
      <c r="K1183" s="819">
        <f>ROUND(IF(G1183=1,F1183/23,IF(G1183=3,F1183/12,IF(G1183=6,F1183,IF(G1183=7,F1183-I1183,0)))),0)</f>
        <v>0</v>
      </c>
      <c r="L1183" s="820">
        <f>IF(G1183=6,F1183,0)</f>
        <v>0</v>
      </c>
      <c r="P1183" s="768" t="n"/>
      <c r="Q1183" s="769" t="str">
        <f>IF($F1183="","",IFERROR(VLOOKUP($C1183&amp;"|"&amp;$D1183,科目表!$A$5:$B$200,2,FALSE),"※未登録"))</f>
        <v/>
      </c>
      <c r="R1183" s="769" t="str">
        <f>IF($F1183="","",$I1183+$J1183+$K1183)</f>
        <v/>
      </c>
      <c r="S1183" s="769" t="str">
        <f>IF(OR($F1183="",$P1183="支払なし",$H1183=0,$Q1183=""),"",$Q1183&amp;"|S|"&amp;(COUNTIF(S$4:S1182,$Q1183&amp;"|S|*")+1))</f>
        <v/>
      </c>
      <c r="T1183" s="769" t="str">
        <f>IF(OR($F1183="",$P1183="支払なし",$R1183=0,$Q1183=""),"",$Q1183&amp;"|L|"&amp;(COUNTIF(T$4:T1182,$Q1183&amp;"|L|*")+1))</f>
        <v/>
      </c>
      <c r="U1183" s="769" t="str">
        <f>IF($F1183="","",13)</f>
        <v/>
      </c>
    </row>
    <row r="1184" ht="16.5" customHeight="1" s="186">
      <c r="A1184" s="760" t="n"/>
      <c r="B1184" s="760" t="n"/>
      <c r="C1184" s="762" t="n"/>
      <c r="D1184" s="762" t="n"/>
      <c r="E1184" s="775" t="n"/>
      <c r="F1184" s="821" t="n"/>
      <c r="G1184" s="821" t="n"/>
      <c r="H1184" s="818">
        <f>IF(G1184=1,F1184-I1184-J1184-K1184,IF(G1184=2,F1184,0))</f>
        <v>0</v>
      </c>
      <c r="I1184" s="818">
        <f>ROUND(IF(G1184=1,F1184*10/23,IF(G1184=3,F1184-J1184-K1184,IF(G1184=4,F1184,IF(G1184=5,F1184*10/11,IF(G1184=7,F1184*10/11,0))))),0)</f>
        <v>0</v>
      </c>
      <c r="J1184" s="818">
        <f>ROUND(IF(G1184=1,F1184/23,IF(G1184=3,F1184/12,IF(G1184=5,F1184-I1184,IF(G1184=8,F1184,0)))),0)</f>
        <v>0</v>
      </c>
      <c r="K1184" s="819">
        <f>ROUND(IF(G1184=1,F1184/23,IF(G1184=3,F1184/12,IF(G1184=6,F1184,IF(G1184=7,F1184-I1184,0)))),0)</f>
        <v>0</v>
      </c>
      <c r="L1184" s="820">
        <f>IF(G1184=6,F1184,0)</f>
        <v>0</v>
      </c>
      <c r="P1184" s="768" t="n"/>
      <c r="Q1184" s="769" t="str">
        <f>IF($F1184="","",IFERROR(VLOOKUP($C1184&amp;"|"&amp;$D1184,科目表!$A$5:$B$200,2,FALSE),"※未登録"))</f>
        <v/>
      </c>
      <c r="R1184" s="769" t="str">
        <f>IF($F1184="","",$I1184+$J1184+$K1184)</f>
        <v/>
      </c>
      <c r="S1184" s="769" t="str">
        <f>IF(OR($F1184="",$P1184="支払なし",$H1184=0,$Q1184=""),"",$Q1184&amp;"|S|"&amp;(COUNTIF(S$4:S1183,$Q1184&amp;"|S|*")+1))</f>
        <v/>
      </c>
      <c r="T1184" s="769" t="str">
        <f>IF(OR($F1184="",$P1184="支払なし",$R1184=0,$Q1184=""),"",$Q1184&amp;"|L|"&amp;(COUNTIF(T$4:T1183,$Q1184&amp;"|L|*")+1))</f>
        <v/>
      </c>
      <c r="U1184" s="769" t="str">
        <f>IF($F1184="","",13)</f>
        <v/>
      </c>
    </row>
    <row r="1185" ht="16.5" customHeight="1" s="186">
      <c r="A1185" s="760" t="n"/>
      <c r="B1185" s="760" t="n"/>
      <c r="C1185" s="762" t="n"/>
      <c r="D1185" s="762" t="n"/>
      <c r="E1185" s="775" t="n"/>
      <c r="F1185" s="821" t="n"/>
      <c r="G1185" s="821" t="n"/>
      <c r="H1185" s="818">
        <f>IF(G1185=1,F1185-I1185-J1185-K1185,IF(G1185=2,F1185,0))</f>
        <v>0</v>
      </c>
      <c r="I1185" s="818">
        <f>ROUND(IF(G1185=1,F1185*10/23,IF(G1185=3,F1185-J1185-K1185,IF(G1185=4,F1185,IF(G1185=5,F1185*10/11,IF(G1185=7,F1185*10/11,0))))),0)</f>
        <v>0</v>
      </c>
      <c r="J1185" s="818">
        <f>ROUND(IF(G1185=1,F1185/23,IF(G1185=3,F1185/12,IF(G1185=5,F1185-I1185,IF(G1185=8,F1185,0)))),0)</f>
        <v>0</v>
      </c>
      <c r="K1185" s="819">
        <f>ROUND(IF(G1185=1,F1185/23,IF(G1185=3,F1185/12,IF(G1185=6,F1185,IF(G1185=7,F1185-I1185,0)))),0)</f>
        <v>0</v>
      </c>
      <c r="L1185" s="820">
        <f>IF(G1185=6,F1185,0)</f>
        <v>0</v>
      </c>
      <c r="P1185" s="768" t="n"/>
      <c r="Q1185" s="769" t="str">
        <f>IF($F1185="","",IFERROR(VLOOKUP($C1185&amp;"|"&amp;$D1185,科目表!$A$5:$B$200,2,FALSE),"※未登録"))</f>
        <v/>
      </c>
      <c r="R1185" s="769" t="str">
        <f>IF($F1185="","",$I1185+$J1185+$K1185)</f>
        <v/>
      </c>
      <c r="S1185" s="769" t="str">
        <f>IF(OR($F1185="",$P1185="支払なし",$H1185=0,$Q1185=""),"",$Q1185&amp;"|S|"&amp;(COUNTIF(S$4:S1184,$Q1185&amp;"|S|*")+1))</f>
        <v/>
      </c>
      <c r="T1185" s="769" t="str">
        <f>IF(OR($F1185="",$P1185="支払なし",$R1185=0,$Q1185=""),"",$Q1185&amp;"|L|"&amp;(COUNTIF(T$4:T1184,$Q1185&amp;"|L|*")+1))</f>
        <v/>
      </c>
      <c r="U1185" s="769" t="str">
        <f>IF($F1185="","",13)</f>
        <v/>
      </c>
    </row>
    <row r="1186" ht="16.5" customHeight="1" s="186">
      <c r="A1186" s="760" t="n"/>
      <c r="B1186" s="760" t="n"/>
      <c r="C1186" s="762" t="n"/>
      <c r="D1186" s="762" t="n"/>
      <c r="E1186" s="775" t="n"/>
      <c r="F1186" s="821" t="n"/>
      <c r="G1186" s="821" t="n"/>
      <c r="H1186" s="818">
        <f>IF(G1186=1,F1186-I1186-J1186-K1186,IF(G1186=2,F1186,0))</f>
        <v>0</v>
      </c>
      <c r="I1186" s="818">
        <f>ROUND(IF(G1186=1,F1186*10/23,IF(G1186=3,F1186-J1186-K1186,IF(G1186=4,F1186,IF(G1186=5,F1186*10/11,IF(G1186=7,F1186*10/11,0))))),0)</f>
        <v>0</v>
      </c>
      <c r="J1186" s="818">
        <f>ROUND(IF(G1186=1,F1186/23,IF(G1186=3,F1186/12,IF(G1186=5,F1186-I1186,IF(G1186=8,F1186,0)))),0)</f>
        <v>0</v>
      </c>
      <c r="K1186" s="819">
        <f>ROUND(IF(G1186=1,F1186/23,IF(G1186=3,F1186/12,IF(G1186=6,F1186,IF(G1186=7,F1186-I1186,0)))),0)</f>
        <v>0</v>
      </c>
      <c r="L1186" s="820">
        <f>IF(G1186=6,F1186,0)</f>
        <v>0</v>
      </c>
      <c r="P1186" s="768" t="n"/>
      <c r="Q1186" s="769" t="str">
        <f>IF($F1186="","",IFERROR(VLOOKUP($C1186&amp;"|"&amp;$D1186,科目表!$A$5:$B$200,2,FALSE),"※未登録"))</f>
        <v/>
      </c>
      <c r="R1186" s="769" t="str">
        <f>IF($F1186="","",$I1186+$J1186+$K1186)</f>
        <v/>
      </c>
      <c r="S1186" s="769" t="str">
        <f>IF(OR($F1186="",$P1186="支払なし",$H1186=0,$Q1186=""),"",$Q1186&amp;"|S|"&amp;(COUNTIF(S$4:S1185,$Q1186&amp;"|S|*")+1))</f>
        <v/>
      </c>
      <c r="T1186" s="769" t="str">
        <f>IF(OR($F1186="",$P1186="支払なし",$R1186=0,$Q1186=""),"",$Q1186&amp;"|L|"&amp;(COUNTIF(T$4:T1185,$Q1186&amp;"|L|*")+1))</f>
        <v/>
      </c>
      <c r="U1186" s="769" t="str">
        <f>IF($F1186="","",13)</f>
        <v/>
      </c>
    </row>
    <row r="1187" ht="16.5" customHeight="1" s="186">
      <c r="A1187" s="760" t="n"/>
      <c r="B1187" s="760" t="n"/>
      <c r="C1187" s="762" t="n"/>
      <c r="D1187" s="762" t="n"/>
      <c r="E1187" s="775" t="n"/>
      <c r="F1187" s="821" t="n"/>
      <c r="G1187" s="821" t="n"/>
      <c r="H1187" s="818">
        <f>IF(G1187=1,F1187-I1187-J1187-K1187,IF(G1187=2,F1187,0))</f>
        <v>0</v>
      </c>
      <c r="I1187" s="818">
        <f>ROUND(IF(G1187=1,F1187*10/23,IF(G1187=3,F1187-J1187-K1187,IF(G1187=4,F1187,IF(G1187=5,F1187*10/11,IF(G1187=7,F1187*10/11,0))))),0)</f>
        <v>0</v>
      </c>
      <c r="J1187" s="818">
        <f>ROUND(IF(G1187=1,F1187/23,IF(G1187=3,F1187/12,IF(G1187=5,F1187-I1187,IF(G1187=8,F1187,0)))),0)</f>
        <v>0</v>
      </c>
      <c r="K1187" s="819">
        <f>ROUND(IF(G1187=1,F1187/23,IF(G1187=3,F1187/12,IF(G1187=6,F1187,IF(G1187=7,F1187-I1187,0)))),0)</f>
        <v>0</v>
      </c>
      <c r="L1187" s="820">
        <f>IF(G1187=6,F1187,0)</f>
        <v>0</v>
      </c>
      <c r="P1187" s="768" t="n"/>
      <c r="Q1187" s="769" t="str">
        <f>IF($F1187="","",IFERROR(VLOOKUP($C1187&amp;"|"&amp;$D1187,科目表!$A$5:$B$200,2,FALSE),"※未登録"))</f>
        <v/>
      </c>
      <c r="R1187" s="769" t="str">
        <f>IF($F1187="","",$I1187+$J1187+$K1187)</f>
        <v/>
      </c>
      <c r="S1187" s="769" t="str">
        <f>IF(OR($F1187="",$P1187="支払なし",$H1187=0,$Q1187=""),"",$Q1187&amp;"|S|"&amp;(COUNTIF(S$4:S1186,$Q1187&amp;"|S|*")+1))</f>
        <v/>
      </c>
      <c r="T1187" s="769" t="str">
        <f>IF(OR($F1187="",$P1187="支払なし",$R1187=0,$Q1187=""),"",$Q1187&amp;"|L|"&amp;(COUNTIF(T$4:T1186,$Q1187&amp;"|L|*")+1))</f>
        <v/>
      </c>
      <c r="U1187" s="769" t="str">
        <f>IF($F1187="","",13)</f>
        <v/>
      </c>
    </row>
    <row r="1188" ht="16.5" customHeight="1" s="186">
      <c r="A1188" s="760" t="n"/>
      <c r="B1188" s="760" t="n"/>
      <c r="C1188" s="762" t="n"/>
      <c r="D1188" s="762" t="n"/>
      <c r="E1188" s="775" t="n"/>
      <c r="F1188" s="821" t="n"/>
      <c r="G1188" s="821" t="n"/>
      <c r="H1188" s="818">
        <f>IF(G1188=1,F1188-I1188-J1188-K1188,IF(G1188=2,F1188,0))</f>
        <v>0</v>
      </c>
      <c r="I1188" s="818">
        <f>ROUND(IF(G1188=1,F1188*10/23,IF(G1188=3,F1188-J1188-K1188,IF(G1188=4,F1188,IF(G1188=5,F1188*10/11,IF(G1188=7,F1188*10/11,0))))),0)</f>
        <v>0</v>
      </c>
      <c r="J1188" s="818">
        <f>ROUND(IF(G1188=1,F1188/23,IF(G1188=3,F1188/12,IF(G1188=5,F1188-I1188,IF(G1188=8,F1188,0)))),0)</f>
        <v>0</v>
      </c>
      <c r="K1188" s="819">
        <f>ROUND(IF(G1188=1,F1188/23,IF(G1188=3,F1188/12,IF(G1188=6,F1188,IF(G1188=7,F1188-I1188,0)))),0)</f>
        <v>0</v>
      </c>
      <c r="L1188" s="820">
        <f>IF(G1188=6,F1188,0)</f>
        <v>0</v>
      </c>
      <c r="P1188" s="768" t="n"/>
      <c r="Q1188" s="769" t="str">
        <f>IF($F1188="","",IFERROR(VLOOKUP($C1188&amp;"|"&amp;$D1188,科目表!$A$5:$B$200,2,FALSE),"※未登録"))</f>
        <v/>
      </c>
      <c r="R1188" s="769" t="str">
        <f>IF($F1188="","",$I1188+$J1188+$K1188)</f>
        <v/>
      </c>
      <c r="S1188" s="769" t="str">
        <f>IF(OR($F1188="",$P1188="支払なし",$H1188=0,$Q1188=""),"",$Q1188&amp;"|S|"&amp;(COUNTIF(S$4:S1187,$Q1188&amp;"|S|*")+1))</f>
        <v/>
      </c>
      <c r="T1188" s="769" t="str">
        <f>IF(OR($F1188="",$P1188="支払なし",$R1188=0,$Q1188=""),"",$Q1188&amp;"|L|"&amp;(COUNTIF(T$4:T1187,$Q1188&amp;"|L|*")+1))</f>
        <v/>
      </c>
      <c r="U1188" s="769" t="str">
        <f>IF($F1188="","",13)</f>
        <v/>
      </c>
    </row>
    <row r="1189" ht="16.5" customHeight="1" s="186">
      <c r="A1189" s="760" t="n"/>
      <c r="B1189" s="760" t="n"/>
      <c r="C1189" s="762" t="n"/>
      <c r="D1189" s="762" t="n"/>
      <c r="E1189" s="775" t="n"/>
      <c r="F1189" s="821" t="n"/>
      <c r="G1189" s="821" t="n"/>
      <c r="H1189" s="818">
        <f>IF(G1189=1,F1189-I1189-J1189-K1189,IF(G1189=2,F1189,0))</f>
        <v>0</v>
      </c>
      <c r="I1189" s="818">
        <f>ROUND(IF(G1189=1,F1189*10/23,IF(G1189=3,F1189-J1189-K1189,IF(G1189=4,F1189,IF(G1189=5,F1189*10/11,IF(G1189=7,F1189*10/11,0))))),0)</f>
        <v>0</v>
      </c>
      <c r="J1189" s="818">
        <f>ROUND(IF(G1189=1,F1189/23,IF(G1189=3,F1189/12,IF(G1189=5,F1189-I1189,IF(G1189=8,F1189,0)))),0)</f>
        <v>0</v>
      </c>
      <c r="K1189" s="819">
        <f>ROUND(IF(G1189=1,F1189/23,IF(G1189=3,F1189/12,IF(G1189=6,F1189,IF(G1189=7,F1189-I1189,0)))),0)</f>
        <v>0</v>
      </c>
      <c r="L1189" s="820">
        <f>IF(G1189=6,F1189,0)</f>
        <v>0</v>
      </c>
      <c r="P1189" s="768" t="n"/>
      <c r="Q1189" s="769" t="str">
        <f>IF($F1189="","",IFERROR(VLOOKUP($C1189&amp;"|"&amp;$D1189,科目表!$A$5:$B$200,2,FALSE),"※未登録"))</f>
        <v/>
      </c>
      <c r="R1189" s="769" t="str">
        <f>IF($F1189="","",$I1189+$J1189+$K1189)</f>
        <v/>
      </c>
      <c r="S1189" s="769" t="str">
        <f>IF(OR($F1189="",$P1189="支払なし",$H1189=0,$Q1189=""),"",$Q1189&amp;"|S|"&amp;(COUNTIF(S$4:S1188,$Q1189&amp;"|S|*")+1))</f>
        <v/>
      </c>
      <c r="T1189" s="769" t="str">
        <f>IF(OR($F1189="",$P1189="支払なし",$R1189=0,$Q1189=""),"",$Q1189&amp;"|L|"&amp;(COUNTIF(T$4:T1188,$Q1189&amp;"|L|*")+1))</f>
        <v/>
      </c>
      <c r="U1189" s="769" t="str">
        <f>IF($F1189="","",13)</f>
        <v/>
      </c>
    </row>
    <row r="1190" ht="16.5" customHeight="1" s="186">
      <c r="A1190" s="760" t="n"/>
      <c r="B1190" s="760" t="n"/>
      <c r="C1190" s="762" t="n"/>
      <c r="D1190" s="762" t="n"/>
      <c r="E1190" s="775" t="n"/>
      <c r="F1190" s="821" t="n"/>
      <c r="G1190" s="821" t="n"/>
      <c r="H1190" s="818">
        <f>IF(G1190=1,F1190-I1190-J1190-K1190,IF(G1190=2,F1190,0))</f>
        <v>0</v>
      </c>
      <c r="I1190" s="818">
        <f>ROUND(IF(G1190=1,F1190*10/23,IF(G1190=3,F1190-J1190-K1190,IF(G1190=4,F1190,IF(G1190=5,F1190*10/11,IF(G1190=7,F1190*10/11,0))))),0)</f>
        <v>0</v>
      </c>
      <c r="J1190" s="818">
        <f>ROUND(IF(G1190=1,F1190/23,IF(G1190=3,F1190/12,IF(G1190=5,F1190-I1190,IF(G1190=8,F1190,0)))),0)</f>
        <v>0</v>
      </c>
      <c r="K1190" s="819">
        <f>ROUND(IF(G1190=1,F1190/23,IF(G1190=3,F1190/12,IF(G1190=6,F1190,IF(G1190=7,F1190-I1190,0)))),0)</f>
        <v>0</v>
      </c>
      <c r="L1190" s="820">
        <f>IF(G1190=6,F1190,0)</f>
        <v>0</v>
      </c>
      <c r="P1190" s="768" t="n"/>
      <c r="Q1190" s="769" t="str">
        <f>IF($F1190="","",IFERROR(VLOOKUP($C1190&amp;"|"&amp;$D1190,科目表!$A$5:$B$200,2,FALSE),"※未登録"))</f>
        <v/>
      </c>
      <c r="R1190" s="769" t="str">
        <f>IF($F1190="","",$I1190+$J1190+$K1190)</f>
        <v/>
      </c>
      <c r="S1190" s="769" t="str">
        <f>IF(OR($F1190="",$P1190="支払なし",$H1190=0,$Q1190=""),"",$Q1190&amp;"|S|"&amp;(COUNTIF(S$4:S1189,$Q1190&amp;"|S|*")+1))</f>
        <v/>
      </c>
      <c r="T1190" s="769" t="str">
        <f>IF(OR($F1190="",$P1190="支払なし",$R1190=0,$Q1190=""),"",$Q1190&amp;"|L|"&amp;(COUNTIF(T$4:T1189,$Q1190&amp;"|L|*")+1))</f>
        <v/>
      </c>
      <c r="U1190" s="769" t="str">
        <f>IF($F1190="","",13)</f>
        <v/>
      </c>
    </row>
    <row r="1191" ht="16.5" customHeight="1" s="186">
      <c r="A1191" s="760" t="n"/>
      <c r="B1191" s="760" t="n"/>
      <c r="C1191" s="762" t="n"/>
      <c r="D1191" s="762" t="n"/>
      <c r="E1191" s="775" t="n"/>
      <c r="F1191" s="821" t="n"/>
      <c r="G1191" s="821" t="n"/>
      <c r="H1191" s="818">
        <f>IF(G1191=1,F1191-I1191-J1191-K1191,IF(G1191=2,F1191,0))</f>
        <v>0</v>
      </c>
      <c r="I1191" s="818">
        <f>ROUND(IF(G1191=1,F1191*10/23,IF(G1191=3,F1191-J1191-K1191,IF(G1191=4,F1191,IF(G1191=5,F1191*10/11,IF(G1191=7,F1191*10/11,0))))),0)</f>
        <v>0</v>
      </c>
      <c r="J1191" s="818">
        <f>ROUND(IF(G1191=1,F1191/23,IF(G1191=3,F1191/12,IF(G1191=5,F1191-I1191,IF(G1191=8,F1191,0)))),0)</f>
        <v>0</v>
      </c>
      <c r="K1191" s="819">
        <f>ROUND(IF(G1191=1,F1191/23,IF(G1191=3,F1191/12,IF(G1191=6,F1191,IF(G1191=7,F1191-I1191,0)))),0)</f>
        <v>0</v>
      </c>
      <c r="L1191" s="820">
        <f>IF(G1191=6,F1191,0)</f>
        <v>0</v>
      </c>
      <c r="P1191" s="768" t="n"/>
      <c r="Q1191" s="769" t="str">
        <f>IF($F1191="","",IFERROR(VLOOKUP($C1191&amp;"|"&amp;$D1191,科目表!$A$5:$B$200,2,FALSE),"※未登録"))</f>
        <v/>
      </c>
      <c r="R1191" s="769" t="str">
        <f>IF($F1191="","",$I1191+$J1191+$K1191)</f>
        <v/>
      </c>
      <c r="S1191" s="769" t="str">
        <f>IF(OR($F1191="",$P1191="支払なし",$H1191=0,$Q1191=""),"",$Q1191&amp;"|S|"&amp;(COUNTIF(S$4:S1190,$Q1191&amp;"|S|*")+1))</f>
        <v/>
      </c>
      <c r="T1191" s="769" t="str">
        <f>IF(OR($F1191="",$P1191="支払なし",$R1191=0,$Q1191=""),"",$Q1191&amp;"|L|"&amp;(COUNTIF(T$4:T1190,$Q1191&amp;"|L|*")+1))</f>
        <v/>
      </c>
      <c r="U1191" s="769" t="str">
        <f>IF($F1191="","",13)</f>
        <v/>
      </c>
    </row>
    <row r="1192" ht="16.5" customHeight="1" s="186">
      <c r="A1192" s="760" t="n"/>
      <c r="B1192" s="760" t="n"/>
      <c r="C1192" s="762" t="n"/>
      <c r="D1192" s="762" t="n"/>
      <c r="E1192" s="775" t="n"/>
      <c r="F1192" s="821" t="n"/>
      <c r="G1192" s="821" t="n"/>
      <c r="H1192" s="818">
        <f>IF(G1192=1,F1192-I1192-J1192-K1192,IF(G1192=2,F1192,0))</f>
        <v>0</v>
      </c>
      <c r="I1192" s="818">
        <f>ROUND(IF(G1192=1,F1192*10/23,IF(G1192=3,F1192-J1192-K1192,IF(G1192=4,F1192,IF(G1192=5,F1192*10/11,IF(G1192=7,F1192*10/11,0))))),0)</f>
        <v>0</v>
      </c>
      <c r="J1192" s="818">
        <f>ROUND(IF(G1192=1,F1192/23,IF(G1192=3,F1192/12,IF(G1192=5,F1192-I1192,IF(G1192=8,F1192,0)))),0)</f>
        <v>0</v>
      </c>
      <c r="K1192" s="819">
        <f>ROUND(IF(G1192=1,F1192/23,IF(G1192=3,F1192/12,IF(G1192=6,F1192,IF(G1192=7,F1192-I1192,0)))),0)</f>
        <v>0</v>
      </c>
      <c r="L1192" s="820">
        <f>IF(G1192=6,F1192,0)</f>
        <v>0</v>
      </c>
      <c r="P1192" s="768" t="n"/>
      <c r="Q1192" s="769" t="str">
        <f>IF($F1192="","",IFERROR(VLOOKUP($C1192&amp;"|"&amp;$D1192,科目表!$A$5:$B$200,2,FALSE),"※未登録"))</f>
        <v/>
      </c>
      <c r="R1192" s="769" t="str">
        <f>IF($F1192="","",$I1192+$J1192+$K1192)</f>
        <v/>
      </c>
      <c r="S1192" s="769" t="str">
        <f>IF(OR($F1192="",$P1192="支払なし",$H1192=0,$Q1192=""),"",$Q1192&amp;"|S|"&amp;(COUNTIF(S$4:S1191,$Q1192&amp;"|S|*")+1))</f>
        <v/>
      </c>
      <c r="T1192" s="769" t="str">
        <f>IF(OR($F1192="",$P1192="支払なし",$R1192=0,$Q1192=""),"",$Q1192&amp;"|L|"&amp;(COUNTIF(T$4:T1191,$Q1192&amp;"|L|*")+1))</f>
        <v/>
      </c>
      <c r="U1192" s="769" t="str">
        <f>IF($F1192="","",13)</f>
        <v/>
      </c>
    </row>
    <row r="1193" ht="16.5" customHeight="1" s="186">
      <c r="A1193" s="760" t="n"/>
      <c r="B1193" s="760" t="n"/>
      <c r="C1193" s="762" t="n"/>
      <c r="D1193" s="762" t="n"/>
      <c r="E1193" s="775" t="n"/>
      <c r="F1193" s="821" t="n"/>
      <c r="G1193" s="821" t="n"/>
      <c r="H1193" s="818">
        <f>IF(G1193=1,F1193-I1193-J1193-K1193,IF(G1193=2,F1193,0))</f>
        <v>0</v>
      </c>
      <c r="I1193" s="818">
        <f>ROUND(IF(G1193=1,F1193*10/23,IF(G1193=3,F1193-J1193-K1193,IF(G1193=4,F1193,IF(G1193=5,F1193*10/11,IF(G1193=7,F1193*10/11,0))))),0)</f>
        <v>0</v>
      </c>
      <c r="J1193" s="818">
        <f>ROUND(IF(G1193=1,F1193/23,IF(G1193=3,F1193/12,IF(G1193=5,F1193-I1193,IF(G1193=8,F1193,0)))),0)</f>
        <v>0</v>
      </c>
      <c r="K1193" s="819">
        <f>ROUND(IF(G1193=1,F1193/23,IF(G1193=3,F1193/12,IF(G1193=6,F1193,IF(G1193=7,F1193-I1193,0)))),0)</f>
        <v>0</v>
      </c>
      <c r="L1193" s="820">
        <f>IF(G1193=6,F1193,0)</f>
        <v>0</v>
      </c>
      <c r="P1193" s="768" t="n"/>
      <c r="Q1193" s="769" t="str">
        <f>IF($F1193="","",IFERROR(VLOOKUP($C1193&amp;"|"&amp;$D1193,科目表!$A$5:$B$200,2,FALSE),"※未登録"))</f>
        <v/>
      </c>
      <c r="R1193" s="769" t="str">
        <f>IF($F1193="","",$I1193+$J1193+$K1193)</f>
        <v/>
      </c>
      <c r="S1193" s="769" t="str">
        <f>IF(OR($F1193="",$P1193="支払なし",$H1193=0,$Q1193=""),"",$Q1193&amp;"|S|"&amp;(COUNTIF(S$4:S1192,$Q1193&amp;"|S|*")+1))</f>
        <v/>
      </c>
      <c r="T1193" s="769" t="str">
        <f>IF(OR($F1193="",$P1193="支払なし",$R1193=0,$Q1193=""),"",$Q1193&amp;"|L|"&amp;(COUNTIF(T$4:T1192,$Q1193&amp;"|L|*")+1))</f>
        <v/>
      </c>
      <c r="U1193" s="769" t="str">
        <f>IF($F1193="","",13)</f>
        <v/>
      </c>
    </row>
    <row r="1194" ht="16.5" customHeight="1" s="186">
      <c r="A1194" s="760" t="n"/>
      <c r="B1194" s="760" t="n"/>
      <c r="C1194" s="762" t="n"/>
      <c r="D1194" s="762" t="n"/>
      <c r="E1194" s="775" t="n"/>
      <c r="F1194" s="821" t="n"/>
      <c r="G1194" s="821" t="n"/>
      <c r="H1194" s="818">
        <f>IF(G1194=1,F1194-I1194-J1194-K1194,IF(G1194=2,F1194,0))</f>
        <v>0</v>
      </c>
      <c r="I1194" s="818">
        <f>ROUND(IF(G1194=1,F1194*10/23,IF(G1194=3,F1194-J1194-K1194,IF(G1194=4,F1194,IF(G1194=5,F1194*10/11,IF(G1194=7,F1194*10/11,0))))),0)</f>
        <v>0</v>
      </c>
      <c r="J1194" s="818">
        <f>ROUND(IF(G1194=1,F1194/23,IF(G1194=3,F1194/12,IF(G1194=5,F1194-I1194,IF(G1194=8,F1194,0)))),0)</f>
        <v>0</v>
      </c>
      <c r="K1194" s="819">
        <f>ROUND(IF(G1194=1,F1194/23,IF(G1194=3,F1194/12,IF(G1194=6,F1194,IF(G1194=7,F1194-I1194,0)))),0)</f>
        <v>0</v>
      </c>
      <c r="L1194" s="820">
        <f>IF(G1194=6,F1194,0)</f>
        <v>0</v>
      </c>
      <c r="P1194" s="768" t="n"/>
      <c r="Q1194" s="769" t="str">
        <f>IF($F1194="","",IFERROR(VLOOKUP($C1194&amp;"|"&amp;$D1194,科目表!$A$5:$B$200,2,FALSE),"※未登録"))</f>
        <v/>
      </c>
      <c r="R1194" s="769" t="str">
        <f>IF($F1194="","",$I1194+$J1194+$K1194)</f>
        <v/>
      </c>
      <c r="S1194" s="769" t="str">
        <f>IF(OR($F1194="",$P1194="支払なし",$H1194=0,$Q1194=""),"",$Q1194&amp;"|S|"&amp;(COUNTIF(S$4:S1193,$Q1194&amp;"|S|*")+1))</f>
        <v/>
      </c>
      <c r="T1194" s="769" t="str">
        <f>IF(OR($F1194="",$P1194="支払なし",$R1194=0,$Q1194=""),"",$Q1194&amp;"|L|"&amp;(COUNTIF(T$4:T1193,$Q1194&amp;"|L|*")+1))</f>
        <v/>
      </c>
      <c r="U1194" s="769" t="str">
        <f>IF($F1194="","",13)</f>
        <v/>
      </c>
    </row>
    <row r="1195" ht="16.5" customHeight="1" s="186">
      <c r="A1195" s="760" t="n"/>
      <c r="B1195" s="760" t="n"/>
      <c r="C1195" s="762" t="n"/>
      <c r="D1195" s="762" t="n"/>
      <c r="E1195" s="775" t="n"/>
      <c r="F1195" s="821" t="n"/>
      <c r="G1195" s="821" t="n"/>
      <c r="H1195" s="818">
        <f>IF(G1195=1,F1195-I1195-J1195-K1195,IF(G1195=2,F1195,0))</f>
        <v>0</v>
      </c>
      <c r="I1195" s="818">
        <f>ROUND(IF(G1195=1,F1195*10/23,IF(G1195=3,F1195-J1195-K1195,IF(G1195=4,F1195,IF(G1195=5,F1195*10/11,IF(G1195=7,F1195*10/11,0))))),0)</f>
        <v>0</v>
      </c>
      <c r="J1195" s="818">
        <f>ROUND(IF(G1195=1,F1195/23,IF(G1195=3,F1195/12,IF(G1195=5,F1195-I1195,IF(G1195=8,F1195,0)))),0)</f>
        <v>0</v>
      </c>
      <c r="K1195" s="819">
        <f>ROUND(IF(G1195=1,F1195/23,IF(G1195=3,F1195/12,IF(G1195=6,F1195,IF(G1195=7,F1195-I1195,0)))),0)</f>
        <v>0</v>
      </c>
      <c r="L1195" s="820">
        <f>IF(G1195=6,F1195,0)</f>
        <v>0</v>
      </c>
      <c r="P1195" s="768" t="n"/>
      <c r="Q1195" s="769" t="str">
        <f>IF($F1195="","",IFERROR(VLOOKUP($C1195&amp;"|"&amp;$D1195,科目表!$A$5:$B$200,2,FALSE),"※未登録"))</f>
        <v/>
      </c>
      <c r="R1195" s="769" t="str">
        <f>IF($F1195="","",$I1195+$J1195+$K1195)</f>
        <v/>
      </c>
      <c r="S1195" s="769" t="str">
        <f>IF(OR($F1195="",$P1195="支払なし",$H1195=0,$Q1195=""),"",$Q1195&amp;"|S|"&amp;(COUNTIF(S$4:S1194,$Q1195&amp;"|S|*")+1))</f>
        <v/>
      </c>
      <c r="T1195" s="769" t="str">
        <f>IF(OR($F1195="",$P1195="支払なし",$R1195=0,$Q1195=""),"",$Q1195&amp;"|L|"&amp;(COUNTIF(T$4:T1194,$Q1195&amp;"|L|*")+1))</f>
        <v/>
      </c>
      <c r="U1195" s="769" t="str">
        <f>IF($F1195="","",13)</f>
        <v/>
      </c>
    </row>
    <row r="1196" ht="16.5" customHeight="1" s="186">
      <c r="A1196" s="760" t="n"/>
      <c r="B1196" s="760" t="n"/>
      <c r="C1196" s="762" t="n"/>
      <c r="D1196" s="762" t="n"/>
      <c r="E1196" s="775" t="n"/>
      <c r="F1196" s="821" t="n"/>
      <c r="G1196" s="821" t="n"/>
      <c r="H1196" s="818">
        <f>IF(G1196=1,F1196-I1196-J1196-K1196,IF(G1196=2,F1196,0))</f>
        <v>0</v>
      </c>
      <c r="I1196" s="818">
        <f>ROUND(IF(G1196=1,F1196*10/23,IF(G1196=3,F1196-J1196-K1196,IF(G1196=4,F1196,IF(G1196=5,F1196*10/11,IF(G1196=7,F1196*10/11,0))))),0)</f>
        <v>0</v>
      </c>
      <c r="J1196" s="818">
        <f>ROUND(IF(G1196=1,F1196/23,IF(G1196=3,F1196/12,IF(G1196=5,F1196-I1196,IF(G1196=8,F1196,0)))),0)</f>
        <v>0</v>
      </c>
      <c r="K1196" s="819">
        <f>ROUND(IF(G1196=1,F1196/23,IF(G1196=3,F1196/12,IF(G1196=6,F1196,IF(G1196=7,F1196-I1196,0)))),0)</f>
        <v>0</v>
      </c>
      <c r="L1196" s="820">
        <f>IF(G1196=6,F1196,0)</f>
        <v>0</v>
      </c>
      <c r="P1196" s="768" t="n"/>
      <c r="Q1196" s="769" t="str">
        <f>IF($F1196="","",IFERROR(VLOOKUP($C1196&amp;"|"&amp;$D1196,科目表!$A$5:$B$200,2,FALSE),"※未登録"))</f>
        <v/>
      </c>
      <c r="R1196" s="769" t="str">
        <f>IF($F1196="","",$I1196+$J1196+$K1196)</f>
        <v/>
      </c>
      <c r="S1196" s="769" t="str">
        <f>IF(OR($F1196="",$P1196="支払なし",$H1196=0,$Q1196=""),"",$Q1196&amp;"|S|"&amp;(COUNTIF(S$4:S1195,$Q1196&amp;"|S|*")+1))</f>
        <v/>
      </c>
      <c r="T1196" s="769" t="str">
        <f>IF(OR($F1196="",$P1196="支払なし",$R1196=0,$Q1196=""),"",$Q1196&amp;"|L|"&amp;(COUNTIF(T$4:T1195,$Q1196&amp;"|L|*")+1))</f>
        <v/>
      </c>
      <c r="U1196" s="769" t="str">
        <f>IF($F1196="","",13)</f>
        <v/>
      </c>
    </row>
    <row r="1197" ht="16.5" customHeight="1" s="186">
      <c r="A1197" s="760" t="n"/>
      <c r="B1197" s="760" t="n"/>
      <c r="C1197" s="762" t="n"/>
      <c r="D1197" s="762" t="n"/>
      <c r="E1197" s="775" t="n"/>
      <c r="F1197" s="821" t="n"/>
      <c r="G1197" s="821" t="n"/>
      <c r="H1197" s="818">
        <f>IF(G1197=1,F1197-I1197-J1197-K1197,IF(G1197=2,F1197,0))</f>
        <v>0</v>
      </c>
      <c r="I1197" s="818">
        <f>ROUND(IF(G1197=1,F1197*10/23,IF(G1197=3,F1197-J1197-K1197,IF(G1197=4,F1197,IF(G1197=5,F1197*10/11,IF(G1197=7,F1197*10/11,0))))),0)</f>
        <v>0</v>
      </c>
      <c r="J1197" s="818">
        <f>ROUND(IF(G1197=1,F1197/23,IF(G1197=3,F1197/12,IF(G1197=5,F1197-I1197,IF(G1197=8,F1197,0)))),0)</f>
        <v>0</v>
      </c>
      <c r="K1197" s="819">
        <f>ROUND(IF(G1197=1,F1197/23,IF(G1197=3,F1197/12,IF(G1197=6,F1197,IF(G1197=7,F1197-I1197,0)))),0)</f>
        <v>0</v>
      </c>
      <c r="L1197" s="820">
        <f>IF(G1197=6,F1197,0)</f>
        <v>0</v>
      </c>
      <c r="P1197" s="768" t="n"/>
      <c r="Q1197" s="769" t="str">
        <f>IF($F1197="","",IFERROR(VLOOKUP($C1197&amp;"|"&amp;$D1197,科目表!$A$5:$B$200,2,FALSE),"※未登録"))</f>
        <v/>
      </c>
      <c r="R1197" s="769" t="str">
        <f>IF($F1197="","",$I1197+$J1197+$K1197)</f>
        <v/>
      </c>
      <c r="S1197" s="769" t="str">
        <f>IF(OR($F1197="",$P1197="支払なし",$H1197=0,$Q1197=""),"",$Q1197&amp;"|S|"&amp;(COUNTIF(S$4:S1196,$Q1197&amp;"|S|*")+1))</f>
        <v/>
      </c>
      <c r="T1197" s="769" t="str">
        <f>IF(OR($F1197="",$P1197="支払なし",$R1197=0,$Q1197=""),"",$Q1197&amp;"|L|"&amp;(COUNTIF(T$4:T1196,$Q1197&amp;"|L|*")+1))</f>
        <v/>
      </c>
      <c r="U1197" s="769" t="str">
        <f>IF($F1197="","",13)</f>
        <v/>
      </c>
    </row>
    <row r="1198" ht="16.5" customHeight="1" s="186">
      <c r="A1198" s="760" t="n"/>
      <c r="B1198" s="760" t="n"/>
      <c r="C1198" s="762" t="n"/>
      <c r="D1198" s="762" t="n"/>
      <c r="E1198" s="775" t="n"/>
      <c r="F1198" s="821" t="n"/>
      <c r="G1198" s="821" t="n"/>
      <c r="H1198" s="818">
        <f>IF(G1198=1,F1198-I1198-J1198-K1198,IF(G1198=2,F1198,0))</f>
        <v>0</v>
      </c>
      <c r="I1198" s="818">
        <f>ROUND(IF(G1198=1,F1198*10/23,IF(G1198=3,F1198-J1198-K1198,IF(G1198=4,F1198,IF(G1198=5,F1198*10/11,IF(G1198=7,F1198*10/11,0))))),0)</f>
        <v>0</v>
      </c>
      <c r="J1198" s="818">
        <f>ROUND(IF(G1198=1,F1198/23,IF(G1198=3,F1198/12,IF(G1198=5,F1198-I1198,IF(G1198=8,F1198,0)))),0)</f>
        <v>0</v>
      </c>
      <c r="K1198" s="819">
        <f>ROUND(IF(G1198=1,F1198/23,IF(G1198=3,F1198/12,IF(G1198=6,F1198,IF(G1198=7,F1198-I1198,0)))),0)</f>
        <v>0</v>
      </c>
      <c r="L1198" s="820">
        <f>IF(G1198=6,F1198,0)</f>
        <v>0</v>
      </c>
      <c r="P1198" s="768" t="n"/>
      <c r="Q1198" s="769" t="str">
        <f>IF($F1198="","",IFERROR(VLOOKUP($C1198&amp;"|"&amp;$D1198,科目表!$A$5:$B$200,2,FALSE),"※未登録"))</f>
        <v/>
      </c>
      <c r="R1198" s="769" t="str">
        <f>IF($F1198="","",$I1198+$J1198+$K1198)</f>
        <v/>
      </c>
      <c r="S1198" s="769" t="str">
        <f>IF(OR($F1198="",$P1198="支払なし",$H1198=0,$Q1198=""),"",$Q1198&amp;"|S|"&amp;(COUNTIF(S$4:S1197,$Q1198&amp;"|S|*")+1))</f>
        <v/>
      </c>
      <c r="T1198" s="769" t="str">
        <f>IF(OR($F1198="",$P1198="支払なし",$R1198=0,$Q1198=""),"",$Q1198&amp;"|L|"&amp;(COUNTIF(T$4:T1197,$Q1198&amp;"|L|*")+1))</f>
        <v/>
      </c>
      <c r="U1198" s="769" t="str">
        <f>IF($F1198="","",13)</f>
        <v/>
      </c>
    </row>
    <row r="1199" ht="16.5" customHeight="1" s="186">
      <c r="A1199" s="760" t="n"/>
      <c r="B1199" s="760" t="n"/>
      <c r="C1199" s="762" t="n"/>
      <c r="D1199" s="762" t="n"/>
      <c r="E1199" s="775" t="n"/>
      <c r="F1199" s="821" t="n"/>
      <c r="G1199" s="821" t="n"/>
      <c r="H1199" s="818">
        <f>IF(G1199=1,F1199-I1199-J1199-K1199,IF(G1199=2,F1199,0))</f>
        <v>0</v>
      </c>
      <c r="I1199" s="818">
        <f>ROUND(IF(G1199=1,F1199*10/23,IF(G1199=3,F1199-J1199-K1199,IF(G1199=4,F1199,IF(G1199=5,F1199*10/11,IF(G1199=7,F1199*10/11,0))))),0)</f>
        <v>0</v>
      </c>
      <c r="J1199" s="818">
        <f>ROUND(IF(G1199=1,F1199/23,IF(G1199=3,F1199/12,IF(G1199=5,F1199-I1199,IF(G1199=8,F1199,0)))),0)</f>
        <v>0</v>
      </c>
      <c r="K1199" s="819">
        <f>ROUND(IF(G1199=1,F1199/23,IF(G1199=3,F1199/12,IF(G1199=6,F1199,IF(G1199=7,F1199-I1199,0)))),0)</f>
        <v>0</v>
      </c>
      <c r="L1199" s="820">
        <f>IF(G1199=6,F1199,0)</f>
        <v>0</v>
      </c>
      <c r="P1199" s="768" t="n"/>
      <c r="Q1199" s="769" t="str">
        <f>IF($F1199="","",IFERROR(VLOOKUP($C1199&amp;"|"&amp;$D1199,科目表!$A$5:$B$200,2,FALSE),"※未登録"))</f>
        <v/>
      </c>
      <c r="R1199" s="769" t="str">
        <f>IF($F1199="","",$I1199+$J1199+$K1199)</f>
        <v/>
      </c>
      <c r="S1199" s="769" t="str">
        <f>IF(OR($F1199="",$P1199="支払なし",$H1199=0,$Q1199=""),"",$Q1199&amp;"|S|"&amp;(COUNTIF(S$4:S1198,$Q1199&amp;"|S|*")+1))</f>
        <v/>
      </c>
      <c r="T1199" s="769" t="str">
        <f>IF(OR($F1199="",$P1199="支払なし",$R1199=0,$Q1199=""),"",$Q1199&amp;"|L|"&amp;(COUNTIF(T$4:T1198,$Q1199&amp;"|L|*")+1))</f>
        <v/>
      </c>
      <c r="U1199" s="769" t="str">
        <f>IF($F1199="","",13)</f>
        <v/>
      </c>
    </row>
    <row r="1200" ht="16.5" customHeight="1" s="186">
      <c r="A1200" s="760" t="n"/>
      <c r="B1200" s="760" t="n"/>
      <c r="C1200" s="762" t="n"/>
      <c r="D1200" s="762" t="n"/>
      <c r="E1200" s="775" t="n"/>
      <c r="F1200" s="821" t="n"/>
      <c r="G1200" s="821" t="n"/>
      <c r="H1200" s="818">
        <f>IF(G1200=1,F1200-I1200-J1200-K1200,IF(G1200=2,F1200,0))</f>
        <v>0</v>
      </c>
      <c r="I1200" s="818">
        <f>ROUND(IF(G1200=1,F1200*10/23,IF(G1200=3,F1200-J1200-K1200,IF(G1200=4,F1200,IF(G1200=5,F1200*10/11,IF(G1200=7,F1200*10/11,0))))),0)</f>
        <v>0</v>
      </c>
      <c r="J1200" s="818">
        <f>ROUND(IF(G1200=1,F1200/23,IF(G1200=3,F1200/12,IF(G1200=5,F1200-I1200,IF(G1200=8,F1200,0)))),0)</f>
        <v>0</v>
      </c>
      <c r="K1200" s="819">
        <f>ROUND(IF(G1200=1,F1200/23,IF(G1200=3,F1200/12,IF(G1200=6,F1200,IF(G1200=7,F1200-I1200,0)))),0)</f>
        <v>0</v>
      </c>
      <c r="L1200" s="820">
        <f>IF(G1200=6,F1200,0)</f>
        <v>0</v>
      </c>
      <c r="P1200" s="768" t="n"/>
      <c r="Q1200" s="769" t="str">
        <f>IF($F1200="","",IFERROR(VLOOKUP($C1200&amp;"|"&amp;$D1200,科目表!$A$5:$B$200,2,FALSE),"※未登録"))</f>
        <v/>
      </c>
      <c r="R1200" s="769" t="str">
        <f>IF($F1200="","",$I1200+$J1200+$K1200)</f>
        <v/>
      </c>
      <c r="S1200" s="769" t="str">
        <f>IF(OR($F1200="",$P1200="支払なし",$H1200=0,$Q1200=""),"",$Q1200&amp;"|S|"&amp;(COUNTIF(S$4:S1199,$Q1200&amp;"|S|*")+1))</f>
        <v/>
      </c>
      <c r="T1200" s="769" t="str">
        <f>IF(OR($F1200="",$P1200="支払なし",$R1200=0,$Q1200=""),"",$Q1200&amp;"|L|"&amp;(COUNTIF(T$4:T1199,$Q1200&amp;"|L|*")+1))</f>
        <v/>
      </c>
      <c r="U1200" s="769" t="str">
        <f>IF($F1200="","",13)</f>
        <v/>
      </c>
    </row>
    <row r="1201" ht="16.5" customHeight="1" s="186">
      <c r="A1201" s="760" t="n"/>
      <c r="B1201" s="760" t="n"/>
      <c r="C1201" s="762" t="n"/>
      <c r="D1201" s="762" t="n"/>
      <c r="E1201" s="775" t="n"/>
      <c r="F1201" s="821" t="n"/>
      <c r="G1201" s="821" t="n"/>
      <c r="H1201" s="818">
        <f>IF(G1201=1,F1201-I1201-J1201-K1201,IF(G1201=2,F1201,0))</f>
        <v>0</v>
      </c>
      <c r="I1201" s="818">
        <f>ROUND(IF(G1201=1,F1201*10/23,IF(G1201=3,F1201-J1201-K1201,IF(G1201=4,F1201,IF(G1201=5,F1201*10/11,IF(G1201=7,F1201*10/11,0))))),0)</f>
        <v>0</v>
      </c>
      <c r="J1201" s="818">
        <f>ROUND(IF(G1201=1,F1201/23,IF(G1201=3,F1201/12,IF(G1201=5,F1201-I1201,IF(G1201=8,F1201,0)))),0)</f>
        <v>0</v>
      </c>
      <c r="K1201" s="819">
        <f>ROUND(IF(G1201=1,F1201/23,IF(G1201=3,F1201/12,IF(G1201=6,F1201,IF(G1201=7,F1201-I1201,0)))),0)</f>
        <v>0</v>
      </c>
      <c r="L1201" s="820">
        <f>IF(G1201=6,F1201,0)</f>
        <v>0</v>
      </c>
      <c r="P1201" s="768" t="n"/>
      <c r="Q1201" s="769" t="str">
        <f>IF($F1201="","",IFERROR(VLOOKUP($C1201&amp;"|"&amp;$D1201,科目表!$A$5:$B$200,2,FALSE),"※未登録"))</f>
        <v/>
      </c>
      <c r="R1201" s="769" t="str">
        <f>IF($F1201="","",$I1201+$J1201+$K1201)</f>
        <v/>
      </c>
      <c r="S1201" s="769" t="str">
        <f>IF(OR($F1201="",$P1201="支払なし",$H1201=0,$Q1201=""),"",$Q1201&amp;"|S|"&amp;(COUNTIF(S$4:S1200,$Q1201&amp;"|S|*")+1))</f>
        <v/>
      </c>
      <c r="T1201" s="769" t="str">
        <f>IF(OR($F1201="",$P1201="支払なし",$R1201=0,$Q1201=""),"",$Q1201&amp;"|L|"&amp;(COUNTIF(T$4:T1200,$Q1201&amp;"|L|*")+1))</f>
        <v/>
      </c>
      <c r="U1201" s="769" t="str">
        <f>IF($F1201="","",13)</f>
        <v/>
      </c>
    </row>
    <row r="1202" ht="16.5" customHeight="1" s="186">
      <c r="A1202" s="760" t="n"/>
      <c r="B1202" s="760" t="n"/>
      <c r="C1202" s="762" t="n"/>
      <c r="D1202" s="762" t="n"/>
      <c r="E1202" s="775" t="n"/>
      <c r="F1202" s="821" t="n"/>
      <c r="G1202" s="821" t="n"/>
      <c r="H1202" s="818">
        <f>IF(G1202=1,F1202-I1202-J1202-K1202,IF(G1202=2,F1202,0))</f>
        <v>0</v>
      </c>
      <c r="I1202" s="818">
        <f>ROUND(IF(G1202=1,F1202*10/23,IF(G1202=3,F1202-J1202-K1202,IF(G1202=4,F1202,IF(G1202=5,F1202*10/11,IF(G1202=7,F1202*10/11,0))))),0)</f>
        <v>0</v>
      </c>
      <c r="J1202" s="818">
        <f>ROUND(IF(G1202=1,F1202/23,IF(G1202=3,F1202/12,IF(G1202=5,F1202-I1202,IF(G1202=8,F1202,0)))),0)</f>
        <v>0</v>
      </c>
      <c r="K1202" s="819">
        <f>ROUND(IF(G1202=1,F1202/23,IF(G1202=3,F1202/12,IF(G1202=6,F1202,IF(G1202=7,F1202-I1202,0)))),0)</f>
        <v>0</v>
      </c>
      <c r="L1202" s="820">
        <f>IF(G1202=6,F1202,0)</f>
        <v>0</v>
      </c>
      <c r="P1202" s="768" t="n"/>
      <c r="Q1202" s="769" t="str">
        <f>IF($F1202="","",IFERROR(VLOOKUP($C1202&amp;"|"&amp;$D1202,科目表!$A$5:$B$200,2,FALSE),"※未登録"))</f>
        <v/>
      </c>
      <c r="R1202" s="769" t="str">
        <f>IF($F1202="","",$I1202+$J1202+$K1202)</f>
        <v/>
      </c>
      <c r="S1202" s="769" t="str">
        <f>IF(OR($F1202="",$P1202="支払なし",$H1202=0,$Q1202=""),"",$Q1202&amp;"|S|"&amp;(COUNTIF(S$4:S1201,$Q1202&amp;"|S|*")+1))</f>
        <v/>
      </c>
      <c r="T1202" s="769" t="str">
        <f>IF(OR($F1202="",$P1202="支払なし",$R1202=0,$Q1202=""),"",$Q1202&amp;"|L|"&amp;(COUNTIF(T$4:T1201,$Q1202&amp;"|L|*")+1))</f>
        <v/>
      </c>
      <c r="U1202" s="769" t="str">
        <f>IF($F1202="","",13)</f>
        <v/>
      </c>
    </row>
    <row r="1203" ht="16.5" customHeight="1" s="186">
      <c r="A1203" s="760" t="n"/>
      <c r="B1203" s="760" t="n"/>
      <c r="C1203" s="762" t="n"/>
      <c r="D1203" s="762" t="n"/>
      <c r="E1203" s="775" t="n"/>
      <c r="F1203" s="821" t="n"/>
      <c r="G1203" s="821" t="n"/>
      <c r="H1203" s="818">
        <f>IF(G1203=1,F1203-I1203-J1203-K1203,IF(G1203=2,F1203,0))</f>
        <v>0</v>
      </c>
      <c r="I1203" s="818">
        <f>ROUND(IF(G1203=1,F1203*10/23,IF(G1203=3,F1203-J1203-K1203,IF(G1203=4,F1203,IF(G1203=5,F1203*10/11,IF(G1203=7,F1203*10/11,0))))),0)</f>
        <v>0</v>
      </c>
      <c r="J1203" s="818">
        <f>ROUND(IF(G1203=1,F1203/23,IF(G1203=3,F1203/12,IF(G1203=5,F1203-I1203,IF(G1203=8,F1203,0)))),0)</f>
        <v>0</v>
      </c>
      <c r="K1203" s="819">
        <f>ROUND(IF(G1203=1,F1203/23,IF(G1203=3,F1203/12,IF(G1203=6,F1203,IF(G1203=7,F1203-I1203,0)))),0)</f>
        <v>0</v>
      </c>
      <c r="L1203" s="820">
        <f>IF(G1203=6,F1203,0)</f>
        <v>0</v>
      </c>
      <c r="P1203" s="768" t="n"/>
      <c r="Q1203" s="769" t="str">
        <f>IF($F1203="","",IFERROR(VLOOKUP($C1203&amp;"|"&amp;$D1203,科目表!$A$5:$B$200,2,FALSE),"※未登録"))</f>
        <v/>
      </c>
      <c r="R1203" s="769" t="str">
        <f>IF($F1203="","",$I1203+$J1203+$K1203)</f>
        <v/>
      </c>
      <c r="S1203" s="769" t="str">
        <f>IF(OR($F1203="",$P1203="支払なし",$H1203=0,$Q1203=""),"",$Q1203&amp;"|S|"&amp;(COUNTIF(S$4:S1202,$Q1203&amp;"|S|*")+1))</f>
        <v/>
      </c>
      <c r="T1203" s="769" t="str">
        <f>IF(OR($F1203="",$P1203="支払なし",$R1203=0,$Q1203=""),"",$Q1203&amp;"|L|"&amp;(COUNTIF(T$4:T1202,$Q1203&amp;"|L|*")+1))</f>
        <v/>
      </c>
      <c r="U1203" s="769" t="str">
        <f>IF($F1203="","",13)</f>
        <v/>
      </c>
    </row>
    <row r="1204" ht="16.5" customHeight="1" s="186">
      <c r="A1204" s="760" t="n"/>
      <c r="B1204" s="760" t="n"/>
      <c r="C1204" s="762" t="n"/>
      <c r="D1204" s="762" t="n"/>
      <c r="E1204" s="775" t="n"/>
      <c r="F1204" s="821" t="n"/>
      <c r="G1204" s="821" t="n"/>
      <c r="H1204" s="818">
        <f>IF(G1204=1,F1204-I1204-J1204-K1204,IF(G1204=2,F1204,0))</f>
        <v>0</v>
      </c>
      <c r="I1204" s="818">
        <f>ROUND(IF(G1204=1,F1204*10/23,IF(G1204=3,F1204-J1204-K1204,IF(G1204=4,F1204,IF(G1204=5,F1204*10/11,IF(G1204=7,F1204*10/11,0))))),0)</f>
        <v>0</v>
      </c>
      <c r="J1204" s="818">
        <f>ROUND(IF(G1204=1,F1204/23,IF(G1204=3,F1204/12,IF(G1204=5,F1204-I1204,IF(G1204=8,F1204,0)))),0)</f>
        <v>0</v>
      </c>
      <c r="K1204" s="819">
        <f>ROUND(IF(G1204=1,F1204/23,IF(G1204=3,F1204/12,IF(G1204=6,F1204,IF(G1204=7,F1204-I1204,0)))),0)</f>
        <v>0</v>
      </c>
      <c r="L1204" s="820">
        <f>IF(G1204=6,F1204,0)</f>
        <v>0</v>
      </c>
      <c r="P1204" s="768" t="n"/>
      <c r="Q1204" s="769" t="str">
        <f>IF($F1204="","",IFERROR(VLOOKUP($C1204&amp;"|"&amp;$D1204,科目表!$A$5:$B$200,2,FALSE),"※未登録"))</f>
        <v/>
      </c>
      <c r="R1204" s="769" t="str">
        <f>IF($F1204="","",$I1204+$J1204+$K1204)</f>
        <v/>
      </c>
      <c r="S1204" s="769" t="str">
        <f>IF(OR($F1204="",$P1204="支払なし",$H1204=0,$Q1204=""),"",$Q1204&amp;"|S|"&amp;(COUNTIF(S$4:S1203,$Q1204&amp;"|S|*")+1))</f>
        <v/>
      </c>
      <c r="T1204" s="769" t="str">
        <f>IF(OR($F1204="",$P1204="支払なし",$R1204=0,$Q1204=""),"",$Q1204&amp;"|L|"&amp;(COUNTIF(T$4:T1203,$Q1204&amp;"|L|*")+1))</f>
        <v/>
      </c>
      <c r="U1204" s="769" t="str">
        <f>IF($F1204="","",13)</f>
        <v/>
      </c>
    </row>
    <row r="1205" ht="16.5" customHeight="1" s="186">
      <c r="A1205" s="760" t="n"/>
      <c r="B1205" s="760" t="n"/>
      <c r="C1205" s="762" t="n"/>
      <c r="D1205" s="762" t="n"/>
      <c r="E1205" s="775" t="n"/>
      <c r="F1205" s="821" t="n"/>
      <c r="G1205" s="821" t="n"/>
      <c r="H1205" s="818">
        <f>IF(G1205=1,F1205-I1205-J1205-K1205,IF(G1205=2,F1205,0))</f>
        <v>0</v>
      </c>
      <c r="I1205" s="818">
        <f>ROUND(IF(G1205=1,F1205*10/23,IF(G1205=3,F1205-J1205-K1205,IF(G1205=4,F1205,IF(G1205=5,F1205*10/11,IF(G1205=7,F1205*10/11,0))))),0)</f>
        <v>0</v>
      </c>
      <c r="J1205" s="818">
        <f>ROUND(IF(G1205=1,F1205/23,IF(G1205=3,F1205/12,IF(G1205=5,F1205-I1205,IF(G1205=8,F1205,0)))),0)</f>
        <v>0</v>
      </c>
      <c r="K1205" s="819">
        <f>ROUND(IF(G1205=1,F1205/23,IF(G1205=3,F1205/12,IF(G1205=6,F1205,IF(G1205=7,F1205-I1205,0)))),0)</f>
        <v>0</v>
      </c>
      <c r="L1205" s="820">
        <f>IF(G1205=6,F1205,0)</f>
        <v>0</v>
      </c>
      <c r="P1205" s="768" t="n"/>
      <c r="Q1205" s="769" t="str">
        <f>IF($F1205="","",IFERROR(VLOOKUP($C1205&amp;"|"&amp;$D1205,科目表!$A$5:$B$200,2,FALSE),"※未登録"))</f>
        <v/>
      </c>
      <c r="R1205" s="769" t="str">
        <f>IF($F1205="","",$I1205+$J1205+$K1205)</f>
        <v/>
      </c>
      <c r="S1205" s="769" t="str">
        <f>IF(OR($F1205="",$P1205="支払なし",$H1205=0,$Q1205=""),"",$Q1205&amp;"|S|"&amp;(COUNTIF(S$4:S1204,$Q1205&amp;"|S|*")+1))</f>
        <v/>
      </c>
      <c r="T1205" s="769" t="str">
        <f>IF(OR($F1205="",$P1205="支払なし",$R1205=0,$Q1205=""),"",$Q1205&amp;"|L|"&amp;(COUNTIF(T$4:T1204,$Q1205&amp;"|L|*")+1))</f>
        <v/>
      </c>
      <c r="U1205" s="769" t="str">
        <f>IF($F1205="","",13)</f>
        <v/>
      </c>
    </row>
    <row r="1206" ht="16.5" customHeight="1" s="186">
      <c r="A1206" s="760" t="n"/>
      <c r="B1206" s="760" t="n"/>
      <c r="C1206" s="762" t="n"/>
      <c r="D1206" s="762" t="n"/>
      <c r="E1206" s="775" t="n"/>
      <c r="F1206" s="821" t="n"/>
      <c r="G1206" s="821" t="n"/>
      <c r="H1206" s="818">
        <f>IF(G1206=1,F1206-I1206-J1206-K1206,IF(G1206=2,F1206,0))</f>
        <v>0</v>
      </c>
      <c r="I1206" s="818">
        <f>ROUND(IF(G1206=1,F1206*10/23,IF(G1206=3,F1206-J1206-K1206,IF(G1206=4,F1206,IF(G1206=5,F1206*10/11,IF(G1206=7,F1206*10/11,0))))),0)</f>
        <v>0</v>
      </c>
      <c r="J1206" s="818">
        <f>ROUND(IF(G1206=1,F1206/23,IF(G1206=3,F1206/12,IF(G1206=5,F1206-I1206,IF(G1206=8,F1206,0)))),0)</f>
        <v>0</v>
      </c>
      <c r="K1206" s="819">
        <f>ROUND(IF(G1206=1,F1206/23,IF(G1206=3,F1206/12,IF(G1206=6,F1206,IF(G1206=7,F1206-I1206,0)))),0)</f>
        <v>0</v>
      </c>
      <c r="L1206" s="820">
        <f>IF(G1206=6,F1206,0)</f>
        <v>0</v>
      </c>
      <c r="P1206" s="768" t="n"/>
      <c r="Q1206" s="769" t="str">
        <f>IF($F1206="","",IFERROR(VLOOKUP($C1206&amp;"|"&amp;$D1206,科目表!$A$5:$B$200,2,FALSE),"※未登録"))</f>
        <v/>
      </c>
      <c r="R1206" s="769" t="str">
        <f>IF($F1206="","",$I1206+$J1206+$K1206)</f>
        <v/>
      </c>
      <c r="S1206" s="769" t="str">
        <f>IF(OR($F1206="",$P1206="支払なし",$H1206=0,$Q1206=""),"",$Q1206&amp;"|S|"&amp;(COUNTIF(S$4:S1205,$Q1206&amp;"|S|*")+1))</f>
        <v/>
      </c>
      <c r="T1206" s="769" t="str">
        <f>IF(OR($F1206="",$P1206="支払なし",$R1206=0,$Q1206=""),"",$Q1206&amp;"|L|"&amp;(COUNTIF(T$4:T1205,$Q1206&amp;"|L|*")+1))</f>
        <v/>
      </c>
      <c r="U1206" s="769" t="str">
        <f>IF($F1206="","",13)</f>
        <v/>
      </c>
    </row>
    <row r="1207" ht="16.5" customHeight="1" s="186">
      <c r="A1207" s="760" t="n"/>
      <c r="B1207" s="760" t="n"/>
      <c r="C1207" s="762" t="n"/>
      <c r="D1207" s="762" t="n"/>
      <c r="E1207" s="775" t="n"/>
      <c r="F1207" s="821" t="n"/>
      <c r="G1207" s="821" t="n"/>
      <c r="H1207" s="818">
        <f>IF(G1207=1,F1207-I1207-J1207-K1207,IF(G1207=2,F1207,0))</f>
        <v>0</v>
      </c>
      <c r="I1207" s="818">
        <f>ROUND(IF(G1207=1,F1207*10/23,IF(G1207=3,F1207-J1207-K1207,IF(G1207=4,F1207,IF(G1207=5,F1207*10/11,IF(G1207=7,F1207*10/11,0))))),0)</f>
        <v>0</v>
      </c>
      <c r="J1207" s="818">
        <f>ROUND(IF(G1207=1,F1207/23,IF(G1207=3,F1207/12,IF(G1207=5,F1207-I1207,IF(G1207=8,F1207,0)))),0)</f>
        <v>0</v>
      </c>
      <c r="K1207" s="819">
        <f>ROUND(IF(G1207=1,F1207/23,IF(G1207=3,F1207/12,IF(G1207=6,F1207,IF(G1207=7,F1207-I1207,0)))),0)</f>
        <v>0</v>
      </c>
      <c r="L1207" s="820">
        <f>IF(G1207=6,F1207,0)</f>
        <v>0</v>
      </c>
      <c r="P1207" s="768" t="n"/>
      <c r="Q1207" s="769" t="str">
        <f>IF($F1207="","",IFERROR(VLOOKUP($C1207&amp;"|"&amp;$D1207,科目表!$A$5:$B$200,2,FALSE),"※未登録"))</f>
        <v/>
      </c>
      <c r="R1207" s="769" t="str">
        <f>IF($F1207="","",$I1207+$J1207+$K1207)</f>
        <v/>
      </c>
      <c r="S1207" s="769" t="str">
        <f>IF(OR($F1207="",$P1207="支払なし",$H1207=0,$Q1207=""),"",$Q1207&amp;"|S|"&amp;(COUNTIF(S$4:S1206,$Q1207&amp;"|S|*")+1))</f>
        <v/>
      </c>
      <c r="T1207" s="769" t="str">
        <f>IF(OR($F1207="",$P1207="支払なし",$R1207=0,$Q1207=""),"",$Q1207&amp;"|L|"&amp;(COUNTIF(T$4:T1206,$Q1207&amp;"|L|*")+1))</f>
        <v/>
      </c>
      <c r="U1207" s="769" t="str">
        <f>IF($F1207="","",13)</f>
        <v/>
      </c>
    </row>
    <row r="1208" ht="16.5" customHeight="1" s="186">
      <c r="A1208" s="760" t="n"/>
      <c r="B1208" s="760" t="n"/>
      <c r="C1208" s="762" t="n"/>
      <c r="D1208" s="762" t="n"/>
      <c r="E1208" s="775" t="n"/>
      <c r="F1208" s="821" t="n"/>
      <c r="G1208" s="821" t="n"/>
      <c r="H1208" s="818">
        <f>IF(G1208=1,F1208-I1208-J1208-K1208,IF(G1208=2,F1208,0))</f>
        <v>0</v>
      </c>
      <c r="I1208" s="818">
        <f>ROUND(IF(G1208=1,F1208*10/23,IF(G1208=3,F1208-J1208-K1208,IF(G1208=4,F1208,IF(G1208=5,F1208*10/11,IF(G1208=7,F1208*10/11,0))))),0)</f>
        <v>0</v>
      </c>
      <c r="J1208" s="818">
        <f>ROUND(IF(G1208=1,F1208/23,IF(G1208=3,F1208/12,IF(G1208=5,F1208-I1208,IF(G1208=8,F1208,0)))),0)</f>
        <v>0</v>
      </c>
      <c r="K1208" s="819">
        <f>ROUND(IF(G1208=1,F1208/23,IF(G1208=3,F1208/12,IF(G1208=6,F1208,IF(G1208=7,F1208-I1208,0)))),0)</f>
        <v>0</v>
      </c>
      <c r="L1208" s="820">
        <f>IF(G1208=6,F1208,0)</f>
        <v>0</v>
      </c>
      <c r="P1208" s="768" t="n"/>
      <c r="Q1208" s="769" t="str">
        <f>IF($F1208="","",IFERROR(VLOOKUP($C1208&amp;"|"&amp;$D1208,科目表!$A$5:$B$200,2,FALSE),"※未登録"))</f>
        <v/>
      </c>
      <c r="R1208" s="769" t="str">
        <f>IF($F1208="","",$I1208+$J1208+$K1208)</f>
        <v/>
      </c>
      <c r="S1208" s="769" t="str">
        <f>IF(OR($F1208="",$P1208="支払なし",$H1208=0,$Q1208=""),"",$Q1208&amp;"|S|"&amp;(COUNTIF(S$4:S1207,$Q1208&amp;"|S|*")+1))</f>
        <v/>
      </c>
      <c r="T1208" s="769" t="str">
        <f>IF(OR($F1208="",$P1208="支払なし",$R1208=0,$Q1208=""),"",$Q1208&amp;"|L|"&amp;(COUNTIF(T$4:T1207,$Q1208&amp;"|L|*")+1))</f>
        <v/>
      </c>
      <c r="U1208" s="769" t="str">
        <f>IF($F1208="","",13)</f>
        <v/>
      </c>
    </row>
    <row r="1209" ht="16.5" customHeight="1" s="186">
      <c r="A1209" s="760" t="n"/>
      <c r="B1209" s="760" t="n"/>
      <c r="C1209" s="762" t="n"/>
      <c r="D1209" s="762" t="n"/>
      <c r="E1209" s="775" t="n"/>
      <c r="F1209" s="821" t="n"/>
      <c r="G1209" s="821" t="n"/>
      <c r="H1209" s="818">
        <f>IF(G1209=1,F1209-I1209-J1209-K1209,IF(G1209=2,F1209,0))</f>
        <v>0</v>
      </c>
      <c r="I1209" s="818">
        <f>ROUND(IF(G1209=1,F1209*10/23,IF(G1209=3,F1209-J1209-K1209,IF(G1209=4,F1209,IF(G1209=5,F1209*10/11,IF(G1209=7,F1209*10/11,0))))),0)</f>
        <v>0</v>
      </c>
      <c r="J1209" s="818">
        <f>ROUND(IF(G1209=1,F1209/23,IF(G1209=3,F1209/12,IF(G1209=5,F1209-I1209,IF(G1209=8,F1209,0)))),0)</f>
        <v>0</v>
      </c>
      <c r="K1209" s="819">
        <f>ROUND(IF(G1209=1,F1209/23,IF(G1209=3,F1209/12,IF(G1209=6,F1209,IF(G1209=7,F1209-I1209,0)))),0)</f>
        <v>0</v>
      </c>
      <c r="L1209" s="820">
        <f>IF(G1209=6,F1209,0)</f>
        <v>0</v>
      </c>
      <c r="P1209" s="768" t="n"/>
      <c r="Q1209" s="769" t="str">
        <f>IF($F1209="","",IFERROR(VLOOKUP($C1209&amp;"|"&amp;$D1209,科目表!$A$5:$B$200,2,FALSE),"※未登録"))</f>
        <v/>
      </c>
      <c r="R1209" s="769" t="str">
        <f>IF($F1209="","",$I1209+$J1209+$K1209)</f>
        <v/>
      </c>
      <c r="S1209" s="769" t="str">
        <f>IF(OR($F1209="",$P1209="支払なし",$H1209=0,$Q1209=""),"",$Q1209&amp;"|S|"&amp;(COUNTIF(S$4:S1208,$Q1209&amp;"|S|*")+1))</f>
        <v/>
      </c>
      <c r="T1209" s="769" t="str">
        <f>IF(OR($F1209="",$P1209="支払なし",$R1209=0,$Q1209=""),"",$Q1209&amp;"|L|"&amp;(COUNTIF(T$4:T1208,$Q1209&amp;"|L|*")+1))</f>
        <v/>
      </c>
      <c r="U1209" s="769" t="str">
        <f>IF($F1209="","",13)</f>
        <v/>
      </c>
    </row>
    <row r="1210" ht="16.5" customHeight="1" s="186">
      <c r="A1210" s="760" t="n"/>
      <c r="B1210" s="760" t="n"/>
      <c r="C1210" s="762" t="n"/>
      <c r="D1210" s="762" t="n"/>
      <c r="E1210" s="775" t="n"/>
      <c r="F1210" s="821" t="n"/>
      <c r="G1210" s="821" t="n"/>
      <c r="H1210" s="818">
        <f>IF(G1210=1,F1210-I1210-J1210-K1210,IF(G1210=2,F1210,0))</f>
        <v>0</v>
      </c>
      <c r="I1210" s="818">
        <f>ROUND(IF(G1210=1,F1210*10/23,IF(G1210=3,F1210-J1210-K1210,IF(G1210=4,F1210,IF(G1210=5,F1210*10/11,IF(G1210=7,F1210*10/11,0))))),0)</f>
        <v>0</v>
      </c>
      <c r="J1210" s="818">
        <f>ROUND(IF(G1210=1,F1210/23,IF(G1210=3,F1210/12,IF(G1210=5,F1210-I1210,IF(G1210=8,F1210,0)))),0)</f>
        <v>0</v>
      </c>
      <c r="K1210" s="819">
        <f>ROUND(IF(G1210=1,F1210/23,IF(G1210=3,F1210/12,IF(G1210=6,F1210,IF(G1210=7,F1210-I1210,0)))),0)</f>
        <v>0</v>
      </c>
      <c r="L1210" s="820">
        <f>IF(G1210=6,F1210,0)</f>
        <v>0</v>
      </c>
      <c r="P1210" s="768" t="n"/>
      <c r="Q1210" s="769" t="str">
        <f>IF($F1210="","",IFERROR(VLOOKUP($C1210&amp;"|"&amp;$D1210,科目表!$A$5:$B$200,2,FALSE),"※未登録"))</f>
        <v/>
      </c>
      <c r="R1210" s="769" t="str">
        <f>IF($F1210="","",$I1210+$J1210+$K1210)</f>
        <v/>
      </c>
      <c r="S1210" s="769" t="str">
        <f>IF(OR($F1210="",$P1210="支払なし",$H1210=0,$Q1210=""),"",$Q1210&amp;"|S|"&amp;(COUNTIF(S$4:S1209,$Q1210&amp;"|S|*")+1))</f>
        <v/>
      </c>
      <c r="T1210" s="769" t="str">
        <f>IF(OR($F1210="",$P1210="支払なし",$R1210=0,$Q1210=""),"",$Q1210&amp;"|L|"&amp;(COUNTIF(T$4:T1209,$Q1210&amp;"|L|*")+1))</f>
        <v/>
      </c>
      <c r="U1210" s="769" t="str">
        <f>IF($F1210="","",13)</f>
        <v/>
      </c>
    </row>
    <row r="1211" ht="16.5" customHeight="1" s="186">
      <c r="A1211" s="760" t="n"/>
      <c r="B1211" s="760" t="n"/>
      <c r="C1211" s="762" t="n"/>
      <c r="D1211" s="762" t="n"/>
      <c r="E1211" s="775" t="n"/>
      <c r="F1211" s="821" t="n"/>
      <c r="G1211" s="821" t="n"/>
      <c r="H1211" s="818">
        <f>IF(G1211=1,F1211-I1211-J1211-K1211,IF(G1211=2,F1211,0))</f>
        <v>0</v>
      </c>
      <c r="I1211" s="818">
        <f>ROUND(IF(G1211=1,F1211*10/23,IF(G1211=3,F1211-J1211-K1211,IF(G1211=4,F1211,IF(G1211=5,F1211*10/11,IF(G1211=7,F1211*10/11,0))))),0)</f>
        <v>0</v>
      </c>
      <c r="J1211" s="818">
        <f>ROUND(IF(G1211=1,F1211/23,IF(G1211=3,F1211/12,IF(G1211=5,F1211-I1211,IF(G1211=8,F1211,0)))),0)</f>
        <v>0</v>
      </c>
      <c r="K1211" s="819">
        <f>ROUND(IF(G1211=1,F1211/23,IF(G1211=3,F1211/12,IF(G1211=6,F1211,IF(G1211=7,F1211-I1211,0)))),0)</f>
        <v>0</v>
      </c>
      <c r="L1211" s="820">
        <f>IF(G1211=6,F1211,0)</f>
        <v>0</v>
      </c>
      <c r="P1211" s="768" t="n"/>
      <c r="Q1211" s="769" t="str">
        <f>IF($F1211="","",IFERROR(VLOOKUP($C1211&amp;"|"&amp;$D1211,科目表!$A$5:$B$200,2,FALSE),"※未登録"))</f>
        <v/>
      </c>
      <c r="R1211" s="769" t="str">
        <f>IF($F1211="","",$I1211+$J1211+$K1211)</f>
        <v/>
      </c>
      <c r="S1211" s="769" t="str">
        <f>IF(OR($F1211="",$P1211="支払なし",$H1211=0,$Q1211=""),"",$Q1211&amp;"|S|"&amp;(COUNTIF(S$4:S1210,$Q1211&amp;"|S|*")+1))</f>
        <v/>
      </c>
      <c r="T1211" s="769" t="str">
        <f>IF(OR($F1211="",$P1211="支払なし",$R1211=0,$Q1211=""),"",$Q1211&amp;"|L|"&amp;(COUNTIF(T$4:T1210,$Q1211&amp;"|L|*")+1))</f>
        <v/>
      </c>
      <c r="U1211" s="769" t="str">
        <f>IF($F1211="","",13)</f>
        <v/>
      </c>
    </row>
    <row r="1212" ht="16.5" customHeight="1" s="186">
      <c r="A1212" s="760" t="n"/>
      <c r="B1212" s="760" t="n"/>
      <c r="C1212" s="762" t="n"/>
      <c r="D1212" s="762" t="n"/>
      <c r="E1212" s="775" t="n"/>
      <c r="F1212" s="821" t="n"/>
      <c r="G1212" s="821" t="n"/>
      <c r="H1212" s="818">
        <f>IF(G1212=1,F1212-I1212-J1212-K1212,IF(G1212=2,F1212,0))</f>
        <v>0</v>
      </c>
      <c r="I1212" s="818">
        <f>ROUND(IF(G1212=1,F1212*10/23,IF(G1212=3,F1212-J1212-K1212,IF(G1212=4,F1212,IF(G1212=5,F1212*10/11,IF(G1212=7,F1212*10/11,0))))),0)</f>
        <v>0</v>
      </c>
      <c r="J1212" s="818">
        <f>ROUND(IF(G1212=1,F1212/23,IF(G1212=3,F1212/12,IF(G1212=5,F1212-I1212,IF(G1212=8,F1212,0)))),0)</f>
        <v>0</v>
      </c>
      <c r="K1212" s="819">
        <f>ROUND(IF(G1212=1,F1212/23,IF(G1212=3,F1212/12,IF(G1212=6,F1212,IF(G1212=7,F1212-I1212,0)))),0)</f>
        <v>0</v>
      </c>
      <c r="L1212" s="820">
        <f>IF(G1212=6,F1212,0)</f>
        <v>0</v>
      </c>
      <c r="P1212" s="768" t="n"/>
      <c r="Q1212" s="769" t="str">
        <f>IF($F1212="","",IFERROR(VLOOKUP($C1212&amp;"|"&amp;$D1212,科目表!$A$5:$B$200,2,FALSE),"※未登録"))</f>
        <v/>
      </c>
      <c r="R1212" s="769" t="str">
        <f>IF($F1212="","",$I1212+$J1212+$K1212)</f>
        <v/>
      </c>
      <c r="S1212" s="769" t="str">
        <f>IF(OR($F1212="",$P1212="支払なし",$H1212=0,$Q1212=""),"",$Q1212&amp;"|S|"&amp;(COUNTIF(S$4:S1211,$Q1212&amp;"|S|*")+1))</f>
        <v/>
      </c>
      <c r="T1212" s="769" t="str">
        <f>IF(OR($F1212="",$P1212="支払なし",$R1212=0,$Q1212=""),"",$Q1212&amp;"|L|"&amp;(COUNTIF(T$4:T1211,$Q1212&amp;"|L|*")+1))</f>
        <v/>
      </c>
      <c r="U1212" s="769" t="str">
        <f>IF($F1212="","",13)</f>
        <v/>
      </c>
    </row>
    <row r="1213" ht="16.5" customHeight="1" s="186">
      <c r="A1213" s="760" t="n"/>
      <c r="B1213" s="760" t="n"/>
      <c r="C1213" s="762" t="n"/>
      <c r="D1213" s="762" t="n"/>
      <c r="E1213" s="775" t="n"/>
      <c r="F1213" s="821" t="n"/>
      <c r="G1213" s="821" t="n"/>
      <c r="H1213" s="818">
        <f>IF(G1213=1,F1213-I1213-J1213-K1213,IF(G1213=2,F1213,0))</f>
        <v>0</v>
      </c>
      <c r="I1213" s="818">
        <f>ROUND(IF(G1213=1,F1213*10/23,IF(G1213=3,F1213-J1213-K1213,IF(G1213=4,F1213,IF(G1213=5,F1213*10/11,IF(G1213=7,F1213*10/11,0))))),0)</f>
        <v>0</v>
      </c>
      <c r="J1213" s="818">
        <f>ROUND(IF(G1213=1,F1213/23,IF(G1213=3,F1213/12,IF(G1213=5,F1213-I1213,IF(G1213=8,F1213,0)))),0)</f>
        <v>0</v>
      </c>
      <c r="K1213" s="819">
        <f>ROUND(IF(G1213=1,F1213/23,IF(G1213=3,F1213/12,IF(G1213=6,F1213,IF(G1213=7,F1213-I1213,0)))),0)</f>
        <v>0</v>
      </c>
      <c r="L1213" s="820">
        <f>IF(G1213=6,F1213,0)</f>
        <v>0</v>
      </c>
      <c r="P1213" s="768" t="n"/>
      <c r="Q1213" s="769" t="str">
        <f>IF($F1213="","",IFERROR(VLOOKUP($C1213&amp;"|"&amp;$D1213,科目表!$A$5:$B$200,2,FALSE),"※未登録"))</f>
        <v/>
      </c>
      <c r="R1213" s="769" t="str">
        <f>IF($F1213="","",$I1213+$J1213+$K1213)</f>
        <v/>
      </c>
      <c r="S1213" s="769" t="str">
        <f>IF(OR($F1213="",$P1213="支払なし",$H1213=0,$Q1213=""),"",$Q1213&amp;"|S|"&amp;(COUNTIF(S$4:S1212,$Q1213&amp;"|S|*")+1))</f>
        <v/>
      </c>
      <c r="T1213" s="769" t="str">
        <f>IF(OR($F1213="",$P1213="支払なし",$R1213=0,$Q1213=""),"",$Q1213&amp;"|L|"&amp;(COUNTIF(T$4:T1212,$Q1213&amp;"|L|*")+1))</f>
        <v/>
      </c>
      <c r="U1213" s="769" t="str">
        <f>IF($F1213="","",13)</f>
        <v/>
      </c>
    </row>
    <row r="1214" ht="16.5" customHeight="1" s="186">
      <c r="A1214" s="760" t="n"/>
      <c r="B1214" s="760" t="n"/>
      <c r="C1214" s="762" t="n"/>
      <c r="D1214" s="762" t="n"/>
      <c r="E1214" s="775" t="n"/>
      <c r="F1214" s="821" t="n"/>
      <c r="G1214" s="821" t="n"/>
      <c r="H1214" s="818">
        <f>IF(G1214=1,F1214-I1214-J1214-K1214,IF(G1214=2,F1214,0))</f>
        <v>0</v>
      </c>
      <c r="I1214" s="818">
        <f>ROUND(IF(G1214=1,F1214*10/23,IF(G1214=3,F1214-J1214-K1214,IF(G1214=4,F1214,IF(G1214=5,F1214*10/11,IF(G1214=7,F1214*10/11,0))))),0)</f>
        <v>0</v>
      </c>
      <c r="J1214" s="818">
        <f>ROUND(IF(G1214=1,F1214/23,IF(G1214=3,F1214/12,IF(G1214=5,F1214-I1214,IF(G1214=8,F1214,0)))),0)</f>
        <v>0</v>
      </c>
      <c r="K1214" s="819">
        <f>ROUND(IF(G1214=1,F1214/23,IF(G1214=3,F1214/12,IF(G1214=6,F1214,IF(G1214=7,F1214-I1214,0)))),0)</f>
        <v>0</v>
      </c>
      <c r="L1214" s="820">
        <f>IF(G1214=6,F1214,0)</f>
        <v>0</v>
      </c>
      <c r="P1214" s="768" t="n"/>
      <c r="Q1214" s="769" t="str">
        <f>IF($F1214="","",IFERROR(VLOOKUP($C1214&amp;"|"&amp;$D1214,科目表!$A$5:$B$200,2,FALSE),"※未登録"))</f>
        <v/>
      </c>
      <c r="R1214" s="769" t="str">
        <f>IF($F1214="","",$I1214+$J1214+$K1214)</f>
        <v/>
      </c>
      <c r="S1214" s="769" t="str">
        <f>IF(OR($F1214="",$P1214="支払なし",$H1214=0,$Q1214=""),"",$Q1214&amp;"|S|"&amp;(COUNTIF(S$4:S1213,$Q1214&amp;"|S|*")+1))</f>
        <v/>
      </c>
      <c r="T1214" s="769" t="str">
        <f>IF(OR($F1214="",$P1214="支払なし",$R1214=0,$Q1214=""),"",$Q1214&amp;"|L|"&amp;(COUNTIF(T$4:T1213,$Q1214&amp;"|L|*")+1))</f>
        <v/>
      </c>
      <c r="U1214" s="769" t="str">
        <f>IF($F1214="","",13)</f>
        <v/>
      </c>
    </row>
    <row r="1215" ht="16.5" customHeight="1" s="186">
      <c r="A1215" s="760" t="n"/>
      <c r="B1215" s="760" t="n"/>
      <c r="C1215" s="762" t="n"/>
      <c r="D1215" s="762" t="n"/>
      <c r="E1215" s="775" t="n"/>
      <c r="F1215" s="821" t="n"/>
      <c r="G1215" s="821" t="n"/>
      <c r="H1215" s="818">
        <f>IF(G1215=1,F1215-I1215-J1215-K1215,IF(G1215=2,F1215,0))</f>
        <v>0</v>
      </c>
      <c r="I1215" s="818">
        <f>ROUND(IF(G1215=1,F1215*10/23,IF(G1215=3,F1215-J1215-K1215,IF(G1215=4,F1215,IF(G1215=5,F1215*10/11,IF(G1215=7,F1215*10/11,0))))),0)</f>
        <v>0</v>
      </c>
      <c r="J1215" s="818">
        <f>ROUND(IF(G1215=1,F1215/23,IF(G1215=3,F1215/12,IF(G1215=5,F1215-I1215,IF(G1215=8,F1215,0)))),0)</f>
        <v>0</v>
      </c>
      <c r="K1215" s="819">
        <f>ROUND(IF(G1215=1,F1215/23,IF(G1215=3,F1215/12,IF(G1215=6,F1215,IF(G1215=7,F1215-I1215,0)))),0)</f>
        <v>0</v>
      </c>
      <c r="L1215" s="820">
        <f>IF(G1215=6,F1215,0)</f>
        <v>0</v>
      </c>
      <c r="P1215" s="768" t="n"/>
      <c r="Q1215" s="769" t="str">
        <f>IF($F1215="","",IFERROR(VLOOKUP($C1215&amp;"|"&amp;$D1215,科目表!$A$5:$B$200,2,FALSE),"※未登録"))</f>
        <v/>
      </c>
      <c r="R1215" s="769" t="str">
        <f>IF($F1215="","",$I1215+$J1215+$K1215)</f>
        <v/>
      </c>
      <c r="S1215" s="769" t="str">
        <f>IF(OR($F1215="",$P1215="支払なし",$H1215=0,$Q1215=""),"",$Q1215&amp;"|S|"&amp;(COUNTIF(S$4:S1214,$Q1215&amp;"|S|*")+1))</f>
        <v/>
      </c>
      <c r="T1215" s="769" t="str">
        <f>IF(OR($F1215="",$P1215="支払なし",$R1215=0,$Q1215=""),"",$Q1215&amp;"|L|"&amp;(COUNTIF(T$4:T1214,$Q1215&amp;"|L|*")+1))</f>
        <v/>
      </c>
      <c r="U1215" s="769" t="str">
        <f>IF($F1215="","",13)</f>
        <v/>
      </c>
    </row>
    <row r="1216" ht="16.5" customHeight="1" s="186">
      <c r="A1216" s="760" t="n"/>
      <c r="B1216" s="760" t="n"/>
      <c r="C1216" s="762" t="n"/>
      <c r="D1216" s="762" t="n"/>
      <c r="E1216" s="775" t="n"/>
      <c r="F1216" s="821" t="n"/>
      <c r="G1216" s="821" t="n"/>
      <c r="H1216" s="818">
        <f>IF(G1216=1,F1216-I1216-J1216-K1216,IF(G1216=2,F1216,0))</f>
        <v>0</v>
      </c>
      <c r="I1216" s="818">
        <f>ROUND(IF(G1216=1,F1216*10/23,IF(G1216=3,F1216-J1216-K1216,IF(G1216=4,F1216,IF(G1216=5,F1216*10/11,IF(G1216=7,F1216*10/11,0))))),0)</f>
        <v>0</v>
      </c>
      <c r="J1216" s="818">
        <f>ROUND(IF(G1216=1,F1216/23,IF(G1216=3,F1216/12,IF(G1216=5,F1216-I1216,IF(G1216=8,F1216,0)))),0)</f>
        <v>0</v>
      </c>
      <c r="K1216" s="819">
        <f>ROUND(IF(G1216=1,F1216/23,IF(G1216=3,F1216/12,IF(G1216=6,F1216,IF(G1216=7,F1216-I1216,0)))),0)</f>
        <v>0</v>
      </c>
      <c r="L1216" s="820">
        <f>IF(G1216=6,F1216,0)</f>
        <v>0</v>
      </c>
      <c r="P1216" s="768" t="n"/>
      <c r="Q1216" s="769" t="str">
        <f>IF($F1216="","",IFERROR(VLOOKUP($C1216&amp;"|"&amp;$D1216,科目表!$A$5:$B$200,2,FALSE),"※未登録"))</f>
        <v/>
      </c>
      <c r="R1216" s="769" t="str">
        <f>IF($F1216="","",$I1216+$J1216+$K1216)</f>
        <v/>
      </c>
      <c r="S1216" s="769" t="str">
        <f>IF(OR($F1216="",$P1216="支払なし",$H1216=0,$Q1216=""),"",$Q1216&amp;"|S|"&amp;(COUNTIF(S$4:S1215,$Q1216&amp;"|S|*")+1))</f>
        <v/>
      </c>
      <c r="T1216" s="769" t="str">
        <f>IF(OR($F1216="",$P1216="支払なし",$R1216=0,$Q1216=""),"",$Q1216&amp;"|L|"&amp;(COUNTIF(T$4:T1215,$Q1216&amp;"|L|*")+1))</f>
        <v/>
      </c>
      <c r="U1216" s="769" t="str">
        <f>IF($F1216="","",13)</f>
        <v/>
      </c>
    </row>
    <row r="1217" ht="16.5" customHeight="1" s="186">
      <c r="A1217" s="760" t="n"/>
      <c r="B1217" s="760" t="n"/>
      <c r="C1217" s="762" t="n"/>
      <c r="D1217" s="762" t="n"/>
      <c r="E1217" s="775" t="n"/>
      <c r="F1217" s="821" t="n"/>
      <c r="G1217" s="821" t="n"/>
      <c r="H1217" s="818">
        <f>IF(G1217=1,F1217-I1217-J1217-K1217,IF(G1217=2,F1217,0))</f>
        <v>0</v>
      </c>
      <c r="I1217" s="818">
        <f>ROUND(IF(G1217=1,F1217*10/23,IF(G1217=3,F1217-J1217-K1217,IF(G1217=4,F1217,IF(G1217=5,F1217*10/11,IF(G1217=7,F1217*10/11,0))))),0)</f>
        <v>0</v>
      </c>
      <c r="J1217" s="818">
        <f>ROUND(IF(G1217=1,F1217/23,IF(G1217=3,F1217/12,IF(G1217=5,F1217-I1217,IF(G1217=8,F1217,0)))),0)</f>
        <v>0</v>
      </c>
      <c r="K1217" s="819">
        <f>ROUND(IF(G1217=1,F1217/23,IF(G1217=3,F1217/12,IF(G1217=6,F1217,IF(G1217=7,F1217-I1217,0)))),0)</f>
        <v>0</v>
      </c>
      <c r="L1217" s="820">
        <f>IF(G1217=6,F1217,0)</f>
        <v>0</v>
      </c>
      <c r="P1217" s="768" t="n"/>
      <c r="Q1217" s="769" t="str">
        <f>IF($F1217="","",IFERROR(VLOOKUP($C1217&amp;"|"&amp;$D1217,科目表!$A$5:$B$200,2,FALSE),"※未登録"))</f>
        <v/>
      </c>
      <c r="R1217" s="769" t="str">
        <f>IF($F1217="","",$I1217+$J1217+$K1217)</f>
        <v/>
      </c>
      <c r="S1217" s="769" t="str">
        <f>IF(OR($F1217="",$P1217="支払なし",$H1217=0,$Q1217=""),"",$Q1217&amp;"|S|"&amp;(COUNTIF(S$4:S1216,$Q1217&amp;"|S|*")+1))</f>
        <v/>
      </c>
      <c r="T1217" s="769" t="str">
        <f>IF(OR($F1217="",$P1217="支払なし",$R1217=0,$Q1217=""),"",$Q1217&amp;"|L|"&amp;(COUNTIF(T$4:T1216,$Q1217&amp;"|L|*")+1))</f>
        <v/>
      </c>
      <c r="U1217" s="769" t="str">
        <f>IF($F1217="","",13)</f>
        <v/>
      </c>
    </row>
    <row r="1218" ht="16.5" customHeight="1" s="186">
      <c r="A1218" s="760" t="n"/>
      <c r="B1218" s="760" t="n"/>
      <c r="C1218" s="762" t="n"/>
      <c r="D1218" s="762" t="n"/>
      <c r="E1218" s="775" t="n"/>
      <c r="F1218" s="821" t="n"/>
      <c r="G1218" s="821" t="n"/>
      <c r="H1218" s="818">
        <f>IF(G1218=1,F1218-I1218-J1218-K1218,IF(G1218=2,F1218,0))</f>
        <v>0</v>
      </c>
      <c r="I1218" s="818">
        <f>ROUND(IF(G1218=1,F1218*10/23,IF(G1218=3,F1218-J1218-K1218,IF(G1218=4,F1218,IF(G1218=5,F1218*10/11,IF(G1218=7,F1218*10/11,0))))),0)</f>
        <v>0</v>
      </c>
      <c r="J1218" s="818">
        <f>ROUND(IF(G1218=1,F1218/23,IF(G1218=3,F1218/12,IF(G1218=5,F1218-I1218,IF(G1218=8,F1218,0)))),0)</f>
        <v>0</v>
      </c>
      <c r="K1218" s="819">
        <f>ROUND(IF(G1218=1,F1218/23,IF(G1218=3,F1218/12,IF(G1218=6,F1218,IF(G1218=7,F1218-I1218,0)))),0)</f>
        <v>0</v>
      </c>
      <c r="L1218" s="820">
        <f>IF(G1218=6,F1218,0)</f>
        <v>0</v>
      </c>
      <c r="P1218" s="768" t="n"/>
      <c r="Q1218" s="769" t="str">
        <f>IF($F1218="","",IFERROR(VLOOKUP($C1218&amp;"|"&amp;$D1218,科目表!$A$5:$B$200,2,FALSE),"※未登録"))</f>
        <v/>
      </c>
      <c r="R1218" s="769" t="str">
        <f>IF($F1218="","",$I1218+$J1218+$K1218)</f>
        <v/>
      </c>
      <c r="S1218" s="769" t="str">
        <f>IF(OR($F1218="",$P1218="支払なし",$H1218=0,$Q1218=""),"",$Q1218&amp;"|S|"&amp;(COUNTIF(S$4:S1217,$Q1218&amp;"|S|*")+1))</f>
        <v/>
      </c>
      <c r="T1218" s="769" t="str">
        <f>IF(OR($F1218="",$P1218="支払なし",$R1218=0,$Q1218=""),"",$Q1218&amp;"|L|"&amp;(COUNTIF(T$4:T1217,$Q1218&amp;"|L|*")+1))</f>
        <v/>
      </c>
      <c r="U1218" s="769" t="str">
        <f>IF($F1218="","",13)</f>
        <v/>
      </c>
    </row>
    <row r="1219" ht="16.5" customHeight="1" s="186">
      <c r="A1219" s="760" t="n"/>
      <c r="B1219" s="760" t="n"/>
      <c r="C1219" s="762" t="n"/>
      <c r="D1219" s="762" t="n"/>
      <c r="E1219" s="775" t="n"/>
      <c r="F1219" s="821" t="n"/>
      <c r="G1219" s="821" t="n"/>
      <c r="H1219" s="818">
        <f>IF(G1219=1,F1219-I1219-J1219-K1219,IF(G1219=2,F1219,0))</f>
        <v>0</v>
      </c>
      <c r="I1219" s="818">
        <f>ROUND(IF(G1219=1,F1219*10/23,IF(G1219=3,F1219-J1219-K1219,IF(G1219=4,F1219,IF(G1219=5,F1219*10/11,IF(G1219=7,F1219*10/11,0))))),0)</f>
        <v>0</v>
      </c>
      <c r="J1219" s="818">
        <f>ROUND(IF(G1219=1,F1219/23,IF(G1219=3,F1219/12,IF(G1219=5,F1219-I1219,IF(G1219=8,F1219,0)))),0)</f>
        <v>0</v>
      </c>
      <c r="K1219" s="819">
        <f>ROUND(IF(G1219=1,F1219/23,IF(G1219=3,F1219/12,IF(G1219=6,F1219,IF(G1219=7,F1219-I1219,0)))),0)</f>
        <v>0</v>
      </c>
      <c r="L1219" s="820">
        <f>IF(G1219=6,F1219,0)</f>
        <v>0</v>
      </c>
      <c r="P1219" s="768" t="n"/>
      <c r="Q1219" s="769" t="str">
        <f>IF($F1219="","",IFERROR(VLOOKUP($C1219&amp;"|"&amp;$D1219,科目表!$A$5:$B$200,2,FALSE),"※未登録"))</f>
        <v/>
      </c>
      <c r="R1219" s="769" t="str">
        <f>IF($F1219="","",$I1219+$J1219+$K1219)</f>
        <v/>
      </c>
      <c r="S1219" s="769" t="str">
        <f>IF(OR($F1219="",$P1219="支払なし",$H1219=0,$Q1219=""),"",$Q1219&amp;"|S|"&amp;(COUNTIF(S$4:S1218,$Q1219&amp;"|S|*")+1))</f>
        <v/>
      </c>
      <c r="T1219" s="769" t="str">
        <f>IF(OR($F1219="",$P1219="支払なし",$R1219=0,$Q1219=""),"",$Q1219&amp;"|L|"&amp;(COUNTIF(T$4:T1218,$Q1219&amp;"|L|*")+1))</f>
        <v/>
      </c>
      <c r="U1219" s="769" t="str">
        <f>IF($F1219="","",13)</f>
        <v/>
      </c>
    </row>
    <row r="1220" ht="16.5" customHeight="1" s="186">
      <c r="A1220" s="760" t="n"/>
      <c r="B1220" s="760" t="n"/>
      <c r="C1220" s="762" t="n"/>
      <c r="D1220" s="762" t="n"/>
      <c r="E1220" s="775" t="n"/>
      <c r="F1220" s="821" t="n"/>
      <c r="G1220" s="821" t="n"/>
      <c r="H1220" s="818">
        <f>IF(G1220=1,F1220-I1220-J1220-K1220,IF(G1220=2,F1220,0))</f>
        <v>0</v>
      </c>
      <c r="I1220" s="818">
        <f>ROUND(IF(G1220=1,F1220*10/23,IF(G1220=3,F1220-J1220-K1220,IF(G1220=4,F1220,IF(G1220=5,F1220*10/11,IF(G1220=7,F1220*10/11,0))))),0)</f>
        <v>0</v>
      </c>
      <c r="J1220" s="818">
        <f>ROUND(IF(G1220=1,F1220/23,IF(G1220=3,F1220/12,IF(G1220=5,F1220-I1220,IF(G1220=8,F1220,0)))),0)</f>
        <v>0</v>
      </c>
      <c r="K1220" s="819">
        <f>ROUND(IF(G1220=1,F1220/23,IF(G1220=3,F1220/12,IF(G1220=6,F1220,IF(G1220=7,F1220-I1220,0)))),0)</f>
        <v>0</v>
      </c>
      <c r="L1220" s="820">
        <f>IF(G1220=6,F1220,0)</f>
        <v>0</v>
      </c>
      <c r="P1220" s="768" t="n"/>
      <c r="Q1220" s="769" t="str">
        <f>IF($F1220="","",IFERROR(VLOOKUP($C1220&amp;"|"&amp;$D1220,科目表!$A$5:$B$200,2,FALSE),"※未登録"))</f>
        <v/>
      </c>
      <c r="R1220" s="769" t="str">
        <f>IF($F1220="","",$I1220+$J1220+$K1220)</f>
        <v/>
      </c>
      <c r="S1220" s="769" t="str">
        <f>IF(OR($F1220="",$P1220="支払なし",$H1220=0,$Q1220=""),"",$Q1220&amp;"|S|"&amp;(COUNTIF(S$4:S1219,$Q1220&amp;"|S|*")+1))</f>
        <v/>
      </c>
      <c r="T1220" s="769" t="str">
        <f>IF(OR($F1220="",$P1220="支払なし",$R1220=0,$Q1220=""),"",$Q1220&amp;"|L|"&amp;(COUNTIF(T$4:T1219,$Q1220&amp;"|L|*")+1))</f>
        <v/>
      </c>
      <c r="U1220" s="769" t="str">
        <f>IF($F1220="","",13)</f>
        <v/>
      </c>
    </row>
    <row r="1221" ht="16.5" customHeight="1" s="186">
      <c r="A1221" s="760" t="n"/>
      <c r="B1221" s="760" t="n"/>
      <c r="C1221" s="762" t="n"/>
      <c r="D1221" s="762" t="n"/>
      <c r="E1221" s="775" t="n"/>
      <c r="F1221" s="821" t="n"/>
      <c r="G1221" s="821" t="n"/>
      <c r="H1221" s="818">
        <f>IF(G1221=1,F1221-I1221-J1221-K1221,IF(G1221=2,F1221,0))</f>
        <v>0</v>
      </c>
      <c r="I1221" s="818">
        <f>ROUND(IF(G1221=1,F1221*10/23,IF(G1221=3,F1221-J1221-K1221,IF(G1221=4,F1221,IF(G1221=5,F1221*10/11,IF(G1221=7,F1221*10/11,0))))),0)</f>
        <v>0</v>
      </c>
      <c r="J1221" s="818">
        <f>ROUND(IF(G1221=1,F1221/23,IF(G1221=3,F1221/12,IF(G1221=5,F1221-I1221,IF(G1221=8,F1221,0)))),0)</f>
        <v>0</v>
      </c>
      <c r="K1221" s="819">
        <f>ROUND(IF(G1221=1,F1221/23,IF(G1221=3,F1221/12,IF(G1221=6,F1221,IF(G1221=7,F1221-I1221,0)))),0)</f>
        <v>0</v>
      </c>
      <c r="L1221" s="820">
        <f>IF(G1221=6,F1221,0)</f>
        <v>0</v>
      </c>
      <c r="P1221" s="768" t="n"/>
      <c r="Q1221" s="769" t="str">
        <f>IF($F1221="","",IFERROR(VLOOKUP($C1221&amp;"|"&amp;$D1221,科目表!$A$5:$B$200,2,FALSE),"※未登録"))</f>
        <v/>
      </c>
      <c r="R1221" s="769" t="str">
        <f>IF($F1221="","",$I1221+$J1221+$K1221)</f>
        <v/>
      </c>
      <c r="S1221" s="769" t="str">
        <f>IF(OR($F1221="",$P1221="支払なし",$H1221=0,$Q1221=""),"",$Q1221&amp;"|S|"&amp;(COUNTIF(S$4:S1220,$Q1221&amp;"|S|*")+1))</f>
        <v/>
      </c>
      <c r="T1221" s="769" t="str">
        <f>IF(OR($F1221="",$P1221="支払なし",$R1221=0,$Q1221=""),"",$Q1221&amp;"|L|"&amp;(COUNTIF(T$4:T1220,$Q1221&amp;"|L|*")+1))</f>
        <v/>
      </c>
      <c r="U1221" s="769" t="str">
        <f>IF($F1221="","",13)</f>
        <v/>
      </c>
    </row>
    <row r="1222" ht="16.5" customHeight="1" s="186">
      <c r="A1222" s="760" t="n"/>
      <c r="B1222" s="760" t="n"/>
      <c r="C1222" s="762" t="n"/>
      <c r="D1222" s="762" t="n"/>
      <c r="E1222" s="775" t="n"/>
      <c r="F1222" s="821" t="n"/>
      <c r="G1222" s="821" t="n"/>
      <c r="H1222" s="818">
        <f>IF(G1222=1,F1222-I1222-J1222-K1222,IF(G1222=2,F1222,0))</f>
        <v>0</v>
      </c>
      <c r="I1222" s="818">
        <f>ROUND(IF(G1222=1,F1222*10/23,IF(G1222=3,F1222-J1222-K1222,IF(G1222=4,F1222,IF(G1222=5,F1222*10/11,IF(G1222=7,F1222*10/11,0))))),0)</f>
        <v>0</v>
      </c>
      <c r="J1222" s="818">
        <f>ROUND(IF(G1222=1,F1222/23,IF(G1222=3,F1222/12,IF(G1222=5,F1222-I1222,IF(G1222=8,F1222,0)))),0)</f>
        <v>0</v>
      </c>
      <c r="K1222" s="819">
        <f>ROUND(IF(G1222=1,F1222/23,IF(G1222=3,F1222/12,IF(G1222=6,F1222,IF(G1222=7,F1222-I1222,0)))),0)</f>
        <v>0</v>
      </c>
      <c r="L1222" s="820">
        <f>IF(G1222=6,F1222,0)</f>
        <v>0</v>
      </c>
      <c r="P1222" s="768" t="n"/>
      <c r="Q1222" s="769" t="str">
        <f>IF($F1222="","",IFERROR(VLOOKUP($C1222&amp;"|"&amp;$D1222,科目表!$A$5:$B$200,2,FALSE),"※未登録"))</f>
        <v/>
      </c>
      <c r="R1222" s="769" t="str">
        <f>IF($F1222="","",$I1222+$J1222+$K1222)</f>
        <v/>
      </c>
      <c r="S1222" s="769" t="str">
        <f>IF(OR($F1222="",$P1222="支払なし",$H1222=0,$Q1222=""),"",$Q1222&amp;"|S|"&amp;(COUNTIF(S$4:S1221,$Q1222&amp;"|S|*")+1))</f>
        <v/>
      </c>
      <c r="T1222" s="769" t="str">
        <f>IF(OR($F1222="",$P1222="支払なし",$R1222=0,$Q1222=""),"",$Q1222&amp;"|L|"&amp;(COUNTIF(T$4:T1221,$Q1222&amp;"|L|*")+1))</f>
        <v/>
      </c>
      <c r="U1222" s="769" t="str">
        <f>IF($F1222="","",13)</f>
        <v/>
      </c>
    </row>
    <row r="1223" ht="16.5" customHeight="1" s="186">
      <c r="A1223" s="760" t="n"/>
      <c r="B1223" s="760" t="n"/>
      <c r="C1223" s="762" t="n"/>
      <c r="D1223" s="762" t="n"/>
      <c r="E1223" s="775" t="n"/>
      <c r="F1223" s="821" t="n"/>
      <c r="G1223" s="821" t="n"/>
      <c r="H1223" s="818">
        <f>IF(G1223=1,F1223-I1223-J1223-K1223,IF(G1223=2,F1223,0))</f>
        <v>0</v>
      </c>
      <c r="I1223" s="818">
        <f>ROUND(IF(G1223=1,F1223*10/23,IF(G1223=3,F1223-J1223-K1223,IF(G1223=4,F1223,IF(G1223=5,F1223*10/11,IF(G1223=7,F1223*10/11,0))))),0)</f>
        <v>0</v>
      </c>
      <c r="J1223" s="818">
        <f>ROUND(IF(G1223=1,F1223/23,IF(G1223=3,F1223/12,IF(G1223=5,F1223-I1223,IF(G1223=8,F1223,0)))),0)</f>
        <v>0</v>
      </c>
      <c r="K1223" s="819">
        <f>ROUND(IF(G1223=1,F1223/23,IF(G1223=3,F1223/12,IF(G1223=6,F1223,IF(G1223=7,F1223-I1223,0)))),0)</f>
        <v>0</v>
      </c>
      <c r="L1223" s="820">
        <f>IF(G1223=6,F1223,0)</f>
        <v>0</v>
      </c>
      <c r="P1223" s="768" t="n"/>
      <c r="Q1223" s="769" t="str">
        <f>IF($F1223="","",IFERROR(VLOOKUP($C1223&amp;"|"&amp;$D1223,科目表!$A$5:$B$200,2,FALSE),"※未登録"))</f>
        <v/>
      </c>
      <c r="R1223" s="769" t="str">
        <f>IF($F1223="","",$I1223+$J1223+$K1223)</f>
        <v/>
      </c>
      <c r="S1223" s="769" t="str">
        <f>IF(OR($F1223="",$P1223="支払なし",$H1223=0,$Q1223=""),"",$Q1223&amp;"|S|"&amp;(COUNTIF(S$4:S1222,$Q1223&amp;"|S|*")+1))</f>
        <v/>
      </c>
      <c r="T1223" s="769" t="str">
        <f>IF(OR($F1223="",$P1223="支払なし",$R1223=0,$Q1223=""),"",$Q1223&amp;"|L|"&amp;(COUNTIF(T$4:T1222,$Q1223&amp;"|L|*")+1))</f>
        <v/>
      </c>
      <c r="U1223" s="769" t="str">
        <f>IF($F1223="","",13)</f>
        <v/>
      </c>
    </row>
    <row r="1224" ht="16.5" customHeight="1" s="186">
      <c r="A1224" s="760" t="n"/>
      <c r="B1224" s="760" t="n"/>
      <c r="C1224" s="762" t="n"/>
      <c r="D1224" s="762" t="n"/>
      <c r="E1224" s="775" t="n"/>
      <c r="F1224" s="821" t="n"/>
      <c r="G1224" s="821" t="n"/>
      <c r="H1224" s="818">
        <f>IF(G1224=1,F1224-I1224-J1224-K1224,IF(G1224=2,F1224,0))</f>
        <v>0</v>
      </c>
      <c r="I1224" s="818">
        <f>ROUND(IF(G1224=1,F1224*10/23,IF(G1224=3,F1224-J1224-K1224,IF(G1224=4,F1224,IF(G1224=5,F1224*10/11,IF(G1224=7,F1224*10/11,0))))),0)</f>
        <v>0</v>
      </c>
      <c r="J1224" s="818">
        <f>ROUND(IF(G1224=1,F1224/23,IF(G1224=3,F1224/12,IF(G1224=5,F1224-I1224,IF(G1224=8,F1224,0)))),0)</f>
        <v>0</v>
      </c>
      <c r="K1224" s="819">
        <f>ROUND(IF(G1224=1,F1224/23,IF(G1224=3,F1224/12,IF(G1224=6,F1224,IF(G1224=7,F1224-I1224,0)))),0)</f>
        <v>0</v>
      </c>
      <c r="L1224" s="820">
        <f>IF(G1224=6,F1224,0)</f>
        <v>0</v>
      </c>
      <c r="P1224" s="768" t="n"/>
      <c r="Q1224" s="769" t="str">
        <f>IF($F1224="","",IFERROR(VLOOKUP($C1224&amp;"|"&amp;$D1224,科目表!$A$5:$B$200,2,FALSE),"※未登録"))</f>
        <v/>
      </c>
      <c r="R1224" s="769" t="str">
        <f>IF($F1224="","",$I1224+$J1224+$K1224)</f>
        <v/>
      </c>
      <c r="S1224" s="769" t="str">
        <f>IF(OR($F1224="",$P1224="支払なし",$H1224=0,$Q1224=""),"",$Q1224&amp;"|S|"&amp;(COUNTIF(S$4:S1223,$Q1224&amp;"|S|*")+1))</f>
        <v/>
      </c>
      <c r="T1224" s="769" t="str">
        <f>IF(OR($F1224="",$P1224="支払なし",$R1224=0,$Q1224=""),"",$Q1224&amp;"|L|"&amp;(COUNTIF(T$4:T1223,$Q1224&amp;"|L|*")+1))</f>
        <v/>
      </c>
      <c r="U1224" s="769" t="str">
        <f>IF($F1224="","",13)</f>
        <v/>
      </c>
    </row>
    <row r="1225" ht="16.5" customHeight="1" s="186">
      <c r="A1225" s="760" t="n"/>
      <c r="B1225" s="760" t="n"/>
      <c r="C1225" s="762" t="n"/>
      <c r="D1225" s="762" t="n"/>
      <c r="E1225" s="775" t="n"/>
      <c r="F1225" s="821" t="n"/>
      <c r="G1225" s="821" t="n"/>
      <c r="H1225" s="818">
        <f>IF(G1225=1,F1225-I1225-J1225-K1225,IF(G1225=2,F1225,0))</f>
        <v>0</v>
      </c>
      <c r="I1225" s="818">
        <f>ROUND(IF(G1225=1,F1225*10/23,IF(G1225=3,F1225-J1225-K1225,IF(G1225=4,F1225,IF(G1225=5,F1225*10/11,IF(G1225=7,F1225*10/11,0))))),0)</f>
        <v>0</v>
      </c>
      <c r="J1225" s="818">
        <f>ROUND(IF(G1225=1,F1225/23,IF(G1225=3,F1225/12,IF(G1225=5,F1225-I1225,IF(G1225=8,F1225,0)))),0)</f>
        <v>0</v>
      </c>
      <c r="K1225" s="819">
        <f>ROUND(IF(G1225=1,F1225/23,IF(G1225=3,F1225/12,IF(G1225=6,F1225,IF(G1225=7,F1225-I1225,0)))),0)</f>
        <v>0</v>
      </c>
      <c r="L1225" s="820">
        <f>IF(G1225=6,F1225,0)</f>
        <v>0</v>
      </c>
      <c r="P1225" s="768" t="n"/>
      <c r="Q1225" s="769" t="str">
        <f>IF($F1225="","",IFERROR(VLOOKUP($C1225&amp;"|"&amp;$D1225,科目表!$A$5:$B$200,2,FALSE),"※未登録"))</f>
        <v/>
      </c>
      <c r="R1225" s="769" t="str">
        <f>IF($F1225="","",$I1225+$J1225+$K1225)</f>
        <v/>
      </c>
      <c r="S1225" s="769" t="str">
        <f>IF(OR($F1225="",$P1225="支払なし",$H1225=0,$Q1225=""),"",$Q1225&amp;"|S|"&amp;(COUNTIF(S$4:S1224,$Q1225&amp;"|S|*")+1))</f>
        <v/>
      </c>
      <c r="T1225" s="769" t="str">
        <f>IF(OR($F1225="",$P1225="支払なし",$R1225=0,$Q1225=""),"",$Q1225&amp;"|L|"&amp;(COUNTIF(T$4:T1224,$Q1225&amp;"|L|*")+1))</f>
        <v/>
      </c>
      <c r="U1225" s="769" t="str">
        <f>IF($F1225="","",13)</f>
        <v/>
      </c>
    </row>
    <row r="1226" ht="16.5" customHeight="1" s="186">
      <c r="A1226" s="760" t="n"/>
      <c r="B1226" s="760" t="n"/>
      <c r="C1226" s="762" t="n"/>
      <c r="D1226" s="762" t="n"/>
      <c r="E1226" s="775" t="n"/>
      <c r="F1226" s="821" t="n"/>
      <c r="G1226" s="821" t="n"/>
      <c r="H1226" s="818">
        <f>IF(G1226=1,F1226-I1226-J1226-K1226,IF(G1226=2,F1226,0))</f>
        <v>0</v>
      </c>
      <c r="I1226" s="818">
        <f>ROUND(IF(G1226=1,F1226*10/23,IF(G1226=3,F1226-J1226-K1226,IF(G1226=4,F1226,IF(G1226=5,F1226*10/11,IF(G1226=7,F1226*10/11,0))))),0)</f>
        <v>0</v>
      </c>
      <c r="J1226" s="818">
        <f>ROUND(IF(G1226=1,F1226/23,IF(G1226=3,F1226/12,IF(G1226=5,F1226-I1226,IF(G1226=8,F1226,0)))),0)</f>
        <v>0</v>
      </c>
      <c r="K1226" s="819">
        <f>ROUND(IF(G1226=1,F1226/23,IF(G1226=3,F1226/12,IF(G1226=6,F1226,IF(G1226=7,F1226-I1226,0)))),0)</f>
        <v>0</v>
      </c>
      <c r="L1226" s="820">
        <f>IF(G1226=6,F1226,0)</f>
        <v>0</v>
      </c>
      <c r="P1226" s="768" t="n"/>
      <c r="Q1226" s="769" t="str">
        <f>IF($F1226="","",IFERROR(VLOOKUP($C1226&amp;"|"&amp;$D1226,科目表!$A$5:$B$200,2,FALSE),"※未登録"))</f>
        <v/>
      </c>
      <c r="R1226" s="769" t="str">
        <f>IF($F1226="","",$I1226+$J1226+$K1226)</f>
        <v/>
      </c>
      <c r="S1226" s="769" t="str">
        <f>IF(OR($F1226="",$P1226="支払なし",$H1226=0,$Q1226=""),"",$Q1226&amp;"|S|"&amp;(COUNTIF(S$4:S1225,$Q1226&amp;"|S|*")+1))</f>
        <v/>
      </c>
      <c r="T1226" s="769" t="str">
        <f>IF(OR($F1226="",$P1226="支払なし",$R1226=0,$Q1226=""),"",$Q1226&amp;"|L|"&amp;(COUNTIF(T$4:T1225,$Q1226&amp;"|L|*")+1))</f>
        <v/>
      </c>
      <c r="U1226" s="769" t="str">
        <f>IF($F1226="","",13)</f>
        <v/>
      </c>
    </row>
    <row r="1227" ht="16.5" customHeight="1" s="186">
      <c r="A1227" s="760" t="n"/>
      <c r="B1227" s="760" t="n"/>
      <c r="C1227" s="762" t="n"/>
      <c r="D1227" s="762" t="n"/>
      <c r="E1227" s="775" t="n"/>
      <c r="F1227" s="821" t="n"/>
      <c r="G1227" s="821" t="n"/>
      <c r="H1227" s="818">
        <f>IF(G1227=1,F1227-I1227-J1227-K1227,IF(G1227=2,F1227,0))</f>
        <v>0</v>
      </c>
      <c r="I1227" s="818">
        <f>ROUND(IF(G1227=1,F1227*10/23,IF(G1227=3,F1227-J1227-K1227,IF(G1227=4,F1227,IF(G1227=5,F1227*10/11,IF(G1227=7,F1227*10/11,0))))),0)</f>
        <v>0</v>
      </c>
      <c r="J1227" s="818">
        <f>ROUND(IF(G1227=1,F1227/23,IF(G1227=3,F1227/12,IF(G1227=5,F1227-I1227,IF(G1227=8,F1227,0)))),0)</f>
        <v>0</v>
      </c>
      <c r="K1227" s="819">
        <f>ROUND(IF(G1227=1,F1227/23,IF(G1227=3,F1227/12,IF(G1227=6,F1227,IF(G1227=7,F1227-I1227,0)))),0)</f>
        <v>0</v>
      </c>
      <c r="L1227" s="820">
        <f>IF(G1227=6,F1227,0)</f>
        <v>0</v>
      </c>
      <c r="P1227" s="768" t="n"/>
      <c r="Q1227" s="769" t="str">
        <f>IF($F1227="","",IFERROR(VLOOKUP($C1227&amp;"|"&amp;$D1227,科目表!$A$5:$B$200,2,FALSE),"※未登録"))</f>
        <v/>
      </c>
      <c r="R1227" s="769" t="str">
        <f>IF($F1227="","",$I1227+$J1227+$K1227)</f>
        <v/>
      </c>
      <c r="S1227" s="769" t="str">
        <f>IF(OR($F1227="",$P1227="支払なし",$H1227=0,$Q1227=""),"",$Q1227&amp;"|S|"&amp;(COUNTIF(S$4:S1226,$Q1227&amp;"|S|*")+1))</f>
        <v/>
      </c>
      <c r="T1227" s="769" t="str">
        <f>IF(OR($F1227="",$P1227="支払なし",$R1227=0,$Q1227=""),"",$Q1227&amp;"|L|"&amp;(COUNTIF(T$4:T1226,$Q1227&amp;"|L|*")+1))</f>
        <v/>
      </c>
      <c r="U1227" s="769" t="str">
        <f>IF($F1227="","",13)</f>
        <v/>
      </c>
    </row>
    <row r="1228" ht="16.5" customHeight="1" s="186">
      <c r="A1228" s="760" t="n"/>
      <c r="B1228" s="760" t="n"/>
      <c r="C1228" s="762" t="n"/>
      <c r="D1228" s="762" t="n"/>
      <c r="E1228" s="775" t="n"/>
      <c r="F1228" s="821" t="n"/>
      <c r="G1228" s="821" t="n"/>
      <c r="H1228" s="818">
        <f>IF(G1228=1,F1228-I1228-J1228-K1228,IF(G1228=2,F1228,0))</f>
        <v>0</v>
      </c>
      <c r="I1228" s="818">
        <f>ROUND(IF(G1228=1,F1228*10/23,IF(G1228=3,F1228-J1228-K1228,IF(G1228=4,F1228,IF(G1228=5,F1228*10/11,IF(G1228=7,F1228*10/11,0))))),0)</f>
        <v>0</v>
      </c>
      <c r="J1228" s="818">
        <f>ROUND(IF(G1228=1,F1228/23,IF(G1228=3,F1228/12,IF(G1228=5,F1228-I1228,IF(G1228=8,F1228,0)))),0)</f>
        <v>0</v>
      </c>
      <c r="K1228" s="819">
        <f>ROUND(IF(G1228=1,F1228/23,IF(G1228=3,F1228/12,IF(G1228=6,F1228,IF(G1228=7,F1228-I1228,0)))),0)</f>
        <v>0</v>
      </c>
      <c r="L1228" s="820">
        <f>IF(G1228=6,F1228,0)</f>
        <v>0</v>
      </c>
      <c r="P1228" s="768" t="n"/>
      <c r="Q1228" s="769" t="str">
        <f>IF($F1228="","",IFERROR(VLOOKUP($C1228&amp;"|"&amp;$D1228,科目表!$A$5:$B$200,2,FALSE),"※未登録"))</f>
        <v/>
      </c>
      <c r="R1228" s="769" t="str">
        <f>IF($F1228="","",$I1228+$J1228+$K1228)</f>
        <v/>
      </c>
      <c r="S1228" s="769" t="str">
        <f>IF(OR($F1228="",$P1228="支払なし",$H1228=0,$Q1228=""),"",$Q1228&amp;"|S|"&amp;(COUNTIF(S$4:S1227,$Q1228&amp;"|S|*")+1))</f>
        <v/>
      </c>
      <c r="T1228" s="769" t="str">
        <f>IF(OR($F1228="",$P1228="支払なし",$R1228=0,$Q1228=""),"",$Q1228&amp;"|L|"&amp;(COUNTIF(T$4:T1227,$Q1228&amp;"|L|*")+1))</f>
        <v/>
      </c>
      <c r="U1228" s="769" t="str">
        <f>IF($F1228="","",13)</f>
        <v/>
      </c>
    </row>
    <row r="1229" ht="16.5" customHeight="1" s="186">
      <c r="A1229" s="760" t="n"/>
      <c r="B1229" s="760" t="n"/>
      <c r="C1229" s="762" t="n"/>
      <c r="D1229" s="762" t="n"/>
      <c r="E1229" s="775" t="n"/>
      <c r="F1229" s="821" t="n"/>
      <c r="G1229" s="821" t="n"/>
      <c r="H1229" s="818">
        <f>IF(G1229=1,F1229-I1229-J1229-K1229,IF(G1229=2,F1229,0))</f>
        <v>0</v>
      </c>
      <c r="I1229" s="818">
        <f>ROUND(IF(G1229=1,F1229*10/23,IF(G1229=3,F1229-J1229-K1229,IF(G1229=4,F1229,IF(G1229=5,F1229*10/11,IF(G1229=7,F1229*10/11,0))))),0)</f>
        <v>0</v>
      </c>
      <c r="J1229" s="818">
        <f>ROUND(IF(G1229=1,F1229/23,IF(G1229=3,F1229/12,IF(G1229=5,F1229-I1229,IF(G1229=8,F1229,0)))),0)</f>
        <v>0</v>
      </c>
      <c r="K1229" s="819">
        <f>ROUND(IF(G1229=1,F1229/23,IF(G1229=3,F1229/12,IF(G1229=6,F1229,IF(G1229=7,F1229-I1229,0)))),0)</f>
        <v>0</v>
      </c>
      <c r="L1229" s="820">
        <f>IF(G1229=6,F1229,0)</f>
        <v>0</v>
      </c>
      <c r="P1229" s="768" t="n"/>
      <c r="Q1229" s="769" t="str">
        <f>IF($F1229="","",IFERROR(VLOOKUP($C1229&amp;"|"&amp;$D1229,科目表!$A$5:$B$200,2,FALSE),"※未登録"))</f>
        <v/>
      </c>
      <c r="R1229" s="769" t="str">
        <f>IF($F1229="","",$I1229+$J1229+$K1229)</f>
        <v/>
      </c>
      <c r="S1229" s="769" t="str">
        <f>IF(OR($F1229="",$P1229="支払なし",$H1229=0,$Q1229=""),"",$Q1229&amp;"|S|"&amp;(COUNTIF(S$4:S1228,$Q1229&amp;"|S|*")+1))</f>
        <v/>
      </c>
      <c r="T1229" s="769" t="str">
        <f>IF(OR($F1229="",$P1229="支払なし",$R1229=0,$Q1229=""),"",$Q1229&amp;"|L|"&amp;(COUNTIF(T$4:T1228,$Q1229&amp;"|L|*")+1))</f>
        <v/>
      </c>
      <c r="U1229" s="769" t="str">
        <f>IF($F1229="","",13)</f>
        <v/>
      </c>
    </row>
    <row r="1230" ht="16.5" customHeight="1" s="186">
      <c r="A1230" s="760" t="n"/>
      <c r="B1230" s="760" t="n"/>
      <c r="C1230" s="762" t="n"/>
      <c r="D1230" s="762" t="n"/>
      <c r="E1230" s="775" t="n"/>
      <c r="F1230" s="821" t="n"/>
      <c r="G1230" s="821" t="n"/>
      <c r="H1230" s="818">
        <f>IF(G1230=1,F1230-I1230-J1230-K1230,IF(G1230=2,F1230,0))</f>
        <v>0</v>
      </c>
      <c r="I1230" s="818">
        <f>ROUND(IF(G1230=1,F1230*10/23,IF(G1230=3,F1230-J1230-K1230,IF(G1230=4,F1230,IF(G1230=5,F1230*10/11,IF(G1230=7,F1230*10/11,0))))),0)</f>
        <v>0</v>
      </c>
      <c r="J1230" s="818">
        <f>ROUND(IF(G1230=1,F1230/23,IF(G1230=3,F1230/12,IF(G1230=5,F1230-I1230,IF(G1230=8,F1230,0)))),0)</f>
        <v>0</v>
      </c>
      <c r="K1230" s="819">
        <f>ROUND(IF(G1230=1,F1230/23,IF(G1230=3,F1230/12,IF(G1230=6,F1230,IF(G1230=7,F1230-I1230,0)))),0)</f>
        <v>0</v>
      </c>
      <c r="L1230" s="820">
        <f>IF(G1230=6,F1230,0)</f>
        <v>0</v>
      </c>
      <c r="P1230" s="768" t="n"/>
      <c r="Q1230" s="769" t="str">
        <f>IF($F1230="","",IFERROR(VLOOKUP($C1230&amp;"|"&amp;$D1230,科目表!$A$5:$B$200,2,FALSE),"※未登録"))</f>
        <v/>
      </c>
      <c r="R1230" s="769" t="str">
        <f>IF($F1230="","",$I1230+$J1230+$K1230)</f>
        <v/>
      </c>
      <c r="S1230" s="769" t="str">
        <f>IF(OR($F1230="",$P1230="支払なし",$H1230=0,$Q1230=""),"",$Q1230&amp;"|S|"&amp;(COUNTIF(S$4:S1229,$Q1230&amp;"|S|*")+1))</f>
        <v/>
      </c>
      <c r="T1230" s="769" t="str">
        <f>IF(OR($F1230="",$P1230="支払なし",$R1230=0,$Q1230=""),"",$Q1230&amp;"|L|"&amp;(COUNTIF(T$4:T1229,$Q1230&amp;"|L|*")+1))</f>
        <v/>
      </c>
      <c r="U1230" s="769" t="str">
        <f>IF($F1230="","",13)</f>
        <v/>
      </c>
    </row>
    <row r="1231" ht="16.5" customHeight="1" s="186">
      <c r="A1231" s="760" t="n"/>
      <c r="B1231" s="760" t="n"/>
      <c r="C1231" s="762" t="n"/>
      <c r="D1231" s="762" t="n"/>
      <c r="E1231" s="775" t="n"/>
      <c r="F1231" s="821" t="n"/>
      <c r="G1231" s="821" t="n"/>
      <c r="H1231" s="818">
        <f>IF(G1231=1,F1231-I1231-J1231-K1231,IF(G1231=2,F1231,0))</f>
        <v>0</v>
      </c>
      <c r="I1231" s="818">
        <f>ROUND(IF(G1231=1,F1231*10/23,IF(G1231=3,F1231-J1231-K1231,IF(G1231=4,F1231,IF(G1231=5,F1231*10/11,IF(G1231=7,F1231*10/11,0))))),0)</f>
        <v>0</v>
      </c>
      <c r="J1231" s="818">
        <f>ROUND(IF(G1231=1,F1231/23,IF(G1231=3,F1231/12,IF(G1231=5,F1231-I1231,IF(G1231=8,F1231,0)))),0)</f>
        <v>0</v>
      </c>
      <c r="K1231" s="819">
        <f>ROUND(IF(G1231=1,F1231/23,IF(G1231=3,F1231/12,IF(G1231=6,F1231,IF(G1231=7,F1231-I1231,0)))),0)</f>
        <v>0</v>
      </c>
      <c r="L1231" s="820">
        <f>IF(G1231=6,F1231,0)</f>
        <v>0</v>
      </c>
      <c r="P1231" s="768" t="n"/>
      <c r="Q1231" s="769" t="str">
        <f>IF($F1231="","",IFERROR(VLOOKUP($C1231&amp;"|"&amp;$D1231,科目表!$A$5:$B$200,2,FALSE),"※未登録"))</f>
        <v/>
      </c>
      <c r="R1231" s="769" t="str">
        <f>IF($F1231="","",$I1231+$J1231+$K1231)</f>
        <v/>
      </c>
      <c r="S1231" s="769" t="str">
        <f>IF(OR($F1231="",$P1231="支払なし",$H1231=0,$Q1231=""),"",$Q1231&amp;"|S|"&amp;(COUNTIF(S$4:S1230,$Q1231&amp;"|S|*")+1))</f>
        <v/>
      </c>
      <c r="T1231" s="769" t="str">
        <f>IF(OR($F1231="",$P1231="支払なし",$R1231=0,$Q1231=""),"",$Q1231&amp;"|L|"&amp;(COUNTIF(T$4:T1230,$Q1231&amp;"|L|*")+1))</f>
        <v/>
      </c>
      <c r="U1231" s="769" t="str">
        <f>IF($F1231="","",13)</f>
        <v/>
      </c>
    </row>
    <row r="1232" ht="16.5" customHeight="1" s="186">
      <c r="A1232" s="760" t="n"/>
      <c r="B1232" s="760" t="n"/>
      <c r="C1232" s="762" t="n"/>
      <c r="D1232" s="762" t="n"/>
      <c r="E1232" s="775" t="n"/>
      <c r="F1232" s="821" t="n"/>
      <c r="G1232" s="821" t="n"/>
      <c r="H1232" s="818">
        <f>IF(G1232=1,F1232-I1232-J1232-K1232,IF(G1232=2,F1232,0))</f>
        <v>0</v>
      </c>
      <c r="I1232" s="818">
        <f>ROUND(IF(G1232=1,F1232*10/23,IF(G1232=3,F1232-J1232-K1232,IF(G1232=4,F1232,IF(G1232=5,F1232*10/11,IF(G1232=7,F1232*10/11,0))))),0)</f>
        <v>0</v>
      </c>
      <c r="J1232" s="818">
        <f>ROUND(IF(G1232=1,F1232/23,IF(G1232=3,F1232/12,IF(G1232=5,F1232-I1232,IF(G1232=8,F1232,0)))),0)</f>
        <v>0</v>
      </c>
      <c r="K1232" s="819">
        <f>ROUND(IF(G1232=1,F1232/23,IF(G1232=3,F1232/12,IF(G1232=6,F1232,IF(G1232=7,F1232-I1232,0)))),0)</f>
        <v>0</v>
      </c>
      <c r="L1232" s="820">
        <f>IF(G1232=6,F1232,0)</f>
        <v>0</v>
      </c>
      <c r="P1232" s="768" t="n"/>
      <c r="Q1232" s="769" t="str">
        <f>IF($F1232="","",IFERROR(VLOOKUP($C1232&amp;"|"&amp;$D1232,科目表!$A$5:$B$200,2,FALSE),"※未登録"))</f>
        <v/>
      </c>
      <c r="R1232" s="769" t="str">
        <f>IF($F1232="","",$I1232+$J1232+$K1232)</f>
        <v/>
      </c>
      <c r="S1232" s="769" t="str">
        <f>IF(OR($F1232="",$P1232="支払なし",$H1232=0,$Q1232=""),"",$Q1232&amp;"|S|"&amp;(COUNTIF(S$4:S1231,$Q1232&amp;"|S|*")+1))</f>
        <v/>
      </c>
      <c r="T1232" s="769" t="str">
        <f>IF(OR($F1232="",$P1232="支払なし",$R1232=0,$Q1232=""),"",$Q1232&amp;"|L|"&amp;(COUNTIF(T$4:T1231,$Q1232&amp;"|L|*")+1))</f>
        <v/>
      </c>
      <c r="U1232" s="769" t="str">
        <f>IF($F1232="","",13)</f>
        <v/>
      </c>
    </row>
    <row r="1233" ht="16.5" customHeight="1" s="186">
      <c r="A1233" s="760" t="n"/>
      <c r="B1233" s="760" t="n"/>
      <c r="C1233" s="762" t="n"/>
      <c r="D1233" s="762" t="n"/>
      <c r="E1233" s="775" t="n"/>
      <c r="F1233" s="821" t="n"/>
      <c r="G1233" s="821" t="n"/>
      <c r="H1233" s="818">
        <f>IF(G1233=1,F1233-I1233-J1233-K1233,IF(G1233=2,F1233,0))</f>
        <v>0</v>
      </c>
      <c r="I1233" s="818">
        <f>ROUND(IF(G1233=1,F1233*10/23,IF(G1233=3,F1233-J1233-K1233,IF(G1233=4,F1233,IF(G1233=5,F1233*10/11,IF(G1233=7,F1233*10/11,0))))),0)</f>
        <v>0</v>
      </c>
      <c r="J1233" s="818">
        <f>ROUND(IF(G1233=1,F1233/23,IF(G1233=3,F1233/12,IF(G1233=5,F1233-I1233,IF(G1233=8,F1233,0)))),0)</f>
        <v>0</v>
      </c>
      <c r="K1233" s="819">
        <f>ROUND(IF(G1233=1,F1233/23,IF(G1233=3,F1233/12,IF(G1233=6,F1233,IF(G1233=7,F1233-I1233,0)))),0)</f>
        <v>0</v>
      </c>
      <c r="L1233" s="820">
        <f>IF(G1233=6,F1233,0)</f>
        <v>0</v>
      </c>
      <c r="P1233" s="768" t="n"/>
      <c r="Q1233" s="769" t="str">
        <f>IF($F1233="","",IFERROR(VLOOKUP($C1233&amp;"|"&amp;$D1233,科目表!$A$5:$B$200,2,FALSE),"※未登録"))</f>
        <v/>
      </c>
      <c r="R1233" s="769" t="str">
        <f>IF($F1233="","",$I1233+$J1233+$K1233)</f>
        <v/>
      </c>
      <c r="S1233" s="769" t="str">
        <f>IF(OR($F1233="",$P1233="支払なし",$H1233=0,$Q1233=""),"",$Q1233&amp;"|S|"&amp;(COUNTIF(S$4:S1232,$Q1233&amp;"|S|*")+1))</f>
        <v/>
      </c>
      <c r="T1233" s="769" t="str">
        <f>IF(OR($F1233="",$P1233="支払なし",$R1233=0,$Q1233=""),"",$Q1233&amp;"|L|"&amp;(COUNTIF(T$4:T1232,$Q1233&amp;"|L|*")+1))</f>
        <v/>
      </c>
      <c r="U1233" s="769" t="str">
        <f>IF($F1233="","",13)</f>
        <v/>
      </c>
    </row>
    <row r="1234" ht="16.5" customHeight="1" s="186">
      <c r="A1234" s="760" t="n"/>
      <c r="B1234" s="760" t="n"/>
      <c r="C1234" s="762" t="n"/>
      <c r="D1234" s="762" t="n"/>
      <c r="E1234" s="775" t="n"/>
      <c r="F1234" s="821" t="n"/>
      <c r="G1234" s="821" t="n"/>
      <c r="H1234" s="818">
        <f>IF(G1234=1,F1234-I1234-J1234-K1234,IF(G1234=2,F1234,0))</f>
        <v>0</v>
      </c>
      <c r="I1234" s="818">
        <f>ROUND(IF(G1234=1,F1234*10/23,IF(G1234=3,F1234-J1234-K1234,IF(G1234=4,F1234,IF(G1234=5,F1234*10/11,IF(G1234=7,F1234*10/11,0))))),0)</f>
        <v>0</v>
      </c>
      <c r="J1234" s="818">
        <f>ROUND(IF(G1234=1,F1234/23,IF(G1234=3,F1234/12,IF(G1234=5,F1234-I1234,IF(G1234=8,F1234,0)))),0)</f>
        <v>0</v>
      </c>
      <c r="K1234" s="819">
        <f>ROUND(IF(G1234=1,F1234/23,IF(G1234=3,F1234/12,IF(G1234=6,F1234,IF(G1234=7,F1234-I1234,0)))),0)</f>
        <v>0</v>
      </c>
      <c r="L1234" s="820">
        <f>IF(G1234=6,F1234,0)</f>
        <v>0</v>
      </c>
      <c r="P1234" s="768" t="n"/>
      <c r="Q1234" s="769" t="str">
        <f>IF($F1234="","",IFERROR(VLOOKUP($C1234&amp;"|"&amp;$D1234,科目表!$A$5:$B$200,2,FALSE),"※未登録"))</f>
        <v/>
      </c>
      <c r="R1234" s="769" t="str">
        <f>IF($F1234="","",$I1234+$J1234+$K1234)</f>
        <v/>
      </c>
      <c r="S1234" s="769" t="str">
        <f>IF(OR($F1234="",$P1234="支払なし",$H1234=0,$Q1234=""),"",$Q1234&amp;"|S|"&amp;(COUNTIF(S$4:S1233,$Q1234&amp;"|S|*")+1))</f>
        <v/>
      </c>
      <c r="T1234" s="769" t="str">
        <f>IF(OR($F1234="",$P1234="支払なし",$R1234=0,$Q1234=""),"",$Q1234&amp;"|L|"&amp;(COUNTIF(T$4:T1233,$Q1234&amp;"|L|*")+1))</f>
        <v/>
      </c>
      <c r="U1234" s="769" t="str">
        <f>IF($F1234="","",13)</f>
        <v/>
      </c>
    </row>
    <row r="1235" ht="16.5" customHeight="1" s="186">
      <c r="A1235" s="760" t="n"/>
      <c r="B1235" s="760" t="n"/>
      <c r="C1235" s="762" t="n"/>
      <c r="D1235" s="762" t="n"/>
      <c r="E1235" s="775" t="n"/>
      <c r="F1235" s="821" t="n"/>
      <c r="G1235" s="821" t="n"/>
      <c r="H1235" s="818">
        <f>IF(G1235=1,F1235-I1235-J1235-K1235,IF(G1235=2,F1235,0))</f>
        <v>0</v>
      </c>
      <c r="I1235" s="818">
        <f>ROUND(IF(G1235=1,F1235*10/23,IF(G1235=3,F1235-J1235-K1235,IF(G1235=4,F1235,IF(G1235=5,F1235*10/11,IF(G1235=7,F1235*10/11,0))))),0)</f>
        <v>0</v>
      </c>
      <c r="J1235" s="818">
        <f>ROUND(IF(G1235=1,F1235/23,IF(G1235=3,F1235/12,IF(G1235=5,F1235-I1235,IF(G1235=8,F1235,0)))),0)</f>
        <v>0</v>
      </c>
      <c r="K1235" s="819">
        <f>ROUND(IF(G1235=1,F1235/23,IF(G1235=3,F1235/12,IF(G1235=6,F1235,IF(G1235=7,F1235-I1235,0)))),0)</f>
        <v>0</v>
      </c>
      <c r="L1235" s="820">
        <f>IF(G1235=6,F1235,0)</f>
        <v>0</v>
      </c>
      <c r="P1235" s="768" t="n"/>
      <c r="Q1235" s="769" t="str">
        <f>IF($F1235="","",IFERROR(VLOOKUP($C1235&amp;"|"&amp;$D1235,科目表!$A$5:$B$200,2,FALSE),"※未登録"))</f>
        <v/>
      </c>
      <c r="R1235" s="769" t="str">
        <f>IF($F1235="","",$I1235+$J1235+$K1235)</f>
        <v/>
      </c>
      <c r="S1235" s="769" t="str">
        <f>IF(OR($F1235="",$P1235="支払なし",$H1235=0,$Q1235=""),"",$Q1235&amp;"|S|"&amp;(COUNTIF(S$4:S1234,$Q1235&amp;"|S|*")+1))</f>
        <v/>
      </c>
      <c r="T1235" s="769" t="str">
        <f>IF(OR($F1235="",$P1235="支払なし",$R1235=0,$Q1235=""),"",$Q1235&amp;"|L|"&amp;(COUNTIF(T$4:T1234,$Q1235&amp;"|L|*")+1))</f>
        <v/>
      </c>
      <c r="U1235" s="769" t="str">
        <f>IF($F1235="","",13)</f>
        <v/>
      </c>
    </row>
    <row r="1236" ht="16.5" customHeight="1" s="186">
      <c r="A1236" s="760" t="n"/>
      <c r="B1236" s="760" t="n"/>
      <c r="C1236" s="762" t="n"/>
      <c r="D1236" s="762" t="n"/>
      <c r="E1236" s="775" t="n"/>
      <c r="F1236" s="821" t="n"/>
      <c r="G1236" s="821" t="n"/>
      <c r="H1236" s="818">
        <f>IF(G1236=1,F1236-I1236-J1236-K1236,IF(G1236=2,F1236,0))</f>
        <v>0</v>
      </c>
      <c r="I1236" s="818">
        <f>ROUND(IF(G1236=1,F1236*10/23,IF(G1236=3,F1236-J1236-K1236,IF(G1236=4,F1236,IF(G1236=5,F1236*10/11,IF(G1236=7,F1236*10/11,0))))),0)</f>
        <v>0</v>
      </c>
      <c r="J1236" s="818">
        <f>ROUND(IF(G1236=1,F1236/23,IF(G1236=3,F1236/12,IF(G1236=5,F1236-I1236,IF(G1236=8,F1236,0)))),0)</f>
        <v>0</v>
      </c>
      <c r="K1236" s="819">
        <f>ROUND(IF(G1236=1,F1236/23,IF(G1236=3,F1236/12,IF(G1236=6,F1236,IF(G1236=7,F1236-I1236,0)))),0)</f>
        <v>0</v>
      </c>
      <c r="L1236" s="820">
        <f>IF(G1236=6,F1236,0)</f>
        <v>0</v>
      </c>
      <c r="P1236" s="768" t="n"/>
      <c r="Q1236" s="769" t="str">
        <f>IF($F1236="","",IFERROR(VLOOKUP($C1236&amp;"|"&amp;$D1236,科目表!$A$5:$B$200,2,FALSE),"※未登録"))</f>
        <v/>
      </c>
      <c r="R1236" s="769" t="str">
        <f>IF($F1236="","",$I1236+$J1236+$K1236)</f>
        <v/>
      </c>
      <c r="S1236" s="769" t="str">
        <f>IF(OR($F1236="",$P1236="支払なし",$H1236=0,$Q1236=""),"",$Q1236&amp;"|S|"&amp;(COUNTIF(S$4:S1235,$Q1236&amp;"|S|*")+1))</f>
        <v/>
      </c>
      <c r="T1236" s="769" t="str">
        <f>IF(OR($F1236="",$P1236="支払なし",$R1236=0,$Q1236=""),"",$Q1236&amp;"|L|"&amp;(COUNTIF(T$4:T1235,$Q1236&amp;"|L|*")+1))</f>
        <v/>
      </c>
      <c r="U1236" s="769" t="str">
        <f>IF($F1236="","",13)</f>
        <v/>
      </c>
    </row>
    <row r="1237" ht="16.5" customHeight="1" s="186">
      <c r="A1237" s="760" t="n"/>
      <c r="B1237" s="760" t="n"/>
      <c r="C1237" s="762" t="n"/>
      <c r="D1237" s="762" t="n"/>
      <c r="E1237" s="775" t="n"/>
      <c r="F1237" s="821" t="n"/>
      <c r="G1237" s="821" t="n"/>
      <c r="H1237" s="818">
        <f>IF(G1237=1,F1237-I1237-J1237-K1237,IF(G1237=2,F1237,0))</f>
        <v>0</v>
      </c>
      <c r="I1237" s="818">
        <f>ROUND(IF(G1237=1,F1237*10/23,IF(G1237=3,F1237-J1237-K1237,IF(G1237=4,F1237,IF(G1237=5,F1237*10/11,IF(G1237=7,F1237*10/11,0))))),0)</f>
        <v>0</v>
      </c>
      <c r="J1237" s="818">
        <f>ROUND(IF(G1237=1,F1237/23,IF(G1237=3,F1237/12,IF(G1237=5,F1237-I1237,IF(G1237=8,F1237,0)))),0)</f>
        <v>0</v>
      </c>
      <c r="K1237" s="819">
        <f>ROUND(IF(G1237=1,F1237/23,IF(G1237=3,F1237/12,IF(G1237=6,F1237,IF(G1237=7,F1237-I1237,0)))),0)</f>
        <v>0</v>
      </c>
      <c r="L1237" s="820">
        <f>IF(G1237=6,F1237,0)</f>
        <v>0</v>
      </c>
      <c r="P1237" s="768" t="n"/>
      <c r="Q1237" s="769" t="str">
        <f>IF($F1237="","",IFERROR(VLOOKUP($C1237&amp;"|"&amp;$D1237,科目表!$A$5:$B$200,2,FALSE),"※未登録"))</f>
        <v/>
      </c>
      <c r="R1237" s="769" t="str">
        <f>IF($F1237="","",$I1237+$J1237+$K1237)</f>
        <v/>
      </c>
      <c r="S1237" s="769" t="str">
        <f>IF(OR($F1237="",$P1237="支払なし",$H1237=0,$Q1237=""),"",$Q1237&amp;"|S|"&amp;(COUNTIF(S$4:S1236,$Q1237&amp;"|S|*")+1))</f>
        <v/>
      </c>
      <c r="T1237" s="769" t="str">
        <f>IF(OR($F1237="",$P1237="支払なし",$R1237=0,$Q1237=""),"",$Q1237&amp;"|L|"&amp;(COUNTIF(T$4:T1236,$Q1237&amp;"|L|*")+1))</f>
        <v/>
      </c>
      <c r="U1237" s="769" t="str">
        <f>IF($F1237="","",13)</f>
        <v/>
      </c>
    </row>
    <row r="1238" ht="16.5" customHeight="1" s="186">
      <c r="A1238" s="760" t="n"/>
      <c r="B1238" s="760" t="n"/>
      <c r="C1238" s="762" t="n"/>
      <c r="D1238" s="762" t="n"/>
      <c r="E1238" s="775" t="n"/>
      <c r="F1238" s="821" t="n"/>
      <c r="G1238" s="821" t="n"/>
      <c r="H1238" s="818">
        <f>IF(G1238=1,F1238-I1238-J1238-K1238,IF(G1238=2,F1238,0))</f>
        <v>0</v>
      </c>
      <c r="I1238" s="818">
        <f>ROUND(IF(G1238=1,F1238*10/23,IF(G1238=3,F1238-J1238-K1238,IF(G1238=4,F1238,IF(G1238=5,F1238*10/11,IF(G1238=7,F1238*10/11,0))))),0)</f>
        <v>0</v>
      </c>
      <c r="J1238" s="818">
        <f>ROUND(IF(G1238=1,F1238/23,IF(G1238=3,F1238/12,IF(G1238=5,F1238-I1238,IF(G1238=8,F1238,0)))),0)</f>
        <v>0</v>
      </c>
      <c r="K1238" s="819">
        <f>ROUND(IF(G1238=1,F1238/23,IF(G1238=3,F1238/12,IF(G1238=6,F1238,IF(G1238=7,F1238-I1238,0)))),0)</f>
        <v>0</v>
      </c>
      <c r="L1238" s="820">
        <f>IF(G1238=6,F1238,0)</f>
        <v>0</v>
      </c>
      <c r="P1238" s="768" t="n"/>
      <c r="Q1238" s="769" t="str">
        <f>IF($F1238="","",IFERROR(VLOOKUP($C1238&amp;"|"&amp;$D1238,科目表!$A$5:$B$200,2,FALSE),"※未登録"))</f>
        <v/>
      </c>
      <c r="R1238" s="769" t="str">
        <f>IF($F1238="","",$I1238+$J1238+$K1238)</f>
        <v/>
      </c>
      <c r="S1238" s="769" t="str">
        <f>IF(OR($F1238="",$P1238="支払なし",$H1238=0,$Q1238=""),"",$Q1238&amp;"|S|"&amp;(COUNTIF(S$4:S1237,$Q1238&amp;"|S|*")+1))</f>
        <v/>
      </c>
      <c r="T1238" s="769" t="str">
        <f>IF(OR($F1238="",$P1238="支払なし",$R1238=0,$Q1238=""),"",$Q1238&amp;"|L|"&amp;(COUNTIF(T$4:T1237,$Q1238&amp;"|L|*")+1))</f>
        <v/>
      </c>
      <c r="U1238" s="769" t="str">
        <f>IF($F1238="","",13)</f>
        <v/>
      </c>
    </row>
    <row r="1239" ht="16.5" customHeight="1" s="186">
      <c r="A1239" s="760" t="n"/>
      <c r="B1239" s="760" t="n"/>
      <c r="C1239" s="762" t="n"/>
      <c r="D1239" s="762" t="n"/>
      <c r="E1239" s="775" t="n"/>
      <c r="F1239" s="821" t="n"/>
      <c r="G1239" s="821" t="n"/>
      <c r="H1239" s="818">
        <f>IF(G1239=1,F1239-I1239-J1239-K1239,IF(G1239=2,F1239,0))</f>
        <v>0</v>
      </c>
      <c r="I1239" s="818">
        <f>ROUND(IF(G1239=1,F1239*10/23,IF(G1239=3,F1239-J1239-K1239,IF(G1239=4,F1239,IF(G1239=5,F1239*10/11,IF(G1239=7,F1239*10/11,0))))),0)</f>
        <v>0</v>
      </c>
      <c r="J1239" s="818">
        <f>ROUND(IF(G1239=1,F1239/23,IF(G1239=3,F1239/12,IF(G1239=5,F1239-I1239,IF(G1239=8,F1239,0)))),0)</f>
        <v>0</v>
      </c>
      <c r="K1239" s="819">
        <f>ROUND(IF(G1239=1,F1239/23,IF(G1239=3,F1239/12,IF(G1239=6,F1239,IF(G1239=7,F1239-I1239,0)))),0)</f>
        <v>0</v>
      </c>
      <c r="L1239" s="820">
        <f>IF(G1239=6,F1239,0)</f>
        <v>0</v>
      </c>
      <c r="P1239" s="768" t="n"/>
      <c r="Q1239" s="769" t="str">
        <f>IF($F1239="","",IFERROR(VLOOKUP($C1239&amp;"|"&amp;$D1239,科目表!$A$5:$B$200,2,FALSE),"※未登録"))</f>
        <v/>
      </c>
      <c r="R1239" s="769" t="str">
        <f>IF($F1239="","",$I1239+$J1239+$K1239)</f>
        <v/>
      </c>
      <c r="S1239" s="769" t="str">
        <f>IF(OR($F1239="",$P1239="支払なし",$H1239=0,$Q1239=""),"",$Q1239&amp;"|S|"&amp;(COUNTIF(S$4:S1238,$Q1239&amp;"|S|*")+1))</f>
        <v/>
      </c>
      <c r="T1239" s="769" t="str">
        <f>IF(OR($F1239="",$P1239="支払なし",$R1239=0,$Q1239=""),"",$Q1239&amp;"|L|"&amp;(COUNTIF(T$4:T1238,$Q1239&amp;"|L|*")+1))</f>
        <v/>
      </c>
      <c r="U1239" s="769" t="str">
        <f>IF($F1239="","",13)</f>
        <v/>
      </c>
    </row>
    <row r="1240" ht="16.5" customHeight="1" s="186">
      <c r="A1240" s="760" t="n"/>
      <c r="B1240" s="760" t="n"/>
      <c r="C1240" s="762" t="n"/>
      <c r="D1240" s="762" t="n"/>
      <c r="E1240" s="775" t="n"/>
      <c r="F1240" s="821" t="n"/>
      <c r="G1240" s="821" t="n"/>
      <c r="H1240" s="818">
        <f>IF(G1240=1,F1240-I1240-J1240-K1240,IF(G1240=2,F1240,0))</f>
        <v>0</v>
      </c>
      <c r="I1240" s="818">
        <f>ROUND(IF(G1240=1,F1240*10/23,IF(G1240=3,F1240-J1240-K1240,IF(G1240=4,F1240,IF(G1240=5,F1240*10/11,IF(G1240=7,F1240*10/11,0))))),0)</f>
        <v>0</v>
      </c>
      <c r="J1240" s="818">
        <f>ROUND(IF(G1240=1,F1240/23,IF(G1240=3,F1240/12,IF(G1240=5,F1240-I1240,IF(G1240=8,F1240,0)))),0)</f>
        <v>0</v>
      </c>
      <c r="K1240" s="819">
        <f>ROUND(IF(G1240=1,F1240/23,IF(G1240=3,F1240/12,IF(G1240=6,F1240,IF(G1240=7,F1240-I1240,0)))),0)</f>
        <v>0</v>
      </c>
      <c r="L1240" s="820">
        <f>IF(G1240=6,F1240,0)</f>
        <v>0</v>
      </c>
      <c r="P1240" s="768" t="n"/>
      <c r="Q1240" s="769" t="str">
        <f>IF($F1240="","",IFERROR(VLOOKUP($C1240&amp;"|"&amp;$D1240,科目表!$A$5:$B$200,2,FALSE),"※未登録"))</f>
        <v/>
      </c>
      <c r="R1240" s="769" t="str">
        <f>IF($F1240="","",$I1240+$J1240+$K1240)</f>
        <v/>
      </c>
      <c r="S1240" s="769" t="str">
        <f>IF(OR($F1240="",$P1240="支払なし",$H1240=0,$Q1240=""),"",$Q1240&amp;"|S|"&amp;(COUNTIF(S$4:S1239,$Q1240&amp;"|S|*")+1))</f>
        <v/>
      </c>
      <c r="T1240" s="769" t="str">
        <f>IF(OR($F1240="",$P1240="支払なし",$R1240=0,$Q1240=""),"",$Q1240&amp;"|L|"&amp;(COUNTIF(T$4:T1239,$Q1240&amp;"|L|*")+1))</f>
        <v/>
      </c>
      <c r="U1240" s="769" t="str">
        <f>IF($F1240="","",13)</f>
        <v/>
      </c>
    </row>
    <row r="1241" ht="16.5" customHeight="1" s="186">
      <c r="A1241" s="760" t="n"/>
      <c r="B1241" s="760" t="n"/>
      <c r="C1241" s="762" t="n"/>
      <c r="D1241" s="762" t="n"/>
      <c r="E1241" s="775" t="n"/>
      <c r="F1241" s="821" t="n"/>
      <c r="G1241" s="821" t="n"/>
      <c r="H1241" s="818">
        <f>IF(G1241=1,F1241-I1241-J1241-K1241,IF(G1241=2,F1241,0))</f>
        <v>0</v>
      </c>
      <c r="I1241" s="818">
        <f>ROUND(IF(G1241=1,F1241*10/23,IF(G1241=3,F1241-J1241-K1241,IF(G1241=4,F1241,IF(G1241=5,F1241*10/11,IF(G1241=7,F1241*10/11,0))))),0)</f>
        <v>0</v>
      </c>
      <c r="J1241" s="818">
        <f>ROUND(IF(G1241=1,F1241/23,IF(G1241=3,F1241/12,IF(G1241=5,F1241-I1241,IF(G1241=8,F1241,0)))),0)</f>
        <v>0</v>
      </c>
      <c r="K1241" s="819">
        <f>ROUND(IF(G1241=1,F1241/23,IF(G1241=3,F1241/12,IF(G1241=6,F1241,IF(G1241=7,F1241-I1241,0)))),0)</f>
        <v>0</v>
      </c>
      <c r="L1241" s="820">
        <f>IF(G1241=6,F1241,0)</f>
        <v>0</v>
      </c>
      <c r="P1241" s="768" t="n"/>
      <c r="Q1241" s="769" t="str">
        <f>IF($F1241="","",IFERROR(VLOOKUP($C1241&amp;"|"&amp;$D1241,科目表!$A$5:$B$200,2,FALSE),"※未登録"))</f>
        <v/>
      </c>
      <c r="R1241" s="769" t="str">
        <f>IF($F1241="","",$I1241+$J1241+$K1241)</f>
        <v/>
      </c>
      <c r="S1241" s="769" t="str">
        <f>IF(OR($F1241="",$P1241="支払なし",$H1241=0,$Q1241=""),"",$Q1241&amp;"|S|"&amp;(COUNTIF(S$4:S1240,$Q1241&amp;"|S|*")+1))</f>
        <v/>
      </c>
      <c r="T1241" s="769" t="str">
        <f>IF(OR($F1241="",$P1241="支払なし",$R1241=0,$Q1241=""),"",$Q1241&amp;"|L|"&amp;(COUNTIF(T$4:T1240,$Q1241&amp;"|L|*")+1))</f>
        <v/>
      </c>
      <c r="U1241" s="769" t="str">
        <f>IF($F1241="","",13)</f>
        <v/>
      </c>
    </row>
    <row r="1242" ht="16.5" customHeight="1" s="186">
      <c r="A1242" s="760" t="n"/>
      <c r="B1242" s="760" t="n"/>
      <c r="C1242" s="762" t="n"/>
      <c r="D1242" s="762" t="n"/>
      <c r="E1242" s="775" t="n"/>
      <c r="F1242" s="821" t="n"/>
      <c r="G1242" s="821" t="n"/>
      <c r="H1242" s="818">
        <f>IF(G1242=1,F1242-I1242-J1242-K1242,IF(G1242=2,F1242,0))</f>
        <v>0</v>
      </c>
      <c r="I1242" s="818">
        <f>ROUND(IF(G1242=1,F1242*10/23,IF(G1242=3,F1242-J1242-K1242,IF(G1242=4,F1242,IF(G1242=5,F1242*10/11,IF(G1242=7,F1242*10/11,0))))),0)</f>
        <v>0</v>
      </c>
      <c r="J1242" s="818">
        <f>ROUND(IF(G1242=1,F1242/23,IF(G1242=3,F1242/12,IF(G1242=5,F1242-I1242,IF(G1242=8,F1242,0)))),0)</f>
        <v>0</v>
      </c>
      <c r="K1242" s="819">
        <f>ROUND(IF(G1242=1,F1242/23,IF(G1242=3,F1242/12,IF(G1242=6,F1242,IF(G1242=7,F1242-I1242,0)))),0)</f>
        <v>0</v>
      </c>
      <c r="L1242" s="820">
        <f>IF(G1242=6,F1242,0)</f>
        <v>0</v>
      </c>
      <c r="P1242" s="768" t="n"/>
      <c r="Q1242" s="769" t="str">
        <f>IF($F1242="","",IFERROR(VLOOKUP($C1242&amp;"|"&amp;$D1242,科目表!$A$5:$B$200,2,FALSE),"※未登録"))</f>
        <v/>
      </c>
      <c r="R1242" s="769" t="str">
        <f>IF($F1242="","",$I1242+$J1242+$K1242)</f>
        <v/>
      </c>
      <c r="S1242" s="769" t="str">
        <f>IF(OR($F1242="",$P1242="支払なし",$H1242=0,$Q1242=""),"",$Q1242&amp;"|S|"&amp;(COUNTIF(S$4:S1241,$Q1242&amp;"|S|*")+1))</f>
        <v/>
      </c>
      <c r="T1242" s="769" t="str">
        <f>IF(OR($F1242="",$P1242="支払なし",$R1242=0,$Q1242=""),"",$Q1242&amp;"|L|"&amp;(COUNTIF(T$4:T1241,$Q1242&amp;"|L|*")+1))</f>
        <v/>
      </c>
      <c r="U1242" s="769" t="str">
        <f>IF($F1242="","",13)</f>
        <v/>
      </c>
    </row>
    <row r="1243" ht="16.5" customHeight="1" s="186">
      <c r="A1243" s="760" t="n"/>
      <c r="B1243" s="760" t="n"/>
      <c r="C1243" s="762" t="n"/>
      <c r="D1243" s="762" t="n"/>
      <c r="E1243" s="775" t="n"/>
      <c r="F1243" s="821" t="n"/>
      <c r="G1243" s="821" t="n"/>
      <c r="H1243" s="818">
        <f>IF(G1243=1,F1243-I1243-J1243-K1243,IF(G1243=2,F1243,0))</f>
        <v>0</v>
      </c>
      <c r="I1243" s="818">
        <f>ROUND(IF(G1243=1,F1243*10/23,IF(G1243=3,F1243-J1243-K1243,IF(G1243=4,F1243,IF(G1243=5,F1243*10/11,IF(G1243=7,F1243*10/11,0))))),0)</f>
        <v>0</v>
      </c>
      <c r="J1243" s="818">
        <f>ROUND(IF(G1243=1,F1243/23,IF(G1243=3,F1243/12,IF(G1243=5,F1243-I1243,IF(G1243=8,F1243,0)))),0)</f>
        <v>0</v>
      </c>
      <c r="K1243" s="819">
        <f>ROUND(IF(G1243=1,F1243/23,IF(G1243=3,F1243/12,IF(G1243=6,F1243,IF(G1243=7,F1243-I1243,0)))),0)</f>
        <v>0</v>
      </c>
      <c r="L1243" s="820">
        <f>IF(G1243=6,F1243,0)</f>
        <v>0</v>
      </c>
      <c r="P1243" s="768" t="n"/>
      <c r="Q1243" s="769" t="str">
        <f>IF($F1243="","",IFERROR(VLOOKUP($C1243&amp;"|"&amp;$D1243,科目表!$A$5:$B$200,2,FALSE),"※未登録"))</f>
        <v/>
      </c>
      <c r="R1243" s="769" t="str">
        <f>IF($F1243="","",$I1243+$J1243+$K1243)</f>
        <v/>
      </c>
      <c r="S1243" s="769" t="str">
        <f>IF(OR($F1243="",$P1243="支払なし",$H1243=0,$Q1243=""),"",$Q1243&amp;"|S|"&amp;(COUNTIF(S$4:S1242,$Q1243&amp;"|S|*")+1))</f>
        <v/>
      </c>
      <c r="T1243" s="769" t="str">
        <f>IF(OR($F1243="",$P1243="支払なし",$R1243=0,$Q1243=""),"",$Q1243&amp;"|L|"&amp;(COUNTIF(T$4:T1242,$Q1243&amp;"|L|*")+1))</f>
        <v/>
      </c>
      <c r="U1243" s="769" t="str">
        <f>IF($F1243="","",13)</f>
        <v/>
      </c>
    </row>
    <row r="1244" ht="16.5" customHeight="1" s="186">
      <c r="A1244" s="760" t="n"/>
      <c r="B1244" s="760" t="n"/>
      <c r="C1244" s="762" t="n"/>
      <c r="D1244" s="762" t="n"/>
      <c r="E1244" s="775" t="n"/>
      <c r="F1244" s="821" t="n"/>
      <c r="G1244" s="821" t="n"/>
      <c r="H1244" s="818">
        <f>IF(G1244=1,F1244-I1244-J1244-K1244,IF(G1244=2,F1244,0))</f>
        <v>0</v>
      </c>
      <c r="I1244" s="818">
        <f>ROUND(IF(G1244=1,F1244*10/23,IF(G1244=3,F1244-J1244-K1244,IF(G1244=4,F1244,IF(G1244=5,F1244*10/11,IF(G1244=7,F1244*10/11,0))))),0)</f>
        <v>0</v>
      </c>
      <c r="J1244" s="818">
        <f>ROUND(IF(G1244=1,F1244/23,IF(G1244=3,F1244/12,IF(G1244=5,F1244-I1244,IF(G1244=8,F1244,0)))),0)</f>
        <v>0</v>
      </c>
      <c r="K1244" s="819">
        <f>ROUND(IF(G1244=1,F1244/23,IF(G1244=3,F1244/12,IF(G1244=6,F1244,IF(G1244=7,F1244-I1244,0)))),0)</f>
        <v>0</v>
      </c>
      <c r="L1244" s="820">
        <f>IF(G1244=6,F1244,0)</f>
        <v>0</v>
      </c>
      <c r="P1244" s="768" t="n"/>
      <c r="Q1244" s="769" t="str">
        <f>IF($F1244="","",IFERROR(VLOOKUP($C1244&amp;"|"&amp;$D1244,科目表!$A$5:$B$200,2,FALSE),"※未登録"))</f>
        <v/>
      </c>
      <c r="R1244" s="769" t="str">
        <f>IF($F1244="","",$I1244+$J1244+$K1244)</f>
        <v/>
      </c>
      <c r="S1244" s="769" t="str">
        <f>IF(OR($F1244="",$P1244="支払なし",$H1244=0,$Q1244=""),"",$Q1244&amp;"|S|"&amp;(COUNTIF(S$4:S1243,$Q1244&amp;"|S|*")+1))</f>
        <v/>
      </c>
      <c r="T1244" s="769" t="str">
        <f>IF(OR($F1244="",$P1244="支払なし",$R1244=0,$Q1244=""),"",$Q1244&amp;"|L|"&amp;(COUNTIF(T$4:T1243,$Q1244&amp;"|L|*")+1))</f>
        <v/>
      </c>
      <c r="U1244" s="769" t="str">
        <f>IF($F1244="","",13)</f>
        <v/>
      </c>
    </row>
    <row r="1245" ht="16.5" customHeight="1" s="186">
      <c r="A1245" s="760" t="n"/>
      <c r="B1245" s="760" t="n"/>
      <c r="C1245" s="762" t="n"/>
      <c r="D1245" s="762" t="n"/>
      <c r="E1245" s="775" t="n"/>
      <c r="F1245" s="821" t="n"/>
      <c r="G1245" s="821" t="n"/>
      <c r="H1245" s="818">
        <f>IF(G1245=1,F1245-I1245-J1245-K1245,IF(G1245=2,F1245,0))</f>
        <v>0</v>
      </c>
      <c r="I1245" s="818">
        <f>ROUND(IF(G1245=1,F1245*10/23,IF(G1245=3,F1245-J1245-K1245,IF(G1245=4,F1245,IF(G1245=5,F1245*10/11,IF(G1245=7,F1245*10/11,0))))),0)</f>
        <v>0</v>
      </c>
      <c r="J1245" s="818">
        <f>ROUND(IF(G1245=1,F1245/23,IF(G1245=3,F1245/12,IF(G1245=5,F1245-I1245,IF(G1245=8,F1245,0)))),0)</f>
        <v>0</v>
      </c>
      <c r="K1245" s="819">
        <f>ROUND(IF(G1245=1,F1245/23,IF(G1245=3,F1245/12,IF(G1245=6,F1245,IF(G1245=7,F1245-I1245,0)))),0)</f>
        <v>0</v>
      </c>
      <c r="L1245" s="820">
        <f>IF(G1245=6,F1245,0)</f>
        <v>0</v>
      </c>
      <c r="P1245" s="768" t="n"/>
      <c r="Q1245" s="769" t="str">
        <f>IF($F1245="","",IFERROR(VLOOKUP($C1245&amp;"|"&amp;$D1245,科目表!$A$5:$B$200,2,FALSE),"※未登録"))</f>
        <v/>
      </c>
      <c r="R1245" s="769" t="str">
        <f>IF($F1245="","",$I1245+$J1245+$K1245)</f>
        <v/>
      </c>
      <c r="S1245" s="769" t="str">
        <f>IF(OR($F1245="",$P1245="支払なし",$H1245=0,$Q1245=""),"",$Q1245&amp;"|S|"&amp;(COUNTIF(S$4:S1244,$Q1245&amp;"|S|*")+1))</f>
        <v/>
      </c>
      <c r="T1245" s="769" t="str">
        <f>IF(OR($F1245="",$P1245="支払なし",$R1245=0,$Q1245=""),"",$Q1245&amp;"|L|"&amp;(COUNTIF(T$4:T1244,$Q1245&amp;"|L|*")+1))</f>
        <v/>
      </c>
      <c r="U1245" s="769" t="str">
        <f>IF($F1245="","",13)</f>
        <v/>
      </c>
    </row>
    <row r="1246" ht="16.5" customHeight="1" s="186">
      <c r="A1246" s="760" t="n"/>
      <c r="B1246" s="760" t="n"/>
      <c r="C1246" s="762" t="n"/>
      <c r="D1246" s="762" t="n"/>
      <c r="E1246" s="775" t="n"/>
      <c r="F1246" s="821" t="n"/>
      <c r="G1246" s="821" t="n"/>
      <c r="H1246" s="818">
        <f>IF(G1246=1,F1246-I1246-J1246-K1246,IF(G1246=2,F1246,0))</f>
        <v>0</v>
      </c>
      <c r="I1246" s="818">
        <f>ROUND(IF(G1246=1,F1246*10/23,IF(G1246=3,F1246-J1246-K1246,IF(G1246=4,F1246,IF(G1246=5,F1246*10/11,IF(G1246=7,F1246*10/11,0))))),0)</f>
        <v>0</v>
      </c>
      <c r="J1246" s="818">
        <f>ROUND(IF(G1246=1,F1246/23,IF(G1246=3,F1246/12,IF(G1246=5,F1246-I1246,IF(G1246=8,F1246,0)))),0)</f>
        <v>0</v>
      </c>
      <c r="K1246" s="819">
        <f>ROUND(IF(G1246=1,F1246/23,IF(G1246=3,F1246/12,IF(G1246=6,F1246,IF(G1246=7,F1246-I1246,0)))),0)</f>
        <v>0</v>
      </c>
      <c r="L1246" s="820">
        <f>IF(G1246=6,F1246,0)</f>
        <v>0</v>
      </c>
      <c r="P1246" s="768" t="n"/>
      <c r="Q1246" s="769" t="str">
        <f>IF($F1246="","",IFERROR(VLOOKUP($C1246&amp;"|"&amp;$D1246,科目表!$A$5:$B$200,2,FALSE),"※未登録"))</f>
        <v/>
      </c>
      <c r="R1246" s="769" t="str">
        <f>IF($F1246="","",$I1246+$J1246+$K1246)</f>
        <v/>
      </c>
      <c r="S1246" s="769" t="str">
        <f>IF(OR($F1246="",$P1246="支払なし",$H1246=0,$Q1246=""),"",$Q1246&amp;"|S|"&amp;(COUNTIF(S$4:S1245,$Q1246&amp;"|S|*")+1))</f>
        <v/>
      </c>
      <c r="T1246" s="769" t="str">
        <f>IF(OR($F1246="",$P1246="支払なし",$R1246=0,$Q1246=""),"",$Q1246&amp;"|L|"&amp;(COUNTIF(T$4:T1245,$Q1246&amp;"|L|*")+1))</f>
        <v/>
      </c>
      <c r="U1246" s="769" t="str">
        <f>IF($F1246="","",13)</f>
        <v/>
      </c>
    </row>
    <row r="1247" ht="16.5" customHeight="1" s="186">
      <c r="A1247" s="760" t="n"/>
      <c r="B1247" s="760" t="n"/>
      <c r="C1247" s="762" t="n"/>
      <c r="D1247" s="762" t="n"/>
      <c r="E1247" s="775" t="n"/>
      <c r="F1247" s="821" t="n"/>
      <c r="G1247" s="821" t="n"/>
      <c r="H1247" s="818">
        <f>IF(G1247=1,F1247-I1247-J1247-K1247,IF(G1247=2,F1247,0))</f>
        <v>0</v>
      </c>
      <c r="I1247" s="818">
        <f>ROUND(IF(G1247=1,F1247*10/23,IF(G1247=3,F1247-J1247-K1247,IF(G1247=4,F1247,IF(G1247=5,F1247*10/11,IF(G1247=7,F1247*10/11,0))))),0)</f>
        <v>0</v>
      </c>
      <c r="J1247" s="818">
        <f>ROUND(IF(G1247=1,F1247/23,IF(G1247=3,F1247/12,IF(G1247=5,F1247-I1247,IF(G1247=8,F1247,0)))),0)</f>
        <v>0</v>
      </c>
      <c r="K1247" s="819">
        <f>ROUND(IF(G1247=1,F1247/23,IF(G1247=3,F1247/12,IF(G1247=6,F1247,IF(G1247=7,F1247-I1247,0)))),0)</f>
        <v>0</v>
      </c>
      <c r="L1247" s="820">
        <f>IF(G1247=6,F1247,0)</f>
        <v>0</v>
      </c>
      <c r="P1247" s="768" t="n"/>
      <c r="Q1247" s="769" t="str">
        <f>IF($F1247="","",IFERROR(VLOOKUP($C1247&amp;"|"&amp;$D1247,科目表!$A$5:$B$200,2,FALSE),"※未登録"))</f>
        <v/>
      </c>
      <c r="R1247" s="769" t="str">
        <f>IF($F1247="","",$I1247+$J1247+$K1247)</f>
        <v/>
      </c>
      <c r="S1247" s="769" t="str">
        <f>IF(OR($F1247="",$P1247="支払なし",$H1247=0,$Q1247=""),"",$Q1247&amp;"|S|"&amp;(COUNTIF(S$4:S1246,$Q1247&amp;"|S|*")+1))</f>
        <v/>
      </c>
      <c r="T1247" s="769" t="str">
        <f>IF(OR($F1247="",$P1247="支払なし",$R1247=0,$Q1247=""),"",$Q1247&amp;"|L|"&amp;(COUNTIF(T$4:T1246,$Q1247&amp;"|L|*")+1))</f>
        <v/>
      </c>
      <c r="U1247" s="769" t="str">
        <f>IF($F1247="","",13)</f>
        <v/>
      </c>
    </row>
    <row r="1248" ht="16.5" customHeight="1" s="186">
      <c r="A1248" s="760" t="n"/>
      <c r="B1248" s="760" t="n"/>
      <c r="C1248" s="762" t="n"/>
      <c r="D1248" s="762" t="n"/>
      <c r="E1248" s="775" t="n"/>
      <c r="F1248" s="821" t="n"/>
      <c r="G1248" s="821" t="n"/>
      <c r="H1248" s="818">
        <f>IF(G1248=1,F1248-I1248-J1248-K1248,IF(G1248=2,F1248,0))</f>
        <v>0</v>
      </c>
      <c r="I1248" s="818">
        <f>ROUND(IF(G1248=1,F1248*10/23,IF(G1248=3,F1248-J1248-K1248,IF(G1248=4,F1248,IF(G1248=5,F1248*10/11,IF(G1248=7,F1248*10/11,0))))),0)</f>
        <v>0</v>
      </c>
      <c r="J1248" s="818">
        <f>ROUND(IF(G1248=1,F1248/23,IF(G1248=3,F1248/12,IF(G1248=5,F1248-I1248,IF(G1248=8,F1248,0)))),0)</f>
        <v>0</v>
      </c>
      <c r="K1248" s="819">
        <f>ROUND(IF(G1248=1,F1248/23,IF(G1248=3,F1248/12,IF(G1248=6,F1248,IF(G1248=7,F1248-I1248,0)))),0)</f>
        <v>0</v>
      </c>
      <c r="L1248" s="820">
        <f>IF(G1248=6,F1248,0)</f>
        <v>0</v>
      </c>
      <c r="P1248" s="768" t="n"/>
      <c r="Q1248" s="769" t="str">
        <f>IF($F1248="","",IFERROR(VLOOKUP($C1248&amp;"|"&amp;$D1248,科目表!$A$5:$B$200,2,FALSE),"※未登録"))</f>
        <v/>
      </c>
      <c r="R1248" s="769" t="str">
        <f>IF($F1248="","",$I1248+$J1248+$K1248)</f>
        <v/>
      </c>
      <c r="S1248" s="769" t="str">
        <f>IF(OR($F1248="",$P1248="支払なし",$H1248=0,$Q1248=""),"",$Q1248&amp;"|S|"&amp;(COUNTIF(S$4:S1247,$Q1248&amp;"|S|*")+1))</f>
        <v/>
      </c>
      <c r="T1248" s="769" t="str">
        <f>IF(OR($F1248="",$P1248="支払なし",$R1248=0,$Q1248=""),"",$Q1248&amp;"|L|"&amp;(COUNTIF(T$4:T1247,$Q1248&amp;"|L|*")+1))</f>
        <v/>
      </c>
      <c r="U1248" s="769" t="str">
        <f>IF($F1248="","",13)</f>
        <v/>
      </c>
    </row>
    <row r="1249" ht="16.5" customHeight="1" s="186">
      <c r="A1249" s="760" t="n"/>
      <c r="B1249" s="760" t="n"/>
      <c r="C1249" s="762" t="n"/>
      <c r="D1249" s="762" t="n"/>
      <c r="E1249" s="775" t="n"/>
      <c r="F1249" s="821" t="n"/>
      <c r="G1249" s="821" t="n"/>
      <c r="H1249" s="818">
        <f>IF(G1249=1,F1249-I1249-J1249-K1249,IF(G1249=2,F1249,0))</f>
        <v>0</v>
      </c>
      <c r="I1249" s="818">
        <f>ROUND(IF(G1249=1,F1249*10/23,IF(G1249=3,F1249-J1249-K1249,IF(G1249=4,F1249,IF(G1249=5,F1249*10/11,IF(G1249=7,F1249*10/11,0))))),0)</f>
        <v>0</v>
      </c>
      <c r="J1249" s="818">
        <f>ROUND(IF(G1249=1,F1249/23,IF(G1249=3,F1249/12,IF(G1249=5,F1249-I1249,IF(G1249=8,F1249,0)))),0)</f>
        <v>0</v>
      </c>
      <c r="K1249" s="819">
        <f>ROUND(IF(G1249=1,F1249/23,IF(G1249=3,F1249/12,IF(G1249=6,F1249,IF(G1249=7,F1249-I1249,0)))),0)</f>
        <v>0</v>
      </c>
      <c r="L1249" s="820">
        <f>IF(G1249=6,F1249,0)</f>
        <v>0</v>
      </c>
      <c r="P1249" s="768" t="n"/>
      <c r="Q1249" s="769" t="str">
        <f>IF($F1249="","",IFERROR(VLOOKUP($C1249&amp;"|"&amp;$D1249,科目表!$A$5:$B$200,2,FALSE),"※未登録"))</f>
        <v/>
      </c>
      <c r="R1249" s="769" t="str">
        <f>IF($F1249="","",$I1249+$J1249+$K1249)</f>
        <v/>
      </c>
      <c r="S1249" s="769" t="str">
        <f>IF(OR($F1249="",$P1249="支払なし",$H1249=0,$Q1249=""),"",$Q1249&amp;"|S|"&amp;(COUNTIF(S$4:S1248,$Q1249&amp;"|S|*")+1))</f>
        <v/>
      </c>
      <c r="T1249" s="769" t="str">
        <f>IF(OR($F1249="",$P1249="支払なし",$R1249=0,$Q1249=""),"",$Q1249&amp;"|L|"&amp;(COUNTIF(T$4:T1248,$Q1249&amp;"|L|*")+1))</f>
        <v/>
      </c>
      <c r="U1249" s="769" t="str">
        <f>IF($F1249="","",13)</f>
        <v/>
      </c>
    </row>
    <row r="1250" ht="16.5" customHeight="1" s="186">
      <c r="A1250" s="760" t="n"/>
      <c r="B1250" s="760" t="n"/>
      <c r="C1250" s="762" t="n"/>
      <c r="D1250" s="762" t="n"/>
      <c r="E1250" s="775" t="n"/>
      <c r="F1250" s="821" t="n"/>
      <c r="G1250" s="821" t="n"/>
      <c r="H1250" s="818">
        <f>IF(G1250=1,F1250-I1250-J1250-K1250,IF(G1250=2,F1250,0))</f>
        <v>0</v>
      </c>
      <c r="I1250" s="818">
        <f>ROUND(IF(G1250=1,F1250*10/23,IF(G1250=3,F1250-J1250-K1250,IF(G1250=4,F1250,IF(G1250=5,F1250*10/11,IF(G1250=7,F1250*10/11,0))))),0)</f>
        <v>0</v>
      </c>
      <c r="J1250" s="818">
        <f>ROUND(IF(G1250=1,F1250/23,IF(G1250=3,F1250/12,IF(G1250=5,F1250-I1250,IF(G1250=8,F1250,0)))),0)</f>
        <v>0</v>
      </c>
      <c r="K1250" s="819">
        <f>ROUND(IF(G1250=1,F1250/23,IF(G1250=3,F1250/12,IF(G1250=6,F1250,IF(G1250=7,F1250-I1250,0)))),0)</f>
        <v>0</v>
      </c>
      <c r="L1250" s="820">
        <f>IF(G1250=6,F1250,0)</f>
        <v>0</v>
      </c>
      <c r="P1250" s="768" t="n"/>
      <c r="Q1250" s="769" t="str">
        <f>IF($F1250="","",IFERROR(VLOOKUP($C1250&amp;"|"&amp;$D1250,科目表!$A$5:$B$200,2,FALSE),"※未登録"))</f>
        <v/>
      </c>
      <c r="R1250" s="769" t="str">
        <f>IF($F1250="","",$I1250+$J1250+$K1250)</f>
        <v/>
      </c>
      <c r="S1250" s="769" t="str">
        <f>IF(OR($F1250="",$P1250="支払なし",$H1250=0,$Q1250=""),"",$Q1250&amp;"|S|"&amp;(COUNTIF(S$4:S1249,$Q1250&amp;"|S|*")+1))</f>
        <v/>
      </c>
      <c r="T1250" s="769" t="str">
        <f>IF(OR($F1250="",$P1250="支払なし",$R1250=0,$Q1250=""),"",$Q1250&amp;"|L|"&amp;(COUNTIF(T$4:T1249,$Q1250&amp;"|L|*")+1))</f>
        <v/>
      </c>
      <c r="U1250" s="769" t="str">
        <f>IF($F1250="","",13)</f>
        <v/>
      </c>
    </row>
    <row r="1251" ht="16.5" customHeight="1" s="186">
      <c r="A1251" s="760" t="n"/>
      <c r="B1251" s="760" t="n"/>
      <c r="C1251" s="762" t="n"/>
      <c r="D1251" s="762" t="n"/>
      <c r="E1251" s="775" t="n"/>
      <c r="F1251" s="821" t="n"/>
      <c r="G1251" s="821" t="n"/>
      <c r="H1251" s="818">
        <f>IF(G1251=1,F1251-I1251-J1251-K1251,IF(G1251=2,F1251,0))</f>
        <v>0</v>
      </c>
      <c r="I1251" s="818">
        <f>ROUND(IF(G1251=1,F1251*10/23,IF(G1251=3,F1251-J1251-K1251,IF(G1251=4,F1251,IF(G1251=5,F1251*10/11,IF(G1251=7,F1251*10/11,0))))),0)</f>
        <v>0</v>
      </c>
      <c r="J1251" s="818">
        <f>ROUND(IF(G1251=1,F1251/23,IF(G1251=3,F1251/12,IF(G1251=5,F1251-I1251,IF(G1251=8,F1251,0)))),0)</f>
        <v>0</v>
      </c>
      <c r="K1251" s="819">
        <f>ROUND(IF(G1251=1,F1251/23,IF(G1251=3,F1251/12,IF(G1251=6,F1251,IF(G1251=7,F1251-I1251,0)))),0)</f>
        <v>0</v>
      </c>
      <c r="L1251" s="820">
        <f>IF(G1251=6,F1251,0)</f>
        <v>0</v>
      </c>
      <c r="P1251" s="768" t="n"/>
      <c r="Q1251" s="769" t="str">
        <f>IF($F1251="","",IFERROR(VLOOKUP($C1251&amp;"|"&amp;$D1251,科目表!$A$5:$B$200,2,FALSE),"※未登録"))</f>
        <v/>
      </c>
      <c r="R1251" s="769" t="str">
        <f>IF($F1251="","",$I1251+$J1251+$K1251)</f>
        <v/>
      </c>
      <c r="S1251" s="769" t="str">
        <f>IF(OR($F1251="",$P1251="支払なし",$H1251=0,$Q1251=""),"",$Q1251&amp;"|S|"&amp;(COUNTIF(S$4:S1250,$Q1251&amp;"|S|*")+1))</f>
        <v/>
      </c>
      <c r="T1251" s="769" t="str">
        <f>IF(OR($F1251="",$P1251="支払なし",$R1251=0,$Q1251=""),"",$Q1251&amp;"|L|"&amp;(COUNTIF(T$4:T1250,$Q1251&amp;"|L|*")+1))</f>
        <v/>
      </c>
      <c r="U1251" s="769" t="str">
        <f>IF($F1251="","",13)</f>
        <v/>
      </c>
    </row>
    <row r="1252" ht="16.5" customHeight="1" s="186">
      <c r="A1252" s="760" t="n"/>
      <c r="B1252" s="760" t="n"/>
      <c r="C1252" s="762" t="n"/>
      <c r="D1252" s="762" t="n"/>
      <c r="E1252" s="775" t="n"/>
      <c r="F1252" s="821" t="n"/>
      <c r="G1252" s="821" t="n"/>
      <c r="H1252" s="818">
        <f>IF(G1252=1,F1252-I1252-J1252-K1252,IF(G1252=2,F1252,0))</f>
        <v>0</v>
      </c>
      <c r="I1252" s="818">
        <f>ROUND(IF(G1252=1,F1252*10/23,IF(G1252=3,F1252-J1252-K1252,IF(G1252=4,F1252,IF(G1252=5,F1252*10/11,IF(G1252=7,F1252*10/11,0))))),0)</f>
        <v>0</v>
      </c>
      <c r="J1252" s="818">
        <f>ROUND(IF(G1252=1,F1252/23,IF(G1252=3,F1252/12,IF(G1252=5,F1252-I1252,IF(G1252=8,F1252,0)))),0)</f>
        <v>0</v>
      </c>
      <c r="K1252" s="819">
        <f>ROUND(IF(G1252=1,F1252/23,IF(G1252=3,F1252/12,IF(G1252=6,F1252,IF(G1252=7,F1252-I1252,0)))),0)</f>
        <v>0</v>
      </c>
      <c r="L1252" s="820">
        <f>IF(G1252=6,F1252,0)</f>
        <v>0</v>
      </c>
      <c r="P1252" s="768" t="n"/>
      <c r="Q1252" s="769" t="str">
        <f>IF($F1252="","",IFERROR(VLOOKUP($C1252&amp;"|"&amp;$D1252,科目表!$A$5:$B$200,2,FALSE),"※未登録"))</f>
        <v/>
      </c>
      <c r="R1252" s="769" t="str">
        <f>IF($F1252="","",$I1252+$J1252+$K1252)</f>
        <v/>
      </c>
      <c r="S1252" s="769" t="str">
        <f>IF(OR($F1252="",$P1252="支払なし",$H1252=0,$Q1252=""),"",$Q1252&amp;"|S|"&amp;(COUNTIF(S$4:S1251,$Q1252&amp;"|S|*")+1))</f>
        <v/>
      </c>
      <c r="T1252" s="769" t="str">
        <f>IF(OR($F1252="",$P1252="支払なし",$R1252=0,$Q1252=""),"",$Q1252&amp;"|L|"&amp;(COUNTIF(T$4:T1251,$Q1252&amp;"|L|*")+1))</f>
        <v/>
      </c>
      <c r="U1252" s="769" t="str">
        <f>IF($F1252="","",13)</f>
        <v/>
      </c>
    </row>
    <row r="1253" ht="16.5" customHeight="1" s="186">
      <c r="A1253" s="760" t="n"/>
      <c r="B1253" s="760" t="n"/>
      <c r="C1253" s="762" t="n"/>
      <c r="D1253" s="762" t="n"/>
      <c r="E1253" s="775" t="n"/>
      <c r="F1253" s="821" t="n"/>
      <c r="G1253" s="821" t="n"/>
      <c r="H1253" s="818">
        <f>IF(G1253=1,F1253-I1253-J1253-K1253,IF(G1253=2,F1253,0))</f>
        <v>0</v>
      </c>
      <c r="I1253" s="818">
        <f>ROUND(IF(G1253=1,F1253*10/23,IF(G1253=3,F1253-J1253-K1253,IF(G1253=4,F1253,IF(G1253=5,F1253*10/11,IF(G1253=7,F1253*10/11,0))))),0)</f>
        <v>0</v>
      </c>
      <c r="J1253" s="818">
        <f>ROUND(IF(G1253=1,F1253/23,IF(G1253=3,F1253/12,IF(G1253=5,F1253-I1253,IF(G1253=8,F1253,0)))),0)</f>
        <v>0</v>
      </c>
      <c r="K1253" s="819">
        <f>ROUND(IF(G1253=1,F1253/23,IF(G1253=3,F1253/12,IF(G1253=6,F1253,IF(G1253=7,F1253-I1253,0)))),0)</f>
        <v>0</v>
      </c>
      <c r="L1253" s="820">
        <f>IF(G1253=6,F1253,0)</f>
        <v>0</v>
      </c>
      <c r="P1253" s="768" t="n"/>
      <c r="Q1253" s="769" t="str">
        <f>IF($F1253="","",IFERROR(VLOOKUP($C1253&amp;"|"&amp;$D1253,科目表!$A$5:$B$200,2,FALSE),"※未登録"))</f>
        <v/>
      </c>
      <c r="R1253" s="769" t="str">
        <f>IF($F1253="","",$I1253+$J1253+$K1253)</f>
        <v/>
      </c>
      <c r="S1253" s="769" t="str">
        <f>IF(OR($F1253="",$P1253="支払なし",$H1253=0,$Q1253=""),"",$Q1253&amp;"|S|"&amp;(COUNTIF(S$4:S1252,$Q1253&amp;"|S|*")+1))</f>
        <v/>
      </c>
      <c r="T1253" s="769" t="str">
        <f>IF(OR($F1253="",$P1253="支払なし",$R1253=0,$Q1253=""),"",$Q1253&amp;"|L|"&amp;(COUNTIF(T$4:T1252,$Q1253&amp;"|L|*")+1))</f>
        <v/>
      </c>
      <c r="U1253" s="769" t="str">
        <f>IF($F1253="","",13)</f>
        <v/>
      </c>
    </row>
    <row r="1254" ht="16.5" customHeight="1" s="186">
      <c r="A1254" s="760" t="n"/>
      <c r="B1254" s="760" t="n"/>
      <c r="C1254" s="762" t="n"/>
      <c r="D1254" s="762" t="n"/>
      <c r="E1254" s="775" t="n"/>
      <c r="F1254" s="821" t="n"/>
      <c r="G1254" s="821" t="n"/>
      <c r="H1254" s="818">
        <f>IF(G1254=1,F1254-I1254-J1254-K1254,IF(G1254=2,F1254,0))</f>
        <v>0</v>
      </c>
      <c r="I1254" s="818">
        <f>ROUND(IF(G1254=1,F1254*10/23,IF(G1254=3,F1254-J1254-K1254,IF(G1254=4,F1254,IF(G1254=5,F1254*10/11,IF(G1254=7,F1254*10/11,0))))),0)</f>
        <v>0</v>
      </c>
      <c r="J1254" s="818">
        <f>ROUND(IF(G1254=1,F1254/23,IF(G1254=3,F1254/12,IF(G1254=5,F1254-I1254,IF(G1254=8,F1254,0)))),0)</f>
        <v>0</v>
      </c>
      <c r="K1254" s="819">
        <f>ROUND(IF(G1254=1,F1254/23,IF(G1254=3,F1254/12,IF(G1254=6,F1254,IF(G1254=7,F1254-I1254,0)))),0)</f>
        <v>0</v>
      </c>
      <c r="L1254" s="820">
        <f>IF(G1254=6,F1254,0)</f>
        <v>0</v>
      </c>
      <c r="P1254" s="768" t="n"/>
      <c r="Q1254" s="769" t="str">
        <f>IF($F1254="","",IFERROR(VLOOKUP($C1254&amp;"|"&amp;$D1254,科目表!$A$5:$B$200,2,FALSE),"※未登録"))</f>
        <v/>
      </c>
      <c r="R1254" s="769" t="str">
        <f>IF($F1254="","",$I1254+$J1254+$K1254)</f>
        <v/>
      </c>
      <c r="S1254" s="769" t="str">
        <f>IF(OR($F1254="",$P1254="支払なし",$H1254=0,$Q1254=""),"",$Q1254&amp;"|S|"&amp;(COUNTIF(S$4:S1253,$Q1254&amp;"|S|*")+1))</f>
        <v/>
      </c>
      <c r="T1254" s="769" t="str">
        <f>IF(OR($F1254="",$P1254="支払なし",$R1254=0,$Q1254=""),"",$Q1254&amp;"|L|"&amp;(COUNTIF(T$4:T1253,$Q1254&amp;"|L|*")+1))</f>
        <v/>
      </c>
      <c r="U1254" s="769" t="str">
        <f>IF($F1254="","",13)</f>
        <v/>
      </c>
    </row>
    <row r="1255" ht="16.5" customHeight="1" s="186">
      <c r="A1255" s="760" t="n"/>
      <c r="B1255" s="760" t="n"/>
      <c r="C1255" s="762" t="n"/>
      <c r="D1255" s="762" t="n"/>
      <c r="E1255" s="775" t="n"/>
      <c r="F1255" s="821" t="n"/>
      <c r="G1255" s="821" t="n"/>
      <c r="H1255" s="818">
        <f>IF(G1255=1,F1255-I1255-J1255-K1255,IF(G1255=2,F1255,0))</f>
        <v>0</v>
      </c>
      <c r="I1255" s="818">
        <f>ROUND(IF(G1255=1,F1255*10/23,IF(G1255=3,F1255-J1255-K1255,IF(G1255=4,F1255,IF(G1255=5,F1255*10/11,IF(G1255=7,F1255*10/11,0))))),0)</f>
        <v>0</v>
      </c>
      <c r="J1255" s="818">
        <f>ROUND(IF(G1255=1,F1255/23,IF(G1255=3,F1255/12,IF(G1255=5,F1255-I1255,IF(G1255=8,F1255,0)))),0)</f>
        <v>0</v>
      </c>
      <c r="K1255" s="819">
        <f>ROUND(IF(G1255=1,F1255/23,IF(G1255=3,F1255/12,IF(G1255=6,F1255,IF(G1255=7,F1255-I1255,0)))),0)</f>
        <v>0</v>
      </c>
      <c r="L1255" s="820">
        <f>IF(G1255=6,F1255,0)</f>
        <v>0</v>
      </c>
      <c r="P1255" s="768" t="n"/>
      <c r="Q1255" s="769" t="str">
        <f>IF($F1255="","",IFERROR(VLOOKUP($C1255&amp;"|"&amp;$D1255,科目表!$A$5:$B$200,2,FALSE),"※未登録"))</f>
        <v/>
      </c>
      <c r="R1255" s="769" t="str">
        <f>IF($F1255="","",$I1255+$J1255+$K1255)</f>
        <v/>
      </c>
      <c r="S1255" s="769" t="str">
        <f>IF(OR($F1255="",$P1255="支払なし",$H1255=0,$Q1255=""),"",$Q1255&amp;"|S|"&amp;(COUNTIF(S$4:S1254,$Q1255&amp;"|S|*")+1))</f>
        <v/>
      </c>
      <c r="T1255" s="769" t="str">
        <f>IF(OR($F1255="",$P1255="支払なし",$R1255=0,$Q1255=""),"",$Q1255&amp;"|L|"&amp;(COUNTIF(T$4:T1254,$Q1255&amp;"|L|*")+1))</f>
        <v/>
      </c>
      <c r="U1255" s="769" t="str">
        <f>IF($F1255="","",13)</f>
        <v/>
      </c>
    </row>
    <row r="1256" ht="16.5" customHeight="1" s="186">
      <c r="A1256" s="760" t="n"/>
      <c r="B1256" s="760" t="n"/>
      <c r="C1256" s="762" t="n"/>
      <c r="D1256" s="762" t="n"/>
      <c r="E1256" s="775" t="n"/>
      <c r="F1256" s="821" t="n"/>
      <c r="G1256" s="821" t="n"/>
      <c r="H1256" s="818">
        <f>IF(G1256=1,F1256-I1256-J1256-K1256,IF(G1256=2,F1256,0))</f>
        <v>0</v>
      </c>
      <c r="I1256" s="818">
        <f>ROUND(IF(G1256=1,F1256*10/23,IF(G1256=3,F1256-J1256-K1256,IF(G1256=4,F1256,IF(G1256=5,F1256*10/11,IF(G1256=7,F1256*10/11,0))))),0)</f>
        <v>0</v>
      </c>
      <c r="J1256" s="818">
        <f>ROUND(IF(G1256=1,F1256/23,IF(G1256=3,F1256/12,IF(G1256=5,F1256-I1256,IF(G1256=8,F1256,0)))),0)</f>
        <v>0</v>
      </c>
      <c r="K1256" s="819">
        <f>ROUND(IF(G1256=1,F1256/23,IF(G1256=3,F1256/12,IF(G1256=6,F1256,IF(G1256=7,F1256-I1256,0)))),0)</f>
        <v>0</v>
      </c>
      <c r="L1256" s="820">
        <f>IF(G1256=6,F1256,0)</f>
        <v>0</v>
      </c>
      <c r="P1256" s="768" t="n"/>
      <c r="Q1256" s="769" t="str">
        <f>IF($F1256="","",IFERROR(VLOOKUP($C1256&amp;"|"&amp;$D1256,科目表!$A$5:$B$200,2,FALSE),"※未登録"))</f>
        <v/>
      </c>
      <c r="R1256" s="769" t="str">
        <f>IF($F1256="","",$I1256+$J1256+$K1256)</f>
        <v/>
      </c>
      <c r="S1256" s="769" t="str">
        <f>IF(OR($F1256="",$P1256="支払なし",$H1256=0,$Q1256=""),"",$Q1256&amp;"|S|"&amp;(COUNTIF(S$4:S1255,$Q1256&amp;"|S|*")+1))</f>
        <v/>
      </c>
      <c r="T1256" s="769" t="str">
        <f>IF(OR($F1256="",$P1256="支払なし",$R1256=0,$Q1256=""),"",$Q1256&amp;"|L|"&amp;(COUNTIF(T$4:T1255,$Q1256&amp;"|L|*")+1))</f>
        <v/>
      </c>
      <c r="U1256" s="769" t="str">
        <f>IF($F1256="","",13)</f>
        <v/>
      </c>
    </row>
    <row r="1257" ht="16.5" customHeight="1" s="186">
      <c r="A1257" s="760" t="n"/>
      <c r="B1257" s="760" t="n"/>
      <c r="C1257" s="762" t="n"/>
      <c r="D1257" s="762" t="n"/>
      <c r="E1257" s="775" t="n"/>
      <c r="F1257" s="821" t="n"/>
      <c r="G1257" s="821" t="n"/>
      <c r="H1257" s="818">
        <f>IF(G1257=1,F1257-I1257-J1257-K1257,IF(G1257=2,F1257,0))</f>
        <v>0</v>
      </c>
      <c r="I1257" s="818">
        <f>ROUND(IF(G1257=1,F1257*10/23,IF(G1257=3,F1257-J1257-K1257,IF(G1257=4,F1257,IF(G1257=5,F1257*10/11,IF(G1257=7,F1257*10/11,0))))),0)</f>
        <v>0</v>
      </c>
      <c r="J1257" s="818">
        <f>ROUND(IF(G1257=1,F1257/23,IF(G1257=3,F1257/12,IF(G1257=5,F1257-I1257,IF(G1257=8,F1257,0)))),0)</f>
        <v>0</v>
      </c>
      <c r="K1257" s="819">
        <f>ROUND(IF(G1257=1,F1257/23,IF(G1257=3,F1257/12,IF(G1257=6,F1257,IF(G1257=7,F1257-I1257,0)))),0)</f>
        <v>0</v>
      </c>
      <c r="L1257" s="820">
        <f>IF(G1257=6,F1257,0)</f>
        <v>0</v>
      </c>
      <c r="P1257" s="768" t="n"/>
      <c r="Q1257" s="769" t="str">
        <f>IF($F1257="","",IFERROR(VLOOKUP($C1257&amp;"|"&amp;$D1257,科目表!$A$5:$B$200,2,FALSE),"※未登録"))</f>
        <v/>
      </c>
      <c r="R1257" s="769" t="str">
        <f>IF($F1257="","",$I1257+$J1257+$K1257)</f>
        <v/>
      </c>
      <c r="S1257" s="769" t="str">
        <f>IF(OR($F1257="",$P1257="支払なし",$H1257=0,$Q1257=""),"",$Q1257&amp;"|S|"&amp;(COUNTIF(S$4:S1256,$Q1257&amp;"|S|*")+1))</f>
        <v/>
      </c>
      <c r="T1257" s="769" t="str">
        <f>IF(OR($F1257="",$P1257="支払なし",$R1257=0,$Q1257=""),"",$Q1257&amp;"|L|"&amp;(COUNTIF(T$4:T1256,$Q1257&amp;"|L|*")+1))</f>
        <v/>
      </c>
      <c r="U1257" s="769" t="str">
        <f>IF($F1257="","",13)</f>
        <v/>
      </c>
    </row>
    <row r="1258" ht="16.5" customHeight="1" s="186">
      <c r="A1258" s="760" t="n"/>
      <c r="B1258" s="760" t="n"/>
      <c r="C1258" s="762" t="n"/>
      <c r="D1258" s="762" t="n"/>
      <c r="E1258" s="775" t="n"/>
      <c r="F1258" s="821" t="n"/>
      <c r="G1258" s="821" t="n"/>
      <c r="H1258" s="818">
        <f>IF(G1258=1,F1258-I1258-J1258-K1258,IF(G1258=2,F1258,0))</f>
        <v>0</v>
      </c>
      <c r="I1258" s="818">
        <f>ROUND(IF(G1258=1,F1258*10/23,IF(G1258=3,F1258-J1258-K1258,IF(G1258=4,F1258,IF(G1258=5,F1258*10/11,IF(G1258=7,F1258*10/11,0))))),0)</f>
        <v>0</v>
      </c>
      <c r="J1258" s="818">
        <f>ROUND(IF(G1258=1,F1258/23,IF(G1258=3,F1258/12,IF(G1258=5,F1258-I1258,IF(G1258=8,F1258,0)))),0)</f>
        <v>0</v>
      </c>
      <c r="K1258" s="819">
        <f>ROUND(IF(G1258=1,F1258/23,IF(G1258=3,F1258/12,IF(G1258=6,F1258,IF(G1258=7,F1258-I1258,0)))),0)</f>
        <v>0</v>
      </c>
      <c r="L1258" s="820">
        <f>IF(G1258=6,F1258,0)</f>
        <v>0</v>
      </c>
      <c r="P1258" s="768" t="n"/>
      <c r="Q1258" s="769" t="str">
        <f>IF($F1258="","",IFERROR(VLOOKUP($C1258&amp;"|"&amp;$D1258,科目表!$A$5:$B$200,2,FALSE),"※未登録"))</f>
        <v/>
      </c>
      <c r="R1258" s="769" t="str">
        <f>IF($F1258="","",$I1258+$J1258+$K1258)</f>
        <v/>
      </c>
      <c r="S1258" s="769" t="str">
        <f>IF(OR($F1258="",$P1258="支払なし",$H1258=0,$Q1258=""),"",$Q1258&amp;"|S|"&amp;(COUNTIF(S$4:S1257,$Q1258&amp;"|S|*")+1))</f>
        <v/>
      </c>
      <c r="T1258" s="769" t="str">
        <f>IF(OR($F1258="",$P1258="支払なし",$R1258=0,$Q1258=""),"",$Q1258&amp;"|L|"&amp;(COUNTIF(T$4:T1257,$Q1258&amp;"|L|*")+1))</f>
        <v/>
      </c>
      <c r="U1258" s="769" t="str">
        <f>IF($F1258="","",13)</f>
        <v/>
      </c>
    </row>
    <row r="1259" ht="16.5" customHeight="1" s="186">
      <c r="A1259" s="760" t="n"/>
      <c r="B1259" s="760" t="n"/>
      <c r="C1259" s="762" t="n"/>
      <c r="D1259" s="762" t="n"/>
      <c r="E1259" s="775" t="n"/>
      <c r="F1259" s="821" t="n"/>
      <c r="G1259" s="821" t="n"/>
      <c r="H1259" s="818">
        <f>IF(G1259=1,F1259-I1259-J1259-K1259,IF(G1259=2,F1259,0))</f>
        <v>0</v>
      </c>
      <c r="I1259" s="818">
        <f>ROUND(IF(G1259=1,F1259*10/23,IF(G1259=3,F1259-J1259-K1259,IF(G1259=4,F1259,IF(G1259=5,F1259*10/11,IF(G1259=7,F1259*10/11,0))))),0)</f>
        <v>0</v>
      </c>
      <c r="J1259" s="818">
        <f>ROUND(IF(G1259=1,F1259/23,IF(G1259=3,F1259/12,IF(G1259=5,F1259-I1259,IF(G1259=8,F1259,0)))),0)</f>
        <v>0</v>
      </c>
      <c r="K1259" s="819">
        <f>ROUND(IF(G1259=1,F1259/23,IF(G1259=3,F1259/12,IF(G1259=6,F1259,IF(G1259=7,F1259-I1259,0)))),0)</f>
        <v>0</v>
      </c>
      <c r="L1259" s="820">
        <f>IF(G1259=6,F1259,0)</f>
        <v>0</v>
      </c>
      <c r="P1259" s="768" t="n"/>
      <c r="Q1259" s="769" t="str">
        <f>IF($F1259="","",IFERROR(VLOOKUP($C1259&amp;"|"&amp;$D1259,科目表!$A$5:$B$200,2,FALSE),"※未登録"))</f>
        <v/>
      </c>
      <c r="R1259" s="769" t="str">
        <f>IF($F1259="","",$I1259+$J1259+$K1259)</f>
        <v/>
      </c>
      <c r="S1259" s="769" t="str">
        <f>IF(OR($F1259="",$P1259="支払なし",$H1259=0,$Q1259=""),"",$Q1259&amp;"|S|"&amp;(COUNTIF(S$4:S1258,$Q1259&amp;"|S|*")+1))</f>
        <v/>
      </c>
      <c r="T1259" s="769" t="str">
        <f>IF(OR($F1259="",$P1259="支払なし",$R1259=0,$Q1259=""),"",$Q1259&amp;"|L|"&amp;(COUNTIF(T$4:T1258,$Q1259&amp;"|L|*")+1))</f>
        <v/>
      </c>
      <c r="U1259" s="769" t="str">
        <f>IF($F1259="","",13)</f>
        <v/>
      </c>
    </row>
    <row r="1260" ht="16.5" customHeight="1" s="186">
      <c r="A1260" s="760" t="n"/>
      <c r="B1260" s="760" t="n"/>
      <c r="C1260" s="762" t="n"/>
      <c r="D1260" s="762" t="n"/>
      <c r="E1260" s="775" t="n"/>
      <c r="F1260" s="821" t="n"/>
      <c r="G1260" s="821" t="n"/>
      <c r="H1260" s="818">
        <f>IF(G1260=1,F1260-I1260-J1260-K1260,IF(G1260=2,F1260,0))</f>
        <v>0</v>
      </c>
      <c r="I1260" s="818">
        <f>ROUND(IF(G1260=1,F1260*10/23,IF(G1260=3,F1260-J1260-K1260,IF(G1260=4,F1260,IF(G1260=5,F1260*10/11,IF(G1260=7,F1260*10/11,0))))),0)</f>
        <v>0</v>
      </c>
      <c r="J1260" s="818">
        <f>ROUND(IF(G1260=1,F1260/23,IF(G1260=3,F1260/12,IF(G1260=5,F1260-I1260,IF(G1260=8,F1260,0)))),0)</f>
        <v>0</v>
      </c>
      <c r="K1260" s="819">
        <f>ROUND(IF(G1260=1,F1260/23,IF(G1260=3,F1260/12,IF(G1260=6,F1260,IF(G1260=7,F1260-I1260,0)))),0)</f>
        <v>0</v>
      </c>
      <c r="L1260" s="820">
        <f>IF(G1260=6,F1260,0)</f>
        <v>0</v>
      </c>
      <c r="P1260" s="768" t="n"/>
      <c r="Q1260" s="769" t="str">
        <f>IF($F1260="","",IFERROR(VLOOKUP($C1260&amp;"|"&amp;$D1260,科目表!$A$5:$B$200,2,FALSE),"※未登録"))</f>
        <v/>
      </c>
      <c r="R1260" s="769" t="str">
        <f>IF($F1260="","",$I1260+$J1260+$K1260)</f>
        <v/>
      </c>
      <c r="S1260" s="769" t="str">
        <f>IF(OR($F1260="",$P1260="支払なし",$H1260=0,$Q1260=""),"",$Q1260&amp;"|S|"&amp;(COUNTIF(S$4:S1259,$Q1260&amp;"|S|*")+1))</f>
        <v/>
      </c>
      <c r="T1260" s="769" t="str">
        <f>IF(OR($F1260="",$P1260="支払なし",$R1260=0,$Q1260=""),"",$Q1260&amp;"|L|"&amp;(COUNTIF(T$4:T1259,$Q1260&amp;"|L|*")+1))</f>
        <v/>
      </c>
      <c r="U1260" s="769" t="str">
        <f>IF($F1260="","",13)</f>
        <v/>
      </c>
    </row>
    <row r="1261" ht="16.5" customHeight="1" s="186">
      <c r="A1261" s="760" t="n"/>
      <c r="B1261" s="760" t="n"/>
      <c r="C1261" s="762" t="n"/>
      <c r="D1261" s="762" t="n"/>
      <c r="E1261" s="775" t="n"/>
      <c r="F1261" s="821" t="n"/>
      <c r="G1261" s="821" t="n"/>
      <c r="H1261" s="818">
        <f>IF(G1261=1,F1261-I1261-J1261-K1261,IF(G1261=2,F1261,0))</f>
        <v>0</v>
      </c>
      <c r="I1261" s="818">
        <f>ROUND(IF(G1261=1,F1261*10/23,IF(G1261=3,F1261-J1261-K1261,IF(G1261=4,F1261,IF(G1261=5,F1261*10/11,IF(G1261=7,F1261*10/11,0))))),0)</f>
        <v>0</v>
      </c>
      <c r="J1261" s="818">
        <f>ROUND(IF(G1261=1,F1261/23,IF(G1261=3,F1261/12,IF(G1261=5,F1261-I1261,IF(G1261=8,F1261,0)))),0)</f>
        <v>0</v>
      </c>
      <c r="K1261" s="819">
        <f>ROUND(IF(G1261=1,F1261/23,IF(G1261=3,F1261/12,IF(G1261=6,F1261,IF(G1261=7,F1261-I1261,0)))),0)</f>
        <v>0</v>
      </c>
      <c r="L1261" s="820">
        <f>IF(G1261=6,F1261,0)</f>
        <v>0</v>
      </c>
      <c r="P1261" s="768" t="n"/>
      <c r="Q1261" s="769" t="str">
        <f>IF($F1261="","",IFERROR(VLOOKUP($C1261&amp;"|"&amp;$D1261,科目表!$A$5:$B$200,2,FALSE),"※未登録"))</f>
        <v/>
      </c>
      <c r="R1261" s="769" t="str">
        <f>IF($F1261="","",$I1261+$J1261+$K1261)</f>
        <v/>
      </c>
      <c r="S1261" s="769" t="str">
        <f>IF(OR($F1261="",$P1261="支払なし",$H1261=0,$Q1261=""),"",$Q1261&amp;"|S|"&amp;(COUNTIF(S$4:S1260,$Q1261&amp;"|S|*")+1))</f>
        <v/>
      </c>
      <c r="T1261" s="769" t="str">
        <f>IF(OR($F1261="",$P1261="支払なし",$R1261=0,$Q1261=""),"",$Q1261&amp;"|L|"&amp;(COUNTIF(T$4:T1260,$Q1261&amp;"|L|*")+1))</f>
        <v/>
      </c>
      <c r="U1261" s="769" t="str">
        <f>IF($F1261="","",13)</f>
        <v/>
      </c>
    </row>
    <row r="1262" ht="16.5" customHeight="1" s="186">
      <c r="A1262" s="760" t="n"/>
      <c r="B1262" s="760" t="n"/>
      <c r="C1262" s="762" t="n"/>
      <c r="D1262" s="762" t="n"/>
      <c r="E1262" s="775" t="n"/>
      <c r="F1262" s="821" t="n"/>
      <c r="G1262" s="821" t="n"/>
      <c r="H1262" s="818">
        <f>IF(G1262=1,F1262-I1262-J1262-K1262,IF(G1262=2,F1262,0))</f>
        <v>0</v>
      </c>
      <c r="I1262" s="818">
        <f>ROUND(IF(G1262=1,F1262*10/23,IF(G1262=3,F1262-J1262-K1262,IF(G1262=4,F1262,IF(G1262=5,F1262*10/11,IF(G1262=7,F1262*10/11,0))))),0)</f>
        <v>0</v>
      </c>
      <c r="J1262" s="818">
        <f>ROUND(IF(G1262=1,F1262/23,IF(G1262=3,F1262/12,IF(G1262=5,F1262-I1262,IF(G1262=8,F1262,0)))),0)</f>
        <v>0</v>
      </c>
      <c r="K1262" s="819">
        <f>ROUND(IF(G1262=1,F1262/23,IF(G1262=3,F1262/12,IF(G1262=6,F1262,IF(G1262=7,F1262-I1262,0)))),0)</f>
        <v>0</v>
      </c>
      <c r="L1262" s="820">
        <f>IF(G1262=6,F1262,0)</f>
        <v>0</v>
      </c>
      <c r="P1262" s="768" t="n"/>
      <c r="Q1262" s="769" t="str">
        <f>IF($F1262="","",IFERROR(VLOOKUP($C1262&amp;"|"&amp;$D1262,科目表!$A$5:$B$200,2,FALSE),"※未登録"))</f>
        <v/>
      </c>
      <c r="R1262" s="769" t="str">
        <f>IF($F1262="","",$I1262+$J1262+$K1262)</f>
        <v/>
      </c>
      <c r="S1262" s="769" t="str">
        <f>IF(OR($F1262="",$P1262="支払なし",$H1262=0,$Q1262=""),"",$Q1262&amp;"|S|"&amp;(COUNTIF(S$4:S1261,$Q1262&amp;"|S|*")+1))</f>
        <v/>
      </c>
      <c r="T1262" s="769" t="str">
        <f>IF(OR($F1262="",$P1262="支払なし",$R1262=0,$Q1262=""),"",$Q1262&amp;"|L|"&amp;(COUNTIF(T$4:T1261,$Q1262&amp;"|L|*")+1))</f>
        <v/>
      </c>
      <c r="U1262" s="769" t="str">
        <f>IF($F1262="","",13)</f>
        <v/>
      </c>
    </row>
    <row r="1263" ht="16.5" customHeight="1" s="186">
      <c r="A1263" s="760" t="n"/>
      <c r="B1263" s="760" t="n"/>
      <c r="C1263" s="762" t="n"/>
      <c r="D1263" s="762" t="n"/>
      <c r="E1263" s="775" t="n"/>
      <c r="F1263" s="821" t="n"/>
      <c r="G1263" s="821" t="n"/>
      <c r="H1263" s="818">
        <f>IF(G1263=1,F1263-I1263-J1263-K1263,IF(G1263=2,F1263,0))</f>
        <v>0</v>
      </c>
      <c r="I1263" s="818">
        <f>ROUND(IF(G1263=1,F1263*10/23,IF(G1263=3,F1263-J1263-K1263,IF(G1263=4,F1263,IF(G1263=5,F1263*10/11,IF(G1263=7,F1263*10/11,0))))),0)</f>
        <v>0</v>
      </c>
      <c r="J1263" s="818">
        <f>ROUND(IF(G1263=1,F1263/23,IF(G1263=3,F1263/12,IF(G1263=5,F1263-I1263,IF(G1263=8,F1263,0)))),0)</f>
        <v>0</v>
      </c>
      <c r="K1263" s="819">
        <f>ROUND(IF(G1263=1,F1263/23,IF(G1263=3,F1263/12,IF(G1263=6,F1263,IF(G1263=7,F1263-I1263,0)))),0)</f>
        <v>0</v>
      </c>
      <c r="L1263" s="820">
        <f>IF(G1263=6,F1263,0)</f>
        <v>0</v>
      </c>
      <c r="P1263" s="768" t="n"/>
      <c r="Q1263" s="769" t="str">
        <f>IF($F1263="","",IFERROR(VLOOKUP($C1263&amp;"|"&amp;$D1263,科目表!$A$5:$B$200,2,FALSE),"※未登録"))</f>
        <v/>
      </c>
      <c r="R1263" s="769" t="str">
        <f>IF($F1263="","",$I1263+$J1263+$K1263)</f>
        <v/>
      </c>
      <c r="S1263" s="769" t="str">
        <f>IF(OR($F1263="",$P1263="支払なし",$H1263=0,$Q1263=""),"",$Q1263&amp;"|S|"&amp;(COUNTIF(S$4:S1262,$Q1263&amp;"|S|*")+1))</f>
        <v/>
      </c>
      <c r="T1263" s="769" t="str">
        <f>IF(OR($F1263="",$P1263="支払なし",$R1263=0,$Q1263=""),"",$Q1263&amp;"|L|"&amp;(COUNTIF(T$4:T1262,$Q1263&amp;"|L|*")+1))</f>
        <v/>
      </c>
      <c r="U1263" s="769" t="str">
        <f>IF($F1263="","",13)</f>
        <v/>
      </c>
    </row>
    <row r="1264" ht="16.5" customHeight="1" s="186">
      <c r="A1264" s="760" t="n"/>
      <c r="B1264" s="760" t="n"/>
      <c r="C1264" s="762" t="n"/>
      <c r="D1264" s="762" t="n"/>
      <c r="E1264" s="775" t="n"/>
      <c r="F1264" s="821" t="n"/>
      <c r="G1264" s="821" t="n"/>
      <c r="H1264" s="818">
        <f>IF(G1264=1,F1264-I1264-J1264-K1264,IF(G1264=2,F1264,0))</f>
        <v>0</v>
      </c>
      <c r="I1264" s="818">
        <f>ROUND(IF(G1264=1,F1264*10/23,IF(G1264=3,F1264-J1264-K1264,IF(G1264=4,F1264,IF(G1264=5,F1264*10/11,IF(G1264=7,F1264*10/11,0))))),0)</f>
        <v>0</v>
      </c>
      <c r="J1264" s="818">
        <f>ROUND(IF(G1264=1,F1264/23,IF(G1264=3,F1264/12,IF(G1264=5,F1264-I1264,IF(G1264=8,F1264,0)))),0)</f>
        <v>0</v>
      </c>
      <c r="K1264" s="819">
        <f>ROUND(IF(G1264=1,F1264/23,IF(G1264=3,F1264/12,IF(G1264=6,F1264,IF(G1264=7,F1264-I1264,0)))),0)</f>
        <v>0</v>
      </c>
      <c r="L1264" s="820">
        <f>IF(G1264=6,F1264,0)</f>
        <v>0</v>
      </c>
      <c r="P1264" s="768" t="n"/>
      <c r="Q1264" s="769" t="str">
        <f>IF($F1264="","",IFERROR(VLOOKUP($C1264&amp;"|"&amp;$D1264,科目表!$A$5:$B$200,2,FALSE),"※未登録"))</f>
        <v/>
      </c>
      <c r="R1264" s="769" t="str">
        <f>IF($F1264="","",$I1264+$J1264+$K1264)</f>
        <v/>
      </c>
      <c r="S1264" s="769" t="str">
        <f>IF(OR($F1264="",$P1264="支払なし",$H1264=0,$Q1264=""),"",$Q1264&amp;"|S|"&amp;(COUNTIF(S$4:S1263,$Q1264&amp;"|S|*")+1))</f>
        <v/>
      </c>
      <c r="T1264" s="769" t="str">
        <f>IF(OR($F1264="",$P1264="支払なし",$R1264=0,$Q1264=""),"",$Q1264&amp;"|L|"&amp;(COUNTIF(T$4:T1263,$Q1264&amp;"|L|*")+1))</f>
        <v/>
      </c>
      <c r="U1264" s="769" t="str">
        <f>IF($F1264="","",13)</f>
        <v/>
      </c>
    </row>
    <row r="1265" ht="16.5" customHeight="1" s="186">
      <c r="A1265" s="760" t="n"/>
      <c r="B1265" s="760" t="n"/>
      <c r="C1265" s="762" t="n"/>
      <c r="D1265" s="762" t="n"/>
      <c r="E1265" s="775" t="n"/>
      <c r="F1265" s="821" t="n"/>
      <c r="G1265" s="821" t="n"/>
      <c r="H1265" s="818">
        <f>IF(G1265=1,F1265-I1265-J1265-K1265,IF(G1265=2,F1265,0))</f>
        <v>0</v>
      </c>
      <c r="I1265" s="818">
        <f>ROUND(IF(G1265=1,F1265*10/23,IF(G1265=3,F1265-J1265-K1265,IF(G1265=4,F1265,IF(G1265=5,F1265*10/11,IF(G1265=7,F1265*10/11,0))))),0)</f>
        <v>0</v>
      </c>
      <c r="J1265" s="818">
        <f>ROUND(IF(G1265=1,F1265/23,IF(G1265=3,F1265/12,IF(G1265=5,F1265-I1265,IF(G1265=8,F1265,0)))),0)</f>
        <v>0</v>
      </c>
      <c r="K1265" s="819">
        <f>ROUND(IF(G1265=1,F1265/23,IF(G1265=3,F1265/12,IF(G1265=6,F1265,IF(G1265=7,F1265-I1265,0)))),0)</f>
        <v>0</v>
      </c>
      <c r="L1265" s="820">
        <f>IF(G1265=6,F1265,0)</f>
        <v>0</v>
      </c>
      <c r="P1265" s="768" t="n"/>
      <c r="Q1265" s="769" t="str">
        <f>IF($F1265="","",IFERROR(VLOOKUP($C1265&amp;"|"&amp;$D1265,科目表!$A$5:$B$200,2,FALSE),"※未登録"))</f>
        <v/>
      </c>
      <c r="R1265" s="769" t="str">
        <f>IF($F1265="","",$I1265+$J1265+$K1265)</f>
        <v/>
      </c>
      <c r="S1265" s="769" t="str">
        <f>IF(OR($F1265="",$P1265="支払なし",$H1265=0,$Q1265=""),"",$Q1265&amp;"|S|"&amp;(COUNTIF(S$4:S1264,$Q1265&amp;"|S|*")+1))</f>
        <v/>
      </c>
      <c r="T1265" s="769" t="str">
        <f>IF(OR($F1265="",$P1265="支払なし",$R1265=0,$Q1265=""),"",$Q1265&amp;"|L|"&amp;(COUNTIF(T$4:T1264,$Q1265&amp;"|L|*")+1))</f>
        <v/>
      </c>
      <c r="U1265" s="769" t="str">
        <f>IF($F1265="","",13)</f>
        <v/>
      </c>
    </row>
    <row r="1266" ht="16.5" customHeight="1" s="186">
      <c r="A1266" s="760" t="n"/>
      <c r="B1266" s="760" t="n"/>
      <c r="C1266" s="762" t="n"/>
      <c r="D1266" s="762" t="n"/>
      <c r="E1266" s="775" t="n"/>
      <c r="F1266" s="821" t="n"/>
      <c r="G1266" s="821" t="n"/>
      <c r="H1266" s="818">
        <f>IF(G1266=1,F1266-I1266-J1266-K1266,IF(G1266=2,F1266,0))</f>
        <v>0</v>
      </c>
      <c r="I1266" s="818">
        <f>ROUND(IF(G1266=1,F1266*10/23,IF(G1266=3,F1266-J1266-K1266,IF(G1266=4,F1266,IF(G1266=5,F1266*10/11,IF(G1266=7,F1266*10/11,0))))),0)</f>
        <v>0</v>
      </c>
      <c r="J1266" s="818">
        <f>ROUND(IF(G1266=1,F1266/23,IF(G1266=3,F1266/12,IF(G1266=5,F1266-I1266,IF(G1266=8,F1266,0)))),0)</f>
        <v>0</v>
      </c>
      <c r="K1266" s="819">
        <f>ROUND(IF(G1266=1,F1266/23,IF(G1266=3,F1266/12,IF(G1266=6,F1266,IF(G1266=7,F1266-I1266,0)))),0)</f>
        <v>0</v>
      </c>
      <c r="L1266" s="820">
        <f>IF(G1266=6,F1266,0)</f>
        <v>0</v>
      </c>
      <c r="P1266" s="768" t="n"/>
      <c r="Q1266" s="769" t="str">
        <f>IF($F1266="","",IFERROR(VLOOKUP($C1266&amp;"|"&amp;$D1266,科目表!$A$5:$B$200,2,FALSE),"※未登録"))</f>
        <v/>
      </c>
      <c r="R1266" s="769" t="str">
        <f>IF($F1266="","",$I1266+$J1266+$K1266)</f>
        <v/>
      </c>
      <c r="S1266" s="769" t="str">
        <f>IF(OR($F1266="",$P1266="支払なし",$H1266=0,$Q1266=""),"",$Q1266&amp;"|S|"&amp;(COUNTIF(S$4:S1265,$Q1266&amp;"|S|*")+1))</f>
        <v/>
      </c>
      <c r="T1266" s="769" t="str">
        <f>IF(OR($F1266="",$P1266="支払なし",$R1266=0,$Q1266=""),"",$Q1266&amp;"|L|"&amp;(COUNTIF(T$4:T1265,$Q1266&amp;"|L|*")+1))</f>
        <v/>
      </c>
      <c r="U1266" s="769" t="str">
        <f>IF($F1266="","",13)</f>
        <v/>
      </c>
    </row>
    <row r="1267" ht="16.5" customHeight="1" s="186">
      <c r="A1267" s="760" t="n"/>
      <c r="B1267" s="760" t="n"/>
      <c r="C1267" s="762" t="n"/>
      <c r="D1267" s="762" t="n"/>
      <c r="E1267" s="775" t="n"/>
      <c r="F1267" s="821" t="n"/>
      <c r="G1267" s="821" t="n"/>
      <c r="H1267" s="818">
        <f>IF(G1267=1,F1267-I1267-J1267-K1267,IF(G1267=2,F1267,0))</f>
        <v>0</v>
      </c>
      <c r="I1267" s="818">
        <f>ROUND(IF(G1267=1,F1267*10/23,IF(G1267=3,F1267-J1267-K1267,IF(G1267=4,F1267,IF(G1267=5,F1267*10/11,IF(G1267=7,F1267*10/11,0))))),0)</f>
        <v>0</v>
      </c>
      <c r="J1267" s="818">
        <f>ROUND(IF(G1267=1,F1267/23,IF(G1267=3,F1267/12,IF(G1267=5,F1267-I1267,IF(G1267=8,F1267,0)))),0)</f>
        <v>0</v>
      </c>
      <c r="K1267" s="819">
        <f>ROUND(IF(G1267=1,F1267/23,IF(G1267=3,F1267/12,IF(G1267=6,F1267,IF(G1267=7,F1267-I1267,0)))),0)</f>
        <v>0</v>
      </c>
      <c r="L1267" s="820">
        <f>IF(G1267=6,F1267,0)</f>
        <v>0</v>
      </c>
      <c r="P1267" s="768" t="n"/>
      <c r="Q1267" s="769" t="str">
        <f>IF($F1267="","",IFERROR(VLOOKUP($C1267&amp;"|"&amp;$D1267,科目表!$A$5:$B$200,2,FALSE),"※未登録"))</f>
        <v/>
      </c>
      <c r="R1267" s="769" t="str">
        <f>IF($F1267="","",$I1267+$J1267+$K1267)</f>
        <v/>
      </c>
      <c r="S1267" s="769" t="str">
        <f>IF(OR($F1267="",$P1267="支払なし",$H1267=0,$Q1267=""),"",$Q1267&amp;"|S|"&amp;(COUNTIF(S$4:S1266,$Q1267&amp;"|S|*")+1))</f>
        <v/>
      </c>
      <c r="T1267" s="769" t="str">
        <f>IF(OR($F1267="",$P1267="支払なし",$R1267=0,$Q1267=""),"",$Q1267&amp;"|L|"&amp;(COUNTIF(T$4:T1266,$Q1267&amp;"|L|*")+1))</f>
        <v/>
      </c>
      <c r="U1267" s="769" t="str">
        <f>IF($F1267="","",13)</f>
        <v/>
      </c>
    </row>
    <row r="1268" ht="16.5" customHeight="1" s="186">
      <c r="A1268" s="760" t="n"/>
      <c r="B1268" s="760" t="n"/>
      <c r="C1268" s="762" t="n"/>
      <c r="D1268" s="762" t="n"/>
      <c r="E1268" s="775" t="n"/>
      <c r="F1268" s="821" t="n"/>
      <c r="G1268" s="821" t="n"/>
      <c r="H1268" s="818">
        <f>IF(G1268=1,F1268-I1268-J1268-K1268,IF(G1268=2,F1268,0))</f>
        <v>0</v>
      </c>
      <c r="I1268" s="818">
        <f>ROUND(IF(G1268=1,F1268*10/23,IF(G1268=3,F1268-J1268-K1268,IF(G1268=4,F1268,IF(G1268=5,F1268*10/11,IF(G1268=7,F1268*10/11,0))))),0)</f>
        <v>0</v>
      </c>
      <c r="J1268" s="818">
        <f>ROUND(IF(G1268=1,F1268/23,IF(G1268=3,F1268/12,IF(G1268=5,F1268-I1268,IF(G1268=8,F1268,0)))),0)</f>
        <v>0</v>
      </c>
      <c r="K1268" s="819">
        <f>ROUND(IF(G1268=1,F1268/23,IF(G1268=3,F1268/12,IF(G1268=6,F1268,IF(G1268=7,F1268-I1268,0)))),0)</f>
        <v>0</v>
      </c>
      <c r="L1268" s="820">
        <f>IF(G1268=6,F1268,0)</f>
        <v>0</v>
      </c>
      <c r="P1268" s="768" t="n"/>
      <c r="Q1268" s="769" t="str">
        <f>IF($F1268="","",IFERROR(VLOOKUP($C1268&amp;"|"&amp;$D1268,科目表!$A$5:$B$200,2,FALSE),"※未登録"))</f>
        <v/>
      </c>
      <c r="R1268" s="769" t="str">
        <f>IF($F1268="","",$I1268+$J1268+$K1268)</f>
        <v/>
      </c>
      <c r="S1268" s="769" t="str">
        <f>IF(OR($F1268="",$P1268="支払なし",$H1268=0,$Q1268=""),"",$Q1268&amp;"|S|"&amp;(COUNTIF(S$4:S1267,$Q1268&amp;"|S|*")+1))</f>
        <v/>
      </c>
      <c r="T1268" s="769" t="str">
        <f>IF(OR($F1268="",$P1268="支払なし",$R1268=0,$Q1268=""),"",$Q1268&amp;"|L|"&amp;(COUNTIF(T$4:T1267,$Q1268&amp;"|L|*")+1))</f>
        <v/>
      </c>
      <c r="U1268" s="769" t="str">
        <f>IF($F1268="","",13)</f>
        <v/>
      </c>
    </row>
    <row r="1269" ht="16.5" customHeight="1" s="186">
      <c r="A1269" s="760" t="n"/>
      <c r="B1269" s="760" t="n"/>
      <c r="C1269" s="762" t="n"/>
      <c r="D1269" s="762" t="n"/>
      <c r="E1269" s="775" t="n"/>
      <c r="F1269" s="821" t="n"/>
      <c r="G1269" s="821" t="n"/>
      <c r="H1269" s="818">
        <f>IF(G1269=1,F1269-I1269-J1269-K1269,IF(G1269=2,F1269,0))</f>
        <v>0</v>
      </c>
      <c r="I1269" s="818">
        <f>ROUND(IF(G1269=1,F1269*10/23,IF(G1269=3,F1269-J1269-K1269,IF(G1269=4,F1269,IF(G1269=5,F1269*10/11,IF(G1269=7,F1269*10/11,0))))),0)</f>
        <v>0</v>
      </c>
      <c r="J1269" s="818">
        <f>ROUND(IF(G1269=1,F1269/23,IF(G1269=3,F1269/12,IF(G1269=5,F1269-I1269,IF(G1269=8,F1269,0)))),0)</f>
        <v>0</v>
      </c>
      <c r="K1269" s="819">
        <f>ROUND(IF(G1269=1,F1269/23,IF(G1269=3,F1269/12,IF(G1269=6,F1269,IF(G1269=7,F1269-I1269,0)))),0)</f>
        <v>0</v>
      </c>
      <c r="L1269" s="820">
        <f>IF(G1269=6,F1269,0)</f>
        <v>0</v>
      </c>
      <c r="P1269" s="768" t="n"/>
      <c r="Q1269" s="769" t="str">
        <f>IF($F1269="","",IFERROR(VLOOKUP($C1269&amp;"|"&amp;$D1269,科目表!$A$5:$B$200,2,FALSE),"※未登録"))</f>
        <v/>
      </c>
      <c r="R1269" s="769" t="str">
        <f>IF($F1269="","",$I1269+$J1269+$K1269)</f>
        <v/>
      </c>
      <c r="S1269" s="769" t="str">
        <f>IF(OR($F1269="",$P1269="支払なし",$H1269=0,$Q1269=""),"",$Q1269&amp;"|S|"&amp;(COUNTIF(S$4:S1268,$Q1269&amp;"|S|*")+1))</f>
        <v/>
      </c>
      <c r="T1269" s="769" t="str">
        <f>IF(OR($F1269="",$P1269="支払なし",$R1269=0,$Q1269=""),"",$Q1269&amp;"|L|"&amp;(COUNTIF(T$4:T1268,$Q1269&amp;"|L|*")+1))</f>
        <v/>
      </c>
      <c r="U1269" s="769" t="str">
        <f>IF($F1269="","",13)</f>
        <v/>
      </c>
    </row>
    <row r="1270" ht="16.5" customHeight="1" s="186">
      <c r="A1270" s="760" t="n"/>
      <c r="B1270" s="760" t="n"/>
      <c r="C1270" s="762" t="n"/>
      <c r="D1270" s="762" t="n"/>
      <c r="E1270" s="775" t="n"/>
      <c r="F1270" s="821" t="n"/>
      <c r="G1270" s="821" t="n"/>
      <c r="H1270" s="818">
        <f>IF(G1270=1,F1270-I1270-J1270-K1270,IF(G1270=2,F1270,0))</f>
        <v>0</v>
      </c>
      <c r="I1270" s="818">
        <f>ROUND(IF(G1270=1,F1270*10/23,IF(G1270=3,F1270-J1270-K1270,IF(G1270=4,F1270,IF(G1270=5,F1270*10/11,IF(G1270=7,F1270*10/11,0))))),0)</f>
        <v>0</v>
      </c>
      <c r="J1270" s="818">
        <f>ROUND(IF(G1270=1,F1270/23,IF(G1270=3,F1270/12,IF(G1270=5,F1270-I1270,IF(G1270=8,F1270,0)))),0)</f>
        <v>0</v>
      </c>
      <c r="K1270" s="819">
        <f>ROUND(IF(G1270=1,F1270/23,IF(G1270=3,F1270/12,IF(G1270=6,F1270,IF(G1270=7,F1270-I1270,0)))),0)</f>
        <v>0</v>
      </c>
      <c r="L1270" s="820">
        <f>IF(G1270=6,F1270,0)</f>
        <v>0</v>
      </c>
      <c r="P1270" s="768" t="n"/>
      <c r="Q1270" s="769" t="str">
        <f>IF($F1270="","",IFERROR(VLOOKUP($C1270&amp;"|"&amp;$D1270,科目表!$A$5:$B$200,2,FALSE),"※未登録"))</f>
        <v/>
      </c>
      <c r="R1270" s="769" t="str">
        <f>IF($F1270="","",$I1270+$J1270+$K1270)</f>
        <v/>
      </c>
      <c r="S1270" s="769" t="str">
        <f>IF(OR($F1270="",$P1270="支払なし",$H1270=0,$Q1270=""),"",$Q1270&amp;"|S|"&amp;(COUNTIF(S$4:S1269,$Q1270&amp;"|S|*")+1))</f>
        <v/>
      </c>
      <c r="T1270" s="769" t="str">
        <f>IF(OR($F1270="",$P1270="支払なし",$R1270=0,$Q1270=""),"",$Q1270&amp;"|L|"&amp;(COUNTIF(T$4:T1269,$Q1270&amp;"|L|*")+1))</f>
        <v/>
      </c>
      <c r="U1270" s="769" t="str">
        <f>IF($F1270="","",13)</f>
        <v/>
      </c>
    </row>
    <row r="1271" ht="16.5" customHeight="1" s="186">
      <c r="A1271" s="760" t="n"/>
      <c r="B1271" s="760" t="n"/>
      <c r="C1271" s="762" t="n"/>
      <c r="D1271" s="762" t="n"/>
      <c r="E1271" s="775" t="n"/>
      <c r="F1271" s="821" t="n"/>
      <c r="G1271" s="821" t="n"/>
      <c r="H1271" s="818">
        <f>IF(G1271=1,F1271-I1271-J1271-K1271,IF(G1271=2,F1271,0))</f>
        <v>0</v>
      </c>
      <c r="I1271" s="818">
        <f>ROUND(IF(G1271=1,F1271*10/23,IF(G1271=3,F1271-J1271-K1271,IF(G1271=4,F1271,IF(G1271=5,F1271*10/11,IF(G1271=7,F1271*10/11,0))))),0)</f>
        <v>0</v>
      </c>
      <c r="J1271" s="818">
        <f>ROUND(IF(G1271=1,F1271/23,IF(G1271=3,F1271/12,IF(G1271=5,F1271-I1271,IF(G1271=8,F1271,0)))),0)</f>
        <v>0</v>
      </c>
      <c r="K1271" s="819">
        <f>ROUND(IF(G1271=1,F1271/23,IF(G1271=3,F1271/12,IF(G1271=6,F1271,IF(G1271=7,F1271-I1271,0)))),0)</f>
        <v>0</v>
      </c>
      <c r="L1271" s="820">
        <f>IF(G1271=6,F1271,0)</f>
        <v>0</v>
      </c>
      <c r="P1271" s="768" t="n"/>
      <c r="Q1271" s="769" t="str">
        <f>IF($F1271="","",IFERROR(VLOOKUP($C1271&amp;"|"&amp;$D1271,科目表!$A$5:$B$200,2,FALSE),"※未登録"))</f>
        <v/>
      </c>
      <c r="R1271" s="769" t="str">
        <f>IF($F1271="","",$I1271+$J1271+$K1271)</f>
        <v/>
      </c>
      <c r="S1271" s="769" t="str">
        <f>IF(OR($F1271="",$P1271="支払なし",$H1271=0,$Q1271=""),"",$Q1271&amp;"|S|"&amp;(COUNTIF(S$4:S1270,$Q1271&amp;"|S|*")+1))</f>
        <v/>
      </c>
      <c r="T1271" s="769" t="str">
        <f>IF(OR($F1271="",$P1271="支払なし",$R1271=0,$Q1271=""),"",$Q1271&amp;"|L|"&amp;(COUNTIF(T$4:T1270,$Q1271&amp;"|L|*")+1))</f>
        <v/>
      </c>
      <c r="U1271" s="769" t="str">
        <f>IF($F1271="","",13)</f>
        <v/>
      </c>
    </row>
    <row r="1272" ht="16.5" customHeight="1" s="186">
      <c r="A1272" s="760" t="n"/>
      <c r="B1272" s="760" t="n"/>
      <c r="C1272" s="762" t="n"/>
      <c r="D1272" s="762" t="n"/>
      <c r="E1272" s="775" t="n"/>
      <c r="F1272" s="821" t="n"/>
      <c r="G1272" s="821" t="n"/>
      <c r="H1272" s="818">
        <f>IF(G1272=1,F1272-I1272-J1272-K1272,IF(G1272=2,F1272,0))</f>
        <v>0</v>
      </c>
      <c r="I1272" s="818">
        <f>ROUND(IF(G1272=1,F1272*10/23,IF(G1272=3,F1272-J1272-K1272,IF(G1272=4,F1272,IF(G1272=5,F1272*10/11,IF(G1272=7,F1272*10/11,0))))),0)</f>
        <v>0</v>
      </c>
      <c r="J1272" s="818">
        <f>ROUND(IF(G1272=1,F1272/23,IF(G1272=3,F1272/12,IF(G1272=5,F1272-I1272,IF(G1272=8,F1272,0)))),0)</f>
        <v>0</v>
      </c>
      <c r="K1272" s="819">
        <f>ROUND(IF(G1272=1,F1272/23,IF(G1272=3,F1272/12,IF(G1272=6,F1272,IF(G1272=7,F1272-I1272,0)))),0)</f>
        <v>0</v>
      </c>
      <c r="L1272" s="820">
        <f>IF(G1272=6,F1272,0)</f>
        <v>0</v>
      </c>
      <c r="P1272" s="768" t="n"/>
      <c r="Q1272" s="769" t="str">
        <f>IF($F1272="","",IFERROR(VLOOKUP($C1272&amp;"|"&amp;$D1272,科目表!$A$5:$B$200,2,FALSE),"※未登録"))</f>
        <v/>
      </c>
      <c r="R1272" s="769" t="str">
        <f>IF($F1272="","",$I1272+$J1272+$K1272)</f>
        <v/>
      </c>
      <c r="S1272" s="769" t="str">
        <f>IF(OR($F1272="",$P1272="支払なし",$H1272=0,$Q1272=""),"",$Q1272&amp;"|S|"&amp;(COUNTIF(S$4:S1271,$Q1272&amp;"|S|*")+1))</f>
        <v/>
      </c>
      <c r="T1272" s="769" t="str">
        <f>IF(OR($F1272="",$P1272="支払なし",$R1272=0,$Q1272=""),"",$Q1272&amp;"|L|"&amp;(COUNTIF(T$4:T1271,$Q1272&amp;"|L|*")+1))</f>
        <v/>
      </c>
      <c r="U1272" s="769" t="str">
        <f>IF($F1272="","",13)</f>
        <v/>
      </c>
    </row>
    <row r="1273" ht="16.5" customHeight="1" s="186">
      <c r="A1273" s="760" t="n"/>
      <c r="B1273" s="760" t="n"/>
      <c r="C1273" s="762" t="n"/>
      <c r="D1273" s="762" t="n"/>
      <c r="E1273" s="775" t="n"/>
      <c r="F1273" s="821" t="n"/>
      <c r="G1273" s="821" t="n"/>
      <c r="H1273" s="818">
        <f>IF(G1273=1,F1273-I1273-J1273-K1273,IF(G1273=2,F1273,0))</f>
        <v>0</v>
      </c>
      <c r="I1273" s="818">
        <f>ROUND(IF(G1273=1,F1273*10/23,IF(G1273=3,F1273-J1273-K1273,IF(G1273=4,F1273,IF(G1273=5,F1273*10/11,IF(G1273=7,F1273*10/11,0))))),0)</f>
        <v>0</v>
      </c>
      <c r="J1273" s="818">
        <f>ROUND(IF(G1273=1,F1273/23,IF(G1273=3,F1273/12,IF(G1273=5,F1273-I1273,IF(G1273=8,F1273,0)))),0)</f>
        <v>0</v>
      </c>
      <c r="K1273" s="819">
        <f>ROUND(IF(G1273=1,F1273/23,IF(G1273=3,F1273/12,IF(G1273=6,F1273,IF(G1273=7,F1273-I1273,0)))),0)</f>
        <v>0</v>
      </c>
      <c r="L1273" s="820">
        <f>IF(G1273=6,F1273,0)</f>
        <v>0</v>
      </c>
      <c r="P1273" s="768" t="n"/>
      <c r="Q1273" s="769" t="str">
        <f>IF($F1273="","",IFERROR(VLOOKUP($C1273&amp;"|"&amp;$D1273,科目表!$A$5:$B$200,2,FALSE),"※未登録"))</f>
        <v/>
      </c>
      <c r="R1273" s="769" t="str">
        <f>IF($F1273="","",$I1273+$J1273+$K1273)</f>
        <v/>
      </c>
      <c r="S1273" s="769" t="str">
        <f>IF(OR($F1273="",$P1273="支払なし",$H1273=0,$Q1273=""),"",$Q1273&amp;"|S|"&amp;(COUNTIF(S$4:S1272,$Q1273&amp;"|S|*")+1))</f>
        <v/>
      </c>
      <c r="T1273" s="769" t="str">
        <f>IF(OR($F1273="",$P1273="支払なし",$R1273=0,$Q1273=""),"",$Q1273&amp;"|L|"&amp;(COUNTIF(T$4:T1272,$Q1273&amp;"|L|*")+1))</f>
        <v/>
      </c>
      <c r="U1273" s="769" t="str">
        <f>IF($F1273="","",13)</f>
        <v/>
      </c>
    </row>
    <row r="1274" ht="16.5" customHeight="1" s="186">
      <c r="A1274" s="760" t="n"/>
      <c r="B1274" s="760" t="n"/>
      <c r="C1274" s="762" t="n"/>
      <c r="D1274" s="762" t="n"/>
      <c r="E1274" s="775" t="n"/>
      <c r="F1274" s="821" t="n"/>
      <c r="G1274" s="821" t="n"/>
      <c r="H1274" s="818">
        <f>IF(G1274=1,F1274-I1274-J1274-K1274,IF(G1274=2,F1274,0))</f>
        <v>0</v>
      </c>
      <c r="I1274" s="818">
        <f>ROUND(IF(G1274=1,F1274*10/23,IF(G1274=3,F1274-J1274-K1274,IF(G1274=4,F1274,IF(G1274=5,F1274*10/11,IF(G1274=7,F1274*10/11,0))))),0)</f>
        <v>0</v>
      </c>
      <c r="J1274" s="818">
        <f>ROUND(IF(G1274=1,F1274/23,IF(G1274=3,F1274/12,IF(G1274=5,F1274-I1274,IF(G1274=8,F1274,0)))),0)</f>
        <v>0</v>
      </c>
      <c r="K1274" s="819">
        <f>ROUND(IF(G1274=1,F1274/23,IF(G1274=3,F1274/12,IF(G1274=6,F1274,IF(G1274=7,F1274-I1274,0)))),0)</f>
        <v>0</v>
      </c>
      <c r="L1274" s="820">
        <f>IF(G1274=6,F1274,0)</f>
        <v>0</v>
      </c>
      <c r="P1274" s="768" t="n"/>
      <c r="Q1274" s="769" t="str">
        <f>IF($F1274="","",IFERROR(VLOOKUP($C1274&amp;"|"&amp;$D1274,科目表!$A$5:$B$200,2,FALSE),"※未登録"))</f>
        <v/>
      </c>
      <c r="R1274" s="769" t="str">
        <f>IF($F1274="","",$I1274+$J1274+$K1274)</f>
        <v/>
      </c>
      <c r="S1274" s="769" t="str">
        <f>IF(OR($F1274="",$P1274="支払なし",$H1274=0,$Q1274=""),"",$Q1274&amp;"|S|"&amp;(COUNTIF(S$4:S1273,$Q1274&amp;"|S|*")+1))</f>
        <v/>
      </c>
      <c r="T1274" s="769" t="str">
        <f>IF(OR($F1274="",$P1274="支払なし",$R1274=0,$Q1274=""),"",$Q1274&amp;"|L|"&amp;(COUNTIF(T$4:T1273,$Q1274&amp;"|L|*")+1))</f>
        <v/>
      </c>
      <c r="U1274" s="769" t="str">
        <f>IF($F1274="","",13)</f>
        <v/>
      </c>
    </row>
    <row r="1275" ht="16.5" customHeight="1" s="186">
      <c r="A1275" s="760" t="n"/>
      <c r="B1275" s="760" t="n"/>
      <c r="C1275" s="762" t="n"/>
      <c r="D1275" s="762" t="n"/>
      <c r="E1275" s="775" t="n"/>
      <c r="F1275" s="821" t="n"/>
      <c r="G1275" s="821" t="n"/>
      <c r="H1275" s="818">
        <f>IF(G1275=1,F1275-I1275-J1275-K1275,IF(G1275=2,F1275,0))</f>
        <v>0</v>
      </c>
      <c r="I1275" s="818">
        <f>ROUND(IF(G1275=1,F1275*10/23,IF(G1275=3,F1275-J1275-K1275,IF(G1275=4,F1275,IF(G1275=5,F1275*10/11,IF(G1275=7,F1275*10/11,0))))),0)</f>
        <v>0</v>
      </c>
      <c r="J1275" s="818">
        <f>ROUND(IF(G1275=1,F1275/23,IF(G1275=3,F1275/12,IF(G1275=5,F1275-I1275,IF(G1275=8,F1275,0)))),0)</f>
        <v>0</v>
      </c>
      <c r="K1275" s="819">
        <f>ROUND(IF(G1275=1,F1275/23,IF(G1275=3,F1275/12,IF(G1275=6,F1275,IF(G1275=7,F1275-I1275,0)))),0)</f>
        <v>0</v>
      </c>
      <c r="L1275" s="820">
        <f>IF(G1275=6,F1275,0)</f>
        <v>0</v>
      </c>
      <c r="P1275" s="768" t="n"/>
      <c r="Q1275" s="769" t="str">
        <f>IF($F1275="","",IFERROR(VLOOKUP($C1275&amp;"|"&amp;$D1275,科目表!$A$5:$B$200,2,FALSE),"※未登録"))</f>
        <v/>
      </c>
      <c r="R1275" s="769" t="str">
        <f>IF($F1275="","",$I1275+$J1275+$K1275)</f>
        <v/>
      </c>
      <c r="S1275" s="769" t="str">
        <f>IF(OR($F1275="",$P1275="支払なし",$H1275=0,$Q1275=""),"",$Q1275&amp;"|S|"&amp;(COUNTIF(S$4:S1274,$Q1275&amp;"|S|*")+1))</f>
        <v/>
      </c>
      <c r="T1275" s="769" t="str">
        <f>IF(OR($F1275="",$P1275="支払なし",$R1275=0,$Q1275=""),"",$Q1275&amp;"|L|"&amp;(COUNTIF(T$4:T1274,$Q1275&amp;"|L|*")+1))</f>
        <v/>
      </c>
      <c r="U1275" s="769" t="str">
        <f>IF($F1275="","",13)</f>
        <v/>
      </c>
    </row>
    <row r="1276" ht="16.5" customHeight="1" s="186">
      <c r="A1276" s="760" t="n"/>
      <c r="B1276" s="760" t="n"/>
      <c r="C1276" s="762" t="n"/>
      <c r="D1276" s="762" t="n"/>
      <c r="E1276" s="775" t="n"/>
      <c r="F1276" s="821" t="n"/>
      <c r="G1276" s="821" t="n"/>
      <c r="H1276" s="818">
        <f>IF(G1276=1,F1276-I1276-J1276-K1276,IF(G1276=2,F1276,0))</f>
        <v>0</v>
      </c>
      <c r="I1276" s="818">
        <f>ROUND(IF(G1276=1,F1276*10/23,IF(G1276=3,F1276-J1276-K1276,IF(G1276=4,F1276,IF(G1276=5,F1276*10/11,IF(G1276=7,F1276*10/11,0))))),0)</f>
        <v>0</v>
      </c>
      <c r="J1276" s="818">
        <f>ROUND(IF(G1276=1,F1276/23,IF(G1276=3,F1276/12,IF(G1276=5,F1276-I1276,IF(G1276=8,F1276,0)))),0)</f>
        <v>0</v>
      </c>
      <c r="K1276" s="819">
        <f>ROUND(IF(G1276=1,F1276/23,IF(G1276=3,F1276/12,IF(G1276=6,F1276,IF(G1276=7,F1276-I1276,0)))),0)</f>
        <v>0</v>
      </c>
      <c r="L1276" s="820">
        <f>IF(G1276=6,F1276,0)</f>
        <v>0</v>
      </c>
      <c r="P1276" s="768" t="n"/>
      <c r="Q1276" s="769" t="str">
        <f>IF($F1276="","",IFERROR(VLOOKUP($C1276&amp;"|"&amp;$D1276,科目表!$A$5:$B$200,2,FALSE),"※未登録"))</f>
        <v/>
      </c>
      <c r="R1276" s="769" t="str">
        <f>IF($F1276="","",$I1276+$J1276+$K1276)</f>
        <v/>
      </c>
      <c r="S1276" s="769" t="str">
        <f>IF(OR($F1276="",$P1276="支払なし",$H1276=0,$Q1276=""),"",$Q1276&amp;"|S|"&amp;(COUNTIF(S$4:S1275,$Q1276&amp;"|S|*")+1))</f>
        <v/>
      </c>
      <c r="T1276" s="769" t="str">
        <f>IF(OR($F1276="",$P1276="支払なし",$R1276=0,$Q1276=""),"",$Q1276&amp;"|L|"&amp;(COUNTIF(T$4:T1275,$Q1276&amp;"|L|*")+1))</f>
        <v/>
      </c>
      <c r="U1276" s="769" t="str">
        <f>IF($F1276="","",13)</f>
        <v/>
      </c>
    </row>
    <row r="1277" ht="16.5" customHeight="1" s="186">
      <c r="A1277" s="760" t="n"/>
      <c r="B1277" s="760" t="n"/>
      <c r="C1277" s="762" t="n"/>
      <c r="D1277" s="762" t="n"/>
      <c r="E1277" s="775" t="n"/>
      <c r="F1277" s="821" t="n"/>
      <c r="G1277" s="821" t="n"/>
      <c r="H1277" s="818">
        <f>IF(G1277=1,F1277-I1277-J1277-K1277,IF(G1277=2,F1277,0))</f>
        <v>0</v>
      </c>
      <c r="I1277" s="818">
        <f>ROUND(IF(G1277=1,F1277*10/23,IF(G1277=3,F1277-J1277-K1277,IF(G1277=4,F1277,IF(G1277=5,F1277*10/11,IF(G1277=7,F1277*10/11,0))))),0)</f>
        <v>0</v>
      </c>
      <c r="J1277" s="818">
        <f>ROUND(IF(G1277=1,F1277/23,IF(G1277=3,F1277/12,IF(G1277=5,F1277-I1277,IF(G1277=8,F1277,0)))),0)</f>
        <v>0</v>
      </c>
      <c r="K1277" s="819">
        <f>ROUND(IF(G1277=1,F1277/23,IF(G1277=3,F1277/12,IF(G1277=6,F1277,IF(G1277=7,F1277-I1277,0)))),0)</f>
        <v>0</v>
      </c>
      <c r="L1277" s="820">
        <f>IF(G1277=6,F1277,0)</f>
        <v>0</v>
      </c>
      <c r="P1277" s="768" t="n"/>
      <c r="Q1277" s="769" t="str">
        <f>IF($F1277="","",IFERROR(VLOOKUP($C1277&amp;"|"&amp;$D1277,科目表!$A$5:$B$200,2,FALSE),"※未登録"))</f>
        <v/>
      </c>
      <c r="R1277" s="769" t="str">
        <f>IF($F1277="","",$I1277+$J1277+$K1277)</f>
        <v/>
      </c>
      <c r="S1277" s="769" t="str">
        <f>IF(OR($F1277="",$P1277="支払なし",$H1277=0,$Q1277=""),"",$Q1277&amp;"|S|"&amp;(COUNTIF(S$4:S1276,$Q1277&amp;"|S|*")+1))</f>
        <v/>
      </c>
      <c r="T1277" s="769" t="str">
        <f>IF(OR($F1277="",$P1277="支払なし",$R1277=0,$Q1277=""),"",$Q1277&amp;"|L|"&amp;(COUNTIF(T$4:T1276,$Q1277&amp;"|L|*")+1))</f>
        <v/>
      </c>
      <c r="U1277" s="769" t="str">
        <f>IF($F1277="","",13)</f>
        <v/>
      </c>
    </row>
    <row r="1278" ht="16.5" customHeight="1" s="186">
      <c r="A1278" s="760" t="n"/>
      <c r="B1278" s="760" t="n"/>
      <c r="C1278" s="762" t="n"/>
      <c r="D1278" s="762" t="n"/>
      <c r="E1278" s="775" t="n"/>
      <c r="F1278" s="821" t="n"/>
      <c r="G1278" s="821" t="n"/>
      <c r="H1278" s="818">
        <f>IF(G1278=1,F1278-I1278-J1278-K1278,IF(G1278=2,F1278,0))</f>
        <v>0</v>
      </c>
      <c r="I1278" s="818">
        <f>ROUND(IF(G1278=1,F1278*10/23,IF(G1278=3,F1278-J1278-K1278,IF(G1278=4,F1278,IF(G1278=5,F1278*10/11,IF(G1278=7,F1278*10/11,0))))),0)</f>
        <v>0</v>
      </c>
      <c r="J1278" s="818">
        <f>ROUND(IF(G1278=1,F1278/23,IF(G1278=3,F1278/12,IF(G1278=5,F1278-I1278,IF(G1278=8,F1278,0)))),0)</f>
        <v>0</v>
      </c>
      <c r="K1278" s="819">
        <f>ROUND(IF(G1278=1,F1278/23,IF(G1278=3,F1278/12,IF(G1278=6,F1278,IF(G1278=7,F1278-I1278,0)))),0)</f>
        <v>0</v>
      </c>
      <c r="L1278" s="820">
        <f>IF(G1278=6,F1278,0)</f>
        <v>0</v>
      </c>
      <c r="P1278" s="768" t="n"/>
      <c r="Q1278" s="769" t="str">
        <f>IF($F1278="","",IFERROR(VLOOKUP($C1278&amp;"|"&amp;$D1278,科目表!$A$5:$B$200,2,FALSE),"※未登録"))</f>
        <v/>
      </c>
      <c r="R1278" s="769" t="str">
        <f>IF($F1278="","",$I1278+$J1278+$K1278)</f>
        <v/>
      </c>
      <c r="S1278" s="769" t="str">
        <f>IF(OR($F1278="",$P1278="支払なし",$H1278=0,$Q1278=""),"",$Q1278&amp;"|S|"&amp;(COUNTIF(S$4:S1277,$Q1278&amp;"|S|*")+1))</f>
        <v/>
      </c>
      <c r="T1278" s="769" t="str">
        <f>IF(OR($F1278="",$P1278="支払なし",$R1278=0,$Q1278=""),"",$Q1278&amp;"|L|"&amp;(COUNTIF(T$4:T1277,$Q1278&amp;"|L|*")+1))</f>
        <v/>
      </c>
      <c r="U1278" s="769" t="str">
        <f>IF($F1278="","",13)</f>
        <v/>
      </c>
    </row>
    <row r="1279" ht="16.5" customHeight="1" s="186">
      <c r="A1279" s="760" t="n"/>
      <c r="B1279" s="760" t="n"/>
      <c r="C1279" s="762" t="n"/>
      <c r="D1279" s="762" t="n"/>
      <c r="E1279" s="775" t="n"/>
      <c r="F1279" s="821" t="n"/>
      <c r="G1279" s="821" t="n"/>
      <c r="H1279" s="818">
        <f>IF(G1279=1,F1279-I1279-J1279-K1279,IF(G1279=2,F1279,0))</f>
        <v>0</v>
      </c>
      <c r="I1279" s="818">
        <f>ROUND(IF(G1279=1,F1279*10/23,IF(G1279=3,F1279-J1279-K1279,IF(G1279=4,F1279,IF(G1279=5,F1279*10/11,IF(G1279=7,F1279*10/11,0))))),0)</f>
        <v>0</v>
      </c>
      <c r="J1279" s="818">
        <f>ROUND(IF(G1279=1,F1279/23,IF(G1279=3,F1279/12,IF(G1279=5,F1279-I1279,IF(G1279=8,F1279,0)))),0)</f>
        <v>0</v>
      </c>
      <c r="K1279" s="819">
        <f>ROUND(IF(G1279=1,F1279/23,IF(G1279=3,F1279/12,IF(G1279=6,F1279,IF(G1279=7,F1279-I1279,0)))),0)</f>
        <v>0</v>
      </c>
      <c r="L1279" s="820">
        <f>IF(G1279=6,F1279,0)</f>
        <v>0</v>
      </c>
      <c r="P1279" s="768" t="n"/>
      <c r="Q1279" s="769" t="str">
        <f>IF($F1279="","",IFERROR(VLOOKUP($C1279&amp;"|"&amp;$D1279,科目表!$A$5:$B$200,2,FALSE),"※未登録"))</f>
        <v/>
      </c>
      <c r="R1279" s="769" t="str">
        <f>IF($F1279="","",$I1279+$J1279+$K1279)</f>
        <v/>
      </c>
      <c r="S1279" s="769" t="str">
        <f>IF(OR($F1279="",$P1279="支払なし",$H1279=0,$Q1279=""),"",$Q1279&amp;"|S|"&amp;(COUNTIF(S$4:S1278,$Q1279&amp;"|S|*")+1))</f>
        <v/>
      </c>
      <c r="T1279" s="769" t="str">
        <f>IF(OR($F1279="",$P1279="支払なし",$R1279=0,$Q1279=""),"",$Q1279&amp;"|L|"&amp;(COUNTIF(T$4:T1278,$Q1279&amp;"|L|*")+1))</f>
        <v/>
      </c>
      <c r="U1279" s="769" t="str">
        <f>IF($F1279="","",13)</f>
        <v/>
      </c>
    </row>
    <row r="1280" ht="16.5" customHeight="1" s="186">
      <c r="A1280" s="760" t="n"/>
      <c r="B1280" s="760" t="n"/>
      <c r="C1280" s="762" t="n"/>
      <c r="D1280" s="762" t="n"/>
      <c r="E1280" s="775" t="n"/>
      <c r="F1280" s="821" t="n"/>
      <c r="G1280" s="821" t="n"/>
      <c r="H1280" s="818">
        <f>IF(G1280=1,F1280-I1280-J1280-K1280,IF(G1280=2,F1280,0))</f>
        <v>0</v>
      </c>
      <c r="I1280" s="818">
        <f>ROUND(IF(G1280=1,F1280*10/23,IF(G1280=3,F1280-J1280-K1280,IF(G1280=4,F1280,IF(G1280=5,F1280*10/11,IF(G1280=7,F1280*10/11,0))))),0)</f>
        <v>0</v>
      </c>
      <c r="J1280" s="818">
        <f>ROUND(IF(G1280=1,F1280/23,IF(G1280=3,F1280/12,IF(G1280=5,F1280-I1280,IF(G1280=8,F1280,0)))),0)</f>
        <v>0</v>
      </c>
      <c r="K1280" s="819">
        <f>ROUND(IF(G1280=1,F1280/23,IF(G1280=3,F1280/12,IF(G1280=6,F1280,IF(G1280=7,F1280-I1280,0)))),0)</f>
        <v>0</v>
      </c>
      <c r="L1280" s="820">
        <f>IF(G1280=6,F1280,0)</f>
        <v>0</v>
      </c>
      <c r="P1280" s="768" t="n"/>
      <c r="Q1280" s="769" t="str">
        <f>IF($F1280="","",IFERROR(VLOOKUP($C1280&amp;"|"&amp;$D1280,科目表!$A$5:$B$200,2,FALSE),"※未登録"))</f>
        <v/>
      </c>
      <c r="R1280" s="769" t="str">
        <f>IF($F1280="","",$I1280+$J1280+$K1280)</f>
        <v/>
      </c>
      <c r="S1280" s="769" t="str">
        <f>IF(OR($F1280="",$P1280="支払なし",$H1280=0,$Q1280=""),"",$Q1280&amp;"|S|"&amp;(COUNTIF(S$4:S1279,$Q1280&amp;"|S|*")+1))</f>
        <v/>
      </c>
      <c r="T1280" s="769" t="str">
        <f>IF(OR($F1280="",$P1280="支払なし",$R1280=0,$Q1280=""),"",$Q1280&amp;"|L|"&amp;(COUNTIF(T$4:T1279,$Q1280&amp;"|L|*")+1))</f>
        <v/>
      </c>
      <c r="U1280" s="769" t="str">
        <f>IF($F1280="","",13)</f>
        <v/>
      </c>
    </row>
    <row r="1281" ht="16.5" customHeight="1" s="186">
      <c r="A1281" s="760" t="n"/>
      <c r="B1281" s="760" t="n"/>
      <c r="C1281" s="762" t="n"/>
      <c r="D1281" s="762" t="n"/>
      <c r="E1281" s="775" t="n"/>
      <c r="F1281" s="821" t="n"/>
      <c r="G1281" s="821" t="n"/>
      <c r="H1281" s="818">
        <f>IF(G1281=1,F1281-I1281-J1281-K1281,IF(G1281=2,F1281,0))</f>
        <v>0</v>
      </c>
      <c r="I1281" s="818">
        <f>ROUND(IF(G1281=1,F1281*10/23,IF(G1281=3,F1281-J1281-K1281,IF(G1281=4,F1281,IF(G1281=5,F1281*10/11,IF(G1281=7,F1281*10/11,0))))),0)</f>
        <v>0</v>
      </c>
      <c r="J1281" s="818">
        <f>ROUND(IF(G1281=1,F1281/23,IF(G1281=3,F1281/12,IF(G1281=5,F1281-I1281,IF(G1281=8,F1281,0)))),0)</f>
        <v>0</v>
      </c>
      <c r="K1281" s="819">
        <f>ROUND(IF(G1281=1,F1281/23,IF(G1281=3,F1281/12,IF(G1281=6,F1281,IF(G1281=7,F1281-I1281,0)))),0)</f>
        <v>0</v>
      </c>
      <c r="L1281" s="820">
        <f>IF(G1281=6,F1281,0)</f>
        <v>0</v>
      </c>
      <c r="P1281" s="768" t="n"/>
      <c r="Q1281" s="769" t="str">
        <f>IF($F1281="","",IFERROR(VLOOKUP($C1281&amp;"|"&amp;$D1281,科目表!$A$5:$B$200,2,FALSE),"※未登録"))</f>
        <v/>
      </c>
      <c r="R1281" s="769" t="str">
        <f>IF($F1281="","",$I1281+$J1281+$K1281)</f>
        <v/>
      </c>
      <c r="S1281" s="769" t="str">
        <f>IF(OR($F1281="",$P1281="支払なし",$H1281=0,$Q1281=""),"",$Q1281&amp;"|S|"&amp;(COUNTIF(S$4:S1280,$Q1281&amp;"|S|*")+1))</f>
        <v/>
      </c>
      <c r="T1281" s="769" t="str">
        <f>IF(OR($F1281="",$P1281="支払なし",$R1281=0,$Q1281=""),"",$Q1281&amp;"|L|"&amp;(COUNTIF(T$4:T1280,$Q1281&amp;"|L|*")+1))</f>
        <v/>
      </c>
      <c r="U1281" s="769" t="str">
        <f>IF($F1281="","",13)</f>
        <v/>
      </c>
    </row>
    <row r="1282" ht="16.5" customHeight="1" s="186">
      <c r="A1282" s="760" t="n"/>
      <c r="B1282" s="760" t="n"/>
      <c r="C1282" s="762" t="n"/>
      <c r="D1282" s="762" t="n"/>
      <c r="E1282" s="775" t="n"/>
      <c r="F1282" s="821" t="n"/>
      <c r="G1282" s="821" t="n"/>
      <c r="H1282" s="818">
        <f>IF(G1282=1,F1282-I1282-J1282-K1282,IF(G1282=2,F1282,0))</f>
        <v>0</v>
      </c>
      <c r="I1282" s="818">
        <f>ROUND(IF(G1282=1,F1282*10/23,IF(G1282=3,F1282-J1282-K1282,IF(G1282=4,F1282,IF(G1282=5,F1282*10/11,IF(G1282=7,F1282*10/11,0))))),0)</f>
        <v>0</v>
      </c>
      <c r="J1282" s="818">
        <f>ROUND(IF(G1282=1,F1282/23,IF(G1282=3,F1282/12,IF(G1282=5,F1282-I1282,IF(G1282=8,F1282,0)))),0)</f>
        <v>0</v>
      </c>
      <c r="K1282" s="819">
        <f>ROUND(IF(G1282=1,F1282/23,IF(G1282=3,F1282/12,IF(G1282=6,F1282,IF(G1282=7,F1282-I1282,0)))),0)</f>
        <v>0</v>
      </c>
      <c r="L1282" s="820">
        <f>IF(G1282=6,F1282,0)</f>
        <v>0</v>
      </c>
      <c r="P1282" s="768" t="n"/>
      <c r="Q1282" s="769" t="str">
        <f>IF($F1282="","",IFERROR(VLOOKUP($C1282&amp;"|"&amp;$D1282,科目表!$A$5:$B$200,2,FALSE),"※未登録"))</f>
        <v/>
      </c>
      <c r="R1282" s="769" t="str">
        <f>IF($F1282="","",$I1282+$J1282+$K1282)</f>
        <v/>
      </c>
      <c r="S1282" s="769" t="str">
        <f>IF(OR($F1282="",$P1282="支払なし",$H1282=0,$Q1282=""),"",$Q1282&amp;"|S|"&amp;(COUNTIF(S$4:S1281,$Q1282&amp;"|S|*")+1))</f>
        <v/>
      </c>
      <c r="T1282" s="769" t="str">
        <f>IF(OR($F1282="",$P1282="支払なし",$R1282=0,$Q1282=""),"",$Q1282&amp;"|L|"&amp;(COUNTIF(T$4:T1281,$Q1282&amp;"|L|*")+1))</f>
        <v/>
      </c>
      <c r="U1282" s="769" t="str">
        <f>IF($F1282="","",13)</f>
        <v/>
      </c>
    </row>
    <row r="1283" ht="16.5" customHeight="1" s="186">
      <c r="A1283" s="760" t="n"/>
      <c r="B1283" s="760" t="n"/>
      <c r="C1283" s="762" t="n"/>
      <c r="D1283" s="762" t="n"/>
      <c r="E1283" s="775" t="n"/>
      <c r="F1283" s="821" t="n"/>
      <c r="G1283" s="821" t="n"/>
      <c r="H1283" s="818">
        <f>IF(G1283=1,F1283-I1283-J1283-K1283,IF(G1283=2,F1283,0))</f>
        <v>0</v>
      </c>
      <c r="I1283" s="818">
        <f>ROUND(IF(G1283=1,F1283*10/23,IF(G1283=3,F1283-J1283-K1283,IF(G1283=4,F1283,IF(G1283=5,F1283*10/11,IF(G1283=7,F1283*10/11,0))))),0)</f>
        <v>0</v>
      </c>
      <c r="J1283" s="818">
        <f>ROUND(IF(G1283=1,F1283/23,IF(G1283=3,F1283/12,IF(G1283=5,F1283-I1283,IF(G1283=8,F1283,0)))),0)</f>
        <v>0</v>
      </c>
      <c r="K1283" s="819">
        <f>ROUND(IF(G1283=1,F1283/23,IF(G1283=3,F1283/12,IF(G1283=6,F1283,IF(G1283=7,F1283-I1283,0)))),0)</f>
        <v>0</v>
      </c>
      <c r="L1283" s="820">
        <f>IF(G1283=6,F1283,0)</f>
        <v>0</v>
      </c>
      <c r="P1283" s="768" t="n"/>
      <c r="Q1283" s="769" t="str">
        <f>IF($F1283="","",IFERROR(VLOOKUP($C1283&amp;"|"&amp;$D1283,科目表!$A$5:$B$200,2,FALSE),"※未登録"))</f>
        <v/>
      </c>
      <c r="R1283" s="769" t="str">
        <f>IF($F1283="","",$I1283+$J1283+$K1283)</f>
        <v/>
      </c>
      <c r="S1283" s="769" t="str">
        <f>IF(OR($F1283="",$P1283="支払なし",$H1283=0,$Q1283=""),"",$Q1283&amp;"|S|"&amp;(COUNTIF(S$4:S1282,$Q1283&amp;"|S|*")+1))</f>
        <v/>
      </c>
      <c r="T1283" s="769" t="str">
        <f>IF(OR($F1283="",$P1283="支払なし",$R1283=0,$Q1283=""),"",$Q1283&amp;"|L|"&amp;(COUNTIF(T$4:T1282,$Q1283&amp;"|L|*")+1))</f>
        <v/>
      </c>
      <c r="U1283" s="769" t="str">
        <f>IF($F1283="","",13)</f>
        <v/>
      </c>
    </row>
    <row r="1284" ht="16.5" customHeight="1" s="186">
      <c r="A1284" s="760" t="n"/>
      <c r="B1284" s="760" t="n"/>
      <c r="C1284" s="762" t="n"/>
      <c r="D1284" s="762" t="n"/>
      <c r="E1284" s="775" t="n"/>
      <c r="F1284" s="821" t="n"/>
      <c r="G1284" s="821" t="n"/>
      <c r="H1284" s="818">
        <f>IF(G1284=1,F1284-I1284-J1284-K1284,IF(G1284=2,F1284,0))</f>
        <v>0</v>
      </c>
      <c r="I1284" s="818">
        <f>ROUND(IF(G1284=1,F1284*10/23,IF(G1284=3,F1284-J1284-K1284,IF(G1284=4,F1284,IF(G1284=5,F1284*10/11,IF(G1284=7,F1284*10/11,0))))),0)</f>
        <v>0</v>
      </c>
      <c r="J1284" s="818">
        <f>ROUND(IF(G1284=1,F1284/23,IF(G1284=3,F1284/12,IF(G1284=5,F1284-I1284,IF(G1284=8,F1284,0)))),0)</f>
        <v>0</v>
      </c>
      <c r="K1284" s="819">
        <f>ROUND(IF(G1284=1,F1284/23,IF(G1284=3,F1284/12,IF(G1284=6,F1284,IF(G1284=7,F1284-I1284,0)))),0)</f>
        <v>0</v>
      </c>
      <c r="L1284" s="820">
        <f>IF(G1284=6,F1284,0)</f>
        <v>0</v>
      </c>
      <c r="P1284" s="768" t="n"/>
      <c r="Q1284" s="769" t="str">
        <f>IF($F1284="","",IFERROR(VLOOKUP($C1284&amp;"|"&amp;$D1284,科目表!$A$5:$B$200,2,FALSE),"※未登録"))</f>
        <v/>
      </c>
      <c r="R1284" s="769" t="str">
        <f>IF($F1284="","",$I1284+$J1284+$K1284)</f>
        <v/>
      </c>
      <c r="S1284" s="769" t="str">
        <f>IF(OR($F1284="",$P1284="支払なし",$H1284=0,$Q1284=""),"",$Q1284&amp;"|S|"&amp;(COUNTIF(S$4:S1283,$Q1284&amp;"|S|*")+1))</f>
        <v/>
      </c>
      <c r="T1284" s="769" t="str">
        <f>IF(OR($F1284="",$P1284="支払なし",$R1284=0,$Q1284=""),"",$Q1284&amp;"|L|"&amp;(COUNTIF(T$4:T1283,$Q1284&amp;"|L|*")+1))</f>
        <v/>
      </c>
      <c r="U1284" s="769" t="str">
        <f>IF($F1284="","",13)</f>
        <v/>
      </c>
    </row>
    <row r="1285" ht="16.5" customHeight="1" s="186">
      <c r="A1285" s="760" t="n"/>
      <c r="B1285" s="760" t="n"/>
      <c r="C1285" s="762" t="n"/>
      <c r="D1285" s="762" t="n"/>
      <c r="E1285" s="775" t="n"/>
      <c r="F1285" s="821" t="n"/>
      <c r="G1285" s="821" t="n"/>
      <c r="H1285" s="818">
        <f>IF(G1285=1,F1285-I1285-J1285-K1285,IF(G1285=2,F1285,0))</f>
        <v>0</v>
      </c>
      <c r="I1285" s="818">
        <f>ROUND(IF(G1285=1,F1285*10/23,IF(G1285=3,F1285-J1285-K1285,IF(G1285=4,F1285,IF(G1285=5,F1285*10/11,IF(G1285=7,F1285*10/11,0))))),0)</f>
        <v>0</v>
      </c>
      <c r="J1285" s="818">
        <f>ROUND(IF(G1285=1,F1285/23,IF(G1285=3,F1285/12,IF(G1285=5,F1285-I1285,IF(G1285=8,F1285,0)))),0)</f>
        <v>0</v>
      </c>
      <c r="K1285" s="819">
        <f>ROUND(IF(G1285=1,F1285/23,IF(G1285=3,F1285/12,IF(G1285=6,F1285,IF(G1285=7,F1285-I1285,0)))),0)</f>
        <v>0</v>
      </c>
      <c r="L1285" s="820">
        <f>IF(G1285=6,F1285,0)</f>
        <v>0</v>
      </c>
      <c r="P1285" s="768" t="n"/>
      <c r="Q1285" s="769" t="str">
        <f>IF($F1285="","",IFERROR(VLOOKUP($C1285&amp;"|"&amp;$D1285,科目表!$A$5:$B$200,2,FALSE),"※未登録"))</f>
        <v/>
      </c>
      <c r="R1285" s="769" t="str">
        <f>IF($F1285="","",$I1285+$J1285+$K1285)</f>
        <v/>
      </c>
      <c r="S1285" s="769" t="str">
        <f>IF(OR($F1285="",$P1285="支払なし",$H1285=0,$Q1285=""),"",$Q1285&amp;"|S|"&amp;(COUNTIF(S$4:S1284,$Q1285&amp;"|S|*")+1))</f>
        <v/>
      </c>
      <c r="T1285" s="769" t="str">
        <f>IF(OR($F1285="",$P1285="支払なし",$R1285=0,$Q1285=""),"",$Q1285&amp;"|L|"&amp;(COUNTIF(T$4:T1284,$Q1285&amp;"|L|*")+1))</f>
        <v/>
      </c>
      <c r="U1285" s="769" t="str">
        <f>IF($F1285="","",13)</f>
        <v/>
      </c>
    </row>
    <row r="1286" ht="16.5" customHeight="1" s="186">
      <c r="A1286" s="760" t="n"/>
      <c r="B1286" s="760" t="n"/>
      <c r="C1286" s="762" t="n"/>
      <c r="D1286" s="762" t="n"/>
      <c r="E1286" s="775" t="n"/>
      <c r="F1286" s="821" t="n"/>
      <c r="G1286" s="821" t="n"/>
      <c r="H1286" s="818">
        <f>IF(G1286=1,F1286-I1286-J1286-K1286,IF(G1286=2,F1286,0))</f>
        <v>0</v>
      </c>
      <c r="I1286" s="818">
        <f>ROUND(IF(G1286=1,F1286*10/23,IF(G1286=3,F1286-J1286-K1286,IF(G1286=4,F1286,IF(G1286=5,F1286*10/11,IF(G1286=7,F1286*10/11,0))))),0)</f>
        <v>0</v>
      </c>
      <c r="J1286" s="818">
        <f>ROUND(IF(G1286=1,F1286/23,IF(G1286=3,F1286/12,IF(G1286=5,F1286-I1286,IF(G1286=8,F1286,0)))),0)</f>
        <v>0</v>
      </c>
      <c r="K1286" s="819">
        <f>ROUND(IF(G1286=1,F1286/23,IF(G1286=3,F1286/12,IF(G1286=6,F1286,IF(G1286=7,F1286-I1286,0)))),0)</f>
        <v>0</v>
      </c>
      <c r="L1286" s="820">
        <f>IF(G1286=6,F1286,0)</f>
        <v>0</v>
      </c>
      <c r="P1286" s="768" t="n"/>
      <c r="Q1286" s="769" t="str">
        <f>IF($F1286="","",IFERROR(VLOOKUP($C1286&amp;"|"&amp;$D1286,科目表!$A$5:$B$200,2,FALSE),"※未登録"))</f>
        <v/>
      </c>
      <c r="R1286" s="769" t="str">
        <f>IF($F1286="","",$I1286+$J1286+$K1286)</f>
        <v/>
      </c>
      <c r="S1286" s="769" t="str">
        <f>IF(OR($F1286="",$P1286="支払なし",$H1286=0,$Q1286=""),"",$Q1286&amp;"|S|"&amp;(COUNTIF(S$4:S1285,$Q1286&amp;"|S|*")+1))</f>
        <v/>
      </c>
      <c r="T1286" s="769" t="str">
        <f>IF(OR($F1286="",$P1286="支払なし",$R1286=0,$Q1286=""),"",$Q1286&amp;"|L|"&amp;(COUNTIF(T$4:T1285,$Q1286&amp;"|L|*")+1))</f>
        <v/>
      </c>
      <c r="U1286" s="769" t="str">
        <f>IF($F1286="","",13)</f>
        <v/>
      </c>
    </row>
    <row r="1287" ht="16.5" customHeight="1" s="186">
      <c r="A1287" s="760" t="n"/>
      <c r="B1287" s="760" t="n"/>
      <c r="C1287" s="762" t="n"/>
      <c r="D1287" s="762" t="n"/>
      <c r="E1287" s="775" t="n"/>
      <c r="F1287" s="821" t="n"/>
      <c r="G1287" s="821" t="n"/>
      <c r="H1287" s="818">
        <f>IF(G1287=1,F1287-I1287-J1287-K1287,IF(G1287=2,F1287,0))</f>
        <v>0</v>
      </c>
      <c r="I1287" s="818">
        <f>ROUND(IF(G1287=1,F1287*10/23,IF(G1287=3,F1287-J1287-K1287,IF(G1287=4,F1287,IF(G1287=5,F1287*10/11,IF(G1287=7,F1287*10/11,0))))),0)</f>
        <v>0</v>
      </c>
      <c r="J1287" s="818">
        <f>ROUND(IF(G1287=1,F1287/23,IF(G1287=3,F1287/12,IF(G1287=5,F1287-I1287,IF(G1287=8,F1287,0)))),0)</f>
        <v>0</v>
      </c>
      <c r="K1287" s="819">
        <f>ROUND(IF(G1287=1,F1287/23,IF(G1287=3,F1287/12,IF(G1287=6,F1287,IF(G1287=7,F1287-I1287,0)))),0)</f>
        <v>0</v>
      </c>
      <c r="L1287" s="820">
        <f>IF(G1287=6,F1287,0)</f>
        <v>0</v>
      </c>
      <c r="P1287" s="768" t="n"/>
      <c r="Q1287" s="769" t="str">
        <f>IF($F1287="","",IFERROR(VLOOKUP($C1287&amp;"|"&amp;$D1287,科目表!$A$5:$B$200,2,FALSE),"※未登録"))</f>
        <v/>
      </c>
      <c r="R1287" s="769" t="str">
        <f>IF($F1287="","",$I1287+$J1287+$K1287)</f>
        <v/>
      </c>
      <c r="S1287" s="769" t="str">
        <f>IF(OR($F1287="",$P1287="支払なし",$H1287=0,$Q1287=""),"",$Q1287&amp;"|S|"&amp;(COUNTIF(S$4:S1286,$Q1287&amp;"|S|*")+1))</f>
        <v/>
      </c>
      <c r="T1287" s="769" t="str">
        <f>IF(OR($F1287="",$P1287="支払なし",$R1287=0,$Q1287=""),"",$Q1287&amp;"|L|"&amp;(COUNTIF(T$4:T1286,$Q1287&amp;"|L|*")+1))</f>
        <v/>
      </c>
      <c r="U1287" s="769" t="str">
        <f>IF($F1287="","",13)</f>
        <v/>
      </c>
    </row>
    <row r="1288" ht="16.5" customHeight="1" s="186">
      <c r="A1288" s="760" t="n"/>
      <c r="B1288" s="760" t="n"/>
      <c r="C1288" s="762" t="n"/>
      <c r="D1288" s="762" t="n"/>
      <c r="E1288" s="775" t="n"/>
      <c r="F1288" s="821" t="n"/>
      <c r="G1288" s="821" t="n"/>
      <c r="H1288" s="818">
        <f>IF(G1288=1,F1288-I1288-J1288-K1288,IF(G1288=2,F1288,0))</f>
        <v>0</v>
      </c>
      <c r="I1288" s="818">
        <f>ROUND(IF(G1288=1,F1288*10/23,IF(G1288=3,F1288-J1288-K1288,IF(G1288=4,F1288,IF(G1288=5,F1288*10/11,IF(G1288=7,F1288*10/11,0))))),0)</f>
        <v>0</v>
      </c>
      <c r="J1288" s="818">
        <f>ROUND(IF(G1288=1,F1288/23,IF(G1288=3,F1288/12,IF(G1288=5,F1288-I1288,IF(G1288=8,F1288,0)))),0)</f>
        <v>0</v>
      </c>
      <c r="K1288" s="819">
        <f>ROUND(IF(G1288=1,F1288/23,IF(G1288=3,F1288/12,IF(G1288=6,F1288,IF(G1288=7,F1288-I1288,0)))),0)</f>
        <v>0</v>
      </c>
      <c r="L1288" s="820">
        <f>IF(G1288=6,F1288,0)</f>
        <v>0</v>
      </c>
      <c r="P1288" s="768" t="n"/>
      <c r="Q1288" s="769" t="str">
        <f>IF($F1288="","",IFERROR(VLOOKUP($C1288&amp;"|"&amp;$D1288,科目表!$A$5:$B$200,2,FALSE),"※未登録"))</f>
        <v/>
      </c>
      <c r="R1288" s="769" t="str">
        <f>IF($F1288="","",$I1288+$J1288+$K1288)</f>
        <v/>
      </c>
      <c r="S1288" s="769" t="str">
        <f>IF(OR($F1288="",$P1288="支払なし",$H1288=0,$Q1288=""),"",$Q1288&amp;"|S|"&amp;(COUNTIF(S$4:S1287,$Q1288&amp;"|S|*")+1))</f>
        <v/>
      </c>
      <c r="T1288" s="769" t="str">
        <f>IF(OR($F1288="",$P1288="支払なし",$R1288=0,$Q1288=""),"",$Q1288&amp;"|L|"&amp;(COUNTIF(T$4:T1287,$Q1288&amp;"|L|*")+1))</f>
        <v/>
      </c>
      <c r="U1288" s="769" t="str">
        <f>IF($F1288="","",13)</f>
        <v/>
      </c>
    </row>
    <row r="1289" ht="16.5" customHeight="1" s="186">
      <c r="A1289" s="760" t="n"/>
      <c r="B1289" s="760" t="n"/>
      <c r="C1289" s="762" t="n"/>
      <c r="D1289" s="762" t="n"/>
      <c r="E1289" s="775" t="n"/>
      <c r="F1289" s="821" t="n"/>
      <c r="G1289" s="821" t="n"/>
      <c r="H1289" s="818">
        <f>IF(G1289=1,F1289-I1289-J1289-K1289,IF(G1289=2,F1289,0))</f>
        <v>0</v>
      </c>
      <c r="I1289" s="818">
        <f>ROUND(IF(G1289=1,F1289*10/23,IF(G1289=3,F1289-J1289-K1289,IF(G1289=4,F1289,IF(G1289=5,F1289*10/11,IF(G1289=7,F1289*10/11,0))))),0)</f>
        <v>0</v>
      </c>
      <c r="J1289" s="818">
        <f>ROUND(IF(G1289=1,F1289/23,IF(G1289=3,F1289/12,IF(G1289=5,F1289-I1289,IF(G1289=8,F1289,0)))),0)</f>
        <v>0</v>
      </c>
      <c r="K1289" s="819">
        <f>ROUND(IF(G1289=1,F1289/23,IF(G1289=3,F1289/12,IF(G1289=6,F1289,IF(G1289=7,F1289-I1289,0)))),0)</f>
        <v>0</v>
      </c>
      <c r="L1289" s="820">
        <f>IF(G1289=6,F1289,0)</f>
        <v>0</v>
      </c>
      <c r="P1289" s="768" t="n"/>
      <c r="Q1289" s="769" t="str">
        <f>IF($F1289="","",IFERROR(VLOOKUP($C1289&amp;"|"&amp;$D1289,科目表!$A$5:$B$200,2,FALSE),"※未登録"))</f>
        <v/>
      </c>
      <c r="R1289" s="769" t="str">
        <f>IF($F1289="","",$I1289+$J1289+$K1289)</f>
        <v/>
      </c>
      <c r="S1289" s="769" t="str">
        <f>IF(OR($F1289="",$P1289="支払なし",$H1289=0,$Q1289=""),"",$Q1289&amp;"|S|"&amp;(COUNTIF(S$4:S1288,$Q1289&amp;"|S|*")+1))</f>
        <v/>
      </c>
      <c r="T1289" s="769" t="str">
        <f>IF(OR($F1289="",$P1289="支払なし",$R1289=0,$Q1289=""),"",$Q1289&amp;"|L|"&amp;(COUNTIF(T$4:T1288,$Q1289&amp;"|L|*")+1))</f>
        <v/>
      </c>
      <c r="U1289" s="769" t="str">
        <f>IF($F1289="","",13)</f>
        <v/>
      </c>
    </row>
    <row r="1290" ht="16.5" customHeight="1" s="186">
      <c r="A1290" s="760" t="n"/>
      <c r="B1290" s="760" t="n"/>
      <c r="C1290" s="762" t="n"/>
      <c r="D1290" s="762" t="n"/>
      <c r="E1290" s="775" t="n"/>
      <c r="F1290" s="821" t="n"/>
      <c r="G1290" s="821" t="n"/>
      <c r="H1290" s="818">
        <f>IF(G1290=1,F1290-I1290-J1290-K1290,IF(G1290=2,F1290,0))</f>
        <v>0</v>
      </c>
      <c r="I1290" s="818">
        <f>ROUND(IF(G1290=1,F1290*10/23,IF(G1290=3,F1290-J1290-K1290,IF(G1290=4,F1290,IF(G1290=5,F1290*10/11,IF(G1290=7,F1290*10/11,0))))),0)</f>
        <v>0</v>
      </c>
      <c r="J1290" s="818">
        <f>ROUND(IF(G1290=1,F1290/23,IF(G1290=3,F1290/12,IF(G1290=5,F1290-I1290,IF(G1290=8,F1290,0)))),0)</f>
        <v>0</v>
      </c>
      <c r="K1290" s="819">
        <f>ROUND(IF(G1290=1,F1290/23,IF(G1290=3,F1290/12,IF(G1290=6,F1290,IF(G1290=7,F1290-I1290,0)))),0)</f>
        <v>0</v>
      </c>
      <c r="L1290" s="820">
        <f>IF(G1290=6,F1290,0)</f>
        <v>0</v>
      </c>
      <c r="P1290" s="768" t="n"/>
      <c r="Q1290" s="769" t="str">
        <f>IF($F1290="","",IFERROR(VLOOKUP($C1290&amp;"|"&amp;$D1290,科目表!$A$5:$B$200,2,FALSE),"※未登録"))</f>
        <v/>
      </c>
      <c r="R1290" s="769" t="str">
        <f>IF($F1290="","",$I1290+$J1290+$K1290)</f>
        <v/>
      </c>
      <c r="S1290" s="769" t="str">
        <f>IF(OR($F1290="",$P1290="支払なし",$H1290=0,$Q1290=""),"",$Q1290&amp;"|S|"&amp;(COUNTIF(S$4:S1289,$Q1290&amp;"|S|*")+1))</f>
        <v/>
      </c>
      <c r="T1290" s="769" t="str">
        <f>IF(OR($F1290="",$P1290="支払なし",$R1290=0,$Q1290=""),"",$Q1290&amp;"|L|"&amp;(COUNTIF(T$4:T1289,$Q1290&amp;"|L|*")+1))</f>
        <v/>
      </c>
      <c r="U1290" s="769" t="str">
        <f>IF($F1290="","",13)</f>
        <v/>
      </c>
    </row>
    <row r="1291" ht="16.5" customHeight="1" s="186">
      <c r="A1291" s="760" t="n"/>
      <c r="B1291" s="760" t="n"/>
      <c r="C1291" s="762" t="n"/>
      <c r="D1291" s="762" t="n"/>
      <c r="E1291" s="775" t="n"/>
      <c r="F1291" s="821" t="n"/>
      <c r="G1291" s="821" t="n"/>
      <c r="H1291" s="818">
        <f>IF(G1291=1,F1291-I1291-J1291-K1291,IF(G1291=2,F1291,0))</f>
        <v>0</v>
      </c>
      <c r="I1291" s="818">
        <f>ROUND(IF(G1291=1,F1291*10/23,IF(G1291=3,F1291-J1291-K1291,IF(G1291=4,F1291,IF(G1291=5,F1291*10/11,IF(G1291=7,F1291*10/11,0))))),0)</f>
        <v>0</v>
      </c>
      <c r="J1291" s="818">
        <f>ROUND(IF(G1291=1,F1291/23,IF(G1291=3,F1291/12,IF(G1291=5,F1291-I1291,IF(G1291=8,F1291,0)))),0)</f>
        <v>0</v>
      </c>
      <c r="K1291" s="819">
        <f>ROUND(IF(G1291=1,F1291/23,IF(G1291=3,F1291/12,IF(G1291=6,F1291,IF(G1291=7,F1291-I1291,0)))),0)</f>
        <v>0</v>
      </c>
      <c r="L1291" s="820">
        <f>IF(G1291=6,F1291,0)</f>
        <v>0</v>
      </c>
      <c r="P1291" s="768" t="n"/>
      <c r="Q1291" s="769" t="str">
        <f>IF($F1291="","",IFERROR(VLOOKUP($C1291&amp;"|"&amp;$D1291,科目表!$A$5:$B$200,2,FALSE),"※未登録"))</f>
        <v/>
      </c>
      <c r="R1291" s="769" t="str">
        <f>IF($F1291="","",$I1291+$J1291+$K1291)</f>
        <v/>
      </c>
      <c r="S1291" s="769" t="str">
        <f>IF(OR($F1291="",$P1291="支払なし",$H1291=0,$Q1291=""),"",$Q1291&amp;"|S|"&amp;(COUNTIF(S$4:S1290,$Q1291&amp;"|S|*")+1))</f>
        <v/>
      </c>
      <c r="T1291" s="769" t="str">
        <f>IF(OR($F1291="",$P1291="支払なし",$R1291=0,$Q1291=""),"",$Q1291&amp;"|L|"&amp;(COUNTIF(T$4:T1290,$Q1291&amp;"|L|*")+1))</f>
        <v/>
      </c>
      <c r="U1291" s="769" t="str">
        <f>IF($F1291="","",13)</f>
        <v/>
      </c>
    </row>
    <row r="1292" ht="16.5" customHeight="1" s="186">
      <c r="A1292" s="760" t="n"/>
      <c r="B1292" s="760" t="n"/>
      <c r="C1292" s="762" t="n"/>
      <c r="D1292" s="762" t="n"/>
      <c r="E1292" s="775" t="n"/>
      <c r="F1292" s="821" t="n"/>
      <c r="G1292" s="821" t="n"/>
      <c r="H1292" s="818">
        <f>IF(G1292=1,F1292-I1292-J1292-K1292,IF(G1292=2,F1292,0))</f>
        <v>0</v>
      </c>
      <c r="I1292" s="818">
        <f>ROUND(IF(G1292=1,F1292*10/23,IF(G1292=3,F1292-J1292-K1292,IF(G1292=4,F1292,IF(G1292=5,F1292*10/11,IF(G1292=7,F1292*10/11,0))))),0)</f>
        <v>0</v>
      </c>
      <c r="J1292" s="818">
        <f>ROUND(IF(G1292=1,F1292/23,IF(G1292=3,F1292/12,IF(G1292=5,F1292-I1292,IF(G1292=8,F1292,0)))),0)</f>
        <v>0</v>
      </c>
      <c r="K1292" s="819">
        <f>ROUND(IF(G1292=1,F1292/23,IF(G1292=3,F1292/12,IF(G1292=6,F1292,IF(G1292=7,F1292-I1292,0)))),0)</f>
        <v>0</v>
      </c>
      <c r="L1292" s="820">
        <f>IF(G1292=6,F1292,0)</f>
        <v>0</v>
      </c>
      <c r="P1292" s="768" t="n"/>
      <c r="Q1292" s="769" t="str">
        <f>IF($F1292="","",IFERROR(VLOOKUP($C1292&amp;"|"&amp;$D1292,科目表!$A$5:$B$200,2,FALSE),"※未登録"))</f>
        <v/>
      </c>
      <c r="R1292" s="769" t="str">
        <f>IF($F1292="","",$I1292+$J1292+$K1292)</f>
        <v/>
      </c>
      <c r="S1292" s="769" t="str">
        <f>IF(OR($F1292="",$P1292="支払なし",$H1292=0,$Q1292=""),"",$Q1292&amp;"|S|"&amp;(COUNTIF(S$4:S1291,$Q1292&amp;"|S|*")+1))</f>
        <v/>
      </c>
      <c r="T1292" s="769" t="str">
        <f>IF(OR($F1292="",$P1292="支払なし",$R1292=0,$Q1292=""),"",$Q1292&amp;"|L|"&amp;(COUNTIF(T$4:T1291,$Q1292&amp;"|L|*")+1))</f>
        <v/>
      </c>
      <c r="U1292" s="769" t="str">
        <f>IF($F1292="","",13)</f>
        <v/>
      </c>
    </row>
    <row r="1293" ht="16.5" customHeight="1" s="186">
      <c r="A1293" s="760" t="n"/>
      <c r="B1293" s="760" t="n"/>
      <c r="C1293" s="762" t="n"/>
      <c r="D1293" s="762" t="n"/>
      <c r="E1293" s="775" t="n"/>
      <c r="F1293" s="821" t="n"/>
      <c r="G1293" s="821" t="n"/>
      <c r="H1293" s="818">
        <f>IF(G1293=1,F1293-I1293-J1293-K1293,IF(G1293=2,F1293,0))</f>
        <v>0</v>
      </c>
      <c r="I1293" s="818">
        <f>ROUND(IF(G1293=1,F1293*10/23,IF(G1293=3,F1293-J1293-K1293,IF(G1293=4,F1293,IF(G1293=5,F1293*10/11,IF(G1293=7,F1293*10/11,0))))),0)</f>
        <v>0</v>
      </c>
      <c r="J1293" s="818">
        <f>ROUND(IF(G1293=1,F1293/23,IF(G1293=3,F1293/12,IF(G1293=5,F1293-I1293,IF(G1293=8,F1293,0)))),0)</f>
        <v>0</v>
      </c>
      <c r="K1293" s="819">
        <f>ROUND(IF(G1293=1,F1293/23,IF(G1293=3,F1293/12,IF(G1293=6,F1293,IF(G1293=7,F1293-I1293,0)))),0)</f>
        <v>0</v>
      </c>
      <c r="L1293" s="820">
        <f>IF(G1293=6,F1293,0)</f>
        <v>0</v>
      </c>
      <c r="P1293" s="768" t="n"/>
      <c r="Q1293" s="769" t="str">
        <f>IF($F1293="","",IFERROR(VLOOKUP($C1293&amp;"|"&amp;$D1293,科目表!$A$5:$B$200,2,FALSE),"※未登録"))</f>
        <v/>
      </c>
      <c r="R1293" s="769" t="str">
        <f>IF($F1293="","",$I1293+$J1293+$K1293)</f>
        <v/>
      </c>
      <c r="S1293" s="769" t="str">
        <f>IF(OR($F1293="",$P1293="支払なし",$H1293=0,$Q1293=""),"",$Q1293&amp;"|S|"&amp;(COUNTIF(S$4:S1292,$Q1293&amp;"|S|*")+1))</f>
        <v/>
      </c>
      <c r="T1293" s="769" t="str">
        <f>IF(OR($F1293="",$P1293="支払なし",$R1293=0,$Q1293=""),"",$Q1293&amp;"|L|"&amp;(COUNTIF(T$4:T1292,$Q1293&amp;"|L|*")+1))</f>
        <v/>
      </c>
      <c r="U1293" s="769" t="str">
        <f>IF($F1293="","",13)</f>
        <v/>
      </c>
    </row>
    <row r="1294" ht="16.5" customHeight="1" s="186">
      <c r="A1294" s="760" t="n"/>
      <c r="B1294" s="760" t="n"/>
      <c r="C1294" s="762" t="n"/>
      <c r="D1294" s="762" t="n"/>
      <c r="E1294" s="775" t="n"/>
      <c r="F1294" s="821" t="n"/>
      <c r="G1294" s="821" t="n"/>
      <c r="H1294" s="818">
        <f>IF(G1294=1,F1294-I1294-J1294-K1294,IF(G1294=2,F1294,0))</f>
        <v>0</v>
      </c>
      <c r="I1294" s="818">
        <f>ROUND(IF(G1294=1,F1294*10/23,IF(G1294=3,F1294-J1294-K1294,IF(G1294=4,F1294,IF(G1294=5,F1294*10/11,IF(G1294=7,F1294*10/11,0))))),0)</f>
        <v>0</v>
      </c>
      <c r="J1294" s="818">
        <f>ROUND(IF(G1294=1,F1294/23,IF(G1294=3,F1294/12,IF(G1294=5,F1294-I1294,IF(G1294=8,F1294,0)))),0)</f>
        <v>0</v>
      </c>
      <c r="K1294" s="819">
        <f>ROUND(IF(G1294=1,F1294/23,IF(G1294=3,F1294/12,IF(G1294=6,F1294,IF(G1294=7,F1294-I1294,0)))),0)</f>
        <v>0</v>
      </c>
      <c r="L1294" s="820">
        <f>IF(G1294=6,F1294,0)</f>
        <v>0</v>
      </c>
      <c r="P1294" s="768" t="n"/>
      <c r="Q1294" s="769" t="str">
        <f>IF($F1294="","",IFERROR(VLOOKUP($C1294&amp;"|"&amp;$D1294,科目表!$A$5:$B$200,2,FALSE),"※未登録"))</f>
        <v/>
      </c>
      <c r="R1294" s="769" t="str">
        <f>IF($F1294="","",$I1294+$J1294+$K1294)</f>
        <v/>
      </c>
      <c r="S1294" s="769" t="str">
        <f>IF(OR($F1294="",$P1294="支払なし",$H1294=0,$Q1294=""),"",$Q1294&amp;"|S|"&amp;(COUNTIF(S$4:S1293,$Q1294&amp;"|S|*")+1))</f>
        <v/>
      </c>
      <c r="T1294" s="769" t="str">
        <f>IF(OR($F1294="",$P1294="支払なし",$R1294=0,$Q1294=""),"",$Q1294&amp;"|L|"&amp;(COUNTIF(T$4:T1293,$Q1294&amp;"|L|*")+1))</f>
        <v/>
      </c>
      <c r="U1294" s="769" t="str">
        <f>IF($F1294="","",13)</f>
        <v/>
      </c>
    </row>
    <row r="1295" ht="16.5" customHeight="1" s="186">
      <c r="A1295" s="760" t="n"/>
      <c r="B1295" s="760" t="n"/>
      <c r="C1295" s="762" t="n"/>
      <c r="D1295" s="762" t="n"/>
      <c r="E1295" s="775" t="n"/>
      <c r="F1295" s="821" t="n"/>
      <c r="G1295" s="821" t="n"/>
      <c r="H1295" s="818">
        <f>IF(G1295=1,F1295-I1295-J1295-K1295,IF(G1295=2,F1295,0))</f>
        <v>0</v>
      </c>
      <c r="I1295" s="818">
        <f>ROUND(IF(G1295=1,F1295*10/23,IF(G1295=3,F1295-J1295-K1295,IF(G1295=4,F1295,IF(G1295=5,F1295*10/11,IF(G1295=7,F1295*10/11,0))))),0)</f>
        <v>0</v>
      </c>
      <c r="J1295" s="818">
        <f>ROUND(IF(G1295=1,F1295/23,IF(G1295=3,F1295/12,IF(G1295=5,F1295-I1295,IF(G1295=8,F1295,0)))),0)</f>
        <v>0</v>
      </c>
      <c r="K1295" s="819">
        <f>ROUND(IF(G1295=1,F1295/23,IF(G1295=3,F1295/12,IF(G1295=6,F1295,IF(G1295=7,F1295-I1295,0)))),0)</f>
        <v>0</v>
      </c>
      <c r="L1295" s="820">
        <f>IF(G1295=6,F1295,0)</f>
        <v>0</v>
      </c>
      <c r="P1295" s="768" t="n"/>
      <c r="Q1295" s="769" t="str">
        <f>IF($F1295="","",IFERROR(VLOOKUP($C1295&amp;"|"&amp;$D1295,科目表!$A$5:$B$200,2,FALSE),"※未登録"))</f>
        <v/>
      </c>
      <c r="R1295" s="769" t="str">
        <f>IF($F1295="","",$I1295+$J1295+$K1295)</f>
        <v/>
      </c>
      <c r="S1295" s="769" t="str">
        <f>IF(OR($F1295="",$P1295="支払なし",$H1295=0,$Q1295=""),"",$Q1295&amp;"|S|"&amp;(COUNTIF(S$4:S1294,$Q1295&amp;"|S|*")+1))</f>
        <v/>
      </c>
      <c r="T1295" s="769" t="str">
        <f>IF(OR($F1295="",$P1295="支払なし",$R1295=0,$Q1295=""),"",$Q1295&amp;"|L|"&amp;(COUNTIF(T$4:T1294,$Q1295&amp;"|L|*")+1))</f>
        <v/>
      </c>
      <c r="U1295" s="769" t="str">
        <f>IF($F1295="","",13)</f>
        <v/>
      </c>
    </row>
    <row r="1296" ht="16.5" customHeight="1" s="186">
      <c r="A1296" s="760" t="n"/>
      <c r="B1296" s="760" t="n"/>
      <c r="C1296" s="762" t="n"/>
      <c r="D1296" s="762" t="n"/>
      <c r="E1296" s="775" t="n"/>
      <c r="F1296" s="821" t="n"/>
      <c r="G1296" s="821" t="n"/>
      <c r="H1296" s="818">
        <f>IF(G1296=1,F1296-I1296-J1296-K1296,IF(G1296=2,F1296,0))</f>
        <v>0</v>
      </c>
      <c r="I1296" s="818">
        <f>ROUND(IF(G1296=1,F1296*10/23,IF(G1296=3,F1296-J1296-K1296,IF(G1296=4,F1296,IF(G1296=5,F1296*10/11,IF(G1296=7,F1296*10/11,0))))),0)</f>
        <v>0</v>
      </c>
      <c r="J1296" s="818">
        <f>ROUND(IF(G1296=1,F1296/23,IF(G1296=3,F1296/12,IF(G1296=5,F1296-I1296,IF(G1296=8,F1296,0)))),0)</f>
        <v>0</v>
      </c>
      <c r="K1296" s="819">
        <f>ROUND(IF(G1296=1,F1296/23,IF(G1296=3,F1296/12,IF(G1296=6,F1296,IF(G1296=7,F1296-I1296,0)))),0)</f>
        <v>0</v>
      </c>
      <c r="L1296" s="820">
        <f>IF(G1296=6,F1296,0)</f>
        <v>0</v>
      </c>
      <c r="P1296" s="768" t="n"/>
      <c r="Q1296" s="769" t="str">
        <f>IF($F1296="","",IFERROR(VLOOKUP($C1296&amp;"|"&amp;$D1296,科目表!$A$5:$B$200,2,FALSE),"※未登録"))</f>
        <v/>
      </c>
      <c r="R1296" s="769" t="str">
        <f>IF($F1296="","",$I1296+$J1296+$K1296)</f>
        <v/>
      </c>
      <c r="S1296" s="769" t="str">
        <f>IF(OR($F1296="",$P1296="支払なし",$H1296=0,$Q1296=""),"",$Q1296&amp;"|S|"&amp;(COUNTIF(S$4:S1295,$Q1296&amp;"|S|*")+1))</f>
        <v/>
      </c>
      <c r="T1296" s="769" t="str">
        <f>IF(OR($F1296="",$P1296="支払なし",$R1296=0,$Q1296=""),"",$Q1296&amp;"|L|"&amp;(COUNTIF(T$4:T1295,$Q1296&amp;"|L|*")+1))</f>
        <v/>
      </c>
      <c r="U1296" s="769" t="str">
        <f>IF($F1296="","",13)</f>
        <v/>
      </c>
    </row>
    <row r="1297" ht="16.5" customHeight="1" s="186">
      <c r="A1297" s="760" t="n"/>
      <c r="B1297" s="760" t="n"/>
      <c r="C1297" s="762" t="n"/>
      <c r="D1297" s="762" t="n"/>
      <c r="E1297" s="775" t="n"/>
      <c r="F1297" s="821" t="n"/>
      <c r="G1297" s="821" t="n"/>
      <c r="H1297" s="818">
        <f>IF(G1297=1,F1297-I1297-J1297-K1297,IF(G1297=2,F1297,0))</f>
        <v>0</v>
      </c>
      <c r="I1297" s="818">
        <f>ROUND(IF(G1297=1,F1297*10/23,IF(G1297=3,F1297-J1297-K1297,IF(G1297=4,F1297,IF(G1297=5,F1297*10/11,IF(G1297=7,F1297*10/11,0))))),0)</f>
        <v>0</v>
      </c>
      <c r="J1297" s="818">
        <f>ROUND(IF(G1297=1,F1297/23,IF(G1297=3,F1297/12,IF(G1297=5,F1297-I1297,IF(G1297=8,F1297,0)))),0)</f>
        <v>0</v>
      </c>
      <c r="K1297" s="819">
        <f>ROUND(IF(G1297=1,F1297/23,IF(G1297=3,F1297/12,IF(G1297=6,F1297,IF(G1297=7,F1297-I1297,0)))),0)</f>
        <v>0</v>
      </c>
      <c r="L1297" s="820">
        <f>IF(G1297=6,F1297,0)</f>
        <v>0</v>
      </c>
      <c r="P1297" s="768" t="n"/>
      <c r="Q1297" s="769" t="str">
        <f>IF($F1297="","",IFERROR(VLOOKUP($C1297&amp;"|"&amp;$D1297,科目表!$A$5:$B$200,2,FALSE),"※未登録"))</f>
        <v/>
      </c>
      <c r="R1297" s="769" t="str">
        <f>IF($F1297="","",$I1297+$J1297+$K1297)</f>
        <v/>
      </c>
      <c r="S1297" s="769" t="str">
        <f>IF(OR($F1297="",$P1297="支払なし",$H1297=0,$Q1297=""),"",$Q1297&amp;"|S|"&amp;(COUNTIF(S$4:S1296,$Q1297&amp;"|S|*")+1))</f>
        <v/>
      </c>
      <c r="T1297" s="769" t="str">
        <f>IF(OR($F1297="",$P1297="支払なし",$R1297=0,$Q1297=""),"",$Q1297&amp;"|L|"&amp;(COUNTIF(T$4:T1296,$Q1297&amp;"|L|*")+1))</f>
        <v/>
      </c>
      <c r="U1297" s="769" t="str">
        <f>IF($F1297="","",13)</f>
        <v/>
      </c>
    </row>
    <row r="1298" ht="16.5" customHeight="1" s="186">
      <c r="A1298" s="760" t="n"/>
      <c r="B1298" s="760" t="n"/>
      <c r="C1298" s="762" t="n"/>
      <c r="D1298" s="762" t="n"/>
      <c r="E1298" s="775" t="n"/>
      <c r="F1298" s="821" t="n"/>
      <c r="G1298" s="821" t="n"/>
      <c r="H1298" s="818">
        <f>IF(G1298=1,F1298-I1298-J1298-K1298,IF(G1298=2,F1298,0))</f>
        <v>0</v>
      </c>
      <c r="I1298" s="818">
        <f>ROUND(IF(G1298=1,F1298*10/23,IF(G1298=3,F1298-J1298-K1298,IF(G1298=4,F1298,IF(G1298=5,F1298*10/11,IF(G1298=7,F1298*10/11,0))))),0)</f>
        <v>0</v>
      </c>
      <c r="J1298" s="818">
        <f>ROUND(IF(G1298=1,F1298/23,IF(G1298=3,F1298/12,IF(G1298=5,F1298-I1298,IF(G1298=8,F1298,0)))),0)</f>
        <v>0</v>
      </c>
      <c r="K1298" s="819">
        <f>ROUND(IF(G1298=1,F1298/23,IF(G1298=3,F1298/12,IF(G1298=6,F1298,IF(G1298=7,F1298-I1298,0)))),0)</f>
        <v>0</v>
      </c>
      <c r="L1298" s="820">
        <f>IF(G1298=6,F1298,0)</f>
        <v>0</v>
      </c>
      <c r="P1298" s="768" t="n"/>
      <c r="Q1298" s="769" t="str">
        <f>IF($F1298="","",IFERROR(VLOOKUP($C1298&amp;"|"&amp;$D1298,科目表!$A$5:$B$200,2,FALSE),"※未登録"))</f>
        <v/>
      </c>
      <c r="R1298" s="769" t="str">
        <f>IF($F1298="","",$I1298+$J1298+$K1298)</f>
        <v/>
      </c>
      <c r="S1298" s="769" t="str">
        <f>IF(OR($F1298="",$P1298="支払なし",$H1298=0,$Q1298=""),"",$Q1298&amp;"|S|"&amp;(COUNTIF(S$4:S1297,$Q1298&amp;"|S|*")+1))</f>
        <v/>
      </c>
      <c r="T1298" s="769" t="str">
        <f>IF(OR($F1298="",$P1298="支払なし",$R1298=0,$Q1298=""),"",$Q1298&amp;"|L|"&amp;(COUNTIF(T$4:T1297,$Q1298&amp;"|L|*")+1))</f>
        <v/>
      </c>
      <c r="U1298" s="769" t="str">
        <f>IF($F1298="","",13)</f>
        <v/>
      </c>
    </row>
    <row r="1299" ht="16.5" customHeight="1" s="186">
      <c r="A1299" s="760" t="n"/>
      <c r="B1299" s="760" t="n"/>
      <c r="C1299" s="762" t="n"/>
      <c r="D1299" s="762" t="n"/>
      <c r="E1299" s="775" t="n"/>
      <c r="F1299" s="821" t="n"/>
      <c r="G1299" s="821" t="n"/>
      <c r="H1299" s="818">
        <f>IF(G1299=1,F1299-I1299-J1299-K1299,IF(G1299=2,F1299,0))</f>
        <v>0</v>
      </c>
      <c r="I1299" s="818">
        <f>ROUND(IF(G1299=1,F1299*10/23,IF(G1299=3,F1299-J1299-K1299,IF(G1299=4,F1299,IF(G1299=5,F1299*10/11,IF(G1299=7,F1299*10/11,0))))),0)</f>
        <v>0</v>
      </c>
      <c r="J1299" s="818">
        <f>ROUND(IF(G1299=1,F1299/23,IF(G1299=3,F1299/12,IF(G1299=5,F1299-I1299,IF(G1299=8,F1299,0)))),0)</f>
        <v>0</v>
      </c>
      <c r="K1299" s="819">
        <f>ROUND(IF(G1299=1,F1299/23,IF(G1299=3,F1299/12,IF(G1299=6,F1299,IF(G1299=7,F1299-I1299,0)))),0)</f>
        <v>0</v>
      </c>
      <c r="L1299" s="820">
        <f>IF(G1299=6,F1299,0)</f>
        <v>0</v>
      </c>
      <c r="P1299" s="768" t="n"/>
      <c r="Q1299" s="769" t="str">
        <f>IF($F1299="","",IFERROR(VLOOKUP($C1299&amp;"|"&amp;$D1299,科目表!$A$5:$B$200,2,FALSE),"※未登録"))</f>
        <v/>
      </c>
      <c r="R1299" s="769" t="str">
        <f>IF($F1299="","",$I1299+$J1299+$K1299)</f>
        <v/>
      </c>
      <c r="S1299" s="769" t="str">
        <f>IF(OR($F1299="",$P1299="支払なし",$H1299=0,$Q1299=""),"",$Q1299&amp;"|S|"&amp;(COUNTIF(S$4:S1298,$Q1299&amp;"|S|*")+1))</f>
        <v/>
      </c>
      <c r="T1299" s="769" t="str">
        <f>IF(OR($F1299="",$P1299="支払なし",$R1299=0,$Q1299=""),"",$Q1299&amp;"|L|"&amp;(COUNTIF(T$4:T1298,$Q1299&amp;"|L|*")+1))</f>
        <v/>
      </c>
      <c r="U1299" s="769" t="str">
        <f>IF($F1299="","",13)</f>
        <v/>
      </c>
    </row>
    <row r="1300" ht="16.5" customHeight="1" s="186">
      <c r="A1300" s="760" t="n"/>
      <c r="B1300" s="760" t="n"/>
      <c r="C1300" s="762" t="n"/>
      <c r="D1300" s="762" t="n"/>
      <c r="E1300" s="775" t="n"/>
      <c r="F1300" s="821" t="n"/>
      <c r="G1300" s="821" t="n"/>
      <c r="H1300" s="818">
        <f>IF(G1300=1,F1300-I1300-J1300-K1300,IF(G1300=2,F1300,0))</f>
        <v>0</v>
      </c>
      <c r="I1300" s="818">
        <f>ROUND(IF(G1300=1,F1300*10/23,IF(G1300=3,F1300-J1300-K1300,IF(G1300=4,F1300,IF(G1300=5,F1300*10/11,IF(G1300=7,F1300*10/11,0))))),0)</f>
        <v>0</v>
      </c>
      <c r="J1300" s="818">
        <f>ROUND(IF(G1300=1,F1300/23,IF(G1300=3,F1300/12,IF(G1300=5,F1300-I1300,IF(G1300=8,F1300,0)))),0)</f>
        <v>0</v>
      </c>
      <c r="K1300" s="819">
        <f>ROUND(IF(G1300=1,F1300/23,IF(G1300=3,F1300/12,IF(G1300=6,F1300,IF(G1300=7,F1300-I1300,0)))),0)</f>
        <v>0</v>
      </c>
      <c r="L1300" s="820">
        <f>IF(G1300=6,F1300,0)</f>
        <v>0</v>
      </c>
      <c r="P1300" s="768" t="n"/>
      <c r="Q1300" s="769" t="str">
        <f>IF($F1300="","",IFERROR(VLOOKUP($C1300&amp;"|"&amp;$D1300,科目表!$A$5:$B$200,2,FALSE),"※未登録"))</f>
        <v/>
      </c>
      <c r="R1300" s="769" t="str">
        <f>IF($F1300="","",$I1300+$J1300+$K1300)</f>
        <v/>
      </c>
      <c r="S1300" s="769" t="str">
        <f>IF(OR($F1300="",$P1300="支払なし",$H1300=0,$Q1300=""),"",$Q1300&amp;"|S|"&amp;(COUNTIF(S$4:S1299,$Q1300&amp;"|S|*")+1))</f>
        <v/>
      </c>
      <c r="T1300" s="769" t="str">
        <f>IF(OR($F1300="",$P1300="支払なし",$R1300=0,$Q1300=""),"",$Q1300&amp;"|L|"&amp;(COUNTIF(T$4:T1299,$Q1300&amp;"|L|*")+1))</f>
        <v/>
      </c>
      <c r="U1300" s="769" t="str">
        <f>IF($F1300="","",13)</f>
        <v/>
      </c>
    </row>
    <row r="1301" ht="16.5" customHeight="1" s="186">
      <c r="A1301" s="760" t="n"/>
      <c r="B1301" s="760" t="n"/>
      <c r="C1301" s="762" t="n"/>
      <c r="D1301" s="762" t="n"/>
      <c r="E1301" s="775" t="n"/>
      <c r="F1301" s="821" t="n"/>
      <c r="G1301" s="821" t="n"/>
      <c r="H1301" s="818">
        <f>IF(G1301=1,F1301-I1301-J1301-K1301,IF(G1301=2,F1301,0))</f>
        <v>0</v>
      </c>
      <c r="I1301" s="818">
        <f>ROUND(IF(G1301=1,F1301*10/23,IF(G1301=3,F1301-J1301-K1301,IF(G1301=4,F1301,IF(G1301=5,F1301*10/11,IF(G1301=7,F1301*10/11,0))))),0)</f>
        <v>0</v>
      </c>
      <c r="J1301" s="818">
        <f>ROUND(IF(G1301=1,F1301/23,IF(G1301=3,F1301/12,IF(G1301=5,F1301-I1301,IF(G1301=8,F1301,0)))),0)</f>
        <v>0</v>
      </c>
      <c r="K1301" s="819">
        <f>ROUND(IF(G1301=1,F1301/23,IF(G1301=3,F1301/12,IF(G1301=6,F1301,IF(G1301=7,F1301-I1301,0)))),0)</f>
        <v>0</v>
      </c>
      <c r="L1301" s="820">
        <f>IF(G1301=6,F1301,0)</f>
        <v>0</v>
      </c>
      <c r="P1301" s="768" t="n"/>
      <c r="Q1301" s="769" t="str">
        <f>IF($F1301="","",IFERROR(VLOOKUP($C1301&amp;"|"&amp;$D1301,科目表!$A$5:$B$200,2,FALSE),"※未登録"))</f>
        <v/>
      </c>
      <c r="R1301" s="769" t="str">
        <f>IF($F1301="","",$I1301+$J1301+$K1301)</f>
        <v/>
      </c>
      <c r="S1301" s="769" t="str">
        <f>IF(OR($F1301="",$P1301="支払なし",$H1301=0,$Q1301=""),"",$Q1301&amp;"|S|"&amp;(COUNTIF(S$4:S1300,$Q1301&amp;"|S|*")+1))</f>
        <v/>
      </c>
      <c r="T1301" s="769" t="str">
        <f>IF(OR($F1301="",$P1301="支払なし",$R1301=0,$Q1301=""),"",$Q1301&amp;"|L|"&amp;(COUNTIF(T$4:T1300,$Q1301&amp;"|L|*")+1))</f>
        <v/>
      </c>
      <c r="U1301" s="769" t="str">
        <f>IF($F1301="","",13)</f>
        <v/>
      </c>
    </row>
    <row r="1302" ht="16.5" customHeight="1" s="186">
      <c r="A1302" s="760" t="n"/>
      <c r="B1302" s="760" t="n"/>
      <c r="C1302" s="762" t="n"/>
      <c r="D1302" s="762" t="n"/>
      <c r="E1302" s="775" t="n"/>
      <c r="F1302" s="821" t="n"/>
      <c r="G1302" s="821" t="n"/>
      <c r="H1302" s="818">
        <f>IF(G1302=1,F1302-I1302-J1302-K1302,IF(G1302=2,F1302,0))</f>
        <v>0</v>
      </c>
      <c r="I1302" s="818">
        <f>ROUND(IF(G1302=1,F1302*10/23,IF(G1302=3,F1302-J1302-K1302,IF(G1302=4,F1302,IF(G1302=5,F1302*10/11,IF(G1302=7,F1302*10/11,0))))),0)</f>
        <v>0</v>
      </c>
      <c r="J1302" s="818">
        <f>ROUND(IF(G1302=1,F1302/23,IF(G1302=3,F1302/12,IF(G1302=5,F1302-I1302,IF(G1302=8,F1302,0)))),0)</f>
        <v>0</v>
      </c>
      <c r="K1302" s="819">
        <f>ROUND(IF(G1302=1,F1302/23,IF(G1302=3,F1302/12,IF(G1302=6,F1302,IF(G1302=7,F1302-I1302,0)))),0)</f>
        <v>0</v>
      </c>
      <c r="L1302" s="820">
        <f>IF(G1302=6,F1302,0)</f>
        <v>0</v>
      </c>
      <c r="P1302" s="768" t="n"/>
      <c r="Q1302" s="769" t="str">
        <f>IF($F1302="","",IFERROR(VLOOKUP($C1302&amp;"|"&amp;$D1302,科目表!$A$5:$B$200,2,FALSE),"※未登録"))</f>
        <v/>
      </c>
      <c r="R1302" s="769" t="str">
        <f>IF($F1302="","",$I1302+$J1302+$K1302)</f>
        <v/>
      </c>
      <c r="S1302" s="769" t="str">
        <f>IF(OR($F1302="",$P1302="支払なし",$H1302=0,$Q1302=""),"",$Q1302&amp;"|S|"&amp;(COUNTIF(S$4:S1301,$Q1302&amp;"|S|*")+1))</f>
        <v/>
      </c>
      <c r="T1302" s="769" t="str">
        <f>IF(OR($F1302="",$P1302="支払なし",$R1302=0,$Q1302=""),"",$Q1302&amp;"|L|"&amp;(COUNTIF(T$4:T1301,$Q1302&amp;"|L|*")+1))</f>
        <v/>
      </c>
      <c r="U1302" s="769" t="str">
        <f>IF($F1302="","",13)</f>
        <v/>
      </c>
    </row>
    <row r="1303" ht="16.5" customHeight="1" s="186">
      <c r="A1303" s="760" t="n"/>
      <c r="B1303" s="760" t="n"/>
      <c r="C1303" s="762" t="n"/>
      <c r="D1303" s="762" t="n"/>
      <c r="E1303" s="775" t="n"/>
      <c r="F1303" s="821" t="n"/>
      <c r="G1303" s="821" t="n"/>
      <c r="H1303" s="818">
        <f>IF(G1303=1,F1303-I1303-J1303-K1303,IF(G1303=2,F1303,0))</f>
        <v>0</v>
      </c>
      <c r="I1303" s="818">
        <f>ROUND(IF(G1303=1,F1303*10/23,IF(G1303=3,F1303-J1303-K1303,IF(G1303=4,F1303,IF(G1303=5,F1303*10/11,IF(G1303=7,F1303*10/11,0))))),0)</f>
        <v>0</v>
      </c>
      <c r="J1303" s="818">
        <f>ROUND(IF(G1303=1,F1303/23,IF(G1303=3,F1303/12,IF(G1303=5,F1303-I1303,IF(G1303=8,F1303,0)))),0)</f>
        <v>0</v>
      </c>
      <c r="K1303" s="819">
        <f>ROUND(IF(G1303=1,F1303/23,IF(G1303=3,F1303/12,IF(G1303=6,F1303,IF(G1303=7,F1303-I1303,0)))),0)</f>
        <v>0</v>
      </c>
      <c r="L1303" s="820">
        <f>IF(G1303=6,F1303,0)</f>
        <v>0</v>
      </c>
      <c r="P1303" s="768" t="n"/>
      <c r="Q1303" s="769" t="str">
        <f>IF($F1303="","",IFERROR(VLOOKUP($C1303&amp;"|"&amp;$D1303,科目表!$A$5:$B$200,2,FALSE),"※未登録"))</f>
        <v/>
      </c>
      <c r="R1303" s="769" t="str">
        <f>IF($F1303="","",$I1303+$J1303+$K1303)</f>
        <v/>
      </c>
      <c r="S1303" s="769" t="str">
        <f>IF(OR($F1303="",$P1303="支払なし",$H1303=0,$Q1303=""),"",$Q1303&amp;"|S|"&amp;(COUNTIF(S$4:S1302,$Q1303&amp;"|S|*")+1))</f>
        <v/>
      </c>
      <c r="T1303" s="769" t="str">
        <f>IF(OR($F1303="",$P1303="支払なし",$R1303=0,$Q1303=""),"",$Q1303&amp;"|L|"&amp;(COUNTIF(T$4:T1302,$Q1303&amp;"|L|*")+1))</f>
        <v/>
      </c>
      <c r="U1303" s="769" t="str">
        <f>IF($F1303="","",13)</f>
        <v/>
      </c>
    </row>
    <row r="1304" ht="16.5" customHeight="1" s="186">
      <c r="A1304" s="760" t="n"/>
      <c r="B1304" s="760" t="n"/>
      <c r="C1304" s="762" t="n"/>
      <c r="D1304" s="762" t="n"/>
      <c r="E1304" s="775" t="n"/>
      <c r="F1304" s="821" t="n"/>
      <c r="G1304" s="821" t="n"/>
      <c r="H1304" s="818">
        <f>IF(G1304=1,F1304-I1304-J1304-K1304,IF(G1304=2,F1304,0))</f>
        <v>0</v>
      </c>
      <c r="I1304" s="818">
        <f>ROUND(IF(G1304=1,F1304*10/23,IF(G1304=3,F1304-J1304-K1304,IF(G1304=4,F1304,IF(G1304=5,F1304*10/11,IF(G1304=7,F1304*10/11,0))))),0)</f>
        <v>0</v>
      </c>
      <c r="J1304" s="818">
        <f>ROUND(IF(G1304=1,F1304/23,IF(G1304=3,F1304/12,IF(G1304=5,F1304-I1304,IF(G1304=8,F1304,0)))),0)</f>
        <v>0</v>
      </c>
      <c r="K1304" s="819">
        <f>ROUND(IF(G1304=1,F1304/23,IF(G1304=3,F1304/12,IF(G1304=6,F1304,IF(G1304=7,F1304-I1304,0)))),0)</f>
        <v>0</v>
      </c>
      <c r="L1304" s="820">
        <f>IF(G1304=6,F1304,0)</f>
        <v>0</v>
      </c>
      <c r="P1304" s="768" t="n"/>
      <c r="Q1304" s="769" t="str">
        <f>IF($F1304="","",IFERROR(VLOOKUP($C1304&amp;"|"&amp;$D1304,科目表!$A$5:$B$200,2,FALSE),"※未登録"))</f>
        <v/>
      </c>
      <c r="R1304" s="769" t="str">
        <f>IF($F1304="","",$I1304+$J1304+$K1304)</f>
        <v/>
      </c>
      <c r="S1304" s="769" t="str">
        <f>IF(OR($F1304="",$P1304="支払なし",$H1304=0,$Q1304=""),"",$Q1304&amp;"|S|"&amp;(COUNTIF(S$4:S1303,$Q1304&amp;"|S|*")+1))</f>
        <v/>
      </c>
      <c r="T1304" s="769" t="str">
        <f>IF(OR($F1304="",$P1304="支払なし",$R1304=0,$Q1304=""),"",$Q1304&amp;"|L|"&amp;(COUNTIF(T$4:T1303,$Q1304&amp;"|L|*")+1))</f>
        <v/>
      </c>
      <c r="U1304" s="769" t="str">
        <f>IF($F1304="","",13)</f>
        <v/>
      </c>
    </row>
    <row r="1305" ht="16.5" customHeight="1" s="186">
      <c r="A1305" s="760" t="n"/>
      <c r="B1305" s="760" t="n"/>
      <c r="C1305" s="762" t="n"/>
      <c r="D1305" s="762" t="n"/>
      <c r="E1305" s="775" t="n"/>
      <c r="F1305" s="821" t="n"/>
      <c r="G1305" s="821" t="n"/>
      <c r="H1305" s="818">
        <f>IF(G1305=1,F1305-I1305-J1305-K1305,IF(G1305=2,F1305,0))</f>
        <v>0</v>
      </c>
      <c r="I1305" s="818">
        <f>ROUND(IF(G1305=1,F1305*10/23,IF(G1305=3,F1305-J1305-K1305,IF(G1305=4,F1305,IF(G1305=5,F1305*10/11,IF(G1305=7,F1305*10/11,0))))),0)</f>
        <v>0</v>
      </c>
      <c r="J1305" s="818">
        <f>ROUND(IF(G1305=1,F1305/23,IF(G1305=3,F1305/12,IF(G1305=5,F1305-I1305,IF(G1305=8,F1305,0)))),0)</f>
        <v>0</v>
      </c>
      <c r="K1305" s="819">
        <f>ROUND(IF(G1305=1,F1305/23,IF(G1305=3,F1305/12,IF(G1305=6,F1305,IF(G1305=7,F1305-I1305,0)))),0)</f>
        <v>0</v>
      </c>
      <c r="L1305" s="820">
        <f>IF(G1305=6,F1305,0)</f>
        <v>0</v>
      </c>
      <c r="P1305" s="768" t="n"/>
      <c r="Q1305" s="769" t="str">
        <f>IF($F1305="","",IFERROR(VLOOKUP($C1305&amp;"|"&amp;$D1305,科目表!$A$5:$B$200,2,FALSE),"※未登録"))</f>
        <v/>
      </c>
      <c r="R1305" s="769" t="str">
        <f>IF($F1305="","",$I1305+$J1305+$K1305)</f>
        <v/>
      </c>
      <c r="S1305" s="769" t="str">
        <f>IF(OR($F1305="",$P1305="支払なし",$H1305=0,$Q1305=""),"",$Q1305&amp;"|S|"&amp;(COUNTIF(S$4:S1304,$Q1305&amp;"|S|*")+1))</f>
        <v/>
      </c>
      <c r="T1305" s="769" t="str">
        <f>IF(OR($F1305="",$P1305="支払なし",$R1305=0,$Q1305=""),"",$Q1305&amp;"|L|"&amp;(COUNTIF(T$4:T1304,$Q1305&amp;"|L|*")+1))</f>
        <v/>
      </c>
      <c r="U1305" s="769" t="str">
        <f>IF($F1305="","",13)</f>
        <v/>
      </c>
    </row>
    <row r="1306" ht="16.5" customHeight="1" s="186">
      <c r="A1306" s="760" t="n"/>
      <c r="B1306" s="760" t="n"/>
      <c r="C1306" s="762" t="n"/>
      <c r="D1306" s="762" t="n"/>
      <c r="E1306" s="775" t="n"/>
      <c r="F1306" s="821" t="n"/>
      <c r="G1306" s="821" t="n"/>
      <c r="H1306" s="818">
        <f>IF(G1306=1,F1306-I1306-J1306-K1306,IF(G1306=2,F1306,0))</f>
        <v>0</v>
      </c>
      <c r="I1306" s="818">
        <f>ROUND(IF(G1306=1,F1306*10/23,IF(G1306=3,F1306-J1306-K1306,IF(G1306=4,F1306,IF(G1306=5,F1306*10/11,IF(G1306=7,F1306*10/11,0))))),0)</f>
        <v>0</v>
      </c>
      <c r="J1306" s="818">
        <f>ROUND(IF(G1306=1,F1306/23,IF(G1306=3,F1306/12,IF(G1306=5,F1306-I1306,IF(G1306=8,F1306,0)))),0)</f>
        <v>0</v>
      </c>
      <c r="K1306" s="819">
        <f>ROUND(IF(G1306=1,F1306/23,IF(G1306=3,F1306/12,IF(G1306=6,F1306,IF(G1306=7,F1306-I1306,0)))),0)</f>
        <v>0</v>
      </c>
      <c r="L1306" s="820">
        <f>IF(G1306=6,F1306,0)</f>
        <v>0</v>
      </c>
      <c r="P1306" s="768" t="n"/>
      <c r="Q1306" s="769" t="str">
        <f>IF($F1306="","",IFERROR(VLOOKUP($C1306&amp;"|"&amp;$D1306,科目表!$A$5:$B$200,2,FALSE),"※未登録"))</f>
        <v/>
      </c>
      <c r="R1306" s="769" t="str">
        <f>IF($F1306="","",$I1306+$J1306+$K1306)</f>
        <v/>
      </c>
      <c r="S1306" s="769" t="str">
        <f>IF(OR($F1306="",$P1306="支払なし",$H1306=0,$Q1306=""),"",$Q1306&amp;"|S|"&amp;(COUNTIF(S$4:S1305,$Q1306&amp;"|S|*")+1))</f>
        <v/>
      </c>
      <c r="T1306" s="769" t="str">
        <f>IF(OR($F1306="",$P1306="支払なし",$R1306=0,$Q1306=""),"",$Q1306&amp;"|L|"&amp;(COUNTIF(T$4:T1305,$Q1306&amp;"|L|*")+1))</f>
        <v/>
      </c>
      <c r="U1306" s="769" t="str">
        <f>IF($F1306="","",13)</f>
        <v/>
      </c>
    </row>
    <row r="1307" ht="16.5" customHeight="1" s="186">
      <c r="A1307" s="760" t="n"/>
      <c r="B1307" s="760" t="n"/>
      <c r="C1307" s="762" t="n"/>
      <c r="D1307" s="762" t="n"/>
      <c r="E1307" s="775" t="n"/>
      <c r="F1307" s="821" t="n"/>
      <c r="G1307" s="821" t="n"/>
      <c r="H1307" s="818">
        <f>IF(G1307=1,F1307-I1307-J1307-K1307,IF(G1307=2,F1307,0))</f>
        <v>0</v>
      </c>
      <c r="I1307" s="818">
        <f>ROUND(IF(G1307=1,F1307*10/23,IF(G1307=3,F1307-J1307-K1307,IF(G1307=4,F1307,IF(G1307=5,F1307*10/11,IF(G1307=7,F1307*10/11,0))))),0)</f>
        <v>0</v>
      </c>
      <c r="J1307" s="818">
        <f>ROUND(IF(G1307=1,F1307/23,IF(G1307=3,F1307/12,IF(G1307=5,F1307-I1307,IF(G1307=8,F1307,0)))),0)</f>
        <v>0</v>
      </c>
      <c r="K1307" s="819">
        <f>ROUND(IF(G1307=1,F1307/23,IF(G1307=3,F1307/12,IF(G1307=6,F1307,IF(G1307=7,F1307-I1307,0)))),0)</f>
        <v>0</v>
      </c>
      <c r="L1307" s="820">
        <f>IF(G1307=6,F1307,0)</f>
        <v>0</v>
      </c>
      <c r="P1307" s="768" t="n"/>
      <c r="Q1307" s="769" t="str">
        <f>IF($F1307="","",IFERROR(VLOOKUP($C1307&amp;"|"&amp;$D1307,科目表!$A$5:$B$200,2,FALSE),"※未登録"))</f>
        <v/>
      </c>
      <c r="R1307" s="769" t="str">
        <f>IF($F1307="","",$I1307+$J1307+$K1307)</f>
        <v/>
      </c>
      <c r="S1307" s="769" t="str">
        <f>IF(OR($F1307="",$P1307="支払なし",$H1307=0,$Q1307=""),"",$Q1307&amp;"|S|"&amp;(COUNTIF(S$4:S1306,$Q1307&amp;"|S|*")+1))</f>
        <v/>
      </c>
      <c r="T1307" s="769" t="str">
        <f>IF(OR($F1307="",$P1307="支払なし",$R1307=0,$Q1307=""),"",$Q1307&amp;"|L|"&amp;(COUNTIF(T$4:T1306,$Q1307&amp;"|L|*")+1))</f>
        <v/>
      </c>
      <c r="U1307" s="769" t="str">
        <f>IF($F1307="","",13)</f>
        <v/>
      </c>
    </row>
    <row r="1308" ht="16.5" customHeight="1" s="186">
      <c r="A1308" s="760" t="n"/>
      <c r="B1308" s="760" t="n"/>
      <c r="C1308" s="762" t="n"/>
      <c r="D1308" s="762" t="n"/>
      <c r="E1308" s="775" t="n"/>
      <c r="F1308" s="821" t="n"/>
      <c r="G1308" s="821" t="n"/>
      <c r="H1308" s="818">
        <f>IF(G1308=1,F1308-I1308-J1308-K1308,IF(G1308=2,F1308,0))</f>
        <v>0</v>
      </c>
      <c r="I1308" s="818">
        <f>ROUND(IF(G1308=1,F1308*10/23,IF(G1308=3,F1308-J1308-K1308,IF(G1308=4,F1308,IF(G1308=5,F1308*10/11,IF(G1308=7,F1308*10/11,0))))),0)</f>
        <v>0</v>
      </c>
      <c r="J1308" s="818">
        <f>ROUND(IF(G1308=1,F1308/23,IF(G1308=3,F1308/12,IF(G1308=5,F1308-I1308,IF(G1308=8,F1308,0)))),0)</f>
        <v>0</v>
      </c>
      <c r="K1308" s="819">
        <f>ROUND(IF(G1308=1,F1308/23,IF(G1308=3,F1308/12,IF(G1308=6,F1308,IF(G1308=7,F1308-I1308,0)))),0)</f>
        <v>0</v>
      </c>
      <c r="L1308" s="820">
        <f>IF(G1308=6,F1308,0)</f>
        <v>0</v>
      </c>
      <c r="P1308" s="768" t="n"/>
      <c r="Q1308" s="769" t="str">
        <f>IF($F1308="","",IFERROR(VLOOKUP($C1308&amp;"|"&amp;$D1308,科目表!$A$5:$B$200,2,FALSE),"※未登録"))</f>
        <v/>
      </c>
      <c r="R1308" s="769" t="str">
        <f>IF($F1308="","",$I1308+$J1308+$K1308)</f>
        <v/>
      </c>
      <c r="S1308" s="769" t="str">
        <f>IF(OR($F1308="",$P1308="支払なし",$H1308=0,$Q1308=""),"",$Q1308&amp;"|S|"&amp;(COUNTIF(S$4:S1307,$Q1308&amp;"|S|*")+1))</f>
        <v/>
      </c>
      <c r="T1308" s="769" t="str">
        <f>IF(OR($F1308="",$P1308="支払なし",$R1308=0,$Q1308=""),"",$Q1308&amp;"|L|"&amp;(COUNTIF(T$4:T1307,$Q1308&amp;"|L|*")+1))</f>
        <v/>
      </c>
      <c r="U1308" s="769" t="str">
        <f>IF($F1308="","",13)</f>
        <v/>
      </c>
    </row>
    <row r="1309" ht="16.5" customHeight="1" s="186">
      <c r="A1309" s="760" t="n"/>
      <c r="B1309" s="760" t="n"/>
      <c r="C1309" s="762" t="n"/>
      <c r="D1309" s="762" t="n"/>
      <c r="E1309" s="775" t="n"/>
      <c r="F1309" s="821" t="n"/>
      <c r="G1309" s="821" t="n"/>
      <c r="H1309" s="818">
        <f>IF(G1309=1,F1309-I1309-J1309-K1309,IF(G1309=2,F1309,0))</f>
        <v>0</v>
      </c>
      <c r="I1309" s="818">
        <f>ROUND(IF(G1309=1,F1309*10/23,IF(G1309=3,F1309-J1309-K1309,IF(G1309=4,F1309,IF(G1309=5,F1309*10/11,IF(G1309=7,F1309*10/11,0))))),0)</f>
        <v>0</v>
      </c>
      <c r="J1309" s="818">
        <f>ROUND(IF(G1309=1,F1309/23,IF(G1309=3,F1309/12,IF(G1309=5,F1309-I1309,IF(G1309=8,F1309,0)))),0)</f>
        <v>0</v>
      </c>
      <c r="K1309" s="819">
        <f>ROUND(IF(G1309=1,F1309/23,IF(G1309=3,F1309/12,IF(G1309=6,F1309,IF(G1309=7,F1309-I1309,0)))),0)</f>
        <v>0</v>
      </c>
      <c r="L1309" s="820">
        <f>IF(G1309=6,F1309,0)</f>
        <v>0</v>
      </c>
      <c r="P1309" s="768" t="n"/>
      <c r="Q1309" s="769" t="str">
        <f>IF($F1309="","",IFERROR(VLOOKUP($C1309&amp;"|"&amp;$D1309,科目表!$A$5:$B$200,2,FALSE),"※未登録"))</f>
        <v/>
      </c>
      <c r="R1309" s="769" t="str">
        <f>IF($F1309="","",$I1309+$J1309+$K1309)</f>
        <v/>
      </c>
      <c r="S1309" s="769" t="str">
        <f>IF(OR($F1309="",$P1309="支払なし",$H1309=0,$Q1309=""),"",$Q1309&amp;"|S|"&amp;(COUNTIF(S$4:S1308,$Q1309&amp;"|S|*")+1))</f>
        <v/>
      </c>
      <c r="T1309" s="769" t="str">
        <f>IF(OR($F1309="",$P1309="支払なし",$R1309=0,$Q1309=""),"",$Q1309&amp;"|L|"&amp;(COUNTIF(T$4:T1308,$Q1309&amp;"|L|*")+1))</f>
        <v/>
      </c>
      <c r="U1309" s="769" t="str">
        <f>IF($F1309="","",13)</f>
        <v/>
      </c>
    </row>
    <row r="1310" ht="16.5" customHeight="1" s="186">
      <c r="A1310" s="760" t="n"/>
      <c r="B1310" s="760" t="n"/>
      <c r="C1310" s="762" t="n"/>
      <c r="D1310" s="762" t="n"/>
      <c r="E1310" s="775" t="n"/>
      <c r="F1310" s="821" t="n"/>
      <c r="G1310" s="821" t="n"/>
      <c r="H1310" s="818">
        <f>IF(G1310=1,F1310-I1310-J1310-K1310,IF(G1310=2,F1310,0))</f>
        <v>0</v>
      </c>
      <c r="I1310" s="818">
        <f>ROUND(IF(G1310=1,F1310*10/23,IF(G1310=3,F1310-J1310-K1310,IF(G1310=4,F1310,IF(G1310=5,F1310*10/11,IF(G1310=7,F1310*10/11,0))))),0)</f>
        <v>0</v>
      </c>
      <c r="J1310" s="818">
        <f>ROUND(IF(G1310=1,F1310/23,IF(G1310=3,F1310/12,IF(G1310=5,F1310-I1310,IF(G1310=8,F1310,0)))),0)</f>
        <v>0</v>
      </c>
      <c r="K1310" s="819">
        <f>ROUND(IF(G1310=1,F1310/23,IF(G1310=3,F1310/12,IF(G1310=6,F1310,IF(G1310=7,F1310-I1310,0)))),0)</f>
        <v>0</v>
      </c>
      <c r="L1310" s="820">
        <f>IF(G1310=6,F1310,0)</f>
        <v>0</v>
      </c>
      <c r="P1310" s="768" t="n"/>
      <c r="Q1310" s="769" t="str">
        <f>IF($F1310="","",IFERROR(VLOOKUP($C1310&amp;"|"&amp;$D1310,科目表!$A$5:$B$200,2,FALSE),"※未登録"))</f>
        <v/>
      </c>
      <c r="R1310" s="769" t="str">
        <f>IF($F1310="","",$I1310+$J1310+$K1310)</f>
        <v/>
      </c>
      <c r="S1310" s="769" t="str">
        <f>IF(OR($F1310="",$P1310="支払なし",$H1310=0,$Q1310=""),"",$Q1310&amp;"|S|"&amp;(COUNTIF(S$4:S1309,$Q1310&amp;"|S|*")+1))</f>
        <v/>
      </c>
      <c r="T1310" s="769" t="str">
        <f>IF(OR($F1310="",$P1310="支払なし",$R1310=0,$Q1310=""),"",$Q1310&amp;"|L|"&amp;(COUNTIF(T$4:T1309,$Q1310&amp;"|L|*")+1))</f>
        <v/>
      </c>
      <c r="U1310" s="769" t="str">
        <f>IF($F1310="","",13)</f>
        <v/>
      </c>
    </row>
    <row r="1311" ht="16.5" customHeight="1" s="186">
      <c r="A1311" s="760" t="n"/>
      <c r="B1311" s="760" t="n"/>
      <c r="C1311" s="762" t="n"/>
      <c r="D1311" s="762" t="n"/>
      <c r="E1311" s="775" t="n"/>
      <c r="F1311" s="821" t="n"/>
      <c r="G1311" s="821" t="n"/>
      <c r="H1311" s="818">
        <f>IF(G1311=1,F1311-I1311-J1311-K1311,IF(G1311=2,F1311,0))</f>
        <v>0</v>
      </c>
      <c r="I1311" s="818">
        <f>ROUND(IF(G1311=1,F1311*10/23,IF(G1311=3,F1311-J1311-K1311,IF(G1311=4,F1311,IF(G1311=5,F1311*10/11,IF(G1311=7,F1311*10/11,0))))),0)</f>
        <v>0</v>
      </c>
      <c r="J1311" s="818">
        <f>ROUND(IF(G1311=1,F1311/23,IF(G1311=3,F1311/12,IF(G1311=5,F1311-I1311,IF(G1311=8,F1311,0)))),0)</f>
        <v>0</v>
      </c>
      <c r="K1311" s="819">
        <f>ROUND(IF(G1311=1,F1311/23,IF(G1311=3,F1311/12,IF(G1311=6,F1311,IF(G1311=7,F1311-I1311,0)))),0)</f>
        <v>0</v>
      </c>
      <c r="L1311" s="820">
        <f>IF(G1311=6,F1311,0)</f>
        <v>0</v>
      </c>
      <c r="P1311" s="768" t="n"/>
      <c r="Q1311" s="769" t="str">
        <f>IF($F1311="","",IFERROR(VLOOKUP($C1311&amp;"|"&amp;$D1311,科目表!$A$5:$B$200,2,FALSE),"※未登録"))</f>
        <v/>
      </c>
      <c r="R1311" s="769" t="str">
        <f>IF($F1311="","",$I1311+$J1311+$K1311)</f>
        <v/>
      </c>
      <c r="S1311" s="769" t="str">
        <f>IF(OR($F1311="",$P1311="支払なし",$H1311=0,$Q1311=""),"",$Q1311&amp;"|S|"&amp;(COUNTIF(S$4:S1310,$Q1311&amp;"|S|*")+1))</f>
        <v/>
      </c>
      <c r="T1311" s="769" t="str">
        <f>IF(OR($F1311="",$P1311="支払なし",$R1311=0,$Q1311=""),"",$Q1311&amp;"|L|"&amp;(COUNTIF(T$4:T1310,$Q1311&amp;"|L|*")+1))</f>
        <v/>
      </c>
      <c r="U1311" s="769" t="str">
        <f>IF($F1311="","",13)</f>
        <v/>
      </c>
    </row>
    <row r="1312" ht="16.5" customHeight="1" s="186">
      <c r="A1312" s="760" t="n"/>
      <c r="B1312" s="760" t="n"/>
      <c r="C1312" s="762" t="n"/>
      <c r="D1312" s="762" t="n"/>
      <c r="E1312" s="775" t="n"/>
      <c r="F1312" s="821" t="n"/>
      <c r="G1312" s="821" t="n"/>
      <c r="H1312" s="818">
        <f>IF(G1312=1,F1312-I1312-J1312-K1312,IF(G1312=2,F1312,0))</f>
        <v>0</v>
      </c>
      <c r="I1312" s="818">
        <f>ROUND(IF(G1312=1,F1312*10/23,IF(G1312=3,F1312-J1312-K1312,IF(G1312=4,F1312,IF(G1312=5,F1312*10/11,IF(G1312=7,F1312*10/11,0))))),0)</f>
        <v>0</v>
      </c>
      <c r="J1312" s="818">
        <f>ROUND(IF(G1312=1,F1312/23,IF(G1312=3,F1312/12,IF(G1312=5,F1312-I1312,IF(G1312=8,F1312,0)))),0)</f>
        <v>0</v>
      </c>
      <c r="K1312" s="819">
        <f>ROUND(IF(G1312=1,F1312/23,IF(G1312=3,F1312/12,IF(G1312=6,F1312,IF(G1312=7,F1312-I1312,0)))),0)</f>
        <v>0</v>
      </c>
      <c r="L1312" s="820">
        <f>IF(G1312=6,F1312,0)</f>
        <v>0</v>
      </c>
      <c r="P1312" s="768" t="n"/>
      <c r="Q1312" s="769" t="str">
        <f>IF($F1312="","",IFERROR(VLOOKUP($C1312&amp;"|"&amp;$D1312,科目表!$A$5:$B$200,2,FALSE),"※未登録"))</f>
        <v/>
      </c>
      <c r="R1312" s="769" t="str">
        <f>IF($F1312="","",$I1312+$J1312+$K1312)</f>
        <v/>
      </c>
      <c r="S1312" s="769" t="str">
        <f>IF(OR($F1312="",$P1312="支払なし",$H1312=0,$Q1312=""),"",$Q1312&amp;"|S|"&amp;(COUNTIF(S$4:S1311,$Q1312&amp;"|S|*")+1))</f>
        <v/>
      </c>
      <c r="T1312" s="769" t="str">
        <f>IF(OR($F1312="",$P1312="支払なし",$R1312=0,$Q1312=""),"",$Q1312&amp;"|L|"&amp;(COUNTIF(T$4:T1311,$Q1312&amp;"|L|*")+1))</f>
        <v/>
      </c>
      <c r="U1312" s="769" t="str">
        <f>IF($F1312="","",13)</f>
        <v/>
      </c>
    </row>
    <row r="1313" ht="16.5" customHeight="1" s="186">
      <c r="A1313" s="760" t="n"/>
      <c r="B1313" s="760" t="n"/>
      <c r="C1313" s="762" t="n"/>
      <c r="D1313" s="762" t="n"/>
      <c r="E1313" s="775" t="n"/>
      <c r="F1313" s="821" t="n"/>
      <c r="G1313" s="821" t="n"/>
      <c r="H1313" s="818">
        <f>IF(G1313=1,F1313-I1313-J1313-K1313,IF(G1313=2,F1313,0))</f>
        <v>0</v>
      </c>
      <c r="I1313" s="818">
        <f>ROUND(IF(G1313=1,F1313*10/23,IF(G1313=3,F1313-J1313-K1313,IF(G1313=4,F1313,IF(G1313=5,F1313*10/11,IF(G1313=7,F1313*10/11,0))))),0)</f>
        <v>0</v>
      </c>
      <c r="J1313" s="818">
        <f>ROUND(IF(G1313=1,F1313/23,IF(G1313=3,F1313/12,IF(G1313=5,F1313-I1313,IF(G1313=8,F1313,0)))),0)</f>
        <v>0</v>
      </c>
      <c r="K1313" s="819">
        <f>ROUND(IF(G1313=1,F1313/23,IF(G1313=3,F1313/12,IF(G1313=6,F1313,IF(G1313=7,F1313-I1313,0)))),0)</f>
        <v>0</v>
      </c>
      <c r="L1313" s="820">
        <f>IF(G1313=6,F1313,0)</f>
        <v>0</v>
      </c>
      <c r="P1313" s="768" t="n"/>
      <c r="Q1313" s="769" t="str">
        <f>IF($F1313="","",IFERROR(VLOOKUP($C1313&amp;"|"&amp;$D1313,科目表!$A$5:$B$200,2,FALSE),"※未登録"))</f>
        <v/>
      </c>
      <c r="R1313" s="769" t="str">
        <f>IF($F1313="","",$I1313+$J1313+$K1313)</f>
        <v/>
      </c>
      <c r="S1313" s="769" t="str">
        <f>IF(OR($F1313="",$P1313="支払なし",$H1313=0,$Q1313=""),"",$Q1313&amp;"|S|"&amp;(COUNTIF(S$4:S1312,$Q1313&amp;"|S|*")+1))</f>
        <v/>
      </c>
      <c r="T1313" s="769" t="str">
        <f>IF(OR($F1313="",$P1313="支払なし",$R1313=0,$Q1313=""),"",$Q1313&amp;"|L|"&amp;(COUNTIF(T$4:T1312,$Q1313&amp;"|L|*")+1))</f>
        <v/>
      </c>
      <c r="U1313" s="769" t="str">
        <f>IF($F1313="","",13)</f>
        <v/>
      </c>
    </row>
    <row r="1314" ht="16.5" customHeight="1" s="186">
      <c r="A1314" s="760" t="n"/>
      <c r="B1314" s="760" t="n"/>
      <c r="C1314" s="762" t="n"/>
      <c r="D1314" s="762" t="n"/>
      <c r="E1314" s="775" t="n"/>
      <c r="F1314" s="821" t="n"/>
      <c r="G1314" s="821" t="n"/>
      <c r="H1314" s="818">
        <f>IF(G1314=1,F1314-I1314-J1314-K1314,IF(G1314=2,F1314,0))</f>
        <v>0</v>
      </c>
      <c r="I1314" s="818">
        <f>ROUND(IF(G1314=1,F1314*10/23,IF(G1314=3,F1314-J1314-K1314,IF(G1314=4,F1314,IF(G1314=5,F1314*10/11,IF(G1314=7,F1314*10/11,0))))),0)</f>
        <v>0</v>
      </c>
      <c r="J1314" s="818">
        <f>ROUND(IF(G1314=1,F1314/23,IF(G1314=3,F1314/12,IF(G1314=5,F1314-I1314,IF(G1314=8,F1314,0)))),0)</f>
        <v>0</v>
      </c>
      <c r="K1314" s="819">
        <f>ROUND(IF(G1314=1,F1314/23,IF(G1314=3,F1314/12,IF(G1314=6,F1314,IF(G1314=7,F1314-I1314,0)))),0)</f>
        <v>0</v>
      </c>
      <c r="L1314" s="820">
        <f>IF(G1314=6,F1314,0)</f>
        <v>0</v>
      </c>
      <c r="P1314" s="768" t="n"/>
      <c r="Q1314" s="769" t="str">
        <f>IF($F1314="","",IFERROR(VLOOKUP($C1314&amp;"|"&amp;$D1314,科目表!$A$5:$B$200,2,FALSE),"※未登録"))</f>
        <v/>
      </c>
      <c r="R1314" s="769" t="str">
        <f>IF($F1314="","",$I1314+$J1314+$K1314)</f>
        <v/>
      </c>
      <c r="S1314" s="769" t="str">
        <f>IF(OR($F1314="",$P1314="支払なし",$H1314=0,$Q1314=""),"",$Q1314&amp;"|S|"&amp;(COUNTIF(S$4:S1313,$Q1314&amp;"|S|*")+1))</f>
        <v/>
      </c>
      <c r="T1314" s="769" t="str">
        <f>IF(OR($F1314="",$P1314="支払なし",$R1314=0,$Q1314=""),"",$Q1314&amp;"|L|"&amp;(COUNTIF(T$4:T1313,$Q1314&amp;"|L|*")+1))</f>
        <v/>
      </c>
      <c r="U1314" s="769" t="str">
        <f>IF($F1314="","",13)</f>
        <v/>
      </c>
    </row>
    <row r="1315" ht="16.5" customHeight="1" s="186">
      <c r="A1315" s="760" t="n"/>
      <c r="B1315" s="760" t="n"/>
      <c r="C1315" s="762" t="n"/>
      <c r="D1315" s="762" t="n"/>
      <c r="E1315" s="775" t="n"/>
      <c r="F1315" s="821" t="n"/>
      <c r="G1315" s="821" t="n"/>
      <c r="H1315" s="818">
        <f>IF(G1315=1,F1315-I1315-J1315-K1315,IF(G1315=2,F1315,0))</f>
        <v>0</v>
      </c>
      <c r="I1315" s="818">
        <f>ROUND(IF(G1315=1,F1315*10/23,IF(G1315=3,F1315-J1315-K1315,IF(G1315=4,F1315,IF(G1315=5,F1315*10/11,IF(G1315=7,F1315*10/11,0))))),0)</f>
        <v>0</v>
      </c>
      <c r="J1315" s="818">
        <f>ROUND(IF(G1315=1,F1315/23,IF(G1315=3,F1315/12,IF(G1315=5,F1315-I1315,IF(G1315=8,F1315,0)))),0)</f>
        <v>0</v>
      </c>
      <c r="K1315" s="819">
        <f>ROUND(IF(G1315=1,F1315/23,IF(G1315=3,F1315/12,IF(G1315=6,F1315,IF(G1315=7,F1315-I1315,0)))),0)</f>
        <v>0</v>
      </c>
      <c r="L1315" s="820">
        <f>IF(G1315=6,F1315,0)</f>
        <v>0</v>
      </c>
      <c r="P1315" s="768" t="n"/>
      <c r="Q1315" s="769" t="str">
        <f>IF($F1315="","",IFERROR(VLOOKUP($C1315&amp;"|"&amp;$D1315,科目表!$A$5:$B$200,2,FALSE),"※未登録"))</f>
        <v/>
      </c>
      <c r="R1315" s="769" t="str">
        <f>IF($F1315="","",$I1315+$J1315+$K1315)</f>
        <v/>
      </c>
      <c r="S1315" s="769" t="str">
        <f>IF(OR($F1315="",$P1315="支払なし",$H1315=0,$Q1315=""),"",$Q1315&amp;"|S|"&amp;(COUNTIF(S$4:S1314,$Q1315&amp;"|S|*")+1))</f>
        <v/>
      </c>
      <c r="T1315" s="769" t="str">
        <f>IF(OR($F1315="",$P1315="支払なし",$R1315=0,$Q1315=""),"",$Q1315&amp;"|L|"&amp;(COUNTIF(T$4:T1314,$Q1315&amp;"|L|*")+1))</f>
        <v/>
      </c>
      <c r="U1315" s="769" t="str">
        <f>IF($F1315="","",13)</f>
        <v/>
      </c>
    </row>
    <row r="1316" ht="16.5" customHeight="1" s="186">
      <c r="A1316" s="760" t="n"/>
      <c r="B1316" s="760" t="n"/>
      <c r="C1316" s="762" t="n"/>
      <c r="D1316" s="762" t="n"/>
      <c r="E1316" s="775" t="n"/>
      <c r="F1316" s="821" t="n"/>
      <c r="G1316" s="821" t="n"/>
      <c r="H1316" s="818">
        <f>IF(G1316=1,F1316-I1316-J1316-K1316,IF(G1316=2,F1316,0))</f>
        <v>0</v>
      </c>
      <c r="I1316" s="818">
        <f>ROUND(IF(G1316=1,F1316*10/23,IF(G1316=3,F1316-J1316-K1316,IF(G1316=4,F1316,IF(G1316=5,F1316*10/11,IF(G1316=7,F1316*10/11,0))))),0)</f>
        <v>0</v>
      </c>
      <c r="J1316" s="818">
        <f>ROUND(IF(G1316=1,F1316/23,IF(G1316=3,F1316/12,IF(G1316=5,F1316-I1316,IF(G1316=8,F1316,0)))),0)</f>
        <v>0</v>
      </c>
      <c r="K1316" s="819">
        <f>ROUND(IF(G1316=1,F1316/23,IF(G1316=3,F1316/12,IF(G1316=6,F1316,IF(G1316=7,F1316-I1316,0)))),0)</f>
        <v>0</v>
      </c>
      <c r="L1316" s="820">
        <f>IF(G1316=6,F1316,0)</f>
        <v>0</v>
      </c>
      <c r="P1316" s="768" t="n"/>
      <c r="Q1316" s="769" t="str">
        <f>IF($F1316="","",IFERROR(VLOOKUP($C1316&amp;"|"&amp;$D1316,科目表!$A$5:$B$200,2,FALSE),"※未登録"))</f>
        <v/>
      </c>
      <c r="R1316" s="769" t="str">
        <f>IF($F1316="","",$I1316+$J1316+$K1316)</f>
        <v/>
      </c>
      <c r="S1316" s="769" t="str">
        <f>IF(OR($F1316="",$P1316="支払なし",$H1316=0,$Q1316=""),"",$Q1316&amp;"|S|"&amp;(COUNTIF(S$4:S1315,$Q1316&amp;"|S|*")+1))</f>
        <v/>
      </c>
      <c r="T1316" s="769" t="str">
        <f>IF(OR($F1316="",$P1316="支払なし",$R1316=0,$Q1316=""),"",$Q1316&amp;"|L|"&amp;(COUNTIF(T$4:T1315,$Q1316&amp;"|L|*")+1))</f>
        <v/>
      </c>
      <c r="U1316" s="769" t="str">
        <f>IF($F1316="","",13)</f>
        <v/>
      </c>
    </row>
    <row r="1317" ht="16.5" customHeight="1" s="186">
      <c r="A1317" s="760" t="n"/>
      <c r="B1317" s="760" t="n"/>
      <c r="C1317" s="762" t="n"/>
      <c r="D1317" s="762" t="n"/>
      <c r="E1317" s="775" t="n"/>
      <c r="F1317" s="821" t="n"/>
      <c r="G1317" s="821" t="n"/>
      <c r="H1317" s="818">
        <f>IF(G1317=1,F1317-I1317-J1317-K1317,IF(G1317=2,F1317,0))</f>
        <v>0</v>
      </c>
      <c r="I1317" s="818">
        <f>ROUND(IF(G1317=1,F1317*10/23,IF(G1317=3,F1317-J1317-K1317,IF(G1317=4,F1317,IF(G1317=5,F1317*10/11,IF(G1317=7,F1317*10/11,0))))),0)</f>
        <v>0</v>
      </c>
      <c r="J1317" s="818">
        <f>ROUND(IF(G1317=1,F1317/23,IF(G1317=3,F1317/12,IF(G1317=5,F1317-I1317,IF(G1317=8,F1317,0)))),0)</f>
        <v>0</v>
      </c>
      <c r="K1317" s="819">
        <f>ROUND(IF(G1317=1,F1317/23,IF(G1317=3,F1317/12,IF(G1317=6,F1317,IF(G1317=7,F1317-I1317,0)))),0)</f>
        <v>0</v>
      </c>
      <c r="L1317" s="820">
        <f>IF(G1317=6,F1317,0)</f>
        <v>0</v>
      </c>
      <c r="P1317" s="768" t="n"/>
      <c r="Q1317" s="769" t="str">
        <f>IF($F1317="","",IFERROR(VLOOKUP($C1317&amp;"|"&amp;$D1317,科目表!$A$5:$B$200,2,FALSE),"※未登録"))</f>
        <v/>
      </c>
      <c r="R1317" s="769" t="str">
        <f>IF($F1317="","",$I1317+$J1317+$K1317)</f>
        <v/>
      </c>
      <c r="S1317" s="769" t="str">
        <f>IF(OR($F1317="",$P1317="支払なし",$H1317=0,$Q1317=""),"",$Q1317&amp;"|S|"&amp;(COUNTIF(S$4:S1316,$Q1317&amp;"|S|*")+1))</f>
        <v/>
      </c>
      <c r="T1317" s="769" t="str">
        <f>IF(OR($F1317="",$P1317="支払なし",$R1317=0,$Q1317=""),"",$Q1317&amp;"|L|"&amp;(COUNTIF(T$4:T1316,$Q1317&amp;"|L|*")+1))</f>
        <v/>
      </c>
      <c r="U1317" s="769" t="str">
        <f>IF($F1317="","",13)</f>
        <v/>
      </c>
    </row>
    <row r="1318" ht="16.5" customHeight="1" s="186">
      <c r="A1318" s="760" t="n"/>
      <c r="B1318" s="760" t="n"/>
      <c r="C1318" s="762" t="n"/>
      <c r="D1318" s="762" t="n"/>
      <c r="E1318" s="775" t="n"/>
      <c r="F1318" s="821" t="n"/>
      <c r="G1318" s="821" t="n"/>
      <c r="H1318" s="818">
        <f>IF(G1318=1,F1318-I1318-J1318-K1318,IF(G1318=2,F1318,0))</f>
        <v>0</v>
      </c>
      <c r="I1318" s="818">
        <f>ROUND(IF(G1318=1,F1318*10/23,IF(G1318=3,F1318-J1318-K1318,IF(G1318=4,F1318,IF(G1318=5,F1318*10/11,IF(G1318=7,F1318*10/11,0))))),0)</f>
        <v>0</v>
      </c>
      <c r="J1318" s="818">
        <f>ROUND(IF(G1318=1,F1318/23,IF(G1318=3,F1318/12,IF(G1318=5,F1318-I1318,IF(G1318=8,F1318,0)))),0)</f>
        <v>0</v>
      </c>
      <c r="K1318" s="819">
        <f>ROUND(IF(G1318=1,F1318/23,IF(G1318=3,F1318/12,IF(G1318=6,F1318,IF(G1318=7,F1318-I1318,0)))),0)</f>
        <v>0</v>
      </c>
      <c r="L1318" s="820">
        <f>IF(G1318=6,F1318,0)</f>
        <v>0</v>
      </c>
      <c r="P1318" s="768" t="n"/>
      <c r="Q1318" s="769" t="str">
        <f>IF($F1318="","",IFERROR(VLOOKUP($C1318&amp;"|"&amp;$D1318,科目表!$A$5:$B$200,2,FALSE),"※未登録"))</f>
        <v/>
      </c>
      <c r="R1318" s="769" t="str">
        <f>IF($F1318="","",$I1318+$J1318+$K1318)</f>
        <v/>
      </c>
      <c r="S1318" s="769" t="str">
        <f>IF(OR($F1318="",$P1318="支払なし",$H1318=0,$Q1318=""),"",$Q1318&amp;"|S|"&amp;(COUNTIF(S$4:S1317,$Q1318&amp;"|S|*")+1))</f>
        <v/>
      </c>
      <c r="T1318" s="769" t="str">
        <f>IF(OR($F1318="",$P1318="支払なし",$R1318=0,$Q1318=""),"",$Q1318&amp;"|L|"&amp;(COUNTIF(T$4:T1317,$Q1318&amp;"|L|*")+1))</f>
        <v/>
      </c>
      <c r="U1318" s="769" t="str">
        <f>IF($F1318="","",13)</f>
        <v/>
      </c>
    </row>
    <row r="1319" ht="16.5" customHeight="1" s="186">
      <c r="A1319" s="760" t="n"/>
      <c r="B1319" s="760" t="n"/>
      <c r="C1319" s="762" t="n"/>
      <c r="D1319" s="762" t="n"/>
      <c r="E1319" s="775" t="n"/>
      <c r="F1319" s="821" t="n"/>
      <c r="G1319" s="821" t="n"/>
      <c r="H1319" s="818">
        <f>IF(G1319=1,F1319-I1319-J1319-K1319,IF(G1319=2,F1319,0))</f>
        <v>0</v>
      </c>
      <c r="I1319" s="818">
        <f>ROUND(IF(G1319=1,F1319*10/23,IF(G1319=3,F1319-J1319-K1319,IF(G1319=4,F1319,IF(G1319=5,F1319*10/11,IF(G1319=7,F1319*10/11,0))))),0)</f>
        <v>0</v>
      </c>
      <c r="J1319" s="818">
        <f>ROUND(IF(G1319=1,F1319/23,IF(G1319=3,F1319/12,IF(G1319=5,F1319-I1319,IF(G1319=8,F1319,0)))),0)</f>
        <v>0</v>
      </c>
      <c r="K1319" s="819">
        <f>ROUND(IF(G1319=1,F1319/23,IF(G1319=3,F1319/12,IF(G1319=6,F1319,IF(G1319=7,F1319-I1319,0)))),0)</f>
        <v>0</v>
      </c>
      <c r="L1319" s="820">
        <f>IF(G1319=6,F1319,0)</f>
        <v>0</v>
      </c>
      <c r="P1319" s="768" t="n"/>
      <c r="Q1319" s="769" t="str">
        <f>IF($F1319="","",IFERROR(VLOOKUP($C1319&amp;"|"&amp;$D1319,科目表!$A$5:$B$200,2,FALSE),"※未登録"))</f>
        <v/>
      </c>
      <c r="R1319" s="769" t="str">
        <f>IF($F1319="","",$I1319+$J1319+$K1319)</f>
        <v/>
      </c>
      <c r="S1319" s="769" t="str">
        <f>IF(OR($F1319="",$P1319="支払なし",$H1319=0,$Q1319=""),"",$Q1319&amp;"|S|"&amp;(COUNTIF(S$4:S1318,$Q1319&amp;"|S|*")+1))</f>
        <v/>
      </c>
      <c r="T1319" s="769" t="str">
        <f>IF(OR($F1319="",$P1319="支払なし",$R1319=0,$Q1319=""),"",$Q1319&amp;"|L|"&amp;(COUNTIF(T$4:T1318,$Q1319&amp;"|L|*")+1))</f>
        <v/>
      </c>
      <c r="U1319" s="769" t="str">
        <f>IF($F1319="","",13)</f>
        <v/>
      </c>
    </row>
    <row r="1320" ht="16.5" customHeight="1" s="186">
      <c r="A1320" s="760" t="n"/>
      <c r="B1320" s="760" t="n"/>
      <c r="C1320" s="762" t="n"/>
      <c r="D1320" s="762" t="n"/>
      <c r="E1320" s="775" t="n"/>
      <c r="F1320" s="821" t="n"/>
      <c r="G1320" s="821" t="n"/>
      <c r="H1320" s="818">
        <f>IF(G1320=1,F1320-I1320-J1320-K1320,IF(G1320=2,F1320,0))</f>
        <v>0</v>
      </c>
      <c r="I1320" s="818">
        <f>ROUND(IF(G1320=1,F1320*10/23,IF(G1320=3,F1320-J1320-K1320,IF(G1320=4,F1320,IF(G1320=5,F1320*10/11,IF(G1320=7,F1320*10/11,0))))),0)</f>
        <v>0</v>
      </c>
      <c r="J1320" s="818">
        <f>ROUND(IF(G1320=1,F1320/23,IF(G1320=3,F1320/12,IF(G1320=5,F1320-I1320,IF(G1320=8,F1320,0)))),0)</f>
        <v>0</v>
      </c>
      <c r="K1320" s="819">
        <f>ROUND(IF(G1320=1,F1320/23,IF(G1320=3,F1320/12,IF(G1320=6,F1320,IF(G1320=7,F1320-I1320,0)))),0)</f>
        <v>0</v>
      </c>
      <c r="L1320" s="820">
        <f>IF(G1320=6,F1320,0)</f>
        <v>0</v>
      </c>
      <c r="P1320" s="768" t="n"/>
      <c r="Q1320" s="769" t="str">
        <f>IF($F1320="","",IFERROR(VLOOKUP($C1320&amp;"|"&amp;$D1320,科目表!$A$5:$B$200,2,FALSE),"※未登録"))</f>
        <v/>
      </c>
      <c r="R1320" s="769" t="str">
        <f>IF($F1320="","",$I1320+$J1320+$K1320)</f>
        <v/>
      </c>
      <c r="S1320" s="769" t="str">
        <f>IF(OR($F1320="",$P1320="支払なし",$H1320=0,$Q1320=""),"",$Q1320&amp;"|S|"&amp;(COUNTIF(S$4:S1319,$Q1320&amp;"|S|*")+1))</f>
        <v/>
      </c>
      <c r="T1320" s="769" t="str">
        <f>IF(OR($F1320="",$P1320="支払なし",$R1320=0,$Q1320=""),"",$Q1320&amp;"|L|"&amp;(COUNTIF(T$4:T1319,$Q1320&amp;"|L|*")+1))</f>
        <v/>
      </c>
      <c r="U1320" s="769" t="str">
        <f>IF($F1320="","",13)</f>
        <v/>
      </c>
    </row>
    <row r="1321" ht="16.5" customHeight="1" s="186">
      <c r="A1321" s="760" t="n"/>
      <c r="B1321" s="760" t="n"/>
      <c r="C1321" s="762" t="n"/>
      <c r="D1321" s="762" t="n"/>
      <c r="E1321" s="775" t="n"/>
      <c r="F1321" s="821" t="n"/>
      <c r="G1321" s="821" t="n"/>
      <c r="H1321" s="818">
        <f>IF(G1321=1,F1321-I1321-J1321-K1321,IF(G1321=2,F1321,0))</f>
        <v>0</v>
      </c>
      <c r="I1321" s="818">
        <f>ROUND(IF(G1321=1,F1321*10/23,IF(G1321=3,F1321-J1321-K1321,IF(G1321=4,F1321,IF(G1321=5,F1321*10/11,IF(G1321=7,F1321*10/11,0))))),0)</f>
        <v>0</v>
      </c>
      <c r="J1321" s="818">
        <f>ROUND(IF(G1321=1,F1321/23,IF(G1321=3,F1321/12,IF(G1321=5,F1321-I1321,IF(G1321=8,F1321,0)))),0)</f>
        <v>0</v>
      </c>
      <c r="K1321" s="819">
        <f>ROUND(IF(G1321=1,F1321/23,IF(G1321=3,F1321/12,IF(G1321=6,F1321,IF(G1321=7,F1321-I1321,0)))),0)</f>
        <v>0</v>
      </c>
      <c r="L1321" s="820">
        <f>IF(G1321=6,F1321,0)</f>
        <v>0</v>
      </c>
      <c r="P1321" s="768" t="n"/>
      <c r="Q1321" s="769" t="str">
        <f>IF($F1321="","",IFERROR(VLOOKUP($C1321&amp;"|"&amp;$D1321,科目表!$A$5:$B$200,2,FALSE),"※未登録"))</f>
        <v/>
      </c>
      <c r="R1321" s="769" t="str">
        <f>IF($F1321="","",$I1321+$J1321+$K1321)</f>
        <v/>
      </c>
      <c r="S1321" s="769" t="str">
        <f>IF(OR($F1321="",$P1321="支払なし",$H1321=0,$Q1321=""),"",$Q1321&amp;"|S|"&amp;(COUNTIF(S$4:S1320,$Q1321&amp;"|S|*")+1))</f>
        <v/>
      </c>
      <c r="T1321" s="769" t="str">
        <f>IF(OR($F1321="",$P1321="支払なし",$R1321=0,$Q1321=""),"",$Q1321&amp;"|L|"&amp;(COUNTIF(T$4:T1320,$Q1321&amp;"|L|*")+1))</f>
        <v/>
      </c>
      <c r="U1321" s="769" t="str">
        <f>IF($F1321="","",13)</f>
        <v/>
      </c>
    </row>
    <row r="1322" ht="16.5" customHeight="1" s="186">
      <c r="A1322" s="760" t="n"/>
      <c r="B1322" s="760" t="n"/>
      <c r="C1322" s="762" t="n"/>
      <c r="D1322" s="762" t="n"/>
      <c r="E1322" s="775" t="n"/>
      <c r="F1322" s="821" t="n"/>
      <c r="G1322" s="821" t="n"/>
      <c r="H1322" s="818">
        <f>IF(G1322=1,F1322-I1322-J1322-K1322,IF(G1322=2,F1322,0))</f>
        <v>0</v>
      </c>
      <c r="I1322" s="818">
        <f>ROUND(IF(G1322=1,F1322*10/23,IF(G1322=3,F1322-J1322-K1322,IF(G1322=4,F1322,IF(G1322=5,F1322*10/11,IF(G1322=7,F1322*10/11,0))))),0)</f>
        <v>0</v>
      </c>
      <c r="J1322" s="818">
        <f>ROUND(IF(G1322=1,F1322/23,IF(G1322=3,F1322/12,IF(G1322=5,F1322-I1322,IF(G1322=8,F1322,0)))),0)</f>
        <v>0</v>
      </c>
      <c r="K1322" s="819">
        <f>ROUND(IF(G1322=1,F1322/23,IF(G1322=3,F1322/12,IF(G1322=6,F1322,IF(G1322=7,F1322-I1322,0)))),0)</f>
        <v>0</v>
      </c>
      <c r="L1322" s="820">
        <f>IF(G1322=6,F1322,0)</f>
        <v>0</v>
      </c>
      <c r="P1322" s="768" t="n"/>
      <c r="Q1322" s="769" t="str">
        <f>IF($F1322="","",IFERROR(VLOOKUP($C1322&amp;"|"&amp;$D1322,科目表!$A$5:$B$200,2,FALSE),"※未登録"))</f>
        <v/>
      </c>
      <c r="R1322" s="769" t="str">
        <f>IF($F1322="","",$I1322+$J1322+$K1322)</f>
        <v/>
      </c>
      <c r="S1322" s="769" t="str">
        <f>IF(OR($F1322="",$P1322="支払なし",$H1322=0,$Q1322=""),"",$Q1322&amp;"|S|"&amp;(COUNTIF(S$4:S1321,$Q1322&amp;"|S|*")+1))</f>
        <v/>
      </c>
      <c r="T1322" s="769" t="str">
        <f>IF(OR($F1322="",$P1322="支払なし",$R1322=0,$Q1322=""),"",$Q1322&amp;"|L|"&amp;(COUNTIF(T$4:T1321,$Q1322&amp;"|L|*")+1))</f>
        <v/>
      </c>
      <c r="U1322" s="769" t="str">
        <f>IF($F1322="","",13)</f>
        <v/>
      </c>
    </row>
    <row r="1323" ht="16.5" customHeight="1" s="186">
      <c r="A1323" s="760" t="n"/>
      <c r="B1323" s="760" t="n"/>
      <c r="C1323" s="762" t="n"/>
      <c r="D1323" s="762" t="n"/>
      <c r="E1323" s="775" t="n"/>
      <c r="F1323" s="821" t="n"/>
      <c r="G1323" s="821" t="n"/>
      <c r="H1323" s="818">
        <f>IF(G1323=1,F1323-I1323-J1323-K1323,IF(G1323=2,F1323,0))</f>
        <v>0</v>
      </c>
      <c r="I1323" s="818">
        <f>ROUND(IF(G1323=1,F1323*10/23,IF(G1323=3,F1323-J1323-K1323,IF(G1323=4,F1323,IF(G1323=5,F1323*10/11,IF(G1323=7,F1323*10/11,0))))),0)</f>
        <v>0</v>
      </c>
      <c r="J1323" s="818">
        <f>ROUND(IF(G1323=1,F1323/23,IF(G1323=3,F1323/12,IF(G1323=5,F1323-I1323,IF(G1323=8,F1323,0)))),0)</f>
        <v>0</v>
      </c>
      <c r="K1323" s="819">
        <f>ROUND(IF(G1323=1,F1323/23,IF(G1323=3,F1323/12,IF(G1323=6,F1323,IF(G1323=7,F1323-I1323,0)))),0)</f>
        <v>0</v>
      </c>
      <c r="L1323" s="820">
        <f>IF(G1323=6,F1323,0)</f>
        <v>0</v>
      </c>
      <c r="P1323" s="768" t="n"/>
      <c r="Q1323" s="769" t="str">
        <f>IF($F1323="","",IFERROR(VLOOKUP($C1323&amp;"|"&amp;$D1323,科目表!$A$5:$B$200,2,FALSE),"※未登録"))</f>
        <v/>
      </c>
      <c r="R1323" s="769" t="str">
        <f>IF($F1323="","",$I1323+$J1323+$K1323)</f>
        <v/>
      </c>
      <c r="S1323" s="769" t="str">
        <f>IF(OR($F1323="",$P1323="支払なし",$H1323=0,$Q1323=""),"",$Q1323&amp;"|S|"&amp;(COUNTIF(S$4:S1322,$Q1323&amp;"|S|*")+1))</f>
        <v/>
      </c>
      <c r="T1323" s="769" t="str">
        <f>IF(OR($F1323="",$P1323="支払なし",$R1323=0,$Q1323=""),"",$Q1323&amp;"|L|"&amp;(COUNTIF(T$4:T1322,$Q1323&amp;"|L|*")+1))</f>
        <v/>
      </c>
      <c r="U1323" s="769" t="str">
        <f>IF($F1323="","",13)</f>
        <v/>
      </c>
    </row>
    <row r="1324" ht="16.5" customHeight="1" s="186">
      <c r="A1324" s="760" t="n"/>
      <c r="B1324" s="760" t="n"/>
      <c r="C1324" s="762" t="n"/>
      <c r="D1324" s="762" t="n"/>
      <c r="E1324" s="775" t="n"/>
      <c r="F1324" s="821" t="n"/>
      <c r="G1324" s="821" t="n"/>
      <c r="H1324" s="818">
        <f>IF(G1324=1,F1324-I1324-J1324-K1324,IF(G1324=2,F1324,0))</f>
        <v>0</v>
      </c>
      <c r="I1324" s="818">
        <f>ROUND(IF(G1324=1,F1324*10/23,IF(G1324=3,F1324-J1324-K1324,IF(G1324=4,F1324,IF(G1324=5,F1324*10/11,IF(G1324=7,F1324*10/11,0))))),0)</f>
        <v>0</v>
      </c>
      <c r="J1324" s="818">
        <f>ROUND(IF(G1324=1,F1324/23,IF(G1324=3,F1324/12,IF(G1324=5,F1324-I1324,IF(G1324=8,F1324,0)))),0)</f>
        <v>0</v>
      </c>
      <c r="K1324" s="819">
        <f>ROUND(IF(G1324=1,F1324/23,IF(G1324=3,F1324/12,IF(G1324=6,F1324,IF(G1324=7,F1324-I1324,0)))),0)</f>
        <v>0</v>
      </c>
      <c r="L1324" s="820">
        <f>IF(G1324=6,F1324,0)</f>
        <v>0</v>
      </c>
      <c r="P1324" s="768" t="n"/>
      <c r="Q1324" s="769" t="str">
        <f>IF($F1324="","",IFERROR(VLOOKUP($C1324&amp;"|"&amp;$D1324,科目表!$A$5:$B$200,2,FALSE),"※未登録"))</f>
        <v/>
      </c>
      <c r="R1324" s="769" t="str">
        <f>IF($F1324="","",$I1324+$J1324+$K1324)</f>
        <v/>
      </c>
      <c r="S1324" s="769" t="str">
        <f>IF(OR($F1324="",$P1324="支払なし",$H1324=0,$Q1324=""),"",$Q1324&amp;"|S|"&amp;(COUNTIF(S$4:S1323,$Q1324&amp;"|S|*")+1))</f>
        <v/>
      </c>
      <c r="T1324" s="769" t="str">
        <f>IF(OR($F1324="",$P1324="支払なし",$R1324=0,$Q1324=""),"",$Q1324&amp;"|L|"&amp;(COUNTIF(T$4:T1323,$Q1324&amp;"|L|*")+1))</f>
        <v/>
      </c>
      <c r="U1324" s="769" t="str">
        <f>IF($F1324="","",13)</f>
        <v/>
      </c>
    </row>
    <row r="1325" ht="16.5" customHeight="1" s="186">
      <c r="A1325" s="760" t="n"/>
      <c r="B1325" s="760" t="n"/>
      <c r="C1325" s="762" t="n"/>
      <c r="D1325" s="762" t="n"/>
      <c r="E1325" s="775" t="n"/>
      <c r="F1325" s="821" t="n"/>
      <c r="G1325" s="821" t="n"/>
      <c r="H1325" s="818">
        <f>IF(G1325=1,F1325-I1325-J1325-K1325,IF(G1325=2,F1325,0))</f>
        <v>0</v>
      </c>
      <c r="I1325" s="818">
        <f>ROUND(IF(G1325=1,F1325*10/23,IF(G1325=3,F1325-J1325-K1325,IF(G1325=4,F1325,IF(G1325=5,F1325*10/11,IF(G1325=7,F1325*10/11,0))))),0)</f>
        <v>0</v>
      </c>
      <c r="J1325" s="818">
        <f>ROUND(IF(G1325=1,F1325/23,IF(G1325=3,F1325/12,IF(G1325=5,F1325-I1325,IF(G1325=8,F1325,0)))),0)</f>
        <v>0</v>
      </c>
      <c r="K1325" s="819">
        <f>ROUND(IF(G1325=1,F1325/23,IF(G1325=3,F1325/12,IF(G1325=6,F1325,IF(G1325=7,F1325-I1325,0)))),0)</f>
        <v>0</v>
      </c>
      <c r="L1325" s="820">
        <f>IF(G1325=6,F1325,0)</f>
        <v>0</v>
      </c>
      <c r="P1325" s="768" t="n"/>
      <c r="Q1325" s="769" t="str">
        <f>IF($F1325="","",IFERROR(VLOOKUP($C1325&amp;"|"&amp;$D1325,科目表!$A$5:$B$200,2,FALSE),"※未登録"))</f>
        <v/>
      </c>
      <c r="R1325" s="769" t="str">
        <f>IF($F1325="","",$I1325+$J1325+$K1325)</f>
        <v/>
      </c>
      <c r="S1325" s="769" t="str">
        <f>IF(OR($F1325="",$P1325="支払なし",$H1325=0,$Q1325=""),"",$Q1325&amp;"|S|"&amp;(COUNTIF(S$4:S1324,$Q1325&amp;"|S|*")+1))</f>
        <v/>
      </c>
      <c r="T1325" s="769" t="str">
        <f>IF(OR($F1325="",$P1325="支払なし",$R1325=0,$Q1325=""),"",$Q1325&amp;"|L|"&amp;(COUNTIF(T$4:T1324,$Q1325&amp;"|L|*")+1))</f>
        <v/>
      </c>
      <c r="U1325" s="769" t="str">
        <f>IF($F1325="","",13)</f>
        <v/>
      </c>
    </row>
    <row r="1326" ht="16.5" customHeight="1" s="186">
      <c r="A1326" s="760" t="n"/>
      <c r="B1326" s="760" t="n"/>
      <c r="C1326" s="762" t="n"/>
      <c r="D1326" s="762" t="n"/>
      <c r="E1326" s="775" t="n"/>
      <c r="F1326" s="821" t="n"/>
      <c r="G1326" s="821" t="n"/>
      <c r="H1326" s="818">
        <f>IF(G1326=1,F1326-I1326-J1326-K1326,IF(G1326=2,F1326,0))</f>
        <v>0</v>
      </c>
      <c r="I1326" s="818">
        <f>ROUND(IF(G1326=1,F1326*10/23,IF(G1326=3,F1326-J1326-K1326,IF(G1326=4,F1326,IF(G1326=5,F1326*10/11,IF(G1326=7,F1326*10/11,0))))),0)</f>
        <v>0</v>
      </c>
      <c r="J1326" s="818">
        <f>ROUND(IF(G1326=1,F1326/23,IF(G1326=3,F1326/12,IF(G1326=5,F1326-I1326,IF(G1326=8,F1326,0)))),0)</f>
        <v>0</v>
      </c>
      <c r="K1326" s="819">
        <f>ROUND(IF(G1326=1,F1326/23,IF(G1326=3,F1326/12,IF(G1326=6,F1326,IF(G1326=7,F1326-I1326,0)))),0)</f>
        <v>0</v>
      </c>
      <c r="L1326" s="820">
        <f>IF(G1326=6,F1326,0)</f>
        <v>0</v>
      </c>
      <c r="P1326" s="768" t="n"/>
      <c r="Q1326" s="769" t="str">
        <f>IF($F1326="","",IFERROR(VLOOKUP($C1326&amp;"|"&amp;$D1326,科目表!$A$5:$B$200,2,FALSE),"※未登録"))</f>
        <v/>
      </c>
      <c r="R1326" s="769" t="str">
        <f>IF($F1326="","",$I1326+$J1326+$K1326)</f>
        <v/>
      </c>
      <c r="S1326" s="769" t="str">
        <f>IF(OR($F1326="",$P1326="支払なし",$H1326=0,$Q1326=""),"",$Q1326&amp;"|S|"&amp;(COUNTIF(S$4:S1325,$Q1326&amp;"|S|*")+1))</f>
        <v/>
      </c>
      <c r="T1326" s="769" t="str">
        <f>IF(OR($F1326="",$P1326="支払なし",$R1326=0,$Q1326=""),"",$Q1326&amp;"|L|"&amp;(COUNTIF(T$4:T1325,$Q1326&amp;"|L|*")+1))</f>
        <v/>
      </c>
      <c r="U1326" s="769" t="str">
        <f>IF($F1326="","",13)</f>
        <v/>
      </c>
    </row>
    <row r="1327" ht="16.5" customHeight="1" s="186">
      <c r="A1327" s="760" t="n"/>
      <c r="B1327" s="760" t="n"/>
      <c r="C1327" s="762" t="n"/>
      <c r="D1327" s="762" t="n"/>
      <c r="E1327" s="775" t="n"/>
      <c r="F1327" s="821" t="n"/>
      <c r="G1327" s="821" t="n"/>
      <c r="H1327" s="818">
        <f>IF(G1327=1,F1327-I1327-J1327-K1327,IF(G1327=2,F1327,0))</f>
        <v>0</v>
      </c>
      <c r="I1327" s="818">
        <f>ROUND(IF(G1327=1,F1327*10/23,IF(G1327=3,F1327-J1327-K1327,IF(G1327=4,F1327,IF(G1327=5,F1327*10/11,IF(G1327=7,F1327*10/11,0))))),0)</f>
        <v>0</v>
      </c>
      <c r="J1327" s="818">
        <f>ROUND(IF(G1327=1,F1327/23,IF(G1327=3,F1327/12,IF(G1327=5,F1327-I1327,IF(G1327=8,F1327,0)))),0)</f>
        <v>0</v>
      </c>
      <c r="K1327" s="819">
        <f>ROUND(IF(G1327=1,F1327/23,IF(G1327=3,F1327/12,IF(G1327=6,F1327,IF(G1327=7,F1327-I1327,0)))),0)</f>
        <v>0</v>
      </c>
      <c r="L1327" s="820">
        <f>IF(G1327=6,F1327,0)</f>
        <v>0</v>
      </c>
      <c r="P1327" s="768" t="n"/>
      <c r="Q1327" s="769" t="str">
        <f>IF($F1327="","",IFERROR(VLOOKUP($C1327&amp;"|"&amp;$D1327,科目表!$A$5:$B$200,2,FALSE),"※未登録"))</f>
        <v/>
      </c>
      <c r="R1327" s="769" t="str">
        <f>IF($F1327="","",$I1327+$J1327+$K1327)</f>
        <v/>
      </c>
      <c r="S1327" s="769" t="str">
        <f>IF(OR($F1327="",$P1327="支払なし",$H1327=0,$Q1327=""),"",$Q1327&amp;"|S|"&amp;(COUNTIF(S$4:S1326,$Q1327&amp;"|S|*")+1))</f>
        <v/>
      </c>
      <c r="T1327" s="769" t="str">
        <f>IF(OR($F1327="",$P1327="支払なし",$R1327=0,$Q1327=""),"",$Q1327&amp;"|L|"&amp;(COUNTIF(T$4:T1326,$Q1327&amp;"|L|*")+1))</f>
        <v/>
      </c>
      <c r="U1327" s="769" t="str">
        <f>IF($F1327="","",13)</f>
        <v/>
      </c>
    </row>
    <row r="1328" ht="16.5" customHeight="1" s="186">
      <c r="A1328" s="760" t="n"/>
      <c r="B1328" s="760" t="n"/>
      <c r="C1328" s="762" t="n"/>
      <c r="D1328" s="762" t="n"/>
      <c r="E1328" s="775" t="n"/>
      <c r="F1328" s="821" t="n"/>
      <c r="G1328" s="821" t="n"/>
      <c r="H1328" s="818">
        <f>IF(G1328=1,F1328-I1328-J1328-K1328,IF(G1328=2,F1328,0))</f>
        <v>0</v>
      </c>
      <c r="I1328" s="818">
        <f>ROUND(IF(G1328=1,F1328*10/23,IF(G1328=3,F1328-J1328-K1328,IF(G1328=4,F1328,IF(G1328=5,F1328*10/11,IF(G1328=7,F1328*10/11,0))))),0)</f>
        <v>0</v>
      </c>
      <c r="J1328" s="818">
        <f>ROUND(IF(G1328=1,F1328/23,IF(G1328=3,F1328/12,IF(G1328=5,F1328-I1328,IF(G1328=8,F1328,0)))),0)</f>
        <v>0</v>
      </c>
      <c r="K1328" s="819">
        <f>ROUND(IF(G1328=1,F1328/23,IF(G1328=3,F1328/12,IF(G1328=6,F1328,IF(G1328=7,F1328-I1328,0)))),0)</f>
        <v>0</v>
      </c>
      <c r="L1328" s="820">
        <f>IF(G1328=6,F1328,0)</f>
        <v>0</v>
      </c>
      <c r="P1328" s="768" t="n"/>
      <c r="Q1328" s="769" t="str">
        <f>IF($F1328="","",IFERROR(VLOOKUP($C1328&amp;"|"&amp;$D1328,科目表!$A$5:$B$200,2,FALSE),"※未登録"))</f>
        <v/>
      </c>
      <c r="R1328" s="769" t="str">
        <f>IF($F1328="","",$I1328+$J1328+$K1328)</f>
        <v/>
      </c>
      <c r="S1328" s="769" t="str">
        <f>IF(OR($F1328="",$P1328="支払なし",$H1328=0,$Q1328=""),"",$Q1328&amp;"|S|"&amp;(COUNTIF(S$4:S1327,$Q1328&amp;"|S|*")+1))</f>
        <v/>
      </c>
      <c r="T1328" s="769" t="str">
        <f>IF(OR($F1328="",$P1328="支払なし",$R1328=0,$Q1328=""),"",$Q1328&amp;"|L|"&amp;(COUNTIF(T$4:T1327,$Q1328&amp;"|L|*")+1))</f>
        <v/>
      </c>
      <c r="U1328" s="769" t="str">
        <f>IF($F1328="","",13)</f>
        <v/>
      </c>
    </row>
    <row r="1329" ht="16.5" customHeight="1" s="186">
      <c r="A1329" s="760" t="n"/>
      <c r="B1329" s="760" t="n"/>
      <c r="C1329" s="762" t="n"/>
      <c r="D1329" s="762" t="n"/>
      <c r="E1329" s="775" t="n"/>
      <c r="F1329" s="821" t="n"/>
      <c r="G1329" s="821" t="n"/>
      <c r="H1329" s="818">
        <f>IF(G1329=1,F1329-I1329-J1329-K1329,IF(G1329=2,F1329,0))</f>
        <v>0</v>
      </c>
      <c r="I1329" s="818">
        <f>ROUND(IF(G1329=1,F1329*10/23,IF(G1329=3,F1329-J1329-K1329,IF(G1329=4,F1329,IF(G1329=5,F1329*10/11,IF(G1329=7,F1329*10/11,0))))),0)</f>
        <v>0</v>
      </c>
      <c r="J1329" s="818">
        <f>ROUND(IF(G1329=1,F1329/23,IF(G1329=3,F1329/12,IF(G1329=5,F1329-I1329,IF(G1329=8,F1329,0)))),0)</f>
        <v>0</v>
      </c>
      <c r="K1329" s="819">
        <f>ROUND(IF(G1329=1,F1329/23,IF(G1329=3,F1329/12,IF(G1329=6,F1329,IF(G1329=7,F1329-I1329,0)))),0)</f>
        <v>0</v>
      </c>
      <c r="L1329" s="820">
        <f>IF(G1329=6,F1329,0)</f>
        <v>0</v>
      </c>
      <c r="P1329" s="768" t="n"/>
      <c r="Q1329" s="769" t="str">
        <f>IF($F1329="","",IFERROR(VLOOKUP($C1329&amp;"|"&amp;$D1329,科目表!$A$5:$B$200,2,FALSE),"※未登録"))</f>
        <v/>
      </c>
      <c r="R1329" s="769" t="str">
        <f>IF($F1329="","",$I1329+$J1329+$K1329)</f>
        <v/>
      </c>
      <c r="S1329" s="769" t="str">
        <f>IF(OR($F1329="",$P1329="支払なし",$H1329=0,$Q1329=""),"",$Q1329&amp;"|S|"&amp;(COUNTIF(S$4:S1328,$Q1329&amp;"|S|*")+1))</f>
        <v/>
      </c>
      <c r="T1329" s="769" t="str">
        <f>IF(OR($F1329="",$P1329="支払なし",$R1329=0,$Q1329=""),"",$Q1329&amp;"|L|"&amp;(COUNTIF(T$4:T1328,$Q1329&amp;"|L|*")+1))</f>
        <v/>
      </c>
      <c r="U1329" s="769" t="str">
        <f>IF($F1329="","",13)</f>
        <v/>
      </c>
    </row>
    <row r="1330" ht="16.5" customHeight="1" s="186">
      <c r="A1330" s="760" t="n"/>
      <c r="B1330" s="760" t="n"/>
      <c r="C1330" s="762" t="n"/>
      <c r="D1330" s="762" t="n"/>
      <c r="E1330" s="775" t="n"/>
      <c r="F1330" s="821" t="n"/>
      <c r="G1330" s="821" t="n"/>
      <c r="H1330" s="818">
        <f>IF(G1330=1,F1330-I1330-J1330-K1330,IF(G1330=2,F1330,0))</f>
        <v>0</v>
      </c>
      <c r="I1330" s="818">
        <f>ROUND(IF(G1330=1,F1330*10/23,IF(G1330=3,F1330-J1330-K1330,IF(G1330=4,F1330,IF(G1330=5,F1330*10/11,IF(G1330=7,F1330*10/11,0))))),0)</f>
        <v>0</v>
      </c>
      <c r="J1330" s="818">
        <f>ROUND(IF(G1330=1,F1330/23,IF(G1330=3,F1330/12,IF(G1330=5,F1330-I1330,IF(G1330=8,F1330,0)))),0)</f>
        <v>0</v>
      </c>
      <c r="K1330" s="819">
        <f>ROUND(IF(G1330=1,F1330/23,IF(G1330=3,F1330/12,IF(G1330=6,F1330,IF(G1330=7,F1330-I1330,0)))),0)</f>
        <v>0</v>
      </c>
      <c r="L1330" s="820">
        <f>IF(G1330=6,F1330,0)</f>
        <v>0</v>
      </c>
      <c r="P1330" s="768" t="n"/>
      <c r="Q1330" s="769" t="str">
        <f>IF($F1330="","",IFERROR(VLOOKUP($C1330&amp;"|"&amp;$D1330,科目表!$A$5:$B$200,2,FALSE),"※未登録"))</f>
        <v/>
      </c>
      <c r="R1330" s="769" t="str">
        <f>IF($F1330="","",$I1330+$J1330+$K1330)</f>
        <v/>
      </c>
      <c r="S1330" s="769" t="str">
        <f>IF(OR($F1330="",$P1330="支払なし",$H1330=0,$Q1330=""),"",$Q1330&amp;"|S|"&amp;(COUNTIF(S$4:S1329,$Q1330&amp;"|S|*")+1))</f>
        <v/>
      </c>
      <c r="T1330" s="769" t="str">
        <f>IF(OR($F1330="",$P1330="支払なし",$R1330=0,$Q1330=""),"",$Q1330&amp;"|L|"&amp;(COUNTIF(T$4:T1329,$Q1330&amp;"|L|*")+1))</f>
        <v/>
      </c>
      <c r="U1330" s="769" t="str">
        <f>IF($F1330="","",13)</f>
        <v/>
      </c>
    </row>
    <row r="1331" ht="16.5" customHeight="1" s="186">
      <c r="A1331" s="760" t="n"/>
      <c r="B1331" s="760" t="n"/>
      <c r="C1331" s="762" t="n"/>
      <c r="D1331" s="762" t="n"/>
      <c r="E1331" s="775" t="n"/>
      <c r="F1331" s="821" t="n"/>
      <c r="G1331" s="821" t="n"/>
      <c r="H1331" s="818">
        <f>IF(G1331=1,F1331-I1331-J1331-K1331,IF(G1331=2,F1331,0))</f>
        <v>0</v>
      </c>
      <c r="I1331" s="818">
        <f>ROUND(IF(G1331=1,F1331*10/23,IF(G1331=3,F1331-J1331-K1331,IF(G1331=4,F1331,IF(G1331=5,F1331*10/11,IF(G1331=7,F1331*10/11,0))))),0)</f>
        <v>0</v>
      </c>
      <c r="J1331" s="818">
        <f>ROUND(IF(G1331=1,F1331/23,IF(G1331=3,F1331/12,IF(G1331=5,F1331-I1331,IF(G1331=8,F1331,0)))),0)</f>
        <v>0</v>
      </c>
      <c r="K1331" s="819">
        <f>ROUND(IF(G1331=1,F1331/23,IF(G1331=3,F1331/12,IF(G1331=6,F1331,IF(G1331=7,F1331-I1331,0)))),0)</f>
        <v>0</v>
      </c>
      <c r="L1331" s="820">
        <f>IF(G1331=6,F1331,0)</f>
        <v>0</v>
      </c>
      <c r="P1331" s="768" t="n"/>
      <c r="Q1331" s="769" t="str">
        <f>IF($F1331="","",IFERROR(VLOOKUP($C1331&amp;"|"&amp;$D1331,科目表!$A$5:$B$200,2,FALSE),"※未登録"))</f>
        <v/>
      </c>
      <c r="R1331" s="769" t="str">
        <f>IF($F1331="","",$I1331+$J1331+$K1331)</f>
        <v/>
      </c>
      <c r="S1331" s="769" t="str">
        <f>IF(OR($F1331="",$P1331="支払なし",$H1331=0,$Q1331=""),"",$Q1331&amp;"|S|"&amp;(COUNTIF(S$4:S1330,$Q1331&amp;"|S|*")+1))</f>
        <v/>
      </c>
      <c r="T1331" s="769" t="str">
        <f>IF(OR($F1331="",$P1331="支払なし",$R1331=0,$Q1331=""),"",$Q1331&amp;"|L|"&amp;(COUNTIF(T$4:T1330,$Q1331&amp;"|L|*")+1))</f>
        <v/>
      </c>
      <c r="U1331" s="769" t="str">
        <f>IF($F1331="","",13)</f>
        <v/>
      </c>
    </row>
    <row r="1332" ht="16.5" customHeight="1" s="186">
      <c r="A1332" s="760" t="n"/>
      <c r="B1332" s="760" t="n"/>
      <c r="C1332" s="762" t="n"/>
      <c r="D1332" s="762" t="n"/>
      <c r="E1332" s="775" t="n"/>
      <c r="F1332" s="821" t="n"/>
      <c r="G1332" s="821" t="n"/>
      <c r="H1332" s="818">
        <f>IF(G1332=1,F1332-I1332-J1332-K1332,IF(G1332=2,F1332,0))</f>
        <v>0</v>
      </c>
      <c r="I1332" s="818">
        <f>ROUND(IF(G1332=1,F1332*10/23,IF(G1332=3,F1332-J1332-K1332,IF(G1332=4,F1332,IF(G1332=5,F1332*10/11,IF(G1332=7,F1332*10/11,0))))),0)</f>
        <v>0</v>
      </c>
      <c r="J1332" s="818">
        <f>ROUND(IF(G1332=1,F1332/23,IF(G1332=3,F1332/12,IF(G1332=5,F1332-I1332,IF(G1332=8,F1332,0)))),0)</f>
        <v>0</v>
      </c>
      <c r="K1332" s="819">
        <f>ROUND(IF(G1332=1,F1332/23,IF(G1332=3,F1332/12,IF(G1332=6,F1332,IF(G1332=7,F1332-I1332,0)))),0)</f>
        <v>0</v>
      </c>
      <c r="L1332" s="820">
        <f>IF(G1332=6,F1332,0)</f>
        <v>0</v>
      </c>
      <c r="P1332" s="768" t="n"/>
      <c r="Q1332" s="769" t="str">
        <f>IF($F1332="","",IFERROR(VLOOKUP($C1332&amp;"|"&amp;$D1332,科目表!$A$5:$B$200,2,FALSE),"※未登録"))</f>
        <v/>
      </c>
      <c r="R1332" s="769" t="str">
        <f>IF($F1332="","",$I1332+$J1332+$K1332)</f>
        <v/>
      </c>
      <c r="S1332" s="769" t="str">
        <f>IF(OR($F1332="",$P1332="支払なし",$H1332=0,$Q1332=""),"",$Q1332&amp;"|S|"&amp;(COUNTIF(S$4:S1331,$Q1332&amp;"|S|*")+1))</f>
        <v/>
      </c>
      <c r="T1332" s="769" t="str">
        <f>IF(OR($F1332="",$P1332="支払なし",$R1332=0,$Q1332=""),"",$Q1332&amp;"|L|"&amp;(COUNTIF(T$4:T1331,$Q1332&amp;"|L|*")+1))</f>
        <v/>
      </c>
      <c r="U1332" s="769" t="str">
        <f>IF($F1332="","",13)</f>
        <v/>
      </c>
    </row>
    <row r="1333" ht="16.5" customHeight="1" s="186">
      <c r="A1333" s="760" t="n"/>
      <c r="B1333" s="760" t="n"/>
      <c r="C1333" s="762" t="n"/>
      <c r="D1333" s="762" t="n"/>
      <c r="E1333" s="775" t="n"/>
      <c r="F1333" s="821" t="n"/>
      <c r="G1333" s="821" t="n"/>
      <c r="H1333" s="818">
        <f>IF(G1333=1,F1333-I1333-J1333-K1333,IF(G1333=2,F1333,0))</f>
        <v>0</v>
      </c>
      <c r="I1333" s="818">
        <f>ROUND(IF(G1333=1,F1333*10/23,IF(G1333=3,F1333-J1333-K1333,IF(G1333=4,F1333,IF(G1333=5,F1333*10/11,IF(G1333=7,F1333*10/11,0))))),0)</f>
        <v>0</v>
      </c>
      <c r="J1333" s="818">
        <f>ROUND(IF(G1333=1,F1333/23,IF(G1333=3,F1333/12,IF(G1333=5,F1333-I1333,IF(G1333=8,F1333,0)))),0)</f>
        <v>0</v>
      </c>
      <c r="K1333" s="819">
        <f>ROUND(IF(G1333=1,F1333/23,IF(G1333=3,F1333/12,IF(G1333=6,F1333,IF(G1333=7,F1333-I1333,0)))),0)</f>
        <v>0</v>
      </c>
      <c r="L1333" s="820">
        <f>IF(G1333=6,F1333,0)</f>
        <v>0</v>
      </c>
      <c r="P1333" s="768" t="n"/>
      <c r="Q1333" s="769" t="str">
        <f>IF($F1333="","",IFERROR(VLOOKUP($C1333&amp;"|"&amp;$D1333,科目表!$A$5:$B$200,2,FALSE),"※未登録"))</f>
        <v/>
      </c>
      <c r="R1333" s="769" t="str">
        <f>IF($F1333="","",$I1333+$J1333+$K1333)</f>
        <v/>
      </c>
      <c r="S1333" s="769" t="str">
        <f>IF(OR($F1333="",$P1333="支払なし",$H1333=0,$Q1333=""),"",$Q1333&amp;"|S|"&amp;(COUNTIF(S$4:S1332,$Q1333&amp;"|S|*")+1))</f>
        <v/>
      </c>
      <c r="T1333" s="769" t="str">
        <f>IF(OR($F1333="",$P1333="支払なし",$R1333=0,$Q1333=""),"",$Q1333&amp;"|L|"&amp;(COUNTIF(T$4:T1332,$Q1333&amp;"|L|*")+1))</f>
        <v/>
      </c>
      <c r="U1333" s="769" t="str">
        <f>IF($F1333="","",13)</f>
        <v/>
      </c>
    </row>
    <row r="1334" ht="16.5" customHeight="1" s="186">
      <c r="A1334" s="760" t="n"/>
      <c r="B1334" s="760" t="n"/>
      <c r="C1334" s="762" t="n"/>
      <c r="D1334" s="762" t="n"/>
      <c r="E1334" s="775" t="n"/>
      <c r="F1334" s="821" t="n"/>
      <c r="G1334" s="821" t="n"/>
      <c r="H1334" s="818">
        <f>IF(G1334=1,F1334-I1334-J1334-K1334,IF(G1334=2,F1334,0))</f>
        <v>0</v>
      </c>
      <c r="I1334" s="818">
        <f>ROUND(IF(G1334=1,F1334*10/23,IF(G1334=3,F1334-J1334-K1334,IF(G1334=4,F1334,IF(G1334=5,F1334*10/11,IF(G1334=7,F1334*10/11,0))))),0)</f>
        <v>0</v>
      </c>
      <c r="J1334" s="818">
        <f>ROUND(IF(G1334=1,F1334/23,IF(G1334=3,F1334/12,IF(G1334=5,F1334-I1334,IF(G1334=8,F1334,0)))),0)</f>
        <v>0</v>
      </c>
      <c r="K1334" s="819">
        <f>ROUND(IF(G1334=1,F1334/23,IF(G1334=3,F1334/12,IF(G1334=6,F1334,IF(G1334=7,F1334-I1334,0)))),0)</f>
        <v>0</v>
      </c>
      <c r="L1334" s="820">
        <f>IF(G1334=6,F1334,0)</f>
        <v>0</v>
      </c>
      <c r="P1334" s="768" t="n"/>
      <c r="Q1334" s="769" t="str">
        <f>IF($F1334="","",IFERROR(VLOOKUP($C1334&amp;"|"&amp;$D1334,科目表!$A$5:$B$200,2,FALSE),"※未登録"))</f>
        <v/>
      </c>
      <c r="R1334" s="769" t="str">
        <f>IF($F1334="","",$I1334+$J1334+$K1334)</f>
        <v/>
      </c>
      <c r="S1334" s="769" t="str">
        <f>IF(OR($F1334="",$P1334="支払なし",$H1334=0,$Q1334=""),"",$Q1334&amp;"|S|"&amp;(COUNTIF(S$4:S1333,$Q1334&amp;"|S|*")+1))</f>
        <v/>
      </c>
      <c r="T1334" s="769" t="str">
        <f>IF(OR($F1334="",$P1334="支払なし",$R1334=0,$Q1334=""),"",$Q1334&amp;"|L|"&amp;(COUNTIF(T$4:T1333,$Q1334&amp;"|L|*")+1))</f>
        <v/>
      </c>
      <c r="U1334" s="769" t="str">
        <f>IF($F1334="","",13)</f>
        <v/>
      </c>
    </row>
    <row r="1335" ht="16.5" customHeight="1" s="186">
      <c r="A1335" s="760" t="n"/>
      <c r="B1335" s="760" t="n"/>
      <c r="C1335" s="762" t="n"/>
      <c r="D1335" s="762" t="n"/>
      <c r="E1335" s="775" t="n"/>
      <c r="F1335" s="821" t="n"/>
      <c r="G1335" s="821" t="n"/>
      <c r="H1335" s="818">
        <f>IF(G1335=1,F1335-I1335-J1335-K1335,IF(G1335=2,F1335,0))</f>
        <v>0</v>
      </c>
      <c r="I1335" s="818">
        <f>ROUND(IF(G1335=1,F1335*10/23,IF(G1335=3,F1335-J1335-K1335,IF(G1335=4,F1335,IF(G1335=5,F1335*10/11,IF(G1335=7,F1335*10/11,0))))),0)</f>
        <v>0</v>
      </c>
      <c r="J1335" s="818">
        <f>ROUND(IF(G1335=1,F1335/23,IF(G1335=3,F1335/12,IF(G1335=5,F1335-I1335,IF(G1335=8,F1335,0)))),0)</f>
        <v>0</v>
      </c>
      <c r="K1335" s="819">
        <f>ROUND(IF(G1335=1,F1335/23,IF(G1335=3,F1335/12,IF(G1335=6,F1335,IF(G1335=7,F1335-I1335,0)))),0)</f>
        <v>0</v>
      </c>
      <c r="L1335" s="820">
        <f>IF(G1335=6,F1335,0)</f>
        <v>0</v>
      </c>
      <c r="P1335" s="768" t="n"/>
      <c r="Q1335" s="769" t="str">
        <f>IF($F1335="","",IFERROR(VLOOKUP($C1335&amp;"|"&amp;$D1335,科目表!$A$5:$B$200,2,FALSE),"※未登録"))</f>
        <v/>
      </c>
      <c r="R1335" s="769" t="str">
        <f>IF($F1335="","",$I1335+$J1335+$K1335)</f>
        <v/>
      </c>
      <c r="S1335" s="769" t="str">
        <f>IF(OR($F1335="",$P1335="支払なし",$H1335=0,$Q1335=""),"",$Q1335&amp;"|S|"&amp;(COUNTIF(S$4:S1334,$Q1335&amp;"|S|*")+1))</f>
        <v/>
      </c>
      <c r="T1335" s="769" t="str">
        <f>IF(OR($F1335="",$P1335="支払なし",$R1335=0,$Q1335=""),"",$Q1335&amp;"|L|"&amp;(COUNTIF(T$4:T1334,$Q1335&amp;"|L|*")+1))</f>
        <v/>
      </c>
      <c r="U1335" s="769" t="str">
        <f>IF($F1335="","",13)</f>
        <v/>
      </c>
    </row>
    <row r="1336" ht="16.5" customHeight="1" s="186">
      <c r="A1336" s="760" t="n"/>
      <c r="B1336" s="760" t="n"/>
      <c r="C1336" s="762" t="n"/>
      <c r="D1336" s="762" t="n"/>
      <c r="E1336" s="775" t="n"/>
      <c r="F1336" s="821" t="n"/>
      <c r="G1336" s="821" t="n"/>
      <c r="H1336" s="818">
        <f>IF(G1336=1,F1336-I1336-J1336-K1336,IF(G1336=2,F1336,0))</f>
        <v>0</v>
      </c>
      <c r="I1336" s="818">
        <f>ROUND(IF(G1336=1,F1336*10/23,IF(G1336=3,F1336-J1336-K1336,IF(G1336=4,F1336,IF(G1336=5,F1336*10/11,IF(G1336=7,F1336*10/11,0))))),0)</f>
        <v>0</v>
      </c>
      <c r="J1336" s="818">
        <f>ROUND(IF(G1336=1,F1336/23,IF(G1336=3,F1336/12,IF(G1336=5,F1336-I1336,IF(G1336=8,F1336,0)))),0)</f>
        <v>0</v>
      </c>
      <c r="K1336" s="819">
        <f>ROUND(IF(G1336=1,F1336/23,IF(G1336=3,F1336/12,IF(G1336=6,F1336,IF(G1336=7,F1336-I1336,0)))),0)</f>
        <v>0</v>
      </c>
      <c r="L1336" s="820">
        <f>IF(G1336=6,F1336,0)</f>
        <v>0</v>
      </c>
      <c r="P1336" s="768" t="n"/>
      <c r="Q1336" s="769" t="str">
        <f>IF($F1336="","",IFERROR(VLOOKUP($C1336&amp;"|"&amp;$D1336,科目表!$A$5:$B$200,2,FALSE),"※未登録"))</f>
        <v/>
      </c>
      <c r="R1336" s="769" t="str">
        <f>IF($F1336="","",$I1336+$J1336+$K1336)</f>
        <v/>
      </c>
      <c r="S1336" s="769" t="str">
        <f>IF(OR($F1336="",$P1336="支払なし",$H1336=0,$Q1336=""),"",$Q1336&amp;"|S|"&amp;(COUNTIF(S$4:S1335,$Q1336&amp;"|S|*")+1))</f>
        <v/>
      </c>
      <c r="T1336" s="769" t="str">
        <f>IF(OR($F1336="",$P1336="支払なし",$R1336=0,$Q1336=""),"",$Q1336&amp;"|L|"&amp;(COUNTIF(T$4:T1335,$Q1336&amp;"|L|*")+1))</f>
        <v/>
      </c>
      <c r="U1336" s="769" t="str">
        <f>IF($F1336="","",13)</f>
        <v/>
      </c>
    </row>
    <row r="1337" ht="16.5" customHeight="1" s="186">
      <c r="A1337" s="760" t="n"/>
      <c r="B1337" s="760" t="n"/>
      <c r="C1337" s="762" t="n"/>
      <c r="D1337" s="762" t="n"/>
      <c r="E1337" s="775" t="n"/>
      <c r="F1337" s="821" t="n"/>
      <c r="G1337" s="821" t="n"/>
      <c r="H1337" s="818">
        <f>IF(G1337=1,F1337-I1337-J1337-K1337,IF(G1337=2,F1337,0))</f>
        <v>0</v>
      </c>
      <c r="I1337" s="818">
        <f>ROUND(IF(G1337=1,F1337*10/23,IF(G1337=3,F1337-J1337-K1337,IF(G1337=4,F1337,IF(G1337=5,F1337*10/11,IF(G1337=7,F1337*10/11,0))))),0)</f>
        <v>0</v>
      </c>
      <c r="J1337" s="818">
        <f>ROUND(IF(G1337=1,F1337/23,IF(G1337=3,F1337/12,IF(G1337=5,F1337-I1337,IF(G1337=8,F1337,0)))),0)</f>
        <v>0</v>
      </c>
      <c r="K1337" s="819">
        <f>ROUND(IF(G1337=1,F1337/23,IF(G1337=3,F1337/12,IF(G1337=6,F1337,IF(G1337=7,F1337-I1337,0)))),0)</f>
        <v>0</v>
      </c>
      <c r="L1337" s="820">
        <f>IF(G1337=6,F1337,0)</f>
        <v>0</v>
      </c>
      <c r="P1337" s="768" t="n"/>
      <c r="Q1337" s="769" t="str">
        <f>IF($F1337="","",IFERROR(VLOOKUP($C1337&amp;"|"&amp;$D1337,科目表!$A$5:$B$200,2,FALSE),"※未登録"))</f>
        <v/>
      </c>
      <c r="R1337" s="769" t="str">
        <f>IF($F1337="","",$I1337+$J1337+$K1337)</f>
        <v/>
      </c>
      <c r="S1337" s="769" t="str">
        <f>IF(OR($F1337="",$P1337="支払なし",$H1337=0,$Q1337=""),"",$Q1337&amp;"|S|"&amp;(COUNTIF(S$4:S1336,$Q1337&amp;"|S|*")+1))</f>
        <v/>
      </c>
      <c r="T1337" s="769" t="str">
        <f>IF(OR($F1337="",$P1337="支払なし",$R1337=0,$Q1337=""),"",$Q1337&amp;"|L|"&amp;(COUNTIF(T$4:T1336,$Q1337&amp;"|L|*")+1))</f>
        <v/>
      </c>
      <c r="U1337" s="769" t="str">
        <f>IF($F1337="","",13)</f>
        <v/>
      </c>
    </row>
    <row r="1338" ht="16.5" customHeight="1" s="186">
      <c r="A1338" s="760" t="n"/>
      <c r="B1338" s="760" t="n"/>
      <c r="C1338" s="762" t="n"/>
      <c r="D1338" s="762" t="n"/>
      <c r="E1338" s="775" t="n"/>
      <c r="F1338" s="821" t="n"/>
      <c r="G1338" s="821" t="n"/>
      <c r="H1338" s="818">
        <f>IF(G1338=1,F1338-I1338-J1338-K1338,IF(G1338=2,F1338,0))</f>
        <v>0</v>
      </c>
      <c r="I1338" s="818">
        <f>ROUND(IF(G1338=1,F1338*10/23,IF(G1338=3,F1338-J1338-K1338,IF(G1338=4,F1338,IF(G1338=5,F1338*10/11,IF(G1338=7,F1338*10/11,0))))),0)</f>
        <v>0</v>
      </c>
      <c r="J1338" s="818">
        <f>ROUND(IF(G1338=1,F1338/23,IF(G1338=3,F1338/12,IF(G1338=5,F1338-I1338,IF(G1338=8,F1338,0)))),0)</f>
        <v>0</v>
      </c>
      <c r="K1338" s="819">
        <f>ROUND(IF(G1338=1,F1338/23,IF(G1338=3,F1338/12,IF(G1338=6,F1338,IF(G1338=7,F1338-I1338,0)))),0)</f>
        <v>0</v>
      </c>
      <c r="L1338" s="820">
        <f>IF(G1338=6,F1338,0)</f>
        <v>0</v>
      </c>
      <c r="P1338" s="768" t="n"/>
      <c r="Q1338" s="769" t="str">
        <f>IF($F1338="","",IFERROR(VLOOKUP($C1338&amp;"|"&amp;$D1338,科目表!$A$5:$B$200,2,FALSE),"※未登録"))</f>
        <v/>
      </c>
      <c r="R1338" s="769" t="str">
        <f>IF($F1338="","",$I1338+$J1338+$K1338)</f>
        <v/>
      </c>
      <c r="S1338" s="769" t="str">
        <f>IF(OR($F1338="",$P1338="支払なし",$H1338=0,$Q1338=""),"",$Q1338&amp;"|S|"&amp;(COUNTIF(S$4:S1337,$Q1338&amp;"|S|*")+1))</f>
        <v/>
      </c>
      <c r="T1338" s="769" t="str">
        <f>IF(OR($F1338="",$P1338="支払なし",$R1338=0,$Q1338=""),"",$Q1338&amp;"|L|"&amp;(COUNTIF(T$4:T1337,$Q1338&amp;"|L|*")+1))</f>
        <v/>
      </c>
      <c r="U1338" s="769" t="str">
        <f>IF($F1338="","",13)</f>
        <v/>
      </c>
    </row>
    <row r="1339" ht="16.5" customHeight="1" s="186">
      <c r="A1339" s="760" t="n"/>
      <c r="B1339" s="760" t="n"/>
      <c r="C1339" s="762" t="n"/>
      <c r="D1339" s="762" t="n"/>
      <c r="E1339" s="775" t="n"/>
      <c r="F1339" s="821" t="n"/>
      <c r="G1339" s="821" t="n"/>
      <c r="H1339" s="818">
        <f>IF(G1339=1,F1339-I1339-J1339-K1339,IF(G1339=2,F1339,0))</f>
        <v>0</v>
      </c>
      <c r="I1339" s="818">
        <f>ROUND(IF(G1339=1,F1339*10/23,IF(G1339=3,F1339-J1339-K1339,IF(G1339=4,F1339,IF(G1339=5,F1339*10/11,IF(G1339=7,F1339*10/11,0))))),0)</f>
        <v>0</v>
      </c>
      <c r="J1339" s="818">
        <f>ROUND(IF(G1339=1,F1339/23,IF(G1339=3,F1339/12,IF(G1339=5,F1339-I1339,IF(G1339=8,F1339,0)))),0)</f>
        <v>0</v>
      </c>
      <c r="K1339" s="819">
        <f>ROUND(IF(G1339=1,F1339/23,IF(G1339=3,F1339/12,IF(G1339=6,F1339,IF(G1339=7,F1339-I1339,0)))),0)</f>
        <v>0</v>
      </c>
      <c r="L1339" s="820">
        <f>IF(G1339=6,F1339,0)</f>
        <v>0</v>
      </c>
      <c r="P1339" s="768" t="n"/>
      <c r="Q1339" s="769" t="str">
        <f>IF($F1339="","",IFERROR(VLOOKUP($C1339&amp;"|"&amp;$D1339,科目表!$A$5:$B$200,2,FALSE),"※未登録"))</f>
        <v/>
      </c>
      <c r="R1339" s="769" t="str">
        <f>IF($F1339="","",$I1339+$J1339+$K1339)</f>
        <v/>
      </c>
      <c r="S1339" s="769" t="str">
        <f>IF(OR($F1339="",$P1339="支払なし",$H1339=0,$Q1339=""),"",$Q1339&amp;"|S|"&amp;(COUNTIF(S$4:S1338,$Q1339&amp;"|S|*")+1))</f>
        <v/>
      </c>
      <c r="T1339" s="769" t="str">
        <f>IF(OR($F1339="",$P1339="支払なし",$R1339=0,$Q1339=""),"",$Q1339&amp;"|L|"&amp;(COUNTIF(T$4:T1338,$Q1339&amp;"|L|*")+1))</f>
        <v/>
      </c>
      <c r="U1339" s="769" t="str">
        <f>IF($F1339="","",13)</f>
        <v/>
      </c>
    </row>
    <row r="1340" ht="16.5" customHeight="1" s="186">
      <c r="A1340" s="760" t="n"/>
      <c r="B1340" s="760" t="n"/>
      <c r="C1340" s="762" t="n"/>
      <c r="D1340" s="762" t="n"/>
      <c r="E1340" s="775" t="n"/>
      <c r="F1340" s="821" t="n"/>
      <c r="G1340" s="821" t="n"/>
      <c r="H1340" s="818">
        <f>IF(G1340=1,F1340-I1340-J1340-K1340,IF(G1340=2,F1340,0))</f>
        <v>0</v>
      </c>
      <c r="I1340" s="818">
        <f>ROUND(IF(G1340=1,F1340*10/23,IF(G1340=3,F1340-J1340-K1340,IF(G1340=4,F1340,IF(G1340=5,F1340*10/11,IF(G1340=7,F1340*10/11,0))))),0)</f>
        <v>0</v>
      </c>
      <c r="J1340" s="818">
        <f>ROUND(IF(G1340=1,F1340/23,IF(G1340=3,F1340/12,IF(G1340=5,F1340-I1340,IF(G1340=8,F1340,0)))),0)</f>
        <v>0</v>
      </c>
      <c r="K1340" s="819">
        <f>ROUND(IF(G1340=1,F1340/23,IF(G1340=3,F1340/12,IF(G1340=6,F1340,IF(G1340=7,F1340-I1340,0)))),0)</f>
        <v>0</v>
      </c>
      <c r="L1340" s="820">
        <f>IF(G1340=6,F1340,0)</f>
        <v>0</v>
      </c>
      <c r="P1340" s="768" t="n"/>
      <c r="Q1340" s="769" t="str">
        <f>IF($F1340="","",IFERROR(VLOOKUP($C1340&amp;"|"&amp;$D1340,科目表!$A$5:$B$200,2,FALSE),"※未登録"))</f>
        <v/>
      </c>
      <c r="R1340" s="769" t="str">
        <f>IF($F1340="","",$I1340+$J1340+$K1340)</f>
        <v/>
      </c>
      <c r="S1340" s="769" t="str">
        <f>IF(OR($F1340="",$P1340="支払なし",$H1340=0,$Q1340=""),"",$Q1340&amp;"|S|"&amp;(COUNTIF(S$4:S1339,$Q1340&amp;"|S|*")+1))</f>
        <v/>
      </c>
      <c r="T1340" s="769" t="str">
        <f>IF(OR($F1340="",$P1340="支払なし",$R1340=0,$Q1340=""),"",$Q1340&amp;"|L|"&amp;(COUNTIF(T$4:T1339,$Q1340&amp;"|L|*")+1))</f>
        <v/>
      </c>
      <c r="U1340" s="769" t="str">
        <f>IF($F1340="","",13)</f>
        <v/>
      </c>
    </row>
    <row r="1341" ht="16.5" customHeight="1" s="186">
      <c r="A1341" s="760" t="n"/>
      <c r="B1341" s="760" t="n"/>
      <c r="C1341" s="762" t="n"/>
      <c r="D1341" s="762" t="n"/>
      <c r="E1341" s="775" t="n"/>
      <c r="F1341" s="821" t="n"/>
      <c r="G1341" s="821" t="n"/>
      <c r="H1341" s="818">
        <f>IF(G1341=1,F1341-I1341-J1341-K1341,IF(G1341=2,F1341,0))</f>
        <v>0</v>
      </c>
      <c r="I1341" s="818">
        <f>ROUND(IF(G1341=1,F1341*10/23,IF(G1341=3,F1341-J1341-K1341,IF(G1341=4,F1341,IF(G1341=5,F1341*10/11,IF(G1341=7,F1341*10/11,0))))),0)</f>
        <v>0</v>
      </c>
      <c r="J1341" s="818">
        <f>ROUND(IF(G1341=1,F1341/23,IF(G1341=3,F1341/12,IF(G1341=5,F1341-I1341,IF(G1341=8,F1341,0)))),0)</f>
        <v>0</v>
      </c>
      <c r="K1341" s="819">
        <f>ROUND(IF(G1341=1,F1341/23,IF(G1341=3,F1341/12,IF(G1341=6,F1341,IF(G1341=7,F1341-I1341,0)))),0)</f>
        <v>0</v>
      </c>
      <c r="L1341" s="820">
        <f>IF(G1341=6,F1341,0)</f>
        <v>0</v>
      </c>
      <c r="P1341" s="768" t="n"/>
      <c r="Q1341" s="769" t="str">
        <f>IF($F1341="","",IFERROR(VLOOKUP($C1341&amp;"|"&amp;$D1341,科目表!$A$5:$B$200,2,FALSE),"※未登録"))</f>
        <v/>
      </c>
      <c r="R1341" s="769" t="str">
        <f>IF($F1341="","",$I1341+$J1341+$K1341)</f>
        <v/>
      </c>
      <c r="S1341" s="769" t="str">
        <f>IF(OR($F1341="",$P1341="支払なし",$H1341=0,$Q1341=""),"",$Q1341&amp;"|S|"&amp;(COUNTIF(S$4:S1340,$Q1341&amp;"|S|*")+1))</f>
        <v/>
      </c>
      <c r="T1341" s="769" t="str">
        <f>IF(OR($F1341="",$P1341="支払なし",$R1341=0,$Q1341=""),"",$Q1341&amp;"|L|"&amp;(COUNTIF(T$4:T1340,$Q1341&amp;"|L|*")+1))</f>
        <v/>
      </c>
      <c r="U1341" s="769" t="str">
        <f>IF($F1341="","",13)</f>
        <v/>
      </c>
    </row>
    <row r="1342" ht="16.5" customHeight="1" s="186">
      <c r="A1342" s="760" t="n"/>
      <c r="B1342" s="760" t="n"/>
      <c r="C1342" s="762" t="n"/>
      <c r="D1342" s="762" t="n"/>
      <c r="E1342" s="775" t="n"/>
      <c r="F1342" s="821" t="n"/>
      <c r="G1342" s="821" t="n"/>
      <c r="H1342" s="818">
        <f>IF(G1342=1,F1342-I1342-J1342-K1342,IF(G1342=2,F1342,0))</f>
        <v>0</v>
      </c>
      <c r="I1342" s="818">
        <f>ROUND(IF(G1342=1,F1342*10/23,IF(G1342=3,F1342-J1342-K1342,IF(G1342=4,F1342,IF(G1342=5,F1342*10/11,IF(G1342=7,F1342*10/11,0))))),0)</f>
        <v>0</v>
      </c>
      <c r="J1342" s="818">
        <f>ROUND(IF(G1342=1,F1342/23,IF(G1342=3,F1342/12,IF(G1342=5,F1342-I1342,IF(G1342=8,F1342,0)))),0)</f>
        <v>0</v>
      </c>
      <c r="K1342" s="819">
        <f>ROUND(IF(G1342=1,F1342/23,IF(G1342=3,F1342/12,IF(G1342=6,F1342,IF(G1342=7,F1342-I1342,0)))),0)</f>
        <v>0</v>
      </c>
      <c r="L1342" s="820">
        <f>IF(G1342=6,F1342,0)</f>
        <v>0</v>
      </c>
      <c r="P1342" s="768" t="n"/>
      <c r="Q1342" s="769" t="str">
        <f>IF($F1342="","",IFERROR(VLOOKUP($C1342&amp;"|"&amp;$D1342,科目表!$A$5:$B$200,2,FALSE),"※未登録"))</f>
        <v/>
      </c>
      <c r="R1342" s="769" t="str">
        <f>IF($F1342="","",$I1342+$J1342+$K1342)</f>
        <v/>
      </c>
      <c r="S1342" s="769" t="str">
        <f>IF(OR($F1342="",$P1342="支払なし",$H1342=0,$Q1342=""),"",$Q1342&amp;"|S|"&amp;(COUNTIF(S$4:S1341,$Q1342&amp;"|S|*")+1))</f>
        <v/>
      </c>
      <c r="T1342" s="769" t="str">
        <f>IF(OR($F1342="",$P1342="支払なし",$R1342=0,$Q1342=""),"",$Q1342&amp;"|L|"&amp;(COUNTIF(T$4:T1341,$Q1342&amp;"|L|*")+1))</f>
        <v/>
      </c>
      <c r="U1342" s="769" t="str">
        <f>IF($F1342="","",13)</f>
        <v/>
      </c>
    </row>
    <row r="1343" ht="16.5" customHeight="1" s="186">
      <c r="A1343" s="760" t="n"/>
      <c r="B1343" s="760" t="n"/>
      <c r="C1343" s="762" t="n"/>
      <c r="D1343" s="762" t="n"/>
      <c r="E1343" s="775" t="n"/>
      <c r="F1343" s="821" t="n"/>
      <c r="G1343" s="821" t="n"/>
      <c r="H1343" s="818">
        <f>IF(G1343=1,F1343-I1343-J1343-K1343,IF(G1343=2,F1343,0))</f>
        <v>0</v>
      </c>
      <c r="I1343" s="818">
        <f>ROUND(IF(G1343=1,F1343*10/23,IF(G1343=3,F1343-J1343-K1343,IF(G1343=4,F1343,IF(G1343=5,F1343*10/11,IF(G1343=7,F1343*10/11,0))))),0)</f>
        <v>0</v>
      </c>
      <c r="J1343" s="818">
        <f>ROUND(IF(G1343=1,F1343/23,IF(G1343=3,F1343/12,IF(G1343=5,F1343-I1343,IF(G1343=8,F1343,0)))),0)</f>
        <v>0</v>
      </c>
      <c r="K1343" s="819">
        <f>ROUND(IF(G1343=1,F1343/23,IF(G1343=3,F1343/12,IF(G1343=6,F1343,IF(G1343=7,F1343-I1343,0)))),0)</f>
        <v>0</v>
      </c>
      <c r="L1343" s="820">
        <f>IF(G1343=6,F1343,0)</f>
        <v>0</v>
      </c>
      <c r="P1343" s="768" t="n"/>
      <c r="Q1343" s="769" t="str">
        <f>IF($F1343="","",IFERROR(VLOOKUP($C1343&amp;"|"&amp;$D1343,科目表!$A$5:$B$200,2,FALSE),"※未登録"))</f>
        <v/>
      </c>
      <c r="R1343" s="769" t="str">
        <f>IF($F1343="","",$I1343+$J1343+$K1343)</f>
        <v/>
      </c>
      <c r="S1343" s="769" t="str">
        <f>IF(OR($F1343="",$P1343="支払なし",$H1343=0,$Q1343=""),"",$Q1343&amp;"|S|"&amp;(COUNTIF(S$4:S1342,$Q1343&amp;"|S|*")+1))</f>
        <v/>
      </c>
      <c r="T1343" s="769" t="str">
        <f>IF(OR($F1343="",$P1343="支払なし",$R1343=0,$Q1343=""),"",$Q1343&amp;"|L|"&amp;(COUNTIF(T$4:T1342,$Q1343&amp;"|L|*")+1))</f>
        <v/>
      </c>
      <c r="U1343" s="769" t="str">
        <f>IF($F1343="","",13)</f>
        <v/>
      </c>
    </row>
    <row r="1344" ht="16.5" customHeight="1" s="186">
      <c r="A1344" s="760" t="n"/>
      <c r="B1344" s="760" t="n"/>
      <c r="C1344" s="762" t="n"/>
      <c r="D1344" s="762" t="n"/>
      <c r="E1344" s="775" t="n"/>
      <c r="F1344" s="821" t="n"/>
      <c r="G1344" s="821" t="n"/>
      <c r="H1344" s="818">
        <f>IF(G1344=1,F1344-I1344-J1344-K1344,IF(G1344=2,F1344,0))</f>
        <v>0</v>
      </c>
      <c r="I1344" s="818">
        <f>ROUND(IF(G1344=1,F1344*10/23,IF(G1344=3,F1344-J1344-K1344,IF(G1344=4,F1344,IF(G1344=5,F1344*10/11,IF(G1344=7,F1344*10/11,0))))),0)</f>
        <v>0</v>
      </c>
      <c r="J1344" s="818">
        <f>ROUND(IF(G1344=1,F1344/23,IF(G1344=3,F1344/12,IF(G1344=5,F1344-I1344,IF(G1344=8,F1344,0)))),0)</f>
        <v>0</v>
      </c>
      <c r="K1344" s="819">
        <f>ROUND(IF(G1344=1,F1344/23,IF(G1344=3,F1344/12,IF(G1344=6,F1344,IF(G1344=7,F1344-I1344,0)))),0)</f>
        <v>0</v>
      </c>
      <c r="L1344" s="820">
        <f>IF(G1344=6,F1344,0)</f>
        <v>0</v>
      </c>
      <c r="P1344" s="768" t="n"/>
      <c r="Q1344" s="769" t="str">
        <f>IF($F1344="","",IFERROR(VLOOKUP($C1344&amp;"|"&amp;$D1344,科目表!$A$5:$B$200,2,FALSE),"※未登録"))</f>
        <v/>
      </c>
      <c r="R1344" s="769" t="str">
        <f>IF($F1344="","",$I1344+$J1344+$K1344)</f>
        <v/>
      </c>
      <c r="S1344" s="769" t="str">
        <f>IF(OR($F1344="",$P1344="支払なし",$H1344=0,$Q1344=""),"",$Q1344&amp;"|S|"&amp;(COUNTIF(S$4:S1343,$Q1344&amp;"|S|*")+1))</f>
        <v/>
      </c>
      <c r="T1344" s="769" t="str">
        <f>IF(OR($F1344="",$P1344="支払なし",$R1344=0,$Q1344=""),"",$Q1344&amp;"|L|"&amp;(COUNTIF(T$4:T1343,$Q1344&amp;"|L|*")+1))</f>
        <v/>
      </c>
      <c r="U1344" s="769" t="str">
        <f>IF($F1344="","",13)</f>
        <v/>
      </c>
    </row>
    <row r="1345" ht="16.5" customHeight="1" s="186">
      <c r="A1345" s="760" t="n"/>
      <c r="B1345" s="760" t="n"/>
      <c r="C1345" s="762" t="n"/>
      <c r="D1345" s="762" t="n"/>
      <c r="E1345" s="775" t="n"/>
      <c r="F1345" s="821" t="n"/>
      <c r="G1345" s="821" t="n"/>
      <c r="H1345" s="818">
        <f>IF(G1345=1,F1345-I1345-J1345-K1345,IF(G1345=2,F1345,0))</f>
        <v>0</v>
      </c>
      <c r="I1345" s="818">
        <f>ROUND(IF(G1345=1,F1345*10/23,IF(G1345=3,F1345-J1345-K1345,IF(G1345=4,F1345,IF(G1345=5,F1345*10/11,IF(G1345=7,F1345*10/11,0))))),0)</f>
        <v>0</v>
      </c>
      <c r="J1345" s="818">
        <f>ROUND(IF(G1345=1,F1345/23,IF(G1345=3,F1345/12,IF(G1345=5,F1345-I1345,IF(G1345=8,F1345,0)))),0)</f>
        <v>0</v>
      </c>
      <c r="K1345" s="819">
        <f>ROUND(IF(G1345=1,F1345/23,IF(G1345=3,F1345/12,IF(G1345=6,F1345,IF(G1345=7,F1345-I1345,0)))),0)</f>
        <v>0</v>
      </c>
      <c r="L1345" s="820">
        <f>IF(G1345=6,F1345,0)</f>
        <v>0</v>
      </c>
      <c r="P1345" s="768" t="n"/>
      <c r="Q1345" s="769" t="str">
        <f>IF($F1345="","",IFERROR(VLOOKUP($C1345&amp;"|"&amp;$D1345,科目表!$A$5:$B$200,2,FALSE),"※未登録"))</f>
        <v/>
      </c>
      <c r="R1345" s="769" t="str">
        <f>IF($F1345="","",$I1345+$J1345+$K1345)</f>
        <v/>
      </c>
      <c r="S1345" s="769" t="str">
        <f>IF(OR($F1345="",$P1345="支払なし",$H1345=0,$Q1345=""),"",$Q1345&amp;"|S|"&amp;(COUNTIF(S$4:S1344,$Q1345&amp;"|S|*")+1))</f>
        <v/>
      </c>
      <c r="T1345" s="769" t="str">
        <f>IF(OR($F1345="",$P1345="支払なし",$R1345=0,$Q1345=""),"",$Q1345&amp;"|L|"&amp;(COUNTIF(T$4:T1344,$Q1345&amp;"|L|*")+1))</f>
        <v/>
      </c>
      <c r="U1345" s="769" t="str">
        <f>IF($F1345="","",13)</f>
        <v/>
      </c>
    </row>
    <row r="1346" ht="16.5" customHeight="1" s="186">
      <c r="A1346" s="760" t="n"/>
      <c r="B1346" s="760" t="n"/>
      <c r="C1346" s="762" t="n"/>
      <c r="D1346" s="762" t="n"/>
      <c r="E1346" s="775" t="n"/>
      <c r="F1346" s="821" t="n"/>
      <c r="G1346" s="821" t="n"/>
      <c r="H1346" s="818">
        <f>IF(G1346=1,F1346-I1346-J1346-K1346,IF(G1346=2,F1346,0))</f>
        <v>0</v>
      </c>
      <c r="I1346" s="818">
        <f>ROUND(IF(G1346=1,F1346*10/23,IF(G1346=3,F1346-J1346-K1346,IF(G1346=4,F1346,IF(G1346=5,F1346*10/11,IF(G1346=7,F1346*10/11,0))))),0)</f>
        <v>0</v>
      </c>
      <c r="J1346" s="818">
        <f>ROUND(IF(G1346=1,F1346/23,IF(G1346=3,F1346/12,IF(G1346=5,F1346-I1346,IF(G1346=8,F1346,0)))),0)</f>
        <v>0</v>
      </c>
      <c r="K1346" s="819">
        <f>ROUND(IF(G1346=1,F1346/23,IF(G1346=3,F1346/12,IF(G1346=6,F1346,IF(G1346=7,F1346-I1346,0)))),0)</f>
        <v>0</v>
      </c>
      <c r="L1346" s="820">
        <f>IF(G1346=6,F1346,0)</f>
        <v>0</v>
      </c>
      <c r="P1346" s="768" t="n"/>
      <c r="Q1346" s="769" t="str">
        <f>IF($F1346="","",IFERROR(VLOOKUP($C1346&amp;"|"&amp;$D1346,科目表!$A$5:$B$200,2,FALSE),"※未登録"))</f>
        <v/>
      </c>
      <c r="R1346" s="769" t="str">
        <f>IF($F1346="","",$I1346+$J1346+$K1346)</f>
        <v/>
      </c>
      <c r="S1346" s="769" t="str">
        <f>IF(OR($F1346="",$P1346="支払なし",$H1346=0,$Q1346=""),"",$Q1346&amp;"|S|"&amp;(COUNTIF(S$4:S1345,$Q1346&amp;"|S|*")+1))</f>
        <v/>
      </c>
      <c r="T1346" s="769" t="str">
        <f>IF(OR($F1346="",$P1346="支払なし",$R1346=0,$Q1346=""),"",$Q1346&amp;"|L|"&amp;(COUNTIF(T$4:T1345,$Q1346&amp;"|L|*")+1))</f>
        <v/>
      </c>
      <c r="U1346" s="769" t="str">
        <f>IF($F1346="","",13)</f>
        <v/>
      </c>
    </row>
    <row r="1347" ht="16.5" customHeight="1" s="186">
      <c r="A1347" s="760" t="n"/>
      <c r="B1347" s="760" t="n"/>
      <c r="C1347" s="762" t="n"/>
      <c r="D1347" s="762" t="n"/>
      <c r="E1347" s="775" t="n"/>
      <c r="F1347" s="821" t="n"/>
      <c r="G1347" s="821" t="n"/>
      <c r="H1347" s="818">
        <f>IF(G1347=1,F1347-I1347-J1347-K1347,IF(G1347=2,F1347,0))</f>
        <v>0</v>
      </c>
      <c r="I1347" s="818">
        <f>ROUND(IF(G1347=1,F1347*10/23,IF(G1347=3,F1347-J1347-K1347,IF(G1347=4,F1347,IF(G1347=5,F1347*10/11,IF(G1347=7,F1347*10/11,0))))),0)</f>
        <v>0</v>
      </c>
      <c r="J1347" s="818">
        <f>ROUND(IF(G1347=1,F1347/23,IF(G1347=3,F1347/12,IF(G1347=5,F1347-I1347,IF(G1347=8,F1347,0)))),0)</f>
        <v>0</v>
      </c>
      <c r="K1347" s="819">
        <f>ROUND(IF(G1347=1,F1347/23,IF(G1347=3,F1347/12,IF(G1347=6,F1347,IF(G1347=7,F1347-I1347,0)))),0)</f>
        <v>0</v>
      </c>
      <c r="L1347" s="820">
        <f>IF(G1347=6,F1347,0)</f>
        <v>0</v>
      </c>
      <c r="P1347" s="768" t="n"/>
      <c r="Q1347" s="769" t="str">
        <f>IF($F1347="","",IFERROR(VLOOKUP($C1347&amp;"|"&amp;$D1347,科目表!$A$5:$B$200,2,FALSE),"※未登録"))</f>
        <v/>
      </c>
      <c r="R1347" s="769" t="str">
        <f>IF($F1347="","",$I1347+$J1347+$K1347)</f>
        <v/>
      </c>
      <c r="S1347" s="769" t="str">
        <f>IF(OR($F1347="",$P1347="支払なし",$H1347=0,$Q1347=""),"",$Q1347&amp;"|S|"&amp;(COUNTIF(S$4:S1346,$Q1347&amp;"|S|*")+1))</f>
        <v/>
      </c>
      <c r="T1347" s="769" t="str">
        <f>IF(OR($F1347="",$P1347="支払なし",$R1347=0,$Q1347=""),"",$Q1347&amp;"|L|"&amp;(COUNTIF(T$4:T1346,$Q1347&amp;"|L|*")+1))</f>
        <v/>
      </c>
      <c r="U1347" s="769" t="str">
        <f>IF($F1347="","",13)</f>
        <v/>
      </c>
    </row>
    <row r="1348" ht="16.5" customHeight="1" s="186">
      <c r="A1348" s="760" t="n"/>
      <c r="B1348" s="760" t="n"/>
      <c r="C1348" s="762" t="n"/>
      <c r="D1348" s="762" t="n"/>
      <c r="E1348" s="775" t="n"/>
      <c r="F1348" s="821" t="n"/>
      <c r="G1348" s="821" t="n"/>
      <c r="H1348" s="818">
        <f>IF(G1348=1,F1348-I1348-J1348-K1348,IF(G1348=2,F1348,0))</f>
        <v>0</v>
      </c>
      <c r="I1348" s="818">
        <f>ROUND(IF(G1348=1,F1348*10/23,IF(G1348=3,F1348-J1348-K1348,IF(G1348=4,F1348,IF(G1348=5,F1348*10/11,IF(G1348=7,F1348*10/11,0))))),0)</f>
        <v>0</v>
      </c>
      <c r="J1348" s="818">
        <f>ROUND(IF(G1348=1,F1348/23,IF(G1348=3,F1348/12,IF(G1348=5,F1348-I1348,IF(G1348=8,F1348,0)))),0)</f>
        <v>0</v>
      </c>
      <c r="K1348" s="819">
        <f>ROUND(IF(G1348=1,F1348/23,IF(G1348=3,F1348/12,IF(G1348=6,F1348,IF(G1348=7,F1348-I1348,0)))),0)</f>
        <v>0</v>
      </c>
      <c r="L1348" s="820">
        <f>IF(G1348=6,F1348,0)</f>
        <v>0</v>
      </c>
      <c r="P1348" s="768" t="n"/>
      <c r="Q1348" s="769" t="str">
        <f>IF($F1348="","",IFERROR(VLOOKUP($C1348&amp;"|"&amp;$D1348,科目表!$A$5:$B$200,2,FALSE),"※未登録"))</f>
        <v/>
      </c>
      <c r="R1348" s="769" t="str">
        <f>IF($F1348="","",$I1348+$J1348+$K1348)</f>
        <v/>
      </c>
      <c r="S1348" s="769" t="str">
        <f>IF(OR($F1348="",$P1348="支払なし",$H1348=0,$Q1348=""),"",$Q1348&amp;"|S|"&amp;(COUNTIF(S$4:S1347,$Q1348&amp;"|S|*")+1))</f>
        <v/>
      </c>
      <c r="T1348" s="769" t="str">
        <f>IF(OR($F1348="",$P1348="支払なし",$R1348=0,$Q1348=""),"",$Q1348&amp;"|L|"&amp;(COUNTIF(T$4:T1347,$Q1348&amp;"|L|*")+1))</f>
        <v/>
      </c>
      <c r="U1348" s="769" t="str">
        <f>IF($F1348="","",13)</f>
        <v/>
      </c>
    </row>
    <row r="1349" ht="16.5" customHeight="1" s="186">
      <c r="A1349" s="760" t="n"/>
      <c r="B1349" s="760" t="n"/>
      <c r="C1349" s="762" t="n"/>
      <c r="D1349" s="762" t="n"/>
      <c r="E1349" s="775" t="n"/>
      <c r="F1349" s="821" t="n"/>
      <c r="G1349" s="821" t="n"/>
      <c r="H1349" s="818">
        <f>IF(G1349=1,F1349-I1349-J1349-K1349,IF(G1349=2,F1349,0))</f>
        <v>0</v>
      </c>
      <c r="I1349" s="818">
        <f>ROUND(IF(G1349=1,F1349*10/23,IF(G1349=3,F1349-J1349-K1349,IF(G1349=4,F1349,IF(G1349=5,F1349*10/11,IF(G1349=7,F1349*10/11,0))))),0)</f>
        <v>0</v>
      </c>
      <c r="J1349" s="818">
        <f>ROUND(IF(G1349=1,F1349/23,IF(G1349=3,F1349/12,IF(G1349=5,F1349-I1349,IF(G1349=8,F1349,0)))),0)</f>
        <v>0</v>
      </c>
      <c r="K1349" s="819">
        <f>ROUND(IF(G1349=1,F1349/23,IF(G1349=3,F1349/12,IF(G1349=6,F1349,IF(G1349=7,F1349-I1349,0)))),0)</f>
        <v>0</v>
      </c>
      <c r="L1349" s="820">
        <f>IF(G1349=6,F1349,0)</f>
        <v>0</v>
      </c>
      <c r="P1349" s="768" t="n"/>
      <c r="Q1349" s="769" t="str">
        <f>IF($F1349="","",IFERROR(VLOOKUP($C1349&amp;"|"&amp;$D1349,科目表!$A$5:$B$200,2,FALSE),"※未登録"))</f>
        <v/>
      </c>
      <c r="R1349" s="769" t="str">
        <f>IF($F1349="","",$I1349+$J1349+$K1349)</f>
        <v/>
      </c>
      <c r="S1349" s="769" t="str">
        <f>IF(OR($F1349="",$P1349="支払なし",$H1349=0,$Q1349=""),"",$Q1349&amp;"|S|"&amp;(COUNTIF(S$4:S1348,$Q1349&amp;"|S|*")+1))</f>
        <v/>
      </c>
      <c r="T1349" s="769" t="str">
        <f>IF(OR($F1349="",$P1349="支払なし",$R1349=0,$Q1349=""),"",$Q1349&amp;"|L|"&amp;(COUNTIF(T$4:T1348,$Q1349&amp;"|L|*")+1))</f>
        <v/>
      </c>
      <c r="U1349" s="769" t="str">
        <f>IF($F1349="","",13)</f>
        <v/>
      </c>
    </row>
    <row r="1350" ht="16.5" customHeight="1" s="186">
      <c r="A1350" s="760" t="n"/>
      <c r="B1350" s="760" t="n"/>
      <c r="C1350" s="762" t="n"/>
      <c r="D1350" s="762" t="n"/>
      <c r="E1350" s="775" t="n"/>
      <c r="F1350" s="821" t="n"/>
      <c r="G1350" s="821" t="n"/>
      <c r="H1350" s="818">
        <f>IF(G1350=1,F1350-I1350-J1350-K1350,IF(G1350=2,F1350,0))</f>
        <v>0</v>
      </c>
      <c r="I1350" s="818">
        <f>ROUND(IF(G1350=1,F1350*10/23,IF(G1350=3,F1350-J1350-K1350,IF(G1350=4,F1350,IF(G1350=5,F1350*10/11,IF(G1350=7,F1350*10/11,0))))),0)</f>
        <v>0</v>
      </c>
      <c r="J1350" s="818">
        <f>ROUND(IF(G1350=1,F1350/23,IF(G1350=3,F1350/12,IF(G1350=5,F1350-I1350,IF(G1350=8,F1350,0)))),0)</f>
        <v>0</v>
      </c>
      <c r="K1350" s="819">
        <f>ROUND(IF(G1350=1,F1350/23,IF(G1350=3,F1350/12,IF(G1350=6,F1350,IF(G1350=7,F1350-I1350,0)))),0)</f>
        <v>0</v>
      </c>
      <c r="L1350" s="820">
        <f>IF(G1350=6,F1350,0)</f>
        <v>0</v>
      </c>
      <c r="P1350" s="768" t="n"/>
      <c r="Q1350" s="769" t="str">
        <f>IF($F1350="","",IFERROR(VLOOKUP($C1350&amp;"|"&amp;$D1350,科目表!$A$5:$B$200,2,FALSE),"※未登録"))</f>
        <v/>
      </c>
      <c r="R1350" s="769" t="str">
        <f>IF($F1350="","",$I1350+$J1350+$K1350)</f>
        <v/>
      </c>
      <c r="S1350" s="769" t="str">
        <f>IF(OR($F1350="",$P1350="支払なし",$H1350=0,$Q1350=""),"",$Q1350&amp;"|S|"&amp;(COUNTIF(S$4:S1349,$Q1350&amp;"|S|*")+1))</f>
        <v/>
      </c>
      <c r="T1350" s="769" t="str">
        <f>IF(OR($F1350="",$P1350="支払なし",$R1350=0,$Q1350=""),"",$Q1350&amp;"|L|"&amp;(COUNTIF(T$4:T1349,$Q1350&amp;"|L|*")+1))</f>
        <v/>
      </c>
      <c r="U1350" s="769" t="str">
        <f>IF($F1350="","",13)</f>
        <v/>
      </c>
    </row>
    <row r="1351" ht="16.5" customHeight="1" s="186">
      <c r="A1351" s="760" t="n"/>
      <c r="B1351" s="760" t="n"/>
      <c r="C1351" s="762" t="n"/>
      <c r="D1351" s="762" t="n"/>
      <c r="E1351" s="775" t="n"/>
      <c r="F1351" s="821" t="n"/>
      <c r="G1351" s="821" t="n"/>
      <c r="H1351" s="818">
        <f>IF(G1351=1,F1351-I1351-J1351-K1351,IF(G1351=2,F1351,0))</f>
        <v>0</v>
      </c>
      <c r="I1351" s="818">
        <f>ROUND(IF(G1351=1,F1351*10/23,IF(G1351=3,F1351-J1351-K1351,IF(G1351=4,F1351,IF(G1351=5,F1351*10/11,IF(G1351=7,F1351*10/11,0))))),0)</f>
        <v>0</v>
      </c>
      <c r="J1351" s="818">
        <f>ROUND(IF(G1351=1,F1351/23,IF(G1351=3,F1351/12,IF(G1351=5,F1351-I1351,IF(G1351=8,F1351,0)))),0)</f>
        <v>0</v>
      </c>
      <c r="K1351" s="819">
        <f>ROUND(IF(G1351=1,F1351/23,IF(G1351=3,F1351/12,IF(G1351=6,F1351,IF(G1351=7,F1351-I1351,0)))),0)</f>
        <v>0</v>
      </c>
      <c r="L1351" s="820">
        <f>IF(G1351=6,F1351,0)</f>
        <v>0</v>
      </c>
      <c r="P1351" s="768" t="n"/>
      <c r="Q1351" s="769" t="str">
        <f>IF($F1351="","",IFERROR(VLOOKUP($C1351&amp;"|"&amp;$D1351,科目表!$A$5:$B$200,2,FALSE),"※未登録"))</f>
        <v/>
      </c>
      <c r="R1351" s="769" t="str">
        <f>IF($F1351="","",$I1351+$J1351+$K1351)</f>
        <v/>
      </c>
      <c r="S1351" s="769" t="str">
        <f>IF(OR($F1351="",$P1351="支払なし",$H1351=0,$Q1351=""),"",$Q1351&amp;"|S|"&amp;(COUNTIF(S$4:S1350,$Q1351&amp;"|S|*")+1))</f>
        <v/>
      </c>
      <c r="T1351" s="769" t="str">
        <f>IF(OR($F1351="",$P1351="支払なし",$R1351=0,$Q1351=""),"",$Q1351&amp;"|L|"&amp;(COUNTIF(T$4:T1350,$Q1351&amp;"|L|*")+1))</f>
        <v/>
      </c>
      <c r="U1351" s="769" t="str">
        <f>IF($F1351="","",13)</f>
        <v/>
      </c>
    </row>
    <row r="1352" ht="16.5" customHeight="1" s="186">
      <c r="A1352" s="760" t="n"/>
      <c r="B1352" s="760" t="n"/>
      <c r="C1352" s="762" t="n"/>
      <c r="D1352" s="762" t="n"/>
      <c r="E1352" s="775" t="n"/>
      <c r="F1352" s="821" t="n"/>
      <c r="G1352" s="821" t="n"/>
      <c r="H1352" s="818">
        <f>IF(G1352=1,F1352-I1352-J1352-K1352,IF(G1352=2,F1352,0))</f>
        <v>0</v>
      </c>
      <c r="I1352" s="818">
        <f>ROUND(IF(G1352=1,F1352*10/23,IF(G1352=3,F1352-J1352-K1352,IF(G1352=4,F1352,IF(G1352=5,F1352*10/11,IF(G1352=7,F1352*10/11,0))))),0)</f>
        <v>0</v>
      </c>
      <c r="J1352" s="818">
        <f>ROUND(IF(G1352=1,F1352/23,IF(G1352=3,F1352/12,IF(G1352=5,F1352-I1352,IF(G1352=8,F1352,0)))),0)</f>
        <v>0</v>
      </c>
      <c r="K1352" s="819">
        <f>ROUND(IF(G1352=1,F1352/23,IF(G1352=3,F1352/12,IF(G1352=6,F1352,IF(G1352=7,F1352-I1352,0)))),0)</f>
        <v>0</v>
      </c>
      <c r="L1352" s="820">
        <f>IF(G1352=6,F1352,0)</f>
        <v>0</v>
      </c>
      <c r="P1352" s="768" t="n"/>
      <c r="Q1352" s="769" t="str">
        <f>IF($F1352="","",IFERROR(VLOOKUP($C1352&amp;"|"&amp;$D1352,科目表!$A$5:$B$200,2,FALSE),"※未登録"))</f>
        <v/>
      </c>
      <c r="R1352" s="769" t="str">
        <f>IF($F1352="","",$I1352+$J1352+$K1352)</f>
        <v/>
      </c>
      <c r="S1352" s="769" t="str">
        <f>IF(OR($F1352="",$P1352="支払なし",$H1352=0,$Q1352=""),"",$Q1352&amp;"|S|"&amp;(COUNTIF(S$4:S1351,$Q1352&amp;"|S|*")+1))</f>
        <v/>
      </c>
      <c r="T1352" s="769" t="str">
        <f>IF(OR($F1352="",$P1352="支払なし",$R1352=0,$Q1352=""),"",$Q1352&amp;"|L|"&amp;(COUNTIF(T$4:T1351,$Q1352&amp;"|L|*")+1))</f>
        <v/>
      </c>
      <c r="U1352" s="769" t="str">
        <f>IF($F1352="","",13)</f>
        <v/>
      </c>
    </row>
    <row r="1353" ht="16.5" customHeight="1" s="186">
      <c r="A1353" s="760" t="n"/>
      <c r="B1353" s="760" t="n"/>
      <c r="C1353" s="762" t="n"/>
      <c r="D1353" s="762" t="n"/>
      <c r="E1353" s="775" t="n"/>
      <c r="F1353" s="821" t="n"/>
      <c r="G1353" s="821" t="n"/>
      <c r="H1353" s="818">
        <f>IF(G1353=1,F1353-I1353-J1353-K1353,IF(G1353=2,F1353,0))</f>
        <v>0</v>
      </c>
      <c r="I1353" s="818">
        <f>ROUND(IF(G1353=1,F1353*10/23,IF(G1353=3,F1353-J1353-K1353,IF(G1353=4,F1353,IF(G1353=5,F1353*10/11,IF(G1353=7,F1353*10/11,0))))),0)</f>
        <v>0</v>
      </c>
      <c r="J1353" s="818">
        <f>ROUND(IF(G1353=1,F1353/23,IF(G1353=3,F1353/12,IF(G1353=5,F1353-I1353,IF(G1353=8,F1353,0)))),0)</f>
        <v>0</v>
      </c>
      <c r="K1353" s="819">
        <f>ROUND(IF(G1353=1,F1353/23,IF(G1353=3,F1353/12,IF(G1353=6,F1353,IF(G1353=7,F1353-I1353,0)))),0)</f>
        <v>0</v>
      </c>
      <c r="L1353" s="820">
        <f>IF(G1353=6,F1353,0)</f>
        <v>0</v>
      </c>
      <c r="P1353" s="768" t="n"/>
      <c r="Q1353" s="769" t="str">
        <f>IF($F1353="","",IFERROR(VLOOKUP($C1353&amp;"|"&amp;$D1353,科目表!$A$5:$B$200,2,FALSE),"※未登録"))</f>
        <v/>
      </c>
      <c r="R1353" s="769" t="str">
        <f>IF($F1353="","",$I1353+$J1353+$K1353)</f>
        <v/>
      </c>
      <c r="S1353" s="769" t="str">
        <f>IF(OR($F1353="",$P1353="支払なし",$H1353=0,$Q1353=""),"",$Q1353&amp;"|S|"&amp;(COUNTIF(S$4:S1352,$Q1353&amp;"|S|*")+1))</f>
        <v/>
      </c>
      <c r="T1353" s="769" t="str">
        <f>IF(OR($F1353="",$P1353="支払なし",$R1353=0,$Q1353=""),"",$Q1353&amp;"|L|"&amp;(COUNTIF(T$4:T1352,$Q1353&amp;"|L|*")+1))</f>
        <v/>
      </c>
      <c r="U1353" s="769" t="str">
        <f>IF($F1353="","",13)</f>
        <v/>
      </c>
    </row>
    <row r="1354" ht="16.5" customHeight="1" s="186">
      <c r="A1354" s="760" t="n"/>
      <c r="B1354" s="760" t="n"/>
      <c r="C1354" s="762" t="n"/>
      <c r="D1354" s="762" t="n"/>
      <c r="E1354" s="775" t="n"/>
      <c r="F1354" s="821" t="n"/>
      <c r="G1354" s="821" t="n"/>
      <c r="H1354" s="818">
        <f>IF(G1354=1,F1354-I1354-J1354-K1354,IF(G1354=2,F1354,0))</f>
        <v>0</v>
      </c>
      <c r="I1354" s="818">
        <f>ROUND(IF(G1354=1,F1354*10/23,IF(G1354=3,F1354-J1354-K1354,IF(G1354=4,F1354,IF(G1354=5,F1354*10/11,IF(G1354=7,F1354*10/11,0))))),0)</f>
        <v>0</v>
      </c>
      <c r="J1354" s="818">
        <f>ROUND(IF(G1354=1,F1354/23,IF(G1354=3,F1354/12,IF(G1354=5,F1354-I1354,IF(G1354=8,F1354,0)))),0)</f>
        <v>0</v>
      </c>
      <c r="K1354" s="819">
        <f>ROUND(IF(G1354=1,F1354/23,IF(G1354=3,F1354/12,IF(G1354=6,F1354,IF(G1354=7,F1354-I1354,0)))),0)</f>
        <v>0</v>
      </c>
      <c r="L1354" s="820">
        <f>IF(G1354=6,F1354,0)</f>
        <v>0</v>
      </c>
      <c r="P1354" s="768" t="n"/>
      <c r="Q1354" s="769" t="str">
        <f>IF($F1354="","",IFERROR(VLOOKUP($C1354&amp;"|"&amp;$D1354,科目表!$A$5:$B$200,2,FALSE),"※未登録"))</f>
        <v/>
      </c>
      <c r="R1354" s="769" t="str">
        <f>IF($F1354="","",$I1354+$J1354+$K1354)</f>
        <v/>
      </c>
      <c r="S1354" s="769" t="str">
        <f>IF(OR($F1354="",$P1354="支払なし",$H1354=0,$Q1354=""),"",$Q1354&amp;"|S|"&amp;(COUNTIF(S$4:S1353,$Q1354&amp;"|S|*")+1))</f>
        <v/>
      </c>
      <c r="T1354" s="769" t="str">
        <f>IF(OR($F1354="",$P1354="支払なし",$R1354=0,$Q1354=""),"",$Q1354&amp;"|L|"&amp;(COUNTIF(T$4:T1353,$Q1354&amp;"|L|*")+1))</f>
        <v/>
      </c>
      <c r="U1354" s="769" t="str">
        <f>IF($F1354="","",13)</f>
        <v/>
      </c>
    </row>
    <row r="1355" ht="16.5" customHeight="1" s="186">
      <c r="A1355" s="760" t="n"/>
      <c r="B1355" s="760" t="n"/>
      <c r="C1355" s="762" t="n"/>
      <c r="D1355" s="762" t="n"/>
      <c r="E1355" s="775" t="n"/>
      <c r="F1355" s="821" t="n"/>
      <c r="G1355" s="821" t="n"/>
      <c r="H1355" s="818">
        <f>IF(G1355=1,F1355-I1355-J1355-K1355,IF(G1355=2,F1355,0))</f>
        <v>0</v>
      </c>
      <c r="I1355" s="818">
        <f>ROUND(IF(G1355=1,F1355*10/23,IF(G1355=3,F1355-J1355-K1355,IF(G1355=4,F1355,IF(G1355=5,F1355*10/11,IF(G1355=7,F1355*10/11,0))))),0)</f>
        <v>0</v>
      </c>
      <c r="J1355" s="818">
        <f>ROUND(IF(G1355=1,F1355/23,IF(G1355=3,F1355/12,IF(G1355=5,F1355-I1355,IF(G1355=8,F1355,0)))),0)</f>
        <v>0</v>
      </c>
      <c r="K1355" s="819">
        <f>ROUND(IF(G1355=1,F1355/23,IF(G1355=3,F1355/12,IF(G1355=6,F1355,IF(G1355=7,F1355-I1355,0)))),0)</f>
        <v>0</v>
      </c>
      <c r="L1355" s="820">
        <f>IF(G1355=6,F1355,0)</f>
        <v>0</v>
      </c>
      <c r="P1355" s="768" t="n"/>
      <c r="Q1355" s="769" t="str">
        <f>IF($F1355="","",IFERROR(VLOOKUP($C1355&amp;"|"&amp;$D1355,科目表!$A$5:$B$200,2,FALSE),"※未登録"))</f>
        <v/>
      </c>
      <c r="R1355" s="769" t="str">
        <f>IF($F1355="","",$I1355+$J1355+$K1355)</f>
        <v/>
      </c>
      <c r="S1355" s="769" t="str">
        <f>IF(OR($F1355="",$P1355="支払なし",$H1355=0,$Q1355=""),"",$Q1355&amp;"|S|"&amp;(COUNTIF(S$4:S1354,$Q1355&amp;"|S|*")+1))</f>
        <v/>
      </c>
      <c r="T1355" s="769" t="str">
        <f>IF(OR($F1355="",$P1355="支払なし",$R1355=0,$Q1355=""),"",$Q1355&amp;"|L|"&amp;(COUNTIF(T$4:T1354,$Q1355&amp;"|L|*")+1))</f>
        <v/>
      </c>
      <c r="U1355" s="769" t="str">
        <f>IF($F1355="","",13)</f>
        <v/>
      </c>
    </row>
    <row r="1356" ht="16.5" customHeight="1" s="186">
      <c r="A1356" s="760" t="n"/>
      <c r="B1356" s="760" t="n"/>
      <c r="C1356" s="762" t="n"/>
      <c r="D1356" s="762" t="n"/>
      <c r="E1356" s="775" t="n"/>
      <c r="F1356" s="821" t="n"/>
      <c r="G1356" s="821" t="n"/>
      <c r="H1356" s="818">
        <f>IF(G1356=1,F1356-I1356-J1356-K1356,IF(G1356=2,F1356,0))</f>
        <v>0</v>
      </c>
      <c r="I1356" s="818">
        <f>ROUND(IF(G1356=1,F1356*10/23,IF(G1356=3,F1356-J1356-K1356,IF(G1356=4,F1356,IF(G1356=5,F1356*10/11,IF(G1356=7,F1356*10/11,0))))),0)</f>
        <v>0</v>
      </c>
      <c r="J1356" s="818">
        <f>ROUND(IF(G1356=1,F1356/23,IF(G1356=3,F1356/12,IF(G1356=5,F1356-I1356,IF(G1356=8,F1356,0)))),0)</f>
        <v>0</v>
      </c>
      <c r="K1356" s="819">
        <f>ROUND(IF(G1356=1,F1356/23,IF(G1356=3,F1356/12,IF(G1356=6,F1356,IF(G1356=7,F1356-I1356,0)))),0)</f>
        <v>0</v>
      </c>
      <c r="L1356" s="820">
        <f>IF(G1356=6,F1356,0)</f>
        <v>0</v>
      </c>
      <c r="P1356" s="768" t="n"/>
      <c r="Q1356" s="769" t="str">
        <f>IF($F1356="","",IFERROR(VLOOKUP($C1356&amp;"|"&amp;$D1356,科目表!$A$5:$B$200,2,FALSE),"※未登録"))</f>
        <v/>
      </c>
      <c r="R1356" s="769" t="str">
        <f>IF($F1356="","",$I1356+$J1356+$K1356)</f>
        <v/>
      </c>
      <c r="S1356" s="769" t="str">
        <f>IF(OR($F1356="",$P1356="支払なし",$H1356=0,$Q1356=""),"",$Q1356&amp;"|S|"&amp;(COUNTIF(S$4:S1355,$Q1356&amp;"|S|*")+1))</f>
        <v/>
      </c>
      <c r="T1356" s="769" t="str">
        <f>IF(OR($F1356="",$P1356="支払なし",$R1356=0,$Q1356=""),"",$Q1356&amp;"|L|"&amp;(COUNTIF(T$4:T1355,$Q1356&amp;"|L|*")+1))</f>
        <v/>
      </c>
      <c r="U1356" s="769" t="str">
        <f>IF($F1356="","",13)</f>
        <v/>
      </c>
    </row>
    <row r="1357" ht="16.5" customHeight="1" s="186">
      <c r="A1357" s="760" t="n"/>
      <c r="B1357" s="760" t="n"/>
      <c r="C1357" s="762" t="n"/>
      <c r="D1357" s="762" t="n"/>
      <c r="E1357" s="775" t="n"/>
      <c r="F1357" s="821" t="n"/>
      <c r="G1357" s="821" t="n"/>
      <c r="H1357" s="818">
        <f>IF(G1357=1,F1357-I1357-J1357-K1357,IF(G1357=2,F1357,0))</f>
        <v>0</v>
      </c>
      <c r="I1357" s="818">
        <f>ROUND(IF(G1357=1,F1357*10/23,IF(G1357=3,F1357-J1357-K1357,IF(G1357=4,F1357,IF(G1357=5,F1357*10/11,IF(G1357=7,F1357*10/11,0))))),0)</f>
        <v>0</v>
      </c>
      <c r="J1357" s="818">
        <f>ROUND(IF(G1357=1,F1357/23,IF(G1357=3,F1357/12,IF(G1357=5,F1357-I1357,IF(G1357=8,F1357,0)))),0)</f>
        <v>0</v>
      </c>
      <c r="K1357" s="819">
        <f>ROUND(IF(G1357=1,F1357/23,IF(G1357=3,F1357/12,IF(G1357=6,F1357,IF(G1357=7,F1357-I1357,0)))),0)</f>
        <v>0</v>
      </c>
      <c r="L1357" s="820">
        <f>IF(G1357=6,F1357,0)</f>
        <v>0</v>
      </c>
      <c r="P1357" s="768" t="n"/>
      <c r="Q1357" s="769" t="str">
        <f>IF($F1357="","",IFERROR(VLOOKUP($C1357&amp;"|"&amp;$D1357,科目表!$A$5:$B$200,2,FALSE),"※未登録"))</f>
        <v/>
      </c>
      <c r="R1357" s="769" t="str">
        <f>IF($F1357="","",$I1357+$J1357+$K1357)</f>
        <v/>
      </c>
      <c r="S1357" s="769" t="str">
        <f>IF(OR($F1357="",$P1357="支払なし",$H1357=0,$Q1357=""),"",$Q1357&amp;"|S|"&amp;(COUNTIF(S$4:S1356,$Q1357&amp;"|S|*")+1))</f>
        <v/>
      </c>
      <c r="T1357" s="769" t="str">
        <f>IF(OR($F1357="",$P1357="支払なし",$R1357=0,$Q1357=""),"",$Q1357&amp;"|L|"&amp;(COUNTIF(T$4:T1356,$Q1357&amp;"|L|*")+1))</f>
        <v/>
      </c>
      <c r="U1357" s="769" t="str">
        <f>IF($F1357="","",13)</f>
        <v/>
      </c>
    </row>
    <row r="1358" ht="16.5" customHeight="1" s="186">
      <c r="A1358" s="760" t="n"/>
      <c r="B1358" s="760" t="n"/>
      <c r="C1358" s="762" t="n"/>
      <c r="D1358" s="762" t="n"/>
      <c r="E1358" s="775" t="n"/>
      <c r="F1358" s="821" t="n"/>
      <c r="G1358" s="821" t="n"/>
      <c r="H1358" s="818">
        <f>IF(G1358=1,F1358-I1358-J1358-K1358,IF(G1358=2,F1358,0))</f>
        <v>0</v>
      </c>
      <c r="I1358" s="818">
        <f>ROUND(IF(G1358=1,F1358*10/23,IF(G1358=3,F1358-J1358-K1358,IF(G1358=4,F1358,IF(G1358=5,F1358*10/11,IF(G1358=7,F1358*10/11,0))))),0)</f>
        <v>0</v>
      </c>
      <c r="J1358" s="818">
        <f>ROUND(IF(G1358=1,F1358/23,IF(G1358=3,F1358/12,IF(G1358=5,F1358-I1358,IF(G1358=8,F1358,0)))),0)</f>
        <v>0</v>
      </c>
      <c r="K1358" s="819">
        <f>ROUND(IF(G1358=1,F1358/23,IF(G1358=3,F1358/12,IF(G1358=6,F1358,IF(G1358=7,F1358-I1358,0)))),0)</f>
        <v>0</v>
      </c>
      <c r="L1358" s="820">
        <f>IF(G1358=6,F1358,0)</f>
        <v>0</v>
      </c>
      <c r="P1358" s="768" t="n"/>
      <c r="Q1358" s="769" t="str">
        <f>IF($F1358="","",IFERROR(VLOOKUP($C1358&amp;"|"&amp;$D1358,科目表!$A$5:$B$200,2,FALSE),"※未登録"))</f>
        <v/>
      </c>
      <c r="R1358" s="769" t="str">
        <f>IF($F1358="","",$I1358+$J1358+$K1358)</f>
        <v/>
      </c>
      <c r="S1358" s="769" t="str">
        <f>IF(OR($F1358="",$P1358="支払なし",$H1358=0,$Q1358=""),"",$Q1358&amp;"|S|"&amp;(COUNTIF(S$4:S1357,$Q1358&amp;"|S|*")+1))</f>
        <v/>
      </c>
      <c r="T1358" s="769" t="str">
        <f>IF(OR($F1358="",$P1358="支払なし",$R1358=0,$Q1358=""),"",$Q1358&amp;"|L|"&amp;(COUNTIF(T$4:T1357,$Q1358&amp;"|L|*")+1))</f>
        <v/>
      </c>
      <c r="U1358" s="769" t="str">
        <f>IF($F1358="","",13)</f>
        <v/>
      </c>
    </row>
    <row r="1359" ht="16.5" customHeight="1" s="186">
      <c r="A1359" s="760" t="n"/>
      <c r="B1359" s="760" t="n"/>
      <c r="C1359" s="762" t="n"/>
      <c r="D1359" s="762" t="n"/>
      <c r="E1359" s="775" t="n"/>
      <c r="F1359" s="821" t="n"/>
      <c r="G1359" s="821" t="n"/>
      <c r="H1359" s="818">
        <f>IF(G1359=1,F1359-I1359-J1359-K1359,IF(G1359=2,F1359,0))</f>
        <v>0</v>
      </c>
      <c r="I1359" s="818">
        <f>ROUND(IF(G1359=1,F1359*10/23,IF(G1359=3,F1359-J1359-K1359,IF(G1359=4,F1359,IF(G1359=5,F1359*10/11,IF(G1359=7,F1359*10/11,0))))),0)</f>
        <v>0</v>
      </c>
      <c r="J1359" s="818">
        <f>ROUND(IF(G1359=1,F1359/23,IF(G1359=3,F1359/12,IF(G1359=5,F1359-I1359,IF(G1359=8,F1359,0)))),0)</f>
        <v>0</v>
      </c>
      <c r="K1359" s="819">
        <f>ROUND(IF(G1359=1,F1359/23,IF(G1359=3,F1359/12,IF(G1359=6,F1359,IF(G1359=7,F1359-I1359,0)))),0)</f>
        <v>0</v>
      </c>
      <c r="L1359" s="820">
        <f>IF(G1359=6,F1359,0)</f>
        <v>0</v>
      </c>
      <c r="P1359" s="768" t="n"/>
      <c r="Q1359" s="769" t="str">
        <f>IF($F1359="","",IFERROR(VLOOKUP($C1359&amp;"|"&amp;$D1359,科目表!$A$5:$B$200,2,FALSE),"※未登録"))</f>
        <v/>
      </c>
      <c r="R1359" s="769" t="str">
        <f>IF($F1359="","",$I1359+$J1359+$K1359)</f>
        <v/>
      </c>
      <c r="S1359" s="769" t="str">
        <f>IF(OR($F1359="",$P1359="支払なし",$H1359=0,$Q1359=""),"",$Q1359&amp;"|S|"&amp;(COUNTIF(S$4:S1358,$Q1359&amp;"|S|*")+1))</f>
        <v/>
      </c>
      <c r="T1359" s="769" t="str">
        <f>IF(OR($F1359="",$P1359="支払なし",$R1359=0,$Q1359=""),"",$Q1359&amp;"|L|"&amp;(COUNTIF(T$4:T1358,$Q1359&amp;"|L|*")+1))</f>
        <v/>
      </c>
      <c r="U1359" s="769" t="str">
        <f>IF($F1359="","",13)</f>
        <v/>
      </c>
    </row>
    <row r="1360" ht="16.5" customHeight="1" s="186">
      <c r="A1360" s="760" t="n"/>
      <c r="B1360" s="760" t="n"/>
      <c r="C1360" s="762" t="n"/>
      <c r="D1360" s="762" t="n"/>
      <c r="E1360" s="775" t="n"/>
      <c r="F1360" s="821" t="n"/>
      <c r="G1360" s="821" t="n"/>
      <c r="H1360" s="818">
        <f>IF(G1360=1,F1360-I1360-J1360-K1360,IF(G1360=2,F1360,0))</f>
        <v>0</v>
      </c>
      <c r="I1360" s="818">
        <f>ROUND(IF(G1360=1,F1360*10/23,IF(G1360=3,F1360-J1360-K1360,IF(G1360=4,F1360,IF(G1360=5,F1360*10/11,IF(G1360=7,F1360*10/11,0))))),0)</f>
        <v>0</v>
      </c>
      <c r="J1360" s="818">
        <f>ROUND(IF(G1360=1,F1360/23,IF(G1360=3,F1360/12,IF(G1360=5,F1360-I1360,IF(G1360=8,F1360,0)))),0)</f>
        <v>0</v>
      </c>
      <c r="K1360" s="819">
        <f>ROUND(IF(G1360=1,F1360/23,IF(G1360=3,F1360/12,IF(G1360=6,F1360,IF(G1360=7,F1360-I1360,0)))),0)</f>
        <v>0</v>
      </c>
      <c r="L1360" s="820">
        <f>IF(G1360=6,F1360,0)</f>
        <v>0</v>
      </c>
      <c r="P1360" s="768" t="n"/>
      <c r="Q1360" s="769" t="str">
        <f>IF($F1360="","",IFERROR(VLOOKUP($C1360&amp;"|"&amp;$D1360,科目表!$A$5:$B$200,2,FALSE),"※未登録"))</f>
        <v/>
      </c>
      <c r="R1360" s="769" t="str">
        <f>IF($F1360="","",$I1360+$J1360+$K1360)</f>
        <v/>
      </c>
      <c r="S1360" s="769" t="str">
        <f>IF(OR($F1360="",$P1360="支払なし",$H1360=0,$Q1360=""),"",$Q1360&amp;"|S|"&amp;(COUNTIF(S$4:S1359,$Q1360&amp;"|S|*")+1))</f>
        <v/>
      </c>
      <c r="T1360" s="769" t="str">
        <f>IF(OR($F1360="",$P1360="支払なし",$R1360=0,$Q1360=""),"",$Q1360&amp;"|L|"&amp;(COUNTIF(T$4:T1359,$Q1360&amp;"|L|*")+1))</f>
        <v/>
      </c>
      <c r="U1360" s="769" t="str">
        <f>IF($F1360="","",13)</f>
        <v/>
      </c>
    </row>
    <row r="1361" ht="16.5" customHeight="1" s="186">
      <c r="A1361" s="760" t="n"/>
      <c r="B1361" s="760" t="n"/>
      <c r="C1361" s="762" t="n"/>
      <c r="D1361" s="762" t="n"/>
      <c r="E1361" s="775" t="n"/>
      <c r="F1361" s="821" t="n"/>
      <c r="G1361" s="821" t="n"/>
      <c r="H1361" s="818">
        <f>IF(G1361=1,F1361-I1361-J1361-K1361,IF(G1361=2,F1361,0))</f>
        <v>0</v>
      </c>
      <c r="I1361" s="818">
        <f>ROUND(IF(G1361=1,F1361*10/23,IF(G1361=3,F1361-J1361-K1361,IF(G1361=4,F1361,IF(G1361=5,F1361*10/11,IF(G1361=7,F1361*10/11,0))))),0)</f>
        <v>0</v>
      </c>
      <c r="J1361" s="818">
        <f>ROUND(IF(G1361=1,F1361/23,IF(G1361=3,F1361/12,IF(G1361=5,F1361-I1361,IF(G1361=8,F1361,0)))),0)</f>
        <v>0</v>
      </c>
      <c r="K1361" s="819">
        <f>ROUND(IF(G1361=1,F1361/23,IF(G1361=3,F1361/12,IF(G1361=6,F1361,IF(G1361=7,F1361-I1361,0)))),0)</f>
        <v>0</v>
      </c>
      <c r="L1361" s="820">
        <f>IF(G1361=6,F1361,0)</f>
        <v>0</v>
      </c>
      <c r="P1361" s="768" t="n"/>
      <c r="Q1361" s="769" t="str">
        <f>IF($F1361="","",IFERROR(VLOOKUP($C1361&amp;"|"&amp;$D1361,科目表!$A$5:$B$200,2,FALSE),"※未登録"))</f>
        <v/>
      </c>
      <c r="R1361" s="769" t="str">
        <f>IF($F1361="","",$I1361+$J1361+$K1361)</f>
        <v/>
      </c>
      <c r="S1361" s="769" t="str">
        <f>IF(OR($F1361="",$P1361="支払なし",$H1361=0,$Q1361=""),"",$Q1361&amp;"|S|"&amp;(COUNTIF(S$4:S1360,$Q1361&amp;"|S|*")+1))</f>
        <v/>
      </c>
      <c r="T1361" s="769" t="str">
        <f>IF(OR($F1361="",$P1361="支払なし",$R1361=0,$Q1361=""),"",$Q1361&amp;"|L|"&amp;(COUNTIF(T$4:T1360,$Q1361&amp;"|L|*")+1))</f>
        <v/>
      </c>
      <c r="U1361" s="769" t="str">
        <f>IF($F1361="","",13)</f>
        <v/>
      </c>
    </row>
    <row r="1362" ht="16.5" customHeight="1" s="186">
      <c r="A1362" s="760" t="n"/>
      <c r="B1362" s="760" t="n"/>
      <c r="C1362" s="762" t="n"/>
      <c r="D1362" s="762" t="n"/>
      <c r="E1362" s="775" t="n"/>
      <c r="F1362" s="821" t="n"/>
      <c r="G1362" s="821" t="n"/>
      <c r="H1362" s="818">
        <f>IF(G1362=1,F1362-I1362-J1362-K1362,IF(G1362=2,F1362,0))</f>
        <v>0</v>
      </c>
      <c r="I1362" s="818">
        <f>ROUND(IF(G1362=1,F1362*10/23,IF(G1362=3,F1362-J1362-K1362,IF(G1362=4,F1362,IF(G1362=5,F1362*10/11,IF(G1362=7,F1362*10/11,0))))),0)</f>
        <v>0</v>
      </c>
      <c r="J1362" s="818">
        <f>ROUND(IF(G1362=1,F1362/23,IF(G1362=3,F1362/12,IF(G1362=5,F1362-I1362,IF(G1362=8,F1362,0)))),0)</f>
        <v>0</v>
      </c>
      <c r="K1362" s="819">
        <f>ROUND(IF(G1362=1,F1362/23,IF(G1362=3,F1362/12,IF(G1362=6,F1362,IF(G1362=7,F1362-I1362,0)))),0)</f>
        <v>0</v>
      </c>
      <c r="L1362" s="820">
        <f>IF(G1362=6,F1362,0)</f>
        <v>0</v>
      </c>
      <c r="P1362" s="768" t="n"/>
      <c r="Q1362" s="769" t="str">
        <f>IF($F1362="","",IFERROR(VLOOKUP($C1362&amp;"|"&amp;$D1362,科目表!$A$5:$B$200,2,FALSE),"※未登録"))</f>
        <v/>
      </c>
      <c r="R1362" s="769" t="str">
        <f>IF($F1362="","",$I1362+$J1362+$K1362)</f>
        <v/>
      </c>
      <c r="S1362" s="769" t="str">
        <f>IF(OR($F1362="",$P1362="支払なし",$H1362=0,$Q1362=""),"",$Q1362&amp;"|S|"&amp;(COUNTIF(S$4:S1361,$Q1362&amp;"|S|*")+1))</f>
        <v/>
      </c>
      <c r="T1362" s="769" t="str">
        <f>IF(OR($F1362="",$P1362="支払なし",$R1362=0,$Q1362=""),"",$Q1362&amp;"|L|"&amp;(COUNTIF(T$4:T1361,$Q1362&amp;"|L|*")+1))</f>
        <v/>
      </c>
      <c r="U1362" s="769" t="str">
        <f>IF($F1362="","",13)</f>
        <v/>
      </c>
    </row>
    <row r="1363" ht="16.5" customHeight="1" s="186">
      <c r="A1363" s="760" t="n"/>
      <c r="B1363" s="760" t="n"/>
      <c r="C1363" s="762" t="n"/>
      <c r="D1363" s="762" t="n"/>
      <c r="E1363" s="775" t="n"/>
      <c r="F1363" s="821" t="n"/>
      <c r="G1363" s="821" t="n"/>
      <c r="H1363" s="818">
        <f>IF(G1363=1,F1363-I1363-J1363-K1363,IF(G1363=2,F1363,0))</f>
        <v>0</v>
      </c>
      <c r="I1363" s="818">
        <f>ROUND(IF(G1363=1,F1363*10/23,IF(G1363=3,F1363-J1363-K1363,IF(G1363=4,F1363,IF(G1363=5,F1363*10/11,IF(G1363=7,F1363*10/11,0))))),0)</f>
        <v>0</v>
      </c>
      <c r="J1363" s="818">
        <f>ROUND(IF(G1363=1,F1363/23,IF(G1363=3,F1363/12,IF(G1363=5,F1363-I1363,IF(G1363=8,F1363,0)))),0)</f>
        <v>0</v>
      </c>
      <c r="K1363" s="819">
        <f>ROUND(IF(G1363=1,F1363/23,IF(G1363=3,F1363/12,IF(G1363=6,F1363,IF(G1363=7,F1363-I1363,0)))),0)</f>
        <v>0</v>
      </c>
      <c r="L1363" s="820">
        <f>IF(G1363=6,F1363,0)</f>
        <v>0</v>
      </c>
      <c r="P1363" s="768" t="n"/>
      <c r="Q1363" s="769" t="str">
        <f>IF($F1363="","",IFERROR(VLOOKUP($C1363&amp;"|"&amp;$D1363,科目表!$A$5:$B$200,2,FALSE),"※未登録"))</f>
        <v/>
      </c>
      <c r="R1363" s="769" t="str">
        <f>IF($F1363="","",$I1363+$J1363+$K1363)</f>
        <v/>
      </c>
      <c r="S1363" s="769" t="str">
        <f>IF(OR($F1363="",$P1363="支払なし",$H1363=0,$Q1363=""),"",$Q1363&amp;"|S|"&amp;(COUNTIF(S$4:S1362,$Q1363&amp;"|S|*")+1))</f>
        <v/>
      </c>
      <c r="T1363" s="769" t="str">
        <f>IF(OR($F1363="",$P1363="支払なし",$R1363=0,$Q1363=""),"",$Q1363&amp;"|L|"&amp;(COUNTIF(T$4:T1362,$Q1363&amp;"|L|*")+1))</f>
        <v/>
      </c>
      <c r="U1363" s="769" t="str">
        <f>IF($F1363="","",13)</f>
        <v/>
      </c>
    </row>
    <row r="1364" ht="16.5" customHeight="1" s="186">
      <c r="A1364" s="760" t="n"/>
      <c r="B1364" s="760" t="n"/>
      <c r="C1364" s="762" t="n"/>
      <c r="D1364" s="762" t="n"/>
      <c r="E1364" s="775" t="n"/>
      <c r="F1364" s="821" t="n"/>
      <c r="G1364" s="821" t="n"/>
      <c r="H1364" s="818">
        <f>IF(G1364=1,F1364-I1364-J1364-K1364,IF(G1364=2,F1364,0))</f>
        <v>0</v>
      </c>
      <c r="I1364" s="818">
        <f>ROUND(IF(G1364=1,F1364*10/23,IF(G1364=3,F1364-J1364-K1364,IF(G1364=4,F1364,IF(G1364=5,F1364*10/11,IF(G1364=7,F1364*10/11,0))))),0)</f>
        <v>0</v>
      </c>
      <c r="J1364" s="818">
        <f>ROUND(IF(G1364=1,F1364/23,IF(G1364=3,F1364/12,IF(G1364=5,F1364-I1364,IF(G1364=8,F1364,0)))),0)</f>
        <v>0</v>
      </c>
      <c r="K1364" s="819">
        <f>ROUND(IF(G1364=1,F1364/23,IF(G1364=3,F1364/12,IF(G1364=6,F1364,IF(G1364=7,F1364-I1364,0)))),0)</f>
        <v>0</v>
      </c>
      <c r="L1364" s="820">
        <f>IF(G1364=6,F1364,0)</f>
        <v>0</v>
      </c>
      <c r="P1364" s="768" t="n"/>
      <c r="Q1364" s="769" t="str">
        <f>IF($F1364="","",IFERROR(VLOOKUP($C1364&amp;"|"&amp;$D1364,科目表!$A$5:$B$200,2,FALSE),"※未登録"))</f>
        <v/>
      </c>
      <c r="R1364" s="769" t="str">
        <f>IF($F1364="","",$I1364+$J1364+$K1364)</f>
        <v/>
      </c>
      <c r="S1364" s="769" t="str">
        <f>IF(OR($F1364="",$P1364="支払なし",$H1364=0,$Q1364=""),"",$Q1364&amp;"|S|"&amp;(COUNTIF(S$4:S1363,$Q1364&amp;"|S|*")+1))</f>
        <v/>
      </c>
      <c r="T1364" s="769" t="str">
        <f>IF(OR($F1364="",$P1364="支払なし",$R1364=0,$Q1364=""),"",$Q1364&amp;"|L|"&amp;(COUNTIF(T$4:T1363,$Q1364&amp;"|L|*")+1))</f>
        <v/>
      </c>
      <c r="U1364" s="769" t="str">
        <f>IF($F1364="","",13)</f>
        <v/>
      </c>
    </row>
    <row r="1365" ht="16.5" customHeight="1" s="186">
      <c r="A1365" s="760" t="n"/>
      <c r="B1365" s="760" t="n"/>
      <c r="C1365" s="762" t="n"/>
      <c r="D1365" s="762" t="n"/>
      <c r="E1365" s="775" t="n"/>
      <c r="F1365" s="821" t="n"/>
      <c r="G1365" s="821" t="n"/>
      <c r="H1365" s="818">
        <f>IF(G1365=1,F1365-I1365-J1365-K1365,IF(G1365=2,F1365,0))</f>
        <v>0</v>
      </c>
      <c r="I1365" s="818">
        <f>ROUND(IF(G1365=1,F1365*10/23,IF(G1365=3,F1365-J1365-K1365,IF(G1365=4,F1365,IF(G1365=5,F1365*10/11,IF(G1365=7,F1365*10/11,0))))),0)</f>
        <v>0</v>
      </c>
      <c r="J1365" s="818">
        <f>ROUND(IF(G1365=1,F1365/23,IF(G1365=3,F1365/12,IF(G1365=5,F1365-I1365,IF(G1365=8,F1365,0)))),0)</f>
        <v>0</v>
      </c>
      <c r="K1365" s="819">
        <f>ROUND(IF(G1365=1,F1365/23,IF(G1365=3,F1365/12,IF(G1365=6,F1365,IF(G1365=7,F1365-I1365,0)))),0)</f>
        <v>0</v>
      </c>
      <c r="L1365" s="820">
        <f>IF(G1365=6,F1365,0)</f>
        <v>0</v>
      </c>
      <c r="P1365" s="768" t="n"/>
      <c r="Q1365" s="769" t="str">
        <f>IF($F1365="","",IFERROR(VLOOKUP($C1365&amp;"|"&amp;$D1365,科目表!$A$5:$B$200,2,FALSE),"※未登録"))</f>
        <v/>
      </c>
      <c r="R1365" s="769" t="str">
        <f>IF($F1365="","",$I1365+$J1365+$K1365)</f>
        <v/>
      </c>
      <c r="S1365" s="769" t="str">
        <f>IF(OR($F1365="",$P1365="支払なし",$H1365=0,$Q1365=""),"",$Q1365&amp;"|S|"&amp;(COUNTIF(S$4:S1364,$Q1365&amp;"|S|*")+1))</f>
        <v/>
      </c>
      <c r="T1365" s="769" t="str">
        <f>IF(OR($F1365="",$P1365="支払なし",$R1365=0,$Q1365=""),"",$Q1365&amp;"|L|"&amp;(COUNTIF(T$4:T1364,$Q1365&amp;"|L|*")+1))</f>
        <v/>
      </c>
      <c r="U1365" s="769" t="str">
        <f>IF($F1365="","",13)</f>
        <v/>
      </c>
    </row>
    <row r="1366" ht="16.5" customHeight="1" s="186">
      <c r="A1366" s="760" t="n"/>
      <c r="B1366" s="760" t="n"/>
      <c r="C1366" s="762" t="n"/>
      <c r="D1366" s="762" t="n"/>
      <c r="E1366" s="775" t="n"/>
      <c r="F1366" s="821" t="n"/>
      <c r="G1366" s="821" t="n"/>
      <c r="H1366" s="818">
        <f>IF(G1366=1,F1366-I1366-J1366-K1366,IF(G1366=2,F1366,0))</f>
        <v>0</v>
      </c>
      <c r="I1366" s="818">
        <f>ROUND(IF(G1366=1,F1366*10/23,IF(G1366=3,F1366-J1366-K1366,IF(G1366=4,F1366,IF(G1366=5,F1366*10/11,IF(G1366=7,F1366*10/11,0))))),0)</f>
        <v>0</v>
      </c>
      <c r="J1366" s="818">
        <f>ROUND(IF(G1366=1,F1366/23,IF(G1366=3,F1366/12,IF(G1366=5,F1366-I1366,IF(G1366=8,F1366,0)))),0)</f>
        <v>0</v>
      </c>
      <c r="K1366" s="819">
        <f>ROUND(IF(G1366=1,F1366/23,IF(G1366=3,F1366/12,IF(G1366=6,F1366,IF(G1366=7,F1366-I1366,0)))),0)</f>
        <v>0</v>
      </c>
      <c r="L1366" s="820">
        <f>IF(G1366=6,F1366,0)</f>
        <v>0</v>
      </c>
      <c r="P1366" s="768" t="n"/>
      <c r="Q1366" s="769" t="str">
        <f>IF($F1366="","",IFERROR(VLOOKUP($C1366&amp;"|"&amp;$D1366,科目表!$A$5:$B$200,2,FALSE),"※未登録"))</f>
        <v/>
      </c>
      <c r="R1366" s="769" t="str">
        <f>IF($F1366="","",$I1366+$J1366+$K1366)</f>
        <v/>
      </c>
      <c r="S1366" s="769" t="str">
        <f>IF(OR($F1366="",$P1366="支払なし",$H1366=0,$Q1366=""),"",$Q1366&amp;"|S|"&amp;(COUNTIF(S$4:S1365,$Q1366&amp;"|S|*")+1))</f>
        <v/>
      </c>
      <c r="T1366" s="769" t="str">
        <f>IF(OR($F1366="",$P1366="支払なし",$R1366=0,$Q1366=""),"",$Q1366&amp;"|L|"&amp;(COUNTIF(T$4:T1365,$Q1366&amp;"|L|*")+1))</f>
        <v/>
      </c>
      <c r="U1366" s="769" t="str">
        <f>IF($F1366="","",13)</f>
        <v/>
      </c>
    </row>
    <row r="1367" ht="16.5" customHeight="1" s="186">
      <c r="A1367" s="760" t="n"/>
      <c r="B1367" s="760" t="n"/>
      <c r="C1367" s="762" t="n"/>
      <c r="D1367" s="762" t="n"/>
      <c r="E1367" s="775" t="n"/>
      <c r="F1367" s="821" t="n"/>
      <c r="G1367" s="821" t="n"/>
      <c r="H1367" s="818">
        <f>IF(G1367=1,F1367-I1367-J1367-K1367,IF(G1367=2,F1367,0))</f>
        <v>0</v>
      </c>
      <c r="I1367" s="818">
        <f>ROUND(IF(G1367=1,F1367*10/23,IF(G1367=3,F1367-J1367-K1367,IF(G1367=4,F1367,IF(G1367=5,F1367*10/11,IF(G1367=7,F1367*10/11,0))))),0)</f>
        <v>0</v>
      </c>
      <c r="J1367" s="818">
        <f>ROUND(IF(G1367=1,F1367/23,IF(G1367=3,F1367/12,IF(G1367=5,F1367-I1367,IF(G1367=8,F1367,0)))),0)</f>
        <v>0</v>
      </c>
      <c r="K1367" s="819">
        <f>ROUND(IF(G1367=1,F1367/23,IF(G1367=3,F1367/12,IF(G1367=6,F1367,IF(G1367=7,F1367-I1367,0)))),0)</f>
        <v>0</v>
      </c>
      <c r="L1367" s="820">
        <f>IF(G1367=6,F1367,0)</f>
        <v>0</v>
      </c>
      <c r="P1367" s="768" t="n"/>
      <c r="Q1367" s="769" t="str">
        <f>IF($F1367="","",IFERROR(VLOOKUP($C1367&amp;"|"&amp;$D1367,科目表!$A$5:$B$200,2,FALSE),"※未登録"))</f>
        <v/>
      </c>
      <c r="R1367" s="769" t="str">
        <f>IF($F1367="","",$I1367+$J1367+$K1367)</f>
        <v/>
      </c>
      <c r="S1367" s="769" t="str">
        <f>IF(OR($F1367="",$P1367="支払なし",$H1367=0,$Q1367=""),"",$Q1367&amp;"|S|"&amp;(COUNTIF(S$4:S1366,$Q1367&amp;"|S|*")+1))</f>
        <v/>
      </c>
      <c r="T1367" s="769" t="str">
        <f>IF(OR($F1367="",$P1367="支払なし",$R1367=0,$Q1367=""),"",$Q1367&amp;"|L|"&amp;(COUNTIF(T$4:T1366,$Q1367&amp;"|L|*")+1))</f>
        <v/>
      </c>
      <c r="U1367" s="769" t="str">
        <f>IF($F1367="","",13)</f>
        <v/>
      </c>
    </row>
    <row r="1368" ht="16.5" customHeight="1" s="186">
      <c r="A1368" s="760" t="n"/>
      <c r="B1368" s="760" t="n"/>
      <c r="C1368" s="762" t="n"/>
      <c r="D1368" s="762" t="n"/>
      <c r="E1368" s="775" t="n"/>
      <c r="F1368" s="821" t="n"/>
      <c r="G1368" s="821" t="n"/>
      <c r="H1368" s="818">
        <f>IF(G1368=1,F1368-I1368-J1368-K1368,IF(G1368=2,F1368,0))</f>
        <v>0</v>
      </c>
      <c r="I1368" s="818">
        <f>ROUND(IF(G1368=1,F1368*10/23,IF(G1368=3,F1368-J1368-K1368,IF(G1368=4,F1368,IF(G1368=5,F1368*10/11,IF(G1368=7,F1368*10/11,0))))),0)</f>
        <v>0</v>
      </c>
      <c r="J1368" s="818">
        <f>ROUND(IF(G1368=1,F1368/23,IF(G1368=3,F1368/12,IF(G1368=5,F1368-I1368,IF(G1368=8,F1368,0)))),0)</f>
        <v>0</v>
      </c>
      <c r="K1368" s="819">
        <f>ROUND(IF(G1368=1,F1368/23,IF(G1368=3,F1368/12,IF(G1368=6,F1368,IF(G1368=7,F1368-I1368,0)))),0)</f>
        <v>0</v>
      </c>
      <c r="L1368" s="820">
        <f>IF(G1368=6,F1368,0)</f>
        <v>0</v>
      </c>
      <c r="P1368" s="768" t="n"/>
      <c r="Q1368" s="769" t="str">
        <f>IF($F1368="","",IFERROR(VLOOKUP($C1368&amp;"|"&amp;$D1368,科目表!$A$5:$B$200,2,FALSE),"※未登録"))</f>
        <v/>
      </c>
      <c r="R1368" s="769" t="str">
        <f>IF($F1368="","",$I1368+$J1368+$K1368)</f>
        <v/>
      </c>
      <c r="S1368" s="769" t="str">
        <f>IF(OR($F1368="",$P1368="支払なし",$H1368=0,$Q1368=""),"",$Q1368&amp;"|S|"&amp;(COUNTIF(S$4:S1367,$Q1368&amp;"|S|*")+1))</f>
        <v/>
      </c>
      <c r="T1368" s="769" t="str">
        <f>IF(OR($F1368="",$P1368="支払なし",$R1368=0,$Q1368=""),"",$Q1368&amp;"|L|"&amp;(COUNTIF(T$4:T1367,$Q1368&amp;"|L|*")+1))</f>
        <v/>
      </c>
      <c r="U1368" s="769" t="str">
        <f>IF($F1368="","",13)</f>
        <v/>
      </c>
    </row>
    <row r="1369" ht="16.5" customHeight="1" s="186">
      <c r="A1369" s="760" t="n"/>
      <c r="B1369" s="760" t="n"/>
      <c r="C1369" s="762" t="n"/>
      <c r="D1369" s="762" t="n"/>
      <c r="E1369" s="775" t="n"/>
      <c r="F1369" s="821" t="n"/>
      <c r="G1369" s="821" t="n"/>
      <c r="H1369" s="818">
        <f>IF(G1369=1,F1369-I1369-J1369-K1369,IF(G1369=2,F1369,0))</f>
        <v>0</v>
      </c>
      <c r="I1369" s="818">
        <f>ROUND(IF(G1369=1,F1369*10/23,IF(G1369=3,F1369-J1369-K1369,IF(G1369=4,F1369,IF(G1369=5,F1369*10/11,IF(G1369=7,F1369*10/11,0))))),0)</f>
        <v>0</v>
      </c>
      <c r="J1369" s="818">
        <f>ROUND(IF(G1369=1,F1369/23,IF(G1369=3,F1369/12,IF(G1369=5,F1369-I1369,IF(G1369=8,F1369,0)))),0)</f>
        <v>0</v>
      </c>
      <c r="K1369" s="819">
        <f>ROUND(IF(G1369=1,F1369/23,IF(G1369=3,F1369/12,IF(G1369=6,F1369,IF(G1369=7,F1369-I1369,0)))),0)</f>
        <v>0</v>
      </c>
      <c r="L1369" s="820">
        <f>IF(G1369=6,F1369,0)</f>
        <v>0</v>
      </c>
      <c r="P1369" s="768" t="n"/>
      <c r="Q1369" s="769" t="str">
        <f>IF($F1369="","",IFERROR(VLOOKUP($C1369&amp;"|"&amp;$D1369,科目表!$A$5:$B$200,2,FALSE),"※未登録"))</f>
        <v/>
      </c>
      <c r="R1369" s="769" t="str">
        <f>IF($F1369="","",$I1369+$J1369+$K1369)</f>
        <v/>
      </c>
      <c r="S1369" s="769" t="str">
        <f>IF(OR($F1369="",$P1369="支払なし",$H1369=0,$Q1369=""),"",$Q1369&amp;"|S|"&amp;(COUNTIF(S$4:S1368,$Q1369&amp;"|S|*")+1))</f>
        <v/>
      </c>
      <c r="T1369" s="769" t="str">
        <f>IF(OR($F1369="",$P1369="支払なし",$R1369=0,$Q1369=""),"",$Q1369&amp;"|L|"&amp;(COUNTIF(T$4:T1368,$Q1369&amp;"|L|*")+1))</f>
        <v/>
      </c>
      <c r="U1369" s="769" t="str">
        <f>IF($F1369="","",13)</f>
        <v/>
      </c>
    </row>
    <row r="1370" ht="16.5" customHeight="1" s="186">
      <c r="A1370" s="760" t="n"/>
      <c r="B1370" s="760" t="n"/>
      <c r="C1370" s="762" t="n"/>
      <c r="D1370" s="762" t="n"/>
      <c r="E1370" s="775" t="n"/>
      <c r="F1370" s="821" t="n"/>
      <c r="G1370" s="821" t="n"/>
      <c r="H1370" s="818">
        <f>IF(G1370=1,F1370-I1370-J1370-K1370,IF(G1370=2,F1370,0))</f>
        <v>0</v>
      </c>
      <c r="I1370" s="818">
        <f>ROUND(IF(G1370=1,F1370*10/23,IF(G1370=3,F1370-J1370-K1370,IF(G1370=4,F1370,IF(G1370=5,F1370*10/11,IF(G1370=7,F1370*10/11,0))))),0)</f>
        <v>0</v>
      </c>
      <c r="J1370" s="818">
        <f>ROUND(IF(G1370=1,F1370/23,IF(G1370=3,F1370/12,IF(G1370=5,F1370-I1370,IF(G1370=8,F1370,0)))),0)</f>
        <v>0</v>
      </c>
      <c r="K1370" s="819">
        <f>ROUND(IF(G1370=1,F1370/23,IF(G1370=3,F1370/12,IF(G1370=6,F1370,IF(G1370=7,F1370-I1370,0)))),0)</f>
        <v>0</v>
      </c>
      <c r="L1370" s="820">
        <f>IF(G1370=6,F1370,0)</f>
        <v>0</v>
      </c>
      <c r="P1370" s="768" t="n"/>
      <c r="Q1370" s="769" t="str">
        <f>IF($F1370="","",IFERROR(VLOOKUP($C1370&amp;"|"&amp;$D1370,科目表!$A$5:$B$200,2,FALSE),"※未登録"))</f>
        <v/>
      </c>
      <c r="R1370" s="769" t="str">
        <f>IF($F1370="","",$I1370+$J1370+$K1370)</f>
        <v/>
      </c>
      <c r="S1370" s="769" t="str">
        <f>IF(OR($F1370="",$P1370="支払なし",$H1370=0,$Q1370=""),"",$Q1370&amp;"|S|"&amp;(COUNTIF(S$4:S1369,$Q1370&amp;"|S|*")+1))</f>
        <v/>
      </c>
      <c r="T1370" s="769" t="str">
        <f>IF(OR($F1370="",$P1370="支払なし",$R1370=0,$Q1370=""),"",$Q1370&amp;"|L|"&amp;(COUNTIF(T$4:T1369,$Q1370&amp;"|L|*")+1))</f>
        <v/>
      </c>
      <c r="U1370" s="769" t="str">
        <f>IF($F1370="","",13)</f>
        <v/>
      </c>
    </row>
    <row r="1371" ht="16.5" customHeight="1" s="186">
      <c r="A1371" s="760" t="n"/>
      <c r="B1371" s="760" t="n"/>
      <c r="C1371" s="762" t="n"/>
      <c r="D1371" s="762" t="n"/>
      <c r="E1371" s="775" t="n"/>
      <c r="F1371" s="821" t="n"/>
      <c r="G1371" s="821" t="n"/>
      <c r="H1371" s="818">
        <f>IF(G1371=1,F1371-I1371-J1371-K1371,IF(G1371=2,F1371,0))</f>
        <v>0</v>
      </c>
      <c r="I1371" s="818">
        <f>ROUND(IF(G1371=1,F1371*10/23,IF(G1371=3,F1371-J1371-K1371,IF(G1371=4,F1371,IF(G1371=5,F1371*10/11,IF(G1371=7,F1371*10/11,0))))),0)</f>
        <v>0</v>
      </c>
      <c r="J1371" s="818">
        <f>ROUND(IF(G1371=1,F1371/23,IF(G1371=3,F1371/12,IF(G1371=5,F1371-I1371,IF(G1371=8,F1371,0)))),0)</f>
        <v>0</v>
      </c>
      <c r="K1371" s="819">
        <f>ROUND(IF(G1371=1,F1371/23,IF(G1371=3,F1371/12,IF(G1371=6,F1371,IF(G1371=7,F1371-I1371,0)))),0)</f>
        <v>0</v>
      </c>
      <c r="L1371" s="820">
        <f>IF(G1371=6,F1371,0)</f>
        <v>0</v>
      </c>
      <c r="P1371" s="768" t="n"/>
      <c r="Q1371" s="769" t="str">
        <f>IF($F1371="","",IFERROR(VLOOKUP($C1371&amp;"|"&amp;$D1371,科目表!$A$5:$B$200,2,FALSE),"※未登録"))</f>
        <v/>
      </c>
      <c r="R1371" s="769" t="str">
        <f>IF($F1371="","",$I1371+$J1371+$K1371)</f>
        <v/>
      </c>
      <c r="S1371" s="769" t="str">
        <f>IF(OR($F1371="",$P1371="支払なし",$H1371=0,$Q1371=""),"",$Q1371&amp;"|S|"&amp;(COUNTIF(S$4:S1370,$Q1371&amp;"|S|*")+1))</f>
        <v/>
      </c>
      <c r="T1371" s="769" t="str">
        <f>IF(OR($F1371="",$P1371="支払なし",$R1371=0,$Q1371=""),"",$Q1371&amp;"|L|"&amp;(COUNTIF(T$4:T1370,$Q1371&amp;"|L|*")+1))</f>
        <v/>
      </c>
      <c r="U1371" s="769" t="str">
        <f>IF($F1371="","",13)</f>
        <v/>
      </c>
    </row>
    <row r="1372" ht="16.5" customHeight="1" s="186">
      <c r="A1372" s="760" t="n"/>
      <c r="B1372" s="760" t="n"/>
      <c r="C1372" s="762" t="n"/>
      <c r="D1372" s="762" t="n"/>
      <c r="E1372" s="775" t="n"/>
      <c r="F1372" s="821" t="n"/>
      <c r="G1372" s="821" t="n"/>
      <c r="H1372" s="818">
        <f>IF(G1372=1,F1372-I1372-J1372-K1372,IF(G1372=2,F1372,0))</f>
        <v>0</v>
      </c>
      <c r="I1372" s="818">
        <f>ROUND(IF(G1372=1,F1372*10/23,IF(G1372=3,F1372-J1372-K1372,IF(G1372=4,F1372,IF(G1372=5,F1372*10/11,IF(G1372=7,F1372*10/11,0))))),0)</f>
        <v>0</v>
      </c>
      <c r="J1372" s="818">
        <f>ROUND(IF(G1372=1,F1372/23,IF(G1372=3,F1372/12,IF(G1372=5,F1372-I1372,IF(G1372=8,F1372,0)))),0)</f>
        <v>0</v>
      </c>
      <c r="K1372" s="819">
        <f>ROUND(IF(G1372=1,F1372/23,IF(G1372=3,F1372/12,IF(G1372=6,F1372,IF(G1372=7,F1372-I1372,0)))),0)</f>
        <v>0</v>
      </c>
      <c r="L1372" s="820">
        <f>IF(G1372=6,F1372,0)</f>
        <v>0</v>
      </c>
      <c r="P1372" s="768" t="n"/>
      <c r="Q1372" s="769" t="str">
        <f>IF($F1372="","",IFERROR(VLOOKUP($C1372&amp;"|"&amp;$D1372,科目表!$A$5:$B$200,2,FALSE),"※未登録"))</f>
        <v/>
      </c>
      <c r="R1372" s="769" t="str">
        <f>IF($F1372="","",$I1372+$J1372+$K1372)</f>
        <v/>
      </c>
      <c r="S1372" s="769" t="str">
        <f>IF(OR($F1372="",$P1372="支払なし",$H1372=0,$Q1372=""),"",$Q1372&amp;"|S|"&amp;(COUNTIF(S$4:S1371,$Q1372&amp;"|S|*")+1))</f>
        <v/>
      </c>
      <c r="T1372" s="769" t="str">
        <f>IF(OR($F1372="",$P1372="支払なし",$R1372=0,$Q1372=""),"",$Q1372&amp;"|L|"&amp;(COUNTIF(T$4:T1371,$Q1372&amp;"|L|*")+1))</f>
        <v/>
      </c>
      <c r="U1372" s="769" t="str">
        <f>IF($F1372="","",13)</f>
        <v/>
      </c>
    </row>
    <row r="1373" ht="16.5" customHeight="1" s="186">
      <c r="A1373" s="760" t="n"/>
      <c r="B1373" s="760" t="n"/>
      <c r="C1373" s="762" t="n"/>
      <c r="D1373" s="762" t="n"/>
      <c r="E1373" s="775" t="n"/>
      <c r="F1373" s="821" t="n"/>
      <c r="G1373" s="821" t="n"/>
      <c r="H1373" s="818">
        <f>IF(G1373=1,F1373-I1373-J1373-K1373,IF(G1373=2,F1373,0))</f>
        <v>0</v>
      </c>
      <c r="I1373" s="818">
        <f>ROUND(IF(G1373=1,F1373*10/23,IF(G1373=3,F1373-J1373-K1373,IF(G1373=4,F1373,IF(G1373=5,F1373*10/11,IF(G1373=7,F1373*10/11,0))))),0)</f>
        <v>0</v>
      </c>
      <c r="J1373" s="818">
        <f>ROUND(IF(G1373=1,F1373/23,IF(G1373=3,F1373/12,IF(G1373=5,F1373-I1373,IF(G1373=8,F1373,0)))),0)</f>
        <v>0</v>
      </c>
      <c r="K1373" s="819">
        <f>ROUND(IF(G1373=1,F1373/23,IF(G1373=3,F1373/12,IF(G1373=6,F1373,IF(G1373=7,F1373-I1373,0)))),0)</f>
        <v>0</v>
      </c>
      <c r="L1373" s="820">
        <f>IF(G1373=6,F1373,0)</f>
        <v>0</v>
      </c>
      <c r="P1373" s="768" t="n"/>
      <c r="Q1373" s="769" t="str">
        <f>IF($F1373="","",IFERROR(VLOOKUP($C1373&amp;"|"&amp;$D1373,科目表!$A$5:$B$200,2,FALSE),"※未登録"))</f>
        <v/>
      </c>
      <c r="R1373" s="769" t="str">
        <f>IF($F1373="","",$I1373+$J1373+$K1373)</f>
        <v/>
      </c>
      <c r="S1373" s="769" t="str">
        <f>IF(OR($F1373="",$P1373="支払なし",$H1373=0,$Q1373=""),"",$Q1373&amp;"|S|"&amp;(COUNTIF(S$4:S1372,$Q1373&amp;"|S|*")+1))</f>
        <v/>
      </c>
      <c r="T1373" s="769" t="str">
        <f>IF(OR($F1373="",$P1373="支払なし",$R1373=0,$Q1373=""),"",$Q1373&amp;"|L|"&amp;(COUNTIF(T$4:T1372,$Q1373&amp;"|L|*")+1))</f>
        <v/>
      </c>
      <c r="U1373" s="769" t="str">
        <f>IF($F1373="","",13)</f>
        <v/>
      </c>
    </row>
    <row r="1374" ht="16.5" customHeight="1" s="186">
      <c r="A1374" s="760" t="n"/>
      <c r="B1374" s="760" t="n"/>
      <c r="C1374" s="762" t="n"/>
      <c r="D1374" s="762" t="n"/>
      <c r="E1374" s="775" t="n"/>
      <c r="F1374" s="821" t="n"/>
      <c r="G1374" s="821" t="n"/>
      <c r="H1374" s="818">
        <f>IF(G1374=1,F1374-I1374-J1374-K1374,IF(G1374=2,F1374,0))</f>
        <v>0</v>
      </c>
      <c r="I1374" s="818">
        <f>ROUND(IF(G1374=1,F1374*10/23,IF(G1374=3,F1374-J1374-K1374,IF(G1374=4,F1374,IF(G1374=5,F1374*10/11,IF(G1374=7,F1374*10/11,0))))),0)</f>
        <v>0</v>
      </c>
      <c r="J1374" s="818">
        <f>ROUND(IF(G1374=1,F1374/23,IF(G1374=3,F1374/12,IF(G1374=5,F1374-I1374,IF(G1374=8,F1374,0)))),0)</f>
        <v>0</v>
      </c>
      <c r="K1374" s="819">
        <f>ROUND(IF(G1374=1,F1374/23,IF(G1374=3,F1374/12,IF(G1374=6,F1374,IF(G1374=7,F1374-I1374,0)))),0)</f>
        <v>0</v>
      </c>
      <c r="L1374" s="820">
        <f>IF(G1374=6,F1374,0)</f>
        <v>0</v>
      </c>
      <c r="P1374" s="768" t="n"/>
      <c r="Q1374" s="769" t="str">
        <f>IF($F1374="","",IFERROR(VLOOKUP($C1374&amp;"|"&amp;$D1374,科目表!$A$5:$B$200,2,FALSE),"※未登録"))</f>
        <v/>
      </c>
      <c r="R1374" s="769" t="str">
        <f>IF($F1374="","",$I1374+$J1374+$K1374)</f>
        <v/>
      </c>
      <c r="S1374" s="769" t="str">
        <f>IF(OR($F1374="",$P1374="支払なし",$H1374=0,$Q1374=""),"",$Q1374&amp;"|S|"&amp;(COUNTIF(S$4:S1373,$Q1374&amp;"|S|*")+1))</f>
        <v/>
      </c>
      <c r="T1374" s="769" t="str">
        <f>IF(OR($F1374="",$P1374="支払なし",$R1374=0,$Q1374=""),"",$Q1374&amp;"|L|"&amp;(COUNTIF(T$4:T1373,$Q1374&amp;"|L|*")+1))</f>
        <v/>
      </c>
      <c r="U1374" s="769" t="str">
        <f>IF($F1374="","",13)</f>
        <v/>
      </c>
    </row>
    <row r="1375" ht="16.5" customHeight="1" s="186">
      <c r="A1375" s="760" t="n"/>
      <c r="B1375" s="760" t="n"/>
      <c r="C1375" s="762" t="n"/>
      <c r="D1375" s="762" t="n"/>
      <c r="E1375" s="775" t="n"/>
      <c r="F1375" s="821" t="n"/>
      <c r="G1375" s="821" t="n"/>
      <c r="H1375" s="818">
        <f>IF(G1375=1,F1375-I1375-J1375-K1375,IF(G1375=2,F1375,0))</f>
        <v>0</v>
      </c>
      <c r="I1375" s="818">
        <f>ROUND(IF(G1375=1,F1375*10/23,IF(G1375=3,F1375-J1375-K1375,IF(G1375=4,F1375,IF(G1375=5,F1375*10/11,IF(G1375=7,F1375*10/11,0))))),0)</f>
        <v>0</v>
      </c>
      <c r="J1375" s="818">
        <f>ROUND(IF(G1375=1,F1375/23,IF(G1375=3,F1375/12,IF(G1375=5,F1375-I1375,IF(G1375=8,F1375,0)))),0)</f>
        <v>0</v>
      </c>
      <c r="K1375" s="819">
        <f>ROUND(IF(G1375=1,F1375/23,IF(G1375=3,F1375/12,IF(G1375=6,F1375,IF(G1375=7,F1375-I1375,0)))),0)</f>
        <v>0</v>
      </c>
      <c r="L1375" s="820">
        <f>IF(G1375=6,F1375,0)</f>
        <v>0</v>
      </c>
      <c r="P1375" s="768" t="n"/>
      <c r="Q1375" s="769" t="str">
        <f>IF($F1375="","",IFERROR(VLOOKUP($C1375&amp;"|"&amp;$D1375,科目表!$A$5:$B$200,2,FALSE),"※未登録"))</f>
        <v/>
      </c>
      <c r="R1375" s="769" t="str">
        <f>IF($F1375="","",$I1375+$J1375+$K1375)</f>
        <v/>
      </c>
      <c r="S1375" s="769" t="str">
        <f>IF(OR($F1375="",$P1375="支払なし",$H1375=0,$Q1375=""),"",$Q1375&amp;"|S|"&amp;(COUNTIF(S$4:S1374,$Q1375&amp;"|S|*")+1))</f>
        <v/>
      </c>
      <c r="T1375" s="769" t="str">
        <f>IF(OR($F1375="",$P1375="支払なし",$R1375=0,$Q1375=""),"",$Q1375&amp;"|L|"&amp;(COUNTIF(T$4:T1374,$Q1375&amp;"|L|*")+1))</f>
        <v/>
      </c>
      <c r="U1375" s="769" t="str">
        <f>IF($F1375="","",13)</f>
        <v/>
      </c>
    </row>
    <row r="1376" ht="16.5" customHeight="1" s="186">
      <c r="A1376" s="760" t="n"/>
      <c r="B1376" s="760" t="n"/>
      <c r="C1376" s="762" t="n"/>
      <c r="D1376" s="762" t="n"/>
      <c r="E1376" s="775" t="n"/>
      <c r="F1376" s="821" t="n"/>
      <c r="G1376" s="821" t="n"/>
      <c r="H1376" s="818">
        <f>IF(G1376=1,F1376-I1376-J1376-K1376,IF(G1376=2,F1376,0))</f>
        <v>0</v>
      </c>
      <c r="I1376" s="818">
        <f>ROUND(IF(G1376=1,F1376*10/23,IF(G1376=3,F1376-J1376-K1376,IF(G1376=4,F1376,IF(G1376=5,F1376*10/11,IF(G1376=7,F1376*10/11,0))))),0)</f>
        <v>0</v>
      </c>
      <c r="J1376" s="818">
        <f>ROUND(IF(G1376=1,F1376/23,IF(G1376=3,F1376/12,IF(G1376=5,F1376-I1376,IF(G1376=8,F1376,0)))),0)</f>
        <v>0</v>
      </c>
      <c r="K1376" s="819">
        <f>ROUND(IF(G1376=1,F1376/23,IF(G1376=3,F1376/12,IF(G1376=6,F1376,IF(G1376=7,F1376-I1376,0)))),0)</f>
        <v>0</v>
      </c>
      <c r="L1376" s="820">
        <f>IF(G1376=6,F1376,0)</f>
        <v>0</v>
      </c>
      <c r="P1376" s="768" t="n"/>
      <c r="Q1376" s="769" t="str">
        <f>IF($F1376="","",IFERROR(VLOOKUP($C1376&amp;"|"&amp;$D1376,科目表!$A$5:$B$200,2,FALSE),"※未登録"))</f>
        <v/>
      </c>
      <c r="R1376" s="769" t="str">
        <f>IF($F1376="","",$I1376+$J1376+$K1376)</f>
        <v/>
      </c>
      <c r="S1376" s="769" t="str">
        <f>IF(OR($F1376="",$P1376="支払なし",$H1376=0,$Q1376=""),"",$Q1376&amp;"|S|"&amp;(COUNTIF(S$4:S1375,$Q1376&amp;"|S|*")+1))</f>
        <v/>
      </c>
      <c r="T1376" s="769" t="str">
        <f>IF(OR($F1376="",$P1376="支払なし",$R1376=0,$Q1376=""),"",$Q1376&amp;"|L|"&amp;(COUNTIF(T$4:T1375,$Q1376&amp;"|L|*")+1))</f>
        <v/>
      </c>
      <c r="U1376" s="769" t="str">
        <f>IF($F1376="","",13)</f>
        <v/>
      </c>
    </row>
    <row r="1377" ht="16.5" customHeight="1" s="186">
      <c r="A1377" s="760" t="n"/>
      <c r="B1377" s="760" t="n"/>
      <c r="C1377" s="762" t="n"/>
      <c r="D1377" s="762" t="n"/>
      <c r="E1377" s="775" t="n"/>
      <c r="F1377" s="821" t="n"/>
      <c r="G1377" s="821" t="n"/>
      <c r="H1377" s="818">
        <f>IF(G1377=1,F1377-I1377-J1377-K1377,IF(G1377=2,F1377,0))</f>
        <v>0</v>
      </c>
      <c r="I1377" s="818">
        <f>ROUND(IF(G1377=1,F1377*10/23,IF(G1377=3,F1377-J1377-K1377,IF(G1377=4,F1377,IF(G1377=5,F1377*10/11,IF(G1377=7,F1377*10/11,0))))),0)</f>
        <v>0</v>
      </c>
      <c r="J1377" s="818">
        <f>ROUND(IF(G1377=1,F1377/23,IF(G1377=3,F1377/12,IF(G1377=5,F1377-I1377,IF(G1377=8,F1377,0)))),0)</f>
        <v>0</v>
      </c>
      <c r="K1377" s="819">
        <f>ROUND(IF(G1377=1,F1377/23,IF(G1377=3,F1377/12,IF(G1377=6,F1377,IF(G1377=7,F1377-I1377,0)))),0)</f>
        <v>0</v>
      </c>
      <c r="L1377" s="820">
        <f>IF(G1377=6,F1377,0)</f>
        <v>0</v>
      </c>
      <c r="P1377" s="768" t="n"/>
      <c r="Q1377" s="769" t="str">
        <f>IF($F1377="","",IFERROR(VLOOKUP($C1377&amp;"|"&amp;$D1377,科目表!$A$5:$B$200,2,FALSE),"※未登録"))</f>
        <v/>
      </c>
      <c r="R1377" s="769" t="str">
        <f>IF($F1377="","",$I1377+$J1377+$K1377)</f>
        <v/>
      </c>
      <c r="S1377" s="769" t="str">
        <f>IF(OR($F1377="",$P1377="支払なし",$H1377=0,$Q1377=""),"",$Q1377&amp;"|S|"&amp;(COUNTIF(S$4:S1376,$Q1377&amp;"|S|*")+1))</f>
        <v/>
      </c>
      <c r="T1377" s="769" t="str">
        <f>IF(OR($F1377="",$P1377="支払なし",$R1377=0,$Q1377=""),"",$Q1377&amp;"|L|"&amp;(COUNTIF(T$4:T1376,$Q1377&amp;"|L|*")+1))</f>
        <v/>
      </c>
      <c r="U1377" s="769" t="str">
        <f>IF($F1377="","",13)</f>
        <v/>
      </c>
    </row>
    <row r="1378" ht="16.5" customHeight="1" s="186">
      <c r="A1378" s="760" t="n"/>
      <c r="B1378" s="760" t="n"/>
      <c r="C1378" s="762" t="n"/>
      <c r="D1378" s="762" t="n"/>
      <c r="E1378" s="775" t="n"/>
      <c r="F1378" s="821" t="n"/>
      <c r="G1378" s="821" t="n"/>
      <c r="H1378" s="818">
        <f>IF(G1378=1,F1378-I1378-J1378-K1378,IF(G1378=2,F1378,0))</f>
        <v>0</v>
      </c>
      <c r="I1378" s="818">
        <f>ROUND(IF(G1378=1,F1378*10/23,IF(G1378=3,F1378-J1378-K1378,IF(G1378=4,F1378,IF(G1378=5,F1378*10/11,IF(G1378=7,F1378*10/11,0))))),0)</f>
        <v>0</v>
      </c>
      <c r="J1378" s="818">
        <f>ROUND(IF(G1378=1,F1378/23,IF(G1378=3,F1378/12,IF(G1378=5,F1378-I1378,IF(G1378=8,F1378,0)))),0)</f>
        <v>0</v>
      </c>
      <c r="K1378" s="819">
        <f>ROUND(IF(G1378=1,F1378/23,IF(G1378=3,F1378/12,IF(G1378=6,F1378,IF(G1378=7,F1378-I1378,0)))),0)</f>
        <v>0</v>
      </c>
      <c r="L1378" s="820">
        <f>IF(G1378=6,F1378,0)</f>
        <v>0</v>
      </c>
      <c r="P1378" s="768" t="n"/>
      <c r="Q1378" s="769" t="str">
        <f>IF($F1378="","",IFERROR(VLOOKUP($C1378&amp;"|"&amp;$D1378,科目表!$A$5:$B$200,2,FALSE),"※未登録"))</f>
        <v/>
      </c>
      <c r="R1378" s="769" t="str">
        <f>IF($F1378="","",$I1378+$J1378+$K1378)</f>
        <v/>
      </c>
      <c r="S1378" s="769" t="str">
        <f>IF(OR($F1378="",$P1378="支払なし",$H1378=0,$Q1378=""),"",$Q1378&amp;"|S|"&amp;(COUNTIF(S$4:S1377,$Q1378&amp;"|S|*")+1))</f>
        <v/>
      </c>
      <c r="T1378" s="769" t="str">
        <f>IF(OR($F1378="",$P1378="支払なし",$R1378=0,$Q1378=""),"",$Q1378&amp;"|L|"&amp;(COUNTIF(T$4:T1377,$Q1378&amp;"|L|*")+1))</f>
        <v/>
      </c>
      <c r="U1378" s="769" t="str">
        <f>IF($F1378="","",13)</f>
        <v/>
      </c>
    </row>
    <row r="1379" ht="16.5" customHeight="1" s="186">
      <c r="A1379" s="760" t="n"/>
      <c r="B1379" s="760" t="n"/>
      <c r="C1379" s="762" t="n"/>
      <c r="D1379" s="762" t="n"/>
      <c r="E1379" s="775" t="n"/>
      <c r="F1379" s="821" t="n"/>
      <c r="G1379" s="821" t="n"/>
      <c r="H1379" s="818">
        <f>IF(G1379=1,F1379-I1379-J1379-K1379,IF(G1379=2,F1379,0))</f>
        <v>0</v>
      </c>
      <c r="I1379" s="818">
        <f>ROUND(IF(G1379=1,F1379*10/23,IF(G1379=3,F1379-J1379-K1379,IF(G1379=4,F1379,IF(G1379=5,F1379*10/11,IF(G1379=7,F1379*10/11,0))))),0)</f>
        <v>0</v>
      </c>
      <c r="J1379" s="818">
        <f>ROUND(IF(G1379=1,F1379/23,IF(G1379=3,F1379/12,IF(G1379=5,F1379-I1379,IF(G1379=8,F1379,0)))),0)</f>
        <v>0</v>
      </c>
      <c r="K1379" s="819">
        <f>ROUND(IF(G1379=1,F1379/23,IF(G1379=3,F1379/12,IF(G1379=6,F1379,IF(G1379=7,F1379-I1379,0)))),0)</f>
        <v>0</v>
      </c>
      <c r="L1379" s="820">
        <f>IF(G1379=6,F1379,0)</f>
        <v>0</v>
      </c>
      <c r="P1379" s="768" t="n"/>
      <c r="Q1379" s="769" t="str">
        <f>IF($F1379="","",IFERROR(VLOOKUP($C1379&amp;"|"&amp;$D1379,科目表!$A$5:$B$200,2,FALSE),"※未登録"))</f>
        <v/>
      </c>
      <c r="R1379" s="769" t="str">
        <f>IF($F1379="","",$I1379+$J1379+$K1379)</f>
        <v/>
      </c>
      <c r="S1379" s="769" t="str">
        <f>IF(OR($F1379="",$P1379="支払なし",$H1379=0,$Q1379=""),"",$Q1379&amp;"|S|"&amp;(COUNTIF(S$4:S1378,$Q1379&amp;"|S|*")+1))</f>
        <v/>
      </c>
      <c r="T1379" s="769" t="str">
        <f>IF(OR($F1379="",$P1379="支払なし",$R1379=0,$Q1379=""),"",$Q1379&amp;"|L|"&amp;(COUNTIF(T$4:T1378,$Q1379&amp;"|L|*")+1))</f>
        <v/>
      </c>
      <c r="U1379" s="769" t="str">
        <f>IF($F1379="","",13)</f>
        <v/>
      </c>
    </row>
    <row r="1380" ht="16.5" customHeight="1" s="186">
      <c r="A1380" s="760" t="n"/>
      <c r="B1380" s="760" t="n"/>
      <c r="C1380" s="762" t="n"/>
      <c r="D1380" s="762" t="n"/>
      <c r="E1380" s="775" t="n"/>
      <c r="F1380" s="821" t="n"/>
      <c r="G1380" s="821" t="n"/>
      <c r="H1380" s="818">
        <f>IF(G1380=1,F1380-I1380-J1380-K1380,IF(G1380=2,F1380,0))</f>
        <v>0</v>
      </c>
      <c r="I1380" s="818">
        <f>ROUND(IF(G1380=1,F1380*10/23,IF(G1380=3,F1380-J1380-K1380,IF(G1380=4,F1380,IF(G1380=5,F1380*10/11,IF(G1380=7,F1380*10/11,0))))),0)</f>
        <v>0</v>
      </c>
      <c r="J1380" s="818">
        <f>ROUND(IF(G1380=1,F1380/23,IF(G1380=3,F1380/12,IF(G1380=5,F1380-I1380,IF(G1380=8,F1380,0)))),0)</f>
        <v>0</v>
      </c>
      <c r="K1380" s="819">
        <f>ROUND(IF(G1380=1,F1380/23,IF(G1380=3,F1380/12,IF(G1380=6,F1380,IF(G1380=7,F1380-I1380,0)))),0)</f>
        <v>0</v>
      </c>
      <c r="L1380" s="820">
        <f>IF(G1380=6,F1380,0)</f>
        <v>0</v>
      </c>
      <c r="P1380" s="768" t="n"/>
      <c r="Q1380" s="769" t="str">
        <f>IF($F1380="","",IFERROR(VLOOKUP($C1380&amp;"|"&amp;$D1380,科目表!$A$5:$B$200,2,FALSE),"※未登録"))</f>
        <v/>
      </c>
      <c r="R1380" s="769" t="str">
        <f>IF($F1380="","",$I1380+$J1380+$K1380)</f>
        <v/>
      </c>
      <c r="S1380" s="769" t="str">
        <f>IF(OR($F1380="",$P1380="支払なし",$H1380=0,$Q1380=""),"",$Q1380&amp;"|S|"&amp;(COUNTIF(S$4:S1379,$Q1380&amp;"|S|*")+1))</f>
        <v/>
      </c>
      <c r="T1380" s="769" t="str">
        <f>IF(OR($F1380="",$P1380="支払なし",$R1380=0,$Q1380=""),"",$Q1380&amp;"|L|"&amp;(COUNTIF(T$4:T1379,$Q1380&amp;"|L|*")+1))</f>
        <v/>
      </c>
      <c r="U1380" s="769" t="str">
        <f>IF($F1380="","",13)</f>
        <v/>
      </c>
    </row>
    <row r="1381" ht="16.5" customHeight="1" s="186">
      <c r="A1381" s="760" t="n"/>
      <c r="B1381" s="760" t="n"/>
      <c r="C1381" s="762" t="n"/>
      <c r="D1381" s="762" t="n"/>
      <c r="E1381" s="775" t="n"/>
      <c r="F1381" s="821" t="n"/>
      <c r="G1381" s="821" t="n"/>
      <c r="H1381" s="818">
        <f>IF(G1381=1,F1381-I1381-J1381-K1381,IF(G1381=2,F1381,0))</f>
        <v>0</v>
      </c>
      <c r="I1381" s="818">
        <f>ROUND(IF(G1381=1,F1381*10/23,IF(G1381=3,F1381-J1381-K1381,IF(G1381=4,F1381,IF(G1381=5,F1381*10/11,IF(G1381=7,F1381*10/11,0))))),0)</f>
        <v>0</v>
      </c>
      <c r="J1381" s="818">
        <f>ROUND(IF(G1381=1,F1381/23,IF(G1381=3,F1381/12,IF(G1381=5,F1381-I1381,IF(G1381=8,F1381,0)))),0)</f>
        <v>0</v>
      </c>
      <c r="K1381" s="819">
        <f>ROUND(IF(G1381=1,F1381/23,IF(G1381=3,F1381/12,IF(G1381=6,F1381,IF(G1381=7,F1381-I1381,0)))),0)</f>
        <v>0</v>
      </c>
      <c r="L1381" s="820">
        <f>IF(G1381=6,F1381,0)</f>
        <v>0</v>
      </c>
      <c r="P1381" s="768" t="n"/>
      <c r="Q1381" s="769" t="str">
        <f>IF($F1381="","",IFERROR(VLOOKUP($C1381&amp;"|"&amp;$D1381,科目表!$A$5:$B$200,2,FALSE),"※未登録"))</f>
        <v/>
      </c>
      <c r="R1381" s="769" t="str">
        <f>IF($F1381="","",$I1381+$J1381+$K1381)</f>
        <v/>
      </c>
      <c r="S1381" s="769" t="str">
        <f>IF(OR($F1381="",$P1381="支払なし",$H1381=0,$Q1381=""),"",$Q1381&amp;"|S|"&amp;(COUNTIF(S$4:S1380,$Q1381&amp;"|S|*")+1))</f>
        <v/>
      </c>
      <c r="T1381" s="769" t="str">
        <f>IF(OR($F1381="",$P1381="支払なし",$R1381=0,$Q1381=""),"",$Q1381&amp;"|L|"&amp;(COUNTIF(T$4:T1380,$Q1381&amp;"|L|*")+1))</f>
        <v/>
      </c>
      <c r="U1381" s="769" t="str">
        <f>IF($F1381="","",13)</f>
        <v/>
      </c>
    </row>
    <row r="1382" ht="16.5" customHeight="1" s="186">
      <c r="A1382" s="760" t="n"/>
      <c r="B1382" s="760" t="n"/>
      <c r="C1382" s="762" t="n"/>
      <c r="D1382" s="762" t="n"/>
      <c r="E1382" s="775" t="n"/>
      <c r="F1382" s="821" t="n"/>
      <c r="G1382" s="821" t="n"/>
      <c r="H1382" s="818">
        <f>IF(G1382=1,F1382-I1382-J1382-K1382,IF(G1382=2,F1382,0))</f>
        <v>0</v>
      </c>
      <c r="I1382" s="818">
        <f>ROUND(IF(G1382=1,F1382*10/23,IF(G1382=3,F1382-J1382-K1382,IF(G1382=4,F1382,IF(G1382=5,F1382*10/11,IF(G1382=7,F1382*10/11,0))))),0)</f>
        <v>0</v>
      </c>
      <c r="J1382" s="818">
        <f>ROUND(IF(G1382=1,F1382/23,IF(G1382=3,F1382/12,IF(G1382=5,F1382-I1382,IF(G1382=8,F1382,0)))),0)</f>
        <v>0</v>
      </c>
      <c r="K1382" s="819">
        <f>ROUND(IF(G1382=1,F1382/23,IF(G1382=3,F1382/12,IF(G1382=6,F1382,IF(G1382=7,F1382-I1382,0)))),0)</f>
        <v>0</v>
      </c>
      <c r="L1382" s="820">
        <f>IF(G1382=6,F1382,0)</f>
        <v>0</v>
      </c>
      <c r="P1382" s="768" t="n"/>
      <c r="Q1382" s="769" t="str">
        <f>IF($F1382="","",IFERROR(VLOOKUP($C1382&amp;"|"&amp;$D1382,科目表!$A$5:$B$200,2,FALSE),"※未登録"))</f>
        <v/>
      </c>
      <c r="R1382" s="769" t="str">
        <f>IF($F1382="","",$I1382+$J1382+$K1382)</f>
        <v/>
      </c>
      <c r="S1382" s="769" t="str">
        <f>IF(OR($F1382="",$P1382="支払なし",$H1382=0,$Q1382=""),"",$Q1382&amp;"|S|"&amp;(COUNTIF(S$4:S1381,$Q1382&amp;"|S|*")+1))</f>
        <v/>
      </c>
      <c r="T1382" s="769" t="str">
        <f>IF(OR($F1382="",$P1382="支払なし",$R1382=0,$Q1382=""),"",$Q1382&amp;"|L|"&amp;(COUNTIF(T$4:T1381,$Q1382&amp;"|L|*")+1))</f>
        <v/>
      </c>
      <c r="U1382" s="769" t="str">
        <f>IF($F1382="","",13)</f>
        <v/>
      </c>
    </row>
    <row r="1383" ht="16.5" customHeight="1" s="186">
      <c r="A1383" s="760" t="n"/>
      <c r="B1383" s="760" t="n"/>
      <c r="C1383" s="762" t="n"/>
      <c r="D1383" s="762" t="n"/>
      <c r="E1383" s="775" t="n"/>
      <c r="F1383" s="821" t="n"/>
      <c r="G1383" s="821" t="n"/>
      <c r="H1383" s="818">
        <f>IF(G1383=1,F1383-I1383-J1383-K1383,IF(G1383=2,F1383,0))</f>
        <v>0</v>
      </c>
      <c r="I1383" s="818">
        <f>ROUND(IF(G1383=1,F1383*10/23,IF(G1383=3,F1383-J1383-K1383,IF(G1383=4,F1383,IF(G1383=5,F1383*10/11,IF(G1383=7,F1383*10/11,0))))),0)</f>
        <v>0</v>
      </c>
      <c r="J1383" s="818">
        <f>ROUND(IF(G1383=1,F1383/23,IF(G1383=3,F1383/12,IF(G1383=5,F1383-I1383,IF(G1383=8,F1383,0)))),0)</f>
        <v>0</v>
      </c>
      <c r="K1383" s="819">
        <f>ROUND(IF(G1383=1,F1383/23,IF(G1383=3,F1383/12,IF(G1383=6,F1383,IF(G1383=7,F1383-I1383,0)))),0)</f>
        <v>0</v>
      </c>
      <c r="L1383" s="820">
        <f>IF(G1383=6,F1383,0)</f>
        <v>0</v>
      </c>
      <c r="P1383" s="768" t="n"/>
      <c r="Q1383" s="769" t="str">
        <f>IF($F1383="","",IFERROR(VLOOKUP($C1383&amp;"|"&amp;$D1383,科目表!$A$5:$B$200,2,FALSE),"※未登録"))</f>
        <v/>
      </c>
      <c r="R1383" s="769" t="str">
        <f>IF($F1383="","",$I1383+$J1383+$K1383)</f>
        <v/>
      </c>
      <c r="S1383" s="769" t="str">
        <f>IF(OR($F1383="",$P1383="支払なし",$H1383=0,$Q1383=""),"",$Q1383&amp;"|S|"&amp;(COUNTIF(S$4:S1382,$Q1383&amp;"|S|*")+1))</f>
        <v/>
      </c>
      <c r="T1383" s="769" t="str">
        <f>IF(OR($F1383="",$P1383="支払なし",$R1383=0,$Q1383=""),"",$Q1383&amp;"|L|"&amp;(COUNTIF(T$4:T1382,$Q1383&amp;"|L|*")+1))</f>
        <v/>
      </c>
      <c r="U1383" s="769" t="str">
        <f>IF($F1383="","",13)</f>
        <v/>
      </c>
    </row>
    <row r="1384" ht="16.5" customHeight="1" s="186">
      <c r="A1384" s="760" t="n"/>
      <c r="B1384" s="760" t="n"/>
      <c r="C1384" s="762" t="n"/>
      <c r="D1384" s="762" t="n"/>
      <c r="E1384" s="775" t="n"/>
      <c r="F1384" s="821" t="n"/>
      <c r="G1384" s="821" t="n"/>
      <c r="H1384" s="818">
        <f>IF(G1384=1,F1384-I1384-J1384-K1384,IF(G1384=2,F1384,0))</f>
        <v>0</v>
      </c>
      <c r="I1384" s="818">
        <f>ROUND(IF(G1384=1,F1384*10/23,IF(G1384=3,F1384-J1384-K1384,IF(G1384=4,F1384,IF(G1384=5,F1384*10/11,IF(G1384=7,F1384*10/11,0))))),0)</f>
        <v>0</v>
      </c>
      <c r="J1384" s="818">
        <f>ROUND(IF(G1384=1,F1384/23,IF(G1384=3,F1384/12,IF(G1384=5,F1384-I1384,IF(G1384=8,F1384,0)))),0)</f>
        <v>0</v>
      </c>
      <c r="K1384" s="819">
        <f>ROUND(IF(G1384=1,F1384/23,IF(G1384=3,F1384/12,IF(G1384=6,F1384,IF(G1384=7,F1384-I1384,0)))),0)</f>
        <v>0</v>
      </c>
      <c r="L1384" s="820">
        <f>IF(G1384=6,F1384,0)</f>
        <v>0</v>
      </c>
      <c r="P1384" s="768" t="n"/>
      <c r="Q1384" s="769" t="str">
        <f>IF($F1384="","",IFERROR(VLOOKUP($C1384&amp;"|"&amp;$D1384,科目表!$A$5:$B$200,2,FALSE),"※未登録"))</f>
        <v/>
      </c>
      <c r="R1384" s="769" t="str">
        <f>IF($F1384="","",$I1384+$J1384+$K1384)</f>
        <v/>
      </c>
      <c r="S1384" s="769" t="str">
        <f>IF(OR($F1384="",$P1384="支払なし",$H1384=0,$Q1384=""),"",$Q1384&amp;"|S|"&amp;(COUNTIF(S$4:S1383,$Q1384&amp;"|S|*")+1))</f>
        <v/>
      </c>
      <c r="T1384" s="769" t="str">
        <f>IF(OR($F1384="",$P1384="支払なし",$R1384=0,$Q1384=""),"",$Q1384&amp;"|L|"&amp;(COUNTIF(T$4:T1383,$Q1384&amp;"|L|*")+1))</f>
        <v/>
      </c>
      <c r="U1384" s="769" t="str">
        <f>IF($F1384="","",13)</f>
        <v/>
      </c>
    </row>
    <row r="1385" ht="16.5" customHeight="1" s="186">
      <c r="A1385" s="760" t="n"/>
      <c r="B1385" s="760" t="n"/>
      <c r="C1385" s="762" t="n"/>
      <c r="D1385" s="762" t="n"/>
      <c r="E1385" s="775" t="n"/>
      <c r="F1385" s="821" t="n"/>
      <c r="G1385" s="821" t="n"/>
      <c r="H1385" s="818">
        <f>IF(G1385=1,F1385-I1385-J1385-K1385,IF(G1385=2,F1385,0))</f>
        <v>0</v>
      </c>
      <c r="I1385" s="818">
        <f>ROUND(IF(G1385=1,F1385*10/23,IF(G1385=3,F1385-J1385-K1385,IF(G1385=4,F1385,IF(G1385=5,F1385*10/11,IF(G1385=7,F1385*10/11,0))))),0)</f>
        <v>0</v>
      </c>
      <c r="J1385" s="818">
        <f>ROUND(IF(G1385=1,F1385/23,IF(G1385=3,F1385/12,IF(G1385=5,F1385-I1385,IF(G1385=8,F1385,0)))),0)</f>
        <v>0</v>
      </c>
      <c r="K1385" s="819">
        <f>ROUND(IF(G1385=1,F1385/23,IF(G1385=3,F1385/12,IF(G1385=6,F1385,IF(G1385=7,F1385-I1385,0)))),0)</f>
        <v>0</v>
      </c>
      <c r="L1385" s="820">
        <f>IF(G1385=6,F1385,0)</f>
        <v>0</v>
      </c>
      <c r="P1385" s="768" t="n"/>
      <c r="Q1385" s="769" t="str">
        <f>IF($F1385="","",IFERROR(VLOOKUP($C1385&amp;"|"&amp;$D1385,科目表!$A$5:$B$200,2,FALSE),"※未登録"))</f>
        <v/>
      </c>
      <c r="R1385" s="769" t="str">
        <f>IF($F1385="","",$I1385+$J1385+$K1385)</f>
        <v/>
      </c>
      <c r="S1385" s="769" t="str">
        <f>IF(OR($F1385="",$P1385="支払なし",$H1385=0,$Q1385=""),"",$Q1385&amp;"|S|"&amp;(COUNTIF(S$4:S1384,$Q1385&amp;"|S|*")+1))</f>
        <v/>
      </c>
      <c r="T1385" s="769" t="str">
        <f>IF(OR($F1385="",$P1385="支払なし",$R1385=0,$Q1385=""),"",$Q1385&amp;"|L|"&amp;(COUNTIF(T$4:T1384,$Q1385&amp;"|L|*")+1))</f>
        <v/>
      </c>
      <c r="U1385" s="769" t="str">
        <f>IF($F1385="","",13)</f>
        <v/>
      </c>
    </row>
    <row r="1386" ht="16.5" customHeight="1" s="186">
      <c r="A1386" s="760" t="n"/>
      <c r="B1386" s="760" t="n"/>
      <c r="C1386" s="762" t="n"/>
      <c r="D1386" s="762" t="n"/>
      <c r="E1386" s="775" t="n"/>
      <c r="F1386" s="821" t="n"/>
      <c r="G1386" s="821" t="n"/>
      <c r="H1386" s="818">
        <f>IF(G1386=1,F1386-I1386-J1386-K1386,IF(G1386=2,F1386,0))</f>
        <v>0</v>
      </c>
      <c r="I1386" s="818">
        <f>ROUND(IF(G1386=1,F1386*10/23,IF(G1386=3,F1386-J1386-K1386,IF(G1386=4,F1386,IF(G1386=5,F1386*10/11,IF(G1386=7,F1386*10/11,0))))),0)</f>
        <v>0</v>
      </c>
      <c r="J1386" s="818">
        <f>ROUND(IF(G1386=1,F1386/23,IF(G1386=3,F1386/12,IF(G1386=5,F1386-I1386,IF(G1386=8,F1386,0)))),0)</f>
        <v>0</v>
      </c>
      <c r="K1386" s="819">
        <f>ROUND(IF(G1386=1,F1386/23,IF(G1386=3,F1386/12,IF(G1386=6,F1386,IF(G1386=7,F1386-I1386,0)))),0)</f>
        <v>0</v>
      </c>
      <c r="L1386" s="820">
        <f>IF(G1386=6,F1386,0)</f>
        <v>0</v>
      </c>
      <c r="P1386" s="768" t="n"/>
      <c r="Q1386" s="769" t="str">
        <f>IF($F1386="","",IFERROR(VLOOKUP($C1386&amp;"|"&amp;$D1386,科目表!$A$5:$B$200,2,FALSE),"※未登録"))</f>
        <v/>
      </c>
      <c r="R1386" s="769" t="str">
        <f>IF($F1386="","",$I1386+$J1386+$K1386)</f>
        <v/>
      </c>
      <c r="S1386" s="769" t="str">
        <f>IF(OR($F1386="",$P1386="支払なし",$H1386=0,$Q1386=""),"",$Q1386&amp;"|S|"&amp;(COUNTIF(S$4:S1385,$Q1386&amp;"|S|*")+1))</f>
        <v/>
      </c>
      <c r="T1386" s="769" t="str">
        <f>IF(OR($F1386="",$P1386="支払なし",$R1386=0,$Q1386=""),"",$Q1386&amp;"|L|"&amp;(COUNTIF(T$4:T1385,$Q1386&amp;"|L|*")+1))</f>
        <v/>
      </c>
      <c r="U1386" s="769" t="str">
        <f>IF($F1386="","",13)</f>
        <v/>
      </c>
    </row>
    <row r="1387" ht="16.5" customHeight="1" s="186">
      <c r="A1387" s="760" t="n"/>
      <c r="B1387" s="760" t="n"/>
      <c r="C1387" s="762" t="n"/>
      <c r="D1387" s="762" t="n"/>
      <c r="E1387" s="775" t="n"/>
      <c r="F1387" s="821" t="n"/>
      <c r="G1387" s="821" t="n"/>
      <c r="H1387" s="818">
        <f>IF(G1387=1,F1387-I1387-J1387-K1387,IF(G1387=2,F1387,0))</f>
        <v>0</v>
      </c>
      <c r="I1387" s="818">
        <f>ROUND(IF(G1387=1,F1387*10/23,IF(G1387=3,F1387-J1387-K1387,IF(G1387=4,F1387,IF(G1387=5,F1387*10/11,IF(G1387=7,F1387*10/11,0))))),0)</f>
        <v>0</v>
      </c>
      <c r="J1387" s="818">
        <f>ROUND(IF(G1387=1,F1387/23,IF(G1387=3,F1387/12,IF(G1387=5,F1387-I1387,IF(G1387=8,F1387,0)))),0)</f>
        <v>0</v>
      </c>
      <c r="K1387" s="819">
        <f>ROUND(IF(G1387=1,F1387/23,IF(G1387=3,F1387/12,IF(G1387=6,F1387,IF(G1387=7,F1387-I1387,0)))),0)</f>
        <v>0</v>
      </c>
      <c r="L1387" s="820">
        <f>IF(G1387=6,F1387,0)</f>
        <v>0</v>
      </c>
      <c r="P1387" s="768" t="n"/>
      <c r="Q1387" s="769" t="str">
        <f>IF($F1387="","",IFERROR(VLOOKUP($C1387&amp;"|"&amp;$D1387,科目表!$A$5:$B$200,2,FALSE),"※未登録"))</f>
        <v/>
      </c>
      <c r="R1387" s="769" t="str">
        <f>IF($F1387="","",$I1387+$J1387+$K1387)</f>
        <v/>
      </c>
      <c r="S1387" s="769" t="str">
        <f>IF(OR($F1387="",$P1387="支払なし",$H1387=0,$Q1387=""),"",$Q1387&amp;"|S|"&amp;(COUNTIF(S$4:S1386,$Q1387&amp;"|S|*")+1))</f>
        <v/>
      </c>
      <c r="T1387" s="769" t="str">
        <f>IF(OR($F1387="",$P1387="支払なし",$R1387=0,$Q1387=""),"",$Q1387&amp;"|L|"&amp;(COUNTIF(T$4:T1386,$Q1387&amp;"|L|*")+1))</f>
        <v/>
      </c>
      <c r="U1387" s="769" t="str">
        <f>IF($F1387="","",13)</f>
        <v/>
      </c>
    </row>
    <row r="1388" ht="16.5" customHeight="1" s="186">
      <c r="A1388" s="760" t="n"/>
      <c r="B1388" s="760" t="n"/>
      <c r="C1388" s="762" t="n"/>
      <c r="D1388" s="762" t="n"/>
      <c r="E1388" s="775" t="n"/>
      <c r="F1388" s="821" t="n"/>
      <c r="G1388" s="821" t="n"/>
      <c r="H1388" s="818">
        <f>IF(G1388=1,F1388-I1388-J1388-K1388,IF(G1388=2,F1388,0))</f>
        <v>0</v>
      </c>
      <c r="I1388" s="818">
        <f>ROUND(IF(G1388=1,F1388*10/23,IF(G1388=3,F1388-J1388-K1388,IF(G1388=4,F1388,IF(G1388=5,F1388*10/11,IF(G1388=7,F1388*10/11,0))))),0)</f>
        <v>0</v>
      </c>
      <c r="J1388" s="818">
        <f>ROUND(IF(G1388=1,F1388/23,IF(G1388=3,F1388/12,IF(G1388=5,F1388-I1388,IF(G1388=8,F1388,0)))),0)</f>
        <v>0</v>
      </c>
      <c r="K1388" s="819">
        <f>ROUND(IF(G1388=1,F1388/23,IF(G1388=3,F1388/12,IF(G1388=6,F1388,IF(G1388=7,F1388-I1388,0)))),0)</f>
        <v>0</v>
      </c>
      <c r="L1388" s="820">
        <f>IF(G1388=6,F1388,0)</f>
        <v>0</v>
      </c>
      <c r="P1388" s="768" t="n"/>
      <c r="Q1388" s="769" t="str">
        <f>IF($F1388="","",IFERROR(VLOOKUP($C1388&amp;"|"&amp;$D1388,科目表!$A$5:$B$200,2,FALSE),"※未登録"))</f>
        <v/>
      </c>
      <c r="R1388" s="769" t="str">
        <f>IF($F1388="","",$I1388+$J1388+$K1388)</f>
        <v/>
      </c>
      <c r="S1388" s="769" t="str">
        <f>IF(OR($F1388="",$P1388="支払なし",$H1388=0,$Q1388=""),"",$Q1388&amp;"|S|"&amp;(COUNTIF(S$4:S1387,$Q1388&amp;"|S|*")+1))</f>
        <v/>
      </c>
      <c r="T1388" s="769" t="str">
        <f>IF(OR($F1388="",$P1388="支払なし",$R1388=0,$Q1388=""),"",$Q1388&amp;"|L|"&amp;(COUNTIF(T$4:T1387,$Q1388&amp;"|L|*")+1))</f>
        <v/>
      </c>
      <c r="U1388" s="769" t="str">
        <f>IF($F1388="","",13)</f>
        <v/>
      </c>
    </row>
    <row r="1389" ht="16.5" customHeight="1" s="186">
      <c r="A1389" s="760" t="n"/>
      <c r="B1389" s="760" t="n"/>
      <c r="C1389" s="762" t="n"/>
      <c r="D1389" s="762" t="n"/>
      <c r="E1389" s="775" t="n"/>
      <c r="F1389" s="821" t="n"/>
      <c r="G1389" s="821" t="n"/>
      <c r="H1389" s="818">
        <f>IF(G1389=1,F1389-I1389-J1389-K1389,IF(G1389=2,F1389,0))</f>
        <v>0</v>
      </c>
      <c r="I1389" s="818">
        <f>ROUND(IF(G1389=1,F1389*10/23,IF(G1389=3,F1389-J1389-K1389,IF(G1389=4,F1389,IF(G1389=5,F1389*10/11,IF(G1389=7,F1389*10/11,0))))),0)</f>
        <v>0</v>
      </c>
      <c r="J1389" s="818">
        <f>ROUND(IF(G1389=1,F1389/23,IF(G1389=3,F1389/12,IF(G1389=5,F1389-I1389,IF(G1389=8,F1389,0)))),0)</f>
        <v>0</v>
      </c>
      <c r="K1389" s="819">
        <f>ROUND(IF(G1389=1,F1389/23,IF(G1389=3,F1389/12,IF(G1389=6,F1389,IF(G1389=7,F1389-I1389,0)))),0)</f>
        <v>0</v>
      </c>
      <c r="L1389" s="820">
        <f>IF(G1389=6,F1389,0)</f>
        <v>0</v>
      </c>
      <c r="P1389" s="768" t="n"/>
      <c r="Q1389" s="769" t="str">
        <f>IF($F1389="","",IFERROR(VLOOKUP($C1389&amp;"|"&amp;$D1389,科目表!$A$5:$B$200,2,FALSE),"※未登録"))</f>
        <v/>
      </c>
      <c r="R1389" s="769" t="str">
        <f>IF($F1389="","",$I1389+$J1389+$K1389)</f>
        <v/>
      </c>
      <c r="S1389" s="769" t="str">
        <f>IF(OR($F1389="",$P1389="支払なし",$H1389=0,$Q1389=""),"",$Q1389&amp;"|S|"&amp;(COUNTIF(S$4:S1388,$Q1389&amp;"|S|*")+1))</f>
        <v/>
      </c>
      <c r="T1389" s="769" t="str">
        <f>IF(OR($F1389="",$P1389="支払なし",$R1389=0,$Q1389=""),"",$Q1389&amp;"|L|"&amp;(COUNTIF(T$4:T1388,$Q1389&amp;"|L|*")+1))</f>
        <v/>
      </c>
      <c r="U1389" s="769" t="str">
        <f>IF($F1389="","",13)</f>
        <v/>
      </c>
    </row>
    <row r="1390" ht="16.5" customHeight="1" s="186">
      <c r="A1390" s="760" t="n"/>
      <c r="B1390" s="760" t="n"/>
      <c r="C1390" s="762" t="n"/>
      <c r="D1390" s="762" t="n"/>
      <c r="E1390" s="775" t="n"/>
      <c r="F1390" s="821" t="n"/>
      <c r="G1390" s="821" t="n"/>
      <c r="H1390" s="818">
        <f>IF(G1390=1,F1390-I1390-J1390-K1390,IF(G1390=2,F1390,0))</f>
        <v>0</v>
      </c>
      <c r="I1390" s="818">
        <f>ROUND(IF(G1390=1,F1390*10/23,IF(G1390=3,F1390-J1390-K1390,IF(G1390=4,F1390,IF(G1390=5,F1390*10/11,IF(G1390=7,F1390*10/11,0))))),0)</f>
        <v>0</v>
      </c>
      <c r="J1390" s="818">
        <f>ROUND(IF(G1390=1,F1390/23,IF(G1390=3,F1390/12,IF(G1390=5,F1390-I1390,IF(G1390=8,F1390,0)))),0)</f>
        <v>0</v>
      </c>
      <c r="K1390" s="819">
        <f>ROUND(IF(G1390=1,F1390/23,IF(G1390=3,F1390/12,IF(G1390=6,F1390,IF(G1390=7,F1390-I1390,0)))),0)</f>
        <v>0</v>
      </c>
      <c r="L1390" s="820">
        <f>IF(G1390=6,F1390,0)</f>
        <v>0</v>
      </c>
      <c r="P1390" s="768" t="n"/>
      <c r="Q1390" s="769" t="str">
        <f>IF($F1390="","",IFERROR(VLOOKUP($C1390&amp;"|"&amp;$D1390,科目表!$A$5:$B$200,2,FALSE),"※未登録"))</f>
        <v/>
      </c>
      <c r="R1390" s="769" t="str">
        <f>IF($F1390="","",$I1390+$J1390+$K1390)</f>
        <v/>
      </c>
      <c r="S1390" s="769" t="str">
        <f>IF(OR($F1390="",$P1390="支払なし",$H1390=0,$Q1390=""),"",$Q1390&amp;"|S|"&amp;(COUNTIF(S$4:S1389,$Q1390&amp;"|S|*")+1))</f>
        <v/>
      </c>
      <c r="T1390" s="769" t="str">
        <f>IF(OR($F1390="",$P1390="支払なし",$R1390=0,$Q1390=""),"",$Q1390&amp;"|L|"&amp;(COUNTIF(T$4:T1389,$Q1390&amp;"|L|*")+1))</f>
        <v/>
      </c>
      <c r="U1390" s="769" t="str">
        <f>IF($F1390="","",13)</f>
        <v/>
      </c>
    </row>
    <row r="1391" ht="16.5" customHeight="1" s="186">
      <c r="A1391" s="760" t="n"/>
      <c r="B1391" s="760" t="n"/>
      <c r="C1391" s="762" t="n"/>
      <c r="D1391" s="762" t="n"/>
      <c r="E1391" s="775" t="n"/>
      <c r="F1391" s="821" t="n"/>
      <c r="G1391" s="821" t="n"/>
      <c r="H1391" s="818">
        <f>IF(G1391=1,F1391-I1391-J1391-K1391,IF(G1391=2,F1391,0))</f>
        <v>0</v>
      </c>
      <c r="I1391" s="818">
        <f>ROUND(IF(G1391=1,F1391*10/23,IF(G1391=3,F1391-J1391-K1391,IF(G1391=4,F1391,IF(G1391=5,F1391*10/11,IF(G1391=7,F1391*10/11,0))))),0)</f>
        <v>0</v>
      </c>
      <c r="J1391" s="818">
        <f>ROUND(IF(G1391=1,F1391/23,IF(G1391=3,F1391/12,IF(G1391=5,F1391-I1391,IF(G1391=8,F1391,0)))),0)</f>
        <v>0</v>
      </c>
      <c r="K1391" s="819">
        <f>ROUND(IF(G1391=1,F1391/23,IF(G1391=3,F1391/12,IF(G1391=6,F1391,IF(G1391=7,F1391-I1391,0)))),0)</f>
        <v>0</v>
      </c>
      <c r="L1391" s="820">
        <f>IF(G1391=6,F1391,0)</f>
        <v>0</v>
      </c>
      <c r="P1391" s="768" t="n"/>
      <c r="Q1391" s="769" t="str">
        <f>IF($F1391="","",IFERROR(VLOOKUP($C1391&amp;"|"&amp;$D1391,科目表!$A$5:$B$200,2,FALSE),"※未登録"))</f>
        <v/>
      </c>
      <c r="R1391" s="769" t="str">
        <f>IF($F1391="","",$I1391+$J1391+$K1391)</f>
        <v/>
      </c>
      <c r="S1391" s="769" t="str">
        <f>IF(OR($F1391="",$P1391="支払なし",$H1391=0,$Q1391=""),"",$Q1391&amp;"|S|"&amp;(COUNTIF(S$4:S1390,$Q1391&amp;"|S|*")+1))</f>
        <v/>
      </c>
      <c r="T1391" s="769" t="str">
        <f>IF(OR($F1391="",$P1391="支払なし",$R1391=0,$Q1391=""),"",$Q1391&amp;"|L|"&amp;(COUNTIF(T$4:T1390,$Q1391&amp;"|L|*")+1))</f>
        <v/>
      </c>
      <c r="U1391" s="769" t="str">
        <f>IF($F1391="","",13)</f>
        <v/>
      </c>
    </row>
    <row r="1392" ht="16.5" customHeight="1" s="186">
      <c r="A1392" s="760" t="n"/>
      <c r="B1392" s="760" t="n"/>
      <c r="C1392" s="762" t="n"/>
      <c r="D1392" s="762" t="n"/>
      <c r="E1392" s="775" t="n"/>
      <c r="F1392" s="821" t="n"/>
      <c r="G1392" s="821" t="n"/>
      <c r="H1392" s="818">
        <f>IF(G1392=1,F1392-I1392-J1392-K1392,IF(G1392=2,F1392,0))</f>
        <v>0</v>
      </c>
      <c r="I1392" s="818">
        <f>ROUND(IF(G1392=1,F1392*10/23,IF(G1392=3,F1392-J1392-K1392,IF(G1392=4,F1392,IF(G1392=5,F1392*10/11,IF(G1392=7,F1392*10/11,0))))),0)</f>
        <v>0</v>
      </c>
      <c r="J1392" s="818">
        <f>ROUND(IF(G1392=1,F1392/23,IF(G1392=3,F1392/12,IF(G1392=5,F1392-I1392,IF(G1392=8,F1392,0)))),0)</f>
        <v>0</v>
      </c>
      <c r="K1392" s="819">
        <f>ROUND(IF(G1392=1,F1392/23,IF(G1392=3,F1392/12,IF(G1392=6,F1392,IF(G1392=7,F1392-I1392,0)))),0)</f>
        <v>0</v>
      </c>
      <c r="L1392" s="820">
        <f>IF(G1392=6,F1392,0)</f>
        <v>0</v>
      </c>
      <c r="P1392" s="768" t="n"/>
      <c r="Q1392" s="769" t="str">
        <f>IF($F1392="","",IFERROR(VLOOKUP($C1392&amp;"|"&amp;$D1392,科目表!$A$5:$B$200,2,FALSE),"※未登録"))</f>
        <v/>
      </c>
      <c r="R1392" s="769" t="str">
        <f>IF($F1392="","",$I1392+$J1392+$K1392)</f>
        <v/>
      </c>
      <c r="S1392" s="769" t="str">
        <f>IF(OR($F1392="",$P1392="支払なし",$H1392=0,$Q1392=""),"",$Q1392&amp;"|S|"&amp;(COUNTIF(S$4:S1391,$Q1392&amp;"|S|*")+1))</f>
        <v/>
      </c>
      <c r="T1392" s="769" t="str">
        <f>IF(OR($F1392="",$P1392="支払なし",$R1392=0,$Q1392=""),"",$Q1392&amp;"|L|"&amp;(COUNTIF(T$4:T1391,$Q1392&amp;"|L|*")+1))</f>
        <v/>
      </c>
      <c r="U1392" s="769" t="str">
        <f>IF($F1392="","",13)</f>
        <v/>
      </c>
    </row>
    <row r="1393" ht="16.5" customHeight="1" s="186">
      <c r="A1393" s="760" t="n"/>
      <c r="B1393" s="760" t="n"/>
      <c r="C1393" s="762" t="n"/>
      <c r="D1393" s="762" t="n"/>
      <c r="E1393" s="775" t="n"/>
      <c r="F1393" s="821" t="n"/>
      <c r="G1393" s="821" t="n"/>
      <c r="H1393" s="818">
        <f>IF(G1393=1,F1393-I1393-J1393-K1393,IF(G1393=2,F1393,0))</f>
        <v>0</v>
      </c>
      <c r="I1393" s="818">
        <f>ROUND(IF(G1393=1,F1393*10/23,IF(G1393=3,F1393-J1393-K1393,IF(G1393=4,F1393,IF(G1393=5,F1393*10/11,IF(G1393=7,F1393*10/11,0))))),0)</f>
        <v>0</v>
      </c>
      <c r="J1393" s="818">
        <f>ROUND(IF(G1393=1,F1393/23,IF(G1393=3,F1393/12,IF(G1393=5,F1393-I1393,IF(G1393=8,F1393,0)))),0)</f>
        <v>0</v>
      </c>
      <c r="K1393" s="819">
        <f>ROUND(IF(G1393=1,F1393/23,IF(G1393=3,F1393/12,IF(G1393=6,F1393,IF(G1393=7,F1393-I1393,0)))),0)</f>
        <v>0</v>
      </c>
      <c r="L1393" s="820">
        <f>IF(G1393=6,F1393,0)</f>
        <v>0</v>
      </c>
      <c r="P1393" s="768" t="n"/>
      <c r="Q1393" s="769" t="str">
        <f>IF($F1393="","",IFERROR(VLOOKUP($C1393&amp;"|"&amp;$D1393,科目表!$A$5:$B$200,2,FALSE),"※未登録"))</f>
        <v/>
      </c>
      <c r="R1393" s="769" t="str">
        <f>IF($F1393="","",$I1393+$J1393+$K1393)</f>
        <v/>
      </c>
      <c r="S1393" s="769" t="str">
        <f>IF(OR($F1393="",$P1393="支払なし",$H1393=0,$Q1393=""),"",$Q1393&amp;"|S|"&amp;(COUNTIF(S$4:S1392,$Q1393&amp;"|S|*")+1))</f>
        <v/>
      </c>
      <c r="T1393" s="769" t="str">
        <f>IF(OR($F1393="",$P1393="支払なし",$R1393=0,$Q1393=""),"",$Q1393&amp;"|L|"&amp;(COUNTIF(T$4:T1392,$Q1393&amp;"|L|*")+1))</f>
        <v/>
      </c>
      <c r="U1393" s="769" t="str">
        <f>IF($F1393="","",13)</f>
        <v/>
      </c>
    </row>
    <row r="1394" ht="16.5" customHeight="1" s="186">
      <c r="A1394" s="760" t="n"/>
      <c r="B1394" s="760" t="n"/>
      <c r="C1394" s="762" t="n"/>
      <c r="D1394" s="762" t="n"/>
      <c r="E1394" s="775" t="n"/>
      <c r="F1394" s="821" t="n"/>
      <c r="G1394" s="821" t="n"/>
      <c r="H1394" s="818">
        <f>IF(G1394=1,F1394-I1394-J1394-K1394,IF(G1394=2,F1394,0))</f>
        <v>0</v>
      </c>
      <c r="I1394" s="818">
        <f>ROUND(IF(G1394=1,F1394*10/23,IF(G1394=3,F1394-J1394-K1394,IF(G1394=4,F1394,IF(G1394=5,F1394*10/11,IF(G1394=7,F1394*10/11,0))))),0)</f>
        <v>0</v>
      </c>
      <c r="J1394" s="818">
        <f>ROUND(IF(G1394=1,F1394/23,IF(G1394=3,F1394/12,IF(G1394=5,F1394-I1394,IF(G1394=8,F1394,0)))),0)</f>
        <v>0</v>
      </c>
      <c r="K1394" s="819">
        <f>ROUND(IF(G1394=1,F1394/23,IF(G1394=3,F1394/12,IF(G1394=6,F1394,IF(G1394=7,F1394-I1394,0)))),0)</f>
        <v>0</v>
      </c>
      <c r="L1394" s="820">
        <f>IF(G1394=6,F1394,0)</f>
        <v>0</v>
      </c>
      <c r="P1394" s="768" t="n"/>
      <c r="Q1394" s="769" t="str">
        <f>IF($F1394="","",IFERROR(VLOOKUP($C1394&amp;"|"&amp;$D1394,科目表!$A$5:$B$200,2,FALSE),"※未登録"))</f>
        <v/>
      </c>
      <c r="R1394" s="769" t="str">
        <f>IF($F1394="","",$I1394+$J1394+$K1394)</f>
        <v/>
      </c>
      <c r="S1394" s="769" t="str">
        <f>IF(OR($F1394="",$P1394="支払なし",$H1394=0,$Q1394=""),"",$Q1394&amp;"|S|"&amp;(COUNTIF(S$4:S1393,$Q1394&amp;"|S|*")+1))</f>
        <v/>
      </c>
      <c r="T1394" s="769" t="str">
        <f>IF(OR($F1394="",$P1394="支払なし",$R1394=0,$Q1394=""),"",$Q1394&amp;"|L|"&amp;(COUNTIF(T$4:T1393,$Q1394&amp;"|L|*")+1))</f>
        <v/>
      </c>
      <c r="U1394" s="769" t="str">
        <f>IF($F1394="","",13)</f>
        <v/>
      </c>
    </row>
    <row r="1395" ht="16.5" customHeight="1" s="186">
      <c r="A1395" s="760" t="n"/>
      <c r="B1395" s="760" t="n"/>
      <c r="C1395" s="762" t="n"/>
      <c r="D1395" s="762" t="n"/>
      <c r="E1395" s="775" t="n"/>
      <c r="F1395" s="821" t="n"/>
      <c r="G1395" s="821" t="n"/>
      <c r="H1395" s="818">
        <f>IF(G1395=1,F1395-I1395-J1395-K1395,IF(G1395=2,F1395,0))</f>
        <v>0</v>
      </c>
      <c r="I1395" s="818">
        <f>ROUND(IF(G1395=1,F1395*10/23,IF(G1395=3,F1395-J1395-K1395,IF(G1395=4,F1395,IF(G1395=5,F1395*10/11,IF(G1395=7,F1395*10/11,0))))),0)</f>
        <v>0</v>
      </c>
      <c r="J1395" s="818">
        <f>ROUND(IF(G1395=1,F1395/23,IF(G1395=3,F1395/12,IF(G1395=5,F1395-I1395,IF(G1395=8,F1395,0)))),0)</f>
        <v>0</v>
      </c>
      <c r="K1395" s="819">
        <f>ROUND(IF(G1395=1,F1395/23,IF(G1395=3,F1395/12,IF(G1395=6,F1395,IF(G1395=7,F1395-I1395,0)))),0)</f>
        <v>0</v>
      </c>
      <c r="L1395" s="820">
        <f>IF(G1395=6,F1395,0)</f>
        <v>0</v>
      </c>
      <c r="P1395" s="768" t="n"/>
      <c r="Q1395" s="769" t="str">
        <f>IF($F1395="","",IFERROR(VLOOKUP($C1395&amp;"|"&amp;$D1395,科目表!$A$5:$B$200,2,FALSE),"※未登録"))</f>
        <v/>
      </c>
      <c r="R1395" s="769" t="str">
        <f>IF($F1395="","",$I1395+$J1395+$K1395)</f>
        <v/>
      </c>
      <c r="S1395" s="769" t="str">
        <f>IF(OR($F1395="",$P1395="支払なし",$H1395=0,$Q1395=""),"",$Q1395&amp;"|S|"&amp;(COUNTIF(S$4:S1394,$Q1395&amp;"|S|*")+1))</f>
        <v/>
      </c>
      <c r="T1395" s="769" t="str">
        <f>IF(OR($F1395="",$P1395="支払なし",$R1395=0,$Q1395=""),"",$Q1395&amp;"|L|"&amp;(COUNTIF(T$4:T1394,$Q1395&amp;"|L|*")+1))</f>
        <v/>
      </c>
      <c r="U1395" s="769" t="str">
        <f>IF($F1395="","",13)</f>
        <v/>
      </c>
    </row>
    <row r="1396" ht="16.5" customHeight="1" s="186">
      <c r="A1396" s="760" t="n"/>
      <c r="B1396" s="760" t="n"/>
      <c r="C1396" s="762" t="n"/>
      <c r="D1396" s="762" t="n"/>
      <c r="E1396" s="775" t="n"/>
      <c r="F1396" s="821" t="n"/>
      <c r="G1396" s="821" t="n"/>
      <c r="H1396" s="818">
        <f>IF(G1396=1,F1396-I1396-J1396-K1396,IF(G1396=2,F1396,0))</f>
        <v>0</v>
      </c>
      <c r="I1396" s="818">
        <f>ROUND(IF(G1396=1,F1396*10/23,IF(G1396=3,F1396-J1396-K1396,IF(G1396=4,F1396,IF(G1396=5,F1396*10/11,IF(G1396=7,F1396*10/11,0))))),0)</f>
        <v>0</v>
      </c>
      <c r="J1396" s="818">
        <f>ROUND(IF(G1396=1,F1396/23,IF(G1396=3,F1396/12,IF(G1396=5,F1396-I1396,IF(G1396=8,F1396,0)))),0)</f>
        <v>0</v>
      </c>
      <c r="K1396" s="819">
        <f>ROUND(IF(G1396=1,F1396/23,IF(G1396=3,F1396/12,IF(G1396=6,F1396,IF(G1396=7,F1396-I1396,0)))),0)</f>
        <v>0</v>
      </c>
      <c r="L1396" s="820">
        <f>IF(G1396=6,F1396,0)</f>
        <v>0</v>
      </c>
      <c r="P1396" s="768" t="n"/>
      <c r="Q1396" s="769" t="str">
        <f>IF($F1396="","",IFERROR(VLOOKUP($C1396&amp;"|"&amp;$D1396,科目表!$A$5:$B$200,2,FALSE),"※未登録"))</f>
        <v/>
      </c>
      <c r="R1396" s="769" t="str">
        <f>IF($F1396="","",$I1396+$J1396+$K1396)</f>
        <v/>
      </c>
      <c r="S1396" s="769" t="str">
        <f>IF(OR($F1396="",$P1396="支払なし",$H1396=0,$Q1396=""),"",$Q1396&amp;"|S|"&amp;(COUNTIF(S$4:S1395,$Q1396&amp;"|S|*")+1))</f>
        <v/>
      </c>
      <c r="T1396" s="769" t="str">
        <f>IF(OR($F1396="",$P1396="支払なし",$R1396=0,$Q1396=""),"",$Q1396&amp;"|L|"&amp;(COUNTIF(T$4:T1395,$Q1396&amp;"|L|*")+1))</f>
        <v/>
      </c>
      <c r="U1396" s="769" t="str">
        <f>IF($F1396="","",13)</f>
        <v/>
      </c>
    </row>
    <row r="1397" ht="16.5" customHeight="1" s="186">
      <c r="A1397" s="760" t="n"/>
      <c r="B1397" s="760" t="n"/>
      <c r="C1397" s="762" t="n"/>
      <c r="D1397" s="762" t="n"/>
      <c r="E1397" s="775" t="n"/>
      <c r="F1397" s="821" t="n"/>
      <c r="G1397" s="821" t="n"/>
      <c r="H1397" s="818">
        <f>IF(G1397=1,F1397-I1397-J1397-K1397,IF(G1397=2,F1397,0))</f>
        <v>0</v>
      </c>
      <c r="I1397" s="818">
        <f>ROUND(IF(G1397=1,F1397*10/23,IF(G1397=3,F1397-J1397-K1397,IF(G1397=4,F1397,IF(G1397=5,F1397*10/11,IF(G1397=7,F1397*10/11,0))))),0)</f>
        <v>0</v>
      </c>
      <c r="J1397" s="818">
        <f>ROUND(IF(G1397=1,F1397/23,IF(G1397=3,F1397/12,IF(G1397=5,F1397-I1397,IF(G1397=8,F1397,0)))),0)</f>
        <v>0</v>
      </c>
      <c r="K1397" s="819">
        <f>ROUND(IF(G1397=1,F1397/23,IF(G1397=3,F1397/12,IF(G1397=6,F1397,IF(G1397=7,F1397-I1397,0)))),0)</f>
        <v>0</v>
      </c>
      <c r="L1397" s="820">
        <f>IF(G1397=6,F1397,0)</f>
        <v>0</v>
      </c>
      <c r="P1397" s="768" t="n"/>
      <c r="Q1397" s="769" t="str">
        <f>IF($F1397="","",IFERROR(VLOOKUP($C1397&amp;"|"&amp;$D1397,科目表!$A$5:$B$200,2,FALSE),"※未登録"))</f>
        <v/>
      </c>
      <c r="R1397" s="769" t="str">
        <f>IF($F1397="","",$I1397+$J1397+$K1397)</f>
        <v/>
      </c>
      <c r="S1397" s="769" t="str">
        <f>IF(OR($F1397="",$P1397="支払なし",$H1397=0,$Q1397=""),"",$Q1397&amp;"|S|"&amp;(COUNTIF(S$4:S1396,$Q1397&amp;"|S|*")+1))</f>
        <v/>
      </c>
      <c r="T1397" s="769" t="str">
        <f>IF(OR($F1397="",$P1397="支払なし",$R1397=0,$Q1397=""),"",$Q1397&amp;"|L|"&amp;(COUNTIF(T$4:T1396,$Q1397&amp;"|L|*")+1))</f>
        <v/>
      </c>
      <c r="U1397" s="769" t="str">
        <f>IF($F1397="","",13)</f>
        <v/>
      </c>
    </row>
    <row r="1398" ht="16.5" customHeight="1" s="186">
      <c r="A1398" s="760" t="n"/>
      <c r="B1398" s="760" t="n"/>
      <c r="C1398" s="762" t="n"/>
      <c r="D1398" s="762" t="n"/>
      <c r="E1398" s="775" t="n"/>
      <c r="F1398" s="821" t="n"/>
      <c r="G1398" s="821" t="n"/>
      <c r="H1398" s="818">
        <f>IF(G1398=1,F1398-I1398-J1398-K1398,IF(G1398=2,F1398,0))</f>
        <v>0</v>
      </c>
      <c r="I1398" s="818">
        <f>ROUND(IF(G1398=1,F1398*10/23,IF(G1398=3,F1398-J1398-K1398,IF(G1398=4,F1398,IF(G1398=5,F1398*10/11,IF(G1398=7,F1398*10/11,0))))),0)</f>
        <v>0</v>
      </c>
      <c r="J1398" s="818">
        <f>ROUND(IF(G1398=1,F1398/23,IF(G1398=3,F1398/12,IF(G1398=5,F1398-I1398,IF(G1398=8,F1398,0)))),0)</f>
        <v>0</v>
      </c>
      <c r="K1398" s="819">
        <f>ROUND(IF(G1398=1,F1398/23,IF(G1398=3,F1398/12,IF(G1398=6,F1398,IF(G1398=7,F1398-I1398,0)))),0)</f>
        <v>0</v>
      </c>
      <c r="L1398" s="820">
        <f>IF(G1398=6,F1398,0)</f>
        <v>0</v>
      </c>
      <c r="P1398" s="768" t="n"/>
      <c r="Q1398" s="769" t="str">
        <f>IF($F1398="","",IFERROR(VLOOKUP($C1398&amp;"|"&amp;$D1398,科目表!$A$5:$B$200,2,FALSE),"※未登録"))</f>
        <v/>
      </c>
      <c r="R1398" s="769" t="str">
        <f>IF($F1398="","",$I1398+$J1398+$K1398)</f>
        <v/>
      </c>
      <c r="S1398" s="769" t="str">
        <f>IF(OR($F1398="",$P1398="支払なし",$H1398=0,$Q1398=""),"",$Q1398&amp;"|S|"&amp;(COUNTIF(S$4:S1397,$Q1398&amp;"|S|*")+1))</f>
        <v/>
      </c>
      <c r="T1398" s="769" t="str">
        <f>IF(OR($F1398="",$P1398="支払なし",$R1398=0,$Q1398=""),"",$Q1398&amp;"|L|"&amp;(COUNTIF(T$4:T1397,$Q1398&amp;"|L|*")+1))</f>
        <v/>
      </c>
      <c r="U1398" s="769" t="str">
        <f>IF($F1398="","",13)</f>
        <v/>
      </c>
    </row>
    <row r="1399" ht="16.5" customHeight="1" s="186">
      <c r="A1399" s="760" t="n"/>
      <c r="B1399" s="760" t="n"/>
      <c r="C1399" s="762" t="n"/>
      <c r="D1399" s="762" t="n"/>
      <c r="E1399" s="775" t="n"/>
      <c r="F1399" s="821" t="n"/>
      <c r="G1399" s="821" t="n"/>
      <c r="H1399" s="818">
        <f>IF(G1399=1,F1399-I1399-J1399-K1399,IF(G1399=2,F1399,0))</f>
        <v>0</v>
      </c>
      <c r="I1399" s="818">
        <f>ROUND(IF(G1399=1,F1399*10/23,IF(G1399=3,F1399-J1399-K1399,IF(G1399=4,F1399,IF(G1399=5,F1399*10/11,IF(G1399=7,F1399*10/11,0))))),0)</f>
        <v>0</v>
      </c>
      <c r="J1399" s="818">
        <f>ROUND(IF(G1399=1,F1399/23,IF(G1399=3,F1399/12,IF(G1399=5,F1399-I1399,IF(G1399=8,F1399,0)))),0)</f>
        <v>0</v>
      </c>
      <c r="K1399" s="819">
        <f>ROUND(IF(G1399=1,F1399/23,IF(G1399=3,F1399/12,IF(G1399=6,F1399,IF(G1399=7,F1399-I1399,0)))),0)</f>
        <v>0</v>
      </c>
      <c r="L1399" s="820">
        <f>IF(G1399=6,F1399,0)</f>
        <v>0</v>
      </c>
      <c r="P1399" s="768" t="n"/>
      <c r="Q1399" s="769" t="str">
        <f>IF($F1399="","",IFERROR(VLOOKUP($C1399&amp;"|"&amp;$D1399,科目表!$A$5:$B$200,2,FALSE),"※未登録"))</f>
        <v/>
      </c>
      <c r="R1399" s="769" t="str">
        <f>IF($F1399="","",$I1399+$J1399+$K1399)</f>
        <v/>
      </c>
      <c r="S1399" s="769" t="str">
        <f>IF(OR($F1399="",$P1399="支払なし",$H1399=0,$Q1399=""),"",$Q1399&amp;"|S|"&amp;(COUNTIF(S$4:S1398,$Q1399&amp;"|S|*")+1))</f>
        <v/>
      </c>
      <c r="T1399" s="769" t="str">
        <f>IF(OR($F1399="",$P1399="支払なし",$R1399=0,$Q1399=""),"",$Q1399&amp;"|L|"&amp;(COUNTIF(T$4:T1398,$Q1399&amp;"|L|*")+1))</f>
        <v/>
      </c>
      <c r="U1399" s="769" t="str">
        <f>IF($F1399="","",13)</f>
        <v/>
      </c>
    </row>
    <row r="1400" ht="16.5" customHeight="1" s="186">
      <c r="A1400" s="760" t="n"/>
      <c r="B1400" s="760" t="n"/>
      <c r="C1400" s="762" t="n"/>
      <c r="D1400" s="762" t="n"/>
      <c r="E1400" s="775" t="n"/>
      <c r="F1400" s="821" t="n"/>
      <c r="G1400" s="821" t="n"/>
      <c r="H1400" s="818">
        <f>IF(G1400=1,F1400-I1400-J1400-K1400,IF(G1400=2,F1400,0))</f>
        <v>0</v>
      </c>
      <c r="I1400" s="818">
        <f>ROUND(IF(G1400=1,F1400*10/23,IF(G1400=3,F1400-J1400-K1400,IF(G1400=4,F1400,IF(G1400=5,F1400*10/11,IF(G1400=7,F1400*10/11,0))))),0)</f>
        <v>0</v>
      </c>
      <c r="J1400" s="818">
        <f>ROUND(IF(G1400=1,F1400/23,IF(G1400=3,F1400/12,IF(G1400=5,F1400-I1400,IF(G1400=8,F1400,0)))),0)</f>
        <v>0</v>
      </c>
      <c r="K1400" s="819">
        <f>ROUND(IF(G1400=1,F1400/23,IF(G1400=3,F1400/12,IF(G1400=6,F1400,IF(G1400=7,F1400-I1400,0)))),0)</f>
        <v>0</v>
      </c>
      <c r="L1400" s="820">
        <f>IF(G1400=6,F1400,0)</f>
        <v>0</v>
      </c>
      <c r="P1400" s="768" t="n"/>
      <c r="Q1400" s="769" t="str">
        <f>IF($F1400="","",IFERROR(VLOOKUP($C1400&amp;"|"&amp;$D1400,科目表!$A$5:$B$200,2,FALSE),"※未登録"))</f>
        <v/>
      </c>
      <c r="R1400" s="769" t="str">
        <f>IF($F1400="","",$I1400+$J1400+$K1400)</f>
        <v/>
      </c>
      <c r="S1400" s="769" t="str">
        <f>IF(OR($F1400="",$P1400="支払なし",$H1400=0,$Q1400=""),"",$Q1400&amp;"|S|"&amp;(COUNTIF(S$4:S1399,$Q1400&amp;"|S|*")+1))</f>
        <v/>
      </c>
      <c r="T1400" s="769" t="str">
        <f>IF(OR($F1400="",$P1400="支払なし",$R1400=0,$Q1400=""),"",$Q1400&amp;"|L|"&amp;(COUNTIF(T$4:T1399,$Q1400&amp;"|L|*")+1))</f>
        <v/>
      </c>
      <c r="U1400" s="769" t="str">
        <f>IF($F1400="","",13)</f>
        <v/>
      </c>
    </row>
    <row r="1401" ht="16.5" customHeight="1" s="186">
      <c r="A1401" s="760" t="n"/>
      <c r="B1401" s="760" t="n"/>
      <c r="C1401" s="762" t="n"/>
      <c r="D1401" s="762" t="n"/>
      <c r="E1401" s="775" t="n"/>
      <c r="F1401" s="821" t="n"/>
      <c r="G1401" s="821" t="n"/>
      <c r="H1401" s="818">
        <f>IF(G1401=1,F1401-I1401-J1401-K1401,IF(G1401=2,F1401,0))</f>
        <v>0</v>
      </c>
      <c r="I1401" s="818">
        <f>ROUND(IF(G1401=1,F1401*10/23,IF(G1401=3,F1401-J1401-K1401,IF(G1401=4,F1401,IF(G1401=5,F1401*10/11,IF(G1401=7,F1401*10/11,0))))),0)</f>
        <v>0</v>
      </c>
      <c r="J1401" s="818">
        <f>ROUND(IF(G1401=1,F1401/23,IF(G1401=3,F1401/12,IF(G1401=5,F1401-I1401,IF(G1401=8,F1401,0)))),0)</f>
        <v>0</v>
      </c>
      <c r="K1401" s="819">
        <f>ROUND(IF(G1401=1,F1401/23,IF(G1401=3,F1401/12,IF(G1401=6,F1401,IF(G1401=7,F1401-I1401,0)))),0)</f>
        <v>0</v>
      </c>
      <c r="L1401" s="820">
        <f>IF(G1401=6,F1401,0)</f>
        <v>0</v>
      </c>
      <c r="P1401" s="768" t="n"/>
      <c r="Q1401" s="769" t="str">
        <f>IF($F1401="","",IFERROR(VLOOKUP($C1401&amp;"|"&amp;$D1401,科目表!$A$5:$B$200,2,FALSE),"※未登録"))</f>
        <v/>
      </c>
      <c r="R1401" s="769" t="str">
        <f>IF($F1401="","",$I1401+$J1401+$K1401)</f>
        <v/>
      </c>
      <c r="S1401" s="769" t="str">
        <f>IF(OR($F1401="",$P1401="支払なし",$H1401=0,$Q1401=""),"",$Q1401&amp;"|S|"&amp;(COUNTIF(S$4:S1400,$Q1401&amp;"|S|*")+1))</f>
        <v/>
      </c>
      <c r="T1401" s="769" t="str">
        <f>IF(OR($F1401="",$P1401="支払なし",$R1401=0,$Q1401=""),"",$Q1401&amp;"|L|"&amp;(COUNTIF(T$4:T1400,$Q1401&amp;"|L|*")+1))</f>
        <v/>
      </c>
      <c r="U1401" s="769" t="str">
        <f>IF($F1401="","",13)</f>
        <v/>
      </c>
    </row>
    <row r="1402" ht="16.5" customHeight="1" s="186">
      <c r="A1402" s="760" t="n"/>
      <c r="B1402" s="760" t="n"/>
      <c r="C1402" s="762" t="n"/>
      <c r="D1402" s="762" t="n"/>
      <c r="E1402" s="775" t="n"/>
      <c r="F1402" s="821" t="n"/>
      <c r="G1402" s="821" t="n"/>
      <c r="H1402" s="818">
        <f>IF(G1402=1,F1402-I1402-J1402-K1402,IF(G1402=2,F1402,0))</f>
        <v>0</v>
      </c>
      <c r="I1402" s="818">
        <f>ROUND(IF(G1402=1,F1402*10/23,IF(G1402=3,F1402-J1402-K1402,IF(G1402=4,F1402,IF(G1402=5,F1402*10/11,IF(G1402=7,F1402*10/11,0))))),0)</f>
        <v>0</v>
      </c>
      <c r="J1402" s="818">
        <f>ROUND(IF(G1402=1,F1402/23,IF(G1402=3,F1402/12,IF(G1402=5,F1402-I1402,IF(G1402=8,F1402,0)))),0)</f>
        <v>0</v>
      </c>
      <c r="K1402" s="819">
        <f>ROUND(IF(G1402=1,F1402/23,IF(G1402=3,F1402/12,IF(G1402=6,F1402,IF(G1402=7,F1402-I1402,0)))),0)</f>
        <v>0</v>
      </c>
      <c r="L1402" s="820">
        <f>IF(G1402=6,F1402,0)</f>
        <v>0</v>
      </c>
      <c r="P1402" s="768" t="n"/>
      <c r="Q1402" s="769" t="str">
        <f>IF($F1402="","",IFERROR(VLOOKUP($C1402&amp;"|"&amp;$D1402,科目表!$A$5:$B$200,2,FALSE),"※未登録"))</f>
        <v/>
      </c>
      <c r="R1402" s="769" t="str">
        <f>IF($F1402="","",$I1402+$J1402+$K1402)</f>
        <v/>
      </c>
      <c r="S1402" s="769" t="str">
        <f>IF(OR($F1402="",$P1402="支払なし",$H1402=0,$Q1402=""),"",$Q1402&amp;"|S|"&amp;(COUNTIF(S$4:S1401,$Q1402&amp;"|S|*")+1))</f>
        <v/>
      </c>
      <c r="T1402" s="769" t="str">
        <f>IF(OR($F1402="",$P1402="支払なし",$R1402=0,$Q1402=""),"",$Q1402&amp;"|L|"&amp;(COUNTIF(T$4:T1401,$Q1402&amp;"|L|*")+1))</f>
        <v/>
      </c>
      <c r="U1402" s="769" t="str">
        <f>IF($F1402="","",13)</f>
        <v/>
      </c>
    </row>
    <row r="1403" ht="16.5" customHeight="1" s="186">
      <c r="A1403" s="760" t="n"/>
      <c r="B1403" s="760" t="n"/>
      <c r="C1403" s="762" t="n"/>
      <c r="D1403" s="762" t="n"/>
      <c r="E1403" s="775" t="n"/>
      <c r="F1403" s="821" t="n"/>
      <c r="G1403" s="821" t="n"/>
      <c r="H1403" s="818">
        <f>IF(G1403=1,F1403-I1403-J1403-K1403,IF(G1403=2,F1403,0))</f>
        <v>0</v>
      </c>
      <c r="I1403" s="818">
        <f>ROUND(IF(G1403=1,F1403*10/23,IF(G1403=3,F1403-J1403-K1403,IF(G1403=4,F1403,IF(G1403=5,F1403*10/11,IF(G1403=7,F1403*10/11,0))))),0)</f>
        <v>0</v>
      </c>
      <c r="J1403" s="818">
        <f>ROUND(IF(G1403=1,F1403/23,IF(G1403=3,F1403/12,IF(G1403=5,F1403-I1403,IF(G1403=8,F1403,0)))),0)</f>
        <v>0</v>
      </c>
      <c r="K1403" s="819">
        <f>ROUND(IF(G1403=1,F1403/23,IF(G1403=3,F1403/12,IF(G1403=6,F1403,IF(G1403=7,F1403-I1403,0)))),0)</f>
        <v>0</v>
      </c>
      <c r="L1403" s="820">
        <f>IF(G1403=6,F1403,0)</f>
        <v>0</v>
      </c>
      <c r="P1403" s="768" t="n"/>
      <c r="Q1403" s="769" t="str">
        <f>IF($F1403="","",IFERROR(VLOOKUP($C1403&amp;"|"&amp;$D1403,科目表!$A$5:$B$200,2,FALSE),"※未登録"))</f>
        <v/>
      </c>
      <c r="R1403" s="769" t="str">
        <f>IF($F1403="","",$I1403+$J1403+$K1403)</f>
        <v/>
      </c>
      <c r="S1403" s="769" t="str">
        <f>IF(OR($F1403="",$P1403="支払なし",$H1403=0,$Q1403=""),"",$Q1403&amp;"|S|"&amp;(COUNTIF(S$4:S1402,$Q1403&amp;"|S|*")+1))</f>
        <v/>
      </c>
      <c r="T1403" s="769" t="str">
        <f>IF(OR($F1403="",$P1403="支払なし",$R1403=0,$Q1403=""),"",$Q1403&amp;"|L|"&amp;(COUNTIF(T$4:T1402,$Q1403&amp;"|L|*")+1))</f>
        <v/>
      </c>
      <c r="U1403" s="769" t="str">
        <f>IF($F1403="","",13)</f>
        <v/>
      </c>
    </row>
    <row r="1404" ht="16.5" customHeight="1" s="186">
      <c r="A1404" s="760" t="n"/>
      <c r="B1404" s="760" t="n"/>
      <c r="C1404" s="762" t="n"/>
      <c r="D1404" s="762" t="n"/>
      <c r="E1404" s="775" t="n"/>
      <c r="F1404" s="821" t="n"/>
      <c r="G1404" s="821" t="n"/>
      <c r="H1404" s="818">
        <f>IF(G1404=1,F1404-I1404-J1404-K1404,IF(G1404=2,F1404,0))</f>
        <v>0</v>
      </c>
      <c r="I1404" s="818">
        <f>ROUND(IF(G1404=1,F1404*10/23,IF(G1404=3,F1404-J1404-K1404,IF(G1404=4,F1404,IF(G1404=5,F1404*10/11,IF(G1404=7,F1404*10/11,0))))),0)</f>
        <v>0</v>
      </c>
      <c r="J1404" s="818">
        <f>ROUND(IF(G1404=1,F1404/23,IF(G1404=3,F1404/12,IF(G1404=5,F1404-I1404,IF(G1404=8,F1404,0)))),0)</f>
        <v>0</v>
      </c>
      <c r="K1404" s="819">
        <f>ROUND(IF(G1404=1,F1404/23,IF(G1404=3,F1404/12,IF(G1404=6,F1404,IF(G1404=7,F1404-I1404,0)))),0)</f>
        <v>0</v>
      </c>
      <c r="L1404" s="820">
        <f>IF(G1404=6,F1404,0)</f>
        <v>0</v>
      </c>
      <c r="P1404" s="768" t="n"/>
      <c r="Q1404" s="769" t="str">
        <f>IF($F1404="","",IFERROR(VLOOKUP($C1404&amp;"|"&amp;$D1404,科目表!$A$5:$B$200,2,FALSE),"※未登録"))</f>
        <v/>
      </c>
      <c r="R1404" s="769" t="str">
        <f>IF($F1404="","",$I1404+$J1404+$K1404)</f>
        <v/>
      </c>
      <c r="S1404" s="769" t="str">
        <f>IF(OR($F1404="",$P1404="支払なし",$H1404=0,$Q1404=""),"",$Q1404&amp;"|S|"&amp;(COUNTIF(S$4:S1403,$Q1404&amp;"|S|*")+1))</f>
        <v/>
      </c>
      <c r="T1404" s="769" t="str">
        <f>IF(OR($F1404="",$P1404="支払なし",$R1404=0,$Q1404=""),"",$Q1404&amp;"|L|"&amp;(COUNTIF(T$4:T1403,$Q1404&amp;"|L|*")+1))</f>
        <v/>
      </c>
      <c r="U1404" s="769" t="str">
        <f>IF($F1404="","",13)</f>
        <v/>
      </c>
    </row>
    <row r="1405" ht="16.5" customHeight="1" s="186">
      <c r="A1405" s="760" t="n"/>
      <c r="B1405" s="760" t="n"/>
      <c r="C1405" s="762" t="n"/>
      <c r="D1405" s="762" t="n"/>
      <c r="E1405" s="775" t="n"/>
      <c r="F1405" s="821" t="n"/>
      <c r="G1405" s="821" t="n"/>
      <c r="H1405" s="818">
        <f>IF(G1405=1,F1405-I1405-J1405-K1405,IF(G1405=2,F1405,0))</f>
        <v>0</v>
      </c>
      <c r="I1405" s="818">
        <f>ROUND(IF(G1405=1,F1405*10/23,IF(G1405=3,F1405-J1405-K1405,IF(G1405=4,F1405,IF(G1405=5,F1405*10/11,IF(G1405=7,F1405*10/11,0))))),0)</f>
        <v>0</v>
      </c>
      <c r="J1405" s="818">
        <f>ROUND(IF(G1405=1,F1405/23,IF(G1405=3,F1405/12,IF(G1405=5,F1405-I1405,IF(G1405=8,F1405,0)))),0)</f>
        <v>0</v>
      </c>
      <c r="K1405" s="819">
        <f>ROUND(IF(G1405=1,F1405/23,IF(G1405=3,F1405/12,IF(G1405=6,F1405,IF(G1405=7,F1405-I1405,0)))),0)</f>
        <v>0</v>
      </c>
      <c r="L1405" s="820">
        <f>IF(G1405=6,F1405,0)</f>
        <v>0</v>
      </c>
      <c r="P1405" s="768" t="n"/>
      <c r="Q1405" s="769" t="str">
        <f>IF($F1405="","",IFERROR(VLOOKUP($C1405&amp;"|"&amp;$D1405,科目表!$A$5:$B$200,2,FALSE),"※未登録"))</f>
        <v/>
      </c>
      <c r="R1405" s="769" t="str">
        <f>IF($F1405="","",$I1405+$J1405+$K1405)</f>
        <v/>
      </c>
      <c r="S1405" s="769" t="str">
        <f>IF(OR($F1405="",$P1405="支払なし",$H1405=0,$Q1405=""),"",$Q1405&amp;"|S|"&amp;(COUNTIF(S$4:S1404,$Q1405&amp;"|S|*")+1))</f>
        <v/>
      </c>
      <c r="T1405" s="769" t="str">
        <f>IF(OR($F1405="",$P1405="支払なし",$R1405=0,$Q1405=""),"",$Q1405&amp;"|L|"&amp;(COUNTIF(T$4:T1404,$Q1405&amp;"|L|*")+1))</f>
        <v/>
      </c>
      <c r="U1405" s="769" t="str">
        <f>IF($F1405="","",13)</f>
        <v/>
      </c>
    </row>
    <row r="1406" ht="16.5" customHeight="1" s="186">
      <c r="A1406" s="760" t="n"/>
      <c r="B1406" s="760" t="n"/>
      <c r="C1406" s="762" t="n"/>
      <c r="D1406" s="762" t="n"/>
      <c r="E1406" s="775" t="n"/>
      <c r="F1406" s="821" t="n"/>
      <c r="G1406" s="821" t="n"/>
      <c r="H1406" s="818">
        <f>IF(G1406=1,F1406-I1406-J1406-K1406,IF(G1406=2,F1406,0))</f>
        <v>0</v>
      </c>
      <c r="I1406" s="818">
        <f>ROUND(IF(G1406=1,F1406*10/23,IF(G1406=3,F1406-J1406-K1406,IF(G1406=4,F1406,IF(G1406=5,F1406*10/11,IF(G1406=7,F1406*10/11,0))))),0)</f>
        <v>0</v>
      </c>
      <c r="J1406" s="818">
        <f>ROUND(IF(G1406=1,F1406/23,IF(G1406=3,F1406/12,IF(G1406=5,F1406-I1406,IF(G1406=8,F1406,0)))),0)</f>
        <v>0</v>
      </c>
      <c r="K1406" s="819">
        <f>ROUND(IF(G1406=1,F1406/23,IF(G1406=3,F1406/12,IF(G1406=6,F1406,IF(G1406=7,F1406-I1406,0)))),0)</f>
        <v>0</v>
      </c>
      <c r="L1406" s="820">
        <f>IF(G1406=6,F1406,0)</f>
        <v>0</v>
      </c>
      <c r="P1406" s="768" t="n"/>
      <c r="Q1406" s="769" t="str">
        <f>IF($F1406="","",IFERROR(VLOOKUP($C1406&amp;"|"&amp;$D1406,科目表!$A$5:$B$200,2,FALSE),"※未登録"))</f>
        <v/>
      </c>
      <c r="R1406" s="769" t="str">
        <f>IF($F1406="","",$I1406+$J1406+$K1406)</f>
        <v/>
      </c>
      <c r="S1406" s="769" t="str">
        <f>IF(OR($F1406="",$P1406="支払なし",$H1406=0,$Q1406=""),"",$Q1406&amp;"|S|"&amp;(COUNTIF(S$4:S1405,$Q1406&amp;"|S|*")+1))</f>
        <v/>
      </c>
      <c r="T1406" s="769" t="str">
        <f>IF(OR($F1406="",$P1406="支払なし",$R1406=0,$Q1406=""),"",$Q1406&amp;"|L|"&amp;(COUNTIF(T$4:T1405,$Q1406&amp;"|L|*")+1))</f>
        <v/>
      </c>
      <c r="U1406" s="769" t="str">
        <f>IF($F1406="","",13)</f>
        <v/>
      </c>
    </row>
    <row r="1407" ht="16.5" customHeight="1" s="186">
      <c r="A1407" s="760" t="n"/>
      <c r="B1407" s="760" t="n"/>
      <c r="C1407" s="762" t="n"/>
      <c r="D1407" s="762" t="n"/>
      <c r="E1407" s="775" t="n"/>
      <c r="F1407" s="821" t="n"/>
      <c r="G1407" s="821" t="n"/>
      <c r="H1407" s="818">
        <f>IF(G1407=1,F1407-I1407-J1407-K1407,IF(G1407=2,F1407,0))</f>
        <v>0</v>
      </c>
      <c r="I1407" s="818">
        <f>ROUND(IF(G1407=1,F1407*10/23,IF(G1407=3,F1407-J1407-K1407,IF(G1407=4,F1407,IF(G1407=5,F1407*10/11,IF(G1407=7,F1407*10/11,0))))),0)</f>
        <v>0</v>
      </c>
      <c r="J1407" s="818">
        <f>ROUND(IF(G1407=1,F1407/23,IF(G1407=3,F1407/12,IF(G1407=5,F1407-I1407,IF(G1407=8,F1407,0)))),0)</f>
        <v>0</v>
      </c>
      <c r="K1407" s="819">
        <f>ROUND(IF(G1407=1,F1407/23,IF(G1407=3,F1407/12,IF(G1407=6,F1407,IF(G1407=7,F1407-I1407,0)))),0)</f>
        <v>0</v>
      </c>
      <c r="L1407" s="820">
        <f>IF(G1407=6,F1407,0)</f>
        <v>0</v>
      </c>
      <c r="P1407" s="768" t="n"/>
      <c r="Q1407" s="769" t="str">
        <f>IF($F1407="","",IFERROR(VLOOKUP($C1407&amp;"|"&amp;$D1407,科目表!$A$5:$B$200,2,FALSE),"※未登録"))</f>
        <v/>
      </c>
      <c r="R1407" s="769" t="str">
        <f>IF($F1407="","",$I1407+$J1407+$K1407)</f>
        <v/>
      </c>
      <c r="S1407" s="769" t="str">
        <f>IF(OR($F1407="",$P1407="支払なし",$H1407=0,$Q1407=""),"",$Q1407&amp;"|S|"&amp;(COUNTIF(S$4:S1406,$Q1407&amp;"|S|*")+1))</f>
        <v/>
      </c>
      <c r="T1407" s="769" t="str">
        <f>IF(OR($F1407="",$P1407="支払なし",$R1407=0,$Q1407=""),"",$Q1407&amp;"|L|"&amp;(COUNTIF(T$4:T1406,$Q1407&amp;"|L|*")+1))</f>
        <v/>
      </c>
      <c r="U1407" s="769" t="str">
        <f>IF($F1407="","",13)</f>
        <v/>
      </c>
    </row>
    <row r="1408" ht="16.5" customHeight="1" s="186">
      <c r="A1408" s="760" t="n"/>
      <c r="B1408" s="760" t="n"/>
      <c r="C1408" s="762" t="n"/>
      <c r="D1408" s="762" t="n"/>
      <c r="E1408" s="775" t="n"/>
      <c r="F1408" s="821" t="n"/>
      <c r="G1408" s="821" t="n"/>
      <c r="H1408" s="818">
        <f>IF(G1408=1,F1408-I1408-J1408-K1408,IF(G1408=2,F1408,0))</f>
        <v>0</v>
      </c>
      <c r="I1408" s="818">
        <f>ROUND(IF(G1408=1,F1408*10/23,IF(G1408=3,F1408-J1408-K1408,IF(G1408=4,F1408,IF(G1408=5,F1408*10/11,IF(G1408=7,F1408*10/11,0))))),0)</f>
        <v>0</v>
      </c>
      <c r="J1408" s="818">
        <f>ROUND(IF(G1408=1,F1408/23,IF(G1408=3,F1408/12,IF(G1408=5,F1408-I1408,IF(G1408=8,F1408,0)))),0)</f>
        <v>0</v>
      </c>
      <c r="K1408" s="819">
        <f>ROUND(IF(G1408=1,F1408/23,IF(G1408=3,F1408/12,IF(G1408=6,F1408,IF(G1408=7,F1408-I1408,0)))),0)</f>
        <v>0</v>
      </c>
      <c r="L1408" s="820">
        <f>IF(G1408=6,F1408,0)</f>
        <v>0</v>
      </c>
      <c r="P1408" s="768" t="n"/>
      <c r="Q1408" s="769" t="str">
        <f>IF($F1408="","",IFERROR(VLOOKUP($C1408&amp;"|"&amp;$D1408,科目表!$A$5:$B$200,2,FALSE),"※未登録"))</f>
        <v/>
      </c>
      <c r="R1408" s="769" t="str">
        <f>IF($F1408="","",$I1408+$J1408+$K1408)</f>
        <v/>
      </c>
      <c r="S1408" s="769" t="str">
        <f>IF(OR($F1408="",$P1408="支払なし",$H1408=0,$Q1408=""),"",$Q1408&amp;"|S|"&amp;(COUNTIF(S$4:S1407,$Q1408&amp;"|S|*")+1))</f>
        <v/>
      </c>
      <c r="T1408" s="769" t="str">
        <f>IF(OR($F1408="",$P1408="支払なし",$R1408=0,$Q1408=""),"",$Q1408&amp;"|L|"&amp;(COUNTIF(T$4:T1407,$Q1408&amp;"|L|*")+1))</f>
        <v/>
      </c>
      <c r="U1408" s="769" t="str">
        <f>IF($F1408="","",13)</f>
        <v/>
      </c>
    </row>
    <row r="1409" ht="16.5" customHeight="1" s="186">
      <c r="A1409" s="760" t="n"/>
      <c r="B1409" s="760" t="n"/>
      <c r="C1409" s="762" t="n"/>
      <c r="D1409" s="762" t="n"/>
      <c r="E1409" s="775" t="n"/>
      <c r="F1409" s="821" t="n"/>
      <c r="G1409" s="821" t="n"/>
      <c r="H1409" s="818">
        <f>IF(G1409=1,F1409-I1409-J1409-K1409,IF(G1409=2,F1409,0))</f>
        <v>0</v>
      </c>
      <c r="I1409" s="818">
        <f>ROUND(IF(G1409=1,F1409*10/23,IF(G1409=3,F1409-J1409-K1409,IF(G1409=4,F1409,IF(G1409=5,F1409*10/11,IF(G1409=7,F1409*10/11,0))))),0)</f>
        <v>0</v>
      </c>
      <c r="J1409" s="818">
        <f>ROUND(IF(G1409=1,F1409/23,IF(G1409=3,F1409/12,IF(G1409=5,F1409-I1409,IF(G1409=8,F1409,0)))),0)</f>
        <v>0</v>
      </c>
      <c r="K1409" s="819">
        <f>ROUND(IF(G1409=1,F1409/23,IF(G1409=3,F1409/12,IF(G1409=6,F1409,IF(G1409=7,F1409-I1409,0)))),0)</f>
        <v>0</v>
      </c>
      <c r="L1409" s="820">
        <f>IF(G1409=6,F1409,0)</f>
        <v>0</v>
      </c>
      <c r="P1409" s="768" t="n"/>
      <c r="Q1409" s="769" t="str">
        <f>IF($F1409="","",IFERROR(VLOOKUP($C1409&amp;"|"&amp;$D1409,科目表!$A$5:$B$200,2,FALSE),"※未登録"))</f>
        <v/>
      </c>
      <c r="R1409" s="769" t="str">
        <f>IF($F1409="","",$I1409+$J1409+$K1409)</f>
        <v/>
      </c>
      <c r="S1409" s="769" t="str">
        <f>IF(OR($F1409="",$P1409="支払なし",$H1409=0,$Q1409=""),"",$Q1409&amp;"|S|"&amp;(COUNTIF(S$4:S1408,$Q1409&amp;"|S|*")+1))</f>
        <v/>
      </c>
      <c r="T1409" s="769" t="str">
        <f>IF(OR($F1409="",$P1409="支払なし",$R1409=0,$Q1409=""),"",$Q1409&amp;"|L|"&amp;(COUNTIF(T$4:T1408,$Q1409&amp;"|L|*")+1))</f>
        <v/>
      </c>
      <c r="U1409" s="769" t="str">
        <f>IF($F1409="","",13)</f>
        <v/>
      </c>
    </row>
    <row r="1410" ht="16.5" customHeight="1" s="186">
      <c r="A1410" s="760" t="n"/>
      <c r="B1410" s="760" t="n"/>
      <c r="C1410" s="762" t="n"/>
      <c r="D1410" s="762" t="n"/>
      <c r="E1410" s="775" t="n"/>
      <c r="F1410" s="821" t="n"/>
      <c r="G1410" s="821" t="n"/>
      <c r="H1410" s="818">
        <f>IF(G1410=1,F1410-I1410-J1410-K1410,IF(G1410=2,F1410,0))</f>
        <v>0</v>
      </c>
      <c r="I1410" s="818">
        <f>ROUND(IF(G1410=1,F1410*10/23,IF(G1410=3,F1410-J1410-K1410,IF(G1410=4,F1410,IF(G1410=5,F1410*10/11,IF(G1410=7,F1410*10/11,0))))),0)</f>
        <v>0</v>
      </c>
      <c r="J1410" s="818">
        <f>ROUND(IF(G1410=1,F1410/23,IF(G1410=3,F1410/12,IF(G1410=5,F1410-I1410,IF(G1410=8,F1410,0)))),0)</f>
        <v>0</v>
      </c>
      <c r="K1410" s="819">
        <f>ROUND(IF(G1410=1,F1410/23,IF(G1410=3,F1410/12,IF(G1410=6,F1410,IF(G1410=7,F1410-I1410,0)))),0)</f>
        <v>0</v>
      </c>
      <c r="L1410" s="820">
        <f>IF(G1410=6,F1410,0)</f>
        <v>0</v>
      </c>
      <c r="P1410" s="768" t="n"/>
      <c r="Q1410" s="769" t="str">
        <f>IF($F1410="","",IFERROR(VLOOKUP($C1410&amp;"|"&amp;$D1410,科目表!$A$5:$B$200,2,FALSE),"※未登録"))</f>
        <v/>
      </c>
      <c r="R1410" s="769" t="str">
        <f>IF($F1410="","",$I1410+$J1410+$K1410)</f>
        <v/>
      </c>
      <c r="S1410" s="769" t="str">
        <f>IF(OR($F1410="",$P1410="支払なし",$H1410=0,$Q1410=""),"",$Q1410&amp;"|S|"&amp;(COUNTIF(S$4:S1409,$Q1410&amp;"|S|*")+1))</f>
        <v/>
      </c>
      <c r="T1410" s="769" t="str">
        <f>IF(OR($F1410="",$P1410="支払なし",$R1410=0,$Q1410=""),"",$Q1410&amp;"|L|"&amp;(COUNTIF(T$4:T1409,$Q1410&amp;"|L|*")+1))</f>
        <v/>
      </c>
      <c r="U1410" s="769" t="str">
        <f>IF($F1410="","",13)</f>
        <v/>
      </c>
    </row>
    <row r="1411" ht="16.5" customHeight="1" s="186">
      <c r="A1411" s="760" t="n"/>
      <c r="B1411" s="760" t="n"/>
      <c r="C1411" s="762" t="n"/>
      <c r="D1411" s="762" t="n"/>
      <c r="E1411" s="775" t="n"/>
      <c r="F1411" s="821" t="n"/>
      <c r="G1411" s="821" t="n"/>
      <c r="H1411" s="818">
        <f>IF(G1411=1,F1411-I1411-J1411-K1411,IF(G1411=2,F1411,0))</f>
        <v>0</v>
      </c>
      <c r="I1411" s="818">
        <f>ROUND(IF(G1411=1,F1411*10/23,IF(G1411=3,F1411-J1411-K1411,IF(G1411=4,F1411,IF(G1411=5,F1411*10/11,IF(G1411=7,F1411*10/11,0))))),0)</f>
        <v>0</v>
      </c>
      <c r="J1411" s="818">
        <f>ROUND(IF(G1411=1,F1411/23,IF(G1411=3,F1411/12,IF(G1411=5,F1411-I1411,IF(G1411=8,F1411,0)))),0)</f>
        <v>0</v>
      </c>
      <c r="K1411" s="819">
        <f>ROUND(IF(G1411=1,F1411/23,IF(G1411=3,F1411/12,IF(G1411=6,F1411,IF(G1411=7,F1411-I1411,0)))),0)</f>
        <v>0</v>
      </c>
      <c r="L1411" s="820">
        <f>IF(G1411=6,F1411,0)</f>
        <v>0</v>
      </c>
      <c r="P1411" s="768" t="n"/>
      <c r="Q1411" s="769" t="str">
        <f>IF($F1411="","",IFERROR(VLOOKUP($C1411&amp;"|"&amp;$D1411,科目表!$A$5:$B$200,2,FALSE),"※未登録"))</f>
        <v/>
      </c>
      <c r="R1411" s="769" t="str">
        <f>IF($F1411="","",$I1411+$J1411+$K1411)</f>
        <v/>
      </c>
      <c r="S1411" s="769" t="str">
        <f>IF(OR($F1411="",$P1411="支払なし",$H1411=0,$Q1411=""),"",$Q1411&amp;"|S|"&amp;(COUNTIF(S$4:S1410,$Q1411&amp;"|S|*")+1))</f>
        <v/>
      </c>
      <c r="T1411" s="769" t="str">
        <f>IF(OR($F1411="",$P1411="支払なし",$R1411=0,$Q1411=""),"",$Q1411&amp;"|L|"&amp;(COUNTIF(T$4:T1410,$Q1411&amp;"|L|*")+1))</f>
        <v/>
      </c>
      <c r="U1411" s="769" t="str">
        <f>IF($F1411="","",13)</f>
        <v/>
      </c>
    </row>
    <row r="1412" ht="16.5" customHeight="1" s="186">
      <c r="A1412" s="760" t="n"/>
      <c r="B1412" s="760" t="n"/>
      <c r="C1412" s="762" t="n"/>
      <c r="D1412" s="762" t="n"/>
      <c r="E1412" s="775" t="n"/>
      <c r="F1412" s="821" t="n"/>
      <c r="G1412" s="821" t="n"/>
      <c r="H1412" s="818">
        <f>IF(G1412=1,F1412-I1412-J1412-K1412,IF(G1412=2,F1412,0))</f>
        <v>0</v>
      </c>
      <c r="I1412" s="818">
        <f>ROUND(IF(G1412=1,F1412*10/23,IF(G1412=3,F1412-J1412-K1412,IF(G1412=4,F1412,IF(G1412=5,F1412*10/11,IF(G1412=7,F1412*10/11,0))))),0)</f>
        <v>0</v>
      </c>
      <c r="J1412" s="818">
        <f>ROUND(IF(G1412=1,F1412/23,IF(G1412=3,F1412/12,IF(G1412=5,F1412-I1412,IF(G1412=8,F1412,0)))),0)</f>
        <v>0</v>
      </c>
      <c r="K1412" s="819">
        <f>ROUND(IF(G1412=1,F1412/23,IF(G1412=3,F1412/12,IF(G1412=6,F1412,IF(G1412=7,F1412-I1412,0)))),0)</f>
        <v>0</v>
      </c>
      <c r="L1412" s="820">
        <f>IF(G1412=6,F1412,0)</f>
        <v>0</v>
      </c>
      <c r="P1412" s="768" t="n"/>
      <c r="Q1412" s="769" t="str">
        <f>IF($F1412="","",IFERROR(VLOOKUP($C1412&amp;"|"&amp;$D1412,科目表!$A$5:$B$200,2,FALSE),"※未登録"))</f>
        <v/>
      </c>
      <c r="R1412" s="769" t="str">
        <f>IF($F1412="","",$I1412+$J1412+$K1412)</f>
        <v/>
      </c>
      <c r="S1412" s="769" t="str">
        <f>IF(OR($F1412="",$P1412="支払なし",$H1412=0,$Q1412=""),"",$Q1412&amp;"|S|"&amp;(COUNTIF(S$4:S1411,$Q1412&amp;"|S|*")+1))</f>
        <v/>
      </c>
      <c r="T1412" s="769" t="str">
        <f>IF(OR($F1412="",$P1412="支払なし",$R1412=0,$Q1412=""),"",$Q1412&amp;"|L|"&amp;(COUNTIF(T$4:T1411,$Q1412&amp;"|L|*")+1))</f>
        <v/>
      </c>
      <c r="U1412" s="769" t="str">
        <f>IF($F1412="","",13)</f>
        <v/>
      </c>
    </row>
    <row r="1413" ht="16.5" customHeight="1" s="186">
      <c r="A1413" s="760" t="n"/>
      <c r="B1413" s="760" t="n"/>
      <c r="C1413" s="762" t="n"/>
      <c r="D1413" s="762" t="n"/>
      <c r="E1413" s="775" t="n"/>
      <c r="F1413" s="821" t="n"/>
      <c r="G1413" s="821" t="n"/>
      <c r="H1413" s="818">
        <f>IF(G1413=1,F1413-I1413-J1413-K1413,IF(G1413=2,F1413,0))</f>
        <v>0</v>
      </c>
      <c r="I1413" s="818">
        <f>ROUND(IF(G1413=1,F1413*10/23,IF(G1413=3,F1413-J1413-K1413,IF(G1413=4,F1413,IF(G1413=5,F1413*10/11,IF(G1413=7,F1413*10/11,0))))),0)</f>
        <v>0</v>
      </c>
      <c r="J1413" s="818">
        <f>ROUND(IF(G1413=1,F1413/23,IF(G1413=3,F1413/12,IF(G1413=5,F1413-I1413,IF(G1413=8,F1413,0)))),0)</f>
        <v>0</v>
      </c>
      <c r="K1413" s="819">
        <f>ROUND(IF(G1413=1,F1413/23,IF(G1413=3,F1413/12,IF(G1413=6,F1413,IF(G1413=7,F1413-I1413,0)))),0)</f>
        <v>0</v>
      </c>
      <c r="L1413" s="820">
        <f>IF(G1413=6,F1413,0)</f>
        <v>0</v>
      </c>
      <c r="P1413" s="768" t="n"/>
      <c r="Q1413" s="769" t="str">
        <f>IF($F1413="","",IFERROR(VLOOKUP($C1413&amp;"|"&amp;$D1413,科目表!$A$5:$B$200,2,FALSE),"※未登録"))</f>
        <v/>
      </c>
      <c r="R1413" s="769" t="str">
        <f>IF($F1413="","",$I1413+$J1413+$K1413)</f>
        <v/>
      </c>
      <c r="S1413" s="769" t="str">
        <f>IF(OR($F1413="",$P1413="支払なし",$H1413=0,$Q1413=""),"",$Q1413&amp;"|S|"&amp;(COUNTIF(S$4:S1412,$Q1413&amp;"|S|*")+1))</f>
        <v/>
      </c>
      <c r="T1413" s="769" t="str">
        <f>IF(OR($F1413="",$P1413="支払なし",$R1413=0,$Q1413=""),"",$Q1413&amp;"|L|"&amp;(COUNTIF(T$4:T1412,$Q1413&amp;"|L|*")+1))</f>
        <v/>
      </c>
      <c r="U1413" s="769" t="str">
        <f>IF($F1413="","",13)</f>
        <v/>
      </c>
    </row>
    <row r="1414" ht="16.5" customHeight="1" s="186">
      <c r="A1414" s="760" t="n"/>
      <c r="B1414" s="760" t="n"/>
      <c r="C1414" s="762" t="n"/>
      <c r="D1414" s="762" t="n"/>
      <c r="E1414" s="775" t="n"/>
      <c r="F1414" s="821" t="n"/>
      <c r="G1414" s="821" t="n"/>
      <c r="H1414" s="818">
        <f>IF(G1414=1,F1414-I1414-J1414-K1414,IF(G1414=2,F1414,0))</f>
        <v>0</v>
      </c>
      <c r="I1414" s="818">
        <f>ROUND(IF(G1414=1,F1414*10/23,IF(G1414=3,F1414-J1414-K1414,IF(G1414=4,F1414,IF(G1414=5,F1414*10/11,IF(G1414=7,F1414*10/11,0))))),0)</f>
        <v>0</v>
      </c>
      <c r="J1414" s="818">
        <f>ROUND(IF(G1414=1,F1414/23,IF(G1414=3,F1414/12,IF(G1414=5,F1414-I1414,IF(G1414=8,F1414,0)))),0)</f>
        <v>0</v>
      </c>
      <c r="K1414" s="819">
        <f>ROUND(IF(G1414=1,F1414/23,IF(G1414=3,F1414/12,IF(G1414=6,F1414,IF(G1414=7,F1414-I1414,0)))),0)</f>
        <v>0</v>
      </c>
      <c r="L1414" s="820">
        <f>IF(G1414=6,F1414,0)</f>
        <v>0</v>
      </c>
      <c r="P1414" s="768" t="n"/>
      <c r="Q1414" s="769" t="str">
        <f>IF($F1414="","",IFERROR(VLOOKUP($C1414&amp;"|"&amp;$D1414,科目表!$A$5:$B$200,2,FALSE),"※未登録"))</f>
        <v/>
      </c>
      <c r="R1414" s="769" t="str">
        <f>IF($F1414="","",$I1414+$J1414+$K1414)</f>
        <v/>
      </c>
      <c r="S1414" s="769" t="str">
        <f>IF(OR($F1414="",$P1414="支払なし",$H1414=0,$Q1414=""),"",$Q1414&amp;"|S|"&amp;(COUNTIF(S$4:S1413,$Q1414&amp;"|S|*")+1))</f>
        <v/>
      </c>
      <c r="T1414" s="769" t="str">
        <f>IF(OR($F1414="",$P1414="支払なし",$R1414=0,$Q1414=""),"",$Q1414&amp;"|L|"&amp;(COUNTIF(T$4:T1413,$Q1414&amp;"|L|*")+1))</f>
        <v/>
      </c>
      <c r="U1414" s="769" t="str">
        <f>IF($F1414="","",13)</f>
        <v/>
      </c>
    </row>
    <row r="1415" ht="16.5" customHeight="1" s="186">
      <c r="A1415" s="760" t="n"/>
      <c r="B1415" s="760" t="n"/>
      <c r="C1415" s="762" t="n"/>
      <c r="D1415" s="762" t="n"/>
      <c r="E1415" s="775" t="n"/>
      <c r="F1415" s="821" t="n"/>
      <c r="G1415" s="821" t="n"/>
      <c r="H1415" s="818">
        <f>IF(G1415=1,F1415-I1415-J1415-K1415,IF(G1415=2,F1415,0))</f>
        <v>0</v>
      </c>
      <c r="I1415" s="818">
        <f>ROUND(IF(G1415=1,F1415*10/23,IF(G1415=3,F1415-J1415-K1415,IF(G1415=4,F1415,IF(G1415=5,F1415*10/11,IF(G1415=7,F1415*10/11,0))))),0)</f>
        <v>0</v>
      </c>
      <c r="J1415" s="818">
        <f>ROUND(IF(G1415=1,F1415/23,IF(G1415=3,F1415/12,IF(G1415=5,F1415-I1415,IF(G1415=8,F1415,0)))),0)</f>
        <v>0</v>
      </c>
      <c r="K1415" s="819">
        <f>ROUND(IF(G1415=1,F1415/23,IF(G1415=3,F1415/12,IF(G1415=6,F1415,IF(G1415=7,F1415-I1415,0)))),0)</f>
        <v>0</v>
      </c>
      <c r="L1415" s="820">
        <f>IF(G1415=6,F1415,0)</f>
        <v>0</v>
      </c>
      <c r="P1415" s="768" t="n"/>
      <c r="Q1415" s="769" t="str">
        <f>IF($F1415="","",IFERROR(VLOOKUP($C1415&amp;"|"&amp;$D1415,科目表!$A$5:$B$200,2,FALSE),"※未登録"))</f>
        <v/>
      </c>
      <c r="R1415" s="769" t="str">
        <f>IF($F1415="","",$I1415+$J1415+$K1415)</f>
        <v/>
      </c>
      <c r="S1415" s="769" t="str">
        <f>IF(OR($F1415="",$P1415="支払なし",$H1415=0,$Q1415=""),"",$Q1415&amp;"|S|"&amp;(COUNTIF(S$4:S1414,$Q1415&amp;"|S|*")+1))</f>
        <v/>
      </c>
      <c r="T1415" s="769" t="str">
        <f>IF(OR($F1415="",$P1415="支払なし",$R1415=0,$Q1415=""),"",$Q1415&amp;"|L|"&amp;(COUNTIF(T$4:T1414,$Q1415&amp;"|L|*")+1))</f>
        <v/>
      </c>
      <c r="U1415" s="769" t="str">
        <f>IF($F1415="","",13)</f>
        <v/>
      </c>
    </row>
    <row r="1416" ht="16.5" customHeight="1" s="186">
      <c r="A1416" s="760" t="n"/>
      <c r="B1416" s="760" t="n"/>
      <c r="C1416" s="762" t="n"/>
      <c r="D1416" s="762" t="n"/>
      <c r="E1416" s="775" t="n"/>
      <c r="F1416" s="821" t="n"/>
      <c r="G1416" s="821" t="n"/>
      <c r="H1416" s="818">
        <f>IF(G1416=1,F1416-I1416-J1416-K1416,IF(G1416=2,F1416,0))</f>
        <v>0</v>
      </c>
      <c r="I1416" s="818">
        <f>ROUND(IF(G1416=1,F1416*10/23,IF(G1416=3,F1416-J1416-K1416,IF(G1416=4,F1416,IF(G1416=5,F1416*10/11,IF(G1416=7,F1416*10/11,0))))),0)</f>
        <v>0</v>
      </c>
      <c r="J1416" s="818">
        <f>ROUND(IF(G1416=1,F1416/23,IF(G1416=3,F1416/12,IF(G1416=5,F1416-I1416,IF(G1416=8,F1416,0)))),0)</f>
        <v>0</v>
      </c>
      <c r="K1416" s="819">
        <f>ROUND(IF(G1416=1,F1416/23,IF(G1416=3,F1416/12,IF(G1416=6,F1416,IF(G1416=7,F1416-I1416,0)))),0)</f>
        <v>0</v>
      </c>
      <c r="L1416" s="820">
        <f>IF(G1416=6,F1416,0)</f>
        <v>0</v>
      </c>
      <c r="P1416" s="768" t="n"/>
      <c r="Q1416" s="769" t="str">
        <f>IF($F1416="","",IFERROR(VLOOKUP($C1416&amp;"|"&amp;$D1416,科目表!$A$5:$B$200,2,FALSE),"※未登録"))</f>
        <v/>
      </c>
      <c r="R1416" s="769" t="str">
        <f>IF($F1416="","",$I1416+$J1416+$K1416)</f>
        <v/>
      </c>
      <c r="S1416" s="769" t="str">
        <f>IF(OR($F1416="",$P1416="支払なし",$H1416=0,$Q1416=""),"",$Q1416&amp;"|S|"&amp;(COUNTIF(S$4:S1415,$Q1416&amp;"|S|*")+1))</f>
        <v/>
      </c>
      <c r="T1416" s="769" t="str">
        <f>IF(OR($F1416="",$P1416="支払なし",$R1416=0,$Q1416=""),"",$Q1416&amp;"|L|"&amp;(COUNTIF(T$4:T1415,$Q1416&amp;"|L|*")+1))</f>
        <v/>
      </c>
      <c r="U1416" s="769" t="str">
        <f>IF($F1416="","",13)</f>
        <v/>
      </c>
    </row>
    <row r="1417" ht="16.5" customHeight="1" s="186">
      <c r="A1417" s="760" t="n"/>
      <c r="B1417" s="760" t="n"/>
      <c r="C1417" s="762" t="n"/>
      <c r="D1417" s="762" t="n"/>
      <c r="E1417" s="775" t="n"/>
      <c r="F1417" s="821" t="n"/>
      <c r="G1417" s="821" t="n"/>
      <c r="H1417" s="818">
        <f>IF(G1417=1,F1417-I1417-J1417-K1417,IF(G1417=2,F1417,0))</f>
        <v>0</v>
      </c>
      <c r="I1417" s="818">
        <f>ROUND(IF(G1417=1,F1417*10/23,IF(G1417=3,F1417-J1417-K1417,IF(G1417=4,F1417,IF(G1417=5,F1417*10/11,IF(G1417=7,F1417*10/11,0))))),0)</f>
        <v>0</v>
      </c>
      <c r="J1417" s="818">
        <f>ROUND(IF(G1417=1,F1417/23,IF(G1417=3,F1417/12,IF(G1417=5,F1417-I1417,IF(G1417=8,F1417,0)))),0)</f>
        <v>0</v>
      </c>
      <c r="K1417" s="819">
        <f>ROUND(IF(G1417=1,F1417/23,IF(G1417=3,F1417/12,IF(G1417=6,F1417,IF(G1417=7,F1417-I1417,0)))),0)</f>
        <v>0</v>
      </c>
      <c r="L1417" s="820">
        <f>IF(G1417=6,F1417,0)</f>
        <v>0</v>
      </c>
      <c r="P1417" s="768" t="n"/>
      <c r="Q1417" s="769" t="str">
        <f>IF($F1417="","",IFERROR(VLOOKUP($C1417&amp;"|"&amp;$D1417,科目表!$A$5:$B$200,2,FALSE),"※未登録"))</f>
        <v/>
      </c>
      <c r="R1417" s="769" t="str">
        <f>IF($F1417="","",$I1417+$J1417+$K1417)</f>
        <v/>
      </c>
      <c r="S1417" s="769" t="str">
        <f>IF(OR($F1417="",$P1417="支払なし",$H1417=0,$Q1417=""),"",$Q1417&amp;"|S|"&amp;(COUNTIF(S$4:S1416,$Q1417&amp;"|S|*")+1))</f>
        <v/>
      </c>
      <c r="T1417" s="769" t="str">
        <f>IF(OR($F1417="",$P1417="支払なし",$R1417=0,$Q1417=""),"",$Q1417&amp;"|L|"&amp;(COUNTIF(T$4:T1416,$Q1417&amp;"|L|*")+1))</f>
        <v/>
      </c>
      <c r="U1417" s="769" t="str">
        <f>IF($F1417="","",13)</f>
        <v/>
      </c>
    </row>
    <row r="1418" ht="16.5" customHeight="1" s="186">
      <c r="A1418" s="760" t="n"/>
      <c r="B1418" s="760" t="n"/>
      <c r="C1418" s="762" t="n"/>
      <c r="D1418" s="762" t="n"/>
      <c r="E1418" s="775" t="n"/>
      <c r="F1418" s="821" t="n"/>
      <c r="G1418" s="821" t="n"/>
      <c r="H1418" s="818">
        <f>IF(G1418=1,F1418-I1418-J1418-K1418,IF(G1418=2,F1418,0))</f>
        <v>0</v>
      </c>
      <c r="I1418" s="818">
        <f>ROUND(IF(G1418=1,F1418*10/23,IF(G1418=3,F1418-J1418-K1418,IF(G1418=4,F1418,IF(G1418=5,F1418*10/11,IF(G1418=7,F1418*10/11,0))))),0)</f>
        <v>0</v>
      </c>
      <c r="J1418" s="818">
        <f>ROUND(IF(G1418=1,F1418/23,IF(G1418=3,F1418/12,IF(G1418=5,F1418-I1418,IF(G1418=8,F1418,0)))),0)</f>
        <v>0</v>
      </c>
      <c r="K1418" s="819">
        <f>ROUND(IF(G1418=1,F1418/23,IF(G1418=3,F1418/12,IF(G1418=6,F1418,IF(G1418=7,F1418-I1418,0)))),0)</f>
        <v>0</v>
      </c>
      <c r="L1418" s="820">
        <f>IF(G1418=6,F1418,0)</f>
        <v>0</v>
      </c>
      <c r="P1418" s="768" t="n"/>
      <c r="Q1418" s="769" t="str">
        <f>IF($F1418="","",IFERROR(VLOOKUP($C1418&amp;"|"&amp;$D1418,科目表!$A$5:$B$200,2,FALSE),"※未登録"))</f>
        <v/>
      </c>
      <c r="R1418" s="769" t="str">
        <f>IF($F1418="","",$I1418+$J1418+$K1418)</f>
        <v/>
      </c>
      <c r="S1418" s="769" t="str">
        <f>IF(OR($F1418="",$P1418="支払なし",$H1418=0,$Q1418=""),"",$Q1418&amp;"|S|"&amp;(COUNTIF(S$4:S1417,$Q1418&amp;"|S|*")+1))</f>
        <v/>
      </c>
      <c r="T1418" s="769" t="str">
        <f>IF(OR($F1418="",$P1418="支払なし",$R1418=0,$Q1418=""),"",$Q1418&amp;"|L|"&amp;(COUNTIF(T$4:T1417,$Q1418&amp;"|L|*")+1))</f>
        <v/>
      </c>
      <c r="U1418" s="769" t="str">
        <f>IF($F1418="","",13)</f>
        <v/>
      </c>
    </row>
    <row r="1419" ht="16.5" customHeight="1" s="186">
      <c r="A1419" s="760" t="n"/>
      <c r="B1419" s="760" t="n"/>
      <c r="C1419" s="762" t="n"/>
      <c r="D1419" s="762" t="n"/>
      <c r="E1419" s="775" t="n"/>
      <c r="F1419" s="821" t="n"/>
      <c r="G1419" s="821" t="n"/>
      <c r="H1419" s="818">
        <f>IF(G1419=1,F1419-I1419-J1419-K1419,IF(G1419=2,F1419,0))</f>
        <v>0</v>
      </c>
      <c r="I1419" s="818">
        <f>ROUND(IF(G1419=1,F1419*10/23,IF(G1419=3,F1419-J1419-K1419,IF(G1419=4,F1419,IF(G1419=5,F1419*10/11,IF(G1419=7,F1419*10/11,0))))),0)</f>
        <v>0</v>
      </c>
      <c r="J1419" s="818">
        <f>ROUND(IF(G1419=1,F1419/23,IF(G1419=3,F1419/12,IF(G1419=5,F1419-I1419,IF(G1419=8,F1419,0)))),0)</f>
        <v>0</v>
      </c>
      <c r="K1419" s="819">
        <f>ROUND(IF(G1419=1,F1419/23,IF(G1419=3,F1419/12,IF(G1419=6,F1419,IF(G1419=7,F1419-I1419,0)))),0)</f>
        <v>0</v>
      </c>
      <c r="L1419" s="820">
        <f>IF(G1419=6,F1419,0)</f>
        <v>0</v>
      </c>
      <c r="P1419" s="768" t="n"/>
      <c r="Q1419" s="769" t="str">
        <f>IF($F1419="","",IFERROR(VLOOKUP($C1419&amp;"|"&amp;$D1419,科目表!$A$5:$B$200,2,FALSE),"※未登録"))</f>
        <v/>
      </c>
      <c r="R1419" s="769" t="str">
        <f>IF($F1419="","",$I1419+$J1419+$K1419)</f>
        <v/>
      </c>
      <c r="S1419" s="769" t="str">
        <f>IF(OR($F1419="",$P1419="支払なし",$H1419=0,$Q1419=""),"",$Q1419&amp;"|S|"&amp;(COUNTIF(S$4:S1418,$Q1419&amp;"|S|*")+1))</f>
        <v/>
      </c>
      <c r="T1419" s="769" t="str">
        <f>IF(OR($F1419="",$P1419="支払なし",$R1419=0,$Q1419=""),"",$Q1419&amp;"|L|"&amp;(COUNTIF(T$4:T1418,$Q1419&amp;"|L|*")+1))</f>
        <v/>
      </c>
      <c r="U1419" s="769" t="str">
        <f>IF($F1419="","",13)</f>
        <v/>
      </c>
    </row>
    <row r="1420" ht="16.5" customHeight="1" s="186">
      <c r="A1420" s="760" t="n"/>
      <c r="B1420" s="760" t="n"/>
      <c r="C1420" s="762" t="n"/>
      <c r="D1420" s="762" t="n"/>
      <c r="E1420" s="775" t="n"/>
      <c r="F1420" s="821" t="n"/>
      <c r="G1420" s="821" t="n"/>
      <c r="H1420" s="818">
        <f>IF(G1420=1,F1420-I1420-J1420-K1420,IF(G1420=2,F1420,0))</f>
        <v>0</v>
      </c>
      <c r="I1420" s="818">
        <f>ROUND(IF(G1420=1,F1420*10/23,IF(G1420=3,F1420-J1420-K1420,IF(G1420=4,F1420,IF(G1420=5,F1420*10/11,IF(G1420=7,F1420*10/11,0))))),0)</f>
        <v>0</v>
      </c>
      <c r="J1420" s="818">
        <f>ROUND(IF(G1420=1,F1420/23,IF(G1420=3,F1420/12,IF(G1420=5,F1420-I1420,IF(G1420=8,F1420,0)))),0)</f>
        <v>0</v>
      </c>
      <c r="K1420" s="819">
        <f>ROUND(IF(G1420=1,F1420/23,IF(G1420=3,F1420/12,IF(G1420=6,F1420,IF(G1420=7,F1420-I1420,0)))),0)</f>
        <v>0</v>
      </c>
      <c r="L1420" s="820">
        <f>IF(G1420=6,F1420,0)</f>
        <v>0</v>
      </c>
      <c r="P1420" s="768" t="n"/>
      <c r="Q1420" s="769" t="str">
        <f>IF($F1420="","",IFERROR(VLOOKUP($C1420&amp;"|"&amp;$D1420,科目表!$A$5:$B$200,2,FALSE),"※未登録"))</f>
        <v/>
      </c>
      <c r="R1420" s="769" t="str">
        <f>IF($F1420="","",$I1420+$J1420+$K1420)</f>
        <v/>
      </c>
      <c r="S1420" s="769" t="str">
        <f>IF(OR($F1420="",$P1420="支払なし",$H1420=0,$Q1420=""),"",$Q1420&amp;"|S|"&amp;(COUNTIF(S$4:S1419,$Q1420&amp;"|S|*")+1))</f>
        <v/>
      </c>
      <c r="T1420" s="769" t="str">
        <f>IF(OR($F1420="",$P1420="支払なし",$R1420=0,$Q1420=""),"",$Q1420&amp;"|L|"&amp;(COUNTIF(T$4:T1419,$Q1420&amp;"|L|*")+1))</f>
        <v/>
      </c>
      <c r="U1420" s="769" t="str">
        <f>IF($F1420="","",13)</f>
        <v/>
      </c>
    </row>
    <row r="1421" ht="16.5" customHeight="1" s="186">
      <c r="A1421" s="760" t="n"/>
      <c r="B1421" s="760" t="n"/>
      <c r="C1421" s="762" t="n"/>
      <c r="D1421" s="762" t="n"/>
      <c r="E1421" s="775" t="n"/>
      <c r="F1421" s="821" t="n"/>
      <c r="G1421" s="821" t="n"/>
      <c r="H1421" s="818">
        <f>IF(G1421=1,F1421-I1421-J1421-K1421,IF(G1421=2,F1421,0))</f>
        <v>0</v>
      </c>
      <c r="I1421" s="818">
        <f>ROUND(IF(G1421=1,F1421*10/23,IF(G1421=3,F1421-J1421-K1421,IF(G1421=4,F1421,IF(G1421=5,F1421*10/11,IF(G1421=7,F1421*10/11,0))))),0)</f>
        <v>0</v>
      </c>
      <c r="J1421" s="818">
        <f>ROUND(IF(G1421=1,F1421/23,IF(G1421=3,F1421/12,IF(G1421=5,F1421-I1421,IF(G1421=8,F1421,0)))),0)</f>
        <v>0</v>
      </c>
      <c r="K1421" s="819">
        <f>ROUND(IF(G1421=1,F1421/23,IF(G1421=3,F1421/12,IF(G1421=6,F1421,IF(G1421=7,F1421-I1421,0)))),0)</f>
        <v>0</v>
      </c>
      <c r="L1421" s="820">
        <f>IF(G1421=6,F1421,0)</f>
        <v>0</v>
      </c>
      <c r="P1421" s="768" t="n"/>
      <c r="Q1421" s="769" t="str">
        <f>IF($F1421="","",IFERROR(VLOOKUP($C1421&amp;"|"&amp;$D1421,科目表!$A$5:$B$200,2,FALSE),"※未登録"))</f>
        <v/>
      </c>
      <c r="R1421" s="769" t="str">
        <f>IF($F1421="","",$I1421+$J1421+$K1421)</f>
        <v/>
      </c>
      <c r="S1421" s="769" t="str">
        <f>IF(OR($F1421="",$P1421="支払なし",$H1421=0,$Q1421=""),"",$Q1421&amp;"|S|"&amp;(COUNTIF(S$4:S1420,$Q1421&amp;"|S|*")+1))</f>
        <v/>
      </c>
      <c r="T1421" s="769" t="str">
        <f>IF(OR($F1421="",$P1421="支払なし",$R1421=0,$Q1421=""),"",$Q1421&amp;"|L|"&amp;(COUNTIF(T$4:T1420,$Q1421&amp;"|L|*")+1))</f>
        <v/>
      </c>
      <c r="U1421" s="769" t="str">
        <f>IF($F1421="","",13)</f>
        <v/>
      </c>
    </row>
    <row r="1422" ht="16.5" customHeight="1" s="186">
      <c r="A1422" s="760" t="n"/>
      <c r="B1422" s="760" t="n"/>
      <c r="C1422" s="762" t="n"/>
      <c r="D1422" s="762" t="n"/>
      <c r="E1422" s="775" t="n"/>
      <c r="F1422" s="821" t="n"/>
      <c r="G1422" s="821" t="n"/>
      <c r="H1422" s="818">
        <f>IF(G1422=1,F1422-I1422-J1422-K1422,IF(G1422=2,F1422,0))</f>
        <v>0</v>
      </c>
      <c r="I1422" s="818">
        <f>ROUND(IF(G1422=1,F1422*10/23,IF(G1422=3,F1422-J1422-K1422,IF(G1422=4,F1422,IF(G1422=5,F1422*10/11,IF(G1422=7,F1422*10/11,0))))),0)</f>
        <v>0</v>
      </c>
      <c r="J1422" s="818">
        <f>ROUND(IF(G1422=1,F1422/23,IF(G1422=3,F1422/12,IF(G1422=5,F1422-I1422,IF(G1422=8,F1422,0)))),0)</f>
        <v>0</v>
      </c>
      <c r="K1422" s="819">
        <f>ROUND(IF(G1422=1,F1422/23,IF(G1422=3,F1422/12,IF(G1422=6,F1422,IF(G1422=7,F1422-I1422,0)))),0)</f>
        <v>0</v>
      </c>
      <c r="L1422" s="820">
        <f>IF(G1422=6,F1422,0)</f>
        <v>0</v>
      </c>
      <c r="P1422" s="768" t="n"/>
      <c r="Q1422" s="769" t="str">
        <f>IF($F1422="","",IFERROR(VLOOKUP($C1422&amp;"|"&amp;$D1422,科目表!$A$5:$B$200,2,FALSE),"※未登録"))</f>
        <v/>
      </c>
      <c r="R1422" s="769" t="str">
        <f>IF($F1422="","",$I1422+$J1422+$K1422)</f>
        <v/>
      </c>
      <c r="S1422" s="769" t="str">
        <f>IF(OR($F1422="",$P1422="支払なし",$H1422=0,$Q1422=""),"",$Q1422&amp;"|S|"&amp;(COUNTIF(S$4:S1421,$Q1422&amp;"|S|*")+1))</f>
        <v/>
      </c>
      <c r="T1422" s="769" t="str">
        <f>IF(OR($F1422="",$P1422="支払なし",$R1422=0,$Q1422=""),"",$Q1422&amp;"|L|"&amp;(COUNTIF(T$4:T1421,$Q1422&amp;"|L|*")+1))</f>
        <v/>
      </c>
      <c r="U1422" s="769" t="str">
        <f>IF($F1422="","",13)</f>
        <v/>
      </c>
    </row>
    <row r="1423" ht="16.5" customHeight="1" s="186">
      <c r="A1423" s="760" t="n"/>
      <c r="B1423" s="760" t="n"/>
      <c r="C1423" s="762" t="n"/>
      <c r="D1423" s="762" t="n"/>
      <c r="E1423" s="775" t="n"/>
      <c r="F1423" s="821" t="n"/>
      <c r="G1423" s="821" t="n"/>
      <c r="H1423" s="818">
        <f>IF(G1423=1,F1423-I1423-J1423-K1423,IF(G1423=2,F1423,0))</f>
        <v>0</v>
      </c>
      <c r="I1423" s="818">
        <f>ROUND(IF(G1423=1,F1423*10/23,IF(G1423=3,F1423-J1423-K1423,IF(G1423=4,F1423,IF(G1423=5,F1423*10/11,IF(G1423=7,F1423*10/11,0))))),0)</f>
        <v>0</v>
      </c>
      <c r="J1423" s="818">
        <f>ROUND(IF(G1423=1,F1423/23,IF(G1423=3,F1423/12,IF(G1423=5,F1423-I1423,IF(G1423=8,F1423,0)))),0)</f>
        <v>0</v>
      </c>
      <c r="K1423" s="819">
        <f>ROUND(IF(G1423=1,F1423/23,IF(G1423=3,F1423/12,IF(G1423=6,F1423,IF(G1423=7,F1423-I1423,0)))),0)</f>
        <v>0</v>
      </c>
      <c r="L1423" s="820">
        <f>IF(G1423=6,F1423,0)</f>
        <v>0</v>
      </c>
      <c r="P1423" s="768" t="n"/>
      <c r="Q1423" s="769" t="str">
        <f>IF($F1423="","",IFERROR(VLOOKUP($C1423&amp;"|"&amp;$D1423,科目表!$A$5:$B$200,2,FALSE),"※未登録"))</f>
        <v/>
      </c>
      <c r="R1423" s="769" t="str">
        <f>IF($F1423="","",$I1423+$J1423+$K1423)</f>
        <v/>
      </c>
      <c r="S1423" s="769" t="str">
        <f>IF(OR($F1423="",$P1423="支払なし",$H1423=0,$Q1423=""),"",$Q1423&amp;"|S|"&amp;(COUNTIF(S$4:S1422,$Q1423&amp;"|S|*")+1))</f>
        <v/>
      </c>
      <c r="T1423" s="769" t="str">
        <f>IF(OR($F1423="",$P1423="支払なし",$R1423=0,$Q1423=""),"",$Q1423&amp;"|L|"&amp;(COUNTIF(T$4:T1422,$Q1423&amp;"|L|*")+1))</f>
        <v/>
      </c>
      <c r="U1423" s="769" t="str">
        <f>IF($F1423="","",13)</f>
        <v/>
      </c>
    </row>
    <row r="1424" ht="16.5" customHeight="1" s="186">
      <c r="A1424" s="760" t="n"/>
      <c r="B1424" s="760" t="n"/>
      <c r="C1424" s="762" t="n"/>
      <c r="D1424" s="762" t="n"/>
      <c r="E1424" s="775" t="n"/>
      <c r="F1424" s="821" t="n"/>
      <c r="G1424" s="821" t="n"/>
      <c r="H1424" s="818">
        <f>IF(G1424=1,F1424-I1424-J1424-K1424,IF(G1424=2,F1424,0))</f>
        <v>0</v>
      </c>
      <c r="I1424" s="818">
        <f>ROUND(IF(G1424=1,F1424*10/23,IF(G1424=3,F1424-J1424-K1424,IF(G1424=4,F1424,IF(G1424=5,F1424*10/11,IF(G1424=7,F1424*10/11,0))))),0)</f>
        <v>0</v>
      </c>
      <c r="J1424" s="818">
        <f>ROUND(IF(G1424=1,F1424/23,IF(G1424=3,F1424/12,IF(G1424=5,F1424-I1424,IF(G1424=8,F1424,0)))),0)</f>
        <v>0</v>
      </c>
      <c r="K1424" s="819">
        <f>ROUND(IF(G1424=1,F1424/23,IF(G1424=3,F1424/12,IF(G1424=6,F1424,IF(G1424=7,F1424-I1424,0)))),0)</f>
        <v>0</v>
      </c>
      <c r="L1424" s="820">
        <f>IF(G1424=6,F1424,0)</f>
        <v>0</v>
      </c>
      <c r="P1424" s="768" t="n"/>
      <c r="Q1424" s="769" t="str">
        <f>IF($F1424="","",IFERROR(VLOOKUP($C1424&amp;"|"&amp;$D1424,科目表!$A$5:$B$200,2,FALSE),"※未登録"))</f>
        <v/>
      </c>
      <c r="R1424" s="769" t="str">
        <f>IF($F1424="","",$I1424+$J1424+$K1424)</f>
        <v/>
      </c>
      <c r="S1424" s="769" t="str">
        <f>IF(OR($F1424="",$P1424="支払なし",$H1424=0,$Q1424=""),"",$Q1424&amp;"|S|"&amp;(COUNTIF(S$4:S1423,$Q1424&amp;"|S|*")+1))</f>
        <v/>
      </c>
      <c r="T1424" s="769" t="str">
        <f>IF(OR($F1424="",$P1424="支払なし",$R1424=0,$Q1424=""),"",$Q1424&amp;"|L|"&amp;(COUNTIF(T$4:T1423,$Q1424&amp;"|L|*")+1))</f>
        <v/>
      </c>
      <c r="U1424" s="769" t="str">
        <f>IF($F1424="","",13)</f>
        <v/>
      </c>
    </row>
    <row r="1425" ht="16.5" customHeight="1" s="186">
      <c r="A1425" s="760" t="n"/>
      <c r="B1425" s="760" t="n"/>
      <c r="C1425" s="762" t="n"/>
      <c r="D1425" s="762" t="n"/>
      <c r="E1425" s="775" t="n"/>
      <c r="F1425" s="821" t="n"/>
      <c r="G1425" s="821" t="n"/>
      <c r="H1425" s="818">
        <f>IF(G1425=1,F1425-I1425-J1425-K1425,IF(G1425=2,F1425,0))</f>
        <v>0</v>
      </c>
      <c r="I1425" s="818">
        <f>ROUND(IF(G1425=1,F1425*10/23,IF(G1425=3,F1425-J1425-K1425,IF(G1425=4,F1425,IF(G1425=5,F1425*10/11,IF(G1425=7,F1425*10/11,0))))),0)</f>
        <v>0</v>
      </c>
      <c r="J1425" s="818">
        <f>ROUND(IF(G1425=1,F1425/23,IF(G1425=3,F1425/12,IF(G1425=5,F1425-I1425,IF(G1425=8,F1425,0)))),0)</f>
        <v>0</v>
      </c>
      <c r="K1425" s="819">
        <f>ROUND(IF(G1425=1,F1425/23,IF(G1425=3,F1425/12,IF(G1425=6,F1425,IF(G1425=7,F1425-I1425,0)))),0)</f>
        <v>0</v>
      </c>
      <c r="L1425" s="820">
        <f>IF(G1425=6,F1425,0)</f>
        <v>0</v>
      </c>
      <c r="P1425" s="768" t="n"/>
      <c r="Q1425" s="769" t="str">
        <f>IF($F1425="","",IFERROR(VLOOKUP($C1425&amp;"|"&amp;$D1425,科目表!$A$5:$B$200,2,FALSE),"※未登録"))</f>
        <v/>
      </c>
      <c r="R1425" s="769" t="str">
        <f>IF($F1425="","",$I1425+$J1425+$K1425)</f>
        <v/>
      </c>
      <c r="S1425" s="769" t="str">
        <f>IF(OR($F1425="",$P1425="支払なし",$H1425=0,$Q1425=""),"",$Q1425&amp;"|S|"&amp;(COUNTIF(S$4:S1424,$Q1425&amp;"|S|*")+1))</f>
        <v/>
      </c>
      <c r="T1425" s="769" t="str">
        <f>IF(OR($F1425="",$P1425="支払なし",$R1425=0,$Q1425=""),"",$Q1425&amp;"|L|"&amp;(COUNTIF(T$4:T1424,$Q1425&amp;"|L|*")+1))</f>
        <v/>
      </c>
      <c r="U1425" s="769" t="str">
        <f>IF($F1425="","",13)</f>
        <v/>
      </c>
    </row>
    <row r="1426" ht="16.5" customHeight="1" s="186">
      <c r="A1426" s="760" t="n"/>
      <c r="B1426" s="760" t="n"/>
      <c r="C1426" s="762" t="n"/>
      <c r="D1426" s="762" t="n"/>
      <c r="E1426" s="775" t="n"/>
      <c r="F1426" s="821" t="n"/>
      <c r="G1426" s="821" t="n"/>
      <c r="H1426" s="818">
        <f>IF(G1426=1,F1426-I1426-J1426-K1426,IF(G1426=2,F1426,0))</f>
        <v>0</v>
      </c>
      <c r="I1426" s="818">
        <f>ROUND(IF(G1426=1,F1426*10/23,IF(G1426=3,F1426-J1426-K1426,IF(G1426=4,F1426,IF(G1426=5,F1426*10/11,IF(G1426=7,F1426*10/11,0))))),0)</f>
        <v>0</v>
      </c>
      <c r="J1426" s="818">
        <f>ROUND(IF(G1426=1,F1426/23,IF(G1426=3,F1426/12,IF(G1426=5,F1426-I1426,IF(G1426=8,F1426,0)))),0)</f>
        <v>0</v>
      </c>
      <c r="K1426" s="819">
        <f>ROUND(IF(G1426=1,F1426/23,IF(G1426=3,F1426/12,IF(G1426=6,F1426,IF(G1426=7,F1426-I1426,0)))),0)</f>
        <v>0</v>
      </c>
      <c r="L1426" s="820">
        <f>IF(G1426=6,F1426,0)</f>
        <v>0</v>
      </c>
      <c r="P1426" s="768" t="n"/>
      <c r="Q1426" s="769" t="str">
        <f>IF($F1426="","",IFERROR(VLOOKUP($C1426&amp;"|"&amp;$D1426,科目表!$A$5:$B$200,2,FALSE),"※未登録"))</f>
        <v/>
      </c>
      <c r="R1426" s="769" t="str">
        <f>IF($F1426="","",$I1426+$J1426+$K1426)</f>
        <v/>
      </c>
      <c r="S1426" s="769" t="str">
        <f>IF(OR($F1426="",$P1426="支払なし",$H1426=0,$Q1426=""),"",$Q1426&amp;"|S|"&amp;(COUNTIF(S$4:S1425,$Q1426&amp;"|S|*")+1))</f>
        <v/>
      </c>
      <c r="T1426" s="769" t="str">
        <f>IF(OR($F1426="",$P1426="支払なし",$R1426=0,$Q1426=""),"",$Q1426&amp;"|L|"&amp;(COUNTIF(T$4:T1425,$Q1426&amp;"|L|*")+1))</f>
        <v/>
      </c>
      <c r="U1426" s="769" t="str">
        <f>IF($F1426="","",13)</f>
        <v/>
      </c>
    </row>
    <row r="1427" ht="16.5" customHeight="1" s="186">
      <c r="A1427" s="760" t="n"/>
      <c r="B1427" s="760" t="n"/>
      <c r="C1427" s="762" t="n"/>
      <c r="D1427" s="762" t="n"/>
      <c r="E1427" s="775" t="n"/>
      <c r="F1427" s="821" t="n"/>
      <c r="G1427" s="821" t="n"/>
      <c r="H1427" s="818">
        <f>IF(G1427=1,F1427-I1427-J1427-K1427,IF(G1427=2,F1427,0))</f>
        <v>0</v>
      </c>
      <c r="I1427" s="818">
        <f>ROUND(IF(G1427=1,F1427*10/23,IF(G1427=3,F1427-J1427-K1427,IF(G1427=4,F1427,IF(G1427=5,F1427*10/11,IF(G1427=7,F1427*10/11,0))))),0)</f>
        <v>0</v>
      </c>
      <c r="J1427" s="818">
        <f>ROUND(IF(G1427=1,F1427/23,IF(G1427=3,F1427/12,IF(G1427=5,F1427-I1427,IF(G1427=8,F1427,0)))),0)</f>
        <v>0</v>
      </c>
      <c r="K1427" s="819">
        <f>ROUND(IF(G1427=1,F1427/23,IF(G1427=3,F1427/12,IF(G1427=6,F1427,IF(G1427=7,F1427-I1427,0)))),0)</f>
        <v>0</v>
      </c>
      <c r="L1427" s="820">
        <f>IF(G1427=6,F1427,0)</f>
        <v>0</v>
      </c>
      <c r="P1427" s="768" t="n"/>
      <c r="Q1427" s="769" t="str">
        <f>IF($F1427="","",IFERROR(VLOOKUP($C1427&amp;"|"&amp;$D1427,科目表!$A$5:$B$200,2,FALSE),"※未登録"))</f>
        <v/>
      </c>
      <c r="R1427" s="769" t="str">
        <f>IF($F1427="","",$I1427+$J1427+$K1427)</f>
        <v/>
      </c>
      <c r="S1427" s="769" t="str">
        <f>IF(OR($F1427="",$P1427="支払なし",$H1427=0,$Q1427=""),"",$Q1427&amp;"|S|"&amp;(COUNTIF(S$4:S1426,$Q1427&amp;"|S|*")+1))</f>
        <v/>
      </c>
      <c r="T1427" s="769" t="str">
        <f>IF(OR($F1427="",$P1427="支払なし",$R1427=0,$Q1427=""),"",$Q1427&amp;"|L|"&amp;(COUNTIF(T$4:T1426,$Q1427&amp;"|L|*")+1))</f>
        <v/>
      </c>
      <c r="U1427" s="769" t="str">
        <f>IF($F1427="","",13)</f>
        <v/>
      </c>
    </row>
    <row r="1428" ht="16.5" customHeight="1" s="186">
      <c r="A1428" s="760" t="n"/>
      <c r="B1428" s="760" t="n"/>
      <c r="C1428" s="762" t="n"/>
      <c r="D1428" s="762" t="n"/>
      <c r="E1428" s="775" t="n"/>
      <c r="F1428" s="821" t="n"/>
      <c r="G1428" s="821" t="n"/>
      <c r="H1428" s="818">
        <f>IF(G1428=1,F1428-I1428-J1428-K1428,IF(G1428=2,F1428,0))</f>
        <v>0</v>
      </c>
      <c r="I1428" s="818">
        <f>ROUND(IF(G1428=1,F1428*10/23,IF(G1428=3,F1428-J1428-K1428,IF(G1428=4,F1428,IF(G1428=5,F1428*10/11,IF(G1428=7,F1428*10/11,0))))),0)</f>
        <v>0</v>
      </c>
      <c r="J1428" s="818">
        <f>ROUND(IF(G1428=1,F1428/23,IF(G1428=3,F1428/12,IF(G1428=5,F1428-I1428,IF(G1428=8,F1428,0)))),0)</f>
        <v>0</v>
      </c>
      <c r="K1428" s="819">
        <f>ROUND(IF(G1428=1,F1428/23,IF(G1428=3,F1428/12,IF(G1428=6,F1428,IF(G1428=7,F1428-I1428,0)))),0)</f>
        <v>0</v>
      </c>
      <c r="L1428" s="820">
        <f>IF(G1428=6,F1428,0)</f>
        <v>0</v>
      </c>
      <c r="P1428" s="768" t="n"/>
      <c r="Q1428" s="769" t="str">
        <f>IF($F1428="","",IFERROR(VLOOKUP($C1428&amp;"|"&amp;$D1428,科目表!$A$5:$B$200,2,FALSE),"※未登録"))</f>
        <v/>
      </c>
      <c r="R1428" s="769" t="str">
        <f>IF($F1428="","",$I1428+$J1428+$K1428)</f>
        <v/>
      </c>
      <c r="S1428" s="769" t="str">
        <f>IF(OR($F1428="",$P1428="支払なし",$H1428=0,$Q1428=""),"",$Q1428&amp;"|S|"&amp;(COUNTIF(S$4:S1427,$Q1428&amp;"|S|*")+1))</f>
        <v/>
      </c>
      <c r="T1428" s="769" t="str">
        <f>IF(OR($F1428="",$P1428="支払なし",$R1428=0,$Q1428=""),"",$Q1428&amp;"|L|"&amp;(COUNTIF(T$4:T1427,$Q1428&amp;"|L|*")+1))</f>
        <v/>
      </c>
      <c r="U1428" s="769" t="str">
        <f>IF($F1428="","",13)</f>
        <v/>
      </c>
    </row>
    <row r="1429" ht="16.5" customHeight="1" s="186">
      <c r="A1429" s="760" t="n"/>
      <c r="B1429" s="760" t="n"/>
      <c r="C1429" s="762" t="n"/>
      <c r="D1429" s="762" t="n"/>
      <c r="E1429" s="775" t="n"/>
      <c r="F1429" s="821" t="n"/>
      <c r="G1429" s="821" t="n"/>
      <c r="H1429" s="818">
        <f>IF(G1429=1,F1429-I1429-J1429-K1429,IF(G1429=2,F1429,0))</f>
        <v>0</v>
      </c>
      <c r="I1429" s="818">
        <f>ROUND(IF(G1429=1,F1429*10/23,IF(G1429=3,F1429-J1429-K1429,IF(G1429=4,F1429,IF(G1429=5,F1429*10/11,IF(G1429=7,F1429*10/11,0))))),0)</f>
        <v>0</v>
      </c>
      <c r="J1429" s="818">
        <f>ROUND(IF(G1429=1,F1429/23,IF(G1429=3,F1429/12,IF(G1429=5,F1429-I1429,IF(G1429=8,F1429,0)))),0)</f>
        <v>0</v>
      </c>
      <c r="K1429" s="819">
        <f>ROUND(IF(G1429=1,F1429/23,IF(G1429=3,F1429/12,IF(G1429=6,F1429,IF(G1429=7,F1429-I1429,0)))),0)</f>
        <v>0</v>
      </c>
      <c r="L1429" s="820">
        <f>IF(G1429=6,F1429,0)</f>
        <v>0</v>
      </c>
      <c r="P1429" s="768" t="n"/>
      <c r="Q1429" s="769" t="str">
        <f>IF($F1429="","",IFERROR(VLOOKUP($C1429&amp;"|"&amp;$D1429,科目表!$A$5:$B$200,2,FALSE),"※未登録"))</f>
        <v/>
      </c>
      <c r="R1429" s="769" t="str">
        <f>IF($F1429="","",$I1429+$J1429+$K1429)</f>
        <v/>
      </c>
      <c r="S1429" s="769" t="str">
        <f>IF(OR($F1429="",$P1429="支払なし",$H1429=0,$Q1429=""),"",$Q1429&amp;"|S|"&amp;(COUNTIF(S$4:S1428,$Q1429&amp;"|S|*")+1))</f>
        <v/>
      </c>
      <c r="T1429" s="769" t="str">
        <f>IF(OR($F1429="",$P1429="支払なし",$R1429=0,$Q1429=""),"",$Q1429&amp;"|L|"&amp;(COUNTIF(T$4:T1428,$Q1429&amp;"|L|*")+1))</f>
        <v/>
      </c>
      <c r="U1429" s="769" t="str">
        <f>IF($F1429="","",13)</f>
        <v/>
      </c>
    </row>
    <row r="1430" ht="16.5" customHeight="1" s="186">
      <c r="A1430" s="760" t="n"/>
      <c r="B1430" s="760" t="n"/>
      <c r="C1430" s="762" t="n"/>
      <c r="D1430" s="762" t="n"/>
      <c r="E1430" s="775" t="n"/>
      <c r="F1430" s="821" t="n"/>
      <c r="G1430" s="821" t="n"/>
      <c r="H1430" s="818">
        <f>IF(G1430=1,F1430-I1430-J1430-K1430,IF(G1430=2,F1430,0))</f>
        <v>0</v>
      </c>
      <c r="I1430" s="818">
        <f>ROUND(IF(G1430=1,F1430*10/23,IF(G1430=3,F1430-J1430-K1430,IF(G1430=4,F1430,IF(G1430=5,F1430*10/11,IF(G1430=7,F1430*10/11,0))))),0)</f>
        <v>0</v>
      </c>
      <c r="J1430" s="818">
        <f>ROUND(IF(G1430=1,F1430/23,IF(G1430=3,F1430/12,IF(G1430=5,F1430-I1430,IF(G1430=8,F1430,0)))),0)</f>
        <v>0</v>
      </c>
      <c r="K1430" s="819">
        <f>ROUND(IF(G1430=1,F1430/23,IF(G1430=3,F1430/12,IF(G1430=6,F1430,IF(G1430=7,F1430-I1430,0)))),0)</f>
        <v>0</v>
      </c>
      <c r="L1430" s="820">
        <f>IF(G1430=6,F1430,0)</f>
        <v>0</v>
      </c>
      <c r="P1430" s="768" t="n"/>
      <c r="Q1430" s="769" t="str">
        <f>IF($F1430="","",IFERROR(VLOOKUP($C1430&amp;"|"&amp;$D1430,科目表!$A$5:$B$200,2,FALSE),"※未登録"))</f>
        <v/>
      </c>
      <c r="R1430" s="769" t="str">
        <f>IF($F1430="","",$I1430+$J1430+$K1430)</f>
        <v/>
      </c>
      <c r="S1430" s="769" t="str">
        <f>IF(OR($F1430="",$P1430="支払なし",$H1430=0,$Q1430=""),"",$Q1430&amp;"|S|"&amp;(COUNTIF(S$4:S1429,$Q1430&amp;"|S|*")+1))</f>
        <v/>
      </c>
      <c r="T1430" s="769" t="str">
        <f>IF(OR($F1430="",$P1430="支払なし",$R1430=0,$Q1430=""),"",$Q1430&amp;"|L|"&amp;(COUNTIF(T$4:T1429,$Q1430&amp;"|L|*")+1))</f>
        <v/>
      </c>
      <c r="U1430" s="769" t="str">
        <f>IF($F1430="","",13)</f>
        <v/>
      </c>
    </row>
    <row r="1431" ht="16.5" customHeight="1" s="186">
      <c r="A1431" s="760" t="n"/>
      <c r="B1431" s="760" t="n"/>
      <c r="C1431" s="762" t="n"/>
      <c r="D1431" s="762" t="n"/>
      <c r="E1431" s="775" t="n"/>
      <c r="F1431" s="821" t="n"/>
      <c r="G1431" s="821" t="n"/>
      <c r="H1431" s="818">
        <f>IF(G1431=1,F1431-I1431-J1431-K1431,IF(G1431=2,F1431,0))</f>
        <v>0</v>
      </c>
      <c r="I1431" s="818">
        <f>ROUND(IF(G1431=1,F1431*10/23,IF(G1431=3,F1431-J1431-K1431,IF(G1431=4,F1431,IF(G1431=5,F1431*10/11,IF(G1431=7,F1431*10/11,0))))),0)</f>
        <v>0</v>
      </c>
      <c r="J1431" s="818">
        <f>ROUND(IF(G1431=1,F1431/23,IF(G1431=3,F1431/12,IF(G1431=5,F1431-I1431,IF(G1431=8,F1431,0)))),0)</f>
        <v>0</v>
      </c>
      <c r="K1431" s="819">
        <f>ROUND(IF(G1431=1,F1431/23,IF(G1431=3,F1431/12,IF(G1431=6,F1431,IF(G1431=7,F1431-I1431,0)))),0)</f>
        <v>0</v>
      </c>
      <c r="L1431" s="820">
        <f>IF(G1431=6,F1431,0)</f>
        <v>0</v>
      </c>
      <c r="P1431" s="768" t="n"/>
      <c r="Q1431" s="769" t="str">
        <f>IF($F1431="","",IFERROR(VLOOKUP($C1431&amp;"|"&amp;$D1431,科目表!$A$5:$B$200,2,FALSE),"※未登録"))</f>
        <v/>
      </c>
      <c r="R1431" s="769" t="str">
        <f>IF($F1431="","",$I1431+$J1431+$K1431)</f>
        <v/>
      </c>
      <c r="S1431" s="769" t="str">
        <f>IF(OR($F1431="",$P1431="支払なし",$H1431=0,$Q1431=""),"",$Q1431&amp;"|S|"&amp;(COUNTIF(S$4:S1430,$Q1431&amp;"|S|*")+1))</f>
        <v/>
      </c>
      <c r="T1431" s="769" t="str">
        <f>IF(OR($F1431="",$P1431="支払なし",$R1431=0,$Q1431=""),"",$Q1431&amp;"|L|"&amp;(COUNTIF(T$4:T1430,$Q1431&amp;"|L|*")+1))</f>
        <v/>
      </c>
      <c r="U1431" s="769" t="str">
        <f>IF($F1431="","",13)</f>
        <v/>
      </c>
    </row>
    <row r="1432" ht="16.5" customHeight="1" s="186">
      <c r="A1432" s="760" t="n"/>
      <c r="B1432" s="760" t="n"/>
      <c r="C1432" s="762" t="n"/>
      <c r="D1432" s="762" t="n"/>
      <c r="E1432" s="775" t="n"/>
      <c r="F1432" s="821" t="n"/>
      <c r="G1432" s="821" t="n"/>
      <c r="H1432" s="818">
        <f>IF(G1432=1,F1432-I1432-J1432-K1432,IF(G1432=2,F1432,0))</f>
        <v>0</v>
      </c>
      <c r="I1432" s="818">
        <f>ROUND(IF(G1432=1,F1432*10/23,IF(G1432=3,F1432-J1432-K1432,IF(G1432=4,F1432,IF(G1432=5,F1432*10/11,IF(G1432=7,F1432*10/11,0))))),0)</f>
        <v>0</v>
      </c>
      <c r="J1432" s="818">
        <f>ROUND(IF(G1432=1,F1432/23,IF(G1432=3,F1432/12,IF(G1432=5,F1432-I1432,IF(G1432=8,F1432,0)))),0)</f>
        <v>0</v>
      </c>
      <c r="K1432" s="819">
        <f>ROUND(IF(G1432=1,F1432/23,IF(G1432=3,F1432/12,IF(G1432=6,F1432,IF(G1432=7,F1432-I1432,0)))),0)</f>
        <v>0</v>
      </c>
      <c r="L1432" s="820">
        <f>IF(G1432=6,F1432,0)</f>
        <v>0</v>
      </c>
      <c r="P1432" s="768" t="n"/>
      <c r="Q1432" s="769" t="str">
        <f>IF($F1432="","",IFERROR(VLOOKUP($C1432&amp;"|"&amp;$D1432,科目表!$A$5:$B$200,2,FALSE),"※未登録"))</f>
        <v/>
      </c>
      <c r="R1432" s="769" t="str">
        <f>IF($F1432="","",$I1432+$J1432+$K1432)</f>
        <v/>
      </c>
      <c r="S1432" s="769" t="str">
        <f>IF(OR($F1432="",$P1432="支払なし",$H1432=0,$Q1432=""),"",$Q1432&amp;"|S|"&amp;(COUNTIF(S$4:S1431,$Q1432&amp;"|S|*")+1))</f>
        <v/>
      </c>
      <c r="T1432" s="769" t="str">
        <f>IF(OR($F1432="",$P1432="支払なし",$R1432=0,$Q1432=""),"",$Q1432&amp;"|L|"&amp;(COUNTIF(T$4:T1431,$Q1432&amp;"|L|*")+1))</f>
        <v/>
      </c>
      <c r="U1432" s="769" t="str">
        <f>IF($F1432="","",13)</f>
        <v/>
      </c>
    </row>
    <row r="1433" ht="16.5" customHeight="1" s="186">
      <c r="A1433" s="760" t="n"/>
      <c r="B1433" s="760" t="n"/>
      <c r="C1433" s="762" t="n"/>
      <c r="D1433" s="762" t="n"/>
      <c r="E1433" s="775" t="n"/>
      <c r="F1433" s="821" t="n"/>
      <c r="G1433" s="821" t="n"/>
      <c r="H1433" s="818">
        <f>IF(G1433=1,F1433-I1433-J1433-K1433,IF(G1433=2,F1433,0))</f>
        <v>0</v>
      </c>
      <c r="I1433" s="818">
        <f>ROUND(IF(G1433=1,F1433*10/23,IF(G1433=3,F1433-J1433-K1433,IF(G1433=4,F1433,IF(G1433=5,F1433*10/11,IF(G1433=7,F1433*10/11,0))))),0)</f>
        <v>0</v>
      </c>
      <c r="J1433" s="818">
        <f>ROUND(IF(G1433=1,F1433/23,IF(G1433=3,F1433/12,IF(G1433=5,F1433-I1433,IF(G1433=8,F1433,0)))),0)</f>
        <v>0</v>
      </c>
      <c r="K1433" s="819">
        <f>ROUND(IF(G1433=1,F1433/23,IF(G1433=3,F1433/12,IF(G1433=6,F1433,IF(G1433=7,F1433-I1433,0)))),0)</f>
        <v>0</v>
      </c>
      <c r="L1433" s="820">
        <f>IF(G1433=6,F1433,0)</f>
        <v>0</v>
      </c>
      <c r="P1433" s="768" t="n"/>
      <c r="Q1433" s="769" t="str">
        <f>IF($F1433="","",IFERROR(VLOOKUP($C1433&amp;"|"&amp;$D1433,科目表!$A$5:$B$200,2,FALSE),"※未登録"))</f>
        <v/>
      </c>
      <c r="R1433" s="769" t="str">
        <f>IF($F1433="","",$I1433+$J1433+$K1433)</f>
        <v/>
      </c>
      <c r="S1433" s="769" t="str">
        <f>IF(OR($F1433="",$P1433="支払なし",$H1433=0,$Q1433=""),"",$Q1433&amp;"|S|"&amp;(COUNTIF(S$4:S1432,$Q1433&amp;"|S|*")+1))</f>
        <v/>
      </c>
      <c r="T1433" s="769" t="str">
        <f>IF(OR($F1433="",$P1433="支払なし",$R1433=0,$Q1433=""),"",$Q1433&amp;"|L|"&amp;(COUNTIF(T$4:T1432,$Q1433&amp;"|L|*")+1))</f>
        <v/>
      </c>
      <c r="U1433" s="769" t="str">
        <f>IF($F1433="","",13)</f>
        <v/>
      </c>
    </row>
    <row r="1434" ht="16.5" customHeight="1" s="186">
      <c r="A1434" s="760" t="n"/>
      <c r="B1434" s="760" t="n"/>
      <c r="C1434" s="762" t="n"/>
      <c r="D1434" s="762" t="n"/>
      <c r="E1434" s="775" t="n"/>
      <c r="F1434" s="821" t="n"/>
      <c r="G1434" s="821" t="n"/>
      <c r="H1434" s="818">
        <f>IF(G1434=1,F1434-I1434-J1434-K1434,IF(G1434=2,F1434,0))</f>
        <v>0</v>
      </c>
      <c r="I1434" s="818">
        <f>ROUND(IF(G1434=1,F1434*10/23,IF(G1434=3,F1434-J1434-K1434,IF(G1434=4,F1434,IF(G1434=5,F1434*10/11,IF(G1434=7,F1434*10/11,0))))),0)</f>
        <v>0</v>
      </c>
      <c r="J1434" s="818">
        <f>ROUND(IF(G1434=1,F1434/23,IF(G1434=3,F1434/12,IF(G1434=5,F1434-I1434,IF(G1434=8,F1434,0)))),0)</f>
        <v>0</v>
      </c>
      <c r="K1434" s="819">
        <f>ROUND(IF(G1434=1,F1434/23,IF(G1434=3,F1434/12,IF(G1434=6,F1434,IF(G1434=7,F1434-I1434,0)))),0)</f>
        <v>0</v>
      </c>
      <c r="L1434" s="820">
        <f>IF(G1434=6,F1434,0)</f>
        <v>0</v>
      </c>
      <c r="P1434" s="768" t="n"/>
      <c r="Q1434" s="769" t="str">
        <f>IF($F1434="","",IFERROR(VLOOKUP($C1434&amp;"|"&amp;$D1434,科目表!$A$5:$B$200,2,FALSE),"※未登録"))</f>
        <v/>
      </c>
      <c r="R1434" s="769" t="str">
        <f>IF($F1434="","",$I1434+$J1434+$K1434)</f>
        <v/>
      </c>
      <c r="S1434" s="769" t="str">
        <f>IF(OR($F1434="",$P1434="支払なし",$H1434=0,$Q1434=""),"",$Q1434&amp;"|S|"&amp;(COUNTIF(S$4:S1433,$Q1434&amp;"|S|*")+1))</f>
        <v/>
      </c>
      <c r="T1434" s="769" t="str">
        <f>IF(OR($F1434="",$P1434="支払なし",$R1434=0,$Q1434=""),"",$Q1434&amp;"|L|"&amp;(COUNTIF(T$4:T1433,$Q1434&amp;"|L|*")+1))</f>
        <v/>
      </c>
      <c r="U1434" s="769" t="str">
        <f>IF($F1434="","",13)</f>
        <v/>
      </c>
    </row>
    <row r="1435" ht="16.5" customHeight="1" s="186">
      <c r="A1435" s="760" t="n"/>
      <c r="B1435" s="760" t="n"/>
      <c r="C1435" s="762" t="n"/>
      <c r="D1435" s="762" t="n"/>
      <c r="E1435" s="775" t="n"/>
      <c r="F1435" s="821" t="n"/>
      <c r="G1435" s="821" t="n"/>
      <c r="H1435" s="818">
        <f>IF(G1435=1,F1435-I1435-J1435-K1435,IF(G1435=2,F1435,0))</f>
        <v>0</v>
      </c>
      <c r="I1435" s="818">
        <f>ROUND(IF(G1435=1,F1435*10/23,IF(G1435=3,F1435-J1435-K1435,IF(G1435=4,F1435,IF(G1435=5,F1435*10/11,IF(G1435=7,F1435*10/11,0))))),0)</f>
        <v>0</v>
      </c>
      <c r="J1435" s="818">
        <f>ROUND(IF(G1435=1,F1435/23,IF(G1435=3,F1435/12,IF(G1435=5,F1435-I1435,IF(G1435=8,F1435,0)))),0)</f>
        <v>0</v>
      </c>
      <c r="K1435" s="819">
        <f>ROUND(IF(G1435=1,F1435/23,IF(G1435=3,F1435/12,IF(G1435=6,F1435,IF(G1435=7,F1435-I1435,0)))),0)</f>
        <v>0</v>
      </c>
      <c r="L1435" s="820">
        <f>IF(G1435=6,F1435,0)</f>
        <v>0</v>
      </c>
      <c r="P1435" s="768" t="n"/>
      <c r="Q1435" s="769" t="str">
        <f>IF($F1435="","",IFERROR(VLOOKUP($C1435&amp;"|"&amp;$D1435,科目表!$A$5:$B$200,2,FALSE),"※未登録"))</f>
        <v/>
      </c>
      <c r="R1435" s="769" t="str">
        <f>IF($F1435="","",$I1435+$J1435+$K1435)</f>
        <v/>
      </c>
      <c r="S1435" s="769" t="str">
        <f>IF(OR($F1435="",$P1435="支払なし",$H1435=0,$Q1435=""),"",$Q1435&amp;"|S|"&amp;(COUNTIF(S$4:S1434,$Q1435&amp;"|S|*")+1))</f>
        <v/>
      </c>
      <c r="T1435" s="769" t="str">
        <f>IF(OR($F1435="",$P1435="支払なし",$R1435=0,$Q1435=""),"",$Q1435&amp;"|L|"&amp;(COUNTIF(T$4:T1434,$Q1435&amp;"|L|*")+1))</f>
        <v/>
      </c>
      <c r="U1435" s="769" t="str">
        <f>IF($F1435="","",13)</f>
        <v/>
      </c>
    </row>
    <row r="1436" ht="16.5" customHeight="1" s="186">
      <c r="A1436" s="760" t="n"/>
      <c r="B1436" s="760" t="n"/>
      <c r="C1436" s="762" t="n"/>
      <c r="D1436" s="762" t="n"/>
      <c r="E1436" s="775" t="n"/>
      <c r="F1436" s="821" t="n"/>
      <c r="G1436" s="821" t="n"/>
      <c r="H1436" s="818">
        <f>IF(G1436=1,F1436-I1436-J1436-K1436,IF(G1436=2,F1436,0))</f>
        <v>0</v>
      </c>
      <c r="I1436" s="818">
        <f>ROUND(IF(G1436=1,F1436*10/23,IF(G1436=3,F1436-J1436-K1436,IF(G1436=4,F1436,IF(G1436=5,F1436*10/11,IF(G1436=7,F1436*10/11,0))))),0)</f>
        <v>0</v>
      </c>
      <c r="J1436" s="818">
        <f>ROUND(IF(G1436=1,F1436/23,IF(G1436=3,F1436/12,IF(G1436=5,F1436-I1436,IF(G1436=8,F1436,0)))),0)</f>
        <v>0</v>
      </c>
      <c r="K1436" s="819">
        <f>ROUND(IF(G1436=1,F1436/23,IF(G1436=3,F1436/12,IF(G1436=6,F1436,IF(G1436=7,F1436-I1436,0)))),0)</f>
        <v>0</v>
      </c>
      <c r="L1436" s="820">
        <f>IF(G1436=6,F1436,0)</f>
        <v>0</v>
      </c>
      <c r="P1436" s="768" t="n"/>
      <c r="Q1436" s="769" t="str">
        <f>IF($F1436="","",IFERROR(VLOOKUP($C1436&amp;"|"&amp;$D1436,科目表!$A$5:$B$200,2,FALSE),"※未登録"))</f>
        <v/>
      </c>
      <c r="R1436" s="769" t="str">
        <f>IF($F1436="","",$I1436+$J1436+$K1436)</f>
        <v/>
      </c>
      <c r="S1436" s="769" t="str">
        <f>IF(OR($F1436="",$P1436="支払なし",$H1436=0,$Q1436=""),"",$Q1436&amp;"|S|"&amp;(COUNTIF(S$4:S1435,$Q1436&amp;"|S|*")+1))</f>
        <v/>
      </c>
      <c r="T1436" s="769" t="str">
        <f>IF(OR($F1436="",$P1436="支払なし",$R1436=0,$Q1436=""),"",$Q1436&amp;"|L|"&amp;(COUNTIF(T$4:T1435,$Q1436&amp;"|L|*")+1))</f>
        <v/>
      </c>
      <c r="U1436" s="769" t="str">
        <f>IF($F1436="","",13)</f>
        <v/>
      </c>
    </row>
    <row r="1437" ht="16.5" customHeight="1" s="186">
      <c r="A1437" s="760" t="n"/>
      <c r="B1437" s="760" t="n"/>
      <c r="C1437" s="762" t="n"/>
      <c r="D1437" s="762" t="n"/>
      <c r="E1437" s="775" t="n"/>
      <c r="F1437" s="821" t="n"/>
      <c r="G1437" s="821" t="n"/>
      <c r="H1437" s="818">
        <f>IF(G1437=1,F1437-I1437-J1437-K1437,IF(G1437=2,F1437,0))</f>
        <v>0</v>
      </c>
      <c r="I1437" s="818">
        <f>ROUND(IF(G1437=1,F1437*10/23,IF(G1437=3,F1437-J1437-K1437,IF(G1437=4,F1437,IF(G1437=5,F1437*10/11,IF(G1437=7,F1437*10/11,0))))),0)</f>
        <v>0</v>
      </c>
      <c r="J1437" s="818">
        <f>ROUND(IF(G1437=1,F1437/23,IF(G1437=3,F1437/12,IF(G1437=5,F1437-I1437,IF(G1437=8,F1437,0)))),0)</f>
        <v>0</v>
      </c>
      <c r="K1437" s="819">
        <f>ROUND(IF(G1437=1,F1437/23,IF(G1437=3,F1437/12,IF(G1437=6,F1437,IF(G1437=7,F1437-I1437,0)))),0)</f>
        <v>0</v>
      </c>
      <c r="L1437" s="820">
        <f>IF(G1437=6,F1437,0)</f>
        <v>0</v>
      </c>
      <c r="P1437" s="768" t="n"/>
      <c r="Q1437" s="769" t="str">
        <f>IF($F1437="","",IFERROR(VLOOKUP($C1437&amp;"|"&amp;$D1437,科目表!$A$5:$B$200,2,FALSE),"※未登録"))</f>
        <v/>
      </c>
      <c r="R1437" s="769" t="str">
        <f>IF($F1437="","",$I1437+$J1437+$K1437)</f>
        <v/>
      </c>
      <c r="S1437" s="769" t="str">
        <f>IF(OR($F1437="",$P1437="支払なし",$H1437=0,$Q1437=""),"",$Q1437&amp;"|S|"&amp;(COUNTIF(S$4:S1436,$Q1437&amp;"|S|*")+1))</f>
        <v/>
      </c>
      <c r="T1437" s="769" t="str">
        <f>IF(OR($F1437="",$P1437="支払なし",$R1437=0,$Q1437=""),"",$Q1437&amp;"|L|"&amp;(COUNTIF(T$4:T1436,$Q1437&amp;"|L|*")+1))</f>
        <v/>
      </c>
      <c r="U1437" s="769" t="str">
        <f>IF($F1437="","",13)</f>
        <v/>
      </c>
    </row>
    <row r="1438" ht="16.5" customHeight="1" s="186">
      <c r="A1438" s="760" t="n"/>
      <c r="B1438" s="760" t="n"/>
      <c r="C1438" s="762" t="n"/>
      <c r="D1438" s="762" t="n"/>
      <c r="E1438" s="775" t="n"/>
      <c r="F1438" s="821" t="n"/>
      <c r="G1438" s="821" t="n"/>
      <c r="H1438" s="818">
        <f>IF(G1438=1,F1438-I1438-J1438-K1438,IF(G1438=2,F1438,0))</f>
        <v>0</v>
      </c>
      <c r="I1438" s="818">
        <f>ROUND(IF(G1438=1,F1438*10/23,IF(G1438=3,F1438-J1438-K1438,IF(G1438=4,F1438,IF(G1438=5,F1438*10/11,IF(G1438=7,F1438*10/11,0))))),0)</f>
        <v>0</v>
      </c>
      <c r="J1438" s="818">
        <f>ROUND(IF(G1438=1,F1438/23,IF(G1438=3,F1438/12,IF(G1438=5,F1438-I1438,IF(G1438=8,F1438,0)))),0)</f>
        <v>0</v>
      </c>
      <c r="K1438" s="819">
        <f>ROUND(IF(G1438=1,F1438/23,IF(G1438=3,F1438/12,IF(G1438=6,F1438,IF(G1438=7,F1438-I1438,0)))),0)</f>
        <v>0</v>
      </c>
      <c r="L1438" s="820">
        <f>IF(G1438=6,F1438,0)</f>
        <v>0</v>
      </c>
      <c r="P1438" s="768" t="n"/>
      <c r="Q1438" s="769" t="str">
        <f>IF($F1438="","",IFERROR(VLOOKUP($C1438&amp;"|"&amp;$D1438,科目表!$A$5:$B$200,2,FALSE),"※未登録"))</f>
        <v/>
      </c>
      <c r="R1438" s="769" t="str">
        <f>IF($F1438="","",$I1438+$J1438+$K1438)</f>
        <v/>
      </c>
      <c r="S1438" s="769" t="str">
        <f>IF(OR($F1438="",$P1438="支払なし",$H1438=0,$Q1438=""),"",$Q1438&amp;"|S|"&amp;(COUNTIF(S$4:S1437,$Q1438&amp;"|S|*")+1))</f>
        <v/>
      </c>
      <c r="T1438" s="769" t="str">
        <f>IF(OR($F1438="",$P1438="支払なし",$R1438=0,$Q1438=""),"",$Q1438&amp;"|L|"&amp;(COUNTIF(T$4:T1437,$Q1438&amp;"|L|*")+1))</f>
        <v/>
      </c>
      <c r="U1438" s="769" t="str">
        <f>IF($F1438="","",13)</f>
        <v/>
      </c>
    </row>
    <row r="1439" ht="16.5" customHeight="1" s="186">
      <c r="A1439" s="760" t="n"/>
      <c r="B1439" s="760" t="n"/>
      <c r="C1439" s="762" t="n"/>
      <c r="D1439" s="762" t="n"/>
      <c r="E1439" s="775" t="n"/>
      <c r="F1439" s="821" t="n"/>
      <c r="G1439" s="821" t="n"/>
      <c r="H1439" s="818">
        <f>IF(G1439=1,F1439-I1439-J1439-K1439,IF(G1439=2,F1439,0))</f>
        <v>0</v>
      </c>
      <c r="I1439" s="818">
        <f>ROUND(IF(G1439=1,F1439*10/23,IF(G1439=3,F1439-J1439-K1439,IF(G1439=4,F1439,IF(G1439=5,F1439*10/11,IF(G1439=7,F1439*10/11,0))))),0)</f>
        <v>0</v>
      </c>
      <c r="J1439" s="818">
        <f>ROUND(IF(G1439=1,F1439/23,IF(G1439=3,F1439/12,IF(G1439=5,F1439-I1439,IF(G1439=8,F1439,0)))),0)</f>
        <v>0</v>
      </c>
      <c r="K1439" s="819">
        <f>ROUND(IF(G1439=1,F1439/23,IF(G1439=3,F1439/12,IF(G1439=6,F1439,IF(G1439=7,F1439-I1439,0)))),0)</f>
        <v>0</v>
      </c>
      <c r="L1439" s="820">
        <f>IF(G1439=6,F1439,0)</f>
        <v>0</v>
      </c>
      <c r="P1439" s="768" t="n"/>
      <c r="Q1439" s="769" t="str">
        <f>IF($F1439="","",IFERROR(VLOOKUP($C1439&amp;"|"&amp;$D1439,科目表!$A$5:$B$200,2,FALSE),"※未登録"))</f>
        <v/>
      </c>
      <c r="R1439" s="769" t="str">
        <f>IF($F1439="","",$I1439+$J1439+$K1439)</f>
        <v/>
      </c>
      <c r="S1439" s="769" t="str">
        <f>IF(OR($F1439="",$P1439="支払なし",$H1439=0,$Q1439=""),"",$Q1439&amp;"|S|"&amp;(COUNTIF(S$4:S1438,$Q1439&amp;"|S|*")+1))</f>
        <v/>
      </c>
      <c r="T1439" s="769" t="str">
        <f>IF(OR($F1439="",$P1439="支払なし",$R1439=0,$Q1439=""),"",$Q1439&amp;"|L|"&amp;(COUNTIF(T$4:T1438,$Q1439&amp;"|L|*")+1))</f>
        <v/>
      </c>
      <c r="U1439" s="769" t="str">
        <f>IF($F1439="","",13)</f>
        <v/>
      </c>
    </row>
    <row r="1440" ht="16.5" customHeight="1" s="186">
      <c r="A1440" s="760" t="n"/>
      <c r="B1440" s="760" t="n"/>
      <c r="C1440" s="762" t="n"/>
      <c r="D1440" s="762" t="n"/>
      <c r="E1440" s="775" t="n"/>
      <c r="F1440" s="821" t="n"/>
      <c r="G1440" s="821" t="n"/>
      <c r="H1440" s="818">
        <f>IF(G1440=1,F1440-I1440-J1440-K1440,IF(G1440=2,F1440,0))</f>
        <v>0</v>
      </c>
      <c r="I1440" s="818">
        <f>ROUND(IF(G1440=1,F1440*10/23,IF(G1440=3,F1440-J1440-K1440,IF(G1440=4,F1440,IF(G1440=5,F1440*10/11,IF(G1440=7,F1440*10/11,0))))),0)</f>
        <v>0</v>
      </c>
      <c r="J1440" s="818">
        <f>ROUND(IF(G1440=1,F1440/23,IF(G1440=3,F1440/12,IF(G1440=5,F1440-I1440,IF(G1440=8,F1440,0)))),0)</f>
        <v>0</v>
      </c>
      <c r="K1440" s="819">
        <f>ROUND(IF(G1440=1,F1440/23,IF(G1440=3,F1440/12,IF(G1440=6,F1440,IF(G1440=7,F1440-I1440,0)))),0)</f>
        <v>0</v>
      </c>
      <c r="L1440" s="820">
        <f>IF(G1440=6,F1440,0)</f>
        <v>0</v>
      </c>
      <c r="P1440" s="768" t="n"/>
      <c r="Q1440" s="769" t="str">
        <f>IF($F1440="","",IFERROR(VLOOKUP($C1440&amp;"|"&amp;$D1440,科目表!$A$5:$B$200,2,FALSE),"※未登録"))</f>
        <v/>
      </c>
      <c r="R1440" s="769" t="str">
        <f>IF($F1440="","",$I1440+$J1440+$K1440)</f>
        <v/>
      </c>
      <c r="S1440" s="769" t="str">
        <f>IF(OR($F1440="",$P1440="支払なし",$H1440=0,$Q1440=""),"",$Q1440&amp;"|S|"&amp;(COUNTIF(S$4:S1439,$Q1440&amp;"|S|*")+1))</f>
        <v/>
      </c>
      <c r="T1440" s="769" t="str">
        <f>IF(OR($F1440="",$P1440="支払なし",$R1440=0,$Q1440=""),"",$Q1440&amp;"|L|"&amp;(COUNTIF(T$4:T1439,$Q1440&amp;"|L|*")+1))</f>
        <v/>
      </c>
      <c r="U1440" s="769" t="str">
        <f>IF($F1440="","",13)</f>
        <v/>
      </c>
    </row>
    <row r="1441" ht="16.5" customHeight="1" s="186">
      <c r="A1441" s="760" t="n"/>
      <c r="B1441" s="760" t="n"/>
      <c r="C1441" s="762" t="n"/>
      <c r="D1441" s="762" t="n"/>
      <c r="E1441" s="775" t="n"/>
      <c r="F1441" s="821" t="n"/>
      <c r="G1441" s="821" t="n"/>
      <c r="H1441" s="818">
        <f>IF(G1441=1,F1441-I1441-J1441-K1441,IF(G1441=2,F1441,0))</f>
        <v>0</v>
      </c>
      <c r="I1441" s="818">
        <f>ROUND(IF(G1441=1,F1441*10/23,IF(G1441=3,F1441-J1441-K1441,IF(G1441=4,F1441,IF(G1441=5,F1441*10/11,IF(G1441=7,F1441*10/11,0))))),0)</f>
        <v>0</v>
      </c>
      <c r="J1441" s="818">
        <f>ROUND(IF(G1441=1,F1441/23,IF(G1441=3,F1441/12,IF(G1441=5,F1441-I1441,IF(G1441=8,F1441,0)))),0)</f>
        <v>0</v>
      </c>
      <c r="K1441" s="819">
        <f>ROUND(IF(G1441=1,F1441/23,IF(G1441=3,F1441/12,IF(G1441=6,F1441,IF(G1441=7,F1441-I1441,0)))),0)</f>
        <v>0</v>
      </c>
      <c r="L1441" s="820">
        <f>IF(G1441=6,F1441,0)</f>
        <v>0</v>
      </c>
      <c r="P1441" s="768" t="n"/>
      <c r="Q1441" s="769" t="str">
        <f>IF($F1441="","",IFERROR(VLOOKUP($C1441&amp;"|"&amp;$D1441,科目表!$A$5:$B$200,2,FALSE),"※未登録"))</f>
        <v/>
      </c>
      <c r="R1441" s="769" t="str">
        <f>IF($F1441="","",$I1441+$J1441+$K1441)</f>
        <v/>
      </c>
      <c r="S1441" s="769" t="str">
        <f>IF(OR($F1441="",$P1441="支払なし",$H1441=0,$Q1441=""),"",$Q1441&amp;"|S|"&amp;(COUNTIF(S$4:S1440,$Q1441&amp;"|S|*")+1))</f>
        <v/>
      </c>
      <c r="T1441" s="769" t="str">
        <f>IF(OR($F1441="",$P1441="支払なし",$R1441=0,$Q1441=""),"",$Q1441&amp;"|L|"&amp;(COUNTIF(T$4:T1440,$Q1441&amp;"|L|*")+1))</f>
        <v/>
      </c>
      <c r="U1441" s="769" t="str">
        <f>IF($F1441="","",13)</f>
        <v/>
      </c>
    </row>
    <row r="1442" ht="16.5" customHeight="1" s="186">
      <c r="A1442" s="760" t="n"/>
      <c r="B1442" s="760" t="n"/>
      <c r="C1442" s="762" t="n"/>
      <c r="D1442" s="762" t="n"/>
      <c r="E1442" s="775" t="n"/>
      <c r="F1442" s="821" t="n"/>
      <c r="G1442" s="821" t="n"/>
      <c r="H1442" s="818">
        <f>IF(G1442=1,F1442-I1442-J1442-K1442,IF(G1442=2,F1442,0))</f>
        <v>0</v>
      </c>
      <c r="I1442" s="818">
        <f>ROUND(IF(G1442=1,F1442*10/23,IF(G1442=3,F1442-J1442-K1442,IF(G1442=4,F1442,IF(G1442=5,F1442*10/11,IF(G1442=7,F1442*10/11,0))))),0)</f>
        <v>0</v>
      </c>
      <c r="J1442" s="818">
        <f>ROUND(IF(G1442=1,F1442/23,IF(G1442=3,F1442/12,IF(G1442=5,F1442-I1442,IF(G1442=8,F1442,0)))),0)</f>
        <v>0</v>
      </c>
      <c r="K1442" s="819">
        <f>ROUND(IF(G1442=1,F1442/23,IF(G1442=3,F1442/12,IF(G1442=6,F1442,IF(G1442=7,F1442-I1442,0)))),0)</f>
        <v>0</v>
      </c>
      <c r="L1442" s="820">
        <f>IF(G1442=6,F1442,0)</f>
        <v>0</v>
      </c>
      <c r="P1442" s="768" t="n"/>
      <c r="Q1442" s="769" t="str">
        <f>IF($F1442="","",IFERROR(VLOOKUP($C1442&amp;"|"&amp;$D1442,科目表!$A$5:$B$200,2,FALSE),"※未登録"))</f>
        <v/>
      </c>
      <c r="R1442" s="769" t="str">
        <f>IF($F1442="","",$I1442+$J1442+$K1442)</f>
        <v/>
      </c>
      <c r="S1442" s="769" t="str">
        <f>IF(OR($F1442="",$P1442="支払なし",$H1442=0,$Q1442=""),"",$Q1442&amp;"|S|"&amp;(COUNTIF(S$4:S1441,$Q1442&amp;"|S|*")+1))</f>
        <v/>
      </c>
      <c r="T1442" s="769" t="str">
        <f>IF(OR($F1442="",$P1442="支払なし",$R1442=0,$Q1442=""),"",$Q1442&amp;"|L|"&amp;(COUNTIF(T$4:T1441,$Q1442&amp;"|L|*")+1))</f>
        <v/>
      </c>
      <c r="U1442" s="769" t="str">
        <f>IF($F1442="","",13)</f>
        <v/>
      </c>
    </row>
    <row r="1443" ht="16.5" customHeight="1" s="186">
      <c r="A1443" s="760" t="n"/>
      <c r="B1443" s="760" t="n"/>
      <c r="C1443" s="762" t="n"/>
      <c r="D1443" s="762" t="n"/>
      <c r="E1443" s="775" t="n"/>
      <c r="F1443" s="821" t="n"/>
      <c r="G1443" s="821" t="n"/>
      <c r="H1443" s="818">
        <f>IF(G1443=1,F1443-I1443-J1443-K1443,IF(G1443=2,F1443,0))</f>
        <v>0</v>
      </c>
      <c r="I1443" s="818">
        <f>ROUND(IF(G1443=1,F1443*10/23,IF(G1443=3,F1443-J1443-K1443,IF(G1443=4,F1443,IF(G1443=5,F1443*10/11,IF(G1443=7,F1443*10/11,0))))),0)</f>
        <v>0</v>
      </c>
      <c r="J1443" s="818">
        <f>ROUND(IF(G1443=1,F1443/23,IF(G1443=3,F1443/12,IF(G1443=5,F1443-I1443,IF(G1443=8,F1443,0)))),0)</f>
        <v>0</v>
      </c>
      <c r="K1443" s="819">
        <f>ROUND(IF(G1443=1,F1443/23,IF(G1443=3,F1443/12,IF(G1443=6,F1443,IF(G1443=7,F1443-I1443,0)))),0)</f>
        <v>0</v>
      </c>
      <c r="L1443" s="820">
        <f>IF(G1443=6,F1443,0)</f>
        <v>0</v>
      </c>
      <c r="P1443" s="768" t="n"/>
      <c r="Q1443" s="769" t="str">
        <f>IF($F1443="","",IFERROR(VLOOKUP($C1443&amp;"|"&amp;$D1443,科目表!$A$5:$B$200,2,FALSE),"※未登録"))</f>
        <v/>
      </c>
      <c r="R1443" s="769" t="str">
        <f>IF($F1443="","",$I1443+$J1443+$K1443)</f>
        <v/>
      </c>
      <c r="S1443" s="769" t="str">
        <f>IF(OR($F1443="",$P1443="支払なし",$H1443=0,$Q1443=""),"",$Q1443&amp;"|S|"&amp;(COUNTIF(S$4:S1442,$Q1443&amp;"|S|*")+1))</f>
        <v/>
      </c>
      <c r="T1443" s="769" t="str">
        <f>IF(OR($F1443="",$P1443="支払なし",$R1443=0,$Q1443=""),"",$Q1443&amp;"|L|"&amp;(COUNTIF(T$4:T1442,$Q1443&amp;"|L|*")+1))</f>
        <v/>
      </c>
      <c r="U1443" s="769" t="str">
        <f>IF($F1443="","",13)</f>
        <v/>
      </c>
    </row>
    <row r="1444" ht="16.5" customHeight="1" s="186">
      <c r="A1444" s="760" t="n"/>
      <c r="B1444" s="760" t="n"/>
      <c r="C1444" s="762" t="n"/>
      <c r="D1444" s="762" t="n"/>
      <c r="E1444" s="775" t="n"/>
      <c r="F1444" s="821" t="n"/>
      <c r="G1444" s="821" t="n"/>
      <c r="H1444" s="818">
        <f>IF(G1444=1,F1444-I1444-J1444-K1444,IF(G1444=2,F1444,0))</f>
        <v>0</v>
      </c>
      <c r="I1444" s="818">
        <f>ROUND(IF(G1444=1,F1444*10/23,IF(G1444=3,F1444-J1444-K1444,IF(G1444=4,F1444,IF(G1444=5,F1444*10/11,IF(G1444=7,F1444*10/11,0))))),0)</f>
        <v>0</v>
      </c>
      <c r="J1444" s="818">
        <f>ROUND(IF(G1444=1,F1444/23,IF(G1444=3,F1444/12,IF(G1444=5,F1444-I1444,IF(G1444=8,F1444,0)))),0)</f>
        <v>0</v>
      </c>
      <c r="K1444" s="819">
        <f>ROUND(IF(G1444=1,F1444/23,IF(G1444=3,F1444/12,IF(G1444=6,F1444,IF(G1444=7,F1444-I1444,0)))),0)</f>
        <v>0</v>
      </c>
      <c r="L1444" s="820">
        <f>IF(G1444=6,F1444,0)</f>
        <v>0</v>
      </c>
      <c r="P1444" s="768" t="n"/>
      <c r="Q1444" s="769" t="str">
        <f>IF($F1444="","",IFERROR(VLOOKUP($C1444&amp;"|"&amp;$D1444,科目表!$A$5:$B$200,2,FALSE),"※未登録"))</f>
        <v/>
      </c>
      <c r="R1444" s="769" t="str">
        <f>IF($F1444="","",$I1444+$J1444+$K1444)</f>
        <v/>
      </c>
      <c r="S1444" s="769" t="str">
        <f>IF(OR($F1444="",$P1444="支払なし",$H1444=0,$Q1444=""),"",$Q1444&amp;"|S|"&amp;(COUNTIF(S$4:S1443,$Q1444&amp;"|S|*")+1))</f>
        <v/>
      </c>
      <c r="T1444" s="769" t="str">
        <f>IF(OR($F1444="",$P1444="支払なし",$R1444=0,$Q1444=""),"",$Q1444&amp;"|L|"&amp;(COUNTIF(T$4:T1443,$Q1444&amp;"|L|*")+1))</f>
        <v/>
      </c>
      <c r="U1444" s="769" t="str">
        <f>IF($F1444="","",13)</f>
        <v/>
      </c>
    </row>
    <row r="1445" ht="16.5" customHeight="1" s="186">
      <c r="A1445" s="760" t="n"/>
      <c r="B1445" s="760" t="n"/>
      <c r="C1445" s="762" t="n"/>
      <c r="D1445" s="762" t="n"/>
      <c r="E1445" s="775" t="n"/>
      <c r="F1445" s="821" t="n"/>
      <c r="G1445" s="821" t="n"/>
      <c r="H1445" s="818">
        <f>IF(G1445=1,F1445-I1445-J1445-K1445,IF(G1445=2,F1445,0))</f>
        <v>0</v>
      </c>
      <c r="I1445" s="818">
        <f>ROUND(IF(G1445=1,F1445*10/23,IF(G1445=3,F1445-J1445-K1445,IF(G1445=4,F1445,IF(G1445=5,F1445*10/11,IF(G1445=7,F1445*10/11,0))))),0)</f>
        <v>0</v>
      </c>
      <c r="J1445" s="818">
        <f>ROUND(IF(G1445=1,F1445/23,IF(G1445=3,F1445/12,IF(G1445=5,F1445-I1445,IF(G1445=8,F1445,0)))),0)</f>
        <v>0</v>
      </c>
      <c r="K1445" s="819">
        <f>ROUND(IF(G1445=1,F1445/23,IF(G1445=3,F1445/12,IF(G1445=6,F1445,IF(G1445=7,F1445-I1445,0)))),0)</f>
        <v>0</v>
      </c>
      <c r="L1445" s="820">
        <f>IF(G1445=6,F1445,0)</f>
        <v>0</v>
      </c>
      <c r="P1445" s="768" t="n"/>
      <c r="Q1445" s="769" t="str">
        <f>IF($F1445="","",IFERROR(VLOOKUP($C1445&amp;"|"&amp;$D1445,科目表!$A$5:$B$200,2,FALSE),"※未登録"))</f>
        <v/>
      </c>
      <c r="R1445" s="769" t="str">
        <f>IF($F1445="","",$I1445+$J1445+$K1445)</f>
        <v/>
      </c>
      <c r="S1445" s="769" t="str">
        <f>IF(OR($F1445="",$P1445="支払なし",$H1445=0,$Q1445=""),"",$Q1445&amp;"|S|"&amp;(COUNTIF(S$4:S1444,$Q1445&amp;"|S|*")+1))</f>
        <v/>
      </c>
      <c r="T1445" s="769" t="str">
        <f>IF(OR($F1445="",$P1445="支払なし",$R1445=0,$Q1445=""),"",$Q1445&amp;"|L|"&amp;(COUNTIF(T$4:T1444,$Q1445&amp;"|L|*")+1))</f>
        <v/>
      </c>
      <c r="U1445" s="769" t="str">
        <f>IF($F1445="","",13)</f>
        <v/>
      </c>
    </row>
    <row r="1446" ht="16.5" customHeight="1" s="186">
      <c r="A1446" s="760" t="n"/>
      <c r="B1446" s="760" t="n"/>
      <c r="C1446" s="762" t="n"/>
      <c r="D1446" s="762" t="n"/>
      <c r="E1446" s="775" t="n"/>
      <c r="F1446" s="821" t="n"/>
      <c r="G1446" s="821" t="n"/>
      <c r="H1446" s="818">
        <f>IF(G1446=1,F1446-I1446-J1446-K1446,IF(G1446=2,F1446,0))</f>
        <v>0</v>
      </c>
      <c r="I1446" s="818">
        <f>ROUND(IF(G1446=1,F1446*10/23,IF(G1446=3,F1446-J1446-K1446,IF(G1446=4,F1446,IF(G1446=5,F1446*10/11,IF(G1446=7,F1446*10/11,0))))),0)</f>
        <v>0</v>
      </c>
      <c r="J1446" s="818">
        <f>ROUND(IF(G1446=1,F1446/23,IF(G1446=3,F1446/12,IF(G1446=5,F1446-I1446,IF(G1446=8,F1446,0)))),0)</f>
        <v>0</v>
      </c>
      <c r="K1446" s="819">
        <f>ROUND(IF(G1446=1,F1446/23,IF(G1446=3,F1446/12,IF(G1446=6,F1446,IF(G1446=7,F1446-I1446,0)))),0)</f>
        <v>0</v>
      </c>
      <c r="L1446" s="820">
        <f>IF(G1446=6,F1446,0)</f>
        <v>0</v>
      </c>
      <c r="P1446" s="768" t="n"/>
      <c r="Q1446" s="769" t="str">
        <f>IF($F1446="","",IFERROR(VLOOKUP($C1446&amp;"|"&amp;$D1446,科目表!$A$5:$B$200,2,FALSE),"※未登録"))</f>
        <v/>
      </c>
      <c r="R1446" s="769" t="str">
        <f>IF($F1446="","",$I1446+$J1446+$K1446)</f>
        <v/>
      </c>
      <c r="S1446" s="769" t="str">
        <f>IF(OR($F1446="",$P1446="支払なし",$H1446=0,$Q1446=""),"",$Q1446&amp;"|S|"&amp;(COUNTIF(S$4:S1445,$Q1446&amp;"|S|*")+1))</f>
        <v/>
      </c>
      <c r="T1446" s="769" t="str">
        <f>IF(OR($F1446="",$P1446="支払なし",$R1446=0,$Q1446=""),"",$Q1446&amp;"|L|"&amp;(COUNTIF(T$4:T1445,$Q1446&amp;"|L|*")+1))</f>
        <v/>
      </c>
      <c r="U1446" s="769" t="str">
        <f>IF($F1446="","",13)</f>
        <v/>
      </c>
    </row>
    <row r="1447" ht="16.5" customHeight="1" s="186">
      <c r="A1447" s="760" t="n"/>
      <c r="B1447" s="760" t="n"/>
      <c r="C1447" s="762" t="n"/>
      <c r="D1447" s="762" t="n"/>
      <c r="E1447" s="775" t="n"/>
      <c r="F1447" s="821" t="n"/>
      <c r="G1447" s="821" t="n"/>
      <c r="H1447" s="818">
        <f>IF(G1447=1,F1447-I1447-J1447-K1447,IF(G1447=2,F1447,0))</f>
        <v>0</v>
      </c>
      <c r="I1447" s="818">
        <f>ROUND(IF(G1447=1,F1447*10/23,IF(G1447=3,F1447-J1447-K1447,IF(G1447=4,F1447,IF(G1447=5,F1447*10/11,IF(G1447=7,F1447*10/11,0))))),0)</f>
        <v>0</v>
      </c>
      <c r="J1447" s="818">
        <f>ROUND(IF(G1447=1,F1447/23,IF(G1447=3,F1447/12,IF(G1447=5,F1447-I1447,IF(G1447=8,F1447,0)))),0)</f>
        <v>0</v>
      </c>
      <c r="K1447" s="819">
        <f>ROUND(IF(G1447=1,F1447/23,IF(G1447=3,F1447/12,IF(G1447=6,F1447,IF(G1447=7,F1447-I1447,0)))),0)</f>
        <v>0</v>
      </c>
      <c r="L1447" s="820">
        <f>IF(G1447=6,F1447,0)</f>
        <v>0</v>
      </c>
      <c r="P1447" s="768" t="n"/>
      <c r="Q1447" s="769" t="str">
        <f>IF($F1447="","",IFERROR(VLOOKUP($C1447&amp;"|"&amp;$D1447,科目表!$A$5:$B$200,2,FALSE),"※未登録"))</f>
        <v/>
      </c>
      <c r="R1447" s="769" t="str">
        <f>IF($F1447="","",$I1447+$J1447+$K1447)</f>
        <v/>
      </c>
      <c r="S1447" s="769" t="str">
        <f>IF(OR($F1447="",$P1447="支払なし",$H1447=0,$Q1447=""),"",$Q1447&amp;"|S|"&amp;(COUNTIF(S$4:S1446,$Q1447&amp;"|S|*")+1))</f>
        <v/>
      </c>
      <c r="T1447" s="769" t="str">
        <f>IF(OR($F1447="",$P1447="支払なし",$R1447=0,$Q1447=""),"",$Q1447&amp;"|L|"&amp;(COUNTIF(T$4:T1446,$Q1447&amp;"|L|*")+1))</f>
        <v/>
      </c>
      <c r="U1447" s="769" t="str">
        <f>IF($F1447="","",13)</f>
        <v/>
      </c>
    </row>
    <row r="1448" ht="16.5" customHeight="1" s="186">
      <c r="A1448" s="760" t="n"/>
      <c r="B1448" s="760" t="n"/>
      <c r="C1448" s="762" t="n"/>
      <c r="D1448" s="762" t="n"/>
      <c r="E1448" s="775" t="n"/>
      <c r="F1448" s="821" t="n"/>
      <c r="G1448" s="821" t="n"/>
      <c r="H1448" s="818">
        <f>IF(G1448=1,F1448-I1448-J1448-K1448,IF(G1448=2,F1448,0))</f>
        <v>0</v>
      </c>
      <c r="I1448" s="818">
        <f>ROUND(IF(G1448=1,F1448*10/23,IF(G1448=3,F1448-J1448-K1448,IF(G1448=4,F1448,IF(G1448=5,F1448*10/11,IF(G1448=7,F1448*10/11,0))))),0)</f>
        <v>0</v>
      </c>
      <c r="J1448" s="818">
        <f>ROUND(IF(G1448=1,F1448/23,IF(G1448=3,F1448/12,IF(G1448=5,F1448-I1448,IF(G1448=8,F1448,0)))),0)</f>
        <v>0</v>
      </c>
      <c r="K1448" s="819">
        <f>ROUND(IF(G1448=1,F1448/23,IF(G1448=3,F1448/12,IF(G1448=6,F1448,IF(G1448=7,F1448-I1448,0)))),0)</f>
        <v>0</v>
      </c>
      <c r="L1448" s="820">
        <f>IF(G1448=6,F1448,0)</f>
        <v>0</v>
      </c>
      <c r="P1448" s="768" t="n"/>
      <c r="Q1448" s="769" t="str">
        <f>IF($F1448="","",IFERROR(VLOOKUP($C1448&amp;"|"&amp;$D1448,科目表!$A$5:$B$200,2,FALSE),"※未登録"))</f>
        <v/>
      </c>
      <c r="R1448" s="769" t="str">
        <f>IF($F1448="","",$I1448+$J1448+$K1448)</f>
        <v/>
      </c>
      <c r="S1448" s="769" t="str">
        <f>IF(OR($F1448="",$P1448="支払なし",$H1448=0,$Q1448=""),"",$Q1448&amp;"|S|"&amp;(COUNTIF(S$4:S1447,$Q1448&amp;"|S|*")+1))</f>
        <v/>
      </c>
      <c r="T1448" s="769" t="str">
        <f>IF(OR($F1448="",$P1448="支払なし",$R1448=0,$Q1448=""),"",$Q1448&amp;"|L|"&amp;(COUNTIF(T$4:T1447,$Q1448&amp;"|L|*")+1))</f>
        <v/>
      </c>
      <c r="U1448" s="769" t="str">
        <f>IF($F1448="","",13)</f>
        <v/>
      </c>
    </row>
    <row r="1449" ht="16.5" customHeight="1" s="186">
      <c r="A1449" s="760" t="n"/>
      <c r="B1449" s="760" t="n"/>
      <c r="C1449" s="762" t="n"/>
      <c r="D1449" s="762" t="n"/>
      <c r="E1449" s="775" t="n"/>
      <c r="F1449" s="821" t="n"/>
      <c r="G1449" s="821" t="n"/>
      <c r="H1449" s="818">
        <f>IF(G1449=1,F1449-I1449-J1449-K1449,IF(G1449=2,F1449,0))</f>
        <v>0</v>
      </c>
      <c r="I1449" s="818">
        <f>ROUND(IF(G1449=1,F1449*10/23,IF(G1449=3,F1449-J1449-K1449,IF(G1449=4,F1449,IF(G1449=5,F1449*10/11,IF(G1449=7,F1449*10/11,0))))),0)</f>
        <v>0</v>
      </c>
      <c r="J1449" s="818">
        <f>ROUND(IF(G1449=1,F1449/23,IF(G1449=3,F1449/12,IF(G1449=5,F1449-I1449,IF(G1449=8,F1449,0)))),0)</f>
        <v>0</v>
      </c>
      <c r="K1449" s="819">
        <f>ROUND(IF(G1449=1,F1449/23,IF(G1449=3,F1449/12,IF(G1449=6,F1449,IF(G1449=7,F1449-I1449,0)))),0)</f>
        <v>0</v>
      </c>
      <c r="L1449" s="820">
        <f>IF(G1449=6,F1449,0)</f>
        <v>0</v>
      </c>
      <c r="P1449" s="768" t="n"/>
      <c r="Q1449" s="769" t="str">
        <f>IF($F1449="","",IFERROR(VLOOKUP($C1449&amp;"|"&amp;$D1449,科目表!$A$5:$B$200,2,FALSE),"※未登録"))</f>
        <v/>
      </c>
      <c r="R1449" s="769" t="str">
        <f>IF($F1449="","",$I1449+$J1449+$K1449)</f>
        <v/>
      </c>
      <c r="S1449" s="769" t="str">
        <f>IF(OR($F1449="",$P1449="支払なし",$H1449=0,$Q1449=""),"",$Q1449&amp;"|S|"&amp;(COUNTIF(S$4:S1448,$Q1449&amp;"|S|*")+1))</f>
        <v/>
      </c>
      <c r="T1449" s="769" t="str">
        <f>IF(OR($F1449="",$P1449="支払なし",$R1449=0,$Q1449=""),"",$Q1449&amp;"|L|"&amp;(COUNTIF(T$4:T1448,$Q1449&amp;"|L|*")+1))</f>
        <v/>
      </c>
      <c r="U1449" s="769" t="str">
        <f>IF($F1449="","",13)</f>
        <v/>
      </c>
    </row>
    <row r="1450" ht="16.5" customHeight="1" s="186">
      <c r="A1450" s="760" t="n"/>
      <c r="B1450" s="760" t="n"/>
      <c r="C1450" s="762" t="n"/>
      <c r="D1450" s="762" t="n"/>
      <c r="E1450" s="775" t="n"/>
      <c r="F1450" s="821" t="n"/>
      <c r="G1450" s="821" t="n"/>
      <c r="H1450" s="818">
        <f>IF(G1450=1,F1450-I1450-J1450-K1450,IF(G1450=2,F1450,0))</f>
        <v>0</v>
      </c>
      <c r="I1450" s="818">
        <f>ROUND(IF(G1450=1,F1450*10/23,IF(G1450=3,F1450-J1450-K1450,IF(G1450=4,F1450,IF(G1450=5,F1450*10/11,IF(G1450=7,F1450*10/11,0))))),0)</f>
        <v>0</v>
      </c>
      <c r="J1450" s="818">
        <f>ROUND(IF(G1450=1,F1450/23,IF(G1450=3,F1450/12,IF(G1450=5,F1450-I1450,IF(G1450=8,F1450,0)))),0)</f>
        <v>0</v>
      </c>
      <c r="K1450" s="819">
        <f>ROUND(IF(G1450=1,F1450/23,IF(G1450=3,F1450/12,IF(G1450=6,F1450,IF(G1450=7,F1450-I1450,0)))),0)</f>
        <v>0</v>
      </c>
      <c r="L1450" s="820">
        <f>IF(G1450=6,F1450,0)</f>
        <v>0</v>
      </c>
      <c r="P1450" s="768" t="n"/>
      <c r="Q1450" s="769" t="str">
        <f>IF($F1450="","",IFERROR(VLOOKUP($C1450&amp;"|"&amp;$D1450,科目表!$A$5:$B$200,2,FALSE),"※未登録"))</f>
        <v/>
      </c>
      <c r="R1450" s="769" t="str">
        <f>IF($F1450="","",$I1450+$J1450+$K1450)</f>
        <v/>
      </c>
      <c r="S1450" s="769" t="str">
        <f>IF(OR($F1450="",$P1450="支払なし",$H1450=0,$Q1450=""),"",$Q1450&amp;"|S|"&amp;(COUNTIF(S$4:S1449,$Q1450&amp;"|S|*")+1))</f>
        <v/>
      </c>
      <c r="T1450" s="769" t="str">
        <f>IF(OR($F1450="",$P1450="支払なし",$R1450=0,$Q1450=""),"",$Q1450&amp;"|L|"&amp;(COUNTIF(T$4:T1449,$Q1450&amp;"|L|*")+1))</f>
        <v/>
      </c>
      <c r="U1450" s="769" t="str">
        <f>IF($F1450="","",13)</f>
        <v/>
      </c>
    </row>
    <row r="1451" ht="16.5" customHeight="1" s="186">
      <c r="A1451" s="760" t="n"/>
      <c r="B1451" s="760" t="n"/>
      <c r="C1451" s="762" t="n"/>
      <c r="D1451" s="762" t="n"/>
      <c r="E1451" s="775" t="n"/>
      <c r="F1451" s="821" t="n"/>
      <c r="G1451" s="821" t="n"/>
      <c r="H1451" s="818">
        <f>IF(G1451=1,F1451-I1451-J1451-K1451,IF(G1451=2,F1451,0))</f>
        <v>0</v>
      </c>
      <c r="I1451" s="818">
        <f>ROUND(IF(G1451=1,F1451*10/23,IF(G1451=3,F1451-J1451-K1451,IF(G1451=4,F1451,IF(G1451=5,F1451*10/11,IF(G1451=7,F1451*10/11,0))))),0)</f>
        <v>0</v>
      </c>
      <c r="J1451" s="818">
        <f>ROUND(IF(G1451=1,F1451/23,IF(G1451=3,F1451/12,IF(G1451=5,F1451-I1451,IF(G1451=8,F1451,0)))),0)</f>
        <v>0</v>
      </c>
      <c r="K1451" s="819">
        <f>ROUND(IF(G1451=1,F1451/23,IF(G1451=3,F1451/12,IF(G1451=6,F1451,IF(G1451=7,F1451-I1451,0)))),0)</f>
        <v>0</v>
      </c>
      <c r="L1451" s="820">
        <f>IF(G1451=6,F1451,0)</f>
        <v>0</v>
      </c>
      <c r="P1451" s="768" t="n"/>
      <c r="Q1451" s="769" t="str">
        <f>IF($F1451="","",IFERROR(VLOOKUP($C1451&amp;"|"&amp;$D1451,科目表!$A$5:$B$200,2,FALSE),"※未登録"))</f>
        <v/>
      </c>
      <c r="R1451" s="769" t="str">
        <f>IF($F1451="","",$I1451+$J1451+$K1451)</f>
        <v/>
      </c>
      <c r="S1451" s="769" t="str">
        <f>IF(OR($F1451="",$P1451="支払なし",$H1451=0,$Q1451=""),"",$Q1451&amp;"|S|"&amp;(COUNTIF(S$4:S1450,$Q1451&amp;"|S|*")+1))</f>
        <v/>
      </c>
      <c r="T1451" s="769" t="str">
        <f>IF(OR($F1451="",$P1451="支払なし",$R1451=0,$Q1451=""),"",$Q1451&amp;"|L|"&amp;(COUNTIF(T$4:T1450,$Q1451&amp;"|L|*")+1))</f>
        <v/>
      </c>
      <c r="U1451" s="769" t="str">
        <f>IF($F1451="","",13)</f>
        <v/>
      </c>
    </row>
    <row r="1452" ht="16.5" customHeight="1" s="186">
      <c r="A1452" s="760" t="n"/>
      <c r="B1452" s="760" t="n"/>
      <c r="C1452" s="762" t="n"/>
      <c r="D1452" s="762" t="n"/>
      <c r="E1452" s="775" t="n"/>
      <c r="F1452" s="821" t="n"/>
      <c r="G1452" s="821" t="n"/>
      <c r="H1452" s="818">
        <f>IF(G1452=1,F1452-I1452-J1452-K1452,IF(G1452=2,F1452,0))</f>
        <v>0</v>
      </c>
      <c r="I1452" s="818">
        <f>ROUND(IF(G1452=1,F1452*10/23,IF(G1452=3,F1452-J1452-K1452,IF(G1452=4,F1452,IF(G1452=5,F1452*10/11,IF(G1452=7,F1452*10/11,0))))),0)</f>
        <v>0</v>
      </c>
      <c r="J1452" s="818">
        <f>ROUND(IF(G1452=1,F1452/23,IF(G1452=3,F1452/12,IF(G1452=5,F1452-I1452,IF(G1452=8,F1452,0)))),0)</f>
        <v>0</v>
      </c>
      <c r="K1452" s="819">
        <f>ROUND(IF(G1452=1,F1452/23,IF(G1452=3,F1452/12,IF(G1452=6,F1452,IF(G1452=7,F1452-I1452,0)))),0)</f>
        <v>0</v>
      </c>
      <c r="L1452" s="820">
        <f>IF(G1452=6,F1452,0)</f>
        <v>0</v>
      </c>
      <c r="P1452" s="768" t="n"/>
      <c r="Q1452" s="769" t="str">
        <f>IF($F1452="","",IFERROR(VLOOKUP($C1452&amp;"|"&amp;$D1452,科目表!$A$5:$B$200,2,FALSE),"※未登録"))</f>
        <v/>
      </c>
      <c r="R1452" s="769" t="str">
        <f>IF($F1452="","",$I1452+$J1452+$K1452)</f>
        <v/>
      </c>
      <c r="S1452" s="769" t="str">
        <f>IF(OR($F1452="",$P1452="支払なし",$H1452=0,$Q1452=""),"",$Q1452&amp;"|S|"&amp;(COUNTIF(S$4:S1451,$Q1452&amp;"|S|*")+1))</f>
        <v/>
      </c>
      <c r="T1452" s="769" t="str">
        <f>IF(OR($F1452="",$P1452="支払なし",$R1452=0,$Q1452=""),"",$Q1452&amp;"|L|"&amp;(COUNTIF(T$4:T1451,$Q1452&amp;"|L|*")+1))</f>
        <v/>
      </c>
      <c r="U1452" s="769" t="str">
        <f>IF($F1452="","",13)</f>
        <v/>
      </c>
    </row>
    <row r="1453" ht="16.5" customHeight="1" s="186">
      <c r="A1453" s="760" t="n"/>
      <c r="B1453" s="760" t="n"/>
      <c r="C1453" s="762" t="n"/>
      <c r="D1453" s="762" t="n"/>
      <c r="E1453" s="775" t="n"/>
      <c r="F1453" s="821" t="n"/>
      <c r="G1453" s="821" t="n"/>
      <c r="H1453" s="818">
        <f>IF(G1453=1,F1453-I1453-J1453-K1453,IF(G1453=2,F1453,0))</f>
        <v>0</v>
      </c>
      <c r="I1453" s="818">
        <f>ROUND(IF(G1453=1,F1453*10/23,IF(G1453=3,F1453-J1453-K1453,IF(G1453=4,F1453,IF(G1453=5,F1453*10/11,IF(G1453=7,F1453*10/11,0))))),0)</f>
        <v>0</v>
      </c>
      <c r="J1453" s="818">
        <f>ROUND(IF(G1453=1,F1453/23,IF(G1453=3,F1453/12,IF(G1453=5,F1453-I1453,IF(G1453=8,F1453,0)))),0)</f>
        <v>0</v>
      </c>
      <c r="K1453" s="819">
        <f>ROUND(IF(G1453=1,F1453/23,IF(G1453=3,F1453/12,IF(G1453=6,F1453,IF(G1453=7,F1453-I1453,0)))),0)</f>
        <v>0</v>
      </c>
      <c r="L1453" s="820">
        <f>IF(G1453=6,F1453,0)</f>
        <v>0</v>
      </c>
      <c r="P1453" s="768" t="n"/>
      <c r="Q1453" s="769" t="str">
        <f>IF($F1453="","",IFERROR(VLOOKUP($C1453&amp;"|"&amp;$D1453,科目表!$A$5:$B$200,2,FALSE),"※未登録"))</f>
        <v/>
      </c>
      <c r="R1453" s="769" t="str">
        <f>IF($F1453="","",$I1453+$J1453+$K1453)</f>
        <v/>
      </c>
      <c r="S1453" s="769" t="str">
        <f>IF(OR($F1453="",$P1453="支払なし",$H1453=0,$Q1453=""),"",$Q1453&amp;"|S|"&amp;(COUNTIF(S$4:S1452,$Q1453&amp;"|S|*")+1))</f>
        <v/>
      </c>
      <c r="T1453" s="769" t="str">
        <f>IF(OR($F1453="",$P1453="支払なし",$R1453=0,$Q1453=""),"",$Q1453&amp;"|L|"&amp;(COUNTIF(T$4:T1452,$Q1453&amp;"|L|*")+1))</f>
        <v/>
      </c>
      <c r="U1453" s="769" t="str">
        <f>IF($F1453="","",13)</f>
        <v/>
      </c>
    </row>
    <row r="1454" ht="16.5" customHeight="1" s="186">
      <c r="A1454" s="760" t="n"/>
      <c r="B1454" s="760" t="n"/>
      <c r="C1454" s="762" t="n"/>
      <c r="D1454" s="762" t="n"/>
      <c r="E1454" s="775" t="n"/>
      <c r="F1454" s="821" t="n"/>
      <c r="G1454" s="821" t="n"/>
      <c r="H1454" s="818">
        <f>IF(G1454=1,F1454-I1454-J1454-K1454,IF(G1454=2,F1454,0))</f>
        <v>0</v>
      </c>
      <c r="I1454" s="818">
        <f>ROUND(IF(G1454=1,F1454*10/23,IF(G1454=3,F1454-J1454-K1454,IF(G1454=4,F1454,IF(G1454=5,F1454*10/11,IF(G1454=7,F1454*10/11,0))))),0)</f>
        <v>0</v>
      </c>
      <c r="J1454" s="818">
        <f>ROUND(IF(G1454=1,F1454/23,IF(G1454=3,F1454/12,IF(G1454=5,F1454-I1454,IF(G1454=8,F1454,0)))),0)</f>
        <v>0</v>
      </c>
      <c r="K1454" s="819">
        <f>ROUND(IF(G1454=1,F1454/23,IF(G1454=3,F1454/12,IF(G1454=6,F1454,IF(G1454=7,F1454-I1454,0)))),0)</f>
        <v>0</v>
      </c>
      <c r="L1454" s="820">
        <f>IF(G1454=6,F1454,0)</f>
        <v>0</v>
      </c>
      <c r="P1454" s="768" t="n"/>
      <c r="Q1454" s="769" t="str">
        <f>IF($F1454="","",IFERROR(VLOOKUP($C1454&amp;"|"&amp;$D1454,科目表!$A$5:$B$200,2,FALSE),"※未登録"))</f>
        <v/>
      </c>
      <c r="R1454" s="769" t="str">
        <f>IF($F1454="","",$I1454+$J1454+$K1454)</f>
        <v/>
      </c>
      <c r="S1454" s="769" t="str">
        <f>IF(OR($F1454="",$P1454="支払なし",$H1454=0,$Q1454=""),"",$Q1454&amp;"|S|"&amp;(COUNTIF(S$4:S1453,$Q1454&amp;"|S|*")+1))</f>
        <v/>
      </c>
      <c r="T1454" s="769" t="str">
        <f>IF(OR($F1454="",$P1454="支払なし",$R1454=0,$Q1454=""),"",$Q1454&amp;"|L|"&amp;(COUNTIF(T$4:T1453,$Q1454&amp;"|L|*")+1))</f>
        <v/>
      </c>
      <c r="U1454" s="769" t="str">
        <f>IF($F1454="","",13)</f>
        <v/>
      </c>
    </row>
    <row r="1455" ht="16.5" customHeight="1" s="186">
      <c r="A1455" s="760" t="n"/>
      <c r="B1455" s="760" t="n"/>
      <c r="C1455" s="762" t="n"/>
      <c r="D1455" s="762" t="n"/>
      <c r="E1455" s="775" t="n"/>
      <c r="F1455" s="821" t="n"/>
      <c r="G1455" s="821" t="n"/>
      <c r="H1455" s="818">
        <f>IF(G1455=1,F1455-I1455-J1455-K1455,IF(G1455=2,F1455,0))</f>
        <v>0</v>
      </c>
      <c r="I1455" s="818">
        <f>ROUND(IF(G1455=1,F1455*10/23,IF(G1455=3,F1455-J1455-K1455,IF(G1455=4,F1455,IF(G1455=5,F1455*10/11,IF(G1455=7,F1455*10/11,0))))),0)</f>
        <v>0</v>
      </c>
      <c r="J1455" s="818">
        <f>ROUND(IF(G1455=1,F1455/23,IF(G1455=3,F1455/12,IF(G1455=5,F1455-I1455,IF(G1455=8,F1455,0)))),0)</f>
        <v>0</v>
      </c>
      <c r="K1455" s="819">
        <f>ROUND(IF(G1455=1,F1455/23,IF(G1455=3,F1455/12,IF(G1455=6,F1455,IF(G1455=7,F1455-I1455,0)))),0)</f>
        <v>0</v>
      </c>
      <c r="L1455" s="820">
        <f>IF(G1455=6,F1455,0)</f>
        <v>0</v>
      </c>
      <c r="P1455" s="768" t="n"/>
      <c r="Q1455" s="769" t="str">
        <f>IF($F1455="","",IFERROR(VLOOKUP($C1455&amp;"|"&amp;$D1455,科目表!$A$5:$B$200,2,FALSE),"※未登録"))</f>
        <v/>
      </c>
      <c r="R1455" s="769" t="str">
        <f>IF($F1455="","",$I1455+$J1455+$K1455)</f>
        <v/>
      </c>
      <c r="S1455" s="769" t="str">
        <f>IF(OR($F1455="",$P1455="支払なし",$H1455=0,$Q1455=""),"",$Q1455&amp;"|S|"&amp;(COUNTIF(S$4:S1454,$Q1455&amp;"|S|*")+1))</f>
        <v/>
      </c>
      <c r="T1455" s="769" t="str">
        <f>IF(OR($F1455="",$P1455="支払なし",$R1455=0,$Q1455=""),"",$Q1455&amp;"|L|"&amp;(COUNTIF(T$4:T1454,$Q1455&amp;"|L|*")+1))</f>
        <v/>
      </c>
      <c r="U1455" s="769" t="str">
        <f>IF($F1455="","",13)</f>
        <v/>
      </c>
    </row>
    <row r="1456" ht="16.5" customHeight="1" s="186">
      <c r="A1456" s="760" t="n"/>
      <c r="B1456" s="760" t="n"/>
      <c r="C1456" s="762" t="n"/>
      <c r="D1456" s="762" t="n"/>
      <c r="E1456" s="775" t="n"/>
      <c r="F1456" s="821" t="n"/>
      <c r="G1456" s="821" t="n"/>
      <c r="H1456" s="818">
        <f>IF(G1456=1,F1456-I1456-J1456-K1456,IF(G1456=2,F1456,0))</f>
        <v>0</v>
      </c>
      <c r="I1456" s="818">
        <f>ROUND(IF(G1456=1,F1456*10/23,IF(G1456=3,F1456-J1456-K1456,IF(G1456=4,F1456,IF(G1456=5,F1456*10/11,IF(G1456=7,F1456*10/11,0))))),0)</f>
        <v>0</v>
      </c>
      <c r="J1456" s="818">
        <f>ROUND(IF(G1456=1,F1456/23,IF(G1456=3,F1456/12,IF(G1456=5,F1456-I1456,IF(G1456=8,F1456,0)))),0)</f>
        <v>0</v>
      </c>
      <c r="K1456" s="819">
        <f>ROUND(IF(G1456=1,F1456/23,IF(G1456=3,F1456/12,IF(G1456=6,F1456,IF(G1456=7,F1456-I1456,0)))),0)</f>
        <v>0</v>
      </c>
      <c r="L1456" s="820">
        <f>IF(G1456=6,F1456,0)</f>
        <v>0</v>
      </c>
      <c r="P1456" s="768" t="n"/>
      <c r="Q1456" s="769" t="str">
        <f>IF($F1456="","",IFERROR(VLOOKUP($C1456&amp;"|"&amp;$D1456,科目表!$A$5:$B$200,2,FALSE),"※未登録"))</f>
        <v/>
      </c>
      <c r="R1456" s="769" t="str">
        <f>IF($F1456="","",$I1456+$J1456+$K1456)</f>
        <v/>
      </c>
      <c r="S1456" s="769" t="str">
        <f>IF(OR($F1456="",$P1456="支払なし",$H1456=0,$Q1456=""),"",$Q1456&amp;"|S|"&amp;(COUNTIF(S$4:S1455,$Q1456&amp;"|S|*")+1))</f>
        <v/>
      </c>
      <c r="T1456" s="769" t="str">
        <f>IF(OR($F1456="",$P1456="支払なし",$R1456=0,$Q1456=""),"",$Q1456&amp;"|L|"&amp;(COUNTIF(T$4:T1455,$Q1456&amp;"|L|*")+1))</f>
        <v/>
      </c>
      <c r="U1456" s="769" t="str">
        <f>IF($F1456="","",13)</f>
        <v/>
      </c>
    </row>
    <row r="1457" ht="16.5" customHeight="1" s="186">
      <c r="A1457" s="760" t="n"/>
      <c r="B1457" s="760" t="n"/>
      <c r="C1457" s="762" t="n"/>
      <c r="D1457" s="762" t="n"/>
      <c r="E1457" s="775" t="n"/>
      <c r="F1457" s="821" t="n"/>
      <c r="G1457" s="821" t="n"/>
      <c r="H1457" s="818">
        <f>IF(G1457=1,F1457-I1457-J1457-K1457,IF(G1457=2,F1457,0))</f>
        <v>0</v>
      </c>
      <c r="I1457" s="818">
        <f>ROUND(IF(G1457=1,F1457*10/23,IF(G1457=3,F1457-J1457-K1457,IF(G1457=4,F1457,IF(G1457=5,F1457*10/11,IF(G1457=7,F1457*10/11,0))))),0)</f>
        <v>0</v>
      </c>
      <c r="J1457" s="818">
        <f>ROUND(IF(G1457=1,F1457/23,IF(G1457=3,F1457/12,IF(G1457=5,F1457-I1457,IF(G1457=8,F1457,0)))),0)</f>
        <v>0</v>
      </c>
      <c r="K1457" s="819">
        <f>ROUND(IF(G1457=1,F1457/23,IF(G1457=3,F1457/12,IF(G1457=6,F1457,IF(G1457=7,F1457-I1457,0)))),0)</f>
        <v>0</v>
      </c>
      <c r="L1457" s="820">
        <f>IF(G1457=6,F1457,0)</f>
        <v>0</v>
      </c>
      <c r="P1457" s="768" t="n"/>
      <c r="Q1457" s="769" t="str">
        <f>IF($F1457="","",IFERROR(VLOOKUP($C1457&amp;"|"&amp;$D1457,科目表!$A$5:$B$200,2,FALSE),"※未登録"))</f>
        <v/>
      </c>
      <c r="R1457" s="769" t="str">
        <f>IF($F1457="","",$I1457+$J1457+$K1457)</f>
        <v/>
      </c>
      <c r="S1457" s="769" t="str">
        <f>IF(OR($F1457="",$P1457="支払なし",$H1457=0,$Q1457=""),"",$Q1457&amp;"|S|"&amp;(COUNTIF(S$4:S1456,$Q1457&amp;"|S|*")+1))</f>
        <v/>
      </c>
      <c r="T1457" s="769" t="str">
        <f>IF(OR($F1457="",$P1457="支払なし",$R1457=0,$Q1457=""),"",$Q1457&amp;"|L|"&amp;(COUNTIF(T$4:T1456,$Q1457&amp;"|L|*")+1))</f>
        <v/>
      </c>
      <c r="U1457" s="769" t="str">
        <f>IF($F1457="","",13)</f>
        <v/>
      </c>
    </row>
    <row r="1458" ht="16.5" customHeight="1" s="186">
      <c r="A1458" s="760" t="n"/>
      <c r="B1458" s="760" t="n"/>
      <c r="C1458" s="762" t="n"/>
      <c r="D1458" s="762" t="n"/>
      <c r="E1458" s="775" t="n"/>
      <c r="F1458" s="821" t="n"/>
      <c r="G1458" s="821" t="n"/>
      <c r="H1458" s="818">
        <f>IF(G1458=1,F1458-I1458-J1458-K1458,IF(G1458=2,F1458,0))</f>
        <v>0</v>
      </c>
      <c r="I1458" s="818">
        <f>ROUND(IF(G1458=1,F1458*10/23,IF(G1458=3,F1458-J1458-K1458,IF(G1458=4,F1458,IF(G1458=5,F1458*10/11,IF(G1458=7,F1458*10/11,0))))),0)</f>
        <v>0</v>
      </c>
      <c r="J1458" s="818">
        <f>ROUND(IF(G1458=1,F1458/23,IF(G1458=3,F1458/12,IF(G1458=5,F1458-I1458,IF(G1458=8,F1458,0)))),0)</f>
        <v>0</v>
      </c>
      <c r="K1458" s="819">
        <f>ROUND(IF(G1458=1,F1458/23,IF(G1458=3,F1458/12,IF(G1458=6,F1458,IF(G1458=7,F1458-I1458,0)))),0)</f>
        <v>0</v>
      </c>
      <c r="L1458" s="820">
        <f>IF(G1458=6,F1458,0)</f>
        <v>0</v>
      </c>
      <c r="P1458" s="768" t="n"/>
      <c r="Q1458" s="769" t="str">
        <f>IF($F1458="","",IFERROR(VLOOKUP($C1458&amp;"|"&amp;$D1458,科目表!$A$5:$B$200,2,FALSE),"※未登録"))</f>
        <v/>
      </c>
      <c r="R1458" s="769" t="str">
        <f>IF($F1458="","",$I1458+$J1458+$K1458)</f>
        <v/>
      </c>
      <c r="S1458" s="769" t="str">
        <f>IF(OR($F1458="",$P1458="支払なし",$H1458=0,$Q1458=""),"",$Q1458&amp;"|S|"&amp;(COUNTIF(S$4:S1457,$Q1458&amp;"|S|*")+1))</f>
        <v/>
      </c>
      <c r="T1458" s="769" t="str">
        <f>IF(OR($F1458="",$P1458="支払なし",$R1458=0,$Q1458=""),"",$Q1458&amp;"|L|"&amp;(COUNTIF(T$4:T1457,$Q1458&amp;"|L|*")+1))</f>
        <v/>
      </c>
      <c r="U1458" s="769" t="str">
        <f>IF($F1458="","",13)</f>
        <v/>
      </c>
    </row>
    <row r="1459" ht="16.5" customHeight="1" s="186">
      <c r="A1459" s="760" t="n"/>
      <c r="B1459" s="760" t="n"/>
      <c r="C1459" s="762" t="n"/>
      <c r="D1459" s="762" t="n"/>
      <c r="E1459" s="775" t="n"/>
      <c r="F1459" s="821" t="n"/>
      <c r="G1459" s="821" t="n"/>
      <c r="H1459" s="818">
        <f>IF(G1459=1,F1459-I1459-J1459-K1459,IF(G1459=2,F1459,0))</f>
        <v>0</v>
      </c>
      <c r="I1459" s="818">
        <f>ROUND(IF(G1459=1,F1459*10/23,IF(G1459=3,F1459-J1459-K1459,IF(G1459=4,F1459,IF(G1459=5,F1459*10/11,IF(G1459=7,F1459*10/11,0))))),0)</f>
        <v>0</v>
      </c>
      <c r="J1459" s="818">
        <f>ROUND(IF(G1459=1,F1459/23,IF(G1459=3,F1459/12,IF(G1459=5,F1459-I1459,IF(G1459=8,F1459,0)))),0)</f>
        <v>0</v>
      </c>
      <c r="K1459" s="819">
        <f>ROUND(IF(G1459=1,F1459/23,IF(G1459=3,F1459/12,IF(G1459=6,F1459,IF(G1459=7,F1459-I1459,0)))),0)</f>
        <v>0</v>
      </c>
      <c r="L1459" s="820">
        <f>IF(G1459=6,F1459,0)</f>
        <v>0</v>
      </c>
      <c r="P1459" s="768" t="n"/>
      <c r="Q1459" s="769" t="str">
        <f>IF($F1459="","",IFERROR(VLOOKUP($C1459&amp;"|"&amp;$D1459,科目表!$A$5:$B$200,2,FALSE),"※未登録"))</f>
        <v/>
      </c>
      <c r="R1459" s="769" t="str">
        <f>IF($F1459="","",$I1459+$J1459+$K1459)</f>
        <v/>
      </c>
      <c r="S1459" s="769" t="str">
        <f>IF(OR($F1459="",$P1459="支払なし",$H1459=0,$Q1459=""),"",$Q1459&amp;"|S|"&amp;(COUNTIF(S$4:S1458,$Q1459&amp;"|S|*")+1))</f>
        <v/>
      </c>
      <c r="T1459" s="769" t="str">
        <f>IF(OR($F1459="",$P1459="支払なし",$R1459=0,$Q1459=""),"",$Q1459&amp;"|L|"&amp;(COUNTIF(T$4:T1458,$Q1459&amp;"|L|*")+1))</f>
        <v/>
      </c>
      <c r="U1459" s="769" t="str">
        <f>IF($F1459="","",13)</f>
        <v/>
      </c>
    </row>
    <row r="1460" ht="16.5" customHeight="1" s="186">
      <c r="A1460" s="760" t="n"/>
      <c r="B1460" s="760" t="n"/>
      <c r="C1460" s="762" t="n"/>
      <c r="D1460" s="762" t="n"/>
      <c r="E1460" s="775" t="n"/>
      <c r="F1460" s="821" t="n"/>
      <c r="G1460" s="821" t="n"/>
      <c r="H1460" s="818">
        <f>IF(G1460=1,F1460-I1460-J1460-K1460,IF(G1460=2,F1460,0))</f>
        <v>0</v>
      </c>
      <c r="I1460" s="818">
        <f>ROUND(IF(G1460=1,F1460*10/23,IF(G1460=3,F1460-J1460-K1460,IF(G1460=4,F1460,IF(G1460=5,F1460*10/11,IF(G1460=7,F1460*10/11,0))))),0)</f>
        <v>0</v>
      </c>
      <c r="J1460" s="818">
        <f>ROUND(IF(G1460=1,F1460/23,IF(G1460=3,F1460/12,IF(G1460=5,F1460-I1460,IF(G1460=8,F1460,0)))),0)</f>
        <v>0</v>
      </c>
      <c r="K1460" s="819">
        <f>ROUND(IF(G1460=1,F1460/23,IF(G1460=3,F1460/12,IF(G1460=6,F1460,IF(G1460=7,F1460-I1460,0)))),0)</f>
        <v>0</v>
      </c>
      <c r="L1460" s="820">
        <f>IF(G1460=6,F1460,0)</f>
        <v>0</v>
      </c>
      <c r="P1460" s="768" t="n"/>
      <c r="Q1460" s="769" t="str">
        <f>IF($F1460="","",IFERROR(VLOOKUP($C1460&amp;"|"&amp;$D1460,科目表!$A$5:$B$200,2,FALSE),"※未登録"))</f>
        <v/>
      </c>
      <c r="R1460" s="769" t="str">
        <f>IF($F1460="","",$I1460+$J1460+$K1460)</f>
        <v/>
      </c>
      <c r="S1460" s="769" t="str">
        <f>IF(OR($F1460="",$P1460="支払なし",$H1460=0,$Q1460=""),"",$Q1460&amp;"|S|"&amp;(COUNTIF(S$4:S1459,$Q1460&amp;"|S|*")+1))</f>
        <v/>
      </c>
      <c r="T1460" s="769" t="str">
        <f>IF(OR($F1460="",$P1460="支払なし",$R1460=0,$Q1460=""),"",$Q1460&amp;"|L|"&amp;(COUNTIF(T$4:T1459,$Q1460&amp;"|L|*")+1))</f>
        <v/>
      </c>
      <c r="U1460" s="769" t="str">
        <f>IF($F1460="","",13)</f>
        <v/>
      </c>
    </row>
    <row r="1461" ht="16.5" customHeight="1" s="186">
      <c r="A1461" s="760" t="n"/>
      <c r="B1461" s="760" t="n"/>
      <c r="C1461" s="762" t="n"/>
      <c r="D1461" s="762" t="n"/>
      <c r="E1461" s="775" t="n"/>
      <c r="F1461" s="821" t="n"/>
      <c r="G1461" s="821" t="n"/>
      <c r="H1461" s="818">
        <f>IF(G1461=1,F1461-I1461-J1461-K1461,IF(G1461=2,F1461,0))</f>
        <v>0</v>
      </c>
      <c r="I1461" s="818">
        <f>ROUND(IF(G1461=1,F1461*10/23,IF(G1461=3,F1461-J1461-K1461,IF(G1461=4,F1461,IF(G1461=5,F1461*10/11,IF(G1461=7,F1461*10/11,0))))),0)</f>
        <v>0</v>
      </c>
      <c r="J1461" s="818">
        <f>ROUND(IF(G1461=1,F1461/23,IF(G1461=3,F1461/12,IF(G1461=5,F1461-I1461,IF(G1461=8,F1461,0)))),0)</f>
        <v>0</v>
      </c>
      <c r="K1461" s="819">
        <f>ROUND(IF(G1461=1,F1461/23,IF(G1461=3,F1461/12,IF(G1461=6,F1461,IF(G1461=7,F1461-I1461,0)))),0)</f>
        <v>0</v>
      </c>
      <c r="L1461" s="820">
        <f>IF(G1461=6,F1461,0)</f>
        <v>0</v>
      </c>
      <c r="P1461" s="768" t="n"/>
      <c r="Q1461" s="769" t="str">
        <f>IF($F1461="","",IFERROR(VLOOKUP($C1461&amp;"|"&amp;$D1461,科目表!$A$5:$B$200,2,FALSE),"※未登録"))</f>
        <v/>
      </c>
      <c r="R1461" s="769" t="str">
        <f>IF($F1461="","",$I1461+$J1461+$K1461)</f>
        <v/>
      </c>
      <c r="S1461" s="769" t="str">
        <f>IF(OR($F1461="",$P1461="支払なし",$H1461=0,$Q1461=""),"",$Q1461&amp;"|S|"&amp;(COUNTIF(S$4:S1460,$Q1461&amp;"|S|*")+1))</f>
        <v/>
      </c>
      <c r="T1461" s="769" t="str">
        <f>IF(OR($F1461="",$P1461="支払なし",$R1461=0,$Q1461=""),"",$Q1461&amp;"|L|"&amp;(COUNTIF(T$4:T1460,$Q1461&amp;"|L|*")+1))</f>
        <v/>
      </c>
      <c r="U1461" s="769" t="str">
        <f>IF($F1461="","",13)</f>
        <v/>
      </c>
    </row>
    <row r="1462" ht="16.5" customHeight="1" s="186">
      <c r="A1462" s="760" t="n"/>
      <c r="B1462" s="760" t="n"/>
      <c r="C1462" s="762" t="n"/>
      <c r="D1462" s="762" t="n"/>
      <c r="E1462" s="775" t="n"/>
      <c r="F1462" s="821" t="n"/>
      <c r="G1462" s="821" t="n"/>
      <c r="H1462" s="818">
        <f>IF(G1462=1,F1462-I1462-J1462-K1462,IF(G1462=2,F1462,0))</f>
        <v>0</v>
      </c>
      <c r="I1462" s="818">
        <f>ROUND(IF(G1462=1,F1462*10/23,IF(G1462=3,F1462-J1462-K1462,IF(G1462=4,F1462,IF(G1462=5,F1462*10/11,IF(G1462=7,F1462*10/11,0))))),0)</f>
        <v>0</v>
      </c>
      <c r="J1462" s="818">
        <f>ROUND(IF(G1462=1,F1462/23,IF(G1462=3,F1462/12,IF(G1462=5,F1462-I1462,IF(G1462=8,F1462,0)))),0)</f>
        <v>0</v>
      </c>
      <c r="K1462" s="819">
        <f>ROUND(IF(G1462=1,F1462/23,IF(G1462=3,F1462/12,IF(G1462=6,F1462,IF(G1462=7,F1462-I1462,0)))),0)</f>
        <v>0</v>
      </c>
      <c r="L1462" s="820">
        <f>IF(G1462=6,F1462,0)</f>
        <v>0</v>
      </c>
      <c r="P1462" s="768" t="n"/>
      <c r="Q1462" s="769" t="str">
        <f>IF($F1462="","",IFERROR(VLOOKUP($C1462&amp;"|"&amp;$D1462,科目表!$A$5:$B$200,2,FALSE),"※未登録"))</f>
        <v/>
      </c>
      <c r="R1462" s="769" t="str">
        <f>IF($F1462="","",$I1462+$J1462+$K1462)</f>
        <v/>
      </c>
      <c r="S1462" s="769" t="str">
        <f>IF(OR($F1462="",$P1462="支払なし",$H1462=0,$Q1462=""),"",$Q1462&amp;"|S|"&amp;(COUNTIF(S$4:S1461,$Q1462&amp;"|S|*")+1))</f>
        <v/>
      </c>
      <c r="T1462" s="769" t="str">
        <f>IF(OR($F1462="",$P1462="支払なし",$R1462=0,$Q1462=""),"",$Q1462&amp;"|L|"&amp;(COUNTIF(T$4:T1461,$Q1462&amp;"|L|*")+1))</f>
        <v/>
      </c>
      <c r="U1462" s="769" t="str">
        <f>IF($F1462="","",13)</f>
        <v/>
      </c>
    </row>
    <row r="1463" ht="16.5" customHeight="1" s="186">
      <c r="A1463" s="760" t="n"/>
      <c r="B1463" s="760" t="n"/>
      <c r="C1463" s="762" t="n"/>
      <c r="D1463" s="762" t="n"/>
      <c r="E1463" s="775" t="n"/>
      <c r="F1463" s="821" t="n"/>
      <c r="G1463" s="821" t="n"/>
      <c r="H1463" s="818">
        <f>IF(G1463=1,F1463-I1463-J1463-K1463,IF(G1463=2,F1463,0))</f>
        <v>0</v>
      </c>
      <c r="I1463" s="818">
        <f>ROUND(IF(G1463=1,F1463*10/23,IF(G1463=3,F1463-J1463-K1463,IF(G1463=4,F1463,IF(G1463=5,F1463*10/11,IF(G1463=7,F1463*10/11,0))))),0)</f>
        <v>0</v>
      </c>
      <c r="J1463" s="818">
        <f>ROUND(IF(G1463=1,F1463/23,IF(G1463=3,F1463/12,IF(G1463=5,F1463-I1463,IF(G1463=8,F1463,0)))),0)</f>
        <v>0</v>
      </c>
      <c r="K1463" s="819">
        <f>ROUND(IF(G1463=1,F1463/23,IF(G1463=3,F1463/12,IF(G1463=6,F1463,IF(G1463=7,F1463-I1463,0)))),0)</f>
        <v>0</v>
      </c>
      <c r="L1463" s="820">
        <f>IF(G1463=6,F1463,0)</f>
        <v>0</v>
      </c>
      <c r="P1463" s="768" t="n"/>
      <c r="Q1463" s="769" t="str">
        <f>IF($F1463="","",IFERROR(VLOOKUP($C1463&amp;"|"&amp;$D1463,科目表!$A$5:$B$200,2,FALSE),"※未登録"))</f>
        <v/>
      </c>
      <c r="R1463" s="769" t="str">
        <f>IF($F1463="","",$I1463+$J1463+$K1463)</f>
        <v/>
      </c>
      <c r="S1463" s="769" t="str">
        <f>IF(OR($F1463="",$P1463="支払なし",$H1463=0,$Q1463=""),"",$Q1463&amp;"|S|"&amp;(COUNTIF(S$4:S1462,$Q1463&amp;"|S|*")+1))</f>
        <v/>
      </c>
      <c r="T1463" s="769" t="str">
        <f>IF(OR($F1463="",$P1463="支払なし",$R1463=0,$Q1463=""),"",$Q1463&amp;"|L|"&amp;(COUNTIF(T$4:T1462,$Q1463&amp;"|L|*")+1))</f>
        <v/>
      </c>
      <c r="U1463" s="769" t="str">
        <f>IF($F1463="","",13)</f>
        <v/>
      </c>
    </row>
    <row r="1464" ht="16.5" customHeight="1" s="186">
      <c r="A1464" s="760" t="n"/>
      <c r="B1464" s="760" t="n"/>
      <c r="C1464" s="762" t="n"/>
      <c r="D1464" s="762" t="n"/>
      <c r="E1464" s="775" t="n"/>
      <c r="F1464" s="821" t="n"/>
      <c r="G1464" s="821" t="n"/>
      <c r="H1464" s="818">
        <f>IF(G1464=1,F1464-I1464-J1464-K1464,IF(G1464=2,F1464,0))</f>
        <v>0</v>
      </c>
      <c r="I1464" s="818">
        <f>ROUND(IF(G1464=1,F1464*10/23,IF(G1464=3,F1464-J1464-K1464,IF(G1464=4,F1464,IF(G1464=5,F1464*10/11,IF(G1464=7,F1464*10/11,0))))),0)</f>
        <v>0</v>
      </c>
      <c r="J1464" s="818">
        <f>ROUND(IF(G1464=1,F1464/23,IF(G1464=3,F1464/12,IF(G1464=5,F1464-I1464,IF(G1464=8,F1464,0)))),0)</f>
        <v>0</v>
      </c>
      <c r="K1464" s="819">
        <f>ROUND(IF(G1464=1,F1464/23,IF(G1464=3,F1464/12,IF(G1464=6,F1464,IF(G1464=7,F1464-I1464,0)))),0)</f>
        <v>0</v>
      </c>
      <c r="L1464" s="820">
        <f>IF(G1464=6,F1464,0)</f>
        <v>0</v>
      </c>
      <c r="P1464" s="768" t="n"/>
      <c r="Q1464" s="769" t="str">
        <f>IF($F1464="","",IFERROR(VLOOKUP($C1464&amp;"|"&amp;$D1464,科目表!$A$5:$B$200,2,FALSE),"※未登録"))</f>
        <v/>
      </c>
      <c r="R1464" s="769" t="str">
        <f>IF($F1464="","",$I1464+$J1464+$K1464)</f>
        <v/>
      </c>
      <c r="S1464" s="769" t="str">
        <f>IF(OR($F1464="",$P1464="支払なし",$H1464=0,$Q1464=""),"",$Q1464&amp;"|S|"&amp;(COUNTIF(S$4:S1463,$Q1464&amp;"|S|*")+1))</f>
        <v/>
      </c>
      <c r="T1464" s="769" t="str">
        <f>IF(OR($F1464="",$P1464="支払なし",$R1464=0,$Q1464=""),"",$Q1464&amp;"|L|"&amp;(COUNTIF(T$4:T1463,$Q1464&amp;"|L|*")+1))</f>
        <v/>
      </c>
      <c r="U1464" s="769" t="str">
        <f>IF($F1464="","",13)</f>
        <v/>
      </c>
    </row>
    <row r="1465" ht="16.5" customHeight="1" s="186">
      <c r="A1465" s="760" t="n"/>
      <c r="B1465" s="760" t="n"/>
      <c r="C1465" s="762" t="n"/>
      <c r="D1465" s="762" t="n"/>
      <c r="E1465" s="775" t="n"/>
      <c r="F1465" s="821" t="n"/>
      <c r="G1465" s="821" t="n"/>
      <c r="H1465" s="818">
        <f>IF(G1465=1,F1465-I1465-J1465-K1465,IF(G1465=2,F1465,0))</f>
        <v>0</v>
      </c>
      <c r="I1465" s="818">
        <f>ROUND(IF(G1465=1,F1465*10/23,IF(G1465=3,F1465-J1465-K1465,IF(G1465=4,F1465,IF(G1465=5,F1465*10/11,IF(G1465=7,F1465*10/11,0))))),0)</f>
        <v>0</v>
      </c>
      <c r="J1465" s="818">
        <f>ROUND(IF(G1465=1,F1465/23,IF(G1465=3,F1465/12,IF(G1465=5,F1465-I1465,IF(G1465=8,F1465,0)))),0)</f>
        <v>0</v>
      </c>
      <c r="K1465" s="819">
        <f>ROUND(IF(G1465=1,F1465/23,IF(G1465=3,F1465/12,IF(G1465=6,F1465,IF(G1465=7,F1465-I1465,0)))),0)</f>
        <v>0</v>
      </c>
      <c r="L1465" s="820">
        <f>IF(G1465=6,F1465,0)</f>
        <v>0</v>
      </c>
      <c r="P1465" s="768" t="n"/>
      <c r="Q1465" s="769" t="str">
        <f>IF($F1465="","",IFERROR(VLOOKUP($C1465&amp;"|"&amp;$D1465,科目表!$A$5:$B$200,2,FALSE),"※未登録"))</f>
        <v/>
      </c>
      <c r="R1465" s="769" t="str">
        <f>IF($F1465="","",$I1465+$J1465+$K1465)</f>
        <v/>
      </c>
      <c r="S1465" s="769" t="str">
        <f>IF(OR($F1465="",$P1465="支払なし",$H1465=0,$Q1465=""),"",$Q1465&amp;"|S|"&amp;(COUNTIF(S$4:S1464,$Q1465&amp;"|S|*")+1))</f>
        <v/>
      </c>
      <c r="T1465" s="769" t="str">
        <f>IF(OR($F1465="",$P1465="支払なし",$R1465=0,$Q1465=""),"",$Q1465&amp;"|L|"&amp;(COUNTIF(T$4:T1464,$Q1465&amp;"|L|*")+1))</f>
        <v/>
      </c>
      <c r="U1465" s="769" t="str">
        <f>IF($F1465="","",13)</f>
        <v/>
      </c>
    </row>
    <row r="1466" ht="16.5" customHeight="1" s="186">
      <c r="A1466" s="760" t="n"/>
      <c r="B1466" s="760" t="n"/>
      <c r="C1466" s="762" t="n"/>
      <c r="D1466" s="762" t="n"/>
      <c r="E1466" s="775" t="n"/>
      <c r="F1466" s="821" t="n"/>
      <c r="G1466" s="821" t="n"/>
      <c r="H1466" s="818">
        <f>IF(G1466=1,F1466-I1466-J1466-K1466,IF(G1466=2,F1466,0))</f>
        <v>0</v>
      </c>
      <c r="I1466" s="818">
        <f>ROUND(IF(G1466=1,F1466*10/23,IF(G1466=3,F1466-J1466-K1466,IF(G1466=4,F1466,IF(G1466=5,F1466*10/11,IF(G1466=7,F1466*10/11,0))))),0)</f>
        <v>0</v>
      </c>
      <c r="J1466" s="818">
        <f>ROUND(IF(G1466=1,F1466/23,IF(G1466=3,F1466/12,IF(G1466=5,F1466-I1466,IF(G1466=8,F1466,0)))),0)</f>
        <v>0</v>
      </c>
      <c r="K1466" s="819">
        <f>ROUND(IF(G1466=1,F1466/23,IF(G1466=3,F1466/12,IF(G1466=6,F1466,IF(G1466=7,F1466-I1466,0)))),0)</f>
        <v>0</v>
      </c>
      <c r="L1466" s="820">
        <f>IF(G1466=6,F1466,0)</f>
        <v>0</v>
      </c>
      <c r="P1466" s="768" t="n"/>
      <c r="Q1466" s="769" t="str">
        <f>IF($F1466="","",IFERROR(VLOOKUP($C1466&amp;"|"&amp;$D1466,科目表!$A$5:$B$200,2,FALSE),"※未登録"))</f>
        <v/>
      </c>
      <c r="R1466" s="769" t="str">
        <f>IF($F1466="","",$I1466+$J1466+$K1466)</f>
        <v/>
      </c>
      <c r="S1466" s="769" t="str">
        <f>IF(OR($F1466="",$P1466="支払なし",$H1466=0,$Q1466=""),"",$Q1466&amp;"|S|"&amp;(COUNTIF(S$4:S1465,$Q1466&amp;"|S|*")+1))</f>
        <v/>
      </c>
      <c r="T1466" s="769" t="str">
        <f>IF(OR($F1466="",$P1466="支払なし",$R1466=0,$Q1466=""),"",$Q1466&amp;"|L|"&amp;(COUNTIF(T$4:T1465,$Q1466&amp;"|L|*")+1))</f>
        <v/>
      </c>
      <c r="U1466" s="769" t="str">
        <f>IF($F1466="","",13)</f>
        <v/>
      </c>
    </row>
    <row r="1467" ht="16.5" customHeight="1" s="186">
      <c r="A1467" s="760" t="n"/>
      <c r="B1467" s="760" t="n"/>
      <c r="C1467" s="762" t="n"/>
      <c r="D1467" s="762" t="n"/>
      <c r="E1467" s="775" t="n"/>
      <c r="F1467" s="821" t="n"/>
      <c r="G1467" s="821" t="n"/>
      <c r="H1467" s="818">
        <f>IF(G1467=1,F1467-I1467-J1467-K1467,IF(G1467=2,F1467,0))</f>
        <v>0</v>
      </c>
      <c r="I1467" s="818">
        <f>ROUND(IF(G1467=1,F1467*10/23,IF(G1467=3,F1467-J1467-K1467,IF(G1467=4,F1467,IF(G1467=5,F1467*10/11,IF(G1467=7,F1467*10/11,0))))),0)</f>
        <v>0</v>
      </c>
      <c r="J1467" s="818">
        <f>ROUND(IF(G1467=1,F1467/23,IF(G1467=3,F1467/12,IF(G1467=5,F1467-I1467,IF(G1467=8,F1467,0)))),0)</f>
        <v>0</v>
      </c>
      <c r="K1467" s="819">
        <f>ROUND(IF(G1467=1,F1467/23,IF(G1467=3,F1467/12,IF(G1467=6,F1467,IF(G1467=7,F1467-I1467,0)))),0)</f>
        <v>0</v>
      </c>
      <c r="L1467" s="820">
        <f>IF(G1467=6,F1467,0)</f>
        <v>0</v>
      </c>
      <c r="P1467" s="768" t="n"/>
      <c r="Q1467" s="769" t="str">
        <f>IF($F1467="","",IFERROR(VLOOKUP($C1467&amp;"|"&amp;$D1467,科目表!$A$5:$B$200,2,FALSE),"※未登録"))</f>
        <v/>
      </c>
      <c r="R1467" s="769" t="str">
        <f>IF($F1467="","",$I1467+$J1467+$K1467)</f>
        <v/>
      </c>
      <c r="S1467" s="769" t="str">
        <f>IF(OR($F1467="",$P1467="支払なし",$H1467=0,$Q1467=""),"",$Q1467&amp;"|S|"&amp;(COUNTIF(S$4:S1466,$Q1467&amp;"|S|*")+1))</f>
        <v/>
      </c>
      <c r="T1467" s="769" t="str">
        <f>IF(OR($F1467="",$P1467="支払なし",$R1467=0,$Q1467=""),"",$Q1467&amp;"|L|"&amp;(COUNTIF(T$4:T1466,$Q1467&amp;"|L|*")+1))</f>
        <v/>
      </c>
      <c r="U1467" s="769" t="str">
        <f>IF($F1467="","",13)</f>
        <v/>
      </c>
    </row>
    <row r="1468" ht="16.5" customHeight="1" s="186">
      <c r="A1468" s="760" t="n"/>
      <c r="B1468" s="760" t="n"/>
      <c r="C1468" s="762" t="n"/>
      <c r="D1468" s="762" t="n"/>
      <c r="E1468" s="775" t="n"/>
      <c r="F1468" s="821" t="n"/>
      <c r="G1468" s="821" t="n"/>
      <c r="H1468" s="818">
        <f>IF(G1468=1,F1468-I1468-J1468-K1468,IF(G1468=2,F1468,0))</f>
        <v>0</v>
      </c>
      <c r="I1468" s="818">
        <f>ROUND(IF(G1468=1,F1468*10/23,IF(G1468=3,F1468-J1468-K1468,IF(G1468=4,F1468,IF(G1468=5,F1468*10/11,IF(G1468=7,F1468*10/11,0))))),0)</f>
        <v>0</v>
      </c>
      <c r="J1468" s="818">
        <f>ROUND(IF(G1468=1,F1468/23,IF(G1468=3,F1468/12,IF(G1468=5,F1468-I1468,IF(G1468=8,F1468,0)))),0)</f>
        <v>0</v>
      </c>
      <c r="K1468" s="819">
        <f>ROUND(IF(G1468=1,F1468/23,IF(G1468=3,F1468/12,IF(G1468=6,F1468,IF(G1468=7,F1468-I1468,0)))),0)</f>
        <v>0</v>
      </c>
      <c r="L1468" s="820">
        <f>IF(G1468=6,F1468,0)</f>
        <v>0</v>
      </c>
      <c r="P1468" s="768" t="n"/>
      <c r="Q1468" s="769" t="str">
        <f>IF($F1468="","",IFERROR(VLOOKUP($C1468&amp;"|"&amp;$D1468,科目表!$A$5:$B$200,2,FALSE),"※未登録"))</f>
        <v/>
      </c>
      <c r="R1468" s="769" t="str">
        <f>IF($F1468="","",$I1468+$J1468+$K1468)</f>
        <v/>
      </c>
      <c r="S1468" s="769" t="str">
        <f>IF(OR($F1468="",$P1468="支払なし",$H1468=0,$Q1468=""),"",$Q1468&amp;"|S|"&amp;(COUNTIF(S$4:S1467,$Q1468&amp;"|S|*")+1))</f>
        <v/>
      </c>
      <c r="T1468" s="769" t="str">
        <f>IF(OR($F1468="",$P1468="支払なし",$R1468=0,$Q1468=""),"",$Q1468&amp;"|L|"&amp;(COUNTIF(T$4:T1467,$Q1468&amp;"|L|*")+1))</f>
        <v/>
      </c>
      <c r="U1468" s="769" t="str">
        <f>IF($F1468="","",13)</f>
        <v/>
      </c>
    </row>
    <row r="1469" ht="16.5" customHeight="1" s="186">
      <c r="A1469" s="760" t="n"/>
      <c r="B1469" s="760" t="n"/>
      <c r="C1469" s="762" t="n"/>
      <c r="D1469" s="762" t="n"/>
      <c r="E1469" s="775" t="n"/>
      <c r="F1469" s="821" t="n"/>
      <c r="G1469" s="821" t="n"/>
      <c r="H1469" s="818">
        <f>IF(G1469=1,F1469-I1469-J1469-K1469,IF(G1469=2,F1469,0))</f>
        <v>0</v>
      </c>
      <c r="I1469" s="818">
        <f>ROUND(IF(G1469=1,F1469*10/23,IF(G1469=3,F1469-J1469-K1469,IF(G1469=4,F1469,IF(G1469=5,F1469*10/11,IF(G1469=7,F1469*10/11,0))))),0)</f>
        <v>0</v>
      </c>
      <c r="J1469" s="818">
        <f>ROUND(IF(G1469=1,F1469/23,IF(G1469=3,F1469/12,IF(G1469=5,F1469-I1469,IF(G1469=8,F1469,0)))),0)</f>
        <v>0</v>
      </c>
      <c r="K1469" s="819">
        <f>ROUND(IF(G1469=1,F1469/23,IF(G1469=3,F1469/12,IF(G1469=6,F1469,IF(G1469=7,F1469-I1469,0)))),0)</f>
        <v>0</v>
      </c>
      <c r="L1469" s="820">
        <f>IF(G1469=6,F1469,0)</f>
        <v>0</v>
      </c>
      <c r="P1469" s="768" t="n"/>
      <c r="Q1469" s="769" t="str">
        <f>IF($F1469="","",IFERROR(VLOOKUP($C1469&amp;"|"&amp;$D1469,科目表!$A$5:$B$200,2,FALSE),"※未登録"))</f>
        <v/>
      </c>
      <c r="R1469" s="769" t="str">
        <f>IF($F1469="","",$I1469+$J1469+$K1469)</f>
        <v/>
      </c>
      <c r="S1469" s="769" t="str">
        <f>IF(OR($F1469="",$P1469="支払なし",$H1469=0,$Q1469=""),"",$Q1469&amp;"|S|"&amp;(COUNTIF(S$4:S1468,$Q1469&amp;"|S|*")+1))</f>
        <v/>
      </c>
      <c r="T1469" s="769" t="str">
        <f>IF(OR($F1469="",$P1469="支払なし",$R1469=0,$Q1469=""),"",$Q1469&amp;"|L|"&amp;(COUNTIF(T$4:T1468,$Q1469&amp;"|L|*")+1))</f>
        <v/>
      </c>
      <c r="U1469" s="769" t="str">
        <f>IF($F1469="","",13)</f>
        <v/>
      </c>
    </row>
    <row r="1470" ht="16.5" customHeight="1" s="186">
      <c r="A1470" s="760" t="n"/>
      <c r="B1470" s="760" t="n"/>
      <c r="C1470" s="762" t="n"/>
      <c r="D1470" s="762" t="n"/>
      <c r="E1470" s="775" t="n"/>
      <c r="F1470" s="821" t="n"/>
      <c r="G1470" s="821" t="n"/>
      <c r="H1470" s="818">
        <f>IF(G1470=1,F1470-I1470-J1470-K1470,IF(G1470=2,F1470,0))</f>
        <v>0</v>
      </c>
      <c r="I1470" s="818">
        <f>ROUND(IF(G1470=1,F1470*10/23,IF(G1470=3,F1470-J1470-K1470,IF(G1470=4,F1470,IF(G1470=5,F1470*10/11,IF(G1470=7,F1470*10/11,0))))),0)</f>
        <v>0</v>
      </c>
      <c r="J1470" s="818">
        <f>ROUND(IF(G1470=1,F1470/23,IF(G1470=3,F1470/12,IF(G1470=5,F1470-I1470,IF(G1470=8,F1470,0)))),0)</f>
        <v>0</v>
      </c>
      <c r="K1470" s="819">
        <f>ROUND(IF(G1470=1,F1470/23,IF(G1470=3,F1470/12,IF(G1470=6,F1470,IF(G1470=7,F1470-I1470,0)))),0)</f>
        <v>0</v>
      </c>
      <c r="L1470" s="820">
        <f>IF(G1470=6,F1470,0)</f>
        <v>0</v>
      </c>
      <c r="P1470" s="768" t="n"/>
      <c r="Q1470" s="769" t="str">
        <f>IF($F1470="","",IFERROR(VLOOKUP($C1470&amp;"|"&amp;$D1470,科目表!$A$5:$B$200,2,FALSE),"※未登録"))</f>
        <v/>
      </c>
      <c r="R1470" s="769" t="str">
        <f>IF($F1470="","",$I1470+$J1470+$K1470)</f>
        <v/>
      </c>
      <c r="S1470" s="769" t="str">
        <f>IF(OR($F1470="",$P1470="支払なし",$H1470=0,$Q1470=""),"",$Q1470&amp;"|S|"&amp;(COUNTIF(S$4:S1469,$Q1470&amp;"|S|*")+1))</f>
        <v/>
      </c>
      <c r="T1470" s="769" t="str">
        <f>IF(OR($F1470="",$P1470="支払なし",$R1470=0,$Q1470=""),"",$Q1470&amp;"|L|"&amp;(COUNTIF(T$4:T1469,$Q1470&amp;"|L|*")+1))</f>
        <v/>
      </c>
      <c r="U1470" s="769" t="str">
        <f>IF($F1470="","",13)</f>
        <v/>
      </c>
    </row>
    <row r="1471" ht="16.5" customHeight="1" s="186">
      <c r="A1471" s="760" t="n"/>
      <c r="B1471" s="760" t="n"/>
      <c r="C1471" s="762" t="n"/>
      <c r="D1471" s="762" t="n"/>
      <c r="E1471" s="775" t="n"/>
      <c r="F1471" s="821" t="n"/>
      <c r="G1471" s="821" t="n"/>
      <c r="H1471" s="818">
        <f>IF(G1471=1,F1471-I1471-J1471-K1471,IF(G1471=2,F1471,0))</f>
        <v>0</v>
      </c>
      <c r="I1471" s="818">
        <f>ROUND(IF(G1471=1,F1471*10/23,IF(G1471=3,F1471-J1471-K1471,IF(G1471=4,F1471,IF(G1471=5,F1471*10/11,IF(G1471=7,F1471*10/11,0))))),0)</f>
        <v>0</v>
      </c>
      <c r="J1471" s="818">
        <f>ROUND(IF(G1471=1,F1471/23,IF(G1471=3,F1471/12,IF(G1471=5,F1471-I1471,IF(G1471=8,F1471,0)))),0)</f>
        <v>0</v>
      </c>
      <c r="K1471" s="819">
        <f>ROUND(IF(G1471=1,F1471/23,IF(G1471=3,F1471/12,IF(G1471=6,F1471,IF(G1471=7,F1471-I1471,0)))),0)</f>
        <v>0</v>
      </c>
      <c r="L1471" s="820">
        <f>IF(G1471=6,F1471,0)</f>
        <v>0</v>
      </c>
      <c r="P1471" s="768" t="n"/>
      <c r="Q1471" s="769" t="str">
        <f>IF($F1471="","",IFERROR(VLOOKUP($C1471&amp;"|"&amp;$D1471,科目表!$A$5:$B$200,2,FALSE),"※未登録"))</f>
        <v/>
      </c>
      <c r="R1471" s="769" t="str">
        <f>IF($F1471="","",$I1471+$J1471+$K1471)</f>
        <v/>
      </c>
      <c r="S1471" s="769" t="str">
        <f>IF(OR($F1471="",$P1471="支払なし",$H1471=0,$Q1471=""),"",$Q1471&amp;"|S|"&amp;(COUNTIF(S$4:S1470,$Q1471&amp;"|S|*")+1))</f>
        <v/>
      </c>
      <c r="T1471" s="769" t="str">
        <f>IF(OR($F1471="",$P1471="支払なし",$R1471=0,$Q1471=""),"",$Q1471&amp;"|L|"&amp;(COUNTIF(T$4:T1470,$Q1471&amp;"|L|*")+1))</f>
        <v/>
      </c>
      <c r="U1471" s="769" t="str">
        <f>IF($F1471="","",13)</f>
        <v/>
      </c>
    </row>
    <row r="1472" ht="16.5" customHeight="1" s="186">
      <c r="A1472" s="760" t="n"/>
      <c r="B1472" s="760" t="n"/>
      <c r="C1472" s="762" t="n"/>
      <c r="D1472" s="762" t="n"/>
      <c r="E1472" s="775" t="n"/>
      <c r="F1472" s="821" t="n"/>
      <c r="G1472" s="821" t="n"/>
      <c r="H1472" s="818">
        <f>IF(G1472=1,F1472-I1472-J1472-K1472,IF(G1472=2,F1472,0))</f>
        <v>0</v>
      </c>
      <c r="I1472" s="818">
        <f>ROUND(IF(G1472=1,F1472*10/23,IF(G1472=3,F1472-J1472-K1472,IF(G1472=4,F1472,IF(G1472=5,F1472*10/11,IF(G1472=7,F1472*10/11,0))))),0)</f>
        <v>0</v>
      </c>
      <c r="J1472" s="818">
        <f>ROUND(IF(G1472=1,F1472/23,IF(G1472=3,F1472/12,IF(G1472=5,F1472-I1472,IF(G1472=8,F1472,0)))),0)</f>
        <v>0</v>
      </c>
      <c r="K1472" s="819">
        <f>ROUND(IF(G1472=1,F1472/23,IF(G1472=3,F1472/12,IF(G1472=6,F1472,IF(G1472=7,F1472-I1472,0)))),0)</f>
        <v>0</v>
      </c>
      <c r="L1472" s="820">
        <f>IF(G1472=6,F1472,0)</f>
        <v>0</v>
      </c>
      <c r="P1472" s="768" t="n"/>
      <c r="Q1472" s="769" t="str">
        <f>IF($F1472="","",IFERROR(VLOOKUP($C1472&amp;"|"&amp;$D1472,科目表!$A$5:$B$200,2,FALSE),"※未登録"))</f>
        <v/>
      </c>
      <c r="R1472" s="769" t="str">
        <f>IF($F1472="","",$I1472+$J1472+$K1472)</f>
        <v/>
      </c>
      <c r="S1472" s="769" t="str">
        <f>IF(OR($F1472="",$P1472="支払なし",$H1472=0,$Q1472=""),"",$Q1472&amp;"|S|"&amp;(COUNTIF(S$4:S1471,$Q1472&amp;"|S|*")+1))</f>
        <v/>
      </c>
      <c r="T1472" s="769" t="str">
        <f>IF(OR($F1472="",$P1472="支払なし",$R1472=0,$Q1472=""),"",$Q1472&amp;"|L|"&amp;(COUNTIF(T$4:T1471,$Q1472&amp;"|L|*")+1))</f>
        <v/>
      </c>
      <c r="U1472" s="769" t="str">
        <f>IF($F1472="","",13)</f>
        <v/>
      </c>
    </row>
    <row r="1473" ht="16.5" customHeight="1" s="186">
      <c r="A1473" s="760" t="n"/>
      <c r="B1473" s="760" t="n"/>
      <c r="C1473" s="762" t="n"/>
      <c r="D1473" s="762" t="n"/>
      <c r="E1473" s="775" t="n"/>
      <c r="F1473" s="821" t="n"/>
      <c r="G1473" s="821" t="n"/>
      <c r="H1473" s="818">
        <f>IF(G1473=1,F1473-I1473-J1473-K1473,IF(G1473=2,F1473,0))</f>
        <v>0</v>
      </c>
      <c r="I1473" s="818">
        <f>ROUND(IF(G1473=1,F1473*10/23,IF(G1473=3,F1473-J1473-K1473,IF(G1473=4,F1473,IF(G1473=5,F1473*10/11,IF(G1473=7,F1473*10/11,0))))),0)</f>
        <v>0</v>
      </c>
      <c r="J1473" s="818">
        <f>ROUND(IF(G1473=1,F1473/23,IF(G1473=3,F1473/12,IF(G1473=5,F1473-I1473,IF(G1473=8,F1473,0)))),0)</f>
        <v>0</v>
      </c>
      <c r="K1473" s="819">
        <f>ROUND(IF(G1473=1,F1473/23,IF(G1473=3,F1473/12,IF(G1473=6,F1473,IF(G1473=7,F1473-I1473,0)))),0)</f>
        <v>0</v>
      </c>
      <c r="L1473" s="820">
        <f>IF(G1473=6,F1473,0)</f>
        <v>0</v>
      </c>
      <c r="P1473" s="768" t="n"/>
      <c r="Q1473" s="769" t="str">
        <f>IF($F1473="","",IFERROR(VLOOKUP($C1473&amp;"|"&amp;$D1473,科目表!$A$5:$B$200,2,FALSE),"※未登録"))</f>
        <v/>
      </c>
      <c r="R1473" s="769" t="str">
        <f>IF($F1473="","",$I1473+$J1473+$K1473)</f>
        <v/>
      </c>
      <c r="S1473" s="769" t="str">
        <f>IF(OR($F1473="",$P1473="支払なし",$H1473=0,$Q1473=""),"",$Q1473&amp;"|S|"&amp;(COUNTIF(S$4:S1472,$Q1473&amp;"|S|*")+1))</f>
        <v/>
      </c>
      <c r="T1473" s="769" t="str">
        <f>IF(OR($F1473="",$P1473="支払なし",$R1473=0,$Q1473=""),"",$Q1473&amp;"|L|"&amp;(COUNTIF(T$4:T1472,$Q1473&amp;"|L|*")+1))</f>
        <v/>
      </c>
      <c r="U1473" s="769" t="str">
        <f>IF($F1473="","",13)</f>
        <v/>
      </c>
    </row>
    <row r="1474" ht="16.5" customHeight="1" s="186">
      <c r="A1474" s="760" t="n"/>
      <c r="B1474" s="760" t="n"/>
      <c r="C1474" s="762" t="n"/>
      <c r="D1474" s="762" t="n"/>
      <c r="E1474" s="775" t="n"/>
      <c r="F1474" s="821" t="n"/>
      <c r="G1474" s="821" t="n"/>
      <c r="H1474" s="818">
        <f>IF(G1474=1,F1474-I1474-J1474-K1474,IF(G1474=2,F1474,0))</f>
        <v>0</v>
      </c>
      <c r="I1474" s="818">
        <f>ROUND(IF(G1474=1,F1474*10/23,IF(G1474=3,F1474-J1474-K1474,IF(G1474=4,F1474,IF(G1474=5,F1474*10/11,IF(G1474=7,F1474*10/11,0))))),0)</f>
        <v>0</v>
      </c>
      <c r="J1474" s="818">
        <f>ROUND(IF(G1474=1,F1474/23,IF(G1474=3,F1474/12,IF(G1474=5,F1474-I1474,IF(G1474=8,F1474,0)))),0)</f>
        <v>0</v>
      </c>
      <c r="K1474" s="819">
        <f>ROUND(IF(G1474=1,F1474/23,IF(G1474=3,F1474/12,IF(G1474=6,F1474,IF(G1474=7,F1474-I1474,0)))),0)</f>
        <v>0</v>
      </c>
      <c r="L1474" s="820">
        <f>IF(G1474=6,F1474,0)</f>
        <v>0</v>
      </c>
      <c r="P1474" s="768" t="n"/>
      <c r="Q1474" s="769" t="str">
        <f>IF($F1474="","",IFERROR(VLOOKUP($C1474&amp;"|"&amp;$D1474,科目表!$A$5:$B$200,2,FALSE),"※未登録"))</f>
        <v/>
      </c>
      <c r="R1474" s="769" t="str">
        <f>IF($F1474="","",$I1474+$J1474+$K1474)</f>
        <v/>
      </c>
      <c r="S1474" s="769" t="str">
        <f>IF(OR($F1474="",$P1474="支払なし",$H1474=0,$Q1474=""),"",$Q1474&amp;"|S|"&amp;(COUNTIF(S$4:S1473,$Q1474&amp;"|S|*")+1))</f>
        <v/>
      </c>
      <c r="T1474" s="769" t="str">
        <f>IF(OR($F1474="",$P1474="支払なし",$R1474=0,$Q1474=""),"",$Q1474&amp;"|L|"&amp;(COUNTIF(T$4:T1473,$Q1474&amp;"|L|*")+1))</f>
        <v/>
      </c>
      <c r="U1474" s="769" t="str">
        <f>IF($F1474="","",13)</f>
        <v/>
      </c>
    </row>
    <row r="1475" ht="16.5" customHeight="1" s="186">
      <c r="A1475" s="760" t="n"/>
      <c r="B1475" s="760" t="n"/>
      <c r="C1475" s="762" t="n"/>
      <c r="D1475" s="762" t="n"/>
      <c r="E1475" s="775" t="n"/>
      <c r="F1475" s="821" t="n"/>
      <c r="G1475" s="821" t="n"/>
      <c r="H1475" s="818">
        <f>IF(G1475=1,F1475-I1475-J1475-K1475,IF(G1475=2,F1475,0))</f>
        <v>0</v>
      </c>
      <c r="I1475" s="818">
        <f>ROUND(IF(G1475=1,F1475*10/23,IF(G1475=3,F1475-J1475-K1475,IF(G1475=4,F1475,IF(G1475=5,F1475*10/11,IF(G1475=7,F1475*10/11,0))))),0)</f>
        <v>0</v>
      </c>
      <c r="J1475" s="818">
        <f>ROUND(IF(G1475=1,F1475/23,IF(G1475=3,F1475/12,IF(G1475=5,F1475-I1475,IF(G1475=8,F1475,0)))),0)</f>
        <v>0</v>
      </c>
      <c r="K1475" s="819">
        <f>ROUND(IF(G1475=1,F1475/23,IF(G1475=3,F1475/12,IF(G1475=6,F1475,IF(G1475=7,F1475-I1475,0)))),0)</f>
        <v>0</v>
      </c>
      <c r="L1475" s="820">
        <f>IF(G1475=6,F1475,0)</f>
        <v>0</v>
      </c>
      <c r="P1475" s="768" t="n"/>
      <c r="Q1475" s="769" t="str">
        <f>IF($F1475="","",IFERROR(VLOOKUP($C1475&amp;"|"&amp;$D1475,科目表!$A$5:$B$200,2,FALSE),"※未登録"))</f>
        <v/>
      </c>
      <c r="R1475" s="769" t="str">
        <f>IF($F1475="","",$I1475+$J1475+$K1475)</f>
        <v/>
      </c>
      <c r="S1475" s="769" t="str">
        <f>IF(OR($F1475="",$P1475="支払なし",$H1475=0,$Q1475=""),"",$Q1475&amp;"|S|"&amp;(COUNTIF(S$4:S1474,$Q1475&amp;"|S|*")+1))</f>
        <v/>
      </c>
      <c r="T1475" s="769" t="str">
        <f>IF(OR($F1475="",$P1475="支払なし",$R1475=0,$Q1475=""),"",$Q1475&amp;"|L|"&amp;(COUNTIF(T$4:T1474,$Q1475&amp;"|L|*")+1))</f>
        <v/>
      </c>
      <c r="U1475" s="769" t="str">
        <f>IF($F1475="","",13)</f>
        <v/>
      </c>
    </row>
    <row r="1476" ht="16.5" customHeight="1" s="186">
      <c r="A1476" s="760" t="n"/>
      <c r="B1476" s="760" t="n"/>
      <c r="C1476" s="762" t="n"/>
      <c r="D1476" s="762" t="n"/>
      <c r="E1476" s="775" t="n"/>
      <c r="F1476" s="821" t="n"/>
      <c r="G1476" s="821" t="n"/>
      <c r="H1476" s="818">
        <f>IF(G1476=1,F1476-I1476-J1476-K1476,IF(G1476=2,F1476,0))</f>
        <v>0</v>
      </c>
      <c r="I1476" s="818">
        <f>ROUND(IF(G1476=1,F1476*10/23,IF(G1476=3,F1476-J1476-K1476,IF(G1476=4,F1476,IF(G1476=5,F1476*10/11,IF(G1476=7,F1476*10/11,0))))),0)</f>
        <v>0</v>
      </c>
      <c r="J1476" s="818">
        <f>ROUND(IF(G1476=1,F1476/23,IF(G1476=3,F1476/12,IF(G1476=5,F1476-I1476,IF(G1476=8,F1476,0)))),0)</f>
        <v>0</v>
      </c>
      <c r="K1476" s="819">
        <f>ROUND(IF(G1476=1,F1476/23,IF(G1476=3,F1476/12,IF(G1476=6,F1476,IF(G1476=7,F1476-I1476,0)))),0)</f>
        <v>0</v>
      </c>
      <c r="L1476" s="820">
        <f>IF(G1476=6,F1476,0)</f>
        <v>0</v>
      </c>
      <c r="P1476" s="768" t="n"/>
      <c r="Q1476" s="769" t="str">
        <f>IF($F1476="","",IFERROR(VLOOKUP($C1476&amp;"|"&amp;$D1476,科目表!$A$5:$B$200,2,FALSE),"※未登録"))</f>
        <v/>
      </c>
      <c r="R1476" s="769" t="str">
        <f>IF($F1476="","",$I1476+$J1476+$K1476)</f>
        <v/>
      </c>
      <c r="S1476" s="769" t="str">
        <f>IF(OR($F1476="",$P1476="支払なし",$H1476=0,$Q1476=""),"",$Q1476&amp;"|S|"&amp;(COUNTIF(S$4:S1475,$Q1476&amp;"|S|*")+1))</f>
        <v/>
      </c>
      <c r="T1476" s="769" t="str">
        <f>IF(OR($F1476="",$P1476="支払なし",$R1476=0,$Q1476=""),"",$Q1476&amp;"|L|"&amp;(COUNTIF(T$4:T1475,$Q1476&amp;"|L|*")+1))</f>
        <v/>
      </c>
      <c r="U1476" s="769" t="str">
        <f>IF($F1476="","",13)</f>
        <v/>
      </c>
    </row>
    <row r="1477" ht="16.5" customHeight="1" s="186">
      <c r="A1477" s="760" t="n"/>
      <c r="B1477" s="760" t="n"/>
      <c r="C1477" s="762" t="n"/>
      <c r="D1477" s="762" t="n"/>
      <c r="E1477" s="775" t="n"/>
      <c r="F1477" s="821" t="n"/>
      <c r="G1477" s="821" t="n"/>
      <c r="H1477" s="818">
        <f>IF(G1477=1,F1477-I1477-J1477-K1477,IF(G1477=2,F1477,0))</f>
        <v>0</v>
      </c>
      <c r="I1477" s="818">
        <f>ROUND(IF(G1477=1,F1477*10/23,IF(G1477=3,F1477-J1477-K1477,IF(G1477=4,F1477,IF(G1477=5,F1477*10/11,IF(G1477=7,F1477*10/11,0))))),0)</f>
        <v>0</v>
      </c>
      <c r="J1477" s="818">
        <f>ROUND(IF(G1477=1,F1477/23,IF(G1477=3,F1477/12,IF(G1477=5,F1477-I1477,IF(G1477=8,F1477,0)))),0)</f>
        <v>0</v>
      </c>
      <c r="K1477" s="819">
        <f>ROUND(IF(G1477=1,F1477/23,IF(G1477=3,F1477/12,IF(G1477=6,F1477,IF(G1477=7,F1477-I1477,0)))),0)</f>
        <v>0</v>
      </c>
      <c r="L1477" s="820">
        <f>IF(G1477=6,F1477,0)</f>
        <v>0</v>
      </c>
      <c r="P1477" s="768" t="n"/>
      <c r="Q1477" s="769" t="str">
        <f>IF($F1477="","",IFERROR(VLOOKUP($C1477&amp;"|"&amp;$D1477,科目表!$A$5:$B$200,2,FALSE),"※未登録"))</f>
        <v/>
      </c>
      <c r="R1477" s="769" t="str">
        <f>IF($F1477="","",$I1477+$J1477+$K1477)</f>
        <v/>
      </c>
      <c r="S1477" s="769" t="str">
        <f>IF(OR($F1477="",$P1477="支払なし",$H1477=0,$Q1477=""),"",$Q1477&amp;"|S|"&amp;(COUNTIF(S$4:S1476,$Q1477&amp;"|S|*")+1))</f>
        <v/>
      </c>
      <c r="T1477" s="769" t="str">
        <f>IF(OR($F1477="",$P1477="支払なし",$R1477=0,$Q1477=""),"",$Q1477&amp;"|L|"&amp;(COUNTIF(T$4:T1476,$Q1477&amp;"|L|*")+1))</f>
        <v/>
      </c>
      <c r="U1477" s="769" t="str">
        <f>IF($F1477="","",13)</f>
        <v/>
      </c>
    </row>
    <row r="1478" ht="16.5" customHeight="1" s="186">
      <c r="A1478" s="760" t="n"/>
      <c r="B1478" s="760" t="n"/>
      <c r="C1478" s="762" t="n"/>
      <c r="D1478" s="762" t="n"/>
      <c r="E1478" s="775" t="n"/>
      <c r="F1478" s="821" t="n"/>
      <c r="G1478" s="821" t="n"/>
      <c r="H1478" s="818">
        <f>IF(G1478=1,F1478-I1478-J1478-K1478,IF(G1478=2,F1478,0))</f>
        <v>0</v>
      </c>
      <c r="I1478" s="818">
        <f>ROUND(IF(G1478=1,F1478*10/23,IF(G1478=3,F1478-J1478-K1478,IF(G1478=4,F1478,IF(G1478=5,F1478*10/11,IF(G1478=7,F1478*10/11,0))))),0)</f>
        <v>0</v>
      </c>
      <c r="J1478" s="818">
        <f>ROUND(IF(G1478=1,F1478/23,IF(G1478=3,F1478/12,IF(G1478=5,F1478-I1478,IF(G1478=8,F1478,0)))),0)</f>
        <v>0</v>
      </c>
      <c r="K1478" s="819">
        <f>ROUND(IF(G1478=1,F1478/23,IF(G1478=3,F1478/12,IF(G1478=6,F1478,IF(G1478=7,F1478-I1478,0)))),0)</f>
        <v>0</v>
      </c>
      <c r="L1478" s="820">
        <f>IF(G1478=6,F1478,0)</f>
        <v>0</v>
      </c>
      <c r="P1478" s="768" t="n"/>
      <c r="Q1478" s="769" t="str">
        <f>IF($F1478="","",IFERROR(VLOOKUP($C1478&amp;"|"&amp;$D1478,科目表!$A$5:$B$200,2,FALSE),"※未登録"))</f>
        <v/>
      </c>
      <c r="R1478" s="769" t="str">
        <f>IF($F1478="","",$I1478+$J1478+$K1478)</f>
        <v/>
      </c>
      <c r="S1478" s="769" t="str">
        <f>IF(OR($F1478="",$P1478="支払なし",$H1478=0,$Q1478=""),"",$Q1478&amp;"|S|"&amp;(COUNTIF(S$4:S1477,$Q1478&amp;"|S|*")+1))</f>
        <v/>
      </c>
      <c r="T1478" s="769" t="str">
        <f>IF(OR($F1478="",$P1478="支払なし",$R1478=0,$Q1478=""),"",$Q1478&amp;"|L|"&amp;(COUNTIF(T$4:T1477,$Q1478&amp;"|L|*")+1))</f>
        <v/>
      </c>
      <c r="U1478" s="769" t="str">
        <f>IF($F1478="","",13)</f>
        <v/>
      </c>
    </row>
    <row r="1479" ht="16.5" customHeight="1" s="186">
      <c r="A1479" s="760" t="n"/>
      <c r="B1479" s="760" t="n"/>
      <c r="C1479" s="762" t="n"/>
      <c r="D1479" s="762" t="n"/>
      <c r="E1479" s="775" t="n"/>
      <c r="F1479" s="821" t="n"/>
      <c r="G1479" s="821" t="n"/>
      <c r="H1479" s="818">
        <f>IF(G1479=1,F1479-I1479-J1479-K1479,IF(G1479=2,F1479,0))</f>
        <v>0</v>
      </c>
      <c r="I1479" s="818">
        <f>ROUND(IF(G1479=1,F1479*10/23,IF(G1479=3,F1479-J1479-K1479,IF(G1479=4,F1479,IF(G1479=5,F1479*10/11,IF(G1479=7,F1479*10/11,0))))),0)</f>
        <v>0</v>
      </c>
      <c r="J1479" s="818">
        <f>ROUND(IF(G1479=1,F1479/23,IF(G1479=3,F1479/12,IF(G1479=5,F1479-I1479,IF(G1479=8,F1479,0)))),0)</f>
        <v>0</v>
      </c>
      <c r="K1479" s="819">
        <f>ROUND(IF(G1479=1,F1479/23,IF(G1479=3,F1479/12,IF(G1479=6,F1479,IF(G1479=7,F1479-I1479,0)))),0)</f>
        <v>0</v>
      </c>
      <c r="L1479" s="820">
        <f>IF(G1479=6,F1479,0)</f>
        <v>0</v>
      </c>
      <c r="P1479" s="768" t="n"/>
      <c r="Q1479" s="769" t="str">
        <f>IF($F1479="","",IFERROR(VLOOKUP($C1479&amp;"|"&amp;$D1479,科目表!$A$5:$B$200,2,FALSE),"※未登録"))</f>
        <v/>
      </c>
      <c r="R1479" s="769" t="str">
        <f>IF($F1479="","",$I1479+$J1479+$K1479)</f>
        <v/>
      </c>
      <c r="S1479" s="769" t="str">
        <f>IF(OR($F1479="",$P1479="支払なし",$H1479=0,$Q1479=""),"",$Q1479&amp;"|S|"&amp;(COUNTIF(S$4:S1478,$Q1479&amp;"|S|*")+1))</f>
        <v/>
      </c>
      <c r="T1479" s="769" t="str">
        <f>IF(OR($F1479="",$P1479="支払なし",$R1479=0,$Q1479=""),"",$Q1479&amp;"|L|"&amp;(COUNTIF(T$4:T1478,$Q1479&amp;"|L|*")+1))</f>
        <v/>
      </c>
      <c r="U1479" s="769" t="str">
        <f>IF($F1479="","",13)</f>
        <v/>
      </c>
    </row>
    <row r="1480" ht="16.5" customHeight="1" s="186">
      <c r="A1480" s="760" t="n"/>
      <c r="B1480" s="760" t="n"/>
      <c r="C1480" s="762" t="n"/>
      <c r="D1480" s="762" t="n"/>
      <c r="E1480" s="775" t="n"/>
      <c r="F1480" s="821" t="n"/>
      <c r="G1480" s="821" t="n"/>
      <c r="H1480" s="818">
        <f>IF(G1480=1,F1480-I1480-J1480-K1480,IF(G1480=2,F1480,0))</f>
        <v>0</v>
      </c>
      <c r="I1480" s="818">
        <f>ROUND(IF(G1480=1,F1480*10/23,IF(G1480=3,F1480-J1480-K1480,IF(G1480=4,F1480,IF(G1480=5,F1480*10/11,IF(G1480=7,F1480*10/11,0))))),0)</f>
        <v>0</v>
      </c>
      <c r="J1480" s="818">
        <f>ROUND(IF(G1480=1,F1480/23,IF(G1480=3,F1480/12,IF(G1480=5,F1480-I1480,IF(G1480=8,F1480,0)))),0)</f>
        <v>0</v>
      </c>
      <c r="K1480" s="819">
        <f>ROUND(IF(G1480=1,F1480/23,IF(G1480=3,F1480/12,IF(G1480=6,F1480,IF(G1480=7,F1480-I1480,0)))),0)</f>
        <v>0</v>
      </c>
      <c r="L1480" s="820">
        <f>IF(G1480=6,F1480,0)</f>
        <v>0</v>
      </c>
      <c r="P1480" s="768" t="n"/>
      <c r="Q1480" s="769" t="str">
        <f>IF($F1480="","",IFERROR(VLOOKUP($C1480&amp;"|"&amp;$D1480,科目表!$A$5:$B$200,2,FALSE),"※未登録"))</f>
        <v/>
      </c>
      <c r="R1480" s="769" t="str">
        <f>IF($F1480="","",$I1480+$J1480+$K1480)</f>
        <v/>
      </c>
      <c r="S1480" s="769" t="str">
        <f>IF(OR($F1480="",$P1480="支払なし",$H1480=0,$Q1480=""),"",$Q1480&amp;"|S|"&amp;(COUNTIF(S$4:S1479,$Q1480&amp;"|S|*")+1))</f>
        <v/>
      </c>
      <c r="T1480" s="769" t="str">
        <f>IF(OR($F1480="",$P1480="支払なし",$R1480=0,$Q1480=""),"",$Q1480&amp;"|L|"&amp;(COUNTIF(T$4:T1479,$Q1480&amp;"|L|*")+1))</f>
        <v/>
      </c>
      <c r="U1480" s="769" t="str">
        <f>IF($F1480="","",13)</f>
        <v/>
      </c>
    </row>
    <row r="1481" ht="16.5" customHeight="1" s="186">
      <c r="A1481" s="760" t="n"/>
      <c r="B1481" s="760" t="n"/>
      <c r="C1481" s="762" t="n"/>
      <c r="D1481" s="762" t="n"/>
      <c r="E1481" s="775" t="n"/>
      <c r="F1481" s="821" t="n"/>
      <c r="G1481" s="821" t="n"/>
      <c r="H1481" s="818">
        <f>IF(G1481=1,F1481-I1481-J1481-K1481,IF(G1481=2,F1481,0))</f>
        <v>0</v>
      </c>
      <c r="I1481" s="818">
        <f>ROUND(IF(G1481=1,F1481*10/23,IF(G1481=3,F1481-J1481-K1481,IF(G1481=4,F1481,IF(G1481=5,F1481*10/11,IF(G1481=7,F1481*10/11,0))))),0)</f>
        <v>0</v>
      </c>
      <c r="J1481" s="818">
        <f>ROUND(IF(G1481=1,F1481/23,IF(G1481=3,F1481/12,IF(G1481=5,F1481-I1481,IF(G1481=8,F1481,0)))),0)</f>
        <v>0</v>
      </c>
      <c r="K1481" s="819">
        <f>ROUND(IF(G1481=1,F1481/23,IF(G1481=3,F1481/12,IF(G1481=6,F1481,IF(G1481=7,F1481-I1481,0)))),0)</f>
        <v>0</v>
      </c>
      <c r="L1481" s="820">
        <f>IF(G1481=6,F1481,0)</f>
        <v>0</v>
      </c>
      <c r="P1481" s="768" t="n"/>
      <c r="Q1481" s="769" t="str">
        <f>IF($F1481="","",IFERROR(VLOOKUP($C1481&amp;"|"&amp;$D1481,科目表!$A$5:$B$200,2,FALSE),"※未登録"))</f>
        <v/>
      </c>
      <c r="R1481" s="769" t="str">
        <f>IF($F1481="","",$I1481+$J1481+$K1481)</f>
        <v/>
      </c>
      <c r="S1481" s="769" t="str">
        <f>IF(OR($F1481="",$P1481="支払なし",$H1481=0,$Q1481=""),"",$Q1481&amp;"|S|"&amp;(COUNTIF(S$4:S1480,$Q1481&amp;"|S|*")+1))</f>
        <v/>
      </c>
      <c r="T1481" s="769" t="str">
        <f>IF(OR($F1481="",$P1481="支払なし",$R1481=0,$Q1481=""),"",$Q1481&amp;"|L|"&amp;(COUNTIF(T$4:T1480,$Q1481&amp;"|L|*")+1))</f>
        <v/>
      </c>
      <c r="U1481" s="769" t="str">
        <f>IF($F1481="","",13)</f>
        <v/>
      </c>
    </row>
    <row r="1482" ht="16.5" customHeight="1" s="186">
      <c r="A1482" s="760" t="n"/>
      <c r="B1482" s="760" t="n"/>
      <c r="C1482" s="762" t="n"/>
      <c r="D1482" s="762" t="n"/>
      <c r="E1482" s="775" t="n"/>
      <c r="F1482" s="821" t="n"/>
      <c r="G1482" s="821" t="n"/>
      <c r="H1482" s="818">
        <f>IF(G1482=1,F1482-I1482-J1482-K1482,IF(G1482=2,F1482,0))</f>
        <v>0</v>
      </c>
      <c r="I1482" s="818">
        <f>ROUND(IF(G1482=1,F1482*10/23,IF(G1482=3,F1482-J1482-K1482,IF(G1482=4,F1482,IF(G1482=5,F1482*10/11,IF(G1482=7,F1482*10/11,0))))),0)</f>
        <v>0</v>
      </c>
      <c r="J1482" s="818">
        <f>ROUND(IF(G1482=1,F1482/23,IF(G1482=3,F1482/12,IF(G1482=5,F1482-I1482,IF(G1482=8,F1482,0)))),0)</f>
        <v>0</v>
      </c>
      <c r="K1482" s="819">
        <f>ROUND(IF(G1482=1,F1482/23,IF(G1482=3,F1482/12,IF(G1482=6,F1482,IF(G1482=7,F1482-I1482,0)))),0)</f>
        <v>0</v>
      </c>
      <c r="L1482" s="820">
        <f>IF(G1482=6,F1482,0)</f>
        <v>0</v>
      </c>
      <c r="P1482" s="768" t="n"/>
      <c r="Q1482" s="769" t="str">
        <f>IF($F1482="","",IFERROR(VLOOKUP($C1482&amp;"|"&amp;$D1482,科目表!$A$5:$B$200,2,FALSE),"※未登録"))</f>
        <v/>
      </c>
      <c r="R1482" s="769" t="str">
        <f>IF($F1482="","",$I1482+$J1482+$K1482)</f>
        <v/>
      </c>
      <c r="S1482" s="769" t="str">
        <f>IF(OR($F1482="",$P1482="支払なし",$H1482=0,$Q1482=""),"",$Q1482&amp;"|S|"&amp;(COUNTIF(S$4:S1481,$Q1482&amp;"|S|*")+1))</f>
        <v/>
      </c>
      <c r="T1482" s="769" t="str">
        <f>IF(OR($F1482="",$P1482="支払なし",$R1482=0,$Q1482=""),"",$Q1482&amp;"|L|"&amp;(COUNTIF(T$4:T1481,$Q1482&amp;"|L|*")+1))</f>
        <v/>
      </c>
      <c r="U1482" s="769" t="str">
        <f>IF($F1482="","",13)</f>
        <v/>
      </c>
    </row>
    <row r="1483" ht="16.5" customHeight="1" s="186">
      <c r="A1483" s="760" t="n"/>
      <c r="B1483" s="760" t="n"/>
      <c r="C1483" s="762" t="n"/>
      <c r="D1483" s="762" t="n"/>
      <c r="E1483" s="775" t="n"/>
      <c r="F1483" s="821" t="n"/>
      <c r="G1483" s="821" t="n"/>
      <c r="H1483" s="818">
        <f>IF(G1483=1,F1483-I1483-J1483-K1483,IF(G1483=2,F1483,0))</f>
        <v>0</v>
      </c>
      <c r="I1483" s="818">
        <f>ROUND(IF(G1483=1,F1483*10/23,IF(G1483=3,F1483-J1483-K1483,IF(G1483=4,F1483,IF(G1483=5,F1483*10/11,IF(G1483=7,F1483*10/11,0))))),0)</f>
        <v>0</v>
      </c>
      <c r="J1483" s="818">
        <f>ROUND(IF(G1483=1,F1483/23,IF(G1483=3,F1483/12,IF(G1483=5,F1483-I1483,IF(G1483=8,F1483,0)))),0)</f>
        <v>0</v>
      </c>
      <c r="K1483" s="819">
        <f>ROUND(IF(G1483=1,F1483/23,IF(G1483=3,F1483/12,IF(G1483=6,F1483,IF(G1483=7,F1483-I1483,0)))),0)</f>
        <v>0</v>
      </c>
      <c r="L1483" s="820">
        <f>IF(G1483=6,F1483,0)</f>
        <v>0</v>
      </c>
      <c r="P1483" s="768" t="n"/>
      <c r="Q1483" s="769" t="str">
        <f>IF($F1483="","",IFERROR(VLOOKUP($C1483&amp;"|"&amp;$D1483,科目表!$A$5:$B$200,2,FALSE),"※未登録"))</f>
        <v/>
      </c>
      <c r="R1483" s="769" t="str">
        <f>IF($F1483="","",$I1483+$J1483+$K1483)</f>
        <v/>
      </c>
      <c r="S1483" s="769" t="str">
        <f>IF(OR($F1483="",$P1483="支払なし",$H1483=0,$Q1483=""),"",$Q1483&amp;"|S|"&amp;(COUNTIF(S$4:S1482,$Q1483&amp;"|S|*")+1))</f>
        <v/>
      </c>
      <c r="T1483" s="769" t="str">
        <f>IF(OR($F1483="",$P1483="支払なし",$R1483=0,$Q1483=""),"",$Q1483&amp;"|L|"&amp;(COUNTIF(T$4:T1482,$Q1483&amp;"|L|*")+1))</f>
        <v/>
      </c>
      <c r="U1483" s="769" t="str">
        <f>IF($F1483="","",13)</f>
        <v/>
      </c>
    </row>
    <row r="1484" ht="16.5" customHeight="1" s="186">
      <c r="A1484" s="760" t="n"/>
      <c r="B1484" s="760" t="n"/>
      <c r="C1484" s="762" t="n"/>
      <c r="D1484" s="762" t="n"/>
      <c r="E1484" s="775" t="n"/>
      <c r="F1484" s="821" t="n"/>
      <c r="G1484" s="821" t="n"/>
      <c r="H1484" s="818">
        <f>IF(G1484=1,F1484-I1484-J1484-K1484,IF(G1484=2,F1484,0))</f>
        <v>0</v>
      </c>
      <c r="I1484" s="818">
        <f>ROUND(IF(G1484=1,F1484*10/23,IF(G1484=3,F1484-J1484-K1484,IF(G1484=4,F1484,IF(G1484=5,F1484*10/11,IF(G1484=7,F1484*10/11,0))))),0)</f>
        <v>0</v>
      </c>
      <c r="J1484" s="818">
        <f>ROUND(IF(G1484=1,F1484/23,IF(G1484=3,F1484/12,IF(G1484=5,F1484-I1484,IF(G1484=8,F1484,0)))),0)</f>
        <v>0</v>
      </c>
      <c r="K1484" s="819">
        <f>ROUND(IF(G1484=1,F1484/23,IF(G1484=3,F1484/12,IF(G1484=6,F1484,IF(G1484=7,F1484-I1484,0)))),0)</f>
        <v>0</v>
      </c>
      <c r="L1484" s="820">
        <f>IF(G1484=6,F1484,0)</f>
        <v>0</v>
      </c>
      <c r="P1484" s="768" t="n"/>
      <c r="Q1484" s="769" t="str">
        <f>IF($F1484="","",IFERROR(VLOOKUP($C1484&amp;"|"&amp;$D1484,科目表!$A$5:$B$200,2,FALSE),"※未登録"))</f>
        <v/>
      </c>
      <c r="R1484" s="769" t="str">
        <f>IF($F1484="","",$I1484+$J1484+$K1484)</f>
        <v/>
      </c>
      <c r="S1484" s="769" t="str">
        <f>IF(OR($F1484="",$P1484="支払なし",$H1484=0,$Q1484=""),"",$Q1484&amp;"|S|"&amp;(COUNTIF(S$4:S1483,$Q1484&amp;"|S|*")+1))</f>
        <v/>
      </c>
      <c r="T1484" s="769" t="str">
        <f>IF(OR($F1484="",$P1484="支払なし",$R1484=0,$Q1484=""),"",$Q1484&amp;"|L|"&amp;(COUNTIF(T$4:T1483,$Q1484&amp;"|L|*")+1))</f>
        <v/>
      </c>
      <c r="U1484" s="769" t="str">
        <f>IF($F1484="","",13)</f>
        <v/>
      </c>
    </row>
    <row r="1485" ht="16.5" customHeight="1" s="186">
      <c r="A1485" s="760" t="n"/>
      <c r="B1485" s="760" t="n"/>
      <c r="C1485" s="762" t="n"/>
      <c r="D1485" s="762" t="n"/>
      <c r="E1485" s="775" t="n"/>
      <c r="F1485" s="821" t="n"/>
      <c r="G1485" s="821" t="n"/>
      <c r="H1485" s="818">
        <f>IF(G1485=1,F1485-I1485-J1485-K1485,IF(G1485=2,F1485,0))</f>
        <v>0</v>
      </c>
      <c r="I1485" s="818">
        <f>ROUND(IF(G1485=1,F1485*10/23,IF(G1485=3,F1485-J1485-K1485,IF(G1485=4,F1485,IF(G1485=5,F1485*10/11,IF(G1485=7,F1485*10/11,0))))),0)</f>
        <v>0</v>
      </c>
      <c r="J1485" s="818">
        <f>ROUND(IF(G1485=1,F1485/23,IF(G1485=3,F1485/12,IF(G1485=5,F1485-I1485,IF(G1485=8,F1485,0)))),0)</f>
        <v>0</v>
      </c>
      <c r="K1485" s="819">
        <f>ROUND(IF(G1485=1,F1485/23,IF(G1485=3,F1485/12,IF(G1485=6,F1485,IF(G1485=7,F1485-I1485,0)))),0)</f>
        <v>0</v>
      </c>
      <c r="L1485" s="820">
        <f>IF(G1485=6,F1485,0)</f>
        <v>0</v>
      </c>
      <c r="P1485" s="768" t="n"/>
      <c r="Q1485" s="769" t="str">
        <f>IF($F1485="","",IFERROR(VLOOKUP($C1485&amp;"|"&amp;$D1485,科目表!$A$5:$B$200,2,FALSE),"※未登録"))</f>
        <v/>
      </c>
      <c r="R1485" s="769" t="str">
        <f>IF($F1485="","",$I1485+$J1485+$K1485)</f>
        <v/>
      </c>
      <c r="S1485" s="769" t="str">
        <f>IF(OR($F1485="",$P1485="支払なし",$H1485=0,$Q1485=""),"",$Q1485&amp;"|S|"&amp;(COUNTIF(S$4:S1484,$Q1485&amp;"|S|*")+1))</f>
        <v/>
      </c>
      <c r="T1485" s="769" t="str">
        <f>IF(OR($F1485="",$P1485="支払なし",$R1485=0,$Q1485=""),"",$Q1485&amp;"|L|"&amp;(COUNTIF(T$4:T1484,$Q1485&amp;"|L|*")+1))</f>
        <v/>
      </c>
      <c r="U1485" s="769" t="str">
        <f>IF($F1485="","",13)</f>
        <v/>
      </c>
    </row>
    <row r="1486" ht="16.5" customHeight="1" s="186">
      <c r="A1486" s="760" t="n"/>
      <c r="B1486" s="760" t="n"/>
      <c r="C1486" s="762" t="n"/>
      <c r="D1486" s="762" t="n"/>
      <c r="E1486" s="775" t="n"/>
      <c r="F1486" s="821" t="n"/>
      <c r="G1486" s="821" t="n"/>
      <c r="H1486" s="818">
        <f>IF(G1486=1,F1486-I1486-J1486-K1486,IF(G1486=2,F1486,0))</f>
        <v>0</v>
      </c>
      <c r="I1486" s="818">
        <f>ROUND(IF(G1486=1,F1486*10/23,IF(G1486=3,F1486-J1486-K1486,IF(G1486=4,F1486,IF(G1486=5,F1486*10/11,IF(G1486=7,F1486*10/11,0))))),0)</f>
        <v>0</v>
      </c>
      <c r="J1486" s="818">
        <f>ROUND(IF(G1486=1,F1486/23,IF(G1486=3,F1486/12,IF(G1486=5,F1486-I1486,IF(G1486=8,F1486,0)))),0)</f>
        <v>0</v>
      </c>
      <c r="K1486" s="819">
        <f>ROUND(IF(G1486=1,F1486/23,IF(G1486=3,F1486/12,IF(G1486=6,F1486,IF(G1486=7,F1486-I1486,0)))),0)</f>
        <v>0</v>
      </c>
      <c r="L1486" s="820">
        <f>IF(G1486=6,F1486,0)</f>
        <v>0</v>
      </c>
      <c r="P1486" s="768" t="n"/>
      <c r="Q1486" s="769" t="str">
        <f>IF($F1486="","",IFERROR(VLOOKUP($C1486&amp;"|"&amp;$D1486,科目表!$A$5:$B$200,2,FALSE),"※未登録"))</f>
        <v/>
      </c>
      <c r="R1486" s="769" t="str">
        <f>IF($F1486="","",$I1486+$J1486+$K1486)</f>
        <v/>
      </c>
      <c r="S1486" s="769" t="str">
        <f>IF(OR($F1486="",$P1486="支払なし",$H1486=0,$Q1486=""),"",$Q1486&amp;"|S|"&amp;(COUNTIF(S$4:S1485,$Q1486&amp;"|S|*")+1))</f>
        <v/>
      </c>
      <c r="T1486" s="769" t="str">
        <f>IF(OR($F1486="",$P1486="支払なし",$R1486=0,$Q1486=""),"",$Q1486&amp;"|L|"&amp;(COUNTIF(T$4:T1485,$Q1486&amp;"|L|*")+1))</f>
        <v/>
      </c>
      <c r="U1486" s="769" t="str">
        <f>IF($F1486="","",13)</f>
        <v/>
      </c>
    </row>
    <row r="1487" ht="16.5" customHeight="1" s="186">
      <c r="A1487" s="760" t="n"/>
      <c r="B1487" s="760" t="n"/>
      <c r="C1487" s="762" t="n"/>
      <c r="D1487" s="762" t="n"/>
      <c r="E1487" s="775" t="n"/>
      <c r="F1487" s="821" t="n"/>
      <c r="G1487" s="821" t="n"/>
      <c r="H1487" s="818">
        <f>IF(G1487=1,F1487-I1487-J1487-K1487,IF(G1487=2,F1487,0))</f>
        <v>0</v>
      </c>
      <c r="I1487" s="818">
        <f>ROUND(IF(G1487=1,F1487*10/23,IF(G1487=3,F1487-J1487-K1487,IF(G1487=4,F1487,IF(G1487=5,F1487*10/11,IF(G1487=7,F1487*10/11,0))))),0)</f>
        <v>0</v>
      </c>
      <c r="J1487" s="818">
        <f>ROUND(IF(G1487=1,F1487/23,IF(G1487=3,F1487/12,IF(G1487=5,F1487-I1487,IF(G1487=8,F1487,0)))),0)</f>
        <v>0</v>
      </c>
      <c r="K1487" s="819">
        <f>ROUND(IF(G1487=1,F1487/23,IF(G1487=3,F1487/12,IF(G1487=6,F1487,IF(G1487=7,F1487-I1487,0)))),0)</f>
        <v>0</v>
      </c>
      <c r="L1487" s="820">
        <f>IF(G1487=6,F1487,0)</f>
        <v>0</v>
      </c>
      <c r="P1487" s="768" t="n"/>
      <c r="Q1487" s="769" t="str">
        <f>IF($F1487="","",IFERROR(VLOOKUP($C1487&amp;"|"&amp;$D1487,科目表!$A$5:$B$200,2,FALSE),"※未登録"))</f>
        <v/>
      </c>
      <c r="R1487" s="769" t="str">
        <f>IF($F1487="","",$I1487+$J1487+$K1487)</f>
        <v/>
      </c>
      <c r="S1487" s="769" t="str">
        <f>IF(OR($F1487="",$P1487="支払なし",$H1487=0,$Q1487=""),"",$Q1487&amp;"|S|"&amp;(COUNTIF(S$4:S1486,$Q1487&amp;"|S|*")+1))</f>
        <v/>
      </c>
      <c r="T1487" s="769" t="str">
        <f>IF(OR($F1487="",$P1487="支払なし",$R1487=0,$Q1487=""),"",$Q1487&amp;"|L|"&amp;(COUNTIF(T$4:T1486,$Q1487&amp;"|L|*")+1))</f>
        <v/>
      </c>
      <c r="U1487" s="769" t="str">
        <f>IF($F1487="","",13)</f>
        <v/>
      </c>
    </row>
    <row r="1488" ht="16.5" customHeight="1" s="186">
      <c r="A1488" s="760" t="n"/>
      <c r="B1488" s="760" t="n"/>
      <c r="C1488" s="762" t="n"/>
      <c r="D1488" s="762" t="n"/>
      <c r="E1488" s="775" t="n"/>
      <c r="F1488" s="821" t="n"/>
      <c r="G1488" s="821" t="n"/>
      <c r="H1488" s="818">
        <f>IF(G1488=1,F1488-I1488-J1488-K1488,IF(G1488=2,F1488,0))</f>
        <v>0</v>
      </c>
      <c r="I1488" s="818">
        <f>ROUND(IF(G1488=1,F1488*10/23,IF(G1488=3,F1488-J1488-K1488,IF(G1488=4,F1488,IF(G1488=5,F1488*10/11,IF(G1488=7,F1488*10/11,0))))),0)</f>
        <v>0</v>
      </c>
      <c r="J1488" s="818">
        <f>ROUND(IF(G1488=1,F1488/23,IF(G1488=3,F1488/12,IF(G1488=5,F1488-I1488,IF(G1488=8,F1488,0)))),0)</f>
        <v>0</v>
      </c>
      <c r="K1488" s="819">
        <f>ROUND(IF(G1488=1,F1488/23,IF(G1488=3,F1488/12,IF(G1488=6,F1488,IF(G1488=7,F1488-I1488,0)))),0)</f>
        <v>0</v>
      </c>
      <c r="L1488" s="820">
        <f>IF(G1488=6,F1488,0)</f>
        <v>0</v>
      </c>
      <c r="P1488" s="768" t="n"/>
      <c r="Q1488" s="769" t="str">
        <f>IF($F1488="","",IFERROR(VLOOKUP($C1488&amp;"|"&amp;$D1488,科目表!$A$5:$B$200,2,FALSE),"※未登録"))</f>
        <v/>
      </c>
      <c r="R1488" s="769" t="str">
        <f>IF($F1488="","",$I1488+$J1488+$K1488)</f>
        <v/>
      </c>
      <c r="S1488" s="769" t="str">
        <f>IF(OR($F1488="",$P1488="支払なし",$H1488=0,$Q1488=""),"",$Q1488&amp;"|S|"&amp;(COUNTIF(S$4:S1487,$Q1488&amp;"|S|*")+1))</f>
        <v/>
      </c>
      <c r="T1488" s="769" t="str">
        <f>IF(OR($F1488="",$P1488="支払なし",$R1488=0,$Q1488=""),"",$Q1488&amp;"|L|"&amp;(COUNTIF(T$4:T1487,$Q1488&amp;"|L|*")+1))</f>
        <v/>
      </c>
      <c r="U1488" s="769" t="str">
        <f>IF($F1488="","",13)</f>
        <v/>
      </c>
    </row>
    <row r="1489" ht="16.5" customHeight="1" s="186">
      <c r="A1489" s="760" t="n"/>
      <c r="B1489" s="760" t="n"/>
      <c r="C1489" s="762" t="n"/>
      <c r="D1489" s="762" t="n"/>
      <c r="E1489" s="775" t="n"/>
      <c r="F1489" s="821" t="n"/>
      <c r="G1489" s="821" t="n"/>
      <c r="H1489" s="818">
        <f>IF(G1489=1,F1489-I1489-J1489-K1489,IF(G1489=2,F1489,0))</f>
        <v>0</v>
      </c>
      <c r="I1489" s="818">
        <f>ROUND(IF(G1489=1,F1489*10/23,IF(G1489=3,F1489-J1489-K1489,IF(G1489=4,F1489,IF(G1489=5,F1489*10/11,IF(G1489=7,F1489*10/11,0))))),0)</f>
        <v>0</v>
      </c>
      <c r="J1489" s="818">
        <f>ROUND(IF(G1489=1,F1489/23,IF(G1489=3,F1489/12,IF(G1489=5,F1489-I1489,IF(G1489=8,F1489,0)))),0)</f>
        <v>0</v>
      </c>
      <c r="K1489" s="819">
        <f>ROUND(IF(G1489=1,F1489/23,IF(G1489=3,F1489/12,IF(G1489=6,F1489,IF(G1489=7,F1489-I1489,0)))),0)</f>
        <v>0</v>
      </c>
      <c r="L1489" s="820">
        <f>IF(G1489=6,F1489,0)</f>
        <v>0</v>
      </c>
      <c r="P1489" s="768" t="n"/>
      <c r="Q1489" s="769" t="str">
        <f>IF($F1489="","",IFERROR(VLOOKUP($C1489&amp;"|"&amp;$D1489,科目表!$A$5:$B$200,2,FALSE),"※未登録"))</f>
        <v/>
      </c>
      <c r="R1489" s="769" t="str">
        <f>IF($F1489="","",$I1489+$J1489+$K1489)</f>
        <v/>
      </c>
      <c r="S1489" s="769" t="str">
        <f>IF(OR($F1489="",$P1489="支払なし",$H1489=0,$Q1489=""),"",$Q1489&amp;"|S|"&amp;(COUNTIF(S$4:S1488,$Q1489&amp;"|S|*")+1))</f>
        <v/>
      </c>
      <c r="T1489" s="769" t="str">
        <f>IF(OR($F1489="",$P1489="支払なし",$R1489=0,$Q1489=""),"",$Q1489&amp;"|L|"&amp;(COUNTIF(T$4:T1488,$Q1489&amp;"|L|*")+1))</f>
        <v/>
      </c>
      <c r="U1489" s="769" t="str">
        <f>IF($F1489="","",13)</f>
        <v/>
      </c>
    </row>
    <row r="1490" ht="16.5" customHeight="1" s="186">
      <c r="A1490" s="760" t="n"/>
      <c r="B1490" s="760" t="n"/>
      <c r="C1490" s="762" t="n"/>
      <c r="D1490" s="762" t="n"/>
      <c r="E1490" s="775" t="n"/>
      <c r="F1490" s="821" t="n"/>
      <c r="G1490" s="821" t="n"/>
      <c r="H1490" s="818">
        <f>IF(G1490=1,F1490-I1490-J1490-K1490,IF(G1490=2,F1490,0))</f>
        <v>0</v>
      </c>
      <c r="I1490" s="818">
        <f>ROUND(IF(G1490=1,F1490*10/23,IF(G1490=3,F1490-J1490-K1490,IF(G1490=4,F1490,IF(G1490=5,F1490*10/11,IF(G1490=7,F1490*10/11,0))))),0)</f>
        <v>0</v>
      </c>
      <c r="J1490" s="818">
        <f>ROUND(IF(G1490=1,F1490/23,IF(G1490=3,F1490/12,IF(G1490=5,F1490-I1490,IF(G1490=8,F1490,0)))),0)</f>
        <v>0</v>
      </c>
      <c r="K1490" s="819">
        <f>ROUND(IF(G1490=1,F1490/23,IF(G1490=3,F1490/12,IF(G1490=6,F1490,IF(G1490=7,F1490-I1490,0)))),0)</f>
        <v>0</v>
      </c>
      <c r="L1490" s="820">
        <f>IF(G1490=6,F1490,0)</f>
        <v>0</v>
      </c>
      <c r="P1490" s="768" t="n"/>
      <c r="Q1490" s="769" t="str">
        <f>IF($F1490="","",IFERROR(VLOOKUP($C1490&amp;"|"&amp;$D1490,科目表!$A$5:$B$200,2,FALSE),"※未登録"))</f>
        <v/>
      </c>
      <c r="R1490" s="769" t="str">
        <f>IF($F1490="","",$I1490+$J1490+$K1490)</f>
        <v/>
      </c>
      <c r="S1490" s="769" t="str">
        <f>IF(OR($F1490="",$P1490="支払なし",$H1490=0,$Q1490=""),"",$Q1490&amp;"|S|"&amp;(COUNTIF(S$4:S1489,$Q1490&amp;"|S|*")+1))</f>
        <v/>
      </c>
      <c r="T1490" s="769" t="str">
        <f>IF(OR($F1490="",$P1490="支払なし",$R1490=0,$Q1490=""),"",$Q1490&amp;"|L|"&amp;(COUNTIF(T$4:T1489,$Q1490&amp;"|L|*")+1))</f>
        <v/>
      </c>
      <c r="U1490" s="769" t="str">
        <f>IF($F1490="","",13)</f>
        <v/>
      </c>
    </row>
    <row r="1491" ht="16.5" customHeight="1" s="186">
      <c r="A1491" s="760" t="n"/>
      <c r="B1491" s="760" t="n"/>
      <c r="C1491" s="762" t="n"/>
      <c r="D1491" s="762" t="n"/>
      <c r="E1491" s="775" t="n"/>
      <c r="F1491" s="821" t="n"/>
      <c r="G1491" s="821" t="n"/>
      <c r="H1491" s="818">
        <f>IF(G1491=1,F1491-I1491-J1491-K1491,IF(G1491=2,F1491,0))</f>
        <v>0</v>
      </c>
      <c r="I1491" s="818">
        <f>ROUND(IF(G1491=1,F1491*10/23,IF(G1491=3,F1491-J1491-K1491,IF(G1491=4,F1491,IF(G1491=5,F1491*10/11,IF(G1491=7,F1491*10/11,0))))),0)</f>
        <v>0</v>
      </c>
      <c r="J1491" s="818">
        <f>ROUND(IF(G1491=1,F1491/23,IF(G1491=3,F1491/12,IF(G1491=5,F1491-I1491,IF(G1491=8,F1491,0)))),0)</f>
        <v>0</v>
      </c>
      <c r="K1491" s="819">
        <f>ROUND(IF(G1491=1,F1491/23,IF(G1491=3,F1491/12,IF(G1491=6,F1491,IF(G1491=7,F1491-I1491,0)))),0)</f>
        <v>0</v>
      </c>
      <c r="L1491" s="820">
        <f>IF(G1491=6,F1491,0)</f>
        <v>0</v>
      </c>
      <c r="P1491" s="768" t="n"/>
      <c r="Q1491" s="769" t="str">
        <f>IF($F1491="","",IFERROR(VLOOKUP($C1491&amp;"|"&amp;$D1491,科目表!$A$5:$B$200,2,FALSE),"※未登録"))</f>
        <v/>
      </c>
      <c r="R1491" s="769" t="str">
        <f>IF($F1491="","",$I1491+$J1491+$K1491)</f>
        <v/>
      </c>
      <c r="S1491" s="769" t="str">
        <f>IF(OR($F1491="",$P1491="支払なし",$H1491=0,$Q1491=""),"",$Q1491&amp;"|S|"&amp;(COUNTIF(S$4:S1490,$Q1491&amp;"|S|*")+1))</f>
        <v/>
      </c>
      <c r="T1491" s="769" t="str">
        <f>IF(OR($F1491="",$P1491="支払なし",$R1491=0,$Q1491=""),"",$Q1491&amp;"|L|"&amp;(COUNTIF(T$4:T1490,$Q1491&amp;"|L|*")+1))</f>
        <v/>
      </c>
      <c r="U1491" s="769" t="str">
        <f>IF($F1491="","",13)</f>
        <v/>
      </c>
    </row>
    <row r="1492" ht="16.5" customHeight="1" s="186">
      <c r="A1492" s="760" t="n"/>
      <c r="B1492" s="760" t="n"/>
      <c r="C1492" s="762" t="n"/>
      <c r="D1492" s="762" t="n"/>
      <c r="E1492" s="775" t="n"/>
      <c r="F1492" s="821" t="n"/>
      <c r="G1492" s="821" t="n"/>
      <c r="H1492" s="818">
        <f>IF(G1492=1,F1492-I1492-J1492-K1492,IF(G1492=2,F1492,0))</f>
        <v>0</v>
      </c>
      <c r="I1492" s="818">
        <f>ROUND(IF(G1492=1,F1492*10/23,IF(G1492=3,F1492-J1492-K1492,IF(G1492=4,F1492,IF(G1492=5,F1492*10/11,IF(G1492=7,F1492*10/11,0))))),0)</f>
        <v>0</v>
      </c>
      <c r="J1492" s="818">
        <f>ROUND(IF(G1492=1,F1492/23,IF(G1492=3,F1492/12,IF(G1492=5,F1492-I1492,IF(G1492=8,F1492,0)))),0)</f>
        <v>0</v>
      </c>
      <c r="K1492" s="819">
        <f>ROUND(IF(G1492=1,F1492/23,IF(G1492=3,F1492/12,IF(G1492=6,F1492,IF(G1492=7,F1492-I1492,0)))),0)</f>
        <v>0</v>
      </c>
      <c r="L1492" s="820">
        <f>IF(G1492=6,F1492,0)</f>
        <v>0</v>
      </c>
      <c r="P1492" s="768" t="n"/>
      <c r="Q1492" s="769" t="str">
        <f>IF($F1492="","",IFERROR(VLOOKUP($C1492&amp;"|"&amp;$D1492,科目表!$A$5:$B$200,2,FALSE),"※未登録"))</f>
        <v/>
      </c>
      <c r="R1492" s="769" t="str">
        <f>IF($F1492="","",$I1492+$J1492+$K1492)</f>
        <v/>
      </c>
      <c r="S1492" s="769" t="str">
        <f>IF(OR($F1492="",$P1492="支払なし",$H1492=0,$Q1492=""),"",$Q1492&amp;"|S|"&amp;(COUNTIF(S$4:S1491,$Q1492&amp;"|S|*")+1))</f>
        <v/>
      </c>
      <c r="T1492" s="769" t="str">
        <f>IF(OR($F1492="",$P1492="支払なし",$R1492=0,$Q1492=""),"",$Q1492&amp;"|L|"&amp;(COUNTIF(T$4:T1491,$Q1492&amp;"|L|*")+1))</f>
        <v/>
      </c>
      <c r="U1492" s="769" t="str">
        <f>IF($F1492="","",13)</f>
        <v/>
      </c>
    </row>
    <row r="1493" ht="16.5" customHeight="1" s="186">
      <c r="A1493" s="760" t="n"/>
      <c r="B1493" s="760" t="n"/>
      <c r="C1493" s="762" t="n"/>
      <c r="D1493" s="762" t="n"/>
      <c r="E1493" s="775" t="n"/>
      <c r="F1493" s="821" t="n"/>
      <c r="G1493" s="821" t="n"/>
      <c r="H1493" s="818">
        <f>IF(G1493=1,F1493-I1493-J1493-K1493,IF(G1493=2,F1493,0))</f>
        <v>0</v>
      </c>
      <c r="I1493" s="818">
        <f>ROUND(IF(G1493=1,F1493*10/23,IF(G1493=3,F1493-J1493-K1493,IF(G1493=4,F1493,IF(G1493=5,F1493*10/11,IF(G1493=7,F1493*10/11,0))))),0)</f>
        <v>0</v>
      </c>
      <c r="J1493" s="818">
        <f>ROUND(IF(G1493=1,F1493/23,IF(G1493=3,F1493/12,IF(G1493=5,F1493-I1493,IF(G1493=8,F1493,0)))),0)</f>
        <v>0</v>
      </c>
      <c r="K1493" s="819">
        <f>ROUND(IF(G1493=1,F1493/23,IF(G1493=3,F1493/12,IF(G1493=6,F1493,IF(G1493=7,F1493-I1493,0)))),0)</f>
        <v>0</v>
      </c>
      <c r="L1493" s="820">
        <f>IF(G1493=6,F1493,0)</f>
        <v>0</v>
      </c>
      <c r="P1493" s="768" t="n"/>
      <c r="Q1493" s="769" t="str">
        <f>IF($F1493="","",IFERROR(VLOOKUP($C1493&amp;"|"&amp;$D1493,科目表!$A$5:$B$200,2,FALSE),"※未登録"))</f>
        <v/>
      </c>
      <c r="R1493" s="769" t="str">
        <f>IF($F1493="","",$I1493+$J1493+$K1493)</f>
        <v/>
      </c>
      <c r="S1493" s="769" t="str">
        <f>IF(OR($F1493="",$P1493="支払なし",$H1493=0,$Q1493=""),"",$Q1493&amp;"|S|"&amp;(COUNTIF(S$4:S1492,$Q1493&amp;"|S|*")+1))</f>
        <v/>
      </c>
      <c r="T1493" s="769" t="str">
        <f>IF(OR($F1493="",$P1493="支払なし",$R1493=0,$Q1493=""),"",$Q1493&amp;"|L|"&amp;(COUNTIF(T$4:T1492,$Q1493&amp;"|L|*")+1))</f>
        <v/>
      </c>
      <c r="U1493" s="769" t="str">
        <f>IF($F1493="","",13)</f>
        <v/>
      </c>
    </row>
    <row r="1494" ht="16.5" customHeight="1" s="186">
      <c r="A1494" s="760" t="n"/>
      <c r="B1494" s="760" t="n"/>
      <c r="C1494" s="762" t="n"/>
      <c r="D1494" s="762" t="n"/>
      <c r="E1494" s="775" t="n"/>
      <c r="F1494" s="821" t="n"/>
      <c r="G1494" s="821" t="n"/>
      <c r="H1494" s="818">
        <f>IF(G1494=1,F1494-I1494-J1494-K1494,IF(G1494=2,F1494,0))</f>
        <v>0</v>
      </c>
      <c r="I1494" s="818">
        <f>ROUND(IF(G1494=1,F1494*10/23,IF(G1494=3,F1494-J1494-K1494,IF(G1494=4,F1494,IF(G1494=5,F1494*10/11,IF(G1494=7,F1494*10/11,0))))),0)</f>
        <v>0</v>
      </c>
      <c r="J1494" s="818">
        <f>ROUND(IF(G1494=1,F1494/23,IF(G1494=3,F1494/12,IF(G1494=5,F1494-I1494,IF(G1494=8,F1494,0)))),0)</f>
        <v>0</v>
      </c>
      <c r="K1494" s="819">
        <f>ROUND(IF(G1494=1,F1494/23,IF(G1494=3,F1494/12,IF(G1494=6,F1494,IF(G1494=7,F1494-I1494,0)))),0)</f>
        <v>0</v>
      </c>
      <c r="L1494" s="820">
        <f>IF(G1494=6,F1494,0)</f>
        <v>0</v>
      </c>
      <c r="P1494" s="768" t="n"/>
      <c r="Q1494" s="769" t="str">
        <f>IF($F1494="","",IFERROR(VLOOKUP($C1494&amp;"|"&amp;$D1494,科目表!$A$5:$B$200,2,FALSE),"※未登録"))</f>
        <v/>
      </c>
      <c r="R1494" s="769" t="str">
        <f>IF($F1494="","",$I1494+$J1494+$K1494)</f>
        <v/>
      </c>
      <c r="S1494" s="769" t="str">
        <f>IF(OR($F1494="",$P1494="支払なし",$H1494=0,$Q1494=""),"",$Q1494&amp;"|S|"&amp;(COUNTIF(S$4:S1493,$Q1494&amp;"|S|*")+1))</f>
        <v/>
      </c>
      <c r="T1494" s="769" t="str">
        <f>IF(OR($F1494="",$P1494="支払なし",$R1494=0,$Q1494=""),"",$Q1494&amp;"|L|"&amp;(COUNTIF(T$4:T1493,$Q1494&amp;"|L|*")+1))</f>
        <v/>
      </c>
      <c r="U1494" s="769" t="str">
        <f>IF($F1494="","",13)</f>
        <v/>
      </c>
    </row>
    <row r="1495" ht="16.5" customHeight="1" s="186">
      <c r="A1495" s="760" t="n"/>
      <c r="B1495" s="760" t="n"/>
      <c r="C1495" s="762" t="n"/>
      <c r="D1495" s="762" t="n"/>
      <c r="E1495" s="775" t="n"/>
      <c r="F1495" s="821" t="n"/>
      <c r="G1495" s="821" t="n"/>
      <c r="H1495" s="818">
        <f>IF(G1495=1,F1495-I1495-J1495-K1495,IF(G1495=2,F1495,0))</f>
        <v>0</v>
      </c>
      <c r="I1495" s="818">
        <f>ROUND(IF(G1495=1,F1495*10/23,IF(G1495=3,F1495-J1495-K1495,IF(G1495=4,F1495,IF(G1495=5,F1495*10/11,IF(G1495=7,F1495*10/11,0))))),0)</f>
        <v>0</v>
      </c>
      <c r="J1495" s="818">
        <f>ROUND(IF(G1495=1,F1495/23,IF(G1495=3,F1495/12,IF(G1495=5,F1495-I1495,IF(G1495=8,F1495,0)))),0)</f>
        <v>0</v>
      </c>
      <c r="K1495" s="819">
        <f>ROUND(IF(G1495=1,F1495/23,IF(G1495=3,F1495/12,IF(G1495=6,F1495,IF(G1495=7,F1495-I1495,0)))),0)</f>
        <v>0</v>
      </c>
      <c r="L1495" s="820">
        <f>IF(G1495=6,F1495,0)</f>
        <v>0</v>
      </c>
      <c r="P1495" s="768" t="n"/>
      <c r="Q1495" s="769" t="str">
        <f>IF($F1495="","",IFERROR(VLOOKUP($C1495&amp;"|"&amp;$D1495,科目表!$A$5:$B$200,2,FALSE),"※未登録"))</f>
        <v/>
      </c>
      <c r="R1495" s="769" t="str">
        <f>IF($F1495="","",$I1495+$J1495+$K1495)</f>
        <v/>
      </c>
      <c r="S1495" s="769" t="str">
        <f>IF(OR($F1495="",$P1495="支払なし",$H1495=0,$Q1495=""),"",$Q1495&amp;"|S|"&amp;(COUNTIF(S$4:S1494,$Q1495&amp;"|S|*")+1))</f>
        <v/>
      </c>
      <c r="T1495" s="769" t="str">
        <f>IF(OR($F1495="",$P1495="支払なし",$R1495=0,$Q1495=""),"",$Q1495&amp;"|L|"&amp;(COUNTIF(T$4:T1494,$Q1495&amp;"|L|*")+1))</f>
        <v/>
      </c>
      <c r="U1495" s="769" t="str">
        <f>IF($F1495="","",13)</f>
        <v/>
      </c>
    </row>
    <row r="1496" ht="16.5" customHeight="1" s="186">
      <c r="A1496" s="760" t="n"/>
      <c r="B1496" s="760" t="n"/>
      <c r="C1496" s="762" t="n"/>
      <c r="D1496" s="762" t="n"/>
      <c r="E1496" s="775" t="n"/>
      <c r="F1496" s="821" t="n"/>
      <c r="G1496" s="821" t="n"/>
      <c r="H1496" s="818">
        <f>IF(G1496=1,F1496-I1496-J1496-K1496,IF(G1496=2,F1496,0))</f>
        <v>0</v>
      </c>
      <c r="I1496" s="818">
        <f>ROUND(IF(G1496=1,F1496*10/23,IF(G1496=3,F1496-J1496-K1496,IF(G1496=4,F1496,IF(G1496=5,F1496*10/11,IF(G1496=7,F1496*10/11,0))))),0)</f>
        <v>0</v>
      </c>
      <c r="J1496" s="818">
        <f>ROUND(IF(G1496=1,F1496/23,IF(G1496=3,F1496/12,IF(G1496=5,F1496-I1496,IF(G1496=8,F1496,0)))),0)</f>
        <v>0</v>
      </c>
      <c r="K1496" s="819">
        <f>ROUND(IF(G1496=1,F1496/23,IF(G1496=3,F1496/12,IF(G1496=6,F1496,IF(G1496=7,F1496-I1496,0)))),0)</f>
        <v>0</v>
      </c>
      <c r="L1496" s="820">
        <f>IF(G1496=6,F1496,0)</f>
        <v>0</v>
      </c>
      <c r="P1496" s="768" t="n"/>
      <c r="Q1496" s="769" t="str">
        <f>IF($F1496="","",IFERROR(VLOOKUP($C1496&amp;"|"&amp;$D1496,科目表!$A$5:$B$200,2,FALSE),"※未登録"))</f>
        <v/>
      </c>
      <c r="R1496" s="769" t="str">
        <f>IF($F1496="","",$I1496+$J1496+$K1496)</f>
        <v/>
      </c>
      <c r="S1496" s="769" t="str">
        <f>IF(OR($F1496="",$P1496="支払なし",$H1496=0,$Q1496=""),"",$Q1496&amp;"|S|"&amp;(COUNTIF(S$4:S1495,$Q1496&amp;"|S|*")+1))</f>
        <v/>
      </c>
      <c r="T1496" s="769" t="str">
        <f>IF(OR($F1496="",$P1496="支払なし",$R1496=0,$Q1496=""),"",$Q1496&amp;"|L|"&amp;(COUNTIF(T$4:T1495,$Q1496&amp;"|L|*")+1))</f>
        <v/>
      </c>
      <c r="U1496" s="769" t="str">
        <f>IF($F1496="","",13)</f>
        <v/>
      </c>
    </row>
    <row r="1497" ht="16.5" customHeight="1" s="186">
      <c r="A1497" s="760" t="n"/>
      <c r="B1497" s="760" t="n"/>
      <c r="C1497" s="762" t="n"/>
      <c r="D1497" s="762" t="n"/>
      <c r="E1497" s="775" t="n"/>
      <c r="F1497" s="821" t="n"/>
      <c r="G1497" s="821" t="n"/>
      <c r="H1497" s="818">
        <f>IF(G1497=1,F1497-I1497-J1497-K1497,IF(G1497=2,F1497,0))</f>
        <v>0</v>
      </c>
      <c r="I1497" s="818">
        <f>ROUND(IF(G1497=1,F1497*10/23,IF(G1497=3,F1497-J1497-K1497,IF(G1497=4,F1497,IF(G1497=5,F1497*10/11,IF(G1497=7,F1497*10/11,0))))),0)</f>
        <v>0</v>
      </c>
      <c r="J1497" s="818">
        <f>ROUND(IF(G1497=1,F1497/23,IF(G1497=3,F1497/12,IF(G1497=5,F1497-I1497,IF(G1497=8,F1497,0)))),0)</f>
        <v>0</v>
      </c>
      <c r="K1497" s="819">
        <f>ROUND(IF(G1497=1,F1497/23,IF(G1497=3,F1497/12,IF(G1497=6,F1497,IF(G1497=7,F1497-I1497,0)))),0)</f>
        <v>0</v>
      </c>
      <c r="L1497" s="820">
        <f>IF(G1497=6,F1497,0)</f>
        <v>0</v>
      </c>
      <c r="P1497" s="768" t="n"/>
      <c r="Q1497" s="769" t="str">
        <f>IF($F1497="","",IFERROR(VLOOKUP($C1497&amp;"|"&amp;$D1497,科目表!$A$5:$B$200,2,FALSE),"※未登録"))</f>
        <v/>
      </c>
      <c r="R1497" s="769" t="str">
        <f>IF($F1497="","",$I1497+$J1497+$K1497)</f>
        <v/>
      </c>
      <c r="S1497" s="769" t="str">
        <f>IF(OR($F1497="",$P1497="支払なし",$H1497=0,$Q1497=""),"",$Q1497&amp;"|S|"&amp;(COUNTIF(S$4:S1496,$Q1497&amp;"|S|*")+1))</f>
        <v/>
      </c>
      <c r="T1497" s="769" t="str">
        <f>IF(OR($F1497="",$P1497="支払なし",$R1497=0,$Q1497=""),"",$Q1497&amp;"|L|"&amp;(COUNTIF(T$4:T1496,$Q1497&amp;"|L|*")+1))</f>
        <v/>
      </c>
      <c r="U1497" s="769" t="str">
        <f>IF($F1497="","",13)</f>
        <v/>
      </c>
    </row>
    <row r="1498" ht="16.5" customHeight="1" s="186">
      <c r="A1498" s="760" t="n"/>
      <c r="B1498" s="760" t="n"/>
      <c r="C1498" s="762" t="n"/>
      <c r="D1498" s="762" t="n"/>
      <c r="E1498" s="775" t="n"/>
      <c r="F1498" s="821" t="n"/>
      <c r="G1498" s="821" t="n"/>
      <c r="H1498" s="818">
        <f>IF(G1498=1,F1498-I1498-J1498-K1498,IF(G1498=2,F1498,0))</f>
        <v>0</v>
      </c>
      <c r="I1498" s="818">
        <f>ROUND(IF(G1498=1,F1498*10/23,IF(G1498=3,F1498-J1498-K1498,IF(G1498=4,F1498,IF(G1498=5,F1498*10/11,IF(G1498=7,F1498*10/11,0))))),0)</f>
        <v>0</v>
      </c>
      <c r="J1498" s="818">
        <f>ROUND(IF(G1498=1,F1498/23,IF(G1498=3,F1498/12,IF(G1498=5,F1498-I1498,IF(G1498=8,F1498,0)))),0)</f>
        <v>0</v>
      </c>
      <c r="K1498" s="819">
        <f>ROUND(IF(G1498=1,F1498/23,IF(G1498=3,F1498/12,IF(G1498=6,F1498,IF(G1498=7,F1498-I1498,0)))),0)</f>
        <v>0</v>
      </c>
      <c r="L1498" s="820">
        <f>IF(G1498=6,F1498,0)</f>
        <v>0</v>
      </c>
      <c r="P1498" s="768" t="n"/>
      <c r="Q1498" s="769" t="str">
        <f>IF($F1498="","",IFERROR(VLOOKUP($C1498&amp;"|"&amp;$D1498,科目表!$A$5:$B$200,2,FALSE),"※未登録"))</f>
        <v/>
      </c>
      <c r="R1498" s="769" t="str">
        <f>IF($F1498="","",$I1498+$J1498+$K1498)</f>
        <v/>
      </c>
      <c r="S1498" s="769" t="str">
        <f>IF(OR($F1498="",$P1498="支払なし",$H1498=0,$Q1498=""),"",$Q1498&amp;"|S|"&amp;(COUNTIF(S$4:S1497,$Q1498&amp;"|S|*")+1))</f>
        <v/>
      </c>
      <c r="T1498" s="769" t="str">
        <f>IF(OR($F1498="",$P1498="支払なし",$R1498=0,$Q1498=""),"",$Q1498&amp;"|L|"&amp;(COUNTIF(T$4:T1497,$Q1498&amp;"|L|*")+1))</f>
        <v/>
      </c>
      <c r="U1498" s="769" t="str">
        <f>IF($F1498="","",13)</f>
        <v/>
      </c>
    </row>
    <row r="1499" ht="16.5" customHeight="1" s="186">
      <c r="A1499" s="760" t="n"/>
      <c r="B1499" s="760" t="n"/>
      <c r="C1499" s="762" t="n"/>
      <c r="D1499" s="762" t="n"/>
      <c r="E1499" s="775" t="n"/>
      <c r="F1499" s="821" t="n"/>
      <c r="G1499" s="821" t="n"/>
      <c r="H1499" s="818">
        <f>IF(G1499=1,F1499-I1499-J1499-K1499,IF(G1499=2,F1499,0))</f>
        <v>0</v>
      </c>
      <c r="I1499" s="818">
        <f>ROUND(IF(G1499=1,F1499*10/23,IF(G1499=3,F1499-J1499-K1499,IF(G1499=4,F1499,IF(G1499=5,F1499*10/11,IF(G1499=7,F1499*10/11,0))))),0)</f>
        <v>0</v>
      </c>
      <c r="J1499" s="818">
        <f>ROUND(IF(G1499=1,F1499/23,IF(G1499=3,F1499/12,IF(G1499=5,F1499-I1499,IF(G1499=8,F1499,0)))),0)</f>
        <v>0</v>
      </c>
      <c r="K1499" s="819">
        <f>ROUND(IF(G1499=1,F1499/23,IF(G1499=3,F1499/12,IF(G1499=6,F1499,IF(G1499=7,F1499-I1499,0)))),0)</f>
        <v>0</v>
      </c>
      <c r="L1499" s="820">
        <f>IF(G1499=6,F1499,0)</f>
        <v>0</v>
      </c>
      <c r="P1499" s="768" t="n"/>
      <c r="Q1499" s="769" t="str">
        <f>IF($F1499="","",IFERROR(VLOOKUP($C1499&amp;"|"&amp;$D1499,科目表!$A$5:$B$200,2,FALSE),"※未登録"))</f>
        <v/>
      </c>
      <c r="R1499" s="769" t="str">
        <f>IF($F1499="","",$I1499+$J1499+$K1499)</f>
        <v/>
      </c>
      <c r="S1499" s="769" t="str">
        <f>IF(OR($F1499="",$P1499="支払なし",$H1499=0,$Q1499=""),"",$Q1499&amp;"|S|"&amp;(COUNTIF(S$4:S1498,$Q1499&amp;"|S|*")+1))</f>
        <v/>
      </c>
      <c r="T1499" s="769" t="str">
        <f>IF(OR($F1499="",$P1499="支払なし",$R1499=0,$Q1499=""),"",$Q1499&amp;"|L|"&amp;(COUNTIF(T$4:T1498,$Q1499&amp;"|L|*")+1))</f>
        <v/>
      </c>
      <c r="U1499" s="769" t="str">
        <f>IF($F1499="","",13)</f>
        <v/>
      </c>
    </row>
    <row r="1500" ht="16.5" customHeight="1" s="186">
      <c r="A1500" s="760" t="n"/>
      <c r="B1500" s="760" t="n"/>
      <c r="C1500" s="762" t="n"/>
      <c r="D1500" s="762" t="n"/>
      <c r="E1500" s="775" t="n"/>
      <c r="F1500" s="821" t="n"/>
      <c r="G1500" s="821" t="n"/>
      <c r="H1500" s="818">
        <f>IF(G1500=1,F1500-I1500-J1500-K1500,IF(G1500=2,F1500,0))</f>
        <v>0</v>
      </c>
      <c r="I1500" s="818">
        <f>ROUND(IF(G1500=1,F1500*10/23,IF(G1500=3,F1500-J1500-K1500,IF(G1500=4,F1500,IF(G1500=5,F1500*10/11,IF(G1500=7,F1500*10/11,0))))),0)</f>
        <v>0</v>
      </c>
      <c r="J1500" s="818">
        <f>ROUND(IF(G1500=1,F1500/23,IF(G1500=3,F1500/12,IF(G1500=5,F1500-I1500,IF(G1500=8,F1500,0)))),0)</f>
        <v>0</v>
      </c>
      <c r="K1500" s="819">
        <f>ROUND(IF(G1500=1,F1500/23,IF(G1500=3,F1500/12,IF(G1500=6,F1500,IF(G1500=7,F1500-I1500,0)))),0)</f>
        <v>0</v>
      </c>
      <c r="L1500" s="820">
        <f>IF(G1500=6,F1500,0)</f>
        <v>0</v>
      </c>
      <c r="P1500" s="768" t="n"/>
      <c r="Q1500" s="769" t="str">
        <f>IF($F1500="","",IFERROR(VLOOKUP($C1500&amp;"|"&amp;$D1500,科目表!$A$5:$B$200,2,FALSE),"※未登録"))</f>
        <v/>
      </c>
      <c r="R1500" s="769" t="str">
        <f>IF($F1500="","",$I1500+$J1500+$K1500)</f>
        <v/>
      </c>
      <c r="S1500" s="769" t="str">
        <f>IF(OR($F1500="",$P1500="支払なし",$H1500=0,$Q1500=""),"",$Q1500&amp;"|S|"&amp;(COUNTIF(S$4:S1499,$Q1500&amp;"|S|*")+1))</f>
        <v/>
      </c>
      <c r="T1500" s="769" t="str">
        <f>IF(OR($F1500="",$P1500="支払なし",$R1500=0,$Q1500=""),"",$Q1500&amp;"|L|"&amp;(COUNTIF(T$4:T1499,$Q1500&amp;"|L|*")+1))</f>
        <v/>
      </c>
      <c r="U1500" s="769" t="str">
        <f>IF($F1500="","",13)</f>
        <v/>
      </c>
    </row>
    <row r="1501" ht="16.5" customHeight="1" s="186">
      <c r="A1501" s="760" t="n"/>
      <c r="B1501" s="760" t="n"/>
      <c r="C1501" s="762" t="n"/>
      <c r="D1501" s="762" t="n"/>
      <c r="E1501" s="775" t="n"/>
      <c r="F1501" s="821" t="n"/>
      <c r="G1501" s="821" t="n"/>
      <c r="H1501" s="818">
        <f>IF(G1501=1,F1501-I1501-J1501-K1501,IF(G1501=2,F1501,0))</f>
        <v>0</v>
      </c>
      <c r="I1501" s="818">
        <f>ROUND(IF(G1501=1,F1501*10/23,IF(G1501=3,F1501-J1501-K1501,IF(G1501=4,F1501,IF(G1501=5,F1501*10/11,IF(G1501=7,F1501*10/11,0))))),0)</f>
        <v>0</v>
      </c>
      <c r="J1501" s="818">
        <f>ROUND(IF(G1501=1,F1501/23,IF(G1501=3,F1501/12,IF(G1501=5,F1501-I1501,IF(G1501=8,F1501,0)))),0)</f>
        <v>0</v>
      </c>
      <c r="K1501" s="819">
        <f>ROUND(IF(G1501=1,F1501/23,IF(G1501=3,F1501/12,IF(G1501=6,F1501,IF(G1501=7,F1501-I1501,0)))),0)</f>
        <v>0</v>
      </c>
      <c r="L1501" s="820">
        <f>IF(G1501=6,F1501,0)</f>
        <v>0</v>
      </c>
      <c r="P1501" s="768" t="n"/>
      <c r="Q1501" s="769" t="str">
        <f>IF($F1501="","",IFERROR(VLOOKUP($C1501&amp;"|"&amp;$D1501,科目表!$A$5:$B$200,2,FALSE),"※未登録"))</f>
        <v/>
      </c>
      <c r="R1501" s="769" t="str">
        <f>IF($F1501="","",$I1501+$J1501+$K1501)</f>
        <v/>
      </c>
      <c r="S1501" s="769" t="str">
        <f>IF(OR($F1501="",$P1501="支払なし",$H1501=0,$Q1501=""),"",$Q1501&amp;"|S|"&amp;(COUNTIF(S$4:S1500,$Q1501&amp;"|S|*")+1))</f>
        <v/>
      </c>
      <c r="T1501" s="769" t="str">
        <f>IF(OR($F1501="",$P1501="支払なし",$R1501=0,$Q1501=""),"",$Q1501&amp;"|L|"&amp;(COUNTIF(T$4:T1500,$Q1501&amp;"|L|*")+1))</f>
        <v/>
      </c>
      <c r="U1501" s="769" t="str">
        <f>IF($F1501="","",13)</f>
        <v/>
      </c>
    </row>
    <row r="1502" ht="16.5" customHeight="1" s="186">
      <c r="A1502" s="760" t="n"/>
      <c r="B1502" s="760" t="n"/>
      <c r="C1502" s="762" t="n"/>
      <c r="D1502" s="762" t="n"/>
      <c r="E1502" s="775" t="n"/>
      <c r="F1502" s="821" t="n"/>
      <c r="G1502" s="821" t="n"/>
      <c r="H1502" s="818">
        <f>IF(G1502=1,F1502-I1502-J1502-K1502,IF(G1502=2,F1502,0))</f>
        <v>0</v>
      </c>
      <c r="I1502" s="818">
        <f>ROUND(IF(G1502=1,F1502*10/23,IF(G1502=3,F1502-J1502-K1502,IF(G1502=4,F1502,IF(G1502=5,F1502*10/11,IF(G1502=7,F1502*10/11,0))))),0)</f>
        <v>0</v>
      </c>
      <c r="J1502" s="818">
        <f>ROUND(IF(G1502=1,F1502/23,IF(G1502=3,F1502/12,IF(G1502=5,F1502-I1502,IF(G1502=8,F1502,0)))),0)</f>
        <v>0</v>
      </c>
      <c r="K1502" s="819">
        <f>ROUND(IF(G1502=1,F1502/23,IF(G1502=3,F1502/12,IF(G1502=6,F1502,IF(G1502=7,F1502-I1502,0)))),0)</f>
        <v>0</v>
      </c>
      <c r="L1502" s="820">
        <f>IF(G1502=6,F1502,0)</f>
        <v>0</v>
      </c>
      <c r="P1502" s="768" t="n"/>
      <c r="Q1502" s="769" t="str">
        <f>IF($F1502="","",IFERROR(VLOOKUP($C1502&amp;"|"&amp;$D1502,科目表!$A$5:$B$200,2,FALSE),"※未登録"))</f>
        <v/>
      </c>
      <c r="R1502" s="769" t="str">
        <f>IF($F1502="","",$I1502+$J1502+$K1502)</f>
        <v/>
      </c>
      <c r="S1502" s="769" t="str">
        <f>IF(OR($F1502="",$P1502="支払なし",$H1502=0,$Q1502=""),"",$Q1502&amp;"|S|"&amp;(COUNTIF(S$4:S1501,$Q1502&amp;"|S|*")+1))</f>
        <v/>
      </c>
      <c r="T1502" s="769" t="str">
        <f>IF(OR($F1502="",$P1502="支払なし",$R1502=0,$Q1502=""),"",$Q1502&amp;"|L|"&amp;(COUNTIF(T$4:T1501,$Q1502&amp;"|L|*")+1))</f>
        <v/>
      </c>
      <c r="U1502" s="769" t="str">
        <f>IF($F1502="","",13)</f>
        <v/>
      </c>
    </row>
    <row r="1503" ht="16.5" customHeight="1" s="186">
      <c r="A1503" s="760" t="n"/>
      <c r="B1503" s="760" t="n"/>
      <c r="C1503" s="762" t="n"/>
      <c r="D1503" s="762" t="n"/>
      <c r="E1503" s="775" t="n"/>
      <c r="F1503" s="821" t="n"/>
      <c r="G1503" s="821" t="n"/>
      <c r="H1503" s="818">
        <f>IF(G1503=1,F1503-I1503-J1503-K1503,IF(G1503=2,F1503,0))</f>
        <v>0</v>
      </c>
      <c r="I1503" s="818">
        <f>ROUND(IF(G1503=1,F1503*10/23,IF(G1503=3,F1503-J1503-K1503,IF(G1503=4,F1503,IF(G1503=5,F1503*10/11,IF(G1503=7,F1503*10/11,0))))),0)</f>
        <v>0</v>
      </c>
      <c r="J1503" s="818">
        <f>ROUND(IF(G1503=1,F1503/23,IF(G1503=3,F1503/12,IF(G1503=5,F1503-I1503,IF(G1503=8,F1503,0)))),0)</f>
        <v>0</v>
      </c>
      <c r="K1503" s="819">
        <f>ROUND(IF(G1503=1,F1503/23,IF(G1503=3,F1503/12,IF(G1503=6,F1503,IF(G1503=7,F1503-I1503,0)))),0)</f>
        <v>0</v>
      </c>
      <c r="L1503" s="820">
        <f>IF(G1503=6,F1503,0)</f>
        <v>0</v>
      </c>
      <c r="P1503" s="768" t="n"/>
      <c r="Q1503" s="769" t="str">
        <f>IF($F1503="","",IFERROR(VLOOKUP($C1503&amp;"|"&amp;$D1503,科目表!$A$5:$B$200,2,FALSE),"※未登録"))</f>
        <v/>
      </c>
      <c r="R1503" s="769" t="str">
        <f>IF($F1503="","",$I1503+$J1503+$K1503)</f>
        <v/>
      </c>
      <c r="S1503" s="769" t="str">
        <f>IF(OR($F1503="",$P1503="支払なし",$H1503=0,$Q1503=""),"",$Q1503&amp;"|S|"&amp;(COUNTIF(S$4:S1502,$Q1503&amp;"|S|*")+1))</f>
        <v/>
      </c>
      <c r="T1503" s="769" t="str">
        <f>IF(OR($F1503="",$P1503="支払なし",$R1503=0,$Q1503=""),"",$Q1503&amp;"|L|"&amp;(COUNTIF(T$4:T1502,$Q1503&amp;"|L|*")+1))</f>
        <v/>
      </c>
      <c r="U1503" s="769" t="str">
        <f>IF($F1503="","",13)</f>
        <v/>
      </c>
    </row>
    <row r="1504" ht="16.5" customHeight="1" s="186">
      <c r="A1504" s="760" t="n"/>
      <c r="B1504" s="760" t="n"/>
      <c r="C1504" s="762" t="n"/>
      <c r="D1504" s="762" t="n"/>
      <c r="E1504" s="775" t="n"/>
      <c r="F1504" s="821" t="n"/>
      <c r="G1504" s="821" t="n"/>
      <c r="H1504" s="818">
        <f>IF(G1504=1,F1504-I1504-J1504-K1504,IF(G1504=2,F1504,0))</f>
        <v>0</v>
      </c>
      <c r="I1504" s="818">
        <f>ROUND(IF(G1504=1,F1504*10/23,IF(G1504=3,F1504-J1504-K1504,IF(G1504=4,F1504,IF(G1504=5,F1504*10/11,IF(G1504=7,F1504*10/11,0))))),0)</f>
        <v>0</v>
      </c>
      <c r="J1504" s="818">
        <f>ROUND(IF(G1504=1,F1504/23,IF(G1504=3,F1504/12,IF(G1504=5,F1504-I1504,IF(G1504=8,F1504,0)))),0)</f>
        <v>0</v>
      </c>
      <c r="K1504" s="819">
        <f>ROUND(IF(G1504=1,F1504/23,IF(G1504=3,F1504/12,IF(G1504=6,F1504,IF(G1504=7,F1504-I1504,0)))),0)</f>
        <v>0</v>
      </c>
      <c r="L1504" s="820">
        <f>IF(G1504=6,F1504,0)</f>
        <v>0</v>
      </c>
      <c r="P1504" s="768" t="n"/>
      <c r="Q1504" s="769" t="str">
        <f>IF($F1504="","",IFERROR(VLOOKUP($C1504&amp;"|"&amp;$D1504,科目表!$A$5:$B$200,2,FALSE),"※未登録"))</f>
        <v/>
      </c>
      <c r="R1504" s="769" t="str">
        <f>IF($F1504="","",$I1504+$J1504+$K1504)</f>
        <v/>
      </c>
      <c r="S1504" s="769" t="str">
        <f>IF(OR($F1504="",$P1504="支払なし",$H1504=0,$Q1504=""),"",$Q1504&amp;"|S|"&amp;(COUNTIF(S$4:S1503,$Q1504&amp;"|S|*")+1))</f>
        <v/>
      </c>
      <c r="T1504" s="769" t="str">
        <f>IF(OR($F1504="",$P1504="支払なし",$R1504=0,$Q1504=""),"",$Q1504&amp;"|L|"&amp;(COUNTIF(T$4:T1503,$Q1504&amp;"|L|*")+1))</f>
        <v/>
      </c>
      <c r="U1504" s="769" t="str">
        <f>IF($F1504="","",13)</f>
        <v/>
      </c>
    </row>
    <row r="1505" ht="16.5" customHeight="1" s="186">
      <c r="A1505" s="760" t="n"/>
      <c r="B1505" s="760" t="n"/>
      <c r="C1505" s="762" t="n"/>
      <c r="D1505" s="762" t="n"/>
      <c r="E1505" s="775" t="n"/>
      <c r="F1505" s="821" t="n"/>
      <c r="G1505" s="821" t="n"/>
      <c r="H1505" s="818">
        <f>IF(G1505=1,F1505-I1505-J1505-K1505,IF(G1505=2,F1505,0))</f>
        <v>0</v>
      </c>
      <c r="I1505" s="818">
        <f>ROUND(IF(G1505=1,F1505*10/23,IF(G1505=3,F1505-J1505-K1505,IF(G1505=4,F1505,IF(G1505=5,F1505*10/11,IF(G1505=7,F1505*10/11,0))))),0)</f>
        <v>0</v>
      </c>
      <c r="J1505" s="818">
        <f>ROUND(IF(G1505=1,F1505/23,IF(G1505=3,F1505/12,IF(G1505=5,F1505-I1505,IF(G1505=8,F1505,0)))),0)</f>
        <v>0</v>
      </c>
      <c r="K1505" s="819">
        <f>ROUND(IF(G1505=1,F1505/23,IF(G1505=3,F1505/12,IF(G1505=6,F1505,IF(G1505=7,F1505-I1505,0)))),0)</f>
        <v>0</v>
      </c>
      <c r="L1505" s="820">
        <f>IF(G1505=6,F1505,0)</f>
        <v>0</v>
      </c>
      <c r="P1505" s="768" t="n"/>
      <c r="Q1505" s="769" t="str">
        <f>IF($F1505="","",IFERROR(VLOOKUP($C1505&amp;"|"&amp;$D1505,科目表!$A$5:$B$200,2,FALSE),"※未登録"))</f>
        <v/>
      </c>
      <c r="R1505" s="769" t="str">
        <f>IF($F1505="","",$I1505+$J1505+$K1505)</f>
        <v/>
      </c>
      <c r="S1505" s="769" t="str">
        <f>IF(OR($F1505="",$P1505="支払なし",$H1505=0,$Q1505=""),"",$Q1505&amp;"|S|"&amp;(COUNTIF(S$4:S1504,$Q1505&amp;"|S|*")+1))</f>
        <v/>
      </c>
      <c r="T1505" s="769" t="str">
        <f>IF(OR($F1505="",$P1505="支払なし",$R1505=0,$Q1505=""),"",$Q1505&amp;"|L|"&amp;(COUNTIF(T$4:T1504,$Q1505&amp;"|L|*")+1))</f>
        <v/>
      </c>
      <c r="U1505" s="769" t="str">
        <f>IF($F1505="","",13)</f>
        <v/>
      </c>
    </row>
    <row r="1506" ht="16.5" customHeight="1" s="186">
      <c r="A1506" s="760" t="n"/>
      <c r="B1506" s="760" t="n"/>
      <c r="C1506" s="762" t="n"/>
      <c r="D1506" s="762" t="n"/>
      <c r="E1506" s="775" t="n"/>
      <c r="F1506" s="821" t="n"/>
      <c r="G1506" s="821" t="n"/>
      <c r="H1506" s="818">
        <f>IF(G1506=1,F1506-I1506-J1506-K1506,IF(G1506=2,F1506,0))</f>
        <v>0</v>
      </c>
      <c r="I1506" s="818">
        <f>ROUND(IF(G1506=1,F1506*10/23,IF(G1506=3,F1506-J1506-K1506,IF(G1506=4,F1506,IF(G1506=5,F1506*10/11,IF(G1506=7,F1506*10/11,0))))),0)</f>
        <v>0</v>
      </c>
      <c r="J1506" s="818">
        <f>ROUND(IF(G1506=1,F1506/23,IF(G1506=3,F1506/12,IF(G1506=5,F1506-I1506,IF(G1506=8,F1506,0)))),0)</f>
        <v>0</v>
      </c>
      <c r="K1506" s="819">
        <f>ROUND(IF(G1506=1,F1506/23,IF(G1506=3,F1506/12,IF(G1506=6,F1506,IF(G1506=7,F1506-I1506,0)))),0)</f>
        <v>0</v>
      </c>
      <c r="L1506" s="820">
        <f>IF(G1506=6,F1506,0)</f>
        <v>0</v>
      </c>
      <c r="P1506" s="768" t="n"/>
      <c r="Q1506" s="769" t="str">
        <f>IF($F1506="","",IFERROR(VLOOKUP($C1506&amp;"|"&amp;$D1506,科目表!$A$5:$B$200,2,FALSE),"※未登録"))</f>
        <v/>
      </c>
      <c r="R1506" s="769" t="str">
        <f>IF($F1506="","",$I1506+$J1506+$K1506)</f>
        <v/>
      </c>
      <c r="S1506" s="769" t="str">
        <f>IF(OR($F1506="",$P1506="支払なし",$H1506=0,$Q1506=""),"",$Q1506&amp;"|S|"&amp;(COUNTIF(S$4:S1505,$Q1506&amp;"|S|*")+1))</f>
        <v/>
      </c>
      <c r="T1506" s="769" t="str">
        <f>IF(OR($F1506="",$P1506="支払なし",$R1506=0,$Q1506=""),"",$Q1506&amp;"|L|"&amp;(COUNTIF(T$4:T1505,$Q1506&amp;"|L|*")+1))</f>
        <v/>
      </c>
      <c r="U1506" s="769" t="str">
        <f>IF($F1506="","",13)</f>
        <v/>
      </c>
    </row>
    <row r="1507" ht="16.5" customHeight="1" s="186">
      <c r="A1507" s="760" t="n"/>
      <c r="B1507" s="760" t="n"/>
      <c r="C1507" s="762" t="n"/>
      <c r="D1507" s="762" t="n"/>
      <c r="E1507" s="775" t="n"/>
      <c r="F1507" s="821" t="n"/>
      <c r="G1507" s="821" t="n"/>
      <c r="H1507" s="818">
        <f>IF(G1507=1,F1507-I1507-J1507-K1507,IF(G1507=2,F1507,0))</f>
        <v>0</v>
      </c>
      <c r="I1507" s="818">
        <f>ROUND(IF(G1507=1,F1507*10/23,IF(G1507=3,F1507-J1507-K1507,IF(G1507=4,F1507,IF(G1507=5,F1507*10/11,IF(G1507=7,F1507*10/11,0))))),0)</f>
        <v>0</v>
      </c>
      <c r="J1507" s="818">
        <f>ROUND(IF(G1507=1,F1507/23,IF(G1507=3,F1507/12,IF(G1507=5,F1507-I1507,IF(G1507=8,F1507,0)))),0)</f>
        <v>0</v>
      </c>
      <c r="K1507" s="819">
        <f>ROUND(IF(G1507=1,F1507/23,IF(G1507=3,F1507/12,IF(G1507=6,F1507,IF(G1507=7,F1507-I1507,0)))),0)</f>
        <v>0</v>
      </c>
      <c r="L1507" s="820">
        <f>IF(G1507=6,F1507,0)</f>
        <v>0</v>
      </c>
      <c r="P1507" s="768" t="n"/>
      <c r="Q1507" s="769" t="str">
        <f>IF($F1507="","",IFERROR(VLOOKUP($C1507&amp;"|"&amp;$D1507,科目表!$A$5:$B$200,2,FALSE),"※未登録"))</f>
        <v/>
      </c>
      <c r="R1507" s="769" t="str">
        <f>IF($F1507="","",$I1507+$J1507+$K1507)</f>
        <v/>
      </c>
      <c r="S1507" s="769" t="str">
        <f>IF(OR($F1507="",$P1507="支払なし",$H1507=0,$Q1507=""),"",$Q1507&amp;"|S|"&amp;(COUNTIF(S$4:S1506,$Q1507&amp;"|S|*")+1))</f>
        <v/>
      </c>
      <c r="T1507" s="769" t="str">
        <f>IF(OR($F1507="",$P1507="支払なし",$R1507=0,$Q1507=""),"",$Q1507&amp;"|L|"&amp;(COUNTIF(T$4:T1506,$Q1507&amp;"|L|*")+1))</f>
        <v/>
      </c>
      <c r="U1507" s="769" t="str">
        <f>IF($F1507="","",13)</f>
        <v/>
      </c>
    </row>
    <row r="1508" ht="16.5" customHeight="1" s="186">
      <c r="A1508" s="760" t="n"/>
      <c r="B1508" s="760" t="n"/>
      <c r="C1508" s="762" t="n"/>
      <c r="D1508" s="762" t="n"/>
      <c r="E1508" s="775" t="n"/>
      <c r="F1508" s="821" t="n"/>
      <c r="G1508" s="821" t="n"/>
      <c r="H1508" s="818">
        <f>IF(G1508=1,F1508-I1508-J1508-K1508,IF(G1508=2,F1508,0))</f>
        <v>0</v>
      </c>
      <c r="I1508" s="818">
        <f>ROUND(IF(G1508=1,F1508*10/23,IF(G1508=3,F1508-J1508-K1508,IF(G1508=4,F1508,IF(G1508=5,F1508*10/11,IF(G1508=7,F1508*10/11,0))))),0)</f>
        <v>0</v>
      </c>
      <c r="J1508" s="818">
        <f>ROUND(IF(G1508=1,F1508/23,IF(G1508=3,F1508/12,IF(G1508=5,F1508-I1508,IF(G1508=8,F1508,0)))),0)</f>
        <v>0</v>
      </c>
      <c r="K1508" s="819">
        <f>ROUND(IF(G1508=1,F1508/23,IF(G1508=3,F1508/12,IF(G1508=6,F1508,IF(G1508=7,F1508-I1508,0)))),0)</f>
        <v>0</v>
      </c>
      <c r="L1508" s="820">
        <f>IF(G1508=6,F1508,0)</f>
        <v>0</v>
      </c>
      <c r="P1508" s="768" t="n"/>
      <c r="Q1508" s="769" t="str">
        <f>IF($F1508="","",IFERROR(VLOOKUP($C1508&amp;"|"&amp;$D1508,科目表!$A$5:$B$200,2,FALSE),"※未登録"))</f>
        <v/>
      </c>
      <c r="R1508" s="769" t="str">
        <f>IF($F1508="","",$I1508+$J1508+$K1508)</f>
        <v/>
      </c>
      <c r="S1508" s="769" t="str">
        <f>IF(OR($F1508="",$P1508="支払なし",$H1508=0,$Q1508=""),"",$Q1508&amp;"|S|"&amp;(COUNTIF(S$4:S1507,$Q1508&amp;"|S|*")+1))</f>
        <v/>
      </c>
      <c r="T1508" s="769" t="str">
        <f>IF(OR($F1508="",$P1508="支払なし",$R1508=0,$Q1508=""),"",$Q1508&amp;"|L|"&amp;(COUNTIF(T$4:T1507,$Q1508&amp;"|L|*")+1))</f>
        <v/>
      </c>
      <c r="U1508" s="769" t="str">
        <f>IF($F1508="","",13)</f>
        <v/>
      </c>
    </row>
    <row r="1509" ht="16.5" customHeight="1" s="186">
      <c r="A1509" s="760" t="n"/>
      <c r="B1509" s="760" t="n"/>
      <c r="C1509" s="762" t="n"/>
      <c r="D1509" s="762" t="n"/>
      <c r="E1509" s="775" t="n"/>
      <c r="F1509" s="821" t="n"/>
      <c r="G1509" s="821" t="n"/>
      <c r="H1509" s="818">
        <f>IF(G1509=1,F1509-I1509-J1509-K1509,IF(G1509=2,F1509,0))</f>
        <v>0</v>
      </c>
      <c r="I1509" s="818">
        <f>ROUND(IF(G1509=1,F1509*10/23,IF(G1509=3,F1509-J1509-K1509,IF(G1509=4,F1509,IF(G1509=5,F1509*10/11,IF(G1509=7,F1509*10/11,0))))),0)</f>
        <v>0</v>
      </c>
      <c r="J1509" s="818">
        <f>ROUND(IF(G1509=1,F1509/23,IF(G1509=3,F1509/12,IF(G1509=5,F1509-I1509,IF(G1509=8,F1509,0)))),0)</f>
        <v>0</v>
      </c>
      <c r="K1509" s="819">
        <f>ROUND(IF(G1509=1,F1509/23,IF(G1509=3,F1509/12,IF(G1509=6,F1509,IF(G1509=7,F1509-I1509,0)))),0)</f>
        <v>0</v>
      </c>
      <c r="L1509" s="820">
        <f>IF(G1509=6,F1509,0)</f>
        <v>0</v>
      </c>
      <c r="P1509" s="768" t="n"/>
      <c r="Q1509" s="769" t="str">
        <f>IF($F1509="","",IFERROR(VLOOKUP($C1509&amp;"|"&amp;$D1509,科目表!$A$5:$B$200,2,FALSE),"※未登録"))</f>
        <v/>
      </c>
      <c r="R1509" s="769" t="str">
        <f>IF($F1509="","",$I1509+$J1509+$K1509)</f>
        <v/>
      </c>
      <c r="S1509" s="769" t="str">
        <f>IF(OR($F1509="",$P1509="支払なし",$H1509=0,$Q1509=""),"",$Q1509&amp;"|S|"&amp;(COUNTIF(S$4:S1508,$Q1509&amp;"|S|*")+1))</f>
        <v/>
      </c>
      <c r="T1509" s="769" t="str">
        <f>IF(OR($F1509="",$P1509="支払なし",$R1509=0,$Q1509=""),"",$Q1509&amp;"|L|"&amp;(COUNTIF(T$4:T1508,$Q1509&amp;"|L|*")+1))</f>
        <v/>
      </c>
      <c r="U1509" s="769" t="str">
        <f>IF($F1509="","",13)</f>
        <v/>
      </c>
    </row>
    <row r="1510" ht="16.5" customHeight="1" s="186">
      <c r="A1510" s="760" t="n"/>
      <c r="B1510" s="760" t="n"/>
      <c r="C1510" s="762" t="n"/>
      <c r="D1510" s="762" t="n"/>
      <c r="E1510" s="775" t="n"/>
      <c r="F1510" s="821" t="n"/>
      <c r="G1510" s="821" t="n"/>
      <c r="H1510" s="818">
        <f>IF(G1510=1,F1510-I1510-J1510-K1510,IF(G1510=2,F1510,0))</f>
        <v>0</v>
      </c>
      <c r="I1510" s="818">
        <f>ROUND(IF(G1510=1,F1510*10/23,IF(G1510=3,F1510-J1510-K1510,IF(G1510=4,F1510,IF(G1510=5,F1510*10/11,IF(G1510=7,F1510*10/11,0))))),0)</f>
        <v>0</v>
      </c>
      <c r="J1510" s="818">
        <f>ROUND(IF(G1510=1,F1510/23,IF(G1510=3,F1510/12,IF(G1510=5,F1510-I1510,IF(G1510=8,F1510,0)))),0)</f>
        <v>0</v>
      </c>
      <c r="K1510" s="819">
        <f>ROUND(IF(G1510=1,F1510/23,IF(G1510=3,F1510/12,IF(G1510=6,F1510,IF(G1510=7,F1510-I1510,0)))),0)</f>
        <v>0</v>
      </c>
      <c r="L1510" s="820">
        <f>IF(G1510=6,F1510,0)</f>
        <v>0</v>
      </c>
      <c r="P1510" s="768" t="n"/>
      <c r="Q1510" s="769" t="str">
        <f>IF($F1510="","",IFERROR(VLOOKUP($C1510&amp;"|"&amp;$D1510,科目表!$A$5:$B$200,2,FALSE),"※未登録"))</f>
        <v/>
      </c>
      <c r="R1510" s="769" t="str">
        <f>IF($F1510="","",$I1510+$J1510+$K1510)</f>
        <v/>
      </c>
      <c r="S1510" s="769" t="str">
        <f>IF(OR($F1510="",$P1510="支払なし",$H1510=0,$Q1510=""),"",$Q1510&amp;"|S|"&amp;(COUNTIF(S$4:S1509,$Q1510&amp;"|S|*")+1))</f>
        <v/>
      </c>
      <c r="T1510" s="769" t="str">
        <f>IF(OR($F1510="",$P1510="支払なし",$R1510=0,$Q1510=""),"",$Q1510&amp;"|L|"&amp;(COUNTIF(T$4:T1509,$Q1510&amp;"|L|*")+1))</f>
        <v/>
      </c>
      <c r="U1510" s="769" t="str">
        <f>IF($F1510="","",13)</f>
        <v/>
      </c>
    </row>
    <row r="1511" ht="16.5" customHeight="1" s="186">
      <c r="A1511" s="760" t="n"/>
      <c r="B1511" s="760" t="n"/>
      <c r="C1511" s="762" t="n"/>
      <c r="D1511" s="762" t="n"/>
      <c r="E1511" s="775" t="n"/>
      <c r="F1511" s="821" t="n"/>
      <c r="G1511" s="821" t="n"/>
      <c r="H1511" s="818">
        <f>IF(G1511=1,F1511-I1511-J1511-K1511,IF(G1511=2,F1511,0))</f>
        <v>0</v>
      </c>
      <c r="I1511" s="818">
        <f>ROUND(IF(G1511=1,F1511*10/23,IF(G1511=3,F1511-J1511-K1511,IF(G1511=4,F1511,IF(G1511=5,F1511*10/11,IF(G1511=7,F1511*10/11,0))))),0)</f>
        <v>0</v>
      </c>
      <c r="J1511" s="818">
        <f>ROUND(IF(G1511=1,F1511/23,IF(G1511=3,F1511/12,IF(G1511=5,F1511-I1511,IF(G1511=8,F1511,0)))),0)</f>
        <v>0</v>
      </c>
      <c r="K1511" s="819">
        <f>ROUND(IF(G1511=1,F1511/23,IF(G1511=3,F1511/12,IF(G1511=6,F1511,IF(G1511=7,F1511-I1511,0)))),0)</f>
        <v>0</v>
      </c>
      <c r="L1511" s="820">
        <f>IF(G1511=6,F1511,0)</f>
        <v>0</v>
      </c>
      <c r="P1511" s="768" t="n"/>
      <c r="Q1511" s="769" t="str">
        <f>IF($F1511="","",IFERROR(VLOOKUP($C1511&amp;"|"&amp;$D1511,科目表!$A$5:$B$200,2,FALSE),"※未登録"))</f>
        <v/>
      </c>
      <c r="R1511" s="769" t="str">
        <f>IF($F1511="","",$I1511+$J1511+$K1511)</f>
        <v/>
      </c>
      <c r="S1511" s="769" t="str">
        <f>IF(OR($F1511="",$P1511="支払なし",$H1511=0,$Q1511=""),"",$Q1511&amp;"|S|"&amp;(COUNTIF(S$4:S1510,$Q1511&amp;"|S|*")+1))</f>
        <v/>
      </c>
      <c r="T1511" s="769" t="str">
        <f>IF(OR($F1511="",$P1511="支払なし",$R1511=0,$Q1511=""),"",$Q1511&amp;"|L|"&amp;(COUNTIF(T$4:T1510,$Q1511&amp;"|L|*")+1))</f>
        <v/>
      </c>
      <c r="U1511" s="769" t="str">
        <f>IF($F1511="","",13)</f>
        <v/>
      </c>
    </row>
    <row r="1512" ht="16.5" customHeight="1" s="186">
      <c r="A1512" s="760" t="n"/>
      <c r="B1512" s="760" t="n"/>
      <c r="C1512" s="762" t="n"/>
      <c r="D1512" s="762" t="n"/>
      <c r="E1512" s="775" t="n"/>
      <c r="F1512" s="821" t="n"/>
      <c r="G1512" s="821" t="n"/>
      <c r="H1512" s="818">
        <f>IF(G1512=1,F1512-I1512-J1512-K1512,IF(G1512=2,F1512,0))</f>
        <v>0</v>
      </c>
      <c r="I1512" s="818">
        <f>ROUND(IF(G1512=1,F1512*10/23,IF(G1512=3,F1512-J1512-K1512,IF(G1512=4,F1512,IF(G1512=5,F1512*10/11,IF(G1512=7,F1512*10/11,0))))),0)</f>
        <v>0</v>
      </c>
      <c r="J1512" s="818">
        <f>ROUND(IF(G1512=1,F1512/23,IF(G1512=3,F1512/12,IF(G1512=5,F1512-I1512,IF(G1512=8,F1512,0)))),0)</f>
        <v>0</v>
      </c>
      <c r="K1512" s="819">
        <f>ROUND(IF(G1512=1,F1512/23,IF(G1512=3,F1512/12,IF(G1512=6,F1512,IF(G1512=7,F1512-I1512,0)))),0)</f>
        <v>0</v>
      </c>
      <c r="L1512" s="820">
        <f>IF(G1512=6,F1512,0)</f>
        <v>0</v>
      </c>
      <c r="P1512" s="768" t="n"/>
      <c r="Q1512" s="769" t="str">
        <f>IF($F1512="","",IFERROR(VLOOKUP($C1512&amp;"|"&amp;$D1512,科目表!$A$5:$B$200,2,FALSE),"※未登録"))</f>
        <v/>
      </c>
      <c r="R1512" s="769" t="str">
        <f>IF($F1512="","",$I1512+$J1512+$K1512)</f>
        <v/>
      </c>
      <c r="S1512" s="769" t="str">
        <f>IF(OR($F1512="",$P1512="支払なし",$H1512=0,$Q1512=""),"",$Q1512&amp;"|S|"&amp;(COUNTIF(S$4:S1511,$Q1512&amp;"|S|*")+1))</f>
        <v/>
      </c>
      <c r="T1512" s="769" t="str">
        <f>IF(OR($F1512="",$P1512="支払なし",$R1512=0,$Q1512=""),"",$Q1512&amp;"|L|"&amp;(COUNTIF(T$4:T1511,$Q1512&amp;"|L|*")+1))</f>
        <v/>
      </c>
      <c r="U1512" s="769" t="str">
        <f>IF($F1512="","",13)</f>
        <v/>
      </c>
    </row>
    <row r="1513" ht="16.5" customHeight="1" s="186">
      <c r="A1513" s="760" t="n"/>
      <c r="B1513" s="760" t="n"/>
      <c r="C1513" s="762" t="n"/>
      <c r="D1513" s="762" t="n"/>
      <c r="E1513" s="775" t="n"/>
      <c r="F1513" s="821" t="n"/>
      <c r="G1513" s="821" t="n"/>
      <c r="H1513" s="818">
        <f>IF(G1513=1,F1513-I1513-J1513-K1513,IF(G1513=2,F1513,0))</f>
        <v>0</v>
      </c>
      <c r="I1513" s="818">
        <f>ROUND(IF(G1513=1,F1513*10/23,IF(G1513=3,F1513-J1513-K1513,IF(G1513=4,F1513,IF(G1513=5,F1513*10/11,IF(G1513=7,F1513*10/11,0))))),0)</f>
        <v>0</v>
      </c>
      <c r="J1513" s="818">
        <f>ROUND(IF(G1513=1,F1513/23,IF(G1513=3,F1513/12,IF(G1513=5,F1513-I1513,IF(G1513=8,F1513,0)))),0)</f>
        <v>0</v>
      </c>
      <c r="K1513" s="819">
        <f>ROUND(IF(G1513=1,F1513/23,IF(G1513=3,F1513/12,IF(G1513=6,F1513,IF(G1513=7,F1513-I1513,0)))),0)</f>
        <v>0</v>
      </c>
      <c r="L1513" s="820">
        <f>IF(G1513=6,F1513,0)</f>
        <v>0</v>
      </c>
      <c r="P1513" s="768" t="n"/>
      <c r="Q1513" s="769" t="str">
        <f>IF($F1513="","",IFERROR(VLOOKUP($C1513&amp;"|"&amp;$D1513,科目表!$A$5:$B$200,2,FALSE),"※未登録"))</f>
        <v/>
      </c>
      <c r="R1513" s="769" t="str">
        <f>IF($F1513="","",$I1513+$J1513+$K1513)</f>
        <v/>
      </c>
      <c r="S1513" s="769" t="str">
        <f>IF(OR($F1513="",$P1513="支払なし",$H1513=0,$Q1513=""),"",$Q1513&amp;"|S|"&amp;(COUNTIF(S$4:S1512,$Q1513&amp;"|S|*")+1))</f>
        <v/>
      </c>
      <c r="T1513" s="769" t="str">
        <f>IF(OR($F1513="",$P1513="支払なし",$R1513=0,$Q1513=""),"",$Q1513&amp;"|L|"&amp;(COUNTIF(T$4:T1512,$Q1513&amp;"|L|*")+1))</f>
        <v/>
      </c>
      <c r="U1513" s="769" t="str">
        <f>IF($F1513="","",13)</f>
        <v/>
      </c>
    </row>
    <row r="1514" ht="16.5" customHeight="1" s="186">
      <c r="A1514" s="760" t="n"/>
      <c r="B1514" s="760" t="n"/>
      <c r="C1514" s="762" t="n"/>
      <c r="D1514" s="762" t="n"/>
      <c r="E1514" s="775" t="n"/>
      <c r="F1514" s="821" t="n"/>
      <c r="G1514" s="821" t="n"/>
      <c r="H1514" s="818">
        <f>IF(G1514=1,F1514-I1514-J1514-K1514,IF(G1514=2,F1514,0))</f>
        <v>0</v>
      </c>
      <c r="I1514" s="818">
        <f>ROUND(IF(G1514=1,F1514*10/23,IF(G1514=3,F1514-J1514-K1514,IF(G1514=4,F1514,IF(G1514=5,F1514*10/11,IF(G1514=7,F1514*10/11,0))))),0)</f>
        <v>0</v>
      </c>
      <c r="J1514" s="818">
        <f>ROUND(IF(G1514=1,F1514/23,IF(G1514=3,F1514/12,IF(G1514=5,F1514-I1514,IF(G1514=8,F1514,0)))),0)</f>
        <v>0</v>
      </c>
      <c r="K1514" s="819">
        <f>ROUND(IF(G1514=1,F1514/23,IF(G1514=3,F1514/12,IF(G1514=6,F1514,IF(G1514=7,F1514-I1514,0)))),0)</f>
        <v>0</v>
      </c>
      <c r="L1514" s="820">
        <f>IF(G1514=6,F1514,0)</f>
        <v>0</v>
      </c>
      <c r="P1514" s="768" t="n"/>
      <c r="Q1514" s="769" t="str">
        <f>IF($F1514="","",IFERROR(VLOOKUP($C1514&amp;"|"&amp;$D1514,科目表!$A$5:$B$200,2,FALSE),"※未登録"))</f>
        <v/>
      </c>
      <c r="R1514" s="769" t="str">
        <f>IF($F1514="","",$I1514+$J1514+$K1514)</f>
        <v/>
      </c>
      <c r="S1514" s="769" t="str">
        <f>IF(OR($F1514="",$P1514="支払なし",$H1514=0,$Q1514=""),"",$Q1514&amp;"|S|"&amp;(COUNTIF(S$4:S1513,$Q1514&amp;"|S|*")+1))</f>
        <v/>
      </c>
      <c r="T1514" s="769" t="str">
        <f>IF(OR($F1514="",$P1514="支払なし",$R1514=0,$Q1514=""),"",$Q1514&amp;"|L|"&amp;(COUNTIF(T$4:T1513,$Q1514&amp;"|L|*")+1))</f>
        <v/>
      </c>
      <c r="U1514" s="769" t="str">
        <f>IF($F1514="","",13)</f>
        <v/>
      </c>
    </row>
    <row r="1515" ht="16.5" customHeight="1" s="186">
      <c r="A1515" s="760" t="n"/>
      <c r="B1515" s="760" t="n"/>
      <c r="C1515" s="762" t="n"/>
      <c r="D1515" s="762" t="n"/>
      <c r="E1515" s="775" t="n"/>
      <c r="F1515" s="821" t="n"/>
      <c r="G1515" s="821" t="n"/>
      <c r="H1515" s="818">
        <f>IF(G1515=1,F1515-I1515-J1515-K1515,IF(G1515=2,F1515,0))</f>
        <v>0</v>
      </c>
      <c r="I1515" s="818">
        <f>ROUND(IF(G1515=1,F1515*10/23,IF(G1515=3,F1515-J1515-K1515,IF(G1515=4,F1515,IF(G1515=5,F1515*10/11,IF(G1515=7,F1515*10/11,0))))),0)</f>
        <v>0</v>
      </c>
      <c r="J1515" s="818">
        <f>ROUND(IF(G1515=1,F1515/23,IF(G1515=3,F1515/12,IF(G1515=5,F1515-I1515,IF(G1515=8,F1515,0)))),0)</f>
        <v>0</v>
      </c>
      <c r="K1515" s="819">
        <f>ROUND(IF(G1515=1,F1515/23,IF(G1515=3,F1515/12,IF(G1515=6,F1515,IF(G1515=7,F1515-I1515,0)))),0)</f>
        <v>0</v>
      </c>
      <c r="L1515" s="820">
        <f>IF(G1515=6,F1515,0)</f>
        <v>0</v>
      </c>
      <c r="P1515" s="768" t="n"/>
      <c r="Q1515" s="769" t="str">
        <f>IF($F1515="","",IFERROR(VLOOKUP($C1515&amp;"|"&amp;$D1515,科目表!$A$5:$B$200,2,FALSE),"※未登録"))</f>
        <v/>
      </c>
      <c r="R1515" s="769" t="str">
        <f>IF($F1515="","",$I1515+$J1515+$K1515)</f>
        <v/>
      </c>
      <c r="S1515" s="769" t="str">
        <f>IF(OR($F1515="",$P1515="支払なし",$H1515=0,$Q1515=""),"",$Q1515&amp;"|S|"&amp;(COUNTIF(S$4:S1514,$Q1515&amp;"|S|*")+1))</f>
        <v/>
      </c>
      <c r="T1515" s="769" t="str">
        <f>IF(OR($F1515="",$P1515="支払なし",$R1515=0,$Q1515=""),"",$Q1515&amp;"|L|"&amp;(COUNTIF(T$4:T1514,$Q1515&amp;"|L|*")+1))</f>
        <v/>
      </c>
      <c r="U1515" s="769" t="str">
        <f>IF($F1515="","",13)</f>
        <v/>
      </c>
    </row>
    <row r="1516" ht="16.5" customHeight="1" s="186">
      <c r="A1516" s="760" t="n"/>
      <c r="B1516" s="760" t="n"/>
      <c r="C1516" s="762" t="n"/>
      <c r="D1516" s="762" t="n"/>
      <c r="E1516" s="775" t="n"/>
      <c r="F1516" s="821" t="n"/>
      <c r="G1516" s="821" t="n"/>
      <c r="H1516" s="818">
        <f>IF(G1516=1,F1516-I1516-J1516-K1516,IF(G1516=2,F1516,0))</f>
        <v>0</v>
      </c>
      <c r="I1516" s="818">
        <f>ROUND(IF(G1516=1,F1516*10/23,IF(G1516=3,F1516-J1516-K1516,IF(G1516=4,F1516,IF(G1516=5,F1516*10/11,IF(G1516=7,F1516*10/11,0))))),0)</f>
        <v>0</v>
      </c>
      <c r="J1516" s="818">
        <f>ROUND(IF(G1516=1,F1516/23,IF(G1516=3,F1516/12,IF(G1516=5,F1516-I1516,IF(G1516=8,F1516,0)))),0)</f>
        <v>0</v>
      </c>
      <c r="K1516" s="819">
        <f>ROUND(IF(G1516=1,F1516/23,IF(G1516=3,F1516/12,IF(G1516=6,F1516,IF(G1516=7,F1516-I1516,0)))),0)</f>
        <v>0</v>
      </c>
      <c r="L1516" s="820">
        <f>IF(G1516=6,F1516,0)</f>
        <v>0</v>
      </c>
      <c r="P1516" s="768" t="n"/>
      <c r="Q1516" s="769" t="str">
        <f>IF($F1516="","",IFERROR(VLOOKUP($C1516&amp;"|"&amp;$D1516,科目表!$A$5:$B$200,2,FALSE),"※未登録"))</f>
        <v/>
      </c>
      <c r="R1516" s="769" t="str">
        <f>IF($F1516="","",$I1516+$J1516+$K1516)</f>
        <v/>
      </c>
      <c r="S1516" s="769" t="str">
        <f>IF(OR($F1516="",$P1516="支払なし",$H1516=0,$Q1516=""),"",$Q1516&amp;"|S|"&amp;(COUNTIF(S$4:S1515,$Q1516&amp;"|S|*")+1))</f>
        <v/>
      </c>
      <c r="T1516" s="769" t="str">
        <f>IF(OR($F1516="",$P1516="支払なし",$R1516=0,$Q1516=""),"",$Q1516&amp;"|L|"&amp;(COUNTIF(T$4:T1515,$Q1516&amp;"|L|*")+1))</f>
        <v/>
      </c>
      <c r="U1516" s="769" t="str">
        <f>IF($F1516="","",13)</f>
        <v/>
      </c>
    </row>
    <row r="1517" ht="16.5" customHeight="1" s="186">
      <c r="A1517" s="760" t="n"/>
      <c r="B1517" s="760" t="n"/>
      <c r="C1517" s="762" t="n"/>
      <c r="D1517" s="762" t="n"/>
      <c r="E1517" s="775" t="n"/>
      <c r="F1517" s="821" t="n"/>
      <c r="G1517" s="821" t="n"/>
      <c r="H1517" s="818">
        <f>IF(G1517=1,F1517-I1517-J1517-K1517,IF(G1517=2,F1517,0))</f>
        <v>0</v>
      </c>
      <c r="I1517" s="818">
        <f>ROUND(IF(G1517=1,F1517*10/23,IF(G1517=3,F1517-J1517-K1517,IF(G1517=4,F1517,IF(G1517=5,F1517*10/11,IF(G1517=7,F1517*10/11,0))))),0)</f>
        <v>0</v>
      </c>
      <c r="J1517" s="818">
        <f>ROUND(IF(G1517=1,F1517/23,IF(G1517=3,F1517/12,IF(G1517=5,F1517-I1517,IF(G1517=8,F1517,0)))),0)</f>
        <v>0</v>
      </c>
      <c r="K1517" s="819">
        <f>ROUND(IF(G1517=1,F1517/23,IF(G1517=3,F1517/12,IF(G1517=6,F1517,IF(G1517=7,F1517-I1517,0)))),0)</f>
        <v>0</v>
      </c>
      <c r="L1517" s="820">
        <f>IF(G1517=6,F1517,0)</f>
        <v>0</v>
      </c>
      <c r="P1517" s="768" t="n"/>
      <c r="Q1517" s="769" t="str">
        <f>IF($F1517="","",IFERROR(VLOOKUP($C1517&amp;"|"&amp;$D1517,科目表!$A$5:$B$200,2,FALSE),"※未登録"))</f>
        <v/>
      </c>
      <c r="R1517" s="769" t="str">
        <f>IF($F1517="","",$I1517+$J1517+$K1517)</f>
        <v/>
      </c>
      <c r="S1517" s="769" t="str">
        <f>IF(OR($F1517="",$P1517="支払なし",$H1517=0,$Q1517=""),"",$Q1517&amp;"|S|"&amp;(COUNTIF(S$4:S1516,$Q1517&amp;"|S|*")+1))</f>
        <v/>
      </c>
      <c r="T1517" s="769" t="str">
        <f>IF(OR($F1517="",$P1517="支払なし",$R1517=0,$Q1517=""),"",$Q1517&amp;"|L|"&amp;(COUNTIF(T$4:T1516,$Q1517&amp;"|L|*")+1))</f>
        <v/>
      </c>
      <c r="U1517" s="769" t="str">
        <f>IF($F1517="","",13)</f>
        <v/>
      </c>
    </row>
    <row r="1518" ht="16.5" customHeight="1" s="186">
      <c r="A1518" s="760" t="n"/>
      <c r="B1518" s="760" t="n"/>
      <c r="C1518" s="762" t="n"/>
      <c r="D1518" s="762" t="n"/>
      <c r="E1518" s="775" t="n"/>
      <c r="F1518" s="821" t="n"/>
      <c r="G1518" s="821" t="n"/>
      <c r="H1518" s="818">
        <f>IF(G1518=1,F1518-I1518-J1518-K1518,IF(G1518=2,F1518,0))</f>
        <v>0</v>
      </c>
      <c r="I1518" s="818">
        <f>ROUND(IF(G1518=1,F1518*10/23,IF(G1518=3,F1518-J1518-K1518,IF(G1518=4,F1518,IF(G1518=5,F1518*10/11,IF(G1518=7,F1518*10/11,0))))),0)</f>
        <v>0</v>
      </c>
      <c r="J1518" s="818">
        <f>ROUND(IF(G1518=1,F1518/23,IF(G1518=3,F1518/12,IF(G1518=5,F1518-I1518,IF(G1518=8,F1518,0)))),0)</f>
        <v>0</v>
      </c>
      <c r="K1518" s="819">
        <f>ROUND(IF(G1518=1,F1518/23,IF(G1518=3,F1518/12,IF(G1518=6,F1518,IF(G1518=7,F1518-I1518,0)))),0)</f>
        <v>0</v>
      </c>
      <c r="L1518" s="820">
        <f>IF(G1518=6,F1518,0)</f>
        <v>0</v>
      </c>
      <c r="P1518" s="768" t="n"/>
      <c r="Q1518" s="769" t="str">
        <f>IF($F1518="","",IFERROR(VLOOKUP($C1518&amp;"|"&amp;$D1518,科目表!$A$5:$B$200,2,FALSE),"※未登録"))</f>
        <v/>
      </c>
      <c r="R1518" s="769" t="str">
        <f>IF($F1518="","",$I1518+$J1518+$K1518)</f>
        <v/>
      </c>
      <c r="S1518" s="769" t="str">
        <f>IF(OR($F1518="",$P1518="支払なし",$H1518=0,$Q1518=""),"",$Q1518&amp;"|S|"&amp;(COUNTIF(S$4:S1517,$Q1518&amp;"|S|*")+1))</f>
        <v/>
      </c>
      <c r="T1518" s="769" t="str">
        <f>IF(OR($F1518="",$P1518="支払なし",$R1518=0,$Q1518=""),"",$Q1518&amp;"|L|"&amp;(COUNTIF(T$4:T1517,$Q1518&amp;"|L|*")+1))</f>
        <v/>
      </c>
      <c r="U1518" s="769" t="str">
        <f>IF($F1518="","",13)</f>
        <v/>
      </c>
    </row>
    <row r="1519" ht="16.5" customHeight="1" s="186">
      <c r="A1519" s="760" t="n"/>
      <c r="B1519" s="760" t="n"/>
      <c r="C1519" s="762" t="n"/>
      <c r="D1519" s="762" t="n"/>
      <c r="E1519" s="775" t="n"/>
      <c r="F1519" s="821" t="n"/>
      <c r="G1519" s="821" t="n"/>
      <c r="H1519" s="818">
        <f>IF(G1519=1,F1519-I1519-J1519-K1519,IF(G1519=2,F1519,0))</f>
        <v>0</v>
      </c>
      <c r="I1519" s="818">
        <f>ROUND(IF(G1519=1,F1519*10/23,IF(G1519=3,F1519-J1519-K1519,IF(G1519=4,F1519,IF(G1519=5,F1519*10/11,IF(G1519=7,F1519*10/11,0))))),0)</f>
        <v>0</v>
      </c>
      <c r="J1519" s="818">
        <f>ROUND(IF(G1519=1,F1519/23,IF(G1519=3,F1519/12,IF(G1519=5,F1519-I1519,IF(G1519=8,F1519,0)))),0)</f>
        <v>0</v>
      </c>
      <c r="K1519" s="819">
        <f>ROUND(IF(G1519=1,F1519/23,IF(G1519=3,F1519/12,IF(G1519=6,F1519,IF(G1519=7,F1519-I1519,0)))),0)</f>
        <v>0</v>
      </c>
      <c r="L1519" s="820">
        <f>IF(G1519=6,F1519,0)</f>
        <v>0</v>
      </c>
      <c r="P1519" s="768" t="n"/>
      <c r="Q1519" s="769" t="str">
        <f>IF($F1519="","",IFERROR(VLOOKUP($C1519&amp;"|"&amp;$D1519,科目表!$A$5:$B$200,2,FALSE),"※未登録"))</f>
        <v/>
      </c>
      <c r="R1519" s="769" t="str">
        <f>IF($F1519="","",$I1519+$J1519+$K1519)</f>
        <v/>
      </c>
      <c r="S1519" s="769" t="str">
        <f>IF(OR($F1519="",$P1519="支払なし",$H1519=0,$Q1519=""),"",$Q1519&amp;"|S|"&amp;(COUNTIF(S$4:S1518,$Q1519&amp;"|S|*")+1))</f>
        <v/>
      </c>
      <c r="T1519" s="769" t="str">
        <f>IF(OR($F1519="",$P1519="支払なし",$R1519=0,$Q1519=""),"",$Q1519&amp;"|L|"&amp;(COUNTIF(T$4:T1518,$Q1519&amp;"|L|*")+1))</f>
        <v/>
      </c>
      <c r="U1519" s="769" t="str">
        <f>IF($F1519="","",13)</f>
        <v/>
      </c>
    </row>
    <row r="1520" ht="16.5" customHeight="1" s="186">
      <c r="A1520" s="760" t="n"/>
      <c r="B1520" s="760" t="n"/>
      <c r="C1520" s="762" t="n"/>
      <c r="D1520" s="762" t="n"/>
      <c r="E1520" s="775" t="n"/>
      <c r="F1520" s="821" t="n"/>
      <c r="G1520" s="821" t="n"/>
      <c r="H1520" s="818">
        <f>IF(G1520=1,F1520-I1520-J1520-K1520,IF(G1520=2,F1520,0))</f>
        <v>0</v>
      </c>
      <c r="I1520" s="818">
        <f>ROUND(IF(G1520=1,F1520*10/23,IF(G1520=3,F1520-J1520-K1520,IF(G1520=4,F1520,IF(G1520=5,F1520*10/11,IF(G1520=7,F1520*10/11,0))))),0)</f>
        <v>0</v>
      </c>
      <c r="J1520" s="818">
        <f>ROUND(IF(G1520=1,F1520/23,IF(G1520=3,F1520/12,IF(G1520=5,F1520-I1520,IF(G1520=8,F1520,0)))),0)</f>
        <v>0</v>
      </c>
      <c r="K1520" s="819">
        <f>ROUND(IF(G1520=1,F1520/23,IF(G1520=3,F1520/12,IF(G1520=6,F1520,IF(G1520=7,F1520-I1520,0)))),0)</f>
        <v>0</v>
      </c>
      <c r="L1520" s="820">
        <f>IF(G1520=6,F1520,0)</f>
        <v>0</v>
      </c>
      <c r="P1520" s="768" t="n"/>
      <c r="Q1520" s="769" t="str">
        <f>IF($F1520="","",IFERROR(VLOOKUP($C1520&amp;"|"&amp;$D1520,科目表!$A$5:$B$200,2,FALSE),"※未登録"))</f>
        <v/>
      </c>
      <c r="R1520" s="769" t="str">
        <f>IF($F1520="","",$I1520+$J1520+$K1520)</f>
        <v/>
      </c>
      <c r="S1520" s="769" t="str">
        <f>IF(OR($F1520="",$P1520="支払なし",$H1520=0,$Q1520=""),"",$Q1520&amp;"|S|"&amp;(COUNTIF(S$4:S1519,$Q1520&amp;"|S|*")+1))</f>
        <v/>
      </c>
      <c r="T1520" s="769" t="str">
        <f>IF(OR($F1520="",$P1520="支払なし",$R1520=0,$Q1520=""),"",$Q1520&amp;"|L|"&amp;(COUNTIF(T$4:T1519,$Q1520&amp;"|L|*")+1))</f>
        <v/>
      </c>
      <c r="U1520" s="769" t="str">
        <f>IF($F1520="","",13)</f>
        <v/>
      </c>
    </row>
    <row r="1521" ht="16.5" customHeight="1" s="186">
      <c r="A1521" s="760" t="n"/>
      <c r="B1521" s="760" t="n"/>
      <c r="C1521" s="762" t="n"/>
      <c r="D1521" s="762" t="n"/>
      <c r="E1521" s="775" t="n"/>
      <c r="F1521" s="821" t="n"/>
      <c r="G1521" s="821" t="n"/>
      <c r="H1521" s="818">
        <f>IF(G1521=1,F1521-I1521-J1521-K1521,IF(G1521=2,F1521,0))</f>
        <v>0</v>
      </c>
      <c r="I1521" s="818">
        <f>ROUND(IF(G1521=1,F1521*10/23,IF(G1521=3,F1521-J1521-K1521,IF(G1521=4,F1521,IF(G1521=5,F1521*10/11,IF(G1521=7,F1521*10/11,0))))),0)</f>
        <v>0</v>
      </c>
      <c r="J1521" s="818">
        <f>ROUND(IF(G1521=1,F1521/23,IF(G1521=3,F1521/12,IF(G1521=5,F1521-I1521,IF(G1521=8,F1521,0)))),0)</f>
        <v>0</v>
      </c>
      <c r="K1521" s="819">
        <f>ROUND(IF(G1521=1,F1521/23,IF(G1521=3,F1521/12,IF(G1521=6,F1521,IF(G1521=7,F1521-I1521,0)))),0)</f>
        <v>0</v>
      </c>
      <c r="L1521" s="820">
        <f>IF(G1521=6,F1521,0)</f>
        <v>0</v>
      </c>
      <c r="P1521" s="768" t="n"/>
      <c r="Q1521" s="769" t="str">
        <f>IF($F1521="","",IFERROR(VLOOKUP($C1521&amp;"|"&amp;$D1521,科目表!$A$5:$B$200,2,FALSE),"※未登録"))</f>
        <v/>
      </c>
      <c r="R1521" s="769" t="str">
        <f>IF($F1521="","",$I1521+$J1521+$K1521)</f>
        <v/>
      </c>
      <c r="S1521" s="769" t="str">
        <f>IF(OR($F1521="",$P1521="支払なし",$H1521=0,$Q1521=""),"",$Q1521&amp;"|S|"&amp;(COUNTIF(S$4:S1520,$Q1521&amp;"|S|*")+1))</f>
        <v/>
      </c>
      <c r="T1521" s="769" t="str">
        <f>IF(OR($F1521="",$P1521="支払なし",$R1521=0,$Q1521=""),"",$Q1521&amp;"|L|"&amp;(COUNTIF(T$4:T1520,$Q1521&amp;"|L|*")+1))</f>
        <v/>
      </c>
      <c r="U1521" s="769" t="str">
        <f>IF($F1521="","",13)</f>
        <v/>
      </c>
    </row>
    <row r="1522" ht="16.5" customHeight="1" s="186">
      <c r="A1522" s="760" t="n"/>
      <c r="B1522" s="760" t="n"/>
      <c r="C1522" s="762" t="n"/>
      <c r="D1522" s="762" t="n"/>
      <c r="E1522" s="775" t="n"/>
      <c r="F1522" s="821" t="n"/>
      <c r="G1522" s="821" t="n"/>
      <c r="H1522" s="818">
        <f>IF(G1522=1,F1522-I1522-J1522-K1522,IF(G1522=2,F1522,0))</f>
        <v>0</v>
      </c>
      <c r="I1522" s="818">
        <f>ROUND(IF(G1522=1,F1522*10/23,IF(G1522=3,F1522-J1522-K1522,IF(G1522=4,F1522,IF(G1522=5,F1522*10/11,IF(G1522=7,F1522*10/11,0))))),0)</f>
        <v>0</v>
      </c>
      <c r="J1522" s="818">
        <f>ROUND(IF(G1522=1,F1522/23,IF(G1522=3,F1522/12,IF(G1522=5,F1522-I1522,IF(G1522=8,F1522,0)))),0)</f>
        <v>0</v>
      </c>
      <c r="K1522" s="819">
        <f>ROUND(IF(G1522=1,F1522/23,IF(G1522=3,F1522/12,IF(G1522=6,F1522,IF(G1522=7,F1522-I1522,0)))),0)</f>
        <v>0</v>
      </c>
      <c r="L1522" s="820">
        <f>IF(G1522=6,F1522,0)</f>
        <v>0</v>
      </c>
      <c r="P1522" s="768" t="n"/>
      <c r="Q1522" s="769" t="str">
        <f>IF($F1522="","",IFERROR(VLOOKUP($C1522&amp;"|"&amp;$D1522,科目表!$A$5:$B$200,2,FALSE),"※未登録"))</f>
        <v/>
      </c>
      <c r="R1522" s="769" t="str">
        <f>IF($F1522="","",$I1522+$J1522+$K1522)</f>
        <v/>
      </c>
      <c r="S1522" s="769" t="str">
        <f>IF(OR($F1522="",$P1522="支払なし",$H1522=0,$Q1522=""),"",$Q1522&amp;"|S|"&amp;(COUNTIF(S$4:S1521,$Q1522&amp;"|S|*")+1))</f>
        <v/>
      </c>
      <c r="T1522" s="769" t="str">
        <f>IF(OR($F1522="",$P1522="支払なし",$R1522=0,$Q1522=""),"",$Q1522&amp;"|L|"&amp;(COUNTIF(T$4:T1521,$Q1522&amp;"|L|*")+1))</f>
        <v/>
      </c>
      <c r="U1522" s="769" t="str">
        <f>IF($F1522="","",13)</f>
        <v/>
      </c>
    </row>
    <row r="1523" ht="16.5" customHeight="1" s="186">
      <c r="A1523" s="760" t="n"/>
      <c r="B1523" s="760" t="n"/>
      <c r="C1523" s="762" t="n"/>
      <c r="D1523" s="762" t="n"/>
      <c r="E1523" s="775" t="n"/>
      <c r="F1523" s="821" t="n"/>
      <c r="G1523" s="821" t="n"/>
      <c r="H1523" s="818">
        <f>IF(G1523=1,F1523-I1523-J1523-K1523,IF(G1523=2,F1523,0))</f>
        <v>0</v>
      </c>
      <c r="I1523" s="818">
        <f>ROUND(IF(G1523=1,F1523*10/23,IF(G1523=3,F1523-J1523-K1523,IF(G1523=4,F1523,IF(G1523=5,F1523*10/11,IF(G1523=7,F1523*10/11,0))))),0)</f>
        <v>0</v>
      </c>
      <c r="J1523" s="818">
        <f>ROUND(IF(G1523=1,F1523/23,IF(G1523=3,F1523/12,IF(G1523=5,F1523-I1523,IF(G1523=8,F1523,0)))),0)</f>
        <v>0</v>
      </c>
      <c r="K1523" s="819">
        <f>ROUND(IF(G1523=1,F1523/23,IF(G1523=3,F1523/12,IF(G1523=6,F1523,IF(G1523=7,F1523-I1523,0)))),0)</f>
        <v>0</v>
      </c>
      <c r="L1523" s="820">
        <f>IF(G1523=6,F1523,0)</f>
        <v>0</v>
      </c>
      <c r="P1523" s="768" t="n"/>
      <c r="Q1523" s="769" t="str">
        <f>IF($F1523="","",IFERROR(VLOOKUP($C1523&amp;"|"&amp;$D1523,科目表!$A$5:$B$200,2,FALSE),"※未登録"))</f>
        <v/>
      </c>
      <c r="R1523" s="769" t="str">
        <f>IF($F1523="","",$I1523+$J1523+$K1523)</f>
        <v/>
      </c>
      <c r="S1523" s="769" t="str">
        <f>IF(OR($F1523="",$P1523="支払なし",$H1523=0,$Q1523=""),"",$Q1523&amp;"|S|"&amp;(COUNTIF(S$4:S1522,$Q1523&amp;"|S|*")+1))</f>
        <v/>
      </c>
      <c r="T1523" s="769" t="str">
        <f>IF(OR($F1523="",$P1523="支払なし",$R1523=0,$Q1523=""),"",$Q1523&amp;"|L|"&amp;(COUNTIF(T$4:T1522,$Q1523&amp;"|L|*")+1))</f>
        <v/>
      </c>
      <c r="U1523" s="769" t="str">
        <f>IF($F1523="","",13)</f>
        <v/>
      </c>
    </row>
    <row r="1524" ht="16.5" customHeight="1" s="186">
      <c r="A1524" s="760" t="n"/>
      <c r="B1524" s="760" t="n"/>
      <c r="C1524" s="762" t="n"/>
      <c r="D1524" s="762" t="n"/>
      <c r="E1524" s="775" t="n"/>
      <c r="F1524" s="821" t="n"/>
      <c r="G1524" s="821" t="n"/>
      <c r="H1524" s="818">
        <f>IF(G1524=1,F1524-I1524-J1524-K1524,IF(G1524=2,F1524,0))</f>
        <v>0</v>
      </c>
      <c r="I1524" s="818">
        <f>ROUND(IF(G1524=1,F1524*10/23,IF(G1524=3,F1524-J1524-K1524,IF(G1524=4,F1524,IF(G1524=5,F1524*10/11,IF(G1524=7,F1524*10/11,0))))),0)</f>
        <v>0</v>
      </c>
      <c r="J1524" s="818">
        <f>ROUND(IF(G1524=1,F1524/23,IF(G1524=3,F1524/12,IF(G1524=5,F1524-I1524,IF(G1524=8,F1524,0)))),0)</f>
        <v>0</v>
      </c>
      <c r="K1524" s="819">
        <f>ROUND(IF(G1524=1,F1524/23,IF(G1524=3,F1524/12,IF(G1524=6,F1524,IF(G1524=7,F1524-I1524,0)))),0)</f>
        <v>0</v>
      </c>
      <c r="L1524" s="820">
        <f>IF(G1524=6,F1524,0)</f>
        <v>0</v>
      </c>
      <c r="P1524" s="768" t="n"/>
      <c r="Q1524" s="769" t="str">
        <f>IF($F1524="","",IFERROR(VLOOKUP($C1524&amp;"|"&amp;$D1524,科目表!$A$5:$B$200,2,FALSE),"※未登録"))</f>
        <v/>
      </c>
      <c r="R1524" s="769" t="str">
        <f>IF($F1524="","",$I1524+$J1524+$K1524)</f>
        <v/>
      </c>
      <c r="S1524" s="769" t="str">
        <f>IF(OR($F1524="",$P1524="支払なし",$H1524=0,$Q1524=""),"",$Q1524&amp;"|S|"&amp;(COUNTIF(S$4:S1523,$Q1524&amp;"|S|*")+1))</f>
        <v/>
      </c>
      <c r="T1524" s="769" t="str">
        <f>IF(OR($F1524="",$P1524="支払なし",$R1524=0,$Q1524=""),"",$Q1524&amp;"|L|"&amp;(COUNTIF(T$4:T1523,$Q1524&amp;"|L|*")+1))</f>
        <v/>
      </c>
      <c r="U1524" s="769" t="str">
        <f>IF($F1524="","",13)</f>
        <v/>
      </c>
    </row>
    <row r="1525" ht="16.5" customHeight="1" s="186">
      <c r="A1525" s="760" t="n"/>
      <c r="B1525" s="760" t="n"/>
      <c r="C1525" s="762" t="n"/>
      <c r="D1525" s="762" t="n"/>
      <c r="E1525" s="775" t="n"/>
      <c r="F1525" s="821" t="n"/>
      <c r="G1525" s="821" t="n"/>
      <c r="H1525" s="818">
        <f>IF(G1525=1,F1525-I1525-J1525-K1525,IF(G1525=2,F1525,0))</f>
        <v>0</v>
      </c>
      <c r="I1525" s="818">
        <f>ROUND(IF(G1525=1,F1525*10/23,IF(G1525=3,F1525-J1525-K1525,IF(G1525=4,F1525,IF(G1525=5,F1525*10/11,IF(G1525=7,F1525*10/11,0))))),0)</f>
        <v>0</v>
      </c>
      <c r="J1525" s="818">
        <f>ROUND(IF(G1525=1,F1525/23,IF(G1525=3,F1525/12,IF(G1525=5,F1525-I1525,IF(G1525=8,F1525,0)))),0)</f>
        <v>0</v>
      </c>
      <c r="K1525" s="819">
        <f>ROUND(IF(G1525=1,F1525/23,IF(G1525=3,F1525/12,IF(G1525=6,F1525,IF(G1525=7,F1525-I1525,0)))),0)</f>
        <v>0</v>
      </c>
      <c r="L1525" s="820">
        <f>IF(G1525=6,F1525,0)</f>
        <v>0</v>
      </c>
      <c r="P1525" s="768" t="n"/>
      <c r="Q1525" s="769" t="str">
        <f>IF($F1525="","",IFERROR(VLOOKUP($C1525&amp;"|"&amp;$D1525,科目表!$A$5:$B$200,2,FALSE),"※未登録"))</f>
        <v/>
      </c>
      <c r="R1525" s="769" t="str">
        <f>IF($F1525="","",$I1525+$J1525+$K1525)</f>
        <v/>
      </c>
      <c r="S1525" s="769" t="str">
        <f>IF(OR($F1525="",$P1525="支払なし",$H1525=0,$Q1525=""),"",$Q1525&amp;"|S|"&amp;(COUNTIF(S$4:S1524,$Q1525&amp;"|S|*")+1))</f>
        <v/>
      </c>
      <c r="T1525" s="769" t="str">
        <f>IF(OR($F1525="",$P1525="支払なし",$R1525=0,$Q1525=""),"",$Q1525&amp;"|L|"&amp;(COUNTIF(T$4:T1524,$Q1525&amp;"|L|*")+1))</f>
        <v/>
      </c>
      <c r="U1525" s="769" t="str">
        <f>IF($F1525="","",13)</f>
        <v/>
      </c>
    </row>
    <row r="1526" ht="16.5" customHeight="1" s="186">
      <c r="A1526" s="760" t="n"/>
      <c r="B1526" s="760" t="n"/>
      <c r="C1526" s="762" t="n"/>
      <c r="D1526" s="762" t="n"/>
      <c r="E1526" s="775" t="n"/>
      <c r="F1526" s="821" t="n"/>
      <c r="G1526" s="821" t="n"/>
      <c r="H1526" s="818">
        <f>IF(G1526=1,F1526-I1526-J1526-K1526,IF(G1526=2,F1526,0))</f>
        <v>0</v>
      </c>
      <c r="I1526" s="818">
        <f>ROUND(IF(G1526=1,F1526*10/23,IF(G1526=3,F1526-J1526-K1526,IF(G1526=4,F1526,IF(G1526=5,F1526*10/11,IF(G1526=7,F1526*10/11,0))))),0)</f>
        <v>0</v>
      </c>
      <c r="J1526" s="818">
        <f>ROUND(IF(G1526=1,F1526/23,IF(G1526=3,F1526/12,IF(G1526=5,F1526-I1526,IF(G1526=8,F1526,0)))),0)</f>
        <v>0</v>
      </c>
      <c r="K1526" s="819">
        <f>ROUND(IF(G1526=1,F1526/23,IF(G1526=3,F1526/12,IF(G1526=6,F1526,IF(G1526=7,F1526-I1526,0)))),0)</f>
        <v>0</v>
      </c>
      <c r="L1526" s="820">
        <f>IF(G1526=6,F1526,0)</f>
        <v>0</v>
      </c>
      <c r="P1526" s="768" t="n"/>
      <c r="Q1526" s="769" t="str">
        <f>IF($F1526="","",IFERROR(VLOOKUP($C1526&amp;"|"&amp;$D1526,科目表!$A$5:$B$200,2,FALSE),"※未登録"))</f>
        <v/>
      </c>
      <c r="R1526" s="769" t="str">
        <f>IF($F1526="","",$I1526+$J1526+$K1526)</f>
        <v/>
      </c>
      <c r="S1526" s="769" t="str">
        <f>IF(OR($F1526="",$P1526="支払なし",$H1526=0,$Q1526=""),"",$Q1526&amp;"|S|"&amp;(COUNTIF(S$4:S1525,$Q1526&amp;"|S|*")+1))</f>
        <v/>
      </c>
      <c r="T1526" s="769" t="str">
        <f>IF(OR($F1526="",$P1526="支払なし",$R1526=0,$Q1526=""),"",$Q1526&amp;"|L|"&amp;(COUNTIF(T$4:T1525,$Q1526&amp;"|L|*")+1))</f>
        <v/>
      </c>
      <c r="U1526" s="769" t="str">
        <f>IF($F1526="","",13)</f>
        <v/>
      </c>
    </row>
    <row r="1527" ht="16.5" customHeight="1" s="186">
      <c r="A1527" s="760" t="n"/>
      <c r="B1527" s="760" t="n"/>
      <c r="C1527" s="762" t="n"/>
      <c r="D1527" s="762" t="n"/>
      <c r="E1527" s="775" t="n"/>
      <c r="F1527" s="821" t="n"/>
      <c r="G1527" s="821" t="n"/>
      <c r="H1527" s="818">
        <f>IF(G1527=1,F1527-I1527-J1527-K1527,IF(G1527=2,F1527,0))</f>
        <v>0</v>
      </c>
      <c r="I1527" s="818">
        <f>ROUND(IF(G1527=1,F1527*10/23,IF(G1527=3,F1527-J1527-K1527,IF(G1527=4,F1527,IF(G1527=5,F1527*10/11,IF(G1527=7,F1527*10/11,0))))),0)</f>
        <v>0</v>
      </c>
      <c r="J1527" s="818">
        <f>ROUND(IF(G1527=1,F1527/23,IF(G1527=3,F1527/12,IF(G1527=5,F1527-I1527,IF(G1527=8,F1527,0)))),0)</f>
        <v>0</v>
      </c>
      <c r="K1527" s="819">
        <f>ROUND(IF(G1527=1,F1527/23,IF(G1527=3,F1527/12,IF(G1527=6,F1527,IF(G1527=7,F1527-I1527,0)))),0)</f>
        <v>0</v>
      </c>
      <c r="L1527" s="820">
        <f>IF(G1527=6,F1527,0)</f>
        <v>0</v>
      </c>
      <c r="P1527" s="768" t="n"/>
      <c r="Q1527" s="769" t="str">
        <f>IF($F1527="","",IFERROR(VLOOKUP($C1527&amp;"|"&amp;$D1527,科目表!$A$5:$B$200,2,FALSE),"※未登録"))</f>
        <v/>
      </c>
      <c r="R1527" s="769" t="str">
        <f>IF($F1527="","",$I1527+$J1527+$K1527)</f>
        <v/>
      </c>
      <c r="S1527" s="769" t="str">
        <f>IF(OR($F1527="",$P1527="支払なし",$H1527=0,$Q1527=""),"",$Q1527&amp;"|S|"&amp;(COUNTIF(S$4:S1526,$Q1527&amp;"|S|*")+1))</f>
        <v/>
      </c>
      <c r="T1527" s="769" t="str">
        <f>IF(OR($F1527="",$P1527="支払なし",$R1527=0,$Q1527=""),"",$Q1527&amp;"|L|"&amp;(COUNTIF(T$4:T1526,$Q1527&amp;"|L|*")+1))</f>
        <v/>
      </c>
      <c r="U1527" s="769" t="str">
        <f>IF($F1527="","",13)</f>
        <v/>
      </c>
    </row>
    <row r="1528" ht="16.5" customHeight="1" s="186">
      <c r="A1528" s="760" t="n"/>
      <c r="B1528" s="760" t="n"/>
      <c r="C1528" s="762" t="n"/>
      <c r="D1528" s="762" t="n"/>
      <c r="E1528" s="775" t="n"/>
      <c r="F1528" s="821" t="n"/>
      <c r="G1528" s="821" t="n"/>
      <c r="H1528" s="818">
        <f>IF(G1528=1,F1528-I1528-J1528-K1528,IF(G1528=2,F1528,0))</f>
        <v>0</v>
      </c>
      <c r="I1528" s="818">
        <f>ROUND(IF(G1528=1,F1528*10/23,IF(G1528=3,F1528-J1528-K1528,IF(G1528=4,F1528,IF(G1528=5,F1528*10/11,IF(G1528=7,F1528*10/11,0))))),0)</f>
        <v>0</v>
      </c>
      <c r="J1528" s="818">
        <f>ROUND(IF(G1528=1,F1528/23,IF(G1528=3,F1528/12,IF(G1528=5,F1528-I1528,IF(G1528=8,F1528,0)))),0)</f>
        <v>0</v>
      </c>
      <c r="K1528" s="819">
        <f>ROUND(IF(G1528=1,F1528/23,IF(G1528=3,F1528/12,IF(G1528=6,F1528,IF(G1528=7,F1528-I1528,0)))),0)</f>
        <v>0</v>
      </c>
      <c r="L1528" s="820">
        <f>IF(G1528=6,F1528,0)</f>
        <v>0</v>
      </c>
      <c r="P1528" s="768" t="n"/>
      <c r="Q1528" s="769" t="str">
        <f>IF($F1528="","",IFERROR(VLOOKUP($C1528&amp;"|"&amp;$D1528,科目表!$A$5:$B$200,2,FALSE),"※未登録"))</f>
        <v/>
      </c>
      <c r="R1528" s="769" t="str">
        <f>IF($F1528="","",$I1528+$J1528+$K1528)</f>
        <v/>
      </c>
      <c r="S1528" s="769" t="str">
        <f>IF(OR($F1528="",$P1528="支払なし",$H1528=0,$Q1528=""),"",$Q1528&amp;"|S|"&amp;(COUNTIF(S$4:S1527,$Q1528&amp;"|S|*")+1))</f>
        <v/>
      </c>
      <c r="T1528" s="769" t="str">
        <f>IF(OR($F1528="",$P1528="支払なし",$R1528=0,$Q1528=""),"",$Q1528&amp;"|L|"&amp;(COUNTIF(T$4:T1527,$Q1528&amp;"|L|*")+1))</f>
        <v/>
      </c>
      <c r="U1528" s="769" t="str">
        <f>IF($F1528="","",13)</f>
        <v/>
      </c>
    </row>
    <row r="1529" ht="16.5" customHeight="1" s="186">
      <c r="A1529" s="760" t="n"/>
      <c r="B1529" s="760" t="n"/>
      <c r="C1529" s="762" t="n"/>
      <c r="D1529" s="762" t="n"/>
      <c r="E1529" s="775" t="n"/>
      <c r="F1529" s="821" t="n"/>
      <c r="G1529" s="821" t="n"/>
      <c r="H1529" s="818">
        <f>IF(G1529=1,F1529-I1529-J1529-K1529,IF(G1529=2,F1529,0))</f>
        <v>0</v>
      </c>
      <c r="I1529" s="818">
        <f>ROUND(IF(G1529=1,F1529*10/23,IF(G1529=3,F1529-J1529-K1529,IF(G1529=4,F1529,IF(G1529=5,F1529*10/11,IF(G1529=7,F1529*10/11,0))))),0)</f>
        <v>0</v>
      </c>
      <c r="J1529" s="818">
        <f>ROUND(IF(G1529=1,F1529/23,IF(G1529=3,F1529/12,IF(G1529=5,F1529-I1529,IF(G1529=8,F1529,0)))),0)</f>
        <v>0</v>
      </c>
      <c r="K1529" s="819">
        <f>ROUND(IF(G1529=1,F1529/23,IF(G1529=3,F1529/12,IF(G1529=6,F1529,IF(G1529=7,F1529-I1529,0)))),0)</f>
        <v>0</v>
      </c>
      <c r="L1529" s="820">
        <f>IF(G1529=6,F1529,0)</f>
        <v>0</v>
      </c>
      <c r="P1529" s="768" t="n"/>
      <c r="Q1529" s="769" t="str">
        <f>IF($F1529="","",IFERROR(VLOOKUP($C1529&amp;"|"&amp;$D1529,科目表!$A$5:$B$200,2,FALSE),"※未登録"))</f>
        <v/>
      </c>
      <c r="R1529" s="769" t="str">
        <f>IF($F1529="","",$I1529+$J1529+$K1529)</f>
        <v/>
      </c>
      <c r="S1529" s="769" t="str">
        <f>IF(OR($F1529="",$P1529="支払なし",$H1529=0,$Q1529=""),"",$Q1529&amp;"|S|"&amp;(COUNTIF(S$4:S1528,$Q1529&amp;"|S|*")+1))</f>
        <v/>
      </c>
      <c r="T1529" s="769" t="str">
        <f>IF(OR($F1529="",$P1529="支払なし",$R1529=0,$Q1529=""),"",$Q1529&amp;"|L|"&amp;(COUNTIF(T$4:T1528,$Q1529&amp;"|L|*")+1))</f>
        <v/>
      </c>
      <c r="U1529" s="769" t="str">
        <f>IF($F1529="","",13)</f>
        <v/>
      </c>
    </row>
    <row r="1530" ht="16.5" customHeight="1" s="186">
      <c r="A1530" s="760" t="n"/>
      <c r="B1530" s="760" t="n"/>
      <c r="C1530" s="762" t="n"/>
      <c r="D1530" s="762" t="n"/>
      <c r="E1530" s="775" t="n"/>
      <c r="F1530" s="821" t="n"/>
      <c r="G1530" s="821" t="n"/>
      <c r="H1530" s="818">
        <f>IF(G1530=1,F1530-I1530-J1530-K1530,IF(G1530=2,F1530,0))</f>
        <v>0</v>
      </c>
      <c r="I1530" s="818">
        <f>ROUND(IF(G1530=1,F1530*10/23,IF(G1530=3,F1530-J1530-K1530,IF(G1530=4,F1530,IF(G1530=5,F1530*10/11,IF(G1530=7,F1530*10/11,0))))),0)</f>
        <v>0</v>
      </c>
      <c r="J1530" s="818">
        <f>ROUND(IF(G1530=1,F1530/23,IF(G1530=3,F1530/12,IF(G1530=5,F1530-I1530,IF(G1530=8,F1530,0)))),0)</f>
        <v>0</v>
      </c>
      <c r="K1530" s="819">
        <f>ROUND(IF(G1530=1,F1530/23,IF(G1530=3,F1530/12,IF(G1530=6,F1530,IF(G1530=7,F1530-I1530,0)))),0)</f>
        <v>0</v>
      </c>
      <c r="L1530" s="820">
        <f>IF(G1530=6,F1530,0)</f>
        <v>0</v>
      </c>
      <c r="P1530" s="768" t="n"/>
      <c r="Q1530" s="769" t="str">
        <f>IF($F1530="","",IFERROR(VLOOKUP($C1530&amp;"|"&amp;$D1530,科目表!$A$5:$B$200,2,FALSE),"※未登録"))</f>
        <v/>
      </c>
      <c r="R1530" s="769" t="str">
        <f>IF($F1530="","",$I1530+$J1530+$K1530)</f>
        <v/>
      </c>
      <c r="S1530" s="769" t="str">
        <f>IF(OR($F1530="",$P1530="支払なし",$H1530=0,$Q1530=""),"",$Q1530&amp;"|S|"&amp;(COUNTIF(S$4:S1529,$Q1530&amp;"|S|*")+1))</f>
        <v/>
      </c>
      <c r="T1530" s="769" t="str">
        <f>IF(OR($F1530="",$P1530="支払なし",$R1530=0,$Q1530=""),"",$Q1530&amp;"|L|"&amp;(COUNTIF(T$4:T1529,$Q1530&amp;"|L|*")+1))</f>
        <v/>
      </c>
      <c r="U1530" s="769" t="str">
        <f>IF($F1530="","",13)</f>
        <v/>
      </c>
    </row>
    <row r="1531" ht="16.5" customHeight="1" s="186">
      <c r="A1531" s="760" t="n"/>
      <c r="B1531" s="760" t="n"/>
      <c r="C1531" s="762" t="n"/>
      <c r="D1531" s="762" t="n"/>
      <c r="E1531" s="775" t="n"/>
      <c r="F1531" s="821" t="n"/>
      <c r="G1531" s="821" t="n"/>
      <c r="H1531" s="818">
        <f>IF(G1531=1,F1531-I1531-J1531-K1531,IF(G1531=2,F1531,0))</f>
        <v>0</v>
      </c>
      <c r="I1531" s="818">
        <f>ROUND(IF(G1531=1,F1531*10/23,IF(G1531=3,F1531-J1531-K1531,IF(G1531=4,F1531,IF(G1531=5,F1531*10/11,IF(G1531=7,F1531*10/11,0))))),0)</f>
        <v>0</v>
      </c>
      <c r="J1531" s="818">
        <f>ROUND(IF(G1531=1,F1531/23,IF(G1531=3,F1531/12,IF(G1531=5,F1531-I1531,IF(G1531=8,F1531,0)))),0)</f>
        <v>0</v>
      </c>
      <c r="K1531" s="819">
        <f>ROUND(IF(G1531=1,F1531/23,IF(G1531=3,F1531/12,IF(G1531=6,F1531,IF(G1531=7,F1531-I1531,0)))),0)</f>
        <v>0</v>
      </c>
      <c r="L1531" s="820">
        <f>IF(G1531=6,F1531,0)</f>
        <v>0</v>
      </c>
      <c r="P1531" s="768" t="n"/>
      <c r="Q1531" s="769" t="str">
        <f>IF($F1531="","",IFERROR(VLOOKUP($C1531&amp;"|"&amp;$D1531,科目表!$A$5:$B$200,2,FALSE),"※未登録"))</f>
        <v/>
      </c>
      <c r="R1531" s="769" t="str">
        <f>IF($F1531="","",$I1531+$J1531+$K1531)</f>
        <v/>
      </c>
      <c r="S1531" s="769" t="str">
        <f>IF(OR($F1531="",$P1531="支払なし",$H1531=0,$Q1531=""),"",$Q1531&amp;"|S|"&amp;(COUNTIF(S$4:S1530,$Q1531&amp;"|S|*")+1))</f>
        <v/>
      </c>
      <c r="T1531" s="769" t="str">
        <f>IF(OR($F1531="",$P1531="支払なし",$R1531=0,$Q1531=""),"",$Q1531&amp;"|L|"&amp;(COUNTIF(T$4:T1530,$Q1531&amp;"|L|*")+1))</f>
        <v/>
      </c>
      <c r="U1531" s="769" t="str">
        <f>IF($F1531="","",13)</f>
        <v/>
      </c>
    </row>
    <row r="1532" ht="16.5" customHeight="1" s="186">
      <c r="A1532" s="760" t="n"/>
      <c r="B1532" s="760" t="n"/>
      <c r="C1532" s="762" t="n"/>
      <c r="D1532" s="762" t="n"/>
      <c r="E1532" s="775" t="n"/>
      <c r="F1532" s="821" t="n"/>
      <c r="G1532" s="821" t="n"/>
      <c r="H1532" s="818">
        <f>IF(G1532=1,F1532-I1532-J1532-K1532,IF(G1532=2,F1532,0))</f>
        <v>0</v>
      </c>
      <c r="I1532" s="818">
        <f>ROUND(IF(G1532=1,F1532*10/23,IF(G1532=3,F1532-J1532-K1532,IF(G1532=4,F1532,IF(G1532=5,F1532*10/11,IF(G1532=7,F1532*10/11,0))))),0)</f>
        <v>0</v>
      </c>
      <c r="J1532" s="818">
        <f>ROUND(IF(G1532=1,F1532/23,IF(G1532=3,F1532/12,IF(G1532=5,F1532-I1532,IF(G1532=8,F1532,0)))),0)</f>
        <v>0</v>
      </c>
      <c r="K1532" s="819">
        <f>ROUND(IF(G1532=1,F1532/23,IF(G1532=3,F1532/12,IF(G1532=6,F1532,IF(G1532=7,F1532-I1532,0)))),0)</f>
        <v>0</v>
      </c>
      <c r="L1532" s="820">
        <f>IF(G1532=6,F1532,0)</f>
        <v>0</v>
      </c>
      <c r="P1532" s="768" t="n"/>
      <c r="Q1532" s="769" t="str">
        <f>IF($F1532="","",IFERROR(VLOOKUP($C1532&amp;"|"&amp;$D1532,科目表!$A$5:$B$200,2,FALSE),"※未登録"))</f>
        <v/>
      </c>
      <c r="R1532" s="769" t="str">
        <f>IF($F1532="","",$I1532+$J1532+$K1532)</f>
        <v/>
      </c>
      <c r="S1532" s="769" t="str">
        <f>IF(OR($F1532="",$P1532="支払なし",$H1532=0,$Q1532=""),"",$Q1532&amp;"|S|"&amp;(COUNTIF(S$4:S1531,$Q1532&amp;"|S|*")+1))</f>
        <v/>
      </c>
      <c r="T1532" s="769" t="str">
        <f>IF(OR($F1532="",$P1532="支払なし",$R1532=0,$Q1532=""),"",$Q1532&amp;"|L|"&amp;(COUNTIF(T$4:T1531,$Q1532&amp;"|L|*")+1))</f>
        <v/>
      </c>
      <c r="U1532" s="769" t="str">
        <f>IF($F1532="","",13)</f>
        <v/>
      </c>
    </row>
    <row r="1533" ht="16.5" customHeight="1" s="186">
      <c r="A1533" s="760" t="n"/>
      <c r="B1533" s="760" t="n"/>
      <c r="C1533" s="762" t="n"/>
      <c r="D1533" s="762" t="n"/>
      <c r="E1533" s="775" t="n"/>
      <c r="F1533" s="821" t="n"/>
      <c r="G1533" s="821" t="n"/>
      <c r="H1533" s="818">
        <f>IF(G1533=1,F1533-I1533-J1533-K1533,IF(G1533=2,F1533,0))</f>
        <v>0</v>
      </c>
      <c r="I1533" s="818">
        <f>ROUND(IF(G1533=1,F1533*10/23,IF(G1533=3,F1533-J1533-K1533,IF(G1533=4,F1533,IF(G1533=5,F1533*10/11,IF(G1533=7,F1533*10/11,0))))),0)</f>
        <v>0</v>
      </c>
      <c r="J1533" s="818">
        <f>ROUND(IF(G1533=1,F1533/23,IF(G1533=3,F1533/12,IF(G1533=5,F1533-I1533,IF(G1533=8,F1533,0)))),0)</f>
        <v>0</v>
      </c>
      <c r="K1533" s="819">
        <f>ROUND(IF(G1533=1,F1533/23,IF(G1533=3,F1533/12,IF(G1533=6,F1533,IF(G1533=7,F1533-I1533,0)))),0)</f>
        <v>0</v>
      </c>
      <c r="L1533" s="820">
        <f>IF(G1533=6,F1533,0)</f>
        <v>0</v>
      </c>
      <c r="P1533" s="768" t="n"/>
      <c r="Q1533" s="769" t="str">
        <f>IF($F1533="","",IFERROR(VLOOKUP($C1533&amp;"|"&amp;$D1533,科目表!$A$5:$B$200,2,FALSE),"※未登録"))</f>
        <v/>
      </c>
      <c r="R1533" s="769" t="str">
        <f>IF($F1533="","",$I1533+$J1533+$K1533)</f>
        <v/>
      </c>
      <c r="S1533" s="769" t="str">
        <f>IF(OR($F1533="",$P1533="支払なし",$H1533=0,$Q1533=""),"",$Q1533&amp;"|S|"&amp;(COUNTIF(S$4:S1532,$Q1533&amp;"|S|*")+1))</f>
        <v/>
      </c>
      <c r="T1533" s="769" t="str">
        <f>IF(OR($F1533="",$P1533="支払なし",$R1533=0,$Q1533=""),"",$Q1533&amp;"|L|"&amp;(COUNTIF(T$4:T1532,$Q1533&amp;"|L|*")+1))</f>
        <v/>
      </c>
      <c r="U1533" s="769" t="str">
        <f>IF($F1533="","",13)</f>
        <v/>
      </c>
    </row>
    <row r="1534" ht="16.5" customHeight="1" s="186">
      <c r="A1534" s="760" t="n"/>
      <c r="B1534" s="760" t="n"/>
      <c r="C1534" s="762" t="n"/>
      <c r="D1534" s="762" t="n"/>
      <c r="E1534" s="775" t="n"/>
      <c r="F1534" s="821" t="n"/>
      <c r="G1534" s="821" t="n"/>
      <c r="H1534" s="818">
        <f>IF(G1534=1,F1534-I1534-J1534-K1534,IF(G1534=2,F1534,0))</f>
        <v>0</v>
      </c>
      <c r="I1534" s="818">
        <f>ROUND(IF(G1534=1,F1534*10/23,IF(G1534=3,F1534-J1534-K1534,IF(G1534=4,F1534,IF(G1534=5,F1534*10/11,IF(G1534=7,F1534*10/11,0))))),0)</f>
        <v>0</v>
      </c>
      <c r="J1534" s="818">
        <f>ROUND(IF(G1534=1,F1534/23,IF(G1534=3,F1534/12,IF(G1534=5,F1534-I1534,IF(G1534=8,F1534,0)))),0)</f>
        <v>0</v>
      </c>
      <c r="K1534" s="819">
        <f>ROUND(IF(G1534=1,F1534/23,IF(G1534=3,F1534/12,IF(G1534=6,F1534,IF(G1534=7,F1534-I1534,0)))),0)</f>
        <v>0</v>
      </c>
      <c r="L1534" s="820">
        <f>IF(G1534=6,F1534,0)</f>
        <v>0</v>
      </c>
      <c r="P1534" s="768" t="n"/>
      <c r="Q1534" s="769" t="str">
        <f>IF($F1534="","",IFERROR(VLOOKUP($C1534&amp;"|"&amp;$D1534,科目表!$A$5:$B$200,2,FALSE),"※未登録"))</f>
        <v/>
      </c>
      <c r="R1534" s="769" t="str">
        <f>IF($F1534="","",$I1534+$J1534+$K1534)</f>
        <v/>
      </c>
      <c r="S1534" s="769" t="str">
        <f>IF(OR($F1534="",$P1534="支払なし",$H1534=0,$Q1534=""),"",$Q1534&amp;"|S|"&amp;(COUNTIF(S$4:S1533,$Q1534&amp;"|S|*")+1))</f>
        <v/>
      </c>
      <c r="T1534" s="769" t="str">
        <f>IF(OR($F1534="",$P1534="支払なし",$R1534=0,$Q1534=""),"",$Q1534&amp;"|L|"&amp;(COUNTIF(T$4:T1533,$Q1534&amp;"|L|*")+1))</f>
        <v/>
      </c>
      <c r="U1534" s="769" t="str">
        <f>IF($F1534="","",13)</f>
        <v/>
      </c>
    </row>
    <row r="1535" ht="16.5" customHeight="1" s="186">
      <c r="A1535" s="760" t="n"/>
      <c r="B1535" s="760" t="n"/>
      <c r="C1535" s="762" t="n"/>
      <c r="D1535" s="762" t="n"/>
      <c r="E1535" s="775" t="n"/>
      <c r="F1535" s="821" t="n"/>
      <c r="G1535" s="821" t="n"/>
      <c r="H1535" s="818">
        <f>IF(G1535=1,F1535-I1535-J1535-K1535,IF(G1535=2,F1535,0))</f>
        <v>0</v>
      </c>
      <c r="I1535" s="818">
        <f>ROUND(IF(G1535=1,F1535*10/23,IF(G1535=3,F1535-J1535-K1535,IF(G1535=4,F1535,IF(G1535=5,F1535*10/11,IF(G1535=7,F1535*10/11,0))))),0)</f>
        <v>0</v>
      </c>
      <c r="J1535" s="818">
        <f>ROUND(IF(G1535=1,F1535/23,IF(G1535=3,F1535/12,IF(G1535=5,F1535-I1535,IF(G1535=8,F1535,0)))),0)</f>
        <v>0</v>
      </c>
      <c r="K1535" s="819">
        <f>ROUND(IF(G1535=1,F1535/23,IF(G1535=3,F1535/12,IF(G1535=6,F1535,IF(G1535=7,F1535-I1535,0)))),0)</f>
        <v>0</v>
      </c>
      <c r="L1535" s="820">
        <f>IF(G1535=6,F1535,0)</f>
        <v>0</v>
      </c>
      <c r="P1535" s="768" t="n"/>
      <c r="Q1535" s="769" t="str">
        <f>IF($F1535="","",IFERROR(VLOOKUP($C1535&amp;"|"&amp;$D1535,科目表!$A$5:$B$200,2,FALSE),"※未登録"))</f>
        <v/>
      </c>
      <c r="R1535" s="769" t="str">
        <f>IF($F1535="","",$I1535+$J1535+$K1535)</f>
        <v/>
      </c>
      <c r="S1535" s="769" t="str">
        <f>IF(OR($F1535="",$P1535="支払なし",$H1535=0,$Q1535=""),"",$Q1535&amp;"|S|"&amp;(COUNTIF(S$4:S1534,$Q1535&amp;"|S|*")+1))</f>
        <v/>
      </c>
      <c r="T1535" s="769" t="str">
        <f>IF(OR($F1535="",$P1535="支払なし",$R1535=0,$Q1535=""),"",$Q1535&amp;"|L|"&amp;(COUNTIF(T$4:T1534,$Q1535&amp;"|L|*")+1))</f>
        <v/>
      </c>
      <c r="U1535" s="769" t="str">
        <f>IF($F1535="","",13)</f>
        <v/>
      </c>
    </row>
    <row r="1536" ht="16.5" customHeight="1" s="186">
      <c r="A1536" s="760" t="n"/>
      <c r="B1536" s="760" t="n"/>
      <c r="C1536" s="762" t="n"/>
      <c r="D1536" s="762" t="n"/>
      <c r="E1536" s="775" t="n"/>
      <c r="F1536" s="821" t="n"/>
      <c r="G1536" s="821" t="n"/>
      <c r="H1536" s="818">
        <f>IF(G1536=1,F1536-I1536-J1536-K1536,IF(G1536=2,F1536,0))</f>
        <v>0</v>
      </c>
      <c r="I1536" s="818">
        <f>ROUND(IF(G1536=1,F1536*10/23,IF(G1536=3,F1536-J1536-K1536,IF(G1536=4,F1536,IF(G1536=5,F1536*10/11,IF(G1536=7,F1536*10/11,0))))),0)</f>
        <v>0</v>
      </c>
      <c r="J1536" s="818">
        <f>ROUND(IF(G1536=1,F1536/23,IF(G1536=3,F1536/12,IF(G1536=5,F1536-I1536,IF(G1536=8,F1536,0)))),0)</f>
        <v>0</v>
      </c>
      <c r="K1536" s="819">
        <f>ROUND(IF(G1536=1,F1536/23,IF(G1536=3,F1536/12,IF(G1536=6,F1536,IF(G1536=7,F1536-I1536,0)))),0)</f>
        <v>0</v>
      </c>
      <c r="L1536" s="820">
        <f>IF(G1536=6,F1536,0)</f>
        <v>0</v>
      </c>
      <c r="P1536" s="768" t="n"/>
      <c r="Q1536" s="769" t="str">
        <f>IF($F1536="","",IFERROR(VLOOKUP($C1536&amp;"|"&amp;$D1536,科目表!$A$5:$B$200,2,FALSE),"※未登録"))</f>
        <v/>
      </c>
      <c r="R1536" s="769" t="str">
        <f>IF($F1536="","",$I1536+$J1536+$K1536)</f>
        <v/>
      </c>
      <c r="S1536" s="769" t="str">
        <f>IF(OR($F1536="",$P1536="支払なし",$H1536=0,$Q1536=""),"",$Q1536&amp;"|S|"&amp;(COUNTIF(S$4:S1535,$Q1536&amp;"|S|*")+1))</f>
        <v/>
      </c>
      <c r="T1536" s="769" t="str">
        <f>IF(OR($F1536="",$P1536="支払なし",$R1536=0,$Q1536=""),"",$Q1536&amp;"|L|"&amp;(COUNTIF(T$4:T1535,$Q1536&amp;"|L|*")+1))</f>
        <v/>
      </c>
      <c r="U1536" s="769" t="str">
        <f>IF($F1536="","",13)</f>
        <v/>
      </c>
    </row>
    <row r="1537" ht="16.5" customHeight="1" s="186">
      <c r="A1537" s="760" t="n"/>
      <c r="B1537" s="760" t="n"/>
      <c r="C1537" s="762" t="n"/>
      <c r="D1537" s="762" t="n"/>
      <c r="E1537" s="775" t="n"/>
      <c r="F1537" s="821" t="n"/>
      <c r="G1537" s="821" t="n"/>
      <c r="H1537" s="818">
        <f>IF(G1537=1,F1537-I1537-J1537-K1537,IF(G1537=2,F1537,0))</f>
        <v>0</v>
      </c>
      <c r="I1537" s="818">
        <f>ROUND(IF(G1537=1,F1537*10/23,IF(G1537=3,F1537-J1537-K1537,IF(G1537=4,F1537,IF(G1537=5,F1537*10/11,IF(G1537=7,F1537*10/11,0))))),0)</f>
        <v>0</v>
      </c>
      <c r="J1537" s="818">
        <f>ROUND(IF(G1537=1,F1537/23,IF(G1537=3,F1537/12,IF(G1537=5,F1537-I1537,IF(G1537=8,F1537,0)))),0)</f>
        <v>0</v>
      </c>
      <c r="K1537" s="819">
        <f>ROUND(IF(G1537=1,F1537/23,IF(G1537=3,F1537/12,IF(G1537=6,F1537,IF(G1537=7,F1537-I1537,0)))),0)</f>
        <v>0</v>
      </c>
      <c r="L1537" s="820">
        <f>IF(G1537=6,F1537,0)</f>
        <v>0</v>
      </c>
      <c r="P1537" s="768" t="n"/>
      <c r="Q1537" s="769" t="str">
        <f>IF($F1537="","",IFERROR(VLOOKUP($C1537&amp;"|"&amp;$D1537,科目表!$A$5:$B$200,2,FALSE),"※未登録"))</f>
        <v/>
      </c>
      <c r="R1537" s="769" t="str">
        <f>IF($F1537="","",$I1537+$J1537+$K1537)</f>
        <v/>
      </c>
      <c r="S1537" s="769" t="str">
        <f>IF(OR($F1537="",$P1537="支払なし",$H1537=0,$Q1537=""),"",$Q1537&amp;"|S|"&amp;(COUNTIF(S$4:S1536,$Q1537&amp;"|S|*")+1))</f>
        <v/>
      </c>
      <c r="T1537" s="769" t="str">
        <f>IF(OR($F1537="",$P1537="支払なし",$R1537=0,$Q1537=""),"",$Q1537&amp;"|L|"&amp;(COUNTIF(T$4:T1536,$Q1537&amp;"|L|*")+1))</f>
        <v/>
      </c>
      <c r="U1537" s="769" t="str">
        <f>IF($F1537="","",13)</f>
        <v/>
      </c>
    </row>
    <row r="1538" ht="16.5" customHeight="1" s="186">
      <c r="A1538" s="760" t="n"/>
      <c r="B1538" s="760" t="n"/>
      <c r="C1538" s="762" t="n"/>
      <c r="D1538" s="762" t="n"/>
      <c r="E1538" s="775" t="n"/>
      <c r="F1538" s="821" t="n"/>
      <c r="G1538" s="821" t="n"/>
      <c r="H1538" s="818">
        <f>IF(G1538=1,F1538-I1538-J1538-K1538,IF(G1538=2,F1538,0))</f>
        <v>0</v>
      </c>
      <c r="I1538" s="818">
        <f>ROUND(IF(G1538=1,F1538*10/23,IF(G1538=3,F1538-J1538-K1538,IF(G1538=4,F1538,IF(G1538=5,F1538*10/11,IF(G1538=7,F1538*10/11,0))))),0)</f>
        <v>0</v>
      </c>
      <c r="J1538" s="818">
        <f>ROUND(IF(G1538=1,F1538/23,IF(G1538=3,F1538/12,IF(G1538=5,F1538-I1538,IF(G1538=8,F1538,0)))),0)</f>
        <v>0</v>
      </c>
      <c r="K1538" s="819">
        <f>ROUND(IF(G1538=1,F1538/23,IF(G1538=3,F1538/12,IF(G1538=6,F1538,IF(G1538=7,F1538-I1538,0)))),0)</f>
        <v>0</v>
      </c>
      <c r="L1538" s="820">
        <f>IF(G1538=6,F1538,0)</f>
        <v>0</v>
      </c>
      <c r="P1538" s="768" t="n"/>
      <c r="Q1538" s="769" t="str">
        <f>IF($F1538="","",IFERROR(VLOOKUP($C1538&amp;"|"&amp;$D1538,科目表!$A$5:$B$200,2,FALSE),"※未登録"))</f>
        <v/>
      </c>
      <c r="R1538" s="769" t="str">
        <f>IF($F1538="","",$I1538+$J1538+$K1538)</f>
        <v/>
      </c>
      <c r="S1538" s="769" t="str">
        <f>IF(OR($F1538="",$P1538="支払なし",$H1538=0,$Q1538=""),"",$Q1538&amp;"|S|"&amp;(COUNTIF(S$4:S1537,$Q1538&amp;"|S|*")+1))</f>
        <v/>
      </c>
      <c r="T1538" s="769" t="str">
        <f>IF(OR($F1538="",$P1538="支払なし",$R1538=0,$Q1538=""),"",$Q1538&amp;"|L|"&amp;(COUNTIF(T$4:T1537,$Q1538&amp;"|L|*")+1))</f>
        <v/>
      </c>
      <c r="U1538" s="769" t="str">
        <f>IF($F1538="","",13)</f>
        <v/>
      </c>
    </row>
    <row r="1539" ht="16.5" customHeight="1" s="186">
      <c r="A1539" s="760" t="n"/>
      <c r="B1539" s="760" t="n"/>
      <c r="C1539" s="762" t="n"/>
      <c r="D1539" s="762" t="n"/>
      <c r="E1539" s="775" t="n"/>
      <c r="F1539" s="821" t="n"/>
      <c r="G1539" s="821" t="n"/>
      <c r="H1539" s="818">
        <f>IF(G1539=1,F1539-I1539-J1539-K1539,IF(G1539=2,F1539,0))</f>
        <v>0</v>
      </c>
      <c r="I1539" s="818">
        <f>ROUND(IF(G1539=1,F1539*10/23,IF(G1539=3,F1539-J1539-K1539,IF(G1539=4,F1539,IF(G1539=5,F1539*10/11,IF(G1539=7,F1539*10/11,0))))),0)</f>
        <v>0</v>
      </c>
      <c r="J1539" s="818">
        <f>ROUND(IF(G1539=1,F1539/23,IF(G1539=3,F1539/12,IF(G1539=5,F1539-I1539,IF(G1539=8,F1539,0)))),0)</f>
        <v>0</v>
      </c>
      <c r="K1539" s="819">
        <f>ROUND(IF(G1539=1,F1539/23,IF(G1539=3,F1539/12,IF(G1539=6,F1539,IF(G1539=7,F1539-I1539,0)))),0)</f>
        <v>0</v>
      </c>
      <c r="L1539" s="820">
        <f>IF(G1539=6,F1539,0)</f>
        <v>0</v>
      </c>
      <c r="P1539" s="768" t="n"/>
      <c r="Q1539" s="769" t="str">
        <f>IF($F1539="","",IFERROR(VLOOKUP($C1539&amp;"|"&amp;$D1539,科目表!$A$5:$B$200,2,FALSE),"※未登録"))</f>
        <v/>
      </c>
      <c r="R1539" s="769" t="str">
        <f>IF($F1539="","",$I1539+$J1539+$K1539)</f>
        <v/>
      </c>
      <c r="S1539" s="769" t="str">
        <f>IF(OR($F1539="",$P1539="支払なし",$H1539=0,$Q1539=""),"",$Q1539&amp;"|S|"&amp;(COUNTIF(S$4:S1538,$Q1539&amp;"|S|*")+1))</f>
        <v/>
      </c>
      <c r="T1539" s="769" t="str">
        <f>IF(OR($F1539="",$P1539="支払なし",$R1539=0,$Q1539=""),"",$Q1539&amp;"|L|"&amp;(COUNTIF(T$4:T1538,$Q1539&amp;"|L|*")+1))</f>
        <v/>
      </c>
      <c r="U1539" s="769" t="str">
        <f>IF($F1539="","",13)</f>
        <v/>
      </c>
    </row>
    <row r="1540" ht="16.5" customHeight="1" s="186">
      <c r="A1540" s="760" t="n"/>
      <c r="B1540" s="760" t="n"/>
      <c r="C1540" s="762" t="n"/>
      <c r="D1540" s="762" t="n"/>
      <c r="E1540" s="775" t="n"/>
      <c r="F1540" s="821" t="n"/>
      <c r="G1540" s="821" t="n"/>
      <c r="H1540" s="818">
        <f>IF(G1540=1,F1540-I1540-J1540-K1540,IF(G1540=2,F1540,0))</f>
        <v>0</v>
      </c>
      <c r="I1540" s="818">
        <f>ROUND(IF(G1540=1,F1540*10/23,IF(G1540=3,F1540-J1540-K1540,IF(G1540=4,F1540,IF(G1540=5,F1540*10/11,IF(G1540=7,F1540*10/11,0))))),0)</f>
        <v>0</v>
      </c>
      <c r="J1540" s="818">
        <f>ROUND(IF(G1540=1,F1540/23,IF(G1540=3,F1540/12,IF(G1540=5,F1540-I1540,IF(G1540=8,F1540,0)))),0)</f>
        <v>0</v>
      </c>
      <c r="K1540" s="819">
        <f>ROUND(IF(G1540=1,F1540/23,IF(G1540=3,F1540/12,IF(G1540=6,F1540,IF(G1540=7,F1540-I1540,0)))),0)</f>
        <v>0</v>
      </c>
      <c r="L1540" s="820">
        <f>IF(G1540=6,F1540,0)</f>
        <v>0</v>
      </c>
      <c r="P1540" s="768" t="n"/>
      <c r="Q1540" s="769" t="str">
        <f>IF($F1540="","",IFERROR(VLOOKUP($C1540&amp;"|"&amp;$D1540,科目表!$A$5:$B$200,2,FALSE),"※未登録"))</f>
        <v/>
      </c>
      <c r="R1540" s="769" t="str">
        <f>IF($F1540="","",$I1540+$J1540+$K1540)</f>
        <v/>
      </c>
      <c r="S1540" s="769" t="str">
        <f>IF(OR($F1540="",$P1540="支払なし",$H1540=0,$Q1540=""),"",$Q1540&amp;"|S|"&amp;(COUNTIF(S$4:S1539,$Q1540&amp;"|S|*")+1))</f>
        <v/>
      </c>
      <c r="T1540" s="769" t="str">
        <f>IF(OR($F1540="",$P1540="支払なし",$R1540=0,$Q1540=""),"",$Q1540&amp;"|L|"&amp;(COUNTIF(T$4:T1539,$Q1540&amp;"|L|*")+1))</f>
        <v/>
      </c>
      <c r="U1540" s="769" t="str">
        <f>IF($F1540="","",13)</f>
        <v/>
      </c>
    </row>
    <row r="1541" ht="16.5" customHeight="1" s="186">
      <c r="A1541" s="760" t="n"/>
      <c r="B1541" s="760" t="n"/>
      <c r="C1541" s="762" t="n"/>
      <c r="D1541" s="762" t="n"/>
      <c r="E1541" s="775" t="n"/>
      <c r="F1541" s="821" t="n"/>
      <c r="G1541" s="821" t="n"/>
      <c r="H1541" s="818">
        <f>IF(G1541=1,F1541-I1541-J1541-K1541,IF(G1541=2,F1541,0))</f>
        <v>0</v>
      </c>
      <c r="I1541" s="818">
        <f>ROUND(IF(G1541=1,F1541*10/23,IF(G1541=3,F1541-J1541-K1541,IF(G1541=4,F1541,IF(G1541=5,F1541*10/11,IF(G1541=7,F1541*10/11,0))))),0)</f>
        <v>0</v>
      </c>
      <c r="J1541" s="818">
        <f>ROUND(IF(G1541=1,F1541/23,IF(G1541=3,F1541/12,IF(G1541=5,F1541-I1541,IF(G1541=8,F1541,0)))),0)</f>
        <v>0</v>
      </c>
      <c r="K1541" s="819">
        <f>ROUND(IF(G1541=1,F1541/23,IF(G1541=3,F1541/12,IF(G1541=6,F1541,IF(G1541=7,F1541-I1541,0)))),0)</f>
        <v>0</v>
      </c>
      <c r="L1541" s="820">
        <f>IF(G1541=6,F1541,0)</f>
        <v>0</v>
      </c>
      <c r="P1541" s="768" t="n"/>
      <c r="Q1541" s="769" t="str">
        <f>IF($F1541="","",IFERROR(VLOOKUP($C1541&amp;"|"&amp;$D1541,科目表!$A$5:$B$200,2,FALSE),"※未登録"))</f>
        <v/>
      </c>
      <c r="R1541" s="769" t="str">
        <f>IF($F1541="","",$I1541+$J1541+$K1541)</f>
        <v/>
      </c>
      <c r="S1541" s="769" t="str">
        <f>IF(OR($F1541="",$P1541="支払なし",$H1541=0,$Q1541=""),"",$Q1541&amp;"|S|"&amp;(COUNTIF(S$4:S1540,$Q1541&amp;"|S|*")+1))</f>
        <v/>
      </c>
      <c r="T1541" s="769" t="str">
        <f>IF(OR($F1541="",$P1541="支払なし",$R1541=0,$Q1541=""),"",$Q1541&amp;"|L|"&amp;(COUNTIF(T$4:T1540,$Q1541&amp;"|L|*")+1))</f>
        <v/>
      </c>
      <c r="U1541" s="769" t="str">
        <f>IF($F1541="","",13)</f>
        <v/>
      </c>
    </row>
    <row r="1542" ht="16.5" customHeight="1" s="186">
      <c r="A1542" s="760" t="n"/>
      <c r="B1542" s="760" t="n"/>
      <c r="C1542" s="762" t="n"/>
      <c r="D1542" s="762" t="n"/>
      <c r="E1542" s="775" t="n"/>
      <c r="F1542" s="821" t="n"/>
      <c r="G1542" s="821" t="n"/>
      <c r="H1542" s="818">
        <f>IF(G1542=1,F1542-I1542-J1542-K1542,IF(G1542=2,F1542,0))</f>
        <v>0</v>
      </c>
      <c r="I1542" s="818">
        <f>ROUND(IF(G1542=1,F1542*10/23,IF(G1542=3,F1542-J1542-K1542,IF(G1542=4,F1542,IF(G1542=5,F1542*10/11,IF(G1542=7,F1542*10/11,0))))),0)</f>
        <v>0</v>
      </c>
      <c r="J1542" s="818">
        <f>ROUND(IF(G1542=1,F1542/23,IF(G1542=3,F1542/12,IF(G1542=5,F1542-I1542,IF(G1542=8,F1542,0)))),0)</f>
        <v>0</v>
      </c>
      <c r="K1542" s="819">
        <f>ROUND(IF(G1542=1,F1542/23,IF(G1542=3,F1542/12,IF(G1542=6,F1542,IF(G1542=7,F1542-I1542,0)))),0)</f>
        <v>0</v>
      </c>
      <c r="L1542" s="820">
        <f>IF(G1542=6,F1542,0)</f>
        <v>0</v>
      </c>
      <c r="P1542" s="768" t="n"/>
      <c r="Q1542" s="769" t="str">
        <f>IF($F1542="","",IFERROR(VLOOKUP($C1542&amp;"|"&amp;$D1542,科目表!$A$5:$B$200,2,FALSE),"※未登録"))</f>
        <v/>
      </c>
      <c r="R1542" s="769" t="str">
        <f>IF($F1542="","",$I1542+$J1542+$K1542)</f>
        <v/>
      </c>
      <c r="S1542" s="769" t="str">
        <f>IF(OR($F1542="",$P1542="支払なし",$H1542=0,$Q1542=""),"",$Q1542&amp;"|S|"&amp;(COUNTIF(S$4:S1541,$Q1542&amp;"|S|*")+1))</f>
        <v/>
      </c>
      <c r="T1542" s="769" t="str">
        <f>IF(OR($F1542="",$P1542="支払なし",$R1542=0,$Q1542=""),"",$Q1542&amp;"|L|"&amp;(COUNTIF(T$4:T1541,$Q1542&amp;"|L|*")+1))</f>
        <v/>
      </c>
      <c r="U1542" s="769" t="str">
        <f>IF($F1542="","",13)</f>
        <v/>
      </c>
    </row>
    <row r="1543" ht="16.5" customHeight="1" s="186">
      <c r="A1543" s="760" t="n"/>
      <c r="B1543" s="760" t="n"/>
      <c r="C1543" s="762" t="n"/>
      <c r="D1543" s="762" t="n"/>
      <c r="E1543" s="775" t="n"/>
      <c r="F1543" s="821" t="n"/>
      <c r="G1543" s="821" t="n"/>
      <c r="H1543" s="818">
        <f>IF(G1543=1,F1543-I1543-J1543-K1543,IF(G1543=2,F1543,0))</f>
        <v>0</v>
      </c>
      <c r="I1543" s="818">
        <f>ROUND(IF(G1543=1,F1543*10/23,IF(G1543=3,F1543-J1543-K1543,IF(G1543=4,F1543,IF(G1543=5,F1543*10/11,IF(G1543=7,F1543*10/11,0))))),0)</f>
        <v>0</v>
      </c>
      <c r="J1543" s="818">
        <f>ROUND(IF(G1543=1,F1543/23,IF(G1543=3,F1543/12,IF(G1543=5,F1543-I1543,IF(G1543=8,F1543,0)))),0)</f>
        <v>0</v>
      </c>
      <c r="K1543" s="819">
        <f>ROUND(IF(G1543=1,F1543/23,IF(G1543=3,F1543/12,IF(G1543=6,F1543,IF(G1543=7,F1543-I1543,0)))),0)</f>
        <v>0</v>
      </c>
      <c r="L1543" s="820">
        <f>IF(G1543=6,F1543,0)</f>
        <v>0</v>
      </c>
      <c r="P1543" s="768" t="n"/>
      <c r="Q1543" s="769" t="str">
        <f>IF($F1543="","",IFERROR(VLOOKUP($C1543&amp;"|"&amp;$D1543,科目表!$A$5:$B$200,2,FALSE),"※未登録"))</f>
        <v/>
      </c>
      <c r="R1543" s="769" t="str">
        <f>IF($F1543="","",$I1543+$J1543+$K1543)</f>
        <v/>
      </c>
      <c r="S1543" s="769" t="str">
        <f>IF(OR($F1543="",$P1543="支払なし",$H1543=0,$Q1543=""),"",$Q1543&amp;"|S|"&amp;(COUNTIF(S$4:S1542,$Q1543&amp;"|S|*")+1))</f>
        <v/>
      </c>
      <c r="T1543" s="769" t="str">
        <f>IF(OR($F1543="",$P1543="支払なし",$R1543=0,$Q1543=""),"",$Q1543&amp;"|L|"&amp;(COUNTIF(T$4:T1542,$Q1543&amp;"|L|*")+1))</f>
        <v/>
      </c>
      <c r="U1543" s="769" t="str">
        <f>IF($F1543="","",13)</f>
        <v/>
      </c>
    </row>
    <row r="1544" ht="16.5" customHeight="1" s="186">
      <c r="A1544" s="760" t="n"/>
      <c r="B1544" s="760" t="n"/>
      <c r="C1544" s="762" t="n"/>
      <c r="D1544" s="762" t="n"/>
      <c r="E1544" s="775" t="n"/>
      <c r="F1544" s="821" t="n"/>
      <c r="G1544" s="821" t="n"/>
      <c r="H1544" s="818">
        <f>IF(G1544=1,F1544-I1544-J1544-K1544,IF(G1544=2,F1544,0))</f>
        <v>0</v>
      </c>
      <c r="I1544" s="818">
        <f>ROUND(IF(G1544=1,F1544*10/23,IF(G1544=3,F1544-J1544-K1544,IF(G1544=4,F1544,IF(G1544=5,F1544*10/11,IF(G1544=7,F1544*10/11,0))))),0)</f>
        <v>0</v>
      </c>
      <c r="J1544" s="818">
        <f>ROUND(IF(G1544=1,F1544/23,IF(G1544=3,F1544/12,IF(G1544=5,F1544-I1544,IF(G1544=8,F1544,0)))),0)</f>
        <v>0</v>
      </c>
      <c r="K1544" s="819">
        <f>ROUND(IF(G1544=1,F1544/23,IF(G1544=3,F1544/12,IF(G1544=6,F1544,IF(G1544=7,F1544-I1544,0)))),0)</f>
        <v>0</v>
      </c>
      <c r="L1544" s="820">
        <f>IF(G1544=6,F1544,0)</f>
        <v>0</v>
      </c>
      <c r="P1544" s="768" t="n"/>
      <c r="Q1544" s="769" t="str">
        <f>IF($F1544="","",IFERROR(VLOOKUP($C1544&amp;"|"&amp;$D1544,科目表!$A$5:$B$200,2,FALSE),"※未登録"))</f>
        <v/>
      </c>
      <c r="R1544" s="769" t="str">
        <f>IF($F1544="","",$I1544+$J1544+$K1544)</f>
        <v/>
      </c>
      <c r="S1544" s="769" t="str">
        <f>IF(OR($F1544="",$P1544="支払なし",$H1544=0,$Q1544=""),"",$Q1544&amp;"|S|"&amp;(COUNTIF(S$4:S1543,$Q1544&amp;"|S|*")+1))</f>
        <v/>
      </c>
      <c r="T1544" s="769" t="str">
        <f>IF(OR($F1544="",$P1544="支払なし",$R1544=0,$Q1544=""),"",$Q1544&amp;"|L|"&amp;(COUNTIF(T$4:T1543,$Q1544&amp;"|L|*")+1))</f>
        <v/>
      </c>
      <c r="U1544" s="769" t="str">
        <f>IF($F1544="","",13)</f>
        <v/>
      </c>
    </row>
    <row r="1545" ht="16.5" customHeight="1" s="186">
      <c r="A1545" s="760" t="n"/>
      <c r="B1545" s="760" t="n"/>
      <c r="C1545" s="762" t="n"/>
      <c r="D1545" s="762" t="n"/>
      <c r="E1545" s="775" t="n"/>
      <c r="F1545" s="821" t="n"/>
      <c r="G1545" s="821" t="n"/>
      <c r="H1545" s="818">
        <f>IF(G1545=1,F1545-I1545-J1545-K1545,IF(G1545=2,F1545,0))</f>
        <v>0</v>
      </c>
      <c r="I1545" s="818">
        <f>ROUND(IF(G1545=1,F1545*10/23,IF(G1545=3,F1545-J1545-K1545,IF(G1545=4,F1545,IF(G1545=5,F1545*10/11,IF(G1545=7,F1545*10/11,0))))),0)</f>
        <v>0</v>
      </c>
      <c r="J1545" s="818">
        <f>ROUND(IF(G1545=1,F1545/23,IF(G1545=3,F1545/12,IF(G1545=5,F1545-I1545,IF(G1545=8,F1545,0)))),0)</f>
        <v>0</v>
      </c>
      <c r="K1545" s="819">
        <f>ROUND(IF(G1545=1,F1545/23,IF(G1545=3,F1545/12,IF(G1545=6,F1545,IF(G1545=7,F1545-I1545,0)))),0)</f>
        <v>0</v>
      </c>
      <c r="L1545" s="820">
        <f>IF(G1545=6,F1545,0)</f>
        <v>0</v>
      </c>
      <c r="P1545" s="768" t="n"/>
      <c r="Q1545" s="769" t="str">
        <f>IF($F1545="","",IFERROR(VLOOKUP($C1545&amp;"|"&amp;$D1545,科目表!$A$5:$B$200,2,FALSE),"※未登録"))</f>
        <v/>
      </c>
      <c r="R1545" s="769" t="str">
        <f>IF($F1545="","",$I1545+$J1545+$K1545)</f>
        <v/>
      </c>
      <c r="S1545" s="769" t="str">
        <f>IF(OR($F1545="",$P1545="支払なし",$H1545=0,$Q1545=""),"",$Q1545&amp;"|S|"&amp;(COUNTIF(S$4:S1544,$Q1545&amp;"|S|*")+1))</f>
        <v/>
      </c>
      <c r="T1545" s="769" t="str">
        <f>IF(OR($F1545="",$P1545="支払なし",$R1545=0,$Q1545=""),"",$Q1545&amp;"|L|"&amp;(COUNTIF(T$4:T1544,$Q1545&amp;"|L|*")+1))</f>
        <v/>
      </c>
      <c r="U1545" s="769" t="str">
        <f>IF($F1545="","",13)</f>
        <v/>
      </c>
    </row>
    <row r="1546" ht="16.5" customHeight="1" s="186">
      <c r="A1546" s="760" t="n"/>
      <c r="B1546" s="760" t="n"/>
      <c r="C1546" s="762" t="n"/>
      <c r="D1546" s="762" t="n"/>
      <c r="E1546" s="775" t="n"/>
      <c r="F1546" s="821" t="n"/>
      <c r="G1546" s="821" t="n"/>
      <c r="H1546" s="818">
        <f>IF(G1546=1,F1546-I1546-J1546-K1546,IF(G1546=2,F1546,0))</f>
        <v>0</v>
      </c>
      <c r="I1546" s="818">
        <f>ROUND(IF(G1546=1,F1546*10/23,IF(G1546=3,F1546-J1546-K1546,IF(G1546=4,F1546,IF(G1546=5,F1546*10/11,IF(G1546=7,F1546*10/11,0))))),0)</f>
        <v>0</v>
      </c>
      <c r="J1546" s="818">
        <f>ROUND(IF(G1546=1,F1546/23,IF(G1546=3,F1546/12,IF(G1546=5,F1546-I1546,IF(G1546=8,F1546,0)))),0)</f>
        <v>0</v>
      </c>
      <c r="K1546" s="819">
        <f>ROUND(IF(G1546=1,F1546/23,IF(G1546=3,F1546/12,IF(G1546=6,F1546,IF(G1546=7,F1546-I1546,0)))),0)</f>
        <v>0</v>
      </c>
      <c r="L1546" s="820">
        <f>IF(G1546=6,F1546,0)</f>
        <v>0</v>
      </c>
      <c r="P1546" s="768" t="n"/>
      <c r="Q1546" s="769" t="str">
        <f>IF($F1546="","",IFERROR(VLOOKUP($C1546&amp;"|"&amp;$D1546,科目表!$A$5:$B$200,2,FALSE),"※未登録"))</f>
        <v/>
      </c>
      <c r="R1546" s="769" t="str">
        <f>IF($F1546="","",$I1546+$J1546+$K1546)</f>
        <v/>
      </c>
      <c r="S1546" s="769" t="str">
        <f>IF(OR($F1546="",$P1546="支払なし",$H1546=0,$Q1546=""),"",$Q1546&amp;"|S|"&amp;(COUNTIF(S$4:S1545,$Q1546&amp;"|S|*")+1))</f>
        <v/>
      </c>
      <c r="T1546" s="769" t="str">
        <f>IF(OR($F1546="",$P1546="支払なし",$R1546=0,$Q1546=""),"",$Q1546&amp;"|L|"&amp;(COUNTIF(T$4:T1545,$Q1546&amp;"|L|*")+1))</f>
        <v/>
      </c>
      <c r="U1546" s="769" t="str">
        <f>IF($F1546="","",13)</f>
        <v/>
      </c>
    </row>
    <row r="1547" ht="16.5" customHeight="1" s="186">
      <c r="A1547" s="760" t="n"/>
      <c r="B1547" s="760" t="n"/>
      <c r="C1547" s="762" t="n"/>
      <c r="D1547" s="762" t="n"/>
      <c r="E1547" s="775" t="n"/>
      <c r="F1547" s="821" t="n"/>
      <c r="G1547" s="821" t="n"/>
      <c r="H1547" s="818">
        <f>IF(G1547=1,F1547-I1547-J1547-K1547,IF(G1547=2,F1547,0))</f>
        <v>0</v>
      </c>
      <c r="I1547" s="818">
        <f>ROUND(IF(G1547=1,F1547*10/23,IF(G1547=3,F1547-J1547-K1547,IF(G1547=4,F1547,IF(G1547=5,F1547*10/11,IF(G1547=7,F1547*10/11,0))))),0)</f>
        <v>0</v>
      </c>
      <c r="J1547" s="818">
        <f>ROUND(IF(G1547=1,F1547/23,IF(G1547=3,F1547/12,IF(G1547=5,F1547-I1547,IF(G1547=8,F1547,0)))),0)</f>
        <v>0</v>
      </c>
      <c r="K1547" s="819">
        <f>ROUND(IF(G1547=1,F1547/23,IF(G1547=3,F1547/12,IF(G1547=6,F1547,IF(G1547=7,F1547-I1547,0)))),0)</f>
        <v>0</v>
      </c>
      <c r="L1547" s="820">
        <f>IF(G1547=6,F1547,0)</f>
        <v>0</v>
      </c>
      <c r="P1547" s="768" t="n"/>
      <c r="Q1547" s="769" t="str">
        <f>IF($F1547="","",IFERROR(VLOOKUP($C1547&amp;"|"&amp;$D1547,科目表!$A$5:$B$200,2,FALSE),"※未登録"))</f>
        <v/>
      </c>
      <c r="R1547" s="769" t="str">
        <f>IF($F1547="","",$I1547+$J1547+$K1547)</f>
        <v/>
      </c>
      <c r="S1547" s="769" t="str">
        <f>IF(OR($F1547="",$P1547="支払なし",$H1547=0,$Q1547=""),"",$Q1547&amp;"|S|"&amp;(COUNTIF(S$4:S1546,$Q1547&amp;"|S|*")+1))</f>
        <v/>
      </c>
      <c r="T1547" s="769" t="str">
        <f>IF(OR($F1547="",$P1547="支払なし",$R1547=0,$Q1547=""),"",$Q1547&amp;"|L|"&amp;(COUNTIF(T$4:T1546,$Q1547&amp;"|L|*")+1))</f>
        <v/>
      </c>
      <c r="U1547" s="769" t="str">
        <f>IF($F1547="","",13)</f>
        <v/>
      </c>
    </row>
    <row r="1548" ht="16.5" customHeight="1" s="186">
      <c r="A1548" s="760" t="n"/>
      <c r="B1548" s="760" t="n"/>
      <c r="C1548" s="762" t="n"/>
      <c r="D1548" s="762" t="n"/>
      <c r="E1548" s="775" t="n"/>
      <c r="F1548" s="821" t="n"/>
      <c r="G1548" s="821" t="n"/>
      <c r="H1548" s="818">
        <f>IF(G1548=1,F1548-I1548-J1548-K1548,IF(G1548=2,F1548,0))</f>
        <v>0</v>
      </c>
      <c r="I1548" s="818">
        <f>ROUND(IF(G1548=1,F1548*10/23,IF(G1548=3,F1548-J1548-K1548,IF(G1548=4,F1548,IF(G1548=5,F1548*10/11,IF(G1548=7,F1548*10/11,0))))),0)</f>
        <v>0</v>
      </c>
      <c r="J1548" s="818">
        <f>ROUND(IF(G1548=1,F1548/23,IF(G1548=3,F1548/12,IF(G1548=5,F1548-I1548,IF(G1548=8,F1548,0)))),0)</f>
        <v>0</v>
      </c>
      <c r="K1548" s="819">
        <f>ROUND(IF(G1548=1,F1548/23,IF(G1548=3,F1548/12,IF(G1548=6,F1548,IF(G1548=7,F1548-I1548,0)))),0)</f>
        <v>0</v>
      </c>
      <c r="L1548" s="820">
        <f>IF(G1548=6,F1548,0)</f>
        <v>0</v>
      </c>
      <c r="P1548" s="768" t="n"/>
      <c r="Q1548" s="769" t="str">
        <f>IF($F1548="","",IFERROR(VLOOKUP($C1548&amp;"|"&amp;$D1548,科目表!$A$5:$B$200,2,FALSE),"※未登録"))</f>
        <v/>
      </c>
      <c r="R1548" s="769" t="str">
        <f>IF($F1548="","",$I1548+$J1548+$K1548)</f>
        <v/>
      </c>
      <c r="S1548" s="769" t="str">
        <f>IF(OR($F1548="",$P1548="支払なし",$H1548=0,$Q1548=""),"",$Q1548&amp;"|S|"&amp;(COUNTIF(S$4:S1547,$Q1548&amp;"|S|*")+1))</f>
        <v/>
      </c>
      <c r="T1548" s="769" t="str">
        <f>IF(OR($F1548="",$P1548="支払なし",$R1548=0,$Q1548=""),"",$Q1548&amp;"|L|"&amp;(COUNTIF(T$4:T1547,$Q1548&amp;"|L|*")+1))</f>
        <v/>
      </c>
      <c r="U1548" s="769" t="str">
        <f>IF($F1548="","",13)</f>
        <v/>
      </c>
    </row>
    <row r="1549" ht="16.5" customHeight="1" s="186">
      <c r="A1549" s="760" t="n"/>
      <c r="B1549" s="760" t="n"/>
      <c r="C1549" s="762" t="n"/>
      <c r="D1549" s="762" t="n"/>
      <c r="E1549" s="775" t="n"/>
      <c r="F1549" s="821" t="n"/>
      <c r="G1549" s="821" t="n"/>
      <c r="H1549" s="818">
        <f>IF(G1549=1,F1549-I1549-J1549-K1549,IF(G1549=2,F1549,0))</f>
        <v>0</v>
      </c>
      <c r="I1549" s="818">
        <f>ROUND(IF(G1549=1,F1549*10/23,IF(G1549=3,F1549-J1549-K1549,IF(G1549=4,F1549,IF(G1549=5,F1549*10/11,IF(G1549=7,F1549*10/11,0))))),0)</f>
        <v>0</v>
      </c>
      <c r="J1549" s="818">
        <f>ROUND(IF(G1549=1,F1549/23,IF(G1549=3,F1549/12,IF(G1549=5,F1549-I1549,IF(G1549=8,F1549,0)))),0)</f>
        <v>0</v>
      </c>
      <c r="K1549" s="819">
        <f>ROUND(IF(G1549=1,F1549/23,IF(G1549=3,F1549/12,IF(G1549=6,F1549,IF(G1549=7,F1549-I1549,0)))),0)</f>
        <v>0</v>
      </c>
      <c r="L1549" s="820">
        <f>IF(G1549=6,F1549,0)</f>
        <v>0</v>
      </c>
      <c r="P1549" s="768" t="n"/>
      <c r="Q1549" s="769" t="str">
        <f>IF($F1549="","",IFERROR(VLOOKUP($C1549&amp;"|"&amp;$D1549,科目表!$A$5:$B$200,2,FALSE),"※未登録"))</f>
        <v/>
      </c>
      <c r="R1549" s="769" t="str">
        <f>IF($F1549="","",$I1549+$J1549+$K1549)</f>
        <v/>
      </c>
      <c r="S1549" s="769" t="str">
        <f>IF(OR($F1549="",$P1549="支払なし",$H1549=0,$Q1549=""),"",$Q1549&amp;"|S|"&amp;(COUNTIF(S$4:S1548,$Q1549&amp;"|S|*")+1))</f>
        <v/>
      </c>
      <c r="T1549" s="769" t="str">
        <f>IF(OR($F1549="",$P1549="支払なし",$R1549=0,$Q1549=""),"",$Q1549&amp;"|L|"&amp;(COUNTIF(T$4:T1548,$Q1549&amp;"|L|*")+1))</f>
        <v/>
      </c>
      <c r="U1549" s="769" t="str">
        <f>IF($F1549="","",13)</f>
        <v/>
      </c>
    </row>
    <row r="1550" ht="16.5" customHeight="1" s="186">
      <c r="A1550" s="760" t="n"/>
      <c r="B1550" s="760" t="n"/>
      <c r="C1550" s="762" t="n"/>
      <c r="D1550" s="762" t="n"/>
      <c r="E1550" s="775" t="n"/>
      <c r="F1550" s="821" t="n"/>
      <c r="G1550" s="821" t="n"/>
      <c r="H1550" s="818">
        <f>IF(G1550=1,F1550-I1550-J1550-K1550,IF(G1550=2,F1550,0))</f>
        <v>0</v>
      </c>
      <c r="I1550" s="818">
        <f>ROUND(IF(G1550=1,F1550*10/23,IF(G1550=3,F1550-J1550-K1550,IF(G1550=4,F1550,IF(G1550=5,F1550*10/11,IF(G1550=7,F1550*10/11,0))))),0)</f>
        <v>0</v>
      </c>
      <c r="J1550" s="818">
        <f>ROUND(IF(G1550=1,F1550/23,IF(G1550=3,F1550/12,IF(G1550=5,F1550-I1550,IF(G1550=8,F1550,0)))),0)</f>
        <v>0</v>
      </c>
      <c r="K1550" s="819">
        <f>ROUND(IF(G1550=1,F1550/23,IF(G1550=3,F1550/12,IF(G1550=6,F1550,IF(G1550=7,F1550-I1550,0)))),0)</f>
        <v>0</v>
      </c>
      <c r="L1550" s="820">
        <f>IF(G1550=6,F1550,0)</f>
        <v>0</v>
      </c>
      <c r="P1550" s="768" t="n"/>
      <c r="Q1550" s="769" t="str">
        <f>IF($F1550="","",IFERROR(VLOOKUP($C1550&amp;"|"&amp;$D1550,科目表!$A$5:$B$200,2,FALSE),"※未登録"))</f>
        <v/>
      </c>
      <c r="R1550" s="769" t="str">
        <f>IF($F1550="","",$I1550+$J1550+$K1550)</f>
        <v/>
      </c>
      <c r="S1550" s="769" t="str">
        <f>IF(OR($F1550="",$P1550="支払なし",$H1550=0,$Q1550=""),"",$Q1550&amp;"|S|"&amp;(COUNTIF(S$4:S1549,$Q1550&amp;"|S|*")+1))</f>
        <v/>
      </c>
      <c r="T1550" s="769" t="str">
        <f>IF(OR($F1550="",$P1550="支払なし",$R1550=0,$Q1550=""),"",$Q1550&amp;"|L|"&amp;(COUNTIF(T$4:T1549,$Q1550&amp;"|L|*")+1))</f>
        <v/>
      </c>
      <c r="U1550" s="769" t="str">
        <f>IF($F1550="","",13)</f>
        <v/>
      </c>
    </row>
    <row r="1551" ht="16.5" customHeight="1" s="186">
      <c r="A1551" s="760" t="n"/>
      <c r="B1551" s="760" t="n"/>
      <c r="C1551" s="762" t="n"/>
      <c r="D1551" s="762" t="n"/>
      <c r="E1551" s="775" t="n"/>
      <c r="F1551" s="821" t="n"/>
      <c r="G1551" s="821" t="n"/>
      <c r="H1551" s="818">
        <f>IF(G1551=1,F1551-I1551-J1551-K1551,IF(G1551=2,F1551,0))</f>
        <v>0</v>
      </c>
      <c r="I1551" s="818">
        <f>ROUND(IF(G1551=1,F1551*10/23,IF(G1551=3,F1551-J1551-K1551,IF(G1551=4,F1551,IF(G1551=5,F1551*10/11,IF(G1551=7,F1551*10/11,0))))),0)</f>
        <v>0</v>
      </c>
      <c r="J1551" s="818">
        <f>ROUND(IF(G1551=1,F1551/23,IF(G1551=3,F1551/12,IF(G1551=5,F1551-I1551,IF(G1551=8,F1551,0)))),0)</f>
        <v>0</v>
      </c>
      <c r="K1551" s="819">
        <f>ROUND(IF(G1551=1,F1551/23,IF(G1551=3,F1551/12,IF(G1551=6,F1551,IF(G1551=7,F1551-I1551,0)))),0)</f>
        <v>0</v>
      </c>
      <c r="L1551" s="820">
        <f>IF(G1551=6,F1551,0)</f>
        <v>0</v>
      </c>
      <c r="P1551" s="768" t="n"/>
      <c r="Q1551" s="769" t="str">
        <f>IF($F1551="","",IFERROR(VLOOKUP($C1551&amp;"|"&amp;$D1551,科目表!$A$5:$B$200,2,FALSE),"※未登録"))</f>
        <v/>
      </c>
      <c r="R1551" s="769" t="str">
        <f>IF($F1551="","",$I1551+$J1551+$K1551)</f>
        <v/>
      </c>
      <c r="S1551" s="769" t="str">
        <f>IF(OR($F1551="",$P1551="支払なし",$H1551=0,$Q1551=""),"",$Q1551&amp;"|S|"&amp;(COUNTIF(S$4:S1550,$Q1551&amp;"|S|*")+1))</f>
        <v/>
      </c>
      <c r="T1551" s="769" t="str">
        <f>IF(OR($F1551="",$P1551="支払なし",$R1551=0,$Q1551=""),"",$Q1551&amp;"|L|"&amp;(COUNTIF(T$4:T1550,$Q1551&amp;"|L|*")+1))</f>
        <v/>
      </c>
      <c r="U1551" s="769" t="str">
        <f>IF($F1551="","",13)</f>
        <v/>
      </c>
    </row>
    <row r="1552" ht="16.5" customHeight="1" s="186">
      <c r="A1552" s="760" t="n"/>
      <c r="B1552" s="760" t="n"/>
      <c r="C1552" s="762" t="n"/>
      <c r="D1552" s="762" t="n"/>
      <c r="E1552" s="775" t="n"/>
      <c r="F1552" s="821" t="n"/>
      <c r="G1552" s="821" t="n"/>
      <c r="H1552" s="818">
        <f>IF(G1552=1,F1552-I1552-J1552-K1552,IF(G1552=2,F1552,0))</f>
        <v>0</v>
      </c>
      <c r="I1552" s="818">
        <f>ROUND(IF(G1552=1,F1552*10/23,IF(G1552=3,F1552-J1552-K1552,IF(G1552=4,F1552,IF(G1552=5,F1552*10/11,IF(G1552=7,F1552*10/11,0))))),0)</f>
        <v>0</v>
      </c>
      <c r="J1552" s="818">
        <f>ROUND(IF(G1552=1,F1552/23,IF(G1552=3,F1552/12,IF(G1552=5,F1552-I1552,IF(G1552=8,F1552,0)))),0)</f>
        <v>0</v>
      </c>
      <c r="K1552" s="819">
        <f>ROUND(IF(G1552=1,F1552/23,IF(G1552=3,F1552/12,IF(G1552=6,F1552,IF(G1552=7,F1552-I1552,0)))),0)</f>
        <v>0</v>
      </c>
      <c r="L1552" s="820">
        <f>IF(G1552=6,F1552,0)</f>
        <v>0</v>
      </c>
      <c r="P1552" s="768" t="n"/>
      <c r="Q1552" s="769" t="str">
        <f>IF($F1552="","",IFERROR(VLOOKUP($C1552&amp;"|"&amp;$D1552,科目表!$A$5:$B$200,2,FALSE),"※未登録"))</f>
        <v/>
      </c>
      <c r="R1552" s="769" t="str">
        <f>IF($F1552="","",$I1552+$J1552+$K1552)</f>
        <v/>
      </c>
      <c r="S1552" s="769" t="str">
        <f>IF(OR($F1552="",$P1552="支払なし",$H1552=0,$Q1552=""),"",$Q1552&amp;"|S|"&amp;(COUNTIF(S$4:S1551,$Q1552&amp;"|S|*")+1))</f>
        <v/>
      </c>
      <c r="T1552" s="769" t="str">
        <f>IF(OR($F1552="",$P1552="支払なし",$R1552=0,$Q1552=""),"",$Q1552&amp;"|L|"&amp;(COUNTIF(T$4:T1551,$Q1552&amp;"|L|*")+1))</f>
        <v/>
      </c>
      <c r="U1552" s="769" t="str">
        <f>IF($F1552="","",13)</f>
        <v/>
      </c>
    </row>
    <row r="1553" ht="16.5" customHeight="1" s="186">
      <c r="A1553" s="760" t="n"/>
      <c r="B1553" s="760" t="n"/>
      <c r="C1553" s="762" t="n"/>
      <c r="D1553" s="762" t="n"/>
      <c r="E1553" s="775" t="n"/>
      <c r="F1553" s="821" t="n"/>
      <c r="G1553" s="821" t="n"/>
      <c r="H1553" s="818">
        <f>IF(G1553=1,F1553-I1553-J1553-K1553,IF(G1553=2,F1553,0))</f>
        <v>0</v>
      </c>
      <c r="I1553" s="818">
        <f>ROUND(IF(G1553=1,F1553*10/23,IF(G1553=3,F1553-J1553-K1553,IF(G1553=4,F1553,IF(G1553=5,F1553*10/11,IF(G1553=7,F1553*10/11,0))))),0)</f>
        <v>0</v>
      </c>
      <c r="J1553" s="818">
        <f>ROUND(IF(G1553=1,F1553/23,IF(G1553=3,F1553/12,IF(G1553=5,F1553-I1553,IF(G1553=8,F1553,0)))),0)</f>
        <v>0</v>
      </c>
      <c r="K1553" s="819">
        <f>ROUND(IF(G1553=1,F1553/23,IF(G1553=3,F1553/12,IF(G1553=6,F1553,IF(G1553=7,F1553-I1553,0)))),0)</f>
        <v>0</v>
      </c>
      <c r="L1553" s="820">
        <f>IF(G1553=6,F1553,0)</f>
        <v>0</v>
      </c>
      <c r="P1553" s="768" t="n"/>
      <c r="Q1553" s="769" t="str">
        <f>IF($F1553="","",IFERROR(VLOOKUP($C1553&amp;"|"&amp;$D1553,科目表!$A$5:$B$200,2,FALSE),"※未登録"))</f>
        <v/>
      </c>
      <c r="R1553" s="769" t="str">
        <f>IF($F1553="","",$I1553+$J1553+$K1553)</f>
        <v/>
      </c>
      <c r="S1553" s="769" t="str">
        <f>IF(OR($F1553="",$P1553="支払なし",$H1553=0,$Q1553=""),"",$Q1553&amp;"|S|"&amp;(COUNTIF(S$4:S1552,$Q1553&amp;"|S|*")+1))</f>
        <v/>
      </c>
      <c r="T1553" s="769" t="str">
        <f>IF(OR($F1553="",$P1553="支払なし",$R1553=0,$Q1553=""),"",$Q1553&amp;"|L|"&amp;(COUNTIF(T$4:T1552,$Q1553&amp;"|L|*")+1))</f>
        <v/>
      </c>
      <c r="U1553" s="769" t="str">
        <f>IF($F1553="","",13)</f>
        <v/>
      </c>
    </row>
    <row r="1554" ht="16.5" customHeight="1" s="186">
      <c r="A1554" s="760" t="n"/>
      <c r="B1554" s="760" t="n"/>
      <c r="C1554" s="762" t="n"/>
      <c r="D1554" s="762" t="n"/>
      <c r="E1554" s="775" t="n"/>
      <c r="F1554" s="821" t="n"/>
      <c r="G1554" s="821" t="n"/>
      <c r="H1554" s="818">
        <f>IF(G1554=1,F1554-I1554-J1554-K1554,IF(G1554=2,F1554,0))</f>
        <v>0</v>
      </c>
      <c r="I1554" s="818">
        <f>ROUND(IF(G1554=1,F1554*10/23,IF(G1554=3,F1554-J1554-K1554,IF(G1554=4,F1554,IF(G1554=5,F1554*10/11,IF(G1554=7,F1554*10/11,0))))),0)</f>
        <v>0</v>
      </c>
      <c r="J1554" s="818">
        <f>ROUND(IF(G1554=1,F1554/23,IF(G1554=3,F1554/12,IF(G1554=5,F1554-I1554,IF(G1554=8,F1554,0)))),0)</f>
        <v>0</v>
      </c>
      <c r="K1554" s="819">
        <f>ROUND(IF(G1554=1,F1554/23,IF(G1554=3,F1554/12,IF(G1554=6,F1554,IF(G1554=7,F1554-I1554,0)))),0)</f>
        <v>0</v>
      </c>
      <c r="L1554" s="820">
        <f>IF(G1554=6,F1554,0)</f>
        <v>0</v>
      </c>
      <c r="P1554" s="768" t="n"/>
      <c r="Q1554" s="769" t="str">
        <f>IF($F1554="","",IFERROR(VLOOKUP($C1554&amp;"|"&amp;$D1554,科目表!$A$5:$B$200,2,FALSE),"※未登録"))</f>
        <v/>
      </c>
      <c r="R1554" s="769" t="str">
        <f>IF($F1554="","",$I1554+$J1554+$K1554)</f>
        <v/>
      </c>
      <c r="S1554" s="769" t="str">
        <f>IF(OR($F1554="",$P1554="支払なし",$H1554=0,$Q1554=""),"",$Q1554&amp;"|S|"&amp;(COUNTIF(S$4:S1553,$Q1554&amp;"|S|*")+1))</f>
        <v/>
      </c>
      <c r="T1554" s="769" t="str">
        <f>IF(OR($F1554="",$P1554="支払なし",$R1554=0,$Q1554=""),"",$Q1554&amp;"|L|"&amp;(COUNTIF(T$4:T1553,$Q1554&amp;"|L|*")+1))</f>
        <v/>
      </c>
      <c r="U1554" s="769" t="str">
        <f>IF($F1554="","",13)</f>
        <v/>
      </c>
    </row>
    <row r="1555" ht="16.5" customHeight="1" s="186">
      <c r="A1555" s="760" t="n"/>
      <c r="B1555" s="760" t="n"/>
      <c r="C1555" s="762" t="n"/>
      <c r="D1555" s="762" t="n"/>
      <c r="E1555" s="775" t="n"/>
      <c r="F1555" s="821" t="n"/>
      <c r="G1555" s="821" t="n"/>
      <c r="H1555" s="818">
        <f>IF(G1555=1,F1555-I1555-J1555-K1555,IF(G1555=2,F1555,0))</f>
        <v>0</v>
      </c>
      <c r="I1555" s="818">
        <f>ROUND(IF(G1555=1,F1555*10/23,IF(G1555=3,F1555-J1555-K1555,IF(G1555=4,F1555,IF(G1555=5,F1555*10/11,IF(G1555=7,F1555*10/11,0))))),0)</f>
        <v>0</v>
      </c>
      <c r="J1555" s="818">
        <f>ROUND(IF(G1555=1,F1555/23,IF(G1555=3,F1555/12,IF(G1555=5,F1555-I1555,IF(G1555=8,F1555,0)))),0)</f>
        <v>0</v>
      </c>
      <c r="K1555" s="819">
        <f>ROUND(IF(G1555=1,F1555/23,IF(G1555=3,F1555/12,IF(G1555=6,F1555,IF(G1555=7,F1555-I1555,0)))),0)</f>
        <v>0</v>
      </c>
      <c r="L1555" s="820">
        <f>IF(G1555=6,F1555,0)</f>
        <v>0</v>
      </c>
      <c r="P1555" s="768" t="n"/>
      <c r="Q1555" s="769" t="str">
        <f>IF($F1555="","",IFERROR(VLOOKUP($C1555&amp;"|"&amp;$D1555,科目表!$A$5:$B$200,2,FALSE),"※未登録"))</f>
        <v/>
      </c>
      <c r="R1555" s="769" t="str">
        <f>IF($F1555="","",$I1555+$J1555+$K1555)</f>
        <v/>
      </c>
      <c r="S1555" s="769" t="str">
        <f>IF(OR($F1555="",$P1555="支払なし",$H1555=0,$Q1555=""),"",$Q1555&amp;"|S|"&amp;(COUNTIF(S$4:S1554,$Q1555&amp;"|S|*")+1))</f>
        <v/>
      </c>
      <c r="T1555" s="769" t="str">
        <f>IF(OR($F1555="",$P1555="支払なし",$R1555=0,$Q1555=""),"",$Q1555&amp;"|L|"&amp;(COUNTIF(T$4:T1554,$Q1555&amp;"|L|*")+1))</f>
        <v/>
      </c>
      <c r="U1555" s="769" t="str">
        <f>IF($F1555="","",13)</f>
        <v/>
      </c>
    </row>
    <row r="1556" ht="16.5" customHeight="1" s="186">
      <c r="A1556" s="760" t="n"/>
      <c r="B1556" s="760" t="n"/>
      <c r="C1556" s="762" t="n"/>
      <c r="D1556" s="762" t="n"/>
      <c r="E1556" s="775" t="n"/>
      <c r="F1556" s="821" t="n"/>
      <c r="G1556" s="821" t="n"/>
      <c r="H1556" s="818">
        <f>IF(G1556=1,F1556-I1556-J1556-K1556,IF(G1556=2,F1556,0))</f>
        <v>0</v>
      </c>
      <c r="I1556" s="818">
        <f>ROUND(IF(G1556=1,F1556*10/23,IF(G1556=3,F1556-J1556-K1556,IF(G1556=4,F1556,IF(G1556=5,F1556*10/11,IF(G1556=7,F1556*10/11,0))))),0)</f>
        <v>0</v>
      </c>
      <c r="J1556" s="818">
        <f>ROUND(IF(G1556=1,F1556/23,IF(G1556=3,F1556/12,IF(G1556=5,F1556-I1556,IF(G1556=8,F1556,0)))),0)</f>
        <v>0</v>
      </c>
      <c r="K1556" s="819">
        <f>ROUND(IF(G1556=1,F1556/23,IF(G1556=3,F1556/12,IF(G1556=6,F1556,IF(G1556=7,F1556-I1556,0)))),0)</f>
        <v>0</v>
      </c>
      <c r="L1556" s="820">
        <f>IF(G1556=6,F1556,0)</f>
        <v>0</v>
      </c>
      <c r="P1556" s="768" t="n"/>
      <c r="Q1556" s="769" t="str">
        <f>IF($F1556="","",IFERROR(VLOOKUP($C1556&amp;"|"&amp;$D1556,科目表!$A$5:$B$200,2,FALSE),"※未登録"))</f>
        <v/>
      </c>
      <c r="R1556" s="769" t="str">
        <f>IF($F1556="","",$I1556+$J1556+$K1556)</f>
        <v/>
      </c>
      <c r="S1556" s="769" t="str">
        <f>IF(OR($F1556="",$P1556="支払なし",$H1556=0,$Q1556=""),"",$Q1556&amp;"|S|"&amp;(COUNTIF(S$4:S1555,$Q1556&amp;"|S|*")+1))</f>
        <v/>
      </c>
      <c r="T1556" s="769" t="str">
        <f>IF(OR($F1556="",$P1556="支払なし",$R1556=0,$Q1556=""),"",$Q1556&amp;"|L|"&amp;(COUNTIF(T$4:T1555,$Q1556&amp;"|L|*")+1))</f>
        <v/>
      </c>
      <c r="U1556" s="769" t="str">
        <f>IF($F1556="","",13)</f>
        <v/>
      </c>
    </row>
    <row r="1557" ht="16.5" customHeight="1" s="186">
      <c r="A1557" s="760" t="n"/>
      <c r="B1557" s="760" t="n"/>
      <c r="C1557" s="762" t="n"/>
      <c r="D1557" s="762" t="n"/>
      <c r="E1557" s="775" t="n"/>
      <c r="F1557" s="821" t="n"/>
      <c r="G1557" s="821" t="n"/>
      <c r="H1557" s="818">
        <f>IF(G1557=1,F1557-I1557-J1557-K1557,IF(G1557=2,F1557,0))</f>
        <v>0</v>
      </c>
      <c r="I1557" s="818">
        <f>ROUND(IF(G1557=1,F1557*10/23,IF(G1557=3,F1557-J1557-K1557,IF(G1557=4,F1557,IF(G1557=5,F1557*10/11,IF(G1557=7,F1557*10/11,0))))),0)</f>
        <v>0</v>
      </c>
      <c r="J1557" s="818">
        <f>ROUND(IF(G1557=1,F1557/23,IF(G1557=3,F1557/12,IF(G1557=5,F1557-I1557,IF(G1557=8,F1557,0)))),0)</f>
        <v>0</v>
      </c>
      <c r="K1557" s="819">
        <f>ROUND(IF(G1557=1,F1557/23,IF(G1557=3,F1557/12,IF(G1557=6,F1557,IF(G1557=7,F1557-I1557,0)))),0)</f>
        <v>0</v>
      </c>
      <c r="L1557" s="820">
        <f>IF(G1557=6,F1557,0)</f>
        <v>0</v>
      </c>
      <c r="P1557" s="768" t="n"/>
      <c r="Q1557" s="769" t="str">
        <f>IF($F1557="","",IFERROR(VLOOKUP($C1557&amp;"|"&amp;$D1557,科目表!$A$5:$B$200,2,FALSE),"※未登録"))</f>
        <v/>
      </c>
      <c r="R1557" s="769" t="str">
        <f>IF($F1557="","",$I1557+$J1557+$K1557)</f>
        <v/>
      </c>
      <c r="S1557" s="769" t="str">
        <f>IF(OR($F1557="",$P1557="支払なし",$H1557=0,$Q1557=""),"",$Q1557&amp;"|S|"&amp;(COUNTIF(S$4:S1556,$Q1557&amp;"|S|*")+1))</f>
        <v/>
      </c>
      <c r="T1557" s="769" t="str">
        <f>IF(OR($F1557="",$P1557="支払なし",$R1557=0,$Q1557=""),"",$Q1557&amp;"|L|"&amp;(COUNTIF(T$4:T1556,$Q1557&amp;"|L|*")+1))</f>
        <v/>
      </c>
      <c r="U1557" s="769" t="str">
        <f>IF($F1557="","",13)</f>
        <v/>
      </c>
    </row>
    <row r="1558" ht="16.5" customHeight="1" s="186">
      <c r="A1558" s="760" t="n"/>
      <c r="B1558" s="760" t="n"/>
      <c r="C1558" s="762" t="n"/>
      <c r="D1558" s="762" t="n"/>
      <c r="E1558" s="775" t="n"/>
      <c r="F1558" s="821" t="n"/>
      <c r="G1558" s="821" t="n"/>
      <c r="H1558" s="818">
        <f>IF(G1558=1,F1558-I1558-J1558-K1558,IF(G1558=2,F1558,0))</f>
        <v>0</v>
      </c>
      <c r="I1558" s="818">
        <f>ROUND(IF(G1558=1,F1558*10/23,IF(G1558=3,F1558-J1558-K1558,IF(G1558=4,F1558,IF(G1558=5,F1558*10/11,IF(G1558=7,F1558*10/11,0))))),0)</f>
        <v>0</v>
      </c>
      <c r="J1558" s="818">
        <f>ROUND(IF(G1558=1,F1558/23,IF(G1558=3,F1558/12,IF(G1558=5,F1558-I1558,IF(G1558=8,F1558,0)))),0)</f>
        <v>0</v>
      </c>
      <c r="K1558" s="819">
        <f>ROUND(IF(G1558=1,F1558/23,IF(G1558=3,F1558/12,IF(G1558=6,F1558,IF(G1558=7,F1558-I1558,0)))),0)</f>
        <v>0</v>
      </c>
      <c r="L1558" s="820">
        <f>IF(G1558=6,F1558,0)</f>
        <v>0</v>
      </c>
      <c r="P1558" s="768" t="n"/>
      <c r="Q1558" s="769" t="str">
        <f>IF($F1558="","",IFERROR(VLOOKUP($C1558&amp;"|"&amp;$D1558,科目表!$A$5:$B$200,2,FALSE),"※未登録"))</f>
        <v/>
      </c>
      <c r="R1558" s="769" t="str">
        <f>IF($F1558="","",$I1558+$J1558+$K1558)</f>
        <v/>
      </c>
      <c r="S1558" s="769" t="str">
        <f>IF(OR($F1558="",$P1558="支払なし",$H1558=0,$Q1558=""),"",$Q1558&amp;"|S|"&amp;(COUNTIF(S$4:S1557,$Q1558&amp;"|S|*")+1))</f>
        <v/>
      </c>
      <c r="T1558" s="769" t="str">
        <f>IF(OR($F1558="",$P1558="支払なし",$R1558=0,$Q1558=""),"",$Q1558&amp;"|L|"&amp;(COUNTIF(T$4:T1557,$Q1558&amp;"|L|*")+1))</f>
        <v/>
      </c>
      <c r="U1558" s="769" t="str">
        <f>IF($F1558="","",13)</f>
        <v/>
      </c>
    </row>
    <row r="1559" ht="16.5" customHeight="1" s="186">
      <c r="A1559" s="760" t="n"/>
      <c r="B1559" s="760" t="n"/>
      <c r="C1559" s="762" t="n"/>
      <c r="D1559" s="762" t="n"/>
      <c r="E1559" s="775" t="n"/>
      <c r="F1559" s="821" t="n"/>
      <c r="G1559" s="821" t="n"/>
      <c r="H1559" s="818">
        <f>IF(G1559=1,F1559-I1559-J1559-K1559,IF(G1559=2,F1559,0))</f>
        <v>0</v>
      </c>
      <c r="I1559" s="818">
        <f>ROUND(IF(G1559=1,F1559*10/23,IF(G1559=3,F1559-J1559-K1559,IF(G1559=4,F1559,IF(G1559=5,F1559*10/11,IF(G1559=7,F1559*10/11,0))))),0)</f>
        <v>0</v>
      </c>
      <c r="J1559" s="818">
        <f>ROUND(IF(G1559=1,F1559/23,IF(G1559=3,F1559/12,IF(G1559=5,F1559-I1559,IF(G1559=8,F1559,0)))),0)</f>
        <v>0</v>
      </c>
      <c r="K1559" s="819">
        <f>ROUND(IF(G1559=1,F1559/23,IF(G1559=3,F1559/12,IF(G1559=6,F1559,IF(G1559=7,F1559-I1559,0)))),0)</f>
        <v>0</v>
      </c>
      <c r="L1559" s="820">
        <f>IF(G1559=6,F1559,0)</f>
        <v>0</v>
      </c>
      <c r="P1559" s="768" t="n"/>
      <c r="Q1559" s="769" t="str">
        <f>IF($F1559="","",IFERROR(VLOOKUP($C1559&amp;"|"&amp;$D1559,科目表!$A$5:$B$200,2,FALSE),"※未登録"))</f>
        <v/>
      </c>
      <c r="R1559" s="769" t="str">
        <f>IF($F1559="","",$I1559+$J1559+$K1559)</f>
        <v/>
      </c>
      <c r="S1559" s="769" t="str">
        <f>IF(OR($F1559="",$P1559="支払なし",$H1559=0,$Q1559=""),"",$Q1559&amp;"|S|"&amp;(COUNTIF(S$4:S1558,$Q1559&amp;"|S|*")+1))</f>
        <v/>
      </c>
      <c r="T1559" s="769" t="str">
        <f>IF(OR($F1559="",$P1559="支払なし",$R1559=0,$Q1559=""),"",$Q1559&amp;"|L|"&amp;(COUNTIF(T$4:T1558,$Q1559&amp;"|L|*")+1))</f>
        <v/>
      </c>
      <c r="U1559" s="769" t="str">
        <f>IF($F1559="","",13)</f>
        <v/>
      </c>
    </row>
    <row r="1560" ht="16.5" customHeight="1" s="186">
      <c r="A1560" s="760" t="n"/>
      <c r="B1560" s="760" t="n"/>
      <c r="C1560" s="762" t="n"/>
      <c r="D1560" s="762" t="n"/>
      <c r="E1560" s="775" t="n"/>
      <c r="F1560" s="821" t="n"/>
      <c r="G1560" s="821" t="n"/>
      <c r="H1560" s="818">
        <f>IF(G1560=1,F1560-I1560-J1560-K1560,IF(G1560=2,F1560,0))</f>
        <v>0</v>
      </c>
      <c r="I1560" s="818">
        <f>ROUND(IF(G1560=1,F1560*10/23,IF(G1560=3,F1560-J1560-K1560,IF(G1560=4,F1560,IF(G1560=5,F1560*10/11,IF(G1560=7,F1560*10/11,0))))),0)</f>
        <v>0</v>
      </c>
      <c r="J1560" s="818">
        <f>ROUND(IF(G1560=1,F1560/23,IF(G1560=3,F1560/12,IF(G1560=5,F1560-I1560,IF(G1560=8,F1560,0)))),0)</f>
        <v>0</v>
      </c>
      <c r="K1560" s="819">
        <f>ROUND(IF(G1560=1,F1560/23,IF(G1560=3,F1560/12,IF(G1560=6,F1560,IF(G1560=7,F1560-I1560,0)))),0)</f>
        <v>0</v>
      </c>
      <c r="L1560" s="820">
        <f>IF(G1560=6,F1560,0)</f>
        <v>0</v>
      </c>
      <c r="P1560" s="768" t="n"/>
      <c r="Q1560" s="769" t="str">
        <f>IF($F1560="","",IFERROR(VLOOKUP($C1560&amp;"|"&amp;$D1560,科目表!$A$5:$B$200,2,FALSE),"※未登録"))</f>
        <v/>
      </c>
      <c r="R1560" s="769" t="str">
        <f>IF($F1560="","",$I1560+$J1560+$K1560)</f>
        <v/>
      </c>
      <c r="S1560" s="769" t="str">
        <f>IF(OR($F1560="",$P1560="支払なし",$H1560=0,$Q1560=""),"",$Q1560&amp;"|S|"&amp;(COUNTIF(S$4:S1559,$Q1560&amp;"|S|*")+1))</f>
        <v/>
      </c>
      <c r="T1560" s="769" t="str">
        <f>IF(OR($F1560="",$P1560="支払なし",$R1560=0,$Q1560=""),"",$Q1560&amp;"|L|"&amp;(COUNTIF(T$4:T1559,$Q1560&amp;"|L|*")+1))</f>
        <v/>
      </c>
      <c r="U1560" s="769" t="str">
        <f>IF($F1560="","",13)</f>
        <v/>
      </c>
    </row>
    <row r="1561" ht="16.5" customHeight="1" s="186">
      <c r="A1561" s="760" t="n"/>
      <c r="B1561" s="760" t="n"/>
      <c r="C1561" s="762" t="n"/>
      <c r="D1561" s="762" t="n"/>
      <c r="E1561" s="775" t="n"/>
      <c r="F1561" s="821" t="n"/>
      <c r="G1561" s="821" t="n"/>
      <c r="H1561" s="818">
        <f>IF(G1561=1,F1561-I1561-J1561-K1561,IF(G1561=2,F1561,0))</f>
        <v>0</v>
      </c>
      <c r="I1561" s="818">
        <f>ROUND(IF(G1561=1,F1561*10/23,IF(G1561=3,F1561-J1561-K1561,IF(G1561=4,F1561,IF(G1561=5,F1561*10/11,IF(G1561=7,F1561*10/11,0))))),0)</f>
        <v>0</v>
      </c>
      <c r="J1561" s="818">
        <f>ROUND(IF(G1561=1,F1561/23,IF(G1561=3,F1561/12,IF(G1561=5,F1561-I1561,IF(G1561=8,F1561,0)))),0)</f>
        <v>0</v>
      </c>
      <c r="K1561" s="819">
        <f>ROUND(IF(G1561=1,F1561/23,IF(G1561=3,F1561/12,IF(G1561=6,F1561,IF(G1561=7,F1561-I1561,0)))),0)</f>
        <v>0</v>
      </c>
      <c r="L1561" s="820">
        <f>IF(G1561=6,F1561,0)</f>
        <v>0</v>
      </c>
      <c r="P1561" s="768" t="n"/>
      <c r="Q1561" s="769" t="str">
        <f>IF($F1561="","",IFERROR(VLOOKUP($C1561&amp;"|"&amp;$D1561,科目表!$A$5:$B$200,2,FALSE),"※未登録"))</f>
        <v/>
      </c>
      <c r="R1561" s="769" t="str">
        <f>IF($F1561="","",$I1561+$J1561+$K1561)</f>
        <v/>
      </c>
      <c r="S1561" s="769" t="str">
        <f>IF(OR($F1561="",$P1561="支払なし",$H1561=0,$Q1561=""),"",$Q1561&amp;"|S|"&amp;(COUNTIF(S$4:S1560,$Q1561&amp;"|S|*")+1))</f>
        <v/>
      </c>
      <c r="T1561" s="769" t="str">
        <f>IF(OR($F1561="",$P1561="支払なし",$R1561=0,$Q1561=""),"",$Q1561&amp;"|L|"&amp;(COUNTIF(T$4:T1560,$Q1561&amp;"|L|*")+1))</f>
        <v/>
      </c>
      <c r="U1561" s="769" t="str">
        <f>IF($F1561="","",13)</f>
        <v/>
      </c>
    </row>
    <row r="1562" ht="16.5" customHeight="1" s="186">
      <c r="A1562" s="760" t="n"/>
      <c r="B1562" s="760" t="n"/>
      <c r="C1562" s="762" t="n"/>
      <c r="D1562" s="762" t="n"/>
      <c r="E1562" s="775" t="n"/>
      <c r="F1562" s="821" t="n"/>
      <c r="G1562" s="821" t="n"/>
      <c r="H1562" s="818">
        <f>IF(G1562=1,F1562-I1562-J1562-K1562,IF(G1562=2,F1562,0))</f>
        <v>0</v>
      </c>
      <c r="I1562" s="818">
        <f>ROUND(IF(G1562=1,F1562*10/23,IF(G1562=3,F1562-J1562-K1562,IF(G1562=4,F1562,IF(G1562=5,F1562*10/11,IF(G1562=7,F1562*10/11,0))))),0)</f>
        <v>0</v>
      </c>
      <c r="J1562" s="818">
        <f>ROUND(IF(G1562=1,F1562/23,IF(G1562=3,F1562/12,IF(G1562=5,F1562-I1562,IF(G1562=8,F1562,0)))),0)</f>
        <v>0</v>
      </c>
      <c r="K1562" s="819">
        <f>ROUND(IF(G1562=1,F1562/23,IF(G1562=3,F1562/12,IF(G1562=6,F1562,IF(G1562=7,F1562-I1562,0)))),0)</f>
        <v>0</v>
      </c>
      <c r="L1562" s="820">
        <f>IF(G1562=6,F1562,0)</f>
        <v>0</v>
      </c>
      <c r="P1562" s="768" t="n"/>
      <c r="Q1562" s="769" t="str">
        <f>IF($F1562="","",IFERROR(VLOOKUP($C1562&amp;"|"&amp;$D1562,科目表!$A$5:$B$200,2,FALSE),"※未登録"))</f>
        <v/>
      </c>
      <c r="R1562" s="769" t="str">
        <f>IF($F1562="","",$I1562+$J1562+$K1562)</f>
        <v/>
      </c>
      <c r="S1562" s="769" t="str">
        <f>IF(OR($F1562="",$P1562="支払なし",$H1562=0,$Q1562=""),"",$Q1562&amp;"|S|"&amp;(COUNTIF(S$4:S1561,$Q1562&amp;"|S|*")+1))</f>
        <v/>
      </c>
      <c r="T1562" s="769" t="str">
        <f>IF(OR($F1562="",$P1562="支払なし",$R1562=0,$Q1562=""),"",$Q1562&amp;"|L|"&amp;(COUNTIF(T$4:T1561,$Q1562&amp;"|L|*")+1))</f>
        <v/>
      </c>
      <c r="U1562" s="769" t="str">
        <f>IF($F1562="","",13)</f>
        <v/>
      </c>
    </row>
    <row r="1563" ht="16.5" customHeight="1" s="186">
      <c r="A1563" s="760" t="n"/>
      <c r="B1563" s="760" t="n"/>
      <c r="C1563" s="762" t="n"/>
      <c r="D1563" s="762" t="n"/>
      <c r="E1563" s="762" t="n"/>
      <c r="F1563" s="821" t="n"/>
      <c r="G1563" s="821" t="n"/>
      <c r="H1563" s="818">
        <f>IF(G1563=1,F1563-I1563-J1563-K1563,IF(G1563=2,F1563,0))</f>
        <v>0</v>
      </c>
      <c r="I1563" s="818">
        <f>ROUND(IF(G1563=1,F1563*10/23,IF(G1563=3,F1563-J1563-K1563,IF(G1563=4,F1563,IF(G1563=5,F1563*10/11,IF(G1563=7,F1563*10/11,0))))),0)</f>
        <v>0</v>
      </c>
      <c r="J1563" s="818">
        <f>ROUND(IF(G1563=1,F1563/23,IF(G1563=3,F1563/12,IF(G1563=5,F1563-I1563,IF(G1563=8,F1563,0)))),0)</f>
        <v>0</v>
      </c>
      <c r="K1563" s="819">
        <f>ROUND(IF(G1563=1,F1563/23,IF(G1563=3,F1563/12,IF(G1563=6,F1563,IF(G1563=7,F1563-I1563,0)))),0)</f>
        <v>0</v>
      </c>
      <c r="L1563" s="820">
        <f>IF(G1563=6,F1563,0)</f>
        <v>0</v>
      </c>
      <c r="P1563" s="768" t="n"/>
      <c r="Q1563" s="769" t="str">
        <f>IF($F1563="","",IFERROR(VLOOKUP($C1563&amp;"|"&amp;$D1563,科目表!$A$5:$B$200,2,FALSE),"※未登録"))</f>
        <v/>
      </c>
      <c r="R1563" s="769" t="str">
        <f>IF($F1563="","",$I1563+$J1563+$K1563)</f>
        <v/>
      </c>
      <c r="S1563" s="769" t="str">
        <f>IF(OR($F1563="",$P1563="支払なし",$H1563=0,$Q1563=""),"",$Q1563&amp;"|S|"&amp;(COUNTIF(S$4:S1562,$Q1563&amp;"|S|*")+1))</f>
        <v/>
      </c>
      <c r="T1563" s="769" t="str">
        <f>IF(OR($F1563="",$P1563="支払なし",$R1563=0,$Q1563=""),"",$Q1563&amp;"|L|"&amp;(COUNTIF(T$4:T1562,$Q1563&amp;"|L|*")+1))</f>
        <v/>
      </c>
      <c r="U1563" s="769" t="str">
        <f>IF($F1563="","",13)</f>
        <v/>
      </c>
    </row>
    <row r="1564" ht="16.5" customHeight="1" s="186">
      <c r="A1564" s="760" t="n"/>
      <c r="B1564" s="760" t="n"/>
      <c r="C1564" s="762" t="n"/>
      <c r="D1564" s="762" t="n"/>
      <c r="E1564" s="775" t="n"/>
      <c r="F1564" s="821" t="n"/>
      <c r="G1564" s="821" t="n"/>
      <c r="H1564" s="818">
        <f>IF(G1564=1,F1564-I1564-J1564-K1564,IF(G1564=2,F1564,0))</f>
        <v>0</v>
      </c>
      <c r="I1564" s="818">
        <f>ROUND(IF(G1564=1,F1564*10/23,IF(G1564=3,F1564-J1564-K1564,IF(G1564=4,F1564,IF(G1564=5,F1564*10/11,IF(G1564=7,F1564*10/11,0))))),0)</f>
        <v>0</v>
      </c>
      <c r="J1564" s="818">
        <f>ROUND(IF(G1564=1,F1564/23,IF(G1564=3,F1564/12,IF(G1564=5,F1564-I1564,IF(G1564=8,F1564,0)))),0)</f>
        <v>0</v>
      </c>
      <c r="K1564" s="819">
        <f>ROUND(IF(G1564=1,F1564/23,IF(G1564=3,F1564/12,IF(G1564=6,F1564,IF(G1564=7,F1564-I1564,0)))),0)</f>
        <v>0</v>
      </c>
      <c r="L1564" s="820">
        <f>IF(G1564=6,F1564,0)</f>
        <v>0</v>
      </c>
      <c r="P1564" s="768" t="n"/>
      <c r="Q1564" s="769" t="str">
        <f>IF($F1564="","",IFERROR(VLOOKUP($C1564&amp;"|"&amp;$D1564,科目表!$A$5:$B$200,2,FALSE),"※未登録"))</f>
        <v/>
      </c>
      <c r="R1564" s="769" t="str">
        <f>IF($F1564="","",$I1564+$J1564+$K1564)</f>
        <v/>
      </c>
      <c r="S1564" s="769" t="str">
        <f>IF(OR($F1564="",$P1564="支払なし",$H1564=0,$Q1564=""),"",$Q1564&amp;"|S|"&amp;(COUNTIF(S$4:S1563,$Q1564&amp;"|S|*")+1))</f>
        <v/>
      </c>
      <c r="T1564" s="769" t="str">
        <f>IF(OR($F1564="",$P1564="支払なし",$R1564=0,$Q1564=""),"",$Q1564&amp;"|L|"&amp;(COUNTIF(T$4:T1563,$Q1564&amp;"|L|*")+1))</f>
        <v/>
      </c>
      <c r="U1564" s="769" t="str">
        <f>IF($F1564="","",13)</f>
        <v/>
      </c>
    </row>
    <row r="1565" ht="16.5" customHeight="1" s="186">
      <c r="A1565" s="760" t="n"/>
      <c r="B1565" s="760" t="n"/>
      <c r="C1565" s="762" t="n"/>
      <c r="D1565" s="762" t="n"/>
      <c r="E1565" s="762" t="n"/>
      <c r="F1565" s="821" t="n"/>
      <c r="G1565" s="821" t="n"/>
      <c r="H1565" s="818">
        <f>IF(G1565=1,F1565-I1565-J1565-K1565,IF(G1565=2,F1565,0))</f>
        <v>0</v>
      </c>
      <c r="I1565" s="818">
        <f>ROUND(IF(G1565=1,F1565*10/23,IF(G1565=3,F1565-J1565-K1565,IF(G1565=4,F1565,IF(G1565=5,F1565*10/11,IF(G1565=7,F1565*10/11,0))))),0)</f>
        <v>0</v>
      </c>
      <c r="J1565" s="818">
        <f>ROUND(IF(G1565=1,F1565/23,IF(G1565=3,F1565/12,IF(G1565=5,F1565-I1565,IF(G1565=8,F1565,0)))),0)</f>
        <v>0</v>
      </c>
      <c r="K1565" s="819">
        <f>ROUND(IF(G1565=1,F1565/23,IF(G1565=3,F1565/12,IF(G1565=6,F1565,IF(G1565=7,F1565-I1565,0)))),0)</f>
        <v>0</v>
      </c>
      <c r="L1565" s="820">
        <f>IF(G1565=6,F1565,0)</f>
        <v>0</v>
      </c>
      <c r="P1565" s="768" t="n"/>
      <c r="Q1565" s="769" t="str">
        <f>IF($F1565="","",IFERROR(VLOOKUP($C1565&amp;"|"&amp;$D1565,科目表!$A$5:$B$200,2,FALSE),"※未登録"))</f>
        <v/>
      </c>
      <c r="R1565" s="769" t="str">
        <f>IF($F1565="","",$I1565+$J1565+$K1565)</f>
        <v/>
      </c>
      <c r="S1565" s="769" t="str">
        <f>IF(OR($F1565="",$P1565="支払なし",$H1565=0,$Q1565=""),"",$Q1565&amp;"|S|"&amp;(COUNTIF(S$4:S1564,$Q1565&amp;"|S|*")+1))</f>
        <v/>
      </c>
      <c r="T1565" s="769" t="str">
        <f>IF(OR($F1565="",$P1565="支払なし",$R1565=0,$Q1565=""),"",$Q1565&amp;"|L|"&amp;(COUNTIF(T$4:T1564,$Q1565&amp;"|L|*")+1))</f>
        <v/>
      </c>
      <c r="U1565" s="769" t="str">
        <f>IF($F1565="","",13)</f>
        <v/>
      </c>
    </row>
    <row r="1566" ht="16.5" customHeight="1" s="186">
      <c r="A1566" s="760" t="n"/>
      <c r="B1566" s="760" t="n"/>
      <c r="C1566" s="762" t="n"/>
      <c r="D1566" s="762" t="n"/>
      <c r="E1566" s="762" t="n"/>
      <c r="F1566" s="821" t="n"/>
      <c r="G1566" s="821" t="n"/>
      <c r="H1566" s="818">
        <f>IF(G1566=1,F1566-I1566-J1566-K1566,IF(G1566=2,F1566,0))</f>
        <v>0</v>
      </c>
      <c r="I1566" s="818">
        <f>ROUND(IF(G1566=1,F1566*10/23,IF(G1566=3,F1566-J1566-K1566,IF(G1566=4,F1566,IF(G1566=5,F1566*10/11,IF(G1566=7,F1566*10/11,0))))),0)</f>
        <v>0</v>
      </c>
      <c r="J1566" s="818">
        <f>ROUND(IF(G1566=1,F1566/23,IF(G1566=3,F1566/12,IF(G1566=5,F1566-I1566,IF(G1566=8,F1566,0)))),0)</f>
        <v>0</v>
      </c>
      <c r="K1566" s="819">
        <f>ROUND(IF(G1566=1,F1566/23,IF(G1566=3,F1566/12,IF(G1566=6,F1566,IF(G1566=7,F1566-I1566,0)))),0)</f>
        <v>0</v>
      </c>
      <c r="L1566" s="820">
        <f>IF(G1566=6,F1566,0)</f>
        <v>0</v>
      </c>
      <c r="P1566" s="768" t="n"/>
      <c r="Q1566" s="769" t="str">
        <f>IF($F1566="","",IFERROR(VLOOKUP($C1566&amp;"|"&amp;$D1566,科目表!$A$5:$B$200,2,FALSE),"※未登録"))</f>
        <v/>
      </c>
      <c r="R1566" s="769" t="str">
        <f>IF($F1566="","",$I1566+$J1566+$K1566)</f>
        <v/>
      </c>
      <c r="S1566" s="769" t="str">
        <f>IF(OR($F1566="",$P1566="支払なし",$H1566=0,$Q1566=""),"",$Q1566&amp;"|S|"&amp;(COUNTIF(S$4:S1565,$Q1566&amp;"|S|*")+1))</f>
        <v/>
      </c>
      <c r="T1566" s="769" t="str">
        <f>IF(OR($F1566="",$P1566="支払なし",$R1566=0,$Q1566=""),"",$Q1566&amp;"|L|"&amp;(COUNTIF(T$4:T1565,$Q1566&amp;"|L|*")+1))</f>
        <v/>
      </c>
      <c r="U1566" s="769" t="str">
        <f>IF($F1566="","",13)</f>
        <v/>
      </c>
    </row>
    <row r="1567" ht="16.5" customHeight="1" s="186">
      <c r="A1567" s="760" t="n"/>
      <c r="B1567" s="760" t="n"/>
      <c r="C1567" s="762" t="n"/>
      <c r="D1567" s="762" t="n"/>
      <c r="E1567" s="762" t="n"/>
      <c r="F1567" s="821" t="n"/>
      <c r="G1567" s="821" t="n"/>
      <c r="H1567" s="818">
        <f>IF(G1567=1,F1567-I1567-J1567-K1567,IF(G1567=2,F1567,0))</f>
        <v>0</v>
      </c>
      <c r="I1567" s="818">
        <f>ROUND(IF(G1567=1,F1567*10/23,IF(G1567=3,F1567-J1567-K1567,IF(G1567=4,F1567,IF(G1567=5,F1567*10/11,IF(G1567=7,F1567*10/11,0))))),0)</f>
        <v>0</v>
      </c>
      <c r="J1567" s="818">
        <f>ROUND(IF(G1567=1,F1567/23,IF(G1567=3,F1567/12,IF(G1567=5,F1567-I1567,IF(G1567=8,F1567,0)))),0)</f>
        <v>0</v>
      </c>
      <c r="K1567" s="819">
        <f>ROUND(IF(G1567=1,F1567/23,IF(G1567=3,F1567/12,IF(G1567=6,F1567,IF(G1567=7,F1567-I1567,0)))),0)</f>
        <v>0</v>
      </c>
      <c r="L1567" s="820">
        <f>IF(G1567=6,F1567,0)</f>
        <v>0</v>
      </c>
      <c r="P1567" s="768" t="n"/>
      <c r="Q1567" s="769" t="str">
        <f>IF($F1567="","",IFERROR(VLOOKUP($C1567&amp;"|"&amp;$D1567,科目表!$A$5:$B$200,2,FALSE),"※未登録"))</f>
        <v/>
      </c>
      <c r="R1567" s="769" t="str">
        <f>IF($F1567="","",$I1567+$J1567+$K1567)</f>
        <v/>
      </c>
      <c r="S1567" s="769" t="str">
        <f>IF(OR($F1567="",$P1567="支払なし",$H1567=0,$Q1567=""),"",$Q1567&amp;"|S|"&amp;(COUNTIF(S$4:S1566,$Q1567&amp;"|S|*")+1))</f>
        <v/>
      </c>
      <c r="T1567" s="769" t="str">
        <f>IF(OR($F1567="",$P1567="支払なし",$R1567=0,$Q1567=""),"",$Q1567&amp;"|L|"&amp;(COUNTIF(T$4:T1566,$Q1567&amp;"|L|*")+1))</f>
        <v/>
      </c>
      <c r="U1567" s="769" t="str">
        <f>IF($F1567="","",13)</f>
        <v/>
      </c>
    </row>
    <row r="1568" ht="16.5" customHeight="1" s="186">
      <c r="A1568" s="760" t="n"/>
      <c r="B1568" s="760" t="n"/>
      <c r="C1568" s="762" t="n"/>
      <c r="D1568" s="762" t="n"/>
      <c r="E1568" s="762" t="n"/>
      <c r="F1568" s="821" t="n"/>
      <c r="G1568" s="821" t="n"/>
      <c r="H1568" s="818">
        <f>IF(G1568=1,F1568-I1568-J1568-K1568,IF(G1568=2,F1568,0))</f>
        <v>0</v>
      </c>
      <c r="I1568" s="818">
        <f>ROUND(IF(G1568=1,F1568*10/23,IF(G1568=3,F1568-J1568-K1568,IF(G1568=4,F1568,IF(G1568=5,F1568*10/11,IF(G1568=7,F1568*10/11,0))))),0)</f>
        <v>0</v>
      </c>
      <c r="J1568" s="818">
        <f>ROUND(IF(G1568=1,F1568/23,IF(G1568=3,F1568/12,IF(G1568=5,F1568-I1568,IF(G1568=8,F1568,0)))),0)</f>
        <v>0</v>
      </c>
      <c r="K1568" s="819">
        <f>ROUND(IF(G1568=1,F1568/23,IF(G1568=3,F1568/12,IF(G1568=6,F1568,IF(G1568=7,F1568-I1568,0)))),0)</f>
        <v>0</v>
      </c>
      <c r="L1568" s="820">
        <f>IF(G1568=6,F1568,0)</f>
        <v>0</v>
      </c>
      <c r="P1568" s="768" t="n"/>
      <c r="Q1568" s="769" t="str">
        <f>IF($F1568="","",IFERROR(VLOOKUP($C1568&amp;"|"&amp;$D1568,科目表!$A$5:$B$200,2,FALSE),"※未登録"))</f>
        <v/>
      </c>
      <c r="R1568" s="769" t="str">
        <f>IF($F1568="","",$I1568+$J1568+$K1568)</f>
        <v/>
      </c>
      <c r="S1568" s="769" t="str">
        <f>IF(OR($F1568="",$P1568="支払なし",$H1568=0,$Q1568=""),"",$Q1568&amp;"|S|"&amp;(COUNTIF(S$4:S1567,$Q1568&amp;"|S|*")+1))</f>
        <v/>
      </c>
      <c r="T1568" s="769" t="str">
        <f>IF(OR($F1568="",$P1568="支払なし",$R1568=0,$Q1568=""),"",$Q1568&amp;"|L|"&amp;(COUNTIF(T$4:T1567,$Q1568&amp;"|L|*")+1))</f>
        <v/>
      </c>
      <c r="U1568" s="769" t="str">
        <f>IF($F1568="","",13)</f>
        <v/>
      </c>
    </row>
    <row r="1569" ht="16.5" customHeight="1" s="186">
      <c r="A1569" s="760" t="n"/>
      <c r="B1569" s="760" t="n"/>
      <c r="C1569" s="762" t="n"/>
      <c r="D1569" s="762" t="n"/>
      <c r="E1569" s="775" t="n"/>
      <c r="F1569" s="821" t="n"/>
      <c r="G1569" s="821" t="n"/>
      <c r="H1569" s="818">
        <f>IF(G1569=1,F1569-I1569-J1569-K1569,IF(G1569=2,F1569,0))</f>
        <v>0</v>
      </c>
      <c r="I1569" s="818">
        <f>ROUND(IF(G1569=1,F1569*10/23,IF(G1569=3,F1569-J1569-K1569,IF(G1569=4,F1569,IF(G1569=5,F1569*10/11,IF(G1569=7,F1569*10/11,0))))),0)</f>
        <v>0</v>
      </c>
      <c r="J1569" s="818">
        <f>ROUND(IF(G1569=1,F1569/23,IF(G1569=3,F1569/12,IF(G1569=5,F1569-I1569,IF(G1569=8,F1569,0)))),0)</f>
        <v>0</v>
      </c>
      <c r="K1569" s="819">
        <f>ROUND(IF(G1569=1,F1569/23,IF(G1569=3,F1569/12,IF(G1569=6,F1569,IF(G1569=7,F1569-I1569,0)))),0)</f>
        <v>0</v>
      </c>
      <c r="L1569" s="820">
        <f>IF(G1569=6,F1569,0)</f>
        <v>0</v>
      </c>
      <c r="P1569" s="768" t="n"/>
      <c r="Q1569" s="769" t="str">
        <f>IF($F1569="","",IFERROR(VLOOKUP($C1569&amp;"|"&amp;$D1569,科目表!$A$5:$B$200,2,FALSE),"※未登録"))</f>
        <v/>
      </c>
      <c r="R1569" s="769" t="str">
        <f>IF($F1569="","",$I1569+$J1569+$K1569)</f>
        <v/>
      </c>
      <c r="S1569" s="769" t="str">
        <f>IF(OR($F1569="",$P1569="支払なし",$H1569=0,$Q1569=""),"",$Q1569&amp;"|S|"&amp;(COUNTIF(S$4:S1568,$Q1569&amp;"|S|*")+1))</f>
        <v/>
      </c>
      <c r="T1569" s="769" t="str">
        <f>IF(OR($F1569="",$P1569="支払なし",$R1569=0,$Q1569=""),"",$Q1569&amp;"|L|"&amp;(COUNTIF(T$4:T1568,$Q1569&amp;"|L|*")+1))</f>
        <v/>
      </c>
      <c r="U1569" s="769" t="str">
        <f>IF($F1569="","",13)</f>
        <v/>
      </c>
    </row>
    <row r="1570" ht="16.5" customHeight="1" s="186">
      <c r="A1570" s="760" t="n"/>
      <c r="B1570" s="760" t="n"/>
      <c r="C1570" s="762" t="n"/>
      <c r="D1570" s="762" t="n"/>
      <c r="E1570" s="762" t="n"/>
      <c r="F1570" s="821" t="n"/>
      <c r="G1570" s="821" t="n"/>
      <c r="H1570" s="818">
        <f>IF(G1570=1,F1570-I1570-J1570-K1570,IF(G1570=2,F1570,0))</f>
        <v>0</v>
      </c>
      <c r="I1570" s="818">
        <f>ROUND(IF(G1570=1,F1570*10/23,IF(G1570=3,F1570-J1570-K1570,IF(G1570=4,F1570,IF(G1570=5,F1570*10/11,IF(G1570=7,F1570*10/11,0))))),0)</f>
        <v>0</v>
      </c>
      <c r="J1570" s="818">
        <f>ROUND(IF(G1570=1,F1570/23,IF(G1570=3,F1570/12,IF(G1570=5,F1570-I1570,IF(G1570=8,F1570,0)))),0)</f>
        <v>0</v>
      </c>
      <c r="K1570" s="819">
        <f>ROUND(IF(G1570=1,F1570/23,IF(G1570=3,F1570/12,IF(G1570=6,F1570,IF(G1570=7,F1570-I1570,0)))),0)</f>
        <v>0</v>
      </c>
      <c r="L1570" s="820">
        <f>IF(G1570=6,F1570,0)</f>
        <v>0</v>
      </c>
      <c r="P1570" s="768" t="n"/>
      <c r="Q1570" s="769" t="str">
        <f>IF($F1570="","",IFERROR(VLOOKUP($C1570&amp;"|"&amp;$D1570,科目表!$A$5:$B$200,2,FALSE),"※未登録"))</f>
        <v/>
      </c>
      <c r="R1570" s="769" t="str">
        <f>IF($F1570="","",$I1570+$J1570+$K1570)</f>
        <v/>
      </c>
      <c r="S1570" s="769" t="str">
        <f>IF(OR($F1570="",$P1570="支払なし",$H1570=0,$Q1570=""),"",$Q1570&amp;"|S|"&amp;(COUNTIF(S$4:S1569,$Q1570&amp;"|S|*")+1))</f>
        <v/>
      </c>
      <c r="T1570" s="769" t="str">
        <f>IF(OR($F1570="",$P1570="支払なし",$R1570=0,$Q1570=""),"",$Q1570&amp;"|L|"&amp;(COUNTIF(T$4:T1569,$Q1570&amp;"|L|*")+1))</f>
        <v/>
      </c>
      <c r="U1570" s="769" t="str">
        <f>IF($F1570="","",13)</f>
        <v/>
      </c>
    </row>
    <row r="1571" ht="16.5" customHeight="1" s="186">
      <c r="A1571" s="760" t="n"/>
      <c r="B1571" s="760" t="n"/>
      <c r="C1571" s="762" t="n"/>
      <c r="D1571" s="762" t="n"/>
      <c r="E1571" s="775" t="n"/>
      <c r="F1571" s="821" t="n"/>
      <c r="G1571" s="821" t="n"/>
      <c r="H1571" s="818">
        <f>IF(G1571=1,F1571-I1571-J1571-K1571,IF(G1571=2,F1571,0))</f>
        <v>0</v>
      </c>
      <c r="I1571" s="818">
        <f>ROUND(IF(G1571=1,F1571*10/23,IF(G1571=3,F1571-J1571-K1571,IF(G1571=4,F1571,IF(G1571=5,F1571*10/11,IF(G1571=7,F1571*10/11,0))))),0)</f>
        <v>0</v>
      </c>
      <c r="J1571" s="818">
        <f>ROUND(IF(G1571=1,F1571/23,IF(G1571=3,F1571/12,IF(G1571=5,F1571-I1571,IF(G1571=8,F1571,0)))),0)</f>
        <v>0</v>
      </c>
      <c r="K1571" s="819">
        <f>ROUND(IF(G1571=1,F1571/23,IF(G1571=3,F1571/12,IF(G1571=6,F1571,IF(G1571=7,F1571-I1571,0)))),0)</f>
        <v>0</v>
      </c>
      <c r="L1571" s="820">
        <f>IF(G1571=6,F1571,0)</f>
        <v>0</v>
      </c>
      <c r="P1571" s="768" t="n"/>
      <c r="Q1571" s="769" t="str">
        <f>IF($F1571="","",IFERROR(VLOOKUP($C1571&amp;"|"&amp;$D1571,科目表!$A$5:$B$200,2,FALSE),"※未登録"))</f>
        <v/>
      </c>
      <c r="R1571" s="769" t="str">
        <f>IF($F1571="","",$I1571+$J1571+$K1571)</f>
        <v/>
      </c>
      <c r="S1571" s="769" t="str">
        <f>IF(OR($F1571="",$P1571="支払なし",$H1571=0,$Q1571=""),"",$Q1571&amp;"|S|"&amp;(COUNTIF(S$4:S1570,$Q1571&amp;"|S|*")+1))</f>
        <v/>
      </c>
      <c r="T1571" s="769" t="str">
        <f>IF(OR($F1571="",$P1571="支払なし",$R1571=0,$Q1571=""),"",$Q1571&amp;"|L|"&amp;(COUNTIF(T$4:T1570,$Q1571&amp;"|L|*")+1))</f>
        <v/>
      </c>
      <c r="U1571" s="769" t="str">
        <f>IF($F1571="","",13)</f>
        <v/>
      </c>
    </row>
    <row r="1572" ht="16.5" customHeight="1" s="186">
      <c r="A1572" s="760" t="n"/>
      <c r="B1572" s="760" t="n"/>
      <c r="C1572" s="762" t="n"/>
      <c r="D1572" s="762" t="n"/>
      <c r="E1572" s="775" t="n"/>
      <c r="F1572" s="821" t="n"/>
      <c r="G1572" s="821" t="n"/>
      <c r="H1572" s="818">
        <f>IF(G1572=1,F1572-I1572-J1572-K1572,IF(G1572=2,F1572,0))</f>
        <v>0</v>
      </c>
      <c r="I1572" s="818">
        <f>ROUND(IF(G1572=1,F1572*10/23,IF(G1572=3,F1572-J1572-K1572,IF(G1572=4,F1572,IF(G1572=5,F1572*10/11,IF(G1572=7,F1572*10/11,0))))),0)</f>
        <v>0</v>
      </c>
      <c r="J1572" s="818">
        <f>ROUND(IF(G1572=1,F1572/23,IF(G1572=3,F1572/12,IF(G1572=5,F1572-I1572,IF(G1572=8,F1572,0)))),0)</f>
        <v>0</v>
      </c>
      <c r="K1572" s="819">
        <f>ROUND(IF(G1572=1,F1572/23,IF(G1572=3,F1572/12,IF(G1572=6,F1572,IF(G1572=7,F1572-I1572,0)))),0)</f>
        <v>0</v>
      </c>
      <c r="L1572" s="820">
        <f>IF(G1572=6,F1572,0)</f>
        <v>0</v>
      </c>
      <c r="P1572" s="768" t="n"/>
      <c r="Q1572" s="769" t="str">
        <f>IF($F1572="","",IFERROR(VLOOKUP($C1572&amp;"|"&amp;$D1572,科目表!$A$5:$B$200,2,FALSE),"※未登録"))</f>
        <v/>
      </c>
      <c r="R1572" s="769" t="str">
        <f>IF($F1572="","",$I1572+$J1572+$K1572)</f>
        <v/>
      </c>
      <c r="S1572" s="769" t="str">
        <f>IF(OR($F1572="",$P1572="支払なし",$H1572=0,$Q1572=""),"",$Q1572&amp;"|S|"&amp;(COUNTIF(S$4:S1571,$Q1572&amp;"|S|*")+1))</f>
        <v/>
      </c>
      <c r="T1572" s="769" t="str">
        <f>IF(OR($F1572="",$P1572="支払なし",$R1572=0,$Q1572=""),"",$Q1572&amp;"|L|"&amp;(COUNTIF(T$4:T1571,$Q1572&amp;"|L|*")+1))</f>
        <v/>
      </c>
      <c r="U1572" s="769" t="str">
        <f>IF($F1572="","",13)</f>
        <v/>
      </c>
    </row>
    <row r="1573" ht="16.5" customHeight="1" s="186">
      <c r="A1573" s="760" t="n"/>
      <c r="B1573" s="760" t="n"/>
      <c r="C1573" s="762" t="n"/>
      <c r="D1573" s="762" t="n"/>
      <c r="E1573" s="762" t="n"/>
      <c r="F1573" s="821" t="n"/>
      <c r="G1573" s="821" t="n"/>
      <c r="H1573" s="818">
        <f>IF(G1573=1,F1573-I1573-J1573-K1573,IF(G1573=2,F1573,0))</f>
        <v>0</v>
      </c>
      <c r="I1573" s="818">
        <f>ROUND(IF(G1573=1,F1573*10/23,IF(G1573=3,F1573-J1573-K1573,IF(G1573=4,F1573,IF(G1573=5,F1573*10/11,IF(G1573=7,F1573*10/11,0))))),0)</f>
        <v>0</v>
      </c>
      <c r="J1573" s="818">
        <f>ROUND(IF(G1573=1,F1573/23,IF(G1573=3,F1573/12,IF(G1573=5,F1573-I1573,IF(G1573=8,F1573,0)))),0)</f>
        <v>0</v>
      </c>
      <c r="K1573" s="819">
        <f>ROUND(IF(G1573=1,F1573/23,IF(G1573=3,F1573/12,IF(G1573=6,F1573,IF(G1573=7,F1573-I1573,0)))),0)</f>
        <v>0</v>
      </c>
      <c r="L1573" s="820">
        <f>IF(G1573=6,F1573,0)</f>
        <v>0</v>
      </c>
      <c r="P1573" s="768" t="n"/>
      <c r="Q1573" s="769" t="str">
        <f>IF($F1573="","",IFERROR(VLOOKUP($C1573&amp;"|"&amp;$D1573,科目表!$A$5:$B$200,2,FALSE),"※未登録"))</f>
        <v/>
      </c>
      <c r="R1573" s="769" t="str">
        <f>IF($F1573="","",$I1573+$J1573+$K1573)</f>
        <v/>
      </c>
      <c r="S1573" s="769" t="str">
        <f>IF(OR($F1573="",$P1573="支払なし",$H1573=0,$Q1573=""),"",$Q1573&amp;"|S|"&amp;(COUNTIF(S$4:S1572,$Q1573&amp;"|S|*")+1))</f>
        <v/>
      </c>
      <c r="T1573" s="769" t="str">
        <f>IF(OR($F1573="",$P1573="支払なし",$R1573=0,$Q1573=""),"",$Q1573&amp;"|L|"&amp;(COUNTIF(T$4:T1572,$Q1573&amp;"|L|*")+1))</f>
        <v/>
      </c>
      <c r="U1573" s="769" t="str">
        <f>IF($F1573="","",13)</f>
        <v/>
      </c>
    </row>
    <row r="1574" ht="16.5" customHeight="1" s="186">
      <c r="A1574" s="760" t="n"/>
      <c r="B1574" s="760" t="n"/>
      <c r="C1574" s="762" t="n"/>
      <c r="D1574" s="762" t="n"/>
      <c r="E1574" s="762" t="n"/>
      <c r="F1574" s="821" t="n"/>
      <c r="G1574" s="821" t="n"/>
      <c r="H1574" s="818">
        <f>IF(G1574=1,F1574-I1574-J1574-K1574,IF(G1574=2,F1574,0))</f>
        <v>0</v>
      </c>
      <c r="I1574" s="818">
        <f>ROUND(IF(G1574=1,F1574*10/23,IF(G1574=3,F1574-J1574-K1574,IF(G1574=4,F1574,IF(G1574=5,F1574*10/11,IF(G1574=7,F1574*10/11,0))))),0)</f>
        <v>0</v>
      </c>
      <c r="J1574" s="818">
        <f>ROUND(IF(G1574=1,F1574/23,IF(G1574=3,F1574/12,IF(G1574=5,F1574-I1574,IF(G1574=8,F1574,0)))),0)</f>
        <v>0</v>
      </c>
      <c r="K1574" s="819">
        <f>ROUND(IF(G1574=1,F1574/23,IF(G1574=3,F1574/12,IF(G1574=6,F1574,IF(G1574=7,F1574-I1574,0)))),0)</f>
        <v>0</v>
      </c>
      <c r="L1574" s="820">
        <f>IF(G1574=6,F1574,0)</f>
        <v>0</v>
      </c>
      <c r="P1574" s="768" t="n"/>
      <c r="Q1574" s="769" t="str">
        <f>IF($F1574="","",IFERROR(VLOOKUP($C1574&amp;"|"&amp;$D1574,科目表!$A$5:$B$200,2,FALSE),"※未登録"))</f>
        <v/>
      </c>
      <c r="R1574" s="769" t="str">
        <f>IF($F1574="","",$I1574+$J1574+$K1574)</f>
        <v/>
      </c>
      <c r="S1574" s="769" t="str">
        <f>IF(OR($F1574="",$P1574="支払なし",$H1574=0,$Q1574=""),"",$Q1574&amp;"|S|"&amp;(COUNTIF(S$4:S1573,$Q1574&amp;"|S|*")+1))</f>
        <v/>
      </c>
      <c r="T1574" s="769" t="str">
        <f>IF(OR($F1574="",$P1574="支払なし",$R1574=0,$Q1574=""),"",$Q1574&amp;"|L|"&amp;(COUNTIF(T$4:T1573,$Q1574&amp;"|L|*")+1))</f>
        <v/>
      </c>
      <c r="U1574" s="769" t="str">
        <f>IF($F1574="","",13)</f>
        <v/>
      </c>
    </row>
    <row r="1575" ht="16.5" customHeight="1" s="186">
      <c r="A1575" s="760" t="n"/>
      <c r="B1575" s="760" t="n"/>
      <c r="C1575" s="762" t="n"/>
      <c r="D1575" s="762" t="n"/>
      <c r="E1575" s="775" t="n"/>
      <c r="F1575" s="821" t="n"/>
      <c r="G1575" s="821" t="n"/>
      <c r="H1575" s="818">
        <f>IF(G1575=1,F1575-I1575-J1575-K1575,IF(G1575=2,F1575,0))</f>
        <v>0</v>
      </c>
      <c r="I1575" s="818">
        <f>ROUND(IF(G1575=1,F1575*10/23,IF(G1575=3,F1575-J1575-K1575,IF(G1575=4,F1575,IF(G1575=5,F1575*10/11,IF(G1575=7,F1575*10/11,0))))),0)</f>
        <v>0</v>
      </c>
      <c r="J1575" s="818">
        <f>ROUND(IF(G1575=1,F1575/23,IF(G1575=3,F1575/12,IF(G1575=5,F1575-I1575,IF(G1575=8,F1575,0)))),0)</f>
        <v>0</v>
      </c>
      <c r="K1575" s="819">
        <f>ROUND(IF(G1575=1,F1575/23,IF(G1575=3,F1575/12,IF(G1575=6,F1575,IF(G1575=7,F1575-I1575,0)))),0)</f>
        <v>0</v>
      </c>
      <c r="L1575" s="820">
        <f>IF(G1575=6,F1575,0)</f>
        <v>0</v>
      </c>
      <c r="P1575" s="768" t="n"/>
      <c r="Q1575" s="769" t="str">
        <f>IF($F1575="","",IFERROR(VLOOKUP($C1575&amp;"|"&amp;$D1575,科目表!$A$5:$B$200,2,FALSE),"※未登録"))</f>
        <v/>
      </c>
      <c r="R1575" s="769" t="str">
        <f>IF($F1575="","",$I1575+$J1575+$K1575)</f>
        <v/>
      </c>
      <c r="S1575" s="769" t="str">
        <f>IF(OR($F1575="",$P1575="支払なし",$H1575=0,$Q1575=""),"",$Q1575&amp;"|S|"&amp;(COUNTIF(S$4:S1574,$Q1575&amp;"|S|*")+1))</f>
        <v/>
      </c>
      <c r="T1575" s="769" t="str">
        <f>IF(OR($F1575="",$P1575="支払なし",$R1575=0,$Q1575=""),"",$Q1575&amp;"|L|"&amp;(COUNTIF(T$4:T1574,$Q1575&amp;"|L|*")+1))</f>
        <v/>
      </c>
      <c r="U1575" s="769" t="str">
        <f>IF($F1575="","",13)</f>
        <v/>
      </c>
    </row>
    <row r="1576" ht="16.5" customHeight="1" s="186">
      <c r="A1576" s="760" t="n"/>
      <c r="B1576" s="760" t="n"/>
      <c r="C1576" s="762" t="n"/>
      <c r="D1576" s="762" t="n"/>
      <c r="E1576" s="762" t="n"/>
      <c r="F1576" s="821" t="n"/>
      <c r="G1576" s="821" t="n"/>
      <c r="H1576" s="818">
        <f>IF(G1576=1,F1576-I1576-J1576-K1576,IF(G1576=2,F1576,0))</f>
        <v>0</v>
      </c>
      <c r="I1576" s="818">
        <f>ROUND(IF(G1576=1,F1576*10/23,IF(G1576=3,F1576-J1576-K1576,IF(G1576=4,F1576,IF(G1576=5,F1576*10/11,IF(G1576=7,F1576*10/11,0))))),0)</f>
        <v>0</v>
      </c>
      <c r="J1576" s="818">
        <f>ROUND(IF(G1576=1,F1576/23,IF(G1576=3,F1576/12,IF(G1576=5,F1576-I1576,IF(G1576=8,F1576,0)))),0)</f>
        <v>0</v>
      </c>
      <c r="K1576" s="819">
        <f>ROUND(IF(G1576=1,F1576/23,IF(G1576=3,F1576/12,IF(G1576=6,F1576,IF(G1576=7,F1576-I1576,0)))),0)</f>
        <v>0</v>
      </c>
      <c r="L1576" s="820">
        <f>IF(G1576=6,F1576,0)</f>
        <v>0</v>
      </c>
      <c r="P1576" s="768" t="n"/>
      <c r="Q1576" s="769" t="str">
        <f>IF($F1576="","",IFERROR(VLOOKUP($C1576&amp;"|"&amp;$D1576,科目表!$A$5:$B$200,2,FALSE),"※未登録"))</f>
        <v/>
      </c>
      <c r="R1576" s="769" t="str">
        <f>IF($F1576="","",$I1576+$J1576+$K1576)</f>
        <v/>
      </c>
      <c r="S1576" s="769" t="str">
        <f>IF(OR($F1576="",$P1576="支払なし",$H1576=0,$Q1576=""),"",$Q1576&amp;"|S|"&amp;(COUNTIF(S$4:S1575,$Q1576&amp;"|S|*")+1))</f>
        <v/>
      </c>
      <c r="T1576" s="769" t="str">
        <f>IF(OR($F1576="",$P1576="支払なし",$R1576=0,$Q1576=""),"",$Q1576&amp;"|L|"&amp;(COUNTIF(T$4:T1575,$Q1576&amp;"|L|*")+1))</f>
        <v/>
      </c>
      <c r="U1576" s="769" t="str">
        <f>IF($F1576="","",13)</f>
        <v/>
      </c>
    </row>
    <row r="1577" ht="16.5" customHeight="1" s="186">
      <c r="A1577" s="760" t="n"/>
      <c r="B1577" s="760" t="n"/>
      <c r="C1577" s="762" t="n"/>
      <c r="D1577" s="762" t="n"/>
      <c r="E1577" s="775" t="n"/>
      <c r="F1577" s="821" t="n"/>
      <c r="G1577" s="821" t="n"/>
      <c r="H1577" s="818">
        <f>IF(G1577=1,F1577-I1577-J1577-K1577,IF(G1577=2,F1577,0))</f>
        <v>0</v>
      </c>
      <c r="I1577" s="818">
        <f>ROUND(IF(G1577=1,F1577*10/23,IF(G1577=3,F1577-J1577-K1577,IF(G1577=4,F1577,IF(G1577=5,F1577*10/11,IF(G1577=7,F1577*10/11,0))))),0)</f>
        <v>0</v>
      </c>
      <c r="J1577" s="818">
        <f>ROUND(IF(G1577=1,F1577/23,IF(G1577=3,F1577/12,IF(G1577=5,F1577-I1577,IF(G1577=8,F1577,0)))),0)</f>
        <v>0</v>
      </c>
      <c r="K1577" s="819">
        <f>ROUND(IF(G1577=1,F1577/23,IF(G1577=3,F1577/12,IF(G1577=6,F1577,IF(G1577=7,F1577-I1577,0)))),0)</f>
        <v>0</v>
      </c>
      <c r="L1577" s="820">
        <f>IF(G1577=6,F1577,0)</f>
        <v>0</v>
      </c>
      <c r="P1577" s="768" t="n"/>
      <c r="Q1577" s="769" t="str">
        <f>IF($F1577="","",IFERROR(VLOOKUP($C1577&amp;"|"&amp;$D1577,科目表!$A$5:$B$200,2,FALSE),"※未登録"))</f>
        <v/>
      </c>
      <c r="R1577" s="769" t="str">
        <f>IF($F1577="","",$I1577+$J1577+$K1577)</f>
        <v/>
      </c>
      <c r="S1577" s="769" t="str">
        <f>IF(OR($F1577="",$P1577="支払なし",$H1577=0,$Q1577=""),"",$Q1577&amp;"|S|"&amp;(COUNTIF(S$4:S1576,$Q1577&amp;"|S|*")+1))</f>
        <v/>
      </c>
      <c r="T1577" s="769" t="str">
        <f>IF(OR($F1577="",$P1577="支払なし",$R1577=0,$Q1577=""),"",$Q1577&amp;"|L|"&amp;(COUNTIF(T$4:T1576,$Q1577&amp;"|L|*")+1))</f>
        <v/>
      </c>
      <c r="U1577" s="769" t="str">
        <f>IF($F1577="","",13)</f>
        <v/>
      </c>
    </row>
    <row r="1578" ht="16.5" customHeight="1" s="186">
      <c r="A1578" s="760" t="n"/>
      <c r="B1578" s="760" t="n"/>
      <c r="C1578" s="762" t="n"/>
      <c r="D1578" s="762" t="n"/>
      <c r="E1578" s="775" t="n"/>
      <c r="F1578" s="821" t="n"/>
      <c r="G1578" s="821" t="n"/>
      <c r="H1578" s="818">
        <f>IF(G1578=1,F1578-I1578-J1578-K1578,IF(G1578=2,F1578,0))</f>
        <v>0</v>
      </c>
      <c r="I1578" s="818">
        <f>ROUND(IF(G1578=1,F1578*10/23,IF(G1578=3,F1578-J1578-K1578,IF(G1578=4,F1578,IF(G1578=5,F1578*10/11,IF(G1578=7,F1578*10/11,0))))),0)</f>
        <v>0</v>
      </c>
      <c r="J1578" s="818">
        <f>ROUND(IF(G1578=1,F1578/23,IF(G1578=3,F1578/12,IF(G1578=5,F1578-I1578,IF(G1578=8,F1578,0)))),0)</f>
        <v>0</v>
      </c>
      <c r="K1578" s="819">
        <f>ROUND(IF(G1578=1,F1578/23,IF(G1578=3,F1578/12,IF(G1578=6,F1578,IF(G1578=7,F1578-I1578,0)))),0)</f>
        <v>0</v>
      </c>
      <c r="L1578" s="820">
        <f>IF(G1578=6,F1578,0)</f>
        <v>0</v>
      </c>
      <c r="P1578" s="768" t="n"/>
      <c r="Q1578" s="769" t="str">
        <f>IF($F1578="","",IFERROR(VLOOKUP($C1578&amp;"|"&amp;$D1578,科目表!$A$5:$B$200,2,FALSE),"※未登録"))</f>
        <v/>
      </c>
      <c r="R1578" s="769" t="str">
        <f>IF($F1578="","",$I1578+$J1578+$K1578)</f>
        <v/>
      </c>
      <c r="S1578" s="769" t="str">
        <f>IF(OR($F1578="",$P1578="支払なし",$H1578=0,$Q1578=""),"",$Q1578&amp;"|S|"&amp;(COUNTIF(S$4:S1577,$Q1578&amp;"|S|*")+1))</f>
        <v/>
      </c>
      <c r="T1578" s="769" t="str">
        <f>IF(OR($F1578="",$P1578="支払なし",$R1578=0,$Q1578=""),"",$Q1578&amp;"|L|"&amp;(COUNTIF(T$4:T1577,$Q1578&amp;"|L|*")+1))</f>
        <v/>
      </c>
      <c r="U1578" s="769" t="str">
        <f>IF($F1578="","",13)</f>
        <v/>
      </c>
    </row>
    <row r="1579" ht="16.5" customHeight="1" s="186">
      <c r="A1579" s="760" t="n"/>
      <c r="B1579" s="760" t="n"/>
      <c r="C1579" s="762" t="n"/>
      <c r="D1579" s="762" t="n"/>
      <c r="E1579" s="762" t="n"/>
      <c r="F1579" s="821" t="n"/>
      <c r="G1579" s="821" t="n"/>
      <c r="H1579" s="818">
        <f>IF(G1579=1,F1579-I1579-J1579-K1579,IF(G1579=2,F1579,0))</f>
        <v>0</v>
      </c>
      <c r="I1579" s="818">
        <f>ROUND(IF(G1579=1,F1579*10/23,IF(G1579=3,F1579-J1579-K1579,IF(G1579=4,F1579,IF(G1579=5,F1579*10/11,IF(G1579=7,F1579*10/11,0))))),0)</f>
        <v>0</v>
      </c>
      <c r="J1579" s="818">
        <f>ROUND(IF(G1579=1,F1579/23,IF(G1579=3,F1579/12,IF(G1579=5,F1579-I1579,IF(G1579=8,F1579,0)))),0)</f>
        <v>0</v>
      </c>
      <c r="K1579" s="819">
        <f>ROUND(IF(G1579=1,F1579/23,IF(G1579=3,F1579/12,IF(G1579=6,F1579,IF(G1579=7,F1579-I1579,0)))),0)</f>
        <v>0</v>
      </c>
      <c r="L1579" s="820">
        <f>IF(G1579=6,F1579,0)</f>
        <v>0</v>
      </c>
      <c r="P1579" s="768" t="n"/>
      <c r="Q1579" s="769" t="str">
        <f>IF($F1579="","",IFERROR(VLOOKUP($C1579&amp;"|"&amp;$D1579,科目表!$A$5:$B$200,2,FALSE),"※未登録"))</f>
        <v/>
      </c>
      <c r="R1579" s="769" t="str">
        <f>IF($F1579="","",$I1579+$J1579+$K1579)</f>
        <v/>
      </c>
      <c r="S1579" s="769" t="str">
        <f>IF(OR($F1579="",$P1579="支払なし",$H1579=0,$Q1579=""),"",$Q1579&amp;"|S|"&amp;(COUNTIF(S$4:S1578,$Q1579&amp;"|S|*")+1))</f>
        <v/>
      </c>
      <c r="T1579" s="769" t="str">
        <f>IF(OR($F1579="",$P1579="支払なし",$R1579=0,$Q1579=""),"",$Q1579&amp;"|L|"&amp;(COUNTIF(T$4:T1578,$Q1579&amp;"|L|*")+1))</f>
        <v/>
      </c>
      <c r="U1579" s="769" t="str">
        <f>IF($F1579="","",13)</f>
        <v/>
      </c>
    </row>
    <row r="1580" ht="16.5" customHeight="1" s="186">
      <c r="A1580" s="760" t="n"/>
      <c r="B1580" s="760" t="n"/>
      <c r="C1580" s="762" t="n"/>
      <c r="D1580" s="762" t="n"/>
      <c r="E1580" s="762" t="n"/>
      <c r="F1580" s="821" t="n"/>
      <c r="G1580" s="821" t="n"/>
      <c r="H1580" s="818">
        <f>IF(G1580=1,F1580-I1580-J1580-K1580,IF(G1580=2,F1580,0))</f>
        <v>0</v>
      </c>
      <c r="I1580" s="818">
        <f>ROUND(IF(G1580=1,F1580*10/23,IF(G1580=3,F1580-J1580-K1580,IF(G1580=4,F1580,IF(G1580=5,F1580*10/11,IF(G1580=7,F1580*10/11,0))))),0)</f>
        <v>0</v>
      </c>
      <c r="J1580" s="818">
        <f>ROUND(IF(G1580=1,F1580/23,IF(G1580=3,F1580/12,IF(G1580=5,F1580-I1580,IF(G1580=8,F1580,0)))),0)</f>
        <v>0</v>
      </c>
      <c r="K1580" s="819">
        <f>ROUND(IF(G1580=1,F1580/23,IF(G1580=3,F1580/12,IF(G1580=6,F1580,IF(G1580=7,F1580-I1580,0)))),0)</f>
        <v>0</v>
      </c>
      <c r="L1580" s="820">
        <f>IF(G1580=6,F1580,0)</f>
        <v>0</v>
      </c>
      <c r="P1580" s="768" t="n"/>
      <c r="Q1580" s="769" t="str">
        <f>IF($F1580="","",IFERROR(VLOOKUP($C1580&amp;"|"&amp;$D1580,科目表!$A$5:$B$200,2,FALSE),"※未登録"))</f>
        <v/>
      </c>
      <c r="R1580" s="769" t="str">
        <f>IF($F1580="","",$I1580+$J1580+$K1580)</f>
        <v/>
      </c>
      <c r="S1580" s="769" t="str">
        <f>IF(OR($F1580="",$P1580="支払なし",$H1580=0,$Q1580=""),"",$Q1580&amp;"|S|"&amp;(COUNTIF(S$4:S1579,$Q1580&amp;"|S|*")+1))</f>
        <v/>
      </c>
      <c r="T1580" s="769" t="str">
        <f>IF(OR($F1580="",$P1580="支払なし",$R1580=0,$Q1580=""),"",$Q1580&amp;"|L|"&amp;(COUNTIF(T$4:T1579,$Q1580&amp;"|L|*")+1))</f>
        <v/>
      </c>
      <c r="U1580" s="769" t="str">
        <f>IF($F1580="","",13)</f>
        <v/>
      </c>
    </row>
    <row r="1581" ht="16.5" customHeight="1" s="186">
      <c r="A1581" s="760" t="n"/>
      <c r="B1581" s="760" t="n"/>
      <c r="C1581" s="762" t="n"/>
      <c r="D1581" s="762" t="n"/>
      <c r="E1581" s="775" t="n"/>
      <c r="F1581" s="821" t="n"/>
      <c r="G1581" s="821" t="n"/>
      <c r="H1581" s="818">
        <f>IF(G1581=1,F1581-I1581-J1581-K1581,IF(G1581=2,F1581,0))</f>
        <v>0</v>
      </c>
      <c r="I1581" s="818">
        <f>ROUND(IF(G1581=1,F1581*10/23,IF(G1581=3,F1581-J1581-K1581,IF(G1581=4,F1581,IF(G1581=5,F1581*10/11,IF(G1581=7,F1581*10/11,0))))),0)</f>
        <v>0</v>
      </c>
      <c r="J1581" s="818">
        <f>ROUND(IF(G1581=1,F1581/23,IF(G1581=3,F1581/12,IF(G1581=5,F1581-I1581,IF(G1581=8,F1581,0)))),0)</f>
        <v>0</v>
      </c>
      <c r="K1581" s="819">
        <f>ROUND(IF(G1581=1,F1581/23,IF(G1581=3,F1581/12,IF(G1581=6,F1581,IF(G1581=7,F1581-I1581,0)))),0)</f>
        <v>0</v>
      </c>
      <c r="L1581" s="820">
        <f>IF(G1581=6,F1581,0)</f>
        <v>0</v>
      </c>
      <c r="P1581" s="768" t="n"/>
      <c r="Q1581" s="769" t="str">
        <f>IF($F1581="","",IFERROR(VLOOKUP($C1581&amp;"|"&amp;$D1581,科目表!$A$5:$B$200,2,FALSE),"※未登録"))</f>
        <v/>
      </c>
      <c r="R1581" s="769" t="str">
        <f>IF($F1581="","",$I1581+$J1581+$K1581)</f>
        <v/>
      </c>
      <c r="S1581" s="769" t="str">
        <f>IF(OR($F1581="",$P1581="支払なし",$H1581=0,$Q1581=""),"",$Q1581&amp;"|S|"&amp;(COUNTIF(S$4:S1580,$Q1581&amp;"|S|*")+1))</f>
        <v/>
      </c>
      <c r="T1581" s="769" t="str">
        <f>IF(OR($F1581="",$P1581="支払なし",$R1581=0,$Q1581=""),"",$Q1581&amp;"|L|"&amp;(COUNTIF(T$4:T1580,$Q1581&amp;"|L|*")+1))</f>
        <v/>
      </c>
      <c r="U1581" s="769" t="str">
        <f>IF($F1581="","",13)</f>
        <v/>
      </c>
    </row>
    <row r="1582" ht="16.5" customHeight="1" s="186">
      <c r="A1582" s="760" t="n"/>
      <c r="B1582" s="760" t="n"/>
      <c r="C1582" s="762" t="n"/>
      <c r="D1582" s="762" t="n"/>
      <c r="E1582" s="762" t="n"/>
      <c r="F1582" s="821" t="n"/>
      <c r="G1582" s="821" t="n"/>
      <c r="H1582" s="818">
        <f>IF(G1582=1,F1582-I1582-J1582-K1582,IF(G1582=2,F1582,0))</f>
        <v>0</v>
      </c>
      <c r="I1582" s="818">
        <f>ROUND(IF(G1582=1,F1582*10/23,IF(G1582=3,F1582-J1582-K1582,IF(G1582=4,F1582,IF(G1582=5,F1582*10/11,IF(G1582=7,F1582*10/11,0))))),0)</f>
        <v>0</v>
      </c>
      <c r="J1582" s="818">
        <f>ROUND(IF(G1582=1,F1582/23,IF(G1582=3,F1582/12,IF(G1582=5,F1582-I1582,IF(G1582=8,F1582,0)))),0)</f>
        <v>0</v>
      </c>
      <c r="K1582" s="819">
        <f>ROUND(IF(G1582=1,F1582/23,IF(G1582=3,F1582/12,IF(G1582=6,F1582,IF(G1582=7,F1582-I1582,0)))),0)</f>
        <v>0</v>
      </c>
      <c r="L1582" s="820">
        <f>IF(G1582=6,F1582,0)</f>
        <v>0</v>
      </c>
      <c r="P1582" s="768" t="n"/>
      <c r="Q1582" s="769" t="str">
        <f>IF($F1582="","",IFERROR(VLOOKUP($C1582&amp;"|"&amp;$D1582,科目表!$A$5:$B$200,2,FALSE),"※未登録"))</f>
        <v/>
      </c>
      <c r="R1582" s="769" t="str">
        <f>IF($F1582="","",$I1582+$J1582+$K1582)</f>
        <v/>
      </c>
      <c r="S1582" s="769" t="str">
        <f>IF(OR($F1582="",$P1582="支払なし",$H1582=0,$Q1582=""),"",$Q1582&amp;"|S|"&amp;(COUNTIF(S$4:S1581,$Q1582&amp;"|S|*")+1))</f>
        <v/>
      </c>
      <c r="T1582" s="769" t="str">
        <f>IF(OR($F1582="",$P1582="支払なし",$R1582=0,$Q1582=""),"",$Q1582&amp;"|L|"&amp;(COUNTIF(T$4:T1581,$Q1582&amp;"|L|*")+1))</f>
        <v/>
      </c>
      <c r="U1582" s="769" t="str">
        <f>IF($F1582="","",13)</f>
        <v/>
      </c>
    </row>
    <row r="1583" ht="16.5" customHeight="1" s="186">
      <c r="A1583" s="760" t="n"/>
      <c r="B1583" s="760" t="n"/>
      <c r="C1583" s="762" t="n"/>
      <c r="D1583" s="762" t="n"/>
      <c r="E1583" s="775" t="n"/>
      <c r="F1583" s="821" t="n"/>
      <c r="G1583" s="821" t="n"/>
      <c r="H1583" s="818">
        <f>IF(G1583=1,F1583-I1583-J1583-K1583,IF(G1583=2,F1583,0))</f>
        <v>0</v>
      </c>
      <c r="I1583" s="818">
        <f>ROUND(IF(G1583=1,F1583*10/23,IF(G1583=3,F1583-J1583-K1583,IF(G1583=4,F1583,IF(G1583=5,F1583*10/11,IF(G1583=7,F1583*10/11,0))))),0)</f>
        <v>0</v>
      </c>
      <c r="J1583" s="818">
        <f>ROUND(IF(G1583=1,F1583/23,IF(G1583=3,F1583/12,IF(G1583=5,F1583-I1583,IF(G1583=8,F1583,0)))),0)</f>
        <v>0</v>
      </c>
      <c r="K1583" s="819">
        <f>ROUND(IF(G1583=1,F1583/23,IF(G1583=3,F1583/12,IF(G1583=6,F1583,IF(G1583=7,F1583-I1583,0)))),0)</f>
        <v>0</v>
      </c>
      <c r="L1583" s="820">
        <f>IF(G1583=6,F1583,0)</f>
        <v>0</v>
      </c>
      <c r="P1583" s="768" t="n"/>
      <c r="Q1583" s="769" t="str">
        <f>IF($F1583="","",IFERROR(VLOOKUP($C1583&amp;"|"&amp;$D1583,科目表!$A$5:$B$200,2,FALSE),"※未登録"))</f>
        <v/>
      </c>
      <c r="R1583" s="769" t="str">
        <f>IF($F1583="","",$I1583+$J1583+$K1583)</f>
        <v/>
      </c>
      <c r="S1583" s="769" t="str">
        <f>IF(OR($F1583="",$P1583="支払なし",$H1583=0,$Q1583=""),"",$Q1583&amp;"|S|"&amp;(COUNTIF(S$4:S1582,$Q1583&amp;"|S|*")+1))</f>
        <v/>
      </c>
      <c r="T1583" s="769" t="str">
        <f>IF(OR($F1583="",$P1583="支払なし",$R1583=0,$Q1583=""),"",$Q1583&amp;"|L|"&amp;(COUNTIF(T$4:T1582,$Q1583&amp;"|L|*")+1))</f>
        <v/>
      </c>
      <c r="U1583" s="769" t="str">
        <f>IF($F1583="","",13)</f>
        <v/>
      </c>
    </row>
    <row r="1584" ht="16.5" customHeight="1" s="186">
      <c r="A1584" s="760" t="n"/>
      <c r="B1584" s="760" t="n"/>
      <c r="C1584" s="762" t="n"/>
      <c r="D1584" s="762" t="n"/>
      <c r="E1584" s="775" t="n"/>
      <c r="F1584" s="821" t="n"/>
      <c r="G1584" s="821" t="n"/>
      <c r="H1584" s="818">
        <f>IF(G1584=1,F1584-I1584-J1584-K1584,IF(G1584=2,F1584,0))</f>
        <v>0</v>
      </c>
      <c r="I1584" s="818">
        <f>ROUND(IF(G1584=1,F1584*10/23,IF(G1584=3,F1584-J1584-K1584,IF(G1584=4,F1584,IF(G1584=5,F1584*10/11,IF(G1584=7,F1584*10/11,0))))),0)</f>
        <v>0</v>
      </c>
      <c r="J1584" s="818">
        <f>ROUND(IF(G1584=1,F1584/23,IF(G1584=3,F1584/12,IF(G1584=5,F1584-I1584,IF(G1584=8,F1584,0)))),0)</f>
        <v>0</v>
      </c>
      <c r="K1584" s="819">
        <f>ROUND(IF(G1584=1,F1584/23,IF(G1584=3,F1584/12,IF(G1584=6,F1584,IF(G1584=7,F1584-I1584,0)))),0)</f>
        <v>0</v>
      </c>
      <c r="L1584" s="820">
        <f>IF(G1584=6,F1584,0)</f>
        <v>0</v>
      </c>
      <c r="P1584" s="768" t="n"/>
      <c r="Q1584" s="769" t="str">
        <f>IF($F1584="","",IFERROR(VLOOKUP($C1584&amp;"|"&amp;$D1584,科目表!$A$5:$B$200,2,FALSE),"※未登録"))</f>
        <v/>
      </c>
      <c r="R1584" s="769" t="str">
        <f>IF($F1584="","",$I1584+$J1584+$K1584)</f>
        <v/>
      </c>
      <c r="S1584" s="769" t="str">
        <f>IF(OR($F1584="",$P1584="支払なし",$H1584=0,$Q1584=""),"",$Q1584&amp;"|S|"&amp;(COUNTIF(S$4:S1583,$Q1584&amp;"|S|*")+1))</f>
        <v/>
      </c>
      <c r="T1584" s="769" t="str">
        <f>IF(OR($F1584="",$P1584="支払なし",$R1584=0,$Q1584=""),"",$Q1584&amp;"|L|"&amp;(COUNTIF(T$4:T1583,$Q1584&amp;"|L|*")+1))</f>
        <v/>
      </c>
      <c r="U1584" s="769" t="str">
        <f>IF($F1584="","",13)</f>
        <v/>
      </c>
    </row>
    <row r="1585" ht="16.5" customHeight="1" s="186">
      <c r="A1585" s="760" t="n"/>
      <c r="B1585" s="760" t="n"/>
      <c r="C1585" s="762" t="n"/>
      <c r="D1585" s="762" t="n"/>
      <c r="E1585" s="775" t="n"/>
      <c r="F1585" s="821" t="n"/>
      <c r="G1585" s="821" t="n"/>
      <c r="H1585" s="818">
        <f>IF(G1585=1,F1585-I1585-J1585-K1585,IF(G1585=2,F1585,0))</f>
        <v>0</v>
      </c>
      <c r="I1585" s="818">
        <f>ROUND(IF(G1585=1,F1585*10/23,IF(G1585=3,F1585-J1585-K1585,IF(G1585=4,F1585,IF(G1585=5,F1585*10/11,IF(G1585=7,F1585*10/11,0))))),0)</f>
        <v>0</v>
      </c>
      <c r="J1585" s="818">
        <f>ROUND(IF(G1585=1,F1585/23,IF(G1585=3,F1585/12,IF(G1585=5,F1585-I1585,IF(G1585=8,F1585,0)))),0)</f>
        <v>0</v>
      </c>
      <c r="K1585" s="819">
        <f>ROUND(IF(G1585=1,F1585/23,IF(G1585=3,F1585/12,IF(G1585=6,F1585,IF(G1585=7,F1585-I1585,0)))),0)</f>
        <v>0</v>
      </c>
      <c r="L1585" s="820">
        <f>IF(G1585=6,F1585,0)</f>
        <v>0</v>
      </c>
      <c r="P1585" s="768" t="n"/>
      <c r="Q1585" s="769" t="str">
        <f>IF($F1585="","",IFERROR(VLOOKUP($C1585&amp;"|"&amp;$D1585,科目表!$A$5:$B$200,2,FALSE),"※未登録"))</f>
        <v/>
      </c>
      <c r="R1585" s="769" t="str">
        <f>IF($F1585="","",$I1585+$J1585+$K1585)</f>
        <v/>
      </c>
      <c r="S1585" s="769" t="str">
        <f>IF(OR($F1585="",$P1585="支払なし",$H1585=0,$Q1585=""),"",$Q1585&amp;"|S|"&amp;(COUNTIF(S$4:S1584,$Q1585&amp;"|S|*")+1))</f>
        <v/>
      </c>
      <c r="T1585" s="769" t="str">
        <f>IF(OR($F1585="",$P1585="支払なし",$R1585=0,$Q1585=""),"",$Q1585&amp;"|L|"&amp;(COUNTIF(T$4:T1584,$Q1585&amp;"|L|*")+1))</f>
        <v/>
      </c>
      <c r="U1585" s="769" t="str">
        <f>IF($F1585="","",13)</f>
        <v/>
      </c>
    </row>
    <row r="1586" ht="16.5" customHeight="1" s="186">
      <c r="A1586" s="760" t="n"/>
      <c r="B1586" s="760" t="n"/>
      <c r="C1586" s="762" t="n"/>
      <c r="D1586" s="762" t="n"/>
      <c r="E1586" s="775" t="n"/>
      <c r="F1586" s="821" t="n"/>
      <c r="G1586" s="821" t="n"/>
      <c r="H1586" s="818">
        <f>IF(G1586=1,F1586-I1586-J1586-K1586,IF(G1586=2,F1586,0))</f>
        <v>0</v>
      </c>
      <c r="I1586" s="818">
        <f>ROUND(IF(G1586=1,F1586*10/23,IF(G1586=3,F1586-J1586-K1586,IF(G1586=4,F1586,IF(G1586=5,F1586*10/11,IF(G1586=7,F1586*10/11,0))))),0)</f>
        <v>0</v>
      </c>
      <c r="J1586" s="818">
        <f>ROUND(IF(G1586=1,F1586/23,IF(G1586=3,F1586/12,IF(G1586=5,F1586-I1586,IF(G1586=8,F1586,0)))),0)</f>
        <v>0</v>
      </c>
      <c r="K1586" s="819">
        <f>ROUND(IF(G1586=1,F1586/23,IF(G1586=3,F1586/12,IF(G1586=6,F1586,IF(G1586=7,F1586-I1586,0)))),0)</f>
        <v>0</v>
      </c>
      <c r="L1586" s="820">
        <f>IF(G1586=6,F1586,0)</f>
        <v>0</v>
      </c>
      <c r="P1586" s="768" t="n"/>
      <c r="Q1586" s="769" t="str">
        <f>IF($F1586="","",IFERROR(VLOOKUP($C1586&amp;"|"&amp;$D1586,科目表!$A$5:$B$200,2,FALSE),"※未登録"))</f>
        <v/>
      </c>
      <c r="R1586" s="769" t="str">
        <f>IF($F1586="","",$I1586+$J1586+$K1586)</f>
        <v/>
      </c>
      <c r="S1586" s="769" t="str">
        <f>IF(OR($F1586="",$P1586="支払なし",$H1586=0,$Q1586=""),"",$Q1586&amp;"|S|"&amp;(COUNTIF(S$4:S1585,$Q1586&amp;"|S|*")+1))</f>
        <v/>
      </c>
      <c r="T1586" s="769" t="str">
        <f>IF(OR($F1586="",$P1586="支払なし",$R1586=0,$Q1586=""),"",$Q1586&amp;"|L|"&amp;(COUNTIF(T$4:T1585,$Q1586&amp;"|L|*")+1))</f>
        <v/>
      </c>
      <c r="U1586" s="769" t="str">
        <f>IF($F1586="","",13)</f>
        <v/>
      </c>
    </row>
    <row r="1587" ht="16.5" customHeight="1" s="186">
      <c r="A1587" s="760" t="n"/>
      <c r="B1587" s="760" t="n"/>
      <c r="C1587" s="762" t="n"/>
      <c r="D1587" s="762" t="n"/>
      <c r="E1587" s="775" t="n"/>
      <c r="F1587" s="821" t="n"/>
      <c r="G1587" s="821" t="n"/>
      <c r="H1587" s="818">
        <f>IF(G1587=1,F1587-I1587-J1587-K1587,IF(G1587=2,F1587,0))</f>
        <v>0</v>
      </c>
      <c r="I1587" s="818">
        <f>ROUND(IF(G1587=1,F1587*10/23,IF(G1587=3,F1587-J1587-K1587,IF(G1587=4,F1587,IF(G1587=5,F1587*10/11,IF(G1587=7,F1587*10/11,0))))),0)</f>
        <v>0</v>
      </c>
      <c r="J1587" s="818">
        <f>ROUND(IF(G1587=1,F1587/23,IF(G1587=3,F1587/12,IF(G1587=5,F1587-I1587,IF(G1587=8,F1587,0)))),0)</f>
        <v>0</v>
      </c>
      <c r="K1587" s="819">
        <f>ROUND(IF(G1587=1,F1587/23,IF(G1587=3,F1587/12,IF(G1587=6,F1587,IF(G1587=7,F1587-I1587,0)))),0)</f>
        <v>0</v>
      </c>
      <c r="L1587" s="820">
        <f>IF(G1587=6,F1587,0)</f>
        <v>0</v>
      </c>
      <c r="P1587" s="768" t="n"/>
      <c r="Q1587" s="769" t="str">
        <f>IF($F1587="","",IFERROR(VLOOKUP($C1587&amp;"|"&amp;$D1587,科目表!$A$5:$B$200,2,FALSE),"※未登録"))</f>
        <v/>
      </c>
      <c r="R1587" s="769" t="str">
        <f>IF($F1587="","",$I1587+$J1587+$K1587)</f>
        <v/>
      </c>
      <c r="S1587" s="769" t="str">
        <f>IF(OR($F1587="",$P1587="支払なし",$H1587=0,$Q1587=""),"",$Q1587&amp;"|S|"&amp;(COUNTIF(S$4:S1586,$Q1587&amp;"|S|*")+1))</f>
        <v/>
      </c>
      <c r="T1587" s="769" t="str">
        <f>IF(OR($F1587="",$P1587="支払なし",$R1587=0,$Q1587=""),"",$Q1587&amp;"|L|"&amp;(COUNTIF(T$4:T1586,$Q1587&amp;"|L|*")+1))</f>
        <v/>
      </c>
      <c r="U1587" s="769" t="str">
        <f>IF($F1587="","",13)</f>
        <v/>
      </c>
    </row>
    <row r="1588" ht="16.5" customHeight="1" s="186">
      <c r="A1588" s="760" t="n"/>
      <c r="B1588" s="760" t="n"/>
      <c r="C1588" s="762" t="n"/>
      <c r="D1588" s="762" t="n"/>
      <c r="E1588" s="775" t="n"/>
      <c r="F1588" s="821" t="n"/>
      <c r="G1588" s="821" t="n"/>
      <c r="H1588" s="818">
        <f>IF(G1588=1,F1588-I1588-J1588-K1588,IF(G1588=2,F1588,0))</f>
        <v>0</v>
      </c>
      <c r="I1588" s="818">
        <f>ROUND(IF(G1588=1,F1588*10/23,IF(G1588=3,F1588-J1588-K1588,IF(G1588=4,F1588,IF(G1588=5,F1588*10/11,IF(G1588=7,F1588*10/11,0))))),0)</f>
        <v>0</v>
      </c>
      <c r="J1588" s="818">
        <f>ROUND(IF(G1588=1,F1588/23,IF(G1588=3,F1588/12,IF(G1588=5,F1588-I1588,IF(G1588=8,F1588,0)))),0)</f>
        <v>0</v>
      </c>
      <c r="K1588" s="819">
        <f>ROUND(IF(G1588=1,F1588/23,IF(G1588=3,F1588/12,IF(G1588=6,F1588,IF(G1588=7,F1588-I1588,0)))),0)</f>
        <v>0</v>
      </c>
      <c r="L1588" s="820">
        <f>IF(G1588=6,F1588,0)</f>
        <v>0</v>
      </c>
      <c r="P1588" s="768" t="n"/>
      <c r="Q1588" s="769" t="str">
        <f>IF($F1588="","",IFERROR(VLOOKUP($C1588&amp;"|"&amp;$D1588,科目表!$A$5:$B$200,2,FALSE),"※未登録"))</f>
        <v/>
      </c>
      <c r="R1588" s="769" t="str">
        <f>IF($F1588="","",$I1588+$J1588+$K1588)</f>
        <v/>
      </c>
      <c r="S1588" s="769" t="str">
        <f>IF(OR($F1588="",$P1588="支払なし",$H1588=0,$Q1588=""),"",$Q1588&amp;"|S|"&amp;(COUNTIF(S$4:S1587,$Q1588&amp;"|S|*")+1))</f>
        <v/>
      </c>
      <c r="T1588" s="769" t="str">
        <f>IF(OR($F1588="",$P1588="支払なし",$R1588=0,$Q1588=""),"",$Q1588&amp;"|L|"&amp;(COUNTIF(T$4:T1587,$Q1588&amp;"|L|*")+1))</f>
        <v/>
      </c>
      <c r="U1588" s="769" t="str">
        <f>IF($F1588="","",13)</f>
        <v/>
      </c>
    </row>
    <row r="1589" ht="16.5" customHeight="1" s="186">
      <c r="A1589" s="760" t="n"/>
      <c r="B1589" s="760" t="n"/>
      <c r="C1589" s="762" t="n"/>
      <c r="D1589" s="762" t="n"/>
      <c r="E1589" s="775" t="n"/>
      <c r="F1589" s="821" t="n"/>
      <c r="G1589" s="821" t="n"/>
      <c r="H1589" s="818">
        <f>IF(G1589=1,F1589-I1589-J1589-K1589,IF(G1589=2,F1589,0))</f>
        <v>0</v>
      </c>
      <c r="I1589" s="818">
        <f>ROUND(IF(G1589=1,F1589*10/23,IF(G1589=3,F1589-J1589-K1589,IF(G1589=4,F1589,IF(G1589=5,F1589*10/11,IF(G1589=7,F1589*10/11,0))))),0)</f>
        <v>0</v>
      </c>
      <c r="J1589" s="818">
        <f>ROUND(IF(G1589=1,F1589/23,IF(G1589=3,F1589/12,IF(G1589=5,F1589-I1589,IF(G1589=8,F1589,0)))),0)</f>
        <v>0</v>
      </c>
      <c r="K1589" s="819">
        <f>ROUND(IF(G1589=1,F1589/23,IF(G1589=3,F1589/12,IF(G1589=6,F1589,IF(G1589=7,F1589-I1589,0)))),0)</f>
        <v>0</v>
      </c>
      <c r="L1589" s="820">
        <f>IF(G1589=6,F1589,0)</f>
        <v>0</v>
      </c>
      <c r="P1589" s="768" t="n"/>
      <c r="Q1589" s="769" t="str">
        <f>IF($F1589="","",IFERROR(VLOOKUP($C1589&amp;"|"&amp;$D1589,科目表!$A$5:$B$200,2,FALSE),"※未登録"))</f>
        <v/>
      </c>
      <c r="R1589" s="769" t="str">
        <f>IF($F1589="","",$I1589+$J1589+$K1589)</f>
        <v/>
      </c>
      <c r="S1589" s="769" t="str">
        <f>IF(OR($F1589="",$P1589="支払なし",$H1589=0,$Q1589=""),"",$Q1589&amp;"|S|"&amp;(COUNTIF(S$4:S1588,$Q1589&amp;"|S|*")+1))</f>
        <v/>
      </c>
      <c r="T1589" s="769" t="str">
        <f>IF(OR($F1589="",$P1589="支払なし",$R1589=0,$Q1589=""),"",$Q1589&amp;"|L|"&amp;(COUNTIF(T$4:T1588,$Q1589&amp;"|L|*")+1))</f>
        <v/>
      </c>
      <c r="U1589" s="769" t="str">
        <f>IF($F1589="","",13)</f>
        <v/>
      </c>
    </row>
    <row r="1590" ht="16.5" customHeight="1" s="186">
      <c r="A1590" s="760" t="n"/>
      <c r="B1590" s="760" t="n"/>
      <c r="C1590" s="762" t="n"/>
      <c r="D1590" s="762" t="n"/>
      <c r="E1590" s="775" t="n"/>
      <c r="F1590" s="821" t="n"/>
      <c r="G1590" s="821" t="n"/>
      <c r="H1590" s="818">
        <f>IF(G1590=1,F1590-I1590-J1590-K1590,IF(G1590=2,F1590,0))</f>
        <v>0</v>
      </c>
      <c r="I1590" s="818">
        <f>ROUND(IF(G1590=1,F1590*10/23,IF(G1590=3,F1590-J1590-K1590,IF(G1590=4,F1590,IF(G1590=5,F1590*10/11,IF(G1590=7,F1590*10/11,0))))),0)</f>
        <v>0</v>
      </c>
      <c r="J1590" s="818">
        <f>ROUND(IF(G1590=1,F1590/23,IF(G1590=3,F1590/12,IF(G1590=5,F1590-I1590,IF(G1590=8,F1590,0)))),0)</f>
        <v>0</v>
      </c>
      <c r="K1590" s="819">
        <f>ROUND(IF(G1590=1,F1590/23,IF(G1590=3,F1590/12,IF(G1590=6,F1590,IF(G1590=7,F1590-I1590,0)))),0)</f>
        <v>0</v>
      </c>
      <c r="L1590" s="820">
        <f>IF(G1590=6,F1590,0)</f>
        <v>0</v>
      </c>
      <c r="P1590" s="768" t="n"/>
      <c r="Q1590" s="769" t="str">
        <f>IF($F1590="","",IFERROR(VLOOKUP($C1590&amp;"|"&amp;$D1590,科目表!$A$5:$B$200,2,FALSE),"※未登録"))</f>
        <v/>
      </c>
      <c r="R1590" s="769" t="str">
        <f>IF($F1590="","",$I1590+$J1590+$K1590)</f>
        <v/>
      </c>
      <c r="S1590" s="769" t="str">
        <f>IF(OR($F1590="",$P1590="支払なし",$H1590=0,$Q1590=""),"",$Q1590&amp;"|S|"&amp;(COUNTIF(S$4:S1589,$Q1590&amp;"|S|*")+1))</f>
        <v/>
      </c>
      <c r="T1590" s="769" t="str">
        <f>IF(OR($F1590="",$P1590="支払なし",$R1590=0,$Q1590=""),"",$Q1590&amp;"|L|"&amp;(COUNTIF(T$4:T1589,$Q1590&amp;"|L|*")+1))</f>
        <v/>
      </c>
      <c r="U1590" s="769" t="str">
        <f>IF($F1590="","",13)</f>
        <v/>
      </c>
    </row>
    <row r="1591" ht="16.5" customHeight="1" s="186">
      <c r="A1591" s="760" t="n"/>
      <c r="B1591" s="760" t="n"/>
      <c r="C1591" s="762" t="n"/>
      <c r="D1591" s="762" t="n"/>
      <c r="E1591" s="775" t="n"/>
      <c r="F1591" s="821" t="n"/>
      <c r="G1591" s="821" t="n"/>
      <c r="H1591" s="818">
        <f>IF(G1591=1,F1591-I1591-J1591-K1591,IF(G1591=2,F1591,0))</f>
        <v>0</v>
      </c>
      <c r="I1591" s="818">
        <f>ROUND(IF(G1591=1,F1591*10/23,IF(G1591=3,F1591-J1591-K1591,IF(G1591=4,F1591,IF(G1591=5,F1591*10/11,IF(G1591=7,F1591*10/11,0))))),0)</f>
        <v>0</v>
      </c>
      <c r="J1591" s="818">
        <f>ROUND(IF(G1591=1,F1591/23,IF(G1591=3,F1591/12,IF(G1591=5,F1591-I1591,IF(G1591=8,F1591,0)))),0)</f>
        <v>0</v>
      </c>
      <c r="K1591" s="819">
        <f>ROUND(IF(G1591=1,F1591/23,IF(G1591=3,F1591/12,IF(G1591=6,F1591,IF(G1591=7,F1591-I1591,0)))),0)</f>
        <v>0</v>
      </c>
      <c r="L1591" s="820">
        <f>IF(G1591=6,F1591,0)</f>
        <v>0</v>
      </c>
      <c r="P1591" s="768" t="n"/>
      <c r="Q1591" s="769" t="str">
        <f>IF($F1591="","",IFERROR(VLOOKUP($C1591&amp;"|"&amp;$D1591,科目表!$A$5:$B$200,2,FALSE),"※未登録"))</f>
        <v/>
      </c>
      <c r="R1591" s="769" t="str">
        <f>IF($F1591="","",$I1591+$J1591+$K1591)</f>
        <v/>
      </c>
      <c r="S1591" s="769" t="str">
        <f>IF(OR($F1591="",$P1591="支払なし",$H1591=0,$Q1591=""),"",$Q1591&amp;"|S|"&amp;(COUNTIF(S$4:S1590,$Q1591&amp;"|S|*")+1))</f>
        <v/>
      </c>
      <c r="T1591" s="769" t="str">
        <f>IF(OR($F1591="",$P1591="支払なし",$R1591=0,$Q1591=""),"",$Q1591&amp;"|L|"&amp;(COUNTIF(T$4:T1590,$Q1591&amp;"|L|*")+1))</f>
        <v/>
      </c>
      <c r="U1591" s="769" t="str">
        <f>IF($F1591="","",13)</f>
        <v/>
      </c>
    </row>
    <row r="1592" ht="16.5" customHeight="1" s="186">
      <c r="A1592" s="760" t="n"/>
      <c r="B1592" s="760" t="n"/>
      <c r="C1592" s="762" t="n"/>
      <c r="D1592" s="762" t="n"/>
      <c r="E1592" s="775" t="n"/>
      <c r="F1592" s="821" t="n"/>
      <c r="G1592" s="821" t="n"/>
      <c r="H1592" s="818">
        <f>IF(G1592=1,F1592-I1592-J1592-K1592,IF(G1592=2,F1592,0))</f>
        <v>0</v>
      </c>
      <c r="I1592" s="818">
        <f>ROUND(IF(G1592=1,F1592*10/23,IF(G1592=3,F1592-J1592-K1592,IF(G1592=4,F1592,IF(G1592=5,F1592*10/11,IF(G1592=7,F1592*10/11,0))))),0)</f>
        <v>0</v>
      </c>
      <c r="J1592" s="818">
        <f>ROUND(IF(G1592=1,F1592/23,IF(G1592=3,F1592/12,IF(G1592=5,F1592-I1592,IF(G1592=8,F1592,0)))),0)</f>
        <v>0</v>
      </c>
      <c r="K1592" s="819">
        <f>ROUND(IF(G1592=1,F1592/23,IF(G1592=3,F1592/12,IF(G1592=6,F1592,IF(G1592=7,F1592-I1592,0)))),0)</f>
        <v>0</v>
      </c>
      <c r="L1592" s="820">
        <f>IF(G1592=6,F1592,0)</f>
        <v>0</v>
      </c>
      <c r="P1592" s="768" t="n"/>
      <c r="Q1592" s="769" t="str">
        <f>IF($F1592="","",IFERROR(VLOOKUP($C1592&amp;"|"&amp;$D1592,科目表!$A$5:$B$200,2,FALSE),"※未登録"))</f>
        <v/>
      </c>
      <c r="R1592" s="769" t="str">
        <f>IF($F1592="","",$I1592+$J1592+$K1592)</f>
        <v/>
      </c>
      <c r="S1592" s="769" t="str">
        <f>IF(OR($F1592="",$P1592="支払なし",$H1592=0,$Q1592=""),"",$Q1592&amp;"|S|"&amp;(COUNTIF(S$4:S1591,$Q1592&amp;"|S|*")+1))</f>
        <v/>
      </c>
      <c r="T1592" s="769" t="str">
        <f>IF(OR($F1592="",$P1592="支払なし",$R1592=0,$Q1592=""),"",$Q1592&amp;"|L|"&amp;(COUNTIF(T$4:T1591,$Q1592&amp;"|L|*")+1))</f>
        <v/>
      </c>
      <c r="U1592" s="769" t="str">
        <f>IF($F1592="","",13)</f>
        <v/>
      </c>
    </row>
    <row r="1593" ht="16.5" customHeight="1" s="186">
      <c r="A1593" s="760" t="n"/>
      <c r="B1593" s="760" t="n"/>
      <c r="C1593" s="762" t="n"/>
      <c r="D1593" s="762" t="n"/>
      <c r="E1593" s="775" t="n"/>
      <c r="F1593" s="821" t="n"/>
      <c r="G1593" s="821" t="n"/>
      <c r="H1593" s="818">
        <f>IF(G1593=1,F1593-I1593-J1593-K1593,IF(G1593=2,F1593,0))</f>
        <v>0</v>
      </c>
      <c r="I1593" s="818">
        <f>ROUND(IF(G1593=1,F1593*10/23,IF(G1593=3,F1593-J1593-K1593,IF(G1593=4,F1593,IF(G1593=5,F1593*10/11,IF(G1593=7,F1593*10/11,0))))),0)</f>
        <v>0</v>
      </c>
      <c r="J1593" s="818">
        <f>ROUND(IF(G1593=1,F1593/23,IF(G1593=3,F1593/12,IF(G1593=5,F1593-I1593,IF(G1593=8,F1593,0)))),0)</f>
        <v>0</v>
      </c>
      <c r="K1593" s="819">
        <f>ROUND(IF(G1593=1,F1593/23,IF(G1593=3,F1593/12,IF(G1593=6,F1593,IF(G1593=7,F1593-I1593,0)))),0)</f>
        <v>0</v>
      </c>
      <c r="L1593" s="820">
        <f>IF(G1593=6,F1593,0)</f>
        <v>0</v>
      </c>
      <c r="P1593" s="768" t="n"/>
      <c r="Q1593" s="769" t="str">
        <f>IF($F1593="","",IFERROR(VLOOKUP($C1593&amp;"|"&amp;$D1593,科目表!$A$5:$B$200,2,FALSE),"※未登録"))</f>
        <v/>
      </c>
      <c r="R1593" s="769" t="str">
        <f>IF($F1593="","",$I1593+$J1593+$K1593)</f>
        <v/>
      </c>
      <c r="S1593" s="769" t="str">
        <f>IF(OR($F1593="",$P1593="支払なし",$H1593=0,$Q1593=""),"",$Q1593&amp;"|S|"&amp;(COUNTIF(S$4:S1592,$Q1593&amp;"|S|*")+1))</f>
        <v/>
      </c>
      <c r="T1593" s="769" t="str">
        <f>IF(OR($F1593="",$P1593="支払なし",$R1593=0,$Q1593=""),"",$Q1593&amp;"|L|"&amp;(COUNTIF(T$4:T1592,$Q1593&amp;"|L|*")+1))</f>
        <v/>
      </c>
      <c r="U1593" s="769" t="str">
        <f>IF($F1593="","",13)</f>
        <v/>
      </c>
    </row>
    <row r="1594" ht="16.5" customHeight="1" s="186">
      <c r="A1594" s="760" t="n"/>
      <c r="B1594" s="760" t="n"/>
      <c r="C1594" s="762" t="n"/>
      <c r="D1594" s="762" t="n"/>
      <c r="E1594" s="775" t="n"/>
      <c r="F1594" s="821" t="n"/>
      <c r="G1594" s="821" t="n"/>
      <c r="H1594" s="818">
        <f>IF(G1594=1,F1594-I1594-J1594-K1594,IF(G1594=2,F1594,0))</f>
        <v>0</v>
      </c>
      <c r="I1594" s="818">
        <f>ROUND(IF(G1594=1,F1594*10/23,IF(G1594=3,F1594-J1594-K1594,IF(G1594=4,F1594,IF(G1594=5,F1594*10/11,IF(G1594=7,F1594*10/11,0))))),0)</f>
        <v>0</v>
      </c>
      <c r="J1594" s="818">
        <f>ROUND(IF(G1594=1,F1594/23,IF(G1594=3,F1594/12,IF(G1594=5,F1594-I1594,IF(G1594=8,F1594,0)))),0)</f>
        <v>0</v>
      </c>
      <c r="K1594" s="819">
        <f>ROUND(IF(G1594=1,F1594/23,IF(G1594=3,F1594/12,IF(G1594=6,F1594,IF(G1594=7,F1594-I1594,0)))),0)</f>
        <v>0</v>
      </c>
      <c r="L1594" s="820">
        <f>IF(G1594=6,F1594,0)</f>
        <v>0</v>
      </c>
      <c r="P1594" s="768" t="n"/>
      <c r="Q1594" s="769" t="str">
        <f>IF($F1594="","",IFERROR(VLOOKUP($C1594&amp;"|"&amp;$D1594,科目表!$A$5:$B$200,2,FALSE),"※未登録"))</f>
        <v/>
      </c>
      <c r="R1594" s="769" t="str">
        <f>IF($F1594="","",$I1594+$J1594+$K1594)</f>
        <v/>
      </c>
      <c r="S1594" s="769" t="str">
        <f>IF(OR($F1594="",$P1594="支払なし",$H1594=0,$Q1594=""),"",$Q1594&amp;"|S|"&amp;(COUNTIF(S$4:S1593,$Q1594&amp;"|S|*")+1))</f>
        <v/>
      </c>
      <c r="T1594" s="769" t="str">
        <f>IF(OR($F1594="",$P1594="支払なし",$R1594=0,$Q1594=""),"",$Q1594&amp;"|L|"&amp;(COUNTIF(T$4:T1593,$Q1594&amp;"|L|*")+1))</f>
        <v/>
      </c>
      <c r="U1594" s="769" t="str">
        <f>IF($F1594="","",13)</f>
        <v/>
      </c>
    </row>
    <row r="1595" ht="16.5" customHeight="1" s="186">
      <c r="A1595" s="760" t="n"/>
      <c r="B1595" s="760" t="n"/>
      <c r="C1595" s="762" t="n"/>
      <c r="D1595" s="762" t="n"/>
      <c r="E1595" s="775" t="n"/>
      <c r="F1595" s="821" t="n"/>
      <c r="G1595" s="821" t="n"/>
      <c r="H1595" s="818">
        <f>IF(G1595=1,F1595-I1595-J1595-K1595,IF(G1595=2,F1595,0))</f>
        <v>0</v>
      </c>
      <c r="I1595" s="818">
        <f>ROUND(IF(G1595=1,F1595*10/23,IF(G1595=3,F1595-J1595-K1595,IF(G1595=4,F1595,IF(G1595=5,F1595*10/11,IF(G1595=7,F1595*10/11,0))))),0)</f>
        <v>0</v>
      </c>
      <c r="J1595" s="818">
        <f>ROUND(IF(G1595=1,F1595/23,IF(G1595=3,F1595/12,IF(G1595=5,F1595-I1595,IF(G1595=8,F1595,0)))),0)</f>
        <v>0</v>
      </c>
      <c r="K1595" s="819">
        <f>ROUND(IF(G1595=1,F1595/23,IF(G1595=3,F1595/12,IF(G1595=6,F1595,IF(G1595=7,F1595-I1595,0)))),0)</f>
        <v>0</v>
      </c>
      <c r="L1595" s="820">
        <f>IF(G1595=6,F1595,0)</f>
        <v>0</v>
      </c>
      <c r="P1595" s="768" t="n"/>
      <c r="Q1595" s="769" t="str">
        <f>IF($F1595="","",IFERROR(VLOOKUP($C1595&amp;"|"&amp;$D1595,科目表!$A$5:$B$200,2,FALSE),"※未登録"))</f>
        <v/>
      </c>
      <c r="R1595" s="769" t="str">
        <f>IF($F1595="","",$I1595+$J1595+$K1595)</f>
        <v/>
      </c>
      <c r="S1595" s="769" t="str">
        <f>IF(OR($F1595="",$P1595="支払なし",$H1595=0,$Q1595=""),"",$Q1595&amp;"|S|"&amp;(COUNTIF(S$4:S1594,$Q1595&amp;"|S|*")+1))</f>
        <v/>
      </c>
      <c r="T1595" s="769" t="str">
        <f>IF(OR($F1595="",$P1595="支払なし",$R1595=0,$Q1595=""),"",$Q1595&amp;"|L|"&amp;(COUNTIF(T$4:T1594,$Q1595&amp;"|L|*")+1))</f>
        <v/>
      </c>
      <c r="U1595" s="769" t="str">
        <f>IF($F1595="","",13)</f>
        <v/>
      </c>
    </row>
    <row r="1596" ht="16.5" customHeight="1" s="186">
      <c r="A1596" s="760" t="n"/>
      <c r="B1596" s="760" t="n"/>
      <c r="C1596" s="762" t="n"/>
      <c r="D1596" s="762" t="n"/>
      <c r="E1596" s="775" t="n"/>
      <c r="F1596" s="821" t="n"/>
      <c r="G1596" s="821" t="n"/>
      <c r="H1596" s="818">
        <f>IF(G1596=1,F1596-I1596-J1596-K1596,IF(G1596=2,F1596,0))</f>
        <v>0</v>
      </c>
      <c r="I1596" s="818">
        <f>ROUND(IF(G1596=1,F1596*10/23,IF(G1596=3,F1596-J1596-K1596,IF(G1596=4,F1596,IF(G1596=5,F1596*10/11,IF(G1596=7,F1596*10/11,0))))),0)</f>
        <v>0</v>
      </c>
      <c r="J1596" s="818">
        <f>ROUND(IF(G1596=1,F1596/23,IF(G1596=3,F1596/12,IF(G1596=5,F1596-I1596,IF(G1596=8,F1596,0)))),0)</f>
        <v>0</v>
      </c>
      <c r="K1596" s="819">
        <f>ROUND(IF(G1596=1,F1596/23,IF(G1596=3,F1596/12,IF(G1596=6,F1596,IF(G1596=7,F1596-I1596,0)))),0)</f>
        <v>0</v>
      </c>
      <c r="L1596" s="820">
        <f>IF(G1596=6,F1596,0)</f>
        <v>0</v>
      </c>
      <c r="P1596" s="768" t="n"/>
      <c r="Q1596" s="769" t="str">
        <f>IF($F1596="","",IFERROR(VLOOKUP($C1596&amp;"|"&amp;$D1596,科目表!$A$5:$B$200,2,FALSE),"※未登録"))</f>
        <v/>
      </c>
      <c r="R1596" s="769" t="str">
        <f>IF($F1596="","",$I1596+$J1596+$K1596)</f>
        <v/>
      </c>
      <c r="S1596" s="769" t="str">
        <f>IF(OR($F1596="",$P1596="支払なし",$H1596=0,$Q1596=""),"",$Q1596&amp;"|S|"&amp;(COUNTIF(S$4:S1595,$Q1596&amp;"|S|*")+1))</f>
        <v/>
      </c>
      <c r="T1596" s="769" t="str">
        <f>IF(OR($F1596="",$P1596="支払なし",$R1596=0,$Q1596=""),"",$Q1596&amp;"|L|"&amp;(COUNTIF(T$4:T1595,$Q1596&amp;"|L|*")+1))</f>
        <v/>
      </c>
      <c r="U1596" s="769" t="str">
        <f>IF($F1596="","",13)</f>
        <v/>
      </c>
    </row>
    <row r="1597" ht="16.5" customHeight="1" s="186">
      <c r="A1597" s="760" t="n"/>
      <c r="B1597" s="760" t="n"/>
      <c r="C1597" s="762" t="n"/>
      <c r="D1597" s="762" t="n"/>
      <c r="E1597" s="775" t="n"/>
      <c r="F1597" s="821" t="n"/>
      <c r="G1597" s="821" t="n"/>
      <c r="H1597" s="818">
        <f>IF(G1597=1,F1597-I1597-J1597-K1597,IF(G1597=2,F1597,0))</f>
        <v>0</v>
      </c>
      <c r="I1597" s="818">
        <f>ROUND(IF(G1597=1,F1597*10/23,IF(G1597=3,F1597-J1597-K1597,IF(G1597=4,F1597,IF(G1597=5,F1597*10/11,IF(G1597=7,F1597*10/11,0))))),0)</f>
        <v>0</v>
      </c>
      <c r="J1597" s="818">
        <f>ROUND(IF(G1597=1,F1597/23,IF(G1597=3,F1597/12,IF(G1597=5,F1597-I1597,IF(G1597=8,F1597,0)))),0)</f>
        <v>0</v>
      </c>
      <c r="K1597" s="819">
        <f>ROUND(IF(G1597=1,F1597/23,IF(G1597=3,F1597/12,IF(G1597=6,F1597,IF(G1597=7,F1597-I1597,0)))),0)</f>
        <v>0</v>
      </c>
      <c r="L1597" s="820">
        <f>IF(G1597=6,F1597,0)</f>
        <v>0</v>
      </c>
      <c r="P1597" s="768" t="n"/>
      <c r="Q1597" s="769" t="str">
        <f>IF($F1597="","",IFERROR(VLOOKUP($C1597&amp;"|"&amp;$D1597,科目表!$A$5:$B$200,2,FALSE),"※未登録"))</f>
        <v/>
      </c>
      <c r="R1597" s="769" t="str">
        <f>IF($F1597="","",$I1597+$J1597+$K1597)</f>
        <v/>
      </c>
      <c r="S1597" s="769" t="str">
        <f>IF(OR($F1597="",$P1597="支払なし",$H1597=0,$Q1597=""),"",$Q1597&amp;"|S|"&amp;(COUNTIF(S$4:S1596,$Q1597&amp;"|S|*")+1))</f>
        <v/>
      </c>
      <c r="T1597" s="769" t="str">
        <f>IF(OR($F1597="",$P1597="支払なし",$R1597=0,$Q1597=""),"",$Q1597&amp;"|L|"&amp;(COUNTIF(T$4:T1596,$Q1597&amp;"|L|*")+1))</f>
        <v/>
      </c>
      <c r="U1597" s="769" t="str">
        <f>IF($F1597="","",13)</f>
        <v/>
      </c>
    </row>
    <row r="1598" ht="16.5" customHeight="1" s="186">
      <c r="A1598" s="760" t="n"/>
      <c r="B1598" s="760" t="n"/>
      <c r="C1598" s="762" t="n"/>
      <c r="D1598" s="762" t="n"/>
      <c r="E1598" s="775" t="n"/>
      <c r="F1598" s="821" t="n"/>
      <c r="G1598" s="821" t="n"/>
      <c r="H1598" s="818">
        <f>IF(G1598=1,F1598-I1598-J1598-K1598,IF(G1598=2,F1598,0))</f>
        <v>0</v>
      </c>
      <c r="I1598" s="818">
        <f>ROUND(IF(G1598=1,F1598*10/23,IF(G1598=3,F1598-J1598-K1598,IF(G1598=4,F1598,IF(G1598=5,F1598*10/11,IF(G1598=7,F1598*10/11,0))))),0)</f>
        <v>0</v>
      </c>
      <c r="J1598" s="818">
        <f>ROUND(IF(G1598=1,F1598/23,IF(G1598=3,F1598/12,IF(G1598=5,F1598-I1598,IF(G1598=8,F1598,0)))),0)</f>
        <v>0</v>
      </c>
      <c r="K1598" s="819">
        <f>ROUND(IF(G1598=1,F1598/23,IF(G1598=3,F1598/12,IF(G1598=6,F1598,IF(G1598=7,F1598-I1598,0)))),0)</f>
        <v>0</v>
      </c>
      <c r="L1598" s="820">
        <f>IF(G1598=6,F1598,0)</f>
        <v>0</v>
      </c>
      <c r="P1598" s="768" t="n"/>
      <c r="Q1598" s="769" t="str">
        <f>IF($F1598="","",IFERROR(VLOOKUP($C1598&amp;"|"&amp;$D1598,科目表!$A$5:$B$200,2,FALSE),"※未登録"))</f>
        <v/>
      </c>
      <c r="R1598" s="769" t="str">
        <f>IF($F1598="","",$I1598+$J1598+$K1598)</f>
        <v/>
      </c>
      <c r="S1598" s="769" t="str">
        <f>IF(OR($F1598="",$P1598="支払なし",$H1598=0,$Q1598=""),"",$Q1598&amp;"|S|"&amp;(COUNTIF(S$4:S1597,$Q1598&amp;"|S|*")+1))</f>
        <v/>
      </c>
      <c r="T1598" s="769" t="str">
        <f>IF(OR($F1598="",$P1598="支払なし",$R1598=0,$Q1598=""),"",$Q1598&amp;"|L|"&amp;(COUNTIF(T$4:T1597,$Q1598&amp;"|L|*")+1))</f>
        <v/>
      </c>
      <c r="U1598" s="769" t="str">
        <f>IF($F1598="","",13)</f>
        <v/>
      </c>
    </row>
    <row r="1599" ht="16.5" customHeight="1" s="186">
      <c r="A1599" s="760" t="n"/>
      <c r="B1599" s="760" t="n"/>
      <c r="C1599" s="762" t="n"/>
      <c r="D1599" s="762" t="n"/>
      <c r="E1599" s="775" t="n"/>
      <c r="F1599" s="821" t="n"/>
      <c r="G1599" s="821" t="n"/>
      <c r="H1599" s="818">
        <f>IF(G1599=1,F1599-I1599-J1599-K1599,IF(G1599=2,F1599,0))</f>
        <v>0</v>
      </c>
      <c r="I1599" s="818">
        <f>ROUND(IF(G1599=1,F1599*10/23,IF(G1599=3,F1599-J1599-K1599,IF(G1599=4,F1599,IF(G1599=5,F1599*10/11,IF(G1599=7,F1599*10/11,0))))),0)</f>
        <v>0</v>
      </c>
      <c r="J1599" s="818">
        <f>ROUND(IF(G1599=1,F1599/23,IF(G1599=3,F1599/12,IF(G1599=5,F1599-I1599,IF(G1599=8,F1599,0)))),0)</f>
        <v>0</v>
      </c>
      <c r="K1599" s="819">
        <f>ROUND(IF(G1599=1,F1599/23,IF(G1599=3,F1599/12,IF(G1599=6,F1599,IF(G1599=7,F1599-I1599,0)))),0)</f>
        <v>0</v>
      </c>
      <c r="L1599" s="820">
        <f>IF(G1599=6,F1599,0)</f>
        <v>0</v>
      </c>
      <c r="P1599" s="768" t="n"/>
      <c r="Q1599" s="769" t="str">
        <f>IF($F1599="","",IFERROR(VLOOKUP($C1599&amp;"|"&amp;$D1599,科目表!$A$5:$B$200,2,FALSE),"※未登録"))</f>
        <v/>
      </c>
      <c r="R1599" s="769" t="str">
        <f>IF($F1599="","",$I1599+$J1599+$K1599)</f>
        <v/>
      </c>
      <c r="S1599" s="769" t="str">
        <f>IF(OR($F1599="",$P1599="支払なし",$H1599=0,$Q1599=""),"",$Q1599&amp;"|S|"&amp;(COUNTIF(S$4:S1598,$Q1599&amp;"|S|*")+1))</f>
        <v/>
      </c>
      <c r="T1599" s="769" t="str">
        <f>IF(OR($F1599="",$P1599="支払なし",$R1599=0,$Q1599=""),"",$Q1599&amp;"|L|"&amp;(COUNTIF(T$4:T1598,$Q1599&amp;"|L|*")+1))</f>
        <v/>
      </c>
      <c r="U1599" s="769" t="str">
        <f>IF($F1599="","",13)</f>
        <v/>
      </c>
    </row>
    <row r="1600" ht="16.5" customHeight="1" s="186">
      <c r="A1600" s="760" t="n"/>
      <c r="B1600" s="760" t="n"/>
      <c r="C1600" s="762" t="n"/>
      <c r="D1600" s="762" t="n"/>
      <c r="E1600" s="775" t="n"/>
      <c r="F1600" s="821" t="n"/>
      <c r="G1600" s="821" t="n"/>
      <c r="H1600" s="818">
        <f>IF(G1600=1,F1600-I1600-J1600-K1600,IF(G1600=2,F1600,0))</f>
        <v>0</v>
      </c>
      <c r="I1600" s="818">
        <f>ROUND(IF(G1600=1,F1600*10/23,IF(G1600=3,F1600-J1600-K1600,IF(G1600=4,F1600,IF(G1600=5,F1600*10/11,IF(G1600=7,F1600*10/11,0))))),0)</f>
        <v>0</v>
      </c>
      <c r="J1600" s="818">
        <f>ROUND(IF(G1600=1,F1600/23,IF(G1600=3,F1600/12,IF(G1600=5,F1600-I1600,IF(G1600=8,F1600,0)))),0)</f>
        <v>0</v>
      </c>
      <c r="K1600" s="819">
        <f>ROUND(IF(G1600=1,F1600/23,IF(G1600=3,F1600/12,IF(G1600=6,F1600,IF(G1600=7,F1600-I1600,0)))),0)</f>
        <v>0</v>
      </c>
      <c r="L1600" s="820">
        <f>IF(G1600=6,F1600,0)</f>
        <v>0</v>
      </c>
      <c r="P1600" s="768" t="n"/>
      <c r="Q1600" s="769" t="str">
        <f>IF($F1600="","",IFERROR(VLOOKUP($C1600&amp;"|"&amp;$D1600,科目表!$A$5:$B$200,2,FALSE),"※未登録"))</f>
        <v/>
      </c>
      <c r="R1600" s="769" t="str">
        <f>IF($F1600="","",$I1600+$J1600+$K1600)</f>
        <v/>
      </c>
      <c r="S1600" s="769" t="str">
        <f>IF(OR($F1600="",$P1600="支払なし",$H1600=0,$Q1600=""),"",$Q1600&amp;"|S|"&amp;(COUNTIF(S$4:S1599,$Q1600&amp;"|S|*")+1))</f>
        <v/>
      </c>
      <c r="T1600" s="769" t="str">
        <f>IF(OR($F1600="",$P1600="支払なし",$R1600=0,$Q1600=""),"",$Q1600&amp;"|L|"&amp;(COUNTIF(T$4:T1599,$Q1600&amp;"|L|*")+1))</f>
        <v/>
      </c>
      <c r="U1600" s="769" t="str">
        <f>IF($F1600="","",13)</f>
        <v/>
      </c>
    </row>
    <row r="1601" ht="16.5" customHeight="1" s="186">
      <c r="A1601" s="760" t="n"/>
      <c r="B1601" s="760" t="n"/>
      <c r="C1601" s="762" t="n"/>
      <c r="D1601" s="762" t="n"/>
      <c r="E1601" s="775" t="n"/>
      <c r="F1601" s="821" t="n"/>
      <c r="G1601" s="821" t="n"/>
      <c r="H1601" s="818">
        <f>IF(G1601=1,F1601-I1601-J1601-K1601,IF(G1601=2,F1601,0))</f>
        <v>0</v>
      </c>
      <c r="I1601" s="818">
        <f>ROUND(IF(G1601=1,F1601*10/23,IF(G1601=3,F1601-J1601-K1601,IF(G1601=4,F1601,IF(G1601=5,F1601*10/11,IF(G1601=7,F1601*10/11,0))))),0)</f>
        <v>0</v>
      </c>
      <c r="J1601" s="818">
        <f>ROUND(IF(G1601=1,F1601/23,IF(G1601=3,F1601/12,IF(G1601=5,F1601-I1601,IF(G1601=8,F1601,0)))),0)</f>
        <v>0</v>
      </c>
      <c r="K1601" s="819">
        <f>ROUND(IF(G1601=1,F1601/23,IF(G1601=3,F1601/12,IF(G1601=6,F1601,IF(G1601=7,F1601-I1601,0)))),0)</f>
        <v>0</v>
      </c>
      <c r="L1601" s="820">
        <f>IF(G1601=6,F1601,0)</f>
        <v>0</v>
      </c>
      <c r="P1601" s="768" t="n"/>
      <c r="Q1601" s="769" t="str">
        <f>IF($F1601="","",IFERROR(VLOOKUP($C1601&amp;"|"&amp;$D1601,科目表!$A$5:$B$200,2,FALSE),"※未登録"))</f>
        <v/>
      </c>
      <c r="R1601" s="769" t="str">
        <f>IF($F1601="","",$I1601+$J1601+$K1601)</f>
        <v/>
      </c>
      <c r="S1601" s="769" t="str">
        <f>IF(OR($F1601="",$P1601="支払なし",$H1601=0,$Q1601=""),"",$Q1601&amp;"|S|"&amp;(COUNTIF(S$4:S1600,$Q1601&amp;"|S|*")+1))</f>
        <v/>
      </c>
      <c r="T1601" s="769" t="str">
        <f>IF(OR($F1601="",$P1601="支払なし",$R1601=0,$Q1601=""),"",$Q1601&amp;"|L|"&amp;(COUNTIF(T$4:T1600,$Q1601&amp;"|L|*")+1))</f>
        <v/>
      </c>
      <c r="U1601" s="769" t="str">
        <f>IF($F1601="","",13)</f>
        <v/>
      </c>
    </row>
    <row r="1602" ht="16.5" customHeight="1" s="186">
      <c r="A1602" s="760" t="n"/>
      <c r="B1602" s="760" t="n"/>
      <c r="C1602" s="762" t="n"/>
      <c r="D1602" s="762" t="n"/>
      <c r="E1602" s="775" t="n"/>
      <c r="F1602" s="821" t="n"/>
      <c r="G1602" s="821" t="n"/>
      <c r="H1602" s="818">
        <f>IF(G1602=1,F1602-I1602-J1602-K1602,IF(G1602=2,F1602,0))</f>
        <v>0</v>
      </c>
      <c r="I1602" s="818">
        <f>ROUND(IF(G1602=1,F1602*10/23,IF(G1602=3,F1602-J1602-K1602,IF(G1602=4,F1602,IF(G1602=5,F1602*10/11,IF(G1602=7,F1602*10/11,0))))),0)</f>
        <v>0</v>
      </c>
      <c r="J1602" s="818">
        <f>ROUND(IF(G1602=1,F1602/23,IF(G1602=3,F1602/12,IF(G1602=5,F1602-I1602,IF(G1602=8,F1602,0)))),0)</f>
        <v>0</v>
      </c>
      <c r="K1602" s="819">
        <f>ROUND(IF(G1602=1,F1602/23,IF(G1602=3,F1602/12,IF(G1602=6,F1602,IF(G1602=7,F1602-I1602,0)))),0)</f>
        <v>0</v>
      </c>
      <c r="L1602" s="820">
        <f>IF(G1602=6,F1602,0)</f>
        <v>0</v>
      </c>
      <c r="P1602" s="768" t="n"/>
      <c r="Q1602" s="769" t="str">
        <f>IF($F1602="","",IFERROR(VLOOKUP($C1602&amp;"|"&amp;$D1602,科目表!$A$5:$B$200,2,FALSE),"※未登録"))</f>
        <v/>
      </c>
      <c r="R1602" s="769" t="str">
        <f>IF($F1602="","",$I1602+$J1602+$K1602)</f>
        <v/>
      </c>
      <c r="S1602" s="769" t="str">
        <f>IF(OR($F1602="",$P1602="支払なし",$H1602=0,$Q1602=""),"",$Q1602&amp;"|S|"&amp;(COUNTIF(S$4:S1601,$Q1602&amp;"|S|*")+1))</f>
        <v/>
      </c>
      <c r="T1602" s="769" t="str">
        <f>IF(OR($F1602="",$P1602="支払なし",$R1602=0,$Q1602=""),"",$Q1602&amp;"|L|"&amp;(COUNTIF(T$4:T1601,$Q1602&amp;"|L|*")+1))</f>
        <v/>
      </c>
      <c r="U1602" s="769" t="str">
        <f>IF($F1602="","",13)</f>
        <v/>
      </c>
    </row>
    <row r="1603" ht="16.5" customHeight="1" s="186">
      <c r="A1603" s="760" t="n"/>
      <c r="B1603" s="760" t="n"/>
      <c r="C1603" s="762" t="n"/>
      <c r="D1603" s="762" t="n"/>
      <c r="E1603" s="775" t="n"/>
      <c r="F1603" s="821" t="n"/>
      <c r="G1603" s="821" t="n"/>
      <c r="H1603" s="818">
        <f>IF(G1603=1,F1603-I1603-J1603-K1603,IF(G1603=2,F1603,0))</f>
        <v>0</v>
      </c>
      <c r="I1603" s="818">
        <f>ROUND(IF(G1603=1,F1603*10/23,IF(G1603=3,F1603-J1603-K1603,IF(G1603=4,F1603,IF(G1603=5,F1603*10/11,IF(G1603=7,F1603*10/11,0))))),0)</f>
        <v>0</v>
      </c>
      <c r="J1603" s="818">
        <f>ROUND(IF(G1603=1,F1603/23,IF(G1603=3,F1603/12,IF(G1603=5,F1603-I1603,IF(G1603=8,F1603,0)))),0)</f>
        <v>0</v>
      </c>
      <c r="K1603" s="819">
        <f>ROUND(IF(G1603=1,F1603/23,IF(G1603=3,F1603/12,IF(G1603=6,F1603,IF(G1603=7,F1603-I1603,0)))),0)</f>
        <v>0</v>
      </c>
      <c r="L1603" s="820">
        <f>IF(G1603=6,F1603,0)</f>
        <v>0</v>
      </c>
      <c r="P1603" s="768" t="n"/>
      <c r="Q1603" s="769" t="str">
        <f>IF($F1603="","",IFERROR(VLOOKUP($C1603&amp;"|"&amp;$D1603,科目表!$A$5:$B$200,2,FALSE),"※未登録"))</f>
        <v/>
      </c>
      <c r="R1603" s="769" t="str">
        <f>IF($F1603="","",$I1603+$J1603+$K1603)</f>
        <v/>
      </c>
      <c r="S1603" s="769" t="str">
        <f>IF(OR($F1603="",$P1603="支払なし",$H1603=0,$Q1603=""),"",$Q1603&amp;"|S|"&amp;(COUNTIF(S$4:S1602,$Q1603&amp;"|S|*")+1))</f>
        <v/>
      </c>
      <c r="T1603" s="769" t="str">
        <f>IF(OR($F1603="",$P1603="支払なし",$R1603=0,$Q1603=""),"",$Q1603&amp;"|L|"&amp;(COUNTIF(T$4:T1602,$Q1603&amp;"|L|*")+1))</f>
        <v/>
      </c>
      <c r="U1603" s="769" t="str">
        <f>IF($F1603="","",13)</f>
        <v/>
      </c>
    </row>
    <row r="1604" ht="16.5" customHeight="1" s="186">
      <c r="A1604" s="760" t="n"/>
      <c r="B1604" s="760" t="n"/>
      <c r="C1604" s="762" t="n"/>
      <c r="D1604" s="762" t="n"/>
      <c r="E1604" s="775" t="n"/>
      <c r="F1604" s="821" t="n"/>
      <c r="G1604" s="821" t="n"/>
      <c r="H1604" s="818">
        <f>IF(G1604=1,F1604-I1604-J1604-K1604,IF(G1604=2,F1604,0))</f>
        <v>0</v>
      </c>
      <c r="I1604" s="818">
        <f>ROUND(IF(G1604=1,F1604*10/23,IF(G1604=3,F1604-J1604-K1604,IF(G1604=4,F1604,IF(G1604=5,F1604*10/11,IF(G1604=7,F1604*10/11,0))))),0)</f>
        <v>0</v>
      </c>
      <c r="J1604" s="818">
        <f>ROUND(IF(G1604=1,F1604/23,IF(G1604=3,F1604/12,IF(G1604=5,F1604-I1604,IF(G1604=8,F1604,0)))),0)</f>
        <v>0</v>
      </c>
      <c r="K1604" s="819">
        <f>ROUND(IF(G1604=1,F1604/23,IF(G1604=3,F1604/12,IF(G1604=6,F1604,IF(G1604=7,F1604-I1604,0)))),0)</f>
        <v>0</v>
      </c>
      <c r="L1604" s="820">
        <f>IF(G1604=6,F1604,0)</f>
        <v>0</v>
      </c>
      <c r="P1604" s="768" t="n"/>
      <c r="Q1604" s="769" t="str">
        <f>IF($F1604="","",IFERROR(VLOOKUP($C1604&amp;"|"&amp;$D1604,科目表!$A$5:$B$200,2,FALSE),"※未登録"))</f>
        <v/>
      </c>
      <c r="R1604" s="769" t="str">
        <f>IF($F1604="","",$I1604+$J1604+$K1604)</f>
        <v/>
      </c>
      <c r="S1604" s="769" t="str">
        <f>IF(OR($F1604="",$P1604="支払なし",$H1604=0,$Q1604=""),"",$Q1604&amp;"|S|"&amp;(COUNTIF(S$4:S1603,$Q1604&amp;"|S|*")+1))</f>
        <v/>
      </c>
      <c r="T1604" s="769" t="str">
        <f>IF(OR($F1604="",$P1604="支払なし",$R1604=0,$Q1604=""),"",$Q1604&amp;"|L|"&amp;(COUNTIF(T$4:T1603,$Q1604&amp;"|L|*")+1))</f>
        <v/>
      </c>
      <c r="U1604" s="769" t="str">
        <f>IF($F1604="","",13)</f>
        <v/>
      </c>
    </row>
    <row r="1605" ht="16.5" customHeight="1" s="186">
      <c r="A1605" s="760" t="n"/>
      <c r="B1605" s="760" t="n"/>
      <c r="C1605" s="762" t="n"/>
      <c r="D1605" s="762" t="n"/>
      <c r="E1605" s="775" t="n"/>
      <c r="F1605" s="821" t="n"/>
      <c r="G1605" s="821" t="n"/>
      <c r="H1605" s="818">
        <f>IF(G1605=1,F1605-I1605-J1605-K1605,IF(G1605=2,F1605,0))</f>
        <v>0</v>
      </c>
      <c r="I1605" s="818">
        <f>ROUND(IF(G1605=1,F1605*10/23,IF(G1605=3,F1605-J1605-K1605,IF(G1605=4,F1605,IF(G1605=5,F1605*10/11,IF(G1605=7,F1605*10/11,0))))),0)</f>
        <v>0</v>
      </c>
      <c r="J1605" s="818">
        <f>ROUND(IF(G1605=1,F1605/23,IF(G1605=3,F1605/12,IF(G1605=5,F1605-I1605,IF(G1605=8,F1605,0)))),0)</f>
        <v>0</v>
      </c>
      <c r="K1605" s="819">
        <f>ROUND(IF(G1605=1,F1605/23,IF(G1605=3,F1605/12,IF(G1605=6,F1605,IF(G1605=7,F1605-I1605,0)))),0)</f>
        <v>0</v>
      </c>
      <c r="L1605" s="820">
        <f>IF(G1605=6,F1605,0)</f>
        <v>0</v>
      </c>
      <c r="P1605" s="768" t="n"/>
      <c r="Q1605" s="769" t="str">
        <f>IF($F1605="","",IFERROR(VLOOKUP($C1605&amp;"|"&amp;$D1605,科目表!$A$5:$B$200,2,FALSE),"※未登録"))</f>
        <v/>
      </c>
      <c r="R1605" s="769" t="str">
        <f>IF($F1605="","",$I1605+$J1605+$K1605)</f>
        <v/>
      </c>
      <c r="S1605" s="769" t="str">
        <f>IF(OR($F1605="",$P1605="支払なし",$H1605=0,$Q1605=""),"",$Q1605&amp;"|S|"&amp;(COUNTIF(S$4:S1604,$Q1605&amp;"|S|*")+1))</f>
        <v/>
      </c>
      <c r="T1605" s="769" t="str">
        <f>IF(OR($F1605="",$P1605="支払なし",$R1605=0,$Q1605=""),"",$Q1605&amp;"|L|"&amp;(COUNTIF(T$4:T1604,$Q1605&amp;"|L|*")+1))</f>
        <v/>
      </c>
      <c r="U1605" s="769" t="str">
        <f>IF($F1605="","",13)</f>
        <v/>
      </c>
    </row>
    <row r="1606" ht="16.5" customHeight="1" s="186">
      <c r="A1606" s="760" t="n"/>
      <c r="B1606" s="760" t="n"/>
      <c r="C1606" s="762" t="n"/>
      <c r="D1606" s="762" t="n"/>
      <c r="E1606" s="775" t="n"/>
      <c r="F1606" s="821" t="n"/>
      <c r="G1606" s="821" t="n"/>
      <c r="H1606" s="818">
        <f>IF(G1606=1,F1606-I1606-J1606-K1606,IF(G1606=2,F1606,0))</f>
        <v>0</v>
      </c>
      <c r="I1606" s="818">
        <f>ROUND(IF(G1606=1,F1606*10/23,IF(G1606=3,F1606-J1606-K1606,IF(G1606=4,F1606,IF(G1606=5,F1606*10/11,IF(G1606=7,F1606*10/11,0))))),0)</f>
        <v>0</v>
      </c>
      <c r="J1606" s="818">
        <f>ROUND(IF(G1606=1,F1606/23,IF(G1606=3,F1606/12,IF(G1606=5,F1606-I1606,IF(G1606=8,F1606,0)))),0)</f>
        <v>0</v>
      </c>
      <c r="K1606" s="819">
        <f>ROUND(IF(G1606=1,F1606/23,IF(G1606=3,F1606/12,IF(G1606=6,F1606,IF(G1606=7,F1606-I1606,0)))),0)</f>
        <v>0</v>
      </c>
      <c r="L1606" s="820">
        <f>IF(G1606=6,F1606,0)</f>
        <v>0</v>
      </c>
      <c r="P1606" s="768" t="n"/>
      <c r="Q1606" s="769" t="str">
        <f>IF($F1606="","",IFERROR(VLOOKUP($C1606&amp;"|"&amp;$D1606,科目表!$A$5:$B$200,2,FALSE),"※未登録"))</f>
        <v/>
      </c>
      <c r="R1606" s="769" t="str">
        <f>IF($F1606="","",$I1606+$J1606+$K1606)</f>
        <v/>
      </c>
      <c r="S1606" s="769" t="str">
        <f>IF(OR($F1606="",$P1606="支払なし",$H1606=0,$Q1606=""),"",$Q1606&amp;"|S|"&amp;(COUNTIF(S$4:S1605,$Q1606&amp;"|S|*")+1))</f>
        <v/>
      </c>
      <c r="T1606" s="769" t="str">
        <f>IF(OR($F1606="",$P1606="支払なし",$R1606=0,$Q1606=""),"",$Q1606&amp;"|L|"&amp;(COUNTIF(T$4:T1605,$Q1606&amp;"|L|*")+1))</f>
        <v/>
      </c>
      <c r="U1606" s="769" t="str">
        <f>IF($F1606="","",13)</f>
        <v/>
      </c>
    </row>
    <row r="1607" ht="16.5" customHeight="1" s="186">
      <c r="A1607" s="760" t="n"/>
      <c r="B1607" s="760" t="n"/>
      <c r="C1607" s="762" t="n"/>
      <c r="D1607" s="762" t="n"/>
      <c r="E1607" s="775" t="n"/>
      <c r="F1607" s="821" t="n"/>
      <c r="G1607" s="821" t="n"/>
      <c r="H1607" s="818">
        <f>IF(G1607=1,F1607-I1607-J1607-K1607,IF(G1607=2,F1607,0))</f>
        <v>0</v>
      </c>
      <c r="I1607" s="818">
        <f>ROUND(IF(G1607=1,F1607*10/23,IF(G1607=3,F1607-J1607-K1607,IF(G1607=4,F1607,IF(G1607=5,F1607*10/11,IF(G1607=7,F1607*10/11,0))))),0)</f>
        <v>0</v>
      </c>
      <c r="J1607" s="818">
        <f>ROUND(IF(G1607=1,F1607/23,IF(G1607=3,F1607/12,IF(G1607=5,F1607-I1607,IF(G1607=8,F1607,0)))),0)</f>
        <v>0</v>
      </c>
      <c r="K1607" s="819">
        <f>ROUND(IF(G1607=1,F1607/23,IF(G1607=3,F1607/12,IF(G1607=6,F1607,IF(G1607=7,F1607-I1607,0)))),0)</f>
        <v>0</v>
      </c>
      <c r="L1607" s="820">
        <f>IF(G1607=6,F1607,0)</f>
        <v>0</v>
      </c>
      <c r="P1607" s="768" t="n"/>
      <c r="Q1607" s="769" t="str">
        <f>IF($F1607="","",IFERROR(VLOOKUP($C1607&amp;"|"&amp;$D1607,科目表!$A$5:$B$200,2,FALSE),"※未登録"))</f>
        <v/>
      </c>
      <c r="R1607" s="769" t="str">
        <f>IF($F1607="","",$I1607+$J1607+$K1607)</f>
        <v/>
      </c>
      <c r="S1607" s="769" t="str">
        <f>IF(OR($F1607="",$P1607="支払なし",$H1607=0,$Q1607=""),"",$Q1607&amp;"|S|"&amp;(COUNTIF(S$4:S1606,$Q1607&amp;"|S|*")+1))</f>
        <v/>
      </c>
      <c r="T1607" s="769" t="str">
        <f>IF(OR($F1607="",$P1607="支払なし",$R1607=0,$Q1607=""),"",$Q1607&amp;"|L|"&amp;(COUNTIF(T$4:T1606,$Q1607&amp;"|L|*")+1))</f>
        <v/>
      </c>
      <c r="U1607" s="769" t="str">
        <f>IF($F1607="","",13)</f>
        <v/>
      </c>
    </row>
    <row r="1608" ht="16.5" customHeight="1" s="186">
      <c r="A1608" s="760" t="n"/>
      <c r="B1608" s="760" t="n"/>
      <c r="C1608" s="762" t="n"/>
      <c r="D1608" s="762" t="n"/>
      <c r="E1608" s="775" t="n"/>
      <c r="F1608" s="821" t="n"/>
      <c r="G1608" s="821" t="n"/>
      <c r="H1608" s="818">
        <f>IF(G1608=1,F1608-I1608-J1608-K1608,IF(G1608=2,F1608,0))</f>
        <v>0</v>
      </c>
      <c r="I1608" s="818">
        <f>ROUND(IF(G1608=1,F1608*10/23,IF(G1608=3,F1608-J1608-K1608,IF(G1608=4,F1608,IF(G1608=5,F1608*10/11,IF(G1608=7,F1608*10/11,0))))),0)</f>
        <v>0</v>
      </c>
      <c r="J1608" s="818">
        <f>ROUND(IF(G1608=1,F1608/23,IF(G1608=3,F1608/12,IF(G1608=5,F1608-I1608,IF(G1608=8,F1608,0)))),0)</f>
        <v>0</v>
      </c>
      <c r="K1608" s="819">
        <f>ROUND(IF(G1608=1,F1608/23,IF(G1608=3,F1608/12,IF(G1608=6,F1608,IF(G1608=7,F1608-I1608,0)))),0)</f>
        <v>0</v>
      </c>
      <c r="L1608" s="820">
        <f>IF(G1608=6,F1608,0)</f>
        <v>0</v>
      </c>
      <c r="P1608" s="768" t="n"/>
      <c r="Q1608" s="769" t="str">
        <f>IF($F1608="","",IFERROR(VLOOKUP($C1608&amp;"|"&amp;$D1608,科目表!$A$5:$B$200,2,FALSE),"※未登録"))</f>
        <v/>
      </c>
      <c r="R1608" s="769" t="str">
        <f>IF($F1608="","",$I1608+$J1608+$K1608)</f>
        <v/>
      </c>
      <c r="S1608" s="769" t="str">
        <f>IF(OR($F1608="",$P1608="支払なし",$H1608=0,$Q1608=""),"",$Q1608&amp;"|S|"&amp;(COUNTIF(S$4:S1607,$Q1608&amp;"|S|*")+1))</f>
        <v/>
      </c>
      <c r="T1608" s="769" t="str">
        <f>IF(OR($F1608="",$P1608="支払なし",$R1608=0,$Q1608=""),"",$Q1608&amp;"|L|"&amp;(COUNTIF(T$4:T1607,$Q1608&amp;"|L|*")+1))</f>
        <v/>
      </c>
      <c r="U1608" s="769" t="str">
        <f>IF($F1608="","",13)</f>
        <v/>
      </c>
    </row>
    <row r="1609" ht="16.5" customHeight="1" s="186">
      <c r="A1609" s="760" t="n"/>
      <c r="B1609" s="760" t="n"/>
      <c r="C1609" s="762" t="n"/>
      <c r="D1609" s="762" t="n"/>
      <c r="E1609" s="775" t="n"/>
      <c r="F1609" s="821" t="n"/>
      <c r="G1609" s="821" t="n"/>
      <c r="H1609" s="818">
        <f>IF(G1609=1,F1609-I1609-J1609-K1609,IF(G1609=2,F1609,0))</f>
        <v>0</v>
      </c>
      <c r="I1609" s="818">
        <f>ROUND(IF(G1609=1,F1609*10/23,IF(G1609=3,F1609-J1609-K1609,IF(G1609=4,F1609,IF(G1609=5,F1609*10/11,IF(G1609=7,F1609*10/11,0))))),0)</f>
        <v>0</v>
      </c>
      <c r="J1609" s="818">
        <f>ROUND(IF(G1609=1,F1609/23,IF(G1609=3,F1609/12,IF(G1609=5,F1609-I1609,IF(G1609=8,F1609,0)))),0)</f>
        <v>0</v>
      </c>
      <c r="K1609" s="819">
        <f>ROUND(IF(G1609=1,F1609/23,IF(G1609=3,F1609/12,IF(G1609=6,F1609,IF(G1609=7,F1609-I1609,0)))),0)</f>
        <v>0</v>
      </c>
      <c r="L1609" s="820">
        <f>IF(G1609=6,F1609,0)</f>
        <v>0</v>
      </c>
      <c r="P1609" s="768" t="n"/>
      <c r="Q1609" s="769" t="str">
        <f>IF($F1609="","",IFERROR(VLOOKUP($C1609&amp;"|"&amp;$D1609,科目表!$A$5:$B$200,2,FALSE),"※未登録"))</f>
        <v/>
      </c>
      <c r="R1609" s="769" t="str">
        <f>IF($F1609="","",$I1609+$J1609+$K1609)</f>
        <v/>
      </c>
      <c r="S1609" s="769" t="str">
        <f>IF(OR($F1609="",$P1609="支払なし",$H1609=0,$Q1609=""),"",$Q1609&amp;"|S|"&amp;(COUNTIF(S$4:S1608,$Q1609&amp;"|S|*")+1))</f>
        <v/>
      </c>
      <c r="T1609" s="769" t="str">
        <f>IF(OR($F1609="",$P1609="支払なし",$R1609=0,$Q1609=""),"",$Q1609&amp;"|L|"&amp;(COUNTIF(T$4:T1608,$Q1609&amp;"|L|*")+1))</f>
        <v/>
      </c>
      <c r="U1609" s="769" t="str">
        <f>IF($F1609="","",13)</f>
        <v/>
      </c>
    </row>
    <row r="1610" ht="16.5" customHeight="1" s="186">
      <c r="A1610" s="760" t="n"/>
      <c r="B1610" s="760" t="n"/>
      <c r="C1610" s="762" t="n"/>
      <c r="D1610" s="762" t="n"/>
      <c r="E1610" s="775" t="n"/>
      <c r="F1610" s="821" t="n"/>
      <c r="G1610" s="821" t="n"/>
      <c r="H1610" s="818">
        <f>IF(G1610=1,F1610-I1610-J1610-K1610,IF(G1610=2,F1610,0))</f>
        <v>0</v>
      </c>
      <c r="I1610" s="818">
        <f>ROUND(IF(G1610=1,F1610*10/23,IF(G1610=3,F1610-J1610-K1610,IF(G1610=4,F1610,IF(G1610=5,F1610*10/11,IF(G1610=7,F1610*10/11,0))))),0)</f>
        <v>0</v>
      </c>
      <c r="J1610" s="818">
        <f>ROUND(IF(G1610=1,F1610/23,IF(G1610=3,F1610/12,IF(G1610=5,F1610-I1610,IF(G1610=8,F1610,0)))),0)</f>
        <v>0</v>
      </c>
      <c r="K1610" s="819">
        <f>ROUND(IF(G1610=1,F1610/23,IF(G1610=3,F1610/12,IF(G1610=6,F1610,IF(G1610=7,F1610-I1610,0)))),0)</f>
        <v>0</v>
      </c>
      <c r="L1610" s="820">
        <f>IF(G1610=6,F1610,0)</f>
        <v>0</v>
      </c>
      <c r="P1610" s="768" t="n"/>
      <c r="Q1610" s="769" t="str">
        <f>IF($F1610="","",IFERROR(VLOOKUP($C1610&amp;"|"&amp;$D1610,科目表!$A$5:$B$200,2,FALSE),"※未登録"))</f>
        <v/>
      </c>
      <c r="R1610" s="769" t="str">
        <f>IF($F1610="","",$I1610+$J1610+$K1610)</f>
        <v/>
      </c>
      <c r="S1610" s="769" t="str">
        <f>IF(OR($F1610="",$P1610="支払なし",$H1610=0,$Q1610=""),"",$Q1610&amp;"|S|"&amp;(COUNTIF(S$4:S1609,$Q1610&amp;"|S|*")+1))</f>
        <v/>
      </c>
      <c r="T1610" s="769" t="str">
        <f>IF(OR($F1610="",$P1610="支払なし",$R1610=0,$Q1610=""),"",$Q1610&amp;"|L|"&amp;(COUNTIF(T$4:T1609,$Q1610&amp;"|L|*")+1))</f>
        <v/>
      </c>
      <c r="U1610" s="769" t="str">
        <f>IF($F1610="","",13)</f>
        <v/>
      </c>
    </row>
    <row r="1611" ht="16.5" customHeight="1" s="186">
      <c r="A1611" s="760" t="n"/>
      <c r="B1611" s="760" t="n"/>
      <c r="C1611" s="762" t="n"/>
      <c r="D1611" s="762" t="n"/>
      <c r="E1611" s="775" t="n"/>
      <c r="F1611" s="821" t="n"/>
      <c r="G1611" s="821" t="n"/>
      <c r="H1611" s="818">
        <f>IF(G1611=1,F1611-I1611-J1611-K1611,IF(G1611=2,F1611,0))</f>
        <v>0</v>
      </c>
      <c r="I1611" s="818">
        <f>ROUND(IF(G1611=1,F1611*10/23,IF(G1611=3,F1611-J1611-K1611,IF(G1611=4,F1611,IF(G1611=5,F1611*10/11,IF(G1611=7,F1611*10/11,0))))),0)</f>
        <v>0</v>
      </c>
      <c r="J1611" s="818">
        <f>ROUND(IF(G1611=1,F1611/23,IF(G1611=3,F1611/12,IF(G1611=5,F1611-I1611,IF(G1611=8,F1611,0)))),0)</f>
        <v>0</v>
      </c>
      <c r="K1611" s="819">
        <f>ROUND(IF(G1611=1,F1611/23,IF(G1611=3,F1611/12,IF(G1611=6,F1611,IF(G1611=7,F1611-I1611,0)))),0)</f>
        <v>0</v>
      </c>
      <c r="L1611" s="820">
        <f>IF(G1611=6,F1611,0)</f>
        <v>0</v>
      </c>
      <c r="P1611" s="768" t="n"/>
      <c r="Q1611" s="769" t="str">
        <f>IF($F1611="","",IFERROR(VLOOKUP($C1611&amp;"|"&amp;$D1611,科目表!$A$5:$B$200,2,FALSE),"※未登録"))</f>
        <v/>
      </c>
      <c r="R1611" s="769" t="str">
        <f>IF($F1611="","",$I1611+$J1611+$K1611)</f>
        <v/>
      </c>
      <c r="S1611" s="769" t="str">
        <f>IF(OR($F1611="",$P1611="支払なし",$H1611=0,$Q1611=""),"",$Q1611&amp;"|S|"&amp;(COUNTIF(S$4:S1610,$Q1611&amp;"|S|*")+1))</f>
        <v/>
      </c>
      <c r="T1611" s="769" t="str">
        <f>IF(OR($F1611="",$P1611="支払なし",$R1611=0,$Q1611=""),"",$Q1611&amp;"|L|"&amp;(COUNTIF(T$4:T1610,$Q1611&amp;"|L|*")+1))</f>
        <v/>
      </c>
      <c r="U1611" s="769" t="str">
        <f>IF($F1611="","",13)</f>
        <v/>
      </c>
    </row>
    <row r="1612" ht="16.5" customHeight="1" s="186">
      <c r="A1612" s="760" t="n"/>
      <c r="B1612" s="760" t="n"/>
      <c r="C1612" s="762" t="n"/>
      <c r="D1612" s="762" t="n"/>
      <c r="E1612" s="775" t="n"/>
      <c r="F1612" s="821" t="n"/>
      <c r="G1612" s="821" t="n"/>
      <c r="H1612" s="818">
        <f>IF(G1612=1,F1612-I1612-J1612-K1612,IF(G1612=2,F1612,0))</f>
        <v>0</v>
      </c>
      <c r="I1612" s="818">
        <f>ROUND(IF(G1612=1,F1612*10/23,IF(G1612=3,F1612-J1612-K1612,IF(G1612=4,F1612,IF(G1612=5,F1612*10/11,IF(G1612=7,F1612*10/11,0))))),0)</f>
        <v>0</v>
      </c>
      <c r="J1612" s="818">
        <f>ROUND(IF(G1612=1,F1612/23,IF(G1612=3,F1612/12,IF(G1612=5,F1612-I1612,IF(G1612=8,F1612,0)))),0)</f>
        <v>0</v>
      </c>
      <c r="K1612" s="819">
        <f>ROUND(IF(G1612=1,F1612/23,IF(G1612=3,F1612/12,IF(G1612=6,F1612,IF(G1612=7,F1612-I1612,0)))),0)</f>
        <v>0</v>
      </c>
      <c r="L1612" s="820">
        <f>IF(G1612=6,F1612,0)</f>
        <v>0</v>
      </c>
      <c r="P1612" s="768" t="n"/>
      <c r="Q1612" s="769" t="str">
        <f>IF($F1612="","",IFERROR(VLOOKUP($C1612&amp;"|"&amp;$D1612,科目表!$A$5:$B$200,2,FALSE),"※未登録"))</f>
        <v/>
      </c>
      <c r="R1612" s="769" t="str">
        <f>IF($F1612="","",$I1612+$J1612+$K1612)</f>
        <v/>
      </c>
      <c r="S1612" s="769" t="str">
        <f>IF(OR($F1612="",$P1612="支払なし",$H1612=0,$Q1612=""),"",$Q1612&amp;"|S|"&amp;(COUNTIF(S$4:S1611,$Q1612&amp;"|S|*")+1))</f>
        <v/>
      </c>
      <c r="T1612" s="769" t="str">
        <f>IF(OR($F1612="",$P1612="支払なし",$R1612=0,$Q1612=""),"",$Q1612&amp;"|L|"&amp;(COUNTIF(T$4:T1611,$Q1612&amp;"|L|*")+1))</f>
        <v/>
      </c>
      <c r="U1612" s="769" t="str">
        <f>IF($F1612="","",13)</f>
        <v/>
      </c>
    </row>
    <row r="1613" ht="16.5" customHeight="1" s="186">
      <c r="A1613" s="760" t="n"/>
      <c r="B1613" s="760" t="n"/>
      <c r="C1613" s="762" t="n"/>
      <c r="D1613" s="762" t="n"/>
      <c r="E1613" s="775" t="n"/>
      <c r="F1613" s="821" t="n"/>
      <c r="G1613" s="821" t="n"/>
      <c r="H1613" s="818">
        <f>IF(G1613=1,F1613-I1613-J1613-K1613,IF(G1613=2,F1613,0))</f>
        <v>0</v>
      </c>
      <c r="I1613" s="818">
        <f>ROUND(IF(G1613=1,F1613*10/23,IF(G1613=3,F1613-J1613-K1613,IF(G1613=4,F1613,IF(G1613=5,F1613*10/11,IF(G1613=7,F1613*10/11,0))))),0)</f>
        <v>0</v>
      </c>
      <c r="J1613" s="818">
        <f>ROUND(IF(G1613=1,F1613/23,IF(G1613=3,F1613/12,IF(G1613=5,F1613-I1613,IF(G1613=8,F1613,0)))),0)</f>
        <v>0</v>
      </c>
      <c r="K1613" s="819">
        <f>ROUND(IF(G1613=1,F1613/23,IF(G1613=3,F1613/12,IF(G1613=6,F1613,IF(G1613=7,F1613-I1613,0)))),0)</f>
        <v>0</v>
      </c>
      <c r="L1613" s="820">
        <f>IF(G1613=6,F1613,0)</f>
        <v>0</v>
      </c>
      <c r="P1613" s="768" t="n"/>
      <c r="Q1613" s="769" t="str">
        <f>IF($F1613="","",IFERROR(VLOOKUP($C1613&amp;"|"&amp;$D1613,科目表!$A$5:$B$200,2,FALSE),"※未登録"))</f>
        <v/>
      </c>
      <c r="R1613" s="769" t="str">
        <f>IF($F1613="","",$I1613+$J1613+$K1613)</f>
        <v/>
      </c>
      <c r="S1613" s="769" t="str">
        <f>IF(OR($F1613="",$P1613="支払なし",$H1613=0,$Q1613=""),"",$Q1613&amp;"|S|"&amp;(COUNTIF(S$4:S1612,$Q1613&amp;"|S|*")+1))</f>
        <v/>
      </c>
      <c r="T1613" s="769" t="str">
        <f>IF(OR($F1613="",$P1613="支払なし",$R1613=0,$Q1613=""),"",$Q1613&amp;"|L|"&amp;(COUNTIF(T$4:T1612,$Q1613&amp;"|L|*")+1))</f>
        <v/>
      </c>
      <c r="U1613" s="769" t="str">
        <f>IF($F1613="","",13)</f>
        <v/>
      </c>
    </row>
    <row r="1614" ht="16.5" customHeight="1" s="186">
      <c r="A1614" s="760" t="n"/>
      <c r="B1614" s="760" t="n"/>
      <c r="C1614" s="762" t="n"/>
      <c r="D1614" s="762" t="n"/>
      <c r="E1614" s="775" t="n"/>
      <c r="F1614" s="821" t="n"/>
      <c r="G1614" s="821" t="n"/>
      <c r="H1614" s="818">
        <f>IF(G1614=1,F1614-I1614-J1614-K1614,IF(G1614=2,F1614,0))</f>
        <v>0</v>
      </c>
      <c r="I1614" s="818">
        <f>ROUND(IF(G1614=1,F1614*10/23,IF(G1614=3,F1614-J1614-K1614,IF(G1614=4,F1614,IF(G1614=5,F1614*10/11,IF(G1614=7,F1614*10/11,0))))),0)</f>
        <v>0</v>
      </c>
      <c r="J1614" s="818">
        <f>ROUND(IF(G1614=1,F1614/23,IF(G1614=3,F1614/12,IF(G1614=5,F1614-I1614,IF(G1614=8,F1614,0)))),0)</f>
        <v>0</v>
      </c>
      <c r="K1614" s="819">
        <f>ROUND(IF(G1614=1,F1614/23,IF(G1614=3,F1614/12,IF(G1614=6,F1614,IF(G1614=7,F1614-I1614,0)))),0)</f>
        <v>0</v>
      </c>
      <c r="L1614" s="820">
        <f>IF(G1614=6,F1614,0)</f>
        <v>0</v>
      </c>
      <c r="P1614" s="768" t="n"/>
      <c r="Q1614" s="769" t="str">
        <f>IF($F1614="","",IFERROR(VLOOKUP($C1614&amp;"|"&amp;$D1614,科目表!$A$5:$B$200,2,FALSE),"※未登録"))</f>
        <v/>
      </c>
      <c r="R1614" s="769" t="str">
        <f>IF($F1614="","",$I1614+$J1614+$K1614)</f>
        <v/>
      </c>
      <c r="S1614" s="769" t="str">
        <f>IF(OR($F1614="",$P1614="支払なし",$H1614=0,$Q1614=""),"",$Q1614&amp;"|S|"&amp;(COUNTIF(S$4:S1613,$Q1614&amp;"|S|*")+1))</f>
        <v/>
      </c>
      <c r="T1614" s="769" t="str">
        <f>IF(OR($F1614="",$P1614="支払なし",$R1614=0,$Q1614=""),"",$Q1614&amp;"|L|"&amp;(COUNTIF(T$4:T1613,$Q1614&amp;"|L|*")+1))</f>
        <v/>
      </c>
      <c r="U1614" s="769" t="str">
        <f>IF($F1614="","",13)</f>
        <v/>
      </c>
    </row>
    <row r="1615" ht="16.5" customHeight="1" s="186">
      <c r="A1615" s="760" t="n"/>
      <c r="B1615" s="760" t="n"/>
      <c r="C1615" s="762" t="n"/>
      <c r="D1615" s="762" t="n"/>
      <c r="E1615" s="775" t="n"/>
      <c r="F1615" s="821" t="n"/>
      <c r="G1615" s="821" t="n"/>
      <c r="H1615" s="818">
        <f>IF(G1615=1,F1615-I1615-J1615-K1615,IF(G1615=2,F1615,0))</f>
        <v>0</v>
      </c>
      <c r="I1615" s="818">
        <f>ROUND(IF(G1615=1,F1615*10/23,IF(G1615=3,F1615-J1615-K1615,IF(G1615=4,F1615,IF(G1615=5,F1615*10/11,IF(G1615=7,F1615*10/11,0))))),0)</f>
        <v>0</v>
      </c>
      <c r="J1615" s="818">
        <f>ROUND(IF(G1615=1,F1615/23,IF(G1615=3,F1615/12,IF(G1615=5,F1615-I1615,IF(G1615=8,F1615,0)))),0)</f>
        <v>0</v>
      </c>
      <c r="K1615" s="819">
        <f>ROUND(IF(G1615=1,F1615/23,IF(G1615=3,F1615/12,IF(G1615=6,F1615,IF(G1615=7,F1615-I1615,0)))),0)</f>
        <v>0</v>
      </c>
      <c r="L1615" s="820">
        <f>IF(G1615=6,F1615,0)</f>
        <v>0</v>
      </c>
      <c r="P1615" s="768" t="n"/>
      <c r="Q1615" s="769" t="str">
        <f>IF($F1615="","",IFERROR(VLOOKUP($C1615&amp;"|"&amp;$D1615,科目表!$A$5:$B$200,2,FALSE),"※未登録"))</f>
        <v/>
      </c>
      <c r="R1615" s="769" t="str">
        <f>IF($F1615="","",$I1615+$J1615+$K1615)</f>
        <v/>
      </c>
      <c r="S1615" s="769" t="str">
        <f>IF(OR($F1615="",$P1615="支払なし",$H1615=0,$Q1615=""),"",$Q1615&amp;"|S|"&amp;(COUNTIF(S$4:S1614,$Q1615&amp;"|S|*")+1))</f>
        <v/>
      </c>
      <c r="T1615" s="769" t="str">
        <f>IF(OR($F1615="",$P1615="支払なし",$R1615=0,$Q1615=""),"",$Q1615&amp;"|L|"&amp;(COUNTIF(T$4:T1614,$Q1615&amp;"|L|*")+1))</f>
        <v/>
      </c>
      <c r="U1615" s="769" t="str">
        <f>IF($F1615="","",13)</f>
        <v/>
      </c>
    </row>
    <row r="1616" ht="16.5" customHeight="1" s="186">
      <c r="A1616" s="760" t="n"/>
      <c r="B1616" s="760" t="n"/>
      <c r="C1616" s="762" t="n"/>
      <c r="D1616" s="762" t="n"/>
      <c r="E1616" s="775" t="n"/>
      <c r="F1616" s="821" t="n"/>
      <c r="G1616" s="821" t="n"/>
      <c r="H1616" s="818">
        <f>IF(G1616=1,F1616-I1616-J1616-K1616,IF(G1616=2,F1616,0))</f>
        <v>0</v>
      </c>
      <c r="I1616" s="818">
        <f>ROUND(IF(G1616=1,F1616*10/23,IF(G1616=3,F1616-J1616-K1616,IF(G1616=4,F1616,IF(G1616=5,F1616*10/11,IF(G1616=7,F1616*10/11,0))))),0)</f>
        <v>0</v>
      </c>
      <c r="J1616" s="818">
        <f>ROUND(IF(G1616=1,F1616/23,IF(G1616=3,F1616/12,IF(G1616=5,F1616-I1616,IF(G1616=8,F1616,0)))),0)</f>
        <v>0</v>
      </c>
      <c r="K1616" s="819">
        <f>ROUND(IF(G1616=1,F1616/23,IF(G1616=3,F1616/12,IF(G1616=6,F1616,IF(G1616=7,F1616-I1616,0)))),0)</f>
        <v>0</v>
      </c>
      <c r="L1616" s="820">
        <f>IF(G1616=6,F1616,0)</f>
        <v>0</v>
      </c>
      <c r="P1616" s="768" t="n"/>
      <c r="Q1616" s="769" t="str">
        <f>IF($F1616="","",IFERROR(VLOOKUP($C1616&amp;"|"&amp;$D1616,科目表!$A$5:$B$200,2,FALSE),"※未登録"))</f>
        <v/>
      </c>
      <c r="R1616" s="769" t="str">
        <f>IF($F1616="","",$I1616+$J1616+$K1616)</f>
        <v/>
      </c>
      <c r="S1616" s="769" t="str">
        <f>IF(OR($F1616="",$P1616="支払なし",$H1616=0,$Q1616=""),"",$Q1616&amp;"|S|"&amp;(COUNTIF(S$4:S1615,$Q1616&amp;"|S|*")+1))</f>
        <v/>
      </c>
      <c r="T1616" s="769" t="str">
        <f>IF(OR($F1616="",$P1616="支払なし",$R1616=0,$Q1616=""),"",$Q1616&amp;"|L|"&amp;(COUNTIF(T$4:T1615,$Q1616&amp;"|L|*")+1))</f>
        <v/>
      </c>
      <c r="U1616" s="769" t="str">
        <f>IF($F1616="","",13)</f>
        <v/>
      </c>
    </row>
    <row r="1617" ht="16.5" customHeight="1" s="186">
      <c r="A1617" s="760" t="n"/>
      <c r="B1617" s="760" t="n"/>
      <c r="C1617" s="762" t="n"/>
      <c r="D1617" s="762" t="n"/>
      <c r="E1617" s="775" t="n"/>
      <c r="F1617" s="821" t="n"/>
      <c r="G1617" s="821" t="n"/>
      <c r="H1617" s="818">
        <f>IF(G1617=1,F1617-I1617-J1617-K1617,IF(G1617=2,F1617,0))</f>
        <v>0</v>
      </c>
      <c r="I1617" s="818">
        <f>ROUND(IF(G1617=1,F1617*10/23,IF(G1617=3,F1617-J1617-K1617,IF(G1617=4,F1617,IF(G1617=5,F1617*10/11,IF(G1617=7,F1617*10/11,0))))),0)</f>
        <v>0</v>
      </c>
      <c r="J1617" s="818">
        <f>ROUND(IF(G1617=1,F1617/23,IF(G1617=3,F1617/12,IF(G1617=5,F1617-I1617,IF(G1617=8,F1617,0)))),0)</f>
        <v>0</v>
      </c>
      <c r="K1617" s="819">
        <f>ROUND(IF(G1617=1,F1617/23,IF(G1617=3,F1617/12,IF(G1617=6,F1617,IF(G1617=7,F1617-I1617,0)))),0)</f>
        <v>0</v>
      </c>
      <c r="L1617" s="820">
        <f>IF(G1617=6,F1617,0)</f>
        <v>0</v>
      </c>
      <c r="P1617" s="768" t="n"/>
      <c r="Q1617" s="769" t="str">
        <f>IF($F1617="","",IFERROR(VLOOKUP($C1617&amp;"|"&amp;$D1617,科目表!$A$5:$B$200,2,FALSE),"※未登録"))</f>
        <v/>
      </c>
      <c r="R1617" s="769" t="str">
        <f>IF($F1617="","",$I1617+$J1617+$K1617)</f>
        <v/>
      </c>
      <c r="S1617" s="769" t="str">
        <f>IF(OR($F1617="",$P1617="支払なし",$H1617=0,$Q1617=""),"",$Q1617&amp;"|S|"&amp;(COUNTIF(S$4:S1616,$Q1617&amp;"|S|*")+1))</f>
        <v/>
      </c>
      <c r="T1617" s="769" t="str">
        <f>IF(OR($F1617="",$P1617="支払なし",$R1617=0,$Q1617=""),"",$Q1617&amp;"|L|"&amp;(COUNTIF(T$4:T1616,$Q1617&amp;"|L|*")+1))</f>
        <v/>
      </c>
      <c r="U1617" s="769" t="str">
        <f>IF($F1617="","",13)</f>
        <v/>
      </c>
    </row>
    <row r="1618" ht="16.5" customHeight="1" s="186">
      <c r="A1618" s="760" t="n"/>
      <c r="B1618" s="760" t="n"/>
      <c r="C1618" s="762" t="n"/>
      <c r="D1618" s="762" t="n"/>
      <c r="E1618" s="775" t="n"/>
      <c r="F1618" s="821" t="n"/>
      <c r="G1618" s="821" t="n"/>
      <c r="H1618" s="818">
        <f>IF(G1618=1,F1618-I1618-J1618-K1618,IF(G1618=2,F1618,0))</f>
        <v>0</v>
      </c>
      <c r="I1618" s="818">
        <f>ROUND(IF(G1618=1,F1618*10/23,IF(G1618=3,F1618-J1618-K1618,IF(G1618=4,F1618,IF(G1618=5,F1618*10/11,IF(G1618=7,F1618*10/11,0))))),0)</f>
        <v>0</v>
      </c>
      <c r="J1618" s="818">
        <f>ROUND(IF(G1618=1,F1618/23,IF(G1618=3,F1618/12,IF(G1618=5,F1618-I1618,IF(G1618=8,F1618,0)))),0)</f>
        <v>0</v>
      </c>
      <c r="K1618" s="819">
        <f>ROUND(IF(G1618=1,F1618/23,IF(G1618=3,F1618/12,IF(G1618=6,F1618,IF(G1618=7,F1618-I1618,0)))),0)</f>
        <v>0</v>
      </c>
      <c r="L1618" s="820">
        <f>IF(G1618=6,F1618,0)</f>
        <v>0</v>
      </c>
      <c r="P1618" s="768" t="n"/>
      <c r="Q1618" s="769" t="str">
        <f>IF($F1618="","",IFERROR(VLOOKUP($C1618&amp;"|"&amp;$D1618,科目表!$A$5:$B$200,2,FALSE),"※未登録"))</f>
        <v/>
      </c>
      <c r="R1618" s="769" t="str">
        <f>IF($F1618="","",$I1618+$J1618+$K1618)</f>
        <v/>
      </c>
      <c r="S1618" s="769" t="str">
        <f>IF(OR($F1618="",$P1618="支払なし",$H1618=0,$Q1618=""),"",$Q1618&amp;"|S|"&amp;(COUNTIF(S$4:S1617,$Q1618&amp;"|S|*")+1))</f>
        <v/>
      </c>
      <c r="T1618" s="769" t="str">
        <f>IF(OR($F1618="",$P1618="支払なし",$R1618=0,$Q1618=""),"",$Q1618&amp;"|L|"&amp;(COUNTIF(T$4:T1617,$Q1618&amp;"|L|*")+1))</f>
        <v/>
      </c>
      <c r="U1618" s="769" t="str">
        <f>IF($F1618="","",13)</f>
        <v/>
      </c>
    </row>
    <row r="1619" ht="16.5" customHeight="1" s="186">
      <c r="A1619" s="760" t="n"/>
      <c r="B1619" s="760" t="n"/>
      <c r="C1619" s="762" t="n"/>
      <c r="D1619" s="762" t="n"/>
      <c r="E1619" s="775" t="n"/>
      <c r="F1619" s="821" t="n"/>
      <c r="G1619" s="821" t="n"/>
      <c r="H1619" s="818">
        <f>IF(G1619=1,F1619-I1619-J1619-K1619,IF(G1619=2,F1619,0))</f>
        <v>0</v>
      </c>
      <c r="I1619" s="818">
        <f>ROUND(IF(G1619=1,F1619*10/23,IF(G1619=3,F1619-J1619-K1619,IF(G1619=4,F1619,IF(G1619=5,F1619*10/11,IF(G1619=7,F1619*10/11,0))))),0)</f>
        <v>0</v>
      </c>
      <c r="J1619" s="818">
        <f>ROUND(IF(G1619=1,F1619/23,IF(G1619=3,F1619/12,IF(G1619=5,F1619-I1619,IF(G1619=8,F1619,0)))),0)</f>
        <v>0</v>
      </c>
      <c r="K1619" s="819">
        <f>ROUND(IF(G1619=1,F1619/23,IF(G1619=3,F1619/12,IF(G1619=6,F1619,IF(G1619=7,F1619-I1619,0)))),0)</f>
        <v>0</v>
      </c>
      <c r="L1619" s="820">
        <f>IF(G1619=6,F1619,0)</f>
        <v>0</v>
      </c>
      <c r="P1619" s="768" t="n"/>
      <c r="Q1619" s="769" t="str">
        <f>IF($F1619="","",IFERROR(VLOOKUP($C1619&amp;"|"&amp;$D1619,科目表!$A$5:$B$200,2,FALSE),"※未登録"))</f>
        <v/>
      </c>
      <c r="R1619" s="769" t="str">
        <f>IF($F1619="","",$I1619+$J1619+$K1619)</f>
        <v/>
      </c>
      <c r="S1619" s="769" t="str">
        <f>IF(OR($F1619="",$P1619="支払なし",$H1619=0,$Q1619=""),"",$Q1619&amp;"|S|"&amp;(COUNTIF(S$4:S1618,$Q1619&amp;"|S|*")+1))</f>
        <v/>
      </c>
      <c r="T1619" s="769" t="str">
        <f>IF(OR($F1619="",$P1619="支払なし",$R1619=0,$Q1619=""),"",$Q1619&amp;"|L|"&amp;(COUNTIF(T$4:T1618,$Q1619&amp;"|L|*")+1))</f>
        <v/>
      </c>
      <c r="U1619" s="769" t="str">
        <f>IF($F1619="","",13)</f>
        <v/>
      </c>
    </row>
    <row r="1620" ht="16.5" customHeight="1" s="186">
      <c r="A1620" s="760" t="n"/>
      <c r="B1620" s="760" t="n"/>
      <c r="C1620" s="762" t="n"/>
      <c r="D1620" s="762" t="n"/>
      <c r="E1620" s="775" t="n"/>
      <c r="F1620" s="821" t="n"/>
      <c r="G1620" s="821" t="n"/>
      <c r="H1620" s="818">
        <f>IF(G1620=1,F1620-I1620-J1620-K1620,IF(G1620=2,F1620,0))</f>
        <v>0</v>
      </c>
      <c r="I1620" s="818">
        <f>ROUND(IF(G1620=1,F1620*10/23,IF(G1620=3,F1620-J1620-K1620,IF(G1620=4,F1620,IF(G1620=5,F1620*10/11,IF(G1620=7,F1620*10/11,0))))),0)</f>
        <v>0</v>
      </c>
      <c r="J1620" s="818">
        <f>ROUND(IF(G1620=1,F1620/23,IF(G1620=3,F1620/12,IF(G1620=5,F1620-I1620,IF(G1620=8,F1620,0)))),0)</f>
        <v>0</v>
      </c>
      <c r="K1620" s="819">
        <f>ROUND(IF(G1620=1,F1620/23,IF(G1620=3,F1620/12,IF(G1620=6,F1620,IF(G1620=7,F1620-I1620,0)))),0)</f>
        <v>0</v>
      </c>
      <c r="L1620" s="820">
        <f>IF(G1620=6,F1620,0)</f>
        <v>0</v>
      </c>
      <c r="P1620" s="768" t="n"/>
      <c r="Q1620" s="769" t="str">
        <f>IF($F1620="","",IFERROR(VLOOKUP($C1620&amp;"|"&amp;$D1620,科目表!$A$5:$B$200,2,FALSE),"※未登録"))</f>
        <v/>
      </c>
      <c r="R1620" s="769" t="str">
        <f>IF($F1620="","",$I1620+$J1620+$K1620)</f>
        <v/>
      </c>
      <c r="S1620" s="769" t="str">
        <f>IF(OR($F1620="",$P1620="支払なし",$H1620=0,$Q1620=""),"",$Q1620&amp;"|S|"&amp;(COUNTIF(S$4:S1619,$Q1620&amp;"|S|*")+1))</f>
        <v/>
      </c>
      <c r="T1620" s="769" t="str">
        <f>IF(OR($F1620="",$P1620="支払なし",$R1620=0,$Q1620=""),"",$Q1620&amp;"|L|"&amp;(COUNTIF(T$4:T1619,$Q1620&amp;"|L|*")+1))</f>
        <v/>
      </c>
      <c r="U1620" s="769" t="str">
        <f>IF($F1620="","",13)</f>
        <v/>
      </c>
    </row>
    <row r="1621" ht="16.5" customHeight="1" s="186">
      <c r="A1621" s="760" t="n"/>
      <c r="B1621" s="760" t="n"/>
      <c r="C1621" s="762" t="n"/>
      <c r="D1621" s="762" t="n"/>
      <c r="E1621" s="775" t="n"/>
      <c r="F1621" s="821" t="n"/>
      <c r="G1621" s="821" t="n"/>
      <c r="H1621" s="818">
        <f>IF(G1621=1,F1621-I1621-J1621-K1621,IF(G1621=2,F1621,0))</f>
        <v>0</v>
      </c>
      <c r="I1621" s="818">
        <f>ROUND(IF(G1621=1,F1621*10/23,IF(G1621=3,F1621-J1621-K1621,IF(G1621=4,F1621,IF(G1621=5,F1621*10/11,IF(G1621=7,F1621*10/11,0))))),0)</f>
        <v>0</v>
      </c>
      <c r="J1621" s="818">
        <f>ROUND(IF(G1621=1,F1621/23,IF(G1621=3,F1621/12,IF(G1621=5,F1621-I1621,IF(G1621=8,F1621,0)))),0)</f>
        <v>0</v>
      </c>
      <c r="K1621" s="819">
        <f>ROUND(IF(G1621=1,F1621/23,IF(G1621=3,F1621/12,IF(G1621=6,F1621,IF(G1621=7,F1621-I1621,0)))),0)</f>
        <v>0</v>
      </c>
      <c r="L1621" s="820">
        <f>IF(G1621=6,F1621,0)</f>
        <v>0</v>
      </c>
      <c r="P1621" s="768" t="n"/>
      <c r="Q1621" s="769" t="str">
        <f>IF($F1621="","",IFERROR(VLOOKUP($C1621&amp;"|"&amp;$D1621,科目表!$A$5:$B$200,2,FALSE),"※未登録"))</f>
        <v/>
      </c>
      <c r="R1621" s="769" t="str">
        <f>IF($F1621="","",$I1621+$J1621+$K1621)</f>
        <v/>
      </c>
      <c r="S1621" s="769" t="str">
        <f>IF(OR($F1621="",$P1621="支払なし",$H1621=0,$Q1621=""),"",$Q1621&amp;"|S|"&amp;(COUNTIF(S$4:S1620,$Q1621&amp;"|S|*")+1))</f>
        <v/>
      </c>
      <c r="T1621" s="769" t="str">
        <f>IF(OR($F1621="",$P1621="支払なし",$R1621=0,$Q1621=""),"",$Q1621&amp;"|L|"&amp;(COUNTIF(T$4:T1620,$Q1621&amp;"|L|*")+1))</f>
        <v/>
      </c>
      <c r="U1621" s="769" t="str">
        <f>IF($F1621="","",13)</f>
        <v/>
      </c>
    </row>
    <row r="1622" ht="16.5" customHeight="1" s="186">
      <c r="A1622" s="760" t="n"/>
      <c r="B1622" s="760" t="n"/>
      <c r="C1622" s="762" t="n"/>
      <c r="D1622" s="762" t="n"/>
      <c r="E1622" s="775" t="n"/>
      <c r="F1622" s="821" t="n"/>
      <c r="G1622" s="821" t="n"/>
      <c r="H1622" s="818">
        <f>IF(G1622=1,F1622-I1622-J1622-K1622,IF(G1622=2,F1622,0))</f>
        <v>0</v>
      </c>
      <c r="I1622" s="818">
        <f>ROUND(IF(G1622=1,F1622*10/23,IF(G1622=3,F1622-J1622-K1622,IF(G1622=4,F1622,IF(G1622=5,F1622*10/11,IF(G1622=7,F1622*10/11,0))))),0)</f>
        <v>0</v>
      </c>
      <c r="J1622" s="818">
        <f>ROUND(IF(G1622=1,F1622/23,IF(G1622=3,F1622/12,IF(G1622=5,F1622-I1622,IF(G1622=8,F1622,0)))),0)</f>
        <v>0</v>
      </c>
      <c r="K1622" s="819">
        <f>ROUND(IF(G1622=1,F1622/23,IF(G1622=3,F1622/12,IF(G1622=6,F1622,IF(G1622=7,F1622-I1622,0)))),0)</f>
        <v>0</v>
      </c>
      <c r="L1622" s="820">
        <f>IF(G1622=6,F1622,0)</f>
        <v>0</v>
      </c>
      <c r="P1622" s="768" t="n"/>
      <c r="Q1622" s="769" t="str">
        <f>IF($F1622="","",IFERROR(VLOOKUP($C1622&amp;"|"&amp;$D1622,科目表!$A$5:$B$200,2,FALSE),"※未登録"))</f>
        <v/>
      </c>
      <c r="R1622" s="769" t="str">
        <f>IF($F1622="","",$I1622+$J1622+$K1622)</f>
        <v/>
      </c>
      <c r="S1622" s="769" t="str">
        <f>IF(OR($F1622="",$P1622="支払なし",$H1622=0,$Q1622=""),"",$Q1622&amp;"|S|"&amp;(COUNTIF(S$4:S1621,$Q1622&amp;"|S|*")+1))</f>
        <v/>
      </c>
      <c r="T1622" s="769" t="str">
        <f>IF(OR($F1622="",$P1622="支払なし",$R1622=0,$Q1622=""),"",$Q1622&amp;"|L|"&amp;(COUNTIF(T$4:T1621,$Q1622&amp;"|L|*")+1))</f>
        <v/>
      </c>
      <c r="U1622" s="769" t="str">
        <f>IF($F1622="","",13)</f>
        <v/>
      </c>
    </row>
    <row r="1623" ht="16.5" customHeight="1" s="186">
      <c r="A1623" s="760" t="n"/>
      <c r="B1623" s="760" t="n"/>
      <c r="C1623" s="762" t="n"/>
      <c r="D1623" s="762" t="n"/>
      <c r="E1623" s="775" t="n"/>
      <c r="F1623" s="821" t="n"/>
      <c r="G1623" s="821" t="n"/>
      <c r="H1623" s="818">
        <f>IF(G1623=1,F1623-I1623-J1623-K1623,IF(G1623=2,F1623,0))</f>
        <v>0</v>
      </c>
      <c r="I1623" s="818">
        <f>ROUND(IF(G1623=1,F1623*10/23,IF(G1623=3,F1623-J1623-K1623,IF(G1623=4,F1623,IF(G1623=5,F1623*10/11,IF(G1623=7,F1623*10/11,0))))),0)</f>
        <v>0</v>
      </c>
      <c r="J1623" s="818">
        <f>ROUND(IF(G1623=1,F1623/23,IF(G1623=3,F1623/12,IF(G1623=5,F1623-I1623,IF(G1623=8,F1623,0)))),0)</f>
        <v>0</v>
      </c>
      <c r="K1623" s="819">
        <f>ROUND(IF(G1623=1,F1623/23,IF(G1623=3,F1623/12,IF(G1623=6,F1623,IF(G1623=7,F1623-I1623,0)))),0)</f>
        <v>0</v>
      </c>
      <c r="L1623" s="820">
        <f>IF(G1623=6,F1623,0)</f>
        <v>0</v>
      </c>
      <c r="P1623" s="768" t="n"/>
      <c r="Q1623" s="769" t="str">
        <f>IF($F1623="","",IFERROR(VLOOKUP($C1623&amp;"|"&amp;$D1623,科目表!$A$5:$B$200,2,FALSE),"※未登録"))</f>
        <v/>
      </c>
      <c r="R1623" s="769" t="str">
        <f>IF($F1623="","",$I1623+$J1623+$K1623)</f>
        <v/>
      </c>
      <c r="S1623" s="769" t="str">
        <f>IF(OR($F1623="",$P1623="支払なし",$H1623=0,$Q1623=""),"",$Q1623&amp;"|S|"&amp;(COUNTIF(S$4:S1622,$Q1623&amp;"|S|*")+1))</f>
        <v/>
      </c>
      <c r="T1623" s="769" t="str">
        <f>IF(OR($F1623="",$P1623="支払なし",$R1623=0,$Q1623=""),"",$Q1623&amp;"|L|"&amp;(COUNTIF(T$4:T1622,$Q1623&amp;"|L|*")+1))</f>
        <v/>
      </c>
      <c r="U1623" s="769" t="str">
        <f>IF($F1623="","",13)</f>
        <v/>
      </c>
    </row>
    <row r="1624" ht="16.5" customHeight="1" s="186">
      <c r="A1624" s="760" t="n"/>
      <c r="B1624" s="760" t="n"/>
      <c r="C1624" s="762" t="n"/>
      <c r="D1624" s="762" t="n"/>
      <c r="E1624" s="775" t="n"/>
      <c r="F1624" s="821" t="n"/>
      <c r="G1624" s="821" t="n"/>
      <c r="H1624" s="818">
        <f>IF(G1624=1,F1624-I1624-J1624-K1624,IF(G1624=2,F1624,0))</f>
        <v>0</v>
      </c>
      <c r="I1624" s="818">
        <f>ROUND(IF(G1624=1,F1624*10/23,IF(G1624=3,F1624-J1624-K1624,IF(G1624=4,F1624,IF(G1624=5,F1624*10/11,IF(G1624=7,F1624*10/11,0))))),0)</f>
        <v>0</v>
      </c>
      <c r="J1624" s="818">
        <f>ROUND(IF(G1624=1,F1624/23,IF(G1624=3,F1624/12,IF(G1624=5,F1624-I1624,IF(G1624=8,F1624,0)))),0)</f>
        <v>0</v>
      </c>
      <c r="K1624" s="819">
        <f>ROUND(IF(G1624=1,F1624/23,IF(G1624=3,F1624/12,IF(G1624=6,F1624,IF(G1624=7,F1624-I1624,0)))),0)</f>
        <v>0</v>
      </c>
      <c r="L1624" s="820">
        <f>IF(G1624=6,F1624,0)</f>
        <v>0</v>
      </c>
      <c r="P1624" s="768" t="n"/>
      <c r="Q1624" s="769" t="str">
        <f>IF($F1624="","",IFERROR(VLOOKUP($C1624&amp;"|"&amp;$D1624,科目表!$A$5:$B$200,2,FALSE),"※未登録"))</f>
        <v/>
      </c>
      <c r="R1624" s="769" t="str">
        <f>IF($F1624="","",$I1624+$J1624+$K1624)</f>
        <v/>
      </c>
      <c r="S1624" s="769" t="str">
        <f>IF(OR($F1624="",$P1624="支払なし",$H1624=0,$Q1624=""),"",$Q1624&amp;"|S|"&amp;(COUNTIF(S$4:S1623,$Q1624&amp;"|S|*")+1))</f>
        <v/>
      </c>
      <c r="T1624" s="769" t="str">
        <f>IF(OR($F1624="",$P1624="支払なし",$R1624=0,$Q1624=""),"",$Q1624&amp;"|L|"&amp;(COUNTIF(T$4:T1623,$Q1624&amp;"|L|*")+1))</f>
        <v/>
      </c>
      <c r="U1624" s="769" t="str">
        <f>IF($F1624="","",13)</f>
        <v/>
      </c>
    </row>
    <row r="1625" ht="16.5" customHeight="1" s="186">
      <c r="A1625" s="760" t="n"/>
      <c r="B1625" s="760" t="n"/>
      <c r="C1625" s="762" t="n"/>
      <c r="D1625" s="762" t="n"/>
      <c r="E1625" s="775" t="n"/>
      <c r="F1625" s="821" t="n"/>
      <c r="G1625" s="821" t="n"/>
      <c r="H1625" s="818">
        <f>IF(G1625=1,F1625-I1625-J1625-K1625,IF(G1625=2,F1625,0))</f>
        <v>0</v>
      </c>
      <c r="I1625" s="818">
        <f>ROUND(IF(G1625=1,F1625*10/23,IF(G1625=3,F1625-J1625-K1625,IF(G1625=4,F1625,IF(G1625=5,F1625*10/11,IF(G1625=7,F1625*10/11,0))))),0)</f>
        <v>0</v>
      </c>
      <c r="J1625" s="818">
        <f>ROUND(IF(G1625=1,F1625/23,IF(G1625=3,F1625/12,IF(G1625=5,F1625-I1625,IF(G1625=8,F1625,0)))),0)</f>
        <v>0</v>
      </c>
      <c r="K1625" s="819">
        <f>ROUND(IF(G1625=1,F1625/23,IF(G1625=3,F1625/12,IF(G1625=6,F1625,IF(G1625=7,F1625-I1625,0)))),0)</f>
        <v>0</v>
      </c>
      <c r="L1625" s="820">
        <f>IF(G1625=6,F1625,0)</f>
        <v>0</v>
      </c>
      <c r="P1625" s="768" t="n"/>
      <c r="Q1625" s="769" t="str">
        <f>IF($F1625="","",IFERROR(VLOOKUP($C1625&amp;"|"&amp;$D1625,科目表!$A$5:$B$200,2,FALSE),"※未登録"))</f>
        <v/>
      </c>
      <c r="R1625" s="769" t="str">
        <f>IF($F1625="","",$I1625+$J1625+$K1625)</f>
        <v/>
      </c>
      <c r="S1625" s="769" t="str">
        <f>IF(OR($F1625="",$P1625="支払なし",$H1625=0,$Q1625=""),"",$Q1625&amp;"|S|"&amp;(COUNTIF(S$4:S1624,$Q1625&amp;"|S|*")+1))</f>
        <v/>
      </c>
      <c r="T1625" s="769" t="str">
        <f>IF(OR($F1625="",$P1625="支払なし",$R1625=0,$Q1625=""),"",$Q1625&amp;"|L|"&amp;(COUNTIF(T$4:T1624,$Q1625&amp;"|L|*")+1))</f>
        <v/>
      </c>
      <c r="U1625" s="769" t="str">
        <f>IF($F1625="","",13)</f>
        <v/>
      </c>
    </row>
    <row r="1626" ht="16.5" customHeight="1" s="186">
      <c r="A1626" s="760" t="n"/>
      <c r="B1626" s="760" t="n"/>
      <c r="C1626" s="762" t="n"/>
      <c r="D1626" s="762" t="n"/>
      <c r="E1626" s="775" t="n"/>
      <c r="F1626" s="821" t="n"/>
      <c r="G1626" s="821" t="n"/>
      <c r="H1626" s="818">
        <f>IF(G1626=1,F1626-I1626-J1626-K1626,IF(G1626=2,F1626,0))</f>
        <v>0</v>
      </c>
      <c r="I1626" s="818">
        <f>ROUND(IF(G1626=1,F1626*10/23,IF(G1626=3,F1626-J1626-K1626,IF(G1626=4,F1626,IF(G1626=5,F1626*10/11,IF(G1626=7,F1626*10/11,0))))),0)</f>
        <v>0</v>
      </c>
      <c r="J1626" s="818">
        <f>ROUND(IF(G1626=1,F1626/23,IF(G1626=3,F1626/12,IF(G1626=5,F1626-I1626,IF(G1626=8,F1626,0)))),0)</f>
        <v>0</v>
      </c>
      <c r="K1626" s="819">
        <f>ROUND(IF(G1626=1,F1626/23,IF(G1626=3,F1626/12,IF(G1626=6,F1626,IF(G1626=7,F1626-I1626,0)))),0)</f>
        <v>0</v>
      </c>
      <c r="L1626" s="820">
        <f>IF(G1626=6,F1626,0)</f>
        <v>0</v>
      </c>
      <c r="P1626" s="768" t="n"/>
      <c r="Q1626" s="769" t="str">
        <f>IF($F1626="","",IFERROR(VLOOKUP($C1626&amp;"|"&amp;$D1626,科目表!$A$5:$B$200,2,FALSE),"※未登録"))</f>
        <v/>
      </c>
      <c r="R1626" s="769" t="str">
        <f>IF($F1626="","",$I1626+$J1626+$K1626)</f>
        <v/>
      </c>
      <c r="S1626" s="769" t="str">
        <f>IF(OR($F1626="",$P1626="支払なし",$H1626=0,$Q1626=""),"",$Q1626&amp;"|S|"&amp;(COUNTIF(S$4:S1625,$Q1626&amp;"|S|*")+1))</f>
        <v/>
      </c>
      <c r="T1626" s="769" t="str">
        <f>IF(OR($F1626="",$P1626="支払なし",$R1626=0,$Q1626=""),"",$Q1626&amp;"|L|"&amp;(COUNTIF(T$4:T1625,$Q1626&amp;"|L|*")+1))</f>
        <v/>
      </c>
      <c r="U1626" s="769" t="str">
        <f>IF($F1626="","",13)</f>
        <v/>
      </c>
    </row>
    <row r="1627" ht="16.5" customHeight="1" s="186">
      <c r="A1627" s="760" t="n"/>
      <c r="B1627" s="760" t="n"/>
      <c r="C1627" s="762" t="n"/>
      <c r="D1627" s="762" t="n"/>
      <c r="E1627" s="775" t="n"/>
      <c r="F1627" s="821" t="n"/>
      <c r="G1627" s="821" t="n"/>
      <c r="H1627" s="818">
        <f>IF(G1627=1,F1627-I1627-J1627-K1627,IF(G1627=2,F1627,0))</f>
        <v>0</v>
      </c>
      <c r="I1627" s="818">
        <f>ROUND(IF(G1627=1,F1627*10/23,IF(G1627=3,F1627-J1627-K1627,IF(G1627=4,F1627,IF(G1627=5,F1627*10/11,IF(G1627=7,F1627*10/11,0))))),0)</f>
        <v>0</v>
      </c>
      <c r="J1627" s="818">
        <f>ROUND(IF(G1627=1,F1627/23,IF(G1627=3,F1627/12,IF(G1627=5,F1627-I1627,IF(G1627=8,F1627,0)))),0)</f>
        <v>0</v>
      </c>
      <c r="K1627" s="819">
        <f>ROUND(IF(G1627=1,F1627/23,IF(G1627=3,F1627/12,IF(G1627=6,F1627,IF(G1627=7,F1627-I1627,0)))),0)</f>
        <v>0</v>
      </c>
      <c r="L1627" s="820">
        <f>IF(G1627=6,F1627,0)</f>
        <v>0</v>
      </c>
      <c r="P1627" s="768" t="n"/>
      <c r="Q1627" s="769" t="str">
        <f>IF($F1627="","",IFERROR(VLOOKUP($C1627&amp;"|"&amp;$D1627,科目表!$A$5:$B$200,2,FALSE),"※未登録"))</f>
        <v/>
      </c>
      <c r="R1627" s="769" t="str">
        <f>IF($F1627="","",$I1627+$J1627+$K1627)</f>
        <v/>
      </c>
      <c r="S1627" s="769" t="str">
        <f>IF(OR($F1627="",$P1627="支払なし",$H1627=0,$Q1627=""),"",$Q1627&amp;"|S|"&amp;(COUNTIF(S$4:S1626,$Q1627&amp;"|S|*")+1))</f>
        <v/>
      </c>
      <c r="T1627" s="769" t="str">
        <f>IF(OR($F1627="",$P1627="支払なし",$R1627=0,$Q1627=""),"",$Q1627&amp;"|L|"&amp;(COUNTIF(T$4:T1626,$Q1627&amp;"|L|*")+1))</f>
        <v/>
      </c>
      <c r="U1627" s="769" t="str">
        <f>IF($F1627="","",13)</f>
        <v/>
      </c>
    </row>
    <row r="1628" ht="16.5" customHeight="1" s="186">
      <c r="A1628" s="760" t="n"/>
      <c r="B1628" s="760" t="n"/>
      <c r="C1628" s="762" t="n"/>
      <c r="D1628" s="762" t="n"/>
      <c r="E1628" s="775" t="n"/>
      <c r="F1628" s="821" t="n"/>
      <c r="G1628" s="821" t="n"/>
      <c r="H1628" s="818">
        <f>IF(G1628=1,F1628-I1628-J1628-K1628,IF(G1628=2,F1628,0))</f>
        <v>0</v>
      </c>
      <c r="I1628" s="818">
        <f>ROUND(IF(G1628=1,F1628*10/23,IF(G1628=3,F1628-J1628-K1628,IF(G1628=4,F1628,IF(G1628=5,F1628*10/11,IF(G1628=7,F1628*10/11,0))))),0)</f>
        <v>0</v>
      </c>
      <c r="J1628" s="818">
        <f>ROUND(IF(G1628=1,F1628/23,IF(G1628=3,F1628/12,IF(G1628=5,F1628-I1628,IF(G1628=8,F1628,0)))),0)</f>
        <v>0</v>
      </c>
      <c r="K1628" s="819">
        <f>ROUND(IF(G1628=1,F1628/23,IF(G1628=3,F1628/12,IF(G1628=6,F1628,IF(G1628=7,F1628-I1628,0)))),0)</f>
        <v>0</v>
      </c>
      <c r="L1628" s="820">
        <f>IF(G1628=6,F1628,0)</f>
        <v>0</v>
      </c>
      <c r="P1628" s="768" t="n"/>
      <c r="Q1628" s="769" t="str">
        <f>IF($F1628="","",IFERROR(VLOOKUP($C1628&amp;"|"&amp;$D1628,科目表!$A$5:$B$200,2,FALSE),"※未登録"))</f>
        <v/>
      </c>
      <c r="R1628" s="769" t="str">
        <f>IF($F1628="","",$I1628+$J1628+$K1628)</f>
        <v/>
      </c>
      <c r="S1628" s="769" t="str">
        <f>IF(OR($F1628="",$P1628="支払なし",$H1628=0,$Q1628=""),"",$Q1628&amp;"|S|"&amp;(COUNTIF(S$4:S1627,$Q1628&amp;"|S|*")+1))</f>
        <v/>
      </c>
      <c r="T1628" s="769" t="str">
        <f>IF(OR($F1628="",$P1628="支払なし",$R1628=0,$Q1628=""),"",$Q1628&amp;"|L|"&amp;(COUNTIF(T$4:T1627,$Q1628&amp;"|L|*")+1))</f>
        <v/>
      </c>
      <c r="U1628" s="769" t="str">
        <f>IF($F1628="","",13)</f>
        <v/>
      </c>
    </row>
    <row r="1629" ht="16.5" customHeight="1" s="186">
      <c r="A1629" s="760" t="n"/>
      <c r="B1629" s="760" t="n"/>
      <c r="C1629" s="762" t="n"/>
      <c r="D1629" s="762" t="n"/>
      <c r="E1629" s="775" t="n"/>
      <c r="F1629" s="821" t="n"/>
      <c r="G1629" s="821" t="n"/>
      <c r="H1629" s="818">
        <f>IF(G1629=1,F1629-I1629-J1629-K1629,IF(G1629=2,F1629,0))</f>
        <v>0</v>
      </c>
      <c r="I1629" s="818">
        <f>ROUND(IF(G1629=1,F1629*10/23,IF(G1629=3,F1629-J1629-K1629,IF(G1629=4,F1629,IF(G1629=5,F1629*10/11,IF(G1629=7,F1629*10/11,0))))),0)</f>
        <v>0</v>
      </c>
      <c r="J1629" s="818">
        <f>ROUND(IF(G1629=1,F1629/23,IF(G1629=3,F1629/12,IF(G1629=5,F1629-I1629,IF(G1629=8,F1629,0)))),0)</f>
        <v>0</v>
      </c>
      <c r="K1629" s="819">
        <f>ROUND(IF(G1629=1,F1629/23,IF(G1629=3,F1629/12,IF(G1629=6,F1629,IF(G1629=7,F1629-I1629,0)))),0)</f>
        <v>0</v>
      </c>
      <c r="L1629" s="820">
        <f>IF(G1629=6,F1629,0)</f>
        <v>0</v>
      </c>
      <c r="P1629" s="768" t="n"/>
      <c r="Q1629" s="769" t="str">
        <f>IF($F1629="","",IFERROR(VLOOKUP($C1629&amp;"|"&amp;$D1629,科目表!$A$5:$B$200,2,FALSE),"※未登録"))</f>
        <v/>
      </c>
      <c r="R1629" s="769" t="str">
        <f>IF($F1629="","",$I1629+$J1629+$K1629)</f>
        <v/>
      </c>
      <c r="S1629" s="769" t="str">
        <f>IF(OR($F1629="",$P1629="支払なし",$H1629=0,$Q1629=""),"",$Q1629&amp;"|S|"&amp;(COUNTIF(S$4:S1628,$Q1629&amp;"|S|*")+1))</f>
        <v/>
      </c>
      <c r="T1629" s="769" t="str">
        <f>IF(OR($F1629="",$P1629="支払なし",$R1629=0,$Q1629=""),"",$Q1629&amp;"|L|"&amp;(COUNTIF(T$4:T1628,$Q1629&amp;"|L|*")+1))</f>
        <v/>
      </c>
      <c r="U1629" s="769" t="str">
        <f>IF($F1629="","",13)</f>
        <v/>
      </c>
    </row>
    <row r="1630" ht="16.5" customHeight="1" s="186">
      <c r="A1630" s="760" t="n"/>
      <c r="B1630" s="760" t="n"/>
      <c r="C1630" s="762" t="n"/>
      <c r="D1630" s="762" t="n"/>
      <c r="E1630" s="775" t="n"/>
      <c r="F1630" s="821" t="n"/>
      <c r="G1630" s="821" t="n"/>
      <c r="H1630" s="818">
        <f>IF(G1630=1,F1630-I1630-J1630-K1630,IF(G1630=2,F1630,0))</f>
        <v>0</v>
      </c>
      <c r="I1630" s="818">
        <f>ROUND(IF(G1630=1,F1630*10/23,IF(G1630=3,F1630-J1630-K1630,IF(G1630=4,F1630,IF(G1630=5,F1630*10/11,IF(G1630=7,F1630*10/11,0))))),0)</f>
        <v>0</v>
      </c>
      <c r="J1630" s="818">
        <f>ROUND(IF(G1630=1,F1630/23,IF(G1630=3,F1630/12,IF(G1630=5,F1630-I1630,IF(G1630=8,F1630,0)))),0)</f>
        <v>0</v>
      </c>
      <c r="K1630" s="819">
        <f>ROUND(IF(G1630=1,F1630/23,IF(G1630=3,F1630/12,IF(G1630=6,F1630,IF(G1630=7,F1630-I1630,0)))),0)</f>
        <v>0</v>
      </c>
      <c r="L1630" s="820">
        <f>IF(G1630=6,F1630,0)</f>
        <v>0</v>
      </c>
      <c r="P1630" s="768" t="n"/>
      <c r="Q1630" s="769" t="str">
        <f>IF($F1630="","",IFERROR(VLOOKUP($C1630&amp;"|"&amp;$D1630,科目表!$A$5:$B$200,2,FALSE),"※未登録"))</f>
        <v/>
      </c>
      <c r="R1630" s="769" t="str">
        <f>IF($F1630="","",$I1630+$J1630+$K1630)</f>
        <v/>
      </c>
      <c r="S1630" s="769" t="str">
        <f>IF(OR($F1630="",$P1630="支払なし",$H1630=0,$Q1630=""),"",$Q1630&amp;"|S|"&amp;(COUNTIF(S$4:S1629,$Q1630&amp;"|S|*")+1))</f>
        <v/>
      </c>
      <c r="T1630" s="769" t="str">
        <f>IF(OR($F1630="",$P1630="支払なし",$R1630=0,$Q1630=""),"",$Q1630&amp;"|L|"&amp;(COUNTIF(T$4:T1629,$Q1630&amp;"|L|*")+1))</f>
        <v/>
      </c>
      <c r="U1630" s="769" t="str">
        <f>IF($F1630="","",13)</f>
        <v/>
      </c>
    </row>
    <row r="1631" ht="16.5" customHeight="1" s="186">
      <c r="A1631" s="760" t="n"/>
      <c r="B1631" s="760" t="n"/>
      <c r="C1631" s="762" t="n"/>
      <c r="D1631" s="762" t="n"/>
      <c r="E1631" s="775" t="n"/>
      <c r="F1631" s="821" t="n"/>
      <c r="G1631" s="821" t="n"/>
      <c r="H1631" s="818">
        <f>IF(G1631=1,F1631-I1631-J1631-K1631,IF(G1631=2,F1631,0))</f>
        <v>0</v>
      </c>
      <c r="I1631" s="818">
        <f>ROUND(IF(G1631=1,F1631*10/23,IF(G1631=3,F1631-J1631-K1631,IF(G1631=4,F1631,IF(G1631=5,F1631*10/11,IF(G1631=7,F1631*10/11,0))))),0)</f>
        <v>0</v>
      </c>
      <c r="J1631" s="818">
        <f>ROUND(IF(G1631=1,F1631/23,IF(G1631=3,F1631/12,IF(G1631=5,F1631-I1631,IF(G1631=8,F1631,0)))),0)</f>
        <v>0</v>
      </c>
      <c r="K1631" s="819">
        <f>ROUND(IF(G1631=1,F1631/23,IF(G1631=3,F1631/12,IF(G1631=6,F1631,IF(G1631=7,F1631-I1631,0)))),0)</f>
        <v>0</v>
      </c>
      <c r="L1631" s="820">
        <f>IF(G1631=6,F1631,0)</f>
        <v>0</v>
      </c>
      <c r="P1631" s="768" t="n"/>
      <c r="Q1631" s="769" t="str">
        <f>IF($F1631="","",IFERROR(VLOOKUP($C1631&amp;"|"&amp;$D1631,科目表!$A$5:$B$200,2,FALSE),"※未登録"))</f>
        <v/>
      </c>
      <c r="R1631" s="769" t="str">
        <f>IF($F1631="","",$I1631+$J1631+$K1631)</f>
        <v/>
      </c>
      <c r="S1631" s="769" t="str">
        <f>IF(OR($F1631="",$P1631="支払なし",$H1631=0,$Q1631=""),"",$Q1631&amp;"|S|"&amp;(COUNTIF(S$4:S1630,$Q1631&amp;"|S|*")+1))</f>
        <v/>
      </c>
      <c r="T1631" s="769" t="str">
        <f>IF(OR($F1631="",$P1631="支払なし",$R1631=0,$Q1631=""),"",$Q1631&amp;"|L|"&amp;(COUNTIF(T$4:T1630,$Q1631&amp;"|L|*")+1))</f>
        <v/>
      </c>
      <c r="U1631" s="769" t="str">
        <f>IF($F1631="","",13)</f>
        <v/>
      </c>
    </row>
    <row r="1632" ht="16.5" customHeight="1" s="186">
      <c r="A1632" s="760" t="n"/>
      <c r="B1632" s="760" t="n"/>
      <c r="C1632" s="762" t="n"/>
      <c r="D1632" s="762" t="n"/>
      <c r="E1632" s="775" t="n"/>
      <c r="F1632" s="821" t="n"/>
      <c r="G1632" s="821" t="n"/>
      <c r="H1632" s="818">
        <f>IF(G1632=1,F1632-I1632-J1632-K1632,IF(G1632=2,F1632,0))</f>
        <v>0</v>
      </c>
      <c r="I1632" s="818">
        <f>ROUND(IF(G1632=1,F1632*10/23,IF(G1632=3,F1632-J1632-K1632,IF(G1632=4,F1632,IF(G1632=5,F1632*10/11,IF(G1632=7,F1632*10/11,0))))),0)</f>
        <v>0</v>
      </c>
      <c r="J1632" s="818">
        <f>ROUND(IF(G1632=1,F1632/23,IF(G1632=3,F1632/12,IF(G1632=5,F1632-I1632,IF(G1632=8,F1632,0)))),0)</f>
        <v>0</v>
      </c>
      <c r="K1632" s="819">
        <f>ROUND(IF(G1632=1,F1632/23,IF(G1632=3,F1632/12,IF(G1632=6,F1632,IF(G1632=7,F1632-I1632,0)))),0)</f>
        <v>0</v>
      </c>
      <c r="L1632" s="820">
        <f>IF(G1632=6,F1632,0)</f>
        <v>0</v>
      </c>
      <c r="P1632" s="768" t="n"/>
      <c r="Q1632" s="769" t="str">
        <f>IF($F1632="","",IFERROR(VLOOKUP($C1632&amp;"|"&amp;$D1632,科目表!$A$5:$B$200,2,FALSE),"※未登録"))</f>
        <v/>
      </c>
      <c r="R1632" s="769" t="str">
        <f>IF($F1632="","",$I1632+$J1632+$K1632)</f>
        <v/>
      </c>
      <c r="S1632" s="769" t="str">
        <f>IF(OR($F1632="",$P1632="支払なし",$H1632=0,$Q1632=""),"",$Q1632&amp;"|S|"&amp;(COUNTIF(S$4:S1631,$Q1632&amp;"|S|*")+1))</f>
        <v/>
      </c>
      <c r="T1632" s="769" t="str">
        <f>IF(OR($F1632="",$P1632="支払なし",$R1632=0,$Q1632=""),"",$Q1632&amp;"|L|"&amp;(COUNTIF(T$4:T1631,$Q1632&amp;"|L|*")+1))</f>
        <v/>
      </c>
      <c r="U1632" s="769" t="str">
        <f>IF($F1632="","",13)</f>
        <v/>
      </c>
    </row>
    <row r="1633" ht="16.5" customHeight="1" s="186">
      <c r="A1633" s="760" t="n"/>
      <c r="B1633" s="760" t="n"/>
      <c r="C1633" s="762" t="n"/>
      <c r="D1633" s="762" t="n"/>
      <c r="E1633" s="775" t="n"/>
      <c r="F1633" s="821" t="n"/>
      <c r="G1633" s="821" t="n"/>
      <c r="H1633" s="818">
        <f>IF(G1633=1,F1633-I1633-J1633-K1633,IF(G1633=2,F1633,0))</f>
        <v>0</v>
      </c>
      <c r="I1633" s="818">
        <f>ROUND(IF(G1633=1,F1633*10/23,IF(G1633=3,F1633-J1633-K1633,IF(G1633=4,F1633,IF(G1633=5,F1633*10/11,IF(G1633=7,F1633*10/11,0))))),0)</f>
        <v>0</v>
      </c>
      <c r="J1633" s="818">
        <f>ROUND(IF(G1633=1,F1633/23,IF(G1633=3,F1633/12,IF(G1633=5,F1633-I1633,IF(G1633=8,F1633,0)))),0)</f>
        <v>0</v>
      </c>
      <c r="K1633" s="819">
        <f>ROUND(IF(G1633=1,F1633/23,IF(G1633=3,F1633/12,IF(G1633=6,F1633,IF(G1633=7,F1633-I1633,0)))),0)</f>
        <v>0</v>
      </c>
      <c r="L1633" s="820">
        <f>IF(G1633=6,F1633,0)</f>
        <v>0</v>
      </c>
      <c r="P1633" s="768" t="n"/>
      <c r="Q1633" s="769" t="str">
        <f>IF($F1633="","",IFERROR(VLOOKUP($C1633&amp;"|"&amp;$D1633,科目表!$A$5:$B$200,2,FALSE),"※未登録"))</f>
        <v/>
      </c>
      <c r="R1633" s="769" t="str">
        <f>IF($F1633="","",$I1633+$J1633+$K1633)</f>
        <v/>
      </c>
      <c r="S1633" s="769" t="str">
        <f>IF(OR($F1633="",$P1633="支払なし",$H1633=0,$Q1633=""),"",$Q1633&amp;"|S|"&amp;(COUNTIF(S$4:S1632,$Q1633&amp;"|S|*")+1))</f>
        <v/>
      </c>
      <c r="T1633" s="769" t="str">
        <f>IF(OR($F1633="",$P1633="支払なし",$R1633=0,$Q1633=""),"",$Q1633&amp;"|L|"&amp;(COUNTIF(T$4:T1632,$Q1633&amp;"|L|*")+1))</f>
        <v/>
      </c>
      <c r="U1633" s="769" t="str">
        <f>IF($F1633="","",13)</f>
        <v/>
      </c>
    </row>
    <row r="1634" ht="16.5" customHeight="1" s="186">
      <c r="A1634" s="760" t="n"/>
      <c r="B1634" s="760" t="n"/>
      <c r="C1634" s="762" t="n"/>
      <c r="D1634" s="762" t="n"/>
      <c r="E1634" s="775" t="n"/>
      <c r="F1634" s="821" t="n"/>
      <c r="G1634" s="821" t="n"/>
      <c r="H1634" s="818">
        <f>IF(G1634=1,F1634-I1634-J1634-K1634,IF(G1634=2,F1634,0))</f>
        <v>0</v>
      </c>
      <c r="I1634" s="818">
        <f>ROUND(IF(G1634=1,F1634*10/23,IF(G1634=3,F1634-J1634-K1634,IF(G1634=4,F1634,IF(G1634=5,F1634*10/11,IF(G1634=7,F1634*10/11,0))))),0)</f>
        <v>0</v>
      </c>
      <c r="J1634" s="818">
        <f>ROUND(IF(G1634=1,F1634/23,IF(G1634=3,F1634/12,IF(G1634=5,F1634-I1634,IF(G1634=8,F1634,0)))),0)</f>
        <v>0</v>
      </c>
      <c r="K1634" s="819">
        <f>ROUND(IF(G1634=1,F1634/23,IF(G1634=3,F1634/12,IF(G1634=6,F1634,IF(G1634=7,F1634-I1634,0)))),0)</f>
        <v>0</v>
      </c>
      <c r="L1634" s="820">
        <f>IF(G1634=6,F1634,0)</f>
        <v>0</v>
      </c>
      <c r="P1634" s="768" t="n"/>
      <c r="Q1634" s="769" t="str">
        <f>IF($F1634="","",IFERROR(VLOOKUP($C1634&amp;"|"&amp;$D1634,科目表!$A$5:$B$200,2,FALSE),"※未登録"))</f>
        <v/>
      </c>
      <c r="R1634" s="769" t="str">
        <f>IF($F1634="","",$I1634+$J1634+$K1634)</f>
        <v/>
      </c>
      <c r="S1634" s="769" t="str">
        <f>IF(OR($F1634="",$P1634="支払なし",$H1634=0,$Q1634=""),"",$Q1634&amp;"|S|"&amp;(COUNTIF(S$4:S1633,$Q1634&amp;"|S|*")+1))</f>
        <v/>
      </c>
      <c r="T1634" s="769" t="str">
        <f>IF(OR($F1634="",$P1634="支払なし",$R1634=0,$Q1634=""),"",$Q1634&amp;"|L|"&amp;(COUNTIF(T$4:T1633,$Q1634&amp;"|L|*")+1))</f>
        <v/>
      </c>
      <c r="U1634" s="769" t="str">
        <f>IF($F1634="","",13)</f>
        <v/>
      </c>
    </row>
    <row r="1635" ht="16.5" customHeight="1" s="186">
      <c r="A1635" s="760" t="n"/>
      <c r="B1635" s="760" t="n"/>
      <c r="C1635" s="762" t="n"/>
      <c r="D1635" s="762" t="n"/>
      <c r="E1635" s="775" t="n"/>
      <c r="F1635" s="821" t="n"/>
      <c r="G1635" s="821" t="n"/>
      <c r="H1635" s="818">
        <f>IF(G1635=1,F1635-I1635-J1635-K1635,IF(G1635=2,F1635,0))</f>
        <v>0</v>
      </c>
      <c r="I1635" s="818">
        <f>ROUND(IF(G1635=1,F1635*10/23,IF(G1635=3,F1635-J1635-K1635,IF(G1635=4,F1635,IF(G1635=5,F1635*10/11,IF(G1635=7,F1635*10/11,0))))),0)</f>
        <v>0</v>
      </c>
      <c r="J1635" s="818">
        <f>ROUND(IF(G1635=1,F1635/23,IF(G1635=3,F1635/12,IF(G1635=5,F1635-I1635,IF(G1635=8,F1635,0)))),0)</f>
        <v>0</v>
      </c>
      <c r="K1635" s="819">
        <f>ROUND(IF(G1635=1,F1635/23,IF(G1635=3,F1635/12,IF(G1635=6,F1635,IF(G1635=7,F1635-I1635,0)))),0)</f>
        <v>0</v>
      </c>
      <c r="L1635" s="820">
        <f>IF(G1635=6,F1635,0)</f>
        <v>0</v>
      </c>
      <c r="P1635" s="768" t="n"/>
      <c r="Q1635" s="769" t="str">
        <f>IF($F1635="","",IFERROR(VLOOKUP($C1635&amp;"|"&amp;$D1635,科目表!$A$5:$B$200,2,FALSE),"※未登録"))</f>
        <v/>
      </c>
      <c r="R1635" s="769" t="str">
        <f>IF($F1635="","",$I1635+$J1635+$K1635)</f>
        <v/>
      </c>
      <c r="S1635" s="769" t="str">
        <f>IF(OR($F1635="",$P1635="支払なし",$H1635=0,$Q1635=""),"",$Q1635&amp;"|S|"&amp;(COUNTIF(S$4:S1634,$Q1635&amp;"|S|*")+1))</f>
        <v/>
      </c>
      <c r="T1635" s="769" t="str">
        <f>IF(OR($F1635="",$P1635="支払なし",$R1635=0,$Q1635=""),"",$Q1635&amp;"|L|"&amp;(COUNTIF(T$4:T1634,$Q1635&amp;"|L|*")+1))</f>
        <v/>
      </c>
      <c r="U1635" s="769" t="str">
        <f>IF($F1635="","",13)</f>
        <v/>
      </c>
    </row>
    <row r="1636" ht="16.5" customHeight="1" s="186">
      <c r="A1636" s="760" t="n"/>
      <c r="B1636" s="760" t="n"/>
      <c r="C1636" s="762" t="n"/>
      <c r="D1636" s="762" t="n"/>
      <c r="E1636" s="775" t="n"/>
      <c r="F1636" s="821" t="n"/>
      <c r="G1636" s="821" t="n"/>
      <c r="H1636" s="818">
        <f>IF(G1636=1,F1636-I1636-J1636-K1636,IF(G1636=2,F1636,0))</f>
        <v>0</v>
      </c>
      <c r="I1636" s="818">
        <f>ROUND(IF(G1636=1,F1636*10/23,IF(G1636=3,F1636-J1636-K1636,IF(G1636=4,F1636,IF(G1636=5,F1636*10/11,IF(G1636=7,F1636*10/11,0))))),0)</f>
        <v>0</v>
      </c>
      <c r="J1636" s="818">
        <f>ROUND(IF(G1636=1,F1636/23,IF(G1636=3,F1636/12,IF(G1636=5,F1636-I1636,IF(G1636=8,F1636,0)))),0)</f>
        <v>0</v>
      </c>
      <c r="K1636" s="819">
        <f>ROUND(IF(G1636=1,F1636/23,IF(G1636=3,F1636/12,IF(G1636=6,F1636,IF(G1636=7,F1636-I1636,0)))),0)</f>
        <v>0</v>
      </c>
      <c r="L1636" s="820">
        <f>IF(G1636=6,F1636,0)</f>
        <v>0</v>
      </c>
      <c r="P1636" s="768" t="n"/>
      <c r="Q1636" s="769" t="str">
        <f>IF($F1636="","",IFERROR(VLOOKUP($C1636&amp;"|"&amp;$D1636,科目表!$A$5:$B$200,2,FALSE),"※未登録"))</f>
        <v/>
      </c>
      <c r="R1636" s="769" t="str">
        <f>IF($F1636="","",$I1636+$J1636+$K1636)</f>
        <v/>
      </c>
      <c r="S1636" s="769" t="str">
        <f>IF(OR($F1636="",$P1636="支払なし",$H1636=0,$Q1636=""),"",$Q1636&amp;"|S|"&amp;(COUNTIF(S$4:S1635,$Q1636&amp;"|S|*")+1))</f>
        <v/>
      </c>
      <c r="T1636" s="769" t="str">
        <f>IF(OR($F1636="",$P1636="支払なし",$R1636=0,$Q1636=""),"",$Q1636&amp;"|L|"&amp;(COUNTIF(T$4:T1635,$Q1636&amp;"|L|*")+1))</f>
        <v/>
      </c>
      <c r="U1636" s="769" t="str">
        <f>IF($F1636="","",13)</f>
        <v/>
      </c>
    </row>
    <row r="1637" ht="16.5" customHeight="1" s="186">
      <c r="A1637" s="760" t="n"/>
      <c r="B1637" s="760" t="n"/>
      <c r="C1637" s="762" t="n"/>
      <c r="D1637" s="762" t="n"/>
      <c r="E1637" s="775" t="n"/>
      <c r="F1637" s="821" t="n"/>
      <c r="G1637" s="821" t="n"/>
      <c r="H1637" s="818">
        <f>IF(G1637=1,F1637-I1637-J1637-K1637,IF(G1637=2,F1637,0))</f>
        <v>0</v>
      </c>
      <c r="I1637" s="818">
        <f>ROUND(IF(G1637=1,F1637*10/23,IF(G1637=3,F1637-J1637-K1637,IF(G1637=4,F1637,IF(G1637=5,F1637*10/11,IF(G1637=7,F1637*10/11,0))))),0)</f>
        <v>0</v>
      </c>
      <c r="J1637" s="818">
        <f>ROUND(IF(G1637=1,F1637/23,IF(G1637=3,F1637/12,IF(G1637=5,F1637-I1637,IF(G1637=8,F1637,0)))),0)</f>
        <v>0</v>
      </c>
      <c r="K1637" s="819">
        <f>ROUND(IF(G1637=1,F1637/23,IF(G1637=3,F1637/12,IF(G1637=6,F1637,IF(G1637=7,F1637-I1637,0)))),0)</f>
        <v>0</v>
      </c>
      <c r="L1637" s="820">
        <f>IF(G1637=6,F1637,0)</f>
        <v>0</v>
      </c>
      <c r="P1637" s="768" t="n"/>
      <c r="Q1637" s="769" t="str">
        <f>IF($F1637="","",IFERROR(VLOOKUP($C1637&amp;"|"&amp;$D1637,科目表!$A$5:$B$200,2,FALSE),"※未登録"))</f>
        <v/>
      </c>
      <c r="R1637" s="769" t="str">
        <f>IF($F1637="","",$I1637+$J1637+$K1637)</f>
        <v/>
      </c>
      <c r="S1637" s="769" t="str">
        <f>IF(OR($F1637="",$P1637="支払なし",$H1637=0,$Q1637=""),"",$Q1637&amp;"|S|"&amp;(COUNTIF(S$4:S1636,$Q1637&amp;"|S|*")+1))</f>
        <v/>
      </c>
      <c r="T1637" s="769" t="str">
        <f>IF(OR($F1637="",$P1637="支払なし",$R1637=0,$Q1637=""),"",$Q1637&amp;"|L|"&amp;(COUNTIF(T$4:T1636,$Q1637&amp;"|L|*")+1))</f>
        <v/>
      </c>
      <c r="U1637" s="769" t="str">
        <f>IF($F1637="","",13)</f>
        <v/>
      </c>
    </row>
    <row r="1638" ht="16.5" customHeight="1" s="186">
      <c r="A1638" s="760" t="n"/>
      <c r="B1638" s="760" t="n"/>
      <c r="C1638" s="762" t="n"/>
      <c r="D1638" s="762" t="n"/>
      <c r="E1638" s="775" t="n"/>
      <c r="F1638" s="821" t="n"/>
      <c r="G1638" s="821" t="n"/>
      <c r="H1638" s="818">
        <f>IF(G1638=1,F1638-I1638-J1638-K1638,IF(G1638=2,F1638,0))</f>
        <v>0</v>
      </c>
      <c r="I1638" s="818">
        <f>ROUND(IF(G1638=1,F1638*10/23,IF(G1638=3,F1638-J1638-K1638,IF(G1638=4,F1638,IF(G1638=5,F1638*10/11,IF(G1638=7,F1638*10/11,0))))),0)</f>
        <v>0</v>
      </c>
      <c r="J1638" s="818">
        <f>ROUND(IF(G1638=1,F1638/23,IF(G1638=3,F1638/12,IF(G1638=5,F1638-I1638,IF(G1638=8,F1638,0)))),0)</f>
        <v>0</v>
      </c>
      <c r="K1638" s="819">
        <f>ROUND(IF(G1638=1,F1638/23,IF(G1638=3,F1638/12,IF(G1638=6,F1638,IF(G1638=7,F1638-I1638,0)))),0)</f>
        <v>0</v>
      </c>
      <c r="L1638" s="820">
        <f>IF(G1638=6,F1638,0)</f>
        <v>0</v>
      </c>
      <c r="P1638" s="768" t="n"/>
      <c r="Q1638" s="769" t="str">
        <f>IF($F1638="","",IFERROR(VLOOKUP($C1638&amp;"|"&amp;$D1638,科目表!$A$5:$B$200,2,FALSE),"※未登録"))</f>
        <v/>
      </c>
      <c r="R1638" s="769" t="str">
        <f>IF($F1638="","",$I1638+$J1638+$K1638)</f>
        <v/>
      </c>
      <c r="S1638" s="769" t="str">
        <f>IF(OR($F1638="",$P1638="支払なし",$H1638=0,$Q1638=""),"",$Q1638&amp;"|S|"&amp;(COUNTIF(S$4:S1637,$Q1638&amp;"|S|*")+1))</f>
        <v/>
      </c>
      <c r="T1638" s="769" t="str">
        <f>IF(OR($F1638="",$P1638="支払なし",$R1638=0,$Q1638=""),"",$Q1638&amp;"|L|"&amp;(COUNTIF(T$4:T1637,$Q1638&amp;"|L|*")+1))</f>
        <v/>
      </c>
      <c r="U1638" s="769" t="str">
        <f>IF($F1638="","",13)</f>
        <v/>
      </c>
    </row>
    <row r="1639" ht="16.5" customHeight="1" s="186">
      <c r="A1639" s="760" t="n"/>
      <c r="B1639" s="760" t="n"/>
      <c r="C1639" s="762" t="n"/>
      <c r="D1639" s="762" t="n"/>
      <c r="E1639" s="775" t="n"/>
      <c r="F1639" s="821" t="n"/>
      <c r="G1639" s="821" t="n"/>
      <c r="H1639" s="818">
        <f>IF(G1639=1,F1639-I1639-J1639-K1639,IF(G1639=2,F1639,0))</f>
        <v>0</v>
      </c>
      <c r="I1639" s="818">
        <f>ROUND(IF(G1639=1,F1639*10/23,IF(G1639=3,F1639-J1639-K1639,IF(G1639=4,F1639,IF(G1639=5,F1639*10/11,IF(G1639=7,F1639*10/11,0))))),0)</f>
        <v>0</v>
      </c>
      <c r="J1639" s="818">
        <f>ROUND(IF(G1639=1,F1639/23,IF(G1639=3,F1639/12,IF(G1639=5,F1639-I1639,IF(G1639=8,F1639,0)))),0)</f>
        <v>0</v>
      </c>
      <c r="K1639" s="819">
        <f>ROUND(IF(G1639=1,F1639/23,IF(G1639=3,F1639/12,IF(G1639=6,F1639,IF(G1639=7,F1639-I1639,0)))),0)</f>
        <v>0</v>
      </c>
      <c r="L1639" s="820">
        <f>IF(G1639=6,F1639,0)</f>
        <v>0</v>
      </c>
      <c r="P1639" s="768" t="n"/>
      <c r="Q1639" s="769" t="str">
        <f>IF($F1639="","",IFERROR(VLOOKUP($C1639&amp;"|"&amp;$D1639,科目表!$A$5:$B$200,2,FALSE),"※未登録"))</f>
        <v/>
      </c>
      <c r="R1639" s="769" t="str">
        <f>IF($F1639="","",$I1639+$J1639+$K1639)</f>
        <v/>
      </c>
      <c r="S1639" s="769" t="str">
        <f>IF(OR($F1639="",$P1639="支払なし",$H1639=0,$Q1639=""),"",$Q1639&amp;"|S|"&amp;(COUNTIF(S$4:S1638,$Q1639&amp;"|S|*")+1))</f>
        <v/>
      </c>
      <c r="T1639" s="769" t="str">
        <f>IF(OR($F1639="",$P1639="支払なし",$R1639=0,$Q1639=""),"",$Q1639&amp;"|L|"&amp;(COUNTIF(T$4:T1638,$Q1639&amp;"|L|*")+1))</f>
        <v/>
      </c>
      <c r="U1639" s="769" t="str">
        <f>IF($F1639="","",13)</f>
        <v/>
      </c>
    </row>
    <row r="1640" ht="16.5" customHeight="1" s="186">
      <c r="A1640" s="760" t="n"/>
      <c r="B1640" s="760" t="n"/>
      <c r="C1640" s="762" t="n"/>
      <c r="D1640" s="762" t="n"/>
      <c r="E1640" s="775" t="n"/>
      <c r="F1640" s="821" t="n"/>
      <c r="G1640" s="821" t="n"/>
      <c r="H1640" s="818">
        <f>IF(G1640=1,F1640-I1640-J1640-K1640,IF(G1640=2,F1640,0))</f>
        <v>0</v>
      </c>
      <c r="I1640" s="818">
        <f>ROUND(IF(G1640=1,F1640*10/23,IF(G1640=3,F1640-J1640-K1640,IF(G1640=4,F1640,IF(G1640=5,F1640*10/11,IF(G1640=7,F1640*10/11,0))))),0)</f>
        <v>0</v>
      </c>
      <c r="J1640" s="818">
        <f>ROUND(IF(G1640=1,F1640/23,IF(G1640=3,F1640/12,IF(G1640=5,F1640-I1640,IF(G1640=8,F1640,0)))),0)</f>
        <v>0</v>
      </c>
      <c r="K1640" s="819">
        <f>ROUND(IF(G1640=1,F1640/23,IF(G1640=3,F1640/12,IF(G1640=6,F1640,IF(G1640=7,F1640-I1640,0)))),0)</f>
        <v>0</v>
      </c>
      <c r="L1640" s="820">
        <f>IF(G1640=6,F1640,0)</f>
        <v>0</v>
      </c>
      <c r="P1640" s="768" t="n"/>
      <c r="Q1640" s="769" t="str">
        <f>IF($F1640="","",IFERROR(VLOOKUP($C1640&amp;"|"&amp;$D1640,科目表!$A$5:$B$200,2,FALSE),"※未登録"))</f>
        <v/>
      </c>
      <c r="R1640" s="769" t="str">
        <f>IF($F1640="","",$I1640+$J1640+$K1640)</f>
        <v/>
      </c>
      <c r="S1640" s="769" t="str">
        <f>IF(OR($F1640="",$P1640="支払なし",$H1640=0,$Q1640=""),"",$Q1640&amp;"|S|"&amp;(COUNTIF(S$4:S1639,$Q1640&amp;"|S|*")+1))</f>
        <v/>
      </c>
      <c r="T1640" s="769" t="str">
        <f>IF(OR($F1640="",$P1640="支払なし",$R1640=0,$Q1640=""),"",$Q1640&amp;"|L|"&amp;(COUNTIF(T$4:T1639,$Q1640&amp;"|L|*")+1))</f>
        <v/>
      </c>
      <c r="U1640" s="769" t="str">
        <f>IF($F1640="","",13)</f>
        <v/>
      </c>
    </row>
    <row r="1641" ht="16.5" customHeight="1" s="186">
      <c r="A1641" s="760" t="n"/>
      <c r="B1641" s="760" t="n"/>
      <c r="C1641" s="762" t="n"/>
      <c r="D1641" s="762" t="n"/>
      <c r="E1641" s="775" t="n"/>
      <c r="F1641" s="821" t="n"/>
      <c r="G1641" s="821" t="n"/>
      <c r="H1641" s="818">
        <f>IF(G1641=1,F1641-I1641-J1641-K1641,IF(G1641=2,F1641,0))</f>
        <v>0</v>
      </c>
      <c r="I1641" s="818">
        <f>ROUND(IF(G1641=1,F1641*10/23,IF(G1641=3,F1641-J1641-K1641,IF(G1641=4,F1641,IF(G1641=5,F1641*10/11,IF(G1641=7,F1641*10/11,0))))),0)</f>
        <v>0</v>
      </c>
      <c r="J1641" s="818">
        <f>ROUND(IF(G1641=1,F1641/23,IF(G1641=3,F1641/12,IF(G1641=5,F1641-I1641,IF(G1641=8,F1641,0)))),0)</f>
        <v>0</v>
      </c>
      <c r="K1641" s="819">
        <f>ROUND(IF(G1641=1,F1641/23,IF(G1641=3,F1641/12,IF(G1641=6,F1641,IF(G1641=7,F1641-I1641,0)))),0)</f>
        <v>0</v>
      </c>
      <c r="L1641" s="820">
        <f>IF(G1641=6,F1641,0)</f>
        <v>0</v>
      </c>
      <c r="P1641" s="768" t="n"/>
      <c r="Q1641" s="769" t="str">
        <f>IF($F1641="","",IFERROR(VLOOKUP($C1641&amp;"|"&amp;$D1641,科目表!$A$5:$B$200,2,FALSE),"※未登録"))</f>
        <v/>
      </c>
      <c r="R1641" s="769" t="str">
        <f>IF($F1641="","",$I1641+$J1641+$K1641)</f>
        <v/>
      </c>
      <c r="S1641" s="769" t="str">
        <f>IF(OR($F1641="",$P1641="支払なし",$H1641=0,$Q1641=""),"",$Q1641&amp;"|S|"&amp;(COUNTIF(S$4:S1640,$Q1641&amp;"|S|*")+1))</f>
        <v/>
      </c>
      <c r="T1641" s="769" t="str">
        <f>IF(OR($F1641="",$P1641="支払なし",$R1641=0,$Q1641=""),"",$Q1641&amp;"|L|"&amp;(COUNTIF(T$4:T1640,$Q1641&amp;"|L|*")+1))</f>
        <v/>
      </c>
      <c r="U1641" s="769" t="str">
        <f>IF($F1641="","",13)</f>
        <v/>
      </c>
    </row>
    <row r="1642" ht="16.5" customHeight="1" s="186">
      <c r="A1642" s="760" t="n"/>
      <c r="B1642" s="760" t="n"/>
      <c r="C1642" s="762" t="n"/>
      <c r="D1642" s="762" t="n"/>
      <c r="E1642" s="775" t="n"/>
      <c r="F1642" s="821" t="n"/>
      <c r="G1642" s="821" t="n"/>
      <c r="H1642" s="818">
        <f>IF(G1642=1,F1642-I1642-J1642-K1642,IF(G1642=2,F1642,0))</f>
        <v>0</v>
      </c>
      <c r="I1642" s="818">
        <f>ROUND(IF(G1642=1,F1642*10/23,IF(G1642=3,F1642-J1642-K1642,IF(G1642=4,F1642,IF(G1642=5,F1642*10/11,IF(G1642=7,F1642*10/11,0))))),0)</f>
        <v>0</v>
      </c>
      <c r="J1642" s="818">
        <f>ROUND(IF(G1642=1,F1642/23,IF(G1642=3,F1642/12,IF(G1642=5,F1642-I1642,IF(G1642=8,F1642,0)))),0)</f>
        <v>0</v>
      </c>
      <c r="K1642" s="819">
        <f>ROUND(IF(G1642=1,F1642/23,IF(G1642=3,F1642/12,IF(G1642=6,F1642,IF(G1642=7,F1642-I1642,0)))),0)</f>
        <v>0</v>
      </c>
      <c r="L1642" s="820">
        <f>IF(G1642=6,F1642,0)</f>
        <v>0</v>
      </c>
      <c r="P1642" s="768" t="n"/>
      <c r="Q1642" s="769" t="str">
        <f>IF($F1642="","",IFERROR(VLOOKUP($C1642&amp;"|"&amp;$D1642,科目表!$A$5:$B$200,2,FALSE),"※未登録"))</f>
        <v/>
      </c>
      <c r="R1642" s="769" t="str">
        <f>IF($F1642="","",$I1642+$J1642+$K1642)</f>
        <v/>
      </c>
      <c r="S1642" s="769" t="str">
        <f>IF(OR($F1642="",$P1642="支払なし",$H1642=0,$Q1642=""),"",$Q1642&amp;"|S|"&amp;(COUNTIF(S$4:S1641,$Q1642&amp;"|S|*")+1))</f>
        <v/>
      </c>
      <c r="T1642" s="769" t="str">
        <f>IF(OR($F1642="",$P1642="支払なし",$R1642=0,$Q1642=""),"",$Q1642&amp;"|L|"&amp;(COUNTIF(T$4:T1641,$Q1642&amp;"|L|*")+1))</f>
        <v/>
      </c>
      <c r="U1642" s="769" t="str">
        <f>IF($F1642="","",13)</f>
        <v/>
      </c>
    </row>
    <row r="1643" ht="16.5" customHeight="1" s="186">
      <c r="A1643" s="760" t="n"/>
      <c r="B1643" s="760" t="n"/>
      <c r="C1643" s="762" t="n"/>
      <c r="D1643" s="762" t="n"/>
      <c r="E1643" s="775" t="n"/>
      <c r="F1643" s="821" t="n"/>
      <c r="G1643" s="821" t="n"/>
      <c r="H1643" s="818">
        <f>IF(G1643=1,F1643-I1643-J1643-K1643,IF(G1643=2,F1643,0))</f>
        <v>0</v>
      </c>
      <c r="I1643" s="818">
        <f>ROUND(IF(G1643=1,F1643*10/23,IF(G1643=3,F1643-J1643-K1643,IF(G1643=4,F1643,IF(G1643=5,F1643*10/11,IF(G1643=7,F1643*10/11,0))))),0)</f>
        <v>0</v>
      </c>
      <c r="J1643" s="818">
        <f>ROUND(IF(G1643=1,F1643/23,IF(G1643=3,F1643/12,IF(G1643=5,F1643-I1643,IF(G1643=8,F1643,0)))),0)</f>
        <v>0</v>
      </c>
      <c r="K1643" s="819">
        <f>ROUND(IF(G1643=1,F1643/23,IF(G1643=3,F1643/12,IF(G1643=6,F1643,IF(G1643=7,F1643-I1643,0)))),0)</f>
        <v>0</v>
      </c>
      <c r="L1643" s="820">
        <f>IF(G1643=6,F1643,0)</f>
        <v>0</v>
      </c>
      <c r="P1643" s="768" t="n"/>
      <c r="Q1643" s="769" t="str">
        <f>IF($F1643="","",IFERROR(VLOOKUP($C1643&amp;"|"&amp;$D1643,科目表!$A$5:$B$200,2,FALSE),"※未登録"))</f>
        <v/>
      </c>
      <c r="R1643" s="769" t="str">
        <f>IF($F1643="","",$I1643+$J1643+$K1643)</f>
        <v/>
      </c>
      <c r="S1643" s="769" t="str">
        <f>IF(OR($F1643="",$P1643="支払なし",$H1643=0,$Q1643=""),"",$Q1643&amp;"|S|"&amp;(COUNTIF(S$4:S1642,$Q1643&amp;"|S|*")+1))</f>
        <v/>
      </c>
      <c r="T1643" s="769" t="str">
        <f>IF(OR($F1643="",$P1643="支払なし",$R1643=0,$Q1643=""),"",$Q1643&amp;"|L|"&amp;(COUNTIF(T$4:T1642,$Q1643&amp;"|L|*")+1))</f>
        <v/>
      </c>
      <c r="U1643" s="769" t="str">
        <f>IF($F1643="","",13)</f>
        <v/>
      </c>
    </row>
    <row r="1644" ht="16.5" customHeight="1" s="186">
      <c r="A1644" s="760" t="n"/>
      <c r="B1644" s="760" t="n"/>
      <c r="C1644" s="762" t="n"/>
      <c r="D1644" s="762" t="n"/>
      <c r="E1644" s="775" t="n"/>
      <c r="F1644" s="821" t="n"/>
      <c r="G1644" s="821" t="n"/>
      <c r="H1644" s="818">
        <f>IF(G1644=1,F1644-I1644-J1644-K1644,IF(G1644=2,F1644,0))</f>
        <v>0</v>
      </c>
      <c r="I1644" s="818">
        <f>ROUND(IF(G1644=1,F1644*10/23,IF(G1644=3,F1644-J1644-K1644,IF(G1644=4,F1644,IF(G1644=5,F1644*10/11,IF(G1644=7,F1644*10/11,0))))),0)</f>
        <v>0</v>
      </c>
      <c r="J1644" s="818">
        <f>ROUND(IF(G1644=1,F1644/23,IF(G1644=3,F1644/12,IF(G1644=5,F1644-I1644,IF(G1644=8,F1644,0)))),0)</f>
        <v>0</v>
      </c>
      <c r="K1644" s="819">
        <f>ROUND(IF(G1644=1,F1644/23,IF(G1644=3,F1644/12,IF(G1644=6,F1644,IF(G1644=7,F1644-I1644,0)))),0)</f>
        <v>0</v>
      </c>
      <c r="L1644" s="820">
        <f>IF(G1644=6,F1644,0)</f>
        <v>0</v>
      </c>
      <c r="P1644" s="768" t="n"/>
      <c r="Q1644" s="769" t="str">
        <f>IF($F1644="","",IFERROR(VLOOKUP($C1644&amp;"|"&amp;$D1644,科目表!$A$5:$B$200,2,FALSE),"※未登録"))</f>
        <v/>
      </c>
      <c r="R1644" s="769" t="str">
        <f>IF($F1644="","",$I1644+$J1644+$K1644)</f>
        <v/>
      </c>
      <c r="S1644" s="769" t="str">
        <f>IF(OR($F1644="",$P1644="支払なし",$H1644=0,$Q1644=""),"",$Q1644&amp;"|S|"&amp;(COUNTIF(S$4:S1643,$Q1644&amp;"|S|*")+1))</f>
        <v/>
      </c>
      <c r="T1644" s="769" t="str">
        <f>IF(OR($F1644="",$P1644="支払なし",$R1644=0,$Q1644=""),"",$Q1644&amp;"|L|"&amp;(COUNTIF(T$4:T1643,$Q1644&amp;"|L|*")+1))</f>
        <v/>
      </c>
      <c r="U1644" s="769" t="str">
        <f>IF($F1644="","",13)</f>
        <v/>
      </c>
    </row>
    <row r="1645" ht="16.5" customHeight="1" s="186">
      <c r="A1645" s="760" t="n"/>
      <c r="B1645" s="760" t="n"/>
      <c r="C1645" s="762" t="n"/>
      <c r="D1645" s="762" t="n"/>
      <c r="E1645" s="775" t="n"/>
      <c r="F1645" s="821" t="n"/>
      <c r="G1645" s="821" t="n"/>
      <c r="H1645" s="818">
        <f>IF(G1645=1,F1645-I1645-J1645-K1645,IF(G1645=2,F1645,0))</f>
        <v>0</v>
      </c>
      <c r="I1645" s="818">
        <f>ROUND(IF(G1645=1,F1645*10/23,IF(G1645=3,F1645-J1645-K1645,IF(G1645=4,F1645,IF(G1645=5,F1645*10/11,IF(G1645=7,F1645*10/11,0))))),0)</f>
        <v>0</v>
      </c>
      <c r="J1645" s="818">
        <f>ROUND(IF(G1645=1,F1645/23,IF(G1645=3,F1645/12,IF(G1645=5,F1645-I1645,IF(G1645=8,F1645,0)))),0)</f>
        <v>0</v>
      </c>
      <c r="K1645" s="819">
        <f>ROUND(IF(G1645=1,F1645/23,IF(G1645=3,F1645/12,IF(G1645=6,F1645,IF(G1645=7,F1645-I1645,0)))),0)</f>
        <v>0</v>
      </c>
      <c r="L1645" s="820">
        <f>IF(G1645=6,F1645,0)</f>
        <v>0</v>
      </c>
      <c r="P1645" s="768" t="n"/>
      <c r="Q1645" s="769" t="str">
        <f>IF($F1645="","",IFERROR(VLOOKUP($C1645&amp;"|"&amp;$D1645,科目表!$A$5:$B$200,2,FALSE),"※未登録"))</f>
        <v/>
      </c>
      <c r="R1645" s="769" t="str">
        <f>IF($F1645="","",$I1645+$J1645+$K1645)</f>
        <v/>
      </c>
      <c r="S1645" s="769" t="str">
        <f>IF(OR($F1645="",$P1645="支払なし",$H1645=0,$Q1645=""),"",$Q1645&amp;"|S|"&amp;(COUNTIF(S$4:S1644,$Q1645&amp;"|S|*")+1))</f>
        <v/>
      </c>
      <c r="T1645" s="769" t="str">
        <f>IF(OR($F1645="",$P1645="支払なし",$R1645=0,$Q1645=""),"",$Q1645&amp;"|L|"&amp;(COUNTIF(T$4:T1644,$Q1645&amp;"|L|*")+1))</f>
        <v/>
      </c>
      <c r="U1645" s="769" t="str">
        <f>IF($F1645="","",13)</f>
        <v/>
      </c>
    </row>
    <row r="1646" ht="16.5" customHeight="1" s="186">
      <c r="A1646" s="760" t="n"/>
      <c r="B1646" s="760" t="n"/>
      <c r="C1646" s="762" t="n"/>
      <c r="D1646" s="762" t="n"/>
      <c r="E1646" s="775" t="n"/>
      <c r="F1646" s="821" t="n"/>
      <c r="G1646" s="821" t="n"/>
      <c r="H1646" s="818">
        <f>IF(G1646=1,F1646-I1646-J1646-K1646,IF(G1646=2,F1646,0))</f>
        <v>0</v>
      </c>
      <c r="I1646" s="818">
        <f>ROUND(IF(G1646=1,F1646*10/23,IF(G1646=3,F1646-J1646-K1646,IF(G1646=4,F1646,IF(G1646=5,F1646*10/11,IF(G1646=7,F1646*10/11,0))))),0)</f>
        <v>0</v>
      </c>
      <c r="J1646" s="818">
        <f>ROUND(IF(G1646=1,F1646/23,IF(G1646=3,F1646/12,IF(G1646=5,F1646-I1646,IF(G1646=8,F1646,0)))),0)</f>
        <v>0</v>
      </c>
      <c r="K1646" s="819">
        <f>ROUND(IF(G1646=1,F1646/23,IF(G1646=3,F1646/12,IF(G1646=6,F1646,IF(G1646=7,F1646-I1646,0)))),0)</f>
        <v>0</v>
      </c>
      <c r="L1646" s="820">
        <f>IF(G1646=6,F1646,0)</f>
        <v>0</v>
      </c>
      <c r="P1646" s="768" t="n"/>
      <c r="Q1646" s="769" t="str">
        <f>IF($F1646="","",IFERROR(VLOOKUP($C1646&amp;"|"&amp;$D1646,科目表!$A$5:$B$200,2,FALSE),"※未登録"))</f>
        <v/>
      </c>
      <c r="R1646" s="769" t="str">
        <f>IF($F1646="","",$I1646+$J1646+$K1646)</f>
        <v/>
      </c>
      <c r="S1646" s="769" t="str">
        <f>IF(OR($F1646="",$P1646="支払なし",$H1646=0,$Q1646=""),"",$Q1646&amp;"|S|"&amp;(COUNTIF(S$4:S1645,$Q1646&amp;"|S|*")+1))</f>
        <v/>
      </c>
      <c r="T1646" s="769" t="str">
        <f>IF(OR($F1646="",$P1646="支払なし",$R1646=0,$Q1646=""),"",$Q1646&amp;"|L|"&amp;(COUNTIF(T$4:T1645,$Q1646&amp;"|L|*")+1))</f>
        <v/>
      </c>
      <c r="U1646" s="769" t="str">
        <f>IF($F1646="","",13)</f>
        <v/>
      </c>
    </row>
    <row r="1647" ht="16.5" customHeight="1" s="186">
      <c r="A1647" s="760" t="n"/>
      <c r="B1647" s="760" t="n"/>
      <c r="C1647" s="762" t="n"/>
      <c r="D1647" s="762" t="n"/>
      <c r="E1647" s="775" t="n"/>
      <c r="F1647" s="821" t="n"/>
      <c r="G1647" s="821" t="n"/>
      <c r="H1647" s="818">
        <f>IF(G1647=1,F1647-I1647-J1647-K1647,IF(G1647=2,F1647,0))</f>
        <v>0</v>
      </c>
      <c r="I1647" s="818">
        <f>ROUND(IF(G1647=1,F1647*10/23,IF(G1647=3,F1647-J1647-K1647,IF(G1647=4,F1647,IF(G1647=5,F1647*10/11,IF(G1647=7,F1647*10/11,0))))),0)</f>
        <v>0</v>
      </c>
      <c r="J1647" s="818">
        <f>ROUND(IF(G1647=1,F1647/23,IF(G1647=3,F1647/12,IF(G1647=5,F1647-I1647,IF(G1647=8,F1647,0)))),0)</f>
        <v>0</v>
      </c>
      <c r="K1647" s="819">
        <f>ROUND(IF(G1647=1,F1647/23,IF(G1647=3,F1647/12,IF(G1647=6,F1647,IF(G1647=7,F1647-I1647,0)))),0)</f>
        <v>0</v>
      </c>
      <c r="L1647" s="820">
        <f>IF(G1647=6,F1647,0)</f>
        <v>0</v>
      </c>
      <c r="P1647" s="768" t="n"/>
      <c r="Q1647" s="769" t="str">
        <f>IF($F1647="","",IFERROR(VLOOKUP($C1647&amp;"|"&amp;$D1647,科目表!$A$5:$B$200,2,FALSE),"※未登録"))</f>
        <v/>
      </c>
      <c r="R1647" s="769" t="str">
        <f>IF($F1647="","",$I1647+$J1647+$K1647)</f>
        <v/>
      </c>
      <c r="S1647" s="769" t="str">
        <f>IF(OR($F1647="",$P1647="支払なし",$H1647=0,$Q1647=""),"",$Q1647&amp;"|S|"&amp;(COUNTIF(S$4:S1646,$Q1647&amp;"|S|*")+1))</f>
        <v/>
      </c>
      <c r="T1647" s="769" t="str">
        <f>IF(OR($F1647="",$P1647="支払なし",$R1647=0,$Q1647=""),"",$Q1647&amp;"|L|"&amp;(COUNTIF(T$4:T1646,$Q1647&amp;"|L|*")+1))</f>
        <v/>
      </c>
      <c r="U1647" s="769" t="str">
        <f>IF($F1647="","",13)</f>
        <v/>
      </c>
    </row>
    <row r="1648" ht="16.5" customHeight="1" s="186">
      <c r="A1648" s="760" t="n"/>
      <c r="B1648" s="760" t="n"/>
      <c r="C1648" s="762" t="n"/>
      <c r="D1648" s="762" t="n"/>
      <c r="E1648" s="775" t="n"/>
      <c r="F1648" s="821" t="n"/>
      <c r="G1648" s="821" t="n"/>
      <c r="H1648" s="818">
        <f>IF(G1648=1,F1648-I1648-J1648-K1648,IF(G1648=2,F1648,0))</f>
        <v>0</v>
      </c>
      <c r="I1648" s="818">
        <f>ROUND(IF(G1648=1,F1648*10/23,IF(G1648=3,F1648-J1648-K1648,IF(G1648=4,F1648,IF(G1648=5,F1648*10/11,IF(G1648=7,F1648*10/11,0))))),0)</f>
        <v>0</v>
      </c>
      <c r="J1648" s="818">
        <f>ROUND(IF(G1648=1,F1648/23,IF(G1648=3,F1648/12,IF(G1648=5,F1648-I1648,IF(G1648=8,F1648,0)))),0)</f>
        <v>0</v>
      </c>
      <c r="K1648" s="819">
        <f>ROUND(IF(G1648=1,F1648/23,IF(G1648=3,F1648/12,IF(G1648=6,F1648,IF(G1648=7,F1648-I1648,0)))),0)</f>
        <v>0</v>
      </c>
      <c r="L1648" s="820">
        <f>IF(G1648=6,F1648,0)</f>
        <v>0</v>
      </c>
      <c r="P1648" s="768" t="n"/>
      <c r="Q1648" s="769" t="str">
        <f>IF($F1648="","",IFERROR(VLOOKUP($C1648&amp;"|"&amp;$D1648,科目表!$A$5:$B$200,2,FALSE),"※未登録"))</f>
        <v/>
      </c>
      <c r="R1648" s="769" t="str">
        <f>IF($F1648="","",$I1648+$J1648+$K1648)</f>
        <v/>
      </c>
      <c r="S1648" s="769" t="str">
        <f>IF(OR($F1648="",$P1648="支払なし",$H1648=0,$Q1648=""),"",$Q1648&amp;"|S|"&amp;(COUNTIF(S$4:S1647,$Q1648&amp;"|S|*")+1))</f>
        <v/>
      </c>
      <c r="T1648" s="769" t="str">
        <f>IF(OR($F1648="",$P1648="支払なし",$R1648=0,$Q1648=""),"",$Q1648&amp;"|L|"&amp;(COUNTIF(T$4:T1647,$Q1648&amp;"|L|*")+1))</f>
        <v/>
      </c>
      <c r="U1648" s="769" t="str">
        <f>IF($F1648="","",13)</f>
        <v/>
      </c>
    </row>
    <row r="1649" ht="16.5" customHeight="1" s="186">
      <c r="A1649" s="760" t="n"/>
      <c r="B1649" s="760" t="n"/>
      <c r="C1649" s="762" t="n"/>
      <c r="D1649" s="762" t="n"/>
      <c r="E1649" s="775" t="n"/>
      <c r="F1649" s="821" t="n"/>
      <c r="G1649" s="821" t="n"/>
      <c r="H1649" s="818">
        <f>IF(G1649=1,F1649-I1649-J1649-K1649,IF(G1649=2,F1649,0))</f>
        <v>0</v>
      </c>
      <c r="I1649" s="818">
        <f>ROUND(IF(G1649=1,F1649*10/23,IF(G1649=3,F1649-J1649-K1649,IF(G1649=4,F1649,IF(G1649=5,F1649*10/11,IF(G1649=7,F1649*10/11,0))))),0)</f>
        <v>0</v>
      </c>
      <c r="J1649" s="818">
        <f>ROUND(IF(G1649=1,F1649/23,IF(G1649=3,F1649/12,IF(G1649=5,F1649-I1649,IF(G1649=8,F1649,0)))),0)</f>
        <v>0</v>
      </c>
      <c r="K1649" s="819">
        <f>ROUND(IF(G1649=1,F1649/23,IF(G1649=3,F1649/12,IF(G1649=6,F1649,IF(G1649=7,F1649-I1649,0)))),0)</f>
        <v>0</v>
      </c>
      <c r="L1649" s="820">
        <f>IF(G1649=6,F1649,0)</f>
        <v>0</v>
      </c>
      <c r="P1649" s="768" t="n"/>
      <c r="Q1649" s="769" t="str">
        <f>IF($F1649="","",IFERROR(VLOOKUP($C1649&amp;"|"&amp;$D1649,科目表!$A$5:$B$200,2,FALSE),"※未登録"))</f>
        <v/>
      </c>
      <c r="R1649" s="769" t="str">
        <f>IF($F1649="","",$I1649+$J1649+$K1649)</f>
        <v/>
      </c>
      <c r="S1649" s="769" t="str">
        <f>IF(OR($F1649="",$P1649="支払なし",$H1649=0,$Q1649=""),"",$Q1649&amp;"|S|"&amp;(COUNTIF(S$4:S1648,$Q1649&amp;"|S|*")+1))</f>
        <v/>
      </c>
      <c r="T1649" s="769" t="str">
        <f>IF(OR($F1649="",$P1649="支払なし",$R1649=0,$Q1649=""),"",$Q1649&amp;"|L|"&amp;(COUNTIF(T$4:T1648,$Q1649&amp;"|L|*")+1))</f>
        <v/>
      </c>
      <c r="U1649" s="769" t="str">
        <f>IF($F1649="","",13)</f>
        <v/>
      </c>
    </row>
    <row r="1650" ht="16.5" customHeight="1" s="186">
      <c r="A1650" s="760" t="n"/>
      <c r="B1650" s="760" t="n"/>
      <c r="C1650" s="762" t="n"/>
      <c r="D1650" s="762" t="n"/>
      <c r="E1650" s="775" t="n"/>
      <c r="F1650" s="821" t="n"/>
      <c r="G1650" s="821" t="n"/>
      <c r="H1650" s="818">
        <f>IF(G1650=1,F1650-I1650-J1650-K1650,IF(G1650=2,F1650,0))</f>
        <v>0</v>
      </c>
      <c r="I1650" s="818">
        <f>ROUND(IF(G1650=1,F1650*10/23,IF(G1650=3,F1650-J1650-K1650,IF(G1650=4,F1650,IF(G1650=5,F1650*10/11,IF(G1650=7,F1650*10/11,0))))),0)</f>
        <v>0</v>
      </c>
      <c r="J1650" s="818">
        <f>ROUND(IF(G1650=1,F1650/23,IF(G1650=3,F1650/12,IF(G1650=5,F1650-I1650,IF(G1650=8,F1650,0)))),0)</f>
        <v>0</v>
      </c>
      <c r="K1650" s="819">
        <f>ROUND(IF(G1650=1,F1650/23,IF(G1650=3,F1650/12,IF(G1650=6,F1650,IF(G1650=7,F1650-I1650,0)))),0)</f>
        <v>0</v>
      </c>
      <c r="L1650" s="820">
        <f>IF(G1650=6,F1650,0)</f>
        <v>0</v>
      </c>
      <c r="P1650" s="768" t="n"/>
      <c r="Q1650" s="769" t="str">
        <f>IF($F1650="","",IFERROR(VLOOKUP($C1650&amp;"|"&amp;$D1650,科目表!$A$5:$B$200,2,FALSE),"※未登録"))</f>
        <v/>
      </c>
      <c r="R1650" s="769" t="str">
        <f>IF($F1650="","",$I1650+$J1650+$K1650)</f>
        <v/>
      </c>
      <c r="S1650" s="769" t="str">
        <f>IF(OR($F1650="",$P1650="支払なし",$H1650=0,$Q1650=""),"",$Q1650&amp;"|S|"&amp;(COUNTIF(S$4:S1649,$Q1650&amp;"|S|*")+1))</f>
        <v/>
      </c>
      <c r="T1650" s="769" t="str">
        <f>IF(OR($F1650="",$P1650="支払なし",$R1650=0,$Q1650=""),"",$Q1650&amp;"|L|"&amp;(COUNTIF(T$4:T1649,$Q1650&amp;"|L|*")+1))</f>
        <v/>
      </c>
      <c r="U1650" s="769" t="str">
        <f>IF($F1650="","",13)</f>
        <v/>
      </c>
    </row>
    <row r="1651" ht="16.5" customHeight="1" s="186">
      <c r="A1651" s="760" t="n"/>
      <c r="B1651" s="760" t="n"/>
      <c r="C1651" s="762" t="n"/>
      <c r="D1651" s="762" t="n"/>
      <c r="E1651" s="775" t="n"/>
      <c r="F1651" s="821" t="n"/>
      <c r="G1651" s="821" t="n"/>
      <c r="H1651" s="818">
        <f>IF(G1651=1,F1651-I1651-J1651-K1651,IF(G1651=2,F1651,0))</f>
        <v>0</v>
      </c>
      <c r="I1651" s="818">
        <f>ROUND(IF(G1651=1,F1651*10/23,IF(G1651=3,F1651-J1651-K1651,IF(G1651=4,F1651,IF(G1651=5,F1651*10/11,IF(G1651=7,F1651*10/11,0))))),0)</f>
        <v>0</v>
      </c>
      <c r="J1651" s="818">
        <f>ROUND(IF(G1651=1,F1651/23,IF(G1651=3,F1651/12,IF(G1651=5,F1651-I1651,IF(G1651=8,F1651,0)))),0)</f>
        <v>0</v>
      </c>
      <c r="K1651" s="819">
        <f>ROUND(IF(G1651=1,F1651/23,IF(G1651=3,F1651/12,IF(G1651=6,F1651,IF(G1651=7,F1651-I1651,0)))),0)</f>
        <v>0</v>
      </c>
      <c r="L1651" s="820">
        <f>IF(G1651=6,F1651,0)</f>
        <v>0</v>
      </c>
      <c r="P1651" s="768" t="n"/>
      <c r="Q1651" s="769" t="str">
        <f>IF($F1651="","",IFERROR(VLOOKUP($C1651&amp;"|"&amp;$D1651,科目表!$A$5:$B$200,2,FALSE),"※未登録"))</f>
        <v/>
      </c>
      <c r="R1651" s="769" t="str">
        <f>IF($F1651="","",$I1651+$J1651+$K1651)</f>
        <v/>
      </c>
      <c r="S1651" s="769" t="str">
        <f>IF(OR($F1651="",$P1651="支払なし",$H1651=0,$Q1651=""),"",$Q1651&amp;"|S|"&amp;(COUNTIF(S$4:S1650,$Q1651&amp;"|S|*")+1))</f>
        <v/>
      </c>
      <c r="T1651" s="769" t="str">
        <f>IF(OR($F1651="",$P1651="支払なし",$R1651=0,$Q1651=""),"",$Q1651&amp;"|L|"&amp;(COUNTIF(T$4:T1650,$Q1651&amp;"|L|*")+1))</f>
        <v/>
      </c>
      <c r="U1651" s="769" t="str">
        <f>IF($F1651="","",13)</f>
        <v/>
      </c>
    </row>
    <row r="1652" ht="16.5" customHeight="1" s="186">
      <c r="A1652" s="760" t="n"/>
      <c r="B1652" s="760" t="n"/>
      <c r="C1652" s="762" t="n"/>
      <c r="D1652" s="762" t="n"/>
      <c r="E1652" s="775" t="n"/>
      <c r="F1652" s="821" t="n"/>
      <c r="G1652" s="821" t="n"/>
      <c r="H1652" s="818">
        <f>IF(G1652=1,F1652-I1652-J1652-K1652,IF(G1652=2,F1652,0))</f>
        <v>0</v>
      </c>
      <c r="I1652" s="818">
        <f>ROUND(IF(G1652=1,F1652*10/23,IF(G1652=3,F1652-J1652-K1652,IF(G1652=4,F1652,IF(G1652=5,F1652*10/11,IF(G1652=7,F1652*10/11,0))))),0)</f>
        <v>0</v>
      </c>
      <c r="J1652" s="818">
        <f>ROUND(IF(G1652=1,F1652/23,IF(G1652=3,F1652/12,IF(G1652=5,F1652-I1652,IF(G1652=8,F1652,0)))),0)</f>
        <v>0</v>
      </c>
      <c r="K1652" s="819">
        <f>ROUND(IF(G1652=1,F1652/23,IF(G1652=3,F1652/12,IF(G1652=6,F1652,IF(G1652=7,F1652-I1652,0)))),0)</f>
        <v>0</v>
      </c>
      <c r="L1652" s="820">
        <f>IF(G1652=6,F1652,0)</f>
        <v>0</v>
      </c>
      <c r="P1652" s="768" t="n"/>
      <c r="Q1652" s="769" t="str">
        <f>IF($F1652="","",IFERROR(VLOOKUP($C1652&amp;"|"&amp;$D1652,科目表!$A$5:$B$200,2,FALSE),"※未登録"))</f>
        <v/>
      </c>
      <c r="R1652" s="769" t="str">
        <f>IF($F1652="","",$I1652+$J1652+$K1652)</f>
        <v/>
      </c>
      <c r="S1652" s="769" t="str">
        <f>IF(OR($F1652="",$P1652="支払なし",$H1652=0,$Q1652=""),"",$Q1652&amp;"|S|"&amp;(COUNTIF(S$4:S1651,$Q1652&amp;"|S|*")+1))</f>
        <v/>
      </c>
      <c r="T1652" s="769" t="str">
        <f>IF(OR($F1652="",$P1652="支払なし",$R1652=0,$Q1652=""),"",$Q1652&amp;"|L|"&amp;(COUNTIF(T$4:T1651,$Q1652&amp;"|L|*")+1))</f>
        <v/>
      </c>
      <c r="U1652" s="769" t="str">
        <f>IF($F1652="","",13)</f>
        <v/>
      </c>
    </row>
    <row r="1653" ht="16.5" customHeight="1" s="186">
      <c r="A1653" s="760" t="n"/>
      <c r="B1653" s="760" t="n"/>
      <c r="C1653" s="762" t="n"/>
      <c r="D1653" s="762" t="n"/>
      <c r="E1653" s="775" t="n"/>
      <c r="F1653" s="821" t="n"/>
      <c r="G1653" s="821" t="n"/>
      <c r="H1653" s="818">
        <f>IF(G1653=1,F1653-I1653-J1653-K1653,IF(G1653=2,F1653,0))</f>
        <v>0</v>
      </c>
      <c r="I1653" s="818">
        <f>ROUND(IF(G1653=1,F1653*10/23,IF(G1653=3,F1653-J1653-K1653,IF(G1653=4,F1653,IF(G1653=5,F1653*10/11,IF(G1653=7,F1653*10/11,0))))),0)</f>
        <v>0</v>
      </c>
      <c r="J1653" s="818">
        <f>ROUND(IF(G1653=1,F1653/23,IF(G1653=3,F1653/12,IF(G1653=5,F1653-I1653,IF(G1653=8,F1653,0)))),0)</f>
        <v>0</v>
      </c>
      <c r="K1653" s="819">
        <f>ROUND(IF(G1653=1,F1653/23,IF(G1653=3,F1653/12,IF(G1653=6,F1653,IF(G1653=7,F1653-I1653,0)))),0)</f>
        <v>0</v>
      </c>
      <c r="L1653" s="820">
        <f>IF(G1653=6,F1653,0)</f>
        <v>0</v>
      </c>
      <c r="P1653" s="768" t="n"/>
      <c r="Q1653" s="769" t="str">
        <f>IF($F1653="","",IFERROR(VLOOKUP($C1653&amp;"|"&amp;$D1653,科目表!$A$5:$B$200,2,FALSE),"※未登録"))</f>
        <v/>
      </c>
      <c r="R1653" s="769" t="str">
        <f>IF($F1653="","",$I1653+$J1653+$K1653)</f>
        <v/>
      </c>
      <c r="S1653" s="769" t="str">
        <f>IF(OR($F1653="",$P1653="支払なし",$H1653=0,$Q1653=""),"",$Q1653&amp;"|S|"&amp;(COUNTIF(S$4:S1652,$Q1653&amp;"|S|*")+1))</f>
        <v/>
      </c>
      <c r="T1653" s="769" t="str">
        <f>IF(OR($F1653="",$P1653="支払なし",$R1653=0,$Q1653=""),"",$Q1653&amp;"|L|"&amp;(COUNTIF(T$4:T1652,$Q1653&amp;"|L|*")+1))</f>
        <v/>
      </c>
      <c r="U1653" s="769" t="str">
        <f>IF($F1653="","",13)</f>
        <v/>
      </c>
    </row>
    <row r="1654" ht="16.5" customHeight="1" s="186">
      <c r="A1654" s="760" t="n"/>
      <c r="B1654" s="760" t="n"/>
      <c r="C1654" s="762" t="n"/>
      <c r="D1654" s="762" t="n"/>
      <c r="E1654" s="775" t="n"/>
      <c r="F1654" s="821" t="n"/>
      <c r="G1654" s="821" t="n"/>
      <c r="H1654" s="818">
        <f>IF(G1654=1,F1654-I1654-J1654-K1654,IF(G1654=2,F1654,0))</f>
        <v>0</v>
      </c>
      <c r="I1654" s="818">
        <f>ROUND(IF(G1654=1,F1654*10/23,IF(G1654=3,F1654-J1654-K1654,IF(G1654=4,F1654,IF(G1654=5,F1654*10/11,IF(G1654=7,F1654*10/11,0))))),0)</f>
        <v>0</v>
      </c>
      <c r="J1654" s="818">
        <f>ROUND(IF(G1654=1,F1654/23,IF(G1654=3,F1654/12,IF(G1654=5,F1654-I1654,IF(G1654=8,F1654,0)))),0)</f>
        <v>0</v>
      </c>
      <c r="K1654" s="819">
        <f>ROUND(IF(G1654=1,F1654/23,IF(G1654=3,F1654/12,IF(G1654=6,F1654,IF(G1654=7,F1654-I1654,0)))),0)</f>
        <v>0</v>
      </c>
      <c r="L1654" s="820">
        <f>IF(G1654=6,F1654,0)</f>
        <v>0</v>
      </c>
      <c r="P1654" s="768" t="n"/>
      <c r="Q1654" s="769" t="str">
        <f>IF($F1654="","",IFERROR(VLOOKUP($C1654&amp;"|"&amp;$D1654,科目表!$A$5:$B$200,2,FALSE),"※未登録"))</f>
        <v/>
      </c>
      <c r="R1654" s="769" t="str">
        <f>IF($F1654="","",$I1654+$J1654+$K1654)</f>
        <v/>
      </c>
      <c r="S1654" s="769" t="str">
        <f>IF(OR($F1654="",$P1654="支払なし",$H1654=0,$Q1654=""),"",$Q1654&amp;"|S|"&amp;(COUNTIF(S$4:S1653,$Q1654&amp;"|S|*")+1))</f>
        <v/>
      </c>
      <c r="T1654" s="769" t="str">
        <f>IF(OR($F1654="",$P1654="支払なし",$R1654=0,$Q1654=""),"",$Q1654&amp;"|L|"&amp;(COUNTIF(T$4:T1653,$Q1654&amp;"|L|*")+1))</f>
        <v/>
      </c>
      <c r="U1654" s="769" t="str">
        <f>IF($F1654="","",13)</f>
        <v/>
      </c>
    </row>
    <row r="1655" ht="16.5" customHeight="1" s="186">
      <c r="A1655" s="760" t="n"/>
      <c r="B1655" s="760" t="n"/>
      <c r="C1655" s="762" t="n"/>
      <c r="D1655" s="762" t="n"/>
      <c r="E1655" s="775" t="n"/>
      <c r="F1655" s="821" t="n"/>
      <c r="G1655" s="821" t="n"/>
      <c r="H1655" s="818">
        <f>IF(G1655=1,F1655-I1655-J1655-K1655,IF(G1655=2,F1655,0))</f>
        <v>0</v>
      </c>
      <c r="I1655" s="818">
        <f>ROUND(IF(G1655=1,F1655*10/23,IF(G1655=3,F1655-J1655-K1655,IF(G1655=4,F1655,IF(G1655=5,F1655*10/11,IF(G1655=7,F1655*10/11,0))))),0)</f>
        <v>0</v>
      </c>
      <c r="J1655" s="818">
        <f>ROUND(IF(G1655=1,F1655/23,IF(G1655=3,F1655/12,IF(G1655=5,F1655-I1655,IF(G1655=8,F1655,0)))),0)</f>
        <v>0</v>
      </c>
      <c r="K1655" s="819">
        <f>ROUND(IF(G1655=1,F1655/23,IF(G1655=3,F1655/12,IF(G1655=6,F1655,IF(G1655=7,F1655-I1655,0)))),0)</f>
        <v>0</v>
      </c>
      <c r="L1655" s="820">
        <f>IF(G1655=6,F1655,0)</f>
        <v>0</v>
      </c>
      <c r="P1655" s="768" t="n"/>
      <c r="Q1655" s="769" t="str">
        <f>IF($F1655="","",IFERROR(VLOOKUP($C1655&amp;"|"&amp;$D1655,科目表!$A$5:$B$200,2,FALSE),"※未登録"))</f>
        <v/>
      </c>
      <c r="R1655" s="769" t="str">
        <f>IF($F1655="","",$I1655+$J1655+$K1655)</f>
        <v/>
      </c>
      <c r="S1655" s="769" t="str">
        <f>IF(OR($F1655="",$P1655="支払なし",$H1655=0,$Q1655=""),"",$Q1655&amp;"|S|"&amp;(COUNTIF(S$4:S1654,$Q1655&amp;"|S|*")+1))</f>
        <v/>
      </c>
      <c r="T1655" s="769" t="str">
        <f>IF(OR($F1655="",$P1655="支払なし",$R1655=0,$Q1655=""),"",$Q1655&amp;"|L|"&amp;(COUNTIF(T$4:T1654,$Q1655&amp;"|L|*")+1))</f>
        <v/>
      </c>
      <c r="U1655" s="769" t="str">
        <f>IF($F1655="","",13)</f>
        <v/>
      </c>
    </row>
    <row r="1656" ht="16.5" customHeight="1" s="186">
      <c r="A1656" s="760" t="n"/>
      <c r="B1656" s="760" t="n"/>
      <c r="C1656" s="762" t="n"/>
      <c r="D1656" s="762" t="n"/>
      <c r="E1656" s="775" t="n"/>
      <c r="F1656" s="821" t="n"/>
      <c r="G1656" s="821" t="n"/>
      <c r="H1656" s="818">
        <f>IF(G1656=1,F1656-I1656-J1656-K1656,IF(G1656=2,F1656,0))</f>
        <v>0</v>
      </c>
      <c r="I1656" s="818">
        <f>ROUND(IF(G1656=1,F1656*10/23,IF(G1656=3,F1656-J1656-K1656,IF(G1656=4,F1656,IF(G1656=5,F1656*10/11,IF(G1656=7,F1656*10/11,0))))),0)</f>
        <v>0</v>
      </c>
      <c r="J1656" s="818">
        <f>ROUND(IF(G1656=1,F1656/23,IF(G1656=3,F1656/12,IF(G1656=5,F1656-I1656,IF(G1656=8,F1656,0)))),0)</f>
        <v>0</v>
      </c>
      <c r="K1656" s="819">
        <f>ROUND(IF(G1656=1,F1656/23,IF(G1656=3,F1656/12,IF(G1656=6,F1656,IF(G1656=7,F1656-I1656,0)))),0)</f>
        <v>0</v>
      </c>
      <c r="L1656" s="820">
        <f>IF(G1656=6,F1656,0)</f>
        <v>0</v>
      </c>
      <c r="P1656" s="768" t="n"/>
      <c r="Q1656" s="769" t="str">
        <f>IF($F1656="","",IFERROR(VLOOKUP($C1656&amp;"|"&amp;$D1656,科目表!$A$5:$B$200,2,FALSE),"※未登録"))</f>
        <v/>
      </c>
      <c r="R1656" s="769" t="str">
        <f>IF($F1656="","",$I1656+$J1656+$K1656)</f>
        <v/>
      </c>
      <c r="S1656" s="769" t="str">
        <f>IF(OR($F1656="",$P1656="支払なし",$H1656=0,$Q1656=""),"",$Q1656&amp;"|S|"&amp;(COUNTIF(S$4:S1655,$Q1656&amp;"|S|*")+1))</f>
        <v/>
      </c>
      <c r="T1656" s="769" t="str">
        <f>IF(OR($F1656="",$P1656="支払なし",$R1656=0,$Q1656=""),"",$Q1656&amp;"|L|"&amp;(COUNTIF(T$4:T1655,$Q1656&amp;"|L|*")+1))</f>
        <v/>
      </c>
      <c r="U1656" s="769" t="str">
        <f>IF($F1656="","",13)</f>
        <v/>
      </c>
    </row>
    <row r="1657" ht="16.5" customHeight="1" s="186">
      <c r="A1657" s="760" t="n"/>
      <c r="B1657" s="760" t="n"/>
      <c r="C1657" s="762" t="n"/>
      <c r="D1657" s="762" t="n"/>
      <c r="E1657" s="775" t="n"/>
      <c r="F1657" s="821" t="n"/>
      <c r="G1657" s="821" t="n"/>
      <c r="H1657" s="818">
        <f>IF(G1657=1,F1657-I1657-J1657-K1657,IF(G1657=2,F1657,0))</f>
        <v>0</v>
      </c>
      <c r="I1657" s="818">
        <f>ROUND(IF(G1657=1,F1657*10/23,IF(G1657=3,F1657-J1657-K1657,IF(G1657=4,F1657,IF(G1657=5,F1657*10/11,IF(G1657=7,F1657*10/11,0))))),0)</f>
        <v>0</v>
      </c>
      <c r="J1657" s="818">
        <f>ROUND(IF(G1657=1,F1657/23,IF(G1657=3,F1657/12,IF(G1657=5,F1657-I1657,IF(G1657=8,F1657,0)))),0)</f>
        <v>0</v>
      </c>
      <c r="K1657" s="819">
        <f>ROUND(IF(G1657=1,F1657/23,IF(G1657=3,F1657/12,IF(G1657=6,F1657,IF(G1657=7,F1657-I1657,0)))),0)</f>
        <v>0</v>
      </c>
      <c r="L1657" s="820">
        <f>IF(G1657=6,F1657,0)</f>
        <v>0</v>
      </c>
      <c r="P1657" s="768" t="n"/>
      <c r="Q1657" s="769" t="str">
        <f>IF($F1657="","",IFERROR(VLOOKUP($C1657&amp;"|"&amp;$D1657,科目表!$A$5:$B$200,2,FALSE),"※未登録"))</f>
        <v/>
      </c>
      <c r="R1657" s="769" t="str">
        <f>IF($F1657="","",$I1657+$J1657+$K1657)</f>
        <v/>
      </c>
      <c r="S1657" s="769" t="str">
        <f>IF(OR($F1657="",$P1657="支払なし",$H1657=0,$Q1657=""),"",$Q1657&amp;"|S|"&amp;(COUNTIF(S$4:S1656,$Q1657&amp;"|S|*")+1))</f>
        <v/>
      </c>
      <c r="T1657" s="769" t="str">
        <f>IF(OR($F1657="",$P1657="支払なし",$R1657=0,$Q1657=""),"",$Q1657&amp;"|L|"&amp;(COUNTIF(T$4:T1656,$Q1657&amp;"|L|*")+1))</f>
        <v/>
      </c>
      <c r="U1657" s="769" t="str">
        <f>IF($F1657="","",13)</f>
        <v/>
      </c>
    </row>
    <row r="1658" ht="16.5" customHeight="1" s="186">
      <c r="A1658" s="760" t="n"/>
      <c r="B1658" s="760" t="n"/>
      <c r="C1658" s="762" t="n"/>
      <c r="D1658" s="762" t="n"/>
      <c r="E1658" s="775" t="n"/>
      <c r="F1658" s="821" t="n"/>
      <c r="G1658" s="821" t="n"/>
      <c r="H1658" s="818">
        <f>IF(G1658=1,F1658-I1658-J1658-K1658,IF(G1658=2,F1658,0))</f>
        <v>0</v>
      </c>
      <c r="I1658" s="818">
        <f>ROUND(IF(G1658=1,F1658*10/23,IF(G1658=3,F1658-J1658-K1658,IF(G1658=4,F1658,IF(G1658=5,F1658*10/11,IF(G1658=7,F1658*10/11,0))))),0)</f>
        <v>0</v>
      </c>
      <c r="J1658" s="818">
        <f>ROUND(IF(G1658=1,F1658/23,IF(G1658=3,F1658/12,IF(G1658=5,F1658-I1658,IF(G1658=8,F1658,0)))),0)</f>
        <v>0</v>
      </c>
      <c r="K1658" s="819">
        <f>ROUND(IF(G1658=1,F1658/23,IF(G1658=3,F1658/12,IF(G1658=6,F1658,IF(G1658=7,F1658-I1658,0)))),0)</f>
        <v>0</v>
      </c>
      <c r="L1658" s="820">
        <f>IF(G1658=6,F1658,0)</f>
        <v>0</v>
      </c>
      <c r="P1658" s="768" t="n"/>
      <c r="Q1658" s="769" t="str">
        <f>IF($F1658="","",IFERROR(VLOOKUP($C1658&amp;"|"&amp;$D1658,科目表!$A$5:$B$200,2,FALSE),"※未登録"))</f>
        <v/>
      </c>
      <c r="R1658" s="769" t="str">
        <f>IF($F1658="","",$I1658+$J1658+$K1658)</f>
        <v/>
      </c>
      <c r="S1658" s="769" t="str">
        <f>IF(OR($F1658="",$P1658="支払なし",$H1658=0,$Q1658=""),"",$Q1658&amp;"|S|"&amp;(COUNTIF(S$4:S1657,$Q1658&amp;"|S|*")+1))</f>
        <v/>
      </c>
      <c r="T1658" s="769" t="str">
        <f>IF(OR($F1658="",$P1658="支払なし",$R1658=0,$Q1658=""),"",$Q1658&amp;"|L|"&amp;(COUNTIF(T$4:T1657,$Q1658&amp;"|L|*")+1))</f>
        <v/>
      </c>
      <c r="U1658" s="769" t="str">
        <f>IF($F1658="","",13)</f>
        <v/>
      </c>
    </row>
    <row r="1659" ht="16.5" customHeight="1" s="186">
      <c r="A1659" s="760" t="n"/>
      <c r="B1659" s="760" t="n"/>
      <c r="C1659" s="762" t="n"/>
      <c r="D1659" s="762" t="n"/>
      <c r="E1659" s="775" t="n"/>
      <c r="F1659" s="821" t="n"/>
      <c r="G1659" s="821" t="n"/>
      <c r="H1659" s="818">
        <f>IF(G1659=1,F1659-I1659-J1659-K1659,IF(G1659=2,F1659,0))</f>
        <v>0</v>
      </c>
      <c r="I1659" s="818">
        <f>ROUND(IF(G1659=1,F1659*10/23,IF(G1659=3,F1659-J1659-K1659,IF(G1659=4,F1659,IF(G1659=5,F1659*10/11,IF(G1659=7,F1659*10/11,0))))),0)</f>
        <v>0</v>
      </c>
      <c r="J1659" s="818">
        <f>ROUND(IF(G1659=1,F1659/23,IF(G1659=3,F1659/12,IF(G1659=5,F1659-I1659,IF(G1659=8,F1659,0)))),0)</f>
        <v>0</v>
      </c>
      <c r="K1659" s="819">
        <f>ROUND(IF(G1659=1,F1659/23,IF(G1659=3,F1659/12,IF(G1659=6,F1659,IF(G1659=7,F1659-I1659,0)))),0)</f>
        <v>0</v>
      </c>
      <c r="L1659" s="820">
        <f>IF(G1659=6,F1659,0)</f>
        <v>0</v>
      </c>
      <c r="P1659" s="768" t="n"/>
      <c r="Q1659" s="769" t="str">
        <f>IF($F1659="","",IFERROR(VLOOKUP($C1659&amp;"|"&amp;$D1659,科目表!$A$5:$B$200,2,FALSE),"※未登録"))</f>
        <v/>
      </c>
      <c r="R1659" s="769" t="str">
        <f>IF($F1659="","",$I1659+$J1659+$K1659)</f>
        <v/>
      </c>
      <c r="S1659" s="769" t="str">
        <f>IF(OR($F1659="",$P1659="支払なし",$H1659=0,$Q1659=""),"",$Q1659&amp;"|S|"&amp;(COUNTIF(S$4:S1658,$Q1659&amp;"|S|*")+1))</f>
        <v/>
      </c>
      <c r="T1659" s="769" t="str">
        <f>IF(OR($F1659="",$P1659="支払なし",$R1659=0,$Q1659=""),"",$Q1659&amp;"|L|"&amp;(COUNTIF(T$4:T1658,$Q1659&amp;"|L|*")+1))</f>
        <v/>
      </c>
      <c r="U1659" s="769" t="str">
        <f>IF($F1659="","",13)</f>
        <v/>
      </c>
    </row>
    <row r="1660" ht="16.5" customHeight="1" s="186">
      <c r="A1660" s="760" t="n"/>
      <c r="B1660" s="760" t="n"/>
      <c r="C1660" s="762" t="n"/>
      <c r="D1660" s="762" t="n"/>
      <c r="E1660" s="775" t="n"/>
      <c r="F1660" s="821" t="n"/>
      <c r="G1660" s="821" t="n"/>
      <c r="H1660" s="818">
        <f>IF(G1660=1,F1660-I1660-J1660-K1660,IF(G1660=2,F1660,0))</f>
        <v>0</v>
      </c>
      <c r="I1660" s="818">
        <f>ROUND(IF(G1660=1,F1660*10/23,IF(G1660=3,F1660-J1660-K1660,IF(G1660=4,F1660,IF(G1660=5,F1660*10/11,IF(G1660=7,F1660*10/11,0))))),0)</f>
        <v>0</v>
      </c>
      <c r="J1660" s="818">
        <f>ROUND(IF(G1660=1,F1660/23,IF(G1660=3,F1660/12,IF(G1660=5,F1660-I1660,IF(G1660=8,F1660,0)))),0)</f>
        <v>0</v>
      </c>
      <c r="K1660" s="819">
        <f>ROUND(IF(G1660=1,F1660/23,IF(G1660=3,F1660/12,IF(G1660=6,F1660,IF(G1660=7,F1660-I1660,0)))),0)</f>
        <v>0</v>
      </c>
      <c r="L1660" s="820">
        <f>IF(G1660=6,F1660,0)</f>
        <v>0</v>
      </c>
      <c r="P1660" s="768" t="n"/>
      <c r="Q1660" s="769" t="str">
        <f>IF($F1660="","",IFERROR(VLOOKUP($C1660&amp;"|"&amp;$D1660,科目表!$A$5:$B$200,2,FALSE),"※未登録"))</f>
        <v/>
      </c>
      <c r="R1660" s="769" t="str">
        <f>IF($F1660="","",$I1660+$J1660+$K1660)</f>
        <v/>
      </c>
      <c r="S1660" s="769" t="str">
        <f>IF(OR($F1660="",$P1660="支払なし",$H1660=0,$Q1660=""),"",$Q1660&amp;"|S|"&amp;(COUNTIF(S$4:S1659,$Q1660&amp;"|S|*")+1))</f>
        <v/>
      </c>
      <c r="T1660" s="769" t="str">
        <f>IF(OR($F1660="",$P1660="支払なし",$R1660=0,$Q1660=""),"",$Q1660&amp;"|L|"&amp;(COUNTIF(T$4:T1659,$Q1660&amp;"|L|*")+1))</f>
        <v/>
      </c>
      <c r="U1660" s="769" t="str">
        <f>IF($F1660="","",13)</f>
        <v/>
      </c>
    </row>
    <row r="1661" ht="16.5" customHeight="1" s="186">
      <c r="A1661" s="760" t="n"/>
      <c r="B1661" s="760" t="n"/>
      <c r="C1661" s="762" t="n"/>
      <c r="D1661" s="762" t="n"/>
      <c r="E1661" s="775" t="n"/>
      <c r="F1661" s="821" t="n"/>
      <c r="G1661" s="821" t="n"/>
      <c r="H1661" s="818">
        <f>IF(G1661=1,F1661-I1661-J1661-K1661,IF(G1661=2,F1661,0))</f>
        <v>0</v>
      </c>
      <c r="I1661" s="818">
        <f>ROUND(IF(G1661=1,F1661*10/23,IF(G1661=3,F1661-J1661-K1661,IF(G1661=4,F1661,IF(G1661=5,F1661*10/11,IF(G1661=7,F1661*10/11,0))))),0)</f>
        <v>0</v>
      </c>
      <c r="J1661" s="818">
        <f>ROUND(IF(G1661=1,F1661/23,IF(G1661=3,F1661/12,IF(G1661=5,F1661-I1661,IF(G1661=8,F1661,0)))),0)</f>
        <v>0</v>
      </c>
      <c r="K1661" s="819">
        <f>ROUND(IF(G1661=1,F1661/23,IF(G1661=3,F1661/12,IF(G1661=6,F1661,IF(G1661=7,F1661-I1661,0)))),0)</f>
        <v>0</v>
      </c>
      <c r="L1661" s="820">
        <f>IF(G1661=6,F1661,0)</f>
        <v>0</v>
      </c>
      <c r="P1661" s="768" t="n"/>
      <c r="Q1661" s="769" t="str">
        <f>IF($F1661="","",IFERROR(VLOOKUP($C1661&amp;"|"&amp;$D1661,科目表!$A$5:$B$200,2,FALSE),"※未登録"))</f>
        <v/>
      </c>
      <c r="R1661" s="769" t="str">
        <f>IF($F1661="","",$I1661+$J1661+$K1661)</f>
        <v/>
      </c>
      <c r="S1661" s="769" t="str">
        <f>IF(OR($F1661="",$P1661="支払なし",$H1661=0,$Q1661=""),"",$Q1661&amp;"|S|"&amp;(COUNTIF(S$4:S1660,$Q1661&amp;"|S|*")+1))</f>
        <v/>
      </c>
      <c r="T1661" s="769" t="str">
        <f>IF(OR($F1661="",$P1661="支払なし",$R1661=0,$Q1661=""),"",$Q1661&amp;"|L|"&amp;(COUNTIF(T$4:T1660,$Q1661&amp;"|L|*")+1))</f>
        <v/>
      </c>
      <c r="U1661" s="769" t="str">
        <f>IF($F1661="","",13)</f>
        <v/>
      </c>
    </row>
    <row r="1662" ht="16.5" customHeight="1" s="186">
      <c r="A1662" s="760" t="n"/>
      <c r="B1662" s="760" t="n"/>
      <c r="C1662" s="762" t="n"/>
      <c r="D1662" s="762" t="n"/>
      <c r="E1662" s="775" t="n"/>
      <c r="F1662" s="821" t="n"/>
      <c r="G1662" s="821" t="n"/>
      <c r="H1662" s="818">
        <f>IF(G1662=1,F1662-I1662-J1662-K1662,IF(G1662=2,F1662,0))</f>
        <v>0</v>
      </c>
      <c r="I1662" s="818">
        <f>ROUND(IF(G1662=1,F1662*10/23,IF(G1662=3,F1662-J1662-K1662,IF(G1662=4,F1662,IF(G1662=5,F1662*10/11,IF(G1662=7,F1662*10/11,0))))),0)</f>
        <v>0</v>
      </c>
      <c r="J1662" s="818">
        <f>ROUND(IF(G1662=1,F1662/23,IF(G1662=3,F1662/12,IF(G1662=5,F1662-I1662,IF(G1662=8,F1662,0)))),0)</f>
        <v>0</v>
      </c>
      <c r="K1662" s="819">
        <f>ROUND(IF(G1662=1,F1662/23,IF(G1662=3,F1662/12,IF(G1662=6,F1662,IF(G1662=7,F1662-I1662,0)))),0)</f>
        <v>0</v>
      </c>
      <c r="L1662" s="820">
        <f>IF(G1662=6,F1662,0)</f>
        <v>0</v>
      </c>
      <c r="P1662" s="768" t="n"/>
      <c r="Q1662" s="769" t="str">
        <f>IF($F1662="","",IFERROR(VLOOKUP($C1662&amp;"|"&amp;$D1662,科目表!$A$5:$B$200,2,FALSE),"※未登録"))</f>
        <v/>
      </c>
      <c r="R1662" s="769" t="str">
        <f>IF($F1662="","",$I1662+$J1662+$K1662)</f>
        <v/>
      </c>
      <c r="S1662" s="769" t="str">
        <f>IF(OR($F1662="",$P1662="支払なし",$H1662=0,$Q1662=""),"",$Q1662&amp;"|S|"&amp;(COUNTIF(S$4:S1661,$Q1662&amp;"|S|*")+1))</f>
        <v/>
      </c>
      <c r="T1662" s="769" t="str">
        <f>IF(OR($F1662="",$P1662="支払なし",$R1662=0,$Q1662=""),"",$Q1662&amp;"|L|"&amp;(COUNTIF(T$4:T1661,$Q1662&amp;"|L|*")+1))</f>
        <v/>
      </c>
      <c r="U1662" s="769" t="str">
        <f>IF($F1662="","",13)</f>
        <v/>
      </c>
    </row>
    <row r="1663" ht="16.5" customHeight="1" s="186">
      <c r="A1663" s="760" t="n"/>
      <c r="B1663" s="760" t="n"/>
      <c r="C1663" s="762" t="n"/>
      <c r="D1663" s="762" t="n"/>
      <c r="E1663" s="775" t="n"/>
      <c r="F1663" s="821" t="n"/>
      <c r="G1663" s="821" t="n"/>
      <c r="H1663" s="818">
        <f>IF(G1663=1,F1663-I1663-J1663-K1663,IF(G1663=2,F1663,0))</f>
        <v>0</v>
      </c>
      <c r="I1663" s="818">
        <f>ROUND(IF(G1663=1,F1663*10/23,IF(G1663=3,F1663-J1663-K1663,IF(G1663=4,F1663,IF(G1663=5,F1663*10/11,IF(G1663=7,F1663*10/11,0))))),0)</f>
        <v>0</v>
      </c>
      <c r="J1663" s="818">
        <f>ROUND(IF(G1663=1,F1663/23,IF(G1663=3,F1663/12,IF(G1663=5,F1663-I1663,IF(G1663=8,F1663,0)))),0)</f>
        <v>0</v>
      </c>
      <c r="K1663" s="819">
        <f>ROUND(IF(G1663=1,F1663/23,IF(G1663=3,F1663/12,IF(G1663=6,F1663,IF(G1663=7,F1663-I1663,0)))),0)</f>
        <v>0</v>
      </c>
      <c r="L1663" s="820">
        <f>IF(G1663=6,F1663,0)</f>
        <v>0</v>
      </c>
      <c r="P1663" s="768" t="n"/>
      <c r="Q1663" s="769" t="str">
        <f>IF($F1663="","",IFERROR(VLOOKUP($C1663&amp;"|"&amp;$D1663,科目表!$A$5:$B$200,2,FALSE),"※未登録"))</f>
        <v/>
      </c>
      <c r="R1663" s="769" t="str">
        <f>IF($F1663="","",$I1663+$J1663+$K1663)</f>
        <v/>
      </c>
      <c r="S1663" s="769" t="str">
        <f>IF(OR($F1663="",$P1663="支払なし",$H1663=0,$Q1663=""),"",$Q1663&amp;"|S|"&amp;(COUNTIF(S$4:S1662,$Q1663&amp;"|S|*")+1))</f>
        <v/>
      </c>
      <c r="T1663" s="769" t="str">
        <f>IF(OR($F1663="",$P1663="支払なし",$R1663=0,$Q1663=""),"",$Q1663&amp;"|L|"&amp;(COUNTIF(T$4:T1662,$Q1663&amp;"|L|*")+1))</f>
        <v/>
      </c>
      <c r="U1663" s="769" t="str">
        <f>IF($F1663="","",13)</f>
        <v/>
      </c>
    </row>
    <row r="1664" ht="16.5" customHeight="1" s="186">
      <c r="A1664" s="760" t="n"/>
      <c r="B1664" s="760" t="n"/>
      <c r="C1664" s="762" t="n"/>
      <c r="D1664" s="762" t="n"/>
      <c r="E1664" s="775" t="n"/>
      <c r="F1664" s="821" t="n"/>
      <c r="G1664" s="821" t="n"/>
      <c r="H1664" s="818">
        <f>IF(G1664=1,F1664-I1664-J1664-K1664,IF(G1664=2,F1664,0))</f>
        <v>0</v>
      </c>
      <c r="I1664" s="818">
        <f>ROUND(IF(G1664=1,F1664*10/23,IF(G1664=3,F1664-J1664-K1664,IF(G1664=4,F1664,IF(G1664=5,F1664*10/11,IF(G1664=7,F1664*10/11,0))))),0)</f>
        <v>0</v>
      </c>
      <c r="J1664" s="818">
        <f>ROUND(IF(G1664=1,F1664/23,IF(G1664=3,F1664/12,IF(G1664=5,F1664-I1664,IF(G1664=8,F1664,0)))),0)</f>
        <v>0</v>
      </c>
      <c r="K1664" s="819">
        <f>ROUND(IF(G1664=1,F1664/23,IF(G1664=3,F1664/12,IF(G1664=6,F1664,IF(G1664=7,F1664-I1664,0)))),0)</f>
        <v>0</v>
      </c>
      <c r="L1664" s="820">
        <f>IF(G1664=6,F1664,0)</f>
        <v>0</v>
      </c>
      <c r="P1664" s="768" t="n"/>
      <c r="Q1664" s="769" t="str">
        <f>IF($F1664="","",IFERROR(VLOOKUP($C1664&amp;"|"&amp;$D1664,科目表!$A$5:$B$200,2,FALSE),"※未登録"))</f>
        <v/>
      </c>
      <c r="R1664" s="769" t="str">
        <f>IF($F1664="","",$I1664+$J1664+$K1664)</f>
        <v/>
      </c>
      <c r="S1664" s="769" t="str">
        <f>IF(OR($F1664="",$P1664="支払なし",$H1664=0,$Q1664=""),"",$Q1664&amp;"|S|"&amp;(COUNTIF(S$4:S1663,$Q1664&amp;"|S|*")+1))</f>
        <v/>
      </c>
      <c r="T1664" s="769" t="str">
        <f>IF(OR($F1664="",$P1664="支払なし",$R1664=0,$Q1664=""),"",$Q1664&amp;"|L|"&amp;(COUNTIF(T$4:T1663,$Q1664&amp;"|L|*")+1))</f>
        <v/>
      </c>
      <c r="U1664" s="769" t="str">
        <f>IF($F1664="","",13)</f>
        <v/>
      </c>
    </row>
    <row r="1665" ht="16.5" customHeight="1" s="186">
      <c r="A1665" s="760" t="n"/>
      <c r="B1665" s="760" t="n"/>
      <c r="C1665" s="762" t="n"/>
      <c r="D1665" s="762" t="n"/>
      <c r="E1665" s="775" t="n"/>
      <c r="F1665" s="821" t="n"/>
      <c r="G1665" s="821" t="n"/>
      <c r="H1665" s="818">
        <f>IF(G1665=1,F1665-I1665-J1665-K1665,IF(G1665=2,F1665,0))</f>
        <v>0</v>
      </c>
      <c r="I1665" s="818">
        <f>ROUND(IF(G1665=1,F1665*10/23,IF(G1665=3,F1665-J1665-K1665,IF(G1665=4,F1665,IF(G1665=5,F1665*10/11,IF(G1665=7,F1665*10/11,0))))),0)</f>
        <v>0</v>
      </c>
      <c r="J1665" s="818">
        <f>ROUND(IF(G1665=1,F1665/23,IF(G1665=3,F1665/12,IF(G1665=5,F1665-I1665,IF(G1665=8,F1665,0)))),0)</f>
        <v>0</v>
      </c>
      <c r="K1665" s="819">
        <f>ROUND(IF(G1665=1,F1665/23,IF(G1665=3,F1665/12,IF(G1665=6,F1665,IF(G1665=7,F1665-I1665,0)))),0)</f>
        <v>0</v>
      </c>
      <c r="L1665" s="820">
        <f>IF(G1665=6,F1665,0)</f>
        <v>0</v>
      </c>
      <c r="P1665" s="768" t="n"/>
      <c r="Q1665" s="769" t="str">
        <f>IF($F1665="","",IFERROR(VLOOKUP($C1665&amp;"|"&amp;$D1665,科目表!$A$5:$B$200,2,FALSE),"※未登録"))</f>
        <v/>
      </c>
      <c r="R1665" s="769" t="str">
        <f>IF($F1665="","",$I1665+$J1665+$K1665)</f>
        <v/>
      </c>
      <c r="S1665" s="769" t="str">
        <f>IF(OR($F1665="",$P1665="支払なし",$H1665=0,$Q1665=""),"",$Q1665&amp;"|S|"&amp;(COUNTIF(S$4:S1664,$Q1665&amp;"|S|*")+1))</f>
        <v/>
      </c>
      <c r="T1665" s="769" t="str">
        <f>IF(OR($F1665="",$P1665="支払なし",$R1665=0,$Q1665=""),"",$Q1665&amp;"|L|"&amp;(COUNTIF(T$4:T1664,$Q1665&amp;"|L|*")+1))</f>
        <v/>
      </c>
      <c r="U1665" s="769" t="str">
        <f>IF($F1665="","",13)</f>
        <v/>
      </c>
    </row>
    <row r="1666" ht="16.5" customHeight="1" s="186">
      <c r="A1666" s="760" t="n"/>
      <c r="B1666" s="760" t="n"/>
      <c r="C1666" s="762" t="n"/>
      <c r="D1666" s="762" t="n"/>
      <c r="E1666" s="775" t="n"/>
      <c r="F1666" s="821" t="n"/>
      <c r="G1666" s="821" t="n"/>
      <c r="H1666" s="818">
        <f>IF(G1666=1,F1666-I1666-J1666-K1666,IF(G1666=2,F1666,0))</f>
        <v>0</v>
      </c>
      <c r="I1666" s="818">
        <f>ROUND(IF(G1666=1,F1666*10/23,IF(G1666=3,F1666-J1666-K1666,IF(G1666=4,F1666,IF(G1666=5,F1666*10/11,IF(G1666=7,F1666*10/11,0))))),0)</f>
        <v>0</v>
      </c>
      <c r="J1666" s="818">
        <f>ROUND(IF(G1666=1,F1666/23,IF(G1666=3,F1666/12,IF(G1666=5,F1666-I1666,IF(G1666=8,F1666,0)))),0)</f>
        <v>0</v>
      </c>
      <c r="K1666" s="819">
        <f>ROUND(IF(G1666=1,F1666/23,IF(G1666=3,F1666/12,IF(G1666=6,F1666,IF(G1666=7,F1666-I1666,0)))),0)</f>
        <v>0</v>
      </c>
      <c r="L1666" s="820">
        <f>IF(G1666=6,F1666,0)</f>
        <v>0</v>
      </c>
      <c r="P1666" s="768" t="n"/>
      <c r="Q1666" s="769" t="str">
        <f>IF($F1666="","",IFERROR(VLOOKUP($C1666&amp;"|"&amp;$D1666,科目表!$A$5:$B$200,2,FALSE),"※未登録"))</f>
        <v/>
      </c>
      <c r="R1666" s="769" t="str">
        <f>IF($F1666="","",$I1666+$J1666+$K1666)</f>
        <v/>
      </c>
      <c r="S1666" s="769" t="str">
        <f>IF(OR($F1666="",$P1666="支払なし",$H1666=0,$Q1666=""),"",$Q1666&amp;"|S|"&amp;(COUNTIF(S$4:S1665,$Q1666&amp;"|S|*")+1))</f>
        <v/>
      </c>
      <c r="T1666" s="769" t="str">
        <f>IF(OR($F1666="",$P1666="支払なし",$R1666=0,$Q1666=""),"",$Q1666&amp;"|L|"&amp;(COUNTIF(T$4:T1665,$Q1666&amp;"|L|*")+1))</f>
        <v/>
      </c>
      <c r="U1666" s="769" t="str">
        <f>IF($F1666="","",13)</f>
        <v/>
      </c>
    </row>
    <row r="1667" ht="16.5" customHeight="1" s="186">
      <c r="A1667" s="760" t="n"/>
      <c r="B1667" s="760" t="n"/>
      <c r="C1667" s="762" t="n"/>
      <c r="D1667" s="762" t="n"/>
      <c r="E1667" s="775" t="n"/>
      <c r="F1667" s="821" t="n"/>
      <c r="G1667" s="821" t="n"/>
      <c r="H1667" s="818">
        <f>IF(G1667=1,F1667-I1667-J1667-K1667,IF(G1667=2,F1667,0))</f>
        <v>0</v>
      </c>
      <c r="I1667" s="818">
        <f>ROUND(IF(G1667=1,F1667*10/23,IF(G1667=3,F1667-J1667-K1667,IF(G1667=4,F1667,IF(G1667=5,F1667*10/11,IF(G1667=7,F1667*10/11,0))))),0)</f>
        <v>0</v>
      </c>
      <c r="J1667" s="818">
        <f>ROUND(IF(G1667=1,F1667/23,IF(G1667=3,F1667/12,IF(G1667=5,F1667-I1667,IF(G1667=8,F1667,0)))),0)</f>
        <v>0</v>
      </c>
      <c r="K1667" s="819">
        <f>ROUND(IF(G1667=1,F1667/23,IF(G1667=3,F1667/12,IF(G1667=6,F1667,IF(G1667=7,F1667-I1667,0)))),0)</f>
        <v>0</v>
      </c>
      <c r="L1667" s="820">
        <f>IF(G1667=6,F1667,0)</f>
        <v>0</v>
      </c>
      <c r="P1667" s="768" t="n"/>
      <c r="Q1667" s="769" t="str">
        <f>IF($F1667="","",IFERROR(VLOOKUP($C1667&amp;"|"&amp;$D1667,科目表!$A$5:$B$200,2,FALSE),"※未登録"))</f>
        <v/>
      </c>
      <c r="R1667" s="769" t="str">
        <f>IF($F1667="","",$I1667+$J1667+$K1667)</f>
        <v/>
      </c>
      <c r="S1667" s="769" t="str">
        <f>IF(OR($F1667="",$P1667="支払なし",$H1667=0,$Q1667=""),"",$Q1667&amp;"|S|"&amp;(COUNTIF(S$4:S1666,$Q1667&amp;"|S|*")+1))</f>
        <v/>
      </c>
      <c r="T1667" s="769" t="str">
        <f>IF(OR($F1667="",$P1667="支払なし",$R1667=0,$Q1667=""),"",$Q1667&amp;"|L|"&amp;(COUNTIF(T$4:T1666,$Q1667&amp;"|L|*")+1))</f>
        <v/>
      </c>
      <c r="U1667" s="769" t="str">
        <f>IF($F1667="","",13)</f>
        <v/>
      </c>
    </row>
    <row r="1668" ht="16.5" customHeight="1" s="186">
      <c r="A1668" s="760" t="n"/>
      <c r="B1668" s="760" t="n"/>
      <c r="C1668" s="762" t="n"/>
      <c r="D1668" s="762" t="n"/>
      <c r="E1668" s="775" t="n"/>
      <c r="F1668" s="821" t="n"/>
      <c r="G1668" s="821" t="n"/>
      <c r="H1668" s="818">
        <f>IF(G1668=1,F1668-I1668-J1668-K1668,IF(G1668=2,F1668,0))</f>
        <v>0</v>
      </c>
      <c r="I1668" s="818">
        <f>ROUND(IF(G1668=1,F1668*10/23,IF(G1668=3,F1668-J1668-K1668,IF(G1668=4,F1668,IF(G1668=5,F1668*10/11,IF(G1668=7,F1668*10/11,0))))),0)</f>
        <v>0</v>
      </c>
      <c r="J1668" s="818">
        <f>ROUND(IF(G1668=1,F1668/23,IF(G1668=3,F1668/12,IF(G1668=5,F1668-I1668,IF(G1668=8,F1668,0)))),0)</f>
        <v>0</v>
      </c>
      <c r="K1668" s="819">
        <f>ROUND(IF(G1668=1,F1668/23,IF(G1668=3,F1668/12,IF(G1668=6,F1668,IF(G1668=7,F1668-I1668,0)))),0)</f>
        <v>0</v>
      </c>
      <c r="L1668" s="820">
        <f>IF(G1668=6,F1668,0)</f>
        <v>0</v>
      </c>
      <c r="P1668" s="768" t="n"/>
      <c r="Q1668" s="769" t="str">
        <f>IF($F1668="","",IFERROR(VLOOKUP($C1668&amp;"|"&amp;$D1668,科目表!$A$5:$B$200,2,FALSE),"※未登録"))</f>
        <v/>
      </c>
      <c r="R1668" s="769" t="str">
        <f>IF($F1668="","",$I1668+$J1668+$K1668)</f>
        <v/>
      </c>
      <c r="S1668" s="769" t="str">
        <f>IF(OR($F1668="",$P1668="支払なし",$H1668=0,$Q1668=""),"",$Q1668&amp;"|S|"&amp;(COUNTIF(S$4:S1667,$Q1668&amp;"|S|*")+1))</f>
        <v/>
      </c>
      <c r="T1668" s="769" t="str">
        <f>IF(OR($F1668="",$P1668="支払なし",$R1668=0,$Q1668=""),"",$Q1668&amp;"|L|"&amp;(COUNTIF(T$4:T1667,$Q1668&amp;"|L|*")+1))</f>
        <v/>
      </c>
      <c r="U1668" s="769" t="str">
        <f>IF($F1668="","",13)</f>
        <v/>
      </c>
    </row>
    <row r="1669" ht="16.5" customHeight="1" s="186">
      <c r="A1669" s="760" t="n"/>
      <c r="B1669" s="760" t="n"/>
      <c r="C1669" s="762" t="n"/>
      <c r="D1669" s="762" t="n"/>
      <c r="E1669" s="775" t="n"/>
      <c r="F1669" s="821" t="n"/>
      <c r="G1669" s="821" t="n"/>
      <c r="H1669" s="818">
        <f>IF(G1669=1,F1669-I1669-J1669-K1669,IF(G1669=2,F1669,0))</f>
        <v>0</v>
      </c>
      <c r="I1669" s="818">
        <f>ROUND(IF(G1669=1,F1669*10/23,IF(G1669=3,F1669-J1669-K1669,IF(G1669=4,F1669,IF(G1669=5,F1669*10/11,IF(G1669=7,F1669*10/11,0))))),0)</f>
        <v>0</v>
      </c>
      <c r="J1669" s="818">
        <f>ROUND(IF(G1669=1,F1669/23,IF(G1669=3,F1669/12,IF(G1669=5,F1669-I1669,IF(G1669=8,F1669,0)))),0)</f>
        <v>0</v>
      </c>
      <c r="K1669" s="819">
        <f>ROUND(IF(G1669=1,F1669/23,IF(G1669=3,F1669/12,IF(G1669=6,F1669,IF(G1669=7,F1669-I1669,0)))),0)</f>
        <v>0</v>
      </c>
      <c r="L1669" s="820">
        <f>IF(G1669=6,F1669,0)</f>
        <v>0</v>
      </c>
      <c r="P1669" s="768" t="n"/>
      <c r="Q1669" s="769" t="str">
        <f>IF($F1669="","",IFERROR(VLOOKUP($C1669&amp;"|"&amp;$D1669,科目表!$A$5:$B$200,2,FALSE),"※未登録"))</f>
        <v/>
      </c>
      <c r="R1669" s="769" t="str">
        <f>IF($F1669="","",$I1669+$J1669+$K1669)</f>
        <v/>
      </c>
      <c r="S1669" s="769" t="str">
        <f>IF(OR($F1669="",$P1669="支払なし",$H1669=0,$Q1669=""),"",$Q1669&amp;"|S|"&amp;(COUNTIF(S$4:S1668,$Q1669&amp;"|S|*")+1))</f>
        <v/>
      </c>
      <c r="T1669" s="769" t="str">
        <f>IF(OR($F1669="",$P1669="支払なし",$R1669=0,$Q1669=""),"",$Q1669&amp;"|L|"&amp;(COUNTIF(T$4:T1668,$Q1669&amp;"|L|*")+1))</f>
        <v/>
      </c>
      <c r="U1669" s="769" t="str">
        <f>IF($F1669="","",13)</f>
        <v/>
      </c>
    </row>
    <row r="1670" ht="16.5" customHeight="1" s="186">
      <c r="A1670" s="760" t="n"/>
      <c r="B1670" s="760" t="n"/>
      <c r="C1670" s="762" t="n"/>
      <c r="D1670" s="762" t="n"/>
      <c r="E1670" s="775" t="n"/>
      <c r="F1670" s="821" t="n"/>
      <c r="G1670" s="821" t="n"/>
      <c r="H1670" s="818">
        <f>IF(G1670=1,F1670-I1670-J1670-K1670,IF(G1670=2,F1670,0))</f>
        <v>0</v>
      </c>
      <c r="I1670" s="818">
        <f>ROUND(IF(G1670=1,F1670*10/23,IF(G1670=3,F1670-J1670-K1670,IF(G1670=4,F1670,IF(G1670=5,F1670*10/11,IF(G1670=7,F1670*10/11,0))))),0)</f>
        <v>0</v>
      </c>
      <c r="J1670" s="818">
        <f>ROUND(IF(G1670=1,F1670/23,IF(G1670=3,F1670/12,IF(G1670=5,F1670-I1670,IF(G1670=8,F1670,0)))),0)</f>
        <v>0</v>
      </c>
      <c r="K1670" s="819">
        <f>ROUND(IF(G1670=1,F1670/23,IF(G1670=3,F1670/12,IF(G1670=6,F1670,IF(G1670=7,F1670-I1670,0)))),0)</f>
        <v>0</v>
      </c>
      <c r="L1670" s="820">
        <f>IF(G1670=6,F1670,0)</f>
        <v>0</v>
      </c>
      <c r="P1670" s="768" t="n"/>
      <c r="Q1670" s="769" t="str">
        <f>IF($F1670="","",IFERROR(VLOOKUP($C1670&amp;"|"&amp;$D1670,科目表!$A$5:$B$200,2,FALSE),"※未登録"))</f>
        <v/>
      </c>
      <c r="R1670" s="769" t="str">
        <f>IF($F1670="","",$I1670+$J1670+$K1670)</f>
        <v/>
      </c>
      <c r="S1670" s="769" t="str">
        <f>IF(OR($F1670="",$P1670="支払なし",$H1670=0,$Q1670=""),"",$Q1670&amp;"|S|"&amp;(COUNTIF(S$4:S1669,$Q1670&amp;"|S|*")+1))</f>
        <v/>
      </c>
      <c r="T1670" s="769" t="str">
        <f>IF(OR($F1670="",$P1670="支払なし",$R1670=0,$Q1670=""),"",$Q1670&amp;"|L|"&amp;(COUNTIF(T$4:T1669,$Q1670&amp;"|L|*")+1))</f>
        <v/>
      </c>
      <c r="U1670" s="769" t="str">
        <f>IF($F1670="","",13)</f>
        <v/>
      </c>
    </row>
    <row r="1671" ht="16.5" customHeight="1" s="186">
      <c r="A1671" s="760" t="n"/>
      <c r="B1671" s="760" t="n"/>
      <c r="C1671" s="762" t="n"/>
      <c r="D1671" s="762" t="n"/>
      <c r="E1671" s="775" t="n"/>
      <c r="F1671" s="821" t="n"/>
      <c r="G1671" s="821" t="n"/>
      <c r="H1671" s="818">
        <f>IF(G1671=1,F1671-I1671-J1671-K1671,IF(G1671=2,F1671,0))</f>
        <v>0</v>
      </c>
      <c r="I1671" s="818">
        <f>ROUND(IF(G1671=1,F1671*10/23,IF(G1671=3,F1671-J1671-K1671,IF(G1671=4,F1671,IF(G1671=5,F1671*10/11,IF(G1671=7,F1671*10/11,0))))),0)</f>
        <v>0</v>
      </c>
      <c r="J1671" s="818">
        <f>ROUND(IF(G1671=1,F1671/23,IF(G1671=3,F1671/12,IF(G1671=5,F1671-I1671,IF(G1671=8,F1671,0)))),0)</f>
        <v>0</v>
      </c>
      <c r="K1671" s="819">
        <f>ROUND(IF(G1671=1,F1671/23,IF(G1671=3,F1671/12,IF(G1671=6,F1671,IF(G1671=7,F1671-I1671,0)))),0)</f>
        <v>0</v>
      </c>
      <c r="L1671" s="820">
        <f>IF(G1671=6,F1671,0)</f>
        <v>0</v>
      </c>
      <c r="P1671" s="768" t="n"/>
      <c r="Q1671" s="769" t="str">
        <f>IF($F1671="","",IFERROR(VLOOKUP($C1671&amp;"|"&amp;$D1671,科目表!$A$5:$B$200,2,FALSE),"※未登録"))</f>
        <v/>
      </c>
      <c r="R1671" s="769" t="str">
        <f>IF($F1671="","",$I1671+$J1671+$K1671)</f>
        <v/>
      </c>
      <c r="S1671" s="769" t="str">
        <f>IF(OR($F1671="",$P1671="支払なし",$H1671=0,$Q1671=""),"",$Q1671&amp;"|S|"&amp;(COUNTIF(S$4:S1670,$Q1671&amp;"|S|*")+1))</f>
        <v/>
      </c>
      <c r="T1671" s="769" t="str">
        <f>IF(OR($F1671="",$P1671="支払なし",$R1671=0,$Q1671=""),"",$Q1671&amp;"|L|"&amp;(COUNTIF(T$4:T1670,$Q1671&amp;"|L|*")+1))</f>
        <v/>
      </c>
      <c r="U1671" s="769" t="str">
        <f>IF($F1671="","",13)</f>
        <v/>
      </c>
    </row>
    <row r="1672" ht="16.5" customHeight="1" s="186">
      <c r="A1672" s="760" t="n"/>
      <c r="B1672" s="760" t="n"/>
      <c r="C1672" s="762" t="n"/>
      <c r="D1672" s="762" t="n"/>
      <c r="E1672" s="775" t="n"/>
      <c r="F1672" s="821" t="n"/>
      <c r="G1672" s="821" t="n"/>
      <c r="H1672" s="818">
        <f>IF(G1672=1,F1672-I1672-J1672-K1672,IF(G1672=2,F1672,0))</f>
        <v>0</v>
      </c>
      <c r="I1672" s="818">
        <f>ROUND(IF(G1672=1,F1672*10/23,IF(G1672=3,F1672-J1672-K1672,IF(G1672=4,F1672,IF(G1672=5,F1672*10/11,IF(G1672=7,F1672*10/11,0))))),0)</f>
        <v>0</v>
      </c>
      <c r="J1672" s="818">
        <f>ROUND(IF(G1672=1,F1672/23,IF(G1672=3,F1672/12,IF(G1672=5,F1672-I1672,IF(G1672=8,F1672,0)))),0)</f>
        <v>0</v>
      </c>
      <c r="K1672" s="819">
        <f>ROUND(IF(G1672=1,F1672/23,IF(G1672=3,F1672/12,IF(G1672=6,F1672,IF(G1672=7,F1672-I1672,0)))),0)</f>
        <v>0</v>
      </c>
      <c r="L1672" s="820">
        <f>IF(G1672=6,F1672,0)</f>
        <v>0</v>
      </c>
      <c r="P1672" s="768" t="n"/>
      <c r="Q1672" s="769" t="str">
        <f>IF($F1672="","",IFERROR(VLOOKUP($C1672&amp;"|"&amp;$D1672,科目表!$A$5:$B$200,2,FALSE),"※未登録"))</f>
        <v/>
      </c>
      <c r="R1672" s="769" t="str">
        <f>IF($F1672="","",$I1672+$J1672+$K1672)</f>
        <v/>
      </c>
      <c r="S1672" s="769" t="str">
        <f>IF(OR($F1672="",$P1672="支払なし",$H1672=0,$Q1672=""),"",$Q1672&amp;"|S|"&amp;(COUNTIF(S$4:S1671,$Q1672&amp;"|S|*")+1))</f>
        <v/>
      </c>
      <c r="T1672" s="769" t="str">
        <f>IF(OR($F1672="",$P1672="支払なし",$R1672=0,$Q1672=""),"",$Q1672&amp;"|L|"&amp;(COUNTIF(T$4:T1671,$Q1672&amp;"|L|*")+1))</f>
        <v/>
      </c>
      <c r="U1672" s="769" t="str">
        <f>IF($F1672="","",13)</f>
        <v/>
      </c>
    </row>
    <row r="1673" ht="16.5" customHeight="1" s="186">
      <c r="A1673" s="760" t="n"/>
      <c r="B1673" s="760" t="n"/>
      <c r="C1673" s="762" t="n"/>
      <c r="D1673" s="762" t="n"/>
      <c r="E1673" s="775" t="n"/>
      <c r="F1673" s="821" t="n"/>
      <c r="G1673" s="821" t="n"/>
      <c r="H1673" s="818">
        <f>IF(G1673=1,F1673-I1673-J1673-K1673,IF(G1673=2,F1673,0))</f>
        <v>0</v>
      </c>
      <c r="I1673" s="818">
        <f>ROUND(IF(G1673=1,F1673*10/23,IF(G1673=3,F1673-J1673-K1673,IF(G1673=4,F1673,IF(G1673=5,F1673*10/11,IF(G1673=7,F1673*10/11,0))))),0)</f>
        <v>0</v>
      </c>
      <c r="J1673" s="818">
        <f>ROUND(IF(G1673=1,F1673/23,IF(G1673=3,F1673/12,IF(G1673=5,F1673-I1673,IF(G1673=8,F1673,0)))),0)</f>
        <v>0</v>
      </c>
      <c r="K1673" s="819">
        <f>ROUND(IF(G1673=1,F1673/23,IF(G1673=3,F1673/12,IF(G1673=6,F1673,IF(G1673=7,F1673-I1673,0)))),0)</f>
        <v>0</v>
      </c>
      <c r="L1673" s="820">
        <f>IF(G1673=6,F1673,0)</f>
        <v>0</v>
      </c>
      <c r="P1673" s="768" t="n"/>
      <c r="Q1673" s="769" t="str">
        <f>IF($F1673="","",IFERROR(VLOOKUP($C1673&amp;"|"&amp;$D1673,科目表!$A$5:$B$200,2,FALSE),"※未登録"))</f>
        <v/>
      </c>
      <c r="R1673" s="769" t="str">
        <f>IF($F1673="","",$I1673+$J1673+$K1673)</f>
        <v/>
      </c>
      <c r="S1673" s="769" t="str">
        <f>IF(OR($F1673="",$P1673="支払なし",$H1673=0,$Q1673=""),"",$Q1673&amp;"|S|"&amp;(COUNTIF(S$4:S1672,$Q1673&amp;"|S|*")+1))</f>
        <v/>
      </c>
      <c r="T1673" s="769" t="str">
        <f>IF(OR($F1673="",$P1673="支払なし",$R1673=0,$Q1673=""),"",$Q1673&amp;"|L|"&amp;(COUNTIF(T$4:T1672,$Q1673&amp;"|L|*")+1))</f>
        <v/>
      </c>
      <c r="U1673" s="769" t="str">
        <f>IF($F1673="","",13)</f>
        <v/>
      </c>
    </row>
    <row r="1674" ht="16.5" customHeight="1" s="186">
      <c r="A1674" s="760" t="n"/>
      <c r="B1674" s="760" t="n"/>
      <c r="C1674" s="762" t="n"/>
      <c r="D1674" s="762" t="n"/>
      <c r="E1674" s="775" t="n"/>
      <c r="F1674" s="821" t="n"/>
      <c r="G1674" s="821" t="n"/>
      <c r="H1674" s="818">
        <f>IF(G1674=1,F1674-I1674-J1674-K1674,IF(G1674=2,F1674,0))</f>
        <v>0</v>
      </c>
      <c r="I1674" s="818">
        <f>ROUND(IF(G1674=1,F1674*10/23,IF(G1674=3,F1674-J1674-K1674,IF(G1674=4,F1674,IF(G1674=5,F1674*10/11,IF(G1674=7,F1674*10/11,0))))),0)</f>
        <v>0</v>
      </c>
      <c r="J1674" s="818">
        <f>ROUND(IF(G1674=1,F1674/23,IF(G1674=3,F1674/12,IF(G1674=5,F1674-I1674,IF(G1674=8,F1674,0)))),0)</f>
        <v>0</v>
      </c>
      <c r="K1674" s="819">
        <f>ROUND(IF(G1674=1,F1674/23,IF(G1674=3,F1674/12,IF(G1674=6,F1674,IF(G1674=7,F1674-I1674,0)))),0)</f>
        <v>0</v>
      </c>
      <c r="L1674" s="820">
        <f>IF(G1674=6,F1674,0)</f>
        <v>0</v>
      </c>
      <c r="P1674" s="768" t="n"/>
      <c r="Q1674" s="769" t="str">
        <f>IF($F1674="","",IFERROR(VLOOKUP($C1674&amp;"|"&amp;$D1674,科目表!$A$5:$B$200,2,FALSE),"※未登録"))</f>
        <v/>
      </c>
      <c r="R1674" s="769" t="str">
        <f>IF($F1674="","",$I1674+$J1674+$K1674)</f>
        <v/>
      </c>
      <c r="S1674" s="769" t="str">
        <f>IF(OR($F1674="",$P1674="支払なし",$H1674=0,$Q1674=""),"",$Q1674&amp;"|S|"&amp;(COUNTIF(S$4:S1673,$Q1674&amp;"|S|*")+1))</f>
        <v/>
      </c>
      <c r="T1674" s="769" t="str">
        <f>IF(OR($F1674="",$P1674="支払なし",$R1674=0,$Q1674=""),"",$Q1674&amp;"|L|"&amp;(COUNTIF(T$4:T1673,$Q1674&amp;"|L|*")+1))</f>
        <v/>
      </c>
      <c r="U1674" s="769" t="str">
        <f>IF($F1674="","",13)</f>
        <v/>
      </c>
    </row>
    <row r="1675" ht="16.5" customHeight="1" s="186">
      <c r="A1675" s="760" t="n"/>
      <c r="B1675" s="760" t="n"/>
      <c r="C1675" s="762" t="n"/>
      <c r="D1675" s="762" t="n"/>
      <c r="E1675" s="775" t="n"/>
      <c r="F1675" s="821" t="n"/>
      <c r="G1675" s="821" t="n"/>
      <c r="H1675" s="818">
        <f>IF(G1675=1,F1675-I1675-J1675-K1675,IF(G1675=2,F1675,0))</f>
        <v>0</v>
      </c>
      <c r="I1675" s="818">
        <f>ROUND(IF(G1675=1,F1675*10/23,IF(G1675=3,F1675-J1675-K1675,IF(G1675=4,F1675,IF(G1675=5,F1675*10/11,IF(G1675=7,F1675*10/11,0))))),0)</f>
        <v>0</v>
      </c>
      <c r="J1675" s="818">
        <f>ROUND(IF(G1675=1,F1675/23,IF(G1675=3,F1675/12,IF(G1675=5,F1675-I1675,IF(G1675=8,F1675,0)))),0)</f>
        <v>0</v>
      </c>
      <c r="K1675" s="819">
        <f>ROUND(IF(G1675=1,F1675/23,IF(G1675=3,F1675/12,IF(G1675=6,F1675,IF(G1675=7,F1675-I1675,0)))),0)</f>
        <v>0</v>
      </c>
      <c r="L1675" s="820">
        <f>IF(G1675=6,F1675,0)</f>
        <v>0</v>
      </c>
      <c r="P1675" s="768" t="n"/>
      <c r="Q1675" s="769" t="str">
        <f>IF($F1675="","",IFERROR(VLOOKUP($C1675&amp;"|"&amp;$D1675,科目表!$A$5:$B$200,2,FALSE),"※未登録"))</f>
        <v/>
      </c>
      <c r="R1675" s="769" t="str">
        <f>IF($F1675="","",$I1675+$J1675+$K1675)</f>
        <v/>
      </c>
      <c r="S1675" s="769" t="str">
        <f>IF(OR($F1675="",$P1675="支払なし",$H1675=0,$Q1675=""),"",$Q1675&amp;"|S|"&amp;(COUNTIF(S$4:S1674,$Q1675&amp;"|S|*")+1))</f>
        <v/>
      </c>
      <c r="T1675" s="769" t="str">
        <f>IF(OR($F1675="",$P1675="支払なし",$R1675=0,$Q1675=""),"",$Q1675&amp;"|L|"&amp;(COUNTIF(T$4:T1674,$Q1675&amp;"|L|*")+1))</f>
        <v/>
      </c>
      <c r="U1675" s="769" t="str">
        <f>IF($F1675="","",13)</f>
        <v/>
      </c>
    </row>
    <row r="1676" ht="16.5" customHeight="1" s="186">
      <c r="A1676" s="760" t="n"/>
      <c r="B1676" s="760" t="n"/>
      <c r="C1676" s="762" t="n"/>
      <c r="D1676" s="762" t="n"/>
      <c r="E1676" s="775" t="n"/>
      <c r="F1676" s="821" t="n"/>
      <c r="G1676" s="821" t="n"/>
      <c r="H1676" s="818">
        <f>IF(G1676=1,F1676-I1676-J1676-K1676,IF(G1676=2,F1676,0))</f>
        <v>0</v>
      </c>
      <c r="I1676" s="818">
        <f>ROUND(IF(G1676=1,F1676*10/23,IF(G1676=3,F1676-J1676-K1676,IF(G1676=4,F1676,IF(G1676=5,F1676*10/11,IF(G1676=7,F1676*10/11,0))))),0)</f>
        <v>0</v>
      </c>
      <c r="J1676" s="818">
        <f>ROUND(IF(G1676=1,F1676/23,IF(G1676=3,F1676/12,IF(G1676=5,F1676-I1676,IF(G1676=8,F1676,0)))),0)</f>
        <v>0</v>
      </c>
      <c r="K1676" s="819">
        <f>ROUND(IF(G1676=1,F1676/23,IF(G1676=3,F1676/12,IF(G1676=6,F1676,IF(G1676=7,F1676-I1676,0)))),0)</f>
        <v>0</v>
      </c>
      <c r="L1676" s="820">
        <f>IF(G1676=6,F1676,0)</f>
        <v>0</v>
      </c>
      <c r="P1676" s="768" t="n"/>
      <c r="Q1676" s="769" t="str">
        <f>IF($F1676="","",IFERROR(VLOOKUP($C1676&amp;"|"&amp;$D1676,科目表!$A$5:$B$200,2,FALSE),"※未登録"))</f>
        <v/>
      </c>
      <c r="R1676" s="769" t="str">
        <f>IF($F1676="","",$I1676+$J1676+$K1676)</f>
        <v/>
      </c>
      <c r="S1676" s="769" t="str">
        <f>IF(OR($F1676="",$P1676="支払なし",$H1676=0,$Q1676=""),"",$Q1676&amp;"|S|"&amp;(COUNTIF(S$4:S1675,$Q1676&amp;"|S|*")+1))</f>
        <v/>
      </c>
      <c r="T1676" s="769" t="str">
        <f>IF(OR($F1676="",$P1676="支払なし",$R1676=0,$Q1676=""),"",$Q1676&amp;"|L|"&amp;(COUNTIF(T$4:T1675,$Q1676&amp;"|L|*")+1))</f>
        <v/>
      </c>
      <c r="U1676" s="769" t="str">
        <f>IF($F1676="","",13)</f>
        <v/>
      </c>
    </row>
    <row r="1677" ht="16.5" customHeight="1" s="186">
      <c r="A1677" s="760" t="n"/>
      <c r="B1677" s="760" t="n"/>
      <c r="C1677" s="762" t="n"/>
      <c r="D1677" s="762" t="n"/>
      <c r="E1677" s="775" t="n"/>
      <c r="F1677" s="821" t="n"/>
      <c r="G1677" s="821" t="n"/>
      <c r="H1677" s="818">
        <f>IF(G1677=1,F1677-I1677-J1677-K1677,IF(G1677=2,F1677,0))</f>
        <v>0</v>
      </c>
      <c r="I1677" s="818">
        <f>ROUND(IF(G1677=1,F1677*10/23,IF(G1677=3,F1677-J1677-K1677,IF(G1677=4,F1677,IF(G1677=5,F1677*10/11,IF(G1677=7,F1677*10/11,0))))),0)</f>
        <v>0</v>
      </c>
      <c r="J1677" s="818">
        <f>ROUND(IF(G1677=1,F1677/23,IF(G1677=3,F1677/12,IF(G1677=5,F1677-I1677,IF(G1677=8,F1677,0)))),0)</f>
        <v>0</v>
      </c>
      <c r="K1677" s="819">
        <f>ROUND(IF(G1677=1,F1677/23,IF(G1677=3,F1677/12,IF(G1677=6,F1677,IF(G1677=7,F1677-I1677,0)))),0)</f>
        <v>0</v>
      </c>
      <c r="L1677" s="820">
        <f>IF(G1677=6,F1677,0)</f>
        <v>0</v>
      </c>
      <c r="P1677" s="768" t="n"/>
      <c r="Q1677" s="769" t="str">
        <f>IF($F1677="","",IFERROR(VLOOKUP($C1677&amp;"|"&amp;$D1677,科目表!$A$5:$B$200,2,FALSE),"※未登録"))</f>
        <v/>
      </c>
      <c r="R1677" s="769" t="str">
        <f>IF($F1677="","",$I1677+$J1677+$K1677)</f>
        <v/>
      </c>
      <c r="S1677" s="769" t="str">
        <f>IF(OR($F1677="",$P1677="支払なし",$H1677=0,$Q1677=""),"",$Q1677&amp;"|S|"&amp;(COUNTIF(S$4:S1676,$Q1677&amp;"|S|*")+1))</f>
        <v/>
      </c>
      <c r="T1677" s="769" t="str">
        <f>IF(OR($F1677="",$P1677="支払なし",$R1677=0,$Q1677=""),"",$Q1677&amp;"|L|"&amp;(COUNTIF(T$4:T1676,$Q1677&amp;"|L|*")+1))</f>
        <v/>
      </c>
      <c r="U1677" s="769" t="str">
        <f>IF($F1677="","",13)</f>
        <v/>
      </c>
    </row>
    <row r="1678" ht="16.5" customHeight="1" s="186">
      <c r="A1678" s="760" t="n"/>
      <c r="B1678" s="760" t="n"/>
      <c r="C1678" s="762" t="n"/>
      <c r="D1678" s="762" t="n"/>
      <c r="E1678" s="775" t="n"/>
      <c r="F1678" s="821" t="n"/>
      <c r="G1678" s="821" t="n"/>
      <c r="H1678" s="818">
        <f>IF(G1678=1,F1678-I1678-J1678-K1678,IF(G1678=2,F1678,0))</f>
        <v>0</v>
      </c>
      <c r="I1678" s="818">
        <f>ROUND(IF(G1678=1,F1678*10/23,IF(G1678=3,F1678-J1678-K1678,IF(G1678=4,F1678,IF(G1678=5,F1678*10/11,IF(G1678=7,F1678*10/11,0))))),0)</f>
        <v>0</v>
      </c>
      <c r="J1678" s="818">
        <f>ROUND(IF(G1678=1,F1678/23,IF(G1678=3,F1678/12,IF(G1678=5,F1678-I1678,IF(G1678=8,F1678,0)))),0)</f>
        <v>0</v>
      </c>
      <c r="K1678" s="819">
        <f>ROUND(IF(G1678=1,F1678/23,IF(G1678=3,F1678/12,IF(G1678=6,F1678,IF(G1678=7,F1678-I1678,0)))),0)</f>
        <v>0</v>
      </c>
      <c r="L1678" s="820">
        <f>IF(G1678=6,F1678,0)</f>
        <v>0</v>
      </c>
      <c r="P1678" s="768" t="n"/>
      <c r="Q1678" s="769" t="str">
        <f>IF($F1678="","",IFERROR(VLOOKUP($C1678&amp;"|"&amp;$D1678,科目表!$A$5:$B$200,2,FALSE),"※未登録"))</f>
        <v/>
      </c>
      <c r="R1678" s="769" t="str">
        <f>IF($F1678="","",$I1678+$J1678+$K1678)</f>
        <v/>
      </c>
      <c r="S1678" s="769" t="str">
        <f>IF(OR($F1678="",$P1678="支払なし",$H1678=0,$Q1678=""),"",$Q1678&amp;"|S|"&amp;(COUNTIF(S$4:S1677,$Q1678&amp;"|S|*")+1))</f>
        <v/>
      </c>
      <c r="T1678" s="769" t="str">
        <f>IF(OR($F1678="",$P1678="支払なし",$R1678=0,$Q1678=""),"",$Q1678&amp;"|L|"&amp;(COUNTIF(T$4:T1677,$Q1678&amp;"|L|*")+1))</f>
        <v/>
      </c>
      <c r="U1678" s="769" t="str">
        <f>IF($F1678="","",13)</f>
        <v/>
      </c>
    </row>
    <row r="1679" ht="16.5" customHeight="1" s="186">
      <c r="A1679" s="760" t="n"/>
      <c r="B1679" s="760" t="n"/>
      <c r="C1679" s="762" t="n"/>
      <c r="D1679" s="762" t="n"/>
      <c r="E1679" s="775" t="n"/>
      <c r="F1679" s="821" t="n"/>
      <c r="G1679" s="821" t="n"/>
      <c r="H1679" s="818">
        <f>IF(G1679=1,F1679-I1679-J1679-K1679,IF(G1679=2,F1679,0))</f>
        <v>0</v>
      </c>
      <c r="I1679" s="818">
        <f>ROUND(IF(G1679=1,F1679*10/23,IF(G1679=3,F1679-J1679-K1679,IF(G1679=4,F1679,IF(G1679=5,F1679*10/11,IF(G1679=7,F1679*10/11,0))))),0)</f>
        <v>0</v>
      </c>
      <c r="J1679" s="818">
        <f>ROUND(IF(G1679=1,F1679/23,IF(G1679=3,F1679/12,IF(G1679=5,F1679-I1679,IF(G1679=8,F1679,0)))),0)</f>
        <v>0</v>
      </c>
      <c r="K1679" s="819">
        <f>ROUND(IF(G1679=1,F1679/23,IF(G1679=3,F1679/12,IF(G1679=6,F1679,IF(G1679=7,F1679-I1679,0)))),0)</f>
        <v>0</v>
      </c>
      <c r="L1679" s="820">
        <f>IF(G1679=6,F1679,0)</f>
        <v>0</v>
      </c>
      <c r="P1679" s="768" t="n"/>
      <c r="Q1679" s="769" t="str">
        <f>IF($F1679="","",IFERROR(VLOOKUP($C1679&amp;"|"&amp;$D1679,科目表!$A$5:$B$200,2,FALSE),"※未登録"))</f>
        <v/>
      </c>
      <c r="R1679" s="769" t="str">
        <f>IF($F1679="","",$I1679+$J1679+$K1679)</f>
        <v/>
      </c>
      <c r="S1679" s="769" t="str">
        <f>IF(OR($F1679="",$P1679="支払なし",$H1679=0,$Q1679=""),"",$Q1679&amp;"|S|"&amp;(COUNTIF(S$4:S1678,$Q1679&amp;"|S|*")+1))</f>
        <v/>
      </c>
      <c r="T1679" s="769" t="str">
        <f>IF(OR($F1679="",$P1679="支払なし",$R1679=0,$Q1679=""),"",$Q1679&amp;"|L|"&amp;(COUNTIF(T$4:T1678,$Q1679&amp;"|L|*")+1))</f>
        <v/>
      </c>
      <c r="U1679" s="769" t="str">
        <f>IF($F1679="","",13)</f>
        <v/>
      </c>
    </row>
    <row r="1680" ht="16.5" customHeight="1" s="186">
      <c r="A1680" s="760" t="n"/>
      <c r="B1680" s="760" t="n"/>
      <c r="C1680" s="762" t="n"/>
      <c r="D1680" s="762" t="n"/>
      <c r="E1680" s="775" t="n"/>
      <c r="F1680" s="821" t="n"/>
      <c r="G1680" s="821" t="n"/>
      <c r="H1680" s="818">
        <f>IF(G1680=1,F1680-I1680-J1680-K1680,IF(G1680=2,F1680,0))</f>
        <v>0</v>
      </c>
      <c r="I1680" s="818">
        <f>ROUND(IF(G1680=1,F1680*10/23,IF(G1680=3,F1680-J1680-K1680,IF(G1680=4,F1680,IF(G1680=5,F1680*10/11,IF(G1680=7,F1680*10/11,0))))),0)</f>
        <v>0</v>
      </c>
      <c r="J1680" s="818">
        <f>ROUND(IF(G1680=1,F1680/23,IF(G1680=3,F1680/12,IF(G1680=5,F1680-I1680,IF(G1680=8,F1680,0)))),0)</f>
        <v>0</v>
      </c>
      <c r="K1680" s="819">
        <f>ROUND(IF(G1680=1,F1680/23,IF(G1680=3,F1680/12,IF(G1680=6,F1680,IF(G1680=7,F1680-I1680,0)))),0)</f>
        <v>0</v>
      </c>
      <c r="L1680" s="820">
        <f>IF(G1680=6,F1680,0)</f>
        <v>0</v>
      </c>
      <c r="P1680" s="768" t="n"/>
      <c r="Q1680" s="769" t="str">
        <f>IF($F1680="","",IFERROR(VLOOKUP($C1680&amp;"|"&amp;$D1680,科目表!$A$5:$B$200,2,FALSE),"※未登録"))</f>
        <v/>
      </c>
      <c r="R1680" s="769" t="str">
        <f>IF($F1680="","",$I1680+$J1680+$K1680)</f>
        <v/>
      </c>
      <c r="S1680" s="769" t="str">
        <f>IF(OR($F1680="",$P1680="支払なし",$H1680=0,$Q1680=""),"",$Q1680&amp;"|S|"&amp;(COUNTIF(S$4:S1679,$Q1680&amp;"|S|*")+1))</f>
        <v/>
      </c>
      <c r="T1680" s="769" t="str">
        <f>IF(OR($F1680="",$P1680="支払なし",$R1680=0,$Q1680=""),"",$Q1680&amp;"|L|"&amp;(COUNTIF(T$4:T1679,$Q1680&amp;"|L|*")+1))</f>
        <v/>
      </c>
      <c r="U1680" s="769" t="str">
        <f>IF($F1680="","",13)</f>
        <v/>
      </c>
    </row>
    <row r="1681" ht="16.5" customHeight="1" s="186">
      <c r="A1681" s="760" t="n"/>
      <c r="B1681" s="760" t="n"/>
      <c r="C1681" s="762" t="n"/>
      <c r="D1681" s="762" t="n"/>
      <c r="E1681" s="775" t="n"/>
      <c r="F1681" s="821" t="n"/>
      <c r="G1681" s="821" t="n"/>
      <c r="H1681" s="818">
        <f>IF(G1681=1,F1681-I1681-J1681-K1681,IF(G1681=2,F1681,0))</f>
        <v>0</v>
      </c>
      <c r="I1681" s="818">
        <f>ROUND(IF(G1681=1,F1681*10/23,IF(G1681=3,F1681-J1681-K1681,IF(G1681=4,F1681,IF(G1681=5,F1681*10/11,IF(G1681=7,F1681*10/11,0))))),0)</f>
        <v>0</v>
      </c>
      <c r="J1681" s="818">
        <f>ROUND(IF(G1681=1,F1681/23,IF(G1681=3,F1681/12,IF(G1681=5,F1681-I1681,IF(G1681=8,F1681,0)))),0)</f>
        <v>0</v>
      </c>
      <c r="K1681" s="819">
        <f>ROUND(IF(G1681=1,F1681/23,IF(G1681=3,F1681/12,IF(G1681=6,F1681,IF(G1681=7,F1681-I1681,0)))),0)</f>
        <v>0</v>
      </c>
      <c r="L1681" s="820">
        <f>IF(G1681=6,F1681,0)</f>
        <v>0</v>
      </c>
      <c r="P1681" s="768" t="n"/>
      <c r="Q1681" s="769" t="str">
        <f>IF($F1681="","",IFERROR(VLOOKUP($C1681&amp;"|"&amp;$D1681,科目表!$A$5:$B$200,2,FALSE),"※未登録"))</f>
        <v/>
      </c>
      <c r="R1681" s="769" t="str">
        <f>IF($F1681="","",$I1681+$J1681+$K1681)</f>
        <v/>
      </c>
      <c r="S1681" s="769" t="str">
        <f>IF(OR($F1681="",$P1681="支払なし",$H1681=0,$Q1681=""),"",$Q1681&amp;"|S|"&amp;(COUNTIF(S$4:S1680,$Q1681&amp;"|S|*")+1))</f>
        <v/>
      </c>
      <c r="T1681" s="769" t="str">
        <f>IF(OR($F1681="",$P1681="支払なし",$R1681=0,$Q1681=""),"",$Q1681&amp;"|L|"&amp;(COUNTIF(T$4:T1680,$Q1681&amp;"|L|*")+1))</f>
        <v/>
      </c>
      <c r="U1681" s="769" t="str">
        <f>IF($F1681="","",13)</f>
        <v/>
      </c>
    </row>
    <row r="1682" ht="16.5" customHeight="1" s="186">
      <c r="A1682" s="760" t="n"/>
      <c r="B1682" s="760" t="n"/>
      <c r="C1682" s="762" t="n"/>
      <c r="D1682" s="762" t="n"/>
      <c r="E1682" s="775" t="n"/>
      <c r="F1682" s="821" t="n"/>
      <c r="G1682" s="821" t="n"/>
      <c r="H1682" s="818">
        <f>IF(G1682=1,F1682-I1682-J1682-K1682,IF(G1682=2,F1682,0))</f>
        <v>0</v>
      </c>
      <c r="I1682" s="818">
        <f>ROUND(IF(G1682=1,F1682*10/23,IF(G1682=3,F1682-J1682-K1682,IF(G1682=4,F1682,IF(G1682=5,F1682*10/11,IF(G1682=7,F1682*10/11,0))))),0)</f>
        <v>0</v>
      </c>
      <c r="J1682" s="818">
        <f>ROUND(IF(G1682=1,F1682/23,IF(G1682=3,F1682/12,IF(G1682=5,F1682-I1682,IF(G1682=8,F1682,0)))),0)</f>
        <v>0</v>
      </c>
      <c r="K1682" s="819">
        <f>ROUND(IF(G1682=1,F1682/23,IF(G1682=3,F1682/12,IF(G1682=6,F1682,IF(G1682=7,F1682-I1682,0)))),0)</f>
        <v>0</v>
      </c>
      <c r="L1682" s="820">
        <f>IF(G1682=6,F1682,0)</f>
        <v>0</v>
      </c>
      <c r="P1682" s="768" t="n"/>
      <c r="Q1682" s="769" t="str">
        <f>IF($F1682="","",IFERROR(VLOOKUP($C1682&amp;"|"&amp;$D1682,科目表!$A$5:$B$200,2,FALSE),"※未登録"))</f>
        <v/>
      </c>
      <c r="R1682" s="769" t="str">
        <f>IF($F1682="","",$I1682+$J1682+$K1682)</f>
        <v/>
      </c>
      <c r="S1682" s="769" t="str">
        <f>IF(OR($F1682="",$P1682="支払なし",$H1682=0,$Q1682=""),"",$Q1682&amp;"|S|"&amp;(COUNTIF(S$4:S1681,$Q1682&amp;"|S|*")+1))</f>
        <v/>
      </c>
      <c r="T1682" s="769" t="str">
        <f>IF(OR($F1682="",$P1682="支払なし",$R1682=0,$Q1682=""),"",$Q1682&amp;"|L|"&amp;(COUNTIF(T$4:T1681,$Q1682&amp;"|L|*")+1))</f>
        <v/>
      </c>
      <c r="U1682" s="769" t="str">
        <f>IF($F1682="","",13)</f>
        <v/>
      </c>
    </row>
    <row r="1683" ht="16.5" customHeight="1" s="186">
      <c r="A1683" s="760" t="n"/>
      <c r="B1683" s="760" t="n"/>
      <c r="C1683" s="762" t="n"/>
      <c r="D1683" s="762" t="n"/>
      <c r="E1683" s="775" t="n"/>
      <c r="F1683" s="821" t="n"/>
      <c r="G1683" s="821" t="n"/>
      <c r="H1683" s="818">
        <f>IF(G1683=1,F1683-I1683-J1683-K1683,IF(G1683=2,F1683,0))</f>
        <v>0</v>
      </c>
      <c r="I1683" s="818">
        <f>ROUND(IF(G1683=1,F1683*10/23,IF(G1683=3,F1683-J1683-K1683,IF(G1683=4,F1683,IF(G1683=5,F1683*10/11,IF(G1683=7,F1683*10/11,0))))),0)</f>
        <v>0</v>
      </c>
      <c r="J1683" s="818">
        <f>ROUND(IF(G1683=1,F1683/23,IF(G1683=3,F1683/12,IF(G1683=5,F1683-I1683,IF(G1683=8,F1683,0)))),0)</f>
        <v>0</v>
      </c>
      <c r="K1683" s="819">
        <f>ROUND(IF(G1683=1,F1683/23,IF(G1683=3,F1683/12,IF(G1683=6,F1683,IF(G1683=7,F1683-I1683,0)))),0)</f>
        <v>0</v>
      </c>
      <c r="L1683" s="820">
        <f>IF(G1683=6,F1683,0)</f>
        <v>0</v>
      </c>
      <c r="P1683" s="768" t="n"/>
      <c r="Q1683" s="769" t="str">
        <f>IF($F1683="","",IFERROR(VLOOKUP($C1683&amp;"|"&amp;$D1683,科目表!$A$5:$B$200,2,FALSE),"※未登録"))</f>
        <v/>
      </c>
      <c r="R1683" s="769" t="str">
        <f>IF($F1683="","",$I1683+$J1683+$K1683)</f>
        <v/>
      </c>
      <c r="S1683" s="769" t="str">
        <f>IF(OR($F1683="",$P1683="支払なし",$H1683=0,$Q1683=""),"",$Q1683&amp;"|S|"&amp;(COUNTIF(S$4:S1682,$Q1683&amp;"|S|*")+1))</f>
        <v/>
      </c>
      <c r="T1683" s="769" t="str">
        <f>IF(OR($F1683="",$P1683="支払なし",$R1683=0,$Q1683=""),"",$Q1683&amp;"|L|"&amp;(COUNTIF(T$4:T1682,$Q1683&amp;"|L|*")+1))</f>
        <v/>
      </c>
      <c r="U1683" s="769" t="str">
        <f>IF($F1683="","",13)</f>
        <v/>
      </c>
    </row>
    <row r="1684" ht="16.5" customHeight="1" s="186">
      <c r="A1684" s="760" t="n"/>
      <c r="B1684" s="760" t="n"/>
      <c r="C1684" s="762" t="n"/>
      <c r="D1684" s="762" t="n"/>
      <c r="E1684" s="775" t="n"/>
      <c r="F1684" s="821" t="n"/>
      <c r="G1684" s="821" t="n"/>
      <c r="H1684" s="818">
        <f>IF(G1684=1,F1684-I1684-J1684-K1684,IF(G1684=2,F1684,0))</f>
        <v>0</v>
      </c>
      <c r="I1684" s="818">
        <f>ROUND(IF(G1684=1,F1684*10/23,IF(G1684=3,F1684-J1684-K1684,IF(G1684=4,F1684,IF(G1684=5,F1684*10/11,IF(G1684=7,F1684*10/11,0))))),0)</f>
        <v>0</v>
      </c>
      <c r="J1684" s="818">
        <f>ROUND(IF(G1684=1,F1684/23,IF(G1684=3,F1684/12,IF(G1684=5,F1684-I1684,IF(G1684=8,F1684,0)))),0)</f>
        <v>0</v>
      </c>
      <c r="K1684" s="819">
        <f>ROUND(IF(G1684=1,F1684/23,IF(G1684=3,F1684/12,IF(G1684=6,F1684,IF(G1684=7,F1684-I1684,0)))),0)</f>
        <v>0</v>
      </c>
      <c r="L1684" s="820">
        <f>IF(G1684=6,F1684,0)</f>
        <v>0</v>
      </c>
      <c r="P1684" s="768" t="n"/>
      <c r="Q1684" s="769" t="str">
        <f>IF($F1684="","",IFERROR(VLOOKUP($C1684&amp;"|"&amp;$D1684,科目表!$A$5:$B$200,2,FALSE),"※未登録"))</f>
        <v/>
      </c>
      <c r="R1684" s="769" t="str">
        <f>IF($F1684="","",$I1684+$J1684+$K1684)</f>
        <v/>
      </c>
      <c r="S1684" s="769" t="str">
        <f>IF(OR($F1684="",$P1684="支払なし",$H1684=0,$Q1684=""),"",$Q1684&amp;"|S|"&amp;(COUNTIF(S$4:S1683,$Q1684&amp;"|S|*")+1))</f>
        <v/>
      </c>
      <c r="T1684" s="769" t="str">
        <f>IF(OR($F1684="",$P1684="支払なし",$R1684=0,$Q1684=""),"",$Q1684&amp;"|L|"&amp;(COUNTIF(T$4:T1683,$Q1684&amp;"|L|*")+1))</f>
        <v/>
      </c>
      <c r="U1684" s="769" t="str">
        <f>IF($F1684="","",13)</f>
        <v/>
      </c>
    </row>
    <row r="1685" ht="16.5" customHeight="1" s="186">
      <c r="A1685" s="760" t="n"/>
      <c r="B1685" s="760" t="n"/>
      <c r="C1685" s="762" t="n"/>
      <c r="D1685" s="762" t="n"/>
      <c r="E1685" s="775" t="n"/>
      <c r="F1685" s="821" t="n"/>
      <c r="G1685" s="821" t="n"/>
      <c r="H1685" s="818">
        <f>IF(G1685=1,F1685-I1685-J1685-K1685,IF(G1685=2,F1685,0))</f>
        <v>0</v>
      </c>
      <c r="I1685" s="818">
        <f>ROUND(IF(G1685=1,F1685*10/23,IF(G1685=3,F1685-J1685-K1685,IF(G1685=4,F1685,IF(G1685=5,F1685*10/11,IF(G1685=7,F1685*10/11,0))))),0)</f>
        <v>0</v>
      </c>
      <c r="J1685" s="818">
        <f>ROUND(IF(G1685=1,F1685/23,IF(G1685=3,F1685/12,IF(G1685=5,F1685-I1685,IF(G1685=8,F1685,0)))),0)</f>
        <v>0</v>
      </c>
      <c r="K1685" s="819">
        <f>ROUND(IF(G1685=1,F1685/23,IF(G1685=3,F1685/12,IF(G1685=6,F1685,IF(G1685=7,F1685-I1685,0)))),0)</f>
        <v>0</v>
      </c>
      <c r="L1685" s="820">
        <f>IF(G1685=6,F1685,0)</f>
        <v>0</v>
      </c>
      <c r="P1685" s="768" t="n"/>
      <c r="Q1685" s="769" t="str">
        <f>IF($F1685="","",IFERROR(VLOOKUP($C1685&amp;"|"&amp;$D1685,科目表!$A$5:$B$200,2,FALSE),"※未登録"))</f>
        <v/>
      </c>
      <c r="R1685" s="769" t="str">
        <f>IF($F1685="","",$I1685+$J1685+$K1685)</f>
        <v/>
      </c>
      <c r="S1685" s="769" t="str">
        <f>IF(OR($F1685="",$P1685="支払なし",$H1685=0,$Q1685=""),"",$Q1685&amp;"|S|"&amp;(COUNTIF(S$4:S1684,$Q1685&amp;"|S|*")+1))</f>
        <v/>
      </c>
      <c r="T1685" s="769" t="str">
        <f>IF(OR($F1685="",$P1685="支払なし",$R1685=0,$Q1685=""),"",$Q1685&amp;"|L|"&amp;(COUNTIF(T$4:T1684,$Q1685&amp;"|L|*")+1))</f>
        <v/>
      </c>
      <c r="U1685" s="769" t="str">
        <f>IF($F1685="","",13)</f>
        <v/>
      </c>
    </row>
    <row r="1686" ht="16.5" customHeight="1" s="186">
      <c r="A1686" s="760" t="n"/>
      <c r="B1686" s="760" t="n"/>
      <c r="C1686" s="762" t="n"/>
      <c r="D1686" s="762" t="n"/>
      <c r="E1686" s="775" t="n"/>
      <c r="F1686" s="821" t="n"/>
      <c r="G1686" s="821" t="n"/>
      <c r="H1686" s="818">
        <f>IF(G1686=1,F1686-I1686-J1686-K1686,IF(G1686=2,F1686,0))</f>
        <v>0</v>
      </c>
      <c r="I1686" s="818">
        <f>ROUND(IF(G1686=1,F1686*10/23,IF(G1686=3,F1686-J1686-K1686,IF(G1686=4,F1686,IF(G1686=5,F1686*10/11,IF(G1686=7,F1686*10/11,0))))),0)</f>
        <v>0</v>
      </c>
      <c r="J1686" s="818">
        <f>ROUND(IF(G1686=1,F1686/23,IF(G1686=3,F1686/12,IF(G1686=5,F1686-I1686,IF(G1686=8,F1686,0)))),0)</f>
        <v>0</v>
      </c>
      <c r="K1686" s="819">
        <f>ROUND(IF(G1686=1,F1686/23,IF(G1686=3,F1686/12,IF(G1686=6,F1686,IF(G1686=7,F1686-I1686,0)))),0)</f>
        <v>0</v>
      </c>
      <c r="L1686" s="820">
        <f>IF(G1686=6,F1686,0)</f>
        <v>0</v>
      </c>
      <c r="P1686" s="768" t="n"/>
      <c r="Q1686" s="769" t="str">
        <f>IF($F1686="","",IFERROR(VLOOKUP($C1686&amp;"|"&amp;$D1686,科目表!$A$5:$B$200,2,FALSE),"※未登録"))</f>
        <v/>
      </c>
      <c r="R1686" s="769" t="str">
        <f>IF($F1686="","",$I1686+$J1686+$K1686)</f>
        <v/>
      </c>
      <c r="S1686" s="769" t="str">
        <f>IF(OR($F1686="",$P1686="支払なし",$H1686=0,$Q1686=""),"",$Q1686&amp;"|S|"&amp;(COUNTIF(S$4:S1685,$Q1686&amp;"|S|*")+1))</f>
        <v/>
      </c>
      <c r="T1686" s="769" t="str">
        <f>IF(OR($F1686="",$P1686="支払なし",$R1686=0,$Q1686=""),"",$Q1686&amp;"|L|"&amp;(COUNTIF(T$4:T1685,$Q1686&amp;"|L|*")+1))</f>
        <v/>
      </c>
      <c r="U1686" s="769" t="str">
        <f>IF($F1686="","",13)</f>
        <v/>
      </c>
    </row>
    <row r="1687" ht="16.5" customHeight="1" s="186">
      <c r="A1687" s="760" t="n"/>
      <c r="B1687" s="760" t="n"/>
      <c r="C1687" s="762" t="n"/>
      <c r="D1687" s="762" t="n"/>
      <c r="E1687" s="775" t="n"/>
      <c r="F1687" s="821" t="n"/>
      <c r="G1687" s="821" t="n"/>
      <c r="H1687" s="818">
        <f>IF(G1687=1,F1687-I1687-J1687-K1687,IF(G1687=2,F1687,0))</f>
        <v>0</v>
      </c>
      <c r="I1687" s="818">
        <f>ROUND(IF(G1687=1,F1687*10/23,IF(G1687=3,F1687-J1687-K1687,IF(G1687=4,F1687,IF(G1687=5,F1687*10/11,IF(G1687=7,F1687*10/11,0))))),0)</f>
        <v>0</v>
      </c>
      <c r="J1687" s="818">
        <f>ROUND(IF(G1687=1,F1687/23,IF(G1687=3,F1687/12,IF(G1687=5,F1687-I1687,IF(G1687=8,F1687,0)))),0)</f>
        <v>0</v>
      </c>
      <c r="K1687" s="819">
        <f>ROUND(IF(G1687=1,F1687/23,IF(G1687=3,F1687/12,IF(G1687=6,F1687,IF(G1687=7,F1687-I1687,0)))),0)</f>
        <v>0</v>
      </c>
      <c r="L1687" s="820">
        <f>IF(G1687=6,F1687,0)</f>
        <v>0</v>
      </c>
      <c r="P1687" s="768" t="n"/>
      <c r="Q1687" s="769" t="str">
        <f>IF($F1687="","",IFERROR(VLOOKUP($C1687&amp;"|"&amp;$D1687,科目表!$A$5:$B$200,2,FALSE),"※未登録"))</f>
        <v/>
      </c>
      <c r="R1687" s="769" t="str">
        <f>IF($F1687="","",$I1687+$J1687+$K1687)</f>
        <v/>
      </c>
      <c r="S1687" s="769" t="str">
        <f>IF(OR($F1687="",$P1687="支払なし",$H1687=0,$Q1687=""),"",$Q1687&amp;"|S|"&amp;(COUNTIF(S$4:S1686,$Q1687&amp;"|S|*")+1))</f>
        <v/>
      </c>
      <c r="T1687" s="769" t="str">
        <f>IF(OR($F1687="",$P1687="支払なし",$R1687=0,$Q1687=""),"",$Q1687&amp;"|L|"&amp;(COUNTIF(T$4:T1686,$Q1687&amp;"|L|*")+1))</f>
        <v/>
      </c>
      <c r="U1687" s="769" t="str">
        <f>IF($F1687="","",13)</f>
        <v/>
      </c>
    </row>
    <row r="1688" ht="16.5" customHeight="1" s="186">
      <c r="A1688" s="760" t="n"/>
      <c r="B1688" s="760" t="n"/>
      <c r="C1688" s="762" t="n"/>
      <c r="D1688" s="762" t="n"/>
      <c r="E1688" s="775" t="n"/>
      <c r="F1688" s="821" t="n"/>
      <c r="G1688" s="821" t="n"/>
      <c r="H1688" s="818">
        <f>IF(G1688=1,F1688-I1688-J1688-K1688,IF(G1688=2,F1688,0))</f>
        <v>0</v>
      </c>
      <c r="I1688" s="818">
        <f>ROUND(IF(G1688=1,F1688*10/23,IF(G1688=3,F1688-J1688-K1688,IF(G1688=4,F1688,IF(G1688=5,F1688*10/11,IF(G1688=7,F1688*10/11,0))))),0)</f>
        <v>0</v>
      </c>
      <c r="J1688" s="818">
        <f>ROUND(IF(G1688=1,F1688/23,IF(G1688=3,F1688/12,IF(G1688=5,F1688-I1688,IF(G1688=8,F1688,0)))),0)</f>
        <v>0</v>
      </c>
      <c r="K1688" s="819">
        <f>ROUND(IF(G1688=1,F1688/23,IF(G1688=3,F1688/12,IF(G1688=6,F1688,IF(G1688=7,F1688-I1688,0)))),0)</f>
        <v>0</v>
      </c>
      <c r="L1688" s="820">
        <f>IF(G1688=6,F1688,0)</f>
        <v>0</v>
      </c>
      <c r="P1688" s="768" t="n"/>
      <c r="Q1688" s="769" t="str">
        <f>IF($F1688="","",IFERROR(VLOOKUP($C1688&amp;"|"&amp;$D1688,科目表!$A$5:$B$200,2,FALSE),"※未登録"))</f>
        <v/>
      </c>
      <c r="R1688" s="769" t="str">
        <f>IF($F1688="","",$I1688+$J1688+$K1688)</f>
        <v/>
      </c>
      <c r="S1688" s="769" t="str">
        <f>IF(OR($F1688="",$P1688="支払なし",$H1688=0,$Q1688=""),"",$Q1688&amp;"|S|"&amp;(COUNTIF(S$4:S1687,$Q1688&amp;"|S|*")+1))</f>
        <v/>
      </c>
      <c r="T1688" s="769" t="str">
        <f>IF(OR($F1688="",$P1688="支払なし",$R1688=0,$Q1688=""),"",$Q1688&amp;"|L|"&amp;(COUNTIF(T$4:T1687,$Q1688&amp;"|L|*")+1))</f>
        <v/>
      </c>
      <c r="U1688" s="769" t="str">
        <f>IF($F1688="","",13)</f>
        <v/>
      </c>
    </row>
    <row r="1689" ht="16.5" customHeight="1" s="186">
      <c r="A1689" s="760" t="n"/>
      <c r="B1689" s="760" t="n"/>
      <c r="C1689" s="762" t="n"/>
      <c r="D1689" s="762" t="n"/>
      <c r="E1689" s="775" t="n"/>
      <c r="F1689" s="821" t="n"/>
      <c r="G1689" s="821" t="n"/>
      <c r="H1689" s="818">
        <f>IF(G1689=1,F1689-I1689-J1689-K1689,IF(G1689=2,F1689,0))</f>
        <v>0</v>
      </c>
      <c r="I1689" s="818">
        <f>ROUND(IF(G1689=1,F1689*10/23,IF(G1689=3,F1689-J1689-K1689,IF(G1689=4,F1689,IF(G1689=5,F1689*10/11,IF(G1689=7,F1689*10/11,0))))),0)</f>
        <v>0</v>
      </c>
      <c r="J1689" s="818">
        <f>ROUND(IF(G1689=1,F1689/23,IF(G1689=3,F1689/12,IF(G1689=5,F1689-I1689,IF(G1689=8,F1689,0)))),0)</f>
        <v>0</v>
      </c>
      <c r="K1689" s="819">
        <f>ROUND(IF(G1689=1,F1689/23,IF(G1689=3,F1689/12,IF(G1689=6,F1689,IF(G1689=7,F1689-I1689,0)))),0)</f>
        <v>0</v>
      </c>
      <c r="L1689" s="820">
        <f>IF(G1689=6,F1689,0)</f>
        <v>0</v>
      </c>
      <c r="P1689" s="768" t="n"/>
      <c r="Q1689" s="769" t="str">
        <f>IF($F1689="","",IFERROR(VLOOKUP($C1689&amp;"|"&amp;$D1689,科目表!$A$5:$B$200,2,FALSE),"※未登録"))</f>
        <v/>
      </c>
      <c r="R1689" s="769" t="str">
        <f>IF($F1689="","",$I1689+$J1689+$K1689)</f>
        <v/>
      </c>
      <c r="S1689" s="769" t="str">
        <f>IF(OR($F1689="",$P1689="支払なし",$H1689=0,$Q1689=""),"",$Q1689&amp;"|S|"&amp;(COUNTIF(S$4:S1688,$Q1689&amp;"|S|*")+1))</f>
        <v/>
      </c>
      <c r="T1689" s="769" t="str">
        <f>IF(OR($F1689="",$P1689="支払なし",$R1689=0,$Q1689=""),"",$Q1689&amp;"|L|"&amp;(COUNTIF(T$4:T1688,$Q1689&amp;"|L|*")+1))</f>
        <v/>
      </c>
      <c r="U1689" s="769" t="str">
        <f>IF($F1689="","",13)</f>
        <v/>
      </c>
    </row>
    <row r="1690" ht="16.5" customHeight="1" s="186">
      <c r="A1690" s="760" t="n"/>
      <c r="B1690" s="760" t="n"/>
      <c r="C1690" s="762" t="n"/>
      <c r="D1690" s="762" t="n"/>
      <c r="E1690" s="775" t="n"/>
      <c r="F1690" s="821" t="n"/>
      <c r="G1690" s="821" t="n"/>
      <c r="H1690" s="818">
        <f>IF(G1690=1,F1690-I1690-J1690-K1690,IF(G1690=2,F1690,0))</f>
        <v>0</v>
      </c>
      <c r="I1690" s="818">
        <f>ROUND(IF(G1690=1,F1690*10/23,IF(G1690=3,F1690-J1690-K1690,IF(G1690=4,F1690,IF(G1690=5,F1690*10/11,IF(G1690=7,F1690*10/11,0))))),0)</f>
        <v>0</v>
      </c>
      <c r="J1690" s="818">
        <f>ROUND(IF(G1690=1,F1690/23,IF(G1690=3,F1690/12,IF(G1690=5,F1690-I1690,IF(G1690=8,F1690,0)))),0)</f>
        <v>0</v>
      </c>
      <c r="K1690" s="819">
        <f>ROUND(IF(G1690=1,F1690/23,IF(G1690=3,F1690/12,IF(G1690=6,F1690,IF(G1690=7,F1690-I1690,0)))),0)</f>
        <v>0</v>
      </c>
      <c r="L1690" s="820">
        <f>IF(G1690=6,F1690,0)</f>
        <v>0</v>
      </c>
      <c r="P1690" s="768" t="n"/>
      <c r="Q1690" s="769" t="str">
        <f>IF($F1690="","",IFERROR(VLOOKUP($C1690&amp;"|"&amp;$D1690,科目表!$A$5:$B$200,2,FALSE),"※未登録"))</f>
        <v/>
      </c>
      <c r="R1690" s="769" t="str">
        <f>IF($F1690="","",$I1690+$J1690+$K1690)</f>
        <v/>
      </c>
      <c r="S1690" s="769" t="str">
        <f>IF(OR($F1690="",$P1690="支払なし",$H1690=0,$Q1690=""),"",$Q1690&amp;"|S|"&amp;(COUNTIF(S$4:S1689,$Q1690&amp;"|S|*")+1))</f>
        <v/>
      </c>
      <c r="T1690" s="769" t="str">
        <f>IF(OR($F1690="",$P1690="支払なし",$R1690=0,$Q1690=""),"",$Q1690&amp;"|L|"&amp;(COUNTIF(T$4:T1689,$Q1690&amp;"|L|*")+1))</f>
        <v/>
      </c>
      <c r="U1690" s="769" t="str">
        <f>IF($F1690="","",13)</f>
        <v/>
      </c>
    </row>
    <row r="1691" ht="16.5" customHeight="1" s="186">
      <c r="A1691" s="760" t="n"/>
      <c r="B1691" s="760" t="n"/>
      <c r="C1691" s="762" t="n"/>
      <c r="D1691" s="762" t="n"/>
      <c r="E1691" s="775" t="n"/>
      <c r="F1691" s="821" t="n"/>
      <c r="G1691" s="821" t="n"/>
      <c r="H1691" s="818">
        <f>IF(G1691=1,F1691-I1691-J1691-K1691,IF(G1691=2,F1691,0))</f>
        <v>0</v>
      </c>
      <c r="I1691" s="818">
        <f>ROUND(IF(G1691=1,F1691*10/23,IF(G1691=3,F1691-J1691-K1691,IF(G1691=4,F1691,IF(G1691=5,F1691*10/11,IF(G1691=7,F1691*10/11,0))))),0)</f>
        <v>0</v>
      </c>
      <c r="J1691" s="818">
        <f>ROUND(IF(G1691=1,F1691/23,IF(G1691=3,F1691/12,IF(G1691=5,F1691-I1691,IF(G1691=8,F1691,0)))),0)</f>
        <v>0</v>
      </c>
      <c r="K1691" s="819">
        <f>ROUND(IF(G1691=1,F1691/23,IF(G1691=3,F1691/12,IF(G1691=6,F1691,IF(G1691=7,F1691-I1691,0)))),0)</f>
        <v>0</v>
      </c>
      <c r="L1691" s="820">
        <f>IF(G1691=6,F1691,0)</f>
        <v>0</v>
      </c>
      <c r="P1691" s="768" t="n"/>
      <c r="Q1691" s="769" t="str">
        <f>IF($F1691="","",IFERROR(VLOOKUP($C1691&amp;"|"&amp;$D1691,科目表!$A$5:$B$200,2,FALSE),"※未登録"))</f>
        <v/>
      </c>
      <c r="R1691" s="769" t="str">
        <f>IF($F1691="","",$I1691+$J1691+$K1691)</f>
        <v/>
      </c>
      <c r="S1691" s="769" t="str">
        <f>IF(OR($F1691="",$P1691="支払なし",$H1691=0,$Q1691=""),"",$Q1691&amp;"|S|"&amp;(COUNTIF(S$4:S1690,$Q1691&amp;"|S|*")+1))</f>
        <v/>
      </c>
      <c r="T1691" s="769" t="str">
        <f>IF(OR($F1691="",$P1691="支払なし",$R1691=0,$Q1691=""),"",$Q1691&amp;"|L|"&amp;(COUNTIF(T$4:T1690,$Q1691&amp;"|L|*")+1))</f>
        <v/>
      </c>
      <c r="U1691" s="769" t="str">
        <f>IF($F1691="","",13)</f>
        <v/>
      </c>
    </row>
    <row r="1692" ht="16.5" customHeight="1" s="186">
      <c r="A1692" s="760" t="n"/>
      <c r="B1692" s="760" t="n"/>
      <c r="C1692" s="762" t="n"/>
      <c r="D1692" s="762" t="n"/>
      <c r="E1692" s="775" t="n"/>
      <c r="F1692" s="821" t="n"/>
      <c r="G1692" s="821" t="n"/>
      <c r="H1692" s="818">
        <f>IF(G1692=1,F1692-I1692-J1692-K1692,IF(G1692=2,F1692,0))</f>
        <v>0</v>
      </c>
      <c r="I1692" s="818">
        <f>ROUND(IF(G1692=1,F1692*10/23,IF(G1692=3,F1692-J1692-K1692,IF(G1692=4,F1692,IF(G1692=5,F1692*10/11,IF(G1692=7,F1692*10/11,0))))),0)</f>
        <v>0</v>
      </c>
      <c r="J1692" s="818">
        <f>ROUND(IF(G1692=1,F1692/23,IF(G1692=3,F1692/12,IF(G1692=5,F1692-I1692,IF(G1692=8,F1692,0)))),0)</f>
        <v>0</v>
      </c>
      <c r="K1692" s="819">
        <f>ROUND(IF(G1692=1,F1692/23,IF(G1692=3,F1692/12,IF(G1692=6,F1692,IF(G1692=7,F1692-I1692,0)))),0)</f>
        <v>0</v>
      </c>
      <c r="L1692" s="820">
        <f>IF(G1692=6,F1692,0)</f>
        <v>0</v>
      </c>
      <c r="P1692" s="768" t="n"/>
      <c r="Q1692" s="769" t="str">
        <f>IF($F1692="","",IFERROR(VLOOKUP($C1692&amp;"|"&amp;$D1692,科目表!$A$5:$B$200,2,FALSE),"※未登録"))</f>
        <v/>
      </c>
      <c r="R1692" s="769" t="str">
        <f>IF($F1692="","",$I1692+$J1692+$K1692)</f>
        <v/>
      </c>
      <c r="S1692" s="769" t="str">
        <f>IF(OR($F1692="",$P1692="支払なし",$H1692=0,$Q1692=""),"",$Q1692&amp;"|S|"&amp;(COUNTIF(S$4:S1691,$Q1692&amp;"|S|*")+1))</f>
        <v/>
      </c>
      <c r="T1692" s="769" t="str">
        <f>IF(OR($F1692="",$P1692="支払なし",$R1692=0,$Q1692=""),"",$Q1692&amp;"|L|"&amp;(COUNTIF(T$4:T1691,$Q1692&amp;"|L|*")+1))</f>
        <v/>
      </c>
      <c r="U1692" s="769" t="str">
        <f>IF($F1692="","",13)</f>
        <v/>
      </c>
    </row>
    <row r="1693" ht="16.5" customHeight="1" s="186">
      <c r="A1693" s="760" t="n"/>
      <c r="B1693" s="760" t="n"/>
      <c r="C1693" s="762" t="n"/>
      <c r="D1693" s="762" t="n"/>
      <c r="E1693" s="775" t="n"/>
      <c r="F1693" s="821" t="n"/>
      <c r="G1693" s="821" t="n"/>
      <c r="H1693" s="818">
        <f>IF(G1693=1,F1693-I1693-J1693-K1693,IF(G1693=2,F1693,0))</f>
        <v>0</v>
      </c>
      <c r="I1693" s="818">
        <f>ROUND(IF(G1693=1,F1693*10/23,IF(G1693=3,F1693-J1693-K1693,IF(G1693=4,F1693,IF(G1693=5,F1693*10/11,IF(G1693=7,F1693*10/11,0))))),0)</f>
        <v>0</v>
      </c>
      <c r="J1693" s="818">
        <f>ROUND(IF(G1693=1,F1693/23,IF(G1693=3,F1693/12,IF(G1693=5,F1693-I1693,IF(G1693=8,F1693,0)))),0)</f>
        <v>0</v>
      </c>
      <c r="K1693" s="819">
        <f>ROUND(IF(G1693=1,F1693/23,IF(G1693=3,F1693/12,IF(G1693=6,F1693,IF(G1693=7,F1693-I1693,0)))),0)</f>
        <v>0</v>
      </c>
      <c r="L1693" s="820">
        <f>IF(G1693=6,F1693,0)</f>
        <v>0</v>
      </c>
      <c r="P1693" s="768" t="n"/>
      <c r="Q1693" s="769" t="str">
        <f>IF($F1693="","",IFERROR(VLOOKUP($C1693&amp;"|"&amp;$D1693,科目表!$A$5:$B$200,2,FALSE),"※未登録"))</f>
        <v/>
      </c>
      <c r="R1693" s="769" t="str">
        <f>IF($F1693="","",$I1693+$J1693+$K1693)</f>
        <v/>
      </c>
      <c r="S1693" s="769" t="str">
        <f>IF(OR($F1693="",$P1693="支払なし",$H1693=0,$Q1693=""),"",$Q1693&amp;"|S|"&amp;(COUNTIF(S$4:S1692,$Q1693&amp;"|S|*")+1))</f>
        <v/>
      </c>
      <c r="T1693" s="769" t="str">
        <f>IF(OR($F1693="",$P1693="支払なし",$R1693=0,$Q1693=""),"",$Q1693&amp;"|L|"&amp;(COUNTIF(T$4:T1692,$Q1693&amp;"|L|*")+1))</f>
        <v/>
      </c>
      <c r="U1693" s="769" t="str">
        <f>IF($F1693="","",13)</f>
        <v/>
      </c>
    </row>
    <row r="1694" ht="16.5" customHeight="1" s="186">
      <c r="A1694" s="760" t="n"/>
      <c r="B1694" s="760" t="n"/>
      <c r="C1694" s="762" t="n"/>
      <c r="D1694" s="762" t="n"/>
      <c r="E1694" s="775" t="n"/>
      <c r="F1694" s="821" t="n"/>
      <c r="G1694" s="821" t="n"/>
      <c r="H1694" s="818">
        <f>IF(G1694=1,F1694-I1694-J1694-K1694,IF(G1694=2,F1694,0))</f>
        <v>0</v>
      </c>
      <c r="I1694" s="818">
        <f>ROUND(IF(G1694=1,F1694*10/23,IF(G1694=3,F1694-J1694-K1694,IF(G1694=4,F1694,IF(G1694=5,F1694*10/11,IF(G1694=7,F1694*10/11,0))))),0)</f>
        <v>0</v>
      </c>
      <c r="J1694" s="818">
        <f>ROUND(IF(G1694=1,F1694/23,IF(G1694=3,F1694/12,IF(G1694=5,F1694-I1694,IF(G1694=8,F1694,0)))),0)</f>
        <v>0</v>
      </c>
      <c r="K1694" s="819">
        <f>ROUND(IF(G1694=1,F1694/23,IF(G1694=3,F1694/12,IF(G1694=6,F1694,IF(G1694=7,F1694-I1694,0)))),0)</f>
        <v>0</v>
      </c>
      <c r="L1694" s="820">
        <f>IF(G1694=6,F1694,0)</f>
        <v>0</v>
      </c>
      <c r="P1694" s="768" t="n"/>
      <c r="Q1694" s="769" t="str">
        <f>IF($F1694="","",IFERROR(VLOOKUP($C1694&amp;"|"&amp;$D1694,科目表!$A$5:$B$200,2,FALSE),"※未登録"))</f>
        <v/>
      </c>
      <c r="R1694" s="769" t="str">
        <f>IF($F1694="","",$I1694+$J1694+$K1694)</f>
        <v/>
      </c>
      <c r="S1694" s="769" t="str">
        <f>IF(OR($F1694="",$P1694="支払なし",$H1694=0,$Q1694=""),"",$Q1694&amp;"|S|"&amp;(COUNTIF(S$4:S1693,$Q1694&amp;"|S|*")+1))</f>
        <v/>
      </c>
      <c r="T1694" s="769" t="str">
        <f>IF(OR($F1694="",$P1694="支払なし",$R1694=0,$Q1694=""),"",$Q1694&amp;"|L|"&amp;(COUNTIF(T$4:T1693,$Q1694&amp;"|L|*")+1))</f>
        <v/>
      </c>
      <c r="U1694" s="769" t="str">
        <f>IF($F1694="","",13)</f>
        <v/>
      </c>
    </row>
    <row r="1695" ht="16.5" customHeight="1" s="186">
      <c r="A1695" s="760" t="n"/>
      <c r="B1695" s="760" t="n"/>
      <c r="C1695" s="762" t="n"/>
      <c r="D1695" s="762" t="n"/>
      <c r="E1695" s="775" t="n"/>
      <c r="F1695" s="821" t="n"/>
      <c r="G1695" s="821" t="n"/>
      <c r="H1695" s="818">
        <f>IF(G1695=1,F1695-I1695-J1695-K1695,IF(G1695=2,F1695,0))</f>
        <v>0</v>
      </c>
      <c r="I1695" s="818">
        <f>ROUND(IF(G1695=1,F1695*10/23,IF(G1695=3,F1695-J1695-K1695,IF(G1695=4,F1695,IF(G1695=5,F1695*10/11,IF(G1695=7,F1695*10/11,0))))),0)</f>
        <v>0</v>
      </c>
      <c r="J1695" s="818">
        <f>ROUND(IF(G1695=1,F1695/23,IF(G1695=3,F1695/12,IF(G1695=5,F1695-I1695,IF(G1695=8,F1695,0)))),0)</f>
        <v>0</v>
      </c>
      <c r="K1695" s="819">
        <f>ROUND(IF(G1695=1,F1695/23,IF(G1695=3,F1695/12,IF(G1695=6,F1695,IF(G1695=7,F1695-I1695,0)))),0)</f>
        <v>0</v>
      </c>
      <c r="L1695" s="820">
        <f>IF(G1695=6,F1695,0)</f>
        <v>0</v>
      </c>
      <c r="P1695" s="768" t="n"/>
      <c r="Q1695" s="769" t="str">
        <f>IF($F1695="","",IFERROR(VLOOKUP($C1695&amp;"|"&amp;$D1695,科目表!$A$5:$B$200,2,FALSE),"※未登録"))</f>
        <v/>
      </c>
      <c r="R1695" s="769" t="str">
        <f>IF($F1695="","",$I1695+$J1695+$K1695)</f>
        <v/>
      </c>
      <c r="S1695" s="769" t="str">
        <f>IF(OR($F1695="",$P1695="支払なし",$H1695=0,$Q1695=""),"",$Q1695&amp;"|S|"&amp;(COUNTIF(S$4:S1694,$Q1695&amp;"|S|*")+1))</f>
        <v/>
      </c>
      <c r="T1695" s="769" t="str">
        <f>IF(OR($F1695="",$P1695="支払なし",$R1695=0,$Q1695=""),"",$Q1695&amp;"|L|"&amp;(COUNTIF(T$4:T1694,$Q1695&amp;"|L|*")+1))</f>
        <v/>
      </c>
      <c r="U1695" s="769" t="str">
        <f>IF($F1695="","",13)</f>
        <v/>
      </c>
    </row>
    <row r="1696" ht="16.5" customHeight="1" s="186">
      <c r="A1696" s="760" t="n"/>
      <c r="B1696" s="760" t="n"/>
      <c r="C1696" s="762" t="n"/>
      <c r="D1696" s="762" t="n"/>
      <c r="E1696" s="775" t="n"/>
      <c r="F1696" s="821" t="n"/>
      <c r="G1696" s="821" t="n"/>
      <c r="H1696" s="818">
        <f>IF(G1696=1,F1696-I1696-J1696-K1696,IF(G1696=2,F1696,0))</f>
        <v>0</v>
      </c>
      <c r="I1696" s="818">
        <f>ROUND(IF(G1696=1,F1696*10/23,IF(G1696=3,F1696-J1696-K1696,IF(G1696=4,F1696,IF(G1696=5,F1696*10/11,IF(G1696=7,F1696*10/11,0))))),0)</f>
        <v>0</v>
      </c>
      <c r="J1696" s="818">
        <f>ROUND(IF(G1696=1,F1696/23,IF(G1696=3,F1696/12,IF(G1696=5,F1696-I1696,IF(G1696=8,F1696,0)))),0)</f>
        <v>0</v>
      </c>
      <c r="K1696" s="819">
        <f>ROUND(IF(G1696=1,F1696/23,IF(G1696=3,F1696/12,IF(G1696=6,F1696,IF(G1696=7,F1696-I1696,0)))),0)</f>
        <v>0</v>
      </c>
      <c r="L1696" s="820">
        <f>IF(G1696=6,F1696,0)</f>
        <v>0</v>
      </c>
      <c r="P1696" s="768" t="n"/>
      <c r="Q1696" s="769" t="str">
        <f>IF($F1696="","",IFERROR(VLOOKUP($C1696&amp;"|"&amp;$D1696,科目表!$A$5:$B$200,2,FALSE),"※未登録"))</f>
        <v/>
      </c>
      <c r="R1696" s="769" t="str">
        <f>IF($F1696="","",$I1696+$J1696+$K1696)</f>
        <v/>
      </c>
      <c r="S1696" s="769" t="str">
        <f>IF(OR($F1696="",$P1696="支払なし",$H1696=0,$Q1696=""),"",$Q1696&amp;"|S|"&amp;(COUNTIF(S$4:S1695,$Q1696&amp;"|S|*")+1))</f>
        <v/>
      </c>
      <c r="T1696" s="769" t="str">
        <f>IF(OR($F1696="",$P1696="支払なし",$R1696=0,$Q1696=""),"",$Q1696&amp;"|L|"&amp;(COUNTIF(T$4:T1695,$Q1696&amp;"|L|*")+1))</f>
        <v/>
      </c>
      <c r="U1696" s="769" t="str">
        <f>IF($F1696="","",13)</f>
        <v/>
      </c>
    </row>
    <row r="1697" ht="16.5" customHeight="1" s="186">
      <c r="A1697" s="760" t="n"/>
      <c r="B1697" s="760" t="n"/>
      <c r="C1697" s="762" t="n"/>
      <c r="D1697" s="762" t="n"/>
      <c r="E1697" s="775" t="n"/>
      <c r="F1697" s="821" t="n"/>
      <c r="G1697" s="821" t="n"/>
      <c r="H1697" s="818">
        <f>IF(G1697=1,F1697-I1697-J1697-K1697,IF(G1697=2,F1697,0))</f>
        <v>0</v>
      </c>
      <c r="I1697" s="818">
        <f>ROUND(IF(G1697=1,F1697*10/23,IF(G1697=3,F1697-J1697-K1697,IF(G1697=4,F1697,IF(G1697=5,F1697*10/11,IF(G1697=7,F1697*10/11,0))))),0)</f>
        <v>0</v>
      </c>
      <c r="J1697" s="818">
        <f>ROUND(IF(G1697=1,F1697/23,IF(G1697=3,F1697/12,IF(G1697=5,F1697-I1697,IF(G1697=8,F1697,0)))),0)</f>
        <v>0</v>
      </c>
      <c r="K1697" s="819">
        <f>ROUND(IF(G1697=1,F1697/23,IF(G1697=3,F1697/12,IF(G1697=6,F1697,IF(G1697=7,F1697-I1697,0)))),0)</f>
        <v>0</v>
      </c>
      <c r="L1697" s="820">
        <f>IF(G1697=6,F1697,0)</f>
        <v>0</v>
      </c>
      <c r="P1697" s="768" t="n"/>
      <c r="Q1697" s="769" t="str">
        <f>IF($F1697="","",IFERROR(VLOOKUP($C1697&amp;"|"&amp;$D1697,科目表!$A$5:$B$200,2,FALSE),"※未登録"))</f>
        <v/>
      </c>
      <c r="R1697" s="769" t="str">
        <f>IF($F1697="","",$I1697+$J1697+$K1697)</f>
        <v/>
      </c>
      <c r="S1697" s="769" t="str">
        <f>IF(OR($F1697="",$P1697="支払なし",$H1697=0,$Q1697=""),"",$Q1697&amp;"|S|"&amp;(COUNTIF(S$4:S1696,$Q1697&amp;"|S|*")+1))</f>
        <v/>
      </c>
      <c r="T1697" s="769" t="str">
        <f>IF(OR($F1697="",$P1697="支払なし",$R1697=0,$Q1697=""),"",$Q1697&amp;"|L|"&amp;(COUNTIF(T$4:T1696,$Q1697&amp;"|L|*")+1))</f>
        <v/>
      </c>
      <c r="U1697" s="769" t="str">
        <f>IF($F1697="","",13)</f>
        <v/>
      </c>
    </row>
    <row r="1698" ht="16.5" customHeight="1" s="186">
      <c r="A1698" s="760" t="n"/>
      <c r="B1698" s="760" t="n"/>
      <c r="C1698" s="762" t="n"/>
      <c r="D1698" s="762" t="n"/>
      <c r="E1698" s="775" t="n"/>
      <c r="F1698" s="821" t="n"/>
      <c r="G1698" s="821" t="n"/>
      <c r="H1698" s="818">
        <f>IF(G1698=1,F1698-I1698-J1698-K1698,IF(G1698=2,F1698,0))</f>
        <v>0</v>
      </c>
      <c r="I1698" s="818">
        <f>ROUND(IF(G1698=1,F1698*10/23,IF(G1698=3,F1698-J1698-K1698,IF(G1698=4,F1698,IF(G1698=5,F1698*10/11,IF(G1698=7,F1698*10/11,0))))),0)</f>
        <v>0</v>
      </c>
      <c r="J1698" s="818">
        <f>ROUND(IF(G1698=1,F1698/23,IF(G1698=3,F1698/12,IF(G1698=5,F1698-I1698,IF(G1698=8,F1698,0)))),0)</f>
        <v>0</v>
      </c>
      <c r="K1698" s="819">
        <f>ROUND(IF(G1698=1,F1698/23,IF(G1698=3,F1698/12,IF(G1698=6,F1698,IF(G1698=7,F1698-I1698,0)))),0)</f>
        <v>0</v>
      </c>
      <c r="L1698" s="820">
        <f>IF(G1698=6,F1698,0)</f>
        <v>0</v>
      </c>
      <c r="P1698" s="768" t="n"/>
      <c r="Q1698" s="769" t="str">
        <f>IF($F1698="","",IFERROR(VLOOKUP($C1698&amp;"|"&amp;$D1698,科目表!$A$5:$B$200,2,FALSE),"※未登録"))</f>
        <v/>
      </c>
      <c r="R1698" s="769" t="str">
        <f>IF($F1698="","",$I1698+$J1698+$K1698)</f>
        <v/>
      </c>
      <c r="S1698" s="769" t="str">
        <f>IF(OR($F1698="",$P1698="支払なし",$H1698=0,$Q1698=""),"",$Q1698&amp;"|S|"&amp;(COUNTIF(S$4:S1697,$Q1698&amp;"|S|*")+1))</f>
        <v/>
      </c>
      <c r="T1698" s="769" t="str">
        <f>IF(OR($F1698="",$P1698="支払なし",$R1698=0,$Q1698=""),"",$Q1698&amp;"|L|"&amp;(COUNTIF(T$4:T1697,$Q1698&amp;"|L|*")+1))</f>
        <v/>
      </c>
      <c r="U1698" s="769" t="str">
        <f>IF($F1698="","",13)</f>
        <v/>
      </c>
    </row>
    <row r="1699" ht="16.5" customHeight="1" s="186">
      <c r="A1699" s="760" t="n"/>
      <c r="B1699" s="760" t="n"/>
      <c r="C1699" s="762" t="n"/>
      <c r="D1699" s="762" t="n"/>
      <c r="E1699" s="775" t="n"/>
      <c r="F1699" s="821" t="n"/>
      <c r="G1699" s="821" t="n"/>
      <c r="H1699" s="818">
        <f>IF(G1699=1,F1699-I1699-J1699-K1699,IF(G1699=2,F1699,0))</f>
        <v>0</v>
      </c>
      <c r="I1699" s="818">
        <f>ROUND(IF(G1699=1,F1699*10/23,IF(G1699=3,F1699-J1699-K1699,IF(G1699=4,F1699,IF(G1699=5,F1699*10/11,IF(G1699=7,F1699*10/11,0))))),0)</f>
        <v>0</v>
      </c>
      <c r="J1699" s="818">
        <f>ROUND(IF(G1699=1,F1699/23,IF(G1699=3,F1699/12,IF(G1699=5,F1699-I1699,IF(G1699=8,F1699,0)))),0)</f>
        <v>0</v>
      </c>
      <c r="K1699" s="819">
        <f>ROUND(IF(G1699=1,F1699/23,IF(G1699=3,F1699/12,IF(G1699=6,F1699,IF(G1699=7,F1699-I1699,0)))),0)</f>
        <v>0</v>
      </c>
      <c r="L1699" s="820">
        <f>IF(G1699=6,F1699,0)</f>
        <v>0</v>
      </c>
      <c r="P1699" s="768" t="n"/>
      <c r="Q1699" s="769" t="str">
        <f>IF($F1699="","",IFERROR(VLOOKUP($C1699&amp;"|"&amp;$D1699,科目表!$A$5:$B$200,2,FALSE),"※未登録"))</f>
        <v/>
      </c>
      <c r="R1699" s="769" t="str">
        <f>IF($F1699="","",$I1699+$J1699+$K1699)</f>
        <v/>
      </c>
      <c r="S1699" s="769" t="str">
        <f>IF(OR($F1699="",$P1699="支払なし",$H1699=0,$Q1699=""),"",$Q1699&amp;"|S|"&amp;(COUNTIF(S$4:S1698,$Q1699&amp;"|S|*")+1))</f>
        <v/>
      </c>
      <c r="T1699" s="769" t="str">
        <f>IF(OR($F1699="",$P1699="支払なし",$R1699=0,$Q1699=""),"",$Q1699&amp;"|L|"&amp;(COUNTIF(T$4:T1698,$Q1699&amp;"|L|*")+1))</f>
        <v/>
      </c>
      <c r="U1699" s="769" t="str">
        <f>IF($F1699="","",13)</f>
        <v/>
      </c>
    </row>
    <row r="1700" ht="16.5" customHeight="1" s="186">
      <c r="A1700" s="760" t="n"/>
      <c r="B1700" s="760" t="n"/>
      <c r="C1700" s="762" t="n"/>
      <c r="D1700" s="762" t="n"/>
      <c r="E1700" s="775" t="n"/>
      <c r="F1700" s="821" t="n"/>
      <c r="G1700" s="821" t="n"/>
      <c r="H1700" s="818">
        <f>IF(G1700=1,F1700-I1700-J1700-K1700,IF(G1700=2,F1700,0))</f>
        <v>0</v>
      </c>
      <c r="I1700" s="818">
        <f>ROUND(IF(G1700=1,F1700*10/23,IF(G1700=3,F1700-J1700-K1700,IF(G1700=4,F1700,IF(G1700=5,F1700*10/11,IF(G1700=7,F1700*10/11,0))))),0)</f>
        <v>0</v>
      </c>
      <c r="J1700" s="818">
        <f>ROUND(IF(G1700=1,F1700/23,IF(G1700=3,F1700/12,IF(G1700=5,F1700-I1700,IF(G1700=8,F1700,0)))),0)</f>
        <v>0</v>
      </c>
      <c r="K1700" s="819">
        <f>ROUND(IF(G1700=1,F1700/23,IF(G1700=3,F1700/12,IF(G1700=6,F1700,IF(G1700=7,F1700-I1700,0)))),0)</f>
        <v>0</v>
      </c>
      <c r="L1700" s="820">
        <f>IF(G1700=6,F1700,0)</f>
        <v>0</v>
      </c>
      <c r="P1700" s="768" t="n"/>
      <c r="Q1700" s="769" t="str">
        <f>IF($F1700="","",IFERROR(VLOOKUP($C1700&amp;"|"&amp;$D1700,科目表!$A$5:$B$200,2,FALSE),"※未登録"))</f>
        <v/>
      </c>
      <c r="R1700" s="769" t="str">
        <f>IF($F1700="","",$I1700+$J1700+$K1700)</f>
        <v/>
      </c>
      <c r="S1700" s="769" t="str">
        <f>IF(OR($F1700="",$P1700="支払なし",$H1700=0,$Q1700=""),"",$Q1700&amp;"|S|"&amp;(COUNTIF(S$4:S1699,$Q1700&amp;"|S|*")+1))</f>
        <v/>
      </c>
      <c r="T1700" s="769" t="str">
        <f>IF(OR($F1700="",$P1700="支払なし",$R1700=0,$Q1700=""),"",$Q1700&amp;"|L|"&amp;(COUNTIF(T$4:T1699,$Q1700&amp;"|L|*")+1))</f>
        <v/>
      </c>
      <c r="U1700" s="769" t="str">
        <f>IF($F1700="","",13)</f>
        <v/>
      </c>
    </row>
    <row r="1701" ht="16.5" customHeight="1" s="186">
      <c r="A1701" s="760" t="n"/>
      <c r="B1701" s="760" t="n"/>
      <c r="C1701" s="762" t="n"/>
      <c r="D1701" s="762" t="n"/>
      <c r="E1701" s="775" t="n"/>
      <c r="F1701" s="821" t="n"/>
      <c r="G1701" s="821" t="n"/>
      <c r="H1701" s="818">
        <f>IF(G1701=1,F1701-I1701-J1701-K1701,IF(G1701=2,F1701,0))</f>
        <v>0</v>
      </c>
      <c r="I1701" s="818">
        <f>ROUND(IF(G1701=1,F1701*10/23,IF(G1701=3,F1701-J1701-K1701,IF(G1701=4,F1701,IF(G1701=5,F1701*10/11,IF(G1701=7,F1701*10/11,0))))),0)</f>
        <v>0</v>
      </c>
      <c r="J1701" s="818">
        <f>ROUND(IF(G1701=1,F1701/23,IF(G1701=3,F1701/12,IF(G1701=5,F1701-I1701,IF(G1701=8,F1701,0)))),0)</f>
        <v>0</v>
      </c>
      <c r="K1701" s="819">
        <f>ROUND(IF(G1701=1,F1701/23,IF(G1701=3,F1701/12,IF(G1701=6,F1701,IF(G1701=7,F1701-I1701,0)))),0)</f>
        <v>0</v>
      </c>
      <c r="L1701" s="820">
        <f>IF(G1701=6,F1701,0)</f>
        <v>0</v>
      </c>
      <c r="P1701" s="768" t="n"/>
      <c r="Q1701" s="769" t="str">
        <f>IF($F1701="","",IFERROR(VLOOKUP($C1701&amp;"|"&amp;$D1701,科目表!$A$5:$B$200,2,FALSE),"※未登録"))</f>
        <v/>
      </c>
      <c r="R1701" s="769" t="str">
        <f>IF($F1701="","",$I1701+$J1701+$K1701)</f>
        <v/>
      </c>
      <c r="S1701" s="769" t="str">
        <f>IF(OR($F1701="",$P1701="支払なし",$H1701=0,$Q1701=""),"",$Q1701&amp;"|S|"&amp;(COUNTIF(S$4:S1700,$Q1701&amp;"|S|*")+1))</f>
        <v/>
      </c>
      <c r="T1701" s="769" t="str">
        <f>IF(OR($F1701="",$P1701="支払なし",$R1701=0,$Q1701=""),"",$Q1701&amp;"|L|"&amp;(COUNTIF(T$4:T1700,$Q1701&amp;"|L|*")+1))</f>
        <v/>
      </c>
      <c r="U1701" s="769" t="str">
        <f>IF($F1701="","",13)</f>
        <v/>
      </c>
    </row>
    <row r="1702" ht="16.5" customHeight="1" s="186">
      <c r="A1702" s="760" t="n"/>
      <c r="B1702" s="760" t="n"/>
      <c r="C1702" s="762" t="n"/>
      <c r="D1702" s="762" t="n"/>
      <c r="E1702" s="775" t="n"/>
      <c r="F1702" s="821" t="n"/>
      <c r="G1702" s="821" t="n"/>
      <c r="H1702" s="818">
        <f>IF(G1702=1,F1702-I1702-J1702-K1702,IF(G1702=2,F1702,0))</f>
        <v>0</v>
      </c>
      <c r="I1702" s="818">
        <f>ROUND(IF(G1702=1,F1702*10/23,IF(G1702=3,F1702-J1702-K1702,IF(G1702=4,F1702,IF(G1702=5,F1702*10/11,IF(G1702=7,F1702*10/11,0))))),0)</f>
        <v>0</v>
      </c>
      <c r="J1702" s="818">
        <f>ROUND(IF(G1702=1,F1702/23,IF(G1702=3,F1702/12,IF(G1702=5,F1702-I1702,IF(G1702=8,F1702,0)))),0)</f>
        <v>0</v>
      </c>
      <c r="K1702" s="819">
        <f>ROUND(IF(G1702=1,F1702/23,IF(G1702=3,F1702/12,IF(G1702=6,F1702,IF(G1702=7,F1702-I1702,0)))),0)</f>
        <v>0</v>
      </c>
      <c r="L1702" s="820">
        <f>IF(G1702=6,F1702,0)</f>
        <v>0</v>
      </c>
      <c r="P1702" s="768" t="n"/>
      <c r="Q1702" s="769" t="str">
        <f>IF($F1702="","",IFERROR(VLOOKUP($C1702&amp;"|"&amp;$D1702,科目表!$A$5:$B$200,2,FALSE),"※未登録"))</f>
        <v/>
      </c>
      <c r="R1702" s="769" t="str">
        <f>IF($F1702="","",$I1702+$J1702+$K1702)</f>
        <v/>
      </c>
      <c r="S1702" s="769" t="str">
        <f>IF(OR($F1702="",$P1702="支払なし",$H1702=0,$Q1702=""),"",$Q1702&amp;"|S|"&amp;(COUNTIF(S$4:S1701,$Q1702&amp;"|S|*")+1))</f>
        <v/>
      </c>
      <c r="T1702" s="769" t="str">
        <f>IF(OR($F1702="",$P1702="支払なし",$R1702=0,$Q1702=""),"",$Q1702&amp;"|L|"&amp;(COUNTIF(T$4:T1701,$Q1702&amp;"|L|*")+1))</f>
        <v/>
      </c>
      <c r="U1702" s="769" t="str">
        <f>IF($F1702="","",13)</f>
        <v/>
      </c>
    </row>
    <row r="1703" ht="16.5" customHeight="1" s="186">
      <c r="A1703" s="760" t="n"/>
      <c r="B1703" s="760" t="n"/>
      <c r="C1703" s="762" t="n"/>
      <c r="D1703" s="762" t="n"/>
      <c r="E1703" s="775" t="n"/>
      <c r="F1703" s="821" t="n"/>
      <c r="G1703" s="821" t="n"/>
      <c r="H1703" s="818">
        <f>IF(G1703=1,F1703-I1703-J1703-K1703,IF(G1703=2,F1703,0))</f>
        <v>0</v>
      </c>
      <c r="I1703" s="818">
        <f>ROUND(IF(G1703=1,F1703*10/23,IF(G1703=3,F1703-J1703-K1703,IF(G1703=4,F1703,IF(G1703=5,F1703*10/11,IF(G1703=7,F1703*10/11,0))))),0)</f>
        <v>0</v>
      </c>
      <c r="J1703" s="818">
        <f>ROUND(IF(G1703=1,F1703/23,IF(G1703=3,F1703/12,IF(G1703=5,F1703-I1703,IF(G1703=8,F1703,0)))),0)</f>
        <v>0</v>
      </c>
      <c r="K1703" s="819">
        <f>ROUND(IF(G1703=1,F1703/23,IF(G1703=3,F1703/12,IF(G1703=6,F1703,IF(G1703=7,F1703-I1703,0)))),0)</f>
        <v>0</v>
      </c>
      <c r="L1703" s="820">
        <f>IF(G1703=6,F1703,0)</f>
        <v>0</v>
      </c>
      <c r="P1703" s="768" t="n"/>
      <c r="Q1703" s="769" t="str">
        <f>IF($F1703="","",IFERROR(VLOOKUP($C1703&amp;"|"&amp;$D1703,科目表!$A$5:$B$200,2,FALSE),"※未登録"))</f>
        <v/>
      </c>
      <c r="R1703" s="769" t="str">
        <f>IF($F1703="","",$I1703+$J1703+$K1703)</f>
        <v/>
      </c>
      <c r="S1703" s="769" t="str">
        <f>IF(OR($F1703="",$P1703="支払なし",$H1703=0,$Q1703=""),"",$Q1703&amp;"|S|"&amp;(COUNTIF(S$4:S1702,$Q1703&amp;"|S|*")+1))</f>
        <v/>
      </c>
      <c r="T1703" s="769" t="str">
        <f>IF(OR($F1703="",$P1703="支払なし",$R1703=0,$Q1703=""),"",$Q1703&amp;"|L|"&amp;(COUNTIF(T$4:T1702,$Q1703&amp;"|L|*")+1))</f>
        <v/>
      </c>
      <c r="U1703" s="769" t="str">
        <f>IF($F1703="","",13)</f>
        <v/>
      </c>
    </row>
    <row r="1704" ht="16.5" customHeight="1" s="186">
      <c r="A1704" s="760" t="n"/>
      <c r="B1704" s="760" t="n"/>
      <c r="C1704" s="762" t="n"/>
      <c r="D1704" s="762" t="n"/>
      <c r="E1704" s="775" t="n"/>
      <c r="F1704" s="821" t="n"/>
      <c r="G1704" s="821" t="n"/>
      <c r="H1704" s="818">
        <f>IF(G1704=1,F1704-I1704-J1704-K1704,IF(G1704=2,F1704,0))</f>
        <v>0</v>
      </c>
      <c r="I1704" s="818">
        <f>ROUND(IF(G1704=1,F1704*10/23,IF(G1704=3,F1704-J1704-K1704,IF(G1704=4,F1704,IF(G1704=5,F1704*10/11,IF(G1704=7,F1704*10/11,0))))),0)</f>
        <v>0</v>
      </c>
      <c r="J1704" s="818">
        <f>ROUND(IF(G1704=1,F1704/23,IF(G1704=3,F1704/12,IF(G1704=5,F1704-I1704,IF(G1704=8,F1704,0)))),0)</f>
        <v>0</v>
      </c>
      <c r="K1704" s="819">
        <f>ROUND(IF(G1704=1,F1704/23,IF(G1704=3,F1704/12,IF(G1704=6,F1704,IF(G1704=7,F1704-I1704,0)))),0)</f>
        <v>0</v>
      </c>
      <c r="L1704" s="820">
        <f>IF(G1704=6,F1704,0)</f>
        <v>0</v>
      </c>
      <c r="P1704" s="768" t="n"/>
      <c r="Q1704" s="769" t="str">
        <f>IF($F1704="","",IFERROR(VLOOKUP($C1704&amp;"|"&amp;$D1704,科目表!$A$5:$B$200,2,FALSE),"※未登録"))</f>
        <v/>
      </c>
      <c r="R1704" s="769" t="str">
        <f>IF($F1704="","",$I1704+$J1704+$K1704)</f>
        <v/>
      </c>
      <c r="S1704" s="769" t="str">
        <f>IF(OR($F1704="",$P1704="支払なし",$H1704=0,$Q1704=""),"",$Q1704&amp;"|S|"&amp;(COUNTIF(S$4:S1703,$Q1704&amp;"|S|*")+1))</f>
        <v/>
      </c>
      <c r="T1704" s="769" t="str">
        <f>IF(OR($F1704="",$P1704="支払なし",$R1704=0,$Q1704=""),"",$Q1704&amp;"|L|"&amp;(COUNTIF(T$4:T1703,$Q1704&amp;"|L|*")+1))</f>
        <v/>
      </c>
      <c r="U1704" s="769" t="str">
        <f>IF($F1704="","",13)</f>
        <v/>
      </c>
    </row>
    <row r="1705" ht="16.5" customHeight="1" s="186">
      <c r="A1705" s="760" t="n"/>
      <c r="B1705" s="760" t="n"/>
      <c r="C1705" s="762" t="n"/>
      <c r="D1705" s="762" t="n"/>
      <c r="E1705" s="775" t="n"/>
      <c r="F1705" s="821" t="n"/>
      <c r="G1705" s="821" t="n"/>
      <c r="H1705" s="818">
        <f>IF(G1705=1,F1705-I1705-J1705-K1705,IF(G1705=2,F1705,0))</f>
        <v>0</v>
      </c>
      <c r="I1705" s="818">
        <f>ROUND(IF(G1705=1,F1705*10/23,IF(G1705=3,F1705-J1705-K1705,IF(G1705=4,F1705,IF(G1705=5,F1705*10/11,IF(G1705=7,F1705*10/11,0))))),0)</f>
        <v>0</v>
      </c>
      <c r="J1705" s="818">
        <f>ROUND(IF(G1705=1,F1705/23,IF(G1705=3,F1705/12,IF(G1705=5,F1705-I1705,IF(G1705=8,F1705,0)))),0)</f>
        <v>0</v>
      </c>
      <c r="K1705" s="819">
        <f>ROUND(IF(G1705=1,F1705/23,IF(G1705=3,F1705/12,IF(G1705=6,F1705,IF(G1705=7,F1705-I1705,0)))),0)</f>
        <v>0</v>
      </c>
      <c r="L1705" s="820">
        <f>IF(G1705=6,F1705,0)</f>
        <v>0</v>
      </c>
      <c r="P1705" s="768" t="n"/>
      <c r="Q1705" s="769" t="str">
        <f>IF($F1705="","",IFERROR(VLOOKUP($C1705&amp;"|"&amp;$D1705,科目表!$A$5:$B$200,2,FALSE),"※未登録"))</f>
        <v/>
      </c>
      <c r="R1705" s="769" t="str">
        <f>IF($F1705="","",$I1705+$J1705+$K1705)</f>
        <v/>
      </c>
      <c r="S1705" s="769" t="str">
        <f>IF(OR($F1705="",$P1705="支払なし",$H1705=0,$Q1705=""),"",$Q1705&amp;"|S|"&amp;(COUNTIF(S$4:S1704,$Q1705&amp;"|S|*")+1))</f>
        <v/>
      </c>
      <c r="T1705" s="769" t="str">
        <f>IF(OR($F1705="",$P1705="支払なし",$R1705=0,$Q1705=""),"",$Q1705&amp;"|L|"&amp;(COUNTIF(T$4:T1704,$Q1705&amp;"|L|*")+1))</f>
        <v/>
      </c>
      <c r="U1705" s="769" t="str">
        <f>IF($F1705="","",13)</f>
        <v/>
      </c>
    </row>
    <row r="1706" ht="16.5" customHeight="1" s="186">
      <c r="A1706" s="760" t="n"/>
      <c r="B1706" s="760" t="n"/>
      <c r="C1706" s="762" t="n"/>
      <c r="D1706" s="762" t="n"/>
      <c r="E1706" s="775" t="n"/>
      <c r="F1706" s="821" t="n"/>
      <c r="G1706" s="821" t="n"/>
      <c r="H1706" s="818">
        <f>IF(G1706=1,F1706-I1706-J1706-K1706,IF(G1706=2,F1706,0))</f>
        <v>0</v>
      </c>
      <c r="I1706" s="818">
        <f>ROUND(IF(G1706=1,F1706*10/23,IF(G1706=3,F1706-J1706-K1706,IF(G1706=4,F1706,IF(G1706=5,F1706*10/11,IF(G1706=7,F1706*10/11,0))))),0)</f>
        <v>0</v>
      </c>
      <c r="J1706" s="818">
        <f>ROUND(IF(G1706=1,F1706/23,IF(G1706=3,F1706/12,IF(G1706=5,F1706-I1706,IF(G1706=8,F1706,0)))),0)</f>
        <v>0</v>
      </c>
      <c r="K1706" s="819">
        <f>ROUND(IF(G1706=1,F1706/23,IF(G1706=3,F1706/12,IF(G1706=6,F1706,IF(G1706=7,F1706-I1706,0)))),0)</f>
        <v>0</v>
      </c>
      <c r="L1706" s="820">
        <f>IF(G1706=6,F1706,0)</f>
        <v>0</v>
      </c>
      <c r="P1706" s="768" t="n"/>
      <c r="Q1706" s="769" t="str">
        <f>IF($F1706="","",IFERROR(VLOOKUP($C1706&amp;"|"&amp;$D1706,科目表!$A$5:$B$200,2,FALSE),"※未登録"))</f>
        <v/>
      </c>
      <c r="R1706" s="769" t="str">
        <f>IF($F1706="","",$I1706+$J1706+$K1706)</f>
        <v/>
      </c>
      <c r="S1706" s="769" t="str">
        <f>IF(OR($F1706="",$P1706="支払なし",$H1706=0,$Q1706=""),"",$Q1706&amp;"|S|"&amp;(COUNTIF(S$4:S1705,$Q1706&amp;"|S|*")+1))</f>
        <v/>
      </c>
      <c r="T1706" s="769" t="str">
        <f>IF(OR($F1706="",$P1706="支払なし",$R1706=0,$Q1706=""),"",$Q1706&amp;"|L|"&amp;(COUNTIF(T$4:T1705,$Q1706&amp;"|L|*")+1))</f>
        <v/>
      </c>
      <c r="U1706" s="769" t="str">
        <f>IF($F1706="","",13)</f>
        <v/>
      </c>
    </row>
    <row r="1707" ht="16.5" customHeight="1" s="186">
      <c r="A1707" s="760" t="n"/>
      <c r="B1707" s="760" t="n"/>
      <c r="C1707" s="762" t="n"/>
      <c r="D1707" s="762" t="n"/>
      <c r="E1707" s="775" t="n"/>
      <c r="F1707" s="821" t="n"/>
      <c r="G1707" s="821" t="n"/>
      <c r="H1707" s="818">
        <f>IF(G1707=1,F1707-I1707-J1707-K1707,IF(G1707=2,F1707,0))</f>
        <v>0</v>
      </c>
      <c r="I1707" s="818">
        <f>ROUND(IF(G1707=1,F1707*10/23,IF(G1707=3,F1707-J1707-K1707,IF(G1707=4,F1707,IF(G1707=5,F1707*10/11,IF(G1707=7,F1707*10/11,0))))),0)</f>
        <v>0</v>
      </c>
      <c r="J1707" s="818">
        <f>ROUND(IF(G1707=1,F1707/23,IF(G1707=3,F1707/12,IF(G1707=5,F1707-I1707,IF(G1707=8,F1707,0)))),0)</f>
        <v>0</v>
      </c>
      <c r="K1707" s="819">
        <f>ROUND(IF(G1707=1,F1707/23,IF(G1707=3,F1707/12,IF(G1707=6,F1707,IF(G1707=7,F1707-I1707,0)))),0)</f>
        <v>0</v>
      </c>
      <c r="L1707" s="820">
        <f>IF(G1707=6,F1707,0)</f>
        <v>0</v>
      </c>
      <c r="P1707" s="768" t="n"/>
      <c r="Q1707" s="769" t="str">
        <f>IF($F1707="","",IFERROR(VLOOKUP($C1707&amp;"|"&amp;$D1707,科目表!$A$5:$B$200,2,FALSE),"※未登録"))</f>
        <v/>
      </c>
      <c r="R1707" s="769" t="str">
        <f>IF($F1707="","",$I1707+$J1707+$K1707)</f>
        <v/>
      </c>
      <c r="S1707" s="769" t="str">
        <f>IF(OR($F1707="",$P1707="支払なし",$H1707=0,$Q1707=""),"",$Q1707&amp;"|S|"&amp;(COUNTIF(S$4:S1706,$Q1707&amp;"|S|*")+1))</f>
        <v/>
      </c>
      <c r="T1707" s="769" t="str">
        <f>IF(OR($F1707="",$P1707="支払なし",$R1707=0,$Q1707=""),"",$Q1707&amp;"|L|"&amp;(COUNTIF(T$4:T1706,$Q1707&amp;"|L|*")+1))</f>
        <v/>
      </c>
      <c r="U1707" s="769" t="str">
        <f>IF($F1707="","",13)</f>
        <v/>
      </c>
    </row>
    <row r="1708" ht="16.5" customHeight="1" s="186">
      <c r="A1708" s="760" t="n"/>
      <c r="B1708" s="760" t="n"/>
      <c r="C1708" s="762" t="n"/>
      <c r="D1708" s="762" t="n"/>
      <c r="E1708" s="775" t="n"/>
      <c r="F1708" s="821" t="n"/>
      <c r="G1708" s="821" t="n"/>
      <c r="H1708" s="818">
        <f>IF(G1708=1,F1708-I1708-J1708-K1708,IF(G1708=2,F1708,0))</f>
        <v>0</v>
      </c>
      <c r="I1708" s="818">
        <f>ROUND(IF(G1708=1,F1708*10/23,IF(G1708=3,F1708-J1708-K1708,IF(G1708=4,F1708,IF(G1708=5,F1708*10/11,IF(G1708=7,F1708*10/11,0))))),0)</f>
        <v>0</v>
      </c>
      <c r="J1708" s="818">
        <f>ROUND(IF(G1708=1,F1708/23,IF(G1708=3,F1708/12,IF(G1708=5,F1708-I1708,IF(G1708=8,F1708,0)))),0)</f>
        <v>0</v>
      </c>
      <c r="K1708" s="819">
        <f>ROUND(IF(G1708=1,F1708/23,IF(G1708=3,F1708/12,IF(G1708=6,F1708,IF(G1708=7,F1708-I1708,0)))),0)</f>
        <v>0</v>
      </c>
      <c r="L1708" s="820">
        <f>IF(G1708=6,F1708,0)</f>
        <v>0</v>
      </c>
      <c r="P1708" s="768" t="n"/>
      <c r="Q1708" s="769" t="str">
        <f>IF($F1708="","",IFERROR(VLOOKUP($C1708&amp;"|"&amp;$D1708,科目表!$A$5:$B$200,2,FALSE),"※未登録"))</f>
        <v/>
      </c>
      <c r="R1708" s="769" t="str">
        <f>IF($F1708="","",$I1708+$J1708+$K1708)</f>
        <v/>
      </c>
      <c r="S1708" s="769" t="str">
        <f>IF(OR($F1708="",$P1708="支払なし",$H1708=0,$Q1708=""),"",$Q1708&amp;"|S|"&amp;(COUNTIF(S$4:S1707,$Q1708&amp;"|S|*")+1))</f>
        <v/>
      </c>
      <c r="T1708" s="769" t="str">
        <f>IF(OR($F1708="",$P1708="支払なし",$R1708=0,$Q1708=""),"",$Q1708&amp;"|L|"&amp;(COUNTIF(T$4:T1707,$Q1708&amp;"|L|*")+1))</f>
        <v/>
      </c>
      <c r="U1708" s="769" t="str">
        <f>IF($F1708="","",13)</f>
        <v/>
      </c>
    </row>
    <row r="1709" ht="16.5" customHeight="1" s="186">
      <c r="A1709" s="760" t="n"/>
      <c r="B1709" s="760" t="n"/>
      <c r="C1709" s="762" t="n"/>
      <c r="D1709" s="762" t="n"/>
      <c r="E1709" s="775" t="n"/>
      <c r="F1709" s="821" t="n"/>
      <c r="G1709" s="821" t="n"/>
      <c r="H1709" s="818">
        <f>IF(G1709=1,F1709-I1709-J1709-K1709,IF(G1709=2,F1709,0))</f>
        <v>0</v>
      </c>
      <c r="I1709" s="818">
        <f>ROUND(IF(G1709=1,F1709*10/23,IF(G1709=3,F1709-J1709-K1709,IF(G1709=4,F1709,IF(G1709=5,F1709*10/11,IF(G1709=7,F1709*10/11,0))))),0)</f>
        <v>0</v>
      </c>
      <c r="J1709" s="818">
        <f>ROUND(IF(G1709=1,F1709/23,IF(G1709=3,F1709/12,IF(G1709=5,F1709-I1709,IF(G1709=8,F1709,0)))),0)</f>
        <v>0</v>
      </c>
      <c r="K1709" s="819">
        <f>ROUND(IF(G1709=1,F1709/23,IF(G1709=3,F1709/12,IF(G1709=6,F1709,IF(G1709=7,F1709-I1709,0)))),0)</f>
        <v>0</v>
      </c>
      <c r="L1709" s="820">
        <f>IF(G1709=6,F1709,0)</f>
        <v>0</v>
      </c>
      <c r="P1709" s="768" t="n"/>
      <c r="Q1709" s="769" t="str">
        <f>IF($F1709="","",IFERROR(VLOOKUP($C1709&amp;"|"&amp;$D1709,科目表!$A$5:$B$200,2,FALSE),"※未登録"))</f>
        <v/>
      </c>
      <c r="R1709" s="769" t="str">
        <f>IF($F1709="","",$I1709+$J1709+$K1709)</f>
        <v/>
      </c>
      <c r="S1709" s="769" t="str">
        <f>IF(OR($F1709="",$P1709="支払なし",$H1709=0,$Q1709=""),"",$Q1709&amp;"|S|"&amp;(COUNTIF(S$4:S1708,$Q1709&amp;"|S|*")+1))</f>
        <v/>
      </c>
      <c r="T1709" s="769" t="str">
        <f>IF(OR($F1709="",$P1709="支払なし",$R1709=0,$Q1709=""),"",$Q1709&amp;"|L|"&amp;(COUNTIF(T$4:T1708,$Q1709&amp;"|L|*")+1))</f>
        <v/>
      </c>
      <c r="U1709" s="769" t="str">
        <f>IF($F1709="","",13)</f>
        <v/>
      </c>
    </row>
    <row r="1710" ht="16.5" customHeight="1" s="186">
      <c r="A1710" s="760" t="n"/>
      <c r="B1710" s="760" t="n"/>
      <c r="C1710" s="762" t="n"/>
      <c r="D1710" s="762" t="n"/>
      <c r="E1710" s="775" t="n"/>
      <c r="F1710" s="821" t="n"/>
      <c r="G1710" s="821" t="n"/>
      <c r="H1710" s="818">
        <f>IF(G1710=1,F1710-I1710-J1710-K1710,IF(G1710=2,F1710,0))</f>
        <v>0</v>
      </c>
      <c r="I1710" s="818">
        <f>ROUND(IF(G1710=1,F1710*10/23,IF(G1710=3,F1710-J1710-K1710,IF(G1710=4,F1710,IF(G1710=5,F1710*10/11,IF(G1710=7,F1710*10/11,0))))),0)</f>
        <v>0</v>
      </c>
      <c r="J1710" s="818">
        <f>ROUND(IF(G1710=1,F1710/23,IF(G1710=3,F1710/12,IF(G1710=5,F1710-I1710,IF(G1710=8,F1710,0)))),0)</f>
        <v>0</v>
      </c>
      <c r="K1710" s="819">
        <f>ROUND(IF(G1710=1,F1710/23,IF(G1710=3,F1710/12,IF(G1710=6,F1710,IF(G1710=7,F1710-I1710,0)))),0)</f>
        <v>0</v>
      </c>
      <c r="L1710" s="820">
        <f>IF(G1710=6,F1710,0)</f>
        <v>0</v>
      </c>
      <c r="P1710" s="768" t="n"/>
      <c r="Q1710" s="769" t="str">
        <f>IF($F1710="","",IFERROR(VLOOKUP($C1710&amp;"|"&amp;$D1710,科目表!$A$5:$B$200,2,FALSE),"※未登録"))</f>
        <v/>
      </c>
      <c r="R1710" s="769" t="str">
        <f>IF($F1710="","",$I1710+$J1710+$K1710)</f>
        <v/>
      </c>
      <c r="S1710" s="769" t="str">
        <f>IF(OR($F1710="",$P1710="支払なし",$H1710=0,$Q1710=""),"",$Q1710&amp;"|S|"&amp;(COUNTIF(S$4:S1709,$Q1710&amp;"|S|*")+1))</f>
        <v/>
      </c>
      <c r="T1710" s="769" t="str">
        <f>IF(OR($F1710="",$P1710="支払なし",$R1710=0,$Q1710=""),"",$Q1710&amp;"|L|"&amp;(COUNTIF(T$4:T1709,$Q1710&amp;"|L|*")+1))</f>
        <v/>
      </c>
      <c r="U1710" s="769" t="str">
        <f>IF($F1710="","",13)</f>
        <v/>
      </c>
    </row>
    <row r="1711" ht="16.5" customHeight="1" s="186">
      <c r="A1711" s="760" t="n"/>
      <c r="B1711" s="760" t="n"/>
      <c r="C1711" s="762" t="n"/>
      <c r="D1711" s="762" t="n"/>
      <c r="E1711" s="775" t="n"/>
      <c r="F1711" s="821" t="n"/>
      <c r="G1711" s="821" t="n"/>
      <c r="H1711" s="818">
        <f>IF(G1711=1,F1711-I1711-J1711-K1711,IF(G1711=2,F1711,0))</f>
        <v>0</v>
      </c>
      <c r="I1711" s="818">
        <f>ROUND(IF(G1711=1,F1711*10/23,IF(G1711=3,F1711-J1711-K1711,IF(G1711=4,F1711,IF(G1711=5,F1711*10/11,IF(G1711=7,F1711*10/11,0))))),0)</f>
        <v>0</v>
      </c>
      <c r="J1711" s="818">
        <f>ROUND(IF(G1711=1,F1711/23,IF(G1711=3,F1711/12,IF(G1711=5,F1711-I1711,IF(G1711=8,F1711,0)))),0)</f>
        <v>0</v>
      </c>
      <c r="K1711" s="819">
        <f>ROUND(IF(G1711=1,F1711/23,IF(G1711=3,F1711/12,IF(G1711=6,F1711,IF(G1711=7,F1711-I1711,0)))),0)</f>
        <v>0</v>
      </c>
      <c r="L1711" s="820">
        <f>IF(G1711=6,F1711,0)</f>
        <v>0</v>
      </c>
      <c r="P1711" s="768" t="n"/>
      <c r="Q1711" s="769" t="str">
        <f>IF($F1711="","",IFERROR(VLOOKUP($C1711&amp;"|"&amp;$D1711,科目表!$A$5:$B$200,2,FALSE),"※未登録"))</f>
        <v/>
      </c>
      <c r="R1711" s="769" t="str">
        <f>IF($F1711="","",$I1711+$J1711+$K1711)</f>
        <v/>
      </c>
      <c r="S1711" s="769" t="str">
        <f>IF(OR($F1711="",$P1711="支払なし",$H1711=0,$Q1711=""),"",$Q1711&amp;"|S|"&amp;(COUNTIF(S$4:S1710,$Q1711&amp;"|S|*")+1))</f>
        <v/>
      </c>
      <c r="T1711" s="769" t="str">
        <f>IF(OR($F1711="",$P1711="支払なし",$R1711=0,$Q1711=""),"",$Q1711&amp;"|L|"&amp;(COUNTIF(T$4:T1710,$Q1711&amp;"|L|*")+1))</f>
        <v/>
      </c>
      <c r="U1711" s="769" t="str">
        <f>IF($F1711="","",13)</f>
        <v/>
      </c>
    </row>
    <row r="1712" ht="16.5" customHeight="1" s="186">
      <c r="A1712" s="760" t="n"/>
      <c r="B1712" s="760" t="n"/>
      <c r="C1712" s="762" t="n"/>
      <c r="D1712" s="762" t="n"/>
      <c r="E1712" s="775" t="n"/>
      <c r="F1712" s="821" t="n"/>
      <c r="G1712" s="821" t="n"/>
      <c r="H1712" s="818">
        <f>IF(G1712=1,F1712-I1712-J1712-K1712,IF(G1712=2,F1712,0))</f>
        <v>0</v>
      </c>
      <c r="I1712" s="818">
        <f>ROUND(IF(G1712=1,F1712*10/23,IF(G1712=3,F1712-J1712-K1712,IF(G1712=4,F1712,IF(G1712=5,F1712*10/11,IF(G1712=7,F1712*10/11,0))))),0)</f>
        <v>0</v>
      </c>
      <c r="J1712" s="818">
        <f>ROUND(IF(G1712=1,F1712/23,IF(G1712=3,F1712/12,IF(G1712=5,F1712-I1712,IF(G1712=8,F1712,0)))),0)</f>
        <v>0</v>
      </c>
      <c r="K1712" s="819">
        <f>ROUND(IF(G1712=1,F1712/23,IF(G1712=3,F1712/12,IF(G1712=6,F1712,IF(G1712=7,F1712-I1712,0)))),0)</f>
        <v>0</v>
      </c>
      <c r="L1712" s="820">
        <f>IF(G1712=6,F1712,0)</f>
        <v>0</v>
      </c>
      <c r="P1712" s="768" t="n"/>
      <c r="Q1712" s="769" t="str">
        <f>IF($F1712="","",IFERROR(VLOOKUP($C1712&amp;"|"&amp;$D1712,科目表!$A$5:$B$200,2,FALSE),"※未登録"))</f>
        <v/>
      </c>
      <c r="R1712" s="769" t="str">
        <f>IF($F1712="","",$I1712+$J1712+$K1712)</f>
        <v/>
      </c>
      <c r="S1712" s="769" t="str">
        <f>IF(OR($F1712="",$P1712="支払なし",$H1712=0,$Q1712=""),"",$Q1712&amp;"|S|"&amp;(COUNTIF(S$4:S1711,$Q1712&amp;"|S|*")+1))</f>
        <v/>
      </c>
      <c r="T1712" s="769" t="str">
        <f>IF(OR($F1712="",$P1712="支払なし",$R1712=0,$Q1712=""),"",$Q1712&amp;"|L|"&amp;(COUNTIF(T$4:T1711,$Q1712&amp;"|L|*")+1))</f>
        <v/>
      </c>
      <c r="U1712" s="769" t="str">
        <f>IF($F1712="","",13)</f>
        <v/>
      </c>
    </row>
    <row r="1713" ht="16.5" customHeight="1" s="186">
      <c r="A1713" s="760" t="n"/>
      <c r="B1713" s="760" t="n"/>
      <c r="C1713" s="762" t="n"/>
      <c r="D1713" s="762" t="n"/>
      <c r="E1713" s="775" t="n"/>
      <c r="F1713" s="821" t="n"/>
      <c r="G1713" s="821" t="n"/>
      <c r="H1713" s="818">
        <f>IF(G1713=1,F1713-I1713-J1713-K1713,IF(G1713=2,F1713,0))</f>
        <v>0</v>
      </c>
      <c r="I1713" s="818">
        <f>ROUND(IF(G1713=1,F1713*10/23,IF(G1713=3,F1713-J1713-K1713,IF(G1713=4,F1713,IF(G1713=5,F1713*10/11,IF(G1713=7,F1713*10/11,0))))),0)</f>
        <v>0</v>
      </c>
      <c r="J1713" s="818">
        <f>ROUND(IF(G1713=1,F1713/23,IF(G1713=3,F1713/12,IF(G1713=5,F1713-I1713,IF(G1713=8,F1713,0)))),0)</f>
        <v>0</v>
      </c>
      <c r="K1713" s="819">
        <f>ROUND(IF(G1713=1,F1713/23,IF(G1713=3,F1713/12,IF(G1713=6,F1713,IF(G1713=7,F1713-I1713,0)))),0)</f>
        <v>0</v>
      </c>
      <c r="L1713" s="820">
        <f>IF(G1713=6,F1713,0)</f>
        <v>0</v>
      </c>
      <c r="P1713" s="768" t="n"/>
      <c r="Q1713" s="769" t="str">
        <f>IF($F1713="","",IFERROR(VLOOKUP($C1713&amp;"|"&amp;$D1713,科目表!$A$5:$B$200,2,FALSE),"※未登録"))</f>
        <v/>
      </c>
      <c r="R1713" s="769" t="str">
        <f>IF($F1713="","",$I1713+$J1713+$K1713)</f>
        <v/>
      </c>
      <c r="S1713" s="769" t="str">
        <f>IF(OR($F1713="",$P1713="支払なし",$H1713=0,$Q1713=""),"",$Q1713&amp;"|S|"&amp;(COUNTIF(S$4:S1712,$Q1713&amp;"|S|*")+1))</f>
        <v/>
      </c>
      <c r="T1713" s="769" t="str">
        <f>IF(OR($F1713="",$P1713="支払なし",$R1713=0,$Q1713=""),"",$Q1713&amp;"|L|"&amp;(COUNTIF(T$4:T1712,$Q1713&amp;"|L|*")+1))</f>
        <v/>
      </c>
      <c r="U1713" s="769" t="str">
        <f>IF($F1713="","",13)</f>
        <v/>
      </c>
    </row>
    <row r="1714" ht="16.5" customHeight="1" s="186">
      <c r="A1714" s="760" t="n"/>
      <c r="B1714" s="760" t="n"/>
      <c r="C1714" s="762" t="n"/>
      <c r="D1714" s="762" t="n"/>
      <c r="E1714" s="775" t="n"/>
      <c r="F1714" s="821" t="n"/>
      <c r="G1714" s="821" t="n"/>
      <c r="H1714" s="818">
        <f>IF(G1714=1,F1714-I1714-J1714-K1714,IF(G1714=2,F1714,0))</f>
        <v>0</v>
      </c>
      <c r="I1714" s="818">
        <f>ROUND(IF(G1714=1,F1714*10/23,IF(G1714=3,F1714-J1714-K1714,IF(G1714=4,F1714,IF(G1714=5,F1714*10/11,IF(G1714=7,F1714*10/11,0))))),0)</f>
        <v>0</v>
      </c>
      <c r="J1714" s="818">
        <f>ROUND(IF(G1714=1,F1714/23,IF(G1714=3,F1714/12,IF(G1714=5,F1714-I1714,IF(G1714=8,F1714,0)))),0)</f>
        <v>0</v>
      </c>
      <c r="K1714" s="819">
        <f>ROUND(IF(G1714=1,F1714/23,IF(G1714=3,F1714/12,IF(G1714=6,F1714,IF(G1714=7,F1714-I1714,0)))),0)</f>
        <v>0</v>
      </c>
      <c r="L1714" s="820">
        <f>IF(G1714=6,F1714,0)</f>
        <v>0</v>
      </c>
      <c r="P1714" s="768" t="n"/>
      <c r="Q1714" s="769" t="str">
        <f>IF($F1714="","",IFERROR(VLOOKUP($C1714&amp;"|"&amp;$D1714,科目表!$A$5:$B$200,2,FALSE),"※未登録"))</f>
        <v/>
      </c>
      <c r="R1714" s="769" t="str">
        <f>IF($F1714="","",$I1714+$J1714+$K1714)</f>
        <v/>
      </c>
      <c r="S1714" s="769" t="str">
        <f>IF(OR($F1714="",$P1714="支払なし",$H1714=0,$Q1714=""),"",$Q1714&amp;"|S|"&amp;(COUNTIF(S$4:S1713,$Q1714&amp;"|S|*")+1))</f>
        <v/>
      </c>
      <c r="T1714" s="769" t="str">
        <f>IF(OR($F1714="",$P1714="支払なし",$R1714=0,$Q1714=""),"",$Q1714&amp;"|L|"&amp;(COUNTIF(T$4:T1713,$Q1714&amp;"|L|*")+1))</f>
        <v/>
      </c>
      <c r="U1714" s="769" t="str">
        <f>IF($F1714="","",13)</f>
        <v/>
      </c>
    </row>
    <row r="1715" ht="16.5" customHeight="1" s="186">
      <c r="A1715" s="760" t="n"/>
      <c r="B1715" s="760" t="n"/>
      <c r="C1715" s="762" t="n"/>
      <c r="D1715" s="762" t="n"/>
      <c r="E1715" s="775" t="n"/>
      <c r="F1715" s="821" t="n"/>
      <c r="G1715" s="821" t="n"/>
      <c r="H1715" s="818">
        <f>IF(G1715=1,F1715-I1715-J1715-K1715,IF(G1715=2,F1715,0))</f>
        <v>0</v>
      </c>
      <c r="I1715" s="818">
        <f>ROUND(IF(G1715=1,F1715*10/23,IF(G1715=3,F1715-J1715-K1715,IF(G1715=4,F1715,IF(G1715=5,F1715*10/11,IF(G1715=7,F1715*10/11,0))))),0)</f>
        <v>0</v>
      </c>
      <c r="J1715" s="818">
        <f>ROUND(IF(G1715=1,F1715/23,IF(G1715=3,F1715/12,IF(G1715=5,F1715-I1715,IF(G1715=8,F1715,0)))),0)</f>
        <v>0</v>
      </c>
      <c r="K1715" s="819">
        <f>ROUND(IF(G1715=1,F1715/23,IF(G1715=3,F1715/12,IF(G1715=6,F1715,IF(G1715=7,F1715-I1715,0)))),0)</f>
        <v>0</v>
      </c>
      <c r="L1715" s="820">
        <f>IF(G1715=6,F1715,0)</f>
        <v>0</v>
      </c>
      <c r="P1715" s="768" t="n"/>
      <c r="Q1715" s="769" t="str">
        <f>IF($F1715="","",IFERROR(VLOOKUP($C1715&amp;"|"&amp;$D1715,科目表!$A$5:$B$200,2,FALSE),"※未登録"))</f>
        <v/>
      </c>
      <c r="R1715" s="769" t="str">
        <f>IF($F1715="","",$I1715+$J1715+$K1715)</f>
        <v/>
      </c>
      <c r="S1715" s="769" t="str">
        <f>IF(OR($F1715="",$P1715="支払なし",$H1715=0,$Q1715=""),"",$Q1715&amp;"|S|"&amp;(COUNTIF(S$4:S1714,$Q1715&amp;"|S|*")+1))</f>
        <v/>
      </c>
      <c r="T1715" s="769" t="str">
        <f>IF(OR($F1715="",$P1715="支払なし",$R1715=0,$Q1715=""),"",$Q1715&amp;"|L|"&amp;(COUNTIF(T$4:T1714,$Q1715&amp;"|L|*")+1))</f>
        <v/>
      </c>
      <c r="U1715" s="769" t="str">
        <f>IF($F1715="","",13)</f>
        <v/>
      </c>
    </row>
    <row r="1716" ht="16.5" customHeight="1" s="186">
      <c r="A1716" s="760" t="n"/>
      <c r="B1716" s="760" t="n"/>
      <c r="C1716" s="762" t="n"/>
      <c r="D1716" s="762" t="n"/>
      <c r="E1716" s="775" t="n"/>
      <c r="F1716" s="821" t="n"/>
      <c r="G1716" s="821" t="n"/>
      <c r="H1716" s="818">
        <f>IF(G1716=1,F1716-I1716-J1716-K1716,IF(G1716=2,F1716,0))</f>
        <v>0</v>
      </c>
      <c r="I1716" s="818">
        <f>ROUND(IF(G1716=1,F1716*10/23,IF(G1716=3,F1716-J1716-K1716,IF(G1716=4,F1716,IF(G1716=5,F1716*10/11,IF(G1716=7,F1716*10/11,0))))),0)</f>
        <v>0</v>
      </c>
      <c r="J1716" s="818">
        <f>ROUND(IF(G1716=1,F1716/23,IF(G1716=3,F1716/12,IF(G1716=5,F1716-I1716,IF(G1716=8,F1716,0)))),0)</f>
        <v>0</v>
      </c>
      <c r="K1716" s="819">
        <f>ROUND(IF(G1716=1,F1716/23,IF(G1716=3,F1716/12,IF(G1716=6,F1716,IF(G1716=7,F1716-I1716,0)))),0)</f>
        <v>0</v>
      </c>
      <c r="L1716" s="820">
        <f>IF(G1716=6,F1716,0)</f>
        <v>0</v>
      </c>
      <c r="P1716" s="768" t="n"/>
      <c r="Q1716" s="769" t="str">
        <f>IF($F1716="","",IFERROR(VLOOKUP($C1716&amp;"|"&amp;$D1716,科目表!$A$5:$B$200,2,FALSE),"※未登録"))</f>
        <v/>
      </c>
      <c r="R1716" s="769" t="str">
        <f>IF($F1716="","",$I1716+$J1716+$K1716)</f>
        <v/>
      </c>
      <c r="S1716" s="769" t="str">
        <f>IF(OR($F1716="",$P1716="支払なし",$H1716=0,$Q1716=""),"",$Q1716&amp;"|S|"&amp;(COUNTIF(S$4:S1715,$Q1716&amp;"|S|*")+1))</f>
        <v/>
      </c>
      <c r="T1716" s="769" t="str">
        <f>IF(OR($F1716="",$P1716="支払なし",$R1716=0,$Q1716=""),"",$Q1716&amp;"|L|"&amp;(COUNTIF(T$4:T1715,$Q1716&amp;"|L|*")+1))</f>
        <v/>
      </c>
      <c r="U1716" s="769" t="str">
        <f>IF($F1716="","",13)</f>
        <v/>
      </c>
    </row>
    <row r="1717" ht="16.5" customHeight="1" s="186">
      <c r="A1717" s="760" t="n"/>
      <c r="B1717" s="760" t="n"/>
      <c r="C1717" s="762" t="n"/>
      <c r="D1717" s="762" t="n"/>
      <c r="E1717" s="775" t="n"/>
      <c r="F1717" s="821" t="n"/>
      <c r="G1717" s="821" t="n"/>
      <c r="H1717" s="818">
        <f>IF(G1717=1,F1717-I1717-J1717-K1717,IF(G1717=2,F1717,0))</f>
        <v>0</v>
      </c>
      <c r="I1717" s="818">
        <f>ROUND(IF(G1717=1,F1717*10/23,IF(G1717=3,F1717-J1717-K1717,IF(G1717=4,F1717,IF(G1717=5,F1717*10/11,IF(G1717=7,F1717*10/11,0))))),0)</f>
        <v>0</v>
      </c>
      <c r="J1717" s="818">
        <f>ROUND(IF(G1717=1,F1717/23,IF(G1717=3,F1717/12,IF(G1717=5,F1717-I1717,IF(G1717=8,F1717,0)))),0)</f>
        <v>0</v>
      </c>
      <c r="K1717" s="819">
        <f>ROUND(IF(G1717=1,F1717/23,IF(G1717=3,F1717/12,IF(G1717=6,F1717,IF(G1717=7,F1717-I1717,0)))),0)</f>
        <v>0</v>
      </c>
      <c r="L1717" s="820">
        <f>IF(G1717=6,F1717,0)</f>
        <v>0</v>
      </c>
      <c r="P1717" s="768" t="n"/>
      <c r="Q1717" s="769" t="str">
        <f>IF($F1717="","",IFERROR(VLOOKUP($C1717&amp;"|"&amp;$D1717,科目表!$A$5:$B$200,2,FALSE),"※未登録"))</f>
        <v/>
      </c>
      <c r="R1717" s="769" t="str">
        <f>IF($F1717="","",$I1717+$J1717+$K1717)</f>
        <v/>
      </c>
      <c r="S1717" s="769" t="str">
        <f>IF(OR($F1717="",$P1717="支払なし",$H1717=0,$Q1717=""),"",$Q1717&amp;"|S|"&amp;(COUNTIF(S$4:S1716,$Q1717&amp;"|S|*")+1))</f>
        <v/>
      </c>
      <c r="T1717" s="769" t="str">
        <f>IF(OR($F1717="",$P1717="支払なし",$R1717=0,$Q1717=""),"",$Q1717&amp;"|L|"&amp;(COUNTIF(T$4:T1716,$Q1717&amp;"|L|*")+1))</f>
        <v/>
      </c>
      <c r="U1717" s="769" t="str">
        <f>IF($F1717="","",13)</f>
        <v/>
      </c>
    </row>
    <row r="1718" ht="16.5" customHeight="1" s="186">
      <c r="A1718" s="760" t="n"/>
      <c r="B1718" s="760" t="n"/>
      <c r="C1718" s="762" t="n"/>
      <c r="D1718" s="762" t="n"/>
      <c r="E1718" s="775" t="n"/>
      <c r="F1718" s="821" t="n"/>
      <c r="G1718" s="821" t="n"/>
      <c r="H1718" s="818">
        <f>IF(G1718=1,F1718-I1718-J1718-K1718,IF(G1718=2,F1718,0))</f>
        <v>0</v>
      </c>
      <c r="I1718" s="818">
        <f>ROUND(IF(G1718=1,F1718*10/23,IF(G1718=3,F1718-J1718-K1718,IF(G1718=4,F1718,IF(G1718=5,F1718*10/11,IF(G1718=7,F1718*10/11,0))))),0)</f>
        <v>0</v>
      </c>
      <c r="J1718" s="818">
        <f>ROUND(IF(G1718=1,F1718/23,IF(G1718=3,F1718/12,IF(G1718=5,F1718-I1718,IF(G1718=8,F1718,0)))),0)</f>
        <v>0</v>
      </c>
      <c r="K1718" s="819">
        <f>ROUND(IF(G1718=1,F1718/23,IF(G1718=3,F1718/12,IF(G1718=6,F1718,IF(G1718=7,F1718-I1718,0)))),0)</f>
        <v>0</v>
      </c>
      <c r="L1718" s="820">
        <f>IF(G1718=6,F1718,0)</f>
        <v>0</v>
      </c>
      <c r="P1718" s="768" t="n"/>
      <c r="Q1718" s="769" t="str">
        <f>IF($F1718="","",IFERROR(VLOOKUP($C1718&amp;"|"&amp;$D1718,科目表!$A$5:$B$200,2,FALSE),"※未登録"))</f>
        <v/>
      </c>
      <c r="R1718" s="769" t="str">
        <f>IF($F1718="","",$I1718+$J1718+$K1718)</f>
        <v/>
      </c>
      <c r="S1718" s="769" t="str">
        <f>IF(OR($F1718="",$P1718="支払なし",$H1718=0,$Q1718=""),"",$Q1718&amp;"|S|"&amp;(COUNTIF(S$4:S1717,$Q1718&amp;"|S|*")+1))</f>
        <v/>
      </c>
      <c r="T1718" s="769" t="str">
        <f>IF(OR($F1718="",$P1718="支払なし",$R1718=0,$Q1718=""),"",$Q1718&amp;"|L|"&amp;(COUNTIF(T$4:T1717,$Q1718&amp;"|L|*")+1))</f>
        <v/>
      </c>
      <c r="U1718" s="769" t="str">
        <f>IF($F1718="","",13)</f>
        <v/>
      </c>
    </row>
    <row r="1719" ht="16.5" customHeight="1" s="186">
      <c r="A1719" s="760" t="n"/>
      <c r="B1719" s="760" t="n"/>
      <c r="C1719" s="762" t="n"/>
      <c r="D1719" s="762" t="n"/>
      <c r="E1719" s="775" t="n"/>
      <c r="F1719" s="821" t="n"/>
      <c r="G1719" s="821" t="n"/>
      <c r="H1719" s="818">
        <f>IF(G1719=1,F1719-I1719-J1719-K1719,IF(G1719=2,F1719,0))</f>
        <v>0</v>
      </c>
      <c r="I1719" s="818">
        <f>ROUND(IF(G1719=1,F1719*10/23,IF(G1719=3,F1719-J1719-K1719,IF(G1719=4,F1719,IF(G1719=5,F1719*10/11,IF(G1719=7,F1719*10/11,0))))),0)</f>
        <v>0</v>
      </c>
      <c r="J1719" s="818">
        <f>ROUND(IF(G1719=1,F1719/23,IF(G1719=3,F1719/12,IF(G1719=5,F1719-I1719,IF(G1719=8,F1719,0)))),0)</f>
        <v>0</v>
      </c>
      <c r="K1719" s="819">
        <f>ROUND(IF(G1719=1,F1719/23,IF(G1719=3,F1719/12,IF(G1719=6,F1719,IF(G1719=7,F1719-I1719,0)))),0)</f>
        <v>0</v>
      </c>
      <c r="L1719" s="820">
        <f>IF(G1719=6,F1719,0)</f>
        <v>0</v>
      </c>
      <c r="P1719" s="768" t="n"/>
      <c r="Q1719" s="769" t="str">
        <f>IF($F1719="","",IFERROR(VLOOKUP($C1719&amp;"|"&amp;$D1719,科目表!$A$5:$B$200,2,FALSE),"※未登録"))</f>
        <v/>
      </c>
      <c r="R1719" s="769" t="str">
        <f>IF($F1719="","",$I1719+$J1719+$K1719)</f>
        <v/>
      </c>
      <c r="S1719" s="769" t="str">
        <f>IF(OR($F1719="",$P1719="支払なし",$H1719=0,$Q1719=""),"",$Q1719&amp;"|S|"&amp;(COUNTIF(S$4:S1718,$Q1719&amp;"|S|*")+1))</f>
        <v/>
      </c>
      <c r="T1719" s="769" t="str">
        <f>IF(OR($F1719="",$P1719="支払なし",$R1719=0,$Q1719=""),"",$Q1719&amp;"|L|"&amp;(COUNTIF(T$4:T1718,$Q1719&amp;"|L|*")+1))</f>
        <v/>
      </c>
      <c r="U1719" s="769" t="str">
        <f>IF($F1719="","",13)</f>
        <v/>
      </c>
    </row>
    <row r="1720" ht="16.5" customHeight="1" s="186">
      <c r="A1720" s="760" t="n"/>
      <c r="B1720" s="760" t="n"/>
      <c r="C1720" s="762" t="n"/>
      <c r="D1720" s="762" t="n"/>
      <c r="E1720" s="775" t="n"/>
      <c r="F1720" s="821" t="n"/>
      <c r="G1720" s="821" t="n"/>
      <c r="H1720" s="818">
        <f>IF(G1720=1,F1720-I1720-J1720-K1720,IF(G1720=2,F1720,0))</f>
        <v>0</v>
      </c>
      <c r="I1720" s="818">
        <f>ROUND(IF(G1720=1,F1720*10/23,IF(G1720=3,F1720-J1720-K1720,IF(G1720=4,F1720,IF(G1720=5,F1720*10/11,IF(G1720=7,F1720*10/11,0))))),0)</f>
        <v>0</v>
      </c>
      <c r="J1720" s="818">
        <f>ROUND(IF(G1720=1,F1720/23,IF(G1720=3,F1720/12,IF(G1720=5,F1720-I1720,IF(G1720=8,F1720,0)))),0)</f>
        <v>0</v>
      </c>
      <c r="K1720" s="819">
        <f>ROUND(IF(G1720=1,F1720/23,IF(G1720=3,F1720/12,IF(G1720=6,F1720,IF(G1720=7,F1720-I1720,0)))),0)</f>
        <v>0</v>
      </c>
      <c r="L1720" s="820">
        <f>IF(G1720=6,F1720,0)</f>
        <v>0</v>
      </c>
      <c r="P1720" s="768" t="n"/>
      <c r="Q1720" s="769" t="str">
        <f>IF($F1720="","",IFERROR(VLOOKUP($C1720&amp;"|"&amp;$D1720,科目表!$A$5:$B$200,2,FALSE),"※未登録"))</f>
        <v/>
      </c>
      <c r="R1720" s="769" t="str">
        <f>IF($F1720="","",$I1720+$J1720+$K1720)</f>
        <v/>
      </c>
      <c r="S1720" s="769" t="str">
        <f>IF(OR($F1720="",$P1720="支払なし",$H1720=0,$Q1720=""),"",$Q1720&amp;"|S|"&amp;(COUNTIF(S$4:S1719,$Q1720&amp;"|S|*")+1))</f>
        <v/>
      </c>
      <c r="T1720" s="769" t="str">
        <f>IF(OR($F1720="",$P1720="支払なし",$R1720=0,$Q1720=""),"",$Q1720&amp;"|L|"&amp;(COUNTIF(T$4:T1719,$Q1720&amp;"|L|*")+1))</f>
        <v/>
      </c>
      <c r="U1720" s="769" t="str">
        <f>IF($F1720="","",13)</f>
        <v/>
      </c>
    </row>
    <row r="1721" ht="16.5" customHeight="1" s="186">
      <c r="A1721" s="760" t="n"/>
      <c r="B1721" s="760" t="n"/>
      <c r="C1721" s="762" t="n"/>
      <c r="D1721" s="762" t="n"/>
      <c r="E1721" s="775" t="n"/>
      <c r="F1721" s="821" t="n"/>
      <c r="G1721" s="821" t="n"/>
      <c r="H1721" s="818">
        <f>IF(G1721=1,F1721-I1721-J1721-K1721,IF(G1721=2,F1721,0))</f>
        <v>0</v>
      </c>
      <c r="I1721" s="818">
        <f>ROUND(IF(G1721=1,F1721*10/23,IF(G1721=3,F1721-J1721-K1721,IF(G1721=4,F1721,IF(G1721=5,F1721*10/11,IF(G1721=7,F1721*10/11,0))))),0)</f>
        <v>0</v>
      </c>
      <c r="J1721" s="818">
        <f>ROUND(IF(G1721=1,F1721/23,IF(G1721=3,F1721/12,IF(G1721=5,F1721-I1721,IF(G1721=8,F1721,0)))),0)</f>
        <v>0</v>
      </c>
      <c r="K1721" s="819">
        <f>ROUND(IF(G1721=1,F1721/23,IF(G1721=3,F1721/12,IF(G1721=6,F1721,IF(G1721=7,F1721-I1721,0)))),0)</f>
        <v>0</v>
      </c>
      <c r="L1721" s="820">
        <f>IF(G1721=6,F1721,0)</f>
        <v>0</v>
      </c>
      <c r="P1721" s="768" t="n"/>
      <c r="Q1721" s="769" t="str">
        <f>IF($F1721="","",IFERROR(VLOOKUP($C1721&amp;"|"&amp;$D1721,科目表!$A$5:$B$200,2,FALSE),"※未登録"))</f>
        <v/>
      </c>
      <c r="R1721" s="769" t="str">
        <f>IF($F1721="","",$I1721+$J1721+$K1721)</f>
        <v/>
      </c>
      <c r="S1721" s="769" t="str">
        <f>IF(OR($F1721="",$P1721="支払なし",$H1721=0,$Q1721=""),"",$Q1721&amp;"|S|"&amp;(COUNTIF(S$4:S1720,$Q1721&amp;"|S|*")+1))</f>
        <v/>
      </c>
      <c r="T1721" s="769" t="str">
        <f>IF(OR($F1721="",$P1721="支払なし",$R1721=0,$Q1721=""),"",$Q1721&amp;"|L|"&amp;(COUNTIF(T$4:T1720,$Q1721&amp;"|L|*")+1))</f>
        <v/>
      </c>
      <c r="U1721" s="769" t="str">
        <f>IF($F1721="","",13)</f>
        <v/>
      </c>
    </row>
    <row r="1722" ht="16.5" customHeight="1" s="186">
      <c r="A1722" s="760" t="n"/>
      <c r="B1722" s="760" t="n"/>
      <c r="C1722" s="762" t="n"/>
      <c r="D1722" s="762" t="n"/>
      <c r="E1722" s="775" t="n"/>
      <c r="F1722" s="821" t="n"/>
      <c r="G1722" s="821" t="n"/>
      <c r="H1722" s="818">
        <f>IF(G1722=1,F1722-I1722-J1722-K1722,IF(G1722=2,F1722,0))</f>
        <v>0</v>
      </c>
      <c r="I1722" s="818">
        <f>ROUND(IF(G1722=1,F1722*10/23,IF(G1722=3,F1722-J1722-K1722,IF(G1722=4,F1722,IF(G1722=5,F1722*10/11,IF(G1722=7,F1722*10/11,0))))),0)</f>
        <v>0</v>
      </c>
      <c r="J1722" s="818">
        <f>ROUND(IF(G1722=1,F1722/23,IF(G1722=3,F1722/12,IF(G1722=5,F1722-I1722,IF(G1722=8,F1722,0)))),0)</f>
        <v>0</v>
      </c>
      <c r="K1722" s="819">
        <f>ROUND(IF(G1722=1,F1722/23,IF(G1722=3,F1722/12,IF(G1722=6,F1722,IF(G1722=7,F1722-I1722,0)))),0)</f>
        <v>0</v>
      </c>
      <c r="L1722" s="820">
        <f>IF(G1722=6,F1722,0)</f>
        <v>0</v>
      </c>
      <c r="P1722" s="768" t="n"/>
      <c r="Q1722" s="769" t="str">
        <f>IF($F1722="","",IFERROR(VLOOKUP($C1722&amp;"|"&amp;$D1722,科目表!$A$5:$B$200,2,FALSE),"※未登録"))</f>
        <v/>
      </c>
      <c r="R1722" s="769" t="str">
        <f>IF($F1722="","",$I1722+$J1722+$K1722)</f>
        <v/>
      </c>
      <c r="S1722" s="769" t="str">
        <f>IF(OR($F1722="",$P1722="支払なし",$H1722=0,$Q1722=""),"",$Q1722&amp;"|S|"&amp;(COUNTIF(S$4:S1721,$Q1722&amp;"|S|*")+1))</f>
        <v/>
      </c>
      <c r="T1722" s="769" t="str">
        <f>IF(OR($F1722="",$P1722="支払なし",$R1722=0,$Q1722=""),"",$Q1722&amp;"|L|"&amp;(COUNTIF(T$4:T1721,$Q1722&amp;"|L|*")+1))</f>
        <v/>
      </c>
      <c r="U1722" s="769" t="str">
        <f>IF($F1722="","",13)</f>
        <v/>
      </c>
    </row>
    <row r="1723" ht="16.5" customHeight="1" s="186">
      <c r="A1723" s="760" t="n"/>
      <c r="B1723" s="760" t="n"/>
      <c r="C1723" s="762" t="n"/>
      <c r="D1723" s="762" t="n"/>
      <c r="E1723" s="775" t="n"/>
      <c r="F1723" s="821" t="n"/>
      <c r="G1723" s="821" t="n"/>
      <c r="H1723" s="818">
        <f>IF(G1723=1,F1723-I1723-J1723-K1723,IF(G1723=2,F1723,0))</f>
        <v>0</v>
      </c>
      <c r="I1723" s="818">
        <f>ROUND(IF(G1723=1,F1723*10/23,IF(G1723=3,F1723-J1723-K1723,IF(G1723=4,F1723,IF(G1723=5,F1723*10/11,IF(G1723=7,F1723*10/11,0))))),0)</f>
        <v>0</v>
      </c>
      <c r="J1723" s="818">
        <f>ROUND(IF(G1723=1,F1723/23,IF(G1723=3,F1723/12,IF(G1723=5,F1723-I1723,IF(G1723=8,F1723,0)))),0)</f>
        <v>0</v>
      </c>
      <c r="K1723" s="819">
        <f>ROUND(IF(G1723=1,F1723/23,IF(G1723=3,F1723/12,IF(G1723=6,F1723,IF(G1723=7,F1723-I1723,0)))),0)</f>
        <v>0</v>
      </c>
      <c r="L1723" s="820">
        <f>IF(G1723=6,F1723,0)</f>
        <v>0</v>
      </c>
      <c r="P1723" s="768" t="n"/>
      <c r="Q1723" s="769" t="str">
        <f>IF($F1723="","",IFERROR(VLOOKUP($C1723&amp;"|"&amp;$D1723,科目表!$A$5:$B$200,2,FALSE),"※未登録"))</f>
        <v/>
      </c>
      <c r="R1723" s="769" t="str">
        <f>IF($F1723="","",$I1723+$J1723+$K1723)</f>
        <v/>
      </c>
      <c r="S1723" s="769" t="str">
        <f>IF(OR($F1723="",$P1723="支払なし",$H1723=0,$Q1723=""),"",$Q1723&amp;"|S|"&amp;(COUNTIF(S$4:S1722,$Q1723&amp;"|S|*")+1))</f>
        <v/>
      </c>
      <c r="T1723" s="769" t="str">
        <f>IF(OR($F1723="",$P1723="支払なし",$R1723=0,$Q1723=""),"",$Q1723&amp;"|L|"&amp;(COUNTIF(T$4:T1722,$Q1723&amp;"|L|*")+1))</f>
        <v/>
      </c>
      <c r="U1723" s="769" t="str">
        <f>IF($F1723="","",13)</f>
        <v/>
      </c>
    </row>
    <row r="1724" ht="16.5" customHeight="1" s="186">
      <c r="A1724" s="760" t="n"/>
      <c r="B1724" s="760" t="n"/>
      <c r="C1724" s="762" t="n"/>
      <c r="D1724" s="762" t="n"/>
      <c r="E1724" s="775" t="n"/>
      <c r="F1724" s="821" t="n"/>
      <c r="G1724" s="821" t="n"/>
      <c r="H1724" s="818">
        <f>IF(G1724=1,F1724-I1724-J1724-K1724,IF(G1724=2,F1724,0))</f>
        <v>0</v>
      </c>
      <c r="I1724" s="818">
        <f>ROUND(IF(G1724=1,F1724*10/23,IF(G1724=3,F1724-J1724-K1724,IF(G1724=4,F1724,IF(G1724=5,F1724*10/11,IF(G1724=7,F1724*10/11,0))))),0)</f>
        <v>0</v>
      </c>
      <c r="J1724" s="818">
        <f>ROUND(IF(G1724=1,F1724/23,IF(G1724=3,F1724/12,IF(G1724=5,F1724-I1724,IF(G1724=8,F1724,0)))),0)</f>
        <v>0</v>
      </c>
      <c r="K1724" s="819">
        <f>ROUND(IF(G1724=1,F1724/23,IF(G1724=3,F1724/12,IF(G1724=6,F1724,IF(G1724=7,F1724-I1724,0)))),0)</f>
        <v>0</v>
      </c>
      <c r="L1724" s="820">
        <f>IF(G1724=6,F1724,0)</f>
        <v>0</v>
      </c>
      <c r="P1724" s="768" t="n"/>
      <c r="Q1724" s="769" t="str">
        <f>IF($F1724="","",IFERROR(VLOOKUP($C1724&amp;"|"&amp;$D1724,科目表!$A$5:$B$200,2,FALSE),"※未登録"))</f>
        <v/>
      </c>
      <c r="R1724" s="769" t="str">
        <f>IF($F1724="","",$I1724+$J1724+$K1724)</f>
        <v/>
      </c>
      <c r="S1724" s="769" t="str">
        <f>IF(OR($F1724="",$P1724="支払なし",$H1724=0,$Q1724=""),"",$Q1724&amp;"|S|"&amp;(COUNTIF(S$4:S1723,$Q1724&amp;"|S|*")+1))</f>
        <v/>
      </c>
      <c r="T1724" s="769" t="str">
        <f>IF(OR($F1724="",$P1724="支払なし",$R1724=0,$Q1724=""),"",$Q1724&amp;"|L|"&amp;(COUNTIF(T$4:T1723,$Q1724&amp;"|L|*")+1))</f>
        <v/>
      </c>
      <c r="U1724" s="769" t="str">
        <f>IF($F1724="","",13)</f>
        <v/>
      </c>
    </row>
    <row r="1725" ht="16.5" customHeight="1" s="186">
      <c r="A1725" s="760" t="n"/>
      <c r="B1725" s="760" t="n"/>
      <c r="C1725" s="762" t="n"/>
      <c r="D1725" s="762" t="n"/>
      <c r="E1725" s="775" t="n"/>
      <c r="F1725" s="821" t="n"/>
      <c r="G1725" s="821" t="n"/>
      <c r="H1725" s="818">
        <f>IF(G1725=1,F1725-I1725-J1725-K1725,IF(G1725=2,F1725,0))</f>
        <v>0</v>
      </c>
      <c r="I1725" s="818">
        <f>ROUND(IF(G1725=1,F1725*10/23,IF(G1725=3,F1725-J1725-K1725,IF(G1725=4,F1725,IF(G1725=5,F1725*10/11,IF(G1725=7,F1725*10/11,0))))),0)</f>
        <v>0</v>
      </c>
      <c r="J1725" s="818">
        <f>ROUND(IF(G1725=1,F1725/23,IF(G1725=3,F1725/12,IF(G1725=5,F1725-I1725,IF(G1725=8,F1725,0)))),0)</f>
        <v>0</v>
      </c>
      <c r="K1725" s="819">
        <f>ROUND(IF(G1725=1,F1725/23,IF(G1725=3,F1725/12,IF(G1725=6,F1725,IF(G1725=7,F1725-I1725,0)))),0)</f>
        <v>0</v>
      </c>
      <c r="L1725" s="820">
        <f>IF(G1725=6,F1725,0)</f>
        <v>0</v>
      </c>
      <c r="P1725" s="768" t="n"/>
      <c r="Q1725" s="769" t="str">
        <f>IF($F1725="","",IFERROR(VLOOKUP($C1725&amp;"|"&amp;$D1725,科目表!$A$5:$B$200,2,FALSE),"※未登録"))</f>
        <v/>
      </c>
      <c r="R1725" s="769" t="str">
        <f>IF($F1725="","",$I1725+$J1725+$K1725)</f>
        <v/>
      </c>
      <c r="S1725" s="769" t="str">
        <f>IF(OR($F1725="",$P1725="支払なし",$H1725=0,$Q1725=""),"",$Q1725&amp;"|S|"&amp;(COUNTIF(S$4:S1724,$Q1725&amp;"|S|*")+1))</f>
        <v/>
      </c>
      <c r="T1725" s="769" t="str">
        <f>IF(OR($F1725="",$P1725="支払なし",$R1725=0,$Q1725=""),"",$Q1725&amp;"|L|"&amp;(COUNTIF(T$4:T1724,$Q1725&amp;"|L|*")+1))</f>
        <v/>
      </c>
      <c r="U1725" s="769" t="str">
        <f>IF($F1725="","",13)</f>
        <v/>
      </c>
    </row>
    <row r="1726" ht="16.5" customHeight="1" s="186">
      <c r="A1726" s="760" t="n"/>
      <c r="B1726" s="760" t="n"/>
      <c r="C1726" s="762" t="n"/>
      <c r="D1726" s="762" t="n"/>
      <c r="E1726" s="775" t="n"/>
      <c r="F1726" s="821" t="n"/>
      <c r="G1726" s="821" t="n"/>
      <c r="H1726" s="818">
        <f>IF(G1726=1,F1726-I1726-J1726-K1726,IF(G1726=2,F1726,0))</f>
        <v>0</v>
      </c>
      <c r="I1726" s="818">
        <f>ROUND(IF(G1726=1,F1726*10/23,IF(G1726=3,F1726-J1726-K1726,IF(G1726=4,F1726,IF(G1726=5,F1726*10/11,IF(G1726=7,F1726*10/11,0))))),0)</f>
        <v>0</v>
      </c>
      <c r="J1726" s="818">
        <f>ROUND(IF(G1726=1,F1726/23,IF(G1726=3,F1726/12,IF(G1726=5,F1726-I1726,IF(G1726=8,F1726,0)))),0)</f>
        <v>0</v>
      </c>
      <c r="K1726" s="819">
        <f>ROUND(IF(G1726=1,F1726/23,IF(G1726=3,F1726/12,IF(G1726=6,F1726,IF(G1726=7,F1726-I1726,0)))),0)</f>
        <v>0</v>
      </c>
      <c r="L1726" s="820">
        <f>IF(G1726=6,F1726,0)</f>
        <v>0</v>
      </c>
      <c r="P1726" s="768" t="n"/>
      <c r="Q1726" s="769" t="str">
        <f>IF($F1726="","",IFERROR(VLOOKUP($C1726&amp;"|"&amp;$D1726,科目表!$A$5:$B$200,2,FALSE),"※未登録"))</f>
        <v/>
      </c>
      <c r="R1726" s="769" t="str">
        <f>IF($F1726="","",$I1726+$J1726+$K1726)</f>
        <v/>
      </c>
      <c r="S1726" s="769" t="str">
        <f>IF(OR($F1726="",$P1726="支払なし",$H1726=0,$Q1726=""),"",$Q1726&amp;"|S|"&amp;(COUNTIF(S$4:S1725,$Q1726&amp;"|S|*")+1))</f>
        <v/>
      </c>
      <c r="T1726" s="769" t="str">
        <f>IF(OR($F1726="",$P1726="支払なし",$R1726=0,$Q1726=""),"",$Q1726&amp;"|L|"&amp;(COUNTIF(T$4:T1725,$Q1726&amp;"|L|*")+1))</f>
        <v/>
      </c>
      <c r="U1726" s="769" t="str">
        <f>IF($F1726="","",13)</f>
        <v/>
      </c>
    </row>
    <row r="1727" ht="16.5" customHeight="1" s="186">
      <c r="A1727" s="760" t="n"/>
      <c r="B1727" s="760" t="n"/>
      <c r="C1727" s="762" t="n"/>
      <c r="D1727" s="762" t="n"/>
      <c r="E1727" s="775" t="n"/>
      <c r="F1727" s="821" t="n"/>
      <c r="G1727" s="821" t="n"/>
      <c r="H1727" s="818">
        <f>IF(G1727=1,F1727-I1727-J1727-K1727,IF(G1727=2,F1727,0))</f>
        <v>0</v>
      </c>
      <c r="I1727" s="818">
        <f>ROUND(IF(G1727=1,F1727*10/23,IF(G1727=3,F1727-J1727-K1727,IF(G1727=4,F1727,IF(G1727=5,F1727*10/11,IF(G1727=7,F1727*10/11,0))))),0)</f>
        <v>0</v>
      </c>
      <c r="J1727" s="818">
        <f>ROUND(IF(G1727=1,F1727/23,IF(G1727=3,F1727/12,IF(G1727=5,F1727-I1727,IF(G1727=8,F1727,0)))),0)</f>
        <v>0</v>
      </c>
      <c r="K1727" s="819">
        <f>ROUND(IF(G1727=1,F1727/23,IF(G1727=3,F1727/12,IF(G1727=6,F1727,IF(G1727=7,F1727-I1727,0)))),0)</f>
        <v>0</v>
      </c>
      <c r="L1727" s="820">
        <f>IF(G1727=6,F1727,0)</f>
        <v>0</v>
      </c>
      <c r="P1727" s="768" t="n"/>
      <c r="Q1727" s="769" t="str">
        <f>IF($F1727="","",IFERROR(VLOOKUP($C1727&amp;"|"&amp;$D1727,科目表!$A$5:$B$200,2,FALSE),"※未登録"))</f>
        <v/>
      </c>
      <c r="R1727" s="769" t="str">
        <f>IF($F1727="","",$I1727+$J1727+$K1727)</f>
        <v/>
      </c>
      <c r="S1727" s="769" t="str">
        <f>IF(OR($F1727="",$P1727="支払なし",$H1727=0,$Q1727=""),"",$Q1727&amp;"|S|"&amp;(COUNTIF(S$4:S1726,$Q1727&amp;"|S|*")+1))</f>
        <v/>
      </c>
      <c r="T1727" s="769" t="str">
        <f>IF(OR($F1727="",$P1727="支払なし",$R1727=0,$Q1727=""),"",$Q1727&amp;"|L|"&amp;(COUNTIF(T$4:T1726,$Q1727&amp;"|L|*")+1))</f>
        <v/>
      </c>
      <c r="U1727" s="769" t="str">
        <f>IF($F1727="","",13)</f>
        <v/>
      </c>
    </row>
    <row r="1728" ht="16.5" customHeight="1" s="186">
      <c r="A1728" s="760" t="n"/>
      <c r="B1728" s="760" t="n"/>
      <c r="C1728" s="762" t="n"/>
      <c r="D1728" s="762" t="n"/>
      <c r="E1728" s="775" t="n"/>
      <c r="F1728" s="821" t="n"/>
      <c r="G1728" s="821" t="n"/>
      <c r="H1728" s="818">
        <f>IF(G1728=1,F1728-I1728-J1728-K1728,IF(G1728=2,F1728,0))</f>
        <v>0</v>
      </c>
      <c r="I1728" s="818">
        <f>ROUND(IF(G1728=1,F1728*10/23,IF(G1728=3,F1728-J1728-K1728,IF(G1728=4,F1728,IF(G1728=5,F1728*10/11,IF(G1728=7,F1728*10/11,0))))),0)</f>
        <v>0</v>
      </c>
      <c r="J1728" s="818">
        <f>ROUND(IF(G1728=1,F1728/23,IF(G1728=3,F1728/12,IF(G1728=5,F1728-I1728,IF(G1728=8,F1728,0)))),0)</f>
        <v>0</v>
      </c>
      <c r="K1728" s="819">
        <f>ROUND(IF(G1728=1,F1728/23,IF(G1728=3,F1728/12,IF(G1728=6,F1728,IF(G1728=7,F1728-I1728,0)))),0)</f>
        <v>0</v>
      </c>
      <c r="L1728" s="820">
        <f>IF(G1728=6,F1728,0)</f>
        <v>0</v>
      </c>
      <c r="P1728" s="768" t="n"/>
      <c r="Q1728" s="769" t="str">
        <f>IF($F1728="","",IFERROR(VLOOKUP($C1728&amp;"|"&amp;$D1728,科目表!$A$5:$B$200,2,FALSE),"※未登録"))</f>
        <v/>
      </c>
      <c r="R1728" s="769" t="str">
        <f>IF($F1728="","",$I1728+$J1728+$K1728)</f>
        <v/>
      </c>
      <c r="S1728" s="769" t="str">
        <f>IF(OR($F1728="",$P1728="支払なし",$H1728=0,$Q1728=""),"",$Q1728&amp;"|S|"&amp;(COUNTIF(S$4:S1727,$Q1728&amp;"|S|*")+1))</f>
        <v/>
      </c>
      <c r="T1728" s="769" t="str">
        <f>IF(OR($F1728="",$P1728="支払なし",$R1728=0,$Q1728=""),"",$Q1728&amp;"|L|"&amp;(COUNTIF(T$4:T1727,$Q1728&amp;"|L|*")+1))</f>
        <v/>
      </c>
      <c r="U1728" s="769" t="str">
        <f>IF($F1728="","",13)</f>
        <v/>
      </c>
    </row>
    <row r="1729" ht="16.5" customHeight="1" s="186">
      <c r="A1729" s="760" t="n"/>
      <c r="B1729" s="760" t="n"/>
      <c r="C1729" s="762" t="n"/>
      <c r="D1729" s="762" t="n"/>
      <c r="E1729" s="775" t="n"/>
      <c r="F1729" s="821" t="n"/>
      <c r="G1729" s="821" t="n"/>
      <c r="H1729" s="818">
        <f>IF(G1729=1,F1729-I1729-J1729-K1729,IF(G1729=2,F1729,0))</f>
        <v>0</v>
      </c>
      <c r="I1729" s="818">
        <f>ROUND(IF(G1729=1,F1729*10/23,IF(G1729=3,F1729-J1729-K1729,IF(G1729=4,F1729,IF(G1729=5,F1729*10/11,IF(G1729=7,F1729*10/11,0))))),0)</f>
        <v>0</v>
      </c>
      <c r="J1729" s="818">
        <f>ROUND(IF(G1729=1,F1729/23,IF(G1729=3,F1729/12,IF(G1729=5,F1729-I1729,IF(G1729=8,F1729,0)))),0)</f>
        <v>0</v>
      </c>
      <c r="K1729" s="819">
        <f>ROUND(IF(G1729=1,F1729/23,IF(G1729=3,F1729/12,IF(G1729=6,F1729,IF(G1729=7,F1729-I1729,0)))),0)</f>
        <v>0</v>
      </c>
      <c r="L1729" s="820">
        <f>IF(G1729=6,F1729,0)</f>
        <v>0</v>
      </c>
      <c r="P1729" s="768" t="n"/>
      <c r="Q1729" s="769" t="str">
        <f>IF($F1729="","",IFERROR(VLOOKUP($C1729&amp;"|"&amp;$D1729,科目表!$A$5:$B$200,2,FALSE),"※未登録"))</f>
        <v/>
      </c>
      <c r="R1729" s="769" t="str">
        <f>IF($F1729="","",$I1729+$J1729+$K1729)</f>
        <v/>
      </c>
      <c r="S1729" s="769" t="str">
        <f>IF(OR($F1729="",$P1729="支払なし",$H1729=0,$Q1729=""),"",$Q1729&amp;"|S|"&amp;(COUNTIF(S$4:S1728,$Q1729&amp;"|S|*")+1))</f>
        <v/>
      </c>
      <c r="T1729" s="769" t="str">
        <f>IF(OR($F1729="",$P1729="支払なし",$R1729=0,$Q1729=""),"",$Q1729&amp;"|L|"&amp;(COUNTIF(T$4:T1728,$Q1729&amp;"|L|*")+1))</f>
        <v/>
      </c>
      <c r="U1729" s="769" t="str">
        <f>IF($F1729="","",13)</f>
        <v/>
      </c>
    </row>
    <row r="1730" ht="16.5" customHeight="1" s="186">
      <c r="A1730" s="760" t="n"/>
      <c r="B1730" s="760" t="n"/>
      <c r="C1730" s="762" t="n"/>
      <c r="D1730" s="762" t="n"/>
      <c r="E1730" s="775" t="n"/>
      <c r="F1730" s="821" t="n"/>
      <c r="G1730" s="821" t="n"/>
      <c r="H1730" s="818">
        <f>IF(G1730=1,F1730-I1730-J1730-K1730,IF(G1730=2,F1730,0))</f>
        <v>0</v>
      </c>
      <c r="I1730" s="818">
        <f>ROUND(IF(G1730=1,F1730*10/23,IF(G1730=3,F1730-J1730-K1730,IF(G1730=4,F1730,IF(G1730=5,F1730*10/11,IF(G1730=7,F1730*10/11,0))))),0)</f>
        <v>0</v>
      </c>
      <c r="J1730" s="818">
        <f>ROUND(IF(G1730=1,F1730/23,IF(G1730=3,F1730/12,IF(G1730=5,F1730-I1730,IF(G1730=8,F1730,0)))),0)</f>
        <v>0</v>
      </c>
      <c r="K1730" s="819">
        <f>ROUND(IF(G1730=1,F1730/23,IF(G1730=3,F1730/12,IF(G1730=6,F1730,IF(G1730=7,F1730-I1730,0)))),0)</f>
        <v>0</v>
      </c>
      <c r="L1730" s="820">
        <f>IF(G1730=6,F1730,0)</f>
        <v>0</v>
      </c>
      <c r="P1730" s="768" t="n"/>
      <c r="Q1730" s="769" t="str">
        <f>IF($F1730="","",IFERROR(VLOOKUP($C1730&amp;"|"&amp;$D1730,科目表!$A$5:$B$200,2,FALSE),"※未登録"))</f>
        <v/>
      </c>
      <c r="R1730" s="769" t="str">
        <f>IF($F1730="","",$I1730+$J1730+$K1730)</f>
        <v/>
      </c>
      <c r="S1730" s="769" t="str">
        <f>IF(OR($F1730="",$P1730="支払なし",$H1730=0,$Q1730=""),"",$Q1730&amp;"|S|"&amp;(COUNTIF(S$4:S1729,$Q1730&amp;"|S|*")+1))</f>
        <v/>
      </c>
      <c r="T1730" s="769" t="str">
        <f>IF(OR($F1730="",$P1730="支払なし",$R1730=0,$Q1730=""),"",$Q1730&amp;"|L|"&amp;(COUNTIF(T$4:T1729,$Q1730&amp;"|L|*")+1))</f>
        <v/>
      </c>
      <c r="U1730" s="769" t="str">
        <f>IF($F1730="","",13)</f>
        <v/>
      </c>
    </row>
    <row r="1731" ht="16.5" customHeight="1" s="186">
      <c r="A1731" s="760" t="n"/>
      <c r="B1731" s="760" t="n"/>
      <c r="C1731" s="762" t="n"/>
      <c r="D1731" s="762" t="n"/>
      <c r="E1731" s="775" t="n"/>
      <c r="F1731" s="821" t="n"/>
      <c r="G1731" s="821" t="n"/>
      <c r="H1731" s="818">
        <f>IF(G1731=1,F1731-I1731-J1731-K1731,IF(G1731=2,F1731,0))</f>
        <v>0</v>
      </c>
      <c r="I1731" s="818">
        <f>ROUND(IF(G1731=1,F1731*10/23,IF(G1731=3,F1731-J1731-K1731,IF(G1731=4,F1731,IF(G1731=5,F1731*10/11,IF(G1731=7,F1731*10/11,0))))),0)</f>
        <v>0</v>
      </c>
      <c r="J1731" s="818">
        <f>ROUND(IF(G1731=1,F1731/23,IF(G1731=3,F1731/12,IF(G1731=5,F1731-I1731,IF(G1731=8,F1731,0)))),0)</f>
        <v>0</v>
      </c>
      <c r="K1731" s="819">
        <f>ROUND(IF(G1731=1,F1731/23,IF(G1731=3,F1731/12,IF(G1731=6,F1731,IF(G1731=7,F1731-I1731,0)))),0)</f>
        <v>0</v>
      </c>
      <c r="L1731" s="820">
        <f>IF(G1731=6,F1731,0)</f>
        <v>0</v>
      </c>
      <c r="P1731" s="768" t="n"/>
      <c r="Q1731" s="769" t="str">
        <f>IF($F1731="","",IFERROR(VLOOKUP($C1731&amp;"|"&amp;$D1731,科目表!$A$5:$B$200,2,FALSE),"※未登録"))</f>
        <v/>
      </c>
      <c r="R1731" s="769" t="str">
        <f>IF($F1731="","",$I1731+$J1731+$K1731)</f>
        <v/>
      </c>
      <c r="S1731" s="769" t="str">
        <f>IF(OR($F1731="",$P1731="支払なし",$H1731=0,$Q1731=""),"",$Q1731&amp;"|S|"&amp;(COUNTIF(S$4:S1730,$Q1731&amp;"|S|*")+1))</f>
        <v/>
      </c>
      <c r="T1731" s="769" t="str">
        <f>IF(OR($F1731="",$P1731="支払なし",$R1731=0,$Q1731=""),"",$Q1731&amp;"|L|"&amp;(COUNTIF(T$4:T1730,$Q1731&amp;"|L|*")+1))</f>
        <v/>
      </c>
      <c r="U1731" s="769" t="str">
        <f>IF($F1731="","",13)</f>
        <v/>
      </c>
    </row>
    <row r="1732" ht="16.5" customHeight="1" s="186">
      <c r="A1732" s="760" t="n"/>
      <c r="B1732" s="760" t="n"/>
      <c r="C1732" s="762" t="n"/>
      <c r="D1732" s="762" t="n"/>
      <c r="E1732" s="775" t="n"/>
      <c r="F1732" s="821" t="n"/>
      <c r="G1732" s="821" t="n"/>
      <c r="H1732" s="818">
        <f>IF(G1732=1,F1732-I1732-J1732-K1732,IF(G1732=2,F1732,0))</f>
        <v>0</v>
      </c>
      <c r="I1732" s="818">
        <f>ROUND(IF(G1732=1,F1732*10/23,IF(G1732=3,F1732-J1732-K1732,IF(G1732=4,F1732,IF(G1732=5,F1732*10/11,IF(G1732=7,F1732*10/11,0))))),0)</f>
        <v>0</v>
      </c>
      <c r="J1732" s="818">
        <f>ROUND(IF(G1732=1,F1732/23,IF(G1732=3,F1732/12,IF(G1732=5,F1732-I1732,IF(G1732=8,F1732,0)))),0)</f>
        <v>0</v>
      </c>
      <c r="K1732" s="819">
        <f>ROUND(IF(G1732=1,F1732/23,IF(G1732=3,F1732/12,IF(G1732=6,F1732,IF(G1732=7,F1732-I1732,0)))),0)</f>
        <v>0</v>
      </c>
      <c r="L1732" s="820">
        <f>IF(G1732=6,F1732,0)</f>
        <v>0</v>
      </c>
      <c r="P1732" s="768" t="n"/>
      <c r="Q1732" s="769" t="str">
        <f>IF($F1732="","",IFERROR(VLOOKUP($C1732&amp;"|"&amp;$D1732,科目表!$A$5:$B$200,2,FALSE),"※未登録"))</f>
        <v/>
      </c>
      <c r="R1732" s="769" t="str">
        <f>IF($F1732="","",$I1732+$J1732+$K1732)</f>
        <v/>
      </c>
      <c r="S1732" s="769" t="str">
        <f>IF(OR($F1732="",$P1732="支払なし",$H1732=0,$Q1732=""),"",$Q1732&amp;"|S|"&amp;(COUNTIF(S$4:S1731,$Q1732&amp;"|S|*")+1))</f>
        <v/>
      </c>
      <c r="T1732" s="769" t="str">
        <f>IF(OR($F1732="",$P1732="支払なし",$R1732=0,$Q1732=""),"",$Q1732&amp;"|L|"&amp;(COUNTIF(T$4:T1731,$Q1732&amp;"|L|*")+1))</f>
        <v/>
      </c>
      <c r="U1732" s="769" t="str">
        <f>IF($F1732="","",13)</f>
        <v/>
      </c>
    </row>
    <row r="1733" ht="16.5" customHeight="1" s="186">
      <c r="A1733" s="760" t="n"/>
      <c r="B1733" s="760" t="n"/>
      <c r="C1733" s="762" t="n"/>
      <c r="D1733" s="762" t="n"/>
      <c r="E1733" s="775" t="n"/>
      <c r="F1733" s="821" t="n"/>
      <c r="G1733" s="821" t="n"/>
      <c r="H1733" s="818">
        <f>IF(G1733=1,F1733-I1733-J1733-K1733,IF(G1733=2,F1733,0))</f>
        <v>0</v>
      </c>
      <c r="I1733" s="818">
        <f>ROUND(IF(G1733=1,F1733*10/23,IF(G1733=3,F1733-J1733-K1733,IF(G1733=4,F1733,IF(G1733=5,F1733*10/11,IF(G1733=7,F1733*10/11,0))))),0)</f>
        <v>0</v>
      </c>
      <c r="J1733" s="818">
        <f>ROUND(IF(G1733=1,F1733/23,IF(G1733=3,F1733/12,IF(G1733=5,F1733-I1733,IF(G1733=8,F1733,0)))),0)</f>
        <v>0</v>
      </c>
      <c r="K1733" s="819">
        <f>ROUND(IF(G1733=1,F1733/23,IF(G1733=3,F1733/12,IF(G1733=6,F1733,IF(G1733=7,F1733-I1733,0)))),0)</f>
        <v>0</v>
      </c>
      <c r="L1733" s="820">
        <f>IF(G1733=6,F1733,0)</f>
        <v>0</v>
      </c>
      <c r="P1733" s="768" t="n"/>
      <c r="Q1733" s="769" t="str">
        <f>IF($F1733="","",IFERROR(VLOOKUP($C1733&amp;"|"&amp;$D1733,科目表!$A$5:$B$200,2,FALSE),"※未登録"))</f>
        <v/>
      </c>
      <c r="R1733" s="769" t="str">
        <f>IF($F1733="","",$I1733+$J1733+$K1733)</f>
        <v/>
      </c>
      <c r="S1733" s="769" t="str">
        <f>IF(OR($F1733="",$P1733="支払なし",$H1733=0,$Q1733=""),"",$Q1733&amp;"|S|"&amp;(COUNTIF(S$4:S1732,$Q1733&amp;"|S|*")+1))</f>
        <v/>
      </c>
      <c r="T1733" s="769" t="str">
        <f>IF(OR($F1733="",$P1733="支払なし",$R1733=0,$Q1733=""),"",$Q1733&amp;"|L|"&amp;(COUNTIF(T$4:T1732,$Q1733&amp;"|L|*")+1))</f>
        <v/>
      </c>
      <c r="U1733" s="769" t="str">
        <f>IF($F1733="","",13)</f>
        <v/>
      </c>
    </row>
    <row r="1734" ht="16.5" customHeight="1" s="186">
      <c r="A1734" s="760" t="n"/>
      <c r="B1734" s="760" t="n"/>
      <c r="C1734" s="762" t="n"/>
      <c r="D1734" s="762" t="n"/>
      <c r="E1734" s="775" t="n"/>
      <c r="F1734" s="821" t="n"/>
      <c r="G1734" s="821" t="n"/>
      <c r="H1734" s="818">
        <f>IF(G1734=1,F1734-I1734-J1734-K1734,IF(G1734=2,F1734,0))</f>
        <v>0</v>
      </c>
      <c r="I1734" s="818">
        <f>ROUND(IF(G1734=1,F1734*10/23,IF(G1734=3,F1734-J1734-K1734,IF(G1734=4,F1734,IF(G1734=5,F1734*10/11,IF(G1734=7,F1734*10/11,0))))),0)</f>
        <v>0</v>
      </c>
      <c r="J1734" s="818">
        <f>ROUND(IF(G1734=1,F1734/23,IF(G1734=3,F1734/12,IF(G1734=5,F1734-I1734,IF(G1734=8,F1734,0)))),0)</f>
        <v>0</v>
      </c>
      <c r="K1734" s="819">
        <f>ROUND(IF(G1734=1,F1734/23,IF(G1734=3,F1734/12,IF(G1734=6,F1734,IF(G1734=7,F1734-I1734,0)))),0)</f>
        <v>0</v>
      </c>
      <c r="L1734" s="820">
        <f>IF(G1734=6,F1734,0)</f>
        <v>0</v>
      </c>
      <c r="P1734" s="768" t="n"/>
      <c r="Q1734" s="769" t="str">
        <f>IF($F1734="","",IFERROR(VLOOKUP($C1734&amp;"|"&amp;$D1734,科目表!$A$5:$B$200,2,FALSE),"※未登録"))</f>
        <v/>
      </c>
      <c r="R1734" s="769" t="str">
        <f>IF($F1734="","",$I1734+$J1734+$K1734)</f>
        <v/>
      </c>
      <c r="S1734" s="769" t="str">
        <f>IF(OR($F1734="",$P1734="支払なし",$H1734=0,$Q1734=""),"",$Q1734&amp;"|S|"&amp;(COUNTIF(S$4:S1733,$Q1734&amp;"|S|*")+1))</f>
        <v/>
      </c>
      <c r="T1734" s="769" t="str">
        <f>IF(OR($F1734="",$P1734="支払なし",$R1734=0,$Q1734=""),"",$Q1734&amp;"|L|"&amp;(COUNTIF(T$4:T1733,$Q1734&amp;"|L|*")+1))</f>
        <v/>
      </c>
      <c r="U1734" s="769" t="str">
        <f>IF($F1734="","",13)</f>
        <v/>
      </c>
    </row>
    <row r="1735" ht="16.5" customHeight="1" s="186">
      <c r="A1735" s="760" t="n"/>
      <c r="B1735" s="760" t="n"/>
      <c r="C1735" s="762" t="n"/>
      <c r="D1735" s="762" t="n"/>
      <c r="E1735" s="775" t="n"/>
      <c r="F1735" s="821" t="n"/>
      <c r="G1735" s="821" t="n"/>
      <c r="H1735" s="818">
        <f>IF(G1735=1,F1735-I1735-J1735-K1735,IF(G1735=2,F1735,0))</f>
        <v>0</v>
      </c>
      <c r="I1735" s="818">
        <f>ROUND(IF(G1735=1,F1735*10/23,IF(G1735=3,F1735-J1735-K1735,IF(G1735=4,F1735,IF(G1735=5,F1735*10/11,IF(G1735=7,F1735*10/11,0))))),0)</f>
        <v>0</v>
      </c>
      <c r="J1735" s="818">
        <f>ROUND(IF(G1735=1,F1735/23,IF(G1735=3,F1735/12,IF(G1735=5,F1735-I1735,IF(G1735=8,F1735,0)))),0)</f>
        <v>0</v>
      </c>
      <c r="K1735" s="819">
        <f>ROUND(IF(G1735=1,F1735/23,IF(G1735=3,F1735/12,IF(G1735=6,F1735,IF(G1735=7,F1735-I1735,0)))),0)</f>
        <v>0</v>
      </c>
      <c r="L1735" s="820">
        <f>IF(G1735=6,F1735,0)</f>
        <v>0</v>
      </c>
      <c r="P1735" s="768" t="n"/>
      <c r="Q1735" s="769" t="str">
        <f>IF($F1735="","",IFERROR(VLOOKUP($C1735&amp;"|"&amp;$D1735,科目表!$A$5:$B$200,2,FALSE),"※未登録"))</f>
        <v/>
      </c>
      <c r="R1735" s="769" t="str">
        <f>IF($F1735="","",$I1735+$J1735+$K1735)</f>
        <v/>
      </c>
      <c r="S1735" s="769" t="str">
        <f>IF(OR($F1735="",$P1735="支払なし",$H1735=0,$Q1735=""),"",$Q1735&amp;"|S|"&amp;(COUNTIF(S$4:S1734,$Q1735&amp;"|S|*")+1))</f>
        <v/>
      </c>
      <c r="T1735" s="769" t="str">
        <f>IF(OR($F1735="",$P1735="支払なし",$R1735=0,$Q1735=""),"",$Q1735&amp;"|L|"&amp;(COUNTIF(T$4:T1734,$Q1735&amp;"|L|*")+1))</f>
        <v/>
      </c>
      <c r="U1735" s="769" t="str">
        <f>IF($F1735="","",13)</f>
        <v/>
      </c>
    </row>
    <row r="1736" ht="16.5" customHeight="1" s="186">
      <c r="A1736" s="760" t="n"/>
      <c r="B1736" s="760" t="n"/>
      <c r="C1736" s="762" t="n"/>
      <c r="D1736" s="762" t="n"/>
      <c r="E1736" s="775" t="n"/>
      <c r="F1736" s="821" t="n"/>
      <c r="G1736" s="821" t="n"/>
      <c r="H1736" s="818">
        <f>IF(G1736=1,F1736-I1736-J1736-K1736,IF(G1736=2,F1736,0))</f>
        <v>0</v>
      </c>
      <c r="I1736" s="818">
        <f>ROUND(IF(G1736=1,F1736*10/23,IF(G1736=3,F1736-J1736-K1736,IF(G1736=4,F1736,IF(G1736=5,F1736*10/11,IF(G1736=7,F1736*10/11,0))))),0)</f>
        <v>0</v>
      </c>
      <c r="J1736" s="818">
        <f>ROUND(IF(G1736=1,F1736/23,IF(G1736=3,F1736/12,IF(G1736=5,F1736-I1736,IF(G1736=8,F1736,0)))),0)</f>
        <v>0</v>
      </c>
      <c r="K1736" s="819">
        <f>ROUND(IF(G1736=1,F1736/23,IF(G1736=3,F1736/12,IF(G1736=6,F1736,IF(G1736=7,F1736-I1736,0)))),0)</f>
        <v>0</v>
      </c>
      <c r="L1736" s="820">
        <f>IF(G1736=6,F1736,0)</f>
        <v>0</v>
      </c>
      <c r="P1736" s="768" t="n"/>
      <c r="Q1736" s="769" t="str">
        <f>IF($F1736="","",IFERROR(VLOOKUP($C1736&amp;"|"&amp;$D1736,科目表!$A$5:$B$200,2,FALSE),"※未登録"))</f>
        <v/>
      </c>
      <c r="R1736" s="769" t="str">
        <f>IF($F1736="","",$I1736+$J1736+$K1736)</f>
        <v/>
      </c>
      <c r="S1736" s="769" t="str">
        <f>IF(OR($F1736="",$P1736="支払なし",$H1736=0,$Q1736=""),"",$Q1736&amp;"|S|"&amp;(COUNTIF(S$4:S1735,$Q1736&amp;"|S|*")+1))</f>
        <v/>
      </c>
      <c r="T1736" s="769" t="str">
        <f>IF(OR($F1736="",$P1736="支払なし",$R1736=0,$Q1736=""),"",$Q1736&amp;"|L|"&amp;(COUNTIF(T$4:T1735,$Q1736&amp;"|L|*")+1))</f>
        <v/>
      </c>
      <c r="U1736" s="769" t="str">
        <f>IF($F1736="","",13)</f>
        <v/>
      </c>
    </row>
    <row r="1737" ht="16.5" customHeight="1" s="186">
      <c r="A1737" s="760" t="n"/>
      <c r="B1737" s="760" t="n"/>
      <c r="C1737" s="762" t="n"/>
      <c r="D1737" s="762" t="n"/>
      <c r="E1737" s="775" t="n"/>
      <c r="F1737" s="821" t="n"/>
      <c r="G1737" s="821" t="n"/>
      <c r="H1737" s="818">
        <f>IF(G1737=1,F1737-I1737-J1737-K1737,IF(G1737=2,F1737,0))</f>
        <v>0</v>
      </c>
      <c r="I1737" s="818">
        <f>ROUND(IF(G1737=1,F1737*10/23,IF(G1737=3,F1737-J1737-K1737,IF(G1737=4,F1737,IF(G1737=5,F1737*10/11,IF(G1737=7,F1737*10/11,0))))),0)</f>
        <v>0</v>
      </c>
      <c r="J1737" s="818">
        <f>ROUND(IF(G1737=1,F1737/23,IF(G1737=3,F1737/12,IF(G1737=5,F1737-I1737,IF(G1737=8,F1737,0)))),0)</f>
        <v>0</v>
      </c>
      <c r="K1737" s="819">
        <f>ROUND(IF(G1737=1,F1737/23,IF(G1737=3,F1737/12,IF(G1737=6,F1737,IF(G1737=7,F1737-I1737,0)))),0)</f>
        <v>0</v>
      </c>
      <c r="L1737" s="820">
        <f>IF(G1737=6,F1737,0)</f>
        <v>0</v>
      </c>
      <c r="P1737" s="768" t="n"/>
      <c r="Q1737" s="769" t="str">
        <f>IF($F1737="","",IFERROR(VLOOKUP($C1737&amp;"|"&amp;$D1737,科目表!$A$5:$B$200,2,FALSE),"※未登録"))</f>
        <v/>
      </c>
      <c r="R1737" s="769" t="str">
        <f>IF($F1737="","",$I1737+$J1737+$K1737)</f>
        <v/>
      </c>
      <c r="S1737" s="769" t="str">
        <f>IF(OR($F1737="",$P1737="支払なし",$H1737=0,$Q1737=""),"",$Q1737&amp;"|S|"&amp;(COUNTIF(S$4:S1736,$Q1737&amp;"|S|*")+1))</f>
        <v/>
      </c>
      <c r="T1737" s="769" t="str">
        <f>IF(OR($F1737="",$P1737="支払なし",$R1737=0,$Q1737=""),"",$Q1737&amp;"|L|"&amp;(COUNTIF(T$4:T1736,$Q1737&amp;"|L|*")+1))</f>
        <v/>
      </c>
      <c r="U1737" s="769" t="str">
        <f>IF($F1737="","",13)</f>
        <v/>
      </c>
    </row>
    <row r="1738" ht="16.5" customHeight="1" s="186">
      <c r="A1738" s="760" t="n"/>
      <c r="B1738" s="760" t="n"/>
      <c r="C1738" s="762" t="n"/>
      <c r="D1738" s="762" t="n"/>
      <c r="E1738" s="775" t="n"/>
      <c r="F1738" s="821" t="n"/>
      <c r="G1738" s="821" t="n"/>
      <c r="H1738" s="818">
        <f>IF(G1738=1,F1738-I1738-J1738-K1738,IF(G1738=2,F1738,0))</f>
        <v>0</v>
      </c>
      <c r="I1738" s="818">
        <f>ROUND(IF(G1738=1,F1738*10/23,IF(G1738=3,F1738-J1738-K1738,IF(G1738=4,F1738,IF(G1738=5,F1738*10/11,IF(G1738=7,F1738*10/11,0))))),0)</f>
        <v>0</v>
      </c>
      <c r="J1738" s="818">
        <f>ROUND(IF(G1738=1,F1738/23,IF(G1738=3,F1738/12,IF(G1738=5,F1738-I1738,IF(G1738=8,F1738,0)))),0)</f>
        <v>0</v>
      </c>
      <c r="K1738" s="819">
        <f>ROUND(IF(G1738=1,F1738/23,IF(G1738=3,F1738/12,IF(G1738=6,F1738,IF(G1738=7,F1738-I1738,0)))),0)</f>
        <v>0</v>
      </c>
      <c r="L1738" s="820">
        <f>IF(G1738=6,F1738,0)</f>
        <v>0</v>
      </c>
      <c r="P1738" s="768" t="n"/>
      <c r="Q1738" s="769" t="str">
        <f>IF($F1738="","",IFERROR(VLOOKUP($C1738&amp;"|"&amp;$D1738,科目表!$A$5:$B$200,2,FALSE),"※未登録"))</f>
        <v/>
      </c>
      <c r="R1738" s="769" t="str">
        <f>IF($F1738="","",$I1738+$J1738+$K1738)</f>
        <v/>
      </c>
      <c r="S1738" s="769" t="str">
        <f>IF(OR($F1738="",$P1738="支払なし",$H1738=0,$Q1738=""),"",$Q1738&amp;"|S|"&amp;(COUNTIF(S$4:S1737,$Q1738&amp;"|S|*")+1))</f>
        <v/>
      </c>
      <c r="T1738" s="769" t="str">
        <f>IF(OR($F1738="",$P1738="支払なし",$R1738=0,$Q1738=""),"",$Q1738&amp;"|L|"&amp;(COUNTIF(T$4:T1737,$Q1738&amp;"|L|*")+1))</f>
        <v/>
      </c>
      <c r="U1738" s="769" t="str">
        <f>IF($F1738="","",13)</f>
        <v/>
      </c>
    </row>
    <row r="1739" ht="16.5" customHeight="1" s="186">
      <c r="A1739" s="760" t="n"/>
      <c r="B1739" s="760" t="n"/>
      <c r="C1739" s="762" t="n"/>
      <c r="D1739" s="762" t="n"/>
      <c r="E1739" s="775" t="n"/>
      <c r="F1739" s="821" t="n"/>
      <c r="G1739" s="821" t="n"/>
      <c r="H1739" s="818">
        <f>IF(G1739=1,F1739-I1739-J1739-K1739,IF(G1739=2,F1739,0))</f>
        <v>0</v>
      </c>
      <c r="I1739" s="818">
        <f>ROUND(IF(G1739=1,F1739*10/23,IF(G1739=3,F1739-J1739-K1739,IF(G1739=4,F1739,IF(G1739=5,F1739*10/11,IF(G1739=7,F1739*10/11,0))))),0)</f>
        <v>0</v>
      </c>
      <c r="J1739" s="818">
        <f>ROUND(IF(G1739=1,F1739/23,IF(G1739=3,F1739/12,IF(G1739=5,F1739-I1739,IF(G1739=8,F1739,0)))),0)</f>
        <v>0</v>
      </c>
      <c r="K1739" s="819">
        <f>ROUND(IF(G1739=1,F1739/23,IF(G1739=3,F1739/12,IF(G1739=6,F1739,IF(G1739=7,F1739-I1739,0)))),0)</f>
        <v>0</v>
      </c>
      <c r="L1739" s="820">
        <f>IF(G1739=6,F1739,0)</f>
        <v>0</v>
      </c>
      <c r="P1739" s="768" t="n"/>
      <c r="Q1739" s="769" t="str">
        <f>IF($F1739="","",IFERROR(VLOOKUP($C1739&amp;"|"&amp;$D1739,科目表!$A$5:$B$200,2,FALSE),"※未登録"))</f>
        <v/>
      </c>
      <c r="R1739" s="769" t="str">
        <f>IF($F1739="","",$I1739+$J1739+$K1739)</f>
        <v/>
      </c>
      <c r="S1739" s="769" t="str">
        <f>IF(OR($F1739="",$P1739="支払なし",$H1739=0,$Q1739=""),"",$Q1739&amp;"|S|"&amp;(COUNTIF(S$4:S1738,$Q1739&amp;"|S|*")+1))</f>
        <v/>
      </c>
      <c r="T1739" s="769" t="str">
        <f>IF(OR($F1739="",$P1739="支払なし",$R1739=0,$Q1739=""),"",$Q1739&amp;"|L|"&amp;(COUNTIF(T$4:T1738,$Q1739&amp;"|L|*")+1))</f>
        <v/>
      </c>
      <c r="U1739" s="769" t="str">
        <f>IF($F1739="","",13)</f>
        <v/>
      </c>
    </row>
    <row r="1740" ht="16.5" customHeight="1" s="186">
      <c r="A1740" s="760" t="n"/>
      <c r="B1740" s="760" t="n"/>
      <c r="C1740" s="762" t="n"/>
      <c r="D1740" s="762" t="n"/>
      <c r="E1740" s="775" t="n"/>
      <c r="F1740" s="821" t="n"/>
      <c r="G1740" s="821" t="n"/>
      <c r="H1740" s="818">
        <f>IF(G1740=1,F1740-I1740-J1740-K1740,IF(G1740=2,F1740,0))</f>
        <v>0</v>
      </c>
      <c r="I1740" s="818">
        <f>ROUND(IF(G1740=1,F1740*10/23,IF(G1740=3,F1740-J1740-K1740,IF(G1740=4,F1740,IF(G1740=5,F1740*10/11,IF(G1740=7,F1740*10/11,0))))),0)</f>
        <v>0</v>
      </c>
      <c r="J1740" s="818">
        <f>ROUND(IF(G1740=1,F1740/23,IF(G1740=3,F1740/12,IF(G1740=5,F1740-I1740,IF(G1740=8,F1740,0)))),0)</f>
        <v>0</v>
      </c>
      <c r="K1740" s="819">
        <f>ROUND(IF(G1740=1,F1740/23,IF(G1740=3,F1740/12,IF(G1740=6,F1740,IF(G1740=7,F1740-I1740,0)))),0)</f>
        <v>0</v>
      </c>
      <c r="L1740" s="820">
        <f>IF(G1740=6,F1740,0)</f>
        <v>0</v>
      </c>
      <c r="P1740" s="768" t="n"/>
      <c r="Q1740" s="769" t="str">
        <f>IF($F1740="","",IFERROR(VLOOKUP($C1740&amp;"|"&amp;$D1740,科目表!$A$5:$B$200,2,FALSE),"※未登録"))</f>
        <v/>
      </c>
      <c r="R1740" s="769" t="str">
        <f>IF($F1740="","",$I1740+$J1740+$K1740)</f>
        <v/>
      </c>
      <c r="S1740" s="769" t="str">
        <f>IF(OR($F1740="",$P1740="支払なし",$H1740=0,$Q1740=""),"",$Q1740&amp;"|S|"&amp;(COUNTIF(S$4:S1739,$Q1740&amp;"|S|*")+1))</f>
        <v/>
      </c>
      <c r="T1740" s="769" t="str">
        <f>IF(OR($F1740="",$P1740="支払なし",$R1740=0,$Q1740=""),"",$Q1740&amp;"|L|"&amp;(COUNTIF(T$4:T1739,$Q1740&amp;"|L|*")+1))</f>
        <v/>
      </c>
      <c r="U1740" s="769" t="str">
        <f>IF($F1740="","",13)</f>
        <v/>
      </c>
    </row>
    <row r="1741" ht="16.5" customHeight="1" s="186">
      <c r="A1741" s="760" t="n"/>
      <c r="B1741" s="760" t="n"/>
      <c r="C1741" s="762" t="n"/>
      <c r="D1741" s="762" t="n"/>
      <c r="E1741" s="775" t="n"/>
      <c r="F1741" s="821" t="n"/>
      <c r="G1741" s="821" t="n"/>
      <c r="H1741" s="818">
        <f>IF(G1741=1,F1741-I1741-J1741-K1741,IF(G1741=2,F1741,0))</f>
        <v>0</v>
      </c>
      <c r="I1741" s="818">
        <f>ROUND(IF(G1741=1,F1741*10/23,IF(G1741=3,F1741-J1741-K1741,IF(G1741=4,F1741,IF(G1741=5,F1741*10/11,IF(G1741=7,F1741*10/11,0))))),0)</f>
        <v>0</v>
      </c>
      <c r="J1741" s="818">
        <f>ROUND(IF(G1741=1,F1741/23,IF(G1741=3,F1741/12,IF(G1741=5,F1741-I1741,IF(G1741=8,F1741,0)))),0)</f>
        <v>0</v>
      </c>
      <c r="K1741" s="819">
        <f>ROUND(IF(G1741=1,F1741/23,IF(G1741=3,F1741/12,IF(G1741=6,F1741,IF(G1741=7,F1741-I1741,0)))),0)</f>
        <v>0</v>
      </c>
      <c r="L1741" s="820">
        <f>IF(G1741=6,F1741,0)</f>
        <v>0</v>
      </c>
      <c r="P1741" s="768" t="n"/>
      <c r="Q1741" s="769" t="str">
        <f>IF($F1741="","",IFERROR(VLOOKUP($C1741&amp;"|"&amp;$D1741,科目表!$A$5:$B$200,2,FALSE),"※未登録"))</f>
        <v/>
      </c>
      <c r="R1741" s="769" t="str">
        <f>IF($F1741="","",$I1741+$J1741+$K1741)</f>
        <v/>
      </c>
      <c r="S1741" s="769" t="str">
        <f>IF(OR($F1741="",$P1741="支払なし",$H1741=0,$Q1741=""),"",$Q1741&amp;"|S|"&amp;(COUNTIF(S$4:S1740,$Q1741&amp;"|S|*")+1))</f>
        <v/>
      </c>
      <c r="T1741" s="769" t="str">
        <f>IF(OR($F1741="",$P1741="支払なし",$R1741=0,$Q1741=""),"",$Q1741&amp;"|L|"&amp;(COUNTIF(T$4:T1740,$Q1741&amp;"|L|*")+1))</f>
        <v/>
      </c>
      <c r="U1741" s="769" t="str">
        <f>IF($F1741="","",13)</f>
        <v/>
      </c>
    </row>
    <row r="1742" ht="16.5" customHeight="1" s="186">
      <c r="A1742" s="760" t="n"/>
      <c r="B1742" s="760" t="n"/>
      <c r="C1742" s="762" t="n"/>
      <c r="D1742" s="762" t="n"/>
      <c r="E1742" s="775" t="n"/>
      <c r="F1742" s="821" t="n"/>
      <c r="G1742" s="821" t="n"/>
      <c r="H1742" s="818">
        <f>IF(G1742=1,F1742-I1742-J1742-K1742,IF(G1742=2,F1742,0))</f>
        <v>0</v>
      </c>
      <c r="I1742" s="818">
        <f>ROUND(IF(G1742=1,F1742*10/23,IF(G1742=3,F1742-J1742-K1742,IF(G1742=4,F1742,IF(G1742=5,F1742*10/11,IF(G1742=7,F1742*10/11,0))))),0)</f>
        <v>0</v>
      </c>
      <c r="J1742" s="818">
        <f>ROUND(IF(G1742=1,F1742/23,IF(G1742=3,F1742/12,IF(G1742=5,F1742-I1742,IF(G1742=8,F1742,0)))),0)</f>
        <v>0</v>
      </c>
      <c r="K1742" s="819">
        <f>ROUND(IF(G1742=1,F1742/23,IF(G1742=3,F1742/12,IF(G1742=6,F1742,IF(G1742=7,F1742-I1742,0)))),0)</f>
        <v>0</v>
      </c>
      <c r="L1742" s="820">
        <f>IF(G1742=6,F1742,0)</f>
        <v>0</v>
      </c>
      <c r="P1742" s="768" t="n"/>
      <c r="Q1742" s="769" t="str">
        <f>IF($F1742="","",IFERROR(VLOOKUP($C1742&amp;"|"&amp;$D1742,科目表!$A$5:$B$200,2,FALSE),"※未登録"))</f>
        <v/>
      </c>
      <c r="R1742" s="769" t="str">
        <f>IF($F1742="","",$I1742+$J1742+$K1742)</f>
        <v/>
      </c>
      <c r="S1742" s="769" t="str">
        <f>IF(OR($F1742="",$P1742="支払なし",$H1742=0,$Q1742=""),"",$Q1742&amp;"|S|"&amp;(COUNTIF(S$4:S1741,$Q1742&amp;"|S|*")+1))</f>
        <v/>
      </c>
      <c r="T1742" s="769" t="str">
        <f>IF(OR($F1742="",$P1742="支払なし",$R1742=0,$Q1742=""),"",$Q1742&amp;"|L|"&amp;(COUNTIF(T$4:T1741,$Q1742&amp;"|L|*")+1))</f>
        <v/>
      </c>
      <c r="U1742" s="769" t="str">
        <f>IF($F1742="","",13)</f>
        <v/>
      </c>
    </row>
    <row r="1743" ht="16.5" customHeight="1" s="186">
      <c r="A1743" s="760" t="n"/>
      <c r="B1743" s="760" t="n"/>
      <c r="C1743" s="762" t="n"/>
      <c r="D1743" s="762" t="n"/>
      <c r="E1743" s="775" t="n"/>
      <c r="F1743" s="821" t="n"/>
      <c r="G1743" s="821" t="n"/>
      <c r="H1743" s="818">
        <f>IF(G1743=1,F1743-I1743-J1743-K1743,IF(G1743=2,F1743,0))</f>
        <v>0</v>
      </c>
      <c r="I1743" s="818">
        <f>ROUND(IF(G1743=1,F1743*10/23,IF(G1743=3,F1743-J1743-K1743,IF(G1743=4,F1743,IF(G1743=5,F1743*10/11,IF(G1743=7,F1743*10/11,0))))),0)</f>
        <v>0</v>
      </c>
      <c r="J1743" s="818">
        <f>ROUND(IF(G1743=1,F1743/23,IF(G1743=3,F1743/12,IF(G1743=5,F1743-I1743,IF(G1743=8,F1743,0)))),0)</f>
        <v>0</v>
      </c>
      <c r="K1743" s="819">
        <f>ROUND(IF(G1743=1,F1743/23,IF(G1743=3,F1743/12,IF(G1743=6,F1743,IF(G1743=7,F1743-I1743,0)))),0)</f>
        <v>0</v>
      </c>
      <c r="L1743" s="820">
        <f>IF(G1743=6,F1743,0)</f>
        <v>0</v>
      </c>
      <c r="P1743" s="768" t="n"/>
      <c r="Q1743" s="769" t="str">
        <f>IF($F1743="","",IFERROR(VLOOKUP($C1743&amp;"|"&amp;$D1743,科目表!$A$5:$B$200,2,FALSE),"※未登録"))</f>
        <v/>
      </c>
      <c r="R1743" s="769" t="str">
        <f>IF($F1743="","",$I1743+$J1743+$K1743)</f>
        <v/>
      </c>
      <c r="S1743" s="769" t="str">
        <f>IF(OR($F1743="",$P1743="支払なし",$H1743=0,$Q1743=""),"",$Q1743&amp;"|S|"&amp;(COUNTIF(S$4:S1742,$Q1743&amp;"|S|*")+1))</f>
        <v/>
      </c>
      <c r="T1743" s="769" t="str">
        <f>IF(OR($F1743="",$P1743="支払なし",$R1743=0,$Q1743=""),"",$Q1743&amp;"|L|"&amp;(COUNTIF(T$4:T1742,$Q1743&amp;"|L|*")+1))</f>
        <v/>
      </c>
      <c r="U1743" s="769" t="str">
        <f>IF($F1743="","",13)</f>
        <v/>
      </c>
    </row>
    <row r="1744" ht="16.5" customHeight="1" s="186">
      <c r="A1744" s="760" t="n"/>
      <c r="B1744" s="760" t="n"/>
      <c r="C1744" s="762" t="n"/>
      <c r="D1744" s="762" t="n"/>
      <c r="E1744" s="775" t="n"/>
      <c r="F1744" s="821" t="n"/>
      <c r="G1744" s="821" t="n"/>
      <c r="H1744" s="818">
        <f>IF(G1744=1,F1744-I1744-J1744-K1744,IF(G1744=2,F1744,0))</f>
        <v>0</v>
      </c>
      <c r="I1744" s="818">
        <f>ROUND(IF(G1744=1,F1744*10/23,IF(G1744=3,F1744-J1744-K1744,IF(G1744=4,F1744,IF(G1744=5,F1744*10/11,IF(G1744=7,F1744*10/11,0))))),0)</f>
        <v>0</v>
      </c>
      <c r="J1744" s="818">
        <f>ROUND(IF(G1744=1,F1744/23,IF(G1744=3,F1744/12,IF(G1744=5,F1744-I1744,IF(G1744=8,F1744,0)))),0)</f>
        <v>0</v>
      </c>
      <c r="K1744" s="819">
        <f>ROUND(IF(G1744=1,F1744/23,IF(G1744=3,F1744/12,IF(G1744=6,F1744,IF(G1744=7,F1744-I1744,0)))),0)</f>
        <v>0</v>
      </c>
      <c r="L1744" s="820">
        <f>IF(G1744=6,F1744,0)</f>
        <v>0</v>
      </c>
      <c r="P1744" s="768" t="n"/>
      <c r="Q1744" s="769" t="str">
        <f>IF($F1744="","",IFERROR(VLOOKUP($C1744&amp;"|"&amp;$D1744,科目表!$A$5:$B$200,2,FALSE),"※未登録"))</f>
        <v/>
      </c>
      <c r="R1744" s="769" t="str">
        <f>IF($F1744="","",$I1744+$J1744+$K1744)</f>
        <v/>
      </c>
      <c r="S1744" s="769" t="str">
        <f>IF(OR($F1744="",$P1744="支払なし",$H1744=0,$Q1744=""),"",$Q1744&amp;"|S|"&amp;(COUNTIF(S$4:S1743,$Q1744&amp;"|S|*")+1))</f>
        <v/>
      </c>
      <c r="T1744" s="769" t="str">
        <f>IF(OR($F1744="",$P1744="支払なし",$R1744=0,$Q1744=""),"",$Q1744&amp;"|L|"&amp;(COUNTIF(T$4:T1743,$Q1744&amp;"|L|*")+1))</f>
        <v/>
      </c>
      <c r="U1744" s="769" t="str">
        <f>IF($F1744="","",13)</f>
        <v/>
      </c>
    </row>
    <row r="1745" ht="16.5" customHeight="1" s="186">
      <c r="A1745" s="760" t="n"/>
      <c r="B1745" s="760" t="n"/>
      <c r="C1745" s="762" t="n"/>
      <c r="D1745" s="762" t="n"/>
      <c r="E1745" s="775" t="n"/>
      <c r="F1745" s="821" t="n"/>
      <c r="G1745" s="821" t="n"/>
      <c r="H1745" s="818">
        <f>IF(G1745=1,F1745-I1745-J1745-K1745,IF(G1745=2,F1745,0))</f>
        <v>0</v>
      </c>
      <c r="I1745" s="818">
        <f>ROUND(IF(G1745=1,F1745*10/23,IF(G1745=3,F1745-J1745-K1745,IF(G1745=4,F1745,IF(G1745=5,F1745*10/11,IF(G1745=7,F1745*10/11,0))))),0)</f>
        <v>0</v>
      </c>
      <c r="J1745" s="818">
        <f>ROUND(IF(G1745=1,F1745/23,IF(G1745=3,F1745/12,IF(G1745=5,F1745-I1745,IF(G1745=8,F1745,0)))),0)</f>
        <v>0</v>
      </c>
      <c r="K1745" s="819">
        <f>ROUND(IF(G1745=1,F1745/23,IF(G1745=3,F1745/12,IF(G1745=6,F1745,IF(G1745=7,F1745-I1745,0)))),0)</f>
        <v>0</v>
      </c>
      <c r="L1745" s="820">
        <f>IF(G1745=6,F1745,0)</f>
        <v>0</v>
      </c>
      <c r="P1745" s="768" t="n"/>
      <c r="Q1745" s="769" t="str">
        <f>IF($F1745="","",IFERROR(VLOOKUP($C1745&amp;"|"&amp;$D1745,科目表!$A$5:$B$200,2,FALSE),"※未登録"))</f>
        <v/>
      </c>
      <c r="R1745" s="769" t="str">
        <f>IF($F1745="","",$I1745+$J1745+$K1745)</f>
        <v/>
      </c>
      <c r="S1745" s="769" t="str">
        <f>IF(OR($F1745="",$P1745="支払なし",$H1745=0,$Q1745=""),"",$Q1745&amp;"|S|"&amp;(COUNTIF(S$4:S1744,$Q1745&amp;"|S|*")+1))</f>
        <v/>
      </c>
      <c r="T1745" s="769" t="str">
        <f>IF(OR($F1745="",$P1745="支払なし",$R1745=0,$Q1745=""),"",$Q1745&amp;"|L|"&amp;(COUNTIF(T$4:T1744,$Q1745&amp;"|L|*")+1))</f>
        <v/>
      </c>
      <c r="U1745" s="769" t="str">
        <f>IF($F1745="","",13)</f>
        <v/>
      </c>
    </row>
    <row r="1746" ht="16.5" customHeight="1" s="186">
      <c r="A1746" s="760" t="n"/>
      <c r="B1746" s="760" t="n"/>
      <c r="C1746" s="762" t="n"/>
      <c r="D1746" s="762" t="n"/>
      <c r="E1746" s="775" t="n"/>
      <c r="F1746" s="821" t="n"/>
      <c r="G1746" s="821" t="n"/>
      <c r="H1746" s="818">
        <f>IF(G1746=1,F1746-I1746-J1746-K1746,IF(G1746=2,F1746,0))</f>
        <v>0</v>
      </c>
      <c r="I1746" s="818">
        <f>ROUND(IF(G1746=1,F1746*10/23,IF(G1746=3,F1746-J1746-K1746,IF(G1746=4,F1746,IF(G1746=5,F1746*10/11,IF(G1746=7,F1746*10/11,0))))),0)</f>
        <v>0</v>
      </c>
      <c r="J1746" s="818">
        <f>ROUND(IF(G1746=1,F1746/23,IF(G1746=3,F1746/12,IF(G1746=5,F1746-I1746,IF(G1746=8,F1746,0)))),0)</f>
        <v>0</v>
      </c>
      <c r="K1746" s="819">
        <f>ROUND(IF(G1746=1,F1746/23,IF(G1746=3,F1746/12,IF(G1746=6,F1746,IF(G1746=7,F1746-I1746,0)))),0)</f>
        <v>0</v>
      </c>
      <c r="L1746" s="820">
        <f>IF(G1746=6,F1746,0)</f>
        <v>0</v>
      </c>
      <c r="P1746" s="768" t="n"/>
      <c r="Q1746" s="769" t="str">
        <f>IF($F1746="","",IFERROR(VLOOKUP($C1746&amp;"|"&amp;$D1746,科目表!$A$5:$B$200,2,FALSE),"※未登録"))</f>
        <v/>
      </c>
      <c r="R1746" s="769" t="str">
        <f>IF($F1746="","",$I1746+$J1746+$K1746)</f>
        <v/>
      </c>
      <c r="S1746" s="769" t="str">
        <f>IF(OR($F1746="",$P1746="支払なし",$H1746=0,$Q1746=""),"",$Q1746&amp;"|S|"&amp;(COUNTIF(S$4:S1745,$Q1746&amp;"|S|*")+1))</f>
        <v/>
      </c>
      <c r="T1746" s="769" t="str">
        <f>IF(OR($F1746="",$P1746="支払なし",$R1746=0,$Q1746=""),"",$Q1746&amp;"|L|"&amp;(COUNTIF(T$4:T1745,$Q1746&amp;"|L|*")+1))</f>
        <v/>
      </c>
      <c r="U1746" s="769" t="str">
        <f>IF($F1746="","",13)</f>
        <v/>
      </c>
    </row>
    <row r="1747" ht="16.5" customHeight="1" s="186">
      <c r="A1747" s="760" t="n"/>
      <c r="B1747" s="760" t="n"/>
      <c r="C1747" s="762" t="n"/>
      <c r="D1747" s="762" t="n"/>
      <c r="E1747" s="775" t="n"/>
      <c r="F1747" s="821" t="n"/>
      <c r="G1747" s="821" t="n"/>
      <c r="H1747" s="818">
        <f>IF(G1747=1,F1747-I1747-J1747-K1747,IF(G1747=2,F1747,0))</f>
        <v>0</v>
      </c>
      <c r="I1747" s="818">
        <f>ROUND(IF(G1747=1,F1747*10/23,IF(G1747=3,F1747-J1747-K1747,IF(G1747=4,F1747,IF(G1747=5,F1747*10/11,IF(G1747=7,F1747*10/11,0))))),0)</f>
        <v>0</v>
      </c>
      <c r="J1747" s="818">
        <f>ROUND(IF(G1747=1,F1747/23,IF(G1747=3,F1747/12,IF(G1747=5,F1747-I1747,IF(G1747=8,F1747,0)))),0)</f>
        <v>0</v>
      </c>
      <c r="K1747" s="819">
        <f>ROUND(IF(G1747=1,F1747/23,IF(G1747=3,F1747/12,IF(G1747=6,F1747,IF(G1747=7,F1747-I1747,0)))),0)</f>
        <v>0</v>
      </c>
      <c r="L1747" s="820">
        <f>IF(G1747=6,F1747,0)</f>
        <v>0</v>
      </c>
      <c r="P1747" s="768" t="n"/>
      <c r="Q1747" s="769" t="str">
        <f>IF($F1747="","",IFERROR(VLOOKUP($C1747&amp;"|"&amp;$D1747,科目表!$A$5:$B$200,2,FALSE),"※未登録"))</f>
        <v/>
      </c>
      <c r="R1747" s="769" t="str">
        <f>IF($F1747="","",$I1747+$J1747+$K1747)</f>
        <v/>
      </c>
      <c r="S1747" s="769" t="str">
        <f>IF(OR($F1747="",$P1747="支払なし",$H1747=0,$Q1747=""),"",$Q1747&amp;"|S|"&amp;(COUNTIF(S$4:S1746,$Q1747&amp;"|S|*")+1))</f>
        <v/>
      </c>
      <c r="T1747" s="769" t="str">
        <f>IF(OR($F1747="",$P1747="支払なし",$R1747=0,$Q1747=""),"",$Q1747&amp;"|L|"&amp;(COUNTIF(T$4:T1746,$Q1747&amp;"|L|*")+1))</f>
        <v/>
      </c>
      <c r="U1747" s="769" t="str">
        <f>IF($F1747="","",13)</f>
        <v/>
      </c>
    </row>
    <row r="1748" ht="16.5" customHeight="1" s="186">
      <c r="A1748" s="760" t="n"/>
      <c r="B1748" s="760" t="n"/>
      <c r="C1748" s="762" t="n"/>
      <c r="D1748" s="762" t="n"/>
      <c r="E1748" s="775" t="n"/>
      <c r="F1748" s="821" t="n"/>
      <c r="G1748" s="821" t="n"/>
      <c r="H1748" s="818">
        <f>IF(G1748=1,F1748-I1748-J1748-K1748,IF(G1748=2,F1748,0))</f>
        <v>0</v>
      </c>
      <c r="I1748" s="818">
        <f>ROUND(IF(G1748=1,F1748*10/23,IF(G1748=3,F1748-J1748-K1748,IF(G1748=4,F1748,IF(G1748=5,F1748*10/11,IF(G1748=7,F1748*10/11,0))))),0)</f>
        <v>0</v>
      </c>
      <c r="J1748" s="818">
        <f>ROUND(IF(G1748=1,F1748/23,IF(G1748=3,F1748/12,IF(G1748=5,F1748-I1748,IF(G1748=8,F1748,0)))),0)</f>
        <v>0</v>
      </c>
      <c r="K1748" s="819">
        <f>ROUND(IF(G1748=1,F1748/23,IF(G1748=3,F1748/12,IF(G1748=6,F1748,IF(G1748=7,F1748-I1748,0)))),0)</f>
        <v>0</v>
      </c>
      <c r="L1748" s="820">
        <f>IF(G1748=6,F1748,0)</f>
        <v>0</v>
      </c>
      <c r="P1748" s="768" t="n"/>
      <c r="Q1748" s="769" t="str">
        <f>IF($F1748="","",IFERROR(VLOOKUP($C1748&amp;"|"&amp;$D1748,科目表!$A$5:$B$200,2,FALSE),"※未登録"))</f>
        <v/>
      </c>
      <c r="R1748" s="769" t="str">
        <f>IF($F1748="","",$I1748+$J1748+$K1748)</f>
        <v/>
      </c>
      <c r="S1748" s="769" t="str">
        <f>IF(OR($F1748="",$P1748="支払なし",$H1748=0,$Q1748=""),"",$Q1748&amp;"|S|"&amp;(COUNTIF(S$4:S1747,$Q1748&amp;"|S|*")+1))</f>
        <v/>
      </c>
      <c r="T1748" s="769" t="str">
        <f>IF(OR($F1748="",$P1748="支払なし",$R1748=0,$Q1748=""),"",$Q1748&amp;"|L|"&amp;(COUNTIF(T$4:T1747,$Q1748&amp;"|L|*")+1))</f>
        <v/>
      </c>
      <c r="U1748" s="769" t="str">
        <f>IF($F1748="","",13)</f>
        <v/>
      </c>
    </row>
    <row r="1749" ht="16.5" customHeight="1" s="186">
      <c r="A1749" s="760" t="n"/>
      <c r="B1749" s="760" t="n"/>
      <c r="C1749" s="762" t="n"/>
      <c r="D1749" s="762" t="n"/>
      <c r="E1749" s="775" t="n"/>
      <c r="F1749" s="821" t="n"/>
      <c r="G1749" s="821" t="n"/>
      <c r="H1749" s="818">
        <f>IF(G1749=1,F1749-I1749-J1749-K1749,IF(G1749=2,F1749,0))</f>
        <v>0</v>
      </c>
      <c r="I1749" s="818">
        <f>ROUND(IF(G1749=1,F1749*10/23,IF(G1749=3,F1749-J1749-K1749,IF(G1749=4,F1749,IF(G1749=5,F1749*10/11,IF(G1749=7,F1749*10/11,0))))),0)</f>
        <v>0</v>
      </c>
      <c r="J1749" s="818">
        <f>ROUND(IF(G1749=1,F1749/23,IF(G1749=3,F1749/12,IF(G1749=5,F1749-I1749,IF(G1749=8,F1749,0)))),0)</f>
        <v>0</v>
      </c>
      <c r="K1749" s="819">
        <f>ROUND(IF(G1749=1,F1749/23,IF(G1749=3,F1749/12,IF(G1749=6,F1749,IF(G1749=7,F1749-I1749,0)))),0)</f>
        <v>0</v>
      </c>
      <c r="L1749" s="820">
        <f>IF(G1749=6,F1749,0)</f>
        <v>0</v>
      </c>
      <c r="P1749" s="768" t="n"/>
      <c r="Q1749" s="769" t="str">
        <f>IF($F1749="","",IFERROR(VLOOKUP($C1749&amp;"|"&amp;$D1749,科目表!$A$5:$B$200,2,FALSE),"※未登録"))</f>
        <v/>
      </c>
      <c r="R1749" s="769" t="str">
        <f>IF($F1749="","",$I1749+$J1749+$K1749)</f>
        <v/>
      </c>
      <c r="S1749" s="769" t="str">
        <f>IF(OR($F1749="",$P1749="支払なし",$H1749=0,$Q1749=""),"",$Q1749&amp;"|S|"&amp;(COUNTIF(S$4:S1748,$Q1749&amp;"|S|*")+1))</f>
        <v/>
      </c>
      <c r="T1749" s="769" t="str">
        <f>IF(OR($F1749="",$P1749="支払なし",$R1749=0,$Q1749=""),"",$Q1749&amp;"|L|"&amp;(COUNTIF(T$4:T1748,$Q1749&amp;"|L|*")+1))</f>
        <v/>
      </c>
      <c r="U1749" s="769" t="str">
        <f>IF($F1749="","",13)</f>
        <v/>
      </c>
    </row>
    <row r="1750" ht="16.5" customHeight="1" s="186">
      <c r="A1750" s="760" t="n"/>
      <c r="B1750" s="760" t="n"/>
      <c r="C1750" s="762" t="n"/>
      <c r="D1750" s="762" t="n"/>
      <c r="E1750" s="775" t="n"/>
      <c r="F1750" s="821" t="n"/>
      <c r="G1750" s="821" t="n"/>
      <c r="H1750" s="818">
        <f>IF(G1750=1,F1750-I1750-J1750-K1750,IF(G1750=2,F1750,0))</f>
        <v>0</v>
      </c>
      <c r="I1750" s="818">
        <f>ROUND(IF(G1750=1,F1750*10/23,IF(G1750=3,F1750-J1750-K1750,IF(G1750=4,F1750,IF(G1750=5,F1750*10/11,IF(G1750=7,F1750*10/11,0))))),0)</f>
        <v>0</v>
      </c>
      <c r="J1750" s="818">
        <f>ROUND(IF(G1750=1,F1750/23,IF(G1750=3,F1750/12,IF(G1750=5,F1750-I1750,IF(G1750=8,F1750,0)))),0)</f>
        <v>0</v>
      </c>
      <c r="K1750" s="819">
        <f>ROUND(IF(G1750=1,F1750/23,IF(G1750=3,F1750/12,IF(G1750=6,F1750,IF(G1750=7,F1750-I1750,0)))),0)</f>
        <v>0</v>
      </c>
      <c r="L1750" s="820">
        <f>IF(G1750=6,F1750,0)</f>
        <v>0</v>
      </c>
      <c r="P1750" s="768" t="n"/>
      <c r="Q1750" s="769" t="str">
        <f>IF($F1750="","",IFERROR(VLOOKUP($C1750&amp;"|"&amp;$D1750,科目表!$A$5:$B$200,2,FALSE),"※未登録"))</f>
        <v/>
      </c>
      <c r="R1750" s="769" t="str">
        <f>IF($F1750="","",$I1750+$J1750+$K1750)</f>
        <v/>
      </c>
      <c r="S1750" s="769" t="str">
        <f>IF(OR($F1750="",$P1750="支払なし",$H1750=0,$Q1750=""),"",$Q1750&amp;"|S|"&amp;(COUNTIF(S$4:S1749,$Q1750&amp;"|S|*")+1))</f>
        <v/>
      </c>
      <c r="T1750" s="769" t="str">
        <f>IF(OR($F1750="",$P1750="支払なし",$R1750=0,$Q1750=""),"",$Q1750&amp;"|L|"&amp;(COUNTIF(T$4:T1749,$Q1750&amp;"|L|*")+1))</f>
        <v/>
      </c>
      <c r="U1750" s="769" t="str">
        <f>IF($F1750="","",13)</f>
        <v/>
      </c>
    </row>
    <row r="1751" ht="16.5" customHeight="1" s="186">
      <c r="A1751" s="760" t="n"/>
      <c r="B1751" s="760" t="n"/>
      <c r="C1751" s="762" t="n"/>
      <c r="D1751" s="762" t="n"/>
      <c r="E1751" s="775" t="n"/>
      <c r="F1751" s="821" t="n"/>
      <c r="G1751" s="821" t="n"/>
      <c r="H1751" s="818">
        <f>IF(G1751=1,F1751-I1751-J1751-K1751,IF(G1751=2,F1751,0))</f>
        <v>0</v>
      </c>
      <c r="I1751" s="818">
        <f>ROUND(IF(G1751=1,F1751*10/23,IF(G1751=3,F1751-J1751-K1751,IF(G1751=4,F1751,IF(G1751=5,F1751*10/11,IF(G1751=7,F1751*10/11,0))))),0)</f>
        <v>0</v>
      </c>
      <c r="J1751" s="818">
        <f>ROUND(IF(G1751=1,F1751/23,IF(G1751=3,F1751/12,IF(G1751=5,F1751-I1751,IF(G1751=8,F1751,0)))),0)</f>
        <v>0</v>
      </c>
      <c r="K1751" s="819">
        <f>ROUND(IF(G1751=1,F1751/23,IF(G1751=3,F1751/12,IF(G1751=6,F1751,IF(G1751=7,F1751-I1751,0)))),0)</f>
        <v>0</v>
      </c>
      <c r="L1751" s="820">
        <f>IF(G1751=6,F1751,0)</f>
        <v>0</v>
      </c>
      <c r="P1751" s="768" t="n"/>
      <c r="Q1751" s="769" t="str">
        <f>IF($F1751="","",IFERROR(VLOOKUP($C1751&amp;"|"&amp;$D1751,科目表!$A$5:$B$200,2,FALSE),"※未登録"))</f>
        <v/>
      </c>
      <c r="R1751" s="769" t="str">
        <f>IF($F1751="","",$I1751+$J1751+$K1751)</f>
        <v/>
      </c>
      <c r="S1751" s="769" t="str">
        <f>IF(OR($F1751="",$P1751="支払なし",$H1751=0,$Q1751=""),"",$Q1751&amp;"|S|"&amp;(COUNTIF(S$4:S1750,$Q1751&amp;"|S|*")+1))</f>
        <v/>
      </c>
      <c r="T1751" s="769" t="str">
        <f>IF(OR($F1751="",$P1751="支払なし",$R1751=0,$Q1751=""),"",$Q1751&amp;"|L|"&amp;(COUNTIF(T$4:T1750,$Q1751&amp;"|L|*")+1))</f>
        <v/>
      </c>
      <c r="U1751" s="769" t="str">
        <f>IF($F1751="","",13)</f>
        <v/>
      </c>
    </row>
    <row r="1752" ht="16.5" customHeight="1" s="186">
      <c r="A1752" s="760" t="n"/>
      <c r="B1752" s="760" t="n"/>
      <c r="C1752" s="762" t="n"/>
      <c r="D1752" s="762" t="n"/>
      <c r="E1752" s="775" t="n"/>
      <c r="F1752" s="821" t="n"/>
      <c r="G1752" s="821" t="n"/>
      <c r="H1752" s="818">
        <f>IF(G1752=1,F1752-I1752-J1752-K1752,IF(G1752=2,F1752,0))</f>
        <v>0</v>
      </c>
      <c r="I1752" s="818">
        <f>ROUND(IF(G1752=1,F1752*10/23,IF(G1752=3,F1752-J1752-K1752,IF(G1752=4,F1752,IF(G1752=5,F1752*10/11,IF(G1752=7,F1752*10/11,0))))),0)</f>
        <v>0</v>
      </c>
      <c r="J1752" s="818">
        <f>ROUND(IF(G1752=1,F1752/23,IF(G1752=3,F1752/12,IF(G1752=5,F1752-I1752,IF(G1752=8,F1752,0)))),0)</f>
        <v>0</v>
      </c>
      <c r="K1752" s="819">
        <f>ROUND(IF(G1752=1,F1752/23,IF(G1752=3,F1752/12,IF(G1752=6,F1752,IF(G1752=7,F1752-I1752,0)))),0)</f>
        <v>0</v>
      </c>
      <c r="L1752" s="820">
        <f>IF(G1752=6,F1752,0)</f>
        <v>0</v>
      </c>
      <c r="P1752" s="768" t="n"/>
      <c r="Q1752" s="769" t="str">
        <f>IF($F1752="","",IFERROR(VLOOKUP($C1752&amp;"|"&amp;$D1752,科目表!$A$5:$B$200,2,FALSE),"※未登録"))</f>
        <v/>
      </c>
      <c r="R1752" s="769" t="str">
        <f>IF($F1752="","",$I1752+$J1752+$K1752)</f>
        <v/>
      </c>
      <c r="S1752" s="769" t="str">
        <f>IF(OR($F1752="",$P1752="支払なし",$H1752=0,$Q1752=""),"",$Q1752&amp;"|S|"&amp;(COUNTIF(S$4:S1751,$Q1752&amp;"|S|*")+1))</f>
        <v/>
      </c>
      <c r="T1752" s="769" t="str">
        <f>IF(OR($F1752="",$P1752="支払なし",$R1752=0,$Q1752=""),"",$Q1752&amp;"|L|"&amp;(COUNTIF(T$4:T1751,$Q1752&amp;"|L|*")+1))</f>
        <v/>
      </c>
      <c r="U1752" s="769" t="str">
        <f>IF($F1752="","",13)</f>
        <v/>
      </c>
    </row>
    <row r="1753" ht="16.5" customHeight="1" s="186">
      <c r="A1753" s="760" t="n"/>
      <c r="B1753" s="760" t="n"/>
      <c r="C1753" s="762" t="n"/>
      <c r="D1753" s="762" t="n"/>
      <c r="E1753" s="775" t="n"/>
      <c r="F1753" s="821" t="n"/>
      <c r="G1753" s="821" t="n"/>
      <c r="H1753" s="818">
        <f>IF(G1753=1,F1753-I1753-J1753-K1753,IF(G1753=2,F1753,0))</f>
        <v>0</v>
      </c>
      <c r="I1753" s="818">
        <f>ROUND(IF(G1753=1,F1753*10/23,IF(G1753=3,F1753-J1753-K1753,IF(G1753=4,F1753,IF(G1753=5,F1753*10/11,IF(G1753=7,F1753*10/11,0))))),0)</f>
        <v>0</v>
      </c>
      <c r="J1753" s="818">
        <f>ROUND(IF(G1753=1,F1753/23,IF(G1753=3,F1753/12,IF(G1753=5,F1753-I1753,IF(G1753=8,F1753,0)))),0)</f>
        <v>0</v>
      </c>
      <c r="K1753" s="819">
        <f>ROUND(IF(G1753=1,F1753/23,IF(G1753=3,F1753/12,IF(G1753=6,F1753,IF(G1753=7,F1753-I1753,0)))),0)</f>
        <v>0</v>
      </c>
      <c r="L1753" s="820">
        <f>IF(G1753=6,F1753,0)</f>
        <v>0</v>
      </c>
      <c r="P1753" s="768" t="n"/>
      <c r="Q1753" s="769" t="str">
        <f>IF($F1753="","",IFERROR(VLOOKUP($C1753&amp;"|"&amp;$D1753,科目表!$A$5:$B$200,2,FALSE),"※未登録"))</f>
        <v/>
      </c>
      <c r="R1753" s="769" t="str">
        <f>IF($F1753="","",$I1753+$J1753+$K1753)</f>
        <v/>
      </c>
      <c r="S1753" s="769" t="str">
        <f>IF(OR($F1753="",$P1753="支払なし",$H1753=0,$Q1753=""),"",$Q1753&amp;"|S|"&amp;(COUNTIF(S$4:S1752,$Q1753&amp;"|S|*")+1))</f>
        <v/>
      </c>
      <c r="T1753" s="769" t="str">
        <f>IF(OR($F1753="",$P1753="支払なし",$R1753=0,$Q1753=""),"",$Q1753&amp;"|L|"&amp;(COUNTIF(T$4:T1752,$Q1753&amp;"|L|*")+1))</f>
        <v/>
      </c>
      <c r="U1753" s="769" t="str">
        <f>IF($F1753="","",13)</f>
        <v/>
      </c>
    </row>
    <row r="1754" ht="16.5" customHeight="1" s="186">
      <c r="A1754" s="760" t="n"/>
      <c r="B1754" s="760" t="n"/>
      <c r="C1754" s="762" t="n"/>
      <c r="D1754" s="762" t="n"/>
      <c r="E1754" s="775" t="n"/>
      <c r="F1754" s="821" t="n"/>
      <c r="G1754" s="821" t="n"/>
      <c r="H1754" s="818">
        <f>IF(G1754=1,F1754-I1754-J1754-K1754,IF(G1754=2,F1754,0))</f>
        <v>0</v>
      </c>
      <c r="I1754" s="818">
        <f>ROUND(IF(G1754=1,F1754*10/23,IF(G1754=3,F1754-J1754-K1754,IF(G1754=4,F1754,IF(G1754=5,F1754*10/11,IF(G1754=7,F1754*10/11,0))))),0)</f>
        <v>0</v>
      </c>
      <c r="J1754" s="818">
        <f>ROUND(IF(G1754=1,F1754/23,IF(G1754=3,F1754/12,IF(G1754=5,F1754-I1754,IF(G1754=8,F1754,0)))),0)</f>
        <v>0</v>
      </c>
      <c r="K1754" s="819">
        <f>ROUND(IF(G1754=1,F1754/23,IF(G1754=3,F1754/12,IF(G1754=6,F1754,IF(G1754=7,F1754-I1754,0)))),0)</f>
        <v>0</v>
      </c>
      <c r="L1754" s="820">
        <f>IF(G1754=6,F1754,0)</f>
        <v>0</v>
      </c>
      <c r="P1754" s="768" t="n"/>
      <c r="Q1754" s="769" t="str">
        <f>IF($F1754="","",IFERROR(VLOOKUP($C1754&amp;"|"&amp;$D1754,科目表!$A$5:$B$200,2,FALSE),"※未登録"))</f>
        <v/>
      </c>
      <c r="R1754" s="769" t="str">
        <f>IF($F1754="","",$I1754+$J1754+$K1754)</f>
        <v/>
      </c>
      <c r="S1754" s="769" t="str">
        <f>IF(OR($F1754="",$P1754="支払なし",$H1754=0,$Q1754=""),"",$Q1754&amp;"|S|"&amp;(COUNTIF(S$4:S1753,$Q1754&amp;"|S|*")+1))</f>
        <v/>
      </c>
      <c r="T1754" s="769" t="str">
        <f>IF(OR($F1754="",$P1754="支払なし",$R1754=0,$Q1754=""),"",$Q1754&amp;"|L|"&amp;(COUNTIF(T$4:T1753,$Q1754&amp;"|L|*")+1))</f>
        <v/>
      </c>
      <c r="U1754" s="769" t="str">
        <f>IF($F1754="","",13)</f>
        <v/>
      </c>
    </row>
    <row r="1755" ht="16.5" customHeight="1" s="186">
      <c r="A1755" s="760" t="n"/>
      <c r="B1755" s="760" t="n"/>
      <c r="C1755" s="762" t="n"/>
      <c r="D1755" s="762" t="n"/>
      <c r="E1755" s="775" t="n"/>
      <c r="F1755" s="821" t="n"/>
      <c r="G1755" s="821" t="n"/>
      <c r="H1755" s="818">
        <f>IF(G1755=1,F1755-I1755-J1755-K1755,IF(G1755=2,F1755,0))</f>
        <v>0</v>
      </c>
      <c r="I1755" s="818">
        <f>ROUND(IF(G1755=1,F1755*10/23,IF(G1755=3,F1755-J1755-K1755,IF(G1755=4,F1755,IF(G1755=5,F1755*10/11,IF(G1755=7,F1755*10/11,0))))),0)</f>
        <v>0</v>
      </c>
      <c r="J1755" s="818">
        <f>ROUND(IF(G1755=1,F1755/23,IF(G1755=3,F1755/12,IF(G1755=5,F1755-I1755,IF(G1755=8,F1755,0)))),0)</f>
        <v>0</v>
      </c>
      <c r="K1755" s="819">
        <f>ROUND(IF(G1755=1,F1755/23,IF(G1755=3,F1755/12,IF(G1755=6,F1755,IF(G1755=7,F1755-I1755,0)))),0)</f>
        <v>0</v>
      </c>
      <c r="L1755" s="820">
        <f>IF(G1755=6,F1755,0)</f>
        <v>0</v>
      </c>
      <c r="P1755" s="768" t="n"/>
      <c r="Q1755" s="769" t="str">
        <f>IF($F1755="","",IFERROR(VLOOKUP($C1755&amp;"|"&amp;$D1755,科目表!$A$5:$B$200,2,FALSE),"※未登録"))</f>
        <v/>
      </c>
      <c r="R1755" s="769" t="str">
        <f>IF($F1755="","",$I1755+$J1755+$K1755)</f>
        <v/>
      </c>
      <c r="S1755" s="769" t="str">
        <f>IF(OR($F1755="",$P1755="支払なし",$H1755=0,$Q1755=""),"",$Q1755&amp;"|S|"&amp;(COUNTIF(S$4:S1754,$Q1755&amp;"|S|*")+1))</f>
        <v/>
      </c>
      <c r="T1755" s="769" t="str">
        <f>IF(OR($F1755="",$P1755="支払なし",$R1755=0,$Q1755=""),"",$Q1755&amp;"|L|"&amp;(COUNTIF(T$4:T1754,$Q1755&amp;"|L|*")+1))</f>
        <v/>
      </c>
      <c r="U1755" s="769" t="str">
        <f>IF($F1755="","",13)</f>
        <v/>
      </c>
    </row>
    <row r="1756" ht="16.5" customHeight="1" s="186">
      <c r="A1756" s="760" t="n"/>
      <c r="B1756" s="760" t="n"/>
      <c r="C1756" s="762" t="n"/>
      <c r="D1756" s="762" t="n"/>
      <c r="E1756" s="775" t="n"/>
      <c r="F1756" s="821" t="n"/>
      <c r="G1756" s="821" t="n"/>
      <c r="H1756" s="818">
        <f>IF(G1756=1,F1756-I1756-J1756-K1756,IF(G1756=2,F1756,0))</f>
        <v>0</v>
      </c>
      <c r="I1756" s="818">
        <f>ROUND(IF(G1756=1,F1756*10/23,IF(G1756=3,F1756-J1756-K1756,IF(G1756=4,F1756,IF(G1756=5,F1756*10/11,IF(G1756=7,F1756*10/11,0))))),0)</f>
        <v>0</v>
      </c>
      <c r="J1756" s="818">
        <f>ROUND(IF(G1756=1,F1756/23,IF(G1756=3,F1756/12,IF(G1756=5,F1756-I1756,IF(G1756=8,F1756,0)))),0)</f>
        <v>0</v>
      </c>
      <c r="K1756" s="819">
        <f>ROUND(IF(G1756=1,F1756/23,IF(G1756=3,F1756/12,IF(G1756=6,F1756,IF(G1756=7,F1756-I1756,0)))),0)</f>
        <v>0</v>
      </c>
      <c r="L1756" s="820">
        <f>IF(G1756=6,F1756,0)</f>
        <v>0</v>
      </c>
      <c r="P1756" s="768" t="n"/>
      <c r="Q1756" s="769" t="str">
        <f>IF($F1756="","",IFERROR(VLOOKUP($C1756&amp;"|"&amp;$D1756,科目表!$A$5:$B$200,2,FALSE),"※未登録"))</f>
        <v/>
      </c>
      <c r="R1756" s="769" t="str">
        <f>IF($F1756="","",$I1756+$J1756+$K1756)</f>
        <v/>
      </c>
      <c r="S1756" s="769" t="str">
        <f>IF(OR($F1756="",$P1756="支払なし",$H1756=0,$Q1756=""),"",$Q1756&amp;"|S|"&amp;(COUNTIF(S$4:S1755,$Q1756&amp;"|S|*")+1))</f>
        <v/>
      </c>
      <c r="T1756" s="769" t="str">
        <f>IF(OR($F1756="",$P1756="支払なし",$R1756=0,$Q1756=""),"",$Q1756&amp;"|L|"&amp;(COUNTIF(T$4:T1755,$Q1756&amp;"|L|*")+1))</f>
        <v/>
      </c>
      <c r="U1756" s="769" t="str">
        <f>IF($F1756="","",13)</f>
        <v/>
      </c>
    </row>
    <row r="1757" ht="16.5" customHeight="1" s="186">
      <c r="A1757" s="760" t="n"/>
      <c r="B1757" s="760" t="n"/>
      <c r="C1757" s="762" t="n"/>
      <c r="D1757" s="762" t="n"/>
      <c r="E1757" s="775" t="n"/>
      <c r="F1757" s="821" t="n"/>
      <c r="G1757" s="821" t="n"/>
      <c r="H1757" s="818">
        <f>IF(G1757=1,F1757-I1757-J1757-K1757,IF(G1757=2,F1757,0))</f>
        <v>0</v>
      </c>
      <c r="I1757" s="818">
        <f>ROUND(IF(G1757=1,F1757*10/23,IF(G1757=3,F1757-J1757-K1757,IF(G1757=4,F1757,IF(G1757=5,F1757*10/11,IF(G1757=7,F1757*10/11,0))))),0)</f>
        <v>0</v>
      </c>
      <c r="J1757" s="818">
        <f>ROUND(IF(G1757=1,F1757/23,IF(G1757=3,F1757/12,IF(G1757=5,F1757-I1757,IF(G1757=8,F1757,0)))),0)</f>
        <v>0</v>
      </c>
      <c r="K1757" s="819">
        <f>ROUND(IF(G1757=1,F1757/23,IF(G1757=3,F1757/12,IF(G1757=6,F1757,IF(G1757=7,F1757-I1757,0)))),0)</f>
        <v>0</v>
      </c>
      <c r="L1757" s="820">
        <f>IF(G1757=6,F1757,0)</f>
        <v>0</v>
      </c>
      <c r="P1757" s="768" t="n"/>
      <c r="Q1757" s="769" t="str">
        <f>IF($F1757="","",IFERROR(VLOOKUP($C1757&amp;"|"&amp;$D1757,科目表!$A$5:$B$200,2,FALSE),"※未登録"))</f>
        <v/>
      </c>
      <c r="R1757" s="769" t="str">
        <f>IF($F1757="","",$I1757+$J1757+$K1757)</f>
        <v/>
      </c>
      <c r="S1757" s="769" t="str">
        <f>IF(OR($F1757="",$P1757="支払なし",$H1757=0,$Q1757=""),"",$Q1757&amp;"|S|"&amp;(COUNTIF(S$4:S1756,$Q1757&amp;"|S|*")+1))</f>
        <v/>
      </c>
      <c r="T1757" s="769" t="str">
        <f>IF(OR($F1757="",$P1757="支払なし",$R1757=0,$Q1757=""),"",$Q1757&amp;"|L|"&amp;(COUNTIF(T$4:T1756,$Q1757&amp;"|L|*")+1))</f>
        <v/>
      </c>
      <c r="U1757" s="769" t="str">
        <f>IF($F1757="","",13)</f>
        <v/>
      </c>
    </row>
    <row r="1758" ht="16.5" customHeight="1" s="186">
      <c r="A1758" s="760" t="n"/>
      <c r="B1758" s="760" t="n"/>
      <c r="C1758" s="762" t="n"/>
      <c r="D1758" s="762" t="n"/>
      <c r="E1758" s="775" t="n"/>
      <c r="F1758" s="821" t="n"/>
      <c r="G1758" s="821" t="n"/>
      <c r="H1758" s="818">
        <f>IF(G1758=1,F1758-I1758-J1758-K1758,IF(G1758=2,F1758,0))</f>
        <v>0</v>
      </c>
      <c r="I1758" s="818">
        <f>ROUND(IF(G1758=1,F1758*10/23,IF(G1758=3,F1758-J1758-K1758,IF(G1758=4,F1758,IF(G1758=5,F1758*10/11,IF(G1758=7,F1758*10/11,0))))),0)</f>
        <v>0</v>
      </c>
      <c r="J1758" s="818">
        <f>ROUND(IF(G1758=1,F1758/23,IF(G1758=3,F1758/12,IF(G1758=5,F1758-I1758,IF(G1758=8,F1758,0)))),0)</f>
        <v>0</v>
      </c>
      <c r="K1758" s="819">
        <f>ROUND(IF(G1758=1,F1758/23,IF(G1758=3,F1758/12,IF(G1758=6,F1758,IF(G1758=7,F1758-I1758,0)))),0)</f>
        <v>0</v>
      </c>
      <c r="L1758" s="820">
        <f>IF(G1758=6,F1758,0)</f>
        <v>0</v>
      </c>
      <c r="P1758" s="768" t="n"/>
      <c r="Q1758" s="769" t="str">
        <f>IF($F1758="","",IFERROR(VLOOKUP($C1758&amp;"|"&amp;$D1758,科目表!$A$5:$B$200,2,FALSE),"※未登録"))</f>
        <v/>
      </c>
      <c r="R1758" s="769" t="str">
        <f>IF($F1758="","",$I1758+$J1758+$K1758)</f>
        <v/>
      </c>
      <c r="S1758" s="769" t="str">
        <f>IF(OR($F1758="",$P1758="支払なし",$H1758=0,$Q1758=""),"",$Q1758&amp;"|S|"&amp;(COUNTIF(S$4:S1757,$Q1758&amp;"|S|*")+1))</f>
        <v/>
      </c>
      <c r="T1758" s="769" t="str">
        <f>IF(OR($F1758="",$P1758="支払なし",$R1758=0,$Q1758=""),"",$Q1758&amp;"|L|"&amp;(COUNTIF(T$4:T1757,$Q1758&amp;"|L|*")+1))</f>
        <v/>
      </c>
      <c r="U1758" s="769" t="str">
        <f>IF($F1758="","",13)</f>
        <v/>
      </c>
    </row>
    <row r="1759" ht="16.5" customHeight="1" s="186">
      <c r="A1759" s="760" t="n"/>
      <c r="B1759" s="760" t="n"/>
      <c r="C1759" s="762" t="n"/>
      <c r="D1759" s="762" t="n"/>
      <c r="E1759" s="775" t="n"/>
      <c r="F1759" s="821" t="n"/>
      <c r="G1759" s="821" t="n"/>
      <c r="H1759" s="818">
        <f>IF(G1759=1,F1759-I1759-J1759-K1759,IF(G1759=2,F1759,0))</f>
        <v>0</v>
      </c>
      <c r="I1759" s="818">
        <f>ROUND(IF(G1759=1,F1759*10/23,IF(G1759=3,F1759-J1759-K1759,IF(G1759=4,F1759,IF(G1759=5,F1759*10/11,IF(G1759=7,F1759*10/11,0))))),0)</f>
        <v>0</v>
      </c>
      <c r="J1759" s="818">
        <f>ROUND(IF(G1759=1,F1759/23,IF(G1759=3,F1759/12,IF(G1759=5,F1759-I1759,IF(G1759=8,F1759,0)))),0)</f>
        <v>0</v>
      </c>
      <c r="K1759" s="819">
        <f>ROUND(IF(G1759=1,F1759/23,IF(G1759=3,F1759/12,IF(G1759=6,F1759,IF(G1759=7,F1759-I1759,0)))),0)</f>
        <v>0</v>
      </c>
      <c r="L1759" s="820">
        <f>IF(G1759=6,F1759,0)</f>
        <v>0</v>
      </c>
      <c r="P1759" s="768" t="n"/>
      <c r="Q1759" s="769" t="str">
        <f>IF($F1759="","",IFERROR(VLOOKUP($C1759&amp;"|"&amp;$D1759,科目表!$A$5:$B$200,2,FALSE),"※未登録"))</f>
        <v/>
      </c>
      <c r="R1759" s="769" t="str">
        <f>IF($F1759="","",$I1759+$J1759+$K1759)</f>
        <v/>
      </c>
      <c r="S1759" s="769" t="str">
        <f>IF(OR($F1759="",$P1759="支払なし",$H1759=0,$Q1759=""),"",$Q1759&amp;"|S|"&amp;(COUNTIF(S$4:S1758,$Q1759&amp;"|S|*")+1))</f>
        <v/>
      </c>
      <c r="T1759" s="769" t="str">
        <f>IF(OR($F1759="",$P1759="支払なし",$R1759=0,$Q1759=""),"",$Q1759&amp;"|L|"&amp;(COUNTIF(T$4:T1758,$Q1759&amp;"|L|*")+1))</f>
        <v/>
      </c>
      <c r="U1759" s="769" t="str">
        <f>IF($F1759="","",13)</f>
        <v/>
      </c>
    </row>
    <row r="1760" ht="16.5" customHeight="1" s="186">
      <c r="A1760" s="760" t="n"/>
      <c r="B1760" s="760" t="n"/>
      <c r="C1760" s="762" t="n"/>
      <c r="D1760" s="762" t="n"/>
      <c r="E1760" s="775" t="n"/>
      <c r="F1760" s="821" t="n"/>
      <c r="G1760" s="821" t="n"/>
      <c r="H1760" s="818">
        <f>IF(G1760=1,F1760-I1760-J1760-K1760,IF(G1760=2,F1760,0))</f>
        <v>0</v>
      </c>
      <c r="I1760" s="818">
        <f>ROUND(IF(G1760=1,F1760*10/23,IF(G1760=3,F1760-J1760-K1760,IF(G1760=4,F1760,IF(G1760=5,F1760*10/11,IF(G1760=7,F1760*10/11,0))))),0)</f>
        <v>0</v>
      </c>
      <c r="J1760" s="818">
        <f>ROUND(IF(G1760=1,F1760/23,IF(G1760=3,F1760/12,IF(G1760=5,F1760-I1760,IF(G1760=8,F1760,0)))),0)</f>
        <v>0</v>
      </c>
      <c r="K1760" s="819">
        <f>ROUND(IF(G1760=1,F1760/23,IF(G1760=3,F1760/12,IF(G1760=6,F1760,IF(G1760=7,F1760-I1760,0)))),0)</f>
        <v>0</v>
      </c>
      <c r="L1760" s="820">
        <f>IF(G1760=6,F1760,0)</f>
        <v>0</v>
      </c>
      <c r="P1760" s="768" t="n"/>
      <c r="Q1760" s="769" t="str">
        <f>IF($F1760="","",IFERROR(VLOOKUP($C1760&amp;"|"&amp;$D1760,科目表!$A$5:$B$200,2,FALSE),"※未登録"))</f>
        <v/>
      </c>
      <c r="R1760" s="769" t="str">
        <f>IF($F1760="","",$I1760+$J1760+$K1760)</f>
        <v/>
      </c>
      <c r="S1760" s="769" t="str">
        <f>IF(OR($F1760="",$P1760="支払なし",$H1760=0,$Q1760=""),"",$Q1760&amp;"|S|"&amp;(COUNTIF(S$4:S1759,$Q1760&amp;"|S|*")+1))</f>
        <v/>
      </c>
      <c r="T1760" s="769" t="str">
        <f>IF(OR($F1760="",$P1760="支払なし",$R1760=0,$Q1760=""),"",$Q1760&amp;"|L|"&amp;(COUNTIF(T$4:T1759,$Q1760&amp;"|L|*")+1))</f>
        <v/>
      </c>
      <c r="U1760" s="769" t="str">
        <f>IF($F1760="","",13)</f>
        <v/>
      </c>
    </row>
    <row r="1761" ht="16.5" customHeight="1" s="186">
      <c r="A1761" s="760" t="n"/>
      <c r="B1761" s="760" t="n"/>
      <c r="C1761" s="762" t="n"/>
      <c r="D1761" s="762" t="n"/>
      <c r="E1761" s="775" t="n"/>
      <c r="F1761" s="821" t="n"/>
      <c r="G1761" s="821" t="n"/>
      <c r="H1761" s="818">
        <f>IF(G1761=1,F1761-I1761-J1761-K1761,IF(G1761=2,F1761,0))</f>
        <v>0</v>
      </c>
      <c r="I1761" s="818">
        <f>ROUND(IF(G1761=1,F1761*10/23,IF(G1761=3,F1761-J1761-K1761,IF(G1761=4,F1761,IF(G1761=5,F1761*10/11,IF(G1761=7,F1761*10/11,0))))),0)</f>
        <v>0</v>
      </c>
      <c r="J1761" s="818">
        <f>ROUND(IF(G1761=1,F1761/23,IF(G1761=3,F1761/12,IF(G1761=5,F1761-I1761,IF(G1761=8,F1761,0)))),0)</f>
        <v>0</v>
      </c>
      <c r="K1761" s="819">
        <f>ROUND(IF(G1761=1,F1761/23,IF(G1761=3,F1761/12,IF(G1761=6,F1761,IF(G1761=7,F1761-I1761,0)))),0)</f>
        <v>0</v>
      </c>
      <c r="L1761" s="820">
        <f>IF(G1761=6,F1761,0)</f>
        <v>0</v>
      </c>
      <c r="P1761" s="768" t="n"/>
      <c r="Q1761" s="769" t="str">
        <f>IF($F1761="","",IFERROR(VLOOKUP($C1761&amp;"|"&amp;$D1761,科目表!$A$5:$B$200,2,FALSE),"※未登録"))</f>
        <v/>
      </c>
      <c r="R1761" s="769" t="str">
        <f>IF($F1761="","",$I1761+$J1761+$K1761)</f>
        <v/>
      </c>
      <c r="S1761" s="769" t="str">
        <f>IF(OR($F1761="",$P1761="支払なし",$H1761=0,$Q1761=""),"",$Q1761&amp;"|S|"&amp;(COUNTIF(S$4:S1760,$Q1761&amp;"|S|*")+1))</f>
        <v/>
      </c>
      <c r="T1761" s="769" t="str">
        <f>IF(OR($F1761="",$P1761="支払なし",$R1761=0,$Q1761=""),"",$Q1761&amp;"|L|"&amp;(COUNTIF(T$4:T1760,$Q1761&amp;"|L|*")+1))</f>
        <v/>
      </c>
      <c r="U1761" s="769" t="str">
        <f>IF($F1761="","",13)</f>
        <v/>
      </c>
    </row>
    <row r="1762" ht="16.5" customHeight="1" s="186">
      <c r="A1762" s="760" t="n"/>
      <c r="B1762" s="760" t="n"/>
      <c r="C1762" s="762" t="n"/>
      <c r="D1762" s="762" t="n"/>
      <c r="E1762" s="775" t="n"/>
      <c r="F1762" s="821" t="n"/>
      <c r="G1762" s="821" t="n"/>
      <c r="H1762" s="818">
        <f>IF(G1762=1,F1762-I1762-J1762-K1762,IF(G1762=2,F1762,0))</f>
        <v>0</v>
      </c>
      <c r="I1762" s="818">
        <f>ROUND(IF(G1762=1,F1762*10/23,IF(G1762=3,F1762-J1762-K1762,IF(G1762=4,F1762,IF(G1762=5,F1762*10/11,IF(G1762=7,F1762*10/11,0))))),0)</f>
        <v>0</v>
      </c>
      <c r="J1762" s="818">
        <f>ROUND(IF(G1762=1,F1762/23,IF(G1762=3,F1762/12,IF(G1762=5,F1762-I1762,IF(G1762=8,F1762,0)))),0)</f>
        <v>0</v>
      </c>
      <c r="K1762" s="819">
        <f>ROUND(IF(G1762=1,F1762/23,IF(G1762=3,F1762/12,IF(G1762=6,F1762,IF(G1762=7,F1762-I1762,0)))),0)</f>
        <v>0</v>
      </c>
      <c r="L1762" s="820">
        <f>IF(G1762=6,F1762,0)</f>
        <v>0</v>
      </c>
      <c r="P1762" s="768" t="n"/>
      <c r="Q1762" s="769" t="str">
        <f>IF($F1762="","",IFERROR(VLOOKUP($C1762&amp;"|"&amp;$D1762,科目表!$A$5:$B$200,2,FALSE),"※未登録"))</f>
        <v/>
      </c>
      <c r="R1762" s="769" t="str">
        <f>IF($F1762="","",$I1762+$J1762+$K1762)</f>
        <v/>
      </c>
      <c r="S1762" s="769" t="str">
        <f>IF(OR($F1762="",$P1762="支払なし",$H1762=0,$Q1762=""),"",$Q1762&amp;"|S|"&amp;(COUNTIF(S$4:S1761,$Q1762&amp;"|S|*")+1))</f>
        <v/>
      </c>
      <c r="T1762" s="769" t="str">
        <f>IF(OR($F1762="",$P1762="支払なし",$R1762=0,$Q1762=""),"",$Q1762&amp;"|L|"&amp;(COUNTIF(T$4:T1761,$Q1762&amp;"|L|*")+1))</f>
        <v/>
      </c>
      <c r="U1762" s="769" t="str">
        <f>IF($F1762="","",13)</f>
        <v/>
      </c>
    </row>
    <row r="1763" ht="16.5" customHeight="1" s="186">
      <c r="A1763" s="760" t="n"/>
      <c r="B1763" s="760" t="n"/>
      <c r="C1763" s="762" t="n"/>
      <c r="D1763" s="762" t="n"/>
      <c r="E1763" s="775" t="n"/>
      <c r="F1763" s="821" t="n"/>
      <c r="G1763" s="821" t="n"/>
      <c r="H1763" s="818">
        <f>IF(G1763=1,F1763-I1763-J1763-K1763,IF(G1763=2,F1763,0))</f>
        <v>0</v>
      </c>
      <c r="I1763" s="818">
        <f>ROUND(IF(G1763=1,F1763*10/23,IF(G1763=3,F1763-J1763-K1763,IF(G1763=4,F1763,IF(G1763=5,F1763*10/11,IF(G1763=7,F1763*10/11,0))))),0)</f>
        <v>0</v>
      </c>
      <c r="J1763" s="818">
        <f>ROUND(IF(G1763=1,F1763/23,IF(G1763=3,F1763/12,IF(G1763=5,F1763-I1763,IF(G1763=8,F1763,0)))),0)</f>
        <v>0</v>
      </c>
      <c r="K1763" s="819">
        <f>ROUND(IF(G1763=1,F1763/23,IF(G1763=3,F1763/12,IF(G1763=6,F1763,IF(G1763=7,F1763-I1763,0)))),0)</f>
        <v>0</v>
      </c>
      <c r="L1763" s="820">
        <f>IF(G1763=6,F1763,0)</f>
        <v>0</v>
      </c>
      <c r="P1763" s="768" t="n"/>
      <c r="Q1763" s="769" t="str">
        <f>IF($F1763="","",IFERROR(VLOOKUP($C1763&amp;"|"&amp;$D1763,科目表!$A$5:$B$200,2,FALSE),"※未登録"))</f>
        <v/>
      </c>
      <c r="R1763" s="769" t="str">
        <f>IF($F1763="","",$I1763+$J1763+$K1763)</f>
        <v/>
      </c>
      <c r="S1763" s="769" t="str">
        <f>IF(OR($F1763="",$P1763="支払なし",$H1763=0,$Q1763=""),"",$Q1763&amp;"|S|"&amp;(COUNTIF(S$4:S1762,$Q1763&amp;"|S|*")+1))</f>
        <v/>
      </c>
      <c r="T1763" s="769" t="str">
        <f>IF(OR($F1763="",$P1763="支払なし",$R1763=0,$Q1763=""),"",$Q1763&amp;"|L|"&amp;(COUNTIF(T$4:T1762,$Q1763&amp;"|L|*")+1))</f>
        <v/>
      </c>
      <c r="U1763" s="769" t="str">
        <f>IF($F1763="","",13)</f>
        <v/>
      </c>
    </row>
    <row r="1764" ht="16.5" customHeight="1" s="186">
      <c r="A1764" s="760" t="n"/>
      <c r="B1764" s="760" t="n"/>
      <c r="C1764" s="762" t="n"/>
      <c r="D1764" s="762" t="n"/>
      <c r="E1764" s="775" t="n"/>
      <c r="F1764" s="821" t="n"/>
      <c r="G1764" s="821" t="n"/>
      <c r="H1764" s="818">
        <f>IF(G1764=1,F1764-I1764-J1764-K1764,IF(G1764=2,F1764,0))</f>
        <v>0</v>
      </c>
      <c r="I1764" s="818">
        <f>ROUND(IF(G1764=1,F1764*10/23,IF(G1764=3,F1764-J1764-K1764,IF(G1764=4,F1764,IF(G1764=5,F1764*10/11,IF(G1764=7,F1764*10/11,0))))),0)</f>
        <v>0</v>
      </c>
      <c r="J1764" s="818">
        <f>ROUND(IF(G1764=1,F1764/23,IF(G1764=3,F1764/12,IF(G1764=5,F1764-I1764,IF(G1764=8,F1764,0)))),0)</f>
        <v>0</v>
      </c>
      <c r="K1764" s="819">
        <f>ROUND(IF(G1764=1,F1764/23,IF(G1764=3,F1764/12,IF(G1764=6,F1764,IF(G1764=7,F1764-I1764,0)))),0)</f>
        <v>0</v>
      </c>
      <c r="L1764" s="820">
        <f>IF(G1764=6,F1764,0)</f>
        <v>0</v>
      </c>
      <c r="P1764" s="768" t="n"/>
      <c r="Q1764" s="769" t="str">
        <f>IF($F1764="","",IFERROR(VLOOKUP($C1764&amp;"|"&amp;$D1764,科目表!$A$5:$B$200,2,FALSE),"※未登録"))</f>
        <v/>
      </c>
      <c r="R1764" s="769" t="str">
        <f>IF($F1764="","",$I1764+$J1764+$K1764)</f>
        <v/>
      </c>
      <c r="S1764" s="769" t="str">
        <f>IF(OR($F1764="",$P1764="支払なし",$H1764=0,$Q1764=""),"",$Q1764&amp;"|S|"&amp;(COUNTIF(S$4:S1763,$Q1764&amp;"|S|*")+1))</f>
        <v/>
      </c>
      <c r="T1764" s="769" t="str">
        <f>IF(OR($F1764="",$P1764="支払なし",$R1764=0,$Q1764=""),"",$Q1764&amp;"|L|"&amp;(COUNTIF(T$4:T1763,$Q1764&amp;"|L|*")+1))</f>
        <v/>
      </c>
      <c r="U1764" s="769" t="str">
        <f>IF($F1764="","",13)</f>
        <v/>
      </c>
    </row>
    <row r="1765" ht="16.5" customHeight="1" s="186">
      <c r="A1765" s="760" t="n"/>
      <c r="B1765" s="760" t="n"/>
      <c r="C1765" s="762" t="n"/>
      <c r="D1765" s="762" t="n"/>
      <c r="E1765" s="775" t="n"/>
      <c r="F1765" s="821" t="n"/>
      <c r="G1765" s="821" t="n"/>
      <c r="H1765" s="818">
        <f>IF(G1765=1,F1765-I1765-J1765-K1765,IF(G1765=2,F1765,0))</f>
        <v>0</v>
      </c>
      <c r="I1765" s="818">
        <f>ROUND(IF(G1765=1,F1765*10/23,IF(G1765=3,F1765-J1765-K1765,IF(G1765=4,F1765,IF(G1765=5,F1765*10/11,IF(G1765=7,F1765*10/11,0))))),0)</f>
        <v>0</v>
      </c>
      <c r="J1765" s="818">
        <f>ROUND(IF(G1765=1,F1765/23,IF(G1765=3,F1765/12,IF(G1765=5,F1765-I1765,IF(G1765=8,F1765,0)))),0)</f>
        <v>0</v>
      </c>
      <c r="K1765" s="819">
        <f>ROUND(IF(G1765=1,F1765/23,IF(G1765=3,F1765/12,IF(G1765=6,F1765,IF(G1765=7,F1765-I1765,0)))),0)</f>
        <v>0</v>
      </c>
      <c r="L1765" s="820">
        <f>IF(G1765=6,F1765,0)</f>
        <v>0</v>
      </c>
      <c r="P1765" s="768" t="n"/>
      <c r="Q1765" s="769" t="str">
        <f>IF($F1765="","",IFERROR(VLOOKUP($C1765&amp;"|"&amp;$D1765,科目表!$A$5:$B$200,2,FALSE),"※未登録"))</f>
        <v/>
      </c>
      <c r="R1765" s="769" t="str">
        <f>IF($F1765="","",$I1765+$J1765+$K1765)</f>
        <v/>
      </c>
      <c r="S1765" s="769" t="str">
        <f>IF(OR($F1765="",$P1765="支払なし",$H1765=0,$Q1765=""),"",$Q1765&amp;"|S|"&amp;(COUNTIF(S$4:S1764,$Q1765&amp;"|S|*")+1))</f>
        <v/>
      </c>
      <c r="T1765" s="769" t="str">
        <f>IF(OR($F1765="",$P1765="支払なし",$R1765=0,$Q1765=""),"",$Q1765&amp;"|L|"&amp;(COUNTIF(T$4:T1764,$Q1765&amp;"|L|*")+1))</f>
        <v/>
      </c>
      <c r="U1765" s="769" t="str">
        <f>IF($F1765="","",13)</f>
        <v/>
      </c>
    </row>
    <row r="1766" ht="16.5" customHeight="1" s="186">
      <c r="A1766" s="760" t="n"/>
      <c r="B1766" s="760" t="n"/>
      <c r="C1766" s="762" t="n"/>
      <c r="D1766" s="762" t="n"/>
      <c r="E1766" s="775" t="n"/>
      <c r="F1766" s="821" t="n"/>
      <c r="G1766" s="821" t="n"/>
      <c r="H1766" s="818">
        <f>IF(G1766=1,F1766-I1766-J1766-K1766,IF(G1766=2,F1766,0))</f>
        <v>0</v>
      </c>
      <c r="I1766" s="818">
        <f>ROUND(IF(G1766=1,F1766*10/23,IF(G1766=3,F1766-J1766-K1766,IF(G1766=4,F1766,IF(G1766=5,F1766*10/11,IF(G1766=7,F1766*10/11,0))))),0)</f>
        <v>0</v>
      </c>
      <c r="J1766" s="818">
        <f>ROUND(IF(G1766=1,F1766/23,IF(G1766=3,F1766/12,IF(G1766=5,F1766-I1766,IF(G1766=8,F1766,0)))),0)</f>
        <v>0</v>
      </c>
      <c r="K1766" s="819">
        <f>ROUND(IF(G1766=1,F1766/23,IF(G1766=3,F1766/12,IF(G1766=6,F1766,IF(G1766=7,F1766-I1766,0)))),0)</f>
        <v>0</v>
      </c>
      <c r="L1766" s="820">
        <f>IF(G1766=6,F1766,0)</f>
        <v>0</v>
      </c>
      <c r="P1766" s="768" t="n"/>
      <c r="Q1766" s="769" t="str">
        <f>IF($F1766="","",IFERROR(VLOOKUP($C1766&amp;"|"&amp;$D1766,科目表!$A$5:$B$200,2,FALSE),"※未登録"))</f>
        <v/>
      </c>
      <c r="R1766" s="769" t="str">
        <f>IF($F1766="","",$I1766+$J1766+$K1766)</f>
        <v/>
      </c>
      <c r="S1766" s="769" t="str">
        <f>IF(OR($F1766="",$P1766="支払なし",$H1766=0,$Q1766=""),"",$Q1766&amp;"|S|"&amp;(COUNTIF(S$4:S1765,$Q1766&amp;"|S|*")+1))</f>
        <v/>
      </c>
      <c r="T1766" s="769" t="str">
        <f>IF(OR($F1766="",$P1766="支払なし",$R1766=0,$Q1766=""),"",$Q1766&amp;"|L|"&amp;(COUNTIF(T$4:T1765,$Q1766&amp;"|L|*")+1))</f>
        <v/>
      </c>
      <c r="U1766" s="769" t="str">
        <f>IF($F1766="","",13)</f>
        <v/>
      </c>
    </row>
    <row r="1767" ht="16.5" customHeight="1" s="186">
      <c r="A1767" s="760" t="n"/>
      <c r="B1767" s="760" t="n"/>
      <c r="C1767" s="762" t="n"/>
      <c r="D1767" s="762" t="n"/>
      <c r="E1767" s="775" t="n"/>
      <c r="F1767" s="821" t="n"/>
      <c r="G1767" s="821" t="n"/>
      <c r="H1767" s="818">
        <f>IF(G1767=1,F1767-I1767-J1767-K1767,IF(G1767=2,F1767,0))</f>
        <v>0</v>
      </c>
      <c r="I1767" s="818">
        <f>ROUND(IF(G1767=1,F1767*10/23,IF(G1767=3,F1767-J1767-K1767,IF(G1767=4,F1767,IF(G1767=5,F1767*10/11,IF(G1767=7,F1767*10/11,0))))),0)</f>
        <v>0</v>
      </c>
      <c r="J1767" s="818">
        <f>ROUND(IF(G1767=1,F1767/23,IF(G1767=3,F1767/12,IF(G1767=5,F1767-I1767,IF(G1767=8,F1767,0)))),0)</f>
        <v>0</v>
      </c>
      <c r="K1767" s="819">
        <f>ROUND(IF(G1767=1,F1767/23,IF(G1767=3,F1767/12,IF(G1767=6,F1767,IF(G1767=7,F1767-I1767,0)))),0)</f>
        <v>0</v>
      </c>
      <c r="L1767" s="820">
        <f>IF(G1767=6,F1767,0)</f>
        <v>0</v>
      </c>
      <c r="P1767" s="768" t="n"/>
      <c r="Q1767" s="769" t="str">
        <f>IF($F1767="","",IFERROR(VLOOKUP($C1767&amp;"|"&amp;$D1767,科目表!$A$5:$B$200,2,FALSE),"※未登録"))</f>
        <v/>
      </c>
      <c r="R1767" s="769" t="str">
        <f>IF($F1767="","",$I1767+$J1767+$K1767)</f>
        <v/>
      </c>
      <c r="S1767" s="769" t="str">
        <f>IF(OR($F1767="",$P1767="支払なし",$H1767=0,$Q1767=""),"",$Q1767&amp;"|S|"&amp;(COUNTIF(S$4:S1766,$Q1767&amp;"|S|*")+1))</f>
        <v/>
      </c>
      <c r="T1767" s="769" t="str">
        <f>IF(OR($F1767="",$P1767="支払なし",$R1767=0,$Q1767=""),"",$Q1767&amp;"|L|"&amp;(COUNTIF(T$4:T1766,$Q1767&amp;"|L|*")+1))</f>
        <v/>
      </c>
      <c r="U1767" s="769" t="str">
        <f>IF($F1767="","",13)</f>
        <v/>
      </c>
    </row>
    <row r="1768" ht="16.5" customHeight="1" s="186">
      <c r="A1768" s="760" t="n"/>
      <c r="B1768" s="760" t="n"/>
      <c r="C1768" s="762" t="n"/>
      <c r="D1768" s="762" t="n"/>
      <c r="E1768" s="775" t="n"/>
      <c r="F1768" s="821" t="n"/>
      <c r="G1768" s="821" t="n"/>
      <c r="H1768" s="818">
        <f>IF(G1768=1,F1768-I1768-J1768-K1768,IF(G1768=2,F1768,0))</f>
        <v>0</v>
      </c>
      <c r="I1768" s="818">
        <f>ROUND(IF(G1768=1,F1768*10/23,IF(G1768=3,F1768-J1768-K1768,IF(G1768=4,F1768,IF(G1768=5,F1768*10/11,IF(G1768=7,F1768*10/11,0))))),0)</f>
        <v>0</v>
      </c>
      <c r="J1768" s="818">
        <f>ROUND(IF(G1768=1,F1768/23,IF(G1768=3,F1768/12,IF(G1768=5,F1768-I1768,IF(G1768=8,F1768,0)))),0)</f>
        <v>0</v>
      </c>
      <c r="K1768" s="819">
        <f>ROUND(IF(G1768=1,F1768/23,IF(G1768=3,F1768/12,IF(G1768=6,F1768,IF(G1768=7,F1768-I1768,0)))),0)</f>
        <v>0</v>
      </c>
      <c r="L1768" s="820">
        <f>IF(G1768=6,F1768,0)</f>
        <v>0</v>
      </c>
      <c r="P1768" s="768" t="n"/>
      <c r="Q1768" s="769" t="str">
        <f>IF($F1768="","",IFERROR(VLOOKUP($C1768&amp;"|"&amp;$D1768,科目表!$A$5:$B$200,2,FALSE),"※未登録"))</f>
        <v/>
      </c>
      <c r="R1768" s="769" t="str">
        <f>IF($F1768="","",$I1768+$J1768+$K1768)</f>
        <v/>
      </c>
      <c r="S1768" s="769" t="str">
        <f>IF(OR($F1768="",$P1768="支払なし",$H1768=0,$Q1768=""),"",$Q1768&amp;"|S|"&amp;(COUNTIF(S$4:S1767,$Q1768&amp;"|S|*")+1))</f>
        <v/>
      </c>
      <c r="T1768" s="769" t="str">
        <f>IF(OR($F1768="",$P1768="支払なし",$R1768=0,$Q1768=""),"",$Q1768&amp;"|L|"&amp;(COUNTIF(T$4:T1767,$Q1768&amp;"|L|*")+1))</f>
        <v/>
      </c>
      <c r="U1768" s="769" t="str">
        <f>IF($F1768="","",13)</f>
        <v/>
      </c>
    </row>
    <row r="1769" ht="16.5" customHeight="1" s="186">
      <c r="A1769" s="760" t="n"/>
      <c r="B1769" s="760" t="n"/>
      <c r="C1769" s="762" t="n"/>
      <c r="D1769" s="762" t="n"/>
      <c r="E1769" s="775" t="n"/>
      <c r="F1769" s="821" t="n"/>
      <c r="G1769" s="821" t="n"/>
      <c r="H1769" s="818">
        <f>IF(G1769=1,F1769-I1769-J1769-K1769,IF(G1769=2,F1769,0))</f>
        <v>0</v>
      </c>
      <c r="I1769" s="818">
        <f>ROUND(IF(G1769=1,F1769*10/23,IF(G1769=3,F1769-J1769-K1769,IF(G1769=4,F1769,IF(G1769=5,F1769*10/11,IF(G1769=7,F1769*10/11,0))))),0)</f>
        <v>0</v>
      </c>
      <c r="J1769" s="818">
        <f>ROUND(IF(G1769=1,F1769/23,IF(G1769=3,F1769/12,IF(G1769=5,F1769-I1769,IF(G1769=8,F1769,0)))),0)</f>
        <v>0</v>
      </c>
      <c r="K1769" s="819">
        <f>ROUND(IF(G1769=1,F1769/23,IF(G1769=3,F1769/12,IF(G1769=6,F1769,IF(G1769=7,F1769-I1769,0)))),0)</f>
        <v>0</v>
      </c>
      <c r="L1769" s="820">
        <f>IF(G1769=6,F1769,0)</f>
        <v>0</v>
      </c>
      <c r="P1769" s="768" t="n"/>
      <c r="Q1769" s="769" t="str">
        <f>IF($F1769="","",IFERROR(VLOOKUP($C1769&amp;"|"&amp;$D1769,科目表!$A$5:$B$200,2,FALSE),"※未登録"))</f>
        <v/>
      </c>
      <c r="R1769" s="769" t="str">
        <f>IF($F1769="","",$I1769+$J1769+$K1769)</f>
        <v/>
      </c>
      <c r="S1769" s="769" t="str">
        <f>IF(OR($F1769="",$P1769="支払なし",$H1769=0,$Q1769=""),"",$Q1769&amp;"|S|"&amp;(COUNTIF(S$4:S1768,$Q1769&amp;"|S|*")+1))</f>
        <v/>
      </c>
      <c r="T1769" s="769" t="str">
        <f>IF(OR($F1769="",$P1769="支払なし",$R1769=0,$Q1769=""),"",$Q1769&amp;"|L|"&amp;(COUNTIF(T$4:T1768,$Q1769&amp;"|L|*")+1))</f>
        <v/>
      </c>
      <c r="U1769" s="769" t="str">
        <f>IF($F1769="","",13)</f>
        <v/>
      </c>
    </row>
    <row r="1770" ht="16.5" customHeight="1" s="186">
      <c r="A1770" s="760" t="n"/>
      <c r="B1770" s="760" t="n"/>
      <c r="C1770" s="762" t="n"/>
      <c r="D1770" s="762" t="n"/>
      <c r="E1770" s="775" t="n"/>
      <c r="F1770" s="821" t="n"/>
      <c r="G1770" s="821" t="n"/>
      <c r="H1770" s="818">
        <f>IF(G1770=1,F1770-I1770-J1770-K1770,IF(G1770=2,F1770,0))</f>
        <v>0</v>
      </c>
      <c r="I1770" s="818">
        <f>ROUND(IF(G1770=1,F1770*10/23,IF(G1770=3,F1770-J1770-K1770,IF(G1770=4,F1770,IF(G1770=5,F1770*10/11,IF(G1770=7,F1770*10/11,0))))),0)</f>
        <v>0</v>
      </c>
      <c r="J1770" s="818">
        <f>ROUND(IF(G1770=1,F1770/23,IF(G1770=3,F1770/12,IF(G1770=5,F1770-I1770,IF(G1770=8,F1770,0)))),0)</f>
        <v>0</v>
      </c>
      <c r="K1770" s="819">
        <f>ROUND(IF(G1770=1,F1770/23,IF(G1770=3,F1770/12,IF(G1770=6,F1770,IF(G1770=7,F1770-I1770,0)))),0)</f>
        <v>0</v>
      </c>
      <c r="L1770" s="820">
        <f>IF(G1770=6,F1770,0)</f>
        <v>0</v>
      </c>
      <c r="P1770" s="768" t="n"/>
      <c r="Q1770" s="769" t="str">
        <f>IF($F1770="","",IFERROR(VLOOKUP($C1770&amp;"|"&amp;$D1770,科目表!$A$5:$B$200,2,FALSE),"※未登録"))</f>
        <v/>
      </c>
      <c r="R1770" s="769" t="str">
        <f>IF($F1770="","",$I1770+$J1770+$K1770)</f>
        <v/>
      </c>
      <c r="S1770" s="769" t="str">
        <f>IF(OR($F1770="",$P1770="支払なし",$H1770=0,$Q1770=""),"",$Q1770&amp;"|S|"&amp;(COUNTIF(S$4:S1769,$Q1770&amp;"|S|*")+1))</f>
        <v/>
      </c>
      <c r="T1770" s="769" t="str">
        <f>IF(OR($F1770="",$P1770="支払なし",$R1770=0,$Q1770=""),"",$Q1770&amp;"|L|"&amp;(COUNTIF(T$4:T1769,$Q1770&amp;"|L|*")+1))</f>
        <v/>
      </c>
      <c r="U1770" s="769" t="str">
        <f>IF($F1770="","",13)</f>
        <v/>
      </c>
    </row>
    <row r="1771" ht="16.5" customHeight="1" s="186">
      <c r="A1771" s="760" t="n"/>
      <c r="B1771" s="760" t="n"/>
      <c r="C1771" s="762" t="n"/>
      <c r="D1771" s="762" t="n"/>
      <c r="E1771" s="775" t="n"/>
      <c r="F1771" s="821" t="n"/>
      <c r="G1771" s="821" t="n"/>
      <c r="H1771" s="818">
        <f>IF(G1771=1,F1771-I1771-J1771-K1771,IF(G1771=2,F1771,0))</f>
        <v>0</v>
      </c>
      <c r="I1771" s="818">
        <f>ROUND(IF(G1771=1,F1771*10/23,IF(G1771=3,F1771-J1771-K1771,IF(G1771=4,F1771,IF(G1771=5,F1771*10/11,IF(G1771=7,F1771*10/11,0))))),0)</f>
        <v>0</v>
      </c>
      <c r="J1771" s="818">
        <f>ROUND(IF(G1771=1,F1771/23,IF(G1771=3,F1771/12,IF(G1771=5,F1771-I1771,IF(G1771=8,F1771,0)))),0)</f>
        <v>0</v>
      </c>
      <c r="K1771" s="819">
        <f>ROUND(IF(G1771=1,F1771/23,IF(G1771=3,F1771/12,IF(G1771=6,F1771,IF(G1771=7,F1771-I1771,0)))),0)</f>
        <v>0</v>
      </c>
      <c r="L1771" s="820">
        <f>IF(G1771=6,F1771,0)</f>
        <v>0</v>
      </c>
      <c r="P1771" s="768" t="n"/>
      <c r="Q1771" s="769" t="str">
        <f>IF($F1771="","",IFERROR(VLOOKUP($C1771&amp;"|"&amp;$D1771,科目表!$A$5:$B$200,2,FALSE),"※未登録"))</f>
        <v/>
      </c>
      <c r="R1771" s="769" t="str">
        <f>IF($F1771="","",$I1771+$J1771+$K1771)</f>
        <v/>
      </c>
      <c r="S1771" s="769" t="str">
        <f>IF(OR($F1771="",$P1771="支払なし",$H1771=0,$Q1771=""),"",$Q1771&amp;"|S|"&amp;(COUNTIF(S$4:S1770,$Q1771&amp;"|S|*")+1))</f>
        <v/>
      </c>
      <c r="T1771" s="769" t="str">
        <f>IF(OR($F1771="",$P1771="支払なし",$R1771=0,$Q1771=""),"",$Q1771&amp;"|L|"&amp;(COUNTIF(T$4:T1770,$Q1771&amp;"|L|*")+1))</f>
        <v/>
      </c>
      <c r="U1771" s="769" t="str">
        <f>IF($F1771="","",13)</f>
        <v/>
      </c>
    </row>
    <row r="1772" ht="16.5" customHeight="1" s="186">
      <c r="A1772" s="760" t="n"/>
      <c r="B1772" s="760" t="n"/>
      <c r="C1772" s="762" t="n"/>
      <c r="D1772" s="762" t="n"/>
      <c r="E1772" s="775" t="n"/>
      <c r="F1772" s="821" t="n"/>
      <c r="G1772" s="821" t="n"/>
      <c r="H1772" s="818">
        <f>IF(G1772=1,F1772-I1772-J1772-K1772,IF(G1772=2,F1772,0))</f>
        <v>0</v>
      </c>
      <c r="I1772" s="818">
        <f>ROUND(IF(G1772=1,F1772*10/23,IF(G1772=3,F1772-J1772-K1772,IF(G1772=4,F1772,IF(G1772=5,F1772*10/11,IF(G1772=7,F1772*10/11,0))))),0)</f>
        <v>0</v>
      </c>
      <c r="J1772" s="818">
        <f>ROUND(IF(G1772=1,F1772/23,IF(G1772=3,F1772/12,IF(G1772=5,F1772-I1772,IF(G1772=8,F1772,0)))),0)</f>
        <v>0</v>
      </c>
      <c r="K1772" s="819">
        <f>ROUND(IF(G1772=1,F1772/23,IF(G1772=3,F1772/12,IF(G1772=6,F1772,IF(G1772=7,F1772-I1772,0)))),0)</f>
        <v>0</v>
      </c>
      <c r="L1772" s="820">
        <f>IF(G1772=6,F1772,0)</f>
        <v>0</v>
      </c>
      <c r="P1772" s="768" t="n"/>
      <c r="Q1772" s="769" t="str">
        <f>IF($F1772="","",IFERROR(VLOOKUP($C1772&amp;"|"&amp;$D1772,科目表!$A$5:$B$200,2,FALSE),"※未登録"))</f>
        <v/>
      </c>
      <c r="R1772" s="769" t="str">
        <f>IF($F1772="","",$I1772+$J1772+$K1772)</f>
        <v/>
      </c>
      <c r="S1772" s="769" t="str">
        <f>IF(OR($F1772="",$P1772="支払なし",$H1772=0,$Q1772=""),"",$Q1772&amp;"|S|"&amp;(COUNTIF(S$4:S1771,$Q1772&amp;"|S|*")+1))</f>
        <v/>
      </c>
      <c r="T1772" s="769" t="str">
        <f>IF(OR($F1772="",$P1772="支払なし",$R1772=0,$Q1772=""),"",$Q1772&amp;"|L|"&amp;(COUNTIF(T$4:T1771,$Q1772&amp;"|L|*")+1))</f>
        <v/>
      </c>
      <c r="U1772" s="769" t="str">
        <f>IF($F1772="","",13)</f>
        <v/>
      </c>
    </row>
    <row r="1773" ht="16.5" customHeight="1" s="186">
      <c r="A1773" s="760" t="n"/>
      <c r="B1773" s="760" t="n"/>
      <c r="C1773" s="762" t="n"/>
      <c r="D1773" s="762" t="n"/>
      <c r="E1773" s="775" t="n"/>
      <c r="F1773" s="821" t="n"/>
      <c r="G1773" s="821" t="n"/>
      <c r="H1773" s="818">
        <f>IF(G1773=1,F1773-I1773-J1773-K1773,IF(G1773=2,F1773,0))</f>
        <v>0</v>
      </c>
      <c r="I1773" s="818">
        <f>ROUND(IF(G1773=1,F1773*10/23,IF(G1773=3,F1773-J1773-K1773,IF(G1773=4,F1773,IF(G1773=5,F1773*10/11,IF(G1773=7,F1773*10/11,0))))),0)</f>
        <v>0</v>
      </c>
      <c r="J1773" s="818">
        <f>ROUND(IF(G1773=1,F1773/23,IF(G1773=3,F1773/12,IF(G1773=5,F1773-I1773,IF(G1773=8,F1773,0)))),0)</f>
        <v>0</v>
      </c>
      <c r="K1773" s="819">
        <f>ROUND(IF(G1773=1,F1773/23,IF(G1773=3,F1773/12,IF(G1773=6,F1773,IF(G1773=7,F1773-I1773,0)))),0)</f>
        <v>0</v>
      </c>
      <c r="L1773" s="820">
        <f>IF(G1773=6,F1773,0)</f>
        <v>0</v>
      </c>
      <c r="P1773" s="768" t="n"/>
      <c r="Q1773" s="769" t="str">
        <f>IF($F1773="","",IFERROR(VLOOKUP($C1773&amp;"|"&amp;$D1773,科目表!$A$5:$B$200,2,FALSE),"※未登録"))</f>
        <v/>
      </c>
      <c r="R1773" s="769" t="str">
        <f>IF($F1773="","",$I1773+$J1773+$K1773)</f>
        <v/>
      </c>
      <c r="S1773" s="769" t="str">
        <f>IF(OR($F1773="",$P1773="支払なし",$H1773=0,$Q1773=""),"",$Q1773&amp;"|S|"&amp;(COUNTIF(S$4:S1772,$Q1773&amp;"|S|*")+1))</f>
        <v/>
      </c>
      <c r="T1773" s="769" t="str">
        <f>IF(OR($F1773="",$P1773="支払なし",$R1773=0,$Q1773=""),"",$Q1773&amp;"|L|"&amp;(COUNTIF(T$4:T1772,$Q1773&amp;"|L|*")+1))</f>
        <v/>
      </c>
      <c r="U1773" s="769" t="str">
        <f>IF($F1773="","",13)</f>
        <v/>
      </c>
    </row>
    <row r="1774" ht="16.5" customHeight="1" s="186">
      <c r="A1774" s="760" t="n"/>
      <c r="B1774" s="760" t="n"/>
      <c r="C1774" s="762" t="n"/>
      <c r="D1774" s="762" t="n"/>
      <c r="E1774" s="775" t="n"/>
      <c r="F1774" s="821" t="n"/>
      <c r="G1774" s="821" t="n"/>
      <c r="H1774" s="818">
        <f>IF(G1774=1,F1774-I1774-J1774-K1774,IF(G1774=2,F1774,0))</f>
        <v>0</v>
      </c>
      <c r="I1774" s="818">
        <f>ROUND(IF(G1774=1,F1774*10/23,IF(G1774=3,F1774-J1774-K1774,IF(G1774=4,F1774,IF(G1774=5,F1774*10/11,IF(G1774=7,F1774*10/11,0))))),0)</f>
        <v>0</v>
      </c>
      <c r="J1774" s="818">
        <f>ROUND(IF(G1774=1,F1774/23,IF(G1774=3,F1774/12,IF(G1774=5,F1774-I1774,IF(G1774=8,F1774,0)))),0)</f>
        <v>0</v>
      </c>
      <c r="K1774" s="819">
        <f>ROUND(IF(G1774=1,F1774/23,IF(G1774=3,F1774/12,IF(G1774=6,F1774,IF(G1774=7,F1774-I1774,0)))),0)</f>
        <v>0</v>
      </c>
      <c r="L1774" s="820">
        <f>IF(G1774=6,F1774,0)</f>
        <v>0</v>
      </c>
      <c r="P1774" s="768" t="n"/>
      <c r="Q1774" s="769" t="str">
        <f>IF($F1774="","",IFERROR(VLOOKUP($C1774&amp;"|"&amp;$D1774,科目表!$A$5:$B$200,2,FALSE),"※未登録"))</f>
        <v/>
      </c>
      <c r="R1774" s="769" t="str">
        <f>IF($F1774="","",$I1774+$J1774+$K1774)</f>
        <v/>
      </c>
      <c r="S1774" s="769" t="str">
        <f>IF(OR($F1774="",$P1774="支払なし",$H1774=0,$Q1774=""),"",$Q1774&amp;"|S|"&amp;(COUNTIF(S$4:S1773,$Q1774&amp;"|S|*")+1))</f>
        <v/>
      </c>
      <c r="T1774" s="769" t="str">
        <f>IF(OR($F1774="",$P1774="支払なし",$R1774=0,$Q1774=""),"",$Q1774&amp;"|L|"&amp;(COUNTIF(T$4:T1773,$Q1774&amp;"|L|*")+1))</f>
        <v/>
      </c>
      <c r="U1774" s="769" t="str">
        <f>IF($F1774="","",13)</f>
        <v/>
      </c>
    </row>
    <row r="1775" ht="16.5" customHeight="1" s="186">
      <c r="A1775" s="760" t="n"/>
      <c r="B1775" s="760" t="n"/>
      <c r="C1775" s="762" t="n"/>
      <c r="D1775" s="762" t="n"/>
      <c r="E1775" s="775" t="n"/>
      <c r="F1775" s="821" t="n"/>
      <c r="G1775" s="821" t="n"/>
      <c r="H1775" s="818">
        <f>IF(G1775=1,F1775-I1775-J1775-K1775,IF(G1775=2,F1775,0))</f>
        <v>0</v>
      </c>
      <c r="I1775" s="818">
        <f>ROUND(IF(G1775=1,F1775*10/23,IF(G1775=3,F1775-J1775-K1775,IF(G1775=4,F1775,IF(G1775=5,F1775*10/11,IF(G1775=7,F1775*10/11,0))))),0)</f>
        <v>0</v>
      </c>
      <c r="J1775" s="818">
        <f>ROUND(IF(G1775=1,F1775/23,IF(G1775=3,F1775/12,IF(G1775=5,F1775-I1775,IF(G1775=8,F1775,0)))),0)</f>
        <v>0</v>
      </c>
      <c r="K1775" s="819">
        <f>ROUND(IF(G1775=1,F1775/23,IF(G1775=3,F1775/12,IF(G1775=6,F1775,IF(G1775=7,F1775-I1775,0)))),0)</f>
        <v>0</v>
      </c>
      <c r="L1775" s="820">
        <f>IF(G1775=6,F1775,0)</f>
        <v>0</v>
      </c>
      <c r="P1775" s="768" t="n"/>
      <c r="Q1775" s="769" t="str">
        <f>IF($F1775="","",IFERROR(VLOOKUP($C1775&amp;"|"&amp;$D1775,科目表!$A$5:$B$200,2,FALSE),"※未登録"))</f>
        <v/>
      </c>
      <c r="R1775" s="769" t="str">
        <f>IF($F1775="","",$I1775+$J1775+$K1775)</f>
        <v/>
      </c>
      <c r="S1775" s="769" t="str">
        <f>IF(OR($F1775="",$P1775="支払なし",$H1775=0,$Q1775=""),"",$Q1775&amp;"|S|"&amp;(COUNTIF(S$4:S1774,$Q1775&amp;"|S|*")+1))</f>
        <v/>
      </c>
      <c r="T1775" s="769" t="str">
        <f>IF(OR($F1775="",$P1775="支払なし",$R1775=0,$Q1775=""),"",$Q1775&amp;"|L|"&amp;(COUNTIF(T$4:T1774,$Q1775&amp;"|L|*")+1))</f>
        <v/>
      </c>
      <c r="U1775" s="769" t="str">
        <f>IF($F1775="","",13)</f>
        <v/>
      </c>
    </row>
    <row r="1776" ht="16.5" customHeight="1" s="186">
      <c r="A1776" s="760" t="n"/>
      <c r="B1776" s="760" t="n"/>
      <c r="C1776" s="762" t="n"/>
      <c r="D1776" s="762" t="n"/>
      <c r="E1776" s="775" t="n"/>
      <c r="F1776" s="821" t="n"/>
      <c r="G1776" s="821" t="n"/>
      <c r="H1776" s="818">
        <f>IF(G1776=1,F1776-I1776-J1776-K1776,IF(G1776=2,F1776,0))</f>
        <v>0</v>
      </c>
      <c r="I1776" s="818">
        <f>ROUND(IF(G1776=1,F1776*10/23,IF(G1776=3,F1776-J1776-K1776,IF(G1776=4,F1776,IF(G1776=5,F1776*10/11,IF(G1776=7,F1776*10/11,0))))),0)</f>
        <v>0</v>
      </c>
      <c r="J1776" s="818">
        <f>ROUND(IF(G1776=1,F1776/23,IF(G1776=3,F1776/12,IF(G1776=5,F1776-I1776,IF(G1776=8,F1776,0)))),0)</f>
        <v>0</v>
      </c>
      <c r="K1776" s="819">
        <f>ROUND(IF(G1776=1,F1776/23,IF(G1776=3,F1776/12,IF(G1776=6,F1776,IF(G1776=7,F1776-I1776,0)))),0)</f>
        <v>0</v>
      </c>
      <c r="L1776" s="820">
        <f>IF(G1776=6,F1776,0)</f>
        <v>0</v>
      </c>
      <c r="P1776" s="768" t="n"/>
      <c r="Q1776" s="769" t="str">
        <f>IF($F1776="","",IFERROR(VLOOKUP($C1776&amp;"|"&amp;$D1776,科目表!$A$5:$B$200,2,FALSE),"※未登録"))</f>
        <v/>
      </c>
      <c r="R1776" s="769" t="str">
        <f>IF($F1776="","",$I1776+$J1776+$K1776)</f>
        <v/>
      </c>
      <c r="S1776" s="769" t="str">
        <f>IF(OR($F1776="",$P1776="支払なし",$H1776=0,$Q1776=""),"",$Q1776&amp;"|S|"&amp;(COUNTIF(S$4:S1775,$Q1776&amp;"|S|*")+1))</f>
        <v/>
      </c>
      <c r="T1776" s="769" t="str">
        <f>IF(OR($F1776="",$P1776="支払なし",$R1776=0,$Q1776=""),"",$Q1776&amp;"|L|"&amp;(COUNTIF(T$4:T1775,$Q1776&amp;"|L|*")+1))</f>
        <v/>
      </c>
      <c r="U1776" s="769" t="str">
        <f>IF($F1776="","",13)</f>
        <v/>
      </c>
    </row>
    <row r="1777" ht="16.5" customHeight="1" s="186">
      <c r="A1777" s="760" t="n"/>
      <c r="B1777" s="760" t="n"/>
      <c r="C1777" s="762" t="n"/>
      <c r="D1777" s="762" t="n"/>
      <c r="E1777" s="775" t="n"/>
      <c r="F1777" s="821" t="n"/>
      <c r="G1777" s="821" t="n"/>
      <c r="H1777" s="818">
        <f>IF(G1777=1,F1777-I1777-J1777-K1777,IF(G1777=2,F1777,0))</f>
        <v>0</v>
      </c>
      <c r="I1777" s="818">
        <f>ROUND(IF(G1777=1,F1777*10/23,IF(G1777=3,F1777-J1777-K1777,IF(G1777=4,F1777,IF(G1777=5,F1777*10/11,IF(G1777=7,F1777*10/11,0))))),0)</f>
        <v>0</v>
      </c>
      <c r="J1777" s="818">
        <f>ROUND(IF(G1777=1,F1777/23,IF(G1777=3,F1777/12,IF(G1777=5,F1777-I1777,IF(G1777=8,F1777,0)))),0)</f>
        <v>0</v>
      </c>
      <c r="K1777" s="819">
        <f>ROUND(IF(G1777=1,F1777/23,IF(G1777=3,F1777/12,IF(G1777=6,F1777,IF(G1777=7,F1777-I1777,0)))),0)</f>
        <v>0</v>
      </c>
      <c r="L1777" s="820">
        <f>IF(G1777=6,F1777,0)</f>
        <v>0</v>
      </c>
      <c r="P1777" s="768" t="n"/>
      <c r="Q1777" s="769" t="str">
        <f>IF($F1777="","",IFERROR(VLOOKUP($C1777&amp;"|"&amp;$D1777,科目表!$A$5:$B$200,2,FALSE),"※未登録"))</f>
        <v/>
      </c>
      <c r="R1777" s="769" t="str">
        <f>IF($F1777="","",$I1777+$J1777+$K1777)</f>
        <v/>
      </c>
      <c r="S1777" s="769" t="str">
        <f>IF(OR($F1777="",$P1777="支払なし",$H1777=0,$Q1777=""),"",$Q1777&amp;"|S|"&amp;(COUNTIF(S$4:S1776,$Q1777&amp;"|S|*")+1))</f>
        <v/>
      </c>
      <c r="T1777" s="769" t="str">
        <f>IF(OR($F1777="",$P1777="支払なし",$R1777=0,$Q1777=""),"",$Q1777&amp;"|L|"&amp;(COUNTIF(T$4:T1776,$Q1777&amp;"|L|*")+1))</f>
        <v/>
      </c>
      <c r="U1777" s="769" t="str">
        <f>IF($F1777="","",13)</f>
        <v/>
      </c>
    </row>
    <row r="1778" ht="16.5" customHeight="1" s="186">
      <c r="A1778" s="760" t="n"/>
      <c r="B1778" s="760" t="n"/>
      <c r="C1778" s="762" t="n"/>
      <c r="D1778" s="762" t="n"/>
      <c r="E1778" s="775" t="n"/>
      <c r="F1778" s="821" t="n"/>
      <c r="G1778" s="821" t="n"/>
      <c r="H1778" s="818">
        <f>IF(G1778=1,F1778-I1778-J1778-K1778,IF(G1778=2,F1778,0))</f>
        <v>0</v>
      </c>
      <c r="I1778" s="818">
        <f>ROUND(IF(G1778=1,F1778*10/23,IF(G1778=3,F1778-J1778-K1778,IF(G1778=4,F1778,IF(G1778=5,F1778*10/11,IF(G1778=7,F1778*10/11,0))))),0)</f>
        <v>0</v>
      </c>
      <c r="J1778" s="818">
        <f>ROUND(IF(G1778=1,F1778/23,IF(G1778=3,F1778/12,IF(G1778=5,F1778-I1778,IF(G1778=8,F1778,0)))),0)</f>
        <v>0</v>
      </c>
      <c r="K1778" s="819">
        <f>ROUND(IF(G1778=1,F1778/23,IF(G1778=3,F1778/12,IF(G1778=6,F1778,IF(G1778=7,F1778-I1778,0)))),0)</f>
        <v>0</v>
      </c>
      <c r="L1778" s="820">
        <f>IF(G1778=6,F1778,0)</f>
        <v>0</v>
      </c>
      <c r="P1778" s="768" t="n"/>
      <c r="Q1778" s="769" t="str">
        <f>IF($F1778="","",IFERROR(VLOOKUP($C1778&amp;"|"&amp;$D1778,科目表!$A$5:$B$200,2,FALSE),"※未登録"))</f>
        <v/>
      </c>
      <c r="R1778" s="769" t="str">
        <f>IF($F1778="","",$I1778+$J1778+$K1778)</f>
        <v/>
      </c>
      <c r="S1778" s="769" t="str">
        <f>IF(OR($F1778="",$P1778="支払なし",$H1778=0,$Q1778=""),"",$Q1778&amp;"|S|"&amp;(COUNTIF(S$4:S1777,$Q1778&amp;"|S|*")+1))</f>
        <v/>
      </c>
      <c r="T1778" s="769" t="str">
        <f>IF(OR($F1778="",$P1778="支払なし",$R1778=0,$Q1778=""),"",$Q1778&amp;"|L|"&amp;(COUNTIF(T$4:T1777,$Q1778&amp;"|L|*")+1))</f>
        <v/>
      </c>
      <c r="U1778" s="769" t="str">
        <f>IF($F1778="","",13)</f>
        <v/>
      </c>
    </row>
    <row r="1779" ht="16.5" customHeight="1" s="186">
      <c r="A1779" s="760" t="n"/>
      <c r="B1779" s="760" t="n"/>
      <c r="C1779" s="762" t="n"/>
      <c r="D1779" s="762" t="n"/>
      <c r="E1779" s="775" t="n"/>
      <c r="F1779" s="821" t="n"/>
      <c r="G1779" s="821" t="n"/>
      <c r="H1779" s="818">
        <f>IF(G1779=1,F1779-I1779-J1779-K1779,IF(G1779=2,F1779,0))</f>
        <v>0</v>
      </c>
      <c r="I1779" s="818">
        <f>ROUND(IF(G1779=1,F1779*10/23,IF(G1779=3,F1779-J1779-K1779,IF(G1779=4,F1779,IF(G1779=5,F1779*10/11,IF(G1779=7,F1779*10/11,0))))),0)</f>
        <v>0</v>
      </c>
      <c r="J1779" s="818">
        <f>ROUND(IF(G1779=1,F1779/23,IF(G1779=3,F1779/12,IF(G1779=5,F1779-I1779,IF(G1779=8,F1779,0)))),0)</f>
        <v>0</v>
      </c>
      <c r="K1779" s="819">
        <f>ROUND(IF(G1779=1,F1779/23,IF(G1779=3,F1779/12,IF(G1779=6,F1779,IF(G1779=7,F1779-I1779,0)))),0)</f>
        <v>0</v>
      </c>
      <c r="L1779" s="820">
        <f>IF(G1779=6,F1779,0)</f>
        <v>0</v>
      </c>
      <c r="P1779" s="768" t="n"/>
      <c r="Q1779" s="769" t="str">
        <f>IF($F1779="","",IFERROR(VLOOKUP($C1779&amp;"|"&amp;$D1779,科目表!$A$5:$B$200,2,FALSE),"※未登録"))</f>
        <v/>
      </c>
      <c r="R1779" s="769" t="str">
        <f>IF($F1779="","",$I1779+$J1779+$K1779)</f>
        <v/>
      </c>
      <c r="S1779" s="769" t="str">
        <f>IF(OR($F1779="",$P1779="支払なし",$H1779=0,$Q1779=""),"",$Q1779&amp;"|S|"&amp;(COUNTIF(S$4:S1778,$Q1779&amp;"|S|*")+1))</f>
        <v/>
      </c>
      <c r="T1779" s="769" t="str">
        <f>IF(OR($F1779="",$P1779="支払なし",$R1779=0,$Q1779=""),"",$Q1779&amp;"|L|"&amp;(COUNTIF(T$4:T1778,$Q1779&amp;"|L|*")+1))</f>
        <v/>
      </c>
      <c r="U1779" s="769" t="str">
        <f>IF($F1779="","",13)</f>
        <v/>
      </c>
    </row>
    <row r="1780" ht="16.5" customHeight="1" s="186">
      <c r="A1780" s="760" t="n"/>
      <c r="B1780" s="760" t="n"/>
      <c r="C1780" s="762" t="n"/>
      <c r="D1780" s="762" t="n"/>
      <c r="E1780" s="775" t="n"/>
      <c r="F1780" s="821" t="n"/>
      <c r="G1780" s="821" t="n"/>
      <c r="H1780" s="818">
        <f>IF(G1780=1,F1780-I1780-J1780-K1780,IF(G1780=2,F1780,0))</f>
        <v>0</v>
      </c>
      <c r="I1780" s="818">
        <f>ROUND(IF(G1780=1,F1780*10/23,IF(G1780=3,F1780-J1780-K1780,IF(G1780=4,F1780,IF(G1780=5,F1780*10/11,IF(G1780=7,F1780*10/11,0))))),0)</f>
        <v>0</v>
      </c>
      <c r="J1780" s="818">
        <f>ROUND(IF(G1780=1,F1780/23,IF(G1780=3,F1780/12,IF(G1780=5,F1780-I1780,IF(G1780=8,F1780,0)))),0)</f>
        <v>0</v>
      </c>
      <c r="K1780" s="819">
        <f>ROUND(IF(G1780=1,F1780/23,IF(G1780=3,F1780/12,IF(G1780=6,F1780,IF(G1780=7,F1780-I1780,0)))),0)</f>
        <v>0</v>
      </c>
      <c r="L1780" s="820">
        <f>IF(G1780=6,F1780,0)</f>
        <v>0</v>
      </c>
      <c r="P1780" s="768" t="n"/>
      <c r="Q1780" s="769" t="str">
        <f>IF($F1780="","",IFERROR(VLOOKUP($C1780&amp;"|"&amp;$D1780,科目表!$A$5:$B$200,2,FALSE),"※未登録"))</f>
        <v/>
      </c>
      <c r="R1780" s="769" t="str">
        <f>IF($F1780="","",$I1780+$J1780+$K1780)</f>
        <v/>
      </c>
      <c r="S1780" s="769" t="str">
        <f>IF(OR($F1780="",$P1780="支払なし",$H1780=0,$Q1780=""),"",$Q1780&amp;"|S|"&amp;(COUNTIF(S$4:S1779,$Q1780&amp;"|S|*")+1))</f>
        <v/>
      </c>
      <c r="T1780" s="769" t="str">
        <f>IF(OR($F1780="",$P1780="支払なし",$R1780=0,$Q1780=""),"",$Q1780&amp;"|L|"&amp;(COUNTIF(T$4:T1779,$Q1780&amp;"|L|*")+1))</f>
        <v/>
      </c>
      <c r="U1780" s="769" t="str">
        <f>IF($F1780="","",13)</f>
        <v/>
      </c>
    </row>
    <row r="1781" ht="16.5" customHeight="1" s="186">
      <c r="A1781" s="760" t="n"/>
      <c r="B1781" s="760" t="n"/>
      <c r="C1781" s="762" t="n"/>
      <c r="D1781" s="762" t="n"/>
      <c r="E1781" s="775" t="n"/>
      <c r="F1781" s="821" t="n"/>
      <c r="G1781" s="821" t="n"/>
      <c r="H1781" s="818">
        <f>IF(G1781=1,F1781-I1781-J1781-K1781,IF(G1781=2,F1781,0))</f>
        <v>0</v>
      </c>
      <c r="I1781" s="818">
        <f>ROUND(IF(G1781=1,F1781*10/23,IF(G1781=3,F1781-J1781-K1781,IF(G1781=4,F1781,IF(G1781=5,F1781*10/11,IF(G1781=7,F1781*10/11,0))))),0)</f>
        <v>0</v>
      </c>
      <c r="J1781" s="818">
        <f>ROUND(IF(G1781=1,F1781/23,IF(G1781=3,F1781/12,IF(G1781=5,F1781-I1781,IF(G1781=8,F1781,0)))),0)</f>
        <v>0</v>
      </c>
      <c r="K1781" s="819">
        <f>ROUND(IF(G1781=1,F1781/23,IF(G1781=3,F1781/12,IF(G1781=6,F1781,IF(G1781=7,F1781-I1781,0)))),0)</f>
        <v>0</v>
      </c>
      <c r="L1781" s="820">
        <f>IF(G1781=6,F1781,0)</f>
        <v>0</v>
      </c>
      <c r="P1781" s="768" t="n"/>
      <c r="Q1781" s="769" t="str">
        <f>IF($F1781="","",IFERROR(VLOOKUP($C1781&amp;"|"&amp;$D1781,科目表!$A$5:$B$200,2,FALSE),"※未登録"))</f>
        <v/>
      </c>
      <c r="R1781" s="769" t="str">
        <f>IF($F1781="","",$I1781+$J1781+$K1781)</f>
        <v/>
      </c>
      <c r="S1781" s="769" t="str">
        <f>IF(OR($F1781="",$P1781="支払なし",$H1781=0,$Q1781=""),"",$Q1781&amp;"|S|"&amp;(COUNTIF(S$4:S1780,$Q1781&amp;"|S|*")+1))</f>
        <v/>
      </c>
      <c r="T1781" s="769" t="str">
        <f>IF(OR($F1781="",$P1781="支払なし",$R1781=0,$Q1781=""),"",$Q1781&amp;"|L|"&amp;(COUNTIF(T$4:T1780,$Q1781&amp;"|L|*")+1))</f>
        <v/>
      </c>
      <c r="U1781" s="769" t="str">
        <f>IF($F1781="","",13)</f>
        <v/>
      </c>
    </row>
    <row r="1782" ht="16.5" customHeight="1" s="186">
      <c r="A1782" s="760" t="n"/>
      <c r="B1782" s="760" t="n"/>
      <c r="C1782" s="762" t="n"/>
      <c r="D1782" s="762" t="n"/>
      <c r="E1782" s="775" t="n"/>
      <c r="F1782" s="821" t="n"/>
      <c r="G1782" s="821" t="n"/>
      <c r="H1782" s="818">
        <f>IF(G1782=1,F1782-I1782-J1782-K1782,IF(G1782=2,F1782,0))</f>
        <v>0</v>
      </c>
      <c r="I1782" s="818">
        <f>ROUND(IF(G1782=1,F1782*10/23,IF(G1782=3,F1782-J1782-K1782,IF(G1782=4,F1782,IF(G1782=5,F1782*10/11,IF(G1782=7,F1782*10/11,0))))),0)</f>
        <v>0</v>
      </c>
      <c r="J1782" s="818">
        <f>ROUND(IF(G1782=1,F1782/23,IF(G1782=3,F1782/12,IF(G1782=5,F1782-I1782,IF(G1782=8,F1782,0)))),0)</f>
        <v>0</v>
      </c>
      <c r="K1782" s="819">
        <f>ROUND(IF(G1782=1,F1782/23,IF(G1782=3,F1782/12,IF(G1782=6,F1782,IF(G1782=7,F1782-I1782,0)))),0)</f>
        <v>0</v>
      </c>
      <c r="L1782" s="820">
        <f>IF(G1782=6,F1782,0)</f>
        <v>0</v>
      </c>
      <c r="P1782" s="768" t="n"/>
      <c r="Q1782" s="769" t="str">
        <f>IF($F1782="","",IFERROR(VLOOKUP($C1782&amp;"|"&amp;$D1782,科目表!$A$5:$B$200,2,FALSE),"※未登録"))</f>
        <v/>
      </c>
      <c r="R1782" s="769" t="str">
        <f>IF($F1782="","",$I1782+$J1782+$K1782)</f>
        <v/>
      </c>
      <c r="S1782" s="769" t="str">
        <f>IF(OR($F1782="",$P1782="支払なし",$H1782=0,$Q1782=""),"",$Q1782&amp;"|S|"&amp;(COUNTIF(S$4:S1781,$Q1782&amp;"|S|*")+1))</f>
        <v/>
      </c>
      <c r="T1782" s="769" t="str">
        <f>IF(OR($F1782="",$P1782="支払なし",$R1782=0,$Q1782=""),"",$Q1782&amp;"|L|"&amp;(COUNTIF(T$4:T1781,$Q1782&amp;"|L|*")+1))</f>
        <v/>
      </c>
      <c r="U1782" s="769" t="str">
        <f>IF($F1782="","",13)</f>
        <v/>
      </c>
    </row>
    <row r="1783" ht="16.5" customHeight="1" s="186">
      <c r="A1783" s="760" t="n"/>
      <c r="B1783" s="760" t="n"/>
      <c r="C1783" s="762" t="n"/>
      <c r="D1783" s="762" t="n"/>
      <c r="E1783" s="775" t="n"/>
      <c r="F1783" s="821" t="n"/>
      <c r="G1783" s="821" t="n"/>
      <c r="H1783" s="818">
        <f>IF(G1783=1,F1783-I1783-J1783-K1783,IF(G1783=2,F1783,0))</f>
        <v>0</v>
      </c>
      <c r="I1783" s="818">
        <f>ROUND(IF(G1783=1,F1783*10/23,IF(G1783=3,F1783-J1783-K1783,IF(G1783=4,F1783,IF(G1783=5,F1783*10/11,IF(G1783=7,F1783*10/11,0))))),0)</f>
        <v>0</v>
      </c>
      <c r="J1783" s="818">
        <f>ROUND(IF(G1783=1,F1783/23,IF(G1783=3,F1783/12,IF(G1783=5,F1783-I1783,IF(G1783=8,F1783,0)))),0)</f>
        <v>0</v>
      </c>
      <c r="K1783" s="819">
        <f>ROUND(IF(G1783=1,F1783/23,IF(G1783=3,F1783/12,IF(G1783=6,F1783,IF(G1783=7,F1783-I1783,0)))),0)</f>
        <v>0</v>
      </c>
      <c r="L1783" s="820">
        <f>IF(G1783=6,F1783,0)</f>
        <v>0</v>
      </c>
      <c r="P1783" s="768" t="n"/>
      <c r="Q1783" s="769" t="str">
        <f>IF($F1783="","",IFERROR(VLOOKUP($C1783&amp;"|"&amp;$D1783,科目表!$A$5:$B$200,2,FALSE),"※未登録"))</f>
        <v/>
      </c>
      <c r="R1783" s="769" t="str">
        <f>IF($F1783="","",$I1783+$J1783+$K1783)</f>
        <v/>
      </c>
      <c r="S1783" s="769" t="str">
        <f>IF(OR($F1783="",$P1783="支払なし",$H1783=0,$Q1783=""),"",$Q1783&amp;"|S|"&amp;(COUNTIF(S$4:S1782,$Q1783&amp;"|S|*")+1))</f>
        <v/>
      </c>
      <c r="T1783" s="769" t="str">
        <f>IF(OR($F1783="",$P1783="支払なし",$R1783=0,$Q1783=""),"",$Q1783&amp;"|L|"&amp;(COUNTIF(T$4:T1782,$Q1783&amp;"|L|*")+1))</f>
        <v/>
      </c>
      <c r="U1783" s="769" t="str">
        <f>IF($F1783="","",13)</f>
        <v/>
      </c>
    </row>
    <row r="1784" ht="16.5" customHeight="1" s="186">
      <c r="A1784" s="760" t="n"/>
      <c r="B1784" s="760" t="n"/>
      <c r="C1784" s="762" t="n"/>
      <c r="D1784" s="762" t="n"/>
      <c r="E1784" s="775" t="n"/>
      <c r="F1784" s="821" t="n"/>
      <c r="G1784" s="821" t="n"/>
      <c r="H1784" s="818">
        <f>IF(G1784=1,F1784-I1784-J1784-K1784,IF(G1784=2,F1784,0))</f>
        <v>0</v>
      </c>
      <c r="I1784" s="818">
        <f>ROUND(IF(G1784=1,F1784*10/23,IF(G1784=3,F1784-J1784-K1784,IF(G1784=4,F1784,IF(G1784=5,F1784*10/11,IF(G1784=7,F1784*10/11,0))))),0)</f>
        <v>0</v>
      </c>
      <c r="J1784" s="818">
        <f>ROUND(IF(G1784=1,F1784/23,IF(G1784=3,F1784/12,IF(G1784=5,F1784-I1784,IF(G1784=8,F1784,0)))),0)</f>
        <v>0</v>
      </c>
      <c r="K1784" s="819">
        <f>ROUND(IF(G1784=1,F1784/23,IF(G1784=3,F1784/12,IF(G1784=6,F1784,IF(G1784=7,F1784-I1784,0)))),0)</f>
        <v>0</v>
      </c>
      <c r="L1784" s="820">
        <f>IF(G1784=6,F1784,0)</f>
        <v>0</v>
      </c>
      <c r="P1784" s="768" t="n"/>
      <c r="Q1784" s="769" t="str">
        <f>IF($F1784="","",IFERROR(VLOOKUP($C1784&amp;"|"&amp;$D1784,科目表!$A$5:$B$200,2,FALSE),"※未登録"))</f>
        <v/>
      </c>
      <c r="R1784" s="769" t="str">
        <f>IF($F1784="","",$I1784+$J1784+$K1784)</f>
        <v/>
      </c>
      <c r="S1784" s="769" t="str">
        <f>IF(OR($F1784="",$P1784="支払なし",$H1784=0,$Q1784=""),"",$Q1784&amp;"|S|"&amp;(COUNTIF(S$4:S1783,$Q1784&amp;"|S|*")+1))</f>
        <v/>
      </c>
      <c r="T1784" s="769" t="str">
        <f>IF(OR($F1784="",$P1784="支払なし",$R1784=0,$Q1784=""),"",$Q1784&amp;"|L|"&amp;(COUNTIF(T$4:T1783,$Q1784&amp;"|L|*")+1))</f>
        <v/>
      </c>
      <c r="U1784" s="769" t="str">
        <f>IF($F1784="","",13)</f>
        <v/>
      </c>
    </row>
    <row r="1785" ht="16.5" customHeight="1" s="186">
      <c r="A1785" s="760" t="n"/>
      <c r="B1785" s="760" t="n"/>
      <c r="C1785" s="762" t="n"/>
      <c r="D1785" s="762" t="n"/>
      <c r="E1785" s="775" t="n"/>
      <c r="F1785" s="821" t="n"/>
      <c r="G1785" s="821" t="n"/>
      <c r="H1785" s="818">
        <f>IF(G1785=1,F1785-I1785-J1785-K1785,IF(G1785=2,F1785,0))</f>
        <v>0</v>
      </c>
      <c r="I1785" s="818">
        <f>ROUND(IF(G1785=1,F1785*10/23,IF(G1785=3,F1785-J1785-K1785,IF(G1785=4,F1785,IF(G1785=5,F1785*10/11,IF(G1785=7,F1785*10/11,0))))),0)</f>
        <v>0</v>
      </c>
      <c r="J1785" s="818">
        <f>ROUND(IF(G1785=1,F1785/23,IF(G1785=3,F1785/12,IF(G1785=5,F1785-I1785,IF(G1785=8,F1785,0)))),0)</f>
        <v>0</v>
      </c>
      <c r="K1785" s="819">
        <f>ROUND(IF(G1785=1,F1785/23,IF(G1785=3,F1785/12,IF(G1785=6,F1785,IF(G1785=7,F1785-I1785,0)))),0)</f>
        <v>0</v>
      </c>
      <c r="L1785" s="820">
        <f>IF(G1785=6,F1785,0)</f>
        <v>0</v>
      </c>
      <c r="P1785" s="768" t="n"/>
      <c r="Q1785" s="769" t="str">
        <f>IF($F1785="","",IFERROR(VLOOKUP($C1785&amp;"|"&amp;$D1785,科目表!$A$5:$B$200,2,FALSE),"※未登録"))</f>
        <v/>
      </c>
      <c r="R1785" s="769" t="str">
        <f>IF($F1785="","",$I1785+$J1785+$K1785)</f>
        <v/>
      </c>
      <c r="S1785" s="769" t="str">
        <f>IF(OR($F1785="",$P1785="支払なし",$H1785=0,$Q1785=""),"",$Q1785&amp;"|S|"&amp;(COUNTIF(S$4:S1784,$Q1785&amp;"|S|*")+1))</f>
        <v/>
      </c>
      <c r="T1785" s="769" t="str">
        <f>IF(OR($F1785="",$P1785="支払なし",$R1785=0,$Q1785=""),"",$Q1785&amp;"|L|"&amp;(COUNTIF(T$4:T1784,$Q1785&amp;"|L|*")+1))</f>
        <v/>
      </c>
      <c r="U1785" s="769" t="str">
        <f>IF($F1785="","",13)</f>
        <v/>
      </c>
    </row>
    <row r="1786" ht="16.5" customHeight="1" s="186">
      <c r="A1786" s="760" t="n"/>
      <c r="B1786" s="760" t="n"/>
      <c r="C1786" s="762" t="n"/>
      <c r="D1786" s="762" t="n"/>
      <c r="E1786" s="775" t="n"/>
      <c r="F1786" s="821" t="n"/>
      <c r="G1786" s="821" t="n"/>
      <c r="H1786" s="818">
        <f>IF(G1786=1,F1786-I1786-J1786-K1786,IF(G1786=2,F1786,0))</f>
        <v>0</v>
      </c>
      <c r="I1786" s="818">
        <f>ROUND(IF(G1786=1,F1786*10/23,IF(G1786=3,F1786-J1786-K1786,IF(G1786=4,F1786,IF(G1786=5,F1786*10/11,IF(G1786=7,F1786*10/11,0))))),0)</f>
        <v>0</v>
      </c>
      <c r="J1786" s="818">
        <f>ROUND(IF(G1786=1,F1786/23,IF(G1786=3,F1786/12,IF(G1786=5,F1786-I1786,IF(G1786=8,F1786,0)))),0)</f>
        <v>0</v>
      </c>
      <c r="K1786" s="819">
        <f>ROUND(IF(G1786=1,F1786/23,IF(G1786=3,F1786/12,IF(G1786=6,F1786,IF(G1786=7,F1786-I1786,0)))),0)</f>
        <v>0</v>
      </c>
      <c r="L1786" s="820">
        <f>IF(G1786=6,F1786,0)</f>
        <v>0</v>
      </c>
      <c r="P1786" s="768" t="n"/>
      <c r="Q1786" s="769" t="str">
        <f>IF($F1786="","",IFERROR(VLOOKUP($C1786&amp;"|"&amp;$D1786,科目表!$A$5:$B$200,2,FALSE),"※未登録"))</f>
        <v/>
      </c>
      <c r="R1786" s="769" t="str">
        <f>IF($F1786="","",$I1786+$J1786+$K1786)</f>
        <v/>
      </c>
      <c r="S1786" s="769" t="str">
        <f>IF(OR($F1786="",$P1786="支払なし",$H1786=0,$Q1786=""),"",$Q1786&amp;"|S|"&amp;(COUNTIF(S$4:S1785,$Q1786&amp;"|S|*")+1))</f>
        <v/>
      </c>
      <c r="T1786" s="769" t="str">
        <f>IF(OR($F1786="",$P1786="支払なし",$R1786=0,$Q1786=""),"",$Q1786&amp;"|L|"&amp;(COUNTIF(T$4:T1785,$Q1786&amp;"|L|*")+1))</f>
        <v/>
      </c>
      <c r="U1786" s="769" t="str">
        <f>IF($F1786="","",13)</f>
        <v/>
      </c>
    </row>
    <row r="1787" ht="16.5" customHeight="1" s="186">
      <c r="A1787" s="760" t="n"/>
      <c r="B1787" s="760" t="n"/>
      <c r="C1787" s="762" t="n"/>
      <c r="D1787" s="762" t="n"/>
      <c r="E1787" s="775" t="n"/>
      <c r="F1787" s="821" t="n"/>
      <c r="G1787" s="821" t="n"/>
      <c r="H1787" s="818">
        <f>IF(G1787=1,F1787-I1787-J1787-K1787,IF(G1787=2,F1787,0))</f>
        <v>0</v>
      </c>
      <c r="I1787" s="818">
        <f>ROUND(IF(G1787=1,F1787*10/23,IF(G1787=3,F1787-J1787-K1787,IF(G1787=4,F1787,IF(G1787=5,F1787*10/11,IF(G1787=7,F1787*10/11,0))))),0)</f>
        <v>0</v>
      </c>
      <c r="J1787" s="818">
        <f>ROUND(IF(G1787=1,F1787/23,IF(G1787=3,F1787/12,IF(G1787=5,F1787-I1787,IF(G1787=8,F1787,0)))),0)</f>
        <v>0</v>
      </c>
      <c r="K1787" s="819">
        <f>ROUND(IF(G1787=1,F1787/23,IF(G1787=3,F1787/12,IF(G1787=6,F1787,IF(G1787=7,F1787-I1787,0)))),0)</f>
        <v>0</v>
      </c>
      <c r="L1787" s="820">
        <f>IF(G1787=6,F1787,0)</f>
        <v>0</v>
      </c>
      <c r="P1787" s="768" t="n"/>
      <c r="Q1787" s="769" t="str">
        <f>IF($F1787="","",IFERROR(VLOOKUP($C1787&amp;"|"&amp;$D1787,科目表!$A$5:$B$200,2,FALSE),"※未登録"))</f>
        <v/>
      </c>
      <c r="R1787" s="769" t="str">
        <f>IF($F1787="","",$I1787+$J1787+$K1787)</f>
        <v/>
      </c>
      <c r="S1787" s="769" t="str">
        <f>IF(OR($F1787="",$P1787="支払なし",$H1787=0,$Q1787=""),"",$Q1787&amp;"|S|"&amp;(COUNTIF(S$4:S1786,$Q1787&amp;"|S|*")+1))</f>
        <v/>
      </c>
      <c r="T1787" s="769" t="str">
        <f>IF(OR($F1787="",$P1787="支払なし",$R1787=0,$Q1787=""),"",$Q1787&amp;"|L|"&amp;(COUNTIF(T$4:T1786,$Q1787&amp;"|L|*")+1))</f>
        <v/>
      </c>
      <c r="U1787" s="769" t="str">
        <f>IF($F1787="","",13)</f>
        <v/>
      </c>
    </row>
    <row r="1788" ht="16.5" customHeight="1" s="186">
      <c r="A1788" s="760" t="n"/>
      <c r="B1788" s="760" t="n"/>
      <c r="C1788" s="762" t="n"/>
      <c r="D1788" s="762" t="n"/>
      <c r="E1788" s="775" t="n"/>
      <c r="F1788" s="821" t="n"/>
      <c r="G1788" s="821" t="n"/>
      <c r="H1788" s="818">
        <f>IF(G1788=1,F1788-I1788-J1788-K1788,IF(G1788=2,F1788,0))</f>
        <v>0</v>
      </c>
      <c r="I1788" s="818">
        <f>ROUND(IF(G1788=1,F1788*10/23,IF(G1788=3,F1788-J1788-K1788,IF(G1788=4,F1788,IF(G1788=5,F1788*10/11,IF(G1788=7,F1788*10/11,0))))),0)</f>
        <v>0</v>
      </c>
      <c r="J1788" s="818">
        <f>ROUND(IF(G1788=1,F1788/23,IF(G1788=3,F1788/12,IF(G1788=5,F1788-I1788,IF(G1788=8,F1788,0)))),0)</f>
        <v>0</v>
      </c>
      <c r="K1788" s="819">
        <f>ROUND(IF(G1788=1,F1788/23,IF(G1788=3,F1788/12,IF(G1788=6,F1788,IF(G1788=7,F1788-I1788,0)))),0)</f>
        <v>0</v>
      </c>
      <c r="L1788" s="820">
        <f>IF(G1788=6,F1788,0)</f>
        <v>0</v>
      </c>
      <c r="P1788" s="768" t="n"/>
      <c r="Q1788" s="769" t="str">
        <f>IF($F1788="","",IFERROR(VLOOKUP($C1788&amp;"|"&amp;$D1788,科目表!$A$5:$B$200,2,FALSE),"※未登録"))</f>
        <v/>
      </c>
      <c r="R1788" s="769" t="str">
        <f>IF($F1788="","",$I1788+$J1788+$K1788)</f>
        <v/>
      </c>
      <c r="S1788" s="769" t="str">
        <f>IF(OR($F1788="",$P1788="支払なし",$H1788=0,$Q1788=""),"",$Q1788&amp;"|S|"&amp;(COUNTIF(S$4:S1787,$Q1788&amp;"|S|*")+1))</f>
        <v/>
      </c>
      <c r="T1788" s="769" t="str">
        <f>IF(OR($F1788="",$P1788="支払なし",$R1788=0,$Q1788=""),"",$Q1788&amp;"|L|"&amp;(COUNTIF(T$4:T1787,$Q1788&amp;"|L|*")+1))</f>
        <v/>
      </c>
      <c r="U1788" s="769" t="str">
        <f>IF($F1788="","",13)</f>
        <v/>
      </c>
    </row>
    <row r="1789" ht="16.5" customHeight="1" s="186">
      <c r="A1789" s="760" t="n"/>
      <c r="B1789" s="760" t="n"/>
      <c r="C1789" s="762" t="n"/>
      <c r="D1789" s="762" t="n"/>
      <c r="E1789" s="775" t="n"/>
      <c r="F1789" s="821" t="n"/>
      <c r="G1789" s="821" t="n"/>
      <c r="H1789" s="818">
        <f>IF(G1789=1,F1789-I1789-J1789-K1789,IF(G1789=2,F1789,0))</f>
        <v>0</v>
      </c>
      <c r="I1789" s="818">
        <f>ROUND(IF(G1789=1,F1789*10/23,IF(G1789=3,F1789-J1789-K1789,IF(G1789=4,F1789,IF(G1789=5,F1789*10/11,IF(G1789=7,F1789*10/11,0))))),0)</f>
        <v>0</v>
      </c>
      <c r="J1789" s="818">
        <f>ROUND(IF(G1789=1,F1789/23,IF(G1789=3,F1789/12,IF(G1789=5,F1789-I1789,IF(G1789=8,F1789,0)))),0)</f>
        <v>0</v>
      </c>
      <c r="K1789" s="819">
        <f>ROUND(IF(G1789=1,F1789/23,IF(G1789=3,F1789/12,IF(G1789=6,F1789,IF(G1789=7,F1789-I1789,0)))),0)</f>
        <v>0</v>
      </c>
      <c r="L1789" s="820">
        <f>IF(G1789=6,F1789,0)</f>
        <v>0</v>
      </c>
      <c r="P1789" s="768" t="n"/>
      <c r="Q1789" s="769" t="str">
        <f>IF($F1789="","",IFERROR(VLOOKUP($C1789&amp;"|"&amp;$D1789,科目表!$A$5:$B$200,2,FALSE),"※未登録"))</f>
        <v/>
      </c>
      <c r="R1789" s="769" t="str">
        <f>IF($F1789="","",$I1789+$J1789+$K1789)</f>
        <v/>
      </c>
      <c r="S1789" s="769" t="str">
        <f>IF(OR($F1789="",$P1789="支払なし",$H1789=0,$Q1789=""),"",$Q1789&amp;"|S|"&amp;(COUNTIF(S$4:S1788,$Q1789&amp;"|S|*")+1))</f>
        <v/>
      </c>
      <c r="T1789" s="769" t="str">
        <f>IF(OR($F1789="",$P1789="支払なし",$R1789=0,$Q1789=""),"",$Q1789&amp;"|L|"&amp;(COUNTIF(T$4:T1788,$Q1789&amp;"|L|*")+1))</f>
        <v/>
      </c>
      <c r="U1789" s="769" t="str">
        <f>IF($F1789="","",13)</f>
        <v/>
      </c>
    </row>
    <row r="1790" ht="16.5" customHeight="1" s="186">
      <c r="A1790" s="760" t="n"/>
      <c r="B1790" s="760" t="n"/>
      <c r="C1790" s="762" t="n"/>
      <c r="D1790" s="762" t="n"/>
      <c r="E1790" s="775" t="n"/>
      <c r="F1790" s="821" t="n"/>
      <c r="G1790" s="821" t="n"/>
      <c r="H1790" s="818">
        <f>IF(G1790=1,F1790-I1790-J1790-K1790,IF(G1790=2,F1790,0))</f>
        <v>0</v>
      </c>
      <c r="I1790" s="818">
        <f>ROUND(IF(G1790=1,F1790*10/23,IF(G1790=3,F1790-J1790-K1790,IF(G1790=4,F1790,IF(G1790=5,F1790*10/11,IF(G1790=7,F1790*10/11,0))))),0)</f>
        <v>0</v>
      </c>
      <c r="J1790" s="818">
        <f>ROUND(IF(G1790=1,F1790/23,IF(G1790=3,F1790/12,IF(G1790=5,F1790-I1790,IF(G1790=8,F1790,0)))),0)</f>
        <v>0</v>
      </c>
      <c r="K1790" s="819">
        <f>ROUND(IF(G1790=1,F1790/23,IF(G1790=3,F1790/12,IF(G1790=6,F1790,IF(G1790=7,F1790-I1790,0)))),0)</f>
        <v>0</v>
      </c>
      <c r="L1790" s="820">
        <f>IF(G1790=6,F1790,0)</f>
        <v>0</v>
      </c>
      <c r="P1790" s="768" t="n"/>
      <c r="Q1790" s="769" t="str">
        <f>IF($F1790="","",IFERROR(VLOOKUP($C1790&amp;"|"&amp;$D1790,科目表!$A$5:$B$200,2,FALSE),"※未登録"))</f>
        <v/>
      </c>
      <c r="R1790" s="769" t="str">
        <f>IF($F1790="","",$I1790+$J1790+$K1790)</f>
        <v/>
      </c>
      <c r="S1790" s="769" t="str">
        <f>IF(OR($F1790="",$P1790="支払なし",$H1790=0,$Q1790=""),"",$Q1790&amp;"|S|"&amp;(COUNTIF(S$4:S1789,$Q1790&amp;"|S|*")+1))</f>
        <v/>
      </c>
      <c r="T1790" s="769" t="str">
        <f>IF(OR($F1790="",$P1790="支払なし",$R1790=0,$Q1790=""),"",$Q1790&amp;"|L|"&amp;(COUNTIF(T$4:T1789,$Q1790&amp;"|L|*")+1))</f>
        <v/>
      </c>
      <c r="U1790" s="769" t="str">
        <f>IF($F1790="","",13)</f>
        <v/>
      </c>
    </row>
    <row r="1791" ht="16.5" customHeight="1" s="186">
      <c r="A1791" s="760" t="n"/>
      <c r="B1791" s="760" t="n"/>
      <c r="C1791" s="762" t="n"/>
      <c r="D1791" s="762" t="n"/>
      <c r="E1791" s="775" t="n"/>
      <c r="F1791" s="821" t="n"/>
      <c r="G1791" s="821" t="n"/>
      <c r="H1791" s="818">
        <f>IF(G1791=1,F1791-I1791-J1791-K1791,IF(G1791=2,F1791,0))</f>
        <v>0</v>
      </c>
      <c r="I1791" s="818">
        <f>ROUND(IF(G1791=1,F1791*10/23,IF(G1791=3,F1791-J1791-K1791,IF(G1791=4,F1791,IF(G1791=5,F1791*10/11,IF(G1791=7,F1791*10/11,0))))),0)</f>
        <v>0</v>
      </c>
      <c r="J1791" s="818">
        <f>ROUND(IF(G1791=1,F1791/23,IF(G1791=3,F1791/12,IF(G1791=5,F1791-I1791,IF(G1791=8,F1791,0)))),0)</f>
        <v>0</v>
      </c>
      <c r="K1791" s="819">
        <f>ROUND(IF(G1791=1,F1791/23,IF(G1791=3,F1791/12,IF(G1791=6,F1791,IF(G1791=7,F1791-I1791,0)))),0)</f>
        <v>0</v>
      </c>
      <c r="L1791" s="820">
        <f>IF(G1791=6,F1791,0)</f>
        <v>0</v>
      </c>
      <c r="P1791" s="768" t="n"/>
      <c r="Q1791" s="769" t="str">
        <f>IF($F1791="","",IFERROR(VLOOKUP($C1791&amp;"|"&amp;$D1791,科目表!$A$5:$B$200,2,FALSE),"※未登録"))</f>
        <v/>
      </c>
      <c r="R1791" s="769" t="str">
        <f>IF($F1791="","",$I1791+$J1791+$K1791)</f>
        <v/>
      </c>
      <c r="S1791" s="769" t="str">
        <f>IF(OR($F1791="",$P1791="支払なし",$H1791=0,$Q1791=""),"",$Q1791&amp;"|S|"&amp;(COUNTIF(S$4:S1790,$Q1791&amp;"|S|*")+1))</f>
        <v/>
      </c>
      <c r="T1791" s="769" t="str">
        <f>IF(OR($F1791="",$P1791="支払なし",$R1791=0,$Q1791=""),"",$Q1791&amp;"|L|"&amp;(COUNTIF(T$4:T1790,$Q1791&amp;"|L|*")+1))</f>
        <v/>
      </c>
      <c r="U1791" s="769" t="str">
        <f>IF($F1791="","",13)</f>
        <v/>
      </c>
    </row>
    <row r="1792" ht="16.5" customHeight="1" s="186">
      <c r="A1792" s="760" t="n"/>
      <c r="B1792" s="760" t="n"/>
      <c r="C1792" s="762" t="n"/>
      <c r="D1792" s="762" t="n"/>
      <c r="E1792" s="775" t="n"/>
      <c r="F1792" s="821" t="n"/>
      <c r="G1792" s="821" t="n"/>
      <c r="H1792" s="818">
        <f>IF(G1792=1,F1792-I1792-J1792-K1792,IF(G1792=2,F1792,0))</f>
        <v>0</v>
      </c>
      <c r="I1792" s="818">
        <f>ROUND(IF(G1792=1,F1792*10/23,IF(G1792=3,F1792-J1792-K1792,IF(G1792=4,F1792,IF(G1792=5,F1792*10/11,IF(G1792=7,F1792*10/11,0))))),0)</f>
        <v>0</v>
      </c>
      <c r="J1792" s="818">
        <f>ROUND(IF(G1792=1,F1792/23,IF(G1792=3,F1792/12,IF(G1792=5,F1792-I1792,IF(G1792=8,F1792,0)))),0)</f>
        <v>0</v>
      </c>
      <c r="K1792" s="819">
        <f>ROUND(IF(G1792=1,F1792/23,IF(G1792=3,F1792/12,IF(G1792=6,F1792,IF(G1792=7,F1792-I1792,0)))),0)</f>
        <v>0</v>
      </c>
      <c r="L1792" s="820">
        <f>IF(G1792=6,F1792,0)</f>
        <v>0</v>
      </c>
      <c r="P1792" s="768" t="n"/>
      <c r="Q1792" s="769" t="str">
        <f>IF($F1792="","",IFERROR(VLOOKUP($C1792&amp;"|"&amp;$D1792,科目表!$A$5:$B$200,2,FALSE),"※未登録"))</f>
        <v/>
      </c>
      <c r="R1792" s="769" t="str">
        <f>IF($F1792="","",$I1792+$J1792+$K1792)</f>
        <v/>
      </c>
      <c r="S1792" s="769" t="str">
        <f>IF(OR($F1792="",$P1792="支払なし",$H1792=0,$Q1792=""),"",$Q1792&amp;"|S|"&amp;(COUNTIF(S$4:S1791,$Q1792&amp;"|S|*")+1))</f>
        <v/>
      </c>
      <c r="T1792" s="769" t="str">
        <f>IF(OR($F1792="",$P1792="支払なし",$R1792=0,$Q1792=""),"",$Q1792&amp;"|L|"&amp;(COUNTIF(T$4:T1791,$Q1792&amp;"|L|*")+1))</f>
        <v/>
      </c>
      <c r="U1792" s="769" t="str">
        <f>IF($F1792="","",13)</f>
        <v/>
      </c>
    </row>
    <row r="1793" ht="16.5" customHeight="1" s="186">
      <c r="A1793" s="760" t="n"/>
      <c r="B1793" s="760" t="n"/>
      <c r="C1793" s="762" t="n"/>
      <c r="D1793" s="762" t="n"/>
      <c r="E1793" s="775" t="n"/>
      <c r="F1793" s="821" t="n"/>
      <c r="G1793" s="821" t="n"/>
      <c r="H1793" s="818">
        <f>IF(G1793=1,F1793-I1793-J1793-K1793,IF(G1793=2,F1793,0))</f>
        <v>0</v>
      </c>
      <c r="I1793" s="818">
        <f>ROUND(IF(G1793=1,F1793*10/23,IF(G1793=3,F1793-J1793-K1793,IF(G1793=4,F1793,IF(G1793=5,F1793*10/11,IF(G1793=7,F1793*10/11,0))))),0)</f>
        <v>0</v>
      </c>
      <c r="J1793" s="818">
        <f>ROUND(IF(G1793=1,F1793/23,IF(G1793=3,F1793/12,IF(G1793=5,F1793-I1793,IF(G1793=8,F1793,0)))),0)</f>
        <v>0</v>
      </c>
      <c r="K1793" s="819">
        <f>ROUND(IF(G1793=1,F1793/23,IF(G1793=3,F1793/12,IF(G1793=6,F1793,IF(G1793=7,F1793-I1793,0)))),0)</f>
        <v>0</v>
      </c>
      <c r="L1793" s="820">
        <f>IF(G1793=6,F1793,0)</f>
        <v>0</v>
      </c>
      <c r="P1793" s="768" t="n"/>
      <c r="Q1793" s="769" t="str">
        <f>IF($F1793="","",IFERROR(VLOOKUP($C1793&amp;"|"&amp;$D1793,科目表!$A$5:$B$200,2,FALSE),"※未登録"))</f>
        <v/>
      </c>
      <c r="R1793" s="769" t="str">
        <f>IF($F1793="","",$I1793+$J1793+$K1793)</f>
        <v/>
      </c>
      <c r="S1793" s="769" t="str">
        <f>IF(OR($F1793="",$P1793="支払なし",$H1793=0,$Q1793=""),"",$Q1793&amp;"|S|"&amp;(COUNTIF(S$4:S1792,$Q1793&amp;"|S|*")+1))</f>
        <v/>
      </c>
      <c r="T1793" s="769" t="str">
        <f>IF(OR($F1793="",$P1793="支払なし",$R1793=0,$Q1793=""),"",$Q1793&amp;"|L|"&amp;(COUNTIF(T$4:T1792,$Q1793&amp;"|L|*")+1))</f>
        <v/>
      </c>
      <c r="U1793" s="769" t="str">
        <f>IF($F1793="","",13)</f>
        <v/>
      </c>
    </row>
    <row r="1794" ht="16.5" customHeight="1" s="186">
      <c r="A1794" s="760" t="n"/>
      <c r="B1794" s="760" t="n"/>
      <c r="C1794" s="762" t="n"/>
      <c r="D1794" s="762" t="n"/>
      <c r="E1794" s="775" t="n"/>
      <c r="F1794" s="821" t="n"/>
      <c r="G1794" s="821" t="n"/>
      <c r="H1794" s="818">
        <f>IF(G1794=1,F1794-I1794-J1794-K1794,IF(G1794=2,F1794,0))</f>
        <v>0</v>
      </c>
      <c r="I1794" s="818">
        <f>ROUND(IF(G1794=1,F1794*10/23,IF(G1794=3,F1794-J1794-K1794,IF(G1794=4,F1794,IF(G1794=5,F1794*10/11,IF(G1794=7,F1794*10/11,0))))),0)</f>
        <v>0</v>
      </c>
      <c r="J1794" s="818">
        <f>ROUND(IF(G1794=1,F1794/23,IF(G1794=3,F1794/12,IF(G1794=5,F1794-I1794,IF(G1794=8,F1794,0)))),0)</f>
        <v>0</v>
      </c>
      <c r="K1794" s="819">
        <f>ROUND(IF(G1794=1,F1794/23,IF(G1794=3,F1794/12,IF(G1794=6,F1794,IF(G1794=7,F1794-I1794,0)))),0)</f>
        <v>0</v>
      </c>
      <c r="L1794" s="820">
        <f>IF(G1794=6,F1794,0)</f>
        <v>0</v>
      </c>
      <c r="P1794" s="768" t="n"/>
      <c r="Q1794" s="769" t="str">
        <f>IF($F1794="","",IFERROR(VLOOKUP($C1794&amp;"|"&amp;$D1794,科目表!$A$5:$B$200,2,FALSE),"※未登録"))</f>
        <v/>
      </c>
      <c r="R1794" s="769" t="str">
        <f>IF($F1794="","",$I1794+$J1794+$K1794)</f>
        <v/>
      </c>
      <c r="S1794" s="769" t="str">
        <f>IF(OR($F1794="",$P1794="支払なし",$H1794=0,$Q1794=""),"",$Q1794&amp;"|S|"&amp;(COUNTIF(S$4:S1793,$Q1794&amp;"|S|*")+1))</f>
        <v/>
      </c>
      <c r="T1794" s="769" t="str">
        <f>IF(OR($F1794="",$P1794="支払なし",$R1794=0,$Q1794=""),"",$Q1794&amp;"|L|"&amp;(COUNTIF(T$4:T1793,$Q1794&amp;"|L|*")+1))</f>
        <v/>
      </c>
      <c r="U1794" s="769" t="str">
        <f>IF($F1794="","",13)</f>
        <v/>
      </c>
    </row>
    <row r="1795" ht="16.5" customHeight="1" s="186">
      <c r="A1795" s="760" t="n"/>
      <c r="B1795" s="760" t="n"/>
      <c r="C1795" s="762" t="n"/>
      <c r="D1795" s="762" t="n"/>
      <c r="E1795" s="775" t="n"/>
      <c r="F1795" s="821" t="n"/>
      <c r="G1795" s="821" t="n"/>
      <c r="H1795" s="818">
        <f>IF(G1795=1,F1795-I1795-J1795-K1795,IF(G1795=2,F1795,0))</f>
        <v>0</v>
      </c>
      <c r="I1795" s="818">
        <f>ROUND(IF(G1795=1,F1795*10/23,IF(G1795=3,F1795-J1795-K1795,IF(G1795=4,F1795,IF(G1795=5,F1795*10/11,IF(G1795=7,F1795*10/11,0))))),0)</f>
        <v>0</v>
      </c>
      <c r="J1795" s="818">
        <f>ROUND(IF(G1795=1,F1795/23,IF(G1795=3,F1795/12,IF(G1795=5,F1795-I1795,IF(G1795=8,F1795,0)))),0)</f>
        <v>0</v>
      </c>
      <c r="K1795" s="819">
        <f>ROUND(IF(G1795=1,F1795/23,IF(G1795=3,F1795/12,IF(G1795=6,F1795,IF(G1795=7,F1795-I1795,0)))),0)</f>
        <v>0</v>
      </c>
      <c r="L1795" s="820">
        <f>IF(G1795=6,F1795,0)</f>
        <v>0</v>
      </c>
      <c r="P1795" s="768" t="n"/>
      <c r="Q1795" s="769" t="str">
        <f>IF($F1795="","",IFERROR(VLOOKUP($C1795&amp;"|"&amp;$D1795,科目表!$A$5:$B$200,2,FALSE),"※未登録"))</f>
        <v/>
      </c>
      <c r="R1795" s="769" t="str">
        <f>IF($F1795="","",$I1795+$J1795+$K1795)</f>
        <v/>
      </c>
      <c r="S1795" s="769" t="str">
        <f>IF(OR($F1795="",$P1795="支払なし",$H1795=0,$Q1795=""),"",$Q1795&amp;"|S|"&amp;(COUNTIF(S$4:S1794,$Q1795&amp;"|S|*")+1))</f>
        <v/>
      </c>
      <c r="T1795" s="769" t="str">
        <f>IF(OR($F1795="",$P1795="支払なし",$R1795=0,$Q1795=""),"",$Q1795&amp;"|L|"&amp;(COUNTIF(T$4:T1794,$Q1795&amp;"|L|*")+1))</f>
        <v/>
      </c>
      <c r="U1795" s="769" t="str">
        <f>IF($F1795="","",13)</f>
        <v/>
      </c>
    </row>
    <row r="1796" ht="16.5" customHeight="1" s="186">
      <c r="A1796" s="760" t="n"/>
      <c r="B1796" s="760" t="n"/>
      <c r="C1796" s="762" t="n"/>
      <c r="D1796" s="762" t="n"/>
      <c r="E1796" s="775" t="n"/>
      <c r="F1796" s="821" t="n"/>
      <c r="G1796" s="821" t="n"/>
      <c r="H1796" s="818">
        <f>IF(G1796=1,F1796-I1796-J1796-K1796,IF(G1796=2,F1796,0))</f>
        <v>0</v>
      </c>
      <c r="I1796" s="818">
        <f>ROUND(IF(G1796=1,F1796*10/23,IF(G1796=3,F1796-J1796-K1796,IF(G1796=4,F1796,IF(G1796=5,F1796*10/11,IF(G1796=7,F1796*10/11,0))))),0)</f>
        <v>0</v>
      </c>
      <c r="J1796" s="818">
        <f>ROUND(IF(G1796=1,F1796/23,IF(G1796=3,F1796/12,IF(G1796=5,F1796-I1796,IF(G1796=8,F1796,0)))),0)</f>
        <v>0</v>
      </c>
      <c r="K1796" s="819">
        <f>ROUND(IF(G1796=1,F1796/23,IF(G1796=3,F1796/12,IF(G1796=6,F1796,IF(G1796=7,F1796-I1796,0)))),0)</f>
        <v>0</v>
      </c>
      <c r="L1796" s="820">
        <f>IF(G1796=6,F1796,0)</f>
        <v>0</v>
      </c>
      <c r="P1796" s="768" t="n"/>
      <c r="Q1796" s="769" t="str">
        <f>IF($F1796="","",IFERROR(VLOOKUP($C1796&amp;"|"&amp;$D1796,科目表!$A$5:$B$200,2,FALSE),"※未登録"))</f>
        <v/>
      </c>
      <c r="R1796" s="769" t="str">
        <f>IF($F1796="","",$I1796+$J1796+$K1796)</f>
        <v/>
      </c>
      <c r="S1796" s="769" t="str">
        <f>IF(OR($F1796="",$P1796="支払なし",$H1796=0,$Q1796=""),"",$Q1796&amp;"|S|"&amp;(COUNTIF(S$4:S1795,$Q1796&amp;"|S|*")+1))</f>
        <v/>
      </c>
      <c r="T1796" s="769" t="str">
        <f>IF(OR($F1796="",$P1796="支払なし",$R1796=0,$Q1796=""),"",$Q1796&amp;"|L|"&amp;(COUNTIF(T$4:T1795,$Q1796&amp;"|L|*")+1))</f>
        <v/>
      </c>
      <c r="U1796" s="769" t="str">
        <f>IF($F1796="","",13)</f>
        <v/>
      </c>
    </row>
    <row r="1797" ht="16.5" customHeight="1" s="186">
      <c r="A1797" s="760" t="n"/>
      <c r="B1797" s="760" t="n"/>
      <c r="C1797" s="762" t="n"/>
      <c r="D1797" s="762" t="n"/>
      <c r="E1797" s="775" t="n"/>
      <c r="F1797" s="821" t="n"/>
      <c r="G1797" s="821" t="n"/>
      <c r="H1797" s="818">
        <f>IF(G1797=1,F1797-I1797-J1797-K1797,IF(G1797=2,F1797,0))</f>
        <v>0</v>
      </c>
      <c r="I1797" s="818">
        <f>ROUND(IF(G1797=1,F1797*10/23,IF(G1797=3,F1797-J1797-K1797,IF(G1797=4,F1797,IF(G1797=5,F1797*10/11,IF(G1797=7,F1797*10/11,0))))),0)</f>
        <v>0</v>
      </c>
      <c r="J1797" s="818">
        <f>ROUND(IF(G1797=1,F1797/23,IF(G1797=3,F1797/12,IF(G1797=5,F1797-I1797,IF(G1797=8,F1797,0)))),0)</f>
        <v>0</v>
      </c>
      <c r="K1797" s="819">
        <f>ROUND(IF(G1797=1,F1797/23,IF(G1797=3,F1797/12,IF(G1797=6,F1797,IF(G1797=7,F1797-I1797,0)))),0)</f>
        <v>0</v>
      </c>
      <c r="L1797" s="820">
        <f>IF(G1797=6,F1797,0)</f>
        <v>0</v>
      </c>
      <c r="P1797" s="768" t="n"/>
      <c r="Q1797" s="769" t="str">
        <f>IF($F1797="","",IFERROR(VLOOKUP($C1797&amp;"|"&amp;$D1797,科目表!$A$5:$B$200,2,FALSE),"※未登録"))</f>
        <v/>
      </c>
      <c r="R1797" s="769" t="str">
        <f>IF($F1797="","",$I1797+$J1797+$K1797)</f>
        <v/>
      </c>
      <c r="S1797" s="769" t="str">
        <f>IF(OR($F1797="",$P1797="支払なし",$H1797=0,$Q1797=""),"",$Q1797&amp;"|S|"&amp;(COUNTIF(S$4:S1796,$Q1797&amp;"|S|*")+1))</f>
        <v/>
      </c>
      <c r="T1797" s="769" t="str">
        <f>IF(OR($F1797="",$P1797="支払なし",$R1797=0,$Q1797=""),"",$Q1797&amp;"|L|"&amp;(COUNTIF(T$4:T1796,$Q1797&amp;"|L|*")+1))</f>
        <v/>
      </c>
      <c r="U1797" s="769" t="str">
        <f>IF($F1797="","",13)</f>
        <v/>
      </c>
    </row>
    <row r="1798" ht="16.5" customHeight="1" s="186">
      <c r="A1798" s="760" t="n"/>
      <c r="B1798" s="760" t="n"/>
      <c r="C1798" s="762" t="n"/>
      <c r="D1798" s="762" t="n"/>
      <c r="E1798" s="775" t="n"/>
      <c r="F1798" s="821" t="n"/>
      <c r="G1798" s="821" t="n"/>
      <c r="H1798" s="818">
        <f>IF(G1798=1,F1798-I1798-J1798-K1798,IF(G1798=2,F1798,0))</f>
        <v>0</v>
      </c>
      <c r="I1798" s="818">
        <f>ROUND(IF(G1798=1,F1798*10/23,IF(G1798=3,F1798-J1798-K1798,IF(G1798=4,F1798,IF(G1798=5,F1798*10/11,IF(G1798=7,F1798*10/11,0))))),0)</f>
        <v>0</v>
      </c>
      <c r="J1798" s="818">
        <f>ROUND(IF(G1798=1,F1798/23,IF(G1798=3,F1798/12,IF(G1798=5,F1798-I1798,IF(G1798=8,F1798,0)))),0)</f>
        <v>0</v>
      </c>
      <c r="K1798" s="819">
        <f>ROUND(IF(G1798=1,F1798/23,IF(G1798=3,F1798/12,IF(G1798=6,F1798,IF(G1798=7,F1798-I1798,0)))),0)</f>
        <v>0</v>
      </c>
      <c r="L1798" s="820">
        <f>IF(G1798=6,F1798,0)</f>
        <v>0</v>
      </c>
      <c r="P1798" s="768" t="n"/>
      <c r="Q1798" s="769" t="str">
        <f>IF($F1798="","",IFERROR(VLOOKUP($C1798&amp;"|"&amp;$D1798,科目表!$A$5:$B$200,2,FALSE),"※未登録"))</f>
        <v/>
      </c>
      <c r="R1798" s="769" t="str">
        <f>IF($F1798="","",$I1798+$J1798+$K1798)</f>
        <v/>
      </c>
      <c r="S1798" s="769" t="str">
        <f>IF(OR($F1798="",$P1798="支払なし",$H1798=0,$Q1798=""),"",$Q1798&amp;"|S|"&amp;(COUNTIF(S$4:S1797,$Q1798&amp;"|S|*")+1))</f>
        <v/>
      </c>
      <c r="T1798" s="769" t="str">
        <f>IF(OR($F1798="",$P1798="支払なし",$R1798=0,$Q1798=""),"",$Q1798&amp;"|L|"&amp;(COUNTIF(T$4:T1797,$Q1798&amp;"|L|*")+1))</f>
        <v/>
      </c>
      <c r="U1798" s="769" t="str">
        <f>IF($F1798="","",13)</f>
        <v/>
      </c>
    </row>
    <row r="1799" ht="16.5" customHeight="1" s="186">
      <c r="A1799" s="760" t="n"/>
      <c r="B1799" s="760" t="n"/>
      <c r="C1799" s="762" t="n"/>
      <c r="D1799" s="762" t="n"/>
      <c r="E1799" s="775" t="n"/>
      <c r="F1799" s="821" t="n"/>
      <c r="G1799" s="821" t="n"/>
      <c r="H1799" s="818">
        <f>IF(G1799=1,F1799-I1799-J1799-K1799,IF(G1799=2,F1799,0))</f>
        <v>0</v>
      </c>
      <c r="I1799" s="818">
        <f>ROUND(IF(G1799=1,F1799*10/23,IF(G1799=3,F1799-J1799-K1799,IF(G1799=4,F1799,IF(G1799=5,F1799*10/11,IF(G1799=7,F1799*10/11,0))))),0)</f>
        <v>0</v>
      </c>
      <c r="J1799" s="818">
        <f>ROUND(IF(G1799=1,F1799/23,IF(G1799=3,F1799/12,IF(G1799=5,F1799-I1799,IF(G1799=8,F1799,0)))),0)</f>
        <v>0</v>
      </c>
      <c r="K1799" s="819">
        <f>ROUND(IF(G1799=1,F1799/23,IF(G1799=3,F1799/12,IF(G1799=6,F1799,IF(G1799=7,F1799-I1799,0)))),0)</f>
        <v>0</v>
      </c>
      <c r="L1799" s="820">
        <f>IF(G1799=6,F1799,0)</f>
        <v>0</v>
      </c>
      <c r="P1799" s="768" t="n"/>
      <c r="Q1799" s="769" t="str">
        <f>IF($F1799="","",IFERROR(VLOOKUP($C1799&amp;"|"&amp;$D1799,科目表!$A$5:$B$200,2,FALSE),"※未登録"))</f>
        <v/>
      </c>
      <c r="R1799" s="769" t="str">
        <f>IF($F1799="","",$I1799+$J1799+$K1799)</f>
        <v/>
      </c>
      <c r="S1799" s="769" t="str">
        <f>IF(OR($F1799="",$P1799="支払なし",$H1799=0,$Q1799=""),"",$Q1799&amp;"|S|"&amp;(COUNTIF(S$4:S1798,$Q1799&amp;"|S|*")+1))</f>
        <v/>
      </c>
      <c r="T1799" s="769" t="str">
        <f>IF(OR($F1799="",$P1799="支払なし",$R1799=0,$Q1799=""),"",$Q1799&amp;"|L|"&amp;(COUNTIF(T$4:T1798,$Q1799&amp;"|L|*")+1))</f>
        <v/>
      </c>
      <c r="U1799" s="769" t="str">
        <f>IF($F1799="","",13)</f>
        <v/>
      </c>
    </row>
    <row r="1800" ht="16.5" customHeight="1" s="186">
      <c r="A1800" s="760" t="n"/>
      <c r="B1800" s="760" t="n"/>
      <c r="C1800" s="762" t="n"/>
      <c r="D1800" s="762" t="n"/>
      <c r="E1800" s="775" t="n"/>
      <c r="F1800" s="821" t="n"/>
      <c r="G1800" s="821" t="n"/>
      <c r="H1800" s="818">
        <f>IF(G1800=1,F1800-I1800-J1800-K1800,IF(G1800=2,F1800,0))</f>
        <v>0</v>
      </c>
      <c r="I1800" s="818">
        <f>ROUND(IF(G1800=1,F1800*10/23,IF(G1800=3,F1800-J1800-K1800,IF(G1800=4,F1800,IF(G1800=5,F1800*10/11,IF(G1800=7,F1800*10/11,0))))),0)</f>
        <v>0</v>
      </c>
      <c r="J1800" s="818">
        <f>ROUND(IF(G1800=1,F1800/23,IF(G1800=3,F1800/12,IF(G1800=5,F1800-I1800,IF(G1800=8,F1800,0)))),0)</f>
        <v>0</v>
      </c>
      <c r="K1800" s="819">
        <f>ROUND(IF(G1800=1,F1800/23,IF(G1800=3,F1800/12,IF(G1800=6,F1800,IF(G1800=7,F1800-I1800,0)))),0)</f>
        <v>0</v>
      </c>
      <c r="L1800" s="820">
        <f>IF(G1800=6,F1800,0)</f>
        <v>0</v>
      </c>
      <c r="P1800" s="768" t="n"/>
      <c r="Q1800" s="769" t="str">
        <f>IF($F1800="","",IFERROR(VLOOKUP($C1800&amp;"|"&amp;$D1800,科目表!$A$5:$B$200,2,FALSE),"※未登録"))</f>
        <v/>
      </c>
      <c r="R1800" s="769" t="str">
        <f>IF($F1800="","",$I1800+$J1800+$K1800)</f>
        <v/>
      </c>
      <c r="S1800" s="769" t="str">
        <f>IF(OR($F1800="",$P1800="支払なし",$H1800=0,$Q1800=""),"",$Q1800&amp;"|S|"&amp;(COUNTIF(S$4:S1799,$Q1800&amp;"|S|*")+1))</f>
        <v/>
      </c>
      <c r="T1800" s="769" t="str">
        <f>IF(OR($F1800="",$P1800="支払なし",$R1800=0,$Q1800=""),"",$Q1800&amp;"|L|"&amp;(COUNTIF(T$4:T1799,$Q1800&amp;"|L|*")+1))</f>
        <v/>
      </c>
      <c r="U1800" s="769" t="str">
        <f>IF($F1800="","",13)</f>
        <v/>
      </c>
    </row>
    <row r="1801" ht="16.5" customHeight="1" s="186">
      <c r="A1801" s="760" t="n"/>
      <c r="B1801" s="760" t="n"/>
      <c r="C1801" s="762" t="n"/>
      <c r="D1801" s="762" t="n"/>
      <c r="E1801" s="775" t="n"/>
      <c r="F1801" s="821" t="n"/>
      <c r="G1801" s="821" t="n"/>
      <c r="H1801" s="818">
        <f>IF(G1801=1,F1801-I1801-J1801-K1801,IF(G1801=2,F1801,0))</f>
        <v>0</v>
      </c>
      <c r="I1801" s="818">
        <f>ROUND(IF(G1801=1,F1801*10/23,IF(G1801=3,F1801-J1801-K1801,IF(G1801=4,F1801,IF(G1801=5,F1801*10/11,IF(G1801=7,F1801*10/11,0))))),0)</f>
        <v>0</v>
      </c>
      <c r="J1801" s="818">
        <f>ROUND(IF(G1801=1,F1801/23,IF(G1801=3,F1801/12,IF(G1801=5,F1801-I1801,IF(G1801=8,F1801,0)))),0)</f>
        <v>0</v>
      </c>
      <c r="K1801" s="819">
        <f>ROUND(IF(G1801=1,F1801/23,IF(G1801=3,F1801/12,IF(G1801=6,F1801,IF(G1801=7,F1801-I1801,0)))),0)</f>
        <v>0</v>
      </c>
      <c r="L1801" s="820">
        <f>IF(G1801=6,F1801,0)</f>
        <v>0</v>
      </c>
      <c r="P1801" s="768" t="n"/>
      <c r="Q1801" s="769" t="str">
        <f>IF($F1801="","",IFERROR(VLOOKUP($C1801&amp;"|"&amp;$D1801,科目表!$A$5:$B$200,2,FALSE),"※未登録"))</f>
        <v/>
      </c>
      <c r="R1801" s="769" t="str">
        <f>IF($F1801="","",$I1801+$J1801+$K1801)</f>
        <v/>
      </c>
      <c r="S1801" s="769" t="str">
        <f>IF(OR($F1801="",$P1801="支払なし",$H1801=0,$Q1801=""),"",$Q1801&amp;"|S|"&amp;(COUNTIF(S$4:S1800,$Q1801&amp;"|S|*")+1))</f>
        <v/>
      </c>
      <c r="T1801" s="769" t="str">
        <f>IF(OR($F1801="",$P1801="支払なし",$R1801=0,$Q1801=""),"",$Q1801&amp;"|L|"&amp;(COUNTIF(T$4:T1800,$Q1801&amp;"|L|*")+1))</f>
        <v/>
      </c>
      <c r="U1801" s="769" t="str">
        <f>IF($F1801="","",13)</f>
        <v/>
      </c>
    </row>
    <row r="1802" ht="16.5" customHeight="1" s="186">
      <c r="A1802" s="760" t="n"/>
      <c r="B1802" s="760" t="n"/>
      <c r="C1802" s="762" t="n"/>
      <c r="D1802" s="762" t="n"/>
      <c r="E1802" s="775" t="n"/>
      <c r="F1802" s="821" t="n"/>
      <c r="G1802" s="821" t="n"/>
      <c r="H1802" s="818">
        <f>IF(G1802=1,F1802-I1802-J1802-K1802,IF(G1802=2,F1802,0))</f>
        <v>0</v>
      </c>
      <c r="I1802" s="818">
        <f>ROUND(IF(G1802=1,F1802*10/23,IF(G1802=3,F1802-J1802-K1802,IF(G1802=4,F1802,IF(G1802=5,F1802*10/11,IF(G1802=7,F1802*10/11,0))))),0)</f>
        <v>0</v>
      </c>
      <c r="J1802" s="818">
        <f>ROUND(IF(G1802=1,F1802/23,IF(G1802=3,F1802/12,IF(G1802=5,F1802-I1802,IF(G1802=8,F1802,0)))),0)</f>
        <v>0</v>
      </c>
      <c r="K1802" s="819">
        <f>ROUND(IF(G1802=1,F1802/23,IF(G1802=3,F1802/12,IF(G1802=6,F1802,IF(G1802=7,F1802-I1802,0)))),0)</f>
        <v>0</v>
      </c>
      <c r="L1802" s="820">
        <f>IF(G1802=6,F1802,0)</f>
        <v>0</v>
      </c>
      <c r="P1802" s="768" t="n"/>
      <c r="Q1802" s="769" t="str">
        <f>IF($F1802="","",IFERROR(VLOOKUP($C1802&amp;"|"&amp;$D1802,科目表!$A$5:$B$200,2,FALSE),"※未登録"))</f>
        <v/>
      </c>
      <c r="R1802" s="769" t="str">
        <f>IF($F1802="","",$I1802+$J1802+$K1802)</f>
        <v/>
      </c>
      <c r="S1802" s="769" t="str">
        <f>IF(OR($F1802="",$P1802="支払なし",$H1802=0,$Q1802=""),"",$Q1802&amp;"|S|"&amp;(COUNTIF(S$4:S1801,$Q1802&amp;"|S|*")+1))</f>
        <v/>
      </c>
      <c r="T1802" s="769" t="str">
        <f>IF(OR($F1802="",$P1802="支払なし",$R1802=0,$Q1802=""),"",$Q1802&amp;"|L|"&amp;(COUNTIF(T$4:T1801,$Q1802&amp;"|L|*")+1))</f>
        <v/>
      </c>
      <c r="U1802" s="769" t="str">
        <f>IF($F1802="","",13)</f>
        <v/>
      </c>
    </row>
    <row r="1803" ht="16.5" customHeight="1" s="186">
      <c r="A1803" s="760" t="n"/>
      <c r="B1803" s="760" t="n"/>
      <c r="C1803" s="762" t="n"/>
      <c r="D1803" s="762" t="n"/>
      <c r="E1803" s="775" t="n"/>
      <c r="F1803" s="821" t="n"/>
      <c r="G1803" s="821" t="n"/>
      <c r="H1803" s="818">
        <f>IF(G1803=1,F1803-I1803-J1803-K1803,IF(G1803=2,F1803,0))</f>
        <v>0</v>
      </c>
      <c r="I1803" s="818">
        <f>ROUND(IF(G1803=1,F1803*10/23,IF(G1803=3,F1803-J1803-K1803,IF(G1803=4,F1803,IF(G1803=5,F1803*10/11,IF(G1803=7,F1803*10/11,0))))),0)</f>
        <v>0</v>
      </c>
      <c r="J1803" s="818">
        <f>ROUND(IF(G1803=1,F1803/23,IF(G1803=3,F1803/12,IF(G1803=5,F1803-I1803,IF(G1803=8,F1803,0)))),0)</f>
        <v>0</v>
      </c>
      <c r="K1803" s="819">
        <f>ROUND(IF(G1803=1,F1803/23,IF(G1803=3,F1803/12,IF(G1803=6,F1803,IF(G1803=7,F1803-I1803,0)))),0)</f>
        <v>0</v>
      </c>
      <c r="L1803" s="820">
        <f>IF(G1803=6,F1803,0)</f>
        <v>0</v>
      </c>
      <c r="P1803" s="768" t="n"/>
      <c r="Q1803" s="769" t="str">
        <f>IF($F1803="","",IFERROR(VLOOKUP($C1803&amp;"|"&amp;$D1803,科目表!$A$5:$B$200,2,FALSE),"※未登録"))</f>
        <v/>
      </c>
      <c r="R1803" s="769" t="str">
        <f>IF($F1803="","",$I1803+$J1803+$K1803)</f>
        <v/>
      </c>
      <c r="S1803" s="769" t="str">
        <f>IF(OR($F1803="",$P1803="支払なし",$H1803=0,$Q1803=""),"",$Q1803&amp;"|S|"&amp;(COUNTIF(S$4:S1802,$Q1803&amp;"|S|*")+1))</f>
        <v/>
      </c>
      <c r="T1803" s="769" t="str">
        <f>IF(OR($F1803="",$P1803="支払なし",$R1803=0,$Q1803=""),"",$Q1803&amp;"|L|"&amp;(COUNTIF(T$4:T1802,$Q1803&amp;"|L|*")+1))</f>
        <v/>
      </c>
      <c r="U1803" s="769" t="str">
        <f>IF($F1803="","",13)</f>
        <v/>
      </c>
    </row>
    <row r="1804" ht="16.5" customHeight="1" s="186">
      <c r="A1804" s="760" t="n"/>
      <c r="B1804" s="760" t="n"/>
      <c r="C1804" s="762" t="n"/>
      <c r="D1804" s="762" t="n"/>
      <c r="E1804" s="775" t="n"/>
      <c r="F1804" s="821" t="n"/>
      <c r="G1804" s="821" t="n"/>
      <c r="H1804" s="818">
        <f>IF(G1804=1,F1804-I1804-J1804-K1804,IF(G1804=2,F1804,0))</f>
        <v>0</v>
      </c>
      <c r="I1804" s="818">
        <f>ROUND(IF(G1804=1,F1804*10/23,IF(G1804=3,F1804-J1804-K1804,IF(G1804=4,F1804,IF(G1804=5,F1804*10/11,IF(G1804=7,F1804*10/11,0))))),0)</f>
        <v>0</v>
      </c>
      <c r="J1804" s="818">
        <f>ROUND(IF(G1804=1,F1804/23,IF(G1804=3,F1804/12,IF(G1804=5,F1804-I1804,IF(G1804=8,F1804,0)))),0)</f>
        <v>0</v>
      </c>
      <c r="K1804" s="819">
        <f>ROUND(IF(G1804=1,F1804/23,IF(G1804=3,F1804/12,IF(G1804=6,F1804,IF(G1804=7,F1804-I1804,0)))),0)</f>
        <v>0</v>
      </c>
      <c r="L1804" s="820">
        <f>IF(G1804=6,F1804,0)</f>
        <v>0</v>
      </c>
      <c r="P1804" s="768" t="n"/>
      <c r="Q1804" s="769" t="str">
        <f>IF($F1804="","",IFERROR(VLOOKUP($C1804&amp;"|"&amp;$D1804,科目表!$A$5:$B$200,2,FALSE),"※未登録"))</f>
        <v/>
      </c>
      <c r="R1804" s="769" t="str">
        <f>IF($F1804="","",$I1804+$J1804+$K1804)</f>
        <v/>
      </c>
      <c r="S1804" s="769" t="str">
        <f>IF(OR($F1804="",$P1804="支払なし",$H1804=0,$Q1804=""),"",$Q1804&amp;"|S|"&amp;(COUNTIF(S$4:S1803,$Q1804&amp;"|S|*")+1))</f>
        <v/>
      </c>
      <c r="T1804" s="769" t="str">
        <f>IF(OR($F1804="",$P1804="支払なし",$R1804=0,$Q1804=""),"",$Q1804&amp;"|L|"&amp;(COUNTIF(T$4:T1803,$Q1804&amp;"|L|*")+1))</f>
        <v/>
      </c>
      <c r="U1804" s="769" t="str">
        <f>IF($F1804="","",13)</f>
        <v/>
      </c>
    </row>
    <row r="1805" ht="16.5" customHeight="1" s="186">
      <c r="A1805" s="760" t="n"/>
      <c r="B1805" s="760" t="n"/>
      <c r="C1805" s="762" t="n"/>
      <c r="D1805" s="762" t="n"/>
      <c r="E1805" s="775" t="n"/>
      <c r="F1805" s="821" t="n"/>
      <c r="G1805" s="821" t="n"/>
      <c r="H1805" s="818">
        <f>IF(G1805=1,F1805-I1805-J1805-K1805,IF(G1805=2,F1805,0))</f>
        <v>0</v>
      </c>
      <c r="I1805" s="818">
        <f>ROUND(IF(G1805=1,F1805*10/23,IF(G1805=3,F1805-J1805-K1805,IF(G1805=4,F1805,IF(G1805=5,F1805*10/11,IF(G1805=7,F1805*10/11,0))))),0)</f>
        <v>0</v>
      </c>
      <c r="J1805" s="818">
        <f>ROUND(IF(G1805=1,F1805/23,IF(G1805=3,F1805/12,IF(G1805=5,F1805-I1805,IF(G1805=8,F1805,0)))),0)</f>
        <v>0</v>
      </c>
      <c r="K1805" s="819">
        <f>ROUND(IF(G1805=1,F1805/23,IF(G1805=3,F1805/12,IF(G1805=6,F1805,IF(G1805=7,F1805-I1805,0)))),0)</f>
        <v>0</v>
      </c>
      <c r="L1805" s="820">
        <f>IF(G1805=6,F1805,0)</f>
        <v>0</v>
      </c>
      <c r="P1805" s="768" t="n"/>
      <c r="Q1805" s="769" t="str">
        <f>IF($F1805="","",IFERROR(VLOOKUP($C1805&amp;"|"&amp;$D1805,科目表!$A$5:$B$200,2,FALSE),"※未登録"))</f>
        <v/>
      </c>
      <c r="R1805" s="769" t="str">
        <f>IF($F1805="","",$I1805+$J1805+$K1805)</f>
        <v/>
      </c>
      <c r="S1805" s="769" t="str">
        <f>IF(OR($F1805="",$P1805="支払なし",$H1805=0,$Q1805=""),"",$Q1805&amp;"|S|"&amp;(COUNTIF(S$4:S1804,$Q1805&amp;"|S|*")+1))</f>
        <v/>
      </c>
      <c r="T1805" s="769" t="str">
        <f>IF(OR($F1805="",$P1805="支払なし",$R1805=0,$Q1805=""),"",$Q1805&amp;"|L|"&amp;(COUNTIF(T$4:T1804,$Q1805&amp;"|L|*")+1))</f>
        <v/>
      </c>
      <c r="U1805" s="769" t="str">
        <f>IF($F1805="","",13)</f>
        <v/>
      </c>
    </row>
    <row r="1806" ht="16.5" customHeight="1" s="186">
      <c r="A1806" s="760" t="n"/>
      <c r="B1806" s="760" t="n"/>
      <c r="C1806" s="762" t="n"/>
      <c r="D1806" s="762" t="n"/>
      <c r="E1806" s="775" t="n"/>
      <c r="F1806" s="821" t="n"/>
      <c r="G1806" s="821" t="n"/>
      <c r="H1806" s="818">
        <f>IF(G1806=1,F1806-I1806-J1806-K1806,IF(G1806=2,F1806,0))</f>
        <v>0</v>
      </c>
      <c r="I1806" s="818">
        <f>ROUND(IF(G1806=1,F1806*10/23,IF(G1806=3,F1806-J1806-K1806,IF(G1806=4,F1806,IF(G1806=5,F1806*10/11,IF(G1806=7,F1806*10/11,0))))),0)</f>
        <v>0</v>
      </c>
      <c r="J1806" s="818">
        <f>ROUND(IF(G1806=1,F1806/23,IF(G1806=3,F1806/12,IF(G1806=5,F1806-I1806,IF(G1806=8,F1806,0)))),0)</f>
        <v>0</v>
      </c>
      <c r="K1806" s="819">
        <f>ROUND(IF(G1806=1,F1806/23,IF(G1806=3,F1806/12,IF(G1806=6,F1806,IF(G1806=7,F1806-I1806,0)))),0)</f>
        <v>0</v>
      </c>
      <c r="L1806" s="820">
        <f>IF(G1806=6,F1806,0)</f>
        <v>0</v>
      </c>
      <c r="P1806" s="768" t="n"/>
      <c r="Q1806" s="769" t="str">
        <f>IF($F1806="","",IFERROR(VLOOKUP($C1806&amp;"|"&amp;$D1806,科目表!$A$5:$B$200,2,FALSE),"※未登録"))</f>
        <v/>
      </c>
      <c r="R1806" s="769" t="str">
        <f>IF($F1806="","",$I1806+$J1806+$K1806)</f>
        <v/>
      </c>
      <c r="S1806" s="769" t="str">
        <f>IF(OR($F1806="",$P1806="支払なし",$H1806=0,$Q1806=""),"",$Q1806&amp;"|S|"&amp;(COUNTIF(S$4:S1805,$Q1806&amp;"|S|*")+1))</f>
        <v/>
      </c>
      <c r="T1806" s="769" t="str">
        <f>IF(OR($F1806="",$P1806="支払なし",$R1806=0,$Q1806=""),"",$Q1806&amp;"|L|"&amp;(COUNTIF(T$4:T1805,$Q1806&amp;"|L|*")+1))</f>
        <v/>
      </c>
      <c r="U1806" s="769" t="str">
        <f>IF($F1806="","",13)</f>
        <v/>
      </c>
    </row>
    <row r="1807" ht="16.5" customHeight="1" s="186">
      <c r="A1807" s="760" t="n"/>
      <c r="B1807" s="760" t="n"/>
      <c r="C1807" s="762" t="n"/>
      <c r="D1807" s="762" t="n"/>
      <c r="E1807" s="775" t="n"/>
      <c r="F1807" s="821" t="n"/>
      <c r="G1807" s="821" t="n"/>
      <c r="H1807" s="818">
        <f>IF(G1807=1,F1807-I1807-J1807-K1807,IF(G1807=2,F1807,0))</f>
        <v>0</v>
      </c>
      <c r="I1807" s="818">
        <f>ROUND(IF(G1807=1,F1807*10/23,IF(G1807=3,F1807-J1807-K1807,IF(G1807=4,F1807,IF(G1807=5,F1807*10/11,IF(G1807=7,F1807*10/11,0))))),0)</f>
        <v>0</v>
      </c>
      <c r="J1807" s="818">
        <f>ROUND(IF(G1807=1,F1807/23,IF(G1807=3,F1807/12,IF(G1807=5,F1807-I1807,IF(G1807=8,F1807,0)))),0)</f>
        <v>0</v>
      </c>
      <c r="K1807" s="819">
        <f>ROUND(IF(G1807=1,F1807/23,IF(G1807=3,F1807/12,IF(G1807=6,F1807,IF(G1807=7,F1807-I1807,0)))),0)</f>
        <v>0</v>
      </c>
      <c r="L1807" s="820">
        <f>IF(G1807=6,F1807,0)</f>
        <v>0</v>
      </c>
      <c r="P1807" s="768" t="n"/>
      <c r="Q1807" s="769" t="str">
        <f>IF($F1807="","",IFERROR(VLOOKUP($C1807&amp;"|"&amp;$D1807,科目表!$A$5:$B$200,2,FALSE),"※未登録"))</f>
        <v/>
      </c>
      <c r="R1807" s="769" t="str">
        <f>IF($F1807="","",$I1807+$J1807+$K1807)</f>
        <v/>
      </c>
      <c r="S1807" s="769" t="str">
        <f>IF(OR($F1807="",$P1807="支払なし",$H1807=0,$Q1807=""),"",$Q1807&amp;"|S|"&amp;(COUNTIF(S$4:S1806,$Q1807&amp;"|S|*")+1))</f>
        <v/>
      </c>
      <c r="T1807" s="769" t="str">
        <f>IF(OR($F1807="",$P1807="支払なし",$R1807=0,$Q1807=""),"",$Q1807&amp;"|L|"&amp;(COUNTIF(T$4:T1806,$Q1807&amp;"|L|*")+1))</f>
        <v/>
      </c>
      <c r="U1807" s="769" t="str">
        <f>IF($F1807="","",13)</f>
        <v/>
      </c>
    </row>
    <row r="1808" ht="16.5" customHeight="1" s="186">
      <c r="A1808" s="760" t="n"/>
      <c r="B1808" s="760" t="n"/>
      <c r="C1808" s="762" t="n"/>
      <c r="D1808" s="762" t="n"/>
      <c r="E1808" s="775" t="n"/>
      <c r="F1808" s="821" t="n"/>
      <c r="G1808" s="821" t="n"/>
      <c r="H1808" s="818">
        <f>IF(G1808=1,F1808-I1808-J1808-K1808,IF(G1808=2,F1808,0))</f>
        <v>0</v>
      </c>
      <c r="I1808" s="818">
        <f>ROUND(IF(G1808=1,F1808*10/23,IF(G1808=3,F1808-J1808-K1808,IF(G1808=4,F1808,IF(G1808=5,F1808*10/11,IF(G1808=7,F1808*10/11,0))))),0)</f>
        <v>0</v>
      </c>
      <c r="J1808" s="818">
        <f>ROUND(IF(G1808=1,F1808/23,IF(G1808=3,F1808/12,IF(G1808=5,F1808-I1808,IF(G1808=8,F1808,0)))),0)</f>
        <v>0</v>
      </c>
      <c r="K1808" s="819">
        <f>ROUND(IF(G1808=1,F1808/23,IF(G1808=3,F1808/12,IF(G1808=6,F1808,IF(G1808=7,F1808-I1808,0)))),0)</f>
        <v>0</v>
      </c>
      <c r="L1808" s="820">
        <f>IF(G1808=6,F1808,0)</f>
        <v>0</v>
      </c>
      <c r="P1808" s="768" t="n"/>
      <c r="Q1808" s="769" t="str">
        <f>IF($F1808="","",IFERROR(VLOOKUP($C1808&amp;"|"&amp;$D1808,科目表!$A$5:$B$200,2,FALSE),"※未登録"))</f>
        <v/>
      </c>
      <c r="R1808" s="769" t="str">
        <f>IF($F1808="","",$I1808+$J1808+$K1808)</f>
        <v/>
      </c>
      <c r="S1808" s="769" t="str">
        <f>IF(OR($F1808="",$P1808="支払なし",$H1808=0,$Q1808=""),"",$Q1808&amp;"|S|"&amp;(COUNTIF(S$4:S1807,$Q1808&amp;"|S|*")+1))</f>
        <v/>
      </c>
      <c r="T1808" s="769" t="str">
        <f>IF(OR($F1808="",$P1808="支払なし",$R1808=0,$Q1808=""),"",$Q1808&amp;"|L|"&amp;(COUNTIF(T$4:T1807,$Q1808&amp;"|L|*")+1))</f>
        <v/>
      </c>
      <c r="U1808" s="769" t="str">
        <f>IF($F1808="","",13)</f>
        <v/>
      </c>
    </row>
    <row r="1809" ht="16.5" customHeight="1" s="186">
      <c r="A1809" s="760" t="n"/>
      <c r="B1809" s="760" t="n"/>
      <c r="C1809" s="762" t="n"/>
      <c r="D1809" s="762" t="n"/>
      <c r="E1809" s="775" t="n"/>
      <c r="F1809" s="821" t="n"/>
      <c r="G1809" s="821" t="n"/>
      <c r="H1809" s="818">
        <f>IF(G1809=1,F1809-I1809-J1809-K1809,IF(G1809=2,F1809,0))</f>
        <v>0</v>
      </c>
      <c r="I1809" s="818">
        <f>ROUND(IF(G1809=1,F1809*10/23,IF(G1809=3,F1809-J1809-K1809,IF(G1809=4,F1809,IF(G1809=5,F1809*10/11,IF(G1809=7,F1809*10/11,0))))),0)</f>
        <v>0</v>
      </c>
      <c r="J1809" s="818">
        <f>ROUND(IF(G1809=1,F1809/23,IF(G1809=3,F1809/12,IF(G1809=5,F1809-I1809,IF(G1809=8,F1809,0)))),0)</f>
        <v>0</v>
      </c>
      <c r="K1809" s="819">
        <f>ROUND(IF(G1809=1,F1809/23,IF(G1809=3,F1809/12,IF(G1809=6,F1809,IF(G1809=7,F1809-I1809,0)))),0)</f>
        <v>0</v>
      </c>
      <c r="L1809" s="820">
        <f>IF(G1809=6,F1809,0)</f>
        <v>0</v>
      </c>
      <c r="P1809" s="768" t="n"/>
      <c r="Q1809" s="769" t="str">
        <f>IF($F1809="","",IFERROR(VLOOKUP($C1809&amp;"|"&amp;$D1809,科目表!$A$5:$B$200,2,FALSE),"※未登録"))</f>
        <v/>
      </c>
      <c r="R1809" s="769" t="str">
        <f>IF($F1809="","",$I1809+$J1809+$K1809)</f>
        <v/>
      </c>
      <c r="S1809" s="769" t="str">
        <f>IF(OR($F1809="",$P1809="支払なし",$H1809=0,$Q1809=""),"",$Q1809&amp;"|S|"&amp;(COUNTIF(S$4:S1808,$Q1809&amp;"|S|*")+1))</f>
        <v/>
      </c>
      <c r="T1809" s="769" t="str">
        <f>IF(OR($F1809="",$P1809="支払なし",$R1809=0,$Q1809=""),"",$Q1809&amp;"|L|"&amp;(COUNTIF(T$4:T1808,$Q1809&amp;"|L|*")+1))</f>
        <v/>
      </c>
      <c r="U1809" s="769" t="str">
        <f>IF($F1809="","",13)</f>
        <v/>
      </c>
    </row>
    <row r="1810" ht="16.5" customHeight="1" s="186">
      <c r="A1810" s="760" t="n"/>
      <c r="B1810" s="760" t="n"/>
      <c r="C1810" s="762" t="n"/>
      <c r="D1810" s="762" t="n"/>
      <c r="E1810" s="775" t="n"/>
      <c r="F1810" s="821" t="n"/>
      <c r="G1810" s="821" t="n"/>
      <c r="H1810" s="818">
        <f>IF(G1810=1,F1810-I1810-J1810-K1810,IF(G1810=2,F1810,0))</f>
        <v>0</v>
      </c>
      <c r="I1810" s="818">
        <f>ROUND(IF(G1810=1,F1810*10/23,IF(G1810=3,F1810-J1810-K1810,IF(G1810=4,F1810,IF(G1810=5,F1810*10/11,IF(G1810=7,F1810*10/11,0))))),0)</f>
        <v>0</v>
      </c>
      <c r="J1810" s="818">
        <f>ROUND(IF(G1810=1,F1810/23,IF(G1810=3,F1810/12,IF(G1810=5,F1810-I1810,IF(G1810=8,F1810,0)))),0)</f>
        <v>0</v>
      </c>
      <c r="K1810" s="819">
        <f>ROUND(IF(G1810=1,F1810/23,IF(G1810=3,F1810/12,IF(G1810=6,F1810,IF(G1810=7,F1810-I1810,0)))),0)</f>
        <v>0</v>
      </c>
      <c r="L1810" s="820">
        <f>IF(G1810=6,F1810,0)</f>
        <v>0</v>
      </c>
      <c r="P1810" s="768" t="n"/>
      <c r="Q1810" s="769" t="str">
        <f>IF($F1810="","",IFERROR(VLOOKUP($C1810&amp;"|"&amp;$D1810,科目表!$A$5:$B$200,2,FALSE),"※未登録"))</f>
        <v/>
      </c>
      <c r="R1810" s="769" t="str">
        <f>IF($F1810="","",$I1810+$J1810+$K1810)</f>
        <v/>
      </c>
      <c r="S1810" s="769" t="str">
        <f>IF(OR($F1810="",$P1810="支払なし",$H1810=0,$Q1810=""),"",$Q1810&amp;"|S|"&amp;(COUNTIF(S$4:S1809,$Q1810&amp;"|S|*")+1))</f>
        <v/>
      </c>
      <c r="T1810" s="769" t="str">
        <f>IF(OR($F1810="",$P1810="支払なし",$R1810=0,$Q1810=""),"",$Q1810&amp;"|L|"&amp;(COUNTIF(T$4:T1809,$Q1810&amp;"|L|*")+1))</f>
        <v/>
      </c>
      <c r="U1810" s="769" t="str">
        <f>IF($F1810="","",13)</f>
        <v/>
      </c>
    </row>
    <row r="1811" ht="16.5" customHeight="1" s="186">
      <c r="A1811" s="760" t="n"/>
      <c r="B1811" s="760" t="n"/>
      <c r="C1811" s="762" t="n"/>
      <c r="D1811" s="762" t="n"/>
      <c r="E1811" s="775" t="n"/>
      <c r="F1811" s="821" t="n"/>
      <c r="G1811" s="821" t="n"/>
      <c r="H1811" s="818">
        <f>IF(G1811=1,F1811-I1811-J1811-K1811,IF(G1811=2,F1811,0))</f>
        <v>0</v>
      </c>
      <c r="I1811" s="818">
        <f>ROUND(IF(G1811=1,F1811*10/23,IF(G1811=3,F1811-J1811-K1811,IF(G1811=4,F1811,IF(G1811=5,F1811*10/11,IF(G1811=7,F1811*10/11,0))))),0)</f>
        <v>0</v>
      </c>
      <c r="J1811" s="818">
        <f>ROUND(IF(G1811=1,F1811/23,IF(G1811=3,F1811/12,IF(G1811=5,F1811-I1811,IF(G1811=8,F1811,0)))),0)</f>
        <v>0</v>
      </c>
      <c r="K1811" s="819">
        <f>ROUND(IF(G1811=1,F1811/23,IF(G1811=3,F1811/12,IF(G1811=6,F1811,IF(G1811=7,F1811-I1811,0)))),0)</f>
        <v>0</v>
      </c>
      <c r="L1811" s="820">
        <f>IF(G1811=6,F1811,0)</f>
        <v>0</v>
      </c>
      <c r="P1811" s="768" t="n"/>
      <c r="Q1811" s="769" t="str">
        <f>IF($F1811="","",IFERROR(VLOOKUP($C1811&amp;"|"&amp;$D1811,科目表!$A$5:$B$200,2,FALSE),"※未登録"))</f>
        <v/>
      </c>
      <c r="R1811" s="769" t="str">
        <f>IF($F1811="","",$I1811+$J1811+$K1811)</f>
        <v/>
      </c>
      <c r="S1811" s="769" t="str">
        <f>IF(OR($F1811="",$P1811="支払なし",$H1811=0,$Q1811=""),"",$Q1811&amp;"|S|"&amp;(COUNTIF(S$4:S1810,$Q1811&amp;"|S|*")+1))</f>
        <v/>
      </c>
      <c r="T1811" s="769" t="str">
        <f>IF(OR($F1811="",$P1811="支払なし",$R1811=0,$Q1811=""),"",$Q1811&amp;"|L|"&amp;(COUNTIF(T$4:T1810,$Q1811&amp;"|L|*")+1))</f>
        <v/>
      </c>
      <c r="U1811" s="769" t="str">
        <f>IF($F1811="","",13)</f>
        <v/>
      </c>
    </row>
    <row r="1812" ht="16.5" customHeight="1" s="186">
      <c r="A1812" s="760" t="n"/>
      <c r="B1812" s="760" t="n"/>
      <c r="C1812" s="762" t="n"/>
      <c r="D1812" s="762" t="n"/>
      <c r="E1812" s="775" t="n"/>
      <c r="F1812" s="821" t="n"/>
      <c r="G1812" s="821" t="n"/>
      <c r="H1812" s="818">
        <f>IF(G1812=1,F1812-I1812-J1812-K1812,IF(G1812=2,F1812,0))</f>
        <v>0</v>
      </c>
      <c r="I1812" s="818">
        <f>ROUND(IF(G1812=1,F1812*10/23,IF(G1812=3,F1812-J1812-K1812,IF(G1812=4,F1812,IF(G1812=5,F1812*10/11,IF(G1812=7,F1812*10/11,0))))),0)</f>
        <v>0</v>
      </c>
      <c r="J1812" s="818">
        <f>ROUND(IF(G1812=1,F1812/23,IF(G1812=3,F1812/12,IF(G1812=5,F1812-I1812,IF(G1812=8,F1812,0)))),0)</f>
        <v>0</v>
      </c>
      <c r="K1812" s="819">
        <f>ROUND(IF(G1812=1,F1812/23,IF(G1812=3,F1812/12,IF(G1812=6,F1812,IF(G1812=7,F1812-I1812,0)))),0)</f>
        <v>0</v>
      </c>
      <c r="L1812" s="820">
        <f>IF(G1812=6,F1812,0)</f>
        <v>0</v>
      </c>
      <c r="P1812" s="768" t="n"/>
      <c r="Q1812" s="769" t="str">
        <f>IF($F1812="","",IFERROR(VLOOKUP($C1812&amp;"|"&amp;$D1812,科目表!$A$5:$B$200,2,FALSE),"※未登録"))</f>
        <v/>
      </c>
      <c r="R1812" s="769" t="str">
        <f>IF($F1812="","",$I1812+$J1812+$K1812)</f>
        <v/>
      </c>
      <c r="S1812" s="769" t="str">
        <f>IF(OR($F1812="",$P1812="支払なし",$H1812=0,$Q1812=""),"",$Q1812&amp;"|S|"&amp;(COUNTIF(S$4:S1811,$Q1812&amp;"|S|*")+1))</f>
        <v/>
      </c>
      <c r="T1812" s="769" t="str">
        <f>IF(OR($F1812="",$P1812="支払なし",$R1812=0,$Q1812=""),"",$Q1812&amp;"|L|"&amp;(COUNTIF(T$4:T1811,$Q1812&amp;"|L|*")+1))</f>
        <v/>
      </c>
      <c r="U1812" s="769" t="str">
        <f>IF($F1812="","",13)</f>
        <v/>
      </c>
    </row>
    <row r="1813" ht="16.5" customHeight="1" s="186">
      <c r="A1813" s="760" t="n"/>
      <c r="B1813" s="760" t="n"/>
      <c r="C1813" s="762" t="n"/>
      <c r="D1813" s="762" t="n"/>
      <c r="E1813" s="775" t="n"/>
      <c r="F1813" s="821" t="n"/>
      <c r="G1813" s="821" t="n"/>
      <c r="H1813" s="818">
        <f>IF(G1813=1,F1813-I1813-J1813-K1813,IF(G1813=2,F1813,0))</f>
        <v>0</v>
      </c>
      <c r="I1813" s="818">
        <f>ROUND(IF(G1813=1,F1813*10/23,IF(G1813=3,F1813-J1813-K1813,IF(G1813=4,F1813,IF(G1813=5,F1813*10/11,IF(G1813=7,F1813*10/11,0))))),0)</f>
        <v>0</v>
      </c>
      <c r="J1813" s="818">
        <f>ROUND(IF(G1813=1,F1813/23,IF(G1813=3,F1813/12,IF(G1813=5,F1813-I1813,IF(G1813=8,F1813,0)))),0)</f>
        <v>0</v>
      </c>
      <c r="K1813" s="819">
        <f>ROUND(IF(G1813=1,F1813/23,IF(G1813=3,F1813/12,IF(G1813=6,F1813,IF(G1813=7,F1813-I1813,0)))),0)</f>
        <v>0</v>
      </c>
      <c r="L1813" s="820">
        <f>IF(G1813=6,F1813,0)</f>
        <v>0</v>
      </c>
      <c r="P1813" s="768" t="n"/>
      <c r="Q1813" s="769" t="str">
        <f>IF($F1813="","",IFERROR(VLOOKUP($C1813&amp;"|"&amp;$D1813,科目表!$A$5:$B$200,2,FALSE),"※未登録"))</f>
        <v/>
      </c>
      <c r="R1813" s="769" t="str">
        <f>IF($F1813="","",$I1813+$J1813+$K1813)</f>
        <v/>
      </c>
      <c r="S1813" s="769" t="str">
        <f>IF(OR($F1813="",$P1813="支払なし",$H1813=0,$Q1813=""),"",$Q1813&amp;"|S|"&amp;(COUNTIF(S$4:S1812,$Q1813&amp;"|S|*")+1))</f>
        <v/>
      </c>
      <c r="T1813" s="769" t="str">
        <f>IF(OR($F1813="",$P1813="支払なし",$R1813=0,$Q1813=""),"",$Q1813&amp;"|L|"&amp;(COUNTIF(T$4:T1812,$Q1813&amp;"|L|*")+1))</f>
        <v/>
      </c>
      <c r="U1813" s="769" t="str">
        <f>IF($F1813="","",13)</f>
        <v/>
      </c>
    </row>
    <row r="1814" ht="16.5" customHeight="1" s="186">
      <c r="A1814" s="760" t="n"/>
      <c r="B1814" s="760" t="n"/>
      <c r="C1814" s="762" t="n"/>
      <c r="D1814" s="762" t="n"/>
      <c r="E1814" s="775" t="n"/>
      <c r="F1814" s="821" t="n"/>
      <c r="G1814" s="821" t="n"/>
      <c r="H1814" s="818">
        <f>IF(G1814=1,F1814-I1814-J1814-K1814,IF(G1814=2,F1814,0))</f>
        <v>0</v>
      </c>
      <c r="I1814" s="818">
        <f>ROUND(IF(G1814=1,F1814*10/23,IF(G1814=3,F1814-J1814-K1814,IF(G1814=4,F1814,IF(G1814=5,F1814*10/11,IF(G1814=7,F1814*10/11,0))))),0)</f>
        <v>0</v>
      </c>
      <c r="J1814" s="818">
        <f>ROUND(IF(G1814=1,F1814/23,IF(G1814=3,F1814/12,IF(G1814=5,F1814-I1814,IF(G1814=8,F1814,0)))),0)</f>
        <v>0</v>
      </c>
      <c r="K1814" s="819">
        <f>ROUND(IF(G1814=1,F1814/23,IF(G1814=3,F1814/12,IF(G1814=6,F1814,IF(G1814=7,F1814-I1814,0)))),0)</f>
        <v>0</v>
      </c>
      <c r="L1814" s="820">
        <f>IF(G1814=6,F1814,0)</f>
        <v>0</v>
      </c>
      <c r="P1814" s="768" t="n"/>
      <c r="Q1814" s="769" t="str">
        <f>IF($F1814="","",IFERROR(VLOOKUP($C1814&amp;"|"&amp;$D1814,科目表!$A$5:$B$200,2,FALSE),"※未登録"))</f>
        <v/>
      </c>
      <c r="R1814" s="769" t="str">
        <f>IF($F1814="","",$I1814+$J1814+$K1814)</f>
        <v/>
      </c>
      <c r="S1814" s="769" t="str">
        <f>IF(OR($F1814="",$P1814="支払なし",$H1814=0,$Q1814=""),"",$Q1814&amp;"|S|"&amp;(COUNTIF(S$4:S1813,$Q1814&amp;"|S|*")+1))</f>
        <v/>
      </c>
      <c r="T1814" s="769" t="str">
        <f>IF(OR($F1814="",$P1814="支払なし",$R1814=0,$Q1814=""),"",$Q1814&amp;"|L|"&amp;(COUNTIF(T$4:T1813,$Q1814&amp;"|L|*")+1))</f>
        <v/>
      </c>
      <c r="U1814" s="769" t="str">
        <f>IF($F1814="","",13)</f>
        <v/>
      </c>
    </row>
    <row r="1815" ht="16.5" customHeight="1" s="186">
      <c r="A1815" s="760" t="n"/>
      <c r="B1815" s="760" t="n"/>
      <c r="C1815" s="762" t="n"/>
      <c r="D1815" s="762" t="n"/>
      <c r="E1815" s="775" t="n"/>
      <c r="F1815" s="821" t="n"/>
      <c r="G1815" s="821" t="n"/>
      <c r="H1815" s="818">
        <f>IF(G1815=1,F1815-I1815-J1815-K1815,IF(G1815=2,F1815,0))</f>
        <v>0</v>
      </c>
      <c r="I1815" s="818">
        <f>ROUND(IF(G1815=1,F1815*10/23,IF(G1815=3,F1815-J1815-K1815,IF(G1815=4,F1815,IF(G1815=5,F1815*10/11,IF(G1815=7,F1815*10/11,0))))),0)</f>
        <v>0</v>
      </c>
      <c r="J1815" s="818">
        <f>ROUND(IF(G1815=1,F1815/23,IF(G1815=3,F1815/12,IF(G1815=5,F1815-I1815,IF(G1815=8,F1815,0)))),0)</f>
        <v>0</v>
      </c>
      <c r="K1815" s="819">
        <f>ROUND(IF(G1815=1,F1815/23,IF(G1815=3,F1815/12,IF(G1815=6,F1815,IF(G1815=7,F1815-I1815,0)))),0)</f>
        <v>0</v>
      </c>
      <c r="L1815" s="820">
        <f>IF(G1815=6,F1815,0)</f>
        <v>0</v>
      </c>
      <c r="P1815" s="768" t="n"/>
      <c r="Q1815" s="769" t="str">
        <f>IF($F1815="","",IFERROR(VLOOKUP($C1815&amp;"|"&amp;$D1815,科目表!$A$5:$B$200,2,FALSE),"※未登録"))</f>
        <v/>
      </c>
      <c r="R1815" s="769" t="str">
        <f>IF($F1815="","",$I1815+$J1815+$K1815)</f>
        <v/>
      </c>
      <c r="S1815" s="769" t="str">
        <f>IF(OR($F1815="",$P1815="支払なし",$H1815=0,$Q1815=""),"",$Q1815&amp;"|S|"&amp;(COUNTIF(S$4:S1814,$Q1815&amp;"|S|*")+1))</f>
        <v/>
      </c>
      <c r="T1815" s="769" t="str">
        <f>IF(OR($F1815="",$P1815="支払なし",$R1815=0,$Q1815=""),"",$Q1815&amp;"|L|"&amp;(COUNTIF(T$4:T1814,$Q1815&amp;"|L|*")+1))</f>
        <v/>
      </c>
      <c r="U1815" s="769" t="str">
        <f>IF($F1815="","",13)</f>
        <v/>
      </c>
    </row>
    <row r="1816" ht="16.5" customHeight="1" s="186">
      <c r="A1816" s="760" t="n"/>
      <c r="B1816" s="760" t="n"/>
      <c r="C1816" s="762" t="n"/>
      <c r="D1816" s="762" t="n"/>
      <c r="E1816" s="775" t="n"/>
      <c r="F1816" s="821" t="n"/>
      <c r="G1816" s="821" t="n"/>
      <c r="H1816" s="818">
        <f>IF(G1816=1,F1816-I1816-J1816-K1816,IF(G1816=2,F1816,0))</f>
        <v>0</v>
      </c>
      <c r="I1816" s="818">
        <f>ROUND(IF(G1816=1,F1816*10/23,IF(G1816=3,F1816-J1816-K1816,IF(G1816=4,F1816,IF(G1816=5,F1816*10/11,IF(G1816=7,F1816*10/11,0))))),0)</f>
        <v>0</v>
      </c>
      <c r="J1816" s="818">
        <f>ROUND(IF(G1816=1,F1816/23,IF(G1816=3,F1816/12,IF(G1816=5,F1816-I1816,IF(G1816=8,F1816,0)))),0)</f>
        <v>0</v>
      </c>
      <c r="K1816" s="819">
        <f>ROUND(IF(G1816=1,F1816/23,IF(G1816=3,F1816/12,IF(G1816=6,F1816,IF(G1816=7,F1816-I1816,0)))),0)</f>
        <v>0</v>
      </c>
      <c r="L1816" s="820">
        <f>IF(G1816=6,F1816,0)</f>
        <v>0</v>
      </c>
      <c r="P1816" s="768" t="n"/>
      <c r="Q1816" s="769" t="str">
        <f>IF($F1816="","",IFERROR(VLOOKUP($C1816&amp;"|"&amp;$D1816,科目表!$A$5:$B$200,2,FALSE),"※未登録"))</f>
        <v/>
      </c>
      <c r="R1816" s="769" t="str">
        <f>IF($F1816="","",$I1816+$J1816+$K1816)</f>
        <v/>
      </c>
      <c r="S1816" s="769" t="str">
        <f>IF(OR($F1816="",$P1816="支払なし",$H1816=0,$Q1816=""),"",$Q1816&amp;"|S|"&amp;(COUNTIF(S$4:S1815,$Q1816&amp;"|S|*")+1))</f>
        <v/>
      </c>
      <c r="T1816" s="769" t="str">
        <f>IF(OR($F1816="",$P1816="支払なし",$R1816=0,$Q1816=""),"",$Q1816&amp;"|L|"&amp;(COUNTIF(T$4:T1815,$Q1816&amp;"|L|*")+1))</f>
        <v/>
      </c>
      <c r="U1816" s="769" t="str">
        <f>IF($F1816="","",13)</f>
        <v/>
      </c>
    </row>
    <row r="1817" ht="16.5" customHeight="1" s="186">
      <c r="A1817" s="760" t="n"/>
      <c r="B1817" s="760" t="n"/>
      <c r="C1817" s="762" t="n"/>
      <c r="D1817" s="762" t="n"/>
      <c r="E1817" s="775" t="n"/>
      <c r="F1817" s="821" t="n"/>
      <c r="G1817" s="821" t="n"/>
      <c r="H1817" s="818">
        <f>IF(G1817=1,F1817-I1817-J1817-K1817,IF(G1817=2,F1817,0))</f>
        <v>0</v>
      </c>
      <c r="I1817" s="818">
        <f>ROUND(IF(G1817=1,F1817*10/23,IF(G1817=3,F1817-J1817-K1817,IF(G1817=4,F1817,IF(G1817=5,F1817*10/11,IF(G1817=7,F1817*10/11,0))))),0)</f>
        <v>0</v>
      </c>
      <c r="J1817" s="818">
        <f>ROUND(IF(G1817=1,F1817/23,IF(G1817=3,F1817/12,IF(G1817=5,F1817-I1817,IF(G1817=8,F1817,0)))),0)</f>
        <v>0</v>
      </c>
      <c r="K1817" s="819">
        <f>ROUND(IF(G1817=1,F1817/23,IF(G1817=3,F1817/12,IF(G1817=6,F1817,IF(G1817=7,F1817-I1817,0)))),0)</f>
        <v>0</v>
      </c>
      <c r="L1817" s="820">
        <f>IF(G1817=6,F1817,0)</f>
        <v>0</v>
      </c>
      <c r="P1817" s="768" t="n"/>
      <c r="Q1817" s="769" t="str">
        <f>IF($F1817="","",IFERROR(VLOOKUP($C1817&amp;"|"&amp;$D1817,科目表!$A$5:$B$200,2,FALSE),"※未登録"))</f>
        <v/>
      </c>
      <c r="R1817" s="769" t="str">
        <f>IF($F1817="","",$I1817+$J1817+$K1817)</f>
        <v/>
      </c>
      <c r="S1817" s="769" t="str">
        <f>IF(OR($F1817="",$P1817="支払なし",$H1817=0,$Q1817=""),"",$Q1817&amp;"|S|"&amp;(COUNTIF(S$4:S1816,$Q1817&amp;"|S|*")+1))</f>
        <v/>
      </c>
      <c r="T1817" s="769" t="str">
        <f>IF(OR($F1817="",$P1817="支払なし",$R1817=0,$Q1817=""),"",$Q1817&amp;"|L|"&amp;(COUNTIF(T$4:T1816,$Q1817&amp;"|L|*")+1))</f>
        <v/>
      </c>
      <c r="U1817" s="769" t="str">
        <f>IF($F1817="","",13)</f>
        <v/>
      </c>
    </row>
    <row r="1818" ht="16.5" customHeight="1" s="186">
      <c r="A1818" s="760" t="n"/>
      <c r="B1818" s="760" t="n"/>
      <c r="C1818" s="762" t="n"/>
      <c r="D1818" s="762" t="n"/>
      <c r="E1818" s="775" t="n"/>
      <c r="F1818" s="821" t="n"/>
      <c r="G1818" s="821" t="n"/>
      <c r="H1818" s="818">
        <f>IF(G1818=1,F1818-I1818-J1818-K1818,IF(G1818=2,F1818,0))</f>
        <v>0</v>
      </c>
      <c r="I1818" s="818">
        <f>ROUND(IF(G1818=1,F1818*10/23,IF(G1818=3,F1818-J1818-K1818,IF(G1818=4,F1818,IF(G1818=5,F1818*10/11,IF(G1818=7,F1818*10/11,0))))),0)</f>
        <v>0</v>
      </c>
      <c r="J1818" s="818">
        <f>ROUND(IF(G1818=1,F1818/23,IF(G1818=3,F1818/12,IF(G1818=5,F1818-I1818,IF(G1818=8,F1818,0)))),0)</f>
        <v>0</v>
      </c>
      <c r="K1818" s="819">
        <f>ROUND(IF(G1818=1,F1818/23,IF(G1818=3,F1818/12,IF(G1818=6,F1818,IF(G1818=7,F1818-I1818,0)))),0)</f>
        <v>0</v>
      </c>
      <c r="L1818" s="820">
        <f>IF(G1818=6,F1818,0)</f>
        <v>0</v>
      </c>
      <c r="P1818" s="768" t="n"/>
      <c r="Q1818" s="769" t="str">
        <f>IF($F1818="","",IFERROR(VLOOKUP($C1818&amp;"|"&amp;$D1818,科目表!$A$5:$B$200,2,FALSE),"※未登録"))</f>
        <v/>
      </c>
      <c r="R1818" s="769" t="str">
        <f>IF($F1818="","",$I1818+$J1818+$K1818)</f>
        <v/>
      </c>
      <c r="S1818" s="769" t="str">
        <f>IF(OR($F1818="",$P1818="支払なし",$H1818=0,$Q1818=""),"",$Q1818&amp;"|S|"&amp;(COUNTIF(S$4:S1817,$Q1818&amp;"|S|*")+1))</f>
        <v/>
      </c>
      <c r="T1818" s="769" t="str">
        <f>IF(OR($F1818="",$P1818="支払なし",$R1818=0,$Q1818=""),"",$Q1818&amp;"|L|"&amp;(COUNTIF(T$4:T1817,$Q1818&amp;"|L|*")+1))</f>
        <v/>
      </c>
      <c r="U1818" s="769" t="str">
        <f>IF($F1818="","",13)</f>
        <v/>
      </c>
    </row>
    <row r="1819" ht="16.5" customHeight="1" s="186">
      <c r="A1819" s="760" t="n"/>
      <c r="B1819" s="760" t="n"/>
      <c r="C1819" s="762" t="n"/>
      <c r="D1819" s="762" t="n"/>
      <c r="E1819" s="775" t="n"/>
      <c r="F1819" s="821" t="n"/>
      <c r="G1819" s="821" t="n"/>
      <c r="H1819" s="818">
        <f>IF(G1819=1,F1819-I1819-J1819-K1819,IF(G1819=2,F1819,0))</f>
        <v>0</v>
      </c>
      <c r="I1819" s="818">
        <f>ROUND(IF(G1819=1,F1819*10/23,IF(G1819=3,F1819-J1819-K1819,IF(G1819=4,F1819,IF(G1819=5,F1819*10/11,IF(G1819=7,F1819*10/11,0))))),0)</f>
        <v>0</v>
      </c>
      <c r="J1819" s="818">
        <f>ROUND(IF(G1819=1,F1819/23,IF(G1819=3,F1819/12,IF(G1819=5,F1819-I1819,IF(G1819=8,F1819,0)))),0)</f>
        <v>0</v>
      </c>
      <c r="K1819" s="819">
        <f>ROUND(IF(G1819=1,F1819/23,IF(G1819=3,F1819/12,IF(G1819=6,F1819,IF(G1819=7,F1819-I1819,0)))),0)</f>
        <v>0</v>
      </c>
      <c r="L1819" s="820">
        <f>IF(G1819=6,F1819,0)</f>
        <v>0</v>
      </c>
      <c r="P1819" s="768" t="n"/>
      <c r="Q1819" s="769" t="str">
        <f>IF($F1819="","",IFERROR(VLOOKUP($C1819&amp;"|"&amp;$D1819,科目表!$A$5:$B$200,2,FALSE),"※未登録"))</f>
        <v/>
      </c>
      <c r="R1819" s="769" t="str">
        <f>IF($F1819="","",$I1819+$J1819+$K1819)</f>
        <v/>
      </c>
      <c r="S1819" s="769" t="str">
        <f>IF(OR($F1819="",$P1819="支払なし",$H1819=0,$Q1819=""),"",$Q1819&amp;"|S|"&amp;(COUNTIF(S$4:S1818,$Q1819&amp;"|S|*")+1))</f>
        <v/>
      </c>
      <c r="T1819" s="769" t="str">
        <f>IF(OR($F1819="",$P1819="支払なし",$R1819=0,$Q1819=""),"",$Q1819&amp;"|L|"&amp;(COUNTIF(T$4:T1818,$Q1819&amp;"|L|*")+1))</f>
        <v/>
      </c>
      <c r="U1819" s="769" t="str">
        <f>IF($F1819="","",13)</f>
        <v/>
      </c>
    </row>
    <row r="1820" ht="16.5" customHeight="1" s="186">
      <c r="A1820" s="760" t="n"/>
      <c r="B1820" s="760" t="n"/>
      <c r="C1820" s="762" t="n"/>
      <c r="D1820" s="762" t="n"/>
      <c r="E1820" s="775" t="n"/>
      <c r="F1820" s="821" t="n"/>
      <c r="G1820" s="821" t="n"/>
      <c r="H1820" s="818">
        <f>IF(G1820=1,F1820-I1820-J1820-K1820,IF(G1820=2,F1820,0))</f>
        <v>0</v>
      </c>
      <c r="I1820" s="818">
        <f>ROUND(IF(G1820=1,F1820*10/23,IF(G1820=3,F1820-J1820-K1820,IF(G1820=4,F1820,IF(G1820=5,F1820*10/11,IF(G1820=7,F1820*10/11,0))))),0)</f>
        <v>0</v>
      </c>
      <c r="J1820" s="818">
        <f>ROUND(IF(G1820=1,F1820/23,IF(G1820=3,F1820/12,IF(G1820=5,F1820-I1820,IF(G1820=8,F1820,0)))),0)</f>
        <v>0</v>
      </c>
      <c r="K1820" s="819">
        <f>ROUND(IF(G1820=1,F1820/23,IF(G1820=3,F1820/12,IF(G1820=6,F1820,IF(G1820=7,F1820-I1820,0)))),0)</f>
        <v>0</v>
      </c>
      <c r="L1820" s="820">
        <f>IF(G1820=6,F1820,0)</f>
        <v>0</v>
      </c>
      <c r="P1820" s="768" t="n"/>
      <c r="Q1820" s="769" t="str">
        <f>IF($F1820="","",IFERROR(VLOOKUP($C1820&amp;"|"&amp;$D1820,科目表!$A$5:$B$200,2,FALSE),"※未登録"))</f>
        <v/>
      </c>
      <c r="R1820" s="769" t="str">
        <f>IF($F1820="","",$I1820+$J1820+$K1820)</f>
        <v/>
      </c>
      <c r="S1820" s="769" t="str">
        <f>IF(OR($F1820="",$P1820="支払なし",$H1820=0,$Q1820=""),"",$Q1820&amp;"|S|"&amp;(COUNTIF(S$4:S1819,$Q1820&amp;"|S|*")+1))</f>
        <v/>
      </c>
      <c r="T1820" s="769" t="str">
        <f>IF(OR($F1820="",$P1820="支払なし",$R1820=0,$Q1820=""),"",$Q1820&amp;"|L|"&amp;(COUNTIF(T$4:T1819,$Q1820&amp;"|L|*")+1))</f>
        <v/>
      </c>
      <c r="U1820" s="769" t="str">
        <f>IF($F1820="","",13)</f>
        <v/>
      </c>
    </row>
    <row r="1821" ht="16.5" customHeight="1" s="186">
      <c r="A1821" s="760" t="n"/>
      <c r="B1821" s="760" t="n"/>
      <c r="C1821" s="762" t="n"/>
      <c r="D1821" s="762" t="n"/>
      <c r="E1821" s="775" t="n"/>
      <c r="F1821" s="821" t="n"/>
      <c r="G1821" s="821" t="n"/>
      <c r="H1821" s="818">
        <f>IF(G1821=1,F1821-I1821-J1821-K1821,IF(G1821=2,F1821,0))</f>
        <v>0</v>
      </c>
      <c r="I1821" s="818">
        <f>ROUND(IF(G1821=1,F1821*10/23,IF(G1821=3,F1821-J1821-K1821,IF(G1821=4,F1821,IF(G1821=5,F1821*10/11,IF(G1821=7,F1821*10/11,0))))),0)</f>
        <v>0</v>
      </c>
      <c r="J1821" s="818">
        <f>ROUND(IF(G1821=1,F1821/23,IF(G1821=3,F1821/12,IF(G1821=5,F1821-I1821,IF(G1821=8,F1821,0)))),0)</f>
        <v>0</v>
      </c>
      <c r="K1821" s="819">
        <f>ROUND(IF(G1821=1,F1821/23,IF(G1821=3,F1821/12,IF(G1821=6,F1821,IF(G1821=7,F1821-I1821,0)))),0)</f>
        <v>0</v>
      </c>
      <c r="L1821" s="820">
        <f>IF(G1821=6,F1821,0)</f>
        <v>0</v>
      </c>
      <c r="P1821" s="768" t="n"/>
      <c r="Q1821" s="769" t="str">
        <f>IF($F1821="","",IFERROR(VLOOKUP($C1821&amp;"|"&amp;$D1821,科目表!$A$5:$B$200,2,FALSE),"※未登録"))</f>
        <v/>
      </c>
      <c r="R1821" s="769" t="str">
        <f>IF($F1821="","",$I1821+$J1821+$K1821)</f>
        <v/>
      </c>
      <c r="S1821" s="769" t="str">
        <f>IF(OR($F1821="",$P1821="支払なし",$H1821=0,$Q1821=""),"",$Q1821&amp;"|S|"&amp;(COUNTIF(S$4:S1820,$Q1821&amp;"|S|*")+1))</f>
        <v/>
      </c>
      <c r="T1821" s="769" t="str">
        <f>IF(OR($F1821="",$P1821="支払なし",$R1821=0,$Q1821=""),"",$Q1821&amp;"|L|"&amp;(COUNTIF(T$4:T1820,$Q1821&amp;"|L|*")+1))</f>
        <v/>
      </c>
      <c r="U1821" s="769" t="str">
        <f>IF($F1821="","",13)</f>
        <v/>
      </c>
    </row>
    <row r="1822" ht="16.5" customHeight="1" s="186">
      <c r="A1822" s="760" t="n"/>
      <c r="B1822" s="760" t="n"/>
      <c r="C1822" s="762" t="n"/>
      <c r="D1822" s="762" t="n"/>
      <c r="E1822" s="775" t="n"/>
      <c r="F1822" s="821" t="n"/>
      <c r="G1822" s="821" t="n"/>
      <c r="H1822" s="818">
        <f>IF(G1822=1,F1822-I1822-J1822-K1822,IF(G1822=2,F1822,0))</f>
        <v>0</v>
      </c>
      <c r="I1822" s="818">
        <f>ROUND(IF(G1822=1,F1822*10/23,IF(G1822=3,F1822-J1822-K1822,IF(G1822=4,F1822,IF(G1822=5,F1822*10/11,IF(G1822=7,F1822*10/11,0))))),0)</f>
        <v>0</v>
      </c>
      <c r="J1822" s="818">
        <f>ROUND(IF(G1822=1,F1822/23,IF(G1822=3,F1822/12,IF(G1822=5,F1822-I1822,IF(G1822=8,F1822,0)))),0)</f>
        <v>0</v>
      </c>
      <c r="K1822" s="819">
        <f>ROUND(IF(G1822=1,F1822/23,IF(G1822=3,F1822/12,IF(G1822=6,F1822,IF(G1822=7,F1822-I1822,0)))),0)</f>
        <v>0</v>
      </c>
      <c r="L1822" s="820">
        <f>IF(G1822=6,F1822,0)</f>
        <v>0</v>
      </c>
      <c r="P1822" s="768" t="n"/>
      <c r="Q1822" s="769" t="str">
        <f>IF($F1822="","",IFERROR(VLOOKUP($C1822&amp;"|"&amp;$D1822,科目表!$A$5:$B$200,2,FALSE),"※未登録"))</f>
        <v/>
      </c>
      <c r="R1822" s="769" t="str">
        <f>IF($F1822="","",$I1822+$J1822+$K1822)</f>
        <v/>
      </c>
      <c r="S1822" s="769" t="str">
        <f>IF(OR($F1822="",$P1822="支払なし",$H1822=0,$Q1822=""),"",$Q1822&amp;"|S|"&amp;(COUNTIF(S$4:S1821,$Q1822&amp;"|S|*")+1))</f>
        <v/>
      </c>
      <c r="T1822" s="769" t="str">
        <f>IF(OR($F1822="",$P1822="支払なし",$R1822=0,$Q1822=""),"",$Q1822&amp;"|L|"&amp;(COUNTIF(T$4:T1821,$Q1822&amp;"|L|*")+1))</f>
        <v/>
      </c>
      <c r="U1822" s="769" t="str">
        <f>IF($F1822="","",13)</f>
        <v/>
      </c>
    </row>
    <row r="1823" ht="16.5" customHeight="1" s="186">
      <c r="A1823" s="760" t="n"/>
      <c r="B1823" s="760" t="n"/>
      <c r="C1823" s="762" t="n"/>
      <c r="D1823" s="762" t="n"/>
      <c r="E1823" s="775" t="n"/>
      <c r="F1823" s="821" t="n"/>
      <c r="G1823" s="821" t="n"/>
      <c r="H1823" s="818">
        <f>IF(G1823=1,F1823-I1823-J1823-K1823,IF(G1823=2,F1823,0))</f>
        <v>0</v>
      </c>
      <c r="I1823" s="818">
        <f>ROUND(IF(G1823=1,F1823*10/23,IF(G1823=3,F1823-J1823-K1823,IF(G1823=4,F1823,IF(G1823=5,F1823*10/11,IF(G1823=7,F1823*10/11,0))))),0)</f>
        <v>0</v>
      </c>
      <c r="J1823" s="818">
        <f>ROUND(IF(G1823=1,F1823/23,IF(G1823=3,F1823/12,IF(G1823=5,F1823-I1823,IF(G1823=8,F1823,0)))),0)</f>
        <v>0</v>
      </c>
      <c r="K1823" s="819">
        <f>ROUND(IF(G1823=1,F1823/23,IF(G1823=3,F1823/12,IF(G1823=6,F1823,IF(G1823=7,F1823-I1823,0)))),0)</f>
        <v>0</v>
      </c>
      <c r="L1823" s="820">
        <f>IF(G1823=6,F1823,0)</f>
        <v>0</v>
      </c>
      <c r="P1823" s="768" t="n"/>
      <c r="Q1823" s="769" t="str">
        <f>IF($F1823="","",IFERROR(VLOOKUP($C1823&amp;"|"&amp;$D1823,科目表!$A$5:$B$200,2,FALSE),"※未登録"))</f>
        <v/>
      </c>
      <c r="R1823" s="769" t="str">
        <f>IF($F1823="","",$I1823+$J1823+$K1823)</f>
        <v/>
      </c>
      <c r="S1823" s="769" t="str">
        <f>IF(OR($F1823="",$P1823="支払なし",$H1823=0,$Q1823=""),"",$Q1823&amp;"|S|"&amp;(COUNTIF(S$4:S1822,$Q1823&amp;"|S|*")+1))</f>
        <v/>
      </c>
      <c r="T1823" s="769" t="str">
        <f>IF(OR($F1823="",$P1823="支払なし",$R1823=0,$Q1823=""),"",$Q1823&amp;"|L|"&amp;(COUNTIF(T$4:T1822,$Q1823&amp;"|L|*")+1))</f>
        <v/>
      </c>
      <c r="U1823" s="769" t="str">
        <f>IF($F1823="","",13)</f>
        <v/>
      </c>
    </row>
    <row r="1824" ht="16.5" customHeight="1" s="186">
      <c r="A1824" s="760" t="n"/>
      <c r="B1824" s="760" t="n"/>
      <c r="C1824" s="762" t="n"/>
      <c r="D1824" s="762" t="n"/>
      <c r="E1824" s="775" t="n"/>
      <c r="F1824" s="821" t="n"/>
      <c r="G1824" s="821" t="n"/>
      <c r="H1824" s="818">
        <f>IF(G1824=1,F1824-I1824-J1824-K1824,IF(G1824=2,F1824,0))</f>
        <v>0</v>
      </c>
      <c r="I1824" s="818">
        <f>ROUND(IF(G1824=1,F1824*10/23,IF(G1824=3,F1824-J1824-K1824,IF(G1824=4,F1824,IF(G1824=5,F1824*10/11,IF(G1824=7,F1824*10/11,0))))),0)</f>
        <v>0</v>
      </c>
      <c r="J1824" s="818">
        <f>ROUND(IF(G1824=1,F1824/23,IF(G1824=3,F1824/12,IF(G1824=5,F1824-I1824,IF(G1824=8,F1824,0)))),0)</f>
        <v>0</v>
      </c>
      <c r="K1824" s="819">
        <f>ROUND(IF(G1824=1,F1824/23,IF(G1824=3,F1824/12,IF(G1824=6,F1824,IF(G1824=7,F1824-I1824,0)))),0)</f>
        <v>0</v>
      </c>
      <c r="L1824" s="820">
        <f>IF(G1824=6,F1824,0)</f>
        <v>0</v>
      </c>
      <c r="P1824" s="768" t="n"/>
      <c r="Q1824" s="769" t="str">
        <f>IF($F1824="","",IFERROR(VLOOKUP($C1824&amp;"|"&amp;$D1824,科目表!$A$5:$B$200,2,FALSE),"※未登録"))</f>
        <v/>
      </c>
      <c r="R1824" s="769" t="str">
        <f>IF($F1824="","",$I1824+$J1824+$K1824)</f>
        <v/>
      </c>
      <c r="S1824" s="769" t="str">
        <f>IF(OR($F1824="",$P1824="支払なし",$H1824=0,$Q1824=""),"",$Q1824&amp;"|S|"&amp;(COUNTIF(S$4:S1823,$Q1824&amp;"|S|*")+1))</f>
        <v/>
      </c>
      <c r="T1824" s="769" t="str">
        <f>IF(OR($F1824="",$P1824="支払なし",$R1824=0,$Q1824=""),"",$Q1824&amp;"|L|"&amp;(COUNTIF(T$4:T1823,$Q1824&amp;"|L|*")+1))</f>
        <v/>
      </c>
      <c r="U1824" s="769" t="str">
        <f>IF($F1824="","",13)</f>
        <v/>
      </c>
    </row>
    <row r="1825" ht="16.5" customHeight="1" s="186">
      <c r="A1825" s="760" t="n"/>
      <c r="B1825" s="760" t="n"/>
      <c r="C1825" s="762" t="n"/>
      <c r="D1825" s="762" t="n"/>
      <c r="E1825" s="775" t="n"/>
      <c r="F1825" s="821" t="n"/>
      <c r="G1825" s="821" t="n"/>
      <c r="H1825" s="818">
        <f>IF(G1825=1,F1825-I1825-J1825-K1825,IF(G1825=2,F1825,0))</f>
        <v>0</v>
      </c>
      <c r="I1825" s="818">
        <f>ROUND(IF(G1825=1,F1825*10/23,IF(G1825=3,F1825-J1825-K1825,IF(G1825=4,F1825,IF(G1825=5,F1825*10/11,IF(G1825=7,F1825*10/11,0))))),0)</f>
        <v>0</v>
      </c>
      <c r="J1825" s="818">
        <f>ROUND(IF(G1825=1,F1825/23,IF(G1825=3,F1825/12,IF(G1825=5,F1825-I1825,IF(G1825=8,F1825,0)))),0)</f>
        <v>0</v>
      </c>
      <c r="K1825" s="819">
        <f>ROUND(IF(G1825=1,F1825/23,IF(G1825=3,F1825/12,IF(G1825=6,F1825,IF(G1825=7,F1825-I1825,0)))),0)</f>
        <v>0</v>
      </c>
      <c r="L1825" s="820">
        <f>IF(G1825=6,F1825,0)</f>
        <v>0</v>
      </c>
      <c r="P1825" s="768" t="n"/>
      <c r="Q1825" s="769" t="str">
        <f>IF($F1825="","",IFERROR(VLOOKUP($C1825&amp;"|"&amp;$D1825,科目表!$A$5:$B$200,2,FALSE),"※未登録"))</f>
        <v/>
      </c>
      <c r="R1825" s="769" t="str">
        <f>IF($F1825="","",$I1825+$J1825+$K1825)</f>
        <v/>
      </c>
      <c r="S1825" s="769" t="str">
        <f>IF(OR($F1825="",$P1825="支払なし",$H1825=0,$Q1825=""),"",$Q1825&amp;"|S|"&amp;(COUNTIF(S$4:S1824,$Q1825&amp;"|S|*")+1))</f>
        <v/>
      </c>
      <c r="T1825" s="769" t="str">
        <f>IF(OR($F1825="",$P1825="支払なし",$R1825=0,$Q1825=""),"",$Q1825&amp;"|L|"&amp;(COUNTIF(T$4:T1824,$Q1825&amp;"|L|*")+1))</f>
        <v/>
      </c>
      <c r="U1825" s="769" t="str">
        <f>IF($F1825="","",13)</f>
        <v/>
      </c>
    </row>
    <row r="1826" ht="16.5" customHeight="1" s="186">
      <c r="A1826" s="760" t="n"/>
      <c r="B1826" s="760" t="n"/>
      <c r="C1826" s="762" t="n"/>
      <c r="D1826" s="762" t="n"/>
      <c r="E1826" s="775" t="n"/>
      <c r="F1826" s="821" t="n"/>
      <c r="G1826" s="821" t="n"/>
      <c r="H1826" s="818">
        <f>IF(G1826=1,F1826-I1826-J1826-K1826,IF(G1826=2,F1826,0))</f>
        <v>0</v>
      </c>
      <c r="I1826" s="818">
        <f>ROUND(IF(G1826=1,F1826*10/23,IF(G1826=3,F1826-J1826-K1826,IF(G1826=4,F1826,IF(G1826=5,F1826*10/11,IF(G1826=7,F1826*10/11,0))))),0)</f>
        <v>0</v>
      </c>
      <c r="J1826" s="818">
        <f>ROUND(IF(G1826=1,F1826/23,IF(G1826=3,F1826/12,IF(G1826=5,F1826-I1826,IF(G1826=8,F1826,0)))),0)</f>
        <v>0</v>
      </c>
      <c r="K1826" s="819">
        <f>ROUND(IF(G1826=1,F1826/23,IF(G1826=3,F1826/12,IF(G1826=6,F1826,IF(G1826=7,F1826-I1826,0)))),0)</f>
        <v>0</v>
      </c>
      <c r="L1826" s="820">
        <f>IF(G1826=6,F1826,0)</f>
        <v>0</v>
      </c>
      <c r="P1826" s="768" t="n"/>
      <c r="Q1826" s="769" t="str">
        <f>IF($F1826="","",IFERROR(VLOOKUP($C1826&amp;"|"&amp;$D1826,科目表!$A$5:$B$200,2,FALSE),"※未登録"))</f>
        <v/>
      </c>
      <c r="R1826" s="769" t="str">
        <f>IF($F1826="","",$I1826+$J1826+$K1826)</f>
        <v/>
      </c>
      <c r="S1826" s="769" t="str">
        <f>IF(OR($F1826="",$P1826="支払なし",$H1826=0,$Q1826=""),"",$Q1826&amp;"|S|"&amp;(COUNTIF(S$4:S1825,$Q1826&amp;"|S|*")+1))</f>
        <v/>
      </c>
      <c r="T1826" s="769" t="str">
        <f>IF(OR($F1826="",$P1826="支払なし",$R1826=0,$Q1826=""),"",$Q1826&amp;"|L|"&amp;(COUNTIF(T$4:T1825,$Q1826&amp;"|L|*")+1))</f>
        <v/>
      </c>
      <c r="U1826" s="769" t="str">
        <f>IF($F1826="","",13)</f>
        <v/>
      </c>
    </row>
    <row r="1827" ht="16.5" customHeight="1" s="186">
      <c r="A1827" s="760" t="n"/>
      <c r="B1827" s="760" t="n"/>
      <c r="C1827" s="762" t="n"/>
      <c r="D1827" s="762" t="n"/>
      <c r="E1827" s="775" t="n"/>
      <c r="F1827" s="821" t="n"/>
      <c r="G1827" s="821" t="n"/>
      <c r="H1827" s="818">
        <f>IF(G1827=1,F1827-I1827-J1827-K1827,IF(G1827=2,F1827,0))</f>
        <v>0</v>
      </c>
      <c r="I1827" s="818">
        <f>ROUND(IF(G1827=1,F1827*10/23,IF(G1827=3,F1827-J1827-K1827,IF(G1827=4,F1827,IF(G1827=5,F1827*10/11,IF(G1827=7,F1827*10/11,0))))),0)</f>
        <v>0</v>
      </c>
      <c r="J1827" s="818">
        <f>ROUND(IF(G1827=1,F1827/23,IF(G1827=3,F1827/12,IF(G1827=5,F1827-I1827,IF(G1827=8,F1827,0)))),0)</f>
        <v>0</v>
      </c>
      <c r="K1827" s="819">
        <f>ROUND(IF(G1827=1,F1827/23,IF(G1827=3,F1827/12,IF(G1827=6,F1827,IF(G1827=7,F1827-I1827,0)))),0)</f>
        <v>0</v>
      </c>
      <c r="L1827" s="820">
        <f>IF(G1827=6,F1827,0)</f>
        <v>0</v>
      </c>
      <c r="P1827" s="768" t="n"/>
      <c r="Q1827" s="769" t="str">
        <f>IF($F1827="","",IFERROR(VLOOKUP($C1827&amp;"|"&amp;$D1827,科目表!$A$5:$B$200,2,FALSE),"※未登録"))</f>
        <v/>
      </c>
      <c r="R1827" s="769" t="str">
        <f>IF($F1827="","",$I1827+$J1827+$K1827)</f>
        <v/>
      </c>
      <c r="S1827" s="769" t="str">
        <f>IF(OR($F1827="",$P1827="支払なし",$H1827=0,$Q1827=""),"",$Q1827&amp;"|S|"&amp;(COUNTIF(S$4:S1826,$Q1827&amp;"|S|*")+1))</f>
        <v/>
      </c>
      <c r="T1827" s="769" t="str">
        <f>IF(OR($F1827="",$P1827="支払なし",$R1827=0,$Q1827=""),"",$Q1827&amp;"|L|"&amp;(COUNTIF(T$4:T1826,$Q1827&amp;"|L|*")+1))</f>
        <v/>
      </c>
      <c r="U1827" s="769" t="str">
        <f>IF($F1827="","",13)</f>
        <v/>
      </c>
    </row>
    <row r="1828" ht="16.5" customHeight="1" s="186">
      <c r="A1828" s="760" t="n"/>
      <c r="B1828" s="760" t="n"/>
      <c r="C1828" s="762" t="n"/>
      <c r="D1828" s="762" t="n"/>
      <c r="E1828" s="775" t="n"/>
      <c r="F1828" s="821" t="n"/>
      <c r="G1828" s="821" t="n"/>
      <c r="H1828" s="818">
        <f>IF(G1828=1,F1828-I1828-J1828-K1828,IF(G1828=2,F1828,0))</f>
        <v>0</v>
      </c>
      <c r="I1828" s="818">
        <f>ROUND(IF(G1828=1,F1828*10/23,IF(G1828=3,F1828-J1828-K1828,IF(G1828=4,F1828,IF(G1828=5,F1828*10/11,IF(G1828=7,F1828*10/11,0))))),0)</f>
        <v>0</v>
      </c>
      <c r="J1828" s="818">
        <f>ROUND(IF(G1828=1,F1828/23,IF(G1828=3,F1828/12,IF(G1828=5,F1828-I1828,IF(G1828=8,F1828,0)))),0)</f>
        <v>0</v>
      </c>
      <c r="K1828" s="819">
        <f>ROUND(IF(G1828=1,F1828/23,IF(G1828=3,F1828/12,IF(G1828=6,F1828,IF(G1828=7,F1828-I1828,0)))),0)</f>
        <v>0</v>
      </c>
      <c r="L1828" s="820">
        <f>IF(G1828=6,F1828,0)</f>
        <v>0</v>
      </c>
      <c r="P1828" s="768" t="n"/>
      <c r="Q1828" s="769" t="str">
        <f>IF($F1828="","",IFERROR(VLOOKUP($C1828&amp;"|"&amp;$D1828,科目表!$A$5:$B$200,2,FALSE),"※未登録"))</f>
        <v/>
      </c>
      <c r="R1828" s="769" t="str">
        <f>IF($F1828="","",$I1828+$J1828+$K1828)</f>
        <v/>
      </c>
      <c r="S1828" s="769" t="str">
        <f>IF(OR($F1828="",$P1828="支払なし",$H1828=0,$Q1828=""),"",$Q1828&amp;"|S|"&amp;(COUNTIF(S$4:S1827,$Q1828&amp;"|S|*")+1))</f>
        <v/>
      </c>
      <c r="T1828" s="769" t="str">
        <f>IF(OR($F1828="",$P1828="支払なし",$R1828=0,$Q1828=""),"",$Q1828&amp;"|L|"&amp;(COUNTIF(T$4:T1827,$Q1828&amp;"|L|*")+1))</f>
        <v/>
      </c>
      <c r="U1828" s="769" t="str">
        <f>IF($F1828="","",13)</f>
        <v/>
      </c>
    </row>
    <row r="1829" ht="16.5" customHeight="1" s="186">
      <c r="A1829" s="760" t="n"/>
      <c r="B1829" s="760" t="n"/>
      <c r="C1829" s="762" t="n"/>
      <c r="D1829" s="762" t="n"/>
      <c r="E1829" s="775" t="n"/>
      <c r="F1829" s="821" t="n"/>
      <c r="G1829" s="821" t="n"/>
      <c r="H1829" s="818">
        <f>IF(G1829=1,F1829-I1829-J1829-K1829,IF(G1829=2,F1829,0))</f>
        <v>0</v>
      </c>
      <c r="I1829" s="818">
        <f>ROUND(IF(G1829=1,F1829*10/23,IF(G1829=3,F1829-J1829-K1829,IF(G1829=4,F1829,IF(G1829=5,F1829*10/11,IF(G1829=7,F1829*10/11,0))))),0)</f>
        <v>0</v>
      </c>
      <c r="J1829" s="818">
        <f>ROUND(IF(G1829=1,F1829/23,IF(G1829=3,F1829/12,IF(G1829=5,F1829-I1829,IF(G1829=8,F1829,0)))),0)</f>
        <v>0</v>
      </c>
      <c r="K1829" s="819">
        <f>ROUND(IF(G1829=1,F1829/23,IF(G1829=3,F1829/12,IF(G1829=6,F1829,IF(G1829=7,F1829-I1829,0)))),0)</f>
        <v>0</v>
      </c>
      <c r="L1829" s="820">
        <f>IF(G1829=6,F1829,0)</f>
        <v>0</v>
      </c>
      <c r="P1829" s="768" t="n"/>
      <c r="Q1829" s="769" t="str">
        <f>IF($F1829="","",IFERROR(VLOOKUP($C1829&amp;"|"&amp;$D1829,科目表!$A$5:$B$200,2,FALSE),"※未登録"))</f>
        <v/>
      </c>
      <c r="R1829" s="769" t="str">
        <f>IF($F1829="","",$I1829+$J1829+$K1829)</f>
        <v/>
      </c>
      <c r="S1829" s="769" t="str">
        <f>IF(OR($F1829="",$P1829="支払なし",$H1829=0,$Q1829=""),"",$Q1829&amp;"|S|"&amp;(COUNTIF(S$4:S1828,$Q1829&amp;"|S|*")+1))</f>
        <v/>
      </c>
      <c r="T1829" s="769" t="str">
        <f>IF(OR($F1829="",$P1829="支払なし",$R1829=0,$Q1829=""),"",$Q1829&amp;"|L|"&amp;(COUNTIF(T$4:T1828,$Q1829&amp;"|L|*")+1))</f>
        <v/>
      </c>
      <c r="U1829" s="769" t="str">
        <f>IF($F1829="","",13)</f>
        <v/>
      </c>
    </row>
    <row r="1830" ht="16.5" customHeight="1" s="186">
      <c r="A1830" s="760" t="n"/>
      <c r="B1830" s="760" t="n"/>
      <c r="C1830" s="762" t="n"/>
      <c r="D1830" s="762" t="n"/>
      <c r="E1830" s="775" t="n"/>
      <c r="F1830" s="821" t="n"/>
      <c r="G1830" s="821" t="n"/>
      <c r="H1830" s="818">
        <f>IF(G1830=1,F1830-I1830-J1830-K1830,IF(G1830=2,F1830,0))</f>
        <v>0</v>
      </c>
      <c r="I1830" s="818">
        <f>ROUND(IF(G1830=1,F1830*10/23,IF(G1830=3,F1830-J1830-K1830,IF(G1830=4,F1830,IF(G1830=5,F1830*10/11,IF(G1830=7,F1830*10/11,0))))),0)</f>
        <v>0</v>
      </c>
      <c r="J1830" s="818">
        <f>ROUND(IF(G1830=1,F1830/23,IF(G1830=3,F1830/12,IF(G1830=5,F1830-I1830,IF(G1830=8,F1830,0)))),0)</f>
        <v>0</v>
      </c>
      <c r="K1830" s="819">
        <f>ROUND(IF(G1830=1,F1830/23,IF(G1830=3,F1830/12,IF(G1830=6,F1830,IF(G1830=7,F1830-I1830,0)))),0)</f>
        <v>0</v>
      </c>
      <c r="L1830" s="820">
        <f>IF(G1830=6,F1830,0)</f>
        <v>0</v>
      </c>
      <c r="P1830" s="768" t="n"/>
      <c r="Q1830" s="769" t="str">
        <f>IF($F1830="","",IFERROR(VLOOKUP($C1830&amp;"|"&amp;$D1830,科目表!$A$5:$B$200,2,FALSE),"※未登録"))</f>
        <v/>
      </c>
      <c r="R1830" s="769" t="str">
        <f>IF($F1830="","",$I1830+$J1830+$K1830)</f>
        <v/>
      </c>
      <c r="S1830" s="769" t="str">
        <f>IF(OR($F1830="",$P1830="支払なし",$H1830=0,$Q1830=""),"",$Q1830&amp;"|S|"&amp;(COUNTIF(S$4:S1829,$Q1830&amp;"|S|*")+1))</f>
        <v/>
      </c>
      <c r="T1830" s="769" t="str">
        <f>IF(OR($F1830="",$P1830="支払なし",$R1830=0,$Q1830=""),"",$Q1830&amp;"|L|"&amp;(COUNTIF(T$4:T1829,$Q1830&amp;"|L|*")+1))</f>
        <v/>
      </c>
      <c r="U1830" s="769" t="str">
        <f>IF($F1830="","",13)</f>
        <v/>
      </c>
    </row>
    <row r="1831" ht="16.5" customHeight="1" s="186">
      <c r="A1831" s="760" t="n"/>
      <c r="B1831" s="760" t="n"/>
      <c r="C1831" s="762" t="n"/>
      <c r="D1831" s="762" t="n"/>
      <c r="E1831" s="775" t="n"/>
      <c r="F1831" s="821" t="n"/>
      <c r="G1831" s="821" t="n"/>
      <c r="H1831" s="818">
        <f>IF(G1831=1,F1831-I1831-J1831-K1831,IF(G1831=2,F1831,0))</f>
        <v>0</v>
      </c>
      <c r="I1831" s="818">
        <f>ROUND(IF(G1831=1,F1831*10/23,IF(G1831=3,F1831-J1831-K1831,IF(G1831=4,F1831,IF(G1831=5,F1831*10/11,IF(G1831=7,F1831*10/11,0))))),0)</f>
        <v>0</v>
      </c>
      <c r="J1831" s="818">
        <f>ROUND(IF(G1831=1,F1831/23,IF(G1831=3,F1831/12,IF(G1831=5,F1831-I1831,IF(G1831=8,F1831,0)))),0)</f>
        <v>0</v>
      </c>
      <c r="K1831" s="819">
        <f>ROUND(IF(G1831=1,F1831/23,IF(G1831=3,F1831/12,IF(G1831=6,F1831,IF(G1831=7,F1831-I1831,0)))),0)</f>
        <v>0</v>
      </c>
      <c r="L1831" s="820">
        <f>IF(G1831=6,F1831,0)</f>
        <v>0</v>
      </c>
      <c r="P1831" s="768" t="n"/>
      <c r="Q1831" s="769" t="str">
        <f>IF($F1831="","",IFERROR(VLOOKUP($C1831&amp;"|"&amp;$D1831,科目表!$A$5:$B$200,2,FALSE),"※未登録"))</f>
        <v/>
      </c>
      <c r="R1831" s="769" t="str">
        <f>IF($F1831="","",$I1831+$J1831+$K1831)</f>
        <v/>
      </c>
      <c r="S1831" s="769" t="str">
        <f>IF(OR($F1831="",$P1831="支払なし",$H1831=0,$Q1831=""),"",$Q1831&amp;"|S|"&amp;(COUNTIF(S$4:S1830,$Q1831&amp;"|S|*")+1))</f>
        <v/>
      </c>
      <c r="T1831" s="769" t="str">
        <f>IF(OR($F1831="",$P1831="支払なし",$R1831=0,$Q1831=""),"",$Q1831&amp;"|L|"&amp;(COUNTIF(T$4:T1830,$Q1831&amp;"|L|*")+1))</f>
        <v/>
      </c>
      <c r="U1831" s="769" t="str">
        <f>IF($F1831="","",13)</f>
        <v/>
      </c>
    </row>
    <row r="1832" ht="16.5" customHeight="1" s="186">
      <c r="A1832" s="760" t="n"/>
      <c r="B1832" s="760" t="n"/>
      <c r="C1832" s="762" t="n"/>
      <c r="D1832" s="762" t="n"/>
      <c r="E1832" s="775" t="n"/>
      <c r="F1832" s="821" t="n"/>
      <c r="G1832" s="821" t="n"/>
      <c r="H1832" s="818">
        <f>IF(G1832=1,F1832-I1832-J1832-K1832,IF(G1832=2,F1832,0))</f>
        <v>0</v>
      </c>
      <c r="I1832" s="818">
        <f>ROUND(IF(G1832=1,F1832*10/23,IF(G1832=3,F1832-J1832-K1832,IF(G1832=4,F1832,IF(G1832=5,F1832*10/11,IF(G1832=7,F1832*10/11,0))))),0)</f>
        <v>0</v>
      </c>
      <c r="J1832" s="818">
        <f>ROUND(IF(G1832=1,F1832/23,IF(G1832=3,F1832/12,IF(G1832=5,F1832-I1832,IF(G1832=8,F1832,0)))),0)</f>
        <v>0</v>
      </c>
      <c r="K1832" s="819">
        <f>ROUND(IF(G1832=1,F1832/23,IF(G1832=3,F1832/12,IF(G1832=6,F1832,IF(G1832=7,F1832-I1832,0)))),0)</f>
        <v>0</v>
      </c>
      <c r="L1832" s="820">
        <f>IF(G1832=6,F1832,0)</f>
        <v>0</v>
      </c>
      <c r="P1832" s="768" t="n"/>
      <c r="Q1832" s="769" t="str">
        <f>IF($F1832="","",IFERROR(VLOOKUP($C1832&amp;"|"&amp;$D1832,科目表!$A$5:$B$200,2,FALSE),"※未登録"))</f>
        <v/>
      </c>
      <c r="R1832" s="769" t="str">
        <f>IF($F1832="","",$I1832+$J1832+$K1832)</f>
        <v/>
      </c>
      <c r="S1832" s="769" t="str">
        <f>IF(OR($F1832="",$P1832="支払なし",$H1832=0,$Q1832=""),"",$Q1832&amp;"|S|"&amp;(COUNTIF(S$4:S1831,$Q1832&amp;"|S|*")+1))</f>
        <v/>
      </c>
      <c r="T1832" s="769" t="str">
        <f>IF(OR($F1832="",$P1832="支払なし",$R1832=0,$Q1832=""),"",$Q1832&amp;"|L|"&amp;(COUNTIF(T$4:T1831,$Q1832&amp;"|L|*")+1))</f>
        <v/>
      </c>
      <c r="U1832" s="769" t="str">
        <f>IF($F1832="","",13)</f>
        <v/>
      </c>
    </row>
    <row r="1833" ht="16.5" customHeight="1" s="186">
      <c r="A1833" s="760" t="n"/>
      <c r="B1833" s="760" t="n"/>
      <c r="C1833" s="762" t="n"/>
      <c r="D1833" s="762" t="n"/>
      <c r="E1833" s="775" t="n"/>
      <c r="F1833" s="821" t="n"/>
      <c r="G1833" s="821" t="n"/>
      <c r="H1833" s="818">
        <f>IF(G1833=1,F1833-I1833-J1833-K1833,IF(G1833=2,F1833,0))</f>
        <v>0</v>
      </c>
      <c r="I1833" s="818">
        <f>ROUND(IF(G1833=1,F1833*10/23,IF(G1833=3,F1833-J1833-K1833,IF(G1833=4,F1833,IF(G1833=5,F1833*10/11,IF(G1833=7,F1833*10/11,0))))),0)</f>
        <v>0</v>
      </c>
      <c r="J1833" s="818">
        <f>ROUND(IF(G1833=1,F1833/23,IF(G1833=3,F1833/12,IF(G1833=5,F1833-I1833,IF(G1833=8,F1833,0)))),0)</f>
        <v>0</v>
      </c>
      <c r="K1833" s="819">
        <f>ROUND(IF(G1833=1,F1833/23,IF(G1833=3,F1833/12,IF(G1833=6,F1833,IF(G1833=7,F1833-I1833,0)))),0)</f>
        <v>0</v>
      </c>
      <c r="L1833" s="820">
        <f>IF(G1833=6,F1833,0)</f>
        <v>0</v>
      </c>
      <c r="P1833" s="768" t="n"/>
      <c r="Q1833" s="769" t="str">
        <f>IF($F1833="","",IFERROR(VLOOKUP($C1833&amp;"|"&amp;$D1833,科目表!$A$5:$B$200,2,FALSE),"※未登録"))</f>
        <v/>
      </c>
      <c r="R1833" s="769" t="str">
        <f>IF($F1833="","",$I1833+$J1833+$K1833)</f>
        <v/>
      </c>
      <c r="S1833" s="769" t="str">
        <f>IF(OR($F1833="",$P1833="支払なし",$H1833=0,$Q1833=""),"",$Q1833&amp;"|S|"&amp;(COUNTIF(S$4:S1832,$Q1833&amp;"|S|*")+1))</f>
        <v/>
      </c>
      <c r="T1833" s="769" t="str">
        <f>IF(OR($F1833="",$P1833="支払なし",$R1833=0,$Q1833=""),"",$Q1833&amp;"|L|"&amp;(COUNTIF(T$4:T1832,$Q1833&amp;"|L|*")+1))</f>
        <v/>
      </c>
      <c r="U1833" s="769" t="str">
        <f>IF($F1833="","",13)</f>
        <v/>
      </c>
    </row>
    <row r="1834" ht="16.5" customHeight="1" s="186">
      <c r="A1834" s="760" t="n"/>
      <c r="B1834" s="760" t="n"/>
      <c r="C1834" s="762" t="n"/>
      <c r="D1834" s="762" t="n"/>
      <c r="E1834" s="775" t="n"/>
      <c r="F1834" s="821" t="n"/>
      <c r="G1834" s="821" t="n"/>
      <c r="H1834" s="818">
        <f>IF(G1834=1,F1834-I1834-J1834-K1834,IF(G1834=2,F1834,0))</f>
        <v>0</v>
      </c>
      <c r="I1834" s="818">
        <f>ROUND(IF(G1834=1,F1834*10/23,IF(G1834=3,F1834-J1834-K1834,IF(G1834=4,F1834,IF(G1834=5,F1834*10/11,IF(G1834=7,F1834*10/11,0))))),0)</f>
        <v>0</v>
      </c>
      <c r="J1834" s="818">
        <f>ROUND(IF(G1834=1,F1834/23,IF(G1834=3,F1834/12,IF(G1834=5,F1834-I1834,IF(G1834=8,F1834,0)))),0)</f>
        <v>0</v>
      </c>
      <c r="K1834" s="819">
        <f>ROUND(IF(G1834=1,F1834/23,IF(G1834=3,F1834/12,IF(G1834=6,F1834,IF(G1834=7,F1834-I1834,0)))),0)</f>
        <v>0</v>
      </c>
      <c r="L1834" s="820">
        <f>IF(G1834=6,F1834,0)</f>
        <v>0</v>
      </c>
      <c r="P1834" s="768" t="n"/>
      <c r="Q1834" s="769" t="str">
        <f>IF($F1834="","",IFERROR(VLOOKUP($C1834&amp;"|"&amp;$D1834,科目表!$A$5:$B$200,2,FALSE),"※未登録"))</f>
        <v/>
      </c>
      <c r="R1834" s="769" t="str">
        <f>IF($F1834="","",$I1834+$J1834+$K1834)</f>
        <v/>
      </c>
      <c r="S1834" s="769" t="str">
        <f>IF(OR($F1834="",$P1834="支払なし",$H1834=0,$Q1834=""),"",$Q1834&amp;"|S|"&amp;(COUNTIF(S$4:S1833,$Q1834&amp;"|S|*")+1))</f>
        <v/>
      </c>
      <c r="T1834" s="769" t="str">
        <f>IF(OR($F1834="",$P1834="支払なし",$R1834=0,$Q1834=""),"",$Q1834&amp;"|L|"&amp;(COUNTIF(T$4:T1833,$Q1834&amp;"|L|*")+1))</f>
        <v/>
      </c>
      <c r="U1834" s="769" t="str">
        <f>IF($F1834="","",13)</f>
        <v/>
      </c>
    </row>
    <row r="1835" ht="16.5" customHeight="1" s="186">
      <c r="A1835" s="760" t="n"/>
      <c r="B1835" s="760" t="n"/>
      <c r="C1835" s="762" t="n"/>
      <c r="D1835" s="762" t="n"/>
      <c r="E1835" s="775" t="n"/>
      <c r="F1835" s="821" t="n"/>
      <c r="G1835" s="821" t="n"/>
      <c r="H1835" s="818">
        <f>IF(G1835=1,F1835-I1835-J1835-K1835,IF(G1835=2,F1835,0))</f>
        <v>0</v>
      </c>
      <c r="I1835" s="818">
        <f>ROUND(IF(G1835=1,F1835*10/23,IF(G1835=3,F1835-J1835-K1835,IF(G1835=4,F1835,IF(G1835=5,F1835*10/11,IF(G1835=7,F1835*10/11,0))))),0)</f>
        <v>0</v>
      </c>
      <c r="J1835" s="818">
        <f>ROUND(IF(G1835=1,F1835/23,IF(G1835=3,F1835/12,IF(G1835=5,F1835-I1835,IF(G1835=8,F1835,0)))),0)</f>
        <v>0</v>
      </c>
      <c r="K1835" s="819">
        <f>ROUND(IF(G1835=1,F1835/23,IF(G1835=3,F1835/12,IF(G1835=6,F1835,IF(G1835=7,F1835-I1835,0)))),0)</f>
        <v>0</v>
      </c>
      <c r="L1835" s="820">
        <f>IF(G1835=6,F1835,0)</f>
        <v>0</v>
      </c>
      <c r="P1835" s="768" t="n"/>
      <c r="Q1835" s="769" t="str">
        <f>IF($F1835="","",IFERROR(VLOOKUP($C1835&amp;"|"&amp;$D1835,科目表!$A$5:$B$200,2,FALSE),"※未登録"))</f>
        <v/>
      </c>
      <c r="R1835" s="769" t="str">
        <f>IF($F1835="","",$I1835+$J1835+$K1835)</f>
        <v/>
      </c>
      <c r="S1835" s="769" t="str">
        <f>IF(OR($F1835="",$P1835="支払なし",$H1835=0,$Q1835=""),"",$Q1835&amp;"|S|"&amp;(COUNTIF(S$4:S1834,$Q1835&amp;"|S|*")+1))</f>
        <v/>
      </c>
      <c r="T1835" s="769" t="str">
        <f>IF(OR($F1835="",$P1835="支払なし",$R1835=0,$Q1835=""),"",$Q1835&amp;"|L|"&amp;(COUNTIF(T$4:T1834,$Q1835&amp;"|L|*")+1))</f>
        <v/>
      </c>
      <c r="U1835" s="769" t="str">
        <f>IF($F1835="","",13)</f>
        <v/>
      </c>
    </row>
    <row r="1836" ht="6" customHeight="1" s="186"/>
    <row r="1837" ht="16.5" customHeight="1" s="186">
      <c r="A1837" s="822" t="inlineStr">
        <is>
          <t>4月分計</t>
        </is>
      </c>
      <c r="B1837" s="822" t="n"/>
      <c r="C1837" s="75" t="inlineStr">
        <is>
          <t>費用</t>
        </is>
      </c>
      <c r="D1837" s="75" t="n"/>
      <c r="E1837" s="76" t="n"/>
      <c r="F1837" s="77">
        <f>SUMPRODUCT((MONTH($A$5:$A$1835)=4)*($F$5:$F$1835))-F1838</f>
        <v>4325752</v>
      </c>
      <c r="G1837" s="81" t="n"/>
      <c r="H1837" s="81">
        <f>SUMPRODUCT((MONTH($A$5:$A$1835)=4)*($H$5:$H$1835))-H1838</f>
        <v>2759677</v>
      </c>
      <c r="I1837" s="81">
        <f>SUMPRODUCT((MONTH($A$5:$A$1835)=4)*($I$5:$I$1835))-I1838</f>
        <v>1311193</v>
      </c>
      <c r="J1837" s="81">
        <f>SUMPRODUCT((MONTH($A$5:$A$1835)=4)*($J$5:$J$1835))-J1838</f>
        <v>131121</v>
      </c>
      <c r="K1837" s="82">
        <f>SUMPRODUCT((MONTH($A$5:$A$1835)=4)*($K$5:$K$1835))-K1838</f>
        <v>123761</v>
      </c>
      <c r="L1837" s="83">
        <f>SUMPRODUCT((MONTH($A$5:$A$1835)=4)*($L$5:$L$1835))-L1838</f>
        <v>0</v>
      </c>
    </row>
    <row r="1838" ht="16.5" customHeight="1" s="186">
      <c r="A1838" s="822" t="inlineStr">
        <is>
          <t>4月分計</t>
        </is>
      </c>
      <c r="B1838" s="822" t="n"/>
      <c r="C1838" s="75" t="inlineStr">
        <is>
          <t>仮払消費税</t>
        </is>
      </c>
      <c r="D1838" s="75" t="n"/>
      <c r="E1838" s="76" t="n"/>
      <c r="F1838" s="77">
        <f>SUMPRODUCT((MONTH($A$5:$A$1835)=4)*(($C$5:$C$1835)=$C$1838)*($F$5:$F$1835))</f>
        <v>0</v>
      </c>
      <c r="G1838" s="81" t="n"/>
      <c r="H1838" s="81">
        <f>SUMPRODUCT((MONTH($A$5:$A$1835)=4)*(($C$5:$C$1835)=$C$1838)*($H$5:$H$1835))</f>
        <v>0</v>
      </c>
      <c r="I1838" s="81">
        <f>SUMPRODUCT((MONTH($A$5:$A$1835)=4)*(($C$5:$C$1835)=$C$1838)*($I$5:$I$1835))</f>
        <v>0</v>
      </c>
      <c r="J1838" s="81">
        <f>SUMPRODUCT((MONTH($A$5:$A$1835)=4)*(($C$5:$C$1835)=$C$1838)*($J$5:$J$1835))</f>
        <v>0</v>
      </c>
      <c r="K1838" s="82">
        <f>SUMPRODUCT((MONTH($A$5:$A$1835)=4)*(($C$5:$C$1835)=$C$1838)*($K$5:$K$1835))</f>
        <v>0</v>
      </c>
      <c r="L1838" s="83">
        <f>SUMPRODUCT((MONTH($A$5:$A$1835)=4)*(($C$5:$C$1835)=$C$1838)*($L$5:$L$1835))</f>
        <v>0</v>
      </c>
    </row>
    <row r="1839" ht="16.5" customHeight="1" s="186">
      <c r="A1839" s="822" t="inlineStr">
        <is>
          <t>4月分計</t>
        </is>
      </c>
      <c r="B1839" s="822" t="n"/>
      <c r="C1839" s="75" t="inlineStr">
        <is>
          <t>合計</t>
        </is>
      </c>
      <c r="D1839" s="75" t="n"/>
      <c r="E1839" s="76" t="n"/>
      <c r="F1839" s="77">
        <f>SUM(F1837:F1838)</f>
        <v>4325752</v>
      </c>
      <c r="G1839" s="81" t="n"/>
      <c r="H1839" s="81">
        <f>SUM(H1837:H1838)</f>
        <v>2759677</v>
      </c>
      <c r="I1839" s="81">
        <f>SUM(I1837:I1838)</f>
        <v>1311193</v>
      </c>
      <c r="J1839" s="81">
        <f>SUM(J1837:J1838)</f>
        <v>131121</v>
      </c>
      <c r="K1839" s="82">
        <f>SUM(K1837:K1838)</f>
        <v>123761</v>
      </c>
      <c r="L1839" s="83">
        <f>SUM(L1837:L1838)</f>
        <v>0</v>
      </c>
    </row>
    <row r="1840" ht="6" customHeight="1" s="186"/>
    <row r="1841" ht="16.5" customHeight="1" s="186">
      <c r="A1841" s="822" t="inlineStr">
        <is>
          <t>5月分計</t>
        </is>
      </c>
      <c r="B1841" s="822" t="n"/>
      <c r="C1841" s="75" t="inlineStr">
        <is>
          <t>費用</t>
        </is>
      </c>
      <c r="D1841" s="75" t="n"/>
      <c r="E1841" s="76" t="n"/>
      <c r="F1841" s="77">
        <f>SUMPRODUCT((MONTH($A$5:$A$1835)=5)*($F$5:$F$1835))-F1842</f>
        <v>686447</v>
      </c>
      <c r="G1841" s="81" t="n"/>
      <c r="H1841" s="81">
        <f>SUMPRODUCT((MONTH($A$5:$A$1835)=5)*($H$5:$H$1835))-H1842</f>
        <v>686447</v>
      </c>
      <c r="I1841" s="81">
        <f>SUMPRODUCT((MONTH($A$5:$A$1835)=5)*($I$5:$I$1835))-I1842</f>
        <v>0</v>
      </c>
      <c r="J1841" s="81">
        <f>SUMPRODUCT((MONTH($A$5:$A$1835)=5)*($J$5:$J$1835))-J1842</f>
        <v>0</v>
      </c>
      <c r="K1841" s="82">
        <f>SUMPRODUCT((MONTH($A$5:$A$1835)=5)*($K$5:$K$1835))-K1842</f>
        <v>0</v>
      </c>
      <c r="L1841" s="83">
        <f>SUMPRODUCT((MONTH($A$5:$A$1835)=5)*($L$5:$L$1835))-L1842</f>
        <v>0</v>
      </c>
    </row>
    <row r="1842" ht="16.5" customHeight="1" s="186">
      <c r="A1842" s="822" t="inlineStr">
        <is>
          <t>5月分計</t>
        </is>
      </c>
      <c r="B1842" s="822" t="n"/>
      <c r="C1842" s="75" t="inlineStr">
        <is>
          <t>仮払消費税</t>
        </is>
      </c>
      <c r="D1842" s="75" t="n"/>
      <c r="E1842" s="76" t="n"/>
      <c r="F1842" s="77">
        <f>SUMPRODUCT((MONTH($A$5:$A$1835)=5)*(($C$5:$C$1835)=$C$1842)*($F$5:$F$1835))</f>
        <v>0</v>
      </c>
      <c r="G1842" s="81" t="n"/>
      <c r="H1842" s="81">
        <f>SUMPRODUCT((MONTH($A$5:$A$1835)=5)*(($C$5:$C$1835)=$C$1842)*($H$5:$H$1835))</f>
        <v>0</v>
      </c>
      <c r="I1842" s="81">
        <f>SUMPRODUCT((MONTH($A$5:$A$1835)=5)*(($C$5:$C$1835)=$C$1842)*($I$5:$I$1835))</f>
        <v>0</v>
      </c>
      <c r="J1842" s="81">
        <f>SUMPRODUCT((MONTH($A$5:$A$1835)=5)*(($C$5:$C$1835)=$C$1842)*($J$5:$J$1835))</f>
        <v>0</v>
      </c>
      <c r="K1842" s="82">
        <f>SUMPRODUCT((MONTH($A$5:$A$1835)=5)*(($C$5:$C$1835)=$C$1842)*($K$5:$K$1835))</f>
        <v>0</v>
      </c>
      <c r="L1842" s="83">
        <f>SUMPRODUCT((MONTH($A$5:$A$1835)=5)*(($C$5:$C$1835)=$C$1842)*($L$5:$L$1835))</f>
        <v>0</v>
      </c>
    </row>
    <row r="1843" ht="16.5" customHeight="1" s="186">
      <c r="A1843" s="822" t="inlineStr">
        <is>
          <t>5月分計</t>
        </is>
      </c>
      <c r="B1843" s="822" t="n"/>
      <c r="C1843" s="75" t="inlineStr">
        <is>
          <t>合計</t>
        </is>
      </c>
      <c r="D1843" s="75" t="n"/>
      <c r="E1843" s="76" t="n"/>
      <c r="F1843" s="77">
        <f>SUM(F1841:F1842)</f>
        <v>686447</v>
      </c>
      <c r="G1843" s="81" t="n"/>
      <c r="H1843" s="81">
        <f>SUM(H1841:H1842)</f>
        <v>686447</v>
      </c>
      <c r="I1843" s="81">
        <f>SUM(I1841:I1842)</f>
        <v>0</v>
      </c>
      <c r="J1843" s="81">
        <f>SUM(J1841:J1842)</f>
        <v>0</v>
      </c>
      <c r="K1843" s="82">
        <f>SUM(K1841:K1842)</f>
        <v>0</v>
      </c>
      <c r="L1843" s="83">
        <f>SUM(L1841:L1842)</f>
        <v>0</v>
      </c>
    </row>
    <row r="1844" ht="6" customHeight="1" s="186"/>
    <row r="1845" ht="16.5" customHeight="1" s="186">
      <c r="A1845" s="822" t="inlineStr">
        <is>
          <t>6月分計</t>
        </is>
      </c>
      <c r="B1845" s="822" t="n"/>
      <c r="C1845" s="75" t="inlineStr">
        <is>
          <t>費用</t>
        </is>
      </c>
      <c r="D1845" s="75" t="n"/>
      <c r="E1845" s="76" t="n"/>
      <c r="F1845" s="77">
        <f>SUMPRODUCT((MONTH($A$5:$A$1835)=6)*($F$5:$F$1835))-F1846</f>
        <v>0</v>
      </c>
      <c r="G1845" s="81" t="n"/>
      <c r="H1845" s="81">
        <f>SUMPRODUCT((MONTH($A$5:$A$1835)=6)*($H$5:$H$1835))-H1846</f>
        <v>0</v>
      </c>
      <c r="I1845" s="81">
        <f>SUMPRODUCT((MONTH($A$5:$A$1835)=6)*($I$5:$I$1835))-I1846</f>
        <v>0</v>
      </c>
      <c r="J1845" s="81">
        <f>SUMPRODUCT((MONTH($A$5:$A$1835)=6)*($J$5:$J$1835))-J1846</f>
        <v>0</v>
      </c>
      <c r="K1845" s="82">
        <f>SUMPRODUCT((MONTH($A$5:$A$1835)=6)*($K$5:$K$1835))-K1846</f>
        <v>0</v>
      </c>
      <c r="L1845" s="83">
        <f>SUMPRODUCT((MONTH($A$5:$A$1835)=6)*($L$5:$L$1835))-L1846</f>
        <v>0</v>
      </c>
    </row>
    <row r="1846" ht="16.5" customHeight="1" s="186">
      <c r="A1846" s="822" t="inlineStr">
        <is>
          <t>6月分計</t>
        </is>
      </c>
      <c r="B1846" s="822" t="n"/>
      <c r="C1846" s="75" t="inlineStr">
        <is>
          <t>仮払消費税</t>
        </is>
      </c>
      <c r="D1846" s="75" t="n"/>
      <c r="E1846" s="76" t="n"/>
      <c r="F1846" s="77">
        <f>SUMPRODUCT((MONTH($A$5:$A$1835)=6)*(($C$5:$C$1835)=$C$1846)*($F$5:$F$1835))</f>
        <v>0</v>
      </c>
      <c r="G1846" s="81" t="n"/>
      <c r="H1846" s="81">
        <f>SUMPRODUCT((MONTH($A$5:$A$1835)=6)*(($C$5:$C$1835)=$C$1846)*($H$5:$H$1835))</f>
        <v>0</v>
      </c>
      <c r="I1846" s="81">
        <f>SUMPRODUCT((MONTH($A$5:$A$1835)=6)*(($C$5:$C$1835)=$C$1846)*($I$5:$I$1835))</f>
        <v>0</v>
      </c>
      <c r="J1846" s="81">
        <f>SUMPRODUCT((MONTH($A$5:$A$1835)=6)*(($C$5:$C$1835)=$C$1846)*($J$5:$J$1835))</f>
        <v>0</v>
      </c>
      <c r="K1846" s="82">
        <f>SUMPRODUCT((MONTH($A$5:$A$1835)=6)*(($C$5:$C$1835)=$C$1846)*($K$5:$K$1835))</f>
        <v>0</v>
      </c>
      <c r="L1846" s="83">
        <f>SUMPRODUCT((MONTH($A$5:$A$1835)=6)*(($C$5:$C$1835)=$C$1846)*($L$5:$L$1835))</f>
        <v>0</v>
      </c>
    </row>
    <row r="1847" ht="16.5" customHeight="1" s="186">
      <c r="A1847" s="822" t="inlineStr">
        <is>
          <t>6月分計</t>
        </is>
      </c>
      <c r="B1847" s="822" t="n"/>
      <c r="C1847" s="75" t="inlineStr">
        <is>
          <t>合計</t>
        </is>
      </c>
      <c r="D1847" s="75" t="n"/>
      <c r="E1847" s="76" t="n"/>
      <c r="F1847" s="77">
        <f>SUM(F1845:F1846)</f>
        <v>0</v>
      </c>
      <c r="G1847" s="81" t="n"/>
      <c r="H1847" s="81">
        <f>SUM(H1845:H1846)</f>
        <v>0</v>
      </c>
      <c r="I1847" s="81">
        <f>SUM(I1845:I1846)</f>
        <v>0</v>
      </c>
      <c r="J1847" s="81">
        <f>SUM(J1845:J1846)</f>
        <v>0</v>
      </c>
      <c r="K1847" s="82">
        <f>SUM(K1845:K1846)</f>
        <v>0</v>
      </c>
      <c r="L1847" s="83">
        <f>SUM(L1845:L1846)</f>
        <v>0</v>
      </c>
    </row>
    <row r="1848" ht="6" customHeight="1" s="186"/>
    <row r="1849" ht="16.5" customHeight="1" s="186">
      <c r="A1849" s="822" t="inlineStr">
        <is>
          <t>7月分計</t>
        </is>
      </c>
      <c r="B1849" s="822" t="n"/>
      <c r="C1849" s="75" t="inlineStr">
        <is>
          <t>費用</t>
        </is>
      </c>
      <c r="D1849" s="75" t="n"/>
      <c r="E1849" s="76" t="n"/>
      <c r="F1849" s="77">
        <f>SUMPRODUCT((MONTH($A$5:$A$1835)=7)*($F$5:$F$1835))-F1850</f>
        <v>0</v>
      </c>
      <c r="G1849" s="81" t="n"/>
      <c r="H1849" s="81">
        <f>SUMPRODUCT((MONTH($A$5:$A$1835)=7)*($H$5:$H$1835))-H1850</f>
        <v>0</v>
      </c>
      <c r="I1849" s="81">
        <f>SUMPRODUCT((MONTH($A$5:$A$1835)=7)*($I$5:$I$1835))-I1850</f>
        <v>0</v>
      </c>
      <c r="J1849" s="81">
        <f>SUMPRODUCT((MONTH($A$5:$A$1835)=7)*($J$5:$J$1835))-J1850</f>
        <v>0</v>
      </c>
      <c r="K1849" s="82">
        <f>SUMPRODUCT((MONTH($A$5:$A$1835)=7)*($K$5:$K$1835))-K1850</f>
        <v>0</v>
      </c>
      <c r="L1849" s="83">
        <f>SUMPRODUCT((MONTH($A$5:$A$1835)=7)*($L$5:$L$1835))-L1850</f>
        <v>0</v>
      </c>
    </row>
    <row r="1850" ht="16.5" customHeight="1" s="186">
      <c r="A1850" s="822" t="inlineStr">
        <is>
          <t>7月分計</t>
        </is>
      </c>
      <c r="B1850" s="822" t="n"/>
      <c r="C1850" s="75" t="inlineStr">
        <is>
          <t>仮払消費税</t>
        </is>
      </c>
      <c r="D1850" s="75" t="n"/>
      <c r="E1850" s="76" t="n"/>
      <c r="F1850" s="77">
        <f>SUMPRODUCT((MONTH($A$5:$A$1835)=7)*(($C$5:$C$1835)=$C$1850)*($F$5:$F$1835))</f>
        <v>0</v>
      </c>
      <c r="G1850" s="81" t="n"/>
      <c r="H1850" s="81">
        <f>SUMPRODUCT((MONTH($A$5:$A$1835)=7)*(($C$5:$C$1835)=$C$1850)*($H$5:$H$1835))</f>
        <v>0</v>
      </c>
      <c r="I1850" s="81">
        <f>SUMPRODUCT((MONTH($A$5:$A$1835)=7)*(($C$5:$C$1835)=$C$1850)*($I$5:$I$1835))</f>
        <v>0</v>
      </c>
      <c r="J1850" s="81">
        <f>SUMPRODUCT((MONTH($A$5:$A$1835)=7)*(($C$5:$C$1835)=$C$1850)*($J$5:$J$1835))</f>
        <v>0</v>
      </c>
      <c r="K1850" s="82">
        <f>SUMPRODUCT((MONTH($A$5:$A$1835)=7)*(($C$5:$C$1835)=$C$1850)*($K$5:$K$1835))</f>
        <v>0</v>
      </c>
      <c r="L1850" s="83">
        <f>SUMPRODUCT((MONTH($A$5:$A$1835)=7)*(($C$5:$C$1835)=$C$1850)*($L$5:$L$1835))</f>
        <v>0</v>
      </c>
    </row>
    <row r="1851" ht="16.5" customHeight="1" s="186">
      <c r="A1851" s="822" t="inlineStr">
        <is>
          <t>7月分計</t>
        </is>
      </c>
      <c r="B1851" s="822" t="n"/>
      <c r="C1851" s="75" t="inlineStr">
        <is>
          <t>合計</t>
        </is>
      </c>
      <c r="D1851" s="75" t="n"/>
      <c r="E1851" s="76" t="n"/>
      <c r="F1851" s="77">
        <f>SUM(F1849:F1850)</f>
        <v>0</v>
      </c>
      <c r="G1851" s="81" t="n"/>
      <c r="H1851" s="81">
        <f>SUM(H1849:H1850)</f>
        <v>0</v>
      </c>
      <c r="I1851" s="81">
        <f>SUM(I1849:I1850)</f>
        <v>0</v>
      </c>
      <c r="J1851" s="81">
        <f>SUM(J1849:J1850)</f>
        <v>0</v>
      </c>
      <c r="K1851" s="82">
        <f>SUM(K1849:K1850)</f>
        <v>0</v>
      </c>
      <c r="L1851" s="83">
        <f>SUM(L1849:L1850)</f>
        <v>0</v>
      </c>
    </row>
    <row r="1852" ht="6" customHeight="1" s="186"/>
    <row r="1853" ht="16.5" customHeight="1" s="186">
      <c r="A1853" s="822" t="inlineStr">
        <is>
          <t>8月分計</t>
        </is>
      </c>
      <c r="B1853" s="822" t="n"/>
      <c r="C1853" s="75" t="inlineStr">
        <is>
          <t>費用</t>
        </is>
      </c>
      <c r="D1853" s="75" t="n"/>
      <c r="E1853" s="76" t="n"/>
      <c r="F1853" s="77">
        <f>SUMPRODUCT((MONTH($A$5:$A$1835)=8)*($F$5:$F$1835))-F1854</f>
        <v>0</v>
      </c>
      <c r="G1853" s="81" t="n"/>
      <c r="H1853" s="81">
        <f>SUMPRODUCT((MONTH($A$5:$A$1835)=8)*($H$5:$H$1835))-H1854</f>
        <v>0</v>
      </c>
      <c r="I1853" s="81">
        <f>SUMPRODUCT((MONTH($A$5:$A$1835)=8)*($I$5:$I$1835))-I1854</f>
        <v>0</v>
      </c>
      <c r="J1853" s="81">
        <f>SUMPRODUCT((MONTH($A$5:$A$1835)=8)*($J$5:$J$1835))-J1854</f>
        <v>0</v>
      </c>
      <c r="K1853" s="82">
        <f>SUMPRODUCT((MONTH($A$5:$A$1835)=8)*($K$5:$K$1835))-K1854</f>
        <v>0</v>
      </c>
      <c r="L1853" s="83">
        <f>SUMPRODUCT((MONTH($A$5:$A$1835)=8)*($L$5:$L$1835))-L1854</f>
        <v>0</v>
      </c>
    </row>
    <row r="1854" ht="16.5" customHeight="1" s="186">
      <c r="A1854" s="822" t="inlineStr">
        <is>
          <t>8月分計</t>
        </is>
      </c>
      <c r="B1854" s="822" t="n"/>
      <c r="C1854" s="75" t="inlineStr">
        <is>
          <t>仮払消費税</t>
        </is>
      </c>
      <c r="D1854" s="75" t="n"/>
      <c r="E1854" s="76" t="n"/>
      <c r="F1854" s="77">
        <f>SUMPRODUCT((MONTH($A$5:$A$1835)=8)*(($C$5:$C$1835)=$C$1854)*($F$5:$F$1835))</f>
        <v>0</v>
      </c>
      <c r="G1854" s="81" t="n"/>
      <c r="H1854" s="81">
        <f>SUMPRODUCT((MONTH($A$5:$A$1835)=8)*(($C$5:$C$1835)=$C$1854)*($H$5:$H$1835))</f>
        <v>0</v>
      </c>
      <c r="I1854" s="81">
        <f>SUMPRODUCT((MONTH($A$5:$A$1835)=8)*(($C$5:$C$1835)=$C$1854)*($I$5:$I$1835))</f>
        <v>0</v>
      </c>
      <c r="J1854" s="81">
        <f>SUMPRODUCT((MONTH($A$5:$A$1835)=8)*(($C$5:$C$1835)=$C$1854)*($J$5:$J$1835))</f>
        <v>0</v>
      </c>
      <c r="K1854" s="82">
        <f>SUMPRODUCT((MONTH($A$5:$A$1835)=8)*(($C$5:$C$1835)=$C$1854)*($K$5:$K$1835))</f>
        <v>0</v>
      </c>
      <c r="L1854" s="83">
        <f>SUMPRODUCT((MONTH($A$5:$A$1835)=8)*(($C$5:$C$1835)=$C$1854)*($L$5:$L$1835))</f>
        <v>0</v>
      </c>
    </row>
    <row r="1855" ht="16.5" customHeight="1" s="186">
      <c r="A1855" s="822" t="inlineStr">
        <is>
          <t>8月分計</t>
        </is>
      </c>
      <c r="B1855" s="822" t="n"/>
      <c r="C1855" s="75" t="inlineStr">
        <is>
          <t>合計</t>
        </is>
      </c>
      <c r="D1855" s="75" t="n"/>
      <c r="E1855" s="76" t="n"/>
      <c r="F1855" s="77">
        <f>SUM(F1853:F1854)</f>
        <v>0</v>
      </c>
      <c r="G1855" s="81" t="n"/>
      <c r="H1855" s="81">
        <f>SUM(H1853:H1854)</f>
        <v>0</v>
      </c>
      <c r="I1855" s="81">
        <f>SUM(I1853:I1854)</f>
        <v>0</v>
      </c>
      <c r="J1855" s="81">
        <f>SUM(J1853:J1854)</f>
        <v>0</v>
      </c>
      <c r="K1855" s="82">
        <f>SUM(K1853:K1854)</f>
        <v>0</v>
      </c>
      <c r="L1855" s="83">
        <f>SUM(L1853:L1854)</f>
        <v>0</v>
      </c>
    </row>
    <row r="1856" ht="6" customHeight="1" s="186"/>
    <row r="1857" ht="16.5" customHeight="1" s="186">
      <c r="A1857" s="822" t="inlineStr">
        <is>
          <t>9月分計</t>
        </is>
      </c>
      <c r="B1857" s="822" t="n"/>
      <c r="C1857" s="75" t="inlineStr">
        <is>
          <t>費用</t>
        </is>
      </c>
      <c r="D1857" s="75" t="n"/>
      <c r="E1857" s="76" t="n"/>
      <c r="F1857" s="77">
        <f>SUMPRODUCT((MONTH($A$5:$A$1835)=9)*($F$5:$F$1835))-F1858</f>
        <v>0</v>
      </c>
      <c r="G1857" s="81" t="n"/>
      <c r="H1857" s="81">
        <f>SUMPRODUCT((MONTH($A$5:$A$1835)=9)*($H$5:$H$1835))-H1858</f>
        <v>0</v>
      </c>
      <c r="I1857" s="81">
        <f>SUMPRODUCT((MONTH($A$5:$A$1835)=9)*($I$5:$I$1835))-I1858</f>
        <v>0</v>
      </c>
      <c r="J1857" s="81">
        <f>SUMPRODUCT((MONTH($A$5:$A$1835)=9)*($J$5:$J$1835))-J1858</f>
        <v>0</v>
      </c>
      <c r="K1857" s="82">
        <f>SUMPRODUCT((MONTH($A$5:$A$1835)=9)*($K$5:$K$1835))-K1858</f>
        <v>0</v>
      </c>
      <c r="L1857" s="83">
        <f>SUMPRODUCT((MONTH($A$5:$A$1835)=9)*($L$5:$L$1835))-L1858</f>
        <v>0</v>
      </c>
    </row>
    <row r="1858" ht="16.5" customHeight="1" s="186">
      <c r="A1858" s="822" t="inlineStr">
        <is>
          <t>9月分計</t>
        </is>
      </c>
      <c r="B1858" s="822" t="n"/>
      <c r="C1858" s="75" t="inlineStr">
        <is>
          <t>仮払消費税</t>
        </is>
      </c>
      <c r="D1858" s="75" t="n"/>
      <c r="E1858" s="76" t="n"/>
      <c r="F1858" s="77">
        <f>SUMPRODUCT((MONTH($A$5:$A$1835)=9)*(($C$5:$C$1835)=$C$1858)*($F$5:$F$1835))</f>
        <v>0</v>
      </c>
      <c r="G1858" s="81" t="n"/>
      <c r="H1858" s="81">
        <f>SUMPRODUCT((MONTH($A$5:$A$1835)=8)*(($C$5:$C$1835)=$C$1858)*($H$5:$H$1835))</f>
        <v>0</v>
      </c>
      <c r="I1858" s="81">
        <f>SUMPRODUCT((MONTH($A$5:$A$1835)=9)*(($C$5:$C$1835)=$C$1858)*($I$5:$I$1835))</f>
        <v>0</v>
      </c>
      <c r="J1858" s="81">
        <f>SUMPRODUCT((MONTH($A$5:$A$1835)=9)*(($C$5:$C$1835)=$C$1858)*($J$5:$J$1835))</f>
        <v>0</v>
      </c>
      <c r="K1858" s="82">
        <f>SUMPRODUCT((MONTH($A$5:$A$1835)=9)*(($C$5:$C$1835)=$C$1858)*($K$5:$K$1835))</f>
        <v>0</v>
      </c>
      <c r="L1858" s="83">
        <f>SUMPRODUCT((MONTH($A$5:$A$1835)=9)*(($C$5:$C$1835)=$C$1858)*($L$5:$L$1835))</f>
        <v>0</v>
      </c>
    </row>
    <row r="1859" ht="16.5" customHeight="1" s="186">
      <c r="A1859" s="822" t="inlineStr">
        <is>
          <t>9月分計</t>
        </is>
      </c>
      <c r="B1859" s="822" t="n"/>
      <c r="C1859" s="75" t="inlineStr">
        <is>
          <t>合計</t>
        </is>
      </c>
      <c r="D1859" s="75" t="n"/>
      <c r="E1859" s="76" t="n"/>
      <c r="F1859" s="77">
        <f>SUM(F1857:F1858)</f>
        <v>0</v>
      </c>
      <c r="G1859" s="81" t="n"/>
      <c r="H1859" s="81">
        <f>SUM(H1857:H1858)</f>
        <v>0</v>
      </c>
      <c r="I1859" s="81">
        <f>SUM(I1857:I1858)</f>
        <v>0</v>
      </c>
      <c r="J1859" s="81">
        <f>SUM(J1857:J1858)</f>
        <v>0</v>
      </c>
      <c r="K1859" s="82">
        <f>SUM(K1857:K1858)</f>
        <v>0</v>
      </c>
      <c r="L1859" s="83">
        <f>SUM(L1857:L1858)</f>
        <v>0</v>
      </c>
    </row>
    <row r="1860" ht="6" customHeight="1" s="186"/>
    <row r="1861" ht="16.5" customHeight="1" s="186">
      <c r="A1861" s="822" t="inlineStr">
        <is>
          <t>10月分計</t>
        </is>
      </c>
      <c r="B1861" s="822" t="n"/>
      <c r="C1861" s="75" t="inlineStr">
        <is>
          <t>費用</t>
        </is>
      </c>
      <c r="D1861" s="75" t="n"/>
      <c r="E1861" s="76" t="n"/>
      <c r="F1861" s="77">
        <f>SUMPRODUCT((MONTH($A$5:$A$1835)=10)*($F$5:$F$1835))-F1862</f>
        <v>0</v>
      </c>
      <c r="G1861" s="81" t="n"/>
      <c r="H1861" s="81">
        <f>SUMPRODUCT((MONTH($A$5:$A$1835)=10)*($H$5:$H$1835))-H1862</f>
        <v>0</v>
      </c>
      <c r="I1861" s="81">
        <f>SUMPRODUCT((MONTH($A$5:$A$1835)=10)*($I$5:$I$1835))-I1862</f>
        <v>0</v>
      </c>
      <c r="J1861" s="81">
        <f>SUMPRODUCT((MONTH($A$5:$A$1835)=10)*($J$5:$J$1835))-J1862</f>
        <v>0</v>
      </c>
      <c r="K1861" s="82">
        <f>SUMPRODUCT((MONTH($A$5:$A$1835)=10)*($K$5:$K$1835))-K1862</f>
        <v>0</v>
      </c>
      <c r="L1861" s="83">
        <f>SUMPRODUCT((MONTH($A$5:$A$1835)=10)*($L$5:$L$1835))-L1862</f>
        <v>0</v>
      </c>
    </row>
    <row r="1862" ht="16.5" customHeight="1" s="186">
      <c r="A1862" s="822" t="inlineStr">
        <is>
          <t>10月分計</t>
        </is>
      </c>
      <c r="B1862" s="822" t="n"/>
      <c r="C1862" s="75" t="inlineStr">
        <is>
          <t>仮払消費税</t>
        </is>
      </c>
      <c r="D1862" s="75" t="n"/>
      <c r="E1862" s="76" t="n"/>
      <c r="F1862" s="77">
        <f>SUMPRODUCT((MONTH($A$5:$A$1835)=10)*(($C$5:$C$1835)=$C$1862)*($F$5:$F$1835))</f>
        <v>0</v>
      </c>
      <c r="G1862" s="81" t="n"/>
      <c r="H1862" s="81">
        <f>SUMPRODUCT((MONTH($A$5:$A$1835)=10)*(($C$5:$C$1835)=$C$1862)*($H$5:$H$1835))</f>
        <v>0</v>
      </c>
      <c r="I1862" s="81">
        <f>SUMPRODUCT((MONTH($A$5:$A$1835)=10)*(($C$5:$C$1835)=$C$1862)*($I$5:$I$1835))</f>
        <v>0</v>
      </c>
      <c r="J1862" s="81">
        <f>SUMPRODUCT((MONTH($A$5:$A$1835)=10)*(($C$5:$C$1835)=$C$1862)*($J$5:$J$1835))</f>
        <v>0</v>
      </c>
      <c r="K1862" s="82">
        <f>SUMPRODUCT((MONTH($A$5:$A$1835)=10)*(($C$5:$C$1835)=$C$1862)*($K$5:$K$1835))</f>
        <v>0</v>
      </c>
      <c r="L1862" s="83">
        <f>SUMPRODUCT((MONTH($A$5:$A$1835)=10)*(($C$5:$C$1835)=$C$1862)*($L$5:$L$1835))</f>
        <v>0</v>
      </c>
    </row>
    <row r="1863" ht="16.5" customHeight="1" s="186">
      <c r="A1863" s="822" t="inlineStr">
        <is>
          <t>10月分計</t>
        </is>
      </c>
      <c r="B1863" s="822" t="n"/>
      <c r="C1863" s="75" t="inlineStr">
        <is>
          <t>合計</t>
        </is>
      </c>
      <c r="D1863" s="75" t="n"/>
      <c r="E1863" s="76" t="n"/>
      <c r="F1863" s="77">
        <f>SUM(F1861:F1862)</f>
        <v>0</v>
      </c>
      <c r="G1863" s="81" t="n"/>
      <c r="H1863" s="81">
        <f>SUM(H1861:H1862)</f>
        <v>0</v>
      </c>
      <c r="I1863" s="81">
        <f>SUM(I1861:I1862)</f>
        <v>0</v>
      </c>
      <c r="J1863" s="81">
        <f>SUM(J1861:J1862)</f>
        <v>0</v>
      </c>
      <c r="K1863" s="82">
        <f>SUM(K1861:K1862)</f>
        <v>0</v>
      </c>
      <c r="L1863" s="83">
        <f>SUM(L1861:L1862)</f>
        <v>0</v>
      </c>
    </row>
    <row r="1864" ht="6" customHeight="1" s="186"/>
    <row r="1865" ht="16.5" customHeight="1" s="186">
      <c r="A1865" s="822" t="inlineStr">
        <is>
          <t>11月分計</t>
        </is>
      </c>
      <c r="B1865" s="822" t="n"/>
      <c r="C1865" s="75" t="inlineStr">
        <is>
          <t>費用</t>
        </is>
      </c>
      <c r="D1865" s="75" t="n"/>
      <c r="E1865" s="76" t="n"/>
      <c r="F1865" s="77">
        <f>SUMPRODUCT((MONTH($A$5:$A$1835)=11)*($F$5:$F$1835))-F1866</f>
        <v>0</v>
      </c>
      <c r="G1865" s="81" t="n"/>
      <c r="H1865" s="81">
        <f>SUMPRODUCT((MONTH($A$5:$A$1835)=11)*($H$5:$H$1835))-H1866</f>
        <v>0</v>
      </c>
      <c r="I1865" s="81">
        <f>SUMPRODUCT((MONTH($A$5:$A$1835)=11)*($I$5:$I$1835))-I1866</f>
        <v>0</v>
      </c>
      <c r="J1865" s="81">
        <f>SUMPRODUCT((MONTH($A$5:$A$1835)=11)*($J$5:$J$1835))-J1866</f>
        <v>0</v>
      </c>
      <c r="K1865" s="82">
        <f>SUMPRODUCT((MONTH($A$5:$A$1835)=11)*($K$5:$K$1835))-K1866</f>
        <v>0</v>
      </c>
      <c r="L1865" s="83">
        <f>SUMPRODUCT((MONTH($A$5:$A$1835)=11)*($L$5:$L$1835))-L1866</f>
        <v>0</v>
      </c>
    </row>
    <row r="1866" ht="16.5" customHeight="1" s="186">
      <c r="A1866" s="822" t="inlineStr">
        <is>
          <t>11月分計</t>
        </is>
      </c>
      <c r="B1866" s="822" t="n"/>
      <c r="C1866" s="75" t="inlineStr">
        <is>
          <t>仮払消費税</t>
        </is>
      </c>
      <c r="D1866" s="75" t="n"/>
      <c r="E1866" s="76" t="n"/>
      <c r="F1866" s="77">
        <f>SUMPRODUCT((MONTH($A$5:$A$1835)=11)*(($C$5:$C$1835)=$C$1866)*($F$5:$F$1835))</f>
        <v>0</v>
      </c>
      <c r="G1866" s="81" t="n"/>
      <c r="H1866" s="81">
        <f>SUMPRODUCT((MONTH($A$5:$A$1835)=11)*(($C$5:$C$1835)=$C$1866)*($H$5:$H$1835))</f>
        <v>0</v>
      </c>
      <c r="I1866" s="81">
        <f>SUMPRODUCT((MONTH($A$5:$A$1835)=11)*(($C$5:$C$1835)=$C$1866)*($I$5:$I$1835))</f>
        <v>0</v>
      </c>
      <c r="J1866" s="81">
        <f>SUMPRODUCT((MONTH($A$5:$A$1835)=11)*(($C$5:$C$1835)=$C$1866)*($J$5:$J$1835))</f>
        <v>0</v>
      </c>
      <c r="K1866" s="82">
        <f>SUMPRODUCT((MONTH($A$5:$A$1835)=11)*(($C$5:$C$1835)=$C$1866)*($K$5:$K$1835))</f>
        <v>0</v>
      </c>
      <c r="L1866" s="83">
        <f>SUMPRODUCT((MONTH($A$5:$A$1835)=11)*(($C$5:$C$1835)=$C$1866)*($L$5:$L$1835))</f>
        <v>0</v>
      </c>
    </row>
    <row r="1867" ht="16.5" customHeight="1" s="186">
      <c r="A1867" s="822" t="inlineStr">
        <is>
          <t>11月分計</t>
        </is>
      </c>
      <c r="B1867" s="822" t="n"/>
      <c r="C1867" s="75" t="inlineStr">
        <is>
          <t>合計</t>
        </is>
      </c>
      <c r="D1867" s="75" t="n"/>
      <c r="E1867" s="76" t="n"/>
      <c r="F1867" s="77">
        <f>SUM(F1865:F1866)</f>
        <v>0</v>
      </c>
      <c r="G1867" s="81" t="n"/>
      <c r="H1867" s="81">
        <f>SUM(H1865:H1866)</f>
        <v>0</v>
      </c>
      <c r="I1867" s="81">
        <f>SUM(I1865:I1866)</f>
        <v>0</v>
      </c>
      <c r="J1867" s="81">
        <f>SUM(J1865:J1866)</f>
        <v>0</v>
      </c>
      <c r="K1867" s="82">
        <f>SUM(K1865:K1866)</f>
        <v>0</v>
      </c>
      <c r="L1867" s="83">
        <f>SUM(L1865:L1866)</f>
        <v>0</v>
      </c>
    </row>
    <row r="1868" ht="6" customHeight="1" s="186"/>
    <row r="1869" ht="16.5" customHeight="1" s="186">
      <c r="A1869" s="822" t="inlineStr">
        <is>
          <t>12月分計</t>
        </is>
      </c>
      <c r="B1869" s="822" t="n"/>
      <c r="C1869" s="75" t="inlineStr">
        <is>
          <t>費用</t>
        </is>
      </c>
      <c r="D1869" s="75" t="n"/>
      <c r="E1869" s="76" t="n"/>
      <c r="F1869" s="77">
        <f>SUMPRODUCT((MONTH($A$5:$A$1835)=12)*($F$5:$F$1835))-F1870</f>
        <v>0</v>
      </c>
      <c r="G1869" s="81" t="n"/>
      <c r="H1869" s="81">
        <f>SUMPRODUCT((MONTH($A$5:$A$1835)=12)*($H$5:$H$1835))-H1870</f>
        <v>0</v>
      </c>
      <c r="I1869" s="81">
        <f>SUMPRODUCT((MONTH($A$5:$A$1835)=12)*($I$5:$I$1835))-I1870</f>
        <v>0</v>
      </c>
      <c r="J1869" s="81">
        <f>SUMPRODUCT((MONTH($A$5:$A$1835)=12)*($J$5:$J$1835))-J1870</f>
        <v>0</v>
      </c>
      <c r="K1869" s="82">
        <f>SUMPRODUCT((MONTH($A$5:$A$1835)=12)*($K$5:$K$1835))-K1870</f>
        <v>0</v>
      </c>
      <c r="L1869" s="83">
        <f>SUMPRODUCT((MONTH($A$5:$A$1835)=12)*($L$5:$L$1835))-L1870</f>
        <v>0</v>
      </c>
    </row>
    <row r="1870" ht="16.5" customHeight="1" s="186">
      <c r="A1870" s="822" t="inlineStr">
        <is>
          <t>12月分計</t>
        </is>
      </c>
      <c r="B1870" s="822" t="n"/>
      <c r="C1870" s="75" t="inlineStr">
        <is>
          <t>仮払消費税</t>
        </is>
      </c>
      <c r="D1870" s="75" t="n"/>
      <c r="E1870" s="76" t="n"/>
      <c r="F1870" s="77">
        <f>SUMPRODUCT((MONTH($A$5:$A$1835)=12)*(($C$5:$C$1835)=$C$1870)*($F$5:$F$1835))</f>
        <v>0</v>
      </c>
      <c r="G1870" s="81" t="n"/>
      <c r="H1870" s="81">
        <f>SUMPRODUCT((MONTH($A$5:$A$1835)=12)*(($C$5:$C$1835)=$C$1870)*($H$5:$H$1835))</f>
        <v>0</v>
      </c>
      <c r="I1870" s="81">
        <f>SUMPRODUCT((MONTH($A$5:$A$1835)=12)*(($C$5:$C$1835)=$C$1870)*($I$5:$I$1835))</f>
        <v>0</v>
      </c>
      <c r="J1870" s="81">
        <f>SUMPRODUCT((MONTH($A$5:$A$1835)=12)*(($C$5:$C$1835)=$C$1870)*($J$5:$J$1835))</f>
        <v>0</v>
      </c>
      <c r="K1870" s="82">
        <f>SUMPRODUCT((MONTH($A$5:$A$1835)=12)*(($C$5:$C$1835)=$C$1870)*($K$5:$K$1835))</f>
        <v>0</v>
      </c>
      <c r="L1870" s="83">
        <f>SUMPRODUCT((MONTH($A$5:$A$1835)=12)*(($C$5:$C$1835)=$C$1870)*($L$5:$L$1835))</f>
        <v>0</v>
      </c>
    </row>
    <row r="1871" ht="16.5" customHeight="1" s="186">
      <c r="A1871" s="822" t="inlineStr">
        <is>
          <t>12月分計</t>
        </is>
      </c>
      <c r="B1871" s="822" t="n"/>
      <c r="C1871" s="75" t="inlineStr">
        <is>
          <t>合計</t>
        </is>
      </c>
      <c r="D1871" s="75" t="n"/>
      <c r="E1871" s="76" t="n"/>
      <c r="F1871" s="77">
        <f>SUM(F1869:F1870)</f>
        <v>0</v>
      </c>
      <c r="G1871" s="81" t="n"/>
      <c r="H1871" s="81">
        <f>SUM(H1869:H1870)</f>
        <v>0</v>
      </c>
      <c r="I1871" s="81">
        <f>SUM(I1869:I1870)</f>
        <v>0</v>
      </c>
      <c r="J1871" s="81">
        <f>SUM(J1869:J1870)</f>
        <v>0</v>
      </c>
      <c r="K1871" s="82">
        <f>SUM(K1869:K1870)</f>
        <v>0</v>
      </c>
      <c r="L1871" s="83">
        <f>SUM(L1869:L1870)</f>
        <v>0</v>
      </c>
    </row>
    <row r="1872" ht="6" customHeight="1" s="186"/>
    <row r="1873" ht="16.5" customHeight="1" s="186">
      <c r="A1873" s="822" t="inlineStr">
        <is>
          <t>1月分計</t>
        </is>
      </c>
      <c r="B1873" s="822" t="n"/>
      <c r="C1873" s="75" t="inlineStr">
        <is>
          <t>費用</t>
        </is>
      </c>
      <c r="D1873" s="75" t="n"/>
      <c r="E1873" s="76" t="n"/>
      <c r="F1873" s="77">
        <f>SUMPRODUCT((MONTH($A$5:$A$1835)=1)*($F$5:$F$1835))-F1874</f>
        <v>0</v>
      </c>
      <c r="G1873" s="81" t="n"/>
      <c r="H1873" s="81">
        <f>SUMPRODUCT((MONTH($A$5:$A$1835)=1)*($H$5:$H$1835))-H1874</f>
        <v>0</v>
      </c>
      <c r="I1873" s="81">
        <f>SUMPRODUCT((MONTH($A$5:$A$1835)=1)*($I$5:$I$1835))-I1874</f>
        <v>0</v>
      </c>
      <c r="J1873" s="81">
        <f>SUMPRODUCT((MONTH($A$5:$A$1835)=1)*($J$5:$J$1835))-J1874</f>
        <v>0</v>
      </c>
      <c r="K1873" s="82">
        <f>SUMPRODUCT((MONTH($A$5:$A$1835)=1)*($K$5:$K$1835))-K1874</f>
        <v>0</v>
      </c>
      <c r="L1873" s="83">
        <f>SUMPRODUCT((MONTH($A$5:$A$1835)=1)*($L$5:$L$1835))-L1874</f>
        <v>0</v>
      </c>
    </row>
    <row r="1874" ht="16.5" customHeight="1" s="186">
      <c r="A1874" s="822" t="inlineStr">
        <is>
          <t>1月分計</t>
        </is>
      </c>
      <c r="B1874" s="822" t="n"/>
      <c r="C1874" s="75" t="inlineStr">
        <is>
          <t>仮払消費税</t>
        </is>
      </c>
      <c r="D1874" s="75" t="n"/>
      <c r="E1874" s="76" t="n"/>
      <c r="F1874" s="77">
        <f>SUMPRODUCT((MONTH($A$5:$A$1835)=1)*(($C$5:$C$1835)=$C$1874)*($F$5:$F$1835))</f>
        <v>0</v>
      </c>
      <c r="G1874" s="81" t="n"/>
      <c r="H1874" s="81">
        <f>SUMPRODUCT((MONTH($A$5:$A$1835)=1)*(($C$5:$C$1835)=$C$1874)*($H$5:$H$1835))</f>
        <v>0</v>
      </c>
      <c r="I1874" s="81">
        <f>SUMPRODUCT((MONTH($A$5:$A$1835)=1)*(($C$5:$C$1835)=$C$1874)*($I$5:$I$1835))</f>
        <v>0</v>
      </c>
      <c r="J1874" s="81">
        <f>SUMPRODUCT((MONTH($A$5:$A$1835)=1)*(($C$5:$C$1835)=$C$1874)*($J$5:$J$1835))</f>
        <v>0</v>
      </c>
      <c r="K1874" s="82">
        <f>SUMPRODUCT((MONTH($A$5:$A$1835)=1)*(($C$5:$C$1835)=$C$1874)*($K$5:$K$1835))</f>
        <v>0</v>
      </c>
      <c r="L1874" s="83">
        <f>SUMPRODUCT((MONTH($A$5:$A$1835)=1)*(($C$5:$C$1835)=$C$1874)*($L$5:$L$1835))</f>
        <v>0</v>
      </c>
    </row>
    <row r="1875" ht="16.5" customHeight="1" s="186">
      <c r="A1875" s="822" t="inlineStr">
        <is>
          <t>1月分計</t>
        </is>
      </c>
      <c r="B1875" s="822" t="n"/>
      <c r="C1875" s="75" t="inlineStr">
        <is>
          <t>合計</t>
        </is>
      </c>
      <c r="D1875" s="75" t="n"/>
      <c r="E1875" s="76" t="n"/>
      <c r="F1875" s="77">
        <f>SUM(F1873:F1874)</f>
        <v>0</v>
      </c>
      <c r="G1875" s="81" t="n"/>
      <c r="H1875" s="81">
        <f>SUM(H1873:H1874)</f>
        <v>0</v>
      </c>
      <c r="I1875" s="81">
        <f>SUM(I1873:I1874)</f>
        <v>0</v>
      </c>
      <c r="J1875" s="81">
        <f>SUM(J1873:J1874)</f>
        <v>0</v>
      </c>
      <c r="K1875" s="82">
        <f>SUM(K1873:K1874)</f>
        <v>0</v>
      </c>
      <c r="L1875" s="83">
        <f>SUM(L1873:L1874)</f>
        <v>0</v>
      </c>
    </row>
    <row r="1876" ht="6" customHeight="1" s="186"/>
    <row r="1877" ht="16.5" customHeight="1" s="186">
      <c r="A1877" s="822" t="inlineStr">
        <is>
          <t>2月分計</t>
        </is>
      </c>
      <c r="B1877" s="822" t="n"/>
      <c r="C1877" s="75" t="inlineStr">
        <is>
          <t>費用</t>
        </is>
      </c>
      <c r="D1877" s="75" t="n"/>
      <c r="E1877" s="76" t="n"/>
      <c r="F1877" s="77">
        <f>SUMPRODUCT((MONTH($A$5:$A$1835)=2)*($F$5:$F$1835))-F1878</f>
        <v>0</v>
      </c>
      <c r="G1877" s="81" t="n"/>
      <c r="H1877" s="81">
        <f>SUMPRODUCT((MONTH($A$5:$A$1835)=2)*($H$5:$H$1835))-H1878</f>
        <v>0</v>
      </c>
      <c r="I1877" s="81">
        <f>SUMPRODUCT((MONTH($A$5:$A$1835)=2)*($I$5:$I$1835))-I1878</f>
        <v>0</v>
      </c>
      <c r="J1877" s="81">
        <f>SUMPRODUCT((MONTH($A$5:$A$1835)=2)*($J$5:$J$1835))-J1878</f>
        <v>0</v>
      </c>
      <c r="K1877" s="82">
        <f>SUMPRODUCT((MONTH($A$5:$A$1835)=2)*($K$5:$K$1835))-K1878</f>
        <v>0</v>
      </c>
      <c r="L1877" s="83">
        <f>SUMPRODUCT((MONTH($A$5:$A$1835)=2)*($L$5:$L$1835))-L1878</f>
        <v>0</v>
      </c>
    </row>
    <row r="1878" ht="16.5" customHeight="1" s="186">
      <c r="A1878" s="822" t="inlineStr">
        <is>
          <t>2月分計</t>
        </is>
      </c>
      <c r="B1878" s="822" t="n"/>
      <c r="C1878" s="75" t="inlineStr">
        <is>
          <t>仮払消費税</t>
        </is>
      </c>
      <c r="D1878" s="75" t="n"/>
      <c r="E1878" s="76" t="n"/>
      <c r="F1878" s="77">
        <f>SUMPRODUCT((MONTH($A$5:$A$1835)=2)*(($C$5:$C$1835)=$C$1878)*($F$5:$F$1835))</f>
        <v>0</v>
      </c>
      <c r="G1878" s="81" t="n"/>
      <c r="H1878" s="81">
        <f>SUMPRODUCT((MONTH($A$5:$A$1835)=2)*(($C$5:$C$1835)=$C$1878)*($H$5:$H$1835))</f>
        <v>0</v>
      </c>
      <c r="I1878" s="81">
        <f>SUMPRODUCT((MONTH($A$5:$A$1835)=2)*(($C$5:$C$1835)=$C$1878)*($I$5:$I$1835))</f>
        <v>0</v>
      </c>
      <c r="J1878" s="81">
        <f>SUMPRODUCT((MONTH($A$5:$A$1835)=2)*(($C$5:$C$1835)=$C$1878)*($J$5:$J$1835))</f>
        <v>0</v>
      </c>
      <c r="K1878" s="82">
        <f>SUMPRODUCT((MONTH($A$5:$A$1835)=2)*(($C$5:$C$1835)=$C$1878)*($K$5:$K$1835))</f>
        <v>0</v>
      </c>
      <c r="L1878" s="83">
        <f>SUMPRODUCT((MONTH($A$5:$A$1835)=2)*(($C$5:$C$1835)=$C$1878)*($L$5:$L$1835))</f>
        <v>0</v>
      </c>
    </row>
    <row r="1879" ht="16.5" customHeight="1" s="186">
      <c r="A1879" s="822" t="inlineStr">
        <is>
          <t>2月分計</t>
        </is>
      </c>
      <c r="B1879" s="822" t="n"/>
      <c r="C1879" s="75" t="inlineStr">
        <is>
          <t>合計</t>
        </is>
      </c>
      <c r="D1879" s="75" t="n"/>
      <c r="E1879" s="76" t="n"/>
      <c r="F1879" s="77">
        <f>SUM(F1877:F1878)</f>
        <v>0</v>
      </c>
      <c r="G1879" s="81" t="n"/>
      <c r="H1879" s="81">
        <f>SUM(H1877:H1878)</f>
        <v>0</v>
      </c>
      <c r="I1879" s="81">
        <f>SUM(I1877:I1878)</f>
        <v>0</v>
      </c>
      <c r="J1879" s="81">
        <f>SUM(J1877:J1878)</f>
        <v>0</v>
      </c>
      <c r="K1879" s="82">
        <f>SUM(K1877:K1878)</f>
        <v>0</v>
      </c>
      <c r="L1879" s="83">
        <f>SUM(L1877:L1878)</f>
        <v>0</v>
      </c>
    </row>
    <row r="1880" ht="6" customHeight="1" s="186"/>
    <row r="1881" ht="16.5" customHeight="1" s="186">
      <c r="A1881" s="822" t="inlineStr">
        <is>
          <t>3月分計</t>
        </is>
      </c>
      <c r="B1881" s="822" t="n"/>
      <c r="C1881" s="75" t="inlineStr">
        <is>
          <t>費用</t>
        </is>
      </c>
      <c r="D1881" s="75" t="n"/>
      <c r="E1881" s="76" t="n"/>
      <c r="F1881" s="77">
        <f>SUMPRODUCT((MONTH($A$5:$A$1835)=3)*($F$5:$F$1835))-F1882</f>
        <v>0</v>
      </c>
      <c r="G1881" s="81" t="n"/>
      <c r="H1881" s="81">
        <f>SUMPRODUCT((MONTH($A$5:$A$1835)=3)*($H$5:$H$1835))-H1882</f>
        <v>0</v>
      </c>
      <c r="I1881" s="81">
        <f>SUMPRODUCT((MONTH($A$5:$A$1835)=3)*($I$5:$I$1835))-I1882</f>
        <v>0</v>
      </c>
      <c r="J1881" s="81">
        <f>SUMPRODUCT((MONTH($A$5:$A$1835)=3)*($J$5:$J$1835))-J1882</f>
        <v>0</v>
      </c>
      <c r="K1881" s="82">
        <f>SUMPRODUCT((MONTH($A$5:$A$1835)=3)*($K$5:$K$1835))-K1882</f>
        <v>0</v>
      </c>
      <c r="L1881" s="83">
        <f>SUMPRODUCT((MONTH($A$5:$A$1835)=3)*($L$5:$L$1835))-L1882</f>
        <v>0</v>
      </c>
    </row>
    <row r="1882" ht="16.5" customHeight="1" s="186">
      <c r="A1882" s="822" t="inlineStr">
        <is>
          <t>3月分計</t>
        </is>
      </c>
      <c r="B1882" s="822" t="n"/>
      <c r="C1882" s="75" t="inlineStr">
        <is>
          <t>仮払消費税</t>
        </is>
      </c>
      <c r="D1882" s="75" t="n"/>
      <c r="E1882" s="76" t="n"/>
      <c r="F1882" s="77">
        <f>SUMPRODUCT((MONTH($A$5:$A$1835)=3)*(($C$5:$C$1835)=$C$1882)*($F$5:$F$1835))</f>
        <v>0</v>
      </c>
      <c r="G1882" s="81" t="n"/>
      <c r="H1882" s="81">
        <f>SUMPRODUCT((MONTH($A$5:$A$1835)=3)*(($C$5:$C$1835)=$C$1882)*($H$5:$H$1835))</f>
        <v>0</v>
      </c>
      <c r="I1882" s="81">
        <f>SUMPRODUCT((MONTH($A$5:$A$1835)=3)*(($C$5:$C$1835)=$C$1882)*($I$5:$I$1835))</f>
        <v>0</v>
      </c>
      <c r="J1882" s="81">
        <f>SUMPRODUCT((MONTH($A$5:$A$1835)=3)*(($C$5:$C$1835)=$C$1882)*($J$5:$J$1835))</f>
        <v>0</v>
      </c>
      <c r="K1882" s="82">
        <f>SUMPRODUCT((MONTH($A$5:$A$1835)=3)*(($C$5:$C$1835)=$C$1882)*($K$5:$K$1835))</f>
        <v>0</v>
      </c>
      <c r="L1882" s="83">
        <f>SUMPRODUCT((MONTH($A$5:$A$1835)=3)*(($C$5:$C$1835)=$C$1882)*($L$5:$L$1835))</f>
        <v>0</v>
      </c>
    </row>
    <row r="1883" ht="16.5" customHeight="1" s="186">
      <c r="A1883" s="822" t="inlineStr">
        <is>
          <t>3月分計</t>
        </is>
      </c>
      <c r="B1883" s="822" t="n"/>
      <c r="C1883" s="75" t="inlineStr">
        <is>
          <t>合計</t>
        </is>
      </c>
      <c r="D1883" s="75" t="n"/>
      <c r="E1883" s="76" t="n"/>
      <c r="F1883" s="77">
        <f>SUM(F1881:F1882)</f>
        <v>0</v>
      </c>
      <c r="G1883" s="81" t="n"/>
      <c r="H1883" s="81">
        <f>SUM(H1881:H1882)</f>
        <v>0</v>
      </c>
      <c r="I1883" s="81">
        <f>SUM(I1881:I1882)</f>
        <v>0</v>
      </c>
      <c r="J1883" s="81">
        <f>SUM(J1881:J1882)</f>
        <v>0</v>
      </c>
      <c r="K1883" s="82">
        <f>SUM(K1881:K1882)</f>
        <v>0</v>
      </c>
      <c r="L1883" s="83">
        <f>SUM(L1881:L1882)</f>
        <v>0</v>
      </c>
    </row>
    <row r="1884" ht="6" customHeight="1" s="186"/>
    <row r="1885" ht="16.5" customHeight="1" s="186">
      <c r="A1885" s="822" t="inlineStr">
        <is>
          <t>総合計</t>
        </is>
      </c>
      <c r="B1885" s="822" t="n"/>
      <c r="C1885" s="75" t="inlineStr">
        <is>
          <t>費用</t>
        </is>
      </c>
      <c r="D1885" s="75" t="n"/>
      <c r="E1885" s="76" t="n"/>
      <c r="F1885" s="77">
        <f>F1837+F1841+F1845+F1849+F1853+F1857+F1861+F1865+F1869+F1873+F1877+F1881</f>
        <v>5012199</v>
      </c>
      <c r="G1885" s="81" t="n"/>
      <c r="H1885" s="81">
        <f>H1837+H1841+H1845+H1849+H1853+H1857+H1861+H1865+H1869+H1873+H1877+H1881</f>
        <v>3446124</v>
      </c>
      <c r="I1885" s="81">
        <f>I1837+I1841+I1845+I1849+I1853+I1857+I1861+I1865+I1869+I1873+I1877+I1881</f>
        <v>1311193</v>
      </c>
      <c r="J1885" s="81">
        <f>J1837+J1841+J1845+J1849+J1853+J1857+J1861+J1865+J1869+J1873+J1877+J1881</f>
        <v>131121</v>
      </c>
      <c r="K1885" s="82">
        <f>K1837+K1841+K1845+K1849+K1853+K1857+K1861+K1865+K1869+K1873+K1877+K1881</f>
        <v>123761</v>
      </c>
      <c r="L1885" s="83">
        <f>L1837+L1841+L1845+L1849+L1853+L1857+L1861+L1865+L1869+L1873+L1877+L1881</f>
        <v>0</v>
      </c>
    </row>
    <row r="1886" ht="16.5" customHeight="1" s="186">
      <c r="A1886" s="822" t="inlineStr">
        <is>
          <t>総合計</t>
        </is>
      </c>
      <c r="B1886" s="822" t="n"/>
      <c r="C1886" s="75" t="inlineStr">
        <is>
          <t>仮払消費税</t>
        </is>
      </c>
      <c r="D1886" s="75" t="n"/>
      <c r="E1886" s="76" t="n"/>
      <c r="F1886" s="77">
        <f>F1838+F1842+F1846+F1850+F1854+F1858+F1862+F1866+F1870+F1874+F1878+F1882</f>
        <v>0</v>
      </c>
      <c r="G1886" s="81" t="n"/>
      <c r="H1886" s="81">
        <f>H1838+H1842+H1846+H1850+H1854+H1858+H1862+H1866+H1870+H1874+H1878+H1882</f>
        <v>0</v>
      </c>
      <c r="I1886" s="81">
        <f>I1838+I1842+I1846+I1850+I1854+I1858+I1862+I1866+I1870+I1874+I1878+I1882</f>
        <v>0</v>
      </c>
      <c r="J1886" s="81">
        <f>J1838+J1842+J1846+J1850+J1854+J1858+J1862+J1866+J1870+J1874+J1878+J1882</f>
        <v>0</v>
      </c>
      <c r="K1886" s="82">
        <f>K1838+K1842+K1846+K1850+K1854+K1858+K1862+K1866+K1870+K1874+K1878+K1882</f>
        <v>0</v>
      </c>
      <c r="L1886" s="83">
        <f>L1838+L1842+L1846+L1850+L1854+L1858+L1862+L1866+L1870+L1874+L1878+L1882</f>
        <v>0</v>
      </c>
    </row>
    <row r="1887" ht="16.5" customHeight="1" s="186">
      <c r="A1887" s="822" t="inlineStr">
        <is>
          <t>総合計</t>
        </is>
      </c>
      <c r="B1887" s="822" t="n"/>
      <c r="C1887" s="75" t="inlineStr">
        <is>
          <t>合計</t>
        </is>
      </c>
      <c r="D1887" s="75" t="n"/>
      <c r="E1887" s="76" t="n"/>
      <c r="F1887" s="77">
        <f>SUM(F1885:F1886)</f>
        <v>5012199</v>
      </c>
      <c r="G1887" s="81" t="n"/>
      <c r="H1887" s="81">
        <f>SUM(H1885:H1886)</f>
        <v>3446124</v>
      </c>
      <c r="I1887" s="81">
        <f>SUM(I1885:I1886)</f>
        <v>1311193</v>
      </c>
      <c r="J1887" s="81">
        <f>SUM(J1885:J1886)</f>
        <v>131121</v>
      </c>
      <c r="K1887" s="82">
        <f>SUM(K1885:K1886)</f>
        <v>123761</v>
      </c>
      <c r="L1887" s="83">
        <f>SUM(L1885:L1886)</f>
        <v>0</v>
      </c>
    </row>
    <row r="1891">
      <c r="B1891" s="823" t="n"/>
    </row>
  </sheetData>
  <autoFilter ref="A4:U1835"/>
  <mergeCells count="1">
    <mergeCell ref="A1:K1"/>
  </mergeCells>
  <conditionalFormatting sqref="A5:L1835">
    <cfRule type="expression" priority="1" dxfId="6">
      <formula>$P5="昨年実績"</formula>
    </cfRule>
    <cfRule type="expression" priority="2" dxfId="7">
      <formula>$P5="確認済"</formula>
    </cfRule>
    <cfRule type="expression" priority="3" dxfId="8">
      <formula>$P5="支払なし"</formula>
    </cfRule>
  </conditionalFormatting>
  <conditionalFormatting sqref="Q5:Q1835">
    <cfRule type="expression" priority="4" dxfId="4">
      <formula>$Q5="※未登録"</formula>
    </cfRule>
  </conditionalFormatting>
  <dataValidations count="7">
    <dataValidation sqref="C5:C269 C271:C546 C548:C1835" showDropDown="0" showInputMessage="1" showErrorMessage="1" allowBlank="1" type="list">
      <formula1>中項目</formula1>
    </dataValidation>
    <dataValidation sqref="A1:A1835 A1836:B1836 A1837:A1838 A1839:B1840 A1841:A1842 A1843:B1844 A1845:A1846 A1847:B1848 A1849:A1850 A1851:B1852 A1853:A1854 A1855:B1856 A1857:A1858 A1859:B1860 A1861:A1862 A1863:B1864 A1865:A1866 A1867:B1868 A1869:A1870 A1871:B1872 A1873:A1874 A1875:B1876 A1877:A1878 A1879:B1880 A1881:A1882 A1883:B1887 A1888:A65503 F1:G1048576" showDropDown="0" showInputMessage="1" showErrorMessage="0" allowBlank="1"/>
    <dataValidation sqref="B1:B1835 B1837:B1838 B1841:B1842 B1845:B1846 B1849:B1850 B1853:B1854 B1857:B1858 B1861:B1862 B1865:B1866 B1869:B1870 B1873:B1874 B1877:B1878 B1881:B1882 B1888:B65503" showDropDown="0" showInputMessage="1" showErrorMessage="0" allowBlank="1" type="list">
      <formula1>"前払費用,未払金"</formula1>
    </dataValidation>
    <dataValidation sqref="D5:D37 D39:D59 D64:D1835 N14:N27" showDropDown="0" showInputMessage="1" showErrorMessage="1" allowBlank="1" type="list">
      <formula1>$N$5:$N$27</formula1>
    </dataValidation>
    <dataValidation sqref="D38 D60" showDropDown="0" showInputMessage="1" showErrorMessage="1" allowBlank="1" type="list">
      <formula1>$N$5:$N$24</formula1>
    </dataValidation>
    <dataValidation sqref="E4:E40 E42:E65503" showDropDown="0" showInputMessage="1" showErrorMessage="1" allowBlank="1" imeMode="on"/>
    <dataValidation sqref="P5:P1835" showDropDown="0" showInputMessage="0" showErrorMessage="0" allowBlank="1" type="list">
      <formula1>=科目表!$I$5:$I$8</formula1>
    </dataValidation>
  </dataValidations>
  <printOptions horizontalCentered="1"/>
  <pageMargins left="0.2362204724409449" right="0.1968503937007874" top="0.5905511811023623" bottom="0.3937007874015748" header="0.1968503937007874" footer="0.3149606299212598"/>
  <pageSetup orientation="landscape" paperSize="9" scale="79" horizontalDpi="300" verticalDpi="300"/>
  <rowBreaks count="1" manualBreakCount="1">
    <brk id="1836" min="0" max="11" man="1"/>
  </rowBreak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3:T310"/>
  <sheetViews>
    <sheetView tabSelected="0" view="pageBreakPreview" topLeftCell="A83" zoomScale="70" zoomScaleNormal="70" zoomScaleSheetLayoutView="70" workbookViewId="0">
      <selection activeCell="M94" sqref="M94"/>
    </sheetView>
  </sheetViews>
  <sheetFormatPr baseColWidth="8" defaultRowHeight="26.25" customHeight="1"/>
  <cols>
    <col width="9" customWidth="1" style="187" min="1" max="1"/>
    <col width="36" customWidth="1" style="186" min="2" max="2"/>
    <col width="11" customWidth="1" style="604" min="3" max="3"/>
    <col width="12" customWidth="1" style="604" min="4" max="4"/>
    <col width="9" customWidth="1" style="186" min="5" max="5"/>
    <col width="9" customWidth="1" style="187" min="6" max="6"/>
    <col width="36" customWidth="1" style="186" min="7" max="7"/>
    <col width="11" customWidth="1" style="604" min="8" max="8"/>
    <col width="12" bestFit="1" customWidth="1" style="604" min="9" max="9"/>
    <col width="9" customWidth="1" style="186" min="10" max="10"/>
    <col width="9" customWidth="1" style="187" min="11" max="11"/>
    <col width="36" customWidth="1" style="186" min="12" max="12"/>
    <col width="11" customWidth="1" style="604" min="13" max="13"/>
    <col width="12" bestFit="1" customWidth="1" style="604" min="14" max="14"/>
    <col width="9" customWidth="1" style="186" min="15" max="15"/>
    <col width="9" customWidth="1" style="186" min="16" max="16"/>
    <col width="36" customWidth="1" style="186" min="17" max="17"/>
    <col width="11" customWidth="1" style="604" min="18" max="18"/>
    <col width="12" bestFit="1" customWidth="1" style="604" min="19" max="19"/>
    <col width="9" customWidth="1" style="186" min="20" max="20"/>
    <col width="9" customWidth="1" style="186" min="21" max="22"/>
    <col width="17.625" customWidth="1" style="186" min="23" max="23"/>
    <col width="9.25" bestFit="1" customWidth="1" style="604" min="24" max="24"/>
    <col width="9" customWidth="1" style="186" min="25" max="16384"/>
  </cols>
  <sheetData>
    <row r="1" ht="17.25" customFormat="1" customHeight="1" s="262"/>
    <row r="2" ht="12.75" customHeight="1" s="186"/>
    <row r="3" ht="26.25" customHeight="1" s="186" thickBot="1">
      <c r="B3" s="502" t="inlineStr">
        <is>
          <t>○事務費  通信運搬費</t>
        </is>
      </c>
      <c r="D3" s="503" t="inlineStr">
        <is>
          <t>業務（短）</t>
        </is>
      </c>
      <c r="E3" s="824" t="str">
        <f>IF(COUNTIF(月例!$S$5:$S$788,"通信運搬費|S|*")&gt;106,"行不足","")</f>
        <v/>
      </c>
      <c r="G3" s="502" t="inlineStr">
        <is>
          <t>○委託費</t>
        </is>
      </c>
      <c r="I3" s="503" t="inlineStr">
        <is>
          <t>業務（短）</t>
        </is>
      </c>
      <c r="J3" s="824" t="str">
        <f>IF(COUNTIF(月例!$S$5:$S$788,"委託費|S|*")&gt;103,"行不足","")</f>
        <v/>
      </c>
      <c r="L3" s="502" t="inlineStr">
        <is>
          <t>○賃借料</t>
        </is>
      </c>
      <c r="N3" s="503" t="inlineStr">
        <is>
          <t>業務（短）</t>
        </is>
      </c>
      <c r="O3" s="824" t="str">
        <f>IF(COUNTIF(月例!$S$5:$S$788,"賃借料|S|*")&gt;84,"行不足","")</f>
        <v/>
      </c>
      <c r="Q3" s="502" t="inlineStr">
        <is>
          <t>○事務費  事務用消耗品費</t>
        </is>
      </c>
      <c r="S3" s="503" t="inlineStr">
        <is>
          <t>業務（短）</t>
        </is>
      </c>
      <c r="T3" s="824" t="str">
        <f>IF(COUNTIF(月例!$S$5:$S$788,"事務用消耗品費|S|*")&gt;73,"行不足","")</f>
        <v/>
      </c>
    </row>
    <row r="4" ht="22.5" customHeight="1" s="186" thickBot="1">
      <c r="A4" s="100" t="inlineStr">
        <is>
          <t>支出日</t>
        </is>
      </c>
      <c r="B4" s="100" t="inlineStr">
        <is>
          <t>摘要</t>
        </is>
      </c>
      <c r="C4" s="100" t="inlineStr">
        <is>
          <t>支出</t>
        </is>
      </c>
      <c r="D4" s="100" t="inlineStr">
        <is>
          <t>残額</t>
        </is>
      </c>
      <c r="E4" s="100" t="inlineStr">
        <is>
          <t>状態</t>
        </is>
      </c>
      <c r="F4" s="100" t="inlineStr">
        <is>
          <t>支出日</t>
        </is>
      </c>
      <c r="G4" s="100" t="inlineStr">
        <is>
          <t>摘要</t>
        </is>
      </c>
      <c r="H4" s="100" t="inlineStr">
        <is>
          <t>支出</t>
        </is>
      </c>
      <c r="I4" s="100" t="inlineStr">
        <is>
          <t>残額</t>
        </is>
      </c>
      <c r="J4" s="100" t="inlineStr">
        <is>
          <t>状態</t>
        </is>
      </c>
      <c r="K4" s="100" t="inlineStr">
        <is>
          <t>支出日</t>
        </is>
      </c>
      <c r="L4" s="100" t="inlineStr">
        <is>
          <t>摘要</t>
        </is>
      </c>
      <c r="M4" s="100" t="inlineStr">
        <is>
          <t>支出</t>
        </is>
      </c>
      <c r="N4" s="100" t="inlineStr">
        <is>
          <t>残額</t>
        </is>
      </c>
      <c r="O4" s="100" t="inlineStr">
        <is>
          <t>状態</t>
        </is>
      </c>
      <c r="P4" s="100" t="inlineStr">
        <is>
          <t>支出日</t>
        </is>
      </c>
      <c r="Q4" s="100" t="inlineStr">
        <is>
          <t>摘要</t>
        </is>
      </c>
      <c r="R4" s="100" t="inlineStr">
        <is>
          <t>支出</t>
        </is>
      </c>
      <c r="S4" s="100" t="inlineStr">
        <is>
          <t>残額</t>
        </is>
      </c>
      <c r="T4" s="100" t="inlineStr">
        <is>
          <t>状態</t>
        </is>
      </c>
    </row>
    <row r="5" ht="23.1" customHeight="1" s="186">
      <c r="A5" s="825" t="n"/>
      <c r="B5" s="826" t="inlineStr">
        <is>
          <t>予算現額</t>
        </is>
      </c>
      <c r="C5" s="827" t="n"/>
      <c r="D5" s="828">
        <f>'R7業務 (短)'!$S$15</f>
        <v>983000</v>
      </c>
      <c r="F5" s="825" t="n"/>
      <c r="G5" s="826" t="inlineStr">
        <is>
          <t>予算現額</t>
        </is>
      </c>
      <c r="H5" s="827" t="n"/>
      <c r="I5" s="828">
        <f>'R7業務 (短)'!$S$20</f>
        <v>10478000</v>
      </c>
      <c r="K5" s="825" t="n"/>
      <c r="L5" s="826" t="inlineStr">
        <is>
          <t>予算現額</t>
        </is>
      </c>
      <c r="M5" s="827" t="n"/>
      <c r="N5" s="828">
        <f>'R7業務 (短)'!$S$23</f>
        <v>8441000</v>
      </c>
      <c r="P5" s="825" t="n"/>
      <c r="Q5" s="826" t="inlineStr">
        <is>
          <t>予算現額</t>
        </is>
      </c>
      <c r="R5" s="827" t="n"/>
      <c r="S5" s="828">
        <f>'R7業務 (短)'!$S$12</f>
        <v>1537000</v>
      </c>
    </row>
    <row r="6" ht="23.1" customHeight="1" s="186">
      <c r="A6" s="825">
        <f>IFERROR(INDEX(月例!$A$5:$A$788,MATCH("通信運搬費|S|1",月例!$S$5:$S$788,0)),"")</f>
        <v>45756</v>
      </c>
      <c r="B6" s="826" t="str">
        <f>IFERROR(INDEX(月例!$E$5:$E$788,MATCH("通信運搬費|S|1",月例!$S$5:$S$788,0)),"")</f>
        <v>切手</v>
      </c>
      <c r="C6" s="827">
        <f>IFERROR(INDEX(月例!$H$5:$H$788,MATCH("通信運搬費|S|1",月例!$S$5:$S$788,0)),"")</f>
        <v>178000</v>
      </c>
      <c r="D6" s="828">
        <f>IF(C6="","",D5-C6)</f>
        <v>805000</v>
      </c>
      <c r="E6" s="829" t="str">
        <f>IFERROR(INDEX(月例!$P$5:$P$788,MATCH("通信運搬費|S|1",月例!$S$5:$S$788,0)),"")</f>
        <v>昨年実績</v>
      </c>
      <c r="F6" s="825">
        <f>IFERROR(INDEX(月例!$A$5:$A$788,MATCH("委託費|S|1",月例!$S$5:$S$788,0)),"")</f>
        <v>46132</v>
      </c>
      <c r="G6" s="826" t="str">
        <f>IFERROR(INDEX(月例!$E$5:$E$788,MATCH("委託費|S|1",月例!$S$5:$S$788,0)),"")</f>
        <v>レセプト電子データ提供料（1月診療分）</v>
      </c>
      <c r="H6" s="827">
        <f>IFERROR(INDEX(月例!$H$5:$H$788,MATCH("委託費|S|1",月例!$S$5:$S$788,0)),"")</f>
        <v>60235</v>
      </c>
      <c r="I6" s="828">
        <f>IF(H6="","",I5-H6)</f>
        <v>10417765</v>
      </c>
      <c r="J6" s="829" t="str">
        <f>IFERROR(INDEX(月例!$P$5:$P$788,MATCH("委託費|S|1",月例!$S$5:$S$788,0)),"")</f>
        <v>確認済</v>
      </c>
      <c r="K6" s="825">
        <f>IFERROR(INDEX(月例!$A$5:$A$788,MATCH("賃借料|S|1",月例!$S$5:$S$788,0)),"")</f>
        <v>46171</v>
      </c>
      <c r="L6" s="826" t="str">
        <f>IFERROR(INDEX(月例!$E$5:$E$788,MATCH("賃借料|S|1",月例!$S$5:$S$788,0)),"")</f>
        <v>パソコン（業務経理用）４月分</v>
      </c>
      <c r="M6" s="827">
        <f>IFERROR(INDEX(月例!$H$5:$H$788,MATCH("賃借料|S|1",月例!$S$5:$S$788,0)),"")</f>
        <v>5060</v>
      </c>
      <c r="N6" s="828">
        <f>IF(M6="","",N5-M6)</f>
        <v>8435940</v>
      </c>
      <c r="O6" s="829" t="str">
        <f>IFERROR(INDEX(月例!$P$5:$P$788,MATCH("賃借料|S|1",月例!$S$5:$S$788,0)),"")</f>
        <v>確認済</v>
      </c>
      <c r="P6" s="825">
        <f>IFERROR(INDEX(月例!$A$5:$A$788,MATCH("事務用消耗品費|S|1",月例!$S$5:$S$788,0)),"")</f>
        <v>46140</v>
      </c>
      <c r="Q6" s="826" t="str">
        <f>IFERROR(INDEX(月例!$E$5:$E$788,MATCH("事務用消耗品費|S|1",月例!$S$5:$S$788,0)),"")</f>
        <v>令和８年度基幹ウイルス対策ソフト（ミツイワ株式会社）短期</v>
      </c>
      <c r="R6" s="827">
        <f>IFERROR(INDEX(月例!$H$5:$H$788,MATCH("事務用消耗品費|S|1",月例!$S$5:$S$788,0)),"")</f>
        <v>20482</v>
      </c>
      <c r="S6" s="828">
        <f>IF(R6="","",S5-R6)</f>
        <v>1516518</v>
      </c>
      <c r="T6" s="829" t="str">
        <f>IFERROR(INDEX(月例!$P$5:$P$788,MATCH("事務用消耗品費|S|1",月例!$S$5:$S$788,0)),"")</f>
        <v>確認済</v>
      </c>
    </row>
    <row r="7" ht="23.1" customHeight="1" s="186">
      <c r="A7" s="825">
        <f>IFERROR(INDEX(月例!$A$5:$A$788,MATCH("通信運搬費|S|2",月例!$S$5:$S$788,0)),"")</f>
        <v>44336</v>
      </c>
      <c r="B7" s="826" t="str">
        <f>IFERROR(INDEX(月例!$E$5:$E$788,MATCH("通信運搬費|S|2",月例!$S$5:$S$788,0)),"")</f>
        <v>電話料金（４月使用・５月請求分）</v>
      </c>
      <c r="C7" s="827">
        <f>IFERROR(INDEX(月例!$H$5:$H$788,MATCH("通信運搬費|S|2",月例!$S$5:$S$788,0)),"")</f>
        <v>5407</v>
      </c>
      <c r="D7" s="828">
        <f>IF(C7="","",D6-C7)</f>
        <v>799593</v>
      </c>
      <c r="E7" s="829" t="str">
        <f>IFERROR(INDEX(月例!$P$5:$P$788,MATCH("通信運搬費|S|2",月例!$S$5:$S$788,0)),"")</f>
        <v>昨年実績</v>
      </c>
      <c r="F7" s="825">
        <f>IFERROR(INDEX(月例!$A$5:$A$788,MATCH("委託費|S|2",月例!$S$5:$S$788,0)),"")</f>
        <v>45044</v>
      </c>
      <c r="G7" s="826" t="str">
        <f>IFERROR(INDEX(月例!$E$5:$E$788,MATCH("委託費|S|2",月例!$S$5:$S$788,0)),"")</f>
        <v>個人番号管理システムシンクライアント（４～１０月）</v>
      </c>
      <c r="H7" s="827">
        <f>IFERROR(INDEX(月例!$H$5:$H$788,MATCH("委託費|S|2",月例!$S$5:$S$788,0)),"")</f>
        <v>24486</v>
      </c>
      <c r="I7" s="828">
        <f>IF(H7="","",I6-H7)</f>
        <v>10393279</v>
      </c>
      <c r="J7" s="829" t="str">
        <f>IFERROR(INDEX(月例!$P$5:$P$788,MATCH("委託費|S|2",月例!$S$5:$S$788,0)),"")</f>
        <v>昨年実績</v>
      </c>
      <c r="K7" s="825">
        <f>IFERROR(INDEX(月例!$A$5:$A$788,MATCH("賃借料|S|2",月例!$S$5:$S$788,0)),"")</f>
        <v>46162</v>
      </c>
      <c r="L7" s="826" t="str">
        <f>IFERROR(INDEX(月例!$E$5:$E$788,MATCH("賃借料|S|2",月例!$S$5:$S$788,0)),"")</f>
        <v>統合管理端末リース料（４月分）</v>
      </c>
      <c r="M7" s="827">
        <f>IFERROR(INDEX(月例!$H$5:$H$788,MATCH("賃借料|S|2",月例!$S$5:$S$788,0)),"")</f>
        <v>12738</v>
      </c>
      <c r="N7" s="828">
        <f>IF(M7="","",N6-M7)</f>
        <v>8423202</v>
      </c>
      <c r="O7" s="829" t="str">
        <f>IFERROR(INDEX(月例!$P$5:$P$788,MATCH("賃借料|S|2",月例!$S$5:$S$788,0)),"")</f>
        <v>確認済</v>
      </c>
      <c r="P7" s="825">
        <f>IFERROR(INDEX(月例!$A$5:$A$788,MATCH("事務用消耗品費|S|2",月例!$S$5:$S$788,0)),"")</f>
        <v>44316</v>
      </c>
      <c r="Q7" s="826" t="str">
        <f>IFERROR(INDEX(月例!$E$5:$E$788,MATCH("事務用消耗品費|S|2",月例!$S$5:$S$788,0)),"")</f>
        <v>CD／DVDファイルＡ４１２ＪーＣ　他</v>
      </c>
      <c r="R7" s="827">
        <f>IFERROR(INDEX(月例!$H$5:$H$788,MATCH("事務用消耗品費|S|2",月例!$S$5:$S$788,0)),"")</f>
        <v>24407</v>
      </c>
      <c r="S7" s="828">
        <f>IF(R7="","",S6-R7)</f>
        <v>1492111</v>
      </c>
      <c r="T7" s="829" t="str">
        <f>IFERROR(INDEX(月例!$P$5:$P$788,MATCH("事務用消耗品費|S|2",月例!$S$5:$S$788,0)),"")</f>
        <v>昨年実績</v>
      </c>
    </row>
    <row r="8" ht="22.5" customHeight="1" s="186">
      <c r="A8" s="825">
        <f>IFERROR(INDEX(月例!$A$5:$A$788,MATCH("通信運搬費|S|3",月例!$S$5:$S$788,0)),"")</f>
        <v>45077</v>
      </c>
      <c r="B8" s="826" t="str">
        <f>IFERROR(INDEX(月例!$E$5:$E$788,MATCH("通信運搬費|S|3",月例!$S$5:$S$788,0)),"")</f>
        <v>柔整申請書送付（４月分）</v>
      </c>
      <c r="C8" s="827">
        <f>IFERROR(INDEX(月例!$H$5:$H$788,MATCH("通信運搬費|S|3",月例!$S$5:$S$788,0)),"")</f>
        <v>1489</v>
      </c>
      <c r="D8" s="828">
        <f>IF(C8="","",D7-C8)</f>
        <v>798104</v>
      </c>
      <c r="E8" s="829" t="str">
        <f>IFERROR(INDEX(月例!$P$5:$P$788,MATCH("通信運搬費|S|3",月例!$S$5:$S$788,0)),"")</f>
        <v>昨年実績</v>
      </c>
      <c r="F8" s="825">
        <f>IFERROR(INDEX(月例!$A$5:$A$788,MATCH("委託費|S|3",月例!$S$5:$S$788,0)),"")</f>
        <v>46162</v>
      </c>
      <c r="G8" s="826" t="str">
        <f>IFERROR(INDEX(月例!$E$5:$E$788,MATCH("委託費|S|3",月例!$S$5:$S$788,0)),"")</f>
        <v>社会保障等制度　中間サーバー等運営負担金</v>
      </c>
      <c r="H8" s="827">
        <f>IFERROR(INDEX(月例!$H$5:$H$788,MATCH("委託費|S|3",月例!$S$5:$S$788,0)),"")</f>
        <v>1798068</v>
      </c>
      <c r="I8" s="828">
        <f>IF(H8="","",I7-H8)</f>
        <v>8595211</v>
      </c>
      <c r="J8" s="829" t="str">
        <f>IFERROR(INDEX(月例!$P$5:$P$788,MATCH("委託費|S|3",月例!$S$5:$S$788,0)),"")</f>
        <v>確認済</v>
      </c>
      <c r="K8" s="825">
        <f>IFERROR(INDEX(月例!$A$5:$A$788,MATCH("賃借料|S|3",月例!$S$5:$S$788,0)),"")</f>
        <v>46171</v>
      </c>
      <c r="L8" s="826" t="str">
        <f>IFERROR(INDEX(月例!$E$5:$E$788,MATCH("賃借料|S|3",月例!$S$5:$S$788,0)),"")</f>
        <v>基幹システム用機器賃借料　4月分（短期）</v>
      </c>
      <c r="M8" s="827">
        <f>IFERROR(INDEX(月例!$H$5:$H$788,MATCH("賃借料|S|3",月例!$S$5:$S$788,0)),"")</f>
        <v>672934</v>
      </c>
      <c r="N8" s="828">
        <f>IF(M8="","",N7-M8)</f>
        <v>7750268</v>
      </c>
      <c r="O8" s="829" t="str">
        <f>IFERROR(INDEX(月例!$P$5:$P$788,MATCH("賃借料|S|3",月例!$S$5:$S$788,0)),"")</f>
        <v>確認済</v>
      </c>
      <c r="P8" s="825">
        <f>IFERROR(INDEX(月例!$A$5:$A$788,MATCH("事務用消耗品費|S|3",月例!$S$5:$S$788,0)),"")</f>
        <v>46171</v>
      </c>
      <c r="Q8" s="826" t="str">
        <f>IFERROR(INDEX(月例!$E$5:$E$788,MATCH("事務用消耗品費|S|3",月例!$S$5:$S$788,0)),"")</f>
        <v>ラベル用紙　LBP-F7656-100N　２冊　他</v>
      </c>
      <c r="R8" s="827">
        <f>IFERROR(INDEX(月例!$H$5:$H$788,MATCH("事務用消耗品費|S|3",月例!$S$5:$S$788,0)),"")</f>
        <v>43890</v>
      </c>
      <c r="S8" s="828">
        <f>IF(R8="","",S7-R8)</f>
        <v>1448221</v>
      </c>
      <c r="T8" s="829" t="str">
        <f>IFERROR(INDEX(月例!$P$5:$P$788,MATCH("事務用消耗品費|S|3",月例!$S$5:$S$788,0)),"")</f>
        <v>確認済</v>
      </c>
    </row>
    <row r="9" ht="23.1" customHeight="1" s="186">
      <c r="A9" s="825">
        <f>IFERROR(INDEX(月例!$A$5:$A$788,MATCH("通信運搬費|S|4",月例!$S$5:$S$788,0)),"")</f>
        <v>43980</v>
      </c>
      <c r="B9" s="826" t="str">
        <f>IFERROR(INDEX(月例!$E$5:$E$788,MATCH("通信運搬費|S|4",月例!$S$5:$S$788,0)),"")</f>
        <v>メール便（４月分）</v>
      </c>
      <c r="C9" s="827">
        <f>IFERROR(INDEX(月例!$H$5:$H$788,MATCH("通信運搬費|S|4",月例!$S$5:$S$788,0)),"")</f>
        <v>6636</v>
      </c>
      <c r="D9" s="828">
        <f>IF(C9="","",D8-C9)</f>
        <v>791468</v>
      </c>
      <c r="E9" s="829" t="str">
        <f>IFERROR(INDEX(月例!$P$5:$P$788,MATCH("通信運搬費|S|4",月例!$S$5:$S$788,0)),"")</f>
        <v>昨年実績</v>
      </c>
      <c r="F9" s="825">
        <f>IFERROR(INDEX(月例!$A$5:$A$788,MATCH("委託費|S|4",月例!$S$5:$S$788,0)),"")</f>
        <v>46162</v>
      </c>
      <c r="G9" s="826" t="str">
        <f>IFERROR(INDEX(月例!$E$5:$E$788,MATCH("委託費|S|4",月例!$S$5:$S$788,0)),"")</f>
        <v>レセプト電子データ提供料（２月診療分）</v>
      </c>
      <c r="H9" s="827">
        <f>IFERROR(INDEX(月例!$H$5:$H$788,MATCH("委託費|S|4",月例!$S$5:$S$788,0)),"")</f>
        <v>61859</v>
      </c>
      <c r="I9" s="828">
        <f>IF(H9="","",I8-H9)</f>
        <v>8533352</v>
      </c>
      <c r="J9" s="829" t="str">
        <f>IFERROR(INDEX(月例!$P$5:$P$788,MATCH("委託費|S|4",月例!$S$5:$S$788,0)),"")</f>
        <v>確認済</v>
      </c>
      <c r="K9" s="825">
        <f>IFERROR(INDEX(月例!$A$5:$A$788,MATCH("賃借料|S|4",月例!$S$5:$S$788,0)),"")</f>
        <v>46202</v>
      </c>
      <c r="L9" s="826" t="str">
        <f>IFERROR(INDEX(月例!$E$5:$E$788,MATCH("賃借料|S|4",月例!$S$5:$S$788,0)),"")</f>
        <v>パソコン（業務経理用）５月分</v>
      </c>
      <c r="M9" s="827">
        <f>IFERROR(INDEX(月例!$H$5:$H$788,MATCH("賃借料|S|4",月例!$S$5:$S$788,0)),"")</f>
        <v>5060</v>
      </c>
      <c r="N9" s="828">
        <f>IF(M9="","",N8-M9)</f>
        <v>7745208</v>
      </c>
      <c r="O9" s="829" t="str">
        <f>IFERROR(INDEX(月例!$P$5:$P$788,MATCH("賃借料|S|4",月例!$S$5:$S$788,0)),"")</f>
        <v>確認済</v>
      </c>
      <c r="P9" s="825">
        <f>IFERROR(INDEX(月例!$A$5:$A$788,MATCH("事務用消耗品費|S|4",月例!$S$5:$S$788,0)),"")</f>
        <v>46171</v>
      </c>
      <c r="Q9" s="826" t="str">
        <f>IFERROR(INDEX(月例!$E$5:$E$788,MATCH("事務用消耗品費|S|4",月例!$S$5:$S$788,0)),"")</f>
        <v>ダイヤルロック　UNK-02 7個　他</v>
      </c>
      <c r="R9" s="827">
        <f>IFERROR(INDEX(月例!$H$5:$H$788,MATCH("事務用消耗品費|S|4",月例!$S$5:$S$788,0)),"")</f>
        <v>14518</v>
      </c>
      <c r="S9" s="828">
        <f>IF(R9="","",S8-R9)</f>
        <v>1433703</v>
      </c>
      <c r="T9" s="829" t="str">
        <f>IFERROR(INDEX(月例!$P$5:$P$788,MATCH("事務用消耗品費|S|4",月例!$S$5:$S$788,0)),"")</f>
        <v>確認済</v>
      </c>
    </row>
    <row r="10" ht="23.1" customHeight="1" s="186">
      <c r="A10" s="825">
        <f>IFERROR(INDEX(月例!$A$5:$A$788,MATCH("通信運搬費|S|5",月例!$S$5:$S$788,0)),"")</f>
        <v>45077</v>
      </c>
      <c r="B10" s="826" t="str">
        <f>IFERROR(INDEX(月例!$E$5:$E$788,MATCH("通信運搬費|S|5",月例!$S$5:$S$788,0)),"")</f>
        <v>メール便（任継者宛厚生だより４月分）</v>
      </c>
      <c r="C10" s="827">
        <f>IFERROR(INDEX(月例!$H$5:$H$788,MATCH("通信運搬費|S|5",月例!$S$5:$S$788,0)),"")</f>
        <v>17220</v>
      </c>
      <c r="D10" s="828">
        <f>IF(C10="","",D9-C10)</f>
        <v>774248</v>
      </c>
      <c r="E10" s="829" t="str">
        <f>IFERROR(INDEX(月例!$P$5:$P$788,MATCH("通信運搬費|S|5",月例!$S$5:$S$788,0)),"")</f>
        <v>昨年実績</v>
      </c>
      <c r="F10" s="825">
        <f>IFERROR(INDEX(月例!$A$5:$A$788,MATCH("委託費|S|5",月例!$S$5:$S$788,0)),"")</f>
        <v>45065</v>
      </c>
      <c r="G10" s="826" t="str">
        <f>IFERROR(INDEX(月例!$E$5:$E$788,MATCH("委託費|S|5",月例!$S$5:$S$788,0)),"")</f>
        <v>社会保障等制度　中間サーバー等運営負担金</v>
      </c>
      <c r="H10" s="827">
        <f>IFERROR(INDEX(月例!$H$5:$H$788,MATCH("委託費|S|5",月例!$S$5:$S$788,0)),"")</f>
        <v>661740</v>
      </c>
      <c r="I10" s="828">
        <f>IF(H10="","",I9-H10)</f>
        <v>7871612</v>
      </c>
      <c r="J10" s="829" t="str">
        <f>IFERROR(INDEX(月例!$P$5:$P$788,MATCH("委託費|S|5",月例!$S$5:$S$788,0)),"")</f>
        <v>昨年実績</v>
      </c>
      <c r="K10" s="825">
        <f>IFERROR(INDEX(月例!$A$5:$A$788,MATCH("賃借料|S|5",月例!$S$5:$S$788,0)),"")</f>
        <v>44392</v>
      </c>
      <c r="L10" s="826" t="str">
        <f>IFERROR(INDEX(月例!$E$5:$E$788,MATCH("賃借料|S|5",月例!$S$5:$S$788,0)),"")</f>
        <v>ﾊﾟｿｺﾝｳｨﾙｽ対策ｿﾌﾄ(業務用)ｻﾝﾈｯﾄ（5月分）</v>
      </c>
      <c r="M10" s="827">
        <f>IFERROR(INDEX(月例!$H$5:$H$788,MATCH("賃借料|S|5",月例!$S$5:$S$788,0)),"")</f>
        <v>2090</v>
      </c>
      <c r="N10" s="828">
        <f>IF(M10="","",N9-M10)</f>
        <v>7743118</v>
      </c>
      <c r="O10" s="829" t="str">
        <f>IFERROR(INDEX(月例!$P$5:$P$788,MATCH("賃借料|S|5",月例!$S$5:$S$788,0)),"")</f>
        <v>昨年実績</v>
      </c>
      <c r="P10" s="825">
        <f>IFERROR(INDEX(月例!$A$5:$A$788,MATCH("事務用消耗品費|S|5",月例!$S$5:$S$788,0)),"")</f>
        <v>45807</v>
      </c>
      <c r="Q10" s="826" t="str">
        <f>IFERROR(INDEX(月例!$E$5:$E$788,MATCH("事務用消耗品費|S|5",月例!$S$5:$S$788,0)),"")</f>
        <v>ポストイット　５００１SS-K　2個　他</v>
      </c>
      <c r="R10" s="827">
        <f>IFERROR(INDEX(月例!$H$5:$H$788,MATCH("事務用消耗品費|S|5",月例!$S$5:$S$788,0)),"")</f>
        <v>19730</v>
      </c>
      <c r="S10" s="828">
        <f>IF(R10="","",S9-R10)</f>
        <v>1413973</v>
      </c>
      <c r="T10" s="829" t="str">
        <f>IFERROR(INDEX(月例!$P$5:$P$788,MATCH("事務用消耗品費|S|5",月例!$S$5:$S$788,0)),"")</f>
        <v>昨年実績</v>
      </c>
    </row>
    <row r="11" ht="23.1" customHeight="1" s="186" thickBot="1">
      <c r="A11" s="825">
        <f>IFERROR(INDEX(月例!$A$5:$A$788,MATCH("通信運搬費|S|6",月例!$S$5:$S$788,0)),"")</f>
        <v>45810</v>
      </c>
      <c r="B11" s="826" t="str">
        <f>IFERROR(INDEX(月例!$E$5:$E$788,MATCH("通信運搬費|S|6",月例!$S$5:$S$788,0)),"")</f>
        <v>フレッツ光ネクスト利用料等（４月利用・５月請求分）</v>
      </c>
      <c r="C11" s="827">
        <f>IFERROR(INDEX(月例!$H$5:$H$788,MATCH("通信運搬費|S|6",月例!$S$5:$S$788,0)),"")</f>
        <v>5126</v>
      </c>
      <c r="D11" s="828">
        <f>IF(C11="","",D10-C11)</f>
        <v>769122</v>
      </c>
      <c r="E11" s="829" t="str">
        <f>IFERROR(INDEX(月例!$P$5:$P$788,MATCH("通信運搬費|S|6",月例!$S$5:$S$788,0)),"")</f>
        <v>昨年実績</v>
      </c>
      <c r="F11" s="825">
        <f>IFERROR(INDEX(月例!$A$5:$A$788,MATCH("委託費|S|6",月例!$S$5:$S$788,0)),"")</f>
        <v>44347</v>
      </c>
      <c r="G11" s="826" t="str">
        <f>IFERROR(INDEX(月例!$E$5:$E$788,MATCH("委託費|S|6",月例!$S$5:$S$788,0)),"")</f>
        <v>短期給付個人番号管理システム端末保守サービス（４月分）</v>
      </c>
      <c r="H11" s="827">
        <f>IFERROR(INDEX(月例!$H$5:$H$788,MATCH("委託費|S|6",月例!$S$5:$S$788,0)),"")</f>
        <v>385</v>
      </c>
      <c r="I11" s="828">
        <f>IF(H11="","",I10-H11)</f>
        <v>7871227</v>
      </c>
      <c r="J11" s="829" t="str">
        <f>IFERROR(INDEX(月例!$P$5:$P$788,MATCH("委託費|S|6",月例!$S$5:$S$788,0)),"")</f>
        <v>昨年実績</v>
      </c>
      <c r="K11" s="825">
        <f>IFERROR(INDEX(月例!$A$5:$A$788,MATCH("賃借料|S|6",月例!$S$5:$S$788,0)),"")</f>
        <v>46202</v>
      </c>
      <c r="L11" s="826" t="str">
        <f>IFERROR(INDEX(月例!$E$5:$E$788,MATCH("賃借料|S|6",月例!$S$5:$S$788,0)),"")</f>
        <v>基幹システム用機器賃借料　5月分（短期）</v>
      </c>
      <c r="M11" s="827">
        <f>IFERROR(INDEX(月例!$H$5:$H$788,MATCH("賃借料|S|6",月例!$S$5:$S$788,0)),"")</f>
        <v>672934</v>
      </c>
      <c r="N11" s="828">
        <f>IF(M11="","",N10-M11)</f>
        <v>7070184</v>
      </c>
      <c r="O11" s="829" t="str">
        <f>IFERROR(INDEX(月例!$P$5:$P$788,MATCH("賃借料|S|6",月例!$S$5:$S$788,0)),"")</f>
        <v>確認済</v>
      </c>
      <c r="P11" s="825">
        <f>IFERROR(INDEX(月例!$A$5:$A$788,MATCH("事務用消耗品費|S|6",月例!$S$5:$S$788,0)),"")</f>
        <v>45412</v>
      </c>
      <c r="Q11" s="826" t="str">
        <f>IFERROR(INDEX(月例!$E$5:$E$788,MATCH("事務用消耗品費|S|6",月例!$S$5:$S$788,0)),"")</f>
        <v>令和６年度基幹ウイルス対策ソフト（ミツイワ株式会社）</v>
      </c>
      <c r="R11" s="827">
        <f>IFERROR(INDEX(月例!$H$5:$H$788,MATCH("事務用消耗品費|S|6",月例!$S$5:$S$788,0)),"")</f>
        <v>21450</v>
      </c>
      <c r="S11" s="828">
        <f>IF(R11="","",S10-R11)</f>
        <v>1392523</v>
      </c>
      <c r="T11" s="829" t="str">
        <f>IFERROR(INDEX(月例!$P$5:$P$788,MATCH("事務用消耗品費|S|6",月例!$S$5:$S$788,0)),"")</f>
        <v>昨年実績</v>
      </c>
    </row>
    <row r="12" ht="23.1" customHeight="1" s="186" thickBot="1">
      <c r="A12" s="825">
        <f>IFERROR(INDEX(月例!$A$5:$A$788,MATCH("通信運搬費|S|7",月例!$S$5:$S$788,0)),"")</f>
        <v>46174</v>
      </c>
      <c r="B12" s="826" t="str">
        <f>IFERROR(INDEX(月例!$E$5:$E$788,MATCH("通信運搬費|S|7",月例!$S$5:$S$788,0)),"")</f>
        <v>インターネット通信料金（３月、４月使用・５月請求分）</v>
      </c>
      <c r="C12" s="827">
        <f>IFERROR(INDEX(月例!$H$5:$H$788,MATCH("通信運搬費|S|7",月例!$S$5:$S$788,0)),"")</f>
        <v>3663</v>
      </c>
      <c r="D12" s="828">
        <f>IF(C12="","",D11-C12)</f>
        <v>765459</v>
      </c>
      <c r="E12" s="829" t="str">
        <f>IFERROR(INDEX(月例!$P$5:$P$788,MATCH("通信運搬費|S|7",月例!$S$5:$S$788,0)),"")</f>
        <v>確認済</v>
      </c>
      <c r="F12" s="825">
        <f>IFERROR(INDEX(月例!$A$5:$A$788,MATCH("委託費|S|7",月例!$S$5:$S$788,0)),"")</f>
        <v>46162</v>
      </c>
      <c r="G12" s="826" t="str">
        <f>IFERROR(INDEX(月例!$E$5:$E$788,MATCH("委託費|S|7",月例!$S$5:$S$788,0)),"")</f>
        <v>統合管理端末保守料（４月～３月分）</v>
      </c>
      <c r="H12" s="827">
        <f>IFERROR(INDEX(月例!$H$5:$H$788,MATCH("委託費|S|7",月例!$S$5:$S$788,0)),"")</f>
        <v>149050</v>
      </c>
      <c r="I12" s="828">
        <f>IF(H12="","",I11-H12)</f>
        <v>7722177</v>
      </c>
      <c r="J12" s="829" t="str">
        <f>IFERROR(INDEX(月例!$P$5:$P$788,MATCH("委託費|S|7",月例!$S$5:$S$788,0)),"")</f>
        <v>確認済</v>
      </c>
      <c r="K12" s="825">
        <f>IFERROR(INDEX(月例!$A$5:$A$788,MATCH("賃借料|S|7",月例!$S$5:$S$788,0)),"")</f>
        <v>46203</v>
      </c>
      <c r="L12" s="826" t="str">
        <f>IFERROR(INDEX(月例!$E$5:$E$788,MATCH("賃借料|S|7",月例!$S$5:$S$788,0)),"")</f>
        <v>統合管理端末リース料（５月分）</v>
      </c>
      <c r="M12" s="827">
        <f>IFERROR(INDEX(月例!$H$5:$H$788,MATCH("賃借料|S|7",月例!$S$5:$S$788,0)),"")</f>
        <v>12738</v>
      </c>
      <c r="N12" s="828">
        <f>IF(M12="","",N11-M12)</f>
        <v>7057446</v>
      </c>
      <c r="O12" s="829" t="str">
        <f>IFERROR(INDEX(月例!$P$5:$P$788,MATCH("賃借料|S|7",月例!$S$5:$S$788,0)),"")</f>
        <v>確認済</v>
      </c>
      <c r="P12" s="825">
        <f>IFERROR(INDEX(月例!$A$5:$A$788,MATCH("事務用消耗品費|S|7",月例!$S$5:$S$788,0)),"")</f>
        <v>45443</v>
      </c>
      <c r="Q12" s="826" t="str">
        <f>IFERROR(INDEX(月例!$E$5:$E$788,MATCH("事務用消耗品費|S|7",月例!$S$5:$S$788,0)),"")</f>
        <v>保存ボックス　4370　50個</v>
      </c>
      <c r="R12" s="827">
        <f>IFERROR(INDEX(月例!$H$5:$H$788,MATCH("事務用消耗品費|S|7",月例!$S$5:$S$788,0)),"")</f>
        <v>29650</v>
      </c>
      <c r="S12" s="828">
        <f>IF(R12="","",S11-R12)</f>
        <v>1362873</v>
      </c>
      <c r="T12" s="829" t="str">
        <f>IFERROR(INDEX(月例!$P$5:$P$788,MATCH("事務用消耗品費|S|7",月例!$S$5:$S$788,0)),"")</f>
        <v>昨年実績</v>
      </c>
    </row>
    <row r="13" ht="23.1" customHeight="1" s="186">
      <c r="A13" s="825">
        <f>IFERROR(INDEX(月例!$A$5:$A$788,MATCH("通信運搬費|S|8",月例!$S$5:$S$788,0)),"")</f>
        <v>46171</v>
      </c>
      <c r="B13" s="826" t="str">
        <f>IFERROR(INDEX(月例!$E$5:$E$788,MATCH("通信運搬費|S|8",月例!$S$5:$S$788,0)),"")</f>
        <v>料金後納利用料（4月分）</v>
      </c>
      <c r="C13" s="827">
        <f>IFERROR(INDEX(月例!$H$5:$H$788,MATCH("通信運搬費|S|8",月例!$S$5:$S$788,0)),"")</f>
        <v>196030</v>
      </c>
      <c r="D13" s="828">
        <f>IF(C13="","",D12-C13)</f>
        <v>569429</v>
      </c>
      <c r="E13" s="829" t="str">
        <f>IFERROR(INDEX(月例!$P$5:$P$788,MATCH("通信運搬費|S|8",月例!$S$5:$S$788,0)),"")</f>
        <v>確認済</v>
      </c>
      <c r="F13" s="825">
        <f>IFERROR(INDEX(月例!$A$5:$A$788,MATCH("委託費|S|8",月例!$S$5:$S$788,0)),"")</f>
        <v>46171</v>
      </c>
      <c r="G13" s="826" t="str">
        <f>IFERROR(INDEX(月例!$E$5:$E$788,MATCH("委託費|S|8",月例!$S$5:$S$788,0)),"")</f>
        <v>柔整等療養費支給申請書の入力（４月分）</v>
      </c>
      <c r="H13" s="827">
        <f>IFERROR(INDEX(月例!$H$5:$H$788,MATCH("委託費|S|8",月例!$S$5:$S$788,0)),"")</f>
        <v>137918</v>
      </c>
      <c r="I13" s="828">
        <f>IF(H13="","",I12-H13)</f>
        <v>7584259</v>
      </c>
      <c r="J13" s="829" t="str">
        <f>IFERROR(INDEX(月例!$P$5:$P$788,MATCH("委託費|S|8",月例!$S$5:$S$788,0)),"")</f>
        <v>確認済</v>
      </c>
      <c r="K13" s="825">
        <f>IFERROR(INDEX(月例!$A$5:$A$788,MATCH("賃借料|S|8",月例!$S$5:$S$788,0)),"")</f>
        <v>43644</v>
      </c>
      <c r="L13" s="826" t="str">
        <f>IFERROR(INDEX(月例!$E$5:$E$788,MATCH("賃借料|S|8",月例!$S$5:$S$788,0)),"")</f>
        <v>基幹システム（短期）用機器リース料５月分</v>
      </c>
      <c r="M13" s="827">
        <f>IFERROR(INDEX(月例!$H$5:$H$788,MATCH("賃借料|S|8",月例!$S$5:$S$788,0)),"")</f>
        <v>193676</v>
      </c>
      <c r="N13" s="828">
        <f>IF(M13="","",N12-M13)</f>
        <v>6863770</v>
      </c>
      <c r="O13" s="829" t="str">
        <f>IFERROR(INDEX(月例!$P$5:$P$788,MATCH("賃借料|S|8",月例!$S$5:$S$788,0)),"")</f>
        <v>昨年実績</v>
      </c>
      <c r="P13" s="825">
        <f>IFERROR(INDEX(月例!$A$5:$A$788,MATCH("事務用消耗品費|S|8",月例!$S$5:$S$788,0)),"")</f>
        <v>46203</v>
      </c>
      <c r="Q13" s="826" t="str">
        <f>IFERROR(INDEX(月例!$E$5:$E$788,MATCH("事務用消耗品費|S|8",月例!$S$5:$S$788,0)),"")</f>
        <v>鋳造ゴム印　3号以下　51字　他5点</v>
      </c>
      <c r="R13" s="827">
        <f>IFERROR(INDEX(月例!$H$5:$H$788,MATCH("事務用消耗品費|S|8",月例!$S$5:$S$788,0)),"")</f>
        <v>24508</v>
      </c>
      <c r="S13" s="828">
        <f>IF(R13="","",S12-R13)</f>
        <v>1338365</v>
      </c>
      <c r="T13" s="829" t="str">
        <f>IFERROR(INDEX(月例!$P$5:$P$788,MATCH("事務用消耗品費|S|8",月例!$S$5:$S$788,0)),"")</f>
        <v>確認済</v>
      </c>
    </row>
    <row r="14" ht="22.5" customHeight="1" s="186">
      <c r="A14" s="825">
        <f>IFERROR(INDEX(月例!$A$5:$A$788,MATCH("通信運搬費|S|9",月例!$S$5:$S$788,0)),"")</f>
        <v>44368</v>
      </c>
      <c r="B14" s="826" t="str">
        <f>IFERROR(INDEX(月例!$E$5:$E$788,MATCH("通信運搬費|S|9",月例!$S$5:$S$788,0)),"")</f>
        <v>電話料金（５月使用・６月請求分）</v>
      </c>
      <c r="C14" s="827">
        <f>IFERROR(INDEX(月例!$H$5:$H$788,MATCH("通信運搬費|S|9",月例!$S$5:$S$788,0)),"")</f>
        <v>5407</v>
      </c>
      <c r="D14" s="828">
        <f>IF(C14="","",D13-C14)</f>
        <v>564022</v>
      </c>
      <c r="E14" s="829" t="str">
        <f>IFERROR(INDEX(月例!$P$5:$P$788,MATCH("通信運搬費|S|9",月例!$S$5:$S$788,0)),"")</f>
        <v>昨年実績</v>
      </c>
      <c r="F14" s="825">
        <f>IFERROR(INDEX(月例!$A$5:$A$788,MATCH("委託費|S|9",月例!$S$5:$S$788,0)),"")</f>
        <v>45443</v>
      </c>
      <c r="G14" s="826" t="str">
        <f>IFERROR(INDEX(月例!$E$5:$E$788,MATCH("委託費|S|9",月例!$S$5:$S$788,0)),"")</f>
        <v>柔整等療養費支給申請書の入力（４月分）</v>
      </c>
      <c r="H14" s="827">
        <f>IFERROR(INDEX(月例!$H$5:$H$788,MATCH("委託費|S|9",月例!$S$5:$S$788,0)),"")</f>
        <v>70730</v>
      </c>
      <c r="I14" s="828">
        <f>IF(H14="","",I13-H14)</f>
        <v>7513529</v>
      </c>
      <c r="J14" s="829" t="str">
        <f>IFERROR(INDEX(月例!$P$5:$P$788,MATCH("委託費|S|9",月例!$S$5:$S$788,0)),"")</f>
        <v>昨年実績</v>
      </c>
      <c r="K14" s="825">
        <f>IFERROR(INDEX(月例!$A$5:$A$788,MATCH("賃借料|S|9",月例!$S$5:$S$788,0)),"")</f>
        <v>46232</v>
      </c>
      <c r="L14" s="826" t="str">
        <f>IFERROR(INDEX(月例!$E$5:$E$788,MATCH("賃借料|S|9",月例!$S$5:$S$788,0)),"")</f>
        <v>基幹システム用機器賃借料　6月分（短期）</v>
      </c>
      <c r="M14" s="827">
        <f>IFERROR(INDEX(月例!$H$5:$H$788,MATCH("賃借料|S|9",月例!$S$5:$S$788,0)),"")</f>
        <v>672934</v>
      </c>
      <c r="N14" s="828">
        <f>IF(M14="","",N13-M14)</f>
        <v>6190836</v>
      </c>
      <c r="O14" s="829" t="str">
        <f>IFERROR(INDEX(月例!$P$5:$P$788,MATCH("賃借料|S|9",月例!$S$5:$S$788,0)),"")</f>
        <v>確認済</v>
      </c>
      <c r="P14" s="825">
        <f>IFERROR(INDEX(月例!$A$5:$A$788,MATCH("事務用消耗品費|S|9",月例!$S$5:$S$788,0)),"")</f>
        <v>46203</v>
      </c>
      <c r="Q14" s="826" t="str">
        <f>IFERROR(INDEX(月例!$E$5:$E$788,MATCH("事務用消耗品費|S|9",月例!$S$5:$S$788,0)),"")</f>
        <v>アラビック補充用　ＥＮＡ－９６０／３本入　５箱</v>
      </c>
      <c r="R14" s="827">
        <f>IFERROR(INDEX(月例!$H$5:$H$788,MATCH("事務用消耗品費|S|9",月例!$S$5:$S$788,0)),"")</f>
        <v>13860</v>
      </c>
      <c r="S14" s="828">
        <f>IF(R14="","",S13-R14)</f>
        <v>1324505</v>
      </c>
      <c r="T14" s="829" t="str">
        <f>IFERROR(INDEX(月例!$P$5:$P$788,MATCH("事務用消耗品費|S|9",月例!$S$5:$S$788,0)),"")</f>
        <v>確認済</v>
      </c>
    </row>
    <row r="15" ht="23.25" customHeight="1" s="186" thickBot="1">
      <c r="A15" s="825">
        <f>IFERROR(INDEX(月例!$A$5:$A$788,MATCH("通信運搬費|S|10",月例!$S$5:$S$788,0)),"")</f>
        <v>45138</v>
      </c>
      <c r="B15" s="826" t="str">
        <f>IFERROR(INDEX(月例!$E$5:$E$788,MATCH("通信運搬費|S|10",月例!$S$5:$S$788,0)),"")</f>
        <v>メール便（任継者宛厚生だより５月分）</v>
      </c>
      <c r="C15" s="827">
        <f>IFERROR(INDEX(月例!$H$5:$H$788,MATCH("通信運搬費|S|10",月例!$S$5:$S$788,0)),"")</f>
        <v>19320</v>
      </c>
      <c r="D15" s="828">
        <f>IF(C15="","",D14-C15)</f>
        <v>544702</v>
      </c>
      <c r="E15" s="829" t="str">
        <f>IFERROR(INDEX(月例!$P$5:$P$788,MATCH("通信運搬費|S|10",月例!$S$5:$S$788,0)),"")</f>
        <v>昨年実績</v>
      </c>
      <c r="F15" s="825">
        <f>IFERROR(INDEX(月例!$A$5:$A$788,MATCH("委託費|S|10",月例!$S$5:$S$788,0)),"")</f>
        <v>46192</v>
      </c>
      <c r="G15" s="826" t="str">
        <f>IFERROR(INDEX(月例!$E$5:$E$788,MATCH("委託費|S|10",月例!$S$5:$S$788,0)),"")</f>
        <v>レセプト電子データ提供料（３月診療分）</v>
      </c>
      <c r="H15" s="827">
        <f>IFERROR(INDEX(月例!$H$5:$H$788,MATCH("委託費|S|10",月例!$S$5:$S$788,0)),"")</f>
        <v>66423</v>
      </c>
      <c r="I15" s="828">
        <f>IF(H15="","",I14-H15)</f>
        <v>7447106</v>
      </c>
      <c r="J15" s="829" t="str">
        <f>IFERROR(INDEX(月例!$P$5:$P$788,MATCH("委託費|S|10",月例!$S$5:$S$788,0)),"")</f>
        <v>確認済</v>
      </c>
      <c r="K15" s="825">
        <f>IFERROR(INDEX(月例!$A$5:$A$788,MATCH("賃借料|S|10",月例!$S$5:$S$788,0)),"")</f>
        <v>46232</v>
      </c>
      <c r="L15" s="826" t="str">
        <f>IFERROR(INDEX(月例!$E$5:$E$788,MATCH("賃借料|S|10",月例!$S$5:$S$788,0)),"")</f>
        <v>パソコン（業務経理用）６月分</v>
      </c>
      <c r="M15" s="827">
        <f>IFERROR(INDEX(月例!$H$5:$H$788,MATCH("賃借料|S|10",月例!$S$5:$S$788,0)),"")</f>
        <v>5060</v>
      </c>
      <c r="N15" s="828">
        <f>IF(M15="","",N14-M15)</f>
        <v>6185776</v>
      </c>
      <c r="O15" s="829" t="str">
        <f>IFERROR(INDEX(月例!$P$5:$P$788,MATCH("賃借料|S|10",月例!$S$5:$S$788,0)),"")</f>
        <v>確認済</v>
      </c>
      <c r="P15" s="825">
        <f>IFERROR(INDEX(月例!$A$5:$A$788,MATCH("事務用消耗品費|S|10",月例!$S$5:$S$788,0)),"")</f>
        <v>45838</v>
      </c>
      <c r="Q15" s="826" t="str">
        <f>IFERROR(INDEX(月例!$E$5:$E$788,MATCH("事務用消耗品費|S|10",月例!$S$5:$S$788,0)),"")</f>
        <v>のり　B765J-10/10本入　1箱　ほか</v>
      </c>
      <c r="R15" s="827">
        <f>IFERROR(INDEX(月例!$H$5:$H$788,MATCH("事務用消耗品費|S|10",月例!$S$5:$S$788,0)),"")</f>
        <v>2906</v>
      </c>
      <c r="S15" s="828">
        <f>IF(R15="","",S14-R15)</f>
        <v>1321599</v>
      </c>
      <c r="T15" s="829" t="str">
        <f>IFERROR(INDEX(月例!$P$5:$P$788,MATCH("事務用消耗品費|S|10",月例!$S$5:$S$788,0)),"")</f>
        <v>昨年実績</v>
      </c>
    </row>
    <row r="16" ht="23.1" customHeight="1" s="186">
      <c r="A16" s="825">
        <f>IFERROR(INDEX(月例!$A$5:$A$788,MATCH("通信運搬費|S|11",月例!$S$5:$S$788,0)),"")</f>
        <v>45107</v>
      </c>
      <c r="B16" s="826" t="str">
        <f>IFERROR(INDEX(月例!$E$5:$E$788,MATCH("通信運搬費|S|11",月例!$S$5:$S$788,0)),"")</f>
        <v>柔整申請書送付（５月分）</v>
      </c>
      <c r="C16" s="827">
        <f>IFERROR(INDEX(月例!$H$5:$H$788,MATCH("通信運搬費|S|11",月例!$S$5:$S$788,0)),"")</f>
        <v>1489</v>
      </c>
      <c r="D16" s="828">
        <f>IF(C16="","",D15-C16)</f>
        <v>543213</v>
      </c>
      <c r="E16" s="829" t="str">
        <f>IFERROR(INDEX(月例!$P$5:$P$788,MATCH("通信運搬費|S|11",月例!$S$5:$S$788,0)),"")</f>
        <v>昨年実績</v>
      </c>
      <c r="F16" s="825">
        <f>IFERROR(INDEX(月例!$A$5:$A$788,MATCH("委託費|S|11",月例!$S$5:$S$788,0)),"")</f>
        <v>44377</v>
      </c>
      <c r="G16" s="826" t="str">
        <f>IFERROR(INDEX(月例!$E$5:$E$788,MATCH("委託費|S|11",月例!$S$5:$S$788,0)),"")</f>
        <v>短期給付個人番号管理システム端末保守サービス（５月分）</v>
      </c>
      <c r="H16" s="827">
        <f>IFERROR(INDEX(月例!$H$5:$H$788,MATCH("委託費|S|11",月例!$S$5:$S$788,0)),"")</f>
        <v>385</v>
      </c>
      <c r="I16" s="828">
        <f>IF(H16="","",I15-H16)</f>
        <v>7446721</v>
      </c>
      <c r="J16" s="829" t="str">
        <f>IFERROR(INDEX(月例!$P$5:$P$788,MATCH("委託費|S|11",月例!$S$5:$S$788,0)),"")</f>
        <v>昨年実績</v>
      </c>
      <c r="K16" s="825">
        <f>IFERROR(INDEX(月例!$A$5:$A$788,MATCH("賃借料|S|11",月例!$S$5:$S$788,0)),"")</f>
        <v>45107</v>
      </c>
      <c r="L16" s="826" t="str">
        <f>IFERROR(INDEX(月例!$E$5:$E$788,MATCH("賃借料|S|11",月例!$S$5:$S$788,0)),"")</f>
        <v>全国共済組合事務局長会議　WEB会議用機器等</v>
      </c>
      <c r="M16" s="827">
        <f>IFERROR(INDEX(月例!$H$5:$H$788,MATCH("賃借料|S|11",月例!$S$5:$S$788,0)),"")</f>
        <v>4840</v>
      </c>
      <c r="N16" s="828">
        <f>IF(M16="","",N15-M16)</f>
        <v>6180936</v>
      </c>
      <c r="O16" s="829" t="str">
        <f>IFERROR(INDEX(月例!$P$5:$P$788,MATCH("賃借料|S|11",月例!$S$5:$S$788,0)),"")</f>
        <v>昨年実績</v>
      </c>
      <c r="P16" s="825">
        <f>IFERROR(INDEX(月例!$A$5:$A$788,MATCH("事務用消耗品費|S|11",月例!$S$5:$S$788,0)),"")</f>
        <v>44074</v>
      </c>
      <c r="Q16" s="826" t="str">
        <f>IFERROR(INDEX(月例!$E$5:$E$788,MATCH("事務用消耗品費|S|11",月例!$S$5:$S$788,0)),"")</f>
        <v>被保険者台帳ファイル　1,000部</v>
      </c>
      <c r="R16" s="827">
        <f>IFERROR(INDEX(月例!$H$5:$H$788,MATCH("事務用消耗品費|S|11",月例!$S$5:$S$788,0)),"")</f>
        <v>164780</v>
      </c>
      <c r="S16" s="828">
        <f>IF(R16="","",S15-R16)</f>
        <v>1156819</v>
      </c>
      <c r="T16" s="829" t="str">
        <f>IFERROR(INDEX(月例!$P$5:$P$788,MATCH("事務用消耗品費|S|11",月例!$S$5:$S$788,0)),"")</f>
        <v>昨年実績</v>
      </c>
    </row>
    <row r="17" ht="23.1" customHeight="1" s="186">
      <c r="A17" s="825">
        <f>IFERROR(INDEX(月例!$A$5:$A$788,MATCH("通信運搬費|S|12",月例!$S$5:$S$788,0)),"")</f>
        <v>46202</v>
      </c>
      <c r="B17" s="826" t="str">
        <f>IFERROR(INDEX(月例!$E$5:$E$788,MATCH("通信運搬費|S|12",月例!$S$5:$S$788,0)),"")</f>
        <v>料金後納利用料（５月分）</v>
      </c>
      <c r="C17" s="827">
        <f>IFERROR(INDEX(月例!$H$5:$H$788,MATCH("通信運搬費|S|12",月例!$S$5:$S$788,0)),"")</f>
        <v>32040</v>
      </c>
      <c r="D17" s="828">
        <f>IF(C17="","",D16-C17)</f>
        <v>511173</v>
      </c>
      <c r="E17" s="829" t="str">
        <f>IFERROR(INDEX(月例!$P$5:$P$788,MATCH("通信運搬費|S|12",月例!$S$5:$S$788,0)),"")</f>
        <v>確認済</v>
      </c>
      <c r="F17" s="825">
        <f>IFERROR(INDEX(月例!$A$5:$A$788,MATCH("委託費|S|12",月例!$S$5:$S$788,0)),"")</f>
        <v>43644</v>
      </c>
      <c r="G17" s="826" t="str">
        <f>IFERROR(INDEX(月例!$E$5:$E$788,MATCH("委託費|S|12",月例!$S$5:$S$788,0)),"")</f>
        <v>期間サーバーＨＤＤに係る訪問修理サービス料（短期分）</v>
      </c>
      <c r="H17" s="827">
        <f>IFERROR(INDEX(月例!$H$5:$H$788,MATCH("委託費|S|12",月例!$S$5:$S$788,0)),"")</f>
        <v>38340</v>
      </c>
      <c r="I17" s="828">
        <f>IF(H17="","",I16-H17)</f>
        <v>7408381</v>
      </c>
      <c r="J17" s="829" t="str">
        <f>IFERROR(INDEX(月例!$P$5:$P$788,MATCH("委託費|S|12",月例!$S$5:$S$788,0)),"")</f>
        <v>昨年実績</v>
      </c>
      <c r="K17" s="825">
        <f>IFERROR(INDEX(月例!$A$5:$A$788,MATCH("賃借料|S|12",月例!$S$5:$S$788,0)),"")</f>
        <v>44406</v>
      </c>
      <c r="L17" s="826" t="str">
        <f>IFERROR(INDEX(月例!$E$5:$E$788,MATCH("賃借料|S|12",月例!$S$5:$S$788,0)),"")</f>
        <v>パソコン（業務経理用）６月分</v>
      </c>
      <c r="M17" s="827">
        <f>IFERROR(INDEX(月例!$H$5:$H$788,MATCH("賃借料|S|12",月例!$S$5:$S$788,0)),"")</f>
        <v>550</v>
      </c>
      <c r="N17" s="828">
        <f>IF(M17="","",N16-M17)</f>
        <v>6180386</v>
      </c>
      <c r="O17" s="829" t="str">
        <f>IFERROR(INDEX(月例!$P$5:$P$788,MATCH("賃借料|S|12",月例!$S$5:$S$788,0)),"")</f>
        <v>昨年実績</v>
      </c>
      <c r="P17" s="825">
        <f>IFERROR(INDEX(月例!$A$5:$A$788,MATCH("事務用消耗品費|S|12",月例!$S$5:$S$788,0)),"")</f>
        <v>44834</v>
      </c>
      <c r="Q17" s="826" t="str">
        <f>IFERROR(INDEX(月例!$E$5:$E$788,MATCH("事務用消耗品費|S|12",月例!$S$5:$S$788,0)),"")</f>
        <v>組合員証カード　20,000枚</v>
      </c>
      <c r="R17" s="827">
        <f>IFERROR(INDEX(月例!$H$5:$H$788,MATCH("事務用消耗品費|S|12",月例!$S$5:$S$788,0)),"")</f>
        <v>431200</v>
      </c>
      <c r="S17" s="828">
        <f>IF(R17="","",S16-R17)</f>
        <v>725619</v>
      </c>
      <c r="T17" s="829" t="str">
        <f>IFERROR(INDEX(月例!$P$5:$P$788,MATCH("事務用消耗品費|S|12",月例!$S$5:$S$788,0)),"")</f>
        <v>昨年実績</v>
      </c>
    </row>
    <row r="18" ht="23.1" customHeight="1" s="186">
      <c r="A18" s="825">
        <f>IFERROR(INDEX(月例!$A$5:$A$788,MATCH("通信運搬費|S|13",月例!$S$5:$S$788,0)),"")</f>
        <v>46203</v>
      </c>
      <c r="B18" s="826" t="str">
        <f>IFERROR(INDEX(月例!$E$5:$E$788,MATCH("通信運搬費|S|13",月例!$S$5:$S$788,0)),"")</f>
        <v>フレッツ光ネクスト利用料等（４月・５月利用・６月請求分）</v>
      </c>
      <c r="C18" s="827">
        <f>IFERROR(INDEX(月例!$H$5:$H$788,MATCH("通信運搬費|S|13",月例!$S$5:$S$788,0)),"")</f>
        <v>13090</v>
      </c>
      <c r="D18" s="828">
        <f>IF(C18="","",D17-C18)</f>
        <v>498083</v>
      </c>
      <c r="E18" s="829" t="str">
        <f>IFERROR(INDEX(月例!$P$5:$P$788,MATCH("通信運搬費|S|13",月例!$S$5:$S$788,0)),"")</f>
        <v>確認済</v>
      </c>
      <c r="F18" s="825">
        <f>IFERROR(INDEX(月例!$A$5:$A$788,MATCH("委託費|S|13",月例!$S$5:$S$788,0)),"")</f>
        <v>45469</v>
      </c>
      <c r="G18" s="826" t="str">
        <f>IFERROR(INDEX(月例!$E$5:$E$788,MATCH("委託費|S|13",月例!$S$5:$S$788,0)),"")</f>
        <v>統合管理端末保守料（４月～３月分）</v>
      </c>
      <c r="H18" s="827">
        <f>IFERROR(INDEX(月例!$H$5:$H$788,MATCH("委託費|S|13",月例!$S$5:$S$788,0)),"")</f>
        <v>149050</v>
      </c>
      <c r="I18" s="828">
        <f>IF(H18="","",I17-H18)</f>
        <v>7259331</v>
      </c>
      <c r="J18" s="829" t="str">
        <f>IFERROR(INDEX(月例!$P$5:$P$788,MATCH("委託費|S|13",月例!$S$5:$S$788,0)),"")</f>
        <v>昨年実績</v>
      </c>
      <c r="K18" s="825">
        <f>IFERROR(INDEX(月例!$A$5:$A$788,MATCH("賃借料|S|13",月例!$S$5:$S$788,0)),"")</f>
        <v>44406</v>
      </c>
      <c r="L18" s="826" t="str">
        <f>IFERROR(INDEX(月例!$E$5:$E$788,MATCH("賃借料|S|13",月例!$S$5:$S$788,0)),"")</f>
        <v>ﾊﾟｿｺﾝｳｨﾙｽ対策ｿﾌﾄ(業務用)ｻﾝﾈｯﾄ（6月分）</v>
      </c>
      <c r="M18" s="827">
        <f>IFERROR(INDEX(月例!$H$5:$H$788,MATCH("賃借料|S|13",月例!$S$5:$S$788,0)),"")</f>
        <v>2090</v>
      </c>
      <c r="N18" s="828">
        <f>IF(M18="","",N17-M18)</f>
        <v>6178296</v>
      </c>
      <c r="O18" s="829" t="str">
        <f>IFERROR(INDEX(月例!$P$5:$P$788,MATCH("賃借料|S|13",月例!$S$5:$S$788,0)),"")</f>
        <v>昨年実績</v>
      </c>
      <c r="P18" s="825">
        <f>IFERROR(INDEX(月例!$A$5:$A$788,MATCH("事務用消耗品費|S|13",月例!$S$5:$S$788,0)),"")</f>
        <v>45869</v>
      </c>
      <c r="Q18" s="826" t="str">
        <f>IFERROR(INDEX(月例!$E$5:$E$788,MATCH("事務用消耗品費|S|13",月例!$S$5:$S$788,0)),"")</f>
        <v>マチ付きホルダー　YG－１４／１０枚入　４０パック　ほか</v>
      </c>
      <c r="R18" s="827">
        <f>IFERROR(INDEX(月例!$H$5:$H$788,MATCH("事務用消耗品費|S|13",月例!$S$5:$S$788,0)),"")</f>
        <v>43080</v>
      </c>
      <c r="S18" s="828">
        <f>IF(R18="","",S17-R18)</f>
        <v>682539</v>
      </c>
      <c r="T18" s="829" t="str">
        <f>IFERROR(INDEX(月例!$P$5:$P$788,MATCH("事務用消耗品費|S|13",月例!$S$5:$S$788,0)),"")</f>
        <v>昨年実績</v>
      </c>
    </row>
    <row r="19" ht="23.1" customHeight="1" s="186">
      <c r="A19" s="825">
        <f>IFERROR(INDEX(月例!$A$5:$A$788,MATCH("通信運搬費|S|14",月例!$S$5:$S$788,0)),"")</f>
        <v>45033</v>
      </c>
      <c r="B19" s="826" t="str">
        <f>IFERROR(INDEX(月例!$E$5:$E$788,MATCH("通信運搬費|S|14",月例!$S$5:$S$788,0)),"")</f>
        <v>切手</v>
      </c>
      <c r="C19" s="827">
        <f>IFERROR(INDEX(月例!$H$5:$H$788,MATCH("通信運搬費|S|14",月例!$S$5:$S$788,0)),"")</f>
        <v>479000</v>
      </c>
      <c r="D19" s="828">
        <f>IF(C19="","",D18-C19)</f>
        <v>19083</v>
      </c>
      <c r="E19" s="829" t="str">
        <f>IFERROR(INDEX(月例!$P$5:$P$788,MATCH("通信運搬費|S|14",月例!$S$5:$S$788,0)),"")</f>
        <v>昨年実績</v>
      </c>
      <c r="F19" s="825">
        <f>IFERROR(INDEX(月例!$A$5:$A$788,MATCH("委託費|S|14",月例!$S$5:$S$788,0)),"")</f>
        <v>46203</v>
      </c>
      <c r="G19" s="826" t="str">
        <f>IFERROR(INDEX(月例!$E$5:$E$788,MATCH("委託費|S|14",月例!$S$5:$S$788,0)),"")</f>
        <v>柔整等療養費支給申請書の入力（５月分）</v>
      </c>
      <c r="H19" s="827">
        <f>IFERROR(INDEX(月例!$H$5:$H$788,MATCH("委託費|S|14",月例!$S$5:$S$788,0)),"")</f>
        <v>122222</v>
      </c>
      <c r="I19" s="828">
        <f>IF(H19="","",I18-H19)</f>
        <v>7137109</v>
      </c>
      <c r="J19" s="829" t="str">
        <f>IFERROR(INDEX(月例!$P$5:$P$788,MATCH("委託費|S|14",月例!$S$5:$S$788,0)),"")</f>
        <v>確認済</v>
      </c>
      <c r="K19" s="825">
        <f>IFERROR(INDEX(月例!$A$5:$A$788,MATCH("賃借料|S|14",月例!$S$5:$S$788,0)),"")</f>
        <v>43677</v>
      </c>
      <c r="L19" s="826" t="str">
        <f>IFERROR(INDEX(月例!$E$5:$E$788,MATCH("賃借料|S|14",月例!$S$5:$S$788,0)),"")</f>
        <v>基幹システム（短期）用機器リース料６月分</v>
      </c>
      <c r="M19" s="827">
        <f>IFERROR(INDEX(月例!$H$5:$H$788,MATCH("賃借料|S|14",月例!$S$5:$S$788,0)),"")</f>
        <v>193676</v>
      </c>
      <c r="N19" s="828">
        <f>IF(M19="","",N18-M19)</f>
        <v>5984620</v>
      </c>
      <c r="O19" s="829" t="str">
        <f>IFERROR(INDEX(月例!$P$5:$P$788,MATCH("賃借料|S|14",月例!$S$5:$S$788,0)),"")</f>
        <v>昨年実績</v>
      </c>
      <c r="P19" s="825">
        <f>IFERROR(INDEX(月例!$A$5:$A$788,MATCH("事務用消耗品費|S|14",月例!$S$5:$S$788,0)),"")</f>
        <v>45504</v>
      </c>
      <c r="Q19" s="826" t="str">
        <f>IFERROR(INDEX(月例!$E$5:$E$788,MATCH("事務用消耗品費|S|14",月例!$S$5:$S$788,0)),"")</f>
        <v>ホッチキス針　１０－１M　20個入　2箱ほか</v>
      </c>
      <c r="R19" s="827">
        <f>IFERROR(INDEX(月例!$H$5:$H$788,MATCH("事務用消耗品費|S|14",月例!$S$5:$S$788,0)),"")</f>
        <v>26557</v>
      </c>
      <c r="S19" s="828">
        <f>IF(R19="","",S18-R19)</f>
        <v>655982</v>
      </c>
      <c r="T19" s="829" t="str">
        <f>IFERROR(INDEX(月例!$P$5:$P$788,MATCH("事務用消耗品費|S|14",月例!$S$5:$S$788,0)),"")</f>
        <v>昨年実績</v>
      </c>
    </row>
    <row r="20" ht="23.1" customHeight="1" s="186">
      <c r="A20" s="825">
        <f>IFERROR(INDEX(月例!$A$5:$A$788,MATCH("通信運搬費|S|15",月例!$S$5:$S$788,0)),"")</f>
        <v>44397</v>
      </c>
      <c r="B20" s="826" t="str">
        <f>IFERROR(INDEX(月例!$E$5:$E$788,MATCH("通信運搬費|S|15",月例!$S$5:$S$788,0)),"")</f>
        <v>電話料金（６月使用・７月請求分）</v>
      </c>
      <c r="C20" s="827">
        <f>IFERROR(INDEX(月例!$H$5:$H$788,MATCH("通信運搬費|S|15",月例!$S$5:$S$788,0)),"")</f>
        <v>5407</v>
      </c>
      <c r="D20" s="828">
        <f>IF(C20="","",D19-C20)</f>
        <v>13676</v>
      </c>
      <c r="E20" s="829" t="str">
        <f>IFERROR(INDEX(月例!$P$5:$P$788,MATCH("通信運搬費|S|15",月例!$S$5:$S$788,0)),"")</f>
        <v>昨年実績</v>
      </c>
      <c r="F20" s="825">
        <f>IFERROR(INDEX(月例!$A$5:$A$788,MATCH("委託費|S|15",月例!$S$5:$S$788,0)),"")</f>
        <v>46224</v>
      </c>
      <c r="G20" s="826" t="str">
        <f>IFERROR(INDEX(月例!$E$5:$E$788,MATCH("委託費|S|15",月例!$S$5:$S$788,0)),"")</f>
        <v>レセプト電子データ提供料（４月診療分）</v>
      </c>
      <c r="H20" s="827">
        <f>IFERROR(INDEX(月例!$H$5:$H$788,MATCH("委託費|S|15",月例!$S$5:$S$788,0)),"")</f>
        <v>56808</v>
      </c>
      <c r="I20" s="828">
        <f>IF(H20="","",I19-H20)</f>
        <v>7080301</v>
      </c>
      <c r="J20" s="829" t="str">
        <f>IFERROR(INDEX(月例!$P$5:$P$788,MATCH("委託費|S|15",月例!$S$5:$S$788,0)),"")</f>
        <v>確認済</v>
      </c>
      <c r="K20" s="825">
        <f>IFERROR(INDEX(月例!$A$5:$A$788,MATCH("賃借料|S|15",月例!$S$5:$S$788,0)),"")</f>
        <v>46234</v>
      </c>
      <c r="L20" s="826" t="str">
        <f>IFERROR(INDEX(月例!$E$5:$E$788,MATCH("賃借料|S|15",月例!$S$5:$S$788,0)),"")</f>
        <v>統合管理端末リース料（６月分）</v>
      </c>
      <c r="M20" s="827">
        <f>IFERROR(INDEX(月例!$H$5:$H$788,MATCH("賃借料|S|15",月例!$S$5:$S$788,0)),"")</f>
        <v>12738</v>
      </c>
      <c r="N20" s="828">
        <f>IF(M20="","",N19-M20)</f>
        <v>5971882</v>
      </c>
      <c r="O20" s="829" t="str">
        <f>IFERROR(INDEX(月例!$P$5:$P$788,MATCH("賃借料|S|15",月例!$S$5:$S$788,0)),"")</f>
        <v>確認済</v>
      </c>
      <c r="P20" s="825">
        <f>IFERROR(INDEX(月例!$A$5:$A$788,MATCH("事務用消耗品費|S|15",月例!$S$5:$S$788,0)),"")</f>
        <v>46259</v>
      </c>
      <c r="Q20" s="826" t="str">
        <f>IFERROR(INDEX(月例!$E$5:$E$788,MATCH("事務用消耗品費|S|15",月例!$S$5:$S$788,0)),"")</f>
        <v>コピー用紙等購入代分担金　互助会（第１四半期）[短期]</v>
      </c>
      <c r="R20" s="827">
        <f>IFERROR(INDEX(月例!$H$5:$H$788,MATCH("事務用消耗品費|S|15",月例!$S$5:$S$788,0)),"")</f>
        <v>119079</v>
      </c>
      <c r="S20" s="828">
        <f>IF(R20="","",S19-R20)</f>
        <v>536903</v>
      </c>
      <c r="T20" s="829" t="str">
        <f>IFERROR(INDEX(月例!$P$5:$P$788,MATCH("事務用消耗品費|S|15",月例!$S$5:$S$788,0)),"")</f>
        <v>確認済</v>
      </c>
    </row>
    <row r="21" ht="23.1" customHeight="1" s="186">
      <c r="A21" s="825">
        <f>IFERROR(INDEX(月例!$A$5:$A$788,MATCH("通信運搬費|S|16",月例!$S$5:$S$788,0)),"")</f>
        <v>46232</v>
      </c>
      <c r="B21" s="826" t="str">
        <f>IFERROR(INDEX(月例!$E$5:$E$788,MATCH("通信運搬費|S|16",月例!$S$5:$S$788,0)),"")</f>
        <v>料金後納利用料（６月分）</v>
      </c>
      <c r="C21" s="827">
        <f>IFERROR(INDEX(月例!$H$5:$H$788,MATCH("通信運搬費|S|16",月例!$S$5:$S$788,0)),"")</f>
        <v>22860</v>
      </c>
      <c r="D21" s="828">
        <f>IF(C21="","",D20-C21)</f>
        <v>-9184</v>
      </c>
      <c r="E21" s="829" t="str">
        <f>IFERROR(INDEX(月例!$P$5:$P$788,MATCH("通信運搬費|S|16",月例!$S$5:$S$788,0)),"")</f>
        <v>確認済</v>
      </c>
      <c r="F21" s="825">
        <f>IFERROR(INDEX(月例!$A$5:$A$788,MATCH("委託費|S|16",月例!$S$5:$S$788,0)),"")</f>
        <v>44407</v>
      </c>
      <c r="G21" s="826" t="str">
        <f>IFERROR(INDEX(月例!$E$5:$E$788,MATCH("委託費|S|16",月例!$S$5:$S$788,0)),"")</f>
        <v>短期給付個人番号管理システム端末保守サービス（６月分）</v>
      </c>
      <c r="H21" s="827">
        <f>IFERROR(INDEX(月例!$H$5:$H$788,MATCH("委託費|S|16",月例!$S$5:$S$788,0)),"")</f>
        <v>385</v>
      </c>
      <c r="I21" s="828">
        <f>IF(H21="","",I20-H21)</f>
        <v>7079916</v>
      </c>
      <c r="J21" s="829" t="str">
        <f>IFERROR(INDEX(月例!$P$5:$P$788,MATCH("委託費|S|16",月例!$S$5:$S$788,0)),"")</f>
        <v>昨年実績</v>
      </c>
      <c r="K21" s="825">
        <f>IFERROR(INDEX(月例!$A$5:$A$788,MATCH("賃借料|S|16",月例!$S$5:$S$788,0)),"")</f>
        <v>44788</v>
      </c>
      <c r="L21" s="826" t="str">
        <f>IFERROR(INDEX(月例!$E$5:$E$788,MATCH("賃借料|S|16",月例!$S$5:$S$788,0)),"")</f>
        <v>大都市職員共済組合事務担当者会議　WEB会議用機器等</v>
      </c>
      <c r="M21" s="827">
        <f>IFERROR(INDEX(月例!$H$5:$H$788,MATCH("賃借料|S|16",月例!$S$5:$S$788,0)),"")</f>
        <v>10120</v>
      </c>
      <c r="N21" s="828">
        <f>IF(M21="","",N20-M21)</f>
        <v>5961762</v>
      </c>
      <c r="O21" s="829" t="str">
        <f>IFERROR(INDEX(月例!$P$5:$P$788,MATCH("賃借料|S|16",月例!$S$5:$S$788,0)),"")</f>
        <v>昨年実績</v>
      </c>
      <c r="P21" s="825">
        <f>IFERROR(INDEX(月例!$A$5:$A$788,MATCH("事務用消耗品費|S|16",月例!$S$5:$S$788,0)),"")</f>
        <v>45169</v>
      </c>
      <c r="Q21" s="826" t="str">
        <f>IFERROR(INDEX(月例!$E$5:$E$788,MATCH("事務用消耗品費|S|16",月例!$S$5:$S$788,0)),"")</f>
        <v>カシオ電卓　DF-120GT-N 2個　ほか</v>
      </c>
      <c r="R21" s="827">
        <f>IFERROR(INDEX(月例!$H$5:$H$788,MATCH("事務用消耗品費|S|16",月例!$S$5:$S$788,0)),"")</f>
        <v>12811</v>
      </c>
      <c r="S21" s="828">
        <f>IF(R21="","",S20-R21)</f>
        <v>524092</v>
      </c>
      <c r="T21" s="829" t="str">
        <f>IFERROR(INDEX(月例!$P$5:$P$788,MATCH("事務用消耗品費|S|16",月例!$S$5:$S$788,0)),"")</f>
        <v>昨年実績</v>
      </c>
    </row>
    <row r="22" ht="23.1" customHeight="1" s="186">
      <c r="A22" s="825">
        <f>IFERROR(INDEX(月例!$A$5:$A$788,MATCH("通信運搬費|S|17",月例!$S$5:$S$788,0)),"")</f>
        <v>45869</v>
      </c>
      <c r="B22" s="826" t="str">
        <f>IFERROR(INDEX(月例!$E$5:$E$788,MATCH("通信運搬費|S|17",月例!$S$5:$S$788,0)),"")</f>
        <v>フレッツ光ネクスト利用料等（６月利用・７月請求分）</v>
      </c>
      <c r="C22" s="827">
        <f>IFERROR(INDEX(月例!$H$5:$H$788,MATCH("通信運搬費|S|17",月例!$S$5:$S$788,0)),"")</f>
        <v>5126</v>
      </c>
      <c r="D22" s="828">
        <f>IF(C22="","",D21-C22)</f>
        <v>-14310</v>
      </c>
      <c r="E22" s="829" t="str">
        <f>IFERROR(INDEX(月例!$P$5:$P$788,MATCH("通信運搬費|S|17",月例!$S$5:$S$788,0)),"")</f>
        <v>昨年実績</v>
      </c>
      <c r="F22" s="825">
        <f>IFERROR(INDEX(月例!$A$5:$A$788,MATCH("委託費|S|17",月例!$S$5:$S$788,0)),"")</f>
        <v>46234</v>
      </c>
      <c r="G22" s="826" t="str">
        <f>IFERROR(INDEX(月例!$E$5:$E$788,MATCH("委託費|S|17",月例!$S$5:$S$788,0)),"")</f>
        <v>柔整等療養費支給申請書の入力（６月分）</v>
      </c>
      <c r="H22" s="827">
        <f>IFERROR(INDEX(月例!$H$5:$H$788,MATCH("委託費|S|17",月例!$S$5:$S$788,0)),"")</f>
        <v>109359</v>
      </c>
      <c r="I22" s="828">
        <f>IF(H22="","",I21-H22)</f>
        <v>6970557</v>
      </c>
      <c r="J22" s="829" t="str">
        <f>IFERROR(INDEX(月例!$P$5:$P$788,MATCH("委託費|S|17",月例!$S$5:$S$788,0)),"")</f>
        <v>確認済</v>
      </c>
      <c r="K22" s="825">
        <f>IFERROR(INDEX(月例!$A$5:$A$788,MATCH("賃借料|S|17",月例!$S$5:$S$788,0)),"")</f>
        <v>44060</v>
      </c>
      <c r="L22" s="826" t="str">
        <f>IFERROR(INDEX(月例!$E$5:$E$788,MATCH("賃借料|S|17",月例!$S$5:$S$788,0)),"")</f>
        <v>パソコン（業務経理用）７月分</v>
      </c>
      <c r="M22" s="827">
        <f>IFERROR(INDEX(月例!$H$5:$H$788,MATCH("賃借料|S|17",月例!$S$5:$S$788,0)),"")</f>
        <v>3132</v>
      </c>
      <c r="N22" s="828">
        <f>IF(M22="","",N21-M22)</f>
        <v>5958630</v>
      </c>
      <c r="O22" s="829" t="str">
        <f>IFERROR(INDEX(月例!$P$5:$P$788,MATCH("賃借料|S|17",月例!$S$5:$S$788,0)),"")</f>
        <v>昨年実績</v>
      </c>
      <c r="P22" s="825">
        <f>IFERROR(INDEX(月例!$A$5:$A$788,MATCH("事務用消耗品費|S|17",月例!$S$5:$S$788,0)),"")</f>
        <v>44804</v>
      </c>
      <c r="Q22" s="826" t="str">
        <f>IFERROR(INDEX(月例!$E$5:$E$788,MATCH("事務用消耗品費|S|17",月例!$S$5:$S$788,0)),"")</f>
        <v>SIGMA DS3 リボンキット　15個　ほか</v>
      </c>
      <c r="R22" s="827">
        <f>IFERROR(INDEX(月例!$H$5:$H$788,MATCH("事務用消耗品費|S|17",月例!$S$5:$S$788,0)),"")</f>
        <v>86350</v>
      </c>
      <c r="S22" s="828">
        <f>IF(R22="","",S21-R22)</f>
        <v>437742</v>
      </c>
      <c r="T22" s="829" t="str">
        <f>IFERROR(INDEX(月例!$P$5:$P$788,MATCH("事務用消耗品費|S|17",月例!$S$5:$S$788,0)),"")</f>
        <v>昨年実績</v>
      </c>
    </row>
    <row r="23" ht="23.1" customHeight="1" s="186" thickBot="1">
      <c r="A23" s="825">
        <f>IFERROR(INDEX(月例!$A$5:$A$788,MATCH("通信運搬費|S|18",月例!$S$5:$S$788,0)),"")</f>
        <v>45138</v>
      </c>
      <c r="B23" s="826" t="str">
        <f>IFERROR(INDEX(月例!$E$5:$E$788,MATCH("通信運搬費|S|18",月例!$S$5:$S$788,0)),"")</f>
        <v>柔整申請書送付（６月分）</v>
      </c>
      <c r="C23" s="827">
        <f>IFERROR(INDEX(月例!$H$5:$H$788,MATCH("通信運搬費|S|18",月例!$S$5:$S$788,0)),"")</f>
        <v>1489</v>
      </c>
      <c r="D23" s="828">
        <f>IF(C23="","",D22-C23)</f>
        <v>-15799</v>
      </c>
      <c r="E23" s="829" t="str">
        <f>IFERROR(INDEX(月例!$P$5:$P$788,MATCH("通信運搬費|S|18",月例!$S$5:$S$788,0)),"")</f>
        <v>昨年実績</v>
      </c>
      <c r="F23" s="825">
        <f>IFERROR(INDEX(月例!$A$5:$A$788,MATCH("委託費|S|18",月例!$S$5:$S$788,0)),"")</f>
        <v>44771</v>
      </c>
      <c r="G23" s="826" t="str">
        <f>IFERROR(INDEX(月例!$E$5:$E$788,MATCH("委託費|S|18",月例!$S$5:$S$788,0)),"")</f>
        <v>統合管理端末保守料（６月分）</v>
      </c>
      <c r="H23" s="827">
        <f>IFERROR(INDEX(月例!$H$5:$H$788,MATCH("委託費|S|18",月例!$S$5:$S$788,0)),"")</f>
        <v>770</v>
      </c>
      <c r="I23" s="828">
        <f>IF(H23="","",I22-H23)</f>
        <v>6969787</v>
      </c>
      <c r="J23" s="829" t="str">
        <f>IFERROR(INDEX(月例!$P$5:$P$788,MATCH("委託費|S|18",月例!$S$5:$S$788,0)),"")</f>
        <v>昨年実績</v>
      </c>
      <c r="K23" s="825">
        <f>IFERROR(INDEX(月例!$A$5:$A$788,MATCH("賃借料|S|18",月例!$S$5:$S$788,0)),"")</f>
        <v>46262</v>
      </c>
      <c r="L23" s="826" t="str">
        <f>IFERROR(INDEX(月例!$E$5:$E$788,MATCH("賃借料|S|18",月例!$S$5:$S$788,0)),"")</f>
        <v>パソコン（業務経理用）７月分</v>
      </c>
      <c r="M23" s="827">
        <f>IFERROR(INDEX(月例!$H$5:$H$788,MATCH("賃借料|S|18",月例!$S$5:$S$788,0)),"")</f>
        <v>5060</v>
      </c>
      <c r="N23" s="828">
        <f>IF(M23="","",N22-M23)</f>
        <v>5953570</v>
      </c>
      <c r="O23" s="829" t="str">
        <f>IFERROR(INDEX(月例!$P$5:$P$788,MATCH("賃借料|S|18",月例!$S$5:$S$788,0)),"")</f>
        <v>確認済</v>
      </c>
      <c r="P23" s="825">
        <f>IFERROR(INDEX(月例!$A$5:$A$788,MATCH("事務用消耗品費|S|18",月例!$S$5:$S$788,0)),"")</f>
        <v>46265</v>
      </c>
      <c r="Q23" s="826" t="str">
        <f>IFERROR(INDEX(月例!$E$5:$E$788,MATCH("事務用消耗品費|S|18",月例!$S$5:$S$788,0)),"")</f>
        <v>レールホルダー　Ｄ１０１Ｊ―ＢＬ　１パック　他４点</v>
      </c>
      <c r="R23" s="827">
        <f>IFERROR(INDEX(月例!$H$5:$H$788,MATCH("事務用消耗品費|S|18",月例!$S$5:$S$788,0)),"")</f>
        <v>12824</v>
      </c>
      <c r="S23" s="828">
        <f>IF(R23="","",S22-R23)</f>
        <v>424918</v>
      </c>
      <c r="T23" s="829" t="str">
        <f>IFERROR(INDEX(月例!$P$5:$P$788,MATCH("事務用消耗品費|S|18",月例!$S$5:$S$788,0)),"")</f>
        <v>確認済</v>
      </c>
    </row>
    <row r="24" ht="30.75" customHeight="1" s="186" thickBot="1">
      <c r="A24" s="825">
        <f>IFERROR(INDEX(月例!$A$5:$A$788,MATCH("通信運搬費|S|19",月例!$S$5:$S$788,0)),"")</f>
        <v>46234</v>
      </c>
      <c r="B24" s="826" t="str">
        <f>IFERROR(INDEX(月例!$E$5:$E$788,MATCH("通信運搬費|S|19",月例!$S$5:$S$788,0)),"")</f>
        <v>インターネット通信料金（５・６月利用・７月請求分）</v>
      </c>
      <c r="C24" s="827">
        <f>IFERROR(INDEX(月例!$H$5:$H$788,MATCH("通信運搬費|S|19",月例!$S$5:$S$788,0)),"")</f>
        <v>3663</v>
      </c>
      <c r="D24" s="828">
        <f>IF(C24="","",D23-C24)</f>
        <v>-19462</v>
      </c>
      <c r="E24" s="829" t="str">
        <f>IFERROR(INDEX(月例!$P$5:$P$788,MATCH("通信運搬費|S|19",月例!$S$5:$S$788,0)),"")</f>
        <v>確認済</v>
      </c>
      <c r="F24" s="825">
        <f>IFERROR(INDEX(月例!$A$5:$A$788,MATCH("委託費|S|19",月例!$S$5:$S$788,0)),"")</f>
        <v>46254</v>
      </c>
      <c r="G24" s="826" t="str">
        <f>IFERROR(INDEX(月例!$E$5:$E$788,MATCH("委託費|S|19",月例!$S$5:$S$788,0)),"")</f>
        <v>社会保障等制度情報提供手数料（４～６月分）</v>
      </c>
      <c r="H24" s="827">
        <f>IFERROR(INDEX(月例!$H$5:$H$788,MATCH("委託費|S|19",月例!$S$5:$S$788,0)),"")</f>
        <v>36080</v>
      </c>
      <c r="I24" s="828">
        <f>IF(H24="","",I23-H24)</f>
        <v>6933707</v>
      </c>
      <c r="J24" s="829" t="str">
        <f>IFERROR(INDEX(月例!$P$5:$P$788,MATCH("委託費|S|19",月例!$S$5:$S$788,0)),"")</f>
        <v>確認済</v>
      </c>
      <c r="K24" s="825">
        <f>IFERROR(INDEX(月例!$A$5:$A$788,MATCH("賃借料|S|19",月例!$S$5:$S$788,0)),"")</f>
        <v>44435</v>
      </c>
      <c r="L24" s="826" t="str">
        <f>IFERROR(INDEX(月例!$E$5:$E$788,MATCH("賃借料|S|19",月例!$S$5:$S$788,0)),"")</f>
        <v>ﾊﾟｿｺﾝｳｨﾙｽ対策ｿﾌﾄ(業務用)ｻﾝﾈｯﾄ（７月分）</v>
      </c>
      <c r="M24" s="827">
        <f>IFERROR(INDEX(月例!$H$5:$H$788,MATCH("賃借料|S|19",月例!$S$5:$S$788,0)),"")</f>
        <v>2090</v>
      </c>
      <c r="N24" s="828">
        <f>IF(M24="","",N23-M24)</f>
        <v>5951480</v>
      </c>
      <c r="O24" s="829" t="str">
        <f>IFERROR(INDEX(月例!$P$5:$P$788,MATCH("賃借料|S|19",月例!$S$5:$S$788,0)),"")</f>
        <v>昨年実績</v>
      </c>
      <c r="P24" s="825">
        <f>IFERROR(INDEX(月例!$A$5:$A$788,MATCH("事務用消耗品費|S|19",月例!$S$5:$S$788,0)),"")</f>
        <v>45930</v>
      </c>
      <c r="Q24" s="826" t="str">
        <f>IFERROR(INDEX(月例!$E$5:$E$788,MATCH("事務用消耗品費|S|19",月例!$S$5:$S$788,0)),"")</f>
        <v>受話器用カールコード　DC-J406/WH  ２個</v>
      </c>
      <c r="R24" s="827">
        <f>IFERROR(INDEX(月例!$H$5:$H$788,MATCH("事務用消耗品費|S|19",月例!$S$5:$S$788,0)),"")</f>
        <v>1316</v>
      </c>
      <c r="S24" s="828">
        <f>IF(R24="","",S23-R24)</f>
        <v>423602</v>
      </c>
      <c r="T24" s="829" t="str">
        <f>IFERROR(INDEX(月例!$P$5:$P$788,MATCH("事務用消耗品費|S|19",月例!$S$5:$S$788,0)),"")</f>
        <v>昨年実績</v>
      </c>
    </row>
    <row r="25" ht="23.1" customHeight="1" s="186" thickBot="1">
      <c r="A25" s="825">
        <f>IFERROR(INDEX(月例!$A$5:$A$788,MATCH("通信運搬費|S|20",月例!$S$5:$S$788,0)),"")</f>
        <v>46262</v>
      </c>
      <c r="B25" s="826" t="str">
        <f>IFERROR(INDEX(月例!$E$5:$E$788,MATCH("通信運搬費|S|20",月例!$S$5:$S$788,0)),"")</f>
        <v>料金後納利用料（７月分）</v>
      </c>
      <c r="C25" s="827">
        <f>IFERROR(INDEX(月例!$H$5:$H$788,MATCH("通信運搬費|S|20",月例!$S$5:$S$788,0)),"")</f>
        <v>52380</v>
      </c>
      <c r="D25" s="828">
        <f>IF(C25="","",D24-C25)</f>
        <v>-71842</v>
      </c>
      <c r="E25" s="829" t="str">
        <f>IFERROR(INDEX(月例!$P$5:$P$788,MATCH("通信運搬費|S|20",月例!$S$5:$S$788,0)),"")</f>
        <v>確認済</v>
      </c>
      <c r="F25" s="825">
        <f>IFERROR(INDEX(月例!$A$5:$A$788,MATCH("委託費|S|20",月例!$S$5:$S$788,0)),"")</f>
        <v>46254</v>
      </c>
      <c r="G25" s="826" t="str">
        <f>IFERROR(INDEX(月例!$E$5:$E$788,MATCH("委託費|S|20",月例!$S$5:$S$788,0)),"")</f>
        <v>レセプト電子データ提供料（５月診療分）</v>
      </c>
      <c r="H25" s="827">
        <f>IFERROR(INDEX(月例!$H$5:$H$788,MATCH("委託費|S|20",月例!$S$5:$S$788,0)),"")</f>
        <v>56991</v>
      </c>
      <c r="I25" s="828">
        <f>IF(H25="","",I24-H25)</f>
        <v>6876716</v>
      </c>
      <c r="J25" s="829" t="str">
        <f>IFERROR(INDEX(月例!$P$5:$P$788,MATCH("委託費|S|20",月例!$S$5:$S$788,0)),"")</f>
        <v>確認済</v>
      </c>
      <c r="K25" s="825">
        <f>IFERROR(INDEX(月例!$A$5:$A$788,MATCH("賃借料|S|20",月例!$S$5:$S$788,0)),"")</f>
        <v>46262</v>
      </c>
      <c r="L25" s="826" t="str">
        <f>IFERROR(INDEX(月例!$E$5:$E$788,MATCH("賃借料|S|20",月例!$S$5:$S$788,0)),"")</f>
        <v>基幹システム用機器賃借料　7月分（短期）</v>
      </c>
      <c r="M25" s="827">
        <f>IFERROR(INDEX(月例!$H$5:$H$788,MATCH("賃借料|S|20",月例!$S$5:$S$788,0)),"")</f>
        <v>672934</v>
      </c>
      <c r="N25" s="828">
        <f>IF(M25="","",N24-M25)</f>
        <v>5278546</v>
      </c>
      <c r="O25" s="829" t="str">
        <f>IFERROR(INDEX(月例!$P$5:$P$788,MATCH("賃借料|S|20",月例!$S$5:$S$788,0)),"")</f>
        <v>確認済</v>
      </c>
      <c r="P25" s="825">
        <f>IFERROR(INDEX(月例!$A$5:$A$788,MATCH("事務用消耗品費|S|20",月例!$S$5:$S$788,0)),"")</f>
        <v>46295</v>
      </c>
      <c r="Q25" s="826" t="str">
        <f>IFERROR(INDEX(月例!$E$5:$E$788,MATCH("事務用消耗品費|S|20",月例!$S$5:$S$788,0)),"")</f>
        <v>PPフラットファイル　青　３パック　他９点</v>
      </c>
      <c r="R25" s="827">
        <f>IFERROR(INDEX(月例!$H$5:$H$788,MATCH("事務用消耗品費|S|20",月例!$S$5:$S$788,0)),"")</f>
        <v>45203</v>
      </c>
      <c r="S25" s="828">
        <f>IF(R25="","",S24-R25)</f>
        <v>378399</v>
      </c>
      <c r="T25" s="829" t="str">
        <f>IFERROR(INDEX(月例!$P$5:$P$788,MATCH("事務用消耗品費|S|20",月例!$S$5:$S$788,0)),"")</f>
        <v>確認済</v>
      </c>
    </row>
    <row r="26" ht="23.1" customHeight="1" s="186">
      <c r="A26" s="825">
        <f>IFERROR(INDEX(月例!$A$5:$A$788,MATCH("通信運搬費|S|21",月例!$S$5:$S$788,0)),"")</f>
        <v>46259</v>
      </c>
      <c r="B26" s="826" t="str">
        <f>IFERROR(INDEX(月例!$E$5:$E$788,MATCH("通信運搬費|S|21",月例!$S$5:$S$788,0)),"")</f>
        <v>ＦＡＸ電話代等分担金　互助会（第１四半期）[短期]</v>
      </c>
      <c r="C26" s="827">
        <f>IFERROR(INDEX(月例!$H$5:$H$788,MATCH("通信運搬費|S|21",月例!$S$5:$S$788,0)),"")</f>
        <v>5979</v>
      </c>
      <c r="D26" s="828">
        <f>IF(C26="","",D25-C26)</f>
        <v>-77821</v>
      </c>
      <c r="E26" s="829" t="str">
        <f>IFERROR(INDEX(月例!$P$5:$P$788,MATCH("通信運搬費|S|21",月例!$S$5:$S$788,0)),"")</f>
        <v>確認済</v>
      </c>
      <c r="F26" s="825">
        <f>IFERROR(INDEX(月例!$A$5:$A$788,MATCH("委託費|S|21",月例!$S$5:$S$788,0)),"")</f>
        <v>44407</v>
      </c>
      <c r="G26" s="826" t="str">
        <f>IFERROR(INDEX(月例!$E$5:$E$788,MATCH("委託費|S|21",月例!$S$5:$S$788,0)),"")</f>
        <v>社会保障等制度　中間サーバー等運営負担金</v>
      </c>
      <c r="H26" s="827">
        <f>IFERROR(INDEX(月例!$H$5:$H$788,MATCH("委託費|S|21",月例!$S$5:$S$788,0)),"")</f>
        <v>396912</v>
      </c>
      <c r="I26" s="828">
        <f>IF(H26="","",I25-H26)</f>
        <v>6479804</v>
      </c>
      <c r="J26" s="829" t="str">
        <f>IFERROR(INDEX(月例!$P$5:$P$788,MATCH("委託費|S|21",月例!$S$5:$S$788,0)),"")</f>
        <v>昨年実績</v>
      </c>
      <c r="K26" s="825">
        <f>IFERROR(INDEX(月例!$A$5:$A$788,MATCH("賃借料|S|21",月例!$S$5:$S$788,0)),"")</f>
        <v>46265</v>
      </c>
      <c r="L26" s="826" t="str">
        <f>IFERROR(INDEX(月例!$E$5:$E$788,MATCH("賃借料|S|21",月例!$S$5:$S$788,0)),"")</f>
        <v>統合管理端末リース料（７月分）</v>
      </c>
      <c r="M26" s="827">
        <f>IFERROR(INDEX(月例!$H$5:$H$788,MATCH("賃借料|S|21",月例!$S$5:$S$788,0)),"")</f>
        <v>12738</v>
      </c>
      <c r="N26" s="828">
        <f>IF(M26="","",N25-M26)</f>
        <v>5265808</v>
      </c>
      <c r="O26" s="829" t="str">
        <f>IFERROR(INDEX(月例!$P$5:$P$788,MATCH("賃借料|S|21",月例!$S$5:$S$788,0)),"")</f>
        <v>確認済</v>
      </c>
      <c r="P26" s="825">
        <f>IFERROR(INDEX(月例!$A$5:$A$788,MATCH("事務用消耗品費|S|21",月例!$S$5:$S$788,0)),"")</f>
        <v>45580</v>
      </c>
      <c r="Q26" s="826" t="str">
        <f>IFERROR(INDEX(月例!$E$5:$E$788,MATCH("事務用消耗品費|S|21",月例!$S$5:$S$788,0)),"")</f>
        <v>スイッチングＨＵＢ　ＥＨＣ－Ｇ０５ＰＡ２－Ｗ</v>
      </c>
      <c r="R26" s="827">
        <f>IFERROR(INDEX(月例!$H$5:$H$788,MATCH("事務用消耗品費|S|21",月例!$S$5:$S$788,0)),"")</f>
        <v>3201</v>
      </c>
      <c r="S26" s="828">
        <f>IF(R26="","",S25-R26)</f>
        <v>375198</v>
      </c>
      <c r="T26" s="829" t="str">
        <f>IFERROR(INDEX(月例!$P$5:$P$788,MATCH("事務用消耗品費|S|21",月例!$S$5:$S$788,0)),"")</f>
        <v>昨年実績</v>
      </c>
    </row>
    <row r="27" ht="23.1" customHeight="1" s="186">
      <c r="A27" s="825">
        <f>IFERROR(INDEX(月例!$A$5:$A$788,MATCH("通信運搬費|S|22",月例!$S$5:$S$788,0)),"")</f>
        <v>46265</v>
      </c>
      <c r="B27" s="826" t="str">
        <f>IFERROR(INDEX(月例!$E$5:$E$788,MATCH("通信運搬費|S|22",月例!$S$5:$S$788,0)),"")</f>
        <v>フレッツ光ネクスト利用料等（６月、７月利用・８月請求分）</v>
      </c>
      <c r="C27" s="827">
        <f>IFERROR(INDEX(月例!$H$5:$H$788,MATCH("通信運搬費|S|22",月例!$S$5:$S$788,0)),"")</f>
        <v>13090</v>
      </c>
      <c r="D27" s="828">
        <f>IF(C27="","",D26-C27)</f>
        <v>-90911</v>
      </c>
      <c r="E27" s="829" t="str">
        <f>IFERROR(INDEX(月例!$P$5:$P$788,MATCH("通信運搬費|S|22",月例!$S$5:$S$788,0)),"")</f>
        <v>確認済</v>
      </c>
      <c r="F27" s="825">
        <f>IFERROR(INDEX(月例!$A$5:$A$788,MATCH("委託費|S|22",月例!$S$5:$S$788,0)),"")</f>
        <v>46265</v>
      </c>
      <c r="G27" s="826" t="str">
        <f>IFERROR(INDEX(月例!$E$5:$E$788,MATCH("委託費|S|22",月例!$S$5:$S$788,0)),"")</f>
        <v>柔整等療養費支給申請書の入力（７月分）</v>
      </c>
      <c r="H27" s="827">
        <f>IFERROR(INDEX(月例!$H$5:$H$788,MATCH("委託費|S|22",月例!$S$5:$S$788,0)),"")</f>
        <v>133786</v>
      </c>
      <c r="I27" s="828">
        <f>IF(H27="","",I26-H27)</f>
        <v>6346018</v>
      </c>
      <c r="J27" s="829" t="str">
        <f>IFERROR(INDEX(月例!$P$5:$P$788,MATCH("委託費|S|22",月例!$S$5:$S$788,0)),"")</f>
        <v>確認済</v>
      </c>
      <c r="K27" s="825">
        <f>IFERROR(INDEX(月例!$A$5:$A$788,MATCH("賃借料|S|22",月例!$S$5:$S$788,0)),"")</f>
        <v>44089</v>
      </c>
      <c r="L27" s="826" t="str">
        <f>IFERROR(INDEX(月例!$E$5:$E$788,MATCH("賃借料|S|22",月例!$S$5:$S$788,0)),"")</f>
        <v>パソコン（業務経理用）８月分</v>
      </c>
      <c r="M27" s="827">
        <f>IFERROR(INDEX(月例!$H$5:$H$788,MATCH("賃借料|S|22",月例!$S$5:$S$788,0)),"")</f>
        <v>3132</v>
      </c>
      <c r="N27" s="828">
        <f>IF(M27="","",N26-M27)</f>
        <v>5262676</v>
      </c>
      <c r="O27" s="829" t="str">
        <f>IFERROR(INDEX(月例!$P$5:$P$788,MATCH("賃借料|S|22",月例!$S$5:$S$788,0)),"")</f>
        <v>昨年実績</v>
      </c>
      <c r="P27" s="825">
        <f>IFERROR(INDEX(月例!$A$5:$A$788,MATCH("事務用消耗品費|S|22",月例!$S$5:$S$788,0)),"")</f>
        <v>44862</v>
      </c>
      <c r="Q27" s="826" t="str">
        <f>IFERROR(INDEX(月例!$E$5:$E$788,MATCH("事務用消耗品費|S|22",月例!$S$5:$S$788,0)),"")</f>
        <v>高齢受給者証　3,000枚</v>
      </c>
      <c r="R27" s="827">
        <f>IFERROR(INDEX(月例!$H$5:$H$788,MATCH("事務用消耗品費|S|22",月例!$S$5:$S$788,0)),"")</f>
        <v>36300</v>
      </c>
      <c r="S27" s="828">
        <f>IF(R27="","",S26-R27)</f>
        <v>338898</v>
      </c>
      <c r="T27" s="829" t="str">
        <f>IFERROR(INDEX(月例!$P$5:$P$788,MATCH("事務用消耗品費|S|22",月例!$S$5:$S$788,0)),"")</f>
        <v>昨年実績</v>
      </c>
    </row>
    <row r="28" ht="23.1" customHeight="1" s="186">
      <c r="A28" s="825">
        <f>IFERROR(INDEX(月例!$A$5:$A$788,MATCH("通信運搬費|S|23",月例!$S$5:$S$788,0)),"")</f>
        <v>45169</v>
      </c>
      <c r="B28" s="826" t="str">
        <f>IFERROR(INDEX(月例!$E$5:$E$788,MATCH("通信運搬費|S|23",月例!$S$5:$S$788,0)),"")</f>
        <v>柔整申請書送付（７月分）</v>
      </c>
      <c r="C28" s="827">
        <f>IFERROR(INDEX(月例!$H$5:$H$788,MATCH("通信運搬費|S|23",月例!$S$5:$S$788,0)),"")</f>
        <v>1489</v>
      </c>
      <c r="D28" s="828">
        <f>IF(C28="","",D27-C28)</f>
        <v>-92400</v>
      </c>
      <c r="E28" s="829" t="str">
        <f>IFERROR(INDEX(月例!$P$5:$P$788,MATCH("通信運搬費|S|23",月例!$S$5:$S$788,0)),"")</f>
        <v>昨年実績</v>
      </c>
      <c r="F28" s="825">
        <f>IFERROR(INDEX(月例!$A$5:$A$788,MATCH("委託費|S|23",月例!$S$5:$S$788,0)),"")</f>
        <v>44804</v>
      </c>
      <c r="G28" s="826" t="str">
        <f>IFERROR(INDEX(月例!$E$5:$E$788,MATCH("委託費|S|23",月例!$S$5:$S$788,0)),"")</f>
        <v>統合管理端末保守料（7月分）</v>
      </c>
      <c r="H28" s="827">
        <f>IFERROR(INDEX(月例!$H$5:$H$788,MATCH("委託費|S|23",月例!$S$5:$S$788,0)),"")</f>
        <v>770</v>
      </c>
      <c r="I28" s="828">
        <f>IF(H28="","",I27-H28)</f>
        <v>6345248</v>
      </c>
      <c r="J28" s="829" t="str">
        <f>IFERROR(INDEX(月例!$P$5:$P$788,MATCH("委託費|S|23",月例!$S$5:$S$788,0)),"")</f>
        <v>昨年実績</v>
      </c>
      <c r="K28" s="825">
        <f>IFERROR(INDEX(月例!$A$5:$A$788,MATCH("賃借料|S|23",月例!$S$5:$S$788,0)),"")</f>
        <v>46294</v>
      </c>
      <c r="L28" s="826" t="str">
        <f>IFERROR(INDEX(月例!$E$5:$E$788,MATCH("賃借料|S|23",月例!$S$5:$S$788,0)),"")</f>
        <v>パソコン（業務経理用）８月分</v>
      </c>
      <c r="M28" s="827">
        <f>IFERROR(INDEX(月例!$H$5:$H$788,MATCH("賃借料|S|23",月例!$S$5:$S$788,0)),"")</f>
        <v>5060</v>
      </c>
      <c r="N28" s="828">
        <f>IF(M28="","",N27-M28)</f>
        <v>5257616</v>
      </c>
      <c r="O28" s="829" t="str">
        <f>IFERROR(INDEX(月例!$P$5:$P$788,MATCH("賃借料|S|23",月例!$S$5:$S$788,0)),"")</f>
        <v>確認済</v>
      </c>
      <c r="P28" s="825">
        <f>IFERROR(INDEX(月例!$A$5:$A$788,MATCH("事務用消耗品費|S|23",月例!$S$5:$S$788,0)),"")</f>
        <v>46325</v>
      </c>
      <c r="Q28" s="826" t="str">
        <f>IFERROR(INDEX(月例!$E$5:$E$788,MATCH("事務用消耗品費|S|23",月例!$S$5:$S$788,0)),"")</f>
        <v>ぴたえもん　ＭＳＰＬ－Ａ４／１０冊セット　７４２－５５０　１セット　他８点</v>
      </c>
      <c r="R28" s="827">
        <f>IFERROR(INDEX(月例!$H$5:$H$788,MATCH("事務用消耗品費|S|23",月例!$S$5:$S$788,0)),"")</f>
        <v>35119</v>
      </c>
      <c r="S28" s="828">
        <f>IF(R28="","",S27-R28)</f>
        <v>303779</v>
      </c>
      <c r="T28" s="829" t="str">
        <f>IFERROR(INDEX(月例!$P$5:$P$788,MATCH("事務用消耗品費|S|23",月例!$S$5:$S$788,0)),"")</f>
        <v>確認済</v>
      </c>
    </row>
    <row r="29" ht="23.1" customHeight="1" s="186">
      <c r="A29" s="825">
        <f>IFERROR(INDEX(月例!$A$5:$A$788,MATCH("通信運搬費|S|24",月例!$S$5:$S$788,0)),"")</f>
        <v>45169</v>
      </c>
      <c r="B29" s="826" t="str">
        <f>IFERROR(INDEX(月例!$E$5:$E$788,MATCH("通信運搬費|S|24",月例!$S$5:$S$788,0)),"")</f>
        <v>メール便（任継者宛厚生だより７月分）</v>
      </c>
      <c r="C29" s="827">
        <f>IFERROR(INDEX(月例!$H$5:$H$788,MATCH("通信運搬費|S|24",月例!$S$5:$S$788,0)),"")</f>
        <v>17724</v>
      </c>
      <c r="D29" s="828">
        <f>IF(C29="","",D28-C29)</f>
        <v>-110124</v>
      </c>
      <c r="E29" s="829" t="str">
        <f>IFERROR(INDEX(月例!$P$5:$P$788,MATCH("通信運搬費|S|24",月例!$S$5:$S$788,0)),"")</f>
        <v>昨年実績</v>
      </c>
      <c r="F29" s="825">
        <f>IFERROR(INDEX(月例!$A$5:$A$788,MATCH("委託費|S|24",月例!$S$5:$S$788,0)),"")</f>
        <v>46295</v>
      </c>
      <c r="G29" s="826" t="str">
        <f>IFERROR(INDEX(月例!$E$5:$E$788,MATCH("委託費|S|24",月例!$S$5:$S$788,0)),"")</f>
        <v>基幹システム用カードプリンタの保守</v>
      </c>
      <c r="H29" s="827">
        <f>IFERROR(INDEX(月例!$H$5:$H$788,MATCH("委託費|S|24",月例!$S$5:$S$788,0)),"")</f>
        <v>79200</v>
      </c>
      <c r="I29" s="828">
        <f>IF(H29="","",I28-H29)</f>
        <v>6266048</v>
      </c>
      <c r="J29" s="829" t="str">
        <f>IFERROR(INDEX(月例!$P$5:$P$788,MATCH("委託費|S|24",月例!$S$5:$S$788,0)),"")</f>
        <v>確認済</v>
      </c>
      <c r="K29" s="825">
        <f>IFERROR(INDEX(月例!$A$5:$A$788,MATCH("賃借料|S|24",月例!$S$5:$S$788,0)),"")</f>
        <v>44468</v>
      </c>
      <c r="L29" s="826" t="str">
        <f>IFERROR(INDEX(月例!$E$5:$E$788,MATCH("賃借料|S|24",月例!$S$5:$S$788,0)),"")</f>
        <v>ﾊﾟｿｺﾝｳｨﾙｽ対策ｿﾌﾄ(業務用)ｻﾝﾈｯﾄ（８月分）</v>
      </c>
      <c r="M29" s="827">
        <f>IFERROR(INDEX(月例!$H$5:$H$788,MATCH("賃借料|S|24",月例!$S$5:$S$788,0)),"")</f>
        <v>2090</v>
      </c>
      <c r="N29" s="828">
        <f>IF(M29="","",N28-M29)</f>
        <v>5255526</v>
      </c>
      <c r="O29" s="829" t="str">
        <f>IFERROR(INDEX(月例!$P$5:$P$788,MATCH("賃借料|S|24",月例!$S$5:$S$788,0)),"")</f>
        <v>昨年実績</v>
      </c>
      <c r="P29" s="825">
        <f>IFERROR(INDEX(月例!$A$5:$A$788,MATCH("事務用消耗品費|S|24",月例!$S$5:$S$788,0)),"")</f>
        <v>44074</v>
      </c>
      <c r="Q29" s="826" t="str">
        <f>IFERROR(INDEX(月例!$E$5:$E$788,MATCH("事務用消耗品費|S|24",月例!$S$5:$S$788,0)),"")</f>
        <v>ニスカカードプリンタ用リボン</v>
      </c>
      <c r="R29" s="827">
        <f>IFERROR(INDEX(月例!$H$5:$H$788,MATCH("事務用消耗品費|S|24",月例!$S$5:$S$788,0)),"")</f>
        <v>46750</v>
      </c>
      <c r="S29" s="828">
        <f>IF(R29="","",S28-R29)</f>
        <v>257029</v>
      </c>
      <c r="T29" s="829" t="str">
        <f>IFERROR(INDEX(月例!$P$5:$P$788,MATCH("事務用消耗品費|S|24",月例!$S$5:$S$788,0)),"")</f>
        <v>昨年実績</v>
      </c>
    </row>
    <row r="30" ht="23.1" customHeight="1" s="186">
      <c r="A30" s="825">
        <f>IFERROR(INDEX(月例!$A$5:$A$788,MATCH("通信運搬費|S|25",月例!$S$5:$S$788,0)),"")</f>
        <v>45895</v>
      </c>
      <c r="B30" s="826" t="str">
        <f>IFERROR(INDEX(月例!$E$5:$E$788,MATCH("通信運搬費|S|25",月例!$S$5:$S$788,0)),"")</f>
        <v>切手</v>
      </c>
      <c r="C30" s="827">
        <f>IFERROR(INDEX(月例!$H$5:$H$788,MATCH("通信運搬費|S|25",月例!$S$5:$S$788,0)),"")</f>
        <v>73000</v>
      </c>
      <c r="D30" s="828">
        <f>IF(C30="","",D29-C30)</f>
        <v>-183124</v>
      </c>
      <c r="E30" s="829" t="str">
        <f>IFERROR(INDEX(月例!$P$5:$P$788,MATCH("通信運搬費|S|25",月例!$S$5:$S$788,0)),"")</f>
        <v>昨年実績</v>
      </c>
      <c r="F30" s="825">
        <f>IFERROR(INDEX(月例!$A$5:$A$788,MATCH("委託費|S|25",月例!$S$5:$S$788,0)),"")</f>
        <v>44439</v>
      </c>
      <c r="G30" s="826" t="str">
        <f>IFERROR(INDEX(月例!$E$5:$E$788,MATCH("委託費|S|25",月例!$S$5:$S$788,0)),"")</f>
        <v>短期給付個人番号管理システム端末保守サービス（７月分）</v>
      </c>
      <c r="H30" s="827">
        <f>IFERROR(INDEX(月例!$H$5:$H$788,MATCH("委託費|S|25",月例!$S$5:$S$788,0)),"")</f>
        <v>385</v>
      </c>
      <c r="I30" s="828">
        <f>IF(H30="","",I29-H30)</f>
        <v>6265663</v>
      </c>
      <c r="J30" s="829" t="str">
        <f>IFERROR(INDEX(月例!$P$5:$P$788,MATCH("委託費|S|25",月例!$S$5:$S$788,0)),"")</f>
        <v>昨年実績</v>
      </c>
      <c r="K30" s="825">
        <f>IFERROR(INDEX(月例!$A$5:$A$788,MATCH("賃借料|S|25",月例!$S$5:$S$788,0)),"")</f>
        <v>43738</v>
      </c>
      <c r="L30" s="826" t="str">
        <f>IFERROR(INDEX(月例!$E$5:$E$788,MATCH("賃借料|S|25",月例!$S$5:$S$788,0)),"")</f>
        <v>基幹システム（短期）用機器リース料８月分</v>
      </c>
      <c r="M30" s="827">
        <f>IFERROR(INDEX(月例!$H$5:$H$788,MATCH("賃借料|S|25",月例!$S$5:$S$788,0)),"")</f>
        <v>193676</v>
      </c>
      <c r="N30" s="828">
        <f>IF(M30="","",N29-M30)</f>
        <v>5061850</v>
      </c>
      <c r="O30" s="829" t="str">
        <f>IFERROR(INDEX(月例!$P$5:$P$788,MATCH("賃借料|S|25",月例!$S$5:$S$788,0)),"")</f>
        <v>昨年実績</v>
      </c>
      <c r="P30" s="825">
        <f>IFERROR(INDEX(月例!$A$5:$A$788,MATCH("事務用消耗品費|S|25",月例!$S$5:$S$788,0)),"")</f>
        <v>44074</v>
      </c>
      <c r="Q30" s="826" t="str">
        <f>IFERROR(INDEX(月例!$E$5:$E$788,MATCH("事務用消耗品費|S|25",月例!$S$5:$S$788,0)),"")</f>
        <v>ボタン電池LR41P 370-121　他</v>
      </c>
      <c r="R30" s="827">
        <f>IFERROR(INDEX(月例!$H$5:$H$788,MATCH("事務用消耗品費|S|25",月例!$S$5:$S$788,0)),"")</f>
        <v>10590</v>
      </c>
      <c r="S30" s="828">
        <f>IF(R30="","",S29-R30)</f>
        <v>246439</v>
      </c>
      <c r="T30" s="829" t="str">
        <f>IFERROR(INDEX(月例!$P$5:$P$788,MATCH("事務用消耗品費|S|25",月例!$S$5:$S$788,0)),"")</f>
        <v>昨年実績</v>
      </c>
    </row>
    <row r="31" ht="23.1" customHeight="1" s="186">
      <c r="A31" s="825">
        <f>IFERROR(INDEX(月例!$A$5:$A$788,MATCH("通信運搬費|S|26",月例!$S$5:$S$788,0)),"")</f>
        <v>44460</v>
      </c>
      <c r="B31" s="826" t="str">
        <f>IFERROR(INDEX(月例!$E$5:$E$788,MATCH("通信運搬費|S|26",月例!$S$5:$S$788,0)),"")</f>
        <v>電話料金（８月使用・９月請求分）</v>
      </c>
      <c r="C31" s="827">
        <f>IFERROR(INDEX(月例!$H$5:$H$788,MATCH("通信運搬費|S|26",月例!$S$5:$S$788,0)),"")</f>
        <v>5408</v>
      </c>
      <c r="D31" s="828">
        <f>IF(C31="","",D30-C31)</f>
        <v>-188532</v>
      </c>
      <c r="E31" s="829" t="str">
        <f>IFERROR(INDEX(月例!$P$5:$P$788,MATCH("通信運搬費|S|26",月例!$S$5:$S$788,0)),"")</f>
        <v>昨年実績</v>
      </c>
      <c r="F31" s="825">
        <f>IFERROR(INDEX(月例!$A$5:$A$788,MATCH("委託費|S|26",月例!$S$5:$S$788,0)),"")</f>
        <v>46283</v>
      </c>
      <c r="G31" s="826" t="str">
        <f>IFERROR(INDEX(月例!$E$5:$E$788,MATCH("委託費|S|26",月例!$S$5:$S$788,0)),"")</f>
        <v>レセプト電子データ提供料（６月診療分）</v>
      </c>
      <c r="H31" s="827">
        <f>IFERROR(INDEX(月例!$H$5:$H$788,MATCH("委託費|S|26",月例!$S$5:$S$788,0)),"")</f>
        <v>57533</v>
      </c>
      <c r="I31" s="828">
        <f>IF(H31="","",I30-H31)</f>
        <v>6208130</v>
      </c>
      <c r="J31" s="829" t="str">
        <f>IFERROR(INDEX(月例!$P$5:$P$788,MATCH("委託費|S|26",月例!$S$5:$S$788,0)),"")</f>
        <v>確認済</v>
      </c>
      <c r="K31" s="825">
        <f>IFERROR(INDEX(月例!$A$5:$A$788,MATCH("賃借料|S|26",月例!$S$5:$S$788,0)),"")</f>
        <v>46294</v>
      </c>
      <c r="L31" s="826" t="str">
        <f>IFERROR(INDEX(月例!$E$5:$E$788,MATCH("賃借料|S|26",月例!$S$5:$S$788,0)),"")</f>
        <v>基幹システム用機器賃借料　8月分（短期）</v>
      </c>
      <c r="M31" s="827">
        <f>IFERROR(INDEX(月例!$H$5:$H$788,MATCH("賃借料|S|26",月例!$S$5:$S$788,0)),"")</f>
        <v>672934</v>
      </c>
      <c r="N31" s="828">
        <f>IF(M31="","",N30-M31)</f>
        <v>4388916</v>
      </c>
      <c r="O31" s="829" t="str">
        <f>IFERROR(INDEX(月例!$P$5:$P$788,MATCH("賃借料|S|26",月例!$S$5:$S$788,0)),"")</f>
        <v>確認済</v>
      </c>
      <c r="P31" s="825">
        <f>IFERROR(INDEX(月例!$A$5:$A$788,MATCH("事務用消耗品費|S|26",月例!$S$5:$S$788,0)),"")</f>
        <v>44865</v>
      </c>
      <c r="Q31" s="826" t="str">
        <f>IFERROR(INDEX(月例!$E$5:$E$788,MATCH("事務用消耗品費|S|26",月例!$S$5:$S$788,0)),"")</f>
        <v>輪ゴム　B105J　№16　192-292　８箱　他</v>
      </c>
      <c r="R31" s="827">
        <f>IFERROR(INDEX(月例!$H$5:$H$788,MATCH("事務用消耗品費|S|26",月例!$S$5:$S$788,0)),"")</f>
        <v>1590</v>
      </c>
      <c r="S31" s="828">
        <f>IF(R31="","",S30-R31)</f>
        <v>244849</v>
      </c>
      <c r="T31" s="829" t="str">
        <f>IFERROR(INDEX(月例!$P$5:$P$788,MATCH("事務用消耗品費|S|26",月例!$S$5:$S$788,0)),"")</f>
        <v>昨年実績</v>
      </c>
    </row>
    <row r="32" ht="23.1" customHeight="1" s="186">
      <c r="A32" s="825">
        <f>IFERROR(INDEX(月例!$A$5:$A$788,MATCH("通信運搬費|S|27",月例!$S$5:$S$788,0)),"")</f>
        <v>45198</v>
      </c>
      <c r="B32" s="826" t="str">
        <f>IFERROR(INDEX(月例!$E$5:$E$788,MATCH("通信運搬費|S|27",月例!$S$5:$S$788,0)),"")</f>
        <v>メール便（任継者宛厚生だより８・９月分）</v>
      </c>
      <c r="C32" s="827">
        <f>IFERROR(INDEX(月例!$H$5:$H$788,MATCH("通信運搬費|S|27",月例!$S$5:$S$788,0)),"")</f>
        <v>37296</v>
      </c>
      <c r="D32" s="828">
        <f>IF(C32="","",D31-C32)</f>
        <v>-225828</v>
      </c>
      <c r="E32" s="829" t="str">
        <f>IFERROR(INDEX(月例!$P$5:$P$788,MATCH("通信運搬費|S|27",月例!$S$5:$S$788,0)),"")</f>
        <v>昨年実績</v>
      </c>
      <c r="F32" s="825">
        <f>IFERROR(INDEX(月例!$A$5:$A$788,MATCH("委託費|S|27",月例!$S$5:$S$788,0)),"")</f>
        <v>44469</v>
      </c>
      <c r="G32" s="826" t="str">
        <f>IFERROR(INDEX(月例!$E$5:$E$788,MATCH("委託費|S|27",月例!$S$5:$S$788,0)),"")</f>
        <v>短期給付個人番号管理システム端末保守サービス（8月分）</v>
      </c>
      <c r="H32" s="827">
        <f>IFERROR(INDEX(月例!$H$5:$H$788,MATCH("委託費|S|27",月例!$S$5:$S$788,0)),"")</f>
        <v>385</v>
      </c>
      <c r="I32" s="828">
        <f>IF(H32="","",I31-H32)</f>
        <v>6207745</v>
      </c>
      <c r="J32" s="829" t="str">
        <f>IFERROR(INDEX(月例!$P$5:$P$788,MATCH("委託費|S|27",月例!$S$5:$S$788,0)),"")</f>
        <v>昨年実績</v>
      </c>
      <c r="K32" s="825">
        <f>IFERROR(INDEX(月例!$A$5:$A$788,MATCH("賃借料|S|27",月例!$S$5:$S$788,0)),"")</f>
        <v>46295</v>
      </c>
      <c r="L32" s="826" t="str">
        <f>IFERROR(INDEX(月例!$E$5:$E$788,MATCH("賃借料|S|27",月例!$S$5:$S$788,0)),"")</f>
        <v>統合管理端末リース料（８月分）</v>
      </c>
      <c r="M32" s="827">
        <f>IFERROR(INDEX(月例!$H$5:$H$788,MATCH("賃借料|S|27",月例!$S$5:$S$788,0)),"")</f>
        <v>12738</v>
      </c>
      <c r="N32" s="828">
        <f>IF(M32="","",N31-M32)</f>
        <v>4376178</v>
      </c>
      <c r="O32" s="829" t="str">
        <f>IFERROR(INDEX(月例!$P$5:$P$788,MATCH("賃借料|S|27",月例!$S$5:$S$788,0)),"")</f>
        <v>確認済</v>
      </c>
      <c r="P32" s="825">
        <f>IFERROR(INDEX(月例!$A$5:$A$788,MATCH("事務用消耗品費|S|27",月例!$S$5:$S$788,0)),"")</f>
        <v>43769</v>
      </c>
      <c r="Q32" s="826" t="str">
        <f>IFERROR(INDEX(月例!$E$5:$E$788,MATCH("事務用消耗品費|S|27",月例!$S$5:$S$788,0)),"")</f>
        <v>桐１０Sプレミアムクラブ優待版　２２本</v>
      </c>
      <c r="R32" s="827">
        <f>IFERROR(INDEX(月例!$H$5:$H$788,MATCH("事務用消耗品費|S|27",月例!$S$5:$S$788,0)),"")</f>
        <v>582120</v>
      </c>
      <c r="S32" s="828">
        <f>IF(R32="","",S31-R32)</f>
        <v>-337271</v>
      </c>
      <c r="T32" s="829" t="str">
        <f>IFERROR(INDEX(月例!$P$5:$P$788,MATCH("事務用消耗品費|S|27",月例!$S$5:$S$788,0)),"")</f>
        <v>昨年実績</v>
      </c>
    </row>
    <row r="33" ht="23.1" customHeight="1" s="186">
      <c r="A33" s="825">
        <f>IFERROR(INDEX(月例!$A$5:$A$788,MATCH("通信運搬費|S|28",月例!$S$5:$S$788,0)),"")</f>
        <v>45198</v>
      </c>
      <c r="B33" s="826" t="str">
        <f>IFERROR(INDEX(月例!$E$5:$E$788,MATCH("通信運搬費|S|28",月例!$S$5:$S$788,0)),"")</f>
        <v>柔整申請書送付（８月分）</v>
      </c>
      <c r="C33" s="827">
        <f>IFERROR(INDEX(月例!$H$5:$H$788,MATCH("通信運搬費|S|28",月例!$S$5:$S$788,0)),"")</f>
        <v>1489</v>
      </c>
      <c r="D33" s="828">
        <f>IF(C33="","",D32-C33)</f>
        <v>-227317</v>
      </c>
      <c r="E33" s="829" t="str">
        <f>IFERROR(INDEX(月例!$P$5:$P$788,MATCH("通信運搬費|S|28",月例!$S$5:$S$788,0)),"")</f>
        <v>昨年実績</v>
      </c>
      <c r="F33" s="825">
        <f>IFERROR(INDEX(月例!$A$5:$A$788,MATCH("委託費|S|28",月例!$S$5:$S$788,0)),"")</f>
        <v>45230</v>
      </c>
      <c r="G33" s="826" t="str">
        <f>IFERROR(INDEX(月例!$E$5:$E$788,MATCH("委託費|S|28",月例!$S$5:$S$788,0)),"")</f>
        <v>統合管理端末保守料（4～9月分）</v>
      </c>
      <c r="H33" s="827">
        <f>IFERROR(INDEX(月例!$H$5:$H$788,MATCH("委託費|S|28",月例!$S$5:$S$788,0)),"")</f>
        <v>32340</v>
      </c>
      <c r="I33" s="828">
        <f>IF(H33="","",I32-H33)</f>
        <v>6175405</v>
      </c>
      <c r="J33" s="829" t="str">
        <f>IFERROR(INDEX(月例!$P$5:$P$788,MATCH("委託費|S|28",月例!$S$5:$S$788,0)),"")</f>
        <v>昨年実績</v>
      </c>
      <c r="K33" s="825">
        <f>IFERROR(INDEX(月例!$A$5:$A$788,MATCH("賃借料|S|28",月例!$S$5:$S$788,0)),"")</f>
        <v>45959</v>
      </c>
      <c r="L33" s="826" t="str">
        <f>IFERROR(INDEX(月例!$E$5:$E$788,MATCH("賃借料|S|28",月例!$S$5:$S$788,0)),"")</f>
        <v>パソコン（業務経理用）９月分</v>
      </c>
      <c r="M33" s="827">
        <f>IFERROR(INDEX(月例!$H$5:$H$788,MATCH("賃借料|S|28",月例!$S$5:$S$788,0)),"")</f>
        <v>5060</v>
      </c>
      <c r="N33" s="828">
        <f>IF(M33="","",N32-M33)</f>
        <v>4371118</v>
      </c>
      <c r="O33" s="829" t="str">
        <f>IFERROR(INDEX(月例!$P$5:$P$788,MATCH("賃借料|S|28",月例!$S$5:$S$788,0)),"")</f>
        <v>昨年実績</v>
      </c>
      <c r="P33" s="825">
        <f>IFERROR(INDEX(月例!$A$5:$A$788,MATCH("事務用消耗品費|S|28",月例!$S$5:$S$788,0)),"")</f>
        <v>46325</v>
      </c>
      <c r="Q33" s="826" t="str">
        <f>IFERROR(INDEX(月例!$E$5:$E$788,MATCH("事務用消耗品費|S|28",月例!$S$5:$S$788,0)),"")</f>
        <v>コピー用紙等購入代分担金　互助会（第２四半期）</v>
      </c>
      <c r="R33" s="827">
        <f>IFERROR(INDEX(月例!$H$5:$H$788,MATCH("事務用消耗品費|S|28",月例!$S$5:$S$788,0)),"")</f>
        <v>84920</v>
      </c>
      <c r="S33" s="828">
        <f>IF(R33="","",S32-R33)</f>
        <v>-422191</v>
      </c>
      <c r="T33" s="829" t="str">
        <f>IFERROR(INDEX(月例!$P$5:$P$788,MATCH("事務用消耗品費|S|28",月例!$S$5:$S$788,0)),"")</f>
        <v>確認済</v>
      </c>
    </row>
    <row r="34" ht="23.1" customHeight="1" s="186">
      <c r="A34" s="825">
        <f>IFERROR(INDEX(月例!$A$5:$A$788,MATCH("通信運搬費|S|29",月例!$S$5:$S$788,0)),"")</f>
        <v>46294</v>
      </c>
      <c r="B34" s="826" t="str">
        <f>IFERROR(INDEX(月例!$E$5:$E$788,MATCH("通信運搬費|S|29",月例!$S$5:$S$788,0)),"")</f>
        <v>料金後納利用料（８月分）</v>
      </c>
      <c r="C34" s="827">
        <f>IFERROR(INDEX(月例!$H$5:$H$788,MATCH("通信運搬費|S|29",月例!$S$5:$S$788,0)),"")</f>
        <v>26460</v>
      </c>
      <c r="D34" s="828">
        <f>IF(C34="","",D33-C34)</f>
        <v>-253777</v>
      </c>
      <c r="E34" s="829" t="str">
        <f>IFERROR(INDEX(月例!$P$5:$P$788,MATCH("通信運搬費|S|29",月例!$S$5:$S$788,0)),"")</f>
        <v>確認済</v>
      </c>
      <c r="F34" s="825">
        <f>IFERROR(INDEX(月例!$A$5:$A$788,MATCH("委託費|S|29",月例!$S$5:$S$788,0)),"")</f>
        <v>46295</v>
      </c>
      <c r="G34" s="826" t="str">
        <f>IFERROR(INDEX(月例!$E$5:$E$788,MATCH("委託費|S|29",月例!$S$5:$S$788,0)),"")</f>
        <v>柔整等療養費支給申請書の入力（８月分）</v>
      </c>
      <c r="H34" s="827">
        <f>IFERROR(INDEX(月例!$H$5:$H$788,MATCH("委託費|S|29",月例!$S$5:$S$788,0)),"")</f>
        <v>141958</v>
      </c>
      <c r="I34" s="828">
        <f>IF(H34="","",I33-H34)</f>
        <v>6033447</v>
      </c>
      <c r="J34" s="829" t="str">
        <f>IFERROR(INDEX(月例!$P$5:$P$788,MATCH("委託費|S|29",月例!$S$5:$S$788,0)),"")</f>
        <v>確認済</v>
      </c>
      <c r="K34" s="825">
        <f>IFERROR(INDEX(月例!$A$5:$A$788,MATCH("賃借料|S|29",月例!$S$5:$S$788,0)),"")</f>
        <v>46324</v>
      </c>
      <c r="L34" s="826" t="str">
        <f>IFERROR(INDEX(月例!$E$5:$E$788,MATCH("賃借料|S|29",月例!$S$5:$S$788,0)),"")</f>
        <v>基幹システム用機器賃借料　9月分（短期）</v>
      </c>
      <c r="M34" s="827">
        <f>IFERROR(INDEX(月例!$H$5:$H$788,MATCH("賃借料|S|29",月例!$S$5:$S$788,0)),"")</f>
        <v>672934</v>
      </c>
      <c r="N34" s="828">
        <f>IF(M34="","",N33-M34)</f>
        <v>3698184</v>
      </c>
      <c r="O34" s="829" t="str">
        <f>IFERROR(INDEX(月例!$P$5:$P$788,MATCH("賃借料|S|29",月例!$S$5:$S$788,0)),"")</f>
        <v>確認済</v>
      </c>
      <c r="P34" s="825">
        <f>IFERROR(INDEX(月例!$A$5:$A$788,MATCH("事務用消耗品費|S|29",月例!$S$5:$S$788,0)),"")</f>
        <v>44876</v>
      </c>
      <c r="Q34" s="826" t="str">
        <f>IFERROR(INDEX(月例!$E$5:$E$788,MATCH("事務用消耗品費|S|29",月例!$S$5:$S$788,0)),"")</f>
        <v>個人情報保護シール</v>
      </c>
      <c r="R34" s="827">
        <f>IFERROR(INDEX(月例!$H$5:$H$788,MATCH("事務用消耗品費|S|29",月例!$S$5:$S$788,0)),"")</f>
        <v>154000</v>
      </c>
      <c r="S34" s="828">
        <f>IF(R34="","",S33-R34)</f>
        <v>-576191</v>
      </c>
      <c r="T34" s="829" t="str">
        <f>IFERROR(INDEX(月例!$P$5:$P$788,MATCH("事務用消耗品費|S|29",月例!$S$5:$S$788,0)),"")</f>
        <v>昨年実績</v>
      </c>
    </row>
    <row r="35" ht="22.5" customHeight="1" s="186">
      <c r="A35" s="825">
        <f>IFERROR(INDEX(月例!$A$5:$A$788,MATCH("通信運搬費|S|30",月例!$S$5:$S$788,0)),"")</f>
        <v>45946</v>
      </c>
      <c r="B35" s="826" t="str">
        <f>IFERROR(INDEX(月例!$E$5:$E$788,MATCH("通信運搬費|S|30",月例!$S$5:$S$788,0)),"")</f>
        <v>切手</v>
      </c>
      <c r="C35" s="827">
        <f>IFERROR(INDEX(月例!$H$5:$H$788,MATCH("通信運搬費|S|30",月例!$S$5:$S$788,0)),"")</f>
        <v>68000</v>
      </c>
      <c r="D35" s="828">
        <f>IF(C35="","",D34-C35)</f>
        <v>-321777</v>
      </c>
      <c r="E35" s="829" t="str">
        <f>IFERROR(INDEX(月例!$P$5:$P$788,MATCH("通信運搬費|S|30",月例!$S$5:$S$788,0)),"")</f>
        <v>昨年実績</v>
      </c>
      <c r="F35" s="825">
        <f>IFERROR(INDEX(月例!$A$5:$A$788,MATCH("委託費|S|30",月例!$S$5:$S$788,0)),"")</f>
        <v>46315</v>
      </c>
      <c r="G35" s="826" t="str">
        <f>IFERROR(INDEX(月例!$E$5:$E$788,MATCH("委託費|S|30",月例!$S$5:$S$788,0)),"")</f>
        <v>レセプト電子データ提供料（７月診療分）</v>
      </c>
      <c r="H35" s="827">
        <f>IFERROR(INDEX(月例!$H$5:$H$788,MATCH("委託費|S|30",月例!$S$5:$S$788,0)),"")</f>
        <v>59462</v>
      </c>
      <c r="I35" s="828">
        <f>IF(H35="","",I34-H35)</f>
        <v>5973985</v>
      </c>
      <c r="J35" s="829" t="str">
        <f>IFERROR(INDEX(月例!$P$5:$P$788,MATCH("委託費|S|30",月例!$S$5:$S$788,0)),"")</f>
        <v>確認済</v>
      </c>
      <c r="K35" s="825">
        <f>IFERROR(INDEX(月例!$A$5:$A$788,MATCH("賃借料|S|30",月例!$S$5:$S$788,0)),"")</f>
        <v>46324</v>
      </c>
      <c r="L35" s="826" t="str">
        <f>IFERROR(INDEX(月例!$E$5:$E$788,MATCH("賃借料|S|30",月例!$S$5:$S$788,0)),"")</f>
        <v>パソコン（業務経理用）９月分</v>
      </c>
      <c r="M35" s="827">
        <f>IFERROR(INDEX(月例!$H$5:$H$788,MATCH("賃借料|S|30",月例!$S$5:$S$788,0)),"")</f>
        <v>5060</v>
      </c>
      <c r="N35" s="828">
        <f>IF(M35="","",N34-M35)</f>
        <v>3693124</v>
      </c>
      <c r="O35" s="829" t="str">
        <f>IFERROR(INDEX(月例!$P$5:$P$788,MATCH("賃借料|S|30",月例!$S$5:$S$788,0)),"")</f>
        <v>確認済</v>
      </c>
      <c r="P35" s="825">
        <f>IFERROR(INDEX(月例!$A$5:$A$788,MATCH("事務用消耗品費|S|30",月例!$S$5:$S$788,0)),"")</f>
        <v>45975</v>
      </c>
      <c r="Q35" s="826" t="str">
        <f>IFERROR(INDEX(月例!$E$5:$E$788,MATCH("事務用消耗品費|S|30",月例!$S$5:$S$788,0)),"")</f>
        <v>コピー用紙等購入代分担金　互助会（第２四半期）[短期]</v>
      </c>
      <c r="R35" s="827">
        <f>IFERROR(INDEX(月例!$H$5:$H$788,MATCH("事務用消耗品費|S|30",月例!$S$5:$S$788,0)),"")</f>
        <v>117393</v>
      </c>
      <c r="S35" s="828">
        <f>IF(R35="","",S34-R35)</f>
        <v>-693584</v>
      </c>
      <c r="T35" s="829" t="str">
        <f>IFERROR(INDEX(月例!$P$5:$P$788,MATCH("事務用消耗品費|S|30",月例!$S$5:$S$788,0)),"")</f>
        <v>昨年実績</v>
      </c>
    </row>
    <row r="36" ht="23.1" customHeight="1" s="186">
      <c r="A36" s="825">
        <f>IFERROR(INDEX(月例!$A$5:$A$788,MATCH("通信運搬費|S|31",月例!$S$5:$S$788,0)),"")</f>
        <v>46300</v>
      </c>
      <c r="B36" s="826" t="str">
        <f>IFERROR(INDEX(月例!$E$5:$E$788,MATCH("通信運搬費|S|31",月例!$S$5:$S$788,0)),"")</f>
        <v>インターネット通信料金（７・８月利用・９月請求分）</v>
      </c>
      <c r="C36" s="827">
        <f>IFERROR(INDEX(月例!$H$5:$H$788,MATCH("通信運搬費|S|31",月例!$S$5:$S$788,0)),"")</f>
        <v>3663</v>
      </c>
      <c r="D36" s="828">
        <f>IF(C36="","",D35-C36)</f>
        <v>-325440</v>
      </c>
      <c r="E36" s="829" t="str">
        <f>IFERROR(INDEX(月例!$P$5:$P$788,MATCH("通信運搬費|S|31",月例!$S$5:$S$788,0)),"")</f>
        <v>確認済</v>
      </c>
      <c r="F36" s="825">
        <f>IFERROR(INDEX(月例!$A$5:$A$788,MATCH("委託費|S|31",月例!$S$5:$S$788,0)),"")</f>
        <v>44498</v>
      </c>
      <c r="G36" s="826" t="str">
        <f>IFERROR(INDEX(月例!$E$5:$E$788,MATCH("委託費|S|31",月例!$S$5:$S$788,0)),"")</f>
        <v>短期給付個人番号管理システム端末保守サービス（９月分）</v>
      </c>
      <c r="H36" s="827">
        <f>IFERROR(INDEX(月例!$H$5:$H$788,MATCH("委託費|S|31",月例!$S$5:$S$788,0)),"")</f>
        <v>385</v>
      </c>
      <c r="I36" s="828">
        <f>IF(H36="","",I35-H36)</f>
        <v>5973600</v>
      </c>
      <c r="J36" s="829" t="str">
        <f>IFERROR(INDEX(月例!$P$5:$P$788,MATCH("委託費|S|31",月例!$S$5:$S$788,0)),"")</f>
        <v>昨年実績</v>
      </c>
      <c r="K36" s="825">
        <f>IFERROR(INDEX(月例!$A$5:$A$788,MATCH("賃借料|S|31",月例!$S$5:$S$788,0)),"")</f>
        <v>44498</v>
      </c>
      <c r="L36" s="826" t="str">
        <f>IFERROR(INDEX(月例!$E$5:$E$788,MATCH("賃借料|S|31",月例!$S$5:$S$788,0)),"")</f>
        <v>ﾊﾟｿｺﾝｳｨﾙｽ対策ｿﾌﾄ(業務用)ｻﾝﾈｯﾄ（９月分）</v>
      </c>
      <c r="M36" s="827">
        <f>IFERROR(INDEX(月例!$H$5:$H$788,MATCH("賃借料|S|31",月例!$S$5:$S$788,0)),"")</f>
        <v>2090</v>
      </c>
      <c r="N36" s="828">
        <f>IF(M36="","",N35-M36)</f>
        <v>3691034</v>
      </c>
      <c r="O36" s="829" t="str">
        <f>IFERROR(INDEX(月例!$P$5:$P$788,MATCH("賃借料|S|31",月例!$S$5:$S$788,0)),"")</f>
        <v>昨年実績</v>
      </c>
      <c r="P36" s="825">
        <f>IFERROR(INDEX(月例!$A$5:$A$788,MATCH("事務用消耗品費|S|31",月例!$S$5:$S$788,0)),"")</f>
        <v>45625</v>
      </c>
      <c r="Q36" s="826" t="str">
        <f>IFERROR(INDEX(月例!$E$5:$E$788,MATCH("事務用消耗品費|S|31",月例!$S$5:$S$788,0)),"")</f>
        <v>プリンタ（リース満了品）</v>
      </c>
      <c r="R36" s="827">
        <f>IFERROR(INDEX(月例!$H$5:$H$788,MATCH("事務用消耗品費|S|31",月例!$S$5:$S$788,0)),"")</f>
        <v>22000</v>
      </c>
      <c r="S36" s="828">
        <f>IF(R36="","",S35-R36)</f>
        <v>-715584</v>
      </c>
      <c r="T36" s="829" t="str">
        <f>IFERROR(INDEX(月例!$P$5:$P$788,MATCH("事務用消耗品費|S|31",月例!$S$5:$S$788,0)),"")</f>
        <v>昨年実績</v>
      </c>
    </row>
    <row r="37" ht="23.1" customHeight="1" s="186" thickBot="1">
      <c r="A37" s="825">
        <f>IFERROR(INDEX(月例!$A$5:$A$788,MATCH("通信運搬費|S|32",月例!$S$5:$S$788,0)),"")</f>
        <v>45565</v>
      </c>
      <c r="B37" s="826" t="str">
        <f>IFERROR(INDEX(月例!$E$5:$E$788,MATCH("通信運搬費|S|32",月例!$S$5:$S$788,0)),"")</f>
        <v>フレッツ光ネクスト利用料等（８月利用・９月請求分）</v>
      </c>
      <c r="C37" s="827">
        <f>IFERROR(INDEX(月例!$H$5:$H$788,MATCH("通信運搬費|S|32",月例!$S$5:$S$788,0)),"")</f>
        <v>5126</v>
      </c>
      <c r="D37" s="828">
        <f>IF(C37="","",D36-C37)</f>
        <v>-330566</v>
      </c>
      <c r="E37" s="829" t="str">
        <f>IFERROR(INDEX(月例!$P$5:$P$788,MATCH("通信運搬費|S|32",月例!$S$5:$S$788,0)),"")</f>
        <v>昨年実績</v>
      </c>
      <c r="F37" s="825">
        <f>IFERROR(INDEX(月例!$A$5:$A$788,MATCH("委託費|S|32",月例!$S$5:$S$788,0)),"")</f>
        <v>45565</v>
      </c>
      <c r="G37" s="826" t="str">
        <f>IFERROR(INDEX(月例!$E$5:$E$788,MATCH("委託費|S|32",月例!$S$5:$S$788,0)),"")</f>
        <v>基幹システム用カードプリンタの保守</v>
      </c>
      <c r="H37" s="827">
        <f>IFERROR(INDEX(月例!$H$5:$H$788,MATCH("委託費|S|32",月例!$S$5:$S$788,0)),"")</f>
        <v>79200</v>
      </c>
      <c r="I37" s="828">
        <f>IF(H37="","",I36-H37)</f>
        <v>5894400</v>
      </c>
      <c r="J37" s="829" t="str">
        <f>IFERROR(INDEX(月例!$P$5:$P$788,MATCH("委託費|S|32",月例!$S$5:$S$788,0)),"")</f>
        <v>昨年実績</v>
      </c>
      <c r="K37" s="825">
        <f>IFERROR(INDEX(月例!$A$5:$A$788,MATCH("賃借料|S|32",月例!$S$5:$S$788,0)),"")</f>
        <v>43769</v>
      </c>
      <c r="L37" s="826" t="str">
        <f>IFERROR(INDEX(月例!$E$5:$E$788,MATCH("賃借料|S|32",月例!$S$5:$S$788,0)),"")</f>
        <v>基幹システム（短期）用機器リース料９月分</v>
      </c>
      <c r="M37" s="827">
        <f>IFERROR(INDEX(月例!$H$5:$H$788,MATCH("賃借料|S|32",月例!$S$5:$S$788,0)),"")</f>
        <v>193676</v>
      </c>
      <c r="N37" s="828">
        <f>IF(M37="","",N36-M37)</f>
        <v>3497358</v>
      </c>
      <c r="O37" s="829" t="str">
        <f>IFERROR(INDEX(月例!$P$5:$P$788,MATCH("賃借料|S|32",月例!$S$5:$S$788,0)),"")</f>
        <v>昨年実績</v>
      </c>
      <c r="P37" s="825">
        <f>IFERROR(INDEX(月例!$A$5:$A$788,MATCH("事務用消耗品費|S|32",月例!$S$5:$S$788,0)),"")</f>
        <v>45989</v>
      </c>
      <c r="Q37" s="826" t="str">
        <f>IFERROR(INDEX(月例!$E$5:$E$788,MATCH("事務用消耗品費|S|32",月例!$S$5:$S$788,0)),"")</f>
        <v>マチ付きホルダー　ＹＧ－１４／１０枚入　８０パック　外</v>
      </c>
      <c r="R37" s="827">
        <f>IFERROR(INDEX(月例!$H$5:$H$788,MATCH("事務用消耗品費|S|32",月例!$S$5:$S$788,0)),"")</f>
        <v>81620</v>
      </c>
      <c r="S37" s="828">
        <f>IF(R37="","",S36-R37)</f>
        <v>-797204</v>
      </c>
      <c r="T37" s="829" t="str">
        <f>IFERROR(INDEX(月例!$P$5:$P$788,MATCH("事務用消耗品費|S|32",月例!$S$5:$S$788,0)),"")</f>
        <v>昨年実績</v>
      </c>
    </row>
    <row r="38" ht="23.1" customHeight="1" s="186" thickBot="1">
      <c r="A38" s="825">
        <f>IFERROR(INDEX(月例!$A$5:$A$788,MATCH("通信運搬費|S|33",月例!$S$5:$S$788,0)),"")</f>
        <v>44489</v>
      </c>
      <c r="B38" s="826" t="str">
        <f>IFERROR(INDEX(月例!$E$5:$E$788,MATCH("通信運搬費|S|33",月例!$S$5:$S$788,0)),"")</f>
        <v>電話料金（９月使用・１０月請求分）</v>
      </c>
      <c r="C38" s="827">
        <f>IFERROR(INDEX(月例!$H$5:$H$788,MATCH("通信運搬費|S|33",月例!$S$5:$S$788,0)),"")</f>
        <v>5408</v>
      </c>
      <c r="D38" s="828">
        <f>IF(C38="","",D37-C38)</f>
        <v>-335974</v>
      </c>
      <c r="E38" s="829" t="str">
        <f>IFERROR(INDEX(月例!$P$5:$P$788,MATCH("通信運搬費|S|33",月例!$S$5:$S$788,0)),"")</f>
        <v>昨年実績</v>
      </c>
      <c r="F38" s="825">
        <f>IFERROR(INDEX(月例!$A$5:$A$788,MATCH("委託費|S|33",月例!$S$5:$S$788,0)),"")</f>
        <v>46325</v>
      </c>
      <c r="G38" s="826" t="str">
        <f>IFERROR(INDEX(月例!$E$5:$E$788,MATCH("委託費|S|33",月例!$S$5:$S$788,0)),"")</f>
        <v>柔整等療養費支給申請書の入力（９月分）</v>
      </c>
      <c r="H38" s="827">
        <f>IFERROR(INDEX(月例!$H$5:$H$788,MATCH("委託費|S|33",月例!$S$5:$S$788,0)),"")</f>
        <v>125177</v>
      </c>
      <c r="I38" s="828">
        <f>IF(H38="","",I37-H38)</f>
        <v>5769223</v>
      </c>
      <c r="J38" s="829" t="str">
        <f>IFERROR(INDEX(月例!$P$5:$P$788,MATCH("委託費|S|33",月例!$S$5:$S$788,0)),"")</f>
        <v>確認済</v>
      </c>
      <c r="K38" s="825">
        <f>IFERROR(INDEX(月例!$A$5:$A$788,MATCH("賃借料|S|33",月例!$S$5:$S$788,0)),"")</f>
        <v>46325</v>
      </c>
      <c r="L38" s="826" t="str">
        <f>IFERROR(INDEX(月例!$E$5:$E$788,MATCH("賃借料|S|33",月例!$S$5:$S$788,0)),"")</f>
        <v>統合管理端末リース料（９月分）</v>
      </c>
      <c r="M38" s="827">
        <f>IFERROR(INDEX(月例!$H$5:$H$788,MATCH("賃借料|S|33",月例!$S$5:$S$788,0)),"")</f>
        <v>12738</v>
      </c>
      <c r="N38" s="828">
        <f>IF(M38="","",N37-M38)</f>
        <v>3484620</v>
      </c>
      <c r="O38" s="829" t="str">
        <f>IFERROR(INDEX(月例!$P$5:$P$788,MATCH("賃借料|S|33",月例!$S$5:$S$788,0)),"")</f>
        <v>確認済</v>
      </c>
      <c r="P38" s="825">
        <f>IFERROR(INDEX(月例!$A$5:$A$788,MATCH("事務用消耗品費|S|33",月例!$S$5:$S$788,0)),"")</f>
        <v>46356</v>
      </c>
      <c r="Q38" s="826" t="str">
        <f>IFERROR(INDEX(月例!$E$5:$E$788,MATCH("事務用消耗品費|S|33",月例!$S$5:$S$788,0)),"")</f>
        <v>シャチハタネーム　ＥＸ１５号　キャップ式　4個</v>
      </c>
      <c r="R38" s="827">
        <f>IFERROR(INDEX(月例!$H$5:$H$788,MATCH("事務用消耗品費|S|33",月例!$S$5:$S$788,0)),"")</f>
        <v>15200</v>
      </c>
      <c r="S38" s="828">
        <f>IF(R38="","",S37-R38)</f>
        <v>-812404</v>
      </c>
      <c r="T38" s="829" t="str">
        <f>IFERROR(INDEX(月例!$P$5:$P$788,MATCH("事務用消耗品費|S|33",月例!$S$5:$S$788,0)),"")</f>
        <v>確認済</v>
      </c>
    </row>
    <row r="39" ht="23.1" customHeight="1" s="186">
      <c r="A39" s="825">
        <f>IFERROR(INDEX(月例!$A$5:$A$788,MATCH("通信運搬費|S|34",月例!$S$5:$S$788,0)),"")</f>
        <v>46324</v>
      </c>
      <c r="B39" s="826" t="str">
        <f>IFERROR(INDEX(月例!$E$5:$E$788,MATCH("通信運搬費|S|34",月例!$S$5:$S$788,0)),"")</f>
        <v>料金後納利用料（９月分）</v>
      </c>
      <c r="C39" s="827">
        <f>IFERROR(INDEX(月例!$H$5:$H$788,MATCH("通信運搬費|S|34",月例!$S$5:$S$788,0)),"")</f>
        <v>26280</v>
      </c>
      <c r="D39" s="828">
        <f>IF(C39="","",D38-C39)</f>
        <v>-362254</v>
      </c>
      <c r="E39" s="829" t="str">
        <f>IFERROR(INDEX(月例!$P$5:$P$788,MATCH("通信運搬費|S|34",月例!$S$5:$S$788,0)),"")</f>
        <v>確認済</v>
      </c>
      <c r="F39" s="825">
        <f>IFERROR(INDEX(月例!$A$5:$A$788,MATCH("委託費|S|34",月例!$S$5:$S$788,0)),"")</f>
        <v>44865</v>
      </c>
      <c r="G39" s="826" t="str">
        <f>IFERROR(INDEX(月例!$E$5:$E$788,MATCH("委託費|S|34",月例!$S$5:$S$788,0)),"")</f>
        <v>統合管理端末保守料（９月分）</v>
      </c>
      <c r="H39" s="827">
        <f>IFERROR(INDEX(月例!$H$5:$H$788,MATCH("委託費|S|34",月例!$S$5:$S$788,0)),"")</f>
        <v>770</v>
      </c>
      <c r="I39" s="828">
        <f>IF(H39="","",I38-H39)</f>
        <v>5768453</v>
      </c>
      <c r="J39" s="829" t="str">
        <f>IFERROR(INDEX(月例!$P$5:$P$788,MATCH("委託費|S|34",月例!$S$5:$S$788,0)),"")</f>
        <v>昨年実績</v>
      </c>
      <c r="K39" s="825">
        <f>IFERROR(INDEX(月例!$A$5:$A$788,MATCH("賃借料|S|34",月例!$S$5:$S$788,0)),"")</f>
        <v>45989</v>
      </c>
      <c r="L39" s="826" t="str">
        <f>IFERROR(INDEX(月例!$E$5:$E$788,MATCH("賃借料|S|34",月例!$S$5:$S$788,0)),"")</f>
        <v>パソコン（業務経理用）１０月分</v>
      </c>
      <c r="M39" s="827">
        <f>IFERROR(INDEX(月例!$H$5:$H$788,MATCH("賃借料|S|34",月例!$S$5:$S$788,0)),"")</f>
        <v>5060</v>
      </c>
      <c r="N39" s="828">
        <f>IF(M39="","",N38-M39)</f>
        <v>3479560</v>
      </c>
      <c r="O39" s="829" t="str">
        <f>IFERROR(INDEX(月例!$P$5:$P$788,MATCH("賃借料|S|34",月例!$S$5:$S$788,0)),"")</f>
        <v>昨年実績</v>
      </c>
      <c r="P39" s="825">
        <f>IFERROR(INDEX(月例!$A$5:$A$788,MATCH("事務用消耗品費|S|34",月例!$S$5:$S$788,0)),"")</f>
        <v>44193</v>
      </c>
      <c r="Q39" s="826" t="str">
        <f>IFERROR(INDEX(月例!$E$5:$E$788,MATCH("事務用消耗品費|S|34",月例!$S$5:$S$788,0)),"")</f>
        <v>限度額適用認定証（台紙）</v>
      </c>
      <c r="R39" s="827">
        <f>IFERROR(INDEX(月例!$H$5:$H$788,MATCH("事務用消耗品費|S|34",月例!$S$5:$S$788,0)),"")</f>
        <v>24200</v>
      </c>
      <c r="S39" s="828">
        <f>IF(R39="","",S38-R39)</f>
        <v>-836604</v>
      </c>
      <c r="T39" s="829" t="str">
        <f>IFERROR(INDEX(月例!$P$5:$P$788,MATCH("事務用消耗品費|S|34",月例!$S$5:$S$788,0)),"")</f>
        <v>昨年実績</v>
      </c>
    </row>
    <row r="40" ht="23.1" customHeight="1" s="186">
      <c r="A40" s="825">
        <f>IFERROR(INDEX(月例!$A$5:$A$788,MATCH("通信運搬費|S|35",月例!$S$5:$S$788,0)),"")</f>
        <v>45230</v>
      </c>
      <c r="B40" s="826" t="str">
        <f>IFERROR(INDEX(月例!$E$5:$E$788,MATCH("通信運搬費|S|35",月例!$S$5:$S$788,0)),"")</f>
        <v>柔整申請書送付（９月分）</v>
      </c>
      <c r="C40" s="827">
        <f>IFERROR(INDEX(月例!$H$5:$H$788,MATCH("通信運搬費|S|35",月例!$S$5:$S$788,0)),"")</f>
        <v>1489</v>
      </c>
      <c r="D40" s="828">
        <f>IF(C40="","",D39-C40)</f>
        <v>-363743</v>
      </c>
      <c r="E40" s="829" t="str">
        <f>IFERROR(INDEX(月例!$P$5:$P$788,MATCH("通信運搬費|S|35",月例!$S$5:$S$788,0)),"")</f>
        <v>昨年実績</v>
      </c>
      <c r="F40" s="825">
        <f>IFERROR(INDEX(月例!$A$5:$A$788,MATCH("委託費|S|35",月例!$S$5:$S$788,0)),"")</f>
        <v>45981</v>
      </c>
      <c r="G40" s="826" t="str">
        <f>IFERROR(INDEX(月例!$E$5:$E$788,MATCH("委託費|S|35",月例!$S$5:$S$788,0)),"")</f>
        <v>レセプト電子データ提供料（８月診療分）</v>
      </c>
      <c r="H40" s="827">
        <f>IFERROR(INDEX(月例!$H$5:$H$788,MATCH("委託費|S|35",月例!$S$5:$S$788,0)),"")</f>
        <v>56116</v>
      </c>
      <c r="I40" s="828">
        <f>IF(H40="","",I39-H40)</f>
        <v>5712337</v>
      </c>
      <c r="J40" s="829" t="str">
        <f>IFERROR(INDEX(月例!$P$5:$P$788,MATCH("委託費|S|35",月例!$S$5:$S$788,0)),"")</f>
        <v>昨年実績</v>
      </c>
      <c r="K40" s="825">
        <f>IFERROR(INDEX(月例!$A$5:$A$788,MATCH("賃借料|S|35",月例!$S$5:$S$788,0)),"")</f>
        <v>45989</v>
      </c>
      <c r="L40" s="826" t="str">
        <f>IFERROR(INDEX(月例!$E$5:$E$788,MATCH("賃借料|S|35",月例!$S$5:$S$788,0)),"")</f>
        <v>基幹システム用機器賃借料　10月分（短期）</v>
      </c>
      <c r="M40" s="827">
        <f>IFERROR(INDEX(月例!$H$5:$H$788,MATCH("賃借料|S|35",月例!$S$5:$S$788,0)),"")</f>
        <v>672934</v>
      </c>
      <c r="N40" s="828">
        <f>IF(M40="","",N39-M40)</f>
        <v>2806626</v>
      </c>
      <c r="O40" s="829" t="str">
        <f>IFERROR(INDEX(月例!$P$5:$P$788,MATCH("賃借料|S|35",月例!$S$5:$S$788,0)),"")</f>
        <v>昨年実績</v>
      </c>
      <c r="P40" s="825">
        <f>IFERROR(INDEX(月例!$A$5:$A$788,MATCH("事務用消耗品費|S|35",月例!$S$5:$S$788,0)),"")</f>
        <v>46017</v>
      </c>
      <c r="Q40" s="826" t="str">
        <f>IFERROR(INDEX(月例!$E$5:$E$788,MATCH("事務用消耗品費|S|35",月例!$S$5:$S$788,0)),"")</f>
        <v>ポストイット　５００４SS-K　５箱　他</v>
      </c>
      <c r="R40" s="827">
        <f>IFERROR(INDEX(月例!$H$5:$H$788,MATCH("事務用消耗品費|S|35",月例!$S$5:$S$788,0)),"")</f>
        <v>62330</v>
      </c>
      <c r="S40" s="828">
        <f>IF(R40="","",S39-R40)</f>
        <v>-898934</v>
      </c>
      <c r="T40" s="829" t="str">
        <f>IFERROR(INDEX(月例!$P$5:$P$788,MATCH("事務用消耗品費|S|35",月例!$S$5:$S$788,0)),"")</f>
        <v>昨年実績</v>
      </c>
    </row>
    <row r="41" ht="23.1" customHeight="1" s="186" thickBot="1">
      <c r="A41" s="825">
        <f>IFERROR(INDEX(月例!$A$5:$A$788,MATCH("通信運搬費|S|36",月例!$S$5:$S$788,0)),"")</f>
        <v>44865</v>
      </c>
      <c r="B41" s="826" t="str">
        <f>IFERROR(INDEX(月例!$E$5:$E$788,MATCH("通信運搬費|S|36",月例!$S$5:$S$788,0)),"")</f>
        <v>メール便（任継者宛厚生だより９月分）</v>
      </c>
      <c r="C41" s="827">
        <f>IFERROR(INDEX(月例!$H$5:$H$788,MATCH("通信運搬費|S|36",月例!$S$5:$S$788,0)),"")</f>
        <v>9240</v>
      </c>
      <c r="D41" s="828">
        <f>IF(C41="","",D40-C41)</f>
        <v>-372983</v>
      </c>
      <c r="E41" s="829" t="str">
        <f>IFERROR(INDEX(月例!$P$5:$P$788,MATCH("通信運搬費|S|36",月例!$S$5:$S$788,0)),"")</f>
        <v>昨年実績</v>
      </c>
      <c r="F41" s="825">
        <f>IFERROR(INDEX(月例!$A$5:$A$788,MATCH("委託費|S|36",月例!$S$5:$S$788,0)),"")</f>
        <v>44154</v>
      </c>
      <c r="G41" s="826" t="str">
        <f>IFERROR(INDEX(月例!$E$5:$E$788,MATCH("委託費|S|36",月例!$S$5:$S$788,0)),"")</f>
        <v>社会保障等制度情報提供手数料（７～９月分）</v>
      </c>
      <c r="H41" s="827">
        <f>IFERROR(INDEX(月例!$H$5:$H$788,MATCH("委託費|S|36",月例!$S$5:$S$788,0)),"")</f>
        <v>40</v>
      </c>
      <c r="I41" s="828">
        <f>IF(H41="","",I40-H41)</f>
        <v>5712297</v>
      </c>
      <c r="J41" s="829" t="str">
        <f>IFERROR(INDEX(月例!$P$5:$P$788,MATCH("委託費|S|36",月例!$S$5:$S$788,0)),"")</f>
        <v>昨年実績</v>
      </c>
      <c r="K41" s="825">
        <f>IFERROR(INDEX(月例!$A$5:$A$788,MATCH("賃借料|S|36",月例!$S$5:$S$788,0)),"")</f>
        <v>45625</v>
      </c>
      <c r="L41" s="826" t="str">
        <f>IFERROR(INDEX(月例!$E$5:$E$788,MATCH("賃借料|S|36",月例!$S$5:$S$788,0)),"")</f>
        <v>サーバーラック賃借料（ＪＥＣＣ）（４～１０月分）（短期）</v>
      </c>
      <c r="M41" s="827">
        <f>IFERROR(INDEX(月例!$H$5:$H$788,MATCH("賃借料|S|36",月例!$S$5:$S$788,0)),"")</f>
        <v>1967</v>
      </c>
      <c r="N41" s="828">
        <f>IF(M41="","",N40-M41)</f>
        <v>2804659</v>
      </c>
      <c r="O41" s="829" t="str">
        <f>IFERROR(INDEX(月例!$P$5:$P$788,MATCH("賃借料|S|36",月例!$S$5:$S$788,0)),"")</f>
        <v>昨年実績</v>
      </c>
      <c r="P41" s="825">
        <f>IFERROR(INDEX(月例!$A$5:$A$788,MATCH("事務用消耗品費|S|36",月例!$S$5:$S$788,0)),"")</f>
        <v>45688</v>
      </c>
      <c r="Q41" s="826" t="str">
        <f>IFERROR(INDEX(月例!$E$5:$E$788,MATCH("事務用消耗品費|S|36",月例!$S$5:$S$788,0)),"")</f>
        <v>HDMI　ケーブル　LDC-14HDM10  ２個 他</v>
      </c>
      <c r="R41" s="827">
        <f>IFERROR(INDEX(月例!$H$5:$H$788,MATCH("事務用消耗品費|S|36",月例!$S$5:$S$788,0)),"")</f>
        <v>5147</v>
      </c>
      <c r="S41" s="828">
        <f>IF(R41="","",S40-R41)</f>
        <v>-904081</v>
      </c>
      <c r="T41" s="829" t="str">
        <f>IFERROR(INDEX(月例!$P$5:$P$788,MATCH("事務用消耗品費|S|36",月例!$S$5:$S$788,0)),"")</f>
        <v>昨年実績</v>
      </c>
    </row>
    <row r="42" ht="23.1" customHeight="1" s="186" thickBot="1">
      <c r="A42" s="825">
        <f>IFERROR(INDEX(月例!$A$5:$A$788,MATCH("通信運搬費|S|37",月例!$S$5:$S$788,0)),"")</f>
        <v>46325</v>
      </c>
      <c r="B42" s="826" t="str">
        <f>IFERROR(INDEX(月例!$E$5:$E$788,MATCH("通信運搬費|S|37",月例!$S$5:$S$788,0)),"")</f>
        <v>ＦＡＸ電話代等分担金　互助会（第２四半期）</v>
      </c>
      <c r="C42" s="827">
        <f>IFERROR(INDEX(月例!$H$5:$H$788,MATCH("通信運搬費|S|37",月例!$S$5:$S$788,0)),"")</f>
        <v>5125</v>
      </c>
      <c r="D42" s="828">
        <f>IF(C42="","",D41-C42)</f>
        <v>-378108</v>
      </c>
      <c r="E42" s="829" t="str">
        <f>IFERROR(INDEX(月例!$P$5:$P$788,MATCH("通信運搬費|S|37",月例!$S$5:$S$788,0)),"")</f>
        <v>確認済</v>
      </c>
      <c r="F42" s="825">
        <f>IFERROR(INDEX(月例!$A$5:$A$788,MATCH("委託費|S|37",月例!$S$5:$S$788,0)),"")</f>
        <v>45981</v>
      </c>
      <c r="G42" s="826" t="str">
        <f>IFERROR(INDEX(月例!$E$5:$E$788,MATCH("委託費|S|37",月例!$S$5:$S$788,0)),"")</f>
        <v>社会保障等制度情報提供手数料（７～９月分）</v>
      </c>
      <c r="H42" s="827">
        <f>IFERROR(INDEX(月例!$H$5:$H$788,MATCH("委託費|S|37",月例!$S$5:$S$788,0)),"")</f>
        <v>7660</v>
      </c>
      <c r="I42" s="828">
        <f>IF(H42="","",I41-H42)</f>
        <v>5704637</v>
      </c>
      <c r="J42" s="829" t="str">
        <f>IFERROR(INDEX(月例!$P$5:$P$788,MATCH("委託費|S|37",月例!$S$5:$S$788,0)),"")</f>
        <v>昨年実績</v>
      </c>
      <c r="K42" s="825">
        <f>IFERROR(INDEX(月例!$A$5:$A$788,MATCH("賃借料|S|37",月例!$S$5:$S$788,0)),"")</f>
        <v>43798</v>
      </c>
      <c r="L42" s="826" t="str">
        <f>IFERROR(INDEX(月例!$E$5:$E$788,MATCH("賃借料|S|37",月例!$S$5:$S$788,0)),"")</f>
        <v>基幹システム（短期）用機器リース料１０月分</v>
      </c>
      <c r="M42" s="827">
        <f>IFERROR(INDEX(月例!$H$5:$H$788,MATCH("賃借料|S|37",月例!$S$5:$S$788,0)),"")</f>
        <v>193676</v>
      </c>
      <c r="N42" s="828">
        <f>IF(M42="","",N41-M42)</f>
        <v>2610983</v>
      </c>
      <c r="O42" s="829" t="str">
        <f>IFERROR(INDEX(月例!$P$5:$P$788,MATCH("賃借料|S|37",月例!$S$5:$S$788,0)),"")</f>
        <v>昨年実績</v>
      </c>
      <c r="P42" s="825">
        <f>IFERROR(INDEX(月例!$A$5:$A$788,MATCH("事務用消耗品費|S|37",月例!$S$5:$S$788,0)),"")</f>
        <v>45688</v>
      </c>
      <c r="Q42" s="826" t="str">
        <f>IFERROR(INDEX(月例!$E$5:$E$788,MATCH("事務用消耗品費|S|37",月例!$S$5:$S$788,0)),"")</f>
        <v>輪ゴム　B105J/No.16 192-292  8箱 他</v>
      </c>
      <c r="R42" s="827">
        <f>IFERROR(INDEX(月例!$H$5:$H$788,MATCH("事務用消耗品費|S|37",月例!$S$5:$S$788,0)),"")</f>
        <v>19566</v>
      </c>
      <c r="S42" s="828">
        <f>IF(R42="","",S41-R42)</f>
        <v>-923647</v>
      </c>
      <c r="T42" s="829" t="str">
        <f>IFERROR(INDEX(月例!$P$5:$P$788,MATCH("事務用消耗品費|S|37",月例!$S$5:$S$788,0)),"")</f>
        <v>昨年実績</v>
      </c>
    </row>
    <row r="43" ht="23.1" customHeight="1" s="186">
      <c r="A43" s="825">
        <f>IFERROR(INDEX(月例!$A$5:$A$788,MATCH("通信運搬費|S|38",月例!$S$5:$S$788,0)),"")</f>
        <v>46328</v>
      </c>
      <c r="B43" s="826" t="str">
        <f>IFERROR(INDEX(月例!$E$5:$E$788,MATCH("通信運搬費|S|38",月例!$S$5:$S$788,0)),"")</f>
        <v>フレッツ光ネクスト利用料等（８月、９月利用・１０月請求分）</v>
      </c>
      <c r="C43" s="827">
        <f>IFERROR(INDEX(月例!$H$5:$H$788,MATCH("通信運搬費|S|38",月例!$S$5:$S$788,0)),"")</f>
        <v>13090</v>
      </c>
      <c r="D43" s="828">
        <f>IF(C43="","",D42-C43)</f>
        <v>-391198</v>
      </c>
      <c r="E43" s="829" t="str">
        <f>IFERROR(INDEX(月例!$P$5:$P$788,MATCH("通信運搬費|S|38",月例!$S$5:$S$788,0)),"")</f>
        <v>確認済</v>
      </c>
      <c r="F43" s="825">
        <f>IFERROR(INDEX(月例!$A$5:$A$788,MATCH("委託費|S|38",月例!$S$5:$S$788,0)),"")</f>
        <v>45259</v>
      </c>
      <c r="G43" s="826" t="str">
        <f>IFERROR(INDEX(月例!$E$5:$E$788,MATCH("委託費|S|38",月例!$S$5:$S$788,0)),"")</f>
        <v>短期給付に係る個人番号管理システムシンクライアント（契約サービス）</v>
      </c>
      <c r="H43" s="827">
        <f>IFERROR(INDEX(月例!$H$5:$H$788,MATCH("委託費|S|38",月例!$S$5:$S$788,0)),"")</f>
        <v>41976</v>
      </c>
      <c r="I43" s="828">
        <f>IF(H43="","",I42-H43)</f>
        <v>5662661</v>
      </c>
      <c r="J43" s="829" t="str">
        <f>IFERROR(INDEX(月例!$P$5:$P$788,MATCH("委託費|S|38",月例!$S$5:$S$788,0)),"")</f>
        <v>昨年実績</v>
      </c>
      <c r="K43" s="825">
        <f>IFERROR(INDEX(月例!$A$5:$A$788,MATCH("賃借料|S|38",月例!$S$5:$S$788,0)),"")</f>
        <v>46356</v>
      </c>
      <c r="L43" s="826" t="str">
        <f>IFERROR(INDEX(月例!$E$5:$E$788,MATCH("賃借料|S|38",月例!$S$5:$S$788,0)),"")</f>
        <v>統合管理端末リース料（１０月分）</v>
      </c>
      <c r="M43" s="827">
        <f>IFERROR(INDEX(月例!$H$5:$H$788,MATCH("賃借料|S|38",月例!$S$5:$S$788,0)),"")</f>
        <v>12738</v>
      </c>
      <c r="N43" s="828">
        <f>IF(M43="","",N42-M43)</f>
        <v>2598245</v>
      </c>
      <c r="O43" s="829" t="str">
        <f>IFERROR(INDEX(月例!$P$5:$P$788,MATCH("賃借料|S|38",月例!$S$5:$S$788,0)),"")</f>
        <v>確認済</v>
      </c>
      <c r="P43" s="825">
        <f>IFERROR(INDEX(月例!$A$5:$A$788,MATCH("事務用消耗品費|S|38",月例!$S$5:$S$788,0)),"")</f>
        <v>46052</v>
      </c>
      <c r="Q43" s="826" t="str">
        <f>IFERROR(INDEX(月例!$E$5:$E$788,MATCH("事務用消耗品費|S|38",月例!$S$5:$S$788,0)),"")</f>
        <v>コピー用紙等購入代分担金　互助会（第３四半期）</v>
      </c>
      <c r="R43" s="827">
        <f>IFERROR(INDEX(月例!$H$5:$H$788,MATCH("事務用消耗品費|S|38",月例!$S$5:$S$788,0)),"")</f>
        <v>71787</v>
      </c>
      <c r="S43" s="828">
        <f>IF(R43="","",S42-R43)</f>
        <v>-995434</v>
      </c>
      <c r="T43" s="829" t="str">
        <f>IFERROR(INDEX(月例!$P$5:$P$788,MATCH("事務用消耗品費|S|38",月例!$S$5:$S$788,0)),"")</f>
        <v>昨年実績</v>
      </c>
    </row>
    <row r="44" ht="23.1" customHeight="1" s="186" thickBot="1">
      <c r="A44" s="825">
        <f>IFERROR(INDEX(月例!$A$5:$A$788,MATCH("通信運搬費|S|39",月例!$S$5:$S$788,0)),"")</f>
        <v>45583</v>
      </c>
      <c r="B44" s="826" t="str">
        <f>IFERROR(INDEX(月例!$E$5:$E$788,MATCH("通信運搬費|S|39",月例!$S$5:$S$788,0)),"")</f>
        <v>切手</v>
      </c>
      <c r="C44" s="827">
        <f>IFERROR(INDEX(月例!$H$5:$H$788,MATCH("通信運搬費|S|39",月例!$S$5:$S$788,0)),"")</f>
        <v>110100</v>
      </c>
      <c r="D44" s="828">
        <f>IF(C44="","",D43-C44)</f>
        <v>-501298</v>
      </c>
      <c r="E44" s="829" t="str">
        <f>IFERROR(INDEX(月例!$P$5:$P$788,MATCH("通信運搬費|S|39",月例!$S$5:$S$788,0)),"")</f>
        <v>昨年実績</v>
      </c>
      <c r="F44" s="825">
        <f>IFERROR(INDEX(月例!$A$5:$A$788,MATCH("委託費|S|39",月例!$S$5:$S$788,0)),"")</f>
        <v>46295</v>
      </c>
      <c r="G44" s="826" t="str">
        <f>IFERROR(INDEX(月例!$E$5:$E$788,MATCH("委託費|S|39",月例!$S$5:$S$788,0)),"")</f>
        <v>オフィスライセンス調達（短期）</v>
      </c>
      <c r="H44" s="827">
        <f>IFERROR(INDEX(月例!$H$5:$H$788,MATCH("委託費|S|39",月例!$S$5:$S$788,0)),"")</f>
        <v>1480160</v>
      </c>
      <c r="I44" s="828">
        <f>IF(H44="","",I43-H44)</f>
        <v>4182501</v>
      </c>
      <c r="J44" s="829" t="str">
        <f>IFERROR(INDEX(月例!$P$5:$P$788,MATCH("委託費|S|39",月例!$S$5:$S$788,0)),"")</f>
        <v>確認済</v>
      </c>
      <c r="K44" s="825">
        <f>IFERROR(INDEX(月例!$A$5:$A$788,MATCH("賃借料|S|39",月例!$S$5:$S$788,0)),"")</f>
        <v>44904</v>
      </c>
      <c r="L44" s="826" t="str">
        <f>IFERROR(INDEX(月例!$E$5:$E$788,MATCH("賃借料|S|39",月例!$S$5:$S$788,0)),"")</f>
        <v>大都市職員共済組合事務担当者会議等　WEB会議用機器等</v>
      </c>
      <c r="M44" s="827">
        <f>IFERROR(INDEX(月例!$H$5:$H$788,MATCH("賃借料|S|39",月例!$S$5:$S$788,0)),"")</f>
        <v>6682</v>
      </c>
      <c r="N44" s="828">
        <f>IF(M44="","",N43-M44)</f>
        <v>2591563</v>
      </c>
      <c r="O44" s="829" t="str">
        <f>IFERROR(INDEX(月例!$P$5:$P$788,MATCH("賃借料|S|39",月例!$S$5:$S$788,0)),"")</f>
        <v>昨年実績</v>
      </c>
      <c r="P44" s="825">
        <f>IFERROR(INDEX(月例!$A$5:$A$788,MATCH("事務用消耗品費|S|39",月例!$S$5:$S$788,0)),"")</f>
        <v>45351</v>
      </c>
      <c r="Q44" s="826" t="str">
        <f>IFERROR(INDEX(月例!$E$5:$E$788,MATCH("事務用消耗品費|S|39",月例!$S$5:$S$788,0)),"")</f>
        <v>輪ゴム　B105J/No.16 192-292  8箱 他</v>
      </c>
      <c r="R44" s="827">
        <f>IFERROR(INDEX(月例!$H$5:$H$788,MATCH("事務用消耗品費|S|39",月例!$S$5:$S$788,0)),"")</f>
        <v>5481</v>
      </c>
      <c r="S44" s="828">
        <f>IF(R44="","",S43-R44)</f>
        <v>-1000915</v>
      </c>
      <c r="T44" s="829" t="str">
        <f>IFERROR(INDEX(月例!$P$5:$P$788,MATCH("事務用消耗品費|S|39",月例!$S$5:$S$788,0)),"")</f>
        <v>昨年実績</v>
      </c>
    </row>
    <row r="45" ht="23.1" customHeight="1" s="186" thickBot="1">
      <c r="A45" s="825">
        <f>IFERROR(INDEX(月例!$A$5:$A$788,MATCH("通信運搬費|S|40",月例!$S$5:$S$788,0)),"")</f>
        <v>45975</v>
      </c>
      <c r="B45" s="826" t="str">
        <f>IFERROR(INDEX(月例!$E$5:$E$788,MATCH("通信運搬費|S|40",月例!$S$5:$S$788,0)),"")</f>
        <v>ＦＡＸ電話代等分担金　互助会（第２四半期）[短期]</v>
      </c>
      <c r="C45" s="827">
        <f>IFERROR(INDEX(月例!$H$5:$H$788,MATCH("通信運搬費|S|40",月例!$S$5:$S$788,0)),"")</f>
        <v>5626</v>
      </c>
      <c r="D45" s="828">
        <f>IF(C45="","",D44-C45)</f>
        <v>-506924</v>
      </c>
      <c r="E45" s="829" t="str">
        <f>IFERROR(INDEX(月例!$P$5:$P$788,MATCH("通信運搬費|S|40",月例!$S$5:$S$788,0)),"")</f>
        <v>昨年実績</v>
      </c>
      <c r="F45" s="825">
        <f>IFERROR(INDEX(月例!$A$5:$A$788,MATCH("委託費|S|40",月例!$S$5:$S$788,0)),"")</f>
        <v>45954</v>
      </c>
      <c r="G45" s="826" t="str">
        <f>IFERROR(INDEX(月例!$E$5:$E$788,MATCH("委託費|S|40",月例!$S$5:$S$788,0)),"")</f>
        <v>基幹・特定検診等システムMicro Focus COBOL 更新ライセンス</v>
      </c>
      <c r="H45" s="827">
        <f>IFERROR(INDEX(月例!$H$5:$H$788,MATCH("委託費|S|40",月例!$S$5:$S$788,0)),"")</f>
        <v>357112</v>
      </c>
      <c r="I45" s="828">
        <f>IF(H45="","",I44-H45)</f>
        <v>3825389</v>
      </c>
      <c r="J45" s="829" t="str">
        <f>IFERROR(INDEX(月例!$P$5:$P$788,MATCH("委託費|S|40",月例!$S$5:$S$788,0)),"")</f>
        <v>昨年実績</v>
      </c>
      <c r="K45" s="825">
        <f>IFERROR(INDEX(月例!$A$5:$A$788,MATCH("賃借料|S|40",月例!$S$5:$S$788,0)),"")</f>
        <v>43798</v>
      </c>
      <c r="L45" s="826" t="str">
        <f>IFERROR(INDEX(月例!$E$5:$E$788,MATCH("賃借料|S|40",月例!$S$5:$S$788,0)),"")</f>
        <v>基幹システム用機器賃借料４～１０月（短期分）</v>
      </c>
      <c r="M45" s="827">
        <f>IFERROR(INDEX(月例!$H$5:$H$788,MATCH("賃借料|S|40",月例!$S$5:$S$788,0)),"")</f>
        <v>186543</v>
      </c>
      <c r="N45" s="828">
        <f>IF(M45="","",N44-M45)</f>
        <v>2405020</v>
      </c>
      <c r="O45" s="829" t="str">
        <f>IFERROR(INDEX(月例!$P$5:$P$788,MATCH("賃借料|S|40",月例!$S$5:$S$788,0)),"")</f>
        <v>昨年実績</v>
      </c>
      <c r="P45" s="825">
        <f>IFERROR(INDEX(月例!$A$5:$A$788,MATCH("事務用消耗品費|S|40",月例!$S$5:$S$788,0)),"")</f>
        <v>44253</v>
      </c>
      <c r="Q45" s="826" t="str">
        <f>IFERROR(INDEX(月例!$E$5:$E$788,MATCH("事務用消耗品費|S|40",月例!$S$5:$S$788,0)),"")</f>
        <v>ﾆｲﾀｶｹﾐｶﾞｰﾄﾞ 4㎏　1本　他</v>
      </c>
      <c r="R45" s="827">
        <f>IFERROR(INDEX(月例!$H$5:$H$788,MATCH("事務用消耗品費|S|40",月例!$S$5:$S$788,0)),"")</f>
        <v>5330</v>
      </c>
      <c r="S45" s="828">
        <f>IF(R45="","",S44-R45)</f>
        <v>-1006245</v>
      </c>
      <c r="T45" s="829" t="str">
        <f>IFERROR(INDEX(月例!$P$5:$P$788,MATCH("事務用消耗品費|S|40",月例!$S$5:$S$788,0)),"")</f>
        <v>昨年実績</v>
      </c>
    </row>
    <row r="46" ht="23.1" customHeight="1" s="186">
      <c r="A46" s="825">
        <f>IFERROR(INDEX(月例!$A$5:$A$788,MATCH("通信運搬費|S|41",月例!$S$5:$S$788,0)),"")</f>
        <v>44522</v>
      </c>
      <c r="B46" s="826" t="str">
        <f>IFERROR(INDEX(月例!$E$5:$E$788,MATCH("通信運搬費|S|41",月例!$S$5:$S$788,0)),"")</f>
        <v>電話料金（１０月使用・１１月請求分）</v>
      </c>
      <c r="C46" s="827">
        <f>IFERROR(INDEX(月例!$H$5:$H$788,MATCH("通信運搬費|S|41",月例!$S$5:$S$788,0)),"")</f>
        <v>5408</v>
      </c>
      <c r="D46" s="828">
        <f>IF(C46="","",D45-C46)</f>
        <v>-512332</v>
      </c>
      <c r="E46" s="829" t="str">
        <f>IFERROR(INDEX(月例!$P$5:$P$788,MATCH("通信運搬費|S|41",月例!$S$5:$S$788,0)),"")</f>
        <v>昨年実績</v>
      </c>
      <c r="F46" s="825">
        <f>IFERROR(INDEX(月例!$A$5:$A$788,MATCH("委託費|S|41",月例!$S$5:$S$788,0)),"")</f>
        <v>43798</v>
      </c>
      <c r="G46" s="826" t="str">
        <f>IFERROR(INDEX(月例!$E$5:$E$788,MATCH("委託費|S|41",月例!$S$5:$S$788,0)),"")</f>
        <v>基幹システム機器更改導入準備作業・稼働検証（出張費）</v>
      </c>
      <c r="H46" s="827">
        <f>IFERROR(INDEX(月例!$H$5:$H$788,MATCH("委託費|S|41",月例!$S$5:$S$788,0)),"")</f>
        <v>13449</v>
      </c>
      <c r="I46" s="828">
        <f>IF(H46="","",I45-H46)</f>
        <v>3811940</v>
      </c>
      <c r="J46" s="829" t="str">
        <f>IFERROR(INDEX(月例!$P$5:$P$788,MATCH("委託費|S|41",月例!$S$5:$S$788,0)),"")</f>
        <v>昨年実績</v>
      </c>
      <c r="K46" s="825">
        <f>IFERROR(INDEX(月例!$A$5:$A$788,MATCH("賃借料|S|41",月例!$S$5:$S$788,0)),"")</f>
        <v>46017</v>
      </c>
      <c r="L46" s="826" t="str">
        <f>IFERROR(INDEX(月例!$E$5:$E$788,MATCH("賃借料|S|41",月例!$S$5:$S$788,0)),"")</f>
        <v>パソコン（業務経理用）１１月分</v>
      </c>
      <c r="M46" s="827">
        <f>IFERROR(INDEX(月例!$H$5:$H$788,MATCH("賃借料|S|41",月例!$S$5:$S$788,0)),"")</f>
        <v>5060</v>
      </c>
      <c r="N46" s="828">
        <f>IF(M46="","",N45-M46)</f>
        <v>2399960</v>
      </c>
      <c r="O46" s="829" t="str">
        <f>IFERROR(INDEX(月例!$P$5:$P$788,MATCH("賃借料|S|41",月例!$S$5:$S$788,0)),"")</f>
        <v>昨年実績</v>
      </c>
      <c r="P46" s="825">
        <f>IFERROR(INDEX(月例!$A$5:$A$788,MATCH("事務用消耗品費|S|41",月例!$S$5:$S$788,0)),"")</f>
        <v>46080</v>
      </c>
      <c r="Q46" s="826" t="str">
        <f>IFERROR(INDEX(月例!$E$5:$E$788,MATCH("事務用消耗品費|S|41",月例!$S$5:$S$788,0)),"")</f>
        <v>マチ付きホルダー　ＹＧ－１４／１０枚入　４０パック　外</v>
      </c>
      <c r="R46" s="827">
        <f>IFERROR(INDEX(月例!$H$5:$H$788,MATCH("事務用消耗品費|S|41",月例!$S$5:$S$788,0)),"")</f>
        <v>49487</v>
      </c>
      <c r="S46" s="828">
        <f>IF(R46="","",S45-R46)</f>
        <v>-1055732</v>
      </c>
      <c r="T46" s="829" t="str">
        <f>IFERROR(INDEX(月例!$P$5:$P$788,MATCH("事務用消耗品費|S|41",月例!$S$5:$S$788,0)),"")</f>
        <v>昨年実績</v>
      </c>
    </row>
    <row r="47" ht="23.1" customHeight="1" s="186">
      <c r="A47" s="825">
        <f>IFERROR(INDEX(月例!$A$5:$A$788,MATCH("通信運搬費|S|42",月例!$S$5:$S$788,0)),"")</f>
        <v>43791</v>
      </c>
      <c r="B47" s="826" t="str">
        <f>IFERROR(INDEX(月例!$E$5:$E$788,MATCH("通信運搬費|S|42",月例!$S$5:$S$788,0)),"")</f>
        <v>切手等</v>
      </c>
      <c r="C47" s="827">
        <f>IFERROR(INDEX(月例!$H$5:$H$788,MATCH("通信運搬費|S|42",月例!$S$5:$S$788,0)),"")</f>
        <v>9200</v>
      </c>
      <c r="D47" s="828">
        <f>IF(C47="","",D46-C47)</f>
        <v>-521532</v>
      </c>
      <c r="E47" s="829" t="str">
        <f>IFERROR(INDEX(月例!$P$5:$P$788,MATCH("通信運搬費|S|42",月例!$S$5:$S$788,0)),"")</f>
        <v>昨年実績</v>
      </c>
      <c r="F47" s="825">
        <f>IFERROR(INDEX(月例!$A$5:$A$788,MATCH("委託費|S|42",月例!$S$5:$S$788,0)),"")</f>
        <v>45635</v>
      </c>
      <c r="G47" s="826" t="str">
        <f>IFERROR(INDEX(月例!$E$5:$E$788,MATCH("委託費|S|42",月例!$S$5:$S$788,0)),"")</f>
        <v>基幹システム機器更改に伴う個別システム改修</v>
      </c>
      <c r="H47" s="827">
        <f>IFERROR(INDEX(月例!$H$5:$H$788,MATCH("委託費|S|42",月例!$S$5:$S$788,0)),"")</f>
        <v>6269046</v>
      </c>
      <c r="I47" s="828">
        <f>IF(H47="","",I46-H47)</f>
        <v>-2457106</v>
      </c>
      <c r="J47" s="829" t="str">
        <f>IFERROR(INDEX(月例!$P$5:$P$788,MATCH("委託費|S|42",月例!$S$5:$S$788,0)),"")</f>
        <v>昨年実績</v>
      </c>
      <c r="K47" s="825">
        <f>IFERROR(INDEX(月例!$A$5:$A$788,MATCH("賃借料|S|42",月例!$S$5:$S$788,0)),"")</f>
        <v>46017</v>
      </c>
      <c r="L47" s="826" t="str">
        <f>IFERROR(INDEX(月例!$E$5:$E$788,MATCH("賃借料|S|42",月例!$S$5:$S$788,0)),"")</f>
        <v>基幹システム用機器賃借料　11月分（短期）</v>
      </c>
      <c r="M47" s="827">
        <f>IFERROR(INDEX(月例!$H$5:$H$788,MATCH("賃借料|S|42",月例!$S$5:$S$788,0)),"")</f>
        <v>672934</v>
      </c>
      <c r="N47" s="828">
        <f>IF(M47="","",N46-M47)</f>
        <v>1727026</v>
      </c>
      <c r="O47" s="829" t="str">
        <f>IFERROR(INDEX(月例!$P$5:$P$788,MATCH("賃借料|S|42",月例!$S$5:$S$788,0)),"")</f>
        <v>昨年実績</v>
      </c>
      <c r="P47" s="825">
        <f>IFERROR(INDEX(月例!$A$5:$A$788,MATCH("事務用消耗品費|S|42",月例!$S$5:$S$788,0)),"")</f>
        <v>44620</v>
      </c>
      <c r="Q47" s="826" t="str">
        <f>IFERROR(INDEX(月例!$E$5:$E$788,MATCH("事務用消耗品費|S|42",月例!$S$5:$S$788,0)),"")</f>
        <v>特定疾病療養受療証（台紙）</v>
      </c>
      <c r="R47" s="827">
        <f>IFERROR(INDEX(月例!$H$5:$H$788,MATCH("事務用消耗品費|S|42",月例!$S$5:$S$788,0)),"")</f>
        <v>25850</v>
      </c>
      <c r="S47" s="828">
        <f>IF(R47="","",S46-R47)</f>
        <v>-1081582</v>
      </c>
      <c r="T47" s="829" t="str">
        <f>IFERROR(INDEX(月例!$P$5:$P$788,MATCH("事務用消耗品費|S|42",月例!$S$5:$S$788,0)),"")</f>
        <v>昨年実績</v>
      </c>
    </row>
    <row r="48" ht="23.1" customHeight="1" s="186" thickBot="1">
      <c r="A48" s="825">
        <f>IFERROR(INDEX(月例!$A$5:$A$788,MATCH("通信運搬費|S|43",月例!$S$5:$S$788,0)),"")</f>
        <v>45260</v>
      </c>
      <c r="B48" s="826" t="str">
        <f>IFERROR(INDEX(月例!$E$5:$E$788,MATCH("通信運搬費|S|43",月例!$S$5:$S$788,0)),"")</f>
        <v>メール便（任継者宛厚生だより１０月分）</v>
      </c>
      <c r="C48" s="827">
        <f>IFERROR(INDEX(月例!$H$5:$H$788,MATCH("通信運搬費|S|43",月例!$S$5:$S$788,0)),"")</f>
        <v>18392</v>
      </c>
      <c r="D48" s="828">
        <f>IF(C48="","",D47-C48)</f>
        <v>-539924</v>
      </c>
      <c r="E48" s="829" t="str">
        <f>IFERROR(INDEX(月例!$P$5:$P$788,MATCH("通信運搬費|S|43",月例!$S$5:$S$788,0)),"")</f>
        <v>昨年実績</v>
      </c>
      <c r="F48" s="825">
        <f>IFERROR(INDEX(月例!$A$5:$A$788,MATCH("委託費|S|43",月例!$S$5:$S$788,0)),"")</f>
        <v>45989</v>
      </c>
      <c r="G48" s="826" t="str">
        <f>IFERROR(INDEX(月例!$E$5:$E$788,MATCH("委託費|S|43",月例!$S$5:$S$788,0)),"")</f>
        <v>柔整等療養費支給申請書の入力（１０月分）</v>
      </c>
      <c r="H48" s="827">
        <f>IFERROR(INDEX(月例!$H$5:$H$788,MATCH("委託費|S|43",月例!$S$5:$S$788,0)),"")</f>
        <v>126870</v>
      </c>
      <c r="I48" s="828">
        <f>IF(H48="","",I47-H48)</f>
        <v>-2583976</v>
      </c>
      <c r="J48" s="829" t="str">
        <f>IFERROR(INDEX(月例!$P$5:$P$788,MATCH("委託費|S|43",月例!$S$5:$S$788,0)),"")</f>
        <v>昨年実績</v>
      </c>
      <c r="K48" s="825">
        <f>IFERROR(INDEX(月例!$A$5:$A$788,MATCH("賃借料|S|43",月例!$S$5:$S$788,0)),"")</f>
        <v>43826</v>
      </c>
      <c r="L48" s="826" t="str">
        <f>IFERROR(INDEX(月例!$E$5:$E$788,MATCH("賃借料|S|43",月例!$S$5:$S$788,0)),"")</f>
        <v>基幹システム（短期）用機器リース料１１月分</v>
      </c>
      <c r="M48" s="827">
        <f>IFERROR(INDEX(月例!$H$5:$H$788,MATCH("賃借料|S|43",月例!$S$5:$S$788,0)),"")</f>
        <v>193676</v>
      </c>
      <c r="N48" s="828">
        <f>IF(M48="","",N47-M48)</f>
        <v>1533350</v>
      </c>
      <c r="O48" s="829" t="str">
        <f>IFERROR(INDEX(月例!$P$5:$P$788,MATCH("賃借料|S|43",月例!$S$5:$S$788,0)),"")</f>
        <v>昨年実績</v>
      </c>
      <c r="P48" s="825">
        <f>IFERROR(INDEX(月例!$A$5:$A$788,MATCH("事務用消耗品費|S|43",月例!$S$5:$S$788,0)),"")</f>
        <v>43553</v>
      </c>
      <c r="Q48" s="826" t="str">
        <f>IFERROR(INDEX(月例!$E$5:$E$788,MATCH("事務用消耗品費|S|43",月例!$S$5:$S$788,0)),"")</f>
        <v>限度額適用認定証（台紙）</v>
      </c>
      <c r="R48" s="827">
        <f>IFERROR(INDEX(月例!$H$5:$H$788,MATCH("事務用消耗品費|S|43",月例!$S$5:$S$788,0)),"")</f>
        <v>17820</v>
      </c>
      <c r="S48" s="828">
        <f>IF(R48="","",S47-R48)</f>
        <v>-1099402</v>
      </c>
      <c r="T48" s="829" t="str">
        <f>IFERROR(INDEX(月例!$P$5:$P$788,MATCH("事務用消耗品費|S|43",月例!$S$5:$S$788,0)),"")</f>
        <v>昨年実績</v>
      </c>
    </row>
    <row r="49" ht="23.1" customHeight="1" s="186" thickBot="1">
      <c r="A49" s="825">
        <f>IFERROR(INDEX(月例!$A$5:$A$788,MATCH("通信運搬費|S|44",月例!$S$5:$S$788,0)),"")</f>
        <v>45260</v>
      </c>
      <c r="B49" s="826" t="str">
        <f>IFERROR(INDEX(月例!$E$5:$E$788,MATCH("通信運搬費|S|44",月例!$S$5:$S$788,0)),"")</f>
        <v>柔整申請書送付（１０月分）</v>
      </c>
      <c r="C49" s="827">
        <f>IFERROR(INDEX(月例!$H$5:$H$788,MATCH("通信運搬費|S|44",月例!$S$5:$S$788,0)),"")</f>
        <v>1489</v>
      </c>
      <c r="D49" s="828">
        <f>IF(C49="","",D48-C49)</f>
        <v>-541413</v>
      </c>
      <c r="E49" s="829" t="str">
        <f>IFERROR(INDEX(月例!$P$5:$P$788,MATCH("通信運搬費|S|44",月例!$S$5:$S$788,0)),"")</f>
        <v>昨年実績</v>
      </c>
      <c r="F49" s="825">
        <f>IFERROR(INDEX(月例!$A$5:$A$788,MATCH("委託費|S|44",月例!$S$5:$S$788,0)),"")</f>
        <v>45260</v>
      </c>
      <c r="G49" s="826" t="str">
        <f>IFERROR(INDEX(月例!$E$5:$E$788,MATCH("委託費|S|44",月例!$S$5:$S$788,0)),"")</f>
        <v>統合管理端末保守料（１０月分）</v>
      </c>
      <c r="H49" s="827">
        <f>IFERROR(INDEX(月例!$H$5:$H$788,MATCH("委託費|S|44",月例!$S$5:$S$788,0)),"")</f>
        <v>5390</v>
      </c>
      <c r="I49" s="828">
        <f>IF(H49="","",I48-H49)</f>
        <v>-2589366</v>
      </c>
      <c r="J49" s="829" t="str">
        <f>IFERROR(INDEX(月例!$P$5:$P$788,MATCH("委託費|S|44",月例!$S$5:$S$788,0)),"")</f>
        <v>昨年実績</v>
      </c>
      <c r="K49" s="825">
        <f>IFERROR(INDEX(月例!$A$5:$A$788,MATCH("賃借料|S|44",月例!$S$5:$S$788,0)),"")</f>
        <v>46007</v>
      </c>
      <c r="L49" s="826" t="str">
        <f>IFERROR(INDEX(月例!$E$5:$E$788,MATCH("賃借料|S|44",月例!$S$5:$S$788,0)),"")</f>
        <v>統合管理端末リース料（１１月分）</v>
      </c>
      <c r="M49" s="827">
        <f>IFERROR(INDEX(月例!$H$5:$H$788,MATCH("賃借料|S|44",月例!$S$5:$S$788,0)),"")</f>
        <v>12738</v>
      </c>
      <c r="N49" s="828">
        <f>IF(M49="","",N48-M49)</f>
        <v>1520612</v>
      </c>
      <c r="O49" s="829" t="str">
        <f>IFERROR(INDEX(月例!$P$5:$P$788,MATCH("賃借料|S|44",月例!$S$5:$S$788,0)),"")</f>
        <v>昨年実績</v>
      </c>
      <c r="P49" s="825">
        <f>IFERROR(INDEX(月例!$A$5:$A$788,MATCH("事務用消耗品費|S|44",月例!$S$5:$S$788,0)),"")</f>
        <v>44651</v>
      </c>
      <c r="Q49" s="826" t="str">
        <f>IFERROR(INDEX(月例!$E$5:$E$788,MATCH("事務用消耗品費|S|44",月例!$S$5:$S$788,0)),"")</f>
        <v>ポストイット　７００１ＳＳ－NE　3箱他</v>
      </c>
      <c r="R49" s="827">
        <f>IFERROR(INDEX(月例!$H$5:$H$788,MATCH("事務用消耗品費|S|44",月例!$S$5:$S$788,0)),"")</f>
        <v>10665</v>
      </c>
      <c r="S49" s="828">
        <f>IF(R49="","",S48-R49)</f>
        <v>-1110067</v>
      </c>
      <c r="T49" s="829" t="str">
        <f>IFERROR(INDEX(月例!$P$5:$P$788,MATCH("事務用消耗品費|S|44",月例!$S$5:$S$788,0)),"")</f>
        <v>昨年実績</v>
      </c>
    </row>
    <row r="50" ht="23.1" customHeight="1" s="186">
      <c r="A50" s="825">
        <f>IFERROR(INDEX(月例!$A$5:$A$788,MATCH("通信運搬費|S|45",月例!$S$5:$S$788,0)),"")</f>
        <v>45628</v>
      </c>
      <c r="B50" s="826" t="str">
        <f>IFERROR(INDEX(月例!$E$5:$E$788,MATCH("通信運搬費|S|45",月例!$S$5:$S$788,0)),"")</f>
        <v>インターネット通信料金（９・１０月利用・１１月請求分）</v>
      </c>
      <c r="C50" s="827">
        <f>IFERROR(INDEX(月例!$H$5:$H$788,MATCH("通信運搬費|S|45",月例!$S$5:$S$788,0)),"")</f>
        <v>3416</v>
      </c>
      <c r="D50" s="828">
        <f>IF(C50="","",D49-C50)</f>
        <v>-544829</v>
      </c>
      <c r="E50" s="829" t="str">
        <f>IFERROR(INDEX(月例!$P$5:$P$788,MATCH("通信運搬費|S|45",月例!$S$5:$S$788,0)),"")</f>
        <v>昨年実績</v>
      </c>
      <c r="F50" s="825">
        <f>IFERROR(INDEX(月例!$A$5:$A$788,MATCH("委託費|S|45",月例!$S$5:$S$788,0)),"")</f>
        <v>45653</v>
      </c>
      <c r="G50" s="826" t="str">
        <f>IFERROR(INDEX(月例!$E$5:$E$788,MATCH("委託費|S|45",月例!$S$5:$S$788,0)),"")</f>
        <v>個人番号管理システムシンクライアント（11月～10月）</v>
      </c>
      <c r="H50" s="827">
        <f>IFERROR(INDEX(月例!$H$5:$H$788,MATCH("委託費|S|45",月例!$S$5:$S$788,0)),"")</f>
        <v>41976</v>
      </c>
      <c r="I50" s="828">
        <f>IF(H50="","",I49-H50)</f>
        <v>-2631342</v>
      </c>
      <c r="J50" s="829" t="str">
        <f>IFERROR(INDEX(月例!$P$5:$P$788,MATCH("委託費|S|45",月例!$S$5:$S$788,0)),"")</f>
        <v>昨年実績</v>
      </c>
      <c r="K50" s="825">
        <f>IFERROR(INDEX(月例!$A$5:$A$788,MATCH("賃借料|S|45",月例!$S$5:$S$788,0)),"")</f>
        <v>45653</v>
      </c>
      <c r="L50" s="826" t="str">
        <f>IFERROR(INDEX(月例!$E$5:$E$788,MATCH("賃借料|S|45",月例!$S$5:$S$788,0)),"")</f>
        <v>基幹システム用機器賃借料　１１月分（短期）</v>
      </c>
      <c r="M50" s="827">
        <f>IFERROR(INDEX(月例!$H$5:$H$788,MATCH("賃借料|S|45",月例!$S$5:$S$788,0)),"")</f>
        <v>672934</v>
      </c>
      <c r="N50" s="828">
        <f>IF(M50="","",N49-M50)</f>
        <v>847678</v>
      </c>
      <c r="O50" s="829" t="str">
        <f>IFERROR(INDEX(月例!$P$5:$P$788,MATCH("賃借料|S|45",月例!$S$5:$S$788,0)),"")</f>
        <v>昨年実績</v>
      </c>
      <c r="P50" s="825">
        <f>IFERROR(INDEX(月例!$A$5:$A$788,MATCH("事務用消耗品費|S|45",月例!$S$5:$S$788,0)),"")</f>
        <v>44651</v>
      </c>
      <c r="Q50" s="826" t="str">
        <f>IFERROR(INDEX(月例!$E$5:$E$788,MATCH("事務用消耗品費|S|45",月例!$S$5:$S$788,0)),"")</f>
        <v>RICOH　 SPトナー　６４００</v>
      </c>
      <c r="R50" s="827">
        <f>IFERROR(INDEX(月例!$H$5:$H$788,MATCH("事務用消耗品費|S|45",月例!$S$5:$S$788,0)),"")</f>
        <v>18480</v>
      </c>
      <c r="S50" s="828">
        <f>IF(R50="","",S49-R50)</f>
        <v>-1128547</v>
      </c>
      <c r="T50" s="829" t="str">
        <f>IFERROR(INDEX(月例!$P$5:$P$788,MATCH("事務用消耗品費|S|45",月例!$S$5:$S$788,0)),"")</f>
        <v>昨年実績</v>
      </c>
    </row>
    <row r="51" ht="23.1" customHeight="1" s="186">
      <c r="A51" s="825">
        <f>IFERROR(INDEX(月例!$A$5:$A$788,MATCH("通信運搬費|S|46",月例!$S$5:$S$788,0)),"")</f>
        <v>45625</v>
      </c>
      <c r="B51" s="826" t="str">
        <f>IFERROR(INDEX(月例!$E$5:$E$788,MATCH("通信運搬費|S|46",月例!$S$5:$S$788,0)),"")</f>
        <v>料金後納利用料（１０月分）</v>
      </c>
      <c r="C51" s="827">
        <f>IFERROR(INDEX(月例!$H$5:$H$788,MATCH("通信運搬費|S|46",月例!$S$5:$S$788,0)),"")</f>
        <v>111888</v>
      </c>
      <c r="D51" s="828">
        <f>IF(C51="","",D50-C51)</f>
        <v>-656717</v>
      </c>
      <c r="E51" s="829" t="str">
        <f>IFERROR(INDEX(月例!$P$5:$P$788,MATCH("通信運搬費|S|46",月例!$S$5:$S$788,0)),"")</f>
        <v>昨年実績</v>
      </c>
      <c r="F51" s="825">
        <f>IFERROR(INDEX(月例!$A$5:$A$788,MATCH("委託費|S|46",月例!$S$5:$S$788,0)),"")</f>
        <v>45996</v>
      </c>
      <c r="G51" s="826" t="str">
        <f>IFERROR(INDEX(月例!$E$5:$E$788,MATCH("委託費|S|46",月例!$S$5:$S$788,0)),"")</f>
        <v>清掃・警備・ごみ処理料（広島市４～９月分）</v>
      </c>
      <c r="H51" s="827">
        <f>IFERROR(INDEX(月例!$H$5:$H$788,MATCH("委託費|S|46",月例!$S$5:$S$788,0)),"")</f>
        <v>4786</v>
      </c>
      <c r="I51" s="828">
        <f>IF(H51="","",I50-H51)</f>
        <v>-2636128</v>
      </c>
      <c r="J51" s="829" t="str">
        <f>IFERROR(INDEX(月例!$P$5:$P$788,MATCH("委託費|S|46",月例!$S$5:$S$788,0)),"")</f>
        <v>昨年実績</v>
      </c>
      <c r="K51" s="825">
        <f>IFERROR(INDEX(月例!$A$5:$A$788,MATCH("賃借料|S|46",月例!$S$5:$S$788,0)),"")</f>
        <v>46051</v>
      </c>
      <c r="L51" s="826" t="str">
        <f>IFERROR(INDEX(月例!$E$5:$E$788,MATCH("賃借料|S|46",月例!$S$5:$S$788,0)),"")</f>
        <v>パソコン（業務経理用）１２月分</v>
      </c>
      <c r="M51" s="827">
        <f>IFERROR(INDEX(月例!$H$5:$H$788,MATCH("賃借料|S|46",月例!$S$5:$S$788,0)),"")</f>
        <v>5060</v>
      </c>
      <c r="N51" s="828">
        <f>IF(M51="","",N50-M51)</f>
        <v>842618</v>
      </c>
      <c r="O51" s="829" t="str">
        <f>IFERROR(INDEX(月例!$P$5:$P$788,MATCH("賃借料|S|46",月例!$S$5:$S$788,0)),"")</f>
        <v>昨年実績</v>
      </c>
      <c r="P51" s="825">
        <f>IFERROR(INDEX(月例!$A$5:$A$788,MATCH("事務用消耗品費|S|46",月例!$S$5:$S$788,0)),"")</f>
        <v>46112</v>
      </c>
      <c r="Q51" s="826" t="str">
        <f>IFERROR(INDEX(月例!$E$5:$E$788,MATCH("事務用消耗品費|S|46",月例!$S$5:$S$788,0)),"")</f>
        <v>Ｖクリップ　大／500本　5箱　ほか</v>
      </c>
      <c r="R51" s="827">
        <f>IFERROR(INDEX(月例!$H$5:$H$788,MATCH("事務用消耗品費|S|46",月例!$S$5:$S$788,0)),"")</f>
        <v>5928</v>
      </c>
      <c r="S51" s="828">
        <f>IF(R51="","",S50-R51)</f>
        <v>-1134475</v>
      </c>
      <c r="T51" s="829" t="str">
        <f>IFERROR(INDEX(月例!$P$5:$P$788,MATCH("事務用消耗品費|S|46",月例!$S$5:$S$788,0)),"")</f>
        <v>昨年実績</v>
      </c>
    </row>
    <row r="52" ht="23.1" customHeight="1" s="186" thickBot="1">
      <c r="A52" s="825">
        <f>IFERROR(INDEX(月例!$A$5:$A$788,MATCH("通信運搬費|S|47",月例!$S$5:$S$788,0)),"")</f>
        <v>45992</v>
      </c>
      <c r="B52" s="826" t="str">
        <f>IFERROR(INDEX(月例!$E$5:$E$788,MATCH("通信運搬費|S|47",月例!$S$5:$S$788,0)),"")</f>
        <v>インターネット通信料金（9・10月利用・11月請求分）</v>
      </c>
      <c r="C52" s="827">
        <f>IFERROR(INDEX(月例!$H$5:$H$788,MATCH("通信運搬費|S|47",月例!$S$5:$S$788,0)),"")</f>
        <v>3663</v>
      </c>
      <c r="D52" s="828">
        <f>IF(C52="","",D51-C52)</f>
        <v>-660380</v>
      </c>
      <c r="E52" s="829" t="str">
        <f>IFERROR(INDEX(月例!$P$5:$P$788,MATCH("通信運搬費|S|47",月例!$S$5:$S$788,0)),"")</f>
        <v>昨年実績</v>
      </c>
      <c r="F52" s="825">
        <f>IFERROR(INDEX(月例!$A$5:$A$788,MATCH("委託費|S|47",月例!$S$5:$S$788,0)),"")</f>
        <v>46010</v>
      </c>
      <c r="G52" s="826" t="str">
        <f>IFERROR(INDEX(月例!$E$5:$E$788,MATCH("委託費|S|47",月例!$S$5:$S$788,0)),"")</f>
        <v>レセプト電子データ提供料（９月診療分）</v>
      </c>
      <c r="H52" s="827">
        <f>IFERROR(INDEX(月例!$H$5:$H$788,MATCH("委託費|S|47",月例!$S$5:$S$788,0)),"")</f>
        <v>59322</v>
      </c>
      <c r="I52" s="828">
        <f>IF(H52="","",I51-H52)</f>
        <v>-2695450</v>
      </c>
      <c r="J52" s="829" t="str">
        <f>IFERROR(INDEX(月例!$P$5:$P$788,MATCH("委託費|S|47",月例!$S$5:$S$788,0)),"")</f>
        <v>昨年実績</v>
      </c>
      <c r="K52" s="825">
        <f>IFERROR(INDEX(月例!$A$5:$A$788,MATCH("賃借料|S|47",月例!$S$5:$S$788,0)),"")</f>
        <v>46051</v>
      </c>
      <c r="L52" s="826" t="str">
        <f>IFERROR(INDEX(月例!$E$5:$E$788,MATCH("賃借料|S|47",月例!$S$5:$S$788,0)),"")</f>
        <v>基幹システム用機器賃借料　１２月分（短期）</v>
      </c>
      <c r="M52" s="827">
        <f>IFERROR(INDEX(月例!$H$5:$H$788,MATCH("賃借料|S|47",月例!$S$5:$S$788,0)),"")</f>
        <v>672934</v>
      </c>
      <c r="N52" s="828">
        <f>IF(M52="","",N51-M52)</f>
        <v>169684</v>
      </c>
      <c r="O52" s="829" t="str">
        <f>IFERROR(INDEX(月例!$P$5:$P$788,MATCH("賃借料|S|47",月例!$S$5:$S$788,0)),"")</f>
        <v>昨年実績</v>
      </c>
      <c r="P52" s="825">
        <f>IFERROR(INDEX(月例!$A$5:$A$788,MATCH("事務用消耗品費|S|47",月例!$S$5:$S$788,0)),"")</f>
        <v>45747</v>
      </c>
      <c r="Q52" s="826" t="str">
        <f>IFERROR(INDEX(月例!$E$5:$E$788,MATCH("事務用消耗品費|S|47",月例!$S$5:$S$788,0)),"")</f>
        <v>ラベル用紙　　LBP-F7656-100N １冊</v>
      </c>
      <c r="R52" s="827">
        <f>IFERROR(INDEX(月例!$H$5:$H$788,MATCH("事務用消耗品費|S|47",月例!$S$5:$S$788,0)),"")</f>
        <v>6237</v>
      </c>
      <c r="S52" s="828">
        <f>IF(R52="","",S51-R52)</f>
        <v>-1140712</v>
      </c>
      <c r="T52" s="829" t="str">
        <f>IFERROR(INDEX(月例!$P$5:$P$788,MATCH("事務用消耗品費|S|47",月例!$S$5:$S$788,0)),"")</f>
        <v>昨年実績</v>
      </c>
    </row>
    <row r="53" ht="23.1" customHeight="1" s="186" thickBot="1">
      <c r="A53" s="825">
        <f>IFERROR(INDEX(月例!$A$5:$A$788,MATCH("通信運搬費|S|48",月例!$S$5:$S$788,0)),"")</f>
        <v>45628</v>
      </c>
      <c r="B53" s="826" t="str">
        <f>IFERROR(INDEX(月例!$E$5:$E$788,MATCH("通信運搬費|S|48",月例!$S$5:$S$788,0)),"")</f>
        <v>フレッツ光ネクスト利用料等（10月利用・11月請求分）</v>
      </c>
      <c r="C53" s="827">
        <f>IFERROR(INDEX(月例!$H$5:$H$788,MATCH("通信運搬費|S|48",月例!$S$5:$S$788,0)),"")</f>
        <v>5126</v>
      </c>
      <c r="D53" s="828">
        <f>IF(C53="","",D52-C53)</f>
        <v>-665506</v>
      </c>
      <c r="E53" s="829" t="str">
        <f>IFERROR(INDEX(月例!$P$5:$P$788,MATCH("通信運搬費|S|48",月例!$S$5:$S$788,0)),"")</f>
        <v>昨年実績</v>
      </c>
      <c r="F53" s="825">
        <f>IFERROR(INDEX(月例!$A$5:$A$788,MATCH("委託費|S|48",月例!$S$5:$S$788,0)),"")</f>
        <v>45625</v>
      </c>
      <c r="G53" s="826" t="str">
        <f>IFERROR(INDEX(月例!$E$5:$E$788,MATCH("委託費|S|48",月例!$S$5:$S$788,0)),"")</f>
        <v>資格情報のお知らせ作成・印字及び封入封緘処理業務</v>
      </c>
      <c r="H53" s="827">
        <f>IFERROR(INDEX(月例!$H$5:$H$788,MATCH("委託費|S|48",月例!$S$5:$S$788,0)),"")</f>
        <v>1756972</v>
      </c>
      <c r="I53" s="828">
        <f>IF(H53="","",I52-H53)</f>
        <v>-4452422</v>
      </c>
      <c r="J53" s="829" t="str">
        <f>IFERROR(INDEX(月例!$P$5:$P$788,MATCH("委託費|S|48",月例!$S$5:$S$788,0)),"")</f>
        <v>昨年実績</v>
      </c>
      <c r="K53" s="825">
        <f>IFERROR(INDEX(月例!$A$5:$A$788,MATCH("賃借料|S|48",月例!$S$5:$S$788,0)),"")</f>
        <v>43861</v>
      </c>
      <c r="L53" s="826" t="str">
        <f>IFERROR(INDEX(月例!$E$5:$E$788,MATCH("賃借料|S|48",月例!$S$5:$S$788,0)),"")</f>
        <v>基幹システム（短期）用機器リース料１２月分</v>
      </c>
      <c r="M53" s="827">
        <f>IFERROR(INDEX(月例!$H$5:$H$788,MATCH("賃借料|S|48",月例!$S$5:$S$788,0)),"")</f>
        <v>193676</v>
      </c>
      <c r="N53" s="828">
        <f>IF(M53="","",N52-M53)</f>
        <v>-23992</v>
      </c>
      <c r="O53" s="829" t="str">
        <f>IFERROR(INDEX(月例!$P$5:$P$788,MATCH("賃借料|S|48",月例!$S$5:$S$788,0)),"")</f>
        <v>昨年実績</v>
      </c>
      <c r="P53" s="825">
        <f>IFERROR(INDEX(月例!$A$5:$A$788,MATCH("事務用消耗品費|S|48",月例!$S$5:$S$788,0)),"")</f>
        <v>46112</v>
      </c>
      <c r="Q53" s="826" t="str">
        <f>IFERROR(INDEX(月例!$E$5:$E$788,MATCH("事務用消耗品費|S|48",月例!$S$5:$S$788,0)),"")</f>
        <v>トナーカートリッジLPB３T３４　１３本</v>
      </c>
      <c r="R53" s="827">
        <f>IFERROR(INDEX(月例!$H$5:$H$788,MATCH("事務用消耗品費|S|48",月例!$S$5:$S$788,0)),"")</f>
        <v>98670</v>
      </c>
      <c r="S53" s="828">
        <f>IF(R53="","",S52-R53)</f>
        <v>-1239382</v>
      </c>
      <c r="T53" s="829" t="str">
        <f>IFERROR(INDEX(月例!$P$5:$P$788,MATCH("事務用消耗品費|S|48",月例!$S$5:$S$788,0)),"")</f>
        <v>昨年実績</v>
      </c>
    </row>
    <row r="54" ht="23.1" customHeight="1" s="186">
      <c r="A54" s="825">
        <f>IFERROR(INDEX(月例!$A$5:$A$788,MATCH("通信運搬費|S|49",月例!$S$5:$S$788,0)),"")</f>
        <v>45996</v>
      </c>
      <c r="B54" s="826" t="str">
        <f>IFERROR(INDEX(月例!$E$5:$E$788,MATCH("通信運搬費|S|49",月例!$S$5:$S$788,0)),"")</f>
        <v>電話料（広島市４～９月分）</v>
      </c>
      <c r="C54" s="827">
        <f>IFERROR(INDEX(月例!$H$5:$H$788,MATCH("通信運搬費|S|49",月例!$S$5:$S$788,0)),"")</f>
        <v>54000</v>
      </c>
      <c r="D54" s="828">
        <f>IF(C54="","",D53-C54)</f>
        <v>-719506</v>
      </c>
      <c r="E54" s="829" t="str">
        <f>IFERROR(INDEX(月例!$P$5:$P$788,MATCH("通信運搬費|S|49",月例!$S$5:$S$788,0)),"")</f>
        <v>昨年実績</v>
      </c>
      <c r="F54" s="825">
        <f>IFERROR(INDEX(月例!$A$5:$A$788,MATCH("委託費|S|49",月例!$S$5:$S$788,0)),"")</f>
        <v>46017</v>
      </c>
      <c r="G54" s="826" t="str">
        <f>IFERROR(INDEX(月例!$E$5:$E$788,MATCH("委託費|S|49",月例!$S$5:$S$788,0)),"")</f>
        <v>短期給付に係る個人番号管理システムシンクライアント（契約サービス）</v>
      </c>
      <c r="H54" s="827">
        <f>IFERROR(INDEX(月例!$H$5:$H$788,MATCH("委託費|S|49",月例!$S$5:$S$788,0)),"")</f>
        <v>41976</v>
      </c>
      <c r="I54" s="828">
        <f>IF(H54="","",I53-H54)</f>
        <v>-4494398</v>
      </c>
      <c r="J54" s="829" t="str">
        <f>IFERROR(INDEX(月例!$P$5:$P$788,MATCH("委託費|S|49",月例!$S$5:$S$788,0)),"")</f>
        <v>昨年実績</v>
      </c>
      <c r="K54" s="825">
        <f>IFERROR(INDEX(月例!$A$5:$A$788,MATCH("賃借料|S|49",月例!$S$5:$S$788,0)),"")</f>
        <v>46038</v>
      </c>
      <c r="L54" s="826" t="str">
        <f>IFERROR(INDEX(月例!$E$5:$E$788,MATCH("賃借料|S|49",月例!$S$5:$S$788,0)),"")</f>
        <v>統合管理端末リース料（１２月分）</v>
      </c>
      <c r="M54" s="827">
        <f>IFERROR(INDEX(月例!$H$5:$H$788,MATCH("賃借料|S|49",月例!$S$5:$S$788,0)),"")</f>
        <v>12738</v>
      </c>
      <c r="N54" s="828">
        <f>IF(M54="","",N53-M54)</f>
        <v>-36730</v>
      </c>
      <c r="O54" s="829" t="str">
        <f>IFERROR(INDEX(月例!$P$5:$P$788,MATCH("賃借料|S|49",月例!$S$5:$S$788,0)),"")</f>
        <v>昨年実績</v>
      </c>
      <c r="P54" s="825">
        <f>IFERROR(INDEX(月例!$A$5:$A$788,MATCH("事務用消耗品費|S|49",月例!$S$5:$S$788,0)),"")</f>
        <v>45747</v>
      </c>
      <c r="Q54" s="826" t="str">
        <f>IFERROR(INDEX(月例!$E$5:$E$788,MATCH("事務用消耗品費|S|49",月例!$S$5:$S$788,0)),"")</f>
        <v>キャパティE5 　FB-E4-CRN 7個　他</v>
      </c>
      <c r="R54" s="827">
        <f>IFERROR(INDEX(月例!$H$5:$H$788,MATCH("事務用消耗品費|S|49",月例!$S$5:$S$788,0)),"")</f>
        <v>49633</v>
      </c>
      <c r="S54" s="828">
        <f>IF(R54="","",S53-R54)</f>
        <v>-1289015</v>
      </c>
      <c r="T54" s="829" t="str">
        <f>IFERROR(INDEX(月例!$P$5:$P$788,MATCH("事務用消耗品費|S|49",月例!$S$5:$S$788,0)),"")</f>
        <v>昨年実績</v>
      </c>
    </row>
    <row r="55" ht="23.1" customHeight="1" s="186" thickBot="1">
      <c r="A55" s="825">
        <f>IFERROR(INDEX(月例!$A$5:$A$788,MATCH("通信運搬費|S|50",月例!$S$5:$S$788,0)),"")</f>
        <v>44550</v>
      </c>
      <c r="B55" s="826" t="str">
        <f>IFERROR(INDEX(月例!$E$5:$E$788,MATCH("通信運搬費|S|50",月例!$S$5:$S$788,0)),"")</f>
        <v>電話料金（１０月使用・１２月請求分）</v>
      </c>
      <c r="C55" s="827">
        <f>IFERROR(INDEX(月例!$H$5:$H$788,MATCH("通信運搬費|S|50",月例!$S$5:$S$788,0)),"")</f>
        <v>3631</v>
      </c>
      <c r="D55" s="828">
        <f>IF(C55="","",D54-C55)</f>
        <v>-723137</v>
      </c>
      <c r="E55" s="829" t="str">
        <f>IFERROR(INDEX(月例!$P$5:$P$788,MATCH("通信運搬費|S|50",月例!$S$5:$S$788,0)),"")</f>
        <v>昨年実績</v>
      </c>
      <c r="F55" s="825">
        <f>IFERROR(INDEX(月例!$A$5:$A$788,MATCH("委託費|S|50",月例!$S$5:$S$788,0)),"")</f>
        <v>44558</v>
      </c>
      <c r="G55" s="826" t="str">
        <f>IFERROR(INDEX(月例!$E$5:$E$788,MATCH("委託費|S|50",月例!$S$5:$S$788,0)),"")</f>
        <v>短期給付個人番号管理システム端末延長保守</v>
      </c>
      <c r="H55" s="827">
        <f>IFERROR(INDEX(月例!$H$5:$H$788,MATCH("委託費|S|50",月例!$S$5:$S$788,0)),"")</f>
        <v>31900</v>
      </c>
      <c r="I55" s="828">
        <f>IF(H55="","",I54-H55)</f>
        <v>-4526298</v>
      </c>
      <c r="J55" s="829" t="str">
        <f>IFERROR(INDEX(月例!$P$5:$P$788,MATCH("委託費|S|50",月例!$S$5:$S$788,0)),"")</f>
        <v>昨年実績</v>
      </c>
      <c r="K55" s="825">
        <f>IFERROR(INDEX(月例!$A$5:$A$788,MATCH("賃借料|S|50",月例!$S$5:$S$788,0)),"")</f>
        <v>46080</v>
      </c>
      <c r="L55" s="826" t="str">
        <f>IFERROR(INDEX(月例!$E$5:$E$788,MATCH("賃借料|S|50",月例!$S$5:$S$788,0)),"")</f>
        <v>基幹システム用機器賃借料　１月分（短期）</v>
      </c>
      <c r="M55" s="827">
        <f>IFERROR(INDEX(月例!$H$5:$H$788,MATCH("賃借料|S|50",月例!$S$5:$S$788,0)),"")</f>
        <v>672934</v>
      </c>
      <c r="N55" s="828">
        <f>IF(M55="","",N54-M55)</f>
        <v>-709664</v>
      </c>
      <c r="O55" s="829" t="str">
        <f>IFERROR(INDEX(月例!$P$5:$P$788,MATCH("賃借料|S|50",月例!$S$5:$S$788,0)),"")</f>
        <v>昨年実績</v>
      </c>
      <c r="P55" s="825">
        <f>IFERROR(INDEX(月例!$A$5:$A$788,MATCH("事務用消耗品費|S|50",月例!$S$5:$S$788,0)),"")</f>
        <v>45016</v>
      </c>
      <c r="Q55" s="826" t="str">
        <f>IFERROR(INDEX(月例!$E$5:$E$788,MATCH("事務用消耗品費|S|50",月例!$S$5:$S$788,0)),"")</f>
        <v>個人番号管理システム端末 ソフトウェアほか</v>
      </c>
      <c r="R55" s="827">
        <f>IFERROR(INDEX(月例!$H$5:$H$788,MATCH("事務用消耗品費|S|50",月例!$S$5:$S$788,0)),"")</f>
        <v>61270</v>
      </c>
      <c r="S55" s="828">
        <f>IF(R55="","",S54-R55)</f>
        <v>-1350285</v>
      </c>
      <c r="T55" s="829" t="str">
        <f>IFERROR(INDEX(月例!$P$5:$P$788,MATCH("事務用消耗品費|S|50",月例!$S$5:$S$788,0)),"")</f>
        <v>昨年実績</v>
      </c>
    </row>
    <row r="56" ht="23.1" customHeight="1" s="186" thickBot="1">
      <c r="A56" s="825">
        <f>IFERROR(INDEX(月例!$A$5:$A$788,MATCH("通信運搬費|S|51",月例!$S$5:$S$788,0)),"")</f>
        <v>45288</v>
      </c>
      <c r="B56" s="826" t="str">
        <f>IFERROR(INDEX(月例!$E$5:$E$788,MATCH("通信運搬費|S|51",月例!$S$5:$S$788,0)),"")</f>
        <v>メール便（任継者宛厚生だより11月・12月分）</v>
      </c>
      <c r="C56" s="827">
        <f>IFERROR(INDEX(月例!$H$5:$H$788,MATCH("通信運搬費|S|51",月例!$S$5:$S$788,0)),"")</f>
        <v>36115</v>
      </c>
      <c r="D56" s="828">
        <f>IF(C56="","",D55-C56)</f>
        <v>-759252</v>
      </c>
      <c r="E56" s="829" t="str">
        <f>IFERROR(INDEX(月例!$P$5:$P$788,MATCH("通信運搬費|S|51",月例!$S$5:$S$788,0)),"")</f>
        <v>昨年実績</v>
      </c>
      <c r="F56" s="825">
        <f>IFERROR(INDEX(月例!$A$5:$A$788,MATCH("委託費|S|51",月例!$S$5:$S$788,0)),"")</f>
        <v>46017</v>
      </c>
      <c r="G56" s="826" t="str">
        <f>IFERROR(INDEX(月例!$E$5:$E$788,MATCH("委託費|S|51",月例!$S$5:$S$788,0)),"")</f>
        <v>柔整等療養費支給申請書の入力（１１月分）</v>
      </c>
      <c r="H56" s="827">
        <f>IFERROR(INDEX(月例!$H$5:$H$788,MATCH("委託費|S|51",月例!$S$5:$S$788,0)),"")</f>
        <v>133683</v>
      </c>
      <c r="I56" s="828">
        <f>IF(H56="","",I55-H56)</f>
        <v>-4659981</v>
      </c>
      <c r="J56" s="829" t="str">
        <f>IFERROR(INDEX(月例!$P$5:$P$788,MATCH("委託費|S|51",月例!$S$5:$S$788,0)),"")</f>
        <v>昨年実績</v>
      </c>
      <c r="K56" s="825">
        <f>IFERROR(INDEX(月例!$A$5:$A$788,MATCH("賃借料|S|51",月例!$S$5:$S$788,0)),"")</f>
        <v>46080</v>
      </c>
      <c r="L56" s="826" t="str">
        <f>IFERROR(INDEX(月例!$E$5:$E$788,MATCH("賃借料|S|51",月例!$S$5:$S$788,0)),"")</f>
        <v>パソコン（業務経理用）１月分</v>
      </c>
      <c r="M56" s="827">
        <f>IFERROR(INDEX(月例!$H$5:$H$788,MATCH("賃借料|S|51",月例!$S$5:$S$788,0)),"")</f>
        <v>5060</v>
      </c>
      <c r="N56" s="828">
        <f>IF(M56="","",N55-M56)</f>
        <v>-714724</v>
      </c>
      <c r="O56" s="829" t="str">
        <f>IFERROR(INDEX(月例!$P$5:$P$788,MATCH("賃借料|S|51",月例!$S$5:$S$788,0)),"")</f>
        <v>昨年実績</v>
      </c>
      <c r="P56" s="825" t="str">
        <f>IFERROR(INDEX(月例!$A$5:$A$788,MATCH("事務用消耗品費|S|51",月例!$S$5:$S$788,0)),"")</f>
        <v/>
      </c>
      <c r="Q56" s="826" t="str">
        <f>IFERROR(INDEX(月例!$E$5:$E$788,MATCH("事務用消耗品費|S|51",月例!$S$5:$S$788,0)),"")</f>
        <v/>
      </c>
      <c r="R56" s="827" t="str">
        <f>IFERROR(INDEX(月例!$H$5:$H$788,MATCH("事務用消耗品費|S|51",月例!$S$5:$S$788,0)),"")</f>
        <v/>
      </c>
      <c r="S56" s="828" t="str">
        <f>IF(R56="","",S55-R56)</f>
        <v/>
      </c>
      <c r="T56" s="829" t="str">
        <f>IFERROR(INDEX(月例!$P$5:$P$788,MATCH("事務用消耗品費|S|51",月例!$S$5:$S$788,0)),"")</f>
        <v/>
      </c>
    </row>
    <row r="57" ht="23.1" customHeight="1" s="186" thickBot="1">
      <c r="A57" s="825">
        <f>IFERROR(INDEX(月例!$A$5:$A$788,MATCH("通信運搬費|S|52",月例!$S$5:$S$788,0)),"")</f>
        <v>45288</v>
      </c>
      <c r="B57" s="826" t="str">
        <f>IFERROR(INDEX(月例!$E$5:$E$788,MATCH("通信運搬費|S|52",月例!$S$5:$S$788,0)),"")</f>
        <v>柔整申請書送付（１１月分）</v>
      </c>
      <c r="C57" s="827">
        <f>IFERROR(INDEX(月例!$H$5:$H$788,MATCH("通信運搬費|S|52",月例!$S$5:$S$788,0)),"")</f>
        <v>1489</v>
      </c>
      <c r="D57" s="828">
        <f>IF(C57="","",D56-C57)</f>
        <v>-760741</v>
      </c>
      <c r="E57" s="829" t="str">
        <f>IFERROR(INDEX(月例!$P$5:$P$788,MATCH("通信運搬費|S|52",月例!$S$5:$S$788,0)),"")</f>
        <v>昨年実績</v>
      </c>
      <c r="F57" s="825">
        <f>IFERROR(INDEX(月例!$A$5:$A$788,MATCH("委託費|S|52",月例!$S$5:$S$788,0)),"")</f>
        <v>45288</v>
      </c>
      <c r="G57" s="826" t="str">
        <f>IFERROR(INDEX(月例!$E$5:$E$788,MATCH("委託費|S|52",月例!$S$5:$S$788,0)),"")</f>
        <v>統合管理端末保守料（１１月分）</v>
      </c>
      <c r="H57" s="827">
        <f>IFERROR(INDEX(月例!$H$5:$H$788,MATCH("委託費|S|52",月例!$S$5:$S$788,0)),"")</f>
        <v>5390</v>
      </c>
      <c r="I57" s="828">
        <f>IF(H57="","",I56-H57)</f>
        <v>-4665371</v>
      </c>
      <c r="J57" s="829" t="str">
        <f>IFERROR(INDEX(月例!$P$5:$P$788,MATCH("委託費|S|52",月例!$S$5:$S$788,0)),"")</f>
        <v>昨年実績</v>
      </c>
      <c r="K57" s="825">
        <f>IFERROR(INDEX(月例!$A$5:$A$788,MATCH("賃借料|S|52",月例!$S$5:$S$788,0)),"")</f>
        <v>43889</v>
      </c>
      <c r="L57" s="826" t="str">
        <f>IFERROR(INDEX(月例!$E$5:$E$788,MATCH("賃借料|S|52",月例!$S$5:$S$788,0)),"")</f>
        <v>基幹システム（短期）用機器リース料１月分</v>
      </c>
      <c r="M57" s="827">
        <f>IFERROR(INDEX(月例!$H$5:$H$788,MATCH("賃借料|S|52",月例!$S$5:$S$788,0)),"")</f>
        <v>193676</v>
      </c>
      <c r="N57" s="828">
        <f>IF(M57="","",N56-M57)</f>
        <v>-908400</v>
      </c>
      <c r="O57" s="829" t="str">
        <f>IFERROR(INDEX(月例!$P$5:$P$788,MATCH("賃借料|S|52",月例!$S$5:$S$788,0)),"")</f>
        <v>昨年実績</v>
      </c>
      <c r="P57" s="825" t="str">
        <f>IFERROR(INDEX(月例!$A$5:$A$788,MATCH("事務用消耗品費|S|52",月例!$S$5:$S$788,0)),"")</f>
        <v/>
      </c>
      <c r="Q57" s="826" t="str">
        <f>IFERROR(INDEX(月例!$E$5:$E$788,MATCH("事務用消耗品費|S|52",月例!$S$5:$S$788,0)),"")</f>
        <v/>
      </c>
      <c r="R57" s="827" t="str">
        <f>IFERROR(INDEX(月例!$H$5:$H$788,MATCH("事務用消耗品費|S|52",月例!$S$5:$S$788,0)),"")</f>
        <v/>
      </c>
      <c r="S57" s="828" t="str">
        <f>IF(R57="","",S56-R57)</f>
        <v/>
      </c>
      <c r="T57" s="829" t="str">
        <f>IFERROR(INDEX(月例!$P$5:$P$788,MATCH("事務用消耗品費|S|52",月例!$S$5:$S$788,0)),"")</f>
        <v/>
      </c>
    </row>
    <row r="58" ht="23.1" customHeight="1" s="186" thickBot="1">
      <c r="A58" s="825">
        <f>IFERROR(INDEX(月例!$A$5:$A$788,MATCH("通信運搬費|S|53",月例!$S$5:$S$788,0)),"")</f>
        <v>46017</v>
      </c>
      <c r="B58" s="826" t="str">
        <f>IFERROR(INDEX(月例!$E$5:$E$788,MATCH("通信運搬費|S|53",月例!$S$5:$S$788,0)),"")</f>
        <v>料金後納利用料（１１月分）</v>
      </c>
      <c r="C58" s="827">
        <f>IFERROR(INDEX(月例!$H$5:$H$788,MATCH("通信運搬費|S|53",月例!$S$5:$S$788,0)),"")</f>
        <v>34670</v>
      </c>
      <c r="D58" s="828">
        <f>IF(C58="","",D57-C58)</f>
        <v>-795411</v>
      </c>
      <c r="E58" s="829" t="str">
        <f>IFERROR(INDEX(月例!$P$5:$P$788,MATCH("通信運搬費|S|53",月例!$S$5:$S$788,0)),"")</f>
        <v>昨年実績</v>
      </c>
      <c r="F58" s="825">
        <f>IFERROR(INDEX(月例!$A$5:$A$788,MATCH("委託費|S|53",月例!$S$5:$S$788,0)),"")</f>
        <v>44193</v>
      </c>
      <c r="G58" s="826" t="str">
        <f>IFERROR(INDEX(月例!$E$5:$E$788,MATCH("委託費|S|53",月例!$S$5:$S$788,0)),"")</f>
        <v>秘密文書回収運搬等業務</v>
      </c>
      <c r="H58" s="827">
        <f>IFERROR(INDEX(月例!$H$5:$H$788,MATCH("委託費|S|53",月例!$S$5:$S$788,0)),"")</f>
        <v>63448</v>
      </c>
      <c r="I58" s="828">
        <f>IF(H58="","",I57-H58)</f>
        <v>-4728819</v>
      </c>
      <c r="J58" s="829" t="str">
        <f>IFERROR(INDEX(月例!$P$5:$P$788,MATCH("委託費|S|53",月例!$S$5:$S$788,0)),"")</f>
        <v>昨年実績</v>
      </c>
      <c r="K58" s="825">
        <f>IFERROR(INDEX(月例!$A$5:$A$788,MATCH("賃借料|S|53",月例!$S$5:$S$788,0)),"")</f>
        <v>46071</v>
      </c>
      <c r="L58" s="826" t="str">
        <f>IFERROR(INDEX(月例!$E$5:$E$788,MATCH("賃借料|S|53",月例!$S$5:$S$788,0)),"")</f>
        <v>統合管理端末リース料（１月分）</v>
      </c>
      <c r="M58" s="827">
        <f>IFERROR(INDEX(月例!$H$5:$H$788,MATCH("賃借料|S|53",月例!$S$5:$S$788,0)),"")</f>
        <v>12738</v>
      </c>
      <c r="N58" s="828">
        <f>IF(M58="","",N57-M58)</f>
        <v>-921138</v>
      </c>
      <c r="O58" s="829" t="str">
        <f>IFERROR(INDEX(月例!$P$5:$P$788,MATCH("賃借料|S|53",月例!$S$5:$S$788,0)),"")</f>
        <v>昨年実績</v>
      </c>
      <c r="P58" s="825" t="str">
        <f>IFERROR(INDEX(月例!$A$5:$A$788,MATCH("事務用消耗品費|S|53",月例!$S$5:$S$788,0)),"")</f>
        <v/>
      </c>
      <c r="Q58" s="826" t="str">
        <f>IFERROR(INDEX(月例!$E$5:$E$788,MATCH("事務用消耗品費|S|53",月例!$S$5:$S$788,0)),"")</f>
        <v/>
      </c>
      <c r="R58" s="827" t="str">
        <f>IFERROR(INDEX(月例!$H$5:$H$788,MATCH("事務用消耗品費|S|53",月例!$S$5:$S$788,0)),"")</f>
        <v/>
      </c>
      <c r="S58" s="828" t="str">
        <f>IF(R58="","",S57-R58)</f>
        <v/>
      </c>
      <c r="T58" s="829" t="str">
        <f>IFERROR(INDEX(月例!$P$5:$P$788,MATCH("事務用消耗品費|S|53",月例!$S$5:$S$788,0)),"")</f>
        <v/>
      </c>
    </row>
    <row r="59" ht="23.1" customHeight="1" s="186" thickBot="1">
      <c r="A59" s="825">
        <f>IFERROR(INDEX(月例!$A$5:$A$788,MATCH("通信運搬費|S|54",月例!$S$5:$S$788,0)),"")</f>
        <v>46027</v>
      </c>
      <c r="B59" s="826" t="str">
        <f>IFERROR(INDEX(月例!$E$5:$E$788,MATCH("通信運搬費|S|54",月例!$S$5:$S$788,0)),"")</f>
        <v>フレッツ光ネクスト利用料等（11月利用・12月請求分）</v>
      </c>
      <c r="C59" s="827">
        <f>IFERROR(INDEX(月例!$H$5:$H$788,MATCH("通信運搬費|S|54",月例!$S$5:$S$788,0)),"")</f>
        <v>13090</v>
      </c>
      <c r="D59" s="828">
        <f>IF(C59="","",D58-C59)</f>
        <v>-808501</v>
      </c>
      <c r="E59" s="829" t="str">
        <f>IFERROR(INDEX(月例!$P$5:$P$788,MATCH("通信運搬費|S|54",月例!$S$5:$S$788,0)),"")</f>
        <v>昨年実績</v>
      </c>
      <c r="F59" s="825">
        <f>IFERROR(INDEX(月例!$A$5:$A$788,MATCH("委託費|S|54",月例!$S$5:$S$788,0)),"")</f>
        <v>45653</v>
      </c>
      <c r="G59" s="826" t="str">
        <f>IFERROR(INDEX(月例!$E$5:$E$788,MATCH("委託費|S|54",月例!$S$5:$S$788,0)),"")</f>
        <v>柔整等療養費支給申請書の入力（１１月分）</v>
      </c>
      <c r="H59" s="827">
        <f>IFERROR(INDEX(月例!$H$5:$H$788,MATCH("委託費|S|54",月例!$S$5:$S$788,0)),"")</f>
        <v>153308</v>
      </c>
      <c r="I59" s="828">
        <f>IF(H59="","",I58-H59)</f>
        <v>-4882127</v>
      </c>
      <c r="J59" s="829" t="str">
        <f>IFERROR(INDEX(月例!$P$5:$P$788,MATCH("委託費|S|54",月例!$S$5:$S$788,0)),"")</f>
        <v>昨年実績</v>
      </c>
      <c r="K59" s="825">
        <f>IFERROR(INDEX(月例!$A$5:$A$788,MATCH("賃借料|S|54",月例!$S$5:$S$788,0)),"")</f>
        <v>44995</v>
      </c>
      <c r="L59" s="826" t="str">
        <f>IFERROR(INDEX(月例!$E$5:$E$788,MATCH("賃借料|S|54",月例!$S$5:$S$788,0)),"")</f>
        <v>総務・会館運営委員会等　WEB会議用機器等</v>
      </c>
      <c r="M59" s="827">
        <f>IFERROR(INDEX(月例!$H$5:$H$788,MATCH("賃借料|S|54",月例!$S$5:$S$788,0)),"")</f>
        <v>6682</v>
      </c>
      <c r="N59" s="828">
        <f>IF(M59="","",N58-M59)</f>
        <v>-927820</v>
      </c>
      <c r="O59" s="829" t="str">
        <f>IFERROR(INDEX(月例!$P$5:$P$788,MATCH("賃借料|S|54",月例!$S$5:$S$788,0)),"")</f>
        <v>昨年実績</v>
      </c>
      <c r="P59" s="825" t="str">
        <f>IFERROR(INDEX(月例!$A$5:$A$788,MATCH("事務用消耗品費|S|54",月例!$S$5:$S$788,0)),"")</f>
        <v/>
      </c>
      <c r="Q59" s="826" t="str">
        <f>IFERROR(INDEX(月例!$E$5:$E$788,MATCH("事務用消耗品費|S|54",月例!$S$5:$S$788,0)),"")</f>
        <v/>
      </c>
      <c r="R59" s="827" t="str">
        <f>IFERROR(INDEX(月例!$H$5:$H$788,MATCH("事務用消耗品費|S|54",月例!$S$5:$S$788,0)),"")</f>
        <v/>
      </c>
      <c r="S59" s="828" t="str">
        <f>IF(R59="","",S58-R59)</f>
        <v/>
      </c>
      <c r="T59" s="829" t="str">
        <f>IFERROR(INDEX(月例!$P$5:$P$788,MATCH("事務用消耗品費|S|54",月例!$S$5:$S$788,0)),"")</f>
        <v/>
      </c>
    </row>
    <row r="60" ht="23.1" customHeight="1" s="186" thickBot="1">
      <c r="A60" s="825">
        <f>IFERROR(INDEX(月例!$A$5:$A$788,MATCH("通信運搬費|S|55",月例!$S$5:$S$788,0)),"")</f>
        <v>43483</v>
      </c>
      <c r="B60" s="826" t="str">
        <f>IFERROR(INDEX(月例!$E$5:$E$788,MATCH("通信運搬費|S|55",月例!$S$5:$S$788,0)),"")</f>
        <v>切手</v>
      </c>
      <c r="C60" s="827">
        <f>IFERROR(INDEX(月例!$H$5:$H$788,MATCH("通信運搬費|S|55",月例!$S$5:$S$788,0)),"")</f>
        <v>217800</v>
      </c>
      <c r="D60" s="828">
        <f>IF(C60="","",D59-C60)</f>
        <v>-1026301</v>
      </c>
      <c r="E60" s="829" t="str">
        <f>IFERROR(INDEX(月例!$P$5:$P$788,MATCH("通信運搬費|S|55",月例!$S$5:$S$788,0)),"")</f>
        <v>昨年実績</v>
      </c>
      <c r="F60" s="825">
        <f>IFERROR(INDEX(月例!$A$5:$A$788,MATCH("委託費|S|55",月例!$S$5:$S$788,0)),"")</f>
        <v>46017</v>
      </c>
      <c r="G60" s="826" t="str">
        <f>IFERROR(INDEX(月例!$E$5:$E$788,MATCH("委託費|S|55",月例!$S$5:$S$788,0)),"")</f>
        <v>資格確認書の作成・印刷処理及び封入封緘処理業務</v>
      </c>
      <c r="H60" s="827">
        <f>IFERROR(INDEX(月例!$H$5:$H$788,MATCH("委託費|S|55",月例!$S$5:$S$788,0)),"")</f>
        <v>2215760</v>
      </c>
      <c r="I60" s="828">
        <f>IF(H60="","",I59-H60)</f>
        <v>-7097887</v>
      </c>
      <c r="J60" s="829" t="str">
        <f>IFERROR(INDEX(月例!$P$5:$P$788,MATCH("委託費|S|55",月例!$S$5:$S$788,0)),"")</f>
        <v>昨年実績</v>
      </c>
      <c r="K60" s="825">
        <f>IFERROR(INDEX(月例!$A$5:$A$788,MATCH("賃借料|S|55",月例!$S$5:$S$788,0)),"")</f>
        <v>46108</v>
      </c>
      <c r="L60" s="826" t="str">
        <f>IFERROR(INDEX(月例!$E$5:$E$788,MATCH("賃借料|S|55",月例!$S$5:$S$788,0)),"")</f>
        <v>基幹システム用機器賃借料　２月分（短期）</v>
      </c>
      <c r="M60" s="827">
        <f>IFERROR(INDEX(月例!$H$5:$H$788,MATCH("賃借料|S|55",月例!$S$5:$S$788,0)),"")</f>
        <v>672934</v>
      </c>
      <c r="N60" s="828">
        <f>IF(M60="","",N59-M60)</f>
        <v>-1600754</v>
      </c>
      <c r="O60" s="829" t="str">
        <f>IFERROR(INDEX(月例!$P$5:$P$788,MATCH("賃借料|S|55",月例!$S$5:$S$788,0)),"")</f>
        <v>昨年実績</v>
      </c>
      <c r="P60" s="825" t="str">
        <f>IFERROR(INDEX(月例!$A$5:$A$788,MATCH("事務用消耗品費|S|55",月例!$S$5:$S$788,0)),"")</f>
        <v/>
      </c>
      <c r="Q60" s="826" t="str">
        <f>IFERROR(INDEX(月例!$E$5:$E$788,MATCH("事務用消耗品費|S|55",月例!$S$5:$S$788,0)),"")</f>
        <v/>
      </c>
      <c r="R60" s="827" t="str">
        <f>IFERROR(INDEX(月例!$H$5:$H$788,MATCH("事務用消耗品費|S|55",月例!$S$5:$S$788,0)),"")</f>
        <v/>
      </c>
      <c r="S60" s="828" t="str">
        <f>IF(R60="","",S59-R60)</f>
        <v/>
      </c>
      <c r="T60" s="829" t="str">
        <f>IFERROR(INDEX(月例!$P$5:$P$788,MATCH("事務用消耗品費|S|55",月例!$S$5:$S$788,0)),"")</f>
        <v/>
      </c>
    </row>
    <row r="61" ht="23.1" customHeight="1" s="186">
      <c r="A61" s="825">
        <f>IFERROR(INDEX(月例!$A$5:$A$788,MATCH("通信運搬費|S|56",月例!$S$5:$S$788,0)),"")</f>
        <v>44216</v>
      </c>
      <c r="B61" s="826" t="str">
        <f>IFERROR(INDEX(月例!$E$5:$E$788,MATCH("通信運搬費|S|56",月例!$S$5:$S$788,0)),"")</f>
        <v>電話料金（１２月使用・１月請求分）</v>
      </c>
      <c r="C61" s="827">
        <f>IFERROR(INDEX(月例!$H$5:$H$788,MATCH("通信運搬費|S|56",月例!$S$5:$S$788,0)),"")</f>
        <v>5406</v>
      </c>
      <c r="D61" s="828">
        <f>IF(C61="","",D60-C61)</f>
        <v>-1031707</v>
      </c>
      <c r="E61" s="829" t="str">
        <f>IFERROR(INDEX(月例!$P$5:$P$788,MATCH("通信運搬費|S|56",月例!$S$5:$S$788,0)),"")</f>
        <v>昨年実績</v>
      </c>
      <c r="F61" s="825">
        <f>IFERROR(INDEX(月例!$A$5:$A$788,MATCH("委託費|S|56",月例!$S$5:$S$788,0)),"")</f>
        <v>46042</v>
      </c>
      <c r="G61" s="826" t="str">
        <f>IFERROR(INDEX(月例!$E$5:$E$788,MATCH("委託費|S|56",月例!$S$5:$S$788,0)),"")</f>
        <v>レセプト電子データ提供料（１０月診療分）</v>
      </c>
      <c r="H61" s="827">
        <f>IFERROR(INDEX(月例!$H$5:$H$788,MATCH("委託費|S|56",月例!$S$5:$S$788,0)),"")</f>
        <v>60454</v>
      </c>
      <c r="I61" s="828">
        <f>IF(H61="","",I60-H61)</f>
        <v>-7158341</v>
      </c>
      <c r="J61" s="829" t="str">
        <f>IFERROR(INDEX(月例!$P$5:$P$788,MATCH("委託費|S|56",月例!$S$5:$S$788,0)),"")</f>
        <v>昨年実績</v>
      </c>
      <c r="K61" s="825">
        <f>IFERROR(INDEX(月例!$A$5:$A$788,MATCH("賃借料|S|56",月例!$S$5:$S$788,0)),"")</f>
        <v>46108</v>
      </c>
      <c r="L61" s="826" t="str">
        <f>IFERROR(INDEX(月例!$E$5:$E$788,MATCH("賃借料|S|56",月例!$S$5:$S$788,0)),"")</f>
        <v>パソコン（業務経理用）２月分</v>
      </c>
      <c r="M61" s="827">
        <f>IFERROR(INDEX(月例!$H$5:$H$788,MATCH("賃借料|S|56",月例!$S$5:$S$788,0)),"")</f>
        <v>5060</v>
      </c>
      <c r="N61" s="828">
        <f>IF(M61="","",N60-M61)</f>
        <v>-1605814</v>
      </c>
      <c r="O61" s="829" t="str">
        <f>IFERROR(INDEX(月例!$P$5:$P$788,MATCH("賃借料|S|56",月例!$S$5:$S$788,0)),"")</f>
        <v>昨年実績</v>
      </c>
      <c r="P61" s="825" t="str">
        <f>IFERROR(INDEX(月例!$A$5:$A$788,MATCH("事務用消耗品費|S|56",月例!$S$5:$S$788,0)),"")</f>
        <v/>
      </c>
      <c r="Q61" s="826" t="str">
        <f>IFERROR(INDEX(月例!$E$5:$E$788,MATCH("事務用消耗品費|S|56",月例!$S$5:$S$788,0)),"")</f>
        <v/>
      </c>
      <c r="R61" s="827" t="str">
        <f>IFERROR(INDEX(月例!$H$5:$H$788,MATCH("事務用消耗品費|S|56",月例!$S$5:$S$788,0)),"")</f>
        <v/>
      </c>
      <c r="S61" s="828" t="str">
        <f>IF(R61="","",S60-R61)</f>
        <v/>
      </c>
      <c r="T61" s="829" t="str">
        <f>IFERROR(INDEX(月例!$P$5:$P$788,MATCH("事務用消耗品費|S|56",月例!$S$5:$S$788,0)),"")</f>
        <v/>
      </c>
    </row>
    <row r="62" ht="23.1" customHeight="1" s="186">
      <c r="A62" s="825">
        <f>IFERROR(INDEX(月例!$A$5:$A$788,MATCH("通信運搬費|S|57",月例!$S$5:$S$788,0)),"")</f>
        <v>45322</v>
      </c>
      <c r="B62" s="826" t="str">
        <f>IFERROR(INDEX(月例!$E$5:$E$788,MATCH("通信運搬費|S|57",月例!$S$5:$S$788,0)),"")</f>
        <v>メール便（任継者宛厚生だより１月分）</v>
      </c>
      <c r="C62" s="827">
        <f>IFERROR(INDEX(月例!$H$5:$H$788,MATCH("通信運搬費|S|57",月例!$S$5:$S$788,0)),"")</f>
        <v>17640</v>
      </c>
      <c r="D62" s="828">
        <f>IF(C62="","",D61-C62)</f>
        <v>-1049347</v>
      </c>
      <c r="E62" s="829" t="str">
        <f>IFERROR(INDEX(月例!$P$5:$P$788,MATCH("通信運搬費|S|57",月例!$S$5:$S$788,0)),"")</f>
        <v>昨年実績</v>
      </c>
      <c r="F62" s="825">
        <f>IFERROR(INDEX(月例!$A$5:$A$788,MATCH("委託費|S|57",月例!$S$5:$S$788,0)),"")</f>
        <v>44225</v>
      </c>
      <c r="G62" s="826" t="str">
        <f>IFERROR(INDEX(月例!$E$5:$E$788,MATCH("委託費|S|57",月例!$S$5:$S$788,0)),"")</f>
        <v>短期給付個人番号管理システム端末保守サービス（１2月分）</v>
      </c>
      <c r="H62" s="827">
        <f>IFERROR(INDEX(月例!$H$5:$H$788,MATCH("委託費|S|57",月例!$S$5:$S$788,0)),"")</f>
        <v>385</v>
      </c>
      <c r="I62" s="828">
        <f>IF(H62="","",I61-H62)</f>
        <v>-7158726</v>
      </c>
      <c r="J62" s="829" t="str">
        <f>IFERROR(INDEX(月例!$P$5:$P$788,MATCH("委託費|S|57",月例!$S$5:$S$788,0)),"")</f>
        <v>昨年実績</v>
      </c>
      <c r="K62" s="825">
        <f>IFERROR(INDEX(月例!$A$5:$A$788,MATCH("賃借料|S|57",月例!$S$5:$S$788,0)),"")</f>
        <v>43921</v>
      </c>
      <c r="L62" s="826" t="str">
        <f>IFERROR(INDEX(月例!$E$5:$E$788,MATCH("賃借料|S|57",月例!$S$5:$S$788,0)),"")</f>
        <v>基幹システム（短期）用機器リース料２月分</v>
      </c>
      <c r="M62" s="827">
        <f>IFERROR(INDEX(月例!$H$5:$H$788,MATCH("賃借料|S|57",月例!$S$5:$S$788,0)),"")</f>
        <v>193676</v>
      </c>
      <c r="N62" s="828">
        <f>IF(M62="","",N61-M62)</f>
        <v>-1799490</v>
      </c>
      <c r="O62" s="829" t="str">
        <f>IFERROR(INDEX(月例!$P$5:$P$788,MATCH("賃借料|S|57",月例!$S$5:$S$788,0)),"")</f>
        <v>昨年実績</v>
      </c>
      <c r="P62" s="825" t="str">
        <f>IFERROR(INDEX(月例!$A$5:$A$788,MATCH("事務用消耗品費|S|57",月例!$S$5:$S$788,0)),"")</f>
        <v/>
      </c>
      <c r="Q62" s="826" t="str">
        <f>IFERROR(INDEX(月例!$E$5:$E$788,MATCH("事務用消耗品費|S|57",月例!$S$5:$S$788,0)),"")</f>
        <v/>
      </c>
      <c r="R62" s="827" t="str">
        <f>IFERROR(INDEX(月例!$H$5:$H$788,MATCH("事務用消耗品費|S|57",月例!$S$5:$S$788,0)),"")</f>
        <v/>
      </c>
      <c r="S62" s="828" t="str">
        <f>IF(R62="","",S61-R62)</f>
        <v/>
      </c>
      <c r="T62" s="829" t="str">
        <f>IFERROR(INDEX(月例!$P$5:$P$788,MATCH("事務用消耗品費|S|57",月例!$S$5:$S$788,0)),"")</f>
        <v/>
      </c>
    </row>
    <row r="63" ht="23.1" customHeight="1" s="186">
      <c r="A63" s="825">
        <f>IFERROR(INDEX(月例!$A$5:$A$788,MATCH("通信運搬費|S|58",月例!$S$5:$S$788,0)),"")</f>
        <v>45322</v>
      </c>
      <c r="B63" s="826" t="str">
        <f>IFERROR(INDEX(月例!$E$5:$E$788,MATCH("通信運搬費|S|58",月例!$S$5:$S$788,0)),"")</f>
        <v>柔整申請書送付（１２月分）</v>
      </c>
      <c r="C63" s="827">
        <f>IFERROR(INDEX(月例!$H$5:$H$788,MATCH("通信運搬費|S|58",月例!$S$5:$S$788,0)),"")</f>
        <v>1489</v>
      </c>
      <c r="D63" s="828">
        <f>IF(C63="","",D62-C63)</f>
        <v>-1050836</v>
      </c>
      <c r="E63" s="829" t="str">
        <f>IFERROR(INDEX(月例!$P$5:$P$788,MATCH("通信運搬費|S|58",月例!$S$5:$S$788,0)),"")</f>
        <v>昨年実績</v>
      </c>
      <c r="F63" s="825">
        <f>IFERROR(INDEX(月例!$A$5:$A$788,MATCH("委託費|S|58",月例!$S$5:$S$788,0)),"")</f>
        <v>43496</v>
      </c>
      <c r="G63" s="826" t="str">
        <f>IFERROR(INDEX(月例!$E$5:$E$788,MATCH("委託費|S|58",月例!$S$5:$S$788,0)),"")</f>
        <v>秘密文書回収運搬等業務</v>
      </c>
      <c r="H63" s="827">
        <f>IFERROR(INDEX(月例!$H$5:$H$788,MATCH("委託費|S|58",月例!$S$5:$S$788,0)),"")</f>
        <v>92746</v>
      </c>
      <c r="I63" s="828">
        <f>IF(H63="","",I62-H63)</f>
        <v>-7251472</v>
      </c>
      <c r="J63" s="829" t="str">
        <f>IFERROR(INDEX(月例!$P$5:$P$788,MATCH("委託費|S|58",月例!$S$5:$S$788,0)),"")</f>
        <v>昨年実績</v>
      </c>
      <c r="K63" s="825">
        <f>IFERROR(INDEX(月例!$A$5:$A$788,MATCH("賃借料|S|58",月例!$S$5:$S$788,0)),"")</f>
        <v>46098</v>
      </c>
      <c r="L63" s="826" t="str">
        <f>IFERROR(INDEX(月例!$E$5:$E$788,MATCH("賃借料|S|58",月例!$S$5:$S$788,0)),"")</f>
        <v>統合管理端末リース料（２月分）</v>
      </c>
      <c r="M63" s="827">
        <f>IFERROR(INDEX(月例!$H$5:$H$788,MATCH("賃借料|S|58",月例!$S$5:$S$788,0)),"")</f>
        <v>12738</v>
      </c>
      <c r="N63" s="828">
        <f>IF(M63="","",N62-M63)</f>
        <v>-1812228</v>
      </c>
      <c r="O63" s="829" t="str">
        <f>IFERROR(INDEX(月例!$P$5:$P$788,MATCH("賃借料|S|58",月例!$S$5:$S$788,0)),"")</f>
        <v>昨年実績</v>
      </c>
      <c r="P63" s="825" t="str">
        <f>IFERROR(INDEX(月例!$A$5:$A$788,MATCH("事務用消耗品費|S|58",月例!$S$5:$S$788,0)),"")</f>
        <v/>
      </c>
      <c r="Q63" s="826" t="str">
        <f>IFERROR(INDEX(月例!$E$5:$E$788,MATCH("事務用消耗品費|S|58",月例!$S$5:$S$788,0)),"")</f>
        <v/>
      </c>
      <c r="R63" s="827" t="str">
        <f>IFERROR(INDEX(月例!$H$5:$H$788,MATCH("事務用消耗品費|S|58",月例!$S$5:$S$788,0)),"")</f>
        <v/>
      </c>
      <c r="S63" s="828" t="str">
        <f>IF(R63="","",S62-R63)</f>
        <v/>
      </c>
      <c r="T63" s="829" t="str">
        <f>IFERROR(INDEX(月例!$P$5:$P$788,MATCH("事務用消耗品費|S|58",月例!$S$5:$S$788,0)),"")</f>
        <v/>
      </c>
    </row>
    <row r="64" ht="23.1" customHeight="1" s="186">
      <c r="A64" s="825">
        <f>IFERROR(INDEX(月例!$A$5:$A$788,MATCH("通信運搬費|S|59",月例!$S$5:$S$788,0)),"")</f>
        <v>46051</v>
      </c>
      <c r="B64" s="826" t="str">
        <f>IFERROR(INDEX(月例!$E$5:$E$788,MATCH("通信運搬費|S|59",月例!$S$5:$S$788,0)),"")</f>
        <v>料金後納利用料（１２月分）</v>
      </c>
      <c r="C64" s="827">
        <f>IFERROR(INDEX(月例!$H$5:$H$788,MATCH("通信運搬費|S|59",月例!$S$5:$S$788,0)),"")</f>
        <v>28530</v>
      </c>
      <c r="D64" s="828">
        <f>IF(C64="","",D63-C64)</f>
        <v>-1079366</v>
      </c>
      <c r="E64" s="829" t="str">
        <f>IFERROR(INDEX(月例!$P$5:$P$788,MATCH("通信運搬費|S|59",月例!$S$5:$S$788,0)),"")</f>
        <v>昨年実績</v>
      </c>
      <c r="F64" s="825">
        <f>IFERROR(INDEX(月例!$A$5:$A$788,MATCH("委託費|S|59",月例!$S$5:$S$788,0)),"")</f>
        <v>45322</v>
      </c>
      <c r="G64" s="826" t="str">
        <f>IFERROR(INDEX(月例!$E$5:$E$788,MATCH("委託費|S|59",月例!$S$5:$S$788,0)),"")</f>
        <v>統合管理端末保守料（１２月分）</v>
      </c>
      <c r="H64" s="827">
        <f>IFERROR(INDEX(月例!$H$5:$H$788,MATCH("委託費|S|59",月例!$S$5:$S$788,0)),"")</f>
        <v>5390</v>
      </c>
      <c r="I64" s="828">
        <f>IF(H64="","",I63-H64)</f>
        <v>-7256862</v>
      </c>
      <c r="J64" s="829" t="str">
        <f>IFERROR(INDEX(月例!$P$5:$P$788,MATCH("委託費|S|59",月例!$S$5:$S$788,0)),"")</f>
        <v>昨年実績</v>
      </c>
      <c r="K64" s="825" t="str">
        <f>IFERROR(INDEX(月例!$A$5:$A$788,MATCH("賃借料|S|59",月例!$S$5:$S$788,0)),"")</f>
        <v/>
      </c>
      <c r="L64" s="826" t="str">
        <f>IFERROR(INDEX(月例!$E$5:$E$788,MATCH("賃借料|S|59",月例!$S$5:$S$788,0)),"")</f>
        <v/>
      </c>
      <c r="M64" s="827" t="str">
        <f>IFERROR(INDEX(月例!$H$5:$H$788,MATCH("賃借料|S|59",月例!$S$5:$S$788,0)),"")</f>
        <v/>
      </c>
      <c r="N64" s="828" t="str">
        <f>IF(M64="","",N63-M64)</f>
        <v/>
      </c>
      <c r="O64" s="829" t="str">
        <f>IFERROR(INDEX(月例!$P$5:$P$788,MATCH("賃借料|S|59",月例!$S$5:$S$788,0)),"")</f>
        <v/>
      </c>
      <c r="P64" s="825" t="str">
        <f>IFERROR(INDEX(月例!$A$5:$A$788,MATCH("事務用消耗品費|S|59",月例!$S$5:$S$788,0)),"")</f>
        <v/>
      </c>
      <c r="Q64" s="826" t="str">
        <f>IFERROR(INDEX(月例!$E$5:$E$788,MATCH("事務用消耗品費|S|59",月例!$S$5:$S$788,0)),"")</f>
        <v/>
      </c>
      <c r="R64" s="827" t="str">
        <f>IFERROR(INDEX(月例!$H$5:$H$788,MATCH("事務用消耗品費|S|59",月例!$S$5:$S$788,0)),"")</f>
        <v/>
      </c>
      <c r="S64" s="828" t="str">
        <f>IF(R64="","",S63-R64)</f>
        <v/>
      </c>
      <c r="T64" s="829" t="str">
        <f>IFERROR(INDEX(月例!$P$5:$P$788,MATCH("事務用消耗品費|S|59",月例!$S$5:$S$788,0)),"")</f>
        <v/>
      </c>
    </row>
    <row r="65" ht="23.1" customHeight="1" s="186" thickBot="1">
      <c r="A65" s="825">
        <f>IFERROR(INDEX(月例!$A$5:$A$788,MATCH("通信運搬費|S|60",月例!$S$5:$S$788,0)),"")</f>
        <v>46055</v>
      </c>
      <c r="B65" s="826" t="str">
        <f>IFERROR(INDEX(月例!$E$5:$E$788,MATCH("通信運搬費|S|60",月例!$S$5:$S$788,0)),"")</f>
        <v>インターネット通信料金（１１・１２月利用・１月請求分）</v>
      </c>
      <c r="C65" s="827">
        <f>IFERROR(INDEX(月例!$H$5:$H$788,MATCH("通信運搬費|S|60",月例!$S$5:$S$788,0)),"")</f>
        <v>3663</v>
      </c>
      <c r="D65" s="828">
        <f>IF(C65="","",D64-C65)</f>
        <v>-1083029</v>
      </c>
      <c r="E65" s="829" t="str">
        <f>IFERROR(INDEX(月例!$P$5:$P$788,MATCH("通信運搬費|S|60",月例!$S$5:$S$788,0)),"")</f>
        <v>昨年実績</v>
      </c>
      <c r="F65" s="825">
        <f>IFERROR(INDEX(月例!$A$5:$A$788,MATCH("委託費|S|60",月例!$S$5:$S$788,0)),"")</f>
        <v>46052</v>
      </c>
      <c r="G65" s="826" t="str">
        <f>IFERROR(INDEX(月例!$E$5:$E$788,MATCH("委託費|S|60",月例!$S$5:$S$788,0)),"")</f>
        <v>柔整等療養費支給申請書の入力（１２月分）</v>
      </c>
      <c r="H65" s="827">
        <f>IFERROR(INDEX(月例!$H$5:$H$788,MATCH("委託費|S|60",月例!$S$5:$S$788,0)),"")</f>
        <v>113014</v>
      </c>
      <c r="I65" s="828">
        <f>IF(H65="","",I64-H65)</f>
        <v>-7369876</v>
      </c>
      <c r="J65" s="829" t="str">
        <f>IFERROR(INDEX(月例!$P$5:$P$788,MATCH("委託費|S|60",月例!$S$5:$S$788,0)),"")</f>
        <v>昨年実績</v>
      </c>
      <c r="K65" s="825" t="str">
        <f>IFERROR(INDEX(月例!$A$5:$A$788,MATCH("賃借料|S|60",月例!$S$5:$S$788,0)),"")</f>
        <v/>
      </c>
      <c r="L65" s="826" t="str">
        <f>IFERROR(INDEX(月例!$E$5:$E$788,MATCH("賃借料|S|60",月例!$S$5:$S$788,0)),"")</f>
        <v/>
      </c>
      <c r="M65" s="827" t="str">
        <f>IFERROR(INDEX(月例!$H$5:$H$788,MATCH("賃借料|S|60",月例!$S$5:$S$788,0)),"")</f>
        <v/>
      </c>
      <c r="N65" s="828" t="str">
        <f>IF(M65="","",N64-M65)</f>
        <v/>
      </c>
      <c r="O65" s="829" t="str">
        <f>IFERROR(INDEX(月例!$P$5:$P$788,MATCH("賃借料|S|60",月例!$S$5:$S$788,0)),"")</f>
        <v/>
      </c>
      <c r="P65" s="825" t="str">
        <f>IFERROR(INDEX(月例!$A$5:$A$788,MATCH("事務用消耗品費|S|60",月例!$S$5:$S$788,0)),"")</f>
        <v/>
      </c>
      <c r="Q65" s="826" t="str">
        <f>IFERROR(INDEX(月例!$E$5:$E$788,MATCH("事務用消耗品費|S|60",月例!$S$5:$S$788,0)),"")</f>
        <v/>
      </c>
      <c r="R65" s="827" t="str">
        <f>IFERROR(INDEX(月例!$H$5:$H$788,MATCH("事務用消耗品費|S|60",月例!$S$5:$S$788,0)),"")</f>
        <v/>
      </c>
      <c r="S65" s="828" t="str">
        <f>IF(R65="","",S64-R65)</f>
        <v/>
      </c>
      <c r="T65" s="829" t="str">
        <f>IFERROR(INDEX(月例!$P$5:$P$788,MATCH("事務用消耗品費|S|60",月例!$S$5:$S$788,0)),"")</f>
        <v/>
      </c>
    </row>
    <row r="66" ht="23.1" customHeight="1" s="186" thickBot="1">
      <c r="A66" s="825">
        <f>IFERROR(INDEX(月例!$A$5:$A$788,MATCH("通信運搬費|S|61",月例!$S$5:$S$788,0)),"")</f>
        <v>45688</v>
      </c>
      <c r="B66" s="826" t="str">
        <f>IFERROR(INDEX(月例!$E$5:$E$788,MATCH("通信運搬費|S|61",月例!$S$5:$S$788,0)),"")</f>
        <v>フレッツ光ネクスト利用料等（12月利用・1月請求分）</v>
      </c>
      <c r="C66" s="827">
        <f>IFERROR(INDEX(月例!$H$5:$H$788,MATCH("通信運搬費|S|61",月例!$S$5:$S$788,0)),"")</f>
        <v>5126</v>
      </c>
      <c r="D66" s="828">
        <f>IF(C66="","",D65-C66)</f>
        <v>-1088155</v>
      </c>
      <c r="E66" s="829" t="str">
        <f>IFERROR(INDEX(月例!$P$5:$P$788,MATCH("通信運搬費|S|61",月例!$S$5:$S$788,0)),"")</f>
        <v>昨年実績</v>
      </c>
      <c r="F66" s="825">
        <f>IFERROR(INDEX(月例!$A$5:$A$788,MATCH("委託費|S|61",月例!$S$5:$S$788,0)),"")</f>
        <v>45688</v>
      </c>
      <c r="G66" s="826" t="str">
        <f>IFERROR(INDEX(月例!$E$5:$E$788,MATCH("委託費|S|61",月例!$S$5:$S$788,0)),"")</f>
        <v>柔整等療養費支給申請書の入力（１２月分）</v>
      </c>
      <c r="H66" s="827">
        <f>IFERROR(INDEX(月例!$H$5:$H$788,MATCH("委託費|S|61",月例!$S$5:$S$788,0)),"")</f>
        <v>162851</v>
      </c>
      <c r="I66" s="828">
        <f>IF(H66="","",I65-H66)</f>
        <v>-7532727</v>
      </c>
      <c r="J66" s="829" t="str">
        <f>IFERROR(INDEX(月例!$P$5:$P$788,MATCH("委託費|S|61",月例!$S$5:$S$788,0)),"")</f>
        <v>昨年実績</v>
      </c>
      <c r="K66" s="825" t="str">
        <f>IFERROR(INDEX(月例!$A$5:$A$788,MATCH("賃借料|S|61",月例!$S$5:$S$788,0)),"")</f>
        <v/>
      </c>
      <c r="L66" s="826" t="str">
        <f>IFERROR(INDEX(月例!$E$5:$E$788,MATCH("賃借料|S|61",月例!$S$5:$S$788,0)),"")</f>
        <v/>
      </c>
      <c r="M66" s="827" t="str">
        <f>IFERROR(INDEX(月例!$H$5:$H$788,MATCH("賃借料|S|61",月例!$S$5:$S$788,0)),"")</f>
        <v/>
      </c>
      <c r="N66" s="828" t="str">
        <f>IF(M66="","",N65-M66)</f>
        <v/>
      </c>
      <c r="O66" s="829" t="str">
        <f>IFERROR(INDEX(月例!$P$5:$P$788,MATCH("賃借料|S|61",月例!$S$5:$S$788,0)),"")</f>
        <v/>
      </c>
      <c r="P66" s="825" t="str">
        <f>IFERROR(INDEX(月例!$A$5:$A$788,MATCH("事務用消耗品費|S|61",月例!$S$5:$S$788,0)),"")</f>
        <v/>
      </c>
      <c r="Q66" s="826" t="str">
        <f>IFERROR(INDEX(月例!$E$5:$E$788,MATCH("事務用消耗品費|S|61",月例!$S$5:$S$788,0)),"")</f>
        <v/>
      </c>
      <c r="R66" s="827" t="str">
        <f>IFERROR(INDEX(月例!$H$5:$H$788,MATCH("事務用消耗品費|S|61",月例!$S$5:$S$788,0)),"")</f>
        <v/>
      </c>
      <c r="S66" s="828" t="str">
        <f>IF(R66="","",S65-R66)</f>
        <v/>
      </c>
      <c r="T66" s="829" t="str">
        <f>IFERROR(INDEX(月例!$P$5:$P$788,MATCH("事務用消耗品費|S|61",月例!$S$5:$S$788,0)),"")</f>
        <v/>
      </c>
    </row>
    <row r="67" ht="23.1" customHeight="1" s="186" thickBot="1">
      <c r="A67" s="825">
        <f>IFERROR(INDEX(月例!$A$5:$A$788,MATCH("通信運搬費|S|62",月例!$S$5:$S$788,0)),"")</f>
        <v>46059</v>
      </c>
      <c r="B67" s="826" t="str">
        <f>IFERROR(INDEX(月例!$E$5:$E$788,MATCH("通信運搬費|S|62",月例!$S$5:$S$788,0)),"")</f>
        <v>切手</v>
      </c>
      <c r="C67" s="827">
        <f>IFERROR(INDEX(月例!$H$5:$H$788,MATCH("通信運搬費|S|62",月例!$S$5:$S$788,0)),"")</f>
        <v>312000</v>
      </c>
      <c r="D67" s="828">
        <f>IF(C67="","",D66-C67)</f>
        <v>-1400155</v>
      </c>
      <c r="E67" s="829" t="str">
        <f>IFERROR(INDEX(月例!$P$5:$P$788,MATCH("通信運搬費|S|62",月例!$S$5:$S$788,0)),"")</f>
        <v>昨年実績</v>
      </c>
      <c r="F67" s="825">
        <f>IFERROR(INDEX(月例!$A$5:$A$788,MATCH("委託費|S|62",月例!$S$5:$S$788,0)),"")</f>
        <v>44253</v>
      </c>
      <c r="G67" s="826" t="str">
        <f>IFERROR(INDEX(月例!$E$5:$E$788,MATCH("委託費|S|62",月例!$S$5:$S$788,0)),"")</f>
        <v>短期給付個人番号管理システム端末保守サービス（１月分）</v>
      </c>
      <c r="H67" s="827">
        <f>IFERROR(INDEX(月例!$H$5:$H$788,MATCH("委託費|S|62",月例!$S$5:$S$788,0)),"")</f>
        <v>385</v>
      </c>
      <c r="I67" s="828">
        <f>IF(H67="","",I66-H67)</f>
        <v>-7533112</v>
      </c>
      <c r="J67" s="829" t="str">
        <f>IFERROR(INDEX(月例!$P$5:$P$788,MATCH("委託費|S|62",月例!$S$5:$S$788,0)),"")</f>
        <v>昨年実績</v>
      </c>
      <c r="K67" s="825" t="str">
        <f>IFERROR(INDEX(月例!$A$5:$A$788,MATCH("賃借料|S|62",月例!$S$5:$S$788,0)),"")</f>
        <v/>
      </c>
      <c r="L67" s="826" t="str">
        <f>IFERROR(INDEX(月例!$E$5:$E$788,MATCH("賃借料|S|62",月例!$S$5:$S$788,0)),"")</f>
        <v/>
      </c>
      <c r="M67" s="827" t="str">
        <f>IFERROR(INDEX(月例!$H$5:$H$788,MATCH("賃借料|S|62",月例!$S$5:$S$788,0)),"")</f>
        <v/>
      </c>
      <c r="N67" s="828" t="str">
        <f>IF(M67="","",N66-M67)</f>
        <v/>
      </c>
      <c r="O67" s="829" t="str">
        <f>IFERROR(INDEX(月例!$P$5:$P$788,MATCH("賃借料|S|62",月例!$S$5:$S$788,0)),"")</f>
        <v/>
      </c>
      <c r="P67" s="825" t="str">
        <f>IFERROR(INDEX(月例!$A$5:$A$788,MATCH("事務用消耗品費|S|62",月例!$S$5:$S$788,0)),"")</f>
        <v/>
      </c>
      <c r="Q67" s="826" t="str">
        <f>IFERROR(INDEX(月例!$E$5:$E$788,MATCH("事務用消耗品費|S|62",月例!$S$5:$S$788,0)),"")</f>
        <v/>
      </c>
      <c r="R67" s="827" t="str">
        <f>IFERROR(INDEX(月例!$H$5:$H$788,MATCH("事務用消耗品費|S|62",月例!$S$5:$S$788,0)),"")</f>
        <v/>
      </c>
      <c r="S67" s="828" t="str">
        <f>IF(R67="","",S66-R67)</f>
        <v/>
      </c>
      <c r="T67" s="829" t="str">
        <f>IFERROR(INDEX(月例!$P$5:$P$788,MATCH("事務用消耗品費|S|62",月例!$S$5:$S$788,0)),"")</f>
        <v/>
      </c>
    </row>
    <row r="68" ht="26.25" customHeight="1" s="186" thickBot="1">
      <c r="A68" s="825">
        <f>IFERROR(INDEX(月例!$A$5:$A$788,MATCH("通信運搬費|S|63",月例!$S$5:$S$788,0)),"")</f>
        <v>46052</v>
      </c>
      <c r="B68" s="826" t="str">
        <f>IFERROR(INDEX(月例!$E$5:$E$788,MATCH("通信運搬費|S|63",月例!$S$5:$S$788,0)),"")</f>
        <v>ＦＡＸ電話代等分担金　互助会（第３四半期）</v>
      </c>
      <c r="C68" s="827">
        <f>IFERROR(INDEX(月例!$H$5:$H$788,MATCH("通信運搬費|S|63",月例!$S$5:$S$788,0)),"")</f>
        <v>5235</v>
      </c>
      <c r="D68" s="828">
        <f>IF(C68="","",D67-C68)</f>
        <v>-1405390</v>
      </c>
      <c r="E68" s="829" t="str">
        <f>IFERROR(INDEX(月例!$P$5:$P$788,MATCH("通信運搬費|S|63",月例!$S$5:$S$788,0)),"")</f>
        <v>昨年実績</v>
      </c>
      <c r="F68" s="825">
        <f>IFERROR(INDEX(月例!$A$5:$A$788,MATCH("委託費|S|63",月例!$S$5:$S$788,0)),"")</f>
        <v>46072</v>
      </c>
      <c r="G68" s="826" t="str">
        <f>IFERROR(INDEX(月例!$E$5:$E$788,MATCH("委託費|S|63",月例!$S$5:$S$788,0)),"")</f>
        <v>レセプト電子データ提供料（１１月診療分）</v>
      </c>
      <c r="H68" s="827">
        <f>IFERROR(INDEX(月例!$H$5:$H$788,MATCH("委託費|S|63",月例!$S$5:$S$788,0)),"")</f>
        <v>61611</v>
      </c>
      <c r="I68" s="828">
        <f>IF(H68="","",I67-H68)</f>
        <v>-7594723</v>
      </c>
      <c r="J68" s="829" t="str">
        <f>IFERROR(INDEX(月例!$P$5:$P$788,MATCH("委託費|S|63",月例!$S$5:$S$788,0)),"")</f>
        <v>昨年実績</v>
      </c>
      <c r="K68" s="825" t="str">
        <f>IFERROR(INDEX(月例!$A$5:$A$788,MATCH("賃借料|S|63",月例!$S$5:$S$788,0)),"")</f>
        <v/>
      </c>
      <c r="L68" s="826" t="str">
        <f>IFERROR(INDEX(月例!$E$5:$E$788,MATCH("賃借料|S|63",月例!$S$5:$S$788,0)),"")</f>
        <v/>
      </c>
      <c r="M68" s="827" t="str">
        <f>IFERROR(INDEX(月例!$H$5:$H$788,MATCH("賃借料|S|63",月例!$S$5:$S$788,0)),"")</f>
        <v/>
      </c>
      <c r="N68" s="828" t="str">
        <f>IF(M68="","",N67-M68)</f>
        <v/>
      </c>
      <c r="O68" s="829" t="str">
        <f>IFERROR(INDEX(月例!$P$5:$P$788,MATCH("賃借料|S|63",月例!$S$5:$S$788,0)),"")</f>
        <v/>
      </c>
      <c r="P68" s="825" t="str">
        <f>IFERROR(INDEX(月例!$A$5:$A$788,MATCH("事務用消耗品費|S|63",月例!$S$5:$S$788,0)),"")</f>
        <v/>
      </c>
      <c r="Q68" s="826" t="str">
        <f>IFERROR(INDEX(月例!$E$5:$E$788,MATCH("事務用消耗品費|S|63",月例!$S$5:$S$788,0)),"")</f>
        <v/>
      </c>
      <c r="R68" s="827" t="str">
        <f>IFERROR(INDEX(月例!$H$5:$H$788,MATCH("事務用消耗品費|S|63",月例!$S$5:$S$788,0)),"")</f>
        <v/>
      </c>
      <c r="S68" s="828" t="str">
        <f>IF(R68="","",S67-R68)</f>
        <v/>
      </c>
      <c r="T68" s="829" t="str">
        <f>IFERROR(INDEX(月例!$P$5:$P$788,MATCH("事務用消耗品費|S|63",月例!$S$5:$S$788,0)),"")</f>
        <v/>
      </c>
    </row>
    <row r="69" ht="26.25" customHeight="1" s="186" thickBot="1">
      <c r="A69" s="825">
        <f>IFERROR(INDEX(月例!$A$5:$A$788,MATCH("通信運搬費|S|64",月例!$S$5:$S$788,0)),"")</f>
        <v>45351</v>
      </c>
      <c r="B69" s="826" t="str">
        <f>IFERROR(INDEX(月例!$E$5:$E$788,MATCH("通信運搬費|S|64",月例!$S$5:$S$788,0)),"")</f>
        <v>柔整申請書送付（１月分）</v>
      </c>
      <c r="C69" s="827">
        <f>IFERROR(INDEX(月例!$H$5:$H$788,MATCH("通信運搬費|S|64",月例!$S$5:$S$788,0)),"")</f>
        <v>1489</v>
      </c>
      <c r="D69" s="828">
        <f>IF(C69="","",D68-C69)</f>
        <v>-1406879</v>
      </c>
      <c r="E69" s="829" t="str">
        <f>IFERROR(INDEX(月例!$P$5:$P$788,MATCH("通信運搬費|S|64",月例!$S$5:$S$788,0)),"")</f>
        <v>昨年実績</v>
      </c>
      <c r="F69" s="825">
        <f>IFERROR(INDEX(月例!$A$5:$A$788,MATCH("委託費|S|64",月例!$S$5:$S$788,0)),"")</f>
        <v>46072</v>
      </c>
      <c r="G69" s="826" t="str">
        <f>IFERROR(INDEX(月例!$E$5:$E$788,MATCH("委託費|S|64",月例!$S$5:$S$788,0)),"")</f>
        <v>社会保障等制度情報提供手数料（10～12月分）</v>
      </c>
      <c r="H69" s="827">
        <f>IFERROR(INDEX(月例!$H$5:$H$788,MATCH("委託費|S|64",月例!$S$5:$S$788,0)),"")</f>
        <v>8600</v>
      </c>
      <c r="I69" s="828">
        <f>IF(H69="","",I68-H69)</f>
        <v>-7603323</v>
      </c>
      <c r="J69" s="829" t="str">
        <f>IFERROR(INDEX(月例!$P$5:$P$788,MATCH("委託費|S|64",月例!$S$5:$S$788,0)),"")</f>
        <v>昨年実績</v>
      </c>
      <c r="K69" s="825" t="str">
        <f>IFERROR(INDEX(月例!$A$5:$A$788,MATCH("賃借料|S|64",月例!$S$5:$S$788,0)),"")</f>
        <v/>
      </c>
      <c r="L69" s="826" t="str">
        <f>IFERROR(INDEX(月例!$E$5:$E$788,MATCH("賃借料|S|64",月例!$S$5:$S$788,0)),"")</f>
        <v/>
      </c>
      <c r="M69" s="827" t="str">
        <f>IFERROR(INDEX(月例!$H$5:$H$788,MATCH("賃借料|S|64",月例!$S$5:$S$788,0)),"")</f>
        <v/>
      </c>
      <c r="N69" s="828" t="str">
        <f>IF(M69="","",N68-M69)</f>
        <v/>
      </c>
      <c r="O69" s="829" t="str">
        <f>IFERROR(INDEX(月例!$P$5:$P$788,MATCH("賃借料|S|64",月例!$S$5:$S$788,0)),"")</f>
        <v/>
      </c>
      <c r="P69" s="825" t="str">
        <f>IFERROR(INDEX(月例!$A$5:$A$788,MATCH("事務用消耗品費|S|64",月例!$S$5:$S$788,0)),"")</f>
        <v/>
      </c>
      <c r="Q69" s="826" t="str">
        <f>IFERROR(INDEX(月例!$E$5:$E$788,MATCH("事務用消耗品費|S|64",月例!$S$5:$S$788,0)),"")</f>
        <v/>
      </c>
      <c r="R69" s="827" t="str">
        <f>IFERROR(INDEX(月例!$H$5:$H$788,MATCH("事務用消耗品費|S|64",月例!$S$5:$S$788,0)),"")</f>
        <v/>
      </c>
      <c r="S69" s="828" t="str">
        <f>IF(R69="","",S68-R69)</f>
        <v/>
      </c>
      <c r="T69" s="829" t="str">
        <f>IFERROR(INDEX(月例!$P$5:$P$788,MATCH("事務用消耗品費|S|64",月例!$S$5:$S$788,0)),"")</f>
        <v/>
      </c>
    </row>
    <row r="70" ht="26.25" customHeight="1" s="186">
      <c r="A70" s="825">
        <f>IFERROR(INDEX(月例!$A$5:$A$788,MATCH("通信運搬費|S|65",月例!$S$5:$S$788,0)),"")</f>
        <v>45351</v>
      </c>
      <c r="B70" s="826" t="str">
        <f>IFERROR(INDEX(月例!$E$5:$E$788,MATCH("通信運搬費|S|65",月例!$S$5:$S$788,0)),"")</f>
        <v>メール便（任継者宛厚生だより２月分）</v>
      </c>
      <c r="C70" s="827">
        <f>IFERROR(INDEX(月例!$H$5:$H$788,MATCH("通信運搬費|S|65",月例!$S$5:$S$788,0)),"")</f>
        <v>18225</v>
      </c>
      <c r="D70" s="828">
        <f>IF(C70="","",D69-C70)</f>
        <v>-1425104</v>
      </c>
      <c r="E70" s="829" t="str">
        <f>IFERROR(INDEX(月例!$P$5:$P$788,MATCH("通信運搬費|S|65",月例!$S$5:$S$788,0)),"")</f>
        <v>昨年実績</v>
      </c>
      <c r="F70" s="825">
        <f>IFERROR(INDEX(月例!$A$5:$A$788,MATCH("委託費|S|65",月例!$S$5:$S$788,0)),"")</f>
        <v>46080</v>
      </c>
      <c r="G70" s="826" t="str">
        <f>IFERROR(INDEX(月例!$E$5:$E$788,MATCH("委託費|S|65",月例!$S$5:$S$788,0)),"")</f>
        <v>柔整等療養費支給申請書の入力（１月分）</v>
      </c>
      <c r="H70" s="827">
        <f>IFERROR(INDEX(月例!$H$5:$H$788,MATCH("委託費|S|65",月例!$S$5:$S$788,0)),"")</f>
        <v>145417</v>
      </c>
      <c r="I70" s="828">
        <f>IF(H70="","",I69-H70)</f>
        <v>-7748740</v>
      </c>
      <c r="J70" s="829" t="str">
        <f>IFERROR(INDEX(月例!$P$5:$P$788,MATCH("委託費|S|65",月例!$S$5:$S$788,0)),"")</f>
        <v>昨年実績</v>
      </c>
      <c r="K70" s="825" t="str">
        <f>IFERROR(INDEX(月例!$A$5:$A$788,MATCH("賃借料|S|65",月例!$S$5:$S$788,0)),"")</f>
        <v/>
      </c>
      <c r="L70" s="826" t="str">
        <f>IFERROR(INDEX(月例!$E$5:$E$788,MATCH("賃借料|S|65",月例!$S$5:$S$788,0)),"")</f>
        <v/>
      </c>
      <c r="M70" s="827" t="str">
        <f>IFERROR(INDEX(月例!$H$5:$H$788,MATCH("賃借料|S|65",月例!$S$5:$S$788,0)),"")</f>
        <v/>
      </c>
      <c r="N70" s="828" t="str">
        <f>IF(M70="","",N69-M70)</f>
        <v/>
      </c>
      <c r="O70" s="829" t="str">
        <f>IFERROR(INDEX(月例!$P$5:$P$788,MATCH("賃借料|S|65",月例!$S$5:$S$788,0)),"")</f>
        <v/>
      </c>
      <c r="P70" s="825" t="str">
        <f>IFERROR(INDEX(月例!$A$5:$A$788,MATCH("事務用消耗品費|S|65",月例!$S$5:$S$788,0)),"")</f>
        <v/>
      </c>
      <c r="Q70" s="826" t="str">
        <f>IFERROR(INDEX(月例!$E$5:$E$788,MATCH("事務用消耗品費|S|65",月例!$S$5:$S$788,0)),"")</f>
        <v/>
      </c>
      <c r="R70" s="827" t="str">
        <f>IFERROR(INDEX(月例!$H$5:$H$788,MATCH("事務用消耗品費|S|65",月例!$S$5:$S$788,0)),"")</f>
        <v/>
      </c>
      <c r="S70" s="828" t="str">
        <f>IF(R70="","",S69-R70)</f>
        <v/>
      </c>
      <c r="T70" s="829" t="str">
        <f>IFERROR(INDEX(月例!$P$5:$P$788,MATCH("事務用消耗品費|S|65",月例!$S$5:$S$788,0)),"")</f>
        <v/>
      </c>
    </row>
    <row r="71" ht="26.25" customHeight="1" s="186">
      <c r="A71" s="825">
        <f>IFERROR(INDEX(月例!$A$5:$A$788,MATCH("通信運搬費|S|66",月例!$S$5:$S$788,0)),"")</f>
        <v>45716</v>
      </c>
      <c r="B71" s="826" t="str">
        <f>IFERROR(INDEX(月例!$E$5:$E$788,MATCH("通信運搬費|S|66",月例!$S$5:$S$788,0)),"")</f>
        <v>料金後納利用料（１月分）</v>
      </c>
      <c r="C71" s="827">
        <f>IFERROR(INDEX(月例!$H$5:$H$788,MATCH("通信運搬費|S|66",月例!$S$5:$S$788,0)),"")</f>
        <v>14560</v>
      </c>
      <c r="D71" s="828">
        <f>IF(C71="","",D70-C71)</f>
        <v>-1439664</v>
      </c>
      <c r="E71" s="829" t="str">
        <f>IFERROR(INDEX(月例!$P$5:$P$788,MATCH("通信運搬費|S|66",月例!$S$5:$S$788,0)),"")</f>
        <v>昨年実績</v>
      </c>
      <c r="F71" s="825">
        <f>IFERROR(INDEX(月例!$A$5:$A$788,MATCH("委託費|S|66",月例!$S$5:$S$788,0)),"")</f>
        <v>45351</v>
      </c>
      <c r="G71" s="826" t="str">
        <f>IFERROR(INDEX(月例!$E$5:$E$788,MATCH("委託費|S|66",月例!$S$5:$S$788,0)),"")</f>
        <v>統合管理端末保守料（１月分）</v>
      </c>
      <c r="H71" s="827">
        <f>IFERROR(INDEX(月例!$H$5:$H$788,MATCH("委託費|S|66",月例!$S$5:$S$788,0)),"")</f>
        <v>5390</v>
      </c>
      <c r="I71" s="828">
        <f>IF(H71="","",I70-H71)</f>
        <v>-7754130</v>
      </c>
      <c r="J71" s="829" t="str">
        <f>IFERROR(INDEX(月例!$P$5:$P$788,MATCH("委託費|S|66",月例!$S$5:$S$788,0)),"")</f>
        <v>昨年実績</v>
      </c>
      <c r="K71" s="825" t="str">
        <f>IFERROR(INDEX(月例!$A$5:$A$788,MATCH("賃借料|S|66",月例!$S$5:$S$788,0)),"")</f>
        <v/>
      </c>
      <c r="L71" s="826" t="str">
        <f>IFERROR(INDEX(月例!$E$5:$E$788,MATCH("賃借料|S|66",月例!$S$5:$S$788,0)),"")</f>
        <v/>
      </c>
      <c r="M71" s="827" t="str">
        <f>IFERROR(INDEX(月例!$H$5:$H$788,MATCH("賃借料|S|66",月例!$S$5:$S$788,0)),"")</f>
        <v/>
      </c>
      <c r="N71" s="828" t="str">
        <f>IF(M71="","",N70-M71)</f>
        <v/>
      </c>
      <c r="O71" s="829" t="str">
        <f>IFERROR(INDEX(月例!$P$5:$P$788,MATCH("賃借料|S|66",月例!$S$5:$S$788,0)),"")</f>
        <v/>
      </c>
      <c r="P71" s="825" t="str">
        <f>IFERROR(INDEX(月例!$A$5:$A$788,MATCH("事務用消耗品費|S|66",月例!$S$5:$S$788,0)),"")</f>
        <v/>
      </c>
      <c r="Q71" s="826" t="str">
        <f>IFERROR(INDEX(月例!$E$5:$E$788,MATCH("事務用消耗品費|S|66",月例!$S$5:$S$788,0)),"")</f>
        <v/>
      </c>
      <c r="R71" s="827" t="str">
        <f>IFERROR(INDEX(月例!$H$5:$H$788,MATCH("事務用消耗品費|S|66",月例!$S$5:$S$788,0)),"")</f>
        <v/>
      </c>
      <c r="S71" s="828" t="str">
        <f>IF(R71="","",S70-R71)</f>
        <v/>
      </c>
      <c r="T71" s="829" t="str">
        <f>IFERROR(INDEX(月例!$P$5:$P$788,MATCH("事務用消耗品費|S|66",月例!$S$5:$S$788,0)),"")</f>
        <v/>
      </c>
    </row>
    <row r="72" ht="26.25" customHeight="1" s="186">
      <c r="A72" s="825">
        <f>IFERROR(INDEX(月例!$A$5:$A$788,MATCH("通信運搬費|S|67",月例!$S$5:$S$788,0)),"")</f>
        <v>46083</v>
      </c>
      <c r="B72" s="826" t="str">
        <f>IFERROR(INDEX(月例!$E$5:$E$788,MATCH("通信運搬費|S|67",月例!$S$5:$S$788,0)),"")</f>
        <v>フレッツ光ネクスト利用料等（12月、1月利用・2月請求分）</v>
      </c>
      <c r="C72" s="827">
        <f>IFERROR(INDEX(月例!$H$5:$H$788,MATCH("通信運搬費|S|67",月例!$S$5:$S$788,0)),"")</f>
        <v>13090</v>
      </c>
      <c r="D72" s="828">
        <f>IF(C72="","",D71-C72)</f>
        <v>-1452754</v>
      </c>
      <c r="E72" s="829" t="str">
        <f>IFERROR(INDEX(月例!$P$5:$P$788,MATCH("通信運搬費|S|67",月例!$S$5:$S$788,0)),"")</f>
        <v>昨年実績</v>
      </c>
      <c r="F72" s="825">
        <f>IFERROR(INDEX(月例!$A$5:$A$788,MATCH("委託費|S|67",月例!$S$5:$S$788,0)),"")</f>
        <v>44286</v>
      </c>
      <c r="G72" s="826" t="str">
        <f>IFERROR(INDEX(月例!$E$5:$E$788,MATCH("委託費|S|67",月例!$S$5:$S$788,0)),"")</f>
        <v>短期給付個人番号管理システム端末保守サービス（２月分）</v>
      </c>
      <c r="H72" s="827">
        <f>IFERROR(INDEX(月例!$H$5:$H$788,MATCH("委託費|S|67",月例!$S$5:$S$788,0)),"")</f>
        <v>385</v>
      </c>
      <c r="I72" s="828">
        <f>IF(H72="","",I71-H72)</f>
        <v>-7754515</v>
      </c>
      <c r="J72" s="829" t="str">
        <f>IFERROR(INDEX(月例!$P$5:$P$788,MATCH("委託費|S|67",月例!$S$5:$S$788,0)),"")</f>
        <v>昨年実績</v>
      </c>
      <c r="K72" s="825" t="str">
        <f>IFERROR(INDEX(月例!$A$5:$A$788,MATCH("賃借料|S|67",月例!$S$5:$S$788,0)),"")</f>
        <v/>
      </c>
      <c r="L72" s="826" t="str">
        <f>IFERROR(INDEX(月例!$E$5:$E$788,MATCH("賃借料|S|67",月例!$S$5:$S$788,0)),"")</f>
        <v/>
      </c>
      <c r="M72" s="827" t="str">
        <f>IFERROR(INDEX(月例!$H$5:$H$788,MATCH("賃借料|S|67",月例!$S$5:$S$788,0)),"")</f>
        <v/>
      </c>
      <c r="N72" s="828" t="str">
        <f>IF(M72="","",N71-M72)</f>
        <v/>
      </c>
      <c r="O72" s="829" t="str">
        <f>IFERROR(INDEX(月例!$P$5:$P$788,MATCH("賃借料|S|67",月例!$S$5:$S$788,0)),"")</f>
        <v/>
      </c>
      <c r="P72" s="825" t="str">
        <f>IFERROR(INDEX(月例!$A$5:$A$788,MATCH("事務用消耗品費|S|67",月例!$S$5:$S$788,0)),"")</f>
        <v/>
      </c>
      <c r="Q72" s="826" t="str">
        <f>IFERROR(INDEX(月例!$E$5:$E$788,MATCH("事務用消耗品費|S|67",月例!$S$5:$S$788,0)),"")</f>
        <v/>
      </c>
      <c r="R72" s="827" t="str">
        <f>IFERROR(INDEX(月例!$H$5:$H$788,MATCH("事務用消耗品費|S|67",月例!$S$5:$S$788,0)),"")</f>
        <v/>
      </c>
      <c r="S72" s="828" t="str">
        <f>IF(R72="","",S71-R72)</f>
        <v/>
      </c>
      <c r="T72" s="829" t="str">
        <f>IFERROR(INDEX(月例!$P$5:$P$788,MATCH("事務用消耗品費|S|67",月例!$S$5:$S$788,0)),"")</f>
        <v/>
      </c>
    </row>
    <row r="73" ht="26.25" customHeight="1" s="186">
      <c r="A73" s="825">
        <f>IFERROR(INDEX(月例!$A$5:$A$788,MATCH("通信運搬費|S|68",月例!$S$5:$S$788,0)),"")</f>
        <v>44249</v>
      </c>
      <c r="B73" s="826" t="str">
        <f>IFERROR(INDEX(月例!$E$5:$E$788,MATCH("通信運搬費|S|68",月例!$S$5:$S$788,0)),"")</f>
        <v>電話料金（１月使用・２月請求分）</v>
      </c>
      <c r="C73" s="827">
        <f>IFERROR(INDEX(月例!$H$5:$H$788,MATCH("通信運搬費|S|68",月例!$S$5:$S$788,0)),"")</f>
        <v>5405</v>
      </c>
      <c r="D73" s="828">
        <f>IF(C73="","",D72-C73)</f>
        <v>-1458159</v>
      </c>
      <c r="E73" s="829" t="str">
        <f>IFERROR(INDEX(月例!$P$5:$P$788,MATCH("通信運搬費|S|68",月例!$S$5:$S$788,0)),"")</f>
        <v>昨年実績</v>
      </c>
      <c r="F73" s="825">
        <f>IFERROR(INDEX(月例!$A$5:$A$788,MATCH("委託費|S|68",月例!$S$5:$S$788,0)),"")</f>
        <v>46100</v>
      </c>
      <c r="G73" s="826" t="str">
        <f>IFERROR(INDEX(月例!$E$5:$E$788,MATCH("委託費|S|68",月例!$S$5:$S$788,0)),"")</f>
        <v>レセプト電子データ提供料（１２月診療分）</v>
      </c>
      <c r="H73" s="827">
        <f>IFERROR(INDEX(月例!$H$5:$H$788,MATCH("委託費|S|68",月例!$S$5:$S$788,0)),"")</f>
        <v>66159</v>
      </c>
      <c r="I73" s="828">
        <f>IF(H73="","",I72-H73)</f>
        <v>-7820674</v>
      </c>
      <c r="J73" s="829" t="str">
        <f>IFERROR(INDEX(月例!$P$5:$P$788,MATCH("委託費|S|68",月例!$S$5:$S$788,0)),"")</f>
        <v>昨年実績</v>
      </c>
      <c r="K73" s="825" t="str">
        <f>IFERROR(INDEX(月例!$A$5:$A$788,MATCH("賃借料|S|68",月例!$S$5:$S$788,0)),"")</f>
        <v/>
      </c>
      <c r="L73" s="826" t="str">
        <f>IFERROR(INDEX(月例!$E$5:$E$788,MATCH("賃借料|S|68",月例!$S$5:$S$788,0)),"")</f>
        <v/>
      </c>
      <c r="M73" s="827" t="str">
        <f>IFERROR(INDEX(月例!$H$5:$H$788,MATCH("賃借料|S|68",月例!$S$5:$S$788,0)),"")</f>
        <v/>
      </c>
      <c r="N73" s="828" t="str">
        <f>IF(M73="","",N72-M73)</f>
        <v/>
      </c>
      <c r="O73" s="829" t="str">
        <f>IFERROR(INDEX(月例!$P$5:$P$788,MATCH("賃借料|S|68",月例!$S$5:$S$788,0)),"")</f>
        <v/>
      </c>
      <c r="P73" s="825" t="str">
        <f>IFERROR(INDEX(月例!$A$5:$A$788,MATCH("事務用消耗品費|S|68",月例!$S$5:$S$788,0)),"")</f>
        <v/>
      </c>
      <c r="Q73" s="826" t="str">
        <f>IFERROR(INDEX(月例!$E$5:$E$788,MATCH("事務用消耗品費|S|68",月例!$S$5:$S$788,0)),"")</f>
        <v/>
      </c>
      <c r="R73" s="827" t="str">
        <f>IFERROR(INDEX(月例!$H$5:$H$788,MATCH("事務用消耗品費|S|68",月例!$S$5:$S$788,0)),"")</f>
        <v/>
      </c>
      <c r="S73" s="828" t="str">
        <f>IF(R73="","",S72-R73)</f>
        <v/>
      </c>
      <c r="T73" s="829" t="str">
        <f>IFERROR(INDEX(月例!$P$5:$P$788,MATCH("事務用消耗品費|S|68",月例!$S$5:$S$788,0)),"")</f>
        <v/>
      </c>
    </row>
    <row r="74" ht="26.25" customHeight="1" s="186">
      <c r="A74" s="825">
        <f>IFERROR(INDEX(月例!$A$5:$A$788,MATCH("通信運搬費|S|69",月例!$S$5:$S$788,0)),"")</f>
        <v>45380</v>
      </c>
      <c r="B74" s="826" t="str">
        <f>IFERROR(INDEX(月例!$E$5:$E$788,MATCH("通信運搬費|S|69",月例!$S$5:$S$788,0)),"")</f>
        <v>柔整申請書送付（２月分）</v>
      </c>
      <c r="C74" s="827">
        <f>IFERROR(INDEX(月例!$H$5:$H$788,MATCH("通信運搬費|S|69",月例!$S$5:$S$788,0)),"")</f>
        <v>1489</v>
      </c>
      <c r="D74" s="828">
        <f>IF(C74="","",D73-C74)</f>
        <v>-1459648</v>
      </c>
      <c r="E74" s="829" t="str">
        <f>IFERROR(INDEX(月例!$P$5:$P$788,MATCH("通信運搬費|S|69",月例!$S$5:$S$788,0)),"")</f>
        <v>昨年実績</v>
      </c>
      <c r="F74" s="825">
        <f>IFERROR(INDEX(月例!$A$5:$A$788,MATCH("委託費|S|69",月例!$S$5:$S$788,0)),"")</f>
        <v>46112</v>
      </c>
      <c r="G74" s="826" t="str">
        <f>IFERROR(INDEX(月例!$E$5:$E$788,MATCH("委託費|S|69",月例!$S$5:$S$788,0)),"")</f>
        <v>療養費通知及び施術者照会作成業務（柔道整復）</v>
      </c>
      <c r="H74" s="827">
        <f>IFERROR(INDEX(月例!$H$5:$H$788,MATCH("委託費|S|69",月例!$S$5:$S$788,0)),"")</f>
        <v>64900</v>
      </c>
      <c r="I74" s="828">
        <f>IF(H74="","",I73-H74)</f>
        <v>-7885574</v>
      </c>
      <c r="J74" s="829" t="str">
        <f>IFERROR(INDEX(月例!$P$5:$P$788,MATCH("委託費|S|69",月例!$S$5:$S$788,0)),"")</f>
        <v>昨年実績</v>
      </c>
      <c r="K74" s="825" t="str">
        <f>IFERROR(INDEX(月例!$A$5:$A$788,MATCH("賃借料|S|69",月例!$S$5:$S$788,0)),"")</f>
        <v/>
      </c>
      <c r="L74" s="826" t="str">
        <f>IFERROR(INDEX(月例!$E$5:$E$788,MATCH("賃借料|S|69",月例!$S$5:$S$788,0)),"")</f>
        <v/>
      </c>
      <c r="M74" s="827" t="str">
        <f>IFERROR(INDEX(月例!$H$5:$H$788,MATCH("賃借料|S|69",月例!$S$5:$S$788,0)),"")</f>
        <v/>
      </c>
      <c r="N74" s="828" t="str">
        <f>IF(M74="","",N73-M74)</f>
        <v/>
      </c>
      <c r="O74" s="829" t="str">
        <f>IFERROR(INDEX(月例!$P$5:$P$788,MATCH("賃借料|S|69",月例!$S$5:$S$788,0)),"")</f>
        <v/>
      </c>
      <c r="P74" s="825" t="str">
        <f>IFERROR(INDEX(月例!$A$5:$A$788,MATCH("事務用消耗品費|S|69",月例!$S$5:$S$788,0)),"")</f>
        <v/>
      </c>
      <c r="Q74" s="826" t="str">
        <f>IFERROR(INDEX(月例!$E$5:$E$788,MATCH("事務用消耗品費|S|69",月例!$S$5:$S$788,0)),"")</f>
        <v/>
      </c>
      <c r="R74" s="827" t="str">
        <f>IFERROR(INDEX(月例!$H$5:$H$788,MATCH("事務用消耗品費|S|69",月例!$S$5:$S$788,0)),"")</f>
        <v/>
      </c>
      <c r="S74" s="828" t="str">
        <f>IF(R74="","",S73-R74)</f>
        <v/>
      </c>
      <c r="T74" s="829" t="str">
        <f>IFERROR(INDEX(月例!$P$5:$P$788,MATCH("事務用消耗品費|S|69",月例!$S$5:$S$788,0)),"")</f>
        <v/>
      </c>
    </row>
    <row r="75" ht="26.25" customHeight="1" s="186">
      <c r="A75" s="825">
        <f>IFERROR(INDEX(月例!$A$5:$A$788,MATCH("通信運搬費|S|70",月例!$S$5:$S$788,0)),"")</f>
        <v>46108</v>
      </c>
      <c r="B75" s="826" t="str">
        <f>IFERROR(INDEX(月例!$E$5:$E$788,MATCH("通信運搬費|S|70",月例!$S$5:$S$788,0)),"")</f>
        <v>料金後納利用料（２月分）短期</v>
      </c>
      <c r="C75" s="827">
        <f>IFERROR(INDEX(月例!$H$5:$H$788,MATCH("通信運搬費|S|70",月例!$S$5:$S$788,0)),"")</f>
        <v>15960</v>
      </c>
      <c r="D75" s="828">
        <f>IF(C75="","",D74-C75)</f>
        <v>-1475608</v>
      </c>
      <c r="E75" s="829" t="str">
        <f>IFERROR(INDEX(月例!$P$5:$P$788,MATCH("通信運搬費|S|70",月例!$S$5:$S$788,0)),"")</f>
        <v>昨年実績</v>
      </c>
      <c r="F75" s="825">
        <f>IFERROR(INDEX(月例!$A$5:$A$788,MATCH("委託費|S|70",月例!$S$5:$S$788,0)),"")</f>
        <v>46112</v>
      </c>
      <c r="G75" s="826" t="str">
        <f>IFERROR(INDEX(月例!$E$5:$E$788,MATCH("委託費|S|70",月例!$S$5:$S$788,0)),"")</f>
        <v>柔整等療養費支給申請書の入力（２月分）</v>
      </c>
      <c r="H75" s="827">
        <f>IFERROR(INDEX(月例!$H$5:$H$788,MATCH("委託費|S|70",月例!$S$5:$S$788,0)),"")</f>
        <v>121678</v>
      </c>
      <c r="I75" s="828">
        <f>IF(H75="","",I74-H75)</f>
        <v>-8007252</v>
      </c>
      <c r="J75" s="829" t="str">
        <f>IFERROR(INDEX(月例!$P$5:$P$788,MATCH("委託費|S|70",月例!$S$5:$S$788,0)),"")</f>
        <v>昨年実績</v>
      </c>
      <c r="K75" s="825" t="str">
        <f>IFERROR(INDEX(月例!$A$5:$A$788,MATCH("賃借料|S|70",月例!$S$5:$S$788,0)),"")</f>
        <v/>
      </c>
      <c r="L75" s="826" t="str">
        <f>IFERROR(INDEX(月例!$E$5:$E$788,MATCH("賃借料|S|70",月例!$S$5:$S$788,0)),"")</f>
        <v/>
      </c>
      <c r="M75" s="827" t="str">
        <f>IFERROR(INDEX(月例!$H$5:$H$788,MATCH("賃借料|S|70",月例!$S$5:$S$788,0)),"")</f>
        <v/>
      </c>
      <c r="N75" s="828" t="str">
        <f>IF(M75="","",N74-M75)</f>
        <v/>
      </c>
      <c r="O75" s="829" t="str">
        <f>IFERROR(INDEX(月例!$P$5:$P$788,MATCH("賃借料|S|70",月例!$S$5:$S$788,0)),"")</f>
        <v/>
      </c>
      <c r="P75" s="825" t="str">
        <f>IFERROR(INDEX(月例!$A$5:$A$788,MATCH("事務用消耗品費|S|70",月例!$S$5:$S$788,0)),"")</f>
        <v/>
      </c>
      <c r="Q75" s="826" t="str">
        <f>IFERROR(INDEX(月例!$E$5:$E$788,MATCH("事務用消耗品費|S|70",月例!$S$5:$S$788,0)),"")</f>
        <v/>
      </c>
      <c r="R75" s="827" t="str">
        <f>IFERROR(INDEX(月例!$H$5:$H$788,MATCH("事務用消耗品費|S|70",月例!$S$5:$S$788,0)),"")</f>
        <v/>
      </c>
      <c r="S75" s="828" t="str">
        <f>IF(R75="","",S74-R75)</f>
        <v/>
      </c>
      <c r="T75" s="829" t="str">
        <f>IFERROR(INDEX(月例!$P$5:$P$788,MATCH("事務用消耗品費|S|70",月例!$S$5:$S$788,0)),"")</f>
        <v/>
      </c>
    </row>
    <row r="76" ht="26.25" customHeight="1" s="186" thickBot="1">
      <c r="A76" s="825">
        <f>IFERROR(INDEX(月例!$A$5:$A$788,MATCH("通信運搬費|S|71",月例!$S$5:$S$788,0)),"")</f>
        <v>44277</v>
      </c>
      <c r="B76" s="826" t="str">
        <f>IFERROR(INDEX(月例!$E$5:$E$788,MATCH("通信運搬費|S|71",月例!$S$5:$S$788,0)),"")</f>
        <v>電話料金（２月使用・３月請求分）</v>
      </c>
      <c r="C76" s="827">
        <f>IFERROR(INDEX(月例!$H$5:$H$788,MATCH("通信運搬費|S|71",月例!$S$5:$S$788,0)),"")</f>
        <v>5407</v>
      </c>
      <c r="D76" s="828">
        <f>IF(C76="","",D75-C76)</f>
        <v>-1481015</v>
      </c>
      <c r="E76" s="829" t="str">
        <f>IFERROR(INDEX(月例!$P$5:$P$788,MATCH("通信運搬費|S|71",月例!$S$5:$S$788,0)),"")</f>
        <v>昨年実績</v>
      </c>
      <c r="F76" s="825">
        <f>IFERROR(INDEX(月例!$A$5:$A$788,MATCH("委託費|S|71",月例!$S$5:$S$788,0)),"")</f>
        <v>45380</v>
      </c>
      <c r="G76" s="826" t="str">
        <f>IFERROR(INDEX(月例!$E$5:$E$788,MATCH("委託費|S|71",月例!$S$5:$S$788,0)),"")</f>
        <v>統合管理端末保守料（２月分）</v>
      </c>
      <c r="H76" s="827">
        <f>IFERROR(INDEX(月例!$H$5:$H$788,MATCH("委託費|S|71",月例!$S$5:$S$788,0)),"")</f>
        <v>5390</v>
      </c>
      <c r="I76" s="828">
        <f>IF(H76="","",I75-H76)</f>
        <v>-8012642</v>
      </c>
      <c r="J76" s="829" t="str">
        <f>IFERROR(INDEX(月例!$P$5:$P$788,MATCH("委託費|S|71",月例!$S$5:$S$788,0)),"")</f>
        <v>昨年実績</v>
      </c>
      <c r="K76" s="825" t="str">
        <f>IFERROR(INDEX(月例!$A$5:$A$788,MATCH("賃借料|S|71",月例!$S$5:$S$788,0)),"")</f>
        <v/>
      </c>
      <c r="L76" s="826" t="str">
        <f>IFERROR(INDEX(月例!$E$5:$E$788,MATCH("賃借料|S|71",月例!$S$5:$S$788,0)),"")</f>
        <v/>
      </c>
      <c r="M76" s="827" t="str">
        <f>IFERROR(INDEX(月例!$H$5:$H$788,MATCH("賃借料|S|71",月例!$S$5:$S$788,0)),"")</f>
        <v/>
      </c>
      <c r="N76" s="828" t="str">
        <f>IF(M76="","",N75-M76)</f>
        <v/>
      </c>
      <c r="O76" s="829" t="str">
        <f>IFERROR(INDEX(月例!$P$5:$P$788,MATCH("賃借料|S|71",月例!$S$5:$S$788,0)),"")</f>
        <v/>
      </c>
      <c r="P76" s="825" t="str">
        <f>IFERROR(INDEX(月例!$A$5:$A$788,MATCH("事務用消耗品費|S|71",月例!$S$5:$S$788,0)),"")</f>
        <v/>
      </c>
      <c r="Q76" s="826" t="str">
        <f>IFERROR(INDEX(月例!$E$5:$E$788,MATCH("事務用消耗品費|S|71",月例!$S$5:$S$788,0)),"")</f>
        <v/>
      </c>
      <c r="R76" s="827" t="str">
        <f>IFERROR(INDEX(月例!$H$5:$H$788,MATCH("事務用消耗品費|S|71",月例!$S$5:$S$788,0)),"")</f>
        <v/>
      </c>
      <c r="S76" s="828" t="str">
        <f>IF(R76="","",S75-R76)</f>
        <v/>
      </c>
      <c r="T76" s="829" t="str">
        <f>IFERROR(INDEX(月例!$P$5:$P$788,MATCH("事務用消耗品費|S|71",月例!$S$5:$S$788,0)),"")</f>
        <v/>
      </c>
    </row>
    <row r="77" ht="26.25" customHeight="1" s="186" thickBot="1">
      <c r="A77" s="825">
        <f>IFERROR(INDEX(月例!$A$5:$A$788,MATCH("通信運搬費|S|72",月例!$S$5:$S$788,0)),"")</f>
        <v>46112</v>
      </c>
      <c r="B77" s="826" t="str">
        <f>IFERROR(INDEX(月例!$E$5:$E$788,MATCH("通信運搬費|S|72",月例!$S$5:$S$788,0)),"")</f>
        <v>インターネット通信料金（１・２月利用・３月請求分）</v>
      </c>
      <c r="C77" s="827">
        <f>IFERROR(INDEX(月例!$H$5:$H$788,MATCH("通信運搬費|S|72",月例!$S$5:$S$788,0)),"")</f>
        <v>3663</v>
      </c>
      <c r="D77" s="828">
        <f>IF(C77="","",D76-C77)</f>
        <v>-1484678</v>
      </c>
      <c r="E77" s="829" t="str">
        <f>IFERROR(INDEX(月例!$P$5:$P$788,MATCH("通信運搬費|S|72",月例!$S$5:$S$788,0)),"")</f>
        <v>昨年実績</v>
      </c>
      <c r="F77" s="825">
        <f>IFERROR(INDEX(月例!$A$5:$A$788,MATCH("委託費|S|72",月例!$S$5:$S$788,0)),"")</f>
        <v>44286</v>
      </c>
      <c r="G77" s="826" t="str">
        <f>IFERROR(INDEX(月例!$E$5:$E$788,MATCH("委託費|S|72",月例!$S$5:$S$788,0)),"")</f>
        <v>健康スコアリングレポート作成業務</v>
      </c>
      <c r="H77" s="827">
        <f>IFERROR(INDEX(月例!$H$5:$H$788,MATCH("委託費|S|72",月例!$S$5:$S$788,0)),"")</f>
        <v>6875</v>
      </c>
      <c r="I77" s="828">
        <f>IF(H77="","",I76-H77)</f>
        <v>-8019517</v>
      </c>
      <c r="J77" s="829" t="str">
        <f>IFERROR(INDEX(月例!$P$5:$P$788,MATCH("委託費|S|72",月例!$S$5:$S$788,0)),"")</f>
        <v>昨年実績</v>
      </c>
      <c r="K77" s="825" t="str">
        <f>IFERROR(INDEX(月例!$A$5:$A$788,MATCH("賃借料|S|72",月例!$S$5:$S$788,0)),"")</f>
        <v/>
      </c>
      <c r="L77" s="826" t="str">
        <f>IFERROR(INDEX(月例!$E$5:$E$788,MATCH("賃借料|S|72",月例!$S$5:$S$788,0)),"")</f>
        <v/>
      </c>
      <c r="M77" s="827" t="str">
        <f>IFERROR(INDEX(月例!$H$5:$H$788,MATCH("賃借料|S|72",月例!$S$5:$S$788,0)),"")</f>
        <v/>
      </c>
      <c r="N77" s="828" t="str">
        <f>IF(M77="","",N76-M77)</f>
        <v/>
      </c>
      <c r="O77" s="829" t="str">
        <f>IFERROR(INDEX(月例!$P$5:$P$788,MATCH("賃借料|S|72",月例!$S$5:$S$788,0)),"")</f>
        <v/>
      </c>
      <c r="P77" s="825" t="str">
        <f>IFERROR(INDEX(月例!$A$5:$A$788,MATCH("事務用消耗品費|S|72",月例!$S$5:$S$788,0)),"")</f>
        <v/>
      </c>
      <c r="Q77" s="826" t="str">
        <f>IFERROR(INDEX(月例!$E$5:$E$788,MATCH("事務用消耗品費|S|72",月例!$S$5:$S$788,0)),"")</f>
        <v/>
      </c>
      <c r="R77" s="827" t="str">
        <f>IFERROR(INDEX(月例!$H$5:$H$788,MATCH("事務用消耗品費|S|72",月例!$S$5:$S$788,0)),"")</f>
        <v/>
      </c>
      <c r="S77" s="828" t="str">
        <f>IF(R77="","",S76-R77)</f>
        <v/>
      </c>
      <c r="T77" s="829" t="str">
        <f>IFERROR(INDEX(月例!$P$5:$P$788,MATCH("事務用消耗品費|S|72",月例!$S$5:$S$788,0)),"")</f>
        <v/>
      </c>
    </row>
    <row r="78" ht="26.25" customHeight="1" s="186">
      <c r="A78" s="825">
        <f>IFERROR(INDEX(月例!$A$5:$A$788,MATCH("通信運搬費|S|73",月例!$S$5:$S$788,0)),"")</f>
        <v>45016</v>
      </c>
      <c r="B78" s="826" t="str">
        <f>IFERROR(INDEX(月例!$E$5:$E$788,MATCH("通信運搬費|S|73",月例!$S$5:$S$788,0)),"")</f>
        <v>メール便（任継者宛厚生だより１・２月分）</v>
      </c>
      <c r="C78" s="827">
        <f>IFERROR(INDEX(月例!$H$5:$H$788,MATCH("通信運搬費|S|73",月例!$S$5:$S$788,0)),"")</f>
        <v>18564</v>
      </c>
      <c r="D78" s="828">
        <f>IF(C78="","",D77-C78)</f>
        <v>-1503242</v>
      </c>
      <c r="E78" s="829" t="str">
        <f>IFERROR(INDEX(月例!$P$5:$P$788,MATCH("通信運搬費|S|73",月例!$S$5:$S$788,0)),"")</f>
        <v>昨年実績</v>
      </c>
      <c r="F78" s="825">
        <f>IFERROR(INDEX(月例!$A$5:$A$788,MATCH("委託費|S|73",月例!$S$5:$S$788,0)),"")</f>
        <v>45016</v>
      </c>
      <c r="G78" s="826" t="str">
        <f>IFERROR(INDEX(月例!$E$5:$E$788,MATCH("委託費|S|73",月例!$S$5:$S$788,0)),"")</f>
        <v>個人番号管理システム端末 搬入・調整</v>
      </c>
      <c r="H78" s="827">
        <f>IFERROR(INDEX(月例!$H$5:$H$788,MATCH("委託費|S|73",月例!$S$5:$S$788,0)),"")</f>
        <v>143000</v>
      </c>
      <c r="I78" s="828">
        <f>IF(H78="","",I77-H78)</f>
        <v>-8162517</v>
      </c>
      <c r="J78" s="829" t="str">
        <f>IFERROR(INDEX(月例!$P$5:$P$788,MATCH("委託費|S|73",月例!$S$5:$S$788,0)),"")</f>
        <v>昨年実績</v>
      </c>
      <c r="K78" s="825" t="str">
        <f>IFERROR(INDEX(月例!$A$5:$A$788,MATCH("賃借料|S|73",月例!$S$5:$S$788,0)),"")</f>
        <v/>
      </c>
      <c r="L78" s="826" t="str">
        <f>IFERROR(INDEX(月例!$E$5:$E$788,MATCH("賃借料|S|73",月例!$S$5:$S$788,0)),"")</f>
        <v/>
      </c>
      <c r="M78" s="827" t="str">
        <f>IFERROR(INDEX(月例!$H$5:$H$788,MATCH("賃借料|S|73",月例!$S$5:$S$788,0)),"")</f>
        <v/>
      </c>
      <c r="N78" s="828" t="str">
        <f>IF(M78="","",N77-M78)</f>
        <v/>
      </c>
      <c r="O78" s="829" t="str">
        <f>IFERROR(INDEX(月例!$P$5:$P$788,MATCH("賃借料|S|73",月例!$S$5:$S$788,0)),"")</f>
        <v/>
      </c>
      <c r="P78" s="825" t="str">
        <f>IFERROR(INDEX(月例!$A$5:$A$788,MATCH("事務用消耗品費|S|73",月例!$S$5:$S$788,0)),"")</f>
        <v/>
      </c>
      <c r="Q78" s="826" t="str">
        <f>IFERROR(INDEX(月例!$E$5:$E$788,MATCH("事務用消耗品費|S|73",月例!$S$5:$S$788,0)),"")</f>
        <v/>
      </c>
      <c r="R78" s="827" t="str">
        <f>IFERROR(INDEX(月例!$H$5:$H$788,MATCH("事務用消耗品費|S|73",月例!$S$5:$S$788,0)),"")</f>
        <v/>
      </c>
      <c r="S78" s="828" t="str">
        <f>IF(R78="","",S77-R78)</f>
        <v/>
      </c>
      <c r="T78" s="829" t="str">
        <f>IFERROR(INDEX(月例!$P$5:$P$788,MATCH("事務用消耗品費|S|73",月例!$S$5:$S$788,0)),"")</f>
        <v/>
      </c>
    </row>
    <row r="79" ht="26.25" customHeight="1" s="186" thickBot="1">
      <c r="A79" s="825">
        <f>IFERROR(INDEX(月例!$A$5:$A$788,MATCH("通信運搬費|S|74",月例!$S$5:$S$788,0)),"")</f>
        <v>45016</v>
      </c>
      <c r="B79" s="826" t="str">
        <f>IFERROR(INDEX(月例!$E$5:$E$788,MATCH("通信運搬費|S|74",月例!$S$5:$S$788,0)),"")</f>
        <v>フレッツ光ネクスト利用料等（2月利用・3月請求分）</v>
      </c>
      <c r="C79" s="827">
        <f>IFERROR(INDEX(月例!$H$5:$H$788,MATCH("通信運搬費|S|74",月例!$S$5:$S$788,0)),"")</f>
        <v>5115</v>
      </c>
      <c r="D79" s="828">
        <f>IF(C79="","",D78-C79)</f>
        <v>-1508357</v>
      </c>
      <c r="E79" s="829" t="str">
        <f>IFERROR(INDEX(月例!$P$5:$P$788,MATCH("通信運搬費|S|74",月例!$S$5:$S$788,0)),"")</f>
        <v>昨年実績</v>
      </c>
      <c r="F79" s="825" t="str">
        <f>IFERROR(INDEX(月例!$A$5:$A$788,MATCH("委託費|S|74",月例!$S$5:$S$788,0)),"")</f>
        <v/>
      </c>
      <c r="G79" s="826" t="str">
        <f>IFERROR(INDEX(月例!$E$5:$E$788,MATCH("委託費|S|74",月例!$S$5:$S$788,0)),"")</f>
        <v/>
      </c>
      <c r="H79" s="827" t="str">
        <f>IFERROR(INDEX(月例!$H$5:$H$788,MATCH("委託費|S|74",月例!$S$5:$S$788,0)),"")</f>
        <v/>
      </c>
      <c r="I79" s="828" t="str">
        <f>IF(H79="","",I78-H79)</f>
        <v/>
      </c>
      <c r="J79" s="829" t="str">
        <f>IFERROR(INDEX(月例!$P$5:$P$788,MATCH("委託費|S|74",月例!$S$5:$S$788,0)),"")</f>
        <v/>
      </c>
      <c r="K79" s="825" t="str">
        <f>IFERROR(INDEX(月例!$A$5:$A$788,MATCH("賃借料|S|74",月例!$S$5:$S$788,0)),"")</f>
        <v/>
      </c>
      <c r="L79" s="826" t="str">
        <f>IFERROR(INDEX(月例!$E$5:$E$788,MATCH("賃借料|S|74",月例!$S$5:$S$788,0)),"")</f>
        <v/>
      </c>
      <c r="M79" s="827" t="str">
        <f>IFERROR(INDEX(月例!$H$5:$H$788,MATCH("賃借料|S|74",月例!$S$5:$S$788,0)),"")</f>
        <v/>
      </c>
      <c r="N79" s="828" t="str">
        <f>IF(M79="","",N78-M79)</f>
        <v/>
      </c>
      <c r="O79" s="829" t="str">
        <f>IFERROR(INDEX(月例!$P$5:$P$788,MATCH("賃借料|S|74",月例!$S$5:$S$788,0)),"")</f>
        <v/>
      </c>
    </row>
    <row r="80" ht="26.25" customHeight="1" s="186" thickBot="1">
      <c r="A80" s="825">
        <f>IFERROR(INDEX(月例!$A$5:$A$788,MATCH("通信運搬費|S|75",月例!$S$5:$S$788,0)),"")</f>
        <v>45747</v>
      </c>
      <c r="B80" s="826" t="str">
        <f>IFERROR(INDEX(月例!$E$5:$E$788,MATCH("通信運搬費|S|75",月例!$S$5:$S$788,0)),"")</f>
        <v>フレッツ光ネクスト利用料等（2月利用・3月請求分）</v>
      </c>
      <c r="C80" s="827">
        <f>IFERROR(INDEX(月例!$H$5:$H$788,MATCH("通信運搬費|S|75",月例!$S$5:$S$788,0)),"")</f>
        <v>5126</v>
      </c>
      <c r="D80" s="828">
        <f>IF(C80="","",D79-C80)</f>
        <v>-1513483</v>
      </c>
      <c r="E80" s="829" t="str">
        <f>IFERROR(INDEX(月例!$P$5:$P$788,MATCH("通信運搬費|S|75",月例!$S$5:$S$788,0)),"")</f>
        <v>昨年実績</v>
      </c>
      <c r="F80" s="825" t="str">
        <f>IFERROR(INDEX(月例!$A$5:$A$788,MATCH("委託費|S|75",月例!$S$5:$S$788,0)),"")</f>
        <v/>
      </c>
      <c r="G80" s="826" t="str">
        <f>IFERROR(INDEX(月例!$E$5:$E$788,MATCH("委託費|S|75",月例!$S$5:$S$788,0)),"")</f>
        <v/>
      </c>
      <c r="H80" s="827" t="str">
        <f>IFERROR(INDEX(月例!$H$5:$H$788,MATCH("委託費|S|75",月例!$S$5:$S$788,0)),"")</f>
        <v/>
      </c>
      <c r="I80" s="828" t="str">
        <f>IF(H80="","",I79-H80)</f>
        <v/>
      </c>
      <c r="J80" s="829" t="str">
        <f>IFERROR(INDEX(月例!$P$5:$P$788,MATCH("委託費|S|75",月例!$S$5:$S$788,0)),"")</f>
        <v/>
      </c>
      <c r="K80" s="825" t="str">
        <f>IFERROR(INDEX(月例!$A$5:$A$788,MATCH("賃借料|S|75",月例!$S$5:$S$788,0)),"")</f>
        <v/>
      </c>
      <c r="L80" s="826" t="str">
        <f>IFERROR(INDEX(月例!$E$5:$E$788,MATCH("賃借料|S|75",月例!$S$5:$S$788,0)),"")</f>
        <v/>
      </c>
      <c r="M80" s="827" t="str">
        <f>IFERROR(INDEX(月例!$H$5:$H$788,MATCH("賃借料|S|75",月例!$S$5:$S$788,0)),"")</f>
        <v/>
      </c>
      <c r="N80" s="828" t="str">
        <f>IF(M80="","",N79-M80)</f>
        <v/>
      </c>
      <c r="O80" s="829" t="str">
        <f>IFERROR(INDEX(月例!$P$5:$P$788,MATCH("賃借料|S|75",月例!$S$5:$S$788,0)),"")</f>
        <v/>
      </c>
    </row>
    <row r="81" ht="26.25" customHeight="1" s="186">
      <c r="A81" s="825" t="str">
        <f>IFERROR(INDEX(月例!$A$5:$A$788,MATCH("通信運搬費|S|76",月例!$S$5:$S$788,0)),"")</f>
        <v/>
      </c>
      <c r="B81" s="826" t="str">
        <f>IFERROR(INDEX(月例!$E$5:$E$788,MATCH("通信運搬費|S|76",月例!$S$5:$S$788,0)),"")</f>
        <v/>
      </c>
      <c r="C81" s="827" t="str">
        <f>IFERROR(INDEX(月例!$H$5:$H$788,MATCH("通信運搬費|S|76",月例!$S$5:$S$788,0)),"")</f>
        <v/>
      </c>
      <c r="D81" s="828" t="str">
        <f>IF(C81="","",D80-C81)</f>
        <v/>
      </c>
      <c r="E81" s="829" t="str">
        <f>IFERROR(INDEX(月例!$P$5:$P$788,MATCH("通信運搬費|S|76",月例!$S$5:$S$788,0)),"")</f>
        <v/>
      </c>
      <c r="F81" s="825" t="str">
        <f>IFERROR(INDEX(月例!$A$5:$A$788,MATCH("委託費|S|76",月例!$S$5:$S$788,0)),"")</f>
        <v/>
      </c>
      <c r="G81" s="826" t="str">
        <f>IFERROR(INDEX(月例!$E$5:$E$788,MATCH("委託費|S|76",月例!$S$5:$S$788,0)),"")</f>
        <v/>
      </c>
      <c r="H81" s="827" t="str">
        <f>IFERROR(INDEX(月例!$H$5:$H$788,MATCH("委託費|S|76",月例!$S$5:$S$788,0)),"")</f>
        <v/>
      </c>
      <c r="I81" s="828" t="str">
        <f>IF(H81="","",I80-H81)</f>
        <v/>
      </c>
      <c r="J81" s="829" t="str">
        <f>IFERROR(INDEX(月例!$P$5:$P$788,MATCH("委託費|S|76",月例!$S$5:$S$788,0)),"")</f>
        <v/>
      </c>
      <c r="K81" s="825" t="str">
        <f>IFERROR(INDEX(月例!$A$5:$A$788,MATCH("賃借料|S|76",月例!$S$5:$S$788,0)),"")</f>
        <v/>
      </c>
      <c r="L81" s="826" t="str">
        <f>IFERROR(INDEX(月例!$E$5:$E$788,MATCH("賃借料|S|76",月例!$S$5:$S$788,0)),"")</f>
        <v/>
      </c>
      <c r="M81" s="827" t="str">
        <f>IFERROR(INDEX(月例!$H$5:$H$788,MATCH("賃借料|S|76",月例!$S$5:$S$788,0)),"")</f>
        <v/>
      </c>
      <c r="N81" s="828" t="str">
        <f>IF(M81="","",N80-M81)</f>
        <v/>
      </c>
      <c r="O81" s="829" t="str">
        <f>IFERROR(INDEX(月例!$P$5:$P$788,MATCH("賃借料|S|76",月例!$S$5:$S$788,0)),"")</f>
        <v/>
      </c>
    </row>
    <row r="82" ht="24" customHeight="1" s="186">
      <c r="A82" s="825" t="str">
        <f>IFERROR(INDEX(月例!$A$5:$A$788,MATCH("通信運搬費|S|77",月例!$S$5:$S$788,0)),"")</f>
        <v/>
      </c>
      <c r="B82" s="826" t="str">
        <f>IFERROR(INDEX(月例!$E$5:$E$788,MATCH("通信運搬費|S|77",月例!$S$5:$S$788,0)),"")</f>
        <v/>
      </c>
      <c r="C82" s="827" t="str">
        <f>IFERROR(INDEX(月例!$H$5:$H$788,MATCH("通信運搬費|S|77",月例!$S$5:$S$788,0)),"")</f>
        <v/>
      </c>
      <c r="D82" s="828" t="str">
        <f>IF(C82="","",D81-C82)</f>
        <v/>
      </c>
      <c r="E82" s="829" t="str">
        <f>IFERROR(INDEX(月例!$P$5:$P$788,MATCH("通信運搬費|S|77",月例!$S$5:$S$788,0)),"")</f>
        <v/>
      </c>
      <c r="F82" s="825" t="str">
        <f>IFERROR(INDEX(月例!$A$5:$A$788,MATCH("委託費|S|77",月例!$S$5:$S$788,0)),"")</f>
        <v/>
      </c>
      <c r="G82" s="826" t="str">
        <f>IFERROR(INDEX(月例!$E$5:$E$788,MATCH("委託費|S|77",月例!$S$5:$S$788,0)),"")</f>
        <v/>
      </c>
      <c r="H82" s="827" t="str">
        <f>IFERROR(INDEX(月例!$H$5:$H$788,MATCH("委託費|S|77",月例!$S$5:$S$788,0)),"")</f>
        <v/>
      </c>
      <c r="I82" s="828" t="str">
        <f>IF(H82="","",I81-H82)</f>
        <v/>
      </c>
      <c r="J82" s="829" t="str">
        <f>IFERROR(INDEX(月例!$P$5:$P$788,MATCH("委託費|S|77",月例!$S$5:$S$788,0)),"")</f>
        <v/>
      </c>
      <c r="K82" s="825" t="str">
        <f>IFERROR(INDEX(月例!$A$5:$A$788,MATCH("賃借料|S|77",月例!$S$5:$S$788,0)),"")</f>
        <v/>
      </c>
      <c r="L82" s="826" t="str">
        <f>IFERROR(INDEX(月例!$E$5:$E$788,MATCH("賃借料|S|77",月例!$S$5:$S$788,0)),"")</f>
        <v/>
      </c>
      <c r="M82" s="827" t="str">
        <f>IFERROR(INDEX(月例!$H$5:$H$788,MATCH("賃借料|S|77",月例!$S$5:$S$788,0)),"")</f>
        <v/>
      </c>
      <c r="N82" s="828" t="str">
        <f>IF(M82="","",N81-M82)</f>
        <v/>
      </c>
      <c r="O82" s="829" t="str">
        <f>IFERROR(INDEX(月例!$P$5:$P$788,MATCH("賃借料|S|77",月例!$S$5:$S$788,0)),"")</f>
        <v/>
      </c>
    </row>
    <row r="83" ht="26.25" customHeight="1" s="186">
      <c r="A83" s="825" t="str">
        <f>IFERROR(INDEX(月例!$A$5:$A$788,MATCH("通信運搬費|S|78",月例!$S$5:$S$788,0)),"")</f>
        <v/>
      </c>
      <c r="B83" s="826" t="str">
        <f>IFERROR(INDEX(月例!$E$5:$E$788,MATCH("通信運搬費|S|78",月例!$S$5:$S$788,0)),"")</f>
        <v/>
      </c>
      <c r="C83" s="827" t="str">
        <f>IFERROR(INDEX(月例!$H$5:$H$788,MATCH("通信運搬費|S|78",月例!$S$5:$S$788,0)),"")</f>
        <v/>
      </c>
      <c r="D83" s="828" t="str">
        <f>IF(C83="","",D82-C83)</f>
        <v/>
      </c>
      <c r="E83" s="829" t="str">
        <f>IFERROR(INDEX(月例!$P$5:$P$788,MATCH("通信運搬費|S|78",月例!$S$5:$S$788,0)),"")</f>
        <v/>
      </c>
      <c r="F83" s="825" t="str">
        <f>IFERROR(INDEX(月例!$A$5:$A$788,MATCH("委託費|S|78",月例!$S$5:$S$788,0)),"")</f>
        <v/>
      </c>
      <c r="G83" s="826" t="str">
        <f>IFERROR(INDEX(月例!$E$5:$E$788,MATCH("委託費|S|78",月例!$S$5:$S$788,0)),"")</f>
        <v/>
      </c>
      <c r="H83" s="827" t="str">
        <f>IFERROR(INDEX(月例!$H$5:$H$788,MATCH("委託費|S|78",月例!$S$5:$S$788,0)),"")</f>
        <v/>
      </c>
      <c r="I83" s="828" t="str">
        <f>IF(H83="","",I82-H83)</f>
        <v/>
      </c>
      <c r="J83" s="829" t="str">
        <f>IFERROR(INDEX(月例!$P$5:$P$788,MATCH("委託費|S|78",月例!$S$5:$S$788,0)),"")</f>
        <v/>
      </c>
      <c r="K83" s="825" t="str">
        <f>IFERROR(INDEX(月例!$A$5:$A$788,MATCH("賃借料|S|78",月例!$S$5:$S$788,0)),"")</f>
        <v/>
      </c>
      <c r="L83" s="826" t="str">
        <f>IFERROR(INDEX(月例!$E$5:$E$788,MATCH("賃借料|S|78",月例!$S$5:$S$788,0)),"")</f>
        <v/>
      </c>
      <c r="M83" s="827" t="str">
        <f>IFERROR(INDEX(月例!$H$5:$H$788,MATCH("賃借料|S|78",月例!$S$5:$S$788,0)),"")</f>
        <v/>
      </c>
      <c r="N83" s="828" t="str">
        <f>IF(M83="","",N82-M83)</f>
        <v/>
      </c>
      <c r="O83" s="829" t="str">
        <f>IFERROR(INDEX(月例!$P$5:$P$788,MATCH("賃借料|S|78",月例!$S$5:$S$788,0)),"")</f>
        <v/>
      </c>
    </row>
    <row r="84" ht="26.25" customHeight="1" s="186">
      <c r="A84" s="825" t="str">
        <f>IFERROR(INDEX(月例!$A$5:$A$788,MATCH("通信運搬費|S|79",月例!$S$5:$S$788,0)),"")</f>
        <v/>
      </c>
      <c r="B84" s="826" t="str">
        <f>IFERROR(INDEX(月例!$E$5:$E$788,MATCH("通信運搬費|S|79",月例!$S$5:$S$788,0)),"")</f>
        <v/>
      </c>
      <c r="C84" s="827" t="str">
        <f>IFERROR(INDEX(月例!$H$5:$H$788,MATCH("通信運搬費|S|79",月例!$S$5:$S$788,0)),"")</f>
        <v/>
      </c>
      <c r="D84" s="828" t="str">
        <f>IF(C84="","",D83-C84)</f>
        <v/>
      </c>
      <c r="E84" s="829" t="str">
        <f>IFERROR(INDEX(月例!$P$5:$P$788,MATCH("通信運搬費|S|79",月例!$S$5:$S$788,0)),"")</f>
        <v/>
      </c>
      <c r="F84" s="825" t="str">
        <f>IFERROR(INDEX(月例!$A$5:$A$788,MATCH("委託費|S|79",月例!$S$5:$S$788,0)),"")</f>
        <v/>
      </c>
      <c r="G84" s="826" t="str">
        <f>IFERROR(INDEX(月例!$E$5:$E$788,MATCH("委託費|S|79",月例!$S$5:$S$788,0)),"")</f>
        <v/>
      </c>
      <c r="H84" s="827" t="str">
        <f>IFERROR(INDEX(月例!$H$5:$H$788,MATCH("委託費|S|79",月例!$S$5:$S$788,0)),"")</f>
        <v/>
      </c>
      <c r="I84" s="828" t="str">
        <f>IF(H84="","",I83-H84)</f>
        <v/>
      </c>
      <c r="J84" s="829" t="str">
        <f>IFERROR(INDEX(月例!$P$5:$P$788,MATCH("委託費|S|79",月例!$S$5:$S$788,0)),"")</f>
        <v/>
      </c>
      <c r="K84" s="825" t="str">
        <f>IFERROR(INDEX(月例!$A$5:$A$788,MATCH("賃借料|S|79",月例!$S$5:$S$788,0)),"")</f>
        <v/>
      </c>
      <c r="L84" s="826" t="str">
        <f>IFERROR(INDEX(月例!$E$5:$E$788,MATCH("賃借料|S|79",月例!$S$5:$S$788,0)),"")</f>
        <v/>
      </c>
      <c r="M84" s="827" t="str">
        <f>IFERROR(INDEX(月例!$H$5:$H$788,MATCH("賃借料|S|79",月例!$S$5:$S$788,0)),"")</f>
        <v/>
      </c>
      <c r="N84" s="828" t="str">
        <f>IF(M84="","",N83-M84)</f>
        <v/>
      </c>
      <c r="O84" s="829" t="str">
        <f>IFERROR(INDEX(月例!$P$5:$P$788,MATCH("賃借料|S|79",月例!$S$5:$S$788,0)),"")</f>
        <v/>
      </c>
    </row>
    <row r="85" ht="26.25" customHeight="1" s="186">
      <c r="A85" s="825" t="str">
        <f>IFERROR(INDEX(月例!$A$5:$A$788,MATCH("通信運搬費|S|80",月例!$S$5:$S$788,0)),"")</f>
        <v/>
      </c>
      <c r="B85" s="826" t="str">
        <f>IFERROR(INDEX(月例!$E$5:$E$788,MATCH("通信運搬費|S|80",月例!$S$5:$S$788,0)),"")</f>
        <v/>
      </c>
      <c r="C85" s="827" t="str">
        <f>IFERROR(INDEX(月例!$H$5:$H$788,MATCH("通信運搬費|S|80",月例!$S$5:$S$788,0)),"")</f>
        <v/>
      </c>
      <c r="D85" s="828" t="str">
        <f>IF(C85="","",D84-C85)</f>
        <v/>
      </c>
      <c r="E85" s="829" t="str">
        <f>IFERROR(INDEX(月例!$P$5:$P$788,MATCH("通信運搬費|S|80",月例!$S$5:$S$788,0)),"")</f>
        <v/>
      </c>
      <c r="F85" s="825" t="str">
        <f>IFERROR(INDEX(月例!$A$5:$A$788,MATCH("委託費|S|80",月例!$S$5:$S$788,0)),"")</f>
        <v/>
      </c>
      <c r="G85" s="826" t="str">
        <f>IFERROR(INDEX(月例!$E$5:$E$788,MATCH("委託費|S|80",月例!$S$5:$S$788,0)),"")</f>
        <v/>
      </c>
      <c r="H85" s="827" t="str">
        <f>IFERROR(INDEX(月例!$H$5:$H$788,MATCH("委託費|S|80",月例!$S$5:$S$788,0)),"")</f>
        <v/>
      </c>
      <c r="I85" s="828" t="str">
        <f>IF(H85="","",I84-H85)</f>
        <v/>
      </c>
      <c r="J85" s="829" t="str">
        <f>IFERROR(INDEX(月例!$P$5:$P$788,MATCH("委託費|S|80",月例!$S$5:$S$788,0)),"")</f>
        <v/>
      </c>
      <c r="K85" s="825" t="str">
        <f>IFERROR(INDEX(月例!$A$5:$A$788,MATCH("賃借料|S|80",月例!$S$5:$S$788,0)),"")</f>
        <v/>
      </c>
      <c r="L85" s="826" t="str">
        <f>IFERROR(INDEX(月例!$E$5:$E$788,MATCH("賃借料|S|80",月例!$S$5:$S$788,0)),"")</f>
        <v/>
      </c>
      <c r="M85" s="827" t="str">
        <f>IFERROR(INDEX(月例!$H$5:$H$788,MATCH("賃借料|S|80",月例!$S$5:$S$788,0)),"")</f>
        <v/>
      </c>
      <c r="N85" s="828" t="str">
        <f>IF(M85="","",N84-M85)</f>
        <v/>
      </c>
      <c r="O85" s="829" t="str">
        <f>IFERROR(INDEX(月例!$P$5:$P$788,MATCH("賃借料|S|80",月例!$S$5:$S$788,0)),"")</f>
        <v/>
      </c>
    </row>
    <row r="86" ht="26.25" customHeight="1" s="186" thickBot="1">
      <c r="A86" s="825" t="str">
        <f>IFERROR(INDEX(月例!$A$5:$A$788,MATCH("通信運搬費|S|81",月例!$S$5:$S$788,0)),"")</f>
        <v/>
      </c>
      <c r="B86" s="826" t="str">
        <f>IFERROR(INDEX(月例!$E$5:$E$788,MATCH("通信運搬費|S|81",月例!$S$5:$S$788,0)),"")</f>
        <v/>
      </c>
      <c r="C86" s="827" t="str">
        <f>IFERROR(INDEX(月例!$H$5:$H$788,MATCH("通信運搬費|S|81",月例!$S$5:$S$788,0)),"")</f>
        <v/>
      </c>
      <c r="D86" s="828" t="str">
        <f>IF(C86="","",D85-C86)</f>
        <v/>
      </c>
      <c r="E86" s="829" t="str">
        <f>IFERROR(INDEX(月例!$P$5:$P$788,MATCH("通信運搬費|S|81",月例!$S$5:$S$788,0)),"")</f>
        <v/>
      </c>
      <c r="F86" s="825" t="str">
        <f>IFERROR(INDEX(月例!$A$5:$A$788,MATCH("委託費|S|81",月例!$S$5:$S$788,0)),"")</f>
        <v/>
      </c>
      <c r="G86" s="826" t="str">
        <f>IFERROR(INDEX(月例!$E$5:$E$788,MATCH("委託費|S|81",月例!$S$5:$S$788,0)),"")</f>
        <v/>
      </c>
      <c r="H86" s="827" t="str">
        <f>IFERROR(INDEX(月例!$H$5:$H$788,MATCH("委託費|S|81",月例!$S$5:$S$788,0)),"")</f>
        <v/>
      </c>
      <c r="I86" s="828" t="str">
        <f>IF(H86="","",I85-H86)</f>
        <v/>
      </c>
      <c r="J86" s="829" t="str">
        <f>IFERROR(INDEX(月例!$P$5:$P$788,MATCH("委託費|S|81",月例!$S$5:$S$788,0)),"")</f>
        <v/>
      </c>
      <c r="K86" s="825" t="str">
        <f>IFERROR(INDEX(月例!$A$5:$A$788,MATCH("賃借料|S|81",月例!$S$5:$S$788,0)),"")</f>
        <v/>
      </c>
      <c r="L86" s="826" t="str">
        <f>IFERROR(INDEX(月例!$E$5:$E$788,MATCH("賃借料|S|81",月例!$S$5:$S$788,0)),"")</f>
        <v/>
      </c>
      <c r="M86" s="827" t="str">
        <f>IFERROR(INDEX(月例!$H$5:$H$788,MATCH("賃借料|S|81",月例!$S$5:$S$788,0)),"")</f>
        <v/>
      </c>
      <c r="N86" s="828" t="str">
        <f>IF(M86="","",N85-M86)</f>
        <v/>
      </c>
      <c r="O86" s="829" t="str">
        <f>IFERROR(INDEX(月例!$P$5:$P$788,MATCH("賃借料|S|81",月例!$S$5:$S$788,0)),"")</f>
        <v/>
      </c>
    </row>
    <row r="87" ht="26.25" customHeight="1" s="186" thickBot="1">
      <c r="A87" s="825" t="str">
        <f>IFERROR(INDEX(月例!$A$5:$A$788,MATCH("通信運搬費|S|82",月例!$S$5:$S$788,0)),"")</f>
        <v/>
      </c>
      <c r="B87" s="826" t="str">
        <f>IFERROR(INDEX(月例!$E$5:$E$788,MATCH("通信運搬費|S|82",月例!$S$5:$S$788,0)),"")</f>
        <v/>
      </c>
      <c r="C87" s="827" t="str">
        <f>IFERROR(INDEX(月例!$H$5:$H$788,MATCH("通信運搬費|S|82",月例!$S$5:$S$788,0)),"")</f>
        <v/>
      </c>
      <c r="D87" s="828" t="str">
        <f>IF(C87="","",D86-C87)</f>
        <v/>
      </c>
      <c r="E87" s="829" t="str">
        <f>IFERROR(INDEX(月例!$P$5:$P$788,MATCH("通信運搬費|S|82",月例!$S$5:$S$788,0)),"")</f>
        <v/>
      </c>
      <c r="F87" s="825" t="str">
        <f>IFERROR(INDEX(月例!$A$5:$A$788,MATCH("委託費|S|82",月例!$S$5:$S$788,0)),"")</f>
        <v/>
      </c>
      <c r="G87" s="826" t="str">
        <f>IFERROR(INDEX(月例!$E$5:$E$788,MATCH("委託費|S|82",月例!$S$5:$S$788,0)),"")</f>
        <v/>
      </c>
      <c r="H87" s="827" t="str">
        <f>IFERROR(INDEX(月例!$H$5:$H$788,MATCH("委託費|S|82",月例!$S$5:$S$788,0)),"")</f>
        <v/>
      </c>
      <c r="I87" s="828" t="str">
        <f>IF(H87="","",I86-H87)</f>
        <v/>
      </c>
      <c r="J87" s="829" t="str">
        <f>IFERROR(INDEX(月例!$P$5:$P$788,MATCH("委託費|S|82",月例!$S$5:$S$788,0)),"")</f>
        <v/>
      </c>
      <c r="K87" s="825" t="str">
        <f>IFERROR(INDEX(月例!$A$5:$A$788,MATCH("賃借料|S|82",月例!$S$5:$S$788,0)),"")</f>
        <v/>
      </c>
      <c r="L87" s="826" t="str">
        <f>IFERROR(INDEX(月例!$E$5:$E$788,MATCH("賃借料|S|82",月例!$S$5:$S$788,0)),"")</f>
        <v/>
      </c>
      <c r="M87" s="827" t="str">
        <f>IFERROR(INDEX(月例!$H$5:$H$788,MATCH("賃借料|S|82",月例!$S$5:$S$788,0)),"")</f>
        <v/>
      </c>
      <c r="N87" s="828" t="str">
        <f>IF(M87="","",N86-M87)</f>
        <v/>
      </c>
      <c r="O87" s="829" t="str">
        <f>IFERROR(INDEX(月例!$P$5:$P$788,MATCH("賃借料|S|82",月例!$S$5:$S$788,0)),"")</f>
        <v/>
      </c>
    </row>
    <row r="88" ht="26.25" customHeight="1" s="186">
      <c r="A88" s="825" t="str">
        <f>IFERROR(INDEX(月例!$A$5:$A$788,MATCH("通信運搬費|S|83",月例!$S$5:$S$788,0)),"")</f>
        <v/>
      </c>
      <c r="B88" s="826" t="str">
        <f>IFERROR(INDEX(月例!$E$5:$E$788,MATCH("通信運搬費|S|83",月例!$S$5:$S$788,0)),"")</f>
        <v/>
      </c>
      <c r="C88" s="827" t="str">
        <f>IFERROR(INDEX(月例!$H$5:$H$788,MATCH("通信運搬費|S|83",月例!$S$5:$S$788,0)),"")</f>
        <v/>
      </c>
      <c r="D88" s="828" t="str">
        <f>IF(C88="","",D87-C88)</f>
        <v/>
      </c>
      <c r="E88" s="829" t="str">
        <f>IFERROR(INDEX(月例!$P$5:$P$788,MATCH("通信運搬費|S|83",月例!$S$5:$S$788,0)),"")</f>
        <v/>
      </c>
      <c r="F88" s="825" t="str">
        <f>IFERROR(INDEX(月例!$A$5:$A$788,MATCH("委託費|S|83",月例!$S$5:$S$788,0)),"")</f>
        <v/>
      </c>
      <c r="G88" s="826" t="str">
        <f>IFERROR(INDEX(月例!$E$5:$E$788,MATCH("委託費|S|83",月例!$S$5:$S$788,0)),"")</f>
        <v/>
      </c>
      <c r="H88" s="827" t="str">
        <f>IFERROR(INDEX(月例!$H$5:$H$788,MATCH("委託費|S|83",月例!$S$5:$S$788,0)),"")</f>
        <v/>
      </c>
      <c r="I88" s="828" t="str">
        <f>IF(H88="","",I87-H88)</f>
        <v/>
      </c>
      <c r="J88" s="829" t="str">
        <f>IFERROR(INDEX(月例!$P$5:$P$788,MATCH("委託費|S|83",月例!$S$5:$S$788,0)),"")</f>
        <v/>
      </c>
      <c r="K88" s="825" t="str">
        <f>IFERROR(INDEX(月例!$A$5:$A$788,MATCH("賃借料|S|83",月例!$S$5:$S$788,0)),"")</f>
        <v/>
      </c>
      <c r="L88" s="826" t="str">
        <f>IFERROR(INDEX(月例!$E$5:$E$788,MATCH("賃借料|S|83",月例!$S$5:$S$788,0)),"")</f>
        <v/>
      </c>
      <c r="M88" s="827" t="str">
        <f>IFERROR(INDEX(月例!$H$5:$H$788,MATCH("賃借料|S|83",月例!$S$5:$S$788,0)),"")</f>
        <v/>
      </c>
      <c r="N88" s="828" t="str">
        <f>IF(M88="","",N87-M88)</f>
        <v/>
      </c>
      <c r="O88" s="829" t="str">
        <f>IFERROR(INDEX(月例!$P$5:$P$788,MATCH("賃借料|S|83",月例!$S$5:$S$788,0)),"")</f>
        <v/>
      </c>
    </row>
    <row r="89" ht="26.25" customHeight="1" s="186" thickBot="1">
      <c r="A89" s="825" t="str">
        <f>IFERROR(INDEX(月例!$A$5:$A$788,MATCH("通信運搬費|S|84",月例!$S$5:$S$788,0)),"")</f>
        <v/>
      </c>
      <c r="B89" s="826" t="str">
        <f>IFERROR(INDEX(月例!$E$5:$E$788,MATCH("通信運搬費|S|84",月例!$S$5:$S$788,0)),"")</f>
        <v/>
      </c>
      <c r="C89" s="827" t="str">
        <f>IFERROR(INDEX(月例!$H$5:$H$788,MATCH("通信運搬費|S|84",月例!$S$5:$S$788,0)),"")</f>
        <v/>
      </c>
      <c r="D89" s="828" t="str">
        <f>IF(C89="","",D88-C89)</f>
        <v/>
      </c>
      <c r="E89" s="829" t="str">
        <f>IFERROR(INDEX(月例!$P$5:$P$788,MATCH("通信運搬費|S|84",月例!$S$5:$S$788,0)),"")</f>
        <v/>
      </c>
      <c r="F89" s="825" t="str">
        <f>IFERROR(INDEX(月例!$A$5:$A$788,MATCH("委託費|S|84",月例!$S$5:$S$788,0)),"")</f>
        <v/>
      </c>
      <c r="G89" s="826" t="str">
        <f>IFERROR(INDEX(月例!$E$5:$E$788,MATCH("委託費|S|84",月例!$S$5:$S$788,0)),"")</f>
        <v/>
      </c>
      <c r="H89" s="827" t="str">
        <f>IFERROR(INDEX(月例!$H$5:$H$788,MATCH("委託費|S|84",月例!$S$5:$S$788,0)),"")</f>
        <v/>
      </c>
      <c r="I89" s="828" t="str">
        <f>IF(H89="","",I88-H89)</f>
        <v/>
      </c>
      <c r="J89" s="829" t="str">
        <f>IFERROR(INDEX(月例!$P$5:$P$788,MATCH("委託費|S|84",月例!$S$5:$S$788,0)),"")</f>
        <v/>
      </c>
      <c r="K89" s="825" t="str">
        <f>IFERROR(INDEX(月例!$A$5:$A$788,MATCH("賃借料|S|84",月例!$S$5:$S$788,0)),"")</f>
        <v/>
      </c>
      <c r="L89" s="826" t="str">
        <f>IFERROR(INDEX(月例!$E$5:$E$788,MATCH("賃借料|S|84",月例!$S$5:$S$788,0)),"")</f>
        <v/>
      </c>
      <c r="M89" s="827" t="str">
        <f>IFERROR(INDEX(月例!$H$5:$H$788,MATCH("賃借料|S|84",月例!$S$5:$S$788,0)),"")</f>
        <v/>
      </c>
      <c r="N89" s="828" t="str">
        <f>IF(M89="","",N88-M89)</f>
        <v/>
      </c>
      <c r="O89" s="829" t="str">
        <f>IFERROR(INDEX(月例!$P$5:$P$788,MATCH("賃借料|S|84",月例!$S$5:$S$788,0)),"")</f>
        <v/>
      </c>
    </row>
    <row r="90" ht="26.25" customHeight="1" s="186" thickBot="1">
      <c r="A90" s="825" t="str">
        <f>IFERROR(INDEX(月例!$A$5:$A$788,MATCH("通信運搬費|S|85",月例!$S$5:$S$788,0)),"")</f>
        <v/>
      </c>
      <c r="B90" s="826" t="str">
        <f>IFERROR(INDEX(月例!$E$5:$E$788,MATCH("通信運搬費|S|85",月例!$S$5:$S$788,0)),"")</f>
        <v/>
      </c>
      <c r="C90" s="827" t="str">
        <f>IFERROR(INDEX(月例!$H$5:$H$788,MATCH("通信運搬費|S|85",月例!$S$5:$S$788,0)),"")</f>
        <v/>
      </c>
      <c r="D90" s="828" t="str">
        <f>IF(C90="","",D89-C90)</f>
        <v/>
      </c>
      <c r="E90" s="829" t="str">
        <f>IFERROR(INDEX(月例!$P$5:$P$788,MATCH("通信運搬費|S|85",月例!$S$5:$S$788,0)),"")</f>
        <v/>
      </c>
      <c r="F90" s="825" t="str">
        <f>IFERROR(INDEX(月例!$A$5:$A$788,MATCH("委託費|S|85",月例!$S$5:$S$788,0)),"")</f>
        <v/>
      </c>
      <c r="G90" s="826" t="str">
        <f>IFERROR(INDEX(月例!$E$5:$E$788,MATCH("委託費|S|85",月例!$S$5:$S$788,0)),"")</f>
        <v/>
      </c>
      <c r="H90" s="827" t="str">
        <f>IFERROR(INDEX(月例!$H$5:$H$788,MATCH("委託費|S|85",月例!$S$5:$S$788,0)),"")</f>
        <v/>
      </c>
      <c r="I90" s="828" t="str">
        <f>IF(H90="","",I89-H90)</f>
        <v/>
      </c>
      <c r="J90" s="829" t="str">
        <f>IFERROR(INDEX(月例!$P$5:$P$788,MATCH("委託費|S|85",月例!$S$5:$S$788,0)),"")</f>
        <v/>
      </c>
    </row>
    <row r="91" ht="26.25" customHeight="1" s="186">
      <c r="A91" s="825" t="str">
        <f>IFERROR(INDEX(月例!$A$5:$A$788,MATCH("通信運搬費|S|86",月例!$S$5:$S$788,0)),"")</f>
        <v/>
      </c>
      <c r="B91" s="826" t="str">
        <f>IFERROR(INDEX(月例!$E$5:$E$788,MATCH("通信運搬費|S|86",月例!$S$5:$S$788,0)),"")</f>
        <v/>
      </c>
      <c r="C91" s="827" t="str">
        <f>IFERROR(INDEX(月例!$H$5:$H$788,MATCH("通信運搬費|S|86",月例!$S$5:$S$788,0)),"")</f>
        <v/>
      </c>
      <c r="D91" s="828" t="str">
        <f>IF(C91="","",D90-C91)</f>
        <v/>
      </c>
      <c r="E91" s="829" t="str">
        <f>IFERROR(INDEX(月例!$P$5:$P$788,MATCH("通信運搬費|S|86",月例!$S$5:$S$788,0)),"")</f>
        <v/>
      </c>
      <c r="F91" s="825" t="str">
        <f>IFERROR(INDEX(月例!$A$5:$A$788,MATCH("委託費|S|86",月例!$S$5:$S$788,0)),"")</f>
        <v/>
      </c>
      <c r="G91" s="826" t="str">
        <f>IFERROR(INDEX(月例!$E$5:$E$788,MATCH("委託費|S|86",月例!$S$5:$S$788,0)),"")</f>
        <v/>
      </c>
      <c r="H91" s="827" t="str">
        <f>IFERROR(INDEX(月例!$H$5:$H$788,MATCH("委託費|S|86",月例!$S$5:$S$788,0)),"")</f>
        <v/>
      </c>
      <c r="I91" s="828" t="str">
        <f>IF(H91="","",I90-H91)</f>
        <v/>
      </c>
      <c r="J91" s="829" t="str">
        <f>IFERROR(INDEX(月例!$P$5:$P$788,MATCH("委託費|S|86",月例!$S$5:$S$788,0)),"")</f>
        <v/>
      </c>
    </row>
    <row r="92" ht="26.25" customHeight="1" s="186">
      <c r="A92" s="825" t="str">
        <f>IFERROR(INDEX(月例!$A$5:$A$788,MATCH("通信運搬費|S|87",月例!$S$5:$S$788,0)),"")</f>
        <v/>
      </c>
      <c r="B92" s="826" t="str">
        <f>IFERROR(INDEX(月例!$E$5:$E$788,MATCH("通信運搬費|S|87",月例!$S$5:$S$788,0)),"")</f>
        <v/>
      </c>
      <c r="C92" s="827" t="str">
        <f>IFERROR(INDEX(月例!$H$5:$H$788,MATCH("通信運搬費|S|87",月例!$S$5:$S$788,0)),"")</f>
        <v/>
      </c>
      <c r="D92" s="828" t="str">
        <f>IF(C92="","",D91-C92)</f>
        <v/>
      </c>
      <c r="E92" s="829" t="str">
        <f>IFERROR(INDEX(月例!$P$5:$P$788,MATCH("通信運搬費|S|87",月例!$S$5:$S$788,0)),"")</f>
        <v/>
      </c>
      <c r="F92" s="825" t="str">
        <f>IFERROR(INDEX(月例!$A$5:$A$788,MATCH("委託費|S|87",月例!$S$5:$S$788,0)),"")</f>
        <v/>
      </c>
      <c r="G92" s="826" t="str">
        <f>IFERROR(INDEX(月例!$E$5:$E$788,MATCH("委託費|S|87",月例!$S$5:$S$788,0)),"")</f>
        <v/>
      </c>
      <c r="H92" s="827" t="str">
        <f>IFERROR(INDEX(月例!$H$5:$H$788,MATCH("委託費|S|87",月例!$S$5:$S$788,0)),"")</f>
        <v/>
      </c>
      <c r="I92" s="828" t="str">
        <f>IF(H92="","",I91-H92)</f>
        <v/>
      </c>
      <c r="J92" s="829" t="str">
        <f>IFERROR(INDEX(月例!$P$5:$P$788,MATCH("委託費|S|87",月例!$S$5:$S$788,0)),"")</f>
        <v/>
      </c>
    </row>
    <row r="93" ht="26.25" customHeight="1" s="186">
      <c r="A93" s="825" t="str">
        <f>IFERROR(INDEX(月例!$A$5:$A$788,MATCH("通信運搬費|S|88",月例!$S$5:$S$788,0)),"")</f>
        <v/>
      </c>
      <c r="B93" s="826" t="str">
        <f>IFERROR(INDEX(月例!$E$5:$E$788,MATCH("通信運搬費|S|88",月例!$S$5:$S$788,0)),"")</f>
        <v/>
      </c>
      <c r="C93" s="827" t="str">
        <f>IFERROR(INDEX(月例!$H$5:$H$788,MATCH("通信運搬費|S|88",月例!$S$5:$S$788,0)),"")</f>
        <v/>
      </c>
      <c r="D93" s="828" t="str">
        <f>IF(C93="","",D92-C93)</f>
        <v/>
      </c>
      <c r="E93" s="829" t="str">
        <f>IFERROR(INDEX(月例!$P$5:$P$788,MATCH("通信運搬費|S|88",月例!$S$5:$S$788,0)),"")</f>
        <v/>
      </c>
      <c r="F93" s="825" t="str">
        <f>IFERROR(INDEX(月例!$A$5:$A$788,MATCH("委託費|S|88",月例!$S$5:$S$788,0)),"")</f>
        <v/>
      </c>
      <c r="G93" s="826" t="str">
        <f>IFERROR(INDEX(月例!$E$5:$E$788,MATCH("委託費|S|88",月例!$S$5:$S$788,0)),"")</f>
        <v/>
      </c>
      <c r="H93" s="827" t="str">
        <f>IFERROR(INDEX(月例!$H$5:$H$788,MATCH("委託費|S|88",月例!$S$5:$S$788,0)),"")</f>
        <v/>
      </c>
      <c r="I93" s="828" t="str">
        <f>IF(H93="","",I92-H93)</f>
        <v/>
      </c>
      <c r="J93" s="829" t="str">
        <f>IFERROR(INDEX(月例!$P$5:$P$788,MATCH("委託費|S|88",月例!$S$5:$S$788,0)),"")</f>
        <v/>
      </c>
    </row>
    <row r="94" ht="26.25" customHeight="1" s="186">
      <c r="A94" s="825" t="str">
        <f>IFERROR(INDEX(月例!$A$5:$A$788,MATCH("通信運搬費|S|89",月例!$S$5:$S$788,0)),"")</f>
        <v/>
      </c>
      <c r="B94" s="826" t="str">
        <f>IFERROR(INDEX(月例!$E$5:$E$788,MATCH("通信運搬費|S|89",月例!$S$5:$S$788,0)),"")</f>
        <v/>
      </c>
      <c r="C94" s="827" t="str">
        <f>IFERROR(INDEX(月例!$H$5:$H$788,MATCH("通信運搬費|S|89",月例!$S$5:$S$788,0)),"")</f>
        <v/>
      </c>
      <c r="D94" s="828" t="str">
        <f>IF(C94="","",D93-C94)</f>
        <v/>
      </c>
      <c r="E94" s="829" t="str">
        <f>IFERROR(INDEX(月例!$P$5:$P$788,MATCH("通信運搬費|S|89",月例!$S$5:$S$788,0)),"")</f>
        <v/>
      </c>
      <c r="F94" s="825" t="str">
        <f>IFERROR(INDEX(月例!$A$5:$A$788,MATCH("委託費|S|89",月例!$S$5:$S$788,0)),"")</f>
        <v/>
      </c>
      <c r="G94" s="826" t="str">
        <f>IFERROR(INDEX(月例!$E$5:$E$788,MATCH("委託費|S|89",月例!$S$5:$S$788,0)),"")</f>
        <v/>
      </c>
      <c r="H94" s="827" t="str">
        <f>IFERROR(INDEX(月例!$H$5:$H$788,MATCH("委託費|S|89",月例!$S$5:$S$788,0)),"")</f>
        <v/>
      </c>
      <c r="I94" s="828" t="str">
        <f>IF(H94="","",I93-H94)</f>
        <v/>
      </c>
      <c r="J94" s="829" t="str">
        <f>IFERROR(INDEX(月例!$P$5:$P$788,MATCH("委託費|S|89",月例!$S$5:$S$788,0)),"")</f>
        <v/>
      </c>
    </row>
    <row r="95" ht="26.25" customHeight="1" s="186">
      <c r="A95" s="825" t="str">
        <f>IFERROR(INDEX(月例!$A$5:$A$788,MATCH("通信運搬費|S|90",月例!$S$5:$S$788,0)),"")</f>
        <v/>
      </c>
      <c r="B95" s="826" t="str">
        <f>IFERROR(INDEX(月例!$E$5:$E$788,MATCH("通信運搬費|S|90",月例!$S$5:$S$788,0)),"")</f>
        <v/>
      </c>
      <c r="C95" s="827" t="str">
        <f>IFERROR(INDEX(月例!$H$5:$H$788,MATCH("通信運搬費|S|90",月例!$S$5:$S$788,0)),"")</f>
        <v/>
      </c>
      <c r="D95" s="828" t="str">
        <f>IF(C95="","",D94-C95)</f>
        <v/>
      </c>
      <c r="E95" s="829" t="str">
        <f>IFERROR(INDEX(月例!$P$5:$P$788,MATCH("通信運搬費|S|90",月例!$S$5:$S$788,0)),"")</f>
        <v/>
      </c>
      <c r="F95" s="825" t="str">
        <f>IFERROR(INDEX(月例!$A$5:$A$788,MATCH("委託費|S|90",月例!$S$5:$S$788,0)),"")</f>
        <v/>
      </c>
      <c r="G95" s="826" t="str">
        <f>IFERROR(INDEX(月例!$E$5:$E$788,MATCH("委託費|S|90",月例!$S$5:$S$788,0)),"")</f>
        <v/>
      </c>
      <c r="H95" s="827" t="str">
        <f>IFERROR(INDEX(月例!$H$5:$H$788,MATCH("委託費|S|90",月例!$S$5:$S$788,0)),"")</f>
        <v/>
      </c>
      <c r="I95" s="828" t="str">
        <f>IF(H95="","",I94-H95)</f>
        <v/>
      </c>
      <c r="J95" s="829" t="str">
        <f>IFERROR(INDEX(月例!$P$5:$P$788,MATCH("委託費|S|90",月例!$S$5:$S$788,0)),"")</f>
        <v/>
      </c>
    </row>
    <row r="96" ht="26.25" customHeight="1" s="186">
      <c r="A96" s="825" t="str">
        <f>IFERROR(INDEX(月例!$A$5:$A$788,MATCH("通信運搬費|S|91",月例!$S$5:$S$788,0)),"")</f>
        <v/>
      </c>
      <c r="B96" s="826" t="str">
        <f>IFERROR(INDEX(月例!$E$5:$E$788,MATCH("通信運搬費|S|91",月例!$S$5:$S$788,0)),"")</f>
        <v/>
      </c>
      <c r="C96" s="827" t="str">
        <f>IFERROR(INDEX(月例!$H$5:$H$788,MATCH("通信運搬費|S|91",月例!$S$5:$S$788,0)),"")</f>
        <v/>
      </c>
      <c r="D96" s="828" t="str">
        <f>IF(C96="","",D95-C96)</f>
        <v/>
      </c>
      <c r="E96" s="829" t="str">
        <f>IFERROR(INDEX(月例!$P$5:$P$788,MATCH("通信運搬費|S|91",月例!$S$5:$S$788,0)),"")</f>
        <v/>
      </c>
      <c r="F96" s="825" t="str">
        <f>IFERROR(INDEX(月例!$A$5:$A$788,MATCH("委託費|S|91",月例!$S$5:$S$788,0)),"")</f>
        <v/>
      </c>
      <c r="G96" s="826" t="str">
        <f>IFERROR(INDEX(月例!$E$5:$E$788,MATCH("委託費|S|91",月例!$S$5:$S$788,0)),"")</f>
        <v/>
      </c>
      <c r="H96" s="827" t="str">
        <f>IFERROR(INDEX(月例!$H$5:$H$788,MATCH("委託費|S|91",月例!$S$5:$S$788,0)),"")</f>
        <v/>
      </c>
      <c r="I96" s="828" t="str">
        <f>IF(H96="","",I95-H96)</f>
        <v/>
      </c>
      <c r="J96" s="829" t="str">
        <f>IFERROR(INDEX(月例!$P$5:$P$788,MATCH("委託費|S|91",月例!$S$5:$S$788,0)),"")</f>
        <v/>
      </c>
    </row>
    <row r="97" ht="26.25" customHeight="1" s="186">
      <c r="A97" s="825" t="str">
        <f>IFERROR(INDEX(月例!$A$5:$A$788,MATCH("通信運搬費|S|92",月例!$S$5:$S$788,0)),"")</f>
        <v/>
      </c>
      <c r="B97" s="826" t="str">
        <f>IFERROR(INDEX(月例!$E$5:$E$788,MATCH("通信運搬費|S|92",月例!$S$5:$S$788,0)),"")</f>
        <v/>
      </c>
      <c r="C97" s="827" t="str">
        <f>IFERROR(INDEX(月例!$H$5:$H$788,MATCH("通信運搬費|S|92",月例!$S$5:$S$788,0)),"")</f>
        <v/>
      </c>
      <c r="D97" s="828" t="str">
        <f>IF(C97="","",D96-C97)</f>
        <v/>
      </c>
      <c r="E97" s="829" t="str">
        <f>IFERROR(INDEX(月例!$P$5:$P$788,MATCH("通信運搬費|S|92",月例!$S$5:$S$788,0)),"")</f>
        <v/>
      </c>
      <c r="F97" s="825" t="str">
        <f>IFERROR(INDEX(月例!$A$5:$A$788,MATCH("委託費|S|92",月例!$S$5:$S$788,0)),"")</f>
        <v/>
      </c>
      <c r="G97" s="826" t="str">
        <f>IFERROR(INDEX(月例!$E$5:$E$788,MATCH("委託費|S|92",月例!$S$5:$S$788,0)),"")</f>
        <v/>
      </c>
      <c r="H97" s="827" t="str">
        <f>IFERROR(INDEX(月例!$H$5:$H$788,MATCH("委託費|S|92",月例!$S$5:$S$788,0)),"")</f>
        <v/>
      </c>
      <c r="I97" s="828" t="str">
        <f>IF(H97="","",I96-H97)</f>
        <v/>
      </c>
      <c r="J97" s="829" t="str">
        <f>IFERROR(INDEX(月例!$P$5:$P$788,MATCH("委託費|S|92",月例!$S$5:$S$788,0)),"")</f>
        <v/>
      </c>
    </row>
    <row r="98" ht="26.25" customHeight="1" s="186" thickBot="1">
      <c r="A98" s="825" t="str">
        <f>IFERROR(INDEX(月例!$A$5:$A$788,MATCH("通信運搬費|S|93",月例!$S$5:$S$788,0)),"")</f>
        <v/>
      </c>
      <c r="B98" s="826" t="str">
        <f>IFERROR(INDEX(月例!$E$5:$E$788,MATCH("通信運搬費|S|93",月例!$S$5:$S$788,0)),"")</f>
        <v/>
      </c>
      <c r="C98" s="827" t="str">
        <f>IFERROR(INDEX(月例!$H$5:$H$788,MATCH("通信運搬費|S|93",月例!$S$5:$S$788,0)),"")</f>
        <v/>
      </c>
      <c r="D98" s="828" t="str">
        <f>IF(C98="","",D97-C98)</f>
        <v/>
      </c>
      <c r="E98" s="829" t="str">
        <f>IFERROR(INDEX(月例!$P$5:$P$788,MATCH("通信運搬費|S|93",月例!$S$5:$S$788,0)),"")</f>
        <v/>
      </c>
      <c r="F98" s="825" t="str">
        <f>IFERROR(INDEX(月例!$A$5:$A$788,MATCH("委託費|S|93",月例!$S$5:$S$788,0)),"")</f>
        <v/>
      </c>
      <c r="G98" s="826" t="str">
        <f>IFERROR(INDEX(月例!$E$5:$E$788,MATCH("委託費|S|93",月例!$S$5:$S$788,0)),"")</f>
        <v/>
      </c>
      <c r="H98" s="827" t="str">
        <f>IFERROR(INDEX(月例!$H$5:$H$788,MATCH("委託費|S|93",月例!$S$5:$S$788,0)),"")</f>
        <v/>
      </c>
      <c r="I98" s="828" t="str">
        <f>IF(H98="","",I97-H98)</f>
        <v/>
      </c>
      <c r="J98" s="829" t="str">
        <f>IFERROR(INDEX(月例!$P$5:$P$788,MATCH("委託費|S|93",月例!$S$5:$S$788,0)),"")</f>
        <v/>
      </c>
    </row>
    <row r="99" ht="26.25" customHeight="1" s="186" thickBot="1">
      <c r="A99" s="825" t="str">
        <f>IFERROR(INDEX(月例!$A$5:$A$788,MATCH("通信運搬費|S|94",月例!$S$5:$S$788,0)),"")</f>
        <v/>
      </c>
      <c r="B99" s="826" t="str">
        <f>IFERROR(INDEX(月例!$E$5:$E$788,MATCH("通信運搬費|S|94",月例!$S$5:$S$788,0)),"")</f>
        <v/>
      </c>
      <c r="C99" s="827" t="str">
        <f>IFERROR(INDEX(月例!$H$5:$H$788,MATCH("通信運搬費|S|94",月例!$S$5:$S$788,0)),"")</f>
        <v/>
      </c>
      <c r="D99" s="828" t="str">
        <f>IF(C99="","",D98-C99)</f>
        <v/>
      </c>
      <c r="E99" s="829" t="str">
        <f>IFERROR(INDEX(月例!$P$5:$P$788,MATCH("通信運搬費|S|94",月例!$S$5:$S$788,0)),"")</f>
        <v/>
      </c>
      <c r="F99" s="825" t="str">
        <f>IFERROR(INDEX(月例!$A$5:$A$788,MATCH("委託費|S|94",月例!$S$5:$S$788,0)),"")</f>
        <v/>
      </c>
      <c r="G99" s="826" t="str">
        <f>IFERROR(INDEX(月例!$E$5:$E$788,MATCH("委託費|S|94",月例!$S$5:$S$788,0)),"")</f>
        <v/>
      </c>
      <c r="H99" s="827" t="str">
        <f>IFERROR(INDEX(月例!$H$5:$H$788,MATCH("委託費|S|94",月例!$S$5:$S$788,0)),"")</f>
        <v/>
      </c>
      <c r="I99" s="828" t="str">
        <f>IF(H99="","",I98-H99)</f>
        <v/>
      </c>
      <c r="J99" s="829" t="str">
        <f>IFERROR(INDEX(月例!$P$5:$P$788,MATCH("委託費|S|94",月例!$S$5:$S$788,0)),"")</f>
        <v/>
      </c>
    </row>
    <row r="100" ht="26.25" customHeight="1" s="186" thickBot="1">
      <c r="A100" s="825" t="str">
        <f>IFERROR(INDEX(月例!$A$5:$A$788,MATCH("通信運搬費|S|95",月例!$S$5:$S$788,0)),"")</f>
        <v/>
      </c>
      <c r="B100" s="826" t="str">
        <f>IFERROR(INDEX(月例!$E$5:$E$788,MATCH("通信運搬費|S|95",月例!$S$5:$S$788,0)),"")</f>
        <v/>
      </c>
      <c r="C100" s="827" t="str">
        <f>IFERROR(INDEX(月例!$H$5:$H$788,MATCH("通信運搬費|S|95",月例!$S$5:$S$788,0)),"")</f>
        <v/>
      </c>
      <c r="D100" s="828" t="str">
        <f>IF(C100="","",D99-C100)</f>
        <v/>
      </c>
      <c r="E100" s="829" t="str">
        <f>IFERROR(INDEX(月例!$P$5:$P$788,MATCH("通信運搬費|S|95",月例!$S$5:$S$788,0)),"")</f>
        <v/>
      </c>
      <c r="F100" s="825" t="str">
        <f>IFERROR(INDEX(月例!$A$5:$A$788,MATCH("委託費|S|95",月例!$S$5:$S$788,0)),"")</f>
        <v/>
      </c>
      <c r="G100" s="826" t="str">
        <f>IFERROR(INDEX(月例!$E$5:$E$788,MATCH("委託費|S|95",月例!$S$5:$S$788,0)),"")</f>
        <v/>
      </c>
      <c r="H100" s="827" t="str">
        <f>IFERROR(INDEX(月例!$H$5:$H$788,MATCH("委託費|S|95",月例!$S$5:$S$788,0)),"")</f>
        <v/>
      </c>
      <c r="I100" s="828" t="str">
        <f>IF(H100="","",I99-H100)</f>
        <v/>
      </c>
      <c r="J100" s="829" t="str">
        <f>IFERROR(INDEX(月例!$P$5:$P$788,MATCH("委託費|S|95",月例!$S$5:$S$788,0)),"")</f>
        <v/>
      </c>
    </row>
    <row r="101" ht="26.25" customHeight="1" s="186" thickBot="1">
      <c r="A101" s="825" t="str">
        <f>IFERROR(INDEX(月例!$A$5:$A$788,MATCH("通信運搬費|S|96",月例!$S$5:$S$788,0)),"")</f>
        <v/>
      </c>
      <c r="B101" s="826" t="str">
        <f>IFERROR(INDEX(月例!$E$5:$E$788,MATCH("通信運搬費|S|96",月例!$S$5:$S$788,0)),"")</f>
        <v/>
      </c>
      <c r="C101" s="827" t="str">
        <f>IFERROR(INDEX(月例!$H$5:$H$788,MATCH("通信運搬費|S|96",月例!$S$5:$S$788,0)),"")</f>
        <v/>
      </c>
      <c r="D101" s="828" t="str">
        <f>IF(C101="","",D100-C101)</f>
        <v/>
      </c>
      <c r="E101" s="829" t="str">
        <f>IFERROR(INDEX(月例!$P$5:$P$788,MATCH("通信運搬費|S|96",月例!$S$5:$S$788,0)),"")</f>
        <v/>
      </c>
      <c r="F101" s="825" t="str">
        <f>IFERROR(INDEX(月例!$A$5:$A$788,MATCH("委託費|S|96",月例!$S$5:$S$788,0)),"")</f>
        <v/>
      </c>
      <c r="G101" s="826" t="str">
        <f>IFERROR(INDEX(月例!$E$5:$E$788,MATCH("委託費|S|96",月例!$S$5:$S$788,0)),"")</f>
        <v/>
      </c>
      <c r="H101" s="827" t="str">
        <f>IFERROR(INDEX(月例!$H$5:$H$788,MATCH("委託費|S|96",月例!$S$5:$S$788,0)),"")</f>
        <v/>
      </c>
      <c r="I101" s="828" t="str">
        <f>IF(H101="","",I100-H101)</f>
        <v/>
      </c>
      <c r="J101" s="829" t="str">
        <f>IFERROR(INDEX(月例!$P$5:$P$788,MATCH("委託費|S|96",月例!$S$5:$S$788,0)),"")</f>
        <v/>
      </c>
    </row>
    <row r="102" ht="26.25" customHeight="1" s="186" thickBot="1">
      <c r="A102" s="825" t="str">
        <f>IFERROR(INDEX(月例!$A$5:$A$788,MATCH("通信運搬費|S|97",月例!$S$5:$S$788,0)),"")</f>
        <v/>
      </c>
      <c r="B102" s="826" t="str">
        <f>IFERROR(INDEX(月例!$E$5:$E$788,MATCH("通信運搬費|S|97",月例!$S$5:$S$788,0)),"")</f>
        <v/>
      </c>
      <c r="C102" s="827" t="str">
        <f>IFERROR(INDEX(月例!$H$5:$H$788,MATCH("通信運搬費|S|97",月例!$S$5:$S$788,0)),"")</f>
        <v/>
      </c>
      <c r="D102" s="828" t="str">
        <f>IF(C102="","",D101-C102)</f>
        <v/>
      </c>
      <c r="E102" s="829" t="str">
        <f>IFERROR(INDEX(月例!$P$5:$P$788,MATCH("通信運搬費|S|97",月例!$S$5:$S$788,0)),"")</f>
        <v/>
      </c>
      <c r="F102" s="825" t="str">
        <f>IFERROR(INDEX(月例!$A$5:$A$788,MATCH("委託費|S|97",月例!$S$5:$S$788,0)),"")</f>
        <v/>
      </c>
      <c r="G102" s="826" t="str">
        <f>IFERROR(INDEX(月例!$E$5:$E$788,MATCH("委託費|S|97",月例!$S$5:$S$788,0)),"")</f>
        <v/>
      </c>
      <c r="H102" s="827" t="str">
        <f>IFERROR(INDEX(月例!$H$5:$H$788,MATCH("委託費|S|97",月例!$S$5:$S$788,0)),"")</f>
        <v/>
      </c>
      <c r="I102" s="828" t="str">
        <f>IF(H102="","",I101-H102)</f>
        <v/>
      </c>
      <c r="J102" s="829" t="str">
        <f>IFERROR(INDEX(月例!$P$5:$P$788,MATCH("委託費|S|97",月例!$S$5:$S$788,0)),"")</f>
        <v/>
      </c>
    </row>
    <row r="103" ht="26.25" customHeight="1" s="186" thickBot="1">
      <c r="A103" s="825" t="str">
        <f>IFERROR(INDEX(月例!$A$5:$A$788,MATCH("通信運搬費|S|98",月例!$S$5:$S$788,0)),"")</f>
        <v/>
      </c>
      <c r="B103" s="826" t="str">
        <f>IFERROR(INDEX(月例!$E$5:$E$788,MATCH("通信運搬費|S|98",月例!$S$5:$S$788,0)),"")</f>
        <v/>
      </c>
      <c r="C103" s="827" t="str">
        <f>IFERROR(INDEX(月例!$H$5:$H$788,MATCH("通信運搬費|S|98",月例!$S$5:$S$788,0)),"")</f>
        <v/>
      </c>
      <c r="D103" s="828" t="str">
        <f>IF(C103="","",D102-C103)</f>
        <v/>
      </c>
      <c r="E103" s="829" t="str">
        <f>IFERROR(INDEX(月例!$P$5:$P$788,MATCH("通信運搬費|S|98",月例!$S$5:$S$788,0)),"")</f>
        <v/>
      </c>
      <c r="F103" s="825" t="str">
        <f>IFERROR(INDEX(月例!$A$5:$A$788,MATCH("委託費|S|98",月例!$S$5:$S$788,0)),"")</f>
        <v/>
      </c>
      <c r="G103" s="826" t="str">
        <f>IFERROR(INDEX(月例!$E$5:$E$788,MATCH("委託費|S|98",月例!$S$5:$S$788,0)),"")</f>
        <v/>
      </c>
      <c r="H103" s="827" t="str">
        <f>IFERROR(INDEX(月例!$H$5:$H$788,MATCH("委託費|S|98",月例!$S$5:$S$788,0)),"")</f>
        <v/>
      </c>
      <c r="I103" s="828" t="str">
        <f>IF(H103="","",I102-H103)</f>
        <v/>
      </c>
      <c r="J103" s="829" t="str">
        <f>IFERROR(INDEX(月例!$P$5:$P$788,MATCH("委託費|S|98",月例!$S$5:$S$788,0)),"")</f>
        <v/>
      </c>
    </row>
    <row r="104" ht="26.25" customHeight="1" s="186" thickBot="1">
      <c r="A104" s="825" t="str">
        <f>IFERROR(INDEX(月例!$A$5:$A$788,MATCH("通信運搬費|S|99",月例!$S$5:$S$788,0)),"")</f>
        <v/>
      </c>
      <c r="B104" s="826" t="str">
        <f>IFERROR(INDEX(月例!$E$5:$E$788,MATCH("通信運搬費|S|99",月例!$S$5:$S$788,0)),"")</f>
        <v/>
      </c>
      <c r="C104" s="827" t="str">
        <f>IFERROR(INDEX(月例!$H$5:$H$788,MATCH("通信運搬費|S|99",月例!$S$5:$S$788,0)),"")</f>
        <v/>
      </c>
      <c r="D104" s="828" t="str">
        <f>IF(C104="","",D103-C104)</f>
        <v/>
      </c>
      <c r="E104" s="829" t="str">
        <f>IFERROR(INDEX(月例!$P$5:$P$788,MATCH("通信運搬費|S|99",月例!$S$5:$S$788,0)),"")</f>
        <v/>
      </c>
      <c r="F104" s="825" t="str">
        <f>IFERROR(INDEX(月例!$A$5:$A$788,MATCH("委託費|S|99",月例!$S$5:$S$788,0)),"")</f>
        <v/>
      </c>
      <c r="G104" s="826" t="str">
        <f>IFERROR(INDEX(月例!$E$5:$E$788,MATCH("委託費|S|99",月例!$S$5:$S$788,0)),"")</f>
        <v/>
      </c>
      <c r="H104" s="827" t="str">
        <f>IFERROR(INDEX(月例!$H$5:$H$788,MATCH("委託費|S|99",月例!$S$5:$S$788,0)),"")</f>
        <v/>
      </c>
      <c r="I104" s="828" t="str">
        <f>IF(H104="","",I103-H104)</f>
        <v/>
      </c>
      <c r="J104" s="829" t="str">
        <f>IFERROR(INDEX(月例!$P$5:$P$788,MATCH("委託費|S|99",月例!$S$5:$S$788,0)),"")</f>
        <v/>
      </c>
    </row>
    <row r="105" ht="26.25" customHeight="1" s="186">
      <c r="A105" s="825" t="str">
        <f>IFERROR(INDEX(月例!$A$5:$A$788,MATCH("通信運搬費|S|100",月例!$S$5:$S$788,0)),"")</f>
        <v/>
      </c>
      <c r="B105" s="826" t="str">
        <f>IFERROR(INDEX(月例!$E$5:$E$788,MATCH("通信運搬費|S|100",月例!$S$5:$S$788,0)),"")</f>
        <v/>
      </c>
      <c r="C105" s="827" t="str">
        <f>IFERROR(INDEX(月例!$H$5:$H$788,MATCH("通信運搬費|S|100",月例!$S$5:$S$788,0)),"")</f>
        <v/>
      </c>
      <c r="D105" s="828" t="str">
        <f>IF(C105="","",D104-C105)</f>
        <v/>
      </c>
      <c r="E105" s="829" t="str">
        <f>IFERROR(INDEX(月例!$P$5:$P$788,MATCH("通信運搬費|S|100",月例!$S$5:$S$788,0)),"")</f>
        <v/>
      </c>
      <c r="F105" s="825" t="str">
        <f>IFERROR(INDEX(月例!$A$5:$A$788,MATCH("委託費|S|100",月例!$S$5:$S$788,0)),"")</f>
        <v/>
      </c>
      <c r="G105" s="826" t="str">
        <f>IFERROR(INDEX(月例!$E$5:$E$788,MATCH("委託費|S|100",月例!$S$5:$S$788,0)),"")</f>
        <v/>
      </c>
      <c r="H105" s="827" t="str">
        <f>IFERROR(INDEX(月例!$H$5:$H$788,MATCH("委託費|S|100",月例!$S$5:$S$788,0)),"")</f>
        <v/>
      </c>
      <c r="I105" s="828" t="str">
        <f>IF(H105="","",I104-H105)</f>
        <v/>
      </c>
      <c r="J105" s="829" t="str">
        <f>IFERROR(INDEX(月例!$P$5:$P$788,MATCH("委託費|S|100",月例!$S$5:$S$788,0)),"")</f>
        <v/>
      </c>
    </row>
    <row r="106" ht="26.25" customHeight="1" s="186">
      <c r="A106" s="825" t="str">
        <f>IFERROR(INDEX(月例!$A$5:$A$788,MATCH("通信運搬費|S|101",月例!$S$5:$S$788,0)),"")</f>
        <v/>
      </c>
      <c r="B106" s="826" t="str">
        <f>IFERROR(INDEX(月例!$E$5:$E$788,MATCH("通信運搬費|S|101",月例!$S$5:$S$788,0)),"")</f>
        <v/>
      </c>
      <c r="C106" s="827" t="str">
        <f>IFERROR(INDEX(月例!$H$5:$H$788,MATCH("通信運搬費|S|101",月例!$S$5:$S$788,0)),"")</f>
        <v/>
      </c>
      <c r="D106" s="828" t="str">
        <f>IF(C106="","",D105-C106)</f>
        <v/>
      </c>
      <c r="E106" s="829" t="str">
        <f>IFERROR(INDEX(月例!$P$5:$P$788,MATCH("通信運搬費|S|101",月例!$S$5:$S$788,0)),"")</f>
        <v/>
      </c>
      <c r="F106" s="825" t="str">
        <f>IFERROR(INDEX(月例!$A$5:$A$788,MATCH("委託費|S|101",月例!$S$5:$S$788,0)),"")</f>
        <v/>
      </c>
      <c r="G106" s="826" t="str">
        <f>IFERROR(INDEX(月例!$E$5:$E$788,MATCH("委託費|S|101",月例!$S$5:$S$788,0)),"")</f>
        <v/>
      </c>
      <c r="H106" s="827" t="str">
        <f>IFERROR(INDEX(月例!$H$5:$H$788,MATCH("委託費|S|101",月例!$S$5:$S$788,0)),"")</f>
        <v/>
      </c>
      <c r="I106" s="828" t="str">
        <f>IF(H106="","",I105-H106)</f>
        <v/>
      </c>
      <c r="J106" s="829" t="str">
        <f>IFERROR(INDEX(月例!$P$5:$P$788,MATCH("委託費|S|101",月例!$S$5:$S$788,0)),"")</f>
        <v/>
      </c>
    </row>
    <row r="107" ht="26.25" customHeight="1" s="186" thickBot="1">
      <c r="A107" s="825" t="str">
        <f>IFERROR(INDEX(月例!$A$5:$A$788,MATCH("通信運搬費|S|102",月例!$S$5:$S$788,0)),"")</f>
        <v/>
      </c>
      <c r="B107" s="826" t="str">
        <f>IFERROR(INDEX(月例!$E$5:$E$788,MATCH("通信運搬費|S|102",月例!$S$5:$S$788,0)),"")</f>
        <v/>
      </c>
      <c r="C107" s="827" t="str">
        <f>IFERROR(INDEX(月例!$H$5:$H$788,MATCH("通信運搬費|S|102",月例!$S$5:$S$788,0)),"")</f>
        <v/>
      </c>
      <c r="D107" s="828" t="str">
        <f>IF(C107="","",D106-C107)</f>
        <v/>
      </c>
      <c r="E107" s="829" t="str">
        <f>IFERROR(INDEX(月例!$P$5:$P$788,MATCH("通信運搬費|S|102",月例!$S$5:$S$788,0)),"")</f>
        <v/>
      </c>
      <c r="F107" s="825" t="str">
        <f>IFERROR(INDEX(月例!$A$5:$A$788,MATCH("委託費|S|102",月例!$S$5:$S$788,0)),"")</f>
        <v/>
      </c>
      <c r="G107" s="826" t="str">
        <f>IFERROR(INDEX(月例!$E$5:$E$788,MATCH("委託費|S|102",月例!$S$5:$S$788,0)),"")</f>
        <v/>
      </c>
      <c r="H107" s="827" t="str">
        <f>IFERROR(INDEX(月例!$H$5:$H$788,MATCH("委託費|S|102",月例!$S$5:$S$788,0)),"")</f>
        <v/>
      </c>
      <c r="I107" s="828" t="str">
        <f>IF(H107="","",I106-H107)</f>
        <v/>
      </c>
      <c r="J107" s="829" t="str">
        <f>IFERROR(INDEX(月例!$P$5:$P$788,MATCH("委託費|S|102",月例!$S$5:$S$788,0)),"")</f>
        <v/>
      </c>
    </row>
    <row r="108" ht="26.25" customHeight="1" s="186" thickBot="1">
      <c r="A108" s="825" t="str">
        <f>IFERROR(INDEX(月例!$A$5:$A$788,MATCH("通信運搬費|S|103",月例!$S$5:$S$788,0)),"")</f>
        <v/>
      </c>
      <c r="B108" s="826" t="str">
        <f>IFERROR(INDEX(月例!$E$5:$E$788,MATCH("通信運搬費|S|103",月例!$S$5:$S$788,0)),"")</f>
        <v/>
      </c>
      <c r="C108" s="827" t="str">
        <f>IFERROR(INDEX(月例!$H$5:$H$788,MATCH("通信運搬費|S|103",月例!$S$5:$S$788,0)),"")</f>
        <v/>
      </c>
      <c r="D108" s="828" t="str">
        <f>IF(C108="","",D107-C108)</f>
        <v/>
      </c>
      <c r="E108" s="829" t="str">
        <f>IFERROR(INDEX(月例!$P$5:$P$788,MATCH("通信運搬費|S|103",月例!$S$5:$S$788,0)),"")</f>
        <v/>
      </c>
      <c r="F108" s="825" t="str">
        <f>IFERROR(INDEX(月例!$A$5:$A$788,MATCH("委託費|S|103",月例!$S$5:$S$788,0)),"")</f>
        <v/>
      </c>
      <c r="G108" s="826" t="str">
        <f>IFERROR(INDEX(月例!$E$5:$E$788,MATCH("委託費|S|103",月例!$S$5:$S$788,0)),"")</f>
        <v/>
      </c>
      <c r="H108" s="827" t="str">
        <f>IFERROR(INDEX(月例!$H$5:$H$788,MATCH("委託費|S|103",月例!$S$5:$S$788,0)),"")</f>
        <v/>
      </c>
      <c r="I108" s="828" t="str">
        <f>IF(H108="","",I107-H108)</f>
        <v/>
      </c>
      <c r="J108" s="829" t="str">
        <f>IFERROR(INDEX(月例!$P$5:$P$788,MATCH("委託費|S|103",月例!$S$5:$S$788,0)),"")</f>
        <v/>
      </c>
    </row>
    <row r="109" ht="26.25" customHeight="1" s="186" thickBot="1">
      <c r="A109" s="825" t="str">
        <f>IFERROR(INDEX(月例!$A$5:$A$788,MATCH("通信運搬費|S|104",月例!$S$5:$S$788,0)),"")</f>
        <v/>
      </c>
      <c r="B109" s="826" t="str">
        <f>IFERROR(INDEX(月例!$E$5:$E$788,MATCH("通信運搬費|S|104",月例!$S$5:$S$788,0)),"")</f>
        <v/>
      </c>
      <c r="C109" s="827" t="str">
        <f>IFERROR(INDEX(月例!$H$5:$H$788,MATCH("通信運搬費|S|104",月例!$S$5:$S$788,0)),"")</f>
        <v/>
      </c>
      <c r="D109" s="828" t="str">
        <f>IF(C109="","",D108-C109)</f>
        <v/>
      </c>
      <c r="E109" s="829" t="str">
        <f>IFERROR(INDEX(月例!$P$5:$P$788,MATCH("通信運搬費|S|104",月例!$S$5:$S$788,0)),"")</f>
        <v/>
      </c>
    </row>
    <row r="110" ht="26.25" customHeight="1" s="186" thickBot="1">
      <c r="A110" s="825" t="str">
        <f>IFERROR(INDEX(月例!$A$5:$A$788,MATCH("通信運搬費|S|105",月例!$S$5:$S$788,0)),"")</f>
        <v/>
      </c>
      <c r="B110" s="826" t="str">
        <f>IFERROR(INDEX(月例!$E$5:$E$788,MATCH("通信運搬費|S|105",月例!$S$5:$S$788,0)),"")</f>
        <v/>
      </c>
      <c r="C110" s="827" t="str">
        <f>IFERROR(INDEX(月例!$H$5:$H$788,MATCH("通信運搬費|S|105",月例!$S$5:$S$788,0)),"")</f>
        <v/>
      </c>
      <c r="D110" s="828" t="str">
        <f>IF(C110="","",D109-C110)</f>
        <v/>
      </c>
      <c r="E110" s="829" t="str">
        <f>IFERROR(INDEX(月例!$P$5:$P$788,MATCH("通信運搬費|S|105",月例!$S$5:$S$788,0)),"")</f>
        <v/>
      </c>
    </row>
    <row r="111" ht="26.25" customHeight="1" s="186" thickBot="1">
      <c r="A111" s="825" t="str">
        <f>IFERROR(INDEX(月例!$A$5:$A$788,MATCH("通信運搬費|S|106",月例!$S$5:$S$788,0)),"")</f>
        <v/>
      </c>
      <c r="B111" s="826" t="str">
        <f>IFERROR(INDEX(月例!$E$5:$E$788,MATCH("通信運搬費|S|106",月例!$S$5:$S$788,0)),"")</f>
        <v/>
      </c>
      <c r="C111" s="827" t="str">
        <f>IFERROR(INDEX(月例!$H$5:$H$788,MATCH("通信運搬費|S|106",月例!$S$5:$S$788,0)),"")</f>
        <v/>
      </c>
      <c r="D111" s="828" t="str">
        <f>IF(C111="","",D110-C111)</f>
        <v/>
      </c>
      <c r="E111" s="829" t="str">
        <f>IFERROR(INDEX(月例!$P$5:$P$788,MATCH("通信運搬費|S|106",月例!$S$5:$S$788,0)),"")</f>
        <v/>
      </c>
    </row>
    <row r="112" ht="26.25" customHeight="1" s="186" thickBot="1"/>
    <row r="113" ht="26.25" customHeight="1" s="186" thickBot="1"/>
    <row r="114" ht="26.25" customHeight="1" s="186"/>
    <row r="115" ht="26.25" customHeight="1" s="186">
      <c r="B115" s="502" t="inlineStr">
        <is>
          <t>○事務費  図書印刷費</t>
        </is>
      </c>
      <c r="D115" s="503" t="inlineStr">
        <is>
          <t>業務（短）</t>
        </is>
      </c>
      <c r="E115" s="824" t="str">
        <f>IF(COUNTIF(月例!$S$5:$S$788,"図書印刷費|S|*")&gt;58,"行不足","")</f>
        <v/>
      </c>
      <c r="G115" s="502" t="inlineStr">
        <is>
          <t>○事務費  送金料</t>
        </is>
      </c>
      <c r="I115" s="503" t="inlineStr">
        <is>
          <t>業務（短）</t>
        </is>
      </c>
      <c r="J115" s="824" t="str">
        <f>IF(COUNTIF(月例!$S$5:$S$788,"送金料|S|*")&gt;40,"行不足","")</f>
        <v/>
      </c>
      <c r="L115" s="502" t="inlineStr">
        <is>
          <t>○旅費</t>
        </is>
      </c>
      <c r="N115" s="503" t="inlineStr">
        <is>
          <t>業務（短）</t>
        </is>
      </c>
      <c r="O115" s="824" t="str">
        <f>IF(COUNTIF(月例!$S$5:$S$788,"旅費|S|*")&gt;40,"行不足","")</f>
        <v/>
      </c>
      <c r="Q115" s="502" t="inlineStr">
        <is>
          <t>○事務費  雑費</t>
        </is>
      </c>
      <c r="S115" s="503" t="inlineStr">
        <is>
          <t>業務（短）</t>
        </is>
      </c>
      <c r="T115" s="824" t="str">
        <f>IF(COUNTIF(月例!$S$5:$S$788,"事務費・雑費|S|*")&gt;33,"行不足","")</f>
        <v/>
      </c>
    </row>
    <row r="116" ht="26.25" customHeight="1" s="186" thickBot="1">
      <c r="A116" s="100" t="inlineStr">
        <is>
          <t>支出日</t>
        </is>
      </c>
      <c r="B116" s="100" t="inlineStr">
        <is>
          <t>摘要</t>
        </is>
      </c>
      <c r="C116" s="100" t="inlineStr">
        <is>
          <t>支出</t>
        </is>
      </c>
      <c r="D116" s="100" t="inlineStr">
        <is>
          <t>残額</t>
        </is>
      </c>
      <c r="E116" s="100" t="inlineStr">
        <is>
          <t>状態</t>
        </is>
      </c>
      <c r="F116" s="100" t="inlineStr">
        <is>
          <t>支出日</t>
        </is>
      </c>
      <c r="G116" s="100" t="inlineStr">
        <is>
          <t>摘要</t>
        </is>
      </c>
      <c r="H116" s="100" t="inlineStr">
        <is>
          <t>支出</t>
        </is>
      </c>
      <c r="I116" s="100" t="inlineStr">
        <is>
          <t>残額</t>
        </is>
      </c>
      <c r="J116" s="100" t="inlineStr">
        <is>
          <t>状態</t>
        </is>
      </c>
      <c r="K116" s="100" t="inlineStr">
        <is>
          <t>支出日</t>
        </is>
      </c>
      <c r="L116" s="100" t="inlineStr">
        <is>
          <t>摘要</t>
        </is>
      </c>
      <c r="M116" s="100" t="inlineStr">
        <is>
          <t>支出</t>
        </is>
      </c>
      <c r="N116" s="100" t="inlineStr">
        <is>
          <t>残額</t>
        </is>
      </c>
      <c r="O116" s="100" t="inlineStr">
        <is>
          <t>状態</t>
        </is>
      </c>
      <c r="P116" s="100" t="inlineStr">
        <is>
          <t>支出日</t>
        </is>
      </c>
      <c r="Q116" s="100" t="inlineStr">
        <is>
          <t>摘要</t>
        </is>
      </c>
      <c r="R116" s="100" t="inlineStr">
        <is>
          <t>支出</t>
        </is>
      </c>
      <c r="S116" s="100" t="inlineStr">
        <is>
          <t>残額</t>
        </is>
      </c>
      <c r="T116" s="100" t="inlineStr">
        <is>
          <t>状態</t>
        </is>
      </c>
    </row>
    <row r="117" ht="26.25" customHeight="1" s="186" thickBot="1">
      <c r="A117" s="825" t="n"/>
      <c r="B117" s="826" t="inlineStr">
        <is>
          <t>予算現額</t>
        </is>
      </c>
      <c r="C117" s="827" t="n"/>
      <c r="D117" s="828">
        <f>'R7業務 (短)'!$S$13</f>
        <v>1339000</v>
      </c>
      <c r="F117" s="825" t="n"/>
      <c r="G117" s="826" t="inlineStr">
        <is>
          <t>予算現額</t>
        </is>
      </c>
      <c r="H117" s="827" t="n"/>
      <c r="I117" s="828">
        <f>'R7業務 (短)'!$S$14</f>
        <v>1852000</v>
      </c>
      <c r="K117" s="825" t="n"/>
      <c r="L117" s="826" t="inlineStr">
        <is>
          <t>予算現額</t>
        </is>
      </c>
      <c r="M117" s="827" t="n"/>
      <c r="N117" s="828">
        <f>'R7業務 (短)'!$S$11</f>
        <v>98000</v>
      </c>
      <c r="P117" s="825" t="n"/>
      <c r="Q117" s="826" t="inlineStr">
        <is>
          <t>予算現額</t>
        </is>
      </c>
      <c r="R117" s="827" t="n"/>
      <c r="S117" s="828">
        <f>'R7業務 (短)'!$S$17</f>
        <v>0</v>
      </c>
    </row>
    <row r="118" ht="26.25" customHeight="1" s="186" thickBot="1">
      <c r="A118" s="825">
        <f>IFERROR(INDEX(月例!$A$5:$A$788,MATCH("図書印刷費|S|1",月例!$S$5:$S$788,0)),"")</f>
        <v>45807</v>
      </c>
      <c r="B118" s="826" t="str">
        <f>IFERROR(INDEX(月例!$E$5:$E$788,MATCH("図書印刷費|S|1",月例!$S$5:$S$788,0)),"")</f>
        <v>窓付封筒　１，０００枚</v>
      </c>
      <c r="C118" s="827">
        <f>IFERROR(INDEX(月例!$H$5:$H$788,MATCH("図書印刷費|S|1",月例!$S$5:$S$788,0)),"")</f>
        <v>49500</v>
      </c>
      <c r="D118" s="828">
        <f>IF(C118="","",D117-C118)</f>
        <v>1289500</v>
      </c>
      <c r="E118" s="829" t="str">
        <f>IFERROR(INDEX(月例!$P$5:$P$788,MATCH("図書印刷費|S|1",月例!$S$5:$S$788,0)),"")</f>
        <v>昨年実績</v>
      </c>
      <c r="F118" s="825">
        <f>IFERROR(INDEX(月例!$A$5:$A$788,MATCH("送金料|S|1",月例!$S$5:$S$788,0)),"")</f>
        <v>46153</v>
      </c>
      <c r="G118" s="826" t="str">
        <f>IFERROR(INDEX(月例!$E$5:$E$788,MATCH("送金料|S|1",月例!$S$5:$S$788,0)),"")</f>
        <v>振込手数料（広銀）４月分　短期分</v>
      </c>
      <c r="H118" s="827">
        <f>IFERROR(INDEX(月例!$H$5:$H$788,MATCH("送金料|S|1",月例!$S$5:$S$788,0)),"")</f>
        <v>139883</v>
      </c>
      <c r="I118" s="828">
        <f>IF(H118="","",I117-H118)</f>
        <v>1712117</v>
      </c>
      <c r="J118" s="829" t="str">
        <f>IFERROR(INDEX(月例!$P$5:$P$788,MATCH("送金料|S|1",月例!$S$5:$S$788,0)),"")</f>
        <v>確認済</v>
      </c>
      <c r="K118" s="825">
        <f>IFERROR(INDEX(月例!$A$5:$A$788,MATCH("旅費|S|1",月例!$S$5:$S$788,0)),"")</f>
        <v>43622</v>
      </c>
      <c r="L118" s="826" t="str">
        <f>IFERROR(INDEX(月例!$E$5:$E$788,MATCH("旅費|S|1",月例!$S$5:$S$788,0)),"")</f>
        <v>6/10事務局長会議　特別区　胡子事務局長</v>
      </c>
      <c r="M118" s="827">
        <f>IFERROR(INDEX(月例!$H$5:$H$788,MATCH("旅費|S|1",月例!$S$5:$S$788,0)),"")</f>
        <v>18184</v>
      </c>
      <c r="N118" s="828">
        <f>IF(M118="","",N117-M118)</f>
        <v>79816</v>
      </c>
      <c r="O118" s="829" t="str">
        <f>IFERROR(INDEX(月例!$P$5:$P$788,MATCH("旅費|S|1",月例!$S$5:$S$788,0)),"")</f>
        <v>昨年実績</v>
      </c>
      <c r="P118" s="825">
        <f>IFERROR(INDEX(月例!$A$5:$A$788,MATCH("事務費・雑費|S|1",月例!$S$5:$S$788,0)),"")</f>
        <v>43941</v>
      </c>
      <c r="Q118" s="826" t="str">
        <f>IFERROR(INDEX(月例!$E$5:$E$788,MATCH("事務費・雑費|S|1",月例!$S$5:$S$788,0)),"")</f>
        <v>電子証明書発行・更新料（令和2年4月請求）</v>
      </c>
      <c r="R118" s="827">
        <f>IFERROR(INDEX(月例!$H$5:$H$788,MATCH("事務費・雑費|S|1",月例!$S$5:$S$788,0)),"")</f>
        <v>4000</v>
      </c>
      <c r="S118" s="828">
        <f>IF(R118="","",S117-R118)</f>
        <v>-4000</v>
      </c>
      <c r="T118" s="829" t="str">
        <f>IFERROR(INDEX(月例!$P$5:$P$788,MATCH("事務費・雑費|S|1",月例!$S$5:$S$788,0)),"")</f>
        <v>昨年実績</v>
      </c>
    </row>
    <row r="119" ht="26.25" customHeight="1" s="186">
      <c r="A119" s="825">
        <f>IFERROR(INDEX(月例!$A$5:$A$788,MATCH("図書印刷費|S|2",月例!$S$5:$S$788,0)),"")</f>
        <v>45793</v>
      </c>
      <c r="B119" s="826" t="str">
        <f>IFERROR(INDEX(月例!$E$5:$E$788,MATCH("図書印刷費|S|2",月例!$S$5:$S$788,0)),"")</f>
        <v>短期給付決定通知書　３，０００枚</v>
      </c>
      <c r="C119" s="827">
        <f>IFERROR(INDEX(月例!$H$5:$H$788,MATCH("図書印刷費|S|2",月例!$S$5:$S$788,0)),"")</f>
        <v>128700</v>
      </c>
      <c r="D119" s="828">
        <f>IF(C119="","",D118-C119)</f>
        <v>1160800</v>
      </c>
      <c r="E119" s="829" t="str">
        <f>IFERROR(INDEX(月例!$P$5:$P$788,MATCH("図書印刷費|S|2",月例!$S$5:$S$788,0)),"")</f>
        <v>昨年実績</v>
      </c>
      <c r="F119" s="825">
        <f>IFERROR(INDEX(月例!$A$5:$A$788,MATCH("送金料|S|2",月例!$S$5:$S$788,0)),"")</f>
        <v>46171</v>
      </c>
      <c r="G119" s="826" t="str">
        <f>IFERROR(INDEX(月例!$E$5:$E$788,MATCH("送金料|S|2",月例!$S$5:$S$788,0)),"")</f>
        <v>ゆうちょ銀行手数料（４月分）短期</v>
      </c>
      <c r="H119" s="827">
        <f>IFERROR(INDEX(月例!$H$5:$H$788,MATCH("送金料|S|2",月例!$S$5:$S$788,0)),"")</f>
        <v>109019</v>
      </c>
      <c r="I119" s="828">
        <f>IF(H119="","",I118-H119)</f>
        <v>1603098</v>
      </c>
      <c r="J119" s="829" t="str">
        <f>IFERROR(INDEX(月例!$P$5:$P$788,MATCH("送金料|S|2",月例!$S$5:$S$788,0)),"")</f>
        <v>確認済</v>
      </c>
      <c r="K119" s="825">
        <f>IFERROR(INDEX(月例!$A$5:$A$788,MATCH("旅費|S|2",月例!$S$5:$S$788,0)),"")</f>
        <v>43635</v>
      </c>
      <c r="L119" s="826" t="str">
        <f>IFERROR(INDEX(月例!$E$5:$E$788,MATCH("旅費|S|2",月例!$S$5:$S$788,0)),"")</f>
        <v>6/21サーバー等説明会　福岡市　永山主事</v>
      </c>
      <c r="M119" s="827">
        <f>IFERROR(INDEX(月例!$H$5:$H$788,MATCH("旅費|S|2",月例!$S$5:$S$788,0)),"")</f>
        <v>19040</v>
      </c>
      <c r="N119" s="828">
        <f>IF(M119="","",N118-M119)</f>
        <v>60776</v>
      </c>
      <c r="O119" s="829" t="str">
        <f>IFERROR(INDEX(月例!$P$5:$P$788,MATCH("旅費|S|2",月例!$S$5:$S$788,0)),"")</f>
        <v>昨年実績</v>
      </c>
      <c r="P119" s="825">
        <f>IFERROR(INDEX(月例!$A$5:$A$788,MATCH("事務費・雑費|S|2",月例!$S$5:$S$788,0)),"")</f>
        <v>46171</v>
      </c>
      <c r="Q119" s="826" t="str">
        <f>IFERROR(INDEX(月例!$E$5:$E$788,MATCH("事務費・雑費|S|2",月例!$S$5:$S$788,0)),"")</f>
        <v>ゆうちょ銀行振替口座残高証明（４月分）短期</v>
      </c>
      <c r="R119" s="827">
        <f>IFERROR(INDEX(月例!$H$5:$H$788,MATCH("事務費・雑費|S|2",月例!$S$5:$S$788,0)),"")</f>
        <v>550</v>
      </c>
      <c r="S119" s="828">
        <f>IF(R119="","",S118-R119)</f>
        <v>-4550</v>
      </c>
      <c r="T119" s="829" t="str">
        <f>IFERROR(INDEX(月例!$P$5:$P$788,MATCH("事務費・雑費|S|2",月例!$S$5:$S$788,0)),"")</f>
        <v>確認済</v>
      </c>
    </row>
    <row r="120" ht="26.25" customHeight="1" s="186">
      <c r="A120" s="825">
        <f>IFERROR(INDEX(月例!$A$5:$A$788,MATCH("図書印刷費|S|3",月例!$S$5:$S$788,0)),"")</f>
        <v>46142</v>
      </c>
      <c r="B120" s="826" t="str">
        <f>IFERROR(INDEX(月例!$E$5:$E$788,MATCH("図書印刷費|S|3",月例!$S$5:$S$788,0)),"")</f>
        <v>角２封筒エルコン付き　クラフト８５ｇ枠付　５，５００枚</v>
      </c>
      <c r="C120" s="827">
        <f>IFERROR(INDEX(月例!$H$5:$H$788,MATCH("図書印刷費|S|3",月例!$S$5:$S$788,0)),"")</f>
        <v>99220</v>
      </c>
      <c r="D120" s="828">
        <f>IF(C120="","",D119-C120)</f>
        <v>1061580</v>
      </c>
      <c r="E120" s="829" t="str">
        <f>IFERROR(INDEX(月例!$P$5:$P$788,MATCH("図書印刷費|S|3",月例!$S$5:$S$788,0)),"")</f>
        <v>確認済</v>
      </c>
      <c r="F120" s="825">
        <f>IFERROR(INDEX(月例!$A$5:$A$788,MATCH("送金料|S|3",月例!$S$5:$S$788,0)),"")</f>
        <v>46183</v>
      </c>
      <c r="G120" s="826" t="str">
        <f>IFERROR(INDEX(月例!$E$5:$E$788,MATCH("送金料|S|3",月例!$S$5:$S$788,0)),"")</f>
        <v>振込手数料（広銀）５月分　短期分</v>
      </c>
      <c r="H120" s="827">
        <f>IFERROR(INDEX(月例!$H$5:$H$788,MATCH("送金料|S|3",月例!$S$5:$S$788,0)),"")</f>
        <v>135833</v>
      </c>
      <c r="I120" s="828">
        <f>IF(H120="","",I119-H120)</f>
        <v>1467265</v>
      </c>
      <c r="J120" s="829" t="str">
        <f>IFERROR(INDEX(月例!$P$5:$P$788,MATCH("送金料|S|3",月例!$S$5:$S$788,0)),"")</f>
        <v>確認済</v>
      </c>
      <c r="K120" s="825">
        <f>IFERROR(INDEX(月例!$A$5:$A$788,MATCH("旅費|S|3",月例!$S$5:$S$788,0)),"")</f>
        <v>45805</v>
      </c>
      <c r="L120" s="826" t="str">
        <f>IFERROR(INDEX(月例!$E$5:$E$788,MATCH("旅費|S|3",月例!$S$5:$S$788,0)),"")</f>
        <v>6/2保健事業事務研修会　特別区　清水課長補佐</v>
      </c>
      <c r="M120" s="827">
        <f>IFERROR(INDEX(月例!$H$5:$H$788,MATCH("旅費|S|3",月例!$S$5:$S$788,0)),"")</f>
        <v>37160</v>
      </c>
      <c r="N120" s="828">
        <f>IF(M120="","",N119-M120)</f>
        <v>23616</v>
      </c>
      <c r="O120" s="829" t="str">
        <f>IFERROR(INDEX(月例!$P$5:$P$788,MATCH("旅費|S|3",月例!$S$5:$S$788,0)),"")</f>
        <v>昨年実績</v>
      </c>
      <c r="P120" s="825">
        <f>IFERROR(INDEX(月例!$A$5:$A$788,MATCH("事務費・雑費|S|3",月例!$S$5:$S$788,0)),"")</f>
        <v>44708</v>
      </c>
      <c r="Q120" s="826" t="str">
        <f>IFERROR(INDEX(月例!$E$5:$E$788,MATCH("事務費・雑費|S|3",月例!$S$5:$S$788,0)),"")</f>
        <v>ＪＡ残高証明書（手数料）R4.3.31時点</v>
      </c>
      <c r="R120" s="827">
        <f>IFERROR(INDEX(月例!$H$5:$H$788,MATCH("事務費・雑費|S|3",月例!$S$5:$S$788,0)),"")</f>
        <v>220</v>
      </c>
      <c r="S120" s="828">
        <f>IF(R120="","",S119-R120)</f>
        <v>-4770</v>
      </c>
      <c r="T120" s="829" t="str">
        <f>IFERROR(INDEX(月例!$P$5:$P$788,MATCH("事務費・雑費|S|3",月例!$S$5:$S$788,0)),"")</f>
        <v>昨年実績</v>
      </c>
    </row>
    <row r="121" ht="26.25" customHeight="1" s="186">
      <c r="A121" s="825">
        <f>IFERROR(INDEX(月例!$A$5:$A$788,MATCH("図書印刷費|S|4",月例!$S$5:$S$788,0)),"")</f>
        <v>46171</v>
      </c>
      <c r="B121" s="826" t="str">
        <f>IFERROR(INDEX(月例!$E$5:$E$788,MATCH("図書印刷費|S|4",月例!$S$5:$S$788,0)),"")</f>
        <v>厚生法規総覧追録６０９６－６１０５号</v>
      </c>
      <c r="C121" s="827">
        <f>IFERROR(INDEX(月例!$H$5:$H$788,MATCH("図書印刷費|S|4",月例!$S$5:$S$788,0)),"")</f>
        <v>33154</v>
      </c>
      <c r="D121" s="828">
        <f>IF(C121="","",D120-C121)</f>
        <v>1028426</v>
      </c>
      <c r="E121" s="829" t="str">
        <f>IFERROR(INDEX(月例!$P$5:$P$788,MATCH("図書印刷費|S|4",月例!$S$5:$S$788,0)),"")</f>
        <v>確認済</v>
      </c>
      <c r="F121" s="825">
        <f>IFERROR(INDEX(月例!$A$5:$A$788,MATCH("送金料|S|4",月例!$S$5:$S$788,0)),"")</f>
        <v>46203</v>
      </c>
      <c r="G121" s="826" t="str">
        <f>IFERROR(INDEX(月例!$E$5:$E$788,MATCH("送金料|S|4",月例!$S$5:$S$788,0)),"")</f>
        <v>ゆうちょ銀行手数料（５月分）短期</v>
      </c>
      <c r="H121" s="827">
        <f>IFERROR(INDEX(月例!$H$5:$H$788,MATCH("送金料|S|4",月例!$S$5:$S$788,0)),"")</f>
        <v>15479</v>
      </c>
      <c r="I121" s="828">
        <f>IF(H121="","",I120-H121)</f>
        <v>1451786</v>
      </c>
      <c r="J121" s="829" t="str">
        <f>IFERROR(INDEX(月例!$P$5:$P$788,MATCH("送金料|S|4",月例!$S$5:$S$788,0)),"")</f>
        <v>確認済</v>
      </c>
      <c r="K121" s="825">
        <f>IFERROR(INDEX(月例!$A$5:$A$788,MATCH("旅費|S|4",月例!$S$5:$S$788,0)),"")</f>
        <v>45805</v>
      </c>
      <c r="L121" s="826" t="str">
        <f>IFERROR(INDEX(月例!$E$5:$E$788,MATCH("旅費|S|4",月例!$S$5:$S$788,0)),"")</f>
        <v>6/2保健事業事務研修会　特別区　上野主事</v>
      </c>
      <c r="M121" s="827">
        <f>IFERROR(INDEX(月例!$H$5:$H$788,MATCH("旅費|S|4",月例!$S$5:$S$788,0)),"")</f>
        <v>37390</v>
      </c>
      <c r="N121" s="828">
        <f>IF(M121="","",N120-M121)</f>
        <v>-13774</v>
      </c>
      <c r="O121" s="829" t="str">
        <f>IFERROR(INDEX(月例!$P$5:$P$788,MATCH("旅費|S|4",月例!$S$5:$S$788,0)),"")</f>
        <v>昨年実績</v>
      </c>
      <c r="P121" s="825">
        <f>IFERROR(INDEX(月例!$A$5:$A$788,MATCH("事務費・雑費|S|4",月例!$S$5:$S$788,0)),"")</f>
        <v>46203</v>
      </c>
      <c r="Q121" s="826" t="str">
        <f>IFERROR(INDEX(月例!$E$5:$E$788,MATCH("事務費・雑費|S|4",月例!$S$5:$S$788,0)),"")</f>
        <v>ゆうちょ銀行振替口座残高証明（５月分）短期</v>
      </c>
      <c r="R121" s="827">
        <f>IFERROR(INDEX(月例!$H$5:$H$788,MATCH("事務費・雑費|S|4",月例!$S$5:$S$788,0)),"")</f>
        <v>550</v>
      </c>
      <c r="S121" s="828">
        <f>IF(R121="","",S120-R121)</f>
        <v>-5320</v>
      </c>
      <c r="T121" s="829" t="str">
        <f>IFERROR(INDEX(月例!$P$5:$P$788,MATCH("事務費・雑費|S|4",月例!$S$5:$S$788,0)),"")</f>
        <v>確認済</v>
      </c>
    </row>
    <row r="122" ht="26.25" customHeight="1" s="186">
      <c r="A122" s="825">
        <f>IFERROR(INDEX(月例!$A$5:$A$788,MATCH("図書印刷費|S|5",月例!$S$5:$S$788,0)),"")</f>
        <v>46203</v>
      </c>
      <c r="B122" s="826" t="str">
        <f>IFERROR(INDEX(月例!$E$5:$E$788,MATCH("図書印刷費|S|5",月例!$S$5:$S$788,0)),"")</f>
        <v>厚生法規総覧追録　６１０６－６１１５号</v>
      </c>
      <c r="C122" s="827">
        <f>IFERROR(INDEX(月例!$H$5:$H$788,MATCH("図書印刷費|S|5",月例!$S$5:$S$788,0)),"")</f>
        <v>33154</v>
      </c>
      <c r="D122" s="828">
        <f>IF(C122="","",D121-C122)</f>
        <v>995272</v>
      </c>
      <c r="E122" s="829" t="str">
        <f>IFERROR(INDEX(月例!$P$5:$P$788,MATCH("図書印刷費|S|5",月例!$S$5:$S$788,0)),"")</f>
        <v>確認済</v>
      </c>
      <c r="F122" s="825">
        <f>IFERROR(INDEX(月例!$A$5:$A$788,MATCH("送金料|S|5",月例!$S$5:$S$788,0)),"")</f>
        <v>46213</v>
      </c>
      <c r="G122" s="826" t="str">
        <f>IFERROR(INDEX(月例!$E$5:$E$788,MATCH("送金料|S|5",月例!$S$5:$S$788,0)),"")</f>
        <v>振込手数料（広銀）６月分　短期分</v>
      </c>
      <c r="H122" s="827">
        <f>IFERROR(INDEX(月例!$H$5:$H$788,MATCH("送金料|S|5",月例!$S$5:$S$788,0)),"")</f>
        <v>129530</v>
      </c>
      <c r="I122" s="828">
        <f>IF(H122="","",I121-H122)</f>
        <v>1322256</v>
      </c>
      <c r="J122" s="829" t="str">
        <f>IFERROR(INDEX(月例!$P$5:$P$788,MATCH("送金料|S|5",月例!$S$5:$S$788,0)),"")</f>
        <v>確認済</v>
      </c>
      <c r="K122" s="825">
        <f>IFERROR(INDEX(月例!$A$5:$A$788,MATCH("旅費|S|5",月例!$S$5:$S$788,0)),"")</f>
        <v>46202</v>
      </c>
      <c r="L122" s="826" t="str">
        <f>IFERROR(INDEX(月例!$E$5:$E$788,MATCH("旅費|S|5",月例!$S$5:$S$788,0)),"")</f>
        <v>7/9全国理事研修会　香川県　山田理事</v>
      </c>
      <c r="M122" s="827">
        <f>IFERROR(INDEX(月例!$H$5:$H$788,MATCH("旅費|S|5",月例!$S$5:$S$788,0)),"")</f>
        <v>6848</v>
      </c>
      <c r="N122" s="828">
        <f>IF(M122="","",N121-M122)</f>
        <v>-20622</v>
      </c>
      <c r="O122" s="829" t="str">
        <f>IFERROR(INDEX(月例!$P$5:$P$788,MATCH("旅費|S|5",月例!$S$5:$S$788,0)),"")</f>
        <v>確認済</v>
      </c>
      <c r="P122" s="825">
        <f>IFERROR(INDEX(月例!$A$5:$A$788,MATCH("事務費・雑費|S|5",月例!$S$5:$S$788,0)),"")</f>
        <v>46234</v>
      </c>
      <c r="Q122" s="826" t="str">
        <f>IFERROR(INDEX(月例!$E$5:$E$788,MATCH("事務費・雑費|S|5",月例!$S$5:$S$788,0)),"")</f>
        <v>ゆうちょ銀行振替口座残高証明（６月分）短期</v>
      </c>
      <c r="R122" s="827">
        <f>IFERROR(INDEX(月例!$H$5:$H$788,MATCH("事務費・雑費|S|5",月例!$S$5:$S$788,0)),"")</f>
        <v>550</v>
      </c>
      <c r="S122" s="828">
        <f>IF(R122="","",S121-R122)</f>
        <v>-5870</v>
      </c>
      <c r="T122" s="829" t="str">
        <f>IFERROR(INDEX(月例!$P$5:$P$788,MATCH("事務費・雑費|S|5",月例!$S$5:$S$788,0)),"")</f>
        <v>確認済</v>
      </c>
    </row>
    <row r="123" ht="26.25" customHeight="1" s="186">
      <c r="A123" s="825">
        <f>IFERROR(INDEX(月例!$A$5:$A$788,MATCH("図書印刷費|S|6",月例!$S$5:$S$788,0)),"")</f>
        <v>45838</v>
      </c>
      <c r="B123" s="826" t="str">
        <f>IFERROR(INDEX(月例!$E$5:$E$788,MATCH("図書印刷費|S|6",月例!$S$5:$S$788,0)),"")</f>
        <v>角２封筒クラフト８５ｇ　枠付　３，０００枚</v>
      </c>
      <c r="C123" s="827">
        <f>IFERROR(INDEX(月例!$H$5:$H$788,MATCH("図書印刷費|S|6",月例!$S$5:$S$788,0)),"")</f>
        <v>49995</v>
      </c>
      <c r="D123" s="828">
        <f>IF(C123="","",D122-C123)</f>
        <v>945277</v>
      </c>
      <c r="E123" s="829" t="str">
        <f>IFERROR(INDEX(月例!$P$5:$P$788,MATCH("図書印刷費|S|6",月例!$S$5:$S$788,0)),"")</f>
        <v>昨年実績</v>
      </c>
      <c r="F123" s="825">
        <f>IFERROR(INDEX(月例!$A$5:$A$788,MATCH("送金料|S|6",月例!$S$5:$S$788,0)),"")</f>
        <v>46234</v>
      </c>
      <c r="G123" s="826" t="str">
        <f>IFERROR(INDEX(月例!$E$5:$E$788,MATCH("送金料|S|6",月例!$S$5:$S$788,0)),"")</f>
        <v>ゆうちょ銀行手数料（６月分）短期</v>
      </c>
      <c r="H123" s="827">
        <f>IFERROR(INDEX(月例!$H$5:$H$788,MATCH("送金料|S|6",月例!$S$5:$S$788,0)),"")</f>
        <v>14457</v>
      </c>
      <c r="I123" s="828">
        <f>IF(H123="","",I122-H123)</f>
        <v>1307799</v>
      </c>
      <c r="J123" s="829" t="str">
        <f>IFERROR(INDEX(月例!$P$5:$P$788,MATCH("送金料|S|6",月例!$S$5:$S$788,0)),"")</f>
        <v>確認済</v>
      </c>
      <c r="K123" s="825">
        <f>IFERROR(INDEX(月例!$A$5:$A$788,MATCH("旅費|S|6",月例!$S$5:$S$788,0)),"")</f>
        <v>46202</v>
      </c>
      <c r="L123" s="826" t="str">
        <f>IFERROR(INDEX(月例!$E$5:$E$788,MATCH("旅費|S|6",月例!$S$5:$S$788,0)),"")</f>
        <v>7/9全国理事研修会　香川県　柴野理事</v>
      </c>
      <c r="M123" s="827">
        <f>IFERROR(INDEX(月例!$H$5:$H$788,MATCH("旅費|S|6",月例!$S$5:$S$788,0)),"")</f>
        <v>6848</v>
      </c>
      <c r="N123" s="828">
        <f>IF(M123="","",N122-M123)</f>
        <v>-27470</v>
      </c>
      <c r="O123" s="829" t="str">
        <f>IFERROR(INDEX(月例!$P$5:$P$788,MATCH("旅費|S|6",月例!$S$5:$S$788,0)),"")</f>
        <v>確認済</v>
      </c>
      <c r="P123" s="825">
        <f>IFERROR(INDEX(月例!$A$5:$A$788,MATCH("事務費・雑費|S|6",月例!$S$5:$S$788,0)),"")</f>
        <v>44768</v>
      </c>
      <c r="Q123" s="826" t="str">
        <f>IFERROR(INDEX(月例!$E$5:$E$788,MATCH("事務費・雑費|S|6",月例!$S$5:$S$788,0)),"")</f>
        <v>ＪＡ残高証明書（手数料）R4.6.30時点</v>
      </c>
      <c r="R123" s="827">
        <f>IFERROR(INDEX(月例!$H$5:$H$788,MATCH("事務費・雑費|S|6",月例!$S$5:$S$788,0)),"")</f>
        <v>220</v>
      </c>
      <c r="S123" s="828">
        <f>IF(R123="","",S122-R123)</f>
        <v>-6090</v>
      </c>
      <c r="T123" s="829" t="str">
        <f>IFERROR(INDEX(月例!$P$5:$P$788,MATCH("事務費・雑費|S|6",月例!$S$5:$S$788,0)),"")</f>
        <v>昨年実績</v>
      </c>
    </row>
    <row r="124" ht="26.25" customHeight="1" s="186" thickBot="1">
      <c r="A124" s="825">
        <f>IFERROR(INDEX(月例!$A$5:$A$788,MATCH("図書印刷費|S|7",月例!$S$5:$S$788,0)),"")</f>
        <v>46234</v>
      </c>
      <c r="B124" s="826" t="str">
        <f>IFERROR(INDEX(月例!$E$5:$E$788,MATCH("図書印刷費|S|7",月例!$S$5:$S$788,0)),"")</f>
        <v>厚生法規総覧追録　6116-6125号</v>
      </c>
      <c r="C124" s="827">
        <f>IFERROR(INDEX(月例!$H$5:$H$788,MATCH("図書印刷費|S|7",月例!$S$5:$S$788,0)),"")</f>
        <v>33154</v>
      </c>
      <c r="D124" s="828">
        <f>IF(C124="","",D123-C124)</f>
        <v>912123</v>
      </c>
      <c r="E124" s="829" t="str">
        <f>IFERROR(INDEX(月例!$P$5:$P$788,MATCH("図書印刷費|S|7",月例!$S$5:$S$788,0)),"")</f>
        <v>確認済</v>
      </c>
      <c r="F124" s="825">
        <f>IFERROR(INDEX(月例!$A$5:$A$788,MATCH("送金料|S|7",月例!$S$5:$S$788,0)),"")</f>
        <v>46244</v>
      </c>
      <c r="G124" s="826" t="str">
        <f>IFERROR(INDEX(月例!$E$5:$E$788,MATCH("送金料|S|7",月例!$S$5:$S$788,0)),"")</f>
        <v>振込手数料（広銀）７月分　短期分</v>
      </c>
      <c r="H124" s="827">
        <f>IFERROR(INDEX(月例!$H$5:$H$788,MATCH("送金料|S|7",月例!$S$5:$S$788,0)),"")</f>
        <v>143169</v>
      </c>
      <c r="I124" s="828">
        <f>IF(H124="","",I123-H124)</f>
        <v>1164630</v>
      </c>
      <c r="J124" s="829" t="str">
        <f>IFERROR(INDEX(月例!$P$5:$P$788,MATCH("送金料|S|7",月例!$S$5:$S$788,0)),"")</f>
        <v>確認済</v>
      </c>
      <c r="K124" s="825">
        <f>IFERROR(INDEX(月例!$A$5:$A$788,MATCH("旅費|S|7",月例!$S$5:$S$788,0)),"")</f>
        <v>46202</v>
      </c>
      <c r="L124" s="826" t="str">
        <f>IFERROR(INDEX(月例!$E$5:$E$788,MATCH("旅費|S|7",月例!$S$5:$S$788,0)),"")</f>
        <v>7/9全国理事研修会　香川県　濵理事</v>
      </c>
      <c r="M124" s="827">
        <f>IFERROR(INDEX(月例!$H$5:$H$788,MATCH("旅費|S|7",月例!$S$5:$S$788,0)),"")</f>
        <v>6848</v>
      </c>
      <c r="N124" s="828">
        <f>IF(M124="","",N123-M124)</f>
        <v>-34318</v>
      </c>
      <c r="O124" s="829" t="str">
        <f>IFERROR(INDEX(月例!$P$5:$P$788,MATCH("旅費|S|7",月例!$S$5:$S$788,0)),"")</f>
        <v>確認済</v>
      </c>
      <c r="P124" s="825">
        <f>IFERROR(INDEX(月例!$A$5:$A$788,MATCH("事務費・雑費|S|7",月例!$S$5:$S$788,0)),"")</f>
        <v>46265</v>
      </c>
      <c r="Q124" s="826" t="str">
        <f>IFERROR(INDEX(月例!$E$5:$E$788,MATCH("事務費・雑費|S|7",月例!$S$5:$S$788,0)),"")</f>
        <v>ゆうちょ銀行振替口座残高証明（７月分）短期</v>
      </c>
      <c r="R124" s="827">
        <f>IFERROR(INDEX(月例!$H$5:$H$788,MATCH("事務費・雑費|S|7",月例!$S$5:$S$788,0)),"")</f>
        <v>550</v>
      </c>
      <c r="S124" s="828">
        <f>IF(R124="","",S123-R124)</f>
        <v>-6640</v>
      </c>
      <c r="T124" s="829" t="str">
        <f>IFERROR(INDEX(月例!$P$5:$P$788,MATCH("事務費・雑費|S|7",月例!$S$5:$S$788,0)),"")</f>
        <v>確認済</v>
      </c>
    </row>
    <row r="125" ht="26.25" customHeight="1" s="186" thickBot="1">
      <c r="A125" s="825">
        <f>IFERROR(INDEX(月例!$A$5:$A$788,MATCH("図書印刷費|S|8",月例!$S$5:$S$788,0)),"")</f>
        <v>46265</v>
      </c>
      <c r="B125" s="826" t="str">
        <f>IFERROR(INDEX(月例!$E$5:$E$788,MATCH("図書印刷費|S|8",月例!$S$5:$S$788,0)),"")</f>
        <v>厚生法規総覧追録　６１２６－６１３５号</v>
      </c>
      <c r="C125" s="827">
        <f>IFERROR(INDEX(月例!$H$5:$H$788,MATCH("図書印刷費|S|8",月例!$S$5:$S$788,0)),"")</f>
        <v>33154</v>
      </c>
      <c r="D125" s="828">
        <f>IF(C125="","",D124-C125)</f>
        <v>878969</v>
      </c>
      <c r="E125" s="829" t="str">
        <f>IFERROR(INDEX(月例!$P$5:$P$788,MATCH("図書印刷費|S|8",月例!$S$5:$S$788,0)),"")</f>
        <v>確認済</v>
      </c>
      <c r="F125" s="825">
        <f>IFERROR(INDEX(月例!$A$5:$A$788,MATCH("送金料|S|8",月例!$S$5:$S$788,0)),"")</f>
        <v>46265</v>
      </c>
      <c r="G125" s="826" t="str">
        <f>IFERROR(INDEX(月例!$E$5:$E$788,MATCH("送金料|S|8",月例!$S$5:$S$788,0)),"")</f>
        <v>ゆうちょ銀行手数料（７月分）短期</v>
      </c>
      <c r="H125" s="827">
        <f>IFERROR(INDEX(月例!$H$5:$H$788,MATCH("送金料|S|8",月例!$S$5:$S$788,0)),"")</f>
        <v>13584</v>
      </c>
      <c r="I125" s="828">
        <f>IF(H125="","",I124-H125)</f>
        <v>1151046</v>
      </c>
      <c r="J125" s="829" t="str">
        <f>IFERROR(INDEX(月例!$P$5:$P$788,MATCH("送金料|S|8",月例!$S$5:$S$788,0)),"")</f>
        <v>確認済</v>
      </c>
      <c r="K125" s="825">
        <f>IFERROR(INDEX(月例!$A$5:$A$788,MATCH("旅費|S|8",月例!$S$5:$S$788,0)),"")</f>
        <v>46244</v>
      </c>
      <c r="L125" s="826" t="str">
        <f>IFERROR(INDEX(月例!$E$5:$E$788,MATCH("旅費|S|8",月例!$S$5:$S$788,0)),"")</f>
        <v>9/10（大都市）互選役員協議会　大阪市　山田理事他2名</v>
      </c>
      <c r="M125" s="827">
        <f>IFERROR(INDEX(月例!$H$5:$H$788,MATCH("旅費|S|8",月例!$S$5:$S$788,0)),"")</f>
        <v>29068</v>
      </c>
      <c r="N125" s="828">
        <f>IF(M125="","",N124-M125)</f>
        <v>-63386</v>
      </c>
      <c r="O125" s="829" t="str">
        <f>IFERROR(INDEX(月例!$P$5:$P$788,MATCH("旅費|S|8",月例!$S$5:$S$788,0)),"")</f>
        <v>確認済</v>
      </c>
      <c r="P125" s="825">
        <f>IFERROR(INDEX(月例!$A$5:$A$788,MATCH("事務費・雑費|S|8",月例!$S$5:$S$788,0)),"")</f>
        <v>44799</v>
      </c>
      <c r="Q125" s="826" t="str">
        <f>IFERROR(INDEX(月例!$E$5:$E$788,MATCH("事務費・雑費|S|8",月例!$S$5:$S$788,0)),"")</f>
        <v>広島銀行口座残高証明（６月末時点）</v>
      </c>
      <c r="R125" s="827">
        <f>IFERROR(INDEX(月例!$H$5:$H$788,MATCH("事務費・雑費|S|8",月例!$S$5:$S$788,0)),"")</f>
        <v>770</v>
      </c>
      <c r="S125" s="828">
        <f>IF(R125="","",S124-R125)</f>
        <v>-7410</v>
      </c>
      <c r="T125" s="829" t="str">
        <f>IFERROR(INDEX(月例!$P$5:$P$788,MATCH("事務費・雑費|S|8",月例!$S$5:$S$788,0)),"")</f>
        <v>昨年実績</v>
      </c>
    </row>
    <row r="126" ht="26.25" customHeight="1" s="186">
      <c r="A126" s="825">
        <f>IFERROR(INDEX(月例!$A$5:$A$788,MATCH("図書印刷費|S|9",月例!$S$5:$S$788,0)),"")</f>
        <v>45838</v>
      </c>
      <c r="B126" s="826" t="str">
        <f>IFERROR(INDEX(月例!$E$5:$E$788,MATCH("図書印刷費|S|9",月例!$S$5:$S$788,0)),"")</f>
        <v>健康保険質疑応答集追録１０３－１０５</v>
      </c>
      <c r="C126" s="827">
        <f>IFERROR(INDEX(月例!$H$5:$H$788,MATCH("図書印刷費|S|9",月例!$S$5:$S$788,0)),"")</f>
        <v>21780</v>
      </c>
      <c r="D126" s="828">
        <f>IF(C126="","",D125-C126)</f>
        <v>857189</v>
      </c>
      <c r="E126" s="829" t="str">
        <f>IFERROR(INDEX(月例!$P$5:$P$788,MATCH("図書印刷費|S|9",月例!$S$5:$S$788,0)),"")</f>
        <v>昨年実績</v>
      </c>
      <c r="F126" s="825">
        <f>IFERROR(INDEX(月例!$A$5:$A$788,MATCH("送金料|S|9",月例!$S$5:$S$788,0)),"")</f>
        <v>46275</v>
      </c>
      <c r="G126" s="826" t="str">
        <f>IFERROR(INDEX(月例!$E$5:$E$788,MATCH("送金料|S|9",月例!$S$5:$S$788,0)),"")</f>
        <v>振込手数料（広銀）８月分　短期分</v>
      </c>
      <c r="H126" s="827">
        <f>IFERROR(INDEX(月例!$H$5:$H$788,MATCH("送金料|S|9",月例!$S$5:$S$788,0)),"")</f>
        <v>145326</v>
      </c>
      <c r="I126" s="828">
        <f>IF(H126="","",I125-H126)</f>
        <v>1005720</v>
      </c>
      <c r="J126" s="829" t="str">
        <f>IFERROR(INDEX(月例!$P$5:$P$788,MATCH("送金料|S|9",月例!$S$5:$S$788,0)),"")</f>
        <v>確認済</v>
      </c>
      <c r="K126" s="825">
        <f>IFERROR(INDEX(月例!$A$5:$A$788,MATCH("旅費|S|9",月例!$S$5:$S$788,0)),"")</f>
        <v>43350</v>
      </c>
      <c r="L126" s="826" t="str">
        <f>IFERROR(INDEX(月例!$E$5:$E$788,MATCH("旅費|S|9",月例!$S$5:$S$788,0)),"")</f>
        <v>（大都市）互選役員協議会　福岡市　塩見理事返還金</v>
      </c>
      <c r="M126" s="827">
        <f>IFERROR(INDEX(月例!$H$5:$H$788,MATCH("旅費|S|9",月例!$S$5:$S$788,0)),"")</f>
        <v>-7508</v>
      </c>
      <c r="N126" s="828">
        <f>IF(M126="","",N125-M126)</f>
        <v>-55878</v>
      </c>
      <c r="O126" s="829" t="str">
        <f>IFERROR(INDEX(月例!$P$5:$P$788,MATCH("旅費|S|9",月例!$S$5:$S$788,0)),"")</f>
        <v>昨年実績</v>
      </c>
      <c r="P126" s="825">
        <f>IFERROR(INDEX(月例!$A$5:$A$788,MATCH("事務費・雑費|S|9",月例!$S$5:$S$788,0)),"")</f>
        <v>44420</v>
      </c>
      <c r="Q126" s="826" t="str">
        <f>IFERROR(INDEX(月例!$E$5:$E$788,MATCH("事務費・雑費|S|9",月例!$S$5:$S$788,0)),"")</f>
        <v>ＪＡ残高証明書（手数料）R3.6.30時点　他</v>
      </c>
      <c r="R126" s="827">
        <f>IFERROR(INDEX(月例!$H$5:$H$788,MATCH("事務費・雑費|S|9",月例!$S$5:$S$788,0)),"")</f>
        <v>990</v>
      </c>
      <c r="S126" s="828">
        <f>IF(R126="","",S125-R126)</f>
        <v>-8400</v>
      </c>
      <c r="T126" s="829" t="str">
        <f>IFERROR(INDEX(月例!$P$5:$P$788,MATCH("事務費・雑費|S|9",月例!$S$5:$S$788,0)),"")</f>
        <v>昨年実績</v>
      </c>
    </row>
    <row r="127" ht="41.25" customHeight="1" s="186">
      <c r="A127" s="825">
        <f>IFERROR(INDEX(月例!$A$5:$A$788,MATCH("図書印刷費|S|10",月例!$S$5:$S$788,0)),"")</f>
        <v>45898</v>
      </c>
      <c r="B127" s="826" t="str">
        <f>IFERROR(INDEX(月例!$E$5:$E$788,MATCH("図書印刷費|S|10",月例!$S$5:$S$788,0)),"")</f>
        <v>厚生法規総覧追録　６００６－６０１５号</v>
      </c>
      <c r="C127" s="827">
        <f>IFERROR(INDEX(月例!$H$5:$H$788,MATCH("図書印刷費|S|10",月例!$S$5:$S$788,0)),"")</f>
        <v>33154</v>
      </c>
      <c r="D127" s="828">
        <f>IF(C127="","",D126-C127)</f>
        <v>824035</v>
      </c>
      <c r="E127" s="829" t="str">
        <f>IFERROR(INDEX(月例!$P$5:$P$788,MATCH("図書印刷費|S|10",月例!$S$5:$S$788,0)),"")</f>
        <v>昨年実績</v>
      </c>
      <c r="F127" s="825">
        <f>IFERROR(INDEX(月例!$A$5:$A$788,MATCH("送金料|S|10",月例!$S$5:$S$788,0)),"")</f>
        <v>46295</v>
      </c>
      <c r="G127" s="826" t="str">
        <f>IFERROR(INDEX(月例!$E$5:$E$788,MATCH("送金料|S|10",月例!$S$5:$S$788,0)),"")</f>
        <v>ゆうちょ銀行手数料（８月分）短期</v>
      </c>
      <c r="H127" s="827">
        <f>IFERROR(INDEX(月例!$H$5:$H$788,MATCH("送金料|S|10",月例!$S$5:$S$788,0)),"")</f>
        <v>17222</v>
      </c>
      <c r="I127" s="828">
        <f>IF(H127="","",I126-H127)</f>
        <v>988498</v>
      </c>
      <c r="J127" s="829" t="str">
        <f>IFERROR(INDEX(月例!$P$5:$P$788,MATCH("送金料|S|10",月例!$S$5:$S$788,0)),"")</f>
        <v>確認済</v>
      </c>
      <c r="K127" s="825">
        <f>IFERROR(INDEX(月例!$A$5:$A$788,MATCH("旅費|S|10",月例!$S$5:$S$788,0)),"")</f>
        <v>45198</v>
      </c>
      <c r="L127" s="826" t="str">
        <f>IFERROR(INDEX(月例!$E$5:$E$788,MATCH("旅費|S|10",月例!$S$5:$S$788,0)),"")</f>
        <v>9/29　長期給付に係る資金運用・財政等に関する全国説明会　山田理事欠席　精算金</v>
      </c>
      <c r="M127" s="827">
        <f>IFERROR(INDEX(月例!$H$5:$H$788,MATCH("旅費|S|10",月例!$S$5:$S$788,0)),"")</f>
        <v>-10704</v>
      </c>
      <c r="N127" s="828">
        <f>IF(M127="","",N126-M127)</f>
        <v>-45174</v>
      </c>
      <c r="O127" s="829" t="str">
        <f>IFERROR(INDEX(月例!$P$5:$P$788,MATCH("旅費|S|10",月例!$S$5:$S$788,0)),"")</f>
        <v>昨年実績</v>
      </c>
      <c r="P127" s="825">
        <f>IFERROR(INDEX(月例!$A$5:$A$788,MATCH("事務費・雑費|S|10",月例!$S$5:$S$788,0)),"")</f>
        <v>46295</v>
      </c>
      <c r="Q127" s="826" t="str">
        <f>IFERROR(INDEX(月例!$E$5:$E$788,MATCH("事務費・雑費|S|10",月例!$S$5:$S$788,0)),"")</f>
        <v>ゆうちょ銀行振替口座残高証明（８月分）短期</v>
      </c>
      <c r="R127" s="827">
        <f>IFERROR(INDEX(月例!$H$5:$H$788,MATCH("事務費・雑費|S|10",月例!$S$5:$S$788,0)),"")</f>
        <v>550</v>
      </c>
      <c r="S127" s="828">
        <f>IF(R127="","",S126-R127)</f>
        <v>-8950</v>
      </c>
      <c r="T127" s="829" t="str">
        <f>IFERROR(INDEX(月例!$P$5:$P$788,MATCH("事務費・雑費|S|10",月例!$S$5:$S$788,0)),"")</f>
        <v>確認済</v>
      </c>
    </row>
    <row r="128" ht="26.25" customHeight="1" s="186" thickBot="1">
      <c r="A128" s="825">
        <f>IFERROR(INDEX(月例!$A$5:$A$788,MATCH("図書印刷費|S|11",月例!$S$5:$S$788,0)),"")</f>
        <v>46294</v>
      </c>
      <c r="B128" s="826" t="str">
        <f>IFERROR(INDEX(月例!$E$5:$E$788,MATCH("図書印刷費|S|11",月例!$S$5:$S$788,0)),"")</f>
        <v>短期給付決定通知書　４，０００セット</v>
      </c>
      <c r="C128" s="827">
        <f>IFERROR(INDEX(月例!$H$5:$H$788,MATCH("図書印刷費|S|11",月例!$S$5:$S$788,0)),"")</f>
        <v>154000</v>
      </c>
      <c r="D128" s="828">
        <f>IF(C128="","",D127-C128)</f>
        <v>670035</v>
      </c>
      <c r="E128" s="829" t="str">
        <f>IFERROR(INDEX(月例!$P$5:$P$788,MATCH("図書印刷費|S|11",月例!$S$5:$S$788,0)),"")</f>
        <v>確認済</v>
      </c>
      <c r="F128" s="825">
        <f>IFERROR(INDEX(月例!$A$5:$A$788,MATCH("送金料|S|11",月例!$S$5:$S$788,0)),"")</f>
        <v>46308</v>
      </c>
      <c r="G128" s="826" t="str">
        <f>IFERROR(INDEX(月例!$E$5:$E$788,MATCH("送金料|S|11",月例!$S$5:$S$788,0)),"")</f>
        <v>振込手数料（広銀）９月分　短期分</v>
      </c>
      <c r="H128" s="827">
        <f>IFERROR(INDEX(月例!$H$5:$H$788,MATCH("送金料|S|11",月例!$S$5:$S$788,0)),"")</f>
        <v>152707</v>
      </c>
      <c r="I128" s="828">
        <f>IF(H128="","",I127-H128)</f>
        <v>835791</v>
      </c>
      <c r="J128" s="829" t="str">
        <f>IFERROR(INDEX(月例!$P$5:$P$788,MATCH("送金料|S|11",月例!$S$5:$S$788,0)),"")</f>
        <v>確認済</v>
      </c>
      <c r="K128" s="825">
        <f>IFERROR(INDEX(月例!$A$5:$A$788,MATCH("旅費|S|11",月例!$S$5:$S$788,0)),"")</f>
        <v>43766</v>
      </c>
      <c r="L128" s="826" t="str">
        <f>IFERROR(INDEX(月例!$E$5:$E$788,MATCH("旅費|S|11",月例!$S$5:$S$788,0)),"")</f>
        <v>10/30　全国共済組合事務局長会議　特別区　胡子事務局長</v>
      </c>
      <c r="M128" s="827">
        <f>IFERROR(INDEX(月例!$H$5:$H$788,MATCH("旅費|S|11",月例!$S$5:$S$788,0)),"")</f>
        <v>18700</v>
      </c>
      <c r="N128" s="828">
        <f>IF(M128="","",N127-M128)</f>
        <v>-63874</v>
      </c>
      <c r="O128" s="829" t="str">
        <f>IFERROR(INDEX(月例!$P$5:$P$788,MATCH("旅費|S|11",月例!$S$5:$S$788,0)),"")</f>
        <v>昨年実績</v>
      </c>
      <c r="P128" s="825">
        <f>IFERROR(INDEX(月例!$A$5:$A$788,MATCH("事務費・雑費|S|11",月例!$S$5:$S$788,0)),"")</f>
        <v>46325</v>
      </c>
      <c r="Q128" s="826" t="str">
        <f>IFERROR(INDEX(月例!$E$5:$E$788,MATCH("事務費・雑費|S|11",月例!$S$5:$S$788,0)),"")</f>
        <v>ゆうちょ銀行振替口座残高証明（９月分）短期</v>
      </c>
      <c r="R128" s="827">
        <f>IFERROR(INDEX(月例!$H$5:$H$788,MATCH("事務費・雑費|S|11",月例!$S$5:$S$788,0)),"")</f>
        <v>550</v>
      </c>
      <c r="S128" s="828">
        <f>IF(R128="","",S127-R128)</f>
        <v>-9500</v>
      </c>
      <c r="T128" s="829" t="str">
        <f>IFERROR(INDEX(月例!$P$5:$P$788,MATCH("事務費・雑費|S|11",月例!$S$5:$S$788,0)),"")</f>
        <v>確認済</v>
      </c>
    </row>
    <row r="129" ht="26.25" customHeight="1" s="186" thickBot="1">
      <c r="A129" s="825">
        <f>IFERROR(INDEX(月例!$A$5:$A$788,MATCH("図書印刷費|S|12",月例!$S$5:$S$788,0)),"")</f>
        <v>46295</v>
      </c>
      <c r="B129" s="826" t="str">
        <f>IFERROR(INDEX(月例!$E$5:$E$788,MATCH("図書印刷費|S|12",月例!$S$5:$S$788,0)),"")</f>
        <v>厚生法規総覧追録　６１３６－６１４５号</v>
      </c>
      <c r="C129" s="827">
        <f>IFERROR(INDEX(月例!$H$5:$H$788,MATCH("図書印刷費|S|12",月例!$S$5:$S$788,0)),"")</f>
        <v>33154</v>
      </c>
      <c r="D129" s="828">
        <f>IF(C129="","",D128-C129)</f>
        <v>636881</v>
      </c>
      <c r="E129" s="829" t="str">
        <f>IFERROR(INDEX(月例!$P$5:$P$788,MATCH("図書印刷費|S|12",月例!$S$5:$S$788,0)),"")</f>
        <v>確認済</v>
      </c>
      <c r="F129" s="825">
        <f>IFERROR(INDEX(月例!$A$5:$A$788,MATCH("送金料|S|12",月例!$S$5:$S$788,0)),"")</f>
        <v>46325</v>
      </c>
      <c r="G129" s="826" t="str">
        <f>IFERROR(INDEX(月例!$E$5:$E$788,MATCH("送金料|S|12",月例!$S$5:$S$788,0)),"")</f>
        <v>ゆうちょ銀行手数料（９月分）短期</v>
      </c>
      <c r="H129" s="827">
        <f>IFERROR(INDEX(月例!$H$5:$H$788,MATCH("送金料|S|12",月例!$S$5:$S$788,0)),"")</f>
        <v>27204</v>
      </c>
      <c r="I129" s="828">
        <f>IF(H129="","",I128-H129)</f>
        <v>808587</v>
      </c>
      <c r="J129" s="829" t="str">
        <f>IFERROR(INDEX(月例!$P$5:$P$788,MATCH("送金料|S|12",月例!$S$5:$S$788,0)),"")</f>
        <v>確認済</v>
      </c>
      <c r="K129" s="825">
        <f>IFERROR(INDEX(月例!$A$5:$A$788,MATCH("旅費|S|12",月例!$S$5:$S$788,0)),"")</f>
        <v>43790</v>
      </c>
      <c r="L129" s="826" t="str">
        <f>IFERROR(INDEX(月例!$E$5:$E$788,MATCH("旅費|S|12",月例!$S$5:$S$788,0)),"")</f>
        <v>11/25・26（小連合）データヘルス研修会（第2回）　特別区　吉野技師</v>
      </c>
      <c r="M129" s="827">
        <f>IFERROR(INDEX(月例!$H$5:$H$788,MATCH("旅費|S|12",月例!$S$5:$S$788,0)),"")</f>
        <v>51400</v>
      </c>
      <c r="N129" s="828">
        <f>IF(M129="","",N128-M129)</f>
        <v>-115274</v>
      </c>
      <c r="O129" s="829" t="str">
        <f>IFERROR(INDEX(月例!$P$5:$P$788,MATCH("旅費|S|12",月例!$S$5:$S$788,0)),"")</f>
        <v>昨年実績</v>
      </c>
      <c r="P129" s="825">
        <f>IFERROR(INDEX(月例!$A$5:$A$788,MATCH("事務費・雑費|S|12",月例!$S$5:$S$788,0)),"")</f>
        <v>45989</v>
      </c>
      <c r="Q129" s="826" t="str">
        <f>IFERROR(INDEX(月例!$E$5:$E$788,MATCH("事務費・雑費|S|12",月例!$S$5:$S$788,0)),"")</f>
        <v>ゆうちょ銀行振替口座残高証明（１０月分）短期</v>
      </c>
      <c r="R129" s="827">
        <f>IFERROR(INDEX(月例!$H$5:$H$788,MATCH("事務費・雑費|S|12",月例!$S$5:$S$788,0)),"")</f>
        <v>550</v>
      </c>
      <c r="S129" s="828">
        <f>IF(R129="","",S128-R129)</f>
        <v>-10050</v>
      </c>
      <c r="T129" s="829" t="str">
        <f>IFERROR(INDEX(月例!$P$5:$P$788,MATCH("事務費・雑費|S|12",月例!$S$5:$S$788,0)),"")</f>
        <v>昨年実績</v>
      </c>
    </row>
    <row r="130" ht="26.25" customHeight="1" s="186">
      <c r="A130" s="825">
        <f>IFERROR(INDEX(月例!$A$5:$A$788,MATCH("図書印刷費|S|13",月例!$S$5:$S$788,0)),"")</f>
        <v>46325</v>
      </c>
      <c r="B130" s="826" t="str">
        <f>IFERROR(INDEX(月例!$E$5:$E$788,MATCH("図書印刷費|S|13",月例!$S$5:$S$788,0)),"")</f>
        <v>健康保険質疑応答集 追録106－108号</v>
      </c>
      <c r="C130" s="827">
        <f>IFERROR(INDEX(月例!$H$5:$H$788,MATCH("図書印刷費|S|13",月例!$S$5:$S$788,0)),"")</f>
        <v>21780</v>
      </c>
      <c r="D130" s="828">
        <f>IF(C130="","",D129-C130)</f>
        <v>615101</v>
      </c>
      <c r="E130" s="829" t="str">
        <f>IFERROR(INDEX(月例!$P$5:$P$788,MATCH("図書印刷費|S|13",月例!$S$5:$S$788,0)),"")</f>
        <v>確認済</v>
      </c>
      <c r="F130" s="825">
        <f>IFERROR(INDEX(月例!$A$5:$A$788,MATCH("送金料|S|13",月例!$S$5:$S$788,0)),"")</f>
        <v>45971</v>
      </c>
      <c r="G130" s="826" t="str">
        <f>IFERROR(INDEX(月例!$E$5:$E$788,MATCH("送金料|S|13",月例!$S$5:$S$788,0)),"")</f>
        <v>振込手数料（広銀）１０月分　短期分</v>
      </c>
      <c r="H130" s="827">
        <f>IFERROR(INDEX(月例!$H$5:$H$788,MATCH("送金料|S|13",月例!$S$5:$S$788,0)),"")</f>
        <v>144958</v>
      </c>
      <c r="I130" s="828">
        <f>IF(H130="","",I129-H130)</f>
        <v>663629</v>
      </c>
      <c r="J130" s="829" t="str">
        <f>IFERROR(INDEX(月例!$P$5:$P$788,MATCH("送金料|S|13",月例!$S$5:$S$788,0)),"")</f>
        <v>昨年実績</v>
      </c>
      <c r="K130" s="825">
        <f>IFERROR(INDEX(月例!$A$5:$A$788,MATCH("旅費|S|13",月例!$S$5:$S$788,0)),"")</f>
        <v>45555</v>
      </c>
      <c r="L130" s="826" t="str">
        <f>IFERROR(INDEX(月例!$E$5:$E$788,MATCH("旅費|S|13",月例!$S$5:$S$788,0)),"")</f>
        <v>9/24 短期給付事務研修会　特別区　石田主任技師</v>
      </c>
      <c r="M130" s="827">
        <f>IFERROR(INDEX(月例!$H$5:$H$788,MATCH("旅費|S|13",月例!$S$5:$S$788,0)),"")</f>
        <v>50940</v>
      </c>
      <c r="N130" s="828">
        <f>IF(M130="","",N129-M130)</f>
        <v>-166214</v>
      </c>
      <c r="O130" s="829" t="str">
        <f>IFERROR(INDEX(月例!$P$5:$P$788,MATCH("旅費|S|13",月例!$S$5:$S$788,0)),"")</f>
        <v>昨年実績</v>
      </c>
      <c r="P130" s="825">
        <f>IFERROR(INDEX(月例!$A$5:$A$788,MATCH("事務費・雑費|S|13",月例!$S$5:$S$788,0)),"")</f>
        <v>46017</v>
      </c>
      <c r="Q130" s="826" t="str">
        <f>IFERROR(INDEX(月例!$E$5:$E$788,MATCH("事務費・雑費|S|13",月例!$S$5:$S$788,0)),"")</f>
        <v>ゆうちょ銀行振替口座残高証明（１１月分）短期</v>
      </c>
      <c r="R130" s="827">
        <f>IFERROR(INDEX(月例!$H$5:$H$788,MATCH("事務費・雑費|S|13",月例!$S$5:$S$788,0)),"")</f>
        <v>550</v>
      </c>
      <c r="S130" s="828">
        <f>IF(R130="","",S129-R130)</f>
        <v>-10600</v>
      </c>
      <c r="T130" s="829" t="str">
        <f>IFERROR(INDEX(月例!$P$5:$P$788,MATCH("事務費・雑費|S|13",月例!$S$5:$S$788,0)),"")</f>
        <v>昨年実績</v>
      </c>
    </row>
    <row r="131" ht="26.25" customHeight="1" s="186">
      <c r="A131" s="825">
        <f>IFERROR(INDEX(月例!$A$5:$A$788,MATCH("図書印刷費|S|14",月例!$S$5:$S$788,0)),"")</f>
        <v>46325</v>
      </c>
      <c r="B131" s="826" t="str">
        <f>IFERROR(INDEX(月例!$E$5:$E$788,MATCH("図書印刷費|S|14",月例!$S$5:$S$788,0)),"")</f>
        <v>厚生法規総覧追録　6146-6155号</v>
      </c>
      <c r="C131" s="827">
        <f>IFERROR(INDEX(月例!$H$5:$H$788,MATCH("図書印刷費|S|14",月例!$S$5:$S$788,0)),"")</f>
        <v>33154</v>
      </c>
      <c r="D131" s="828">
        <f>IF(C131="","",D130-C131)</f>
        <v>581947</v>
      </c>
      <c r="E131" s="829" t="str">
        <f>IFERROR(INDEX(月例!$P$5:$P$788,MATCH("図書印刷費|S|14",月例!$S$5:$S$788,0)),"")</f>
        <v>確認済</v>
      </c>
      <c r="F131" s="825">
        <f>IFERROR(INDEX(月例!$A$5:$A$788,MATCH("送金料|S|14",月例!$S$5:$S$788,0)),"")</f>
        <v>45989</v>
      </c>
      <c r="G131" s="826" t="str">
        <f>IFERROR(INDEX(月例!$E$5:$E$788,MATCH("送金料|S|14",月例!$S$5:$S$788,0)),"")</f>
        <v>ゆうちょ銀行手数料（１０月分）短期</v>
      </c>
      <c r="H131" s="827">
        <f>IFERROR(INDEX(月例!$H$5:$H$788,MATCH("送金料|S|14",月例!$S$5:$S$788,0)),"")</f>
        <v>13567</v>
      </c>
      <c r="I131" s="828">
        <f>IF(H131="","",I130-H131)</f>
        <v>650062</v>
      </c>
      <c r="J131" s="829" t="str">
        <f>IFERROR(INDEX(月例!$P$5:$P$788,MATCH("送金料|S|14",月例!$S$5:$S$788,0)),"")</f>
        <v>昨年実績</v>
      </c>
      <c r="K131" s="825">
        <f>IFERROR(INDEX(月例!$A$5:$A$788,MATCH("旅費|S|14",月例!$S$5:$S$788,0)),"")</f>
        <v>45555</v>
      </c>
      <c r="L131" s="826" t="str">
        <f>IFERROR(INDEX(月例!$E$5:$E$788,MATCH("旅費|S|14",月例!$S$5:$S$788,0)),"")</f>
        <v>9/24 短期給付事務研修会　特別区　上野主事</v>
      </c>
      <c r="M131" s="827">
        <f>IFERROR(INDEX(月例!$H$5:$H$788,MATCH("旅費|S|14",月例!$S$5:$S$788,0)),"")</f>
        <v>50940</v>
      </c>
      <c r="N131" s="828">
        <f>IF(M131="","",N130-M131)</f>
        <v>-217154</v>
      </c>
      <c r="O131" s="829" t="str">
        <f>IFERROR(INDEX(月例!$P$5:$P$788,MATCH("旅費|S|14",月例!$S$5:$S$788,0)),"")</f>
        <v>昨年実績</v>
      </c>
      <c r="P131" s="825">
        <f>IFERROR(INDEX(月例!$A$5:$A$788,MATCH("事務費・雑費|S|14",月例!$S$5:$S$788,0)),"")</f>
        <v>46052</v>
      </c>
      <c r="Q131" s="826" t="str">
        <f>IFERROR(INDEX(月例!$E$5:$E$788,MATCH("事務費・雑費|S|14",月例!$S$5:$S$788,0)),"")</f>
        <v>ゆうちょ銀行振替口座残高証明（１２月分）短期</v>
      </c>
      <c r="R131" s="827">
        <f>IFERROR(INDEX(月例!$H$5:$H$788,MATCH("事務費・雑費|S|14",月例!$S$5:$S$788,0)),"")</f>
        <v>550</v>
      </c>
      <c r="S131" s="828">
        <f>IF(R131="","",S130-R131)</f>
        <v>-11150</v>
      </c>
      <c r="T131" s="829" t="str">
        <f>IFERROR(INDEX(月例!$P$5:$P$788,MATCH("事務費・雑費|S|14",月例!$S$5:$S$788,0)),"")</f>
        <v>昨年実績</v>
      </c>
    </row>
    <row r="132" ht="26.25" customHeight="1" s="186">
      <c r="A132" s="825">
        <f>IFERROR(INDEX(月例!$A$5:$A$788,MATCH("図書印刷費|S|15",月例!$S$5:$S$788,0)),"")</f>
        <v>45961</v>
      </c>
      <c r="B132" s="826" t="str">
        <f>IFERROR(INDEX(月例!$E$5:$E$788,MATCH("図書印刷費|S|15",月例!$S$5:$S$788,0)),"")</f>
        <v>厚生法規総覧追録　6026-6035号</v>
      </c>
      <c r="C132" s="827">
        <f>IFERROR(INDEX(月例!$H$5:$H$788,MATCH("図書印刷費|S|15",月例!$S$5:$S$788,0)),"")</f>
        <v>33154</v>
      </c>
      <c r="D132" s="828">
        <f>IF(C132="","",D131-C132)</f>
        <v>548793</v>
      </c>
      <c r="E132" s="829" t="str">
        <f>IFERROR(INDEX(月例!$P$5:$P$788,MATCH("図書印刷費|S|15",月例!$S$5:$S$788,0)),"")</f>
        <v>昨年実績</v>
      </c>
      <c r="F132" s="825">
        <f>IFERROR(INDEX(月例!$A$5:$A$788,MATCH("送金料|S|15",月例!$S$5:$S$788,0)),"")</f>
        <v>46001</v>
      </c>
      <c r="G132" s="826" t="str">
        <f>IFERROR(INDEX(月例!$E$5:$E$788,MATCH("送金料|S|15",月例!$S$5:$S$788,0)),"")</f>
        <v>振込手数料（広銀）１１月分　短期分</v>
      </c>
      <c r="H132" s="827">
        <f>IFERROR(INDEX(月例!$H$5:$H$788,MATCH("送金料|S|15",月例!$S$5:$S$788,0)),"")</f>
        <v>136125</v>
      </c>
      <c r="I132" s="828">
        <f>IF(H132="","",I131-H132)</f>
        <v>513937</v>
      </c>
      <c r="J132" s="829" t="str">
        <f>IFERROR(INDEX(月例!$P$5:$P$788,MATCH("送金料|S|15",月例!$S$5:$S$788,0)),"")</f>
        <v>昨年実績</v>
      </c>
      <c r="K132" s="825">
        <f>IFERROR(INDEX(月例!$A$5:$A$788,MATCH("旅費|S|15",月例!$S$5:$S$788,0)),"")</f>
        <v>43781</v>
      </c>
      <c r="L132" s="826" t="str">
        <f>IFERROR(INDEX(月例!$E$5:$E$788,MATCH("旅費|S|15",月例!$S$5:$S$788,0)),"")</f>
        <v>11/14・15　大都市事務連絡会　大阪市　濱尾次長</v>
      </c>
      <c r="M132" s="827">
        <f>IFERROR(INDEX(月例!$H$5:$H$788,MATCH("旅費|S|15",月例!$S$5:$S$788,0)),"")</f>
        <v>16778</v>
      </c>
      <c r="N132" s="828">
        <f>IF(M132="","",N131-M132)</f>
        <v>-233932</v>
      </c>
      <c r="O132" s="829" t="str">
        <f>IFERROR(INDEX(月例!$P$5:$P$788,MATCH("旅費|S|15",月例!$S$5:$S$788,0)),"")</f>
        <v>昨年実績</v>
      </c>
      <c r="P132" s="825">
        <f>IFERROR(INDEX(月例!$A$5:$A$788,MATCH("事務費・雑費|S|15",月例!$S$5:$S$788,0)),"")</f>
        <v>44582</v>
      </c>
      <c r="Q132" s="826" t="str">
        <f>IFERROR(INDEX(月例!$E$5:$E$788,MATCH("事務費・雑費|S|15",月例!$S$5:$S$788,0)),"")</f>
        <v>ゆうちょ銀行トークン利用に係る申込手数料</v>
      </c>
      <c r="R132" s="827">
        <f>IFERROR(INDEX(月例!$H$5:$H$788,MATCH("事務費・雑費|S|15",月例!$S$5:$S$788,0)),"")</f>
        <v>825</v>
      </c>
      <c r="S132" s="828">
        <f>IF(R132="","",S131-R132)</f>
        <v>-11975</v>
      </c>
      <c r="T132" s="829" t="str">
        <f>IFERROR(INDEX(月例!$P$5:$P$788,MATCH("事務費・雑費|S|15",月例!$S$5:$S$788,0)),"")</f>
        <v>昨年実績</v>
      </c>
    </row>
    <row r="133" ht="26.25" customHeight="1" s="186">
      <c r="A133" s="825">
        <f>IFERROR(INDEX(月例!$A$5:$A$788,MATCH("図書印刷費|S|16",月例!$S$5:$S$788,0)),"")</f>
        <v>46254</v>
      </c>
      <c r="B133" s="826" t="str">
        <f>IFERROR(INDEX(月例!$E$5:$E$788,MATCH("図書印刷費|S|16",月例!$S$5:$S$788,0)),"")</f>
        <v>短期給付決定通知書　６，０００セット</v>
      </c>
      <c r="C133" s="827">
        <f>IFERROR(INDEX(月例!$H$5:$H$788,MATCH("図書印刷費|S|16",月例!$S$5:$S$788,0)),"")</f>
        <v>165000</v>
      </c>
      <c r="D133" s="828">
        <f>IF(C133="","",D132-C133)</f>
        <v>383793</v>
      </c>
      <c r="E133" s="829" t="str">
        <f>IFERROR(INDEX(月例!$P$5:$P$788,MATCH("図書印刷費|S|16",月例!$S$5:$S$788,0)),"")</f>
        <v>確認済</v>
      </c>
      <c r="F133" s="825">
        <f>IFERROR(INDEX(月例!$A$5:$A$788,MATCH("送金料|S|16",月例!$S$5:$S$788,0)),"")</f>
        <v>46017</v>
      </c>
      <c r="G133" s="826" t="str">
        <f>IFERROR(INDEX(月例!$E$5:$E$788,MATCH("送金料|S|16",月例!$S$5:$S$788,0)),"")</f>
        <v>ゆうちょ銀行手数料（１１月分）短期</v>
      </c>
      <c r="H133" s="827">
        <f>IFERROR(INDEX(月例!$H$5:$H$788,MATCH("送金料|S|16",月例!$S$5:$S$788,0)),"")</f>
        <v>9574</v>
      </c>
      <c r="I133" s="828">
        <f>IF(H133="","",I132-H133)</f>
        <v>504363</v>
      </c>
      <c r="J133" s="829" t="str">
        <f>IFERROR(INDEX(月例!$P$5:$P$788,MATCH("送金料|S|16",月例!$S$5:$S$788,0)),"")</f>
        <v>昨年実績</v>
      </c>
      <c r="K133" s="825">
        <f>IFERROR(INDEX(月例!$A$5:$A$788,MATCH("旅費|S|16",月例!$S$5:$S$788,0)),"")</f>
        <v>46301</v>
      </c>
      <c r="L133" s="826" t="str">
        <f>IFERROR(INDEX(月例!$E$5:$E$788,MATCH("旅費|S|16",月例!$S$5:$S$788,0)),"")</f>
        <v>10/7　情報セキュリティ研修会　東京都　中田主査</v>
      </c>
      <c r="M133" s="827">
        <f>IFERROR(INDEX(月例!$H$5:$H$788,MATCH("旅費|S|16",月例!$S$5:$S$788,0)),"")</f>
        <v>19302</v>
      </c>
      <c r="N133" s="828">
        <f>IF(M133="","",N132-M133)</f>
        <v>-253234</v>
      </c>
      <c r="O133" s="829" t="str">
        <f>IFERROR(INDEX(月例!$P$5:$P$788,MATCH("旅費|S|16",月例!$S$5:$S$788,0)),"")</f>
        <v>確認済</v>
      </c>
      <c r="P133" s="825">
        <f>IFERROR(INDEX(月例!$A$5:$A$788,MATCH("事務費・雑費|S|16",月例!$S$5:$S$788,0)),"")</f>
        <v>46080</v>
      </c>
      <c r="Q133" s="826" t="str">
        <f>IFERROR(INDEX(月例!$E$5:$E$788,MATCH("事務費・雑費|S|16",月例!$S$5:$S$788,0)),"")</f>
        <v>ゆうちょ銀行振替口座残高証明（1月分）短期</v>
      </c>
      <c r="R133" s="827">
        <f>IFERROR(INDEX(月例!$H$5:$H$788,MATCH("事務費・雑費|S|16",月例!$S$5:$S$788,0)),"")</f>
        <v>550</v>
      </c>
      <c r="S133" s="828">
        <f>IF(R133="","",S132-R133)</f>
        <v>-12525</v>
      </c>
      <c r="T133" s="829" t="str">
        <f>IFERROR(INDEX(月例!$P$5:$P$788,MATCH("事務費・雑費|S|16",月例!$S$5:$S$788,0)),"")</f>
        <v>昨年実績</v>
      </c>
    </row>
    <row r="134" ht="26.25" customHeight="1" s="186" thickBot="1">
      <c r="A134" s="825">
        <f>IFERROR(INDEX(月例!$A$5:$A$788,MATCH("図書印刷費|S|17",月例!$S$5:$S$788,0)),"")</f>
        <v>45989</v>
      </c>
      <c r="B134" s="826" t="str">
        <f>IFERROR(INDEX(月例!$E$5:$E$788,MATCH("図書印刷費|S|17",月例!$S$5:$S$788,0)),"")</f>
        <v>厚生法規総覧追録　６０３６－６０４５号</v>
      </c>
      <c r="C134" s="827">
        <f>IFERROR(INDEX(月例!$H$5:$H$788,MATCH("図書印刷費|S|17",月例!$S$5:$S$788,0)),"")</f>
        <v>33154</v>
      </c>
      <c r="D134" s="828">
        <f>IF(C134="","",D133-C134)</f>
        <v>350639</v>
      </c>
      <c r="E134" s="829" t="str">
        <f>IFERROR(INDEX(月例!$P$5:$P$788,MATCH("図書印刷費|S|17",月例!$S$5:$S$788,0)),"")</f>
        <v>昨年実績</v>
      </c>
      <c r="F134" s="825">
        <f>IFERROR(INDEX(月例!$A$5:$A$788,MATCH("送金料|S|17",月例!$S$5:$S$788,0)),"")</f>
        <v>46035</v>
      </c>
      <c r="G134" s="826" t="str">
        <f>IFERROR(INDEX(月例!$E$5:$E$788,MATCH("送金料|S|17",月例!$S$5:$S$788,0)),"")</f>
        <v>振込手数料（広銀）１２月分　短期分</v>
      </c>
      <c r="H134" s="827">
        <f>IFERROR(INDEX(月例!$H$5:$H$788,MATCH("送金料|S|17",月例!$S$5:$S$788,0)),"")</f>
        <v>145568</v>
      </c>
      <c r="I134" s="828">
        <f>IF(H134="","",I133-H134)</f>
        <v>358795</v>
      </c>
      <c r="J134" s="829" t="str">
        <f>IFERROR(INDEX(月例!$P$5:$P$788,MATCH("送金料|S|17",月例!$S$5:$S$788,0)),"")</f>
        <v>昨年実績</v>
      </c>
      <c r="K134" s="825">
        <f>IFERROR(INDEX(月例!$A$5:$A$788,MATCH("旅費|S|17",月例!$S$5:$S$788,0)),"")</f>
        <v>43816</v>
      </c>
      <c r="L134" s="826" t="str">
        <f>IFERROR(INDEX(月例!$E$5:$E$788,MATCH("旅費|S|17",月例!$S$5:$S$788,0)),"")</f>
        <v>12/20大都市事務担（総務）　神戸市　白石主査</v>
      </c>
      <c r="M134" s="827">
        <f>IFERROR(INDEX(月例!$H$5:$H$788,MATCH("旅費|S|17",月例!$S$5:$S$788,0)),"")</f>
        <v>10301</v>
      </c>
      <c r="N134" s="828">
        <f>IF(M134="","",N133-M134)</f>
        <v>-263535</v>
      </c>
      <c r="O134" s="829" t="str">
        <f>IFERROR(INDEX(月例!$P$5:$P$788,MATCH("旅費|S|17",月例!$S$5:$S$788,0)),"")</f>
        <v>昨年実績</v>
      </c>
      <c r="P134" s="825">
        <f>IFERROR(INDEX(月例!$A$5:$A$788,MATCH("事務費・雑費|S|17",月例!$S$5:$S$788,0)),"")</f>
        <v>44613</v>
      </c>
      <c r="Q134" s="826" t="str">
        <f>IFERROR(INDEX(月例!$E$5:$E$788,MATCH("事務費・雑費|S|17",月例!$S$5:$S$788,0)),"")</f>
        <v>電子証明書発行・更新料（令和3年12月請求）</v>
      </c>
      <c r="R134" s="827">
        <f>IFERROR(INDEX(月例!$H$5:$H$788,MATCH("事務費・雑費|S|17",月例!$S$5:$S$788,0)),"")</f>
        <v>750</v>
      </c>
      <c r="S134" s="828">
        <f>IF(R134="","",S133-R134)</f>
        <v>-13275</v>
      </c>
      <c r="T134" s="829" t="str">
        <f>IFERROR(INDEX(月例!$P$5:$P$788,MATCH("事務費・雑費|S|17",月例!$S$5:$S$788,0)),"")</f>
        <v>昨年実績</v>
      </c>
    </row>
    <row r="135" ht="26.25" customHeight="1" s="186" thickBot="1">
      <c r="A135" s="825">
        <f>IFERROR(INDEX(月例!$A$5:$A$788,MATCH("図書印刷費|S|18",月例!$S$5:$S$788,0)),"")</f>
        <v>45989</v>
      </c>
      <c r="B135" s="826" t="str">
        <f>IFERROR(INDEX(月例!$E$5:$E$788,MATCH("図書印刷費|S|18",月例!$S$5:$S$788,0)),"")</f>
        <v>資格情報通知書封筒　３，０００枚</v>
      </c>
      <c r="C135" s="827">
        <f>IFERROR(INDEX(月例!$H$5:$H$788,MATCH("図書印刷費|S|18",月例!$S$5:$S$788,0)),"")</f>
        <v>99000</v>
      </c>
      <c r="D135" s="828">
        <f>IF(C135="","",D134-C135)</f>
        <v>251639</v>
      </c>
      <c r="E135" s="829" t="str">
        <f>IFERROR(INDEX(月例!$P$5:$P$788,MATCH("図書印刷費|S|18",月例!$S$5:$S$788,0)),"")</f>
        <v>昨年実績</v>
      </c>
      <c r="F135" s="825">
        <f>IFERROR(INDEX(月例!$A$5:$A$788,MATCH("送金料|S|18",月例!$S$5:$S$788,0)),"")</f>
        <v>45301</v>
      </c>
      <c r="G135" s="826" t="str">
        <f>IFERROR(INDEX(月例!$E$5:$E$788,MATCH("送金料|S|18",月例!$S$5:$S$788,0)),"")</f>
        <v>ゆうちょ銀行手数料（12月分）短期</v>
      </c>
      <c r="H135" s="827">
        <f>IFERROR(INDEX(月例!$H$5:$H$788,MATCH("送金料|S|18",月例!$S$5:$S$788,0)),"")</f>
        <v>10590</v>
      </c>
      <c r="I135" s="828">
        <f>IF(H135="","",I134-H135)</f>
        <v>348205</v>
      </c>
      <c r="J135" s="829" t="str">
        <f>IFERROR(INDEX(月例!$P$5:$P$788,MATCH("送金料|S|18",月例!$S$5:$S$788,0)),"")</f>
        <v>昨年実績</v>
      </c>
      <c r="K135" s="825">
        <f>IFERROR(INDEX(月例!$A$5:$A$788,MATCH("旅費|S|18",月例!$S$5:$S$788,0)),"")</f>
        <v>46003</v>
      </c>
      <c r="L135" s="826" t="str">
        <f>IFERROR(INDEX(月例!$E$5:$E$788,MATCH("旅費|S|18",月例!$S$5:$S$788,0)),"")</f>
        <v>12/15 保健事業事務研修会　特別区　上野主事</v>
      </c>
      <c r="M135" s="827">
        <f>IFERROR(INDEX(月例!$H$5:$H$788,MATCH("旅費|S|18",月例!$S$5:$S$788,0)),"")</f>
        <v>50740</v>
      </c>
      <c r="N135" s="828">
        <f>IF(M135="","",N134-M135)</f>
        <v>-314275</v>
      </c>
      <c r="O135" s="829" t="str">
        <f>IFERROR(INDEX(月例!$P$5:$P$788,MATCH("旅費|S|18",月例!$S$5:$S$788,0)),"")</f>
        <v>昨年実績</v>
      </c>
      <c r="P135" s="825">
        <f>IFERROR(INDEX(月例!$A$5:$A$788,MATCH("事務費・雑費|S|18",月例!$S$5:$S$788,0)),"")</f>
        <v>46112</v>
      </c>
      <c r="Q135" s="826" t="str">
        <f>IFERROR(INDEX(月例!$E$5:$E$788,MATCH("事務費・雑費|S|18",月例!$S$5:$S$788,0)),"")</f>
        <v>ゆうちょ銀行振替口座残高証明（2月分）短期</v>
      </c>
      <c r="R135" s="827">
        <f>IFERROR(INDEX(月例!$H$5:$H$788,MATCH("事務費・雑費|S|18",月例!$S$5:$S$788,0)),"")</f>
        <v>550</v>
      </c>
      <c r="S135" s="828">
        <f>IF(R135="","",S134-R135)</f>
        <v>-13825</v>
      </c>
      <c r="T135" s="829" t="str">
        <f>IFERROR(INDEX(月例!$P$5:$P$788,MATCH("事務費・雑費|S|18",月例!$S$5:$S$788,0)),"")</f>
        <v>昨年実績</v>
      </c>
    </row>
    <row r="136" ht="26.25" customHeight="1" s="186">
      <c r="A136" s="825">
        <f>IFERROR(INDEX(月例!$A$5:$A$788,MATCH("図書印刷費|S|19",月例!$S$5:$S$788,0)),"")</f>
        <v>43783</v>
      </c>
      <c r="B136" s="826" t="str">
        <f>IFERROR(INDEX(月例!$E$5:$E$788,MATCH("図書印刷費|S|19",月例!$S$5:$S$788,0)),"")</f>
        <v>厚生法規総覧追録５２７４－５２８４号</v>
      </c>
      <c r="C136" s="827">
        <f>IFERROR(INDEX(月例!$H$5:$H$788,MATCH("図書印刷費|S|19",月例!$S$5:$S$788,0)),"")</f>
        <v>33154</v>
      </c>
      <c r="D136" s="828">
        <f>IF(C136="","",D135-C136)</f>
        <v>218485</v>
      </c>
      <c r="E136" s="829" t="str">
        <f>IFERROR(INDEX(月例!$P$5:$P$788,MATCH("図書印刷費|S|19",月例!$S$5:$S$788,0)),"")</f>
        <v>昨年実績</v>
      </c>
      <c r="F136" s="825">
        <f>IFERROR(INDEX(月例!$A$5:$A$788,MATCH("送金料|S|19",月例!$S$5:$S$788,0)),"")</f>
        <v>46052</v>
      </c>
      <c r="G136" s="826" t="str">
        <f>IFERROR(INDEX(月例!$E$5:$E$788,MATCH("送金料|S|19",月例!$S$5:$S$788,0)),"")</f>
        <v>ゆうちょ銀行手数料（１２月分）短期</v>
      </c>
      <c r="H136" s="827">
        <f>IFERROR(INDEX(月例!$H$5:$H$788,MATCH("送金料|S|19",月例!$S$5:$S$788,0)),"")</f>
        <v>10578</v>
      </c>
      <c r="I136" s="828">
        <f>IF(H136="","",I135-H136)</f>
        <v>337627</v>
      </c>
      <c r="J136" s="829" t="str">
        <f>IFERROR(INDEX(月例!$P$5:$P$788,MATCH("送金料|S|19",月例!$S$5:$S$788,0)),"")</f>
        <v>昨年実績</v>
      </c>
      <c r="K136" s="825">
        <f>IFERROR(INDEX(月例!$A$5:$A$788,MATCH("旅費|S|19",月例!$S$5:$S$788,0)),"")</f>
        <v>46003</v>
      </c>
      <c r="L136" s="826" t="str">
        <f>IFERROR(INDEX(月例!$E$5:$E$788,MATCH("旅費|S|19",月例!$S$5:$S$788,0)),"")</f>
        <v>12/15 保健事業事務研修会　特別区　半司保健師</v>
      </c>
      <c r="M136" s="827">
        <f>IFERROR(INDEX(月例!$H$5:$H$788,MATCH("旅費|S|19",月例!$S$5:$S$788,0)),"")</f>
        <v>30162</v>
      </c>
      <c r="N136" s="828">
        <f>IF(M136="","",N135-M136)</f>
        <v>-344437</v>
      </c>
      <c r="O136" s="829" t="str">
        <f>IFERROR(INDEX(月例!$P$5:$P$788,MATCH("旅費|S|19",月例!$S$5:$S$788,0)),"")</f>
        <v>昨年実績</v>
      </c>
      <c r="P136" s="825">
        <f>IFERROR(INDEX(月例!$A$5:$A$788,MATCH("事務費・雑費|S|19",月例!$S$5:$S$788,0)),"")</f>
        <v>45735</v>
      </c>
      <c r="Q136" s="826" t="str">
        <f>IFERROR(INDEX(月例!$E$5:$E$788,MATCH("事務費・雑費|S|19",月例!$S$5:$S$788,0)),"")</f>
        <v>電子証明書発行・更新料（令和7年3月実施分）</v>
      </c>
      <c r="R136" s="827">
        <f>IFERROR(INDEX(月例!$H$5:$H$788,MATCH("事務費・雑費|S|19",月例!$S$5:$S$788,0)),"")</f>
        <v>1500</v>
      </c>
      <c r="S136" s="828">
        <f>IF(R136="","",S135-R136)</f>
        <v>-15325</v>
      </c>
      <c r="T136" s="829" t="str">
        <f>IFERROR(INDEX(月例!$P$5:$P$788,MATCH("事務費・雑費|S|19",月例!$S$5:$S$788,0)),"")</f>
        <v>昨年実績</v>
      </c>
    </row>
    <row r="137" ht="26.25" customHeight="1" s="186">
      <c r="A137" s="825">
        <f>IFERROR(INDEX(月例!$A$5:$A$788,MATCH("図書印刷費|S|20",月例!$S$5:$S$788,0)),"")</f>
        <v>46017</v>
      </c>
      <c r="B137" s="826" t="str">
        <f>IFERROR(INDEX(月例!$E$5:$E$788,MATCH("図書印刷費|S|20",月例!$S$5:$S$788,0)),"")</f>
        <v>厚生法規総覧追録　６０４６－６０５５号</v>
      </c>
      <c r="C137" s="827">
        <f>IFERROR(INDEX(月例!$H$5:$H$788,MATCH("図書印刷費|S|20",月例!$S$5:$S$788,0)),"")</f>
        <v>33154</v>
      </c>
      <c r="D137" s="828">
        <f>IF(C137="","",D136-C137)</f>
        <v>185331</v>
      </c>
      <c r="E137" s="829" t="str">
        <f>IFERROR(INDEX(月例!$P$5:$P$788,MATCH("図書印刷費|S|20",月例!$S$5:$S$788,0)),"")</f>
        <v>昨年実績</v>
      </c>
      <c r="F137" s="825">
        <f>IFERROR(INDEX(月例!$A$5:$A$788,MATCH("送金料|S|20",月例!$S$5:$S$788,0)),"")</f>
        <v>46063</v>
      </c>
      <c r="G137" s="826" t="str">
        <f>IFERROR(INDEX(月例!$E$5:$E$788,MATCH("送金料|S|20",月例!$S$5:$S$788,0)),"")</f>
        <v>振込手数料（広銀）１月分　短期分</v>
      </c>
      <c r="H137" s="827">
        <f>IFERROR(INDEX(月例!$H$5:$H$788,MATCH("送金料|S|20",月例!$S$5:$S$788,0)),"")</f>
        <v>145536</v>
      </c>
      <c r="I137" s="828">
        <f>IF(H137="","",I136-H137)</f>
        <v>192091</v>
      </c>
      <c r="J137" s="829" t="str">
        <f>IFERROR(INDEX(月例!$P$5:$P$788,MATCH("送金料|S|20",月例!$S$5:$S$788,0)),"")</f>
        <v>昨年実績</v>
      </c>
      <c r="K137" s="825">
        <f>IFERROR(INDEX(月例!$A$5:$A$788,MATCH("旅費|S|20",月例!$S$5:$S$788,0)),"")</f>
        <v>43864</v>
      </c>
      <c r="L137" s="826" t="str">
        <f>IFERROR(INDEX(月例!$E$5:$E$788,MATCH("旅費|S|20",月例!$S$5:$S$788,0)),"")</f>
        <v>2/5　小連合　事業計画及び予算説明会　特別区　白石主査</v>
      </c>
      <c r="M137" s="827">
        <f>IFERROR(INDEX(月例!$H$5:$H$788,MATCH("旅費|S|20",月例!$S$5:$S$788,0)),"")</f>
        <v>18318</v>
      </c>
      <c r="N137" s="828">
        <f>IF(M137="","",N136-M137)</f>
        <v>-362755</v>
      </c>
      <c r="O137" s="829" t="str">
        <f>IFERROR(INDEX(月例!$P$5:$P$788,MATCH("旅費|S|20",月例!$S$5:$S$788,0)),"")</f>
        <v>昨年実績</v>
      </c>
      <c r="P137" s="825" t="str">
        <f>IFERROR(INDEX(月例!$A$5:$A$788,MATCH("事務費・雑費|S|20",月例!$S$5:$S$788,0)),"")</f>
        <v/>
      </c>
      <c r="Q137" s="826" t="str">
        <f>IFERROR(INDEX(月例!$E$5:$E$788,MATCH("事務費・雑費|S|20",月例!$S$5:$S$788,0)),"")</f>
        <v/>
      </c>
      <c r="R137" s="827" t="str">
        <f>IFERROR(INDEX(月例!$H$5:$H$788,MATCH("事務費・雑費|S|20",月例!$S$5:$S$788,0)),"")</f>
        <v/>
      </c>
      <c r="S137" s="828" t="str">
        <f>IF(R137="","",S136-R137)</f>
        <v/>
      </c>
      <c r="T137" s="829" t="str">
        <f>IFERROR(INDEX(月例!$P$5:$P$788,MATCH("事務費・雑費|S|20",月例!$S$5:$S$788,0)),"")</f>
        <v/>
      </c>
    </row>
    <row r="138" ht="26.25" customHeight="1" s="186">
      <c r="A138" s="825">
        <f>IFERROR(INDEX(月例!$A$5:$A$788,MATCH("図書印刷費|S|21",月例!$S$5:$S$788,0)),"")</f>
        <v>46017</v>
      </c>
      <c r="B138" s="826" t="str">
        <f>IFERROR(INDEX(月例!$E$5:$E$788,MATCH("図書印刷費|S|21",月例!$S$5:$S$788,0)),"")</f>
        <v>長３封筒　１０，０００枚</v>
      </c>
      <c r="C138" s="827">
        <f>IFERROR(INDEX(月例!$H$5:$H$788,MATCH("図書印刷費|S|21",月例!$S$5:$S$788,0)),"")</f>
        <v>99000</v>
      </c>
      <c r="D138" s="828">
        <f>IF(C138="","",D137-C138)</f>
        <v>86331</v>
      </c>
      <c r="E138" s="829" t="str">
        <f>IFERROR(INDEX(月例!$P$5:$P$788,MATCH("図書印刷費|S|21",月例!$S$5:$S$788,0)),"")</f>
        <v>昨年実績</v>
      </c>
      <c r="F138" s="825">
        <f>IFERROR(INDEX(月例!$A$5:$A$788,MATCH("送金料|S|21",月例!$S$5:$S$788,0)),"")</f>
        <v>46080</v>
      </c>
      <c r="G138" s="826" t="str">
        <f>IFERROR(INDEX(月例!$E$5:$E$788,MATCH("送金料|S|21",月例!$S$5:$S$788,0)),"")</f>
        <v>ゆうちょ銀行手数料（1月分）短期</v>
      </c>
      <c r="H138" s="827">
        <f>IFERROR(INDEX(月例!$H$5:$H$788,MATCH("送金料|S|21",月例!$S$5:$S$788,0)),"")</f>
        <v>10876</v>
      </c>
      <c r="I138" s="828">
        <f>IF(H138="","",I137-H138)</f>
        <v>181215</v>
      </c>
      <c r="J138" s="829" t="str">
        <f>IFERROR(INDEX(月例!$P$5:$P$788,MATCH("送金料|S|21",月例!$S$5:$S$788,0)),"")</f>
        <v>昨年実績</v>
      </c>
      <c r="K138" s="825">
        <f>IFERROR(INDEX(月例!$A$5:$A$788,MATCH("旅費|S|21",月例!$S$5:$S$788,0)),"")</f>
        <v>46183</v>
      </c>
      <c r="L138" s="826" t="str">
        <f>IFERROR(INDEX(月例!$E$5:$E$788,MATCH("旅費|S|21",月例!$S$5:$S$788,0)),"")</f>
        <v>6/23　全国代表理事協議会　東京都　山田理事</v>
      </c>
      <c r="M138" s="827">
        <f>IFERROR(INDEX(月例!$H$5:$H$788,MATCH("旅費|S|21",月例!$S$5:$S$788,0)),"")</f>
        <v>19112</v>
      </c>
      <c r="N138" s="828">
        <f>IF(M138="","",N137-M138)</f>
        <v>-381867</v>
      </c>
      <c r="O138" s="829" t="str">
        <f>IFERROR(INDEX(月例!$P$5:$P$788,MATCH("旅費|S|21",月例!$S$5:$S$788,0)),"")</f>
        <v>確認済</v>
      </c>
      <c r="P138" s="825" t="str">
        <f>IFERROR(INDEX(月例!$A$5:$A$788,MATCH("事務費・雑費|S|21",月例!$S$5:$S$788,0)),"")</f>
        <v/>
      </c>
      <c r="Q138" s="826" t="str">
        <f>IFERROR(INDEX(月例!$E$5:$E$788,MATCH("事務費・雑費|S|21",月例!$S$5:$S$788,0)),"")</f>
        <v/>
      </c>
      <c r="R138" s="827" t="str">
        <f>IFERROR(INDEX(月例!$H$5:$H$788,MATCH("事務費・雑費|S|21",月例!$S$5:$S$788,0)),"")</f>
        <v/>
      </c>
      <c r="S138" s="828" t="str">
        <f>IF(R138="","",S137-R138)</f>
        <v/>
      </c>
      <c r="T138" s="829" t="str">
        <f>IFERROR(INDEX(月例!$P$5:$P$788,MATCH("事務費・雑費|S|21",月例!$S$5:$S$788,0)),"")</f>
        <v/>
      </c>
    </row>
    <row r="139" ht="26.25" customHeight="1" s="186" thickBot="1">
      <c r="A139" s="825">
        <f>IFERROR(INDEX(月例!$A$5:$A$788,MATCH("図書印刷費|S|22",月例!$S$5:$S$788,0)),"")</f>
        <v>46017</v>
      </c>
      <c r="B139" s="826" t="str">
        <f>IFERROR(INDEX(月例!$E$5:$E$788,MATCH("図書印刷費|S|22",月例!$S$5:$S$788,0)),"")</f>
        <v>（保健医療係）短期給付決定通知書　３，０００部</v>
      </c>
      <c r="C139" s="827">
        <f>IFERROR(INDEX(月例!$H$5:$H$788,MATCH("図書印刷費|S|22",月例!$S$5:$S$788,0)),"")</f>
        <v>132000</v>
      </c>
      <c r="D139" s="828">
        <f>IF(C139="","",D138-C139)</f>
        <v>-45669</v>
      </c>
      <c r="E139" s="829" t="str">
        <f>IFERROR(INDEX(月例!$P$5:$P$788,MATCH("図書印刷費|S|22",月例!$S$5:$S$788,0)),"")</f>
        <v>昨年実績</v>
      </c>
      <c r="F139" s="825">
        <f>IFERROR(INDEX(月例!$A$5:$A$788,MATCH("送金料|S|22",月例!$S$5:$S$788,0)),"")</f>
        <v>46091</v>
      </c>
      <c r="G139" s="826" t="str">
        <f>IFERROR(INDEX(月例!$E$5:$E$788,MATCH("送金料|S|22",月例!$S$5:$S$788,0)),"")</f>
        <v>振込手数料（広銀）２月分　短期分</v>
      </c>
      <c r="H139" s="827">
        <f>IFERROR(INDEX(月例!$H$5:$H$788,MATCH("送金料|S|22",月例!$S$5:$S$788,0)),"")</f>
        <v>139863</v>
      </c>
      <c r="I139" s="828">
        <f>IF(H139="","",I138-H139)</f>
        <v>41352</v>
      </c>
      <c r="J139" s="829" t="str">
        <f>IFERROR(INDEX(月例!$P$5:$P$788,MATCH("送金料|S|22",月例!$S$5:$S$788,0)),"")</f>
        <v>昨年実績</v>
      </c>
      <c r="K139" s="825">
        <f>IFERROR(INDEX(月例!$A$5:$A$788,MATCH("旅費|S|22",月例!$S$5:$S$788,0)),"")</f>
        <v>43871</v>
      </c>
      <c r="L139" s="826" t="str">
        <f>IFERROR(INDEX(月例!$E$5:$E$788,MATCH("旅費|S|22",月例!$S$5:$S$788,0)),"")</f>
        <v>2/12中国理事長会議　岡山市　胡子事務局長</v>
      </c>
      <c r="M139" s="827">
        <f>IFERROR(INDEX(月例!$H$5:$H$788,MATCH("旅費|S|22",月例!$S$5:$S$788,0)),"")</f>
        <v>29520</v>
      </c>
      <c r="N139" s="828">
        <f>IF(M139="","",N138-M139)</f>
        <v>-411387</v>
      </c>
      <c r="O139" s="829" t="str">
        <f>IFERROR(INDEX(月例!$P$5:$P$788,MATCH("旅費|S|22",月例!$S$5:$S$788,0)),"")</f>
        <v>昨年実績</v>
      </c>
      <c r="P139" s="825" t="str">
        <f>IFERROR(INDEX(月例!$A$5:$A$788,MATCH("事務費・雑費|S|22",月例!$S$5:$S$788,0)),"")</f>
        <v/>
      </c>
      <c r="Q139" s="826" t="str">
        <f>IFERROR(INDEX(月例!$E$5:$E$788,MATCH("事務費・雑費|S|22",月例!$S$5:$S$788,0)),"")</f>
        <v/>
      </c>
      <c r="R139" s="827" t="str">
        <f>IFERROR(INDEX(月例!$H$5:$H$788,MATCH("事務費・雑費|S|22",月例!$S$5:$S$788,0)),"")</f>
        <v/>
      </c>
      <c r="S139" s="828" t="str">
        <f>IF(R139="","",S138-R139)</f>
        <v/>
      </c>
      <c r="T139" s="829" t="str">
        <f>IFERROR(INDEX(月例!$P$5:$P$788,MATCH("事務費・雑費|S|22",月例!$S$5:$S$788,0)),"")</f>
        <v/>
      </c>
    </row>
    <row r="140" ht="26.25" customHeight="1" s="186" thickBot="1">
      <c r="A140" s="825">
        <f>IFERROR(INDEX(月例!$A$5:$A$788,MATCH("図書印刷費|S|23",月例!$S$5:$S$788,0)),"")</f>
        <v>44923</v>
      </c>
      <c r="B140" s="826" t="str">
        <f>IFERROR(INDEX(月例!$E$5:$E$788,MATCH("図書印刷費|S|23",月例!$S$5:$S$788,0)),"")</f>
        <v>角２封筒クラフト８５ｇ郵便枠付・テープ付3,000枚</v>
      </c>
      <c r="C140" s="827">
        <f>IFERROR(INDEX(月例!$H$5:$H$788,MATCH("図書印刷費|S|23",月例!$S$5:$S$788,0)),"")</f>
        <v>49830</v>
      </c>
      <c r="D140" s="828">
        <f>IF(C140="","",D139-C140)</f>
        <v>-95499</v>
      </c>
      <c r="E140" s="829" t="str">
        <f>IFERROR(INDEX(月例!$P$5:$P$788,MATCH("図書印刷費|S|23",月例!$S$5:$S$788,0)),"")</f>
        <v>昨年実績</v>
      </c>
      <c r="F140" s="825">
        <f>IFERROR(INDEX(月例!$A$5:$A$788,MATCH("送金料|S|23",月例!$S$5:$S$788,0)),"")</f>
        <v>46112</v>
      </c>
      <c r="G140" s="826" t="str">
        <f>IFERROR(INDEX(月例!$E$5:$E$788,MATCH("送金料|S|23",月例!$S$5:$S$788,0)),"")</f>
        <v>ゆうちょ銀行手数料（2月分）短期</v>
      </c>
      <c r="H140" s="827">
        <f>IFERROR(INDEX(月例!$H$5:$H$788,MATCH("送金料|S|23",月例!$S$5:$S$788,0)),"")</f>
        <v>7880</v>
      </c>
      <c r="I140" s="828">
        <f>IF(H140="","",I139-H140)</f>
        <v>33472</v>
      </c>
      <c r="J140" s="829" t="str">
        <f>IFERROR(INDEX(月例!$P$5:$P$788,MATCH("送金料|S|23",月例!$S$5:$S$788,0)),"")</f>
        <v>昨年実績</v>
      </c>
      <c r="K140" s="825">
        <f>IFERROR(INDEX(月例!$A$5:$A$788,MATCH("旅費|S|23",月例!$S$5:$S$788,0)),"")</f>
        <v>43871</v>
      </c>
      <c r="L140" s="826" t="str">
        <f>IFERROR(INDEX(月例!$E$5:$E$788,MATCH("旅費|S|23",月例!$S$5:$S$788,0)),"")</f>
        <v>2/12中国理事長会議　岡山市　江頭次長</v>
      </c>
      <c r="M140" s="827">
        <f>IFERROR(INDEX(月例!$H$5:$H$788,MATCH("旅費|S|23",月例!$S$5:$S$788,0)),"")</f>
        <v>26520</v>
      </c>
      <c r="N140" s="828">
        <f>IF(M140="","",N139-M140)</f>
        <v>-437907</v>
      </c>
      <c r="O140" s="829" t="str">
        <f>IFERROR(INDEX(月例!$P$5:$P$788,MATCH("旅費|S|23",月例!$S$5:$S$788,0)),"")</f>
        <v>昨年実績</v>
      </c>
      <c r="P140" s="825" t="str">
        <f>IFERROR(INDEX(月例!$A$5:$A$788,MATCH("事務費・雑費|S|23",月例!$S$5:$S$788,0)),"")</f>
        <v/>
      </c>
      <c r="Q140" s="826" t="str">
        <f>IFERROR(INDEX(月例!$E$5:$E$788,MATCH("事務費・雑費|S|23",月例!$S$5:$S$788,0)),"")</f>
        <v/>
      </c>
      <c r="R140" s="827" t="str">
        <f>IFERROR(INDEX(月例!$H$5:$H$788,MATCH("事務費・雑費|S|23",月例!$S$5:$S$788,0)),"")</f>
        <v/>
      </c>
      <c r="S140" s="828" t="str">
        <f>IF(R140="","",S139-R140)</f>
        <v/>
      </c>
      <c r="T140" s="829" t="str">
        <f>IFERROR(INDEX(月例!$P$5:$P$788,MATCH("事務費・雑費|S|23",月例!$S$5:$S$788,0)),"")</f>
        <v/>
      </c>
    </row>
    <row r="141">
      <c r="A141" s="825">
        <f>IFERROR(INDEX(月例!$A$5:$A$788,MATCH("図書印刷費|S|24",月例!$S$5:$S$788,0)),"")</f>
        <v>45288</v>
      </c>
      <c r="B141" s="826" t="str">
        <f>IFERROR(INDEX(月例!$E$5:$E$788,MATCH("図書印刷費|S|24",月例!$S$5:$S$788,0)),"")</f>
        <v>ジェネリック差額通知書　3,000枚</v>
      </c>
      <c r="C141" s="827">
        <f>IFERROR(INDEX(月例!$H$5:$H$788,MATCH("図書印刷費|S|24",月例!$S$5:$S$788,0)),"")</f>
        <v>128700</v>
      </c>
      <c r="D141" s="828">
        <f>IF(C141="","",D140-C141)</f>
        <v>-224199</v>
      </c>
      <c r="E141" s="829" t="str">
        <f>IFERROR(INDEX(月例!$P$5:$P$788,MATCH("図書印刷費|S|24",月例!$S$5:$S$788,0)),"")</f>
        <v>昨年実績</v>
      </c>
      <c r="F141" s="825">
        <f>IFERROR(INDEX(月例!$A$5:$A$788,MATCH("送金料|S|24",月例!$S$5:$S$788,0)),"")</f>
        <v>45015</v>
      </c>
      <c r="G141" s="826" t="str">
        <f>IFERROR(INDEX(月例!$E$5:$E$788,MATCH("送金料|S|24",月例!$S$5:$S$788,0)),"")</f>
        <v>ＪＡ広島振込手数料</v>
      </c>
      <c r="H141" s="827">
        <f>IFERROR(INDEX(月例!$H$5:$H$788,MATCH("送金料|S|24",月例!$S$5:$S$788,0)),"")</f>
        <v>1540</v>
      </c>
      <c r="I141" s="828">
        <f>IF(H141="","",I140-H141)</f>
        <v>31932</v>
      </c>
      <c r="J141" s="829" t="str">
        <f>IFERROR(INDEX(月例!$P$5:$P$788,MATCH("送金料|S|24",月例!$S$5:$S$788,0)),"")</f>
        <v>昨年実績</v>
      </c>
      <c r="K141" s="825">
        <f>IFERROR(INDEX(月例!$A$5:$A$788,MATCH("旅費|S|24",月例!$S$5:$S$788,0)),"")</f>
        <v>45005</v>
      </c>
      <c r="L141" s="826" t="str">
        <f>IFERROR(INDEX(月例!$E$5:$E$788,MATCH("旅費|S|24",月例!$S$5:$S$788,0)),"")</f>
        <v>3/22　全国監事研修会　特別区　栗栖監事</v>
      </c>
      <c r="M141" s="827">
        <f>IFERROR(INDEX(月例!$H$5:$H$788,MATCH("旅費|S|24",月例!$S$5:$S$788,0)),"")</f>
        <v>18892</v>
      </c>
      <c r="N141" s="828">
        <f>IF(M141="","",N140-M141)</f>
        <v>-456799</v>
      </c>
      <c r="O141" s="829" t="str">
        <f>IFERROR(INDEX(月例!$P$5:$P$788,MATCH("旅費|S|24",月例!$S$5:$S$788,0)),"")</f>
        <v>昨年実績</v>
      </c>
      <c r="P141" s="825" t="str">
        <f>IFERROR(INDEX(月例!$A$5:$A$788,MATCH("事務費・雑費|S|24",月例!$S$5:$S$788,0)),"")</f>
        <v/>
      </c>
      <c r="Q141" s="826" t="str">
        <f>IFERROR(INDEX(月例!$E$5:$E$788,MATCH("事務費・雑費|S|24",月例!$S$5:$S$788,0)),"")</f>
        <v/>
      </c>
      <c r="R141" s="827" t="str">
        <f>IFERROR(INDEX(月例!$H$5:$H$788,MATCH("事務費・雑費|S|24",月例!$S$5:$S$788,0)),"")</f>
        <v/>
      </c>
      <c r="S141" s="828" t="str">
        <f>IF(R141="","",S140-R141)</f>
        <v/>
      </c>
      <c r="T141" s="829" t="str">
        <f>IFERROR(INDEX(月例!$P$5:$P$788,MATCH("事務費・雑費|S|24",月例!$S$5:$S$788,0)),"")</f>
        <v/>
      </c>
    </row>
    <row r="142">
      <c r="A142" s="825">
        <f>IFERROR(INDEX(月例!$A$5:$A$788,MATCH("図書印刷費|S|25",月例!$S$5:$S$788,0)),"")</f>
        <v>45288</v>
      </c>
      <c r="B142" s="826" t="str">
        <f>IFERROR(INDEX(月例!$E$5:$E$788,MATCH("図書印刷費|S|25",月例!$S$5:$S$788,0)),"")</f>
        <v>(育休手当金)短期給付決定通知書３，０００枚</v>
      </c>
      <c r="C142" s="827">
        <f>IFERROR(INDEX(月例!$H$5:$H$788,MATCH("図書印刷費|S|25",月例!$S$5:$S$788,0)),"")</f>
        <v>128700</v>
      </c>
      <c r="D142" s="828">
        <f>IF(C142="","",D141-C142)</f>
        <v>-352899</v>
      </c>
      <c r="E142" s="829" t="str">
        <f>IFERROR(INDEX(月例!$P$5:$P$788,MATCH("図書印刷費|S|25",月例!$S$5:$S$788,0)),"")</f>
        <v>昨年実績</v>
      </c>
      <c r="F142" s="825" t="str">
        <f>IFERROR(INDEX(月例!$A$5:$A$788,MATCH("送金料|S|25",月例!$S$5:$S$788,0)),"")</f>
        <v/>
      </c>
      <c r="G142" s="826" t="str">
        <f>IFERROR(INDEX(月例!$E$5:$E$788,MATCH("送金料|S|25",月例!$S$5:$S$788,0)),"")</f>
        <v/>
      </c>
      <c r="H142" s="827" t="str">
        <f>IFERROR(INDEX(月例!$H$5:$H$788,MATCH("送金料|S|25",月例!$S$5:$S$788,0)),"")</f>
        <v/>
      </c>
      <c r="I142" s="828" t="str">
        <f>IF(H142="","",I141-H142)</f>
        <v/>
      </c>
      <c r="J142" s="829" t="str">
        <f>IFERROR(INDEX(月例!$P$5:$P$788,MATCH("送金料|S|25",月例!$S$5:$S$788,0)),"")</f>
        <v/>
      </c>
      <c r="K142" s="825" t="str">
        <f>IFERROR(INDEX(月例!$A$5:$A$788,MATCH("旅費|S|25",月例!$S$5:$S$788,0)),"")</f>
        <v/>
      </c>
      <c r="L142" s="826" t="str">
        <f>IFERROR(INDEX(月例!$E$5:$E$788,MATCH("旅費|S|25",月例!$S$5:$S$788,0)),"")</f>
        <v/>
      </c>
      <c r="M142" s="827" t="str">
        <f>IFERROR(INDEX(月例!$H$5:$H$788,MATCH("旅費|S|25",月例!$S$5:$S$788,0)),"")</f>
        <v/>
      </c>
      <c r="N142" s="828" t="str">
        <f>IF(M142="","",N141-M142)</f>
        <v/>
      </c>
      <c r="O142" s="829" t="str">
        <f>IFERROR(INDEX(月例!$P$5:$P$788,MATCH("旅費|S|25",月例!$S$5:$S$788,0)),"")</f>
        <v/>
      </c>
      <c r="P142" s="825" t="str">
        <f>IFERROR(INDEX(月例!$A$5:$A$788,MATCH("事務費・雑費|S|25",月例!$S$5:$S$788,0)),"")</f>
        <v/>
      </c>
      <c r="Q142" s="826" t="str">
        <f>IFERROR(INDEX(月例!$E$5:$E$788,MATCH("事務費・雑費|S|25",月例!$S$5:$S$788,0)),"")</f>
        <v/>
      </c>
      <c r="R142" s="827" t="str">
        <f>IFERROR(INDEX(月例!$H$5:$H$788,MATCH("事務費・雑費|S|25",月例!$S$5:$S$788,0)),"")</f>
        <v/>
      </c>
      <c r="S142" s="828" t="str">
        <f>IF(R142="","",S141-R142)</f>
        <v/>
      </c>
      <c r="T142" s="829" t="str">
        <f>IFERROR(INDEX(月例!$P$5:$P$788,MATCH("事務費・雑費|S|25",月例!$S$5:$S$788,0)),"")</f>
        <v/>
      </c>
    </row>
    <row r="143">
      <c r="A143" s="825">
        <f>IFERROR(INDEX(月例!$A$5:$A$788,MATCH("図書印刷費|S|26",月例!$S$5:$S$788,0)),"")</f>
        <v>44193</v>
      </c>
      <c r="B143" s="826" t="str">
        <f>IFERROR(INDEX(月例!$E$5:$E$788,MATCH("図書印刷費|S|26",月例!$S$5:$S$788,0)),"")</f>
        <v>厚生法規総覧追録５４１７－５４２７号</v>
      </c>
      <c r="C143" s="827">
        <f>IFERROR(INDEX(月例!$H$5:$H$788,MATCH("図書印刷費|S|26",月例!$S$5:$S$788,0)),"")</f>
        <v>33154</v>
      </c>
      <c r="D143" s="828">
        <f>IF(C143="","",D142-C143)</f>
        <v>-386053</v>
      </c>
      <c r="E143" s="829" t="str">
        <f>IFERROR(INDEX(月例!$P$5:$P$788,MATCH("図書印刷費|S|26",月例!$S$5:$S$788,0)),"")</f>
        <v>昨年実績</v>
      </c>
      <c r="F143" s="825" t="str">
        <f>IFERROR(INDEX(月例!$A$5:$A$788,MATCH("送金料|S|26",月例!$S$5:$S$788,0)),"")</f>
        <v/>
      </c>
      <c r="G143" s="826" t="str">
        <f>IFERROR(INDEX(月例!$E$5:$E$788,MATCH("送金料|S|26",月例!$S$5:$S$788,0)),"")</f>
        <v/>
      </c>
      <c r="H143" s="827" t="str">
        <f>IFERROR(INDEX(月例!$H$5:$H$788,MATCH("送金料|S|26",月例!$S$5:$S$788,0)),"")</f>
        <v/>
      </c>
      <c r="I143" s="828" t="str">
        <f>IF(H143="","",I142-H143)</f>
        <v/>
      </c>
      <c r="J143" s="829" t="str">
        <f>IFERROR(INDEX(月例!$P$5:$P$788,MATCH("送金料|S|26",月例!$S$5:$S$788,0)),"")</f>
        <v/>
      </c>
      <c r="K143" s="825" t="str">
        <f>IFERROR(INDEX(月例!$A$5:$A$788,MATCH("旅費|S|26",月例!$S$5:$S$788,0)),"")</f>
        <v/>
      </c>
      <c r="L143" s="826" t="str">
        <f>IFERROR(INDEX(月例!$E$5:$E$788,MATCH("旅費|S|26",月例!$S$5:$S$788,0)),"")</f>
        <v/>
      </c>
      <c r="M143" s="827" t="str">
        <f>IFERROR(INDEX(月例!$H$5:$H$788,MATCH("旅費|S|26",月例!$S$5:$S$788,0)),"")</f>
        <v/>
      </c>
      <c r="N143" s="828" t="str">
        <f>IF(M143="","",N142-M143)</f>
        <v/>
      </c>
      <c r="O143" s="829" t="str">
        <f>IFERROR(INDEX(月例!$P$5:$P$788,MATCH("旅費|S|26",月例!$S$5:$S$788,0)),"")</f>
        <v/>
      </c>
      <c r="P143" s="825" t="str">
        <f>IFERROR(INDEX(月例!$A$5:$A$788,MATCH("事務費・雑費|S|26",月例!$S$5:$S$788,0)),"")</f>
        <v/>
      </c>
      <c r="Q143" s="826" t="str">
        <f>IFERROR(INDEX(月例!$E$5:$E$788,MATCH("事務費・雑費|S|26",月例!$S$5:$S$788,0)),"")</f>
        <v/>
      </c>
      <c r="R143" s="827" t="str">
        <f>IFERROR(INDEX(月例!$H$5:$H$788,MATCH("事務費・雑費|S|26",月例!$S$5:$S$788,0)),"")</f>
        <v/>
      </c>
      <c r="S143" s="828" t="str">
        <f>IF(R143="","",S142-R143)</f>
        <v/>
      </c>
      <c r="T143" s="829" t="str">
        <f>IFERROR(INDEX(月例!$P$5:$P$788,MATCH("事務費・雑費|S|26",月例!$S$5:$S$788,0)),"")</f>
        <v/>
      </c>
    </row>
    <row r="144">
      <c r="A144" s="825">
        <f>IFERROR(INDEX(月例!$A$5:$A$788,MATCH("図書印刷費|S|27",月例!$S$5:$S$788,0)),"")</f>
        <v>44225</v>
      </c>
      <c r="B144" s="826" t="str">
        <f>IFERROR(INDEX(月例!$E$5:$E$788,MATCH("図書印刷費|S|27",月例!$S$5:$S$788,0)),"")</f>
        <v>ジェネリック差額通知書</v>
      </c>
      <c r="C144" s="827">
        <f>IFERROR(INDEX(月例!$H$5:$H$788,MATCH("図書印刷費|S|27",月例!$S$5:$S$788,0)),"")</f>
        <v>70400</v>
      </c>
      <c r="D144" s="828">
        <f>IF(C144="","",D143-C144)</f>
        <v>-456453</v>
      </c>
      <c r="E144" s="829" t="str">
        <f>IFERROR(INDEX(月例!$P$5:$P$788,MATCH("図書印刷費|S|27",月例!$S$5:$S$788,0)),"")</f>
        <v>昨年実績</v>
      </c>
      <c r="F144" s="825" t="str">
        <f>IFERROR(INDEX(月例!$A$5:$A$788,MATCH("送金料|S|27",月例!$S$5:$S$788,0)),"")</f>
        <v/>
      </c>
      <c r="G144" s="826" t="str">
        <f>IFERROR(INDEX(月例!$E$5:$E$788,MATCH("送金料|S|27",月例!$S$5:$S$788,0)),"")</f>
        <v/>
      </c>
      <c r="H144" s="827" t="str">
        <f>IFERROR(INDEX(月例!$H$5:$H$788,MATCH("送金料|S|27",月例!$S$5:$S$788,0)),"")</f>
        <v/>
      </c>
      <c r="I144" s="828" t="str">
        <f>IF(H144="","",I143-H144)</f>
        <v/>
      </c>
      <c r="J144" s="829" t="str">
        <f>IFERROR(INDEX(月例!$P$5:$P$788,MATCH("送金料|S|27",月例!$S$5:$S$788,0)),"")</f>
        <v/>
      </c>
      <c r="K144" s="825" t="str">
        <f>IFERROR(INDEX(月例!$A$5:$A$788,MATCH("旅費|S|27",月例!$S$5:$S$788,0)),"")</f>
        <v/>
      </c>
      <c r="L144" s="826" t="str">
        <f>IFERROR(INDEX(月例!$E$5:$E$788,MATCH("旅費|S|27",月例!$S$5:$S$788,0)),"")</f>
        <v/>
      </c>
      <c r="M144" s="827" t="str">
        <f>IFERROR(INDEX(月例!$H$5:$H$788,MATCH("旅費|S|27",月例!$S$5:$S$788,0)),"")</f>
        <v/>
      </c>
      <c r="N144" s="828" t="str">
        <f>IF(M144="","",N143-M144)</f>
        <v/>
      </c>
      <c r="O144" s="829" t="str">
        <f>IFERROR(INDEX(月例!$P$5:$P$788,MATCH("旅費|S|27",月例!$S$5:$S$788,0)),"")</f>
        <v/>
      </c>
      <c r="P144" s="825" t="str">
        <f>IFERROR(INDEX(月例!$A$5:$A$788,MATCH("事務費・雑費|S|27",月例!$S$5:$S$788,0)),"")</f>
        <v/>
      </c>
      <c r="Q144" s="826" t="str">
        <f>IFERROR(INDEX(月例!$E$5:$E$788,MATCH("事務費・雑費|S|27",月例!$S$5:$S$788,0)),"")</f>
        <v/>
      </c>
      <c r="R144" s="827" t="str">
        <f>IFERROR(INDEX(月例!$H$5:$H$788,MATCH("事務費・雑費|S|27",月例!$S$5:$S$788,0)),"")</f>
        <v/>
      </c>
      <c r="S144" s="828" t="str">
        <f>IF(R144="","",S143-R144)</f>
        <v/>
      </c>
      <c r="T144" s="829" t="str">
        <f>IFERROR(INDEX(月例!$P$5:$P$788,MATCH("事務費・雑費|S|27",月例!$S$5:$S$788,0)),"")</f>
        <v/>
      </c>
    </row>
    <row r="145">
      <c r="A145" s="825">
        <f>IFERROR(INDEX(月例!$A$5:$A$788,MATCH("図書印刷費|S|28",月例!$S$5:$S$788,0)),"")</f>
        <v>46052</v>
      </c>
      <c r="B145" s="826" t="str">
        <f>IFERROR(INDEX(月例!$E$5:$E$788,MATCH("図書印刷費|S|28",月例!$S$5:$S$788,0)),"")</f>
        <v>厚生法規総覧追録　６０５６－６０６５号</v>
      </c>
      <c r="C145" s="827">
        <f>IFERROR(INDEX(月例!$H$5:$H$788,MATCH("図書印刷費|S|28",月例!$S$5:$S$788,0)),"")</f>
        <v>33154</v>
      </c>
      <c r="D145" s="828">
        <f>IF(C145="","",D144-C145)</f>
        <v>-489607</v>
      </c>
      <c r="E145" s="829" t="str">
        <f>IFERROR(INDEX(月例!$P$5:$P$788,MATCH("図書印刷費|S|28",月例!$S$5:$S$788,0)),"")</f>
        <v>昨年実績</v>
      </c>
      <c r="F145" s="825" t="str">
        <f>IFERROR(INDEX(月例!$A$5:$A$788,MATCH("送金料|S|28",月例!$S$5:$S$788,0)),"")</f>
        <v/>
      </c>
      <c r="G145" s="826" t="str">
        <f>IFERROR(INDEX(月例!$E$5:$E$788,MATCH("送金料|S|28",月例!$S$5:$S$788,0)),"")</f>
        <v/>
      </c>
      <c r="H145" s="827" t="str">
        <f>IFERROR(INDEX(月例!$H$5:$H$788,MATCH("送金料|S|28",月例!$S$5:$S$788,0)),"")</f>
        <v/>
      </c>
      <c r="I145" s="828" t="str">
        <f>IF(H145="","",I144-H145)</f>
        <v/>
      </c>
      <c r="J145" s="829" t="str">
        <f>IFERROR(INDEX(月例!$P$5:$P$788,MATCH("送金料|S|28",月例!$S$5:$S$788,0)),"")</f>
        <v/>
      </c>
      <c r="K145" s="825" t="str">
        <f>IFERROR(INDEX(月例!$A$5:$A$788,MATCH("旅費|S|28",月例!$S$5:$S$788,0)),"")</f>
        <v/>
      </c>
      <c r="L145" s="826" t="str">
        <f>IFERROR(INDEX(月例!$E$5:$E$788,MATCH("旅費|S|28",月例!$S$5:$S$788,0)),"")</f>
        <v/>
      </c>
      <c r="M145" s="827" t="str">
        <f>IFERROR(INDEX(月例!$H$5:$H$788,MATCH("旅費|S|28",月例!$S$5:$S$788,0)),"")</f>
        <v/>
      </c>
      <c r="N145" s="828" t="str">
        <f>IF(M145="","",N144-M145)</f>
        <v/>
      </c>
      <c r="O145" s="829" t="str">
        <f>IFERROR(INDEX(月例!$P$5:$P$788,MATCH("旅費|S|28",月例!$S$5:$S$788,0)),"")</f>
        <v/>
      </c>
      <c r="P145" s="825" t="str">
        <f>IFERROR(INDEX(月例!$A$5:$A$788,MATCH("事務費・雑費|S|28",月例!$S$5:$S$788,0)),"")</f>
        <v/>
      </c>
      <c r="Q145" s="826" t="str">
        <f>IFERROR(INDEX(月例!$E$5:$E$788,MATCH("事務費・雑費|S|28",月例!$S$5:$S$788,0)),"")</f>
        <v/>
      </c>
      <c r="R145" s="827" t="str">
        <f>IFERROR(INDEX(月例!$H$5:$H$788,MATCH("事務費・雑費|S|28",月例!$S$5:$S$788,0)),"")</f>
        <v/>
      </c>
      <c r="S145" s="828" t="str">
        <f>IF(R145="","",S144-R145)</f>
        <v/>
      </c>
      <c r="T145" s="829" t="str">
        <f>IFERROR(INDEX(月例!$P$5:$P$788,MATCH("事務費・雑費|S|28",月例!$S$5:$S$788,0)),"")</f>
        <v/>
      </c>
    </row>
    <row r="146">
      <c r="A146" s="825">
        <f>IFERROR(INDEX(月例!$A$5:$A$788,MATCH("図書印刷費|S|29",月例!$S$5:$S$788,0)),"")</f>
        <v>45672</v>
      </c>
      <c r="B146" s="826" t="str">
        <f>IFERROR(INDEX(月例!$E$5:$E$788,MATCH("図書印刷費|S|29",月例!$S$5:$S$788,0)),"")</f>
        <v>(育休手当金）短期給付決定通知書　３，０００部</v>
      </c>
      <c r="C146" s="827">
        <f>IFERROR(INDEX(月例!$H$5:$H$788,MATCH("図書印刷費|S|29",月例!$S$5:$S$788,0)),"")</f>
        <v>128700</v>
      </c>
      <c r="D146" s="828">
        <f>IF(C146="","",D145-C146)</f>
        <v>-618307</v>
      </c>
      <c r="E146" s="829" t="str">
        <f>IFERROR(INDEX(月例!$P$5:$P$788,MATCH("図書印刷費|S|29",月例!$S$5:$S$788,0)),"")</f>
        <v>昨年実績</v>
      </c>
      <c r="F146" s="825" t="str">
        <f>IFERROR(INDEX(月例!$A$5:$A$788,MATCH("送金料|S|29",月例!$S$5:$S$788,0)),"")</f>
        <v/>
      </c>
      <c r="G146" s="826" t="str">
        <f>IFERROR(INDEX(月例!$E$5:$E$788,MATCH("送金料|S|29",月例!$S$5:$S$788,0)),"")</f>
        <v/>
      </c>
      <c r="H146" s="827" t="str">
        <f>IFERROR(INDEX(月例!$H$5:$H$788,MATCH("送金料|S|29",月例!$S$5:$S$788,0)),"")</f>
        <v/>
      </c>
      <c r="I146" s="828" t="str">
        <f>IF(H146="","",I145-H146)</f>
        <v/>
      </c>
      <c r="J146" s="829" t="str">
        <f>IFERROR(INDEX(月例!$P$5:$P$788,MATCH("送金料|S|29",月例!$S$5:$S$788,0)),"")</f>
        <v/>
      </c>
      <c r="K146" s="825" t="str">
        <f>IFERROR(INDEX(月例!$A$5:$A$788,MATCH("旅費|S|29",月例!$S$5:$S$788,0)),"")</f>
        <v/>
      </c>
      <c r="L146" s="826" t="str">
        <f>IFERROR(INDEX(月例!$E$5:$E$788,MATCH("旅費|S|29",月例!$S$5:$S$788,0)),"")</f>
        <v/>
      </c>
      <c r="M146" s="827" t="str">
        <f>IFERROR(INDEX(月例!$H$5:$H$788,MATCH("旅費|S|29",月例!$S$5:$S$788,0)),"")</f>
        <v/>
      </c>
      <c r="N146" s="828" t="str">
        <f>IF(M146="","",N145-M146)</f>
        <v/>
      </c>
      <c r="O146" s="829" t="str">
        <f>IFERROR(INDEX(月例!$P$5:$P$788,MATCH("旅費|S|29",月例!$S$5:$S$788,0)),"")</f>
        <v/>
      </c>
      <c r="P146" s="825" t="str">
        <f>IFERROR(INDEX(月例!$A$5:$A$788,MATCH("事務費・雑費|S|29",月例!$S$5:$S$788,0)),"")</f>
        <v/>
      </c>
      <c r="Q146" s="826" t="str">
        <f>IFERROR(INDEX(月例!$E$5:$E$788,MATCH("事務費・雑費|S|29",月例!$S$5:$S$788,0)),"")</f>
        <v/>
      </c>
      <c r="R146" s="827" t="str">
        <f>IFERROR(INDEX(月例!$H$5:$H$788,MATCH("事務費・雑費|S|29",月例!$S$5:$S$788,0)),"")</f>
        <v/>
      </c>
      <c r="S146" s="828" t="str">
        <f>IF(R146="","",S145-R146)</f>
        <v/>
      </c>
      <c r="T146" s="829" t="str">
        <f>IFERROR(INDEX(月例!$P$5:$P$788,MATCH("事務費・雑費|S|29",月例!$S$5:$S$788,0)),"")</f>
        <v/>
      </c>
    </row>
    <row r="147">
      <c r="A147" s="825">
        <f>IFERROR(INDEX(月例!$A$5:$A$788,MATCH("図書印刷費|S|30",月例!$S$5:$S$788,0)),"")</f>
        <v>46080</v>
      </c>
      <c r="B147" s="826" t="str">
        <f>IFERROR(INDEX(月例!$E$5:$E$788,MATCH("図書印刷費|S|30",月例!$S$5:$S$788,0)),"")</f>
        <v>厚生法規総覧追録　６０６６－６０７５号</v>
      </c>
      <c r="C147" s="827">
        <f>IFERROR(INDEX(月例!$H$5:$H$788,MATCH("図書印刷費|S|30",月例!$S$5:$S$788,0)),"")</f>
        <v>33154</v>
      </c>
      <c r="D147" s="828">
        <f>IF(C147="","",D146-C147)</f>
        <v>-651461</v>
      </c>
      <c r="E147" s="829" t="str">
        <f>IFERROR(INDEX(月例!$P$5:$P$788,MATCH("図書印刷費|S|30",月例!$S$5:$S$788,0)),"")</f>
        <v>昨年実績</v>
      </c>
      <c r="F147" s="825" t="str">
        <f>IFERROR(INDEX(月例!$A$5:$A$788,MATCH("送金料|S|30",月例!$S$5:$S$788,0)),"")</f>
        <v/>
      </c>
      <c r="G147" s="826" t="str">
        <f>IFERROR(INDEX(月例!$E$5:$E$788,MATCH("送金料|S|30",月例!$S$5:$S$788,0)),"")</f>
        <v/>
      </c>
      <c r="H147" s="827" t="str">
        <f>IFERROR(INDEX(月例!$H$5:$H$788,MATCH("送金料|S|30",月例!$S$5:$S$788,0)),"")</f>
        <v/>
      </c>
      <c r="I147" s="828" t="str">
        <f>IF(H147="","",I146-H147)</f>
        <v/>
      </c>
      <c r="J147" s="829" t="str">
        <f>IFERROR(INDEX(月例!$P$5:$P$788,MATCH("送金料|S|30",月例!$S$5:$S$788,0)),"")</f>
        <v/>
      </c>
      <c r="K147" s="825" t="str">
        <f>IFERROR(INDEX(月例!$A$5:$A$788,MATCH("旅費|S|30",月例!$S$5:$S$788,0)),"")</f>
        <v/>
      </c>
      <c r="L147" s="826" t="str">
        <f>IFERROR(INDEX(月例!$E$5:$E$788,MATCH("旅費|S|30",月例!$S$5:$S$788,0)),"")</f>
        <v/>
      </c>
      <c r="M147" s="827" t="str">
        <f>IFERROR(INDEX(月例!$H$5:$H$788,MATCH("旅費|S|30",月例!$S$5:$S$788,0)),"")</f>
        <v/>
      </c>
      <c r="N147" s="828" t="str">
        <f>IF(M147="","",N146-M147)</f>
        <v/>
      </c>
      <c r="O147" s="829" t="str">
        <f>IFERROR(INDEX(月例!$P$5:$P$788,MATCH("旅費|S|30",月例!$S$5:$S$788,0)),"")</f>
        <v/>
      </c>
      <c r="P147" s="825" t="str">
        <f>IFERROR(INDEX(月例!$A$5:$A$788,MATCH("事務費・雑費|S|30",月例!$S$5:$S$788,0)),"")</f>
        <v/>
      </c>
      <c r="Q147" s="826" t="str">
        <f>IFERROR(INDEX(月例!$E$5:$E$788,MATCH("事務費・雑費|S|30",月例!$S$5:$S$788,0)),"")</f>
        <v/>
      </c>
      <c r="R147" s="827" t="str">
        <f>IFERROR(INDEX(月例!$H$5:$H$788,MATCH("事務費・雑費|S|30",月例!$S$5:$S$788,0)),"")</f>
        <v/>
      </c>
      <c r="S147" s="828" t="str">
        <f>IF(R147="","",S146-R147)</f>
        <v/>
      </c>
      <c r="T147" s="829" t="str">
        <f>IFERROR(INDEX(月例!$P$5:$P$788,MATCH("事務費・雑費|S|30",月例!$S$5:$S$788,0)),"")</f>
        <v/>
      </c>
    </row>
    <row r="148">
      <c r="A148" s="825">
        <f>IFERROR(INDEX(月例!$A$5:$A$788,MATCH("図書印刷費|S|31",月例!$S$5:$S$788,0)),"")</f>
        <v>43524</v>
      </c>
      <c r="B148" s="826" t="str">
        <f>IFERROR(INDEX(月例!$E$5:$E$788,MATCH("図書印刷費|S|31",月例!$S$5:$S$788,0)),"")</f>
        <v>２０１９診療報酬Ｑ＆Ａ</v>
      </c>
      <c r="C148" s="827">
        <f>IFERROR(INDEX(月例!$H$5:$H$788,MATCH("図書印刷費|S|31",月例!$S$5:$S$788,0)),"")</f>
        <v>3078</v>
      </c>
      <c r="D148" s="828">
        <f>IF(C148="","",D147-C148)</f>
        <v>-654539</v>
      </c>
      <c r="E148" s="829" t="str">
        <f>IFERROR(INDEX(月例!$P$5:$P$788,MATCH("図書印刷費|S|31",月例!$S$5:$S$788,0)),"")</f>
        <v>昨年実績</v>
      </c>
      <c r="F148" s="825" t="str">
        <f>IFERROR(INDEX(月例!$A$5:$A$788,MATCH("送金料|S|31",月例!$S$5:$S$788,0)),"")</f>
        <v/>
      </c>
      <c r="G148" s="826" t="str">
        <f>IFERROR(INDEX(月例!$E$5:$E$788,MATCH("送金料|S|31",月例!$S$5:$S$788,0)),"")</f>
        <v/>
      </c>
      <c r="H148" s="827" t="str">
        <f>IFERROR(INDEX(月例!$H$5:$H$788,MATCH("送金料|S|31",月例!$S$5:$S$788,0)),"")</f>
        <v/>
      </c>
      <c r="I148" s="828" t="str">
        <f>IF(H148="","",I147-H148)</f>
        <v/>
      </c>
      <c r="J148" s="829" t="str">
        <f>IFERROR(INDEX(月例!$P$5:$P$788,MATCH("送金料|S|31",月例!$S$5:$S$788,0)),"")</f>
        <v/>
      </c>
      <c r="K148" s="825" t="str">
        <f>IFERROR(INDEX(月例!$A$5:$A$788,MATCH("旅費|S|31",月例!$S$5:$S$788,0)),"")</f>
        <v/>
      </c>
      <c r="L148" s="826" t="str">
        <f>IFERROR(INDEX(月例!$E$5:$E$788,MATCH("旅費|S|31",月例!$S$5:$S$788,0)),"")</f>
        <v/>
      </c>
      <c r="M148" s="827" t="str">
        <f>IFERROR(INDEX(月例!$H$5:$H$788,MATCH("旅費|S|31",月例!$S$5:$S$788,0)),"")</f>
        <v/>
      </c>
      <c r="N148" s="828" t="str">
        <f>IF(M148="","",N147-M148)</f>
        <v/>
      </c>
      <c r="O148" s="829" t="str">
        <f>IFERROR(INDEX(月例!$P$5:$P$788,MATCH("旅費|S|31",月例!$S$5:$S$788,0)),"")</f>
        <v/>
      </c>
      <c r="P148" s="825" t="str">
        <f>IFERROR(INDEX(月例!$A$5:$A$788,MATCH("事務費・雑費|S|31",月例!$S$5:$S$788,0)),"")</f>
        <v/>
      </c>
      <c r="Q148" s="826" t="str">
        <f>IFERROR(INDEX(月例!$E$5:$E$788,MATCH("事務費・雑費|S|31",月例!$S$5:$S$788,0)),"")</f>
        <v/>
      </c>
      <c r="R148" s="827" t="str">
        <f>IFERROR(INDEX(月例!$H$5:$H$788,MATCH("事務費・雑費|S|31",月例!$S$5:$S$788,0)),"")</f>
        <v/>
      </c>
      <c r="S148" s="828" t="str">
        <f>IF(R148="","",S147-R148)</f>
        <v/>
      </c>
      <c r="T148" s="829" t="str">
        <f>IFERROR(INDEX(月例!$P$5:$P$788,MATCH("事務費・雑費|S|31",月例!$S$5:$S$788,0)),"")</f>
        <v/>
      </c>
    </row>
    <row r="149">
      <c r="A149" s="825">
        <f>IFERROR(INDEX(月例!$A$5:$A$788,MATCH("図書印刷費|S|32",月例!$S$5:$S$788,0)),"")</f>
        <v>45351</v>
      </c>
      <c r="B149" s="826" t="str">
        <f>IFERROR(INDEX(月例!$E$5:$E$788,MATCH("図書印刷費|S|32",月例!$S$5:$S$788,0)),"")</f>
        <v>角２封筒クラフト８５ｇ　エルコン付　３，０００枚</v>
      </c>
      <c r="C149" s="827">
        <f>IFERROR(INDEX(月例!$H$5:$H$788,MATCH("図書印刷費|S|32",月例!$S$5:$S$788,0)),"")</f>
        <v>49995</v>
      </c>
      <c r="D149" s="828">
        <f>IF(C149="","",D148-C149)</f>
        <v>-704534</v>
      </c>
      <c r="E149" s="829" t="str">
        <f>IFERROR(INDEX(月例!$P$5:$P$788,MATCH("図書印刷費|S|32",月例!$S$5:$S$788,0)),"")</f>
        <v>昨年実績</v>
      </c>
      <c r="F149" s="825" t="str">
        <f>IFERROR(INDEX(月例!$A$5:$A$788,MATCH("送金料|S|32",月例!$S$5:$S$788,0)),"")</f>
        <v/>
      </c>
      <c r="G149" s="826" t="str">
        <f>IFERROR(INDEX(月例!$E$5:$E$788,MATCH("送金料|S|32",月例!$S$5:$S$788,0)),"")</f>
        <v/>
      </c>
      <c r="H149" s="827" t="str">
        <f>IFERROR(INDEX(月例!$H$5:$H$788,MATCH("送金料|S|32",月例!$S$5:$S$788,0)),"")</f>
        <v/>
      </c>
      <c r="I149" s="828" t="str">
        <f>IF(H149="","",I148-H149)</f>
        <v/>
      </c>
      <c r="J149" s="829" t="str">
        <f>IFERROR(INDEX(月例!$P$5:$P$788,MATCH("送金料|S|32",月例!$S$5:$S$788,0)),"")</f>
        <v/>
      </c>
      <c r="K149" s="825" t="str">
        <f>IFERROR(INDEX(月例!$A$5:$A$788,MATCH("旅費|S|32",月例!$S$5:$S$788,0)),"")</f>
        <v/>
      </c>
      <c r="L149" s="826" t="str">
        <f>IFERROR(INDEX(月例!$E$5:$E$788,MATCH("旅費|S|32",月例!$S$5:$S$788,0)),"")</f>
        <v/>
      </c>
      <c r="M149" s="827" t="str">
        <f>IFERROR(INDEX(月例!$H$5:$H$788,MATCH("旅費|S|32",月例!$S$5:$S$788,0)),"")</f>
        <v/>
      </c>
      <c r="N149" s="828" t="str">
        <f>IF(M149="","",N148-M149)</f>
        <v/>
      </c>
      <c r="O149" s="829" t="str">
        <f>IFERROR(INDEX(月例!$P$5:$P$788,MATCH("旅費|S|32",月例!$S$5:$S$788,0)),"")</f>
        <v/>
      </c>
      <c r="P149" s="825" t="str">
        <f>IFERROR(INDEX(月例!$A$5:$A$788,MATCH("事務費・雑費|S|32",月例!$S$5:$S$788,0)),"")</f>
        <v/>
      </c>
      <c r="Q149" s="826" t="str">
        <f>IFERROR(INDEX(月例!$E$5:$E$788,MATCH("事務費・雑費|S|32",月例!$S$5:$S$788,0)),"")</f>
        <v/>
      </c>
      <c r="R149" s="827" t="str">
        <f>IFERROR(INDEX(月例!$H$5:$H$788,MATCH("事務費・雑費|S|32",月例!$S$5:$S$788,0)),"")</f>
        <v/>
      </c>
      <c r="S149" s="828" t="str">
        <f>IF(R149="","",S148-R149)</f>
        <v/>
      </c>
      <c r="T149" s="829" t="str">
        <f>IFERROR(INDEX(月例!$P$5:$P$788,MATCH("事務費・雑費|S|32",月例!$S$5:$S$788,0)),"")</f>
        <v/>
      </c>
    </row>
    <row r="150">
      <c r="A150" s="825">
        <f>IFERROR(INDEX(月例!$A$5:$A$788,MATCH("図書印刷費|S|33",月例!$S$5:$S$788,0)),"")</f>
        <v>44985</v>
      </c>
      <c r="B150" s="826" t="str">
        <f>IFERROR(INDEX(月例!$E$5:$E$788,MATCH("図書印刷費|S|33",月例!$S$5:$S$788,0)),"")</f>
        <v>厚生法規総覧追録　５７０３－５７１３号</v>
      </c>
      <c r="C150" s="827">
        <f>IFERROR(INDEX(月例!$H$5:$H$788,MATCH("図書印刷費|S|33",月例!$S$5:$S$788,0)),"")</f>
        <v>33154</v>
      </c>
      <c r="D150" s="828">
        <f>IF(C150="","",D149-C150)</f>
        <v>-737688</v>
      </c>
      <c r="E150" s="829" t="str">
        <f>IFERROR(INDEX(月例!$P$5:$P$788,MATCH("図書印刷費|S|33",月例!$S$5:$S$788,0)),"")</f>
        <v>昨年実績</v>
      </c>
      <c r="F150" s="825" t="str">
        <f>IFERROR(INDEX(月例!$A$5:$A$788,MATCH("送金料|S|33",月例!$S$5:$S$788,0)),"")</f>
        <v/>
      </c>
      <c r="G150" s="826" t="str">
        <f>IFERROR(INDEX(月例!$E$5:$E$788,MATCH("送金料|S|33",月例!$S$5:$S$788,0)),"")</f>
        <v/>
      </c>
      <c r="H150" s="827" t="str">
        <f>IFERROR(INDEX(月例!$H$5:$H$788,MATCH("送金料|S|33",月例!$S$5:$S$788,0)),"")</f>
        <v/>
      </c>
      <c r="I150" s="828" t="str">
        <f>IF(H150="","",I149-H150)</f>
        <v/>
      </c>
      <c r="J150" s="829" t="str">
        <f>IFERROR(INDEX(月例!$P$5:$P$788,MATCH("送金料|S|33",月例!$S$5:$S$788,0)),"")</f>
        <v/>
      </c>
      <c r="K150" s="825" t="str">
        <f>IFERROR(INDEX(月例!$A$5:$A$788,MATCH("旅費|S|33",月例!$S$5:$S$788,0)),"")</f>
        <v/>
      </c>
      <c r="L150" s="826" t="str">
        <f>IFERROR(INDEX(月例!$E$5:$E$788,MATCH("旅費|S|33",月例!$S$5:$S$788,0)),"")</f>
        <v/>
      </c>
      <c r="M150" s="827" t="str">
        <f>IFERROR(INDEX(月例!$H$5:$H$788,MATCH("旅費|S|33",月例!$S$5:$S$788,0)),"")</f>
        <v/>
      </c>
      <c r="N150" s="828" t="str">
        <f>IF(M150="","",N149-M150)</f>
        <v/>
      </c>
      <c r="O150" s="829" t="str">
        <f>IFERROR(INDEX(月例!$P$5:$P$788,MATCH("旅費|S|33",月例!$S$5:$S$788,0)),"")</f>
        <v/>
      </c>
      <c r="P150" s="825" t="str">
        <f>IFERROR(INDEX(月例!$A$5:$A$788,MATCH("事務費・雑費|S|33",月例!$S$5:$S$788,0)),"")</f>
        <v/>
      </c>
      <c r="Q150" s="826" t="str">
        <f>IFERROR(INDEX(月例!$E$5:$E$788,MATCH("事務費・雑費|S|33",月例!$S$5:$S$788,0)),"")</f>
        <v/>
      </c>
      <c r="R150" s="827" t="str">
        <f>IFERROR(INDEX(月例!$H$5:$H$788,MATCH("事務費・雑費|S|33",月例!$S$5:$S$788,0)),"")</f>
        <v/>
      </c>
      <c r="S150" s="828" t="str">
        <f>IF(R150="","",S149-R150)</f>
        <v/>
      </c>
      <c r="T150" s="829" t="str">
        <f>IFERROR(INDEX(月例!$P$5:$P$788,MATCH("事務費・雑費|S|33",月例!$S$5:$S$788,0)),"")</f>
        <v/>
      </c>
    </row>
    <row r="151">
      <c r="A151" s="825">
        <f>IFERROR(INDEX(月例!$A$5:$A$788,MATCH("図書印刷費|S|34",月例!$S$5:$S$788,0)),"")</f>
        <v>43921</v>
      </c>
      <c r="B151" s="826" t="str">
        <f>IFERROR(INDEX(月例!$E$5:$E$788,MATCH("図書印刷費|S|34",月例!$S$5:$S$788,0)),"")</f>
        <v>角２封筒クラフト８５ｇ郵便枠付き・テープ付　３，０００枚</v>
      </c>
      <c r="C151" s="827">
        <f>IFERROR(INDEX(月例!$H$5:$H$788,MATCH("図書印刷費|S|34",月例!$S$5:$S$788,0)),"")</f>
        <v>47300</v>
      </c>
      <c r="D151" s="828">
        <f>IF(C151="","",D150-C151)</f>
        <v>-784988</v>
      </c>
      <c r="E151" s="829" t="str">
        <f>IFERROR(INDEX(月例!$P$5:$P$788,MATCH("図書印刷費|S|34",月例!$S$5:$S$788,0)),"")</f>
        <v>昨年実績</v>
      </c>
      <c r="F151" s="825" t="str">
        <f>IFERROR(INDEX(月例!$A$5:$A$788,MATCH("送金料|S|34",月例!$S$5:$S$788,0)),"")</f>
        <v/>
      </c>
      <c r="G151" s="826" t="str">
        <f>IFERROR(INDEX(月例!$E$5:$E$788,MATCH("送金料|S|34",月例!$S$5:$S$788,0)),"")</f>
        <v/>
      </c>
      <c r="H151" s="827" t="str">
        <f>IFERROR(INDEX(月例!$H$5:$H$788,MATCH("送金料|S|34",月例!$S$5:$S$788,0)),"")</f>
        <v/>
      </c>
      <c r="I151" s="828" t="str">
        <f>IF(H151="","",I150-H151)</f>
        <v/>
      </c>
      <c r="J151" s="829" t="str">
        <f>IFERROR(INDEX(月例!$P$5:$P$788,MATCH("送金料|S|34",月例!$S$5:$S$788,0)),"")</f>
        <v/>
      </c>
      <c r="K151" s="825" t="str">
        <f>IFERROR(INDEX(月例!$A$5:$A$788,MATCH("旅費|S|34",月例!$S$5:$S$788,0)),"")</f>
        <v/>
      </c>
      <c r="L151" s="826" t="str">
        <f>IFERROR(INDEX(月例!$E$5:$E$788,MATCH("旅費|S|34",月例!$S$5:$S$788,0)),"")</f>
        <v/>
      </c>
      <c r="M151" s="827" t="str">
        <f>IFERROR(INDEX(月例!$H$5:$H$788,MATCH("旅費|S|34",月例!$S$5:$S$788,0)),"")</f>
        <v/>
      </c>
      <c r="N151" s="828" t="str">
        <f>IF(M151="","",N150-M151)</f>
        <v/>
      </c>
      <c r="O151" s="829" t="str">
        <f>IFERROR(INDEX(月例!$P$5:$P$788,MATCH("旅費|S|34",月例!$S$5:$S$788,0)),"")</f>
        <v/>
      </c>
    </row>
    <row r="152">
      <c r="A152" s="825">
        <f>IFERROR(INDEX(月例!$A$5:$A$788,MATCH("図書印刷費|S|35",月例!$S$5:$S$788,0)),"")</f>
        <v>46112</v>
      </c>
      <c r="B152" s="826" t="str">
        <f>IFERROR(INDEX(月例!$E$5:$E$788,MATCH("図書印刷費|S|35",月例!$S$5:$S$788,0)),"")</f>
        <v>厚生法規総覧追録　６０７６－６０８５号</v>
      </c>
      <c r="C152" s="827">
        <f>IFERROR(INDEX(月例!$H$5:$H$788,MATCH("図書印刷費|S|35",月例!$S$5:$S$788,0)),"")</f>
        <v>33154</v>
      </c>
      <c r="D152" s="828">
        <f>IF(C152="","",D151-C152)</f>
        <v>-818142</v>
      </c>
      <c r="E152" s="829" t="str">
        <f>IFERROR(INDEX(月例!$P$5:$P$788,MATCH("図書印刷費|S|35",月例!$S$5:$S$788,0)),"")</f>
        <v>昨年実績</v>
      </c>
      <c r="F152" s="825" t="str">
        <f>IFERROR(INDEX(月例!$A$5:$A$788,MATCH("送金料|S|35",月例!$S$5:$S$788,0)),"")</f>
        <v/>
      </c>
      <c r="G152" s="826" t="str">
        <f>IFERROR(INDEX(月例!$E$5:$E$788,MATCH("送金料|S|35",月例!$S$5:$S$788,0)),"")</f>
        <v/>
      </c>
      <c r="H152" s="827" t="str">
        <f>IFERROR(INDEX(月例!$H$5:$H$788,MATCH("送金料|S|35",月例!$S$5:$S$788,0)),"")</f>
        <v/>
      </c>
      <c r="I152" s="828" t="str">
        <f>IF(H152="","",I151-H152)</f>
        <v/>
      </c>
      <c r="J152" s="829" t="str">
        <f>IFERROR(INDEX(月例!$P$5:$P$788,MATCH("送金料|S|35",月例!$S$5:$S$788,0)),"")</f>
        <v/>
      </c>
      <c r="K152" s="825" t="str">
        <f>IFERROR(INDEX(月例!$A$5:$A$788,MATCH("旅費|S|35",月例!$S$5:$S$788,0)),"")</f>
        <v/>
      </c>
      <c r="L152" s="826" t="str">
        <f>IFERROR(INDEX(月例!$E$5:$E$788,MATCH("旅費|S|35",月例!$S$5:$S$788,0)),"")</f>
        <v/>
      </c>
      <c r="M152" s="827" t="str">
        <f>IFERROR(INDEX(月例!$H$5:$H$788,MATCH("旅費|S|35",月例!$S$5:$S$788,0)),"")</f>
        <v/>
      </c>
      <c r="N152" s="828" t="str">
        <f>IF(M152="","",N151-M152)</f>
        <v/>
      </c>
      <c r="O152" s="829" t="str">
        <f>IFERROR(INDEX(月例!$P$5:$P$788,MATCH("旅費|S|35",月例!$S$5:$S$788,0)),"")</f>
        <v/>
      </c>
    </row>
    <row r="153">
      <c r="A153" s="825">
        <f>IFERROR(INDEX(月例!$A$5:$A$788,MATCH("図書印刷費|S|36",月例!$S$5:$S$788,0)),"")</f>
        <v>45380</v>
      </c>
      <c r="B153" s="826" t="str">
        <f>IFERROR(INDEX(月例!$E$5:$E$788,MATCH("図書印刷費|S|36",月例!$S$5:$S$788,0)),"")</f>
        <v>厚生法規総覧追録　５８３６－５８４５号</v>
      </c>
      <c r="C153" s="827">
        <f>IFERROR(INDEX(月例!$H$5:$H$788,MATCH("図書印刷費|S|36",月例!$S$5:$S$788,0)),"")</f>
        <v>33154</v>
      </c>
      <c r="D153" s="828">
        <f>IF(C153="","",D152-C153)</f>
        <v>-851296</v>
      </c>
      <c r="E153" s="829" t="str">
        <f>IFERROR(INDEX(月例!$P$5:$P$788,MATCH("図書印刷費|S|36",月例!$S$5:$S$788,0)),"")</f>
        <v>昨年実績</v>
      </c>
      <c r="F153" s="825" t="str">
        <f>IFERROR(INDEX(月例!$A$5:$A$788,MATCH("送金料|S|36",月例!$S$5:$S$788,0)),"")</f>
        <v/>
      </c>
      <c r="G153" s="826" t="str">
        <f>IFERROR(INDEX(月例!$E$5:$E$788,MATCH("送金料|S|36",月例!$S$5:$S$788,0)),"")</f>
        <v/>
      </c>
      <c r="H153" s="827" t="str">
        <f>IFERROR(INDEX(月例!$H$5:$H$788,MATCH("送金料|S|36",月例!$S$5:$S$788,0)),"")</f>
        <v/>
      </c>
      <c r="I153" s="828" t="str">
        <f>IF(H153="","",I152-H153)</f>
        <v/>
      </c>
      <c r="J153" s="829" t="str">
        <f>IFERROR(INDEX(月例!$P$5:$P$788,MATCH("送金料|S|36",月例!$S$5:$S$788,0)),"")</f>
        <v/>
      </c>
      <c r="K153" s="825" t="str">
        <f>IFERROR(INDEX(月例!$A$5:$A$788,MATCH("旅費|S|36",月例!$S$5:$S$788,0)),"")</f>
        <v/>
      </c>
      <c r="L153" s="826" t="str">
        <f>IFERROR(INDEX(月例!$E$5:$E$788,MATCH("旅費|S|36",月例!$S$5:$S$788,0)),"")</f>
        <v/>
      </c>
      <c r="M153" s="827" t="str">
        <f>IFERROR(INDEX(月例!$H$5:$H$788,MATCH("旅費|S|36",月例!$S$5:$S$788,0)),"")</f>
        <v/>
      </c>
      <c r="N153" s="828" t="str">
        <f>IF(M153="","",N152-M153)</f>
        <v/>
      </c>
      <c r="O153" s="829" t="str">
        <f>IFERROR(INDEX(月例!$P$5:$P$788,MATCH("旅費|S|36",月例!$S$5:$S$788,0)),"")</f>
        <v/>
      </c>
    </row>
    <row r="154">
      <c r="A154" s="825">
        <f>IFERROR(INDEX(月例!$A$5:$A$788,MATCH("図書印刷費|S|37",月例!$S$5:$S$788,0)),"")</f>
        <v>46112</v>
      </c>
      <c r="B154" s="826" t="str">
        <f>IFERROR(INDEX(月例!$E$5:$E$788,MATCH("図書印刷費|S|37",月例!$S$5:$S$788,0)),"")</f>
        <v>資格情報通知書封筒　３，０００枚</v>
      </c>
      <c r="C154" s="827">
        <f>IFERROR(INDEX(月例!$H$5:$H$788,MATCH("図書印刷費|S|37",月例!$S$5:$S$788,0)),"")</f>
        <v>99000</v>
      </c>
      <c r="D154" s="828">
        <f>IF(C154="","",D153-C154)</f>
        <v>-950296</v>
      </c>
      <c r="E154" s="829" t="str">
        <f>IFERROR(INDEX(月例!$P$5:$P$788,MATCH("図書印刷費|S|37",月例!$S$5:$S$788,0)),"")</f>
        <v>昨年実績</v>
      </c>
      <c r="F154" s="825" t="str">
        <f>IFERROR(INDEX(月例!$A$5:$A$788,MATCH("送金料|S|37",月例!$S$5:$S$788,0)),"")</f>
        <v/>
      </c>
      <c r="G154" s="826" t="str">
        <f>IFERROR(INDEX(月例!$E$5:$E$788,MATCH("送金料|S|37",月例!$S$5:$S$788,0)),"")</f>
        <v/>
      </c>
      <c r="H154" s="827" t="str">
        <f>IFERROR(INDEX(月例!$H$5:$H$788,MATCH("送金料|S|37",月例!$S$5:$S$788,0)),"")</f>
        <v/>
      </c>
      <c r="I154" s="828" t="str">
        <f>IF(H154="","",I153-H154)</f>
        <v/>
      </c>
      <c r="J154" s="829" t="str">
        <f>IFERROR(INDEX(月例!$P$5:$P$788,MATCH("送金料|S|37",月例!$S$5:$S$788,0)),"")</f>
        <v/>
      </c>
      <c r="K154" s="825" t="str">
        <f>IFERROR(INDEX(月例!$A$5:$A$788,MATCH("旅費|S|37",月例!$S$5:$S$788,0)),"")</f>
        <v/>
      </c>
      <c r="L154" s="826" t="str">
        <f>IFERROR(INDEX(月例!$E$5:$E$788,MATCH("旅費|S|37",月例!$S$5:$S$788,0)),"")</f>
        <v/>
      </c>
      <c r="M154" s="827" t="str">
        <f>IFERROR(INDEX(月例!$H$5:$H$788,MATCH("旅費|S|37",月例!$S$5:$S$788,0)),"")</f>
        <v/>
      </c>
      <c r="N154" s="828" t="str">
        <f>IF(M154="","",N153-M154)</f>
        <v/>
      </c>
      <c r="O154" s="829" t="str">
        <f>IFERROR(INDEX(月例!$P$5:$P$788,MATCH("旅費|S|37",月例!$S$5:$S$788,0)),"")</f>
        <v/>
      </c>
    </row>
    <row r="155">
      <c r="A155" s="825">
        <f>IFERROR(INDEX(月例!$A$5:$A$788,MATCH("図書印刷費|S|38",月例!$S$5:$S$788,0)),"")</f>
        <v>45016</v>
      </c>
      <c r="B155" s="826" t="str">
        <f>IFERROR(INDEX(月例!$E$5:$E$788,MATCH("図書印刷費|S|38",月例!$S$5:$S$788,0)),"")</f>
        <v>厚生法規総覧追録　５７２５－５７３５号</v>
      </c>
      <c r="C155" s="827">
        <f>IFERROR(INDEX(月例!$H$5:$H$788,MATCH("図書印刷費|S|38",月例!$S$5:$S$788,0)),"")</f>
        <v>33154</v>
      </c>
      <c r="D155" s="828">
        <f>IF(C155="","",D154-C155)</f>
        <v>-983450</v>
      </c>
      <c r="E155" s="829" t="str">
        <f>IFERROR(INDEX(月例!$P$5:$P$788,MATCH("図書印刷費|S|38",月例!$S$5:$S$788,0)),"")</f>
        <v>昨年実績</v>
      </c>
      <c r="F155" s="825" t="str">
        <f>IFERROR(INDEX(月例!$A$5:$A$788,MATCH("送金料|S|38",月例!$S$5:$S$788,0)),"")</f>
        <v/>
      </c>
      <c r="G155" s="826" t="str">
        <f>IFERROR(INDEX(月例!$E$5:$E$788,MATCH("送金料|S|38",月例!$S$5:$S$788,0)),"")</f>
        <v/>
      </c>
      <c r="H155" s="827" t="str">
        <f>IFERROR(INDEX(月例!$H$5:$H$788,MATCH("送金料|S|38",月例!$S$5:$S$788,0)),"")</f>
        <v/>
      </c>
      <c r="I155" s="828" t="str">
        <f>IF(H155="","",I154-H155)</f>
        <v/>
      </c>
      <c r="J155" s="829" t="str">
        <f>IFERROR(INDEX(月例!$P$5:$P$788,MATCH("送金料|S|38",月例!$S$5:$S$788,0)),"")</f>
        <v/>
      </c>
      <c r="K155" s="825" t="str">
        <f>IFERROR(INDEX(月例!$A$5:$A$788,MATCH("旅費|S|38",月例!$S$5:$S$788,0)),"")</f>
        <v/>
      </c>
      <c r="L155" s="826" t="str">
        <f>IFERROR(INDEX(月例!$E$5:$E$788,MATCH("旅費|S|38",月例!$S$5:$S$788,0)),"")</f>
        <v/>
      </c>
      <c r="M155" s="827" t="str">
        <f>IFERROR(INDEX(月例!$H$5:$H$788,MATCH("旅費|S|38",月例!$S$5:$S$788,0)),"")</f>
        <v/>
      </c>
      <c r="N155" s="828" t="str">
        <f>IF(M155="","",N154-M155)</f>
        <v/>
      </c>
      <c r="O155" s="829" t="str">
        <f>IFERROR(INDEX(月例!$P$5:$P$788,MATCH("旅費|S|38",月例!$S$5:$S$788,0)),"")</f>
        <v/>
      </c>
    </row>
    <row r="156">
      <c r="A156" s="825" t="str">
        <f>IFERROR(INDEX(月例!$A$5:$A$788,MATCH("図書印刷費|S|39",月例!$S$5:$S$788,0)),"")</f>
        <v/>
      </c>
      <c r="B156" s="826" t="str">
        <f>IFERROR(INDEX(月例!$E$5:$E$788,MATCH("図書印刷費|S|39",月例!$S$5:$S$788,0)),"")</f>
        <v/>
      </c>
      <c r="C156" s="827" t="str">
        <f>IFERROR(INDEX(月例!$H$5:$H$788,MATCH("図書印刷費|S|39",月例!$S$5:$S$788,0)),"")</f>
        <v/>
      </c>
      <c r="D156" s="828" t="str">
        <f>IF(C156="","",D155-C156)</f>
        <v/>
      </c>
      <c r="E156" s="829" t="str">
        <f>IFERROR(INDEX(月例!$P$5:$P$788,MATCH("図書印刷費|S|39",月例!$S$5:$S$788,0)),"")</f>
        <v/>
      </c>
      <c r="F156" s="825" t="str">
        <f>IFERROR(INDEX(月例!$A$5:$A$788,MATCH("送金料|S|39",月例!$S$5:$S$788,0)),"")</f>
        <v/>
      </c>
      <c r="G156" s="826" t="str">
        <f>IFERROR(INDEX(月例!$E$5:$E$788,MATCH("送金料|S|39",月例!$S$5:$S$788,0)),"")</f>
        <v/>
      </c>
      <c r="H156" s="827" t="str">
        <f>IFERROR(INDEX(月例!$H$5:$H$788,MATCH("送金料|S|39",月例!$S$5:$S$788,0)),"")</f>
        <v/>
      </c>
      <c r="I156" s="828" t="str">
        <f>IF(H156="","",I155-H156)</f>
        <v/>
      </c>
      <c r="J156" s="829" t="str">
        <f>IFERROR(INDEX(月例!$P$5:$P$788,MATCH("送金料|S|39",月例!$S$5:$S$788,0)),"")</f>
        <v/>
      </c>
      <c r="K156" s="825" t="str">
        <f>IFERROR(INDEX(月例!$A$5:$A$788,MATCH("旅費|S|39",月例!$S$5:$S$788,0)),"")</f>
        <v/>
      </c>
      <c r="L156" s="826" t="str">
        <f>IFERROR(INDEX(月例!$E$5:$E$788,MATCH("旅費|S|39",月例!$S$5:$S$788,0)),"")</f>
        <v/>
      </c>
      <c r="M156" s="827" t="str">
        <f>IFERROR(INDEX(月例!$H$5:$H$788,MATCH("旅費|S|39",月例!$S$5:$S$788,0)),"")</f>
        <v/>
      </c>
      <c r="N156" s="828" t="str">
        <f>IF(M156="","",N155-M156)</f>
        <v/>
      </c>
      <c r="O156" s="829" t="str">
        <f>IFERROR(INDEX(月例!$P$5:$P$788,MATCH("旅費|S|39",月例!$S$5:$S$788,0)),"")</f>
        <v/>
      </c>
    </row>
    <row r="157">
      <c r="A157" s="825" t="str">
        <f>IFERROR(INDEX(月例!$A$5:$A$788,MATCH("図書印刷費|S|40",月例!$S$5:$S$788,0)),"")</f>
        <v/>
      </c>
      <c r="B157" s="826" t="str">
        <f>IFERROR(INDEX(月例!$E$5:$E$788,MATCH("図書印刷費|S|40",月例!$S$5:$S$788,0)),"")</f>
        <v/>
      </c>
      <c r="C157" s="827" t="str">
        <f>IFERROR(INDEX(月例!$H$5:$H$788,MATCH("図書印刷費|S|40",月例!$S$5:$S$788,0)),"")</f>
        <v/>
      </c>
      <c r="D157" s="828" t="str">
        <f>IF(C157="","",D156-C157)</f>
        <v/>
      </c>
      <c r="E157" s="829" t="str">
        <f>IFERROR(INDEX(月例!$P$5:$P$788,MATCH("図書印刷費|S|40",月例!$S$5:$S$788,0)),"")</f>
        <v/>
      </c>
      <c r="F157" s="825" t="str">
        <f>IFERROR(INDEX(月例!$A$5:$A$788,MATCH("送金料|S|40",月例!$S$5:$S$788,0)),"")</f>
        <v/>
      </c>
      <c r="G157" s="826" t="str">
        <f>IFERROR(INDEX(月例!$E$5:$E$788,MATCH("送金料|S|40",月例!$S$5:$S$788,0)),"")</f>
        <v/>
      </c>
      <c r="H157" s="827" t="str">
        <f>IFERROR(INDEX(月例!$H$5:$H$788,MATCH("送金料|S|40",月例!$S$5:$S$788,0)),"")</f>
        <v/>
      </c>
      <c r="I157" s="828" t="str">
        <f>IF(H157="","",I156-H157)</f>
        <v/>
      </c>
      <c r="J157" s="829" t="str">
        <f>IFERROR(INDEX(月例!$P$5:$P$788,MATCH("送金料|S|40",月例!$S$5:$S$788,0)),"")</f>
        <v/>
      </c>
      <c r="K157" s="825" t="str">
        <f>IFERROR(INDEX(月例!$A$5:$A$788,MATCH("旅費|S|40",月例!$S$5:$S$788,0)),"")</f>
        <v/>
      </c>
      <c r="L157" s="826" t="str">
        <f>IFERROR(INDEX(月例!$E$5:$E$788,MATCH("旅費|S|40",月例!$S$5:$S$788,0)),"")</f>
        <v/>
      </c>
      <c r="M157" s="827" t="str">
        <f>IFERROR(INDEX(月例!$H$5:$H$788,MATCH("旅費|S|40",月例!$S$5:$S$788,0)),"")</f>
        <v/>
      </c>
      <c r="N157" s="828" t="str">
        <f>IF(M157="","",N156-M157)</f>
        <v/>
      </c>
      <c r="O157" s="829" t="str">
        <f>IFERROR(INDEX(月例!$P$5:$P$788,MATCH("旅費|S|40",月例!$S$5:$S$788,0)),"")</f>
        <v/>
      </c>
    </row>
    <row r="158">
      <c r="A158" s="825" t="str">
        <f>IFERROR(INDEX(月例!$A$5:$A$788,MATCH("図書印刷費|S|41",月例!$S$5:$S$788,0)),"")</f>
        <v/>
      </c>
      <c r="B158" s="826" t="str">
        <f>IFERROR(INDEX(月例!$E$5:$E$788,MATCH("図書印刷費|S|41",月例!$S$5:$S$788,0)),"")</f>
        <v/>
      </c>
      <c r="C158" s="827" t="str">
        <f>IFERROR(INDEX(月例!$H$5:$H$788,MATCH("図書印刷費|S|41",月例!$S$5:$S$788,0)),"")</f>
        <v/>
      </c>
      <c r="D158" s="828" t="str">
        <f>IF(C158="","",D157-C158)</f>
        <v/>
      </c>
      <c r="E158" s="829" t="str">
        <f>IFERROR(INDEX(月例!$P$5:$P$788,MATCH("図書印刷費|S|41",月例!$S$5:$S$788,0)),"")</f>
        <v/>
      </c>
    </row>
    <row r="159">
      <c r="A159" s="825" t="str">
        <f>IFERROR(INDEX(月例!$A$5:$A$788,MATCH("図書印刷費|S|42",月例!$S$5:$S$788,0)),"")</f>
        <v/>
      </c>
      <c r="B159" s="826" t="str">
        <f>IFERROR(INDEX(月例!$E$5:$E$788,MATCH("図書印刷費|S|42",月例!$S$5:$S$788,0)),"")</f>
        <v/>
      </c>
      <c r="C159" s="827" t="str">
        <f>IFERROR(INDEX(月例!$H$5:$H$788,MATCH("図書印刷費|S|42",月例!$S$5:$S$788,0)),"")</f>
        <v/>
      </c>
      <c r="D159" s="828" t="str">
        <f>IF(C159="","",D158-C159)</f>
        <v/>
      </c>
      <c r="E159" s="829" t="str">
        <f>IFERROR(INDEX(月例!$P$5:$P$788,MATCH("図書印刷費|S|42",月例!$S$5:$S$788,0)),"")</f>
        <v/>
      </c>
    </row>
    <row r="160">
      <c r="A160" s="825" t="str">
        <f>IFERROR(INDEX(月例!$A$5:$A$788,MATCH("図書印刷費|S|43",月例!$S$5:$S$788,0)),"")</f>
        <v/>
      </c>
      <c r="B160" s="826" t="str">
        <f>IFERROR(INDEX(月例!$E$5:$E$788,MATCH("図書印刷費|S|43",月例!$S$5:$S$788,0)),"")</f>
        <v/>
      </c>
      <c r="C160" s="827" t="str">
        <f>IFERROR(INDEX(月例!$H$5:$H$788,MATCH("図書印刷費|S|43",月例!$S$5:$S$788,0)),"")</f>
        <v/>
      </c>
      <c r="D160" s="828" t="str">
        <f>IF(C160="","",D159-C160)</f>
        <v/>
      </c>
      <c r="E160" s="829" t="str">
        <f>IFERROR(INDEX(月例!$P$5:$P$788,MATCH("図書印刷費|S|43",月例!$S$5:$S$788,0)),"")</f>
        <v/>
      </c>
    </row>
    <row r="161">
      <c r="A161" s="825" t="str">
        <f>IFERROR(INDEX(月例!$A$5:$A$788,MATCH("図書印刷費|S|44",月例!$S$5:$S$788,0)),"")</f>
        <v/>
      </c>
      <c r="B161" s="826" t="str">
        <f>IFERROR(INDEX(月例!$E$5:$E$788,MATCH("図書印刷費|S|44",月例!$S$5:$S$788,0)),"")</f>
        <v/>
      </c>
      <c r="C161" s="827" t="str">
        <f>IFERROR(INDEX(月例!$H$5:$H$788,MATCH("図書印刷費|S|44",月例!$S$5:$S$788,0)),"")</f>
        <v/>
      </c>
      <c r="D161" s="828" t="str">
        <f>IF(C161="","",D160-C161)</f>
        <v/>
      </c>
      <c r="E161" s="829" t="str">
        <f>IFERROR(INDEX(月例!$P$5:$P$788,MATCH("図書印刷費|S|44",月例!$S$5:$S$788,0)),"")</f>
        <v/>
      </c>
    </row>
    <row r="162">
      <c r="A162" s="825" t="str">
        <f>IFERROR(INDEX(月例!$A$5:$A$788,MATCH("図書印刷費|S|45",月例!$S$5:$S$788,0)),"")</f>
        <v/>
      </c>
      <c r="B162" s="826" t="str">
        <f>IFERROR(INDEX(月例!$E$5:$E$788,MATCH("図書印刷費|S|45",月例!$S$5:$S$788,0)),"")</f>
        <v/>
      </c>
      <c r="C162" s="827" t="str">
        <f>IFERROR(INDEX(月例!$H$5:$H$788,MATCH("図書印刷費|S|45",月例!$S$5:$S$788,0)),"")</f>
        <v/>
      </c>
      <c r="D162" s="828" t="str">
        <f>IF(C162="","",D161-C162)</f>
        <v/>
      </c>
      <c r="E162" s="829" t="str">
        <f>IFERROR(INDEX(月例!$P$5:$P$788,MATCH("図書印刷費|S|45",月例!$S$5:$S$788,0)),"")</f>
        <v/>
      </c>
    </row>
    <row r="163">
      <c r="A163" s="825" t="str">
        <f>IFERROR(INDEX(月例!$A$5:$A$788,MATCH("図書印刷費|S|46",月例!$S$5:$S$788,0)),"")</f>
        <v/>
      </c>
      <c r="B163" s="826" t="str">
        <f>IFERROR(INDEX(月例!$E$5:$E$788,MATCH("図書印刷費|S|46",月例!$S$5:$S$788,0)),"")</f>
        <v/>
      </c>
      <c r="C163" s="827" t="str">
        <f>IFERROR(INDEX(月例!$H$5:$H$788,MATCH("図書印刷費|S|46",月例!$S$5:$S$788,0)),"")</f>
        <v/>
      </c>
      <c r="D163" s="828" t="str">
        <f>IF(C163="","",D162-C163)</f>
        <v/>
      </c>
      <c r="E163" s="829" t="str">
        <f>IFERROR(INDEX(月例!$P$5:$P$788,MATCH("図書印刷費|S|46",月例!$S$5:$S$788,0)),"")</f>
        <v/>
      </c>
    </row>
    <row r="164">
      <c r="A164" s="825" t="str">
        <f>IFERROR(INDEX(月例!$A$5:$A$788,MATCH("図書印刷費|S|47",月例!$S$5:$S$788,0)),"")</f>
        <v/>
      </c>
      <c r="B164" s="826" t="str">
        <f>IFERROR(INDEX(月例!$E$5:$E$788,MATCH("図書印刷費|S|47",月例!$S$5:$S$788,0)),"")</f>
        <v/>
      </c>
      <c r="C164" s="827" t="str">
        <f>IFERROR(INDEX(月例!$H$5:$H$788,MATCH("図書印刷費|S|47",月例!$S$5:$S$788,0)),"")</f>
        <v/>
      </c>
      <c r="D164" s="828" t="str">
        <f>IF(C164="","",D163-C164)</f>
        <v/>
      </c>
      <c r="E164" s="829" t="str">
        <f>IFERROR(INDEX(月例!$P$5:$P$788,MATCH("図書印刷費|S|47",月例!$S$5:$S$788,0)),"")</f>
        <v/>
      </c>
    </row>
    <row r="165">
      <c r="A165" s="825" t="str">
        <f>IFERROR(INDEX(月例!$A$5:$A$788,MATCH("図書印刷費|S|48",月例!$S$5:$S$788,0)),"")</f>
        <v/>
      </c>
      <c r="B165" s="826" t="str">
        <f>IFERROR(INDEX(月例!$E$5:$E$788,MATCH("図書印刷費|S|48",月例!$S$5:$S$788,0)),"")</f>
        <v/>
      </c>
      <c r="C165" s="827" t="str">
        <f>IFERROR(INDEX(月例!$H$5:$H$788,MATCH("図書印刷費|S|48",月例!$S$5:$S$788,0)),"")</f>
        <v/>
      </c>
      <c r="D165" s="828" t="str">
        <f>IF(C165="","",D164-C165)</f>
        <v/>
      </c>
      <c r="E165" s="829" t="str">
        <f>IFERROR(INDEX(月例!$P$5:$P$788,MATCH("図書印刷費|S|48",月例!$S$5:$S$788,0)),"")</f>
        <v/>
      </c>
    </row>
    <row r="166">
      <c r="A166" s="825" t="str">
        <f>IFERROR(INDEX(月例!$A$5:$A$788,MATCH("図書印刷費|S|49",月例!$S$5:$S$788,0)),"")</f>
        <v/>
      </c>
      <c r="B166" s="826" t="str">
        <f>IFERROR(INDEX(月例!$E$5:$E$788,MATCH("図書印刷費|S|49",月例!$S$5:$S$788,0)),"")</f>
        <v/>
      </c>
      <c r="C166" s="827" t="str">
        <f>IFERROR(INDEX(月例!$H$5:$H$788,MATCH("図書印刷費|S|49",月例!$S$5:$S$788,0)),"")</f>
        <v/>
      </c>
      <c r="D166" s="828" t="str">
        <f>IF(C166="","",D165-C166)</f>
        <v/>
      </c>
      <c r="E166" s="829" t="str">
        <f>IFERROR(INDEX(月例!$P$5:$P$788,MATCH("図書印刷費|S|49",月例!$S$5:$S$788,0)),"")</f>
        <v/>
      </c>
    </row>
    <row r="167">
      <c r="A167" s="825" t="str">
        <f>IFERROR(INDEX(月例!$A$5:$A$788,MATCH("図書印刷費|S|50",月例!$S$5:$S$788,0)),"")</f>
        <v/>
      </c>
      <c r="B167" s="826" t="str">
        <f>IFERROR(INDEX(月例!$E$5:$E$788,MATCH("図書印刷費|S|50",月例!$S$5:$S$788,0)),"")</f>
        <v/>
      </c>
      <c r="C167" s="827" t="str">
        <f>IFERROR(INDEX(月例!$H$5:$H$788,MATCH("図書印刷費|S|50",月例!$S$5:$S$788,0)),"")</f>
        <v/>
      </c>
      <c r="D167" s="828" t="str">
        <f>IF(C167="","",D166-C167)</f>
        <v/>
      </c>
      <c r="E167" s="829" t="str">
        <f>IFERROR(INDEX(月例!$P$5:$P$788,MATCH("図書印刷費|S|50",月例!$S$5:$S$788,0)),"")</f>
        <v/>
      </c>
    </row>
    <row r="168">
      <c r="A168" s="825" t="str">
        <f>IFERROR(INDEX(月例!$A$5:$A$788,MATCH("図書印刷費|S|51",月例!$S$5:$S$788,0)),"")</f>
        <v/>
      </c>
      <c r="B168" s="826" t="str">
        <f>IFERROR(INDEX(月例!$E$5:$E$788,MATCH("図書印刷費|S|51",月例!$S$5:$S$788,0)),"")</f>
        <v/>
      </c>
      <c r="C168" s="827" t="str">
        <f>IFERROR(INDEX(月例!$H$5:$H$788,MATCH("図書印刷費|S|51",月例!$S$5:$S$788,0)),"")</f>
        <v/>
      </c>
      <c r="D168" s="828" t="str">
        <f>IF(C168="","",D167-C168)</f>
        <v/>
      </c>
      <c r="E168" s="829" t="str">
        <f>IFERROR(INDEX(月例!$P$5:$P$788,MATCH("図書印刷費|S|51",月例!$S$5:$S$788,0)),"")</f>
        <v/>
      </c>
    </row>
    <row r="169">
      <c r="A169" s="825" t="str">
        <f>IFERROR(INDEX(月例!$A$5:$A$788,MATCH("図書印刷費|S|52",月例!$S$5:$S$788,0)),"")</f>
        <v/>
      </c>
      <c r="B169" s="826" t="str">
        <f>IFERROR(INDEX(月例!$E$5:$E$788,MATCH("図書印刷費|S|52",月例!$S$5:$S$788,0)),"")</f>
        <v/>
      </c>
      <c r="C169" s="827" t="str">
        <f>IFERROR(INDEX(月例!$H$5:$H$788,MATCH("図書印刷費|S|52",月例!$S$5:$S$788,0)),"")</f>
        <v/>
      </c>
      <c r="D169" s="828" t="str">
        <f>IF(C169="","",D168-C169)</f>
        <v/>
      </c>
      <c r="E169" s="829" t="str">
        <f>IFERROR(INDEX(月例!$P$5:$P$788,MATCH("図書印刷費|S|52",月例!$S$5:$S$788,0)),"")</f>
        <v/>
      </c>
    </row>
    <row r="170">
      <c r="A170" s="825" t="str">
        <f>IFERROR(INDEX(月例!$A$5:$A$788,MATCH("図書印刷費|S|53",月例!$S$5:$S$788,0)),"")</f>
        <v/>
      </c>
      <c r="B170" s="826" t="str">
        <f>IFERROR(INDEX(月例!$E$5:$E$788,MATCH("図書印刷費|S|53",月例!$S$5:$S$788,0)),"")</f>
        <v/>
      </c>
      <c r="C170" s="827" t="str">
        <f>IFERROR(INDEX(月例!$H$5:$H$788,MATCH("図書印刷費|S|53",月例!$S$5:$S$788,0)),"")</f>
        <v/>
      </c>
      <c r="D170" s="828" t="str">
        <f>IF(C170="","",D169-C170)</f>
        <v/>
      </c>
      <c r="E170" s="829" t="str">
        <f>IFERROR(INDEX(月例!$P$5:$P$788,MATCH("図書印刷費|S|53",月例!$S$5:$S$788,0)),"")</f>
        <v/>
      </c>
    </row>
    <row r="171">
      <c r="A171" s="825" t="str">
        <f>IFERROR(INDEX(月例!$A$5:$A$788,MATCH("図書印刷費|S|54",月例!$S$5:$S$788,0)),"")</f>
        <v/>
      </c>
      <c r="B171" s="826" t="str">
        <f>IFERROR(INDEX(月例!$E$5:$E$788,MATCH("図書印刷費|S|54",月例!$S$5:$S$788,0)),"")</f>
        <v/>
      </c>
      <c r="C171" s="827" t="str">
        <f>IFERROR(INDEX(月例!$H$5:$H$788,MATCH("図書印刷費|S|54",月例!$S$5:$S$788,0)),"")</f>
        <v/>
      </c>
      <c r="D171" s="828" t="str">
        <f>IF(C171="","",D170-C171)</f>
        <v/>
      </c>
      <c r="E171" s="829" t="str">
        <f>IFERROR(INDEX(月例!$P$5:$P$788,MATCH("図書印刷費|S|54",月例!$S$5:$S$788,0)),"")</f>
        <v/>
      </c>
    </row>
    <row r="172">
      <c r="A172" s="825" t="str">
        <f>IFERROR(INDEX(月例!$A$5:$A$788,MATCH("図書印刷費|S|55",月例!$S$5:$S$788,0)),"")</f>
        <v/>
      </c>
      <c r="B172" s="826" t="str">
        <f>IFERROR(INDEX(月例!$E$5:$E$788,MATCH("図書印刷費|S|55",月例!$S$5:$S$788,0)),"")</f>
        <v/>
      </c>
      <c r="C172" s="827" t="str">
        <f>IFERROR(INDEX(月例!$H$5:$H$788,MATCH("図書印刷費|S|55",月例!$S$5:$S$788,0)),"")</f>
        <v/>
      </c>
      <c r="D172" s="828" t="str">
        <f>IF(C172="","",D171-C172)</f>
        <v/>
      </c>
      <c r="E172" s="829" t="str">
        <f>IFERROR(INDEX(月例!$P$5:$P$788,MATCH("図書印刷費|S|55",月例!$S$5:$S$788,0)),"")</f>
        <v/>
      </c>
    </row>
    <row r="173">
      <c r="A173" s="825" t="str">
        <f>IFERROR(INDEX(月例!$A$5:$A$788,MATCH("図書印刷費|S|56",月例!$S$5:$S$788,0)),"")</f>
        <v/>
      </c>
      <c r="B173" s="826" t="str">
        <f>IFERROR(INDEX(月例!$E$5:$E$788,MATCH("図書印刷費|S|56",月例!$S$5:$S$788,0)),"")</f>
        <v/>
      </c>
      <c r="C173" s="827" t="str">
        <f>IFERROR(INDEX(月例!$H$5:$H$788,MATCH("図書印刷費|S|56",月例!$S$5:$S$788,0)),"")</f>
        <v/>
      </c>
      <c r="D173" s="828" t="str">
        <f>IF(C173="","",D172-C173)</f>
        <v/>
      </c>
      <c r="E173" s="829" t="str">
        <f>IFERROR(INDEX(月例!$P$5:$P$788,MATCH("図書印刷費|S|56",月例!$S$5:$S$788,0)),"")</f>
        <v/>
      </c>
    </row>
    <row r="174">
      <c r="A174" s="825" t="str">
        <f>IFERROR(INDEX(月例!$A$5:$A$788,MATCH("図書印刷費|S|57",月例!$S$5:$S$788,0)),"")</f>
        <v/>
      </c>
      <c r="B174" s="826" t="str">
        <f>IFERROR(INDEX(月例!$E$5:$E$788,MATCH("図書印刷費|S|57",月例!$S$5:$S$788,0)),"")</f>
        <v/>
      </c>
      <c r="C174" s="827" t="str">
        <f>IFERROR(INDEX(月例!$H$5:$H$788,MATCH("図書印刷費|S|57",月例!$S$5:$S$788,0)),"")</f>
        <v/>
      </c>
      <c r="D174" s="828" t="str">
        <f>IF(C174="","",D173-C174)</f>
        <v/>
      </c>
      <c r="E174" s="829" t="str">
        <f>IFERROR(INDEX(月例!$P$5:$P$788,MATCH("図書印刷費|S|57",月例!$S$5:$S$788,0)),"")</f>
        <v/>
      </c>
    </row>
    <row r="175">
      <c r="A175" s="825" t="str">
        <f>IFERROR(INDEX(月例!$A$5:$A$788,MATCH("図書印刷費|S|58",月例!$S$5:$S$788,0)),"")</f>
        <v/>
      </c>
      <c r="B175" s="826" t="str">
        <f>IFERROR(INDEX(月例!$E$5:$E$788,MATCH("図書印刷費|S|58",月例!$S$5:$S$788,0)),"")</f>
        <v/>
      </c>
      <c r="C175" s="827" t="str">
        <f>IFERROR(INDEX(月例!$H$5:$H$788,MATCH("図書印刷費|S|58",月例!$S$5:$S$788,0)),"")</f>
        <v/>
      </c>
      <c r="D175" s="828" t="str">
        <f>IF(C175="","",D174-C175)</f>
        <v/>
      </c>
      <c r="E175" s="829" t="str">
        <f>IFERROR(INDEX(月例!$P$5:$P$788,MATCH("図書印刷費|S|58",月例!$S$5:$S$788,0)),"")</f>
        <v/>
      </c>
    </row>
    <row r="179">
      <c r="B179" s="502" t="inlineStr">
        <is>
          <t>○職員給与  非常勤職員手当</t>
        </is>
      </c>
      <c r="D179" s="503" t="inlineStr">
        <is>
          <t>業務（短）</t>
        </is>
      </c>
      <c r="E179" s="824" t="str">
        <f>IF(COUNTIF(月例!$S$5:$S$788,"非常勤職員手当|S|*")&gt;28,"行不足","")</f>
        <v/>
      </c>
      <c r="G179" s="502" t="inlineStr">
        <is>
          <t>○負担金  共済負担金等</t>
        </is>
      </c>
      <c r="I179" s="503" t="inlineStr">
        <is>
          <t>業務（短）</t>
        </is>
      </c>
      <c r="J179" s="824" t="str">
        <f>IF(COUNTIF(月例!$S$5:$S$788,"共済負担金等|S|*")&gt;28,"行不足","")</f>
        <v/>
      </c>
      <c r="L179" s="502" t="inlineStr">
        <is>
          <t>○負担金  互助会費</t>
        </is>
      </c>
      <c r="N179" s="503" t="inlineStr">
        <is>
          <t>業務（短）</t>
        </is>
      </c>
      <c r="O179" s="824" t="str">
        <f>IF(COUNTIF(月例!$S$5:$S$788,"互助会費|S|*")&gt;25,"行不足","")</f>
        <v/>
      </c>
      <c r="Q179" s="502" t="inlineStr">
        <is>
          <t>○賃金</t>
        </is>
      </c>
      <c r="S179" s="503" t="inlineStr">
        <is>
          <t>業務（短）</t>
        </is>
      </c>
      <c r="T179" s="824" t="str">
        <f>IF(COUNTIF(月例!$S$5:$S$788,"賃金|S|*")&gt;23,"行不足","")</f>
        <v/>
      </c>
    </row>
    <row r="180">
      <c r="A180" s="100" t="inlineStr">
        <is>
          <t>支出日</t>
        </is>
      </c>
      <c r="B180" s="100" t="inlineStr">
        <is>
          <t>摘要</t>
        </is>
      </c>
      <c r="C180" s="100" t="inlineStr">
        <is>
          <t>支出</t>
        </is>
      </c>
      <c r="D180" s="100" t="inlineStr">
        <is>
          <t>残額</t>
        </is>
      </c>
      <c r="E180" s="100" t="inlineStr">
        <is>
          <t>状態</t>
        </is>
      </c>
      <c r="F180" s="100" t="inlineStr">
        <is>
          <t>支出日</t>
        </is>
      </c>
      <c r="G180" s="100" t="inlineStr">
        <is>
          <t>摘要</t>
        </is>
      </c>
      <c r="H180" s="100" t="inlineStr">
        <is>
          <t>支出</t>
        </is>
      </c>
      <c r="I180" s="100" t="inlineStr">
        <is>
          <t>累計</t>
        </is>
      </c>
      <c r="J180" s="100" t="inlineStr">
        <is>
          <t>状態</t>
        </is>
      </c>
      <c r="K180" s="100" t="inlineStr">
        <is>
          <t>支出日</t>
        </is>
      </c>
      <c r="L180" s="100" t="inlineStr">
        <is>
          <t>摘要</t>
        </is>
      </c>
      <c r="M180" s="100" t="inlineStr">
        <is>
          <t>支出</t>
        </is>
      </c>
      <c r="N180" s="100" t="inlineStr">
        <is>
          <t>残額</t>
        </is>
      </c>
      <c r="O180" s="100" t="inlineStr">
        <is>
          <t>状態</t>
        </is>
      </c>
      <c r="P180" s="100" t="inlineStr">
        <is>
          <t>支出日</t>
        </is>
      </c>
      <c r="Q180" s="100" t="inlineStr">
        <is>
          <t>摘要</t>
        </is>
      </c>
      <c r="R180" s="100" t="inlineStr">
        <is>
          <t>支出</t>
        </is>
      </c>
      <c r="S180" s="100" t="inlineStr">
        <is>
          <t>残額</t>
        </is>
      </c>
      <c r="T180" s="100" t="inlineStr">
        <is>
          <t>状態</t>
        </is>
      </c>
    </row>
    <row r="181">
      <c r="A181" s="825" t="n"/>
      <c r="B181" s="826" t="inlineStr">
        <is>
          <t>予算現額</t>
        </is>
      </c>
      <c r="C181" s="827" t="n"/>
      <c r="D181" s="828">
        <f>'R7業務 (短)'!$S$7</f>
        <v>4381000</v>
      </c>
      <c r="F181" s="825" t="n"/>
      <c r="G181" s="826" t="inlineStr">
        <is>
          <t>（予算なし）</t>
        </is>
      </c>
      <c r="H181" s="827" t="n"/>
      <c r="I181" s="828" t="n">
        <v>0</v>
      </c>
      <c r="K181" s="825" t="n"/>
      <c r="L181" s="826" t="inlineStr">
        <is>
          <t>予算現額</t>
        </is>
      </c>
      <c r="M181" s="827" t="n"/>
      <c r="N181" s="828">
        <f>'R7業務 (短)'!$S$27</f>
        <v>1665000</v>
      </c>
      <c r="P181" s="825" t="n"/>
      <c r="Q181" s="826" t="inlineStr">
        <is>
          <t>予算現額</t>
        </is>
      </c>
      <c r="R181" s="827" t="n"/>
      <c r="S181" s="828">
        <f>'R7業務 (短)'!$S$19</f>
        <v>5520000</v>
      </c>
    </row>
    <row r="182">
      <c r="A182" s="825">
        <f>IFERROR(INDEX(月例!$A$5:$A$788,MATCH("非常勤職員手当|S|1",月例!$S$5:$S$788,0)),"")</f>
        <v>46133</v>
      </c>
      <c r="B182" s="826" t="str">
        <f>IFERROR(INDEX(月例!$E$5:$E$788,MATCH("非常勤職員手当|S|1",月例!$S$5:$S$788,0)),"")</f>
        <v>４月分給与（短期分）3月時間外除く</v>
      </c>
      <c r="C182" s="827">
        <f>IFERROR(INDEX(月例!$H$5:$H$788,MATCH("非常勤職員手当|S|1",月例!$S$5:$S$788,0)),"")</f>
        <v>317340</v>
      </c>
      <c r="D182" s="828">
        <f>IF(C182="","",D181-C182)</f>
        <v>4063660</v>
      </c>
      <c r="E182" s="829" t="str">
        <f>IFERROR(INDEX(月例!$P$5:$P$788,MATCH("非常勤職員手当|S|1",月例!$S$5:$S$788,0)),"")</f>
        <v>確認済</v>
      </c>
      <c r="F182" s="825">
        <f>IFERROR(INDEX(月例!$A$5:$A$788,MATCH("共済負担金等|S|1",月例!$S$5:$S$788,0)),"")</f>
        <v>46139</v>
      </c>
      <c r="G182" s="826" t="str">
        <f>IFERROR(INDEX(月例!$E$5:$E$788,MATCH("共済負担金等|S|1",月例!$S$5:$S$788,0)),"")</f>
        <v>共済短期・介護・子ども子育て負担金（4月月例分）短期</v>
      </c>
      <c r="H182" s="827">
        <f>IFERROR(INDEX(月例!$H$5:$H$788,MATCH("共済負担金等|S|1",月例!$S$5:$S$788,0)),"")</f>
        <v>37074</v>
      </c>
      <c r="I182" s="828">
        <f>IF(H182="","",I181+H182)</f>
        <v>37074</v>
      </c>
      <c r="J182" s="829" t="str">
        <f>IFERROR(INDEX(月例!$P$5:$P$788,MATCH("共済負担金等|S|1",月例!$S$5:$S$788,0)),"")</f>
        <v>確認済</v>
      </c>
      <c r="K182" s="825">
        <f>IFERROR(INDEX(月例!$A$5:$A$788,MATCH("互助会費|S|1",月例!$S$5:$S$788,0)),"")</f>
        <v>46133</v>
      </c>
      <c r="L182" s="826" t="str">
        <f>IFERROR(INDEX(月例!$E$5:$E$788,MATCH("互助会費|S|1",月例!$S$5:$S$788,0)),"")</f>
        <v>助成金（４月短期分）</v>
      </c>
      <c r="M182" s="827">
        <f>IFERROR(INDEX(月例!$H$5:$H$788,MATCH("互助会費|S|1",月例!$S$5:$S$788,0)),"")</f>
        <v>240</v>
      </c>
      <c r="N182" s="828">
        <f>IF(M182="","",N181-M182)</f>
        <v>1664760</v>
      </c>
      <c r="O182" s="829" t="str">
        <f>IFERROR(INDEX(月例!$P$5:$P$788,MATCH("互助会費|S|1",月例!$S$5:$S$788,0)),"")</f>
        <v>確認済</v>
      </c>
      <c r="P182" s="825">
        <f>IFERROR(INDEX(月例!$A$5:$A$788,MATCH("賃金|S|1",月例!$S$5:$S$788,0)),"")</f>
        <v>46157</v>
      </c>
      <c r="Q182" s="826" t="str">
        <f>IFERROR(INDEX(月例!$E$5:$E$788,MATCH("賃金|S|1",月例!$S$5:$S$788,0)),"")</f>
        <v>臨時職員賃金４月分　天畠吏梨外1名分（短期１００％）</v>
      </c>
      <c r="R182" s="827">
        <f>IFERROR(INDEX(月例!$H$5:$H$788,MATCH("賃金|S|1",月例!$S$5:$S$788,0)),"")</f>
        <v>425880</v>
      </c>
      <c r="S182" s="828">
        <f>IF(R182="","",S181-R182)</f>
        <v>5094120</v>
      </c>
      <c r="T182" s="829" t="str">
        <f>IFERROR(INDEX(月例!$P$5:$P$788,MATCH("賃金|S|1",月例!$S$5:$S$788,0)),"")</f>
        <v>確認済</v>
      </c>
    </row>
    <row r="183">
      <c r="A183" s="825">
        <f>IFERROR(INDEX(月例!$A$5:$A$788,MATCH("非常勤職員手当|S|2",月例!$S$5:$S$788,0)),"")</f>
        <v>46163</v>
      </c>
      <c r="B183" s="826" t="str">
        <f>IFERROR(INDEX(月例!$E$5:$E$788,MATCH("非常勤職員手当|S|2",月例!$S$5:$S$788,0)),"")</f>
        <v>５月分給与（短期分）</v>
      </c>
      <c r="C183" s="827">
        <f>IFERROR(INDEX(月例!$H$5:$H$788,MATCH("非常勤職員手当|S|2",月例!$S$5:$S$788,0)),"")</f>
        <v>248436</v>
      </c>
      <c r="D183" s="828">
        <f>IF(C183="","",D182-C183)</f>
        <v>3815224</v>
      </c>
      <c r="E183" s="829" t="str">
        <f>IFERROR(INDEX(月例!$P$5:$P$788,MATCH("非常勤職員手当|S|2",月例!$S$5:$S$788,0)),"")</f>
        <v>確認済</v>
      </c>
      <c r="F183" s="825">
        <f>IFERROR(INDEX(月例!$A$5:$A$788,MATCH("共済負担金等|S|2",月例!$S$5:$S$788,0)),"")</f>
        <v>46169</v>
      </c>
      <c r="G183" s="826" t="str">
        <f>IFERROR(INDEX(月例!$E$5:$E$788,MATCH("共済負担金等|S|2",月例!$S$5:$S$788,0)),"")</f>
        <v>共済短期・介護負担金（5月月例分）短期</v>
      </c>
      <c r="H183" s="827">
        <f>IFERROR(INDEX(月例!$H$5:$H$788,MATCH("共済負担金等|S|2",月例!$S$5:$S$788,0)),"")</f>
        <v>37074</v>
      </c>
      <c r="I183" s="828">
        <f>IF(H183="","",I182+H183)</f>
        <v>74148</v>
      </c>
      <c r="J183" s="829" t="str">
        <f>IFERROR(INDEX(月例!$P$5:$P$788,MATCH("共済負担金等|S|2",月例!$S$5:$S$788,0)),"")</f>
        <v>確認済</v>
      </c>
      <c r="K183" s="825">
        <f>IFERROR(INDEX(月例!$A$5:$A$788,MATCH("互助会費|S|2",月例!$S$5:$S$788,0)),"")</f>
        <v>46163</v>
      </c>
      <c r="L183" s="826" t="str">
        <f>IFERROR(INDEX(月例!$E$5:$E$788,MATCH("互助会費|S|2",月例!$S$5:$S$788,0)),"")</f>
        <v>助成金（５月短期分）</v>
      </c>
      <c r="M183" s="827">
        <f>IFERROR(INDEX(月例!$H$5:$H$788,MATCH("互助会費|S|2",月例!$S$5:$S$788,0)),"")</f>
        <v>240</v>
      </c>
      <c r="N183" s="828">
        <f>IF(M183="","",N182-M183)</f>
        <v>1664520</v>
      </c>
      <c r="O183" s="829" t="str">
        <f>IFERROR(INDEX(月例!$P$5:$P$788,MATCH("互助会費|S|2",月例!$S$5:$S$788,0)),"")</f>
        <v>確認済</v>
      </c>
      <c r="P183" s="825">
        <f>IFERROR(INDEX(月例!$A$5:$A$788,MATCH("賃金|S|2",月例!$S$5:$S$788,0)),"")</f>
        <v>46188</v>
      </c>
      <c r="Q183" s="826" t="str">
        <f>IFERROR(INDEX(月例!$E$5:$E$788,MATCH("賃金|S|2",月例!$S$5:$S$788,0)),"")</f>
        <v>臨時職員賃金５月分　天畠吏梨外１名分（短期１００％）</v>
      </c>
      <c r="R183" s="827">
        <f>IFERROR(INDEX(月例!$H$5:$H$788,MATCH("賃金|S|2",月例!$S$5:$S$788,0)),"")</f>
        <v>365040</v>
      </c>
      <c r="S183" s="828">
        <f>IF(R183="","",S182-R183)</f>
        <v>4729080</v>
      </c>
      <c r="T183" s="829" t="str">
        <f>IFERROR(INDEX(月例!$P$5:$P$788,MATCH("賃金|S|2",月例!$S$5:$S$788,0)),"")</f>
        <v>確認済</v>
      </c>
    </row>
    <row r="184">
      <c r="A184" s="825">
        <f>IFERROR(INDEX(月例!$A$5:$A$788,MATCH("非常勤職員手当|S|3",月例!$S$5:$S$788,0)),"")</f>
        <v>46192</v>
      </c>
      <c r="B184" s="826" t="str">
        <f>IFERROR(INDEX(月例!$E$5:$E$788,MATCH("非常勤職員手当|S|3",月例!$S$5:$S$788,0)),"")</f>
        <v>６月分給与（短期分）</v>
      </c>
      <c r="C184" s="827">
        <f>IFERROR(INDEX(月例!$H$5:$H$788,MATCH("非常勤職員手当|S|3",月例!$S$5:$S$788,0)),"")</f>
        <v>250504</v>
      </c>
      <c r="D184" s="828">
        <f>IF(C184="","",D183-C184)</f>
        <v>3564720</v>
      </c>
      <c r="E184" s="829" t="str">
        <f>IFERROR(INDEX(月例!$P$5:$P$788,MATCH("非常勤職員手当|S|3",月例!$S$5:$S$788,0)),"")</f>
        <v>確認済</v>
      </c>
      <c r="F184" s="825">
        <f>IFERROR(INDEX(月例!$A$5:$A$788,MATCH("共済負担金等|S|3",月例!$S$5:$S$788,0)),"")</f>
        <v>43984</v>
      </c>
      <c r="G184" s="826" t="str">
        <f>IFERROR(INDEX(月例!$E$5:$E$788,MATCH("共済負担金等|S|3",月例!$S$5:$S$788,0)),"")</f>
        <v>収入印紙</v>
      </c>
      <c r="H184" s="827">
        <f>IFERROR(INDEX(月例!$H$5:$H$788,MATCH("共済負担金等|S|3",月例!$S$5:$S$788,0)),"")</f>
        <v>2000</v>
      </c>
      <c r="I184" s="828">
        <f>IF(H184="","",I183+H184)</f>
        <v>76148</v>
      </c>
      <c r="J184" s="829" t="str">
        <f>IFERROR(INDEX(月例!$P$5:$P$788,MATCH("共済負担金等|S|3",月例!$S$5:$S$788,0)),"")</f>
        <v>昨年実績</v>
      </c>
      <c r="K184" s="825">
        <f>IFERROR(INDEX(月例!$A$5:$A$788,MATCH("互助会費|S|3",月例!$S$5:$S$788,0)),"")</f>
        <v>46192</v>
      </c>
      <c r="L184" s="826" t="str">
        <f>IFERROR(INDEX(月例!$E$5:$E$788,MATCH("互助会費|S|3",月例!$S$5:$S$788,0)),"")</f>
        <v>助成金（６月短期分）</v>
      </c>
      <c r="M184" s="827">
        <f>IFERROR(INDEX(月例!$H$5:$H$788,MATCH("互助会費|S|3",月例!$S$5:$S$788,0)),"")</f>
        <v>240</v>
      </c>
      <c r="N184" s="828">
        <f>IF(M184="","",N183-M184)</f>
        <v>1664280</v>
      </c>
      <c r="O184" s="829" t="str">
        <f>IFERROR(INDEX(月例!$P$5:$P$788,MATCH("互助会費|S|3",月例!$S$5:$S$788,0)),"")</f>
        <v>確認済</v>
      </c>
      <c r="P184" s="825">
        <f>IFERROR(INDEX(月例!$A$5:$A$788,MATCH("賃金|S|3",月例!$S$5:$S$788,0)),"")</f>
        <v>46218</v>
      </c>
      <c r="Q184" s="826" t="str">
        <f>IFERROR(INDEX(月例!$E$5:$E$788,MATCH("賃金|S|3",月例!$S$5:$S$788,0)),"")</f>
        <v>臨時職員賃金６月分　天畠吏梨外１名分（短期１００％）</v>
      </c>
      <c r="R184" s="827">
        <f>IFERROR(INDEX(月例!$H$5:$H$788,MATCH("賃金|S|3",月例!$S$5:$S$788,0)),"")</f>
        <v>446160</v>
      </c>
      <c r="S184" s="828">
        <f>IF(R184="","",S183-R184)</f>
        <v>4282920</v>
      </c>
      <c r="T184" s="829" t="str">
        <f>IFERROR(INDEX(月例!$P$5:$P$788,MATCH("賃金|S|3",月例!$S$5:$S$788,0)),"")</f>
        <v>確認済</v>
      </c>
    </row>
    <row r="185">
      <c r="A185" s="825">
        <f>IFERROR(INDEX(月例!$A$5:$A$788,MATCH("非常勤職員手当|S|4",月例!$S$5:$S$788,0)),"")</f>
        <v>46203</v>
      </c>
      <c r="B185" s="826" t="str">
        <f>IFERROR(INDEX(月例!$E$5:$E$788,MATCH("非常勤職員手当|S|4",月例!$S$5:$S$788,0)),"")</f>
        <v>６月分賞与（短期分）</v>
      </c>
      <c r="C185" s="827">
        <f>IFERROR(INDEX(月例!$H$5:$H$788,MATCH("非常勤職員手当|S|4",月例!$S$5:$S$788,0)),"")</f>
        <v>447795</v>
      </c>
      <c r="D185" s="828">
        <f>IF(C185="","",D184-C185)</f>
        <v>3116925</v>
      </c>
      <c r="E185" s="829" t="str">
        <f>IFERROR(INDEX(月例!$P$5:$P$788,MATCH("非常勤職員手当|S|4",月例!$S$5:$S$788,0)),"")</f>
        <v>確認済</v>
      </c>
      <c r="F185" s="825">
        <f>IFERROR(INDEX(月例!$A$5:$A$788,MATCH("共済負担金等|S|4",月例!$S$5:$S$788,0)),"")</f>
        <v>46199</v>
      </c>
      <c r="G185" s="826" t="str">
        <f>IFERROR(INDEX(月例!$E$5:$E$788,MATCH("共済負担金等|S|4",月例!$S$5:$S$788,0)),"")</f>
        <v>共済短期・介護・子子負担金（6月月例分）短期</v>
      </c>
      <c r="H185" s="827">
        <f>IFERROR(INDEX(月例!$H$5:$H$788,MATCH("共済負担金等|S|4",月例!$S$5:$S$788,0)),"")</f>
        <v>37074</v>
      </c>
      <c r="I185" s="828">
        <f>IF(H185="","",I184+H185)</f>
        <v>113222</v>
      </c>
      <c r="J185" s="829" t="str">
        <f>IFERROR(INDEX(月例!$P$5:$P$788,MATCH("共済負担金等|S|4",月例!$S$5:$S$788,0)),"")</f>
        <v>確認済</v>
      </c>
      <c r="K185" s="825">
        <f>IFERROR(INDEX(月例!$A$5:$A$788,MATCH("互助会費|S|4",月例!$S$5:$S$788,0)),"")</f>
        <v>46224</v>
      </c>
      <c r="L185" s="826" t="str">
        <f>IFERROR(INDEX(月例!$E$5:$E$788,MATCH("互助会費|S|4",月例!$S$5:$S$788,0)),"")</f>
        <v>助成金（７月短期分）</v>
      </c>
      <c r="M185" s="827">
        <f>IFERROR(INDEX(月例!$H$5:$H$788,MATCH("互助会費|S|4",月例!$S$5:$S$788,0)),"")</f>
        <v>240</v>
      </c>
      <c r="N185" s="828">
        <f>IF(M185="","",N184-M185)</f>
        <v>1664040</v>
      </c>
      <c r="O185" s="829" t="str">
        <f>IFERROR(INDEX(月例!$P$5:$P$788,MATCH("互助会費|S|4",月例!$S$5:$S$788,0)),"")</f>
        <v>確認済</v>
      </c>
      <c r="P185" s="825">
        <f>IFERROR(INDEX(月例!$A$5:$A$788,MATCH("賃金|S|4",月例!$S$5:$S$788,0)),"")</f>
        <v>46248</v>
      </c>
      <c r="Q185" s="826" t="str">
        <f>IFERROR(INDEX(月例!$E$5:$E$788,MATCH("賃金|S|4",月例!$S$5:$S$788,0)),"")</f>
        <v>臨時職員賃金７月分　天畠吏梨外１名分（短期１００％）</v>
      </c>
      <c r="R185" s="827">
        <f>IFERROR(INDEX(月例!$H$5:$H$788,MATCH("賃金|S|4",月例!$S$5:$S$788,0)),"")</f>
        <v>445720</v>
      </c>
      <c r="S185" s="828">
        <f>IF(R185="","",S184-R185)</f>
        <v>3837200</v>
      </c>
      <c r="T185" s="829" t="str">
        <f>IFERROR(INDEX(月例!$P$5:$P$788,MATCH("賃金|S|4",月例!$S$5:$S$788,0)),"")</f>
        <v>確認済</v>
      </c>
    </row>
    <row r="186">
      <c r="A186" s="825">
        <f>IFERROR(INDEX(月例!$A$5:$A$788,MATCH("非常勤職員手当|S|5",月例!$S$5:$S$788,0)),"")</f>
        <v>46224</v>
      </c>
      <c r="B186" s="826" t="str">
        <f>IFERROR(INDEX(月例!$E$5:$E$788,MATCH("非常勤職員手当|S|5",月例!$S$5:$S$788,0)),"")</f>
        <v>７月分給与（短期分）</v>
      </c>
      <c r="C186" s="827">
        <f>IFERROR(INDEX(月例!$H$5:$H$788,MATCH("非常勤職員手当|S|5",月例!$S$5:$S$788,0)),"")</f>
        <v>256708</v>
      </c>
      <c r="D186" s="828">
        <f>IF(C186="","",D185-C186)</f>
        <v>2860217</v>
      </c>
      <c r="E186" s="829" t="str">
        <f>IFERROR(INDEX(月例!$P$5:$P$788,MATCH("非常勤職員手当|S|5",月例!$S$5:$S$788,0)),"")</f>
        <v>確認済</v>
      </c>
      <c r="F186" s="825">
        <f>IFERROR(INDEX(月例!$A$5:$A$788,MATCH("共済負担金等|S|5",月例!$S$5:$S$788,0)),"")</f>
        <v>46203</v>
      </c>
      <c r="G186" s="826" t="str">
        <f>IFERROR(INDEX(月例!$E$5:$E$788,MATCH("共済負担金等|S|5",月例!$S$5:$S$788,0)),"")</f>
        <v>共済短期・介護負担金（6月賞与分）短期</v>
      </c>
      <c r="H186" s="827">
        <f>IFERROR(INDEX(月例!$H$5:$H$788,MATCH("共済負担金等|S|5",月例!$S$5:$S$788,0)),"")</f>
        <v>27249</v>
      </c>
      <c r="I186" s="828">
        <f>IF(H186="","",I185+H186)</f>
        <v>140471</v>
      </c>
      <c r="J186" s="829" t="str">
        <f>IFERROR(INDEX(月例!$P$5:$P$788,MATCH("共済負担金等|S|5",月例!$S$5:$S$788,0)),"")</f>
        <v>確認済</v>
      </c>
      <c r="K186" s="825">
        <f>IFERROR(INDEX(月例!$A$5:$A$788,MATCH("互助会費|S|5",月例!$S$5:$S$788,0)),"")</f>
        <v>46255</v>
      </c>
      <c r="L186" s="826" t="str">
        <f>IFERROR(INDEX(月例!$E$5:$E$788,MATCH("互助会費|S|5",月例!$S$5:$S$788,0)),"")</f>
        <v>助成金（８月短期分）</v>
      </c>
      <c r="M186" s="827">
        <f>IFERROR(INDEX(月例!$H$5:$H$788,MATCH("互助会費|S|5",月例!$S$5:$S$788,0)),"")</f>
        <v>240</v>
      </c>
      <c r="N186" s="828">
        <f>IF(M186="","",N185-M186)</f>
        <v>1663800</v>
      </c>
      <c r="O186" s="829" t="str">
        <f>IFERROR(INDEX(月例!$P$5:$P$788,MATCH("互助会費|S|5",月例!$S$5:$S$788,0)),"")</f>
        <v>確認済</v>
      </c>
      <c r="P186" s="825">
        <f>IFERROR(INDEX(月例!$A$5:$A$788,MATCH("賃金|S|5",月例!$S$5:$S$788,0)),"")</f>
        <v>46280</v>
      </c>
      <c r="Q186" s="826" t="str">
        <f>IFERROR(INDEX(月例!$E$5:$E$788,MATCH("賃金|S|5",月例!$S$5:$S$788,0)),"")</f>
        <v>臨時職員賃金８月分　一山登代子外１名分（短期１００％）</v>
      </c>
      <c r="R186" s="827">
        <f>IFERROR(INDEX(月例!$H$5:$H$788,MATCH("賃金|S|5",月例!$S$5:$S$788,0)),"")</f>
        <v>384480</v>
      </c>
      <c r="S186" s="828">
        <f>IF(R186="","",S185-R186)</f>
        <v>3452720</v>
      </c>
      <c r="T186" s="829" t="str">
        <f>IFERROR(INDEX(月例!$P$5:$P$788,MATCH("賃金|S|5",月例!$S$5:$S$788,0)),"")</f>
        <v>確認済</v>
      </c>
    </row>
    <row r="187">
      <c r="A187" s="825">
        <f>IFERROR(INDEX(月例!$A$5:$A$788,MATCH("非常勤職員手当|S|6",月例!$S$5:$S$788,0)),"")</f>
        <v>46255</v>
      </c>
      <c r="B187" s="826" t="str">
        <f>IFERROR(INDEX(月例!$E$5:$E$788,MATCH("非常勤職員手当|S|6",月例!$S$5:$S$788,0)),"")</f>
        <v>８月分給与（短期分）</v>
      </c>
      <c r="C187" s="827">
        <f>IFERROR(INDEX(月例!$H$5:$H$788,MATCH("非常勤職員手当|S|6",月例!$S$5:$S$788,0)),"")</f>
        <v>244300</v>
      </c>
      <c r="D187" s="828">
        <f>IF(C187="","",D186-C187)</f>
        <v>2615917</v>
      </c>
      <c r="E187" s="829" t="str">
        <f>IFERROR(INDEX(月例!$P$5:$P$788,MATCH("非常勤職員手当|S|6",月例!$S$5:$S$788,0)),"")</f>
        <v>確認済</v>
      </c>
      <c r="F187" s="825">
        <f>IFERROR(INDEX(月例!$A$5:$A$788,MATCH("共済負担金等|S|6",月例!$S$5:$S$788,0)),"")</f>
        <v>46232</v>
      </c>
      <c r="G187" s="826" t="str">
        <f>IFERROR(INDEX(月例!$E$5:$E$788,MATCH("共済負担金等|S|6",月例!$S$5:$S$788,0)),"")</f>
        <v>共済短期・介護負担金（７月月例分）短期</v>
      </c>
      <c r="H187" s="827">
        <f>IFERROR(INDEX(月例!$H$5:$H$788,MATCH("共済負担金等|S|6",月例!$S$5:$S$788,0)),"")</f>
        <v>37074</v>
      </c>
      <c r="I187" s="828">
        <f>IF(H187="","",I186+H187)</f>
        <v>177545</v>
      </c>
      <c r="J187" s="829" t="str">
        <f>IFERROR(INDEX(月例!$P$5:$P$788,MATCH("共済負担金等|S|6",月例!$S$5:$S$788,0)),"")</f>
        <v>確認済</v>
      </c>
      <c r="K187" s="825">
        <f>IFERROR(INDEX(月例!$A$5:$A$788,MATCH("互助会費|S|6",月例!$S$5:$S$788,0)),"")</f>
        <v>46283</v>
      </c>
      <c r="L187" s="826" t="str">
        <f>IFERROR(INDEX(月例!$E$5:$E$788,MATCH("互助会費|S|6",月例!$S$5:$S$788,0)),"")</f>
        <v>助成金（９月短期分）</v>
      </c>
      <c r="M187" s="827">
        <f>IFERROR(INDEX(月例!$H$5:$H$788,MATCH("互助会費|S|6",月例!$S$5:$S$788,0)),"")</f>
        <v>240</v>
      </c>
      <c r="N187" s="828">
        <f>IF(M187="","",N186-M187)</f>
        <v>1663560</v>
      </c>
      <c r="O187" s="829" t="str">
        <f>IFERROR(INDEX(月例!$P$5:$P$788,MATCH("互助会費|S|6",月例!$S$5:$S$788,0)),"")</f>
        <v>確認済</v>
      </c>
      <c r="P187" s="825">
        <f>IFERROR(INDEX(月例!$A$5:$A$788,MATCH("賃金|S|6",月例!$S$5:$S$788,0)),"")</f>
        <v>46310</v>
      </c>
      <c r="Q187" s="826" t="str">
        <f>IFERROR(INDEX(月例!$E$5:$E$788,MATCH("賃金|S|6",月例!$S$5:$S$788,0)),"")</f>
        <v>臨時職員賃金９月分　天畠吏梨　外１名分（短期１００％）</v>
      </c>
      <c r="R187" s="827">
        <f>IFERROR(INDEX(月例!$H$5:$H$788,MATCH("賃金|S|6",月例!$S$5:$S$788,0)),"")</f>
        <v>378520</v>
      </c>
      <c r="S187" s="828">
        <f>IF(R187="","",S186-R187)</f>
        <v>3074200</v>
      </c>
      <c r="T187" s="829" t="str">
        <f>IFERROR(INDEX(月例!$P$5:$P$788,MATCH("賃金|S|6",月例!$S$5:$S$788,0)),"")</f>
        <v>確認済</v>
      </c>
    </row>
    <row r="188">
      <c r="A188" s="825">
        <f>IFERROR(INDEX(月例!$A$5:$A$788,MATCH("非常勤職員手当|S|7",月例!$S$5:$S$788,0)),"")</f>
        <v>46283</v>
      </c>
      <c r="B188" s="826" t="str">
        <f>IFERROR(INDEX(月例!$E$5:$E$788,MATCH("非常勤職員手当|S|7",月例!$S$5:$S$788,0)),"")</f>
        <v>９月分給与（短期分）</v>
      </c>
      <c r="C188" s="827">
        <f>IFERROR(INDEX(月例!$H$5:$H$788,MATCH("非常勤職員手当|S|7",月例!$S$5:$S$788,0)),"")</f>
        <v>258776</v>
      </c>
      <c r="D188" s="828">
        <f>IF(C188="","",D187-C188)</f>
        <v>2357141</v>
      </c>
      <c r="E188" s="829" t="str">
        <f>IFERROR(INDEX(月例!$P$5:$P$788,MATCH("非常勤職員手当|S|7",月例!$S$5:$S$788,0)),"")</f>
        <v>確認済</v>
      </c>
      <c r="F188" s="825">
        <f>IFERROR(INDEX(月例!$A$5:$A$788,MATCH("共済負担金等|S|7",月例!$S$5:$S$788,0)),"")</f>
        <v>46261</v>
      </c>
      <c r="G188" s="826" t="str">
        <f>IFERROR(INDEX(月例!$E$5:$E$788,MATCH("共済負担金等|S|7",月例!$S$5:$S$788,0)),"")</f>
        <v>共済短期・介護負担金（８月月例分）短期</v>
      </c>
      <c r="H188" s="827">
        <f>IFERROR(INDEX(月例!$H$5:$H$788,MATCH("共済負担金等|S|7",月例!$S$5:$S$788,0)),"")</f>
        <v>37074</v>
      </c>
      <c r="I188" s="828">
        <f>IF(H188="","",I187+H188)</f>
        <v>214619</v>
      </c>
      <c r="J188" s="829" t="str">
        <f>IFERROR(INDEX(月例!$P$5:$P$788,MATCH("共済負担金等|S|7",月例!$S$5:$S$788,0)),"")</f>
        <v>確認済</v>
      </c>
      <c r="K188" s="825">
        <f>IFERROR(INDEX(月例!$A$5:$A$788,MATCH("互助会費|S|7",月例!$S$5:$S$788,0)),"")</f>
        <v>46316</v>
      </c>
      <c r="L188" s="826" t="str">
        <f>IFERROR(INDEX(月例!$E$5:$E$788,MATCH("互助会費|S|7",月例!$S$5:$S$788,0)),"")</f>
        <v>助成金（10月短期分）</v>
      </c>
      <c r="M188" s="827">
        <f>IFERROR(INDEX(月例!$H$5:$H$788,MATCH("互助会費|S|7",月例!$S$5:$S$788,0)),"")</f>
        <v>240</v>
      </c>
      <c r="N188" s="828">
        <f>IF(M188="","",N187-M188)</f>
        <v>1663320</v>
      </c>
      <c r="O188" s="829" t="str">
        <f>IFERROR(INDEX(月例!$P$5:$P$788,MATCH("互助会費|S|7",月例!$S$5:$S$788,0)),"")</f>
        <v>確認済</v>
      </c>
      <c r="P188" s="825">
        <f>IFERROR(INDEX(月例!$A$5:$A$788,MATCH("賃金|S|7",月例!$S$5:$S$788,0)),"")</f>
        <v>45975</v>
      </c>
      <c r="Q188" s="826" t="str">
        <f>IFERROR(INDEX(月例!$E$5:$E$788,MATCH("賃金|S|7",月例!$S$5:$S$788,0)),"")</f>
        <v>臨時職員賃金１０月分　佐藤幸恵外１名分（短期１００％）</v>
      </c>
      <c r="R188" s="827">
        <f>IFERROR(INDEX(月例!$H$5:$H$788,MATCH("賃金|S|7",月例!$S$5:$S$788,0)),"")</f>
        <v>416580</v>
      </c>
      <c r="S188" s="828">
        <f>IF(R188="","",S187-R188)</f>
        <v>2657620</v>
      </c>
      <c r="T188" s="829" t="str">
        <f>IFERROR(INDEX(月例!$P$5:$P$788,MATCH("賃金|S|7",月例!$S$5:$S$788,0)),"")</f>
        <v>昨年実績</v>
      </c>
    </row>
    <row r="189">
      <c r="A189" s="825">
        <f>IFERROR(INDEX(月例!$A$5:$A$788,MATCH("非常勤職員手当|S|8",月例!$S$5:$S$788,0)),"")</f>
        <v>46316</v>
      </c>
      <c r="B189" s="826" t="str">
        <f>IFERROR(INDEX(月例!$E$5:$E$788,MATCH("非常勤職員手当|S|8",月例!$S$5:$S$788,0)),"")</f>
        <v>10月分給与（短期分）</v>
      </c>
      <c r="C189" s="827">
        <f>IFERROR(INDEX(月例!$H$5:$H$788,MATCH("非常勤職員手当|S|8",月例!$S$5:$S$788,0)),"")</f>
        <v>379380</v>
      </c>
      <c r="D189" s="828">
        <f>IF(C189="","",D188-C189)</f>
        <v>1977761</v>
      </c>
      <c r="E189" s="829" t="str">
        <f>IFERROR(INDEX(月例!$P$5:$P$788,MATCH("非常勤職員手当|S|8",月例!$S$5:$S$788,0)),"")</f>
        <v>確認済</v>
      </c>
      <c r="F189" s="825">
        <f>IFERROR(INDEX(月例!$A$5:$A$788,MATCH("共済負担金等|S|8",月例!$S$5:$S$788,0)),"")</f>
        <v>46293</v>
      </c>
      <c r="G189" s="826" t="str">
        <f>IFERROR(INDEX(月例!$E$5:$E$788,MATCH("共済負担金等|S|8",月例!$S$5:$S$788,0)),"")</f>
        <v>共済短期・介護負担金（９月月例分）短期</v>
      </c>
      <c r="H189" s="827">
        <f>IFERROR(INDEX(月例!$H$5:$H$788,MATCH("共済負担金等|S|8",月例!$S$5:$S$788,0)),"")</f>
        <v>37763</v>
      </c>
      <c r="I189" s="828">
        <f>IF(H189="","",I188+H189)</f>
        <v>252382</v>
      </c>
      <c r="J189" s="829" t="str">
        <f>IFERROR(INDEX(月例!$P$5:$P$788,MATCH("共済負担金等|S|8",月例!$S$5:$S$788,0)),"")</f>
        <v>確認済</v>
      </c>
      <c r="K189" s="825">
        <f>IFERROR(INDEX(月例!$A$5:$A$788,MATCH("互助会費|S|8",月例!$S$5:$S$788,0)),"")</f>
        <v>45982</v>
      </c>
      <c r="L189" s="826" t="str">
        <f>IFERROR(INDEX(月例!$E$5:$E$788,MATCH("互助会費|S|8",月例!$S$5:$S$788,0)),"")</f>
        <v>助成金（11月短期分）</v>
      </c>
      <c r="M189" s="827">
        <f>IFERROR(INDEX(月例!$H$5:$H$788,MATCH("互助会費|S|8",月例!$S$5:$S$788,0)),"")</f>
        <v>276</v>
      </c>
      <c r="N189" s="828">
        <f>IF(M189="","",N188-M189)</f>
        <v>1663044</v>
      </c>
      <c r="O189" s="829" t="str">
        <f>IFERROR(INDEX(月例!$P$5:$P$788,MATCH("互助会費|S|8",月例!$S$5:$S$788,0)),"")</f>
        <v>昨年実績</v>
      </c>
      <c r="P189" s="825">
        <f>IFERROR(INDEX(月例!$A$5:$A$788,MATCH("賃金|S|8",月例!$S$5:$S$788,0)),"")</f>
        <v>46006</v>
      </c>
      <c r="Q189" s="826" t="str">
        <f>IFERROR(INDEX(月例!$E$5:$E$788,MATCH("賃金|S|8",月例!$S$5:$S$788,0)),"")</f>
        <v>臨時職員賃金１１月分　佐藤幸恵外１名分（短期１００％）</v>
      </c>
      <c r="R189" s="827">
        <f>IFERROR(INDEX(月例!$H$5:$H$788,MATCH("賃金|S|8",月例!$S$5:$S$788,0)),"")</f>
        <v>340920</v>
      </c>
      <c r="S189" s="828">
        <f>IF(R189="","",S188-R189)</f>
        <v>2316700</v>
      </c>
      <c r="T189" s="829" t="str">
        <f>IFERROR(INDEX(月例!$P$5:$P$788,MATCH("賃金|S|8",月例!$S$5:$S$788,0)),"")</f>
        <v>昨年実績</v>
      </c>
    </row>
    <row r="190">
      <c r="A190" s="825">
        <f>IFERROR(INDEX(月例!$A$5:$A$788,MATCH("非常勤職員手当|S|9",月例!$S$5:$S$788,0)),"")</f>
        <v>45982</v>
      </c>
      <c r="B190" s="826" t="str">
        <f>IFERROR(INDEX(月例!$E$5:$E$788,MATCH("非常勤職員手当|S|9",月例!$S$5:$S$788,0)),"")</f>
        <v>11月分給与（短期分）</v>
      </c>
      <c r="C190" s="827">
        <f>IFERROR(INDEX(月例!$H$5:$H$788,MATCH("非常勤職員手当|S|9",月例!$S$5:$S$788,0)),"")</f>
        <v>227838</v>
      </c>
      <c r="D190" s="828">
        <f>IF(C190="","",D189-C190)</f>
        <v>1749923</v>
      </c>
      <c r="E190" s="829" t="str">
        <f>IFERROR(INDEX(月例!$P$5:$P$788,MATCH("非常勤職員手当|S|9",月例!$S$5:$S$788,0)),"")</f>
        <v>昨年実績</v>
      </c>
      <c r="F190" s="825">
        <f>IFERROR(INDEX(月例!$A$5:$A$788,MATCH("共済負担金等|S|9",月例!$S$5:$S$788,0)),"")</f>
        <v>46323</v>
      </c>
      <c r="G190" s="826" t="str">
        <f>IFERROR(INDEX(月例!$E$5:$E$788,MATCH("共済負担金等|S|9",月例!$S$5:$S$788,0)),"")</f>
        <v>共済短期・介護負担金（10月月例分）短期</v>
      </c>
      <c r="H190" s="827">
        <f>IFERROR(INDEX(月例!$H$5:$H$788,MATCH("共済負担金等|S|9",月例!$S$5:$S$788,0)),"")</f>
        <v>40844</v>
      </c>
      <c r="I190" s="828">
        <f>IF(H190="","",I189+H190)</f>
        <v>293226</v>
      </c>
      <c r="J190" s="829" t="str">
        <f>IFERROR(INDEX(月例!$P$5:$P$788,MATCH("共済負担金等|S|9",月例!$S$5:$S$788,0)),"")</f>
        <v>確認済</v>
      </c>
      <c r="K190" s="825">
        <f>IFERROR(INDEX(月例!$A$5:$A$788,MATCH("互助会費|S|9",月例!$S$5:$S$788,0)),"")</f>
        <v>46010</v>
      </c>
      <c r="L190" s="826" t="str">
        <f>IFERROR(INDEX(月例!$E$5:$E$788,MATCH("互助会費|S|9",月例!$S$5:$S$788,0)),"")</f>
        <v>助成金（12月短期分）</v>
      </c>
      <c r="M190" s="827">
        <f>IFERROR(INDEX(月例!$H$5:$H$788,MATCH("互助会費|S|9",月例!$S$5:$S$788,0)),"")</f>
        <v>276</v>
      </c>
      <c r="N190" s="828">
        <f>IF(M190="","",N189-M190)</f>
        <v>1662768</v>
      </c>
      <c r="O190" s="829" t="str">
        <f>IFERROR(INDEX(月例!$P$5:$P$788,MATCH("互助会費|S|9",月例!$S$5:$S$788,0)),"")</f>
        <v>昨年実績</v>
      </c>
      <c r="P190" s="825">
        <f>IFERROR(INDEX(月例!$A$5:$A$788,MATCH("賃金|S|9",月例!$S$5:$S$788,0)),"")</f>
        <v>46037</v>
      </c>
      <c r="Q190" s="826" t="str">
        <f>IFERROR(INDEX(月例!$E$5:$E$788,MATCH("賃金|S|9",月例!$S$5:$S$788,0)),"")</f>
        <v>臨時職員賃金１２月分　竹口範子外１名分（短期１００％）</v>
      </c>
      <c r="R190" s="827">
        <f>IFERROR(INDEX(月例!$H$5:$H$788,MATCH("賃金|S|9",月例!$S$5:$S$788,0)),"")</f>
        <v>377520</v>
      </c>
      <c r="S190" s="828">
        <f>IF(R190="","",S189-R190)</f>
        <v>1939180</v>
      </c>
      <c r="T190" s="829" t="str">
        <f>IFERROR(INDEX(月例!$P$5:$P$788,MATCH("賃金|S|9",月例!$S$5:$S$788,0)),"")</f>
        <v>昨年実績</v>
      </c>
    </row>
    <row r="191">
      <c r="A191" s="825">
        <f>IFERROR(INDEX(月例!$A$5:$A$788,MATCH("非常勤職員手当|S|10",月例!$S$5:$S$788,0)),"")</f>
        <v>46001</v>
      </c>
      <c r="B191" s="826" t="str">
        <f>IFERROR(INDEX(月例!$E$5:$E$788,MATCH("非常勤職員手当|S|10",月例!$S$5:$S$788,0)),"")</f>
        <v>１２月増額報酬（短期分）</v>
      </c>
      <c r="C191" s="827">
        <f>IFERROR(INDEX(月例!$H$5:$H$788,MATCH("非常勤職員手当|S|10",月例!$S$5:$S$788,0)),"")</f>
        <v>433105</v>
      </c>
      <c r="D191" s="828">
        <f>IF(C191="","",D190-C191)</f>
        <v>1316818</v>
      </c>
      <c r="E191" s="829" t="str">
        <f>IFERROR(INDEX(月例!$P$5:$P$788,MATCH("非常勤職員手当|S|10",月例!$S$5:$S$788,0)),"")</f>
        <v>昨年実績</v>
      </c>
      <c r="F191" s="825">
        <f>IFERROR(INDEX(月例!$A$5:$A$788,MATCH("共済負担金等|S|10",月例!$S$5:$S$788,0)),"")</f>
        <v>45987</v>
      </c>
      <c r="G191" s="826" t="str">
        <f>IFERROR(INDEX(月例!$E$5:$E$788,MATCH("共済負担金等|S|10",月例!$S$5:$S$788,0)),"")</f>
        <v>共済短期・介護負担金（11月月例分）短期</v>
      </c>
      <c r="H191" s="827">
        <f>IFERROR(INDEX(月例!$H$5:$H$788,MATCH("共済負担金等|S|10",月例!$S$5:$S$788,0)),"")</f>
        <v>39697</v>
      </c>
      <c r="I191" s="828">
        <f>IF(H191="","",I190+H191)</f>
        <v>332923</v>
      </c>
      <c r="J191" s="829" t="str">
        <f>IFERROR(INDEX(月例!$P$5:$P$788,MATCH("共済負担金等|S|10",月例!$S$5:$S$788,0)),"")</f>
        <v>昨年実績</v>
      </c>
      <c r="K191" s="825">
        <f>IFERROR(INDEX(月例!$A$5:$A$788,MATCH("互助会費|S|10",月例!$S$5:$S$788,0)),"")</f>
        <v>46043</v>
      </c>
      <c r="L191" s="826" t="str">
        <f>IFERROR(INDEX(月例!$E$5:$E$788,MATCH("互助会費|S|10",月例!$S$5:$S$788,0)),"")</f>
        <v>助成金（1月短期分）</v>
      </c>
      <c r="M191" s="827">
        <f>IFERROR(INDEX(月例!$H$5:$H$788,MATCH("互助会費|S|10",月例!$S$5:$S$788,0)),"")</f>
        <v>284</v>
      </c>
      <c r="N191" s="828">
        <f>IF(M191="","",N190-M191)</f>
        <v>1662484</v>
      </c>
      <c r="O191" s="829" t="str">
        <f>IFERROR(INDEX(月例!$P$5:$P$788,MATCH("互助会費|S|10",月例!$S$5:$S$788,0)),"")</f>
        <v>昨年実績</v>
      </c>
      <c r="P191" s="825">
        <f>IFERROR(INDEX(月例!$A$5:$A$788,MATCH("賃金|S|10",月例!$S$5:$S$788,0)),"")</f>
        <v>46066</v>
      </c>
      <c r="Q191" s="826" t="str">
        <f>IFERROR(INDEX(月例!$E$5:$E$788,MATCH("賃金|S|10",月例!$S$5:$S$788,0)),"")</f>
        <v>臨時職員賃金１月分　竹口範子外１名分（短期１００％）</v>
      </c>
      <c r="R191" s="827">
        <f>IFERROR(INDEX(月例!$H$5:$H$788,MATCH("賃金|S|10",月例!$S$5:$S$788,0)),"")</f>
        <v>359120</v>
      </c>
      <c r="S191" s="828">
        <f>IF(R191="","",S190-R191)</f>
        <v>1580060</v>
      </c>
      <c r="T191" s="829" t="str">
        <f>IFERROR(INDEX(月例!$P$5:$P$788,MATCH("賃金|S|10",月例!$S$5:$S$788,0)),"")</f>
        <v>昨年実績</v>
      </c>
    </row>
    <row r="192">
      <c r="A192" s="825">
        <f>IFERROR(INDEX(月例!$A$5:$A$788,MATCH("非常勤職員手当|S|11",月例!$S$5:$S$788,0)),"")</f>
        <v>46010</v>
      </c>
      <c r="B192" s="826" t="str">
        <f>IFERROR(INDEX(月例!$E$5:$E$788,MATCH("非常勤職員手当|S|11",月例!$S$5:$S$788,0)),"")</f>
        <v>12月分給与（短期分）</v>
      </c>
      <c r="C192" s="827">
        <f>IFERROR(INDEX(月例!$H$5:$H$788,MATCH("非常勤職員手当|S|11",月例!$S$5:$S$788,0)),"")</f>
        <v>225859</v>
      </c>
      <c r="D192" s="828">
        <f>IF(C192="","",D191-C192)</f>
        <v>1090959</v>
      </c>
      <c r="E192" s="829" t="str">
        <f>IFERROR(INDEX(月例!$P$5:$P$788,MATCH("非常勤職員手当|S|11",月例!$S$5:$S$788,0)),"")</f>
        <v>昨年実績</v>
      </c>
      <c r="F192" s="825">
        <f>IFERROR(INDEX(月例!$A$5:$A$788,MATCH("共済負担金等|S|11",月例!$S$5:$S$788,0)),"")</f>
        <v>46015</v>
      </c>
      <c r="G192" s="826" t="str">
        <f>IFERROR(INDEX(月例!$E$5:$E$788,MATCH("共済負担金等|S|11",月例!$S$5:$S$788,0)),"")</f>
        <v>共済短期・介護負担金（12月賞与、12月月例分）短期</v>
      </c>
      <c r="H192" s="827">
        <f>IFERROR(INDEX(月例!$H$5:$H$788,MATCH("共済負担金等|S|11",月例!$S$5:$S$788,0)),"")</f>
        <v>66980</v>
      </c>
      <c r="I192" s="828">
        <f>IF(H192="","",I191+H192)</f>
        <v>399903</v>
      </c>
      <c r="J192" s="829" t="str">
        <f>IFERROR(INDEX(月例!$P$5:$P$788,MATCH("共済負担金等|S|11",月例!$S$5:$S$788,0)),"")</f>
        <v>昨年実績</v>
      </c>
      <c r="K192" s="825">
        <f>IFERROR(INDEX(月例!$A$5:$A$788,MATCH("互助会費|S|11",月例!$S$5:$S$788,0)),"")</f>
        <v>46045</v>
      </c>
      <c r="L192" s="826" t="str">
        <f>IFERROR(INDEX(月例!$E$5:$E$788,MATCH("互助会費|S|11",月例!$S$5:$S$788,0)),"")</f>
        <v>助成金（給与改定差額分：短期）</v>
      </c>
      <c r="M192" s="827">
        <f>IFERROR(INDEX(月例!$H$5:$H$788,MATCH("互助会費|S|11",月例!$S$5:$S$788,0)),"")</f>
        <v>72</v>
      </c>
      <c r="N192" s="828">
        <f>IF(M192="","",N191-M192)</f>
        <v>1662412</v>
      </c>
      <c r="O192" s="829" t="str">
        <f>IFERROR(INDEX(月例!$P$5:$P$788,MATCH("互助会費|S|11",月例!$S$5:$S$788,0)),"")</f>
        <v>昨年実績</v>
      </c>
      <c r="P192" s="825">
        <f>IFERROR(INDEX(月例!$A$5:$A$788,MATCH("賃金|S|11",月例!$S$5:$S$788,0)),"")</f>
        <v>46094</v>
      </c>
      <c r="Q192" s="826" t="str">
        <f>IFERROR(INDEX(月例!$E$5:$E$788,MATCH("賃金|S|11",月例!$S$5:$S$788,0)),"")</f>
        <v>臨時職員賃金２月分　竹口範子外１名分（短期１００％）</v>
      </c>
      <c r="R192" s="827">
        <f>IFERROR(INDEX(月例!$H$5:$H$788,MATCH("賃金|S|11",月例!$S$5:$S$788,0)),"")</f>
        <v>339340</v>
      </c>
      <c r="S192" s="828">
        <f>IF(R192="","",S191-R192)</f>
        <v>1240720</v>
      </c>
      <c r="T192" s="829" t="str">
        <f>IFERROR(INDEX(月例!$P$5:$P$788,MATCH("賃金|S|11",月例!$S$5:$S$788,0)),"")</f>
        <v>昨年実績</v>
      </c>
    </row>
    <row r="193">
      <c r="A193" s="825">
        <f>IFERROR(INDEX(月例!$A$5:$A$788,MATCH("非常勤職員手当|S|12",月例!$S$5:$S$788,0)),"")</f>
        <v>46017</v>
      </c>
      <c r="B193" s="826" t="str">
        <f>IFERROR(INDEX(月例!$E$5:$E$788,MATCH("非常勤職員手当|S|12",月例!$S$5:$S$788,0)),"")</f>
        <v>非常勤職員手当　給与改定差額（短期分）</v>
      </c>
      <c r="C193" s="827">
        <f>IFERROR(INDEX(月例!$H$5:$H$788,MATCH("非常勤職員手当|S|12",月例!$S$5:$S$788,0)),"")</f>
        <v>83097</v>
      </c>
      <c r="D193" s="828">
        <f>IF(C193="","",D192-C193)</f>
        <v>1007862</v>
      </c>
      <c r="E193" s="829" t="str">
        <f>IFERROR(INDEX(月例!$P$5:$P$788,MATCH("非常勤職員手当|S|12",月例!$S$5:$S$788,0)),"")</f>
        <v>昨年実績</v>
      </c>
      <c r="F193" s="825">
        <f>IFERROR(INDEX(月例!$A$5:$A$788,MATCH("共済負担金等|S|12",月例!$S$5:$S$788,0)),"")</f>
        <v>46050</v>
      </c>
      <c r="G193" s="826" t="str">
        <f>IFERROR(INDEX(月例!$E$5:$E$788,MATCH("共済負担金等|S|12",月例!$S$5:$S$788,0)),"")</f>
        <v>共済短期・介護負担金（1月月例分）短期</v>
      </c>
      <c r="H193" s="827">
        <f>IFERROR(INDEX(月例!$H$5:$H$788,MATCH("共済負担金等|S|12",月例!$S$5:$S$788,0)),"")</f>
        <v>39697</v>
      </c>
      <c r="I193" s="828">
        <f>IF(H193="","",I192+H193)</f>
        <v>439600</v>
      </c>
      <c r="J193" s="829" t="str">
        <f>IFERROR(INDEX(月例!$P$5:$P$788,MATCH("共済負担金等|S|12",月例!$S$5:$S$788,0)),"")</f>
        <v>昨年実績</v>
      </c>
      <c r="K193" s="825">
        <f>IFERROR(INDEX(月例!$A$5:$A$788,MATCH("互助会費|S|12",月例!$S$5:$S$788,0)),"")</f>
        <v>46073</v>
      </c>
      <c r="L193" s="826" t="str">
        <f>IFERROR(INDEX(月例!$E$5:$E$788,MATCH("互助会費|S|12",月例!$S$5:$S$788,0)),"")</f>
        <v>助成金（２月短期分）</v>
      </c>
      <c r="M193" s="827">
        <f>IFERROR(INDEX(月例!$H$5:$H$788,MATCH("互助会費|S|12",月例!$S$5:$S$788,0)),"")</f>
        <v>284</v>
      </c>
      <c r="N193" s="828">
        <f>IF(M193="","",N192-M193)</f>
        <v>1662128</v>
      </c>
      <c r="O193" s="829" t="str">
        <f>IFERROR(INDEX(月例!$P$5:$P$788,MATCH("互助会費|S|12",月例!$S$5:$S$788,0)),"")</f>
        <v>昨年実績</v>
      </c>
      <c r="P193" s="825" t="str">
        <f>IFERROR(INDEX(月例!$A$5:$A$788,MATCH("賃金|S|12",月例!$S$5:$S$788,0)),"")</f>
        <v/>
      </c>
      <c r="Q193" s="826" t="str">
        <f>IFERROR(INDEX(月例!$E$5:$E$788,MATCH("賃金|S|12",月例!$S$5:$S$788,0)),"")</f>
        <v/>
      </c>
      <c r="R193" s="827" t="str">
        <f>IFERROR(INDEX(月例!$H$5:$H$788,MATCH("賃金|S|12",月例!$S$5:$S$788,0)),"")</f>
        <v/>
      </c>
      <c r="S193" s="828" t="str">
        <f>IF(R193="","",S192-R193)</f>
        <v/>
      </c>
      <c r="T193" s="829" t="str">
        <f>IFERROR(INDEX(月例!$P$5:$P$788,MATCH("賃金|S|12",月例!$S$5:$S$788,0)),"")</f>
        <v/>
      </c>
    </row>
    <row r="194">
      <c r="A194" s="825">
        <f>IFERROR(INDEX(月例!$A$5:$A$788,MATCH("非常勤職員手当|S|13",月例!$S$5:$S$788,0)),"")</f>
        <v>46043</v>
      </c>
      <c r="B194" s="826" t="str">
        <f>IFERROR(INDEX(月例!$E$5:$E$788,MATCH("非常勤職員手当|S|13",月例!$S$5:$S$788,0)),"")</f>
        <v>1月分給与（短期分）</v>
      </c>
      <c r="C194" s="827">
        <f>IFERROR(INDEX(月例!$H$5:$H$788,MATCH("非常勤職員手当|S|13",月例!$S$5:$S$788,0)),"")</f>
        <v>228265</v>
      </c>
      <c r="D194" s="828">
        <f>IF(C194="","",D193-C194)</f>
        <v>779597</v>
      </c>
      <c r="E194" s="829" t="str">
        <f>IFERROR(INDEX(月例!$P$5:$P$788,MATCH("非常勤職員手当|S|13",月例!$S$5:$S$788,0)),"")</f>
        <v>昨年実績</v>
      </c>
      <c r="F194" s="825">
        <f>IFERROR(INDEX(月例!$A$5:$A$788,MATCH("共済負担金等|S|13",月例!$S$5:$S$788,0)),"")</f>
        <v>46050</v>
      </c>
      <c r="G194" s="826" t="str">
        <f>IFERROR(INDEX(月例!$E$5:$E$788,MATCH("共済負担金等|S|13",月例!$S$5:$S$788,0)),"")</f>
        <v>共済短期・介護負担金（12月差額分）短期</v>
      </c>
      <c r="H194" s="827">
        <f>IFERROR(INDEX(月例!$H$5:$H$788,MATCH("共済負担金等|S|13",月例!$S$5:$S$788,0)),"")</f>
        <v>1576</v>
      </c>
      <c r="I194" s="828">
        <f>IF(H194="","",I193+H194)</f>
        <v>441176</v>
      </c>
      <c r="J194" s="829" t="str">
        <f>IFERROR(INDEX(月例!$P$5:$P$788,MATCH("共済負担金等|S|13",月例!$S$5:$S$788,0)),"")</f>
        <v>昨年実績</v>
      </c>
      <c r="K194" s="825">
        <f>IFERROR(INDEX(月例!$A$5:$A$788,MATCH("互助会費|S|13",月例!$S$5:$S$788,0)),"")</f>
        <v>46100</v>
      </c>
      <c r="L194" s="826" t="str">
        <f>IFERROR(INDEX(月例!$E$5:$E$788,MATCH("互助会費|S|13",月例!$S$5:$S$788,0)),"")</f>
        <v>助成金（３月短期分）</v>
      </c>
      <c r="M194" s="827">
        <f>IFERROR(INDEX(月例!$H$5:$H$788,MATCH("互助会費|S|13",月例!$S$5:$S$788,0)),"")</f>
        <v>284</v>
      </c>
      <c r="N194" s="828">
        <f>IF(M194="","",N193-M194)</f>
        <v>1661844</v>
      </c>
      <c r="O194" s="829" t="str">
        <f>IFERROR(INDEX(月例!$P$5:$P$788,MATCH("互助会費|S|13",月例!$S$5:$S$788,0)),"")</f>
        <v>昨年実績</v>
      </c>
      <c r="P194" s="825" t="str">
        <f>IFERROR(INDEX(月例!$A$5:$A$788,MATCH("賃金|S|13",月例!$S$5:$S$788,0)),"")</f>
        <v/>
      </c>
      <c r="Q194" s="826" t="str">
        <f>IFERROR(INDEX(月例!$E$5:$E$788,MATCH("賃金|S|13",月例!$S$5:$S$788,0)),"")</f>
        <v/>
      </c>
      <c r="R194" s="827" t="str">
        <f>IFERROR(INDEX(月例!$H$5:$H$788,MATCH("賃金|S|13",月例!$S$5:$S$788,0)),"")</f>
        <v/>
      </c>
      <c r="S194" s="828" t="str">
        <f>IF(R194="","",S193-R194)</f>
        <v/>
      </c>
      <c r="T194" s="829" t="str">
        <f>IFERROR(INDEX(月例!$P$5:$P$788,MATCH("賃金|S|13",月例!$S$5:$S$788,0)),"")</f>
        <v/>
      </c>
    </row>
    <row r="195">
      <c r="A195" s="825">
        <f>IFERROR(INDEX(月例!$A$5:$A$788,MATCH("非常勤職員手当|S|14",月例!$S$5:$S$788,0)),"")</f>
        <v>46073</v>
      </c>
      <c r="B195" s="826" t="str">
        <f>IFERROR(INDEX(月例!$E$5:$E$788,MATCH("非常勤職員手当|S|14",月例!$S$5:$S$788,0)),"")</f>
        <v>２月分給与（短期分）</v>
      </c>
      <c r="C195" s="827">
        <f>IFERROR(INDEX(月例!$H$5:$H$788,MATCH("非常勤職員手当|S|14",月例!$S$5:$S$788,0)),"")</f>
        <v>232335</v>
      </c>
      <c r="D195" s="828">
        <f>IF(C195="","",D194-C195)</f>
        <v>547262</v>
      </c>
      <c r="E195" s="829" t="str">
        <f>IFERROR(INDEX(月例!$P$5:$P$788,MATCH("非常勤職員手当|S|14",月例!$S$5:$S$788,0)),"")</f>
        <v>昨年実績</v>
      </c>
      <c r="F195" s="825">
        <f>IFERROR(INDEX(月例!$A$5:$A$788,MATCH("共済負担金等|S|14",月例!$S$5:$S$788,0)),"")</f>
        <v>46078</v>
      </c>
      <c r="G195" s="826" t="str">
        <f>IFERROR(INDEX(月例!$E$5:$E$788,MATCH("共済負担金等|S|14",月例!$S$5:$S$788,0)),"")</f>
        <v>共済短期・介護負担金（2月月例分）短期</v>
      </c>
      <c r="H195" s="827">
        <f>IFERROR(INDEX(月例!$H$5:$H$788,MATCH("共済負担金等|S|14",月例!$S$5:$S$788,0)),"")</f>
        <v>39697</v>
      </c>
      <c r="I195" s="828">
        <f>IF(H195="","",I194+H195)</f>
        <v>480873</v>
      </c>
      <c r="J195" s="829" t="str">
        <f>IFERROR(INDEX(月例!$P$5:$P$788,MATCH("共済負担金等|S|14",月例!$S$5:$S$788,0)),"")</f>
        <v>昨年実績</v>
      </c>
      <c r="K195" s="825" t="str">
        <f>IFERROR(INDEX(月例!$A$5:$A$788,MATCH("互助会費|S|14",月例!$S$5:$S$788,0)),"")</f>
        <v/>
      </c>
      <c r="L195" s="826" t="str">
        <f>IFERROR(INDEX(月例!$E$5:$E$788,MATCH("互助会費|S|14",月例!$S$5:$S$788,0)),"")</f>
        <v/>
      </c>
      <c r="M195" s="827" t="str">
        <f>IFERROR(INDEX(月例!$H$5:$H$788,MATCH("互助会費|S|14",月例!$S$5:$S$788,0)),"")</f>
        <v/>
      </c>
      <c r="N195" s="828" t="str">
        <f>IF(M195="","",N194-M195)</f>
        <v/>
      </c>
      <c r="O195" s="829" t="str">
        <f>IFERROR(INDEX(月例!$P$5:$P$788,MATCH("互助会費|S|14",月例!$S$5:$S$788,0)),"")</f>
        <v/>
      </c>
      <c r="P195" s="825" t="str">
        <f>IFERROR(INDEX(月例!$A$5:$A$788,MATCH("賃金|S|14",月例!$S$5:$S$788,0)),"")</f>
        <v/>
      </c>
      <c r="Q195" s="826" t="str">
        <f>IFERROR(INDEX(月例!$E$5:$E$788,MATCH("賃金|S|14",月例!$S$5:$S$788,0)),"")</f>
        <v/>
      </c>
      <c r="R195" s="827" t="str">
        <f>IFERROR(INDEX(月例!$H$5:$H$788,MATCH("賃金|S|14",月例!$S$5:$S$788,0)),"")</f>
        <v/>
      </c>
      <c r="S195" s="828" t="str">
        <f>IF(R195="","",S194-R195)</f>
        <v/>
      </c>
      <c r="T195" s="829" t="str">
        <f>IFERROR(INDEX(月例!$P$5:$P$788,MATCH("賃金|S|14",月例!$S$5:$S$788,0)),"")</f>
        <v/>
      </c>
    </row>
    <row r="196">
      <c r="A196" s="825">
        <f>IFERROR(INDEX(月例!$A$5:$A$788,MATCH("非常勤職員手当|S|15",月例!$S$5:$S$788,0)),"")</f>
        <v>46100</v>
      </c>
      <c r="B196" s="826" t="str">
        <f>IFERROR(INDEX(月例!$E$5:$E$788,MATCH("非常勤職員手当|S|15",月例!$S$5:$S$788,0)),"")</f>
        <v>３月分給与（短期分）</v>
      </c>
      <c r="C196" s="827">
        <f>IFERROR(INDEX(月例!$H$5:$H$788,MATCH("非常勤職員手当|S|15",月例!$S$5:$S$788,0)),"")</f>
        <v>234370</v>
      </c>
      <c r="D196" s="828">
        <f>IF(C196="","",D195-C196)</f>
        <v>312892</v>
      </c>
      <c r="E196" s="829" t="str">
        <f>IFERROR(INDEX(月例!$P$5:$P$788,MATCH("非常勤職員手当|S|15",月例!$S$5:$S$788,0)),"")</f>
        <v>昨年実績</v>
      </c>
      <c r="F196" s="825">
        <f>IFERROR(INDEX(月例!$A$5:$A$788,MATCH("共済負担金等|S|15",月例!$S$5:$S$788,0)),"")</f>
        <v>46108</v>
      </c>
      <c r="G196" s="826" t="str">
        <f>IFERROR(INDEX(月例!$E$5:$E$788,MATCH("共済負担金等|S|15",月例!$S$5:$S$788,0)),"")</f>
        <v>共済短期・介護負担金（３月月例分）短期</v>
      </c>
      <c r="H196" s="827">
        <f>IFERROR(INDEX(月例!$H$5:$H$788,MATCH("共済負担金等|S|15",月例!$S$5:$S$788,0)),"")</f>
        <v>39697</v>
      </c>
      <c r="I196" s="828">
        <f>IF(H196="","",I195+H196)</f>
        <v>520570</v>
      </c>
      <c r="J196" s="829" t="str">
        <f>IFERROR(INDEX(月例!$P$5:$P$788,MATCH("共済負担金等|S|15",月例!$S$5:$S$788,0)),"")</f>
        <v>昨年実績</v>
      </c>
      <c r="K196" s="825" t="str">
        <f>IFERROR(INDEX(月例!$A$5:$A$788,MATCH("互助会費|S|15",月例!$S$5:$S$788,0)),"")</f>
        <v/>
      </c>
      <c r="L196" s="826" t="str">
        <f>IFERROR(INDEX(月例!$E$5:$E$788,MATCH("互助会費|S|15",月例!$S$5:$S$788,0)),"")</f>
        <v/>
      </c>
      <c r="M196" s="827" t="str">
        <f>IFERROR(INDEX(月例!$H$5:$H$788,MATCH("互助会費|S|15",月例!$S$5:$S$788,0)),"")</f>
        <v/>
      </c>
      <c r="N196" s="828" t="str">
        <f>IF(M196="","",N195-M196)</f>
        <v/>
      </c>
      <c r="O196" s="829" t="str">
        <f>IFERROR(INDEX(月例!$P$5:$P$788,MATCH("互助会費|S|15",月例!$S$5:$S$788,0)),"")</f>
        <v/>
      </c>
      <c r="P196" s="825" t="str">
        <f>IFERROR(INDEX(月例!$A$5:$A$788,MATCH("賃金|S|15",月例!$S$5:$S$788,0)),"")</f>
        <v/>
      </c>
      <c r="Q196" s="826" t="str">
        <f>IFERROR(INDEX(月例!$E$5:$E$788,MATCH("賃金|S|15",月例!$S$5:$S$788,0)),"")</f>
        <v/>
      </c>
      <c r="R196" s="827" t="str">
        <f>IFERROR(INDEX(月例!$H$5:$H$788,MATCH("賃金|S|15",月例!$S$5:$S$788,0)),"")</f>
        <v/>
      </c>
      <c r="S196" s="828" t="str">
        <f>IF(R196="","",S195-R196)</f>
        <v/>
      </c>
      <c r="T196" s="829" t="str">
        <f>IFERROR(INDEX(月例!$P$5:$P$788,MATCH("賃金|S|15",月例!$S$5:$S$788,0)),"")</f>
        <v/>
      </c>
    </row>
    <row r="197">
      <c r="A197" s="825" t="str">
        <f>IFERROR(INDEX(月例!$A$5:$A$788,MATCH("非常勤職員手当|S|16",月例!$S$5:$S$788,0)),"")</f>
        <v/>
      </c>
      <c r="B197" s="826" t="str">
        <f>IFERROR(INDEX(月例!$E$5:$E$788,MATCH("非常勤職員手当|S|16",月例!$S$5:$S$788,0)),"")</f>
        <v/>
      </c>
      <c r="C197" s="827" t="str">
        <f>IFERROR(INDEX(月例!$H$5:$H$788,MATCH("非常勤職員手当|S|16",月例!$S$5:$S$788,0)),"")</f>
        <v/>
      </c>
      <c r="D197" s="828" t="str">
        <f>IF(C197="","",D196-C197)</f>
        <v/>
      </c>
      <c r="E197" s="829" t="str">
        <f>IFERROR(INDEX(月例!$P$5:$P$788,MATCH("非常勤職員手当|S|16",月例!$S$5:$S$788,0)),"")</f>
        <v/>
      </c>
      <c r="F197" s="825" t="str">
        <f>IFERROR(INDEX(月例!$A$5:$A$788,MATCH("共済負担金等|S|16",月例!$S$5:$S$788,0)),"")</f>
        <v/>
      </c>
      <c r="G197" s="826" t="str">
        <f>IFERROR(INDEX(月例!$E$5:$E$788,MATCH("共済負担金等|S|16",月例!$S$5:$S$788,0)),"")</f>
        <v/>
      </c>
      <c r="H197" s="827" t="str">
        <f>IFERROR(INDEX(月例!$H$5:$H$788,MATCH("共済負担金等|S|16",月例!$S$5:$S$788,0)),"")</f>
        <v/>
      </c>
      <c r="I197" s="828" t="str">
        <f>IF(H197="","",I196+H197)</f>
        <v/>
      </c>
      <c r="J197" s="829" t="str">
        <f>IFERROR(INDEX(月例!$P$5:$P$788,MATCH("共済負担金等|S|16",月例!$S$5:$S$788,0)),"")</f>
        <v/>
      </c>
      <c r="K197" s="825" t="str">
        <f>IFERROR(INDEX(月例!$A$5:$A$788,MATCH("互助会費|S|16",月例!$S$5:$S$788,0)),"")</f>
        <v/>
      </c>
      <c r="L197" s="826" t="str">
        <f>IFERROR(INDEX(月例!$E$5:$E$788,MATCH("互助会費|S|16",月例!$S$5:$S$788,0)),"")</f>
        <v/>
      </c>
      <c r="M197" s="827" t="str">
        <f>IFERROR(INDEX(月例!$H$5:$H$788,MATCH("互助会費|S|16",月例!$S$5:$S$788,0)),"")</f>
        <v/>
      </c>
      <c r="N197" s="828" t="str">
        <f>IF(M197="","",N196-M197)</f>
        <v/>
      </c>
      <c r="O197" s="829" t="str">
        <f>IFERROR(INDEX(月例!$P$5:$P$788,MATCH("互助会費|S|16",月例!$S$5:$S$788,0)),"")</f>
        <v/>
      </c>
      <c r="P197" s="825" t="str">
        <f>IFERROR(INDEX(月例!$A$5:$A$788,MATCH("賃金|S|16",月例!$S$5:$S$788,0)),"")</f>
        <v/>
      </c>
      <c r="Q197" s="826" t="str">
        <f>IFERROR(INDEX(月例!$E$5:$E$788,MATCH("賃金|S|16",月例!$S$5:$S$788,0)),"")</f>
        <v/>
      </c>
      <c r="R197" s="827" t="str">
        <f>IFERROR(INDEX(月例!$H$5:$H$788,MATCH("賃金|S|16",月例!$S$5:$S$788,0)),"")</f>
        <v/>
      </c>
      <c r="S197" s="828" t="str">
        <f>IF(R197="","",S196-R197)</f>
        <v/>
      </c>
      <c r="T197" s="829" t="str">
        <f>IFERROR(INDEX(月例!$P$5:$P$788,MATCH("賃金|S|16",月例!$S$5:$S$788,0)),"")</f>
        <v/>
      </c>
    </row>
    <row r="198">
      <c r="A198" s="825" t="str">
        <f>IFERROR(INDEX(月例!$A$5:$A$788,MATCH("非常勤職員手当|S|17",月例!$S$5:$S$788,0)),"")</f>
        <v/>
      </c>
      <c r="B198" s="826" t="str">
        <f>IFERROR(INDEX(月例!$E$5:$E$788,MATCH("非常勤職員手当|S|17",月例!$S$5:$S$788,0)),"")</f>
        <v/>
      </c>
      <c r="C198" s="827" t="str">
        <f>IFERROR(INDEX(月例!$H$5:$H$788,MATCH("非常勤職員手当|S|17",月例!$S$5:$S$788,0)),"")</f>
        <v/>
      </c>
      <c r="D198" s="828" t="str">
        <f>IF(C198="","",D197-C198)</f>
        <v/>
      </c>
      <c r="E198" s="829" t="str">
        <f>IFERROR(INDEX(月例!$P$5:$P$788,MATCH("非常勤職員手当|S|17",月例!$S$5:$S$788,0)),"")</f>
        <v/>
      </c>
      <c r="F198" s="825" t="str">
        <f>IFERROR(INDEX(月例!$A$5:$A$788,MATCH("共済負担金等|S|17",月例!$S$5:$S$788,0)),"")</f>
        <v/>
      </c>
      <c r="G198" s="826" t="str">
        <f>IFERROR(INDEX(月例!$E$5:$E$788,MATCH("共済負担金等|S|17",月例!$S$5:$S$788,0)),"")</f>
        <v/>
      </c>
      <c r="H198" s="827" t="str">
        <f>IFERROR(INDEX(月例!$H$5:$H$788,MATCH("共済負担金等|S|17",月例!$S$5:$S$788,0)),"")</f>
        <v/>
      </c>
      <c r="I198" s="828" t="str">
        <f>IF(H198="","",I197+H198)</f>
        <v/>
      </c>
      <c r="J198" s="829" t="str">
        <f>IFERROR(INDEX(月例!$P$5:$P$788,MATCH("共済負担金等|S|17",月例!$S$5:$S$788,0)),"")</f>
        <v/>
      </c>
      <c r="K198" s="825" t="str">
        <f>IFERROR(INDEX(月例!$A$5:$A$788,MATCH("互助会費|S|17",月例!$S$5:$S$788,0)),"")</f>
        <v/>
      </c>
      <c r="L198" s="826" t="str">
        <f>IFERROR(INDEX(月例!$E$5:$E$788,MATCH("互助会費|S|17",月例!$S$5:$S$788,0)),"")</f>
        <v/>
      </c>
      <c r="M198" s="827" t="str">
        <f>IFERROR(INDEX(月例!$H$5:$H$788,MATCH("互助会費|S|17",月例!$S$5:$S$788,0)),"")</f>
        <v/>
      </c>
      <c r="N198" s="828" t="str">
        <f>IF(M198="","",N197-M198)</f>
        <v/>
      </c>
      <c r="O198" s="829" t="str">
        <f>IFERROR(INDEX(月例!$P$5:$P$788,MATCH("互助会費|S|17",月例!$S$5:$S$788,0)),"")</f>
        <v/>
      </c>
      <c r="P198" s="825" t="str">
        <f>IFERROR(INDEX(月例!$A$5:$A$788,MATCH("賃金|S|17",月例!$S$5:$S$788,0)),"")</f>
        <v/>
      </c>
      <c r="Q198" s="826" t="str">
        <f>IFERROR(INDEX(月例!$E$5:$E$788,MATCH("賃金|S|17",月例!$S$5:$S$788,0)),"")</f>
        <v/>
      </c>
      <c r="R198" s="827" t="str">
        <f>IFERROR(INDEX(月例!$H$5:$H$788,MATCH("賃金|S|17",月例!$S$5:$S$788,0)),"")</f>
        <v/>
      </c>
      <c r="S198" s="828" t="str">
        <f>IF(R198="","",S197-R198)</f>
        <v/>
      </c>
      <c r="T198" s="829" t="str">
        <f>IFERROR(INDEX(月例!$P$5:$P$788,MATCH("賃金|S|17",月例!$S$5:$S$788,0)),"")</f>
        <v/>
      </c>
    </row>
    <row r="199">
      <c r="A199" s="825" t="str">
        <f>IFERROR(INDEX(月例!$A$5:$A$788,MATCH("非常勤職員手当|S|18",月例!$S$5:$S$788,0)),"")</f>
        <v/>
      </c>
      <c r="B199" s="826" t="str">
        <f>IFERROR(INDEX(月例!$E$5:$E$788,MATCH("非常勤職員手当|S|18",月例!$S$5:$S$788,0)),"")</f>
        <v/>
      </c>
      <c r="C199" s="827" t="str">
        <f>IFERROR(INDEX(月例!$H$5:$H$788,MATCH("非常勤職員手当|S|18",月例!$S$5:$S$788,0)),"")</f>
        <v/>
      </c>
      <c r="D199" s="828" t="str">
        <f>IF(C199="","",D198-C199)</f>
        <v/>
      </c>
      <c r="E199" s="829" t="str">
        <f>IFERROR(INDEX(月例!$P$5:$P$788,MATCH("非常勤職員手当|S|18",月例!$S$5:$S$788,0)),"")</f>
        <v/>
      </c>
      <c r="F199" s="825" t="str">
        <f>IFERROR(INDEX(月例!$A$5:$A$788,MATCH("共済負担金等|S|18",月例!$S$5:$S$788,0)),"")</f>
        <v/>
      </c>
      <c r="G199" s="826" t="str">
        <f>IFERROR(INDEX(月例!$E$5:$E$788,MATCH("共済負担金等|S|18",月例!$S$5:$S$788,0)),"")</f>
        <v/>
      </c>
      <c r="H199" s="827" t="str">
        <f>IFERROR(INDEX(月例!$H$5:$H$788,MATCH("共済負担金等|S|18",月例!$S$5:$S$788,0)),"")</f>
        <v/>
      </c>
      <c r="I199" s="828" t="str">
        <f>IF(H199="","",I198+H199)</f>
        <v/>
      </c>
      <c r="J199" s="829" t="str">
        <f>IFERROR(INDEX(月例!$P$5:$P$788,MATCH("共済負担金等|S|18",月例!$S$5:$S$788,0)),"")</f>
        <v/>
      </c>
      <c r="K199" s="825" t="str">
        <f>IFERROR(INDEX(月例!$A$5:$A$788,MATCH("互助会費|S|18",月例!$S$5:$S$788,0)),"")</f>
        <v/>
      </c>
      <c r="L199" s="826" t="str">
        <f>IFERROR(INDEX(月例!$E$5:$E$788,MATCH("互助会費|S|18",月例!$S$5:$S$788,0)),"")</f>
        <v/>
      </c>
      <c r="M199" s="827" t="str">
        <f>IFERROR(INDEX(月例!$H$5:$H$788,MATCH("互助会費|S|18",月例!$S$5:$S$788,0)),"")</f>
        <v/>
      </c>
      <c r="N199" s="828" t="str">
        <f>IF(M199="","",N198-M199)</f>
        <v/>
      </c>
      <c r="O199" s="829" t="str">
        <f>IFERROR(INDEX(月例!$P$5:$P$788,MATCH("互助会費|S|18",月例!$S$5:$S$788,0)),"")</f>
        <v/>
      </c>
      <c r="P199" s="825" t="str">
        <f>IFERROR(INDEX(月例!$A$5:$A$788,MATCH("賃金|S|18",月例!$S$5:$S$788,0)),"")</f>
        <v/>
      </c>
      <c r="Q199" s="826" t="str">
        <f>IFERROR(INDEX(月例!$E$5:$E$788,MATCH("賃金|S|18",月例!$S$5:$S$788,0)),"")</f>
        <v/>
      </c>
      <c r="R199" s="827" t="str">
        <f>IFERROR(INDEX(月例!$H$5:$H$788,MATCH("賃金|S|18",月例!$S$5:$S$788,0)),"")</f>
        <v/>
      </c>
      <c r="S199" s="828" t="str">
        <f>IF(R199="","",S198-R199)</f>
        <v/>
      </c>
      <c r="T199" s="829" t="str">
        <f>IFERROR(INDEX(月例!$P$5:$P$788,MATCH("賃金|S|18",月例!$S$5:$S$788,0)),"")</f>
        <v/>
      </c>
    </row>
    <row r="200">
      <c r="A200" s="825" t="str">
        <f>IFERROR(INDEX(月例!$A$5:$A$788,MATCH("非常勤職員手当|S|19",月例!$S$5:$S$788,0)),"")</f>
        <v/>
      </c>
      <c r="B200" s="826" t="str">
        <f>IFERROR(INDEX(月例!$E$5:$E$788,MATCH("非常勤職員手当|S|19",月例!$S$5:$S$788,0)),"")</f>
        <v/>
      </c>
      <c r="C200" s="827" t="str">
        <f>IFERROR(INDEX(月例!$H$5:$H$788,MATCH("非常勤職員手当|S|19",月例!$S$5:$S$788,0)),"")</f>
        <v/>
      </c>
      <c r="D200" s="828" t="str">
        <f>IF(C200="","",D199-C200)</f>
        <v/>
      </c>
      <c r="E200" s="829" t="str">
        <f>IFERROR(INDEX(月例!$P$5:$P$788,MATCH("非常勤職員手当|S|19",月例!$S$5:$S$788,0)),"")</f>
        <v/>
      </c>
      <c r="F200" s="825" t="str">
        <f>IFERROR(INDEX(月例!$A$5:$A$788,MATCH("共済負担金等|S|19",月例!$S$5:$S$788,0)),"")</f>
        <v/>
      </c>
      <c r="G200" s="826" t="str">
        <f>IFERROR(INDEX(月例!$E$5:$E$788,MATCH("共済負担金等|S|19",月例!$S$5:$S$788,0)),"")</f>
        <v/>
      </c>
      <c r="H200" s="827" t="str">
        <f>IFERROR(INDEX(月例!$H$5:$H$788,MATCH("共済負担金等|S|19",月例!$S$5:$S$788,0)),"")</f>
        <v/>
      </c>
      <c r="I200" s="828" t="str">
        <f>IF(H200="","",I199+H200)</f>
        <v/>
      </c>
      <c r="J200" s="829" t="str">
        <f>IFERROR(INDEX(月例!$P$5:$P$788,MATCH("共済負担金等|S|19",月例!$S$5:$S$788,0)),"")</f>
        <v/>
      </c>
      <c r="K200" s="825" t="str">
        <f>IFERROR(INDEX(月例!$A$5:$A$788,MATCH("互助会費|S|19",月例!$S$5:$S$788,0)),"")</f>
        <v/>
      </c>
      <c r="L200" s="826" t="str">
        <f>IFERROR(INDEX(月例!$E$5:$E$788,MATCH("互助会費|S|19",月例!$S$5:$S$788,0)),"")</f>
        <v/>
      </c>
      <c r="M200" s="827" t="str">
        <f>IFERROR(INDEX(月例!$H$5:$H$788,MATCH("互助会費|S|19",月例!$S$5:$S$788,0)),"")</f>
        <v/>
      </c>
      <c r="N200" s="828" t="str">
        <f>IF(M200="","",N199-M200)</f>
        <v/>
      </c>
      <c r="O200" s="829" t="str">
        <f>IFERROR(INDEX(月例!$P$5:$P$788,MATCH("互助会費|S|19",月例!$S$5:$S$788,0)),"")</f>
        <v/>
      </c>
      <c r="P200" s="825" t="str">
        <f>IFERROR(INDEX(月例!$A$5:$A$788,MATCH("賃金|S|19",月例!$S$5:$S$788,0)),"")</f>
        <v/>
      </c>
      <c r="Q200" s="826" t="str">
        <f>IFERROR(INDEX(月例!$E$5:$E$788,MATCH("賃金|S|19",月例!$S$5:$S$788,0)),"")</f>
        <v/>
      </c>
      <c r="R200" s="827" t="str">
        <f>IFERROR(INDEX(月例!$H$5:$H$788,MATCH("賃金|S|19",月例!$S$5:$S$788,0)),"")</f>
        <v/>
      </c>
      <c r="S200" s="828" t="str">
        <f>IF(R200="","",S199-R200)</f>
        <v/>
      </c>
      <c r="T200" s="829" t="str">
        <f>IFERROR(INDEX(月例!$P$5:$P$788,MATCH("賃金|S|19",月例!$S$5:$S$788,0)),"")</f>
        <v/>
      </c>
    </row>
    <row r="201">
      <c r="A201" s="825" t="str">
        <f>IFERROR(INDEX(月例!$A$5:$A$788,MATCH("非常勤職員手当|S|20",月例!$S$5:$S$788,0)),"")</f>
        <v/>
      </c>
      <c r="B201" s="826" t="str">
        <f>IFERROR(INDEX(月例!$E$5:$E$788,MATCH("非常勤職員手当|S|20",月例!$S$5:$S$788,0)),"")</f>
        <v/>
      </c>
      <c r="C201" s="827" t="str">
        <f>IFERROR(INDEX(月例!$H$5:$H$788,MATCH("非常勤職員手当|S|20",月例!$S$5:$S$788,0)),"")</f>
        <v/>
      </c>
      <c r="D201" s="828" t="str">
        <f>IF(C201="","",D200-C201)</f>
        <v/>
      </c>
      <c r="E201" s="829" t="str">
        <f>IFERROR(INDEX(月例!$P$5:$P$788,MATCH("非常勤職員手当|S|20",月例!$S$5:$S$788,0)),"")</f>
        <v/>
      </c>
      <c r="F201" s="825" t="str">
        <f>IFERROR(INDEX(月例!$A$5:$A$788,MATCH("共済負担金等|S|20",月例!$S$5:$S$788,0)),"")</f>
        <v/>
      </c>
      <c r="G201" s="826" t="str">
        <f>IFERROR(INDEX(月例!$E$5:$E$788,MATCH("共済負担金等|S|20",月例!$S$5:$S$788,0)),"")</f>
        <v/>
      </c>
      <c r="H201" s="827" t="str">
        <f>IFERROR(INDEX(月例!$H$5:$H$788,MATCH("共済負担金等|S|20",月例!$S$5:$S$788,0)),"")</f>
        <v/>
      </c>
      <c r="I201" s="828" t="str">
        <f>IF(H201="","",I200+H201)</f>
        <v/>
      </c>
      <c r="J201" s="829" t="str">
        <f>IFERROR(INDEX(月例!$P$5:$P$788,MATCH("共済負担金等|S|20",月例!$S$5:$S$788,0)),"")</f>
        <v/>
      </c>
      <c r="K201" s="825" t="str">
        <f>IFERROR(INDEX(月例!$A$5:$A$788,MATCH("互助会費|S|20",月例!$S$5:$S$788,0)),"")</f>
        <v/>
      </c>
      <c r="L201" s="826" t="str">
        <f>IFERROR(INDEX(月例!$E$5:$E$788,MATCH("互助会費|S|20",月例!$S$5:$S$788,0)),"")</f>
        <v/>
      </c>
      <c r="M201" s="827" t="str">
        <f>IFERROR(INDEX(月例!$H$5:$H$788,MATCH("互助会費|S|20",月例!$S$5:$S$788,0)),"")</f>
        <v/>
      </c>
      <c r="N201" s="828" t="str">
        <f>IF(M201="","",N200-M201)</f>
        <v/>
      </c>
      <c r="O201" s="829" t="str">
        <f>IFERROR(INDEX(月例!$P$5:$P$788,MATCH("互助会費|S|20",月例!$S$5:$S$788,0)),"")</f>
        <v/>
      </c>
      <c r="P201" s="825" t="str">
        <f>IFERROR(INDEX(月例!$A$5:$A$788,MATCH("賃金|S|20",月例!$S$5:$S$788,0)),"")</f>
        <v/>
      </c>
      <c r="Q201" s="826" t="str">
        <f>IFERROR(INDEX(月例!$E$5:$E$788,MATCH("賃金|S|20",月例!$S$5:$S$788,0)),"")</f>
        <v/>
      </c>
      <c r="R201" s="827" t="str">
        <f>IFERROR(INDEX(月例!$H$5:$H$788,MATCH("賃金|S|20",月例!$S$5:$S$788,0)),"")</f>
        <v/>
      </c>
      <c r="S201" s="828" t="str">
        <f>IF(R201="","",S200-R201)</f>
        <v/>
      </c>
      <c r="T201" s="829" t="str">
        <f>IFERROR(INDEX(月例!$P$5:$P$788,MATCH("賃金|S|20",月例!$S$5:$S$788,0)),"")</f>
        <v/>
      </c>
    </row>
    <row r="202">
      <c r="A202" s="825" t="str">
        <f>IFERROR(INDEX(月例!$A$5:$A$788,MATCH("非常勤職員手当|S|21",月例!$S$5:$S$788,0)),"")</f>
        <v/>
      </c>
      <c r="B202" s="826" t="str">
        <f>IFERROR(INDEX(月例!$E$5:$E$788,MATCH("非常勤職員手当|S|21",月例!$S$5:$S$788,0)),"")</f>
        <v/>
      </c>
      <c r="C202" s="827" t="str">
        <f>IFERROR(INDEX(月例!$H$5:$H$788,MATCH("非常勤職員手当|S|21",月例!$S$5:$S$788,0)),"")</f>
        <v/>
      </c>
      <c r="D202" s="828" t="str">
        <f>IF(C202="","",D201-C202)</f>
        <v/>
      </c>
      <c r="E202" s="829" t="str">
        <f>IFERROR(INDEX(月例!$P$5:$P$788,MATCH("非常勤職員手当|S|21",月例!$S$5:$S$788,0)),"")</f>
        <v/>
      </c>
      <c r="F202" s="825" t="str">
        <f>IFERROR(INDEX(月例!$A$5:$A$788,MATCH("共済負担金等|S|21",月例!$S$5:$S$788,0)),"")</f>
        <v/>
      </c>
      <c r="G202" s="826" t="str">
        <f>IFERROR(INDEX(月例!$E$5:$E$788,MATCH("共済負担金等|S|21",月例!$S$5:$S$788,0)),"")</f>
        <v/>
      </c>
      <c r="H202" s="827" t="str">
        <f>IFERROR(INDEX(月例!$H$5:$H$788,MATCH("共済負担金等|S|21",月例!$S$5:$S$788,0)),"")</f>
        <v/>
      </c>
      <c r="I202" s="828" t="str">
        <f>IF(H202="","",I201+H202)</f>
        <v/>
      </c>
      <c r="J202" s="829" t="str">
        <f>IFERROR(INDEX(月例!$P$5:$P$788,MATCH("共済負担金等|S|21",月例!$S$5:$S$788,0)),"")</f>
        <v/>
      </c>
      <c r="K202" s="825" t="str">
        <f>IFERROR(INDEX(月例!$A$5:$A$788,MATCH("互助会費|S|21",月例!$S$5:$S$788,0)),"")</f>
        <v/>
      </c>
      <c r="L202" s="826" t="str">
        <f>IFERROR(INDEX(月例!$E$5:$E$788,MATCH("互助会費|S|21",月例!$S$5:$S$788,0)),"")</f>
        <v/>
      </c>
      <c r="M202" s="827" t="str">
        <f>IFERROR(INDEX(月例!$H$5:$H$788,MATCH("互助会費|S|21",月例!$S$5:$S$788,0)),"")</f>
        <v/>
      </c>
      <c r="N202" s="828" t="str">
        <f>IF(M202="","",N201-M202)</f>
        <v/>
      </c>
      <c r="O202" s="829" t="str">
        <f>IFERROR(INDEX(月例!$P$5:$P$788,MATCH("互助会費|S|21",月例!$S$5:$S$788,0)),"")</f>
        <v/>
      </c>
      <c r="P202" s="825" t="str">
        <f>IFERROR(INDEX(月例!$A$5:$A$788,MATCH("賃金|S|21",月例!$S$5:$S$788,0)),"")</f>
        <v/>
      </c>
      <c r="Q202" s="826" t="str">
        <f>IFERROR(INDEX(月例!$E$5:$E$788,MATCH("賃金|S|21",月例!$S$5:$S$788,0)),"")</f>
        <v/>
      </c>
      <c r="R202" s="827" t="str">
        <f>IFERROR(INDEX(月例!$H$5:$H$788,MATCH("賃金|S|21",月例!$S$5:$S$788,0)),"")</f>
        <v/>
      </c>
      <c r="S202" s="828" t="str">
        <f>IF(R202="","",S201-R202)</f>
        <v/>
      </c>
      <c r="T202" s="829" t="str">
        <f>IFERROR(INDEX(月例!$P$5:$P$788,MATCH("賃金|S|21",月例!$S$5:$S$788,0)),"")</f>
        <v/>
      </c>
    </row>
    <row r="203">
      <c r="A203" s="825" t="str">
        <f>IFERROR(INDEX(月例!$A$5:$A$788,MATCH("非常勤職員手当|S|22",月例!$S$5:$S$788,0)),"")</f>
        <v/>
      </c>
      <c r="B203" s="826" t="str">
        <f>IFERROR(INDEX(月例!$E$5:$E$788,MATCH("非常勤職員手当|S|22",月例!$S$5:$S$788,0)),"")</f>
        <v/>
      </c>
      <c r="C203" s="827" t="str">
        <f>IFERROR(INDEX(月例!$H$5:$H$788,MATCH("非常勤職員手当|S|22",月例!$S$5:$S$788,0)),"")</f>
        <v/>
      </c>
      <c r="D203" s="828" t="str">
        <f>IF(C203="","",D202-C203)</f>
        <v/>
      </c>
      <c r="E203" s="829" t="str">
        <f>IFERROR(INDEX(月例!$P$5:$P$788,MATCH("非常勤職員手当|S|22",月例!$S$5:$S$788,0)),"")</f>
        <v/>
      </c>
      <c r="F203" s="825" t="str">
        <f>IFERROR(INDEX(月例!$A$5:$A$788,MATCH("共済負担金等|S|22",月例!$S$5:$S$788,0)),"")</f>
        <v/>
      </c>
      <c r="G203" s="826" t="str">
        <f>IFERROR(INDEX(月例!$E$5:$E$788,MATCH("共済負担金等|S|22",月例!$S$5:$S$788,0)),"")</f>
        <v/>
      </c>
      <c r="H203" s="827" t="str">
        <f>IFERROR(INDEX(月例!$H$5:$H$788,MATCH("共済負担金等|S|22",月例!$S$5:$S$788,0)),"")</f>
        <v/>
      </c>
      <c r="I203" s="828" t="str">
        <f>IF(H203="","",I202+H203)</f>
        <v/>
      </c>
      <c r="J203" s="829" t="str">
        <f>IFERROR(INDEX(月例!$P$5:$P$788,MATCH("共済負担金等|S|22",月例!$S$5:$S$788,0)),"")</f>
        <v/>
      </c>
      <c r="K203" s="825" t="str">
        <f>IFERROR(INDEX(月例!$A$5:$A$788,MATCH("互助会費|S|22",月例!$S$5:$S$788,0)),"")</f>
        <v/>
      </c>
      <c r="L203" s="826" t="str">
        <f>IFERROR(INDEX(月例!$E$5:$E$788,MATCH("互助会費|S|22",月例!$S$5:$S$788,0)),"")</f>
        <v/>
      </c>
      <c r="M203" s="827" t="str">
        <f>IFERROR(INDEX(月例!$H$5:$H$788,MATCH("互助会費|S|22",月例!$S$5:$S$788,0)),"")</f>
        <v/>
      </c>
      <c r="N203" s="828" t="str">
        <f>IF(M203="","",N202-M203)</f>
        <v/>
      </c>
      <c r="O203" s="829" t="str">
        <f>IFERROR(INDEX(月例!$P$5:$P$788,MATCH("互助会費|S|22",月例!$S$5:$S$788,0)),"")</f>
        <v/>
      </c>
      <c r="P203" s="825" t="str">
        <f>IFERROR(INDEX(月例!$A$5:$A$788,MATCH("賃金|S|22",月例!$S$5:$S$788,0)),"")</f>
        <v/>
      </c>
      <c r="Q203" s="826" t="str">
        <f>IFERROR(INDEX(月例!$E$5:$E$788,MATCH("賃金|S|22",月例!$S$5:$S$788,0)),"")</f>
        <v/>
      </c>
      <c r="R203" s="827" t="str">
        <f>IFERROR(INDEX(月例!$H$5:$H$788,MATCH("賃金|S|22",月例!$S$5:$S$788,0)),"")</f>
        <v/>
      </c>
      <c r="S203" s="828" t="str">
        <f>IF(R203="","",S202-R203)</f>
        <v/>
      </c>
      <c r="T203" s="829" t="str">
        <f>IFERROR(INDEX(月例!$P$5:$P$788,MATCH("賃金|S|22",月例!$S$5:$S$788,0)),"")</f>
        <v/>
      </c>
    </row>
    <row r="204">
      <c r="A204" s="825" t="str">
        <f>IFERROR(INDEX(月例!$A$5:$A$788,MATCH("非常勤職員手当|S|23",月例!$S$5:$S$788,0)),"")</f>
        <v/>
      </c>
      <c r="B204" s="826" t="str">
        <f>IFERROR(INDEX(月例!$E$5:$E$788,MATCH("非常勤職員手当|S|23",月例!$S$5:$S$788,0)),"")</f>
        <v/>
      </c>
      <c r="C204" s="827" t="str">
        <f>IFERROR(INDEX(月例!$H$5:$H$788,MATCH("非常勤職員手当|S|23",月例!$S$5:$S$788,0)),"")</f>
        <v/>
      </c>
      <c r="D204" s="828" t="str">
        <f>IF(C204="","",D203-C204)</f>
        <v/>
      </c>
      <c r="E204" s="829" t="str">
        <f>IFERROR(INDEX(月例!$P$5:$P$788,MATCH("非常勤職員手当|S|23",月例!$S$5:$S$788,0)),"")</f>
        <v/>
      </c>
      <c r="F204" s="825" t="str">
        <f>IFERROR(INDEX(月例!$A$5:$A$788,MATCH("共済負担金等|S|23",月例!$S$5:$S$788,0)),"")</f>
        <v/>
      </c>
      <c r="G204" s="826" t="str">
        <f>IFERROR(INDEX(月例!$E$5:$E$788,MATCH("共済負担金等|S|23",月例!$S$5:$S$788,0)),"")</f>
        <v/>
      </c>
      <c r="H204" s="827" t="str">
        <f>IFERROR(INDEX(月例!$H$5:$H$788,MATCH("共済負担金等|S|23",月例!$S$5:$S$788,0)),"")</f>
        <v/>
      </c>
      <c r="I204" s="828" t="str">
        <f>IF(H204="","",I203+H204)</f>
        <v/>
      </c>
      <c r="J204" s="829" t="str">
        <f>IFERROR(INDEX(月例!$P$5:$P$788,MATCH("共済負担金等|S|23",月例!$S$5:$S$788,0)),"")</f>
        <v/>
      </c>
      <c r="K204" s="825" t="str">
        <f>IFERROR(INDEX(月例!$A$5:$A$788,MATCH("互助会費|S|23",月例!$S$5:$S$788,0)),"")</f>
        <v/>
      </c>
      <c r="L204" s="826" t="str">
        <f>IFERROR(INDEX(月例!$E$5:$E$788,MATCH("互助会費|S|23",月例!$S$5:$S$788,0)),"")</f>
        <v/>
      </c>
      <c r="M204" s="827" t="str">
        <f>IFERROR(INDEX(月例!$H$5:$H$788,MATCH("互助会費|S|23",月例!$S$5:$S$788,0)),"")</f>
        <v/>
      </c>
      <c r="N204" s="828" t="str">
        <f>IF(M204="","",N203-M204)</f>
        <v/>
      </c>
      <c r="O204" s="829" t="str">
        <f>IFERROR(INDEX(月例!$P$5:$P$788,MATCH("互助会費|S|23",月例!$S$5:$S$788,0)),"")</f>
        <v/>
      </c>
      <c r="P204" s="825" t="str">
        <f>IFERROR(INDEX(月例!$A$5:$A$788,MATCH("賃金|S|23",月例!$S$5:$S$788,0)),"")</f>
        <v/>
      </c>
      <c r="Q204" s="826" t="str">
        <f>IFERROR(INDEX(月例!$E$5:$E$788,MATCH("賃金|S|23",月例!$S$5:$S$788,0)),"")</f>
        <v/>
      </c>
      <c r="R204" s="827" t="str">
        <f>IFERROR(INDEX(月例!$H$5:$H$788,MATCH("賃金|S|23",月例!$S$5:$S$788,0)),"")</f>
        <v/>
      </c>
      <c r="S204" s="828" t="str">
        <f>IF(R204="","",S203-R204)</f>
        <v/>
      </c>
      <c r="T204" s="829" t="str">
        <f>IFERROR(INDEX(月例!$P$5:$P$788,MATCH("賃金|S|23",月例!$S$5:$S$788,0)),"")</f>
        <v/>
      </c>
    </row>
    <row r="205">
      <c r="A205" s="825" t="str">
        <f>IFERROR(INDEX(月例!$A$5:$A$788,MATCH("非常勤職員手当|S|24",月例!$S$5:$S$788,0)),"")</f>
        <v/>
      </c>
      <c r="B205" s="826" t="str">
        <f>IFERROR(INDEX(月例!$E$5:$E$788,MATCH("非常勤職員手当|S|24",月例!$S$5:$S$788,0)),"")</f>
        <v/>
      </c>
      <c r="C205" s="827" t="str">
        <f>IFERROR(INDEX(月例!$H$5:$H$788,MATCH("非常勤職員手当|S|24",月例!$S$5:$S$788,0)),"")</f>
        <v/>
      </c>
      <c r="D205" s="828" t="str">
        <f>IF(C205="","",D204-C205)</f>
        <v/>
      </c>
      <c r="E205" s="829" t="str">
        <f>IFERROR(INDEX(月例!$P$5:$P$788,MATCH("非常勤職員手当|S|24",月例!$S$5:$S$788,0)),"")</f>
        <v/>
      </c>
      <c r="F205" s="825" t="str">
        <f>IFERROR(INDEX(月例!$A$5:$A$788,MATCH("共済負担金等|S|24",月例!$S$5:$S$788,0)),"")</f>
        <v/>
      </c>
      <c r="G205" s="826" t="str">
        <f>IFERROR(INDEX(月例!$E$5:$E$788,MATCH("共済負担金等|S|24",月例!$S$5:$S$788,0)),"")</f>
        <v/>
      </c>
      <c r="H205" s="827" t="str">
        <f>IFERROR(INDEX(月例!$H$5:$H$788,MATCH("共済負担金等|S|24",月例!$S$5:$S$788,0)),"")</f>
        <v/>
      </c>
      <c r="I205" s="828" t="str">
        <f>IF(H205="","",I204+H205)</f>
        <v/>
      </c>
      <c r="J205" s="829" t="str">
        <f>IFERROR(INDEX(月例!$P$5:$P$788,MATCH("共済負担金等|S|24",月例!$S$5:$S$788,0)),"")</f>
        <v/>
      </c>
      <c r="K205" s="825" t="str">
        <f>IFERROR(INDEX(月例!$A$5:$A$788,MATCH("互助会費|S|24",月例!$S$5:$S$788,0)),"")</f>
        <v/>
      </c>
      <c r="L205" s="826" t="str">
        <f>IFERROR(INDEX(月例!$E$5:$E$788,MATCH("互助会費|S|24",月例!$S$5:$S$788,0)),"")</f>
        <v/>
      </c>
      <c r="M205" s="827" t="str">
        <f>IFERROR(INDEX(月例!$H$5:$H$788,MATCH("互助会費|S|24",月例!$S$5:$S$788,0)),"")</f>
        <v/>
      </c>
      <c r="N205" s="828" t="str">
        <f>IF(M205="","",N204-M205)</f>
        <v/>
      </c>
      <c r="O205" s="829" t="str">
        <f>IFERROR(INDEX(月例!$P$5:$P$788,MATCH("互助会費|S|24",月例!$S$5:$S$788,0)),"")</f>
        <v/>
      </c>
    </row>
    <row r="206">
      <c r="A206" s="825" t="str">
        <f>IFERROR(INDEX(月例!$A$5:$A$788,MATCH("非常勤職員手当|S|25",月例!$S$5:$S$788,0)),"")</f>
        <v/>
      </c>
      <c r="B206" s="826" t="str">
        <f>IFERROR(INDEX(月例!$E$5:$E$788,MATCH("非常勤職員手当|S|25",月例!$S$5:$S$788,0)),"")</f>
        <v/>
      </c>
      <c r="C206" s="827" t="str">
        <f>IFERROR(INDEX(月例!$H$5:$H$788,MATCH("非常勤職員手当|S|25",月例!$S$5:$S$788,0)),"")</f>
        <v/>
      </c>
      <c r="D206" s="828" t="str">
        <f>IF(C206="","",D205-C206)</f>
        <v/>
      </c>
      <c r="E206" s="829" t="str">
        <f>IFERROR(INDEX(月例!$P$5:$P$788,MATCH("非常勤職員手当|S|25",月例!$S$5:$S$788,0)),"")</f>
        <v/>
      </c>
      <c r="F206" s="825" t="str">
        <f>IFERROR(INDEX(月例!$A$5:$A$788,MATCH("共済負担金等|S|25",月例!$S$5:$S$788,0)),"")</f>
        <v/>
      </c>
      <c r="G206" s="826" t="str">
        <f>IFERROR(INDEX(月例!$E$5:$E$788,MATCH("共済負担金等|S|25",月例!$S$5:$S$788,0)),"")</f>
        <v/>
      </c>
      <c r="H206" s="827" t="str">
        <f>IFERROR(INDEX(月例!$H$5:$H$788,MATCH("共済負担金等|S|25",月例!$S$5:$S$788,0)),"")</f>
        <v/>
      </c>
      <c r="I206" s="828" t="str">
        <f>IF(H206="","",I205+H206)</f>
        <v/>
      </c>
      <c r="J206" s="829" t="str">
        <f>IFERROR(INDEX(月例!$P$5:$P$788,MATCH("共済負担金等|S|25",月例!$S$5:$S$788,0)),"")</f>
        <v/>
      </c>
      <c r="K206" s="825" t="str">
        <f>IFERROR(INDEX(月例!$A$5:$A$788,MATCH("互助会費|S|25",月例!$S$5:$S$788,0)),"")</f>
        <v/>
      </c>
      <c r="L206" s="826" t="str">
        <f>IFERROR(INDEX(月例!$E$5:$E$788,MATCH("互助会費|S|25",月例!$S$5:$S$788,0)),"")</f>
        <v/>
      </c>
      <c r="M206" s="827" t="str">
        <f>IFERROR(INDEX(月例!$H$5:$H$788,MATCH("互助会費|S|25",月例!$S$5:$S$788,0)),"")</f>
        <v/>
      </c>
      <c r="N206" s="828" t="str">
        <f>IF(M206="","",N205-M206)</f>
        <v/>
      </c>
      <c r="O206" s="829" t="str">
        <f>IFERROR(INDEX(月例!$P$5:$P$788,MATCH("互助会費|S|25",月例!$S$5:$S$788,0)),"")</f>
        <v/>
      </c>
    </row>
    <row r="207">
      <c r="A207" s="825" t="str">
        <f>IFERROR(INDEX(月例!$A$5:$A$788,MATCH("非常勤職員手当|S|26",月例!$S$5:$S$788,0)),"")</f>
        <v/>
      </c>
      <c r="B207" s="826" t="str">
        <f>IFERROR(INDEX(月例!$E$5:$E$788,MATCH("非常勤職員手当|S|26",月例!$S$5:$S$788,0)),"")</f>
        <v/>
      </c>
      <c r="C207" s="827" t="str">
        <f>IFERROR(INDEX(月例!$H$5:$H$788,MATCH("非常勤職員手当|S|26",月例!$S$5:$S$788,0)),"")</f>
        <v/>
      </c>
      <c r="D207" s="828" t="str">
        <f>IF(C207="","",D206-C207)</f>
        <v/>
      </c>
      <c r="E207" s="829" t="str">
        <f>IFERROR(INDEX(月例!$P$5:$P$788,MATCH("非常勤職員手当|S|26",月例!$S$5:$S$788,0)),"")</f>
        <v/>
      </c>
      <c r="F207" s="825" t="str">
        <f>IFERROR(INDEX(月例!$A$5:$A$788,MATCH("共済負担金等|S|26",月例!$S$5:$S$788,0)),"")</f>
        <v/>
      </c>
      <c r="G207" s="826" t="str">
        <f>IFERROR(INDEX(月例!$E$5:$E$788,MATCH("共済負担金等|S|26",月例!$S$5:$S$788,0)),"")</f>
        <v/>
      </c>
      <c r="H207" s="827" t="str">
        <f>IFERROR(INDEX(月例!$H$5:$H$788,MATCH("共済負担金等|S|26",月例!$S$5:$S$788,0)),"")</f>
        <v/>
      </c>
      <c r="I207" s="828" t="str">
        <f>IF(H207="","",I206+H207)</f>
        <v/>
      </c>
      <c r="J207" s="829" t="str">
        <f>IFERROR(INDEX(月例!$P$5:$P$788,MATCH("共済負担金等|S|26",月例!$S$5:$S$788,0)),"")</f>
        <v/>
      </c>
    </row>
    <row r="208">
      <c r="A208" s="825" t="str">
        <f>IFERROR(INDEX(月例!$A$5:$A$788,MATCH("非常勤職員手当|S|27",月例!$S$5:$S$788,0)),"")</f>
        <v/>
      </c>
      <c r="B208" s="826" t="str">
        <f>IFERROR(INDEX(月例!$E$5:$E$788,MATCH("非常勤職員手当|S|27",月例!$S$5:$S$788,0)),"")</f>
        <v/>
      </c>
      <c r="C208" s="827" t="str">
        <f>IFERROR(INDEX(月例!$H$5:$H$788,MATCH("非常勤職員手当|S|27",月例!$S$5:$S$788,0)),"")</f>
        <v/>
      </c>
      <c r="D208" s="828" t="str">
        <f>IF(C208="","",D207-C208)</f>
        <v/>
      </c>
      <c r="E208" s="829" t="str">
        <f>IFERROR(INDEX(月例!$P$5:$P$788,MATCH("非常勤職員手当|S|27",月例!$S$5:$S$788,0)),"")</f>
        <v/>
      </c>
      <c r="F208" s="825" t="str">
        <f>IFERROR(INDEX(月例!$A$5:$A$788,MATCH("共済負担金等|S|27",月例!$S$5:$S$788,0)),"")</f>
        <v/>
      </c>
      <c r="G208" s="826" t="str">
        <f>IFERROR(INDEX(月例!$E$5:$E$788,MATCH("共済負担金等|S|27",月例!$S$5:$S$788,0)),"")</f>
        <v/>
      </c>
      <c r="H208" s="827" t="str">
        <f>IFERROR(INDEX(月例!$H$5:$H$788,MATCH("共済負担金等|S|27",月例!$S$5:$S$788,0)),"")</f>
        <v/>
      </c>
      <c r="I208" s="828" t="str">
        <f>IF(H208="","",I207+H208)</f>
        <v/>
      </c>
      <c r="J208" s="829" t="str">
        <f>IFERROR(INDEX(月例!$P$5:$P$788,MATCH("共済負担金等|S|27",月例!$S$5:$S$788,0)),"")</f>
        <v/>
      </c>
    </row>
    <row r="209">
      <c r="A209" s="825" t="str">
        <f>IFERROR(INDEX(月例!$A$5:$A$788,MATCH("非常勤職員手当|S|28",月例!$S$5:$S$788,0)),"")</f>
        <v/>
      </c>
      <c r="B209" s="826" t="str">
        <f>IFERROR(INDEX(月例!$E$5:$E$788,MATCH("非常勤職員手当|S|28",月例!$S$5:$S$788,0)),"")</f>
        <v/>
      </c>
      <c r="C209" s="827" t="str">
        <f>IFERROR(INDEX(月例!$H$5:$H$788,MATCH("非常勤職員手当|S|28",月例!$S$5:$S$788,0)),"")</f>
        <v/>
      </c>
      <c r="D209" s="828" t="str">
        <f>IF(C209="","",D208-C209)</f>
        <v/>
      </c>
      <c r="E209" s="829" t="str">
        <f>IFERROR(INDEX(月例!$P$5:$P$788,MATCH("非常勤職員手当|S|28",月例!$S$5:$S$788,0)),"")</f>
        <v/>
      </c>
      <c r="F209" s="825" t="str">
        <f>IFERROR(INDEX(月例!$A$5:$A$788,MATCH("共済負担金等|S|28",月例!$S$5:$S$788,0)),"")</f>
        <v/>
      </c>
      <c r="G209" s="826" t="str">
        <f>IFERROR(INDEX(月例!$E$5:$E$788,MATCH("共済負担金等|S|28",月例!$S$5:$S$788,0)),"")</f>
        <v/>
      </c>
      <c r="H209" s="827" t="str">
        <f>IFERROR(INDEX(月例!$H$5:$H$788,MATCH("共済負担金等|S|28",月例!$S$5:$S$788,0)),"")</f>
        <v/>
      </c>
      <c r="I209" s="828" t="str">
        <f>IF(H209="","",I208+H209)</f>
        <v/>
      </c>
      <c r="J209" s="829" t="str">
        <f>IFERROR(INDEX(月例!$P$5:$P$788,MATCH("共済負担金等|S|28",月例!$S$5:$S$788,0)),"")</f>
        <v/>
      </c>
    </row>
    <row r="213">
      <c r="B213" s="502" t="inlineStr">
        <is>
          <t>○負担金  厚年負担金等</t>
        </is>
      </c>
      <c r="D213" s="503" t="inlineStr">
        <is>
          <t>業務（短）</t>
        </is>
      </c>
      <c r="E213" s="824" t="str">
        <f>IF(COUNTIF(月例!$S$5:$S$788,"厚年負担金等|S|*")&gt;23,"行不足","")</f>
        <v/>
      </c>
      <c r="G213" s="502" t="inlineStr">
        <is>
          <t>○厚生費</t>
        </is>
      </c>
      <c r="I213" s="503" t="inlineStr">
        <is>
          <t>業務（短）</t>
        </is>
      </c>
      <c r="J213" s="824" t="str">
        <f>IF(COUNTIF(月例!$S$5:$S$788,"厚生費|S|*")&gt;16,"行不足","")</f>
        <v/>
      </c>
      <c r="L213" s="502" t="inlineStr">
        <is>
          <t>○普及費</t>
        </is>
      </c>
      <c r="N213" s="503" t="inlineStr">
        <is>
          <t>業務（短）</t>
        </is>
      </c>
      <c r="O213" s="824" t="str">
        <f>IF(COUNTIF(月例!$S$5:$S$788,"普及費|S|*")&gt;14,"行不足","")</f>
        <v/>
      </c>
      <c r="Q213" s="502" t="inlineStr">
        <is>
          <t>○事務費  会議費</t>
        </is>
      </c>
      <c r="S213" s="503" t="inlineStr">
        <is>
          <t>業務（短）</t>
        </is>
      </c>
      <c r="T213" s="824" t="str">
        <f>IF(COUNTIF(月例!$S$5:$S$788,"会議費|S|*")&gt;12,"行不足","")</f>
        <v/>
      </c>
    </row>
    <row r="214">
      <c r="A214" s="100" t="inlineStr">
        <is>
          <t>支出日</t>
        </is>
      </c>
      <c r="B214" s="100" t="inlineStr">
        <is>
          <t>摘要</t>
        </is>
      </c>
      <c r="C214" s="100" t="inlineStr">
        <is>
          <t>支出</t>
        </is>
      </c>
      <c r="D214" s="100" t="inlineStr">
        <is>
          <t>累計</t>
        </is>
      </c>
      <c r="E214" s="100" t="inlineStr">
        <is>
          <t>状態</t>
        </is>
      </c>
      <c r="F214" s="100" t="inlineStr">
        <is>
          <t>支出日</t>
        </is>
      </c>
      <c r="G214" s="100" t="inlineStr">
        <is>
          <t>摘要</t>
        </is>
      </c>
      <c r="H214" s="100" t="inlineStr">
        <is>
          <t>支出</t>
        </is>
      </c>
      <c r="I214" s="100" t="inlineStr">
        <is>
          <t>残額</t>
        </is>
      </c>
      <c r="J214" s="100" t="inlineStr">
        <is>
          <t>状態</t>
        </is>
      </c>
      <c r="K214" s="100" t="inlineStr">
        <is>
          <t>支出日</t>
        </is>
      </c>
      <c r="L214" s="100" t="inlineStr">
        <is>
          <t>摘要</t>
        </is>
      </c>
      <c r="M214" s="100" t="inlineStr">
        <is>
          <t>支出</t>
        </is>
      </c>
      <c r="N214" s="100" t="inlineStr">
        <is>
          <t>残額</t>
        </is>
      </c>
      <c r="O214" s="100" t="inlineStr">
        <is>
          <t>状態</t>
        </is>
      </c>
      <c r="P214" s="100" t="inlineStr">
        <is>
          <t>支出日</t>
        </is>
      </c>
      <c r="Q214" s="100" t="inlineStr">
        <is>
          <t>摘要</t>
        </is>
      </c>
      <c r="R214" s="100" t="inlineStr">
        <is>
          <t>支出</t>
        </is>
      </c>
      <c r="S214" s="100" t="inlineStr">
        <is>
          <t>残額</t>
        </is>
      </c>
      <c r="T214" s="100" t="inlineStr">
        <is>
          <t>状態</t>
        </is>
      </c>
    </row>
    <row r="215">
      <c r="A215" s="825" t="n"/>
      <c r="B215" s="826" t="inlineStr">
        <is>
          <t>（予算なし）</t>
        </is>
      </c>
      <c r="C215" s="827" t="n"/>
      <c r="D215" s="828" t="n">
        <v>0</v>
      </c>
      <c r="F215" s="825" t="n"/>
      <c r="G215" s="826" t="inlineStr">
        <is>
          <t>予算現額</t>
        </is>
      </c>
      <c r="H215" s="827" t="n"/>
      <c r="I215" s="828">
        <f>'R7業務 (短)'!$S$10</f>
        <v>62000</v>
      </c>
      <c r="K215" s="825" t="n"/>
      <c r="L215" s="826" t="inlineStr">
        <is>
          <t>予算現額</t>
        </is>
      </c>
      <c r="M215" s="827" t="n"/>
      <c r="N215" s="828">
        <f>'R7業務 (短)'!$S$24</f>
        <v>1532000</v>
      </c>
      <c r="P215" s="825" t="n"/>
      <c r="Q215" s="826" t="inlineStr">
        <is>
          <t>予算現額</t>
        </is>
      </c>
      <c r="R215" s="827" t="n"/>
      <c r="S215" s="828">
        <f>'R7業務 (短)'!$S$16</f>
        <v>0</v>
      </c>
    </row>
    <row r="216">
      <c r="A216" s="825">
        <f>IFERROR(INDEX(月例!$A$5:$A$788,MATCH("厚年負担金等|S|1",月例!$S$5:$S$788,0)),"")</f>
        <v>46174</v>
      </c>
      <c r="B216" s="826" t="str">
        <f>IFERROR(INDEX(月例!$E$5:$E$788,MATCH("厚年負担金等|S|1",月例!$S$5:$S$788,0)),"")</f>
        <v>４月月例分（短期分）子ども子育て拠出金を含む</v>
      </c>
      <c r="C216" s="827">
        <f>IFERROR(INDEX(月例!$H$5:$H$788,MATCH("厚年負担金等|S|1",月例!$S$5:$S$788,0)),"")</f>
        <v>62766</v>
      </c>
      <c r="D216" s="828">
        <f>IF(C216="","",D215+C216)</f>
        <v>62766</v>
      </c>
      <c r="E216" s="829" t="str">
        <f>IFERROR(INDEX(月例!$P$5:$P$788,MATCH("厚年負担金等|S|1",月例!$S$5:$S$788,0)),"")</f>
        <v>確認済</v>
      </c>
      <c r="F216" s="825">
        <f>IFERROR(INDEX(月例!$A$5:$A$788,MATCH("厚生費|S|1",月例!$S$5:$S$788,0)),"")</f>
        <v>44718</v>
      </c>
      <c r="G216" s="826" t="str">
        <f>IFERROR(INDEX(月例!$E$5:$E$788,MATCH("厚生費|S|1",月例!$S$5:$S$788,0)),"")</f>
        <v>健康診断費自己負担超分（一山）</v>
      </c>
      <c r="H216" s="827">
        <f>IFERROR(INDEX(月例!$H$5:$H$788,MATCH("厚生費|S|1",月例!$S$5:$S$788,0)),"")</f>
        <v>1569</v>
      </c>
      <c r="I216" s="828">
        <f>IF(H216="","",I215-H216)</f>
        <v>60431</v>
      </c>
      <c r="J216" s="829" t="str">
        <f>IFERROR(INDEX(月例!$P$5:$P$788,MATCH("厚生費|S|1",月例!$S$5:$S$788,0)),"")</f>
        <v>昨年実績</v>
      </c>
      <c r="K216" s="825">
        <f>IFERROR(INDEX(月例!$A$5:$A$788,MATCH("普及費|S|1",月例!$S$5:$S$788,0)),"")</f>
        <v>46259</v>
      </c>
      <c r="L216" s="826" t="str">
        <f>IFERROR(INDEX(月例!$E$5:$E$788,MATCH("普及費|S|1",月例!$S$5:$S$788,0)),"")</f>
        <v>厚生だより等印刷代分担金　互助会（第１四半期）[短期]</v>
      </c>
      <c r="M216" s="827">
        <f>IFERROR(INDEX(月例!$H$5:$H$788,MATCH("普及費|S|1",月例!$S$5:$S$788,0)),"")</f>
        <v>371265</v>
      </c>
      <c r="N216" s="828">
        <f>IF(M216="","",N215-M216)</f>
        <v>1160735</v>
      </c>
      <c r="O216" s="829" t="str">
        <f>IFERROR(INDEX(月例!$P$5:$P$788,MATCH("普及費|S|1",月例!$S$5:$S$788,0)),"")</f>
        <v>確認済</v>
      </c>
      <c r="P216" s="825">
        <f>IFERROR(INDEX(月例!$A$5:$A$788,MATCH("会議費|S|1",月例!$S$5:$S$788,0)),"")</f>
        <v>45903</v>
      </c>
      <c r="Q216" s="826" t="str">
        <f>IFERROR(INDEX(月例!$E$5:$E$788,MATCH("会議費|S|1",月例!$S$5:$S$788,0)),"")</f>
        <v>大都市職員共済組合互選関係役員協議会　会議負担金（村上理事長、児玉理事長職務代理者）</v>
      </c>
      <c r="R216" s="827">
        <f>IFERROR(INDEX(月例!$H$5:$H$788,MATCH("会議費|S|1",月例!$S$5:$S$788,0)),"")</f>
        <v>7651</v>
      </c>
      <c r="S216" s="828">
        <f>IF(R216="","",S215-R216)</f>
        <v>-7651</v>
      </c>
      <c r="T216" s="829" t="str">
        <f>IFERROR(INDEX(月例!$P$5:$P$788,MATCH("会議費|S|1",月例!$S$5:$S$788,0)),"")</f>
        <v>昨年実績</v>
      </c>
    </row>
    <row r="217">
      <c r="A217" s="825">
        <f>IFERROR(INDEX(月例!$A$5:$A$788,MATCH("厚年負担金等|S|2",月例!$S$5:$S$788,0)),"")</f>
        <v>46203</v>
      </c>
      <c r="B217" s="826" t="str">
        <f>IFERROR(INDEX(月例!$E$5:$E$788,MATCH("厚年負担金等|S|2",月例!$S$5:$S$788,0)),"")</f>
        <v>５月月例分（短期分）子ども子育て拠出金を含む</v>
      </c>
      <c r="C217" s="827">
        <f>IFERROR(INDEX(月例!$H$5:$H$788,MATCH("厚年負担金等|S|2",月例!$S$5:$S$788,0)),"")</f>
        <v>62766</v>
      </c>
      <c r="D217" s="828">
        <f>IF(C217="","",D216+C217)</f>
        <v>125532</v>
      </c>
      <c r="E217" s="829" t="str">
        <f>IFERROR(INDEX(月例!$P$5:$P$788,MATCH("厚年負担金等|S|2",月例!$S$5:$S$788,0)),"")</f>
        <v>確認済</v>
      </c>
      <c r="F217" s="825">
        <f>IFERROR(INDEX(月例!$A$5:$A$788,MATCH("厚生費|S|2",月例!$S$5:$S$788,0)),"")</f>
        <v>45884</v>
      </c>
      <c r="G217" s="826" t="str">
        <f>IFERROR(INDEX(月例!$E$5:$E$788,MATCH("厚生費|S|2",月例!$S$5:$S$788,0)),"")</f>
        <v>定期健康診断等（天畠、高橋）</v>
      </c>
      <c r="H217" s="827">
        <f>IFERROR(INDEX(月例!$H$5:$H$788,MATCH("厚生費|S|2",月例!$S$5:$S$788,0)),"")</f>
        <v>5742</v>
      </c>
      <c r="I217" s="828">
        <f>IF(H217="","",I216-H217)</f>
        <v>54689</v>
      </c>
      <c r="J217" s="829" t="str">
        <f>IFERROR(INDEX(月例!$P$5:$P$788,MATCH("厚生費|S|2",月例!$S$5:$S$788,0)),"")</f>
        <v>昨年実績</v>
      </c>
      <c r="K217" s="825">
        <f>IFERROR(INDEX(月例!$A$5:$A$788,MATCH("普及費|S|2",月例!$S$5:$S$788,0)),"")</f>
        <v>46325</v>
      </c>
      <c r="L217" s="826" t="str">
        <f>IFERROR(INDEX(月例!$E$5:$E$788,MATCH("普及費|S|2",月例!$S$5:$S$788,0)),"")</f>
        <v>厚生だより等印刷代分担金　互助会（第２四半期）</v>
      </c>
      <c r="M217" s="827">
        <f>IFERROR(INDEX(月例!$H$5:$H$788,MATCH("普及費|S|2",月例!$S$5:$S$788,0)),"")</f>
        <v>124434</v>
      </c>
      <c r="N217" s="828">
        <f>IF(M217="","",N216-M217)</f>
        <v>1036301</v>
      </c>
      <c r="O217" s="829" t="str">
        <f>IFERROR(INDEX(月例!$P$5:$P$788,MATCH("普及費|S|2",月例!$S$5:$S$788,0)),"")</f>
        <v>確認済</v>
      </c>
      <c r="P217" s="825">
        <f>IFERROR(INDEX(月例!$A$5:$A$788,MATCH("会議費|S|2",月例!$S$5:$S$788,0)),"")</f>
        <v>45926</v>
      </c>
      <c r="Q217" s="826" t="str">
        <f>IFERROR(INDEX(月例!$E$5:$E$788,MATCH("会議費|S|2",月例!$S$5:$S$788,0)),"")</f>
        <v>大都市職員共済組合互選関係役員協議会　会議負担金</v>
      </c>
      <c r="R217" s="827">
        <f>IFERROR(INDEX(月例!$H$5:$H$788,MATCH("会議費|S|2",月例!$S$5:$S$788,0)),"")</f>
        <v>147430</v>
      </c>
      <c r="S217" s="828">
        <f>IF(R217="","",S216-R217)</f>
        <v>-155081</v>
      </c>
      <c r="T217" s="829" t="str">
        <f>IFERROR(INDEX(月例!$P$5:$P$788,MATCH("会議費|S|2",月例!$S$5:$S$788,0)),"")</f>
        <v>昨年実績</v>
      </c>
    </row>
    <row r="218">
      <c r="A218" s="825">
        <f>IFERROR(INDEX(月例!$A$5:$A$788,MATCH("厚年負担金等|S|3",月例!$S$5:$S$788,0)),"")</f>
        <v>46234</v>
      </c>
      <c r="B218" s="826" t="str">
        <f>IFERROR(INDEX(月例!$E$5:$E$788,MATCH("厚年負担金等|S|3",月例!$S$5:$S$788,0)),"")</f>
        <v>７月月例（短期分）子ども子育て拠出金を含む</v>
      </c>
      <c r="C218" s="827">
        <f>IFERROR(INDEX(月例!$H$5:$H$788,MATCH("厚年負担金等|S|3",月例!$S$5:$S$788,0)),"")</f>
        <v>62766</v>
      </c>
      <c r="D218" s="828">
        <f>IF(C218="","",D217+C218)</f>
        <v>188298</v>
      </c>
      <c r="E218" s="829" t="str">
        <f>IFERROR(INDEX(月例!$P$5:$P$788,MATCH("厚年負担金等|S|3",月例!$S$5:$S$788,0)),"")</f>
        <v>確認済</v>
      </c>
      <c r="F218" s="825">
        <f>IFERROR(INDEX(月例!$A$5:$A$788,MATCH("厚生費|S|3",月例!$S$5:$S$788,0)),"")</f>
        <v>46280</v>
      </c>
      <c r="G218" s="826" t="str">
        <f>IFERROR(INDEX(月例!$E$5:$E$788,MATCH("厚生費|S|3",月例!$S$5:$S$788,0)),"")</f>
        <v>定期健康診断等（高橋、天畠、西本）</v>
      </c>
      <c r="H218" s="827">
        <f>IFERROR(INDEX(月例!$H$5:$H$788,MATCH("厚生費|S|3",月例!$S$5:$S$788,0)),"")</f>
        <v>14894</v>
      </c>
      <c r="I218" s="828">
        <f>IF(H218="","",I217-H218)</f>
        <v>39795</v>
      </c>
      <c r="J218" s="829" t="str">
        <f>IFERROR(INDEX(月例!$P$5:$P$788,MATCH("厚生費|S|3",月例!$S$5:$S$788,0)),"")</f>
        <v>確認済</v>
      </c>
      <c r="K218" s="825">
        <f>IFERROR(INDEX(月例!$A$5:$A$788,MATCH("普及費|S|3",月例!$S$5:$S$788,0)),"")</f>
        <v>45975</v>
      </c>
      <c r="L218" s="826" t="str">
        <f>IFERROR(INDEX(月例!$E$5:$E$788,MATCH("普及費|S|3",月例!$S$5:$S$788,0)),"")</f>
        <v>厚生だより等印刷代分担金　互助会（第２四半期）[短期]</v>
      </c>
      <c r="M218" s="827">
        <f>IFERROR(INDEX(月例!$H$5:$H$788,MATCH("普及費|S|3",月例!$S$5:$S$788,0)),"")</f>
        <v>277667</v>
      </c>
      <c r="N218" s="828">
        <f>IF(M218="","",N217-M218)</f>
        <v>758634</v>
      </c>
      <c r="O218" s="829" t="str">
        <f>IFERROR(INDEX(月例!$P$5:$P$788,MATCH("普及費|S|3",月例!$S$5:$S$788,0)),"")</f>
        <v>昨年実績</v>
      </c>
      <c r="P218" s="825" t="str">
        <f>IFERROR(INDEX(月例!$A$5:$A$788,MATCH("会議費|S|3",月例!$S$5:$S$788,0)),"")</f>
        <v/>
      </c>
      <c r="Q218" s="826" t="str">
        <f>IFERROR(INDEX(月例!$E$5:$E$788,MATCH("会議費|S|3",月例!$S$5:$S$788,0)),"")</f>
        <v/>
      </c>
      <c r="R218" s="827" t="str">
        <f>IFERROR(INDEX(月例!$H$5:$H$788,MATCH("会議費|S|3",月例!$S$5:$S$788,0)),"")</f>
        <v/>
      </c>
      <c r="S218" s="828" t="str">
        <f>IF(R218="","",S217-R218)</f>
        <v/>
      </c>
      <c r="T218" s="829" t="str">
        <f>IFERROR(INDEX(月例!$P$5:$P$788,MATCH("会議費|S|3",月例!$S$5:$S$788,0)),"")</f>
        <v/>
      </c>
    </row>
    <row r="219">
      <c r="A219" s="825">
        <f>IFERROR(INDEX(月例!$A$5:$A$788,MATCH("厚年負担金等|S|4",月例!$S$5:$S$788,0)),"")</f>
        <v>46265</v>
      </c>
      <c r="B219" s="826" t="str">
        <f>IFERROR(INDEX(月例!$E$5:$E$788,MATCH("厚年負担金等|S|4",月例!$S$5:$S$788,0)),"")</f>
        <v>７月月例・６月期末分（短期分）子ども子育て拠出金を含む</v>
      </c>
      <c r="C219" s="827">
        <f>IFERROR(INDEX(月例!$H$5:$H$788,MATCH("厚年負担金等|S|4",月例!$S$5:$S$788,0)),"")</f>
        <v>105276</v>
      </c>
      <c r="D219" s="828">
        <f>IF(C219="","",D218+C219)</f>
        <v>293574</v>
      </c>
      <c r="E219" s="829" t="str">
        <f>IFERROR(INDEX(月例!$P$5:$P$788,MATCH("厚年負担金等|S|4",月例!$S$5:$S$788,0)),"")</f>
        <v>確認済</v>
      </c>
      <c r="F219" s="825">
        <f>IFERROR(INDEX(月例!$A$5:$A$788,MATCH("厚生費|S|4",月例!$S$5:$S$788,0)),"")</f>
        <v>44237</v>
      </c>
      <c r="G219" s="826" t="str">
        <f>IFERROR(INDEX(月例!$E$5:$E$788,MATCH("厚生費|S|4",月例!$S$5:$S$788,0)),"")</f>
        <v>人間ドック自己負担超分（下畠）</v>
      </c>
      <c r="H219" s="827">
        <f>IFERROR(INDEX(月例!$H$5:$H$788,MATCH("厚生費|S|4",月例!$S$5:$S$788,0)),"")</f>
        <v>17240</v>
      </c>
      <c r="I219" s="828">
        <f>IF(H219="","",I218-H219)</f>
        <v>22555</v>
      </c>
      <c r="J219" s="829" t="str">
        <f>IFERROR(INDEX(月例!$P$5:$P$788,MATCH("厚生費|S|4",月例!$S$5:$S$788,0)),"")</f>
        <v>昨年実績</v>
      </c>
      <c r="K219" s="825">
        <f>IFERROR(INDEX(月例!$A$5:$A$788,MATCH("普及費|S|4",月例!$S$5:$S$788,0)),"")</f>
        <v>46052</v>
      </c>
      <c r="L219" s="826" t="str">
        <f>IFERROR(INDEX(月例!$E$5:$E$788,MATCH("普及費|S|4",月例!$S$5:$S$788,0)),"")</f>
        <v>厚生だより等印刷代分担金　互助会（第３四半期）</v>
      </c>
      <c r="M219" s="827">
        <f>IFERROR(INDEX(月例!$H$5:$H$788,MATCH("普及費|S|4",月例!$S$5:$S$788,0)),"")</f>
        <v>199257</v>
      </c>
      <c r="N219" s="828">
        <f>IF(M219="","",N218-M219)</f>
        <v>559377</v>
      </c>
      <c r="O219" s="829" t="str">
        <f>IFERROR(INDEX(月例!$P$5:$P$788,MATCH("普及費|S|4",月例!$S$5:$S$788,0)),"")</f>
        <v>昨年実績</v>
      </c>
      <c r="P219" s="825" t="str">
        <f>IFERROR(INDEX(月例!$A$5:$A$788,MATCH("会議費|S|4",月例!$S$5:$S$788,0)),"")</f>
        <v/>
      </c>
      <c r="Q219" s="826" t="str">
        <f>IFERROR(INDEX(月例!$E$5:$E$788,MATCH("会議費|S|4",月例!$S$5:$S$788,0)),"")</f>
        <v/>
      </c>
      <c r="R219" s="827" t="str">
        <f>IFERROR(INDEX(月例!$H$5:$H$788,MATCH("会議費|S|4",月例!$S$5:$S$788,0)),"")</f>
        <v/>
      </c>
      <c r="S219" s="828" t="str">
        <f>IF(R219="","",S218-R219)</f>
        <v/>
      </c>
      <c r="T219" s="829" t="str">
        <f>IFERROR(INDEX(月例!$P$5:$P$788,MATCH("会議費|S|4",月例!$S$5:$S$788,0)),"")</f>
        <v/>
      </c>
    </row>
    <row r="220">
      <c r="A220" s="825">
        <f>IFERROR(INDEX(月例!$A$5:$A$788,MATCH("厚年負担金等|S|5",月例!$S$5:$S$788,0)),"")</f>
        <v>46295</v>
      </c>
      <c r="B220" s="826" t="str">
        <f>IFERROR(INDEX(月例!$E$5:$E$788,MATCH("厚年負担金等|S|5",月例!$S$5:$S$788,0)),"")</f>
        <v>８月月例分（短期分）子ども子育て拠出金を含む</v>
      </c>
      <c r="C220" s="827">
        <f>IFERROR(INDEX(月例!$H$5:$H$788,MATCH("厚年負担金等|S|5",月例!$S$5:$S$788,0)),"")</f>
        <v>62766</v>
      </c>
      <c r="D220" s="828">
        <f>IF(C220="","",D219+C220)</f>
        <v>356340</v>
      </c>
      <c r="E220" s="829" t="str">
        <f>IFERROR(INDEX(月例!$P$5:$P$788,MATCH("厚年負担金等|S|5",月例!$S$5:$S$788,0)),"")</f>
        <v>確認済</v>
      </c>
      <c r="F220" s="825">
        <f>IFERROR(INDEX(月例!$A$5:$A$788,MATCH("厚生費|S|5",月例!$S$5:$S$788,0)),"")</f>
        <v>44637</v>
      </c>
      <c r="G220" s="826" t="str">
        <f>IFERROR(INDEX(月例!$E$5:$E$788,MATCH("厚生費|S|5",月例!$S$5:$S$788,0)),"")</f>
        <v>健康診断費（節目健診：非該当検査項目費用以外・高橋）</v>
      </c>
      <c r="H220" s="827">
        <f>IFERROR(INDEX(月例!$H$5:$H$788,MATCH("厚生費|S|5",月例!$S$5:$S$788,0)),"")</f>
        <v>20476</v>
      </c>
      <c r="I220" s="828">
        <f>IF(H220="","",I219-H220)</f>
        <v>2079</v>
      </c>
      <c r="J220" s="829" t="str">
        <f>IFERROR(INDEX(月例!$P$5:$P$788,MATCH("厚生費|S|5",月例!$S$5:$S$788,0)),"")</f>
        <v>昨年実績</v>
      </c>
      <c r="K220" s="825" t="str">
        <f>IFERROR(INDEX(月例!$A$5:$A$788,MATCH("普及費|S|5",月例!$S$5:$S$788,0)),"")</f>
        <v/>
      </c>
      <c r="L220" s="826" t="str">
        <f>IFERROR(INDEX(月例!$E$5:$E$788,MATCH("普及費|S|5",月例!$S$5:$S$788,0)),"")</f>
        <v/>
      </c>
      <c r="M220" s="827" t="str">
        <f>IFERROR(INDEX(月例!$H$5:$H$788,MATCH("普及費|S|5",月例!$S$5:$S$788,0)),"")</f>
        <v/>
      </c>
      <c r="N220" s="828" t="str">
        <f>IF(M220="","",N219-M220)</f>
        <v/>
      </c>
      <c r="O220" s="829" t="str">
        <f>IFERROR(INDEX(月例!$P$5:$P$788,MATCH("普及費|S|5",月例!$S$5:$S$788,0)),"")</f>
        <v/>
      </c>
      <c r="P220" s="825" t="str">
        <f>IFERROR(INDEX(月例!$A$5:$A$788,MATCH("会議費|S|5",月例!$S$5:$S$788,0)),"")</f>
        <v/>
      </c>
      <c r="Q220" s="826" t="str">
        <f>IFERROR(INDEX(月例!$E$5:$E$788,MATCH("会議費|S|5",月例!$S$5:$S$788,0)),"")</f>
        <v/>
      </c>
      <c r="R220" s="827" t="str">
        <f>IFERROR(INDEX(月例!$H$5:$H$788,MATCH("会議費|S|5",月例!$S$5:$S$788,0)),"")</f>
        <v/>
      </c>
      <c r="S220" s="828" t="str">
        <f>IF(R220="","",S219-R220)</f>
        <v/>
      </c>
      <c r="T220" s="829" t="str">
        <f>IFERROR(INDEX(月例!$P$5:$P$788,MATCH("会議費|S|5",月例!$S$5:$S$788,0)),"")</f>
        <v/>
      </c>
    </row>
    <row r="221">
      <c r="A221" s="825">
        <f>IFERROR(INDEX(月例!$A$5:$A$788,MATCH("厚年負担金等|S|6",月例!$S$5:$S$788,0)),"")</f>
        <v>46328</v>
      </c>
      <c r="B221" s="826" t="str">
        <f>IFERROR(INDEX(月例!$E$5:$E$788,MATCH("厚年負担金等|S|6",月例!$S$5:$S$788,0)),"")</f>
        <v>９月月例分（短期分）子ども子育て拠出金を含む</v>
      </c>
      <c r="C221" s="827">
        <f>IFERROR(INDEX(月例!$H$5:$H$788,MATCH("厚年負担金等|S|6",月例!$S$5:$S$788,0)),"")</f>
        <v>63717</v>
      </c>
      <c r="D221" s="828">
        <f>IF(C221="","",D220+C221)</f>
        <v>420057</v>
      </c>
      <c r="E221" s="829" t="str">
        <f>IFERROR(INDEX(月例!$P$5:$P$788,MATCH("厚年負担金等|S|6",月例!$S$5:$S$788,0)),"")</f>
        <v>確認済</v>
      </c>
      <c r="F221" s="825">
        <f>IFERROR(INDEX(月例!$A$5:$A$788,MATCH("厚生費|S|6",月例!$S$5:$S$788,0)),"")</f>
        <v>44985</v>
      </c>
      <c r="G221" s="826" t="str">
        <f>IFERROR(INDEX(月例!$E$5:$E$788,MATCH("厚生費|S|6",月例!$S$5:$S$788,0)),"")</f>
        <v>定期健康診断等（天畠、高橋）</v>
      </c>
      <c r="H221" s="827">
        <f>IFERROR(INDEX(月例!$H$5:$H$788,MATCH("厚生費|S|6",月例!$S$5:$S$788,0)),"")</f>
        <v>4675</v>
      </c>
      <c r="I221" s="828">
        <f>IF(H221="","",I220-H221)</f>
        <v>-2596</v>
      </c>
      <c r="J221" s="829" t="str">
        <f>IFERROR(INDEX(月例!$P$5:$P$788,MATCH("厚生費|S|6",月例!$S$5:$S$788,0)),"")</f>
        <v>昨年実績</v>
      </c>
      <c r="K221" s="825" t="str">
        <f>IFERROR(INDEX(月例!$A$5:$A$788,MATCH("普及費|S|6",月例!$S$5:$S$788,0)),"")</f>
        <v/>
      </c>
      <c r="L221" s="826" t="str">
        <f>IFERROR(INDEX(月例!$E$5:$E$788,MATCH("普及費|S|6",月例!$S$5:$S$788,0)),"")</f>
        <v/>
      </c>
      <c r="M221" s="827" t="str">
        <f>IFERROR(INDEX(月例!$H$5:$H$788,MATCH("普及費|S|6",月例!$S$5:$S$788,0)),"")</f>
        <v/>
      </c>
      <c r="N221" s="828" t="str">
        <f>IF(M221="","",N220-M221)</f>
        <v/>
      </c>
      <c r="O221" s="829" t="str">
        <f>IFERROR(INDEX(月例!$P$5:$P$788,MATCH("普及費|S|6",月例!$S$5:$S$788,0)),"")</f>
        <v/>
      </c>
      <c r="P221" s="825" t="str">
        <f>IFERROR(INDEX(月例!$A$5:$A$788,MATCH("会議費|S|6",月例!$S$5:$S$788,0)),"")</f>
        <v/>
      </c>
      <c r="Q221" s="826" t="str">
        <f>IFERROR(INDEX(月例!$E$5:$E$788,MATCH("会議費|S|6",月例!$S$5:$S$788,0)),"")</f>
        <v/>
      </c>
      <c r="R221" s="827" t="str">
        <f>IFERROR(INDEX(月例!$H$5:$H$788,MATCH("会議費|S|6",月例!$S$5:$S$788,0)),"")</f>
        <v/>
      </c>
      <c r="S221" s="828" t="str">
        <f>IF(R221="","",S220-R221)</f>
        <v/>
      </c>
      <c r="T221" s="829" t="str">
        <f>IFERROR(INDEX(月例!$P$5:$P$788,MATCH("会議費|S|6",月例!$S$5:$S$788,0)),"")</f>
        <v/>
      </c>
    </row>
    <row r="222">
      <c r="A222" s="825">
        <f>IFERROR(INDEX(月例!$A$5:$A$788,MATCH("厚年負担金等|S|7",月例!$S$5:$S$788,0)),"")</f>
        <v>45992</v>
      </c>
      <c r="B222" s="826" t="str">
        <f>IFERROR(INDEX(月例!$E$5:$E$788,MATCH("厚年負担金等|S|7",月例!$S$5:$S$788,0)),"")</f>
        <v>１０月月例分（短期分）子ども子育て拠出金を含む</v>
      </c>
      <c r="C222" s="827">
        <f>IFERROR(INDEX(月例!$H$5:$H$788,MATCH("厚年負担金等|S|7",月例!$S$5:$S$788,0)),"")</f>
        <v>59913</v>
      </c>
      <c r="D222" s="828">
        <f>IF(C222="","",D221+C222)</f>
        <v>479970</v>
      </c>
      <c r="E222" s="829" t="str">
        <f>IFERROR(INDEX(月例!$P$5:$P$788,MATCH("厚年負担金等|S|7",月例!$S$5:$S$788,0)),"")</f>
        <v>昨年実績</v>
      </c>
      <c r="F222" s="825" t="str">
        <f>IFERROR(INDEX(月例!$A$5:$A$788,MATCH("厚生費|S|7",月例!$S$5:$S$788,0)),"")</f>
        <v/>
      </c>
      <c r="G222" s="826" t="str">
        <f>IFERROR(INDEX(月例!$E$5:$E$788,MATCH("厚生費|S|7",月例!$S$5:$S$788,0)),"")</f>
        <v/>
      </c>
      <c r="H222" s="827" t="str">
        <f>IFERROR(INDEX(月例!$H$5:$H$788,MATCH("厚生費|S|7",月例!$S$5:$S$788,0)),"")</f>
        <v/>
      </c>
      <c r="I222" s="828" t="str">
        <f>IF(H222="","",I221-H222)</f>
        <v/>
      </c>
      <c r="J222" s="829" t="str">
        <f>IFERROR(INDEX(月例!$P$5:$P$788,MATCH("厚生費|S|7",月例!$S$5:$S$788,0)),"")</f>
        <v/>
      </c>
      <c r="K222" s="825" t="str">
        <f>IFERROR(INDEX(月例!$A$5:$A$788,MATCH("普及費|S|7",月例!$S$5:$S$788,0)),"")</f>
        <v/>
      </c>
      <c r="L222" s="826" t="str">
        <f>IFERROR(INDEX(月例!$E$5:$E$788,MATCH("普及費|S|7",月例!$S$5:$S$788,0)),"")</f>
        <v/>
      </c>
      <c r="M222" s="827" t="str">
        <f>IFERROR(INDEX(月例!$H$5:$H$788,MATCH("普及費|S|7",月例!$S$5:$S$788,0)),"")</f>
        <v/>
      </c>
      <c r="N222" s="828" t="str">
        <f>IF(M222="","",N221-M222)</f>
        <v/>
      </c>
      <c r="O222" s="829" t="str">
        <f>IFERROR(INDEX(月例!$P$5:$P$788,MATCH("普及費|S|7",月例!$S$5:$S$788,0)),"")</f>
        <v/>
      </c>
      <c r="P222" s="825" t="str">
        <f>IFERROR(INDEX(月例!$A$5:$A$788,MATCH("会議費|S|7",月例!$S$5:$S$788,0)),"")</f>
        <v/>
      </c>
      <c r="Q222" s="826" t="str">
        <f>IFERROR(INDEX(月例!$E$5:$E$788,MATCH("会議費|S|7",月例!$S$5:$S$788,0)),"")</f>
        <v/>
      </c>
      <c r="R222" s="827" t="str">
        <f>IFERROR(INDEX(月例!$H$5:$H$788,MATCH("会議費|S|7",月例!$S$5:$S$788,0)),"")</f>
        <v/>
      </c>
      <c r="S222" s="828" t="str">
        <f>IF(R222="","",S221-R222)</f>
        <v/>
      </c>
      <c r="T222" s="829" t="str">
        <f>IFERROR(INDEX(月例!$P$5:$P$788,MATCH("会議費|S|7",月例!$S$5:$S$788,0)),"")</f>
        <v/>
      </c>
    </row>
    <row r="223">
      <c r="A223" s="825">
        <f>IFERROR(INDEX(月例!$A$5:$A$788,MATCH("厚年負担金等|S|8",月例!$S$5:$S$788,0)),"")</f>
        <v>46027</v>
      </c>
      <c r="B223" s="826" t="str">
        <f>IFERROR(INDEX(月例!$E$5:$E$788,MATCH("厚年負担金等|S|8",月例!$S$5:$S$788,0)),"")</f>
        <v>１１月月例分（短期分）子ども子育て拠出金を含む</v>
      </c>
      <c r="C223" s="827">
        <f>IFERROR(INDEX(月例!$H$5:$H$788,MATCH("厚年負担金等|S|8",月例!$S$5:$S$788,0)),"")</f>
        <v>59913</v>
      </c>
      <c r="D223" s="828">
        <f>IF(C223="","",D222+C223)</f>
        <v>539883</v>
      </c>
      <c r="E223" s="829" t="str">
        <f>IFERROR(INDEX(月例!$P$5:$P$788,MATCH("厚年負担金等|S|8",月例!$S$5:$S$788,0)),"")</f>
        <v>昨年実績</v>
      </c>
      <c r="F223" s="825" t="str">
        <f>IFERROR(INDEX(月例!$A$5:$A$788,MATCH("厚生費|S|8",月例!$S$5:$S$788,0)),"")</f>
        <v/>
      </c>
      <c r="G223" s="826" t="str">
        <f>IFERROR(INDEX(月例!$E$5:$E$788,MATCH("厚生費|S|8",月例!$S$5:$S$788,0)),"")</f>
        <v/>
      </c>
      <c r="H223" s="827" t="str">
        <f>IFERROR(INDEX(月例!$H$5:$H$788,MATCH("厚生費|S|8",月例!$S$5:$S$788,0)),"")</f>
        <v/>
      </c>
      <c r="I223" s="828" t="str">
        <f>IF(H223="","",I222-H223)</f>
        <v/>
      </c>
      <c r="J223" s="829" t="str">
        <f>IFERROR(INDEX(月例!$P$5:$P$788,MATCH("厚生費|S|8",月例!$S$5:$S$788,0)),"")</f>
        <v/>
      </c>
      <c r="K223" s="825" t="str">
        <f>IFERROR(INDEX(月例!$A$5:$A$788,MATCH("普及費|S|8",月例!$S$5:$S$788,0)),"")</f>
        <v/>
      </c>
      <c r="L223" s="826" t="str">
        <f>IFERROR(INDEX(月例!$E$5:$E$788,MATCH("普及費|S|8",月例!$S$5:$S$788,0)),"")</f>
        <v/>
      </c>
      <c r="M223" s="827" t="str">
        <f>IFERROR(INDEX(月例!$H$5:$H$788,MATCH("普及費|S|8",月例!$S$5:$S$788,0)),"")</f>
        <v/>
      </c>
      <c r="N223" s="828" t="str">
        <f>IF(M223="","",N222-M223)</f>
        <v/>
      </c>
      <c r="O223" s="829" t="str">
        <f>IFERROR(INDEX(月例!$P$5:$P$788,MATCH("普及費|S|8",月例!$S$5:$S$788,0)),"")</f>
        <v/>
      </c>
      <c r="P223" s="825" t="str">
        <f>IFERROR(INDEX(月例!$A$5:$A$788,MATCH("会議費|S|8",月例!$S$5:$S$788,0)),"")</f>
        <v/>
      </c>
      <c r="Q223" s="826" t="str">
        <f>IFERROR(INDEX(月例!$E$5:$E$788,MATCH("会議費|S|8",月例!$S$5:$S$788,0)),"")</f>
        <v/>
      </c>
      <c r="R223" s="827" t="str">
        <f>IFERROR(INDEX(月例!$H$5:$H$788,MATCH("会議費|S|8",月例!$S$5:$S$788,0)),"")</f>
        <v/>
      </c>
      <c r="S223" s="828" t="str">
        <f>IF(R223="","",S222-R223)</f>
        <v/>
      </c>
      <c r="T223" s="829" t="str">
        <f>IFERROR(INDEX(月例!$P$5:$P$788,MATCH("会議費|S|8",月例!$S$5:$S$788,0)),"")</f>
        <v/>
      </c>
    </row>
    <row r="224">
      <c r="A224" s="825">
        <f>IFERROR(INDEX(月例!$A$5:$A$788,MATCH("厚年負担金等|S|9",月例!$S$5:$S$788,0)),"")</f>
        <v>46055</v>
      </c>
      <c r="B224" s="826" t="str">
        <f>IFERROR(INDEX(月例!$E$5:$E$788,MATCH("厚年負担金等|S|9",月例!$S$5:$S$788,0)),"")</f>
        <v>１２月月例・期末・遡及（短期分）子ども子育て拠出金を含む</v>
      </c>
      <c r="C224" s="827">
        <f>IFERROR(INDEX(月例!$H$5:$H$788,MATCH("厚年負担金等|S|9",月例!$S$5:$S$788,0)),"")</f>
        <v>101092</v>
      </c>
      <c r="D224" s="828">
        <f>IF(C224="","",D223+C224)</f>
        <v>640975</v>
      </c>
      <c r="E224" s="829" t="str">
        <f>IFERROR(INDEX(月例!$P$5:$P$788,MATCH("厚年負担金等|S|9",月例!$S$5:$S$788,0)),"")</f>
        <v>昨年実績</v>
      </c>
      <c r="F224" s="825" t="str">
        <f>IFERROR(INDEX(月例!$A$5:$A$788,MATCH("厚生費|S|9",月例!$S$5:$S$788,0)),"")</f>
        <v/>
      </c>
      <c r="G224" s="826" t="str">
        <f>IFERROR(INDEX(月例!$E$5:$E$788,MATCH("厚生費|S|9",月例!$S$5:$S$788,0)),"")</f>
        <v/>
      </c>
      <c r="H224" s="827" t="str">
        <f>IFERROR(INDEX(月例!$H$5:$H$788,MATCH("厚生費|S|9",月例!$S$5:$S$788,0)),"")</f>
        <v/>
      </c>
      <c r="I224" s="828" t="str">
        <f>IF(H224="","",I223-H224)</f>
        <v/>
      </c>
      <c r="J224" s="829" t="str">
        <f>IFERROR(INDEX(月例!$P$5:$P$788,MATCH("厚生費|S|9",月例!$S$5:$S$788,0)),"")</f>
        <v/>
      </c>
      <c r="K224" s="825" t="str">
        <f>IFERROR(INDEX(月例!$A$5:$A$788,MATCH("普及費|S|9",月例!$S$5:$S$788,0)),"")</f>
        <v/>
      </c>
      <c r="L224" s="826" t="str">
        <f>IFERROR(INDEX(月例!$E$5:$E$788,MATCH("普及費|S|9",月例!$S$5:$S$788,0)),"")</f>
        <v/>
      </c>
      <c r="M224" s="827" t="str">
        <f>IFERROR(INDEX(月例!$H$5:$H$788,MATCH("普及費|S|9",月例!$S$5:$S$788,0)),"")</f>
        <v/>
      </c>
      <c r="N224" s="828" t="str">
        <f>IF(M224="","",N223-M224)</f>
        <v/>
      </c>
      <c r="O224" s="829" t="str">
        <f>IFERROR(INDEX(月例!$P$5:$P$788,MATCH("普及費|S|9",月例!$S$5:$S$788,0)),"")</f>
        <v/>
      </c>
      <c r="P224" s="825" t="str">
        <f>IFERROR(INDEX(月例!$A$5:$A$788,MATCH("会議費|S|9",月例!$S$5:$S$788,0)),"")</f>
        <v/>
      </c>
      <c r="Q224" s="826" t="str">
        <f>IFERROR(INDEX(月例!$E$5:$E$788,MATCH("会議費|S|9",月例!$S$5:$S$788,0)),"")</f>
        <v/>
      </c>
      <c r="R224" s="827" t="str">
        <f>IFERROR(INDEX(月例!$H$5:$H$788,MATCH("会議費|S|9",月例!$S$5:$S$788,0)),"")</f>
        <v/>
      </c>
      <c r="S224" s="828" t="str">
        <f>IF(R224="","",S223-R224)</f>
        <v/>
      </c>
      <c r="T224" s="829" t="str">
        <f>IFERROR(INDEX(月例!$P$5:$P$788,MATCH("会議費|S|9",月例!$S$5:$S$788,0)),"")</f>
        <v/>
      </c>
    </row>
    <row r="225">
      <c r="A225" s="825">
        <f>IFERROR(INDEX(月例!$A$5:$A$788,MATCH("厚年負担金等|S|10",月例!$S$5:$S$788,0)),"")</f>
        <v>46083</v>
      </c>
      <c r="B225" s="826" t="str">
        <f>IFERROR(INDEX(月例!$E$5:$E$788,MATCH("厚年負担金等|S|10",月例!$S$5:$S$788,0)),"")</f>
        <v>１月月例、改定差額分（短期分）子ども子育て拠出金を含む</v>
      </c>
      <c r="C225" s="827">
        <f>IFERROR(INDEX(月例!$H$5:$H$788,MATCH("厚年負担金等|S|10",月例!$S$5:$S$788,0)),"")</f>
        <v>62290</v>
      </c>
      <c r="D225" s="828">
        <f>IF(C225="","",D224+C225)</f>
        <v>703265</v>
      </c>
      <c r="E225" s="829" t="str">
        <f>IFERROR(INDEX(月例!$P$5:$P$788,MATCH("厚年負担金等|S|10",月例!$S$5:$S$788,0)),"")</f>
        <v>昨年実績</v>
      </c>
      <c r="F225" s="825" t="str">
        <f>IFERROR(INDEX(月例!$A$5:$A$788,MATCH("厚生費|S|10",月例!$S$5:$S$788,0)),"")</f>
        <v/>
      </c>
      <c r="G225" s="826" t="str">
        <f>IFERROR(INDEX(月例!$E$5:$E$788,MATCH("厚生費|S|10",月例!$S$5:$S$788,0)),"")</f>
        <v/>
      </c>
      <c r="H225" s="827" t="str">
        <f>IFERROR(INDEX(月例!$H$5:$H$788,MATCH("厚生費|S|10",月例!$S$5:$S$788,0)),"")</f>
        <v/>
      </c>
      <c r="I225" s="828" t="str">
        <f>IF(H225="","",I224-H225)</f>
        <v/>
      </c>
      <c r="J225" s="829" t="str">
        <f>IFERROR(INDEX(月例!$P$5:$P$788,MATCH("厚生費|S|10",月例!$S$5:$S$788,0)),"")</f>
        <v/>
      </c>
      <c r="K225" s="825" t="str">
        <f>IFERROR(INDEX(月例!$A$5:$A$788,MATCH("普及費|S|10",月例!$S$5:$S$788,0)),"")</f>
        <v/>
      </c>
      <c r="L225" s="826" t="str">
        <f>IFERROR(INDEX(月例!$E$5:$E$788,MATCH("普及費|S|10",月例!$S$5:$S$788,0)),"")</f>
        <v/>
      </c>
      <c r="M225" s="827" t="str">
        <f>IFERROR(INDEX(月例!$H$5:$H$788,MATCH("普及費|S|10",月例!$S$5:$S$788,0)),"")</f>
        <v/>
      </c>
      <c r="N225" s="828" t="str">
        <f>IF(M225="","",N224-M225)</f>
        <v/>
      </c>
      <c r="O225" s="829" t="str">
        <f>IFERROR(INDEX(月例!$P$5:$P$788,MATCH("普及費|S|10",月例!$S$5:$S$788,0)),"")</f>
        <v/>
      </c>
      <c r="P225" s="825" t="str">
        <f>IFERROR(INDEX(月例!$A$5:$A$788,MATCH("会議費|S|10",月例!$S$5:$S$788,0)),"")</f>
        <v/>
      </c>
      <c r="Q225" s="826" t="str">
        <f>IFERROR(INDEX(月例!$E$5:$E$788,MATCH("会議費|S|10",月例!$S$5:$S$788,0)),"")</f>
        <v/>
      </c>
      <c r="R225" s="827" t="str">
        <f>IFERROR(INDEX(月例!$H$5:$H$788,MATCH("会議費|S|10",月例!$S$5:$S$788,0)),"")</f>
        <v/>
      </c>
      <c r="S225" s="828" t="str">
        <f>IF(R225="","",S224-R225)</f>
        <v/>
      </c>
      <c r="T225" s="829" t="str">
        <f>IFERROR(INDEX(月例!$P$5:$P$788,MATCH("会議費|S|10",月例!$S$5:$S$788,0)),"")</f>
        <v/>
      </c>
    </row>
    <row r="226">
      <c r="A226" s="825">
        <f>IFERROR(INDEX(月例!$A$5:$A$788,MATCH("厚年負担金等|S|11",月例!$S$5:$S$788,0)),"")</f>
        <v>46112</v>
      </c>
      <c r="B226" s="826" t="str">
        <f>IFERROR(INDEX(月例!$E$5:$E$788,MATCH("厚年負担金等|S|11",月例!$S$5:$S$788,0)),"")</f>
        <v>２月月例分（短期分）子ども子育て拠出金を含む</v>
      </c>
      <c r="C226" s="827">
        <f>IFERROR(INDEX(月例!$H$5:$H$788,MATCH("厚年負担金等|S|11",月例!$S$5:$S$788,0)),"")</f>
        <v>59913</v>
      </c>
      <c r="D226" s="828">
        <f>IF(C226="","",D225+C226)</f>
        <v>763178</v>
      </c>
      <c r="E226" s="829" t="str">
        <f>IFERROR(INDEX(月例!$P$5:$P$788,MATCH("厚年負担金等|S|11",月例!$S$5:$S$788,0)),"")</f>
        <v>昨年実績</v>
      </c>
      <c r="F226" s="825" t="str">
        <f>IFERROR(INDEX(月例!$A$5:$A$788,MATCH("厚生費|S|11",月例!$S$5:$S$788,0)),"")</f>
        <v/>
      </c>
      <c r="G226" s="826" t="str">
        <f>IFERROR(INDEX(月例!$E$5:$E$788,MATCH("厚生費|S|11",月例!$S$5:$S$788,0)),"")</f>
        <v/>
      </c>
      <c r="H226" s="827" t="str">
        <f>IFERROR(INDEX(月例!$H$5:$H$788,MATCH("厚生費|S|11",月例!$S$5:$S$788,0)),"")</f>
        <v/>
      </c>
      <c r="I226" s="828" t="str">
        <f>IF(H226="","",I225-H226)</f>
        <v/>
      </c>
      <c r="J226" s="829" t="str">
        <f>IFERROR(INDEX(月例!$P$5:$P$788,MATCH("厚生費|S|11",月例!$S$5:$S$788,0)),"")</f>
        <v/>
      </c>
      <c r="K226" s="825" t="str">
        <f>IFERROR(INDEX(月例!$A$5:$A$788,MATCH("普及費|S|11",月例!$S$5:$S$788,0)),"")</f>
        <v/>
      </c>
      <c r="L226" s="826" t="str">
        <f>IFERROR(INDEX(月例!$E$5:$E$788,MATCH("普及費|S|11",月例!$S$5:$S$788,0)),"")</f>
        <v/>
      </c>
      <c r="M226" s="827" t="str">
        <f>IFERROR(INDEX(月例!$H$5:$H$788,MATCH("普及費|S|11",月例!$S$5:$S$788,0)),"")</f>
        <v/>
      </c>
      <c r="N226" s="828" t="str">
        <f>IF(M226="","",N225-M226)</f>
        <v/>
      </c>
      <c r="O226" s="829" t="str">
        <f>IFERROR(INDEX(月例!$P$5:$P$788,MATCH("普及費|S|11",月例!$S$5:$S$788,0)),"")</f>
        <v/>
      </c>
      <c r="P226" s="825" t="str">
        <f>IFERROR(INDEX(月例!$A$5:$A$788,MATCH("会議費|S|11",月例!$S$5:$S$788,0)),"")</f>
        <v/>
      </c>
      <c r="Q226" s="826" t="str">
        <f>IFERROR(INDEX(月例!$E$5:$E$788,MATCH("会議費|S|11",月例!$S$5:$S$788,0)),"")</f>
        <v/>
      </c>
      <c r="R226" s="827" t="str">
        <f>IFERROR(INDEX(月例!$H$5:$H$788,MATCH("会議費|S|11",月例!$S$5:$S$788,0)),"")</f>
        <v/>
      </c>
      <c r="S226" s="828" t="str">
        <f>IF(R226="","",S225-R226)</f>
        <v/>
      </c>
      <c r="T226" s="829" t="str">
        <f>IFERROR(INDEX(月例!$P$5:$P$788,MATCH("会議費|S|11",月例!$S$5:$S$788,0)),"")</f>
        <v/>
      </c>
    </row>
    <row r="227">
      <c r="A227" s="825" t="str">
        <f>IFERROR(INDEX(月例!$A$5:$A$788,MATCH("厚年負担金等|S|12",月例!$S$5:$S$788,0)),"")</f>
        <v/>
      </c>
      <c r="B227" s="826" t="str">
        <f>IFERROR(INDEX(月例!$E$5:$E$788,MATCH("厚年負担金等|S|12",月例!$S$5:$S$788,0)),"")</f>
        <v/>
      </c>
      <c r="C227" s="827" t="str">
        <f>IFERROR(INDEX(月例!$H$5:$H$788,MATCH("厚年負担金等|S|12",月例!$S$5:$S$788,0)),"")</f>
        <v/>
      </c>
      <c r="D227" s="828" t="str">
        <f>IF(C227="","",D226+C227)</f>
        <v/>
      </c>
      <c r="E227" s="829" t="str">
        <f>IFERROR(INDEX(月例!$P$5:$P$788,MATCH("厚年負担金等|S|12",月例!$S$5:$S$788,0)),"")</f>
        <v/>
      </c>
      <c r="F227" s="825" t="str">
        <f>IFERROR(INDEX(月例!$A$5:$A$788,MATCH("厚生費|S|12",月例!$S$5:$S$788,0)),"")</f>
        <v/>
      </c>
      <c r="G227" s="826" t="str">
        <f>IFERROR(INDEX(月例!$E$5:$E$788,MATCH("厚生費|S|12",月例!$S$5:$S$788,0)),"")</f>
        <v/>
      </c>
      <c r="H227" s="827" t="str">
        <f>IFERROR(INDEX(月例!$H$5:$H$788,MATCH("厚生費|S|12",月例!$S$5:$S$788,0)),"")</f>
        <v/>
      </c>
      <c r="I227" s="828" t="str">
        <f>IF(H227="","",I226-H227)</f>
        <v/>
      </c>
      <c r="J227" s="829" t="str">
        <f>IFERROR(INDEX(月例!$P$5:$P$788,MATCH("厚生費|S|12",月例!$S$5:$S$788,0)),"")</f>
        <v/>
      </c>
      <c r="K227" s="825" t="str">
        <f>IFERROR(INDEX(月例!$A$5:$A$788,MATCH("普及費|S|12",月例!$S$5:$S$788,0)),"")</f>
        <v/>
      </c>
      <c r="L227" s="826" t="str">
        <f>IFERROR(INDEX(月例!$E$5:$E$788,MATCH("普及費|S|12",月例!$S$5:$S$788,0)),"")</f>
        <v/>
      </c>
      <c r="M227" s="827" t="str">
        <f>IFERROR(INDEX(月例!$H$5:$H$788,MATCH("普及費|S|12",月例!$S$5:$S$788,0)),"")</f>
        <v/>
      </c>
      <c r="N227" s="828" t="str">
        <f>IF(M227="","",N226-M227)</f>
        <v/>
      </c>
      <c r="O227" s="829" t="str">
        <f>IFERROR(INDEX(月例!$P$5:$P$788,MATCH("普及費|S|12",月例!$S$5:$S$788,0)),"")</f>
        <v/>
      </c>
      <c r="P227" s="825" t="str">
        <f>IFERROR(INDEX(月例!$A$5:$A$788,MATCH("会議費|S|12",月例!$S$5:$S$788,0)),"")</f>
        <v/>
      </c>
      <c r="Q227" s="826" t="str">
        <f>IFERROR(INDEX(月例!$E$5:$E$788,MATCH("会議費|S|12",月例!$S$5:$S$788,0)),"")</f>
        <v/>
      </c>
      <c r="R227" s="827" t="str">
        <f>IFERROR(INDEX(月例!$H$5:$H$788,MATCH("会議費|S|12",月例!$S$5:$S$788,0)),"")</f>
        <v/>
      </c>
      <c r="S227" s="828" t="str">
        <f>IF(R227="","",S226-R227)</f>
        <v/>
      </c>
      <c r="T227" s="829" t="str">
        <f>IFERROR(INDEX(月例!$P$5:$P$788,MATCH("会議費|S|12",月例!$S$5:$S$788,0)),"")</f>
        <v/>
      </c>
    </row>
    <row r="228">
      <c r="A228" s="825" t="str">
        <f>IFERROR(INDEX(月例!$A$5:$A$788,MATCH("厚年負担金等|S|13",月例!$S$5:$S$788,0)),"")</f>
        <v/>
      </c>
      <c r="B228" s="826" t="str">
        <f>IFERROR(INDEX(月例!$E$5:$E$788,MATCH("厚年負担金等|S|13",月例!$S$5:$S$788,0)),"")</f>
        <v/>
      </c>
      <c r="C228" s="827" t="str">
        <f>IFERROR(INDEX(月例!$H$5:$H$788,MATCH("厚年負担金等|S|13",月例!$S$5:$S$788,0)),"")</f>
        <v/>
      </c>
      <c r="D228" s="828" t="str">
        <f>IF(C228="","",D227+C228)</f>
        <v/>
      </c>
      <c r="E228" s="829" t="str">
        <f>IFERROR(INDEX(月例!$P$5:$P$788,MATCH("厚年負担金等|S|13",月例!$S$5:$S$788,0)),"")</f>
        <v/>
      </c>
      <c r="F228" s="825" t="str">
        <f>IFERROR(INDEX(月例!$A$5:$A$788,MATCH("厚生費|S|13",月例!$S$5:$S$788,0)),"")</f>
        <v/>
      </c>
      <c r="G228" s="826" t="str">
        <f>IFERROR(INDEX(月例!$E$5:$E$788,MATCH("厚生費|S|13",月例!$S$5:$S$788,0)),"")</f>
        <v/>
      </c>
      <c r="H228" s="827" t="str">
        <f>IFERROR(INDEX(月例!$H$5:$H$788,MATCH("厚生費|S|13",月例!$S$5:$S$788,0)),"")</f>
        <v/>
      </c>
      <c r="I228" s="828" t="str">
        <f>IF(H228="","",I227-H228)</f>
        <v/>
      </c>
      <c r="J228" s="829" t="str">
        <f>IFERROR(INDEX(月例!$P$5:$P$788,MATCH("厚生費|S|13",月例!$S$5:$S$788,0)),"")</f>
        <v/>
      </c>
      <c r="K228" s="825" t="str">
        <f>IFERROR(INDEX(月例!$A$5:$A$788,MATCH("普及費|S|13",月例!$S$5:$S$788,0)),"")</f>
        <v/>
      </c>
      <c r="L228" s="826" t="str">
        <f>IFERROR(INDEX(月例!$E$5:$E$788,MATCH("普及費|S|13",月例!$S$5:$S$788,0)),"")</f>
        <v/>
      </c>
      <c r="M228" s="827" t="str">
        <f>IFERROR(INDEX(月例!$H$5:$H$788,MATCH("普及費|S|13",月例!$S$5:$S$788,0)),"")</f>
        <v/>
      </c>
      <c r="N228" s="828" t="str">
        <f>IF(M228="","",N227-M228)</f>
        <v/>
      </c>
      <c r="O228" s="829" t="str">
        <f>IFERROR(INDEX(月例!$P$5:$P$788,MATCH("普及費|S|13",月例!$S$5:$S$788,0)),"")</f>
        <v/>
      </c>
    </row>
    <row r="229">
      <c r="A229" s="825" t="str">
        <f>IFERROR(INDEX(月例!$A$5:$A$788,MATCH("厚年負担金等|S|14",月例!$S$5:$S$788,0)),"")</f>
        <v/>
      </c>
      <c r="B229" s="826" t="str">
        <f>IFERROR(INDEX(月例!$E$5:$E$788,MATCH("厚年負担金等|S|14",月例!$S$5:$S$788,0)),"")</f>
        <v/>
      </c>
      <c r="C229" s="827" t="str">
        <f>IFERROR(INDEX(月例!$H$5:$H$788,MATCH("厚年負担金等|S|14",月例!$S$5:$S$788,0)),"")</f>
        <v/>
      </c>
      <c r="D229" s="828" t="str">
        <f>IF(C229="","",D228+C229)</f>
        <v/>
      </c>
      <c r="E229" s="829" t="str">
        <f>IFERROR(INDEX(月例!$P$5:$P$788,MATCH("厚年負担金等|S|14",月例!$S$5:$S$788,0)),"")</f>
        <v/>
      </c>
      <c r="F229" s="825" t="str">
        <f>IFERROR(INDEX(月例!$A$5:$A$788,MATCH("厚生費|S|14",月例!$S$5:$S$788,0)),"")</f>
        <v/>
      </c>
      <c r="G229" s="826" t="str">
        <f>IFERROR(INDEX(月例!$E$5:$E$788,MATCH("厚生費|S|14",月例!$S$5:$S$788,0)),"")</f>
        <v/>
      </c>
      <c r="H229" s="827" t="str">
        <f>IFERROR(INDEX(月例!$H$5:$H$788,MATCH("厚生費|S|14",月例!$S$5:$S$788,0)),"")</f>
        <v/>
      </c>
      <c r="I229" s="828" t="str">
        <f>IF(H229="","",I228-H229)</f>
        <v/>
      </c>
      <c r="J229" s="829" t="str">
        <f>IFERROR(INDEX(月例!$P$5:$P$788,MATCH("厚生費|S|14",月例!$S$5:$S$788,0)),"")</f>
        <v/>
      </c>
      <c r="K229" s="825" t="str">
        <f>IFERROR(INDEX(月例!$A$5:$A$788,MATCH("普及費|S|14",月例!$S$5:$S$788,0)),"")</f>
        <v/>
      </c>
      <c r="L229" s="826" t="str">
        <f>IFERROR(INDEX(月例!$E$5:$E$788,MATCH("普及費|S|14",月例!$S$5:$S$788,0)),"")</f>
        <v/>
      </c>
      <c r="M229" s="827" t="str">
        <f>IFERROR(INDEX(月例!$H$5:$H$788,MATCH("普及費|S|14",月例!$S$5:$S$788,0)),"")</f>
        <v/>
      </c>
      <c r="N229" s="828" t="str">
        <f>IF(M229="","",N228-M229)</f>
        <v/>
      </c>
      <c r="O229" s="829" t="str">
        <f>IFERROR(INDEX(月例!$P$5:$P$788,MATCH("普及費|S|14",月例!$S$5:$S$788,0)),"")</f>
        <v/>
      </c>
    </row>
    <row r="230">
      <c r="A230" s="825" t="str">
        <f>IFERROR(INDEX(月例!$A$5:$A$788,MATCH("厚年負担金等|S|15",月例!$S$5:$S$788,0)),"")</f>
        <v/>
      </c>
      <c r="B230" s="826" t="str">
        <f>IFERROR(INDEX(月例!$E$5:$E$788,MATCH("厚年負担金等|S|15",月例!$S$5:$S$788,0)),"")</f>
        <v/>
      </c>
      <c r="C230" s="827" t="str">
        <f>IFERROR(INDEX(月例!$H$5:$H$788,MATCH("厚年負担金等|S|15",月例!$S$5:$S$788,0)),"")</f>
        <v/>
      </c>
      <c r="D230" s="828" t="str">
        <f>IF(C230="","",D229+C230)</f>
        <v/>
      </c>
      <c r="E230" s="829" t="str">
        <f>IFERROR(INDEX(月例!$P$5:$P$788,MATCH("厚年負担金等|S|15",月例!$S$5:$S$788,0)),"")</f>
        <v/>
      </c>
      <c r="F230" s="825" t="str">
        <f>IFERROR(INDEX(月例!$A$5:$A$788,MATCH("厚生費|S|15",月例!$S$5:$S$788,0)),"")</f>
        <v/>
      </c>
      <c r="G230" s="826" t="str">
        <f>IFERROR(INDEX(月例!$E$5:$E$788,MATCH("厚生費|S|15",月例!$S$5:$S$788,0)),"")</f>
        <v/>
      </c>
      <c r="H230" s="827" t="str">
        <f>IFERROR(INDEX(月例!$H$5:$H$788,MATCH("厚生費|S|15",月例!$S$5:$S$788,0)),"")</f>
        <v/>
      </c>
      <c r="I230" s="828" t="str">
        <f>IF(H230="","",I229-H230)</f>
        <v/>
      </c>
      <c r="J230" s="829" t="str">
        <f>IFERROR(INDEX(月例!$P$5:$P$788,MATCH("厚生費|S|15",月例!$S$5:$S$788,0)),"")</f>
        <v/>
      </c>
    </row>
    <row r="231">
      <c r="A231" s="825" t="str">
        <f>IFERROR(INDEX(月例!$A$5:$A$788,MATCH("厚年負担金等|S|16",月例!$S$5:$S$788,0)),"")</f>
        <v/>
      </c>
      <c r="B231" s="826" t="str">
        <f>IFERROR(INDEX(月例!$E$5:$E$788,MATCH("厚年負担金等|S|16",月例!$S$5:$S$788,0)),"")</f>
        <v/>
      </c>
      <c r="C231" s="827" t="str">
        <f>IFERROR(INDEX(月例!$H$5:$H$788,MATCH("厚年負担金等|S|16",月例!$S$5:$S$788,0)),"")</f>
        <v/>
      </c>
      <c r="D231" s="828" t="str">
        <f>IF(C231="","",D230+C231)</f>
        <v/>
      </c>
      <c r="E231" s="829" t="str">
        <f>IFERROR(INDEX(月例!$P$5:$P$788,MATCH("厚年負担金等|S|16",月例!$S$5:$S$788,0)),"")</f>
        <v/>
      </c>
      <c r="F231" s="825" t="str">
        <f>IFERROR(INDEX(月例!$A$5:$A$788,MATCH("厚生費|S|16",月例!$S$5:$S$788,0)),"")</f>
        <v/>
      </c>
      <c r="G231" s="826" t="str">
        <f>IFERROR(INDEX(月例!$E$5:$E$788,MATCH("厚生費|S|16",月例!$S$5:$S$788,0)),"")</f>
        <v/>
      </c>
      <c r="H231" s="827" t="str">
        <f>IFERROR(INDEX(月例!$H$5:$H$788,MATCH("厚生費|S|16",月例!$S$5:$S$788,0)),"")</f>
        <v/>
      </c>
      <c r="I231" s="828" t="str">
        <f>IF(H231="","",I230-H231)</f>
        <v/>
      </c>
      <c r="J231" s="829" t="str">
        <f>IFERROR(INDEX(月例!$P$5:$P$788,MATCH("厚生費|S|16",月例!$S$5:$S$788,0)),"")</f>
        <v/>
      </c>
    </row>
    <row r="232">
      <c r="A232" s="825" t="str">
        <f>IFERROR(INDEX(月例!$A$5:$A$788,MATCH("厚年負担金等|S|17",月例!$S$5:$S$788,0)),"")</f>
        <v/>
      </c>
      <c r="B232" s="826" t="str">
        <f>IFERROR(INDEX(月例!$E$5:$E$788,MATCH("厚年負担金等|S|17",月例!$S$5:$S$788,0)),"")</f>
        <v/>
      </c>
      <c r="C232" s="827" t="str">
        <f>IFERROR(INDEX(月例!$H$5:$H$788,MATCH("厚年負担金等|S|17",月例!$S$5:$S$788,0)),"")</f>
        <v/>
      </c>
      <c r="D232" s="828" t="str">
        <f>IF(C232="","",D231+C232)</f>
        <v/>
      </c>
      <c r="E232" s="829" t="str">
        <f>IFERROR(INDEX(月例!$P$5:$P$788,MATCH("厚年負担金等|S|17",月例!$S$5:$S$788,0)),"")</f>
        <v/>
      </c>
    </row>
    <row r="233">
      <c r="A233" s="825" t="str">
        <f>IFERROR(INDEX(月例!$A$5:$A$788,MATCH("厚年負担金等|S|18",月例!$S$5:$S$788,0)),"")</f>
        <v/>
      </c>
      <c r="B233" s="826" t="str">
        <f>IFERROR(INDEX(月例!$E$5:$E$788,MATCH("厚年負担金等|S|18",月例!$S$5:$S$788,0)),"")</f>
        <v/>
      </c>
      <c r="C233" s="827" t="str">
        <f>IFERROR(INDEX(月例!$H$5:$H$788,MATCH("厚年負担金等|S|18",月例!$S$5:$S$788,0)),"")</f>
        <v/>
      </c>
      <c r="D233" s="828" t="str">
        <f>IF(C233="","",D232+C233)</f>
        <v/>
      </c>
      <c r="E233" s="829" t="str">
        <f>IFERROR(INDEX(月例!$P$5:$P$788,MATCH("厚年負担金等|S|18",月例!$S$5:$S$788,0)),"")</f>
        <v/>
      </c>
    </row>
    <row r="234">
      <c r="A234" s="825" t="str">
        <f>IFERROR(INDEX(月例!$A$5:$A$788,MATCH("厚年負担金等|S|19",月例!$S$5:$S$788,0)),"")</f>
        <v/>
      </c>
      <c r="B234" s="826" t="str">
        <f>IFERROR(INDEX(月例!$E$5:$E$788,MATCH("厚年負担金等|S|19",月例!$S$5:$S$788,0)),"")</f>
        <v/>
      </c>
      <c r="C234" s="827" t="str">
        <f>IFERROR(INDEX(月例!$H$5:$H$788,MATCH("厚年負担金等|S|19",月例!$S$5:$S$788,0)),"")</f>
        <v/>
      </c>
      <c r="D234" s="828" t="str">
        <f>IF(C234="","",D233+C234)</f>
        <v/>
      </c>
      <c r="E234" s="829" t="str">
        <f>IFERROR(INDEX(月例!$P$5:$P$788,MATCH("厚年負担金等|S|19",月例!$S$5:$S$788,0)),"")</f>
        <v/>
      </c>
    </row>
    <row r="235">
      <c r="A235" s="825" t="str">
        <f>IFERROR(INDEX(月例!$A$5:$A$788,MATCH("厚年負担金等|S|20",月例!$S$5:$S$788,0)),"")</f>
        <v/>
      </c>
      <c r="B235" s="826" t="str">
        <f>IFERROR(INDEX(月例!$E$5:$E$788,MATCH("厚年負担金等|S|20",月例!$S$5:$S$788,0)),"")</f>
        <v/>
      </c>
      <c r="C235" s="827" t="str">
        <f>IFERROR(INDEX(月例!$H$5:$H$788,MATCH("厚年負担金等|S|20",月例!$S$5:$S$788,0)),"")</f>
        <v/>
      </c>
      <c r="D235" s="828" t="str">
        <f>IF(C235="","",D234+C235)</f>
        <v/>
      </c>
      <c r="E235" s="829" t="str">
        <f>IFERROR(INDEX(月例!$P$5:$P$788,MATCH("厚年負担金等|S|20",月例!$S$5:$S$788,0)),"")</f>
        <v/>
      </c>
    </row>
    <row r="236">
      <c r="A236" s="825" t="str">
        <f>IFERROR(INDEX(月例!$A$5:$A$788,MATCH("厚年負担金等|S|21",月例!$S$5:$S$788,0)),"")</f>
        <v/>
      </c>
      <c r="B236" s="826" t="str">
        <f>IFERROR(INDEX(月例!$E$5:$E$788,MATCH("厚年負担金等|S|21",月例!$S$5:$S$788,0)),"")</f>
        <v/>
      </c>
      <c r="C236" s="827" t="str">
        <f>IFERROR(INDEX(月例!$H$5:$H$788,MATCH("厚年負担金等|S|21",月例!$S$5:$S$788,0)),"")</f>
        <v/>
      </c>
      <c r="D236" s="828" t="str">
        <f>IF(C236="","",D235+C236)</f>
        <v/>
      </c>
      <c r="E236" s="829" t="str">
        <f>IFERROR(INDEX(月例!$P$5:$P$788,MATCH("厚年負担金等|S|21",月例!$S$5:$S$788,0)),"")</f>
        <v/>
      </c>
    </row>
    <row r="237">
      <c r="A237" s="825" t="str">
        <f>IFERROR(INDEX(月例!$A$5:$A$788,MATCH("厚年負担金等|S|22",月例!$S$5:$S$788,0)),"")</f>
        <v/>
      </c>
      <c r="B237" s="826" t="str">
        <f>IFERROR(INDEX(月例!$E$5:$E$788,MATCH("厚年負担金等|S|22",月例!$S$5:$S$788,0)),"")</f>
        <v/>
      </c>
      <c r="C237" s="827" t="str">
        <f>IFERROR(INDEX(月例!$H$5:$H$788,MATCH("厚年負担金等|S|22",月例!$S$5:$S$788,0)),"")</f>
        <v/>
      </c>
      <c r="D237" s="828" t="str">
        <f>IF(C237="","",D236+C237)</f>
        <v/>
      </c>
      <c r="E237" s="829" t="str">
        <f>IFERROR(INDEX(月例!$P$5:$P$788,MATCH("厚年負担金等|S|22",月例!$S$5:$S$788,0)),"")</f>
        <v/>
      </c>
    </row>
    <row r="238">
      <c r="A238" s="825" t="str">
        <f>IFERROR(INDEX(月例!$A$5:$A$788,MATCH("厚年負担金等|S|23",月例!$S$5:$S$788,0)),"")</f>
        <v/>
      </c>
      <c r="B238" s="826" t="str">
        <f>IFERROR(INDEX(月例!$E$5:$E$788,MATCH("厚年負担金等|S|23",月例!$S$5:$S$788,0)),"")</f>
        <v/>
      </c>
      <c r="C238" s="827" t="str">
        <f>IFERROR(INDEX(月例!$H$5:$H$788,MATCH("厚年負担金等|S|23",月例!$S$5:$S$788,0)),"")</f>
        <v/>
      </c>
      <c r="D238" s="828" t="str">
        <f>IF(C238="","",D237+C238)</f>
        <v/>
      </c>
      <c r="E238" s="829" t="str">
        <f>IFERROR(INDEX(月例!$P$5:$P$788,MATCH("厚年負担金等|S|23",月例!$S$5:$S$788,0)),"")</f>
        <v/>
      </c>
    </row>
    <row r="242">
      <c r="B242" s="502" t="inlineStr">
        <is>
          <t>○光熱水料</t>
        </is>
      </c>
      <c r="D242" s="503" t="inlineStr">
        <is>
          <t>業務（短）</t>
        </is>
      </c>
      <c r="E242" s="824" t="str">
        <f>IF(COUNTIF(月例!$S$5:$S$788,"光熱水料|S|*")&gt;12,"行不足","")</f>
        <v/>
      </c>
      <c r="G242" s="502" t="inlineStr">
        <is>
          <t>○修繕費</t>
        </is>
      </c>
      <c r="I242" s="503" t="inlineStr">
        <is>
          <t>業務（短）</t>
        </is>
      </c>
      <c r="J242" s="824" t="str">
        <f>IF(COUNTIF(月例!$S$5:$S$788,"修繕費|S|*")&gt;12,"行不足","")</f>
        <v/>
      </c>
      <c r="L242" s="502" t="inlineStr">
        <is>
          <t>○役員報酬</t>
        </is>
      </c>
      <c r="N242" s="503" t="inlineStr">
        <is>
          <t>業務（短）</t>
        </is>
      </c>
      <c r="O242" s="824" t="str">
        <f>IF(COUNTIF(月例!$S$5:$S$788,"役員報酬|S|*")&gt;12,"行不足","")</f>
        <v/>
      </c>
      <c r="Q242" s="502" t="inlineStr">
        <is>
          <t>○連合会分担金</t>
        </is>
      </c>
      <c r="S242" s="503" t="inlineStr">
        <is>
          <t>業務（短）</t>
        </is>
      </c>
      <c r="T242" s="824" t="str">
        <f>IF(COUNTIF(月例!$S$5:$S$788,"連合会分担金|S|*")&gt;12,"行不足","")</f>
        <v/>
      </c>
    </row>
    <row r="243">
      <c r="A243" s="100" t="inlineStr">
        <is>
          <t>支出日</t>
        </is>
      </c>
      <c r="B243" s="100" t="inlineStr">
        <is>
          <t>摘要</t>
        </is>
      </c>
      <c r="C243" s="100" t="inlineStr">
        <is>
          <t>支出</t>
        </is>
      </c>
      <c r="D243" s="100" t="inlineStr">
        <is>
          <t>残額</t>
        </is>
      </c>
      <c r="E243" s="100" t="inlineStr">
        <is>
          <t>状態</t>
        </is>
      </c>
      <c r="F243" s="100" t="inlineStr">
        <is>
          <t>支出日</t>
        </is>
      </c>
      <c r="G243" s="100" t="inlineStr">
        <is>
          <t>摘要</t>
        </is>
      </c>
      <c r="H243" s="100" t="inlineStr">
        <is>
          <t>支出</t>
        </is>
      </c>
      <c r="I243" s="100" t="inlineStr">
        <is>
          <t>残額</t>
        </is>
      </c>
      <c r="J243" s="100" t="inlineStr">
        <is>
          <t>状態</t>
        </is>
      </c>
      <c r="K243" s="100" t="inlineStr">
        <is>
          <t>支出日</t>
        </is>
      </c>
      <c r="L243" s="100" t="inlineStr">
        <is>
          <t>摘要</t>
        </is>
      </c>
      <c r="M243" s="100" t="inlineStr">
        <is>
          <t>支出</t>
        </is>
      </c>
      <c r="N243" s="100" t="inlineStr">
        <is>
          <t>残額</t>
        </is>
      </c>
      <c r="O243" s="100" t="inlineStr">
        <is>
          <t>状態</t>
        </is>
      </c>
      <c r="P243" s="100" t="inlineStr">
        <is>
          <t>支出日</t>
        </is>
      </c>
      <c r="Q243" s="100" t="inlineStr">
        <is>
          <t>摘要</t>
        </is>
      </c>
      <c r="R243" s="100" t="inlineStr">
        <is>
          <t>支出</t>
        </is>
      </c>
      <c r="S243" s="100" t="inlineStr">
        <is>
          <t>残額</t>
        </is>
      </c>
      <c r="T243" s="100" t="inlineStr">
        <is>
          <t>状態</t>
        </is>
      </c>
    </row>
    <row r="244">
      <c r="A244" s="825" t="n"/>
      <c r="B244" s="826" t="inlineStr">
        <is>
          <t>予算現額</t>
        </is>
      </c>
      <c r="C244" s="827" t="n"/>
      <c r="D244" s="828">
        <f>'R7業務 (短)'!$S$21</f>
        <v>16000</v>
      </c>
      <c r="F244" s="825" t="n"/>
      <c r="G244" s="826" t="inlineStr">
        <is>
          <t>予算現額</t>
        </is>
      </c>
      <c r="H244" s="827" t="n"/>
      <c r="I244" s="828">
        <f>'R7業務 (短)'!$S$22</f>
        <v>0</v>
      </c>
      <c r="K244" s="825" t="n"/>
      <c r="L244" s="826" t="inlineStr">
        <is>
          <t>予算現額</t>
        </is>
      </c>
      <c r="M244" s="827" t="n"/>
      <c r="N244" s="828">
        <f>'R7業務 (短)'!$S$4</f>
        <v>16000</v>
      </c>
      <c r="P244" s="825" t="n"/>
      <c r="Q244" s="826" t="inlineStr">
        <is>
          <t>予算現額</t>
        </is>
      </c>
      <c r="R244" s="827" t="n"/>
      <c r="S244" s="828">
        <f>'R7業務 (短)'!$S$34</f>
        <v>20921000</v>
      </c>
    </row>
    <row r="245">
      <c r="A245" s="825">
        <f>IFERROR(INDEX(月例!$A$5:$A$788,MATCH("光熱水料|S|1",月例!$S$5:$S$788,0)),"")</f>
        <v>45996</v>
      </c>
      <c r="B245" s="826" t="str">
        <f>IFERROR(INDEX(月例!$E$5:$E$788,MATCH("光熱水料|S|1",月例!$S$5:$S$788,0)),"")</f>
        <v>電気料（広島市４～９月分）</v>
      </c>
      <c r="C245" s="827">
        <f>IFERROR(INDEX(月例!$H$5:$H$788,MATCH("光熱水料|S|1",月例!$S$5:$S$788,0)),"")</f>
        <v>4183</v>
      </c>
      <c r="D245" s="828">
        <f>IF(C245="","",D244-C245)</f>
        <v>11817</v>
      </c>
      <c r="E245" s="829" t="str">
        <f>IFERROR(INDEX(月例!$P$5:$P$788,MATCH("光熱水料|S|1",月例!$S$5:$S$788,0)),"")</f>
        <v>昨年実績</v>
      </c>
      <c r="F245" s="825" t="str">
        <f>IFERROR(INDEX(月例!$A$5:$A$788,MATCH("修繕費|S|1",月例!$S$5:$S$788,0)),"")</f>
        <v/>
      </c>
      <c r="G245" s="826" t="str">
        <f>IFERROR(INDEX(月例!$E$5:$E$788,MATCH("修繕費|S|1",月例!$S$5:$S$788,0)),"")</f>
        <v/>
      </c>
      <c r="H245" s="827" t="str">
        <f>IFERROR(INDEX(月例!$H$5:$H$788,MATCH("修繕費|S|1",月例!$S$5:$S$788,0)),"")</f>
        <v/>
      </c>
      <c r="I245" s="828" t="str">
        <f>IF(H245="","",I244-H245)</f>
        <v/>
      </c>
      <c r="J245" s="829" t="str">
        <f>IFERROR(INDEX(月例!$P$5:$P$788,MATCH("修繕費|S|1",月例!$S$5:$S$788,0)),"")</f>
        <v/>
      </c>
      <c r="K245" s="825">
        <f>IFERROR(INDEX(月例!$A$5:$A$788,MATCH("役員報酬|S|1",月例!$S$5:$S$788,0)),"")</f>
        <v>46181</v>
      </c>
      <c r="L245" s="826" t="str">
        <f>IFERROR(INDEX(月例!$E$5:$E$788,MATCH("役員報酬|S|1",月例!$S$5:$S$788,0)),"")</f>
        <v>業務監査６／８　学識経験監事　栗栖　一雄</v>
      </c>
      <c r="M245" s="827">
        <f>IFERROR(INDEX(月例!$H$5:$H$788,MATCH("役員報酬|S|1",月例!$S$5:$S$788,0)),"")</f>
        <v>5261</v>
      </c>
      <c r="N245" s="828">
        <f>IF(M245="","",N244-M245)</f>
        <v>10739</v>
      </c>
      <c r="O245" s="829" t="str">
        <f>IFERROR(INDEX(月例!$P$5:$P$788,MATCH("役員報酬|S|1",月例!$S$5:$S$788,0)),"")</f>
        <v>確認済</v>
      </c>
      <c r="P245" s="825">
        <f>IFERROR(INDEX(月例!$A$5:$A$788,MATCH("連合会分担金|S|1",月例!$S$5:$S$788,0)),"")</f>
        <v>46283</v>
      </c>
      <c r="Q245" s="826" t="str">
        <f>IFERROR(INDEX(月例!$E$5:$E$788,MATCH("連合会分担金|S|1",月例!$S$5:$S$788,0)),"")</f>
        <v>令和８年度連合会分担金（短期給付事務費分）</v>
      </c>
      <c r="R245" s="827">
        <f>IFERROR(INDEX(月例!$H$5:$H$788,MATCH("連合会分担金|S|1",月例!$S$5:$S$788,0)),"")</f>
        <v>20439958</v>
      </c>
      <c r="S245" s="828">
        <f>IF(R245="","",S244-R245)</f>
        <v>481042</v>
      </c>
      <c r="T245" s="829" t="str">
        <f>IFERROR(INDEX(月例!$P$5:$P$788,MATCH("連合会分担金|S|1",月例!$S$5:$S$788,0)),"")</f>
        <v>確認済</v>
      </c>
    </row>
    <row r="246">
      <c r="A246" s="825">
        <f>IFERROR(INDEX(月例!$A$5:$A$788,MATCH("光熱水料|S|2",月例!$S$5:$S$788,0)),"")</f>
        <v>45996</v>
      </c>
      <c r="B246" s="826" t="str">
        <f>IFERROR(INDEX(月例!$E$5:$E$788,MATCH("光熱水料|S|2",月例!$S$5:$S$788,0)),"")</f>
        <v>水道料（広島市４～９月分）</v>
      </c>
      <c r="C246" s="827">
        <f>IFERROR(INDEX(月例!$H$5:$H$788,MATCH("光熱水料|S|2",月例!$S$5:$S$788,0)),"")</f>
        <v>1421</v>
      </c>
      <c r="D246" s="828">
        <f>IF(C246="","",D245-C246)</f>
        <v>10396</v>
      </c>
      <c r="E246" s="829" t="str">
        <f>IFERROR(INDEX(月例!$P$5:$P$788,MATCH("光熱水料|S|2",月例!$S$5:$S$788,0)),"")</f>
        <v>昨年実績</v>
      </c>
      <c r="F246" s="825" t="str">
        <f>IFERROR(INDEX(月例!$A$5:$A$788,MATCH("修繕費|S|2",月例!$S$5:$S$788,0)),"")</f>
        <v/>
      </c>
      <c r="G246" s="826" t="str">
        <f>IFERROR(INDEX(月例!$E$5:$E$788,MATCH("修繕費|S|2",月例!$S$5:$S$788,0)),"")</f>
        <v/>
      </c>
      <c r="H246" s="827" t="str">
        <f>IFERROR(INDEX(月例!$H$5:$H$788,MATCH("修繕費|S|2",月例!$S$5:$S$788,0)),"")</f>
        <v/>
      </c>
      <c r="I246" s="828" t="str">
        <f>IF(H246="","",I245-H246)</f>
        <v/>
      </c>
      <c r="J246" s="829" t="str">
        <f>IFERROR(INDEX(月例!$P$5:$P$788,MATCH("修繕費|S|2",月例!$S$5:$S$788,0)),"")</f>
        <v/>
      </c>
      <c r="K246" s="825">
        <f>IFERROR(INDEX(月例!$A$5:$A$788,MATCH("役員報酬|S|2",月例!$S$5:$S$788,0)),"")</f>
        <v>46202</v>
      </c>
      <c r="L246" s="826" t="str">
        <f>IFERROR(INDEX(月例!$E$5:$E$788,MATCH("役員報酬|S|2",月例!$S$5:$S$788,0)),"")</f>
        <v>組合会６／２９　学識経験監事　栗栖　一雄</v>
      </c>
      <c r="M246" s="827">
        <f>IFERROR(INDEX(月例!$H$5:$H$788,MATCH("役員報酬|S|2",月例!$S$5:$S$788,0)),"")</f>
        <v>5261</v>
      </c>
      <c r="N246" s="828">
        <f>IF(M246="","",N245-M246)</f>
        <v>5478</v>
      </c>
      <c r="O246" s="829" t="str">
        <f>IFERROR(INDEX(月例!$P$5:$P$788,MATCH("役員報酬|S|2",月例!$S$5:$S$788,0)),"")</f>
        <v>確認済</v>
      </c>
      <c r="P246" s="825" t="str">
        <f>IFERROR(INDEX(月例!$A$5:$A$788,MATCH("連合会分担金|S|2",月例!$S$5:$S$788,0)),"")</f>
        <v/>
      </c>
      <c r="Q246" s="826" t="str">
        <f>IFERROR(INDEX(月例!$E$5:$E$788,MATCH("連合会分担金|S|2",月例!$S$5:$S$788,0)),"")</f>
        <v/>
      </c>
      <c r="R246" s="827" t="str">
        <f>IFERROR(INDEX(月例!$H$5:$H$788,MATCH("連合会分担金|S|2",月例!$S$5:$S$788,0)),"")</f>
        <v/>
      </c>
      <c r="S246" s="828" t="str">
        <f>IF(R246="","",S245-R246)</f>
        <v/>
      </c>
      <c r="T246" s="829" t="str">
        <f>IFERROR(INDEX(月例!$P$5:$P$788,MATCH("連合会分担金|S|2",月例!$S$5:$S$788,0)),"")</f>
        <v/>
      </c>
    </row>
    <row r="247">
      <c r="A247" s="825">
        <f>IFERROR(INDEX(月例!$A$5:$A$788,MATCH("光熱水料|S|3",月例!$S$5:$S$788,0)),"")</f>
        <v>45996</v>
      </c>
      <c r="B247" s="826" t="str">
        <f>IFERROR(INDEX(月例!$E$5:$E$788,MATCH("光熱水料|S|3",月例!$S$5:$S$788,0)),"")</f>
        <v>ガス料（広島市４～９月分）</v>
      </c>
      <c r="C247" s="827">
        <f>IFERROR(INDEX(月例!$H$5:$H$788,MATCH("光熱水料|S|3",月例!$S$5:$S$788,0)),"")</f>
        <v>1395</v>
      </c>
      <c r="D247" s="828">
        <f>IF(C247="","",D246-C247)</f>
        <v>9001</v>
      </c>
      <c r="E247" s="829" t="str">
        <f>IFERROR(INDEX(月例!$P$5:$P$788,MATCH("光熱水料|S|3",月例!$S$5:$S$788,0)),"")</f>
        <v>昨年実績</v>
      </c>
      <c r="F247" s="825" t="str">
        <f>IFERROR(INDEX(月例!$A$5:$A$788,MATCH("修繕費|S|3",月例!$S$5:$S$788,0)),"")</f>
        <v/>
      </c>
      <c r="G247" s="826" t="str">
        <f>IFERROR(INDEX(月例!$E$5:$E$788,MATCH("修繕費|S|3",月例!$S$5:$S$788,0)),"")</f>
        <v/>
      </c>
      <c r="H247" s="827" t="str">
        <f>IFERROR(INDEX(月例!$H$5:$H$788,MATCH("修繕費|S|3",月例!$S$5:$S$788,0)),"")</f>
        <v/>
      </c>
      <c r="I247" s="828" t="str">
        <f>IF(H247="","",I246-H247)</f>
        <v/>
      </c>
      <c r="J247" s="829" t="str">
        <f>IFERROR(INDEX(月例!$P$5:$P$788,MATCH("修繕費|S|3",月例!$S$5:$S$788,0)),"")</f>
        <v/>
      </c>
      <c r="K247" s="825">
        <f>IFERROR(INDEX(月例!$A$5:$A$788,MATCH("役員報酬|S|3",月例!$S$5:$S$788,0)),"")</f>
        <v>46106</v>
      </c>
      <c r="L247" s="826" t="str">
        <f>IFERROR(INDEX(月例!$E$5:$E$788,MATCH("役員報酬|S|3",月例!$S$5:$S$788,0)),"")</f>
        <v>組合会３／２５　学識経験監事　栗栖　一雄</v>
      </c>
      <c r="M247" s="827">
        <f>IFERROR(INDEX(月例!$H$5:$H$788,MATCH("役員報酬|S|3",月例!$S$5:$S$788,0)),"")</f>
        <v>5261</v>
      </c>
      <c r="N247" s="828">
        <f>IF(M247="","",N246-M247)</f>
        <v>217</v>
      </c>
      <c r="O247" s="829" t="str">
        <f>IFERROR(INDEX(月例!$P$5:$P$788,MATCH("役員報酬|S|3",月例!$S$5:$S$788,0)),"")</f>
        <v>昨年実績</v>
      </c>
      <c r="P247" s="825" t="str">
        <f>IFERROR(INDEX(月例!$A$5:$A$788,MATCH("連合会分担金|S|3",月例!$S$5:$S$788,0)),"")</f>
        <v/>
      </c>
      <c r="Q247" s="826" t="str">
        <f>IFERROR(INDEX(月例!$E$5:$E$788,MATCH("連合会分担金|S|3",月例!$S$5:$S$788,0)),"")</f>
        <v/>
      </c>
      <c r="R247" s="827" t="str">
        <f>IFERROR(INDEX(月例!$H$5:$H$788,MATCH("連合会分担金|S|3",月例!$S$5:$S$788,0)),"")</f>
        <v/>
      </c>
      <c r="S247" s="828" t="str">
        <f>IF(R247="","",S246-R247)</f>
        <v/>
      </c>
      <c r="T247" s="829" t="str">
        <f>IFERROR(INDEX(月例!$P$5:$P$788,MATCH("連合会分担金|S|3",月例!$S$5:$S$788,0)),"")</f>
        <v/>
      </c>
    </row>
    <row r="248">
      <c r="A248" s="825" t="str">
        <f>IFERROR(INDEX(月例!$A$5:$A$788,MATCH("光熱水料|S|4",月例!$S$5:$S$788,0)),"")</f>
        <v/>
      </c>
      <c r="B248" s="826" t="str">
        <f>IFERROR(INDEX(月例!$E$5:$E$788,MATCH("光熱水料|S|4",月例!$S$5:$S$788,0)),"")</f>
        <v/>
      </c>
      <c r="C248" s="827" t="str">
        <f>IFERROR(INDEX(月例!$H$5:$H$788,MATCH("光熱水料|S|4",月例!$S$5:$S$788,0)),"")</f>
        <v/>
      </c>
      <c r="D248" s="828" t="str">
        <f>IF(C248="","",D247-C248)</f>
        <v/>
      </c>
      <c r="E248" s="829" t="str">
        <f>IFERROR(INDEX(月例!$P$5:$P$788,MATCH("光熱水料|S|4",月例!$S$5:$S$788,0)),"")</f>
        <v/>
      </c>
      <c r="F248" s="825" t="str">
        <f>IFERROR(INDEX(月例!$A$5:$A$788,MATCH("修繕費|S|4",月例!$S$5:$S$788,0)),"")</f>
        <v/>
      </c>
      <c r="G248" s="826" t="str">
        <f>IFERROR(INDEX(月例!$E$5:$E$788,MATCH("修繕費|S|4",月例!$S$5:$S$788,0)),"")</f>
        <v/>
      </c>
      <c r="H248" s="827" t="str">
        <f>IFERROR(INDEX(月例!$H$5:$H$788,MATCH("修繕費|S|4",月例!$S$5:$S$788,0)),"")</f>
        <v/>
      </c>
      <c r="I248" s="828" t="str">
        <f>IF(H248="","",I247-H248)</f>
        <v/>
      </c>
      <c r="J248" s="829" t="str">
        <f>IFERROR(INDEX(月例!$P$5:$P$788,MATCH("修繕費|S|4",月例!$S$5:$S$788,0)),"")</f>
        <v/>
      </c>
      <c r="K248" s="825" t="str">
        <f>IFERROR(INDEX(月例!$A$5:$A$788,MATCH("役員報酬|S|4",月例!$S$5:$S$788,0)),"")</f>
        <v/>
      </c>
      <c r="L248" s="826" t="str">
        <f>IFERROR(INDEX(月例!$E$5:$E$788,MATCH("役員報酬|S|4",月例!$S$5:$S$788,0)),"")</f>
        <v/>
      </c>
      <c r="M248" s="827" t="str">
        <f>IFERROR(INDEX(月例!$H$5:$H$788,MATCH("役員報酬|S|4",月例!$S$5:$S$788,0)),"")</f>
        <v/>
      </c>
      <c r="N248" s="828" t="str">
        <f>IF(M248="","",N247-M248)</f>
        <v/>
      </c>
      <c r="O248" s="829" t="str">
        <f>IFERROR(INDEX(月例!$P$5:$P$788,MATCH("役員報酬|S|4",月例!$S$5:$S$788,0)),"")</f>
        <v/>
      </c>
      <c r="P248" s="825" t="str">
        <f>IFERROR(INDEX(月例!$A$5:$A$788,MATCH("連合会分担金|S|4",月例!$S$5:$S$788,0)),"")</f>
        <v/>
      </c>
      <c r="Q248" s="826" t="str">
        <f>IFERROR(INDEX(月例!$E$5:$E$788,MATCH("連合会分担金|S|4",月例!$S$5:$S$788,0)),"")</f>
        <v/>
      </c>
      <c r="R248" s="827" t="str">
        <f>IFERROR(INDEX(月例!$H$5:$H$788,MATCH("連合会分担金|S|4",月例!$S$5:$S$788,0)),"")</f>
        <v/>
      </c>
      <c r="S248" s="828" t="str">
        <f>IF(R248="","",S247-R248)</f>
        <v/>
      </c>
      <c r="T248" s="829" t="str">
        <f>IFERROR(INDEX(月例!$P$5:$P$788,MATCH("連合会分担金|S|4",月例!$S$5:$S$788,0)),"")</f>
        <v/>
      </c>
    </row>
    <row r="249">
      <c r="A249" s="825" t="str">
        <f>IFERROR(INDEX(月例!$A$5:$A$788,MATCH("光熱水料|S|5",月例!$S$5:$S$788,0)),"")</f>
        <v/>
      </c>
      <c r="B249" s="826" t="str">
        <f>IFERROR(INDEX(月例!$E$5:$E$788,MATCH("光熱水料|S|5",月例!$S$5:$S$788,0)),"")</f>
        <v/>
      </c>
      <c r="C249" s="827" t="str">
        <f>IFERROR(INDEX(月例!$H$5:$H$788,MATCH("光熱水料|S|5",月例!$S$5:$S$788,0)),"")</f>
        <v/>
      </c>
      <c r="D249" s="828" t="str">
        <f>IF(C249="","",D248-C249)</f>
        <v/>
      </c>
      <c r="E249" s="829" t="str">
        <f>IFERROR(INDEX(月例!$P$5:$P$788,MATCH("光熱水料|S|5",月例!$S$5:$S$788,0)),"")</f>
        <v/>
      </c>
      <c r="F249" s="825" t="str">
        <f>IFERROR(INDEX(月例!$A$5:$A$788,MATCH("修繕費|S|5",月例!$S$5:$S$788,0)),"")</f>
        <v/>
      </c>
      <c r="G249" s="826" t="str">
        <f>IFERROR(INDEX(月例!$E$5:$E$788,MATCH("修繕費|S|5",月例!$S$5:$S$788,0)),"")</f>
        <v/>
      </c>
      <c r="H249" s="827" t="str">
        <f>IFERROR(INDEX(月例!$H$5:$H$788,MATCH("修繕費|S|5",月例!$S$5:$S$788,0)),"")</f>
        <v/>
      </c>
      <c r="I249" s="828" t="str">
        <f>IF(H249="","",I248-H249)</f>
        <v/>
      </c>
      <c r="J249" s="829" t="str">
        <f>IFERROR(INDEX(月例!$P$5:$P$788,MATCH("修繕費|S|5",月例!$S$5:$S$788,0)),"")</f>
        <v/>
      </c>
      <c r="K249" s="825" t="str">
        <f>IFERROR(INDEX(月例!$A$5:$A$788,MATCH("役員報酬|S|5",月例!$S$5:$S$788,0)),"")</f>
        <v/>
      </c>
      <c r="L249" s="826" t="str">
        <f>IFERROR(INDEX(月例!$E$5:$E$788,MATCH("役員報酬|S|5",月例!$S$5:$S$788,0)),"")</f>
        <v/>
      </c>
      <c r="M249" s="827" t="str">
        <f>IFERROR(INDEX(月例!$H$5:$H$788,MATCH("役員報酬|S|5",月例!$S$5:$S$788,0)),"")</f>
        <v/>
      </c>
      <c r="N249" s="828" t="str">
        <f>IF(M249="","",N248-M249)</f>
        <v/>
      </c>
      <c r="O249" s="829" t="str">
        <f>IFERROR(INDEX(月例!$P$5:$P$788,MATCH("役員報酬|S|5",月例!$S$5:$S$788,0)),"")</f>
        <v/>
      </c>
      <c r="P249" s="825" t="str">
        <f>IFERROR(INDEX(月例!$A$5:$A$788,MATCH("連合会分担金|S|5",月例!$S$5:$S$788,0)),"")</f>
        <v/>
      </c>
      <c r="Q249" s="826" t="str">
        <f>IFERROR(INDEX(月例!$E$5:$E$788,MATCH("連合会分担金|S|5",月例!$S$5:$S$788,0)),"")</f>
        <v/>
      </c>
      <c r="R249" s="827" t="str">
        <f>IFERROR(INDEX(月例!$H$5:$H$788,MATCH("連合会分担金|S|5",月例!$S$5:$S$788,0)),"")</f>
        <v/>
      </c>
      <c r="S249" s="828" t="str">
        <f>IF(R249="","",S248-R249)</f>
        <v/>
      </c>
      <c r="T249" s="829" t="str">
        <f>IFERROR(INDEX(月例!$P$5:$P$788,MATCH("連合会分担金|S|5",月例!$S$5:$S$788,0)),"")</f>
        <v/>
      </c>
    </row>
    <row r="250">
      <c r="A250" s="825" t="str">
        <f>IFERROR(INDEX(月例!$A$5:$A$788,MATCH("光熱水料|S|6",月例!$S$5:$S$788,0)),"")</f>
        <v/>
      </c>
      <c r="B250" s="826" t="str">
        <f>IFERROR(INDEX(月例!$E$5:$E$788,MATCH("光熱水料|S|6",月例!$S$5:$S$788,0)),"")</f>
        <v/>
      </c>
      <c r="C250" s="827" t="str">
        <f>IFERROR(INDEX(月例!$H$5:$H$788,MATCH("光熱水料|S|6",月例!$S$5:$S$788,0)),"")</f>
        <v/>
      </c>
      <c r="D250" s="828" t="str">
        <f>IF(C250="","",D249-C250)</f>
        <v/>
      </c>
      <c r="E250" s="829" t="str">
        <f>IFERROR(INDEX(月例!$P$5:$P$788,MATCH("光熱水料|S|6",月例!$S$5:$S$788,0)),"")</f>
        <v/>
      </c>
      <c r="F250" s="825" t="str">
        <f>IFERROR(INDEX(月例!$A$5:$A$788,MATCH("修繕費|S|6",月例!$S$5:$S$788,0)),"")</f>
        <v/>
      </c>
      <c r="G250" s="826" t="str">
        <f>IFERROR(INDEX(月例!$E$5:$E$788,MATCH("修繕費|S|6",月例!$S$5:$S$788,0)),"")</f>
        <v/>
      </c>
      <c r="H250" s="827" t="str">
        <f>IFERROR(INDEX(月例!$H$5:$H$788,MATCH("修繕費|S|6",月例!$S$5:$S$788,0)),"")</f>
        <v/>
      </c>
      <c r="I250" s="828" t="str">
        <f>IF(H250="","",I249-H250)</f>
        <v/>
      </c>
      <c r="J250" s="829" t="str">
        <f>IFERROR(INDEX(月例!$P$5:$P$788,MATCH("修繕費|S|6",月例!$S$5:$S$788,0)),"")</f>
        <v/>
      </c>
      <c r="K250" s="825" t="str">
        <f>IFERROR(INDEX(月例!$A$5:$A$788,MATCH("役員報酬|S|6",月例!$S$5:$S$788,0)),"")</f>
        <v/>
      </c>
      <c r="L250" s="826" t="str">
        <f>IFERROR(INDEX(月例!$E$5:$E$788,MATCH("役員報酬|S|6",月例!$S$5:$S$788,0)),"")</f>
        <v/>
      </c>
      <c r="M250" s="827" t="str">
        <f>IFERROR(INDEX(月例!$H$5:$H$788,MATCH("役員報酬|S|6",月例!$S$5:$S$788,0)),"")</f>
        <v/>
      </c>
      <c r="N250" s="828" t="str">
        <f>IF(M250="","",N249-M250)</f>
        <v/>
      </c>
      <c r="O250" s="829" t="str">
        <f>IFERROR(INDEX(月例!$P$5:$P$788,MATCH("役員報酬|S|6",月例!$S$5:$S$788,0)),"")</f>
        <v/>
      </c>
      <c r="P250" s="825" t="str">
        <f>IFERROR(INDEX(月例!$A$5:$A$788,MATCH("連合会分担金|S|6",月例!$S$5:$S$788,0)),"")</f>
        <v/>
      </c>
      <c r="Q250" s="826" t="str">
        <f>IFERROR(INDEX(月例!$E$5:$E$788,MATCH("連合会分担金|S|6",月例!$S$5:$S$788,0)),"")</f>
        <v/>
      </c>
      <c r="R250" s="827" t="str">
        <f>IFERROR(INDEX(月例!$H$5:$H$788,MATCH("連合会分担金|S|6",月例!$S$5:$S$788,0)),"")</f>
        <v/>
      </c>
      <c r="S250" s="828" t="str">
        <f>IF(R250="","",S249-R250)</f>
        <v/>
      </c>
      <c r="T250" s="829" t="str">
        <f>IFERROR(INDEX(月例!$P$5:$P$788,MATCH("連合会分担金|S|6",月例!$S$5:$S$788,0)),"")</f>
        <v/>
      </c>
    </row>
    <row r="251">
      <c r="A251" s="825" t="str">
        <f>IFERROR(INDEX(月例!$A$5:$A$788,MATCH("光熱水料|S|7",月例!$S$5:$S$788,0)),"")</f>
        <v/>
      </c>
      <c r="B251" s="826" t="str">
        <f>IFERROR(INDEX(月例!$E$5:$E$788,MATCH("光熱水料|S|7",月例!$S$5:$S$788,0)),"")</f>
        <v/>
      </c>
      <c r="C251" s="827" t="str">
        <f>IFERROR(INDEX(月例!$H$5:$H$788,MATCH("光熱水料|S|7",月例!$S$5:$S$788,0)),"")</f>
        <v/>
      </c>
      <c r="D251" s="828" t="str">
        <f>IF(C251="","",D250-C251)</f>
        <v/>
      </c>
      <c r="E251" s="829" t="str">
        <f>IFERROR(INDEX(月例!$P$5:$P$788,MATCH("光熱水料|S|7",月例!$S$5:$S$788,0)),"")</f>
        <v/>
      </c>
      <c r="F251" s="825" t="str">
        <f>IFERROR(INDEX(月例!$A$5:$A$788,MATCH("修繕費|S|7",月例!$S$5:$S$788,0)),"")</f>
        <v/>
      </c>
      <c r="G251" s="826" t="str">
        <f>IFERROR(INDEX(月例!$E$5:$E$788,MATCH("修繕費|S|7",月例!$S$5:$S$788,0)),"")</f>
        <v/>
      </c>
      <c r="H251" s="827" t="str">
        <f>IFERROR(INDEX(月例!$H$5:$H$788,MATCH("修繕費|S|7",月例!$S$5:$S$788,0)),"")</f>
        <v/>
      </c>
      <c r="I251" s="828" t="str">
        <f>IF(H251="","",I250-H251)</f>
        <v/>
      </c>
      <c r="J251" s="829" t="str">
        <f>IFERROR(INDEX(月例!$P$5:$P$788,MATCH("修繕費|S|7",月例!$S$5:$S$788,0)),"")</f>
        <v/>
      </c>
      <c r="K251" s="825" t="str">
        <f>IFERROR(INDEX(月例!$A$5:$A$788,MATCH("役員報酬|S|7",月例!$S$5:$S$788,0)),"")</f>
        <v/>
      </c>
      <c r="L251" s="826" t="str">
        <f>IFERROR(INDEX(月例!$E$5:$E$788,MATCH("役員報酬|S|7",月例!$S$5:$S$788,0)),"")</f>
        <v/>
      </c>
      <c r="M251" s="827" t="str">
        <f>IFERROR(INDEX(月例!$H$5:$H$788,MATCH("役員報酬|S|7",月例!$S$5:$S$788,0)),"")</f>
        <v/>
      </c>
      <c r="N251" s="828" t="str">
        <f>IF(M251="","",N250-M251)</f>
        <v/>
      </c>
      <c r="O251" s="829" t="str">
        <f>IFERROR(INDEX(月例!$P$5:$P$788,MATCH("役員報酬|S|7",月例!$S$5:$S$788,0)),"")</f>
        <v/>
      </c>
      <c r="P251" s="825" t="str">
        <f>IFERROR(INDEX(月例!$A$5:$A$788,MATCH("連合会分担金|S|7",月例!$S$5:$S$788,0)),"")</f>
        <v/>
      </c>
      <c r="Q251" s="826" t="str">
        <f>IFERROR(INDEX(月例!$E$5:$E$788,MATCH("連合会分担金|S|7",月例!$S$5:$S$788,0)),"")</f>
        <v/>
      </c>
      <c r="R251" s="827" t="str">
        <f>IFERROR(INDEX(月例!$H$5:$H$788,MATCH("連合会分担金|S|7",月例!$S$5:$S$788,0)),"")</f>
        <v/>
      </c>
      <c r="S251" s="828" t="str">
        <f>IF(R251="","",S250-R251)</f>
        <v/>
      </c>
      <c r="T251" s="829" t="str">
        <f>IFERROR(INDEX(月例!$P$5:$P$788,MATCH("連合会分担金|S|7",月例!$S$5:$S$788,0)),"")</f>
        <v/>
      </c>
    </row>
    <row r="252">
      <c r="A252" s="825" t="str">
        <f>IFERROR(INDEX(月例!$A$5:$A$788,MATCH("光熱水料|S|8",月例!$S$5:$S$788,0)),"")</f>
        <v/>
      </c>
      <c r="B252" s="826" t="str">
        <f>IFERROR(INDEX(月例!$E$5:$E$788,MATCH("光熱水料|S|8",月例!$S$5:$S$788,0)),"")</f>
        <v/>
      </c>
      <c r="C252" s="827" t="str">
        <f>IFERROR(INDEX(月例!$H$5:$H$788,MATCH("光熱水料|S|8",月例!$S$5:$S$788,0)),"")</f>
        <v/>
      </c>
      <c r="D252" s="828" t="str">
        <f>IF(C252="","",D251-C252)</f>
        <v/>
      </c>
      <c r="E252" s="829" t="str">
        <f>IFERROR(INDEX(月例!$P$5:$P$788,MATCH("光熱水料|S|8",月例!$S$5:$S$788,0)),"")</f>
        <v/>
      </c>
      <c r="F252" s="825" t="str">
        <f>IFERROR(INDEX(月例!$A$5:$A$788,MATCH("修繕費|S|8",月例!$S$5:$S$788,0)),"")</f>
        <v/>
      </c>
      <c r="G252" s="826" t="str">
        <f>IFERROR(INDEX(月例!$E$5:$E$788,MATCH("修繕費|S|8",月例!$S$5:$S$788,0)),"")</f>
        <v/>
      </c>
      <c r="H252" s="827" t="str">
        <f>IFERROR(INDEX(月例!$H$5:$H$788,MATCH("修繕費|S|8",月例!$S$5:$S$788,0)),"")</f>
        <v/>
      </c>
      <c r="I252" s="828" t="str">
        <f>IF(H252="","",I251-H252)</f>
        <v/>
      </c>
      <c r="J252" s="829" t="str">
        <f>IFERROR(INDEX(月例!$P$5:$P$788,MATCH("修繕費|S|8",月例!$S$5:$S$788,0)),"")</f>
        <v/>
      </c>
      <c r="K252" s="825" t="str">
        <f>IFERROR(INDEX(月例!$A$5:$A$788,MATCH("役員報酬|S|8",月例!$S$5:$S$788,0)),"")</f>
        <v/>
      </c>
      <c r="L252" s="826" t="str">
        <f>IFERROR(INDEX(月例!$E$5:$E$788,MATCH("役員報酬|S|8",月例!$S$5:$S$788,0)),"")</f>
        <v/>
      </c>
      <c r="M252" s="827" t="str">
        <f>IFERROR(INDEX(月例!$H$5:$H$788,MATCH("役員報酬|S|8",月例!$S$5:$S$788,0)),"")</f>
        <v/>
      </c>
      <c r="N252" s="828" t="str">
        <f>IF(M252="","",N251-M252)</f>
        <v/>
      </c>
      <c r="O252" s="829" t="str">
        <f>IFERROR(INDEX(月例!$P$5:$P$788,MATCH("役員報酬|S|8",月例!$S$5:$S$788,0)),"")</f>
        <v/>
      </c>
      <c r="P252" s="825" t="str">
        <f>IFERROR(INDEX(月例!$A$5:$A$788,MATCH("連合会分担金|S|8",月例!$S$5:$S$788,0)),"")</f>
        <v/>
      </c>
      <c r="Q252" s="826" t="str">
        <f>IFERROR(INDEX(月例!$E$5:$E$788,MATCH("連合会分担金|S|8",月例!$S$5:$S$788,0)),"")</f>
        <v/>
      </c>
      <c r="R252" s="827" t="str">
        <f>IFERROR(INDEX(月例!$H$5:$H$788,MATCH("連合会分担金|S|8",月例!$S$5:$S$788,0)),"")</f>
        <v/>
      </c>
      <c r="S252" s="828" t="str">
        <f>IF(R252="","",S251-R252)</f>
        <v/>
      </c>
      <c r="T252" s="829" t="str">
        <f>IFERROR(INDEX(月例!$P$5:$P$788,MATCH("連合会分担金|S|8",月例!$S$5:$S$788,0)),"")</f>
        <v/>
      </c>
    </row>
    <row r="253">
      <c r="A253" s="825" t="str">
        <f>IFERROR(INDEX(月例!$A$5:$A$788,MATCH("光熱水料|S|9",月例!$S$5:$S$788,0)),"")</f>
        <v/>
      </c>
      <c r="B253" s="826" t="str">
        <f>IFERROR(INDEX(月例!$E$5:$E$788,MATCH("光熱水料|S|9",月例!$S$5:$S$788,0)),"")</f>
        <v/>
      </c>
      <c r="C253" s="827" t="str">
        <f>IFERROR(INDEX(月例!$H$5:$H$788,MATCH("光熱水料|S|9",月例!$S$5:$S$788,0)),"")</f>
        <v/>
      </c>
      <c r="D253" s="828" t="str">
        <f>IF(C253="","",D252-C253)</f>
        <v/>
      </c>
      <c r="E253" s="829" t="str">
        <f>IFERROR(INDEX(月例!$P$5:$P$788,MATCH("光熱水料|S|9",月例!$S$5:$S$788,0)),"")</f>
        <v/>
      </c>
      <c r="F253" s="825" t="str">
        <f>IFERROR(INDEX(月例!$A$5:$A$788,MATCH("修繕費|S|9",月例!$S$5:$S$788,0)),"")</f>
        <v/>
      </c>
      <c r="G253" s="826" t="str">
        <f>IFERROR(INDEX(月例!$E$5:$E$788,MATCH("修繕費|S|9",月例!$S$5:$S$788,0)),"")</f>
        <v/>
      </c>
      <c r="H253" s="827" t="str">
        <f>IFERROR(INDEX(月例!$H$5:$H$788,MATCH("修繕費|S|9",月例!$S$5:$S$788,0)),"")</f>
        <v/>
      </c>
      <c r="I253" s="828" t="str">
        <f>IF(H253="","",I252-H253)</f>
        <v/>
      </c>
      <c r="J253" s="829" t="str">
        <f>IFERROR(INDEX(月例!$P$5:$P$788,MATCH("修繕費|S|9",月例!$S$5:$S$788,0)),"")</f>
        <v/>
      </c>
      <c r="K253" s="825" t="str">
        <f>IFERROR(INDEX(月例!$A$5:$A$788,MATCH("役員報酬|S|9",月例!$S$5:$S$788,0)),"")</f>
        <v/>
      </c>
      <c r="L253" s="826" t="str">
        <f>IFERROR(INDEX(月例!$E$5:$E$788,MATCH("役員報酬|S|9",月例!$S$5:$S$788,0)),"")</f>
        <v/>
      </c>
      <c r="M253" s="827" t="str">
        <f>IFERROR(INDEX(月例!$H$5:$H$788,MATCH("役員報酬|S|9",月例!$S$5:$S$788,0)),"")</f>
        <v/>
      </c>
      <c r="N253" s="828" t="str">
        <f>IF(M253="","",N252-M253)</f>
        <v/>
      </c>
      <c r="O253" s="829" t="str">
        <f>IFERROR(INDEX(月例!$P$5:$P$788,MATCH("役員報酬|S|9",月例!$S$5:$S$788,0)),"")</f>
        <v/>
      </c>
      <c r="P253" s="825" t="str">
        <f>IFERROR(INDEX(月例!$A$5:$A$788,MATCH("連合会分担金|S|9",月例!$S$5:$S$788,0)),"")</f>
        <v/>
      </c>
      <c r="Q253" s="826" t="str">
        <f>IFERROR(INDEX(月例!$E$5:$E$788,MATCH("連合会分担金|S|9",月例!$S$5:$S$788,0)),"")</f>
        <v/>
      </c>
      <c r="R253" s="827" t="str">
        <f>IFERROR(INDEX(月例!$H$5:$H$788,MATCH("連合会分担金|S|9",月例!$S$5:$S$788,0)),"")</f>
        <v/>
      </c>
      <c r="S253" s="828" t="str">
        <f>IF(R253="","",S252-R253)</f>
        <v/>
      </c>
      <c r="T253" s="829" t="str">
        <f>IFERROR(INDEX(月例!$P$5:$P$788,MATCH("連合会分担金|S|9",月例!$S$5:$S$788,0)),"")</f>
        <v/>
      </c>
    </row>
    <row r="254">
      <c r="A254" s="825" t="str">
        <f>IFERROR(INDEX(月例!$A$5:$A$788,MATCH("光熱水料|S|10",月例!$S$5:$S$788,0)),"")</f>
        <v/>
      </c>
      <c r="B254" s="826" t="str">
        <f>IFERROR(INDEX(月例!$E$5:$E$788,MATCH("光熱水料|S|10",月例!$S$5:$S$788,0)),"")</f>
        <v/>
      </c>
      <c r="C254" s="827" t="str">
        <f>IFERROR(INDEX(月例!$H$5:$H$788,MATCH("光熱水料|S|10",月例!$S$5:$S$788,0)),"")</f>
        <v/>
      </c>
      <c r="D254" s="828" t="str">
        <f>IF(C254="","",D253-C254)</f>
        <v/>
      </c>
      <c r="E254" s="829" t="str">
        <f>IFERROR(INDEX(月例!$P$5:$P$788,MATCH("光熱水料|S|10",月例!$S$5:$S$788,0)),"")</f>
        <v/>
      </c>
      <c r="F254" s="825" t="str">
        <f>IFERROR(INDEX(月例!$A$5:$A$788,MATCH("修繕費|S|10",月例!$S$5:$S$788,0)),"")</f>
        <v/>
      </c>
      <c r="G254" s="826" t="str">
        <f>IFERROR(INDEX(月例!$E$5:$E$788,MATCH("修繕費|S|10",月例!$S$5:$S$788,0)),"")</f>
        <v/>
      </c>
      <c r="H254" s="827" t="str">
        <f>IFERROR(INDEX(月例!$H$5:$H$788,MATCH("修繕費|S|10",月例!$S$5:$S$788,0)),"")</f>
        <v/>
      </c>
      <c r="I254" s="828" t="str">
        <f>IF(H254="","",I253-H254)</f>
        <v/>
      </c>
      <c r="J254" s="829" t="str">
        <f>IFERROR(INDEX(月例!$P$5:$P$788,MATCH("修繕費|S|10",月例!$S$5:$S$788,0)),"")</f>
        <v/>
      </c>
      <c r="K254" s="825" t="str">
        <f>IFERROR(INDEX(月例!$A$5:$A$788,MATCH("役員報酬|S|10",月例!$S$5:$S$788,0)),"")</f>
        <v/>
      </c>
      <c r="L254" s="826" t="str">
        <f>IFERROR(INDEX(月例!$E$5:$E$788,MATCH("役員報酬|S|10",月例!$S$5:$S$788,0)),"")</f>
        <v/>
      </c>
      <c r="M254" s="827" t="str">
        <f>IFERROR(INDEX(月例!$H$5:$H$788,MATCH("役員報酬|S|10",月例!$S$5:$S$788,0)),"")</f>
        <v/>
      </c>
      <c r="N254" s="828" t="str">
        <f>IF(M254="","",N253-M254)</f>
        <v/>
      </c>
      <c r="O254" s="829" t="str">
        <f>IFERROR(INDEX(月例!$P$5:$P$788,MATCH("役員報酬|S|10",月例!$S$5:$S$788,0)),"")</f>
        <v/>
      </c>
      <c r="P254" s="825" t="str">
        <f>IFERROR(INDEX(月例!$A$5:$A$788,MATCH("連合会分担金|S|10",月例!$S$5:$S$788,0)),"")</f>
        <v/>
      </c>
      <c r="Q254" s="826" t="str">
        <f>IFERROR(INDEX(月例!$E$5:$E$788,MATCH("連合会分担金|S|10",月例!$S$5:$S$788,0)),"")</f>
        <v/>
      </c>
      <c r="R254" s="827" t="str">
        <f>IFERROR(INDEX(月例!$H$5:$H$788,MATCH("連合会分担金|S|10",月例!$S$5:$S$788,0)),"")</f>
        <v/>
      </c>
      <c r="S254" s="828" t="str">
        <f>IF(R254="","",S253-R254)</f>
        <v/>
      </c>
      <c r="T254" s="829" t="str">
        <f>IFERROR(INDEX(月例!$P$5:$P$788,MATCH("連合会分担金|S|10",月例!$S$5:$S$788,0)),"")</f>
        <v/>
      </c>
    </row>
    <row r="255">
      <c r="A255" s="825" t="str">
        <f>IFERROR(INDEX(月例!$A$5:$A$788,MATCH("光熱水料|S|11",月例!$S$5:$S$788,0)),"")</f>
        <v/>
      </c>
      <c r="B255" s="826" t="str">
        <f>IFERROR(INDEX(月例!$E$5:$E$788,MATCH("光熱水料|S|11",月例!$S$5:$S$788,0)),"")</f>
        <v/>
      </c>
      <c r="C255" s="827" t="str">
        <f>IFERROR(INDEX(月例!$H$5:$H$788,MATCH("光熱水料|S|11",月例!$S$5:$S$788,0)),"")</f>
        <v/>
      </c>
      <c r="D255" s="828" t="str">
        <f>IF(C255="","",D254-C255)</f>
        <v/>
      </c>
      <c r="E255" s="829" t="str">
        <f>IFERROR(INDEX(月例!$P$5:$P$788,MATCH("光熱水料|S|11",月例!$S$5:$S$788,0)),"")</f>
        <v/>
      </c>
      <c r="F255" s="825" t="str">
        <f>IFERROR(INDEX(月例!$A$5:$A$788,MATCH("修繕費|S|11",月例!$S$5:$S$788,0)),"")</f>
        <v/>
      </c>
      <c r="G255" s="826" t="str">
        <f>IFERROR(INDEX(月例!$E$5:$E$788,MATCH("修繕費|S|11",月例!$S$5:$S$788,0)),"")</f>
        <v/>
      </c>
      <c r="H255" s="827" t="str">
        <f>IFERROR(INDEX(月例!$H$5:$H$788,MATCH("修繕費|S|11",月例!$S$5:$S$788,0)),"")</f>
        <v/>
      </c>
      <c r="I255" s="828" t="str">
        <f>IF(H255="","",I254-H255)</f>
        <v/>
      </c>
      <c r="J255" s="829" t="str">
        <f>IFERROR(INDEX(月例!$P$5:$P$788,MATCH("修繕費|S|11",月例!$S$5:$S$788,0)),"")</f>
        <v/>
      </c>
      <c r="K255" s="825" t="str">
        <f>IFERROR(INDEX(月例!$A$5:$A$788,MATCH("役員報酬|S|11",月例!$S$5:$S$788,0)),"")</f>
        <v/>
      </c>
      <c r="L255" s="826" t="str">
        <f>IFERROR(INDEX(月例!$E$5:$E$788,MATCH("役員報酬|S|11",月例!$S$5:$S$788,0)),"")</f>
        <v/>
      </c>
      <c r="M255" s="827" t="str">
        <f>IFERROR(INDEX(月例!$H$5:$H$788,MATCH("役員報酬|S|11",月例!$S$5:$S$788,0)),"")</f>
        <v/>
      </c>
      <c r="N255" s="828" t="str">
        <f>IF(M255="","",N254-M255)</f>
        <v/>
      </c>
      <c r="O255" s="829" t="str">
        <f>IFERROR(INDEX(月例!$P$5:$P$788,MATCH("役員報酬|S|11",月例!$S$5:$S$788,0)),"")</f>
        <v/>
      </c>
      <c r="P255" s="825" t="str">
        <f>IFERROR(INDEX(月例!$A$5:$A$788,MATCH("連合会分担金|S|11",月例!$S$5:$S$788,0)),"")</f>
        <v/>
      </c>
      <c r="Q255" s="826" t="str">
        <f>IFERROR(INDEX(月例!$E$5:$E$788,MATCH("連合会分担金|S|11",月例!$S$5:$S$788,0)),"")</f>
        <v/>
      </c>
      <c r="R255" s="827" t="str">
        <f>IFERROR(INDEX(月例!$H$5:$H$788,MATCH("連合会分担金|S|11",月例!$S$5:$S$788,0)),"")</f>
        <v/>
      </c>
      <c r="S255" s="828" t="str">
        <f>IF(R255="","",S254-R255)</f>
        <v/>
      </c>
      <c r="T255" s="829" t="str">
        <f>IFERROR(INDEX(月例!$P$5:$P$788,MATCH("連合会分担金|S|11",月例!$S$5:$S$788,0)),"")</f>
        <v/>
      </c>
    </row>
    <row r="256">
      <c r="A256" s="825" t="str">
        <f>IFERROR(INDEX(月例!$A$5:$A$788,MATCH("光熱水料|S|12",月例!$S$5:$S$788,0)),"")</f>
        <v/>
      </c>
      <c r="B256" s="826" t="str">
        <f>IFERROR(INDEX(月例!$E$5:$E$788,MATCH("光熱水料|S|12",月例!$S$5:$S$788,0)),"")</f>
        <v/>
      </c>
      <c r="C256" s="827" t="str">
        <f>IFERROR(INDEX(月例!$H$5:$H$788,MATCH("光熱水料|S|12",月例!$S$5:$S$788,0)),"")</f>
        <v/>
      </c>
      <c r="D256" s="828" t="str">
        <f>IF(C256="","",D255-C256)</f>
        <v/>
      </c>
      <c r="E256" s="829" t="str">
        <f>IFERROR(INDEX(月例!$P$5:$P$788,MATCH("光熱水料|S|12",月例!$S$5:$S$788,0)),"")</f>
        <v/>
      </c>
      <c r="F256" s="825" t="str">
        <f>IFERROR(INDEX(月例!$A$5:$A$788,MATCH("修繕費|S|12",月例!$S$5:$S$788,0)),"")</f>
        <v/>
      </c>
      <c r="G256" s="826" t="str">
        <f>IFERROR(INDEX(月例!$E$5:$E$788,MATCH("修繕費|S|12",月例!$S$5:$S$788,0)),"")</f>
        <v/>
      </c>
      <c r="H256" s="827" t="str">
        <f>IFERROR(INDEX(月例!$H$5:$H$788,MATCH("修繕費|S|12",月例!$S$5:$S$788,0)),"")</f>
        <v/>
      </c>
      <c r="I256" s="828" t="str">
        <f>IF(H256="","",I255-H256)</f>
        <v/>
      </c>
      <c r="J256" s="829" t="str">
        <f>IFERROR(INDEX(月例!$P$5:$P$788,MATCH("修繕費|S|12",月例!$S$5:$S$788,0)),"")</f>
        <v/>
      </c>
      <c r="K256" s="825" t="str">
        <f>IFERROR(INDEX(月例!$A$5:$A$788,MATCH("役員報酬|S|12",月例!$S$5:$S$788,0)),"")</f>
        <v/>
      </c>
      <c r="L256" s="826" t="str">
        <f>IFERROR(INDEX(月例!$E$5:$E$788,MATCH("役員報酬|S|12",月例!$S$5:$S$788,0)),"")</f>
        <v/>
      </c>
      <c r="M256" s="827" t="str">
        <f>IFERROR(INDEX(月例!$H$5:$H$788,MATCH("役員報酬|S|12",月例!$S$5:$S$788,0)),"")</f>
        <v/>
      </c>
      <c r="N256" s="828" t="str">
        <f>IF(M256="","",N255-M256)</f>
        <v/>
      </c>
      <c r="O256" s="829" t="str">
        <f>IFERROR(INDEX(月例!$P$5:$P$788,MATCH("役員報酬|S|12",月例!$S$5:$S$788,0)),"")</f>
        <v/>
      </c>
      <c r="P256" s="825" t="str">
        <f>IFERROR(INDEX(月例!$A$5:$A$788,MATCH("連合会分担金|S|12",月例!$S$5:$S$788,0)),"")</f>
        <v/>
      </c>
      <c r="Q256" s="826" t="str">
        <f>IFERROR(INDEX(月例!$E$5:$E$788,MATCH("連合会分担金|S|12",月例!$S$5:$S$788,0)),"")</f>
        <v/>
      </c>
      <c r="R256" s="827" t="str">
        <f>IFERROR(INDEX(月例!$H$5:$H$788,MATCH("連合会分担金|S|12",月例!$S$5:$S$788,0)),"")</f>
        <v/>
      </c>
      <c r="S256" s="828" t="str">
        <f>IF(R256="","",S255-R256)</f>
        <v/>
      </c>
      <c r="T256" s="829" t="str">
        <f>IFERROR(INDEX(月例!$P$5:$P$788,MATCH("連合会分担金|S|12",月例!$S$5:$S$788,0)),"")</f>
        <v/>
      </c>
    </row>
    <row r="260">
      <c r="B260" s="502" t="inlineStr">
        <is>
          <t>○諸謝金</t>
        </is>
      </c>
      <c r="D260" s="503" t="inlineStr">
        <is>
          <t>業務（短）</t>
        </is>
      </c>
      <c r="E260" s="824" t="str">
        <f>IF(COUNTIF(月例!$S$5:$S$788,"諸謝金|S|*")&gt;12,"行不足","")</f>
        <v/>
      </c>
      <c r="G260" s="502" t="inlineStr">
        <is>
          <t>○負担金  会議出席負担金等</t>
        </is>
      </c>
      <c r="I260" s="503" t="inlineStr">
        <is>
          <t>業務（短）</t>
        </is>
      </c>
      <c r="J260" s="824" t="str">
        <f>IF(COUNTIF(月例!$S$5:$S$788,"会議出席負担金等|S|*")&gt;12,"行不足","")</f>
        <v/>
      </c>
      <c r="L260" s="502" t="inlineStr">
        <is>
          <t>○負担金  協会けんぽ保険料等</t>
        </is>
      </c>
      <c r="N260" s="503" t="inlineStr">
        <is>
          <t>業務（短）</t>
        </is>
      </c>
      <c r="O260" s="824" t="str">
        <f>IF(COUNTIF(月例!$S$5:$S$788,"協会けんぽ保険料等|S|*")&gt;12,"行不足","")</f>
        <v/>
      </c>
      <c r="Q260" s="502" t="inlineStr">
        <is>
          <t>○負担金  労災・雇用保険料</t>
        </is>
      </c>
      <c r="S260" s="503" t="inlineStr">
        <is>
          <t>業務（短）</t>
        </is>
      </c>
      <c r="T260" s="824" t="str">
        <f>IF(COUNTIF(月例!$S$5:$S$788,"労災・雇用保険料|S|*")&gt;12,"行不足","")</f>
        <v/>
      </c>
    </row>
    <row r="261">
      <c r="A261" s="100" t="inlineStr">
        <is>
          <t>支出日</t>
        </is>
      </c>
      <c r="B261" s="100" t="inlineStr">
        <is>
          <t>摘要</t>
        </is>
      </c>
      <c r="C261" s="100" t="inlineStr">
        <is>
          <t>支出</t>
        </is>
      </c>
      <c r="D261" s="100" t="inlineStr">
        <is>
          <t>残額</t>
        </is>
      </c>
      <c r="E261" s="100" t="inlineStr">
        <is>
          <t>状態</t>
        </is>
      </c>
      <c r="F261" s="100" t="inlineStr">
        <is>
          <t>支出日</t>
        </is>
      </c>
      <c r="G261" s="100" t="inlineStr">
        <is>
          <t>摘要</t>
        </is>
      </c>
      <c r="H261" s="100" t="inlineStr">
        <is>
          <t>支出</t>
        </is>
      </c>
      <c r="I261" s="100" t="inlineStr">
        <is>
          <t>累計</t>
        </is>
      </c>
      <c r="J261" s="100" t="inlineStr">
        <is>
          <t>状態</t>
        </is>
      </c>
      <c r="K261" s="100" t="inlineStr">
        <is>
          <t>支出日</t>
        </is>
      </c>
      <c r="L261" s="100" t="inlineStr">
        <is>
          <t>摘要</t>
        </is>
      </c>
      <c r="M261" s="100" t="inlineStr">
        <is>
          <t>支出</t>
        </is>
      </c>
      <c r="N261" s="100" t="inlineStr">
        <is>
          <t>累計</t>
        </is>
      </c>
      <c r="O261" s="100" t="inlineStr">
        <is>
          <t>状態</t>
        </is>
      </c>
      <c r="P261" s="100" t="inlineStr">
        <is>
          <t>支出日</t>
        </is>
      </c>
      <c r="Q261" s="100" t="inlineStr">
        <is>
          <t>摘要</t>
        </is>
      </c>
      <c r="R261" s="100" t="inlineStr">
        <is>
          <t>支出</t>
        </is>
      </c>
      <c r="S261" s="100" t="inlineStr">
        <is>
          <t>累計</t>
        </is>
      </c>
      <c r="T261" s="100" t="inlineStr">
        <is>
          <t>状態</t>
        </is>
      </c>
    </row>
    <row r="262">
      <c r="A262" s="825" t="n"/>
      <c r="B262" s="826" t="inlineStr">
        <is>
          <t>予算現額</t>
        </is>
      </c>
      <c r="C262" s="827" t="n"/>
      <c r="D262" s="828">
        <f>'R7業務 (短)'!$S$25</f>
        <v>0</v>
      </c>
      <c r="F262" s="825" t="n"/>
      <c r="G262" s="826" t="inlineStr">
        <is>
          <t>（予算なし）</t>
        </is>
      </c>
      <c r="H262" s="827" t="n"/>
      <c r="I262" s="828" t="n">
        <v>0</v>
      </c>
      <c r="K262" s="825" t="n"/>
      <c r="L262" s="826" t="inlineStr">
        <is>
          <t>（予算なし）</t>
        </is>
      </c>
      <c r="M262" s="827" t="n"/>
      <c r="N262" s="828" t="n">
        <v>0</v>
      </c>
      <c r="P262" s="825" t="n"/>
      <c r="Q262" s="826" t="inlineStr">
        <is>
          <t>（予算なし）</t>
        </is>
      </c>
      <c r="R262" s="827" t="n"/>
      <c r="S262" s="828" t="n">
        <v>0</v>
      </c>
    </row>
    <row r="263">
      <c r="A263" s="825" t="str">
        <f>IFERROR(INDEX(月例!$A$5:$A$788,MATCH("諸謝金|S|1",月例!$S$5:$S$788,0)),"")</f>
        <v/>
      </c>
      <c r="B263" s="826" t="str">
        <f>IFERROR(INDEX(月例!$E$5:$E$788,MATCH("諸謝金|S|1",月例!$S$5:$S$788,0)),"")</f>
        <v/>
      </c>
      <c r="C263" s="827" t="str">
        <f>IFERROR(INDEX(月例!$H$5:$H$788,MATCH("諸謝金|S|1",月例!$S$5:$S$788,0)),"")</f>
        <v/>
      </c>
      <c r="D263" s="828" t="str">
        <f>IF(C263="","",D262-C263)</f>
        <v/>
      </c>
      <c r="E263" s="829" t="str">
        <f>IFERROR(INDEX(月例!$P$5:$P$788,MATCH("諸謝金|S|1",月例!$S$5:$S$788,0)),"")</f>
        <v/>
      </c>
      <c r="F263" s="825">
        <f>IFERROR(INDEX(月例!$A$5:$A$788,MATCH("会議出席負担金等|S|1",月例!$S$5:$S$788,0)),"")</f>
        <v>43290</v>
      </c>
      <c r="G263" s="826" t="str">
        <f>IFERROR(INDEX(月例!$E$5:$E$788,MATCH("会議出席負担金等|S|1",月例!$S$5:$S$788,0)),"")</f>
        <v>地区別研修会（保健事業）出席負担金</v>
      </c>
      <c r="H263" s="827">
        <f>IFERROR(INDEX(月例!$H$5:$H$788,MATCH("会議出席負担金等|S|1",月例!$S$5:$S$788,0)),"")</f>
        <v>2000</v>
      </c>
      <c r="I263" s="828">
        <f>IF(H263="","",I262+H263)</f>
        <v>2000</v>
      </c>
      <c r="J263" s="829" t="str">
        <f>IFERROR(INDEX(月例!$P$5:$P$788,MATCH("会議出席負担金等|S|1",月例!$S$5:$S$788,0)),"")</f>
        <v>昨年実績</v>
      </c>
      <c r="K263" s="825" t="str">
        <f>IFERROR(INDEX(月例!$A$5:$A$788,MATCH("協会けんぽ保険料等|S|1",月例!$S$5:$S$788,0)),"")</f>
        <v/>
      </c>
      <c r="L263" s="826" t="str">
        <f>IFERROR(INDEX(月例!$E$5:$E$788,MATCH("協会けんぽ保険料等|S|1",月例!$S$5:$S$788,0)),"")</f>
        <v/>
      </c>
      <c r="M263" s="827" t="str">
        <f>IFERROR(INDEX(月例!$H$5:$H$788,MATCH("協会けんぽ保険料等|S|1",月例!$S$5:$S$788,0)),"")</f>
        <v/>
      </c>
      <c r="N263" s="828" t="str">
        <f>IF(M263="","",N262+M263)</f>
        <v/>
      </c>
      <c r="O263" s="829" t="str">
        <f>IFERROR(INDEX(月例!$P$5:$P$788,MATCH("協会けんぽ保険料等|S|1",月例!$S$5:$S$788,0)),"")</f>
        <v/>
      </c>
      <c r="P263" s="825">
        <f>IFERROR(INDEX(月例!$A$5:$A$788,MATCH("労災・雇用保険料|S|1",月例!$S$5:$S$788,0)),"")</f>
        <v>46210</v>
      </c>
      <c r="Q263" s="826" t="str">
        <f>IFERROR(INDEX(月例!$E$5:$E$788,MATCH("労災・雇用保険料|S|1",月例!$S$5:$S$788,0)),"")</f>
        <v>労災保険料　雇用保険料　一般拠出金（短期分）</v>
      </c>
      <c r="R263" s="827">
        <f>IFERROR(INDEX(月例!$H$5:$H$788,MATCH("労災・雇用保険料|S|1",月例!$S$5:$S$788,0)),"")</f>
        <v>108215</v>
      </c>
      <c r="S263" s="828">
        <f>IF(R263="","",S262+R263)</f>
        <v>108215</v>
      </c>
      <c r="T263" s="829" t="str">
        <f>IFERROR(INDEX(月例!$P$5:$P$788,MATCH("労災・雇用保険料|S|1",月例!$S$5:$S$788,0)),"")</f>
        <v>確認済</v>
      </c>
    </row>
    <row r="264">
      <c r="A264" s="825" t="str">
        <f>IFERROR(INDEX(月例!$A$5:$A$788,MATCH("諸謝金|S|2",月例!$S$5:$S$788,0)),"")</f>
        <v/>
      </c>
      <c r="B264" s="826" t="str">
        <f>IFERROR(INDEX(月例!$E$5:$E$788,MATCH("諸謝金|S|2",月例!$S$5:$S$788,0)),"")</f>
        <v/>
      </c>
      <c r="C264" s="827" t="str">
        <f>IFERROR(INDEX(月例!$H$5:$H$788,MATCH("諸謝金|S|2",月例!$S$5:$S$788,0)),"")</f>
        <v/>
      </c>
      <c r="D264" s="828" t="str">
        <f>IF(C264="","",D263-C264)</f>
        <v/>
      </c>
      <c r="E264" s="829" t="str">
        <f>IFERROR(INDEX(月例!$P$5:$P$788,MATCH("諸謝金|S|2",月例!$S$5:$S$788,0)),"")</f>
        <v/>
      </c>
      <c r="F264" s="825">
        <f>IFERROR(INDEX(月例!$A$5:$A$788,MATCH("会議出席負担金等|S|2",月例!$S$5:$S$788,0)),"")</f>
        <v>43873</v>
      </c>
      <c r="G264" s="826" t="str">
        <f>IFERROR(INDEX(月例!$E$5:$E$788,MATCH("会議出席負担金等|S|2",月例!$S$5:$S$788,0)),"")</f>
        <v>中国地区指定都市・市町村職員共済組合理事長会議３名分</v>
      </c>
      <c r="H264" s="827">
        <f>IFERROR(INDEX(月例!$H$5:$H$788,MATCH("会議出席負担金等|S|2",月例!$S$5:$S$788,0)),"")</f>
        <v>6000</v>
      </c>
      <c r="I264" s="828">
        <f>IF(H264="","",I263+H264)</f>
        <v>8000</v>
      </c>
      <c r="J264" s="829" t="str">
        <f>IFERROR(INDEX(月例!$P$5:$P$788,MATCH("会議出席負担金等|S|2",月例!$S$5:$S$788,0)),"")</f>
        <v>昨年実績</v>
      </c>
      <c r="K264" s="825" t="str">
        <f>IFERROR(INDEX(月例!$A$5:$A$788,MATCH("協会けんぽ保険料等|S|2",月例!$S$5:$S$788,0)),"")</f>
        <v/>
      </c>
      <c r="L264" s="826" t="str">
        <f>IFERROR(INDEX(月例!$E$5:$E$788,MATCH("協会けんぽ保険料等|S|2",月例!$S$5:$S$788,0)),"")</f>
        <v/>
      </c>
      <c r="M264" s="827" t="str">
        <f>IFERROR(INDEX(月例!$H$5:$H$788,MATCH("協会けんぽ保険料等|S|2",月例!$S$5:$S$788,0)),"")</f>
        <v/>
      </c>
      <c r="N264" s="828" t="str">
        <f>IF(M264="","",N263+M264)</f>
        <v/>
      </c>
      <c r="O264" s="829" t="str">
        <f>IFERROR(INDEX(月例!$P$5:$P$788,MATCH("協会けんぽ保険料等|S|2",月例!$S$5:$S$788,0)),"")</f>
        <v/>
      </c>
      <c r="P264" s="825" t="str">
        <f>IFERROR(INDEX(月例!$A$5:$A$788,MATCH("労災・雇用保険料|S|2",月例!$S$5:$S$788,0)),"")</f>
        <v/>
      </c>
      <c r="Q264" s="826" t="str">
        <f>IFERROR(INDEX(月例!$E$5:$E$788,MATCH("労災・雇用保険料|S|2",月例!$S$5:$S$788,0)),"")</f>
        <v/>
      </c>
      <c r="R264" s="827" t="str">
        <f>IFERROR(INDEX(月例!$H$5:$H$788,MATCH("労災・雇用保険料|S|2",月例!$S$5:$S$788,0)),"")</f>
        <v/>
      </c>
      <c r="S264" s="828" t="str">
        <f>IF(R264="","",S263+R264)</f>
        <v/>
      </c>
      <c r="T264" s="829" t="str">
        <f>IFERROR(INDEX(月例!$P$5:$P$788,MATCH("労災・雇用保険料|S|2",月例!$S$5:$S$788,0)),"")</f>
        <v/>
      </c>
    </row>
    <row r="265">
      <c r="A265" s="825" t="str">
        <f>IFERROR(INDEX(月例!$A$5:$A$788,MATCH("諸謝金|S|3",月例!$S$5:$S$788,0)),"")</f>
        <v/>
      </c>
      <c r="B265" s="826" t="str">
        <f>IFERROR(INDEX(月例!$E$5:$E$788,MATCH("諸謝金|S|3",月例!$S$5:$S$788,0)),"")</f>
        <v/>
      </c>
      <c r="C265" s="827" t="str">
        <f>IFERROR(INDEX(月例!$H$5:$H$788,MATCH("諸謝金|S|3",月例!$S$5:$S$788,0)),"")</f>
        <v/>
      </c>
      <c r="D265" s="828" t="str">
        <f>IF(C265="","",D264-C265)</f>
        <v/>
      </c>
      <c r="E265" s="829" t="str">
        <f>IFERROR(INDEX(月例!$P$5:$P$788,MATCH("諸謝金|S|3",月例!$S$5:$S$788,0)),"")</f>
        <v/>
      </c>
      <c r="F265" s="825" t="str">
        <f>IFERROR(INDEX(月例!$A$5:$A$788,MATCH("会議出席負担金等|S|3",月例!$S$5:$S$788,0)),"")</f>
        <v/>
      </c>
      <c r="G265" s="826" t="str">
        <f>IFERROR(INDEX(月例!$E$5:$E$788,MATCH("会議出席負担金等|S|3",月例!$S$5:$S$788,0)),"")</f>
        <v/>
      </c>
      <c r="H265" s="827" t="str">
        <f>IFERROR(INDEX(月例!$H$5:$H$788,MATCH("会議出席負担金等|S|3",月例!$S$5:$S$788,0)),"")</f>
        <v/>
      </c>
      <c r="I265" s="828" t="str">
        <f>IF(H265="","",I264+H265)</f>
        <v/>
      </c>
      <c r="J265" s="829" t="str">
        <f>IFERROR(INDEX(月例!$P$5:$P$788,MATCH("会議出席負担金等|S|3",月例!$S$5:$S$788,0)),"")</f>
        <v/>
      </c>
      <c r="K265" s="825" t="str">
        <f>IFERROR(INDEX(月例!$A$5:$A$788,MATCH("協会けんぽ保険料等|S|3",月例!$S$5:$S$788,0)),"")</f>
        <v/>
      </c>
      <c r="L265" s="826" t="str">
        <f>IFERROR(INDEX(月例!$E$5:$E$788,MATCH("協会けんぽ保険料等|S|3",月例!$S$5:$S$788,0)),"")</f>
        <v/>
      </c>
      <c r="M265" s="827" t="str">
        <f>IFERROR(INDEX(月例!$H$5:$H$788,MATCH("協会けんぽ保険料等|S|3",月例!$S$5:$S$788,0)),"")</f>
        <v/>
      </c>
      <c r="N265" s="828" t="str">
        <f>IF(M265="","",N264+M265)</f>
        <v/>
      </c>
      <c r="O265" s="829" t="str">
        <f>IFERROR(INDEX(月例!$P$5:$P$788,MATCH("協会けんぽ保険料等|S|3",月例!$S$5:$S$788,0)),"")</f>
        <v/>
      </c>
      <c r="P265" s="825" t="str">
        <f>IFERROR(INDEX(月例!$A$5:$A$788,MATCH("労災・雇用保険料|S|3",月例!$S$5:$S$788,0)),"")</f>
        <v/>
      </c>
      <c r="Q265" s="826" t="str">
        <f>IFERROR(INDEX(月例!$E$5:$E$788,MATCH("労災・雇用保険料|S|3",月例!$S$5:$S$788,0)),"")</f>
        <v/>
      </c>
      <c r="R265" s="827" t="str">
        <f>IFERROR(INDEX(月例!$H$5:$H$788,MATCH("労災・雇用保険料|S|3",月例!$S$5:$S$788,0)),"")</f>
        <v/>
      </c>
      <c r="S265" s="828" t="str">
        <f>IF(R265="","",S264+R265)</f>
        <v/>
      </c>
      <c r="T265" s="829" t="str">
        <f>IFERROR(INDEX(月例!$P$5:$P$788,MATCH("労災・雇用保険料|S|3",月例!$S$5:$S$788,0)),"")</f>
        <v/>
      </c>
    </row>
    <row r="266">
      <c r="A266" s="825" t="str">
        <f>IFERROR(INDEX(月例!$A$5:$A$788,MATCH("諸謝金|S|4",月例!$S$5:$S$788,0)),"")</f>
        <v/>
      </c>
      <c r="B266" s="826" t="str">
        <f>IFERROR(INDEX(月例!$E$5:$E$788,MATCH("諸謝金|S|4",月例!$S$5:$S$788,0)),"")</f>
        <v/>
      </c>
      <c r="C266" s="827" t="str">
        <f>IFERROR(INDEX(月例!$H$5:$H$788,MATCH("諸謝金|S|4",月例!$S$5:$S$788,0)),"")</f>
        <v/>
      </c>
      <c r="D266" s="828" t="str">
        <f>IF(C266="","",D265-C266)</f>
        <v/>
      </c>
      <c r="E266" s="829" t="str">
        <f>IFERROR(INDEX(月例!$P$5:$P$788,MATCH("諸謝金|S|4",月例!$S$5:$S$788,0)),"")</f>
        <v/>
      </c>
      <c r="F266" s="825" t="str">
        <f>IFERROR(INDEX(月例!$A$5:$A$788,MATCH("会議出席負担金等|S|4",月例!$S$5:$S$788,0)),"")</f>
        <v/>
      </c>
      <c r="G266" s="826" t="str">
        <f>IFERROR(INDEX(月例!$E$5:$E$788,MATCH("会議出席負担金等|S|4",月例!$S$5:$S$788,0)),"")</f>
        <v/>
      </c>
      <c r="H266" s="827" t="str">
        <f>IFERROR(INDEX(月例!$H$5:$H$788,MATCH("会議出席負担金等|S|4",月例!$S$5:$S$788,0)),"")</f>
        <v/>
      </c>
      <c r="I266" s="828" t="str">
        <f>IF(H266="","",I265+H266)</f>
        <v/>
      </c>
      <c r="J266" s="829" t="str">
        <f>IFERROR(INDEX(月例!$P$5:$P$788,MATCH("会議出席負担金等|S|4",月例!$S$5:$S$788,0)),"")</f>
        <v/>
      </c>
      <c r="K266" s="825" t="str">
        <f>IFERROR(INDEX(月例!$A$5:$A$788,MATCH("協会けんぽ保険料等|S|4",月例!$S$5:$S$788,0)),"")</f>
        <v/>
      </c>
      <c r="L266" s="826" t="str">
        <f>IFERROR(INDEX(月例!$E$5:$E$788,MATCH("協会けんぽ保険料等|S|4",月例!$S$5:$S$788,0)),"")</f>
        <v/>
      </c>
      <c r="M266" s="827" t="str">
        <f>IFERROR(INDEX(月例!$H$5:$H$788,MATCH("協会けんぽ保険料等|S|4",月例!$S$5:$S$788,0)),"")</f>
        <v/>
      </c>
      <c r="N266" s="828" t="str">
        <f>IF(M266="","",N265+M266)</f>
        <v/>
      </c>
      <c r="O266" s="829" t="str">
        <f>IFERROR(INDEX(月例!$P$5:$P$788,MATCH("協会けんぽ保険料等|S|4",月例!$S$5:$S$788,0)),"")</f>
        <v/>
      </c>
      <c r="P266" s="825" t="str">
        <f>IFERROR(INDEX(月例!$A$5:$A$788,MATCH("労災・雇用保険料|S|4",月例!$S$5:$S$788,0)),"")</f>
        <v/>
      </c>
      <c r="Q266" s="826" t="str">
        <f>IFERROR(INDEX(月例!$E$5:$E$788,MATCH("労災・雇用保険料|S|4",月例!$S$5:$S$788,0)),"")</f>
        <v/>
      </c>
      <c r="R266" s="827" t="str">
        <f>IFERROR(INDEX(月例!$H$5:$H$788,MATCH("労災・雇用保険料|S|4",月例!$S$5:$S$788,0)),"")</f>
        <v/>
      </c>
      <c r="S266" s="828" t="str">
        <f>IF(R266="","",S265+R266)</f>
        <v/>
      </c>
      <c r="T266" s="829" t="str">
        <f>IFERROR(INDEX(月例!$P$5:$P$788,MATCH("労災・雇用保険料|S|4",月例!$S$5:$S$788,0)),"")</f>
        <v/>
      </c>
    </row>
    <row r="267">
      <c r="A267" s="825" t="str">
        <f>IFERROR(INDEX(月例!$A$5:$A$788,MATCH("諸謝金|S|5",月例!$S$5:$S$788,0)),"")</f>
        <v/>
      </c>
      <c r="B267" s="826" t="str">
        <f>IFERROR(INDEX(月例!$E$5:$E$788,MATCH("諸謝金|S|5",月例!$S$5:$S$788,0)),"")</f>
        <v/>
      </c>
      <c r="C267" s="827" t="str">
        <f>IFERROR(INDEX(月例!$H$5:$H$788,MATCH("諸謝金|S|5",月例!$S$5:$S$788,0)),"")</f>
        <v/>
      </c>
      <c r="D267" s="828" t="str">
        <f>IF(C267="","",D266-C267)</f>
        <v/>
      </c>
      <c r="E267" s="829" t="str">
        <f>IFERROR(INDEX(月例!$P$5:$P$788,MATCH("諸謝金|S|5",月例!$S$5:$S$788,0)),"")</f>
        <v/>
      </c>
      <c r="F267" s="825" t="str">
        <f>IFERROR(INDEX(月例!$A$5:$A$788,MATCH("会議出席負担金等|S|5",月例!$S$5:$S$788,0)),"")</f>
        <v/>
      </c>
      <c r="G267" s="826" t="str">
        <f>IFERROR(INDEX(月例!$E$5:$E$788,MATCH("会議出席負担金等|S|5",月例!$S$5:$S$788,0)),"")</f>
        <v/>
      </c>
      <c r="H267" s="827" t="str">
        <f>IFERROR(INDEX(月例!$H$5:$H$788,MATCH("会議出席負担金等|S|5",月例!$S$5:$S$788,0)),"")</f>
        <v/>
      </c>
      <c r="I267" s="828" t="str">
        <f>IF(H267="","",I266+H267)</f>
        <v/>
      </c>
      <c r="J267" s="829" t="str">
        <f>IFERROR(INDEX(月例!$P$5:$P$788,MATCH("会議出席負担金等|S|5",月例!$S$5:$S$788,0)),"")</f>
        <v/>
      </c>
      <c r="K267" s="825" t="str">
        <f>IFERROR(INDEX(月例!$A$5:$A$788,MATCH("協会けんぽ保険料等|S|5",月例!$S$5:$S$788,0)),"")</f>
        <v/>
      </c>
      <c r="L267" s="826" t="str">
        <f>IFERROR(INDEX(月例!$E$5:$E$788,MATCH("協会けんぽ保険料等|S|5",月例!$S$5:$S$788,0)),"")</f>
        <v/>
      </c>
      <c r="M267" s="827" t="str">
        <f>IFERROR(INDEX(月例!$H$5:$H$788,MATCH("協会けんぽ保険料等|S|5",月例!$S$5:$S$788,0)),"")</f>
        <v/>
      </c>
      <c r="N267" s="828" t="str">
        <f>IF(M267="","",N266+M267)</f>
        <v/>
      </c>
      <c r="O267" s="829" t="str">
        <f>IFERROR(INDEX(月例!$P$5:$P$788,MATCH("協会けんぽ保険料等|S|5",月例!$S$5:$S$788,0)),"")</f>
        <v/>
      </c>
      <c r="P267" s="825" t="str">
        <f>IFERROR(INDEX(月例!$A$5:$A$788,MATCH("労災・雇用保険料|S|5",月例!$S$5:$S$788,0)),"")</f>
        <v/>
      </c>
      <c r="Q267" s="826" t="str">
        <f>IFERROR(INDEX(月例!$E$5:$E$788,MATCH("労災・雇用保険料|S|5",月例!$S$5:$S$788,0)),"")</f>
        <v/>
      </c>
      <c r="R267" s="827" t="str">
        <f>IFERROR(INDEX(月例!$H$5:$H$788,MATCH("労災・雇用保険料|S|5",月例!$S$5:$S$788,0)),"")</f>
        <v/>
      </c>
      <c r="S267" s="828" t="str">
        <f>IF(R267="","",S266+R267)</f>
        <v/>
      </c>
      <c r="T267" s="829" t="str">
        <f>IFERROR(INDEX(月例!$P$5:$P$788,MATCH("労災・雇用保険料|S|5",月例!$S$5:$S$788,0)),"")</f>
        <v/>
      </c>
    </row>
    <row r="268">
      <c r="A268" s="825" t="str">
        <f>IFERROR(INDEX(月例!$A$5:$A$788,MATCH("諸謝金|S|6",月例!$S$5:$S$788,0)),"")</f>
        <v/>
      </c>
      <c r="B268" s="826" t="str">
        <f>IFERROR(INDEX(月例!$E$5:$E$788,MATCH("諸謝金|S|6",月例!$S$5:$S$788,0)),"")</f>
        <v/>
      </c>
      <c r="C268" s="827" t="str">
        <f>IFERROR(INDEX(月例!$H$5:$H$788,MATCH("諸謝金|S|6",月例!$S$5:$S$788,0)),"")</f>
        <v/>
      </c>
      <c r="D268" s="828" t="str">
        <f>IF(C268="","",D267-C268)</f>
        <v/>
      </c>
      <c r="E268" s="829" t="str">
        <f>IFERROR(INDEX(月例!$P$5:$P$788,MATCH("諸謝金|S|6",月例!$S$5:$S$788,0)),"")</f>
        <v/>
      </c>
      <c r="F268" s="825" t="str">
        <f>IFERROR(INDEX(月例!$A$5:$A$788,MATCH("会議出席負担金等|S|6",月例!$S$5:$S$788,0)),"")</f>
        <v/>
      </c>
      <c r="G268" s="826" t="str">
        <f>IFERROR(INDEX(月例!$E$5:$E$788,MATCH("会議出席負担金等|S|6",月例!$S$5:$S$788,0)),"")</f>
        <v/>
      </c>
      <c r="H268" s="827" t="str">
        <f>IFERROR(INDEX(月例!$H$5:$H$788,MATCH("会議出席負担金等|S|6",月例!$S$5:$S$788,0)),"")</f>
        <v/>
      </c>
      <c r="I268" s="828" t="str">
        <f>IF(H268="","",I267+H268)</f>
        <v/>
      </c>
      <c r="J268" s="829" t="str">
        <f>IFERROR(INDEX(月例!$P$5:$P$788,MATCH("会議出席負担金等|S|6",月例!$S$5:$S$788,0)),"")</f>
        <v/>
      </c>
      <c r="K268" s="825" t="str">
        <f>IFERROR(INDEX(月例!$A$5:$A$788,MATCH("協会けんぽ保険料等|S|6",月例!$S$5:$S$788,0)),"")</f>
        <v/>
      </c>
      <c r="L268" s="826" t="str">
        <f>IFERROR(INDEX(月例!$E$5:$E$788,MATCH("協会けんぽ保険料等|S|6",月例!$S$5:$S$788,0)),"")</f>
        <v/>
      </c>
      <c r="M268" s="827" t="str">
        <f>IFERROR(INDEX(月例!$H$5:$H$788,MATCH("協会けんぽ保険料等|S|6",月例!$S$5:$S$788,0)),"")</f>
        <v/>
      </c>
      <c r="N268" s="828" t="str">
        <f>IF(M268="","",N267+M268)</f>
        <v/>
      </c>
      <c r="O268" s="829" t="str">
        <f>IFERROR(INDEX(月例!$P$5:$P$788,MATCH("協会けんぽ保険料等|S|6",月例!$S$5:$S$788,0)),"")</f>
        <v/>
      </c>
      <c r="P268" s="825" t="str">
        <f>IFERROR(INDEX(月例!$A$5:$A$788,MATCH("労災・雇用保険料|S|6",月例!$S$5:$S$788,0)),"")</f>
        <v/>
      </c>
      <c r="Q268" s="826" t="str">
        <f>IFERROR(INDEX(月例!$E$5:$E$788,MATCH("労災・雇用保険料|S|6",月例!$S$5:$S$788,0)),"")</f>
        <v/>
      </c>
      <c r="R268" s="827" t="str">
        <f>IFERROR(INDEX(月例!$H$5:$H$788,MATCH("労災・雇用保険料|S|6",月例!$S$5:$S$788,0)),"")</f>
        <v/>
      </c>
      <c r="S268" s="828" t="str">
        <f>IF(R268="","",S267+R268)</f>
        <v/>
      </c>
      <c r="T268" s="829" t="str">
        <f>IFERROR(INDEX(月例!$P$5:$P$788,MATCH("労災・雇用保険料|S|6",月例!$S$5:$S$788,0)),"")</f>
        <v/>
      </c>
    </row>
    <row r="269">
      <c r="A269" s="825" t="str">
        <f>IFERROR(INDEX(月例!$A$5:$A$788,MATCH("諸謝金|S|7",月例!$S$5:$S$788,0)),"")</f>
        <v/>
      </c>
      <c r="B269" s="826" t="str">
        <f>IFERROR(INDEX(月例!$E$5:$E$788,MATCH("諸謝金|S|7",月例!$S$5:$S$788,0)),"")</f>
        <v/>
      </c>
      <c r="C269" s="827" t="str">
        <f>IFERROR(INDEX(月例!$H$5:$H$788,MATCH("諸謝金|S|7",月例!$S$5:$S$788,0)),"")</f>
        <v/>
      </c>
      <c r="D269" s="828" t="str">
        <f>IF(C269="","",D268-C269)</f>
        <v/>
      </c>
      <c r="E269" s="829" t="str">
        <f>IFERROR(INDEX(月例!$P$5:$P$788,MATCH("諸謝金|S|7",月例!$S$5:$S$788,0)),"")</f>
        <v/>
      </c>
      <c r="F269" s="825" t="str">
        <f>IFERROR(INDEX(月例!$A$5:$A$788,MATCH("会議出席負担金等|S|7",月例!$S$5:$S$788,0)),"")</f>
        <v/>
      </c>
      <c r="G269" s="826" t="str">
        <f>IFERROR(INDEX(月例!$E$5:$E$788,MATCH("会議出席負担金等|S|7",月例!$S$5:$S$788,0)),"")</f>
        <v/>
      </c>
      <c r="H269" s="827" t="str">
        <f>IFERROR(INDEX(月例!$H$5:$H$788,MATCH("会議出席負担金等|S|7",月例!$S$5:$S$788,0)),"")</f>
        <v/>
      </c>
      <c r="I269" s="828" t="str">
        <f>IF(H269="","",I268+H269)</f>
        <v/>
      </c>
      <c r="J269" s="829" t="str">
        <f>IFERROR(INDEX(月例!$P$5:$P$788,MATCH("会議出席負担金等|S|7",月例!$S$5:$S$788,0)),"")</f>
        <v/>
      </c>
      <c r="K269" s="825" t="str">
        <f>IFERROR(INDEX(月例!$A$5:$A$788,MATCH("協会けんぽ保険料等|S|7",月例!$S$5:$S$788,0)),"")</f>
        <v/>
      </c>
      <c r="L269" s="826" t="str">
        <f>IFERROR(INDEX(月例!$E$5:$E$788,MATCH("協会けんぽ保険料等|S|7",月例!$S$5:$S$788,0)),"")</f>
        <v/>
      </c>
      <c r="M269" s="827" t="str">
        <f>IFERROR(INDEX(月例!$H$5:$H$788,MATCH("協会けんぽ保険料等|S|7",月例!$S$5:$S$788,0)),"")</f>
        <v/>
      </c>
      <c r="N269" s="828" t="str">
        <f>IF(M269="","",N268+M269)</f>
        <v/>
      </c>
      <c r="O269" s="829" t="str">
        <f>IFERROR(INDEX(月例!$P$5:$P$788,MATCH("協会けんぽ保険料等|S|7",月例!$S$5:$S$788,0)),"")</f>
        <v/>
      </c>
      <c r="P269" s="825" t="str">
        <f>IFERROR(INDEX(月例!$A$5:$A$788,MATCH("労災・雇用保険料|S|7",月例!$S$5:$S$788,0)),"")</f>
        <v/>
      </c>
      <c r="Q269" s="826" t="str">
        <f>IFERROR(INDEX(月例!$E$5:$E$788,MATCH("労災・雇用保険料|S|7",月例!$S$5:$S$788,0)),"")</f>
        <v/>
      </c>
      <c r="R269" s="827" t="str">
        <f>IFERROR(INDEX(月例!$H$5:$H$788,MATCH("労災・雇用保険料|S|7",月例!$S$5:$S$788,0)),"")</f>
        <v/>
      </c>
      <c r="S269" s="828" t="str">
        <f>IF(R269="","",S268+R269)</f>
        <v/>
      </c>
      <c r="T269" s="829" t="str">
        <f>IFERROR(INDEX(月例!$P$5:$P$788,MATCH("労災・雇用保険料|S|7",月例!$S$5:$S$788,0)),"")</f>
        <v/>
      </c>
    </row>
    <row r="270">
      <c r="A270" s="825" t="str">
        <f>IFERROR(INDEX(月例!$A$5:$A$788,MATCH("諸謝金|S|8",月例!$S$5:$S$788,0)),"")</f>
        <v/>
      </c>
      <c r="B270" s="826" t="str">
        <f>IFERROR(INDEX(月例!$E$5:$E$788,MATCH("諸謝金|S|8",月例!$S$5:$S$788,0)),"")</f>
        <v/>
      </c>
      <c r="C270" s="827" t="str">
        <f>IFERROR(INDEX(月例!$H$5:$H$788,MATCH("諸謝金|S|8",月例!$S$5:$S$788,0)),"")</f>
        <v/>
      </c>
      <c r="D270" s="828" t="str">
        <f>IF(C270="","",D269-C270)</f>
        <v/>
      </c>
      <c r="E270" s="829" t="str">
        <f>IFERROR(INDEX(月例!$P$5:$P$788,MATCH("諸謝金|S|8",月例!$S$5:$S$788,0)),"")</f>
        <v/>
      </c>
      <c r="F270" s="825" t="str">
        <f>IFERROR(INDEX(月例!$A$5:$A$788,MATCH("会議出席負担金等|S|8",月例!$S$5:$S$788,0)),"")</f>
        <v/>
      </c>
      <c r="G270" s="826" t="str">
        <f>IFERROR(INDEX(月例!$E$5:$E$788,MATCH("会議出席負担金等|S|8",月例!$S$5:$S$788,0)),"")</f>
        <v/>
      </c>
      <c r="H270" s="827" t="str">
        <f>IFERROR(INDEX(月例!$H$5:$H$788,MATCH("会議出席負担金等|S|8",月例!$S$5:$S$788,0)),"")</f>
        <v/>
      </c>
      <c r="I270" s="828" t="str">
        <f>IF(H270="","",I269+H270)</f>
        <v/>
      </c>
      <c r="J270" s="829" t="str">
        <f>IFERROR(INDEX(月例!$P$5:$P$788,MATCH("会議出席負担金等|S|8",月例!$S$5:$S$788,0)),"")</f>
        <v/>
      </c>
      <c r="K270" s="825" t="str">
        <f>IFERROR(INDEX(月例!$A$5:$A$788,MATCH("協会けんぽ保険料等|S|8",月例!$S$5:$S$788,0)),"")</f>
        <v/>
      </c>
      <c r="L270" s="826" t="str">
        <f>IFERROR(INDEX(月例!$E$5:$E$788,MATCH("協会けんぽ保険料等|S|8",月例!$S$5:$S$788,0)),"")</f>
        <v/>
      </c>
      <c r="M270" s="827" t="str">
        <f>IFERROR(INDEX(月例!$H$5:$H$788,MATCH("協会けんぽ保険料等|S|8",月例!$S$5:$S$788,0)),"")</f>
        <v/>
      </c>
      <c r="N270" s="828" t="str">
        <f>IF(M270="","",N269+M270)</f>
        <v/>
      </c>
      <c r="O270" s="829" t="str">
        <f>IFERROR(INDEX(月例!$P$5:$P$788,MATCH("協会けんぽ保険料等|S|8",月例!$S$5:$S$788,0)),"")</f>
        <v/>
      </c>
      <c r="P270" s="825" t="str">
        <f>IFERROR(INDEX(月例!$A$5:$A$788,MATCH("労災・雇用保険料|S|8",月例!$S$5:$S$788,0)),"")</f>
        <v/>
      </c>
      <c r="Q270" s="826" t="str">
        <f>IFERROR(INDEX(月例!$E$5:$E$788,MATCH("労災・雇用保険料|S|8",月例!$S$5:$S$788,0)),"")</f>
        <v/>
      </c>
      <c r="R270" s="827" t="str">
        <f>IFERROR(INDEX(月例!$H$5:$H$788,MATCH("労災・雇用保険料|S|8",月例!$S$5:$S$788,0)),"")</f>
        <v/>
      </c>
      <c r="S270" s="828" t="str">
        <f>IF(R270="","",S269+R270)</f>
        <v/>
      </c>
      <c r="T270" s="829" t="str">
        <f>IFERROR(INDEX(月例!$P$5:$P$788,MATCH("労災・雇用保険料|S|8",月例!$S$5:$S$788,0)),"")</f>
        <v/>
      </c>
    </row>
    <row r="271">
      <c r="A271" s="825" t="str">
        <f>IFERROR(INDEX(月例!$A$5:$A$788,MATCH("諸謝金|S|9",月例!$S$5:$S$788,0)),"")</f>
        <v/>
      </c>
      <c r="B271" s="826" t="str">
        <f>IFERROR(INDEX(月例!$E$5:$E$788,MATCH("諸謝金|S|9",月例!$S$5:$S$788,0)),"")</f>
        <v/>
      </c>
      <c r="C271" s="827" t="str">
        <f>IFERROR(INDEX(月例!$H$5:$H$788,MATCH("諸謝金|S|9",月例!$S$5:$S$788,0)),"")</f>
        <v/>
      </c>
      <c r="D271" s="828" t="str">
        <f>IF(C271="","",D270-C271)</f>
        <v/>
      </c>
      <c r="E271" s="829" t="str">
        <f>IFERROR(INDEX(月例!$P$5:$P$788,MATCH("諸謝金|S|9",月例!$S$5:$S$788,0)),"")</f>
        <v/>
      </c>
      <c r="F271" s="825" t="str">
        <f>IFERROR(INDEX(月例!$A$5:$A$788,MATCH("会議出席負担金等|S|9",月例!$S$5:$S$788,0)),"")</f>
        <v/>
      </c>
      <c r="G271" s="826" t="str">
        <f>IFERROR(INDEX(月例!$E$5:$E$788,MATCH("会議出席負担金等|S|9",月例!$S$5:$S$788,0)),"")</f>
        <v/>
      </c>
      <c r="H271" s="827" t="str">
        <f>IFERROR(INDEX(月例!$H$5:$H$788,MATCH("会議出席負担金等|S|9",月例!$S$5:$S$788,0)),"")</f>
        <v/>
      </c>
      <c r="I271" s="828" t="str">
        <f>IF(H271="","",I270+H271)</f>
        <v/>
      </c>
      <c r="J271" s="829" t="str">
        <f>IFERROR(INDEX(月例!$P$5:$P$788,MATCH("会議出席負担金等|S|9",月例!$S$5:$S$788,0)),"")</f>
        <v/>
      </c>
      <c r="K271" s="825" t="str">
        <f>IFERROR(INDEX(月例!$A$5:$A$788,MATCH("協会けんぽ保険料等|S|9",月例!$S$5:$S$788,0)),"")</f>
        <v/>
      </c>
      <c r="L271" s="826" t="str">
        <f>IFERROR(INDEX(月例!$E$5:$E$788,MATCH("協会けんぽ保険料等|S|9",月例!$S$5:$S$788,0)),"")</f>
        <v/>
      </c>
      <c r="M271" s="827" t="str">
        <f>IFERROR(INDEX(月例!$H$5:$H$788,MATCH("協会けんぽ保険料等|S|9",月例!$S$5:$S$788,0)),"")</f>
        <v/>
      </c>
      <c r="N271" s="828" t="str">
        <f>IF(M271="","",N270+M271)</f>
        <v/>
      </c>
      <c r="O271" s="829" t="str">
        <f>IFERROR(INDEX(月例!$P$5:$P$788,MATCH("協会けんぽ保険料等|S|9",月例!$S$5:$S$788,0)),"")</f>
        <v/>
      </c>
      <c r="P271" s="825" t="str">
        <f>IFERROR(INDEX(月例!$A$5:$A$788,MATCH("労災・雇用保険料|S|9",月例!$S$5:$S$788,0)),"")</f>
        <v/>
      </c>
      <c r="Q271" s="826" t="str">
        <f>IFERROR(INDEX(月例!$E$5:$E$788,MATCH("労災・雇用保険料|S|9",月例!$S$5:$S$788,0)),"")</f>
        <v/>
      </c>
      <c r="R271" s="827" t="str">
        <f>IFERROR(INDEX(月例!$H$5:$H$788,MATCH("労災・雇用保険料|S|9",月例!$S$5:$S$788,0)),"")</f>
        <v/>
      </c>
      <c r="S271" s="828" t="str">
        <f>IF(R271="","",S270+R271)</f>
        <v/>
      </c>
      <c r="T271" s="829" t="str">
        <f>IFERROR(INDEX(月例!$P$5:$P$788,MATCH("労災・雇用保険料|S|9",月例!$S$5:$S$788,0)),"")</f>
        <v/>
      </c>
    </row>
    <row r="272">
      <c r="A272" s="825" t="str">
        <f>IFERROR(INDEX(月例!$A$5:$A$788,MATCH("諸謝金|S|10",月例!$S$5:$S$788,0)),"")</f>
        <v/>
      </c>
      <c r="B272" s="826" t="str">
        <f>IFERROR(INDEX(月例!$E$5:$E$788,MATCH("諸謝金|S|10",月例!$S$5:$S$788,0)),"")</f>
        <v/>
      </c>
      <c r="C272" s="827" t="str">
        <f>IFERROR(INDEX(月例!$H$5:$H$788,MATCH("諸謝金|S|10",月例!$S$5:$S$788,0)),"")</f>
        <v/>
      </c>
      <c r="D272" s="828" t="str">
        <f>IF(C272="","",D271-C272)</f>
        <v/>
      </c>
      <c r="E272" s="829" t="str">
        <f>IFERROR(INDEX(月例!$P$5:$P$788,MATCH("諸謝金|S|10",月例!$S$5:$S$788,0)),"")</f>
        <v/>
      </c>
      <c r="F272" s="825" t="str">
        <f>IFERROR(INDEX(月例!$A$5:$A$788,MATCH("会議出席負担金等|S|10",月例!$S$5:$S$788,0)),"")</f>
        <v/>
      </c>
      <c r="G272" s="826" t="str">
        <f>IFERROR(INDEX(月例!$E$5:$E$788,MATCH("会議出席負担金等|S|10",月例!$S$5:$S$788,0)),"")</f>
        <v/>
      </c>
      <c r="H272" s="827" t="str">
        <f>IFERROR(INDEX(月例!$H$5:$H$788,MATCH("会議出席負担金等|S|10",月例!$S$5:$S$788,0)),"")</f>
        <v/>
      </c>
      <c r="I272" s="828" t="str">
        <f>IF(H272="","",I271+H272)</f>
        <v/>
      </c>
      <c r="J272" s="829" t="str">
        <f>IFERROR(INDEX(月例!$P$5:$P$788,MATCH("会議出席負担金等|S|10",月例!$S$5:$S$788,0)),"")</f>
        <v/>
      </c>
      <c r="K272" s="825" t="str">
        <f>IFERROR(INDEX(月例!$A$5:$A$788,MATCH("協会けんぽ保険料等|S|10",月例!$S$5:$S$788,0)),"")</f>
        <v/>
      </c>
      <c r="L272" s="826" t="str">
        <f>IFERROR(INDEX(月例!$E$5:$E$788,MATCH("協会けんぽ保険料等|S|10",月例!$S$5:$S$788,0)),"")</f>
        <v/>
      </c>
      <c r="M272" s="827" t="str">
        <f>IFERROR(INDEX(月例!$H$5:$H$788,MATCH("協会けんぽ保険料等|S|10",月例!$S$5:$S$788,0)),"")</f>
        <v/>
      </c>
      <c r="N272" s="828" t="str">
        <f>IF(M272="","",N271+M272)</f>
        <v/>
      </c>
      <c r="O272" s="829" t="str">
        <f>IFERROR(INDEX(月例!$P$5:$P$788,MATCH("協会けんぽ保険料等|S|10",月例!$S$5:$S$788,0)),"")</f>
        <v/>
      </c>
      <c r="P272" s="825" t="str">
        <f>IFERROR(INDEX(月例!$A$5:$A$788,MATCH("労災・雇用保険料|S|10",月例!$S$5:$S$788,0)),"")</f>
        <v/>
      </c>
      <c r="Q272" s="826" t="str">
        <f>IFERROR(INDEX(月例!$E$5:$E$788,MATCH("労災・雇用保険料|S|10",月例!$S$5:$S$788,0)),"")</f>
        <v/>
      </c>
      <c r="R272" s="827" t="str">
        <f>IFERROR(INDEX(月例!$H$5:$H$788,MATCH("労災・雇用保険料|S|10",月例!$S$5:$S$788,0)),"")</f>
        <v/>
      </c>
      <c r="S272" s="828" t="str">
        <f>IF(R272="","",S271+R272)</f>
        <v/>
      </c>
      <c r="T272" s="829" t="str">
        <f>IFERROR(INDEX(月例!$P$5:$P$788,MATCH("労災・雇用保険料|S|10",月例!$S$5:$S$788,0)),"")</f>
        <v/>
      </c>
    </row>
    <row r="273">
      <c r="A273" s="825" t="str">
        <f>IFERROR(INDEX(月例!$A$5:$A$788,MATCH("諸謝金|S|11",月例!$S$5:$S$788,0)),"")</f>
        <v/>
      </c>
      <c r="B273" s="826" t="str">
        <f>IFERROR(INDEX(月例!$E$5:$E$788,MATCH("諸謝金|S|11",月例!$S$5:$S$788,0)),"")</f>
        <v/>
      </c>
      <c r="C273" s="827" t="str">
        <f>IFERROR(INDEX(月例!$H$5:$H$788,MATCH("諸謝金|S|11",月例!$S$5:$S$788,0)),"")</f>
        <v/>
      </c>
      <c r="D273" s="828" t="str">
        <f>IF(C273="","",D272-C273)</f>
        <v/>
      </c>
      <c r="E273" s="829" t="str">
        <f>IFERROR(INDEX(月例!$P$5:$P$788,MATCH("諸謝金|S|11",月例!$S$5:$S$788,0)),"")</f>
        <v/>
      </c>
      <c r="F273" s="825" t="str">
        <f>IFERROR(INDEX(月例!$A$5:$A$788,MATCH("会議出席負担金等|S|11",月例!$S$5:$S$788,0)),"")</f>
        <v/>
      </c>
      <c r="G273" s="826" t="str">
        <f>IFERROR(INDEX(月例!$E$5:$E$788,MATCH("会議出席負担金等|S|11",月例!$S$5:$S$788,0)),"")</f>
        <v/>
      </c>
      <c r="H273" s="827" t="str">
        <f>IFERROR(INDEX(月例!$H$5:$H$788,MATCH("会議出席負担金等|S|11",月例!$S$5:$S$788,0)),"")</f>
        <v/>
      </c>
      <c r="I273" s="828" t="str">
        <f>IF(H273="","",I272+H273)</f>
        <v/>
      </c>
      <c r="J273" s="829" t="str">
        <f>IFERROR(INDEX(月例!$P$5:$P$788,MATCH("会議出席負担金等|S|11",月例!$S$5:$S$788,0)),"")</f>
        <v/>
      </c>
      <c r="K273" s="825" t="str">
        <f>IFERROR(INDEX(月例!$A$5:$A$788,MATCH("協会けんぽ保険料等|S|11",月例!$S$5:$S$788,0)),"")</f>
        <v/>
      </c>
      <c r="L273" s="826" t="str">
        <f>IFERROR(INDEX(月例!$E$5:$E$788,MATCH("協会けんぽ保険料等|S|11",月例!$S$5:$S$788,0)),"")</f>
        <v/>
      </c>
      <c r="M273" s="827" t="str">
        <f>IFERROR(INDEX(月例!$H$5:$H$788,MATCH("協会けんぽ保険料等|S|11",月例!$S$5:$S$788,0)),"")</f>
        <v/>
      </c>
      <c r="N273" s="828" t="str">
        <f>IF(M273="","",N272+M273)</f>
        <v/>
      </c>
      <c r="O273" s="829" t="str">
        <f>IFERROR(INDEX(月例!$P$5:$P$788,MATCH("協会けんぽ保険料等|S|11",月例!$S$5:$S$788,0)),"")</f>
        <v/>
      </c>
      <c r="P273" s="825" t="str">
        <f>IFERROR(INDEX(月例!$A$5:$A$788,MATCH("労災・雇用保険料|S|11",月例!$S$5:$S$788,0)),"")</f>
        <v/>
      </c>
      <c r="Q273" s="826" t="str">
        <f>IFERROR(INDEX(月例!$E$5:$E$788,MATCH("労災・雇用保険料|S|11",月例!$S$5:$S$788,0)),"")</f>
        <v/>
      </c>
      <c r="R273" s="827" t="str">
        <f>IFERROR(INDEX(月例!$H$5:$H$788,MATCH("労災・雇用保険料|S|11",月例!$S$5:$S$788,0)),"")</f>
        <v/>
      </c>
      <c r="S273" s="828" t="str">
        <f>IF(R273="","",S272+R273)</f>
        <v/>
      </c>
      <c r="T273" s="829" t="str">
        <f>IFERROR(INDEX(月例!$P$5:$P$788,MATCH("労災・雇用保険料|S|11",月例!$S$5:$S$788,0)),"")</f>
        <v/>
      </c>
    </row>
    <row r="274">
      <c r="A274" s="825" t="str">
        <f>IFERROR(INDEX(月例!$A$5:$A$788,MATCH("諸謝金|S|12",月例!$S$5:$S$788,0)),"")</f>
        <v/>
      </c>
      <c r="B274" s="826" t="str">
        <f>IFERROR(INDEX(月例!$E$5:$E$788,MATCH("諸謝金|S|12",月例!$S$5:$S$788,0)),"")</f>
        <v/>
      </c>
      <c r="C274" s="827" t="str">
        <f>IFERROR(INDEX(月例!$H$5:$H$788,MATCH("諸謝金|S|12",月例!$S$5:$S$788,0)),"")</f>
        <v/>
      </c>
      <c r="D274" s="828" t="str">
        <f>IF(C274="","",D273-C274)</f>
        <v/>
      </c>
      <c r="E274" s="829" t="str">
        <f>IFERROR(INDEX(月例!$P$5:$P$788,MATCH("諸謝金|S|12",月例!$S$5:$S$788,0)),"")</f>
        <v/>
      </c>
      <c r="F274" s="825" t="str">
        <f>IFERROR(INDEX(月例!$A$5:$A$788,MATCH("会議出席負担金等|S|12",月例!$S$5:$S$788,0)),"")</f>
        <v/>
      </c>
      <c r="G274" s="826" t="str">
        <f>IFERROR(INDEX(月例!$E$5:$E$788,MATCH("会議出席負担金等|S|12",月例!$S$5:$S$788,0)),"")</f>
        <v/>
      </c>
      <c r="H274" s="827" t="str">
        <f>IFERROR(INDEX(月例!$H$5:$H$788,MATCH("会議出席負担金等|S|12",月例!$S$5:$S$788,0)),"")</f>
        <v/>
      </c>
      <c r="I274" s="828" t="str">
        <f>IF(H274="","",I273+H274)</f>
        <v/>
      </c>
      <c r="J274" s="829" t="str">
        <f>IFERROR(INDEX(月例!$P$5:$P$788,MATCH("会議出席負担金等|S|12",月例!$S$5:$S$788,0)),"")</f>
        <v/>
      </c>
      <c r="K274" s="825" t="str">
        <f>IFERROR(INDEX(月例!$A$5:$A$788,MATCH("協会けんぽ保険料等|S|12",月例!$S$5:$S$788,0)),"")</f>
        <v/>
      </c>
      <c r="L274" s="826" t="str">
        <f>IFERROR(INDEX(月例!$E$5:$E$788,MATCH("協会けんぽ保険料等|S|12",月例!$S$5:$S$788,0)),"")</f>
        <v/>
      </c>
      <c r="M274" s="827" t="str">
        <f>IFERROR(INDEX(月例!$H$5:$H$788,MATCH("協会けんぽ保険料等|S|12",月例!$S$5:$S$788,0)),"")</f>
        <v/>
      </c>
      <c r="N274" s="828" t="str">
        <f>IF(M274="","",N273+M274)</f>
        <v/>
      </c>
      <c r="O274" s="829" t="str">
        <f>IFERROR(INDEX(月例!$P$5:$P$788,MATCH("協会けんぽ保険料等|S|12",月例!$S$5:$S$788,0)),"")</f>
        <v/>
      </c>
      <c r="P274" s="825" t="str">
        <f>IFERROR(INDEX(月例!$A$5:$A$788,MATCH("労災・雇用保険料|S|12",月例!$S$5:$S$788,0)),"")</f>
        <v/>
      </c>
      <c r="Q274" s="826" t="str">
        <f>IFERROR(INDEX(月例!$E$5:$E$788,MATCH("労災・雇用保険料|S|12",月例!$S$5:$S$788,0)),"")</f>
        <v/>
      </c>
      <c r="R274" s="827" t="str">
        <f>IFERROR(INDEX(月例!$H$5:$H$788,MATCH("労災・雇用保険料|S|12",月例!$S$5:$S$788,0)),"")</f>
        <v/>
      </c>
      <c r="S274" s="828" t="str">
        <f>IF(R274="","",S273+R274)</f>
        <v/>
      </c>
      <c r="T274" s="829" t="str">
        <f>IFERROR(INDEX(月例!$P$5:$P$788,MATCH("労災・雇用保険料|S|12",月例!$S$5:$S$788,0)),"")</f>
        <v/>
      </c>
    </row>
    <row r="278">
      <c r="B278" s="502" t="inlineStr">
        <is>
          <t>○負担金  県社保協会費</t>
        </is>
      </c>
      <c r="D278" s="503" t="inlineStr">
        <is>
          <t>業務（短）</t>
        </is>
      </c>
      <c r="E278" s="824" t="str">
        <f>IF(COUNTIF(月例!$S$5:$S$788,"県社保協会費|S|*")&gt;12,"行不足","")</f>
        <v/>
      </c>
      <c r="G278" s="502" t="inlineStr">
        <is>
          <t>○事務費負担金払込金</t>
        </is>
      </c>
      <c r="I278" s="503" t="inlineStr">
        <is>
          <t>業務（短）</t>
        </is>
      </c>
      <c r="J278" s="824" t="str">
        <f>IF(COUNTIF(月例!$S$5:$S$788,"事務費負担金払込金|S|*")&gt;12,"行不足","")</f>
        <v/>
      </c>
      <c r="L278" s="502" t="inlineStr">
        <is>
          <t>○雑費</t>
        </is>
      </c>
      <c r="N278" s="503" t="inlineStr">
        <is>
          <t>業務（短）</t>
        </is>
      </c>
      <c r="O278" s="824" t="str">
        <f>IF(COUNTIF(月例!$S$5:$S$788,"雑費|S|*")&gt;12,"行不足","")</f>
        <v/>
      </c>
      <c r="Q278" s="502" t="inlineStr">
        <is>
          <t>○減価償却費</t>
        </is>
      </c>
      <c r="S278" s="503" t="inlineStr">
        <is>
          <t>業務（短）</t>
        </is>
      </c>
      <c r="T278" s="824" t="str">
        <f>IF(COUNTIF(月例!$S$5:$S$788,"減価償却費|S|*")&gt;12,"行不足","")</f>
        <v/>
      </c>
    </row>
    <row r="279">
      <c r="A279" s="100" t="inlineStr">
        <is>
          <t>支出日</t>
        </is>
      </c>
      <c r="B279" s="100" t="inlineStr">
        <is>
          <t>摘要</t>
        </is>
      </c>
      <c r="C279" s="100" t="inlineStr">
        <is>
          <t>支出</t>
        </is>
      </c>
      <c r="D279" s="100" t="inlineStr">
        <is>
          <t>残額</t>
        </is>
      </c>
      <c r="E279" s="100" t="inlineStr">
        <is>
          <t>状態</t>
        </is>
      </c>
      <c r="F279" s="100" t="inlineStr">
        <is>
          <t>支出日</t>
        </is>
      </c>
      <c r="G279" s="100" t="inlineStr">
        <is>
          <t>摘要</t>
        </is>
      </c>
      <c r="H279" s="100" t="inlineStr">
        <is>
          <t>支出</t>
        </is>
      </c>
      <c r="I279" s="100" t="inlineStr">
        <is>
          <t>残額</t>
        </is>
      </c>
      <c r="J279" s="100" t="inlineStr">
        <is>
          <t>状態</t>
        </is>
      </c>
      <c r="K279" s="100" t="inlineStr">
        <is>
          <t>支出日</t>
        </is>
      </c>
      <c r="L279" s="100" t="inlineStr">
        <is>
          <t>摘要</t>
        </is>
      </c>
      <c r="M279" s="100" t="inlineStr">
        <is>
          <t>支出</t>
        </is>
      </c>
      <c r="N279" s="100" t="inlineStr">
        <is>
          <t>残額</t>
        </is>
      </c>
      <c r="O279" s="100" t="inlineStr">
        <is>
          <t>状態</t>
        </is>
      </c>
      <c r="P279" s="100" t="inlineStr">
        <is>
          <t>支出日</t>
        </is>
      </c>
      <c r="Q279" s="100" t="inlineStr">
        <is>
          <t>摘要</t>
        </is>
      </c>
      <c r="R279" s="100" t="inlineStr">
        <is>
          <t>支出</t>
        </is>
      </c>
      <c r="S279" s="100" t="inlineStr">
        <is>
          <t>残額</t>
        </is>
      </c>
      <c r="T279" s="100" t="inlineStr">
        <is>
          <t>状態</t>
        </is>
      </c>
    </row>
    <row r="280">
      <c r="A280" s="825" t="n"/>
      <c r="B280" s="826" t="inlineStr">
        <is>
          <t>予算現額</t>
        </is>
      </c>
      <c r="C280" s="827" t="n"/>
      <c r="D280" s="828">
        <f>'R7業務 (短)'!$S$32</f>
        <v>1000</v>
      </c>
      <c r="F280" s="825" t="n"/>
      <c r="G280" s="826" t="inlineStr">
        <is>
          <t>予算現額</t>
        </is>
      </c>
      <c r="H280" s="827" t="n"/>
      <c r="I280" s="828">
        <f>'R7業務 (短)'!$S$35</f>
        <v>0</v>
      </c>
      <c r="K280" s="825" t="n"/>
      <c r="L280" s="826" t="inlineStr">
        <is>
          <t>予算現額</t>
        </is>
      </c>
      <c r="M280" s="827" t="n"/>
      <c r="N280" s="828">
        <f>'R7業務 (短)'!$S$36</f>
        <v>0</v>
      </c>
      <c r="P280" s="825" t="n"/>
      <c r="Q280" s="826" t="inlineStr">
        <is>
          <t>予算現額</t>
        </is>
      </c>
      <c r="R280" s="827" t="n"/>
      <c r="S280" s="828">
        <f>'R7業務 (短)'!$S$37</f>
        <v>172000</v>
      </c>
    </row>
    <row r="281">
      <c r="A281" s="825">
        <f>IFERROR(INDEX(月例!$A$5:$A$788,MATCH("県社保協会費|S|1",月例!$S$5:$S$788,0)),"")</f>
        <v>46150</v>
      </c>
      <c r="B281" s="826" t="str">
        <f>IFERROR(INDEX(月例!$E$5:$E$788,MATCH("県社保協会費|S|1",月例!$S$5:$S$788,0)),"")</f>
        <v>広島県社会保険協会年会費(短期)</v>
      </c>
      <c r="C281" s="827">
        <f>IFERROR(INDEX(月例!$H$5:$H$788,MATCH("県社保協会費|S|1",月例!$S$5:$S$788,0)),"")</f>
        <v>780</v>
      </c>
      <c r="D281" s="828">
        <f>IF(C281="","",D280-C281)</f>
        <v>220</v>
      </c>
      <c r="E281" s="829" t="str">
        <f>IFERROR(INDEX(月例!$P$5:$P$788,MATCH("県社保協会費|S|1",月例!$S$5:$S$788,0)),"")</f>
        <v>確認済</v>
      </c>
      <c r="F281" s="825" t="str">
        <f>IFERROR(INDEX(月例!$A$5:$A$788,MATCH("事務費負担金払込金|S|1",月例!$S$5:$S$788,0)),"")</f>
        <v/>
      </c>
      <c r="G281" s="826" t="str">
        <f>IFERROR(INDEX(月例!$E$5:$E$788,MATCH("事務費負担金払込金|S|1",月例!$S$5:$S$788,0)),"")</f>
        <v/>
      </c>
      <c r="H281" s="827" t="str">
        <f>IFERROR(INDEX(月例!$H$5:$H$788,MATCH("事務費負担金払込金|S|1",月例!$S$5:$S$788,0)),"")</f>
        <v/>
      </c>
      <c r="I281" s="828" t="str">
        <f>IF(H281="","",I280-H281)</f>
        <v/>
      </c>
      <c r="J281" s="829" t="str">
        <f>IFERROR(INDEX(月例!$P$5:$P$788,MATCH("事務費負担金払込金|S|1",月例!$S$5:$S$788,0)),"")</f>
        <v/>
      </c>
      <c r="K281" s="825" t="str">
        <f>IFERROR(INDEX(月例!$A$5:$A$788,MATCH("雑費|S|1",月例!$S$5:$S$788,0)),"")</f>
        <v/>
      </c>
      <c r="L281" s="826" t="str">
        <f>IFERROR(INDEX(月例!$E$5:$E$788,MATCH("雑費|S|1",月例!$S$5:$S$788,0)),"")</f>
        <v/>
      </c>
      <c r="M281" s="827" t="str">
        <f>IFERROR(INDEX(月例!$H$5:$H$788,MATCH("雑費|S|1",月例!$S$5:$S$788,0)),"")</f>
        <v/>
      </c>
      <c r="N281" s="828" t="str">
        <f>IF(M281="","",N280-M281)</f>
        <v/>
      </c>
      <c r="O281" s="829" t="str">
        <f>IFERROR(INDEX(月例!$P$5:$P$788,MATCH("雑費|S|1",月例!$S$5:$S$788,0)),"")</f>
        <v/>
      </c>
      <c r="P281" s="825" t="str">
        <f>IFERROR(INDEX(月例!$A$5:$A$788,MATCH("減価償却費|S|1",月例!$S$5:$S$788,0)),"")</f>
        <v/>
      </c>
      <c r="Q281" s="826" t="str">
        <f>IFERROR(INDEX(月例!$E$5:$E$788,MATCH("減価償却費|S|1",月例!$S$5:$S$788,0)),"")</f>
        <v/>
      </c>
      <c r="R281" s="827" t="str">
        <f>IFERROR(INDEX(月例!$H$5:$H$788,MATCH("減価償却費|S|1",月例!$S$5:$S$788,0)),"")</f>
        <v/>
      </c>
      <c r="S281" s="828" t="str">
        <f>IF(R281="","",S280-R281)</f>
        <v/>
      </c>
      <c r="T281" s="829" t="str">
        <f>IFERROR(INDEX(月例!$P$5:$P$788,MATCH("減価償却費|S|1",月例!$S$5:$S$788,0)),"")</f>
        <v/>
      </c>
    </row>
    <row r="282">
      <c r="A282" s="825" t="str">
        <f>IFERROR(INDEX(月例!$A$5:$A$788,MATCH("県社保協会費|S|2",月例!$S$5:$S$788,0)),"")</f>
        <v/>
      </c>
      <c r="B282" s="826" t="str">
        <f>IFERROR(INDEX(月例!$E$5:$E$788,MATCH("県社保協会費|S|2",月例!$S$5:$S$788,0)),"")</f>
        <v/>
      </c>
      <c r="C282" s="827" t="str">
        <f>IFERROR(INDEX(月例!$H$5:$H$788,MATCH("県社保協会費|S|2",月例!$S$5:$S$788,0)),"")</f>
        <v/>
      </c>
      <c r="D282" s="828" t="str">
        <f>IF(C282="","",D281-C282)</f>
        <v/>
      </c>
      <c r="E282" s="829" t="str">
        <f>IFERROR(INDEX(月例!$P$5:$P$788,MATCH("県社保協会費|S|2",月例!$S$5:$S$788,0)),"")</f>
        <v/>
      </c>
      <c r="F282" s="825" t="str">
        <f>IFERROR(INDEX(月例!$A$5:$A$788,MATCH("事務費負担金払込金|S|2",月例!$S$5:$S$788,0)),"")</f>
        <v/>
      </c>
      <c r="G282" s="826" t="str">
        <f>IFERROR(INDEX(月例!$E$5:$E$788,MATCH("事務費負担金払込金|S|2",月例!$S$5:$S$788,0)),"")</f>
        <v/>
      </c>
      <c r="H282" s="827" t="str">
        <f>IFERROR(INDEX(月例!$H$5:$H$788,MATCH("事務費負担金払込金|S|2",月例!$S$5:$S$788,0)),"")</f>
        <v/>
      </c>
      <c r="I282" s="828" t="str">
        <f>IF(H282="","",I281-H282)</f>
        <v/>
      </c>
      <c r="J282" s="829" t="str">
        <f>IFERROR(INDEX(月例!$P$5:$P$788,MATCH("事務費負担金払込金|S|2",月例!$S$5:$S$788,0)),"")</f>
        <v/>
      </c>
      <c r="K282" s="825" t="str">
        <f>IFERROR(INDEX(月例!$A$5:$A$788,MATCH("雑費|S|2",月例!$S$5:$S$788,0)),"")</f>
        <v/>
      </c>
      <c r="L282" s="826" t="str">
        <f>IFERROR(INDEX(月例!$E$5:$E$788,MATCH("雑費|S|2",月例!$S$5:$S$788,0)),"")</f>
        <v/>
      </c>
      <c r="M282" s="827" t="str">
        <f>IFERROR(INDEX(月例!$H$5:$H$788,MATCH("雑費|S|2",月例!$S$5:$S$788,0)),"")</f>
        <v/>
      </c>
      <c r="N282" s="828" t="str">
        <f>IF(M282="","",N281-M282)</f>
        <v/>
      </c>
      <c r="O282" s="829" t="str">
        <f>IFERROR(INDEX(月例!$P$5:$P$788,MATCH("雑費|S|2",月例!$S$5:$S$788,0)),"")</f>
        <v/>
      </c>
      <c r="P282" s="825" t="str">
        <f>IFERROR(INDEX(月例!$A$5:$A$788,MATCH("減価償却費|S|2",月例!$S$5:$S$788,0)),"")</f>
        <v/>
      </c>
      <c r="Q282" s="826" t="str">
        <f>IFERROR(INDEX(月例!$E$5:$E$788,MATCH("減価償却費|S|2",月例!$S$5:$S$788,0)),"")</f>
        <v/>
      </c>
      <c r="R282" s="827" t="str">
        <f>IFERROR(INDEX(月例!$H$5:$H$788,MATCH("減価償却費|S|2",月例!$S$5:$S$788,0)),"")</f>
        <v/>
      </c>
      <c r="S282" s="828" t="str">
        <f>IF(R282="","",S281-R282)</f>
        <v/>
      </c>
      <c r="T282" s="829" t="str">
        <f>IFERROR(INDEX(月例!$P$5:$P$788,MATCH("減価償却費|S|2",月例!$S$5:$S$788,0)),"")</f>
        <v/>
      </c>
    </row>
    <row r="283">
      <c r="A283" s="825" t="str">
        <f>IFERROR(INDEX(月例!$A$5:$A$788,MATCH("県社保協会費|S|3",月例!$S$5:$S$788,0)),"")</f>
        <v/>
      </c>
      <c r="B283" s="826" t="str">
        <f>IFERROR(INDEX(月例!$E$5:$E$788,MATCH("県社保協会費|S|3",月例!$S$5:$S$788,0)),"")</f>
        <v/>
      </c>
      <c r="C283" s="827" t="str">
        <f>IFERROR(INDEX(月例!$H$5:$H$788,MATCH("県社保協会費|S|3",月例!$S$5:$S$788,0)),"")</f>
        <v/>
      </c>
      <c r="D283" s="828" t="str">
        <f>IF(C283="","",D282-C283)</f>
        <v/>
      </c>
      <c r="E283" s="829" t="str">
        <f>IFERROR(INDEX(月例!$P$5:$P$788,MATCH("県社保協会費|S|3",月例!$S$5:$S$788,0)),"")</f>
        <v/>
      </c>
      <c r="F283" s="825" t="str">
        <f>IFERROR(INDEX(月例!$A$5:$A$788,MATCH("事務費負担金払込金|S|3",月例!$S$5:$S$788,0)),"")</f>
        <v/>
      </c>
      <c r="G283" s="826" t="str">
        <f>IFERROR(INDEX(月例!$E$5:$E$788,MATCH("事務費負担金払込金|S|3",月例!$S$5:$S$788,0)),"")</f>
        <v/>
      </c>
      <c r="H283" s="827" t="str">
        <f>IFERROR(INDEX(月例!$H$5:$H$788,MATCH("事務費負担金払込金|S|3",月例!$S$5:$S$788,0)),"")</f>
        <v/>
      </c>
      <c r="I283" s="828" t="str">
        <f>IF(H283="","",I282-H283)</f>
        <v/>
      </c>
      <c r="J283" s="829" t="str">
        <f>IFERROR(INDEX(月例!$P$5:$P$788,MATCH("事務費負担金払込金|S|3",月例!$S$5:$S$788,0)),"")</f>
        <v/>
      </c>
      <c r="K283" s="825" t="str">
        <f>IFERROR(INDEX(月例!$A$5:$A$788,MATCH("雑費|S|3",月例!$S$5:$S$788,0)),"")</f>
        <v/>
      </c>
      <c r="L283" s="826" t="str">
        <f>IFERROR(INDEX(月例!$E$5:$E$788,MATCH("雑費|S|3",月例!$S$5:$S$788,0)),"")</f>
        <v/>
      </c>
      <c r="M283" s="827" t="str">
        <f>IFERROR(INDEX(月例!$H$5:$H$788,MATCH("雑費|S|3",月例!$S$5:$S$788,0)),"")</f>
        <v/>
      </c>
      <c r="N283" s="828" t="str">
        <f>IF(M283="","",N282-M283)</f>
        <v/>
      </c>
      <c r="O283" s="829" t="str">
        <f>IFERROR(INDEX(月例!$P$5:$P$788,MATCH("雑費|S|3",月例!$S$5:$S$788,0)),"")</f>
        <v/>
      </c>
      <c r="P283" s="825" t="str">
        <f>IFERROR(INDEX(月例!$A$5:$A$788,MATCH("減価償却費|S|3",月例!$S$5:$S$788,0)),"")</f>
        <v/>
      </c>
      <c r="Q283" s="826" t="str">
        <f>IFERROR(INDEX(月例!$E$5:$E$788,MATCH("減価償却費|S|3",月例!$S$5:$S$788,0)),"")</f>
        <v/>
      </c>
      <c r="R283" s="827" t="str">
        <f>IFERROR(INDEX(月例!$H$5:$H$788,MATCH("減価償却費|S|3",月例!$S$5:$S$788,0)),"")</f>
        <v/>
      </c>
      <c r="S283" s="828" t="str">
        <f>IF(R283="","",S282-R283)</f>
        <v/>
      </c>
      <c r="T283" s="829" t="str">
        <f>IFERROR(INDEX(月例!$P$5:$P$788,MATCH("減価償却費|S|3",月例!$S$5:$S$788,0)),"")</f>
        <v/>
      </c>
    </row>
    <row r="284">
      <c r="A284" s="825" t="str">
        <f>IFERROR(INDEX(月例!$A$5:$A$788,MATCH("県社保協会費|S|4",月例!$S$5:$S$788,0)),"")</f>
        <v/>
      </c>
      <c r="B284" s="826" t="str">
        <f>IFERROR(INDEX(月例!$E$5:$E$788,MATCH("県社保協会費|S|4",月例!$S$5:$S$788,0)),"")</f>
        <v/>
      </c>
      <c r="C284" s="827" t="str">
        <f>IFERROR(INDEX(月例!$H$5:$H$788,MATCH("県社保協会費|S|4",月例!$S$5:$S$788,0)),"")</f>
        <v/>
      </c>
      <c r="D284" s="828" t="str">
        <f>IF(C284="","",D283-C284)</f>
        <v/>
      </c>
      <c r="E284" s="829" t="str">
        <f>IFERROR(INDEX(月例!$P$5:$P$788,MATCH("県社保協会費|S|4",月例!$S$5:$S$788,0)),"")</f>
        <v/>
      </c>
      <c r="F284" s="825" t="str">
        <f>IFERROR(INDEX(月例!$A$5:$A$788,MATCH("事務費負担金払込金|S|4",月例!$S$5:$S$788,0)),"")</f>
        <v/>
      </c>
      <c r="G284" s="826" t="str">
        <f>IFERROR(INDEX(月例!$E$5:$E$788,MATCH("事務費負担金払込金|S|4",月例!$S$5:$S$788,0)),"")</f>
        <v/>
      </c>
      <c r="H284" s="827" t="str">
        <f>IFERROR(INDEX(月例!$H$5:$H$788,MATCH("事務費負担金払込金|S|4",月例!$S$5:$S$788,0)),"")</f>
        <v/>
      </c>
      <c r="I284" s="828" t="str">
        <f>IF(H284="","",I283-H284)</f>
        <v/>
      </c>
      <c r="J284" s="829" t="str">
        <f>IFERROR(INDEX(月例!$P$5:$P$788,MATCH("事務費負担金払込金|S|4",月例!$S$5:$S$788,0)),"")</f>
        <v/>
      </c>
      <c r="K284" s="825" t="str">
        <f>IFERROR(INDEX(月例!$A$5:$A$788,MATCH("雑費|S|4",月例!$S$5:$S$788,0)),"")</f>
        <v/>
      </c>
      <c r="L284" s="826" t="str">
        <f>IFERROR(INDEX(月例!$E$5:$E$788,MATCH("雑費|S|4",月例!$S$5:$S$788,0)),"")</f>
        <v/>
      </c>
      <c r="M284" s="827" t="str">
        <f>IFERROR(INDEX(月例!$H$5:$H$788,MATCH("雑費|S|4",月例!$S$5:$S$788,0)),"")</f>
        <v/>
      </c>
      <c r="N284" s="828" t="str">
        <f>IF(M284="","",N283-M284)</f>
        <v/>
      </c>
      <c r="O284" s="829" t="str">
        <f>IFERROR(INDEX(月例!$P$5:$P$788,MATCH("雑費|S|4",月例!$S$5:$S$788,0)),"")</f>
        <v/>
      </c>
      <c r="P284" s="825" t="str">
        <f>IFERROR(INDEX(月例!$A$5:$A$788,MATCH("減価償却費|S|4",月例!$S$5:$S$788,0)),"")</f>
        <v/>
      </c>
      <c r="Q284" s="826" t="str">
        <f>IFERROR(INDEX(月例!$E$5:$E$788,MATCH("減価償却費|S|4",月例!$S$5:$S$788,0)),"")</f>
        <v/>
      </c>
      <c r="R284" s="827" t="str">
        <f>IFERROR(INDEX(月例!$H$5:$H$788,MATCH("減価償却費|S|4",月例!$S$5:$S$788,0)),"")</f>
        <v/>
      </c>
      <c r="S284" s="828" t="str">
        <f>IF(R284="","",S283-R284)</f>
        <v/>
      </c>
      <c r="T284" s="829" t="str">
        <f>IFERROR(INDEX(月例!$P$5:$P$788,MATCH("減価償却費|S|4",月例!$S$5:$S$788,0)),"")</f>
        <v/>
      </c>
    </row>
    <row r="285">
      <c r="A285" s="825" t="str">
        <f>IFERROR(INDEX(月例!$A$5:$A$788,MATCH("県社保協会費|S|5",月例!$S$5:$S$788,0)),"")</f>
        <v/>
      </c>
      <c r="B285" s="826" t="str">
        <f>IFERROR(INDEX(月例!$E$5:$E$788,MATCH("県社保協会費|S|5",月例!$S$5:$S$788,0)),"")</f>
        <v/>
      </c>
      <c r="C285" s="827" t="str">
        <f>IFERROR(INDEX(月例!$H$5:$H$788,MATCH("県社保協会費|S|5",月例!$S$5:$S$788,0)),"")</f>
        <v/>
      </c>
      <c r="D285" s="828" t="str">
        <f>IF(C285="","",D284-C285)</f>
        <v/>
      </c>
      <c r="E285" s="829" t="str">
        <f>IFERROR(INDEX(月例!$P$5:$P$788,MATCH("県社保協会費|S|5",月例!$S$5:$S$788,0)),"")</f>
        <v/>
      </c>
      <c r="F285" s="825" t="str">
        <f>IFERROR(INDEX(月例!$A$5:$A$788,MATCH("事務費負担金払込金|S|5",月例!$S$5:$S$788,0)),"")</f>
        <v/>
      </c>
      <c r="G285" s="826" t="str">
        <f>IFERROR(INDEX(月例!$E$5:$E$788,MATCH("事務費負担金払込金|S|5",月例!$S$5:$S$788,0)),"")</f>
        <v/>
      </c>
      <c r="H285" s="827" t="str">
        <f>IFERROR(INDEX(月例!$H$5:$H$788,MATCH("事務費負担金払込金|S|5",月例!$S$5:$S$788,0)),"")</f>
        <v/>
      </c>
      <c r="I285" s="828" t="str">
        <f>IF(H285="","",I284-H285)</f>
        <v/>
      </c>
      <c r="J285" s="829" t="str">
        <f>IFERROR(INDEX(月例!$P$5:$P$788,MATCH("事務費負担金払込金|S|5",月例!$S$5:$S$788,0)),"")</f>
        <v/>
      </c>
      <c r="K285" s="825" t="str">
        <f>IFERROR(INDEX(月例!$A$5:$A$788,MATCH("雑費|S|5",月例!$S$5:$S$788,0)),"")</f>
        <v/>
      </c>
      <c r="L285" s="826" t="str">
        <f>IFERROR(INDEX(月例!$E$5:$E$788,MATCH("雑費|S|5",月例!$S$5:$S$788,0)),"")</f>
        <v/>
      </c>
      <c r="M285" s="827" t="str">
        <f>IFERROR(INDEX(月例!$H$5:$H$788,MATCH("雑費|S|5",月例!$S$5:$S$788,0)),"")</f>
        <v/>
      </c>
      <c r="N285" s="828" t="str">
        <f>IF(M285="","",N284-M285)</f>
        <v/>
      </c>
      <c r="O285" s="829" t="str">
        <f>IFERROR(INDEX(月例!$P$5:$P$788,MATCH("雑費|S|5",月例!$S$5:$S$788,0)),"")</f>
        <v/>
      </c>
      <c r="P285" s="825" t="str">
        <f>IFERROR(INDEX(月例!$A$5:$A$788,MATCH("減価償却費|S|5",月例!$S$5:$S$788,0)),"")</f>
        <v/>
      </c>
      <c r="Q285" s="826" t="str">
        <f>IFERROR(INDEX(月例!$E$5:$E$788,MATCH("減価償却費|S|5",月例!$S$5:$S$788,0)),"")</f>
        <v/>
      </c>
      <c r="R285" s="827" t="str">
        <f>IFERROR(INDEX(月例!$H$5:$H$788,MATCH("減価償却費|S|5",月例!$S$5:$S$788,0)),"")</f>
        <v/>
      </c>
      <c r="S285" s="828" t="str">
        <f>IF(R285="","",S284-R285)</f>
        <v/>
      </c>
      <c r="T285" s="829" t="str">
        <f>IFERROR(INDEX(月例!$P$5:$P$788,MATCH("減価償却費|S|5",月例!$S$5:$S$788,0)),"")</f>
        <v/>
      </c>
    </row>
    <row r="286">
      <c r="A286" s="825" t="str">
        <f>IFERROR(INDEX(月例!$A$5:$A$788,MATCH("県社保協会費|S|6",月例!$S$5:$S$788,0)),"")</f>
        <v/>
      </c>
      <c r="B286" s="826" t="str">
        <f>IFERROR(INDEX(月例!$E$5:$E$788,MATCH("県社保協会費|S|6",月例!$S$5:$S$788,0)),"")</f>
        <v/>
      </c>
      <c r="C286" s="827" t="str">
        <f>IFERROR(INDEX(月例!$H$5:$H$788,MATCH("県社保協会費|S|6",月例!$S$5:$S$788,0)),"")</f>
        <v/>
      </c>
      <c r="D286" s="828" t="str">
        <f>IF(C286="","",D285-C286)</f>
        <v/>
      </c>
      <c r="E286" s="829" t="str">
        <f>IFERROR(INDEX(月例!$P$5:$P$788,MATCH("県社保協会費|S|6",月例!$S$5:$S$788,0)),"")</f>
        <v/>
      </c>
      <c r="F286" s="825" t="str">
        <f>IFERROR(INDEX(月例!$A$5:$A$788,MATCH("事務費負担金払込金|S|6",月例!$S$5:$S$788,0)),"")</f>
        <v/>
      </c>
      <c r="G286" s="826" t="str">
        <f>IFERROR(INDEX(月例!$E$5:$E$788,MATCH("事務費負担金払込金|S|6",月例!$S$5:$S$788,0)),"")</f>
        <v/>
      </c>
      <c r="H286" s="827" t="str">
        <f>IFERROR(INDEX(月例!$H$5:$H$788,MATCH("事務費負担金払込金|S|6",月例!$S$5:$S$788,0)),"")</f>
        <v/>
      </c>
      <c r="I286" s="828" t="str">
        <f>IF(H286="","",I285-H286)</f>
        <v/>
      </c>
      <c r="J286" s="829" t="str">
        <f>IFERROR(INDEX(月例!$P$5:$P$788,MATCH("事務費負担金払込金|S|6",月例!$S$5:$S$788,0)),"")</f>
        <v/>
      </c>
      <c r="K286" s="825" t="str">
        <f>IFERROR(INDEX(月例!$A$5:$A$788,MATCH("雑費|S|6",月例!$S$5:$S$788,0)),"")</f>
        <v/>
      </c>
      <c r="L286" s="826" t="str">
        <f>IFERROR(INDEX(月例!$E$5:$E$788,MATCH("雑費|S|6",月例!$S$5:$S$788,0)),"")</f>
        <v/>
      </c>
      <c r="M286" s="827" t="str">
        <f>IFERROR(INDEX(月例!$H$5:$H$788,MATCH("雑費|S|6",月例!$S$5:$S$788,0)),"")</f>
        <v/>
      </c>
      <c r="N286" s="828" t="str">
        <f>IF(M286="","",N285-M286)</f>
        <v/>
      </c>
      <c r="O286" s="829" t="str">
        <f>IFERROR(INDEX(月例!$P$5:$P$788,MATCH("雑費|S|6",月例!$S$5:$S$788,0)),"")</f>
        <v/>
      </c>
      <c r="P286" s="825" t="str">
        <f>IFERROR(INDEX(月例!$A$5:$A$788,MATCH("減価償却費|S|6",月例!$S$5:$S$788,0)),"")</f>
        <v/>
      </c>
      <c r="Q286" s="826" t="str">
        <f>IFERROR(INDEX(月例!$E$5:$E$788,MATCH("減価償却費|S|6",月例!$S$5:$S$788,0)),"")</f>
        <v/>
      </c>
      <c r="R286" s="827" t="str">
        <f>IFERROR(INDEX(月例!$H$5:$H$788,MATCH("減価償却費|S|6",月例!$S$5:$S$788,0)),"")</f>
        <v/>
      </c>
      <c r="S286" s="828" t="str">
        <f>IF(R286="","",S285-R286)</f>
        <v/>
      </c>
      <c r="T286" s="829" t="str">
        <f>IFERROR(INDEX(月例!$P$5:$P$788,MATCH("減価償却費|S|6",月例!$S$5:$S$788,0)),"")</f>
        <v/>
      </c>
    </row>
    <row r="287">
      <c r="A287" s="825" t="str">
        <f>IFERROR(INDEX(月例!$A$5:$A$788,MATCH("県社保協会費|S|7",月例!$S$5:$S$788,0)),"")</f>
        <v/>
      </c>
      <c r="B287" s="826" t="str">
        <f>IFERROR(INDEX(月例!$E$5:$E$788,MATCH("県社保協会費|S|7",月例!$S$5:$S$788,0)),"")</f>
        <v/>
      </c>
      <c r="C287" s="827" t="str">
        <f>IFERROR(INDEX(月例!$H$5:$H$788,MATCH("県社保協会費|S|7",月例!$S$5:$S$788,0)),"")</f>
        <v/>
      </c>
      <c r="D287" s="828" t="str">
        <f>IF(C287="","",D286-C287)</f>
        <v/>
      </c>
      <c r="E287" s="829" t="str">
        <f>IFERROR(INDEX(月例!$P$5:$P$788,MATCH("県社保協会費|S|7",月例!$S$5:$S$788,0)),"")</f>
        <v/>
      </c>
      <c r="F287" s="825" t="str">
        <f>IFERROR(INDEX(月例!$A$5:$A$788,MATCH("事務費負担金払込金|S|7",月例!$S$5:$S$788,0)),"")</f>
        <v/>
      </c>
      <c r="G287" s="826" t="str">
        <f>IFERROR(INDEX(月例!$E$5:$E$788,MATCH("事務費負担金払込金|S|7",月例!$S$5:$S$788,0)),"")</f>
        <v/>
      </c>
      <c r="H287" s="827" t="str">
        <f>IFERROR(INDEX(月例!$H$5:$H$788,MATCH("事務費負担金払込金|S|7",月例!$S$5:$S$788,0)),"")</f>
        <v/>
      </c>
      <c r="I287" s="828" t="str">
        <f>IF(H287="","",I286-H287)</f>
        <v/>
      </c>
      <c r="J287" s="829" t="str">
        <f>IFERROR(INDEX(月例!$P$5:$P$788,MATCH("事務費負担金払込金|S|7",月例!$S$5:$S$788,0)),"")</f>
        <v/>
      </c>
      <c r="K287" s="825" t="str">
        <f>IFERROR(INDEX(月例!$A$5:$A$788,MATCH("雑費|S|7",月例!$S$5:$S$788,0)),"")</f>
        <v/>
      </c>
      <c r="L287" s="826" t="str">
        <f>IFERROR(INDEX(月例!$E$5:$E$788,MATCH("雑費|S|7",月例!$S$5:$S$788,0)),"")</f>
        <v/>
      </c>
      <c r="M287" s="827" t="str">
        <f>IFERROR(INDEX(月例!$H$5:$H$788,MATCH("雑費|S|7",月例!$S$5:$S$788,0)),"")</f>
        <v/>
      </c>
      <c r="N287" s="828" t="str">
        <f>IF(M287="","",N286-M287)</f>
        <v/>
      </c>
      <c r="O287" s="829" t="str">
        <f>IFERROR(INDEX(月例!$P$5:$P$788,MATCH("雑費|S|7",月例!$S$5:$S$788,0)),"")</f>
        <v/>
      </c>
      <c r="P287" s="825" t="str">
        <f>IFERROR(INDEX(月例!$A$5:$A$788,MATCH("減価償却費|S|7",月例!$S$5:$S$788,0)),"")</f>
        <v/>
      </c>
      <c r="Q287" s="826" t="str">
        <f>IFERROR(INDEX(月例!$E$5:$E$788,MATCH("減価償却費|S|7",月例!$S$5:$S$788,0)),"")</f>
        <v/>
      </c>
      <c r="R287" s="827" t="str">
        <f>IFERROR(INDEX(月例!$H$5:$H$788,MATCH("減価償却費|S|7",月例!$S$5:$S$788,0)),"")</f>
        <v/>
      </c>
      <c r="S287" s="828" t="str">
        <f>IF(R287="","",S286-R287)</f>
        <v/>
      </c>
      <c r="T287" s="829" t="str">
        <f>IFERROR(INDEX(月例!$P$5:$P$788,MATCH("減価償却費|S|7",月例!$S$5:$S$788,0)),"")</f>
        <v/>
      </c>
    </row>
    <row r="288">
      <c r="A288" s="825" t="str">
        <f>IFERROR(INDEX(月例!$A$5:$A$788,MATCH("県社保協会費|S|8",月例!$S$5:$S$788,0)),"")</f>
        <v/>
      </c>
      <c r="B288" s="826" t="str">
        <f>IFERROR(INDEX(月例!$E$5:$E$788,MATCH("県社保協会費|S|8",月例!$S$5:$S$788,0)),"")</f>
        <v/>
      </c>
      <c r="C288" s="827" t="str">
        <f>IFERROR(INDEX(月例!$H$5:$H$788,MATCH("県社保協会費|S|8",月例!$S$5:$S$788,0)),"")</f>
        <v/>
      </c>
      <c r="D288" s="828" t="str">
        <f>IF(C288="","",D287-C288)</f>
        <v/>
      </c>
      <c r="E288" s="829" t="str">
        <f>IFERROR(INDEX(月例!$P$5:$P$788,MATCH("県社保協会費|S|8",月例!$S$5:$S$788,0)),"")</f>
        <v/>
      </c>
      <c r="F288" s="825" t="str">
        <f>IFERROR(INDEX(月例!$A$5:$A$788,MATCH("事務費負担金払込金|S|8",月例!$S$5:$S$788,0)),"")</f>
        <v/>
      </c>
      <c r="G288" s="826" t="str">
        <f>IFERROR(INDEX(月例!$E$5:$E$788,MATCH("事務費負担金払込金|S|8",月例!$S$5:$S$788,0)),"")</f>
        <v/>
      </c>
      <c r="H288" s="827" t="str">
        <f>IFERROR(INDEX(月例!$H$5:$H$788,MATCH("事務費負担金払込金|S|8",月例!$S$5:$S$788,0)),"")</f>
        <v/>
      </c>
      <c r="I288" s="828" t="str">
        <f>IF(H288="","",I287-H288)</f>
        <v/>
      </c>
      <c r="J288" s="829" t="str">
        <f>IFERROR(INDEX(月例!$P$5:$P$788,MATCH("事務費負担金払込金|S|8",月例!$S$5:$S$788,0)),"")</f>
        <v/>
      </c>
      <c r="K288" s="825" t="str">
        <f>IFERROR(INDEX(月例!$A$5:$A$788,MATCH("雑費|S|8",月例!$S$5:$S$788,0)),"")</f>
        <v/>
      </c>
      <c r="L288" s="826" t="str">
        <f>IFERROR(INDEX(月例!$E$5:$E$788,MATCH("雑費|S|8",月例!$S$5:$S$788,0)),"")</f>
        <v/>
      </c>
      <c r="M288" s="827" t="str">
        <f>IFERROR(INDEX(月例!$H$5:$H$788,MATCH("雑費|S|8",月例!$S$5:$S$788,0)),"")</f>
        <v/>
      </c>
      <c r="N288" s="828" t="str">
        <f>IF(M288="","",N287-M288)</f>
        <v/>
      </c>
      <c r="O288" s="829" t="str">
        <f>IFERROR(INDEX(月例!$P$5:$P$788,MATCH("雑費|S|8",月例!$S$5:$S$788,0)),"")</f>
        <v/>
      </c>
      <c r="P288" s="825" t="str">
        <f>IFERROR(INDEX(月例!$A$5:$A$788,MATCH("減価償却費|S|8",月例!$S$5:$S$788,0)),"")</f>
        <v/>
      </c>
      <c r="Q288" s="826" t="str">
        <f>IFERROR(INDEX(月例!$E$5:$E$788,MATCH("減価償却費|S|8",月例!$S$5:$S$788,0)),"")</f>
        <v/>
      </c>
      <c r="R288" s="827" t="str">
        <f>IFERROR(INDEX(月例!$H$5:$H$788,MATCH("減価償却費|S|8",月例!$S$5:$S$788,0)),"")</f>
        <v/>
      </c>
      <c r="S288" s="828" t="str">
        <f>IF(R288="","",S287-R288)</f>
        <v/>
      </c>
      <c r="T288" s="829" t="str">
        <f>IFERROR(INDEX(月例!$P$5:$P$788,MATCH("減価償却費|S|8",月例!$S$5:$S$788,0)),"")</f>
        <v/>
      </c>
    </row>
    <row r="289">
      <c r="A289" s="825" t="str">
        <f>IFERROR(INDEX(月例!$A$5:$A$788,MATCH("県社保協会費|S|9",月例!$S$5:$S$788,0)),"")</f>
        <v/>
      </c>
      <c r="B289" s="826" t="str">
        <f>IFERROR(INDEX(月例!$E$5:$E$788,MATCH("県社保協会費|S|9",月例!$S$5:$S$788,0)),"")</f>
        <v/>
      </c>
      <c r="C289" s="827" t="str">
        <f>IFERROR(INDEX(月例!$H$5:$H$788,MATCH("県社保協会費|S|9",月例!$S$5:$S$788,0)),"")</f>
        <v/>
      </c>
      <c r="D289" s="828" t="str">
        <f>IF(C289="","",D288-C289)</f>
        <v/>
      </c>
      <c r="E289" s="829" t="str">
        <f>IFERROR(INDEX(月例!$P$5:$P$788,MATCH("県社保協会費|S|9",月例!$S$5:$S$788,0)),"")</f>
        <v/>
      </c>
      <c r="F289" s="825" t="str">
        <f>IFERROR(INDEX(月例!$A$5:$A$788,MATCH("事務費負担金払込金|S|9",月例!$S$5:$S$788,0)),"")</f>
        <v/>
      </c>
      <c r="G289" s="826" t="str">
        <f>IFERROR(INDEX(月例!$E$5:$E$788,MATCH("事務費負担金払込金|S|9",月例!$S$5:$S$788,0)),"")</f>
        <v/>
      </c>
      <c r="H289" s="827" t="str">
        <f>IFERROR(INDEX(月例!$H$5:$H$788,MATCH("事務費負担金払込金|S|9",月例!$S$5:$S$788,0)),"")</f>
        <v/>
      </c>
      <c r="I289" s="828" t="str">
        <f>IF(H289="","",I288-H289)</f>
        <v/>
      </c>
      <c r="J289" s="829" t="str">
        <f>IFERROR(INDEX(月例!$P$5:$P$788,MATCH("事務費負担金払込金|S|9",月例!$S$5:$S$788,0)),"")</f>
        <v/>
      </c>
      <c r="K289" s="825" t="str">
        <f>IFERROR(INDEX(月例!$A$5:$A$788,MATCH("雑費|S|9",月例!$S$5:$S$788,0)),"")</f>
        <v/>
      </c>
      <c r="L289" s="826" t="str">
        <f>IFERROR(INDEX(月例!$E$5:$E$788,MATCH("雑費|S|9",月例!$S$5:$S$788,0)),"")</f>
        <v/>
      </c>
      <c r="M289" s="827" t="str">
        <f>IFERROR(INDEX(月例!$H$5:$H$788,MATCH("雑費|S|9",月例!$S$5:$S$788,0)),"")</f>
        <v/>
      </c>
      <c r="N289" s="828" t="str">
        <f>IF(M289="","",N288-M289)</f>
        <v/>
      </c>
      <c r="O289" s="829" t="str">
        <f>IFERROR(INDEX(月例!$P$5:$P$788,MATCH("雑費|S|9",月例!$S$5:$S$788,0)),"")</f>
        <v/>
      </c>
      <c r="P289" s="825" t="str">
        <f>IFERROR(INDEX(月例!$A$5:$A$788,MATCH("減価償却費|S|9",月例!$S$5:$S$788,0)),"")</f>
        <v/>
      </c>
      <c r="Q289" s="826" t="str">
        <f>IFERROR(INDEX(月例!$E$5:$E$788,MATCH("減価償却費|S|9",月例!$S$5:$S$788,0)),"")</f>
        <v/>
      </c>
      <c r="R289" s="827" t="str">
        <f>IFERROR(INDEX(月例!$H$5:$H$788,MATCH("減価償却費|S|9",月例!$S$5:$S$788,0)),"")</f>
        <v/>
      </c>
      <c r="S289" s="828" t="str">
        <f>IF(R289="","",S288-R289)</f>
        <v/>
      </c>
      <c r="T289" s="829" t="str">
        <f>IFERROR(INDEX(月例!$P$5:$P$788,MATCH("減価償却費|S|9",月例!$S$5:$S$788,0)),"")</f>
        <v/>
      </c>
    </row>
    <row r="290">
      <c r="A290" s="825" t="str">
        <f>IFERROR(INDEX(月例!$A$5:$A$788,MATCH("県社保協会費|S|10",月例!$S$5:$S$788,0)),"")</f>
        <v/>
      </c>
      <c r="B290" s="826" t="str">
        <f>IFERROR(INDEX(月例!$E$5:$E$788,MATCH("県社保協会費|S|10",月例!$S$5:$S$788,0)),"")</f>
        <v/>
      </c>
      <c r="C290" s="827" t="str">
        <f>IFERROR(INDEX(月例!$H$5:$H$788,MATCH("県社保協会費|S|10",月例!$S$5:$S$788,0)),"")</f>
        <v/>
      </c>
      <c r="D290" s="828" t="str">
        <f>IF(C290="","",D289-C290)</f>
        <v/>
      </c>
      <c r="E290" s="829" t="str">
        <f>IFERROR(INDEX(月例!$P$5:$P$788,MATCH("県社保協会費|S|10",月例!$S$5:$S$788,0)),"")</f>
        <v/>
      </c>
      <c r="F290" s="825" t="str">
        <f>IFERROR(INDEX(月例!$A$5:$A$788,MATCH("事務費負担金払込金|S|10",月例!$S$5:$S$788,0)),"")</f>
        <v/>
      </c>
      <c r="G290" s="826" t="str">
        <f>IFERROR(INDEX(月例!$E$5:$E$788,MATCH("事務費負担金払込金|S|10",月例!$S$5:$S$788,0)),"")</f>
        <v/>
      </c>
      <c r="H290" s="827" t="str">
        <f>IFERROR(INDEX(月例!$H$5:$H$788,MATCH("事務費負担金払込金|S|10",月例!$S$5:$S$788,0)),"")</f>
        <v/>
      </c>
      <c r="I290" s="828" t="str">
        <f>IF(H290="","",I289-H290)</f>
        <v/>
      </c>
      <c r="J290" s="829" t="str">
        <f>IFERROR(INDEX(月例!$P$5:$P$788,MATCH("事務費負担金払込金|S|10",月例!$S$5:$S$788,0)),"")</f>
        <v/>
      </c>
      <c r="K290" s="825" t="str">
        <f>IFERROR(INDEX(月例!$A$5:$A$788,MATCH("雑費|S|10",月例!$S$5:$S$788,0)),"")</f>
        <v/>
      </c>
      <c r="L290" s="826" t="str">
        <f>IFERROR(INDEX(月例!$E$5:$E$788,MATCH("雑費|S|10",月例!$S$5:$S$788,0)),"")</f>
        <v/>
      </c>
      <c r="M290" s="827" t="str">
        <f>IFERROR(INDEX(月例!$H$5:$H$788,MATCH("雑費|S|10",月例!$S$5:$S$788,0)),"")</f>
        <v/>
      </c>
      <c r="N290" s="828" t="str">
        <f>IF(M290="","",N289-M290)</f>
        <v/>
      </c>
      <c r="O290" s="829" t="str">
        <f>IFERROR(INDEX(月例!$P$5:$P$788,MATCH("雑費|S|10",月例!$S$5:$S$788,0)),"")</f>
        <v/>
      </c>
      <c r="P290" s="825" t="str">
        <f>IFERROR(INDEX(月例!$A$5:$A$788,MATCH("減価償却費|S|10",月例!$S$5:$S$788,0)),"")</f>
        <v/>
      </c>
      <c r="Q290" s="826" t="str">
        <f>IFERROR(INDEX(月例!$E$5:$E$788,MATCH("減価償却費|S|10",月例!$S$5:$S$788,0)),"")</f>
        <v/>
      </c>
      <c r="R290" s="827" t="str">
        <f>IFERROR(INDEX(月例!$H$5:$H$788,MATCH("減価償却費|S|10",月例!$S$5:$S$788,0)),"")</f>
        <v/>
      </c>
      <c r="S290" s="828" t="str">
        <f>IF(R290="","",S289-R290)</f>
        <v/>
      </c>
      <c r="T290" s="829" t="str">
        <f>IFERROR(INDEX(月例!$P$5:$P$788,MATCH("減価償却費|S|10",月例!$S$5:$S$788,0)),"")</f>
        <v/>
      </c>
    </row>
    <row r="291">
      <c r="A291" s="825" t="str">
        <f>IFERROR(INDEX(月例!$A$5:$A$788,MATCH("県社保協会費|S|11",月例!$S$5:$S$788,0)),"")</f>
        <v/>
      </c>
      <c r="B291" s="826" t="str">
        <f>IFERROR(INDEX(月例!$E$5:$E$788,MATCH("県社保協会費|S|11",月例!$S$5:$S$788,0)),"")</f>
        <v/>
      </c>
      <c r="C291" s="827" t="str">
        <f>IFERROR(INDEX(月例!$H$5:$H$788,MATCH("県社保協会費|S|11",月例!$S$5:$S$788,0)),"")</f>
        <v/>
      </c>
      <c r="D291" s="828" t="str">
        <f>IF(C291="","",D290-C291)</f>
        <v/>
      </c>
      <c r="E291" s="829" t="str">
        <f>IFERROR(INDEX(月例!$P$5:$P$788,MATCH("県社保協会費|S|11",月例!$S$5:$S$788,0)),"")</f>
        <v/>
      </c>
      <c r="F291" s="825" t="str">
        <f>IFERROR(INDEX(月例!$A$5:$A$788,MATCH("事務費負担金払込金|S|11",月例!$S$5:$S$788,0)),"")</f>
        <v/>
      </c>
      <c r="G291" s="826" t="str">
        <f>IFERROR(INDEX(月例!$E$5:$E$788,MATCH("事務費負担金払込金|S|11",月例!$S$5:$S$788,0)),"")</f>
        <v/>
      </c>
      <c r="H291" s="827" t="str">
        <f>IFERROR(INDEX(月例!$H$5:$H$788,MATCH("事務費負担金払込金|S|11",月例!$S$5:$S$788,0)),"")</f>
        <v/>
      </c>
      <c r="I291" s="828" t="str">
        <f>IF(H291="","",I290-H291)</f>
        <v/>
      </c>
      <c r="J291" s="829" t="str">
        <f>IFERROR(INDEX(月例!$P$5:$P$788,MATCH("事務費負担金払込金|S|11",月例!$S$5:$S$788,0)),"")</f>
        <v/>
      </c>
      <c r="K291" s="825" t="str">
        <f>IFERROR(INDEX(月例!$A$5:$A$788,MATCH("雑費|S|11",月例!$S$5:$S$788,0)),"")</f>
        <v/>
      </c>
      <c r="L291" s="826" t="str">
        <f>IFERROR(INDEX(月例!$E$5:$E$788,MATCH("雑費|S|11",月例!$S$5:$S$788,0)),"")</f>
        <v/>
      </c>
      <c r="M291" s="827" t="str">
        <f>IFERROR(INDEX(月例!$H$5:$H$788,MATCH("雑費|S|11",月例!$S$5:$S$788,0)),"")</f>
        <v/>
      </c>
      <c r="N291" s="828" t="str">
        <f>IF(M291="","",N290-M291)</f>
        <v/>
      </c>
      <c r="O291" s="829" t="str">
        <f>IFERROR(INDEX(月例!$P$5:$P$788,MATCH("雑費|S|11",月例!$S$5:$S$788,0)),"")</f>
        <v/>
      </c>
      <c r="P291" s="825" t="str">
        <f>IFERROR(INDEX(月例!$A$5:$A$788,MATCH("減価償却費|S|11",月例!$S$5:$S$788,0)),"")</f>
        <v/>
      </c>
      <c r="Q291" s="826" t="str">
        <f>IFERROR(INDEX(月例!$E$5:$E$788,MATCH("減価償却費|S|11",月例!$S$5:$S$788,0)),"")</f>
        <v/>
      </c>
      <c r="R291" s="827" t="str">
        <f>IFERROR(INDEX(月例!$H$5:$H$788,MATCH("減価償却費|S|11",月例!$S$5:$S$788,0)),"")</f>
        <v/>
      </c>
      <c r="S291" s="828" t="str">
        <f>IF(R291="","",S290-R291)</f>
        <v/>
      </c>
      <c r="T291" s="829" t="str">
        <f>IFERROR(INDEX(月例!$P$5:$P$788,MATCH("減価償却費|S|11",月例!$S$5:$S$788,0)),"")</f>
        <v/>
      </c>
    </row>
    <row r="292">
      <c r="A292" s="825" t="str">
        <f>IFERROR(INDEX(月例!$A$5:$A$788,MATCH("県社保協会費|S|12",月例!$S$5:$S$788,0)),"")</f>
        <v/>
      </c>
      <c r="B292" s="826" t="str">
        <f>IFERROR(INDEX(月例!$E$5:$E$788,MATCH("県社保協会費|S|12",月例!$S$5:$S$788,0)),"")</f>
        <v/>
      </c>
      <c r="C292" s="827" t="str">
        <f>IFERROR(INDEX(月例!$H$5:$H$788,MATCH("県社保協会費|S|12",月例!$S$5:$S$788,0)),"")</f>
        <v/>
      </c>
      <c r="D292" s="828" t="str">
        <f>IF(C292="","",D291-C292)</f>
        <v/>
      </c>
      <c r="E292" s="829" t="str">
        <f>IFERROR(INDEX(月例!$P$5:$P$788,MATCH("県社保協会費|S|12",月例!$S$5:$S$788,0)),"")</f>
        <v/>
      </c>
      <c r="F292" s="825" t="str">
        <f>IFERROR(INDEX(月例!$A$5:$A$788,MATCH("事務費負担金払込金|S|12",月例!$S$5:$S$788,0)),"")</f>
        <v/>
      </c>
      <c r="G292" s="826" t="str">
        <f>IFERROR(INDEX(月例!$E$5:$E$788,MATCH("事務費負担金払込金|S|12",月例!$S$5:$S$788,0)),"")</f>
        <v/>
      </c>
      <c r="H292" s="827" t="str">
        <f>IFERROR(INDEX(月例!$H$5:$H$788,MATCH("事務費負担金払込金|S|12",月例!$S$5:$S$788,0)),"")</f>
        <v/>
      </c>
      <c r="I292" s="828" t="str">
        <f>IF(H292="","",I291-H292)</f>
        <v/>
      </c>
      <c r="J292" s="829" t="str">
        <f>IFERROR(INDEX(月例!$P$5:$P$788,MATCH("事務費負担金払込金|S|12",月例!$S$5:$S$788,0)),"")</f>
        <v/>
      </c>
      <c r="K292" s="825" t="str">
        <f>IFERROR(INDEX(月例!$A$5:$A$788,MATCH("雑費|S|12",月例!$S$5:$S$788,0)),"")</f>
        <v/>
      </c>
      <c r="L292" s="826" t="str">
        <f>IFERROR(INDEX(月例!$E$5:$E$788,MATCH("雑費|S|12",月例!$S$5:$S$788,0)),"")</f>
        <v/>
      </c>
      <c r="M292" s="827" t="str">
        <f>IFERROR(INDEX(月例!$H$5:$H$788,MATCH("雑費|S|12",月例!$S$5:$S$788,0)),"")</f>
        <v/>
      </c>
      <c r="N292" s="828" t="str">
        <f>IF(M292="","",N291-M292)</f>
        <v/>
      </c>
      <c r="O292" s="829" t="str">
        <f>IFERROR(INDEX(月例!$P$5:$P$788,MATCH("雑費|S|12",月例!$S$5:$S$788,0)),"")</f>
        <v/>
      </c>
      <c r="P292" s="825" t="str">
        <f>IFERROR(INDEX(月例!$A$5:$A$788,MATCH("減価償却費|S|12",月例!$S$5:$S$788,0)),"")</f>
        <v/>
      </c>
      <c r="Q292" s="826" t="str">
        <f>IFERROR(INDEX(月例!$E$5:$E$788,MATCH("減価償却費|S|12",月例!$S$5:$S$788,0)),"")</f>
        <v/>
      </c>
      <c r="R292" s="827" t="str">
        <f>IFERROR(INDEX(月例!$H$5:$H$788,MATCH("減価償却費|S|12",月例!$S$5:$S$788,0)),"")</f>
        <v/>
      </c>
      <c r="S292" s="828" t="str">
        <f>IF(R292="","",S291-R292)</f>
        <v/>
      </c>
      <c r="T292" s="829" t="str">
        <f>IFERROR(INDEX(月例!$P$5:$P$788,MATCH("減価償却費|S|12",月例!$S$5:$S$788,0)),"")</f>
        <v/>
      </c>
    </row>
    <row r="296">
      <c r="B296" s="502" t="inlineStr">
        <is>
          <t>○器具及び備品</t>
        </is>
      </c>
      <c r="D296" s="503" t="inlineStr">
        <is>
          <t>業務（短）</t>
        </is>
      </c>
      <c r="E296" s="824" t="str">
        <f>IF(COUNTIF(月例!$S$5:$S$788,"器具及び備品|S|*")&gt;12,"行不足","")</f>
        <v/>
      </c>
      <c r="G296" s="502" t="inlineStr">
        <is>
          <t>○前期損益修正損</t>
        </is>
      </c>
      <c r="I296" s="503" t="inlineStr">
        <is>
          <t>業務（短）</t>
        </is>
      </c>
      <c r="J296" s="824" t="str">
        <f>IF(COUNTIF(月例!$S$5:$S$788,"前期損益修正損|S|*")&gt;12,"行不足","")</f>
        <v/>
      </c>
      <c r="L296" s="502" t="inlineStr">
        <is>
          <t>○立替金</t>
        </is>
      </c>
      <c r="N296" s="503" t="inlineStr">
        <is>
          <t>業務（短）</t>
        </is>
      </c>
      <c r="O296" s="824" t="str">
        <f>IF(COUNTIF(月例!$S$5:$S$788,"立替金|S|*")&gt;12,"行不足","")</f>
        <v/>
      </c>
    </row>
    <row r="297">
      <c r="A297" s="100" t="inlineStr">
        <is>
          <t>支出日</t>
        </is>
      </c>
      <c r="B297" s="100" t="inlineStr">
        <is>
          <t>摘要</t>
        </is>
      </c>
      <c r="C297" s="100" t="inlineStr">
        <is>
          <t>支出</t>
        </is>
      </c>
      <c r="D297" s="100" t="inlineStr">
        <is>
          <t>累計</t>
        </is>
      </c>
      <c r="E297" s="100" t="inlineStr">
        <is>
          <t>状態</t>
        </is>
      </c>
      <c r="F297" s="100" t="inlineStr">
        <is>
          <t>支出日</t>
        </is>
      </c>
      <c r="G297" s="100" t="inlineStr">
        <is>
          <t>摘要</t>
        </is>
      </c>
      <c r="H297" s="100" t="inlineStr">
        <is>
          <t>支出</t>
        </is>
      </c>
      <c r="I297" s="100" t="inlineStr">
        <is>
          <t>累計</t>
        </is>
      </c>
      <c r="J297" s="100" t="inlineStr">
        <is>
          <t>状態</t>
        </is>
      </c>
      <c r="K297" s="100" t="inlineStr">
        <is>
          <t>支出日</t>
        </is>
      </c>
      <c r="L297" s="100" t="inlineStr">
        <is>
          <t>摘要</t>
        </is>
      </c>
      <c r="M297" s="100" t="inlineStr">
        <is>
          <t>支出</t>
        </is>
      </c>
      <c r="N297" s="100" t="inlineStr">
        <is>
          <t>累計</t>
        </is>
      </c>
      <c r="O297" s="100" t="inlineStr">
        <is>
          <t>状態</t>
        </is>
      </c>
    </row>
    <row r="298">
      <c r="A298" s="825" t="n"/>
      <c r="B298" s="826" t="inlineStr">
        <is>
          <t>（予算なし）</t>
        </is>
      </c>
      <c r="C298" s="827" t="n"/>
      <c r="D298" s="828" t="n">
        <v>0</v>
      </c>
      <c r="F298" s="825" t="n"/>
      <c r="G298" s="826" t="inlineStr">
        <is>
          <t>（予算なし）</t>
        </is>
      </c>
      <c r="H298" s="827" t="n"/>
      <c r="I298" s="828" t="n">
        <v>0</v>
      </c>
      <c r="K298" s="825" t="n"/>
      <c r="L298" s="826" t="inlineStr">
        <is>
          <t>（予算なし）</t>
        </is>
      </c>
      <c r="M298" s="827" t="n"/>
      <c r="N298" s="828" t="n">
        <v>0</v>
      </c>
    </row>
    <row r="299">
      <c r="A299" s="825">
        <f>IFERROR(INDEX(月例!$A$5:$A$788,MATCH("器具及び備品|S|1",月例!$S$5:$S$788,0)),"")</f>
        <v>44804</v>
      </c>
      <c r="B299" s="826" t="str">
        <f>IFERROR(INDEX(月例!$E$5:$E$788,MATCH("器具及び備品|S|1",月例!$S$5:$S$788,0)),"")</f>
        <v>基幹システム用カードプリンタ（SIGMA DS3/両面/125枚ホッパー　1個　ほか）</v>
      </c>
      <c r="C299" s="827">
        <f>IFERROR(INDEX(月例!$H$5:$H$788,MATCH("器具及び備品|S|1",月例!$S$5:$S$788,0)),"")</f>
        <v>723140</v>
      </c>
      <c r="D299" s="828">
        <f>IF(C299="","",D298+C299)</f>
        <v>723140</v>
      </c>
      <c r="E299" s="829" t="str">
        <f>IFERROR(INDEX(月例!$P$5:$P$788,MATCH("器具及び備品|S|1",月例!$S$5:$S$788,0)),"")</f>
        <v>昨年実績</v>
      </c>
      <c r="F299" s="825" t="str">
        <f>IFERROR(INDEX(月例!$A$5:$A$788,MATCH("前期損益修正損|S|1",月例!$S$5:$S$788,0)),"")</f>
        <v/>
      </c>
      <c r="G299" s="826" t="str">
        <f>IFERROR(INDEX(月例!$E$5:$E$788,MATCH("前期損益修正損|S|1",月例!$S$5:$S$788,0)),"")</f>
        <v/>
      </c>
      <c r="H299" s="827" t="str">
        <f>IFERROR(INDEX(月例!$H$5:$H$788,MATCH("前期損益修正損|S|1",月例!$S$5:$S$788,0)),"")</f>
        <v/>
      </c>
      <c r="I299" s="828" t="str">
        <f>IF(H299="","",I298+H299)</f>
        <v/>
      </c>
      <c r="J299" s="829" t="str">
        <f>IFERROR(INDEX(月例!$P$5:$P$788,MATCH("前期損益修正損|S|1",月例!$S$5:$S$788,0)),"")</f>
        <v/>
      </c>
      <c r="K299" s="825" t="str">
        <f>IFERROR(INDEX(月例!$A$5:$A$788,MATCH("立替金|S|1",月例!$S$5:$S$788,0)),"")</f>
        <v/>
      </c>
      <c r="L299" s="826" t="str">
        <f>IFERROR(INDEX(月例!$E$5:$E$788,MATCH("立替金|S|1",月例!$S$5:$S$788,0)),"")</f>
        <v/>
      </c>
      <c r="M299" s="827" t="str">
        <f>IFERROR(INDEX(月例!$H$5:$H$788,MATCH("立替金|S|1",月例!$S$5:$S$788,0)),"")</f>
        <v/>
      </c>
      <c r="N299" s="828" t="str">
        <f>IF(M299="","",N298+M299)</f>
        <v/>
      </c>
      <c r="O299" s="829" t="str">
        <f>IFERROR(INDEX(月例!$P$5:$P$788,MATCH("立替金|S|1",月例!$S$5:$S$788,0)),"")</f>
        <v/>
      </c>
    </row>
    <row r="300">
      <c r="A300" s="825">
        <f>IFERROR(INDEX(月例!$A$5:$A$788,MATCH("器具及び備品|S|2",月例!$S$5:$S$788,0)),"")</f>
        <v>45016</v>
      </c>
      <c r="B300" s="826" t="str">
        <f>IFERROR(INDEX(月例!$E$5:$E$788,MATCH("器具及び備品|S|2",月例!$S$5:$S$788,0)),"")</f>
        <v>個人番号管理システム端末 ハードウェア</v>
      </c>
      <c r="C300" s="827">
        <f>IFERROR(INDEX(月例!$H$5:$H$788,MATCH("器具及び備品|S|2",月例!$S$5:$S$788,0)),"")</f>
        <v>127710</v>
      </c>
      <c r="D300" s="828">
        <f>IF(C300="","",D299+C300)</f>
        <v>850850</v>
      </c>
      <c r="E300" s="829" t="str">
        <f>IFERROR(INDEX(月例!$P$5:$P$788,MATCH("器具及び備品|S|2",月例!$S$5:$S$788,0)),"")</f>
        <v>昨年実績</v>
      </c>
      <c r="F300" s="825" t="str">
        <f>IFERROR(INDEX(月例!$A$5:$A$788,MATCH("前期損益修正損|S|2",月例!$S$5:$S$788,0)),"")</f>
        <v/>
      </c>
      <c r="G300" s="826" t="str">
        <f>IFERROR(INDEX(月例!$E$5:$E$788,MATCH("前期損益修正損|S|2",月例!$S$5:$S$788,0)),"")</f>
        <v/>
      </c>
      <c r="H300" s="827" t="str">
        <f>IFERROR(INDEX(月例!$H$5:$H$788,MATCH("前期損益修正損|S|2",月例!$S$5:$S$788,0)),"")</f>
        <v/>
      </c>
      <c r="I300" s="828" t="str">
        <f>IF(H300="","",I299+H300)</f>
        <v/>
      </c>
      <c r="J300" s="829" t="str">
        <f>IFERROR(INDEX(月例!$P$5:$P$788,MATCH("前期損益修正損|S|2",月例!$S$5:$S$788,0)),"")</f>
        <v/>
      </c>
      <c r="K300" s="825" t="str">
        <f>IFERROR(INDEX(月例!$A$5:$A$788,MATCH("立替金|S|2",月例!$S$5:$S$788,0)),"")</f>
        <v/>
      </c>
      <c r="L300" s="826" t="str">
        <f>IFERROR(INDEX(月例!$E$5:$E$788,MATCH("立替金|S|2",月例!$S$5:$S$788,0)),"")</f>
        <v/>
      </c>
      <c r="M300" s="827" t="str">
        <f>IFERROR(INDEX(月例!$H$5:$H$788,MATCH("立替金|S|2",月例!$S$5:$S$788,0)),"")</f>
        <v/>
      </c>
      <c r="N300" s="828" t="str">
        <f>IF(M300="","",N299+M300)</f>
        <v/>
      </c>
      <c r="O300" s="829" t="str">
        <f>IFERROR(INDEX(月例!$P$5:$P$788,MATCH("立替金|S|2",月例!$S$5:$S$788,0)),"")</f>
        <v/>
      </c>
    </row>
    <row r="301">
      <c r="A301" s="825" t="str">
        <f>IFERROR(INDEX(月例!$A$5:$A$788,MATCH("器具及び備品|S|3",月例!$S$5:$S$788,0)),"")</f>
        <v/>
      </c>
      <c r="B301" s="826" t="str">
        <f>IFERROR(INDEX(月例!$E$5:$E$788,MATCH("器具及び備品|S|3",月例!$S$5:$S$788,0)),"")</f>
        <v/>
      </c>
      <c r="C301" s="827" t="str">
        <f>IFERROR(INDEX(月例!$H$5:$H$788,MATCH("器具及び備品|S|3",月例!$S$5:$S$788,0)),"")</f>
        <v/>
      </c>
      <c r="D301" s="828" t="str">
        <f>IF(C301="","",D300+C301)</f>
        <v/>
      </c>
      <c r="E301" s="829" t="str">
        <f>IFERROR(INDEX(月例!$P$5:$P$788,MATCH("器具及び備品|S|3",月例!$S$5:$S$788,0)),"")</f>
        <v/>
      </c>
      <c r="F301" s="825" t="str">
        <f>IFERROR(INDEX(月例!$A$5:$A$788,MATCH("前期損益修正損|S|3",月例!$S$5:$S$788,0)),"")</f>
        <v/>
      </c>
      <c r="G301" s="826" t="str">
        <f>IFERROR(INDEX(月例!$E$5:$E$788,MATCH("前期損益修正損|S|3",月例!$S$5:$S$788,0)),"")</f>
        <v/>
      </c>
      <c r="H301" s="827" t="str">
        <f>IFERROR(INDEX(月例!$H$5:$H$788,MATCH("前期損益修正損|S|3",月例!$S$5:$S$788,0)),"")</f>
        <v/>
      </c>
      <c r="I301" s="828" t="str">
        <f>IF(H301="","",I300+H301)</f>
        <v/>
      </c>
      <c r="J301" s="829" t="str">
        <f>IFERROR(INDEX(月例!$P$5:$P$788,MATCH("前期損益修正損|S|3",月例!$S$5:$S$788,0)),"")</f>
        <v/>
      </c>
      <c r="K301" s="825" t="str">
        <f>IFERROR(INDEX(月例!$A$5:$A$788,MATCH("立替金|S|3",月例!$S$5:$S$788,0)),"")</f>
        <v/>
      </c>
      <c r="L301" s="826" t="str">
        <f>IFERROR(INDEX(月例!$E$5:$E$788,MATCH("立替金|S|3",月例!$S$5:$S$788,0)),"")</f>
        <v/>
      </c>
      <c r="M301" s="827" t="str">
        <f>IFERROR(INDEX(月例!$H$5:$H$788,MATCH("立替金|S|3",月例!$S$5:$S$788,0)),"")</f>
        <v/>
      </c>
      <c r="N301" s="828" t="str">
        <f>IF(M301="","",N300+M301)</f>
        <v/>
      </c>
      <c r="O301" s="829" t="str">
        <f>IFERROR(INDEX(月例!$P$5:$P$788,MATCH("立替金|S|3",月例!$S$5:$S$788,0)),"")</f>
        <v/>
      </c>
    </row>
    <row r="302">
      <c r="A302" s="825" t="str">
        <f>IFERROR(INDEX(月例!$A$5:$A$788,MATCH("器具及び備品|S|4",月例!$S$5:$S$788,0)),"")</f>
        <v/>
      </c>
      <c r="B302" s="826" t="str">
        <f>IFERROR(INDEX(月例!$E$5:$E$788,MATCH("器具及び備品|S|4",月例!$S$5:$S$788,0)),"")</f>
        <v/>
      </c>
      <c r="C302" s="827" t="str">
        <f>IFERROR(INDEX(月例!$H$5:$H$788,MATCH("器具及び備品|S|4",月例!$S$5:$S$788,0)),"")</f>
        <v/>
      </c>
      <c r="D302" s="828" t="str">
        <f>IF(C302="","",D301+C302)</f>
        <v/>
      </c>
      <c r="E302" s="829" t="str">
        <f>IFERROR(INDEX(月例!$P$5:$P$788,MATCH("器具及び備品|S|4",月例!$S$5:$S$788,0)),"")</f>
        <v/>
      </c>
      <c r="F302" s="825" t="str">
        <f>IFERROR(INDEX(月例!$A$5:$A$788,MATCH("前期損益修正損|S|4",月例!$S$5:$S$788,0)),"")</f>
        <v/>
      </c>
      <c r="G302" s="826" t="str">
        <f>IFERROR(INDEX(月例!$E$5:$E$788,MATCH("前期損益修正損|S|4",月例!$S$5:$S$788,0)),"")</f>
        <v/>
      </c>
      <c r="H302" s="827" t="str">
        <f>IFERROR(INDEX(月例!$H$5:$H$788,MATCH("前期損益修正損|S|4",月例!$S$5:$S$788,0)),"")</f>
        <v/>
      </c>
      <c r="I302" s="828" t="str">
        <f>IF(H302="","",I301+H302)</f>
        <v/>
      </c>
      <c r="J302" s="829" t="str">
        <f>IFERROR(INDEX(月例!$P$5:$P$788,MATCH("前期損益修正損|S|4",月例!$S$5:$S$788,0)),"")</f>
        <v/>
      </c>
      <c r="K302" s="825" t="str">
        <f>IFERROR(INDEX(月例!$A$5:$A$788,MATCH("立替金|S|4",月例!$S$5:$S$788,0)),"")</f>
        <v/>
      </c>
      <c r="L302" s="826" t="str">
        <f>IFERROR(INDEX(月例!$E$5:$E$788,MATCH("立替金|S|4",月例!$S$5:$S$788,0)),"")</f>
        <v/>
      </c>
      <c r="M302" s="827" t="str">
        <f>IFERROR(INDEX(月例!$H$5:$H$788,MATCH("立替金|S|4",月例!$S$5:$S$788,0)),"")</f>
        <v/>
      </c>
      <c r="N302" s="828" t="str">
        <f>IF(M302="","",N301+M302)</f>
        <v/>
      </c>
      <c r="O302" s="829" t="str">
        <f>IFERROR(INDEX(月例!$P$5:$P$788,MATCH("立替金|S|4",月例!$S$5:$S$788,0)),"")</f>
        <v/>
      </c>
    </row>
    <row r="303">
      <c r="A303" s="825" t="str">
        <f>IFERROR(INDEX(月例!$A$5:$A$788,MATCH("器具及び備品|S|5",月例!$S$5:$S$788,0)),"")</f>
        <v/>
      </c>
      <c r="B303" s="826" t="str">
        <f>IFERROR(INDEX(月例!$E$5:$E$788,MATCH("器具及び備品|S|5",月例!$S$5:$S$788,0)),"")</f>
        <v/>
      </c>
      <c r="C303" s="827" t="str">
        <f>IFERROR(INDEX(月例!$H$5:$H$788,MATCH("器具及び備品|S|5",月例!$S$5:$S$788,0)),"")</f>
        <v/>
      </c>
      <c r="D303" s="828" t="str">
        <f>IF(C303="","",D302+C303)</f>
        <v/>
      </c>
      <c r="E303" s="829" t="str">
        <f>IFERROR(INDEX(月例!$P$5:$P$788,MATCH("器具及び備品|S|5",月例!$S$5:$S$788,0)),"")</f>
        <v/>
      </c>
      <c r="F303" s="825" t="str">
        <f>IFERROR(INDEX(月例!$A$5:$A$788,MATCH("前期損益修正損|S|5",月例!$S$5:$S$788,0)),"")</f>
        <v/>
      </c>
      <c r="G303" s="826" t="str">
        <f>IFERROR(INDEX(月例!$E$5:$E$788,MATCH("前期損益修正損|S|5",月例!$S$5:$S$788,0)),"")</f>
        <v/>
      </c>
      <c r="H303" s="827" t="str">
        <f>IFERROR(INDEX(月例!$H$5:$H$788,MATCH("前期損益修正損|S|5",月例!$S$5:$S$788,0)),"")</f>
        <v/>
      </c>
      <c r="I303" s="828" t="str">
        <f>IF(H303="","",I302+H303)</f>
        <v/>
      </c>
      <c r="J303" s="829" t="str">
        <f>IFERROR(INDEX(月例!$P$5:$P$788,MATCH("前期損益修正損|S|5",月例!$S$5:$S$788,0)),"")</f>
        <v/>
      </c>
      <c r="K303" s="825" t="str">
        <f>IFERROR(INDEX(月例!$A$5:$A$788,MATCH("立替金|S|5",月例!$S$5:$S$788,0)),"")</f>
        <v/>
      </c>
      <c r="L303" s="826" t="str">
        <f>IFERROR(INDEX(月例!$E$5:$E$788,MATCH("立替金|S|5",月例!$S$5:$S$788,0)),"")</f>
        <v/>
      </c>
      <c r="M303" s="827" t="str">
        <f>IFERROR(INDEX(月例!$H$5:$H$788,MATCH("立替金|S|5",月例!$S$5:$S$788,0)),"")</f>
        <v/>
      </c>
      <c r="N303" s="828" t="str">
        <f>IF(M303="","",N302+M303)</f>
        <v/>
      </c>
      <c r="O303" s="829" t="str">
        <f>IFERROR(INDEX(月例!$P$5:$P$788,MATCH("立替金|S|5",月例!$S$5:$S$788,0)),"")</f>
        <v/>
      </c>
    </row>
    <row r="304">
      <c r="A304" s="825" t="str">
        <f>IFERROR(INDEX(月例!$A$5:$A$788,MATCH("器具及び備品|S|6",月例!$S$5:$S$788,0)),"")</f>
        <v/>
      </c>
      <c r="B304" s="826" t="str">
        <f>IFERROR(INDEX(月例!$E$5:$E$788,MATCH("器具及び備品|S|6",月例!$S$5:$S$788,0)),"")</f>
        <v/>
      </c>
      <c r="C304" s="827" t="str">
        <f>IFERROR(INDEX(月例!$H$5:$H$788,MATCH("器具及び備品|S|6",月例!$S$5:$S$788,0)),"")</f>
        <v/>
      </c>
      <c r="D304" s="828" t="str">
        <f>IF(C304="","",D303+C304)</f>
        <v/>
      </c>
      <c r="E304" s="829" t="str">
        <f>IFERROR(INDEX(月例!$P$5:$P$788,MATCH("器具及び備品|S|6",月例!$S$5:$S$788,0)),"")</f>
        <v/>
      </c>
      <c r="F304" s="825" t="str">
        <f>IFERROR(INDEX(月例!$A$5:$A$788,MATCH("前期損益修正損|S|6",月例!$S$5:$S$788,0)),"")</f>
        <v/>
      </c>
      <c r="G304" s="826" t="str">
        <f>IFERROR(INDEX(月例!$E$5:$E$788,MATCH("前期損益修正損|S|6",月例!$S$5:$S$788,0)),"")</f>
        <v/>
      </c>
      <c r="H304" s="827" t="str">
        <f>IFERROR(INDEX(月例!$H$5:$H$788,MATCH("前期損益修正損|S|6",月例!$S$5:$S$788,0)),"")</f>
        <v/>
      </c>
      <c r="I304" s="828" t="str">
        <f>IF(H304="","",I303+H304)</f>
        <v/>
      </c>
      <c r="J304" s="829" t="str">
        <f>IFERROR(INDEX(月例!$P$5:$P$788,MATCH("前期損益修正損|S|6",月例!$S$5:$S$788,0)),"")</f>
        <v/>
      </c>
      <c r="K304" s="825" t="str">
        <f>IFERROR(INDEX(月例!$A$5:$A$788,MATCH("立替金|S|6",月例!$S$5:$S$788,0)),"")</f>
        <v/>
      </c>
      <c r="L304" s="826" t="str">
        <f>IFERROR(INDEX(月例!$E$5:$E$788,MATCH("立替金|S|6",月例!$S$5:$S$788,0)),"")</f>
        <v/>
      </c>
      <c r="M304" s="827" t="str">
        <f>IFERROR(INDEX(月例!$H$5:$H$788,MATCH("立替金|S|6",月例!$S$5:$S$788,0)),"")</f>
        <v/>
      </c>
      <c r="N304" s="828" t="str">
        <f>IF(M304="","",N303+M304)</f>
        <v/>
      </c>
      <c r="O304" s="829" t="str">
        <f>IFERROR(INDEX(月例!$P$5:$P$788,MATCH("立替金|S|6",月例!$S$5:$S$788,0)),"")</f>
        <v/>
      </c>
    </row>
    <row r="305">
      <c r="A305" s="825" t="str">
        <f>IFERROR(INDEX(月例!$A$5:$A$788,MATCH("器具及び備品|S|7",月例!$S$5:$S$788,0)),"")</f>
        <v/>
      </c>
      <c r="B305" s="826" t="str">
        <f>IFERROR(INDEX(月例!$E$5:$E$788,MATCH("器具及び備品|S|7",月例!$S$5:$S$788,0)),"")</f>
        <v/>
      </c>
      <c r="C305" s="827" t="str">
        <f>IFERROR(INDEX(月例!$H$5:$H$788,MATCH("器具及び備品|S|7",月例!$S$5:$S$788,0)),"")</f>
        <v/>
      </c>
      <c r="D305" s="828" t="str">
        <f>IF(C305="","",D304+C305)</f>
        <v/>
      </c>
      <c r="E305" s="829" t="str">
        <f>IFERROR(INDEX(月例!$P$5:$P$788,MATCH("器具及び備品|S|7",月例!$S$5:$S$788,0)),"")</f>
        <v/>
      </c>
      <c r="F305" s="825" t="str">
        <f>IFERROR(INDEX(月例!$A$5:$A$788,MATCH("前期損益修正損|S|7",月例!$S$5:$S$788,0)),"")</f>
        <v/>
      </c>
      <c r="G305" s="826" t="str">
        <f>IFERROR(INDEX(月例!$E$5:$E$788,MATCH("前期損益修正損|S|7",月例!$S$5:$S$788,0)),"")</f>
        <v/>
      </c>
      <c r="H305" s="827" t="str">
        <f>IFERROR(INDEX(月例!$H$5:$H$788,MATCH("前期損益修正損|S|7",月例!$S$5:$S$788,0)),"")</f>
        <v/>
      </c>
      <c r="I305" s="828" t="str">
        <f>IF(H305="","",I304+H305)</f>
        <v/>
      </c>
      <c r="J305" s="829" t="str">
        <f>IFERROR(INDEX(月例!$P$5:$P$788,MATCH("前期損益修正損|S|7",月例!$S$5:$S$788,0)),"")</f>
        <v/>
      </c>
      <c r="K305" s="825" t="str">
        <f>IFERROR(INDEX(月例!$A$5:$A$788,MATCH("立替金|S|7",月例!$S$5:$S$788,0)),"")</f>
        <v/>
      </c>
      <c r="L305" s="826" t="str">
        <f>IFERROR(INDEX(月例!$E$5:$E$788,MATCH("立替金|S|7",月例!$S$5:$S$788,0)),"")</f>
        <v/>
      </c>
      <c r="M305" s="827" t="str">
        <f>IFERROR(INDEX(月例!$H$5:$H$788,MATCH("立替金|S|7",月例!$S$5:$S$788,0)),"")</f>
        <v/>
      </c>
      <c r="N305" s="828" t="str">
        <f>IF(M305="","",N304+M305)</f>
        <v/>
      </c>
      <c r="O305" s="829" t="str">
        <f>IFERROR(INDEX(月例!$P$5:$P$788,MATCH("立替金|S|7",月例!$S$5:$S$788,0)),"")</f>
        <v/>
      </c>
    </row>
    <row r="306">
      <c r="A306" s="825" t="str">
        <f>IFERROR(INDEX(月例!$A$5:$A$788,MATCH("器具及び備品|S|8",月例!$S$5:$S$788,0)),"")</f>
        <v/>
      </c>
      <c r="B306" s="826" t="str">
        <f>IFERROR(INDEX(月例!$E$5:$E$788,MATCH("器具及び備品|S|8",月例!$S$5:$S$788,0)),"")</f>
        <v/>
      </c>
      <c r="C306" s="827" t="str">
        <f>IFERROR(INDEX(月例!$H$5:$H$788,MATCH("器具及び備品|S|8",月例!$S$5:$S$788,0)),"")</f>
        <v/>
      </c>
      <c r="D306" s="828" t="str">
        <f>IF(C306="","",D305+C306)</f>
        <v/>
      </c>
      <c r="E306" s="829" t="str">
        <f>IFERROR(INDEX(月例!$P$5:$P$788,MATCH("器具及び備品|S|8",月例!$S$5:$S$788,0)),"")</f>
        <v/>
      </c>
      <c r="F306" s="825" t="str">
        <f>IFERROR(INDEX(月例!$A$5:$A$788,MATCH("前期損益修正損|S|8",月例!$S$5:$S$788,0)),"")</f>
        <v/>
      </c>
      <c r="G306" s="826" t="str">
        <f>IFERROR(INDEX(月例!$E$5:$E$788,MATCH("前期損益修正損|S|8",月例!$S$5:$S$788,0)),"")</f>
        <v/>
      </c>
      <c r="H306" s="827" t="str">
        <f>IFERROR(INDEX(月例!$H$5:$H$788,MATCH("前期損益修正損|S|8",月例!$S$5:$S$788,0)),"")</f>
        <v/>
      </c>
      <c r="I306" s="828" t="str">
        <f>IF(H306="","",I305+H306)</f>
        <v/>
      </c>
      <c r="J306" s="829" t="str">
        <f>IFERROR(INDEX(月例!$P$5:$P$788,MATCH("前期損益修正損|S|8",月例!$S$5:$S$788,0)),"")</f>
        <v/>
      </c>
      <c r="K306" s="825" t="str">
        <f>IFERROR(INDEX(月例!$A$5:$A$788,MATCH("立替金|S|8",月例!$S$5:$S$788,0)),"")</f>
        <v/>
      </c>
      <c r="L306" s="826" t="str">
        <f>IFERROR(INDEX(月例!$E$5:$E$788,MATCH("立替金|S|8",月例!$S$5:$S$788,0)),"")</f>
        <v/>
      </c>
      <c r="M306" s="827" t="str">
        <f>IFERROR(INDEX(月例!$H$5:$H$788,MATCH("立替金|S|8",月例!$S$5:$S$788,0)),"")</f>
        <v/>
      </c>
      <c r="N306" s="828" t="str">
        <f>IF(M306="","",N305+M306)</f>
        <v/>
      </c>
      <c r="O306" s="829" t="str">
        <f>IFERROR(INDEX(月例!$P$5:$P$788,MATCH("立替金|S|8",月例!$S$5:$S$788,0)),"")</f>
        <v/>
      </c>
    </row>
    <row r="307">
      <c r="A307" s="825" t="str">
        <f>IFERROR(INDEX(月例!$A$5:$A$788,MATCH("器具及び備品|S|9",月例!$S$5:$S$788,0)),"")</f>
        <v/>
      </c>
      <c r="B307" s="826" t="str">
        <f>IFERROR(INDEX(月例!$E$5:$E$788,MATCH("器具及び備品|S|9",月例!$S$5:$S$788,0)),"")</f>
        <v/>
      </c>
      <c r="C307" s="827" t="str">
        <f>IFERROR(INDEX(月例!$H$5:$H$788,MATCH("器具及び備品|S|9",月例!$S$5:$S$788,0)),"")</f>
        <v/>
      </c>
      <c r="D307" s="828" t="str">
        <f>IF(C307="","",D306+C307)</f>
        <v/>
      </c>
      <c r="E307" s="829" t="str">
        <f>IFERROR(INDEX(月例!$P$5:$P$788,MATCH("器具及び備品|S|9",月例!$S$5:$S$788,0)),"")</f>
        <v/>
      </c>
      <c r="F307" s="825" t="str">
        <f>IFERROR(INDEX(月例!$A$5:$A$788,MATCH("前期損益修正損|S|9",月例!$S$5:$S$788,0)),"")</f>
        <v/>
      </c>
      <c r="G307" s="826" t="str">
        <f>IFERROR(INDEX(月例!$E$5:$E$788,MATCH("前期損益修正損|S|9",月例!$S$5:$S$788,0)),"")</f>
        <v/>
      </c>
      <c r="H307" s="827" t="str">
        <f>IFERROR(INDEX(月例!$H$5:$H$788,MATCH("前期損益修正損|S|9",月例!$S$5:$S$788,0)),"")</f>
        <v/>
      </c>
      <c r="I307" s="828" t="str">
        <f>IF(H307="","",I306+H307)</f>
        <v/>
      </c>
      <c r="J307" s="829" t="str">
        <f>IFERROR(INDEX(月例!$P$5:$P$788,MATCH("前期損益修正損|S|9",月例!$S$5:$S$788,0)),"")</f>
        <v/>
      </c>
      <c r="K307" s="825" t="str">
        <f>IFERROR(INDEX(月例!$A$5:$A$788,MATCH("立替金|S|9",月例!$S$5:$S$788,0)),"")</f>
        <v/>
      </c>
      <c r="L307" s="826" t="str">
        <f>IFERROR(INDEX(月例!$E$5:$E$788,MATCH("立替金|S|9",月例!$S$5:$S$788,0)),"")</f>
        <v/>
      </c>
      <c r="M307" s="827" t="str">
        <f>IFERROR(INDEX(月例!$H$5:$H$788,MATCH("立替金|S|9",月例!$S$5:$S$788,0)),"")</f>
        <v/>
      </c>
      <c r="N307" s="828" t="str">
        <f>IF(M307="","",N306+M307)</f>
        <v/>
      </c>
      <c r="O307" s="829" t="str">
        <f>IFERROR(INDEX(月例!$P$5:$P$788,MATCH("立替金|S|9",月例!$S$5:$S$788,0)),"")</f>
        <v/>
      </c>
    </row>
    <row r="308">
      <c r="A308" s="825" t="str">
        <f>IFERROR(INDEX(月例!$A$5:$A$788,MATCH("器具及び備品|S|10",月例!$S$5:$S$788,0)),"")</f>
        <v/>
      </c>
      <c r="B308" s="826" t="str">
        <f>IFERROR(INDEX(月例!$E$5:$E$788,MATCH("器具及び備品|S|10",月例!$S$5:$S$788,0)),"")</f>
        <v/>
      </c>
      <c r="C308" s="827" t="str">
        <f>IFERROR(INDEX(月例!$H$5:$H$788,MATCH("器具及び備品|S|10",月例!$S$5:$S$788,0)),"")</f>
        <v/>
      </c>
      <c r="D308" s="828" t="str">
        <f>IF(C308="","",D307+C308)</f>
        <v/>
      </c>
      <c r="E308" s="829" t="str">
        <f>IFERROR(INDEX(月例!$P$5:$P$788,MATCH("器具及び備品|S|10",月例!$S$5:$S$788,0)),"")</f>
        <v/>
      </c>
      <c r="F308" s="825" t="str">
        <f>IFERROR(INDEX(月例!$A$5:$A$788,MATCH("前期損益修正損|S|10",月例!$S$5:$S$788,0)),"")</f>
        <v/>
      </c>
      <c r="G308" s="826" t="str">
        <f>IFERROR(INDEX(月例!$E$5:$E$788,MATCH("前期損益修正損|S|10",月例!$S$5:$S$788,0)),"")</f>
        <v/>
      </c>
      <c r="H308" s="827" t="str">
        <f>IFERROR(INDEX(月例!$H$5:$H$788,MATCH("前期損益修正損|S|10",月例!$S$5:$S$788,0)),"")</f>
        <v/>
      </c>
      <c r="I308" s="828" t="str">
        <f>IF(H308="","",I307+H308)</f>
        <v/>
      </c>
      <c r="J308" s="829" t="str">
        <f>IFERROR(INDEX(月例!$P$5:$P$788,MATCH("前期損益修正損|S|10",月例!$S$5:$S$788,0)),"")</f>
        <v/>
      </c>
      <c r="K308" s="825" t="str">
        <f>IFERROR(INDEX(月例!$A$5:$A$788,MATCH("立替金|S|10",月例!$S$5:$S$788,0)),"")</f>
        <v/>
      </c>
      <c r="L308" s="826" t="str">
        <f>IFERROR(INDEX(月例!$E$5:$E$788,MATCH("立替金|S|10",月例!$S$5:$S$788,0)),"")</f>
        <v/>
      </c>
      <c r="M308" s="827" t="str">
        <f>IFERROR(INDEX(月例!$H$5:$H$788,MATCH("立替金|S|10",月例!$S$5:$S$788,0)),"")</f>
        <v/>
      </c>
      <c r="N308" s="828" t="str">
        <f>IF(M308="","",N307+M308)</f>
        <v/>
      </c>
      <c r="O308" s="829" t="str">
        <f>IFERROR(INDEX(月例!$P$5:$P$788,MATCH("立替金|S|10",月例!$S$5:$S$788,0)),"")</f>
        <v/>
      </c>
    </row>
    <row r="309">
      <c r="A309" s="825" t="str">
        <f>IFERROR(INDEX(月例!$A$5:$A$788,MATCH("器具及び備品|S|11",月例!$S$5:$S$788,0)),"")</f>
        <v/>
      </c>
      <c r="B309" s="826" t="str">
        <f>IFERROR(INDEX(月例!$E$5:$E$788,MATCH("器具及び備品|S|11",月例!$S$5:$S$788,0)),"")</f>
        <v/>
      </c>
      <c r="C309" s="827" t="str">
        <f>IFERROR(INDEX(月例!$H$5:$H$788,MATCH("器具及び備品|S|11",月例!$S$5:$S$788,0)),"")</f>
        <v/>
      </c>
      <c r="D309" s="828" t="str">
        <f>IF(C309="","",D308+C309)</f>
        <v/>
      </c>
      <c r="E309" s="829" t="str">
        <f>IFERROR(INDEX(月例!$P$5:$P$788,MATCH("器具及び備品|S|11",月例!$S$5:$S$788,0)),"")</f>
        <v/>
      </c>
      <c r="F309" s="825" t="str">
        <f>IFERROR(INDEX(月例!$A$5:$A$788,MATCH("前期損益修正損|S|11",月例!$S$5:$S$788,0)),"")</f>
        <v/>
      </c>
      <c r="G309" s="826" t="str">
        <f>IFERROR(INDEX(月例!$E$5:$E$788,MATCH("前期損益修正損|S|11",月例!$S$5:$S$788,0)),"")</f>
        <v/>
      </c>
      <c r="H309" s="827" t="str">
        <f>IFERROR(INDEX(月例!$H$5:$H$788,MATCH("前期損益修正損|S|11",月例!$S$5:$S$788,0)),"")</f>
        <v/>
      </c>
      <c r="I309" s="828" t="str">
        <f>IF(H309="","",I308+H309)</f>
        <v/>
      </c>
      <c r="J309" s="829" t="str">
        <f>IFERROR(INDEX(月例!$P$5:$P$788,MATCH("前期損益修正損|S|11",月例!$S$5:$S$788,0)),"")</f>
        <v/>
      </c>
      <c r="K309" s="825" t="str">
        <f>IFERROR(INDEX(月例!$A$5:$A$788,MATCH("立替金|S|11",月例!$S$5:$S$788,0)),"")</f>
        <v/>
      </c>
      <c r="L309" s="826" t="str">
        <f>IFERROR(INDEX(月例!$E$5:$E$788,MATCH("立替金|S|11",月例!$S$5:$S$788,0)),"")</f>
        <v/>
      </c>
      <c r="M309" s="827" t="str">
        <f>IFERROR(INDEX(月例!$H$5:$H$788,MATCH("立替金|S|11",月例!$S$5:$S$788,0)),"")</f>
        <v/>
      </c>
      <c r="N309" s="828" t="str">
        <f>IF(M309="","",N308+M309)</f>
        <v/>
      </c>
      <c r="O309" s="829" t="str">
        <f>IFERROR(INDEX(月例!$P$5:$P$788,MATCH("立替金|S|11",月例!$S$5:$S$788,0)),"")</f>
        <v/>
      </c>
    </row>
    <row r="310">
      <c r="A310" s="825" t="str">
        <f>IFERROR(INDEX(月例!$A$5:$A$788,MATCH("器具及び備品|S|12",月例!$S$5:$S$788,0)),"")</f>
        <v/>
      </c>
      <c r="B310" s="826" t="str">
        <f>IFERROR(INDEX(月例!$E$5:$E$788,MATCH("器具及び備品|S|12",月例!$S$5:$S$788,0)),"")</f>
        <v/>
      </c>
      <c r="C310" s="827" t="str">
        <f>IFERROR(INDEX(月例!$H$5:$H$788,MATCH("器具及び備品|S|12",月例!$S$5:$S$788,0)),"")</f>
        <v/>
      </c>
      <c r="D310" s="828" t="str">
        <f>IF(C310="","",D309+C310)</f>
        <v/>
      </c>
      <c r="E310" s="829" t="str">
        <f>IFERROR(INDEX(月例!$P$5:$P$788,MATCH("器具及び備品|S|12",月例!$S$5:$S$788,0)),"")</f>
        <v/>
      </c>
      <c r="F310" s="825" t="str">
        <f>IFERROR(INDEX(月例!$A$5:$A$788,MATCH("前期損益修正損|S|12",月例!$S$5:$S$788,0)),"")</f>
        <v/>
      </c>
      <c r="G310" s="826" t="str">
        <f>IFERROR(INDEX(月例!$E$5:$E$788,MATCH("前期損益修正損|S|12",月例!$S$5:$S$788,0)),"")</f>
        <v/>
      </c>
      <c r="H310" s="827" t="str">
        <f>IFERROR(INDEX(月例!$H$5:$H$788,MATCH("前期損益修正損|S|12",月例!$S$5:$S$788,0)),"")</f>
        <v/>
      </c>
      <c r="I310" s="828" t="str">
        <f>IF(H310="","",I309+H310)</f>
        <v/>
      </c>
      <c r="J310" s="829" t="str">
        <f>IFERROR(INDEX(月例!$P$5:$P$788,MATCH("前期損益修正損|S|12",月例!$S$5:$S$788,0)),"")</f>
        <v/>
      </c>
      <c r="K310" s="825" t="str">
        <f>IFERROR(INDEX(月例!$A$5:$A$788,MATCH("立替金|S|12",月例!$S$5:$S$788,0)),"")</f>
        <v/>
      </c>
      <c r="L310" s="826" t="str">
        <f>IFERROR(INDEX(月例!$E$5:$E$788,MATCH("立替金|S|12",月例!$S$5:$S$788,0)),"")</f>
        <v/>
      </c>
      <c r="M310" s="827" t="str">
        <f>IFERROR(INDEX(月例!$H$5:$H$788,MATCH("立替金|S|12",月例!$S$5:$S$788,0)),"")</f>
        <v/>
      </c>
      <c r="N310" s="828" t="str">
        <f>IF(M310="","",N309+M310)</f>
        <v/>
      </c>
      <c r="O310" s="829" t="str">
        <f>IFERROR(INDEX(月例!$P$5:$P$788,MATCH("立替金|S|12",月例!$S$5:$S$788,0)),"")</f>
        <v/>
      </c>
    </row>
  </sheetData>
  <conditionalFormatting sqref="P6:T78">
    <cfRule type="expression" priority="1" dxfId="6">
      <formula>$T6="昨年実績"</formula>
    </cfRule>
  </conditionalFormatting>
  <conditionalFormatting sqref="R6:R78">
    <cfRule type="expression" priority="2" dxfId="9">
      <formula>$T6="確認済"</formula>
    </cfRule>
    <cfRule type="expression" priority="3" dxfId="10">
      <formula>$T6="未確認"</formula>
    </cfRule>
  </conditionalFormatting>
  <conditionalFormatting sqref="A118:E175">
    <cfRule type="expression" priority="4" dxfId="6">
      <formula>$E118="昨年実績"</formula>
    </cfRule>
  </conditionalFormatting>
  <conditionalFormatting sqref="C118:C175">
    <cfRule type="expression" priority="5" dxfId="9">
      <formula>$E118="確認済"</formula>
    </cfRule>
    <cfRule type="expression" priority="6" dxfId="10">
      <formula>$E118="未確認"</formula>
    </cfRule>
  </conditionalFormatting>
  <conditionalFormatting sqref="A6:E111">
    <cfRule type="expression" priority="7" dxfId="6">
      <formula>$E6="昨年実績"</formula>
    </cfRule>
  </conditionalFormatting>
  <conditionalFormatting sqref="C6:C111">
    <cfRule type="expression" priority="8" dxfId="9">
      <formula>$E6="確認済"</formula>
    </cfRule>
    <cfRule type="expression" priority="9" dxfId="10">
      <formula>$E6="未確認"</formula>
    </cfRule>
  </conditionalFormatting>
  <conditionalFormatting sqref="F118:J157">
    <cfRule type="expression" priority="10" dxfId="6">
      <formula>$J118="昨年実績"</formula>
    </cfRule>
  </conditionalFormatting>
  <conditionalFormatting sqref="H118:H157">
    <cfRule type="expression" priority="11" dxfId="9">
      <formula>$J118="確認済"</formula>
    </cfRule>
    <cfRule type="expression" priority="12" dxfId="10">
      <formula>$J118="未確認"</formula>
    </cfRule>
  </conditionalFormatting>
  <conditionalFormatting sqref="P118:T150">
    <cfRule type="expression" priority="13" dxfId="6">
      <formula>$T118="昨年実績"</formula>
    </cfRule>
  </conditionalFormatting>
  <conditionalFormatting sqref="R118:R150">
    <cfRule type="expression" priority="14" dxfId="9">
      <formula>$T118="確認済"</formula>
    </cfRule>
    <cfRule type="expression" priority="15" dxfId="10">
      <formula>$T118="未確認"</formula>
    </cfRule>
  </conditionalFormatting>
  <conditionalFormatting sqref="P216:T227">
    <cfRule type="expression" priority="16" dxfId="6">
      <formula>$T216="昨年実績"</formula>
    </cfRule>
  </conditionalFormatting>
  <conditionalFormatting sqref="R216:R227">
    <cfRule type="expression" priority="17" dxfId="9">
      <formula>$T216="確認済"</formula>
    </cfRule>
    <cfRule type="expression" priority="18" dxfId="10">
      <formula>$T216="未確認"</formula>
    </cfRule>
  </conditionalFormatting>
  <conditionalFormatting sqref="K118:O157">
    <cfRule type="expression" priority="19" dxfId="6">
      <formula>$O118="昨年実績"</formula>
    </cfRule>
  </conditionalFormatting>
  <conditionalFormatting sqref="M118:M157">
    <cfRule type="expression" priority="20" dxfId="9">
      <formula>$O118="確認済"</formula>
    </cfRule>
    <cfRule type="expression" priority="21" dxfId="10">
      <formula>$O118="未確認"</formula>
    </cfRule>
  </conditionalFormatting>
  <conditionalFormatting sqref="F6:J108">
    <cfRule type="expression" priority="22" dxfId="6">
      <formula>$J6="昨年実績"</formula>
    </cfRule>
  </conditionalFormatting>
  <conditionalFormatting sqref="H6:H108">
    <cfRule type="expression" priority="23" dxfId="9">
      <formula>$J6="確認済"</formula>
    </cfRule>
    <cfRule type="expression" priority="24" dxfId="10">
      <formula>$J6="未確認"</formula>
    </cfRule>
  </conditionalFormatting>
  <conditionalFormatting sqref="K6:O89">
    <cfRule type="expression" priority="25" dxfId="6">
      <formula>$O6="昨年実績"</formula>
    </cfRule>
  </conditionalFormatting>
  <conditionalFormatting sqref="M6:M89">
    <cfRule type="expression" priority="26" dxfId="9">
      <formula>$O6="確認済"</formula>
    </cfRule>
    <cfRule type="expression" priority="27" dxfId="10">
      <formula>$O6="未確認"</formula>
    </cfRule>
  </conditionalFormatting>
  <conditionalFormatting sqref="F216:J231">
    <cfRule type="expression" priority="28" dxfId="6">
      <formula>$J216="昨年実績"</formula>
    </cfRule>
  </conditionalFormatting>
  <conditionalFormatting sqref="H216:H231">
    <cfRule type="expression" priority="29" dxfId="9">
      <formula>$J216="確認済"</formula>
    </cfRule>
    <cfRule type="expression" priority="30" dxfId="10">
      <formula>$J216="未確認"</formula>
    </cfRule>
  </conditionalFormatting>
  <conditionalFormatting sqref="K216:O229">
    <cfRule type="expression" priority="31" dxfId="6">
      <formula>$O216="昨年実績"</formula>
    </cfRule>
  </conditionalFormatting>
  <conditionalFormatting sqref="M216:M229">
    <cfRule type="expression" priority="32" dxfId="9">
      <formula>$O216="確認済"</formula>
    </cfRule>
    <cfRule type="expression" priority="33" dxfId="10">
      <formula>$O216="未確認"</formula>
    </cfRule>
  </conditionalFormatting>
  <conditionalFormatting sqref="A245:E256">
    <cfRule type="expression" priority="34" dxfId="6">
      <formula>$E245="昨年実績"</formula>
    </cfRule>
  </conditionalFormatting>
  <conditionalFormatting sqref="C245:C256">
    <cfRule type="expression" priority="35" dxfId="9">
      <formula>$E245="確認済"</formula>
    </cfRule>
    <cfRule type="expression" priority="36" dxfId="10">
      <formula>$E245="未確認"</formula>
    </cfRule>
  </conditionalFormatting>
  <conditionalFormatting sqref="F245:J256">
    <cfRule type="expression" priority="37" dxfId="6">
      <formula>$J245="昨年実績"</formula>
    </cfRule>
  </conditionalFormatting>
  <conditionalFormatting sqref="H245:H256">
    <cfRule type="expression" priority="38" dxfId="9">
      <formula>$J245="確認済"</formula>
    </cfRule>
    <cfRule type="expression" priority="39" dxfId="10">
      <formula>$J245="未確認"</formula>
    </cfRule>
  </conditionalFormatting>
  <conditionalFormatting sqref="K245:O256">
    <cfRule type="expression" priority="40" dxfId="6">
      <formula>$O245="昨年実績"</formula>
    </cfRule>
  </conditionalFormatting>
  <conditionalFormatting sqref="M245:M256">
    <cfRule type="expression" priority="41" dxfId="9">
      <formula>$O245="確認済"</formula>
    </cfRule>
    <cfRule type="expression" priority="42" dxfId="10">
      <formula>$O245="未確認"</formula>
    </cfRule>
  </conditionalFormatting>
  <conditionalFormatting sqref="P245:T256">
    <cfRule type="expression" priority="43" dxfId="6">
      <formula>$T245="昨年実績"</formula>
    </cfRule>
  </conditionalFormatting>
  <conditionalFormatting sqref="R245:R256">
    <cfRule type="expression" priority="44" dxfId="9">
      <formula>$T245="確認済"</formula>
    </cfRule>
    <cfRule type="expression" priority="45" dxfId="10">
      <formula>$T245="未確認"</formula>
    </cfRule>
  </conditionalFormatting>
  <conditionalFormatting sqref="A182:E209">
    <cfRule type="expression" priority="46" dxfId="6">
      <formula>$E182="昨年実績"</formula>
    </cfRule>
  </conditionalFormatting>
  <conditionalFormatting sqref="C182:C209">
    <cfRule type="expression" priority="47" dxfId="9">
      <formula>$E182="確認済"</formula>
    </cfRule>
    <cfRule type="expression" priority="48" dxfId="10">
      <formula>$E182="未確認"</formula>
    </cfRule>
  </conditionalFormatting>
  <conditionalFormatting sqref="P182:T204">
    <cfRule type="expression" priority="49" dxfId="6">
      <formula>$T182="昨年実績"</formula>
    </cfRule>
  </conditionalFormatting>
  <conditionalFormatting sqref="R182:R204">
    <cfRule type="expression" priority="50" dxfId="9">
      <formula>$T182="確認済"</formula>
    </cfRule>
    <cfRule type="expression" priority="51" dxfId="10">
      <formula>$T182="未確認"</formula>
    </cfRule>
  </conditionalFormatting>
  <conditionalFormatting sqref="A263:E274">
    <cfRule type="expression" priority="52" dxfId="6">
      <formula>$E263="昨年実績"</formula>
    </cfRule>
  </conditionalFormatting>
  <conditionalFormatting sqref="C263:C274">
    <cfRule type="expression" priority="53" dxfId="9">
      <formula>$E263="確認済"</formula>
    </cfRule>
    <cfRule type="expression" priority="54" dxfId="10">
      <formula>$E263="未確認"</formula>
    </cfRule>
  </conditionalFormatting>
  <conditionalFormatting sqref="K182:O206">
    <cfRule type="expression" priority="55" dxfId="6">
      <formula>$O182="昨年実績"</formula>
    </cfRule>
  </conditionalFormatting>
  <conditionalFormatting sqref="M182:M206">
    <cfRule type="expression" priority="56" dxfId="9">
      <formula>$O182="確認済"</formula>
    </cfRule>
    <cfRule type="expression" priority="57" dxfId="10">
      <formula>$O182="未確認"</formula>
    </cfRule>
  </conditionalFormatting>
  <conditionalFormatting sqref="F263:J274">
    <cfRule type="expression" priority="58" dxfId="6">
      <formula>$J263="昨年実績"</formula>
    </cfRule>
  </conditionalFormatting>
  <conditionalFormatting sqref="H263:H274">
    <cfRule type="expression" priority="59" dxfId="9">
      <formula>$J263="確認済"</formula>
    </cfRule>
    <cfRule type="expression" priority="60" dxfId="10">
      <formula>$J263="未確認"</formula>
    </cfRule>
  </conditionalFormatting>
  <conditionalFormatting sqref="K263:O274">
    <cfRule type="expression" priority="61" dxfId="6">
      <formula>$O263="昨年実績"</formula>
    </cfRule>
  </conditionalFormatting>
  <conditionalFormatting sqref="M263:M274">
    <cfRule type="expression" priority="62" dxfId="9">
      <formula>$O263="確認済"</formula>
    </cfRule>
    <cfRule type="expression" priority="63" dxfId="10">
      <formula>$O263="未確認"</formula>
    </cfRule>
  </conditionalFormatting>
  <conditionalFormatting sqref="F182:J209">
    <cfRule type="expression" priority="64" dxfId="6">
      <formula>$J182="昨年実績"</formula>
    </cfRule>
  </conditionalFormatting>
  <conditionalFormatting sqref="H182:H209">
    <cfRule type="expression" priority="65" dxfId="9">
      <formula>$J182="確認済"</formula>
    </cfRule>
    <cfRule type="expression" priority="66" dxfId="10">
      <formula>$J182="未確認"</formula>
    </cfRule>
  </conditionalFormatting>
  <conditionalFormatting sqref="A216:E238">
    <cfRule type="expression" priority="67" dxfId="6">
      <formula>$E216="昨年実績"</formula>
    </cfRule>
  </conditionalFormatting>
  <conditionalFormatting sqref="C216:C238">
    <cfRule type="expression" priority="68" dxfId="9">
      <formula>$E216="確認済"</formula>
    </cfRule>
    <cfRule type="expression" priority="69" dxfId="10">
      <formula>$E216="未確認"</formula>
    </cfRule>
  </conditionalFormatting>
  <conditionalFormatting sqref="P263:T274">
    <cfRule type="expression" priority="70" dxfId="6">
      <formula>$T263="昨年実績"</formula>
    </cfRule>
  </conditionalFormatting>
  <conditionalFormatting sqref="R263:R274">
    <cfRule type="expression" priority="71" dxfId="9">
      <formula>$T263="確認済"</formula>
    </cfRule>
    <cfRule type="expression" priority="72" dxfId="10">
      <formula>$T263="未確認"</formula>
    </cfRule>
  </conditionalFormatting>
  <conditionalFormatting sqref="A281:E292">
    <cfRule type="expression" priority="73" dxfId="6">
      <formula>$E281="昨年実績"</formula>
    </cfRule>
  </conditionalFormatting>
  <conditionalFormatting sqref="C281:C292">
    <cfRule type="expression" priority="74" dxfId="9">
      <formula>$E281="確認済"</formula>
    </cfRule>
    <cfRule type="expression" priority="75" dxfId="10">
      <formula>$E281="未確認"</formula>
    </cfRule>
  </conditionalFormatting>
  <conditionalFormatting sqref="F281:J292">
    <cfRule type="expression" priority="76" dxfId="6">
      <formula>$J281="昨年実績"</formula>
    </cfRule>
  </conditionalFormatting>
  <conditionalFormatting sqref="H281:H292">
    <cfRule type="expression" priority="77" dxfId="9">
      <formula>$J281="確認済"</formula>
    </cfRule>
    <cfRule type="expression" priority="78" dxfId="10">
      <formula>$J281="未確認"</formula>
    </cfRule>
  </conditionalFormatting>
  <conditionalFormatting sqref="K281:O292">
    <cfRule type="expression" priority="79" dxfId="6">
      <formula>$O281="昨年実績"</formula>
    </cfRule>
  </conditionalFormatting>
  <conditionalFormatting sqref="M281:M292">
    <cfRule type="expression" priority="80" dxfId="9">
      <formula>$O281="確認済"</formula>
    </cfRule>
    <cfRule type="expression" priority="81" dxfId="10">
      <formula>$O281="未確認"</formula>
    </cfRule>
  </conditionalFormatting>
  <conditionalFormatting sqref="P281:T292">
    <cfRule type="expression" priority="82" dxfId="6">
      <formula>$T281="昨年実績"</formula>
    </cfRule>
  </conditionalFormatting>
  <conditionalFormatting sqref="R281:R292">
    <cfRule type="expression" priority="83" dxfId="9">
      <formula>$T281="確認済"</formula>
    </cfRule>
    <cfRule type="expression" priority="84" dxfId="10">
      <formula>$T281="未確認"</formula>
    </cfRule>
  </conditionalFormatting>
  <conditionalFormatting sqref="A299:E310">
    <cfRule type="expression" priority="85" dxfId="6">
      <formula>$E299="昨年実績"</formula>
    </cfRule>
  </conditionalFormatting>
  <conditionalFormatting sqref="C299:C310">
    <cfRule type="expression" priority="86" dxfId="9">
      <formula>$E299="確認済"</formula>
    </cfRule>
    <cfRule type="expression" priority="87" dxfId="10">
      <formula>$E299="未確認"</formula>
    </cfRule>
  </conditionalFormatting>
  <conditionalFormatting sqref="F299:J310">
    <cfRule type="expression" priority="88" dxfId="6">
      <formula>$J299="昨年実績"</formula>
    </cfRule>
  </conditionalFormatting>
  <conditionalFormatting sqref="H299:H310">
    <cfRule type="expression" priority="89" dxfId="9">
      <formula>$J299="確認済"</formula>
    </cfRule>
    <cfRule type="expression" priority="90" dxfId="10">
      <formula>$J299="未確認"</formula>
    </cfRule>
  </conditionalFormatting>
  <conditionalFormatting sqref="K299:O310">
    <cfRule type="expression" priority="91" dxfId="6">
      <formula>$O299="昨年実績"</formula>
    </cfRule>
  </conditionalFormatting>
  <conditionalFormatting sqref="M299:M310">
    <cfRule type="expression" priority="92" dxfId="9">
      <formula>$O299="確認済"</formula>
    </cfRule>
    <cfRule type="expression" priority="93" dxfId="10">
      <formula>$O299="未確認"</formula>
    </cfRule>
  </conditionalFormatting>
  <printOptions horizontalCentered="1"/>
  <pageMargins left="0.4" right="0.4" top="0.5" bottom="0.5" header="0.3149606299212598" footer="0.3149606299212598"/>
  <pageSetup orientation="portrait" paperSize="8" scale="46" fitToHeight="0" fitToWidth="1"/>
  <headerFooter>
    <oddHeader/>
    <oddFooter>&amp;C&amp;Z&amp;F</oddFooter>
    <evenHeader/>
    <evenFooter/>
    <firstHeader/>
    <firstFooter/>
  </headerFooter>
  <rowBreaks count="1" manualBreakCount="1">
    <brk id="67" min="0" max="23" man="1"/>
  </rowBreaks>
  <colBreaks count="2" manualBreakCount="2">
    <brk id="10" min="0" max="1048575" man="1"/>
    <brk id="20" min="0" max="1048575" man="1"/>
  </colBreaks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3:T221"/>
  <sheetViews>
    <sheetView tabSelected="0" view="pageBreakPreview" zoomScale="70" zoomScaleNormal="85" zoomScaleSheetLayoutView="75" workbookViewId="0">
      <selection activeCell="M49" sqref="M49"/>
    </sheetView>
  </sheetViews>
  <sheetFormatPr baseColWidth="8" defaultRowHeight="25.5" customHeight="1"/>
  <cols>
    <col width="9" customWidth="1" style="186" min="1" max="1"/>
    <col width="36" customWidth="1" style="186" min="2" max="2"/>
    <col width="11" customWidth="1" style="186" min="3" max="4"/>
    <col width="12" customWidth="1" style="186" min="4" max="4"/>
    <col width="9" customWidth="1" style="186" min="5" max="5"/>
    <col width="9" customWidth="1" style="186" min="6" max="6"/>
    <col width="36" customWidth="1" style="186" min="7" max="7"/>
    <col width="11" customWidth="1" style="186" min="8" max="8"/>
    <col width="12" bestFit="1" customWidth="1" style="186" min="9" max="9"/>
    <col width="9" customWidth="1" style="186" min="10" max="10"/>
    <col width="9" customWidth="1" style="186" min="11" max="11"/>
    <col width="36" customWidth="1" style="186" min="12" max="12"/>
    <col width="11" customWidth="1" style="186" min="13" max="14"/>
    <col width="12" customWidth="1" style="186" min="14" max="14"/>
    <col width="9" customWidth="1" style="186" min="15" max="15"/>
    <col width="9" customWidth="1" style="186" min="16" max="16"/>
    <col width="36" customWidth="1" style="186" min="17" max="17"/>
    <col width="11" customWidth="1" style="186" min="18" max="19"/>
    <col width="12" customWidth="1" style="186" min="19" max="19"/>
    <col width="9" customWidth="1" style="186" min="20" max="20"/>
    <col width="9" customWidth="1" style="186" min="21" max="21"/>
    <col width="25.375" customWidth="1" style="186" min="22" max="22"/>
    <col width="10.625" customWidth="1" style="186" min="23" max="24"/>
    <col width="4.625" customWidth="1" style="186" min="25" max="25"/>
    <col width="9" customWidth="1" style="186" min="26" max="26"/>
    <col width="14.625" customWidth="1" style="186" min="27" max="27"/>
    <col width="11.875" customWidth="1" style="186" min="28" max="28"/>
    <col width="9" customWidth="1" style="186" min="29" max="16384"/>
  </cols>
  <sheetData>
    <row r="1" ht="25.5" customHeight="1" s="186" thickBot="1"/>
    <row r="2" ht="25.5" customHeight="1" s="186" thickBot="1"/>
    <row r="3" ht="25.5" customHeight="1" s="186">
      <c r="B3" s="502" t="inlineStr">
        <is>
          <t>○事務費  事務用消耗品費</t>
        </is>
      </c>
      <c r="D3" s="93" t="inlineStr">
        <is>
          <t>業務（長）</t>
        </is>
      </c>
      <c r="E3" s="824" t="str">
        <f>IF(COUNTIF(月例!$T$5:$T$788,"事務用消耗品費|L|*")&gt;45,"行不足","")</f>
        <v/>
      </c>
      <c r="G3" s="502" t="inlineStr">
        <is>
          <t>○事務費  通信運搬費</t>
        </is>
      </c>
      <c r="I3" s="93" t="inlineStr">
        <is>
          <t>業務（長）</t>
        </is>
      </c>
      <c r="J3" s="824" t="str">
        <f>IF(COUNTIF(月例!$T$5:$T$788,"通信運搬費|L|*")&gt;45,"行不足","")</f>
        <v/>
      </c>
      <c r="L3" s="502" t="inlineStr">
        <is>
          <t>○事務費  図書印刷費</t>
        </is>
      </c>
      <c r="N3" s="93" t="inlineStr">
        <is>
          <t>業務（長）</t>
        </is>
      </c>
      <c r="O3" s="824" t="str">
        <f>IF(COUNTIF(月例!$T$5:$T$788,"図書印刷費|L|*")&gt;40,"行不足","")</f>
        <v/>
      </c>
      <c r="Q3" s="502" t="inlineStr">
        <is>
          <t>○委託費</t>
        </is>
      </c>
      <c r="S3" s="93" t="inlineStr">
        <is>
          <t>業務（長）</t>
        </is>
      </c>
      <c r="T3" s="824" t="str">
        <f>IF(COUNTIF(月例!$T$5:$T$788,"委託費|L|*")&gt;38,"行不足","")</f>
        <v/>
      </c>
    </row>
    <row r="4" ht="25.5" customHeight="1" s="186">
      <c r="A4" s="100" t="inlineStr">
        <is>
          <t>支出日</t>
        </is>
      </c>
      <c r="B4" s="100" t="inlineStr">
        <is>
          <t>摘要</t>
        </is>
      </c>
      <c r="C4" s="100" t="inlineStr">
        <is>
          <t>支出</t>
        </is>
      </c>
      <c r="D4" s="100" t="inlineStr">
        <is>
          <t>残額</t>
        </is>
      </c>
      <c r="E4" s="100" t="inlineStr">
        <is>
          <t>状態</t>
        </is>
      </c>
      <c r="F4" s="100" t="inlineStr">
        <is>
          <t>支出日</t>
        </is>
      </c>
      <c r="G4" s="100" t="inlineStr">
        <is>
          <t>摘要</t>
        </is>
      </c>
      <c r="H4" s="100" t="inlineStr">
        <is>
          <t>支出</t>
        </is>
      </c>
      <c r="I4" s="100" t="inlineStr">
        <is>
          <t>残額</t>
        </is>
      </c>
      <c r="J4" s="100" t="inlineStr">
        <is>
          <t>状態</t>
        </is>
      </c>
      <c r="K4" s="100" t="inlineStr">
        <is>
          <t>支出日</t>
        </is>
      </c>
      <c r="L4" s="100" t="inlineStr">
        <is>
          <t>摘要</t>
        </is>
      </c>
      <c r="M4" s="100" t="inlineStr">
        <is>
          <t>支出</t>
        </is>
      </c>
      <c r="N4" s="100" t="inlineStr">
        <is>
          <t>残額</t>
        </is>
      </c>
      <c r="O4" s="100" t="inlineStr">
        <is>
          <t>状態</t>
        </is>
      </c>
      <c r="P4" s="100" t="inlineStr">
        <is>
          <t>支出日</t>
        </is>
      </c>
      <c r="Q4" s="100" t="inlineStr">
        <is>
          <t>摘要</t>
        </is>
      </c>
      <c r="R4" s="100" t="inlineStr">
        <is>
          <t>支出</t>
        </is>
      </c>
      <c r="S4" s="100" t="inlineStr">
        <is>
          <t>残額</t>
        </is>
      </c>
      <c r="T4" s="100" t="inlineStr">
        <is>
          <t>状態</t>
        </is>
      </c>
    </row>
    <row r="5" ht="25.5" customHeight="1" s="186">
      <c r="A5" s="825" t="n"/>
      <c r="B5" s="826" t="inlineStr">
        <is>
          <t>予算現額</t>
        </is>
      </c>
      <c r="C5" s="830" t="n"/>
      <c r="D5" s="831">
        <f>'R7業務（長）'!$S$12</f>
        <v>580000</v>
      </c>
      <c r="F5" s="825" t="n"/>
      <c r="G5" s="826" t="inlineStr">
        <is>
          <t>予算現額</t>
        </is>
      </c>
      <c r="H5" s="830" t="n"/>
      <c r="I5" s="831">
        <f>'R7業務（長）'!$S$15</f>
        <v>7518000</v>
      </c>
      <c r="K5" s="825" t="n"/>
      <c r="L5" s="826" t="inlineStr">
        <is>
          <t>予算現額</t>
        </is>
      </c>
      <c r="M5" s="830" t="n"/>
      <c r="N5" s="831">
        <f>'R7業務（長）'!$S$13</f>
        <v>595000</v>
      </c>
      <c r="P5" s="825" t="n"/>
      <c r="Q5" s="826" t="inlineStr">
        <is>
          <t>予算現額</t>
        </is>
      </c>
      <c r="R5" s="830" t="n"/>
      <c r="S5" s="831">
        <f>'R7業務（長）'!$S$20</f>
        <v>2575000</v>
      </c>
    </row>
    <row r="6" ht="25.5" customHeight="1" s="186">
      <c r="A6" s="825">
        <f>IFERROR(INDEX(月例!$A$5:$A$788,MATCH("事務用消耗品費|L|1",月例!$T$5:$T$788,0)),"")</f>
        <v>46140</v>
      </c>
      <c r="B6" s="826" t="str">
        <f>IFERROR(INDEX(月例!$E$5:$E$788,MATCH("事務用消耗品費|L|1",月例!$T$5:$T$788,0)),"")</f>
        <v>令和８年度基幹ウイルス対策ソフト（ミツイワ株式会社）長期</v>
      </c>
      <c r="C6" s="830">
        <f>IFERROR(INDEX(月例!$R$5:$R$788,MATCH("事務用消耗品費|L|1",月例!$T$5:$T$788,0)),"")</f>
        <v>8778</v>
      </c>
      <c r="D6" s="831">
        <f>IF(C6="","",D5-C6)</f>
        <v>571222</v>
      </c>
      <c r="E6" s="829" t="str">
        <f>IFERROR(INDEX(月例!$P$5:$P$788,MATCH("事務用消耗品費|L|1",月例!$T$5:$T$788,0)),"")</f>
        <v>確認済</v>
      </c>
      <c r="F6" s="825">
        <f>IFERROR(INDEX(月例!$A$5:$A$788,MATCH("通信運搬費|L|1",月例!$T$5:$T$788,0)),"")</f>
        <v>45764</v>
      </c>
      <c r="G6" s="826" t="str">
        <f>IFERROR(INDEX(月例!$E$5:$E$788,MATCH("通信運搬費|L|1",月例!$T$5:$T$788,0)),"")</f>
        <v>切手</v>
      </c>
      <c r="H6" s="830">
        <f>IFERROR(INDEX(月例!$R$5:$R$788,MATCH("通信運搬費|L|1",月例!$T$5:$T$788,0)),"")</f>
        <v>173700</v>
      </c>
      <c r="I6" s="831">
        <f>IF(H6="","",I5-H6)</f>
        <v>7344300</v>
      </c>
      <c r="J6" s="829" t="str">
        <f>IFERROR(INDEX(月例!$P$5:$P$788,MATCH("通信運搬費|L|1",月例!$T$5:$T$788,0)),"")</f>
        <v>昨年実績</v>
      </c>
      <c r="K6" s="825">
        <f>IFERROR(INDEX(月例!$A$5:$A$788,MATCH("図書印刷費|L|1",月例!$T$5:$T$788,0)),"")</f>
        <v>45061</v>
      </c>
      <c r="L6" s="826" t="str">
        <f>IFERROR(INDEX(月例!$E$5:$E$788,MATCH("図書印刷費|L|1",月例!$T$5:$T$788,0)),"")</f>
        <v>定年延長と共済組合制度　３０部</v>
      </c>
      <c r="M6" s="830">
        <f>IFERROR(INDEX(月例!$R$5:$R$788,MATCH("図書印刷費|L|1",月例!$T$5:$T$788,0)),"")</f>
        <v>2970</v>
      </c>
      <c r="N6" s="831">
        <f>IF(M6="","",N5-M6)</f>
        <v>592030</v>
      </c>
      <c r="O6" s="829" t="str">
        <f>IFERROR(INDEX(月例!$P$5:$P$788,MATCH("図書印刷費|L|1",月例!$T$5:$T$788,0)),"")</f>
        <v>昨年実績</v>
      </c>
      <c r="P6" s="825">
        <f>IFERROR(INDEX(月例!$A$5:$A$788,MATCH("委託費|L|1",月例!$T$5:$T$788,0)),"")</f>
        <v>46220</v>
      </c>
      <c r="Q6" s="826" t="str">
        <f>IFERROR(INDEX(月例!$E$5:$E$788,MATCH("委託費|L|1",月例!$T$5:$T$788,0)),"")</f>
        <v>ねんきん定期便（４月分）送付業務</v>
      </c>
      <c r="R6" s="830">
        <f>IFERROR(INDEX(月例!$R$5:$R$788,MATCH("委託費|L|1",月例!$T$5:$T$788,0)),"")</f>
        <v>84057</v>
      </c>
      <c r="S6" s="831">
        <f>IF(R6="","",S5-R6)</f>
        <v>2490943</v>
      </c>
      <c r="T6" s="829" t="str">
        <f>IFERROR(INDEX(月例!$P$5:$P$788,MATCH("委託費|L|1",月例!$T$5:$T$788,0)),"")</f>
        <v>確認済</v>
      </c>
    </row>
    <row r="7" ht="25.5" customHeight="1" s="186">
      <c r="A7" s="825">
        <f>IFERROR(INDEX(月例!$A$5:$A$788,MATCH("事務用消耗品費|L|2",月例!$T$5:$T$788,0)),"")</f>
        <v>44377</v>
      </c>
      <c r="B7" s="826" t="str">
        <f>IFERROR(INDEX(月例!$E$5:$E$788,MATCH("事務用消耗品費|L|2",月例!$T$5:$T$788,0)),"")</f>
        <v>鋳造ゴム印　３号以下214字　他</v>
      </c>
      <c r="C7" s="830">
        <f>IFERROR(INDEX(月例!$R$5:$R$788,MATCH("事務用消耗品費|L|2",月例!$T$5:$T$788,0)),"")</f>
        <v>9733</v>
      </c>
      <c r="D7" s="831">
        <f>IF(C7="","",D6-C7)</f>
        <v>561489</v>
      </c>
      <c r="E7" s="829" t="str">
        <f>IFERROR(INDEX(月例!$P$5:$P$788,MATCH("事務用消耗品費|L|2",月例!$T$5:$T$788,0)),"")</f>
        <v>昨年実績</v>
      </c>
      <c r="F7" s="825">
        <f>IFERROR(INDEX(月例!$A$5:$A$788,MATCH("通信運搬費|L|2",月例!$T$5:$T$788,0)),"")</f>
        <v>45831</v>
      </c>
      <c r="G7" s="826" t="str">
        <f>IFERROR(INDEX(月例!$E$5:$E$788,MATCH("通信運搬費|L|2",月例!$T$5:$T$788,0)),"")</f>
        <v>切手等</v>
      </c>
      <c r="H7" s="830">
        <f>IFERROR(INDEX(月例!$R$5:$R$788,MATCH("通信運搬費|L|2",月例!$T$5:$T$788,0)),"")</f>
        <v>172500</v>
      </c>
      <c r="I7" s="831">
        <f>IF(H7="","",I6-H7)</f>
        <v>7171800</v>
      </c>
      <c r="J7" s="829" t="str">
        <f>IFERROR(INDEX(月例!$P$5:$P$788,MATCH("通信運搬費|L|2",月例!$T$5:$T$788,0)),"")</f>
        <v>昨年実績</v>
      </c>
      <c r="K7" s="825">
        <f>IFERROR(INDEX(月例!$A$5:$A$788,MATCH("図書印刷費|L|2",月例!$T$5:$T$788,0)),"")</f>
        <v>45477</v>
      </c>
      <c r="L7" s="826" t="str">
        <f>IFERROR(INDEX(月例!$E$5:$E$788,MATCH("図書印刷費|L|2",月例!$T$5:$T$788,0)),"")</f>
        <v>組合員原票（Ａ４）８００部　ほか</v>
      </c>
      <c r="M7" s="830">
        <f>IFERROR(INDEX(月例!$R$5:$R$788,MATCH("図書印刷費|L|2",月例!$T$5:$T$788,0)),"")</f>
        <v>133650</v>
      </c>
      <c r="N7" s="831">
        <f>IF(M7="","",N6-M7)</f>
        <v>458380</v>
      </c>
      <c r="O7" s="829" t="str">
        <f>IFERROR(INDEX(月例!$P$5:$P$788,MATCH("図書印刷費|L|2",月例!$T$5:$T$788,0)),"")</f>
        <v>昨年実績</v>
      </c>
      <c r="P7" s="825">
        <f>IFERROR(INDEX(月例!$A$5:$A$788,MATCH("委託費|L|2",月例!$T$5:$T$788,0)),"")</f>
        <v>46232</v>
      </c>
      <c r="Q7" s="826" t="str">
        <f>IFERROR(INDEX(月例!$E$5:$E$788,MATCH("委託費|L|2",月例!$T$5:$T$788,0)),"")</f>
        <v>ねんきん定期便（５月分）送付業務</v>
      </c>
      <c r="R7" s="830">
        <f>IFERROR(INDEX(月例!$R$5:$R$788,MATCH("委託費|L|2",月例!$T$5:$T$788,0)),"")</f>
        <v>92797</v>
      </c>
      <c r="S7" s="831">
        <f>IF(R7="","",S6-R7)</f>
        <v>2398146</v>
      </c>
      <c r="T7" s="829" t="str">
        <f>IFERROR(INDEX(月例!$P$5:$P$788,MATCH("委託費|L|2",月例!$T$5:$T$788,0)),"")</f>
        <v>確認済</v>
      </c>
    </row>
    <row r="8" ht="25.5" customHeight="1" s="186">
      <c r="A8" s="825">
        <f>IFERROR(INDEX(月例!$A$5:$A$788,MATCH("事務用消耗品費|L|3",月例!$T$5:$T$788,0)),"")</f>
        <v>45786</v>
      </c>
      <c r="B8" s="826" t="str">
        <f>IFERROR(INDEX(月例!$E$5:$E$788,MATCH("事務用消耗品費|L|3",月例!$T$5:$T$788,0)),"")</f>
        <v>トナーカートリッジＬＰＢ３Ｔ２７　2個</v>
      </c>
      <c r="C8" s="830">
        <f>IFERROR(INDEX(月例!$R$5:$R$788,MATCH("事務用消耗品費|L|3",月例!$T$5:$T$788,0)),"")</f>
        <v>10560</v>
      </c>
      <c r="D8" s="831">
        <f>IF(C8="","",D7-C8)</f>
        <v>550929</v>
      </c>
      <c r="E8" s="829" t="str">
        <f>IFERROR(INDEX(月例!$P$5:$P$788,MATCH("事務用消耗品費|L|3",月例!$T$5:$T$788,0)),"")</f>
        <v>昨年実績</v>
      </c>
      <c r="F8" s="825">
        <f>IFERROR(INDEX(月例!$A$5:$A$788,MATCH("通信運搬費|L|3",月例!$T$5:$T$788,0)),"")</f>
        <v>46171</v>
      </c>
      <c r="G8" s="826" t="str">
        <f>IFERROR(INDEX(月例!$E$5:$E$788,MATCH("通信運搬費|L|3",月例!$T$5:$T$788,0)),"")</f>
        <v>料金後納利用料（4月分）</v>
      </c>
      <c r="H8" s="830">
        <f>IFERROR(INDEX(月例!$R$5:$R$788,MATCH("通信運搬費|L|3",月例!$T$5:$T$788,0)),"")</f>
        <v>147246</v>
      </c>
      <c r="I8" s="831">
        <f>IF(H8="","",I7-H8)</f>
        <v>7024554</v>
      </c>
      <c r="J8" s="829" t="str">
        <f>IFERROR(INDEX(月例!$P$5:$P$788,MATCH("通信運搬費|L|3",月例!$T$5:$T$788,0)),"")</f>
        <v>確認済</v>
      </c>
      <c r="K8" s="825">
        <f>IFERROR(INDEX(月例!$A$5:$A$788,MATCH("図書印刷費|L|3",月例!$T$5:$T$788,0)),"")</f>
        <v>46176</v>
      </c>
      <c r="L8" s="826" t="str">
        <f>IFERROR(INDEX(月例!$E$5:$E$788,MATCH("図書印刷費|L|3",月例!$T$5:$T$788,0)),"")</f>
        <v>国家公務員等共済組合関係法令要覧追録５３５－５３８号</v>
      </c>
      <c r="M8" s="830">
        <f>IFERROR(INDEX(月例!$R$5:$R$788,MATCH("図書印刷費|L|3",月例!$T$5:$T$788,0)),"")</f>
        <v>17600</v>
      </c>
      <c r="N8" s="831">
        <f>IF(M8="","",N7-M8)</f>
        <v>440780</v>
      </c>
      <c r="O8" s="829" t="str">
        <f>IFERROR(INDEX(月例!$P$5:$P$788,MATCH("図書印刷費|L|3",月例!$T$5:$T$788,0)),"")</f>
        <v>確認済</v>
      </c>
      <c r="P8" s="825">
        <f>IFERROR(INDEX(月例!$A$5:$A$788,MATCH("委託費|L|3",月例!$T$5:$T$788,0)),"")</f>
        <v>43644</v>
      </c>
      <c r="Q8" s="826" t="str">
        <f>IFERROR(INDEX(月例!$E$5:$E$788,MATCH("委託費|L|3",月例!$T$5:$T$788,0)),"")</f>
        <v>期間サーバーＨＤＤに係る訪問修理サービス料（長期分）</v>
      </c>
      <c r="R8" s="830">
        <f>IFERROR(INDEX(月例!$R$5:$R$788,MATCH("委託費|L|3",月例!$T$5:$T$788,0)),"")</f>
        <v>38340</v>
      </c>
      <c r="S8" s="831">
        <f>IF(R8="","",S7-R8)</f>
        <v>2359806</v>
      </c>
      <c r="T8" s="829" t="str">
        <f>IFERROR(INDEX(月例!$P$5:$P$788,MATCH("委託費|L|3",月例!$T$5:$T$788,0)),"")</f>
        <v>昨年実績</v>
      </c>
    </row>
    <row r="9" ht="25.5" customHeight="1" s="186" thickBot="1">
      <c r="A9" s="825">
        <f>IFERROR(INDEX(月例!$A$5:$A$788,MATCH("事務用消耗品費|L|4",月例!$T$5:$T$788,0)),"")</f>
        <v>46171</v>
      </c>
      <c r="B9" s="826" t="str">
        <f>IFERROR(INDEX(月例!$E$5:$E$788,MATCH("事務用消耗品費|L|4",月例!$T$5:$T$788,0)),"")</f>
        <v>鋳造ゴム印　3号以下　147字　他</v>
      </c>
      <c r="C9" s="830">
        <f>IFERROR(INDEX(月例!$R$5:$R$788,MATCH("事務用消耗品費|L|4",月例!$T$5:$T$788,0)),"")</f>
        <v>14040</v>
      </c>
      <c r="D9" s="831">
        <f>IF(C9="","",D8-C9)</f>
        <v>536889</v>
      </c>
      <c r="E9" s="829" t="str">
        <f>IFERROR(INDEX(月例!$P$5:$P$788,MATCH("事務用消耗品費|L|4",月例!$T$5:$T$788,0)),"")</f>
        <v>確認済</v>
      </c>
      <c r="F9" s="825">
        <f>IFERROR(INDEX(月例!$A$5:$A$788,MATCH("通信運搬費|L|4",月例!$T$5:$T$788,0)),"")</f>
        <v>46202</v>
      </c>
      <c r="G9" s="826" t="str">
        <f>IFERROR(INDEX(月例!$E$5:$E$788,MATCH("通信運搬費|L|4",月例!$T$5:$T$788,0)),"")</f>
        <v>料金後納利用料（５月分）</v>
      </c>
      <c r="H9" s="830">
        <f>IFERROR(INDEX(月例!$R$5:$R$788,MATCH("通信運搬費|L|4",月例!$T$5:$T$788,0)),"")</f>
        <v>21810</v>
      </c>
      <c r="I9" s="831">
        <f>IF(H9="","",I8-H9)</f>
        <v>7002744</v>
      </c>
      <c r="J9" s="829" t="str">
        <f>IFERROR(INDEX(月例!$P$5:$P$788,MATCH("通信運搬費|L|4",月例!$T$5:$T$788,0)),"")</f>
        <v>確認済</v>
      </c>
      <c r="K9" s="825">
        <f>IFERROR(INDEX(月例!$A$5:$A$788,MATCH("図書印刷費|L|4",月例!$T$5:$T$788,0)),"")</f>
        <v>46262</v>
      </c>
      <c r="L9" s="826" t="str">
        <f>IFERROR(INDEX(月例!$E$5:$E$788,MATCH("図書印刷費|L|4",月例!$T$5:$T$788,0)),"")</f>
        <v>広報誌等配布用窓付封筒12,200枚</v>
      </c>
      <c r="M9" s="830">
        <f>IFERROR(INDEX(月例!$R$5:$R$788,MATCH("図書印刷費|L|4",月例!$T$5:$T$788,0)),"")</f>
        <v>73810</v>
      </c>
      <c r="N9" s="831">
        <f>IF(M9="","",N8-M9)</f>
        <v>366970</v>
      </c>
      <c r="O9" s="829" t="str">
        <f>IFERROR(INDEX(月例!$P$5:$P$788,MATCH("図書印刷費|L|4",月例!$T$5:$T$788,0)),"")</f>
        <v>確認済</v>
      </c>
      <c r="P9" s="825">
        <f>IFERROR(INDEX(月例!$A$5:$A$788,MATCH("委託費|L|4",月例!$T$5:$T$788,0)),"")</f>
        <v>46262</v>
      </c>
      <c r="Q9" s="826" t="str">
        <f>IFERROR(INDEX(月例!$E$5:$E$788,MATCH("委託費|L|4",月例!$T$5:$T$788,0)),"")</f>
        <v>「年金だより」封入封緘業務</v>
      </c>
      <c r="R9" s="830">
        <f>IFERROR(INDEX(月例!$R$5:$R$788,MATCH("委託費|L|4",月例!$T$5:$T$788,0)),"")</f>
        <v>119004</v>
      </c>
      <c r="S9" s="831">
        <f>IF(R9="","",S8-R9)</f>
        <v>2240802</v>
      </c>
      <c r="T9" s="829" t="str">
        <f>IFERROR(INDEX(月例!$P$5:$P$788,MATCH("委託費|L|4",月例!$T$5:$T$788,0)),"")</f>
        <v>確認済</v>
      </c>
    </row>
    <row r="10" ht="25.5" customHeight="1" s="186" thickBot="1">
      <c r="A10" s="825">
        <f>IFERROR(INDEX(月例!$A$5:$A$788,MATCH("事務用消耗品費|L|5",月例!$T$5:$T$788,0)),"")</f>
        <v>45835</v>
      </c>
      <c r="B10" s="826" t="str">
        <f>IFERROR(INDEX(月例!$E$5:$E$788,MATCH("事務用消耗品費|L|5",月例!$T$5:$T$788,0)),"")</f>
        <v>色上質紙　厚口／５００枚／Ａ４／浅黄　１包　外９点</v>
      </c>
      <c r="C10" s="830">
        <f>IFERROR(INDEX(月例!$R$5:$R$788,MATCH("事務用消耗品費|L|5",月例!$T$5:$T$788,0)),"")</f>
        <v>16374</v>
      </c>
      <c r="D10" s="831">
        <f>IF(C10="","",D9-C10)</f>
        <v>520515</v>
      </c>
      <c r="E10" s="829" t="str">
        <f>IFERROR(INDEX(月例!$P$5:$P$788,MATCH("事務用消耗品費|L|5",月例!$T$5:$T$788,0)),"")</f>
        <v>昨年実績</v>
      </c>
      <c r="F10" s="825">
        <f>IFERROR(INDEX(月例!$A$5:$A$788,MATCH("通信運搬費|L|5",月例!$T$5:$T$788,0)),"")</f>
        <v>46226</v>
      </c>
      <c r="G10" s="826" t="str">
        <f>IFERROR(INDEX(月例!$E$5:$E$788,MATCH("通信運搬費|L|5",月例!$T$5:$T$788,0)),"")</f>
        <v>切手等</v>
      </c>
      <c r="H10" s="830">
        <f>IFERROR(INDEX(月例!$R$5:$R$788,MATCH("通信運搬費|L|5",月例!$T$5:$T$788,0)),"")</f>
        <v>299000</v>
      </c>
      <c r="I10" s="831">
        <f>IF(H10="","",I9-H10)</f>
        <v>6703744</v>
      </c>
      <c r="J10" s="829" t="str">
        <f>IFERROR(INDEX(月例!$P$5:$P$788,MATCH("通信運搬費|L|5",月例!$T$5:$T$788,0)),"")</f>
        <v>確認済</v>
      </c>
      <c r="K10" s="825">
        <f>IFERROR(INDEX(月例!$A$5:$A$788,MATCH("図書印刷費|L|5",月例!$T$5:$T$788,0)),"")</f>
        <v>45848</v>
      </c>
      <c r="L10" s="826" t="str">
        <f>IFERROR(INDEX(月例!$E$5:$E$788,MATCH("図書印刷費|L|5",月例!$T$5:$T$788,0)),"")</f>
        <v>窓付洋形（２３５×１２０）封筒のり付　１１，０００部　外４点</v>
      </c>
      <c r="M10" s="830">
        <f>IFERROR(INDEX(月例!$R$5:$R$788,MATCH("図書印刷費|L|5",月例!$T$5:$T$788,0)),"")</f>
        <v>255750</v>
      </c>
      <c r="N10" s="831">
        <f>IF(M10="","",N9-M10)</f>
        <v>111220</v>
      </c>
      <c r="O10" s="829" t="str">
        <f>IFERROR(INDEX(月例!$P$5:$P$788,MATCH("図書印刷費|L|5",月例!$T$5:$T$788,0)),"")</f>
        <v>昨年実績</v>
      </c>
      <c r="P10" s="825">
        <f>IFERROR(INDEX(月例!$A$5:$A$788,MATCH("委託費|L|5",月例!$T$5:$T$788,0)),"")</f>
        <v>46262</v>
      </c>
      <c r="Q10" s="826" t="str">
        <f>IFERROR(INDEX(月例!$E$5:$E$788,MATCH("委託費|L|5",月例!$T$5:$T$788,0)),"")</f>
        <v>ねんきん定期便（６月分）送付業務</v>
      </c>
      <c r="R10" s="830">
        <f>IFERROR(INDEX(月例!$R$5:$R$788,MATCH("委託費|L|5",月例!$T$5:$T$788,0)),"")</f>
        <v>84715</v>
      </c>
      <c r="S10" s="831">
        <f>IF(R10="","",S9-R10)</f>
        <v>2156087</v>
      </c>
      <c r="T10" s="829" t="str">
        <f>IFERROR(INDEX(月例!$P$5:$P$788,MATCH("委託費|L|5",月例!$T$5:$T$788,0)),"")</f>
        <v>確認済</v>
      </c>
    </row>
    <row r="11" ht="25.5" customHeight="1" s="186" thickBot="1">
      <c r="A11" s="825">
        <f>IFERROR(INDEX(月例!$A$5:$A$788,MATCH("事務用消耗品費|L|6",月例!$T$5:$T$788,0)),"")</f>
        <v>46188</v>
      </c>
      <c r="B11" s="826" t="str">
        <f>IFERROR(INDEX(月例!$E$5:$E$788,MATCH("事務用消耗品費|L|6",月例!$T$5:$T$788,0)),"")</f>
        <v>トナーカートリッジ（再生品）ＬＰＢ３Ｔ３４　７個</v>
      </c>
      <c r="C11" s="830">
        <f>IFERROR(INDEX(月例!$R$5:$R$788,MATCH("事務用消耗品費|L|6",月例!$T$5:$T$788,0)),"")</f>
        <v>53130</v>
      </c>
      <c r="D11" s="831">
        <f>IF(C11="","",D10-C11)</f>
        <v>467385</v>
      </c>
      <c r="E11" s="829" t="str">
        <f>IFERROR(INDEX(月例!$P$5:$P$788,MATCH("事務用消耗品費|L|6",月例!$T$5:$T$788,0)),"")</f>
        <v>確認済</v>
      </c>
      <c r="F11" s="825">
        <f>IFERROR(INDEX(月例!$A$5:$A$788,MATCH("通信運搬費|L|6",月例!$T$5:$T$788,0)),"")</f>
        <v>46232</v>
      </c>
      <c r="G11" s="826" t="str">
        <f>IFERROR(INDEX(月例!$E$5:$E$788,MATCH("通信運搬費|L|6",月例!$T$5:$T$788,0)),"")</f>
        <v>料金後納利用料（６月分）</v>
      </c>
      <c r="H11" s="830">
        <f>IFERROR(INDEX(月例!$R$5:$R$788,MATCH("通信運搬費|L|6",月例!$T$5:$T$788,0)),"")</f>
        <v>1235000</v>
      </c>
      <c r="I11" s="831">
        <f>IF(H11="","",I10-H11)</f>
        <v>5468744</v>
      </c>
      <c r="J11" s="829" t="str">
        <f>IFERROR(INDEX(月例!$P$5:$P$788,MATCH("通信運搬費|L|6",月例!$T$5:$T$788,0)),"")</f>
        <v>確認済</v>
      </c>
      <c r="K11" s="825">
        <f>IFERROR(INDEX(月例!$A$5:$A$788,MATCH("図書印刷費|L|6",月例!$T$5:$T$788,0)),"")</f>
        <v>44421</v>
      </c>
      <c r="L11" s="826" t="str">
        <f>IFERROR(INDEX(月例!$E$5:$E$788,MATCH("図書印刷費|L|6",月例!$T$5:$T$788,0)),"")</f>
        <v>地方公務員共済組合関係法令実例判例集追録1073-1076号</v>
      </c>
      <c r="M11" s="830">
        <f>IFERROR(INDEX(月例!$R$5:$R$788,MATCH("図書印刷費|L|6",月例!$T$5:$T$788,0)),"")</f>
        <v>10528</v>
      </c>
      <c r="N11" s="831">
        <f>IF(M11="","",N10-M11)</f>
        <v>100692</v>
      </c>
      <c r="O11" s="829" t="str">
        <f>IFERROR(INDEX(月例!$P$5:$P$788,MATCH("図書印刷費|L|6",月例!$T$5:$T$788,0)),"")</f>
        <v>昨年実績</v>
      </c>
      <c r="P11" s="825">
        <f>IFERROR(INDEX(月例!$A$5:$A$788,MATCH("委託費|L|6",月例!$T$5:$T$788,0)),"")</f>
        <v>46259</v>
      </c>
      <c r="Q11" s="826" t="str">
        <f>IFERROR(INDEX(月例!$E$5:$E$788,MATCH("委託費|L|6",月例!$T$5:$T$788,0)),"")</f>
        <v>給付算定基礎額残高通知書の発送</v>
      </c>
      <c r="R11" s="830">
        <f>IFERROR(INDEX(月例!$R$5:$R$788,MATCH("委託費|L|6",月例!$T$5:$T$788,0)),"")</f>
        <v>951706</v>
      </c>
      <c r="S11" s="831">
        <f>IF(R11="","",S10-R11)</f>
        <v>1204381</v>
      </c>
      <c r="T11" s="829" t="str">
        <f>IFERROR(INDEX(月例!$P$5:$P$788,MATCH("委託費|L|6",月例!$T$5:$T$788,0)),"")</f>
        <v>確認済</v>
      </c>
    </row>
    <row r="12" ht="25.5" customHeight="1" s="186" thickBot="1">
      <c r="A12" s="825">
        <f>IFERROR(INDEX(月例!$A$5:$A$788,MATCH("事務用消耗品費|L|7",月例!$T$5:$T$788,0)),"")</f>
        <v>45135</v>
      </c>
      <c r="B12" s="826" t="str">
        <f>IFERROR(INDEX(月例!$E$5:$E$788,MATCH("事務用消耗品費|L|7",月例!$T$5:$T$788,0)),"")</f>
        <v>鋳造ゴム印　３号以下265字　他</v>
      </c>
      <c r="C12" s="830">
        <f>IFERROR(INDEX(月例!$R$5:$R$788,MATCH("事務用消耗品費|L|7",月例!$T$5:$T$788,0)),"")</f>
        <v>9498</v>
      </c>
      <c r="D12" s="831">
        <f>IF(C12="","",D11-C12)</f>
        <v>457887</v>
      </c>
      <c r="E12" s="829" t="str">
        <f>IFERROR(INDEX(月例!$P$5:$P$788,MATCH("事務用消耗品費|L|7",月例!$T$5:$T$788,0)),"")</f>
        <v>昨年実績</v>
      </c>
      <c r="F12" s="825">
        <f>IFERROR(INDEX(月例!$A$5:$A$788,MATCH("通信運搬費|L|7",月例!$T$5:$T$788,0)),"")</f>
        <v>46262</v>
      </c>
      <c r="G12" s="826" t="str">
        <f>IFERROR(INDEX(月例!$E$5:$E$788,MATCH("通信運搬費|L|7",月例!$T$5:$T$788,0)),"")</f>
        <v>料金後納利用料（７月分）</v>
      </c>
      <c r="H12" s="830">
        <f>IFERROR(INDEX(月例!$R$5:$R$788,MATCH("通信運搬費|L|7",月例!$T$5:$T$788,0)),"")</f>
        <v>31370</v>
      </c>
      <c r="I12" s="831">
        <f>IF(H12="","",I11-H12)</f>
        <v>5437374</v>
      </c>
      <c r="J12" s="829" t="str">
        <f>IFERROR(INDEX(月例!$P$5:$P$788,MATCH("通信運搬費|L|7",月例!$T$5:$T$788,0)),"")</f>
        <v>確認済</v>
      </c>
      <c r="K12" s="825">
        <f>IFERROR(INDEX(月例!$A$5:$A$788,MATCH("図書印刷費|L|7",月例!$T$5:$T$788,0)),"")</f>
        <v>46280</v>
      </c>
      <c r="L12" s="826" t="str">
        <f>IFERROR(INDEX(月例!$E$5:$E$788,MATCH("図書印刷費|L|7",月例!$T$5:$T$788,0)),"")</f>
        <v>Ａ４用窓付封筒（２２０×３１０）のり付　７，０００枚　他１点</v>
      </c>
      <c r="M12" s="830">
        <f>IFERROR(INDEX(月例!$R$5:$R$788,MATCH("図書印刷費|L|7",月例!$T$5:$T$788,0)),"")</f>
        <v>221540</v>
      </c>
      <c r="N12" s="831">
        <f>IF(M12="","",N11-M12)</f>
        <v>-120848</v>
      </c>
      <c r="O12" s="829" t="str">
        <f>IFERROR(INDEX(月例!$P$5:$P$788,MATCH("図書印刷費|L|7",月例!$T$5:$T$788,0)),"")</f>
        <v>確認済</v>
      </c>
      <c r="P12" s="825">
        <f>IFERROR(INDEX(月例!$A$5:$A$788,MATCH("委託費|L|7",月例!$T$5:$T$788,0)),"")</f>
        <v>46280</v>
      </c>
      <c r="Q12" s="826" t="str">
        <f>IFERROR(INDEX(月例!$E$5:$E$788,MATCH("委託費|L|7",月例!$T$5:$T$788,0)),"")</f>
        <v>ねんきん定期便（７月分）送付業務</v>
      </c>
      <c r="R12" s="830">
        <f>IFERROR(INDEX(月例!$R$5:$R$788,MATCH("委託費|L|7",月例!$T$5:$T$788,0)),"")</f>
        <v>89822</v>
      </c>
      <c r="S12" s="831">
        <f>IF(R12="","",S11-R12)</f>
        <v>1114559</v>
      </c>
      <c r="T12" s="829" t="str">
        <f>IFERROR(INDEX(月例!$P$5:$P$788,MATCH("委託費|L|7",月例!$T$5:$T$788,0)),"")</f>
        <v>確認済</v>
      </c>
    </row>
    <row r="13" ht="25.5" customHeight="1" s="186">
      <c r="A13" s="825">
        <f>IFERROR(INDEX(月例!$A$5:$A$788,MATCH("事務用消耗品費|L|8",月例!$T$5:$T$788,0)),"")</f>
        <v>45135</v>
      </c>
      <c r="B13" s="826" t="str">
        <f>IFERROR(INDEX(月例!$E$5:$E$788,MATCH("事務用消耗品費|L|8",月例!$T$5:$T$788,0)),"")</f>
        <v>ネームランドテープ　XR-12WE-5P　2セットほか</v>
      </c>
      <c r="C13" s="830">
        <f>IFERROR(INDEX(月例!$R$5:$R$788,MATCH("事務用消耗品費|L|8",月例!$T$5:$T$788,0)),"")</f>
        <v>12908</v>
      </c>
      <c r="D13" s="831">
        <f>IF(C13="","",D12-C13)</f>
        <v>444979</v>
      </c>
      <c r="E13" s="829" t="str">
        <f>IFERROR(INDEX(月例!$P$5:$P$788,MATCH("事務用消耗品費|L|8",月例!$T$5:$T$788,0)),"")</f>
        <v>昨年実績</v>
      </c>
      <c r="F13" s="825">
        <f>IFERROR(INDEX(月例!$A$5:$A$788,MATCH("通信運搬費|L|8",月例!$T$5:$T$788,0)),"")</f>
        <v>45895</v>
      </c>
      <c r="G13" s="826" t="str">
        <f>IFERROR(INDEX(月例!$E$5:$E$788,MATCH("通信運搬費|L|8",月例!$T$5:$T$788,0)),"")</f>
        <v>切手等</v>
      </c>
      <c r="H13" s="830">
        <f>IFERROR(INDEX(月例!$R$5:$R$788,MATCH("通信運搬費|L|8",月例!$T$5:$T$788,0)),"")</f>
        <v>247100</v>
      </c>
      <c r="I13" s="831">
        <f>IF(H13="","",I12-H13)</f>
        <v>5190274</v>
      </c>
      <c r="J13" s="829" t="str">
        <f>IFERROR(INDEX(月例!$P$5:$P$788,MATCH("通信運搬費|L|8",月例!$T$5:$T$788,0)),"")</f>
        <v>昨年実績</v>
      </c>
      <c r="K13" s="825">
        <f>IFERROR(INDEX(月例!$A$5:$A$788,MATCH("図書印刷費|L|8",月例!$T$5:$T$788,0)),"")</f>
        <v>44119</v>
      </c>
      <c r="L13" s="826" t="str">
        <f>IFERROR(INDEX(月例!$E$5:$E$788,MATCH("図書印刷費|L|8",月例!$T$5:$T$788,0)),"")</f>
        <v>窓付封筒（290×240）1,000枚</v>
      </c>
      <c r="M13" s="830">
        <f>IFERROR(INDEX(月例!$R$5:$R$788,MATCH("図書印刷費|L|8",月例!$T$5:$T$788,0)),"")</f>
        <v>35750</v>
      </c>
      <c r="N13" s="831">
        <f>IF(M13="","",N12-M13)</f>
        <v>-156598</v>
      </c>
      <c r="O13" s="829" t="str">
        <f>IFERROR(INDEX(月例!$P$5:$P$788,MATCH("図書印刷費|L|8",月例!$T$5:$T$788,0)),"")</f>
        <v>昨年実績</v>
      </c>
      <c r="P13" s="825">
        <f>IFERROR(INDEX(月例!$A$5:$A$788,MATCH("委託費|L|8",月例!$T$5:$T$788,0)),"")</f>
        <v>46294</v>
      </c>
      <c r="Q13" s="826" t="str">
        <f>IFERROR(INDEX(月例!$E$5:$E$788,MATCH("委託費|L|8",月例!$T$5:$T$788,0)),"")</f>
        <v>ねんきん定期便（８月分）送付業務</v>
      </c>
      <c r="R13" s="830">
        <f>IFERROR(INDEX(月例!$R$5:$R$788,MATCH("委託費|L|8",月例!$T$5:$T$788,0)),"")</f>
        <v>97989</v>
      </c>
      <c r="S13" s="831">
        <f>IF(R13="","",S12-R13)</f>
        <v>1016570</v>
      </c>
      <c r="T13" s="829" t="str">
        <f>IFERROR(INDEX(月例!$P$5:$P$788,MATCH("委託費|L|8",月例!$T$5:$T$788,0)),"")</f>
        <v>確認済</v>
      </c>
    </row>
    <row r="14" ht="25.5" customHeight="1" s="186">
      <c r="A14" s="825">
        <f>IFERROR(INDEX(月例!$A$5:$A$788,MATCH("事務用消耗品費|L|9",月例!$T$5:$T$788,0)),"")</f>
        <v>45502</v>
      </c>
      <c r="B14" s="826" t="str">
        <f>IFERROR(INDEX(月例!$E$5:$E$788,MATCH("事務用消耗品費|L|9",月例!$T$5:$T$788,0)),"")</f>
        <v>トナーカートリッジＬＰＢ３Ｔ２７（再生品）　９本</v>
      </c>
      <c r="C14" s="830">
        <f>IFERROR(INDEX(月例!$R$5:$R$788,MATCH("事務用消耗品費|L|9",月例!$T$5:$T$788,0)),"")</f>
        <v>47520</v>
      </c>
      <c r="D14" s="831">
        <f>IF(C14="","",D13-C14)</f>
        <v>397459</v>
      </c>
      <c r="E14" s="829" t="str">
        <f>IFERROR(INDEX(月例!$P$5:$P$788,MATCH("事務用消耗品費|L|9",月例!$T$5:$T$788,0)),"")</f>
        <v>昨年実績</v>
      </c>
      <c r="F14" s="825">
        <f>IFERROR(INDEX(月例!$A$5:$A$788,MATCH("通信運搬費|L|9",月例!$T$5:$T$788,0)),"")</f>
        <v>45518</v>
      </c>
      <c r="G14" s="826" t="str">
        <f>IFERROR(INDEX(月例!$E$5:$E$788,MATCH("通信運搬費|L|9",月例!$T$5:$T$788,0)),"")</f>
        <v>切手</v>
      </c>
      <c r="H14" s="830">
        <f>IFERROR(INDEX(月例!$R$5:$R$788,MATCH("通信運搬費|L|9",月例!$T$5:$T$788,0)),"")</f>
        <v>83820</v>
      </c>
      <c r="I14" s="831">
        <f>IF(H14="","",I13-H14)</f>
        <v>5106454</v>
      </c>
      <c r="J14" s="829" t="str">
        <f>IFERROR(INDEX(月例!$P$5:$P$788,MATCH("通信運搬費|L|9",月例!$T$5:$T$788,0)),"")</f>
        <v>昨年実績</v>
      </c>
      <c r="K14" s="825">
        <f>IFERROR(INDEX(月例!$A$5:$A$788,MATCH("図書印刷費|L|9",月例!$T$5:$T$788,0)),"")</f>
        <v>46294</v>
      </c>
      <c r="L14" s="826" t="str">
        <f>IFERROR(INDEX(月例!$E$5:$E$788,MATCH("図書印刷費|L|9",月例!$T$5:$T$788,0)),"")</f>
        <v>地方公務員共済組合関係法令実例判例集追録1180-1188号</v>
      </c>
      <c r="M14" s="830">
        <f>IFERROR(INDEX(月例!$R$5:$R$788,MATCH("図書印刷費|L|9",月例!$T$5:$T$788,0)),"")</f>
        <v>26136</v>
      </c>
      <c r="N14" s="831">
        <f>IF(M14="","",N13-M14)</f>
        <v>-182734</v>
      </c>
      <c r="O14" s="829" t="str">
        <f>IFERROR(INDEX(月例!$P$5:$P$788,MATCH("図書印刷費|L|9",月例!$T$5:$T$788,0)),"")</f>
        <v>確認済</v>
      </c>
      <c r="P14" s="825">
        <f>IFERROR(INDEX(月例!$A$5:$A$788,MATCH("委託費|L|9",月例!$T$5:$T$788,0)),"")</f>
        <v>46324</v>
      </c>
      <c r="Q14" s="826" t="str">
        <f>IFERROR(INDEX(月例!$E$5:$E$788,MATCH("委託費|L|9",月例!$T$5:$T$788,0)),"")</f>
        <v>ねんきん定期便（９月分）送付業務</v>
      </c>
      <c r="R14" s="830">
        <f>IFERROR(INDEX(月例!$R$5:$R$788,MATCH("委託費|L|9",月例!$T$5:$T$788,0)),"")</f>
        <v>89824</v>
      </c>
      <c r="S14" s="831">
        <f>IF(R14="","",S13-R14)</f>
        <v>926746</v>
      </c>
      <c r="T14" s="829" t="str">
        <f>IFERROR(INDEX(月例!$P$5:$P$788,MATCH("委託費|L|9",月例!$T$5:$T$788,0)),"")</f>
        <v>確認済</v>
      </c>
    </row>
    <row r="15" ht="25.5" customHeight="1" s="186">
      <c r="A15" s="825">
        <f>IFERROR(INDEX(月例!$A$5:$A$788,MATCH("事務用消耗品費|L|10",月例!$T$5:$T$788,0)),"")</f>
        <v>45153</v>
      </c>
      <c r="B15" s="826" t="str">
        <f>IFERROR(INDEX(月例!$E$5:$E$788,MATCH("事務用消耗品費|L|10",月例!$T$5:$T$788,0)),"")</f>
        <v>メンディングテープ　810-3-18　１個　他</v>
      </c>
      <c r="C15" s="830">
        <f>IFERROR(INDEX(月例!$R$5:$R$788,MATCH("事務用消耗品費|L|10",月例!$T$5:$T$788,0)),"")</f>
        <v>14422</v>
      </c>
      <c r="D15" s="831">
        <f>IF(C15="","",D14-C15)</f>
        <v>383037</v>
      </c>
      <c r="E15" s="829" t="str">
        <f>IFERROR(INDEX(月例!$P$5:$P$788,MATCH("事務用消耗品費|L|10",月例!$T$5:$T$788,0)),"")</f>
        <v>昨年実績</v>
      </c>
      <c r="F15" s="825">
        <f>IFERROR(INDEX(月例!$A$5:$A$788,MATCH("通信運搬費|L|10",月例!$T$5:$T$788,0)),"")</f>
        <v>46294</v>
      </c>
      <c r="G15" s="826" t="str">
        <f>IFERROR(INDEX(月例!$E$5:$E$788,MATCH("通信運搬費|L|10",月例!$T$5:$T$788,0)),"")</f>
        <v>料金後納利用料（８月分）</v>
      </c>
      <c r="H15" s="830">
        <f>IFERROR(INDEX(月例!$R$5:$R$788,MATCH("通信運搬費|L|10",月例!$T$5:$T$788,0)),"")</f>
        <v>83355</v>
      </c>
      <c r="I15" s="831">
        <f>IF(H15="","",I14-H15)</f>
        <v>5023099</v>
      </c>
      <c r="J15" s="829" t="str">
        <f>IFERROR(INDEX(月例!$P$5:$P$788,MATCH("通信運搬費|L|10",月例!$T$5:$T$788,0)),"")</f>
        <v>確認済</v>
      </c>
      <c r="K15" s="825">
        <f>IFERROR(INDEX(月例!$A$5:$A$788,MATCH("図書印刷費|L|10",月例!$T$5:$T$788,0)),"")</f>
        <v>44799</v>
      </c>
      <c r="L15" s="826" t="str">
        <f>IFERROR(INDEX(月例!$E$5:$E$788,MATCH("図書印刷費|L|10",月例!$T$5:$T$788,0)),"")</f>
        <v>窓付洋形（２３５×１２０）封筒のり付　１２，０００枚</v>
      </c>
      <c r="M15" s="830">
        <f>IFERROR(INDEX(月例!$R$5:$R$788,MATCH("図書印刷費|L|10",月例!$T$5:$T$788,0)),"")</f>
        <v>109560</v>
      </c>
      <c r="N15" s="831">
        <f>IF(M15="","",N14-M15)</f>
        <v>-292294</v>
      </c>
      <c r="O15" s="829" t="str">
        <f>IFERROR(INDEX(月例!$P$5:$P$788,MATCH("図書印刷費|L|10",月例!$T$5:$T$788,0)),"")</f>
        <v>昨年実績</v>
      </c>
      <c r="P15" s="825">
        <f>IFERROR(INDEX(月例!$A$5:$A$788,MATCH("委託費|L|10",月例!$T$5:$T$788,0)),"")</f>
        <v>45989</v>
      </c>
      <c r="Q15" s="826" t="str">
        <f>IFERROR(INDEX(月例!$E$5:$E$788,MATCH("委託費|L|10",月例!$T$5:$T$788,0)),"")</f>
        <v>ねんきん定期便（１０月分）送付業務</v>
      </c>
      <c r="R15" s="830">
        <f>IFERROR(INDEX(月例!$R$5:$R$788,MATCH("委託費|L|10",月例!$T$5:$T$788,0)),"")</f>
        <v>84947</v>
      </c>
      <c r="S15" s="831">
        <f>IF(R15="","",S14-R15)</f>
        <v>841799</v>
      </c>
      <c r="T15" s="829" t="str">
        <f>IFERROR(INDEX(月例!$P$5:$P$788,MATCH("委託費|L|10",月例!$T$5:$T$788,0)),"")</f>
        <v>昨年実績</v>
      </c>
    </row>
    <row r="16" ht="25.5" customHeight="1" s="186">
      <c r="A16" s="825">
        <f>IFERROR(INDEX(月例!$A$5:$A$788,MATCH("事務用消耗品費|L|11",月例!$T$5:$T$788,0)),"")</f>
        <v>44104</v>
      </c>
      <c r="B16" s="826" t="str">
        <f>IFERROR(INDEX(月例!$E$5:$E$788,MATCH("事務用消耗品費|L|11",月例!$T$5:$T$788,0)),"")</f>
        <v>ウイルス飛沫防止板　アクリル製　他(長期）</v>
      </c>
      <c r="C16" s="830">
        <f>IFERROR(INDEX(月例!$R$5:$R$788,MATCH("事務用消耗品費|L|11",月例!$T$5:$T$788,0)),"")</f>
        <v>10725</v>
      </c>
      <c r="D16" s="831">
        <f>IF(C16="","",D15-C16)</f>
        <v>372312</v>
      </c>
      <c r="E16" s="829" t="str">
        <f>IFERROR(INDEX(月例!$P$5:$P$788,MATCH("事務用消耗品費|L|11",月例!$T$5:$T$788,0)),"")</f>
        <v>昨年実績</v>
      </c>
      <c r="F16" s="825">
        <f>IFERROR(INDEX(月例!$A$5:$A$788,MATCH("通信運搬費|L|11",月例!$T$5:$T$788,0)),"")</f>
        <v>43385</v>
      </c>
      <c r="G16" s="826" t="str">
        <f>IFERROR(INDEX(月例!$E$5:$E$788,MATCH("通信運搬費|L|11",月例!$T$5:$T$788,0)),"")</f>
        <v>切手</v>
      </c>
      <c r="H16" s="830">
        <f>IFERROR(INDEX(月例!$R$5:$R$788,MATCH("通信運搬費|L|11",月例!$T$5:$T$788,0)),"")</f>
        <v>1137800</v>
      </c>
      <c r="I16" s="831">
        <f>IF(H16="","",I15-H16)</f>
        <v>3885299</v>
      </c>
      <c r="J16" s="829" t="str">
        <f>IFERROR(INDEX(月例!$P$5:$P$788,MATCH("通信運搬費|L|11",月例!$T$5:$T$788,0)),"")</f>
        <v>昨年実績</v>
      </c>
      <c r="K16" s="825">
        <f>IFERROR(INDEX(月例!$A$5:$A$788,MATCH("図書印刷費|L|11",月例!$T$5:$T$788,0)),"")</f>
        <v>44848</v>
      </c>
      <c r="L16" s="826" t="str">
        <f>IFERROR(INDEX(月例!$E$5:$E$788,MATCH("図書印刷費|L|11",月例!$T$5:$T$788,0)),"")</f>
        <v>組合員原票（Ａ４）700部</v>
      </c>
      <c r="M16" s="830">
        <f>IFERROR(INDEX(月例!$R$5:$R$788,MATCH("図書印刷費|L|11",月例!$T$5:$T$788,0)),"")</f>
        <v>49665</v>
      </c>
      <c r="N16" s="831">
        <f>IF(M16="","",N15-M16)</f>
        <v>-341959</v>
      </c>
      <c r="O16" s="829" t="str">
        <f>IFERROR(INDEX(月例!$P$5:$P$788,MATCH("図書印刷費|L|11",月例!$T$5:$T$788,0)),"")</f>
        <v>昨年実績</v>
      </c>
      <c r="P16" s="825">
        <f>IFERROR(INDEX(月例!$A$5:$A$788,MATCH("委託費|L|11",月例!$T$5:$T$788,0)),"")</f>
        <v>46295</v>
      </c>
      <c r="Q16" s="826" t="str">
        <f>IFERROR(INDEX(月例!$E$5:$E$788,MATCH("委託費|L|11",月例!$T$5:$T$788,0)),"")</f>
        <v>オフィスライセンス調達（長期）</v>
      </c>
      <c r="R16" s="830">
        <f>IFERROR(INDEX(月例!$R$5:$R$788,MATCH("委託費|L|11",月例!$T$5:$T$788,0)),"")</f>
        <v>153120</v>
      </c>
      <c r="S16" s="831">
        <f>IF(R16="","",S15-R16)</f>
        <v>688679</v>
      </c>
      <c r="T16" s="829" t="str">
        <f>IFERROR(INDEX(月例!$P$5:$P$788,MATCH("委託費|L|11",月例!$T$5:$T$788,0)),"")</f>
        <v>確認済</v>
      </c>
    </row>
    <row r="17" ht="36.75" customHeight="1" s="186" thickBot="1">
      <c r="A17" s="825">
        <f>IFERROR(INDEX(月例!$A$5:$A$788,MATCH("事務用消耗品費|L|12",月例!$T$5:$T$788,0)),"")</f>
        <v>45912</v>
      </c>
      <c r="B17" s="826" t="str">
        <f>IFERROR(INDEX(月例!$E$5:$E$788,MATCH("事務用消耗品費|L|12",月例!$T$5:$T$788,0)),"")</f>
        <v>トナーカートリッジ（再生品）ＬＰＢ３Ｔ３４　４個</v>
      </c>
      <c r="C17" s="830">
        <f>IFERROR(INDEX(月例!$R$5:$R$788,MATCH("事務用消耗品費|L|12",月例!$T$5:$T$788,0)),"")</f>
        <v>30360</v>
      </c>
      <c r="D17" s="831">
        <f>IF(C17="","",D16-C17)</f>
        <v>341952</v>
      </c>
      <c r="E17" s="829" t="str">
        <f>IFERROR(INDEX(月例!$P$5:$P$788,MATCH("事務用消耗品費|L|12",月例!$T$5:$T$788,0)),"")</f>
        <v>昨年実績</v>
      </c>
      <c r="F17" s="825">
        <f>IFERROR(INDEX(月例!$A$5:$A$788,MATCH("通信運搬費|L|12",月例!$T$5:$T$788,0)),"")</f>
        <v>46324</v>
      </c>
      <c r="G17" s="826" t="str">
        <f>IFERROR(INDEX(月例!$E$5:$E$788,MATCH("通信運搬費|L|12",月例!$T$5:$T$788,0)),"")</f>
        <v>料金後納利用料（９月分）</v>
      </c>
      <c r="H17" s="830">
        <f>IFERROR(INDEX(月例!$R$5:$R$788,MATCH("通信運搬費|L|12",月例!$T$5:$T$788,0)),"")</f>
        <v>34665</v>
      </c>
      <c r="I17" s="831">
        <f>IF(H17="","",I16-H17)</f>
        <v>3850634</v>
      </c>
      <c r="J17" s="829" t="str">
        <f>IFERROR(INDEX(月例!$P$5:$P$788,MATCH("通信運搬費|L|12",月例!$T$5:$T$788,0)),"")</f>
        <v>確認済</v>
      </c>
      <c r="K17" s="825">
        <f>IFERROR(INDEX(月例!$A$5:$A$788,MATCH("図書印刷費|L|12",月例!$T$5:$T$788,0)),"")</f>
        <v>44848</v>
      </c>
      <c r="L17" s="826" t="str">
        <f>IFERROR(INDEX(月例!$E$5:$E$788,MATCH("図書印刷費|L|12",月例!$T$5:$T$788,0)),"")</f>
        <v>長３封筒（両面テープ付）1,000枚</v>
      </c>
      <c r="M17" s="830">
        <f>IFERROR(INDEX(月例!$R$5:$R$788,MATCH("図書印刷費|L|12",月例!$T$5:$T$788,0)),"")</f>
        <v>13200</v>
      </c>
      <c r="N17" s="831">
        <f>IF(M17="","",N16-M17)</f>
        <v>-355159</v>
      </c>
      <c r="O17" s="829" t="str">
        <f>IFERROR(INDEX(月例!$P$5:$P$788,MATCH("図書印刷費|L|12",月例!$T$5:$T$788,0)),"")</f>
        <v>昨年実績</v>
      </c>
      <c r="P17" s="825">
        <f>IFERROR(INDEX(月例!$A$5:$A$788,MATCH("委託費|L|12",月例!$T$5:$T$788,0)),"")</f>
        <v>45954</v>
      </c>
      <c r="Q17" s="826" t="str">
        <f>IFERROR(INDEX(月例!$E$5:$E$788,MATCH("委託費|L|12",月例!$T$5:$T$788,0)),"")</f>
        <v>基幹・特定検診等システムMicro Focus COBOL 更新ライセンス</v>
      </c>
      <c r="R17" s="830">
        <f>IFERROR(INDEX(月例!$R$5:$R$788,MATCH("委託費|L|12",月例!$T$5:$T$788,0)),"")</f>
        <v>36942</v>
      </c>
      <c r="S17" s="831">
        <f>IF(R17="","",S16-R17)</f>
        <v>651737</v>
      </c>
      <c r="T17" s="829" t="str">
        <f>IFERROR(INDEX(月例!$P$5:$P$788,MATCH("委託費|L|12",月例!$T$5:$T$788,0)),"")</f>
        <v>昨年実績</v>
      </c>
    </row>
    <row r="18" ht="25.5" customHeight="1" s="186" thickBot="1">
      <c r="A18" s="825">
        <f>IFERROR(INDEX(月例!$A$5:$A$788,MATCH("事務用消耗品費|L|13",月例!$T$5:$T$788,0)),"")</f>
        <v>46324</v>
      </c>
      <c r="B18" s="826" t="str">
        <f>IFERROR(INDEX(月例!$E$5:$E$788,MATCH("事務用消耗品費|L|13",月例!$T$5:$T$788,0)),"")</f>
        <v>トナーカートリッジ（再生品）ＬＰＢ３Ｔ３４　7個</v>
      </c>
      <c r="C18" s="830">
        <f>IFERROR(INDEX(月例!$R$5:$R$788,MATCH("事務用消耗品費|L|13",月例!$T$5:$T$788,0)),"")</f>
        <v>53130</v>
      </c>
      <c r="D18" s="831">
        <f>IF(C18="","",D17-C18)</f>
        <v>288822</v>
      </c>
      <c r="E18" s="829" t="str">
        <f>IFERROR(INDEX(月例!$P$5:$P$788,MATCH("事務用消耗品費|L|13",月例!$T$5:$T$788,0)),"")</f>
        <v>確認済</v>
      </c>
      <c r="F18" s="825">
        <f>IFERROR(INDEX(月例!$A$5:$A$788,MATCH("通信運搬費|L|13",月例!$T$5:$T$788,0)),"")</f>
        <v>46325</v>
      </c>
      <c r="G18" s="826" t="str">
        <f>IFERROR(INDEX(月例!$E$5:$E$788,MATCH("通信運搬費|L|13",月例!$T$5:$T$788,0)),"")</f>
        <v>ＦＡＸ電話代等分担金　互助会（第２四半期）</v>
      </c>
      <c r="H18" s="830">
        <f>IFERROR(INDEX(月例!$R$5:$R$788,MATCH("通信運搬費|L|13",月例!$T$5:$T$788,0)),"")</f>
        <v>5125</v>
      </c>
      <c r="I18" s="831">
        <f>IF(H18="","",I17-H18)</f>
        <v>3845509</v>
      </c>
      <c r="J18" s="829" t="str">
        <f>IFERROR(INDEX(月例!$P$5:$P$788,MATCH("通信運搬費|L|13",月例!$T$5:$T$788,0)),"")</f>
        <v>確認済</v>
      </c>
      <c r="K18" s="825">
        <f>IFERROR(INDEX(月例!$A$5:$A$788,MATCH("図書印刷費|L|13",月例!$T$5:$T$788,0)),"")</f>
        <v>44165</v>
      </c>
      <c r="L18" s="826" t="str">
        <f>IFERROR(INDEX(月例!$E$5:$E$788,MATCH("図書印刷費|L|13",月例!$T$5:$T$788,0)),"")</f>
        <v>国家公務員等共済組合関係通達実例集追録100号</v>
      </c>
      <c r="M18" s="830">
        <f>IFERROR(INDEX(月例!$R$5:$R$788,MATCH("図書印刷費|L|13",月例!$T$5:$T$788,0)),"")</f>
        <v>3993</v>
      </c>
      <c r="N18" s="831">
        <f>IF(M18="","",N17-M18)</f>
        <v>-359152</v>
      </c>
      <c r="O18" s="829" t="str">
        <f>IFERROR(INDEX(月例!$P$5:$P$788,MATCH("図書印刷費|L|13",月例!$T$5:$T$788,0)),"")</f>
        <v>昨年実績</v>
      </c>
      <c r="P18" s="825">
        <f>IFERROR(INDEX(月例!$A$5:$A$788,MATCH("委託費|L|13",月例!$T$5:$T$788,0)),"")</f>
        <v>43798</v>
      </c>
      <c r="Q18" s="826" t="str">
        <f>IFERROR(INDEX(月例!$E$5:$E$788,MATCH("委託費|L|13",月例!$T$5:$T$788,0)),"")</f>
        <v>基幹システム機器更改導入準備作業・稼働検証（出張費）</v>
      </c>
      <c r="R18" s="830">
        <f>IFERROR(INDEX(月例!$R$5:$R$788,MATCH("委託費|L|13",月例!$T$5:$T$788,0)),"")</f>
        <v>13449</v>
      </c>
      <c r="S18" s="831">
        <f>IF(R18="","",S17-R18)</f>
        <v>638288</v>
      </c>
      <c r="T18" s="829" t="str">
        <f>IFERROR(INDEX(月例!$P$5:$P$788,MATCH("委託費|L|13",月例!$T$5:$T$788,0)),"")</f>
        <v>昨年実績</v>
      </c>
    </row>
    <row r="19" ht="25.5" customHeight="1" s="186">
      <c r="A19" s="825">
        <f>IFERROR(INDEX(月例!$A$5:$A$788,MATCH("事務用消耗品費|L|14",月例!$T$5:$T$788,0)),"")</f>
        <v>45618</v>
      </c>
      <c r="B19" s="826" t="str">
        <f>IFERROR(INDEX(月例!$E$5:$E$788,MATCH("事務用消耗品費|L|14",月例!$T$5:$T$788,0)),"")</f>
        <v>ディスプレイ切替器　１台</v>
      </c>
      <c r="C19" s="830">
        <f>IFERROR(INDEX(月例!$R$5:$R$788,MATCH("事務用消耗品費|L|14",月例!$T$5:$T$788,0)),"")</f>
        <v>6160</v>
      </c>
      <c r="D19" s="831">
        <f>IF(C19="","",D18-C19)</f>
        <v>282662</v>
      </c>
      <c r="E19" s="829" t="str">
        <f>IFERROR(INDEX(月例!$P$5:$P$788,MATCH("事務用消耗品費|L|14",月例!$T$5:$T$788,0)),"")</f>
        <v>昨年実績</v>
      </c>
      <c r="F19" s="825">
        <f>IFERROR(INDEX(月例!$A$5:$A$788,MATCH("通信運搬費|L|14",月例!$T$5:$T$788,0)),"")</f>
        <v>45958</v>
      </c>
      <c r="G19" s="826" t="str">
        <f>IFERROR(INDEX(月例!$E$5:$E$788,MATCH("通信運搬費|L|14",月例!$T$5:$T$788,0)),"")</f>
        <v>切手</v>
      </c>
      <c r="H19" s="830">
        <f>IFERROR(INDEX(月例!$R$5:$R$788,MATCH("通信運搬費|L|14",月例!$T$5:$T$788,0)),"")</f>
        <v>229700</v>
      </c>
      <c r="I19" s="831">
        <f>IF(H19="","",I18-H19)</f>
        <v>3615809</v>
      </c>
      <c r="J19" s="829" t="str">
        <f>IFERROR(INDEX(月例!$P$5:$P$788,MATCH("通信運搬費|L|14",月例!$T$5:$T$788,0)),"")</f>
        <v>昨年実績</v>
      </c>
      <c r="K19" s="825">
        <f>IFERROR(INDEX(月例!$A$5:$A$788,MATCH("図書印刷費|L|14",月例!$T$5:$T$788,0)),"")</f>
        <v>46324</v>
      </c>
      <c r="L19" s="826" t="str">
        <f>IFERROR(INDEX(月例!$E$5:$E$788,MATCH("図書印刷費|L|14",月例!$T$5:$T$788,0)),"")</f>
        <v>国家公務員等共済組合関係法令要覧追録５３９－５４６号</v>
      </c>
      <c r="M19" s="830">
        <f>IFERROR(INDEX(月例!$R$5:$R$788,MATCH("図書印刷費|L|14",月例!$T$5:$T$788,0)),"")</f>
        <v>35200</v>
      </c>
      <c r="N19" s="831">
        <f>IF(M19="","",N18-M19)</f>
        <v>-394352</v>
      </c>
      <c r="O19" s="829" t="str">
        <f>IFERROR(INDEX(月例!$P$5:$P$788,MATCH("図書印刷費|L|14",月例!$T$5:$T$788,0)),"")</f>
        <v>確認済</v>
      </c>
      <c r="P19" s="825">
        <f>IFERROR(INDEX(月例!$A$5:$A$788,MATCH("委託費|L|14",月例!$T$5:$T$788,0)),"")</f>
        <v>43798</v>
      </c>
      <c r="Q19" s="826" t="str">
        <f>IFERROR(INDEX(月例!$E$5:$E$788,MATCH("委託費|L|14",月例!$T$5:$T$788,0)),"")</f>
        <v>基幹システム機器更改に伴う個別システム改修</v>
      </c>
      <c r="R19" s="830">
        <f>IFERROR(INDEX(月例!$R$5:$R$788,MATCH("委託費|L|14",月例!$T$5:$T$788,0)),"")</f>
        <v>5055402</v>
      </c>
      <c r="S19" s="831">
        <f>IF(R19="","",S18-R19)</f>
        <v>-4417114</v>
      </c>
      <c r="T19" s="829" t="str">
        <f>IFERROR(INDEX(月例!$P$5:$P$788,MATCH("委託費|L|14",月例!$T$5:$T$788,0)),"")</f>
        <v>昨年実績</v>
      </c>
    </row>
    <row r="20" ht="25.5" customHeight="1" s="186" thickBot="1">
      <c r="A20" s="825">
        <f>IFERROR(INDEX(月例!$A$5:$A$788,MATCH("事務用消耗品費|L|15",月例!$T$5:$T$788,0)),"")</f>
        <v>46325</v>
      </c>
      <c r="B20" s="826" t="str">
        <f>IFERROR(INDEX(月例!$E$5:$E$788,MATCH("事務用消耗品費|L|15",月例!$T$5:$T$788,0)),"")</f>
        <v>コピー用紙等購入代分担金　互助会（第２四半期）</v>
      </c>
      <c r="C20" s="830">
        <f>IFERROR(INDEX(月例!$R$5:$R$788,MATCH("事務用消耗品費|L|15",月例!$T$5:$T$788,0)),"")</f>
        <v>147320</v>
      </c>
      <c r="D20" s="831">
        <f>IF(C20="","",D19-C20)</f>
        <v>135342</v>
      </c>
      <c r="E20" s="829" t="str">
        <f>IFERROR(INDEX(月例!$P$5:$P$788,MATCH("事務用消耗品費|L|15",月例!$T$5:$T$788,0)),"")</f>
        <v>確認済</v>
      </c>
      <c r="F20" s="825">
        <f>IFERROR(INDEX(月例!$A$5:$A$788,MATCH("通信運搬費|L|15",月例!$T$5:$T$788,0)),"")</f>
        <v>45975</v>
      </c>
      <c r="G20" s="826" t="str">
        <f>IFERROR(INDEX(月例!$E$5:$E$788,MATCH("通信運搬費|L|15",月例!$T$5:$T$788,0)),"")</f>
        <v>ＦＡＸ電話代等分担金　互助会（第２四半期）[長期]</v>
      </c>
      <c r="H20" s="830">
        <f>IFERROR(INDEX(月例!$R$5:$R$788,MATCH("通信運搬費|L|15",月例!$T$5:$T$788,0)),"")</f>
        <v>5626</v>
      </c>
      <c r="I20" s="831">
        <f>IF(H20="","",I19-H20)</f>
        <v>3610183</v>
      </c>
      <c r="J20" s="829" t="str">
        <f>IFERROR(INDEX(月例!$P$5:$P$788,MATCH("通信運搬費|L|15",月例!$T$5:$T$788,0)),"")</f>
        <v>昨年実績</v>
      </c>
      <c r="K20" s="825">
        <f>IFERROR(INDEX(月例!$A$5:$A$788,MATCH("図書印刷費|L|15",月例!$T$5:$T$788,0)),"")</f>
        <v>44530</v>
      </c>
      <c r="L20" s="826" t="str">
        <f>IFERROR(INDEX(月例!$E$5:$E$788,MATCH("図書印刷費|L|15",月例!$T$5:$T$788,0)),"")</f>
        <v>地方公務員共済組合関係法令実例判例集追録1077-1083号</v>
      </c>
      <c r="M20" s="830">
        <f>IFERROR(INDEX(月例!$R$5:$R$788,MATCH("図書印刷費|L|15",月例!$T$5:$T$788,0)),"")</f>
        <v>19397</v>
      </c>
      <c r="N20" s="831">
        <f>IF(M20="","",N19-M20)</f>
        <v>-413749</v>
      </c>
      <c r="O20" s="829" t="str">
        <f>IFERROR(INDEX(月例!$P$5:$P$788,MATCH("図書印刷費|L|15",月例!$T$5:$T$788,0)),"")</f>
        <v>昨年実績</v>
      </c>
      <c r="P20" s="825">
        <f>IFERROR(INDEX(月例!$A$5:$A$788,MATCH("委託費|L|15",月例!$T$5:$T$788,0)),"")</f>
        <v>46324</v>
      </c>
      <c r="Q20" s="826" t="str">
        <f>IFERROR(INDEX(月例!$E$5:$E$788,MATCH("委託費|L|15",月例!$T$5:$T$788,0)),"")</f>
        <v>令和９年扶養親族等申告書折り業務</v>
      </c>
      <c r="R20" s="830">
        <f>IFERROR(INDEX(月例!$R$5:$R$788,MATCH("委託費|L|15",月例!$T$5:$T$788,0)),"")</f>
        <v>9685</v>
      </c>
      <c r="S20" s="831">
        <f>IF(R20="","",S19-R20)</f>
        <v>-4426799</v>
      </c>
      <c r="T20" s="829" t="str">
        <f>IFERROR(INDEX(月例!$P$5:$P$788,MATCH("委託費|L|15",月例!$T$5:$T$788,0)),"")</f>
        <v>確認済</v>
      </c>
    </row>
    <row r="21" ht="25.5" customHeight="1" s="186" thickBot="1">
      <c r="A21" s="825">
        <f>IFERROR(INDEX(月例!$A$5:$A$788,MATCH("事務用消耗品費|L|16",月例!$T$5:$T$788,0)),"")</f>
        <v>45975</v>
      </c>
      <c r="B21" s="826" t="str">
        <f>IFERROR(INDEX(月例!$E$5:$E$788,MATCH("事務用消耗品費|L|16",月例!$T$5:$T$788,0)),"")</f>
        <v>コピー用紙等購入代分担金　互助会（第２四半期）[長期]</v>
      </c>
      <c r="C21" s="830">
        <f>IFERROR(INDEX(月例!$R$5:$R$788,MATCH("事務用消耗品費|L|16",月例!$T$5:$T$788,0)),"")</f>
        <v>184593</v>
      </c>
      <c r="D21" s="831">
        <f>IF(C21="","",D20-C21)</f>
        <v>-49251</v>
      </c>
      <c r="E21" s="829" t="str">
        <f>IFERROR(INDEX(月例!$P$5:$P$788,MATCH("事務用消耗品費|L|16",月例!$T$5:$T$788,0)),"")</f>
        <v>昨年実績</v>
      </c>
      <c r="F21" s="825">
        <f>IFERROR(INDEX(月例!$A$5:$A$788,MATCH("通信運搬費|L|16",月例!$T$5:$T$788,0)),"")</f>
        <v>43791</v>
      </c>
      <c r="G21" s="826" t="str">
        <f>IFERROR(INDEX(月例!$E$5:$E$788,MATCH("通信運搬費|L|16",月例!$T$5:$T$788,0)),"")</f>
        <v>切手等</v>
      </c>
      <c r="H21" s="830">
        <f>IFERROR(INDEX(月例!$R$5:$R$788,MATCH("通信運搬費|L|16",月例!$T$5:$T$788,0)),"")</f>
        <v>224400</v>
      </c>
      <c r="I21" s="831">
        <f>IF(H21="","",I20-H21)</f>
        <v>3385783</v>
      </c>
      <c r="J21" s="829" t="str">
        <f>IFERROR(INDEX(月例!$P$5:$P$788,MATCH("通信運搬費|L|16",月例!$T$5:$T$788,0)),"")</f>
        <v>昨年実績</v>
      </c>
      <c r="K21" s="825">
        <f>IFERROR(INDEX(月例!$A$5:$A$788,MATCH("図書印刷費|L|16",月例!$T$5:$T$788,0)),"")</f>
        <v>46017</v>
      </c>
      <c r="L21" s="826" t="str">
        <f>IFERROR(INDEX(月例!$E$5:$E$788,MATCH("図書印刷費|L|16",月例!$T$5:$T$788,0)),"")</f>
        <v>広報誌等配布用窓付封筒　１２，２００枚</v>
      </c>
      <c r="M21" s="830">
        <f>IFERROR(INDEX(月例!$R$5:$R$788,MATCH("図書印刷費|L|16",月例!$T$5:$T$788,0)),"")</f>
        <v>37039</v>
      </c>
      <c r="N21" s="831">
        <f>IF(M21="","",N20-M21)</f>
        <v>-450788</v>
      </c>
      <c r="O21" s="829" t="str">
        <f>IFERROR(INDEX(月例!$P$5:$P$788,MATCH("図書印刷費|L|16",月例!$T$5:$T$788,0)),"")</f>
        <v>昨年実績</v>
      </c>
      <c r="P21" s="825">
        <f>IFERROR(INDEX(月例!$A$5:$A$788,MATCH("委託費|L|16",月例!$T$5:$T$788,0)),"")</f>
        <v>45996</v>
      </c>
      <c r="Q21" s="826" t="str">
        <f>IFERROR(INDEX(月例!$E$5:$E$788,MATCH("委託費|L|16",月例!$T$5:$T$788,0)),"")</f>
        <v>清掃・警備・ごみ処理料（広島市４～９月分）</v>
      </c>
      <c r="R21" s="830">
        <f>IFERROR(INDEX(月例!$R$5:$R$788,MATCH("委託費|L|16",月例!$T$5:$T$788,0)),"")</f>
        <v>34460</v>
      </c>
      <c r="S21" s="831">
        <f>IF(R21="","",S20-R21)</f>
        <v>-4461259</v>
      </c>
      <c r="T21" s="829" t="str">
        <f>IFERROR(INDEX(月例!$P$5:$P$788,MATCH("委託費|L|16",月例!$T$5:$T$788,0)),"")</f>
        <v>昨年実績</v>
      </c>
    </row>
    <row r="22" ht="25.5" customHeight="1" s="186">
      <c r="A22" s="825">
        <f>IFERROR(INDEX(月例!$A$5:$A$788,MATCH("事務用消耗品費|L|17",月例!$T$5:$T$788,0)),"")</f>
        <v>45259</v>
      </c>
      <c r="B22" s="826" t="str">
        <f>IFERROR(INDEX(月例!$E$5:$E$788,MATCH("事務用消耗品費|L|17",月例!$T$5:$T$788,0)),"")</f>
        <v>インデックス　ML-131B 10冊入　2箱　ほか</v>
      </c>
      <c r="C22" s="830">
        <f>IFERROR(INDEX(月例!$R$5:$R$788,MATCH("事務用消耗品費|L|17",月例!$T$5:$T$788,0)),"")</f>
        <v>49579</v>
      </c>
      <c r="D22" s="831">
        <f>IF(C22="","",D21-C22)</f>
        <v>-98830</v>
      </c>
      <c r="E22" s="829" t="str">
        <f>IFERROR(INDEX(月例!$P$5:$P$788,MATCH("事務用消耗品費|L|17",月例!$T$5:$T$788,0)),"")</f>
        <v>昨年実績</v>
      </c>
      <c r="F22" s="825">
        <f>IFERROR(INDEX(月例!$A$5:$A$788,MATCH("通信運搬費|L|17",月例!$T$5:$T$788,0)),"")</f>
        <v>45989</v>
      </c>
      <c r="G22" s="826" t="str">
        <f>IFERROR(INDEX(月例!$E$5:$E$788,MATCH("通信運搬費|L|17",月例!$T$5:$T$788,0)),"")</f>
        <v>料金後納利用料（１０月分）</v>
      </c>
      <c r="H22" s="830">
        <f>IFERROR(INDEX(月例!$R$5:$R$788,MATCH("通信運搬費|L|17",月例!$T$5:$T$788,0)),"")</f>
        <v>1132380</v>
      </c>
      <c r="I22" s="831">
        <f>IF(H22="","",I21-H22)</f>
        <v>2253403</v>
      </c>
      <c r="J22" s="829" t="str">
        <f>IFERROR(INDEX(月例!$P$5:$P$788,MATCH("通信運搬費|L|17",月例!$T$5:$T$788,0)),"")</f>
        <v>昨年実績</v>
      </c>
      <c r="K22" s="825">
        <f>IFERROR(INDEX(月例!$A$5:$A$788,MATCH("図書印刷費|L|17",月例!$T$5:$T$788,0)),"")</f>
        <v>46037</v>
      </c>
      <c r="L22" s="826" t="str">
        <f>IFERROR(INDEX(月例!$E$5:$E$788,MATCH("図書印刷費|L|17",月例!$T$5:$T$788,0)),"")</f>
        <v>地方公務員共済組合関係法令実例判例集追録1164-1170号</v>
      </c>
      <c r="M22" s="830">
        <f>IFERROR(INDEX(月例!$R$5:$R$788,MATCH("図書印刷費|L|17",月例!$T$5:$T$788,0)),"")</f>
        <v>22050</v>
      </c>
      <c r="N22" s="831">
        <f>IF(M22="","",N21-M22)</f>
        <v>-472838</v>
      </c>
      <c r="O22" s="829" t="str">
        <f>IFERROR(INDEX(月例!$P$5:$P$788,MATCH("図書印刷費|L|17",月例!$T$5:$T$788,0)),"")</f>
        <v>昨年実績</v>
      </c>
      <c r="P22" s="825">
        <f>IFERROR(INDEX(月例!$A$5:$A$788,MATCH("委託費|L|17",月例!$T$5:$T$788,0)),"")</f>
        <v>43826</v>
      </c>
      <c r="Q22" s="826" t="str">
        <f>IFERROR(INDEX(月例!$E$5:$E$788,MATCH("委託費|L|17",月例!$T$5:$T$788,0)),"")</f>
        <v>「年金だより」配布に伴う封入等作業料金（12月）</v>
      </c>
      <c r="R22" s="830">
        <f>IFERROR(INDEX(月例!$R$5:$R$788,MATCH("委託費|L|17",月例!$T$5:$T$788,0)),"")</f>
        <v>31466</v>
      </c>
      <c r="S22" s="831">
        <f>IF(R22="","",S21-R22)</f>
        <v>-4492725</v>
      </c>
      <c r="T22" s="829" t="str">
        <f>IFERROR(INDEX(月例!$P$5:$P$788,MATCH("委託費|L|17",月例!$T$5:$T$788,0)),"")</f>
        <v>昨年実績</v>
      </c>
    </row>
    <row r="23" ht="25.5" customHeight="1" s="186">
      <c r="A23" s="825">
        <f>IFERROR(INDEX(月例!$A$5:$A$788,MATCH("事務用消耗品費|L|18",月例!$T$5:$T$788,0)),"")</f>
        <v>45975</v>
      </c>
      <c r="B23" s="826" t="str">
        <f>IFERROR(INDEX(月例!$E$5:$E$788,MATCH("事務用消耗品費|L|18",月例!$T$5:$T$788,0)),"")</f>
        <v>机上プリンターラック　　PR-21 171-777　1台</v>
      </c>
      <c r="C23" s="830">
        <f>IFERROR(INDEX(月例!$R$5:$R$788,MATCH("事務用消耗品費|L|18",月例!$T$5:$T$788,0)),"")</f>
        <v>19260</v>
      </c>
      <c r="D23" s="831">
        <f>IF(C23="","",D22-C23)</f>
        <v>-118090</v>
      </c>
      <c r="E23" s="829" t="str">
        <f>IFERROR(INDEX(月例!$P$5:$P$788,MATCH("事務用消耗品費|L|18",月例!$T$5:$T$788,0)),"")</f>
        <v>昨年実績</v>
      </c>
      <c r="F23" s="825">
        <f>IFERROR(INDEX(月例!$A$5:$A$788,MATCH("通信運搬費|L|18",月例!$T$5:$T$788,0)),"")</f>
        <v>45996</v>
      </c>
      <c r="G23" s="826" t="str">
        <f>IFERROR(INDEX(月例!$E$5:$E$788,MATCH("通信運搬費|L|18",月例!$T$5:$T$788,0)),"")</f>
        <v>電話料（広島市４～９月分）</v>
      </c>
      <c r="H23" s="830">
        <f>IFERROR(INDEX(月例!$R$5:$R$788,MATCH("通信運搬費|L|18",月例!$T$5:$T$788,0)),"")</f>
        <v>18000</v>
      </c>
      <c r="I23" s="831">
        <f>IF(H23="","",I22-H23)</f>
        <v>2235403</v>
      </c>
      <c r="J23" s="829" t="str">
        <f>IFERROR(INDEX(月例!$P$5:$P$788,MATCH("通信運搬費|L|18",月例!$T$5:$T$788,0)),"")</f>
        <v>昨年実績</v>
      </c>
      <c r="K23" s="825">
        <f>IFERROR(INDEX(月例!$A$5:$A$788,MATCH("図書印刷費|L|18",月例!$T$5:$T$788,0)),"")</f>
        <v>45653</v>
      </c>
      <c r="L23" s="826" t="str">
        <f>IFERROR(INDEX(月例!$E$5:$E$788,MATCH("図書印刷費|L|18",月例!$T$5:$T$788,0)),"")</f>
        <v>国家公務員等共済組合関係法令要覧追録504-514号</v>
      </c>
      <c r="M23" s="830">
        <f>IFERROR(INDEX(月例!$R$5:$R$788,MATCH("図書印刷費|L|18",月例!$T$5:$T$788,0)),"")</f>
        <v>44000</v>
      </c>
      <c r="N23" s="831">
        <f>IF(M23="","",N22-M23)</f>
        <v>-516838</v>
      </c>
      <c r="O23" s="829" t="str">
        <f>IFERROR(INDEX(月例!$P$5:$P$788,MATCH("図書印刷費|L|18",月例!$T$5:$T$788,0)),"")</f>
        <v>昨年実績</v>
      </c>
      <c r="P23" s="825">
        <f>IFERROR(INDEX(月例!$A$5:$A$788,MATCH("委託費|L|18",月例!$T$5:$T$788,0)),"")</f>
        <v>46017</v>
      </c>
      <c r="Q23" s="826" t="str">
        <f>IFERROR(INDEX(月例!$E$5:$E$788,MATCH("委託費|L|18",月例!$T$5:$T$788,0)),"")</f>
        <v>ねんきん定期便（１１月分）送付業務</v>
      </c>
      <c r="R23" s="830">
        <f>IFERROR(INDEX(月例!$R$5:$R$788,MATCH("委託費|L|18",月例!$T$5:$T$788,0)),"")</f>
        <v>81368</v>
      </c>
      <c r="S23" s="831">
        <f>IF(R23="","",S22-R23)</f>
        <v>-4574093</v>
      </c>
      <c r="T23" s="829" t="str">
        <f>IFERROR(INDEX(月例!$P$5:$P$788,MATCH("委託費|L|18",月例!$T$5:$T$788,0)),"")</f>
        <v>昨年実績</v>
      </c>
    </row>
    <row r="24" ht="39.75" customHeight="1" s="186">
      <c r="A24" s="825">
        <f>IFERROR(INDEX(月例!$A$5:$A$788,MATCH("事務用消耗品費|L|19",月例!$T$5:$T$788,0)),"")</f>
        <v>45639</v>
      </c>
      <c r="B24" s="826" t="str">
        <f>IFERROR(INDEX(月例!$E$5:$E$788,MATCH("事務用消耗品費|L|19",月例!$T$5:$T$788,0)),"")</f>
        <v>トナーカートリッジ　PR-L5350-12　１個　</v>
      </c>
      <c r="C24" s="830">
        <f>IFERROR(INDEX(月例!$R$5:$R$788,MATCH("事務用消耗品費|L|19",月例!$T$5:$T$788,0)),"")</f>
        <v>6490</v>
      </c>
      <c r="D24" s="831">
        <f>IF(C24="","",D23-C24)</f>
        <v>-124580</v>
      </c>
      <c r="E24" s="829" t="str">
        <f>IFERROR(INDEX(月例!$P$5:$P$788,MATCH("事務用消耗品費|L|19",月例!$T$5:$T$788,0)),"")</f>
        <v>昨年実績</v>
      </c>
      <c r="F24" s="825">
        <f>IFERROR(INDEX(月例!$A$5:$A$788,MATCH("通信運搬費|L|19",月例!$T$5:$T$788,0)),"")</f>
        <v>45638</v>
      </c>
      <c r="G24" s="826" t="str">
        <f>IFERROR(INDEX(月例!$E$5:$E$788,MATCH("通信運搬費|L|19",月例!$T$5:$T$788,0)),"")</f>
        <v>切手、レターパック</v>
      </c>
      <c r="H24" s="830">
        <f>IFERROR(INDEX(月例!$R$5:$R$788,MATCH("通信運搬費|L|19",月例!$T$5:$T$788,0)),"")</f>
        <v>288200</v>
      </c>
      <c r="I24" s="831">
        <f>IF(H24="","",I23-H24)</f>
        <v>1947203</v>
      </c>
      <c r="J24" s="829" t="str">
        <f>IFERROR(INDEX(月例!$P$5:$P$788,MATCH("通信運搬費|L|19",月例!$T$5:$T$788,0)),"")</f>
        <v>昨年実績</v>
      </c>
      <c r="K24" s="825">
        <f>IFERROR(INDEX(月例!$A$5:$A$788,MATCH("図書印刷費|L|19",月例!$T$5:$T$788,0)),"")</f>
        <v>46066</v>
      </c>
      <c r="L24" s="826" t="str">
        <f>IFERROR(INDEX(月例!$E$5:$E$788,MATCH("図書印刷費|L|19",月例!$T$5:$T$788,0)),"")</f>
        <v>国家公務員等共済組合関係法令要覧追録531-534号、通達実例集110-111号</v>
      </c>
      <c r="M24" s="830">
        <f>IFERROR(INDEX(月例!$R$5:$R$788,MATCH("図書印刷費|L|19",月例!$T$5:$T$788,0)),"")</f>
        <v>26400</v>
      </c>
      <c r="N24" s="831">
        <f>IF(M24="","",N23-M24)</f>
        <v>-543238</v>
      </c>
      <c r="O24" s="829" t="str">
        <f>IFERROR(INDEX(月例!$P$5:$P$788,MATCH("図書印刷費|L|19",月例!$T$5:$T$788,0)),"")</f>
        <v>昨年実績</v>
      </c>
      <c r="P24" s="825">
        <f>IFERROR(INDEX(月例!$A$5:$A$788,MATCH("委託費|L|19",月例!$T$5:$T$788,0)),"")</f>
        <v>46066</v>
      </c>
      <c r="Q24" s="826" t="str">
        <f>IFERROR(INDEX(月例!$E$5:$E$788,MATCH("委託費|L|19",月例!$T$5:$T$788,0)),"")</f>
        <v>「年金だより」配布に伴う封入作業料金（１２月支給期）</v>
      </c>
      <c r="R24" s="830">
        <f>IFERROR(INDEX(月例!$R$5:$R$788,MATCH("委託費|L|19",月例!$T$5:$T$788,0)),"")</f>
        <v>42026</v>
      </c>
      <c r="S24" s="831">
        <f>IF(R24="","",S23-R24)</f>
        <v>-4616119</v>
      </c>
      <c r="T24" s="829" t="str">
        <f>IFERROR(INDEX(月例!$P$5:$P$788,MATCH("委託費|L|19",月例!$T$5:$T$788,0)),"")</f>
        <v>昨年実績</v>
      </c>
    </row>
    <row r="25" ht="25.5" customHeight="1" s="186">
      <c r="A25" s="825">
        <f>IFERROR(INDEX(月例!$A$5:$A$788,MATCH("事務用消耗品費|L|20",月例!$T$5:$T$788,0)),"")</f>
        <v>45296</v>
      </c>
      <c r="B25" s="826" t="str">
        <f>IFERROR(INDEX(月例!$E$5:$E$788,MATCH("事務用消耗品費|L|20",月例!$T$5:$T$788,0)),"")</f>
        <v>トナーカートリッジ（再生品）ＬＰＢ３Ｔ２７　９個</v>
      </c>
      <c r="C25" s="830">
        <f>IFERROR(INDEX(月例!$R$5:$R$788,MATCH("事務用消耗品費|L|20",月例!$T$5:$T$788,0)),"")</f>
        <v>47520</v>
      </c>
      <c r="D25" s="831">
        <f>IF(C25="","",D24-C25)</f>
        <v>-172100</v>
      </c>
      <c r="E25" s="829" t="str">
        <f>IFERROR(INDEX(月例!$P$5:$P$788,MATCH("事務用消耗品費|L|20",月例!$T$5:$T$788,0)),"")</f>
        <v>昨年実績</v>
      </c>
      <c r="F25" s="825">
        <f>IFERROR(INDEX(月例!$A$5:$A$788,MATCH("通信運搬費|L|20",月例!$T$5:$T$788,0)),"")</f>
        <v>46017</v>
      </c>
      <c r="G25" s="826" t="str">
        <f>IFERROR(INDEX(月例!$E$5:$E$788,MATCH("通信運搬費|L|20",月例!$T$5:$T$788,0)),"")</f>
        <v>料金後納利用料（１１月分）</v>
      </c>
      <c r="H25" s="830">
        <f>IFERROR(INDEX(月例!$R$5:$R$788,MATCH("通信運搬費|L|20",月例!$T$5:$T$788,0)),"")</f>
        <v>38815</v>
      </c>
      <c r="I25" s="831">
        <f>IF(H25="","",I24-H25)</f>
        <v>1908388</v>
      </c>
      <c r="J25" s="829" t="str">
        <f>IFERROR(INDEX(月例!$P$5:$P$788,MATCH("通信運搬費|L|20",月例!$T$5:$T$788,0)),"")</f>
        <v>昨年実績</v>
      </c>
      <c r="K25" s="825">
        <f>IFERROR(INDEX(月例!$A$5:$A$788,MATCH("図書印刷費|L|20",月例!$T$5:$T$788,0)),"")</f>
        <v>44253</v>
      </c>
      <c r="L25" s="826" t="str">
        <f>IFERROR(INDEX(月例!$E$5:$E$788,MATCH("図書印刷費|L|20",月例!$T$5:$T$788,0)),"")</f>
        <v>国家公務員等共済組合関係法令要覧追録４５０－４５４号</v>
      </c>
      <c r="M25" s="830">
        <f>IFERROR(INDEX(月例!$R$5:$R$788,MATCH("図書印刷費|L|20",月例!$T$5:$T$788,0)),"")</f>
        <v>19965</v>
      </c>
      <c r="N25" s="831">
        <f>IF(M25="","",N24-M25)</f>
        <v>-563203</v>
      </c>
      <c r="O25" s="829" t="str">
        <f>IFERROR(INDEX(月例!$P$5:$P$788,MATCH("図書印刷費|L|20",月例!$T$5:$T$788,0)),"")</f>
        <v>昨年実績</v>
      </c>
      <c r="P25" s="825">
        <f>IFERROR(INDEX(月例!$A$5:$A$788,MATCH("委託費|L|20",月例!$T$5:$T$788,0)),"")</f>
        <v>46051</v>
      </c>
      <c r="Q25" s="826" t="str">
        <f>IFERROR(INDEX(月例!$E$5:$E$788,MATCH("委託費|L|20",月例!$T$5:$T$788,0)),"")</f>
        <v>ねんきん定期便（１２月分）送付業務</v>
      </c>
      <c r="R25" s="830">
        <f>IFERROR(INDEX(月例!$R$5:$R$788,MATCH("委託費|L|20",月例!$T$5:$T$788,0)),"")</f>
        <v>85123</v>
      </c>
      <c r="S25" s="831">
        <f>IF(R25="","",S24-R25)</f>
        <v>-4701242</v>
      </c>
      <c r="T25" s="829" t="str">
        <f>IFERROR(INDEX(月例!$P$5:$P$788,MATCH("委託費|L|20",月例!$T$5:$T$788,0)),"")</f>
        <v>昨年実績</v>
      </c>
    </row>
    <row r="26" ht="25.5" customHeight="1" s="186">
      <c r="A26" s="825">
        <f>IFERROR(INDEX(月例!$A$5:$A$788,MATCH("事務用消耗品費|L|21",月例!$T$5:$T$788,0)),"")</f>
        <v>44592</v>
      </c>
      <c r="B26" s="826" t="str">
        <f>IFERROR(INDEX(月例!$E$5:$E$788,MATCH("事務用消耗品費|L|21",月例!$T$5:$T$788,0)),"")</f>
        <v>定着ユニット</v>
      </c>
      <c r="C26" s="830">
        <f>IFERROR(INDEX(月例!$R$5:$R$788,MATCH("事務用消耗品費|L|21",月例!$T$5:$T$788,0)),"")</f>
        <v>9735</v>
      </c>
      <c r="D26" s="831">
        <f>IF(C26="","",D25-C26)</f>
        <v>-181835</v>
      </c>
      <c r="E26" s="829" t="str">
        <f>IFERROR(INDEX(月例!$P$5:$P$788,MATCH("事務用消耗品費|L|21",月例!$T$5:$T$788,0)),"")</f>
        <v>昨年実績</v>
      </c>
      <c r="F26" s="825">
        <f>IFERROR(INDEX(月例!$A$5:$A$788,MATCH("通信運搬費|L|21",月例!$T$5:$T$788,0)),"")</f>
        <v>43483</v>
      </c>
      <c r="G26" s="826" t="str">
        <f>IFERROR(INDEX(月例!$E$5:$E$788,MATCH("通信運搬費|L|21",月例!$T$5:$T$788,0)),"")</f>
        <v>切手</v>
      </c>
      <c r="H26" s="830">
        <f>IFERROR(INDEX(月例!$R$5:$R$788,MATCH("通信運搬費|L|21",月例!$T$5:$T$788,0)),"")</f>
        <v>640300</v>
      </c>
      <c r="I26" s="831">
        <f>IF(H26="","",I25-H26)</f>
        <v>1268088</v>
      </c>
      <c r="J26" s="829" t="str">
        <f>IFERROR(INDEX(月例!$P$5:$P$788,MATCH("通信運搬費|L|21",月例!$T$5:$T$788,0)),"")</f>
        <v>昨年実績</v>
      </c>
      <c r="K26" s="825">
        <f>IFERROR(INDEX(月例!$A$5:$A$788,MATCH("図書印刷費|L|21",月例!$T$5:$T$788,0)),"")</f>
        <v>43875</v>
      </c>
      <c r="L26" s="826" t="str">
        <f>IFERROR(INDEX(月例!$E$5:$E$788,MATCH("図書印刷費|L|21",月例!$T$5:$T$788,0)),"")</f>
        <v>書籍３冊</v>
      </c>
      <c r="M26" s="830">
        <f>IFERROR(INDEX(月例!$R$5:$R$788,MATCH("図書印刷費|L|21",月例!$T$5:$T$788,0)),"")</f>
        <v>4400</v>
      </c>
      <c r="N26" s="831">
        <f>IF(M26="","",N25-M26)</f>
        <v>-567603</v>
      </c>
      <c r="O26" s="829" t="str">
        <f>IFERROR(INDEX(月例!$P$5:$P$788,MATCH("図書印刷費|L|21",月例!$T$5:$T$788,0)),"")</f>
        <v>昨年実績</v>
      </c>
      <c r="P26" s="825">
        <f>IFERROR(INDEX(月例!$A$5:$A$788,MATCH("委託費|L|21",月例!$T$5:$T$788,0)),"")</f>
        <v>46080</v>
      </c>
      <c r="Q26" s="826" t="str">
        <f>IFERROR(INDEX(月例!$E$5:$E$788,MATCH("委託費|L|21",月例!$T$5:$T$788,0)),"")</f>
        <v>ねんきん定期便（１月分）送付業務</v>
      </c>
      <c r="R26" s="830">
        <f>IFERROR(INDEX(月例!$R$5:$R$788,MATCH("委託費|L|21",月例!$T$5:$T$788,0)),"")</f>
        <v>84507</v>
      </c>
      <c r="S26" s="831">
        <f>IF(R26="","",S25-R26)</f>
        <v>-4785749</v>
      </c>
      <c r="T26" s="829" t="str">
        <f>IFERROR(INDEX(月例!$P$5:$P$788,MATCH("委託費|L|21",月例!$T$5:$T$788,0)),"")</f>
        <v>昨年実績</v>
      </c>
    </row>
    <row r="27" ht="25.5" customHeight="1" s="186" thickBot="1">
      <c r="A27" s="825">
        <f>IFERROR(INDEX(月例!$A$5:$A$788,MATCH("事務用消耗品費|L|22",月例!$T$5:$T$788,0)),"")</f>
        <v>44592</v>
      </c>
      <c r="B27" s="826" t="str">
        <f>IFERROR(INDEX(月例!$E$5:$E$788,MATCH("事務用消耗品費|L|22",月例!$T$5:$T$788,0)),"")</f>
        <v>カラー用紙厚口／500枚／コスモス</v>
      </c>
      <c r="C27" s="830">
        <f>IFERROR(INDEX(月例!$R$5:$R$788,MATCH("事務用消耗品費|L|22",月例!$T$5:$T$788,0)),"")</f>
        <v>1108</v>
      </c>
      <c r="D27" s="831">
        <f>IF(C27="","",D26-C27)</f>
        <v>-182943</v>
      </c>
      <c r="E27" s="829" t="str">
        <f>IFERROR(INDEX(月例!$P$5:$P$788,MATCH("事務用消耗品費|L|22",月例!$T$5:$T$788,0)),"")</f>
        <v>昨年実績</v>
      </c>
      <c r="F27" s="825">
        <f>IFERROR(INDEX(月例!$A$5:$A$788,MATCH("通信運搬費|L|22",月例!$T$5:$T$788,0)),"")</f>
        <v>45309</v>
      </c>
      <c r="G27" s="826" t="str">
        <f>IFERROR(INDEX(月例!$E$5:$E$788,MATCH("通信運搬費|L|22",月例!$T$5:$T$788,0)),"")</f>
        <v>切手</v>
      </c>
      <c r="H27" s="830">
        <f>IFERROR(INDEX(月例!$R$5:$R$788,MATCH("通信運搬費|L|22",月例!$T$5:$T$788,0)),"")</f>
        <v>148800</v>
      </c>
      <c r="I27" s="831">
        <f>IF(H27="","",I26-H27)</f>
        <v>1119288</v>
      </c>
      <c r="J27" s="829" t="str">
        <f>IFERROR(INDEX(月例!$P$5:$P$788,MATCH("通信運搬費|L|22",月例!$T$5:$T$788,0)),"")</f>
        <v>昨年実績</v>
      </c>
      <c r="K27" s="825">
        <f>IFERROR(INDEX(月例!$A$5:$A$788,MATCH("図書印刷費|L|22",月例!$T$5:$T$788,0)),"")</f>
        <v>45744</v>
      </c>
      <c r="L27" s="826" t="str">
        <f>IFERROR(INDEX(月例!$E$5:$E$788,MATCH("図書印刷費|L|22",月例!$T$5:$T$788,0)),"")</f>
        <v>地方公務員共済組合関係法令実例判例集追録1155-1158号</v>
      </c>
      <c r="M27" s="830">
        <f>IFERROR(INDEX(月例!$R$5:$R$788,MATCH("図書印刷費|L|22",月例!$T$5:$T$788,0)),"")</f>
        <v>12016</v>
      </c>
      <c r="N27" s="831">
        <f>IF(M27="","",N26-M27)</f>
        <v>-579619</v>
      </c>
      <c r="O27" s="829" t="str">
        <f>IFERROR(INDEX(月例!$P$5:$P$788,MATCH("図書印刷費|L|22",月例!$T$5:$T$788,0)),"")</f>
        <v>昨年実績</v>
      </c>
      <c r="P27" s="825">
        <f>IFERROR(INDEX(月例!$A$5:$A$788,MATCH("委託費|L|22",月例!$T$5:$T$788,0)),"")</f>
        <v>46108</v>
      </c>
      <c r="Q27" s="826" t="str">
        <f>IFERROR(INDEX(月例!$E$5:$E$788,MATCH("委託費|L|22",月例!$T$5:$T$788,0)),"")</f>
        <v>ねんきん定期便（２月分）送付業務</v>
      </c>
      <c r="R27" s="830">
        <f>IFERROR(INDEX(月例!$R$5:$R$788,MATCH("委託費|L|22",月例!$T$5:$T$788,0)),"")</f>
        <v>78590</v>
      </c>
      <c r="S27" s="831">
        <f>IF(R27="","",S26-R27)</f>
        <v>-4864339</v>
      </c>
      <c r="T27" s="829" t="str">
        <f>IFERROR(INDEX(月例!$P$5:$P$788,MATCH("委託費|L|22",月例!$T$5:$T$788,0)),"")</f>
        <v>昨年実績</v>
      </c>
    </row>
    <row r="28" ht="25.5" customHeight="1" s="186" thickBot="1">
      <c r="A28" s="825">
        <f>IFERROR(INDEX(月例!$A$5:$A$788,MATCH("事務用消耗品費|L|23",月例!$T$5:$T$788,0)),"")</f>
        <v>44242</v>
      </c>
      <c r="B28" s="826" t="str">
        <f>IFERROR(INDEX(月例!$E$5:$E$788,MATCH("事務用消耗品費|L|23",月例!$T$5:$T$788,0)),"")</f>
        <v>コピファイルボックス　フーＥ４５０Ｂ　５０冊他</v>
      </c>
      <c r="C28" s="830">
        <f>IFERROR(INDEX(月例!$R$5:$R$788,MATCH("事務用消耗品費|L|23",月例!$T$5:$T$788,0)),"")</f>
        <v>18540</v>
      </c>
      <c r="D28" s="831">
        <f>IF(C28="","",D27-C28)</f>
        <v>-201483</v>
      </c>
      <c r="E28" s="829" t="str">
        <f>IFERROR(INDEX(月例!$P$5:$P$788,MATCH("事務用消耗品費|L|23",月例!$T$5:$T$788,0)),"")</f>
        <v>昨年実績</v>
      </c>
      <c r="F28" s="825">
        <f>IFERROR(INDEX(月例!$A$5:$A$788,MATCH("通信運搬費|L|23",月例!$T$5:$T$788,0)),"")</f>
        <v>46051</v>
      </c>
      <c r="G28" s="826" t="str">
        <f>IFERROR(INDEX(月例!$E$5:$E$788,MATCH("通信運搬費|L|23",月例!$T$5:$T$788,0)),"")</f>
        <v>料金後納利用料（１２月分）</v>
      </c>
      <c r="H28" s="830">
        <f>IFERROR(INDEX(月例!$R$5:$R$788,MATCH("通信運搬費|L|23",月例!$T$5:$T$788,0)),"")</f>
        <v>1243800</v>
      </c>
      <c r="I28" s="831">
        <f>IF(H28="","",I27-H28)</f>
        <v>-124512</v>
      </c>
      <c r="J28" s="829" t="str">
        <f>IFERROR(INDEX(月例!$P$5:$P$788,MATCH("通信運搬費|L|23",月例!$T$5:$T$788,0)),"")</f>
        <v>昨年実績</v>
      </c>
      <c r="K28" s="825">
        <f>IFERROR(INDEX(月例!$A$5:$A$788,MATCH("図書印刷費|L|23",月例!$T$5:$T$788,0)),"")</f>
        <v>45380</v>
      </c>
      <c r="L28" s="826" t="str">
        <f>IFERROR(INDEX(月例!$E$5:$E$788,MATCH("図書印刷費|L|23",月例!$T$5:$T$788,0)),"")</f>
        <v>国家公務員等共済組合関係通達実例集追録107号</v>
      </c>
      <c r="M28" s="830">
        <f>IFERROR(INDEX(月例!$R$5:$R$788,MATCH("図書印刷費|L|23",月例!$T$5:$T$788,0)),"")</f>
        <v>4400</v>
      </c>
      <c r="N28" s="831">
        <f>IF(M28="","",N27-M28)</f>
        <v>-584019</v>
      </c>
      <c r="O28" s="829" t="str">
        <f>IFERROR(INDEX(月例!$P$5:$P$788,MATCH("図書印刷費|L|23",月例!$T$5:$T$788,0)),"")</f>
        <v>昨年実績</v>
      </c>
      <c r="P28" s="825">
        <f>IFERROR(INDEX(月例!$A$5:$A$788,MATCH("委託費|L|23",月例!$T$5:$T$788,0)),"")</f>
        <v>45031</v>
      </c>
      <c r="Q28" s="826" t="str">
        <f>IFERROR(INDEX(月例!$E$5:$E$788,MATCH("委託費|L|23",月例!$T$5:$T$788,0)),"")</f>
        <v>ねんきん定期便（３月分）送付業務</v>
      </c>
      <c r="R28" s="830">
        <f>IFERROR(INDEX(月例!$R$5:$R$788,MATCH("委託費|L|23",月例!$T$5:$T$788,0)),"")</f>
        <v>58300</v>
      </c>
      <c r="S28" s="831">
        <f>IF(R28="","",S27-R28)</f>
        <v>-4922639</v>
      </c>
      <c r="T28" s="829" t="str">
        <f>IFERROR(INDEX(月例!$P$5:$P$788,MATCH("委託費|L|23",月例!$T$5:$T$788,0)),"")</f>
        <v>昨年実績</v>
      </c>
    </row>
    <row r="29" ht="25.5" customHeight="1" s="186">
      <c r="A29" s="825">
        <f>IFERROR(INDEX(月例!$A$5:$A$788,MATCH("事務用消耗品費|L|24",月例!$T$5:$T$788,0)),"")</f>
        <v>46052</v>
      </c>
      <c r="B29" s="826" t="str">
        <f>IFERROR(INDEX(月例!$E$5:$E$788,MATCH("事務用消耗品費|L|24",月例!$T$5:$T$788,0)),"")</f>
        <v>コピー用紙等購入代分担金　互助会（第３四半期）</v>
      </c>
      <c r="C29" s="830">
        <f>IFERROR(INDEX(月例!$R$5:$R$788,MATCH("事務用消耗品費|L|24",月例!$T$5:$T$788,0)),"")</f>
        <v>71787</v>
      </c>
      <c r="D29" s="831">
        <f>IF(C29="","",D28-C29)</f>
        <v>-273270</v>
      </c>
      <c r="E29" s="829" t="str">
        <f>IFERROR(INDEX(月例!$P$5:$P$788,MATCH("事務用消耗品費|L|24",月例!$T$5:$T$788,0)),"")</f>
        <v>昨年実績</v>
      </c>
      <c r="F29" s="825">
        <f>IFERROR(INDEX(月例!$A$5:$A$788,MATCH("通信運搬費|L|24",月例!$T$5:$T$788,0)),"")</f>
        <v>43873</v>
      </c>
      <c r="G29" s="826" t="str">
        <f>IFERROR(INDEX(月例!$E$5:$E$788,MATCH("通信運搬費|L|24",月例!$T$5:$T$788,0)),"")</f>
        <v>切手</v>
      </c>
      <c r="H29" s="830">
        <f>IFERROR(INDEX(月例!$R$5:$R$788,MATCH("通信運搬費|L|24",月例!$T$5:$T$788,0)),"")</f>
        <v>32000</v>
      </c>
      <c r="I29" s="831">
        <f>IF(H29="","",I28-H29)</f>
        <v>-156512</v>
      </c>
      <c r="J29" s="829" t="str">
        <f>IFERROR(INDEX(月例!$P$5:$P$788,MATCH("通信運搬費|L|24",月例!$T$5:$T$788,0)),"")</f>
        <v>昨年実績</v>
      </c>
      <c r="K29" s="825">
        <f>IFERROR(INDEX(月例!$A$5:$A$788,MATCH("図書印刷費|L|24",月例!$T$5:$T$788,0)),"")</f>
        <v>46108</v>
      </c>
      <c r="L29" s="826" t="str">
        <f>IFERROR(INDEX(月例!$E$5:$E$788,MATCH("図書印刷費|L|24",月例!$T$5:$T$788,0)),"")</f>
        <v>地方公務員共済組合関係法令実例判例集追録1171-1179号</v>
      </c>
      <c r="M29" s="830">
        <f>IFERROR(INDEX(月例!$R$5:$R$788,MATCH("図書印刷費|L|24",月例!$T$5:$T$788,0)),"")</f>
        <v>26757</v>
      </c>
      <c r="N29" s="831">
        <f>IF(M29="","",N28-M29)</f>
        <v>-610776</v>
      </c>
      <c r="O29" s="829" t="str">
        <f>IFERROR(INDEX(月例!$P$5:$P$788,MATCH("図書印刷費|L|24",月例!$T$5:$T$788,0)),"")</f>
        <v>昨年実績</v>
      </c>
      <c r="P29" s="825" t="str">
        <f>IFERROR(INDEX(月例!$A$5:$A$788,MATCH("委託費|L|24",月例!$T$5:$T$788,0)),"")</f>
        <v/>
      </c>
      <c r="Q29" s="826" t="str">
        <f>IFERROR(INDEX(月例!$E$5:$E$788,MATCH("委託費|L|24",月例!$T$5:$T$788,0)),"")</f>
        <v/>
      </c>
      <c r="R29" s="830" t="str">
        <f>IFERROR(INDEX(月例!$R$5:$R$788,MATCH("委託費|L|24",月例!$T$5:$T$788,0)),"")</f>
        <v/>
      </c>
      <c r="S29" s="831" t="str">
        <f>IF(R29="","",S28-R29)</f>
        <v/>
      </c>
      <c r="T29" s="829" t="str">
        <f>IFERROR(INDEX(月例!$P$5:$P$788,MATCH("委託費|L|24",月例!$T$5:$T$788,0)),"")</f>
        <v/>
      </c>
    </row>
    <row r="30" ht="25.5" customHeight="1" s="186" thickBot="1">
      <c r="A30" s="825">
        <f>IFERROR(INDEX(月例!$A$5:$A$788,MATCH("事務用消耗品費|L|25",月例!$T$5:$T$788,0)),"")</f>
        <v>44253</v>
      </c>
      <c r="B30" s="826" t="str">
        <f>IFERROR(INDEX(月例!$E$5:$E$788,MATCH("事務用消耗品費|L|25",月例!$T$5:$T$788,0)),"")</f>
        <v>色上質紙　厚口／５００枚／Ａ４／浅黄</v>
      </c>
      <c r="C30" s="830">
        <f>IFERROR(INDEX(月例!$R$5:$R$788,MATCH("事務用消耗品費|L|25",月例!$T$5:$T$788,0)),"")</f>
        <v>3696</v>
      </c>
      <c r="D30" s="831">
        <f>IF(C30="","",D29-C30)</f>
        <v>-276966</v>
      </c>
      <c r="E30" s="829" t="str">
        <f>IFERROR(INDEX(月例!$P$5:$P$788,MATCH("事務用消耗品費|L|25",月例!$T$5:$T$788,0)),"")</f>
        <v>昨年実績</v>
      </c>
      <c r="F30" s="825">
        <f>IFERROR(INDEX(月例!$A$5:$A$788,MATCH("通信運搬費|L|25",月例!$T$5:$T$788,0)),"")</f>
        <v>46052</v>
      </c>
      <c r="G30" s="826" t="str">
        <f>IFERROR(INDEX(月例!$E$5:$E$788,MATCH("通信運搬費|L|25",月例!$T$5:$T$788,0)),"")</f>
        <v>ＦＡＸ電話代等分担金　互助会（第３四半期）</v>
      </c>
      <c r="H30" s="830">
        <f>IFERROR(INDEX(月例!$R$5:$R$788,MATCH("通信運搬費|L|25",月例!$T$5:$T$788,0)),"")</f>
        <v>5235</v>
      </c>
      <c r="I30" s="831">
        <f>IF(H30="","",I29-H30)</f>
        <v>-161747</v>
      </c>
      <c r="J30" s="829" t="str">
        <f>IFERROR(INDEX(月例!$P$5:$P$788,MATCH("通信運搬費|L|25",月例!$T$5:$T$788,0)),"")</f>
        <v>昨年実績</v>
      </c>
      <c r="K30" s="825" t="str">
        <f>IFERROR(INDEX(月例!$A$5:$A$788,MATCH("図書印刷費|L|25",月例!$T$5:$T$788,0)),"")</f>
        <v/>
      </c>
      <c r="L30" s="826" t="str">
        <f>IFERROR(INDEX(月例!$E$5:$E$788,MATCH("図書印刷費|L|25",月例!$T$5:$T$788,0)),"")</f>
        <v/>
      </c>
      <c r="M30" s="830" t="str">
        <f>IFERROR(INDEX(月例!$R$5:$R$788,MATCH("図書印刷費|L|25",月例!$T$5:$T$788,0)),"")</f>
        <v/>
      </c>
      <c r="N30" s="831" t="str">
        <f>IF(M30="","",N29-M30)</f>
        <v/>
      </c>
      <c r="O30" s="829" t="str">
        <f>IFERROR(INDEX(月例!$P$5:$P$788,MATCH("図書印刷費|L|25",月例!$T$5:$T$788,0)),"")</f>
        <v/>
      </c>
      <c r="P30" s="825" t="str">
        <f>IFERROR(INDEX(月例!$A$5:$A$788,MATCH("委託費|L|25",月例!$T$5:$T$788,0)),"")</f>
        <v/>
      </c>
      <c r="Q30" s="826" t="str">
        <f>IFERROR(INDEX(月例!$E$5:$E$788,MATCH("委託費|L|25",月例!$T$5:$T$788,0)),"")</f>
        <v/>
      </c>
      <c r="R30" s="830" t="str">
        <f>IFERROR(INDEX(月例!$R$5:$R$788,MATCH("委託費|L|25",月例!$T$5:$T$788,0)),"")</f>
        <v/>
      </c>
      <c r="S30" s="831" t="str">
        <f>IF(R30="","",S29-R30)</f>
        <v/>
      </c>
      <c r="T30" s="829" t="str">
        <f>IFERROR(INDEX(月例!$P$5:$P$788,MATCH("委託費|L|25",月例!$T$5:$T$788,0)),"")</f>
        <v/>
      </c>
    </row>
    <row r="31" ht="25.5" customHeight="1" s="186" thickBot="1">
      <c r="A31" s="825">
        <f>IFERROR(INDEX(月例!$A$5:$A$788,MATCH("事務用消耗品費|L|26",月例!$T$5:$T$788,0)),"")</f>
        <v>46108</v>
      </c>
      <c r="B31" s="826" t="str">
        <f>IFERROR(INDEX(月例!$E$5:$E$788,MATCH("事務用消耗品費|L|26",月例!$T$5:$T$788,0)),"")</f>
        <v>ボールペン　BK-127＊10本入／黒　2箱　ほか11点　</v>
      </c>
      <c r="C31" s="830">
        <f>IFERROR(INDEX(月例!$R$5:$R$788,MATCH("事務用消耗品費|L|26",月例!$T$5:$T$788,0)),"")</f>
        <v>21646</v>
      </c>
      <c r="D31" s="831">
        <f>IF(C31="","",D30-C31)</f>
        <v>-298612</v>
      </c>
      <c r="E31" s="829" t="str">
        <f>IFERROR(INDEX(月例!$P$5:$P$788,MATCH("事務用消耗品費|L|26",月例!$T$5:$T$788,0)),"")</f>
        <v>昨年実績</v>
      </c>
      <c r="F31" s="825">
        <f>IFERROR(INDEX(月例!$A$5:$A$788,MATCH("通信運搬費|L|26",月例!$T$5:$T$788,0)),"")</f>
        <v>46080</v>
      </c>
      <c r="G31" s="826" t="str">
        <f>IFERROR(INDEX(月例!$E$5:$E$788,MATCH("通信運搬費|L|26",月例!$T$5:$T$788,0)),"")</f>
        <v>料金後納利用料（１月分）</v>
      </c>
      <c r="H31" s="830">
        <f>IFERROR(INDEX(月例!$R$5:$R$788,MATCH("通信運搬費|L|26",月例!$T$5:$T$788,0)),"")</f>
        <v>792478</v>
      </c>
      <c r="I31" s="831">
        <f>IF(H31="","",I30-H31)</f>
        <v>-954225</v>
      </c>
      <c r="J31" s="829" t="str">
        <f>IFERROR(INDEX(月例!$P$5:$P$788,MATCH("通信運搬費|L|26",月例!$T$5:$T$788,0)),"")</f>
        <v>昨年実績</v>
      </c>
      <c r="K31" s="825" t="str">
        <f>IFERROR(INDEX(月例!$A$5:$A$788,MATCH("図書印刷費|L|26",月例!$T$5:$T$788,0)),"")</f>
        <v/>
      </c>
      <c r="L31" s="826" t="str">
        <f>IFERROR(INDEX(月例!$E$5:$E$788,MATCH("図書印刷費|L|26",月例!$T$5:$T$788,0)),"")</f>
        <v/>
      </c>
      <c r="M31" s="830" t="str">
        <f>IFERROR(INDEX(月例!$R$5:$R$788,MATCH("図書印刷費|L|26",月例!$T$5:$T$788,0)),"")</f>
        <v/>
      </c>
      <c r="N31" s="831" t="str">
        <f>IF(M31="","",N30-M31)</f>
        <v/>
      </c>
      <c r="O31" s="829" t="str">
        <f>IFERROR(INDEX(月例!$P$5:$P$788,MATCH("図書印刷費|L|26",月例!$T$5:$T$788,0)),"")</f>
        <v/>
      </c>
      <c r="P31" s="825" t="str">
        <f>IFERROR(INDEX(月例!$A$5:$A$788,MATCH("委託費|L|26",月例!$T$5:$T$788,0)),"")</f>
        <v/>
      </c>
      <c r="Q31" s="826" t="str">
        <f>IFERROR(INDEX(月例!$E$5:$E$788,MATCH("委託費|L|26",月例!$T$5:$T$788,0)),"")</f>
        <v/>
      </c>
      <c r="R31" s="830" t="str">
        <f>IFERROR(INDEX(月例!$R$5:$R$788,MATCH("委託費|L|26",月例!$T$5:$T$788,0)),"")</f>
        <v/>
      </c>
      <c r="S31" s="831" t="str">
        <f>IF(R31="","",S30-R31)</f>
        <v/>
      </c>
      <c r="T31" s="829" t="str">
        <f>IFERROR(INDEX(月例!$P$5:$P$788,MATCH("委託費|L|26",月例!$T$5:$T$788,0)),"")</f>
        <v/>
      </c>
    </row>
    <row r="32" ht="25.5" customHeight="1" s="186" thickBot="1">
      <c r="A32" s="825">
        <f>IFERROR(INDEX(月例!$A$5:$A$788,MATCH("事務用消耗品費|L|27",月例!$T$5:$T$788,0)),"")</f>
        <v>46108</v>
      </c>
      <c r="B32" s="826" t="str">
        <f>IFERROR(INDEX(月例!$E$5:$E$788,MATCH("事務用消耗品費|L|27",月例!$T$5:$T$788,0)),"")</f>
        <v>トナーカートリッジ（再生品）ＬＢ３２２B　５個</v>
      </c>
      <c r="C32" s="830">
        <f>IFERROR(INDEX(月例!$R$5:$R$788,MATCH("事務用消耗品費|L|27",月例!$T$5:$T$788,0)),"")</f>
        <v>54450</v>
      </c>
      <c r="D32" s="831">
        <f>IF(C32="","",D31-C32)</f>
        <v>-353062</v>
      </c>
      <c r="E32" s="829" t="str">
        <f>IFERROR(INDEX(月例!$P$5:$P$788,MATCH("事務用消耗品費|L|27",月例!$T$5:$T$788,0)),"")</f>
        <v>昨年実績</v>
      </c>
      <c r="F32" s="825">
        <f>IFERROR(INDEX(月例!$A$5:$A$788,MATCH("通信運搬費|L|27",月例!$T$5:$T$788,0)),"")</f>
        <v>46108</v>
      </c>
      <c r="G32" s="826" t="str">
        <f>IFERROR(INDEX(月例!$E$5:$E$788,MATCH("通信運搬費|L|27",月例!$T$5:$T$788,0)),"")</f>
        <v>料金後納利用料（２月分）長期</v>
      </c>
      <c r="H32" s="830">
        <f>IFERROR(INDEX(月例!$R$5:$R$788,MATCH("通信運搬費|L|27",月例!$T$5:$T$788,0)),"")</f>
        <v>559717</v>
      </c>
      <c r="I32" s="831">
        <f>IF(H32="","",I31-H32)</f>
        <v>-1513942</v>
      </c>
      <c r="J32" s="829" t="str">
        <f>IFERROR(INDEX(月例!$P$5:$P$788,MATCH("通信運搬費|L|27",月例!$T$5:$T$788,0)),"")</f>
        <v>昨年実績</v>
      </c>
      <c r="K32" s="825" t="str">
        <f>IFERROR(INDEX(月例!$A$5:$A$788,MATCH("図書印刷費|L|27",月例!$T$5:$T$788,0)),"")</f>
        <v/>
      </c>
      <c r="L32" s="826" t="str">
        <f>IFERROR(INDEX(月例!$E$5:$E$788,MATCH("図書印刷費|L|27",月例!$T$5:$T$788,0)),"")</f>
        <v/>
      </c>
      <c r="M32" s="830" t="str">
        <f>IFERROR(INDEX(月例!$R$5:$R$788,MATCH("図書印刷費|L|27",月例!$T$5:$T$788,0)),"")</f>
        <v/>
      </c>
      <c r="N32" s="831" t="str">
        <f>IF(M32="","",N31-M32)</f>
        <v/>
      </c>
      <c r="O32" s="829" t="str">
        <f>IFERROR(INDEX(月例!$P$5:$P$788,MATCH("図書印刷費|L|27",月例!$T$5:$T$788,0)),"")</f>
        <v/>
      </c>
      <c r="P32" s="825" t="str">
        <f>IFERROR(INDEX(月例!$A$5:$A$788,MATCH("委託費|L|27",月例!$T$5:$T$788,0)),"")</f>
        <v/>
      </c>
      <c r="Q32" s="826" t="str">
        <f>IFERROR(INDEX(月例!$E$5:$E$788,MATCH("委託費|L|27",月例!$T$5:$T$788,0)),"")</f>
        <v/>
      </c>
      <c r="R32" s="830" t="str">
        <f>IFERROR(INDEX(月例!$R$5:$R$788,MATCH("委託費|L|27",月例!$T$5:$T$788,0)),"")</f>
        <v/>
      </c>
      <c r="S32" s="831" t="str">
        <f>IF(R32="","",S31-R32)</f>
        <v/>
      </c>
      <c r="T32" s="829" t="str">
        <f>IFERROR(INDEX(月例!$P$5:$P$788,MATCH("委託費|L|27",月例!$T$5:$T$788,0)),"")</f>
        <v/>
      </c>
    </row>
    <row r="33" ht="25.5" customHeight="1" s="186" thickBot="1">
      <c r="A33" s="825">
        <f>IFERROR(INDEX(月例!$A$5:$A$788,MATCH("事務用消耗品費|L|28",月例!$T$5:$T$788,0)),"")</f>
        <v>45001</v>
      </c>
      <c r="B33" s="826" t="str">
        <f>IFERROR(INDEX(月例!$E$5:$E$788,MATCH("事務用消耗品費|L|28",月例!$T$5:$T$788,0)),"")</f>
        <v>トナーカートリッジＬＰＢ３Ｔ２７　９本</v>
      </c>
      <c r="C33" s="830">
        <f>IFERROR(INDEX(月例!$R$5:$R$788,MATCH("事務用消耗品費|L|28",月例!$T$5:$T$788,0)),"")</f>
        <v>48510</v>
      </c>
      <c r="D33" s="831">
        <f>IF(C33="","",D32-C33)</f>
        <v>-401572</v>
      </c>
      <c r="E33" s="829" t="str">
        <f>IFERROR(INDEX(月例!$P$5:$P$788,MATCH("事務用消耗品費|L|28",月例!$T$5:$T$788,0)),"")</f>
        <v>昨年実績</v>
      </c>
      <c r="F33" s="825">
        <f>IFERROR(INDEX(月例!$A$5:$A$788,MATCH("通信運搬費|L|28",月例!$T$5:$T$788,0)),"")</f>
        <v>46086</v>
      </c>
      <c r="G33" s="826" t="str">
        <f>IFERROR(INDEX(月例!$E$5:$E$788,MATCH("通信運搬費|L|28",月例!$T$5:$T$788,0)),"")</f>
        <v>切手、レターパック</v>
      </c>
      <c r="H33" s="830">
        <f>IFERROR(INDEX(月例!$R$5:$R$788,MATCH("通信運搬費|L|28",月例!$T$5:$T$788,0)),"")</f>
        <v>274000</v>
      </c>
      <c r="I33" s="831">
        <f>IF(H33="","",I32-H33)</f>
        <v>-1787942</v>
      </c>
      <c r="J33" s="829" t="str">
        <f>IFERROR(INDEX(月例!$P$5:$P$788,MATCH("通信運搬費|L|28",月例!$T$5:$T$788,0)),"")</f>
        <v>昨年実績</v>
      </c>
      <c r="K33" s="825" t="str">
        <f>IFERROR(INDEX(月例!$A$5:$A$788,MATCH("図書印刷費|L|28",月例!$T$5:$T$788,0)),"")</f>
        <v/>
      </c>
      <c r="L33" s="826" t="str">
        <f>IFERROR(INDEX(月例!$E$5:$E$788,MATCH("図書印刷費|L|28",月例!$T$5:$T$788,0)),"")</f>
        <v/>
      </c>
      <c r="M33" s="830" t="str">
        <f>IFERROR(INDEX(月例!$R$5:$R$788,MATCH("図書印刷費|L|28",月例!$T$5:$T$788,0)),"")</f>
        <v/>
      </c>
      <c r="N33" s="831" t="str">
        <f>IF(M33="","",N32-M33)</f>
        <v/>
      </c>
      <c r="O33" s="829" t="str">
        <f>IFERROR(INDEX(月例!$P$5:$P$788,MATCH("図書印刷費|L|28",月例!$T$5:$T$788,0)),"")</f>
        <v/>
      </c>
      <c r="P33" s="825" t="str">
        <f>IFERROR(INDEX(月例!$A$5:$A$788,MATCH("委託費|L|28",月例!$T$5:$T$788,0)),"")</f>
        <v/>
      </c>
      <c r="Q33" s="826" t="str">
        <f>IFERROR(INDEX(月例!$E$5:$E$788,MATCH("委託費|L|28",月例!$T$5:$T$788,0)),"")</f>
        <v/>
      </c>
      <c r="R33" s="830" t="str">
        <f>IFERROR(INDEX(月例!$R$5:$R$788,MATCH("委託費|L|28",月例!$T$5:$T$788,0)),"")</f>
        <v/>
      </c>
      <c r="S33" s="831" t="str">
        <f>IF(R33="","",S32-R33)</f>
        <v/>
      </c>
      <c r="T33" s="829" t="str">
        <f>IFERROR(INDEX(月例!$P$5:$P$788,MATCH("委託費|L|28",月例!$T$5:$T$788,0)),"")</f>
        <v/>
      </c>
    </row>
    <row r="34" ht="25.5" customHeight="1" s="186" thickBot="1">
      <c r="A34" s="825" t="str">
        <f>IFERROR(INDEX(月例!$A$5:$A$788,MATCH("事務用消耗品費|L|29",月例!$T$5:$T$788,0)),"")</f>
        <v/>
      </c>
      <c r="B34" s="826" t="str">
        <f>IFERROR(INDEX(月例!$E$5:$E$788,MATCH("事務用消耗品費|L|29",月例!$T$5:$T$788,0)),"")</f>
        <v/>
      </c>
      <c r="C34" s="830" t="str">
        <f>IFERROR(INDEX(月例!$R$5:$R$788,MATCH("事務用消耗品費|L|29",月例!$T$5:$T$788,0)),"")</f>
        <v/>
      </c>
      <c r="D34" s="831" t="str">
        <f>IF(C34="","",D33-C34)</f>
        <v/>
      </c>
      <c r="E34" s="829" t="str">
        <f>IFERROR(INDEX(月例!$P$5:$P$788,MATCH("事務用消耗品費|L|29",月例!$T$5:$T$788,0)),"")</f>
        <v/>
      </c>
      <c r="F34" s="825" t="str">
        <f>IFERROR(INDEX(月例!$A$5:$A$788,MATCH("通信運搬費|L|29",月例!$T$5:$T$788,0)),"")</f>
        <v/>
      </c>
      <c r="G34" s="826" t="str">
        <f>IFERROR(INDEX(月例!$E$5:$E$788,MATCH("通信運搬費|L|29",月例!$T$5:$T$788,0)),"")</f>
        <v/>
      </c>
      <c r="H34" s="830" t="str">
        <f>IFERROR(INDEX(月例!$R$5:$R$788,MATCH("通信運搬費|L|29",月例!$T$5:$T$788,0)),"")</f>
        <v/>
      </c>
      <c r="I34" s="831" t="str">
        <f>IF(H34="","",I33-H34)</f>
        <v/>
      </c>
      <c r="J34" s="829" t="str">
        <f>IFERROR(INDEX(月例!$P$5:$P$788,MATCH("通信運搬費|L|29",月例!$T$5:$T$788,0)),"")</f>
        <v/>
      </c>
      <c r="K34" s="825" t="str">
        <f>IFERROR(INDEX(月例!$A$5:$A$788,MATCH("図書印刷費|L|29",月例!$T$5:$T$788,0)),"")</f>
        <v/>
      </c>
      <c r="L34" s="826" t="str">
        <f>IFERROR(INDEX(月例!$E$5:$E$788,MATCH("図書印刷費|L|29",月例!$T$5:$T$788,0)),"")</f>
        <v/>
      </c>
      <c r="M34" s="830" t="str">
        <f>IFERROR(INDEX(月例!$R$5:$R$788,MATCH("図書印刷費|L|29",月例!$T$5:$T$788,0)),"")</f>
        <v/>
      </c>
      <c r="N34" s="831" t="str">
        <f>IF(M34="","",N33-M34)</f>
        <v/>
      </c>
      <c r="O34" s="829" t="str">
        <f>IFERROR(INDEX(月例!$P$5:$P$788,MATCH("図書印刷費|L|29",月例!$T$5:$T$788,0)),"")</f>
        <v/>
      </c>
      <c r="P34" s="825" t="str">
        <f>IFERROR(INDEX(月例!$A$5:$A$788,MATCH("委託費|L|29",月例!$T$5:$T$788,0)),"")</f>
        <v/>
      </c>
      <c r="Q34" s="826" t="str">
        <f>IFERROR(INDEX(月例!$E$5:$E$788,MATCH("委託費|L|29",月例!$T$5:$T$788,0)),"")</f>
        <v/>
      </c>
      <c r="R34" s="830" t="str">
        <f>IFERROR(INDEX(月例!$R$5:$R$788,MATCH("委託費|L|29",月例!$T$5:$T$788,0)),"")</f>
        <v/>
      </c>
      <c r="S34" s="831" t="str">
        <f>IF(R34="","",S33-R34)</f>
        <v/>
      </c>
      <c r="T34" s="829" t="str">
        <f>IFERROR(INDEX(月例!$P$5:$P$788,MATCH("委託費|L|29",月例!$T$5:$T$788,0)),"")</f>
        <v/>
      </c>
    </row>
    <row r="35" ht="25.5" customHeight="1" s="186" thickBot="1">
      <c r="A35" s="825" t="str">
        <f>IFERROR(INDEX(月例!$A$5:$A$788,MATCH("事務用消耗品費|L|30",月例!$T$5:$T$788,0)),"")</f>
        <v/>
      </c>
      <c r="B35" s="826" t="str">
        <f>IFERROR(INDEX(月例!$E$5:$E$788,MATCH("事務用消耗品費|L|30",月例!$T$5:$T$788,0)),"")</f>
        <v/>
      </c>
      <c r="C35" s="830" t="str">
        <f>IFERROR(INDEX(月例!$R$5:$R$788,MATCH("事務用消耗品費|L|30",月例!$T$5:$T$788,0)),"")</f>
        <v/>
      </c>
      <c r="D35" s="831" t="str">
        <f>IF(C35="","",D34-C35)</f>
        <v/>
      </c>
      <c r="E35" s="829" t="str">
        <f>IFERROR(INDEX(月例!$P$5:$P$788,MATCH("事務用消耗品費|L|30",月例!$T$5:$T$788,0)),"")</f>
        <v/>
      </c>
      <c r="F35" s="825" t="str">
        <f>IFERROR(INDEX(月例!$A$5:$A$788,MATCH("通信運搬費|L|30",月例!$T$5:$T$788,0)),"")</f>
        <v/>
      </c>
      <c r="G35" s="826" t="str">
        <f>IFERROR(INDEX(月例!$E$5:$E$788,MATCH("通信運搬費|L|30",月例!$T$5:$T$788,0)),"")</f>
        <v/>
      </c>
      <c r="H35" s="830" t="str">
        <f>IFERROR(INDEX(月例!$R$5:$R$788,MATCH("通信運搬費|L|30",月例!$T$5:$T$788,0)),"")</f>
        <v/>
      </c>
      <c r="I35" s="831" t="str">
        <f>IF(H35="","",I34-H35)</f>
        <v/>
      </c>
      <c r="J35" s="829" t="str">
        <f>IFERROR(INDEX(月例!$P$5:$P$788,MATCH("通信運搬費|L|30",月例!$T$5:$T$788,0)),"")</f>
        <v/>
      </c>
      <c r="K35" s="825" t="str">
        <f>IFERROR(INDEX(月例!$A$5:$A$788,MATCH("図書印刷費|L|30",月例!$T$5:$T$788,0)),"")</f>
        <v/>
      </c>
      <c r="L35" s="826" t="str">
        <f>IFERROR(INDEX(月例!$E$5:$E$788,MATCH("図書印刷費|L|30",月例!$T$5:$T$788,0)),"")</f>
        <v/>
      </c>
      <c r="M35" s="830" t="str">
        <f>IFERROR(INDEX(月例!$R$5:$R$788,MATCH("図書印刷費|L|30",月例!$T$5:$T$788,0)),"")</f>
        <v/>
      </c>
      <c r="N35" s="831" t="str">
        <f>IF(M35="","",N34-M35)</f>
        <v/>
      </c>
      <c r="O35" s="829" t="str">
        <f>IFERROR(INDEX(月例!$P$5:$P$788,MATCH("図書印刷費|L|30",月例!$T$5:$T$788,0)),"")</f>
        <v/>
      </c>
      <c r="P35" s="825" t="str">
        <f>IFERROR(INDEX(月例!$A$5:$A$788,MATCH("委託費|L|30",月例!$T$5:$T$788,0)),"")</f>
        <v/>
      </c>
      <c r="Q35" s="826" t="str">
        <f>IFERROR(INDEX(月例!$E$5:$E$788,MATCH("委託費|L|30",月例!$T$5:$T$788,0)),"")</f>
        <v/>
      </c>
      <c r="R35" s="830" t="str">
        <f>IFERROR(INDEX(月例!$R$5:$R$788,MATCH("委託費|L|30",月例!$T$5:$T$788,0)),"")</f>
        <v/>
      </c>
      <c r="S35" s="831" t="str">
        <f>IF(R35="","",S34-R35)</f>
        <v/>
      </c>
      <c r="T35" s="829" t="str">
        <f>IFERROR(INDEX(月例!$P$5:$P$788,MATCH("委託費|L|30",月例!$T$5:$T$788,0)),"")</f>
        <v/>
      </c>
    </row>
    <row r="36" ht="25.5" customHeight="1" s="186">
      <c r="A36" s="825" t="str">
        <f>IFERROR(INDEX(月例!$A$5:$A$788,MATCH("事務用消耗品費|L|31",月例!$T$5:$T$788,0)),"")</f>
        <v/>
      </c>
      <c r="B36" s="826" t="str">
        <f>IFERROR(INDEX(月例!$E$5:$E$788,MATCH("事務用消耗品費|L|31",月例!$T$5:$T$788,0)),"")</f>
        <v/>
      </c>
      <c r="C36" s="830" t="str">
        <f>IFERROR(INDEX(月例!$R$5:$R$788,MATCH("事務用消耗品費|L|31",月例!$T$5:$T$788,0)),"")</f>
        <v/>
      </c>
      <c r="D36" s="831" t="str">
        <f>IF(C36="","",D35-C36)</f>
        <v/>
      </c>
      <c r="E36" s="829" t="str">
        <f>IFERROR(INDEX(月例!$P$5:$P$788,MATCH("事務用消耗品費|L|31",月例!$T$5:$T$788,0)),"")</f>
        <v/>
      </c>
      <c r="F36" s="825" t="str">
        <f>IFERROR(INDEX(月例!$A$5:$A$788,MATCH("通信運搬費|L|31",月例!$T$5:$T$788,0)),"")</f>
        <v/>
      </c>
      <c r="G36" s="826" t="str">
        <f>IFERROR(INDEX(月例!$E$5:$E$788,MATCH("通信運搬費|L|31",月例!$T$5:$T$788,0)),"")</f>
        <v/>
      </c>
      <c r="H36" s="830" t="str">
        <f>IFERROR(INDEX(月例!$R$5:$R$788,MATCH("通信運搬費|L|31",月例!$T$5:$T$788,0)),"")</f>
        <v/>
      </c>
      <c r="I36" s="831" t="str">
        <f>IF(H36="","",I35-H36)</f>
        <v/>
      </c>
      <c r="J36" s="829" t="str">
        <f>IFERROR(INDEX(月例!$P$5:$P$788,MATCH("通信運搬費|L|31",月例!$T$5:$T$788,0)),"")</f>
        <v/>
      </c>
      <c r="K36" s="825" t="str">
        <f>IFERROR(INDEX(月例!$A$5:$A$788,MATCH("図書印刷費|L|31",月例!$T$5:$T$788,0)),"")</f>
        <v/>
      </c>
      <c r="L36" s="826" t="str">
        <f>IFERROR(INDEX(月例!$E$5:$E$788,MATCH("図書印刷費|L|31",月例!$T$5:$T$788,0)),"")</f>
        <v/>
      </c>
      <c r="M36" s="830" t="str">
        <f>IFERROR(INDEX(月例!$R$5:$R$788,MATCH("図書印刷費|L|31",月例!$T$5:$T$788,0)),"")</f>
        <v/>
      </c>
      <c r="N36" s="831" t="str">
        <f>IF(M36="","",N35-M36)</f>
        <v/>
      </c>
      <c r="O36" s="829" t="str">
        <f>IFERROR(INDEX(月例!$P$5:$P$788,MATCH("図書印刷費|L|31",月例!$T$5:$T$788,0)),"")</f>
        <v/>
      </c>
      <c r="P36" s="825" t="str">
        <f>IFERROR(INDEX(月例!$A$5:$A$788,MATCH("委託費|L|31",月例!$T$5:$T$788,0)),"")</f>
        <v/>
      </c>
      <c r="Q36" s="826" t="str">
        <f>IFERROR(INDEX(月例!$E$5:$E$788,MATCH("委託費|L|31",月例!$T$5:$T$788,0)),"")</f>
        <v/>
      </c>
      <c r="R36" s="830" t="str">
        <f>IFERROR(INDEX(月例!$R$5:$R$788,MATCH("委託費|L|31",月例!$T$5:$T$788,0)),"")</f>
        <v/>
      </c>
      <c r="S36" s="831" t="str">
        <f>IF(R36="","",S35-R36)</f>
        <v/>
      </c>
      <c r="T36" s="829" t="str">
        <f>IFERROR(INDEX(月例!$P$5:$P$788,MATCH("委託費|L|31",月例!$T$5:$T$788,0)),"")</f>
        <v/>
      </c>
    </row>
    <row r="37" ht="25.5" customHeight="1" s="186" thickBot="1">
      <c r="A37" s="825" t="str">
        <f>IFERROR(INDEX(月例!$A$5:$A$788,MATCH("事務用消耗品費|L|32",月例!$T$5:$T$788,0)),"")</f>
        <v/>
      </c>
      <c r="B37" s="826" t="str">
        <f>IFERROR(INDEX(月例!$E$5:$E$788,MATCH("事務用消耗品費|L|32",月例!$T$5:$T$788,0)),"")</f>
        <v/>
      </c>
      <c r="C37" s="830" t="str">
        <f>IFERROR(INDEX(月例!$R$5:$R$788,MATCH("事務用消耗品費|L|32",月例!$T$5:$T$788,0)),"")</f>
        <v/>
      </c>
      <c r="D37" s="831" t="str">
        <f>IF(C37="","",D36-C37)</f>
        <v/>
      </c>
      <c r="E37" s="829" t="str">
        <f>IFERROR(INDEX(月例!$P$5:$P$788,MATCH("事務用消耗品費|L|32",月例!$T$5:$T$788,0)),"")</f>
        <v/>
      </c>
      <c r="F37" s="825" t="str">
        <f>IFERROR(INDEX(月例!$A$5:$A$788,MATCH("通信運搬費|L|32",月例!$T$5:$T$788,0)),"")</f>
        <v/>
      </c>
      <c r="G37" s="826" t="str">
        <f>IFERROR(INDEX(月例!$E$5:$E$788,MATCH("通信運搬費|L|32",月例!$T$5:$T$788,0)),"")</f>
        <v/>
      </c>
      <c r="H37" s="830" t="str">
        <f>IFERROR(INDEX(月例!$R$5:$R$788,MATCH("通信運搬費|L|32",月例!$T$5:$T$788,0)),"")</f>
        <v/>
      </c>
      <c r="I37" s="831" t="str">
        <f>IF(H37="","",I36-H37)</f>
        <v/>
      </c>
      <c r="J37" s="829" t="str">
        <f>IFERROR(INDEX(月例!$P$5:$P$788,MATCH("通信運搬費|L|32",月例!$T$5:$T$788,0)),"")</f>
        <v/>
      </c>
      <c r="K37" s="825" t="str">
        <f>IFERROR(INDEX(月例!$A$5:$A$788,MATCH("図書印刷費|L|32",月例!$T$5:$T$788,0)),"")</f>
        <v/>
      </c>
      <c r="L37" s="826" t="str">
        <f>IFERROR(INDEX(月例!$E$5:$E$788,MATCH("図書印刷費|L|32",月例!$T$5:$T$788,0)),"")</f>
        <v/>
      </c>
      <c r="M37" s="830" t="str">
        <f>IFERROR(INDEX(月例!$R$5:$R$788,MATCH("図書印刷費|L|32",月例!$T$5:$T$788,0)),"")</f>
        <v/>
      </c>
      <c r="N37" s="831" t="str">
        <f>IF(M37="","",N36-M37)</f>
        <v/>
      </c>
      <c r="O37" s="829" t="str">
        <f>IFERROR(INDEX(月例!$P$5:$P$788,MATCH("図書印刷費|L|32",月例!$T$5:$T$788,0)),"")</f>
        <v/>
      </c>
      <c r="P37" s="825" t="str">
        <f>IFERROR(INDEX(月例!$A$5:$A$788,MATCH("委託費|L|32",月例!$T$5:$T$788,0)),"")</f>
        <v/>
      </c>
      <c r="Q37" s="826" t="str">
        <f>IFERROR(INDEX(月例!$E$5:$E$788,MATCH("委託費|L|32",月例!$T$5:$T$788,0)),"")</f>
        <v/>
      </c>
      <c r="R37" s="830" t="str">
        <f>IFERROR(INDEX(月例!$R$5:$R$788,MATCH("委託費|L|32",月例!$T$5:$T$788,0)),"")</f>
        <v/>
      </c>
      <c r="S37" s="831" t="str">
        <f>IF(R37="","",S36-R37)</f>
        <v/>
      </c>
      <c r="T37" s="829" t="str">
        <f>IFERROR(INDEX(月例!$P$5:$P$788,MATCH("委託費|L|32",月例!$T$5:$T$788,0)),"")</f>
        <v/>
      </c>
    </row>
    <row r="38" ht="25.5" customHeight="1" s="186" thickBot="1">
      <c r="A38" s="825" t="str">
        <f>IFERROR(INDEX(月例!$A$5:$A$788,MATCH("事務用消耗品費|L|33",月例!$T$5:$T$788,0)),"")</f>
        <v/>
      </c>
      <c r="B38" s="826" t="str">
        <f>IFERROR(INDEX(月例!$E$5:$E$788,MATCH("事務用消耗品費|L|33",月例!$T$5:$T$788,0)),"")</f>
        <v/>
      </c>
      <c r="C38" s="830" t="str">
        <f>IFERROR(INDEX(月例!$R$5:$R$788,MATCH("事務用消耗品費|L|33",月例!$T$5:$T$788,0)),"")</f>
        <v/>
      </c>
      <c r="D38" s="831" t="str">
        <f>IF(C38="","",D37-C38)</f>
        <v/>
      </c>
      <c r="E38" s="829" t="str">
        <f>IFERROR(INDEX(月例!$P$5:$P$788,MATCH("事務用消耗品費|L|33",月例!$T$5:$T$788,0)),"")</f>
        <v/>
      </c>
      <c r="F38" s="825" t="str">
        <f>IFERROR(INDEX(月例!$A$5:$A$788,MATCH("通信運搬費|L|33",月例!$T$5:$T$788,0)),"")</f>
        <v/>
      </c>
      <c r="G38" s="826" t="str">
        <f>IFERROR(INDEX(月例!$E$5:$E$788,MATCH("通信運搬費|L|33",月例!$T$5:$T$788,0)),"")</f>
        <v/>
      </c>
      <c r="H38" s="830" t="str">
        <f>IFERROR(INDEX(月例!$R$5:$R$788,MATCH("通信運搬費|L|33",月例!$T$5:$T$788,0)),"")</f>
        <v/>
      </c>
      <c r="I38" s="831" t="str">
        <f>IF(H38="","",I37-H38)</f>
        <v/>
      </c>
      <c r="J38" s="829" t="str">
        <f>IFERROR(INDEX(月例!$P$5:$P$788,MATCH("通信運搬費|L|33",月例!$T$5:$T$788,0)),"")</f>
        <v/>
      </c>
      <c r="K38" s="825" t="str">
        <f>IFERROR(INDEX(月例!$A$5:$A$788,MATCH("図書印刷費|L|33",月例!$T$5:$T$788,0)),"")</f>
        <v/>
      </c>
      <c r="L38" s="826" t="str">
        <f>IFERROR(INDEX(月例!$E$5:$E$788,MATCH("図書印刷費|L|33",月例!$T$5:$T$788,0)),"")</f>
        <v/>
      </c>
      <c r="M38" s="830" t="str">
        <f>IFERROR(INDEX(月例!$R$5:$R$788,MATCH("図書印刷費|L|33",月例!$T$5:$T$788,0)),"")</f>
        <v/>
      </c>
      <c r="N38" s="831" t="str">
        <f>IF(M38="","",N37-M38)</f>
        <v/>
      </c>
      <c r="O38" s="829" t="str">
        <f>IFERROR(INDEX(月例!$P$5:$P$788,MATCH("図書印刷費|L|33",月例!$T$5:$T$788,0)),"")</f>
        <v/>
      </c>
      <c r="P38" s="825" t="str">
        <f>IFERROR(INDEX(月例!$A$5:$A$788,MATCH("委託費|L|33",月例!$T$5:$T$788,0)),"")</f>
        <v/>
      </c>
      <c r="Q38" s="826" t="str">
        <f>IFERROR(INDEX(月例!$E$5:$E$788,MATCH("委託費|L|33",月例!$T$5:$T$788,0)),"")</f>
        <v/>
      </c>
      <c r="R38" s="830" t="str">
        <f>IFERROR(INDEX(月例!$R$5:$R$788,MATCH("委託費|L|33",月例!$T$5:$T$788,0)),"")</f>
        <v/>
      </c>
      <c r="S38" s="831" t="str">
        <f>IF(R38="","",S37-R38)</f>
        <v/>
      </c>
      <c r="T38" s="829" t="str">
        <f>IFERROR(INDEX(月例!$P$5:$P$788,MATCH("委託費|L|33",月例!$T$5:$T$788,0)),"")</f>
        <v/>
      </c>
    </row>
    <row r="39" ht="25.5" customHeight="1" s="186" thickBot="1">
      <c r="A39" s="825" t="str">
        <f>IFERROR(INDEX(月例!$A$5:$A$788,MATCH("事務用消耗品費|L|34",月例!$T$5:$T$788,0)),"")</f>
        <v/>
      </c>
      <c r="B39" s="826" t="str">
        <f>IFERROR(INDEX(月例!$E$5:$E$788,MATCH("事務用消耗品費|L|34",月例!$T$5:$T$788,0)),"")</f>
        <v/>
      </c>
      <c r="C39" s="830" t="str">
        <f>IFERROR(INDEX(月例!$R$5:$R$788,MATCH("事務用消耗品費|L|34",月例!$T$5:$T$788,0)),"")</f>
        <v/>
      </c>
      <c r="D39" s="831" t="str">
        <f>IF(C39="","",D38-C39)</f>
        <v/>
      </c>
      <c r="E39" s="829" t="str">
        <f>IFERROR(INDEX(月例!$P$5:$P$788,MATCH("事務用消耗品費|L|34",月例!$T$5:$T$788,0)),"")</f>
        <v/>
      </c>
      <c r="F39" s="825" t="str">
        <f>IFERROR(INDEX(月例!$A$5:$A$788,MATCH("通信運搬費|L|34",月例!$T$5:$T$788,0)),"")</f>
        <v/>
      </c>
      <c r="G39" s="826" t="str">
        <f>IFERROR(INDEX(月例!$E$5:$E$788,MATCH("通信運搬費|L|34",月例!$T$5:$T$788,0)),"")</f>
        <v/>
      </c>
      <c r="H39" s="830" t="str">
        <f>IFERROR(INDEX(月例!$R$5:$R$788,MATCH("通信運搬費|L|34",月例!$T$5:$T$788,0)),"")</f>
        <v/>
      </c>
      <c r="I39" s="831" t="str">
        <f>IF(H39="","",I38-H39)</f>
        <v/>
      </c>
      <c r="J39" s="829" t="str">
        <f>IFERROR(INDEX(月例!$P$5:$P$788,MATCH("通信運搬費|L|34",月例!$T$5:$T$788,0)),"")</f>
        <v/>
      </c>
      <c r="K39" s="825" t="str">
        <f>IFERROR(INDEX(月例!$A$5:$A$788,MATCH("図書印刷費|L|34",月例!$T$5:$T$788,0)),"")</f>
        <v/>
      </c>
      <c r="L39" s="826" t="str">
        <f>IFERROR(INDEX(月例!$E$5:$E$788,MATCH("図書印刷費|L|34",月例!$T$5:$T$788,0)),"")</f>
        <v/>
      </c>
      <c r="M39" s="830" t="str">
        <f>IFERROR(INDEX(月例!$R$5:$R$788,MATCH("図書印刷費|L|34",月例!$T$5:$T$788,0)),"")</f>
        <v/>
      </c>
      <c r="N39" s="831" t="str">
        <f>IF(M39="","",N38-M39)</f>
        <v/>
      </c>
      <c r="O39" s="829" t="str">
        <f>IFERROR(INDEX(月例!$P$5:$P$788,MATCH("図書印刷費|L|34",月例!$T$5:$T$788,0)),"")</f>
        <v/>
      </c>
      <c r="P39" s="825" t="str">
        <f>IFERROR(INDEX(月例!$A$5:$A$788,MATCH("委託費|L|34",月例!$T$5:$T$788,0)),"")</f>
        <v/>
      </c>
      <c r="Q39" s="826" t="str">
        <f>IFERROR(INDEX(月例!$E$5:$E$788,MATCH("委託費|L|34",月例!$T$5:$T$788,0)),"")</f>
        <v/>
      </c>
      <c r="R39" s="830" t="str">
        <f>IFERROR(INDEX(月例!$R$5:$R$788,MATCH("委託費|L|34",月例!$T$5:$T$788,0)),"")</f>
        <v/>
      </c>
      <c r="S39" s="831" t="str">
        <f>IF(R39="","",S38-R39)</f>
        <v/>
      </c>
      <c r="T39" s="829" t="str">
        <f>IFERROR(INDEX(月例!$P$5:$P$788,MATCH("委託費|L|34",月例!$T$5:$T$788,0)),"")</f>
        <v/>
      </c>
    </row>
    <row r="40" ht="25.5" customHeight="1" s="186" thickBot="1">
      <c r="A40" s="825" t="str">
        <f>IFERROR(INDEX(月例!$A$5:$A$788,MATCH("事務用消耗品費|L|35",月例!$T$5:$T$788,0)),"")</f>
        <v/>
      </c>
      <c r="B40" s="826" t="str">
        <f>IFERROR(INDEX(月例!$E$5:$E$788,MATCH("事務用消耗品費|L|35",月例!$T$5:$T$788,0)),"")</f>
        <v/>
      </c>
      <c r="C40" s="830" t="str">
        <f>IFERROR(INDEX(月例!$R$5:$R$788,MATCH("事務用消耗品費|L|35",月例!$T$5:$T$788,0)),"")</f>
        <v/>
      </c>
      <c r="D40" s="831" t="str">
        <f>IF(C40="","",D39-C40)</f>
        <v/>
      </c>
      <c r="E40" s="829" t="str">
        <f>IFERROR(INDEX(月例!$P$5:$P$788,MATCH("事務用消耗品費|L|35",月例!$T$5:$T$788,0)),"")</f>
        <v/>
      </c>
      <c r="F40" s="825" t="str">
        <f>IFERROR(INDEX(月例!$A$5:$A$788,MATCH("通信運搬費|L|35",月例!$T$5:$T$788,0)),"")</f>
        <v/>
      </c>
      <c r="G40" s="826" t="str">
        <f>IFERROR(INDEX(月例!$E$5:$E$788,MATCH("通信運搬費|L|35",月例!$T$5:$T$788,0)),"")</f>
        <v/>
      </c>
      <c r="H40" s="830" t="str">
        <f>IFERROR(INDEX(月例!$R$5:$R$788,MATCH("通信運搬費|L|35",月例!$T$5:$T$788,0)),"")</f>
        <v/>
      </c>
      <c r="I40" s="831" t="str">
        <f>IF(H40="","",I39-H40)</f>
        <v/>
      </c>
      <c r="J40" s="829" t="str">
        <f>IFERROR(INDEX(月例!$P$5:$P$788,MATCH("通信運搬費|L|35",月例!$T$5:$T$788,0)),"")</f>
        <v/>
      </c>
      <c r="K40" s="825" t="str">
        <f>IFERROR(INDEX(月例!$A$5:$A$788,MATCH("図書印刷費|L|35",月例!$T$5:$T$788,0)),"")</f>
        <v/>
      </c>
      <c r="L40" s="826" t="str">
        <f>IFERROR(INDEX(月例!$E$5:$E$788,MATCH("図書印刷費|L|35",月例!$T$5:$T$788,0)),"")</f>
        <v/>
      </c>
      <c r="M40" s="830" t="str">
        <f>IFERROR(INDEX(月例!$R$5:$R$788,MATCH("図書印刷費|L|35",月例!$T$5:$T$788,0)),"")</f>
        <v/>
      </c>
      <c r="N40" s="831" t="str">
        <f>IF(M40="","",N39-M40)</f>
        <v/>
      </c>
      <c r="O40" s="829" t="str">
        <f>IFERROR(INDEX(月例!$P$5:$P$788,MATCH("図書印刷費|L|35",月例!$T$5:$T$788,0)),"")</f>
        <v/>
      </c>
      <c r="P40" s="825" t="str">
        <f>IFERROR(INDEX(月例!$A$5:$A$788,MATCH("委託費|L|35",月例!$T$5:$T$788,0)),"")</f>
        <v/>
      </c>
      <c r="Q40" s="826" t="str">
        <f>IFERROR(INDEX(月例!$E$5:$E$788,MATCH("委託費|L|35",月例!$T$5:$T$788,0)),"")</f>
        <v/>
      </c>
      <c r="R40" s="830" t="str">
        <f>IFERROR(INDEX(月例!$R$5:$R$788,MATCH("委託費|L|35",月例!$T$5:$T$788,0)),"")</f>
        <v/>
      </c>
      <c r="S40" s="831" t="str">
        <f>IF(R40="","",S39-R40)</f>
        <v/>
      </c>
      <c r="T40" s="829" t="str">
        <f>IFERROR(INDEX(月例!$P$5:$P$788,MATCH("委託費|L|35",月例!$T$5:$T$788,0)),"")</f>
        <v/>
      </c>
    </row>
    <row r="41" ht="25.5" customHeight="1" s="186">
      <c r="A41" s="825" t="str">
        <f>IFERROR(INDEX(月例!$A$5:$A$788,MATCH("事務用消耗品費|L|36",月例!$T$5:$T$788,0)),"")</f>
        <v/>
      </c>
      <c r="B41" s="826" t="str">
        <f>IFERROR(INDEX(月例!$E$5:$E$788,MATCH("事務用消耗品費|L|36",月例!$T$5:$T$788,0)),"")</f>
        <v/>
      </c>
      <c r="C41" s="830" t="str">
        <f>IFERROR(INDEX(月例!$R$5:$R$788,MATCH("事務用消耗品費|L|36",月例!$T$5:$T$788,0)),"")</f>
        <v/>
      </c>
      <c r="D41" s="831" t="str">
        <f>IF(C41="","",D40-C41)</f>
        <v/>
      </c>
      <c r="E41" s="829" t="str">
        <f>IFERROR(INDEX(月例!$P$5:$P$788,MATCH("事務用消耗品費|L|36",月例!$T$5:$T$788,0)),"")</f>
        <v/>
      </c>
      <c r="F41" s="825" t="str">
        <f>IFERROR(INDEX(月例!$A$5:$A$788,MATCH("通信運搬費|L|36",月例!$T$5:$T$788,0)),"")</f>
        <v/>
      </c>
      <c r="G41" s="826" t="str">
        <f>IFERROR(INDEX(月例!$E$5:$E$788,MATCH("通信運搬費|L|36",月例!$T$5:$T$788,0)),"")</f>
        <v/>
      </c>
      <c r="H41" s="830" t="str">
        <f>IFERROR(INDEX(月例!$R$5:$R$788,MATCH("通信運搬費|L|36",月例!$T$5:$T$788,0)),"")</f>
        <v/>
      </c>
      <c r="I41" s="831" t="str">
        <f>IF(H41="","",I40-H41)</f>
        <v/>
      </c>
      <c r="J41" s="829" t="str">
        <f>IFERROR(INDEX(月例!$P$5:$P$788,MATCH("通信運搬費|L|36",月例!$T$5:$T$788,0)),"")</f>
        <v/>
      </c>
      <c r="K41" s="825" t="str">
        <f>IFERROR(INDEX(月例!$A$5:$A$788,MATCH("図書印刷費|L|36",月例!$T$5:$T$788,0)),"")</f>
        <v/>
      </c>
      <c r="L41" s="826" t="str">
        <f>IFERROR(INDEX(月例!$E$5:$E$788,MATCH("図書印刷費|L|36",月例!$T$5:$T$788,0)),"")</f>
        <v/>
      </c>
      <c r="M41" s="830" t="str">
        <f>IFERROR(INDEX(月例!$R$5:$R$788,MATCH("図書印刷費|L|36",月例!$T$5:$T$788,0)),"")</f>
        <v/>
      </c>
      <c r="N41" s="831" t="str">
        <f>IF(M41="","",N40-M41)</f>
        <v/>
      </c>
      <c r="O41" s="829" t="str">
        <f>IFERROR(INDEX(月例!$P$5:$P$788,MATCH("図書印刷費|L|36",月例!$T$5:$T$788,0)),"")</f>
        <v/>
      </c>
      <c r="P41" s="825" t="str">
        <f>IFERROR(INDEX(月例!$A$5:$A$788,MATCH("委託費|L|36",月例!$T$5:$T$788,0)),"")</f>
        <v/>
      </c>
      <c r="Q41" s="826" t="str">
        <f>IFERROR(INDEX(月例!$E$5:$E$788,MATCH("委託費|L|36",月例!$T$5:$T$788,0)),"")</f>
        <v/>
      </c>
      <c r="R41" s="830" t="str">
        <f>IFERROR(INDEX(月例!$R$5:$R$788,MATCH("委託費|L|36",月例!$T$5:$T$788,0)),"")</f>
        <v/>
      </c>
      <c r="S41" s="831" t="str">
        <f>IF(R41="","",S40-R41)</f>
        <v/>
      </c>
      <c r="T41" s="829" t="str">
        <f>IFERROR(INDEX(月例!$P$5:$P$788,MATCH("委託費|L|36",月例!$T$5:$T$788,0)),"")</f>
        <v/>
      </c>
    </row>
    <row r="42" ht="25.5" customHeight="1" s="186">
      <c r="A42" s="825" t="str">
        <f>IFERROR(INDEX(月例!$A$5:$A$788,MATCH("事務用消耗品費|L|37",月例!$T$5:$T$788,0)),"")</f>
        <v/>
      </c>
      <c r="B42" s="826" t="str">
        <f>IFERROR(INDEX(月例!$E$5:$E$788,MATCH("事務用消耗品費|L|37",月例!$T$5:$T$788,0)),"")</f>
        <v/>
      </c>
      <c r="C42" s="830" t="str">
        <f>IFERROR(INDEX(月例!$R$5:$R$788,MATCH("事務用消耗品費|L|37",月例!$T$5:$T$788,0)),"")</f>
        <v/>
      </c>
      <c r="D42" s="831" t="str">
        <f>IF(C42="","",D41-C42)</f>
        <v/>
      </c>
      <c r="E42" s="829" t="str">
        <f>IFERROR(INDEX(月例!$P$5:$P$788,MATCH("事務用消耗品費|L|37",月例!$T$5:$T$788,0)),"")</f>
        <v/>
      </c>
      <c r="F42" s="825" t="str">
        <f>IFERROR(INDEX(月例!$A$5:$A$788,MATCH("通信運搬費|L|37",月例!$T$5:$T$788,0)),"")</f>
        <v/>
      </c>
      <c r="G42" s="826" t="str">
        <f>IFERROR(INDEX(月例!$E$5:$E$788,MATCH("通信運搬費|L|37",月例!$T$5:$T$788,0)),"")</f>
        <v/>
      </c>
      <c r="H42" s="830" t="str">
        <f>IFERROR(INDEX(月例!$R$5:$R$788,MATCH("通信運搬費|L|37",月例!$T$5:$T$788,0)),"")</f>
        <v/>
      </c>
      <c r="I42" s="831" t="str">
        <f>IF(H42="","",I41-H42)</f>
        <v/>
      </c>
      <c r="J42" s="829" t="str">
        <f>IFERROR(INDEX(月例!$P$5:$P$788,MATCH("通信運搬費|L|37",月例!$T$5:$T$788,0)),"")</f>
        <v/>
      </c>
      <c r="K42" s="825" t="str">
        <f>IFERROR(INDEX(月例!$A$5:$A$788,MATCH("図書印刷費|L|37",月例!$T$5:$T$788,0)),"")</f>
        <v/>
      </c>
      <c r="L42" s="826" t="str">
        <f>IFERROR(INDEX(月例!$E$5:$E$788,MATCH("図書印刷費|L|37",月例!$T$5:$T$788,0)),"")</f>
        <v/>
      </c>
      <c r="M42" s="830" t="str">
        <f>IFERROR(INDEX(月例!$R$5:$R$788,MATCH("図書印刷費|L|37",月例!$T$5:$T$788,0)),"")</f>
        <v/>
      </c>
      <c r="N42" s="831" t="str">
        <f>IF(M42="","",N41-M42)</f>
        <v/>
      </c>
      <c r="O42" s="829" t="str">
        <f>IFERROR(INDEX(月例!$P$5:$P$788,MATCH("図書印刷費|L|37",月例!$T$5:$T$788,0)),"")</f>
        <v/>
      </c>
      <c r="P42" s="825" t="str">
        <f>IFERROR(INDEX(月例!$A$5:$A$788,MATCH("委託費|L|37",月例!$T$5:$T$788,0)),"")</f>
        <v/>
      </c>
      <c r="Q42" s="826" t="str">
        <f>IFERROR(INDEX(月例!$E$5:$E$788,MATCH("委託費|L|37",月例!$T$5:$T$788,0)),"")</f>
        <v/>
      </c>
      <c r="R42" s="830" t="str">
        <f>IFERROR(INDEX(月例!$R$5:$R$788,MATCH("委託費|L|37",月例!$T$5:$T$788,0)),"")</f>
        <v/>
      </c>
      <c r="S42" s="831" t="str">
        <f>IF(R42="","",S41-R42)</f>
        <v/>
      </c>
      <c r="T42" s="829" t="str">
        <f>IFERROR(INDEX(月例!$P$5:$P$788,MATCH("委託費|L|37",月例!$T$5:$T$788,0)),"")</f>
        <v/>
      </c>
    </row>
    <row r="43" ht="25.5" customHeight="1" s="186">
      <c r="A43" s="825" t="str">
        <f>IFERROR(INDEX(月例!$A$5:$A$788,MATCH("事務用消耗品費|L|38",月例!$T$5:$T$788,0)),"")</f>
        <v/>
      </c>
      <c r="B43" s="826" t="str">
        <f>IFERROR(INDEX(月例!$E$5:$E$788,MATCH("事務用消耗品費|L|38",月例!$T$5:$T$788,0)),"")</f>
        <v/>
      </c>
      <c r="C43" s="830" t="str">
        <f>IFERROR(INDEX(月例!$R$5:$R$788,MATCH("事務用消耗品費|L|38",月例!$T$5:$T$788,0)),"")</f>
        <v/>
      </c>
      <c r="D43" s="831" t="str">
        <f>IF(C43="","",D42-C43)</f>
        <v/>
      </c>
      <c r="E43" s="829" t="str">
        <f>IFERROR(INDEX(月例!$P$5:$P$788,MATCH("事務用消耗品費|L|38",月例!$T$5:$T$788,0)),"")</f>
        <v/>
      </c>
      <c r="F43" s="825" t="str">
        <f>IFERROR(INDEX(月例!$A$5:$A$788,MATCH("通信運搬費|L|38",月例!$T$5:$T$788,0)),"")</f>
        <v/>
      </c>
      <c r="G43" s="826" t="str">
        <f>IFERROR(INDEX(月例!$E$5:$E$788,MATCH("通信運搬費|L|38",月例!$T$5:$T$788,0)),"")</f>
        <v/>
      </c>
      <c r="H43" s="830" t="str">
        <f>IFERROR(INDEX(月例!$R$5:$R$788,MATCH("通信運搬費|L|38",月例!$T$5:$T$788,0)),"")</f>
        <v/>
      </c>
      <c r="I43" s="831" t="str">
        <f>IF(H43="","",I42-H43)</f>
        <v/>
      </c>
      <c r="J43" s="829" t="str">
        <f>IFERROR(INDEX(月例!$P$5:$P$788,MATCH("通信運搬費|L|38",月例!$T$5:$T$788,0)),"")</f>
        <v/>
      </c>
      <c r="K43" s="825" t="str">
        <f>IFERROR(INDEX(月例!$A$5:$A$788,MATCH("図書印刷費|L|38",月例!$T$5:$T$788,0)),"")</f>
        <v/>
      </c>
      <c r="L43" s="826" t="str">
        <f>IFERROR(INDEX(月例!$E$5:$E$788,MATCH("図書印刷費|L|38",月例!$T$5:$T$788,0)),"")</f>
        <v/>
      </c>
      <c r="M43" s="830" t="str">
        <f>IFERROR(INDEX(月例!$R$5:$R$788,MATCH("図書印刷費|L|38",月例!$T$5:$T$788,0)),"")</f>
        <v/>
      </c>
      <c r="N43" s="831" t="str">
        <f>IF(M43="","",N42-M43)</f>
        <v/>
      </c>
      <c r="O43" s="829" t="str">
        <f>IFERROR(INDEX(月例!$P$5:$P$788,MATCH("図書印刷費|L|38",月例!$T$5:$T$788,0)),"")</f>
        <v/>
      </c>
      <c r="P43" s="825" t="str">
        <f>IFERROR(INDEX(月例!$A$5:$A$788,MATCH("委託費|L|38",月例!$T$5:$T$788,0)),"")</f>
        <v/>
      </c>
      <c r="Q43" s="826" t="str">
        <f>IFERROR(INDEX(月例!$E$5:$E$788,MATCH("委託費|L|38",月例!$T$5:$T$788,0)),"")</f>
        <v/>
      </c>
      <c r="R43" s="830" t="str">
        <f>IFERROR(INDEX(月例!$R$5:$R$788,MATCH("委託費|L|38",月例!$T$5:$T$788,0)),"")</f>
        <v/>
      </c>
      <c r="S43" s="831" t="str">
        <f>IF(R43="","",S42-R43)</f>
        <v/>
      </c>
      <c r="T43" s="829" t="str">
        <f>IFERROR(INDEX(月例!$P$5:$P$788,MATCH("委託費|L|38",月例!$T$5:$T$788,0)),"")</f>
        <v/>
      </c>
    </row>
    <row r="44" ht="25.5" customHeight="1" s="186">
      <c r="A44" s="825" t="str">
        <f>IFERROR(INDEX(月例!$A$5:$A$788,MATCH("事務用消耗品費|L|39",月例!$T$5:$T$788,0)),"")</f>
        <v/>
      </c>
      <c r="B44" s="826" t="str">
        <f>IFERROR(INDEX(月例!$E$5:$E$788,MATCH("事務用消耗品費|L|39",月例!$T$5:$T$788,0)),"")</f>
        <v/>
      </c>
      <c r="C44" s="830" t="str">
        <f>IFERROR(INDEX(月例!$R$5:$R$788,MATCH("事務用消耗品費|L|39",月例!$T$5:$T$788,0)),"")</f>
        <v/>
      </c>
      <c r="D44" s="831" t="str">
        <f>IF(C44="","",D43-C44)</f>
        <v/>
      </c>
      <c r="E44" s="829" t="str">
        <f>IFERROR(INDEX(月例!$P$5:$P$788,MATCH("事務用消耗品費|L|39",月例!$T$5:$T$788,0)),"")</f>
        <v/>
      </c>
      <c r="F44" s="825" t="str">
        <f>IFERROR(INDEX(月例!$A$5:$A$788,MATCH("通信運搬費|L|39",月例!$T$5:$T$788,0)),"")</f>
        <v/>
      </c>
      <c r="G44" s="826" t="str">
        <f>IFERROR(INDEX(月例!$E$5:$E$788,MATCH("通信運搬費|L|39",月例!$T$5:$T$788,0)),"")</f>
        <v/>
      </c>
      <c r="H44" s="830" t="str">
        <f>IFERROR(INDEX(月例!$R$5:$R$788,MATCH("通信運搬費|L|39",月例!$T$5:$T$788,0)),"")</f>
        <v/>
      </c>
      <c r="I44" s="831" t="str">
        <f>IF(H44="","",I43-H44)</f>
        <v/>
      </c>
      <c r="J44" s="829" t="str">
        <f>IFERROR(INDEX(月例!$P$5:$P$788,MATCH("通信運搬費|L|39",月例!$T$5:$T$788,0)),"")</f>
        <v/>
      </c>
      <c r="K44" s="825" t="str">
        <f>IFERROR(INDEX(月例!$A$5:$A$788,MATCH("図書印刷費|L|39",月例!$T$5:$T$788,0)),"")</f>
        <v/>
      </c>
      <c r="L44" s="826" t="str">
        <f>IFERROR(INDEX(月例!$E$5:$E$788,MATCH("図書印刷費|L|39",月例!$T$5:$T$788,0)),"")</f>
        <v/>
      </c>
      <c r="M44" s="830" t="str">
        <f>IFERROR(INDEX(月例!$R$5:$R$788,MATCH("図書印刷費|L|39",月例!$T$5:$T$788,0)),"")</f>
        <v/>
      </c>
      <c r="N44" s="831" t="str">
        <f>IF(M44="","",N43-M44)</f>
        <v/>
      </c>
      <c r="O44" s="829" t="str">
        <f>IFERROR(INDEX(月例!$P$5:$P$788,MATCH("図書印刷費|L|39",月例!$T$5:$T$788,0)),"")</f>
        <v/>
      </c>
    </row>
    <row r="45" ht="25.5" customHeight="1" s="186" thickBot="1">
      <c r="A45" s="825" t="str">
        <f>IFERROR(INDEX(月例!$A$5:$A$788,MATCH("事務用消耗品費|L|40",月例!$T$5:$T$788,0)),"")</f>
        <v/>
      </c>
      <c r="B45" s="826" t="str">
        <f>IFERROR(INDEX(月例!$E$5:$E$788,MATCH("事務用消耗品費|L|40",月例!$T$5:$T$788,0)),"")</f>
        <v/>
      </c>
      <c r="C45" s="830" t="str">
        <f>IFERROR(INDEX(月例!$R$5:$R$788,MATCH("事務用消耗品費|L|40",月例!$T$5:$T$788,0)),"")</f>
        <v/>
      </c>
      <c r="D45" s="831" t="str">
        <f>IF(C45="","",D44-C45)</f>
        <v/>
      </c>
      <c r="E45" s="829" t="str">
        <f>IFERROR(INDEX(月例!$P$5:$P$788,MATCH("事務用消耗品費|L|40",月例!$T$5:$T$788,0)),"")</f>
        <v/>
      </c>
      <c r="F45" s="825" t="str">
        <f>IFERROR(INDEX(月例!$A$5:$A$788,MATCH("通信運搬費|L|40",月例!$T$5:$T$788,0)),"")</f>
        <v/>
      </c>
      <c r="G45" s="826" t="str">
        <f>IFERROR(INDEX(月例!$E$5:$E$788,MATCH("通信運搬費|L|40",月例!$T$5:$T$788,0)),"")</f>
        <v/>
      </c>
      <c r="H45" s="830" t="str">
        <f>IFERROR(INDEX(月例!$R$5:$R$788,MATCH("通信運搬費|L|40",月例!$T$5:$T$788,0)),"")</f>
        <v/>
      </c>
      <c r="I45" s="831" t="str">
        <f>IF(H45="","",I44-H45)</f>
        <v/>
      </c>
      <c r="J45" s="829" t="str">
        <f>IFERROR(INDEX(月例!$P$5:$P$788,MATCH("通信運搬費|L|40",月例!$T$5:$T$788,0)),"")</f>
        <v/>
      </c>
      <c r="K45" s="825" t="str">
        <f>IFERROR(INDEX(月例!$A$5:$A$788,MATCH("図書印刷費|L|40",月例!$T$5:$T$788,0)),"")</f>
        <v/>
      </c>
      <c r="L45" s="826" t="str">
        <f>IFERROR(INDEX(月例!$E$5:$E$788,MATCH("図書印刷費|L|40",月例!$T$5:$T$788,0)),"")</f>
        <v/>
      </c>
      <c r="M45" s="830" t="str">
        <f>IFERROR(INDEX(月例!$R$5:$R$788,MATCH("図書印刷費|L|40",月例!$T$5:$T$788,0)),"")</f>
        <v/>
      </c>
      <c r="N45" s="831" t="str">
        <f>IF(M45="","",N44-M45)</f>
        <v/>
      </c>
      <c r="O45" s="829" t="str">
        <f>IFERROR(INDEX(月例!$P$5:$P$788,MATCH("図書印刷費|L|40",月例!$T$5:$T$788,0)),"")</f>
        <v/>
      </c>
    </row>
    <row r="46" ht="25.5" customHeight="1" s="186" thickBot="1">
      <c r="A46" s="825" t="str">
        <f>IFERROR(INDEX(月例!$A$5:$A$788,MATCH("事務用消耗品費|L|41",月例!$T$5:$T$788,0)),"")</f>
        <v/>
      </c>
      <c r="B46" s="826" t="str">
        <f>IFERROR(INDEX(月例!$E$5:$E$788,MATCH("事務用消耗品費|L|41",月例!$T$5:$T$788,0)),"")</f>
        <v/>
      </c>
      <c r="C46" s="830" t="str">
        <f>IFERROR(INDEX(月例!$R$5:$R$788,MATCH("事務用消耗品費|L|41",月例!$T$5:$T$788,0)),"")</f>
        <v/>
      </c>
      <c r="D46" s="831" t="str">
        <f>IF(C46="","",D45-C46)</f>
        <v/>
      </c>
      <c r="E46" s="829" t="str">
        <f>IFERROR(INDEX(月例!$P$5:$P$788,MATCH("事務用消耗品費|L|41",月例!$T$5:$T$788,0)),"")</f>
        <v/>
      </c>
      <c r="F46" s="825" t="str">
        <f>IFERROR(INDEX(月例!$A$5:$A$788,MATCH("通信運搬費|L|41",月例!$T$5:$T$788,0)),"")</f>
        <v/>
      </c>
      <c r="G46" s="826" t="str">
        <f>IFERROR(INDEX(月例!$E$5:$E$788,MATCH("通信運搬費|L|41",月例!$T$5:$T$788,0)),"")</f>
        <v/>
      </c>
      <c r="H46" s="830" t="str">
        <f>IFERROR(INDEX(月例!$R$5:$R$788,MATCH("通信運搬費|L|41",月例!$T$5:$T$788,0)),"")</f>
        <v/>
      </c>
      <c r="I46" s="831" t="str">
        <f>IF(H46="","",I45-H46)</f>
        <v/>
      </c>
      <c r="J46" s="829" t="str">
        <f>IFERROR(INDEX(月例!$P$5:$P$788,MATCH("通信運搬費|L|41",月例!$T$5:$T$788,0)),"")</f>
        <v/>
      </c>
    </row>
    <row r="47" ht="25.5" customHeight="1" s="186">
      <c r="A47" s="825" t="str">
        <f>IFERROR(INDEX(月例!$A$5:$A$788,MATCH("事務用消耗品費|L|42",月例!$T$5:$T$788,0)),"")</f>
        <v/>
      </c>
      <c r="B47" s="826" t="str">
        <f>IFERROR(INDEX(月例!$E$5:$E$788,MATCH("事務用消耗品費|L|42",月例!$T$5:$T$788,0)),"")</f>
        <v/>
      </c>
      <c r="C47" s="830" t="str">
        <f>IFERROR(INDEX(月例!$R$5:$R$788,MATCH("事務用消耗品費|L|42",月例!$T$5:$T$788,0)),"")</f>
        <v/>
      </c>
      <c r="D47" s="831" t="str">
        <f>IF(C47="","",D46-C47)</f>
        <v/>
      </c>
      <c r="E47" s="829" t="str">
        <f>IFERROR(INDEX(月例!$P$5:$P$788,MATCH("事務用消耗品費|L|42",月例!$T$5:$T$788,0)),"")</f>
        <v/>
      </c>
      <c r="F47" s="825" t="str">
        <f>IFERROR(INDEX(月例!$A$5:$A$788,MATCH("通信運搬費|L|42",月例!$T$5:$T$788,0)),"")</f>
        <v/>
      </c>
      <c r="G47" s="826" t="str">
        <f>IFERROR(INDEX(月例!$E$5:$E$788,MATCH("通信運搬費|L|42",月例!$T$5:$T$788,0)),"")</f>
        <v/>
      </c>
      <c r="H47" s="830" t="str">
        <f>IFERROR(INDEX(月例!$R$5:$R$788,MATCH("通信運搬費|L|42",月例!$T$5:$T$788,0)),"")</f>
        <v/>
      </c>
      <c r="I47" s="831" t="str">
        <f>IF(H47="","",I46-H47)</f>
        <v/>
      </c>
      <c r="J47" s="829" t="str">
        <f>IFERROR(INDEX(月例!$P$5:$P$788,MATCH("通信運搬費|L|42",月例!$T$5:$T$788,0)),"")</f>
        <v/>
      </c>
    </row>
    <row r="48" ht="25.5" customHeight="1" s="186" thickBot="1">
      <c r="A48" s="825" t="str">
        <f>IFERROR(INDEX(月例!$A$5:$A$788,MATCH("事務用消耗品費|L|43",月例!$T$5:$T$788,0)),"")</f>
        <v/>
      </c>
      <c r="B48" s="826" t="str">
        <f>IFERROR(INDEX(月例!$E$5:$E$788,MATCH("事務用消耗品費|L|43",月例!$T$5:$T$788,0)),"")</f>
        <v/>
      </c>
      <c r="C48" s="830" t="str">
        <f>IFERROR(INDEX(月例!$R$5:$R$788,MATCH("事務用消耗品費|L|43",月例!$T$5:$T$788,0)),"")</f>
        <v/>
      </c>
      <c r="D48" s="831" t="str">
        <f>IF(C48="","",D47-C48)</f>
        <v/>
      </c>
      <c r="E48" s="829" t="str">
        <f>IFERROR(INDEX(月例!$P$5:$P$788,MATCH("事務用消耗品費|L|43",月例!$T$5:$T$788,0)),"")</f>
        <v/>
      </c>
      <c r="F48" s="825" t="str">
        <f>IFERROR(INDEX(月例!$A$5:$A$788,MATCH("通信運搬費|L|43",月例!$T$5:$T$788,0)),"")</f>
        <v/>
      </c>
      <c r="G48" s="826" t="str">
        <f>IFERROR(INDEX(月例!$E$5:$E$788,MATCH("通信運搬費|L|43",月例!$T$5:$T$788,0)),"")</f>
        <v/>
      </c>
      <c r="H48" s="830" t="str">
        <f>IFERROR(INDEX(月例!$R$5:$R$788,MATCH("通信運搬費|L|43",月例!$T$5:$T$788,0)),"")</f>
        <v/>
      </c>
      <c r="I48" s="831" t="str">
        <f>IF(H48="","",I47-H48)</f>
        <v/>
      </c>
      <c r="J48" s="829" t="str">
        <f>IFERROR(INDEX(月例!$P$5:$P$788,MATCH("通信運搬費|L|43",月例!$T$5:$T$788,0)),"")</f>
        <v/>
      </c>
    </row>
    <row r="49" ht="25.5" customHeight="1" s="186" thickBot="1">
      <c r="A49" s="825" t="str">
        <f>IFERROR(INDEX(月例!$A$5:$A$788,MATCH("事務用消耗品費|L|44",月例!$T$5:$T$788,0)),"")</f>
        <v/>
      </c>
      <c r="B49" s="826" t="str">
        <f>IFERROR(INDEX(月例!$E$5:$E$788,MATCH("事務用消耗品費|L|44",月例!$T$5:$T$788,0)),"")</f>
        <v/>
      </c>
      <c r="C49" s="830" t="str">
        <f>IFERROR(INDEX(月例!$R$5:$R$788,MATCH("事務用消耗品費|L|44",月例!$T$5:$T$788,0)),"")</f>
        <v/>
      </c>
      <c r="D49" s="831" t="str">
        <f>IF(C49="","",D48-C49)</f>
        <v/>
      </c>
      <c r="E49" s="829" t="str">
        <f>IFERROR(INDEX(月例!$P$5:$P$788,MATCH("事務用消耗品費|L|44",月例!$T$5:$T$788,0)),"")</f>
        <v/>
      </c>
      <c r="F49" s="825" t="str">
        <f>IFERROR(INDEX(月例!$A$5:$A$788,MATCH("通信運搬費|L|44",月例!$T$5:$T$788,0)),"")</f>
        <v/>
      </c>
      <c r="G49" s="826" t="str">
        <f>IFERROR(INDEX(月例!$E$5:$E$788,MATCH("通信運搬費|L|44",月例!$T$5:$T$788,0)),"")</f>
        <v/>
      </c>
      <c r="H49" s="830" t="str">
        <f>IFERROR(INDEX(月例!$R$5:$R$788,MATCH("通信運搬費|L|44",月例!$T$5:$T$788,0)),"")</f>
        <v/>
      </c>
      <c r="I49" s="831" t="str">
        <f>IF(H49="","",I48-H49)</f>
        <v/>
      </c>
      <c r="J49" s="829" t="str">
        <f>IFERROR(INDEX(月例!$P$5:$P$788,MATCH("通信運搬費|L|44",月例!$T$5:$T$788,0)),"")</f>
        <v/>
      </c>
    </row>
    <row r="50" ht="25.5" customHeight="1" s="186">
      <c r="A50" s="825" t="str">
        <f>IFERROR(INDEX(月例!$A$5:$A$788,MATCH("事務用消耗品費|L|45",月例!$T$5:$T$788,0)),"")</f>
        <v/>
      </c>
      <c r="B50" s="826" t="str">
        <f>IFERROR(INDEX(月例!$E$5:$E$788,MATCH("事務用消耗品費|L|45",月例!$T$5:$T$788,0)),"")</f>
        <v/>
      </c>
      <c r="C50" s="830" t="str">
        <f>IFERROR(INDEX(月例!$R$5:$R$788,MATCH("事務用消耗品費|L|45",月例!$T$5:$T$788,0)),"")</f>
        <v/>
      </c>
      <c r="D50" s="831" t="str">
        <f>IF(C50="","",D49-C50)</f>
        <v/>
      </c>
      <c r="E50" s="829" t="str">
        <f>IFERROR(INDEX(月例!$P$5:$P$788,MATCH("事務用消耗品費|L|45",月例!$T$5:$T$788,0)),"")</f>
        <v/>
      </c>
      <c r="F50" s="825" t="str">
        <f>IFERROR(INDEX(月例!$A$5:$A$788,MATCH("通信運搬費|L|45",月例!$T$5:$T$788,0)),"")</f>
        <v/>
      </c>
      <c r="G50" s="826" t="str">
        <f>IFERROR(INDEX(月例!$E$5:$E$788,MATCH("通信運搬費|L|45",月例!$T$5:$T$788,0)),"")</f>
        <v/>
      </c>
      <c r="H50" s="830" t="str">
        <f>IFERROR(INDEX(月例!$R$5:$R$788,MATCH("通信運搬費|L|45",月例!$T$5:$T$788,0)),"")</f>
        <v/>
      </c>
      <c r="I50" s="831" t="str">
        <f>IF(H50="","",I49-H50)</f>
        <v/>
      </c>
      <c r="J50" s="829" t="str">
        <f>IFERROR(INDEX(月例!$P$5:$P$788,MATCH("通信運搬費|L|45",月例!$T$5:$T$788,0)),"")</f>
        <v/>
      </c>
    </row>
    <row r="51" ht="25.5" customHeight="1" s="186"/>
    <row r="52" ht="25.5" customHeight="1" s="186"/>
    <row r="53" ht="39" customHeight="1" s="186" thickBot="1"/>
    <row r="54" ht="25.5" customHeight="1" s="186" thickBot="1">
      <c r="B54" s="502" t="inlineStr">
        <is>
          <t>○旅費</t>
        </is>
      </c>
      <c r="D54" s="93" t="inlineStr">
        <is>
          <t>業務（長）</t>
        </is>
      </c>
      <c r="E54" s="824" t="str">
        <f>IF(COUNTIF(月例!$T$5:$T$788,"旅費|L|*")&gt;37,"行不足","")</f>
        <v/>
      </c>
      <c r="G54" s="502" t="inlineStr">
        <is>
          <t>○賃借料</t>
        </is>
      </c>
      <c r="I54" s="93" t="inlineStr">
        <is>
          <t>業務（長）</t>
        </is>
      </c>
      <c r="J54" s="824" t="str">
        <f>IF(COUNTIF(月例!$T$5:$T$788,"賃借料|L|*")&gt;36,"行不足","")</f>
        <v/>
      </c>
      <c r="L54" s="502" t="inlineStr">
        <is>
          <t>○職員給与  非常勤職員手当</t>
        </is>
      </c>
      <c r="N54" s="93" t="inlineStr">
        <is>
          <t>業務（長）</t>
        </is>
      </c>
      <c r="O54" s="824" t="str">
        <f>IF(COUNTIF(月例!$T$5:$T$788,"非常勤職員手当|L|*")&gt;36,"行不足","")</f>
        <v/>
      </c>
      <c r="Q54" s="502" t="inlineStr">
        <is>
          <t>○負担金  共済負担金等</t>
        </is>
      </c>
      <c r="S54" s="93" t="inlineStr">
        <is>
          <t>業務（長）</t>
        </is>
      </c>
      <c r="T54" s="824" t="str">
        <f>IF(COUNTIF(月例!$T$5:$T$788,"共済負担金等|L|*")&gt;33,"行不足","")</f>
        <v/>
      </c>
    </row>
    <row r="55" ht="25.5" customHeight="1" s="186">
      <c r="A55" s="100" t="inlineStr">
        <is>
          <t>支出日</t>
        </is>
      </c>
      <c r="B55" s="100" t="inlineStr">
        <is>
          <t>摘要</t>
        </is>
      </c>
      <c r="C55" s="100" t="inlineStr">
        <is>
          <t>支出</t>
        </is>
      </c>
      <c r="D55" s="100" t="inlineStr">
        <is>
          <t>残額</t>
        </is>
      </c>
      <c r="E55" s="100" t="inlineStr">
        <is>
          <t>状態</t>
        </is>
      </c>
      <c r="F55" s="100" t="inlineStr">
        <is>
          <t>支出日</t>
        </is>
      </c>
      <c r="G55" s="100" t="inlineStr">
        <is>
          <t>摘要</t>
        </is>
      </c>
      <c r="H55" s="100" t="inlineStr">
        <is>
          <t>支出</t>
        </is>
      </c>
      <c r="I55" s="100" t="inlineStr">
        <is>
          <t>残額</t>
        </is>
      </c>
      <c r="J55" s="100" t="inlineStr">
        <is>
          <t>状態</t>
        </is>
      </c>
      <c r="K55" s="100" t="inlineStr">
        <is>
          <t>支出日</t>
        </is>
      </c>
      <c r="L55" s="100" t="inlineStr">
        <is>
          <t>摘要</t>
        </is>
      </c>
      <c r="M55" s="100" t="inlineStr">
        <is>
          <t>支出</t>
        </is>
      </c>
      <c r="N55" s="100" t="inlineStr">
        <is>
          <t>残額</t>
        </is>
      </c>
      <c r="O55" s="100" t="inlineStr">
        <is>
          <t>状態</t>
        </is>
      </c>
      <c r="P55" s="100" t="inlineStr">
        <is>
          <t>支出日</t>
        </is>
      </c>
      <c r="Q55" s="100" t="inlineStr">
        <is>
          <t>摘要</t>
        </is>
      </c>
      <c r="R55" s="100" t="inlineStr">
        <is>
          <t>支出</t>
        </is>
      </c>
      <c r="S55" s="100" t="inlineStr">
        <is>
          <t>累計</t>
        </is>
      </c>
      <c r="T55" s="100" t="inlineStr">
        <is>
          <t>状態</t>
        </is>
      </c>
    </row>
    <row r="56" ht="25.5" customHeight="1" s="186" thickBot="1">
      <c r="A56" s="825" t="n"/>
      <c r="B56" s="826" t="inlineStr">
        <is>
          <t>予算現額</t>
        </is>
      </c>
      <c r="C56" s="830" t="n"/>
      <c r="D56" s="831">
        <f>'R7業務（長）'!$S$11</f>
        <v>599000</v>
      </c>
      <c r="F56" s="825" t="n"/>
      <c r="G56" s="826" t="inlineStr">
        <is>
          <t>予算現額</t>
        </is>
      </c>
      <c r="H56" s="830" t="n"/>
      <c r="I56" s="831">
        <f>'R7業務（長）'!$S$23</f>
        <v>1027000</v>
      </c>
      <c r="K56" s="825" t="n"/>
      <c r="L56" s="826" t="inlineStr">
        <is>
          <t>予算現額</t>
        </is>
      </c>
      <c r="M56" s="830" t="n"/>
      <c r="N56" s="831">
        <f>'R7業務（長）'!$S$7</f>
        <v>7453000</v>
      </c>
      <c r="P56" s="825" t="n"/>
      <c r="Q56" s="826" t="inlineStr">
        <is>
          <t>（予算なし）</t>
        </is>
      </c>
      <c r="R56" s="830" t="n"/>
      <c r="S56" s="831" t="n">
        <v>0</v>
      </c>
    </row>
    <row r="57" ht="25.5" customHeight="1" s="186" thickBot="1">
      <c r="A57" s="825">
        <f>IFERROR(INDEX(月例!$A$5:$A$788,MATCH("旅費|L|1",月例!$T$5:$T$788,0)),"")</f>
        <v>43622</v>
      </c>
      <c r="B57" s="826" t="str">
        <f>IFERROR(INDEX(月例!$E$5:$E$788,MATCH("旅費|L|1",月例!$T$5:$T$788,0)),"")</f>
        <v>6/10事務局長会議　特別区　胡子事務局長</v>
      </c>
      <c r="C57" s="830">
        <f>IFERROR(INDEX(月例!$R$5:$R$788,MATCH("旅費|L|1",月例!$T$5:$T$788,0)),"")</f>
        <v>19836</v>
      </c>
      <c r="D57" s="831">
        <f>IF(C57="","",D56-C57)</f>
        <v>579164</v>
      </c>
      <c r="E57" s="829" t="str">
        <f>IFERROR(INDEX(月例!$P$5:$P$788,MATCH("旅費|L|1",月例!$T$5:$T$788,0)),"")</f>
        <v>昨年実績</v>
      </c>
      <c r="F57" s="825">
        <f>IFERROR(INDEX(月例!$A$5:$A$788,MATCH("賃借料|L|1",月例!$T$5:$T$788,0)),"")</f>
        <v>46171</v>
      </c>
      <c r="G57" s="826" t="str">
        <f>IFERROR(INDEX(月例!$E$5:$E$788,MATCH("賃借料|L|1",月例!$T$5:$T$788,0)),"")</f>
        <v>基幹システム用機器賃借料　4月分（長期）</v>
      </c>
      <c r="H57" s="830">
        <f>IFERROR(INDEX(月例!$R$5:$R$788,MATCH("賃借料|L|1",月例!$T$5:$T$788,0)),"")</f>
        <v>69613</v>
      </c>
      <c r="I57" s="831">
        <f>IF(H57="","",I56-H57)</f>
        <v>957387</v>
      </c>
      <c r="J57" s="829" t="str">
        <f>IFERROR(INDEX(月例!$P$5:$P$788,MATCH("賃借料|L|1",月例!$T$5:$T$788,0)),"")</f>
        <v>確認済</v>
      </c>
      <c r="K57" s="825">
        <f>IFERROR(INDEX(月例!$A$5:$A$788,MATCH("非常勤職員手当|L|1",月例!$T$5:$T$788,0)),"")</f>
        <v>46133</v>
      </c>
      <c r="L57" s="826" t="str">
        <f>IFERROR(INDEX(月例!$E$5:$E$788,MATCH("非常勤職員手当|L|1",月例!$T$5:$T$788,0)),"")</f>
        <v>４月分給与（長期分）</v>
      </c>
      <c r="M57" s="830">
        <f>IFERROR(INDEX(月例!$R$5:$R$788,MATCH("非常勤職員手当|L|1",月例!$T$5:$T$788,0)),"")</f>
        <v>380800</v>
      </c>
      <c r="N57" s="831">
        <f>IF(M57="","",N56-M57)</f>
        <v>7072200</v>
      </c>
      <c r="O57" s="829" t="str">
        <f>IFERROR(INDEX(月例!$P$5:$P$788,MATCH("非常勤職員手当|L|1",月例!$T$5:$T$788,0)),"")</f>
        <v>確認済</v>
      </c>
      <c r="P57" s="825">
        <f>IFERROR(INDEX(月例!$A$5:$A$788,MATCH("共済負担金等|L|1",月例!$T$5:$T$788,0)),"")</f>
        <v>46139</v>
      </c>
      <c r="Q57" s="826" t="str">
        <f>IFERROR(INDEX(月例!$E$5:$E$788,MATCH("共済負担金等|L|1",月例!$T$5:$T$788,0)),"")</f>
        <v>共済短期・介護・子ども子育て負担金（4月月例分）長期</v>
      </c>
      <c r="R57" s="830">
        <f>IFERROR(INDEX(月例!$R$5:$R$788,MATCH("共済負担金等|L|1",月例!$T$5:$T$788,0)),"")</f>
        <v>22035</v>
      </c>
      <c r="S57" s="831">
        <f>IF(R57="","",S56+R57)</f>
        <v>22035</v>
      </c>
      <c r="T57" s="829" t="str">
        <f>IFERROR(INDEX(月例!$P$5:$P$788,MATCH("共済負担金等|L|1",月例!$T$5:$T$788,0)),"")</f>
        <v>確認済</v>
      </c>
    </row>
    <row r="58" ht="25.5" customHeight="1" s="186">
      <c r="A58" s="825">
        <f>IFERROR(INDEX(月例!$A$5:$A$788,MATCH("旅費|L|2",月例!$T$5:$T$788,0)),"")</f>
        <v>43636</v>
      </c>
      <c r="B58" s="826" t="str">
        <f>IFERROR(INDEX(月例!$E$5:$E$788,MATCH("旅費|L|2",月例!$T$5:$T$788,0)),"")</f>
        <v>6/24～26　年金事務初任者研修会　特別区　梅谷主事</v>
      </c>
      <c r="C58" s="830">
        <f>IFERROR(INDEX(月例!$R$5:$R$788,MATCH("旅費|L|2",月例!$T$5:$T$788,0)),"")</f>
        <v>63820</v>
      </c>
      <c r="D58" s="831">
        <f>IF(C58="","",D57-C58)</f>
        <v>515344</v>
      </c>
      <c r="E58" s="829" t="str">
        <f>IFERROR(INDEX(月例!$P$5:$P$788,MATCH("旅費|L|2",月例!$T$5:$T$788,0)),"")</f>
        <v>昨年実績</v>
      </c>
      <c r="F58" s="825">
        <f>IFERROR(INDEX(月例!$A$5:$A$788,MATCH("賃借料|L|2",月例!$T$5:$T$788,0)),"")</f>
        <v>46202</v>
      </c>
      <c r="G58" s="826" t="str">
        <f>IFERROR(INDEX(月例!$E$5:$E$788,MATCH("賃借料|L|2",月例!$T$5:$T$788,0)),"")</f>
        <v>基幹システム用機器賃借料　5月分（長期）</v>
      </c>
      <c r="H58" s="830">
        <f>IFERROR(INDEX(月例!$R$5:$R$788,MATCH("賃借料|L|2",月例!$T$5:$T$788,0)),"")</f>
        <v>69613</v>
      </c>
      <c r="I58" s="831">
        <f>IF(H58="","",I57-H58)</f>
        <v>887774</v>
      </c>
      <c r="J58" s="829" t="str">
        <f>IFERROR(INDEX(月例!$P$5:$P$788,MATCH("賃借料|L|2",月例!$T$5:$T$788,0)),"")</f>
        <v>確認済</v>
      </c>
      <c r="K58" s="825">
        <f>IFERROR(INDEX(月例!$A$5:$A$788,MATCH("非常勤職員手当|L|2",月例!$T$5:$T$788,0)),"")</f>
        <v>46163</v>
      </c>
      <c r="L58" s="826" t="str">
        <f>IFERROR(INDEX(月例!$E$5:$E$788,MATCH("非常勤職員手当|L|2",月例!$T$5:$T$788,0)),"")</f>
        <v>５月分給与（長期分）</v>
      </c>
      <c r="M58" s="830">
        <f>IFERROR(INDEX(月例!$R$5:$R$788,MATCH("非常勤職員手当|L|2",月例!$T$5:$T$788,0)),"")</f>
        <v>380800</v>
      </c>
      <c r="N58" s="831">
        <f>IF(M58="","",N57-M58)</f>
        <v>6691400</v>
      </c>
      <c r="O58" s="829" t="str">
        <f>IFERROR(INDEX(月例!$P$5:$P$788,MATCH("非常勤職員手当|L|2",月例!$T$5:$T$788,0)),"")</f>
        <v>確認済</v>
      </c>
      <c r="P58" s="825">
        <f>IFERROR(INDEX(月例!$A$5:$A$788,MATCH("共済負担金等|L|2",月例!$T$5:$T$788,0)),"")</f>
        <v>46169</v>
      </c>
      <c r="Q58" s="826" t="str">
        <f>IFERROR(INDEX(月例!$E$5:$E$788,MATCH("共済負担金等|L|2",月例!$T$5:$T$788,0)),"")</f>
        <v>共済短期・介護負担金（5月月例分）長期</v>
      </c>
      <c r="R58" s="830">
        <f>IFERROR(INDEX(月例!$R$5:$R$788,MATCH("共済負担金等|L|2",月例!$T$5:$T$788,0)),"")</f>
        <v>22035</v>
      </c>
      <c r="S58" s="831">
        <f>IF(R58="","",S57+R58)</f>
        <v>44070</v>
      </c>
      <c r="T58" s="829" t="str">
        <f>IFERROR(INDEX(月例!$P$5:$P$788,MATCH("共済負担金等|L|2",月例!$T$5:$T$788,0)),"")</f>
        <v>確認済</v>
      </c>
    </row>
    <row r="59" ht="25.5" customHeight="1" s="186">
      <c r="A59" s="825">
        <f>IFERROR(INDEX(月例!$A$5:$A$788,MATCH("旅費|L|3",月例!$T$5:$T$788,0)),"")</f>
        <v>46202</v>
      </c>
      <c r="B59" s="826" t="str">
        <f>IFERROR(INDEX(月例!$E$5:$E$788,MATCH("旅費|L|3",月例!$T$5:$T$788,0)),"")</f>
        <v>7/9全国理事研修会　香川県　山田理事</v>
      </c>
      <c r="C59" s="830">
        <f>IFERROR(INDEX(月例!$R$5:$R$788,MATCH("旅費|L|3",月例!$T$5:$T$788,0)),"")</f>
        <v>7472</v>
      </c>
      <c r="D59" s="831">
        <f>IF(C59="","",D58-C59)</f>
        <v>507872</v>
      </c>
      <c r="E59" s="829" t="str">
        <f>IFERROR(INDEX(月例!$P$5:$P$788,MATCH("旅費|L|3",月例!$T$5:$T$788,0)),"")</f>
        <v>確認済</v>
      </c>
      <c r="F59" s="825">
        <f>IFERROR(INDEX(月例!$A$5:$A$788,MATCH("賃借料|L|3",月例!$T$5:$T$788,0)),"")</f>
        <v>46232</v>
      </c>
      <c r="G59" s="826" t="str">
        <f>IFERROR(INDEX(月例!$E$5:$E$788,MATCH("賃借料|L|3",月例!$T$5:$T$788,0)),"")</f>
        <v>基幹システム用機器賃借料　6月分（長期）</v>
      </c>
      <c r="H59" s="830">
        <f>IFERROR(INDEX(月例!$R$5:$R$788,MATCH("賃借料|L|3",月例!$T$5:$T$788,0)),"")</f>
        <v>69613</v>
      </c>
      <c r="I59" s="831">
        <f>IF(H59="","",I58-H59)</f>
        <v>818161</v>
      </c>
      <c r="J59" s="829" t="str">
        <f>IFERROR(INDEX(月例!$P$5:$P$788,MATCH("賃借料|L|3",月例!$T$5:$T$788,0)),"")</f>
        <v>確認済</v>
      </c>
      <c r="K59" s="825">
        <f>IFERROR(INDEX(月例!$A$5:$A$788,MATCH("非常勤職員手当|L|3",月例!$T$5:$T$788,0)),"")</f>
        <v>46192</v>
      </c>
      <c r="L59" s="826" t="str">
        <f>IFERROR(INDEX(月例!$E$5:$E$788,MATCH("非常勤職員手当|L|3",月例!$T$5:$T$788,0)),"")</f>
        <v>６月分給与（長期分）</v>
      </c>
      <c r="M59" s="830">
        <f>IFERROR(INDEX(月例!$R$5:$R$788,MATCH("非常勤職員手当|L|3",月例!$T$5:$T$788,0)),"")</f>
        <v>380800</v>
      </c>
      <c r="N59" s="831">
        <f>IF(M59="","",N58-M59)</f>
        <v>6310600</v>
      </c>
      <c r="O59" s="829" t="str">
        <f>IFERROR(INDEX(月例!$P$5:$P$788,MATCH("非常勤職員手当|L|3",月例!$T$5:$T$788,0)),"")</f>
        <v>確認済</v>
      </c>
      <c r="P59" s="825">
        <f>IFERROR(INDEX(月例!$A$5:$A$788,MATCH("共済負担金等|L|3",月例!$T$5:$T$788,0)),"")</f>
        <v>44711</v>
      </c>
      <c r="Q59" s="826" t="str">
        <f>IFERROR(INDEX(月例!$E$5:$E$788,MATCH("共済負担金等|L|3",月例!$T$5:$T$788,0)),"")</f>
        <v>収入印紙</v>
      </c>
      <c r="R59" s="830">
        <f>IFERROR(INDEX(月例!$R$5:$R$788,MATCH("共済負担金等|L|3",月例!$T$5:$T$788,0)),"")</f>
        <v>5000</v>
      </c>
      <c r="S59" s="831">
        <f>IF(R59="","",S58+R59)</f>
        <v>49070</v>
      </c>
      <c r="T59" s="829" t="str">
        <f>IFERROR(INDEX(月例!$P$5:$P$788,MATCH("共済負担金等|L|3",月例!$T$5:$T$788,0)),"")</f>
        <v>昨年実績</v>
      </c>
    </row>
    <row r="60" ht="25.5" customHeight="1" s="186">
      <c r="A60" s="825">
        <f>IFERROR(INDEX(月例!$A$5:$A$788,MATCH("旅費|L|4",月例!$T$5:$T$788,0)),"")</f>
        <v>46202</v>
      </c>
      <c r="B60" s="826" t="str">
        <f>IFERROR(INDEX(月例!$E$5:$E$788,MATCH("旅費|L|4",月例!$T$5:$T$788,0)),"")</f>
        <v>7/9全国理事研修会　香川県　柴野理事</v>
      </c>
      <c r="C60" s="830">
        <f>IFERROR(INDEX(月例!$R$5:$R$788,MATCH("旅費|L|4",月例!$T$5:$T$788,0)),"")</f>
        <v>7472</v>
      </c>
      <c r="D60" s="831">
        <f>IF(C60="","",D59-C60)</f>
        <v>500400</v>
      </c>
      <c r="E60" s="829" t="str">
        <f>IFERROR(INDEX(月例!$P$5:$P$788,MATCH("旅費|L|4",月例!$T$5:$T$788,0)),"")</f>
        <v>確認済</v>
      </c>
      <c r="F60" s="825">
        <f>IFERROR(INDEX(月例!$A$5:$A$788,MATCH("賃借料|L|4",月例!$T$5:$T$788,0)),"")</f>
        <v>45107</v>
      </c>
      <c r="G60" s="826" t="str">
        <f>IFERROR(INDEX(月例!$E$5:$E$788,MATCH("賃借料|L|4",月例!$T$5:$T$788,0)),"")</f>
        <v>全国共済組合事務局長会議　WEB会議用機器等</v>
      </c>
      <c r="H60" s="830">
        <f>IFERROR(INDEX(月例!$R$5:$R$788,MATCH("賃借料|L|4",月例!$T$5:$T$788,0)),"")</f>
        <v>5280</v>
      </c>
      <c r="I60" s="831">
        <f>IF(H60="","",I59-H60)</f>
        <v>812881</v>
      </c>
      <c r="J60" s="829" t="str">
        <f>IFERROR(INDEX(月例!$P$5:$P$788,MATCH("賃借料|L|4",月例!$T$5:$T$788,0)),"")</f>
        <v>昨年実績</v>
      </c>
      <c r="K60" s="825">
        <f>IFERROR(INDEX(月例!$A$5:$A$788,MATCH("非常勤職員手当|L|4",月例!$T$5:$T$788,0)),"")</f>
        <v>46203</v>
      </c>
      <c r="L60" s="826" t="str">
        <f>IFERROR(INDEX(月例!$E$5:$E$788,MATCH("非常勤職員手当|L|4",月例!$T$5:$T$788,0)),"")</f>
        <v>６月分賞与（長期分）</v>
      </c>
      <c r="M60" s="830">
        <f>IFERROR(INDEX(月例!$R$5:$R$788,MATCH("非常勤職員手当|L|4",月例!$T$5:$T$788,0)),"")</f>
        <v>867690</v>
      </c>
      <c r="N60" s="831">
        <f>IF(M60="","",N59-M60)</f>
        <v>5442910</v>
      </c>
      <c r="O60" s="829" t="str">
        <f>IFERROR(INDEX(月例!$P$5:$P$788,MATCH("非常勤職員手当|L|4",月例!$T$5:$T$788,0)),"")</f>
        <v>確認済</v>
      </c>
      <c r="P60" s="825">
        <f>IFERROR(INDEX(月例!$A$5:$A$788,MATCH("共済負担金等|L|4",月例!$T$5:$T$788,0)),"")</f>
        <v>46199</v>
      </c>
      <c r="Q60" s="826" t="str">
        <f>IFERROR(INDEX(月例!$E$5:$E$788,MATCH("共済負担金等|L|4",月例!$T$5:$T$788,0)),"")</f>
        <v>共済短期・介護・子子負担金（6月月例分）長期</v>
      </c>
      <c r="R60" s="830">
        <f>IFERROR(INDEX(月例!$R$5:$R$788,MATCH("共済負担金等|L|4",月例!$T$5:$T$788,0)),"")</f>
        <v>22035</v>
      </c>
      <c r="S60" s="831">
        <f>IF(R60="","",S59+R60)</f>
        <v>71105</v>
      </c>
      <c r="T60" s="829" t="str">
        <f>IFERROR(INDEX(月例!$P$5:$P$788,MATCH("共済負担金等|L|4",月例!$T$5:$T$788,0)),"")</f>
        <v>確認済</v>
      </c>
    </row>
    <row r="61" ht="25.5" customHeight="1" s="186" thickBot="1">
      <c r="A61" s="825">
        <f>IFERROR(INDEX(月例!$A$5:$A$788,MATCH("旅費|L|5",月例!$T$5:$T$788,0)),"")</f>
        <v>46202</v>
      </c>
      <c r="B61" s="826" t="str">
        <f>IFERROR(INDEX(月例!$E$5:$E$788,MATCH("旅費|L|5",月例!$T$5:$T$788,0)),"")</f>
        <v>7/9全国理事研修会　香川県　濵理事</v>
      </c>
      <c r="C61" s="830">
        <f>IFERROR(INDEX(月例!$R$5:$R$788,MATCH("旅費|L|5",月例!$T$5:$T$788,0)),"")</f>
        <v>7472</v>
      </c>
      <c r="D61" s="831">
        <f>IF(C61="","",D60-C61)</f>
        <v>492928</v>
      </c>
      <c r="E61" s="829" t="str">
        <f>IFERROR(INDEX(月例!$P$5:$P$788,MATCH("旅費|L|5",月例!$T$5:$T$788,0)),"")</f>
        <v>確認済</v>
      </c>
      <c r="F61" s="825">
        <f>IFERROR(INDEX(月例!$A$5:$A$788,MATCH("賃借料|L|5",月例!$T$5:$T$788,0)),"")</f>
        <v>46262</v>
      </c>
      <c r="G61" s="826" t="str">
        <f>IFERROR(INDEX(月例!$E$5:$E$788,MATCH("賃借料|L|5",月例!$T$5:$T$788,0)),"")</f>
        <v>基幹システム用機器賃借料　7月分（長期）</v>
      </c>
      <c r="H61" s="830">
        <f>IFERROR(INDEX(月例!$R$5:$R$788,MATCH("賃借料|L|5",月例!$T$5:$T$788,0)),"")</f>
        <v>69613</v>
      </c>
      <c r="I61" s="831">
        <f>IF(H61="","",I60-H61)</f>
        <v>743268</v>
      </c>
      <c r="J61" s="829" t="str">
        <f>IFERROR(INDEX(月例!$P$5:$P$788,MATCH("賃借料|L|5",月例!$T$5:$T$788,0)),"")</f>
        <v>確認済</v>
      </c>
      <c r="K61" s="825">
        <f>IFERROR(INDEX(月例!$A$5:$A$788,MATCH("非常勤職員手当|L|5",月例!$T$5:$T$788,0)),"")</f>
        <v>46224</v>
      </c>
      <c r="L61" s="826" t="str">
        <f>IFERROR(INDEX(月例!$E$5:$E$788,MATCH("非常勤職員手当|L|5",月例!$T$5:$T$788,0)),"")</f>
        <v>７月分給与（長期分）</v>
      </c>
      <c r="M61" s="830">
        <f>IFERROR(INDEX(月例!$R$5:$R$788,MATCH("非常勤職員手当|L|5",月例!$T$5:$T$788,0)),"")</f>
        <v>380800</v>
      </c>
      <c r="N61" s="831">
        <f>IF(M61="","",N60-M61)</f>
        <v>5062110</v>
      </c>
      <c r="O61" s="829" t="str">
        <f>IFERROR(INDEX(月例!$P$5:$P$788,MATCH("非常勤職員手当|L|5",月例!$T$5:$T$788,0)),"")</f>
        <v>確認済</v>
      </c>
      <c r="P61" s="825">
        <f>IFERROR(INDEX(月例!$A$5:$A$788,MATCH("共済負担金等|L|5",月例!$T$5:$T$788,0)),"")</f>
        <v>46203</v>
      </c>
      <c r="Q61" s="826" t="str">
        <f>IFERROR(INDEX(月例!$E$5:$E$788,MATCH("共済負担金等|L|5",月例!$T$5:$T$788,0)),"")</f>
        <v>共済短期・介護負担金（6月賞与分）長期</v>
      </c>
      <c r="R61" s="830">
        <f>IFERROR(INDEX(月例!$R$5:$R$788,MATCH("共済負担金等|L|5",月例!$T$5:$T$788,0)),"")</f>
        <v>49130</v>
      </c>
      <c r="S61" s="831">
        <f>IF(R61="","",S60+R61)</f>
        <v>120235</v>
      </c>
      <c r="T61" s="829" t="str">
        <f>IFERROR(INDEX(月例!$P$5:$P$788,MATCH("共済負担金等|L|5",月例!$T$5:$T$788,0)),"")</f>
        <v>確認済</v>
      </c>
    </row>
    <row r="62" ht="25.5" customHeight="1" s="186" thickBot="1">
      <c r="A62" s="825">
        <f>IFERROR(INDEX(月例!$A$5:$A$788,MATCH("旅費|L|6",月例!$T$5:$T$788,0)),"")</f>
        <v>43706</v>
      </c>
      <c r="B62" s="826" t="str">
        <f>IFERROR(INDEX(月例!$E$5:$E$788,MATCH("旅費|L|6",月例!$T$5:$T$788,0)),"")</f>
        <v>9/2・3　長期給付事務専門研修会及び年金事務説明会　特別区　石井主幹</v>
      </c>
      <c r="C62" s="830">
        <f>IFERROR(INDEX(月例!$R$5:$R$788,MATCH("旅費|L|6",月例!$T$5:$T$788,0)),"")</f>
        <v>50720</v>
      </c>
      <c r="D62" s="831">
        <f>IF(C62="","",D61-C62)</f>
        <v>442208</v>
      </c>
      <c r="E62" s="829" t="str">
        <f>IFERROR(INDEX(月例!$P$5:$P$788,MATCH("旅費|L|6",月例!$T$5:$T$788,0)),"")</f>
        <v>昨年実績</v>
      </c>
      <c r="F62" s="825">
        <f>IFERROR(INDEX(月例!$A$5:$A$788,MATCH("賃借料|L|6",月例!$T$5:$T$788,0)),"")</f>
        <v>46294</v>
      </c>
      <c r="G62" s="826" t="str">
        <f>IFERROR(INDEX(月例!$E$5:$E$788,MATCH("賃借料|L|6",月例!$T$5:$T$788,0)),"")</f>
        <v>基幹システム用機器賃借料　8月分（長期）</v>
      </c>
      <c r="H62" s="830">
        <f>IFERROR(INDEX(月例!$R$5:$R$788,MATCH("賃借料|L|6",月例!$T$5:$T$788,0)),"")</f>
        <v>69613</v>
      </c>
      <c r="I62" s="831">
        <f>IF(H62="","",I61-H62)</f>
        <v>673655</v>
      </c>
      <c r="J62" s="829" t="str">
        <f>IFERROR(INDEX(月例!$P$5:$P$788,MATCH("賃借料|L|6",月例!$T$5:$T$788,0)),"")</f>
        <v>確認済</v>
      </c>
      <c r="K62" s="825">
        <f>IFERROR(INDEX(月例!$A$5:$A$788,MATCH("非常勤職員手当|L|6",月例!$T$5:$T$788,0)),"")</f>
        <v>46255</v>
      </c>
      <c r="L62" s="826" t="str">
        <f>IFERROR(INDEX(月例!$E$5:$E$788,MATCH("非常勤職員手当|L|6",月例!$T$5:$T$788,0)),"")</f>
        <v>８月分給与（長期分）</v>
      </c>
      <c r="M62" s="830">
        <f>IFERROR(INDEX(月例!$R$5:$R$788,MATCH("非常勤職員手当|L|6",月例!$T$5:$T$788,0)),"")</f>
        <v>380800</v>
      </c>
      <c r="N62" s="831">
        <f>IF(M62="","",N61-M62)</f>
        <v>4681310</v>
      </c>
      <c r="O62" s="829" t="str">
        <f>IFERROR(INDEX(月例!$P$5:$P$788,MATCH("非常勤職員手当|L|6",月例!$T$5:$T$788,0)),"")</f>
        <v>確認済</v>
      </c>
      <c r="P62" s="825">
        <f>IFERROR(INDEX(月例!$A$5:$A$788,MATCH("共済負担金等|L|6",月例!$T$5:$T$788,0)),"")</f>
        <v>45477</v>
      </c>
      <c r="Q62" s="826" t="str">
        <f>IFERROR(INDEX(月例!$E$5:$E$788,MATCH("共済負担金等|L|6",月例!$T$5:$T$788,0)),"")</f>
        <v>収入印紙</v>
      </c>
      <c r="R62" s="830">
        <f>IFERROR(INDEX(月例!$R$5:$R$788,MATCH("共済負担金等|L|6",月例!$T$5:$T$788,0)),"")</f>
        <v>34600</v>
      </c>
      <c r="S62" s="831">
        <f>IF(R62="","",S61+R62)</f>
        <v>154835</v>
      </c>
      <c r="T62" s="829" t="str">
        <f>IFERROR(INDEX(月例!$P$5:$P$788,MATCH("共済負担金等|L|6",月例!$T$5:$T$788,0)),"")</f>
        <v>昨年実績</v>
      </c>
    </row>
    <row r="63" ht="25.5" customHeight="1" s="186" thickBot="1">
      <c r="A63" s="825">
        <f>IFERROR(INDEX(月例!$A$5:$A$788,MATCH("旅費|L|7",月例!$T$5:$T$788,0)),"")</f>
        <v>46244</v>
      </c>
      <c r="B63" s="826" t="str">
        <f>IFERROR(INDEX(月例!$E$5:$E$788,MATCH("旅費|L|7",月例!$T$5:$T$788,0)),"")</f>
        <v>9/10（大都市）互選役員協議会　大阪市　山田理事他2名</v>
      </c>
      <c r="C63" s="830">
        <f>IFERROR(INDEX(月例!$R$5:$R$788,MATCH("旅費|L|7",月例!$T$5:$T$788,0)),"")</f>
        <v>31712</v>
      </c>
      <c r="D63" s="831">
        <f>IF(C63="","",D62-C63)</f>
        <v>410496</v>
      </c>
      <c r="E63" s="829" t="str">
        <f>IFERROR(INDEX(月例!$P$5:$P$788,MATCH("旅費|L|7",月例!$T$5:$T$788,0)),"")</f>
        <v>確認済</v>
      </c>
      <c r="F63" s="825">
        <f>IFERROR(INDEX(月例!$A$5:$A$788,MATCH("賃借料|L|7",月例!$T$5:$T$788,0)),"")</f>
        <v>45315</v>
      </c>
      <c r="G63" s="826" t="str">
        <f>IFERROR(INDEX(月例!$E$5:$E$788,MATCH("賃借料|L|7",月例!$T$5:$T$788,0)),"")</f>
        <v>サーバ版標準システム構成機器の賃借料（R5.4～9月分)</v>
      </c>
      <c r="H63" s="830">
        <f>IFERROR(INDEX(月例!$R$5:$R$788,MATCH("賃借料|L|7",月例!$T$5:$T$788,0)),"")</f>
        <v>26598</v>
      </c>
      <c r="I63" s="831">
        <f>IF(H63="","",I62-H63)</f>
        <v>647057</v>
      </c>
      <c r="J63" s="829" t="str">
        <f>IFERROR(INDEX(月例!$P$5:$P$788,MATCH("賃借料|L|7",月例!$T$5:$T$788,0)),"")</f>
        <v>昨年実績</v>
      </c>
      <c r="K63" s="825">
        <f>IFERROR(INDEX(月例!$A$5:$A$788,MATCH("非常勤職員手当|L|7",月例!$T$5:$T$788,0)),"")</f>
        <v>44092</v>
      </c>
      <c r="L63" s="826" t="str">
        <f>IFERROR(INDEX(月例!$E$5:$E$788,MATCH("非常勤職員手当|L|7",月例!$T$5:$T$788,0)),"")</f>
        <v>９月分給与（長期分）</v>
      </c>
      <c r="M63" s="830">
        <f>IFERROR(INDEX(月例!$R$5:$R$788,MATCH("非常勤職員手当|L|7",月例!$T$5:$T$788,0)),"")</f>
        <v>340401</v>
      </c>
      <c r="N63" s="831">
        <f>IF(M63="","",N62-M63)</f>
        <v>4340909</v>
      </c>
      <c r="O63" s="829" t="str">
        <f>IFERROR(INDEX(月例!$P$5:$P$788,MATCH("非常勤職員手当|L|7",月例!$T$5:$T$788,0)),"")</f>
        <v>昨年実績</v>
      </c>
      <c r="P63" s="825">
        <f>IFERROR(INDEX(月例!$A$5:$A$788,MATCH("共済負担金等|L|7",月例!$T$5:$T$788,0)),"")</f>
        <v>46232</v>
      </c>
      <c r="Q63" s="826" t="str">
        <f>IFERROR(INDEX(月例!$E$5:$E$788,MATCH("共済負担金等|L|7",月例!$T$5:$T$788,0)),"")</f>
        <v>共済短期・介護負担金（７月月例分）長期</v>
      </c>
      <c r="R63" s="830">
        <f>IFERROR(INDEX(月例!$R$5:$R$788,MATCH("共済負担金等|L|7",月例!$T$5:$T$788,0)),"")</f>
        <v>22035</v>
      </c>
      <c r="S63" s="831">
        <f>IF(R63="","",S62+R63)</f>
        <v>176870</v>
      </c>
      <c r="T63" s="829" t="str">
        <f>IFERROR(INDEX(月例!$P$5:$P$788,MATCH("共済負担金等|L|7",月例!$T$5:$T$788,0)),"")</f>
        <v>確認済</v>
      </c>
    </row>
    <row r="64" ht="25.5" customHeight="1" s="186" thickBot="1">
      <c r="A64" s="825">
        <f>IFERROR(INDEX(月例!$A$5:$A$788,MATCH("旅費|L|8",月例!$T$5:$T$788,0)),"")</f>
        <v>43350</v>
      </c>
      <c r="B64" s="826" t="str">
        <f>IFERROR(INDEX(月例!$E$5:$E$788,MATCH("旅費|L|8",月例!$T$5:$T$788,0)),"")</f>
        <v>（大都市）互選役員協議会　福岡市　塩見理事返還金</v>
      </c>
      <c r="C64" s="830">
        <f>IFERROR(INDEX(月例!$R$5:$R$788,MATCH("旅費|L|8",月例!$T$5:$T$788,0)),"")</f>
        <v>-8192</v>
      </c>
      <c r="D64" s="831">
        <f>IF(C64="","",D63-C64)</f>
        <v>418688</v>
      </c>
      <c r="E64" s="829" t="str">
        <f>IFERROR(INDEX(月例!$P$5:$P$788,MATCH("旅費|L|8",月例!$T$5:$T$788,0)),"")</f>
        <v>昨年実績</v>
      </c>
      <c r="F64" s="825">
        <f>IFERROR(INDEX(月例!$A$5:$A$788,MATCH("賃借料|L|8",月例!$T$5:$T$788,0)),"")</f>
        <v>46324</v>
      </c>
      <c r="G64" s="826" t="str">
        <f>IFERROR(INDEX(月例!$E$5:$E$788,MATCH("賃借料|L|8",月例!$T$5:$T$788,0)),"")</f>
        <v>基幹システム用機器賃借料　9月分（長期）</v>
      </c>
      <c r="H64" s="830">
        <f>IFERROR(INDEX(月例!$R$5:$R$788,MATCH("賃借料|L|8",月例!$T$5:$T$788,0)),"")</f>
        <v>69613</v>
      </c>
      <c r="I64" s="831">
        <f>IF(H64="","",I63-H64)</f>
        <v>577444</v>
      </c>
      <c r="J64" s="829" t="str">
        <f>IFERROR(INDEX(月例!$P$5:$P$788,MATCH("賃借料|L|8",月例!$T$5:$T$788,0)),"")</f>
        <v>確認済</v>
      </c>
      <c r="K64" s="825">
        <f>IFERROR(INDEX(月例!$A$5:$A$788,MATCH("非常勤職員手当|L|8",月例!$T$5:$T$788,0)),"")</f>
        <v>46283</v>
      </c>
      <c r="L64" s="826" t="str">
        <f>IFERROR(INDEX(月例!$E$5:$E$788,MATCH("非常勤職員手当|L|8",月例!$T$5:$T$788,0)),"")</f>
        <v>９月分給与（長期分）</v>
      </c>
      <c r="M64" s="830">
        <f>IFERROR(INDEX(月例!$R$5:$R$788,MATCH("非常勤職員手当|L|8",月例!$T$5:$T$788,0)),"")</f>
        <v>380800</v>
      </c>
      <c r="N64" s="831">
        <f>IF(M64="","",N63-M64)</f>
        <v>3960109</v>
      </c>
      <c r="O64" s="829" t="str">
        <f>IFERROR(INDEX(月例!$P$5:$P$788,MATCH("非常勤職員手当|L|8",月例!$T$5:$T$788,0)),"")</f>
        <v>確認済</v>
      </c>
      <c r="P64" s="825">
        <f>IFERROR(INDEX(月例!$A$5:$A$788,MATCH("共済負担金等|L|8",月例!$T$5:$T$788,0)),"")</f>
        <v>46261</v>
      </c>
      <c r="Q64" s="826" t="str">
        <f>IFERROR(INDEX(月例!$E$5:$E$788,MATCH("共済負担金等|L|8",月例!$T$5:$T$788,0)),"")</f>
        <v>共済短期・介護負担金（８月月例分）長期</v>
      </c>
      <c r="R64" s="830">
        <f>IFERROR(INDEX(月例!$R$5:$R$788,MATCH("共済負担金等|L|8",月例!$T$5:$T$788,0)),"")</f>
        <v>22035</v>
      </c>
      <c r="S64" s="831">
        <f>IF(R64="","",S63+R64)</f>
        <v>198905</v>
      </c>
      <c r="T64" s="829" t="str">
        <f>IFERROR(INDEX(月例!$P$5:$P$788,MATCH("共済負担金等|L|8",月例!$T$5:$T$788,0)),"")</f>
        <v>確認済</v>
      </c>
    </row>
    <row r="65" ht="25.5" customHeight="1" s="186" thickBot="1">
      <c r="A65" s="825">
        <f>IFERROR(INDEX(月例!$A$5:$A$788,MATCH("旅費|L|9",月例!$T$5:$T$788,0)),"")</f>
        <v>46244</v>
      </c>
      <c r="B65" s="826" t="str">
        <f>IFERROR(INDEX(月例!$E$5:$E$788,MATCH("旅費|L|9",月例!$T$5:$T$788,0)),"")</f>
        <v>8/28地方公務員共済の長期給付に係る資金運用・財政等に関する全国説明会　福岡市　山田理事</v>
      </c>
      <c r="C65" s="830">
        <f>IFERROR(INDEX(月例!$R$5:$R$788,MATCH("旅費|L|9",月例!$T$5:$T$788,0)),"")</f>
        <v>18140</v>
      </c>
      <c r="D65" s="831">
        <f>IF(C65="","",D64-C65)</f>
        <v>400548</v>
      </c>
      <c r="E65" s="829" t="str">
        <f>IFERROR(INDEX(月例!$P$5:$P$788,MATCH("旅費|L|9",月例!$T$5:$T$788,0)),"")</f>
        <v>昨年実績</v>
      </c>
      <c r="F65" s="825">
        <f>IFERROR(INDEX(月例!$A$5:$A$788,MATCH("賃借料|L|9",月例!$T$5:$T$788,0)),"")</f>
        <v>45989</v>
      </c>
      <c r="G65" s="826" t="str">
        <f>IFERROR(INDEX(月例!$E$5:$E$788,MATCH("賃借料|L|9",月例!$T$5:$T$788,0)),"")</f>
        <v>基幹システム用機器賃借料　10月分（長期）</v>
      </c>
      <c r="H65" s="830">
        <f>IFERROR(INDEX(月例!$R$5:$R$788,MATCH("賃借料|L|9",月例!$T$5:$T$788,0)),"")</f>
        <v>69613</v>
      </c>
      <c r="I65" s="831">
        <f>IF(H65="","",I64-H65)</f>
        <v>507831</v>
      </c>
      <c r="J65" s="829" t="str">
        <f>IFERROR(INDEX(月例!$P$5:$P$788,MATCH("賃借料|L|9",月例!$T$5:$T$788,0)),"")</f>
        <v>昨年実績</v>
      </c>
      <c r="K65" s="825">
        <f>IFERROR(INDEX(月例!$A$5:$A$788,MATCH("非常勤職員手当|L|9",月例!$T$5:$T$788,0)),"")</f>
        <v>46316</v>
      </c>
      <c r="L65" s="826" t="str">
        <f>IFERROR(INDEX(月例!$E$5:$E$788,MATCH("非常勤職員手当|L|9",月例!$T$5:$T$788,0)),"")</f>
        <v>10月分給与（長期分）</v>
      </c>
      <c r="M65" s="830">
        <f>IFERROR(INDEX(月例!$R$5:$R$788,MATCH("非常勤職員手当|L|9",月例!$T$5:$T$788,0)),"")</f>
        <v>380800</v>
      </c>
      <c r="N65" s="831">
        <f>IF(M65="","",N64-M65)</f>
        <v>3579309</v>
      </c>
      <c r="O65" s="829" t="str">
        <f>IFERROR(INDEX(月例!$P$5:$P$788,MATCH("非常勤職員手当|L|9",月例!$T$5:$T$788,0)),"")</f>
        <v>確認済</v>
      </c>
      <c r="P65" s="825">
        <f>IFERROR(INDEX(月例!$A$5:$A$788,MATCH("共済負担金等|L|9",月例!$T$5:$T$788,0)),"")</f>
        <v>46293</v>
      </c>
      <c r="Q65" s="826" t="str">
        <f>IFERROR(INDEX(月例!$E$5:$E$788,MATCH("共済負担金等|L|9",月例!$T$5:$T$788,0)),"")</f>
        <v>共済短期・介護負担金（９月月例分）長期</v>
      </c>
      <c r="R65" s="830">
        <f>IFERROR(INDEX(月例!$R$5:$R$788,MATCH("共済負担金等|L|9",月例!$T$5:$T$788,0)),"")</f>
        <v>20974</v>
      </c>
      <c r="S65" s="831">
        <f>IF(R65="","",S64+R65)</f>
        <v>219879</v>
      </c>
      <c r="T65" s="829" t="str">
        <f>IFERROR(INDEX(月例!$P$5:$P$788,MATCH("共済負担金等|L|9",月例!$T$5:$T$788,0)),"")</f>
        <v>確認済</v>
      </c>
    </row>
    <row r="66" ht="25.5" customHeight="1" s="186" thickBot="1">
      <c r="A66" s="825">
        <f>IFERROR(INDEX(月例!$A$5:$A$788,MATCH("旅費|L|10",月例!$T$5:$T$788,0)),"")</f>
        <v>45198</v>
      </c>
      <c r="B66" s="826" t="str">
        <f>IFERROR(INDEX(月例!$E$5:$E$788,MATCH("旅費|L|10",月例!$T$5:$T$788,0)),"")</f>
        <v>9/29　長期給付に係る資金運用・財政等に関する全国説明会　山田理事欠席　精算金</v>
      </c>
      <c r="C66" s="830">
        <f>IFERROR(INDEX(月例!$R$5:$R$788,MATCH("旅費|L|10",月例!$T$5:$T$788,0)),"")</f>
        <v>-11676</v>
      </c>
      <c r="D66" s="831">
        <f>IF(C66="","",D65-C66)</f>
        <v>412224</v>
      </c>
      <c r="E66" s="829" t="str">
        <f>IFERROR(INDEX(月例!$P$5:$P$788,MATCH("旅費|L|10",月例!$T$5:$T$788,0)),"")</f>
        <v>昨年実績</v>
      </c>
      <c r="F66" s="825">
        <f>IFERROR(INDEX(月例!$A$5:$A$788,MATCH("賃借料|L|10",月例!$T$5:$T$788,0)),"")</f>
        <v>45625</v>
      </c>
      <c r="G66" s="826" t="str">
        <f>IFERROR(INDEX(月例!$E$5:$E$788,MATCH("賃借料|L|10",月例!$T$5:$T$788,0)),"")</f>
        <v>サーバーラック賃借料（ＪＥＣＣ）（４～１０月分）（長期）</v>
      </c>
      <c r="H66" s="830">
        <f>IFERROR(INDEX(月例!$R$5:$R$788,MATCH("賃借料|L|10",月例!$T$5:$T$788,0)),"")</f>
        <v>217</v>
      </c>
      <c r="I66" s="831">
        <f>IF(H66="","",I65-H66)</f>
        <v>507614</v>
      </c>
      <c r="J66" s="829" t="str">
        <f>IFERROR(INDEX(月例!$P$5:$P$788,MATCH("賃借料|L|10",月例!$T$5:$T$788,0)),"")</f>
        <v>昨年実績</v>
      </c>
      <c r="K66" s="825">
        <f>IFERROR(INDEX(月例!$A$5:$A$788,MATCH("非常勤職員手当|L|10",月例!$T$5:$T$788,0)),"")</f>
        <v>45982</v>
      </c>
      <c r="L66" s="826" t="str">
        <f>IFERROR(INDEX(月例!$E$5:$E$788,MATCH("非常勤職員手当|L|10",月例!$T$5:$T$788,0)),"")</f>
        <v>11月分給与（長期分）</v>
      </c>
      <c r="M66" s="830">
        <f>IFERROR(INDEX(月例!$R$5:$R$788,MATCH("非常勤職員手当|L|10",月例!$T$5:$T$788,0)),"")</f>
        <v>381773</v>
      </c>
      <c r="N66" s="831">
        <f>IF(M66="","",N65-M66)</f>
        <v>3197536</v>
      </c>
      <c r="O66" s="829" t="str">
        <f>IFERROR(INDEX(月例!$P$5:$P$788,MATCH("非常勤職員手当|L|10",月例!$T$5:$T$788,0)),"")</f>
        <v>昨年実績</v>
      </c>
      <c r="P66" s="825">
        <f>IFERROR(INDEX(月例!$A$5:$A$788,MATCH("共済負担金等|L|10",月例!$T$5:$T$788,0)),"")</f>
        <v>43745</v>
      </c>
      <c r="Q66" s="826" t="str">
        <f>IFERROR(INDEX(月例!$E$5:$E$788,MATCH("共済負担金等|L|10",月例!$T$5:$T$788,0)),"")</f>
        <v>収入印紙</v>
      </c>
      <c r="R66" s="830">
        <f>IFERROR(INDEX(月例!$R$5:$R$788,MATCH("共済負担金等|L|10",月例!$T$5:$T$788,0)),"")</f>
        <v>1000</v>
      </c>
      <c r="S66" s="831">
        <f>IF(R66="","",S65+R66)</f>
        <v>220879</v>
      </c>
      <c r="T66" s="829" t="str">
        <f>IFERROR(INDEX(月例!$P$5:$P$788,MATCH("共済負担金等|L|10",月例!$T$5:$T$788,0)),"")</f>
        <v>昨年実績</v>
      </c>
    </row>
    <row r="67" ht="25.5" customHeight="1" s="186" thickBot="1">
      <c r="A67" s="825">
        <f>IFERROR(INDEX(月例!$A$5:$A$788,MATCH("旅費|L|11",月例!$T$5:$T$788,0)),"")</f>
        <v>43766</v>
      </c>
      <c r="B67" s="826" t="str">
        <f>IFERROR(INDEX(月例!$E$5:$E$788,MATCH("旅費|L|11",月例!$T$5:$T$788,0)),"")</f>
        <v>10/30　全国共済組合事務局長会議　特別区　胡子事務局長</v>
      </c>
      <c r="C67" s="830">
        <f>IFERROR(INDEX(月例!$R$5:$R$788,MATCH("旅費|L|11",月例!$T$5:$T$788,0)),"")</f>
        <v>20400</v>
      </c>
      <c r="D67" s="831">
        <f>IF(C67="","",D66-C67)</f>
        <v>391824</v>
      </c>
      <c r="E67" s="829" t="str">
        <f>IFERROR(INDEX(月例!$P$5:$P$788,MATCH("旅費|L|11",月例!$T$5:$T$788,0)),"")</f>
        <v>昨年実績</v>
      </c>
      <c r="F67" s="825">
        <f>IFERROR(INDEX(月例!$A$5:$A$788,MATCH("賃借料|L|11",月例!$T$5:$T$788,0)),"")</f>
        <v>46338</v>
      </c>
      <c r="G67" s="826" t="str">
        <f>IFERROR(INDEX(月例!$E$5:$E$788,MATCH("賃借料|L|11",月例!$T$5:$T$788,0)),"")</f>
        <v>標準システム端末等機器賃借料（上期分)</v>
      </c>
      <c r="H67" s="830">
        <f>IFERROR(INDEX(月例!$R$5:$R$788,MATCH("賃借料|L|11",月例!$T$5:$T$788,0)),"")</f>
        <v>87450</v>
      </c>
      <c r="I67" s="831">
        <f>IF(H67="","",I66-H67)</f>
        <v>420164</v>
      </c>
      <c r="J67" s="829" t="str">
        <f>IFERROR(INDEX(月例!$P$5:$P$788,MATCH("賃借料|L|11",月例!$T$5:$T$788,0)),"")</f>
        <v>確認済</v>
      </c>
      <c r="K67" s="825">
        <f>IFERROR(INDEX(月例!$A$5:$A$788,MATCH("非常勤職員手当|L|11",月例!$T$5:$T$788,0)),"")</f>
        <v>46001</v>
      </c>
      <c r="L67" s="826" t="str">
        <f>IFERROR(INDEX(月例!$E$5:$E$788,MATCH("非常勤職員手当|L|11",月例!$T$5:$T$788,0)),"")</f>
        <v>１２月期末・勤勉手当及び増額報酬（長期分）</v>
      </c>
      <c r="M67" s="830">
        <f>IFERROR(INDEX(月例!$R$5:$R$788,MATCH("非常勤職員手当|L|11",月例!$T$5:$T$788,0)),"")</f>
        <v>621532</v>
      </c>
      <c r="N67" s="831">
        <f>IF(M67="","",N66-M67)</f>
        <v>2576004</v>
      </c>
      <c r="O67" s="829" t="str">
        <f>IFERROR(INDEX(月例!$P$5:$P$788,MATCH("非常勤職員手当|L|11",月例!$T$5:$T$788,0)),"")</f>
        <v>昨年実績</v>
      </c>
      <c r="P67" s="825">
        <f>IFERROR(INDEX(月例!$A$5:$A$788,MATCH("共済負担金等|L|11",月例!$T$5:$T$788,0)),"")</f>
        <v>46323</v>
      </c>
      <c r="Q67" s="826" t="str">
        <f>IFERROR(INDEX(月例!$E$5:$E$788,MATCH("共済負担金等|L|11",月例!$T$5:$T$788,0)),"")</f>
        <v>共済短期・介護負担金（10月月例分）長期</v>
      </c>
      <c r="R67" s="830">
        <f>IFERROR(INDEX(月例!$R$5:$R$788,MATCH("共済負担金等|L|11",月例!$T$5:$T$788,0)),"")</f>
        <v>20974</v>
      </c>
      <c r="S67" s="831">
        <f>IF(R67="","",S66+R67)</f>
        <v>241853</v>
      </c>
      <c r="T67" s="829" t="str">
        <f>IFERROR(INDEX(月例!$P$5:$P$788,MATCH("共済負担金等|L|11",月例!$T$5:$T$788,0)),"")</f>
        <v>確認済</v>
      </c>
    </row>
    <row r="68" ht="25.5" customHeight="1" s="186" thickBot="1">
      <c r="A68" s="825">
        <f>IFERROR(INDEX(月例!$A$5:$A$788,MATCH("旅費|L|12",月例!$T$5:$T$788,0)),"")</f>
        <v>45103</v>
      </c>
      <c r="B68" s="826" t="str">
        <f>IFERROR(INDEX(月例!$E$5:$E$788,MATCH("旅費|L|12",月例!$T$5:$T$788,0)),"")</f>
        <v>4/1付人事異動　連合会派遣終了に伴う赴任旅費　梅谷主事</v>
      </c>
      <c r="C68" s="830">
        <f>IFERROR(INDEX(月例!$R$5:$R$788,MATCH("旅費|L|12",月例!$T$5:$T$788,0)),"")</f>
        <v>189120</v>
      </c>
      <c r="D68" s="831">
        <f>IF(C68="","",D67-C68)</f>
        <v>202704</v>
      </c>
      <c r="E68" s="829" t="str">
        <f>IFERROR(INDEX(月例!$P$5:$P$788,MATCH("旅費|L|12",月例!$T$5:$T$788,0)),"")</f>
        <v>昨年実績</v>
      </c>
      <c r="F68" s="825">
        <f>IFERROR(INDEX(月例!$A$5:$A$788,MATCH("賃借料|L|12",月例!$T$5:$T$788,0)),"")</f>
        <v>43798</v>
      </c>
      <c r="G68" s="826" t="str">
        <f>IFERROR(INDEX(月例!$E$5:$E$788,MATCH("賃借料|L|12",月例!$T$5:$T$788,0)),"")</f>
        <v>サーバ版標準システム構成機器　増設分（H31.4～R01.5月分)</v>
      </c>
      <c r="H68" s="830">
        <f>IFERROR(INDEX(月例!$R$5:$R$788,MATCH("賃借料|L|12",月例!$T$5:$T$788,0)),"")</f>
        <v>14549</v>
      </c>
      <c r="I68" s="831">
        <f>IF(H68="","",I67-H68)</f>
        <v>405615</v>
      </c>
      <c r="J68" s="829" t="str">
        <f>IFERROR(INDEX(月例!$P$5:$P$788,MATCH("賃借料|L|12",月例!$T$5:$T$788,0)),"")</f>
        <v>昨年実績</v>
      </c>
      <c r="K68" s="825">
        <f>IFERROR(INDEX(月例!$A$5:$A$788,MATCH("非常勤職員手当|L|12",月例!$T$5:$T$788,0)),"")</f>
        <v>46010</v>
      </c>
      <c r="L68" s="826" t="str">
        <f>IFERROR(INDEX(月例!$E$5:$E$788,MATCH("非常勤職員手当|L|12",月例!$T$5:$T$788,0)),"")</f>
        <v>12月分給与（長期分）</v>
      </c>
      <c r="M68" s="830">
        <f>IFERROR(INDEX(月例!$R$5:$R$788,MATCH("非常勤職員手当|L|12",月例!$T$5:$T$788,0)),"")</f>
        <v>381773</v>
      </c>
      <c r="N68" s="831">
        <f>IF(M68="","",N67-M68)</f>
        <v>2194231</v>
      </c>
      <c r="O68" s="829" t="str">
        <f>IFERROR(INDEX(月例!$P$5:$P$788,MATCH("非常勤職員手当|L|12",月例!$T$5:$T$788,0)),"")</f>
        <v>昨年実績</v>
      </c>
      <c r="P68" s="825">
        <f>IFERROR(INDEX(月例!$A$5:$A$788,MATCH("共済負担金等|L|12",月例!$T$5:$T$788,0)),"")</f>
        <v>45987</v>
      </c>
      <c r="Q68" s="826" t="str">
        <f>IFERROR(INDEX(月例!$E$5:$E$788,MATCH("共済負担金等|L|12",月例!$T$5:$T$788,0)),"")</f>
        <v>共済短期・介護負担金（11月月例分）長期</v>
      </c>
      <c r="R68" s="830">
        <f>IFERROR(INDEX(月例!$R$5:$R$788,MATCH("共済負担金等|L|12",月例!$T$5:$T$788,0)),"")</f>
        <v>22835</v>
      </c>
      <c r="S68" s="831">
        <f>IF(R68="","",S67+R68)</f>
        <v>264688</v>
      </c>
      <c r="T68" s="829" t="str">
        <f>IFERROR(INDEX(月例!$P$5:$P$788,MATCH("共済負担金等|L|12",月例!$T$5:$T$788,0)),"")</f>
        <v>昨年実績</v>
      </c>
    </row>
    <row r="69" ht="25.5" customHeight="1" s="186" thickBot="1">
      <c r="A69" s="825">
        <f>IFERROR(INDEX(月例!$A$5:$A$788,MATCH("旅費|L|13",月例!$T$5:$T$788,0)),"")</f>
        <v>43734</v>
      </c>
      <c r="B69" s="826" t="str">
        <f>IFERROR(INDEX(月例!$E$5:$E$788,MATCH("旅費|L|13",月例!$T$5:$T$788,0)),"")</f>
        <v>10/1・2　年金・社会保障研究セミナー　特別区　名桑次長</v>
      </c>
      <c r="C69" s="830">
        <f>IFERROR(INDEX(月例!$R$5:$R$788,MATCH("旅費|L|13",月例!$T$5:$T$788,0)),"")</f>
        <v>50020</v>
      </c>
      <c r="D69" s="831">
        <f>IF(C69="","",D68-C69)</f>
        <v>152684</v>
      </c>
      <c r="E69" s="829" t="str">
        <f>IFERROR(INDEX(月例!$P$5:$P$788,MATCH("旅費|L|13",月例!$T$5:$T$788,0)),"")</f>
        <v>昨年実績</v>
      </c>
      <c r="F69" s="825">
        <f>IFERROR(INDEX(月例!$A$5:$A$788,MATCH("賃借料|L|13",月例!$T$5:$T$788,0)),"")</f>
        <v>43798</v>
      </c>
      <c r="G69" s="826" t="str">
        <f>IFERROR(INDEX(月例!$E$5:$E$788,MATCH("賃借料|L|13",月例!$T$5:$T$788,0)),"")</f>
        <v>サーバ版標準システム構成機器再リース（R01.6～10月分)</v>
      </c>
      <c r="H69" s="830">
        <f>IFERROR(INDEX(月例!$R$5:$R$788,MATCH("賃借料|L|13",月例!$T$5:$T$788,0)),"")</f>
        <v>6795</v>
      </c>
      <c r="I69" s="831">
        <f>IF(H69="","",I68-H69)</f>
        <v>398820</v>
      </c>
      <c r="J69" s="829" t="str">
        <f>IFERROR(INDEX(月例!$P$5:$P$788,MATCH("賃借料|L|13",月例!$T$5:$T$788,0)),"")</f>
        <v>昨年実績</v>
      </c>
      <c r="K69" s="825">
        <f>IFERROR(INDEX(月例!$A$5:$A$788,MATCH("非常勤職員手当|L|13",月例!$T$5:$T$788,0)),"")</f>
        <v>44186</v>
      </c>
      <c r="L69" s="826" t="str">
        <f>IFERROR(INDEX(月例!$E$5:$E$788,MATCH("非常勤職員手当|L|13",月例!$T$5:$T$788,0)),"")</f>
        <v>１２月月例（１２月長期分）</v>
      </c>
      <c r="M69" s="830">
        <f>IFERROR(INDEX(月例!$R$5:$R$788,MATCH("非常勤職員手当|L|13",月例!$T$5:$T$788,0)),"")</f>
        <v>340401</v>
      </c>
      <c r="N69" s="831">
        <f>IF(M69="","",N68-M69)</f>
        <v>1853830</v>
      </c>
      <c r="O69" s="829" t="str">
        <f>IFERROR(INDEX(月例!$P$5:$P$788,MATCH("非常勤職員手当|L|13",月例!$T$5:$T$788,0)),"")</f>
        <v>昨年実績</v>
      </c>
      <c r="P69" s="825">
        <f>IFERROR(INDEX(月例!$A$5:$A$788,MATCH("共済負担金等|L|13",月例!$T$5:$T$788,0)),"")</f>
        <v>44173</v>
      </c>
      <c r="Q69" s="826" t="str">
        <f>IFERROR(INDEX(月例!$E$5:$E$788,MATCH("共済負担金等|L|13",月例!$T$5:$T$788,0)),"")</f>
        <v>収入印紙</v>
      </c>
      <c r="R69" s="830">
        <f>IFERROR(INDEX(月例!$R$5:$R$788,MATCH("共済負担金等|L|13",月例!$T$5:$T$788,0)),"")</f>
        <v>4000</v>
      </c>
      <c r="S69" s="831">
        <f>IF(R69="","",S68+R69)</f>
        <v>268688</v>
      </c>
      <c r="T69" s="829" t="str">
        <f>IFERROR(INDEX(月例!$P$5:$P$788,MATCH("共済負担金等|L|13",月例!$T$5:$T$788,0)),"")</f>
        <v>昨年実績</v>
      </c>
    </row>
    <row r="70" ht="25.5" customHeight="1" s="186" thickBot="1">
      <c r="A70" s="825">
        <f>IFERROR(INDEX(月例!$A$5:$A$788,MATCH("旅費|L|14",月例!$T$5:$T$788,0)),"")</f>
        <v>43781</v>
      </c>
      <c r="B70" s="826" t="str">
        <f>IFERROR(INDEX(月例!$E$5:$E$788,MATCH("旅費|L|14",月例!$T$5:$T$788,0)),"")</f>
        <v>11/14・15　大都市事務連絡会　大阪市　濱尾次長</v>
      </c>
      <c r="C70" s="830">
        <f>IFERROR(INDEX(月例!$R$5:$R$788,MATCH("旅費|L|14",月例!$T$5:$T$788,0)),"")</f>
        <v>18302</v>
      </c>
      <c r="D70" s="831">
        <f>IF(C70="","",D69-C70)</f>
        <v>134382</v>
      </c>
      <c r="E70" s="829" t="str">
        <f>IFERROR(INDEX(月例!$P$5:$P$788,MATCH("旅費|L|14",月例!$T$5:$T$788,0)),"")</f>
        <v>昨年実績</v>
      </c>
      <c r="F70" s="825">
        <f>IFERROR(INDEX(月例!$A$5:$A$788,MATCH("賃借料|L|14",月例!$T$5:$T$788,0)),"")</f>
        <v>44904</v>
      </c>
      <c r="G70" s="826" t="str">
        <f>IFERROR(INDEX(月例!$E$5:$E$788,MATCH("賃借料|L|14",月例!$T$5:$T$788,0)),"")</f>
        <v>大都市職員共済組合事務担当者会議等　WEB会議用機器等</v>
      </c>
      <c r="H70" s="830">
        <f>IFERROR(INDEX(月例!$R$5:$R$788,MATCH("賃借料|L|14",月例!$T$5:$T$788,0)),"")</f>
        <v>7288</v>
      </c>
      <c r="I70" s="831">
        <f>IF(H70="","",I69-H70)</f>
        <v>391532</v>
      </c>
      <c r="J70" s="829" t="str">
        <f>IFERROR(INDEX(月例!$P$5:$P$788,MATCH("賃借料|L|14",月例!$T$5:$T$788,0)),"")</f>
        <v>昨年実績</v>
      </c>
      <c r="K70" s="825">
        <f>IFERROR(INDEX(月例!$A$5:$A$788,MATCH("非常勤職員手当|L|14",月例!$T$5:$T$788,0)),"")</f>
        <v>46017</v>
      </c>
      <c r="L70" s="826" t="str">
        <f>IFERROR(INDEX(月例!$E$5:$E$788,MATCH("非常勤職員手当|L|14",月例!$T$5:$T$788,0)),"")</f>
        <v>非常勤職員手当　給与改定差額（長期分）</v>
      </c>
      <c r="M70" s="830">
        <f>IFERROR(INDEX(月例!$R$5:$R$788,MATCH("非常勤職員手当|L|14",月例!$T$5:$T$788,0)),"")</f>
        <v>167027</v>
      </c>
      <c r="N70" s="831">
        <f>IF(M70="","",N69-M70)</f>
        <v>1686803</v>
      </c>
      <c r="O70" s="829" t="str">
        <f>IFERROR(INDEX(月例!$P$5:$P$788,MATCH("非常勤職員手当|L|14",月例!$T$5:$T$788,0)),"")</f>
        <v>昨年実績</v>
      </c>
      <c r="P70" s="825">
        <f>IFERROR(INDEX(月例!$A$5:$A$788,MATCH("共済負担金等|L|14",月例!$T$5:$T$788,0)),"")</f>
        <v>46015</v>
      </c>
      <c r="Q70" s="826" t="str">
        <f>IFERROR(INDEX(月例!$E$5:$E$788,MATCH("共済負担金等|L|14",月例!$T$5:$T$788,0)),"")</f>
        <v>共済短期・介護負担金（12月賞与、12月月例分）長期</v>
      </c>
      <c r="R70" s="830">
        <f>IFERROR(INDEX(月例!$R$5:$R$788,MATCH("共済負担金等|L|14",月例!$T$5:$T$788,0)),"")</f>
        <v>60083</v>
      </c>
      <c r="S70" s="831">
        <f>IF(R70="","",S69+R70)</f>
        <v>328771</v>
      </c>
      <c r="T70" s="829" t="str">
        <f>IFERROR(INDEX(月例!$P$5:$P$788,MATCH("共済負担金等|L|14",月例!$T$5:$T$788,0)),"")</f>
        <v>昨年実績</v>
      </c>
    </row>
    <row r="71" ht="25.5" customHeight="1" s="186">
      <c r="A71" s="825">
        <f>IFERROR(INDEX(月例!$A$5:$A$788,MATCH("旅費|L|15",月例!$T$5:$T$788,0)),"")</f>
        <v>46301</v>
      </c>
      <c r="B71" s="826" t="str">
        <f>IFERROR(INDEX(月例!$E$5:$E$788,MATCH("旅費|L|15",月例!$T$5:$T$788,0)),"")</f>
        <v>10/7　情報セキュリティ研修会　東京都　中田主査</v>
      </c>
      <c r="C71" s="830">
        <f>IFERROR(INDEX(月例!$R$5:$R$788,MATCH("旅費|L|15",月例!$T$5:$T$788,0)),"")</f>
        <v>21058</v>
      </c>
      <c r="D71" s="831">
        <f>IF(C71="","",D70-C71)</f>
        <v>113324</v>
      </c>
      <c r="E71" s="829" t="str">
        <f>IFERROR(INDEX(月例!$P$5:$P$788,MATCH("旅費|L|15",月例!$T$5:$T$788,0)),"")</f>
        <v>確認済</v>
      </c>
      <c r="F71" s="825">
        <f>IFERROR(INDEX(月例!$A$5:$A$788,MATCH("賃借料|L|15",月例!$T$5:$T$788,0)),"")</f>
        <v>43798</v>
      </c>
      <c r="G71" s="826" t="str">
        <f>IFERROR(INDEX(月例!$E$5:$E$788,MATCH("賃借料|L|15",月例!$T$5:$T$788,0)),"")</f>
        <v>基幹システム用機器賃借料４～１０月（長期分）</v>
      </c>
      <c r="H71" s="830">
        <f>IFERROR(INDEX(月例!$R$5:$R$788,MATCH("賃借料|L|15",月例!$T$5:$T$788,0)),"")</f>
        <v>186543</v>
      </c>
      <c r="I71" s="831">
        <f>IF(H71="","",I70-H71)</f>
        <v>204989</v>
      </c>
      <c r="J71" s="829" t="str">
        <f>IFERROR(INDEX(月例!$P$5:$P$788,MATCH("賃借料|L|15",月例!$T$5:$T$788,0)),"")</f>
        <v>昨年実績</v>
      </c>
      <c r="K71" s="825">
        <f>IFERROR(INDEX(月例!$A$5:$A$788,MATCH("非常勤職員手当|L|15",月例!$T$5:$T$788,0)),"")</f>
        <v>46043</v>
      </c>
      <c r="L71" s="826" t="str">
        <f>IFERROR(INDEX(月例!$E$5:$E$788,MATCH("非常勤職員手当|L|15",月例!$T$5:$T$788,0)),"")</f>
        <v>1月分給与（長期分）</v>
      </c>
      <c r="M71" s="830">
        <f>IFERROR(INDEX(月例!$R$5:$R$788,MATCH("非常勤職員手当|L|15",月例!$T$5:$T$788,0)),"")</f>
        <v>395611</v>
      </c>
      <c r="N71" s="831">
        <f>IF(M71="","",N70-M71)</f>
        <v>1291192</v>
      </c>
      <c r="O71" s="829" t="str">
        <f>IFERROR(INDEX(月例!$P$5:$P$788,MATCH("非常勤職員手当|L|15",月例!$T$5:$T$788,0)),"")</f>
        <v>昨年実績</v>
      </c>
      <c r="P71" s="825">
        <f>IFERROR(INDEX(月例!$A$5:$A$788,MATCH("共済負担金等|L|15",月例!$T$5:$T$788,0)),"")</f>
        <v>45686</v>
      </c>
      <c r="Q71" s="826" t="str">
        <f>IFERROR(INDEX(月例!$E$5:$E$788,MATCH("共済負担金等|L|15",月例!$T$5:$T$788,0)),"")</f>
        <v>共済短期・介護負担金（給与改定差額分）長期</v>
      </c>
      <c r="R71" s="830">
        <f>IFERROR(INDEX(月例!$R$5:$R$788,MATCH("共済負担金等|L|15",月例!$T$5:$T$788,0)),"")</f>
        <v>764</v>
      </c>
      <c r="S71" s="831">
        <f>IF(R71="","",S70+R71)</f>
        <v>329535</v>
      </c>
      <c r="T71" s="829" t="str">
        <f>IFERROR(INDEX(月例!$P$5:$P$788,MATCH("共済負担金等|L|15",月例!$T$5:$T$788,0)),"")</f>
        <v>昨年実績</v>
      </c>
    </row>
    <row r="72" ht="25.5" customHeight="1" s="186" thickBot="1">
      <c r="A72" s="825">
        <f>IFERROR(INDEX(月例!$A$5:$A$788,MATCH("旅費|L|16",月例!$T$5:$T$788,0)),"")</f>
        <v>43816</v>
      </c>
      <c r="B72" s="826" t="str">
        <f>IFERROR(INDEX(月例!$E$5:$E$788,MATCH("旅費|L|16",月例!$T$5:$T$788,0)),"")</f>
        <v>12/19大都市事務担（長期）　神戸市　名桑次長</v>
      </c>
      <c r="C72" s="830">
        <f>IFERROR(INDEX(月例!$R$5:$R$788,MATCH("旅費|L|16",月例!$T$5:$T$788,0)),"")</f>
        <v>21540</v>
      </c>
      <c r="D72" s="831">
        <f>IF(C72="","",D71-C72)</f>
        <v>91784</v>
      </c>
      <c r="E72" s="829" t="str">
        <f>IFERROR(INDEX(月例!$P$5:$P$788,MATCH("旅費|L|16",月例!$T$5:$T$788,0)),"")</f>
        <v>昨年実績</v>
      </c>
      <c r="F72" s="825">
        <f>IFERROR(INDEX(月例!$A$5:$A$788,MATCH("賃借料|L|16",月例!$T$5:$T$788,0)),"")</f>
        <v>46017</v>
      </c>
      <c r="G72" s="826" t="str">
        <f>IFERROR(INDEX(月例!$E$5:$E$788,MATCH("賃借料|L|16",月例!$T$5:$T$788,0)),"")</f>
        <v>基幹システム用機器賃借料　11月分（長期）</v>
      </c>
      <c r="H72" s="830">
        <f>IFERROR(INDEX(月例!$R$5:$R$788,MATCH("賃借料|L|16",月例!$T$5:$T$788,0)),"")</f>
        <v>69613</v>
      </c>
      <c r="I72" s="831">
        <f>IF(H72="","",I71-H72)</f>
        <v>135376</v>
      </c>
      <c r="J72" s="829" t="str">
        <f>IFERROR(INDEX(月例!$P$5:$P$788,MATCH("賃借料|L|16",月例!$T$5:$T$788,0)),"")</f>
        <v>昨年実績</v>
      </c>
      <c r="K72" s="825">
        <f>IFERROR(INDEX(月例!$A$5:$A$788,MATCH("非常勤職員手当|L|16",月例!$T$5:$T$788,0)),"")</f>
        <v>44217</v>
      </c>
      <c r="L72" s="826" t="str">
        <f>IFERROR(INDEX(月例!$E$5:$E$788,MATCH("非常勤職員手当|L|16",月例!$T$5:$T$788,0)),"")</f>
        <v>１月分給与（長期分）</v>
      </c>
      <c r="M72" s="830">
        <f>IFERROR(INDEX(月例!$R$5:$R$788,MATCH("非常勤職員手当|L|16",月例!$T$5:$T$788,0)),"")</f>
        <v>340401</v>
      </c>
      <c r="N72" s="831">
        <f>IF(M72="","",N71-M72)</f>
        <v>950791</v>
      </c>
      <c r="O72" s="829" t="str">
        <f>IFERROR(INDEX(月例!$P$5:$P$788,MATCH("非常勤職員手当|L|16",月例!$T$5:$T$788,0)),"")</f>
        <v>昨年実績</v>
      </c>
      <c r="P72" s="825">
        <f>IFERROR(INDEX(月例!$A$5:$A$788,MATCH("共済負担金等|L|16",月例!$T$5:$T$788,0)),"")</f>
        <v>46050</v>
      </c>
      <c r="Q72" s="826" t="str">
        <f>IFERROR(INDEX(月例!$E$5:$E$788,MATCH("共済負担金等|L|16",月例!$T$5:$T$788,0)),"")</f>
        <v>共済短期・介護負担金（1月月例分）長期</v>
      </c>
      <c r="R72" s="830">
        <f>IFERROR(INDEX(月例!$R$5:$R$788,MATCH("共済負担金等|L|16",月例!$T$5:$T$788,0)),"")</f>
        <v>22835</v>
      </c>
      <c r="S72" s="831">
        <f>IF(R72="","",S71+R72)</f>
        <v>352370</v>
      </c>
      <c r="T72" s="829" t="str">
        <f>IFERROR(INDEX(月例!$P$5:$P$788,MATCH("共済負担金等|L|16",月例!$T$5:$T$788,0)),"")</f>
        <v>昨年実績</v>
      </c>
    </row>
    <row r="73" ht="25.5" customHeight="1" s="186" thickBot="1">
      <c r="A73" s="825">
        <f>IFERROR(INDEX(月例!$A$5:$A$788,MATCH("旅費|L|17",月例!$T$5:$T$788,0)),"")</f>
        <v>43816</v>
      </c>
      <c r="B73" s="826" t="str">
        <f>IFERROR(INDEX(月例!$E$5:$E$788,MATCH("旅費|L|17",月例!$T$5:$T$788,0)),"")</f>
        <v>12/20大都市事務担（総務）　神戸市　白石主査</v>
      </c>
      <c r="C73" s="830">
        <f>IFERROR(INDEX(月例!$R$5:$R$788,MATCH("旅費|L|17",月例!$T$5:$T$788,0)),"")</f>
        <v>11239</v>
      </c>
      <c r="D73" s="831">
        <f>IF(C73="","",D72-C73)</f>
        <v>80545</v>
      </c>
      <c r="E73" s="829" t="str">
        <f>IFERROR(INDEX(月例!$P$5:$P$788,MATCH("旅費|L|17",月例!$T$5:$T$788,0)),"")</f>
        <v>昨年実績</v>
      </c>
      <c r="F73" s="825">
        <f>IFERROR(INDEX(月例!$A$5:$A$788,MATCH("賃借料|L|17",月例!$T$5:$T$788,0)),"")</f>
        <v>45653</v>
      </c>
      <c r="G73" s="826" t="str">
        <f>IFERROR(INDEX(月例!$E$5:$E$788,MATCH("賃借料|L|17",月例!$T$5:$T$788,0)),"")</f>
        <v>基幹システム用機器賃借料　１１月分（長期）</v>
      </c>
      <c r="H73" s="830">
        <f>IFERROR(INDEX(月例!$R$5:$R$788,MATCH("賃借料|L|17",月例!$T$5:$T$788,0)),"")</f>
        <v>69613</v>
      </c>
      <c r="I73" s="831">
        <f>IF(H73="","",I72-H73)</f>
        <v>65763</v>
      </c>
      <c r="J73" s="829" t="str">
        <f>IFERROR(INDEX(月例!$P$5:$P$788,MATCH("賃借料|L|17",月例!$T$5:$T$788,0)),"")</f>
        <v>昨年実績</v>
      </c>
      <c r="K73" s="825">
        <f>IFERROR(INDEX(月例!$A$5:$A$788,MATCH("非常勤職員手当|L|17",月例!$T$5:$T$788,0)),"")</f>
        <v>46073</v>
      </c>
      <c r="L73" s="826" t="str">
        <f>IFERROR(INDEX(月例!$E$5:$E$788,MATCH("非常勤職員手当|L|17",月例!$T$5:$T$788,0)),"")</f>
        <v>２月分給与（長期分）</v>
      </c>
      <c r="M73" s="830">
        <f>IFERROR(INDEX(月例!$R$5:$R$788,MATCH("非常勤職員手当|L|17",月例!$T$5:$T$788,0)),"")</f>
        <v>395611</v>
      </c>
      <c r="N73" s="831">
        <f>IF(M73="","",N72-M73)</f>
        <v>555180</v>
      </c>
      <c r="O73" s="829" t="str">
        <f>IFERROR(INDEX(月例!$P$5:$P$788,MATCH("非常勤職員手当|L|17",月例!$T$5:$T$788,0)),"")</f>
        <v>昨年実績</v>
      </c>
      <c r="P73" s="825">
        <f>IFERROR(INDEX(月例!$A$5:$A$788,MATCH("共済負担金等|L|17",月例!$T$5:$T$788,0)),"")</f>
        <v>46050</v>
      </c>
      <c r="Q73" s="826" t="str">
        <f>IFERROR(INDEX(月例!$E$5:$E$788,MATCH("共済負担金等|L|17",月例!$T$5:$T$788,0)),"")</f>
        <v>共済短期・介護負担金（12月差額分）長期</v>
      </c>
      <c r="R73" s="830">
        <f>IFERROR(INDEX(月例!$R$5:$R$788,MATCH("共済負担金等|L|17",月例!$T$5:$T$788,0)),"")</f>
        <v>2503</v>
      </c>
      <c r="S73" s="831">
        <f>IF(R73="","",S72+R73)</f>
        <v>354873</v>
      </c>
      <c r="T73" s="829" t="str">
        <f>IFERROR(INDEX(月例!$P$5:$P$788,MATCH("共済負担金等|L|17",月例!$T$5:$T$788,0)),"")</f>
        <v>昨年実績</v>
      </c>
    </row>
    <row r="74" ht="25.5" customHeight="1" s="186">
      <c r="A74" s="825">
        <f>IFERROR(INDEX(月例!$A$5:$A$788,MATCH("旅費|L|18",月例!$T$5:$T$788,0)),"")</f>
        <v>43494</v>
      </c>
      <c r="B74" s="826" t="str">
        <f>IFERROR(INDEX(月例!$E$5:$E$788,MATCH("旅費|L|18",月例!$T$5:$T$788,0)),"")</f>
        <v>1/31・2/1　包括照会支援システム研修会　調布市　石井主査</v>
      </c>
      <c r="C74" s="830">
        <f>IFERROR(INDEX(月例!$R$5:$R$788,MATCH("旅費|L|18",月例!$T$5:$T$788,0)),"")</f>
        <v>50300</v>
      </c>
      <c r="D74" s="831">
        <f>IF(C74="","",D73-C74)</f>
        <v>30245</v>
      </c>
      <c r="E74" s="829" t="str">
        <f>IFERROR(INDEX(月例!$P$5:$P$788,MATCH("旅費|L|18",月例!$T$5:$T$788,0)),"")</f>
        <v>昨年実績</v>
      </c>
      <c r="F74" s="825">
        <f>IFERROR(INDEX(月例!$A$5:$A$788,MATCH("賃借料|L|18",月例!$T$5:$T$788,0)),"")</f>
        <v>46051</v>
      </c>
      <c r="G74" s="826" t="str">
        <f>IFERROR(INDEX(月例!$E$5:$E$788,MATCH("賃借料|L|18",月例!$T$5:$T$788,0)),"")</f>
        <v>基幹システム用機器賃借料　１２月分（長期）</v>
      </c>
      <c r="H74" s="830">
        <f>IFERROR(INDEX(月例!$R$5:$R$788,MATCH("賃借料|L|18",月例!$T$5:$T$788,0)),"")</f>
        <v>69613</v>
      </c>
      <c r="I74" s="831">
        <f>IF(H74="","",I73-H74)</f>
        <v>-3850</v>
      </c>
      <c r="J74" s="829" t="str">
        <f>IFERROR(INDEX(月例!$P$5:$P$788,MATCH("賃借料|L|18",月例!$T$5:$T$788,0)),"")</f>
        <v>昨年実績</v>
      </c>
      <c r="K74" s="825">
        <f>IFERROR(INDEX(月例!$A$5:$A$788,MATCH("非常勤職員手当|L|18",月例!$T$5:$T$788,0)),"")</f>
        <v>44246</v>
      </c>
      <c r="L74" s="826" t="str">
        <f>IFERROR(INDEX(月例!$E$5:$E$788,MATCH("非常勤職員手当|L|18",月例!$T$5:$T$788,0)),"")</f>
        <v>２月分給与（長期分）</v>
      </c>
      <c r="M74" s="830">
        <f>IFERROR(INDEX(月例!$R$5:$R$788,MATCH("非常勤職員手当|L|18",月例!$T$5:$T$788,0)),"")</f>
        <v>340401</v>
      </c>
      <c r="N74" s="831">
        <f>IF(M74="","",N73-M74)</f>
        <v>214779</v>
      </c>
      <c r="O74" s="829" t="str">
        <f>IFERROR(INDEX(月例!$P$5:$P$788,MATCH("非常勤職員手当|L|18",月例!$T$5:$T$788,0)),"")</f>
        <v>昨年実績</v>
      </c>
      <c r="P74" s="825">
        <f>IFERROR(INDEX(月例!$A$5:$A$788,MATCH("共済負担金等|L|18",月例!$T$5:$T$788,0)),"")</f>
        <v>46078</v>
      </c>
      <c r="Q74" s="826" t="str">
        <f>IFERROR(INDEX(月例!$E$5:$E$788,MATCH("共済負担金等|L|18",月例!$T$5:$T$788,0)),"")</f>
        <v>共済短期・介護負担金（2月月例分）長期</v>
      </c>
      <c r="R74" s="830">
        <f>IFERROR(INDEX(月例!$R$5:$R$788,MATCH("共済負担金等|L|18",月例!$T$5:$T$788,0)),"")</f>
        <v>22835</v>
      </c>
      <c r="S74" s="831">
        <f>IF(R74="","",S73+R74)</f>
        <v>377708</v>
      </c>
      <c r="T74" s="829" t="str">
        <f>IFERROR(INDEX(月例!$P$5:$P$788,MATCH("共済負担金等|L|18",月例!$T$5:$T$788,0)),"")</f>
        <v>昨年実績</v>
      </c>
    </row>
    <row r="75" ht="25.5" customHeight="1" s="186" thickBot="1">
      <c r="A75" s="825">
        <f>IFERROR(INDEX(月例!$A$5:$A$788,MATCH("旅費|L|19",月例!$T$5:$T$788,0)),"")</f>
        <v>43864</v>
      </c>
      <c r="B75" s="826" t="str">
        <f>IFERROR(INDEX(月例!$E$5:$E$788,MATCH("旅費|L|19",月例!$T$5:$T$788,0)),"")</f>
        <v>2/5　小連合　事業計画及び予算説明会　特別区　白石主査</v>
      </c>
      <c r="C75" s="830">
        <f>IFERROR(INDEX(月例!$R$5:$R$788,MATCH("旅費|L|19",月例!$T$5:$T$788,0)),"")</f>
        <v>19982</v>
      </c>
      <c r="D75" s="831">
        <f>IF(C75="","",D74-C75)</f>
        <v>10263</v>
      </c>
      <c r="E75" s="829" t="str">
        <f>IFERROR(INDEX(月例!$P$5:$P$788,MATCH("旅費|L|19",月例!$T$5:$T$788,0)),"")</f>
        <v>昨年実績</v>
      </c>
      <c r="F75" s="825">
        <f>IFERROR(INDEX(月例!$A$5:$A$788,MATCH("賃借料|L|19",月例!$T$5:$T$788,0)),"")</f>
        <v>46080</v>
      </c>
      <c r="G75" s="826" t="str">
        <f>IFERROR(INDEX(月例!$E$5:$E$788,MATCH("賃借料|L|19",月例!$T$5:$T$788,0)),"")</f>
        <v>基幹システム用機器賃借料　１月分（長期）</v>
      </c>
      <c r="H75" s="830">
        <f>IFERROR(INDEX(月例!$R$5:$R$788,MATCH("賃借料|L|19",月例!$T$5:$T$788,0)),"")</f>
        <v>69613</v>
      </c>
      <c r="I75" s="831">
        <f>IF(H75="","",I74-H75)</f>
        <v>-73463</v>
      </c>
      <c r="J75" s="829" t="str">
        <f>IFERROR(INDEX(月例!$P$5:$P$788,MATCH("賃借料|L|19",月例!$T$5:$T$788,0)),"")</f>
        <v>昨年実績</v>
      </c>
      <c r="K75" s="825">
        <f>IFERROR(INDEX(月例!$A$5:$A$788,MATCH("非常勤職員手当|L|19",月例!$T$5:$T$788,0)),"")</f>
        <v>46094</v>
      </c>
      <c r="L75" s="826" t="str">
        <f>IFERROR(INDEX(月例!$E$5:$E$788,MATCH("非常勤職員手当|L|19",月例!$T$5:$T$788,0)),"")</f>
        <v>３月期末手当（長期分）</v>
      </c>
      <c r="M75" s="830">
        <f>IFERROR(INDEX(月例!$R$5:$R$788,MATCH("非常勤職員手当|L|19",月例!$T$5:$T$788,0)),"")</f>
        <v>69366</v>
      </c>
      <c r="N75" s="831">
        <f>IF(M75="","",N74-M75)</f>
        <v>145413</v>
      </c>
      <c r="O75" s="829" t="str">
        <f>IFERROR(INDEX(月例!$P$5:$P$788,MATCH("非常勤職員手当|L|19",月例!$T$5:$T$788,0)),"")</f>
        <v>昨年実績</v>
      </c>
      <c r="P75" s="825">
        <f>IFERROR(INDEX(月例!$A$5:$A$788,MATCH("共済負担金等|L|19",月例!$T$5:$T$788,0)),"")</f>
        <v>46108</v>
      </c>
      <c r="Q75" s="826" t="str">
        <f>IFERROR(INDEX(月例!$E$5:$E$788,MATCH("共済負担金等|L|19",月例!$T$5:$T$788,0)),"")</f>
        <v>共済短期・介護負担金（３月賞与、３月月例分）長期</v>
      </c>
      <c r="R75" s="830">
        <f>IFERROR(INDEX(月例!$R$5:$R$788,MATCH("共済負担金等|L|19",月例!$T$5:$T$788,0)),"")</f>
        <v>26637</v>
      </c>
      <c r="S75" s="831">
        <f>IF(R75="","",S74+R75)</f>
        <v>404345</v>
      </c>
      <c r="T75" s="829" t="str">
        <f>IFERROR(INDEX(月例!$P$5:$P$788,MATCH("共済負担金等|L|19",月例!$T$5:$T$788,0)),"")</f>
        <v>昨年実績</v>
      </c>
    </row>
    <row r="76" ht="25.5" customHeight="1" s="186" thickBot="1">
      <c r="A76" s="825">
        <f>IFERROR(INDEX(月例!$A$5:$A$788,MATCH("旅費|L|20",月例!$T$5:$T$788,0)),"")</f>
        <v>46183</v>
      </c>
      <c r="B76" s="826" t="str">
        <f>IFERROR(INDEX(月例!$E$5:$E$788,MATCH("旅費|L|20",月例!$T$5:$T$788,0)),"")</f>
        <v>6/23　全国代表理事協議会　東京都　山田理事</v>
      </c>
      <c r="C76" s="830">
        <f>IFERROR(INDEX(月例!$R$5:$R$788,MATCH("旅費|L|20",月例!$T$5:$T$788,0)),"")</f>
        <v>20848</v>
      </c>
      <c r="D76" s="831">
        <f>IF(C76="","",D75-C76)</f>
        <v>-10585</v>
      </c>
      <c r="E76" s="829" t="str">
        <f>IFERROR(INDEX(月例!$P$5:$P$788,MATCH("旅費|L|20",月例!$T$5:$T$788,0)),"")</f>
        <v>確認済</v>
      </c>
      <c r="F76" s="825">
        <f>IFERROR(INDEX(月例!$A$5:$A$788,MATCH("賃借料|L|20",月例!$T$5:$T$788,0)),"")</f>
        <v>44995</v>
      </c>
      <c r="G76" s="826" t="str">
        <f>IFERROR(INDEX(月例!$E$5:$E$788,MATCH("賃借料|L|20",月例!$T$5:$T$788,0)),"")</f>
        <v>総務・会館運営委員会等　WEB会議用機器等</v>
      </c>
      <c r="H76" s="830">
        <f>IFERROR(INDEX(月例!$R$5:$R$788,MATCH("賃借料|L|20",月例!$T$5:$T$788,0)),"")</f>
        <v>7288</v>
      </c>
      <c r="I76" s="831">
        <f>IF(H76="","",I75-H76)</f>
        <v>-80751</v>
      </c>
      <c r="J76" s="829" t="str">
        <f>IFERROR(INDEX(月例!$P$5:$P$788,MATCH("賃借料|L|20",月例!$T$5:$T$788,0)),"")</f>
        <v>昨年実績</v>
      </c>
      <c r="K76" s="825">
        <f>IFERROR(INDEX(月例!$A$5:$A$788,MATCH("非常勤職員手当|L|20",月例!$T$5:$T$788,0)),"")</f>
        <v>46100</v>
      </c>
      <c r="L76" s="826" t="str">
        <f>IFERROR(INDEX(月例!$E$5:$E$788,MATCH("非常勤職員手当|L|20",月例!$T$5:$T$788,0)),"")</f>
        <v>３月分給与（長期分）</v>
      </c>
      <c r="M76" s="830">
        <f>IFERROR(INDEX(月例!$R$5:$R$788,MATCH("非常勤職員手当|L|20",月例!$T$5:$T$788,0)),"")</f>
        <v>395611</v>
      </c>
      <c r="N76" s="831">
        <f>IF(M76="","",N75-M76)</f>
        <v>-250198</v>
      </c>
      <c r="O76" s="829" t="str">
        <f>IFERROR(INDEX(月例!$P$5:$P$788,MATCH("非常勤職員手当|L|20",月例!$T$5:$T$788,0)),"")</f>
        <v>昨年実績</v>
      </c>
      <c r="P76" s="825" t="str">
        <f>IFERROR(INDEX(月例!$A$5:$A$788,MATCH("共済負担金等|L|20",月例!$T$5:$T$788,0)),"")</f>
        <v/>
      </c>
      <c r="Q76" s="826" t="str">
        <f>IFERROR(INDEX(月例!$E$5:$E$788,MATCH("共済負担金等|L|20",月例!$T$5:$T$788,0)),"")</f>
        <v/>
      </c>
      <c r="R76" s="830" t="str">
        <f>IFERROR(INDEX(月例!$R$5:$R$788,MATCH("共済負担金等|L|20",月例!$T$5:$T$788,0)),"")</f>
        <v/>
      </c>
      <c r="S76" s="831" t="str">
        <f>IF(R76="","",S75+R76)</f>
        <v/>
      </c>
      <c r="T76" s="829" t="str">
        <f>IFERROR(INDEX(月例!$P$5:$P$788,MATCH("共済負担金等|L|20",月例!$T$5:$T$788,0)),"")</f>
        <v/>
      </c>
    </row>
    <row r="77" ht="25.5" customHeight="1" s="186" thickBot="1">
      <c r="A77" s="825">
        <f>IFERROR(INDEX(月例!$A$5:$A$788,MATCH("旅費|L|21",月例!$T$5:$T$788,0)),"")</f>
        <v>45005</v>
      </c>
      <c r="B77" s="826" t="str">
        <f>IFERROR(INDEX(月例!$E$5:$E$788,MATCH("旅費|L|21",月例!$T$5:$T$788,0)),"")</f>
        <v>3/22　全国監事研修会　特別区　栗栖監事</v>
      </c>
      <c r="C77" s="830">
        <f>IFERROR(INDEX(月例!$R$5:$R$788,MATCH("旅費|L|21",月例!$T$5:$T$788,0)),"")</f>
        <v>20608</v>
      </c>
      <c r="D77" s="831">
        <f>IF(C77="","",D76-C77)</f>
        <v>-31193</v>
      </c>
      <c r="E77" s="829" t="str">
        <f>IFERROR(INDEX(月例!$P$5:$P$788,MATCH("旅費|L|21",月例!$T$5:$T$788,0)),"")</f>
        <v>昨年実績</v>
      </c>
      <c r="F77" s="825">
        <f>IFERROR(INDEX(月例!$A$5:$A$788,MATCH("賃借料|L|21",月例!$T$5:$T$788,0)),"")</f>
        <v>46108</v>
      </c>
      <c r="G77" s="826" t="str">
        <f>IFERROR(INDEX(月例!$E$5:$E$788,MATCH("賃借料|L|21",月例!$T$5:$T$788,0)),"")</f>
        <v>基幹システム用機器賃借料　２月分（長期）</v>
      </c>
      <c r="H77" s="830">
        <f>IFERROR(INDEX(月例!$R$5:$R$788,MATCH("賃借料|L|21",月例!$T$5:$T$788,0)),"")</f>
        <v>69613</v>
      </c>
      <c r="I77" s="831">
        <f>IF(H77="","",I76-H77)</f>
        <v>-150364</v>
      </c>
      <c r="J77" s="829" t="str">
        <f>IFERROR(INDEX(月例!$P$5:$P$788,MATCH("賃借料|L|21",月例!$T$5:$T$788,0)),"")</f>
        <v>昨年実績</v>
      </c>
      <c r="K77" s="825">
        <f>IFERROR(INDEX(月例!$A$5:$A$788,MATCH("非常勤職員手当|L|21",月例!$T$5:$T$788,0)),"")</f>
        <v>44274</v>
      </c>
      <c r="L77" s="826" t="str">
        <f>IFERROR(INDEX(月例!$E$5:$E$788,MATCH("非常勤職員手当|L|21",月例!$T$5:$T$788,0)),"")</f>
        <v>３月分給与（長期分）</v>
      </c>
      <c r="M77" s="830">
        <f>IFERROR(INDEX(月例!$R$5:$R$788,MATCH("非常勤職員手当|L|21",月例!$T$5:$T$788,0)),"")</f>
        <v>340401</v>
      </c>
      <c r="N77" s="831">
        <f>IF(M77="","",N76-M77)</f>
        <v>-590599</v>
      </c>
      <c r="O77" s="829" t="str">
        <f>IFERROR(INDEX(月例!$P$5:$P$788,MATCH("非常勤職員手当|L|21",月例!$T$5:$T$788,0)),"")</f>
        <v>昨年実績</v>
      </c>
      <c r="P77" s="825" t="str">
        <f>IFERROR(INDEX(月例!$A$5:$A$788,MATCH("共済負担金等|L|21",月例!$T$5:$T$788,0)),"")</f>
        <v/>
      </c>
      <c r="Q77" s="826" t="str">
        <f>IFERROR(INDEX(月例!$E$5:$E$788,MATCH("共済負担金等|L|21",月例!$T$5:$T$788,0)),"")</f>
        <v/>
      </c>
      <c r="R77" s="830" t="str">
        <f>IFERROR(INDEX(月例!$R$5:$R$788,MATCH("共済負担金等|L|21",月例!$T$5:$T$788,0)),"")</f>
        <v/>
      </c>
      <c r="S77" s="831" t="str">
        <f>IF(R77="","",S76+R77)</f>
        <v/>
      </c>
      <c r="T77" s="829" t="str">
        <f>IFERROR(INDEX(月例!$P$5:$P$788,MATCH("共済負担金等|L|21",月例!$T$5:$T$788,0)),"")</f>
        <v/>
      </c>
    </row>
    <row r="78" ht="25.5" customHeight="1" s="186" thickBot="1">
      <c r="A78" s="825">
        <f>IFERROR(INDEX(月例!$A$5:$A$788,MATCH("旅費|L|22",月例!$T$5:$T$788,0)),"")</f>
        <v>44265</v>
      </c>
      <c r="B78" s="826" t="str">
        <f>IFERROR(INDEX(月例!$E$5:$E$788,MATCH("旅費|L|22",月例!$T$5:$T$788,0)),"")</f>
        <v>3/5　職員派遣に伴う内見等（梅谷主事）</v>
      </c>
      <c r="C78" s="830">
        <f>IFERROR(INDEX(月例!$R$5:$R$788,MATCH("旅費|L|22",月例!$T$5:$T$788,0)),"")</f>
        <v>48580</v>
      </c>
      <c r="D78" s="831">
        <f>IF(C78="","",D77-C78)</f>
        <v>-79773</v>
      </c>
      <c r="E78" s="829" t="str">
        <f>IFERROR(INDEX(月例!$P$5:$P$788,MATCH("旅費|L|22",月例!$T$5:$T$788,0)),"")</f>
        <v>昨年実績</v>
      </c>
      <c r="F78" s="825" t="str">
        <f>IFERROR(INDEX(月例!$A$5:$A$788,MATCH("賃借料|L|22",月例!$T$5:$T$788,0)),"")</f>
        <v/>
      </c>
      <c r="G78" s="826" t="str">
        <f>IFERROR(INDEX(月例!$E$5:$E$788,MATCH("賃借料|L|22",月例!$T$5:$T$788,0)),"")</f>
        <v/>
      </c>
      <c r="H78" s="830" t="str">
        <f>IFERROR(INDEX(月例!$R$5:$R$788,MATCH("賃借料|L|22",月例!$T$5:$T$788,0)),"")</f>
        <v/>
      </c>
      <c r="I78" s="831" t="str">
        <f>IF(H78="","",I77-H78)</f>
        <v/>
      </c>
      <c r="J78" s="829" t="str">
        <f>IFERROR(INDEX(月例!$P$5:$P$788,MATCH("賃借料|L|22",月例!$T$5:$T$788,0)),"")</f>
        <v/>
      </c>
      <c r="K78" s="825" t="str">
        <f>IFERROR(INDEX(月例!$A$5:$A$788,MATCH("非常勤職員手当|L|22",月例!$T$5:$T$788,0)),"")</f>
        <v/>
      </c>
      <c r="L78" s="826" t="str">
        <f>IFERROR(INDEX(月例!$E$5:$E$788,MATCH("非常勤職員手当|L|22",月例!$T$5:$T$788,0)),"")</f>
        <v/>
      </c>
      <c r="M78" s="830" t="str">
        <f>IFERROR(INDEX(月例!$R$5:$R$788,MATCH("非常勤職員手当|L|22",月例!$T$5:$T$788,0)),"")</f>
        <v/>
      </c>
      <c r="N78" s="831" t="str">
        <f>IF(M78="","",N77-M78)</f>
        <v/>
      </c>
      <c r="O78" s="829" t="str">
        <f>IFERROR(INDEX(月例!$P$5:$P$788,MATCH("非常勤職員手当|L|22",月例!$T$5:$T$788,0)),"")</f>
        <v/>
      </c>
      <c r="P78" s="825" t="str">
        <f>IFERROR(INDEX(月例!$A$5:$A$788,MATCH("共済負担金等|L|22",月例!$T$5:$T$788,0)),"")</f>
        <v/>
      </c>
      <c r="Q78" s="826" t="str">
        <f>IFERROR(INDEX(月例!$E$5:$E$788,MATCH("共済負担金等|L|22",月例!$T$5:$T$788,0)),"")</f>
        <v/>
      </c>
      <c r="R78" s="830" t="str">
        <f>IFERROR(INDEX(月例!$R$5:$R$788,MATCH("共済負担金等|L|22",月例!$T$5:$T$788,0)),"")</f>
        <v/>
      </c>
      <c r="S78" s="831" t="str">
        <f>IF(R78="","",S77+R78)</f>
        <v/>
      </c>
      <c r="T78" s="829" t="str">
        <f>IFERROR(INDEX(月例!$P$5:$P$788,MATCH("共済負担金等|L|22",月例!$T$5:$T$788,0)),"")</f>
        <v/>
      </c>
    </row>
    <row r="79" ht="25.5" customHeight="1" s="186" thickBot="1">
      <c r="A79" s="825" t="str">
        <f>IFERROR(INDEX(月例!$A$5:$A$788,MATCH("旅費|L|23",月例!$T$5:$T$788,0)),"")</f>
        <v/>
      </c>
      <c r="B79" s="826" t="str">
        <f>IFERROR(INDEX(月例!$E$5:$E$788,MATCH("旅費|L|23",月例!$T$5:$T$788,0)),"")</f>
        <v/>
      </c>
      <c r="C79" s="830" t="str">
        <f>IFERROR(INDEX(月例!$R$5:$R$788,MATCH("旅費|L|23",月例!$T$5:$T$788,0)),"")</f>
        <v/>
      </c>
      <c r="D79" s="831" t="str">
        <f>IF(C79="","",D78-C79)</f>
        <v/>
      </c>
      <c r="E79" s="829" t="str">
        <f>IFERROR(INDEX(月例!$P$5:$P$788,MATCH("旅費|L|23",月例!$T$5:$T$788,0)),"")</f>
        <v/>
      </c>
      <c r="F79" s="825" t="str">
        <f>IFERROR(INDEX(月例!$A$5:$A$788,MATCH("賃借料|L|23",月例!$T$5:$T$788,0)),"")</f>
        <v/>
      </c>
      <c r="G79" s="826" t="str">
        <f>IFERROR(INDEX(月例!$E$5:$E$788,MATCH("賃借料|L|23",月例!$T$5:$T$788,0)),"")</f>
        <v/>
      </c>
      <c r="H79" s="830" t="str">
        <f>IFERROR(INDEX(月例!$R$5:$R$788,MATCH("賃借料|L|23",月例!$T$5:$T$788,0)),"")</f>
        <v/>
      </c>
      <c r="I79" s="831" t="str">
        <f>IF(H79="","",I78-H79)</f>
        <v/>
      </c>
      <c r="J79" s="829" t="str">
        <f>IFERROR(INDEX(月例!$P$5:$P$788,MATCH("賃借料|L|23",月例!$T$5:$T$788,0)),"")</f>
        <v/>
      </c>
      <c r="K79" s="825" t="str">
        <f>IFERROR(INDEX(月例!$A$5:$A$788,MATCH("非常勤職員手当|L|23",月例!$T$5:$T$788,0)),"")</f>
        <v/>
      </c>
      <c r="L79" s="826" t="str">
        <f>IFERROR(INDEX(月例!$E$5:$E$788,MATCH("非常勤職員手当|L|23",月例!$T$5:$T$788,0)),"")</f>
        <v/>
      </c>
      <c r="M79" s="830" t="str">
        <f>IFERROR(INDEX(月例!$R$5:$R$788,MATCH("非常勤職員手当|L|23",月例!$T$5:$T$788,0)),"")</f>
        <v/>
      </c>
      <c r="N79" s="831" t="str">
        <f>IF(M79="","",N78-M79)</f>
        <v/>
      </c>
      <c r="O79" s="829" t="str">
        <f>IFERROR(INDEX(月例!$P$5:$P$788,MATCH("非常勤職員手当|L|23",月例!$T$5:$T$788,0)),"")</f>
        <v/>
      </c>
      <c r="P79" s="825" t="str">
        <f>IFERROR(INDEX(月例!$A$5:$A$788,MATCH("共済負担金等|L|23",月例!$T$5:$T$788,0)),"")</f>
        <v/>
      </c>
      <c r="Q79" s="826" t="str">
        <f>IFERROR(INDEX(月例!$E$5:$E$788,MATCH("共済負担金等|L|23",月例!$T$5:$T$788,0)),"")</f>
        <v/>
      </c>
      <c r="R79" s="830" t="str">
        <f>IFERROR(INDEX(月例!$R$5:$R$788,MATCH("共済負担金等|L|23",月例!$T$5:$T$788,0)),"")</f>
        <v/>
      </c>
      <c r="S79" s="831" t="str">
        <f>IF(R79="","",S78+R79)</f>
        <v/>
      </c>
      <c r="T79" s="829" t="str">
        <f>IFERROR(INDEX(月例!$P$5:$P$788,MATCH("共済負担金等|L|23",月例!$T$5:$T$788,0)),"")</f>
        <v/>
      </c>
    </row>
    <row r="80" ht="25.5" customHeight="1" s="186" thickBot="1">
      <c r="A80" s="825" t="str">
        <f>IFERROR(INDEX(月例!$A$5:$A$788,MATCH("旅費|L|24",月例!$T$5:$T$788,0)),"")</f>
        <v/>
      </c>
      <c r="B80" s="826" t="str">
        <f>IFERROR(INDEX(月例!$E$5:$E$788,MATCH("旅費|L|24",月例!$T$5:$T$788,0)),"")</f>
        <v/>
      </c>
      <c r="C80" s="830" t="str">
        <f>IFERROR(INDEX(月例!$R$5:$R$788,MATCH("旅費|L|24",月例!$T$5:$T$788,0)),"")</f>
        <v/>
      </c>
      <c r="D80" s="831" t="str">
        <f>IF(C80="","",D79-C80)</f>
        <v/>
      </c>
      <c r="E80" s="829" t="str">
        <f>IFERROR(INDEX(月例!$P$5:$P$788,MATCH("旅費|L|24",月例!$T$5:$T$788,0)),"")</f>
        <v/>
      </c>
      <c r="F80" s="825" t="str">
        <f>IFERROR(INDEX(月例!$A$5:$A$788,MATCH("賃借料|L|24",月例!$T$5:$T$788,0)),"")</f>
        <v/>
      </c>
      <c r="G80" s="826" t="str">
        <f>IFERROR(INDEX(月例!$E$5:$E$788,MATCH("賃借料|L|24",月例!$T$5:$T$788,0)),"")</f>
        <v/>
      </c>
      <c r="H80" s="830" t="str">
        <f>IFERROR(INDEX(月例!$R$5:$R$788,MATCH("賃借料|L|24",月例!$T$5:$T$788,0)),"")</f>
        <v/>
      </c>
      <c r="I80" s="831" t="str">
        <f>IF(H80="","",I79-H80)</f>
        <v/>
      </c>
      <c r="J80" s="829" t="str">
        <f>IFERROR(INDEX(月例!$P$5:$P$788,MATCH("賃借料|L|24",月例!$T$5:$T$788,0)),"")</f>
        <v/>
      </c>
      <c r="K80" s="825" t="str">
        <f>IFERROR(INDEX(月例!$A$5:$A$788,MATCH("非常勤職員手当|L|24",月例!$T$5:$T$788,0)),"")</f>
        <v/>
      </c>
      <c r="L80" s="826" t="str">
        <f>IFERROR(INDEX(月例!$E$5:$E$788,MATCH("非常勤職員手当|L|24",月例!$T$5:$T$788,0)),"")</f>
        <v/>
      </c>
      <c r="M80" s="830" t="str">
        <f>IFERROR(INDEX(月例!$R$5:$R$788,MATCH("非常勤職員手当|L|24",月例!$T$5:$T$788,0)),"")</f>
        <v/>
      </c>
      <c r="N80" s="831" t="str">
        <f>IF(M80="","",N79-M80)</f>
        <v/>
      </c>
      <c r="O80" s="829" t="str">
        <f>IFERROR(INDEX(月例!$P$5:$P$788,MATCH("非常勤職員手当|L|24",月例!$T$5:$T$788,0)),"")</f>
        <v/>
      </c>
      <c r="P80" s="825" t="str">
        <f>IFERROR(INDEX(月例!$A$5:$A$788,MATCH("共済負担金等|L|24",月例!$T$5:$T$788,0)),"")</f>
        <v/>
      </c>
      <c r="Q80" s="826" t="str">
        <f>IFERROR(INDEX(月例!$E$5:$E$788,MATCH("共済負担金等|L|24",月例!$T$5:$T$788,0)),"")</f>
        <v/>
      </c>
      <c r="R80" s="830" t="str">
        <f>IFERROR(INDEX(月例!$R$5:$R$788,MATCH("共済負担金等|L|24",月例!$T$5:$T$788,0)),"")</f>
        <v/>
      </c>
      <c r="S80" s="831" t="str">
        <f>IF(R80="","",S79+R80)</f>
        <v/>
      </c>
      <c r="T80" s="829" t="str">
        <f>IFERROR(INDEX(月例!$P$5:$P$788,MATCH("共済負担金等|L|24",月例!$T$5:$T$788,0)),"")</f>
        <v/>
      </c>
    </row>
    <row r="81" ht="25.5" customHeight="1" s="186">
      <c r="A81" s="825" t="str">
        <f>IFERROR(INDEX(月例!$A$5:$A$788,MATCH("旅費|L|25",月例!$T$5:$T$788,0)),"")</f>
        <v/>
      </c>
      <c r="B81" s="826" t="str">
        <f>IFERROR(INDEX(月例!$E$5:$E$788,MATCH("旅費|L|25",月例!$T$5:$T$788,0)),"")</f>
        <v/>
      </c>
      <c r="C81" s="830" t="str">
        <f>IFERROR(INDEX(月例!$R$5:$R$788,MATCH("旅費|L|25",月例!$T$5:$T$788,0)),"")</f>
        <v/>
      </c>
      <c r="D81" s="831" t="str">
        <f>IF(C81="","",D80-C81)</f>
        <v/>
      </c>
      <c r="E81" s="829" t="str">
        <f>IFERROR(INDEX(月例!$P$5:$P$788,MATCH("旅費|L|25",月例!$T$5:$T$788,0)),"")</f>
        <v/>
      </c>
      <c r="F81" s="825" t="str">
        <f>IFERROR(INDEX(月例!$A$5:$A$788,MATCH("賃借料|L|25",月例!$T$5:$T$788,0)),"")</f>
        <v/>
      </c>
      <c r="G81" s="826" t="str">
        <f>IFERROR(INDEX(月例!$E$5:$E$788,MATCH("賃借料|L|25",月例!$T$5:$T$788,0)),"")</f>
        <v/>
      </c>
      <c r="H81" s="830" t="str">
        <f>IFERROR(INDEX(月例!$R$5:$R$788,MATCH("賃借料|L|25",月例!$T$5:$T$788,0)),"")</f>
        <v/>
      </c>
      <c r="I81" s="831" t="str">
        <f>IF(H81="","",I80-H81)</f>
        <v/>
      </c>
      <c r="J81" s="829" t="str">
        <f>IFERROR(INDEX(月例!$P$5:$P$788,MATCH("賃借料|L|25",月例!$T$5:$T$788,0)),"")</f>
        <v/>
      </c>
      <c r="K81" s="825" t="str">
        <f>IFERROR(INDEX(月例!$A$5:$A$788,MATCH("非常勤職員手当|L|25",月例!$T$5:$T$788,0)),"")</f>
        <v/>
      </c>
      <c r="L81" s="826" t="str">
        <f>IFERROR(INDEX(月例!$E$5:$E$788,MATCH("非常勤職員手当|L|25",月例!$T$5:$T$788,0)),"")</f>
        <v/>
      </c>
      <c r="M81" s="830" t="str">
        <f>IFERROR(INDEX(月例!$R$5:$R$788,MATCH("非常勤職員手当|L|25",月例!$T$5:$T$788,0)),"")</f>
        <v/>
      </c>
      <c r="N81" s="831" t="str">
        <f>IF(M81="","",N80-M81)</f>
        <v/>
      </c>
      <c r="O81" s="829" t="str">
        <f>IFERROR(INDEX(月例!$P$5:$P$788,MATCH("非常勤職員手当|L|25",月例!$T$5:$T$788,0)),"")</f>
        <v/>
      </c>
      <c r="P81" s="825" t="str">
        <f>IFERROR(INDEX(月例!$A$5:$A$788,MATCH("共済負担金等|L|25",月例!$T$5:$T$788,0)),"")</f>
        <v/>
      </c>
      <c r="Q81" s="826" t="str">
        <f>IFERROR(INDEX(月例!$E$5:$E$788,MATCH("共済負担金等|L|25",月例!$T$5:$T$788,0)),"")</f>
        <v/>
      </c>
      <c r="R81" s="830" t="str">
        <f>IFERROR(INDEX(月例!$R$5:$R$788,MATCH("共済負担金等|L|25",月例!$T$5:$T$788,0)),"")</f>
        <v/>
      </c>
      <c r="S81" s="831" t="str">
        <f>IF(R81="","",S80+R81)</f>
        <v/>
      </c>
      <c r="T81" s="829" t="str">
        <f>IFERROR(INDEX(月例!$P$5:$P$788,MATCH("共済負担金等|L|25",月例!$T$5:$T$788,0)),"")</f>
        <v/>
      </c>
    </row>
    <row r="82" ht="25.5" customHeight="1" s="186">
      <c r="A82" s="825" t="str">
        <f>IFERROR(INDEX(月例!$A$5:$A$788,MATCH("旅費|L|26",月例!$T$5:$T$788,0)),"")</f>
        <v/>
      </c>
      <c r="B82" s="826" t="str">
        <f>IFERROR(INDEX(月例!$E$5:$E$788,MATCH("旅費|L|26",月例!$T$5:$T$788,0)),"")</f>
        <v/>
      </c>
      <c r="C82" s="830" t="str">
        <f>IFERROR(INDEX(月例!$R$5:$R$788,MATCH("旅費|L|26",月例!$T$5:$T$788,0)),"")</f>
        <v/>
      </c>
      <c r="D82" s="831" t="str">
        <f>IF(C82="","",D81-C82)</f>
        <v/>
      </c>
      <c r="E82" s="829" t="str">
        <f>IFERROR(INDEX(月例!$P$5:$P$788,MATCH("旅費|L|26",月例!$T$5:$T$788,0)),"")</f>
        <v/>
      </c>
      <c r="F82" s="825" t="str">
        <f>IFERROR(INDEX(月例!$A$5:$A$788,MATCH("賃借料|L|26",月例!$T$5:$T$788,0)),"")</f>
        <v/>
      </c>
      <c r="G82" s="826" t="str">
        <f>IFERROR(INDEX(月例!$E$5:$E$788,MATCH("賃借料|L|26",月例!$T$5:$T$788,0)),"")</f>
        <v/>
      </c>
      <c r="H82" s="830" t="str">
        <f>IFERROR(INDEX(月例!$R$5:$R$788,MATCH("賃借料|L|26",月例!$T$5:$T$788,0)),"")</f>
        <v/>
      </c>
      <c r="I82" s="831" t="str">
        <f>IF(H82="","",I81-H82)</f>
        <v/>
      </c>
      <c r="J82" s="829" t="str">
        <f>IFERROR(INDEX(月例!$P$5:$P$788,MATCH("賃借料|L|26",月例!$T$5:$T$788,0)),"")</f>
        <v/>
      </c>
      <c r="K82" s="825" t="str">
        <f>IFERROR(INDEX(月例!$A$5:$A$788,MATCH("非常勤職員手当|L|26",月例!$T$5:$T$788,0)),"")</f>
        <v/>
      </c>
      <c r="L82" s="826" t="str">
        <f>IFERROR(INDEX(月例!$E$5:$E$788,MATCH("非常勤職員手当|L|26",月例!$T$5:$T$788,0)),"")</f>
        <v/>
      </c>
      <c r="M82" s="830" t="str">
        <f>IFERROR(INDEX(月例!$R$5:$R$788,MATCH("非常勤職員手当|L|26",月例!$T$5:$T$788,0)),"")</f>
        <v/>
      </c>
      <c r="N82" s="831" t="str">
        <f>IF(M82="","",N81-M82)</f>
        <v/>
      </c>
      <c r="O82" s="829" t="str">
        <f>IFERROR(INDEX(月例!$P$5:$P$788,MATCH("非常勤職員手当|L|26",月例!$T$5:$T$788,0)),"")</f>
        <v/>
      </c>
      <c r="P82" s="825" t="str">
        <f>IFERROR(INDEX(月例!$A$5:$A$788,MATCH("共済負担金等|L|26",月例!$T$5:$T$788,0)),"")</f>
        <v/>
      </c>
      <c r="Q82" s="826" t="str">
        <f>IFERROR(INDEX(月例!$E$5:$E$788,MATCH("共済負担金等|L|26",月例!$T$5:$T$788,0)),"")</f>
        <v/>
      </c>
      <c r="R82" s="830" t="str">
        <f>IFERROR(INDEX(月例!$R$5:$R$788,MATCH("共済負担金等|L|26",月例!$T$5:$T$788,0)),"")</f>
        <v/>
      </c>
      <c r="S82" s="831" t="str">
        <f>IF(R82="","",S81+R82)</f>
        <v/>
      </c>
      <c r="T82" s="829" t="str">
        <f>IFERROR(INDEX(月例!$P$5:$P$788,MATCH("共済負担金等|L|26",月例!$T$5:$T$788,0)),"")</f>
        <v/>
      </c>
    </row>
    <row r="83" ht="25.5" customHeight="1" s="186" thickBot="1">
      <c r="A83" s="825" t="str">
        <f>IFERROR(INDEX(月例!$A$5:$A$788,MATCH("旅費|L|27",月例!$T$5:$T$788,0)),"")</f>
        <v/>
      </c>
      <c r="B83" s="826" t="str">
        <f>IFERROR(INDEX(月例!$E$5:$E$788,MATCH("旅費|L|27",月例!$T$5:$T$788,0)),"")</f>
        <v/>
      </c>
      <c r="C83" s="830" t="str">
        <f>IFERROR(INDEX(月例!$R$5:$R$788,MATCH("旅費|L|27",月例!$T$5:$T$788,0)),"")</f>
        <v/>
      </c>
      <c r="D83" s="831" t="str">
        <f>IF(C83="","",D82-C83)</f>
        <v/>
      </c>
      <c r="E83" s="829" t="str">
        <f>IFERROR(INDEX(月例!$P$5:$P$788,MATCH("旅費|L|27",月例!$T$5:$T$788,0)),"")</f>
        <v/>
      </c>
      <c r="F83" s="825" t="str">
        <f>IFERROR(INDEX(月例!$A$5:$A$788,MATCH("賃借料|L|27",月例!$T$5:$T$788,0)),"")</f>
        <v/>
      </c>
      <c r="G83" s="826" t="str">
        <f>IFERROR(INDEX(月例!$E$5:$E$788,MATCH("賃借料|L|27",月例!$T$5:$T$788,0)),"")</f>
        <v/>
      </c>
      <c r="H83" s="830" t="str">
        <f>IFERROR(INDEX(月例!$R$5:$R$788,MATCH("賃借料|L|27",月例!$T$5:$T$788,0)),"")</f>
        <v/>
      </c>
      <c r="I83" s="831" t="str">
        <f>IF(H83="","",I82-H83)</f>
        <v/>
      </c>
      <c r="J83" s="829" t="str">
        <f>IFERROR(INDEX(月例!$P$5:$P$788,MATCH("賃借料|L|27",月例!$T$5:$T$788,0)),"")</f>
        <v/>
      </c>
      <c r="K83" s="825" t="str">
        <f>IFERROR(INDEX(月例!$A$5:$A$788,MATCH("非常勤職員手当|L|27",月例!$T$5:$T$788,0)),"")</f>
        <v/>
      </c>
      <c r="L83" s="826" t="str">
        <f>IFERROR(INDEX(月例!$E$5:$E$788,MATCH("非常勤職員手当|L|27",月例!$T$5:$T$788,0)),"")</f>
        <v/>
      </c>
      <c r="M83" s="830" t="str">
        <f>IFERROR(INDEX(月例!$R$5:$R$788,MATCH("非常勤職員手当|L|27",月例!$T$5:$T$788,0)),"")</f>
        <v/>
      </c>
      <c r="N83" s="831" t="str">
        <f>IF(M83="","",N82-M83)</f>
        <v/>
      </c>
      <c r="O83" s="829" t="str">
        <f>IFERROR(INDEX(月例!$P$5:$P$788,MATCH("非常勤職員手当|L|27",月例!$T$5:$T$788,0)),"")</f>
        <v/>
      </c>
      <c r="P83" s="825" t="str">
        <f>IFERROR(INDEX(月例!$A$5:$A$788,MATCH("共済負担金等|L|27",月例!$T$5:$T$788,0)),"")</f>
        <v/>
      </c>
      <c r="Q83" s="826" t="str">
        <f>IFERROR(INDEX(月例!$E$5:$E$788,MATCH("共済負担金等|L|27",月例!$T$5:$T$788,0)),"")</f>
        <v/>
      </c>
      <c r="R83" s="830" t="str">
        <f>IFERROR(INDEX(月例!$R$5:$R$788,MATCH("共済負担金等|L|27",月例!$T$5:$T$788,0)),"")</f>
        <v/>
      </c>
      <c r="S83" s="831" t="str">
        <f>IF(R83="","",S82+R83)</f>
        <v/>
      </c>
      <c r="T83" s="829" t="str">
        <f>IFERROR(INDEX(月例!$P$5:$P$788,MATCH("共済負担金等|L|27",月例!$T$5:$T$788,0)),"")</f>
        <v/>
      </c>
    </row>
    <row r="84" ht="25.5" customHeight="1" s="186" thickBot="1">
      <c r="A84" s="825" t="str">
        <f>IFERROR(INDEX(月例!$A$5:$A$788,MATCH("旅費|L|28",月例!$T$5:$T$788,0)),"")</f>
        <v/>
      </c>
      <c r="B84" s="826" t="str">
        <f>IFERROR(INDEX(月例!$E$5:$E$788,MATCH("旅費|L|28",月例!$T$5:$T$788,0)),"")</f>
        <v/>
      </c>
      <c r="C84" s="830" t="str">
        <f>IFERROR(INDEX(月例!$R$5:$R$788,MATCH("旅費|L|28",月例!$T$5:$T$788,0)),"")</f>
        <v/>
      </c>
      <c r="D84" s="831" t="str">
        <f>IF(C84="","",D83-C84)</f>
        <v/>
      </c>
      <c r="E84" s="829" t="str">
        <f>IFERROR(INDEX(月例!$P$5:$P$788,MATCH("旅費|L|28",月例!$T$5:$T$788,0)),"")</f>
        <v/>
      </c>
      <c r="F84" s="825" t="str">
        <f>IFERROR(INDEX(月例!$A$5:$A$788,MATCH("賃借料|L|28",月例!$T$5:$T$788,0)),"")</f>
        <v/>
      </c>
      <c r="G84" s="826" t="str">
        <f>IFERROR(INDEX(月例!$E$5:$E$788,MATCH("賃借料|L|28",月例!$T$5:$T$788,0)),"")</f>
        <v/>
      </c>
      <c r="H84" s="830" t="str">
        <f>IFERROR(INDEX(月例!$R$5:$R$788,MATCH("賃借料|L|28",月例!$T$5:$T$788,0)),"")</f>
        <v/>
      </c>
      <c r="I84" s="831" t="str">
        <f>IF(H84="","",I83-H84)</f>
        <v/>
      </c>
      <c r="J84" s="829" t="str">
        <f>IFERROR(INDEX(月例!$P$5:$P$788,MATCH("賃借料|L|28",月例!$T$5:$T$788,0)),"")</f>
        <v/>
      </c>
      <c r="K84" s="825" t="str">
        <f>IFERROR(INDEX(月例!$A$5:$A$788,MATCH("非常勤職員手当|L|28",月例!$T$5:$T$788,0)),"")</f>
        <v/>
      </c>
      <c r="L84" s="826" t="str">
        <f>IFERROR(INDEX(月例!$E$5:$E$788,MATCH("非常勤職員手当|L|28",月例!$T$5:$T$788,0)),"")</f>
        <v/>
      </c>
      <c r="M84" s="830" t="str">
        <f>IFERROR(INDEX(月例!$R$5:$R$788,MATCH("非常勤職員手当|L|28",月例!$T$5:$T$788,0)),"")</f>
        <v/>
      </c>
      <c r="N84" s="831" t="str">
        <f>IF(M84="","",N83-M84)</f>
        <v/>
      </c>
      <c r="O84" s="829" t="str">
        <f>IFERROR(INDEX(月例!$P$5:$P$788,MATCH("非常勤職員手当|L|28",月例!$T$5:$T$788,0)),"")</f>
        <v/>
      </c>
      <c r="P84" s="825" t="str">
        <f>IFERROR(INDEX(月例!$A$5:$A$788,MATCH("共済負担金等|L|28",月例!$T$5:$T$788,0)),"")</f>
        <v/>
      </c>
      <c r="Q84" s="826" t="str">
        <f>IFERROR(INDEX(月例!$E$5:$E$788,MATCH("共済負担金等|L|28",月例!$T$5:$T$788,0)),"")</f>
        <v/>
      </c>
      <c r="R84" s="830" t="str">
        <f>IFERROR(INDEX(月例!$R$5:$R$788,MATCH("共済負担金等|L|28",月例!$T$5:$T$788,0)),"")</f>
        <v/>
      </c>
      <c r="S84" s="831" t="str">
        <f>IF(R84="","",S83+R84)</f>
        <v/>
      </c>
      <c r="T84" s="829" t="str">
        <f>IFERROR(INDEX(月例!$P$5:$P$788,MATCH("共済負担金等|L|28",月例!$T$5:$T$788,0)),"")</f>
        <v/>
      </c>
    </row>
    <row r="85" ht="25.5" customHeight="1" s="186">
      <c r="A85" s="825" t="str">
        <f>IFERROR(INDEX(月例!$A$5:$A$788,MATCH("旅費|L|29",月例!$T$5:$T$788,0)),"")</f>
        <v/>
      </c>
      <c r="B85" s="826" t="str">
        <f>IFERROR(INDEX(月例!$E$5:$E$788,MATCH("旅費|L|29",月例!$T$5:$T$788,0)),"")</f>
        <v/>
      </c>
      <c r="C85" s="830" t="str">
        <f>IFERROR(INDEX(月例!$R$5:$R$788,MATCH("旅費|L|29",月例!$T$5:$T$788,0)),"")</f>
        <v/>
      </c>
      <c r="D85" s="831" t="str">
        <f>IF(C85="","",D84-C85)</f>
        <v/>
      </c>
      <c r="E85" s="829" t="str">
        <f>IFERROR(INDEX(月例!$P$5:$P$788,MATCH("旅費|L|29",月例!$T$5:$T$788,0)),"")</f>
        <v/>
      </c>
      <c r="F85" s="825" t="str">
        <f>IFERROR(INDEX(月例!$A$5:$A$788,MATCH("賃借料|L|29",月例!$T$5:$T$788,0)),"")</f>
        <v/>
      </c>
      <c r="G85" s="826" t="str">
        <f>IFERROR(INDEX(月例!$E$5:$E$788,MATCH("賃借料|L|29",月例!$T$5:$T$788,0)),"")</f>
        <v/>
      </c>
      <c r="H85" s="830" t="str">
        <f>IFERROR(INDEX(月例!$R$5:$R$788,MATCH("賃借料|L|29",月例!$T$5:$T$788,0)),"")</f>
        <v/>
      </c>
      <c r="I85" s="831" t="str">
        <f>IF(H85="","",I84-H85)</f>
        <v/>
      </c>
      <c r="J85" s="829" t="str">
        <f>IFERROR(INDEX(月例!$P$5:$P$788,MATCH("賃借料|L|29",月例!$T$5:$T$788,0)),"")</f>
        <v/>
      </c>
      <c r="K85" s="825" t="str">
        <f>IFERROR(INDEX(月例!$A$5:$A$788,MATCH("非常勤職員手当|L|29",月例!$T$5:$T$788,0)),"")</f>
        <v/>
      </c>
      <c r="L85" s="826" t="str">
        <f>IFERROR(INDEX(月例!$E$5:$E$788,MATCH("非常勤職員手当|L|29",月例!$T$5:$T$788,0)),"")</f>
        <v/>
      </c>
      <c r="M85" s="830" t="str">
        <f>IFERROR(INDEX(月例!$R$5:$R$788,MATCH("非常勤職員手当|L|29",月例!$T$5:$T$788,0)),"")</f>
        <v/>
      </c>
      <c r="N85" s="831" t="str">
        <f>IF(M85="","",N84-M85)</f>
        <v/>
      </c>
      <c r="O85" s="829" t="str">
        <f>IFERROR(INDEX(月例!$P$5:$P$788,MATCH("非常勤職員手当|L|29",月例!$T$5:$T$788,0)),"")</f>
        <v/>
      </c>
      <c r="P85" s="825" t="str">
        <f>IFERROR(INDEX(月例!$A$5:$A$788,MATCH("共済負担金等|L|29",月例!$T$5:$T$788,0)),"")</f>
        <v/>
      </c>
      <c r="Q85" s="826" t="str">
        <f>IFERROR(INDEX(月例!$E$5:$E$788,MATCH("共済負担金等|L|29",月例!$T$5:$T$788,0)),"")</f>
        <v/>
      </c>
      <c r="R85" s="830" t="str">
        <f>IFERROR(INDEX(月例!$R$5:$R$788,MATCH("共済負担金等|L|29",月例!$T$5:$T$788,0)),"")</f>
        <v/>
      </c>
      <c r="S85" s="831" t="str">
        <f>IF(R85="","",S84+R85)</f>
        <v/>
      </c>
      <c r="T85" s="829" t="str">
        <f>IFERROR(INDEX(月例!$P$5:$P$788,MATCH("共済負担金等|L|29",月例!$T$5:$T$788,0)),"")</f>
        <v/>
      </c>
    </row>
    <row r="86" ht="25.5" customHeight="1" s="186">
      <c r="A86" s="825" t="str">
        <f>IFERROR(INDEX(月例!$A$5:$A$788,MATCH("旅費|L|30",月例!$T$5:$T$788,0)),"")</f>
        <v/>
      </c>
      <c r="B86" s="826" t="str">
        <f>IFERROR(INDEX(月例!$E$5:$E$788,MATCH("旅費|L|30",月例!$T$5:$T$788,0)),"")</f>
        <v/>
      </c>
      <c r="C86" s="830" t="str">
        <f>IFERROR(INDEX(月例!$R$5:$R$788,MATCH("旅費|L|30",月例!$T$5:$T$788,0)),"")</f>
        <v/>
      </c>
      <c r="D86" s="831" t="str">
        <f>IF(C86="","",D85-C86)</f>
        <v/>
      </c>
      <c r="E86" s="829" t="str">
        <f>IFERROR(INDEX(月例!$P$5:$P$788,MATCH("旅費|L|30",月例!$T$5:$T$788,0)),"")</f>
        <v/>
      </c>
      <c r="F86" s="825" t="str">
        <f>IFERROR(INDEX(月例!$A$5:$A$788,MATCH("賃借料|L|30",月例!$T$5:$T$788,0)),"")</f>
        <v/>
      </c>
      <c r="G86" s="826" t="str">
        <f>IFERROR(INDEX(月例!$E$5:$E$788,MATCH("賃借料|L|30",月例!$T$5:$T$788,0)),"")</f>
        <v/>
      </c>
      <c r="H86" s="830" t="str">
        <f>IFERROR(INDEX(月例!$R$5:$R$788,MATCH("賃借料|L|30",月例!$T$5:$T$788,0)),"")</f>
        <v/>
      </c>
      <c r="I86" s="831" t="str">
        <f>IF(H86="","",I85-H86)</f>
        <v/>
      </c>
      <c r="J86" s="829" t="str">
        <f>IFERROR(INDEX(月例!$P$5:$P$788,MATCH("賃借料|L|30",月例!$T$5:$T$788,0)),"")</f>
        <v/>
      </c>
      <c r="K86" s="825" t="str">
        <f>IFERROR(INDEX(月例!$A$5:$A$788,MATCH("非常勤職員手当|L|30",月例!$T$5:$T$788,0)),"")</f>
        <v/>
      </c>
      <c r="L86" s="826" t="str">
        <f>IFERROR(INDEX(月例!$E$5:$E$788,MATCH("非常勤職員手当|L|30",月例!$T$5:$T$788,0)),"")</f>
        <v/>
      </c>
      <c r="M86" s="830" t="str">
        <f>IFERROR(INDEX(月例!$R$5:$R$788,MATCH("非常勤職員手当|L|30",月例!$T$5:$T$788,0)),"")</f>
        <v/>
      </c>
      <c r="N86" s="831" t="str">
        <f>IF(M86="","",N85-M86)</f>
        <v/>
      </c>
      <c r="O86" s="829" t="str">
        <f>IFERROR(INDEX(月例!$P$5:$P$788,MATCH("非常勤職員手当|L|30",月例!$T$5:$T$788,0)),"")</f>
        <v/>
      </c>
      <c r="P86" s="825" t="str">
        <f>IFERROR(INDEX(月例!$A$5:$A$788,MATCH("共済負担金等|L|30",月例!$T$5:$T$788,0)),"")</f>
        <v/>
      </c>
      <c r="Q86" s="826" t="str">
        <f>IFERROR(INDEX(月例!$E$5:$E$788,MATCH("共済負担金等|L|30",月例!$T$5:$T$788,0)),"")</f>
        <v/>
      </c>
      <c r="R86" s="830" t="str">
        <f>IFERROR(INDEX(月例!$R$5:$R$788,MATCH("共済負担金等|L|30",月例!$T$5:$T$788,0)),"")</f>
        <v/>
      </c>
      <c r="S86" s="831" t="str">
        <f>IF(R86="","",S85+R86)</f>
        <v/>
      </c>
      <c r="T86" s="829" t="str">
        <f>IFERROR(INDEX(月例!$P$5:$P$788,MATCH("共済負担金等|L|30",月例!$T$5:$T$788,0)),"")</f>
        <v/>
      </c>
    </row>
    <row r="87" ht="25.5" customHeight="1" s="186">
      <c r="A87" s="825" t="str">
        <f>IFERROR(INDEX(月例!$A$5:$A$788,MATCH("旅費|L|31",月例!$T$5:$T$788,0)),"")</f>
        <v/>
      </c>
      <c r="B87" s="826" t="str">
        <f>IFERROR(INDEX(月例!$E$5:$E$788,MATCH("旅費|L|31",月例!$T$5:$T$788,0)),"")</f>
        <v/>
      </c>
      <c r="C87" s="830" t="str">
        <f>IFERROR(INDEX(月例!$R$5:$R$788,MATCH("旅費|L|31",月例!$T$5:$T$788,0)),"")</f>
        <v/>
      </c>
      <c r="D87" s="831" t="str">
        <f>IF(C87="","",D86-C87)</f>
        <v/>
      </c>
      <c r="E87" s="829" t="str">
        <f>IFERROR(INDEX(月例!$P$5:$P$788,MATCH("旅費|L|31",月例!$T$5:$T$788,0)),"")</f>
        <v/>
      </c>
      <c r="F87" s="825" t="str">
        <f>IFERROR(INDEX(月例!$A$5:$A$788,MATCH("賃借料|L|31",月例!$T$5:$T$788,0)),"")</f>
        <v/>
      </c>
      <c r="G87" s="826" t="str">
        <f>IFERROR(INDEX(月例!$E$5:$E$788,MATCH("賃借料|L|31",月例!$T$5:$T$788,0)),"")</f>
        <v/>
      </c>
      <c r="H87" s="830" t="str">
        <f>IFERROR(INDEX(月例!$R$5:$R$788,MATCH("賃借料|L|31",月例!$T$5:$T$788,0)),"")</f>
        <v/>
      </c>
      <c r="I87" s="831" t="str">
        <f>IF(H87="","",I86-H87)</f>
        <v/>
      </c>
      <c r="J87" s="829" t="str">
        <f>IFERROR(INDEX(月例!$P$5:$P$788,MATCH("賃借料|L|31",月例!$T$5:$T$788,0)),"")</f>
        <v/>
      </c>
      <c r="K87" s="825" t="str">
        <f>IFERROR(INDEX(月例!$A$5:$A$788,MATCH("非常勤職員手当|L|31",月例!$T$5:$T$788,0)),"")</f>
        <v/>
      </c>
      <c r="L87" s="826" t="str">
        <f>IFERROR(INDEX(月例!$E$5:$E$788,MATCH("非常勤職員手当|L|31",月例!$T$5:$T$788,0)),"")</f>
        <v/>
      </c>
      <c r="M87" s="830" t="str">
        <f>IFERROR(INDEX(月例!$R$5:$R$788,MATCH("非常勤職員手当|L|31",月例!$T$5:$T$788,0)),"")</f>
        <v/>
      </c>
      <c r="N87" s="831" t="str">
        <f>IF(M87="","",N86-M87)</f>
        <v/>
      </c>
      <c r="O87" s="829" t="str">
        <f>IFERROR(INDEX(月例!$P$5:$P$788,MATCH("非常勤職員手当|L|31",月例!$T$5:$T$788,0)),"")</f>
        <v/>
      </c>
      <c r="P87" s="825" t="str">
        <f>IFERROR(INDEX(月例!$A$5:$A$788,MATCH("共済負担金等|L|31",月例!$T$5:$T$788,0)),"")</f>
        <v/>
      </c>
      <c r="Q87" s="826" t="str">
        <f>IFERROR(INDEX(月例!$E$5:$E$788,MATCH("共済負担金等|L|31",月例!$T$5:$T$788,0)),"")</f>
        <v/>
      </c>
      <c r="R87" s="830" t="str">
        <f>IFERROR(INDEX(月例!$R$5:$R$788,MATCH("共済負担金等|L|31",月例!$T$5:$T$788,0)),"")</f>
        <v/>
      </c>
      <c r="S87" s="831" t="str">
        <f>IF(R87="","",S86+R87)</f>
        <v/>
      </c>
      <c r="T87" s="829" t="str">
        <f>IFERROR(INDEX(月例!$P$5:$P$788,MATCH("共済負担金等|L|31",月例!$T$5:$T$788,0)),"")</f>
        <v/>
      </c>
    </row>
    <row r="88" ht="25.5" customHeight="1" s="186">
      <c r="A88" s="825" t="str">
        <f>IFERROR(INDEX(月例!$A$5:$A$788,MATCH("旅費|L|32",月例!$T$5:$T$788,0)),"")</f>
        <v/>
      </c>
      <c r="B88" s="826" t="str">
        <f>IFERROR(INDEX(月例!$E$5:$E$788,MATCH("旅費|L|32",月例!$T$5:$T$788,0)),"")</f>
        <v/>
      </c>
      <c r="C88" s="830" t="str">
        <f>IFERROR(INDEX(月例!$R$5:$R$788,MATCH("旅費|L|32",月例!$T$5:$T$788,0)),"")</f>
        <v/>
      </c>
      <c r="D88" s="831" t="str">
        <f>IF(C88="","",D87-C88)</f>
        <v/>
      </c>
      <c r="E88" s="829" t="str">
        <f>IFERROR(INDEX(月例!$P$5:$P$788,MATCH("旅費|L|32",月例!$T$5:$T$788,0)),"")</f>
        <v/>
      </c>
      <c r="F88" s="825" t="str">
        <f>IFERROR(INDEX(月例!$A$5:$A$788,MATCH("賃借料|L|32",月例!$T$5:$T$788,0)),"")</f>
        <v/>
      </c>
      <c r="G88" s="826" t="str">
        <f>IFERROR(INDEX(月例!$E$5:$E$788,MATCH("賃借料|L|32",月例!$T$5:$T$788,0)),"")</f>
        <v/>
      </c>
      <c r="H88" s="830" t="str">
        <f>IFERROR(INDEX(月例!$R$5:$R$788,MATCH("賃借料|L|32",月例!$T$5:$T$788,0)),"")</f>
        <v/>
      </c>
      <c r="I88" s="831" t="str">
        <f>IF(H88="","",I87-H88)</f>
        <v/>
      </c>
      <c r="J88" s="829" t="str">
        <f>IFERROR(INDEX(月例!$P$5:$P$788,MATCH("賃借料|L|32",月例!$T$5:$T$788,0)),"")</f>
        <v/>
      </c>
      <c r="K88" s="825" t="str">
        <f>IFERROR(INDEX(月例!$A$5:$A$788,MATCH("非常勤職員手当|L|32",月例!$T$5:$T$788,0)),"")</f>
        <v/>
      </c>
      <c r="L88" s="826" t="str">
        <f>IFERROR(INDEX(月例!$E$5:$E$788,MATCH("非常勤職員手当|L|32",月例!$T$5:$T$788,0)),"")</f>
        <v/>
      </c>
      <c r="M88" s="830" t="str">
        <f>IFERROR(INDEX(月例!$R$5:$R$788,MATCH("非常勤職員手当|L|32",月例!$T$5:$T$788,0)),"")</f>
        <v/>
      </c>
      <c r="N88" s="831" t="str">
        <f>IF(M88="","",N87-M88)</f>
        <v/>
      </c>
      <c r="O88" s="829" t="str">
        <f>IFERROR(INDEX(月例!$P$5:$P$788,MATCH("非常勤職員手当|L|32",月例!$T$5:$T$788,0)),"")</f>
        <v/>
      </c>
      <c r="P88" s="825" t="str">
        <f>IFERROR(INDEX(月例!$A$5:$A$788,MATCH("共済負担金等|L|32",月例!$T$5:$T$788,0)),"")</f>
        <v/>
      </c>
      <c r="Q88" s="826" t="str">
        <f>IFERROR(INDEX(月例!$E$5:$E$788,MATCH("共済負担金等|L|32",月例!$T$5:$T$788,0)),"")</f>
        <v/>
      </c>
      <c r="R88" s="830" t="str">
        <f>IFERROR(INDEX(月例!$R$5:$R$788,MATCH("共済負担金等|L|32",月例!$T$5:$T$788,0)),"")</f>
        <v/>
      </c>
      <c r="S88" s="831" t="str">
        <f>IF(R88="","",S87+R88)</f>
        <v/>
      </c>
      <c r="T88" s="829" t="str">
        <f>IFERROR(INDEX(月例!$P$5:$P$788,MATCH("共済負担金等|L|32",月例!$T$5:$T$788,0)),"")</f>
        <v/>
      </c>
    </row>
    <row r="89" ht="25.5" customHeight="1" s="186">
      <c r="A89" s="825" t="str">
        <f>IFERROR(INDEX(月例!$A$5:$A$788,MATCH("旅費|L|33",月例!$T$5:$T$788,0)),"")</f>
        <v/>
      </c>
      <c r="B89" s="826" t="str">
        <f>IFERROR(INDEX(月例!$E$5:$E$788,MATCH("旅費|L|33",月例!$T$5:$T$788,0)),"")</f>
        <v/>
      </c>
      <c r="C89" s="830" t="str">
        <f>IFERROR(INDEX(月例!$R$5:$R$788,MATCH("旅費|L|33",月例!$T$5:$T$788,0)),"")</f>
        <v/>
      </c>
      <c r="D89" s="831" t="str">
        <f>IF(C89="","",D88-C89)</f>
        <v/>
      </c>
      <c r="E89" s="829" t="str">
        <f>IFERROR(INDEX(月例!$P$5:$P$788,MATCH("旅費|L|33",月例!$T$5:$T$788,0)),"")</f>
        <v/>
      </c>
      <c r="F89" s="825" t="str">
        <f>IFERROR(INDEX(月例!$A$5:$A$788,MATCH("賃借料|L|33",月例!$T$5:$T$788,0)),"")</f>
        <v/>
      </c>
      <c r="G89" s="826" t="str">
        <f>IFERROR(INDEX(月例!$E$5:$E$788,MATCH("賃借料|L|33",月例!$T$5:$T$788,0)),"")</f>
        <v/>
      </c>
      <c r="H89" s="830" t="str">
        <f>IFERROR(INDEX(月例!$R$5:$R$788,MATCH("賃借料|L|33",月例!$T$5:$T$788,0)),"")</f>
        <v/>
      </c>
      <c r="I89" s="831" t="str">
        <f>IF(H89="","",I88-H89)</f>
        <v/>
      </c>
      <c r="J89" s="829" t="str">
        <f>IFERROR(INDEX(月例!$P$5:$P$788,MATCH("賃借料|L|33",月例!$T$5:$T$788,0)),"")</f>
        <v/>
      </c>
      <c r="K89" s="825" t="str">
        <f>IFERROR(INDEX(月例!$A$5:$A$788,MATCH("非常勤職員手当|L|33",月例!$T$5:$T$788,0)),"")</f>
        <v/>
      </c>
      <c r="L89" s="826" t="str">
        <f>IFERROR(INDEX(月例!$E$5:$E$788,MATCH("非常勤職員手当|L|33",月例!$T$5:$T$788,0)),"")</f>
        <v/>
      </c>
      <c r="M89" s="830" t="str">
        <f>IFERROR(INDEX(月例!$R$5:$R$788,MATCH("非常勤職員手当|L|33",月例!$T$5:$T$788,0)),"")</f>
        <v/>
      </c>
      <c r="N89" s="831" t="str">
        <f>IF(M89="","",N88-M89)</f>
        <v/>
      </c>
      <c r="O89" s="829" t="str">
        <f>IFERROR(INDEX(月例!$P$5:$P$788,MATCH("非常勤職員手当|L|33",月例!$T$5:$T$788,0)),"")</f>
        <v/>
      </c>
      <c r="P89" s="825" t="str">
        <f>IFERROR(INDEX(月例!$A$5:$A$788,MATCH("共済負担金等|L|33",月例!$T$5:$T$788,0)),"")</f>
        <v/>
      </c>
      <c r="Q89" s="826" t="str">
        <f>IFERROR(INDEX(月例!$E$5:$E$788,MATCH("共済負担金等|L|33",月例!$T$5:$T$788,0)),"")</f>
        <v/>
      </c>
      <c r="R89" s="830" t="str">
        <f>IFERROR(INDEX(月例!$R$5:$R$788,MATCH("共済負担金等|L|33",月例!$T$5:$T$788,0)),"")</f>
        <v/>
      </c>
      <c r="S89" s="831" t="str">
        <f>IF(R89="","",S88+R89)</f>
        <v/>
      </c>
      <c r="T89" s="829" t="str">
        <f>IFERROR(INDEX(月例!$P$5:$P$788,MATCH("共済負担金等|L|33",月例!$T$5:$T$788,0)),"")</f>
        <v/>
      </c>
    </row>
    <row r="90" ht="25.5" customHeight="1" s="186">
      <c r="A90" s="825" t="str">
        <f>IFERROR(INDEX(月例!$A$5:$A$788,MATCH("旅費|L|34",月例!$T$5:$T$788,0)),"")</f>
        <v/>
      </c>
      <c r="B90" s="826" t="str">
        <f>IFERROR(INDEX(月例!$E$5:$E$788,MATCH("旅費|L|34",月例!$T$5:$T$788,0)),"")</f>
        <v/>
      </c>
      <c r="C90" s="830" t="str">
        <f>IFERROR(INDEX(月例!$R$5:$R$788,MATCH("旅費|L|34",月例!$T$5:$T$788,0)),"")</f>
        <v/>
      </c>
      <c r="D90" s="831" t="str">
        <f>IF(C90="","",D89-C90)</f>
        <v/>
      </c>
      <c r="E90" s="829" t="str">
        <f>IFERROR(INDEX(月例!$P$5:$P$788,MATCH("旅費|L|34",月例!$T$5:$T$788,0)),"")</f>
        <v/>
      </c>
      <c r="F90" s="825" t="str">
        <f>IFERROR(INDEX(月例!$A$5:$A$788,MATCH("賃借料|L|34",月例!$T$5:$T$788,0)),"")</f>
        <v/>
      </c>
      <c r="G90" s="826" t="str">
        <f>IFERROR(INDEX(月例!$E$5:$E$788,MATCH("賃借料|L|34",月例!$T$5:$T$788,0)),"")</f>
        <v/>
      </c>
      <c r="H90" s="830" t="str">
        <f>IFERROR(INDEX(月例!$R$5:$R$788,MATCH("賃借料|L|34",月例!$T$5:$T$788,0)),"")</f>
        <v/>
      </c>
      <c r="I90" s="831" t="str">
        <f>IF(H90="","",I89-H90)</f>
        <v/>
      </c>
      <c r="J90" s="829" t="str">
        <f>IFERROR(INDEX(月例!$P$5:$P$788,MATCH("賃借料|L|34",月例!$T$5:$T$788,0)),"")</f>
        <v/>
      </c>
      <c r="K90" s="825" t="str">
        <f>IFERROR(INDEX(月例!$A$5:$A$788,MATCH("非常勤職員手当|L|34",月例!$T$5:$T$788,0)),"")</f>
        <v/>
      </c>
      <c r="L90" s="826" t="str">
        <f>IFERROR(INDEX(月例!$E$5:$E$788,MATCH("非常勤職員手当|L|34",月例!$T$5:$T$788,0)),"")</f>
        <v/>
      </c>
      <c r="M90" s="830" t="str">
        <f>IFERROR(INDEX(月例!$R$5:$R$788,MATCH("非常勤職員手当|L|34",月例!$T$5:$T$788,0)),"")</f>
        <v/>
      </c>
      <c r="N90" s="831" t="str">
        <f>IF(M90="","",N89-M90)</f>
        <v/>
      </c>
      <c r="O90" s="829" t="str">
        <f>IFERROR(INDEX(月例!$P$5:$P$788,MATCH("非常勤職員手当|L|34",月例!$T$5:$T$788,0)),"")</f>
        <v/>
      </c>
    </row>
    <row r="91" ht="25.5" customHeight="1" s="186">
      <c r="A91" s="825" t="str">
        <f>IFERROR(INDEX(月例!$A$5:$A$788,MATCH("旅費|L|35",月例!$T$5:$T$788,0)),"")</f>
        <v/>
      </c>
      <c r="B91" s="826" t="str">
        <f>IFERROR(INDEX(月例!$E$5:$E$788,MATCH("旅費|L|35",月例!$T$5:$T$788,0)),"")</f>
        <v/>
      </c>
      <c r="C91" s="830" t="str">
        <f>IFERROR(INDEX(月例!$R$5:$R$788,MATCH("旅費|L|35",月例!$T$5:$T$788,0)),"")</f>
        <v/>
      </c>
      <c r="D91" s="831" t="str">
        <f>IF(C91="","",D90-C91)</f>
        <v/>
      </c>
      <c r="E91" s="829" t="str">
        <f>IFERROR(INDEX(月例!$P$5:$P$788,MATCH("旅費|L|35",月例!$T$5:$T$788,0)),"")</f>
        <v/>
      </c>
      <c r="F91" s="825" t="str">
        <f>IFERROR(INDEX(月例!$A$5:$A$788,MATCH("賃借料|L|35",月例!$T$5:$T$788,0)),"")</f>
        <v/>
      </c>
      <c r="G91" s="826" t="str">
        <f>IFERROR(INDEX(月例!$E$5:$E$788,MATCH("賃借料|L|35",月例!$T$5:$T$788,0)),"")</f>
        <v/>
      </c>
      <c r="H91" s="830" t="str">
        <f>IFERROR(INDEX(月例!$R$5:$R$788,MATCH("賃借料|L|35",月例!$T$5:$T$788,0)),"")</f>
        <v/>
      </c>
      <c r="I91" s="831" t="str">
        <f>IF(H91="","",I90-H91)</f>
        <v/>
      </c>
      <c r="J91" s="829" t="str">
        <f>IFERROR(INDEX(月例!$P$5:$P$788,MATCH("賃借料|L|35",月例!$T$5:$T$788,0)),"")</f>
        <v/>
      </c>
      <c r="K91" s="825" t="str">
        <f>IFERROR(INDEX(月例!$A$5:$A$788,MATCH("非常勤職員手当|L|35",月例!$T$5:$T$788,0)),"")</f>
        <v/>
      </c>
      <c r="L91" s="826" t="str">
        <f>IFERROR(INDEX(月例!$E$5:$E$788,MATCH("非常勤職員手当|L|35",月例!$T$5:$T$788,0)),"")</f>
        <v/>
      </c>
      <c r="M91" s="830" t="str">
        <f>IFERROR(INDEX(月例!$R$5:$R$788,MATCH("非常勤職員手当|L|35",月例!$T$5:$T$788,0)),"")</f>
        <v/>
      </c>
      <c r="N91" s="831" t="str">
        <f>IF(M91="","",N90-M91)</f>
        <v/>
      </c>
      <c r="O91" s="829" t="str">
        <f>IFERROR(INDEX(月例!$P$5:$P$788,MATCH("非常勤職員手当|L|35",月例!$T$5:$T$788,0)),"")</f>
        <v/>
      </c>
    </row>
    <row r="92" ht="25.5" customHeight="1" s="186">
      <c r="A92" s="825" t="str">
        <f>IFERROR(INDEX(月例!$A$5:$A$788,MATCH("旅費|L|36",月例!$T$5:$T$788,0)),"")</f>
        <v/>
      </c>
      <c r="B92" s="826" t="str">
        <f>IFERROR(INDEX(月例!$E$5:$E$788,MATCH("旅費|L|36",月例!$T$5:$T$788,0)),"")</f>
        <v/>
      </c>
      <c r="C92" s="830" t="str">
        <f>IFERROR(INDEX(月例!$R$5:$R$788,MATCH("旅費|L|36",月例!$T$5:$T$788,0)),"")</f>
        <v/>
      </c>
      <c r="D92" s="831" t="str">
        <f>IF(C92="","",D91-C92)</f>
        <v/>
      </c>
      <c r="E92" s="829" t="str">
        <f>IFERROR(INDEX(月例!$P$5:$P$788,MATCH("旅費|L|36",月例!$T$5:$T$788,0)),"")</f>
        <v/>
      </c>
      <c r="F92" s="825" t="str">
        <f>IFERROR(INDEX(月例!$A$5:$A$788,MATCH("賃借料|L|36",月例!$T$5:$T$788,0)),"")</f>
        <v/>
      </c>
      <c r="G92" s="826" t="str">
        <f>IFERROR(INDEX(月例!$E$5:$E$788,MATCH("賃借料|L|36",月例!$T$5:$T$788,0)),"")</f>
        <v/>
      </c>
      <c r="H92" s="830" t="str">
        <f>IFERROR(INDEX(月例!$R$5:$R$788,MATCH("賃借料|L|36",月例!$T$5:$T$788,0)),"")</f>
        <v/>
      </c>
      <c r="I92" s="831" t="str">
        <f>IF(H92="","",I91-H92)</f>
        <v/>
      </c>
      <c r="J92" s="829" t="str">
        <f>IFERROR(INDEX(月例!$P$5:$P$788,MATCH("賃借料|L|36",月例!$T$5:$T$788,0)),"")</f>
        <v/>
      </c>
      <c r="K92" s="825" t="str">
        <f>IFERROR(INDEX(月例!$A$5:$A$788,MATCH("非常勤職員手当|L|36",月例!$T$5:$T$788,0)),"")</f>
        <v/>
      </c>
      <c r="L92" s="826" t="str">
        <f>IFERROR(INDEX(月例!$E$5:$E$788,MATCH("非常勤職員手当|L|36",月例!$T$5:$T$788,0)),"")</f>
        <v/>
      </c>
      <c r="M92" s="830" t="str">
        <f>IFERROR(INDEX(月例!$R$5:$R$788,MATCH("非常勤職員手当|L|36",月例!$T$5:$T$788,0)),"")</f>
        <v/>
      </c>
      <c r="N92" s="831" t="str">
        <f>IF(M92="","",N91-M92)</f>
        <v/>
      </c>
      <c r="O92" s="829" t="str">
        <f>IFERROR(INDEX(月例!$P$5:$P$788,MATCH("非常勤職員手当|L|36",月例!$T$5:$T$788,0)),"")</f>
        <v/>
      </c>
    </row>
    <row r="93" ht="25.5" customHeight="1" s="186">
      <c r="A93" s="825" t="str">
        <f>IFERROR(INDEX(月例!$A$5:$A$788,MATCH("旅費|L|37",月例!$T$5:$T$788,0)),"")</f>
        <v/>
      </c>
      <c r="B93" s="826" t="str">
        <f>IFERROR(INDEX(月例!$E$5:$E$788,MATCH("旅費|L|37",月例!$T$5:$T$788,0)),"")</f>
        <v/>
      </c>
      <c r="C93" s="830" t="str">
        <f>IFERROR(INDEX(月例!$R$5:$R$788,MATCH("旅費|L|37",月例!$T$5:$T$788,0)),"")</f>
        <v/>
      </c>
      <c r="D93" s="831" t="str">
        <f>IF(C93="","",D92-C93)</f>
        <v/>
      </c>
      <c r="E93" s="829" t="str">
        <f>IFERROR(INDEX(月例!$P$5:$P$788,MATCH("旅費|L|37",月例!$T$5:$T$788,0)),"")</f>
        <v/>
      </c>
    </row>
    <row r="94" ht="25.5" customHeight="1" s="186"/>
    <row r="95" ht="25.5" customHeight="1" s="186"/>
    <row r="96" ht="25.5" customHeight="1" s="186"/>
    <row r="97">
      <c r="B97" s="502" t="inlineStr">
        <is>
          <t>○負担金  互助会費</t>
        </is>
      </c>
      <c r="D97" s="93" t="inlineStr">
        <is>
          <t>業務（長）</t>
        </is>
      </c>
      <c r="E97" s="824" t="str">
        <f>IF(COUNTIF(月例!$T$5:$T$788,"互助会費|L|*")&gt;28,"行不足","")</f>
        <v/>
      </c>
      <c r="G97" s="502" t="inlineStr">
        <is>
          <t>○事務費  送金料</t>
        </is>
      </c>
      <c r="I97" s="93" t="inlineStr">
        <is>
          <t>業務（長）</t>
        </is>
      </c>
      <c r="J97" s="824" t="str">
        <f>IF(COUNTIF(月例!$T$5:$T$788,"送金料|L|*")&gt;27,"行不足","")</f>
        <v/>
      </c>
      <c r="L97" s="502" t="inlineStr">
        <is>
          <t>○事務費負担金払込金</t>
        </is>
      </c>
      <c r="N97" s="93" t="inlineStr">
        <is>
          <t>業務（長）</t>
        </is>
      </c>
      <c r="O97" s="824" t="str">
        <f>IF(COUNTIF(月例!$T$5:$T$788,"事務費負担金払込金|L|*")&gt;25,"行不足","")</f>
        <v/>
      </c>
      <c r="Q97" s="502" t="inlineStr">
        <is>
          <t>○負担金  厚年負担金等</t>
        </is>
      </c>
      <c r="S97" s="93" t="inlineStr">
        <is>
          <t>業務（長）</t>
        </is>
      </c>
      <c r="T97" s="824" t="str">
        <f>IF(COUNTIF(月例!$T$5:$T$788,"厚年負担金等|L|*")&gt;23,"行不足","")</f>
        <v/>
      </c>
    </row>
    <row r="98">
      <c r="A98" s="100" t="inlineStr">
        <is>
          <t>支出日</t>
        </is>
      </c>
      <c r="B98" s="100" t="inlineStr">
        <is>
          <t>摘要</t>
        </is>
      </c>
      <c r="C98" s="100" t="inlineStr">
        <is>
          <t>支出</t>
        </is>
      </c>
      <c r="D98" s="100" t="inlineStr">
        <is>
          <t>残額</t>
        </is>
      </c>
      <c r="E98" s="100" t="inlineStr">
        <is>
          <t>状態</t>
        </is>
      </c>
      <c r="F98" s="100" t="inlineStr">
        <is>
          <t>支出日</t>
        </is>
      </c>
      <c r="G98" s="100" t="inlineStr">
        <is>
          <t>摘要</t>
        </is>
      </c>
      <c r="H98" s="100" t="inlineStr">
        <is>
          <t>支出</t>
        </is>
      </c>
      <c r="I98" s="100" t="inlineStr">
        <is>
          <t>残額</t>
        </is>
      </c>
      <c r="J98" s="100" t="inlineStr">
        <is>
          <t>状態</t>
        </is>
      </c>
      <c r="K98" s="100" t="inlineStr">
        <is>
          <t>支出日</t>
        </is>
      </c>
      <c r="L98" s="100" t="inlineStr">
        <is>
          <t>摘要</t>
        </is>
      </c>
      <c r="M98" s="100" t="inlineStr">
        <is>
          <t>支出</t>
        </is>
      </c>
      <c r="N98" s="100" t="inlineStr">
        <is>
          <t>残額</t>
        </is>
      </c>
      <c r="O98" s="100" t="inlineStr">
        <is>
          <t>状態</t>
        </is>
      </c>
      <c r="P98" s="100" t="inlineStr">
        <is>
          <t>支出日</t>
        </is>
      </c>
      <c r="Q98" s="100" t="inlineStr">
        <is>
          <t>摘要</t>
        </is>
      </c>
      <c r="R98" s="100" t="inlineStr">
        <is>
          <t>支出</t>
        </is>
      </c>
      <c r="S98" s="100" t="inlineStr">
        <is>
          <t>累計</t>
        </is>
      </c>
      <c r="T98" s="100" t="inlineStr">
        <is>
          <t>状態</t>
        </is>
      </c>
    </row>
    <row r="99">
      <c r="A99" s="825" t="n"/>
      <c r="B99" s="826" t="inlineStr">
        <is>
          <t>予算現額</t>
        </is>
      </c>
      <c r="C99" s="830" t="n"/>
      <c r="D99" s="831">
        <f>'R7業務（長）'!$S$27</f>
        <v>1155000</v>
      </c>
      <c r="F99" s="825" t="n"/>
      <c r="G99" s="826" t="inlineStr">
        <is>
          <t>予算現額</t>
        </is>
      </c>
      <c r="H99" s="830" t="n"/>
      <c r="I99" s="831">
        <f>'R7業務（長）'!$S$14</f>
        <v>249000</v>
      </c>
      <c r="K99" s="825" t="n"/>
      <c r="L99" s="826" t="inlineStr">
        <is>
          <t>予算現額</t>
        </is>
      </c>
      <c r="M99" s="830" t="n"/>
      <c r="N99" s="831">
        <f>'R7業務（長）'!$S$35</f>
        <v>64386000</v>
      </c>
      <c r="P99" s="825" t="n"/>
      <c r="Q99" s="826" t="inlineStr">
        <is>
          <t>（予算なし）</t>
        </is>
      </c>
      <c r="R99" s="830" t="n"/>
      <c r="S99" s="831" t="n">
        <v>0</v>
      </c>
    </row>
    <row r="100" ht="25.5" customHeight="1" s="186">
      <c r="A100" s="825">
        <f>IFERROR(INDEX(月例!$A$5:$A$788,MATCH("互助会費|L|1",月例!$T$5:$T$788,0)),"")</f>
        <v>46133</v>
      </c>
      <c r="B100" s="826" t="str">
        <f>IFERROR(INDEX(月例!$E$5:$E$788,MATCH("互助会費|L|1",月例!$T$5:$T$788,0)),"")</f>
        <v>助成金（４月長期分）</v>
      </c>
      <c r="C100" s="830">
        <f>IFERROR(INDEX(月例!$R$5:$R$788,MATCH("互助会費|L|1",月例!$T$5:$T$788,0)),"")</f>
        <v>466</v>
      </c>
      <c r="D100" s="831">
        <f>IF(C100="","",D99-C100)</f>
        <v>1154534</v>
      </c>
      <c r="E100" s="829" t="str">
        <f>IFERROR(INDEX(月例!$P$5:$P$788,MATCH("互助会費|L|1",月例!$T$5:$T$788,0)),"")</f>
        <v>確認済</v>
      </c>
      <c r="F100" s="825">
        <f>IFERROR(INDEX(月例!$A$5:$A$788,MATCH("送金料|L|1",月例!$T$5:$T$788,0)),"")</f>
        <v>46153</v>
      </c>
      <c r="G100" s="826" t="str">
        <f>IFERROR(INDEX(月例!$E$5:$E$788,MATCH("送金料|L|1",月例!$T$5:$T$788,0)),"")</f>
        <v>振込手数料（広銀）４月分　長期分</v>
      </c>
      <c r="H100" s="830">
        <f>IFERROR(INDEX(月例!$R$5:$R$788,MATCH("送金料|L|1",月例!$T$5:$T$788,0)),"")</f>
        <v>18493</v>
      </c>
      <c r="I100" s="831">
        <f>IF(H100="","",I99-H100)</f>
        <v>230507</v>
      </c>
      <c r="J100" s="829" t="str">
        <f>IFERROR(INDEX(月例!$P$5:$P$788,MATCH("送金料|L|1",月例!$T$5:$T$788,0)),"")</f>
        <v>確認済</v>
      </c>
      <c r="K100" s="825">
        <f>IFERROR(INDEX(月例!$A$5:$A$788,MATCH("事務費負担金払込金|L|1",月例!$T$5:$T$788,0)),"")</f>
        <v>46154</v>
      </c>
      <c r="L100" s="826" t="str">
        <f>IFERROR(INDEX(月例!$E$5:$E$788,MATCH("事務費負担金払込金|L|1",月例!$T$5:$T$788,0)),"")</f>
        <v>４月分事務費負担金払込金と連合会交付金との相殺</v>
      </c>
      <c r="M100" s="830">
        <f>IFERROR(INDEX(月例!$R$5:$R$788,MATCH("事務費負担金払込金|L|1",月例!$T$5:$T$788,0)),"")</f>
        <v>5366000</v>
      </c>
      <c r="N100" s="831">
        <f>IF(M100="","",N99-M100)</f>
        <v>59020000</v>
      </c>
      <c r="O100" s="829" t="str">
        <f>IFERROR(INDEX(月例!$P$5:$P$788,MATCH("事務費負担金払込金|L|1",月例!$T$5:$T$788,0)),"")</f>
        <v>確認済</v>
      </c>
      <c r="P100" s="825">
        <f>IFERROR(INDEX(月例!$A$5:$A$788,MATCH("厚年負担金等|L|1",月例!$T$5:$T$788,0)),"")</f>
        <v>46174</v>
      </c>
      <c r="Q100" s="826" t="str">
        <f>IFERROR(INDEX(月例!$E$5:$E$788,MATCH("厚年負担金等|L|1",月例!$T$5:$T$788,0)),"")</f>
        <v>４月月例分（長期分）子ども子育て拠出金を含む</v>
      </c>
      <c r="R100" s="830">
        <f>IFERROR(INDEX(月例!$R$5:$R$788,MATCH("厚年負担金等|L|1",月例!$T$5:$T$788,0)),"")</f>
        <v>37089</v>
      </c>
      <c r="S100" s="831">
        <f>IF(R100="","",S99+R100)</f>
        <v>37089</v>
      </c>
      <c r="T100" s="829" t="str">
        <f>IFERROR(INDEX(月例!$P$5:$P$788,MATCH("厚年負担金等|L|1",月例!$T$5:$T$788,0)),"")</f>
        <v>確認済</v>
      </c>
    </row>
    <row r="101">
      <c r="A101" s="825">
        <f>IFERROR(INDEX(月例!$A$5:$A$788,MATCH("互助会費|L|2",月例!$T$5:$T$788,0)),"")</f>
        <v>46163</v>
      </c>
      <c r="B101" s="826" t="str">
        <f>IFERROR(INDEX(月例!$E$5:$E$788,MATCH("互助会費|L|2",月例!$T$5:$T$788,0)),"")</f>
        <v>助成金（５月長期分）</v>
      </c>
      <c r="C101" s="830">
        <f>IFERROR(INDEX(月例!$R$5:$R$788,MATCH("互助会費|L|2",月例!$T$5:$T$788,0)),"")</f>
        <v>466</v>
      </c>
      <c r="D101" s="831">
        <f>IF(C101="","",D100-C101)</f>
        <v>1154068</v>
      </c>
      <c r="E101" s="829" t="str">
        <f>IFERROR(INDEX(月例!$P$5:$P$788,MATCH("互助会費|L|2",月例!$T$5:$T$788,0)),"")</f>
        <v>確認済</v>
      </c>
      <c r="F101" s="825">
        <f>IFERROR(INDEX(月例!$A$5:$A$788,MATCH("送金料|L|2",月例!$T$5:$T$788,0)),"")</f>
        <v>46183</v>
      </c>
      <c r="G101" s="826" t="str">
        <f>IFERROR(INDEX(月例!$E$5:$E$788,MATCH("送金料|L|2",月例!$T$5:$T$788,0)),"")</f>
        <v>振込手数料（広銀）５月分　長期分</v>
      </c>
      <c r="H101" s="830">
        <f>IFERROR(INDEX(月例!$R$5:$R$788,MATCH("送金料|L|2",月例!$T$5:$T$788,0)),"")</f>
        <v>12725</v>
      </c>
      <c r="I101" s="831">
        <f>IF(H101="","",I100-H101)</f>
        <v>217782</v>
      </c>
      <c r="J101" s="829" t="str">
        <f>IFERROR(INDEX(月例!$P$5:$P$788,MATCH("送金料|L|2",月例!$T$5:$T$788,0)),"")</f>
        <v>確認済</v>
      </c>
      <c r="K101" s="825">
        <f>IFERROR(INDEX(月例!$A$5:$A$788,MATCH("事務費負担金払込金|L|2",月例!$T$5:$T$788,0)),"")</f>
        <v>46178</v>
      </c>
      <c r="L101" s="826" t="str">
        <f>IFERROR(INDEX(月例!$E$5:$E$788,MATCH("事務費負担金払込金|L|2",月例!$T$5:$T$788,0)),"")</f>
        <v>５月分事務費負担金払込金と連合会交付金との相殺</v>
      </c>
      <c r="M101" s="830">
        <f>IFERROR(INDEX(月例!$R$5:$R$788,MATCH("事務費負担金払込金|L|2",月例!$T$5:$T$788,0)),"")</f>
        <v>5366000</v>
      </c>
      <c r="N101" s="831">
        <f>IF(M101="","",N100-M101)</f>
        <v>53654000</v>
      </c>
      <c r="O101" s="829" t="str">
        <f>IFERROR(INDEX(月例!$P$5:$P$788,MATCH("事務費負担金払込金|L|2",月例!$T$5:$T$788,0)),"")</f>
        <v>確認済</v>
      </c>
      <c r="P101" s="825">
        <f>IFERROR(INDEX(月例!$A$5:$A$788,MATCH("厚年負担金等|L|2",月例!$T$5:$T$788,0)),"")</f>
        <v>46203</v>
      </c>
      <c r="Q101" s="826" t="str">
        <f>IFERROR(INDEX(月例!$E$5:$E$788,MATCH("厚年負担金等|L|2",月例!$T$5:$T$788,0)),"")</f>
        <v>５月月例分（長期分）子ども子育て拠出金を含む</v>
      </c>
      <c r="R101" s="830">
        <f>IFERROR(INDEX(月例!$R$5:$R$788,MATCH("厚年負担金等|L|2",月例!$T$5:$T$788,0)),"")</f>
        <v>37089</v>
      </c>
      <c r="S101" s="831">
        <f>IF(R101="","",S100+R101)</f>
        <v>74178</v>
      </c>
      <c r="T101" s="829" t="str">
        <f>IFERROR(INDEX(月例!$P$5:$P$788,MATCH("厚年負担金等|L|2",月例!$T$5:$T$788,0)),"")</f>
        <v>確認済</v>
      </c>
    </row>
    <row r="102">
      <c r="A102" s="825">
        <f>IFERROR(INDEX(月例!$A$5:$A$788,MATCH("互助会費|L|3",月例!$T$5:$T$788,0)),"")</f>
        <v>46192</v>
      </c>
      <c r="B102" s="826" t="str">
        <f>IFERROR(INDEX(月例!$E$5:$E$788,MATCH("互助会費|L|3",月例!$T$5:$T$788,0)),"")</f>
        <v>助成金（６月長期分）</v>
      </c>
      <c r="C102" s="830">
        <f>IFERROR(INDEX(月例!$R$5:$R$788,MATCH("互助会費|L|3",月例!$T$5:$T$788,0)),"")</f>
        <v>466</v>
      </c>
      <c r="D102" s="831">
        <f>IF(C102="","",D101-C102)</f>
        <v>1153602</v>
      </c>
      <c r="E102" s="829" t="str">
        <f>IFERROR(INDEX(月例!$P$5:$P$788,MATCH("互助会費|L|3",月例!$T$5:$T$788,0)),"")</f>
        <v>確認済</v>
      </c>
      <c r="F102" s="825">
        <f>IFERROR(INDEX(月例!$A$5:$A$788,MATCH("送金料|L|3",月例!$T$5:$T$788,0)),"")</f>
        <v>46213</v>
      </c>
      <c r="G102" s="826" t="str">
        <f>IFERROR(INDEX(月例!$E$5:$E$788,MATCH("送金料|L|3",月例!$T$5:$T$788,0)),"")</f>
        <v>振込手数料（広銀）６月分　長期分</v>
      </c>
      <c r="H102" s="830">
        <f>IFERROR(INDEX(月例!$R$5:$R$788,MATCH("送金料|L|3",月例!$T$5:$T$788,0)),"")</f>
        <v>13965</v>
      </c>
      <c r="I102" s="831">
        <f>IF(H102="","",I101-H102)</f>
        <v>203817</v>
      </c>
      <c r="J102" s="829" t="str">
        <f>IFERROR(INDEX(月例!$P$5:$P$788,MATCH("送金料|L|3",月例!$T$5:$T$788,0)),"")</f>
        <v>確認済</v>
      </c>
      <c r="K102" s="825">
        <f>IFERROR(INDEX(月例!$A$5:$A$788,MATCH("事務費負担金払込金|L|3",月例!$T$5:$T$788,0)),"")</f>
        <v>45084</v>
      </c>
      <c r="L102" s="826" t="str">
        <f>IFERROR(INDEX(月例!$E$5:$E$788,MATCH("事務費負担金払込金|L|3",月例!$T$5:$T$788,0)),"")</f>
        <v>５月分事務費負担金払込金と連合会交付金との相殺</v>
      </c>
      <c r="M102" s="830">
        <f>IFERROR(INDEX(月例!$R$5:$R$788,MATCH("事務費負担金払込金|L|3",月例!$T$5:$T$788,0)),"")</f>
        <v>3553000</v>
      </c>
      <c r="N102" s="831">
        <f>IF(M102="","",N101-M102)</f>
        <v>50101000</v>
      </c>
      <c r="O102" s="829" t="str">
        <f>IFERROR(INDEX(月例!$P$5:$P$788,MATCH("事務費負担金払込金|L|3",月例!$T$5:$T$788,0)),"")</f>
        <v>昨年実績</v>
      </c>
      <c r="P102" s="825">
        <f>IFERROR(INDEX(月例!$A$5:$A$788,MATCH("厚年負担金等|L|3",月例!$T$5:$T$788,0)),"")</f>
        <v>46234</v>
      </c>
      <c r="Q102" s="826" t="str">
        <f>IFERROR(INDEX(月例!$E$5:$E$788,MATCH("厚年負担金等|L|3",月例!$T$5:$T$788,0)),"")</f>
        <v>７月月例分（長期分）子ども子育て拠出金を含む</v>
      </c>
      <c r="R102" s="830">
        <f>IFERROR(INDEX(月例!$R$5:$R$788,MATCH("厚年負担金等|L|3",月例!$T$5:$T$788,0)),"")</f>
        <v>37089</v>
      </c>
      <c r="S102" s="831">
        <f>IF(R102="","",S101+R102)</f>
        <v>111267</v>
      </c>
      <c r="T102" s="829" t="str">
        <f>IFERROR(INDEX(月例!$P$5:$P$788,MATCH("厚年負担金等|L|3",月例!$T$5:$T$788,0)),"")</f>
        <v>確認済</v>
      </c>
    </row>
    <row r="103">
      <c r="A103" s="825">
        <f>IFERROR(INDEX(月例!$A$5:$A$788,MATCH("互助会費|L|4",月例!$T$5:$T$788,0)),"")</f>
        <v>46224</v>
      </c>
      <c r="B103" s="826" t="str">
        <f>IFERROR(INDEX(月例!$E$5:$E$788,MATCH("互助会費|L|4",月例!$T$5:$T$788,0)),"")</f>
        <v>助成金（７月長期分）</v>
      </c>
      <c r="C103" s="830">
        <f>IFERROR(INDEX(月例!$R$5:$R$788,MATCH("互助会費|L|4",月例!$T$5:$T$788,0)),"")</f>
        <v>466</v>
      </c>
      <c r="D103" s="831">
        <f>IF(C103="","",D102-C103)</f>
        <v>1153136</v>
      </c>
      <c r="E103" s="829" t="str">
        <f>IFERROR(INDEX(月例!$P$5:$P$788,MATCH("互助会費|L|4",月例!$T$5:$T$788,0)),"")</f>
        <v>確認済</v>
      </c>
      <c r="F103" s="825">
        <f>IFERROR(INDEX(月例!$A$5:$A$788,MATCH("送金料|L|4",月例!$T$5:$T$788,0)),"")</f>
        <v>46244</v>
      </c>
      <c r="G103" s="826" t="str">
        <f>IFERROR(INDEX(月例!$E$5:$E$788,MATCH("送金料|L|4",月例!$T$5:$T$788,0)),"")</f>
        <v>振込手数料（広銀）７月分　長期分</v>
      </c>
      <c r="H103" s="830">
        <f>IFERROR(INDEX(月例!$R$5:$R$788,MATCH("送金料|L|4",月例!$T$5:$T$788,0)),"")</f>
        <v>14994</v>
      </c>
      <c r="I103" s="831">
        <f>IF(H103="","",I102-H103)</f>
        <v>188823</v>
      </c>
      <c r="J103" s="829" t="str">
        <f>IFERROR(INDEX(月例!$P$5:$P$788,MATCH("送金料|L|4",月例!$T$5:$T$788,0)),"")</f>
        <v>確認済</v>
      </c>
      <c r="K103" s="825">
        <f>IFERROR(INDEX(月例!$A$5:$A$788,MATCH("事務費負担金払込金|L|4",月例!$T$5:$T$788,0)),"")</f>
        <v>46210</v>
      </c>
      <c r="L103" s="826" t="str">
        <f>IFERROR(INDEX(月例!$E$5:$E$788,MATCH("事務費負担金払込金|L|4",月例!$T$5:$T$788,0)),"")</f>
        <v>６月分事務費負担金払込金と連合会交付金との相殺</v>
      </c>
      <c r="M103" s="830">
        <f>IFERROR(INDEX(月例!$R$5:$R$788,MATCH("事務費負担金払込金|L|4",月例!$T$5:$T$788,0)),"")</f>
        <v>5366000</v>
      </c>
      <c r="N103" s="831">
        <f>IF(M103="","",N102-M103)</f>
        <v>44735000</v>
      </c>
      <c r="O103" s="829" t="str">
        <f>IFERROR(INDEX(月例!$P$5:$P$788,MATCH("事務費負担金払込金|L|4",月例!$T$5:$T$788,0)),"")</f>
        <v>確認済</v>
      </c>
      <c r="P103" s="825">
        <f>IFERROR(INDEX(月例!$A$5:$A$788,MATCH("厚年負担金等|L|4",月例!$T$5:$T$788,0)),"")</f>
        <v>46265</v>
      </c>
      <c r="Q103" s="826" t="str">
        <f>IFERROR(INDEX(月例!$E$5:$E$788,MATCH("厚年負担金等|L|4",月例!$T$5:$T$788,0)),"")</f>
        <v>７月月例・６月期末分（長期分）子ども子育て拠出金を含む</v>
      </c>
      <c r="R103" s="830">
        <f>IFERROR(INDEX(月例!$R$5:$R$788,MATCH("厚年負担金等|L|4",月例!$T$5:$T$788,0)),"")</f>
        <v>119541</v>
      </c>
      <c r="S103" s="831">
        <f>IF(R103="","",S102+R103)</f>
        <v>230808</v>
      </c>
      <c r="T103" s="829" t="str">
        <f>IFERROR(INDEX(月例!$P$5:$P$788,MATCH("厚年負担金等|L|4",月例!$T$5:$T$788,0)),"")</f>
        <v>確認済</v>
      </c>
    </row>
    <row r="104" ht="25.5" customHeight="1" s="186">
      <c r="A104" s="825">
        <f>IFERROR(INDEX(月例!$A$5:$A$788,MATCH("互助会費|L|5",月例!$T$5:$T$788,0)),"")</f>
        <v>46255</v>
      </c>
      <c r="B104" s="826" t="str">
        <f>IFERROR(INDEX(月例!$E$5:$E$788,MATCH("互助会費|L|5",月例!$T$5:$T$788,0)),"")</f>
        <v>助成金（８月長期分）</v>
      </c>
      <c r="C104" s="830">
        <f>IFERROR(INDEX(月例!$R$5:$R$788,MATCH("互助会費|L|5",月例!$T$5:$T$788,0)),"")</f>
        <v>466</v>
      </c>
      <c r="D104" s="831">
        <f>IF(C104="","",D103-C104)</f>
        <v>1152670</v>
      </c>
      <c r="E104" s="829" t="str">
        <f>IFERROR(INDEX(月例!$P$5:$P$788,MATCH("互助会費|L|5",月例!$T$5:$T$788,0)),"")</f>
        <v>確認済</v>
      </c>
      <c r="F104" s="825">
        <f>IFERROR(INDEX(月例!$A$5:$A$788,MATCH("送金料|L|5",月例!$T$5:$T$788,0)),"")</f>
        <v>46275</v>
      </c>
      <c r="G104" s="826" t="str">
        <f>IFERROR(INDEX(月例!$E$5:$E$788,MATCH("送金料|L|5",月例!$T$5:$T$788,0)),"")</f>
        <v>振込手数料（広銀）８月分　長期分</v>
      </c>
      <c r="H104" s="830">
        <f>IFERROR(INDEX(月例!$R$5:$R$788,MATCH("送金料|L|5",月例!$T$5:$T$788,0)),"")</f>
        <v>14984</v>
      </c>
      <c r="I104" s="831">
        <f>IF(H104="","",I103-H104)</f>
        <v>173839</v>
      </c>
      <c r="J104" s="829" t="str">
        <f>IFERROR(INDEX(月例!$P$5:$P$788,MATCH("送金料|L|5",月例!$T$5:$T$788,0)),"")</f>
        <v>確認済</v>
      </c>
      <c r="K104" s="825">
        <f>IFERROR(INDEX(月例!$A$5:$A$788,MATCH("事務費負担金払込金|L|5",月例!$T$5:$T$788,0)),"")</f>
        <v>46241</v>
      </c>
      <c r="L104" s="826" t="str">
        <f>IFERROR(INDEX(月例!$E$5:$E$788,MATCH("事務費負担金払込金|L|5",月例!$T$5:$T$788,0)),"")</f>
        <v>７月分事務費負担金払込金と連合会交付金との相殺</v>
      </c>
      <c r="M104" s="830">
        <f>IFERROR(INDEX(月例!$R$5:$R$788,MATCH("事務費負担金払込金|L|5",月例!$T$5:$T$788,0)),"")</f>
        <v>5366000</v>
      </c>
      <c r="N104" s="831">
        <f>IF(M104="","",N103-M104)</f>
        <v>39369000</v>
      </c>
      <c r="O104" s="829" t="str">
        <f>IFERROR(INDEX(月例!$P$5:$P$788,MATCH("事務費負担金払込金|L|5",月例!$T$5:$T$788,0)),"")</f>
        <v>確認済</v>
      </c>
      <c r="P104" s="825">
        <f>IFERROR(INDEX(月例!$A$5:$A$788,MATCH("厚年負担金等|L|5",月例!$T$5:$T$788,0)),"")</f>
        <v>46295</v>
      </c>
      <c r="Q104" s="826" t="str">
        <f>IFERROR(INDEX(月例!$E$5:$E$788,MATCH("厚年負担金等|L|5",月例!$T$5:$T$788,0)),"")</f>
        <v>８月月例分（長期分）子ども子育て拠出金を含む</v>
      </c>
      <c r="R104" s="830">
        <f>IFERROR(INDEX(月例!$R$5:$R$788,MATCH("厚年負担金等|L|5",月例!$T$5:$T$788,0)),"")</f>
        <v>37089</v>
      </c>
      <c r="S104" s="831">
        <f>IF(R104="","",S103+R104)</f>
        <v>267897</v>
      </c>
      <c r="T104" s="829" t="str">
        <f>IFERROR(INDEX(月例!$P$5:$P$788,MATCH("厚年負担金等|L|5",月例!$T$5:$T$788,0)),"")</f>
        <v>確認済</v>
      </c>
    </row>
    <row r="105" ht="25.5" customHeight="1" s="186">
      <c r="A105" s="825">
        <f>IFERROR(INDEX(月例!$A$5:$A$788,MATCH("互助会費|L|6",月例!$T$5:$T$788,0)),"")</f>
        <v>46283</v>
      </c>
      <c r="B105" s="826" t="str">
        <f>IFERROR(INDEX(月例!$E$5:$E$788,MATCH("互助会費|L|6",月例!$T$5:$T$788,0)),"")</f>
        <v>助成金（９月長期分）</v>
      </c>
      <c r="C105" s="830">
        <f>IFERROR(INDEX(月例!$R$5:$R$788,MATCH("互助会費|L|6",月例!$T$5:$T$788,0)),"")</f>
        <v>466</v>
      </c>
      <c r="D105" s="831">
        <f>IF(C105="","",D104-C105)</f>
        <v>1152204</v>
      </c>
      <c r="E105" s="829" t="str">
        <f>IFERROR(INDEX(月例!$P$5:$P$788,MATCH("互助会費|L|6",月例!$T$5:$T$788,0)),"")</f>
        <v>確認済</v>
      </c>
      <c r="F105" s="825">
        <f>IFERROR(INDEX(月例!$A$5:$A$788,MATCH("送金料|L|6",月例!$T$5:$T$788,0)),"")</f>
        <v>46308</v>
      </c>
      <c r="G105" s="826" t="str">
        <f>IFERROR(INDEX(月例!$E$5:$E$788,MATCH("送金料|L|6",月例!$T$5:$T$788,0)),"")</f>
        <v>振込手数料（広銀）９月分　長期分</v>
      </c>
      <c r="H105" s="830">
        <f>IFERROR(INDEX(月例!$R$5:$R$788,MATCH("送金料|L|6",月例!$T$5:$T$788,0)),"")</f>
        <v>15324</v>
      </c>
      <c r="I105" s="831">
        <f>IF(H105="","",I104-H105)</f>
        <v>158515</v>
      </c>
      <c r="J105" s="829" t="str">
        <f>IFERROR(INDEX(月例!$P$5:$P$788,MATCH("送金料|L|6",月例!$T$5:$T$788,0)),"")</f>
        <v>確認済</v>
      </c>
      <c r="K105" s="825">
        <f>IFERROR(INDEX(月例!$A$5:$A$788,MATCH("事務費負担金払込金|L|6",月例!$T$5:$T$788,0)),"")</f>
        <v>46272</v>
      </c>
      <c r="L105" s="826" t="str">
        <f>IFERROR(INDEX(月例!$E$5:$E$788,MATCH("事務費負担金払込金|L|6",月例!$T$5:$T$788,0)),"")</f>
        <v>８月分事務費負担金払込金相殺及び連合会へ払込</v>
      </c>
      <c r="M105" s="830">
        <f>IFERROR(INDEX(月例!$R$5:$R$788,MATCH("事務費負担金払込金|L|6",月例!$T$5:$T$788,0)),"")</f>
        <v>5366000</v>
      </c>
      <c r="N105" s="831">
        <f>IF(M105="","",N104-M105)</f>
        <v>34003000</v>
      </c>
      <c r="O105" s="829" t="str">
        <f>IFERROR(INDEX(月例!$P$5:$P$788,MATCH("事務費負担金払込金|L|6",月例!$T$5:$T$788,0)),"")</f>
        <v>確認済</v>
      </c>
      <c r="P105" s="825">
        <f>IFERROR(INDEX(月例!$A$5:$A$788,MATCH("厚年負担金等|L|6",月例!$T$5:$T$788,0)),"")</f>
        <v>46328</v>
      </c>
      <c r="Q105" s="826" t="str">
        <f>IFERROR(INDEX(月例!$E$5:$E$788,MATCH("厚年負担金等|L|6",月例!$T$5:$T$788,0)),"")</f>
        <v>９月月例分（長期分）子ども子育て拠出金を含む</v>
      </c>
      <c r="R105" s="830">
        <f>IFERROR(INDEX(月例!$R$5:$R$788,MATCH("厚年負担金等|L|6",月例!$T$5:$T$788,0)),"")</f>
        <v>35187</v>
      </c>
      <c r="S105" s="831">
        <f>IF(R105="","",S104+R105)</f>
        <v>303084</v>
      </c>
      <c r="T105" s="829" t="str">
        <f>IFERROR(INDEX(月例!$P$5:$P$788,MATCH("厚年負担金等|L|6",月例!$T$5:$T$788,0)),"")</f>
        <v>確認済</v>
      </c>
    </row>
    <row r="106" ht="25.5" customHeight="1" s="186">
      <c r="A106" s="825">
        <f>IFERROR(INDEX(月例!$A$5:$A$788,MATCH("互助会費|L|7",月例!$T$5:$T$788,0)),"")</f>
        <v>46316</v>
      </c>
      <c r="B106" s="826" t="str">
        <f>IFERROR(INDEX(月例!$E$5:$E$788,MATCH("互助会費|L|7",月例!$T$5:$T$788,0)),"")</f>
        <v>助成金（10月長期分）</v>
      </c>
      <c r="C106" s="830">
        <f>IFERROR(INDEX(月例!$R$5:$R$788,MATCH("互助会費|L|7",月例!$T$5:$T$788,0)),"")</f>
        <v>466</v>
      </c>
      <c r="D106" s="831">
        <f>IF(C106="","",D105-C106)</f>
        <v>1151738</v>
      </c>
      <c r="E106" s="829" t="str">
        <f>IFERROR(INDEX(月例!$P$5:$P$788,MATCH("互助会費|L|7",月例!$T$5:$T$788,0)),"")</f>
        <v>確認済</v>
      </c>
      <c r="F106" s="825">
        <f>IFERROR(INDEX(月例!$A$5:$A$788,MATCH("送金料|L|7",月例!$T$5:$T$788,0)),"")</f>
        <v>46316</v>
      </c>
      <c r="G106" s="826" t="str">
        <f>IFERROR(INDEX(月例!$E$5:$E$788,MATCH("送金料|L|7",月例!$T$5:$T$788,0)),"")</f>
        <v>年金過払金等返還金振替料金（ゆうちょ銀行）</v>
      </c>
      <c r="H106" s="830">
        <f>IFERROR(INDEX(月例!$R$5:$R$788,MATCH("送金料|L|7",月例!$T$5:$T$788,0)),"")</f>
        <v>584</v>
      </c>
      <c r="I106" s="831">
        <f>IF(H106="","",I105-H106)</f>
        <v>157931</v>
      </c>
      <c r="J106" s="829" t="str">
        <f>IFERROR(INDEX(月例!$P$5:$P$788,MATCH("送金料|L|7",月例!$T$5:$T$788,0)),"")</f>
        <v>確認済</v>
      </c>
      <c r="K106" s="825">
        <f>IFERROR(INDEX(月例!$A$5:$A$788,MATCH("事務費負担金払込金|L|7",月例!$T$5:$T$788,0)),"")</f>
        <v>46302</v>
      </c>
      <c r="L106" s="826" t="str">
        <f>IFERROR(INDEX(月例!$E$5:$E$788,MATCH("事務費負担金払込金|L|7",月例!$T$5:$T$788,0)),"")</f>
        <v>９月分事務費負担金払込金　連合会へ払込</v>
      </c>
      <c r="M106" s="830">
        <f>IFERROR(INDEX(月例!$R$5:$R$788,MATCH("事務費負担金払込金|L|7",月例!$T$5:$T$788,0)),"")</f>
        <v>5366000</v>
      </c>
      <c r="N106" s="831">
        <f>IF(M106="","",N105-M106)</f>
        <v>28637000</v>
      </c>
      <c r="O106" s="829" t="str">
        <f>IFERROR(INDEX(月例!$P$5:$P$788,MATCH("事務費負担金払込金|L|7",月例!$T$5:$T$788,0)),"")</f>
        <v>確認済</v>
      </c>
      <c r="P106" s="825">
        <f>IFERROR(INDEX(月例!$A$5:$A$788,MATCH("厚年負担金等|L|7",月例!$T$5:$T$788,0)),"")</f>
        <v>45992</v>
      </c>
      <c r="Q106" s="826" t="str">
        <f>IFERROR(INDEX(月例!$E$5:$E$788,MATCH("厚年負担金等|L|7",月例!$T$5:$T$788,0)),"")</f>
        <v>１０月月例分（長期分）子ども子育て拠出金を含む</v>
      </c>
      <c r="R106" s="830">
        <f>IFERROR(INDEX(月例!$R$5:$R$788,MATCH("厚年負担金等|L|7",月例!$T$5:$T$788,0)),"")</f>
        <v>37089</v>
      </c>
      <c r="S106" s="831">
        <f>IF(R106="","",S105+R106)</f>
        <v>340173</v>
      </c>
      <c r="T106" s="829" t="str">
        <f>IFERROR(INDEX(月例!$P$5:$P$788,MATCH("厚年負担金等|L|7",月例!$T$5:$T$788,0)),"")</f>
        <v>昨年実績</v>
      </c>
    </row>
    <row r="107" ht="25.5" customHeight="1" s="186">
      <c r="A107" s="825">
        <f>IFERROR(INDEX(月例!$A$5:$A$788,MATCH("互助会費|L|8",月例!$T$5:$T$788,0)),"")</f>
        <v>45982</v>
      </c>
      <c r="B107" s="826" t="str">
        <f>IFERROR(INDEX(月例!$E$5:$E$788,MATCH("互助会費|L|8",月例!$T$5:$T$788,0)),"")</f>
        <v>助成金（11月長期分）</v>
      </c>
      <c r="C107" s="830">
        <f>IFERROR(INDEX(月例!$R$5:$R$788,MATCH("互助会費|L|8",月例!$T$5:$T$788,0)),"")</f>
        <v>535</v>
      </c>
      <c r="D107" s="831">
        <f>IF(C107="","",D106-C107)</f>
        <v>1151203</v>
      </c>
      <c r="E107" s="829" t="str">
        <f>IFERROR(INDEX(月例!$P$5:$P$788,MATCH("互助会費|L|8",月例!$T$5:$T$788,0)),"")</f>
        <v>昨年実績</v>
      </c>
      <c r="F107" s="825">
        <f>IFERROR(INDEX(月例!$A$5:$A$788,MATCH("送金料|L|8",月例!$T$5:$T$788,0)),"")</f>
        <v>45971</v>
      </c>
      <c r="G107" s="826" t="str">
        <f>IFERROR(INDEX(月例!$E$5:$E$788,MATCH("送金料|L|8",月例!$T$5:$T$788,0)),"")</f>
        <v>振込手数料（広銀）１０月分　長期分</v>
      </c>
      <c r="H107" s="830">
        <f>IFERROR(INDEX(月例!$R$5:$R$788,MATCH("送金料|L|8",月例!$T$5:$T$788,0)),"")</f>
        <v>15579</v>
      </c>
      <c r="I107" s="831">
        <f>IF(H107="","",I106-H107)</f>
        <v>142352</v>
      </c>
      <c r="J107" s="829" t="str">
        <f>IFERROR(INDEX(月例!$P$5:$P$788,MATCH("送金料|L|8",月例!$T$5:$T$788,0)),"")</f>
        <v>昨年実績</v>
      </c>
      <c r="K107" s="825">
        <f>IFERROR(INDEX(月例!$A$5:$A$788,MATCH("事務費負担金払込金|L|8",月例!$T$5:$T$788,0)),"")</f>
        <v>46335</v>
      </c>
      <c r="L107" s="826" t="str">
        <f>IFERROR(INDEX(月例!$E$5:$E$788,MATCH("事務費負担金払込金|L|8",月例!$T$5:$T$788,0)),"")</f>
        <v>１０月分事務費負担金払込金　連合会へ払込</v>
      </c>
      <c r="M107" s="830">
        <f>IFERROR(INDEX(月例!$R$5:$R$788,MATCH("事務費負担金払込金|L|8",月例!$T$5:$T$788,0)),"")</f>
        <v>5366000</v>
      </c>
      <c r="N107" s="831">
        <f>IF(M107="","",N106-M107)</f>
        <v>23271000</v>
      </c>
      <c r="O107" s="829" t="str">
        <f>IFERROR(INDEX(月例!$P$5:$P$788,MATCH("事務費負担金払込金|L|8",月例!$T$5:$T$788,0)),"")</f>
        <v>確認済</v>
      </c>
      <c r="P107" s="825">
        <f>IFERROR(INDEX(月例!$A$5:$A$788,MATCH("厚年負担金等|L|8",月例!$T$5:$T$788,0)),"")</f>
        <v>46027</v>
      </c>
      <c r="Q107" s="826" t="str">
        <f>IFERROR(INDEX(月例!$E$5:$E$788,MATCH("厚年負担金等|L|8",月例!$T$5:$T$788,0)),"")</f>
        <v>１１月月例分（長期分）子ども子育て拠出金を含む</v>
      </c>
      <c r="R107" s="830">
        <f>IFERROR(INDEX(月例!$R$5:$R$788,MATCH("厚年負担金等|L|8",月例!$T$5:$T$788,0)),"")</f>
        <v>37089</v>
      </c>
      <c r="S107" s="831">
        <f>IF(R107="","",S106+R107)</f>
        <v>377262</v>
      </c>
      <c r="T107" s="829" t="str">
        <f>IFERROR(INDEX(月例!$P$5:$P$788,MATCH("厚年負担金等|L|8",月例!$T$5:$T$788,0)),"")</f>
        <v>昨年実績</v>
      </c>
    </row>
    <row r="108" ht="25.5" customHeight="1" s="186">
      <c r="A108" s="825">
        <f>IFERROR(INDEX(月例!$A$5:$A$788,MATCH("互助会費|L|9",月例!$T$5:$T$788,0)),"")</f>
        <v>46010</v>
      </c>
      <c r="B108" s="826" t="str">
        <f>IFERROR(INDEX(月例!$E$5:$E$788,MATCH("互助会費|L|9",月例!$T$5:$T$788,0)),"")</f>
        <v>助成金（12月長期分）</v>
      </c>
      <c r="C108" s="830">
        <f>IFERROR(INDEX(月例!$R$5:$R$788,MATCH("互助会費|L|9",月例!$T$5:$T$788,0)),"")</f>
        <v>535</v>
      </c>
      <c r="D108" s="831">
        <f>IF(C108="","",D107-C108)</f>
        <v>1150668</v>
      </c>
      <c r="E108" s="829" t="str">
        <f>IFERROR(INDEX(月例!$P$5:$P$788,MATCH("互助会費|L|9",月例!$T$5:$T$788,0)),"")</f>
        <v>昨年実績</v>
      </c>
      <c r="F108" s="825">
        <f>IFERROR(INDEX(月例!$A$5:$A$788,MATCH("送金料|L|9",月例!$T$5:$T$788,0)),"")</f>
        <v>46001</v>
      </c>
      <c r="G108" s="826" t="str">
        <f>IFERROR(INDEX(月例!$E$5:$E$788,MATCH("送金料|L|9",月例!$T$5:$T$788,0)),"")</f>
        <v>振込手数料（広銀）１１月分　長期分</v>
      </c>
      <c r="H108" s="830">
        <f>IFERROR(INDEX(月例!$R$5:$R$788,MATCH("送金料|L|9",月例!$T$5:$T$788,0)),"")</f>
        <v>16554</v>
      </c>
      <c r="I108" s="831">
        <f>IF(H108="","",I107-H108)</f>
        <v>125798</v>
      </c>
      <c r="J108" s="829" t="str">
        <f>IFERROR(INDEX(月例!$P$5:$P$788,MATCH("送金料|L|9",月例!$T$5:$T$788,0)),"")</f>
        <v>昨年実績</v>
      </c>
      <c r="K108" s="825">
        <f>IFERROR(INDEX(月例!$A$5:$A$788,MATCH("事務費負担金払込金|L|9",月例!$T$5:$T$788,0)),"")</f>
        <v>45996</v>
      </c>
      <c r="L108" s="826" t="str">
        <f>IFERROR(INDEX(月例!$E$5:$E$788,MATCH("事務費負担金払込金|L|9",月例!$T$5:$T$788,0)),"")</f>
        <v>1１月分事務費負担金払込金相殺及び連合会へ払込</v>
      </c>
      <c r="M108" s="830">
        <f>IFERROR(INDEX(月例!$R$5:$R$788,MATCH("事務費負担金払込金|L|9",月例!$T$5:$T$788,0)),"")</f>
        <v>4513000</v>
      </c>
      <c r="N108" s="831">
        <f>IF(M108="","",N107-M108)</f>
        <v>18758000</v>
      </c>
      <c r="O108" s="829" t="str">
        <f>IFERROR(INDEX(月例!$P$5:$P$788,MATCH("事務費負担金払込金|L|9",月例!$T$5:$T$788,0)),"")</f>
        <v>昨年実績</v>
      </c>
      <c r="P108" s="825">
        <f>IFERROR(INDEX(月例!$A$5:$A$788,MATCH("厚年負担金等|L|9",月例!$T$5:$T$788,0)),"")</f>
        <v>46055</v>
      </c>
      <c r="Q108" s="826" t="str">
        <f>IFERROR(INDEX(月例!$E$5:$E$788,MATCH("厚年負担金等|L|9",月例!$T$5:$T$788,0)),"")</f>
        <v>１２月月例・期末・遡及（長期分）子ども子育て拠出金を含む</v>
      </c>
      <c r="R108" s="830">
        <f>IFERROR(INDEX(月例!$R$5:$R$788,MATCH("厚年負担金等|L|9",月例!$T$5:$T$788,0)),"")</f>
        <v>96147</v>
      </c>
      <c r="S108" s="831">
        <f>IF(R108="","",S107+R108)</f>
        <v>473409</v>
      </c>
      <c r="T108" s="829" t="str">
        <f>IFERROR(INDEX(月例!$P$5:$P$788,MATCH("厚年負担金等|L|9",月例!$T$5:$T$788,0)),"")</f>
        <v>昨年実績</v>
      </c>
    </row>
    <row r="109" ht="25.5" customHeight="1" s="186">
      <c r="A109" s="825">
        <f>IFERROR(INDEX(月例!$A$5:$A$788,MATCH("互助会費|L|10",月例!$T$5:$T$788,0)),"")</f>
        <v>46043</v>
      </c>
      <c r="B109" s="826" t="str">
        <f>IFERROR(INDEX(月例!$E$5:$E$788,MATCH("互助会費|L|10",月例!$T$5:$T$788,0)),"")</f>
        <v>助成金（1月長期分）</v>
      </c>
      <c r="C109" s="830">
        <f>IFERROR(INDEX(月例!$R$5:$R$788,MATCH("互助会費|L|10",月例!$T$5:$T$788,0)),"")</f>
        <v>554</v>
      </c>
      <c r="D109" s="831">
        <f>IF(C109="","",D108-C109)</f>
        <v>1150114</v>
      </c>
      <c r="E109" s="829" t="str">
        <f>IFERROR(INDEX(月例!$P$5:$P$788,MATCH("互助会費|L|10",月例!$T$5:$T$788,0)),"")</f>
        <v>昨年実績</v>
      </c>
      <c r="F109" s="825">
        <f>IFERROR(INDEX(月例!$A$5:$A$788,MATCH("送金料|L|10",月例!$T$5:$T$788,0)),"")</f>
        <v>45636</v>
      </c>
      <c r="G109" s="826" t="str">
        <f>IFERROR(INDEX(月例!$E$5:$E$788,MATCH("送金料|L|10",月例!$T$5:$T$788,0)),"")</f>
        <v>誤払い戻入金に係る振込手数料</v>
      </c>
      <c r="H109" s="830">
        <f>IFERROR(INDEX(月例!$R$5:$R$788,MATCH("送金料|L|10",月例!$T$5:$T$788,0)),"")</f>
        <v>165</v>
      </c>
      <c r="I109" s="831">
        <f>IF(H109="","",I108-H109)</f>
        <v>125633</v>
      </c>
      <c r="J109" s="829" t="str">
        <f>IFERROR(INDEX(月例!$P$5:$P$788,MATCH("送金料|L|10",月例!$T$5:$T$788,0)),"")</f>
        <v>昨年実績</v>
      </c>
      <c r="K109" s="825">
        <f>IFERROR(INDEX(月例!$A$5:$A$788,MATCH("事務費負担金払込金|L|10",月例!$T$5:$T$788,0)),"")</f>
        <v>46031</v>
      </c>
      <c r="L109" s="826" t="str">
        <f>IFERROR(INDEX(月例!$E$5:$E$788,MATCH("事務費負担金払込金|L|10",月例!$T$5:$T$788,0)),"")</f>
        <v>１２月分事務費負担金払込金　連合会へ払込</v>
      </c>
      <c r="M109" s="830">
        <f>IFERROR(INDEX(月例!$R$5:$R$788,MATCH("事務費負担金払込金|L|10",月例!$T$5:$T$788,0)),"")</f>
        <v>4513000</v>
      </c>
      <c r="N109" s="831">
        <f>IF(M109="","",N108-M109)</f>
        <v>14245000</v>
      </c>
      <c r="O109" s="829" t="str">
        <f>IFERROR(INDEX(月例!$P$5:$P$788,MATCH("事務費負担金払込金|L|10",月例!$T$5:$T$788,0)),"")</f>
        <v>昨年実績</v>
      </c>
      <c r="P109" s="825">
        <f>IFERROR(INDEX(月例!$A$5:$A$788,MATCH("厚年負担金等|L|10",月例!$T$5:$T$788,0)),"")</f>
        <v>46083</v>
      </c>
      <c r="Q109" s="826" t="str">
        <f>IFERROR(INDEX(月例!$E$5:$E$788,MATCH("厚年負担金等|L|10",月例!$T$5:$T$788,0)),"")</f>
        <v>１月月例、改定差額分（長期分）子ども子育て拠出金を含む</v>
      </c>
      <c r="R109" s="830">
        <f>IFERROR(INDEX(月例!$R$5:$R$788,MATCH("厚年負担金等|L|10",月例!$T$5:$T$788,0)),"")</f>
        <v>40987</v>
      </c>
      <c r="S109" s="831">
        <f>IF(R109="","",S108+R109)</f>
        <v>514396</v>
      </c>
      <c r="T109" s="829" t="str">
        <f>IFERROR(INDEX(月例!$P$5:$P$788,MATCH("厚年負担金等|L|10",月例!$T$5:$T$788,0)),"")</f>
        <v>昨年実績</v>
      </c>
    </row>
    <row r="110" ht="25.5" customHeight="1" s="186">
      <c r="A110" s="825">
        <f>IFERROR(INDEX(月例!$A$5:$A$788,MATCH("互助会費|L|11",月例!$T$5:$T$788,0)),"")</f>
        <v>46045</v>
      </c>
      <c r="B110" s="826" t="str">
        <f>IFERROR(INDEX(月例!$E$5:$E$788,MATCH("互助会費|L|11",月例!$T$5:$T$788,0)),"")</f>
        <v>助成金（給与改定差額分：長期）</v>
      </c>
      <c r="C110" s="830">
        <f>IFERROR(INDEX(月例!$R$5:$R$788,MATCH("互助会費|L|11",月例!$T$5:$T$788,0)),"")</f>
        <v>171</v>
      </c>
      <c r="D110" s="831">
        <f>IF(C110="","",D109-C110)</f>
        <v>1149943</v>
      </c>
      <c r="E110" s="829" t="str">
        <f>IFERROR(INDEX(月例!$P$5:$P$788,MATCH("互助会費|L|11",月例!$T$5:$T$788,0)),"")</f>
        <v>昨年実績</v>
      </c>
      <c r="F110" s="825">
        <f>IFERROR(INDEX(月例!$A$5:$A$788,MATCH("送金料|L|11",月例!$T$5:$T$788,0)),"")</f>
        <v>46035</v>
      </c>
      <c r="G110" s="826" t="str">
        <f>IFERROR(INDEX(月例!$E$5:$E$788,MATCH("送金料|L|11",月例!$T$5:$T$788,0)),"")</f>
        <v>振込手数料（広銀）１２月分　長期分</v>
      </c>
      <c r="H110" s="830">
        <f>IFERROR(INDEX(月例!$R$5:$R$788,MATCH("送金料|L|11",月例!$T$5:$T$788,0)),"")</f>
        <v>16224</v>
      </c>
      <c r="I110" s="831">
        <f>IF(H110="","",I109-H110)</f>
        <v>109409</v>
      </c>
      <c r="J110" s="829" t="str">
        <f>IFERROR(INDEX(月例!$P$5:$P$788,MATCH("送金料|L|11",月例!$T$5:$T$788,0)),"")</f>
        <v>昨年実績</v>
      </c>
      <c r="K110" s="825">
        <f>IFERROR(INDEX(月例!$A$5:$A$788,MATCH("事務費負担金払込金|L|11",月例!$T$5:$T$788,0)),"")</f>
        <v>46059</v>
      </c>
      <c r="L110" s="826" t="str">
        <f>IFERROR(INDEX(月例!$E$5:$E$788,MATCH("事務費負担金払込金|L|11",月例!$T$5:$T$788,0)),"")</f>
        <v>１月分事務費負担金払込金　連合会へ払込</v>
      </c>
      <c r="M110" s="830">
        <f>IFERROR(INDEX(月例!$R$5:$R$788,MATCH("事務費負担金払込金|L|11",月例!$T$5:$T$788,0)),"")</f>
        <v>4513000</v>
      </c>
      <c r="N110" s="831">
        <f>IF(M110="","",N109-M110)</f>
        <v>9732000</v>
      </c>
      <c r="O110" s="829" t="str">
        <f>IFERROR(INDEX(月例!$P$5:$P$788,MATCH("事務費負担金払込金|L|11",月例!$T$5:$T$788,0)),"")</f>
        <v>昨年実績</v>
      </c>
      <c r="P110" s="825">
        <f>IFERROR(INDEX(月例!$A$5:$A$788,MATCH("厚年負担金等|L|11",月例!$T$5:$T$788,0)),"")</f>
        <v>46112</v>
      </c>
      <c r="Q110" s="826" t="str">
        <f>IFERROR(INDEX(月例!$E$5:$E$788,MATCH("厚年負担金等|L|11",月例!$T$5:$T$788,0)),"")</f>
        <v>２月月例分（長期分）子ども子育て拠出金を含む</v>
      </c>
      <c r="R110" s="830">
        <f>IFERROR(INDEX(月例!$R$5:$R$788,MATCH("厚年負担金等|L|11",月例!$T$5:$T$788,0)),"")</f>
        <v>37089</v>
      </c>
      <c r="S110" s="831">
        <f>IF(R110="","",S109+R110)</f>
        <v>551485</v>
      </c>
      <c r="T110" s="829" t="str">
        <f>IFERROR(INDEX(月例!$P$5:$P$788,MATCH("厚年負担金等|L|11",月例!$T$5:$T$788,0)),"")</f>
        <v>昨年実績</v>
      </c>
    </row>
    <row r="111">
      <c r="A111" s="825">
        <f>IFERROR(INDEX(月例!$A$5:$A$788,MATCH("互助会費|L|12",月例!$T$5:$T$788,0)),"")</f>
        <v>46073</v>
      </c>
      <c r="B111" s="826" t="str">
        <f>IFERROR(INDEX(月例!$E$5:$E$788,MATCH("互助会費|L|12",月例!$T$5:$T$788,0)),"")</f>
        <v>助成金（２月長期分）</v>
      </c>
      <c r="C111" s="830">
        <f>IFERROR(INDEX(月例!$R$5:$R$788,MATCH("互助会費|L|12",月例!$T$5:$T$788,0)),"")</f>
        <v>554</v>
      </c>
      <c r="D111" s="831">
        <f>IF(C111="","",D110-C111)</f>
        <v>1149389</v>
      </c>
      <c r="E111" s="829" t="str">
        <f>IFERROR(INDEX(月例!$P$5:$P$788,MATCH("互助会費|L|12",月例!$T$5:$T$788,0)),"")</f>
        <v>昨年実績</v>
      </c>
      <c r="F111" s="825">
        <f>IFERROR(INDEX(月例!$A$5:$A$788,MATCH("送金料|L|12",月例!$T$5:$T$788,0)),"")</f>
        <v>46063</v>
      </c>
      <c r="G111" s="826" t="str">
        <f>IFERROR(INDEX(月例!$E$5:$E$788,MATCH("送金料|L|12",月例!$T$5:$T$788,0)),"")</f>
        <v>振込手数料（広銀）１月分　長期分</v>
      </c>
      <c r="H111" s="830">
        <f>IFERROR(INDEX(月例!$R$5:$R$788,MATCH("送金料|L|12",月例!$T$5:$T$788,0)),"")</f>
        <v>16564</v>
      </c>
      <c r="I111" s="831">
        <f>IF(H111="","",I110-H111)</f>
        <v>92845</v>
      </c>
      <c r="J111" s="829" t="str">
        <f>IFERROR(INDEX(月例!$P$5:$P$788,MATCH("送金料|L|12",月例!$T$5:$T$788,0)),"")</f>
        <v>昨年実績</v>
      </c>
      <c r="K111" s="825">
        <f>IFERROR(INDEX(月例!$A$5:$A$788,MATCH("事務費負担金払込金|L|12",月例!$T$5:$T$788,0)),"")</f>
        <v>46087</v>
      </c>
      <c r="L111" s="826" t="str">
        <f>IFERROR(INDEX(月例!$E$5:$E$788,MATCH("事務費負担金払込金|L|12",月例!$T$5:$T$788,0)),"")</f>
        <v>２月分事務費負担金払込金　連合会へ払込</v>
      </c>
      <c r="M111" s="830">
        <f>IFERROR(INDEX(月例!$R$5:$R$788,MATCH("事務費負担金払込金|L|12",月例!$T$5:$T$788,0)),"")</f>
        <v>4513000</v>
      </c>
      <c r="N111" s="831">
        <f>IF(M111="","",N110-M111)</f>
        <v>5219000</v>
      </c>
      <c r="O111" s="829" t="str">
        <f>IFERROR(INDEX(月例!$P$5:$P$788,MATCH("事務費負担金払込金|L|12",月例!$T$5:$T$788,0)),"")</f>
        <v>昨年実績</v>
      </c>
      <c r="P111" s="825" t="str">
        <f>IFERROR(INDEX(月例!$A$5:$A$788,MATCH("厚年負担金等|L|12",月例!$T$5:$T$788,0)),"")</f>
        <v/>
      </c>
      <c r="Q111" s="826" t="str">
        <f>IFERROR(INDEX(月例!$E$5:$E$788,MATCH("厚年負担金等|L|12",月例!$T$5:$T$788,0)),"")</f>
        <v/>
      </c>
      <c r="R111" s="830" t="str">
        <f>IFERROR(INDEX(月例!$R$5:$R$788,MATCH("厚年負担金等|L|12",月例!$T$5:$T$788,0)),"")</f>
        <v/>
      </c>
      <c r="S111" s="831" t="str">
        <f>IF(R111="","",S110+R111)</f>
        <v/>
      </c>
      <c r="T111" s="829" t="str">
        <f>IFERROR(INDEX(月例!$P$5:$P$788,MATCH("厚年負担金等|L|12",月例!$T$5:$T$788,0)),"")</f>
        <v/>
      </c>
    </row>
    <row r="112">
      <c r="A112" s="825">
        <f>IFERROR(INDEX(月例!$A$5:$A$788,MATCH("互助会費|L|13",月例!$T$5:$T$788,0)),"")</f>
        <v>44246</v>
      </c>
      <c r="B112" s="826" t="str">
        <f>IFERROR(INDEX(月例!$E$5:$E$788,MATCH("互助会費|L|13",月例!$T$5:$T$788,0)),"")</f>
        <v>助成金（２月長期分）</v>
      </c>
      <c r="C112" s="830">
        <f>IFERROR(INDEX(月例!$R$5:$R$788,MATCH("互助会費|L|13",月例!$T$5:$T$788,0)),"")</f>
        <v>476</v>
      </c>
      <c r="D112" s="831">
        <f>IF(C112="","",D111-C112)</f>
        <v>1148913</v>
      </c>
      <c r="E112" s="829" t="str">
        <f>IFERROR(INDEX(月例!$P$5:$P$788,MATCH("互助会費|L|13",月例!$T$5:$T$788,0)),"")</f>
        <v>昨年実績</v>
      </c>
      <c r="F112" s="825">
        <f>IFERROR(INDEX(月例!$A$5:$A$788,MATCH("送金料|L|13",月例!$T$5:$T$788,0)),"")</f>
        <v>46091</v>
      </c>
      <c r="G112" s="826" t="str">
        <f>IFERROR(INDEX(月例!$E$5:$E$788,MATCH("送金料|L|13",月例!$T$5:$T$788,0)),"")</f>
        <v>振込手数料（広銀）２月分　長期分</v>
      </c>
      <c r="H112" s="830">
        <f>IFERROR(INDEX(月例!$R$5:$R$788,MATCH("送金料|L|13",月例!$T$5:$T$788,0)),"")</f>
        <v>14994</v>
      </c>
      <c r="I112" s="831">
        <f>IF(H112="","",I111-H112)</f>
        <v>77851</v>
      </c>
      <c r="J112" s="829" t="str">
        <f>IFERROR(INDEX(月例!$P$5:$P$788,MATCH("送金料|L|13",月例!$T$5:$T$788,0)),"")</f>
        <v>昨年実績</v>
      </c>
      <c r="K112" s="825">
        <f>IFERROR(INDEX(月例!$A$5:$A$788,MATCH("事務費負担金払込金|L|13",月例!$T$5:$T$788,0)),"")</f>
        <v>46098</v>
      </c>
      <c r="L112" s="826" t="str">
        <f>IFERROR(INDEX(月例!$E$5:$E$788,MATCH("事務費負担金払込金|L|13",月例!$T$5:$T$788,0)),"")</f>
        <v>３月分事務費負担金払込金　連合会へ払込</v>
      </c>
      <c r="M112" s="830">
        <f>IFERROR(INDEX(月例!$R$5:$R$788,MATCH("事務費負担金払込金|L|13",月例!$T$5:$T$788,0)),"")</f>
        <v>4510000</v>
      </c>
      <c r="N112" s="831">
        <f>IF(M112="","",N111-M112)</f>
        <v>709000</v>
      </c>
      <c r="O112" s="829" t="str">
        <f>IFERROR(INDEX(月例!$P$5:$P$788,MATCH("事務費負担金払込金|L|13",月例!$T$5:$T$788,0)),"")</f>
        <v>昨年実績</v>
      </c>
      <c r="P112" s="825" t="str">
        <f>IFERROR(INDEX(月例!$A$5:$A$788,MATCH("厚年負担金等|L|13",月例!$T$5:$T$788,0)),"")</f>
        <v/>
      </c>
      <c r="Q112" s="826" t="str">
        <f>IFERROR(INDEX(月例!$E$5:$E$788,MATCH("厚年負担金等|L|13",月例!$T$5:$T$788,0)),"")</f>
        <v/>
      </c>
      <c r="R112" s="830" t="str">
        <f>IFERROR(INDEX(月例!$R$5:$R$788,MATCH("厚年負担金等|L|13",月例!$T$5:$T$788,0)),"")</f>
        <v/>
      </c>
      <c r="S112" s="831" t="str">
        <f>IF(R112="","",S111+R112)</f>
        <v/>
      </c>
      <c r="T112" s="829" t="str">
        <f>IFERROR(INDEX(月例!$P$5:$P$788,MATCH("厚年負担金等|L|13",月例!$T$5:$T$788,0)),"")</f>
        <v/>
      </c>
    </row>
    <row r="113">
      <c r="A113" s="825">
        <f>IFERROR(INDEX(月例!$A$5:$A$788,MATCH("互助会費|L|14",月例!$T$5:$T$788,0)),"")</f>
        <v>46100</v>
      </c>
      <c r="B113" s="826" t="str">
        <f>IFERROR(INDEX(月例!$E$5:$E$788,MATCH("互助会費|L|14",月例!$T$5:$T$788,0)),"")</f>
        <v>助成金（３月長期分）</v>
      </c>
      <c r="C113" s="830">
        <f>IFERROR(INDEX(月例!$R$5:$R$788,MATCH("互助会費|L|14",月例!$T$5:$T$788,0)),"")</f>
        <v>554</v>
      </c>
      <c r="D113" s="831">
        <f>IF(C113="","",D112-C113)</f>
        <v>1148359</v>
      </c>
      <c r="E113" s="829" t="str">
        <f>IFERROR(INDEX(月例!$P$5:$P$788,MATCH("互助会費|L|14",月例!$T$5:$T$788,0)),"")</f>
        <v>昨年実績</v>
      </c>
      <c r="F113" s="825">
        <f>IFERROR(INDEX(月例!$A$5:$A$788,MATCH("送金料|L|14",月例!$T$5:$T$788,0)),"")</f>
        <v>44251</v>
      </c>
      <c r="G113" s="826" t="str">
        <f>IFERROR(INDEX(月例!$E$5:$E$788,MATCH("送金料|L|14",月例!$T$5:$T$788,0)),"")</f>
        <v>振込手数料（広銀）２月分　長期分（退職等年金経理　基本料金）</v>
      </c>
      <c r="H113" s="830">
        <f>IFERROR(INDEX(月例!$R$5:$R$788,MATCH("送金料|L|14",月例!$T$5:$T$788,0)),"")</f>
        <v>4180</v>
      </c>
      <c r="I113" s="831">
        <f>IF(H113="","",I112-H113)</f>
        <v>73671</v>
      </c>
      <c r="J113" s="829" t="str">
        <f>IFERROR(INDEX(月例!$P$5:$P$788,MATCH("送金料|L|14",月例!$T$5:$T$788,0)),"")</f>
        <v>昨年実績</v>
      </c>
      <c r="K113" s="825" t="str">
        <f>IFERROR(INDEX(月例!$A$5:$A$788,MATCH("事務費負担金払込金|L|14",月例!$T$5:$T$788,0)),"")</f>
        <v/>
      </c>
      <c r="L113" s="826" t="str">
        <f>IFERROR(INDEX(月例!$E$5:$E$788,MATCH("事務費負担金払込金|L|14",月例!$T$5:$T$788,0)),"")</f>
        <v/>
      </c>
      <c r="M113" s="830" t="str">
        <f>IFERROR(INDEX(月例!$R$5:$R$788,MATCH("事務費負担金払込金|L|14",月例!$T$5:$T$788,0)),"")</f>
        <v/>
      </c>
      <c r="N113" s="831" t="str">
        <f>IF(M113="","",N112-M113)</f>
        <v/>
      </c>
      <c r="O113" s="829" t="str">
        <f>IFERROR(INDEX(月例!$P$5:$P$788,MATCH("事務費負担金払込金|L|14",月例!$T$5:$T$788,0)),"")</f>
        <v/>
      </c>
      <c r="P113" s="825" t="str">
        <f>IFERROR(INDEX(月例!$A$5:$A$788,MATCH("厚年負担金等|L|14",月例!$T$5:$T$788,0)),"")</f>
        <v/>
      </c>
      <c r="Q113" s="826" t="str">
        <f>IFERROR(INDEX(月例!$E$5:$E$788,MATCH("厚年負担金等|L|14",月例!$T$5:$T$788,0)),"")</f>
        <v/>
      </c>
      <c r="R113" s="830" t="str">
        <f>IFERROR(INDEX(月例!$R$5:$R$788,MATCH("厚年負担金等|L|14",月例!$T$5:$T$788,0)),"")</f>
        <v/>
      </c>
      <c r="S113" s="831" t="str">
        <f>IF(R113="","",S112+R113)</f>
        <v/>
      </c>
      <c r="T113" s="829" t="str">
        <f>IFERROR(INDEX(月例!$P$5:$P$788,MATCH("厚年負担金等|L|14",月例!$T$5:$T$788,0)),"")</f>
        <v/>
      </c>
    </row>
    <row r="114">
      <c r="A114" s="825">
        <f>IFERROR(INDEX(月例!$A$5:$A$788,MATCH("互助会費|L|15",月例!$T$5:$T$788,0)),"")</f>
        <v>44274</v>
      </c>
      <c r="B114" s="826" t="str">
        <f>IFERROR(INDEX(月例!$E$5:$E$788,MATCH("互助会費|L|15",月例!$T$5:$T$788,0)),"")</f>
        <v>助成金（３月長期分）</v>
      </c>
      <c r="C114" s="830">
        <f>IFERROR(INDEX(月例!$R$5:$R$788,MATCH("互助会費|L|15",月例!$T$5:$T$788,0)),"")</f>
        <v>476</v>
      </c>
      <c r="D114" s="831">
        <f>IF(C114="","",D113-C114)</f>
        <v>1147883</v>
      </c>
      <c r="E114" s="829" t="str">
        <f>IFERROR(INDEX(月例!$P$5:$P$788,MATCH("互助会費|L|15",月例!$T$5:$T$788,0)),"")</f>
        <v>昨年実績</v>
      </c>
      <c r="F114" s="825" t="str">
        <f>IFERROR(INDEX(月例!$A$5:$A$788,MATCH("送金料|L|15",月例!$T$5:$T$788,0)),"")</f>
        <v/>
      </c>
      <c r="G114" s="826" t="str">
        <f>IFERROR(INDEX(月例!$E$5:$E$788,MATCH("送金料|L|15",月例!$T$5:$T$788,0)),"")</f>
        <v/>
      </c>
      <c r="H114" s="830" t="str">
        <f>IFERROR(INDEX(月例!$R$5:$R$788,MATCH("送金料|L|15",月例!$T$5:$T$788,0)),"")</f>
        <v/>
      </c>
      <c r="I114" s="831" t="str">
        <f>IF(H114="","",I113-H114)</f>
        <v/>
      </c>
      <c r="J114" s="829" t="str">
        <f>IFERROR(INDEX(月例!$P$5:$P$788,MATCH("送金料|L|15",月例!$T$5:$T$788,0)),"")</f>
        <v/>
      </c>
      <c r="K114" s="825" t="str">
        <f>IFERROR(INDEX(月例!$A$5:$A$788,MATCH("事務費負担金払込金|L|15",月例!$T$5:$T$788,0)),"")</f>
        <v/>
      </c>
      <c r="L114" s="826" t="str">
        <f>IFERROR(INDEX(月例!$E$5:$E$788,MATCH("事務費負担金払込金|L|15",月例!$T$5:$T$788,0)),"")</f>
        <v/>
      </c>
      <c r="M114" s="830" t="str">
        <f>IFERROR(INDEX(月例!$R$5:$R$788,MATCH("事務費負担金払込金|L|15",月例!$T$5:$T$788,0)),"")</f>
        <v/>
      </c>
      <c r="N114" s="831" t="str">
        <f>IF(M114="","",N113-M114)</f>
        <v/>
      </c>
      <c r="O114" s="829" t="str">
        <f>IFERROR(INDEX(月例!$P$5:$P$788,MATCH("事務費負担金払込金|L|15",月例!$T$5:$T$788,0)),"")</f>
        <v/>
      </c>
      <c r="P114" s="825" t="str">
        <f>IFERROR(INDEX(月例!$A$5:$A$788,MATCH("厚年負担金等|L|15",月例!$T$5:$T$788,0)),"")</f>
        <v/>
      </c>
      <c r="Q114" s="826" t="str">
        <f>IFERROR(INDEX(月例!$E$5:$E$788,MATCH("厚年負担金等|L|15",月例!$T$5:$T$788,0)),"")</f>
        <v/>
      </c>
      <c r="R114" s="830" t="str">
        <f>IFERROR(INDEX(月例!$R$5:$R$788,MATCH("厚年負担金等|L|15",月例!$T$5:$T$788,0)),"")</f>
        <v/>
      </c>
      <c r="S114" s="831" t="str">
        <f>IF(R114="","",S113+R114)</f>
        <v/>
      </c>
      <c r="T114" s="829" t="str">
        <f>IFERROR(INDEX(月例!$P$5:$P$788,MATCH("厚年負担金等|L|15",月例!$T$5:$T$788,0)),"")</f>
        <v/>
      </c>
    </row>
    <row r="115">
      <c r="A115" s="825" t="str">
        <f>IFERROR(INDEX(月例!$A$5:$A$788,MATCH("互助会費|L|16",月例!$T$5:$T$788,0)),"")</f>
        <v/>
      </c>
      <c r="B115" s="826" t="str">
        <f>IFERROR(INDEX(月例!$E$5:$E$788,MATCH("互助会費|L|16",月例!$T$5:$T$788,0)),"")</f>
        <v/>
      </c>
      <c r="C115" s="830" t="str">
        <f>IFERROR(INDEX(月例!$R$5:$R$788,MATCH("互助会費|L|16",月例!$T$5:$T$788,0)),"")</f>
        <v/>
      </c>
      <c r="D115" s="831" t="str">
        <f>IF(C115="","",D114-C115)</f>
        <v/>
      </c>
      <c r="E115" s="829" t="str">
        <f>IFERROR(INDEX(月例!$P$5:$P$788,MATCH("互助会費|L|16",月例!$T$5:$T$788,0)),"")</f>
        <v/>
      </c>
      <c r="F115" s="825" t="str">
        <f>IFERROR(INDEX(月例!$A$5:$A$788,MATCH("送金料|L|16",月例!$T$5:$T$788,0)),"")</f>
        <v/>
      </c>
      <c r="G115" s="826" t="str">
        <f>IFERROR(INDEX(月例!$E$5:$E$788,MATCH("送金料|L|16",月例!$T$5:$T$788,0)),"")</f>
        <v/>
      </c>
      <c r="H115" s="830" t="str">
        <f>IFERROR(INDEX(月例!$R$5:$R$788,MATCH("送金料|L|16",月例!$T$5:$T$788,0)),"")</f>
        <v/>
      </c>
      <c r="I115" s="831" t="str">
        <f>IF(H115="","",I114-H115)</f>
        <v/>
      </c>
      <c r="J115" s="829" t="str">
        <f>IFERROR(INDEX(月例!$P$5:$P$788,MATCH("送金料|L|16",月例!$T$5:$T$788,0)),"")</f>
        <v/>
      </c>
      <c r="K115" s="825" t="str">
        <f>IFERROR(INDEX(月例!$A$5:$A$788,MATCH("事務費負担金払込金|L|16",月例!$T$5:$T$788,0)),"")</f>
        <v/>
      </c>
      <c r="L115" s="826" t="str">
        <f>IFERROR(INDEX(月例!$E$5:$E$788,MATCH("事務費負担金払込金|L|16",月例!$T$5:$T$788,0)),"")</f>
        <v/>
      </c>
      <c r="M115" s="830" t="str">
        <f>IFERROR(INDEX(月例!$R$5:$R$788,MATCH("事務費負担金払込金|L|16",月例!$T$5:$T$788,0)),"")</f>
        <v/>
      </c>
      <c r="N115" s="831" t="str">
        <f>IF(M115="","",N114-M115)</f>
        <v/>
      </c>
      <c r="O115" s="829" t="str">
        <f>IFERROR(INDEX(月例!$P$5:$P$788,MATCH("事務費負担金払込金|L|16",月例!$T$5:$T$788,0)),"")</f>
        <v/>
      </c>
      <c r="P115" s="825" t="str">
        <f>IFERROR(INDEX(月例!$A$5:$A$788,MATCH("厚年負担金等|L|16",月例!$T$5:$T$788,0)),"")</f>
        <v/>
      </c>
      <c r="Q115" s="826" t="str">
        <f>IFERROR(INDEX(月例!$E$5:$E$788,MATCH("厚年負担金等|L|16",月例!$T$5:$T$788,0)),"")</f>
        <v/>
      </c>
      <c r="R115" s="830" t="str">
        <f>IFERROR(INDEX(月例!$R$5:$R$788,MATCH("厚年負担金等|L|16",月例!$T$5:$T$788,0)),"")</f>
        <v/>
      </c>
      <c r="S115" s="831" t="str">
        <f>IF(R115="","",S114+R115)</f>
        <v/>
      </c>
      <c r="T115" s="829" t="str">
        <f>IFERROR(INDEX(月例!$P$5:$P$788,MATCH("厚年負担金等|L|16",月例!$T$5:$T$788,0)),"")</f>
        <v/>
      </c>
    </row>
    <row r="116">
      <c r="A116" s="825" t="str">
        <f>IFERROR(INDEX(月例!$A$5:$A$788,MATCH("互助会費|L|17",月例!$T$5:$T$788,0)),"")</f>
        <v/>
      </c>
      <c r="B116" s="826" t="str">
        <f>IFERROR(INDEX(月例!$E$5:$E$788,MATCH("互助会費|L|17",月例!$T$5:$T$788,0)),"")</f>
        <v/>
      </c>
      <c r="C116" s="830" t="str">
        <f>IFERROR(INDEX(月例!$R$5:$R$788,MATCH("互助会費|L|17",月例!$T$5:$T$788,0)),"")</f>
        <v/>
      </c>
      <c r="D116" s="831" t="str">
        <f>IF(C116="","",D115-C116)</f>
        <v/>
      </c>
      <c r="E116" s="829" t="str">
        <f>IFERROR(INDEX(月例!$P$5:$P$788,MATCH("互助会費|L|17",月例!$T$5:$T$788,0)),"")</f>
        <v/>
      </c>
      <c r="F116" s="825" t="str">
        <f>IFERROR(INDEX(月例!$A$5:$A$788,MATCH("送金料|L|17",月例!$T$5:$T$788,0)),"")</f>
        <v/>
      </c>
      <c r="G116" s="826" t="str">
        <f>IFERROR(INDEX(月例!$E$5:$E$788,MATCH("送金料|L|17",月例!$T$5:$T$788,0)),"")</f>
        <v/>
      </c>
      <c r="H116" s="830" t="str">
        <f>IFERROR(INDEX(月例!$R$5:$R$788,MATCH("送金料|L|17",月例!$T$5:$T$788,0)),"")</f>
        <v/>
      </c>
      <c r="I116" s="831" t="str">
        <f>IF(H116="","",I115-H116)</f>
        <v/>
      </c>
      <c r="J116" s="829" t="str">
        <f>IFERROR(INDEX(月例!$P$5:$P$788,MATCH("送金料|L|17",月例!$T$5:$T$788,0)),"")</f>
        <v/>
      </c>
      <c r="K116" s="825" t="str">
        <f>IFERROR(INDEX(月例!$A$5:$A$788,MATCH("事務費負担金払込金|L|17",月例!$T$5:$T$788,0)),"")</f>
        <v/>
      </c>
      <c r="L116" s="826" t="str">
        <f>IFERROR(INDEX(月例!$E$5:$E$788,MATCH("事務費負担金払込金|L|17",月例!$T$5:$T$788,0)),"")</f>
        <v/>
      </c>
      <c r="M116" s="830" t="str">
        <f>IFERROR(INDEX(月例!$R$5:$R$788,MATCH("事務費負担金払込金|L|17",月例!$T$5:$T$788,0)),"")</f>
        <v/>
      </c>
      <c r="N116" s="831" t="str">
        <f>IF(M116="","",N115-M116)</f>
        <v/>
      </c>
      <c r="O116" s="829" t="str">
        <f>IFERROR(INDEX(月例!$P$5:$P$788,MATCH("事務費負担金払込金|L|17",月例!$T$5:$T$788,0)),"")</f>
        <v/>
      </c>
      <c r="P116" s="825" t="str">
        <f>IFERROR(INDEX(月例!$A$5:$A$788,MATCH("厚年負担金等|L|17",月例!$T$5:$T$788,0)),"")</f>
        <v/>
      </c>
      <c r="Q116" s="826" t="str">
        <f>IFERROR(INDEX(月例!$E$5:$E$788,MATCH("厚年負担金等|L|17",月例!$T$5:$T$788,0)),"")</f>
        <v/>
      </c>
      <c r="R116" s="830" t="str">
        <f>IFERROR(INDEX(月例!$R$5:$R$788,MATCH("厚年負担金等|L|17",月例!$T$5:$T$788,0)),"")</f>
        <v/>
      </c>
      <c r="S116" s="831" t="str">
        <f>IF(R116="","",S115+R116)</f>
        <v/>
      </c>
      <c r="T116" s="829" t="str">
        <f>IFERROR(INDEX(月例!$P$5:$P$788,MATCH("厚年負担金等|L|17",月例!$T$5:$T$788,0)),"")</f>
        <v/>
      </c>
    </row>
    <row r="117">
      <c r="A117" s="825" t="str">
        <f>IFERROR(INDEX(月例!$A$5:$A$788,MATCH("互助会費|L|18",月例!$T$5:$T$788,0)),"")</f>
        <v/>
      </c>
      <c r="B117" s="826" t="str">
        <f>IFERROR(INDEX(月例!$E$5:$E$788,MATCH("互助会費|L|18",月例!$T$5:$T$788,0)),"")</f>
        <v/>
      </c>
      <c r="C117" s="830" t="str">
        <f>IFERROR(INDEX(月例!$R$5:$R$788,MATCH("互助会費|L|18",月例!$T$5:$T$788,0)),"")</f>
        <v/>
      </c>
      <c r="D117" s="831" t="str">
        <f>IF(C117="","",D116-C117)</f>
        <v/>
      </c>
      <c r="E117" s="829" t="str">
        <f>IFERROR(INDEX(月例!$P$5:$P$788,MATCH("互助会費|L|18",月例!$T$5:$T$788,0)),"")</f>
        <v/>
      </c>
      <c r="F117" s="825" t="str">
        <f>IFERROR(INDEX(月例!$A$5:$A$788,MATCH("送金料|L|18",月例!$T$5:$T$788,0)),"")</f>
        <v/>
      </c>
      <c r="G117" s="826" t="str">
        <f>IFERROR(INDEX(月例!$E$5:$E$788,MATCH("送金料|L|18",月例!$T$5:$T$788,0)),"")</f>
        <v/>
      </c>
      <c r="H117" s="830" t="str">
        <f>IFERROR(INDEX(月例!$R$5:$R$788,MATCH("送金料|L|18",月例!$T$5:$T$788,0)),"")</f>
        <v/>
      </c>
      <c r="I117" s="831" t="str">
        <f>IF(H117="","",I116-H117)</f>
        <v/>
      </c>
      <c r="J117" s="829" t="str">
        <f>IFERROR(INDEX(月例!$P$5:$P$788,MATCH("送金料|L|18",月例!$T$5:$T$788,0)),"")</f>
        <v/>
      </c>
      <c r="K117" s="825" t="str">
        <f>IFERROR(INDEX(月例!$A$5:$A$788,MATCH("事務費負担金払込金|L|18",月例!$T$5:$T$788,0)),"")</f>
        <v/>
      </c>
      <c r="L117" s="826" t="str">
        <f>IFERROR(INDEX(月例!$E$5:$E$788,MATCH("事務費負担金払込金|L|18",月例!$T$5:$T$788,0)),"")</f>
        <v/>
      </c>
      <c r="M117" s="830" t="str">
        <f>IFERROR(INDEX(月例!$R$5:$R$788,MATCH("事務費負担金払込金|L|18",月例!$T$5:$T$788,0)),"")</f>
        <v/>
      </c>
      <c r="N117" s="831" t="str">
        <f>IF(M117="","",N116-M117)</f>
        <v/>
      </c>
      <c r="O117" s="829" t="str">
        <f>IFERROR(INDEX(月例!$P$5:$P$788,MATCH("事務費負担金払込金|L|18",月例!$T$5:$T$788,0)),"")</f>
        <v/>
      </c>
      <c r="P117" s="825" t="str">
        <f>IFERROR(INDEX(月例!$A$5:$A$788,MATCH("厚年負担金等|L|18",月例!$T$5:$T$788,0)),"")</f>
        <v/>
      </c>
      <c r="Q117" s="826" t="str">
        <f>IFERROR(INDEX(月例!$E$5:$E$788,MATCH("厚年負担金等|L|18",月例!$T$5:$T$788,0)),"")</f>
        <v/>
      </c>
      <c r="R117" s="830" t="str">
        <f>IFERROR(INDEX(月例!$R$5:$R$788,MATCH("厚年負担金等|L|18",月例!$T$5:$T$788,0)),"")</f>
        <v/>
      </c>
      <c r="S117" s="831" t="str">
        <f>IF(R117="","",S116+R117)</f>
        <v/>
      </c>
      <c r="T117" s="829" t="str">
        <f>IFERROR(INDEX(月例!$P$5:$P$788,MATCH("厚年負担金等|L|18",月例!$T$5:$T$788,0)),"")</f>
        <v/>
      </c>
    </row>
    <row r="118">
      <c r="A118" s="825" t="str">
        <f>IFERROR(INDEX(月例!$A$5:$A$788,MATCH("互助会費|L|19",月例!$T$5:$T$788,0)),"")</f>
        <v/>
      </c>
      <c r="B118" s="826" t="str">
        <f>IFERROR(INDEX(月例!$E$5:$E$788,MATCH("互助会費|L|19",月例!$T$5:$T$788,0)),"")</f>
        <v/>
      </c>
      <c r="C118" s="830" t="str">
        <f>IFERROR(INDEX(月例!$R$5:$R$788,MATCH("互助会費|L|19",月例!$T$5:$T$788,0)),"")</f>
        <v/>
      </c>
      <c r="D118" s="831" t="str">
        <f>IF(C118="","",D117-C118)</f>
        <v/>
      </c>
      <c r="E118" s="829" t="str">
        <f>IFERROR(INDEX(月例!$P$5:$P$788,MATCH("互助会費|L|19",月例!$T$5:$T$788,0)),"")</f>
        <v/>
      </c>
      <c r="F118" s="825" t="str">
        <f>IFERROR(INDEX(月例!$A$5:$A$788,MATCH("送金料|L|19",月例!$T$5:$T$788,0)),"")</f>
        <v/>
      </c>
      <c r="G118" s="826" t="str">
        <f>IFERROR(INDEX(月例!$E$5:$E$788,MATCH("送金料|L|19",月例!$T$5:$T$788,0)),"")</f>
        <v/>
      </c>
      <c r="H118" s="830" t="str">
        <f>IFERROR(INDEX(月例!$R$5:$R$788,MATCH("送金料|L|19",月例!$T$5:$T$788,0)),"")</f>
        <v/>
      </c>
      <c r="I118" s="831" t="str">
        <f>IF(H118="","",I117-H118)</f>
        <v/>
      </c>
      <c r="J118" s="829" t="str">
        <f>IFERROR(INDEX(月例!$P$5:$P$788,MATCH("送金料|L|19",月例!$T$5:$T$788,0)),"")</f>
        <v/>
      </c>
      <c r="K118" s="825" t="str">
        <f>IFERROR(INDEX(月例!$A$5:$A$788,MATCH("事務費負担金払込金|L|19",月例!$T$5:$T$788,0)),"")</f>
        <v/>
      </c>
      <c r="L118" s="826" t="str">
        <f>IFERROR(INDEX(月例!$E$5:$E$788,MATCH("事務費負担金払込金|L|19",月例!$T$5:$T$788,0)),"")</f>
        <v/>
      </c>
      <c r="M118" s="830" t="str">
        <f>IFERROR(INDEX(月例!$R$5:$R$788,MATCH("事務費負担金払込金|L|19",月例!$T$5:$T$788,0)),"")</f>
        <v/>
      </c>
      <c r="N118" s="831" t="str">
        <f>IF(M118="","",N117-M118)</f>
        <v/>
      </c>
      <c r="O118" s="829" t="str">
        <f>IFERROR(INDEX(月例!$P$5:$P$788,MATCH("事務費負担金払込金|L|19",月例!$T$5:$T$788,0)),"")</f>
        <v/>
      </c>
      <c r="P118" s="825" t="str">
        <f>IFERROR(INDEX(月例!$A$5:$A$788,MATCH("厚年負担金等|L|19",月例!$T$5:$T$788,0)),"")</f>
        <v/>
      </c>
      <c r="Q118" s="826" t="str">
        <f>IFERROR(INDEX(月例!$E$5:$E$788,MATCH("厚年負担金等|L|19",月例!$T$5:$T$788,0)),"")</f>
        <v/>
      </c>
      <c r="R118" s="830" t="str">
        <f>IFERROR(INDEX(月例!$R$5:$R$788,MATCH("厚年負担金等|L|19",月例!$T$5:$T$788,0)),"")</f>
        <v/>
      </c>
      <c r="S118" s="831" t="str">
        <f>IF(R118="","",S117+R118)</f>
        <v/>
      </c>
      <c r="T118" s="829" t="str">
        <f>IFERROR(INDEX(月例!$P$5:$P$788,MATCH("厚年負担金等|L|19",月例!$T$5:$T$788,0)),"")</f>
        <v/>
      </c>
    </row>
    <row r="119">
      <c r="A119" s="825" t="str">
        <f>IFERROR(INDEX(月例!$A$5:$A$788,MATCH("互助会費|L|20",月例!$T$5:$T$788,0)),"")</f>
        <v/>
      </c>
      <c r="B119" s="826" t="str">
        <f>IFERROR(INDEX(月例!$E$5:$E$788,MATCH("互助会費|L|20",月例!$T$5:$T$788,0)),"")</f>
        <v/>
      </c>
      <c r="C119" s="830" t="str">
        <f>IFERROR(INDEX(月例!$R$5:$R$788,MATCH("互助会費|L|20",月例!$T$5:$T$788,0)),"")</f>
        <v/>
      </c>
      <c r="D119" s="831" t="str">
        <f>IF(C119="","",D118-C119)</f>
        <v/>
      </c>
      <c r="E119" s="829" t="str">
        <f>IFERROR(INDEX(月例!$P$5:$P$788,MATCH("互助会費|L|20",月例!$T$5:$T$788,0)),"")</f>
        <v/>
      </c>
      <c r="F119" s="825" t="str">
        <f>IFERROR(INDEX(月例!$A$5:$A$788,MATCH("送金料|L|20",月例!$T$5:$T$788,0)),"")</f>
        <v/>
      </c>
      <c r="G119" s="826" t="str">
        <f>IFERROR(INDEX(月例!$E$5:$E$788,MATCH("送金料|L|20",月例!$T$5:$T$788,0)),"")</f>
        <v/>
      </c>
      <c r="H119" s="830" t="str">
        <f>IFERROR(INDEX(月例!$R$5:$R$788,MATCH("送金料|L|20",月例!$T$5:$T$788,0)),"")</f>
        <v/>
      </c>
      <c r="I119" s="831" t="str">
        <f>IF(H119="","",I118-H119)</f>
        <v/>
      </c>
      <c r="J119" s="829" t="str">
        <f>IFERROR(INDEX(月例!$P$5:$P$788,MATCH("送金料|L|20",月例!$T$5:$T$788,0)),"")</f>
        <v/>
      </c>
      <c r="K119" s="825" t="str">
        <f>IFERROR(INDEX(月例!$A$5:$A$788,MATCH("事務費負担金払込金|L|20",月例!$T$5:$T$788,0)),"")</f>
        <v/>
      </c>
      <c r="L119" s="826" t="str">
        <f>IFERROR(INDEX(月例!$E$5:$E$788,MATCH("事務費負担金払込金|L|20",月例!$T$5:$T$788,0)),"")</f>
        <v/>
      </c>
      <c r="M119" s="830" t="str">
        <f>IFERROR(INDEX(月例!$R$5:$R$788,MATCH("事務費負担金払込金|L|20",月例!$T$5:$T$788,0)),"")</f>
        <v/>
      </c>
      <c r="N119" s="831" t="str">
        <f>IF(M119="","",N118-M119)</f>
        <v/>
      </c>
      <c r="O119" s="829" t="str">
        <f>IFERROR(INDEX(月例!$P$5:$P$788,MATCH("事務費負担金払込金|L|20",月例!$T$5:$T$788,0)),"")</f>
        <v/>
      </c>
      <c r="P119" s="825" t="str">
        <f>IFERROR(INDEX(月例!$A$5:$A$788,MATCH("厚年負担金等|L|20",月例!$T$5:$T$788,0)),"")</f>
        <v/>
      </c>
      <c r="Q119" s="826" t="str">
        <f>IFERROR(INDEX(月例!$E$5:$E$788,MATCH("厚年負担金等|L|20",月例!$T$5:$T$788,0)),"")</f>
        <v/>
      </c>
      <c r="R119" s="830" t="str">
        <f>IFERROR(INDEX(月例!$R$5:$R$788,MATCH("厚年負担金等|L|20",月例!$T$5:$T$788,0)),"")</f>
        <v/>
      </c>
      <c r="S119" s="831" t="str">
        <f>IF(R119="","",S118+R119)</f>
        <v/>
      </c>
      <c r="T119" s="829" t="str">
        <f>IFERROR(INDEX(月例!$P$5:$P$788,MATCH("厚年負担金等|L|20",月例!$T$5:$T$788,0)),"")</f>
        <v/>
      </c>
    </row>
    <row r="120">
      <c r="A120" s="825" t="str">
        <f>IFERROR(INDEX(月例!$A$5:$A$788,MATCH("互助会費|L|21",月例!$T$5:$T$788,0)),"")</f>
        <v/>
      </c>
      <c r="B120" s="826" t="str">
        <f>IFERROR(INDEX(月例!$E$5:$E$788,MATCH("互助会費|L|21",月例!$T$5:$T$788,0)),"")</f>
        <v/>
      </c>
      <c r="C120" s="830" t="str">
        <f>IFERROR(INDEX(月例!$R$5:$R$788,MATCH("互助会費|L|21",月例!$T$5:$T$788,0)),"")</f>
        <v/>
      </c>
      <c r="D120" s="831" t="str">
        <f>IF(C120="","",D119-C120)</f>
        <v/>
      </c>
      <c r="E120" s="829" t="str">
        <f>IFERROR(INDEX(月例!$P$5:$P$788,MATCH("互助会費|L|21",月例!$T$5:$T$788,0)),"")</f>
        <v/>
      </c>
      <c r="F120" s="825" t="str">
        <f>IFERROR(INDEX(月例!$A$5:$A$788,MATCH("送金料|L|21",月例!$T$5:$T$788,0)),"")</f>
        <v/>
      </c>
      <c r="G120" s="826" t="str">
        <f>IFERROR(INDEX(月例!$E$5:$E$788,MATCH("送金料|L|21",月例!$T$5:$T$788,0)),"")</f>
        <v/>
      </c>
      <c r="H120" s="830" t="str">
        <f>IFERROR(INDEX(月例!$R$5:$R$788,MATCH("送金料|L|21",月例!$T$5:$T$788,0)),"")</f>
        <v/>
      </c>
      <c r="I120" s="831" t="str">
        <f>IF(H120="","",I119-H120)</f>
        <v/>
      </c>
      <c r="J120" s="829" t="str">
        <f>IFERROR(INDEX(月例!$P$5:$P$788,MATCH("送金料|L|21",月例!$T$5:$T$788,0)),"")</f>
        <v/>
      </c>
      <c r="K120" s="825" t="str">
        <f>IFERROR(INDEX(月例!$A$5:$A$788,MATCH("事務費負担金払込金|L|21",月例!$T$5:$T$788,0)),"")</f>
        <v/>
      </c>
      <c r="L120" s="826" t="str">
        <f>IFERROR(INDEX(月例!$E$5:$E$788,MATCH("事務費負担金払込金|L|21",月例!$T$5:$T$788,0)),"")</f>
        <v/>
      </c>
      <c r="M120" s="830" t="str">
        <f>IFERROR(INDEX(月例!$R$5:$R$788,MATCH("事務費負担金払込金|L|21",月例!$T$5:$T$788,0)),"")</f>
        <v/>
      </c>
      <c r="N120" s="831" t="str">
        <f>IF(M120="","",N119-M120)</f>
        <v/>
      </c>
      <c r="O120" s="829" t="str">
        <f>IFERROR(INDEX(月例!$P$5:$P$788,MATCH("事務費負担金払込金|L|21",月例!$T$5:$T$788,0)),"")</f>
        <v/>
      </c>
      <c r="P120" s="825" t="str">
        <f>IFERROR(INDEX(月例!$A$5:$A$788,MATCH("厚年負担金等|L|21",月例!$T$5:$T$788,0)),"")</f>
        <v/>
      </c>
      <c r="Q120" s="826" t="str">
        <f>IFERROR(INDEX(月例!$E$5:$E$788,MATCH("厚年負担金等|L|21",月例!$T$5:$T$788,0)),"")</f>
        <v/>
      </c>
      <c r="R120" s="830" t="str">
        <f>IFERROR(INDEX(月例!$R$5:$R$788,MATCH("厚年負担金等|L|21",月例!$T$5:$T$788,0)),"")</f>
        <v/>
      </c>
      <c r="S120" s="831" t="str">
        <f>IF(R120="","",S119+R120)</f>
        <v/>
      </c>
      <c r="T120" s="829" t="str">
        <f>IFERROR(INDEX(月例!$P$5:$P$788,MATCH("厚年負担金等|L|21",月例!$T$5:$T$788,0)),"")</f>
        <v/>
      </c>
    </row>
    <row r="121">
      <c r="A121" s="825" t="str">
        <f>IFERROR(INDEX(月例!$A$5:$A$788,MATCH("互助会費|L|22",月例!$T$5:$T$788,0)),"")</f>
        <v/>
      </c>
      <c r="B121" s="826" t="str">
        <f>IFERROR(INDEX(月例!$E$5:$E$788,MATCH("互助会費|L|22",月例!$T$5:$T$788,0)),"")</f>
        <v/>
      </c>
      <c r="C121" s="830" t="str">
        <f>IFERROR(INDEX(月例!$R$5:$R$788,MATCH("互助会費|L|22",月例!$T$5:$T$788,0)),"")</f>
        <v/>
      </c>
      <c r="D121" s="831" t="str">
        <f>IF(C121="","",D120-C121)</f>
        <v/>
      </c>
      <c r="E121" s="829" t="str">
        <f>IFERROR(INDEX(月例!$P$5:$P$788,MATCH("互助会費|L|22",月例!$T$5:$T$788,0)),"")</f>
        <v/>
      </c>
      <c r="F121" s="825" t="str">
        <f>IFERROR(INDEX(月例!$A$5:$A$788,MATCH("送金料|L|22",月例!$T$5:$T$788,0)),"")</f>
        <v/>
      </c>
      <c r="G121" s="826" t="str">
        <f>IFERROR(INDEX(月例!$E$5:$E$788,MATCH("送金料|L|22",月例!$T$5:$T$788,0)),"")</f>
        <v/>
      </c>
      <c r="H121" s="830" t="str">
        <f>IFERROR(INDEX(月例!$R$5:$R$788,MATCH("送金料|L|22",月例!$T$5:$T$788,0)),"")</f>
        <v/>
      </c>
      <c r="I121" s="831" t="str">
        <f>IF(H121="","",I120-H121)</f>
        <v/>
      </c>
      <c r="J121" s="829" t="str">
        <f>IFERROR(INDEX(月例!$P$5:$P$788,MATCH("送金料|L|22",月例!$T$5:$T$788,0)),"")</f>
        <v/>
      </c>
      <c r="K121" s="825" t="str">
        <f>IFERROR(INDEX(月例!$A$5:$A$788,MATCH("事務費負担金払込金|L|22",月例!$T$5:$T$788,0)),"")</f>
        <v/>
      </c>
      <c r="L121" s="826" t="str">
        <f>IFERROR(INDEX(月例!$E$5:$E$788,MATCH("事務費負担金払込金|L|22",月例!$T$5:$T$788,0)),"")</f>
        <v/>
      </c>
      <c r="M121" s="830" t="str">
        <f>IFERROR(INDEX(月例!$R$5:$R$788,MATCH("事務費負担金払込金|L|22",月例!$T$5:$T$788,0)),"")</f>
        <v/>
      </c>
      <c r="N121" s="831" t="str">
        <f>IF(M121="","",N120-M121)</f>
        <v/>
      </c>
      <c r="O121" s="829" t="str">
        <f>IFERROR(INDEX(月例!$P$5:$P$788,MATCH("事務費負担金払込金|L|22",月例!$T$5:$T$788,0)),"")</f>
        <v/>
      </c>
      <c r="P121" s="825" t="str">
        <f>IFERROR(INDEX(月例!$A$5:$A$788,MATCH("厚年負担金等|L|22",月例!$T$5:$T$788,0)),"")</f>
        <v/>
      </c>
      <c r="Q121" s="826" t="str">
        <f>IFERROR(INDEX(月例!$E$5:$E$788,MATCH("厚年負担金等|L|22",月例!$T$5:$T$788,0)),"")</f>
        <v/>
      </c>
      <c r="R121" s="830" t="str">
        <f>IFERROR(INDEX(月例!$R$5:$R$788,MATCH("厚年負担金等|L|22",月例!$T$5:$T$788,0)),"")</f>
        <v/>
      </c>
      <c r="S121" s="831" t="str">
        <f>IF(R121="","",S120+R121)</f>
        <v/>
      </c>
      <c r="T121" s="829" t="str">
        <f>IFERROR(INDEX(月例!$P$5:$P$788,MATCH("厚年負担金等|L|22",月例!$T$5:$T$788,0)),"")</f>
        <v/>
      </c>
    </row>
    <row r="122">
      <c r="A122" s="825" t="str">
        <f>IFERROR(INDEX(月例!$A$5:$A$788,MATCH("互助会費|L|23",月例!$T$5:$T$788,0)),"")</f>
        <v/>
      </c>
      <c r="B122" s="826" t="str">
        <f>IFERROR(INDEX(月例!$E$5:$E$788,MATCH("互助会費|L|23",月例!$T$5:$T$788,0)),"")</f>
        <v/>
      </c>
      <c r="C122" s="830" t="str">
        <f>IFERROR(INDEX(月例!$R$5:$R$788,MATCH("互助会費|L|23",月例!$T$5:$T$788,0)),"")</f>
        <v/>
      </c>
      <c r="D122" s="831" t="str">
        <f>IF(C122="","",D121-C122)</f>
        <v/>
      </c>
      <c r="E122" s="829" t="str">
        <f>IFERROR(INDEX(月例!$P$5:$P$788,MATCH("互助会費|L|23",月例!$T$5:$T$788,0)),"")</f>
        <v/>
      </c>
      <c r="F122" s="825" t="str">
        <f>IFERROR(INDEX(月例!$A$5:$A$788,MATCH("送金料|L|23",月例!$T$5:$T$788,0)),"")</f>
        <v/>
      </c>
      <c r="G122" s="826" t="str">
        <f>IFERROR(INDEX(月例!$E$5:$E$788,MATCH("送金料|L|23",月例!$T$5:$T$788,0)),"")</f>
        <v/>
      </c>
      <c r="H122" s="830" t="str">
        <f>IFERROR(INDEX(月例!$R$5:$R$788,MATCH("送金料|L|23",月例!$T$5:$T$788,0)),"")</f>
        <v/>
      </c>
      <c r="I122" s="831" t="str">
        <f>IF(H122="","",I121-H122)</f>
        <v/>
      </c>
      <c r="J122" s="829" t="str">
        <f>IFERROR(INDEX(月例!$P$5:$P$788,MATCH("送金料|L|23",月例!$T$5:$T$788,0)),"")</f>
        <v/>
      </c>
      <c r="K122" s="825" t="str">
        <f>IFERROR(INDEX(月例!$A$5:$A$788,MATCH("事務費負担金払込金|L|23",月例!$T$5:$T$788,0)),"")</f>
        <v/>
      </c>
      <c r="L122" s="826" t="str">
        <f>IFERROR(INDEX(月例!$E$5:$E$788,MATCH("事務費負担金払込金|L|23",月例!$T$5:$T$788,0)),"")</f>
        <v/>
      </c>
      <c r="M122" s="830" t="str">
        <f>IFERROR(INDEX(月例!$R$5:$R$788,MATCH("事務費負担金払込金|L|23",月例!$T$5:$T$788,0)),"")</f>
        <v/>
      </c>
      <c r="N122" s="831" t="str">
        <f>IF(M122="","",N121-M122)</f>
        <v/>
      </c>
      <c r="O122" s="829" t="str">
        <f>IFERROR(INDEX(月例!$P$5:$P$788,MATCH("事務費負担金払込金|L|23",月例!$T$5:$T$788,0)),"")</f>
        <v/>
      </c>
      <c r="P122" s="825" t="str">
        <f>IFERROR(INDEX(月例!$A$5:$A$788,MATCH("厚年負担金等|L|23",月例!$T$5:$T$788,0)),"")</f>
        <v/>
      </c>
      <c r="Q122" s="826" t="str">
        <f>IFERROR(INDEX(月例!$E$5:$E$788,MATCH("厚年負担金等|L|23",月例!$T$5:$T$788,0)),"")</f>
        <v/>
      </c>
      <c r="R122" s="830" t="str">
        <f>IFERROR(INDEX(月例!$R$5:$R$788,MATCH("厚年負担金等|L|23",月例!$T$5:$T$788,0)),"")</f>
        <v/>
      </c>
      <c r="S122" s="831" t="str">
        <f>IF(R122="","",S121+R122)</f>
        <v/>
      </c>
      <c r="T122" s="829" t="str">
        <f>IFERROR(INDEX(月例!$P$5:$P$788,MATCH("厚年負担金等|L|23",月例!$T$5:$T$788,0)),"")</f>
        <v/>
      </c>
    </row>
    <row r="123">
      <c r="A123" s="825" t="str">
        <f>IFERROR(INDEX(月例!$A$5:$A$788,MATCH("互助会費|L|24",月例!$T$5:$T$788,0)),"")</f>
        <v/>
      </c>
      <c r="B123" s="826" t="str">
        <f>IFERROR(INDEX(月例!$E$5:$E$788,MATCH("互助会費|L|24",月例!$T$5:$T$788,0)),"")</f>
        <v/>
      </c>
      <c r="C123" s="830" t="str">
        <f>IFERROR(INDEX(月例!$R$5:$R$788,MATCH("互助会費|L|24",月例!$T$5:$T$788,0)),"")</f>
        <v/>
      </c>
      <c r="D123" s="831" t="str">
        <f>IF(C123="","",D122-C123)</f>
        <v/>
      </c>
      <c r="E123" s="829" t="str">
        <f>IFERROR(INDEX(月例!$P$5:$P$788,MATCH("互助会費|L|24",月例!$T$5:$T$788,0)),"")</f>
        <v/>
      </c>
      <c r="F123" s="825" t="str">
        <f>IFERROR(INDEX(月例!$A$5:$A$788,MATCH("送金料|L|24",月例!$T$5:$T$788,0)),"")</f>
        <v/>
      </c>
      <c r="G123" s="826" t="str">
        <f>IFERROR(INDEX(月例!$E$5:$E$788,MATCH("送金料|L|24",月例!$T$5:$T$788,0)),"")</f>
        <v/>
      </c>
      <c r="H123" s="830" t="str">
        <f>IFERROR(INDEX(月例!$R$5:$R$788,MATCH("送金料|L|24",月例!$T$5:$T$788,0)),"")</f>
        <v/>
      </c>
      <c r="I123" s="831" t="str">
        <f>IF(H123="","",I122-H123)</f>
        <v/>
      </c>
      <c r="J123" s="829" t="str">
        <f>IFERROR(INDEX(月例!$P$5:$P$788,MATCH("送金料|L|24",月例!$T$5:$T$788,0)),"")</f>
        <v/>
      </c>
      <c r="K123" s="825" t="str">
        <f>IFERROR(INDEX(月例!$A$5:$A$788,MATCH("事務費負担金払込金|L|24",月例!$T$5:$T$788,0)),"")</f>
        <v/>
      </c>
      <c r="L123" s="826" t="str">
        <f>IFERROR(INDEX(月例!$E$5:$E$788,MATCH("事務費負担金払込金|L|24",月例!$T$5:$T$788,0)),"")</f>
        <v/>
      </c>
      <c r="M123" s="830" t="str">
        <f>IFERROR(INDEX(月例!$R$5:$R$788,MATCH("事務費負担金払込金|L|24",月例!$T$5:$T$788,0)),"")</f>
        <v/>
      </c>
      <c r="N123" s="831" t="str">
        <f>IF(M123="","",N122-M123)</f>
        <v/>
      </c>
      <c r="O123" s="829" t="str">
        <f>IFERROR(INDEX(月例!$P$5:$P$788,MATCH("事務費負担金払込金|L|24",月例!$T$5:$T$788,0)),"")</f>
        <v/>
      </c>
    </row>
    <row r="124">
      <c r="A124" s="825" t="str">
        <f>IFERROR(INDEX(月例!$A$5:$A$788,MATCH("互助会費|L|25",月例!$T$5:$T$788,0)),"")</f>
        <v/>
      </c>
      <c r="B124" s="826" t="str">
        <f>IFERROR(INDEX(月例!$E$5:$E$788,MATCH("互助会費|L|25",月例!$T$5:$T$788,0)),"")</f>
        <v/>
      </c>
      <c r="C124" s="830" t="str">
        <f>IFERROR(INDEX(月例!$R$5:$R$788,MATCH("互助会費|L|25",月例!$T$5:$T$788,0)),"")</f>
        <v/>
      </c>
      <c r="D124" s="831" t="str">
        <f>IF(C124="","",D123-C124)</f>
        <v/>
      </c>
      <c r="E124" s="829" t="str">
        <f>IFERROR(INDEX(月例!$P$5:$P$788,MATCH("互助会費|L|25",月例!$T$5:$T$788,0)),"")</f>
        <v/>
      </c>
      <c r="F124" s="825" t="str">
        <f>IFERROR(INDEX(月例!$A$5:$A$788,MATCH("送金料|L|25",月例!$T$5:$T$788,0)),"")</f>
        <v/>
      </c>
      <c r="G124" s="826" t="str">
        <f>IFERROR(INDEX(月例!$E$5:$E$788,MATCH("送金料|L|25",月例!$T$5:$T$788,0)),"")</f>
        <v/>
      </c>
      <c r="H124" s="830" t="str">
        <f>IFERROR(INDEX(月例!$R$5:$R$788,MATCH("送金料|L|25",月例!$T$5:$T$788,0)),"")</f>
        <v/>
      </c>
      <c r="I124" s="831" t="str">
        <f>IF(H124="","",I123-H124)</f>
        <v/>
      </c>
      <c r="J124" s="829" t="str">
        <f>IFERROR(INDEX(月例!$P$5:$P$788,MATCH("送金料|L|25",月例!$T$5:$T$788,0)),"")</f>
        <v/>
      </c>
      <c r="K124" s="825" t="str">
        <f>IFERROR(INDEX(月例!$A$5:$A$788,MATCH("事務費負担金払込金|L|25",月例!$T$5:$T$788,0)),"")</f>
        <v/>
      </c>
      <c r="L124" s="826" t="str">
        <f>IFERROR(INDEX(月例!$E$5:$E$788,MATCH("事務費負担金払込金|L|25",月例!$T$5:$T$788,0)),"")</f>
        <v/>
      </c>
      <c r="M124" s="830" t="str">
        <f>IFERROR(INDEX(月例!$R$5:$R$788,MATCH("事務費負担金払込金|L|25",月例!$T$5:$T$788,0)),"")</f>
        <v/>
      </c>
      <c r="N124" s="831" t="str">
        <f>IF(M124="","",N123-M124)</f>
        <v/>
      </c>
      <c r="O124" s="829" t="str">
        <f>IFERROR(INDEX(月例!$P$5:$P$788,MATCH("事務費負担金払込金|L|25",月例!$T$5:$T$788,0)),"")</f>
        <v/>
      </c>
    </row>
    <row r="125">
      <c r="A125" s="825" t="str">
        <f>IFERROR(INDEX(月例!$A$5:$A$788,MATCH("互助会費|L|26",月例!$T$5:$T$788,0)),"")</f>
        <v/>
      </c>
      <c r="B125" s="826" t="str">
        <f>IFERROR(INDEX(月例!$E$5:$E$788,MATCH("互助会費|L|26",月例!$T$5:$T$788,0)),"")</f>
        <v/>
      </c>
      <c r="C125" s="830" t="str">
        <f>IFERROR(INDEX(月例!$R$5:$R$788,MATCH("互助会費|L|26",月例!$T$5:$T$788,0)),"")</f>
        <v/>
      </c>
      <c r="D125" s="831" t="str">
        <f>IF(C125="","",D124-C125)</f>
        <v/>
      </c>
      <c r="E125" s="829" t="str">
        <f>IFERROR(INDEX(月例!$P$5:$P$788,MATCH("互助会費|L|26",月例!$T$5:$T$788,0)),"")</f>
        <v/>
      </c>
      <c r="F125" s="825" t="str">
        <f>IFERROR(INDEX(月例!$A$5:$A$788,MATCH("送金料|L|26",月例!$T$5:$T$788,0)),"")</f>
        <v/>
      </c>
      <c r="G125" s="826" t="str">
        <f>IFERROR(INDEX(月例!$E$5:$E$788,MATCH("送金料|L|26",月例!$T$5:$T$788,0)),"")</f>
        <v/>
      </c>
      <c r="H125" s="830" t="str">
        <f>IFERROR(INDEX(月例!$R$5:$R$788,MATCH("送金料|L|26",月例!$T$5:$T$788,0)),"")</f>
        <v/>
      </c>
      <c r="I125" s="831" t="str">
        <f>IF(H125="","",I124-H125)</f>
        <v/>
      </c>
      <c r="J125" s="829" t="str">
        <f>IFERROR(INDEX(月例!$P$5:$P$788,MATCH("送金料|L|26",月例!$T$5:$T$788,0)),"")</f>
        <v/>
      </c>
    </row>
    <row r="126">
      <c r="A126" s="825" t="str">
        <f>IFERROR(INDEX(月例!$A$5:$A$788,MATCH("互助会費|L|27",月例!$T$5:$T$788,0)),"")</f>
        <v/>
      </c>
      <c r="B126" s="826" t="str">
        <f>IFERROR(INDEX(月例!$E$5:$E$788,MATCH("互助会費|L|27",月例!$T$5:$T$788,0)),"")</f>
        <v/>
      </c>
      <c r="C126" s="830" t="str">
        <f>IFERROR(INDEX(月例!$R$5:$R$788,MATCH("互助会費|L|27",月例!$T$5:$T$788,0)),"")</f>
        <v/>
      </c>
      <c r="D126" s="831" t="str">
        <f>IF(C126="","",D125-C126)</f>
        <v/>
      </c>
      <c r="E126" s="829" t="str">
        <f>IFERROR(INDEX(月例!$P$5:$P$788,MATCH("互助会費|L|27",月例!$T$5:$T$788,0)),"")</f>
        <v/>
      </c>
      <c r="F126" s="825" t="str">
        <f>IFERROR(INDEX(月例!$A$5:$A$788,MATCH("送金料|L|27",月例!$T$5:$T$788,0)),"")</f>
        <v/>
      </c>
      <c r="G126" s="826" t="str">
        <f>IFERROR(INDEX(月例!$E$5:$E$788,MATCH("送金料|L|27",月例!$T$5:$T$788,0)),"")</f>
        <v/>
      </c>
      <c r="H126" s="830" t="str">
        <f>IFERROR(INDEX(月例!$R$5:$R$788,MATCH("送金料|L|27",月例!$T$5:$T$788,0)),"")</f>
        <v/>
      </c>
      <c r="I126" s="831" t="str">
        <f>IF(H126="","",I125-H126)</f>
        <v/>
      </c>
      <c r="J126" s="829" t="str">
        <f>IFERROR(INDEX(月例!$P$5:$P$788,MATCH("送金料|L|27",月例!$T$5:$T$788,0)),"")</f>
        <v/>
      </c>
    </row>
    <row r="127">
      <c r="A127" s="825" t="str">
        <f>IFERROR(INDEX(月例!$A$5:$A$788,MATCH("互助会費|L|28",月例!$T$5:$T$788,0)),"")</f>
        <v/>
      </c>
      <c r="B127" s="826" t="str">
        <f>IFERROR(INDEX(月例!$E$5:$E$788,MATCH("互助会費|L|28",月例!$T$5:$T$788,0)),"")</f>
        <v/>
      </c>
      <c r="C127" s="830" t="str">
        <f>IFERROR(INDEX(月例!$R$5:$R$788,MATCH("互助会費|L|28",月例!$T$5:$T$788,0)),"")</f>
        <v/>
      </c>
      <c r="D127" s="831" t="str">
        <f>IF(C127="","",D126-C127)</f>
        <v/>
      </c>
      <c r="E127" s="829" t="str">
        <f>IFERROR(INDEX(月例!$P$5:$P$788,MATCH("互助会費|L|28",月例!$T$5:$T$788,0)),"")</f>
        <v/>
      </c>
    </row>
    <row r="128" ht="25.5" customHeight="1" s="186"/>
    <row r="129" ht="25.5" customHeight="1" s="186"/>
    <row r="130" ht="25.5" customHeight="1" s="186"/>
    <row r="131" ht="25.5" customHeight="1" s="186">
      <c r="B131" s="502" t="inlineStr">
        <is>
          <t>○厚生費</t>
        </is>
      </c>
      <c r="D131" s="93" t="inlineStr">
        <is>
          <t>業務（長）</t>
        </is>
      </c>
      <c r="E131" s="824" t="str">
        <f>IF(COUNTIF(月例!$T$5:$T$788,"厚生費|L|*")&gt;16,"行不足","")</f>
        <v/>
      </c>
      <c r="G131" s="502" t="inlineStr">
        <is>
          <t>○事務費  雑費</t>
        </is>
      </c>
      <c r="I131" s="93" t="inlineStr">
        <is>
          <t>業務（長）</t>
        </is>
      </c>
      <c r="J131" s="824" t="str">
        <f>IF(COUNTIF(月例!$T$5:$T$788,"事務費・雑費|L|*")&gt;12,"行不足","")</f>
        <v/>
      </c>
      <c r="L131" s="502" t="inlineStr">
        <is>
          <t>○事務費  会議費</t>
        </is>
      </c>
      <c r="N131" s="93" t="inlineStr">
        <is>
          <t>業務（長）</t>
        </is>
      </c>
      <c r="O131" s="824" t="str">
        <f>IF(COUNTIF(月例!$T$5:$T$788,"会議費|L|*")&gt;12,"行不足","")</f>
        <v/>
      </c>
      <c r="Q131" s="502" t="inlineStr">
        <is>
          <t>○普及費</t>
        </is>
      </c>
      <c r="S131" s="93" t="inlineStr">
        <is>
          <t>業務（長）</t>
        </is>
      </c>
      <c r="T131" s="824" t="str">
        <f>IF(COUNTIF(月例!$T$5:$T$788,"普及費|L|*")&gt;12,"行不足","")</f>
        <v/>
      </c>
    </row>
    <row r="132" ht="25.5" customHeight="1" s="186">
      <c r="A132" s="100" t="inlineStr">
        <is>
          <t>支出日</t>
        </is>
      </c>
      <c r="B132" s="100" t="inlineStr">
        <is>
          <t>摘要</t>
        </is>
      </c>
      <c r="C132" s="100" t="inlineStr">
        <is>
          <t>支出</t>
        </is>
      </c>
      <c r="D132" s="100" t="inlineStr">
        <is>
          <t>残額</t>
        </is>
      </c>
      <c r="E132" s="100" t="inlineStr">
        <is>
          <t>状態</t>
        </is>
      </c>
      <c r="F132" s="100" t="inlineStr">
        <is>
          <t>支出日</t>
        </is>
      </c>
      <c r="G132" s="100" t="inlineStr">
        <is>
          <t>摘要</t>
        </is>
      </c>
      <c r="H132" s="100" t="inlineStr">
        <is>
          <t>支出</t>
        </is>
      </c>
      <c r="I132" s="100" t="inlineStr">
        <is>
          <t>残額</t>
        </is>
      </c>
      <c r="J132" s="100" t="inlineStr">
        <is>
          <t>状態</t>
        </is>
      </c>
      <c r="K132" s="100" t="inlineStr">
        <is>
          <t>支出日</t>
        </is>
      </c>
      <c r="L132" s="100" t="inlineStr">
        <is>
          <t>摘要</t>
        </is>
      </c>
      <c r="M132" s="100" t="inlineStr">
        <is>
          <t>支出</t>
        </is>
      </c>
      <c r="N132" s="100" t="inlineStr">
        <is>
          <t>残額</t>
        </is>
      </c>
      <c r="O132" s="100" t="inlineStr">
        <is>
          <t>状態</t>
        </is>
      </c>
      <c r="P132" s="100" t="inlineStr">
        <is>
          <t>支出日</t>
        </is>
      </c>
      <c r="Q132" s="100" t="inlineStr">
        <is>
          <t>摘要</t>
        </is>
      </c>
      <c r="R132" s="100" t="inlineStr">
        <is>
          <t>支出</t>
        </is>
      </c>
      <c r="S132" s="100" t="inlineStr">
        <is>
          <t>残額</t>
        </is>
      </c>
      <c r="T132" s="100" t="inlineStr">
        <is>
          <t>状態</t>
        </is>
      </c>
    </row>
    <row r="133" ht="25.5" customHeight="1" s="186">
      <c r="A133" s="825" t="n"/>
      <c r="B133" s="826" t="inlineStr">
        <is>
          <t>予算現額</t>
        </is>
      </c>
      <c r="C133" s="830" t="n"/>
      <c r="D133" s="831">
        <f>'R7業務（長）'!$S$10</f>
        <v>25000</v>
      </c>
      <c r="F133" s="825" t="n"/>
      <c r="G133" s="826" t="inlineStr">
        <is>
          <t>予算現額</t>
        </is>
      </c>
      <c r="H133" s="830" t="n"/>
      <c r="I133" s="831">
        <f>'R7業務（長）'!$S$17</f>
        <v>7000</v>
      </c>
      <c r="K133" s="825" t="n"/>
      <c r="L133" s="826" t="inlineStr">
        <is>
          <t>予算現額</t>
        </is>
      </c>
      <c r="M133" s="830" t="n"/>
      <c r="N133" s="831">
        <f>'R7業務（長）'!$S$16</f>
        <v>0</v>
      </c>
      <c r="P133" s="825" t="n"/>
      <c r="Q133" s="826" t="inlineStr">
        <is>
          <t>予算現額</t>
        </is>
      </c>
      <c r="R133" s="830" t="n"/>
      <c r="S133" s="831">
        <f>'R7業務（長）'!$S$24</f>
        <v>993000</v>
      </c>
    </row>
    <row r="134" ht="25.5" customHeight="1" s="186">
      <c r="A134" s="825">
        <f>IFERROR(INDEX(月例!$A$5:$A$788,MATCH("厚生費|L|1",月例!$T$5:$T$788,0)),"")</f>
        <v>46262</v>
      </c>
      <c r="B134" s="826" t="str">
        <f>IFERROR(INDEX(月例!$E$5:$E$788,MATCH("厚生費|L|1",月例!$T$5:$T$788,0)),"")</f>
        <v>情報機器作業従事員健康診断（佐々木）</v>
      </c>
      <c r="C134" s="830">
        <f>IFERROR(INDEX(月例!$R$5:$R$788,MATCH("厚生費|L|1",月例!$T$5:$T$788,0)),"")</f>
        <v>1980</v>
      </c>
      <c r="D134" s="831">
        <f>IF(C134="","",D133-C134)</f>
        <v>23020</v>
      </c>
      <c r="E134" s="829" t="str">
        <f>IFERROR(INDEX(月例!$P$5:$P$788,MATCH("厚生費|L|1",月例!$T$5:$T$788,0)),"")</f>
        <v>確認済</v>
      </c>
      <c r="F134" s="825">
        <f>IFERROR(INDEX(月例!$A$5:$A$788,MATCH("事務費・雑費|L|1",月例!$T$5:$T$788,0)),"")</f>
        <v>46316</v>
      </c>
      <c r="G134" s="826" t="str">
        <f>IFERROR(INDEX(月例!$E$5:$E$788,MATCH("事務費・雑費|L|1",月例!$T$5:$T$788,0)),"")</f>
        <v>ゆうちょ銀行一般振替口座　残高証明書発行手数料</v>
      </c>
      <c r="H134" s="830">
        <f>IFERROR(INDEX(月例!$R$5:$R$788,MATCH("事務費・雑費|L|1",月例!$T$5:$T$788,0)),"")</f>
        <v>3300</v>
      </c>
      <c r="I134" s="831">
        <f>IF(H134="","",I133-H134)</f>
        <v>3700</v>
      </c>
      <c r="J134" s="829" t="str">
        <f>IFERROR(INDEX(月例!$P$5:$P$788,MATCH("事務費・雑費|L|1",月例!$T$5:$T$788,0)),"")</f>
        <v>確認済</v>
      </c>
      <c r="K134" s="825">
        <f>IFERROR(INDEX(月例!$A$5:$A$788,MATCH("会議費|L|1",月例!$T$5:$T$788,0)),"")</f>
        <v>45903</v>
      </c>
      <c r="L134" s="826" t="str">
        <f>IFERROR(INDEX(月例!$E$5:$E$788,MATCH("会議費|L|1",月例!$T$5:$T$788,0)),"")</f>
        <v>大都市職員共済組合互選関係役員協議会　会議負担金（村上理事長、児玉理事長職務代理者）</v>
      </c>
      <c r="M134" s="830">
        <f>IFERROR(INDEX(月例!$R$5:$R$788,MATCH("会議費|L|1",月例!$T$5:$T$788,0)),"")</f>
        <v>8349</v>
      </c>
      <c r="N134" s="831">
        <f>IF(M134="","",N133-M134)</f>
        <v>-8349</v>
      </c>
      <c r="O134" s="829" t="str">
        <f>IFERROR(INDEX(月例!$P$5:$P$788,MATCH("会議費|L|1",月例!$T$5:$T$788,0)),"")</f>
        <v>昨年実績</v>
      </c>
      <c r="P134" s="825">
        <f>IFERROR(INDEX(月例!$A$5:$A$788,MATCH("普及費|L|1",月例!$T$5:$T$788,0)),"")</f>
        <v>46325</v>
      </c>
      <c r="Q134" s="826" t="str">
        <f>IFERROR(INDEX(月例!$E$5:$E$788,MATCH("普及費|L|1",月例!$T$5:$T$788,0)),"")</f>
        <v>厚生だより等印刷代分担金　互助会（第２四半期）</v>
      </c>
      <c r="R134" s="830">
        <f>IFERROR(INDEX(月例!$R$5:$R$788,MATCH("普及費|L|1",月例!$T$5:$T$788,0)),"")</f>
        <v>165090</v>
      </c>
      <c r="S134" s="831">
        <f>IF(R134="","",S133-R134)</f>
        <v>827910</v>
      </c>
      <c r="T134" s="829" t="str">
        <f>IFERROR(INDEX(月例!$P$5:$P$788,MATCH("普及費|L|1",月例!$T$5:$T$788,0)),"")</f>
        <v>確認済</v>
      </c>
    </row>
    <row r="135" ht="25.5" customHeight="1" s="186">
      <c r="A135" s="825">
        <f>IFERROR(INDEX(月例!$A$5:$A$788,MATCH("厚生費|L|2",月例!$T$5:$T$788,0)),"")</f>
        <v>46280</v>
      </c>
      <c r="B135" s="826" t="str">
        <f>IFERROR(INDEX(月例!$E$5:$E$788,MATCH("厚生費|L|2",月例!$T$5:$T$788,0)),"")</f>
        <v>情報機器作業従事員健康診断（上久保）</v>
      </c>
      <c r="C135" s="830">
        <f>IFERROR(INDEX(月例!$R$5:$R$788,MATCH("厚生費|L|2",月例!$T$5:$T$788,0)),"")</f>
        <v>1980</v>
      </c>
      <c r="D135" s="831">
        <f>IF(C135="","",D134-C135)</f>
        <v>21040</v>
      </c>
      <c r="E135" s="829" t="str">
        <f>IFERROR(INDEX(月例!$P$5:$P$788,MATCH("厚生費|L|2",月例!$T$5:$T$788,0)),"")</f>
        <v>確認済</v>
      </c>
      <c r="F135" s="825" t="str">
        <f>IFERROR(INDEX(月例!$A$5:$A$788,MATCH("事務費・雑費|L|2",月例!$T$5:$T$788,0)),"")</f>
        <v/>
      </c>
      <c r="G135" s="826" t="str">
        <f>IFERROR(INDEX(月例!$E$5:$E$788,MATCH("事務費・雑費|L|2",月例!$T$5:$T$788,0)),"")</f>
        <v/>
      </c>
      <c r="H135" s="830" t="str">
        <f>IFERROR(INDEX(月例!$R$5:$R$788,MATCH("事務費・雑費|L|2",月例!$T$5:$T$788,0)),"")</f>
        <v/>
      </c>
      <c r="I135" s="831" t="str">
        <f>IF(H135="","",I134-H135)</f>
        <v/>
      </c>
      <c r="J135" s="829" t="str">
        <f>IFERROR(INDEX(月例!$P$5:$P$788,MATCH("事務費・雑費|L|2",月例!$T$5:$T$788,0)),"")</f>
        <v/>
      </c>
      <c r="K135" s="825">
        <f>IFERROR(INDEX(月例!$A$5:$A$788,MATCH("会議費|L|2",月例!$T$5:$T$788,0)),"")</f>
        <v>45926</v>
      </c>
      <c r="L135" s="826" t="str">
        <f>IFERROR(INDEX(月例!$E$5:$E$788,MATCH("会議費|L|2",月例!$T$5:$T$788,0)),"")</f>
        <v>大都市職員共済組合互選関係役員協議会　会議負担金</v>
      </c>
      <c r="M135" s="830">
        <f>IFERROR(INDEX(月例!$R$5:$R$788,MATCH("会議費|L|2",月例!$T$5:$T$788,0)),"")</f>
        <v>160834</v>
      </c>
      <c r="N135" s="831">
        <f>IF(M135="","",N134-M135)</f>
        <v>-169183</v>
      </c>
      <c r="O135" s="829" t="str">
        <f>IFERROR(INDEX(月例!$P$5:$P$788,MATCH("会議費|L|2",月例!$T$5:$T$788,0)),"")</f>
        <v>昨年実績</v>
      </c>
      <c r="P135" s="825">
        <f>IFERROR(INDEX(月例!$A$5:$A$788,MATCH("普及費|L|2",月例!$T$5:$T$788,0)),"")</f>
        <v>45975</v>
      </c>
      <c r="Q135" s="826" t="str">
        <f>IFERROR(INDEX(月例!$E$5:$E$788,MATCH("普及費|L|2",月例!$T$5:$T$788,0)),"")</f>
        <v>厚生だより等印刷代分担金　互助会（第２四半期）[長期]</v>
      </c>
      <c r="R135" s="830">
        <f>IFERROR(INDEX(月例!$R$5:$R$788,MATCH("普及費|L|2",月例!$T$5:$T$788,0)),"")</f>
        <v>151989</v>
      </c>
      <c r="S135" s="831">
        <f>IF(R135="","",S134-R135)</f>
        <v>675921</v>
      </c>
      <c r="T135" s="829" t="str">
        <f>IFERROR(INDEX(月例!$P$5:$P$788,MATCH("普及費|L|2",月例!$T$5:$T$788,0)),"")</f>
        <v>昨年実績</v>
      </c>
    </row>
    <row r="136">
      <c r="A136" s="825">
        <f>IFERROR(INDEX(月例!$A$5:$A$788,MATCH("厚生費|L|3",月例!$T$5:$T$788,0)),"")</f>
        <v>44515</v>
      </c>
      <c r="B136" s="826" t="str">
        <f>IFERROR(INDEX(月例!$E$5:$E$788,MATCH("厚生費|L|3",月例!$T$5:$T$788,0)),"")</f>
        <v>人間ドック自己負担超分（上久保）</v>
      </c>
      <c r="C136" s="830">
        <f>IFERROR(INDEX(月例!$R$5:$R$788,MATCH("厚生費|L|3",月例!$T$5:$T$788,0)),"")</f>
        <v>8900</v>
      </c>
      <c r="D136" s="831">
        <f>IF(C136="","",D135-C136)</f>
        <v>12140</v>
      </c>
      <c r="E136" s="829" t="str">
        <f>IFERROR(INDEX(月例!$P$5:$P$788,MATCH("厚生費|L|3",月例!$T$5:$T$788,0)),"")</f>
        <v>昨年実績</v>
      </c>
      <c r="F136" s="825" t="str">
        <f>IFERROR(INDEX(月例!$A$5:$A$788,MATCH("事務費・雑費|L|3",月例!$T$5:$T$788,0)),"")</f>
        <v/>
      </c>
      <c r="G136" s="826" t="str">
        <f>IFERROR(INDEX(月例!$E$5:$E$788,MATCH("事務費・雑費|L|3",月例!$T$5:$T$788,0)),"")</f>
        <v/>
      </c>
      <c r="H136" s="830" t="str">
        <f>IFERROR(INDEX(月例!$R$5:$R$788,MATCH("事務費・雑費|L|3",月例!$T$5:$T$788,0)),"")</f>
        <v/>
      </c>
      <c r="I136" s="831" t="str">
        <f>IF(H136="","",I135-H136)</f>
        <v/>
      </c>
      <c r="J136" s="829" t="str">
        <f>IFERROR(INDEX(月例!$P$5:$P$788,MATCH("事務費・雑費|L|3",月例!$T$5:$T$788,0)),"")</f>
        <v/>
      </c>
      <c r="K136" s="825" t="str">
        <f>IFERROR(INDEX(月例!$A$5:$A$788,MATCH("会議費|L|3",月例!$T$5:$T$788,0)),"")</f>
        <v/>
      </c>
      <c r="L136" s="826" t="str">
        <f>IFERROR(INDEX(月例!$E$5:$E$788,MATCH("会議費|L|3",月例!$T$5:$T$788,0)),"")</f>
        <v/>
      </c>
      <c r="M136" s="830" t="str">
        <f>IFERROR(INDEX(月例!$R$5:$R$788,MATCH("会議費|L|3",月例!$T$5:$T$788,0)),"")</f>
        <v/>
      </c>
      <c r="N136" s="831" t="str">
        <f>IF(M136="","",N135-M136)</f>
        <v/>
      </c>
      <c r="O136" s="829" t="str">
        <f>IFERROR(INDEX(月例!$P$5:$P$788,MATCH("会議費|L|3",月例!$T$5:$T$788,0)),"")</f>
        <v/>
      </c>
      <c r="P136" s="825">
        <f>IFERROR(INDEX(月例!$A$5:$A$788,MATCH("普及費|L|3",月例!$T$5:$T$788,0)),"")</f>
        <v>46052</v>
      </c>
      <c r="Q136" s="826" t="str">
        <f>IFERROR(INDEX(月例!$E$5:$E$788,MATCH("普及費|L|3",月例!$T$5:$T$788,0)),"")</f>
        <v>厚生だより等印刷代分担金　互助会（第３四半期）</v>
      </c>
      <c r="R136" s="830">
        <f>IFERROR(INDEX(月例!$R$5:$R$788,MATCH("普及費|L|3",月例!$T$5:$T$788,0)),"")</f>
        <v>227354</v>
      </c>
      <c r="S136" s="831">
        <f>IF(R136="","",S135-R136)</f>
        <v>448567</v>
      </c>
      <c r="T136" s="829" t="str">
        <f>IFERROR(INDEX(月例!$P$5:$P$788,MATCH("普及費|L|3",月例!$T$5:$T$788,0)),"")</f>
        <v>昨年実績</v>
      </c>
    </row>
    <row r="137">
      <c r="A137" s="825">
        <f>IFERROR(INDEX(月例!$A$5:$A$788,MATCH("厚生費|L|4",月例!$T$5:$T$788,0)),"")</f>
        <v>44188</v>
      </c>
      <c r="B137" s="826" t="str">
        <f>IFERROR(INDEX(月例!$E$5:$E$788,MATCH("厚生費|L|4",月例!$T$5:$T$788,0)),"")</f>
        <v>人間ドック自己負担超分（佐々木）</v>
      </c>
      <c r="C137" s="830">
        <f>IFERROR(INDEX(月例!$R$5:$R$788,MATCH("厚生費|L|4",月例!$T$5:$T$788,0)),"")</f>
        <v>18272</v>
      </c>
      <c r="D137" s="831">
        <f>IF(C137="","",D136-C137)</f>
        <v>-6132</v>
      </c>
      <c r="E137" s="829" t="str">
        <f>IFERROR(INDEX(月例!$P$5:$P$788,MATCH("厚生費|L|4",月例!$T$5:$T$788,0)),"")</f>
        <v>昨年実績</v>
      </c>
      <c r="F137" s="825" t="str">
        <f>IFERROR(INDEX(月例!$A$5:$A$788,MATCH("事務費・雑費|L|4",月例!$T$5:$T$788,0)),"")</f>
        <v/>
      </c>
      <c r="G137" s="826" t="str">
        <f>IFERROR(INDEX(月例!$E$5:$E$788,MATCH("事務費・雑費|L|4",月例!$T$5:$T$788,0)),"")</f>
        <v/>
      </c>
      <c r="H137" s="830" t="str">
        <f>IFERROR(INDEX(月例!$R$5:$R$788,MATCH("事務費・雑費|L|4",月例!$T$5:$T$788,0)),"")</f>
        <v/>
      </c>
      <c r="I137" s="831" t="str">
        <f>IF(H137="","",I136-H137)</f>
        <v/>
      </c>
      <c r="J137" s="829" t="str">
        <f>IFERROR(INDEX(月例!$P$5:$P$788,MATCH("事務費・雑費|L|4",月例!$T$5:$T$788,0)),"")</f>
        <v/>
      </c>
      <c r="K137" s="825" t="str">
        <f>IFERROR(INDEX(月例!$A$5:$A$788,MATCH("会議費|L|4",月例!$T$5:$T$788,0)),"")</f>
        <v/>
      </c>
      <c r="L137" s="826" t="str">
        <f>IFERROR(INDEX(月例!$E$5:$E$788,MATCH("会議費|L|4",月例!$T$5:$T$788,0)),"")</f>
        <v/>
      </c>
      <c r="M137" s="830" t="str">
        <f>IFERROR(INDEX(月例!$R$5:$R$788,MATCH("会議費|L|4",月例!$T$5:$T$788,0)),"")</f>
        <v/>
      </c>
      <c r="N137" s="831" t="str">
        <f>IF(M137="","",N136-M137)</f>
        <v/>
      </c>
      <c r="O137" s="829" t="str">
        <f>IFERROR(INDEX(月例!$P$5:$P$788,MATCH("会議費|L|4",月例!$T$5:$T$788,0)),"")</f>
        <v/>
      </c>
      <c r="P137" s="825" t="str">
        <f>IFERROR(INDEX(月例!$A$5:$A$788,MATCH("普及費|L|4",月例!$T$5:$T$788,0)),"")</f>
        <v/>
      </c>
      <c r="Q137" s="826" t="str">
        <f>IFERROR(INDEX(月例!$E$5:$E$788,MATCH("普及費|L|4",月例!$T$5:$T$788,0)),"")</f>
        <v/>
      </c>
      <c r="R137" s="830" t="str">
        <f>IFERROR(INDEX(月例!$R$5:$R$788,MATCH("普及費|L|4",月例!$T$5:$T$788,0)),"")</f>
        <v/>
      </c>
      <c r="S137" s="831" t="str">
        <f>IF(R137="","",S136-R137)</f>
        <v/>
      </c>
      <c r="T137" s="829" t="str">
        <f>IFERROR(INDEX(月例!$P$5:$P$788,MATCH("普及費|L|4",月例!$T$5:$T$788,0)),"")</f>
        <v/>
      </c>
    </row>
    <row r="138">
      <c r="A138" s="825">
        <f>IFERROR(INDEX(月例!$A$5:$A$788,MATCH("厚生費|L|5",月例!$T$5:$T$788,0)),"")</f>
        <v>44608</v>
      </c>
      <c r="B138" s="826" t="str">
        <f>IFERROR(INDEX(月例!$E$5:$E$788,MATCH("厚生費|L|5",月例!$T$5:$T$788,0)),"")</f>
        <v>人間ドック自己負担超分（佐々木）</v>
      </c>
      <c r="C138" s="830">
        <f>IFERROR(INDEX(月例!$R$5:$R$788,MATCH("厚生費|L|5",月例!$T$5:$T$788,0)),"")</f>
        <v>5969</v>
      </c>
      <c r="D138" s="831">
        <f>IF(C138="","",D137-C138)</f>
        <v>-12101</v>
      </c>
      <c r="E138" s="829" t="str">
        <f>IFERROR(INDEX(月例!$P$5:$P$788,MATCH("厚生費|L|5",月例!$T$5:$T$788,0)),"")</f>
        <v>昨年実績</v>
      </c>
      <c r="F138" s="825" t="str">
        <f>IFERROR(INDEX(月例!$A$5:$A$788,MATCH("事務費・雑費|L|5",月例!$T$5:$T$788,0)),"")</f>
        <v/>
      </c>
      <c r="G138" s="826" t="str">
        <f>IFERROR(INDEX(月例!$E$5:$E$788,MATCH("事務費・雑費|L|5",月例!$T$5:$T$788,0)),"")</f>
        <v/>
      </c>
      <c r="H138" s="830" t="str">
        <f>IFERROR(INDEX(月例!$R$5:$R$788,MATCH("事務費・雑費|L|5",月例!$T$5:$T$788,0)),"")</f>
        <v/>
      </c>
      <c r="I138" s="831" t="str">
        <f>IF(H138="","",I137-H138)</f>
        <v/>
      </c>
      <c r="J138" s="829" t="str">
        <f>IFERROR(INDEX(月例!$P$5:$P$788,MATCH("事務費・雑費|L|5",月例!$T$5:$T$788,0)),"")</f>
        <v/>
      </c>
      <c r="K138" s="825" t="str">
        <f>IFERROR(INDEX(月例!$A$5:$A$788,MATCH("会議費|L|5",月例!$T$5:$T$788,0)),"")</f>
        <v/>
      </c>
      <c r="L138" s="826" t="str">
        <f>IFERROR(INDEX(月例!$E$5:$E$788,MATCH("会議費|L|5",月例!$T$5:$T$788,0)),"")</f>
        <v/>
      </c>
      <c r="M138" s="830" t="str">
        <f>IFERROR(INDEX(月例!$R$5:$R$788,MATCH("会議費|L|5",月例!$T$5:$T$788,0)),"")</f>
        <v/>
      </c>
      <c r="N138" s="831" t="str">
        <f>IF(M138="","",N137-M138)</f>
        <v/>
      </c>
      <c r="O138" s="829" t="str">
        <f>IFERROR(INDEX(月例!$P$5:$P$788,MATCH("会議費|L|5",月例!$T$5:$T$788,0)),"")</f>
        <v/>
      </c>
      <c r="P138" s="825" t="str">
        <f>IFERROR(INDEX(月例!$A$5:$A$788,MATCH("普及費|L|5",月例!$T$5:$T$788,0)),"")</f>
        <v/>
      </c>
      <c r="Q138" s="826" t="str">
        <f>IFERROR(INDEX(月例!$E$5:$E$788,MATCH("普及費|L|5",月例!$T$5:$T$788,0)),"")</f>
        <v/>
      </c>
      <c r="R138" s="830" t="str">
        <f>IFERROR(INDEX(月例!$R$5:$R$788,MATCH("普及費|L|5",月例!$T$5:$T$788,0)),"")</f>
        <v/>
      </c>
      <c r="S138" s="831" t="str">
        <f>IF(R138="","",S137-R138)</f>
        <v/>
      </c>
      <c r="T138" s="829" t="str">
        <f>IFERROR(INDEX(月例!$P$5:$P$788,MATCH("普及費|L|5",月例!$T$5:$T$788,0)),"")</f>
        <v/>
      </c>
    </row>
    <row r="139">
      <c r="A139" s="825">
        <f>IFERROR(INDEX(月例!$A$5:$A$788,MATCH("厚生費|L|6",月例!$T$5:$T$788,0)),"")</f>
        <v>44985</v>
      </c>
      <c r="B139" s="826" t="str">
        <f>IFERROR(INDEX(月例!$E$5:$E$788,MATCH("厚生費|L|6",月例!$T$5:$T$788,0)),"")</f>
        <v>情報機器作業従事員健康診断（上久保、佐々木）</v>
      </c>
      <c r="C139" s="830">
        <f>IFERROR(INDEX(月例!$R$5:$R$788,MATCH("厚生費|L|6",月例!$T$5:$T$788,0)),"")</f>
        <v>3630</v>
      </c>
      <c r="D139" s="831">
        <f>IF(C139="","",D138-C139)</f>
        <v>-15731</v>
      </c>
      <c r="E139" s="829" t="str">
        <f>IFERROR(INDEX(月例!$P$5:$P$788,MATCH("厚生費|L|6",月例!$T$5:$T$788,0)),"")</f>
        <v>昨年実績</v>
      </c>
      <c r="F139" s="825" t="str">
        <f>IFERROR(INDEX(月例!$A$5:$A$788,MATCH("事務費・雑費|L|6",月例!$T$5:$T$788,0)),"")</f>
        <v/>
      </c>
      <c r="G139" s="826" t="str">
        <f>IFERROR(INDEX(月例!$E$5:$E$788,MATCH("事務費・雑費|L|6",月例!$T$5:$T$788,0)),"")</f>
        <v/>
      </c>
      <c r="H139" s="830" t="str">
        <f>IFERROR(INDEX(月例!$R$5:$R$788,MATCH("事務費・雑費|L|6",月例!$T$5:$T$788,0)),"")</f>
        <v/>
      </c>
      <c r="I139" s="831" t="str">
        <f>IF(H139="","",I138-H139)</f>
        <v/>
      </c>
      <c r="J139" s="829" t="str">
        <f>IFERROR(INDEX(月例!$P$5:$P$788,MATCH("事務費・雑費|L|6",月例!$T$5:$T$788,0)),"")</f>
        <v/>
      </c>
      <c r="K139" s="825" t="str">
        <f>IFERROR(INDEX(月例!$A$5:$A$788,MATCH("会議費|L|6",月例!$T$5:$T$788,0)),"")</f>
        <v/>
      </c>
      <c r="L139" s="826" t="str">
        <f>IFERROR(INDEX(月例!$E$5:$E$788,MATCH("会議費|L|6",月例!$T$5:$T$788,0)),"")</f>
        <v/>
      </c>
      <c r="M139" s="830" t="str">
        <f>IFERROR(INDEX(月例!$R$5:$R$788,MATCH("会議費|L|6",月例!$T$5:$T$788,0)),"")</f>
        <v/>
      </c>
      <c r="N139" s="831" t="str">
        <f>IF(M139="","",N138-M139)</f>
        <v/>
      </c>
      <c r="O139" s="829" t="str">
        <f>IFERROR(INDEX(月例!$P$5:$P$788,MATCH("会議費|L|6",月例!$T$5:$T$788,0)),"")</f>
        <v/>
      </c>
      <c r="P139" s="825" t="str">
        <f>IFERROR(INDEX(月例!$A$5:$A$788,MATCH("普及費|L|6",月例!$T$5:$T$788,0)),"")</f>
        <v/>
      </c>
      <c r="Q139" s="826" t="str">
        <f>IFERROR(INDEX(月例!$E$5:$E$788,MATCH("普及費|L|6",月例!$T$5:$T$788,0)),"")</f>
        <v/>
      </c>
      <c r="R139" s="830" t="str">
        <f>IFERROR(INDEX(月例!$R$5:$R$788,MATCH("普及費|L|6",月例!$T$5:$T$788,0)),"")</f>
        <v/>
      </c>
      <c r="S139" s="831" t="str">
        <f>IF(R139="","",S138-R139)</f>
        <v/>
      </c>
      <c r="T139" s="829" t="str">
        <f>IFERROR(INDEX(月例!$P$5:$P$788,MATCH("普及費|L|6",月例!$T$5:$T$788,0)),"")</f>
        <v/>
      </c>
    </row>
    <row r="140">
      <c r="A140" s="825" t="str">
        <f>IFERROR(INDEX(月例!$A$5:$A$788,MATCH("厚生費|L|7",月例!$T$5:$T$788,0)),"")</f>
        <v/>
      </c>
      <c r="B140" s="826" t="str">
        <f>IFERROR(INDEX(月例!$E$5:$E$788,MATCH("厚生費|L|7",月例!$T$5:$T$788,0)),"")</f>
        <v/>
      </c>
      <c r="C140" s="830" t="str">
        <f>IFERROR(INDEX(月例!$R$5:$R$788,MATCH("厚生費|L|7",月例!$T$5:$T$788,0)),"")</f>
        <v/>
      </c>
      <c r="D140" s="831" t="str">
        <f>IF(C140="","",D139-C140)</f>
        <v/>
      </c>
      <c r="E140" s="829" t="str">
        <f>IFERROR(INDEX(月例!$P$5:$P$788,MATCH("厚生費|L|7",月例!$T$5:$T$788,0)),"")</f>
        <v/>
      </c>
      <c r="F140" s="825" t="str">
        <f>IFERROR(INDEX(月例!$A$5:$A$788,MATCH("事務費・雑費|L|7",月例!$T$5:$T$788,0)),"")</f>
        <v/>
      </c>
      <c r="G140" s="826" t="str">
        <f>IFERROR(INDEX(月例!$E$5:$E$788,MATCH("事務費・雑費|L|7",月例!$T$5:$T$788,0)),"")</f>
        <v/>
      </c>
      <c r="H140" s="830" t="str">
        <f>IFERROR(INDEX(月例!$R$5:$R$788,MATCH("事務費・雑費|L|7",月例!$T$5:$T$788,0)),"")</f>
        <v/>
      </c>
      <c r="I140" s="831" t="str">
        <f>IF(H140="","",I139-H140)</f>
        <v/>
      </c>
      <c r="J140" s="829" t="str">
        <f>IFERROR(INDEX(月例!$P$5:$P$788,MATCH("事務費・雑費|L|7",月例!$T$5:$T$788,0)),"")</f>
        <v/>
      </c>
      <c r="K140" s="825" t="str">
        <f>IFERROR(INDEX(月例!$A$5:$A$788,MATCH("会議費|L|7",月例!$T$5:$T$788,0)),"")</f>
        <v/>
      </c>
      <c r="L140" s="826" t="str">
        <f>IFERROR(INDEX(月例!$E$5:$E$788,MATCH("会議費|L|7",月例!$T$5:$T$788,0)),"")</f>
        <v/>
      </c>
      <c r="M140" s="830" t="str">
        <f>IFERROR(INDEX(月例!$R$5:$R$788,MATCH("会議費|L|7",月例!$T$5:$T$788,0)),"")</f>
        <v/>
      </c>
      <c r="N140" s="831" t="str">
        <f>IF(M140="","",N139-M140)</f>
        <v/>
      </c>
      <c r="O140" s="829" t="str">
        <f>IFERROR(INDEX(月例!$P$5:$P$788,MATCH("会議費|L|7",月例!$T$5:$T$788,0)),"")</f>
        <v/>
      </c>
      <c r="P140" s="825" t="str">
        <f>IFERROR(INDEX(月例!$A$5:$A$788,MATCH("普及費|L|7",月例!$T$5:$T$788,0)),"")</f>
        <v/>
      </c>
      <c r="Q140" s="826" t="str">
        <f>IFERROR(INDEX(月例!$E$5:$E$788,MATCH("普及費|L|7",月例!$T$5:$T$788,0)),"")</f>
        <v/>
      </c>
      <c r="R140" s="830" t="str">
        <f>IFERROR(INDEX(月例!$R$5:$R$788,MATCH("普及費|L|7",月例!$T$5:$T$788,0)),"")</f>
        <v/>
      </c>
      <c r="S140" s="831" t="str">
        <f>IF(R140="","",S139-R140)</f>
        <v/>
      </c>
      <c r="T140" s="829" t="str">
        <f>IFERROR(INDEX(月例!$P$5:$P$788,MATCH("普及費|L|7",月例!$T$5:$T$788,0)),"")</f>
        <v/>
      </c>
    </row>
    <row r="141">
      <c r="A141" s="825" t="str">
        <f>IFERROR(INDEX(月例!$A$5:$A$788,MATCH("厚生費|L|8",月例!$T$5:$T$788,0)),"")</f>
        <v/>
      </c>
      <c r="B141" s="826" t="str">
        <f>IFERROR(INDEX(月例!$E$5:$E$788,MATCH("厚生費|L|8",月例!$T$5:$T$788,0)),"")</f>
        <v/>
      </c>
      <c r="C141" s="830" t="str">
        <f>IFERROR(INDEX(月例!$R$5:$R$788,MATCH("厚生費|L|8",月例!$T$5:$T$788,0)),"")</f>
        <v/>
      </c>
      <c r="D141" s="831" t="str">
        <f>IF(C141="","",D140-C141)</f>
        <v/>
      </c>
      <c r="E141" s="829" t="str">
        <f>IFERROR(INDEX(月例!$P$5:$P$788,MATCH("厚生費|L|8",月例!$T$5:$T$788,0)),"")</f>
        <v/>
      </c>
      <c r="F141" s="825" t="str">
        <f>IFERROR(INDEX(月例!$A$5:$A$788,MATCH("事務費・雑費|L|8",月例!$T$5:$T$788,0)),"")</f>
        <v/>
      </c>
      <c r="G141" s="826" t="str">
        <f>IFERROR(INDEX(月例!$E$5:$E$788,MATCH("事務費・雑費|L|8",月例!$T$5:$T$788,0)),"")</f>
        <v/>
      </c>
      <c r="H141" s="830" t="str">
        <f>IFERROR(INDEX(月例!$R$5:$R$788,MATCH("事務費・雑費|L|8",月例!$T$5:$T$788,0)),"")</f>
        <v/>
      </c>
      <c r="I141" s="831" t="str">
        <f>IF(H141="","",I140-H141)</f>
        <v/>
      </c>
      <c r="J141" s="829" t="str">
        <f>IFERROR(INDEX(月例!$P$5:$P$788,MATCH("事務費・雑費|L|8",月例!$T$5:$T$788,0)),"")</f>
        <v/>
      </c>
      <c r="K141" s="825" t="str">
        <f>IFERROR(INDEX(月例!$A$5:$A$788,MATCH("会議費|L|8",月例!$T$5:$T$788,0)),"")</f>
        <v/>
      </c>
      <c r="L141" s="826" t="str">
        <f>IFERROR(INDEX(月例!$E$5:$E$788,MATCH("会議費|L|8",月例!$T$5:$T$788,0)),"")</f>
        <v/>
      </c>
      <c r="M141" s="830" t="str">
        <f>IFERROR(INDEX(月例!$R$5:$R$788,MATCH("会議費|L|8",月例!$T$5:$T$788,0)),"")</f>
        <v/>
      </c>
      <c r="N141" s="831" t="str">
        <f>IF(M141="","",N140-M141)</f>
        <v/>
      </c>
      <c r="O141" s="829" t="str">
        <f>IFERROR(INDEX(月例!$P$5:$P$788,MATCH("会議費|L|8",月例!$T$5:$T$788,0)),"")</f>
        <v/>
      </c>
      <c r="P141" s="825" t="str">
        <f>IFERROR(INDEX(月例!$A$5:$A$788,MATCH("普及費|L|8",月例!$T$5:$T$788,0)),"")</f>
        <v/>
      </c>
      <c r="Q141" s="826" t="str">
        <f>IFERROR(INDEX(月例!$E$5:$E$788,MATCH("普及費|L|8",月例!$T$5:$T$788,0)),"")</f>
        <v/>
      </c>
      <c r="R141" s="830" t="str">
        <f>IFERROR(INDEX(月例!$R$5:$R$788,MATCH("普及費|L|8",月例!$T$5:$T$788,0)),"")</f>
        <v/>
      </c>
      <c r="S141" s="831" t="str">
        <f>IF(R141="","",S140-R141)</f>
        <v/>
      </c>
      <c r="T141" s="829" t="str">
        <f>IFERROR(INDEX(月例!$P$5:$P$788,MATCH("普及費|L|8",月例!$T$5:$T$788,0)),"")</f>
        <v/>
      </c>
    </row>
    <row r="142">
      <c r="A142" s="825" t="str">
        <f>IFERROR(INDEX(月例!$A$5:$A$788,MATCH("厚生費|L|9",月例!$T$5:$T$788,0)),"")</f>
        <v/>
      </c>
      <c r="B142" s="826" t="str">
        <f>IFERROR(INDEX(月例!$E$5:$E$788,MATCH("厚生費|L|9",月例!$T$5:$T$788,0)),"")</f>
        <v/>
      </c>
      <c r="C142" s="830" t="str">
        <f>IFERROR(INDEX(月例!$R$5:$R$788,MATCH("厚生費|L|9",月例!$T$5:$T$788,0)),"")</f>
        <v/>
      </c>
      <c r="D142" s="831" t="str">
        <f>IF(C142="","",D141-C142)</f>
        <v/>
      </c>
      <c r="E142" s="829" t="str">
        <f>IFERROR(INDEX(月例!$P$5:$P$788,MATCH("厚生費|L|9",月例!$T$5:$T$788,0)),"")</f>
        <v/>
      </c>
      <c r="F142" s="825" t="str">
        <f>IFERROR(INDEX(月例!$A$5:$A$788,MATCH("事務費・雑費|L|9",月例!$T$5:$T$788,0)),"")</f>
        <v/>
      </c>
      <c r="G142" s="826" t="str">
        <f>IFERROR(INDEX(月例!$E$5:$E$788,MATCH("事務費・雑費|L|9",月例!$T$5:$T$788,0)),"")</f>
        <v/>
      </c>
      <c r="H142" s="830" t="str">
        <f>IFERROR(INDEX(月例!$R$5:$R$788,MATCH("事務費・雑費|L|9",月例!$T$5:$T$788,0)),"")</f>
        <v/>
      </c>
      <c r="I142" s="831" t="str">
        <f>IF(H142="","",I141-H142)</f>
        <v/>
      </c>
      <c r="J142" s="829" t="str">
        <f>IFERROR(INDEX(月例!$P$5:$P$788,MATCH("事務費・雑費|L|9",月例!$T$5:$T$788,0)),"")</f>
        <v/>
      </c>
      <c r="K142" s="825" t="str">
        <f>IFERROR(INDEX(月例!$A$5:$A$788,MATCH("会議費|L|9",月例!$T$5:$T$788,0)),"")</f>
        <v/>
      </c>
      <c r="L142" s="826" t="str">
        <f>IFERROR(INDEX(月例!$E$5:$E$788,MATCH("会議費|L|9",月例!$T$5:$T$788,0)),"")</f>
        <v/>
      </c>
      <c r="M142" s="830" t="str">
        <f>IFERROR(INDEX(月例!$R$5:$R$788,MATCH("会議費|L|9",月例!$T$5:$T$788,0)),"")</f>
        <v/>
      </c>
      <c r="N142" s="831" t="str">
        <f>IF(M142="","",N141-M142)</f>
        <v/>
      </c>
      <c r="O142" s="829" t="str">
        <f>IFERROR(INDEX(月例!$P$5:$P$788,MATCH("会議費|L|9",月例!$T$5:$T$788,0)),"")</f>
        <v/>
      </c>
      <c r="P142" s="825" t="str">
        <f>IFERROR(INDEX(月例!$A$5:$A$788,MATCH("普及費|L|9",月例!$T$5:$T$788,0)),"")</f>
        <v/>
      </c>
      <c r="Q142" s="826" t="str">
        <f>IFERROR(INDEX(月例!$E$5:$E$788,MATCH("普及費|L|9",月例!$T$5:$T$788,0)),"")</f>
        <v/>
      </c>
      <c r="R142" s="830" t="str">
        <f>IFERROR(INDEX(月例!$R$5:$R$788,MATCH("普及費|L|9",月例!$T$5:$T$788,0)),"")</f>
        <v/>
      </c>
      <c r="S142" s="831" t="str">
        <f>IF(R142="","",S141-R142)</f>
        <v/>
      </c>
      <c r="T142" s="829" t="str">
        <f>IFERROR(INDEX(月例!$P$5:$P$788,MATCH("普及費|L|9",月例!$T$5:$T$788,0)),"")</f>
        <v/>
      </c>
    </row>
    <row r="143">
      <c r="A143" s="825" t="str">
        <f>IFERROR(INDEX(月例!$A$5:$A$788,MATCH("厚生費|L|10",月例!$T$5:$T$788,0)),"")</f>
        <v/>
      </c>
      <c r="B143" s="826" t="str">
        <f>IFERROR(INDEX(月例!$E$5:$E$788,MATCH("厚生費|L|10",月例!$T$5:$T$788,0)),"")</f>
        <v/>
      </c>
      <c r="C143" s="830" t="str">
        <f>IFERROR(INDEX(月例!$R$5:$R$788,MATCH("厚生費|L|10",月例!$T$5:$T$788,0)),"")</f>
        <v/>
      </c>
      <c r="D143" s="831" t="str">
        <f>IF(C143="","",D142-C143)</f>
        <v/>
      </c>
      <c r="E143" s="829" t="str">
        <f>IFERROR(INDEX(月例!$P$5:$P$788,MATCH("厚生費|L|10",月例!$T$5:$T$788,0)),"")</f>
        <v/>
      </c>
      <c r="F143" s="825" t="str">
        <f>IFERROR(INDEX(月例!$A$5:$A$788,MATCH("事務費・雑費|L|10",月例!$T$5:$T$788,0)),"")</f>
        <v/>
      </c>
      <c r="G143" s="826" t="str">
        <f>IFERROR(INDEX(月例!$E$5:$E$788,MATCH("事務費・雑費|L|10",月例!$T$5:$T$788,0)),"")</f>
        <v/>
      </c>
      <c r="H143" s="830" t="str">
        <f>IFERROR(INDEX(月例!$R$5:$R$788,MATCH("事務費・雑費|L|10",月例!$T$5:$T$788,0)),"")</f>
        <v/>
      </c>
      <c r="I143" s="831" t="str">
        <f>IF(H143="","",I142-H143)</f>
        <v/>
      </c>
      <c r="J143" s="829" t="str">
        <f>IFERROR(INDEX(月例!$P$5:$P$788,MATCH("事務費・雑費|L|10",月例!$T$5:$T$788,0)),"")</f>
        <v/>
      </c>
      <c r="K143" s="825" t="str">
        <f>IFERROR(INDEX(月例!$A$5:$A$788,MATCH("会議費|L|10",月例!$T$5:$T$788,0)),"")</f>
        <v/>
      </c>
      <c r="L143" s="826" t="str">
        <f>IFERROR(INDEX(月例!$E$5:$E$788,MATCH("会議費|L|10",月例!$T$5:$T$788,0)),"")</f>
        <v/>
      </c>
      <c r="M143" s="830" t="str">
        <f>IFERROR(INDEX(月例!$R$5:$R$788,MATCH("会議費|L|10",月例!$T$5:$T$788,0)),"")</f>
        <v/>
      </c>
      <c r="N143" s="831" t="str">
        <f>IF(M143="","",N142-M143)</f>
        <v/>
      </c>
      <c r="O143" s="829" t="str">
        <f>IFERROR(INDEX(月例!$P$5:$P$788,MATCH("会議費|L|10",月例!$T$5:$T$788,0)),"")</f>
        <v/>
      </c>
      <c r="P143" s="825" t="str">
        <f>IFERROR(INDEX(月例!$A$5:$A$788,MATCH("普及費|L|10",月例!$T$5:$T$788,0)),"")</f>
        <v/>
      </c>
      <c r="Q143" s="826" t="str">
        <f>IFERROR(INDEX(月例!$E$5:$E$788,MATCH("普及費|L|10",月例!$T$5:$T$788,0)),"")</f>
        <v/>
      </c>
      <c r="R143" s="830" t="str">
        <f>IFERROR(INDEX(月例!$R$5:$R$788,MATCH("普及費|L|10",月例!$T$5:$T$788,0)),"")</f>
        <v/>
      </c>
      <c r="S143" s="831" t="str">
        <f>IF(R143="","",S142-R143)</f>
        <v/>
      </c>
      <c r="T143" s="829" t="str">
        <f>IFERROR(INDEX(月例!$P$5:$P$788,MATCH("普及費|L|10",月例!$T$5:$T$788,0)),"")</f>
        <v/>
      </c>
    </row>
    <row r="144">
      <c r="A144" s="825" t="str">
        <f>IFERROR(INDEX(月例!$A$5:$A$788,MATCH("厚生費|L|11",月例!$T$5:$T$788,0)),"")</f>
        <v/>
      </c>
      <c r="B144" s="826" t="str">
        <f>IFERROR(INDEX(月例!$E$5:$E$788,MATCH("厚生費|L|11",月例!$T$5:$T$788,0)),"")</f>
        <v/>
      </c>
      <c r="C144" s="830" t="str">
        <f>IFERROR(INDEX(月例!$R$5:$R$788,MATCH("厚生費|L|11",月例!$T$5:$T$788,0)),"")</f>
        <v/>
      </c>
      <c r="D144" s="831" t="str">
        <f>IF(C144="","",D143-C144)</f>
        <v/>
      </c>
      <c r="E144" s="829" t="str">
        <f>IFERROR(INDEX(月例!$P$5:$P$788,MATCH("厚生費|L|11",月例!$T$5:$T$788,0)),"")</f>
        <v/>
      </c>
      <c r="F144" s="825" t="str">
        <f>IFERROR(INDEX(月例!$A$5:$A$788,MATCH("事務費・雑費|L|11",月例!$T$5:$T$788,0)),"")</f>
        <v/>
      </c>
      <c r="G144" s="826" t="str">
        <f>IFERROR(INDEX(月例!$E$5:$E$788,MATCH("事務費・雑費|L|11",月例!$T$5:$T$788,0)),"")</f>
        <v/>
      </c>
      <c r="H144" s="830" t="str">
        <f>IFERROR(INDEX(月例!$R$5:$R$788,MATCH("事務費・雑費|L|11",月例!$T$5:$T$788,0)),"")</f>
        <v/>
      </c>
      <c r="I144" s="831" t="str">
        <f>IF(H144="","",I143-H144)</f>
        <v/>
      </c>
      <c r="J144" s="829" t="str">
        <f>IFERROR(INDEX(月例!$P$5:$P$788,MATCH("事務費・雑費|L|11",月例!$T$5:$T$788,0)),"")</f>
        <v/>
      </c>
      <c r="K144" s="825" t="str">
        <f>IFERROR(INDEX(月例!$A$5:$A$788,MATCH("会議費|L|11",月例!$T$5:$T$788,0)),"")</f>
        <v/>
      </c>
      <c r="L144" s="826" t="str">
        <f>IFERROR(INDEX(月例!$E$5:$E$788,MATCH("会議費|L|11",月例!$T$5:$T$788,0)),"")</f>
        <v/>
      </c>
      <c r="M144" s="830" t="str">
        <f>IFERROR(INDEX(月例!$R$5:$R$788,MATCH("会議費|L|11",月例!$T$5:$T$788,0)),"")</f>
        <v/>
      </c>
      <c r="N144" s="831" t="str">
        <f>IF(M144="","",N143-M144)</f>
        <v/>
      </c>
      <c r="O144" s="829" t="str">
        <f>IFERROR(INDEX(月例!$P$5:$P$788,MATCH("会議費|L|11",月例!$T$5:$T$788,0)),"")</f>
        <v/>
      </c>
      <c r="P144" s="825" t="str">
        <f>IFERROR(INDEX(月例!$A$5:$A$788,MATCH("普及費|L|11",月例!$T$5:$T$788,0)),"")</f>
        <v/>
      </c>
      <c r="Q144" s="826" t="str">
        <f>IFERROR(INDEX(月例!$E$5:$E$788,MATCH("普及費|L|11",月例!$T$5:$T$788,0)),"")</f>
        <v/>
      </c>
      <c r="R144" s="830" t="str">
        <f>IFERROR(INDEX(月例!$R$5:$R$788,MATCH("普及費|L|11",月例!$T$5:$T$788,0)),"")</f>
        <v/>
      </c>
      <c r="S144" s="831" t="str">
        <f>IF(R144="","",S143-R144)</f>
        <v/>
      </c>
      <c r="T144" s="829" t="str">
        <f>IFERROR(INDEX(月例!$P$5:$P$788,MATCH("普及費|L|11",月例!$T$5:$T$788,0)),"")</f>
        <v/>
      </c>
    </row>
    <row r="145">
      <c r="A145" s="825" t="str">
        <f>IFERROR(INDEX(月例!$A$5:$A$788,MATCH("厚生費|L|12",月例!$T$5:$T$788,0)),"")</f>
        <v/>
      </c>
      <c r="B145" s="826" t="str">
        <f>IFERROR(INDEX(月例!$E$5:$E$788,MATCH("厚生費|L|12",月例!$T$5:$T$788,0)),"")</f>
        <v/>
      </c>
      <c r="C145" s="830" t="str">
        <f>IFERROR(INDEX(月例!$R$5:$R$788,MATCH("厚生費|L|12",月例!$T$5:$T$788,0)),"")</f>
        <v/>
      </c>
      <c r="D145" s="831" t="str">
        <f>IF(C145="","",D144-C145)</f>
        <v/>
      </c>
      <c r="E145" s="829" t="str">
        <f>IFERROR(INDEX(月例!$P$5:$P$788,MATCH("厚生費|L|12",月例!$T$5:$T$788,0)),"")</f>
        <v/>
      </c>
      <c r="F145" s="825" t="str">
        <f>IFERROR(INDEX(月例!$A$5:$A$788,MATCH("事務費・雑費|L|12",月例!$T$5:$T$788,0)),"")</f>
        <v/>
      </c>
      <c r="G145" s="826" t="str">
        <f>IFERROR(INDEX(月例!$E$5:$E$788,MATCH("事務費・雑費|L|12",月例!$T$5:$T$788,0)),"")</f>
        <v/>
      </c>
      <c r="H145" s="830" t="str">
        <f>IFERROR(INDEX(月例!$R$5:$R$788,MATCH("事務費・雑費|L|12",月例!$T$5:$T$788,0)),"")</f>
        <v/>
      </c>
      <c r="I145" s="831" t="str">
        <f>IF(H145="","",I144-H145)</f>
        <v/>
      </c>
      <c r="J145" s="829" t="str">
        <f>IFERROR(INDEX(月例!$P$5:$P$788,MATCH("事務費・雑費|L|12",月例!$T$5:$T$788,0)),"")</f>
        <v/>
      </c>
      <c r="K145" s="825" t="str">
        <f>IFERROR(INDEX(月例!$A$5:$A$788,MATCH("会議費|L|12",月例!$T$5:$T$788,0)),"")</f>
        <v/>
      </c>
      <c r="L145" s="826" t="str">
        <f>IFERROR(INDEX(月例!$E$5:$E$788,MATCH("会議費|L|12",月例!$T$5:$T$788,0)),"")</f>
        <v/>
      </c>
      <c r="M145" s="830" t="str">
        <f>IFERROR(INDEX(月例!$R$5:$R$788,MATCH("会議費|L|12",月例!$T$5:$T$788,0)),"")</f>
        <v/>
      </c>
      <c r="N145" s="831" t="str">
        <f>IF(M145="","",N144-M145)</f>
        <v/>
      </c>
      <c r="O145" s="829" t="str">
        <f>IFERROR(INDEX(月例!$P$5:$P$788,MATCH("会議費|L|12",月例!$T$5:$T$788,0)),"")</f>
        <v/>
      </c>
      <c r="P145" s="825" t="str">
        <f>IFERROR(INDEX(月例!$A$5:$A$788,MATCH("普及費|L|12",月例!$T$5:$T$788,0)),"")</f>
        <v/>
      </c>
      <c r="Q145" s="826" t="str">
        <f>IFERROR(INDEX(月例!$E$5:$E$788,MATCH("普及費|L|12",月例!$T$5:$T$788,0)),"")</f>
        <v/>
      </c>
      <c r="R145" s="830" t="str">
        <f>IFERROR(INDEX(月例!$R$5:$R$788,MATCH("普及費|L|12",月例!$T$5:$T$788,0)),"")</f>
        <v/>
      </c>
      <c r="S145" s="831" t="str">
        <f>IF(R145="","",S144-R145)</f>
        <v/>
      </c>
      <c r="T145" s="829" t="str">
        <f>IFERROR(INDEX(月例!$P$5:$P$788,MATCH("普及費|L|12",月例!$T$5:$T$788,0)),"")</f>
        <v/>
      </c>
    </row>
    <row r="146">
      <c r="A146" s="825" t="str">
        <f>IFERROR(INDEX(月例!$A$5:$A$788,MATCH("厚生費|L|13",月例!$T$5:$T$788,0)),"")</f>
        <v/>
      </c>
      <c r="B146" s="826" t="str">
        <f>IFERROR(INDEX(月例!$E$5:$E$788,MATCH("厚生費|L|13",月例!$T$5:$T$788,0)),"")</f>
        <v/>
      </c>
      <c r="C146" s="830" t="str">
        <f>IFERROR(INDEX(月例!$R$5:$R$788,MATCH("厚生費|L|13",月例!$T$5:$T$788,0)),"")</f>
        <v/>
      </c>
      <c r="D146" s="831" t="str">
        <f>IF(C146="","",D145-C146)</f>
        <v/>
      </c>
      <c r="E146" s="829" t="str">
        <f>IFERROR(INDEX(月例!$P$5:$P$788,MATCH("厚生費|L|13",月例!$T$5:$T$788,0)),"")</f>
        <v/>
      </c>
    </row>
    <row r="147">
      <c r="A147" s="825" t="str">
        <f>IFERROR(INDEX(月例!$A$5:$A$788,MATCH("厚生費|L|14",月例!$T$5:$T$788,0)),"")</f>
        <v/>
      </c>
      <c r="B147" s="826" t="str">
        <f>IFERROR(INDEX(月例!$E$5:$E$788,MATCH("厚生費|L|14",月例!$T$5:$T$788,0)),"")</f>
        <v/>
      </c>
      <c r="C147" s="830" t="str">
        <f>IFERROR(INDEX(月例!$R$5:$R$788,MATCH("厚生費|L|14",月例!$T$5:$T$788,0)),"")</f>
        <v/>
      </c>
      <c r="D147" s="831" t="str">
        <f>IF(C147="","",D146-C147)</f>
        <v/>
      </c>
      <c r="E147" s="829" t="str">
        <f>IFERROR(INDEX(月例!$P$5:$P$788,MATCH("厚生費|L|14",月例!$T$5:$T$788,0)),"")</f>
        <v/>
      </c>
    </row>
    <row r="148">
      <c r="A148" s="825" t="str">
        <f>IFERROR(INDEX(月例!$A$5:$A$788,MATCH("厚生費|L|15",月例!$T$5:$T$788,0)),"")</f>
        <v/>
      </c>
      <c r="B148" s="826" t="str">
        <f>IFERROR(INDEX(月例!$E$5:$E$788,MATCH("厚生費|L|15",月例!$T$5:$T$788,0)),"")</f>
        <v/>
      </c>
      <c r="C148" s="830" t="str">
        <f>IFERROR(INDEX(月例!$R$5:$R$788,MATCH("厚生費|L|15",月例!$T$5:$T$788,0)),"")</f>
        <v/>
      </c>
      <c r="D148" s="831" t="str">
        <f>IF(C148="","",D147-C148)</f>
        <v/>
      </c>
      <c r="E148" s="829" t="str">
        <f>IFERROR(INDEX(月例!$P$5:$P$788,MATCH("厚生費|L|15",月例!$T$5:$T$788,0)),"")</f>
        <v/>
      </c>
    </row>
    <row r="149">
      <c r="A149" s="825" t="str">
        <f>IFERROR(INDEX(月例!$A$5:$A$788,MATCH("厚生費|L|16",月例!$T$5:$T$788,0)),"")</f>
        <v/>
      </c>
      <c r="B149" s="826" t="str">
        <f>IFERROR(INDEX(月例!$E$5:$E$788,MATCH("厚生費|L|16",月例!$T$5:$T$788,0)),"")</f>
        <v/>
      </c>
      <c r="C149" s="830" t="str">
        <f>IFERROR(INDEX(月例!$R$5:$R$788,MATCH("厚生費|L|16",月例!$T$5:$T$788,0)),"")</f>
        <v/>
      </c>
      <c r="D149" s="831" t="str">
        <f>IF(C149="","",D148-C149)</f>
        <v/>
      </c>
      <c r="E149" s="829" t="str">
        <f>IFERROR(INDEX(月例!$P$5:$P$788,MATCH("厚生費|L|16",月例!$T$5:$T$788,0)),"")</f>
        <v/>
      </c>
    </row>
    <row r="153">
      <c r="B153" s="502" t="inlineStr">
        <is>
          <t>○光熱水料</t>
        </is>
      </c>
      <c r="D153" s="93" t="inlineStr">
        <is>
          <t>業務（長）</t>
        </is>
      </c>
      <c r="E153" s="824" t="str">
        <f>IF(COUNTIF(月例!$T$5:$T$788,"光熱水料|L|*")&gt;12,"行不足","")</f>
        <v/>
      </c>
      <c r="G153" s="502" t="inlineStr">
        <is>
          <t>○修繕費</t>
        </is>
      </c>
      <c r="I153" s="93" t="inlineStr">
        <is>
          <t>業務（長）</t>
        </is>
      </c>
      <c r="J153" s="824" t="str">
        <f>IF(COUNTIF(月例!$T$5:$T$788,"修繕費|L|*")&gt;12,"行不足","")</f>
        <v/>
      </c>
      <c r="L153" s="502" t="inlineStr">
        <is>
          <t>○役員報酬</t>
        </is>
      </c>
      <c r="N153" s="93" t="inlineStr">
        <is>
          <t>業務（長）</t>
        </is>
      </c>
      <c r="O153" s="824" t="str">
        <f>IF(COUNTIF(月例!$T$5:$T$788,"役員報酬|L|*")&gt;12,"行不足","")</f>
        <v/>
      </c>
      <c r="Q153" s="502" t="inlineStr">
        <is>
          <t>○連合会分担金</t>
        </is>
      </c>
      <c r="S153" s="93" t="inlineStr">
        <is>
          <t>業務（長）</t>
        </is>
      </c>
      <c r="T153" s="824" t="str">
        <f>IF(COUNTIF(月例!$T$5:$T$788,"連合会分担金|L|*")&gt;12,"行不足","")</f>
        <v/>
      </c>
    </row>
    <row r="154">
      <c r="A154" s="100" t="inlineStr">
        <is>
          <t>支出日</t>
        </is>
      </c>
      <c r="B154" s="100" t="inlineStr">
        <is>
          <t>摘要</t>
        </is>
      </c>
      <c r="C154" s="100" t="inlineStr">
        <is>
          <t>支出</t>
        </is>
      </c>
      <c r="D154" s="100" t="inlineStr">
        <is>
          <t>残額</t>
        </is>
      </c>
      <c r="E154" s="100" t="inlineStr">
        <is>
          <t>状態</t>
        </is>
      </c>
      <c r="F154" s="100" t="inlineStr">
        <is>
          <t>支出日</t>
        </is>
      </c>
      <c r="G154" s="100" t="inlineStr">
        <is>
          <t>摘要</t>
        </is>
      </c>
      <c r="H154" s="100" t="inlineStr">
        <is>
          <t>支出</t>
        </is>
      </c>
      <c r="I154" s="100" t="inlineStr">
        <is>
          <t>残額</t>
        </is>
      </c>
      <c r="J154" s="100" t="inlineStr">
        <is>
          <t>状態</t>
        </is>
      </c>
      <c r="K154" s="100" t="inlineStr">
        <is>
          <t>支出日</t>
        </is>
      </c>
      <c r="L154" s="100" t="inlineStr">
        <is>
          <t>摘要</t>
        </is>
      </c>
      <c r="M154" s="100" t="inlineStr">
        <is>
          <t>支出</t>
        </is>
      </c>
      <c r="N154" s="100" t="inlineStr">
        <is>
          <t>残額</t>
        </is>
      </c>
      <c r="O154" s="100" t="inlineStr">
        <is>
          <t>状態</t>
        </is>
      </c>
      <c r="P154" s="100" t="inlineStr">
        <is>
          <t>支出日</t>
        </is>
      </c>
      <c r="Q154" s="100" t="inlineStr">
        <is>
          <t>摘要</t>
        </is>
      </c>
      <c r="R154" s="100" t="inlineStr">
        <is>
          <t>支出</t>
        </is>
      </c>
      <c r="S154" s="100" t="inlineStr">
        <is>
          <t>残額</t>
        </is>
      </c>
      <c r="T154" s="100" t="inlineStr">
        <is>
          <t>状態</t>
        </is>
      </c>
    </row>
    <row r="155">
      <c r="A155" s="825" t="n"/>
      <c r="B155" s="826" t="inlineStr">
        <is>
          <t>予算現額</t>
        </is>
      </c>
      <c r="C155" s="830" t="n"/>
      <c r="D155" s="831">
        <f>'R7業務（長）'!$S$21</f>
        <v>102000</v>
      </c>
      <c r="F155" s="825" t="n"/>
      <c r="G155" s="826" t="inlineStr">
        <is>
          <t>予算現額</t>
        </is>
      </c>
      <c r="H155" s="830" t="n"/>
      <c r="I155" s="831">
        <f>'R7業務（長）'!$S$22</f>
        <v>0</v>
      </c>
      <c r="K155" s="825" t="n"/>
      <c r="L155" s="826" t="inlineStr">
        <is>
          <t>予算現額</t>
        </is>
      </c>
      <c r="M155" s="830" t="n"/>
      <c r="N155" s="831">
        <f>'R7業務（長）'!$S$4</f>
        <v>17000</v>
      </c>
      <c r="P155" s="825" t="n"/>
      <c r="Q155" s="826" t="inlineStr">
        <is>
          <t>予算現額</t>
        </is>
      </c>
      <c r="R155" s="830" t="n"/>
      <c r="S155" s="831">
        <f>'R7業務（長）'!$S$34</f>
        <v>0</v>
      </c>
    </row>
    <row r="156">
      <c r="A156" s="825">
        <f>IFERROR(INDEX(月例!$A$5:$A$788,MATCH("光熱水料|L|1",月例!$T$5:$T$788,0)),"")</f>
        <v>45996</v>
      </c>
      <c r="B156" s="826" t="str">
        <f>IFERROR(INDEX(月例!$E$5:$E$788,MATCH("光熱水料|L|1",月例!$T$5:$T$788,0)),"")</f>
        <v>電気料（広島市４～９月分）</v>
      </c>
      <c r="C156" s="830">
        <f>IFERROR(INDEX(月例!$R$5:$R$788,MATCH("光熱水料|L|1",月例!$T$5:$T$788,0)),"")</f>
        <v>30112</v>
      </c>
      <c r="D156" s="831">
        <f>IF(C156="","",D155-C156)</f>
        <v>71888</v>
      </c>
      <c r="E156" s="829" t="str">
        <f>IFERROR(INDEX(月例!$P$5:$P$788,MATCH("光熱水料|L|1",月例!$T$5:$T$788,0)),"")</f>
        <v>昨年実績</v>
      </c>
      <c r="F156" s="825" t="str">
        <f>IFERROR(INDEX(月例!$A$5:$A$788,MATCH("修繕費|L|1",月例!$T$5:$T$788,0)),"")</f>
        <v/>
      </c>
      <c r="G156" s="826" t="str">
        <f>IFERROR(INDEX(月例!$E$5:$E$788,MATCH("修繕費|L|1",月例!$T$5:$T$788,0)),"")</f>
        <v/>
      </c>
      <c r="H156" s="830" t="str">
        <f>IFERROR(INDEX(月例!$R$5:$R$788,MATCH("修繕費|L|1",月例!$T$5:$T$788,0)),"")</f>
        <v/>
      </c>
      <c r="I156" s="831" t="str">
        <f>IF(H156="","",I155-H156)</f>
        <v/>
      </c>
      <c r="J156" s="829" t="str">
        <f>IFERROR(INDEX(月例!$P$5:$P$788,MATCH("修繕費|L|1",月例!$T$5:$T$788,0)),"")</f>
        <v/>
      </c>
      <c r="K156" s="825">
        <f>IFERROR(INDEX(月例!$A$5:$A$788,MATCH("役員報酬|L|1",月例!$T$5:$T$788,0)),"")</f>
        <v>46181</v>
      </c>
      <c r="L156" s="826" t="str">
        <f>IFERROR(INDEX(月例!$E$5:$E$788,MATCH("役員報酬|L|1",月例!$T$5:$T$788,0)),"")</f>
        <v>業務監査６／８　学識経験監事　栗栖　一雄</v>
      </c>
      <c r="M156" s="830">
        <f>IFERROR(INDEX(月例!$R$5:$R$788,MATCH("役員報酬|L|1",月例!$T$5:$T$788,0)),"")</f>
        <v>5739</v>
      </c>
      <c r="N156" s="831">
        <f>IF(M156="","",N155-M156)</f>
        <v>11261</v>
      </c>
      <c r="O156" s="829" t="str">
        <f>IFERROR(INDEX(月例!$P$5:$P$788,MATCH("役員報酬|L|1",月例!$T$5:$T$788,0)),"")</f>
        <v>確認済</v>
      </c>
      <c r="P156" s="825" t="str">
        <f>IFERROR(INDEX(月例!$A$5:$A$788,MATCH("連合会分担金|L|1",月例!$T$5:$T$788,0)),"")</f>
        <v/>
      </c>
      <c r="Q156" s="826" t="str">
        <f>IFERROR(INDEX(月例!$E$5:$E$788,MATCH("連合会分担金|L|1",月例!$T$5:$T$788,0)),"")</f>
        <v/>
      </c>
      <c r="R156" s="830" t="str">
        <f>IFERROR(INDEX(月例!$R$5:$R$788,MATCH("連合会分担金|L|1",月例!$T$5:$T$788,0)),"")</f>
        <v/>
      </c>
      <c r="S156" s="831" t="str">
        <f>IF(R156="","",S155-R156)</f>
        <v/>
      </c>
      <c r="T156" s="829" t="str">
        <f>IFERROR(INDEX(月例!$P$5:$P$788,MATCH("連合会分担金|L|1",月例!$T$5:$T$788,0)),"")</f>
        <v/>
      </c>
    </row>
    <row r="157">
      <c r="A157" s="825">
        <f>IFERROR(INDEX(月例!$A$5:$A$788,MATCH("光熱水料|L|2",月例!$T$5:$T$788,0)),"")</f>
        <v>45996</v>
      </c>
      <c r="B157" s="826" t="str">
        <f>IFERROR(INDEX(月例!$E$5:$E$788,MATCH("光熱水料|L|2",月例!$T$5:$T$788,0)),"")</f>
        <v>水道料（広島市４～９月分）</v>
      </c>
      <c r="C157" s="830">
        <f>IFERROR(INDEX(月例!$R$5:$R$788,MATCH("光熱水料|L|2",月例!$T$5:$T$788,0)),"")</f>
        <v>10227</v>
      </c>
      <c r="D157" s="831">
        <f>IF(C157="","",D156-C157)</f>
        <v>61661</v>
      </c>
      <c r="E157" s="829" t="str">
        <f>IFERROR(INDEX(月例!$P$5:$P$788,MATCH("光熱水料|L|2",月例!$T$5:$T$788,0)),"")</f>
        <v>昨年実績</v>
      </c>
      <c r="F157" s="825" t="str">
        <f>IFERROR(INDEX(月例!$A$5:$A$788,MATCH("修繕費|L|2",月例!$T$5:$T$788,0)),"")</f>
        <v/>
      </c>
      <c r="G157" s="826" t="str">
        <f>IFERROR(INDEX(月例!$E$5:$E$788,MATCH("修繕費|L|2",月例!$T$5:$T$788,0)),"")</f>
        <v/>
      </c>
      <c r="H157" s="830" t="str">
        <f>IFERROR(INDEX(月例!$R$5:$R$788,MATCH("修繕費|L|2",月例!$T$5:$T$788,0)),"")</f>
        <v/>
      </c>
      <c r="I157" s="831" t="str">
        <f>IF(H157="","",I156-H157)</f>
        <v/>
      </c>
      <c r="J157" s="829" t="str">
        <f>IFERROR(INDEX(月例!$P$5:$P$788,MATCH("修繕費|L|2",月例!$T$5:$T$788,0)),"")</f>
        <v/>
      </c>
      <c r="K157" s="825">
        <f>IFERROR(INDEX(月例!$A$5:$A$788,MATCH("役員報酬|L|2",月例!$T$5:$T$788,0)),"")</f>
        <v>46202</v>
      </c>
      <c r="L157" s="826" t="str">
        <f>IFERROR(INDEX(月例!$E$5:$E$788,MATCH("役員報酬|L|2",月例!$T$5:$T$788,0)),"")</f>
        <v>組合会６／２９　学識経験監事　栗栖　一雄</v>
      </c>
      <c r="M157" s="830">
        <f>IFERROR(INDEX(月例!$R$5:$R$788,MATCH("役員報酬|L|2",月例!$T$5:$T$788,0)),"")</f>
        <v>5739</v>
      </c>
      <c r="N157" s="831">
        <f>IF(M157="","",N156-M157)</f>
        <v>5522</v>
      </c>
      <c r="O157" s="829" t="str">
        <f>IFERROR(INDEX(月例!$P$5:$P$788,MATCH("役員報酬|L|2",月例!$T$5:$T$788,0)),"")</f>
        <v>確認済</v>
      </c>
      <c r="P157" s="825" t="str">
        <f>IFERROR(INDEX(月例!$A$5:$A$788,MATCH("連合会分担金|L|2",月例!$T$5:$T$788,0)),"")</f>
        <v/>
      </c>
      <c r="Q157" s="826" t="str">
        <f>IFERROR(INDEX(月例!$E$5:$E$788,MATCH("連合会分担金|L|2",月例!$T$5:$T$788,0)),"")</f>
        <v/>
      </c>
      <c r="R157" s="830" t="str">
        <f>IFERROR(INDEX(月例!$R$5:$R$788,MATCH("連合会分担金|L|2",月例!$T$5:$T$788,0)),"")</f>
        <v/>
      </c>
      <c r="S157" s="831" t="str">
        <f>IF(R157="","",S156-R157)</f>
        <v/>
      </c>
      <c r="T157" s="829" t="str">
        <f>IFERROR(INDEX(月例!$P$5:$P$788,MATCH("連合会分担金|L|2",月例!$T$5:$T$788,0)),"")</f>
        <v/>
      </c>
    </row>
    <row r="158">
      <c r="A158" s="825">
        <f>IFERROR(INDEX(月例!$A$5:$A$788,MATCH("光熱水料|L|3",月例!$T$5:$T$788,0)),"")</f>
        <v>45996</v>
      </c>
      <c r="B158" s="826" t="str">
        <f>IFERROR(INDEX(月例!$E$5:$E$788,MATCH("光熱水料|L|3",月例!$T$5:$T$788,0)),"")</f>
        <v>ガス料（広島市４～９月分）</v>
      </c>
      <c r="C158" s="830">
        <f>IFERROR(INDEX(月例!$R$5:$R$788,MATCH("光熱水料|L|3",月例!$T$5:$T$788,0)),"")</f>
        <v>10046</v>
      </c>
      <c r="D158" s="831">
        <f>IF(C158="","",D157-C158)</f>
        <v>51615</v>
      </c>
      <c r="E158" s="829" t="str">
        <f>IFERROR(INDEX(月例!$P$5:$P$788,MATCH("光熱水料|L|3",月例!$T$5:$T$788,0)),"")</f>
        <v>昨年実績</v>
      </c>
      <c r="F158" s="825" t="str">
        <f>IFERROR(INDEX(月例!$A$5:$A$788,MATCH("修繕費|L|3",月例!$T$5:$T$788,0)),"")</f>
        <v/>
      </c>
      <c r="G158" s="826" t="str">
        <f>IFERROR(INDEX(月例!$E$5:$E$788,MATCH("修繕費|L|3",月例!$T$5:$T$788,0)),"")</f>
        <v/>
      </c>
      <c r="H158" s="830" t="str">
        <f>IFERROR(INDEX(月例!$R$5:$R$788,MATCH("修繕費|L|3",月例!$T$5:$T$788,0)),"")</f>
        <v/>
      </c>
      <c r="I158" s="831" t="str">
        <f>IF(H158="","",I157-H158)</f>
        <v/>
      </c>
      <c r="J158" s="829" t="str">
        <f>IFERROR(INDEX(月例!$P$5:$P$788,MATCH("修繕費|L|3",月例!$T$5:$T$788,0)),"")</f>
        <v/>
      </c>
      <c r="K158" s="825">
        <f>IFERROR(INDEX(月例!$A$5:$A$788,MATCH("役員報酬|L|3",月例!$T$5:$T$788,0)),"")</f>
        <v>46106</v>
      </c>
      <c r="L158" s="826" t="str">
        <f>IFERROR(INDEX(月例!$E$5:$E$788,MATCH("役員報酬|L|3",月例!$T$5:$T$788,0)),"")</f>
        <v>組合会３／２５　学識経験監事　栗栖　一雄</v>
      </c>
      <c r="M158" s="830">
        <f>IFERROR(INDEX(月例!$R$5:$R$788,MATCH("役員報酬|L|3",月例!$T$5:$T$788,0)),"")</f>
        <v>5739</v>
      </c>
      <c r="N158" s="831">
        <f>IF(M158="","",N157-M158)</f>
        <v>-217</v>
      </c>
      <c r="O158" s="829" t="str">
        <f>IFERROR(INDEX(月例!$P$5:$P$788,MATCH("役員報酬|L|3",月例!$T$5:$T$788,0)),"")</f>
        <v>昨年実績</v>
      </c>
      <c r="P158" s="825" t="str">
        <f>IFERROR(INDEX(月例!$A$5:$A$788,MATCH("連合会分担金|L|3",月例!$T$5:$T$788,0)),"")</f>
        <v/>
      </c>
      <c r="Q158" s="826" t="str">
        <f>IFERROR(INDEX(月例!$E$5:$E$788,MATCH("連合会分担金|L|3",月例!$T$5:$T$788,0)),"")</f>
        <v/>
      </c>
      <c r="R158" s="830" t="str">
        <f>IFERROR(INDEX(月例!$R$5:$R$788,MATCH("連合会分担金|L|3",月例!$T$5:$T$788,0)),"")</f>
        <v/>
      </c>
      <c r="S158" s="831" t="str">
        <f>IF(R158="","",S157-R158)</f>
        <v/>
      </c>
      <c r="T158" s="829" t="str">
        <f>IFERROR(INDEX(月例!$P$5:$P$788,MATCH("連合会分担金|L|3",月例!$T$5:$T$788,0)),"")</f>
        <v/>
      </c>
    </row>
    <row r="159">
      <c r="A159" s="825" t="str">
        <f>IFERROR(INDEX(月例!$A$5:$A$788,MATCH("光熱水料|L|4",月例!$T$5:$T$788,0)),"")</f>
        <v/>
      </c>
      <c r="B159" s="826" t="str">
        <f>IFERROR(INDEX(月例!$E$5:$E$788,MATCH("光熱水料|L|4",月例!$T$5:$T$788,0)),"")</f>
        <v/>
      </c>
      <c r="C159" s="830" t="str">
        <f>IFERROR(INDEX(月例!$R$5:$R$788,MATCH("光熱水料|L|4",月例!$T$5:$T$788,0)),"")</f>
        <v/>
      </c>
      <c r="D159" s="831" t="str">
        <f>IF(C159="","",D158-C159)</f>
        <v/>
      </c>
      <c r="E159" s="829" t="str">
        <f>IFERROR(INDEX(月例!$P$5:$P$788,MATCH("光熱水料|L|4",月例!$T$5:$T$788,0)),"")</f>
        <v/>
      </c>
      <c r="F159" s="825" t="str">
        <f>IFERROR(INDEX(月例!$A$5:$A$788,MATCH("修繕費|L|4",月例!$T$5:$T$788,0)),"")</f>
        <v/>
      </c>
      <c r="G159" s="826" t="str">
        <f>IFERROR(INDEX(月例!$E$5:$E$788,MATCH("修繕費|L|4",月例!$T$5:$T$788,0)),"")</f>
        <v/>
      </c>
      <c r="H159" s="830" t="str">
        <f>IFERROR(INDEX(月例!$R$5:$R$788,MATCH("修繕費|L|4",月例!$T$5:$T$788,0)),"")</f>
        <v/>
      </c>
      <c r="I159" s="831" t="str">
        <f>IF(H159="","",I158-H159)</f>
        <v/>
      </c>
      <c r="J159" s="829" t="str">
        <f>IFERROR(INDEX(月例!$P$5:$P$788,MATCH("修繕費|L|4",月例!$T$5:$T$788,0)),"")</f>
        <v/>
      </c>
      <c r="K159" s="825" t="str">
        <f>IFERROR(INDEX(月例!$A$5:$A$788,MATCH("役員報酬|L|4",月例!$T$5:$T$788,0)),"")</f>
        <v/>
      </c>
      <c r="L159" s="826" t="str">
        <f>IFERROR(INDEX(月例!$E$5:$E$788,MATCH("役員報酬|L|4",月例!$T$5:$T$788,0)),"")</f>
        <v/>
      </c>
      <c r="M159" s="830" t="str">
        <f>IFERROR(INDEX(月例!$R$5:$R$788,MATCH("役員報酬|L|4",月例!$T$5:$T$788,0)),"")</f>
        <v/>
      </c>
      <c r="N159" s="831" t="str">
        <f>IF(M159="","",N158-M159)</f>
        <v/>
      </c>
      <c r="O159" s="829" t="str">
        <f>IFERROR(INDEX(月例!$P$5:$P$788,MATCH("役員報酬|L|4",月例!$T$5:$T$788,0)),"")</f>
        <v/>
      </c>
      <c r="P159" s="825" t="str">
        <f>IFERROR(INDEX(月例!$A$5:$A$788,MATCH("連合会分担金|L|4",月例!$T$5:$T$788,0)),"")</f>
        <v/>
      </c>
      <c r="Q159" s="826" t="str">
        <f>IFERROR(INDEX(月例!$E$5:$E$788,MATCH("連合会分担金|L|4",月例!$T$5:$T$788,0)),"")</f>
        <v/>
      </c>
      <c r="R159" s="830" t="str">
        <f>IFERROR(INDEX(月例!$R$5:$R$788,MATCH("連合会分担金|L|4",月例!$T$5:$T$788,0)),"")</f>
        <v/>
      </c>
      <c r="S159" s="831" t="str">
        <f>IF(R159="","",S158-R159)</f>
        <v/>
      </c>
      <c r="T159" s="829" t="str">
        <f>IFERROR(INDEX(月例!$P$5:$P$788,MATCH("連合会分担金|L|4",月例!$T$5:$T$788,0)),"")</f>
        <v/>
      </c>
    </row>
    <row r="160">
      <c r="A160" s="825" t="str">
        <f>IFERROR(INDEX(月例!$A$5:$A$788,MATCH("光熱水料|L|5",月例!$T$5:$T$788,0)),"")</f>
        <v/>
      </c>
      <c r="B160" s="826" t="str">
        <f>IFERROR(INDEX(月例!$E$5:$E$788,MATCH("光熱水料|L|5",月例!$T$5:$T$788,0)),"")</f>
        <v/>
      </c>
      <c r="C160" s="830" t="str">
        <f>IFERROR(INDEX(月例!$R$5:$R$788,MATCH("光熱水料|L|5",月例!$T$5:$T$788,0)),"")</f>
        <v/>
      </c>
      <c r="D160" s="831" t="str">
        <f>IF(C160="","",D159-C160)</f>
        <v/>
      </c>
      <c r="E160" s="829" t="str">
        <f>IFERROR(INDEX(月例!$P$5:$P$788,MATCH("光熱水料|L|5",月例!$T$5:$T$788,0)),"")</f>
        <v/>
      </c>
      <c r="F160" s="825" t="str">
        <f>IFERROR(INDEX(月例!$A$5:$A$788,MATCH("修繕費|L|5",月例!$T$5:$T$788,0)),"")</f>
        <v/>
      </c>
      <c r="G160" s="826" t="str">
        <f>IFERROR(INDEX(月例!$E$5:$E$788,MATCH("修繕費|L|5",月例!$T$5:$T$788,0)),"")</f>
        <v/>
      </c>
      <c r="H160" s="830" t="str">
        <f>IFERROR(INDEX(月例!$R$5:$R$788,MATCH("修繕費|L|5",月例!$T$5:$T$788,0)),"")</f>
        <v/>
      </c>
      <c r="I160" s="831" t="str">
        <f>IF(H160="","",I159-H160)</f>
        <v/>
      </c>
      <c r="J160" s="829" t="str">
        <f>IFERROR(INDEX(月例!$P$5:$P$788,MATCH("修繕費|L|5",月例!$T$5:$T$788,0)),"")</f>
        <v/>
      </c>
      <c r="K160" s="825" t="str">
        <f>IFERROR(INDEX(月例!$A$5:$A$788,MATCH("役員報酬|L|5",月例!$T$5:$T$788,0)),"")</f>
        <v/>
      </c>
      <c r="L160" s="826" t="str">
        <f>IFERROR(INDEX(月例!$E$5:$E$788,MATCH("役員報酬|L|5",月例!$T$5:$T$788,0)),"")</f>
        <v/>
      </c>
      <c r="M160" s="830" t="str">
        <f>IFERROR(INDEX(月例!$R$5:$R$788,MATCH("役員報酬|L|5",月例!$T$5:$T$788,0)),"")</f>
        <v/>
      </c>
      <c r="N160" s="831" t="str">
        <f>IF(M160="","",N159-M160)</f>
        <v/>
      </c>
      <c r="O160" s="829" t="str">
        <f>IFERROR(INDEX(月例!$P$5:$P$788,MATCH("役員報酬|L|5",月例!$T$5:$T$788,0)),"")</f>
        <v/>
      </c>
      <c r="P160" s="825" t="str">
        <f>IFERROR(INDEX(月例!$A$5:$A$788,MATCH("連合会分担金|L|5",月例!$T$5:$T$788,0)),"")</f>
        <v/>
      </c>
      <c r="Q160" s="826" t="str">
        <f>IFERROR(INDEX(月例!$E$5:$E$788,MATCH("連合会分担金|L|5",月例!$T$5:$T$788,0)),"")</f>
        <v/>
      </c>
      <c r="R160" s="830" t="str">
        <f>IFERROR(INDEX(月例!$R$5:$R$788,MATCH("連合会分担金|L|5",月例!$T$5:$T$788,0)),"")</f>
        <v/>
      </c>
      <c r="S160" s="831" t="str">
        <f>IF(R160="","",S159-R160)</f>
        <v/>
      </c>
      <c r="T160" s="829" t="str">
        <f>IFERROR(INDEX(月例!$P$5:$P$788,MATCH("連合会分担金|L|5",月例!$T$5:$T$788,0)),"")</f>
        <v/>
      </c>
    </row>
    <row r="161">
      <c r="A161" s="825" t="str">
        <f>IFERROR(INDEX(月例!$A$5:$A$788,MATCH("光熱水料|L|6",月例!$T$5:$T$788,0)),"")</f>
        <v/>
      </c>
      <c r="B161" s="826" t="str">
        <f>IFERROR(INDEX(月例!$E$5:$E$788,MATCH("光熱水料|L|6",月例!$T$5:$T$788,0)),"")</f>
        <v/>
      </c>
      <c r="C161" s="830" t="str">
        <f>IFERROR(INDEX(月例!$R$5:$R$788,MATCH("光熱水料|L|6",月例!$T$5:$T$788,0)),"")</f>
        <v/>
      </c>
      <c r="D161" s="831" t="str">
        <f>IF(C161="","",D160-C161)</f>
        <v/>
      </c>
      <c r="E161" s="829" t="str">
        <f>IFERROR(INDEX(月例!$P$5:$P$788,MATCH("光熱水料|L|6",月例!$T$5:$T$788,0)),"")</f>
        <v/>
      </c>
      <c r="F161" s="825" t="str">
        <f>IFERROR(INDEX(月例!$A$5:$A$788,MATCH("修繕費|L|6",月例!$T$5:$T$788,0)),"")</f>
        <v/>
      </c>
      <c r="G161" s="826" t="str">
        <f>IFERROR(INDEX(月例!$E$5:$E$788,MATCH("修繕費|L|6",月例!$T$5:$T$788,0)),"")</f>
        <v/>
      </c>
      <c r="H161" s="830" t="str">
        <f>IFERROR(INDEX(月例!$R$5:$R$788,MATCH("修繕費|L|6",月例!$T$5:$T$788,0)),"")</f>
        <v/>
      </c>
      <c r="I161" s="831" t="str">
        <f>IF(H161="","",I160-H161)</f>
        <v/>
      </c>
      <c r="J161" s="829" t="str">
        <f>IFERROR(INDEX(月例!$P$5:$P$788,MATCH("修繕費|L|6",月例!$T$5:$T$788,0)),"")</f>
        <v/>
      </c>
      <c r="K161" s="825" t="str">
        <f>IFERROR(INDEX(月例!$A$5:$A$788,MATCH("役員報酬|L|6",月例!$T$5:$T$788,0)),"")</f>
        <v/>
      </c>
      <c r="L161" s="826" t="str">
        <f>IFERROR(INDEX(月例!$E$5:$E$788,MATCH("役員報酬|L|6",月例!$T$5:$T$788,0)),"")</f>
        <v/>
      </c>
      <c r="M161" s="830" t="str">
        <f>IFERROR(INDEX(月例!$R$5:$R$788,MATCH("役員報酬|L|6",月例!$T$5:$T$788,0)),"")</f>
        <v/>
      </c>
      <c r="N161" s="831" t="str">
        <f>IF(M161="","",N160-M161)</f>
        <v/>
      </c>
      <c r="O161" s="829" t="str">
        <f>IFERROR(INDEX(月例!$P$5:$P$788,MATCH("役員報酬|L|6",月例!$T$5:$T$788,0)),"")</f>
        <v/>
      </c>
      <c r="P161" s="825" t="str">
        <f>IFERROR(INDEX(月例!$A$5:$A$788,MATCH("連合会分担金|L|6",月例!$T$5:$T$788,0)),"")</f>
        <v/>
      </c>
      <c r="Q161" s="826" t="str">
        <f>IFERROR(INDEX(月例!$E$5:$E$788,MATCH("連合会分担金|L|6",月例!$T$5:$T$788,0)),"")</f>
        <v/>
      </c>
      <c r="R161" s="830" t="str">
        <f>IFERROR(INDEX(月例!$R$5:$R$788,MATCH("連合会分担金|L|6",月例!$T$5:$T$788,0)),"")</f>
        <v/>
      </c>
      <c r="S161" s="831" t="str">
        <f>IF(R161="","",S160-R161)</f>
        <v/>
      </c>
      <c r="T161" s="829" t="str">
        <f>IFERROR(INDEX(月例!$P$5:$P$788,MATCH("連合会分担金|L|6",月例!$T$5:$T$788,0)),"")</f>
        <v/>
      </c>
    </row>
    <row r="162">
      <c r="A162" s="825" t="str">
        <f>IFERROR(INDEX(月例!$A$5:$A$788,MATCH("光熱水料|L|7",月例!$T$5:$T$788,0)),"")</f>
        <v/>
      </c>
      <c r="B162" s="826" t="str">
        <f>IFERROR(INDEX(月例!$E$5:$E$788,MATCH("光熱水料|L|7",月例!$T$5:$T$788,0)),"")</f>
        <v/>
      </c>
      <c r="C162" s="830" t="str">
        <f>IFERROR(INDEX(月例!$R$5:$R$788,MATCH("光熱水料|L|7",月例!$T$5:$T$788,0)),"")</f>
        <v/>
      </c>
      <c r="D162" s="831" t="str">
        <f>IF(C162="","",D161-C162)</f>
        <v/>
      </c>
      <c r="E162" s="829" t="str">
        <f>IFERROR(INDEX(月例!$P$5:$P$788,MATCH("光熱水料|L|7",月例!$T$5:$T$788,0)),"")</f>
        <v/>
      </c>
      <c r="F162" s="825" t="str">
        <f>IFERROR(INDEX(月例!$A$5:$A$788,MATCH("修繕費|L|7",月例!$T$5:$T$788,0)),"")</f>
        <v/>
      </c>
      <c r="G162" s="826" t="str">
        <f>IFERROR(INDEX(月例!$E$5:$E$788,MATCH("修繕費|L|7",月例!$T$5:$T$788,0)),"")</f>
        <v/>
      </c>
      <c r="H162" s="830" t="str">
        <f>IFERROR(INDEX(月例!$R$5:$R$788,MATCH("修繕費|L|7",月例!$T$5:$T$788,0)),"")</f>
        <v/>
      </c>
      <c r="I162" s="831" t="str">
        <f>IF(H162="","",I161-H162)</f>
        <v/>
      </c>
      <c r="J162" s="829" t="str">
        <f>IFERROR(INDEX(月例!$P$5:$P$788,MATCH("修繕費|L|7",月例!$T$5:$T$788,0)),"")</f>
        <v/>
      </c>
      <c r="K162" s="825" t="str">
        <f>IFERROR(INDEX(月例!$A$5:$A$788,MATCH("役員報酬|L|7",月例!$T$5:$T$788,0)),"")</f>
        <v/>
      </c>
      <c r="L162" s="826" t="str">
        <f>IFERROR(INDEX(月例!$E$5:$E$788,MATCH("役員報酬|L|7",月例!$T$5:$T$788,0)),"")</f>
        <v/>
      </c>
      <c r="M162" s="830" t="str">
        <f>IFERROR(INDEX(月例!$R$5:$R$788,MATCH("役員報酬|L|7",月例!$T$5:$T$788,0)),"")</f>
        <v/>
      </c>
      <c r="N162" s="831" t="str">
        <f>IF(M162="","",N161-M162)</f>
        <v/>
      </c>
      <c r="O162" s="829" t="str">
        <f>IFERROR(INDEX(月例!$P$5:$P$788,MATCH("役員報酬|L|7",月例!$T$5:$T$788,0)),"")</f>
        <v/>
      </c>
      <c r="P162" s="825" t="str">
        <f>IFERROR(INDEX(月例!$A$5:$A$788,MATCH("連合会分担金|L|7",月例!$T$5:$T$788,0)),"")</f>
        <v/>
      </c>
      <c r="Q162" s="826" t="str">
        <f>IFERROR(INDEX(月例!$E$5:$E$788,MATCH("連合会分担金|L|7",月例!$T$5:$T$788,0)),"")</f>
        <v/>
      </c>
      <c r="R162" s="830" t="str">
        <f>IFERROR(INDEX(月例!$R$5:$R$788,MATCH("連合会分担金|L|7",月例!$T$5:$T$788,0)),"")</f>
        <v/>
      </c>
      <c r="S162" s="831" t="str">
        <f>IF(R162="","",S161-R162)</f>
        <v/>
      </c>
      <c r="T162" s="829" t="str">
        <f>IFERROR(INDEX(月例!$P$5:$P$788,MATCH("連合会分担金|L|7",月例!$T$5:$T$788,0)),"")</f>
        <v/>
      </c>
    </row>
    <row r="163">
      <c r="A163" s="825" t="str">
        <f>IFERROR(INDEX(月例!$A$5:$A$788,MATCH("光熱水料|L|8",月例!$T$5:$T$788,0)),"")</f>
        <v/>
      </c>
      <c r="B163" s="826" t="str">
        <f>IFERROR(INDEX(月例!$E$5:$E$788,MATCH("光熱水料|L|8",月例!$T$5:$T$788,0)),"")</f>
        <v/>
      </c>
      <c r="C163" s="830" t="str">
        <f>IFERROR(INDEX(月例!$R$5:$R$788,MATCH("光熱水料|L|8",月例!$T$5:$T$788,0)),"")</f>
        <v/>
      </c>
      <c r="D163" s="831" t="str">
        <f>IF(C163="","",D162-C163)</f>
        <v/>
      </c>
      <c r="E163" s="829" t="str">
        <f>IFERROR(INDEX(月例!$P$5:$P$788,MATCH("光熱水料|L|8",月例!$T$5:$T$788,0)),"")</f>
        <v/>
      </c>
      <c r="F163" s="825" t="str">
        <f>IFERROR(INDEX(月例!$A$5:$A$788,MATCH("修繕費|L|8",月例!$T$5:$T$788,0)),"")</f>
        <v/>
      </c>
      <c r="G163" s="826" t="str">
        <f>IFERROR(INDEX(月例!$E$5:$E$788,MATCH("修繕費|L|8",月例!$T$5:$T$788,0)),"")</f>
        <v/>
      </c>
      <c r="H163" s="830" t="str">
        <f>IFERROR(INDEX(月例!$R$5:$R$788,MATCH("修繕費|L|8",月例!$T$5:$T$788,0)),"")</f>
        <v/>
      </c>
      <c r="I163" s="831" t="str">
        <f>IF(H163="","",I162-H163)</f>
        <v/>
      </c>
      <c r="J163" s="829" t="str">
        <f>IFERROR(INDEX(月例!$P$5:$P$788,MATCH("修繕費|L|8",月例!$T$5:$T$788,0)),"")</f>
        <v/>
      </c>
      <c r="K163" s="825" t="str">
        <f>IFERROR(INDEX(月例!$A$5:$A$788,MATCH("役員報酬|L|8",月例!$T$5:$T$788,0)),"")</f>
        <v/>
      </c>
      <c r="L163" s="826" t="str">
        <f>IFERROR(INDEX(月例!$E$5:$E$788,MATCH("役員報酬|L|8",月例!$T$5:$T$788,0)),"")</f>
        <v/>
      </c>
      <c r="M163" s="830" t="str">
        <f>IFERROR(INDEX(月例!$R$5:$R$788,MATCH("役員報酬|L|8",月例!$T$5:$T$788,0)),"")</f>
        <v/>
      </c>
      <c r="N163" s="831" t="str">
        <f>IF(M163="","",N162-M163)</f>
        <v/>
      </c>
      <c r="O163" s="829" t="str">
        <f>IFERROR(INDEX(月例!$P$5:$P$788,MATCH("役員報酬|L|8",月例!$T$5:$T$788,0)),"")</f>
        <v/>
      </c>
      <c r="P163" s="825" t="str">
        <f>IFERROR(INDEX(月例!$A$5:$A$788,MATCH("連合会分担金|L|8",月例!$T$5:$T$788,0)),"")</f>
        <v/>
      </c>
      <c r="Q163" s="826" t="str">
        <f>IFERROR(INDEX(月例!$E$5:$E$788,MATCH("連合会分担金|L|8",月例!$T$5:$T$788,0)),"")</f>
        <v/>
      </c>
      <c r="R163" s="830" t="str">
        <f>IFERROR(INDEX(月例!$R$5:$R$788,MATCH("連合会分担金|L|8",月例!$T$5:$T$788,0)),"")</f>
        <v/>
      </c>
      <c r="S163" s="831" t="str">
        <f>IF(R163="","",S162-R163)</f>
        <v/>
      </c>
      <c r="T163" s="829" t="str">
        <f>IFERROR(INDEX(月例!$P$5:$P$788,MATCH("連合会分担金|L|8",月例!$T$5:$T$788,0)),"")</f>
        <v/>
      </c>
    </row>
    <row r="164">
      <c r="A164" s="825" t="str">
        <f>IFERROR(INDEX(月例!$A$5:$A$788,MATCH("光熱水料|L|9",月例!$T$5:$T$788,0)),"")</f>
        <v/>
      </c>
      <c r="B164" s="826" t="str">
        <f>IFERROR(INDEX(月例!$E$5:$E$788,MATCH("光熱水料|L|9",月例!$T$5:$T$788,0)),"")</f>
        <v/>
      </c>
      <c r="C164" s="830" t="str">
        <f>IFERROR(INDEX(月例!$R$5:$R$788,MATCH("光熱水料|L|9",月例!$T$5:$T$788,0)),"")</f>
        <v/>
      </c>
      <c r="D164" s="831" t="str">
        <f>IF(C164="","",D163-C164)</f>
        <v/>
      </c>
      <c r="E164" s="829" t="str">
        <f>IFERROR(INDEX(月例!$P$5:$P$788,MATCH("光熱水料|L|9",月例!$T$5:$T$788,0)),"")</f>
        <v/>
      </c>
      <c r="F164" s="825" t="str">
        <f>IFERROR(INDEX(月例!$A$5:$A$788,MATCH("修繕費|L|9",月例!$T$5:$T$788,0)),"")</f>
        <v/>
      </c>
      <c r="G164" s="826" t="str">
        <f>IFERROR(INDEX(月例!$E$5:$E$788,MATCH("修繕費|L|9",月例!$T$5:$T$788,0)),"")</f>
        <v/>
      </c>
      <c r="H164" s="830" t="str">
        <f>IFERROR(INDEX(月例!$R$5:$R$788,MATCH("修繕費|L|9",月例!$T$5:$T$788,0)),"")</f>
        <v/>
      </c>
      <c r="I164" s="831" t="str">
        <f>IF(H164="","",I163-H164)</f>
        <v/>
      </c>
      <c r="J164" s="829" t="str">
        <f>IFERROR(INDEX(月例!$P$5:$P$788,MATCH("修繕費|L|9",月例!$T$5:$T$788,0)),"")</f>
        <v/>
      </c>
      <c r="K164" s="825" t="str">
        <f>IFERROR(INDEX(月例!$A$5:$A$788,MATCH("役員報酬|L|9",月例!$T$5:$T$788,0)),"")</f>
        <v/>
      </c>
      <c r="L164" s="826" t="str">
        <f>IFERROR(INDEX(月例!$E$5:$E$788,MATCH("役員報酬|L|9",月例!$T$5:$T$788,0)),"")</f>
        <v/>
      </c>
      <c r="M164" s="830" t="str">
        <f>IFERROR(INDEX(月例!$R$5:$R$788,MATCH("役員報酬|L|9",月例!$T$5:$T$788,0)),"")</f>
        <v/>
      </c>
      <c r="N164" s="831" t="str">
        <f>IF(M164="","",N163-M164)</f>
        <v/>
      </c>
      <c r="O164" s="829" t="str">
        <f>IFERROR(INDEX(月例!$P$5:$P$788,MATCH("役員報酬|L|9",月例!$T$5:$T$788,0)),"")</f>
        <v/>
      </c>
      <c r="P164" s="825" t="str">
        <f>IFERROR(INDEX(月例!$A$5:$A$788,MATCH("連合会分担金|L|9",月例!$T$5:$T$788,0)),"")</f>
        <v/>
      </c>
      <c r="Q164" s="826" t="str">
        <f>IFERROR(INDEX(月例!$E$5:$E$788,MATCH("連合会分担金|L|9",月例!$T$5:$T$788,0)),"")</f>
        <v/>
      </c>
      <c r="R164" s="830" t="str">
        <f>IFERROR(INDEX(月例!$R$5:$R$788,MATCH("連合会分担金|L|9",月例!$T$5:$T$788,0)),"")</f>
        <v/>
      </c>
      <c r="S164" s="831" t="str">
        <f>IF(R164="","",S163-R164)</f>
        <v/>
      </c>
      <c r="T164" s="829" t="str">
        <f>IFERROR(INDEX(月例!$P$5:$P$788,MATCH("連合会分担金|L|9",月例!$T$5:$T$788,0)),"")</f>
        <v/>
      </c>
    </row>
    <row r="165">
      <c r="A165" s="825" t="str">
        <f>IFERROR(INDEX(月例!$A$5:$A$788,MATCH("光熱水料|L|10",月例!$T$5:$T$788,0)),"")</f>
        <v/>
      </c>
      <c r="B165" s="826" t="str">
        <f>IFERROR(INDEX(月例!$E$5:$E$788,MATCH("光熱水料|L|10",月例!$T$5:$T$788,0)),"")</f>
        <v/>
      </c>
      <c r="C165" s="830" t="str">
        <f>IFERROR(INDEX(月例!$R$5:$R$788,MATCH("光熱水料|L|10",月例!$T$5:$T$788,0)),"")</f>
        <v/>
      </c>
      <c r="D165" s="831" t="str">
        <f>IF(C165="","",D164-C165)</f>
        <v/>
      </c>
      <c r="E165" s="829" t="str">
        <f>IFERROR(INDEX(月例!$P$5:$P$788,MATCH("光熱水料|L|10",月例!$T$5:$T$788,0)),"")</f>
        <v/>
      </c>
      <c r="F165" s="825" t="str">
        <f>IFERROR(INDEX(月例!$A$5:$A$788,MATCH("修繕費|L|10",月例!$T$5:$T$788,0)),"")</f>
        <v/>
      </c>
      <c r="G165" s="826" t="str">
        <f>IFERROR(INDEX(月例!$E$5:$E$788,MATCH("修繕費|L|10",月例!$T$5:$T$788,0)),"")</f>
        <v/>
      </c>
      <c r="H165" s="830" t="str">
        <f>IFERROR(INDEX(月例!$R$5:$R$788,MATCH("修繕費|L|10",月例!$T$5:$T$788,0)),"")</f>
        <v/>
      </c>
      <c r="I165" s="831" t="str">
        <f>IF(H165="","",I164-H165)</f>
        <v/>
      </c>
      <c r="J165" s="829" t="str">
        <f>IFERROR(INDEX(月例!$P$5:$P$788,MATCH("修繕費|L|10",月例!$T$5:$T$788,0)),"")</f>
        <v/>
      </c>
      <c r="K165" s="825" t="str">
        <f>IFERROR(INDEX(月例!$A$5:$A$788,MATCH("役員報酬|L|10",月例!$T$5:$T$788,0)),"")</f>
        <v/>
      </c>
      <c r="L165" s="826" t="str">
        <f>IFERROR(INDEX(月例!$E$5:$E$788,MATCH("役員報酬|L|10",月例!$T$5:$T$788,0)),"")</f>
        <v/>
      </c>
      <c r="M165" s="830" t="str">
        <f>IFERROR(INDEX(月例!$R$5:$R$788,MATCH("役員報酬|L|10",月例!$T$5:$T$788,0)),"")</f>
        <v/>
      </c>
      <c r="N165" s="831" t="str">
        <f>IF(M165="","",N164-M165)</f>
        <v/>
      </c>
      <c r="O165" s="829" t="str">
        <f>IFERROR(INDEX(月例!$P$5:$P$788,MATCH("役員報酬|L|10",月例!$T$5:$T$788,0)),"")</f>
        <v/>
      </c>
      <c r="P165" s="825" t="str">
        <f>IFERROR(INDEX(月例!$A$5:$A$788,MATCH("連合会分担金|L|10",月例!$T$5:$T$788,0)),"")</f>
        <v/>
      </c>
      <c r="Q165" s="826" t="str">
        <f>IFERROR(INDEX(月例!$E$5:$E$788,MATCH("連合会分担金|L|10",月例!$T$5:$T$788,0)),"")</f>
        <v/>
      </c>
      <c r="R165" s="830" t="str">
        <f>IFERROR(INDEX(月例!$R$5:$R$788,MATCH("連合会分担金|L|10",月例!$T$5:$T$788,0)),"")</f>
        <v/>
      </c>
      <c r="S165" s="831" t="str">
        <f>IF(R165="","",S164-R165)</f>
        <v/>
      </c>
      <c r="T165" s="829" t="str">
        <f>IFERROR(INDEX(月例!$P$5:$P$788,MATCH("連合会分担金|L|10",月例!$T$5:$T$788,0)),"")</f>
        <v/>
      </c>
    </row>
    <row r="166">
      <c r="A166" s="825" t="str">
        <f>IFERROR(INDEX(月例!$A$5:$A$788,MATCH("光熱水料|L|11",月例!$T$5:$T$788,0)),"")</f>
        <v/>
      </c>
      <c r="B166" s="826" t="str">
        <f>IFERROR(INDEX(月例!$E$5:$E$788,MATCH("光熱水料|L|11",月例!$T$5:$T$788,0)),"")</f>
        <v/>
      </c>
      <c r="C166" s="830" t="str">
        <f>IFERROR(INDEX(月例!$R$5:$R$788,MATCH("光熱水料|L|11",月例!$T$5:$T$788,0)),"")</f>
        <v/>
      </c>
      <c r="D166" s="831" t="str">
        <f>IF(C166="","",D165-C166)</f>
        <v/>
      </c>
      <c r="E166" s="829" t="str">
        <f>IFERROR(INDEX(月例!$P$5:$P$788,MATCH("光熱水料|L|11",月例!$T$5:$T$788,0)),"")</f>
        <v/>
      </c>
      <c r="F166" s="825" t="str">
        <f>IFERROR(INDEX(月例!$A$5:$A$788,MATCH("修繕費|L|11",月例!$T$5:$T$788,0)),"")</f>
        <v/>
      </c>
      <c r="G166" s="826" t="str">
        <f>IFERROR(INDEX(月例!$E$5:$E$788,MATCH("修繕費|L|11",月例!$T$5:$T$788,0)),"")</f>
        <v/>
      </c>
      <c r="H166" s="830" t="str">
        <f>IFERROR(INDEX(月例!$R$5:$R$788,MATCH("修繕費|L|11",月例!$T$5:$T$788,0)),"")</f>
        <v/>
      </c>
      <c r="I166" s="831" t="str">
        <f>IF(H166="","",I165-H166)</f>
        <v/>
      </c>
      <c r="J166" s="829" t="str">
        <f>IFERROR(INDEX(月例!$P$5:$P$788,MATCH("修繕費|L|11",月例!$T$5:$T$788,0)),"")</f>
        <v/>
      </c>
      <c r="K166" s="825" t="str">
        <f>IFERROR(INDEX(月例!$A$5:$A$788,MATCH("役員報酬|L|11",月例!$T$5:$T$788,0)),"")</f>
        <v/>
      </c>
      <c r="L166" s="826" t="str">
        <f>IFERROR(INDEX(月例!$E$5:$E$788,MATCH("役員報酬|L|11",月例!$T$5:$T$788,0)),"")</f>
        <v/>
      </c>
      <c r="M166" s="830" t="str">
        <f>IFERROR(INDEX(月例!$R$5:$R$788,MATCH("役員報酬|L|11",月例!$T$5:$T$788,0)),"")</f>
        <v/>
      </c>
      <c r="N166" s="831" t="str">
        <f>IF(M166="","",N165-M166)</f>
        <v/>
      </c>
      <c r="O166" s="829" t="str">
        <f>IFERROR(INDEX(月例!$P$5:$P$788,MATCH("役員報酬|L|11",月例!$T$5:$T$788,0)),"")</f>
        <v/>
      </c>
      <c r="P166" s="825" t="str">
        <f>IFERROR(INDEX(月例!$A$5:$A$788,MATCH("連合会分担金|L|11",月例!$T$5:$T$788,0)),"")</f>
        <v/>
      </c>
      <c r="Q166" s="826" t="str">
        <f>IFERROR(INDEX(月例!$E$5:$E$788,MATCH("連合会分担金|L|11",月例!$T$5:$T$788,0)),"")</f>
        <v/>
      </c>
      <c r="R166" s="830" t="str">
        <f>IFERROR(INDEX(月例!$R$5:$R$788,MATCH("連合会分担金|L|11",月例!$T$5:$T$788,0)),"")</f>
        <v/>
      </c>
      <c r="S166" s="831" t="str">
        <f>IF(R166="","",S165-R166)</f>
        <v/>
      </c>
      <c r="T166" s="829" t="str">
        <f>IFERROR(INDEX(月例!$P$5:$P$788,MATCH("連合会分担金|L|11",月例!$T$5:$T$788,0)),"")</f>
        <v/>
      </c>
    </row>
    <row r="167">
      <c r="A167" s="825" t="str">
        <f>IFERROR(INDEX(月例!$A$5:$A$788,MATCH("光熱水料|L|12",月例!$T$5:$T$788,0)),"")</f>
        <v/>
      </c>
      <c r="B167" s="826" t="str">
        <f>IFERROR(INDEX(月例!$E$5:$E$788,MATCH("光熱水料|L|12",月例!$T$5:$T$788,0)),"")</f>
        <v/>
      </c>
      <c r="C167" s="830" t="str">
        <f>IFERROR(INDEX(月例!$R$5:$R$788,MATCH("光熱水料|L|12",月例!$T$5:$T$788,0)),"")</f>
        <v/>
      </c>
      <c r="D167" s="831" t="str">
        <f>IF(C167="","",D166-C167)</f>
        <v/>
      </c>
      <c r="E167" s="829" t="str">
        <f>IFERROR(INDEX(月例!$P$5:$P$788,MATCH("光熱水料|L|12",月例!$T$5:$T$788,0)),"")</f>
        <v/>
      </c>
      <c r="F167" s="825" t="str">
        <f>IFERROR(INDEX(月例!$A$5:$A$788,MATCH("修繕費|L|12",月例!$T$5:$T$788,0)),"")</f>
        <v/>
      </c>
      <c r="G167" s="826" t="str">
        <f>IFERROR(INDEX(月例!$E$5:$E$788,MATCH("修繕費|L|12",月例!$T$5:$T$788,0)),"")</f>
        <v/>
      </c>
      <c r="H167" s="830" t="str">
        <f>IFERROR(INDEX(月例!$R$5:$R$788,MATCH("修繕費|L|12",月例!$T$5:$T$788,0)),"")</f>
        <v/>
      </c>
      <c r="I167" s="831" t="str">
        <f>IF(H167="","",I166-H167)</f>
        <v/>
      </c>
      <c r="J167" s="829" t="str">
        <f>IFERROR(INDEX(月例!$P$5:$P$788,MATCH("修繕費|L|12",月例!$T$5:$T$788,0)),"")</f>
        <v/>
      </c>
      <c r="K167" s="825" t="str">
        <f>IFERROR(INDEX(月例!$A$5:$A$788,MATCH("役員報酬|L|12",月例!$T$5:$T$788,0)),"")</f>
        <v/>
      </c>
      <c r="L167" s="826" t="str">
        <f>IFERROR(INDEX(月例!$E$5:$E$788,MATCH("役員報酬|L|12",月例!$T$5:$T$788,0)),"")</f>
        <v/>
      </c>
      <c r="M167" s="830" t="str">
        <f>IFERROR(INDEX(月例!$R$5:$R$788,MATCH("役員報酬|L|12",月例!$T$5:$T$788,0)),"")</f>
        <v/>
      </c>
      <c r="N167" s="831" t="str">
        <f>IF(M167="","",N166-M167)</f>
        <v/>
      </c>
      <c r="O167" s="829" t="str">
        <f>IFERROR(INDEX(月例!$P$5:$P$788,MATCH("役員報酬|L|12",月例!$T$5:$T$788,0)),"")</f>
        <v/>
      </c>
      <c r="P167" s="825" t="str">
        <f>IFERROR(INDEX(月例!$A$5:$A$788,MATCH("連合会分担金|L|12",月例!$T$5:$T$788,0)),"")</f>
        <v/>
      </c>
      <c r="Q167" s="826" t="str">
        <f>IFERROR(INDEX(月例!$E$5:$E$788,MATCH("連合会分担金|L|12",月例!$T$5:$T$788,0)),"")</f>
        <v/>
      </c>
      <c r="R167" s="830" t="str">
        <f>IFERROR(INDEX(月例!$R$5:$R$788,MATCH("連合会分担金|L|12",月例!$T$5:$T$788,0)),"")</f>
        <v/>
      </c>
      <c r="S167" s="831" t="str">
        <f>IF(R167="","",S166-R167)</f>
        <v/>
      </c>
      <c r="T167" s="829" t="str">
        <f>IFERROR(INDEX(月例!$P$5:$P$788,MATCH("連合会分担金|L|12",月例!$T$5:$T$788,0)),"")</f>
        <v/>
      </c>
    </row>
    <row r="171">
      <c r="B171" s="502" t="inlineStr">
        <is>
          <t>○賃金</t>
        </is>
      </c>
      <c r="D171" s="93" t="inlineStr">
        <is>
          <t>業務（長）</t>
        </is>
      </c>
      <c r="E171" s="824" t="str">
        <f>IF(COUNTIF(月例!$T$5:$T$788,"賃金|L|*")&gt;12,"行不足","")</f>
        <v/>
      </c>
      <c r="G171" s="502" t="inlineStr">
        <is>
          <t>○諸謝金</t>
        </is>
      </c>
      <c r="I171" s="93" t="inlineStr">
        <is>
          <t>業務（長）</t>
        </is>
      </c>
      <c r="J171" s="824" t="str">
        <f>IF(COUNTIF(月例!$T$5:$T$788,"諸謝金|L|*")&gt;12,"行不足","")</f>
        <v/>
      </c>
      <c r="L171" s="502" t="inlineStr">
        <is>
          <t>○負担金  会議出席負担金等</t>
        </is>
      </c>
      <c r="N171" s="93" t="inlineStr">
        <is>
          <t>業務（長）</t>
        </is>
      </c>
      <c r="O171" s="824" t="str">
        <f>IF(COUNTIF(月例!$T$5:$T$788,"会議出席負担金等|L|*")&gt;12,"行不足","")</f>
        <v/>
      </c>
      <c r="Q171" s="502" t="inlineStr">
        <is>
          <t>○負担金  協会けんぽ保険料等</t>
        </is>
      </c>
      <c r="S171" s="93" t="inlineStr">
        <is>
          <t>業務（長）</t>
        </is>
      </c>
      <c r="T171" s="824" t="str">
        <f>IF(COUNTIF(月例!$T$5:$T$788,"協会けんぽ保険料等|L|*")&gt;12,"行不足","")</f>
        <v/>
      </c>
    </row>
    <row r="172">
      <c r="A172" s="100" t="inlineStr">
        <is>
          <t>支出日</t>
        </is>
      </c>
      <c r="B172" s="100" t="inlineStr">
        <is>
          <t>摘要</t>
        </is>
      </c>
      <c r="C172" s="100" t="inlineStr">
        <is>
          <t>支出</t>
        </is>
      </c>
      <c r="D172" s="100" t="inlineStr">
        <is>
          <t>残額</t>
        </is>
      </c>
      <c r="E172" s="100" t="inlineStr">
        <is>
          <t>状態</t>
        </is>
      </c>
      <c r="F172" s="100" t="inlineStr">
        <is>
          <t>支出日</t>
        </is>
      </c>
      <c r="G172" s="100" t="inlineStr">
        <is>
          <t>摘要</t>
        </is>
      </c>
      <c r="H172" s="100" t="inlineStr">
        <is>
          <t>支出</t>
        </is>
      </c>
      <c r="I172" s="100" t="inlineStr">
        <is>
          <t>残額</t>
        </is>
      </c>
      <c r="J172" s="100" t="inlineStr">
        <is>
          <t>状態</t>
        </is>
      </c>
      <c r="K172" s="100" t="inlineStr">
        <is>
          <t>支出日</t>
        </is>
      </c>
      <c r="L172" s="100" t="inlineStr">
        <is>
          <t>摘要</t>
        </is>
      </c>
      <c r="M172" s="100" t="inlineStr">
        <is>
          <t>支出</t>
        </is>
      </c>
      <c r="N172" s="100" t="inlineStr">
        <is>
          <t>累計</t>
        </is>
      </c>
      <c r="O172" s="100" t="inlineStr">
        <is>
          <t>状態</t>
        </is>
      </c>
      <c r="P172" s="100" t="inlineStr">
        <is>
          <t>支出日</t>
        </is>
      </c>
      <c r="Q172" s="100" t="inlineStr">
        <is>
          <t>摘要</t>
        </is>
      </c>
      <c r="R172" s="100" t="inlineStr">
        <is>
          <t>支出</t>
        </is>
      </c>
      <c r="S172" s="100" t="inlineStr">
        <is>
          <t>累計</t>
        </is>
      </c>
      <c r="T172" s="100" t="inlineStr">
        <is>
          <t>状態</t>
        </is>
      </c>
    </row>
    <row r="173">
      <c r="A173" s="825" t="n"/>
      <c r="B173" s="826" t="inlineStr">
        <is>
          <t>予算現額</t>
        </is>
      </c>
      <c r="C173" s="830" t="n"/>
      <c r="D173" s="831">
        <f>'R7業務（長）'!$S$19</f>
        <v>0</v>
      </c>
      <c r="F173" s="825" t="n"/>
      <c r="G173" s="826" t="inlineStr">
        <is>
          <t>予算現額</t>
        </is>
      </c>
      <c r="H173" s="830" t="n"/>
      <c r="I173" s="831">
        <f>'R7業務（長）'!$S$25</f>
        <v>0</v>
      </c>
      <c r="K173" s="825" t="n"/>
      <c r="L173" s="826" t="inlineStr">
        <is>
          <t>（予算なし）</t>
        </is>
      </c>
      <c r="M173" s="830" t="n"/>
      <c r="N173" s="831" t="n">
        <v>0</v>
      </c>
      <c r="P173" s="825" t="n"/>
      <c r="Q173" s="826" t="inlineStr">
        <is>
          <t>（予算なし）</t>
        </is>
      </c>
      <c r="R173" s="830" t="n"/>
      <c r="S173" s="831" t="n">
        <v>0</v>
      </c>
    </row>
    <row r="174">
      <c r="A174" s="825" t="str">
        <f>IFERROR(INDEX(月例!$A$5:$A$788,MATCH("賃金|L|1",月例!$T$5:$T$788,0)),"")</f>
        <v/>
      </c>
      <c r="B174" s="826" t="str">
        <f>IFERROR(INDEX(月例!$E$5:$E$788,MATCH("賃金|L|1",月例!$T$5:$T$788,0)),"")</f>
        <v/>
      </c>
      <c r="C174" s="830" t="str">
        <f>IFERROR(INDEX(月例!$R$5:$R$788,MATCH("賃金|L|1",月例!$T$5:$T$788,0)),"")</f>
        <v/>
      </c>
      <c r="D174" s="831" t="str">
        <f>IF(C174="","",D173-C174)</f>
        <v/>
      </c>
      <c r="E174" s="829" t="str">
        <f>IFERROR(INDEX(月例!$P$5:$P$788,MATCH("賃金|L|1",月例!$T$5:$T$788,0)),"")</f>
        <v/>
      </c>
      <c r="F174" s="825" t="str">
        <f>IFERROR(INDEX(月例!$A$5:$A$788,MATCH("諸謝金|L|1",月例!$T$5:$T$788,0)),"")</f>
        <v/>
      </c>
      <c r="G174" s="826" t="str">
        <f>IFERROR(INDEX(月例!$E$5:$E$788,MATCH("諸謝金|L|1",月例!$T$5:$T$788,0)),"")</f>
        <v/>
      </c>
      <c r="H174" s="830" t="str">
        <f>IFERROR(INDEX(月例!$R$5:$R$788,MATCH("諸謝金|L|1",月例!$T$5:$T$788,0)),"")</f>
        <v/>
      </c>
      <c r="I174" s="831" t="str">
        <f>IF(H174="","",I173-H174)</f>
        <v/>
      </c>
      <c r="J174" s="829" t="str">
        <f>IFERROR(INDEX(月例!$P$5:$P$788,MATCH("諸謝金|L|1",月例!$T$5:$T$788,0)),"")</f>
        <v/>
      </c>
      <c r="K174" s="825" t="str">
        <f>IFERROR(INDEX(月例!$A$5:$A$788,MATCH("会議出席負担金等|L|1",月例!$T$5:$T$788,0)),"")</f>
        <v/>
      </c>
      <c r="L174" s="826" t="str">
        <f>IFERROR(INDEX(月例!$E$5:$E$788,MATCH("会議出席負担金等|L|1",月例!$T$5:$T$788,0)),"")</f>
        <v/>
      </c>
      <c r="M174" s="830" t="str">
        <f>IFERROR(INDEX(月例!$R$5:$R$788,MATCH("会議出席負担金等|L|1",月例!$T$5:$T$788,0)),"")</f>
        <v/>
      </c>
      <c r="N174" s="831" t="str">
        <f>IF(M174="","",N173+M174)</f>
        <v/>
      </c>
      <c r="O174" s="829" t="str">
        <f>IFERROR(INDEX(月例!$P$5:$P$788,MATCH("会議出席負担金等|L|1",月例!$T$5:$T$788,0)),"")</f>
        <v/>
      </c>
      <c r="P174" s="825" t="str">
        <f>IFERROR(INDEX(月例!$A$5:$A$788,MATCH("協会けんぽ保険料等|L|1",月例!$T$5:$T$788,0)),"")</f>
        <v/>
      </c>
      <c r="Q174" s="826" t="str">
        <f>IFERROR(INDEX(月例!$E$5:$E$788,MATCH("協会けんぽ保険料等|L|1",月例!$T$5:$T$788,0)),"")</f>
        <v/>
      </c>
      <c r="R174" s="830" t="str">
        <f>IFERROR(INDEX(月例!$R$5:$R$788,MATCH("協会けんぽ保険料等|L|1",月例!$T$5:$T$788,0)),"")</f>
        <v/>
      </c>
      <c r="S174" s="831" t="str">
        <f>IF(R174="","",S173+R174)</f>
        <v/>
      </c>
      <c r="T174" s="829" t="str">
        <f>IFERROR(INDEX(月例!$P$5:$P$788,MATCH("協会けんぽ保険料等|L|1",月例!$T$5:$T$788,0)),"")</f>
        <v/>
      </c>
    </row>
    <row r="175">
      <c r="A175" s="825" t="str">
        <f>IFERROR(INDEX(月例!$A$5:$A$788,MATCH("賃金|L|2",月例!$T$5:$T$788,0)),"")</f>
        <v/>
      </c>
      <c r="B175" s="826" t="str">
        <f>IFERROR(INDEX(月例!$E$5:$E$788,MATCH("賃金|L|2",月例!$T$5:$T$788,0)),"")</f>
        <v/>
      </c>
      <c r="C175" s="830" t="str">
        <f>IFERROR(INDEX(月例!$R$5:$R$788,MATCH("賃金|L|2",月例!$T$5:$T$788,0)),"")</f>
        <v/>
      </c>
      <c r="D175" s="831" t="str">
        <f>IF(C175="","",D174-C175)</f>
        <v/>
      </c>
      <c r="E175" s="829" t="str">
        <f>IFERROR(INDEX(月例!$P$5:$P$788,MATCH("賃金|L|2",月例!$T$5:$T$788,0)),"")</f>
        <v/>
      </c>
      <c r="F175" s="825" t="str">
        <f>IFERROR(INDEX(月例!$A$5:$A$788,MATCH("諸謝金|L|2",月例!$T$5:$T$788,0)),"")</f>
        <v/>
      </c>
      <c r="G175" s="826" t="str">
        <f>IFERROR(INDEX(月例!$E$5:$E$788,MATCH("諸謝金|L|2",月例!$T$5:$T$788,0)),"")</f>
        <v/>
      </c>
      <c r="H175" s="830" t="str">
        <f>IFERROR(INDEX(月例!$R$5:$R$788,MATCH("諸謝金|L|2",月例!$T$5:$T$788,0)),"")</f>
        <v/>
      </c>
      <c r="I175" s="831" t="str">
        <f>IF(H175="","",I174-H175)</f>
        <v/>
      </c>
      <c r="J175" s="829" t="str">
        <f>IFERROR(INDEX(月例!$P$5:$P$788,MATCH("諸謝金|L|2",月例!$T$5:$T$788,0)),"")</f>
        <v/>
      </c>
      <c r="K175" s="825" t="str">
        <f>IFERROR(INDEX(月例!$A$5:$A$788,MATCH("会議出席負担金等|L|2",月例!$T$5:$T$788,0)),"")</f>
        <v/>
      </c>
      <c r="L175" s="826" t="str">
        <f>IFERROR(INDEX(月例!$E$5:$E$788,MATCH("会議出席負担金等|L|2",月例!$T$5:$T$788,0)),"")</f>
        <v/>
      </c>
      <c r="M175" s="830" t="str">
        <f>IFERROR(INDEX(月例!$R$5:$R$788,MATCH("会議出席負担金等|L|2",月例!$T$5:$T$788,0)),"")</f>
        <v/>
      </c>
      <c r="N175" s="831" t="str">
        <f>IF(M175="","",N174+M175)</f>
        <v/>
      </c>
      <c r="O175" s="829" t="str">
        <f>IFERROR(INDEX(月例!$P$5:$P$788,MATCH("会議出席負担金等|L|2",月例!$T$5:$T$788,0)),"")</f>
        <v/>
      </c>
      <c r="P175" s="825" t="str">
        <f>IFERROR(INDEX(月例!$A$5:$A$788,MATCH("協会けんぽ保険料等|L|2",月例!$T$5:$T$788,0)),"")</f>
        <v/>
      </c>
      <c r="Q175" s="826" t="str">
        <f>IFERROR(INDEX(月例!$E$5:$E$788,MATCH("協会けんぽ保険料等|L|2",月例!$T$5:$T$788,0)),"")</f>
        <v/>
      </c>
      <c r="R175" s="830" t="str">
        <f>IFERROR(INDEX(月例!$R$5:$R$788,MATCH("協会けんぽ保険料等|L|2",月例!$T$5:$T$788,0)),"")</f>
        <v/>
      </c>
      <c r="S175" s="831" t="str">
        <f>IF(R175="","",S174+R175)</f>
        <v/>
      </c>
      <c r="T175" s="829" t="str">
        <f>IFERROR(INDEX(月例!$P$5:$P$788,MATCH("協会けんぽ保険料等|L|2",月例!$T$5:$T$788,0)),"")</f>
        <v/>
      </c>
    </row>
    <row r="176">
      <c r="A176" s="825" t="str">
        <f>IFERROR(INDEX(月例!$A$5:$A$788,MATCH("賃金|L|3",月例!$T$5:$T$788,0)),"")</f>
        <v/>
      </c>
      <c r="B176" s="826" t="str">
        <f>IFERROR(INDEX(月例!$E$5:$E$788,MATCH("賃金|L|3",月例!$T$5:$T$788,0)),"")</f>
        <v/>
      </c>
      <c r="C176" s="830" t="str">
        <f>IFERROR(INDEX(月例!$R$5:$R$788,MATCH("賃金|L|3",月例!$T$5:$T$788,0)),"")</f>
        <v/>
      </c>
      <c r="D176" s="831" t="str">
        <f>IF(C176="","",D175-C176)</f>
        <v/>
      </c>
      <c r="E176" s="829" t="str">
        <f>IFERROR(INDEX(月例!$P$5:$P$788,MATCH("賃金|L|3",月例!$T$5:$T$788,0)),"")</f>
        <v/>
      </c>
      <c r="F176" s="825" t="str">
        <f>IFERROR(INDEX(月例!$A$5:$A$788,MATCH("諸謝金|L|3",月例!$T$5:$T$788,0)),"")</f>
        <v/>
      </c>
      <c r="G176" s="826" t="str">
        <f>IFERROR(INDEX(月例!$E$5:$E$788,MATCH("諸謝金|L|3",月例!$T$5:$T$788,0)),"")</f>
        <v/>
      </c>
      <c r="H176" s="830" t="str">
        <f>IFERROR(INDEX(月例!$R$5:$R$788,MATCH("諸謝金|L|3",月例!$T$5:$T$788,0)),"")</f>
        <v/>
      </c>
      <c r="I176" s="831" t="str">
        <f>IF(H176="","",I175-H176)</f>
        <v/>
      </c>
      <c r="J176" s="829" t="str">
        <f>IFERROR(INDEX(月例!$P$5:$P$788,MATCH("諸謝金|L|3",月例!$T$5:$T$788,0)),"")</f>
        <v/>
      </c>
      <c r="K176" s="825" t="str">
        <f>IFERROR(INDEX(月例!$A$5:$A$788,MATCH("会議出席負担金等|L|3",月例!$T$5:$T$788,0)),"")</f>
        <v/>
      </c>
      <c r="L176" s="826" t="str">
        <f>IFERROR(INDEX(月例!$E$5:$E$788,MATCH("会議出席負担金等|L|3",月例!$T$5:$T$788,0)),"")</f>
        <v/>
      </c>
      <c r="M176" s="830" t="str">
        <f>IFERROR(INDEX(月例!$R$5:$R$788,MATCH("会議出席負担金等|L|3",月例!$T$5:$T$788,0)),"")</f>
        <v/>
      </c>
      <c r="N176" s="831" t="str">
        <f>IF(M176="","",N175+M176)</f>
        <v/>
      </c>
      <c r="O176" s="829" t="str">
        <f>IFERROR(INDEX(月例!$P$5:$P$788,MATCH("会議出席負担金等|L|3",月例!$T$5:$T$788,0)),"")</f>
        <v/>
      </c>
      <c r="P176" s="825" t="str">
        <f>IFERROR(INDEX(月例!$A$5:$A$788,MATCH("協会けんぽ保険料等|L|3",月例!$T$5:$T$788,0)),"")</f>
        <v/>
      </c>
      <c r="Q176" s="826" t="str">
        <f>IFERROR(INDEX(月例!$E$5:$E$788,MATCH("協会けんぽ保険料等|L|3",月例!$T$5:$T$788,0)),"")</f>
        <v/>
      </c>
      <c r="R176" s="830" t="str">
        <f>IFERROR(INDEX(月例!$R$5:$R$788,MATCH("協会けんぽ保険料等|L|3",月例!$T$5:$T$788,0)),"")</f>
        <v/>
      </c>
      <c r="S176" s="831" t="str">
        <f>IF(R176="","",S175+R176)</f>
        <v/>
      </c>
      <c r="T176" s="829" t="str">
        <f>IFERROR(INDEX(月例!$P$5:$P$788,MATCH("協会けんぽ保険料等|L|3",月例!$T$5:$T$788,0)),"")</f>
        <v/>
      </c>
    </row>
    <row r="177">
      <c r="A177" s="825" t="str">
        <f>IFERROR(INDEX(月例!$A$5:$A$788,MATCH("賃金|L|4",月例!$T$5:$T$788,0)),"")</f>
        <v/>
      </c>
      <c r="B177" s="826" t="str">
        <f>IFERROR(INDEX(月例!$E$5:$E$788,MATCH("賃金|L|4",月例!$T$5:$T$788,0)),"")</f>
        <v/>
      </c>
      <c r="C177" s="830" t="str">
        <f>IFERROR(INDEX(月例!$R$5:$R$788,MATCH("賃金|L|4",月例!$T$5:$T$788,0)),"")</f>
        <v/>
      </c>
      <c r="D177" s="831" t="str">
        <f>IF(C177="","",D176-C177)</f>
        <v/>
      </c>
      <c r="E177" s="829" t="str">
        <f>IFERROR(INDEX(月例!$P$5:$P$788,MATCH("賃金|L|4",月例!$T$5:$T$788,0)),"")</f>
        <v/>
      </c>
      <c r="F177" s="825" t="str">
        <f>IFERROR(INDEX(月例!$A$5:$A$788,MATCH("諸謝金|L|4",月例!$T$5:$T$788,0)),"")</f>
        <v/>
      </c>
      <c r="G177" s="826" t="str">
        <f>IFERROR(INDEX(月例!$E$5:$E$788,MATCH("諸謝金|L|4",月例!$T$5:$T$788,0)),"")</f>
        <v/>
      </c>
      <c r="H177" s="830" t="str">
        <f>IFERROR(INDEX(月例!$R$5:$R$788,MATCH("諸謝金|L|4",月例!$T$5:$T$788,0)),"")</f>
        <v/>
      </c>
      <c r="I177" s="831" t="str">
        <f>IF(H177="","",I176-H177)</f>
        <v/>
      </c>
      <c r="J177" s="829" t="str">
        <f>IFERROR(INDEX(月例!$P$5:$P$788,MATCH("諸謝金|L|4",月例!$T$5:$T$788,0)),"")</f>
        <v/>
      </c>
      <c r="K177" s="825" t="str">
        <f>IFERROR(INDEX(月例!$A$5:$A$788,MATCH("会議出席負担金等|L|4",月例!$T$5:$T$788,0)),"")</f>
        <v/>
      </c>
      <c r="L177" s="826" t="str">
        <f>IFERROR(INDEX(月例!$E$5:$E$788,MATCH("会議出席負担金等|L|4",月例!$T$5:$T$788,0)),"")</f>
        <v/>
      </c>
      <c r="M177" s="830" t="str">
        <f>IFERROR(INDEX(月例!$R$5:$R$788,MATCH("会議出席負担金等|L|4",月例!$T$5:$T$788,0)),"")</f>
        <v/>
      </c>
      <c r="N177" s="831" t="str">
        <f>IF(M177="","",N176+M177)</f>
        <v/>
      </c>
      <c r="O177" s="829" t="str">
        <f>IFERROR(INDEX(月例!$P$5:$P$788,MATCH("会議出席負担金等|L|4",月例!$T$5:$T$788,0)),"")</f>
        <v/>
      </c>
      <c r="P177" s="825" t="str">
        <f>IFERROR(INDEX(月例!$A$5:$A$788,MATCH("協会けんぽ保険料等|L|4",月例!$T$5:$T$788,0)),"")</f>
        <v/>
      </c>
      <c r="Q177" s="826" t="str">
        <f>IFERROR(INDEX(月例!$E$5:$E$788,MATCH("協会けんぽ保険料等|L|4",月例!$T$5:$T$788,0)),"")</f>
        <v/>
      </c>
      <c r="R177" s="830" t="str">
        <f>IFERROR(INDEX(月例!$R$5:$R$788,MATCH("協会けんぽ保険料等|L|4",月例!$T$5:$T$788,0)),"")</f>
        <v/>
      </c>
      <c r="S177" s="831" t="str">
        <f>IF(R177="","",S176+R177)</f>
        <v/>
      </c>
      <c r="T177" s="829" t="str">
        <f>IFERROR(INDEX(月例!$P$5:$P$788,MATCH("協会けんぽ保険料等|L|4",月例!$T$5:$T$788,0)),"")</f>
        <v/>
      </c>
    </row>
    <row r="178">
      <c r="A178" s="825" t="str">
        <f>IFERROR(INDEX(月例!$A$5:$A$788,MATCH("賃金|L|5",月例!$T$5:$T$788,0)),"")</f>
        <v/>
      </c>
      <c r="B178" s="826" t="str">
        <f>IFERROR(INDEX(月例!$E$5:$E$788,MATCH("賃金|L|5",月例!$T$5:$T$788,0)),"")</f>
        <v/>
      </c>
      <c r="C178" s="830" t="str">
        <f>IFERROR(INDEX(月例!$R$5:$R$788,MATCH("賃金|L|5",月例!$T$5:$T$788,0)),"")</f>
        <v/>
      </c>
      <c r="D178" s="831" t="str">
        <f>IF(C178="","",D177-C178)</f>
        <v/>
      </c>
      <c r="E178" s="829" t="str">
        <f>IFERROR(INDEX(月例!$P$5:$P$788,MATCH("賃金|L|5",月例!$T$5:$T$788,0)),"")</f>
        <v/>
      </c>
      <c r="F178" s="825" t="str">
        <f>IFERROR(INDEX(月例!$A$5:$A$788,MATCH("諸謝金|L|5",月例!$T$5:$T$788,0)),"")</f>
        <v/>
      </c>
      <c r="G178" s="826" t="str">
        <f>IFERROR(INDEX(月例!$E$5:$E$788,MATCH("諸謝金|L|5",月例!$T$5:$T$788,0)),"")</f>
        <v/>
      </c>
      <c r="H178" s="830" t="str">
        <f>IFERROR(INDEX(月例!$R$5:$R$788,MATCH("諸謝金|L|5",月例!$T$5:$T$788,0)),"")</f>
        <v/>
      </c>
      <c r="I178" s="831" t="str">
        <f>IF(H178="","",I177-H178)</f>
        <v/>
      </c>
      <c r="J178" s="829" t="str">
        <f>IFERROR(INDEX(月例!$P$5:$P$788,MATCH("諸謝金|L|5",月例!$T$5:$T$788,0)),"")</f>
        <v/>
      </c>
      <c r="K178" s="825" t="str">
        <f>IFERROR(INDEX(月例!$A$5:$A$788,MATCH("会議出席負担金等|L|5",月例!$T$5:$T$788,0)),"")</f>
        <v/>
      </c>
      <c r="L178" s="826" t="str">
        <f>IFERROR(INDEX(月例!$E$5:$E$788,MATCH("会議出席負担金等|L|5",月例!$T$5:$T$788,0)),"")</f>
        <v/>
      </c>
      <c r="M178" s="830" t="str">
        <f>IFERROR(INDEX(月例!$R$5:$R$788,MATCH("会議出席負担金等|L|5",月例!$T$5:$T$788,0)),"")</f>
        <v/>
      </c>
      <c r="N178" s="831" t="str">
        <f>IF(M178="","",N177+M178)</f>
        <v/>
      </c>
      <c r="O178" s="829" t="str">
        <f>IFERROR(INDEX(月例!$P$5:$P$788,MATCH("会議出席負担金等|L|5",月例!$T$5:$T$788,0)),"")</f>
        <v/>
      </c>
      <c r="P178" s="825" t="str">
        <f>IFERROR(INDEX(月例!$A$5:$A$788,MATCH("協会けんぽ保険料等|L|5",月例!$T$5:$T$788,0)),"")</f>
        <v/>
      </c>
      <c r="Q178" s="826" t="str">
        <f>IFERROR(INDEX(月例!$E$5:$E$788,MATCH("協会けんぽ保険料等|L|5",月例!$T$5:$T$788,0)),"")</f>
        <v/>
      </c>
      <c r="R178" s="830" t="str">
        <f>IFERROR(INDEX(月例!$R$5:$R$788,MATCH("協会けんぽ保険料等|L|5",月例!$T$5:$T$788,0)),"")</f>
        <v/>
      </c>
      <c r="S178" s="831" t="str">
        <f>IF(R178="","",S177+R178)</f>
        <v/>
      </c>
      <c r="T178" s="829" t="str">
        <f>IFERROR(INDEX(月例!$P$5:$P$788,MATCH("協会けんぽ保険料等|L|5",月例!$T$5:$T$788,0)),"")</f>
        <v/>
      </c>
    </row>
    <row r="179">
      <c r="A179" s="825" t="str">
        <f>IFERROR(INDEX(月例!$A$5:$A$788,MATCH("賃金|L|6",月例!$T$5:$T$788,0)),"")</f>
        <v/>
      </c>
      <c r="B179" s="826" t="str">
        <f>IFERROR(INDEX(月例!$E$5:$E$788,MATCH("賃金|L|6",月例!$T$5:$T$788,0)),"")</f>
        <v/>
      </c>
      <c r="C179" s="830" t="str">
        <f>IFERROR(INDEX(月例!$R$5:$R$788,MATCH("賃金|L|6",月例!$T$5:$T$788,0)),"")</f>
        <v/>
      </c>
      <c r="D179" s="831" t="str">
        <f>IF(C179="","",D178-C179)</f>
        <v/>
      </c>
      <c r="E179" s="829" t="str">
        <f>IFERROR(INDEX(月例!$P$5:$P$788,MATCH("賃金|L|6",月例!$T$5:$T$788,0)),"")</f>
        <v/>
      </c>
      <c r="F179" s="825" t="str">
        <f>IFERROR(INDEX(月例!$A$5:$A$788,MATCH("諸謝金|L|6",月例!$T$5:$T$788,0)),"")</f>
        <v/>
      </c>
      <c r="G179" s="826" t="str">
        <f>IFERROR(INDEX(月例!$E$5:$E$788,MATCH("諸謝金|L|6",月例!$T$5:$T$788,0)),"")</f>
        <v/>
      </c>
      <c r="H179" s="830" t="str">
        <f>IFERROR(INDEX(月例!$R$5:$R$788,MATCH("諸謝金|L|6",月例!$T$5:$T$788,0)),"")</f>
        <v/>
      </c>
      <c r="I179" s="831" t="str">
        <f>IF(H179="","",I178-H179)</f>
        <v/>
      </c>
      <c r="J179" s="829" t="str">
        <f>IFERROR(INDEX(月例!$P$5:$P$788,MATCH("諸謝金|L|6",月例!$T$5:$T$788,0)),"")</f>
        <v/>
      </c>
      <c r="K179" s="825" t="str">
        <f>IFERROR(INDEX(月例!$A$5:$A$788,MATCH("会議出席負担金等|L|6",月例!$T$5:$T$788,0)),"")</f>
        <v/>
      </c>
      <c r="L179" s="826" t="str">
        <f>IFERROR(INDEX(月例!$E$5:$E$788,MATCH("会議出席負担金等|L|6",月例!$T$5:$T$788,0)),"")</f>
        <v/>
      </c>
      <c r="M179" s="830" t="str">
        <f>IFERROR(INDEX(月例!$R$5:$R$788,MATCH("会議出席負担金等|L|6",月例!$T$5:$T$788,0)),"")</f>
        <v/>
      </c>
      <c r="N179" s="831" t="str">
        <f>IF(M179="","",N178+M179)</f>
        <v/>
      </c>
      <c r="O179" s="829" t="str">
        <f>IFERROR(INDEX(月例!$P$5:$P$788,MATCH("会議出席負担金等|L|6",月例!$T$5:$T$788,0)),"")</f>
        <v/>
      </c>
      <c r="P179" s="825" t="str">
        <f>IFERROR(INDEX(月例!$A$5:$A$788,MATCH("協会けんぽ保険料等|L|6",月例!$T$5:$T$788,0)),"")</f>
        <v/>
      </c>
      <c r="Q179" s="826" t="str">
        <f>IFERROR(INDEX(月例!$E$5:$E$788,MATCH("協会けんぽ保険料等|L|6",月例!$T$5:$T$788,0)),"")</f>
        <v/>
      </c>
      <c r="R179" s="830" t="str">
        <f>IFERROR(INDEX(月例!$R$5:$R$788,MATCH("協会けんぽ保険料等|L|6",月例!$T$5:$T$788,0)),"")</f>
        <v/>
      </c>
      <c r="S179" s="831" t="str">
        <f>IF(R179="","",S178+R179)</f>
        <v/>
      </c>
      <c r="T179" s="829" t="str">
        <f>IFERROR(INDEX(月例!$P$5:$P$788,MATCH("協会けんぽ保険料等|L|6",月例!$T$5:$T$788,0)),"")</f>
        <v/>
      </c>
    </row>
    <row r="180">
      <c r="A180" s="825" t="str">
        <f>IFERROR(INDEX(月例!$A$5:$A$788,MATCH("賃金|L|7",月例!$T$5:$T$788,0)),"")</f>
        <v/>
      </c>
      <c r="B180" s="826" t="str">
        <f>IFERROR(INDEX(月例!$E$5:$E$788,MATCH("賃金|L|7",月例!$T$5:$T$788,0)),"")</f>
        <v/>
      </c>
      <c r="C180" s="830" t="str">
        <f>IFERROR(INDEX(月例!$R$5:$R$788,MATCH("賃金|L|7",月例!$T$5:$T$788,0)),"")</f>
        <v/>
      </c>
      <c r="D180" s="831" t="str">
        <f>IF(C180="","",D179-C180)</f>
        <v/>
      </c>
      <c r="E180" s="829" t="str">
        <f>IFERROR(INDEX(月例!$P$5:$P$788,MATCH("賃金|L|7",月例!$T$5:$T$788,0)),"")</f>
        <v/>
      </c>
      <c r="F180" s="825" t="str">
        <f>IFERROR(INDEX(月例!$A$5:$A$788,MATCH("諸謝金|L|7",月例!$T$5:$T$788,0)),"")</f>
        <v/>
      </c>
      <c r="G180" s="826" t="str">
        <f>IFERROR(INDEX(月例!$E$5:$E$788,MATCH("諸謝金|L|7",月例!$T$5:$T$788,0)),"")</f>
        <v/>
      </c>
      <c r="H180" s="830" t="str">
        <f>IFERROR(INDEX(月例!$R$5:$R$788,MATCH("諸謝金|L|7",月例!$T$5:$T$788,0)),"")</f>
        <v/>
      </c>
      <c r="I180" s="831" t="str">
        <f>IF(H180="","",I179-H180)</f>
        <v/>
      </c>
      <c r="J180" s="829" t="str">
        <f>IFERROR(INDEX(月例!$P$5:$P$788,MATCH("諸謝金|L|7",月例!$T$5:$T$788,0)),"")</f>
        <v/>
      </c>
      <c r="K180" s="825" t="str">
        <f>IFERROR(INDEX(月例!$A$5:$A$788,MATCH("会議出席負担金等|L|7",月例!$T$5:$T$788,0)),"")</f>
        <v/>
      </c>
      <c r="L180" s="826" t="str">
        <f>IFERROR(INDEX(月例!$E$5:$E$788,MATCH("会議出席負担金等|L|7",月例!$T$5:$T$788,0)),"")</f>
        <v/>
      </c>
      <c r="M180" s="830" t="str">
        <f>IFERROR(INDEX(月例!$R$5:$R$788,MATCH("会議出席負担金等|L|7",月例!$T$5:$T$788,0)),"")</f>
        <v/>
      </c>
      <c r="N180" s="831" t="str">
        <f>IF(M180="","",N179+M180)</f>
        <v/>
      </c>
      <c r="O180" s="829" t="str">
        <f>IFERROR(INDEX(月例!$P$5:$P$788,MATCH("会議出席負担金等|L|7",月例!$T$5:$T$788,0)),"")</f>
        <v/>
      </c>
      <c r="P180" s="825" t="str">
        <f>IFERROR(INDEX(月例!$A$5:$A$788,MATCH("協会けんぽ保険料等|L|7",月例!$T$5:$T$788,0)),"")</f>
        <v/>
      </c>
      <c r="Q180" s="826" t="str">
        <f>IFERROR(INDEX(月例!$E$5:$E$788,MATCH("協会けんぽ保険料等|L|7",月例!$T$5:$T$788,0)),"")</f>
        <v/>
      </c>
      <c r="R180" s="830" t="str">
        <f>IFERROR(INDEX(月例!$R$5:$R$788,MATCH("協会けんぽ保険料等|L|7",月例!$T$5:$T$788,0)),"")</f>
        <v/>
      </c>
      <c r="S180" s="831" t="str">
        <f>IF(R180="","",S179+R180)</f>
        <v/>
      </c>
      <c r="T180" s="829" t="str">
        <f>IFERROR(INDEX(月例!$P$5:$P$788,MATCH("協会けんぽ保険料等|L|7",月例!$T$5:$T$788,0)),"")</f>
        <v/>
      </c>
    </row>
    <row r="181">
      <c r="A181" s="825" t="str">
        <f>IFERROR(INDEX(月例!$A$5:$A$788,MATCH("賃金|L|8",月例!$T$5:$T$788,0)),"")</f>
        <v/>
      </c>
      <c r="B181" s="826" t="str">
        <f>IFERROR(INDEX(月例!$E$5:$E$788,MATCH("賃金|L|8",月例!$T$5:$T$788,0)),"")</f>
        <v/>
      </c>
      <c r="C181" s="830" t="str">
        <f>IFERROR(INDEX(月例!$R$5:$R$788,MATCH("賃金|L|8",月例!$T$5:$T$788,0)),"")</f>
        <v/>
      </c>
      <c r="D181" s="831" t="str">
        <f>IF(C181="","",D180-C181)</f>
        <v/>
      </c>
      <c r="E181" s="829" t="str">
        <f>IFERROR(INDEX(月例!$P$5:$P$788,MATCH("賃金|L|8",月例!$T$5:$T$788,0)),"")</f>
        <v/>
      </c>
      <c r="F181" s="825" t="str">
        <f>IFERROR(INDEX(月例!$A$5:$A$788,MATCH("諸謝金|L|8",月例!$T$5:$T$788,0)),"")</f>
        <v/>
      </c>
      <c r="G181" s="826" t="str">
        <f>IFERROR(INDEX(月例!$E$5:$E$788,MATCH("諸謝金|L|8",月例!$T$5:$T$788,0)),"")</f>
        <v/>
      </c>
      <c r="H181" s="830" t="str">
        <f>IFERROR(INDEX(月例!$R$5:$R$788,MATCH("諸謝金|L|8",月例!$T$5:$T$788,0)),"")</f>
        <v/>
      </c>
      <c r="I181" s="831" t="str">
        <f>IF(H181="","",I180-H181)</f>
        <v/>
      </c>
      <c r="J181" s="829" t="str">
        <f>IFERROR(INDEX(月例!$P$5:$P$788,MATCH("諸謝金|L|8",月例!$T$5:$T$788,0)),"")</f>
        <v/>
      </c>
      <c r="K181" s="825" t="str">
        <f>IFERROR(INDEX(月例!$A$5:$A$788,MATCH("会議出席負担金等|L|8",月例!$T$5:$T$788,0)),"")</f>
        <v/>
      </c>
      <c r="L181" s="826" t="str">
        <f>IFERROR(INDEX(月例!$E$5:$E$788,MATCH("会議出席負担金等|L|8",月例!$T$5:$T$788,0)),"")</f>
        <v/>
      </c>
      <c r="M181" s="830" t="str">
        <f>IFERROR(INDEX(月例!$R$5:$R$788,MATCH("会議出席負担金等|L|8",月例!$T$5:$T$788,0)),"")</f>
        <v/>
      </c>
      <c r="N181" s="831" t="str">
        <f>IF(M181="","",N180+M181)</f>
        <v/>
      </c>
      <c r="O181" s="829" t="str">
        <f>IFERROR(INDEX(月例!$P$5:$P$788,MATCH("会議出席負担金等|L|8",月例!$T$5:$T$788,0)),"")</f>
        <v/>
      </c>
      <c r="P181" s="825" t="str">
        <f>IFERROR(INDEX(月例!$A$5:$A$788,MATCH("協会けんぽ保険料等|L|8",月例!$T$5:$T$788,0)),"")</f>
        <v/>
      </c>
      <c r="Q181" s="826" t="str">
        <f>IFERROR(INDEX(月例!$E$5:$E$788,MATCH("協会けんぽ保険料等|L|8",月例!$T$5:$T$788,0)),"")</f>
        <v/>
      </c>
      <c r="R181" s="830" t="str">
        <f>IFERROR(INDEX(月例!$R$5:$R$788,MATCH("協会けんぽ保険料等|L|8",月例!$T$5:$T$788,0)),"")</f>
        <v/>
      </c>
      <c r="S181" s="831" t="str">
        <f>IF(R181="","",S180+R181)</f>
        <v/>
      </c>
      <c r="T181" s="829" t="str">
        <f>IFERROR(INDEX(月例!$P$5:$P$788,MATCH("協会けんぽ保険料等|L|8",月例!$T$5:$T$788,0)),"")</f>
        <v/>
      </c>
    </row>
    <row r="182">
      <c r="A182" s="825" t="str">
        <f>IFERROR(INDEX(月例!$A$5:$A$788,MATCH("賃金|L|9",月例!$T$5:$T$788,0)),"")</f>
        <v/>
      </c>
      <c r="B182" s="826" t="str">
        <f>IFERROR(INDEX(月例!$E$5:$E$788,MATCH("賃金|L|9",月例!$T$5:$T$788,0)),"")</f>
        <v/>
      </c>
      <c r="C182" s="830" t="str">
        <f>IFERROR(INDEX(月例!$R$5:$R$788,MATCH("賃金|L|9",月例!$T$5:$T$788,0)),"")</f>
        <v/>
      </c>
      <c r="D182" s="831" t="str">
        <f>IF(C182="","",D181-C182)</f>
        <v/>
      </c>
      <c r="E182" s="829" t="str">
        <f>IFERROR(INDEX(月例!$P$5:$P$788,MATCH("賃金|L|9",月例!$T$5:$T$788,0)),"")</f>
        <v/>
      </c>
      <c r="F182" s="825" t="str">
        <f>IFERROR(INDEX(月例!$A$5:$A$788,MATCH("諸謝金|L|9",月例!$T$5:$T$788,0)),"")</f>
        <v/>
      </c>
      <c r="G182" s="826" t="str">
        <f>IFERROR(INDEX(月例!$E$5:$E$788,MATCH("諸謝金|L|9",月例!$T$5:$T$788,0)),"")</f>
        <v/>
      </c>
      <c r="H182" s="830" t="str">
        <f>IFERROR(INDEX(月例!$R$5:$R$788,MATCH("諸謝金|L|9",月例!$T$5:$T$788,0)),"")</f>
        <v/>
      </c>
      <c r="I182" s="831" t="str">
        <f>IF(H182="","",I181-H182)</f>
        <v/>
      </c>
      <c r="J182" s="829" t="str">
        <f>IFERROR(INDEX(月例!$P$5:$P$788,MATCH("諸謝金|L|9",月例!$T$5:$T$788,0)),"")</f>
        <v/>
      </c>
      <c r="K182" s="825" t="str">
        <f>IFERROR(INDEX(月例!$A$5:$A$788,MATCH("会議出席負担金等|L|9",月例!$T$5:$T$788,0)),"")</f>
        <v/>
      </c>
      <c r="L182" s="826" t="str">
        <f>IFERROR(INDEX(月例!$E$5:$E$788,MATCH("会議出席負担金等|L|9",月例!$T$5:$T$788,0)),"")</f>
        <v/>
      </c>
      <c r="M182" s="830" t="str">
        <f>IFERROR(INDEX(月例!$R$5:$R$788,MATCH("会議出席負担金等|L|9",月例!$T$5:$T$788,0)),"")</f>
        <v/>
      </c>
      <c r="N182" s="831" t="str">
        <f>IF(M182="","",N181+M182)</f>
        <v/>
      </c>
      <c r="O182" s="829" t="str">
        <f>IFERROR(INDEX(月例!$P$5:$P$788,MATCH("会議出席負担金等|L|9",月例!$T$5:$T$788,0)),"")</f>
        <v/>
      </c>
      <c r="P182" s="825" t="str">
        <f>IFERROR(INDEX(月例!$A$5:$A$788,MATCH("協会けんぽ保険料等|L|9",月例!$T$5:$T$788,0)),"")</f>
        <v/>
      </c>
      <c r="Q182" s="826" t="str">
        <f>IFERROR(INDEX(月例!$E$5:$E$788,MATCH("協会けんぽ保険料等|L|9",月例!$T$5:$T$788,0)),"")</f>
        <v/>
      </c>
      <c r="R182" s="830" t="str">
        <f>IFERROR(INDEX(月例!$R$5:$R$788,MATCH("協会けんぽ保険料等|L|9",月例!$T$5:$T$788,0)),"")</f>
        <v/>
      </c>
      <c r="S182" s="831" t="str">
        <f>IF(R182="","",S181+R182)</f>
        <v/>
      </c>
      <c r="T182" s="829" t="str">
        <f>IFERROR(INDEX(月例!$P$5:$P$788,MATCH("協会けんぽ保険料等|L|9",月例!$T$5:$T$788,0)),"")</f>
        <v/>
      </c>
    </row>
    <row r="183">
      <c r="A183" s="825" t="str">
        <f>IFERROR(INDEX(月例!$A$5:$A$788,MATCH("賃金|L|10",月例!$T$5:$T$788,0)),"")</f>
        <v/>
      </c>
      <c r="B183" s="826" t="str">
        <f>IFERROR(INDEX(月例!$E$5:$E$788,MATCH("賃金|L|10",月例!$T$5:$T$788,0)),"")</f>
        <v/>
      </c>
      <c r="C183" s="830" t="str">
        <f>IFERROR(INDEX(月例!$R$5:$R$788,MATCH("賃金|L|10",月例!$T$5:$T$788,0)),"")</f>
        <v/>
      </c>
      <c r="D183" s="831" t="str">
        <f>IF(C183="","",D182-C183)</f>
        <v/>
      </c>
      <c r="E183" s="829" t="str">
        <f>IFERROR(INDEX(月例!$P$5:$P$788,MATCH("賃金|L|10",月例!$T$5:$T$788,0)),"")</f>
        <v/>
      </c>
      <c r="F183" s="825" t="str">
        <f>IFERROR(INDEX(月例!$A$5:$A$788,MATCH("諸謝金|L|10",月例!$T$5:$T$788,0)),"")</f>
        <v/>
      </c>
      <c r="G183" s="826" t="str">
        <f>IFERROR(INDEX(月例!$E$5:$E$788,MATCH("諸謝金|L|10",月例!$T$5:$T$788,0)),"")</f>
        <v/>
      </c>
      <c r="H183" s="830" t="str">
        <f>IFERROR(INDEX(月例!$R$5:$R$788,MATCH("諸謝金|L|10",月例!$T$5:$T$788,0)),"")</f>
        <v/>
      </c>
      <c r="I183" s="831" t="str">
        <f>IF(H183="","",I182-H183)</f>
        <v/>
      </c>
      <c r="J183" s="829" t="str">
        <f>IFERROR(INDEX(月例!$P$5:$P$788,MATCH("諸謝金|L|10",月例!$T$5:$T$788,0)),"")</f>
        <v/>
      </c>
      <c r="K183" s="825" t="str">
        <f>IFERROR(INDEX(月例!$A$5:$A$788,MATCH("会議出席負担金等|L|10",月例!$T$5:$T$788,0)),"")</f>
        <v/>
      </c>
      <c r="L183" s="826" t="str">
        <f>IFERROR(INDEX(月例!$E$5:$E$788,MATCH("会議出席負担金等|L|10",月例!$T$5:$T$788,0)),"")</f>
        <v/>
      </c>
      <c r="M183" s="830" t="str">
        <f>IFERROR(INDEX(月例!$R$5:$R$788,MATCH("会議出席負担金等|L|10",月例!$T$5:$T$788,0)),"")</f>
        <v/>
      </c>
      <c r="N183" s="831" t="str">
        <f>IF(M183="","",N182+M183)</f>
        <v/>
      </c>
      <c r="O183" s="829" t="str">
        <f>IFERROR(INDEX(月例!$P$5:$P$788,MATCH("会議出席負担金等|L|10",月例!$T$5:$T$788,0)),"")</f>
        <v/>
      </c>
      <c r="P183" s="825" t="str">
        <f>IFERROR(INDEX(月例!$A$5:$A$788,MATCH("協会けんぽ保険料等|L|10",月例!$T$5:$T$788,0)),"")</f>
        <v/>
      </c>
      <c r="Q183" s="826" t="str">
        <f>IFERROR(INDEX(月例!$E$5:$E$788,MATCH("協会けんぽ保険料等|L|10",月例!$T$5:$T$788,0)),"")</f>
        <v/>
      </c>
      <c r="R183" s="830" t="str">
        <f>IFERROR(INDEX(月例!$R$5:$R$788,MATCH("協会けんぽ保険料等|L|10",月例!$T$5:$T$788,0)),"")</f>
        <v/>
      </c>
      <c r="S183" s="831" t="str">
        <f>IF(R183="","",S182+R183)</f>
        <v/>
      </c>
      <c r="T183" s="829" t="str">
        <f>IFERROR(INDEX(月例!$P$5:$P$788,MATCH("協会けんぽ保険料等|L|10",月例!$T$5:$T$788,0)),"")</f>
        <v/>
      </c>
    </row>
    <row r="184">
      <c r="A184" s="825" t="str">
        <f>IFERROR(INDEX(月例!$A$5:$A$788,MATCH("賃金|L|11",月例!$T$5:$T$788,0)),"")</f>
        <v/>
      </c>
      <c r="B184" s="826" t="str">
        <f>IFERROR(INDEX(月例!$E$5:$E$788,MATCH("賃金|L|11",月例!$T$5:$T$788,0)),"")</f>
        <v/>
      </c>
      <c r="C184" s="830" t="str">
        <f>IFERROR(INDEX(月例!$R$5:$R$788,MATCH("賃金|L|11",月例!$T$5:$T$788,0)),"")</f>
        <v/>
      </c>
      <c r="D184" s="831" t="str">
        <f>IF(C184="","",D183-C184)</f>
        <v/>
      </c>
      <c r="E184" s="829" t="str">
        <f>IFERROR(INDEX(月例!$P$5:$P$788,MATCH("賃金|L|11",月例!$T$5:$T$788,0)),"")</f>
        <v/>
      </c>
      <c r="F184" s="825" t="str">
        <f>IFERROR(INDEX(月例!$A$5:$A$788,MATCH("諸謝金|L|11",月例!$T$5:$T$788,0)),"")</f>
        <v/>
      </c>
      <c r="G184" s="826" t="str">
        <f>IFERROR(INDEX(月例!$E$5:$E$788,MATCH("諸謝金|L|11",月例!$T$5:$T$788,0)),"")</f>
        <v/>
      </c>
      <c r="H184" s="830" t="str">
        <f>IFERROR(INDEX(月例!$R$5:$R$788,MATCH("諸謝金|L|11",月例!$T$5:$T$788,0)),"")</f>
        <v/>
      </c>
      <c r="I184" s="831" t="str">
        <f>IF(H184="","",I183-H184)</f>
        <v/>
      </c>
      <c r="J184" s="829" t="str">
        <f>IFERROR(INDEX(月例!$P$5:$P$788,MATCH("諸謝金|L|11",月例!$T$5:$T$788,0)),"")</f>
        <v/>
      </c>
      <c r="K184" s="825" t="str">
        <f>IFERROR(INDEX(月例!$A$5:$A$788,MATCH("会議出席負担金等|L|11",月例!$T$5:$T$788,0)),"")</f>
        <v/>
      </c>
      <c r="L184" s="826" t="str">
        <f>IFERROR(INDEX(月例!$E$5:$E$788,MATCH("会議出席負担金等|L|11",月例!$T$5:$T$788,0)),"")</f>
        <v/>
      </c>
      <c r="M184" s="830" t="str">
        <f>IFERROR(INDEX(月例!$R$5:$R$788,MATCH("会議出席負担金等|L|11",月例!$T$5:$T$788,0)),"")</f>
        <v/>
      </c>
      <c r="N184" s="831" t="str">
        <f>IF(M184="","",N183+M184)</f>
        <v/>
      </c>
      <c r="O184" s="829" t="str">
        <f>IFERROR(INDEX(月例!$P$5:$P$788,MATCH("会議出席負担金等|L|11",月例!$T$5:$T$788,0)),"")</f>
        <v/>
      </c>
      <c r="P184" s="825" t="str">
        <f>IFERROR(INDEX(月例!$A$5:$A$788,MATCH("協会けんぽ保険料等|L|11",月例!$T$5:$T$788,0)),"")</f>
        <v/>
      </c>
      <c r="Q184" s="826" t="str">
        <f>IFERROR(INDEX(月例!$E$5:$E$788,MATCH("協会けんぽ保険料等|L|11",月例!$T$5:$T$788,0)),"")</f>
        <v/>
      </c>
      <c r="R184" s="830" t="str">
        <f>IFERROR(INDEX(月例!$R$5:$R$788,MATCH("協会けんぽ保険料等|L|11",月例!$T$5:$T$788,0)),"")</f>
        <v/>
      </c>
      <c r="S184" s="831" t="str">
        <f>IF(R184="","",S183+R184)</f>
        <v/>
      </c>
      <c r="T184" s="829" t="str">
        <f>IFERROR(INDEX(月例!$P$5:$P$788,MATCH("協会けんぽ保険料等|L|11",月例!$T$5:$T$788,0)),"")</f>
        <v/>
      </c>
    </row>
    <row r="185">
      <c r="A185" s="825" t="str">
        <f>IFERROR(INDEX(月例!$A$5:$A$788,MATCH("賃金|L|12",月例!$T$5:$T$788,0)),"")</f>
        <v/>
      </c>
      <c r="B185" s="826" t="str">
        <f>IFERROR(INDEX(月例!$E$5:$E$788,MATCH("賃金|L|12",月例!$T$5:$T$788,0)),"")</f>
        <v/>
      </c>
      <c r="C185" s="830" t="str">
        <f>IFERROR(INDEX(月例!$R$5:$R$788,MATCH("賃金|L|12",月例!$T$5:$T$788,0)),"")</f>
        <v/>
      </c>
      <c r="D185" s="831" t="str">
        <f>IF(C185="","",D184-C185)</f>
        <v/>
      </c>
      <c r="E185" s="829" t="str">
        <f>IFERROR(INDEX(月例!$P$5:$P$788,MATCH("賃金|L|12",月例!$T$5:$T$788,0)),"")</f>
        <v/>
      </c>
      <c r="F185" s="825" t="str">
        <f>IFERROR(INDEX(月例!$A$5:$A$788,MATCH("諸謝金|L|12",月例!$T$5:$T$788,0)),"")</f>
        <v/>
      </c>
      <c r="G185" s="826" t="str">
        <f>IFERROR(INDEX(月例!$E$5:$E$788,MATCH("諸謝金|L|12",月例!$T$5:$T$788,0)),"")</f>
        <v/>
      </c>
      <c r="H185" s="830" t="str">
        <f>IFERROR(INDEX(月例!$R$5:$R$788,MATCH("諸謝金|L|12",月例!$T$5:$T$788,0)),"")</f>
        <v/>
      </c>
      <c r="I185" s="831" t="str">
        <f>IF(H185="","",I184-H185)</f>
        <v/>
      </c>
      <c r="J185" s="829" t="str">
        <f>IFERROR(INDEX(月例!$P$5:$P$788,MATCH("諸謝金|L|12",月例!$T$5:$T$788,0)),"")</f>
        <v/>
      </c>
      <c r="K185" s="825" t="str">
        <f>IFERROR(INDEX(月例!$A$5:$A$788,MATCH("会議出席負担金等|L|12",月例!$T$5:$T$788,0)),"")</f>
        <v/>
      </c>
      <c r="L185" s="826" t="str">
        <f>IFERROR(INDEX(月例!$E$5:$E$788,MATCH("会議出席負担金等|L|12",月例!$T$5:$T$788,0)),"")</f>
        <v/>
      </c>
      <c r="M185" s="830" t="str">
        <f>IFERROR(INDEX(月例!$R$5:$R$788,MATCH("会議出席負担金等|L|12",月例!$T$5:$T$788,0)),"")</f>
        <v/>
      </c>
      <c r="N185" s="831" t="str">
        <f>IF(M185="","",N184+M185)</f>
        <v/>
      </c>
      <c r="O185" s="829" t="str">
        <f>IFERROR(INDEX(月例!$P$5:$P$788,MATCH("会議出席負担金等|L|12",月例!$T$5:$T$788,0)),"")</f>
        <v/>
      </c>
      <c r="P185" s="825" t="str">
        <f>IFERROR(INDEX(月例!$A$5:$A$788,MATCH("協会けんぽ保険料等|L|12",月例!$T$5:$T$788,0)),"")</f>
        <v/>
      </c>
      <c r="Q185" s="826" t="str">
        <f>IFERROR(INDEX(月例!$E$5:$E$788,MATCH("協会けんぽ保険料等|L|12",月例!$T$5:$T$788,0)),"")</f>
        <v/>
      </c>
      <c r="R185" s="830" t="str">
        <f>IFERROR(INDEX(月例!$R$5:$R$788,MATCH("協会けんぽ保険料等|L|12",月例!$T$5:$T$788,0)),"")</f>
        <v/>
      </c>
      <c r="S185" s="831" t="str">
        <f>IF(R185="","",S184+R185)</f>
        <v/>
      </c>
      <c r="T185" s="829" t="str">
        <f>IFERROR(INDEX(月例!$P$5:$P$788,MATCH("協会けんぽ保険料等|L|12",月例!$T$5:$T$788,0)),"")</f>
        <v/>
      </c>
    </row>
    <row r="189">
      <c r="B189" s="502" t="inlineStr">
        <is>
          <t>○負担金  労災・雇用保険料</t>
        </is>
      </c>
      <c r="D189" s="93" t="inlineStr">
        <is>
          <t>業務（長）</t>
        </is>
      </c>
      <c r="E189" s="824" t="str">
        <f>IF(COUNTIF(月例!$T$5:$T$788,"労災・雇用保険料|L|*")&gt;12,"行不足","")</f>
        <v/>
      </c>
      <c r="G189" s="502" t="inlineStr">
        <is>
          <t>○負担金  県社保協会費</t>
        </is>
      </c>
      <c r="I189" s="93" t="inlineStr">
        <is>
          <t>業務（長）</t>
        </is>
      </c>
      <c r="J189" s="824" t="str">
        <f>IF(COUNTIF(月例!$T$5:$T$788,"県社保協会費|L|*")&gt;12,"行不足","")</f>
        <v/>
      </c>
      <c r="L189" s="502" t="inlineStr">
        <is>
          <t>○雑費</t>
        </is>
      </c>
      <c r="N189" s="93" t="inlineStr">
        <is>
          <t>業務（長）</t>
        </is>
      </c>
      <c r="O189" s="824" t="str">
        <f>IF(COUNTIF(月例!$T$5:$T$788,"雑費|L|*")&gt;12,"行不足","")</f>
        <v/>
      </c>
      <c r="Q189" s="502" t="inlineStr">
        <is>
          <t>○減価償却費</t>
        </is>
      </c>
      <c r="S189" s="93" t="inlineStr">
        <is>
          <t>業務（長）</t>
        </is>
      </c>
      <c r="T189" s="824" t="str">
        <f>IF(COUNTIF(月例!$T$5:$T$788,"減価償却費|L|*")&gt;12,"行不足","")</f>
        <v/>
      </c>
    </row>
    <row r="190">
      <c r="A190" s="100" t="inlineStr">
        <is>
          <t>支出日</t>
        </is>
      </c>
      <c r="B190" s="100" t="inlineStr">
        <is>
          <t>摘要</t>
        </is>
      </c>
      <c r="C190" s="100" t="inlineStr">
        <is>
          <t>支出</t>
        </is>
      </c>
      <c r="D190" s="100" t="inlineStr">
        <is>
          <t>累計</t>
        </is>
      </c>
      <c r="E190" s="100" t="inlineStr">
        <is>
          <t>状態</t>
        </is>
      </c>
      <c r="F190" s="100" t="inlineStr">
        <is>
          <t>支出日</t>
        </is>
      </c>
      <c r="G190" s="100" t="inlineStr">
        <is>
          <t>摘要</t>
        </is>
      </c>
      <c r="H190" s="100" t="inlineStr">
        <is>
          <t>支出</t>
        </is>
      </c>
      <c r="I190" s="100" t="inlineStr">
        <is>
          <t>残額</t>
        </is>
      </c>
      <c r="J190" s="100" t="inlineStr">
        <is>
          <t>状態</t>
        </is>
      </c>
      <c r="K190" s="100" t="inlineStr">
        <is>
          <t>支出日</t>
        </is>
      </c>
      <c r="L190" s="100" t="inlineStr">
        <is>
          <t>摘要</t>
        </is>
      </c>
      <c r="M190" s="100" t="inlineStr">
        <is>
          <t>支出</t>
        </is>
      </c>
      <c r="N190" s="100" t="inlineStr">
        <is>
          <t>残額</t>
        </is>
      </c>
      <c r="O190" s="100" t="inlineStr">
        <is>
          <t>状態</t>
        </is>
      </c>
      <c r="P190" s="100" t="inlineStr">
        <is>
          <t>支出日</t>
        </is>
      </c>
      <c r="Q190" s="100" t="inlineStr">
        <is>
          <t>摘要</t>
        </is>
      </c>
      <c r="R190" s="100" t="inlineStr">
        <is>
          <t>支出</t>
        </is>
      </c>
      <c r="S190" s="100" t="inlineStr">
        <is>
          <t>残額</t>
        </is>
      </c>
      <c r="T190" s="100" t="inlineStr">
        <is>
          <t>状態</t>
        </is>
      </c>
    </row>
    <row r="191">
      <c r="A191" s="825" t="n"/>
      <c r="B191" s="826" t="inlineStr">
        <is>
          <t>（予算なし）</t>
        </is>
      </c>
      <c r="C191" s="830" t="n"/>
      <c r="D191" s="831" t="n">
        <v>0</v>
      </c>
      <c r="F191" s="825" t="n"/>
      <c r="G191" s="826" t="inlineStr">
        <is>
          <t>予算現額</t>
        </is>
      </c>
      <c r="H191" s="830" t="n"/>
      <c r="I191" s="831">
        <f>'R7業務（長）'!$S$32</f>
        <v>1000</v>
      </c>
      <c r="K191" s="825" t="n"/>
      <c r="L191" s="826" t="inlineStr">
        <is>
          <t>予算現額</t>
        </is>
      </c>
      <c r="M191" s="830" t="n"/>
      <c r="N191" s="831">
        <f>'R7業務（長）'!$S$36</f>
        <v>0</v>
      </c>
      <c r="P191" s="825" t="n"/>
      <c r="Q191" s="826" t="inlineStr">
        <is>
          <t>予算現額</t>
        </is>
      </c>
      <c r="R191" s="830" t="n"/>
      <c r="S191" s="831">
        <f>'R7業務（長）'!$S$37</f>
        <v>0</v>
      </c>
    </row>
    <row r="192">
      <c r="A192" s="825">
        <f>IFERROR(INDEX(月例!$A$5:$A$788,MATCH("労災・雇用保険料|L|1",月例!$T$5:$T$788,0)),"")</f>
        <v>46210</v>
      </c>
      <c r="B192" s="826" t="str">
        <f>IFERROR(INDEX(月例!$E$5:$E$788,MATCH("労災・雇用保険料|L|1",月例!$T$5:$T$788,0)),"")</f>
        <v>労災保険料　雇用保険料　一般拠出金（長期分）</v>
      </c>
      <c r="C192" s="830">
        <f>IFERROR(INDEX(月例!$R$5:$R$788,MATCH("労災・雇用保険料|L|1",月例!$T$5:$T$788,0)),"")</f>
        <v>71152</v>
      </c>
      <c r="D192" s="831">
        <f>IF(C192="","",D191+C192)</f>
        <v>71152</v>
      </c>
      <c r="E192" s="829" t="str">
        <f>IFERROR(INDEX(月例!$P$5:$P$788,MATCH("労災・雇用保険料|L|1",月例!$T$5:$T$788,0)),"")</f>
        <v>確認済</v>
      </c>
      <c r="F192" s="825">
        <f>IFERROR(INDEX(月例!$A$5:$A$788,MATCH("県社保協会費|L|1",月例!$T$5:$T$788,0)),"")</f>
        <v>46150</v>
      </c>
      <c r="G192" s="826" t="str">
        <f>IFERROR(INDEX(月例!$E$5:$E$788,MATCH("県社保協会費|L|1",月例!$T$5:$T$788,0)),"")</f>
        <v>広島県社会保険協会年会費(長期)</v>
      </c>
      <c r="H192" s="830">
        <f>IFERROR(INDEX(月例!$R$5:$R$788,MATCH("県社保協会費|L|1",月例!$T$5:$T$788,0)),"")</f>
        <v>520</v>
      </c>
      <c r="I192" s="831">
        <f>IF(H192="","",I191-H192)</f>
        <v>480</v>
      </c>
      <c r="J192" s="829" t="str">
        <f>IFERROR(INDEX(月例!$P$5:$P$788,MATCH("県社保協会費|L|1",月例!$T$5:$T$788,0)),"")</f>
        <v>確認済</v>
      </c>
      <c r="K192" s="825" t="str">
        <f>IFERROR(INDEX(月例!$A$5:$A$788,MATCH("雑費|L|1",月例!$T$5:$T$788,0)),"")</f>
        <v/>
      </c>
      <c r="L192" s="826" t="str">
        <f>IFERROR(INDEX(月例!$E$5:$E$788,MATCH("雑費|L|1",月例!$T$5:$T$788,0)),"")</f>
        <v/>
      </c>
      <c r="M192" s="830" t="str">
        <f>IFERROR(INDEX(月例!$R$5:$R$788,MATCH("雑費|L|1",月例!$T$5:$T$788,0)),"")</f>
        <v/>
      </c>
      <c r="N192" s="831" t="str">
        <f>IF(M192="","",N191-M192)</f>
        <v/>
      </c>
      <c r="O192" s="829" t="str">
        <f>IFERROR(INDEX(月例!$P$5:$P$788,MATCH("雑費|L|1",月例!$T$5:$T$788,0)),"")</f>
        <v/>
      </c>
      <c r="P192" s="825" t="str">
        <f>IFERROR(INDEX(月例!$A$5:$A$788,MATCH("減価償却費|L|1",月例!$T$5:$T$788,0)),"")</f>
        <v/>
      </c>
      <c r="Q192" s="826" t="str">
        <f>IFERROR(INDEX(月例!$E$5:$E$788,MATCH("減価償却費|L|1",月例!$T$5:$T$788,0)),"")</f>
        <v/>
      </c>
      <c r="R192" s="830" t="str">
        <f>IFERROR(INDEX(月例!$R$5:$R$788,MATCH("減価償却費|L|1",月例!$T$5:$T$788,0)),"")</f>
        <v/>
      </c>
      <c r="S192" s="831" t="str">
        <f>IF(R192="","",S191-R192)</f>
        <v/>
      </c>
      <c r="T192" s="829" t="str">
        <f>IFERROR(INDEX(月例!$P$5:$P$788,MATCH("減価償却費|L|1",月例!$T$5:$T$788,0)),"")</f>
        <v/>
      </c>
    </row>
    <row r="193">
      <c r="A193" s="825" t="str">
        <f>IFERROR(INDEX(月例!$A$5:$A$788,MATCH("労災・雇用保険料|L|2",月例!$T$5:$T$788,0)),"")</f>
        <v/>
      </c>
      <c r="B193" s="826" t="str">
        <f>IFERROR(INDEX(月例!$E$5:$E$788,MATCH("労災・雇用保険料|L|2",月例!$T$5:$T$788,0)),"")</f>
        <v/>
      </c>
      <c r="C193" s="830" t="str">
        <f>IFERROR(INDEX(月例!$R$5:$R$788,MATCH("労災・雇用保険料|L|2",月例!$T$5:$T$788,0)),"")</f>
        <v/>
      </c>
      <c r="D193" s="831" t="str">
        <f>IF(C193="","",D192+C193)</f>
        <v/>
      </c>
      <c r="E193" s="829" t="str">
        <f>IFERROR(INDEX(月例!$P$5:$P$788,MATCH("労災・雇用保険料|L|2",月例!$T$5:$T$788,0)),"")</f>
        <v/>
      </c>
      <c r="F193" s="825" t="str">
        <f>IFERROR(INDEX(月例!$A$5:$A$788,MATCH("県社保協会費|L|2",月例!$T$5:$T$788,0)),"")</f>
        <v/>
      </c>
      <c r="G193" s="826" t="str">
        <f>IFERROR(INDEX(月例!$E$5:$E$788,MATCH("県社保協会費|L|2",月例!$T$5:$T$788,0)),"")</f>
        <v/>
      </c>
      <c r="H193" s="830" t="str">
        <f>IFERROR(INDEX(月例!$R$5:$R$788,MATCH("県社保協会費|L|2",月例!$T$5:$T$788,0)),"")</f>
        <v/>
      </c>
      <c r="I193" s="831" t="str">
        <f>IF(H193="","",I192-H193)</f>
        <v/>
      </c>
      <c r="J193" s="829" t="str">
        <f>IFERROR(INDEX(月例!$P$5:$P$788,MATCH("県社保協会費|L|2",月例!$T$5:$T$788,0)),"")</f>
        <v/>
      </c>
      <c r="K193" s="825" t="str">
        <f>IFERROR(INDEX(月例!$A$5:$A$788,MATCH("雑費|L|2",月例!$T$5:$T$788,0)),"")</f>
        <v/>
      </c>
      <c r="L193" s="826" t="str">
        <f>IFERROR(INDEX(月例!$E$5:$E$788,MATCH("雑費|L|2",月例!$T$5:$T$788,0)),"")</f>
        <v/>
      </c>
      <c r="M193" s="830" t="str">
        <f>IFERROR(INDEX(月例!$R$5:$R$788,MATCH("雑費|L|2",月例!$T$5:$T$788,0)),"")</f>
        <v/>
      </c>
      <c r="N193" s="831" t="str">
        <f>IF(M193="","",N192-M193)</f>
        <v/>
      </c>
      <c r="O193" s="829" t="str">
        <f>IFERROR(INDEX(月例!$P$5:$P$788,MATCH("雑費|L|2",月例!$T$5:$T$788,0)),"")</f>
        <v/>
      </c>
      <c r="P193" s="825" t="str">
        <f>IFERROR(INDEX(月例!$A$5:$A$788,MATCH("減価償却費|L|2",月例!$T$5:$T$788,0)),"")</f>
        <v/>
      </c>
      <c r="Q193" s="826" t="str">
        <f>IFERROR(INDEX(月例!$E$5:$E$788,MATCH("減価償却費|L|2",月例!$T$5:$T$788,0)),"")</f>
        <v/>
      </c>
      <c r="R193" s="830" t="str">
        <f>IFERROR(INDEX(月例!$R$5:$R$788,MATCH("減価償却費|L|2",月例!$T$5:$T$788,0)),"")</f>
        <v/>
      </c>
      <c r="S193" s="831" t="str">
        <f>IF(R193="","",S192-R193)</f>
        <v/>
      </c>
      <c r="T193" s="829" t="str">
        <f>IFERROR(INDEX(月例!$P$5:$P$788,MATCH("減価償却費|L|2",月例!$T$5:$T$788,0)),"")</f>
        <v/>
      </c>
    </row>
    <row r="194">
      <c r="A194" s="825" t="str">
        <f>IFERROR(INDEX(月例!$A$5:$A$788,MATCH("労災・雇用保険料|L|3",月例!$T$5:$T$788,0)),"")</f>
        <v/>
      </c>
      <c r="B194" s="826" t="str">
        <f>IFERROR(INDEX(月例!$E$5:$E$788,MATCH("労災・雇用保険料|L|3",月例!$T$5:$T$788,0)),"")</f>
        <v/>
      </c>
      <c r="C194" s="830" t="str">
        <f>IFERROR(INDEX(月例!$R$5:$R$788,MATCH("労災・雇用保険料|L|3",月例!$T$5:$T$788,0)),"")</f>
        <v/>
      </c>
      <c r="D194" s="831" t="str">
        <f>IF(C194="","",D193+C194)</f>
        <v/>
      </c>
      <c r="E194" s="829" t="str">
        <f>IFERROR(INDEX(月例!$P$5:$P$788,MATCH("労災・雇用保険料|L|3",月例!$T$5:$T$788,0)),"")</f>
        <v/>
      </c>
      <c r="F194" s="825" t="str">
        <f>IFERROR(INDEX(月例!$A$5:$A$788,MATCH("県社保協会費|L|3",月例!$T$5:$T$788,0)),"")</f>
        <v/>
      </c>
      <c r="G194" s="826" t="str">
        <f>IFERROR(INDEX(月例!$E$5:$E$788,MATCH("県社保協会費|L|3",月例!$T$5:$T$788,0)),"")</f>
        <v/>
      </c>
      <c r="H194" s="830" t="str">
        <f>IFERROR(INDEX(月例!$R$5:$R$788,MATCH("県社保協会費|L|3",月例!$T$5:$T$788,0)),"")</f>
        <v/>
      </c>
      <c r="I194" s="831" t="str">
        <f>IF(H194="","",I193-H194)</f>
        <v/>
      </c>
      <c r="J194" s="829" t="str">
        <f>IFERROR(INDEX(月例!$P$5:$P$788,MATCH("県社保協会費|L|3",月例!$T$5:$T$788,0)),"")</f>
        <v/>
      </c>
      <c r="K194" s="825" t="str">
        <f>IFERROR(INDEX(月例!$A$5:$A$788,MATCH("雑費|L|3",月例!$T$5:$T$788,0)),"")</f>
        <v/>
      </c>
      <c r="L194" s="826" t="str">
        <f>IFERROR(INDEX(月例!$E$5:$E$788,MATCH("雑費|L|3",月例!$T$5:$T$788,0)),"")</f>
        <v/>
      </c>
      <c r="M194" s="830" t="str">
        <f>IFERROR(INDEX(月例!$R$5:$R$788,MATCH("雑費|L|3",月例!$T$5:$T$788,0)),"")</f>
        <v/>
      </c>
      <c r="N194" s="831" t="str">
        <f>IF(M194="","",N193-M194)</f>
        <v/>
      </c>
      <c r="O194" s="829" t="str">
        <f>IFERROR(INDEX(月例!$P$5:$P$788,MATCH("雑費|L|3",月例!$T$5:$T$788,0)),"")</f>
        <v/>
      </c>
      <c r="P194" s="825" t="str">
        <f>IFERROR(INDEX(月例!$A$5:$A$788,MATCH("減価償却費|L|3",月例!$T$5:$T$788,0)),"")</f>
        <v/>
      </c>
      <c r="Q194" s="826" t="str">
        <f>IFERROR(INDEX(月例!$E$5:$E$788,MATCH("減価償却費|L|3",月例!$T$5:$T$788,0)),"")</f>
        <v/>
      </c>
      <c r="R194" s="830" t="str">
        <f>IFERROR(INDEX(月例!$R$5:$R$788,MATCH("減価償却費|L|3",月例!$T$5:$T$788,0)),"")</f>
        <v/>
      </c>
      <c r="S194" s="831" t="str">
        <f>IF(R194="","",S193-R194)</f>
        <v/>
      </c>
      <c r="T194" s="829" t="str">
        <f>IFERROR(INDEX(月例!$P$5:$P$788,MATCH("減価償却費|L|3",月例!$T$5:$T$788,0)),"")</f>
        <v/>
      </c>
    </row>
    <row r="195">
      <c r="A195" s="825" t="str">
        <f>IFERROR(INDEX(月例!$A$5:$A$788,MATCH("労災・雇用保険料|L|4",月例!$T$5:$T$788,0)),"")</f>
        <v/>
      </c>
      <c r="B195" s="826" t="str">
        <f>IFERROR(INDEX(月例!$E$5:$E$788,MATCH("労災・雇用保険料|L|4",月例!$T$5:$T$788,0)),"")</f>
        <v/>
      </c>
      <c r="C195" s="830" t="str">
        <f>IFERROR(INDEX(月例!$R$5:$R$788,MATCH("労災・雇用保険料|L|4",月例!$T$5:$T$788,0)),"")</f>
        <v/>
      </c>
      <c r="D195" s="831" t="str">
        <f>IF(C195="","",D194+C195)</f>
        <v/>
      </c>
      <c r="E195" s="829" t="str">
        <f>IFERROR(INDEX(月例!$P$5:$P$788,MATCH("労災・雇用保険料|L|4",月例!$T$5:$T$788,0)),"")</f>
        <v/>
      </c>
      <c r="F195" s="825" t="str">
        <f>IFERROR(INDEX(月例!$A$5:$A$788,MATCH("県社保協会費|L|4",月例!$T$5:$T$788,0)),"")</f>
        <v/>
      </c>
      <c r="G195" s="826" t="str">
        <f>IFERROR(INDEX(月例!$E$5:$E$788,MATCH("県社保協会費|L|4",月例!$T$5:$T$788,0)),"")</f>
        <v/>
      </c>
      <c r="H195" s="830" t="str">
        <f>IFERROR(INDEX(月例!$R$5:$R$788,MATCH("県社保協会費|L|4",月例!$T$5:$T$788,0)),"")</f>
        <v/>
      </c>
      <c r="I195" s="831" t="str">
        <f>IF(H195="","",I194-H195)</f>
        <v/>
      </c>
      <c r="J195" s="829" t="str">
        <f>IFERROR(INDEX(月例!$P$5:$P$788,MATCH("県社保協会費|L|4",月例!$T$5:$T$788,0)),"")</f>
        <v/>
      </c>
      <c r="K195" s="825" t="str">
        <f>IFERROR(INDEX(月例!$A$5:$A$788,MATCH("雑費|L|4",月例!$T$5:$T$788,0)),"")</f>
        <v/>
      </c>
      <c r="L195" s="826" t="str">
        <f>IFERROR(INDEX(月例!$E$5:$E$788,MATCH("雑費|L|4",月例!$T$5:$T$788,0)),"")</f>
        <v/>
      </c>
      <c r="M195" s="830" t="str">
        <f>IFERROR(INDEX(月例!$R$5:$R$788,MATCH("雑費|L|4",月例!$T$5:$T$788,0)),"")</f>
        <v/>
      </c>
      <c r="N195" s="831" t="str">
        <f>IF(M195="","",N194-M195)</f>
        <v/>
      </c>
      <c r="O195" s="829" t="str">
        <f>IFERROR(INDEX(月例!$P$5:$P$788,MATCH("雑費|L|4",月例!$T$5:$T$788,0)),"")</f>
        <v/>
      </c>
      <c r="P195" s="825" t="str">
        <f>IFERROR(INDEX(月例!$A$5:$A$788,MATCH("減価償却費|L|4",月例!$T$5:$T$788,0)),"")</f>
        <v/>
      </c>
      <c r="Q195" s="826" t="str">
        <f>IFERROR(INDEX(月例!$E$5:$E$788,MATCH("減価償却費|L|4",月例!$T$5:$T$788,0)),"")</f>
        <v/>
      </c>
      <c r="R195" s="830" t="str">
        <f>IFERROR(INDEX(月例!$R$5:$R$788,MATCH("減価償却費|L|4",月例!$T$5:$T$788,0)),"")</f>
        <v/>
      </c>
      <c r="S195" s="831" t="str">
        <f>IF(R195="","",S194-R195)</f>
        <v/>
      </c>
      <c r="T195" s="829" t="str">
        <f>IFERROR(INDEX(月例!$P$5:$P$788,MATCH("減価償却費|L|4",月例!$T$5:$T$788,0)),"")</f>
        <v/>
      </c>
    </row>
    <row r="196">
      <c r="A196" s="825" t="str">
        <f>IFERROR(INDEX(月例!$A$5:$A$788,MATCH("労災・雇用保険料|L|5",月例!$T$5:$T$788,0)),"")</f>
        <v/>
      </c>
      <c r="B196" s="826" t="str">
        <f>IFERROR(INDEX(月例!$E$5:$E$788,MATCH("労災・雇用保険料|L|5",月例!$T$5:$T$788,0)),"")</f>
        <v/>
      </c>
      <c r="C196" s="830" t="str">
        <f>IFERROR(INDEX(月例!$R$5:$R$788,MATCH("労災・雇用保険料|L|5",月例!$T$5:$T$788,0)),"")</f>
        <v/>
      </c>
      <c r="D196" s="831" t="str">
        <f>IF(C196="","",D195+C196)</f>
        <v/>
      </c>
      <c r="E196" s="829" t="str">
        <f>IFERROR(INDEX(月例!$P$5:$P$788,MATCH("労災・雇用保険料|L|5",月例!$T$5:$T$788,0)),"")</f>
        <v/>
      </c>
      <c r="F196" s="825" t="str">
        <f>IFERROR(INDEX(月例!$A$5:$A$788,MATCH("県社保協会費|L|5",月例!$T$5:$T$788,0)),"")</f>
        <v/>
      </c>
      <c r="G196" s="826" t="str">
        <f>IFERROR(INDEX(月例!$E$5:$E$788,MATCH("県社保協会費|L|5",月例!$T$5:$T$788,0)),"")</f>
        <v/>
      </c>
      <c r="H196" s="830" t="str">
        <f>IFERROR(INDEX(月例!$R$5:$R$788,MATCH("県社保協会費|L|5",月例!$T$5:$T$788,0)),"")</f>
        <v/>
      </c>
      <c r="I196" s="831" t="str">
        <f>IF(H196="","",I195-H196)</f>
        <v/>
      </c>
      <c r="J196" s="829" t="str">
        <f>IFERROR(INDEX(月例!$P$5:$P$788,MATCH("県社保協会費|L|5",月例!$T$5:$T$788,0)),"")</f>
        <v/>
      </c>
      <c r="K196" s="825" t="str">
        <f>IFERROR(INDEX(月例!$A$5:$A$788,MATCH("雑費|L|5",月例!$T$5:$T$788,0)),"")</f>
        <v/>
      </c>
      <c r="L196" s="826" t="str">
        <f>IFERROR(INDEX(月例!$E$5:$E$788,MATCH("雑費|L|5",月例!$T$5:$T$788,0)),"")</f>
        <v/>
      </c>
      <c r="M196" s="830" t="str">
        <f>IFERROR(INDEX(月例!$R$5:$R$788,MATCH("雑費|L|5",月例!$T$5:$T$788,0)),"")</f>
        <v/>
      </c>
      <c r="N196" s="831" t="str">
        <f>IF(M196="","",N195-M196)</f>
        <v/>
      </c>
      <c r="O196" s="829" t="str">
        <f>IFERROR(INDEX(月例!$P$5:$P$788,MATCH("雑費|L|5",月例!$T$5:$T$788,0)),"")</f>
        <v/>
      </c>
      <c r="P196" s="825" t="str">
        <f>IFERROR(INDEX(月例!$A$5:$A$788,MATCH("減価償却費|L|5",月例!$T$5:$T$788,0)),"")</f>
        <v/>
      </c>
      <c r="Q196" s="826" t="str">
        <f>IFERROR(INDEX(月例!$E$5:$E$788,MATCH("減価償却費|L|5",月例!$T$5:$T$788,0)),"")</f>
        <v/>
      </c>
      <c r="R196" s="830" t="str">
        <f>IFERROR(INDEX(月例!$R$5:$R$788,MATCH("減価償却費|L|5",月例!$T$5:$T$788,0)),"")</f>
        <v/>
      </c>
      <c r="S196" s="831" t="str">
        <f>IF(R196="","",S195-R196)</f>
        <v/>
      </c>
      <c r="T196" s="829" t="str">
        <f>IFERROR(INDEX(月例!$P$5:$P$788,MATCH("減価償却費|L|5",月例!$T$5:$T$788,0)),"")</f>
        <v/>
      </c>
    </row>
    <row r="197">
      <c r="A197" s="825" t="str">
        <f>IFERROR(INDEX(月例!$A$5:$A$788,MATCH("労災・雇用保険料|L|6",月例!$T$5:$T$788,0)),"")</f>
        <v/>
      </c>
      <c r="B197" s="826" t="str">
        <f>IFERROR(INDEX(月例!$E$5:$E$788,MATCH("労災・雇用保険料|L|6",月例!$T$5:$T$788,0)),"")</f>
        <v/>
      </c>
      <c r="C197" s="830" t="str">
        <f>IFERROR(INDEX(月例!$R$5:$R$788,MATCH("労災・雇用保険料|L|6",月例!$T$5:$T$788,0)),"")</f>
        <v/>
      </c>
      <c r="D197" s="831" t="str">
        <f>IF(C197="","",D196+C197)</f>
        <v/>
      </c>
      <c r="E197" s="829" t="str">
        <f>IFERROR(INDEX(月例!$P$5:$P$788,MATCH("労災・雇用保険料|L|6",月例!$T$5:$T$788,0)),"")</f>
        <v/>
      </c>
      <c r="F197" s="825" t="str">
        <f>IFERROR(INDEX(月例!$A$5:$A$788,MATCH("県社保協会費|L|6",月例!$T$5:$T$788,0)),"")</f>
        <v/>
      </c>
      <c r="G197" s="826" t="str">
        <f>IFERROR(INDEX(月例!$E$5:$E$788,MATCH("県社保協会費|L|6",月例!$T$5:$T$788,0)),"")</f>
        <v/>
      </c>
      <c r="H197" s="830" t="str">
        <f>IFERROR(INDEX(月例!$R$5:$R$788,MATCH("県社保協会費|L|6",月例!$T$5:$T$788,0)),"")</f>
        <v/>
      </c>
      <c r="I197" s="831" t="str">
        <f>IF(H197="","",I196-H197)</f>
        <v/>
      </c>
      <c r="J197" s="829" t="str">
        <f>IFERROR(INDEX(月例!$P$5:$P$788,MATCH("県社保協会費|L|6",月例!$T$5:$T$788,0)),"")</f>
        <v/>
      </c>
      <c r="K197" s="825" t="str">
        <f>IFERROR(INDEX(月例!$A$5:$A$788,MATCH("雑費|L|6",月例!$T$5:$T$788,0)),"")</f>
        <v/>
      </c>
      <c r="L197" s="826" t="str">
        <f>IFERROR(INDEX(月例!$E$5:$E$788,MATCH("雑費|L|6",月例!$T$5:$T$788,0)),"")</f>
        <v/>
      </c>
      <c r="M197" s="830" t="str">
        <f>IFERROR(INDEX(月例!$R$5:$R$788,MATCH("雑費|L|6",月例!$T$5:$T$788,0)),"")</f>
        <v/>
      </c>
      <c r="N197" s="831" t="str">
        <f>IF(M197="","",N196-M197)</f>
        <v/>
      </c>
      <c r="O197" s="829" t="str">
        <f>IFERROR(INDEX(月例!$P$5:$P$788,MATCH("雑費|L|6",月例!$T$5:$T$788,0)),"")</f>
        <v/>
      </c>
      <c r="P197" s="825" t="str">
        <f>IFERROR(INDEX(月例!$A$5:$A$788,MATCH("減価償却費|L|6",月例!$T$5:$T$788,0)),"")</f>
        <v/>
      </c>
      <c r="Q197" s="826" t="str">
        <f>IFERROR(INDEX(月例!$E$5:$E$788,MATCH("減価償却費|L|6",月例!$T$5:$T$788,0)),"")</f>
        <v/>
      </c>
      <c r="R197" s="830" t="str">
        <f>IFERROR(INDEX(月例!$R$5:$R$788,MATCH("減価償却費|L|6",月例!$T$5:$T$788,0)),"")</f>
        <v/>
      </c>
      <c r="S197" s="831" t="str">
        <f>IF(R197="","",S196-R197)</f>
        <v/>
      </c>
      <c r="T197" s="829" t="str">
        <f>IFERROR(INDEX(月例!$P$5:$P$788,MATCH("減価償却費|L|6",月例!$T$5:$T$788,0)),"")</f>
        <v/>
      </c>
    </row>
    <row r="198">
      <c r="A198" s="825" t="str">
        <f>IFERROR(INDEX(月例!$A$5:$A$788,MATCH("労災・雇用保険料|L|7",月例!$T$5:$T$788,0)),"")</f>
        <v/>
      </c>
      <c r="B198" s="826" t="str">
        <f>IFERROR(INDEX(月例!$E$5:$E$788,MATCH("労災・雇用保険料|L|7",月例!$T$5:$T$788,0)),"")</f>
        <v/>
      </c>
      <c r="C198" s="830" t="str">
        <f>IFERROR(INDEX(月例!$R$5:$R$788,MATCH("労災・雇用保険料|L|7",月例!$T$5:$T$788,0)),"")</f>
        <v/>
      </c>
      <c r="D198" s="831" t="str">
        <f>IF(C198="","",D197+C198)</f>
        <v/>
      </c>
      <c r="E198" s="829" t="str">
        <f>IFERROR(INDEX(月例!$P$5:$P$788,MATCH("労災・雇用保険料|L|7",月例!$T$5:$T$788,0)),"")</f>
        <v/>
      </c>
      <c r="F198" s="825" t="str">
        <f>IFERROR(INDEX(月例!$A$5:$A$788,MATCH("県社保協会費|L|7",月例!$T$5:$T$788,0)),"")</f>
        <v/>
      </c>
      <c r="G198" s="826" t="str">
        <f>IFERROR(INDEX(月例!$E$5:$E$788,MATCH("県社保協会費|L|7",月例!$T$5:$T$788,0)),"")</f>
        <v/>
      </c>
      <c r="H198" s="830" t="str">
        <f>IFERROR(INDEX(月例!$R$5:$R$788,MATCH("県社保協会費|L|7",月例!$T$5:$T$788,0)),"")</f>
        <v/>
      </c>
      <c r="I198" s="831" t="str">
        <f>IF(H198="","",I197-H198)</f>
        <v/>
      </c>
      <c r="J198" s="829" t="str">
        <f>IFERROR(INDEX(月例!$P$5:$P$788,MATCH("県社保協会費|L|7",月例!$T$5:$T$788,0)),"")</f>
        <v/>
      </c>
      <c r="K198" s="825" t="str">
        <f>IFERROR(INDEX(月例!$A$5:$A$788,MATCH("雑費|L|7",月例!$T$5:$T$788,0)),"")</f>
        <v/>
      </c>
      <c r="L198" s="826" t="str">
        <f>IFERROR(INDEX(月例!$E$5:$E$788,MATCH("雑費|L|7",月例!$T$5:$T$788,0)),"")</f>
        <v/>
      </c>
      <c r="M198" s="830" t="str">
        <f>IFERROR(INDEX(月例!$R$5:$R$788,MATCH("雑費|L|7",月例!$T$5:$T$788,0)),"")</f>
        <v/>
      </c>
      <c r="N198" s="831" t="str">
        <f>IF(M198="","",N197-M198)</f>
        <v/>
      </c>
      <c r="O198" s="829" t="str">
        <f>IFERROR(INDEX(月例!$P$5:$P$788,MATCH("雑費|L|7",月例!$T$5:$T$788,0)),"")</f>
        <v/>
      </c>
      <c r="P198" s="825" t="str">
        <f>IFERROR(INDEX(月例!$A$5:$A$788,MATCH("減価償却費|L|7",月例!$T$5:$T$788,0)),"")</f>
        <v/>
      </c>
      <c r="Q198" s="826" t="str">
        <f>IFERROR(INDEX(月例!$E$5:$E$788,MATCH("減価償却費|L|7",月例!$T$5:$T$788,0)),"")</f>
        <v/>
      </c>
      <c r="R198" s="830" t="str">
        <f>IFERROR(INDEX(月例!$R$5:$R$788,MATCH("減価償却費|L|7",月例!$T$5:$T$788,0)),"")</f>
        <v/>
      </c>
      <c r="S198" s="831" t="str">
        <f>IF(R198="","",S197-R198)</f>
        <v/>
      </c>
      <c r="T198" s="829" t="str">
        <f>IFERROR(INDEX(月例!$P$5:$P$788,MATCH("減価償却費|L|7",月例!$T$5:$T$788,0)),"")</f>
        <v/>
      </c>
    </row>
    <row r="199">
      <c r="A199" s="825" t="str">
        <f>IFERROR(INDEX(月例!$A$5:$A$788,MATCH("労災・雇用保険料|L|8",月例!$T$5:$T$788,0)),"")</f>
        <v/>
      </c>
      <c r="B199" s="826" t="str">
        <f>IFERROR(INDEX(月例!$E$5:$E$788,MATCH("労災・雇用保険料|L|8",月例!$T$5:$T$788,0)),"")</f>
        <v/>
      </c>
      <c r="C199" s="830" t="str">
        <f>IFERROR(INDEX(月例!$R$5:$R$788,MATCH("労災・雇用保険料|L|8",月例!$T$5:$T$788,0)),"")</f>
        <v/>
      </c>
      <c r="D199" s="831" t="str">
        <f>IF(C199="","",D198+C199)</f>
        <v/>
      </c>
      <c r="E199" s="829" t="str">
        <f>IFERROR(INDEX(月例!$P$5:$P$788,MATCH("労災・雇用保険料|L|8",月例!$T$5:$T$788,0)),"")</f>
        <v/>
      </c>
      <c r="F199" s="825" t="str">
        <f>IFERROR(INDEX(月例!$A$5:$A$788,MATCH("県社保協会費|L|8",月例!$T$5:$T$788,0)),"")</f>
        <v/>
      </c>
      <c r="G199" s="826" t="str">
        <f>IFERROR(INDEX(月例!$E$5:$E$788,MATCH("県社保協会費|L|8",月例!$T$5:$T$788,0)),"")</f>
        <v/>
      </c>
      <c r="H199" s="830" t="str">
        <f>IFERROR(INDEX(月例!$R$5:$R$788,MATCH("県社保協会費|L|8",月例!$T$5:$T$788,0)),"")</f>
        <v/>
      </c>
      <c r="I199" s="831" t="str">
        <f>IF(H199="","",I198-H199)</f>
        <v/>
      </c>
      <c r="J199" s="829" t="str">
        <f>IFERROR(INDEX(月例!$P$5:$P$788,MATCH("県社保協会費|L|8",月例!$T$5:$T$788,0)),"")</f>
        <v/>
      </c>
      <c r="K199" s="825" t="str">
        <f>IFERROR(INDEX(月例!$A$5:$A$788,MATCH("雑費|L|8",月例!$T$5:$T$788,0)),"")</f>
        <v/>
      </c>
      <c r="L199" s="826" t="str">
        <f>IFERROR(INDEX(月例!$E$5:$E$788,MATCH("雑費|L|8",月例!$T$5:$T$788,0)),"")</f>
        <v/>
      </c>
      <c r="M199" s="830" t="str">
        <f>IFERROR(INDEX(月例!$R$5:$R$788,MATCH("雑費|L|8",月例!$T$5:$T$788,0)),"")</f>
        <v/>
      </c>
      <c r="N199" s="831" t="str">
        <f>IF(M199="","",N198-M199)</f>
        <v/>
      </c>
      <c r="O199" s="829" t="str">
        <f>IFERROR(INDEX(月例!$P$5:$P$788,MATCH("雑費|L|8",月例!$T$5:$T$788,0)),"")</f>
        <v/>
      </c>
      <c r="P199" s="825" t="str">
        <f>IFERROR(INDEX(月例!$A$5:$A$788,MATCH("減価償却費|L|8",月例!$T$5:$T$788,0)),"")</f>
        <v/>
      </c>
      <c r="Q199" s="826" t="str">
        <f>IFERROR(INDEX(月例!$E$5:$E$788,MATCH("減価償却費|L|8",月例!$T$5:$T$788,0)),"")</f>
        <v/>
      </c>
      <c r="R199" s="830" t="str">
        <f>IFERROR(INDEX(月例!$R$5:$R$788,MATCH("減価償却費|L|8",月例!$T$5:$T$788,0)),"")</f>
        <v/>
      </c>
      <c r="S199" s="831" t="str">
        <f>IF(R199="","",S198-R199)</f>
        <v/>
      </c>
      <c r="T199" s="829" t="str">
        <f>IFERROR(INDEX(月例!$P$5:$P$788,MATCH("減価償却費|L|8",月例!$T$5:$T$788,0)),"")</f>
        <v/>
      </c>
    </row>
    <row r="200">
      <c r="A200" s="825" t="str">
        <f>IFERROR(INDEX(月例!$A$5:$A$788,MATCH("労災・雇用保険料|L|9",月例!$T$5:$T$788,0)),"")</f>
        <v/>
      </c>
      <c r="B200" s="826" t="str">
        <f>IFERROR(INDEX(月例!$E$5:$E$788,MATCH("労災・雇用保険料|L|9",月例!$T$5:$T$788,0)),"")</f>
        <v/>
      </c>
      <c r="C200" s="830" t="str">
        <f>IFERROR(INDEX(月例!$R$5:$R$788,MATCH("労災・雇用保険料|L|9",月例!$T$5:$T$788,0)),"")</f>
        <v/>
      </c>
      <c r="D200" s="831" t="str">
        <f>IF(C200="","",D199+C200)</f>
        <v/>
      </c>
      <c r="E200" s="829" t="str">
        <f>IFERROR(INDEX(月例!$P$5:$P$788,MATCH("労災・雇用保険料|L|9",月例!$T$5:$T$788,0)),"")</f>
        <v/>
      </c>
      <c r="F200" s="825" t="str">
        <f>IFERROR(INDEX(月例!$A$5:$A$788,MATCH("県社保協会費|L|9",月例!$T$5:$T$788,0)),"")</f>
        <v/>
      </c>
      <c r="G200" s="826" t="str">
        <f>IFERROR(INDEX(月例!$E$5:$E$788,MATCH("県社保協会費|L|9",月例!$T$5:$T$788,0)),"")</f>
        <v/>
      </c>
      <c r="H200" s="830" t="str">
        <f>IFERROR(INDEX(月例!$R$5:$R$788,MATCH("県社保協会費|L|9",月例!$T$5:$T$788,0)),"")</f>
        <v/>
      </c>
      <c r="I200" s="831" t="str">
        <f>IF(H200="","",I199-H200)</f>
        <v/>
      </c>
      <c r="J200" s="829" t="str">
        <f>IFERROR(INDEX(月例!$P$5:$P$788,MATCH("県社保協会費|L|9",月例!$T$5:$T$788,0)),"")</f>
        <v/>
      </c>
      <c r="K200" s="825" t="str">
        <f>IFERROR(INDEX(月例!$A$5:$A$788,MATCH("雑費|L|9",月例!$T$5:$T$788,0)),"")</f>
        <v/>
      </c>
      <c r="L200" s="826" t="str">
        <f>IFERROR(INDEX(月例!$E$5:$E$788,MATCH("雑費|L|9",月例!$T$5:$T$788,0)),"")</f>
        <v/>
      </c>
      <c r="M200" s="830" t="str">
        <f>IFERROR(INDEX(月例!$R$5:$R$788,MATCH("雑費|L|9",月例!$T$5:$T$788,0)),"")</f>
        <v/>
      </c>
      <c r="N200" s="831" t="str">
        <f>IF(M200="","",N199-M200)</f>
        <v/>
      </c>
      <c r="O200" s="829" t="str">
        <f>IFERROR(INDEX(月例!$P$5:$P$788,MATCH("雑費|L|9",月例!$T$5:$T$788,0)),"")</f>
        <v/>
      </c>
      <c r="P200" s="825" t="str">
        <f>IFERROR(INDEX(月例!$A$5:$A$788,MATCH("減価償却費|L|9",月例!$T$5:$T$788,0)),"")</f>
        <v/>
      </c>
      <c r="Q200" s="826" t="str">
        <f>IFERROR(INDEX(月例!$E$5:$E$788,MATCH("減価償却費|L|9",月例!$T$5:$T$788,0)),"")</f>
        <v/>
      </c>
      <c r="R200" s="830" t="str">
        <f>IFERROR(INDEX(月例!$R$5:$R$788,MATCH("減価償却費|L|9",月例!$T$5:$T$788,0)),"")</f>
        <v/>
      </c>
      <c r="S200" s="831" t="str">
        <f>IF(R200="","",S199-R200)</f>
        <v/>
      </c>
      <c r="T200" s="829" t="str">
        <f>IFERROR(INDEX(月例!$P$5:$P$788,MATCH("減価償却費|L|9",月例!$T$5:$T$788,0)),"")</f>
        <v/>
      </c>
    </row>
    <row r="201">
      <c r="A201" s="825" t="str">
        <f>IFERROR(INDEX(月例!$A$5:$A$788,MATCH("労災・雇用保険料|L|10",月例!$T$5:$T$788,0)),"")</f>
        <v/>
      </c>
      <c r="B201" s="826" t="str">
        <f>IFERROR(INDEX(月例!$E$5:$E$788,MATCH("労災・雇用保険料|L|10",月例!$T$5:$T$788,0)),"")</f>
        <v/>
      </c>
      <c r="C201" s="830" t="str">
        <f>IFERROR(INDEX(月例!$R$5:$R$788,MATCH("労災・雇用保険料|L|10",月例!$T$5:$T$788,0)),"")</f>
        <v/>
      </c>
      <c r="D201" s="831" t="str">
        <f>IF(C201="","",D200+C201)</f>
        <v/>
      </c>
      <c r="E201" s="829" t="str">
        <f>IFERROR(INDEX(月例!$P$5:$P$788,MATCH("労災・雇用保険料|L|10",月例!$T$5:$T$788,0)),"")</f>
        <v/>
      </c>
      <c r="F201" s="825" t="str">
        <f>IFERROR(INDEX(月例!$A$5:$A$788,MATCH("県社保協会費|L|10",月例!$T$5:$T$788,0)),"")</f>
        <v/>
      </c>
      <c r="G201" s="826" t="str">
        <f>IFERROR(INDEX(月例!$E$5:$E$788,MATCH("県社保協会費|L|10",月例!$T$5:$T$788,0)),"")</f>
        <v/>
      </c>
      <c r="H201" s="830" t="str">
        <f>IFERROR(INDEX(月例!$R$5:$R$788,MATCH("県社保協会費|L|10",月例!$T$5:$T$788,0)),"")</f>
        <v/>
      </c>
      <c r="I201" s="831" t="str">
        <f>IF(H201="","",I200-H201)</f>
        <v/>
      </c>
      <c r="J201" s="829" t="str">
        <f>IFERROR(INDEX(月例!$P$5:$P$788,MATCH("県社保協会費|L|10",月例!$T$5:$T$788,0)),"")</f>
        <v/>
      </c>
      <c r="K201" s="825" t="str">
        <f>IFERROR(INDEX(月例!$A$5:$A$788,MATCH("雑費|L|10",月例!$T$5:$T$788,0)),"")</f>
        <v/>
      </c>
      <c r="L201" s="826" t="str">
        <f>IFERROR(INDEX(月例!$E$5:$E$788,MATCH("雑費|L|10",月例!$T$5:$T$788,0)),"")</f>
        <v/>
      </c>
      <c r="M201" s="830" t="str">
        <f>IFERROR(INDEX(月例!$R$5:$R$788,MATCH("雑費|L|10",月例!$T$5:$T$788,0)),"")</f>
        <v/>
      </c>
      <c r="N201" s="831" t="str">
        <f>IF(M201="","",N200-M201)</f>
        <v/>
      </c>
      <c r="O201" s="829" t="str">
        <f>IFERROR(INDEX(月例!$P$5:$P$788,MATCH("雑費|L|10",月例!$T$5:$T$788,0)),"")</f>
        <v/>
      </c>
      <c r="P201" s="825" t="str">
        <f>IFERROR(INDEX(月例!$A$5:$A$788,MATCH("減価償却費|L|10",月例!$T$5:$T$788,0)),"")</f>
        <v/>
      </c>
      <c r="Q201" s="826" t="str">
        <f>IFERROR(INDEX(月例!$E$5:$E$788,MATCH("減価償却費|L|10",月例!$T$5:$T$788,0)),"")</f>
        <v/>
      </c>
      <c r="R201" s="830" t="str">
        <f>IFERROR(INDEX(月例!$R$5:$R$788,MATCH("減価償却費|L|10",月例!$T$5:$T$788,0)),"")</f>
        <v/>
      </c>
      <c r="S201" s="831" t="str">
        <f>IF(R201="","",S200-R201)</f>
        <v/>
      </c>
      <c r="T201" s="829" t="str">
        <f>IFERROR(INDEX(月例!$P$5:$P$788,MATCH("減価償却費|L|10",月例!$T$5:$T$788,0)),"")</f>
        <v/>
      </c>
    </row>
    <row r="202">
      <c r="A202" s="825" t="str">
        <f>IFERROR(INDEX(月例!$A$5:$A$788,MATCH("労災・雇用保険料|L|11",月例!$T$5:$T$788,0)),"")</f>
        <v/>
      </c>
      <c r="B202" s="826" t="str">
        <f>IFERROR(INDEX(月例!$E$5:$E$788,MATCH("労災・雇用保険料|L|11",月例!$T$5:$T$788,0)),"")</f>
        <v/>
      </c>
      <c r="C202" s="830" t="str">
        <f>IFERROR(INDEX(月例!$R$5:$R$788,MATCH("労災・雇用保険料|L|11",月例!$T$5:$T$788,0)),"")</f>
        <v/>
      </c>
      <c r="D202" s="831" t="str">
        <f>IF(C202="","",D201+C202)</f>
        <v/>
      </c>
      <c r="E202" s="829" t="str">
        <f>IFERROR(INDEX(月例!$P$5:$P$788,MATCH("労災・雇用保険料|L|11",月例!$T$5:$T$788,0)),"")</f>
        <v/>
      </c>
      <c r="F202" s="825" t="str">
        <f>IFERROR(INDEX(月例!$A$5:$A$788,MATCH("県社保協会費|L|11",月例!$T$5:$T$788,0)),"")</f>
        <v/>
      </c>
      <c r="G202" s="826" t="str">
        <f>IFERROR(INDEX(月例!$E$5:$E$788,MATCH("県社保協会費|L|11",月例!$T$5:$T$788,0)),"")</f>
        <v/>
      </c>
      <c r="H202" s="830" t="str">
        <f>IFERROR(INDEX(月例!$R$5:$R$788,MATCH("県社保協会費|L|11",月例!$T$5:$T$788,0)),"")</f>
        <v/>
      </c>
      <c r="I202" s="831" t="str">
        <f>IF(H202="","",I201-H202)</f>
        <v/>
      </c>
      <c r="J202" s="829" t="str">
        <f>IFERROR(INDEX(月例!$P$5:$P$788,MATCH("県社保協会費|L|11",月例!$T$5:$T$788,0)),"")</f>
        <v/>
      </c>
      <c r="K202" s="825" t="str">
        <f>IFERROR(INDEX(月例!$A$5:$A$788,MATCH("雑費|L|11",月例!$T$5:$T$788,0)),"")</f>
        <v/>
      </c>
      <c r="L202" s="826" t="str">
        <f>IFERROR(INDEX(月例!$E$5:$E$788,MATCH("雑費|L|11",月例!$T$5:$T$788,0)),"")</f>
        <v/>
      </c>
      <c r="M202" s="830" t="str">
        <f>IFERROR(INDEX(月例!$R$5:$R$788,MATCH("雑費|L|11",月例!$T$5:$T$788,0)),"")</f>
        <v/>
      </c>
      <c r="N202" s="831" t="str">
        <f>IF(M202="","",N201-M202)</f>
        <v/>
      </c>
      <c r="O202" s="829" t="str">
        <f>IFERROR(INDEX(月例!$P$5:$P$788,MATCH("雑費|L|11",月例!$T$5:$T$788,0)),"")</f>
        <v/>
      </c>
      <c r="P202" s="825" t="str">
        <f>IFERROR(INDEX(月例!$A$5:$A$788,MATCH("減価償却費|L|11",月例!$T$5:$T$788,0)),"")</f>
        <v/>
      </c>
      <c r="Q202" s="826" t="str">
        <f>IFERROR(INDEX(月例!$E$5:$E$788,MATCH("減価償却費|L|11",月例!$T$5:$T$788,0)),"")</f>
        <v/>
      </c>
      <c r="R202" s="830" t="str">
        <f>IFERROR(INDEX(月例!$R$5:$R$788,MATCH("減価償却費|L|11",月例!$T$5:$T$788,0)),"")</f>
        <v/>
      </c>
      <c r="S202" s="831" t="str">
        <f>IF(R202="","",S201-R202)</f>
        <v/>
      </c>
      <c r="T202" s="829" t="str">
        <f>IFERROR(INDEX(月例!$P$5:$P$788,MATCH("減価償却費|L|11",月例!$T$5:$T$788,0)),"")</f>
        <v/>
      </c>
    </row>
    <row r="203">
      <c r="A203" s="825" t="str">
        <f>IFERROR(INDEX(月例!$A$5:$A$788,MATCH("労災・雇用保険料|L|12",月例!$T$5:$T$788,0)),"")</f>
        <v/>
      </c>
      <c r="B203" s="826" t="str">
        <f>IFERROR(INDEX(月例!$E$5:$E$788,MATCH("労災・雇用保険料|L|12",月例!$T$5:$T$788,0)),"")</f>
        <v/>
      </c>
      <c r="C203" s="830" t="str">
        <f>IFERROR(INDEX(月例!$R$5:$R$788,MATCH("労災・雇用保険料|L|12",月例!$T$5:$T$788,0)),"")</f>
        <v/>
      </c>
      <c r="D203" s="831" t="str">
        <f>IF(C203="","",D202+C203)</f>
        <v/>
      </c>
      <c r="E203" s="829" t="str">
        <f>IFERROR(INDEX(月例!$P$5:$P$788,MATCH("労災・雇用保険料|L|12",月例!$T$5:$T$788,0)),"")</f>
        <v/>
      </c>
      <c r="F203" s="825" t="str">
        <f>IFERROR(INDEX(月例!$A$5:$A$788,MATCH("県社保協会費|L|12",月例!$T$5:$T$788,0)),"")</f>
        <v/>
      </c>
      <c r="G203" s="826" t="str">
        <f>IFERROR(INDEX(月例!$E$5:$E$788,MATCH("県社保協会費|L|12",月例!$T$5:$T$788,0)),"")</f>
        <v/>
      </c>
      <c r="H203" s="830" t="str">
        <f>IFERROR(INDEX(月例!$R$5:$R$788,MATCH("県社保協会費|L|12",月例!$T$5:$T$788,0)),"")</f>
        <v/>
      </c>
      <c r="I203" s="831" t="str">
        <f>IF(H203="","",I202-H203)</f>
        <v/>
      </c>
      <c r="J203" s="829" t="str">
        <f>IFERROR(INDEX(月例!$P$5:$P$788,MATCH("県社保協会費|L|12",月例!$T$5:$T$788,0)),"")</f>
        <v/>
      </c>
      <c r="K203" s="825" t="str">
        <f>IFERROR(INDEX(月例!$A$5:$A$788,MATCH("雑費|L|12",月例!$T$5:$T$788,0)),"")</f>
        <v/>
      </c>
      <c r="L203" s="826" t="str">
        <f>IFERROR(INDEX(月例!$E$5:$E$788,MATCH("雑費|L|12",月例!$T$5:$T$788,0)),"")</f>
        <v/>
      </c>
      <c r="M203" s="830" t="str">
        <f>IFERROR(INDEX(月例!$R$5:$R$788,MATCH("雑費|L|12",月例!$T$5:$T$788,0)),"")</f>
        <v/>
      </c>
      <c r="N203" s="831" t="str">
        <f>IF(M203="","",N202-M203)</f>
        <v/>
      </c>
      <c r="O203" s="829" t="str">
        <f>IFERROR(INDEX(月例!$P$5:$P$788,MATCH("雑費|L|12",月例!$T$5:$T$788,0)),"")</f>
        <v/>
      </c>
      <c r="P203" s="825" t="str">
        <f>IFERROR(INDEX(月例!$A$5:$A$788,MATCH("減価償却費|L|12",月例!$T$5:$T$788,0)),"")</f>
        <v/>
      </c>
      <c r="Q203" s="826" t="str">
        <f>IFERROR(INDEX(月例!$E$5:$E$788,MATCH("減価償却費|L|12",月例!$T$5:$T$788,0)),"")</f>
        <v/>
      </c>
      <c r="R203" s="830" t="str">
        <f>IFERROR(INDEX(月例!$R$5:$R$788,MATCH("減価償却費|L|12",月例!$T$5:$T$788,0)),"")</f>
        <v/>
      </c>
      <c r="S203" s="831" t="str">
        <f>IF(R203="","",S202-R203)</f>
        <v/>
      </c>
      <c r="T203" s="829" t="str">
        <f>IFERROR(INDEX(月例!$P$5:$P$788,MATCH("減価償却費|L|12",月例!$T$5:$T$788,0)),"")</f>
        <v/>
      </c>
    </row>
    <row r="207">
      <c r="B207" s="502" t="inlineStr">
        <is>
          <t>○器具及び備品</t>
        </is>
      </c>
      <c r="D207" s="93" t="inlineStr">
        <is>
          <t>業務（長）</t>
        </is>
      </c>
      <c r="E207" s="824" t="str">
        <f>IF(COUNTIF(月例!$T$5:$T$788,"器具及び備品|L|*")&gt;12,"行不足","")</f>
        <v/>
      </c>
      <c r="G207" s="502" t="inlineStr">
        <is>
          <t>○前期損益修正損</t>
        </is>
      </c>
      <c r="I207" s="93" t="inlineStr">
        <is>
          <t>業務（長）</t>
        </is>
      </c>
      <c r="J207" s="824" t="str">
        <f>IF(COUNTIF(月例!$T$5:$T$788,"前期損益修正損|L|*")&gt;12,"行不足","")</f>
        <v/>
      </c>
      <c r="L207" s="502" t="inlineStr">
        <is>
          <t>○立替金</t>
        </is>
      </c>
      <c r="N207" s="93" t="inlineStr">
        <is>
          <t>業務（長）</t>
        </is>
      </c>
      <c r="O207" s="824" t="str">
        <f>IF(COUNTIF(月例!$T$5:$T$788,"立替金|L|*")&gt;12,"行不足","")</f>
        <v/>
      </c>
    </row>
    <row r="208">
      <c r="A208" s="100" t="inlineStr">
        <is>
          <t>支出日</t>
        </is>
      </c>
      <c r="B208" s="100" t="inlineStr">
        <is>
          <t>摘要</t>
        </is>
      </c>
      <c r="C208" s="100" t="inlineStr">
        <is>
          <t>支出</t>
        </is>
      </c>
      <c r="D208" s="100" t="inlineStr">
        <is>
          <t>累計</t>
        </is>
      </c>
      <c r="E208" s="100" t="inlineStr">
        <is>
          <t>状態</t>
        </is>
      </c>
      <c r="F208" s="100" t="inlineStr">
        <is>
          <t>支出日</t>
        </is>
      </c>
      <c r="G208" s="100" t="inlineStr">
        <is>
          <t>摘要</t>
        </is>
      </c>
      <c r="H208" s="100" t="inlineStr">
        <is>
          <t>支出</t>
        </is>
      </c>
      <c r="I208" s="100" t="inlineStr">
        <is>
          <t>累計</t>
        </is>
      </c>
      <c r="J208" s="100" t="inlineStr">
        <is>
          <t>状態</t>
        </is>
      </c>
      <c r="K208" s="100" t="inlineStr">
        <is>
          <t>支出日</t>
        </is>
      </c>
      <c r="L208" s="100" t="inlineStr">
        <is>
          <t>摘要</t>
        </is>
      </c>
      <c r="M208" s="100" t="inlineStr">
        <is>
          <t>支出</t>
        </is>
      </c>
      <c r="N208" s="100" t="inlineStr">
        <is>
          <t>累計</t>
        </is>
      </c>
      <c r="O208" s="100" t="inlineStr">
        <is>
          <t>状態</t>
        </is>
      </c>
    </row>
    <row r="209">
      <c r="A209" s="825" t="n"/>
      <c r="B209" s="826" t="inlineStr">
        <is>
          <t>（予算なし）</t>
        </is>
      </c>
      <c r="C209" s="830" t="n"/>
      <c r="D209" s="831" t="n">
        <v>0</v>
      </c>
      <c r="F209" s="825" t="n"/>
      <c r="G209" s="826" t="inlineStr">
        <is>
          <t>（予算なし）</t>
        </is>
      </c>
      <c r="H209" s="830" t="n"/>
      <c r="I209" s="831" t="n">
        <v>0</v>
      </c>
      <c r="K209" s="825" t="n"/>
      <c r="L209" s="826" t="inlineStr">
        <is>
          <t>（予算なし）</t>
        </is>
      </c>
      <c r="M209" s="830" t="n"/>
      <c r="N209" s="831" t="n">
        <v>0</v>
      </c>
    </row>
    <row r="210">
      <c r="A210" s="825" t="str">
        <f>IFERROR(INDEX(月例!$A$5:$A$788,MATCH("器具及び備品|L|1",月例!$T$5:$T$788,0)),"")</f>
        <v/>
      </c>
      <c r="B210" s="826" t="str">
        <f>IFERROR(INDEX(月例!$E$5:$E$788,MATCH("器具及び備品|L|1",月例!$T$5:$T$788,0)),"")</f>
        <v/>
      </c>
      <c r="C210" s="830" t="str">
        <f>IFERROR(INDEX(月例!$R$5:$R$788,MATCH("器具及び備品|L|1",月例!$T$5:$T$788,0)),"")</f>
        <v/>
      </c>
      <c r="D210" s="831" t="str">
        <f>IF(C210="","",D209+C210)</f>
        <v/>
      </c>
      <c r="E210" s="829" t="str">
        <f>IFERROR(INDEX(月例!$P$5:$P$788,MATCH("器具及び備品|L|1",月例!$T$5:$T$788,0)),"")</f>
        <v/>
      </c>
      <c r="F210" s="825">
        <f>IFERROR(INDEX(月例!$A$5:$A$788,MATCH("前期損益修正損|L|1",月例!$T$5:$T$788,0)),"")</f>
        <v>44834</v>
      </c>
      <c r="G210" s="826" t="str">
        <f>IFERROR(INDEX(月例!$E$5:$E$788,MATCH("前期損益修正損|L|1",月例!$T$5:$T$788,0)),"")</f>
        <v>退職等年金給付業務に係る構成組合交付金（Ｒ３年度分精算）返還金</v>
      </c>
      <c r="H210" s="830">
        <f>IFERROR(INDEX(月例!$R$5:$R$788,MATCH("前期損益修正損|L|1",月例!$T$5:$T$788,0)),"")</f>
        <v>1893758</v>
      </c>
      <c r="I210" s="831">
        <f>IF(H210="","",I209+H210)</f>
        <v>1893758</v>
      </c>
      <c r="J210" s="829" t="str">
        <f>IFERROR(INDEX(月例!$P$5:$P$788,MATCH("前期損益修正損|L|1",月例!$T$5:$T$788,0)),"")</f>
        <v>昨年実績</v>
      </c>
      <c r="K210" s="825" t="str">
        <f>IFERROR(INDEX(月例!$A$5:$A$788,MATCH("立替金|L|1",月例!$T$5:$T$788,0)),"")</f>
        <v/>
      </c>
      <c r="L210" s="826" t="str">
        <f>IFERROR(INDEX(月例!$E$5:$E$788,MATCH("立替金|L|1",月例!$T$5:$T$788,0)),"")</f>
        <v/>
      </c>
      <c r="M210" s="830" t="str">
        <f>IFERROR(INDEX(月例!$R$5:$R$788,MATCH("立替金|L|1",月例!$T$5:$T$788,0)),"")</f>
        <v/>
      </c>
      <c r="N210" s="831" t="str">
        <f>IF(M210="","",N209+M210)</f>
        <v/>
      </c>
      <c r="O210" s="829" t="str">
        <f>IFERROR(INDEX(月例!$P$5:$P$788,MATCH("立替金|L|1",月例!$T$5:$T$788,0)),"")</f>
        <v/>
      </c>
    </row>
    <row r="211">
      <c r="A211" s="825" t="str">
        <f>IFERROR(INDEX(月例!$A$5:$A$788,MATCH("器具及び備品|L|2",月例!$T$5:$T$788,0)),"")</f>
        <v/>
      </c>
      <c r="B211" s="826" t="str">
        <f>IFERROR(INDEX(月例!$E$5:$E$788,MATCH("器具及び備品|L|2",月例!$T$5:$T$788,0)),"")</f>
        <v/>
      </c>
      <c r="C211" s="830" t="str">
        <f>IFERROR(INDEX(月例!$R$5:$R$788,MATCH("器具及び備品|L|2",月例!$T$5:$T$788,0)),"")</f>
        <v/>
      </c>
      <c r="D211" s="831" t="str">
        <f>IF(C211="","",D210+C211)</f>
        <v/>
      </c>
      <c r="E211" s="829" t="str">
        <f>IFERROR(INDEX(月例!$P$5:$P$788,MATCH("器具及び備品|L|2",月例!$T$5:$T$788,0)),"")</f>
        <v/>
      </c>
      <c r="F211" s="825" t="str">
        <f>IFERROR(INDEX(月例!$A$5:$A$788,MATCH("前期損益修正損|L|2",月例!$T$5:$T$788,0)),"")</f>
        <v/>
      </c>
      <c r="G211" s="826" t="str">
        <f>IFERROR(INDEX(月例!$E$5:$E$788,MATCH("前期損益修正損|L|2",月例!$T$5:$T$788,0)),"")</f>
        <v/>
      </c>
      <c r="H211" s="830" t="str">
        <f>IFERROR(INDEX(月例!$R$5:$R$788,MATCH("前期損益修正損|L|2",月例!$T$5:$T$788,0)),"")</f>
        <v/>
      </c>
      <c r="I211" s="831" t="str">
        <f>IF(H211="","",I210+H211)</f>
        <v/>
      </c>
      <c r="J211" s="829" t="str">
        <f>IFERROR(INDEX(月例!$P$5:$P$788,MATCH("前期損益修正損|L|2",月例!$T$5:$T$788,0)),"")</f>
        <v/>
      </c>
      <c r="K211" s="825" t="str">
        <f>IFERROR(INDEX(月例!$A$5:$A$788,MATCH("立替金|L|2",月例!$T$5:$T$788,0)),"")</f>
        <v/>
      </c>
      <c r="L211" s="826" t="str">
        <f>IFERROR(INDEX(月例!$E$5:$E$788,MATCH("立替金|L|2",月例!$T$5:$T$788,0)),"")</f>
        <v/>
      </c>
      <c r="M211" s="830" t="str">
        <f>IFERROR(INDEX(月例!$R$5:$R$788,MATCH("立替金|L|2",月例!$T$5:$T$788,0)),"")</f>
        <v/>
      </c>
      <c r="N211" s="831" t="str">
        <f>IF(M211="","",N210+M211)</f>
        <v/>
      </c>
      <c r="O211" s="829" t="str">
        <f>IFERROR(INDEX(月例!$P$5:$P$788,MATCH("立替金|L|2",月例!$T$5:$T$788,0)),"")</f>
        <v/>
      </c>
    </row>
    <row r="212">
      <c r="A212" s="825" t="str">
        <f>IFERROR(INDEX(月例!$A$5:$A$788,MATCH("器具及び備品|L|3",月例!$T$5:$T$788,0)),"")</f>
        <v/>
      </c>
      <c r="B212" s="826" t="str">
        <f>IFERROR(INDEX(月例!$E$5:$E$788,MATCH("器具及び備品|L|3",月例!$T$5:$T$788,0)),"")</f>
        <v/>
      </c>
      <c r="C212" s="830" t="str">
        <f>IFERROR(INDEX(月例!$R$5:$R$788,MATCH("器具及び備品|L|3",月例!$T$5:$T$788,0)),"")</f>
        <v/>
      </c>
      <c r="D212" s="831" t="str">
        <f>IF(C212="","",D211+C212)</f>
        <v/>
      </c>
      <c r="E212" s="829" t="str">
        <f>IFERROR(INDEX(月例!$P$5:$P$788,MATCH("器具及び備品|L|3",月例!$T$5:$T$788,0)),"")</f>
        <v/>
      </c>
      <c r="F212" s="825" t="str">
        <f>IFERROR(INDEX(月例!$A$5:$A$788,MATCH("前期損益修正損|L|3",月例!$T$5:$T$788,0)),"")</f>
        <v/>
      </c>
      <c r="G212" s="826" t="str">
        <f>IFERROR(INDEX(月例!$E$5:$E$788,MATCH("前期損益修正損|L|3",月例!$T$5:$T$788,0)),"")</f>
        <v/>
      </c>
      <c r="H212" s="830" t="str">
        <f>IFERROR(INDEX(月例!$R$5:$R$788,MATCH("前期損益修正損|L|3",月例!$T$5:$T$788,0)),"")</f>
        <v/>
      </c>
      <c r="I212" s="831" t="str">
        <f>IF(H212="","",I211+H212)</f>
        <v/>
      </c>
      <c r="J212" s="829" t="str">
        <f>IFERROR(INDEX(月例!$P$5:$P$788,MATCH("前期損益修正損|L|3",月例!$T$5:$T$788,0)),"")</f>
        <v/>
      </c>
      <c r="K212" s="825" t="str">
        <f>IFERROR(INDEX(月例!$A$5:$A$788,MATCH("立替金|L|3",月例!$T$5:$T$788,0)),"")</f>
        <v/>
      </c>
      <c r="L212" s="826" t="str">
        <f>IFERROR(INDEX(月例!$E$5:$E$788,MATCH("立替金|L|3",月例!$T$5:$T$788,0)),"")</f>
        <v/>
      </c>
      <c r="M212" s="830" t="str">
        <f>IFERROR(INDEX(月例!$R$5:$R$788,MATCH("立替金|L|3",月例!$T$5:$T$788,0)),"")</f>
        <v/>
      </c>
      <c r="N212" s="831" t="str">
        <f>IF(M212="","",N211+M212)</f>
        <v/>
      </c>
      <c r="O212" s="829" t="str">
        <f>IFERROR(INDEX(月例!$P$5:$P$788,MATCH("立替金|L|3",月例!$T$5:$T$788,0)),"")</f>
        <v/>
      </c>
    </row>
    <row r="213">
      <c r="A213" s="825" t="str">
        <f>IFERROR(INDEX(月例!$A$5:$A$788,MATCH("器具及び備品|L|4",月例!$T$5:$T$788,0)),"")</f>
        <v/>
      </c>
      <c r="B213" s="826" t="str">
        <f>IFERROR(INDEX(月例!$E$5:$E$788,MATCH("器具及び備品|L|4",月例!$T$5:$T$788,0)),"")</f>
        <v/>
      </c>
      <c r="C213" s="830" t="str">
        <f>IFERROR(INDEX(月例!$R$5:$R$788,MATCH("器具及び備品|L|4",月例!$T$5:$T$788,0)),"")</f>
        <v/>
      </c>
      <c r="D213" s="831" t="str">
        <f>IF(C213="","",D212+C213)</f>
        <v/>
      </c>
      <c r="E213" s="829" t="str">
        <f>IFERROR(INDEX(月例!$P$5:$P$788,MATCH("器具及び備品|L|4",月例!$T$5:$T$788,0)),"")</f>
        <v/>
      </c>
      <c r="F213" s="825" t="str">
        <f>IFERROR(INDEX(月例!$A$5:$A$788,MATCH("前期損益修正損|L|4",月例!$T$5:$T$788,0)),"")</f>
        <v/>
      </c>
      <c r="G213" s="826" t="str">
        <f>IFERROR(INDEX(月例!$E$5:$E$788,MATCH("前期損益修正損|L|4",月例!$T$5:$T$788,0)),"")</f>
        <v/>
      </c>
      <c r="H213" s="830" t="str">
        <f>IFERROR(INDEX(月例!$R$5:$R$788,MATCH("前期損益修正損|L|4",月例!$T$5:$T$788,0)),"")</f>
        <v/>
      </c>
      <c r="I213" s="831" t="str">
        <f>IF(H213="","",I212+H213)</f>
        <v/>
      </c>
      <c r="J213" s="829" t="str">
        <f>IFERROR(INDEX(月例!$P$5:$P$788,MATCH("前期損益修正損|L|4",月例!$T$5:$T$788,0)),"")</f>
        <v/>
      </c>
      <c r="K213" s="825" t="str">
        <f>IFERROR(INDEX(月例!$A$5:$A$788,MATCH("立替金|L|4",月例!$T$5:$T$788,0)),"")</f>
        <v/>
      </c>
      <c r="L213" s="826" t="str">
        <f>IFERROR(INDEX(月例!$E$5:$E$788,MATCH("立替金|L|4",月例!$T$5:$T$788,0)),"")</f>
        <v/>
      </c>
      <c r="M213" s="830" t="str">
        <f>IFERROR(INDEX(月例!$R$5:$R$788,MATCH("立替金|L|4",月例!$T$5:$T$788,0)),"")</f>
        <v/>
      </c>
      <c r="N213" s="831" t="str">
        <f>IF(M213="","",N212+M213)</f>
        <v/>
      </c>
      <c r="O213" s="829" t="str">
        <f>IFERROR(INDEX(月例!$P$5:$P$788,MATCH("立替金|L|4",月例!$T$5:$T$788,0)),"")</f>
        <v/>
      </c>
    </row>
    <row r="214">
      <c r="A214" s="825" t="str">
        <f>IFERROR(INDEX(月例!$A$5:$A$788,MATCH("器具及び備品|L|5",月例!$T$5:$T$788,0)),"")</f>
        <v/>
      </c>
      <c r="B214" s="826" t="str">
        <f>IFERROR(INDEX(月例!$E$5:$E$788,MATCH("器具及び備品|L|5",月例!$T$5:$T$788,0)),"")</f>
        <v/>
      </c>
      <c r="C214" s="830" t="str">
        <f>IFERROR(INDEX(月例!$R$5:$R$788,MATCH("器具及び備品|L|5",月例!$T$5:$T$788,0)),"")</f>
        <v/>
      </c>
      <c r="D214" s="831" t="str">
        <f>IF(C214="","",D213+C214)</f>
        <v/>
      </c>
      <c r="E214" s="829" t="str">
        <f>IFERROR(INDEX(月例!$P$5:$P$788,MATCH("器具及び備品|L|5",月例!$T$5:$T$788,0)),"")</f>
        <v/>
      </c>
      <c r="F214" s="825" t="str">
        <f>IFERROR(INDEX(月例!$A$5:$A$788,MATCH("前期損益修正損|L|5",月例!$T$5:$T$788,0)),"")</f>
        <v/>
      </c>
      <c r="G214" s="826" t="str">
        <f>IFERROR(INDEX(月例!$E$5:$E$788,MATCH("前期損益修正損|L|5",月例!$T$5:$T$788,0)),"")</f>
        <v/>
      </c>
      <c r="H214" s="830" t="str">
        <f>IFERROR(INDEX(月例!$R$5:$R$788,MATCH("前期損益修正損|L|5",月例!$T$5:$T$788,0)),"")</f>
        <v/>
      </c>
      <c r="I214" s="831" t="str">
        <f>IF(H214="","",I213+H214)</f>
        <v/>
      </c>
      <c r="J214" s="829" t="str">
        <f>IFERROR(INDEX(月例!$P$5:$P$788,MATCH("前期損益修正損|L|5",月例!$T$5:$T$788,0)),"")</f>
        <v/>
      </c>
      <c r="K214" s="825" t="str">
        <f>IFERROR(INDEX(月例!$A$5:$A$788,MATCH("立替金|L|5",月例!$T$5:$T$788,0)),"")</f>
        <v/>
      </c>
      <c r="L214" s="826" t="str">
        <f>IFERROR(INDEX(月例!$E$5:$E$788,MATCH("立替金|L|5",月例!$T$5:$T$788,0)),"")</f>
        <v/>
      </c>
      <c r="M214" s="830" t="str">
        <f>IFERROR(INDEX(月例!$R$5:$R$788,MATCH("立替金|L|5",月例!$T$5:$T$788,0)),"")</f>
        <v/>
      </c>
      <c r="N214" s="831" t="str">
        <f>IF(M214="","",N213+M214)</f>
        <v/>
      </c>
      <c r="O214" s="829" t="str">
        <f>IFERROR(INDEX(月例!$P$5:$P$788,MATCH("立替金|L|5",月例!$T$5:$T$788,0)),"")</f>
        <v/>
      </c>
    </row>
    <row r="215">
      <c r="A215" s="825" t="str">
        <f>IFERROR(INDEX(月例!$A$5:$A$788,MATCH("器具及び備品|L|6",月例!$T$5:$T$788,0)),"")</f>
        <v/>
      </c>
      <c r="B215" s="826" t="str">
        <f>IFERROR(INDEX(月例!$E$5:$E$788,MATCH("器具及び備品|L|6",月例!$T$5:$T$788,0)),"")</f>
        <v/>
      </c>
      <c r="C215" s="830" t="str">
        <f>IFERROR(INDEX(月例!$R$5:$R$788,MATCH("器具及び備品|L|6",月例!$T$5:$T$788,0)),"")</f>
        <v/>
      </c>
      <c r="D215" s="831" t="str">
        <f>IF(C215="","",D214+C215)</f>
        <v/>
      </c>
      <c r="E215" s="829" t="str">
        <f>IFERROR(INDEX(月例!$P$5:$P$788,MATCH("器具及び備品|L|6",月例!$T$5:$T$788,0)),"")</f>
        <v/>
      </c>
      <c r="F215" s="825" t="str">
        <f>IFERROR(INDEX(月例!$A$5:$A$788,MATCH("前期損益修正損|L|6",月例!$T$5:$T$788,0)),"")</f>
        <v/>
      </c>
      <c r="G215" s="826" t="str">
        <f>IFERROR(INDEX(月例!$E$5:$E$788,MATCH("前期損益修正損|L|6",月例!$T$5:$T$788,0)),"")</f>
        <v/>
      </c>
      <c r="H215" s="830" t="str">
        <f>IFERROR(INDEX(月例!$R$5:$R$788,MATCH("前期損益修正損|L|6",月例!$T$5:$T$788,0)),"")</f>
        <v/>
      </c>
      <c r="I215" s="831" t="str">
        <f>IF(H215="","",I214+H215)</f>
        <v/>
      </c>
      <c r="J215" s="829" t="str">
        <f>IFERROR(INDEX(月例!$P$5:$P$788,MATCH("前期損益修正損|L|6",月例!$T$5:$T$788,0)),"")</f>
        <v/>
      </c>
      <c r="K215" s="825" t="str">
        <f>IFERROR(INDEX(月例!$A$5:$A$788,MATCH("立替金|L|6",月例!$T$5:$T$788,0)),"")</f>
        <v/>
      </c>
      <c r="L215" s="826" t="str">
        <f>IFERROR(INDEX(月例!$E$5:$E$788,MATCH("立替金|L|6",月例!$T$5:$T$788,0)),"")</f>
        <v/>
      </c>
      <c r="M215" s="830" t="str">
        <f>IFERROR(INDEX(月例!$R$5:$R$788,MATCH("立替金|L|6",月例!$T$5:$T$788,0)),"")</f>
        <v/>
      </c>
      <c r="N215" s="831" t="str">
        <f>IF(M215="","",N214+M215)</f>
        <v/>
      </c>
      <c r="O215" s="829" t="str">
        <f>IFERROR(INDEX(月例!$P$5:$P$788,MATCH("立替金|L|6",月例!$T$5:$T$788,0)),"")</f>
        <v/>
      </c>
    </row>
    <row r="216">
      <c r="A216" s="825" t="str">
        <f>IFERROR(INDEX(月例!$A$5:$A$788,MATCH("器具及び備品|L|7",月例!$T$5:$T$788,0)),"")</f>
        <v/>
      </c>
      <c r="B216" s="826" t="str">
        <f>IFERROR(INDEX(月例!$E$5:$E$788,MATCH("器具及び備品|L|7",月例!$T$5:$T$788,0)),"")</f>
        <v/>
      </c>
      <c r="C216" s="830" t="str">
        <f>IFERROR(INDEX(月例!$R$5:$R$788,MATCH("器具及び備品|L|7",月例!$T$5:$T$788,0)),"")</f>
        <v/>
      </c>
      <c r="D216" s="831" t="str">
        <f>IF(C216="","",D215+C216)</f>
        <v/>
      </c>
      <c r="E216" s="829" t="str">
        <f>IFERROR(INDEX(月例!$P$5:$P$788,MATCH("器具及び備品|L|7",月例!$T$5:$T$788,0)),"")</f>
        <v/>
      </c>
      <c r="F216" s="825" t="str">
        <f>IFERROR(INDEX(月例!$A$5:$A$788,MATCH("前期損益修正損|L|7",月例!$T$5:$T$788,0)),"")</f>
        <v/>
      </c>
      <c r="G216" s="826" t="str">
        <f>IFERROR(INDEX(月例!$E$5:$E$788,MATCH("前期損益修正損|L|7",月例!$T$5:$T$788,0)),"")</f>
        <v/>
      </c>
      <c r="H216" s="830" t="str">
        <f>IFERROR(INDEX(月例!$R$5:$R$788,MATCH("前期損益修正損|L|7",月例!$T$5:$T$788,0)),"")</f>
        <v/>
      </c>
      <c r="I216" s="831" t="str">
        <f>IF(H216="","",I215+H216)</f>
        <v/>
      </c>
      <c r="J216" s="829" t="str">
        <f>IFERROR(INDEX(月例!$P$5:$P$788,MATCH("前期損益修正損|L|7",月例!$T$5:$T$788,0)),"")</f>
        <v/>
      </c>
      <c r="K216" s="825" t="str">
        <f>IFERROR(INDEX(月例!$A$5:$A$788,MATCH("立替金|L|7",月例!$T$5:$T$788,0)),"")</f>
        <v/>
      </c>
      <c r="L216" s="826" t="str">
        <f>IFERROR(INDEX(月例!$E$5:$E$788,MATCH("立替金|L|7",月例!$T$5:$T$788,0)),"")</f>
        <v/>
      </c>
      <c r="M216" s="830" t="str">
        <f>IFERROR(INDEX(月例!$R$5:$R$788,MATCH("立替金|L|7",月例!$T$5:$T$788,0)),"")</f>
        <v/>
      </c>
      <c r="N216" s="831" t="str">
        <f>IF(M216="","",N215+M216)</f>
        <v/>
      </c>
      <c r="O216" s="829" t="str">
        <f>IFERROR(INDEX(月例!$P$5:$P$788,MATCH("立替金|L|7",月例!$T$5:$T$788,0)),"")</f>
        <v/>
      </c>
    </row>
    <row r="217">
      <c r="A217" s="825" t="str">
        <f>IFERROR(INDEX(月例!$A$5:$A$788,MATCH("器具及び備品|L|8",月例!$T$5:$T$788,0)),"")</f>
        <v/>
      </c>
      <c r="B217" s="826" t="str">
        <f>IFERROR(INDEX(月例!$E$5:$E$788,MATCH("器具及び備品|L|8",月例!$T$5:$T$788,0)),"")</f>
        <v/>
      </c>
      <c r="C217" s="830" t="str">
        <f>IFERROR(INDEX(月例!$R$5:$R$788,MATCH("器具及び備品|L|8",月例!$T$5:$T$788,0)),"")</f>
        <v/>
      </c>
      <c r="D217" s="831" t="str">
        <f>IF(C217="","",D216+C217)</f>
        <v/>
      </c>
      <c r="E217" s="829" t="str">
        <f>IFERROR(INDEX(月例!$P$5:$P$788,MATCH("器具及び備品|L|8",月例!$T$5:$T$788,0)),"")</f>
        <v/>
      </c>
      <c r="F217" s="825" t="str">
        <f>IFERROR(INDEX(月例!$A$5:$A$788,MATCH("前期損益修正損|L|8",月例!$T$5:$T$788,0)),"")</f>
        <v/>
      </c>
      <c r="G217" s="826" t="str">
        <f>IFERROR(INDEX(月例!$E$5:$E$788,MATCH("前期損益修正損|L|8",月例!$T$5:$T$788,0)),"")</f>
        <v/>
      </c>
      <c r="H217" s="830" t="str">
        <f>IFERROR(INDEX(月例!$R$5:$R$788,MATCH("前期損益修正損|L|8",月例!$T$5:$T$788,0)),"")</f>
        <v/>
      </c>
      <c r="I217" s="831" t="str">
        <f>IF(H217="","",I216+H217)</f>
        <v/>
      </c>
      <c r="J217" s="829" t="str">
        <f>IFERROR(INDEX(月例!$P$5:$P$788,MATCH("前期損益修正損|L|8",月例!$T$5:$T$788,0)),"")</f>
        <v/>
      </c>
      <c r="K217" s="825" t="str">
        <f>IFERROR(INDEX(月例!$A$5:$A$788,MATCH("立替金|L|8",月例!$T$5:$T$788,0)),"")</f>
        <v/>
      </c>
      <c r="L217" s="826" t="str">
        <f>IFERROR(INDEX(月例!$E$5:$E$788,MATCH("立替金|L|8",月例!$T$5:$T$788,0)),"")</f>
        <v/>
      </c>
      <c r="M217" s="830" t="str">
        <f>IFERROR(INDEX(月例!$R$5:$R$788,MATCH("立替金|L|8",月例!$T$5:$T$788,0)),"")</f>
        <v/>
      </c>
      <c r="N217" s="831" t="str">
        <f>IF(M217="","",N216+M217)</f>
        <v/>
      </c>
      <c r="O217" s="829" t="str">
        <f>IFERROR(INDEX(月例!$P$5:$P$788,MATCH("立替金|L|8",月例!$T$5:$T$788,0)),"")</f>
        <v/>
      </c>
    </row>
    <row r="218">
      <c r="A218" s="825" t="str">
        <f>IFERROR(INDEX(月例!$A$5:$A$788,MATCH("器具及び備品|L|9",月例!$T$5:$T$788,0)),"")</f>
        <v/>
      </c>
      <c r="B218" s="826" t="str">
        <f>IFERROR(INDEX(月例!$E$5:$E$788,MATCH("器具及び備品|L|9",月例!$T$5:$T$788,0)),"")</f>
        <v/>
      </c>
      <c r="C218" s="830" t="str">
        <f>IFERROR(INDEX(月例!$R$5:$R$788,MATCH("器具及び備品|L|9",月例!$T$5:$T$788,0)),"")</f>
        <v/>
      </c>
      <c r="D218" s="831" t="str">
        <f>IF(C218="","",D217+C218)</f>
        <v/>
      </c>
      <c r="E218" s="829" t="str">
        <f>IFERROR(INDEX(月例!$P$5:$P$788,MATCH("器具及び備品|L|9",月例!$T$5:$T$788,0)),"")</f>
        <v/>
      </c>
      <c r="F218" s="825" t="str">
        <f>IFERROR(INDEX(月例!$A$5:$A$788,MATCH("前期損益修正損|L|9",月例!$T$5:$T$788,0)),"")</f>
        <v/>
      </c>
      <c r="G218" s="826" t="str">
        <f>IFERROR(INDEX(月例!$E$5:$E$788,MATCH("前期損益修正損|L|9",月例!$T$5:$T$788,0)),"")</f>
        <v/>
      </c>
      <c r="H218" s="830" t="str">
        <f>IFERROR(INDEX(月例!$R$5:$R$788,MATCH("前期損益修正損|L|9",月例!$T$5:$T$788,0)),"")</f>
        <v/>
      </c>
      <c r="I218" s="831" t="str">
        <f>IF(H218="","",I217+H218)</f>
        <v/>
      </c>
      <c r="J218" s="829" t="str">
        <f>IFERROR(INDEX(月例!$P$5:$P$788,MATCH("前期損益修正損|L|9",月例!$T$5:$T$788,0)),"")</f>
        <v/>
      </c>
      <c r="K218" s="825" t="str">
        <f>IFERROR(INDEX(月例!$A$5:$A$788,MATCH("立替金|L|9",月例!$T$5:$T$788,0)),"")</f>
        <v/>
      </c>
      <c r="L218" s="826" t="str">
        <f>IFERROR(INDEX(月例!$E$5:$E$788,MATCH("立替金|L|9",月例!$T$5:$T$788,0)),"")</f>
        <v/>
      </c>
      <c r="M218" s="830" t="str">
        <f>IFERROR(INDEX(月例!$R$5:$R$788,MATCH("立替金|L|9",月例!$T$5:$T$788,0)),"")</f>
        <v/>
      </c>
      <c r="N218" s="831" t="str">
        <f>IF(M218="","",N217+M218)</f>
        <v/>
      </c>
      <c r="O218" s="829" t="str">
        <f>IFERROR(INDEX(月例!$P$5:$P$788,MATCH("立替金|L|9",月例!$T$5:$T$788,0)),"")</f>
        <v/>
      </c>
    </row>
    <row r="219">
      <c r="A219" s="825" t="str">
        <f>IFERROR(INDEX(月例!$A$5:$A$788,MATCH("器具及び備品|L|10",月例!$T$5:$T$788,0)),"")</f>
        <v/>
      </c>
      <c r="B219" s="826" t="str">
        <f>IFERROR(INDEX(月例!$E$5:$E$788,MATCH("器具及び備品|L|10",月例!$T$5:$T$788,0)),"")</f>
        <v/>
      </c>
      <c r="C219" s="830" t="str">
        <f>IFERROR(INDEX(月例!$R$5:$R$788,MATCH("器具及び備品|L|10",月例!$T$5:$T$788,0)),"")</f>
        <v/>
      </c>
      <c r="D219" s="831" t="str">
        <f>IF(C219="","",D218+C219)</f>
        <v/>
      </c>
      <c r="E219" s="829" t="str">
        <f>IFERROR(INDEX(月例!$P$5:$P$788,MATCH("器具及び備品|L|10",月例!$T$5:$T$788,0)),"")</f>
        <v/>
      </c>
      <c r="F219" s="825" t="str">
        <f>IFERROR(INDEX(月例!$A$5:$A$788,MATCH("前期損益修正損|L|10",月例!$T$5:$T$788,0)),"")</f>
        <v/>
      </c>
      <c r="G219" s="826" t="str">
        <f>IFERROR(INDEX(月例!$E$5:$E$788,MATCH("前期損益修正損|L|10",月例!$T$5:$T$788,0)),"")</f>
        <v/>
      </c>
      <c r="H219" s="830" t="str">
        <f>IFERROR(INDEX(月例!$R$5:$R$788,MATCH("前期損益修正損|L|10",月例!$T$5:$T$788,0)),"")</f>
        <v/>
      </c>
      <c r="I219" s="831" t="str">
        <f>IF(H219="","",I218+H219)</f>
        <v/>
      </c>
      <c r="J219" s="829" t="str">
        <f>IFERROR(INDEX(月例!$P$5:$P$788,MATCH("前期損益修正損|L|10",月例!$T$5:$T$788,0)),"")</f>
        <v/>
      </c>
      <c r="K219" s="825" t="str">
        <f>IFERROR(INDEX(月例!$A$5:$A$788,MATCH("立替金|L|10",月例!$T$5:$T$788,0)),"")</f>
        <v/>
      </c>
      <c r="L219" s="826" t="str">
        <f>IFERROR(INDEX(月例!$E$5:$E$788,MATCH("立替金|L|10",月例!$T$5:$T$788,0)),"")</f>
        <v/>
      </c>
      <c r="M219" s="830" t="str">
        <f>IFERROR(INDEX(月例!$R$5:$R$788,MATCH("立替金|L|10",月例!$T$5:$T$788,0)),"")</f>
        <v/>
      </c>
      <c r="N219" s="831" t="str">
        <f>IF(M219="","",N218+M219)</f>
        <v/>
      </c>
      <c r="O219" s="829" t="str">
        <f>IFERROR(INDEX(月例!$P$5:$P$788,MATCH("立替金|L|10",月例!$T$5:$T$788,0)),"")</f>
        <v/>
      </c>
    </row>
    <row r="220">
      <c r="A220" s="825" t="str">
        <f>IFERROR(INDEX(月例!$A$5:$A$788,MATCH("器具及び備品|L|11",月例!$T$5:$T$788,0)),"")</f>
        <v/>
      </c>
      <c r="B220" s="826" t="str">
        <f>IFERROR(INDEX(月例!$E$5:$E$788,MATCH("器具及び備品|L|11",月例!$T$5:$T$788,0)),"")</f>
        <v/>
      </c>
      <c r="C220" s="830" t="str">
        <f>IFERROR(INDEX(月例!$R$5:$R$788,MATCH("器具及び備品|L|11",月例!$T$5:$T$788,0)),"")</f>
        <v/>
      </c>
      <c r="D220" s="831" t="str">
        <f>IF(C220="","",D219+C220)</f>
        <v/>
      </c>
      <c r="E220" s="829" t="str">
        <f>IFERROR(INDEX(月例!$P$5:$P$788,MATCH("器具及び備品|L|11",月例!$T$5:$T$788,0)),"")</f>
        <v/>
      </c>
      <c r="F220" s="825" t="str">
        <f>IFERROR(INDEX(月例!$A$5:$A$788,MATCH("前期損益修正損|L|11",月例!$T$5:$T$788,0)),"")</f>
        <v/>
      </c>
      <c r="G220" s="826" t="str">
        <f>IFERROR(INDEX(月例!$E$5:$E$788,MATCH("前期損益修正損|L|11",月例!$T$5:$T$788,0)),"")</f>
        <v/>
      </c>
      <c r="H220" s="830" t="str">
        <f>IFERROR(INDEX(月例!$R$5:$R$788,MATCH("前期損益修正損|L|11",月例!$T$5:$T$788,0)),"")</f>
        <v/>
      </c>
      <c r="I220" s="831" t="str">
        <f>IF(H220="","",I219+H220)</f>
        <v/>
      </c>
      <c r="J220" s="829" t="str">
        <f>IFERROR(INDEX(月例!$P$5:$P$788,MATCH("前期損益修正損|L|11",月例!$T$5:$T$788,0)),"")</f>
        <v/>
      </c>
      <c r="K220" s="825" t="str">
        <f>IFERROR(INDEX(月例!$A$5:$A$788,MATCH("立替金|L|11",月例!$T$5:$T$788,0)),"")</f>
        <v/>
      </c>
      <c r="L220" s="826" t="str">
        <f>IFERROR(INDEX(月例!$E$5:$E$788,MATCH("立替金|L|11",月例!$T$5:$T$788,0)),"")</f>
        <v/>
      </c>
      <c r="M220" s="830" t="str">
        <f>IFERROR(INDEX(月例!$R$5:$R$788,MATCH("立替金|L|11",月例!$T$5:$T$788,0)),"")</f>
        <v/>
      </c>
      <c r="N220" s="831" t="str">
        <f>IF(M220="","",N219+M220)</f>
        <v/>
      </c>
      <c r="O220" s="829" t="str">
        <f>IFERROR(INDEX(月例!$P$5:$P$788,MATCH("立替金|L|11",月例!$T$5:$T$788,0)),"")</f>
        <v/>
      </c>
    </row>
    <row r="221">
      <c r="A221" s="825" t="str">
        <f>IFERROR(INDEX(月例!$A$5:$A$788,MATCH("器具及び備品|L|12",月例!$T$5:$T$788,0)),"")</f>
        <v/>
      </c>
      <c r="B221" s="826" t="str">
        <f>IFERROR(INDEX(月例!$E$5:$E$788,MATCH("器具及び備品|L|12",月例!$T$5:$T$788,0)),"")</f>
        <v/>
      </c>
      <c r="C221" s="830" t="str">
        <f>IFERROR(INDEX(月例!$R$5:$R$788,MATCH("器具及び備品|L|12",月例!$T$5:$T$788,0)),"")</f>
        <v/>
      </c>
      <c r="D221" s="831" t="str">
        <f>IF(C221="","",D220+C221)</f>
        <v/>
      </c>
      <c r="E221" s="829" t="str">
        <f>IFERROR(INDEX(月例!$P$5:$P$788,MATCH("器具及び備品|L|12",月例!$T$5:$T$788,0)),"")</f>
        <v/>
      </c>
      <c r="F221" s="825" t="str">
        <f>IFERROR(INDEX(月例!$A$5:$A$788,MATCH("前期損益修正損|L|12",月例!$T$5:$T$788,0)),"")</f>
        <v/>
      </c>
      <c r="G221" s="826" t="str">
        <f>IFERROR(INDEX(月例!$E$5:$E$788,MATCH("前期損益修正損|L|12",月例!$T$5:$T$788,0)),"")</f>
        <v/>
      </c>
      <c r="H221" s="830" t="str">
        <f>IFERROR(INDEX(月例!$R$5:$R$788,MATCH("前期損益修正損|L|12",月例!$T$5:$T$788,0)),"")</f>
        <v/>
      </c>
      <c r="I221" s="831" t="str">
        <f>IF(H221="","",I220+H221)</f>
        <v/>
      </c>
      <c r="J221" s="829" t="str">
        <f>IFERROR(INDEX(月例!$P$5:$P$788,MATCH("前期損益修正損|L|12",月例!$T$5:$T$788,0)),"")</f>
        <v/>
      </c>
      <c r="K221" s="825" t="str">
        <f>IFERROR(INDEX(月例!$A$5:$A$788,MATCH("立替金|L|12",月例!$T$5:$T$788,0)),"")</f>
        <v/>
      </c>
      <c r="L221" s="826" t="str">
        <f>IFERROR(INDEX(月例!$E$5:$E$788,MATCH("立替金|L|12",月例!$T$5:$T$788,0)),"")</f>
        <v/>
      </c>
      <c r="M221" s="830" t="str">
        <f>IFERROR(INDEX(月例!$R$5:$R$788,MATCH("立替金|L|12",月例!$T$5:$T$788,0)),"")</f>
        <v/>
      </c>
      <c r="N221" s="831" t="str">
        <f>IF(M221="","",N220+M221)</f>
        <v/>
      </c>
      <c r="O221" s="829" t="str">
        <f>IFERROR(INDEX(月例!$P$5:$P$788,MATCH("立替金|L|12",月例!$T$5:$T$788,0)),"")</f>
        <v/>
      </c>
    </row>
  </sheetData>
  <conditionalFormatting sqref="A6:E50">
    <cfRule type="expression" priority="1" dxfId="6">
      <formula>$E6="昨年実績"</formula>
    </cfRule>
  </conditionalFormatting>
  <conditionalFormatting sqref="C6:C50">
    <cfRule type="expression" priority="2" dxfId="9">
      <formula>$E6="確認済"</formula>
    </cfRule>
    <cfRule type="expression" priority="3" dxfId="10">
      <formula>$E6="未確認"</formula>
    </cfRule>
  </conditionalFormatting>
  <conditionalFormatting sqref="K6:O45">
    <cfRule type="expression" priority="4" dxfId="6">
      <formula>$O6="昨年実績"</formula>
    </cfRule>
  </conditionalFormatting>
  <conditionalFormatting sqref="M6:M45">
    <cfRule type="expression" priority="5" dxfId="9">
      <formula>$O6="確認済"</formula>
    </cfRule>
    <cfRule type="expression" priority="6" dxfId="10">
      <formula>$O6="未確認"</formula>
    </cfRule>
  </conditionalFormatting>
  <conditionalFormatting sqref="F6:J50">
    <cfRule type="expression" priority="7" dxfId="6">
      <formula>$J6="昨年実績"</formula>
    </cfRule>
  </conditionalFormatting>
  <conditionalFormatting sqref="H6:H50">
    <cfRule type="expression" priority="8" dxfId="9">
      <formula>$J6="確認済"</formula>
    </cfRule>
    <cfRule type="expression" priority="9" dxfId="10">
      <formula>$J6="未確認"</formula>
    </cfRule>
  </conditionalFormatting>
  <conditionalFormatting sqref="F100:J126">
    <cfRule type="expression" priority="10" dxfId="6">
      <formula>$J100="昨年実績"</formula>
    </cfRule>
  </conditionalFormatting>
  <conditionalFormatting sqref="H100:H126">
    <cfRule type="expression" priority="11" dxfId="9">
      <formula>$J100="確認済"</formula>
    </cfRule>
    <cfRule type="expression" priority="12" dxfId="10">
      <formula>$J100="未確認"</formula>
    </cfRule>
  </conditionalFormatting>
  <conditionalFormatting sqref="F134:J145">
    <cfRule type="expression" priority="13" dxfId="6">
      <formula>$J134="昨年実績"</formula>
    </cfRule>
  </conditionalFormatting>
  <conditionalFormatting sqref="H134:H145">
    <cfRule type="expression" priority="14" dxfId="9">
      <formula>$J134="確認済"</formula>
    </cfRule>
    <cfRule type="expression" priority="15" dxfId="10">
      <formula>$J134="未確認"</formula>
    </cfRule>
  </conditionalFormatting>
  <conditionalFormatting sqref="K134:O145">
    <cfRule type="expression" priority="16" dxfId="6">
      <formula>$O134="昨年実績"</formula>
    </cfRule>
  </conditionalFormatting>
  <conditionalFormatting sqref="M134:M145">
    <cfRule type="expression" priority="17" dxfId="9">
      <formula>$O134="確認済"</formula>
    </cfRule>
    <cfRule type="expression" priority="18" dxfId="10">
      <formula>$O134="未確認"</formula>
    </cfRule>
  </conditionalFormatting>
  <conditionalFormatting sqref="A57:E93">
    <cfRule type="expression" priority="19" dxfId="6">
      <formula>$E57="昨年実績"</formula>
    </cfRule>
  </conditionalFormatting>
  <conditionalFormatting sqref="C57:C93">
    <cfRule type="expression" priority="20" dxfId="9">
      <formula>$E57="確認済"</formula>
    </cfRule>
    <cfRule type="expression" priority="21" dxfId="10">
      <formula>$E57="未確認"</formula>
    </cfRule>
  </conditionalFormatting>
  <conditionalFormatting sqref="P6:T43">
    <cfRule type="expression" priority="22" dxfId="6">
      <formula>$T6="昨年実績"</formula>
    </cfRule>
  </conditionalFormatting>
  <conditionalFormatting sqref="R6:R43">
    <cfRule type="expression" priority="23" dxfId="9">
      <formula>$T6="確認済"</formula>
    </cfRule>
    <cfRule type="expression" priority="24" dxfId="10">
      <formula>$T6="未確認"</formula>
    </cfRule>
  </conditionalFormatting>
  <conditionalFormatting sqref="F57:J92">
    <cfRule type="expression" priority="25" dxfId="6">
      <formula>$J57="昨年実績"</formula>
    </cfRule>
  </conditionalFormatting>
  <conditionalFormatting sqref="H57:H92">
    <cfRule type="expression" priority="26" dxfId="9">
      <formula>$J57="確認済"</formula>
    </cfRule>
    <cfRule type="expression" priority="27" dxfId="10">
      <formula>$J57="未確認"</formula>
    </cfRule>
  </conditionalFormatting>
  <conditionalFormatting sqref="A134:E149">
    <cfRule type="expression" priority="28" dxfId="6">
      <formula>$E134="昨年実績"</formula>
    </cfRule>
  </conditionalFormatting>
  <conditionalFormatting sqref="C134:C149">
    <cfRule type="expression" priority="29" dxfId="9">
      <formula>$E134="確認済"</formula>
    </cfRule>
    <cfRule type="expression" priority="30" dxfId="10">
      <formula>$E134="未確認"</formula>
    </cfRule>
  </conditionalFormatting>
  <conditionalFormatting sqref="P134:T145">
    <cfRule type="expression" priority="31" dxfId="6">
      <formula>$T134="昨年実績"</formula>
    </cfRule>
  </conditionalFormatting>
  <conditionalFormatting sqref="R134:R145">
    <cfRule type="expression" priority="32" dxfId="9">
      <formula>$T134="確認済"</formula>
    </cfRule>
    <cfRule type="expression" priority="33" dxfId="10">
      <formula>$T134="未確認"</formula>
    </cfRule>
  </conditionalFormatting>
  <conditionalFormatting sqref="A156:E167">
    <cfRule type="expression" priority="34" dxfId="6">
      <formula>$E156="昨年実績"</formula>
    </cfRule>
  </conditionalFormatting>
  <conditionalFormatting sqref="C156:C167">
    <cfRule type="expression" priority="35" dxfId="9">
      <formula>$E156="確認済"</formula>
    </cfRule>
    <cfRule type="expression" priority="36" dxfId="10">
      <formula>$E156="未確認"</formula>
    </cfRule>
  </conditionalFormatting>
  <conditionalFormatting sqref="F156:J167">
    <cfRule type="expression" priority="37" dxfId="6">
      <formula>$J156="昨年実績"</formula>
    </cfRule>
  </conditionalFormatting>
  <conditionalFormatting sqref="H156:H167">
    <cfRule type="expression" priority="38" dxfId="9">
      <formula>$J156="確認済"</formula>
    </cfRule>
    <cfRule type="expression" priority="39" dxfId="10">
      <formula>$J156="未確認"</formula>
    </cfRule>
  </conditionalFormatting>
  <conditionalFormatting sqref="K156:O167">
    <cfRule type="expression" priority="40" dxfId="6">
      <formula>$O156="昨年実績"</formula>
    </cfRule>
  </conditionalFormatting>
  <conditionalFormatting sqref="M156:M167">
    <cfRule type="expression" priority="41" dxfId="9">
      <formula>$O156="確認済"</formula>
    </cfRule>
    <cfRule type="expression" priority="42" dxfId="10">
      <formula>$O156="未確認"</formula>
    </cfRule>
  </conditionalFormatting>
  <conditionalFormatting sqref="P156:T167">
    <cfRule type="expression" priority="43" dxfId="6">
      <formula>$T156="昨年実績"</formula>
    </cfRule>
  </conditionalFormatting>
  <conditionalFormatting sqref="R156:R167">
    <cfRule type="expression" priority="44" dxfId="9">
      <formula>$T156="確認済"</formula>
    </cfRule>
    <cfRule type="expression" priority="45" dxfId="10">
      <formula>$T156="未確認"</formula>
    </cfRule>
  </conditionalFormatting>
  <conditionalFormatting sqref="K57:O92">
    <cfRule type="expression" priority="46" dxfId="6">
      <formula>$O57="昨年実績"</formula>
    </cfRule>
  </conditionalFormatting>
  <conditionalFormatting sqref="M57:M92">
    <cfRule type="expression" priority="47" dxfId="9">
      <formula>$O57="確認済"</formula>
    </cfRule>
    <cfRule type="expression" priority="48" dxfId="10">
      <formula>$O57="未確認"</formula>
    </cfRule>
  </conditionalFormatting>
  <conditionalFormatting sqref="A174:E185">
    <cfRule type="expression" priority="49" dxfId="6">
      <formula>$E174="昨年実績"</formula>
    </cfRule>
  </conditionalFormatting>
  <conditionalFormatting sqref="C174:C185">
    <cfRule type="expression" priority="50" dxfId="9">
      <formula>$E174="確認済"</formula>
    </cfRule>
    <cfRule type="expression" priority="51" dxfId="10">
      <formula>$E174="未確認"</formula>
    </cfRule>
  </conditionalFormatting>
  <conditionalFormatting sqref="F174:J185">
    <cfRule type="expression" priority="52" dxfId="6">
      <formula>$J174="昨年実績"</formula>
    </cfRule>
  </conditionalFormatting>
  <conditionalFormatting sqref="H174:H185">
    <cfRule type="expression" priority="53" dxfId="9">
      <formula>$J174="確認済"</formula>
    </cfRule>
    <cfRule type="expression" priority="54" dxfId="10">
      <formula>$J174="未確認"</formula>
    </cfRule>
  </conditionalFormatting>
  <conditionalFormatting sqref="A100:E127">
    <cfRule type="expression" priority="55" dxfId="6">
      <formula>$E100="昨年実績"</formula>
    </cfRule>
  </conditionalFormatting>
  <conditionalFormatting sqref="C100:C127">
    <cfRule type="expression" priority="56" dxfId="9">
      <formula>$E100="確認済"</formula>
    </cfRule>
    <cfRule type="expression" priority="57" dxfId="10">
      <formula>$E100="未確認"</formula>
    </cfRule>
  </conditionalFormatting>
  <conditionalFormatting sqref="K174:O185">
    <cfRule type="expression" priority="58" dxfId="6">
      <formula>$O174="昨年実績"</formula>
    </cfRule>
  </conditionalFormatting>
  <conditionalFormatting sqref="M174:M185">
    <cfRule type="expression" priority="59" dxfId="9">
      <formula>$O174="確認済"</formula>
    </cfRule>
    <cfRule type="expression" priority="60" dxfId="10">
      <formula>$O174="未確認"</formula>
    </cfRule>
  </conditionalFormatting>
  <conditionalFormatting sqref="P174:T185">
    <cfRule type="expression" priority="61" dxfId="6">
      <formula>$T174="昨年実績"</formula>
    </cfRule>
  </conditionalFormatting>
  <conditionalFormatting sqref="R174:R185">
    <cfRule type="expression" priority="62" dxfId="9">
      <formula>$T174="確認済"</formula>
    </cfRule>
    <cfRule type="expression" priority="63" dxfId="10">
      <formula>$T174="未確認"</formula>
    </cfRule>
  </conditionalFormatting>
  <conditionalFormatting sqref="P57:T89">
    <cfRule type="expression" priority="64" dxfId="6">
      <formula>$T57="昨年実績"</formula>
    </cfRule>
  </conditionalFormatting>
  <conditionalFormatting sqref="R57:R89">
    <cfRule type="expression" priority="65" dxfId="9">
      <formula>$T57="確認済"</formula>
    </cfRule>
    <cfRule type="expression" priority="66" dxfId="10">
      <formula>$T57="未確認"</formula>
    </cfRule>
  </conditionalFormatting>
  <conditionalFormatting sqref="P100:T122">
    <cfRule type="expression" priority="67" dxfId="6">
      <formula>$T100="昨年実績"</formula>
    </cfRule>
  </conditionalFormatting>
  <conditionalFormatting sqref="R100:R122">
    <cfRule type="expression" priority="68" dxfId="9">
      <formula>$T100="確認済"</formula>
    </cfRule>
    <cfRule type="expression" priority="69" dxfId="10">
      <formula>$T100="未確認"</formula>
    </cfRule>
  </conditionalFormatting>
  <conditionalFormatting sqref="A192:E203">
    <cfRule type="expression" priority="70" dxfId="6">
      <formula>$E192="昨年実績"</formula>
    </cfRule>
  </conditionalFormatting>
  <conditionalFormatting sqref="C192:C203">
    <cfRule type="expression" priority="71" dxfId="9">
      <formula>$E192="確認済"</formula>
    </cfRule>
    <cfRule type="expression" priority="72" dxfId="10">
      <formula>$E192="未確認"</formula>
    </cfRule>
  </conditionalFormatting>
  <conditionalFormatting sqref="F192:J203">
    <cfRule type="expression" priority="73" dxfId="6">
      <formula>$J192="昨年実績"</formula>
    </cfRule>
  </conditionalFormatting>
  <conditionalFormatting sqref="H192:H203">
    <cfRule type="expression" priority="74" dxfId="9">
      <formula>$J192="確認済"</formula>
    </cfRule>
    <cfRule type="expression" priority="75" dxfId="10">
      <formula>$J192="未確認"</formula>
    </cfRule>
  </conditionalFormatting>
  <conditionalFormatting sqref="K100:O124">
    <cfRule type="expression" priority="76" dxfId="6">
      <formula>$O100="昨年実績"</formula>
    </cfRule>
  </conditionalFormatting>
  <conditionalFormatting sqref="M100:M124">
    <cfRule type="expression" priority="77" dxfId="9">
      <formula>$O100="確認済"</formula>
    </cfRule>
    <cfRule type="expression" priority="78" dxfId="10">
      <formula>$O100="未確認"</formula>
    </cfRule>
  </conditionalFormatting>
  <conditionalFormatting sqref="K192:O203">
    <cfRule type="expression" priority="79" dxfId="6">
      <formula>$O192="昨年実績"</formula>
    </cfRule>
  </conditionalFormatting>
  <conditionalFormatting sqref="M192:M203">
    <cfRule type="expression" priority="80" dxfId="9">
      <formula>$O192="確認済"</formula>
    </cfRule>
    <cfRule type="expression" priority="81" dxfId="10">
      <formula>$O192="未確認"</formula>
    </cfRule>
  </conditionalFormatting>
  <conditionalFormatting sqref="P192:T203">
    <cfRule type="expression" priority="82" dxfId="6">
      <formula>$T192="昨年実績"</formula>
    </cfRule>
  </conditionalFormatting>
  <conditionalFormatting sqref="R192:R203">
    <cfRule type="expression" priority="83" dxfId="9">
      <formula>$T192="確認済"</formula>
    </cfRule>
    <cfRule type="expression" priority="84" dxfId="10">
      <formula>$T192="未確認"</formula>
    </cfRule>
  </conditionalFormatting>
  <conditionalFormatting sqref="A210:E221">
    <cfRule type="expression" priority="85" dxfId="6">
      <formula>$E210="昨年実績"</formula>
    </cfRule>
  </conditionalFormatting>
  <conditionalFormatting sqref="C210:C221">
    <cfRule type="expression" priority="86" dxfId="9">
      <formula>$E210="確認済"</formula>
    </cfRule>
    <cfRule type="expression" priority="87" dxfId="10">
      <formula>$E210="未確認"</formula>
    </cfRule>
  </conditionalFormatting>
  <conditionalFormatting sqref="F210:J221">
    <cfRule type="expression" priority="88" dxfId="6">
      <formula>$J210="昨年実績"</formula>
    </cfRule>
  </conditionalFormatting>
  <conditionalFormatting sqref="H210:H221">
    <cfRule type="expression" priority="89" dxfId="9">
      <formula>$J210="確認済"</formula>
    </cfRule>
    <cfRule type="expression" priority="90" dxfId="10">
      <formula>$J210="未確認"</formula>
    </cfRule>
  </conditionalFormatting>
  <conditionalFormatting sqref="K210:O221">
    <cfRule type="expression" priority="91" dxfId="6">
      <formula>$O210="昨年実績"</formula>
    </cfRule>
  </conditionalFormatting>
  <conditionalFormatting sqref="M210:M221">
    <cfRule type="expression" priority="92" dxfId="9">
      <formula>$O210="確認済"</formula>
    </cfRule>
    <cfRule type="expression" priority="93" dxfId="10">
      <formula>$O210="未確認"</formula>
    </cfRule>
  </conditionalFormatting>
  <printOptions horizontalCentered="1"/>
  <pageMargins left="0.4" right="0.4" top="0.5" bottom="0.5" header="0.3149606299212598" footer="0.3149606299212598"/>
  <pageSetup orientation="portrait" paperSize="8" scale="73" fitToHeight="0" fitToWidth="1"/>
  <rowBreaks count="1" manualBreakCount="1">
    <brk id="38" min="0" max="16383" man="1"/>
  </rowBreaks>
  <colBreaks count="2" manualBreakCount="2">
    <brk id="10" min="0" max="1048575" man="1"/>
    <brk id="20" min="0" max="1048575" man="1"/>
  </colBreaks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3:T150"/>
  <sheetViews>
    <sheetView tabSelected="0" zoomScale="70" workbookViewId="0">
      <selection activeCell="A1" sqref="A1"/>
    </sheetView>
  </sheetViews>
  <sheetFormatPr baseColWidth="8" defaultRowHeight="26.25" customHeight="1"/>
  <cols>
    <col width="9" customWidth="1" style="187" min="1" max="1"/>
    <col width="36" customWidth="1" style="186" min="2" max="2"/>
    <col width="11" customWidth="1" style="604" min="3" max="3"/>
    <col width="12" customWidth="1" style="604" min="4" max="4"/>
    <col width="9" customWidth="1" style="186" min="5" max="5"/>
    <col width="9" customWidth="1" style="187" min="6" max="6"/>
    <col width="36" customWidth="1" style="186" min="7" max="7"/>
    <col width="11" customWidth="1" style="604" min="8" max="8"/>
    <col width="12" bestFit="1" customWidth="1" style="604" min="9" max="9"/>
    <col width="9" customWidth="1" style="186" min="10" max="10"/>
    <col width="9" customWidth="1" style="187" min="11" max="11"/>
    <col width="36" customWidth="1" style="186" min="12" max="12"/>
    <col width="11" customWidth="1" style="604" min="13" max="13"/>
    <col width="12" bestFit="1" customWidth="1" style="604" min="14" max="14"/>
    <col width="9" customWidth="1" style="186" min="15" max="15"/>
    <col width="9" customWidth="1" style="186" min="16" max="16"/>
    <col width="36" customWidth="1" style="186" min="17" max="17"/>
    <col width="11" customWidth="1" style="604" min="18" max="18"/>
    <col width="12" bestFit="1" customWidth="1" style="604" min="19" max="19"/>
    <col width="9" customWidth="1" style="186" min="20" max="20"/>
    <col width="9" customWidth="1" style="186" min="21" max="22"/>
    <col width="17.625" customWidth="1" style="186" min="23" max="23"/>
    <col width="9.25" bestFit="1" customWidth="1" style="604" min="24" max="24"/>
    <col width="9" customWidth="1" style="186" min="25" max="16384"/>
  </cols>
  <sheetData>
    <row r="1" ht="17.25" customFormat="1" customHeight="1" s="262"/>
    <row r="2" ht="12.75" customHeight="1" s="186"/>
    <row r="3" ht="26.25" customHeight="1" s="186" thickBot="1">
      <c r="B3" s="502" t="inlineStr">
        <is>
          <t>○委託費</t>
        </is>
      </c>
      <c r="D3" s="503" t="inlineStr">
        <is>
          <t>業務（短）未払</t>
        </is>
      </c>
      <c r="E3" s="824" t="str">
        <f>IF(COUNTIF(決算整理!$S$5:$S$1835,"委託費|S|*")&gt;19,"行不足","")</f>
        <v/>
      </c>
      <c r="G3" s="502" t="inlineStr">
        <is>
          <t>○事務費  通信運搬費</t>
        </is>
      </c>
      <c r="I3" s="503" t="inlineStr">
        <is>
          <t>業務（短）未払</t>
        </is>
      </c>
      <c r="J3" s="824" t="str">
        <f>IF(COUNTIF(決算整理!$S$5:$S$1835,"通信運搬費|S|*")&gt;18,"行不足","")</f>
        <v/>
      </c>
      <c r="L3" s="502" t="inlineStr">
        <is>
          <t>○賃借料</t>
        </is>
      </c>
      <c r="N3" s="503" t="inlineStr">
        <is>
          <t>業務（短）未払</t>
        </is>
      </c>
      <c r="O3" s="824" t="str">
        <f>IF(COUNTIF(決算整理!$S$5:$S$1835,"賃借料|S|*")&gt;15,"行不足","")</f>
        <v/>
      </c>
      <c r="Q3" s="502" t="inlineStr">
        <is>
          <t>○事務費  事務用消耗品費</t>
        </is>
      </c>
      <c r="S3" s="503" t="inlineStr">
        <is>
          <t>業務（短）未払</t>
        </is>
      </c>
      <c r="T3" s="824" t="str">
        <f>IF(COUNTIF(決算整理!$S$5:$S$1835,"事務用消耗品費|S|*")&gt;12,"行不足","")</f>
        <v/>
      </c>
    </row>
    <row r="4" ht="22.5" customHeight="1" s="186" thickBot="1">
      <c r="A4" s="100" t="inlineStr">
        <is>
          <t>支出日</t>
        </is>
      </c>
      <c r="B4" s="100" t="inlineStr">
        <is>
          <t>摘要</t>
        </is>
      </c>
      <c r="C4" s="100" t="inlineStr">
        <is>
          <t>支出</t>
        </is>
      </c>
      <c r="D4" s="100" t="inlineStr">
        <is>
          <t>累計</t>
        </is>
      </c>
      <c r="E4" s="100" t="inlineStr">
        <is>
          <t>状態</t>
        </is>
      </c>
      <c r="F4" s="100" t="inlineStr">
        <is>
          <t>支出日</t>
        </is>
      </c>
      <c r="G4" s="100" t="inlineStr">
        <is>
          <t>摘要</t>
        </is>
      </c>
      <c r="H4" s="100" t="inlineStr">
        <is>
          <t>支出</t>
        </is>
      </c>
      <c r="I4" s="100" t="inlineStr">
        <is>
          <t>累計</t>
        </is>
      </c>
      <c r="J4" s="100" t="inlineStr">
        <is>
          <t>状態</t>
        </is>
      </c>
      <c r="K4" s="100" t="inlineStr">
        <is>
          <t>支出日</t>
        </is>
      </c>
      <c r="L4" s="100" t="inlineStr">
        <is>
          <t>摘要</t>
        </is>
      </c>
      <c r="M4" s="100" t="inlineStr">
        <is>
          <t>支出</t>
        </is>
      </c>
      <c r="N4" s="100" t="inlineStr">
        <is>
          <t>累計</t>
        </is>
      </c>
      <c r="O4" s="100" t="inlineStr">
        <is>
          <t>状態</t>
        </is>
      </c>
      <c r="P4" s="100" t="inlineStr">
        <is>
          <t>支出日</t>
        </is>
      </c>
      <c r="Q4" s="100" t="inlineStr">
        <is>
          <t>摘要</t>
        </is>
      </c>
      <c r="R4" s="100" t="inlineStr">
        <is>
          <t>支出</t>
        </is>
      </c>
      <c r="S4" s="100" t="inlineStr">
        <is>
          <t>累計</t>
        </is>
      </c>
      <c r="T4" s="100" t="inlineStr">
        <is>
          <t>状態</t>
        </is>
      </c>
    </row>
    <row r="5" ht="23.1" customHeight="1" s="186">
      <c r="A5" s="825" t="n"/>
      <c r="B5" s="826" t="inlineStr">
        <is>
          <t>（予算なし）</t>
        </is>
      </c>
      <c r="C5" s="827" t="n"/>
      <c r="D5" s="828" t="n">
        <v>0</v>
      </c>
      <c r="F5" s="825" t="n"/>
      <c r="G5" s="826" t="inlineStr">
        <is>
          <t>（予算なし）</t>
        </is>
      </c>
      <c r="H5" s="827" t="n"/>
      <c r="I5" s="828" t="n">
        <v>0</v>
      </c>
      <c r="K5" s="825" t="n"/>
      <c r="L5" s="826" t="inlineStr">
        <is>
          <t>（予算なし）</t>
        </is>
      </c>
      <c r="M5" s="827" t="n"/>
      <c r="N5" s="828" t="n">
        <v>0</v>
      </c>
      <c r="P5" s="825" t="n"/>
      <c r="Q5" s="826" t="inlineStr">
        <is>
          <t>（予算なし）</t>
        </is>
      </c>
      <c r="R5" s="827" t="n"/>
      <c r="S5" s="828" t="n">
        <v>0</v>
      </c>
    </row>
    <row r="6" ht="23.1" customHeight="1" s="186">
      <c r="A6" s="825">
        <f>IFERROR(INDEX(決算整理!$A$5:$A$1835,MATCH("委託費|S|1",決算整理!$S$5:$S$1835,0)),"")</f>
        <v>43951</v>
      </c>
      <c r="B6" s="826" t="str">
        <f>IFERROR(INDEX(決算整理!$E$5:$E$1835,MATCH("委託費|S|1",決算整理!$S$5:$S$1835,0)),"")</f>
        <v>人・給システム、庶務事務システム及び端末の使用料（短期分）</v>
      </c>
      <c r="C6" s="827">
        <f>IFERROR(INDEX(決算整理!$H$5:$H$1835,MATCH("委託費|S|1",決算整理!$S$5:$S$1835,0)),"")</f>
        <v>17630</v>
      </c>
      <c r="D6" s="828">
        <f>IF(C6="","",D5+C6)</f>
        <v>17630</v>
      </c>
      <c r="E6" s="829" t="str">
        <f>IFERROR(INDEX(決算整理!$P$5:$P$1835,MATCH("委託費|S|1",決算整理!$S$5:$S$1835,0)),"")</f>
        <v>昨年実績</v>
      </c>
      <c r="F6" s="825">
        <f>IFERROR(INDEX(決算整理!$A$5:$A$1835,MATCH("通信運搬費|S|1",決算整理!$S$5:$S$1835,0)),"")</f>
        <v>44679</v>
      </c>
      <c r="G6" s="826" t="str">
        <f>IFERROR(INDEX(決算整理!$E$5:$E$1835,MATCH("通信運搬費|S|1",決算整理!$S$5:$S$1835,0)),"")</f>
        <v>柔整申請書送付（3月分）</v>
      </c>
      <c r="H6" s="827">
        <f>IFERROR(INDEX(決算整理!$H$5:$H$1835,MATCH("通信運搬費|S|1",決算整理!$S$5:$S$1835,0)),"")</f>
        <v>1386</v>
      </c>
      <c r="I6" s="828">
        <f>IF(H6="","",I5+H6)</f>
        <v>1386</v>
      </c>
      <c r="J6" s="829" t="str">
        <f>IFERROR(INDEX(決算整理!$P$5:$P$1835,MATCH("通信運搬費|S|1",決算整理!$S$5:$S$1835,0)),"")</f>
        <v>昨年実績</v>
      </c>
      <c r="K6" s="825">
        <f>IFERROR(INDEX(決算整理!$A$5:$A$1835,MATCH("賃借料|S|1",決算整理!$S$5:$S$1835,0)),"")</f>
        <v>46127</v>
      </c>
      <c r="L6" s="826" t="str">
        <f>IFERROR(INDEX(決算整理!$E$5:$E$1835,MATCH("賃借料|S|1",決算整理!$S$5:$S$1835,0)),"")</f>
        <v>パソコン（業務経理用）3月分</v>
      </c>
      <c r="M6" s="827">
        <f>IFERROR(INDEX(決算整理!$H$5:$H$1835,MATCH("賃借料|S|1",決算整理!$S$5:$S$1835,0)),"")</f>
        <v>5060</v>
      </c>
      <c r="N6" s="828">
        <f>IF(M6="","",N5+M6)</f>
        <v>5060</v>
      </c>
      <c r="O6" s="829" t="str">
        <f>IFERROR(INDEX(決算整理!$P$5:$P$1835,MATCH("賃借料|S|1",決算整理!$S$5:$S$1835,0)),"")</f>
        <v>昨年実績</v>
      </c>
      <c r="P6" s="825">
        <f>IFERROR(INDEX(決算整理!$A$5:$A$1835,MATCH("事務用消耗品費|S|1",決算整理!$S$5:$S$1835,0)),"")</f>
        <v>43951</v>
      </c>
      <c r="Q6" s="826" t="str">
        <f>IFERROR(INDEX(決算整理!$E$5:$E$1835,MATCH("事務用消耗品費|S|1",決算整理!$S$5:$S$1835,0)),"")</f>
        <v>複写機用紙等購入代分担金（第4四半期）短期</v>
      </c>
      <c r="R6" s="827">
        <f>IFERROR(INDEX(決算整理!$H$5:$H$1835,MATCH("事務用消耗品費|S|1",決算整理!$S$5:$S$1835,0)),"")</f>
        <v>92843</v>
      </c>
      <c r="S6" s="828">
        <f>IF(R6="","",S5+R6)</f>
        <v>92843</v>
      </c>
      <c r="T6" s="829" t="str">
        <f>IFERROR(INDEX(決算整理!$P$5:$P$1835,MATCH("事務用消耗品費|S|1",決算整理!$S$5:$S$1835,0)),"")</f>
        <v>昨年実績</v>
      </c>
    </row>
    <row r="7" ht="23.1" customHeight="1" s="186">
      <c r="A7" s="825">
        <f>IFERROR(INDEX(決算整理!$A$5:$A$1835,MATCH("委託費|S|2",決算整理!$S$5:$S$1835,0)),"")</f>
        <v>46127</v>
      </c>
      <c r="B7" s="826" t="str">
        <f>IFERROR(INDEX(決算整理!$E$5:$E$1835,MATCH("委託費|S|2",決算整理!$S$5:$S$1835,0)),"")</f>
        <v>個別システム保守料（令７年度）短期分</v>
      </c>
      <c r="C7" s="827">
        <f>IFERROR(INDEX(決算整理!$H$5:$H$1835,MATCH("委託費|S|2",決算整理!$S$5:$S$1835,0)),"")</f>
        <v>360360</v>
      </c>
      <c r="D7" s="828">
        <f>IF(C7="","",D6+C7)</f>
        <v>377990</v>
      </c>
      <c r="E7" s="829" t="str">
        <f>IFERROR(INDEX(決算整理!$P$5:$P$1835,MATCH("委託費|S|2",決算整理!$S$5:$S$1835,0)),"")</f>
        <v>昨年実績</v>
      </c>
      <c r="F7" s="825">
        <f>IFERROR(INDEX(決算整理!$A$5:$A$1835,MATCH("通信運搬費|S|2",決算整理!$S$5:$S$1835,0)),"")</f>
        <v>45383</v>
      </c>
      <c r="G7" s="826" t="str">
        <f>IFERROR(INDEX(決算整理!$E$5:$E$1835,MATCH("通信運搬費|S|2",決算整理!$S$5:$S$1835,0)),"")</f>
        <v>フレッツ光ネクスト利用料等（2月利用・3月請求分）</v>
      </c>
      <c r="H7" s="827">
        <f>IFERROR(INDEX(決算整理!$H$5:$H$1835,MATCH("通信運搬費|S|2",決算整理!$S$5:$S$1835,0)),"")</f>
        <v>4906</v>
      </c>
      <c r="I7" s="828">
        <f>IF(H7="","",I6+H7)</f>
        <v>6292</v>
      </c>
      <c r="J7" s="829" t="str">
        <f>IFERROR(INDEX(決算整理!$P$5:$P$1835,MATCH("通信運搬費|S|2",決算整理!$S$5:$S$1835,0)),"")</f>
        <v>昨年実績</v>
      </c>
      <c r="K7" s="825">
        <f>IFERROR(INDEX(決算整理!$A$5:$A$1835,MATCH("賃借料|S|2",決算整理!$S$5:$S$1835,0)),"")</f>
        <v>46140</v>
      </c>
      <c r="L7" s="826" t="str">
        <f>IFERROR(INDEX(決算整理!$E$5:$E$1835,MATCH("賃借料|S|2",決算整理!$S$5:$S$1835,0)),"")</f>
        <v>サーバーラック賃借料　（短期）</v>
      </c>
      <c r="M7" s="827">
        <f>IFERROR(INDEX(決算整理!$H$5:$H$1835,MATCH("賃借料|S|2",決算整理!$S$5:$S$1835,0)),"")</f>
        <v>156144</v>
      </c>
      <c r="N7" s="828">
        <f>IF(M7="","",N6+M7)</f>
        <v>161204</v>
      </c>
      <c r="O7" s="829" t="str">
        <f>IFERROR(INDEX(決算整理!$P$5:$P$1835,MATCH("賃借料|S|2",決算整理!$S$5:$S$1835,0)),"")</f>
        <v>昨年実績</v>
      </c>
      <c r="P7" s="825">
        <f>IFERROR(INDEX(決算整理!$A$5:$A$1835,MATCH("事務用消耗品費|S|2",決算整理!$S$5:$S$1835,0)),"")</f>
        <v>44316</v>
      </c>
      <c r="Q7" s="826" t="str">
        <f>IFERROR(INDEX(決算整理!$E$5:$E$1835,MATCH("事務用消耗品費|S|2",決算整理!$S$5:$S$1835,0)),"")</f>
        <v>リサイクルトナー　ＬＰＢ３Ｔ２７</v>
      </c>
      <c r="R7" s="827">
        <f>IFERROR(INDEX(決算整理!$H$5:$H$1835,MATCH("事務用消耗品費|S|2",決算整理!$S$5:$S$1835,0)),"")</f>
        <v>49500</v>
      </c>
      <c r="S7" s="828">
        <f>IF(R7="","",S6+R7)</f>
        <v>142343</v>
      </c>
      <c r="T7" s="829" t="str">
        <f>IFERROR(INDEX(決算整理!$P$5:$P$1835,MATCH("事務用消耗品費|S|2",決算整理!$S$5:$S$1835,0)),"")</f>
        <v>昨年実績</v>
      </c>
    </row>
    <row r="8" ht="22.5" customHeight="1" s="186">
      <c r="A8" s="825">
        <f>IFERROR(INDEX(決算整理!$A$5:$A$1835,MATCH("委託費|S|3",決算整理!$S$5:$S$1835,0)),"")</f>
        <v>43951</v>
      </c>
      <c r="B8" s="826" t="str">
        <f>IFERROR(INDEX(決算整理!$E$5:$E$1835,MATCH("委託費|S|3",決算整理!$S$5:$S$1835,0)),"")</f>
        <v>短期給付等に係る個人番号管理システム端末保守サービス（３月分）</v>
      </c>
      <c r="C8" s="827">
        <f>IFERROR(INDEX(決算整理!$H$5:$H$1835,MATCH("委託費|S|3",決算整理!$S$5:$S$1835,0)),"")</f>
        <v>385</v>
      </c>
      <c r="D8" s="828">
        <f>IF(C8="","",D7+C8)</f>
        <v>378375</v>
      </c>
      <c r="E8" s="829" t="str">
        <f>IFERROR(INDEX(決算整理!$P$5:$P$1835,MATCH("委託費|S|3",決算整理!$S$5:$S$1835,0)),"")</f>
        <v>昨年実績</v>
      </c>
      <c r="F8" s="825">
        <f>IFERROR(INDEX(決算整理!$A$5:$A$1835,MATCH("通信運搬費|S|3",決算整理!$S$5:$S$1835,0)),"")</f>
        <v>43951</v>
      </c>
      <c r="G8" s="826" t="str">
        <f>IFERROR(INDEX(決算整理!$E$5:$E$1835,MATCH("通信運搬費|S|3",決算整理!$S$5:$S$1835,0)),"")</f>
        <v>事務局電話代　3月使用4月請求分</v>
      </c>
      <c r="H8" s="827">
        <f>IFERROR(INDEX(決算整理!$H$5:$H$1835,MATCH("通信運搬費|S|3",決算整理!$S$5:$S$1835,0)),"")</f>
        <v>5406</v>
      </c>
      <c r="I8" s="828">
        <f>IF(H8="","",I7+H8)</f>
        <v>11698</v>
      </c>
      <c r="J8" s="829" t="str">
        <f>IFERROR(INDEX(決算整理!$P$5:$P$1835,MATCH("通信運搬費|S|3",決算整理!$S$5:$S$1835,0)),"")</f>
        <v>昨年実績</v>
      </c>
      <c r="K8" s="825">
        <f>IFERROR(INDEX(決算整理!$A$5:$A$1835,MATCH("賃借料|S|3",決算整理!$S$5:$S$1835,0)),"")</f>
        <v>44679</v>
      </c>
      <c r="L8" s="826" t="str">
        <f>IFERROR(INDEX(決算整理!$E$5:$E$1835,MATCH("賃借料|S|3",決算整理!$S$5:$S$1835,0)),"")</f>
        <v>病院機構人給システム（パソコン・プリンタ使用料）短期</v>
      </c>
      <c r="M8" s="827">
        <f>IFERROR(INDEX(決算整理!$H$5:$H$1835,MATCH("賃借料|S|3",決算整理!$S$5:$S$1835,0)),"")</f>
        <v>25902</v>
      </c>
      <c r="N8" s="828">
        <f>IF(M8="","",N7+M8)</f>
        <v>187106</v>
      </c>
      <c r="O8" s="829" t="str">
        <f>IFERROR(INDEX(決算整理!$P$5:$P$1835,MATCH("賃借料|S|3",決算整理!$S$5:$S$1835,0)),"")</f>
        <v>昨年実績</v>
      </c>
      <c r="P8" s="825">
        <f>IFERROR(INDEX(決算整理!$A$5:$A$1835,MATCH("事務用消耗品費|S|3",決算整理!$S$5:$S$1835,0)),"")</f>
        <v>45044</v>
      </c>
      <c r="Q8" s="826" t="str">
        <f>IFERROR(INDEX(決算整理!$E$5:$E$1835,MATCH("事務用消耗品費|S|3",決算整理!$S$5:$S$1835,0)),"")</f>
        <v>マグネットポケット　マクー５００NB　1個</v>
      </c>
      <c r="R8" s="827">
        <f>IFERROR(INDEX(決算整理!$H$5:$H$1835,MATCH("事務用消耗品費|S|3",決算整理!$S$5:$S$1835,0)),"")</f>
        <v>1579</v>
      </c>
      <c r="S8" s="828">
        <f>IF(R8="","",S7+R8)</f>
        <v>143922</v>
      </c>
      <c r="T8" s="829" t="str">
        <f>IFERROR(INDEX(決算整理!$P$5:$P$1835,MATCH("事務用消耗品費|S|3",決算整理!$S$5:$S$1835,0)),"")</f>
        <v>昨年実績</v>
      </c>
    </row>
    <row r="9" ht="23.1" customHeight="1" s="186">
      <c r="A9" s="825">
        <f>IFERROR(INDEX(決算整理!$A$5:$A$1835,MATCH("委託費|S|4",決算整理!$S$5:$S$1835,0)),"")</f>
        <v>44679</v>
      </c>
      <c r="B9" s="826" t="str">
        <f>IFERROR(INDEX(決算整理!$E$5:$E$1835,MATCH("委託費|S|4",決算整理!$S$5:$S$1835,0)),"")</f>
        <v>病院機構人給システム（ネットワーク等経費）短期</v>
      </c>
      <c r="C9" s="827">
        <f>IFERROR(INDEX(決算整理!$H$5:$H$1835,MATCH("委託費|S|4",決算整理!$S$5:$S$1835,0)),"")</f>
        <v>43626</v>
      </c>
      <c r="D9" s="828">
        <f>IF(C9="","",D8+C9)</f>
        <v>422001</v>
      </c>
      <c r="E9" s="829" t="str">
        <f>IFERROR(INDEX(決算整理!$P$5:$P$1835,MATCH("委託費|S|4",決算整理!$S$5:$S$1835,0)),"")</f>
        <v>昨年実績</v>
      </c>
      <c r="F9" s="825">
        <f>IFERROR(INDEX(決算整理!$A$5:$A$1835,MATCH("通信運搬費|S|4",決算整理!$S$5:$S$1835,0)),"")</f>
        <v>43951</v>
      </c>
      <c r="G9" s="826" t="str">
        <f>IFERROR(INDEX(決算整理!$E$5:$E$1835,MATCH("通信運搬費|S|4",決算整理!$S$5:$S$1835,0)),"")</f>
        <v>ファクシミリ電話代等分担金（第4四半期）短期</v>
      </c>
      <c r="H9" s="827">
        <f>IFERROR(INDEX(決算整理!$H$5:$H$1835,MATCH("通信運搬費|S|4",決算整理!$S$5:$S$1835,0)),"")</f>
        <v>5952</v>
      </c>
      <c r="I9" s="828">
        <f>IF(H9="","",I8+H9)</f>
        <v>17650</v>
      </c>
      <c r="J9" s="829" t="str">
        <f>IFERROR(INDEX(決算整理!$P$5:$P$1835,MATCH("通信運搬費|S|4",決算整理!$S$5:$S$1835,0)),"")</f>
        <v>昨年実績</v>
      </c>
      <c r="K9" s="825">
        <f>IFERROR(INDEX(決算整理!$A$5:$A$1835,MATCH("賃借料|S|4",決算整理!$S$5:$S$1835,0)),"")</f>
        <v>46128</v>
      </c>
      <c r="L9" s="826" t="str">
        <f>IFERROR(INDEX(決算整理!$E$5:$E$1835,MATCH("賃借料|S|4",決算整理!$S$5:$S$1835,0)),"")</f>
        <v>統合管理端末リース料（３月分）</v>
      </c>
      <c r="M9" s="827">
        <f>IFERROR(INDEX(決算整理!$H$5:$H$1835,MATCH("賃借料|S|4",決算整理!$S$5:$S$1835,0)),"")</f>
        <v>12738</v>
      </c>
      <c r="N9" s="828">
        <f>IF(M9="","",N8+M9)</f>
        <v>199844</v>
      </c>
      <c r="O9" s="829" t="str">
        <f>IFERROR(INDEX(決算整理!$P$5:$P$1835,MATCH("賃借料|S|4",決算整理!$S$5:$S$1835,0)),"")</f>
        <v>昨年実績</v>
      </c>
      <c r="P9" s="825" t="str">
        <f>IFERROR(INDEX(決算整理!$A$5:$A$1835,MATCH("事務用消耗品費|S|4",決算整理!$S$5:$S$1835,0)),"")</f>
        <v/>
      </c>
      <c r="Q9" s="826" t="str">
        <f>IFERROR(INDEX(決算整理!$E$5:$E$1835,MATCH("事務用消耗品費|S|4",決算整理!$S$5:$S$1835,0)),"")</f>
        <v/>
      </c>
      <c r="R9" s="827" t="str">
        <f>IFERROR(INDEX(決算整理!$H$5:$H$1835,MATCH("事務用消耗品費|S|4",決算整理!$S$5:$S$1835,0)),"")</f>
        <v/>
      </c>
      <c r="S9" s="828" t="str">
        <f>IF(R9="","",S8+R9)</f>
        <v/>
      </c>
      <c r="T9" s="829" t="str">
        <f>IFERROR(INDEX(決算整理!$P$5:$P$1835,MATCH("事務用消耗品費|S|4",決算整理!$S$5:$S$1835,0)),"")</f>
        <v/>
      </c>
    </row>
    <row r="10" ht="23.1" customHeight="1" s="186">
      <c r="A10" s="825">
        <f>IFERROR(INDEX(決算整理!$A$5:$A$1835,MATCH("委託費|S|5",決算整理!$S$5:$S$1835,0)),"")</f>
        <v>43951</v>
      </c>
      <c r="B10" s="826" t="str">
        <f>IFERROR(INDEX(決算整理!$E$5:$E$1835,MATCH("委託費|S|5",決算整理!$S$5:$S$1835,0)),"")</f>
        <v>清掃・警備・ごみ処理（１０～３月分）</v>
      </c>
      <c r="C10" s="827">
        <f>IFERROR(INDEX(決算整理!$H$5:$H$1835,MATCH("委託費|S|5",決算整理!$S$5:$S$1835,0)),"")</f>
        <v>4154</v>
      </c>
      <c r="D10" s="828">
        <f>IF(C10="","",D9+C10)</f>
        <v>426155</v>
      </c>
      <c r="E10" s="829" t="str">
        <f>IFERROR(INDEX(決算整理!$P$5:$P$1835,MATCH("委託費|S|5",決算整理!$S$5:$S$1835,0)),"")</f>
        <v>昨年実績</v>
      </c>
      <c r="F10" s="825">
        <f>IFERROR(INDEX(決算整理!$A$5:$A$1835,MATCH("通信運搬費|S|5",決算整理!$S$5:$S$1835,0)),"")</f>
        <v>43951</v>
      </c>
      <c r="G10" s="826" t="str">
        <f>IFERROR(INDEX(決算整理!$E$5:$E$1835,MATCH("通信運搬費|S|5",決算整理!$S$5:$S$1835,0)),"")</f>
        <v>行政財産使用電話料（１０～３月分）</v>
      </c>
      <c r="H10" s="827">
        <f>IFERROR(INDEX(決算整理!$H$5:$H$1835,MATCH("通信運搬費|S|5",決算整理!$S$5:$S$1835,0)),"")</f>
        <v>54000</v>
      </c>
      <c r="I10" s="828">
        <f>IF(H10="","",I9+H10)</f>
        <v>71650</v>
      </c>
      <c r="J10" s="829" t="str">
        <f>IFERROR(INDEX(決算整理!$P$5:$P$1835,MATCH("通信運搬費|S|5",決算整理!$S$5:$S$1835,0)),"")</f>
        <v>昨年実績</v>
      </c>
      <c r="K10" s="825">
        <f>IFERROR(INDEX(決算整理!$A$5:$A$1835,MATCH("賃借料|S|5",決算整理!$S$5:$S$1835,0)),"")</f>
        <v>46140</v>
      </c>
      <c r="L10" s="826" t="str">
        <f>IFERROR(INDEX(決算整理!$E$5:$E$1835,MATCH("賃借料|S|5",決算整理!$S$5:$S$1835,0)),"")</f>
        <v>基幹システム用機器賃借料　３月分（短期）</v>
      </c>
      <c r="M10" s="827">
        <f>IFERROR(INDEX(決算整理!$H$5:$H$1835,MATCH("賃借料|S|5",決算整理!$S$5:$S$1835,0)),"")</f>
        <v>672934</v>
      </c>
      <c r="N10" s="828">
        <f>IF(M10="","",N9+M10)</f>
        <v>872778</v>
      </c>
      <c r="O10" s="829" t="str">
        <f>IFERROR(INDEX(決算整理!$P$5:$P$1835,MATCH("賃借料|S|5",決算整理!$S$5:$S$1835,0)),"")</f>
        <v>昨年実績</v>
      </c>
      <c r="P10" s="825" t="str">
        <f>IFERROR(INDEX(決算整理!$A$5:$A$1835,MATCH("事務用消耗品費|S|5",決算整理!$S$5:$S$1835,0)),"")</f>
        <v/>
      </c>
      <c r="Q10" s="826" t="str">
        <f>IFERROR(INDEX(決算整理!$E$5:$E$1835,MATCH("事務用消耗品費|S|5",決算整理!$S$5:$S$1835,0)),"")</f>
        <v/>
      </c>
      <c r="R10" s="827" t="str">
        <f>IFERROR(INDEX(決算整理!$H$5:$H$1835,MATCH("事務用消耗品費|S|5",決算整理!$S$5:$S$1835,0)),"")</f>
        <v/>
      </c>
      <c r="S10" s="828" t="str">
        <f>IF(R10="","",S9+R10)</f>
        <v/>
      </c>
      <c r="T10" s="829" t="str">
        <f>IFERROR(INDEX(決算整理!$P$5:$P$1835,MATCH("事務用消耗品費|S|5",決算整理!$S$5:$S$1835,0)),"")</f>
        <v/>
      </c>
    </row>
    <row r="11" ht="23.1" customHeight="1" s="186" thickBot="1">
      <c r="A11" s="825">
        <f>IFERROR(INDEX(決算整理!$A$5:$A$1835,MATCH("委託費|S|6",決算整理!$S$5:$S$1835,0)),"")</f>
        <v>43951</v>
      </c>
      <c r="B11" s="826" t="str">
        <f>IFERROR(INDEX(決算整理!$E$5:$E$1835,MATCH("委託費|S|6",決算整理!$S$5:$S$1835,0)),"")</f>
        <v>柔整等療養費支給申請書の入力（３月分）</v>
      </c>
      <c r="C11" s="827">
        <f>IFERROR(INDEX(決算整理!$H$5:$H$1835,MATCH("委託費|S|6",決算整理!$S$5:$S$1835,0)),"")</f>
        <v>61281</v>
      </c>
      <c r="D11" s="828">
        <f>IF(C11="","",D10+C11)</f>
        <v>487436</v>
      </c>
      <c r="E11" s="829" t="str">
        <f>IFERROR(INDEX(決算整理!$P$5:$P$1835,MATCH("委託費|S|6",決算整理!$S$5:$S$1835,0)),"")</f>
        <v>昨年実績</v>
      </c>
      <c r="F11" s="825">
        <f>IFERROR(INDEX(決算整理!$A$5:$A$1835,MATCH("通信運搬費|S|6",決算整理!$S$5:$S$1835,0)),"")</f>
        <v>45383</v>
      </c>
      <c r="G11" s="826" t="str">
        <f>IFERROR(INDEX(決算整理!$E$5:$E$1835,MATCH("通信運搬費|S|6",決算整理!$S$5:$S$1835,0)),"")</f>
        <v>インターネット通信料金（１月・２月使用・３月請求分）</v>
      </c>
      <c r="H11" s="827">
        <f>IFERROR(INDEX(決算整理!$H$5:$H$1835,MATCH("通信運搬費|S|6",決算整理!$S$5:$S$1835,0)),"")</f>
        <v>3415</v>
      </c>
      <c r="I11" s="828">
        <f>IF(H11="","",I10+H11)</f>
        <v>75065</v>
      </c>
      <c r="J11" s="829" t="str">
        <f>IFERROR(INDEX(決算整理!$P$5:$P$1835,MATCH("通信運搬費|S|6",決算整理!$S$5:$S$1835,0)),"")</f>
        <v>昨年実績</v>
      </c>
      <c r="K11" s="825" t="str">
        <f>IFERROR(INDEX(決算整理!$A$5:$A$1835,MATCH("賃借料|S|6",決算整理!$S$5:$S$1835,0)),"")</f>
        <v/>
      </c>
      <c r="L11" s="826" t="str">
        <f>IFERROR(INDEX(決算整理!$E$5:$E$1835,MATCH("賃借料|S|6",決算整理!$S$5:$S$1835,0)),"")</f>
        <v/>
      </c>
      <c r="M11" s="827" t="str">
        <f>IFERROR(INDEX(決算整理!$H$5:$H$1835,MATCH("賃借料|S|6",決算整理!$S$5:$S$1835,0)),"")</f>
        <v/>
      </c>
      <c r="N11" s="828" t="str">
        <f>IF(M11="","",N10+M11)</f>
        <v/>
      </c>
      <c r="O11" s="829" t="str">
        <f>IFERROR(INDEX(決算整理!$P$5:$P$1835,MATCH("賃借料|S|6",決算整理!$S$5:$S$1835,0)),"")</f>
        <v/>
      </c>
      <c r="P11" s="825" t="str">
        <f>IFERROR(INDEX(決算整理!$A$5:$A$1835,MATCH("事務用消耗品費|S|6",決算整理!$S$5:$S$1835,0)),"")</f>
        <v/>
      </c>
      <c r="Q11" s="826" t="str">
        <f>IFERROR(INDEX(決算整理!$E$5:$E$1835,MATCH("事務用消耗品費|S|6",決算整理!$S$5:$S$1835,0)),"")</f>
        <v/>
      </c>
      <c r="R11" s="827" t="str">
        <f>IFERROR(INDEX(決算整理!$H$5:$H$1835,MATCH("事務用消耗品費|S|6",決算整理!$S$5:$S$1835,0)),"")</f>
        <v/>
      </c>
      <c r="S11" s="828" t="str">
        <f>IF(R11="","",S10+R11)</f>
        <v/>
      </c>
      <c r="T11" s="829" t="str">
        <f>IFERROR(INDEX(決算整理!$P$5:$P$1835,MATCH("事務用消耗品費|S|6",決算整理!$S$5:$S$1835,0)),"")</f>
        <v/>
      </c>
    </row>
    <row r="12" ht="23.1" customHeight="1" s="186" thickBot="1">
      <c r="A12" s="825">
        <f>IFERROR(INDEX(決算整理!$A$5:$A$1835,MATCH("委託費|S|7",決算整理!$S$5:$S$1835,0)),"")</f>
        <v>44679</v>
      </c>
      <c r="B12" s="826" t="str">
        <f>IFERROR(INDEX(決算整理!$E$5:$E$1835,MATCH("委託費|S|7",決算整理!$S$5:$S$1835,0)),"")</f>
        <v>統合管理端末保守料（３月分）</v>
      </c>
      <c r="C12" s="827">
        <f>IFERROR(INDEX(決算整理!$H$5:$H$1835,MATCH("委託費|S|7",決算整理!$S$5:$S$1835,0)),"")</f>
        <v>770</v>
      </c>
      <c r="D12" s="828">
        <f>IF(C12="","",D11+C12)</f>
        <v>488206</v>
      </c>
      <c r="E12" s="829" t="str">
        <f>IFERROR(INDEX(決算整理!$P$5:$P$1835,MATCH("委託費|S|7",決算整理!$S$5:$S$1835,0)),"")</f>
        <v>昨年実績</v>
      </c>
      <c r="F12" s="825">
        <f>IFERROR(INDEX(決算整理!$A$5:$A$1835,MATCH("通信運搬費|S|7",決算整理!$S$5:$S$1835,0)),"")</f>
        <v>44679</v>
      </c>
      <c r="G12" s="826" t="str">
        <f>IFERROR(INDEX(決算整理!$E$5:$E$1835,MATCH("通信運搬費|S|7",決算整理!$S$5:$S$1835,0)),"")</f>
        <v>メール便（任継者宛厚生だより３月分）</v>
      </c>
      <c r="H12" s="827">
        <f>IFERROR(INDEX(決算整理!$H$5:$H$1835,MATCH("通信運搬費|S|7",決算整理!$S$5:$S$1835,0)),"")</f>
        <v>3024</v>
      </c>
      <c r="I12" s="828">
        <f>IF(H12="","",I11+H12)</f>
        <v>78089</v>
      </c>
      <c r="J12" s="829" t="str">
        <f>IFERROR(INDEX(決算整理!$P$5:$P$1835,MATCH("通信運搬費|S|7",決算整理!$S$5:$S$1835,0)),"")</f>
        <v>昨年実績</v>
      </c>
      <c r="K12" s="825" t="str">
        <f>IFERROR(INDEX(決算整理!$A$5:$A$1835,MATCH("賃借料|S|7",決算整理!$S$5:$S$1835,0)),"")</f>
        <v/>
      </c>
      <c r="L12" s="826" t="str">
        <f>IFERROR(INDEX(決算整理!$E$5:$E$1835,MATCH("賃借料|S|7",決算整理!$S$5:$S$1835,0)),"")</f>
        <v/>
      </c>
      <c r="M12" s="827" t="str">
        <f>IFERROR(INDEX(決算整理!$H$5:$H$1835,MATCH("賃借料|S|7",決算整理!$S$5:$S$1835,0)),"")</f>
        <v/>
      </c>
      <c r="N12" s="828" t="str">
        <f>IF(M12="","",N11+M12)</f>
        <v/>
      </c>
      <c r="O12" s="829" t="str">
        <f>IFERROR(INDEX(決算整理!$P$5:$P$1835,MATCH("賃借料|S|7",決算整理!$S$5:$S$1835,0)),"")</f>
        <v/>
      </c>
      <c r="P12" s="825" t="str">
        <f>IFERROR(INDEX(決算整理!$A$5:$A$1835,MATCH("事務用消耗品費|S|7",決算整理!$S$5:$S$1835,0)),"")</f>
        <v/>
      </c>
      <c r="Q12" s="826" t="str">
        <f>IFERROR(INDEX(決算整理!$E$5:$E$1835,MATCH("事務用消耗品費|S|7",決算整理!$S$5:$S$1835,0)),"")</f>
        <v/>
      </c>
      <c r="R12" s="827" t="str">
        <f>IFERROR(INDEX(決算整理!$H$5:$H$1835,MATCH("事務用消耗品費|S|7",決算整理!$S$5:$S$1835,0)),"")</f>
        <v/>
      </c>
      <c r="S12" s="828" t="str">
        <f>IF(R12="","",S11+R12)</f>
        <v/>
      </c>
      <c r="T12" s="829" t="str">
        <f>IFERROR(INDEX(決算整理!$P$5:$P$1835,MATCH("事務用消耗品費|S|7",決算整理!$S$5:$S$1835,0)),"")</f>
        <v/>
      </c>
    </row>
    <row r="13" ht="23.1" customHeight="1" s="186">
      <c r="A13" s="825">
        <f>IFERROR(INDEX(決算整理!$A$5:$A$1835,MATCH("委託費|S|8",決算整理!$S$5:$S$1835,0)),"")</f>
        <v>43980</v>
      </c>
      <c r="B13" s="826" t="str">
        <f>IFERROR(INDEX(決算整理!$E$5:$E$1835,MATCH("委託費|S|8",決算整理!$S$5:$S$1835,0)),"")</f>
        <v>個人番号管理システム（短期等）平成３１年度分</v>
      </c>
      <c r="C13" s="827">
        <f>IFERROR(INDEX(決算整理!$H$5:$H$1835,MATCH("委託費|S|8",決算整理!$S$5:$S$1835,0)),"")</f>
        <v>686447</v>
      </c>
      <c r="D13" s="828">
        <f>IF(C13="","",D12+C13)</f>
        <v>1174653</v>
      </c>
      <c r="E13" s="829" t="str">
        <f>IFERROR(INDEX(決算整理!$P$5:$P$1835,MATCH("委託費|S|8",決算整理!$S$5:$S$1835,0)),"")</f>
        <v>昨年実績</v>
      </c>
      <c r="F13" s="825" t="str">
        <f>IFERROR(INDEX(決算整理!$A$5:$A$1835,MATCH("通信運搬費|S|8",決算整理!$S$5:$S$1835,0)),"")</f>
        <v/>
      </c>
      <c r="G13" s="826" t="str">
        <f>IFERROR(INDEX(決算整理!$E$5:$E$1835,MATCH("通信運搬費|S|8",決算整理!$S$5:$S$1835,0)),"")</f>
        <v/>
      </c>
      <c r="H13" s="827" t="str">
        <f>IFERROR(INDEX(決算整理!$H$5:$H$1835,MATCH("通信運搬費|S|8",決算整理!$S$5:$S$1835,0)),"")</f>
        <v/>
      </c>
      <c r="I13" s="828" t="str">
        <f>IF(H13="","",I12+H13)</f>
        <v/>
      </c>
      <c r="J13" s="829" t="str">
        <f>IFERROR(INDEX(決算整理!$P$5:$P$1835,MATCH("通信運搬費|S|8",決算整理!$S$5:$S$1835,0)),"")</f>
        <v/>
      </c>
      <c r="K13" s="825" t="str">
        <f>IFERROR(INDEX(決算整理!$A$5:$A$1835,MATCH("賃借料|S|8",決算整理!$S$5:$S$1835,0)),"")</f>
        <v/>
      </c>
      <c r="L13" s="826" t="str">
        <f>IFERROR(INDEX(決算整理!$E$5:$E$1835,MATCH("賃借料|S|8",決算整理!$S$5:$S$1835,0)),"")</f>
        <v/>
      </c>
      <c r="M13" s="827" t="str">
        <f>IFERROR(INDEX(決算整理!$H$5:$H$1835,MATCH("賃借料|S|8",決算整理!$S$5:$S$1835,0)),"")</f>
        <v/>
      </c>
      <c r="N13" s="828" t="str">
        <f>IF(M13="","",N12+M13)</f>
        <v/>
      </c>
      <c r="O13" s="829" t="str">
        <f>IFERROR(INDEX(決算整理!$P$5:$P$1835,MATCH("賃借料|S|8",決算整理!$S$5:$S$1835,0)),"")</f>
        <v/>
      </c>
      <c r="P13" s="825" t="str">
        <f>IFERROR(INDEX(決算整理!$A$5:$A$1835,MATCH("事務用消耗品費|S|8",決算整理!$S$5:$S$1835,0)),"")</f>
        <v/>
      </c>
      <c r="Q13" s="826" t="str">
        <f>IFERROR(INDEX(決算整理!$E$5:$E$1835,MATCH("事務用消耗品費|S|8",決算整理!$S$5:$S$1835,0)),"")</f>
        <v/>
      </c>
      <c r="R13" s="827" t="str">
        <f>IFERROR(INDEX(決算整理!$H$5:$H$1835,MATCH("事務用消耗品費|S|8",決算整理!$S$5:$S$1835,0)),"")</f>
        <v/>
      </c>
      <c r="S13" s="828" t="str">
        <f>IF(R13="","",S12+R13)</f>
        <v/>
      </c>
      <c r="T13" s="829" t="str">
        <f>IFERROR(INDEX(決算整理!$P$5:$P$1835,MATCH("事務用消耗品費|S|8",決算整理!$S$5:$S$1835,0)),"")</f>
        <v/>
      </c>
    </row>
    <row r="14" ht="22.5" customHeight="1" s="186">
      <c r="A14" s="825" t="str">
        <f>IFERROR(INDEX(決算整理!$A$5:$A$1835,MATCH("委託費|S|9",決算整理!$S$5:$S$1835,0)),"")</f>
        <v/>
      </c>
      <c r="B14" s="826" t="str">
        <f>IFERROR(INDEX(決算整理!$E$5:$E$1835,MATCH("委託費|S|9",決算整理!$S$5:$S$1835,0)),"")</f>
        <v/>
      </c>
      <c r="C14" s="827" t="str">
        <f>IFERROR(INDEX(決算整理!$H$5:$H$1835,MATCH("委託費|S|9",決算整理!$S$5:$S$1835,0)),"")</f>
        <v/>
      </c>
      <c r="D14" s="828" t="str">
        <f>IF(C14="","",D13+C14)</f>
        <v/>
      </c>
      <c r="E14" s="829" t="str">
        <f>IFERROR(INDEX(決算整理!$P$5:$P$1835,MATCH("委託費|S|9",決算整理!$S$5:$S$1835,0)),"")</f>
        <v/>
      </c>
      <c r="F14" s="825" t="str">
        <f>IFERROR(INDEX(決算整理!$A$5:$A$1835,MATCH("通信運搬費|S|9",決算整理!$S$5:$S$1835,0)),"")</f>
        <v/>
      </c>
      <c r="G14" s="826" t="str">
        <f>IFERROR(INDEX(決算整理!$E$5:$E$1835,MATCH("通信運搬費|S|9",決算整理!$S$5:$S$1835,0)),"")</f>
        <v/>
      </c>
      <c r="H14" s="827" t="str">
        <f>IFERROR(INDEX(決算整理!$H$5:$H$1835,MATCH("通信運搬費|S|9",決算整理!$S$5:$S$1835,0)),"")</f>
        <v/>
      </c>
      <c r="I14" s="828" t="str">
        <f>IF(H14="","",I13+H14)</f>
        <v/>
      </c>
      <c r="J14" s="829" t="str">
        <f>IFERROR(INDEX(決算整理!$P$5:$P$1835,MATCH("通信運搬費|S|9",決算整理!$S$5:$S$1835,0)),"")</f>
        <v/>
      </c>
      <c r="K14" s="825" t="str">
        <f>IFERROR(INDEX(決算整理!$A$5:$A$1835,MATCH("賃借料|S|9",決算整理!$S$5:$S$1835,0)),"")</f>
        <v/>
      </c>
      <c r="L14" s="826" t="str">
        <f>IFERROR(INDEX(決算整理!$E$5:$E$1835,MATCH("賃借料|S|9",決算整理!$S$5:$S$1835,0)),"")</f>
        <v/>
      </c>
      <c r="M14" s="827" t="str">
        <f>IFERROR(INDEX(決算整理!$H$5:$H$1835,MATCH("賃借料|S|9",決算整理!$S$5:$S$1835,0)),"")</f>
        <v/>
      </c>
      <c r="N14" s="828" t="str">
        <f>IF(M14="","",N13+M14)</f>
        <v/>
      </c>
      <c r="O14" s="829" t="str">
        <f>IFERROR(INDEX(決算整理!$P$5:$P$1835,MATCH("賃借料|S|9",決算整理!$S$5:$S$1835,0)),"")</f>
        <v/>
      </c>
      <c r="P14" s="825" t="str">
        <f>IFERROR(INDEX(決算整理!$A$5:$A$1835,MATCH("事務用消耗品費|S|9",決算整理!$S$5:$S$1835,0)),"")</f>
        <v/>
      </c>
      <c r="Q14" s="826" t="str">
        <f>IFERROR(INDEX(決算整理!$E$5:$E$1835,MATCH("事務用消耗品費|S|9",決算整理!$S$5:$S$1835,0)),"")</f>
        <v/>
      </c>
      <c r="R14" s="827" t="str">
        <f>IFERROR(INDEX(決算整理!$H$5:$H$1835,MATCH("事務用消耗品費|S|9",決算整理!$S$5:$S$1835,0)),"")</f>
        <v/>
      </c>
      <c r="S14" s="828" t="str">
        <f>IF(R14="","",S13+R14)</f>
        <v/>
      </c>
      <c r="T14" s="829" t="str">
        <f>IFERROR(INDEX(決算整理!$P$5:$P$1835,MATCH("事務用消耗品費|S|9",決算整理!$S$5:$S$1835,0)),"")</f>
        <v/>
      </c>
    </row>
    <row r="15" ht="23.25" customHeight="1" s="186" thickBot="1">
      <c r="A15" s="825" t="str">
        <f>IFERROR(INDEX(決算整理!$A$5:$A$1835,MATCH("委託費|S|10",決算整理!$S$5:$S$1835,0)),"")</f>
        <v/>
      </c>
      <c r="B15" s="826" t="str">
        <f>IFERROR(INDEX(決算整理!$E$5:$E$1835,MATCH("委託費|S|10",決算整理!$S$5:$S$1835,0)),"")</f>
        <v/>
      </c>
      <c r="C15" s="827" t="str">
        <f>IFERROR(INDEX(決算整理!$H$5:$H$1835,MATCH("委託費|S|10",決算整理!$S$5:$S$1835,0)),"")</f>
        <v/>
      </c>
      <c r="D15" s="828" t="str">
        <f>IF(C15="","",D14+C15)</f>
        <v/>
      </c>
      <c r="E15" s="829" t="str">
        <f>IFERROR(INDEX(決算整理!$P$5:$P$1835,MATCH("委託費|S|10",決算整理!$S$5:$S$1835,0)),"")</f>
        <v/>
      </c>
      <c r="F15" s="825" t="str">
        <f>IFERROR(INDEX(決算整理!$A$5:$A$1835,MATCH("通信運搬費|S|10",決算整理!$S$5:$S$1835,0)),"")</f>
        <v/>
      </c>
      <c r="G15" s="826" t="str">
        <f>IFERROR(INDEX(決算整理!$E$5:$E$1835,MATCH("通信運搬費|S|10",決算整理!$S$5:$S$1835,0)),"")</f>
        <v/>
      </c>
      <c r="H15" s="827" t="str">
        <f>IFERROR(INDEX(決算整理!$H$5:$H$1835,MATCH("通信運搬費|S|10",決算整理!$S$5:$S$1835,0)),"")</f>
        <v/>
      </c>
      <c r="I15" s="828" t="str">
        <f>IF(H15="","",I14+H15)</f>
        <v/>
      </c>
      <c r="J15" s="829" t="str">
        <f>IFERROR(INDEX(決算整理!$P$5:$P$1835,MATCH("通信運搬費|S|10",決算整理!$S$5:$S$1835,0)),"")</f>
        <v/>
      </c>
      <c r="K15" s="825" t="str">
        <f>IFERROR(INDEX(決算整理!$A$5:$A$1835,MATCH("賃借料|S|10",決算整理!$S$5:$S$1835,0)),"")</f>
        <v/>
      </c>
      <c r="L15" s="826" t="str">
        <f>IFERROR(INDEX(決算整理!$E$5:$E$1835,MATCH("賃借料|S|10",決算整理!$S$5:$S$1835,0)),"")</f>
        <v/>
      </c>
      <c r="M15" s="827" t="str">
        <f>IFERROR(INDEX(決算整理!$H$5:$H$1835,MATCH("賃借料|S|10",決算整理!$S$5:$S$1835,0)),"")</f>
        <v/>
      </c>
      <c r="N15" s="828" t="str">
        <f>IF(M15="","",N14+M15)</f>
        <v/>
      </c>
      <c r="O15" s="829" t="str">
        <f>IFERROR(INDEX(決算整理!$P$5:$P$1835,MATCH("賃借料|S|10",決算整理!$S$5:$S$1835,0)),"")</f>
        <v/>
      </c>
      <c r="P15" s="825" t="str">
        <f>IFERROR(INDEX(決算整理!$A$5:$A$1835,MATCH("事務用消耗品費|S|10",決算整理!$S$5:$S$1835,0)),"")</f>
        <v/>
      </c>
      <c r="Q15" s="826" t="str">
        <f>IFERROR(INDEX(決算整理!$E$5:$E$1835,MATCH("事務用消耗品費|S|10",決算整理!$S$5:$S$1835,0)),"")</f>
        <v/>
      </c>
      <c r="R15" s="827" t="str">
        <f>IFERROR(INDEX(決算整理!$H$5:$H$1835,MATCH("事務用消耗品費|S|10",決算整理!$S$5:$S$1835,0)),"")</f>
        <v/>
      </c>
      <c r="S15" s="828" t="str">
        <f>IF(R15="","",S14+R15)</f>
        <v/>
      </c>
      <c r="T15" s="829" t="str">
        <f>IFERROR(INDEX(決算整理!$P$5:$P$1835,MATCH("事務用消耗品費|S|10",決算整理!$S$5:$S$1835,0)),"")</f>
        <v/>
      </c>
    </row>
    <row r="16" ht="23.1" customHeight="1" s="186">
      <c r="A16" s="825" t="str">
        <f>IFERROR(INDEX(決算整理!$A$5:$A$1835,MATCH("委託費|S|11",決算整理!$S$5:$S$1835,0)),"")</f>
        <v/>
      </c>
      <c r="B16" s="826" t="str">
        <f>IFERROR(INDEX(決算整理!$E$5:$E$1835,MATCH("委託費|S|11",決算整理!$S$5:$S$1835,0)),"")</f>
        <v/>
      </c>
      <c r="C16" s="827" t="str">
        <f>IFERROR(INDEX(決算整理!$H$5:$H$1835,MATCH("委託費|S|11",決算整理!$S$5:$S$1835,0)),"")</f>
        <v/>
      </c>
      <c r="D16" s="828" t="str">
        <f>IF(C16="","",D15+C16)</f>
        <v/>
      </c>
      <c r="E16" s="829" t="str">
        <f>IFERROR(INDEX(決算整理!$P$5:$P$1835,MATCH("委託費|S|11",決算整理!$S$5:$S$1835,0)),"")</f>
        <v/>
      </c>
      <c r="F16" s="825" t="str">
        <f>IFERROR(INDEX(決算整理!$A$5:$A$1835,MATCH("通信運搬費|S|11",決算整理!$S$5:$S$1835,0)),"")</f>
        <v/>
      </c>
      <c r="G16" s="826" t="str">
        <f>IFERROR(INDEX(決算整理!$E$5:$E$1835,MATCH("通信運搬費|S|11",決算整理!$S$5:$S$1835,0)),"")</f>
        <v/>
      </c>
      <c r="H16" s="827" t="str">
        <f>IFERROR(INDEX(決算整理!$H$5:$H$1835,MATCH("通信運搬費|S|11",決算整理!$S$5:$S$1835,0)),"")</f>
        <v/>
      </c>
      <c r="I16" s="828" t="str">
        <f>IF(H16="","",I15+H16)</f>
        <v/>
      </c>
      <c r="J16" s="829" t="str">
        <f>IFERROR(INDEX(決算整理!$P$5:$P$1835,MATCH("通信運搬費|S|11",決算整理!$S$5:$S$1835,0)),"")</f>
        <v/>
      </c>
      <c r="K16" s="825" t="str">
        <f>IFERROR(INDEX(決算整理!$A$5:$A$1835,MATCH("賃借料|S|11",決算整理!$S$5:$S$1835,0)),"")</f>
        <v/>
      </c>
      <c r="L16" s="826" t="str">
        <f>IFERROR(INDEX(決算整理!$E$5:$E$1835,MATCH("賃借料|S|11",決算整理!$S$5:$S$1835,0)),"")</f>
        <v/>
      </c>
      <c r="M16" s="827" t="str">
        <f>IFERROR(INDEX(決算整理!$H$5:$H$1835,MATCH("賃借料|S|11",決算整理!$S$5:$S$1835,0)),"")</f>
        <v/>
      </c>
      <c r="N16" s="828" t="str">
        <f>IF(M16="","",N15+M16)</f>
        <v/>
      </c>
      <c r="O16" s="829" t="str">
        <f>IFERROR(INDEX(決算整理!$P$5:$P$1835,MATCH("賃借料|S|11",決算整理!$S$5:$S$1835,0)),"")</f>
        <v/>
      </c>
      <c r="P16" s="825" t="str">
        <f>IFERROR(INDEX(決算整理!$A$5:$A$1835,MATCH("事務用消耗品費|S|11",決算整理!$S$5:$S$1835,0)),"")</f>
        <v/>
      </c>
      <c r="Q16" s="826" t="str">
        <f>IFERROR(INDEX(決算整理!$E$5:$E$1835,MATCH("事務用消耗品費|S|11",決算整理!$S$5:$S$1835,0)),"")</f>
        <v/>
      </c>
      <c r="R16" s="827" t="str">
        <f>IFERROR(INDEX(決算整理!$H$5:$H$1835,MATCH("事務用消耗品費|S|11",決算整理!$S$5:$S$1835,0)),"")</f>
        <v/>
      </c>
      <c r="S16" s="828" t="str">
        <f>IF(R16="","",S15+R16)</f>
        <v/>
      </c>
      <c r="T16" s="829" t="str">
        <f>IFERROR(INDEX(決算整理!$P$5:$P$1835,MATCH("事務用消耗品費|S|11",決算整理!$S$5:$S$1835,0)),"")</f>
        <v/>
      </c>
    </row>
    <row r="17" ht="23.1" customHeight="1" s="186">
      <c r="A17" s="825" t="str">
        <f>IFERROR(INDEX(決算整理!$A$5:$A$1835,MATCH("委託費|S|12",決算整理!$S$5:$S$1835,0)),"")</f>
        <v/>
      </c>
      <c r="B17" s="826" t="str">
        <f>IFERROR(INDEX(決算整理!$E$5:$E$1835,MATCH("委託費|S|12",決算整理!$S$5:$S$1835,0)),"")</f>
        <v/>
      </c>
      <c r="C17" s="827" t="str">
        <f>IFERROR(INDEX(決算整理!$H$5:$H$1835,MATCH("委託費|S|12",決算整理!$S$5:$S$1835,0)),"")</f>
        <v/>
      </c>
      <c r="D17" s="828" t="str">
        <f>IF(C17="","",D16+C17)</f>
        <v/>
      </c>
      <c r="E17" s="829" t="str">
        <f>IFERROR(INDEX(決算整理!$P$5:$P$1835,MATCH("委託費|S|12",決算整理!$S$5:$S$1835,0)),"")</f>
        <v/>
      </c>
      <c r="F17" s="825" t="str">
        <f>IFERROR(INDEX(決算整理!$A$5:$A$1835,MATCH("通信運搬費|S|12",決算整理!$S$5:$S$1835,0)),"")</f>
        <v/>
      </c>
      <c r="G17" s="826" t="str">
        <f>IFERROR(INDEX(決算整理!$E$5:$E$1835,MATCH("通信運搬費|S|12",決算整理!$S$5:$S$1835,0)),"")</f>
        <v/>
      </c>
      <c r="H17" s="827" t="str">
        <f>IFERROR(INDEX(決算整理!$H$5:$H$1835,MATCH("通信運搬費|S|12",決算整理!$S$5:$S$1835,0)),"")</f>
        <v/>
      </c>
      <c r="I17" s="828" t="str">
        <f>IF(H17="","",I16+H17)</f>
        <v/>
      </c>
      <c r="J17" s="829" t="str">
        <f>IFERROR(INDEX(決算整理!$P$5:$P$1835,MATCH("通信運搬費|S|12",決算整理!$S$5:$S$1835,0)),"")</f>
        <v/>
      </c>
      <c r="K17" s="825" t="str">
        <f>IFERROR(INDEX(決算整理!$A$5:$A$1835,MATCH("賃借料|S|12",決算整理!$S$5:$S$1835,0)),"")</f>
        <v/>
      </c>
      <c r="L17" s="826" t="str">
        <f>IFERROR(INDEX(決算整理!$E$5:$E$1835,MATCH("賃借料|S|12",決算整理!$S$5:$S$1835,0)),"")</f>
        <v/>
      </c>
      <c r="M17" s="827" t="str">
        <f>IFERROR(INDEX(決算整理!$H$5:$H$1835,MATCH("賃借料|S|12",決算整理!$S$5:$S$1835,0)),"")</f>
        <v/>
      </c>
      <c r="N17" s="828" t="str">
        <f>IF(M17="","",N16+M17)</f>
        <v/>
      </c>
      <c r="O17" s="829" t="str">
        <f>IFERROR(INDEX(決算整理!$P$5:$P$1835,MATCH("賃借料|S|12",決算整理!$S$5:$S$1835,0)),"")</f>
        <v/>
      </c>
      <c r="P17" s="825" t="str">
        <f>IFERROR(INDEX(決算整理!$A$5:$A$1835,MATCH("事務用消耗品費|S|12",決算整理!$S$5:$S$1835,0)),"")</f>
        <v/>
      </c>
      <c r="Q17" s="826" t="str">
        <f>IFERROR(INDEX(決算整理!$E$5:$E$1835,MATCH("事務用消耗品費|S|12",決算整理!$S$5:$S$1835,0)),"")</f>
        <v/>
      </c>
      <c r="R17" s="827" t="str">
        <f>IFERROR(INDEX(決算整理!$H$5:$H$1835,MATCH("事務用消耗品費|S|12",決算整理!$S$5:$S$1835,0)),"")</f>
        <v/>
      </c>
      <c r="S17" s="828" t="str">
        <f>IF(R17="","",S16+R17)</f>
        <v/>
      </c>
      <c r="T17" s="829" t="str">
        <f>IFERROR(INDEX(決算整理!$P$5:$P$1835,MATCH("事務用消耗品費|S|12",決算整理!$S$5:$S$1835,0)),"")</f>
        <v/>
      </c>
    </row>
    <row r="18" ht="23.1" customHeight="1" s="186">
      <c r="A18" s="825" t="str">
        <f>IFERROR(INDEX(決算整理!$A$5:$A$1835,MATCH("委託費|S|13",決算整理!$S$5:$S$1835,0)),"")</f>
        <v/>
      </c>
      <c r="B18" s="826" t="str">
        <f>IFERROR(INDEX(決算整理!$E$5:$E$1835,MATCH("委託費|S|13",決算整理!$S$5:$S$1835,0)),"")</f>
        <v/>
      </c>
      <c r="C18" s="827" t="str">
        <f>IFERROR(INDEX(決算整理!$H$5:$H$1835,MATCH("委託費|S|13",決算整理!$S$5:$S$1835,0)),"")</f>
        <v/>
      </c>
      <c r="D18" s="828" t="str">
        <f>IF(C18="","",D17+C18)</f>
        <v/>
      </c>
      <c r="E18" s="829" t="str">
        <f>IFERROR(INDEX(決算整理!$P$5:$P$1835,MATCH("委託費|S|13",決算整理!$S$5:$S$1835,0)),"")</f>
        <v/>
      </c>
      <c r="F18" s="825" t="str">
        <f>IFERROR(INDEX(決算整理!$A$5:$A$1835,MATCH("通信運搬費|S|13",決算整理!$S$5:$S$1835,0)),"")</f>
        <v/>
      </c>
      <c r="G18" s="826" t="str">
        <f>IFERROR(INDEX(決算整理!$E$5:$E$1835,MATCH("通信運搬費|S|13",決算整理!$S$5:$S$1835,0)),"")</f>
        <v/>
      </c>
      <c r="H18" s="827" t="str">
        <f>IFERROR(INDEX(決算整理!$H$5:$H$1835,MATCH("通信運搬費|S|13",決算整理!$S$5:$S$1835,0)),"")</f>
        <v/>
      </c>
      <c r="I18" s="828" t="str">
        <f>IF(H18="","",I17+H18)</f>
        <v/>
      </c>
      <c r="J18" s="829" t="str">
        <f>IFERROR(INDEX(決算整理!$P$5:$P$1835,MATCH("通信運搬費|S|13",決算整理!$S$5:$S$1835,0)),"")</f>
        <v/>
      </c>
      <c r="K18" s="825" t="str">
        <f>IFERROR(INDEX(決算整理!$A$5:$A$1835,MATCH("賃借料|S|13",決算整理!$S$5:$S$1835,0)),"")</f>
        <v/>
      </c>
      <c r="L18" s="826" t="str">
        <f>IFERROR(INDEX(決算整理!$E$5:$E$1835,MATCH("賃借料|S|13",決算整理!$S$5:$S$1835,0)),"")</f>
        <v/>
      </c>
      <c r="M18" s="827" t="str">
        <f>IFERROR(INDEX(決算整理!$H$5:$H$1835,MATCH("賃借料|S|13",決算整理!$S$5:$S$1835,0)),"")</f>
        <v/>
      </c>
      <c r="N18" s="828" t="str">
        <f>IF(M18="","",N17+M18)</f>
        <v/>
      </c>
      <c r="O18" s="829" t="str">
        <f>IFERROR(INDEX(決算整理!$P$5:$P$1835,MATCH("賃借料|S|13",決算整理!$S$5:$S$1835,0)),"")</f>
        <v/>
      </c>
    </row>
    <row r="19" ht="23.1" customHeight="1" s="186">
      <c r="A19" s="825" t="str">
        <f>IFERROR(INDEX(決算整理!$A$5:$A$1835,MATCH("委託費|S|14",決算整理!$S$5:$S$1835,0)),"")</f>
        <v/>
      </c>
      <c r="B19" s="826" t="str">
        <f>IFERROR(INDEX(決算整理!$E$5:$E$1835,MATCH("委託費|S|14",決算整理!$S$5:$S$1835,0)),"")</f>
        <v/>
      </c>
      <c r="C19" s="827" t="str">
        <f>IFERROR(INDEX(決算整理!$H$5:$H$1835,MATCH("委託費|S|14",決算整理!$S$5:$S$1835,0)),"")</f>
        <v/>
      </c>
      <c r="D19" s="828" t="str">
        <f>IF(C19="","",D18+C19)</f>
        <v/>
      </c>
      <c r="E19" s="829" t="str">
        <f>IFERROR(INDEX(決算整理!$P$5:$P$1835,MATCH("委託費|S|14",決算整理!$S$5:$S$1835,0)),"")</f>
        <v/>
      </c>
      <c r="F19" s="825" t="str">
        <f>IFERROR(INDEX(決算整理!$A$5:$A$1835,MATCH("通信運搬費|S|14",決算整理!$S$5:$S$1835,0)),"")</f>
        <v/>
      </c>
      <c r="G19" s="826" t="str">
        <f>IFERROR(INDEX(決算整理!$E$5:$E$1835,MATCH("通信運搬費|S|14",決算整理!$S$5:$S$1835,0)),"")</f>
        <v/>
      </c>
      <c r="H19" s="827" t="str">
        <f>IFERROR(INDEX(決算整理!$H$5:$H$1835,MATCH("通信運搬費|S|14",決算整理!$S$5:$S$1835,0)),"")</f>
        <v/>
      </c>
      <c r="I19" s="828" t="str">
        <f>IF(H19="","",I18+H19)</f>
        <v/>
      </c>
      <c r="J19" s="829" t="str">
        <f>IFERROR(INDEX(決算整理!$P$5:$P$1835,MATCH("通信運搬費|S|14",決算整理!$S$5:$S$1835,0)),"")</f>
        <v/>
      </c>
      <c r="K19" s="825" t="str">
        <f>IFERROR(INDEX(決算整理!$A$5:$A$1835,MATCH("賃借料|S|14",決算整理!$S$5:$S$1835,0)),"")</f>
        <v/>
      </c>
      <c r="L19" s="826" t="str">
        <f>IFERROR(INDEX(決算整理!$E$5:$E$1835,MATCH("賃借料|S|14",決算整理!$S$5:$S$1835,0)),"")</f>
        <v/>
      </c>
      <c r="M19" s="827" t="str">
        <f>IFERROR(INDEX(決算整理!$H$5:$H$1835,MATCH("賃借料|S|14",決算整理!$S$5:$S$1835,0)),"")</f>
        <v/>
      </c>
      <c r="N19" s="828" t="str">
        <f>IF(M19="","",N18+M19)</f>
        <v/>
      </c>
      <c r="O19" s="829" t="str">
        <f>IFERROR(INDEX(決算整理!$P$5:$P$1835,MATCH("賃借料|S|14",決算整理!$S$5:$S$1835,0)),"")</f>
        <v/>
      </c>
    </row>
    <row r="20" ht="23.1" customHeight="1" s="186">
      <c r="A20" s="825" t="str">
        <f>IFERROR(INDEX(決算整理!$A$5:$A$1835,MATCH("委託費|S|15",決算整理!$S$5:$S$1835,0)),"")</f>
        <v/>
      </c>
      <c r="B20" s="826" t="str">
        <f>IFERROR(INDEX(決算整理!$E$5:$E$1835,MATCH("委託費|S|15",決算整理!$S$5:$S$1835,0)),"")</f>
        <v/>
      </c>
      <c r="C20" s="827" t="str">
        <f>IFERROR(INDEX(決算整理!$H$5:$H$1835,MATCH("委託費|S|15",決算整理!$S$5:$S$1835,0)),"")</f>
        <v/>
      </c>
      <c r="D20" s="828" t="str">
        <f>IF(C20="","",D19+C20)</f>
        <v/>
      </c>
      <c r="E20" s="829" t="str">
        <f>IFERROR(INDEX(決算整理!$P$5:$P$1835,MATCH("委託費|S|15",決算整理!$S$5:$S$1835,0)),"")</f>
        <v/>
      </c>
      <c r="F20" s="825" t="str">
        <f>IFERROR(INDEX(決算整理!$A$5:$A$1835,MATCH("通信運搬費|S|15",決算整理!$S$5:$S$1835,0)),"")</f>
        <v/>
      </c>
      <c r="G20" s="826" t="str">
        <f>IFERROR(INDEX(決算整理!$E$5:$E$1835,MATCH("通信運搬費|S|15",決算整理!$S$5:$S$1835,0)),"")</f>
        <v/>
      </c>
      <c r="H20" s="827" t="str">
        <f>IFERROR(INDEX(決算整理!$H$5:$H$1835,MATCH("通信運搬費|S|15",決算整理!$S$5:$S$1835,0)),"")</f>
        <v/>
      </c>
      <c r="I20" s="828" t="str">
        <f>IF(H20="","",I19+H20)</f>
        <v/>
      </c>
      <c r="J20" s="829" t="str">
        <f>IFERROR(INDEX(決算整理!$P$5:$P$1835,MATCH("通信運搬費|S|15",決算整理!$S$5:$S$1835,0)),"")</f>
        <v/>
      </c>
      <c r="K20" s="825" t="str">
        <f>IFERROR(INDEX(決算整理!$A$5:$A$1835,MATCH("賃借料|S|15",決算整理!$S$5:$S$1835,0)),"")</f>
        <v/>
      </c>
      <c r="L20" s="826" t="str">
        <f>IFERROR(INDEX(決算整理!$E$5:$E$1835,MATCH("賃借料|S|15",決算整理!$S$5:$S$1835,0)),"")</f>
        <v/>
      </c>
      <c r="M20" s="827" t="str">
        <f>IFERROR(INDEX(決算整理!$H$5:$H$1835,MATCH("賃借料|S|15",決算整理!$S$5:$S$1835,0)),"")</f>
        <v/>
      </c>
      <c r="N20" s="828" t="str">
        <f>IF(M20="","",N19+M20)</f>
        <v/>
      </c>
      <c r="O20" s="829" t="str">
        <f>IFERROR(INDEX(決算整理!$P$5:$P$1835,MATCH("賃借料|S|15",決算整理!$S$5:$S$1835,0)),"")</f>
        <v/>
      </c>
    </row>
    <row r="21" ht="23.1" customHeight="1" s="186">
      <c r="A21" s="825" t="str">
        <f>IFERROR(INDEX(決算整理!$A$5:$A$1835,MATCH("委託費|S|16",決算整理!$S$5:$S$1835,0)),"")</f>
        <v/>
      </c>
      <c r="B21" s="826" t="str">
        <f>IFERROR(INDEX(決算整理!$E$5:$E$1835,MATCH("委託費|S|16",決算整理!$S$5:$S$1835,0)),"")</f>
        <v/>
      </c>
      <c r="C21" s="827" t="str">
        <f>IFERROR(INDEX(決算整理!$H$5:$H$1835,MATCH("委託費|S|16",決算整理!$S$5:$S$1835,0)),"")</f>
        <v/>
      </c>
      <c r="D21" s="828" t="str">
        <f>IF(C21="","",D20+C21)</f>
        <v/>
      </c>
      <c r="E21" s="829" t="str">
        <f>IFERROR(INDEX(決算整理!$P$5:$P$1835,MATCH("委託費|S|16",決算整理!$S$5:$S$1835,0)),"")</f>
        <v/>
      </c>
      <c r="F21" s="825" t="str">
        <f>IFERROR(INDEX(決算整理!$A$5:$A$1835,MATCH("通信運搬費|S|16",決算整理!$S$5:$S$1835,0)),"")</f>
        <v/>
      </c>
      <c r="G21" s="826" t="str">
        <f>IFERROR(INDEX(決算整理!$E$5:$E$1835,MATCH("通信運搬費|S|16",決算整理!$S$5:$S$1835,0)),"")</f>
        <v/>
      </c>
      <c r="H21" s="827" t="str">
        <f>IFERROR(INDEX(決算整理!$H$5:$H$1835,MATCH("通信運搬費|S|16",決算整理!$S$5:$S$1835,0)),"")</f>
        <v/>
      </c>
      <c r="I21" s="828" t="str">
        <f>IF(H21="","",I20+H21)</f>
        <v/>
      </c>
      <c r="J21" s="829" t="str">
        <f>IFERROR(INDEX(決算整理!$P$5:$P$1835,MATCH("通信運搬費|S|16",決算整理!$S$5:$S$1835,0)),"")</f>
        <v/>
      </c>
    </row>
    <row r="22" ht="23.1" customHeight="1" s="186">
      <c r="A22" s="825" t="str">
        <f>IFERROR(INDEX(決算整理!$A$5:$A$1835,MATCH("委託費|S|17",決算整理!$S$5:$S$1835,0)),"")</f>
        <v/>
      </c>
      <c r="B22" s="826" t="str">
        <f>IFERROR(INDEX(決算整理!$E$5:$E$1835,MATCH("委託費|S|17",決算整理!$S$5:$S$1835,0)),"")</f>
        <v/>
      </c>
      <c r="C22" s="827" t="str">
        <f>IFERROR(INDEX(決算整理!$H$5:$H$1835,MATCH("委託費|S|17",決算整理!$S$5:$S$1835,0)),"")</f>
        <v/>
      </c>
      <c r="D22" s="828" t="str">
        <f>IF(C22="","",D21+C22)</f>
        <v/>
      </c>
      <c r="E22" s="829" t="str">
        <f>IFERROR(INDEX(決算整理!$P$5:$P$1835,MATCH("委託費|S|17",決算整理!$S$5:$S$1835,0)),"")</f>
        <v/>
      </c>
      <c r="F22" s="825" t="str">
        <f>IFERROR(INDEX(決算整理!$A$5:$A$1835,MATCH("通信運搬費|S|17",決算整理!$S$5:$S$1835,0)),"")</f>
        <v/>
      </c>
      <c r="G22" s="826" t="str">
        <f>IFERROR(INDEX(決算整理!$E$5:$E$1835,MATCH("通信運搬費|S|17",決算整理!$S$5:$S$1835,0)),"")</f>
        <v/>
      </c>
      <c r="H22" s="827" t="str">
        <f>IFERROR(INDEX(決算整理!$H$5:$H$1835,MATCH("通信運搬費|S|17",決算整理!$S$5:$S$1835,0)),"")</f>
        <v/>
      </c>
      <c r="I22" s="828" t="str">
        <f>IF(H22="","",I21+H22)</f>
        <v/>
      </c>
      <c r="J22" s="829" t="str">
        <f>IFERROR(INDEX(決算整理!$P$5:$P$1835,MATCH("通信運搬費|S|17",決算整理!$S$5:$S$1835,0)),"")</f>
        <v/>
      </c>
    </row>
    <row r="23" ht="23.1" customHeight="1" s="186" thickBot="1">
      <c r="A23" s="825" t="str">
        <f>IFERROR(INDEX(決算整理!$A$5:$A$1835,MATCH("委託費|S|18",決算整理!$S$5:$S$1835,0)),"")</f>
        <v/>
      </c>
      <c r="B23" s="826" t="str">
        <f>IFERROR(INDEX(決算整理!$E$5:$E$1835,MATCH("委託費|S|18",決算整理!$S$5:$S$1835,0)),"")</f>
        <v/>
      </c>
      <c r="C23" s="827" t="str">
        <f>IFERROR(INDEX(決算整理!$H$5:$H$1835,MATCH("委託費|S|18",決算整理!$S$5:$S$1835,0)),"")</f>
        <v/>
      </c>
      <c r="D23" s="828" t="str">
        <f>IF(C23="","",D22+C23)</f>
        <v/>
      </c>
      <c r="E23" s="829" t="str">
        <f>IFERROR(INDEX(決算整理!$P$5:$P$1835,MATCH("委託費|S|18",決算整理!$S$5:$S$1835,0)),"")</f>
        <v/>
      </c>
      <c r="F23" s="825" t="str">
        <f>IFERROR(INDEX(決算整理!$A$5:$A$1835,MATCH("通信運搬費|S|18",決算整理!$S$5:$S$1835,0)),"")</f>
        <v/>
      </c>
      <c r="G23" s="826" t="str">
        <f>IFERROR(INDEX(決算整理!$E$5:$E$1835,MATCH("通信運搬費|S|18",決算整理!$S$5:$S$1835,0)),"")</f>
        <v/>
      </c>
      <c r="H23" s="827" t="str">
        <f>IFERROR(INDEX(決算整理!$H$5:$H$1835,MATCH("通信運搬費|S|18",決算整理!$S$5:$S$1835,0)),"")</f>
        <v/>
      </c>
      <c r="I23" s="828" t="str">
        <f>IF(H23="","",I22+H23)</f>
        <v/>
      </c>
      <c r="J23" s="829" t="str">
        <f>IFERROR(INDEX(決算整理!$P$5:$P$1835,MATCH("通信運搬費|S|18",決算整理!$S$5:$S$1835,0)),"")</f>
        <v/>
      </c>
    </row>
    <row r="24" ht="30.75" customHeight="1" s="186" thickBot="1">
      <c r="A24" s="825" t="str">
        <f>IFERROR(INDEX(決算整理!$A$5:$A$1835,MATCH("委託費|S|19",決算整理!$S$5:$S$1835,0)),"")</f>
        <v/>
      </c>
      <c r="B24" s="826" t="str">
        <f>IFERROR(INDEX(決算整理!$E$5:$E$1835,MATCH("委託費|S|19",決算整理!$S$5:$S$1835,0)),"")</f>
        <v/>
      </c>
      <c r="C24" s="827" t="str">
        <f>IFERROR(INDEX(決算整理!$H$5:$H$1835,MATCH("委託費|S|19",決算整理!$S$5:$S$1835,0)),"")</f>
        <v/>
      </c>
      <c r="D24" s="828" t="str">
        <f>IF(C24="","",D23+C24)</f>
        <v/>
      </c>
      <c r="E24" s="829" t="str">
        <f>IFERROR(INDEX(決算整理!$P$5:$P$1835,MATCH("委託費|S|19",決算整理!$S$5:$S$1835,0)),"")</f>
        <v/>
      </c>
    </row>
    <row r="25" ht="23.1" customHeight="1" s="186" thickBot="1"/>
    <row r="26" ht="23.1" customHeight="1" s="186"/>
    <row r="27" ht="23.1" customHeight="1" s="186"/>
    <row r="28" ht="23.1" customHeight="1" s="186">
      <c r="B28" s="502" t="inlineStr">
        <is>
          <t>○事務費  図書印刷費</t>
        </is>
      </c>
      <c r="D28" s="503" t="inlineStr">
        <is>
          <t>業務（短）未払</t>
        </is>
      </c>
      <c r="E28" s="824" t="str">
        <f>IF(COUNTIF(決算整理!$S$5:$S$1835,"図書印刷費|S|*")&gt;12,"行不足","")</f>
        <v/>
      </c>
      <c r="G28" s="502" t="inlineStr">
        <is>
          <t>○事務費  送金料</t>
        </is>
      </c>
      <c r="I28" s="503" t="inlineStr">
        <is>
          <t>業務（短）未払</t>
        </is>
      </c>
      <c r="J28" s="824" t="str">
        <f>IF(COUNTIF(決算整理!$S$5:$S$1835,"送金料|S|*")&gt;12,"行不足","")</f>
        <v/>
      </c>
      <c r="L28" s="502" t="inlineStr">
        <is>
          <t>○事務費  雑費</t>
        </is>
      </c>
      <c r="N28" s="503" t="inlineStr">
        <is>
          <t>業務（短）未払</t>
        </is>
      </c>
      <c r="O28" s="824" t="str">
        <f>IF(COUNTIF(決算整理!$S$5:$S$1835,"事務費・雑費|S|*")&gt;12,"行不足","")</f>
        <v/>
      </c>
      <c r="Q28" s="502" t="inlineStr">
        <is>
          <t>○事務費  会議費</t>
        </is>
      </c>
      <c r="S28" s="503" t="inlineStr">
        <is>
          <t>業務（短）未払</t>
        </is>
      </c>
      <c r="T28" s="824" t="str">
        <f>IF(COUNTIF(決算整理!$S$5:$S$1835,"会議費|S|*")&gt;12,"行不足","")</f>
        <v/>
      </c>
    </row>
    <row r="29" ht="23.1" customHeight="1" s="186">
      <c r="A29" s="100" t="inlineStr">
        <is>
          <t>支出日</t>
        </is>
      </c>
      <c r="B29" s="100" t="inlineStr">
        <is>
          <t>摘要</t>
        </is>
      </c>
      <c r="C29" s="100" t="inlineStr">
        <is>
          <t>支出</t>
        </is>
      </c>
      <c r="D29" s="100" t="inlineStr">
        <is>
          <t>累計</t>
        </is>
      </c>
      <c r="E29" s="100" t="inlineStr">
        <is>
          <t>状態</t>
        </is>
      </c>
      <c r="F29" s="100" t="inlineStr">
        <is>
          <t>支出日</t>
        </is>
      </c>
      <c r="G29" s="100" t="inlineStr">
        <is>
          <t>摘要</t>
        </is>
      </c>
      <c r="H29" s="100" t="inlineStr">
        <is>
          <t>支出</t>
        </is>
      </c>
      <c r="I29" s="100" t="inlineStr">
        <is>
          <t>累計</t>
        </is>
      </c>
      <c r="J29" s="100" t="inlineStr">
        <is>
          <t>状態</t>
        </is>
      </c>
      <c r="K29" s="100" t="inlineStr">
        <is>
          <t>支出日</t>
        </is>
      </c>
      <c r="L29" s="100" t="inlineStr">
        <is>
          <t>摘要</t>
        </is>
      </c>
      <c r="M29" s="100" t="inlineStr">
        <is>
          <t>支出</t>
        </is>
      </c>
      <c r="N29" s="100" t="inlineStr">
        <is>
          <t>累計</t>
        </is>
      </c>
      <c r="O29" s="100" t="inlineStr">
        <is>
          <t>状態</t>
        </is>
      </c>
      <c r="P29" s="100" t="inlineStr">
        <is>
          <t>支出日</t>
        </is>
      </c>
      <c r="Q29" s="100" t="inlineStr">
        <is>
          <t>摘要</t>
        </is>
      </c>
      <c r="R29" s="100" t="inlineStr">
        <is>
          <t>支出</t>
        </is>
      </c>
      <c r="S29" s="100" t="inlineStr">
        <is>
          <t>累計</t>
        </is>
      </c>
      <c r="T29" s="100" t="inlineStr">
        <is>
          <t>状態</t>
        </is>
      </c>
    </row>
    <row r="30" ht="23.1" customHeight="1" s="186">
      <c r="A30" s="825" t="n"/>
      <c r="B30" s="826" t="inlineStr">
        <is>
          <t>（予算なし）</t>
        </is>
      </c>
      <c r="C30" s="827" t="n"/>
      <c r="D30" s="828" t="n">
        <v>0</v>
      </c>
      <c r="F30" s="825" t="n"/>
      <c r="G30" s="826" t="inlineStr">
        <is>
          <t>（予算なし）</t>
        </is>
      </c>
      <c r="H30" s="827" t="n"/>
      <c r="I30" s="828" t="n">
        <v>0</v>
      </c>
      <c r="K30" s="825" t="n"/>
      <c r="L30" s="826" t="inlineStr">
        <is>
          <t>（予算なし）</t>
        </is>
      </c>
      <c r="M30" s="827" t="n"/>
      <c r="N30" s="828" t="n">
        <v>0</v>
      </c>
      <c r="P30" s="825" t="n"/>
      <c r="Q30" s="826" t="inlineStr">
        <is>
          <t>（予算なし）</t>
        </is>
      </c>
      <c r="R30" s="827" t="n"/>
      <c r="S30" s="828" t="n">
        <v>0</v>
      </c>
    </row>
    <row r="31" ht="23.1" customHeight="1" s="186">
      <c r="A31" s="825">
        <f>IFERROR(INDEX(決算整理!$A$5:$A$1835,MATCH("図書印刷費|S|1",決算整理!$S$5:$S$1835,0)),"")</f>
        <v>45777</v>
      </c>
      <c r="B31" s="826" t="str">
        <f>IFERROR(INDEX(決算整理!$E$5:$E$1835,MATCH("図書印刷費|S|1",決算整理!$S$5:$S$1835,0)),"")</f>
        <v>厚生法規総覧追録　５９６６－５９７５号</v>
      </c>
      <c r="C31" s="827">
        <f>IFERROR(INDEX(決算整理!$H$5:$H$1835,MATCH("図書印刷費|S|1",決算整理!$S$5:$S$1835,0)),"")</f>
        <v>33154</v>
      </c>
      <c r="D31" s="828">
        <f>IF(C31="","",D30+C31)</f>
        <v>33154</v>
      </c>
      <c r="E31" s="829" t="str">
        <f>IFERROR(INDEX(決算整理!$P$5:$P$1835,MATCH("図書印刷費|S|1",決算整理!$S$5:$S$1835,0)),"")</f>
        <v>昨年実績</v>
      </c>
      <c r="F31" s="825">
        <f>IFERROR(INDEX(決算整理!$A$5:$A$1835,MATCH("送金料|S|1",決算整理!$S$5:$S$1835,0)),"")</f>
        <v>43931</v>
      </c>
      <c r="G31" s="826" t="str">
        <f>IFERROR(INDEX(決算整理!$E$5:$E$1835,MATCH("送金料|S|1",決算整理!$S$5:$S$1835,0)),"")</f>
        <v>広銀手数料（３月分）短期</v>
      </c>
      <c r="H31" s="827">
        <f>IFERROR(INDEX(決算整理!$H$5:$H$1835,MATCH("送金料|S|1",決算整理!$S$5:$S$1835,0)),"")</f>
        <v>100870</v>
      </c>
      <c r="I31" s="828">
        <f>IF(H31="","",I30+H31)</f>
        <v>100870</v>
      </c>
      <c r="J31" s="829" t="str">
        <f>IFERROR(INDEX(決算整理!$P$5:$P$1835,MATCH("送金料|S|1",決算整理!$S$5:$S$1835,0)),"")</f>
        <v>昨年実績</v>
      </c>
      <c r="K31" s="825" t="str">
        <f>IFERROR(INDEX(決算整理!$A$5:$A$1835,MATCH("事務費・雑費|S|1",決算整理!$S$5:$S$1835,0)),"")</f>
        <v/>
      </c>
      <c r="L31" s="826" t="str">
        <f>IFERROR(INDEX(決算整理!$E$5:$E$1835,MATCH("事務費・雑費|S|1",決算整理!$S$5:$S$1835,0)),"")</f>
        <v/>
      </c>
      <c r="M31" s="827" t="str">
        <f>IFERROR(INDEX(決算整理!$H$5:$H$1835,MATCH("事務費・雑費|S|1",決算整理!$S$5:$S$1835,0)),"")</f>
        <v/>
      </c>
      <c r="N31" s="828" t="str">
        <f>IF(M31="","",N30+M31)</f>
        <v/>
      </c>
      <c r="O31" s="829" t="str">
        <f>IFERROR(INDEX(決算整理!$P$5:$P$1835,MATCH("事務費・雑費|S|1",決算整理!$S$5:$S$1835,0)),"")</f>
        <v/>
      </c>
      <c r="P31" s="825" t="str">
        <f>IFERROR(INDEX(決算整理!$A$5:$A$1835,MATCH("会議費|S|1",決算整理!$S$5:$S$1835,0)),"")</f>
        <v/>
      </c>
      <c r="Q31" s="826" t="str">
        <f>IFERROR(INDEX(決算整理!$E$5:$E$1835,MATCH("会議費|S|1",決算整理!$S$5:$S$1835,0)),"")</f>
        <v/>
      </c>
      <c r="R31" s="827" t="str">
        <f>IFERROR(INDEX(決算整理!$H$5:$H$1835,MATCH("会議費|S|1",決算整理!$S$5:$S$1835,0)),"")</f>
        <v/>
      </c>
      <c r="S31" s="828" t="str">
        <f>IF(R31="","",S30+R31)</f>
        <v/>
      </c>
      <c r="T31" s="829" t="str">
        <f>IFERROR(INDEX(決算整理!$P$5:$P$1835,MATCH("会議費|S|1",決算整理!$S$5:$S$1835,0)),"")</f>
        <v/>
      </c>
    </row>
    <row r="32" ht="23.1" customHeight="1" s="186">
      <c r="A32" s="825">
        <f>IFERROR(INDEX(決算整理!$A$5:$A$1835,MATCH("図書印刷費|S|2",決算整理!$S$5:$S$1835,0)),"")</f>
        <v>45777</v>
      </c>
      <c r="B32" s="826" t="str">
        <f>IFERROR(INDEX(決算整理!$E$5:$E$1835,MATCH("図書印刷費|S|2",決算整理!$S$5:$S$1835,0)),"")</f>
        <v>長３封筒　４，０００枚</v>
      </c>
      <c r="C32" s="827">
        <f>IFERROR(INDEX(決算整理!$H$5:$H$1835,MATCH("図書印刷費|S|2",決算整理!$S$5:$S$1835,0)),"")</f>
        <v>48400</v>
      </c>
      <c r="D32" s="828">
        <f>IF(C32="","",D31+C32)</f>
        <v>81554</v>
      </c>
      <c r="E32" s="829" t="str">
        <f>IFERROR(INDEX(決算整理!$P$5:$P$1835,MATCH("図書印刷費|S|2",決算整理!$S$5:$S$1835,0)),"")</f>
        <v>昨年実績</v>
      </c>
      <c r="F32" s="825" t="str">
        <f>IFERROR(INDEX(決算整理!$A$5:$A$1835,MATCH("送金料|S|2",決算整理!$S$5:$S$1835,0)),"")</f>
        <v/>
      </c>
      <c r="G32" s="826" t="str">
        <f>IFERROR(INDEX(決算整理!$E$5:$E$1835,MATCH("送金料|S|2",決算整理!$S$5:$S$1835,0)),"")</f>
        <v/>
      </c>
      <c r="H32" s="827" t="str">
        <f>IFERROR(INDEX(決算整理!$H$5:$H$1835,MATCH("送金料|S|2",決算整理!$S$5:$S$1835,0)),"")</f>
        <v/>
      </c>
      <c r="I32" s="828" t="str">
        <f>IF(H32="","",I31+H32)</f>
        <v/>
      </c>
      <c r="J32" s="829" t="str">
        <f>IFERROR(INDEX(決算整理!$P$5:$P$1835,MATCH("送金料|S|2",決算整理!$S$5:$S$1835,0)),"")</f>
        <v/>
      </c>
      <c r="K32" s="825" t="str">
        <f>IFERROR(INDEX(決算整理!$A$5:$A$1835,MATCH("事務費・雑費|S|2",決算整理!$S$5:$S$1835,0)),"")</f>
        <v/>
      </c>
      <c r="L32" s="826" t="str">
        <f>IFERROR(INDEX(決算整理!$E$5:$E$1835,MATCH("事務費・雑費|S|2",決算整理!$S$5:$S$1835,0)),"")</f>
        <v/>
      </c>
      <c r="M32" s="827" t="str">
        <f>IFERROR(INDEX(決算整理!$H$5:$H$1835,MATCH("事務費・雑費|S|2",決算整理!$S$5:$S$1835,0)),"")</f>
        <v/>
      </c>
      <c r="N32" s="828" t="str">
        <f>IF(M32="","",N31+M32)</f>
        <v/>
      </c>
      <c r="O32" s="829" t="str">
        <f>IFERROR(INDEX(決算整理!$P$5:$P$1835,MATCH("事務費・雑費|S|2",決算整理!$S$5:$S$1835,0)),"")</f>
        <v/>
      </c>
      <c r="P32" s="825" t="str">
        <f>IFERROR(INDEX(決算整理!$A$5:$A$1835,MATCH("会議費|S|2",決算整理!$S$5:$S$1835,0)),"")</f>
        <v/>
      </c>
      <c r="Q32" s="826" t="str">
        <f>IFERROR(INDEX(決算整理!$E$5:$E$1835,MATCH("会議費|S|2",決算整理!$S$5:$S$1835,0)),"")</f>
        <v/>
      </c>
      <c r="R32" s="827" t="str">
        <f>IFERROR(INDEX(決算整理!$H$5:$H$1835,MATCH("会議費|S|2",決算整理!$S$5:$S$1835,0)),"")</f>
        <v/>
      </c>
      <c r="S32" s="828" t="str">
        <f>IF(R32="","",S31+R32)</f>
        <v/>
      </c>
      <c r="T32" s="829" t="str">
        <f>IFERROR(INDEX(決算整理!$P$5:$P$1835,MATCH("会議費|S|2",決算整理!$S$5:$S$1835,0)),"")</f>
        <v/>
      </c>
    </row>
    <row r="33" ht="23.1" customHeight="1" s="186">
      <c r="A33" s="825" t="str">
        <f>IFERROR(INDEX(決算整理!$A$5:$A$1835,MATCH("図書印刷費|S|3",決算整理!$S$5:$S$1835,0)),"")</f>
        <v/>
      </c>
      <c r="B33" s="826" t="str">
        <f>IFERROR(INDEX(決算整理!$E$5:$E$1835,MATCH("図書印刷費|S|3",決算整理!$S$5:$S$1835,0)),"")</f>
        <v/>
      </c>
      <c r="C33" s="827" t="str">
        <f>IFERROR(INDEX(決算整理!$H$5:$H$1835,MATCH("図書印刷費|S|3",決算整理!$S$5:$S$1835,0)),"")</f>
        <v/>
      </c>
      <c r="D33" s="828" t="str">
        <f>IF(C33="","",D32+C33)</f>
        <v/>
      </c>
      <c r="E33" s="829" t="str">
        <f>IFERROR(INDEX(決算整理!$P$5:$P$1835,MATCH("図書印刷費|S|3",決算整理!$S$5:$S$1835,0)),"")</f>
        <v/>
      </c>
      <c r="F33" s="825" t="str">
        <f>IFERROR(INDEX(決算整理!$A$5:$A$1835,MATCH("送金料|S|3",決算整理!$S$5:$S$1835,0)),"")</f>
        <v/>
      </c>
      <c r="G33" s="826" t="str">
        <f>IFERROR(INDEX(決算整理!$E$5:$E$1835,MATCH("送金料|S|3",決算整理!$S$5:$S$1835,0)),"")</f>
        <v/>
      </c>
      <c r="H33" s="827" t="str">
        <f>IFERROR(INDEX(決算整理!$H$5:$H$1835,MATCH("送金料|S|3",決算整理!$S$5:$S$1835,0)),"")</f>
        <v/>
      </c>
      <c r="I33" s="828" t="str">
        <f>IF(H33="","",I32+H33)</f>
        <v/>
      </c>
      <c r="J33" s="829" t="str">
        <f>IFERROR(INDEX(決算整理!$P$5:$P$1835,MATCH("送金料|S|3",決算整理!$S$5:$S$1835,0)),"")</f>
        <v/>
      </c>
      <c r="K33" s="825" t="str">
        <f>IFERROR(INDEX(決算整理!$A$5:$A$1835,MATCH("事務費・雑費|S|3",決算整理!$S$5:$S$1835,0)),"")</f>
        <v/>
      </c>
      <c r="L33" s="826" t="str">
        <f>IFERROR(INDEX(決算整理!$E$5:$E$1835,MATCH("事務費・雑費|S|3",決算整理!$S$5:$S$1835,0)),"")</f>
        <v/>
      </c>
      <c r="M33" s="827" t="str">
        <f>IFERROR(INDEX(決算整理!$H$5:$H$1835,MATCH("事務費・雑費|S|3",決算整理!$S$5:$S$1835,0)),"")</f>
        <v/>
      </c>
      <c r="N33" s="828" t="str">
        <f>IF(M33="","",N32+M33)</f>
        <v/>
      </c>
      <c r="O33" s="829" t="str">
        <f>IFERROR(INDEX(決算整理!$P$5:$P$1835,MATCH("事務費・雑費|S|3",決算整理!$S$5:$S$1835,0)),"")</f>
        <v/>
      </c>
      <c r="P33" s="825" t="str">
        <f>IFERROR(INDEX(決算整理!$A$5:$A$1835,MATCH("会議費|S|3",決算整理!$S$5:$S$1835,0)),"")</f>
        <v/>
      </c>
      <c r="Q33" s="826" t="str">
        <f>IFERROR(INDEX(決算整理!$E$5:$E$1835,MATCH("会議費|S|3",決算整理!$S$5:$S$1835,0)),"")</f>
        <v/>
      </c>
      <c r="R33" s="827" t="str">
        <f>IFERROR(INDEX(決算整理!$H$5:$H$1835,MATCH("会議費|S|3",決算整理!$S$5:$S$1835,0)),"")</f>
        <v/>
      </c>
      <c r="S33" s="828" t="str">
        <f>IF(R33="","",S32+R33)</f>
        <v/>
      </c>
      <c r="T33" s="829" t="str">
        <f>IFERROR(INDEX(決算整理!$P$5:$P$1835,MATCH("会議費|S|3",決算整理!$S$5:$S$1835,0)),"")</f>
        <v/>
      </c>
    </row>
    <row r="34" ht="23.1" customHeight="1" s="186">
      <c r="A34" s="825" t="str">
        <f>IFERROR(INDEX(決算整理!$A$5:$A$1835,MATCH("図書印刷費|S|4",決算整理!$S$5:$S$1835,0)),"")</f>
        <v/>
      </c>
      <c r="B34" s="826" t="str">
        <f>IFERROR(INDEX(決算整理!$E$5:$E$1835,MATCH("図書印刷費|S|4",決算整理!$S$5:$S$1835,0)),"")</f>
        <v/>
      </c>
      <c r="C34" s="827" t="str">
        <f>IFERROR(INDEX(決算整理!$H$5:$H$1835,MATCH("図書印刷費|S|4",決算整理!$S$5:$S$1835,0)),"")</f>
        <v/>
      </c>
      <c r="D34" s="828" t="str">
        <f>IF(C34="","",D33+C34)</f>
        <v/>
      </c>
      <c r="E34" s="829" t="str">
        <f>IFERROR(INDEX(決算整理!$P$5:$P$1835,MATCH("図書印刷費|S|4",決算整理!$S$5:$S$1835,0)),"")</f>
        <v/>
      </c>
      <c r="F34" s="825" t="str">
        <f>IFERROR(INDEX(決算整理!$A$5:$A$1835,MATCH("送金料|S|4",決算整理!$S$5:$S$1835,0)),"")</f>
        <v/>
      </c>
      <c r="G34" s="826" t="str">
        <f>IFERROR(INDEX(決算整理!$E$5:$E$1835,MATCH("送金料|S|4",決算整理!$S$5:$S$1835,0)),"")</f>
        <v/>
      </c>
      <c r="H34" s="827" t="str">
        <f>IFERROR(INDEX(決算整理!$H$5:$H$1835,MATCH("送金料|S|4",決算整理!$S$5:$S$1835,0)),"")</f>
        <v/>
      </c>
      <c r="I34" s="828" t="str">
        <f>IF(H34="","",I33+H34)</f>
        <v/>
      </c>
      <c r="J34" s="829" t="str">
        <f>IFERROR(INDEX(決算整理!$P$5:$P$1835,MATCH("送金料|S|4",決算整理!$S$5:$S$1835,0)),"")</f>
        <v/>
      </c>
      <c r="K34" s="825" t="str">
        <f>IFERROR(INDEX(決算整理!$A$5:$A$1835,MATCH("事務費・雑費|S|4",決算整理!$S$5:$S$1835,0)),"")</f>
        <v/>
      </c>
      <c r="L34" s="826" t="str">
        <f>IFERROR(INDEX(決算整理!$E$5:$E$1835,MATCH("事務費・雑費|S|4",決算整理!$S$5:$S$1835,0)),"")</f>
        <v/>
      </c>
      <c r="M34" s="827" t="str">
        <f>IFERROR(INDEX(決算整理!$H$5:$H$1835,MATCH("事務費・雑費|S|4",決算整理!$S$5:$S$1835,0)),"")</f>
        <v/>
      </c>
      <c r="N34" s="828" t="str">
        <f>IF(M34="","",N33+M34)</f>
        <v/>
      </c>
      <c r="O34" s="829" t="str">
        <f>IFERROR(INDEX(決算整理!$P$5:$P$1835,MATCH("事務費・雑費|S|4",決算整理!$S$5:$S$1835,0)),"")</f>
        <v/>
      </c>
      <c r="P34" s="825" t="str">
        <f>IFERROR(INDEX(決算整理!$A$5:$A$1835,MATCH("会議費|S|4",決算整理!$S$5:$S$1835,0)),"")</f>
        <v/>
      </c>
      <c r="Q34" s="826" t="str">
        <f>IFERROR(INDEX(決算整理!$E$5:$E$1835,MATCH("会議費|S|4",決算整理!$S$5:$S$1835,0)),"")</f>
        <v/>
      </c>
      <c r="R34" s="827" t="str">
        <f>IFERROR(INDEX(決算整理!$H$5:$H$1835,MATCH("会議費|S|4",決算整理!$S$5:$S$1835,0)),"")</f>
        <v/>
      </c>
      <c r="S34" s="828" t="str">
        <f>IF(R34="","",S33+R34)</f>
        <v/>
      </c>
      <c r="T34" s="829" t="str">
        <f>IFERROR(INDEX(決算整理!$P$5:$P$1835,MATCH("会議費|S|4",決算整理!$S$5:$S$1835,0)),"")</f>
        <v/>
      </c>
    </row>
    <row r="35" ht="22.5" customHeight="1" s="186">
      <c r="A35" s="825" t="str">
        <f>IFERROR(INDEX(決算整理!$A$5:$A$1835,MATCH("図書印刷費|S|5",決算整理!$S$5:$S$1835,0)),"")</f>
        <v/>
      </c>
      <c r="B35" s="826" t="str">
        <f>IFERROR(INDEX(決算整理!$E$5:$E$1835,MATCH("図書印刷費|S|5",決算整理!$S$5:$S$1835,0)),"")</f>
        <v/>
      </c>
      <c r="C35" s="827" t="str">
        <f>IFERROR(INDEX(決算整理!$H$5:$H$1835,MATCH("図書印刷費|S|5",決算整理!$S$5:$S$1835,0)),"")</f>
        <v/>
      </c>
      <c r="D35" s="828" t="str">
        <f>IF(C35="","",D34+C35)</f>
        <v/>
      </c>
      <c r="E35" s="829" t="str">
        <f>IFERROR(INDEX(決算整理!$P$5:$P$1835,MATCH("図書印刷費|S|5",決算整理!$S$5:$S$1835,0)),"")</f>
        <v/>
      </c>
      <c r="F35" s="825" t="str">
        <f>IFERROR(INDEX(決算整理!$A$5:$A$1835,MATCH("送金料|S|5",決算整理!$S$5:$S$1835,0)),"")</f>
        <v/>
      </c>
      <c r="G35" s="826" t="str">
        <f>IFERROR(INDEX(決算整理!$E$5:$E$1835,MATCH("送金料|S|5",決算整理!$S$5:$S$1835,0)),"")</f>
        <v/>
      </c>
      <c r="H35" s="827" t="str">
        <f>IFERROR(INDEX(決算整理!$H$5:$H$1835,MATCH("送金料|S|5",決算整理!$S$5:$S$1835,0)),"")</f>
        <v/>
      </c>
      <c r="I35" s="828" t="str">
        <f>IF(H35="","",I34+H35)</f>
        <v/>
      </c>
      <c r="J35" s="829" t="str">
        <f>IFERROR(INDEX(決算整理!$P$5:$P$1835,MATCH("送金料|S|5",決算整理!$S$5:$S$1835,0)),"")</f>
        <v/>
      </c>
      <c r="K35" s="825" t="str">
        <f>IFERROR(INDEX(決算整理!$A$5:$A$1835,MATCH("事務費・雑費|S|5",決算整理!$S$5:$S$1835,0)),"")</f>
        <v/>
      </c>
      <c r="L35" s="826" t="str">
        <f>IFERROR(INDEX(決算整理!$E$5:$E$1835,MATCH("事務費・雑費|S|5",決算整理!$S$5:$S$1835,0)),"")</f>
        <v/>
      </c>
      <c r="M35" s="827" t="str">
        <f>IFERROR(INDEX(決算整理!$H$5:$H$1835,MATCH("事務費・雑費|S|5",決算整理!$S$5:$S$1835,0)),"")</f>
        <v/>
      </c>
      <c r="N35" s="828" t="str">
        <f>IF(M35="","",N34+M35)</f>
        <v/>
      </c>
      <c r="O35" s="829" t="str">
        <f>IFERROR(INDEX(決算整理!$P$5:$P$1835,MATCH("事務費・雑費|S|5",決算整理!$S$5:$S$1835,0)),"")</f>
        <v/>
      </c>
      <c r="P35" s="825" t="str">
        <f>IFERROR(INDEX(決算整理!$A$5:$A$1835,MATCH("会議費|S|5",決算整理!$S$5:$S$1835,0)),"")</f>
        <v/>
      </c>
      <c r="Q35" s="826" t="str">
        <f>IFERROR(INDEX(決算整理!$E$5:$E$1835,MATCH("会議費|S|5",決算整理!$S$5:$S$1835,0)),"")</f>
        <v/>
      </c>
      <c r="R35" s="827" t="str">
        <f>IFERROR(INDEX(決算整理!$H$5:$H$1835,MATCH("会議費|S|5",決算整理!$S$5:$S$1835,0)),"")</f>
        <v/>
      </c>
      <c r="S35" s="828" t="str">
        <f>IF(R35="","",S34+R35)</f>
        <v/>
      </c>
      <c r="T35" s="829" t="str">
        <f>IFERROR(INDEX(決算整理!$P$5:$P$1835,MATCH("会議費|S|5",決算整理!$S$5:$S$1835,0)),"")</f>
        <v/>
      </c>
    </row>
    <row r="36" ht="23.1" customHeight="1" s="186">
      <c r="A36" s="825" t="str">
        <f>IFERROR(INDEX(決算整理!$A$5:$A$1835,MATCH("図書印刷費|S|6",決算整理!$S$5:$S$1835,0)),"")</f>
        <v/>
      </c>
      <c r="B36" s="826" t="str">
        <f>IFERROR(INDEX(決算整理!$E$5:$E$1835,MATCH("図書印刷費|S|6",決算整理!$S$5:$S$1835,0)),"")</f>
        <v/>
      </c>
      <c r="C36" s="827" t="str">
        <f>IFERROR(INDEX(決算整理!$H$5:$H$1835,MATCH("図書印刷費|S|6",決算整理!$S$5:$S$1835,0)),"")</f>
        <v/>
      </c>
      <c r="D36" s="828" t="str">
        <f>IF(C36="","",D35+C36)</f>
        <v/>
      </c>
      <c r="E36" s="829" t="str">
        <f>IFERROR(INDEX(決算整理!$P$5:$P$1835,MATCH("図書印刷費|S|6",決算整理!$S$5:$S$1835,0)),"")</f>
        <v/>
      </c>
      <c r="F36" s="825" t="str">
        <f>IFERROR(INDEX(決算整理!$A$5:$A$1835,MATCH("送金料|S|6",決算整理!$S$5:$S$1835,0)),"")</f>
        <v/>
      </c>
      <c r="G36" s="826" t="str">
        <f>IFERROR(INDEX(決算整理!$E$5:$E$1835,MATCH("送金料|S|6",決算整理!$S$5:$S$1835,0)),"")</f>
        <v/>
      </c>
      <c r="H36" s="827" t="str">
        <f>IFERROR(INDEX(決算整理!$H$5:$H$1835,MATCH("送金料|S|6",決算整理!$S$5:$S$1835,0)),"")</f>
        <v/>
      </c>
      <c r="I36" s="828" t="str">
        <f>IF(H36="","",I35+H36)</f>
        <v/>
      </c>
      <c r="J36" s="829" t="str">
        <f>IFERROR(INDEX(決算整理!$P$5:$P$1835,MATCH("送金料|S|6",決算整理!$S$5:$S$1835,0)),"")</f>
        <v/>
      </c>
      <c r="K36" s="825" t="str">
        <f>IFERROR(INDEX(決算整理!$A$5:$A$1835,MATCH("事務費・雑費|S|6",決算整理!$S$5:$S$1835,0)),"")</f>
        <v/>
      </c>
      <c r="L36" s="826" t="str">
        <f>IFERROR(INDEX(決算整理!$E$5:$E$1835,MATCH("事務費・雑費|S|6",決算整理!$S$5:$S$1835,0)),"")</f>
        <v/>
      </c>
      <c r="M36" s="827" t="str">
        <f>IFERROR(INDEX(決算整理!$H$5:$H$1835,MATCH("事務費・雑費|S|6",決算整理!$S$5:$S$1835,0)),"")</f>
        <v/>
      </c>
      <c r="N36" s="828" t="str">
        <f>IF(M36="","",N35+M36)</f>
        <v/>
      </c>
      <c r="O36" s="829" t="str">
        <f>IFERROR(INDEX(決算整理!$P$5:$P$1835,MATCH("事務費・雑費|S|6",決算整理!$S$5:$S$1835,0)),"")</f>
        <v/>
      </c>
      <c r="P36" s="825" t="str">
        <f>IFERROR(INDEX(決算整理!$A$5:$A$1835,MATCH("会議費|S|6",決算整理!$S$5:$S$1835,0)),"")</f>
        <v/>
      </c>
      <c r="Q36" s="826" t="str">
        <f>IFERROR(INDEX(決算整理!$E$5:$E$1835,MATCH("会議費|S|6",決算整理!$S$5:$S$1835,0)),"")</f>
        <v/>
      </c>
      <c r="R36" s="827" t="str">
        <f>IFERROR(INDEX(決算整理!$H$5:$H$1835,MATCH("会議費|S|6",決算整理!$S$5:$S$1835,0)),"")</f>
        <v/>
      </c>
      <c r="S36" s="828" t="str">
        <f>IF(R36="","",S35+R36)</f>
        <v/>
      </c>
      <c r="T36" s="829" t="str">
        <f>IFERROR(INDEX(決算整理!$P$5:$P$1835,MATCH("会議費|S|6",決算整理!$S$5:$S$1835,0)),"")</f>
        <v/>
      </c>
    </row>
    <row r="37" ht="23.1" customHeight="1" s="186" thickBot="1">
      <c r="A37" s="825" t="str">
        <f>IFERROR(INDEX(決算整理!$A$5:$A$1835,MATCH("図書印刷費|S|7",決算整理!$S$5:$S$1835,0)),"")</f>
        <v/>
      </c>
      <c r="B37" s="826" t="str">
        <f>IFERROR(INDEX(決算整理!$E$5:$E$1835,MATCH("図書印刷費|S|7",決算整理!$S$5:$S$1835,0)),"")</f>
        <v/>
      </c>
      <c r="C37" s="827" t="str">
        <f>IFERROR(INDEX(決算整理!$H$5:$H$1835,MATCH("図書印刷費|S|7",決算整理!$S$5:$S$1835,0)),"")</f>
        <v/>
      </c>
      <c r="D37" s="828" t="str">
        <f>IF(C37="","",D36+C37)</f>
        <v/>
      </c>
      <c r="E37" s="829" t="str">
        <f>IFERROR(INDEX(決算整理!$P$5:$P$1835,MATCH("図書印刷費|S|7",決算整理!$S$5:$S$1835,0)),"")</f>
        <v/>
      </c>
      <c r="F37" s="825" t="str">
        <f>IFERROR(INDEX(決算整理!$A$5:$A$1835,MATCH("送金料|S|7",決算整理!$S$5:$S$1835,0)),"")</f>
        <v/>
      </c>
      <c r="G37" s="826" t="str">
        <f>IFERROR(INDEX(決算整理!$E$5:$E$1835,MATCH("送金料|S|7",決算整理!$S$5:$S$1835,0)),"")</f>
        <v/>
      </c>
      <c r="H37" s="827" t="str">
        <f>IFERROR(INDEX(決算整理!$H$5:$H$1835,MATCH("送金料|S|7",決算整理!$S$5:$S$1835,0)),"")</f>
        <v/>
      </c>
      <c r="I37" s="828" t="str">
        <f>IF(H37="","",I36+H37)</f>
        <v/>
      </c>
      <c r="J37" s="829" t="str">
        <f>IFERROR(INDEX(決算整理!$P$5:$P$1835,MATCH("送金料|S|7",決算整理!$S$5:$S$1835,0)),"")</f>
        <v/>
      </c>
      <c r="K37" s="825" t="str">
        <f>IFERROR(INDEX(決算整理!$A$5:$A$1835,MATCH("事務費・雑費|S|7",決算整理!$S$5:$S$1835,0)),"")</f>
        <v/>
      </c>
      <c r="L37" s="826" t="str">
        <f>IFERROR(INDEX(決算整理!$E$5:$E$1835,MATCH("事務費・雑費|S|7",決算整理!$S$5:$S$1835,0)),"")</f>
        <v/>
      </c>
      <c r="M37" s="827" t="str">
        <f>IFERROR(INDEX(決算整理!$H$5:$H$1835,MATCH("事務費・雑費|S|7",決算整理!$S$5:$S$1835,0)),"")</f>
        <v/>
      </c>
      <c r="N37" s="828" t="str">
        <f>IF(M37="","",N36+M37)</f>
        <v/>
      </c>
      <c r="O37" s="829" t="str">
        <f>IFERROR(INDEX(決算整理!$P$5:$P$1835,MATCH("事務費・雑費|S|7",決算整理!$S$5:$S$1835,0)),"")</f>
        <v/>
      </c>
      <c r="P37" s="825" t="str">
        <f>IFERROR(INDEX(決算整理!$A$5:$A$1835,MATCH("会議費|S|7",決算整理!$S$5:$S$1835,0)),"")</f>
        <v/>
      </c>
      <c r="Q37" s="826" t="str">
        <f>IFERROR(INDEX(決算整理!$E$5:$E$1835,MATCH("会議費|S|7",決算整理!$S$5:$S$1835,0)),"")</f>
        <v/>
      </c>
      <c r="R37" s="827" t="str">
        <f>IFERROR(INDEX(決算整理!$H$5:$H$1835,MATCH("会議費|S|7",決算整理!$S$5:$S$1835,0)),"")</f>
        <v/>
      </c>
      <c r="S37" s="828" t="str">
        <f>IF(R37="","",S36+R37)</f>
        <v/>
      </c>
      <c r="T37" s="829" t="str">
        <f>IFERROR(INDEX(決算整理!$P$5:$P$1835,MATCH("会議費|S|7",決算整理!$S$5:$S$1835,0)),"")</f>
        <v/>
      </c>
    </row>
    <row r="38" ht="23.1" customHeight="1" s="186" thickBot="1">
      <c r="A38" s="825" t="str">
        <f>IFERROR(INDEX(決算整理!$A$5:$A$1835,MATCH("図書印刷費|S|8",決算整理!$S$5:$S$1835,0)),"")</f>
        <v/>
      </c>
      <c r="B38" s="826" t="str">
        <f>IFERROR(INDEX(決算整理!$E$5:$E$1835,MATCH("図書印刷費|S|8",決算整理!$S$5:$S$1835,0)),"")</f>
        <v/>
      </c>
      <c r="C38" s="827" t="str">
        <f>IFERROR(INDEX(決算整理!$H$5:$H$1835,MATCH("図書印刷費|S|8",決算整理!$S$5:$S$1835,0)),"")</f>
        <v/>
      </c>
      <c r="D38" s="828" t="str">
        <f>IF(C38="","",D37+C38)</f>
        <v/>
      </c>
      <c r="E38" s="829" t="str">
        <f>IFERROR(INDEX(決算整理!$P$5:$P$1835,MATCH("図書印刷費|S|8",決算整理!$S$5:$S$1835,0)),"")</f>
        <v/>
      </c>
      <c r="F38" s="825" t="str">
        <f>IFERROR(INDEX(決算整理!$A$5:$A$1835,MATCH("送金料|S|8",決算整理!$S$5:$S$1835,0)),"")</f>
        <v/>
      </c>
      <c r="G38" s="826" t="str">
        <f>IFERROR(INDEX(決算整理!$E$5:$E$1835,MATCH("送金料|S|8",決算整理!$S$5:$S$1835,0)),"")</f>
        <v/>
      </c>
      <c r="H38" s="827" t="str">
        <f>IFERROR(INDEX(決算整理!$H$5:$H$1835,MATCH("送金料|S|8",決算整理!$S$5:$S$1835,0)),"")</f>
        <v/>
      </c>
      <c r="I38" s="828" t="str">
        <f>IF(H38="","",I37+H38)</f>
        <v/>
      </c>
      <c r="J38" s="829" t="str">
        <f>IFERROR(INDEX(決算整理!$P$5:$P$1835,MATCH("送金料|S|8",決算整理!$S$5:$S$1835,0)),"")</f>
        <v/>
      </c>
      <c r="K38" s="825" t="str">
        <f>IFERROR(INDEX(決算整理!$A$5:$A$1835,MATCH("事務費・雑費|S|8",決算整理!$S$5:$S$1835,0)),"")</f>
        <v/>
      </c>
      <c r="L38" s="826" t="str">
        <f>IFERROR(INDEX(決算整理!$E$5:$E$1835,MATCH("事務費・雑費|S|8",決算整理!$S$5:$S$1835,0)),"")</f>
        <v/>
      </c>
      <c r="M38" s="827" t="str">
        <f>IFERROR(INDEX(決算整理!$H$5:$H$1835,MATCH("事務費・雑費|S|8",決算整理!$S$5:$S$1835,0)),"")</f>
        <v/>
      </c>
      <c r="N38" s="828" t="str">
        <f>IF(M38="","",N37+M38)</f>
        <v/>
      </c>
      <c r="O38" s="829" t="str">
        <f>IFERROR(INDEX(決算整理!$P$5:$P$1835,MATCH("事務費・雑費|S|8",決算整理!$S$5:$S$1835,0)),"")</f>
        <v/>
      </c>
      <c r="P38" s="825" t="str">
        <f>IFERROR(INDEX(決算整理!$A$5:$A$1835,MATCH("会議費|S|8",決算整理!$S$5:$S$1835,0)),"")</f>
        <v/>
      </c>
      <c r="Q38" s="826" t="str">
        <f>IFERROR(INDEX(決算整理!$E$5:$E$1835,MATCH("会議費|S|8",決算整理!$S$5:$S$1835,0)),"")</f>
        <v/>
      </c>
      <c r="R38" s="827" t="str">
        <f>IFERROR(INDEX(決算整理!$H$5:$H$1835,MATCH("会議費|S|8",決算整理!$S$5:$S$1835,0)),"")</f>
        <v/>
      </c>
      <c r="S38" s="828" t="str">
        <f>IF(R38="","",S37+R38)</f>
        <v/>
      </c>
      <c r="T38" s="829" t="str">
        <f>IFERROR(INDEX(決算整理!$P$5:$P$1835,MATCH("会議費|S|8",決算整理!$S$5:$S$1835,0)),"")</f>
        <v/>
      </c>
    </row>
    <row r="39" ht="23.1" customHeight="1" s="186">
      <c r="A39" s="825" t="str">
        <f>IFERROR(INDEX(決算整理!$A$5:$A$1835,MATCH("図書印刷費|S|9",決算整理!$S$5:$S$1835,0)),"")</f>
        <v/>
      </c>
      <c r="B39" s="826" t="str">
        <f>IFERROR(INDEX(決算整理!$E$5:$E$1835,MATCH("図書印刷費|S|9",決算整理!$S$5:$S$1835,0)),"")</f>
        <v/>
      </c>
      <c r="C39" s="827" t="str">
        <f>IFERROR(INDEX(決算整理!$H$5:$H$1835,MATCH("図書印刷費|S|9",決算整理!$S$5:$S$1835,0)),"")</f>
        <v/>
      </c>
      <c r="D39" s="828" t="str">
        <f>IF(C39="","",D38+C39)</f>
        <v/>
      </c>
      <c r="E39" s="829" t="str">
        <f>IFERROR(INDEX(決算整理!$P$5:$P$1835,MATCH("図書印刷費|S|9",決算整理!$S$5:$S$1835,0)),"")</f>
        <v/>
      </c>
      <c r="F39" s="825" t="str">
        <f>IFERROR(INDEX(決算整理!$A$5:$A$1835,MATCH("送金料|S|9",決算整理!$S$5:$S$1835,0)),"")</f>
        <v/>
      </c>
      <c r="G39" s="826" t="str">
        <f>IFERROR(INDEX(決算整理!$E$5:$E$1835,MATCH("送金料|S|9",決算整理!$S$5:$S$1835,0)),"")</f>
        <v/>
      </c>
      <c r="H39" s="827" t="str">
        <f>IFERROR(INDEX(決算整理!$H$5:$H$1835,MATCH("送金料|S|9",決算整理!$S$5:$S$1835,0)),"")</f>
        <v/>
      </c>
      <c r="I39" s="828" t="str">
        <f>IF(H39="","",I38+H39)</f>
        <v/>
      </c>
      <c r="J39" s="829" t="str">
        <f>IFERROR(INDEX(決算整理!$P$5:$P$1835,MATCH("送金料|S|9",決算整理!$S$5:$S$1835,0)),"")</f>
        <v/>
      </c>
      <c r="K39" s="825" t="str">
        <f>IFERROR(INDEX(決算整理!$A$5:$A$1835,MATCH("事務費・雑費|S|9",決算整理!$S$5:$S$1835,0)),"")</f>
        <v/>
      </c>
      <c r="L39" s="826" t="str">
        <f>IFERROR(INDEX(決算整理!$E$5:$E$1835,MATCH("事務費・雑費|S|9",決算整理!$S$5:$S$1835,0)),"")</f>
        <v/>
      </c>
      <c r="M39" s="827" t="str">
        <f>IFERROR(INDEX(決算整理!$H$5:$H$1835,MATCH("事務費・雑費|S|9",決算整理!$S$5:$S$1835,0)),"")</f>
        <v/>
      </c>
      <c r="N39" s="828" t="str">
        <f>IF(M39="","",N38+M39)</f>
        <v/>
      </c>
      <c r="O39" s="829" t="str">
        <f>IFERROR(INDEX(決算整理!$P$5:$P$1835,MATCH("事務費・雑費|S|9",決算整理!$S$5:$S$1835,0)),"")</f>
        <v/>
      </c>
      <c r="P39" s="825" t="str">
        <f>IFERROR(INDEX(決算整理!$A$5:$A$1835,MATCH("会議費|S|9",決算整理!$S$5:$S$1835,0)),"")</f>
        <v/>
      </c>
      <c r="Q39" s="826" t="str">
        <f>IFERROR(INDEX(決算整理!$E$5:$E$1835,MATCH("会議費|S|9",決算整理!$S$5:$S$1835,0)),"")</f>
        <v/>
      </c>
      <c r="R39" s="827" t="str">
        <f>IFERROR(INDEX(決算整理!$H$5:$H$1835,MATCH("会議費|S|9",決算整理!$S$5:$S$1835,0)),"")</f>
        <v/>
      </c>
      <c r="S39" s="828" t="str">
        <f>IF(R39="","",S38+R39)</f>
        <v/>
      </c>
      <c r="T39" s="829" t="str">
        <f>IFERROR(INDEX(決算整理!$P$5:$P$1835,MATCH("会議費|S|9",決算整理!$S$5:$S$1835,0)),"")</f>
        <v/>
      </c>
    </row>
    <row r="40" ht="23.1" customHeight="1" s="186">
      <c r="A40" s="825" t="str">
        <f>IFERROR(INDEX(決算整理!$A$5:$A$1835,MATCH("図書印刷費|S|10",決算整理!$S$5:$S$1835,0)),"")</f>
        <v/>
      </c>
      <c r="B40" s="826" t="str">
        <f>IFERROR(INDEX(決算整理!$E$5:$E$1835,MATCH("図書印刷費|S|10",決算整理!$S$5:$S$1835,0)),"")</f>
        <v/>
      </c>
      <c r="C40" s="827" t="str">
        <f>IFERROR(INDEX(決算整理!$H$5:$H$1835,MATCH("図書印刷費|S|10",決算整理!$S$5:$S$1835,0)),"")</f>
        <v/>
      </c>
      <c r="D40" s="828" t="str">
        <f>IF(C40="","",D39+C40)</f>
        <v/>
      </c>
      <c r="E40" s="829" t="str">
        <f>IFERROR(INDEX(決算整理!$P$5:$P$1835,MATCH("図書印刷費|S|10",決算整理!$S$5:$S$1835,0)),"")</f>
        <v/>
      </c>
      <c r="F40" s="825" t="str">
        <f>IFERROR(INDEX(決算整理!$A$5:$A$1835,MATCH("送金料|S|10",決算整理!$S$5:$S$1835,0)),"")</f>
        <v/>
      </c>
      <c r="G40" s="826" t="str">
        <f>IFERROR(INDEX(決算整理!$E$5:$E$1835,MATCH("送金料|S|10",決算整理!$S$5:$S$1835,0)),"")</f>
        <v/>
      </c>
      <c r="H40" s="827" t="str">
        <f>IFERROR(INDEX(決算整理!$H$5:$H$1835,MATCH("送金料|S|10",決算整理!$S$5:$S$1835,0)),"")</f>
        <v/>
      </c>
      <c r="I40" s="828" t="str">
        <f>IF(H40="","",I39+H40)</f>
        <v/>
      </c>
      <c r="J40" s="829" t="str">
        <f>IFERROR(INDEX(決算整理!$P$5:$P$1835,MATCH("送金料|S|10",決算整理!$S$5:$S$1835,0)),"")</f>
        <v/>
      </c>
      <c r="K40" s="825" t="str">
        <f>IFERROR(INDEX(決算整理!$A$5:$A$1835,MATCH("事務費・雑費|S|10",決算整理!$S$5:$S$1835,0)),"")</f>
        <v/>
      </c>
      <c r="L40" s="826" t="str">
        <f>IFERROR(INDEX(決算整理!$E$5:$E$1835,MATCH("事務費・雑費|S|10",決算整理!$S$5:$S$1835,0)),"")</f>
        <v/>
      </c>
      <c r="M40" s="827" t="str">
        <f>IFERROR(INDEX(決算整理!$H$5:$H$1835,MATCH("事務費・雑費|S|10",決算整理!$S$5:$S$1835,0)),"")</f>
        <v/>
      </c>
      <c r="N40" s="828" t="str">
        <f>IF(M40="","",N39+M40)</f>
        <v/>
      </c>
      <c r="O40" s="829" t="str">
        <f>IFERROR(INDEX(決算整理!$P$5:$P$1835,MATCH("事務費・雑費|S|10",決算整理!$S$5:$S$1835,0)),"")</f>
        <v/>
      </c>
      <c r="P40" s="825" t="str">
        <f>IFERROR(INDEX(決算整理!$A$5:$A$1835,MATCH("会議費|S|10",決算整理!$S$5:$S$1835,0)),"")</f>
        <v/>
      </c>
      <c r="Q40" s="826" t="str">
        <f>IFERROR(INDEX(決算整理!$E$5:$E$1835,MATCH("会議費|S|10",決算整理!$S$5:$S$1835,0)),"")</f>
        <v/>
      </c>
      <c r="R40" s="827" t="str">
        <f>IFERROR(INDEX(決算整理!$H$5:$H$1835,MATCH("会議費|S|10",決算整理!$S$5:$S$1835,0)),"")</f>
        <v/>
      </c>
      <c r="S40" s="828" t="str">
        <f>IF(R40="","",S39+R40)</f>
        <v/>
      </c>
      <c r="T40" s="829" t="str">
        <f>IFERROR(INDEX(決算整理!$P$5:$P$1835,MATCH("会議費|S|10",決算整理!$S$5:$S$1835,0)),"")</f>
        <v/>
      </c>
    </row>
    <row r="41" ht="23.1" customHeight="1" s="186" thickBot="1">
      <c r="A41" s="825" t="str">
        <f>IFERROR(INDEX(決算整理!$A$5:$A$1835,MATCH("図書印刷費|S|11",決算整理!$S$5:$S$1835,0)),"")</f>
        <v/>
      </c>
      <c r="B41" s="826" t="str">
        <f>IFERROR(INDEX(決算整理!$E$5:$E$1835,MATCH("図書印刷費|S|11",決算整理!$S$5:$S$1835,0)),"")</f>
        <v/>
      </c>
      <c r="C41" s="827" t="str">
        <f>IFERROR(INDEX(決算整理!$H$5:$H$1835,MATCH("図書印刷費|S|11",決算整理!$S$5:$S$1835,0)),"")</f>
        <v/>
      </c>
      <c r="D41" s="828" t="str">
        <f>IF(C41="","",D40+C41)</f>
        <v/>
      </c>
      <c r="E41" s="829" t="str">
        <f>IFERROR(INDEX(決算整理!$P$5:$P$1835,MATCH("図書印刷費|S|11",決算整理!$S$5:$S$1835,0)),"")</f>
        <v/>
      </c>
      <c r="F41" s="825" t="str">
        <f>IFERROR(INDEX(決算整理!$A$5:$A$1835,MATCH("送金料|S|11",決算整理!$S$5:$S$1835,0)),"")</f>
        <v/>
      </c>
      <c r="G41" s="826" t="str">
        <f>IFERROR(INDEX(決算整理!$E$5:$E$1835,MATCH("送金料|S|11",決算整理!$S$5:$S$1835,0)),"")</f>
        <v/>
      </c>
      <c r="H41" s="827" t="str">
        <f>IFERROR(INDEX(決算整理!$H$5:$H$1835,MATCH("送金料|S|11",決算整理!$S$5:$S$1835,0)),"")</f>
        <v/>
      </c>
      <c r="I41" s="828" t="str">
        <f>IF(H41="","",I40+H41)</f>
        <v/>
      </c>
      <c r="J41" s="829" t="str">
        <f>IFERROR(INDEX(決算整理!$P$5:$P$1835,MATCH("送金料|S|11",決算整理!$S$5:$S$1835,0)),"")</f>
        <v/>
      </c>
      <c r="K41" s="825" t="str">
        <f>IFERROR(INDEX(決算整理!$A$5:$A$1835,MATCH("事務費・雑費|S|11",決算整理!$S$5:$S$1835,0)),"")</f>
        <v/>
      </c>
      <c r="L41" s="826" t="str">
        <f>IFERROR(INDEX(決算整理!$E$5:$E$1835,MATCH("事務費・雑費|S|11",決算整理!$S$5:$S$1835,0)),"")</f>
        <v/>
      </c>
      <c r="M41" s="827" t="str">
        <f>IFERROR(INDEX(決算整理!$H$5:$H$1835,MATCH("事務費・雑費|S|11",決算整理!$S$5:$S$1835,0)),"")</f>
        <v/>
      </c>
      <c r="N41" s="828" t="str">
        <f>IF(M41="","",N40+M41)</f>
        <v/>
      </c>
      <c r="O41" s="829" t="str">
        <f>IFERROR(INDEX(決算整理!$P$5:$P$1835,MATCH("事務費・雑費|S|11",決算整理!$S$5:$S$1835,0)),"")</f>
        <v/>
      </c>
      <c r="P41" s="825" t="str">
        <f>IFERROR(INDEX(決算整理!$A$5:$A$1835,MATCH("会議費|S|11",決算整理!$S$5:$S$1835,0)),"")</f>
        <v/>
      </c>
      <c r="Q41" s="826" t="str">
        <f>IFERROR(INDEX(決算整理!$E$5:$E$1835,MATCH("会議費|S|11",決算整理!$S$5:$S$1835,0)),"")</f>
        <v/>
      </c>
      <c r="R41" s="827" t="str">
        <f>IFERROR(INDEX(決算整理!$H$5:$H$1835,MATCH("会議費|S|11",決算整理!$S$5:$S$1835,0)),"")</f>
        <v/>
      </c>
      <c r="S41" s="828" t="str">
        <f>IF(R41="","",S40+R41)</f>
        <v/>
      </c>
      <c r="T41" s="829" t="str">
        <f>IFERROR(INDEX(決算整理!$P$5:$P$1835,MATCH("会議費|S|11",決算整理!$S$5:$S$1835,0)),"")</f>
        <v/>
      </c>
    </row>
    <row r="42" ht="23.1" customHeight="1" s="186" thickBot="1">
      <c r="A42" s="825" t="str">
        <f>IFERROR(INDEX(決算整理!$A$5:$A$1835,MATCH("図書印刷費|S|12",決算整理!$S$5:$S$1835,0)),"")</f>
        <v/>
      </c>
      <c r="B42" s="826" t="str">
        <f>IFERROR(INDEX(決算整理!$E$5:$E$1835,MATCH("図書印刷費|S|12",決算整理!$S$5:$S$1835,0)),"")</f>
        <v/>
      </c>
      <c r="C42" s="827" t="str">
        <f>IFERROR(INDEX(決算整理!$H$5:$H$1835,MATCH("図書印刷費|S|12",決算整理!$S$5:$S$1835,0)),"")</f>
        <v/>
      </c>
      <c r="D42" s="828" t="str">
        <f>IF(C42="","",D41+C42)</f>
        <v/>
      </c>
      <c r="E42" s="829" t="str">
        <f>IFERROR(INDEX(決算整理!$P$5:$P$1835,MATCH("図書印刷費|S|12",決算整理!$S$5:$S$1835,0)),"")</f>
        <v/>
      </c>
      <c r="F42" s="825" t="str">
        <f>IFERROR(INDEX(決算整理!$A$5:$A$1835,MATCH("送金料|S|12",決算整理!$S$5:$S$1835,0)),"")</f>
        <v/>
      </c>
      <c r="G42" s="826" t="str">
        <f>IFERROR(INDEX(決算整理!$E$5:$E$1835,MATCH("送金料|S|12",決算整理!$S$5:$S$1835,0)),"")</f>
        <v/>
      </c>
      <c r="H42" s="827" t="str">
        <f>IFERROR(INDEX(決算整理!$H$5:$H$1835,MATCH("送金料|S|12",決算整理!$S$5:$S$1835,0)),"")</f>
        <v/>
      </c>
      <c r="I42" s="828" t="str">
        <f>IF(H42="","",I41+H42)</f>
        <v/>
      </c>
      <c r="J42" s="829" t="str">
        <f>IFERROR(INDEX(決算整理!$P$5:$P$1835,MATCH("送金料|S|12",決算整理!$S$5:$S$1835,0)),"")</f>
        <v/>
      </c>
      <c r="K42" s="825" t="str">
        <f>IFERROR(INDEX(決算整理!$A$5:$A$1835,MATCH("事務費・雑費|S|12",決算整理!$S$5:$S$1835,0)),"")</f>
        <v/>
      </c>
      <c r="L42" s="826" t="str">
        <f>IFERROR(INDEX(決算整理!$E$5:$E$1835,MATCH("事務費・雑費|S|12",決算整理!$S$5:$S$1835,0)),"")</f>
        <v/>
      </c>
      <c r="M42" s="827" t="str">
        <f>IFERROR(INDEX(決算整理!$H$5:$H$1835,MATCH("事務費・雑費|S|12",決算整理!$S$5:$S$1835,0)),"")</f>
        <v/>
      </c>
      <c r="N42" s="828" t="str">
        <f>IF(M42="","",N41+M42)</f>
        <v/>
      </c>
      <c r="O42" s="829" t="str">
        <f>IFERROR(INDEX(決算整理!$P$5:$P$1835,MATCH("事務費・雑費|S|12",決算整理!$S$5:$S$1835,0)),"")</f>
        <v/>
      </c>
      <c r="P42" s="825" t="str">
        <f>IFERROR(INDEX(決算整理!$A$5:$A$1835,MATCH("会議費|S|12",決算整理!$S$5:$S$1835,0)),"")</f>
        <v/>
      </c>
      <c r="Q42" s="826" t="str">
        <f>IFERROR(INDEX(決算整理!$E$5:$E$1835,MATCH("会議費|S|12",決算整理!$S$5:$S$1835,0)),"")</f>
        <v/>
      </c>
      <c r="R42" s="827" t="str">
        <f>IFERROR(INDEX(決算整理!$H$5:$H$1835,MATCH("会議費|S|12",決算整理!$S$5:$S$1835,0)),"")</f>
        <v/>
      </c>
      <c r="S42" s="828" t="str">
        <f>IF(R42="","",S41+R42)</f>
        <v/>
      </c>
      <c r="T42" s="829" t="str">
        <f>IFERROR(INDEX(決算整理!$P$5:$P$1835,MATCH("会議費|S|12",決算整理!$S$5:$S$1835,0)),"")</f>
        <v/>
      </c>
    </row>
    <row r="43" ht="23.1" customHeight="1" s="186"/>
    <row r="44" ht="23.1" customHeight="1" s="186" thickBot="1"/>
    <row r="45" ht="23.1" customHeight="1" s="186" thickBot="1"/>
    <row r="46" ht="23.1" customHeight="1" s="186">
      <c r="B46" s="502" t="inlineStr">
        <is>
          <t>○旅費</t>
        </is>
      </c>
      <c r="D46" s="503" t="inlineStr">
        <is>
          <t>業務（短）未払</t>
        </is>
      </c>
      <c r="E46" s="824" t="str">
        <f>IF(COUNTIF(決算整理!$S$5:$S$1835,"旅費|S|*")&gt;12,"行不足","")</f>
        <v/>
      </c>
      <c r="G46" s="502" t="inlineStr">
        <is>
          <t>○厚生費</t>
        </is>
      </c>
      <c r="I46" s="503" t="inlineStr">
        <is>
          <t>業務（短）未払</t>
        </is>
      </c>
      <c r="J46" s="824" t="str">
        <f>IF(COUNTIF(決算整理!$S$5:$S$1835,"厚生費|S|*")&gt;12,"行不足","")</f>
        <v/>
      </c>
      <c r="L46" s="502" t="inlineStr">
        <is>
          <t>○普及費</t>
        </is>
      </c>
      <c r="N46" s="503" t="inlineStr">
        <is>
          <t>業務（短）未払</t>
        </is>
      </c>
      <c r="O46" s="824" t="str">
        <f>IF(COUNTIF(決算整理!$S$5:$S$1835,"普及費|S|*")&gt;12,"行不足","")</f>
        <v/>
      </c>
      <c r="Q46" s="502" t="inlineStr">
        <is>
          <t>○光熱水料</t>
        </is>
      </c>
      <c r="S46" s="503" t="inlineStr">
        <is>
          <t>業務（短）未払</t>
        </is>
      </c>
      <c r="T46" s="824" t="str">
        <f>IF(COUNTIF(決算整理!$S$5:$S$1835,"光熱水料|S|*")&gt;12,"行不足","")</f>
        <v/>
      </c>
    </row>
    <row r="47" ht="23.1" customHeight="1" s="186">
      <c r="A47" s="100" t="inlineStr">
        <is>
          <t>支出日</t>
        </is>
      </c>
      <c r="B47" s="100" t="inlineStr">
        <is>
          <t>摘要</t>
        </is>
      </c>
      <c r="C47" s="100" t="inlineStr">
        <is>
          <t>支出</t>
        </is>
      </c>
      <c r="D47" s="100" t="inlineStr">
        <is>
          <t>累計</t>
        </is>
      </c>
      <c r="E47" s="100" t="inlineStr">
        <is>
          <t>状態</t>
        </is>
      </c>
      <c r="F47" s="100" t="inlineStr">
        <is>
          <t>支出日</t>
        </is>
      </c>
      <c r="G47" s="100" t="inlineStr">
        <is>
          <t>摘要</t>
        </is>
      </c>
      <c r="H47" s="100" t="inlineStr">
        <is>
          <t>支出</t>
        </is>
      </c>
      <c r="I47" s="100" t="inlineStr">
        <is>
          <t>累計</t>
        </is>
      </c>
      <c r="J47" s="100" t="inlineStr">
        <is>
          <t>状態</t>
        </is>
      </c>
      <c r="K47" s="100" t="inlineStr">
        <is>
          <t>支出日</t>
        </is>
      </c>
      <c r="L47" s="100" t="inlineStr">
        <is>
          <t>摘要</t>
        </is>
      </c>
      <c r="M47" s="100" t="inlineStr">
        <is>
          <t>支出</t>
        </is>
      </c>
      <c r="N47" s="100" t="inlineStr">
        <is>
          <t>累計</t>
        </is>
      </c>
      <c r="O47" s="100" t="inlineStr">
        <is>
          <t>状態</t>
        </is>
      </c>
      <c r="P47" s="100" t="inlineStr">
        <is>
          <t>支出日</t>
        </is>
      </c>
      <c r="Q47" s="100" t="inlineStr">
        <is>
          <t>摘要</t>
        </is>
      </c>
      <c r="R47" s="100" t="inlineStr">
        <is>
          <t>支出</t>
        </is>
      </c>
      <c r="S47" s="100" t="inlineStr">
        <is>
          <t>累計</t>
        </is>
      </c>
      <c r="T47" s="100" t="inlineStr">
        <is>
          <t>状態</t>
        </is>
      </c>
    </row>
    <row r="48" ht="23.1" customHeight="1" s="186" thickBot="1">
      <c r="A48" s="825" t="n"/>
      <c r="B48" s="826" t="inlineStr">
        <is>
          <t>（予算なし）</t>
        </is>
      </c>
      <c r="C48" s="827" t="n"/>
      <c r="D48" s="828" t="n">
        <v>0</v>
      </c>
      <c r="F48" s="825" t="n"/>
      <c r="G48" s="826" t="inlineStr">
        <is>
          <t>（予算なし）</t>
        </is>
      </c>
      <c r="H48" s="827" t="n"/>
      <c r="I48" s="828" t="n">
        <v>0</v>
      </c>
      <c r="K48" s="825" t="n"/>
      <c r="L48" s="826" t="inlineStr">
        <is>
          <t>（予算なし）</t>
        </is>
      </c>
      <c r="M48" s="827" t="n"/>
      <c r="N48" s="828" t="n">
        <v>0</v>
      </c>
      <c r="P48" s="825" t="n"/>
      <c r="Q48" s="826" t="inlineStr">
        <is>
          <t>（予算なし）</t>
        </is>
      </c>
      <c r="R48" s="827" t="n"/>
      <c r="S48" s="828" t="n">
        <v>0</v>
      </c>
    </row>
    <row r="49" ht="23.1" customHeight="1" s="186" thickBot="1">
      <c r="A49" s="825" t="str">
        <f>IFERROR(INDEX(決算整理!$A$5:$A$1835,MATCH("旅費|S|1",決算整理!$S$5:$S$1835,0)),"")</f>
        <v/>
      </c>
      <c r="B49" s="826" t="str">
        <f>IFERROR(INDEX(決算整理!$E$5:$E$1835,MATCH("旅費|S|1",決算整理!$S$5:$S$1835,0)),"")</f>
        <v/>
      </c>
      <c r="C49" s="827" t="str">
        <f>IFERROR(INDEX(決算整理!$H$5:$H$1835,MATCH("旅費|S|1",決算整理!$S$5:$S$1835,0)),"")</f>
        <v/>
      </c>
      <c r="D49" s="828" t="str">
        <f>IF(C49="","",D48+C49)</f>
        <v/>
      </c>
      <c r="E49" s="829" t="str">
        <f>IFERROR(INDEX(決算整理!$P$5:$P$1835,MATCH("旅費|S|1",決算整理!$S$5:$S$1835,0)),"")</f>
        <v/>
      </c>
      <c r="F49" s="825" t="str">
        <f>IFERROR(INDEX(決算整理!$A$5:$A$1835,MATCH("厚生費|S|1",決算整理!$S$5:$S$1835,0)),"")</f>
        <v/>
      </c>
      <c r="G49" s="826" t="str">
        <f>IFERROR(INDEX(決算整理!$E$5:$E$1835,MATCH("厚生費|S|1",決算整理!$S$5:$S$1835,0)),"")</f>
        <v/>
      </c>
      <c r="H49" s="827" t="str">
        <f>IFERROR(INDEX(決算整理!$H$5:$H$1835,MATCH("厚生費|S|1",決算整理!$S$5:$S$1835,0)),"")</f>
        <v/>
      </c>
      <c r="I49" s="828" t="str">
        <f>IF(H49="","",I48+H49)</f>
        <v/>
      </c>
      <c r="J49" s="829" t="str">
        <f>IFERROR(INDEX(決算整理!$P$5:$P$1835,MATCH("厚生費|S|1",決算整理!$S$5:$S$1835,0)),"")</f>
        <v/>
      </c>
      <c r="K49" s="825">
        <f>IFERROR(INDEX(決算整理!$A$5:$A$1835,MATCH("普及費|S|1",決算整理!$S$5:$S$1835,0)),"")</f>
        <v>43951</v>
      </c>
      <c r="L49" s="826" t="str">
        <f>IFERROR(INDEX(決算整理!$E$5:$E$1835,MATCH("普及費|S|1",決算整理!$S$5:$S$1835,0)),"")</f>
        <v>厚生だより等印刷代分担金（第4四半期）短期</v>
      </c>
      <c r="M49" s="827">
        <f>IFERROR(INDEX(決算整理!$H$5:$H$1835,MATCH("普及費|S|1",決算整理!$S$5:$S$1835,0)),"")</f>
        <v>532196</v>
      </c>
      <c r="N49" s="828">
        <f>IF(M49="","",N48+M49)</f>
        <v>532196</v>
      </c>
      <c r="O49" s="829" t="str">
        <f>IFERROR(INDEX(決算整理!$P$5:$P$1835,MATCH("普及費|S|1",決算整理!$S$5:$S$1835,0)),"")</f>
        <v>昨年実績</v>
      </c>
      <c r="P49" s="825">
        <f>IFERROR(INDEX(決算整理!$A$5:$A$1835,MATCH("光熱水料|S|1",決算整理!$S$5:$S$1835,0)),"")</f>
        <v>43951</v>
      </c>
      <c r="Q49" s="826" t="str">
        <f>IFERROR(INDEX(決算整理!$E$5:$E$1835,MATCH("光熱水料|S|1",決算整理!$S$5:$S$1835,0)),"")</f>
        <v>行政財産使用ガス料（１０～３月分）</v>
      </c>
      <c r="R49" s="827">
        <f>IFERROR(INDEX(決算整理!$H$5:$H$1835,MATCH("光熱水料|S|1",決算整理!$S$5:$S$1835,0)),"")</f>
        <v>1255</v>
      </c>
      <c r="S49" s="828">
        <f>IF(R49="","",S48+R49)</f>
        <v>1255</v>
      </c>
      <c r="T49" s="829" t="str">
        <f>IFERROR(INDEX(決算整理!$P$5:$P$1835,MATCH("光熱水料|S|1",決算整理!$S$5:$S$1835,0)),"")</f>
        <v>昨年実績</v>
      </c>
    </row>
    <row r="50" ht="23.1" customHeight="1" s="186">
      <c r="A50" s="825" t="str">
        <f>IFERROR(INDEX(決算整理!$A$5:$A$1835,MATCH("旅費|S|2",決算整理!$S$5:$S$1835,0)),"")</f>
        <v/>
      </c>
      <c r="B50" s="826" t="str">
        <f>IFERROR(INDEX(決算整理!$E$5:$E$1835,MATCH("旅費|S|2",決算整理!$S$5:$S$1835,0)),"")</f>
        <v/>
      </c>
      <c r="C50" s="827" t="str">
        <f>IFERROR(INDEX(決算整理!$H$5:$H$1835,MATCH("旅費|S|2",決算整理!$S$5:$S$1835,0)),"")</f>
        <v/>
      </c>
      <c r="D50" s="828" t="str">
        <f>IF(C50="","",D49+C50)</f>
        <v/>
      </c>
      <c r="E50" s="829" t="str">
        <f>IFERROR(INDEX(決算整理!$P$5:$P$1835,MATCH("旅費|S|2",決算整理!$S$5:$S$1835,0)),"")</f>
        <v/>
      </c>
      <c r="F50" s="825" t="str">
        <f>IFERROR(INDEX(決算整理!$A$5:$A$1835,MATCH("厚生費|S|2",決算整理!$S$5:$S$1835,0)),"")</f>
        <v/>
      </c>
      <c r="G50" s="826" t="str">
        <f>IFERROR(INDEX(決算整理!$E$5:$E$1835,MATCH("厚生費|S|2",決算整理!$S$5:$S$1835,0)),"")</f>
        <v/>
      </c>
      <c r="H50" s="827" t="str">
        <f>IFERROR(INDEX(決算整理!$H$5:$H$1835,MATCH("厚生費|S|2",決算整理!$S$5:$S$1835,0)),"")</f>
        <v/>
      </c>
      <c r="I50" s="828" t="str">
        <f>IF(H50="","",I49+H50)</f>
        <v/>
      </c>
      <c r="J50" s="829" t="str">
        <f>IFERROR(INDEX(決算整理!$P$5:$P$1835,MATCH("厚生費|S|2",決算整理!$S$5:$S$1835,0)),"")</f>
        <v/>
      </c>
      <c r="K50" s="825" t="str">
        <f>IFERROR(INDEX(決算整理!$A$5:$A$1835,MATCH("普及費|S|2",決算整理!$S$5:$S$1835,0)),"")</f>
        <v/>
      </c>
      <c r="L50" s="826" t="str">
        <f>IFERROR(INDEX(決算整理!$E$5:$E$1835,MATCH("普及費|S|2",決算整理!$S$5:$S$1835,0)),"")</f>
        <v/>
      </c>
      <c r="M50" s="827" t="str">
        <f>IFERROR(INDEX(決算整理!$H$5:$H$1835,MATCH("普及費|S|2",決算整理!$S$5:$S$1835,0)),"")</f>
        <v/>
      </c>
      <c r="N50" s="828" t="str">
        <f>IF(M50="","",N49+M50)</f>
        <v/>
      </c>
      <c r="O50" s="829" t="str">
        <f>IFERROR(INDEX(決算整理!$P$5:$P$1835,MATCH("普及費|S|2",決算整理!$S$5:$S$1835,0)),"")</f>
        <v/>
      </c>
      <c r="P50" s="825">
        <f>IFERROR(INDEX(決算整理!$A$5:$A$1835,MATCH("光熱水料|S|2",決算整理!$S$5:$S$1835,0)),"")</f>
        <v>43951</v>
      </c>
      <c r="Q50" s="826" t="str">
        <f>IFERROR(INDEX(決算整理!$E$5:$E$1835,MATCH("光熱水料|S|2",決算整理!$S$5:$S$1835,0)),"")</f>
        <v>行政財産使用水道料（１０～３月分）</v>
      </c>
      <c r="R50" s="827">
        <f>IFERROR(INDEX(決算整理!$H$5:$H$1835,MATCH("光熱水料|S|2",決算整理!$S$5:$S$1835,0)),"")</f>
        <v>2324</v>
      </c>
      <c r="S50" s="828">
        <f>IF(R50="","",S49+R50)</f>
        <v>3579</v>
      </c>
      <c r="T50" s="829" t="str">
        <f>IFERROR(INDEX(決算整理!$P$5:$P$1835,MATCH("光熱水料|S|2",決算整理!$S$5:$S$1835,0)),"")</f>
        <v>昨年実績</v>
      </c>
    </row>
    <row r="51" ht="23.1" customHeight="1" s="186">
      <c r="A51" s="825" t="str">
        <f>IFERROR(INDEX(決算整理!$A$5:$A$1835,MATCH("旅費|S|3",決算整理!$S$5:$S$1835,0)),"")</f>
        <v/>
      </c>
      <c r="B51" s="826" t="str">
        <f>IFERROR(INDEX(決算整理!$E$5:$E$1835,MATCH("旅費|S|3",決算整理!$S$5:$S$1835,0)),"")</f>
        <v/>
      </c>
      <c r="C51" s="827" t="str">
        <f>IFERROR(INDEX(決算整理!$H$5:$H$1835,MATCH("旅費|S|3",決算整理!$S$5:$S$1835,0)),"")</f>
        <v/>
      </c>
      <c r="D51" s="828" t="str">
        <f>IF(C51="","",D50+C51)</f>
        <v/>
      </c>
      <c r="E51" s="829" t="str">
        <f>IFERROR(INDEX(決算整理!$P$5:$P$1835,MATCH("旅費|S|3",決算整理!$S$5:$S$1835,0)),"")</f>
        <v/>
      </c>
      <c r="F51" s="825" t="str">
        <f>IFERROR(INDEX(決算整理!$A$5:$A$1835,MATCH("厚生費|S|3",決算整理!$S$5:$S$1835,0)),"")</f>
        <v/>
      </c>
      <c r="G51" s="826" t="str">
        <f>IFERROR(INDEX(決算整理!$E$5:$E$1835,MATCH("厚生費|S|3",決算整理!$S$5:$S$1835,0)),"")</f>
        <v/>
      </c>
      <c r="H51" s="827" t="str">
        <f>IFERROR(INDEX(決算整理!$H$5:$H$1835,MATCH("厚生費|S|3",決算整理!$S$5:$S$1835,0)),"")</f>
        <v/>
      </c>
      <c r="I51" s="828" t="str">
        <f>IF(H51="","",I50+H51)</f>
        <v/>
      </c>
      <c r="J51" s="829" t="str">
        <f>IFERROR(INDEX(決算整理!$P$5:$P$1835,MATCH("厚生費|S|3",決算整理!$S$5:$S$1835,0)),"")</f>
        <v/>
      </c>
      <c r="K51" s="825" t="str">
        <f>IFERROR(INDEX(決算整理!$A$5:$A$1835,MATCH("普及費|S|3",決算整理!$S$5:$S$1835,0)),"")</f>
        <v/>
      </c>
      <c r="L51" s="826" t="str">
        <f>IFERROR(INDEX(決算整理!$E$5:$E$1835,MATCH("普及費|S|3",決算整理!$S$5:$S$1835,0)),"")</f>
        <v/>
      </c>
      <c r="M51" s="827" t="str">
        <f>IFERROR(INDEX(決算整理!$H$5:$H$1835,MATCH("普及費|S|3",決算整理!$S$5:$S$1835,0)),"")</f>
        <v/>
      </c>
      <c r="N51" s="828" t="str">
        <f>IF(M51="","",N50+M51)</f>
        <v/>
      </c>
      <c r="O51" s="829" t="str">
        <f>IFERROR(INDEX(決算整理!$P$5:$P$1835,MATCH("普及費|S|3",決算整理!$S$5:$S$1835,0)),"")</f>
        <v/>
      </c>
      <c r="P51" s="825">
        <f>IFERROR(INDEX(決算整理!$A$5:$A$1835,MATCH("光熱水料|S|3",決算整理!$S$5:$S$1835,0)),"")</f>
        <v>43951</v>
      </c>
      <c r="Q51" s="826" t="str">
        <f>IFERROR(INDEX(決算整理!$E$5:$E$1835,MATCH("光熱水料|S|3",決算整理!$S$5:$S$1835,0)),"")</f>
        <v>行政財産使用電気料（１０～３月分）</v>
      </c>
      <c r="R51" s="827">
        <f>IFERROR(INDEX(決算整理!$H$5:$H$1835,MATCH("光熱水料|S|3",決算整理!$S$5:$S$1835,0)),"")</f>
        <v>3770</v>
      </c>
      <c r="S51" s="828">
        <f>IF(R51="","",S50+R51)</f>
        <v>7349</v>
      </c>
      <c r="T51" s="829" t="str">
        <f>IFERROR(INDEX(決算整理!$P$5:$P$1835,MATCH("光熱水料|S|3",決算整理!$S$5:$S$1835,0)),"")</f>
        <v>昨年実績</v>
      </c>
    </row>
    <row r="52" ht="23.1" customHeight="1" s="186" thickBot="1">
      <c r="A52" s="825" t="str">
        <f>IFERROR(INDEX(決算整理!$A$5:$A$1835,MATCH("旅費|S|4",決算整理!$S$5:$S$1835,0)),"")</f>
        <v/>
      </c>
      <c r="B52" s="826" t="str">
        <f>IFERROR(INDEX(決算整理!$E$5:$E$1835,MATCH("旅費|S|4",決算整理!$S$5:$S$1835,0)),"")</f>
        <v/>
      </c>
      <c r="C52" s="827" t="str">
        <f>IFERROR(INDEX(決算整理!$H$5:$H$1835,MATCH("旅費|S|4",決算整理!$S$5:$S$1835,0)),"")</f>
        <v/>
      </c>
      <c r="D52" s="828" t="str">
        <f>IF(C52="","",D51+C52)</f>
        <v/>
      </c>
      <c r="E52" s="829" t="str">
        <f>IFERROR(INDEX(決算整理!$P$5:$P$1835,MATCH("旅費|S|4",決算整理!$S$5:$S$1835,0)),"")</f>
        <v/>
      </c>
      <c r="F52" s="825" t="str">
        <f>IFERROR(INDEX(決算整理!$A$5:$A$1835,MATCH("厚生費|S|4",決算整理!$S$5:$S$1835,0)),"")</f>
        <v/>
      </c>
      <c r="G52" s="826" t="str">
        <f>IFERROR(INDEX(決算整理!$E$5:$E$1835,MATCH("厚生費|S|4",決算整理!$S$5:$S$1835,0)),"")</f>
        <v/>
      </c>
      <c r="H52" s="827" t="str">
        <f>IFERROR(INDEX(決算整理!$H$5:$H$1835,MATCH("厚生費|S|4",決算整理!$S$5:$S$1835,0)),"")</f>
        <v/>
      </c>
      <c r="I52" s="828" t="str">
        <f>IF(H52="","",I51+H52)</f>
        <v/>
      </c>
      <c r="J52" s="829" t="str">
        <f>IFERROR(INDEX(決算整理!$P$5:$P$1835,MATCH("厚生費|S|4",決算整理!$S$5:$S$1835,0)),"")</f>
        <v/>
      </c>
      <c r="K52" s="825" t="str">
        <f>IFERROR(INDEX(決算整理!$A$5:$A$1835,MATCH("普及費|S|4",決算整理!$S$5:$S$1835,0)),"")</f>
        <v/>
      </c>
      <c r="L52" s="826" t="str">
        <f>IFERROR(INDEX(決算整理!$E$5:$E$1835,MATCH("普及費|S|4",決算整理!$S$5:$S$1835,0)),"")</f>
        <v/>
      </c>
      <c r="M52" s="827" t="str">
        <f>IFERROR(INDEX(決算整理!$H$5:$H$1835,MATCH("普及費|S|4",決算整理!$S$5:$S$1835,0)),"")</f>
        <v/>
      </c>
      <c r="N52" s="828" t="str">
        <f>IF(M52="","",N51+M52)</f>
        <v/>
      </c>
      <c r="O52" s="829" t="str">
        <f>IFERROR(INDEX(決算整理!$P$5:$P$1835,MATCH("普及費|S|4",決算整理!$S$5:$S$1835,0)),"")</f>
        <v/>
      </c>
      <c r="P52" s="825" t="str">
        <f>IFERROR(INDEX(決算整理!$A$5:$A$1835,MATCH("光熱水料|S|4",決算整理!$S$5:$S$1835,0)),"")</f>
        <v/>
      </c>
      <c r="Q52" s="826" t="str">
        <f>IFERROR(INDEX(決算整理!$E$5:$E$1835,MATCH("光熱水料|S|4",決算整理!$S$5:$S$1835,0)),"")</f>
        <v/>
      </c>
      <c r="R52" s="827" t="str">
        <f>IFERROR(INDEX(決算整理!$H$5:$H$1835,MATCH("光熱水料|S|4",決算整理!$S$5:$S$1835,0)),"")</f>
        <v/>
      </c>
      <c r="S52" s="828" t="str">
        <f>IF(R52="","",S51+R52)</f>
        <v/>
      </c>
      <c r="T52" s="829" t="str">
        <f>IFERROR(INDEX(決算整理!$P$5:$P$1835,MATCH("光熱水料|S|4",決算整理!$S$5:$S$1835,0)),"")</f>
        <v/>
      </c>
    </row>
    <row r="53" ht="23.1" customHeight="1" s="186" thickBot="1">
      <c r="A53" s="825" t="str">
        <f>IFERROR(INDEX(決算整理!$A$5:$A$1835,MATCH("旅費|S|5",決算整理!$S$5:$S$1835,0)),"")</f>
        <v/>
      </c>
      <c r="B53" s="826" t="str">
        <f>IFERROR(INDEX(決算整理!$E$5:$E$1835,MATCH("旅費|S|5",決算整理!$S$5:$S$1835,0)),"")</f>
        <v/>
      </c>
      <c r="C53" s="827" t="str">
        <f>IFERROR(INDEX(決算整理!$H$5:$H$1835,MATCH("旅費|S|5",決算整理!$S$5:$S$1835,0)),"")</f>
        <v/>
      </c>
      <c r="D53" s="828" t="str">
        <f>IF(C53="","",D52+C53)</f>
        <v/>
      </c>
      <c r="E53" s="829" t="str">
        <f>IFERROR(INDEX(決算整理!$P$5:$P$1835,MATCH("旅費|S|5",決算整理!$S$5:$S$1835,0)),"")</f>
        <v/>
      </c>
      <c r="F53" s="825" t="str">
        <f>IFERROR(INDEX(決算整理!$A$5:$A$1835,MATCH("厚生費|S|5",決算整理!$S$5:$S$1835,0)),"")</f>
        <v/>
      </c>
      <c r="G53" s="826" t="str">
        <f>IFERROR(INDEX(決算整理!$E$5:$E$1835,MATCH("厚生費|S|5",決算整理!$S$5:$S$1835,0)),"")</f>
        <v/>
      </c>
      <c r="H53" s="827" t="str">
        <f>IFERROR(INDEX(決算整理!$H$5:$H$1835,MATCH("厚生費|S|5",決算整理!$S$5:$S$1835,0)),"")</f>
        <v/>
      </c>
      <c r="I53" s="828" t="str">
        <f>IF(H53="","",I52+H53)</f>
        <v/>
      </c>
      <c r="J53" s="829" t="str">
        <f>IFERROR(INDEX(決算整理!$P$5:$P$1835,MATCH("厚生費|S|5",決算整理!$S$5:$S$1835,0)),"")</f>
        <v/>
      </c>
      <c r="K53" s="825" t="str">
        <f>IFERROR(INDEX(決算整理!$A$5:$A$1835,MATCH("普及費|S|5",決算整理!$S$5:$S$1835,0)),"")</f>
        <v/>
      </c>
      <c r="L53" s="826" t="str">
        <f>IFERROR(INDEX(決算整理!$E$5:$E$1835,MATCH("普及費|S|5",決算整理!$S$5:$S$1835,0)),"")</f>
        <v/>
      </c>
      <c r="M53" s="827" t="str">
        <f>IFERROR(INDEX(決算整理!$H$5:$H$1835,MATCH("普及費|S|5",決算整理!$S$5:$S$1835,0)),"")</f>
        <v/>
      </c>
      <c r="N53" s="828" t="str">
        <f>IF(M53="","",N52+M53)</f>
        <v/>
      </c>
      <c r="O53" s="829" t="str">
        <f>IFERROR(INDEX(決算整理!$P$5:$P$1835,MATCH("普及費|S|5",決算整理!$S$5:$S$1835,0)),"")</f>
        <v/>
      </c>
      <c r="P53" s="825" t="str">
        <f>IFERROR(INDEX(決算整理!$A$5:$A$1835,MATCH("光熱水料|S|5",決算整理!$S$5:$S$1835,0)),"")</f>
        <v/>
      </c>
      <c r="Q53" s="826" t="str">
        <f>IFERROR(INDEX(決算整理!$E$5:$E$1835,MATCH("光熱水料|S|5",決算整理!$S$5:$S$1835,0)),"")</f>
        <v/>
      </c>
      <c r="R53" s="827" t="str">
        <f>IFERROR(INDEX(決算整理!$H$5:$H$1835,MATCH("光熱水料|S|5",決算整理!$S$5:$S$1835,0)),"")</f>
        <v/>
      </c>
      <c r="S53" s="828" t="str">
        <f>IF(R53="","",S52+R53)</f>
        <v/>
      </c>
      <c r="T53" s="829" t="str">
        <f>IFERROR(INDEX(決算整理!$P$5:$P$1835,MATCH("光熱水料|S|5",決算整理!$S$5:$S$1835,0)),"")</f>
        <v/>
      </c>
    </row>
    <row r="54" ht="23.1" customHeight="1" s="186">
      <c r="A54" s="825" t="str">
        <f>IFERROR(INDEX(決算整理!$A$5:$A$1835,MATCH("旅費|S|6",決算整理!$S$5:$S$1835,0)),"")</f>
        <v/>
      </c>
      <c r="B54" s="826" t="str">
        <f>IFERROR(INDEX(決算整理!$E$5:$E$1835,MATCH("旅費|S|6",決算整理!$S$5:$S$1835,0)),"")</f>
        <v/>
      </c>
      <c r="C54" s="827" t="str">
        <f>IFERROR(INDEX(決算整理!$H$5:$H$1835,MATCH("旅費|S|6",決算整理!$S$5:$S$1835,0)),"")</f>
        <v/>
      </c>
      <c r="D54" s="828" t="str">
        <f>IF(C54="","",D53+C54)</f>
        <v/>
      </c>
      <c r="E54" s="829" t="str">
        <f>IFERROR(INDEX(決算整理!$P$5:$P$1835,MATCH("旅費|S|6",決算整理!$S$5:$S$1835,0)),"")</f>
        <v/>
      </c>
      <c r="F54" s="825" t="str">
        <f>IFERROR(INDEX(決算整理!$A$5:$A$1835,MATCH("厚生費|S|6",決算整理!$S$5:$S$1835,0)),"")</f>
        <v/>
      </c>
      <c r="G54" s="826" t="str">
        <f>IFERROR(INDEX(決算整理!$E$5:$E$1835,MATCH("厚生費|S|6",決算整理!$S$5:$S$1835,0)),"")</f>
        <v/>
      </c>
      <c r="H54" s="827" t="str">
        <f>IFERROR(INDEX(決算整理!$H$5:$H$1835,MATCH("厚生費|S|6",決算整理!$S$5:$S$1835,0)),"")</f>
        <v/>
      </c>
      <c r="I54" s="828" t="str">
        <f>IF(H54="","",I53+H54)</f>
        <v/>
      </c>
      <c r="J54" s="829" t="str">
        <f>IFERROR(INDEX(決算整理!$P$5:$P$1835,MATCH("厚生費|S|6",決算整理!$S$5:$S$1835,0)),"")</f>
        <v/>
      </c>
      <c r="K54" s="825" t="str">
        <f>IFERROR(INDEX(決算整理!$A$5:$A$1835,MATCH("普及費|S|6",決算整理!$S$5:$S$1835,0)),"")</f>
        <v/>
      </c>
      <c r="L54" s="826" t="str">
        <f>IFERROR(INDEX(決算整理!$E$5:$E$1835,MATCH("普及費|S|6",決算整理!$S$5:$S$1835,0)),"")</f>
        <v/>
      </c>
      <c r="M54" s="827" t="str">
        <f>IFERROR(INDEX(決算整理!$H$5:$H$1835,MATCH("普及費|S|6",決算整理!$S$5:$S$1835,0)),"")</f>
        <v/>
      </c>
      <c r="N54" s="828" t="str">
        <f>IF(M54="","",N53+M54)</f>
        <v/>
      </c>
      <c r="O54" s="829" t="str">
        <f>IFERROR(INDEX(決算整理!$P$5:$P$1835,MATCH("普及費|S|6",決算整理!$S$5:$S$1835,0)),"")</f>
        <v/>
      </c>
      <c r="P54" s="825" t="str">
        <f>IFERROR(INDEX(決算整理!$A$5:$A$1835,MATCH("光熱水料|S|6",決算整理!$S$5:$S$1835,0)),"")</f>
        <v/>
      </c>
      <c r="Q54" s="826" t="str">
        <f>IFERROR(INDEX(決算整理!$E$5:$E$1835,MATCH("光熱水料|S|6",決算整理!$S$5:$S$1835,0)),"")</f>
        <v/>
      </c>
      <c r="R54" s="827" t="str">
        <f>IFERROR(INDEX(決算整理!$H$5:$H$1835,MATCH("光熱水料|S|6",決算整理!$S$5:$S$1835,0)),"")</f>
        <v/>
      </c>
      <c r="S54" s="828" t="str">
        <f>IF(R54="","",S53+R54)</f>
        <v/>
      </c>
      <c r="T54" s="829" t="str">
        <f>IFERROR(INDEX(決算整理!$P$5:$P$1835,MATCH("光熱水料|S|6",決算整理!$S$5:$S$1835,0)),"")</f>
        <v/>
      </c>
    </row>
    <row r="55" ht="23.1" customHeight="1" s="186" thickBot="1">
      <c r="A55" s="825" t="str">
        <f>IFERROR(INDEX(決算整理!$A$5:$A$1835,MATCH("旅費|S|7",決算整理!$S$5:$S$1835,0)),"")</f>
        <v/>
      </c>
      <c r="B55" s="826" t="str">
        <f>IFERROR(INDEX(決算整理!$E$5:$E$1835,MATCH("旅費|S|7",決算整理!$S$5:$S$1835,0)),"")</f>
        <v/>
      </c>
      <c r="C55" s="827" t="str">
        <f>IFERROR(INDEX(決算整理!$H$5:$H$1835,MATCH("旅費|S|7",決算整理!$S$5:$S$1835,0)),"")</f>
        <v/>
      </c>
      <c r="D55" s="828" t="str">
        <f>IF(C55="","",D54+C55)</f>
        <v/>
      </c>
      <c r="E55" s="829" t="str">
        <f>IFERROR(INDEX(決算整理!$P$5:$P$1835,MATCH("旅費|S|7",決算整理!$S$5:$S$1835,0)),"")</f>
        <v/>
      </c>
      <c r="F55" s="825" t="str">
        <f>IFERROR(INDEX(決算整理!$A$5:$A$1835,MATCH("厚生費|S|7",決算整理!$S$5:$S$1835,0)),"")</f>
        <v/>
      </c>
      <c r="G55" s="826" t="str">
        <f>IFERROR(INDEX(決算整理!$E$5:$E$1835,MATCH("厚生費|S|7",決算整理!$S$5:$S$1835,0)),"")</f>
        <v/>
      </c>
      <c r="H55" s="827" t="str">
        <f>IFERROR(INDEX(決算整理!$H$5:$H$1835,MATCH("厚生費|S|7",決算整理!$S$5:$S$1835,0)),"")</f>
        <v/>
      </c>
      <c r="I55" s="828" t="str">
        <f>IF(H55="","",I54+H55)</f>
        <v/>
      </c>
      <c r="J55" s="829" t="str">
        <f>IFERROR(INDEX(決算整理!$P$5:$P$1835,MATCH("厚生費|S|7",決算整理!$S$5:$S$1835,0)),"")</f>
        <v/>
      </c>
      <c r="K55" s="825" t="str">
        <f>IFERROR(INDEX(決算整理!$A$5:$A$1835,MATCH("普及費|S|7",決算整理!$S$5:$S$1835,0)),"")</f>
        <v/>
      </c>
      <c r="L55" s="826" t="str">
        <f>IFERROR(INDEX(決算整理!$E$5:$E$1835,MATCH("普及費|S|7",決算整理!$S$5:$S$1835,0)),"")</f>
        <v/>
      </c>
      <c r="M55" s="827" t="str">
        <f>IFERROR(INDEX(決算整理!$H$5:$H$1835,MATCH("普及費|S|7",決算整理!$S$5:$S$1835,0)),"")</f>
        <v/>
      </c>
      <c r="N55" s="828" t="str">
        <f>IF(M55="","",N54+M55)</f>
        <v/>
      </c>
      <c r="O55" s="829" t="str">
        <f>IFERROR(INDEX(決算整理!$P$5:$P$1835,MATCH("普及費|S|7",決算整理!$S$5:$S$1835,0)),"")</f>
        <v/>
      </c>
      <c r="P55" s="825" t="str">
        <f>IFERROR(INDEX(決算整理!$A$5:$A$1835,MATCH("光熱水料|S|7",決算整理!$S$5:$S$1835,0)),"")</f>
        <v/>
      </c>
      <c r="Q55" s="826" t="str">
        <f>IFERROR(INDEX(決算整理!$E$5:$E$1835,MATCH("光熱水料|S|7",決算整理!$S$5:$S$1835,0)),"")</f>
        <v/>
      </c>
      <c r="R55" s="827" t="str">
        <f>IFERROR(INDEX(決算整理!$H$5:$H$1835,MATCH("光熱水料|S|7",決算整理!$S$5:$S$1835,0)),"")</f>
        <v/>
      </c>
      <c r="S55" s="828" t="str">
        <f>IF(R55="","",S54+R55)</f>
        <v/>
      </c>
      <c r="T55" s="829" t="str">
        <f>IFERROR(INDEX(決算整理!$P$5:$P$1835,MATCH("光熱水料|S|7",決算整理!$S$5:$S$1835,0)),"")</f>
        <v/>
      </c>
    </row>
    <row r="56" ht="23.1" customHeight="1" s="186" thickBot="1">
      <c r="A56" s="825" t="str">
        <f>IFERROR(INDEX(決算整理!$A$5:$A$1835,MATCH("旅費|S|8",決算整理!$S$5:$S$1835,0)),"")</f>
        <v/>
      </c>
      <c r="B56" s="826" t="str">
        <f>IFERROR(INDEX(決算整理!$E$5:$E$1835,MATCH("旅費|S|8",決算整理!$S$5:$S$1835,0)),"")</f>
        <v/>
      </c>
      <c r="C56" s="827" t="str">
        <f>IFERROR(INDEX(決算整理!$H$5:$H$1835,MATCH("旅費|S|8",決算整理!$S$5:$S$1835,0)),"")</f>
        <v/>
      </c>
      <c r="D56" s="828" t="str">
        <f>IF(C56="","",D55+C56)</f>
        <v/>
      </c>
      <c r="E56" s="829" t="str">
        <f>IFERROR(INDEX(決算整理!$P$5:$P$1835,MATCH("旅費|S|8",決算整理!$S$5:$S$1835,0)),"")</f>
        <v/>
      </c>
      <c r="F56" s="825" t="str">
        <f>IFERROR(INDEX(決算整理!$A$5:$A$1835,MATCH("厚生費|S|8",決算整理!$S$5:$S$1835,0)),"")</f>
        <v/>
      </c>
      <c r="G56" s="826" t="str">
        <f>IFERROR(INDEX(決算整理!$E$5:$E$1835,MATCH("厚生費|S|8",決算整理!$S$5:$S$1835,0)),"")</f>
        <v/>
      </c>
      <c r="H56" s="827" t="str">
        <f>IFERROR(INDEX(決算整理!$H$5:$H$1835,MATCH("厚生費|S|8",決算整理!$S$5:$S$1835,0)),"")</f>
        <v/>
      </c>
      <c r="I56" s="828" t="str">
        <f>IF(H56="","",I55+H56)</f>
        <v/>
      </c>
      <c r="J56" s="829" t="str">
        <f>IFERROR(INDEX(決算整理!$P$5:$P$1835,MATCH("厚生費|S|8",決算整理!$S$5:$S$1835,0)),"")</f>
        <v/>
      </c>
      <c r="K56" s="825" t="str">
        <f>IFERROR(INDEX(決算整理!$A$5:$A$1835,MATCH("普及費|S|8",決算整理!$S$5:$S$1835,0)),"")</f>
        <v/>
      </c>
      <c r="L56" s="826" t="str">
        <f>IFERROR(INDEX(決算整理!$E$5:$E$1835,MATCH("普及費|S|8",決算整理!$S$5:$S$1835,0)),"")</f>
        <v/>
      </c>
      <c r="M56" s="827" t="str">
        <f>IFERROR(INDEX(決算整理!$H$5:$H$1835,MATCH("普及費|S|8",決算整理!$S$5:$S$1835,0)),"")</f>
        <v/>
      </c>
      <c r="N56" s="828" t="str">
        <f>IF(M56="","",N55+M56)</f>
        <v/>
      </c>
      <c r="O56" s="829" t="str">
        <f>IFERROR(INDEX(決算整理!$P$5:$P$1835,MATCH("普及費|S|8",決算整理!$S$5:$S$1835,0)),"")</f>
        <v/>
      </c>
      <c r="P56" s="825" t="str">
        <f>IFERROR(INDEX(決算整理!$A$5:$A$1835,MATCH("光熱水料|S|8",決算整理!$S$5:$S$1835,0)),"")</f>
        <v/>
      </c>
      <c r="Q56" s="826" t="str">
        <f>IFERROR(INDEX(決算整理!$E$5:$E$1835,MATCH("光熱水料|S|8",決算整理!$S$5:$S$1835,0)),"")</f>
        <v/>
      </c>
      <c r="R56" s="827" t="str">
        <f>IFERROR(INDEX(決算整理!$H$5:$H$1835,MATCH("光熱水料|S|8",決算整理!$S$5:$S$1835,0)),"")</f>
        <v/>
      </c>
      <c r="S56" s="828" t="str">
        <f>IF(R56="","",S55+R56)</f>
        <v/>
      </c>
      <c r="T56" s="829" t="str">
        <f>IFERROR(INDEX(決算整理!$P$5:$P$1835,MATCH("光熱水料|S|8",決算整理!$S$5:$S$1835,0)),"")</f>
        <v/>
      </c>
    </row>
    <row r="57" ht="23.1" customHeight="1" s="186" thickBot="1">
      <c r="A57" s="825" t="str">
        <f>IFERROR(INDEX(決算整理!$A$5:$A$1835,MATCH("旅費|S|9",決算整理!$S$5:$S$1835,0)),"")</f>
        <v/>
      </c>
      <c r="B57" s="826" t="str">
        <f>IFERROR(INDEX(決算整理!$E$5:$E$1835,MATCH("旅費|S|9",決算整理!$S$5:$S$1835,0)),"")</f>
        <v/>
      </c>
      <c r="C57" s="827" t="str">
        <f>IFERROR(INDEX(決算整理!$H$5:$H$1835,MATCH("旅費|S|9",決算整理!$S$5:$S$1835,0)),"")</f>
        <v/>
      </c>
      <c r="D57" s="828" t="str">
        <f>IF(C57="","",D56+C57)</f>
        <v/>
      </c>
      <c r="E57" s="829" t="str">
        <f>IFERROR(INDEX(決算整理!$P$5:$P$1835,MATCH("旅費|S|9",決算整理!$S$5:$S$1835,0)),"")</f>
        <v/>
      </c>
      <c r="F57" s="825" t="str">
        <f>IFERROR(INDEX(決算整理!$A$5:$A$1835,MATCH("厚生費|S|9",決算整理!$S$5:$S$1835,0)),"")</f>
        <v/>
      </c>
      <c r="G57" s="826" t="str">
        <f>IFERROR(INDEX(決算整理!$E$5:$E$1835,MATCH("厚生費|S|9",決算整理!$S$5:$S$1835,0)),"")</f>
        <v/>
      </c>
      <c r="H57" s="827" t="str">
        <f>IFERROR(INDEX(決算整理!$H$5:$H$1835,MATCH("厚生費|S|9",決算整理!$S$5:$S$1835,0)),"")</f>
        <v/>
      </c>
      <c r="I57" s="828" t="str">
        <f>IF(H57="","",I56+H57)</f>
        <v/>
      </c>
      <c r="J57" s="829" t="str">
        <f>IFERROR(INDEX(決算整理!$P$5:$P$1835,MATCH("厚生費|S|9",決算整理!$S$5:$S$1835,0)),"")</f>
        <v/>
      </c>
      <c r="K57" s="825" t="str">
        <f>IFERROR(INDEX(決算整理!$A$5:$A$1835,MATCH("普及費|S|9",決算整理!$S$5:$S$1835,0)),"")</f>
        <v/>
      </c>
      <c r="L57" s="826" t="str">
        <f>IFERROR(INDEX(決算整理!$E$5:$E$1835,MATCH("普及費|S|9",決算整理!$S$5:$S$1835,0)),"")</f>
        <v/>
      </c>
      <c r="M57" s="827" t="str">
        <f>IFERROR(INDEX(決算整理!$H$5:$H$1835,MATCH("普及費|S|9",決算整理!$S$5:$S$1835,0)),"")</f>
        <v/>
      </c>
      <c r="N57" s="828" t="str">
        <f>IF(M57="","",N56+M57)</f>
        <v/>
      </c>
      <c r="O57" s="829" t="str">
        <f>IFERROR(INDEX(決算整理!$P$5:$P$1835,MATCH("普及費|S|9",決算整理!$S$5:$S$1835,0)),"")</f>
        <v/>
      </c>
      <c r="P57" s="825" t="str">
        <f>IFERROR(INDEX(決算整理!$A$5:$A$1835,MATCH("光熱水料|S|9",決算整理!$S$5:$S$1835,0)),"")</f>
        <v/>
      </c>
      <c r="Q57" s="826" t="str">
        <f>IFERROR(INDEX(決算整理!$E$5:$E$1835,MATCH("光熱水料|S|9",決算整理!$S$5:$S$1835,0)),"")</f>
        <v/>
      </c>
      <c r="R57" s="827" t="str">
        <f>IFERROR(INDEX(決算整理!$H$5:$H$1835,MATCH("光熱水料|S|9",決算整理!$S$5:$S$1835,0)),"")</f>
        <v/>
      </c>
      <c r="S57" s="828" t="str">
        <f>IF(R57="","",S56+R57)</f>
        <v/>
      </c>
      <c r="T57" s="829" t="str">
        <f>IFERROR(INDEX(決算整理!$P$5:$P$1835,MATCH("光熱水料|S|9",決算整理!$S$5:$S$1835,0)),"")</f>
        <v/>
      </c>
    </row>
    <row r="58" ht="23.1" customHeight="1" s="186" thickBot="1">
      <c r="A58" s="825" t="str">
        <f>IFERROR(INDEX(決算整理!$A$5:$A$1835,MATCH("旅費|S|10",決算整理!$S$5:$S$1835,0)),"")</f>
        <v/>
      </c>
      <c r="B58" s="826" t="str">
        <f>IFERROR(INDEX(決算整理!$E$5:$E$1835,MATCH("旅費|S|10",決算整理!$S$5:$S$1835,0)),"")</f>
        <v/>
      </c>
      <c r="C58" s="827" t="str">
        <f>IFERROR(INDEX(決算整理!$H$5:$H$1835,MATCH("旅費|S|10",決算整理!$S$5:$S$1835,0)),"")</f>
        <v/>
      </c>
      <c r="D58" s="828" t="str">
        <f>IF(C58="","",D57+C58)</f>
        <v/>
      </c>
      <c r="E58" s="829" t="str">
        <f>IFERROR(INDEX(決算整理!$P$5:$P$1835,MATCH("旅費|S|10",決算整理!$S$5:$S$1835,0)),"")</f>
        <v/>
      </c>
      <c r="F58" s="825" t="str">
        <f>IFERROR(INDEX(決算整理!$A$5:$A$1835,MATCH("厚生費|S|10",決算整理!$S$5:$S$1835,0)),"")</f>
        <v/>
      </c>
      <c r="G58" s="826" t="str">
        <f>IFERROR(INDEX(決算整理!$E$5:$E$1835,MATCH("厚生費|S|10",決算整理!$S$5:$S$1835,0)),"")</f>
        <v/>
      </c>
      <c r="H58" s="827" t="str">
        <f>IFERROR(INDEX(決算整理!$H$5:$H$1835,MATCH("厚生費|S|10",決算整理!$S$5:$S$1835,0)),"")</f>
        <v/>
      </c>
      <c r="I58" s="828" t="str">
        <f>IF(H58="","",I57+H58)</f>
        <v/>
      </c>
      <c r="J58" s="829" t="str">
        <f>IFERROR(INDEX(決算整理!$P$5:$P$1835,MATCH("厚生費|S|10",決算整理!$S$5:$S$1835,0)),"")</f>
        <v/>
      </c>
      <c r="K58" s="825" t="str">
        <f>IFERROR(INDEX(決算整理!$A$5:$A$1835,MATCH("普及費|S|10",決算整理!$S$5:$S$1835,0)),"")</f>
        <v/>
      </c>
      <c r="L58" s="826" t="str">
        <f>IFERROR(INDEX(決算整理!$E$5:$E$1835,MATCH("普及費|S|10",決算整理!$S$5:$S$1835,0)),"")</f>
        <v/>
      </c>
      <c r="M58" s="827" t="str">
        <f>IFERROR(INDEX(決算整理!$H$5:$H$1835,MATCH("普及費|S|10",決算整理!$S$5:$S$1835,0)),"")</f>
        <v/>
      </c>
      <c r="N58" s="828" t="str">
        <f>IF(M58="","",N57+M58)</f>
        <v/>
      </c>
      <c r="O58" s="829" t="str">
        <f>IFERROR(INDEX(決算整理!$P$5:$P$1835,MATCH("普及費|S|10",決算整理!$S$5:$S$1835,0)),"")</f>
        <v/>
      </c>
      <c r="P58" s="825" t="str">
        <f>IFERROR(INDEX(決算整理!$A$5:$A$1835,MATCH("光熱水料|S|10",決算整理!$S$5:$S$1835,0)),"")</f>
        <v/>
      </c>
      <c r="Q58" s="826" t="str">
        <f>IFERROR(INDEX(決算整理!$E$5:$E$1835,MATCH("光熱水料|S|10",決算整理!$S$5:$S$1835,0)),"")</f>
        <v/>
      </c>
      <c r="R58" s="827" t="str">
        <f>IFERROR(INDEX(決算整理!$H$5:$H$1835,MATCH("光熱水料|S|10",決算整理!$S$5:$S$1835,0)),"")</f>
        <v/>
      </c>
      <c r="S58" s="828" t="str">
        <f>IF(R58="","",S57+R58)</f>
        <v/>
      </c>
      <c r="T58" s="829" t="str">
        <f>IFERROR(INDEX(決算整理!$P$5:$P$1835,MATCH("光熱水料|S|10",決算整理!$S$5:$S$1835,0)),"")</f>
        <v/>
      </c>
    </row>
    <row r="59" ht="23.1" customHeight="1" s="186" thickBot="1">
      <c r="A59" s="825" t="str">
        <f>IFERROR(INDEX(決算整理!$A$5:$A$1835,MATCH("旅費|S|11",決算整理!$S$5:$S$1835,0)),"")</f>
        <v/>
      </c>
      <c r="B59" s="826" t="str">
        <f>IFERROR(INDEX(決算整理!$E$5:$E$1835,MATCH("旅費|S|11",決算整理!$S$5:$S$1835,0)),"")</f>
        <v/>
      </c>
      <c r="C59" s="827" t="str">
        <f>IFERROR(INDEX(決算整理!$H$5:$H$1835,MATCH("旅費|S|11",決算整理!$S$5:$S$1835,0)),"")</f>
        <v/>
      </c>
      <c r="D59" s="828" t="str">
        <f>IF(C59="","",D58+C59)</f>
        <v/>
      </c>
      <c r="E59" s="829" t="str">
        <f>IFERROR(INDEX(決算整理!$P$5:$P$1835,MATCH("旅費|S|11",決算整理!$S$5:$S$1835,0)),"")</f>
        <v/>
      </c>
      <c r="F59" s="825" t="str">
        <f>IFERROR(INDEX(決算整理!$A$5:$A$1835,MATCH("厚生費|S|11",決算整理!$S$5:$S$1835,0)),"")</f>
        <v/>
      </c>
      <c r="G59" s="826" t="str">
        <f>IFERROR(INDEX(決算整理!$E$5:$E$1835,MATCH("厚生費|S|11",決算整理!$S$5:$S$1835,0)),"")</f>
        <v/>
      </c>
      <c r="H59" s="827" t="str">
        <f>IFERROR(INDEX(決算整理!$H$5:$H$1835,MATCH("厚生費|S|11",決算整理!$S$5:$S$1835,0)),"")</f>
        <v/>
      </c>
      <c r="I59" s="828" t="str">
        <f>IF(H59="","",I58+H59)</f>
        <v/>
      </c>
      <c r="J59" s="829" t="str">
        <f>IFERROR(INDEX(決算整理!$P$5:$P$1835,MATCH("厚生費|S|11",決算整理!$S$5:$S$1835,0)),"")</f>
        <v/>
      </c>
      <c r="K59" s="825" t="str">
        <f>IFERROR(INDEX(決算整理!$A$5:$A$1835,MATCH("普及費|S|11",決算整理!$S$5:$S$1835,0)),"")</f>
        <v/>
      </c>
      <c r="L59" s="826" t="str">
        <f>IFERROR(INDEX(決算整理!$E$5:$E$1835,MATCH("普及費|S|11",決算整理!$S$5:$S$1835,0)),"")</f>
        <v/>
      </c>
      <c r="M59" s="827" t="str">
        <f>IFERROR(INDEX(決算整理!$H$5:$H$1835,MATCH("普及費|S|11",決算整理!$S$5:$S$1835,0)),"")</f>
        <v/>
      </c>
      <c r="N59" s="828" t="str">
        <f>IF(M59="","",N58+M59)</f>
        <v/>
      </c>
      <c r="O59" s="829" t="str">
        <f>IFERROR(INDEX(決算整理!$P$5:$P$1835,MATCH("普及費|S|11",決算整理!$S$5:$S$1835,0)),"")</f>
        <v/>
      </c>
      <c r="P59" s="825" t="str">
        <f>IFERROR(INDEX(決算整理!$A$5:$A$1835,MATCH("光熱水料|S|11",決算整理!$S$5:$S$1835,0)),"")</f>
        <v/>
      </c>
      <c r="Q59" s="826" t="str">
        <f>IFERROR(INDEX(決算整理!$E$5:$E$1835,MATCH("光熱水料|S|11",決算整理!$S$5:$S$1835,0)),"")</f>
        <v/>
      </c>
      <c r="R59" s="827" t="str">
        <f>IFERROR(INDEX(決算整理!$H$5:$H$1835,MATCH("光熱水料|S|11",決算整理!$S$5:$S$1835,0)),"")</f>
        <v/>
      </c>
      <c r="S59" s="828" t="str">
        <f>IF(R59="","",S58+R59)</f>
        <v/>
      </c>
      <c r="T59" s="829" t="str">
        <f>IFERROR(INDEX(決算整理!$P$5:$P$1835,MATCH("光熱水料|S|11",決算整理!$S$5:$S$1835,0)),"")</f>
        <v/>
      </c>
    </row>
    <row r="60" ht="23.1" customHeight="1" s="186" thickBot="1">
      <c r="A60" s="825" t="str">
        <f>IFERROR(INDEX(決算整理!$A$5:$A$1835,MATCH("旅費|S|12",決算整理!$S$5:$S$1835,0)),"")</f>
        <v/>
      </c>
      <c r="B60" s="826" t="str">
        <f>IFERROR(INDEX(決算整理!$E$5:$E$1835,MATCH("旅費|S|12",決算整理!$S$5:$S$1835,0)),"")</f>
        <v/>
      </c>
      <c r="C60" s="827" t="str">
        <f>IFERROR(INDEX(決算整理!$H$5:$H$1835,MATCH("旅費|S|12",決算整理!$S$5:$S$1835,0)),"")</f>
        <v/>
      </c>
      <c r="D60" s="828" t="str">
        <f>IF(C60="","",D59+C60)</f>
        <v/>
      </c>
      <c r="E60" s="829" t="str">
        <f>IFERROR(INDEX(決算整理!$P$5:$P$1835,MATCH("旅費|S|12",決算整理!$S$5:$S$1835,0)),"")</f>
        <v/>
      </c>
      <c r="F60" s="825" t="str">
        <f>IFERROR(INDEX(決算整理!$A$5:$A$1835,MATCH("厚生費|S|12",決算整理!$S$5:$S$1835,0)),"")</f>
        <v/>
      </c>
      <c r="G60" s="826" t="str">
        <f>IFERROR(INDEX(決算整理!$E$5:$E$1835,MATCH("厚生費|S|12",決算整理!$S$5:$S$1835,0)),"")</f>
        <v/>
      </c>
      <c r="H60" s="827" t="str">
        <f>IFERROR(INDEX(決算整理!$H$5:$H$1835,MATCH("厚生費|S|12",決算整理!$S$5:$S$1835,0)),"")</f>
        <v/>
      </c>
      <c r="I60" s="828" t="str">
        <f>IF(H60="","",I59+H60)</f>
        <v/>
      </c>
      <c r="J60" s="829" t="str">
        <f>IFERROR(INDEX(決算整理!$P$5:$P$1835,MATCH("厚生費|S|12",決算整理!$S$5:$S$1835,0)),"")</f>
        <v/>
      </c>
      <c r="K60" s="825" t="str">
        <f>IFERROR(INDEX(決算整理!$A$5:$A$1835,MATCH("普及費|S|12",決算整理!$S$5:$S$1835,0)),"")</f>
        <v/>
      </c>
      <c r="L60" s="826" t="str">
        <f>IFERROR(INDEX(決算整理!$E$5:$E$1835,MATCH("普及費|S|12",決算整理!$S$5:$S$1835,0)),"")</f>
        <v/>
      </c>
      <c r="M60" s="827" t="str">
        <f>IFERROR(INDEX(決算整理!$H$5:$H$1835,MATCH("普及費|S|12",決算整理!$S$5:$S$1835,0)),"")</f>
        <v/>
      </c>
      <c r="N60" s="828" t="str">
        <f>IF(M60="","",N59+M60)</f>
        <v/>
      </c>
      <c r="O60" s="829" t="str">
        <f>IFERROR(INDEX(決算整理!$P$5:$P$1835,MATCH("普及費|S|12",決算整理!$S$5:$S$1835,0)),"")</f>
        <v/>
      </c>
      <c r="P60" s="825" t="str">
        <f>IFERROR(INDEX(決算整理!$A$5:$A$1835,MATCH("光熱水料|S|12",決算整理!$S$5:$S$1835,0)),"")</f>
        <v/>
      </c>
      <c r="Q60" s="826" t="str">
        <f>IFERROR(INDEX(決算整理!$E$5:$E$1835,MATCH("光熱水料|S|12",決算整理!$S$5:$S$1835,0)),"")</f>
        <v/>
      </c>
      <c r="R60" s="827" t="str">
        <f>IFERROR(INDEX(決算整理!$H$5:$H$1835,MATCH("光熱水料|S|12",決算整理!$S$5:$S$1835,0)),"")</f>
        <v/>
      </c>
      <c r="S60" s="828" t="str">
        <f>IF(R60="","",S59+R60)</f>
        <v/>
      </c>
      <c r="T60" s="829" t="str">
        <f>IFERROR(INDEX(決算整理!$P$5:$P$1835,MATCH("光熱水料|S|12",決算整理!$S$5:$S$1835,0)),"")</f>
        <v/>
      </c>
    </row>
    <row r="61" ht="23.1" customHeight="1" s="186"/>
    <row r="62" ht="23.1" customHeight="1" s="186"/>
    <row r="63" ht="23.1" customHeight="1" s="186"/>
    <row r="64" ht="23.1" customHeight="1" s="186">
      <c r="B64" s="502" t="inlineStr">
        <is>
          <t>○修繕費</t>
        </is>
      </c>
      <c r="D64" s="503" t="inlineStr">
        <is>
          <t>業務（短）未払</t>
        </is>
      </c>
      <c r="E64" s="824" t="str">
        <f>IF(COUNTIF(決算整理!$S$5:$S$1835,"修繕費|S|*")&gt;12,"行不足","")</f>
        <v/>
      </c>
      <c r="G64" s="502" t="inlineStr">
        <is>
          <t>○役員報酬</t>
        </is>
      </c>
      <c r="I64" s="503" t="inlineStr">
        <is>
          <t>業務（短）未払</t>
        </is>
      </c>
      <c r="J64" s="824" t="str">
        <f>IF(COUNTIF(決算整理!$S$5:$S$1835,"役員報酬|S|*")&gt;12,"行不足","")</f>
        <v/>
      </c>
      <c r="L64" s="502" t="inlineStr">
        <is>
          <t>○連合会分担金</t>
        </is>
      </c>
      <c r="N64" s="503" t="inlineStr">
        <is>
          <t>業務（短）未払</t>
        </is>
      </c>
      <c r="O64" s="824" t="str">
        <f>IF(COUNTIF(決算整理!$S$5:$S$1835,"連合会分担金|S|*")&gt;12,"行不足","")</f>
        <v/>
      </c>
      <c r="Q64" s="502" t="inlineStr">
        <is>
          <t>○職員給与  非常勤職員手当</t>
        </is>
      </c>
      <c r="S64" s="503" t="inlineStr">
        <is>
          <t>業務（短）未払</t>
        </is>
      </c>
      <c r="T64" s="824" t="str">
        <f>IF(COUNTIF(決算整理!$S$5:$S$1835,"非常勤職員手当|S|*")&gt;12,"行不足","")</f>
        <v/>
      </c>
    </row>
    <row r="65" ht="23.1" customHeight="1" s="186" thickBot="1">
      <c r="A65" s="100" t="inlineStr">
        <is>
          <t>支出日</t>
        </is>
      </c>
      <c r="B65" s="100" t="inlineStr">
        <is>
          <t>摘要</t>
        </is>
      </c>
      <c r="C65" s="100" t="inlineStr">
        <is>
          <t>支出</t>
        </is>
      </c>
      <c r="D65" s="100" t="inlineStr">
        <is>
          <t>累計</t>
        </is>
      </c>
      <c r="E65" s="100" t="inlineStr">
        <is>
          <t>状態</t>
        </is>
      </c>
      <c r="F65" s="100" t="inlineStr">
        <is>
          <t>支出日</t>
        </is>
      </c>
      <c r="G65" s="100" t="inlineStr">
        <is>
          <t>摘要</t>
        </is>
      </c>
      <c r="H65" s="100" t="inlineStr">
        <is>
          <t>支出</t>
        </is>
      </c>
      <c r="I65" s="100" t="inlineStr">
        <is>
          <t>累計</t>
        </is>
      </c>
      <c r="J65" s="100" t="inlineStr">
        <is>
          <t>状態</t>
        </is>
      </c>
      <c r="K65" s="100" t="inlineStr">
        <is>
          <t>支出日</t>
        </is>
      </c>
      <c r="L65" s="100" t="inlineStr">
        <is>
          <t>摘要</t>
        </is>
      </c>
      <c r="M65" s="100" t="inlineStr">
        <is>
          <t>支出</t>
        </is>
      </c>
      <c r="N65" s="100" t="inlineStr">
        <is>
          <t>累計</t>
        </is>
      </c>
      <c r="O65" s="100" t="inlineStr">
        <is>
          <t>状態</t>
        </is>
      </c>
      <c r="P65" s="100" t="inlineStr">
        <is>
          <t>支出日</t>
        </is>
      </c>
      <c r="Q65" s="100" t="inlineStr">
        <is>
          <t>摘要</t>
        </is>
      </c>
      <c r="R65" s="100" t="inlineStr">
        <is>
          <t>支出</t>
        </is>
      </c>
      <c r="S65" s="100" t="inlineStr">
        <is>
          <t>累計</t>
        </is>
      </c>
      <c r="T65" s="100" t="inlineStr">
        <is>
          <t>状態</t>
        </is>
      </c>
    </row>
    <row r="66" ht="23.1" customHeight="1" s="186" thickBot="1">
      <c r="A66" s="825" t="n"/>
      <c r="B66" s="826" t="inlineStr">
        <is>
          <t>（予算なし）</t>
        </is>
      </c>
      <c r="C66" s="827" t="n"/>
      <c r="D66" s="828" t="n">
        <v>0</v>
      </c>
      <c r="F66" s="825" t="n"/>
      <c r="G66" s="826" t="inlineStr">
        <is>
          <t>（予算なし）</t>
        </is>
      </c>
      <c r="H66" s="827" t="n"/>
      <c r="I66" s="828" t="n">
        <v>0</v>
      </c>
      <c r="K66" s="825" t="n"/>
      <c r="L66" s="826" t="inlineStr">
        <is>
          <t>（予算なし）</t>
        </is>
      </c>
      <c r="M66" s="827" t="n"/>
      <c r="N66" s="828" t="n">
        <v>0</v>
      </c>
      <c r="P66" s="825" t="n"/>
      <c r="Q66" s="826" t="inlineStr">
        <is>
          <t>（予算なし）</t>
        </is>
      </c>
      <c r="R66" s="827" t="n"/>
      <c r="S66" s="828" t="n">
        <v>0</v>
      </c>
    </row>
    <row r="67" ht="23.1" customHeight="1" s="186" thickBot="1">
      <c r="A67" s="825" t="str">
        <f>IFERROR(INDEX(決算整理!$A$5:$A$1835,MATCH("修繕費|S|1",決算整理!$S$5:$S$1835,0)),"")</f>
        <v/>
      </c>
      <c r="B67" s="826" t="str">
        <f>IFERROR(INDEX(決算整理!$E$5:$E$1835,MATCH("修繕費|S|1",決算整理!$S$5:$S$1835,0)),"")</f>
        <v/>
      </c>
      <c r="C67" s="827" t="str">
        <f>IFERROR(INDEX(決算整理!$H$5:$H$1835,MATCH("修繕費|S|1",決算整理!$S$5:$S$1835,0)),"")</f>
        <v/>
      </c>
      <c r="D67" s="828" t="str">
        <f>IF(C67="","",D66+C67)</f>
        <v/>
      </c>
      <c r="E67" s="829" t="str">
        <f>IFERROR(INDEX(決算整理!$P$5:$P$1835,MATCH("修繕費|S|1",決算整理!$S$5:$S$1835,0)),"")</f>
        <v/>
      </c>
      <c r="F67" s="825" t="str">
        <f>IFERROR(INDEX(決算整理!$A$5:$A$1835,MATCH("役員報酬|S|1",決算整理!$S$5:$S$1835,0)),"")</f>
        <v/>
      </c>
      <c r="G67" s="826" t="str">
        <f>IFERROR(INDEX(決算整理!$E$5:$E$1835,MATCH("役員報酬|S|1",決算整理!$S$5:$S$1835,0)),"")</f>
        <v/>
      </c>
      <c r="H67" s="827" t="str">
        <f>IFERROR(INDEX(決算整理!$H$5:$H$1835,MATCH("役員報酬|S|1",決算整理!$S$5:$S$1835,0)),"")</f>
        <v/>
      </c>
      <c r="I67" s="828" t="str">
        <f>IF(H67="","",I66+H67)</f>
        <v/>
      </c>
      <c r="J67" s="829" t="str">
        <f>IFERROR(INDEX(決算整理!$P$5:$P$1835,MATCH("役員報酬|S|1",決算整理!$S$5:$S$1835,0)),"")</f>
        <v/>
      </c>
      <c r="K67" s="825" t="str">
        <f>IFERROR(INDEX(決算整理!$A$5:$A$1835,MATCH("連合会分担金|S|1",決算整理!$S$5:$S$1835,0)),"")</f>
        <v/>
      </c>
      <c r="L67" s="826" t="str">
        <f>IFERROR(INDEX(決算整理!$E$5:$E$1835,MATCH("連合会分担金|S|1",決算整理!$S$5:$S$1835,0)),"")</f>
        <v/>
      </c>
      <c r="M67" s="827" t="str">
        <f>IFERROR(INDEX(決算整理!$H$5:$H$1835,MATCH("連合会分担金|S|1",決算整理!$S$5:$S$1835,0)),"")</f>
        <v/>
      </c>
      <c r="N67" s="828" t="str">
        <f>IF(M67="","",N66+M67)</f>
        <v/>
      </c>
      <c r="O67" s="829" t="str">
        <f>IFERROR(INDEX(決算整理!$P$5:$P$1835,MATCH("連合会分担金|S|1",決算整理!$S$5:$S$1835,0)),"")</f>
        <v/>
      </c>
      <c r="P67" s="825" t="str">
        <f>IFERROR(INDEX(決算整理!$A$5:$A$1835,MATCH("非常勤職員手当|S|1",決算整理!$S$5:$S$1835,0)),"")</f>
        <v/>
      </c>
      <c r="Q67" s="826" t="str">
        <f>IFERROR(INDEX(決算整理!$E$5:$E$1835,MATCH("非常勤職員手当|S|1",決算整理!$S$5:$S$1835,0)),"")</f>
        <v/>
      </c>
      <c r="R67" s="827" t="str">
        <f>IFERROR(INDEX(決算整理!$H$5:$H$1835,MATCH("非常勤職員手当|S|1",決算整理!$S$5:$S$1835,0)),"")</f>
        <v/>
      </c>
      <c r="S67" s="828" t="str">
        <f>IF(R67="","",S66+R67)</f>
        <v/>
      </c>
      <c r="T67" s="829" t="str">
        <f>IFERROR(INDEX(決算整理!$P$5:$P$1835,MATCH("非常勤職員手当|S|1",決算整理!$S$5:$S$1835,0)),"")</f>
        <v/>
      </c>
    </row>
    <row r="68" ht="26.25" customHeight="1" s="186" thickBot="1">
      <c r="A68" s="825" t="str">
        <f>IFERROR(INDEX(決算整理!$A$5:$A$1835,MATCH("修繕費|S|2",決算整理!$S$5:$S$1835,0)),"")</f>
        <v/>
      </c>
      <c r="B68" s="826" t="str">
        <f>IFERROR(INDEX(決算整理!$E$5:$E$1835,MATCH("修繕費|S|2",決算整理!$S$5:$S$1835,0)),"")</f>
        <v/>
      </c>
      <c r="C68" s="827" t="str">
        <f>IFERROR(INDEX(決算整理!$H$5:$H$1835,MATCH("修繕費|S|2",決算整理!$S$5:$S$1835,0)),"")</f>
        <v/>
      </c>
      <c r="D68" s="828" t="str">
        <f>IF(C68="","",D67+C68)</f>
        <v/>
      </c>
      <c r="E68" s="829" t="str">
        <f>IFERROR(INDEX(決算整理!$P$5:$P$1835,MATCH("修繕費|S|2",決算整理!$S$5:$S$1835,0)),"")</f>
        <v/>
      </c>
      <c r="F68" s="825" t="str">
        <f>IFERROR(INDEX(決算整理!$A$5:$A$1835,MATCH("役員報酬|S|2",決算整理!$S$5:$S$1835,0)),"")</f>
        <v/>
      </c>
      <c r="G68" s="826" t="str">
        <f>IFERROR(INDEX(決算整理!$E$5:$E$1835,MATCH("役員報酬|S|2",決算整理!$S$5:$S$1835,0)),"")</f>
        <v/>
      </c>
      <c r="H68" s="827" t="str">
        <f>IFERROR(INDEX(決算整理!$H$5:$H$1835,MATCH("役員報酬|S|2",決算整理!$S$5:$S$1835,0)),"")</f>
        <v/>
      </c>
      <c r="I68" s="828" t="str">
        <f>IF(H68="","",I67+H68)</f>
        <v/>
      </c>
      <c r="J68" s="829" t="str">
        <f>IFERROR(INDEX(決算整理!$P$5:$P$1835,MATCH("役員報酬|S|2",決算整理!$S$5:$S$1835,0)),"")</f>
        <v/>
      </c>
      <c r="K68" s="825" t="str">
        <f>IFERROR(INDEX(決算整理!$A$5:$A$1835,MATCH("連合会分担金|S|2",決算整理!$S$5:$S$1835,0)),"")</f>
        <v/>
      </c>
      <c r="L68" s="826" t="str">
        <f>IFERROR(INDEX(決算整理!$E$5:$E$1835,MATCH("連合会分担金|S|2",決算整理!$S$5:$S$1835,0)),"")</f>
        <v/>
      </c>
      <c r="M68" s="827" t="str">
        <f>IFERROR(INDEX(決算整理!$H$5:$H$1835,MATCH("連合会分担金|S|2",決算整理!$S$5:$S$1835,0)),"")</f>
        <v/>
      </c>
      <c r="N68" s="828" t="str">
        <f>IF(M68="","",N67+M68)</f>
        <v/>
      </c>
      <c r="O68" s="829" t="str">
        <f>IFERROR(INDEX(決算整理!$P$5:$P$1835,MATCH("連合会分担金|S|2",決算整理!$S$5:$S$1835,0)),"")</f>
        <v/>
      </c>
      <c r="P68" s="825" t="str">
        <f>IFERROR(INDEX(決算整理!$A$5:$A$1835,MATCH("非常勤職員手当|S|2",決算整理!$S$5:$S$1835,0)),"")</f>
        <v/>
      </c>
      <c r="Q68" s="826" t="str">
        <f>IFERROR(INDEX(決算整理!$E$5:$E$1835,MATCH("非常勤職員手当|S|2",決算整理!$S$5:$S$1835,0)),"")</f>
        <v/>
      </c>
      <c r="R68" s="827" t="str">
        <f>IFERROR(INDEX(決算整理!$H$5:$H$1835,MATCH("非常勤職員手当|S|2",決算整理!$S$5:$S$1835,0)),"")</f>
        <v/>
      </c>
      <c r="S68" s="828" t="str">
        <f>IF(R68="","",S67+R68)</f>
        <v/>
      </c>
      <c r="T68" s="829" t="str">
        <f>IFERROR(INDEX(決算整理!$P$5:$P$1835,MATCH("非常勤職員手当|S|2",決算整理!$S$5:$S$1835,0)),"")</f>
        <v/>
      </c>
    </row>
    <row r="69" ht="26.25" customHeight="1" s="186" thickBot="1">
      <c r="A69" s="825" t="str">
        <f>IFERROR(INDEX(決算整理!$A$5:$A$1835,MATCH("修繕費|S|3",決算整理!$S$5:$S$1835,0)),"")</f>
        <v/>
      </c>
      <c r="B69" s="826" t="str">
        <f>IFERROR(INDEX(決算整理!$E$5:$E$1835,MATCH("修繕費|S|3",決算整理!$S$5:$S$1835,0)),"")</f>
        <v/>
      </c>
      <c r="C69" s="827" t="str">
        <f>IFERROR(INDEX(決算整理!$H$5:$H$1835,MATCH("修繕費|S|3",決算整理!$S$5:$S$1835,0)),"")</f>
        <v/>
      </c>
      <c r="D69" s="828" t="str">
        <f>IF(C69="","",D68+C69)</f>
        <v/>
      </c>
      <c r="E69" s="829" t="str">
        <f>IFERROR(INDEX(決算整理!$P$5:$P$1835,MATCH("修繕費|S|3",決算整理!$S$5:$S$1835,0)),"")</f>
        <v/>
      </c>
      <c r="F69" s="825" t="str">
        <f>IFERROR(INDEX(決算整理!$A$5:$A$1835,MATCH("役員報酬|S|3",決算整理!$S$5:$S$1835,0)),"")</f>
        <v/>
      </c>
      <c r="G69" s="826" t="str">
        <f>IFERROR(INDEX(決算整理!$E$5:$E$1835,MATCH("役員報酬|S|3",決算整理!$S$5:$S$1835,0)),"")</f>
        <v/>
      </c>
      <c r="H69" s="827" t="str">
        <f>IFERROR(INDEX(決算整理!$H$5:$H$1835,MATCH("役員報酬|S|3",決算整理!$S$5:$S$1835,0)),"")</f>
        <v/>
      </c>
      <c r="I69" s="828" t="str">
        <f>IF(H69="","",I68+H69)</f>
        <v/>
      </c>
      <c r="J69" s="829" t="str">
        <f>IFERROR(INDEX(決算整理!$P$5:$P$1835,MATCH("役員報酬|S|3",決算整理!$S$5:$S$1835,0)),"")</f>
        <v/>
      </c>
      <c r="K69" s="825" t="str">
        <f>IFERROR(INDEX(決算整理!$A$5:$A$1835,MATCH("連合会分担金|S|3",決算整理!$S$5:$S$1835,0)),"")</f>
        <v/>
      </c>
      <c r="L69" s="826" t="str">
        <f>IFERROR(INDEX(決算整理!$E$5:$E$1835,MATCH("連合会分担金|S|3",決算整理!$S$5:$S$1835,0)),"")</f>
        <v/>
      </c>
      <c r="M69" s="827" t="str">
        <f>IFERROR(INDEX(決算整理!$H$5:$H$1835,MATCH("連合会分担金|S|3",決算整理!$S$5:$S$1835,0)),"")</f>
        <v/>
      </c>
      <c r="N69" s="828" t="str">
        <f>IF(M69="","",N68+M69)</f>
        <v/>
      </c>
      <c r="O69" s="829" t="str">
        <f>IFERROR(INDEX(決算整理!$P$5:$P$1835,MATCH("連合会分担金|S|3",決算整理!$S$5:$S$1835,0)),"")</f>
        <v/>
      </c>
      <c r="P69" s="825" t="str">
        <f>IFERROR(INDEX(決算整理!$A$5:$A$1835,MATCH("非常勤職員手当|S|3",決算整理!$S$5:$S$1835,0)),"")</f>
        <v/>
      </c>
      <c r="Q69" s="826" t="str">
        <f>IFERROR(INDEX(決算整理!$E$5:$E$1835,MATCH("非常勤職員手当|S|3",決算整理!$S$5:$S$1835,0)),"")</f>
        <v/>
      </c>
      <c r="R69" s="827" t="str">
        <f>IFERROR(INDEX(決算整理!$H$5:$H$1835,MATCH("非常勤職員手当|S|3",決算整理!$S$5:$S$1835,0)),"")</f>
        <v/>
      </c>
      <c r="S69" s="828" t="str">
        <f>IF(R69="","",S68+R69)</f>
        <v/>
      </c>
      <c r="T69" s="829" t="str">
        <f>IFERROR(INDEX(決算整理!$P$5:$P$1835,MATCH("非常勤職員手当|S|3",決算整理!$S$5:$S$1835,0)),"")</f>
        <v/>
      </c>
    </row>
    <row r="70" ht="26.25" customHeight="1" s="186">
      <c r="A70" s="825" t="str">
        <f>IFERROR(INDEX(決算整理!$A$5:$A$1835,MATCH("修繕費|S|4",決算整理!$S$5:$S$1835,0)),"")</f>
        <v/>
      </c>
      <c r="B70" s="826" t="str">
        <f>IFERROR(INDEX(決算整理!$E$5:$E$1835,MATCH("修繕費|S|4",決算整理!$S$5:$S$1835,0)),"")</f>
        <v/>
      </c>
      <c r="C70" s="827" t="str">
        <f>IFERROR(INDEX(決算整理!$H$5:$H$1835,MATCH("修繕費|S|4",決算整理!$S$5:$S$1835,0)),"")</f>
        <v/>
      </c>
      <c r="D70" s="828" t="str">
        <f>IF(C70="","",D69+C70)</f>
        <v/>
      </c>
      <c r="E70" s="829" t="str">
        <f>IFERROR(INDEX(決算整理!$P$5:$P$1835,MATCH("修繕費|S|4",決算整理!$S$5:$S$1835,0)),"")</f>
        <v/>
      </c>
      <c r="F70" s="825" t="str">
        <f>IFERROR(INDEX(決算整理!$A$5:$A$1835,MATCH("役員報酬|S|4",決算整理!$S$5:$S$1835,0)),"")</f>
        <v/>
      </c>
      <c r="G70" s="826" t="str">
        <f>IFERROR(INDEX(決算整理!$E$5:$E$1835,MATCH("役員報酬|S|4",決算整理!$S$5:$S$1835,0)),"")</f>
        <v/>
      </c>
      <c r="H70" s="827" t="str">
        <f>IFERROR(INDEX(決算整理!$H$5:$H$1835,MATCH("役員報酬|S|4",決算整理!$S$5:$S$1835,0)),"")</f>
        <v/>
      </c>
      <c r="I70" s="828" t="str">
        <f>IF(H70="","",I69+H70)</f>
        <v/>
      </c>
      <c r="J70" s="829" t="str">
        <f>IFERROR(INDEX(決算整理!$P$5:$P$1835,MATCH("役員報酬|S|4",決算整理!$S$5:$S$1835,0)),"")</f>
        <v/>
      </c>
      <c r="K70" s="825" t="str">
        <f>IFERROR(INDEX(決算整理!$A$5:$A$1835,MATCH("連合会分担金|S|4",決算整理!$S$5:$S$1835,0)),"")</f>
        <v/>
      </c>
      <c r="L70" s="826" t="str">
        <f>IFERROR(INDEX(決算整理!$E$5:$E$1835,MATCH("連合会分担金|S|4",決算整理!$S$5:$S$1835,0)),"")</f>
        <v/>
      </c>
      <c r="M70" s="827" t="str">
        <f>IFERROR(INDEX(決算整理!$H$5:$H$1835,MATCH("連合会分担金|S|4",決算整理!$S$5:$S$1835,0)),"")</f>
        <v/>
      </c>
      <c r="N70" s="828" t="str">
        <f>IF(M70="","",N69+M70)</f>
        <v/>
      </c>
      <c r="O70" s="829" t="str">
        <f>IFERROR(INDEX(決算整理!$P$5:$P$1835,MATCH("連合会分担金|S|4",決算整理!$S$5:$S$1835,0)),"")</f>
        <v/>
      </c>
      <c r="P70" s="825" t="str">
        <f>IFERROR(INDEX(決算整理!$A$5:$A$1835,MATCH("非常勤職員手当|S|4",決算整理!$S$5:$S$1835,0)),"")</f>
        <v/>
      </c>
      <c r="Q70" s="826" t="str">
        <f>IFERROR(INDEX(決算整理!$E$5:$E$1835,MATCH("非常勤職員手当|S|4",決算整理!$S$5:$S$1835,0)),"")</f>
        <v/>
      </c>
      <c r="R70" s="827" t="str">
        <f>IFERROR(INDEX(決算整理!$H$5:$H$1835,MATCH("非常勤職員手当|S|4",決算整理!$S$5:$S$1835,0)),"")</f>
        <v/>
      </c>
      <c r="S70" s="828" t="str">
        <f>IF(R70="","",S69+R70)</f>
        <v/>
      </c>
      <c r="T70" s="829" t="str">
        <f>IFERROR(INDEX(決算整理!$P$5:$P$1835,MATCH("非常勤職員手当|S|4",決算整理!$S$5:$S$1835,0)),"")</f>
        <v/>
      </c>
    </row>
    <row r="71" ht="26.25" customHeight="1" s="186">
      <c r="A71" s="825" t="str">
        <f>IFERROR(INDEX(決算整理!$A$5:$A$1835,MATCH("修繕費|S|5",決算整理!$S$5:$S$1835,0)),"")</f>
        <v/>
      </c>
      <c r="B71" s="826" t="str">
        <f>IFERROR(INDEX(決算整理!$E$5:$E$1835,MATCH("修繕費|S|5",決算整理!$S$5:$S$1835,0)),"")</f>
        <v/>
      </c>
      <c r="C71" s="827" t="str">
        <f>IFERROR(INDEX(決算整理!$H$5:$H$1835,MATCH("修繕費|S|5",決算整理!$S$5:$S$1835,0)),"")</f>
        <v/>
      </c>
      <c r="D71" s="828" t="str">
        <f>IF(C71="","",D70+C71)</f>
        <v/>
      </c>
      <c r="E71" s="829" t="str">
        <f>IFERROR(INDEX(決算整理!$P$5:$P$1835,MATCH("修繕費|S|5",決算整理!$S$5:$S$1835,0)),"")</f>
        <v/>
      </c>
      <c r="F71" s="825" t="str">
        <f>IFERROR(INDEX(決算整理!$A$5:$A$1835,MATCH("役員報酬|S|5",決算整理!$S$5:$S$1835,0)),"")</f>
        <v/>
      </c>
      <c r="G71" s="826" t="str">
        <f>IFERROR(INDEX(決算整理!$E$5:$E$1835,MATCH("役員報酬|S|5",決算整理!$S$5:$S$1835,0)),"")</f>
        <v/>
      </c>
      <c r="H71" s="827" t="str">
        <f>IFERROR(INDEX(決算整理!$H$5:$H$1835,MATCH("役員報酬|S|5",決算整理!$S$5:$S$1835,0)),"")</f>
        <v/>
      </c>
      <c r="I71" s="828" t="str">
        <f>IF(H71="","",I70+H71)</f>
        <v/>
      </c>
      <c r="J71" s="829" t="str">
        <f>IFERROR(INDEX(決算整理!$P$5:$P$1835,MATCH("役員報酬|S|5",決算整理!$S$5:$S$1835,0)),"")</f>
        <v/>
      </c>
      <c r="K71" s="825" t="str">
        <f>IFERROR(INDEX(決算整理!$A$5:$A$1835,MATCH("連合会分担金|S|5",決算整理!$S$5:$S$1835,0)),"")</f>
        <v/>
      </c>
      <c r="L71" s="826" t="str">
        <f>IFERROR(INDEX(決算整理!$E$5:$E$1835,MATCH("連合会分担金|S|5",決算整理!$S$5:$S$1835,0)),"")</f>
        <v/>
      </c>
      <c r="M71" s="827" t="str">
        <f>IFERROR(INDEX(決算整理!$H$5:$H$1835,MATCH("連合会分担金|S|5",決算整理!$S$5:$S$1835,0)),"")</f>
        <v/>
      </c>
      <c r="N71" s="828" t="str">
        <f>IF(M71="","",N70+M71)</f>
        <v/>
      </c>
      <c r="O71" s="829" t="str">
        <f>IFERROR(INDEX(決算整理!$P$5:$P$1835,MATCH("連合会分担金|S|5",決算整理!$S$5:$S$1835,0)),"")</f>
        <v/>
      </c>
      <c r="P71" s="825" t="str">
        <f>IFERROR(INDEX(決算整理!$A$5:$A$1835,MATCH("非常勤職員手当|S|5",決算整理!$S$5:$S$1835,0)),"")</f>
        <v/>
      </c>
      <c r="Q71" s="826" t="str">
        <f>IFERROR(INDEX(決算整理!$E$5:$E$1835,MATCH("非常勤職員手当|S|5",決算整理!$S$5:$S$1835,0)),"")</f>
        <v/>
      </c>
      <c r="R71" s="827" t="str">
        <f>IFERROR(INDEX(決算整理!$H$5:$H$1835,MATCH("非常勤職員手当|S|5",決算整理!$S$5:$S$1835,0)),"")</f>
        <v/>
      </c>
      <c r="S71" s="828" t="str">
        <f>IF(R71="","",S70+R71)</f>
        <v/>
      </c>
      <c r="T71" s="829" t="str">
        <f>IFERROR(INDEX(決算整理!$P$5:$P$1835,MATCH("非常勤職員手当|S|5",決算整理!$S$5:$S$1835,0)),"")</f>
        <v/>
      </c>
    </row>
    <row r="72" ht="26.25" customHeight="1" s="186">
      <c r="A72" s="825" t="str">
        <f>IFERROR(INDEX(決算整理!$A$5:$A$1835,MATCH("修繕費|S|6",決算整理!$S$5:$S$1835,0)),"")</f>
        <v/>
      </c>
      <c r="B72" s="826" t="str">
        <f>IFERROR(INDEX(決算整理!$E$5:$E$1835,MATCH("修繕費|S|6",決算整理!$S$5:$S$1835,0)),"")</f>
        <v/>
      </c>
      <c r="C72" s="827" t="str">
        <f>IFERROR(INDEX(決算整理!$H$5:$H$1835,MATCH("修繕費|S|6",決算整理!$S$5:$S$1835,0)),"")</f>
        <v/>
      </c>
      <c r="D72" s="828" t="str">
        <f>IF(C72="","",D71+C72)</f>
        <v/>
      </c>
      <c r="E72" s="829" t="str">
        <f>IFERROR(INDEX(決算整理!$P$5:$P$1835,MATCH("修繕費|S|6",決算整理!$S$5:$S$1835,0)),"")</f>
        <v/>
      </c>
      <c r="F72" s="825" t="str">
        <f>IFERROR(INDEX(決算整理!$A$5:$A$1835,MATCH("役員報酬|S|6",決算整理!$S$5:$S$1835,0)),"")</f>
        <v/>
      </c>
      <c r="G72" s="826" t="str">
        <f>IFERROR(INDEX(決算整理!$E$5:$E$1835,MATCH("役員報酬|S|6",決算整理!$S$5:$S$1835,0)),"")</f>
        <v/>
      </c>
      <c r="H72" s="827" t="str">
        <f>IFERROR(INDEX(決算整理!$H$5:$H$1835,MATCH("役員報酬|S|6",決算整理!$S$5:$S$1835,0)),"")</f>
        <v/>
      </c>
      <c r="I72" s="828" t="str">
        <f>IF(H72="","",I71+H72)</f>
        <v/>
      </c>
      <c r="J72" s="829" t="str">
        <f>IFERROR(INDEX(決算整理!$P$5:$P$1835,MATCH("役員報酬|S|6",決算整理!$S$5:$S$1835,0)),"")</f>
        <v/>
      </c>
      <c r="K72" s="825" t="str">
        <f>IFERROR(INDEX(決算整理!$A$5:$A$1835,MATCH("連合会分担金|S|6",決算整理!$S$5:$S$1835,0)),"")</f>
        <v/>
      </c>
      <c r="L72" s="826" t="str">
        <f>IFERROR(INDEX(決算整理!$E$5:$E$1835,MATCH("連合会分担金|S|6",決算整理!$S$5:$S$1835,0)),"")</f>
        <v/>
      </c>
      <c r="M72" s="827" t="str">
        <f>IFERROR(INDEX(決算整理!$H$5:$H$1835,MATCH("連合会分担金|S|6",決算整理!$S$5:$S$1835,0)),"")</f>
        <v/>
      </c>
      <c r="N72" s="828" t="str">
        <f>IF(M72="","",N71+M72)</f>
        <v/>
      </c>
      <c r="O72" s="829" t="str">
        <f>IFERROR(INDEX(決算整理!$P$5:$P$1835,MATCH("連合会分担金|S|6",決算整理!$S$5:$S$1835,0)),"")</f>
        <v/>
      </c>
      <c r="P72" s="825" t="str">
        <f>IFERROR(INDEX(決算整理!$A$5:$A$1835,MATCH("非常勤職員手当|S|6",決算整理!$S$5:$S$1835,0)),"")</f>
        <v/>
      </c>
      <c r="Q72" s="826" t="str">
        <f>IFERROR(INDEX(決算整理!$E$5:$E$1835,MATCH("非常勤職員手当|S|6",決算整理!$S$5:$S$1835,0)),"")</f>
        <v/>
      </c>
      <c r="R72" s="827" t="str">
        <f>IFERROR(INDEX(決算整理!$H$5:$H$1835,MATCH("非常勤職員手当|S|6",決算整理!$S$5:$S$1835,0)),"")</f>
        <v/>
      </c>
      <c r="S72" s="828" t="str">
        <f>IF(R72="","",S71+R72)</f>
        <v/>
      </c>
      <c r="T72" s="829" t="str">
        <f>IFERROR(INDEX(決算整理!$P$5:$P$1835,MATCH("非常勤職員手当|S|6",決算整理!$S$5:$S$1835,0)),"")</f>
        <v/>
      </c>
    </row>
    <row r="73" ht="26.25" customHeight="1" s="186">
      <c r="A73" s="825" t="str">
        <f>IFERROR(INDEX(決算整理!$A$5:$A$1835,MATCH("修繕費|S|7",決算整理!$S$5:$S$1835,0)),"")</f>
        <v/>
      </c>
      <c r="B73" s="826" t="str">
        <f>IFERROR(INDEX(決算整理!$E$5:$E$1835,MATCH("修繕費|S|7",決算整理!$S$5:$S$1835,0)),"")</f>
        <v/>
      </c>
      <c r="C73" s="827" t="str">
        <f>IFERROR(INDEX(決算整理!$H$5:$H$1835,MATCH("修繕費|S|7",決算整理!$S$5:$S$1835,0)),"")</f>
        <v/>
      </c>
      <c r="D73" s="828" t="str">
        <f>IF(C73="","",D72+C73)</f>
        <v/>
      </c>
      <c r="E73" s="829" t="str">
        <f>IFERROR(INDEX(決算整理!$P$5:$P$1835,MATCH("修繕費|S|7",決算整理!$S$5:$S$1835,0)),"")</f>
        <v/>
      </c>
      <c r="F73" s="825" t="str">
        <f>IFERROR(INDEX(決算整理!$A$5:$A$1835,MATCH("役員報酬|S|7",決算整理!$S$5:$S$1835,0)),"")</f>
        <v/>
      </c>
      <c r="G73" s="826" t="str">
        <f>IFERROR(INDEX(決算整理!$E$5:$E$1835,MATCH("役員報酬|S|7",決算整理!$S$5:$S$1835,0)),"")</f>
        <v/>
      </c>
      <c r="H73" s="827" t="str">
        <f>IFERROR(INDEX(決算整理!$H$5:$H$1835,MATCH("役員報酬|S|7",決算整理!$S$5:$S$1835,0)),"")</f>
        <v/>
      </c>
      <c r="I73" s="828" t="str">
        <f>IF(H73="","",I72+H73)</f>
        <v/>
      </c>
      <c r="J73" s="829" t="str">
        <f>IFERROR(INDEX(決算整理!$P$5:$P$1835,MATCH("役員報酬|S|7",決算整理!$S$5:$S$1835,0)),"")</f>
        <v/>
      </c>
      <c r="K73" s="825" t="str">
        <f>IFERROR(INDEX(決算整理!$A$5:$A$1835,MATCH("連合会分担金|S|7",決算整理!$S$5:$S$1835,0)),"")</f>
        <v/>
      </c>
      <c r="L73" s="826" t="str">
        <f>IFERROR(INDEX(決算整理!$E$5:$E$1835,MATCH("連合会分担金|S|7",決算整理!$S$5:$S$1835,0)),"")</f>
        <v/>
      </c>
      <c r="M73" s="827" t="str">
        <f>IFERROR(INDEX(決算整理!$H$5:$H$1835,MATCH("連合会分担金|S|7",決算整理!$S$5:$S$1835,0)),"")</f>
        <v/>
      </c>
      <c r="N73" s="828" t="str">
        <f>IF(M73="","",N72+M73)</f>
        <v/>
      </c>
      <c r="O73" s="829" t="str">
        <f>IFERROR(INDEX(決算整理!$P$5:$P$1835,MATCH("連合会分担金|S|7",決算整理!$S$5:$S$1835,0)),"")</f>
        <v/>
      </c>
      <c r="P73" s="825" t="str">
        <f>IFERROR(INDEX(決算整理!$A$5:$A$1835,MATCH("非常勤職員手当|S|7",決算整理!$S$5:$S$1835,0)),"")</f>
        <v/>
      </c>
      <c r="Q73" s="826" t="str">
        <f>IFERROR(INDEX(決算整理!$E$5:$E$1835,MATCH("非常勤職員手当|S|7",決算整理!$S$5:$S$1835,0)),"")</f>
        <v/>
      </c>
      <c r="R73" s="827" t="str">
        <f>IFERROR(INDEX(決算整理!$H$5:$H$1835,MATCH("非常勤職員手当|S|7",決算整理!$S$5:$S$1835,0)),"")</f>
        <v/>
      </c>
      <c r="S73" s="828" t="str">
        <f>IF(R73="","",S72+R73)</f>
        <v/>
      </c>
      <c r="T73" s="829" t="str">
        <f>IFERROR(INDEX(決算整理!$P$5:$P$1835,MATCH("非常勤職員手当|S|7",決算整理!$S$5:$S$1835,0)),"")</f>
        <v/>
      </c>
    </row>
    <row r="74" ht="26.25" customHeight="1" s="186">
      <c r="A74" s="825" t="str">
        <f>IFERROR(INDEX(決算整理!$A$5:$A$1835,MATCH("修繕費|S|8",決算整理!$S$5:$S$1835,0)),"")</f>
        <v/>
      </c>
      <c r="B74" s="826" t="str">
        <f>IFERROR(INDEX(決算整理!$E$5:$E$1835,MATCH("修繕費|S|8",決算整理!$S$5:$S$1835,0)),"")</f>
        <v/>
      </c>
      <c r="C74" s="827" t="str">
        <f>IFERROR(INDEX(決算整理!$H$5:$H$1835,MATCH("修繕費|S|8",決算整理!$S$5:$S$1835,0)),"")</f>
        <v/>
      </c>
      <c r="D74" s="828" t="str">
        <f>IF(C74="","",D73+C74)</f>
        <v/>
      </c>
      <c r="E74" s="829" t="str">
        <f>IFERROR(INDEX(決算整理!$P$5:$P$1835,MATCH("修繕費|S|8",決算整理!$S$5:$S$1835,0)),"")</f>
        <v/>
      </c>
      <c r="F74" s="825" t="str">
        <f>IFERROR(INDEX(決算整理!$A$5:$A$1835,MATCH("役員報酬|S|8",決算整理!$S$5:$S$1835,0)),"")</f>
        <v/>
      </c>
      <c r="G74" s="826" t="str">
        <f>IFERROR(INDEX(決算整理!$E$5:$E$1835,MATCH("役員報酬|S|8",決算整理!$S$5:$S$1835,0)),"")</f>
        <v/>
      </c>
      <c r="H74" s="827" t="str">
        <f>IFERROR(INDEX(決算整理!$H$5:$H$1835,MATCH("役員報酬|S|8",決算整理!$S$5:$S$1835,0)),"")</f>
        <v/>
      </c>
      <c r="I74" s="828" t="str">
        <f>IF(H74="","",I73+H74)</f>
        <v/>
      </c>
      <c r="J74" s="829" t="str">
        <f>IFERROR(INDEX(決算整理!$P$5:$P$1835,MATCH("役員報酬|S|8",決算整理!$S$5:$S$1835,0)),"")</f>
        <v/>
      </c>
      <c r="K74" s="825" t="str">
        <f>IFERROR(INDEX(決算整理!$A$5:$A$1835,MATCH("連合会分担金|S|8",決算整理!$S$5:$S$1835,0)),"")</f>
        <v/>
      </c>
      <c r="L74" s="826" t="str">
        <f>IFERROR(INDEX(決算整理!$E$5:$E$1835,MATCH("連合会分担金|S|8",決算整理!$S$5:$S$1835,0)),"")</f>
        <v/>
      </c>
      <c r="M74" s="827" t="str">
        <f>IFERROR(INDEX(決算整理!$H$5:$H$1835,MATCH("連合会分担金|S|8",決算整理!$S$5:$S$1835,0)),"")</f>
        <v/>
      </c>
      <c r="N74" s="828" t="str">
        <f>IF(M74="","",N73+M74)</f>
        <v/>
      </c>
      <c r="O74" s="829" t="str">
        <f>IFERROR(INDEX(決算整理!$P$5:$P$1835,MATCH("連合会分担金|S|8",決算整理!$S$5:$S$1835,0)),"")</f>
        <v/>
      </c>
      <c r="P74" s="825" t="str">
        <f>IFERROR(INDEX(決算整理!$A$5:$A$1835,MATCH("非常勤職員手当|S|8",決算整理!$S$5:$S$1835,0)),"")</f>
        <v/>
      </c>
      <c r="Q74" s="826" t="str">
        <f>IFERROR(INDEX(決算整理!$E$5:$E$1835,MATCH("非常勤職員手当|S|8",決算整理!$S$5:$S$1835,0)),"")</f>
        <v/>
      </c>
      <c r="R74" s="827" t="str">
        <f>IFERROR(INDEX(決算整理!$H$5:$H$1835,MATCH("非常勤職員手当|S|8",決算整理!$S$5:$S$1835,0)),"")</f>
        <v/>
      </c>
      <c r="S74" s="828" t="str">
        <f>IF(R74="","",S73+R74)</f>
        <v/>
      </c>
      <c r="T74" s="829" t="str">
        <f>IFERROR(INDEX(決算整理!$P$5:$P$1835,MATCH("非常勤職員手当|S|8",決算整理!$S$5:$S$1835,0)),"")</f>
        <v/>
      </c>
    </row>
    <row r="75" ht="26.25" customHeight="1" s="186">
      <c r="A75" s="825" t="str">
        <f>IFERROR(INDEX(決算整理!$A$5:$A$1835,MATCH("修繕費|S|9",決算整理!$S$5:$S$1835,0)),"")</f>
        <v/>
      </c>
      <c r="B75" s="826" t="str">
        <f>IFERROR(INDEX(決算整理!$E$5:$E$1835,MATCH("修繕費|S|9",決算整理!$S$5:$S$1835,0)),"")</f>
        <v/>
      </c>
      <c r="C75" s="827" t="str">
        <f>IFERROR(INDEX(決算整理!$H$5:$H$1835,MATCH("修繕費|S|9",決算整理!$S$5:$S$1835,0)),"")</f>
        <v/>
      </c>
      <c r="D75" s="828" t="str">
        <f>IF(C75="","",D74+C75)</f>
        <v/>
      </c>
      <c r="E75" s="829" t="str">
        <f>IFERROR(INDEX(決算整理!$P$5:$P$1835,MATCH("修繕費|S|9",決算整理!$S$5:$S$1835,0)),"")</f>
        <v/>
      </c>
      <c r="F75" s="825" t="str">
        <f>IFERROR(INDEX(決算整理!$A$5:$A$1835,MATCH("役員報酬|S|9",決算整理!$S$5:$S$1835,0)),"")</f>
        <v/>
      </c>
      <c r="G75" s="826" t="str">
        <f>IFERROR(INDEX(決算整理!$E$5:$E$1835,MATCH("役員報酬|S|9",決算整理!$S$5:$S$1835,0)),"")</f>
        <v/>
      </c>
      <c r="H75" s="827" t="str">
        <f>IFERROR(INDEX(決算整理!$H$5:$H$1835,MATCH("役員報酬|S|9",決算整理!$S$5:$S$1835,0)),"")</f>
        <v/>
      </c>
      <c r="I75" s="828" t="str">
        <f>IF(H75="","",I74+H75)</f>
        <v/>
      </c>
      <c r="J75" s="829" t="str">
        <f>IFERROR(INDEX(決算整理!$P$5:$P$1835,MATCH("役員報酬|S|9",決算整理!$S$5:$S$1835,0)),"")</f>
        <v/>
      </c>
      <c r="K75" s="825" t="str">
        <f>IFERROR(INDEX(決算整理!$A$5:$A$1835,MATCH("連合会分担金|S|9",決算整理!$S$5:$S$1835,0)),"")</f>
        <v/>
      </c>
      <c r="L75" s="826" t="str">
        <f>IFERROR(INDEX(決算整理!$E$5:$E$1835,MATCH("連合会分担金|S|9",決算整理!$S$5:$S$1835,0)),"")</f>
        <v/>
      </c>
      <c r="M75" s="827" t="str">
        <f>IFERROR(INDEX(決算整理!$H$5:$H$1835,MATCH("連合会分担金|S|9",決算整理!$S$5:$S$1835,0)),"")</f>
        <v/>
      </c>
      <c r="N75" s="828" t="str">
        <f>IF(M75="","",N74+M75)</f>
        <v/>
      </c>
      <c r="O75" s="829" t="str">
        <f>IFERROR(INDEX(決算整理!$P$5:$P$1835,MATCH("連合会分担金|S|9",決算整理!$S$5:$S$1835,0)),"")</f>
        <v/>
      </c>
      <c r="P75" s="825" t="str">
        <f>IFERROR(INDEX(決算整理!$A$5:$A$1835,MATCH("非常勤職員手当|S|9",決算整理!$S$5:$S$1835,0)),"")</f>
        <v/>
      </c>
      <c r="Q75" s="826" t="str">
        <f>IFERROR(INDEX(決算整理!$E$5:$E$1835,MATCH("非常勤職員手当|S|9",決算整理!$S$5:$S$1835,0)),"")</f>
        <v/>
      </c>
      <c r="R75" s="827" t="str">
        <f>IFERROR(INDEX(決算整理!$H$5:$H$1835,MATCH("非常勤職員手当|S|9",決算整理!$S$5:$S$1835,0)),"")</f>
        <v/>
      </c>
      <c r="S75" s="828" t="str">
        <f>IF(R75="","",S74+R75)</f>
        <v/>
      </c>
      <c r="T75" s="829" t="str">
        <f>IFERROR(INDEX(決算整理!$P$5:$P$1835,MATCH("非常勤職員手当|S|9",決算整理!$S$5:$S$1835,0)),"")</f>
        <v/>
      </c>
    </row>
    <row r="76" ht="26.25" customHeight="1" s="186" thickBot="1">
      <c r="A76" s="825" t="str">
        <f>IFERROR(INDEX(決算整理!$A$5:$A$1835,MATCH("修繕費|S|10",決算整理!$S$5:$S$1835,0)),"")</f>
        <v/>
      </c>
      <c r="B76" s="826" t="str">
        <f>IFERROR(INDEX(決算整理!$E$5:$E$1835,MATCH("修繕費|S|10",決算整理!$S$5:$S$1835,0)),"")</f>
        <v/>
      </c>
      <c r="C76" s="827" t="str">
        <f>IFERROR(INDEX(決算整理!$H$5:$H$1835,MATCH("修繕費|S|10",決算整理!$S$5:$S$1835,0)),"")</f>
        <v/>
      </c>
      <c r="D76" s="828" t="str">
        <f>IF(C76="","",D75+C76)</f>
        <v/>
      </c>
      <c r="E76" s="829" t="str">
        <f>IFERROR(INDEX(決算整理!$P$5:$P$1835,MATCH("修繕費|S|10",決算整理!$S$5:$S$1835,0)),"")</f>
        <v/>
      </c>
      <c r="F76" s="825" t="str">
        <f>IFERROR(INDEX(決算整理!$A$5:$A$1835,MATCH("役員報酬|S|10",決算整理!$S$5:$S$1835,0)),"")</f>
        <v/>
      </c>
      <c r="G76" s="826" t="str">
        <f>IFERROR(INDEX(決算整理!$E$5:$E$1835,MATCH("役員報酬|S|10",決算整理!$S$5:$S$1835,0)),"")</f>
        <v/>
      </c>
      <c r="H76" s="827" t="str">
        <f>IFERROR(INDEX(決算整理!$H$5:$H$1835,MATCH("役員報酬|S|10",決算整理!$S$5:$S$1835,0)),"")</f>
        <v/>
      </c>
      <c r="I76" s="828" t="str">
        <f>IF(H76="","",I75+H76)</f>
        <v/>
      </c>
      <c r="J76" s="829" t="str">
        <f>IFERROR(INDEX(決算整理!$P$5:$P$1835,MATCH("役員報酬|S|10",決算整理!$S$5:$S$1835,0)),"")</f>
        <v/>
      </c>
      <c r="K76" s="825" t="str">
        <f>IFERROR(INDEX(決算整理!$A$5:$A$1835,MATCH("連合会分担金|S|10",決算整理!$S$5:$S$1835,0)),"")</f>
        <v/>
      </c>
      <c r="L76" s="826" t="str">
        <f>IFERROR(INDEX(決算整理!$E$5:$E$1835,MATCH("連合会分担金|S|10",決算整理!$S$5:$S$1835,0)),"")</f>
        <v/>
      </c>
      <c r="M76" s="827" t="str">
        <f>IFERROR(INDEX(決算整理!$H$5:$H$1835,MATCH("連合会分担金|S|10",決算整理!$S$5:$S$1835,0)),"")</f>
        <v/>
      </c>
      <c r="N76" s="828" t="str">
        <f>IF(M76="","",N75+M76)</f>
        <v/>
      </c>
      <c r="O76" s="829" t="str">
        <f>IFERROR(INDEX(決算整理!$P$5:$P$1835,MATCH("連合会分担金|S|10",決算整理!$S$5:$S$1835,0)),"")</f>
        <v/>
      </c>
      <c r="P76" s="825" t="str">
        <f>IFERROR(INDEX(決算整理!$A$5:$A$1835,MATCH("非常勤職員手当|S|10",決算整理!$S$5:$S$1835,0)),"")</f>
        <v/>
      </c>
      <c r="Q76" s="826" t="str">
        <f>IFERROR(INDEX(決算整理!$E$5:$E$1835,MATCH("非常勤職員手当|S|10",決算整理!$S$5:$S$1835,0)),"")</f>
        <v/>
      </c>
      <c r="R76" s="827" t="str">
        <f>IFERROR(INDEX(決算整理!$H$5:$H$1835,MATCH("非常勤職員手当|S|10",決算整理!$S$5:$S$1835,0)),"")</f>
        <v/>
      </c>
      <c r="S76" s="828" t="str">
        <f>IF(R76="","",S75+R76)</f>
        <v/>
      </c>
      <c r="T76" s="829" t="str">
        <f>IFERROR(INDEX(決算整理!$P$5:$P$1835,MATCH("非常勤職員手当|S|10",決算整理!$S$5:$S$1835,0)),"")</f>
        <v/>
      </c>
    </row>
    <row r="77" ht="26.25" customHeight="1" s="186" thickBot="1">
      <c r="A77" s="825" t="str">
        <f>IFERROR(INDEX(決算整理!$A$5:$A$1835,MATCH("修繕費|S|11",決算整理!$S$5:$S$1835,0)),"")</f>
        <v/>
      </c>
      <c r="B77" s="826" t="str">
        <f>IFERROR(INDEX(決算整理!$E$5:$E$1835,MATCH("修繕費|S|11",決算整理!$S$5:$S$1835,0)),"")</f>
        <v/>
      </c>
      <c r="C77" s="827" t="str">
        <f>IFERROR(INDEX(決算整理!$H$5:$H$1835,MATCH("修繕費|S|11",決算整理!$S$5:$S$1835,0)),"")</f>
        <v/>
      </c>
      <c r="D77" s="828" t="str">
        <f>IF(C77="","",D76+C77)</f>
        <v/>
      </c>
      <c r="E77" s="829" t="str">
        <f>IFERROR(INDEX(決算整理!$P$5:$P$1835,MATCH("修繕費|S|11",決算整理!$S$5:$S$1835,0)),"")</f>
        <v/>
      </c>
      <c r="F77" s="825" t="str">
        <f>IFERROR(INDEX(決算整理!$A$5:$A$1835,MATCH("役員報酬|S|11",決算整理!$S$5:$S$1835,0)),"")</f>
        <v/>
      </c>
      <c r="G77" s="826" t="str">
        <f>IFERROR(INDEX(決算整理!$E$5:$E$1835,MATCH("役員報酬|S|11",決算整理!$S$5:$S$1835,0)),"")</f>
        <v/>
      </c>
      <c r="H77" s="827" t="str">
        <f>IFERROR(INDEX(決算整理!$H$5:$H$1835,MATCH("役員報酬|S|11",決算整理!$S$5:$S$1835,0)),"")</f>
        <v/>
      </c>
      <c r="I77" s="828" t="str">
        <f>IF(H77="","",I76+H77)</f>
        <v/>
      </c>
      <c r="J77" s="829" t="str">
        <f>IFERROR(INDEX(決算整理!$P$5:$P$1835,MATCH("役員報酬|S|11",決算整理!$S$5:$S$1835,0)),"")</f>
        <v/>
      </c>
      <c r="K77" s="825" t="str">
        <f>IFERROR(INDEX(決算整理!$A$5:$A$1835,MATCH("連合会分担金|S|11",決算整理!$S$5:$S$1835,0)),"")</f>
        <v/>
      </c>
      <c r="L77" s="826" t="str">
        <f>IFERROR(INDEX(決算整理!$E$5:$E$1835,MATCH("連合会分担金|S|11",決算整理!$S$5:$S$1835,0)),"")</f>
        <v/>
      </c>
      <c r="M77" s="827" t="str">
        <f>IFERROR(INDEX(決算整理!$H$5:$H$1835,MATCH("連合会分担金|S|11",決算整理!$S$5:$S$1835,0)),"")</f>
        <v/>
      </c>
      <c r="N77" s="828" t="str">
        <f>IF(M77="","",N76+M77)</f>
        <v/>
      </c>
      <c r="O77" s="829" t="str">
        <f>IFERROR(INDEX(決算整理!$P$5:$P$1835,MATCH("連合会分担金|S|11",決算整理!$S$5:$S$1835,0)),"")</f>
        <v/>
      </c>
      <c r="P77" s="825" t="str">
        <f>IFERROR(INDEX(決算整理!$A$5:$A$1835,MATCH("非常勤職員手当|S|11",決算整理!$S$5:$S$1835,0)),"")</f>
        <v/>
      </c>
      <c r="Q77" s="826" t="str">
        <f>IFERROR(INDEX(決算整理!$E$5:$E$1835,MATCH("非常勤職員手当|S|11",決算整理!$S$5:$S$1835,0)),"")</f>
        <v/>
      </c>
      <c r="R77" s="827" t="str">
        <f>IFERROR(INDEX(決算整理!$H$5:$H$1835,MATCH("非常勤職員手当|S|11",決算整理!$S$5:$S$1835,0)),"")</f>
        <v/>
      </c>
      <c r="S77" s="828" t="str">
        <f>IF(R77="","",S76+R77)</f>
        <v/>
      </c>
      <c r="T77" s="829" t="str">
        <f>IFERROR(INDEX(決算整理!$P$5:$P$1835,MATCH("非常勤職員手当|S|11",決算整理!$S$5:$S$1835,0)),"")</f>
        <v/>
      </c>
    </row>
    <row r="78" ht="26.25" customHeight="1" s="186">
      <c r="A78" s="825" t="str">
        <f>IFERROR(INDEX(決算整理!$A$5:$A$1835,MATCH("修繕費|S|12",決算整理!$S$5:$S$1835,0)),"")</f>
        <v/>
      </c>
      <c r="B78" s="826" t="str">
        <f>IFERROR(INDEX(決算整理!$E$5:$E$1835,MATCH("修繕費|S|12",決算整理!$S$5:$S$1835,0)),"")</f>
        <v/>
      </c>
      <c r="C78" s="827" t="str">
        <f>IFERROR(INDEX(決算整理!$H$5:$H$1835,MATCH("修繕費|S|12",決算整理!$S$5:$S$1835,0)),"")</f>
        <v/>
      </c>
      <c r="D78" s="828" t="str">
        <f>IF(C78="","",D77+C78)</f>
        <v/>
      </c>
      <c r="E78" s="829" t="str">
        <f>IFERROR(INDEX(決算整理!$P$5:$P$1835,MATCH("修繕費|S|12",決算整理!$S$5:$S$1835,0)),"")</f>
        <v/>
      </c>
      <c r="F78" s="825" t="str">
        <f>IFERROR(INDEX(決算整理!$A$5:$A$1835,MATCH("役員報酬|S|12",決算整理!$S$5:$S$1835,0)),"")</f>
        <v/>
      </c>
      <c r="G78" s="826" t="str">
        <f>IFERROR(INDEX(決算整理!$E$5:$E$1835,MATCH("役員報酬|S|12",決算整理!$S$5:$S$1835,0)),"")</f>
        <v/>
      </c>
      <c r="H78" s="827" t="str">
        <f>IFERROR(INDEX(決算整理!$H$5:$H$1835,MATCH("役員報酬|S|12",決算整理!$S$5:$S$1835,0)),"")</f>
        <v/>
      </c>
      <c r="I78" s="828" t="str">
        <f>IF(H78="","",I77+H78)</f>
        <v/>
      </c>
      <c r="J78" s="829" t="str">
        <f>IFERROR(INDEX(決算整理!$P$5:$P$1835,MATCH("役員報酬|S|12",決算整理!$S$5:$S$1835,0)),"")</f>
        <v/>
      </c>
      <c r="K78" s="825" t="str">
        <f>IFERROR(INDEX(決算整理!$A$5:$A$1835,MATCH("連合会分担金|S|12",決算整理!$S$5:$S$1835,0)),"")</f>
        <v/>
      </c>
      <c r="L78" s="826" t="str">
        <f>IFERROR(INDEX(決算整理!$E$5:$E$1835,MATCH("連合会分担金|S|12",決算整理!$S$5:$S$1835,0)),"")</f>
        <v/>
      </c>
      <c r="M78" s="827" t="str">
        <f>IFERROR(INDEX(決算整理!$H$5:$H$1835,MATCH("連合会分担金|S|12",決算整理!$S$5:$S$1835,0)),"")</f>
        <v/>
      </c>
      <c r="N78" s="828" t="str">
        <f>IF(M78="","",N77+M78)</f>
        <v/>
      </c>
      <c r="O78" s="829" t="str">
        <f>IFERROR(INDEX(決算整理!$P$5:$P$1835,MATCH("連合会分担金|S|12",決算整理!$S$5:$S$1835,0)),"")</f>
        <v/>
      </c>
      <c r="P78" s="825" t="str">
        <f>IFERROR(INDEX(決算整理!$A$5:$A$1835,MATCH("非常勤職員手当|S|12",決算整理!$S$5:$S$1835,0)),"")</f>
        <v/>
      </c>
      <c r="Q78" s="826" t="str">
        <f>IFERROR(INDEX(決算整理!$E$5:$E$1835,MATCH("非常勤職員手当|S|12",決算整理!$S$5:$S$1835,0)),"")</f>
        <v/>
      </c>
      <c r="R78" s="827" t="str">
        <f>IFERROR(INDEX(決算整理!$H$5:$H$1835,MATCH("非常勤職員手当|S|12",決算整理!$S$5:$S$1835,0)),"")</f>
        <v/>
      </c>
      <c r="S78" s="828" t="str">
        <f>IF(R78="","",S77+R78)</f>
        <v/>
      </c>
      <c r="T78" s="829" t="str">
        <f>IFERROR(INDEX(決算整理!$P$5:$P$1835,MATCH("非常勤職員手当|S|12",決算整理!$S$5:$S$1835,0)),"")</f>
        <v/>
      </c>
    </row>
    <row r="79" ht="26.25" customHeight="1" s="186" thickBot="1"/>
    <row r="80" ht="26.25" customHeight="1" s="186" thickBot="1"/>
    <row r="81" ht="26.25" customHeight="1" s="186"/>
    <row r="82" ht="24" customHeight="1" s="186">
      <c r="B82" s="502" t="inlineStr">
        <is>
          <t>○賃金</t>
        </is>
      </c>
      <c r="D82" s="503" t="inlineStr">
        <is>
          <t>業務（短）未払</t>
        </is>
      </c>
      <c r="E82" s="824" t="str">
        <f>IF(COUNTIF(決算整理!$S$5:$S$1835,"賃金|S|*")&gt;12,"行不足","")</f>
        <v/>
      </c>
      <c r="G82" s="502" t="inlineStr">
        <is>
          <t>○諸謝金</t>
        </is>
      </c>
      <c r="I82" s="503" t="inlineStr">
        <is>
          <t>業務（短）未払</t>
        </is>
      </c>
      <c r="J82" s="824" t="str">
        <f>IF(COUNTIF(決算整理!$S$5:$S$1835,"諸謝金|S|*")&gt;12,"行不足","")</f>
        <v/>
      </c>
      <c r="L82" s="502" t="inlineStr">
        <is>
          <t>○負担金  互助会費</t>
        </is>
      </c>
      <c r="N82" s="503" t="inlineStr">
        <is>
          <t>業務（短）未払</t>
        </is>
      </c>
      <c r="O82" s="824" t="str">
        <f>IF(COUNTIF(決算整理!$S$5:$S$1835,"互助会費|S|*")&gt;12,"行不足","")</f>
        <v/>
      </c>
      <c r="Q82" s="502" t="inlineStr">
        <is>
          <t>○負担金  会議出席負担金等</t>
        </is>
      </c>
      <c r="S82" s="503" t="inlineStr">
        <is>
          <t>業務（短）未払</t>
        </is>
      </c>
      <c r="T82" s="824" t="str">
        <f>IF(COUNTIF(決算整理!$S$5:$S$1835,"会議出席負担金等|S|*")&gt;12,"行不足","")</f>
        <v/>
      </c>
    </row>
    <row r="83" ht="26.25" customHeight="1" s="186">
      <c r="A83" s="100" t="inlineStr">
        <is>
          <t>支出日</t>
        </is>
      </c>
      <c r="B83" s="100" t="inlineStr">
        <is>
          <t>摘要</t>
        </is>
      </c>
      <c r="C83" s="100" t="inlineStr">
        <is>
          <t>支出</t>
        </is>
      </c>
      <c r="D83" s="100" t="inlineStr">
        <is>
          <t>累計</t>
        </is>
      </c>
      <c r="E83" s="100" t="inlineStr">
        <is>
          <t>状態</t>
        </is>
      </c>
      <c r="F83" s="100" t="inlineStr">
        <is>
          <t>支出日</t>
        </is>
      </c>
      <c r="G83" s="100" t="inlineStr">
        <is>
          <t>摘要</t>
        </is>
      </c>
      <c r="H83" s="100" t="inlineStr">
        <is>
          <t>支出</t>
        </is>
      </c>
      <c r="I83" s="100" t="inlineStr">
        <is>
          <t>累計</t>
        </is>
      </c>
      <c r="J83" s="100" t="inlineStr">
        <is>
          <t>状態</t>
        </is>
      </c>
      <c r="K83" s="100" t="inlineStr">
        <is>
          <t>支出日</t>
        </is>
      </c>
      <c r="L83" s="100" t="inlineStr">
        <is>
          <t>摘要</t>
        </is>
      </c>
      <c r="M83" s="100" t="inlineStr">
        <is>
          <t>支出</t>
        </is>
      </c>
      <c r="N83" s="100" t="inlineStr">
        <is>
          <t>累計</t>
        </is>
      </c>
      <c r="O83" s="100" t="inlineStr">
        <is>
          <t>状態</t>
        </is>
      </c>
      <c r="P83" s="100" t="inlineStr">
        <is>
          <t>支出日</t>
        </is>
      </c>
      <c r="Q83" s="100" t="inlineStr">
        <is>
          <t>摘要</t>
        </is>
      </c>
      <c r="R83" s="100" t="inlineStr">
        <is>
          <t>支出</t>
        </is>
      </c>
      <c r="S83" s="100" t="inlineStr">
        <is>
          <t>累計</t>
        </is>
      </c>
      <c r="T83" s="100" t="inlineStr">
        <is>
          <t>状態</t>
        </is>
      </c>
    </row>
    <row r="84" ht="26.25" customHeight="1" s="186">
      <c r="A84" s="825" t="n"/>
      <c r="B84" s="826" t="inlineStr">
        <is>
          <t>（予算なし）</t>
        </is>
      </c>
      <c r="C84" s="827" t="n"/>
      <c r="D84" s="828" t="n">
        <v>0</v>
      </c>
      <c r="F84" s="825" t="n"/>
      <c r="G84" s="826" t="inlineStr">
        <is>
          <t>（予算なし）</t>
        </is>
      </c>
      <c r="H84" s="827" t="n"/>
      <c r="I84" s="828" t="n">
        <v>0</v>
      </c>
      <c r="K84" s="825" t="n"/>
      <c r="L84" s="826" t="inlineStr">
        <is>
          <t>（予算なし）</t>
        </is>
      </c>
      <c r="M84" s="827" t="n"/>
      <c r="N84" s="828" t="n">
        <v>0</v>
      </c>
      <c r="P84" s="825" t="n"/>
      <c r="Q84" s="826" t="inlineStr">
        <is>
          <t>（予算なし）</t>
        </is>
      </c>
      <c r="R84" s="827" t="n"/>
      <c r="S84" s="828" t="n">
        <v>0</v>
      </c>
    </row>
    <row r="85" ht="26.25" customHeight="1" s="186">
      <c r="A85" s="825">
        <f>IFERROR(INDEX(決算整理!$A$5:$A$1835,MATCH("賃金|S|1",決算整理!$S$5:$S$1835,0)),"")</f>
        <v>46127</v>
      </c>
      <c r="B85" s="826" t="str">
        <f>IFERROR(INDEX(決算整理!$E$5:$E$1835,MATCH("賃金|S|1",決算整理!$S$5:$S$1835,0)),"")</f>
        <v>臨時職員賃金３月分　佐藤幸恵他１名分（短期１００％）</v>
      </c>
      <c r="C85" s="827">
        <f>IFERROR(INDEX(決算整理!$H$5:$H$1835,MATCH("賃金|S|1",決算整理!$S$5:$S$1835,0)),"")</f>
        <v>376346</v>
      </c>
      <c r="D85" s="828">
        <f>IF(C85="","",D84+C85)</f>
        <v>376346</v>
      </c>
      <c r="E85" s="829" t="str">
        <f>IFERROR(INDEX(決算整理!$P$5:$P$1835,MATCH("賃金|S|1",決算整理!$S$5:$S$1835,0)),"")</f>
        <v>昨年実績</v>
      </c>
      <c r="F85" s="825" t="str">
        <f>IFERROR(INDEX(決算整理!$A$5:$A$1835,MATCH("諸謝金|S|1",決算整理!$S$5:$S$1835,0)),"")</f>
        <v/>
      </c>
      <c r="G85" s="826" t="str">
        <f>IFERROR(INDEX(決算整理!$E$5:$E$1835,MATCH("諸謝金|S|1",決算整理!$S$5:$S$1835,0)),"")</f>
        <v/>
      </c>
      <c r="H85" s="827" t="str">
        <f>IFERROR(INDEX(決算整理!$H$5:$H$1835,MATCH("諸謝金|S|1",決算整理!$S$5:$S$1835,0)),"")</f>
        <v/>
      </c>
      <c r="I85" s="828" t="str">
        <f>IF(H85="","",I84+H85)</f>
        <v/>
      </c>
      <c r="J85" s="829" t="str">
        <f>IFERROR(INDEX(決算整理!$P$5:$P$1835,MATCH("諸謝金|S|1",決算整理!$S$5:$S$1835,0)),"")</f>
        <v/>
      </c>
      <c r="K85" s="825" t="str">
        <f>IFERROR(INDEX(決算整理!$A$5:$A$1835,MATCH("互助会費|S|1",決算整理!$S$5:$S$1835,0)),"")</f>
        <v/>
      </c>
      <c r="L85" s="826" t="str">
        <f>IFERROR(INDEX(決算整理!$E$5:$E$1835,MATCH("互助会費|S|1",決算整理!$S$5:$S$1835,0)),"")</f>
        <v/>
      </c>
      <c r="M85" s="827" t="str">
        <f>IFERROR(INDEX(決算整理!$H$5:$H$1835,MATCH("互助会費|S|1",決算整理!$S$5:$S$1835,0)),"")</f>
        <v/>
      </c>
      <c r="N85" s="828" t="str">
        <f>IF(M85="","",N84+M85)</f>
        <v/>
      </c>
      <c r="O85" s="829" t="str">
        <f>IFERROR(INDEX(決算整理!$P$5:$P$1835,MATCH("互助会費|S|1",決算整理!$S$5:$S$1835,0)),"")</f>
        <v/>
      </c>
      <c r="P85" s="825" t="str">
        <f>IFERROR(INDEX(決算整理!$A$5:$A$1835,MATCH("会議出席負担金等|S|1",決算整理!$S$5:$S$1835,0)),"")</f>
        <v/>
      </c>
      <c r="Q85" s="826" t="str">
        <f>IFERROR(INDEX(決算整理!$E$5:$E$1835,MATCH("会議出席負担金等|S|1",決算整理!$S$5:$S$1835,0)),"")</f>
        <v/>
      </c>
      <c r="R85" s="827" t="str">
        <f>IFERROR(INDEX(決算整理!$H$5:$H$1835,MATCH("会議出席負担金等|S|1",決算整理!$S$5:$S$1835,0)),"")</f>
        <v/>
      </c>
      <c r="S85" s="828" t="str">
        <f>IF(R85="","",S84+R85)</f>
        <v/>
      </c>
      <c r="T85" s="829" t="str">
        <f>IFERROR(INDEX(決算整理!$P$5:$P$1835,MATCH("会議出席負担金等|S|1",決算整理!$S$5:$S$1835,0)),"")</f>
        <v/>
      </c>
    </row>
    <row r="86" ht="26.25" customHeight="1" s="186" thickBot="1">
      <c r="A86" s="825" t="str">
        <f>IFERROR(INDEX(決算整理!$A$5:$A$1835,MATCH("賃金|S|2",決算整理!$S$5:$S$1835,0)),"")</f>
        <v/>
      </c>
      <c r="B86" s="826" t="str">
        <f>IFERROR(INDEX(決算整理!$E$5:$E$1835,MATCH("賃金|S|2",決算整理!$S$5:$S$1835,0)),"")</f>
        <v/>
      </c>
      <c r="C86" s="827" t="str">
        <f>IFERROR(INDEX(決算整理!$H$5:$H$1835,MATCH("賃金|S|2",決算整理!$S$5:$S$1835,0)),"")</f>
        <v/>
      </c>
      <c r="D86" s="828" t="str">
        <f>IF(C86="","",D85+C86)</f>
        <v/>
      </c>
      <c r="E86" s="829" t="str">
        <f>IFERROR(INDEX(決算整理!$P$5:$P$1835,MATCH("賃金|S|2",決算整理!$S$5:$S$1835,0)),"")</f>
        <v/>
      </c>
      <c r="F86" s="825" t="str">
        <f>IFERROR(INDEX(決算整理!$A$5:$A$1835,MATCH("諸謝金|S|2",決算整理!$S$5:$S$1835,0)),"")</f>
        <v/>
      </c>
      <c r="G86" s="826" t="str">
        <f>IFERROR(INDEX(決算整理!$E$5:$E$1835,MATCH("諸謝金|S|2",決算整理!$S$5:$S$1835,0)),"")</f>
        <v/>
      </c>
      <c r="H86" s="827" t="str">
        <f>IFERROR(INDEX(決算整理!$H$5:$H$1835,MATCH("諸謝金|S|2",決算整理!$S$5:$S$1835,0)),"")</f>
        <v/>
      </c>
      <c r="I86" s="828" t="str">
        <f>IF(H86="","",I85+H86)</f>
        <v/>
      </c>
      <c r="J86" s="829" t="str">
        <f>IFERROR(INDEX(決算整理!$P$5:$P$1835,MATCH("諸謝金|S|2",決算整理!$S$5:$S$1835,0)),"")</f>
        <v/>
      </c>
      <c r="K86" s="825" t="str">
        <f>IFERROR(INDEX(決算整理!$A$5:$A$1835,MATCH("互助会費|S|2",決算整理!$S$5:$S$1835,0)),"")</f>
        <v/>
      </c>
      <c r="L86" s="826" t="str">
        <f>IFERROR(INDEX(決算整理!$E$5:$E$1835,MATCH("互助会費|S|2",決算整理!$S$5:$S$1835,0)),"")</f>
        <v/>
      </c>
      <c r="M86" s="827" t="str">
        <f>IFERROR(INDEX(決算整理!$H$5:$H$1835,MATCH("互助会費|S|2",決算整理!$S$5:$S$1835,0)),"")</f>
        <v/>
      </c>
      <c r="N86" s="828" t="str">
        <f>IF(M86="","",N85+M86)</f>
        <v/>
      </c>
      <c r="O86" s="829" t="str">
        <f>IFERROR(INDEX(決算整理!$P$5:$P$1835,MATCH("互助会費|S|2",決算整理!$S$5:$S$1835,0)),"")</f>
        <v/>
      </c>
      <c r="P86" s="825" t="str">
        <f>IFERROR(INDEX(決算整理!$A$5:$A$1835,MATCH("会議出席負担金等|S|2",決算整理!$S$5:$S$1835,0)),"")</f>
        <v/>
      </c>
      <c r="Q86" s="826" t="str">
        <f>IFERROR(INDEX(決算整理!$E$5:$E$1835,MATCH("会議出席負担金等|S|2",決算整理!$S$5:$S$1835,0)),"")</f>
        <v/>
      </c>
      <c r="R86" s="827" t="str">
        <f>IFERROR(INDEX(決算整理!$H$5:$H$1835,MATCH("会議出席負担金等|S|2",決算整理!$S$5:$S$1835,0)),"")</f>
        <v/>
      </c>
      <c r="S86" s="828" t="str">
        <f>IF(R86="","",S85+R86)</f>
        <v/>
      </c>
      <c r="T86" s="829" t="str">
        <f>IFERROR(INDEX(決算整理!$P$5:$P$1835,MATCH("会議出席負担金等|S|2",決算整理!$S$5:$S$1835,0)),"")</f>
        <v/>
      </c>
    </row>
    <row r="87" ht="26.25" customHeight="1" s="186" thickBot="1">
      <c r="A87" s="825" t="str">
        <f>IFERROR(INDEX(決算整理!$A$5:$A$1835,MATCH("賃金|S|3",決算整理!$S$5:$S$1835,0)),"")</f>
        <v/>
      </c>
      <c r="B87" s="826" t="str">
        <f>IFERROR(INDEX(決算整理!$E$5:$E$1835,MATCH("賃金|S|3",決算整理!$S$5:$S$1835,0)),"")</f>
        <v/>
      </c>
      <c r="C87" s="827" t="str">
        <f>IFERROR(INDEX(決算整理!$H$5:$H$1835,MATCH("賃金|S|3",決算整理!$S$5:$S$1835,0)),"")</f>
        <v/>
      </c>
      <c r="D87" s="828" t="str">
        <f>IF(C87="","",D86+C87)</f>
        <v/>
      </c>
      <c r="E87" s="829" t="str">
        <f>IFERROR(INDEX(決算整理!$P$5:$P$1835,MATCH("賃金|S|3",決算整理!$S$5:$S$1835,0)),"")</f>
        <v/>
      </c>
      <c r="F87" s="825" t="str">
        <f>IFERROR(INDEX(決算整理!$A$5:$A$1835,MATCH("諸謝金|S|3",決算整理!$S$5:$S$1835,0)),"")</f>
        <v/>
      </c>
      <c r="G87" s="826" t="str">
        <f>IFERROR(INDEX(決算整理!$E$5:$E$1835,MATCH("諸謝金|S|3",決算整理!$S$5:$S$1835,0)),"")</f>
        <v/>
      </c>
      <c r="H87" s="827" t="str">
        <f>IFERROR(INDEX(決算整理!$H$5:$H$1835,MATCH("諸謝金|S|3",決算整理!$S$5:$S$1835,0)),"")</f>
        <v/>
      </c>
      <c r="I87" s="828" t="str">
        <f>IF(H87="","",I86+H87)</f>
        <v/>
      </c>
      <c r="J87" s="829" t="str">
        <f>IFERROR(INDEX(決算整理!$P$5:$P$1835,MATCH("諸謝金|S|3",決算整理!$S$5:$S$1835,0)),"")</f>
        <v/>
      </c>
      <c r="K87" s="825" t="str">
        <f>IFERROR(INDEX(決算整理!$A$5:$A$1835,MATCH("互助会費|S|3",決算整理!$S$5:$S$1835,0)),"")</f>
        <v/>
      </c>
      <c r="L87" s="826" t="str">
        <f>IFERROR(INDEX(決算整理!$E$5:$E$1835,MATCH("互助会費|S|3",決算整理!$S$5:$S$1835,0)),"")</f>
        <v/>
      </c>
      <c r="M87" s="827" t="str">
        <f>IFERROR(INDEX(決算整理!$H$5:$H$1835,MATCH("互助会費|S|3",決算整理!$S$5:$S$1835,0)),"")</f>
        <v/>
      </c>
      <c r="N87" s="828" t="str">
        <f>IF(M87="","",N86+M87)</f>
        <v/>
      </c>
      <c r="O87" s="829" t="str">
        <f>IFERROR(INDEX(決算整理!$P$5:$P$1835,MATCH("互助会費|S|3",決算整理!$S$5:$S$1835,0)),"")</f>
        <v/>
      </c>
      <c r="P87" s="825" t="str">
        <f>IFERROR(INDEX(決算整理!$A$5:$A$1835,MATCH("会議出席負担金等|S|3",決算整理!$S$5:$S$1835,0)),"")</f>
        <v/>
      </c>
      <c r="Q87" s="826" t="str">
        <f>IFERROR(INDEX(決算整理!$E$5:$E$1835,MATCH("会議出席負担金等|S|3",決算整理!$S$5:$S$1835,0)),"")</f>
        <v/>
      </c>
      <c r="R87" s="827" t="str">
        <f>IFERROR(INDEX(決算整理!$H$5:$H$1835,MATCH("会議出席負担金等|S|3",決算整理!$S$5:$S$1835,0)),"")</f>
        <v/>
      </c>
      <c r="S87" s="828" t="str">
        <f>IF(R87="","",S86+R87)</f>
        <v/>
      </c>
      <c r="T87" s="829" t="str">
        <f>IFERROR(INDEX(決算整理!$P$5:$P$1835,MATCH("会議出席負担金等|S|3",決算整理!$S$5:$S$1835,0)),"")</f>
        <v/>
      </c>
    </row>
    <row r="88" ht="26.25" customHeight="1" s="186">
      <c r="A88" s="825" t="str">
        <f>IFERROR(INDEX(決算整理!$A$5:$A$1835,MATCH("賃金|S|4",決算整理!$S$5:$S$1835,0)),"")</f>
        <v/>
      </c>
      <c r="B88" s="826" t="str">
        <f>IFERROR(INDEX(決算整理!$E$5:$E$1835,MATCH("賃金|S|4",決算整理!$S$5:$S$1835,0)),"")</f>
        <v/>
      </c>
      <c r="C88" s="827" t="str">
        <f>IFERROR(INDEX(決算整理!$H$5:$H$1835,MATCH("賃金|S|4",決算整理!$S$5:$S$1835,0)),"")</f>
        <v/>
      </c>
      <c r="D88" s="828" t="str">
        <f>IF(C88="","",D87+C88)</f>
        <v/>
      </c>
      <c r="E88" s="829" t="str">
        <f>IFERROR(INDEX(決算整理!$P$5:$P$1835,MATCH("賃金|S|4",決算整理!$S$5:$S$1835,0)),"")</f>
        <v/>
      </c>
      <c r="F88" s="825" t="str">
        <f>IFERROR(INDEX(決算整理!$A$5:$A$1835,MATCH("諸謝金|S|4",決算整理!$S$5:$S$1835,0)),"")</f>
        <v/>
      </c>
      <c r="G88" s="826" t="str">
        <f>IFERROR(INDEX(決算整理!$E$5:$E$1835,MATCH("諸謝金|S|4",決算整理!$S$5:$S$1835,0)),"")</f>
        <v/>
      </c>
      <c r="H88" s="827" t="str">
        <f>IFERROR(INDEX(決算整理!$H$5:$H$1835,MATCH("諸謝金|S|4",決算整理!$S$5:$S$1835,0)),"")</f>
        <v/>
      </c>
      <c r="I88" s="828" t="str">
        <f>IF(H88="","",I87+H88)</f>
        <v/>
      </c>
      <c r="J88" s="829" t="str">
        <f>IFERROR(INDEX(決算整理!$P$5:$P$1835,MATCH("諸謝金|S|4",決算整理!$S$5:$S$1835,0)),"")</f>
        <v/>
      </c>
      <c r="K88" s="825" t="str">
        <f>IFERROR(INDEX(決算整理!$A$5:$A$1835,MATCH("互助会費|S|4",決算整理!$S$5:$S$1835,0)),"")</f>
        <v/>
      </c>
      <c r="L88" s="826" t="str">
        <f>IFERROR(INDEX(決算整理!$E$5:$E$1835,MATCH("互助会費|S|4",決算整理!$S$5:$S$1835,0)),"")</f>
        <v/>
      </c>
      <c r="M88" s="827" t="str">
        <f>IFERROR(INDEX(決算整理!$H$5:$H$1835,MATCH("互助会費|S|4",決算整理!$S$5:$S$1835,0)),"")</f>
        <v/>
      </c>
      <c r="N88" s="828" t="str">
        <f>IF(M88="","",N87+M88)</f>
        <v/>
      </c>
      <c r="O88" s="829" t="str">
        <f>IFERROR(INDEX(決算整理!$P$5:$P$1835,MATCH("互助会費|S|4",決算整理!$S$5:$S$1835,0)),"")</f>
        <v/>
      </c>
      <c r="P88" s="825" t="str">
        <f>IFERROR(INDEX(決算整理!$A$5:$A$1835,MATCH("会議出席負担金等|S|4",決算整理!$S$5:$S$1835,0)),"")</f>
        <v/>
      </c>
      <c r="Q88" s="826" t="str">
        <f>IFERROR(INDEX(決算整理!$E$5:$E$1835,MATCH("会議出席負担金等|S|4",決算整理!$S$5:$S$1835,0)),"")</f>
        <v/>
      </c>
      <c r="R88" s="827" t="str">
        <f>IFERROR(INDEX(決算整理!$H$5:$H$1835,MATCH("会議出席負担金等|S|4",決算整理!$S$5:$S$1835,0)),"")</f>
        <v/>
      </c>
      <c r="S88" s="828" t="str">
        <f>IF(R88="","",S87+R88)</f>
        <v/>
      </c>
      <c r="T88" s="829" t="str">
        <f>IFERROR(INDEX(決算整理!$P$5:$P$1835,MATCH("会議出席負担金等|S|4",決算整理!$S$5:$S$1835,0)),"")</f>
        <v/>
      </c>
    </row>
    <row r="89" ht="26.25" customHeight="1" s="186" thickBot="1">
      <c r="A89" s="825" t="str">
        <f>IFERROR(INDEX(決算整理!$A$5:$A$1835,MATCH("賃金|S|5",決算整理!$S$5:$S$1835,0)),"")</f>
        <v/>
      </c>
      <c r="B89" s="826" t="str">
        <f>IFERROR(INDEX(決算整理!$E$5:$E$1835,MATCH("賃金|S|5",決算整理!$S$5:$S$1835,0)),"")</f>
        <v/>
      </c>
      <c r="C89" s="827" t="str">
        <f>IFERROR(INDEX(決算整理!$H$5:$H$1835,MATCH("賃金|S|5",決算整理!$S$5:$S$1835,0)),"")</f>
        <v/>
      </c>
      <c r="D89" s="828" t="str">
        <f>IF(C89="","",D88+C89)</f>
        <v/>
      </c>
      <c r="E89" s="829" t="str">
        <f>IFERROR(INDEX(決算整理!$P$5:$P$1835,MATCH("賃金|S|5",決算整理!$S$5:$S$1835,0)),"")</f>
        <v/>
      </c>
      <c r="F89" s="825" t="str">
        <f>IFERROR(INDEX(決算整理!$A$5:$A$1835,MATCH("諸謝金|S|5",決算整理!$S$5:$S$1835,0)),"")</f>
        <v/>
      </c>
      <c r="G89" s="826" t="str">
        <f>IFERROR(INDEX(決算整理!$E$5:$E$1835,MATCH("諸謝金|S|5",決算整理!$S$5:$S$1835,0)),"")</f>
        <v/>
      </c>
      <c r="H89" s="827" t="str">
        <f>IFERROR(INDEX(決算整理!$H$5:$H$1835,MATCH("諸謝金|S|5",決算整理!$S$5:$S$1835,0)),"")</f>
        <v/>
      </c>
      <c r="I89" s="828" t="str">
        <f>IF(H89="","",I88+H89)</f>
        <v/>
      </c>
      <c r="J89" s="829" t="str">
        <f>IFERROR(INDEX(決算整理!$P$5:$P$1835,MATCH("諸謝金|S|5",決算整理!$S$5:$S$1835,0)),"")</f>
        <v/>
      </c>
      <c r="K89" s="825" t="str">
        <f>IFERROR(INDEX(決算整理!$A$5:$A$1835,MATCH("互助会費|S|5",決算整理!$S$5:$S$1835,0)),"")</f>
        <v/>
      </c>
      <c r="L89" s="826" t="str">
        <f>IFERROR(INDEX(決算整理!$E$5:$E$1835,MATCH("互助会費|S|5",決算整理!$S$5:$S$1835,0)),"")</f>
        <v/>
      </c>
      <c r="M89" s="827" t="str">
        <f>IFERROR(INDEX(決算整理!$H$5:$H$1835,MATCH("互助会費|S|5",決算整理!$S$5:$S$1835,0)),"")</f>
        <v/>
      </c>
      <c r="N89" s="828" t="str">
        <f>IF(M89="","",N88+M89)</f>
        <v/>
      </c>
      <c r="O89" s="829" t="str">
        <f>IFERROR(INDEX(決算整理!$P$5:$P$1835,MATCH("互助会費|S|5",決算整理!$S$5:$S$1835,0)),"")</f>
        <v/>
      </c>
      <c r="P89" s="825" t="str">
        <f>IFERROR(INDEX(決算整理!$A$5:$A$1835,MATCH("会議出席負担金等|S|5",決算整理!$S$5:$S$1835,0)),"")</f>
        <v/>
      </c>
      <c r="Q89" s="826" t="str">
        <f>IFERROR(INDEX(決算整理!$E$5:$E$1835,MATCH("会議出席負担金等|S|5",決算整理!$S$5:$S$1835,0)),"")</f>
        <v/>
      </c>
      <c r="R89" s="827" t="str">
        <f>IFERROR(INDEX(決算整理!$H$5:$H$1835,MATCH("会議出席負担金等|S|5",決算整理!$S$5:$S$1835,0)),"")</f>
        <v/>
      </c>
      <c r="S89" s="828" t="str">
        <f>IF(R89="","",S88+R89)</f>
        <v/>
      </c>
      <c r="T89" s="829" t="str">
        <f>IFERROR(INDEX(決算整理!$P$5:$P$1835,MATCH("会議出席負担金等|S|5",決算整理!$S$5:$S$1835,0)),"")</f>
        <v/>
      </c>
    </row>
    <row r="90" ht="26.25" customHeight="1" s="186" thickBot="1">
      <c r="A90" s="825" t="str">
        <f>IFERROR(INDEX(決算整理!$A$5:$A$1835,MATCH("賃金|S|6",決算整理!$S$5:$S$1835,0)),"")</f>
        <v/>
      </c>
      <c r="B90" s="826" t="str">
        <f>IFERROR(INDEX(決算整理!$E$5:$E$1835,MATCH("賃金|S|6",決算整理!$S$5:$S$1835,0)),"")</f>
        <v/>
      </c>
      <c r="C90" s="827" t="str">
        <f>IFERROR(INDEX(決算整理!$H$5:$H$1835,MATCH("賃金|S|6",決算整理!$S$5:$S$1835,0)),"")</f>
        <v/>
      </c>
      <c r="D90" s="828" t="str">
        <f>IF(C90="","",D89+C90)</f>
        <v/>
      </c>
      <c r="E90" s="829" t="str">
        <f>IFERROR(INDEX(決算整理!$P$5:$P$1835,MATCH("賃金|S|6",決算整理!$S$5:$S$1835,0)),"")</f>
        <v/>
      </c>
      <c r="F90" s="825" t="str">
        <f>IFERROR(INDEX(決算整理!$A$5:$A$1835,MATCH("諸謝金|S|6",決算整理!$S$5:$S$1835,0)),"")</f>
        <v/>
      </c>
      <c r="G90" s="826" t="str">
        <f>IFERROR(INDEX(決算整理!$E$5:$E$1835,MATCH("諸謝金|S|6",決算整理!$S$5:$S$1835,0)),"")</f>
        <v/>
      </c>
      <c r="H90" s="827" t="str">
        <f>IFERROR(INDEX(決算整理!$H$5:$H$1835,MATCH("諸謝金|S|6",決算整理!$S$5:$S$1835,0)),"")</f>
        <v/>
      </c>
      <c r="I90" s="828" t="str">
        <f>IF(H90="","",I89+H90)</f>
        <v/>
      </c>
      <c r="J90" s="829" t="str">
        <f>IFERROR(INDEX(決算整理!$P$5:$P$1835,MATCH("諸謝金|S|6",決算整理!$S$5:$S$1835,0)),"")</f>
        <v/>
      </c>
      <c r="K90" s="825" t="str">
        <f>IFERROR(INDEX(決算整理!$A$5:$A$1835,MATCH("互助会費|S|6",決算整理!$S$5:$S$1835,0)),"")</f>
        <v/>
      </c>
      <c r="L90" s="826" t="str">
        <f>IFERROR(INDEX(決算整理!$E$5:$E$1835,MATCH("互助会費|S|6",決算整理!$S$5:$S$1835,0)),"")</f>
        <v/>
      </c>
      <c r="M90" s="827" t="str">
        <f>IFERROR(INDEX(決算整理!$H$5:$H$1835,MATCH("互助会費|S|6",決算整理!$S$5:$S$1835,0)),"")</f>
        <v/>
      </c>
      <c r="N90" s="828" t="str">
        <f>IF(M90="","",N89+M90)</f>
        <v/>
      </c>
      <c r="O90" s="829" t="str">
        <f>IFERROR(INDEX(決算整理!$P$5:$P$1835,MATCH("互助会費|S|6",決算整理!$S$5:$S$1835,0)),"")</f>
        <v/>
      </c>
      <c r="P90" s="825" t="str">
        <f>IFERROR(INDEX(決算整理!$A$5:$A$1835,MATCH("会議出席負担金等|S|6",決算整理!$S$5:$S$1835,0)),"")</f>
        <v/>
      </c>
      <c r="Q90" s="826" t="str">
        <f>IFERROR(INDEX(決算整理!$E$5:$E$1835,MATCH("会議出席負担金等|S|6",決算整理!$S$5:$S$1835,0)),"")</f>
        <v/>
      </c>
      <c r="R90" s="827" t="str">
        <f>IFERROR(INDEX(決算整理!$H$5:$H$1835,MATCH("会議出席負担金等|S|6",決算整理!$S$5:$S$1835,0)),"")</f>
        <v/>
      </c>
      <c r="S90" s="828" t="str">
        <f>IF(R90="","",S89+R90)</f>
        <v/>
      </c>
      <c r="T90" s="829" t="str">
        <f>IFERROR(INDEX(決算整理!$P$5:$P$1835,MATCH("会議出席負担金等|S|6",決算整理!$S$5:$S$1835,0)),"")</f>
        <v/>
      </c>
    </row>
    <row r="91" ht="26.25" customHeight="1" s="186">
      <c r="A91" s="825" t="str">
        <f>IFERROR(INDEX(決算整理!$A$5:$A$1835,MATCH("賃金|S|7",決算整理!$S$5:$S$1835,0)),"")</f>
        <v/>
      </c>
      <c r="B91" s="826" t="str">
        <f>IFERROR(INDEX(決算整理!$E$5:$E$1835,MATCH("賃金|S|7",決算整理!$S$5:$S$1835,0)),"")</f>
        <v/>
      </c>
      <c r="C91" s="827" t="str">
        <f>IFERROR(INDEX(決算整理!$H$5:$H$1835,MATCH("賃金|S|7",決算整理!$S$5:$S$1835,0)),"")</f>
        <v/>
      </c>
      <c r="D91" s="828" t="str">
        <f>IF(C91="","",D90+C91)</f>
        <v/>
      </c>
      <c r="E91" s="829" t="str">
        <f>IFERROR(INDEX(決算整理!$P$5:$P$1835,MATCH("賃金|S|7",決算整理!$S$5:$S$1835,0)),"")</f>
        <v/>
      </c>
      <c r="F91" s="825" t="str">
        <f>IFERROR(INDEX(決算整理!$A$5:$A$1835,MATCH("諸謝金|S|7",決算整理!$S$5:$S$1835,0)),"")</f>
        <v/>
      </c>
      <c r="G91" s="826" t="str">
        <f>IFERROR(INDEX(決算整理!$E$5:$E$1835,MATCH("諸謝金|S|7",決算整理!$S$5:$S$1835,0)),"")</f>
        <v/>
      </c>
      <c r="H91" s="827" t="str">
        <f>IFERROR(INDEX(決算整理!$H$5:$H$1835,MATCH("諸謝金|S|7",決算整理!$S$5:$S$1835,0)),"")</f>
        <v/>
      </c>
      <c r="I91" s="828" t="str">
        <f>IF(H91="","",I90+H91)</f>
        <v/>
      </c>
      <c r="J91" s="829" t="str">
        <f>IFERROR(INDEX(決算整理!$P$5:$P$1835,MATCH("諸謝金|S|7",決算整理!$S$5:$S$1835,0)),"")</f>
        <v/>
      </c>
      <c r="K91" s="825" t="str">
        <f>IFERROR(INDEX(決算整理!$A$5:$A$1835,MATCH("互助会費|S|7",決算整理!$S$5:$S$1835,0)),"")</f>
        <v/>
      </c>
      <c r="L91" s="826" t="str">
        <f>IFERROR(INDEX(決算整理!$E$5:$E$1835,MATCH("互助会費|S|7",決算整理!$S$5:$S$1835,0)),"")</f>
        <v/>
      </c>
      <c r="M91" s="827" t="str">
        <f>IFERROR(INDEX(決算整理!$H$5:$H$1835,MATCH("互助会費|S|7",決算整理!$S$5:$S$1835,0)),"")</f>
        <v/>
      </c>
      <c r="N91" s="828" t="str">
        <f>IF(M91="","",N90+M91)</f>
        <v/>
      </c>
      <c r="O91" s="829" t="str">
        <f>IFERROR(INDEX(決算整理!$P$5:$P$1835,MATCH("互助会費|S|7",決算整理!$S$5:$S$1835,0)),"")</f>
        <v/>
      </c>
      <c r="P91" s="825" t="str">
        <f>IFERROR(INDEX(決算整理!$A$5:$A$1835,MATCH("会議出席負担金等|S|7",決算整理!$S$5:$S$1835,0)),"")</f>
        <v/>
      </c>
      <c r="Q91" s="826" t="str">
        <f>IFERROR(INDEX(決算整理!$E$5:$E$1835,MATCH("会議出席負担金等|S|7",決算整理!$S$5:$S$1835,0)),"")</f>
        <v/>
      </c>
      <c r="R91" s="827" t="str">
        <f>IFERROR(INDEX(決算整理!$H$5:$H$1835,MATCH("会議出席負担金等|S|7",決算整理!$S$5:$S$1835,0)),"")</f>
        <v/>
      </c>
      <c r="S91" s="828" t="str">
        <f>IF(R91="","",S90+R91)</f>
        <v/>
      </c>
      <c r="T91" s="829" t="str">
        <f>IFERROR(INDEX(決算整理!$P$5:$P$1835,MATCH("会議出席負担金等|S|7",決算整理!$S$5:$S$1835,0)),"")</f>
        <v/>
      </c>
    </row>
    <row r="92" ht="26.25" customHeight="1" s="186">
      <c r="A92" s="825" t="str">
        <f>IFERROR(INDEX(決算整理!$A$5:$A$1835,MATCH("賃金|S|8",決算整理!$S$5:$S$1835,0)),"")</f>
        <v/>
      </c>
      <c r="B92" s="826" t="str">
        <f>IFERROR(INDEX(決算整理!$E$5:$E$1835,MATCH("賃金|S|8",決算整理!$S$5:$S$1835,0)),"")</f>
        <v/>
      </c>
      <c r="C92" s="827" t="str">
        <f>IFERROR(INDEX(決算整理!$H$5:$H$1835,MATCH("賃金|S|8",決算整理!$S$5:$S$1835,0)),"")</f>
        <v/>
      </c>
      <c r="D92" s="828" t="str">
        <f>IF(C92="","",D91+C92)</f>
        <v/>
      </c>
      <c r="E92" s="829" t="str">
        <f>IFERROR(INDEX(決算整理!$P$5:$P$1835,MATCH("賃金|S|8",決算整理!$S$5:$S$1835,0)),"")</f>
        <v/>
      </c>
      <c r="F92" s="825" t="str">
        <f>IFERROR(INDEX(決算整理!$A$5:$A$1835,MATCH("諸謝金|S|8",決算整理!$S$5:$S$1835,0)),"")</f>
        <v/>
      </c>
      <c r="G92" s="826" t="str">
        <f>IFERROR(INDEX(決算整理!$E$5:$E$1835,MATCH("諸謝金|S|8",決算整理!$S$5:$S$1835,0)),"")</f>
        <v/>
      </c>
      <c r="H92" s="827" t="str">
        <f>IFERROR(INDEX(決算整理!$H$5:$H$1835,MATCH("諸謝金|S|8",決算整理!$S$5:$S$1835,0)),"")</f>
        <v/>
      </c>
      <c r="I92" s="828" t="str">
        <f>IF(H92="","",I91+H92)</f>
        <v/>
      </c>
      <c r="J92" s="829" t="str">
        <f>IFERROR(INDEX(決算整理!$P$5:$P$1835,MATCH("諸謝金|S|8",決算整理!$S$5:$S$1835,0)),"")</f>
        <v/>
      </c>
      <c r="K92" s="825" t="str">
        <f>IFERROR(INDEX(決算整理!$A$5:$A$1835,MATCH("互助会費|S|8",決算整理!$S$5:$S$1835,0)),"")</f>
        <v/>
      </c>
      <c r="L92" s="826" t="str">
        <f>IFERROR(INDEX(決算整理!$E$5:$E$1835,MATCH("互助会費|S|8",決算整理!$S$5:$S$1835,0)),"")</f>
        <v/>
      </c>
      <c r="M92" s="827" t="str">
        <f>IFERROR(INDEX(決算整理!$H$5:$H$1835,MATCH("互助会費|S|8",決算整理!$S$5:$S$1835,0)),"")</f>
        <v/>
      </c>
      <c r="N92" s="828" t="str">
        <f>IF(M92="","",N91+M92)</f>
        <v/>
      </c>
      <c r="O92" s="829" t="str">
        <f>IFERROR(INDEX(決算整理!$P$5:$P$1835,MATCH("互助会費|S|8",決算整理!$S$5:$S$1835,0)),"")</f>
        <v/>
      </c>
      <c r="P92" s="825" t="str">
        <f>IFERROR(INDEX(決算整理!$A$5:$A$1835,MATCH("会議出席負担金等|S|8",決算整理!$S$5:$S$1835,0)),"")</f>
        <v/>
      </c>
      <c r="Q92" s="826" t="str">
        <f>IFERROR(INDEX(決算整理!$E$5:$E$1835,MATCH("会議出席負担金等|S|8",決算整理!$S$5:$S$1835,0)),"")</f>
        <v/>
      </c>
      <c r="R92" s="827" t="str">
        <f>IFERROR(INDEX(決算整理!$H$5:$H$1835,MATCH("会議出席負担金等|S|8",決算整理!$S$5:$S$1835,0)),"")</f>
        <v/>
      </c>
      <c r="S92" s="828" t="str">
        <f>IF(R92="","",S91+R92)</f>
        <v/>
      </c>
      <c r="T92" s="829" t="str">
        <f>IFERROR(INDEX(決算整理!$P$5:$P$1835,MATCH("会議出席負担金等|S|8",決算整理!$S$5:$S$1835,0)),"")</f>
        <v/>
      </c>
    </row>
    <row r="93" ht="26.25" customHeight="1" s="186">
      <c r="A93" s="825" t="str">
        <f>IFERROR(INDEX(決算整理!$A$5:$A$1835,MATCH("賃金|S|9",決算整理!$S$5:$S$1835,0)),"")</f>
        <v/>
      </c>
      <c r="B93" s="826" t="str">
        <f>IFERROR(INDEX(決算整理!$E$5:$E$1835,MATCH("賃金|S|9",決算整理!$S$5:$S$1835,0)),"")</f>
        <v/>
      </c>
      <c r="C93" s="827" t="str">
        <f>IFERROR(INDEX(決算整理!$H$5:$H$1835,MATCH("賃金|S|9",決算整理!$S$5:$S$1835,0)),"")</f>
        <v/>
      </c>
      <c r="D93" s="828" t="str">
        <f>IF(C93="","",D92+C93)</f>
        <v/>
      </c>
      <c r="E93" s="829" t="str">
        <f>IFERROR(INDEX(決算整理!$P$5:$P$1835,MATCH("賃金|S|9",決算整理!$S$5:$S$1835,0)),"")</f>
        <v/>
      </c>
      <c r="F93" s="825" t="str">
        <f>IFERROR(INDEX(決算整理!$A$5:$A$1835,MATCH("諸謝金|S|9",決算整理!$S$5:$S$1835,0)),"")</f>
        <v/>
      </c>
      <c r="G93" s="826" t="str">
        <f>IFERROR(INDEX(決算整理!$E$5:$E$1835,MATCH("諸謝金|S|9",決算整理!$S$5:$S$1835,0)),"")</f>
        <v/>
      </c>
      <c r="H93" s="827" t="str">
        <f>IFERROR(INDEX(決算整理!$H$5:$H$1835,MATCH("諸謝金|S|9",決算整理!$S$5:$S$1835,0)),"")</f>
        <v/>
      </c>
      <c r="I93" s="828" t="str">
        <f>IF(H93="","",I92+H93)</f>
        <v/>
      </c>
      <c r="J93" s="829" t="str">
        <f>IFERROR(INDEX(決算整理!$P$5:$P$1835,MATCH("諸謝金|S|9",決算整理!$S$5:$S$1835,0)),"")</f>
        <v/>
      </c>
      <c r="K93" s="825" t="str">
        <f>IFERROR(INDEX(決算整理!$A$5:$A$1835,MATCH("互助会費|S|9",決算整理!$S$5:$S$1835,0)),"")</f>
        <v/>
      </c>
      <c r="L93" s="826" t="str">
        <f>IFERROR(INDEX(決算整理!$E$5:$E$1835,MATCH("互助会費|S|9",決算整理!$S$5:$S$1835,0)),"")</f>
        <v/>
      </c>
      <c r="M93" s="827" t="str">
        <f>IFERROR(INDEX(決算整理!$H$5:$H$1835,MATCH("互助会費|S|9",決算整理!$S$5:$S$1835,0)),"")</f>
        <v/>
      </c>
      <c r="N93" s="828" t="str">
        <f>IF(M93="","",N92+M93)</f>
        <v/>
      </c>
      <c r="O93" s="829" t="str">
        <f>IFERROR(INDEX(決算整理!$P$5:$P$1835,MATCH("互助会費|S|9",決算整理!$S$5:$S$1835,0)),"")</f>
        <v/>
      </c>
      <c r="P93" s="825" t="str">
        <f>IFERROR(INDEX(決算整理!$A$5:$A$1835,MATCH("会議出席負担金等|S|9",決算整理!$S$5:$S$1835,0)),"")</f>
        <v/>
      </c>
      <c r="Q93" s="826" t="str">
        <f>IFERROR(INDEX(決算整理!$E$5:$E$1835,MATCH("会議出席負担金等|S|9",決算整理!$S$5:$S$1835,0)),"")</f>
        <v/>
      </c>
      <c r="R93" s="827" t="str">
        <f>IFERROR(INDEX(決算整理!$H$5:$H$1835,MATCH("会議出席負担金等|S|9",決算整理!$S$5:$S$1835,0)),"")</f>
        <v/>
      </c>
      <c r="S93" s="828" t="str">
        <f>IF(R93="","",S92+R93)</f>
        <v/>
      </c>
      <c r="T93" s="829" t="str">
        <f>IFERROR(INDEX(決算整理!$P$5:$P$1835,MATCH("会議出席負担金等|S|9",決算整理!$S$5:$S$1835,0)),"")</f>
        <v/>
      </c>
    </row>
    <row r="94" ht="26.25" customHeight="1" s="186">
      <c r="A94" s="825" t="str">
        <f>IFERROR(INDEX(決算整理!$A$5:$A$1835,MATCH("賃金|S|10",決算整理!$S$5:$S$1835,0)),"")</f>
        <v/>
      </c>
      <c r="B94" s="826" t="str">
        <f>IFERROR(INDEX(決算整理!$E$5:$E$1835,MATCH("賃金|S|10",決算整理!$S$5:$S$1835,0)),"")</f>
        <v/>
      </c>
      <c r="C94" s="827" t="str">
        <f>IFERROR(INDEX(決算整理!$H$5:$H$1835,MATCH("賃金|S|10",決算整理!$S$5:$S$1835,0)),"")</f>
        <v/>
      </c>
      <c r="D94" s="828" t="str">
        <f>IF(C94="","",D93+C94)</f>
        <v/>
      </c>
      <c r="E94" s="829" t="str">
        <f>IFERROR(INDEX(決算整理!$P$5:$P$1835,MATCH("賃金|S|10",決算整理!$S$5:$S$1835,0)),"")</f>
        <v/>
      </c>
      <c r="F94" s="825" t="str">
        <f>IFERROR(INDEX(決算整理!$A$5:$A$1835,MATCH("諸謝金|S|10",決算整理!$S$5:$S$1835,0)),"")</f>
        <v/>
      </c>
      <c r="G94" s="826" t="str">
        <f>IFERROR(INDEX(決算整理!$E$5:$E$1835,MATCH("諸謝金|S|10",決算整理!$S$5:$S$1835,0)),"")</f>
        <v/>
      </c>
      <c r="H94" s="827" t="str">
        <f>IFERROR(INDEX(決算整理!$H$5:$H$1835,MATCH("諸謝金|S|10",決算整理!$S$5:$S$1835,0)),"")</f>
        <v/>
      </c>
      <c r="I94" s="828" t="str">
        <f>IF(H94="","",I93+H94)</f>
        <v/>
      </c>
      <c r="J94" s="829" t="str">
        <f>IFERROR(INDEX(決算整理!$P$5:$P$1835,MATCH("諸謝金|S|10",決算整理!$S$5:$S$1835,0)),"")</f>
        <v/>
      </c>
      <c r="K94" s="825" t="str">
        <f>IFERROR(INDEX(決算整理!$A$5:$A$1835,MATCH("互助会費|S|10",決算整理!$S$5:$S$1835,0)),"")</f>
        <v/>
      </c>
      <c r="L94" s="826" t="str">
        <f>IFERROR(INDEX(決算整理!$E$5:$E$1835,MATCH("互助会費|S|10",決算整理!$S$5:$S$1835,0)),"")</f>
        <v/>
      </c>
      <c r="M94" s="827" t="str">
        <f>IFERROR(INDEX(決算整理!$H$5:$H$1835,MATCH("互助会費|S|10",決算整理!$S$5:$S$1835,0)),"")</f>
        <v/>
      </c>
      <c r="N94" s="828" t="str">
        <f>IF(M94="","",N93+M94)</f>
        <v/>
      </c>
      <c r="O94" s="829" t="str">
        <f>IFERROR(INDEX(決算整理!$P$5:$P$1835,MATCH("互助会費|S|10",決算整理!$S$5:$S$1835,0)),"")</f>
        <v/>
      </c>
      <c r="P94" s="825" t="str">
        <f>IFERROR(INDEX(決算整理!$A$5:$A$1835,MATCH("会議出席負担金等|S|10",決算整理!$S$5:$S$1835,0)),"")</f>
        <v/>
      </c>
      <c r="Q94" s="826" t="str">
        <f>IFERROR(INDEX(決算整理!$E$5:$E$1835,MATCH("会議出席負担金等|S|10",決算整理!$S$5:$S$1835,0)),"")</f>
        <v/>
      </c>
      <c r="R94" s="827" t="str">
        <f>IFERROR(INDEX(決算整理!$H$5:$H$1835,MATCH("会議出席負担金等|S|10",決算整理!$S$5:$S$1835,0)),"")</f>
        <v/>
      </c>
      <c r="S94" s="828" t="str">
        <f>IF(R94="","",S93+R94)</f>
        <v/>
      </c>
      <c r="T94" s="829" t="str">
        <f>IFERROR(INDEX(決算整理!$P$5:$P$1835,MATCH("会議出席負担金等|S|10",決算整理!$S$5:$S$1835,0)),"")</f>
        <v/>
      </c>
    </row>
    <row r="95" ht="26.25" customHeight="1" s="186">
      <c r="A95" s="825" t="str">
        <f>IFERROR(INDEX(決算整理!$A$5:$A$1835,MATCH("賃金|S|11",決算整理!$S$5:$S$1835,0)),"")</f>
        <v/>
      </c>
      <c r="B95" s="826" t="str">
        <f>IFERROR(INDEX(決算整理!$E$5:$E$1835,MATCH("賃金|S|11",決算整理!$S$5:$S$1835,0)),"")</f>
        <v/>
      </c>
      <c r="C95" s="827" t="str">
        <f>IFERROR(INDEX(決算整理!$H$5:$H$1835,MATCH("賃金|S|11",決算整理!$S$5:$S$1835,0)),"")</f>
        <v/>
      </c>
      <c r="D95" s="828" t="str">
        <f>IF(C95="","",D94+C95)</f>
        <v/>
      </c>
      <c r="E95" s="829" t="str">
        <f>IFERROR(INDEX(決算整理!$P$5:$P$1835,MATCH("賃金|S|11",決算整理!$S$5:$S$1835,0)),"")</f>
        <v/>
      </c>
      <c r="F95" s="825" t="str">
        <f>IFERROR(INDEX(決算整理!$A$5:$A$1835,MATCH("諸謝金|S|11",決算整理!$S$5:$S$1835,0)),"")</f>
        <v/>
      </c>
      <c r="G95" s="826" t="str">
        <f>IFERROR(INDEX(決算整理!$E$5:$E$1835,MATCH("諸謝金|S|11",決算整理!$S$5:$S$1835,0)),"")</f>
        <v/>
      </c>
      <c r="H95" s="827" t="str">
        <f>IFERROR(INDEX(決算整理!$H$5:$H$1835,MATCH("諸謝金|S|11",決算整理!$S$5:$S$1835,0)),"")</f>
        <v/>
      </c>
      <c r="I95" s="828" t="str">
        <f>IF(H95="","",I94+H95)</f>
        <v/>
      </c>
      <c r="J95" s="829" t="str">
        <f>IFERROR(INDEX(決算整理!$P$5:$P$1835,MATCH("諸謝金|S|11",決算整理!$S$5:$S$1835,0)),"")</f>
        <v/>
      </c>
      <c r="K95" s="825" t="str">
        <f>IFERROR(INDEX(決算整理!$A$5:$A$1835,MATCH("互助会費|S|11",決算整理!$S$5:$S$1835,0)),"")</f>
        <v/>
      </c>
      <c r="L95" s="826" t="str">
        <f>IFERROR(INDEX(決算整理!$E$5:$E$1835,MATCH("互助会費|S|11",決算整理!$S$5:$S$1835,0)),"")</f>
        <v/>
      </c>
      <c r="M95" s="827" t="str">
        <f>IFERROR(INDEX(決算整理!$H$5:$H$1835,MATCH("互助会費|S|11",決算整理!$S$5:$S$1835,0)),"")</f>
        <v/>
      </c>
      <c r="N95" s="828" t="str">
        <f>IF(M95="","",N94+M95)</f>
        <v/>
      </c>
      <c r="O95" s="829" t="str">
        <f>IFERROR(INDEX(決算整理!$P$5:$P$1835,MATCH("互助会費|S|11",決算整理!$S$5:$S$1835,0)),"")</f>
        <v/>
      </c>
      <c r="P95" s="825" t="str">
        <f>IFERROR(INDEX(決算整理!$A$5:$A$1835,MATCH("会議出席負担金等|S|11",決算整理!$S$5:$S$1835,0)),"")</f>
        <v/>
      </c>
      <c r="Q95" s="826" t="str">
        <f>IFERROR(INDEX(決算整理!$E$5:$E$1835,MATCH("会議出席負担金等|S|11",決算整理!$S$5:$S$1835,0)),"")</f>
        <v/>
      </c>
      <c r="R95" s="827" t="str">
        <f>IFERROR(INDEX(決算整理!$H$5:$H$1835,MATCH("会議出席負担金等|S|11",決算整理!$S$5:$S$1835,0)),"")</f>
        <v/>
      </c>
      <c r="S95" s="828" t="str">
        <f>IF(R95="","",S94+R95)</f>
        <v/>
      </c>
      <c r="T95" s="829" t="str">
        <f>IFERROR(INDEX(決算整理!$P$5:$P$1835,MATCH("会議出席負担金等|S|11",決算整理!$S$5:$S$1835,0)),"")</f>
        <v/>
      </c>
    </row>
    <row r="96" ht="26.25" customHeight="1" s="186">
      <c r="A96" s="825" t="str">
        <f>IFERROR(INDEX(決算整理!$A$5:$A$1835,MATCH("賃金|S|12",決算整理!$S$5:$S$1835,0)),"")</f>
        <v/>
      </c>
      <c r="B96" s="826" t="str">
        <f>IFERROR(INDEX(決算整理!$E$5:$E$1835,MATCH("賃金|S|12",決算整理!$S$5:$S$1835,0)),"")</f>
        <v/>
      </c>
      <c r="C96" s="827" t="str">
        <f>IFERROR(INDEX(決算整理!$H$5:$H$1835,MATCH("賃金|S|12",決算整理!$S$5:$S$1835,0)),"")</f>
        <v/>
      </c>
      <c r="D96" s="828" t="str">
        <f>IF(C96="","",D95+C96)</f>
        <v/>
      </c>
      <c r="E96" s="829" t="str">
        <f>IFERROR(INDEX(決算整理!$P$5:$P$1835,MATCH("賃金|S|12",決算整理!$S$5:$S$1835,0)),"")</f>
        <v/>
      </c>
      <c r="F96" s="825" t="str">
        <f>IFERROR(INDEX(決算整理!$A$5:$A$1835,MATCH("諸謝金|S|12",決算整理!$S$5:$S$1835,0)),"")</f>
        <v/>
      </c>
      <c r="G96" s="826" t="str">
        <f>IFERROR(INDEX(決算整理!$E$5:$E$1835,MATCH("諸謝金|S|12",決算整理!$S$5:$S$1835,0)),"")</f>
        <v/>
      </c>
      <c r="H96" s="827" t="str">
        <f>IFERROR(INDEX(決算整理!$H$5:$H$1835,MATCH("諸謝金|S|12",決算整理!$S$5:$S$1835,0)),"")</f>
        <v/>
      </c>
      <c r="I96" s="828" t="str">
        <f>IF(H96="","",I95+H96)</f>
        <v/>
      </c>
      <c r="J96" s="829" t="str">
        <f>IFERROR(INDEX(決算整理!$P$5:$P$1835,MATCH("諸謝金|S|12",決算整理!$S$5:$S$1835,0)),"")</f>
        <v/>
      </c>
      <c r="K96" s="825" t="str">
        <f>IFERROR(INDEX(決算整理!$A$5:$A$1835,MATCH("互助会費|S|12",決算整理!$S$5:$S$1835,0)),"")</f>
        <v/>
      </c>
      <c r="L96" s="826" t="str">
        <f>IFERROR(INDEX(決算整理!$E$5:$E$1835,MATCH("互助会費|S|12",決算整理!$S$5:$S$1835,0)),"")</f>
        <v/>
      </c>
      <c r="M96" s="827" t="str">
        <f>IFERROR(INDEX(決算整理!$H$5:$H$1835,MATCH("互助会費|S|12",決算整理!$S$5:$S$1835,0)),"")</f>
        <v/>
      </c>
      <c r="N96" s="828" t="str">
        <f>IF(M96="","",N95+M96)</f>
        <v/>
      </c>
      <c r="O96" s="829" t="str">
        <f>IFERROR(INDEX(決算整理!$P$5:$P$1835,MATCH("互助会費|S|12",決算整理!$S$5:$S$1835,0)),"")</f>
        <v/>
      </c>
      <c r="P96" s="825" t="str">
        <f>IFERROR(INDEX(決算整理!$A$5:$A$1835,MATCH("会議出席負担金等|S|12",決算整理!$S$5:$S$1835,0)),"")</f>
        <v/>
      </c>
      <c r="Q96" s="826" t="str">
        <f>IFERROR(INDEX(決算整理!$E$5:$E$1835,MATCH("会議出席負担金等|S|12",決算整理!$S$5:$S$1835,0)),"")</f>
        <v/>
      </c>
      <c r="R96" s="827" t="str">
        <f>IFERROR(INDEX(決算整理!$H$5:$H$1835,MATCH("会議出席負担金等|S|12",決算整理!$S$5:$S$1835,0)),"")</f>
        <v/>
      </c>
      <c r="S96" s="828" t="str">
        <f>IF(R96="","",S95+R96)</f>
        <v/>
      </c>
      <c r="T96" s="829" t="str">
        <f>IFERROR(INDEX(決算整理!$P$5:$P$1835,MATCH("会議出席負担金等|S|12",決算整理!$S$5:$S$1835,0)),"")</f>
        <v/>
      </c>
    </row>
    <row r="97" ht="26.25" customHeight="1" s="186"/>
    <row r="98" ht="26.25" customHeight="1" s="186" thickBot="1"/>
    <row r="99" ht="26.25" customHeight="1" s="186" thickBot="1"/>
    <row r="100" ht="26.25" customHeight="1" s="186" thickBot="1">
      <c r="B100" s="502" t="inlineStr">
        <is>
          <t>○負担金  協会けんぽ保険料等</t>
        </is>
      </c>
      <c r="D100" s="503" t="inlineStr">
        <is>
          <t>業務（短）未払</t>
        </is>
      </c>
      <c r="E100" s="824" t="str">
        <f>IF(COUNTIF(決算整理!$S$5:$S$1835,"協会けんぽ保険料等|S|*")&gt;12,"行不足","")</f>
        <v/>
      </c>
      <c r="G100" s="502" t="inlineStr">
        <is>
          <t>○負担金  共済負担金等</t>
        </is>
      </c>
      <c r="I100" s="503" t="inlineStr">
        <is>
          <t>業務（短）未払</t>
        </is>
      </c>
      <c r="J100" s="824" t="str">
        <f>IF(COUNTIF(決算整理!$S$5:$S$1835,"共済負担金等|S|*")&gt;12,"行不足","")</f>
        <v/>
      </c>
      <c r="L100" s="502" t="inlineStr">
        <is>
          <t>○負担金  厚年負担金等</t>
        </is>
      </c>
      <c r="N100" s="503" t="inlineStr">
        <is>
          <t>業務（短）未払</t>
        </is>
      </c>
      <c r="O100" s="824" t="str">
        <f>IF(COUNTIF(決算整理!$S$5:$S$1835,"厚年負担金等|S|*")&gt;12,"行不足","")</f>
        <v/>
      </c>
      <c r="Q100" s="502" t="inlineStr">
        <is>
          <t>○負担金  労災・雇用保険料</t>
        </is>
      </c>
      <c r="S100" s="503" t="inlineStr">
        <is>
          <t>業務（短）未払</t>
        </is>
      </c>
      <c r="T100" s="824" t="str">
        <f>IF(COUNTIF(決算整理!$S$5:$S$1835,"労災・雇用保険料|S|*")&gt;12,"行不足","")</f>
        <v/>
      </c>
    </row>
    <row r="101" ht="26.25" customHeight="1" s="186" thickBot="1">
      <c r="A101" s="100" t="inlineStr">
        <is>
          <t>支出日</t>
        </is>
      </c>
      <c r="B101" s="100" t="inlineStr">
        <is>
          <t>摘要</t>
        </is>
      </c>
      <c r="C101" s="100" t="inlineStr">
        <is>
          <t>支出</t>
        </is>
      </c>
      <c r="D101" s="100" t="inlineStr">
        <is>
          <t>累計</t>
        </is>
      </c>
      <c r="E101" s="100" t="inlineStr">
        <is>
          <t>状態</t>
        </is>
      </c>
      <c r="F101" s="100" t="inlineStr">
        <is>
          <t>支出日</t>
        </is>
      </c>
      <c r="G101" s="100" t="inlineStr">
        <is>
          <t>摘要</t>
        </is>
      </c>
      <c r="H101" s="100" t="inlineStr">
        <is>
          <t>支出</t>
        </is>
      </c>
      <c r="I101" s="100" t="inlineStr">
        <is>
          <t>累計</t>
        </is>
      </c>
      <c r="J101" s="100" t="inlineStr">
        <is>
          <t>状態</t>
        </is>
      </c>
      <c r="K101" s="100" t="inlineStr">
        <is>
          <t>支出日</t>
        </is>
      </c>
      <c r="L101" s="100" t="inlineStr">
        <is>
          <t>摘要</t>
        </is>
      </c>
      <c r="M101" s="100" t="inlineStr">
        <is>
          <t>支出</t>
        </is>
      </c>
      <c r="N101" s="100" t="inlineStr">
        <is>
          <t>累計</t>
        </is>
      </c>
      <c r="O101" s="100" t="inlineStr">
        <is>
          <t>状態</t>
        </is>
      </c>
      <c r="P101" s="100" t="inlineStr">
        <is>
          <t>支出日</t>
        </is>
      </c>
      <c r="Q101" s="100" t="inlineStr">
        <is>
          <t>摘要</t>
        </is>
      </c>
      <c r="R101" s="100" t="inlineStr">
        <is>
          <t>支出</t>
        </is>
      </c>
      <c r="S101" s="100" t="inlineStr">
        <is>
          <t>累計</t>
        </is>
      </c>
      <c r="T101" s="100" t="inlineStr">
        <is>
          <t>状態</t>
        </is>
      </c>
    </row>
    <row r="102" ht="26.25" customHeight="1" s="186" thickBot="1">
      <c r="A102" s="825" t="n"/>
      <c r="B102" s="826" t="inlineStr">
        <is>
          <t>（予算なし）</t>
        </is>
      </c>
      <c r="C102" s="827" t="n"/>
      <c r="D102" s="828" t="n">
        <v>0</v>
      </c>
      <c r="F102" s="825" t="n"/>
      <c r="G102" s="826" t="inlineStr">
        <is>
          <t>（予算なし）</t>
        </is>
      </c>
      <c r="H102" s="827" t="n"/>
      <c r="I102" s="828" t="n">
        <v>0</v>
      </c>
      <c r="K102" s="825" t="n"/>
      <c r="L102" s="826" t="inlineStr">
        <is>
          <t>（予算なし）</t>
        </is>
      </c>
      <c r="M102" s="827" t="n"/>
      <c r="N102" s="828" t="n">
        <v>0</v>
      </c>
      <c r="P102" s="825" t="n"/>
      <c r="Q102" s="826" t="inlineStr">
        <is>
          <t>（予算なし）</t>
        </is>
      </c>
      <c r="R102" s="827" t="n"/>
      <c r="S102" s="828" t="n">
        <v>0</v>
      </c>
    </row>
    <row r="103" ht="26.25" customHeight="1" s="186" thickBot="1">
      <c r="A103" s="825">
        <f>IFERROR(INDEX(決算整理!$A$5:$A$1835,MATCH("協会けんぽ保険料等|S|1",決算整理!$S$5:$S$1835,0)),"")</f>
        <v>43951</v>
      </c>
      <c r="B103" s="826" t="str">
        <f>IFERROR(INDEX(決算整理!$E$5:$E$1835,MATCH("協会けんぽ保険料等|S|1",決算整理!$S$5:$S$1835,0)),"")</f>
        <v>３月月例+３月賞与分（短期分）</v>
      </c>
      <c r="C103" s="827">
        <f>IFERROR(INDEX(決算整理!$H$5:$H$1835,MATCH("協会けんぽ保険料等|S|1",決算整理!$S$5:$S$1835,0)),"")</f>
        <v>28829</v>
      </c>
      <c r="D103" s="828">
        <f>IF(C103="","",D102+C103)</f>
        <v>28829</v>
      </c>
      <c r="E103" s="829" t="str">
        <f>IFERROR(INDEX(決算整理!$P$5:$P$1835,MATCH("協会けんぽ保険料等|S|1",決算整理!$S$5:$S$1835,0)),"")</f>
        <v>昨年実績</v>
      </c>
      <c r="F103" s="825" t="str">
        <f>IFERROR(INDEX(決算整理!$A$5:$A$1835,MATCH("共済負担金等|S|1",決算整理!$S$5:$S$1835,0)),"")</f>
        <v/>
      </c>
      <c r="G103" s="826" t="str">
        <f>IFERROR(INDEX(決算整理!$E$5:$E$1835,MATCH("共済負担金等|S|1",決算整理!$S$5:$S$1835,0)),"")</f>
        <v/>
      </c>
      <c r="H103" s="827" t="str">
        <f>IFERROR(INDEX(決算整理!$H$5:$H$1835,MATCH("共済負担金等|S|1",決算整理!$S$5:$S$1835,0)),"")</f>
        <v/>
      </c>
      <c r="I103" s="828" t="str">
        <f>IF(H103="","",I102+H103)</f>
        <v/>
      </c>
      <c r="J103" s="829" t="str">
        <f>IFERROR(INDEX(決算整理!$P$5:$P$1835,MATCH("共済負担金等|S|1",決算整理!$S$5:$S$1835,0)),"")</f>
        <v/>
      </c>
      <c r="K103" s="825">
        <f>IFERROR(INDEX(決算整理!$A$5:$A$1835,MATCH("厚年負担金等|S|1",決算整理!$S$5:$S$1835,0)),"")</f>
        <v>43951</v>
      </c>
      <c r="L103" s="826" t="str">
        <f>IFERROR(INDEX(決算整理!$E$5:$E$1835,MATCH("厚年負担金等|S|1",決算整理!$S$5:$S$1835,0)),"")</f>
        <v>３月月例+３月賞与分（短期分）子ども子育て拠出金を含む</v>
      </c>
      <c r="M103" s="827">
        <f>IFERROR(INDEX(決算整理!$H$5:$H$1835,MATCH("厚年負担金等|S|1",決算整理!$S$5:$S$1835,0)),"")</f>
        <v>49538</v>
      </c>
      <c r="N103" s="828">
        <f>IF(M103="","",N102+M103)</f>
        <v>49538</v>
      </c>
      <c r="O103" s="829" t="str">
        <f>IFERROR(INDEX(決算整理!$P$5:$P$1835,MATCH("厚年負担金等|S|1",決算整理!$S$5:$S$1835,0)),"")</f>
        <v>昨年実績</v>
      </c>
      <c r="P103" s="825" t="str">
        <f>IFERROR(INDEX(決算整理!$A$5:$A$1835,MATCH("労災・雇用保険料|S|1",決算整理!$S$5:$S$1835,0)),"")</f>
        <v/>
      </c>
      <c r="Q103" s="826" t="str">
        <f>IFERROR(INDEX(決算整理!$E$5:$E$1835,MATCH("労災・雇用保険料|S|1",決算整理!$S$5:$S$1835,0)),"")</f>
        <v/>
      </c>
      <c r="R103" s="827" t="str">
        <f>IFERROR(INDEX(決算整理!$H$5:$H$1835,MATCH("労災・雇用保険料|S|1",決算整理!$S$5:$S$1835,0)),"")</f>
        <v/>
      </c>
      <c r="S103" s="828" t="str">
        <f>IF(R103="","",S102+R103)</f>
        <v/>
      </c>
      <c r="T103" s="829" t="str">
        <f>IFERROR(INDEX(決算整理!$P$5:$P$1835,MATCH("労災・雇用保険料|S|1",決算整理!$S$5:$S$1835,0)),"")</f>
        <v/>
      </c>
    </row>
    <row r="104" ht="26.25" customHeight="1" s="186" thickBot="1">
      <c r="A104" s="825" t="str">
        <f>IFERROR(INDEX(決算整理!$A$5:$A$1835,MATCH("協会けんぽ保険料等|S|2",決算整理!$S$5:$S$1835,0)),"")</f>
        <v/>
      </c>
      <c r="B104" s="826" t="str">
        <f>IFERROR(INDEX(決算整理!$E$5:$E$1835,MATCH("協会けんぽ保険料等|S|2",決算整理!$S$5:$S$1835,0)),"")</f>
        <v/>
      </c>
      <c r="C104" s="827" t="str">
        <f>IFERROR(INDEX(決算整理!$H$5:$H$1835,MATCH("協会けんぽ保険料等|S|2",決算整理!$S$5:$S$1835,0)),"")</f>
        <v/>
      </c>
      <c r="D104" s="828" t="str">
        <f>IF(C104="","",D103+C104)</f>
        <v/>
      </c>
      <c r="E104" s="829" t="str">
        <f>IFERROR(INDEX(決算整理!$P$5:$P$1835,MATCH("協会けんぽ保険料等|S|2",決算整理!$S$5:$S$1835,0)),"")</f>
        <v/>
      </c>
      <c r="F104" s="825" t="str">
        <f>IFERROR(INDEX(決算整理!$A$5:$A$1835,MATCH("共済負担金等|S|2",決算整理!$S$5:$S$1835,0)),"")</f>
        <v/>
      </c>
      <c r="G104" s="826" t="str">
        <f>IFERROR(INDEX(決算整理!$E$5:$E$1835,MATCH("共済負担金等|S|2",決算整理!$S$5:$S$1835,0)),"")</f>
        <v/>
      </c>
      <c r="H104" s="827" t="str">
        <f>IFERROR(INDEX(決算整理!$H$5:$H$1835,MATCH("共済負担金等|S|2",決算整理!$S$5:$S$1835,0)),"")</f>
        <v/>
      </c>
      <c r="I104" s="828" t="str">
        <f>IF(H104="","",I103+H104)</f>
        <v/>
      </c>
      <c r="J104" s="829" t="str">
        <f>IFERROR(INDEX(決算整理!$P$5:$P$1835,MATCH("共済負担金等|S|2",決算整理!$S$5:$S$1835,0)),"")</f>
        <v/>
      </c>
      <c r="K104" s="825" t="str">
        <f>IFERROR(INDEX(決算整理!$A$5:$A$1835,MATCH("厚年負担金等|S|2",決算整理!$S$5:$S$1835,0)),"")</f>
        <v/>
      </c>
      <c r="L104" s="826" t="str">
        <f>IFERROR(INDEX(決算整理!$E$5:$E$1835,MATCH("厚年負担金等|S|2",決算整理!$S$5:$S$1835,0)),"")</f>
        <v/>
      </c>
      <c r="M104" s="827" t="str">
        <f>IFERROR(INDEX(決算整理!$H$5:$H$1835,MATCH("厚年負担金等|S|2",決算整理!$S$5:$S$1835,0)),"")</f>
        <v/>
      </c>
      <c r="N104" s="828" t="str">
        <f>IF(M104="","",N103+M104)</f>
        <v/>
      </c>
      <c r="O104" s="829" t="str">
        <f>IFERROR(INDEX(決算整理!$P$5:$P$1835,MATCH("厚年負担金等|S|2",決算整理!$S$5:$S$1835,0)),"")</f>
        <v/>
      </c>
      <c r="P104" s="825" t="str">
        <f>IFERROR(INDEX(決算整理!$A$5:$A$1835,MATCH("労災・雇用保険料|S|2",決算整理!$S$5:$S$1835,0)),"")</f>
        <v/>
      </c>
      <c r="Q104" s="826" t="str">
        <f>IFERROR(INDEX(決算整理!$E$5:$E$1835,MATCH("労災・雇用保険料|S|2",決算整理!$S$5:$S$1835,0)),"")</f>
        <v/>
      </c>
      <c r="R104" s="827" t="str">
        <f>IFERROR(INDEX(決算整理!$H$5:$H$1835,MATCH("労災・雇用保険料|S|2",決算整理!$S$5:$S$1835,0)),"")</f>
        <v/>
      </c>
      <c r="S104" s="828" t="str">
        <f>IF(R104="","",S103+R104)</f>
        <v/>
      </c>
      <c r="T104" s="829" t="str">
        <f>IFERROR(INDEX(決算整理!$P$5:$P$1835,MATCH("労災・雇用保険料|S|2",決算整理!$S$5:$S$1835,0)),"")</f>
        <v/>
      </c>
    </row>
    <row r="105" ht="26.25" customHeight="1" s="186">
      <c r="A105" s="825" t="str">
        <f>IFERROR(INDEX(決算整理!$A$5:$A$1835,MATCH("協会けんぽ保険料等|S|3",決算整理!$S$5:$S$1835,0)),"")</f>
        <v/>
      </c>
      <c r="B105" s="826" t="str">
        <f>IFERROR(INDEX(決算整理!$E$5:$E$1835,MATCH("協会けんぽ保険料等|S|3",決算整理!$S$5:$S$1835,0)),"")</f>
        <v/>
      </c>
      <c r="C105" s="827" t="str">
        <f>IFERROR(INDEX(決算整理!$H$5:$H$1835,MATCH("協会けんぽ保険料等|S|3",決算整理!$S$5:$S$1835,0)),"")</f>
        <v/>
      </c>
      <c r="D105" s="828" t="str">
        <f>IF(C105="","",D104+C105)</f>
        <v/>
      </c>
      <c r="E105" s="829" t="str">
        <f>IFERROR(INDEX(決算整理!$P$5:$P$1835,MATCH("協会けんぽ保険料等|S|3",決算整理!$S$5:$S$1835,0)),"")</f>
        <v/>
      </c>
      <c r="F105" s="825" t="str">
        <f>IFERROR(INDEX(決算整理!$A$5:$A$1835,MATCH("共済負担金等|S|3",決算整理!$S$5:$S$1835,0)),"")</f>
        <v/>
      </c>
      <c r="G105" s="826" t="str">
        <f>IFERROR(INDEX(決算整理!$E$5:$E$1835,MATCH("共済負担金等|S|3",決算整理!$S$5:$S$1835,0)),"")</f>
        <v/>
      </c>
      <c r="H105" s="827" t="str">
        <f>IFERROR(INDEX(決算整理!$H$5:$H$1835,MATCH("共済負担金等|S|3",決算整理!$S$5:$S$1835,0)),"")</f>
        <v/>
      </c>
      <c r="I105" s="828" t="str">
        <f>IF(H105="","",I104+H105)</f>
        <v/>
      </c>
      <c r="J105" s="829" t="str">
        <f>IFERROR(INDEX(決算整理!$P$5:$P$1835,MATCH("共済負担金等|S|3",決算整理!$S$5:$S$1835,0)),"")</f>
        <v/>
      </c>
      <c r="K105" s="825" t="str">
        <f>IFERROR(INDEX(決算整理!$A$5:$A$1835,MATCH("厚年負担金等|S|3",決算整理!$S$5:$S$1835,0)),"")</f>
        <v/>
      </c>
      <c r="L105" s="826" t="str">
        <f>IFERROR(INDEX(決算整理!$E$5:$E$1835,MATCH("厚年負担金等|S|3",決算整理!$S$5:$S$1835,0)),"")</f>
        <v/>
      </c>
      <c r="M105" s="827" t="str">
        <f>IFERROR(INDEX(決算整理!$H$5:$H$1835,MATCH("厚年負担金等|S|3",決算整理!$S$5:$S$1835,0)),"")</f>
        <v/>
      </c>
      <c r="N105" s="828" t="str">
        <f>IF(M105="","",N104+M105)</f>
        <v/>
      </c>
      <c r="O105" s="829" t="str">
        <f>IFERROR(INDEX(決算整理!$P$5:$P$1835,MATCH("厚年負担金等|S|3",決算整理!$S$5:$S$1835,0)),"")</f>
        <v/>
      </c>
      <c r="P105" s="825" t="str">
        <f>IFERROR(INDEX(決算整理!$A$5:$A$1835,MATCH("労災・雇用保険料|S|3",決算整理!$S$5:$S$1835,0)),"")</f>
        <v/>
      </c>
      <c r="Q105" s="826" t="str">
        <f>IFERROR(INDEX(決算整理!$E$5:$E$1835,MATCH("労災・雇用保険料|S|3",決算整理!$S$5:$S$1835,0)),"")</f>
        <v/>
      </c>
      <c r="R105" s="827" t="str">
        <f>IFERROR(INDEX(決算整理!$H$5:$H$1835,MATCH("労災・雇用保険料|S|3",決算整理!$S$5:$S$1835,0)),"")</f>
        <v/>
      </c>
      <c r="S105" s="828" t="str">
        <f>IF(R105="","",S104+R105)</f>
        <v/>
      </c>
      <c r="T105" s="829" t="str">
        <f>IFERROR(INDEX(決算整理!$P$5:$P$1835,MATCH("労災・雇用保険料|S|3",決算整理!$S$5:$S$1835,0)),"")</f>
        <v/>
      </c>
    </row>
    <row r="106" ht="26.25" customHeight="1" s="186">
      <c r="A106" s="825" t="str">
        <f>IFERROR(INDEX(決算整理!$A$5:$A$1835,MATCH("協会けんぽ保険料等|S|4",決算整理!$S$5:$S$1835,0)),"")</f>
        <v/>
      </c>
      <c r="B106" s="826" t="str">
        <f>IFERROR(INDEX(決算整理!$E$5:$E$1835,MATCH("協会けんぽ保険料等|S|4",決算整理!$S$5:$S$1835,0)),"")</f>
        <v/>
      </c>
      <c r="C106" s="827" t="str">
        <f>IFERROR(INDEX(決算整理!$H$5:$H$1835,MATCH("協会けんぽ保険料等|S|4",決算整理!$S$5:$S$1835,0)),"")</f>
        <v/>
      </c>
      <c r="D106" s="828" t="str">
        <f>IF(C106="","",D105+C106)</f>
        <v/>
      </c>
      <c r="E106" s="829" t="str">
        <f>IFERROR(INDEX(決算整理!$P$5:$P$1835,MATCH("協会けんぽ保険料等|S|4",決算整理!$S$5:$S$1835,0)),"")</f>
        <v/>
      </c>
      <c r="F106" s="825" t="str">
        <f>IFERROR(INDEX(決算整理!$A$5:$A$1835,MATCH("共済負担金等|S|4",決算整理!$S$5:$S$1835,0)),"")</f>
        <v/>
      </c>
      <c r="G106" s="826" t="str">
        <f>IFERROR(INDEX(決算整理!$E$5:$E$1835,MATCH("共済負担金等|S|4",決算整理!$S$5:$S$1835,0)),"")</f>
        <v/>
      </c>
      <c r="H106" s="827" t="str">
        <f>IFERROR(INDEX(決算整理!$H$5:$H$1835,MATCH("共済負担金等|S|4",決算整理!$S$5:$S$1835,0)),"")</f>
        <v/>
      </c>
      <c r="I106" s="828" t="str">
        <f>IF(H106="","",I105+H106)</f>
        <v/>
      </c>
      <c r="J106" s="829" t="str">
        <f>IFERROR(INDEX(決算整理!$P$5:$P$1835,MATCH("共済負担金等|S|4",決算整理!$S$5:$S$1835,0)),"")</f>
        <v/>
      </c>
      <c r="K106" s="825" t="str">
        <f>IFERROR(INDEX(決算整理!$A$5:$A$1835,MATCH("厚年負担金等|S|4",決算整理!$S$5:$S$1835,0)),"")</f>
        <v/>
      </c>
      <c r="L106" s="826" t="str">
        <f>IFERROR(INDEX(決算整理!$E$5:$E$1835,MATCH("厚年負担金等|S|4",決算整理!$S$5:$S$1835,0)),"")</f>
        <v/>
      </c>
      <c r="M106" s="827" t="str">
        <f>IFERROR(INDEX(決算整理!$H$5:$H$1835,MATCH("厚年負担金等|S|4",決算整理!$S$5:$S$1835,0)),"")</f>
        <v/>
      </c>
      <c r="N106" s="828" t="str">
        <f>IF(M106="","",N105+M106)</f>
        <v/>
      </c>
      <c r="O106" s="829" t="str">
        <f>IFERROR(INDEX(決算整理!$P$5:$P$1835,MATCH("厚年負担金等|S|4",決算整理!$S$5:$S$1835,0)),"")</f>
        <v/>
      </c>
      <c r="P106" s="825" t="str">
        <f>IFERROR(INDEX(決算整理!$A$5:$A$1835,MATCH("労災・雇用保険料|S|4",決算整理!$S$5:$S$1835,0)),"")</f>
        <v/>
      </c>
      <c r="Q106" s="826" t="str">
        <f>IFERROR(INDEX(決算整理!$E$5:$E$1835,MATCH("労災・雇用保険料|S|4",決算整理!$S$5:$S$1835,0)),"")</f>
        <v/>
      </c>
      <c r="R106" s="827" t="str">
        <f>IFERROR(INDEX(決算整理!$H$5:$H$1835,MATCH("労災・雇用保険料|S|4",決算整理!$S$5:$S$1835,0)),"")</f>
        <v/>
      </c>
      <c r="S106" s="828" t="str">
        <f>IF(R106="","",S105+R106)</f>
        <v/>
      </c>
      <c r="T106" s="829" t="str">
        <f>IFERROR(INDEX(決算整理!$P$5:$P$1835,MATCH("労災・雇用保険料|S|4",決算整理!$S$5:$S$1835,0)),"")</f>
        <v/>
      </c>
    </row>
    <row r="107" ht="26.25" customHeight="1" s="186" thickBot="1">
      <c r="A107" s="825" t="str">
        <f>IFERROR(INDEX(決算整理!$A$5:$A$1835,MATCH("協会けんぽ保険料等|S|5",決算整理!$S$5:$S$1835,0)),"")</f>
        <v/>
      </c>
      <c r="B107" s="826" t="str">
        <f>IFERROR(INDEX(決算整理!$E$5:$E$1835,MATCH("協会けんぽ保険料等|S|5",決算整理!$S$5:$S$1835,0)),"")</f>
        <v/>
      </c>
      <c r="C107" s="827" t="str">
        <f>IFERROR(INDEX(決算整理!$H$5:$H$1835,MATCH("協会けんぽ保険料等|S|5",決算整理!$S$5:$S$1835,0)),"")</f>
        <v/>
      </c>
      <c r="D107" s="828" t="str">
        <f>IF(C107="","",D106+C107)</f>
        <v/>
      </c>
      <c r="E107" s="829" t="str">
        <f>IFERROR(INDEX(決算整理!$P$5:$P$1835,MATCH("協会けんぽ保険料等|S|5",決算整理!$S$5:$S$1835,0)),"")</f>
        <v/>
      </c>
      <c r="F107" s="825" t="str">
        <f>IFERROR(INDEX(決算整理!$A$5:$A$1835,MATCH("共済負担金等|S|5",決算整理!$S$5:$S$1835,0)),"")</f>
        <v/>
      </c>
      <c r="G107" s="826" t="str">
        <f>IFERROR(INDEX(決算整理!$E$5:$E$1835,MATCH("共済負担金等|S|5",決算整理!$S$5:$S$1835,0)),"")</f>
        <v/>
      </c>
      <c r="H107" s="827" t="str">
        <f>IFERROR(INDEX(決算整理!$H$5:$H$1835,MATCH("共済負担金等|S|5",決算整理!$S$5:$S$1835,0)),"")</f>
        <v/>
      </c>
      <c r="I107" s="828" t="str">
        <f>IF(H107="","",I106+H107)</f>
        <v/>
      </c>
      <c r="J107" s="829" t="str">
        <f>IFERROR(INDEX(決算整理!$P$5:$P$1835,MATCH("共済負担金等|S|5",決算整理!$S$5:$S$1835,0)),"")</f>
        <v/>
      </c>
      <c r="K107" s="825" t="str">
        <f>IFERROR(INDEX(決算整理!$A$5:$A$1835,MATCH("厚年負担金等|S|5",決算整理!$S$5:$S$1835,0)),"")</f>
        <v/>
      </c>
      <c r="L107" s="826" t="str">
        <f>IFERROR(INDEX(決算整理!$E$5:$E$1835,MATCH("厚年負担金等|S|5",決算整理!$S$5:$S$1835,0)),"")</f>
        <v/>
      </c>
      <c r="M107" s="827" t="str">
        <f>IFERROR(INDEX(決算整理!$H$5:$H$1835,MATCH("厚年負担金等|S|5",決算整理!$S$5:$S$1835,0)),"")</f>
        <v/>
      </c>
      <c r="N107" s="828" t="str">
        <f>IF(M107="","",N106+M107)</f>
        <v/>
      </c>
      <c r="O107" s="829" t="str">
        <f>IFERROR(INDEX(決算整理!$P$5:$P$1835,MATCH("厚年負担金等|S|5",決算整理!$S$5:$S$1835,0)),"")</f>
        <v/>
      </c>
      <c r="P107" s="825" t="str">
        <f>IFERROR(INDEX(決算整理!$A$5:$A$1835,MATCH("労災・雇用保険料|S|5",決算整理!$S$5:$S$1835,0)),"")</f>
        <v/>
      </c>
      <c r="Q107" s="826" t="str">
        <f>IFERROR(INDEX(決算整理!$E$5:$E$1835,MATCH("労災・雇用保険料|S|5",決算整理!$S$5:$S$1835,0)),"")</f>
        <v/>
      </c>
      <c r="R107" s="827" t="str">
        <f>IFERROR(INDEX(決算整理!$H$5:$H$1835,MATCH("労災・雇用保険料|S|5",決算整理!$S$5:$S$1835,0)),"")</f>
        <v/>
      </c>
      <c r="S107" s="828" t="str">
        <f>IF(R107="","",S106+R107)</f>
        <v/>
      </c>
      <c r="T107" s="829" t="str">
        <f>IFERROR(INDEX(決算整理!$P$5:$P$1835,MATCH("労災・雇用保険料|S|5",決算整理!$S$5:$S$1835,0)),"")</f>
        <v/>
      </c>
    </row>
    <row r="108" ht="26.25" customHeight="1" s="186" thickBot="1">
      <c r="A108" s="825" t="str">
        <f>IFERROR(INDEX(決算整理!$A$5:$A$1835,MATCH("協会けんぽ保険料等|S|6",決算整理!$S$5:$S$1835,0)),"")</f>
        <v/>
      </c>
      <c r="B108" s="826" t="str">
        <f>IFERROR(INDEX(決算整理!$E$5:$E$1835,MATCH("協会けんぽ保険料等|S|6",決算整理!$S$5:$S$1835,0)),"")</f>
        <v/>
      </c>
      <c r="C108" s="827" t="str">
        <f>IFERROR(INDEX(決算整理!$H$5:$H$1835,MATCH("協会けんぽ保険料等|S|6",決算整理!$S$5:$S$1835,0)),"")</f>
        <v/>
      </c>
      <c r="D108" s="828" t="str">
        <f>IF(C108="","",D107+C108)</f>
        <v/>
      </c>
      <c r="E108" s="829" t="str">
        <f>IFERROR(INDEX(決算整理!$P$5:$P$1835,MATCH("協会けんぽ保険料等|S|6",決算整理!$S$5:$S$1835,0)),"")</f>
        <v/>
      </c>
      <c r="F108" s="825" t="str">
        <f>IFERROR(INDEX(決算整理!$A$5:$A$1835,MATCH("共済負担金等|S|6",決算整理!$S$5:$S$1835,0)),"")</f>
        <v/>
      </c>
      <c r="G108" s="826" t="str">
        <f>IFERROR(INDEX(決算整理!$E$5:$E$1835,MATCH("共済負担金等|S|6",決算整理!$S$5:$S$1835,0)),"")</f>
        <v/>
      </c>
      <c r="H108" s="827" t="str">
        <f>IFERROR(INDEX(決算整理!$H$5:$H$1835,MATCH("共済負担金等|S|6",決算整理!$S$5:$S$1835,0)),"")</f>
        <v/>
      </c>
      <c r="I108" s="828" t="str">
        <f>IF(H108="","",I107+H108)</f>
        <v/>
      </c>
      <c r="J108" s="829" t="str">
        <f>IFERROR(INDEX(決算整理!$P$5:$P$1835,MATCH("共済負担金等|S|6",決算整理!$S$5:$S$1835,0)),"")</f>
        <v/>
      </c>
      <c r="K108" s="825" t="str">
        <f>IFERROR(INDEX(決算整理!$A$5:$A$1835,MATCH("厚年負担金等|S|6",決算整理!$S$5:$S$1835,0)),"")</f>
        <v/>
      </c>
      <c r="L108" s="826" t="str">
        <f>IFERROR(INDEX(決算整理!$E$5:$E$1835,MATCH("厚年負担金等|S|6",決算整理!$S$5:$S$1835,0)),"")</f>
        <v/>
      </c>
      <c r="M108" s="827" t="str">
        <f>IFERROR(INDEX(決算整理!$H$5:$H$1835,MATCH("厚年負担金等|S|6",決算整理!$S$5:$S$1835,0)),"")</f>
        <v/>
      </c>
      <c r="N108" s="828" t="str">
        <f>IF(M108="","",N107+M108)</f>
        <v/>
      </c>
      <c r="O108" s="829" t="str">
        <f>IFERROR(INDEX(決算整理!$P$5:$P$1835,MATCH("厚年負担金等|S|6",決算整理!$S$5:$S$1835,0)),"")</f>
        <v/>
      </c>
      <c r="P108" s="825" t="str">
        <f>IFERROR(INDEX(決算整理!$A$5:$A$1835,MATCH("労災・雇用保険料|S|6",決算整理!$S$5:$S$1835,0)),"")</f>
        <v/>
      </c>
      <c r="Q108" s="826" t="str">
        <f>IFERROR(INDEX(決算整理!$E$5:$E$1835,MATCH("労災・雇用保険料|S|6",決算整理!$S$5:$S$1835,0)),"")</f>
        <v/>
      </c>
      <c r="R108" s="827" t="str">
        <f>IFERROR(INDEX(決算整理!$H$5:$H$1835,MATCH("労災・雇用保険料|S|6",決算整理!$S$5:$S$1835,0)),"")</f>
        <v/>
      </c>
      <c r="S108" s="828" t="str">
        <f>IF(R108="","",S107+R108)</f>
        <v/>
      </c>
      <c r="T108" s="829" t="str">
        <f>IFERROR(INDEX(決算整理!$P$5:$P$1835,MATCH("労災・雇用保険料|S|6",決算整理!$S$5:$S$1835,0)),"")</f>
        <v/>
      </c>
    </row>
    <row r="109" ht="26.25" customHeight="1" s="186" thickBot="1">
      <c r="A109" s="825" t="str">
        <f>IFERROR(INDEX(決算整理!$A$5:$A$1835,MATCH("協会けんぽ保険料等|S|7",決算整理!$S$5:$S$1835,0)),"")</f>
        <v/>
      </c>
      <c r="B109" s="826" t="str">
        <f>IFERROR(INDEX(決算整理!$E$5:$E$1835,MATCH("協会けんぽ保険料等|S|7",決算整理!$S$5:$S$1835,0)),"")</f>
        <v/>
      </c>
      <c r="C109" s="827" t="str">
        <f>IFERROR(INDEX(決算整理!$H$5:$H$1835,MATCH("協会けんぽ保険料等|S|7",決算整理!$S$5:$S$1835,0)),"")</f>
        <v/>
      </c>
      <c r="D109" s="828" t="str">
        <f>IF(C109="","",D108+C109)</f>
        <v/>
      </c>
      <c r="E109" s="829" t="str">
        <f>IFERROR(INDEX(決算整理!$P$5:$P$1835,MATCH("協会けんぽ保険料等|S|7",決算整理!$S$5:$S$1835,0)),"")</f>
        <v/>
      </c>
      <c r="F109" s="825" t="str">
        <f>IFERROR(INDEX(決算整理!$A$5:$A$1835,MATCH("共済負担金等|S|7",決算整理!$S$5:$S$1835,0)),"")</f>
        <v/>
      </c>
      <c r="G109" s="826" t="str">
        <f>IFERROR(INDEX(決算整理!$E$5:$E$1835,MATCH("共済負担金等|S|7",決算整理!$S$5:$S$1835,0)),"")</f>
        <v/>
      </c>
      <c r="H109" s="827" t="str">
        <f>IFERROR(INDEX(決算整理!$H$5:$H$1835,MATCH("共済負担金等|S|7",決算整理!$S$5:$S$1835,0)),"")</f>
        <v/>
      </c>
      <c r="I109" s="828" t="str">
        <f>IF(H109="","",I108+H109)</f>
        <v/>
      </c>
      <c r="J109" s="829" t="str">
        <f>IFERROR(INDEX(決算整理!$P$5:$P$1835,MATCH("共済負担金等|S|7",決算整理!$S$5:$S$1835,0)),"")</f>
        <v/>
      </c>
      <c r="K109" s="825" t="str">
        <f>IFERROR(INDEX(決算整理!$A$5:$A$1835,MATCH("厚年負担金等|S|7",決算整理!$S$5:$S$1835,0)),"")</f>
        <v/>
      </c>
      <c r="L109" s="826" t="str">
        <f>IFERROR(INDEX(決算整理!$E$5:$E$1835,MATCH("厚年負担金等|S|7",決算整理!$S$5:$S$1835,0)),"")</f>
        <v/>
      </c>
      <c r="M109" s="827" t="str">
        <f>IFERROR(INDEX(決算整理!$H$5:$H$1835,MATCH("厚年負担金等|S|7",決算整理!$S$5:$S$1835,0)),"")</f>
        <v/>
      </c>
      <c r="N109" s="828" t="str">
        <f>IF(M109="","",N108+M109)</f>
        <v/>
      </c>
      <c r="O109" s="829" t="str">
        <f>IFERROR(INDEX(決算整理!$P$5:$P$1835,MATCH("厚年負担金等|S|7",決算整理!$S$5:$S$1835,0)),"")</f>
        <v/>
      </c>
      <c r="P109" s="825" t="str">
        <f>IFERROR(INDEX(決算整理!$A$5:$A$1835,MATCH("労災・雇用保険料|S|7",決算整理!$S$5:$S$1835,0)),"")</f>
        <v/>
      </c>
      <c r="Q109" s="826" t="str">
        <f>IFERROR(INDEX(決算整理!$E$5:$E$1835,MATCH("労災・雇用保険料|S|7",決算整理!$S$5:$S$1835,0)),"")</f>
        <v/>
      </c>
      <c r="R109" s="827" t="str">
        <f>IFERROR(INDEX(決算整理!$H$5:$H$1835,MATCH("労災・雇用保険料|S|7",決算整理!$S$5:$S$1835,0)),"")</f>
        <v/>
      </c>
      <c r="S109" s="828" t="str">
        <f>IF(R109="","",S108+R109)</f>
        <v/>
      </c>
      <c r="T109" s="829" t="str">
        <f>IFERROR(INDEX(決算整理!$P$5:$P$1835,MATCH("労災・雇用保険料|S|7",決算整理!$S$5:$S$1835,0)),"")</f>
        <v/>
      </c>
    </row>
    <row r="110" ht="26.25" customHeight="1" s="186" thickBot="1">
      <c r="A110" s="825" t="str">
        <f>IFERROR(INDEX(決算整理!$A$5:$A$1835,MATCH("協会けんぽ保険料等|S|8",決算整理!$S$5:$S$1835,0)),"")</f>
        <v/>
      </c>
      <c r="B110" s="826" t="str">
        <f>IFERROR(INDEX(決算整理!$E$5:$E$1835,MATCH("協会けんぽ保険料等|S|8",決算整理!$S$5:$S$1835,0)),"")</f>
        <v/>
      </c>
      <c r="C110" s="827" t="str">
        <f>IFERROR(INDEX(決算整理!$H$5:$H$1835,MATCH("協会けんぽ保険料等|S|8",決算整理!$S$5:$S$1835,0)),"")</f>
        <v/>
      </c>
      <c r="D110" s="828" t="str">
        <f>IF(C110="","",D109+C110)</f>
        <v/>
      </c>
      <c r="E110" s="829" t="str">
        <f>IFERROR(INDEX(決算整理!$P$5:$P$1835,MATCH("協会けんぽ保険料等|S|8",決算整理!$S$5:$S$1835,0)),"")</f>
        <v/>
      </c>
      <c r="F110" s="825" t="str">
        <f>IFERROR(INDEX(決算整理!$A$5:$A$1835,MATCH("共済負担金等|S|8",決算整理!$S$5:$S$1835,0)),"")</f>
        <v/>
      </c>
      <c r="G110" s="826" t="str">
        <f>IFERROR(INDEX(決算整理!$E$5:$E$1835,MATCH("共済負担金等|S|8",決算整理!$S$5:$S$1835,0)),"")</f>
        <v/>
      </c>
      <c r="H110" s="827" t="str">
        <f>IFERROR(INDEX(決算整理!$H$5:$H$1835,MATCH("共済負担金等|S|8",決算整理!$S$5:$S$1835,0)),"")</f>
        <v/>
      </c>
      <c r="I110" s="828" t="str">
        <f>IF(H110="","",I109+H110)</f>
        <v/>
      </c>
      <c r="J110" s="829" t="str">
        <f>IFERROR(INDEX(決算整理!$P$5:$P$1835,MATCH("共済負担金等|S|8",決算整理!$S$5:$S$1835,0)),"")</f>
        <v/>
      </c>
      <c r="K110" s="825" t="str">
        <f>IFERROR(INDEX(決算整理!$A$5:$A$1835,MATCH("厚年負担金等|S|8",決算整理!$S$5:$S$1835,0)),"")</f>
        <v/>
      </c>
      <c r="L110" s="826" t="str">
        <f>IFERROR(INDEX(決算整理!$E$5:$E$1835,MATCH("厚年負担金等|S|8",決算整理!$S$5:$S$1835,0)),"")</f>
        <v/>
      </c>
      <c r="M110" s="827" t="str">
        <f>IFERROR(INDEX(決算整理!$H$5:$H$1835,MATCH("厚年負担金等|S|8",決算整理!$S$5:$S$1835,0)),"")</f>
        <v/>
      </c>
      <c r="N110" s="828" t="str">
        <f>IF(M110="","",N109+M110)</f>
        <v/>
      </c>
      <c r="O110" s="829" t="str">
        <f>IFERROR(INDEX(決算整理!$P$5:$P$1835,MATCH("厚年負担金等|S|8",決算整理!$S$5:$S$1835,0)),"")</f>
        <v/>
      </c>
      <c r="P110" s="825" t="str">
        <f>IFERROR(INDEX(決算整理!$A$5:$A$1835,MATCH("労災・雇用保険料|S|8",決算整理!$S$5:$S$1835,0)),"")</f>
        <v/>
      </c>
      <c r="Q110" s="826" t="str">
        <f>IFERROR(INDEX(決算整理!$E$5:$E$1835,MATCH("労災・雇用保険料|S|8",決算整理!$S$5:$S$1835,0)),"")</f>
        <v/>
      </c>
      <c r="R110" s="827" t="str">
        <f>IFERROR(INDEX(決算整理!$H$5:$H$1835,MATCH("労災・雇用保険料|S|8",決算整理!$S$5:$S$1835,0)),"")</f>
        <v/>
      </c>
      <c r="S110" s="828" t="str">
        <f>IF(R110="","",S109+R110)</f>
        <v/>
      </c>
      <c r="T110" s="829" t="str">
        <f>IFERROR(INDEX(決算整理!$P$5:$P$1835,MATCH("労災・雇用保険料|S|8",決算整理!$S$5:$S$1835,0)),"")</f>
        <v/>
      </c>
    </row>
    <row r="111" ht="26.25" customHeight="1" s="186" thickBot="1">
      <c r="A111" s="825" t="str">
        <f>IFERROR(INDEX(決算整理!$A$5:$A$1835,MATCH("協会けんぽ保険料等|S|9",決算整理!$S$5:$S$1835,0)),"")</f>
        <v/>
      </c>
      <c r="B111" s="826" t="str">
        <f>IFERROR(INDEX(決算整理!$E$5:$E$1835,MATCH("協会けんぽ保険料等|S|9",決算整理!$S$5:$S$1835,0)),"")</f>
        <v/>
      </c>
      <c r="C111" s="827" t="str">
        <f>IFERROR(INDEX(決算整理!$H$5:$H$1835,MATCH("協会けんぽ保険料等|S|9",決算整理!$S$5:$S$1835,0)),"")</f>
        <v/>
      </c>
      <c r="D111" s="828" t="str">
        <f>IF(C111="","",D110+C111)</f>
        <v/>
      </c>
      <c r="E111" s="829" t="str">
        <f>IFERROR(INDEX(決算整理!$P$5:$P$1835,MATCH("協会けんぽ保険料等|S|9",決算整理!$S$5:$S$1835,0)),"")</f>
        <v/>
      </c>
      <c r="F111" s="825" t="str">
        <f>IFERROR(INDEX(決算整理!$A$5:$A$1835,MATCH("共済負担金等|S|9",決算整理!$S$5:$S$1835,0)),"")</f>
        <v/>
      </c>
      <c r="G111" s="826" t="str">
        <f>IFERROR(INDEX(決算整理!$E$5:$E$1835,MATCH("共済負担金等|S|9",決算整理!$S$5:$S$1835,0)),"")</f>
        <v/>
      </c>
      <c r="H111" s="827" t="str">
        <f>IFERROR(INDEX(決算整理!$H$5:$H$1835,MATCH("共済負担金等|S|9",決算整理!$S$5:$S$1835,0)),"")</f>
        <v/>
      </c>
      <c r="I111" s="828" t="str">
        <f>IF(H111="","",I110+H111)</f>
        <v/>
      </c>
      <c r="J111" s="829" t="str">
        <f>IFERROR(INDEX(決算整理!$P$5:$P$1835,MATCH("共済負担金等|S|9",決算整理!$S$5:$S$1835,0)),"")</f>
        <v/>
      </c>
      <c r="K111" s="825" t="str">
        <f>IFERROR(INDEX(決算整理!$A$5:$A$1835,MATCH("厚年負担金等|S|9",決算整理!$S$5:$S$1835,0)),"")</f>
        <v/>
      </c>
      <c r="L111" s="826" t="str">
        <f>IFERROR(INDEX(決算整理!$E$5:$E$1835,MATCH("厚年負担金等|S|9",決算整理!$S$5:$S$1835,0)),"")</f>
        <v/>
      </c>
      <c r="M111" s="827" t="str">
        <f>IFERROR(INDEX(決算整理!$H$5:$H$1835,MATCH("厚年負担金等|S|9",決算整理!$S$5:$S$1835,0)),"")</f>
        <v/>
      </c>
      <c r="N111" s="828" t="str">
        <f>IF(M111="","",N110+M111)</f>
        <v/>
      </c>
      <c r="O111" s="829" t="str">
        <f>IFERROR(INDEX(決算整理!$P$5:$P$1835,MATCH("厚年負担金等|S|9",決算整理!$S$5:$S$1835,0)),"")</f>
        <v/>
      </c>
      <c r="P111" s="825" t="str">
        <f>IFERROR(INDEX(決算整理!$A$5:$A$1835,MATCH("労災・雇用保険料|S|9",決算整理!$S$5:$S$1835,0)),"")</f>
        <v/>
      </c>
      <c r="Q111" s="826" t="str">
        <f>IFERROR(INDEX(決算整理!$E$5:$E$1835,MATCH("労災・雇用保険料|S|9",決算整理!$S$5:$S$1835,0)),"")</f>
        <v/>
      </c>
      <c r="R111" s="827" t="str">
        <f>IFERROR(INDEX(決算整理!$H$5:$H$1835,MATCH("労災・雇用保険料|S|9",決算整理!$S$5:$S$1835,0)),"")</f>
        <v/>
      </c>
      <c r="S111" s="828" t="str">
        <f>IF(R111="","",S110+R111)</f>
        <v/>
      </c>
      <c r="T111" s="829" t="str">
        <f>IFERROR(INDEX(決算整理!$P$5:$P$1835,MATCH("労災・雇用保険料|S|9",決算整理!$S$5:$S$1835,0)),"")</f>
        <v/>
      </c>
    </row>
    <row r="112" ht="26.25" customHeight="1" s="186" thickBot="1">
      <c r="A112" s="825" t="str">
        <f>IFERROR(INDEX(決算整理!$A$5:$A$1835,MATCH("協会けんぽ保険料等|S|10",決算整理!$S$5:$S$1835,0)),"")</f>
        <v/>
      </c>
      <c r="B112" s="826" t="str">
        <f>IFERROR(INDEX(決算整理!$E$5:$E$1835,MATCH("協会けんぽ保険料等|S|10",決算整理!$S$5:$S$1835,0)),"")</f>
        <v/>
      </c>
      <c r="C112" s="827" t="str">
        <f>IFERROR(INDEX(決算整理!$H$5:$H$1835,MATCH("協会けんぽ保険料等|S|10",決算整理!$S$5:$S$1835,0)),"")</f>
        <v/>
      </c>
      <c r="D112" s="828" t="str">
        <f>IF(C112="","",D111+C112)</f>
        <v/>
      </c>
      <c r="E112" s="829" t="str">
        <f>IFERROR(INDEX(決算整理!$P$5:$P$1835,MATCH("協会けんぽ保険料等|S|10",決算整理!$S$5:$S$1835,0)),"")</f>
        <v/>
      </c>
      <c r="F112" s="825" t="str">
        <f>IFERROR(INDEX(決算整理!$A$5:$A$1835,MATCH("共済負担金等|S|10",決算整理!$S$5:$S$1835,0)),"")</f>
        <v/>
      </c>
      <c r="G112" s="826" t="str">
        <f>IFERROR(INDEX(決算整理!$E$5:$E$1835,MATCH("共済負担金等|S|10",決算整理!$S$5:$S$1835,0)),"")</f>
        <v/>
      </c>
      <c r="H112" s="827" t="str">
        <f>IFERROR(INDEX(決算整理!$H$5:$H$1835,MATCH("共済負担金等|S|10",決算整理!$S$5:$S$1835,0)),"")</f>
        <v/>
      </c>
      <c r="I112" s="828" t="str">
        <f>IF(H112="","",I111+H112)</f>
        <v/>
      </c>
      <c r="J112" s="829" t="str">
        <f>IFERROR(INDEX(決算整理!$P$5:$P$1835,MATCH("共済負担金等|S|10",決算整理!$S$5:$S$1835,0)),"")</f>
        <v/>
      </c>
      <c r="K112" s="825" t="str">
        <f>IFERROR(INDEX(決算整理!$A$5:$A$1835,MATCH("厚年負担金等|S|10",決算整理!$S$5:$S$1835,0)),"")</f>
        <v/>
      </c>
      <c r="L112" s="826" t="str">
        <f>IFERROR(INDEX(決算整理!$E$5:$E$1835,MATCH("厚年負担金等|S|10",決算整理!$S$5:$S$1835,0)),"")</f>
        <v/>
      </c>
      <c r="M112" s="827" t="str">
        <f>IFERROR(INDEX(決算整理!$H$5:$H$1835,MATCH("厚年負担金等|S|10",決算整理!$S$5:$S$1835,0)),"")</f>
        <v/>
      </c>
      <c r="N112" s="828" t="str">
        <f>IF(M112="","",N111+M112)</f>
        <v/>
      </c>
      <c r="O112" s="829" t="str">
        <f>IFERROR(INDEX(決算整理!$P$5:$P$1835,MATCH("厚年負担金等|S|10",決算整理!$S$5:$S$1835,0)),"")</f>
        <v/>
      </c>
      <c r="P112" s="825" t="str">
        <f>IFERROR(INDEX(決算整理!$A$5:$A$1835,MATCH("労災・雇用保険料|S|10",決算整理!$S$5:$S$1835,0)),"")</f>
        <v/>
      </c>
      <c r="Q112" s="826" t="str">
        <f>IFERROR(INDEX(決算整理!$E$5:$E$1835,MATCH("労災・雇用保険料|S|10",決算整理!$S$5:$S$1835,0)),"")</f>
        <v/>
      </c>
      <c r="R112" s="827" t="str">
        <f>IFERROR(INDEX(決算整理!$H$5:$H$1835,MATCH("労災・雇用保険料|S|10",決算整理!$S$5:$S$1835,0)),"")</f>
        <v/>
      </c>
      <c r="S112" s="828" t="str">
        <f>IF(R112="","",S111+R112)</f>
        <v/>
      </c>
      <c r="T112" s="829" t="str">
        <f>IFERROR(INDEX(決算整理!$P$5:$P$1835,MATCH("労災・雇用保険料|S|10",決算整理!$S$5:$S$1835,0)),"")</f>
        <v/>
      </c>
    </row>
    <row r="113" ht="26.25" customHeight="1" s="186" thickBot="1">
      <c r="A113" s="825" t="str">
        <f>IFERROR(INDEX(決算整理!$A$5:$A$1835,MATCH("協会けんぽ保険料等|S|11",決算整理!$S$5:$S$1835,0)),"")</f>
        <v/>
      </c>
      <c r="B113" s="826" t="str">
        <f>IFERROR(INDEX(決算整理!$E$5:$E$1835,MATCH("協会けんぽ保険料等|S|11",決算整理!$S$5:$S$1835,0)),"")</f>
        <v/>
      </c>
      <c r="C113" s="827" t="str">
        <f>IFERROR(INDEX(決算整理!$H$5:$H$1835,MATCH("協会けんぽ保険料等|S|11",決算整理!$S$5:$S$1835,0)),"")</f>
        <v/>
      </c>
      <c r="D113" s="828" t="str">
        <f>IF(C113="","",D112+C113)</f>
        <v/>
      </c>
      <c r="E113" s="829" t="str">
        <f>IFERROR(INDEX(決算整理!$P$5:$P$1835,MATCH("協会けんぽ保険料等|S|11",決算整理!$S$5:$S$1835,0)),"")</f>
        <v/>
      </c>
      <c r="F113" s="825" t="str">
        <f>IFERROR(INDEX(決算整理!$A$5:$A$1835,MATCH("共済負担金等|S|11",決算整理!$S$5:$S$1835,0)),"")</f>
        <v/>
      </c>
      <c r="G113" s="826" t="str">
        <f>IFERROR(INDEX(決算整理!$E$5:$E$1835,MATCH("共済負担金等|S|11",決算整理!$S$5:$S$1835,0)),"")</f>
        <v/>
      </c>
      <c r="H113" s="827" t="str">
        <f>IFERROR(INDEX(決算整理!$H$5:$H$1835,MATCH("共済負担金等|S|11",決算整理!$S$5:$S$1835,0)),"")</f>
        <v/>
      </c>
      <c r="I113" s="828" t="str">
        <f>IF(H113="","",I112+H113)</f>
        <v/>
      </c>
      <c r="J113" s="829" t="str">
        <f>IFERROR(INDEX(決算整理!$P$5:$P$1835,MATCH("共済負担金等|S|11",決算整理!$S$5:$S$1835,0)),"")</f>
        <v/>
      </c>
      <c r="K113" s="825" t="str">
        <f>IFERROR(INDEX(決算整理!$A$5:$A$1835,MATCH("厚年負担金等|S|11",決算整理!$S$5:$S$1835,0)),"")</f>
        <v/>
      </c>
      <c r="L113" s="826" t="str">
        <f>IFERROR(INDEX(決算整理!$E$5:$E$1835,MATCH("厚年負担金等|S|11",決算整理!$S$5:$S$1835,0)),"")</f>
        <v/>
      </c>
      <c r="M113" s="827" t="str">
        <f>IFERROR(INDEX(決算整理!$H$5:$H$1835,MATCH("厚年負担金等|S|11",決算整理!$S$5:$S$1835,0)),"")</f>
        <v/>
      </c>
      <c r="N113" s="828" t="str">
        <f>IF(M113="","",N112+M113)</f>
        <v/>
      </c>
      <c r="O113" s="829" t="str">
        <f>IFERROR(INDEX(決算整理!$P$5:$P$1835,MATCH("厚年負担金等|S|11",決算整理!$S$5:$S$1835,0)),"")</f>
        <v/>
      </c>
      <c r="P113" s="825" t="str">
        <f>IFERROR(INDEX(決算整理!$A$5:$A$1835,MATCH("労災・雇用保険料|S|11",決算整理!$S$5:$S$1835,0)),"")</f>
        <v/>
      </c>
      <c r="Q113" s="826" t="str">
        <f>IFERROR(INDEX(決算整理!$E$5:$E$1835,MATCH("労災・雇用保険料|S|11",決算整理!$S$5:$S$1835,0)),"")</f>
        <v/>
      </c>
      <c r="R113" s="827" t="str">
        <f>IFERROR(INDEX(決算整理!$H$5:$H$1835,MATCH("労災・雇用保険料|S|11",決算整理!$S$5:$S$1835,0)),"")</f>
        <v/>
      </c>
      <c r="S113" s="828" t="str">
        <f>IF(R113="","",S112+R113)</f>
        <v/>
      </c>
      <c r="T113" s="829" t="str">
        <f>IFERROR(INDEX(決算整理!$P$5:$P$1835,MATCH("労災・雇用保険料|S|11",決算整理!$S$5:$S$1835,0)),"")</f>
        <v/>
      </c>
    </row>
    <row r="114" ht="26.25" customHeight="1" s="186">
      <c r="A114" s="825" t="str">
        <f>IFERROR(INDEX(決算整理!$A$5:$A$1835,MATCH("協会けんぽ保険料等|S|12",決算整理!$S$5:$S$1835,0)),"")</f>
        <v/>
      </c>
      <c r="B114" s="826" t="str">
        <f>IFERROR(INDEX(決算整理!$E$5:$E$1835,MATCH("協会けんぽ保険料等|S|12",決算整理!$S$5:$S$1835,0)),"")</f>
        <v/>
      </c>
      <c r="C114" s="827" t="str">
        <f>IFERROR(INDEX(決算整理!$H$5:$H$1835,MATCH("協会けんぽ保険料等|S|12",決算整理!$S$5:$S$1835,0)),"")</f>
        <v/>
      </c>
      <c r="D114" s="828" t="str">
        <f>IF(C114="","",D113+C114)</f>
        <v/>
      </c>
      <c r="E114" s="829" t="str">
        <f>IFERROR(INDEX(決算整理!$P$5:$P$1835,MATCH("協会けんぽ保険料等|S|12",決算整理!$S$5:$S$1835,0)),"")</f>
        <v/>
      </c>
      <c r="F114" s="825" t="str">
        <f>IFERROR(INDEX(決算整理!$A$5:$A$1835,MATCH("共済負担金等|S|12",決算整理!$S$5:$S$1835,0)),"")</f>
        <v/>
      </c>
      <c r="G114" s="826" t="str">
        <f>IFERROR(INDEX(決算整理!$E$5:$E$1835,MATCH("共済負担金等|S|12",決算整理!$S$5:$S$1835,0)),"")</f>
        <v/>
      </c>
      <c r="H114" s="827" t="str">
        <f>IFERROR(INDEX(決算整理!$H$5:$H$1835,MATCH("共済負担金等|S|12",決算整理!$S$5:$S$1835,0)),"")</f>
        <v/>
      </c>
      <c r="I114" s="828" t="str">
        <f>IF(H114="","",I113+H114)</f>
        <v/>
      </c>
      <c r="J114" s="829" t="str">
        <f>IFERROR(INDEX(決算整理!$P$5:$P$1835,MATCH("共済負担金等|S|12",決算整理!$S$5:$S$1835,0)),"")</f>
        <v/>
      </c>
      <c r="K114" s="825" t="str">
        <f>IFERROR(INDEX(決算整理!$A$5:$A$1835,MATCH("厚年負担金等|S|12",決算整理!$S$5:$S$1835,0)),"")</f>
        <v/>
      </c>
      <c r="L114" s="826" t="str">
        <f>IFERROR(INDEX(決算整理!$E$5:$E$1835,MATCH("厚年負担金等|S|12",決算整理!$S$5:$S$1835,0)),"")</f>
        <v/>
      </c>
      <c r="M114" s="827" t="str">
        <f>IFERROR(INDEX(決算整理!$H$5:$H$1835,MATCH("厚年負担金等|S|12",決算整理!$S$5:$S$1835,0)),"")</f>
        <v/>
      </c>
      <c r="N114" s="828" t="str">
        <f>IF(M114="","",N113+M114)</f>
        <v/>
      </c>
      <c r="O114" s="829" t="str">
        <f>IFERROR(INDEX(決算整理!$P$5:$P$1835,MATCH("厚年負担金等|S|12",決算整理!$S$5:$S$1835,0)),"")</f>
        <v/>
      </c>
      <c r="P114" s="825" t="str">
        <f>IFERROR(INDEX(決算整理!$A$5:$A$1835,MATCH("労災・雇用保険料|S|12",決算整理!$S$5:$S$1835,0)),"")</f>
        <v/>
      </c>
      <c r="Q114" s="826" t="str">
        <f>IFERROR(INDEX(決算整理!$E$5:$E$1835,MATCH("労災・雇用保険料|S|12",決算整理!$S$5:$S$1835,0)),"")</f>
        <v/>
      </c>
      <c r="R114" s="827" t="str">
        <f>IFERROR(INDEX(決算整理!$H$5:$H$1835,MATCH("労災・雇用保険料|S|12",決算整理!$S$5:$S$1835,0)),"")</f>
        <v/>
      </c>
      <c r="S114" s="828" t="str">
        <f>IF(R114="","",S113+R114)</f>
        <v/>
      </c>
      <c r="T114" s="829" t="str">
        <f>IFERROR(INDEX(決算整理!$P$5:$P$1835,MATCH("労災・雇用保険料|S|12",決算整理!$S$5:$S$1835,0)),"")</f>
        <v/>
      </c>
    </row>
    <row r="115" ht="26.25" customHeight="1" s="186"/>
    <row r="116" ht="26.25" customHeight="1" s="186" thickBot="1"/>
    <row r="117" ht="26.25" customHeight="1" s="186" thickBot="1"/>
    <row r="118" ht="26.25" customHeight="1" s="186" thickBot="1">
      <c r="B118" s="502" t="inlineStr">
        <is>
          <t>○負担金  県社保協会費</t>
        </is>
      </c>
      <c r="D118" s="503" t="inlineStr">
        <is>
          <t>業務（短）未払</t>
        </is>
      </c>
      <c r="E118" s="824" t="str">
        <f>IF(COUNTIF(決算整理!$S$5:$S$1835,"県社保協会費|S|*")&gt;12,"行不足","")</f>
        <v/>
      </c>
      <c r="G118" s="502" t="inlineStr">
        <is>
          <t>○事務費負担金払込金</t>
        </is>
      </c>
      <c r="I118" s="503" t="inlineStr">
        <is>
          <t>業務（短）未払</t>
        </is>
      </c>
      <c r="J118" s="824" t="str">
        <f>IF(COUNTIF(決算整理!$S$5:$S$1835,"事務費負担金払込金|S|*")&gt;12,"行不足","")</f>
        <v/>
      </c>
      <c r="L118" s="502" t="inlineStr">
        <is>
          <t>○雑費</t>
        </is>
      </c>
      <c r="N118" s="503" t="inlineStr">
        <is>
          <t>業務（短）未払</t>
        </is>
      </c>
      <c r="O118" s="824" t="str">
        <f>IF(COUNTIF(決算整理!$S$5:$S$1835,"雑費|S|*")&gt;12,"行不足","")</f>
        <v/>
      </c>
      <c r="Q118" s="502" t="inlineStr">
        <is>
          <t>○減価償却費</t>
        </is>
      </c>
      <c r="S118" s="503" t="inlineStr">
        <is>
          <t>業務（短）未払</t>
        </is>
      </c>
      <c r="T118" s="824" t="str">
        <f>IF(COUNTIF(決算整理!$S$5:$S$1835,"減価償却費|S|*")&gt;12,"行不足","")</f>
        <v/>
      </c>
    </row>
    <row r="119" ht="26.25" customHeight="1" s="186">
      <c r="A119" s="100" t="inlineStr">
        <is>
          <t>支出日</t>
        </is>
      </c>
      <c r="B119" s="100" t="inlineStr">
        <is>
          <t>摘要</t>
        </is>
      </c>
      <c r="C119" s="100" t="inlineStr">
        <is>
          <t>支出</t>
        </is>
      </c>
      <c r="D119" s="100" t="inlineStr">
        <is>
          <t>累計</t>
        </is>
      </c>
      <c r="E119" s="100" t="inlineStr">
        <is>
          <t>状態</t>
        </is>
      </c>
      <c r="F119" s="100" t="inlineStr">
        <is>
          <t>支出日</t>
        </is>
      </c>
      <c r="G119" s="100" t="inlineStr">
        <is>
          <t>摘要</t>
        </is>
      </c>
      <c r="H119" s="100" t="inlineStr">
        <is>
          <t>支出</t>
        </is>
      </c>
      <c r="I119" s="100" t="inlineStr">
        <is>
          <t>累計</t>
        </is>
      </c>
      <c r="J119" s="100" t="inlineStr">
        <is>
          <t>状態</t>
        </is>
      </c>
      <c r="K119" s="100" t="inlineStr">
        <is>
          <t>支出日</t>
        </is>
      </c>
      <c r="L119" s="100" t="inlineStr">
        <is>
          <t>摘要</t>
        </is>
      </c>
      <c r="M119" s="100" t="inlineStr">
        <is>
          <t>支出</t>
        </is>
      </c>
      <c r="N119" s="100" t="inlineStr">
        <is>
          <t>累計</t>
        </is>
      </c>
      <c r="O119" s="100" t="inlineStr">
        <is>
          <t>状態</t>
        </is>
      </c>
      <c r="P119" s="100" t="inlineStr">
        <is>
          <t>支出日</t>
        </is>
      </c>
      <c r="Q119" s="100" t="inlineStr">
        <is>
          <t>摘要</t>
        </is>
      </c>
      <c r="R119" s="100" t="inlineStr">
        <is>
          <t>支出</t>
        </is>
      </c>
      <c r="S119" s="100" t="inlineStr">
        <is>
          <t>累計</t>
        </is>
      </c>
      <c r="T119" s="100" t="inlineStr">
        <is>
          <t>状態</t>
        </is>
      </c>
    </row>
    <row r="120" ht="26.25" customHeight="1" s="186">
      <c r="A120" s="825" t="n"/>
      <c r="B120" s="826" t="inlineStr">
        <is>
          <t>（予算なし）</t>
        </is>
      </c>
      <c r="C120" s="827" t="n"/>
      <c r="D120" s="828" t="n">
        <v>0</v>
      </c>
      <c r="F120" s="825" t="n"/>
      <c r="G120" s="826" t="inlineStr">
        <is>
          <t>（予算なし）</t>
        </is>
      </c>
      <c r="H120" s="827" t="n"/>
      <c r="I120" s="828" t="n">
        <v>0</v>
      </c>
      <c r="K120" s="825" t="n"/>
      <c r="L120" s="826" t="inlineStr">
        <is>
          <t>（予算なし）</t>
        </is>
      </c>
      <c r="M120" s="827" t="n"/>
      <c r="N120" s="828" t="n">
        <v>0</v>
      </c>
      <c r="P120" s="825" t="n"/>
      <c r="Q120" s="826" t="inlineStr">
        <is>
          <t>（予算なし）</t>
        </is>
      </c>
      <c r="R120" s="827" t="n"/>
      <c r="S120" s="828" t="n">
        <v>0</v>
      </c>
    </row>
    <row r="121" ht="26.25" customHeight="1" s="186">
      <c r="A121" s="825" t="str">
        <f>IFERROR(INDEX(決算整理!$A$5:$A$1835,MATCH("県社保協会費|S|1",決算整理!$S$5:$S$1835,0)),"")</f>
        <v/>
      </c>
      <c r="B121" s="826" t="str">
        <f>IFERROR(INDEX(決算整理!$E$5:$E$1835,MATCH("県社保協会費|S|1",決算整理!$S$5:$S$1835,0)),"")</f>
        <v/>
      </c>
      <c r="C121" s="827" t="str">
        <f>IFERROR(INDEX(決算整理!$H$5:$H$1835,MATCH("県社保協会費|S|1",決算整理!$S$5:$S$1835,0)),"")</f>
        <v/>
      </c>
      <c r="D121" s="828" t="str">
        <f>IF(C121="","",D120+C121)</f>
        <v/>
      </c>
      <c r="E121" s="829" t="str">
        <f>IFERROR(INDEX(決算整理!$P$5:$P$1835,MATCH("県社保協会費|S|1",決算整理!$S$5:$S$1835,0)),"")</f>
        <v/>
      </c>
      <c r="F121" s="825" t="str">
        <f>IFERROR(INDEX(決算整理!$A$5:$A$1835,MATCH("事務費負担金払込金|S|1",決算整理!$S$5:$S$1835,0)),"")</f>
        <v/>
      </c>
      <c r="G121" s="826" t="str">
        <f>IFERROR(INDEX(決算整理!$E$5:$E$1835,MATCH("事務費負担金払込金|S|1",決算整理!$S$5:$S$1835,0)),"")</f>
        <v/>
      </c>
      <c r="H121" s="827" t="str">
        <f>IFERROR(INDEX(決算整理!$H$5:$H$1835,MATCH("事務費負担金払込金|S|1",決算整理!$S$5:$S$1835,0)),"")</f>
        <v/>
      </c>
      <c r="I121" s="828" t="str">
        <f>IF(H121="","",I120+H121)</f>
        <v/>
      </c>
      <c r="J121" s="829" t="str">
        <f>IFERROR(INDEX(決算整理!$P$5:$P$1835,MATCH("事務費負担金払込金|S|1",決算整理!$S$5:$S$1835,0)),"")</f>
        <v/>
      </c>
      <c r="K121" s="825" t="str">
        <f>IFERROR(INDEX(決算整理!$A$5:$A$1835,MATCH("雑費|S|1",決算整理!$S$5:$S$1835,0)),"")</f>
        <v/>
      </c>
      <c r="L121" s="826" t="str">
        <f>IFERROR(INDEX(決算整理!$E$5:$E$1835,MATCH("雑費|S|1",決算整理!$S$5:$S$1835,0)),"")</f>
        <v/>
      </c>
      <c r="M121" s="827" t="str">
        <f>IFERROR(INDEX(決算整理!$H$5:$H$1835,MATCH("雑費|S|1",決算整理!$S$5:$S$1835,0)),"")</f>
        <v/>
      </c>
      <c r="N121" s="828" t="str">
        <f>IF(M121="","",N120+M121)</f>
        <v/>
      </c>
      <c r="O121" s="829" t="str">
        <f>IFERROR(INDEX(決算整理!$P$5:$P$1835,MATCH("雑費|S|1",決算整理!$S$5:$S$1835,0)),"")</f>
        <v/>
      </c>
      <c r="P121" s="825" t="str">
        <f>IFERROR(INDEX(決算整理!$A$5:$A$1835,MATCH("減価償却費|S|1",決算整理!$S$5:$S$1835,0)),"")</f>
        <v/>
      </c>
      <c r="Q121" s="826" t="str">
        <f>IFERROR(INDEX(決算整理!$E$5:$E$1835,MATCH("減価償却費|S|1",決算整理!$S$5:$S$1835,0)),"")</f>
        <v/>
      </c>
      <c r="R121" s="827" t="str">
        <f>IFERROR(INDEX(決算整理!$H$5:$H$1835,MATCH("減価償却費|S|1",決算整理!$S$5:$S$1835,0)),"")</f>
        <v/>
      </c>
      <c r="S121" s="828" t="str">
        <f>IF(R121="","",S120+R121)</f>
        <v/>
      </c>
      <c r="T121" s="829" t="str">
        <f>IFERROR(INDEX(決算整理!$P$5:$P$1835,MATCH("減価償却費|S|1",決算整理!$S$5:$S$1835,0)),"")</f>
        <v/>
      </c>
    </row>
    <row r="122" ht="26.25" customHeight="1" s="186">
      <c r="A122" s="825" t="str">
        <f>IFERROR(INDEX(決算整理!$A$5:$A$1835,MATCH("県社保協会費|S|2",決算整理!$S$5:$S$1835,0)),"")</f>
        <v/>
      </c>
      <c r="B122" s="826" t="str">
        <f>IFERROR(INDEX(決算整理!$E$5:$E$1835,MATCH("県社保協会費|S|2",決算整理!$S$5:$S$1835,0)),"")</f>
        <v/>
      </c>
      <c r="C122" s="827" t="str">
        <f>IFERROR(INDEX(決算整理!$H$5:$H$1835,MATCH("県社保協会費|S|2",決算整理!$S$5:$S$1835,0)),"")</f>
        <v/>
      </c>
      <c r="D122" s="828" t="str">
        <f>IF(C122="","",D121+C122)</f>
        <v/>
      </c>
      <c r="E122" s="829" t="str">
        <f>IFERROR(INDEX(決算整理!$P$5:$P$1835,MATCH("県社保協会費|S|2",決算整理!$S$5:$S$1835,0)),"")</f>
        <v/>
      </c>
      <c r="F122" s="825" t="str">
        <f>IFERROR(INDEX(決算整理!$A$5:$A$1835,MATCH("事務費負担金払込金|S|2",決算整理!$S$5:$S$1835,0)),"")</f>
        <v/>
      </c>
      <c r="G122" s="826" t="str">
        <f>IFERROR(INDEX(決算整理!$E$5:$E$1835,MATCH("事務費負担金払込金|S|2",決算整理!$S$5:$S$1835,0)),"")</f>
        <v/>
      </c>
      <c r="H122" s="827" t="str">
        <f>IFERROR(INDEX(決算整理!$H$5:$H$1835,MATCH("事務費負担金払込金|S|2",決算整理!$S$5:$S$1835,0)),"")</f>
        <v/>
      </c>
      <c r="I122" s="828" t="str">
        <f>IF(H122="","",I121+H122)</f>
        <v/>
      </c>
      <c r="J122" s="829" t="str">
        <f>IFERROR(INDEX(決算整理!$P$5:$P$1835,MATCH("事務費負担金払込金|S|2",決算整理!$S$5:$S$1835,0)),"")</f>
        <v/>
      </c>
      <c r="K122" s="825" t="str">
        <f>IFERROR(INDEX(決算整理!$A$5:$A$1835,MATCH("雑費|S|2",決算整理!$S$5:$S$1835,0)),"")</f>
        <v/>
      </c>
      <c r="L122" s="826" t="str">
        <f>IFERROR(INDEX(決算整理!$E$5:$E$1835,MATCH("雑費|S|2",決算整理!$S$5:$S$1835,0)),"")</f>
        <v/>
      </c>
      <c r="M122" s="827" t="str">
        <f>IFERROR(INDEX(決算整理!$H$5:$H$1835,MATCH("雑費|S|2",決算整理!$S$5:$S$1835,0)),"")</f>
        <v/>
      </c>
      <c r="N122" s="828" t="str">
        <f>IF(M122="","",N121+M122)</f>
        <v/>
      </c>
      <c r="O122" s="829" t="str">
        <f>IFERROR(INDEX(決算整理!$P$5:$P$1835,MATCH("雑費|S|2",決算整理!$S$5:$S$1835,0)),"")</f>
        <v/>
      </c>
      <c r="P122" s="825" t="str">
        <f>IFERROR(INDEX(決算整理!$A$5:$A$1835,MATCH("減価償却費|S|2",決算整理!$S$5:$S$1835,0)),"")</f>
        <v/>
      </c>
      <c r="Q122" s="826" t="str">
        <f>IFERROR(INDEX(決算整理!$E$5:$E$1835,MATCH("減価償却費|S|2",決算整理!$S$5:$S$1835,0)),"")</f>
        <v/>
      </c>
      <c r="R122" s="827" t="str">
        <f>IFERROR(INDEX(決算整理!$H$5:$H$1835,MATCH("減価償却費|S|2",決算整理!$S$5:$S$1835,0)),"")</f>
        <v/>
      </c>
      <c r="S122" s="828" t="str">
        <f>IF(R122="","",S121+R122)</f>
        <v/>
      </c>
      <c r="T122" s="829" t="str">
        <f>IFERROR(INDEX(決算整理!$P$5:$P$1835,MATCH("減価償却費|S|2",決算整理!$S$5:$S$1835,0)),"")</f>
        <v/>
      </c>
    </row>
    <row r="123" ht="26.25" customHeight="1" s="186">
      <c r="A123" s="825" t="str">
        <f>IFERROR(INDEX(決算整理!$A$5:$A$1835,MATCH("県社保協会費|S|3",決算整理!$S$5:$S$1835,0)),"")</f>
        <v/>
      </c>
      <c r="B123" s="826" t="str">
        <f>IFERROR(INDEX(決算整理!$E$5:$E$1835,MATCH("県社保協会費|S|3",決算整理!$S$5:$S$1835,0)),"")</f>
        <v/>
      </c>
      <c r="C123" s="827" t="str">
        <f>IFERROR(INDEX(決算整理!$H$5:$H$1835,MATCH("県社保協会費|S|3",決算整理!$S$5:$S$1835,0)),"")</f>
        <v/>
      </c>
      <c r="D123" s="828" t="str">
        <f>IF(C123="","",D122+C123)</f>
        <v/>
      </c>
      <c r="E123" s="829" t="str">
        <f>IFERROR(INDEX(決算整理!$P$5:$P$1835,MATCH("県社保協会費|S|3",決算整理!$S$5:$S$1835,0)),"")</f>
        <v/>
      </c>
      <c r="F123" s="825" t="str">
        <f>IFERROR(INDEX(決算整理!$A$5:$A$1835,MATCH("事務費負担金払込金|S|3",決算整理!$S$5:$S$1835,0)),"")</f>
        <v/>
      </c>
      <c r="G123" s="826" t="str">
        <f>IFERROR(INDEX(決算整理!$E$5:$E$1835,MATCH("事務費負担金払込金|S|3",決算整理!$S$5:$S$1835,0)),"")</f>
        <v/>
      </c>
      <c r="H123" s="827" t="str">
        <f>IFERROR(INDEX(決算整理!$H$5:$H$1835,MATCH("事務費負担金払込金|S|3",決算整理!$S$5:$S$1835,0)),"")</f>
        <v/>
      </c>
      <c r="I123" s="828" t="str">
        <f>IF(H123="","",I122+H123)</f>
        <v/>
      </c>
      <c r="J123" s="829" t="str">
        <f>IFERROR(INDEX(決算整理!$P$5:$P$1835,MATCH("事務費負担金払込金|S|3",決算整理!$S$5:$S$1835,0)),"")</f>
        <v/>
      </c>
      <c r="K123" s="825" t="str">
        <f>IFERROR(INDEX(決算整理!$A$5:$A$1835,MATCH("雑費|S|3",決算整理!$S$5:$S$1835,0)),"")</f>
        <v/>
      </c>
      <c r="L123" s="826" t="str">
        <f>IFERROR(INDEX(決算整理!$E$5:$E$1835,MATCH("雑費|S|3",決算整理!$S$5:$S$1835,0)),"")</f>
        <v/>
      </c>
      <c r="M123" s="827" t="str">
        <f>IFERROR(INDEX(決算整理!$H$5:$H$1835,MATCH("雑費|S|3",決算整理!$S$5:$S$1835,0)),"")</f>
        <v/>
      </c>
      <c r="N123" s="828" t="str">
        <f>IF(M123="","",N122+M123)</f>
        <v/>
      </c>
      <c r="O123" s="829" t="str">
        <f>IFERROR(INDEX(決算整理!$P$5:$P$1835,MATCH("雑費|S|3",決算整理!$S$5:$S$1835,0)),"")</f>
        <v/>
      </c>
      <c r="P123" s="825" t="str">
        <f>IFERROR(INDEX(決算整理!$A$5:$A$1835,MATCH("減価償却費|S|3",決算整理!$S$5:$S$1835,0)),"")</f>
        <v/>
      </c>
      <c r="Q123" s="826" t="str">
        <f>IFERROR(INDEX(決算整理!$E$5:$E$1835,MATCH("減価償却費|S|3",決算整理!$S$5:$S$1835,0)),"")</f>
        <v/>
      </c>
      <c r="R123" s="827" t="str">
        <f>IFERROR(INDEX(決算整理!$H$5:$H$1835,MATCH("減価償却費|S|3",決算整理!$S$5:$S$1835,0)),"")</f>
        <v/>
      </c>
      <c r="S123" s="828" t="str">
        <f>IF(R123="","",S122+R123)</f>
        <v/>
      </c>
      <c r="T123" s="829" t="str">
        <f>IFERROR(INDEX(決算整理!$P$5:$P$1835,MATCH("減価償却費|S|3",決算整理!$S$5:$S$1835,0)),"")</f>
        <v/>
      </c>
    </row>
    <row r="124" ht="26.25" customHeight="1" s="186" thickBot="1">
      <c r="A124" s="825" t="str">
        <f>IFERROR(INDEX(決算整理!$A$5:$A$1835,MATCH("県社保協会費|S|4",決算整理!$S$5:$S$1835,0)),"")</f>
        <v/>
      </c>
      <c r="B124" s="826" t="str">
        <f>IFERROR(INDEX(決算整理!$E$5:$E$1835,MATCH("県社保協会費|S|4",決算整理!$S$5:$S$1835,0)),"")</f>
        <v/>
      </c>
      <c r="C124" s="827" t="str">
        <f>IFERROR(INDEX(決算整理!$H$5:$H$1835,MATCH("県社保協会費|S|4",決算整理!$S$5:$S$1835,0)),"")</f>
        <v/>
      </c>
      <c r="D124" s="828" t="str">
        <f>IF(C124="","",D123+C124)</f>
        <v/>
      </c>
      <c r="E124" s="829" t="str">
        <f>IFERROR(INDEX(決算整理!$P$5:$P$1835,MATCH("県社保協会費|S|4",決算整理!$S$5:$S$1835,0)),"")</f>
        <v/>
      </c>
      <c r="F124" s="825" t="str">
        <f>IFERROR(INDEX(決算整理!$A$5:$A$1835,MATCH("事務費負担金払込金|S|4",決算整理!$S$5:$S$1835,0)),"")</f>
        <v/>
      </c>
      <c r="G124" s="826" t="str">
        <f>IFERROR(INDEX(決算整理!$E$5:$E$1835,MATCH("事務費負担金払込金|S|4",決算整理!$S$5:$S$1835,0)),"")</f>
        <v/>
      </c>
      <c r="H124" s="827" t="str">
        <f>IFERROR(INDEX(決算整理!$H$5:$H$1835,MATCH("事務費負担金払込金|S|4",決算整理!$S$5:$S$1835,0)),"")</f>
        <v/>
      </c>
      <c r="I124" s="828" t="str">
        <f>IF(H124="","",I123+H124)</f>
        <v/>
      </c>
      <c r="J124" s="829" t="str">
        <f>IFERROR(INDEX(決算整理!$P$5:$P$1835,MATCH("事務費負担金払込金|S|4",決算整理!$S$5:$S$1835,0)),"")</f>
        <v/>
      </c>
      <c r="K124" s="825" t="str">
        <f>IFERROR(INDEX(決算整理!$A$5:$A$1835,MATCH("雑費|S|4",決算整理!$S$5:$S$1835,0)),"")</f>
        <v/>
      </c>
      <c r="L124" s="826" t="str">
        <f>IFERROR(INDEX(決算整理!$E$5:$E$1835,MATCH("雑費|S|4",決算整理!$S$5:$S$1835,0)),"")</f>
        <v/>
      </c>
      <c r="M124" s="827" t="str">
        <f>IFERROR(INDEX(決算整理!$H$5:$H$1835,MATCH("雑費|S|4",決算整理!$S$5:$S$1835,0)),"")</f>
        <v/>
      </c>
      <c r="N124" s="828" t="str">
        <f>IF(M124="","",N123+M124)</f>
        <v/>
      </c>
      <c r="O124" s="829" t="str">
        <f>IFERROR(INDEX(決算整理!$P$5:$P$1835,MATCH("雑費|S|4",決算整理!$S$5:$S$1835,0)),"")</f>
        <v/>
      </c>
      <c r="P124" s="825" t="str">
        <f>IFERROR(INDEX(決算整理!$A$5:$A$1835,MATCH("減価償却費|S|4",決算整理!$S$5:$S$1835,0)),"")</f>
        <v/>
      </c>
      <c r="Q124" s="826" t="str">
        <f>IFERROR(INDEX(決算整理!$E$5:$E$1835,MATCH("減価償却費|S|4",決算整理!$S$5:$S$1835,0)),"")</f>
        <v/>
      </c>
      <c r="R124" s="827" t="str">
        <f>IFERROR(INDEX(決算整理!$H$5:$H$1835,MATCH("減価償却費|S|4",決算整理!$S$5:$S$1835,0)),"")</f>
        <v/>
      </c>
      <c r="S124" s="828" t="str">
        <f>IF(R124="","",S123+R124)</f>
        <v/>
      </c>
      <c r="T124" s="829" t="str">
        <f>IFERROR(INDEX(決算整理!$P$5:$P$1835,MATCH("減価償却費|S|4",決算整理!$S$5:$S$1835,0)),"")</f>
        <v/>
      </c>
    </row>
    <row r="125" ht="26.25" customHeight="1" s="186" thickBot="1">
      <c r="A125" s="825" t="str">
        <f>IFERROR(INDEX(決算整理!$A$5:$A$1835,MATCH("県社保協会費|S|5",決算整理!$S$5:$S$1835,0)),"")</f>
        <v/>
      </c>
      <c r="B125" s="826" t="str">
        <f>IFERROR(INDEX(決算整理!$E$5:$E$1835,MATCH("県社保協会費|S|5",決算整理!$S$5:$S$1835,0)),"")</f>
        <v/>
      </c>
      <c r="C125" s="827" t="str">
        <f>IFERROR(INDEX(決算整理!$H$5:$H$1835,MATCH("県社保協会費|S|5",決算整理!$S$5:$S$1835,0)),"")</f>
        <v/>
      </c>
      <c r="D125" s="828" t="str">
        <f>IF(C125="","",D124+C125)</f>
        <v/>
      </c>
      <c r="E125" s="829" t="str">
        <f>IFERROR(INDEX(決算整理!$P$5:$P$1835,MATCH("県社保協会費|S|5",決算整理!$S$5:$S$1835,0)),"")</f>
        <v/>
      </c>
      <c r="F125" s="825" t="str">
        <f>IFERROR(INDEX(決算整理!$A$5:$A$1835,MATCH("事務費負担金払込金|S|5",決算整理!$S$5:$S$1835,0)),"")</f>
        <v/>
      </c>
      <c r="G125" s="826" t="str">
        <f>IFERROR(INDEX(決算整理!$E$5:$E$1835,MATCH("事務費負担金払込金|S|5",決算整理!$S$5:$S$1835,0)),"")</f>
        <v/>
      </c>
      <c r="H125" s="827" t="str">
        <f>IFERROR(INDEX(決算整理!$H$5:$H$1835,MATCH("事務費負担金払込金|S|5",決算整理!$S$5:$S$1835,0)),"")</f>
        <v/>
      </c>
      <c r="I125" s="828" t="str">
        <f>IF(H125="","",I124+H125)</f>
        <v/>
      </c>
      <c r="J125" s="829" t="str">
        <f>IFERROR(INDEX(決算整理!$P$5:$P$1835,MATCH("事務費負担金払込金|S|5",決算整理!$S$5:$S$1835,0)),"")</f>
        <v/>
      </c>
      <c r="K125" s="825" t="str">
        <f>IFERROR(INDEX(決算整理!$A$5:$A$1835,MATCH("雑費|S|5",決算整理!$S$5:$S$1835,0)),"")</f>
        <v/>
      </c>
      <c r="L125" s="826" t="str">
        <f>IFERROR(INDEX(決算整理!$E$5:$E$1835,MATCH("雑費|S|5",決算整理!$S$5:$S$1835,0)),"")</f>
        <v/>
      </c>
      <c r="M125" s="827" t="str">
        <f>IFERROR(INDEX(決算整理!$H$5:$H$1835,MATCH("雑費|S|5",決算整理!$S$5:$S$1835,0)),"")</f>
        <v/>
      </c>
      <c r="N125" s="828" t="str">
        <f>IF(M125="","",N124+M125)</f>
        <v/>
      </c>
      <c r="O125" s="829" t="str">
        <f>IFERROR(INDEX(決算整理!$P$5:$P$1835,MATCH("雑費|S|5",決算整理!$S$5:$S$1835,0)),"")</f>
        <v/>
      </c>
      <c r="P125" s="825" t="str">
        <f>IFERROR(INDEX(決算整理!$A$5:$A$1835,MATCH("減価償却費|S|5",決算整理!$S$5:$S$1835,0)),"")</f>
        <v/>
      </c>
      <c r="Q125" s="826" t="str">
        <f>IFERROR(INDEX(決算整理!$E$5:$E$1835,MATCH("減価償却費|S|5",決算整理!$S$5:$S$1835,0)),"")</f>
        <v/>
      </c>
      <c r="R125" s="827" t="str">
        <f>IFERROR(INDEX(決算整理!$H$5:$H$1835,MATCH("減価償却費|S|5",決算整理!$S$5:$S$1835,0)),"")</f>
        <v/>
      </c>
      <c r="S125" s="828" t="str">
        <f>IF(R125="","",S124+R125)</f>
        <v/>
      </c>
      <c r="T125" s="829" t="str">
        <f>IFERROR(INDEX(決算整理!$P$5:$P$1835,MATCH("減価償却費|S|5",決算整理!$S$5:$S$1835,0)),"")</f>
        <v/>
      </c>
    </row>
    <row r="126" ht="26.25" customHeight="1" s="186">
      <c r="A126" s="825" t="str">
        <f>IFERROR(INDEX(決算整理!$A$5:$A$1835,MATCH("県社保協会費|S|6",決算整理!$S$5:$S$1835,0)),"")</f>
        <v/>
      </c>
      <c r="B126" s="826" t="str">
        <f>IFERROR(INDEX(決算整理!$E$5:$E$1835,MATCH("県社保協会費|S|6",決算整理!$S$5:$S$1835,0)),"")</f>
        <v/>
      </c>
      <c r="C126" s="827" t="str">
        <f>IFERROR(INDEX(決算整理!$H$5:$H$1835,MATCH("県社保協会費|S|6",決算整理!$S$5:$S$1835,0)),"")</f>
        <v/>
      </c>
      <c r="D126" s="828" t="str">
        <f>IF(C126="","",D125+C126)</f>
        <v/>
      </c>
      <c r="E126" s="829" t="str">
        <f>IFERROR(INDEX(決算整理!$P$5:$P$1835,MATCH("県社保協会費|S|6",決算整理!$S$5:$S$1835,0)),"")</f>
        <v/>
      </c>
      <c r="F126" s="825" t="str">
        <f>IFERROR(INDEX(決算整理!$A$5:$A$1835,MATCH("事務費負担金払込金|S|6",決算整理!$S$5:$S$1835,0)),"")</f>
        <v/>
      </c>
      <c r="G126" s="826" t="str">
        <f>IFERROR(INDEX(決算整理!$E$5:$E$1835,MATCH("事務費負担金払込金|S|6",決算整理!$S$5:$S$1835,0)),"")</f>
        <v/>
      </c>
      <c r="H126" s="827" t="str">
        <f>IFERROR(INDEX(決算整理!$H$5:$H$1835,MATCH("事務費負担金払込金|S|6",決算整理!$S$5:$S$1835,0)),"")</f>
        <v/>
      </c>
      <c r="I126" s="828" t="str">
        <f>IF(H126="","",I125+H126)</f>
        <v/>
      </c>
      <c r="J126" s="829" t="str">
        <f>IFERROR(INDEX(決算整理!$P$5:$P$1835,MATCH("事務費負担金払込金|S|6",決算整理!$S$5:$S$1835,0)),"")</f>
        <v/>
      </c>
      <c r="K126" s="825" t="str">
        <f>IFERROR(INDEX(決算整理!$A$5:$A$1835,MATCH("雑費|S|6",決算整理!$S$5:$S$1835,0)),"")</f>
        <v/>
      </c>
      <c r="L126" s="826" t="str">
        <f>IFERROR(INDEX(決算整理!$E$5:$E$1835,MATCH("雑費|S|6",決算整理!$S$5:$S$1835,0)),"")</f>
        <v/>
      </c>
      <c r="M126" s="827" t="str">
        <f>IFERROR(INDEX(決算整理!$H$5:$H$1835,MATCH("雑費|S|6",決算整理!$S$5:$S$1835,0)),"")</f>
        <v/>
      </c>
      <c r="N126" s="828" t="str">
        <f>IF(M126="","",N125+M126)</f>
        <v/>
      </c>
      <c r="O126" s="829" t="str">
        <f>IFERROR(INDEX(決算整理!$P$5:$P$1835,MATCH("雑費|S|6",決算整理!$S$5:$S$1835,0)),"")</f>
        <v/>
      </c>
      <c r="P126" s="825" t="str">
        <f>IFERROR(INDEX(決算整理!$A$5:$A$1835,MATCH("減価償却費|S|6",決算整理!$S$5:$S$1835,0)),"")</f>
        <v/>
      </c>
      <c r="Q126" s="826" t="str">
        <f>IFERROR(INDEX(決算整理!$E$5:$E$1835,MATCH("減価償却費|S|6",決算整理!$S$5:$S$1835,0)),"")</f>
        <v/>
      </c>
      <c r="R126" s="827" t="str">
        <f>IFERROR(INDEX(決算整理!$H$5:$H$1835,MATCH("減価償却費|S|6",決算整理!$S$5:$S$1835,0)),"")</f>
        <v/>
      </c>
      <c r="S126" s="828" t="str">
        <f>IF(R126="","",S125+R126)</f>
        <v/>
      </c>
      <c r="T126" s="829" t="str">
        <f>IFERROR(INDEX(決算整理!$P$5:$P$1835,MATCH("減価償却費|S|6",決算整理!$S$5:$S$1835,0)),"")</f>
        <v/>
      </c>
    </row>
    <row r="127" ht="41.25" customHeight="1" s="186">
      <c r="A127" s="825" t="str">
        <f>IFERROR(INDEX(決算整理!$A$5:$A$1835,MATCH("県社保協会費|S|7",決算整理!$S$5:$S$1835,0)),"")</f>
        <v/>
      </c>
      <c r="B127" s="826" t="str">
        <f>IFERROR(INDEX(決算整理!$E$5:$E$1835,MATCH("県社保協会費|S|7",決算整理!$S$5:$S$1835,0)),"")</f>
        <v/>
      </c>
      <c r="C127" s="827" t="str">
        <f>IFERROR(INDEX(決算整理!$H$5:$H$1835,MATCH("県社保協会費|S|7",決算整理!$S$5:$S$1835,0)),"")</f>
        <v/>
      </c>
      <c r="D127" s="828" t="str">
        <f>IF(C127="","",D126+C127)</f>
        <v/>
      </c>
      <c r="E127" s="829" t="str">
        <f>IFERROR(INDEX(決算整理!$P$5:$P$1835,MATCH("県社保協会費|S|7",決算整理!$S$5:$S$1835,0)),"")</f>
        <v/>
      </c>
      <c r="F127" s="825" t="str">
        <f>IFERROR(INDEX(決算整理!$A$5:$A$1835,MATCH("事務費負担金払込金|S|7",決算整理!$S$5:$S$1835,0)),"")</f>
        <v/>
      </c>
      <c r="G127" s="826" t="str">
        <f>IFERROR(INDEX(決算整理!$E$5:$E$1835,MATCH("事務費負担金払込金|S|7",決算整理!$S$5:$S$1835,0)),"")</f>
        <v/>
      </c>
      <c r="H127" s="827" t="str">
        <f>IFERROR(INDEX(決算整理!$H$5:$H$1835,MATCH("事務費負担金払込金|S|7",決算整理!$S$5:$S$1835,0)),"")</f>
        <v/>
      </c>
      <c r="I127" s="828" t="str">
        <f>IF(H127="","",I126+H127)</f>
        <v/>
      </c>
      <c r="J127" s="829" t="str">
        <f>IFERROR(INDEX(決算整理!$P$5:$P$1835,MATCH("事務費負担金払込金|S|7",決算整理!$S$5:$S$1835,0)),"")</f>
        <v/>
      </c>
      <c r="K127" s="825" t="str">
        <f>IFERROR(INDEX(決算整理!$A$5:$A$1835,MATCH("雑費|S|7",決算整理!$S$5:$S$1835,0)),"")</f>
        <v/>
      </c>
      <c r="L127" s="826" t="str">
        <f>IFERROR(INDEX(決算整理!$E$5:$E$1835,MATCH("雑費|S|7",決算整理!$S$5:$S$1835,0)),"")</f>
        <v/>
      </c>
      <c r="M127" s="827" t="str">
        <f>IFERROR(INDEX(決算整理!$H$5:$H$1835,MATCH("雑費|S|7",決算整理!$S$5:$S$1835,0)),"")</f>
        <v/>
      </c>
      <c r="N127" s="828" t="str">
        <f>IF(M127="","",N126+M127)</f>
        <v/>
      </c>
      <c r="O127" s="829" t="str">
        <f>IFERROR(INDEX(決算整理!$P$5:$P$1835,MATCH("雑費|S|7",決算整理!$S$5:$S$1835,0)),"")</f>
        <v/>
      </c>
      <c r="P127" s="825" t="str">
        <f>IFERROR(INDEX(決算整理!$A$5:$A$1835,MATCH("減価償却費|S|7",決算整理!$S$5:$S$1835,0)),"")</f>
        <v/>
      </c>
      <c r="Q127" s="826" t="str">
        <f>IFERROR(INDEX(決算整理!$E$5:$E$1835,MATCH("減価償却費|S|7",決算整理!$S$5:$S$1835,0)),"")</f>
        <v/>
      </c>
      <c r="R127" s="827" t="str">
        <f>IFERROR(INDEX(決算整理!$H$5:$H$1835,MATCH("減価償却費|S|7",決算整理!$S$5:$S$1835,0)),"")</f>
        <v/>
      </c>
      <c r="S127" s="828" t="str">
        <f>IF(R127="","",S126+R127)</f>
        <v/>
      </c>
      <c r="T127" s="829" t="str">
        <f>IFERROR(INDEX(決算整理!$P$5:$P$1835,MATCH("減価償却費|S|7",決算整理!$S$5:$S$1835,0)),"")</f>
        <v/>
      </c>
    </row>
    <row r="128" ht="26.25" customHeight="1" s="186" thickBot="1">
      <c r="A128" s="825" t="str">
        <f>IFERROR(INDEX(決算整理!$A$5:$A$1835,MATCH("県社保協会費|S|8",決算整理!$S$5:$S$1835,0)),"")</f>
        <v/>
      </c>
      <c r="B128" s="826" t="str">
        <f>IFERROR(INDEX(決算整理!$E$5:$E$1835,MATCH("県社保協会費|S|8",決算整理!$S$5:$S$1835,0)),"")</f>
        <v/>
      </c>
      <c r="C128" s="827" t="str">
        <f>IFERROR(INDEX(決算整理!$H$5:$H$1835,MATCH("県社保協会費|S|8",決算整理!$S$5:$S$1835,0)),"")</f>
        <v/>
      </c>
      <c r="D128" s="828" t="str">
        <f>IF(C128="","",D127+C128)</f>
        <v/>
      </c>
      <c r="E128" s="829" t="str">
        <f>IFERROR(INDEX(決算整理!$P$5:$P$1835,MATCH("県社保協会費|S|8",決算整理!$S$5:$S$1835,0)),"")</f>
        <v/>
      </c>
      <c r="F128" s="825" t="str">
        <f>IFERROR(INDEX(決算整理!$A$5:$A$1835,MATCH("事務費負担金払込金|S|8",決算整理!$S$5:$S$1835,0)),"")</f>
        <v/>
      </c>
      <c r="G128" s="826" t="str">
        <f>IFERROR(INDEX(決算整理!$E$5:$E$1835,MATCH("事務費負担金払込金|S|8",決算整理!$S$5:$S$1835,0)),"")</f>
        <v/>
      </c>
      <c r="H128" s="827" t="str">
        <f>IFERROR(INDEX(決算整理!$H$5:$H$1835,MATCH("事務費負担金払込金|S|8",決算整理!$S$5:$S$1835,0)),"")</f>
        <v/>
      </c>
      <c r="I128" s="828" t="str">
        <f>IF(H128="","",I127+H128)</f>
        <v/>
      </c>
      <c r="J128" s="829" t="str">
        <f>IFERROR(INDEX(決算整理!$P$5:$P$1835,MATCH("事務費負担金払込金|S|8",決算整理!$S$5:$S$1835,0)),"")</f>
        <v/>
      </c>
      <c r="K128" s="825" t="str">
        <f>IFERROR(INDEX(決算整理!$A$5:$A$1835,MATCH("雑費|S|8",決算整理!$S$5:$S$1835,0)),"")</f>
        <v/>
      </c>
      <c r="L128" s="826" t="str">
        <f>IFERROR(INDEX(決算整理!$E$5:$E$1835,MATCH("雑費|S|8",決算整理!$S$5:$S$1835,0)),"")</f>
        <v/>
      </c>
      <c r="M128" s="827" t="str">
        <f>IFERROR(INDEX(決算整理!$H$5:$H$1835,MATCH("雑費|S|8",決算整理!$S$5:$S$1835,0)),"")</f>
        <v/>
      </c>
      <c r="N128" s="828" t="str">
        <f>IF(M128="","",N127+M128)</f>
        <v/>
      </c>
      <c r="O128" s="829" t="str">
        <f>IFERROR(INDEX(決算整理!$P$5:$P$1835,MATCH("雑費|S|8",決算整理!$S$5:$S$1835,0)),"")</f>
        <v/>
      </c>
      <c r="P128" s="825" t="str">
        <f>IFERROR(INDEX(決算整理!$A$5:$A$1835,MATCH("減価償却費|S|8",決算整理!$S$5:$S$1835,0)),"")</f>
        <v/>
      </c>
      <c r="Q128" s="826" t="str">
        <f>IFERROR(INDEX(決算整理!$E$5:$E$1835,MATCH("減価償却費|S|8",決算整理!$S$5:$S$1835,0)),"")</f>
        <v/>
      </c>
      <c r="R128" s="827" t="str">
        <f>IFERROR(INDEX(決算整理!$H$5:$H$1835,MATCH("減価償却費|S|8",決算整理!$S$5:$S$1835,0)),"")</f>
        <v/>
      </c>
      <c r="S128" s="828" t="str">
        <f>IF(R128="","",S127+R128)</f>
        <v/>
      </c>
      <c r="T128" s="829" t="str">
        <f>IFERROR(INDEX(決算整理!$P$5:$P$1835,MATCH("減価償却費|S|8",決算整理!$S$5:$S$1835,0)),"")</f>
        <v/>
      </c>
    </row>
    <row r="129" ht="26.25" customHeight="1" s="186" thickBot="1">
      <c r="A129" s="825" t="str">
        <f>IFERROR(INDEX(決算整理!$A$5:$A$1835,MATCH("県社保協会費|S|9",決算整理!$S$5:$S$1835,0)),"")</f>
        <v/>
      </c>
      <c r="B129" s="826" t="str">
        <f>IFERROR(INDEX(決算整理!$E$5:$E$1835,MATCH("県社保協会費|S|9",決算整理!$S$5:$S$1835,0)),"")</f>
        <v/>
      </c>
      <c r="C129" s="827" t="str">
        <f>IFERROR(INDEX(決算整理!$H$5:$H$1835,MATCH("県社保協会費|S|9",決算整理!$S$5:$S$1835,0)),"")</f>
        <v/>
      </c>
      <c r="D129" s="828" t="str">
        <f>IF(C129="","",D128+C129)</f>
        <v/>
      </c>
      <c r="E129" s="829" t="str">
        <f>IFERROR(INDEX(決算整理!$P$5:$P$1835,MATCH("県社保協会費|S|9",決算整理!$S$5:$S$1835,0)),"")</f>
        <v/>
      </c>
      <c r="F129" s="825" t="str">
        <f>IFERROR(INDEX(決算整理!$A$5:$A$1835,MATCH("事務費負担金払込金|S|9",決算整理!$S$5:$S$1835,0)),"")</f>
        <v/>
      </c>
      <c r="G129" s="826" t="str">
        <f>IFERROR(INDEX(決算整理!$E$5:$E$1835,MATCH("事務費負担金払込金|S|9",決算整理!$S$5:$S$1835,0)),"")</f>
        <v/>
      </c>
      <c r="H129" s="827" t="str">
        <f>IFERROR(INDEX(決算整理!$H$5:$H$1835,MATCH("事務費負担金払込金|S|9",決算整理!$S$5:$S$1835,0)),"")</f>
        <v/>
      </c>
      <c r="I129" s="828" t="str">
        <f>IF(H129="","",I128+H129)</f>
        <v/>
      </c>
      <c r="J129" s="829" t="str">
        <f>IFERROR(INDEX(決算整理!$P$5:$P$1835,MATCH("事務費負担金払込金|S|9",決算整理!$S$5:$S$1835,0)),"")</f>
        <v/>
      </c>
      <c r="K129" s="825" t="str">
        <f>IFERROR(INDEX(決算整理!$A$5:$A$1835,MATCH("雑費|S|9",決算整理!$S$5:$S$1835,0)),"")</f>
        <v/>
      </c>
      <c r="L129" s="826" t="str">
        <f>IFERROR(INDEX(決算整理!$E$5:$E$1835,MATCH("雑費|S|9",決算整理!$S$5:$S$1835,0)),"")</f>
        <v/>
      </c>
      <c r="M129" s="827" t="str">
        <f>IFERROR(INDEX(決算整理!$H$5:$H$1835,MATCH("雑費|S|9",決算整理!$S$5:$S$1835,0)),"")</f>
        <v/>
      </c>
      <c r="N129" s="828" t="str">
        <f>IF(M129="","",N128+M129)</f>
        <v/>
      </c>
      <c r="O129" s="829" t="str">
        <f>IFERROR(INDEX(決算整理!$P$5:$P$1835,MATCH("雑費|S|9",決算整理!$S$5:$S$1835,0)),"")</f>
        <v/>
      </c>
      <c r="P129" s="825" t="str">
        <f>IFERROR(INDEX(決算整理!$A$5:$A$1835,MATCH("減価償却費|S|9",決算整理!$S$5:$S$1835,0)),"")</f>
        <v/>
      </c>
      <c r="Q129" s="826" t="str">
        <f>IFERROR(INDEX(決算整理!$E$5:$E$1835,MATCH("減価償却費|S|9",決算整理!$S$5:$S$1835,0)),"")</f>
        <v/>
      </c>
      <c r="R129" s="827" t="str">
        <f>IFERROR(INDEX(決算整理!$H$5:$H$1835,MATCH("減価償却費|S|9",決算整理!$S$5:$S$1835,0)),"")</f>
        <v/>
      </c>
      <c r="S129" s="828" t="str">
        <f>IF(R129="","",S128+R129)</f>
        <v/>
      </c>
      <c r="T129" s="829" t="str">
        <f>IFERROR(INDEX(決算整理!$P$5:$P$1835,MATCH("減価償却費|S|9",決算整理!$S$5:$S$1835,0)),"")</f>
        <v/>
      </c>
    </row>
    <row r="130" ht="26.25" customHeight="1" s="186">
      <c r="A130" s="825" t="str">
        <f>IFERROR(INDEX(決算整理!$A$5:$A$1835,MATCH("県社保協会費|S|10",決算整理!$S$5:$S$1835,0)),"")</f>
        <v/>
      </c>
      <c r="B130" s="826" t="str">
        <f>IFERROR(INDEX(決算整理!$E$5:$E$1835,MATCH("県社保協会費|S|10",決算整理!$S$5:$S$1835,0)),"")</f>
        <v/>
      </c>
      <c r="C130" s="827" t="str">
        <f>IFERROR(INDEX(決算整理!$H$5:$H$1835,MATCH("県社保協会費|S|10",決算整理!$S$5:$S$1835,0)),"")</f>
        <v/>
      </c>
      <c r="D130" s="828" t="str">
        <f>IF(C130="","",D129+C130)</f>
        <v/>
      </c>
      <c r="E130" s="829" t="str">
        <f>IFERROR(INDEX(決算整理!$P$5:$P$1835,MATCH("県社保協会費|S|10",決算整理!$S$5:$S$1835,0)),"")</f>
        <v/>
      </c>
      <c r="F130" s="825" t="str">
        <f>IFERROR(INDEX(決算整理!$A$5:$A$1835,MATCH("事務費負担金払込金|S|10",決算整理!$S$5:$S$1835,0)),"")</f>
        <v/>
      </c>
      <c r="G130" s="826" t="str">
        <f>IFERROR(INDEX(決算整理!$E$5:$E$1835,MATCH("事務費負担金払込金|S|10",決算整理!$S$5:$S$1835,0)),"")</f>
        <v/>
      </c>
      <c r="H130" s="827" t="str">
        <f>IFERROR(INDEX(決算整理!$H$5:$H$1835,MATCH("事務費負担金払込金|S|10",決算整理!$S$5:$S$1835,0)),"")</f>
        <v/>
      </c>
      <c r="I130" s="828" t="str">
        <f>IF(H130="","",I129+H130)</f>
        <v/>
      </c>
      <c r="J130" s="829" t="str">
        <f>IFERROR(INDEX(決算整理!$P$5:$P$1835,MATCH("事務費負担金払込金|S|10",決算整理!$S$5:$S$1835,0)),"")</f>
        <v/>
      </c>
      <c r="K130" s="825" t="str">
        <f>IFERROR(INDEX(決算整理!$A$5:$A$1835,MATCH("雑費|S|10",決算整理!$S$5:$S$1835,0)),"")</f>
        <v/>
      </c>
      <c r="L130" s="826" t="str">
        <f>IFERROR(INDEX(決算整理!$E$5:$E$1835,MATCH("雑費|S|10",決算整理!$S$5:$S$1835,0)),"")</f>
        <v/>
      </c>
      <c r="M130" s="827" t="str">
        <f>IFERROR(INDEX(決算整理!$H$5:$H$1835,MATCH("雑費|S|10",決算整理!$S$5:$S$1835,0)),"")</f>
        <v/>
      </c>
      <c r="N130" s="828" t="str">
        <f>IF(M130="","",N129+M130)</f>
        <v/>
      </c>
      <c r="O130" s="829" t="str">
        <f>IFERROR(INDEX(決算整理!$P$5:$P$1835,MATCH("雑費|S|10",決算整理!$S$5:$S$1835,0)),"")</f>
        <v/>
      </c>
      <c r="P130" s="825" t="str">
        <f>IFERROR(INDEX(決算整理!$A$5:$A$1835,MATCH("減価償却費|S|10",決算整理!$S$5:$S$1835,0)),"")</f>
        <v/>
      </c>
      <c r="Q130" s="826" t="str">
        <f>IFERROR(INDEX(決算整理!$E$5:$E$1835,MATCH("減価償却費|S|10",決算整理!$S$5:$S$1835,0)),"")</f>
        <v/>
      </c>
      <c r="R130" s="827" t="str">
        <f>IFERROR(INDEX(決算整理!$H$5:$H$1835,MATCH("減価償却費|S|10",決算整理!$S$5:$S$1835,0)),"")</f>
        <v/>
      </c>
      <c r="S130" s="828" t="str">
        <f>IF(R130="","",S129+R130)</f>
        <v/>
      </c>
      <c r="T130" s="829" t="str">
        <f>IFERROR(INDEX(決算整理!$P$5:$P$1835,MATCH("減価償却費|S|10",決算整理!$S$5:$S$1835,0)),"")</f>
        <v/>
      </c>
    </row>
    <row r="131" ht="26.25" customHeight="1" s="186">
      <c r="A131" s="825" t="str">
        <f>IFERROR(INDEX(決算整理!$A$5:$A$1835,MATCH("県社保協会費|S|11",決算整理!$S$5:$S$1835,0)),"")</f>
        <v/>
      </c>
      <c r="B131" s="826" t="str">
        <f>IFERROR(INDEX(決算整理!$E$5:$E$1835,MATCH("県社保協会費|S|11",決算整理!$S$5:$S$1835,0)),"")</f>
        <v/>
      </c>
      <c r="C131" s="827" t="str">
        <f>IFERROR(INDEX(決算整理!$H$5:$H$1835,MATCH("県社保協会費|S|11",決算整理!$S$5:$S$1835,0)),"")</f>
        <v/>
      </c>
      <c r="D131" s="828" t="str">
        <f>IF(C131="","",D130+C131)</f>
        <v/>
      </c>
      <c r="E131" s="829" t="str">
        <f>IFERROR(INDEX(決算整理!$P$5:$P$1835,MATCH("県社保協会費|S|11",決算整理!$S$5:$S$1835,0)),"")</f>
        <v/>
      </c>
      <c r="F131" s="825" t="str">
        <f>IFERROR(INDEX(決算整理!$A$5:$A$1835,MATCH("事務費負担金払込金|S|11",決算整理!$S$5:$S$1835,0)),"")</f>
        <v/>
      </c>
      <c r="G131" s="826" t="str">
        <f>IFERROR(INDEX(決算整理!$E$5:$E$1835,MATCH("事務費負担金払込金|S|11",決算整理!$S$5:$S$1835,0)),"")</f>
        <v/>
      </c>
      <c r="H131" s="827" t="str">
        <f>IFERROR(INDEX(決算整理!$H$5:$H$1835,MATCH("事務費負担金払込金|S|11",決算整理!$S$5:$S$1835,0)),"")</f>
        <v/>
      </c>
      <c r="I131" s="828" t="str">
        <f>IF(H131="","",I130+H131)</f>
        <v/>
      </c>
      <c r="J131" s="829" t="str">
        <f>IFERROR(INDEX(決算整理!$P$5:$P$1835,MATCH("事務費負担金払込金|S|11",決算整理!$S$5:$S$1835,0)),"")</f>
        <v/>
      </c>
      <c r="K131" s="825" t="str">
        <f>IFERROR(INDEX(決算整理!$A$5:$A$1835,MATCH("雑費|S|11",決算整理!$S$5:$S$1835,0)),"")</f>
        <v/>
      </c>
      <c r="L131" s="826" t="str">
        <f>IFERROR(INDEX(決算整理!$E$5:$E$1835,MATCH("雑費|S|11",決算整理!$S$5:$S$1835,0)),"")</f>
        <v/>
      </c>
      <c r="M131" s="827" t="str">
        <f>IFERROR(INDEX(決算整理!$H$5:$H$1835,MATCH("雑費|S|11",決算整理!$S$5:$S$1835,0)),"")</f>
        <v/>
      </c>
      <c r="N131" s="828" t="str">
        <f>IF(M131="","",N130+M131)</f>
        <v/>
      </c>
      <c r="O131" s="829" t="str">
        <f>IFERROR(INDEX(決算整理!$P$5:$P$1835,MATCH("雑費|S|11",決算整理!$S$5:$S$1835,0)),"")</f>
        <v/>
      </c>
      <c r="P131" s="825" t="str">
        <f>IFERROR(INDEX(決算整理!$A$5:$A$1835,MATCH("減価償却費|S|11",決算整理!$S$5:$S$1835,0)),"")</f>
        <v/>
      </c>
      <c r="Q131" s="826" t="str">
        <f>IFERROR(INDEX(決算整理!$E$5:$E$1835,MATCH("減価償却費|S|11",決算整理!$S$5:$S$1835,0)),"")</f>
        <v/>
      </c>
      <c r="R131" s="827" t="str">
        <f>IFERROR(INDEX(決算整理!$H$5:$H$1835,MATCH("減価償却費|S|11",決算整理!$S$5:$S$1835,0)),"")</f>
        <v/>
      </c>
      <c r="S131" s="828" t="str">
        <f>IF(R131="","",S130+R131)</f>
        <v/>
      </c>
      <c r="T131" s="829" t="str">
        <f>IFERROR(INDEX(決算整理!$P$5:$P$1835,MATCH("減価償却費|S|11",決算整理!$S$5:$S$1835,0)),"")</f>
        <v/>
      </c>
    </row>
    <row r="132" ht="26.25" customHeight="1" s="186">
      <c r="A132" s="825" t="str">
        <f>IFERROR(INDEX(決算整理!$A$5:$A$1835,MATCH("県社保協会費|S|12",決算整理!$S$5:$S$1835,0)),"")</f>
        <v/>
      </c>
      <c r="B132" s="826" t="str">
        <f>IFERROR(INDEX(決算整理!$E$5:$E$1835,MATCH("県社保協会費|S|12",決算整理!$S$5:$S$1835,0)),"")</f>
        <v/>
      </c>
      <c r="C132" s="827" t="str">
        <f>IFERROR(INDEX(決算整理!$H$5:$H$1835,MATCH("県社保協会費|S|12",決算整理!$S$5:$S$1835,0)),"")</f>
        <v/>
      </c>
      <c r="D132" s="828" t="str">
        <f>IF(C132="","",D131+C132)</f>
        <v/>
      </c>
      <c r="E132" s="829" t="str">
        <f>IFERROR(INDEX(決算整理!$P$5:$P$1835,MATCH("県社保協会費|S|12",決算整理!$S$5:$S$1835,0)),"")</f>
        <v/>
      </c>
      <c r="F132" s="825" t="str">
        <f>IFERROR(INDEX(決算整理!$A$5:$A$1835,MATCH("事務費負担金払込金|S|12",決算整理!$S$5:$S$1835,0)),"")</f>
        <v/>
      </c>
      <c r="G132" s="826" t="str">
        <f>IFERROR(INDEX(決算整理!$E$5:$E$1835,MATCH("事務費負担金払込金|S|12",決算整理!$S$5:$S$1835,0)),"")</f>
        <v/>
      </c>
      <c r="H132" s="827" t="str">
        <f>IFERROR(INDEX(決算整理!$H$5:$H$1835,MATCH("事務費負担金払込金|S|12",決算整理!$S$5:$S$1835,0)),"")</f>
        <v/>
      </c>
      <c r="I132" s="828" t="str">
        <f>IF(H132="","",I131+H132)</f>
        <v/>
      </c>
      <c r="J132" s="829" t="str">
        <f>IFERROR(INDEX(決算整理!$P$5:$P$1835,MATCH("事務費負担金払込金|S|12",決算整理!$S$5:$S$1835,0)),"")</f>
        <v/>
      </c>
      <c r="K132" s="825" t="str">
        <f>IFERROR(INDEX(決算整理!$A$5:$A$1835,MATCH("雑費|S|12",決算整理!$S$5:$S$1835,0)),"")</f>
        <v/>
      </c>
      <c r="L132" s="826" t="str">
        <f>IFERROR(INDEX(決算整理!$E$5:$E$1835,MATCH("雑費|S|12",決算整理!$S$5:$S$1835,0)),"")</f>
        <v/>
      </c>
      <c r="M132" s="827" t="str">
        <f>IFERROR(INDEX(決算整理!$H$5:$H$1835,MATCH("雑費|S|12",決算整理!$S$5:$S$1835,0)),"")</f>
        <v/>
      </c>
      <c r="N132" s="828" t="str">
        <f>IF(M132="","",N131+M132)</f>
        <v/>
      </c>
      <c r="O132" s="829" t="str">
        <f>IFERROR(INDEX(決算整理!$P$5:$P$1835,MATCH("雑費|S|12",決算整理!$S$5:$S$1835,0)),"")</f>
        <v/>
      </c>
      <c r="P132" s="825" t="str">
        <f>IFERROR(INDEX(決算整理!$A$5:$A$1835,MATCH("減価償却費|S|12",決算整理!$S$5:$S$1835,0)),"")</f>
        <v/>
      </c>
      <c r="Q132" s="826" t="str">
        <f>IFERROR(INDEX(決算整理!$E$5:$E$1835,MATCH("減価償却費|S|12",決算整理!$S$5:$S$1835,0)),"")</f>
        <v/>
      </c>
      <c r="R132" s="827" t="str">
        <f>IFERROR(INDEX(決算整理!$H$5:$H$1835,MATCH("減価償却費|S|12",決算整理!$S$5:$S$1835,0)),"")</f>
        <v/>
      </c>
      <c r="S132" s="828" t="str">
        <f>IF(R132="","",S131+R132)</f>
        <v/>
      </c>
      <c r="T132" s="829" t="str">
        <f>IFERROR(INDEX(決算整理!$P$5:$P$1835,MATCH("減価償却費|S|12",決算整理!$S$5:$S$1835,0)),"")</f>
        <v/>
      </c>
    </row>
    <row r="133" ht="26.25" customHeight="1" s="186"/>
    <row r="134" ht="26.25" customHeight="1" s="186" thickBot="1"/>
    <row r="135" ht="26.25" customHeight="1" s="186" thickBot="1"/>
    <row r="136" ht="26.25" customHeight="1" s="186">
      <c r="B136" s="502" t="inlineStr">
        <is>
          <t>○器具及び備品</t>
        </is>
      </c>
      <c r="D136" s="503" t="inlineStr">
        <is>
          <t>業務（短）未払</t>
        </is>
      </c>
      <c r="E136" s="824" t="str">
        <f>IF(COUNTIF(決算整理!$S$5:$S$1835,"器具及び備品|S|*")&gt;12,"行不足","")</f>
        <v/>
      </c>
      <c r="G136" s="502" t="inlineStr">
        <is>
          <t>○前期損益修正損</t>
        </is>
      </c>
      <c r="I136" s="503" t="inlineStr">
        <is>
          <t>業務（短）未払</t>
        </is>
      </c>
      <c r="J136" s="824" t="str">
        <f>IF(COUNTIF(決算整理!$S$5:$S$1835,"前期損益修正損|S|*")&gt;12,"行不足","")</f>
        <v/>
      </c>
      <c r="L136" s="502" t="inlineStr">
        <is>
          <t>○立替金</t>
        </is>
      </c>
      <c r="N136" s="503" t="inlineStr">
        <is>
          <t>業務（短）未払</t>
        </is>
      </c>
      <c r="O136" s="824" t="str">
        <f>IF(COUNTIF(決算整理!$S$5:$S$1835,"立替金|S|*")&gt;12,"行不足","")</f>
        <v/>
      </c>
    </row>
    <row r="137" ht="26.25" customHeight="1" s="186">
      <c r="A137" s="100" t="inlineStr">
        <is>
          <t>支出日</t>
        </is>
      </c>
      <c r="B137" s="100" t="inlineStr">
        <is>
          <t>摘要</t>
        </is>
      </c>
      <c r="C137" s="100" t="inlineStr">
        <is>
          <t>支出</t>
        </is>
      </c>
      <c r="D137" s="100" t="inlineStr">
        <is>
          <t>累計</t>
        </is>
      </c>
      <c r="E137" s="100" t="inlineStr">
        <is>
          <t>状態</t>
        </is>
      </c>
      <c r="F137" s="100" t="inlineStr">
        <is>
          <t>支出日</t>
        </is>
      </c>
      <c r="G137" s="100" t="inlineStr">
        <is>
          <t>摘要</t>
        </is>
      </c>
      <c r="H137" s="100" t="inlineStr">
        <is>
          <t>支出</t>
        </is>
      </c>
      <c r="I137" s="100" t="inlineStr">
        <is>
          <t>累計</t>
        </is>
      </c>
      <c r="J137" s="100" t="inlineStr">
        <is>
          <t>状態</t>
        </is>
      </c>
      <c r="K137" s="100" t="inlineStr">
        <is>
          <t>支出日</t>
        </is>
      </c>
      <c r="L137" s="100" t="inlineStr">
        <is>
          <t>摘要</t>
        </is>
      </c>
      <c r="M137" s="100" t="inlineStr">
        <is>
          <t>支出</t>
        </is>
      </c>
      <c r="N137" s="100" t="inlineStr">
        <is>
          <t>累計</t>
        </is>
      </c>
      <c r="O137" s="100" t="inlineStr">
        <is>
          <t>状態</t>
        </is>
      </c>
    </row>
    <row r="138" ht="26.25" customHeight="1" s="186">
      <c r="A138" s="825" t="n"/>
      <c r="B138" s="826" t="inlineStr">
        <is>
          <t>（予算なし）</t>
        </is>
      </c>
      <c r="C138" s="827" t="n"/>
      <c r="D138" s="828" t="n">
        <v>0</v>
      </c>
      <c r="F138" s="825" t="n"/>
      <c r="G138" s="826" t="inlineStr">
        <is>
          <t>（予算なし）</t>
        </is>
      </c>
      <c r="H138" s="827" t="n"/>
      <c r="I138" s="828" t="n">
        <v>0</v>
      </c>
      <c r="K138" s="825" t="n"/>
      <c r="L138" s="826" t="inlineStr">
        <is>
          <t>（予算なし）</t>
        </is>
      </c>
      <c r="M138" s="827" t="n"/>
      <c r="N138" s="828" t="n">
        <v>0</v>
      </c>
    </row>
    <row r="139" ht="26.25" customHeight="1" s="186" thickBot="1">
      <c r="A139" s="825" t="str">
        <f>IFERROR(INDEX(決算整理!$A$5:$A$1835,MATCH("器具及び備品|S|1",決算整理!$S$5:$S$1835,0)),"")</f>
        <v/>
      </c>
      <c r="B139" s="826" t="str">
        <f>IFERROR(INDEX(決算整理!$E$5:$E$1835,MATCH("器具及び備品|S|1",決算整理!$S$5:$S$1835,0)),"")</f>
        <v/>
      </c>
      <c r="C139" s="827" t="str">
        <f>IFERROR(INDEX(決算整理!$H$5:$H$1835,MATCH("器具及び備品|S|1",決算整理!$S$5:$S$1835,0)),"")</f>
        <v/>
      </c>
      <c r="D139" s="828" t="str">
        <f>IF(C139="","",D138+C139)</f>
        <v/>
      </c>
      <c r="E139" s="829" t="str">
        <f>IFERROR(INDEX(決算整理!$P$5:$P$1835,MATCH("器具及び備品|S|1",決算整理!$S$5:$S$1835,0)),"")</f>
        <v/>
      </c>
      <c r="F139" s="825" t="str">
        <f>IFERROR(INDEX(決算整理!$A$5:$A$1835,MATCH("前期損益修正損|S|1",決算整理!$S$5:$S$1835,0)),"")</f>
        <v/>
      </c>
      <c r="G139" s="826" t="str">
        <f>IFERROR(INDEX(決算整理!$E$5:$E$1835,MATCH("前期損益修正損|S|1",決算整理!$S$5:$S$1835,0)),"")</f>
        <v/>
      </c>
      <c r="H139" s="827" t="str">
        <f>IFERROR(INDEX(決算整理!$H$5:$H$1835,MATCH("前期損益修正損|S|1",決算整理!$S$5:$S$1835,0)),"")</f>
        <v/>
      </c>
      <c r="I139" s="828" t="str">
        <f>IF(H139="","",I138+H139)</f>
        <v/>
      </c>
      <c r="J139" s="829" t="str">
        <f>IFERROR(INDEX(決算整理!$P$5:$P$1835,MATCH("前期損益修正損|S|1",決算整理!$S$5:$S$1835,0)),"")</f>
        <v/>
      </c>
      <c r="K139" s="825" t="str">
        <f>IFERROR(INDEX(決算整理!$A$5:$A$1835,MATCH("立替金|S|1",決算整理!$S$5:$S$1835,0)),"")</f>
        <v/>
      </c>
      <c r="L139" s="826" t="str">
        <f>IFERROR(INDEX(決算整理!$E$5:$E$1835,MATCH("立替金|S|1",決算整理!$S$5:$S$1835,0)),"")</f>
        <v/>
      </c>
      <c r="M139" s="827" t="str">
        <f>IFERROR(INDEX(決算整理!$H$5:$H$1835,MATCH("立替金|S|1",決算整理!$S$5:$S$1835,0)),"")</f>
        <v/>
      </c>
      <c r="N139" s="828" t="str">
        <f>IF(M139="","",N138+M139)</f>
        <v/>
      </c>
      <c r="O139" s="829" t="str">
        <f>IFERROR(INDEX(決算整理!$P$5:$P$1835,MATCH("立替金|S|1",決算整理!$S$5:$S$1835,0)),"")</f>
        <v/>
      </c>
    </row>
    <row r="140" ht="26.25" customHeight="1" s="186" thickBot="1">
      <c r="A140" s="825" t="str">
        <f>IFERROR(INDEX(決算整理!$A$5:$A$1835,MATCH("器具及び備品|S|2",決算整理!$S$5:$S$1835,0)),"")</f>
        <v/>
      </c>
      <c r="B140" s="826" t="str">
        <f>IFERROR(INDEX(決算整理!$E$5:$E$1835,MATCH("器具及び備品|S|2",決算整理!$S$5:$S$1835,0)),"")</f>
        <v/>
      </c>
      <c r="C140" s="827" t="str">
        <f>IFERROR(INDEX(決算整理!$H$5:$H$1835,MATCH("器具及び備品|S|2",決算整理!$S$5:$S$1835,0)),"")</f>
        <v/>
      </c>
      <c r="D140" s="828" t="str">
        <f>IF(C140="","",D139+C140)</f>
        <v/>
      </c>
      <c r="E140" s="829" t="str">
        <f>IFERROR(INDEX(決算整理!$P$5:$P$1835,MATCH("器具及び備品|S|2",決算整理!$S$5:$S$1835,0)),"")</f>
        <v/>
      </c>
      <c r="F140" s="825" t="str">
        <f>IFERROR(INDEX(決算整理!$A$5:$A$1835,MATCH("前期損益修正損|S|2",決算整理!$S$5:$S$1835,0)),"")</f>
        <v/>
      </c>
      <c r="G140" s="826" t="str">
        <f>IFERROR(INDEX(決算整理!$E$5:$E$1835,MATCH("前期損益修正損|S|2",決算整理!$S$5:$S$1835,0)),"")</f>
        <v/>
      </c>
      <c r="H140" s="827" t="str">
        <f>IFERROR(INDEX(決算整理!$H$5:$H$1835,MATCH("前期損益修正損|S|2",決算整理!$S$5:$S$1835,0)),"")</f>
        <v/>
      </c>
      <c r="I140" s="828" t="str">
        <f>IF(H140="","",I139+H140)</f>
        <v/>
      </c>
      <c r="J140" s="829" t="str">
        <f>IFERROR(INDEX(決算整理!$P$5:$P$1835,MATCH("前期損益修正損|S|2",決算整理!$S$5:$S$1835,0)),"")</f>
        <v/>
      </c>
      <c r="K140" s="825" t="str">
        <f>IFERROR(INDEX(決算整理!$A$5:$A$1835,MATCH("立替金|S|2",決算整理!$S$5:$S$1835,0)),"")</f>
        <v/>
      </c>
      <c r="L140" s="826" t="str">
        <f>IFERROR(INDEX(決算整理!$E$5:$E$1835,MATCH("立替金|S|2",決算整理!$S$5:$S$1835,0)),"")</f>
        <v/>
      </c>
      <c r="M140" s="827" t="str">
        <f>IFERROR(INDEX(決算整理!$H$5:$H$1835,MATCH("立替金|S|2",決算整理!$S$5:$S$1835,0)),"")</f>
        <v/>
      </c>
      <c r="N140" s="828" t="str">
        <f>IF(M140="","",N139+M140)</f>
        <v/>
      </c>
      <c r="O140" s="829" t="str">
        <f>IFERROR(INDEX(決算整理!$P$5:$P$1835,MATCH("立替金|S|2",決算整理!$S$5:$S$1835,0)),"")</f>
        <v/>
      </c>
    </row>
    <row r="141">
      <c r="A141" s="825" t="str">
        <f>IFERROR(INDEX(決算整理!$A$5:$A$1835,MATCH("器具及び備品|S|3",決算整理!$S$5:$S$1835,0)),"")</f>
        <v/>
      </c>
      <c r="B141" s="826" t="str">
        <f>IFERROR(INDEX(決算整理!$E$5:$E$1835,MATCH("器具及び備品|S|3",決算整理!$S$5:$S$1835,0)),"")</f>
        <v/>
      </c>
      <c r="C141" s="827" t="str">
        <f>IFERROR(INDEX(決算整理!$H$5:$H$1835,MATCH("器具及び備品|S|3",決算整理!$S$5:$S$1835,0)),"")</f>
        <v/>
      </c>
      <c r="D141" s="828" t="str">
        <f>IF(C141="","",D140+C141)</f>
        <v/>
      </c>
      <c r="E141" s="829" t="str">
        <f>IFERROR(INDEX(決算整理!$P$5:$P$1835,MATCH("器具及び備品|S|3",決算整理!$S$5:$S$1835,0)),"")</f>
        <v/>
      </c>
      <c r="F141" s="825" t="str">
        <f>IFERROR(INDEX(決算整理!$A$5:$A$1835,MATCH("前期損益修正損|S|3",決算整理!$S$5:$S$1835,0)),"")</f>
        <v/>
      </c>
      <c r="G141" s="826" t="str">
        <f>IFERROR(INDEX(決算整理!$E$5:$E$1835,MATCH("前期損益修正損|S|3",決算整理!$S$5:$S$1835,0)),"")</f>
        <v/>
      </c>
      <c r="H141" s="827" t="str">
        <f>IFERROR(INDEX(決算整理!$H$5:$H$1835,MATCH("前期損益修正損|S|3",決算整理!$S$5:$S$1835,0)),"")</f>
        <v/>
      </c>
      <c r="I141" s="828" t="str">
        <f>IF(H141="","",I140+H141)</f>
        <v/>
      </c>
      <c r="J141" s="829" t="str">
        <f>IFERROR(INDEX(決算整理!$P$5:$P$1835,MATCH("前期損益修正損|S|3",決算整理!$S$5:$S$1835,0)),"")</f>
        <v/>
      </c>
      <c r="K141" s="825" t="str">
        <f>IFERROR(INDEX(決算整理!$A$5:$A$1835,MATCH("立替金|S|3",決算整理!$S$5:$S$1835,0)),"")</f>
        <v/>
      </c>
      <c r="L141" s="826" t="str">
        <f>IFERROR(INDEX(決算整理!$E$5:$E$1835,MATCH("立替金|S|3",決算整理!$S$5:$S$1835,0)),"")</f>
        <v/>
      </c>
      <c r="M141" s="827" t="str">
        <f>IFERROR(INDEX(決算整理!$H$5:$H$1835,MATCH("立替金|S|3",決算整理!$S$5:$S$1835,0)),"")</f>
        <v/>
      </c>
      <c r="N141" s="828" t="str">
        <f>IF(M141="","",N140+M141)</f>
        <v/>
      </c>
      <c r="O141" s="829" t="str">
        <f>IFERROR(INDEX(決算整理!$P$5:$P$1835,MATCH("立替金|S|3",決算整理!$S$5:$S$1835,0)),"")</f>
        <v/>
      </c>
    </row>
    <row r="142">
      <c r="A142" s="825" t="str">
        <f>IFERROR(INDEX(決算整理!$A$5:$A$1835,MATCH("器具及び備品|S|4",決算整理!$S$5:$S$1835,0)),"")</f>
        <v/>
      </c>
      <c r="B142" s="826" t="str">
        <f>IFERROR(INDEX(決算整理!$E$5:$E$1835,MATCH("器具及び備品|S|4",決算整理!$S$5:$S$1835,0)),"")</f>
        <v/>
      </c>
      <c r="C142" s="827" t="str">
        <f>IFERROR(INDEX(決算整理!$H$5:$H$1835,MATCH("器具及び備品|S|4",決算整理!$S$5:$S$1835,0)),"")</f>
        <v/>
      </c>
      <c r="D142" s="828" t="str">
        <f>IF(C142="","",D141+C142)</f>
        <v/>
      </c>
      <c r="E142" s="829" t="str">
        <f>IFERROR(INDEX(決算整理!$P$5:$P$1835,MATCH("器具及び備品|S|4",決算整理!$S$5:$S$1835,0)),"")</f>
        <v/>
      </c>
      <c r="F142" s="825" t="str">
        <f>IFERROR(INDEX(決算整理!$A$5:$A$1835,MATCH("前期損益修正損|S|4",決算整理!$S$5:$S$1835,0)),"")</f>
        <v/>
      </c>
      <c r="G142" s="826" t="str">
        <f>IFERROR(INDEX(決算整理!$E$5:$E$1835,MATCH("前期損益修正損|S|4",決算整理!$S$5:$S$1835,0)),"")</f>
        <v/>
      </c>
      <c r="H142" s="827" t="str">
        <f>IFERROR(INDEX(決算整理!$H$5:$H$1835,MATCH("前期損益修正損|S|4",決算整理!$S$5:$S$1835,0)),"")</f>
        <v/>
      </c>
      <c r="I142" s="828" t="str">
        <f>IF(H142="","",I141+H142)</f>
        <v/>
      </c>
      <c r="J142" s="829" t="str">
        <f>IFERROR(INDEX(決算整理!$P$5:$P$1835,MATCH("前期損益修正損|S|4",決算整理!$S$5:$S$1835,0)),"")</f>
        <v/>
      </c>
      <c r="K142" s="825" t="str">
        <f>IFERROR(INDEX(決算整理!$A$5:$A$1835,MATCH("立替金|S|4",決算整理!$S$5:$S$1835,0)),"")</f>
        <v/>
      </c>
      <c r="L142" s="826" t="str">
        <f>IFERROR(INDEX(決算整理!$E$5:$E$1835,MATCH("立替金|S|4",決算整理!$S$5:$S$1835,0)),"")</f>
        <v/>
      </c>
      <c r="M142" s="827" t="str">
        <f>IFERROR(INDEX(決算整理!$H$5:$H$1835,MATCH("立替金|S|4",決算整理!$S$5:$S$1835,0)),"")</f>
        <v/>
      </c>
      <c r="N142" s="828" t="str">
        <f>IF(M142="","",N141+M142)</f>
        <v/>
      </c>
      <c r="O142" s="829" t="str">
        <f>IFERROR(INDEX(決算整理!$P$5:$P$1835,MATCH("立替金|S|4",決算整理!$S$5:$S$1835,0)),"")</f>
        <v/>
      </c>
    </row>
    <row r="143">
      <c r="A143" s="825" t="str">
        <f>IFERROR(INDEX(決算整理!$A$5:$A$1835,MATCH("器具及び備品|S|5",決算整理!$S$5:$S$1835,0)),"")</f>
        <v/>
      </c>
      <c r="B143" s="826" t="str">
        <f>IFERROR(INDEX(決算整理!$E$5:$E$1835,MATCH("器具及び備品|S|5",決算整理!$S$5:$S$1835,0)),"")</f>
        <v/>
      </c>
      <c r="C143" s="827" t="str">
        <f>IFERROR(INDEX(決算整理!$H$5:$H$1835,MATCH("器具及び備品|S|5",決算整理!$S$5:$S$1835,0)),"")</f>
        <v/>
      </c>
      <c r="D143" s="828" t="str">
        <f>IF(C143="","",D142+C143)</f>
        <v/>
      </c>
      <c r="E143" s="829" t="str">
        <f>IFERROR(INDEX(決算整理!$P$5:$P$1835,MATCH("器具及び備品|S|5",決算整理!$S$5:$S$1835,0)),"")</f>
        <v/>
      </c>
      <c r="F143" s="825" t="str">
        <f>IFERROR(INDEX(決算整理!$A$5:$A$1835,MATCH("前期損益修正損|S|5",決算整理!$S$5:$S$1835,0)),"")</f>
        <v/>
      </c>
      <c r="G143" s="826" t="str">
        <f>IFERROR(INDEX(決算整理!$E$5:$E$1835,MATCH("前期損益修正損|S|5",決算整理!$S$5:$S$1835,0)),"")</f>
        <v/>
      </c>
      <c r="H143" s="827" t="str">
        <f>IFERROR(INDEX(決算整理!$H$5:$H$1835,MATCH("前期損益修正損|S|5",決算整理!$S$5:$S$1835,0)),"")</f>
        <v/>
      </c>
      <c r="I143" s="828" t="str">
        <f>IF(H143="","",I142+H143)</f>
        <v/>
      </c>
      <c r="J143" s="829" t="str">
        <f>IFERROR(INDEX(決算整理!$P$5:$P$1835,MATCH("前期損益修正損|S|5",決算整理!$S$5:$S$1835,0)),"")</f>
        <v/>
      </c>
      <c r="K143" s="825" t="str">
        <f>IFERROR(INDEX(決算整理!$A$5:$A$1835,MATCH("立替金|S|5",決算整理!$S$5:$S$1835,0)),"")</f>
        <v/>
      </c>
      <c r="L143" s="826" t="str">
        <f>IFERROR(INDEX(決算整理!$E$5:$E$1835,MATCH("立替金|S|5",決算整理!$S$5:$S$1835,0)),"")</f>
        <v/>
      </c>
      <c r="M143" s="827" t="str">
        <f>IFERROR(INDEX(決算整理!$H$5:$H$1835,MATCH("立替金|S|5",決算整理!$S$5:$S$1835,0)),"")</f>
        <v/>
      </c>
      <c r="N143" s="828" t="str">
        <f>IF(M143="","",N142+M143)</f>
        <v/>
      </c>
      <c r="O143" s="829" t="str">
        <f>IFERROR(INDEX(決算整理!$P$5:$P$1835,MATCH("立替金|S|5",決算整理!$S$5:$S$1835,0)),"")</f>
        <v/>
      </c>
    </row>
    <row r="144">
      <c r="A144" s="825" t="str">
        <f>IFERROR(INDEX(決算整理!$A$5:$A$1835,MATCH("器具及び備品|S|6",決算整理!$S$5:$S$1835,0)),"")</f>
        <v/>
      </c>
      <c r="B144" s="826" t="str">
        <f>IFERROR(INDEX(決算整理!$E$5:$E$1835,MATCH("器具及び備品|S|6",決算整理!$S$5:$S$1835,0)),"")</f>
        <v/>
      </c>
      <c r="C144" s="827" t="str">
        <f>IFERROR(INDEX(決算整理!$H$5:$H$1835,MATCH("器具及び備品|S|6",決算整理!$S$5:$S$1835,0)),"")</f>
        <v/>
      </c>
      <c r="D144" s="828" t="str">
        <f>IF(C144="","",D143+C144)</f>
        <v/>
      </c>
      <c r="E144" s="829" t="str">
        <f>IFERROR(INDEX(決算整理!$P$5:$P$1835,MATCH("器具及び備品|S|6",決算整理!$S$5:$S$1835,0)),"")</f>
        <v/>
      </c>
      <c r="F144" s="825" t="str">
        <f>IFERROR(INDEX(決算整理!$A$5:$A$1835,MATCH("前期損益修正損|S|6",決算整理!$S$5:$S$1835,0)),"")</f>
        <v/>
      </c>
      <c r="G144" s="826" t="str">
        <f>IFERROR(INDEX(決算整理!$E$5:$E$1835,MATCH("前期損益修正損|S|6",決算整理!$S$5:$S$1835,0)),"")</f>
        <v/>
      </c>
      <c r="H144" s="827" t="str">
        <f>IFERROR(INDEX(決算整理!$H$5:$H$1835,MATCH("前期損益修正損|S|6",決算整理!$S$5:$S$1835,0)),"")</f>
        <v/>
      </c>
      <c r="I144" s="828" t="str">
        <f>IF(H144="","",I143+H144)</f>
        <v/>
      </c>
      <c r="J144" s="829" t="str">
        <f>IFERROR(INDEX(決算整理!$P$5:$P$1835,MATCH("前期損益修正損|S|6",決算整理!$S$5:$S$1835,0)),"")</f>
        <v/>
      </c>
      <c r="K144" s="825" t="str">
        <f>IFERROR(INDEX(決算整理!$A$5:$A$1835,MATCH("立替金|S|6",決算整理!$S$5:$S$1835,0)),"")</f>
        <v/>
      </c>
      <c r="L144" s="826" t="str">
        <f>IFERROR(INDEX(決算整理!$E$5:$E$1835,MATCH("立替金|S|6",決算整理!$S$5:$S$1835,0)),"")</f>
        <v/>
      </c>
      <c r="M144" s="827" t="str">
        <f>IFERROR(INDEX(決算整理!$H$5:$H$1835,MATCH("立替金|S|6",決算整理!$S$5:$S$1835,0)),"")</f>
        <v/>
      </c>
      <c r="N144" s="828" t="str">
        <f>IF(M144="","",N143+M144)</f>
        <v/>
      </c>
      <c r="O144" s="829" t="str">
        <f>IFERROR(INDEX(決算整理!$P$5:$P$1835,MATCH("立替金|S|6",決算整理!$S$5:$S$1835,0)),"")</f>
        <v/>
      </c>
    </row>
    <row r="145">
      <c r="A145" s="825" t="str">
        <f>IFERROR(INDEX(決算整理!$A$5:$A$1835,MATCH("器具及び備品|S|7",決算整理!$S$5:$S$1835,0)),"")</f>
        <v/>
      </c>
      <c r="B145" s="826" t="str">
        <f>IFERROR(INDEX(決算整理!$E$5:$E$1835,MATCH("器具及び備品|S|7",決算整理!$S$5:$S$1835,0)),"")</f>
        <v/>
      </c>
      <c r="C145" s="827" t="str">
        <f>IFERROR(INDEX(決算整理!$H$5:$H$1835,MATCH("器具及び備品|S|7",決算整理!$S$5:$S$1835,0)),"")</f>
        <v/>
      </c>
      <c r="D145" s="828" t="str">
        <f>IF(C145="","",D144+C145)</f>
        <v/>
      </c>
      <c r="E145" s="829" t="str">
        <f>IFERROR(INDEX(決算整理!$P$5:$P$1835,MATCH("器具及び備品|S|7",決算整理!$S$5:$S$1835,0)),"")</f>
        <v/>
      </c>
      <c r="F145" s="825" t="str">
        <f>IFERROR(INDEX(決算整理!$A$5:$A$1835,MATCH("前期損益修正損|S|7",決算整理!$S$5:$S$1835,0)),"")</f>
        <v/>
      </c>
      <c r="G145" s="826" t="str">
        <f>IFERROR(INDEX(決算整理!$E$5:$E$1835,MATCH("前期損益修正損|S|7",決算整理!$S$5:$S$1835,0)),"")</f>
        <v/>
      </c>
      <c r="H145" s="827" t="str">
        <f>IFERROR(INDEX(決算整理!$H$5:$H$1835,MATCH("前期損益修正損|S|7",決算整理!$S$5:$S$1835,0)),"")</f>
        <v/>
      </c>
      <c r="I145" s="828" t="str">
        <f>IF(H145="","",I144+H145)</f>
        <v/>
      </c>
      <c r="J145" s="829" t="str">
        <f>IFERROR(INDEX(決算整理!$P$5:$P$1835,MATCH("前期損益修正損|S|7",決算整理!$S$5:$S$1835,0)),"")</f>
        <v/>
      </c>
      <c r="K145" s="825" t="str">
        <f>IFERROR(INDEX(決算整理!$A$5:$A$1835,MATCH("立替金|S|7",決算整理!$S$5:$S$1835,0)),"")</f>
        <v/>
      </c>
      <c r="L145" s="826" t="str">
        <f>IFERROR(INDEX(決算整理!$E$5:$E$1835,MATCH("立替金|S|7",決算整理!$S$5:$S$1835,0)),"")</f>
        <v/>
      </c>
      <c r="M145" s="827" t="str">
        <f>IFERROR(INDEX(決算整理!$H$5:$H$1835,MATCH("立替金|S|7",決算整理!$S$5:$S$1835,0)),"")</f>
        <v/>
      </c>
      <c r="N145" s="828" t="str">
        <f>IF(M145="","",N144+M145)</f>
        <v/>
      </c>
      <c r="O145" s="829" t="str">
        <f>IFERROR(INDEX(決算整理!$P$5:$P$1835,MATCH("立替金|S|7",決算整理!$S$5:$S$1835,0)),"")</f>
        <v/>
      </c>
    </row>
    <row r="146">
      <c r="A146" s="825" t="str">
        <f>IFERROR(INDEX(決算整理!$A$5:$A$1835,MATCH("器具及び備品|S|8",決算整理!$S$5:$S$1835,0)),"")</f>
        <v/>
      </c>
      <c r="B146" s="826" t="str">
        <f>IFERROR(INDEX(決算整理!$E$5:$E$1835,MATCH("器具及び備品|S|8",決算整理!$S$5:$S$1835,0)),"")</f>
        <v/>
      </c>
      <c r="C146" s="827" t="str">
        <f>IFERROR(INDEX(決算整理!$H$5:$H$1835,MATCH("器具及び備品|S|8",決算整理!$S$5:$S$1835,0)),"")</f>
        <v/>
      </c>
      <c r="D146" s="828" t="str">
        <f>IF(C146="","",D145+C146)</f>
        <v/>
      </c>
      <c r="E146" s="829" t="str">
        <f>IFERROR(INDEX(決算整理!$P$5:$P$1835,MATCH("器具及び備品|S|8",決算整理!$S$5:$S$1835,0)),"")</f>
        <v/>
      </c>
      <c r="F146" s="825" t="str">
        <f>IFERROR(INDEX(決算整理!$A$5:$A$1835,MATCH("前期損益修正損|S|8",決算整理!$S$5:$S$1835,0)),"")</f>
        <v/>
      </c>
      <c r="G146" s="826" t="str">
        <f>IFERROR(INDEX(決算整理!$E$5:$E$1835,MATCH("前期損益修正損|S|8",決算整理!$S$5:$S$1835,0)),"")</f>
        <v/>
      </c>
      <c r="H146" s="827" t="str">
        <f>IFERROR(INDEX(決算整理!$H$5:$H$1835,MATCH("前期損益修正損|S|8",決算整理!$S$5:$S$1835,0)),"")</f>
        <v/>
      </c>
      <c r="I146" s="828" t="str">
        <f>IF(H146="","",I145+H146)</f>
        <v/>
      </c>
      <c r="J146" s="829" t="str">
        <f>IFERROR(INDEX(決算整理!$P$5:$P$1835,MATCH("前期損益修正損|S|8",決算整理!$S$5:$S$1835,0)),"")</f>
        <v/>
      </c>
      <c r="K146" s="825" t="str">
        <f>IFERROR(INDEX(決算整理!$A$5:$A$1835,MATCH("立替金|S|8",決算整理!$S$5:$S$1835,0)),"")</f>
        <v/>
      </c>
      <c r="L146" s="826" t="str">
        <f>IFERROR(INDEX(決算整理!$E$5:$E$1835,MATCH("立替金|S|8",決算整理!$S$5:$S$1835,0)),"")</f>
        <v/>
      </c>
      <c r="M146" s="827" t="str">
        <f>IFERROR(INDEX(決算整理!$H$5:$H$1835,MATCH("立替金|S|8",決算整理!$S$5:$S$1835,0)),"")</f>
        <v/>
      </c>
      <c r="N146" s="828" t="str">
        <f>IF(M146="","",N145+M146)</f>
        <v/>
      </c>
      <c r="O146" s="829" t="str">
        <f>IFERROR(INDEX(決算整理!$P$5:$P$1835,MATCH("立替金|S|8",決算整理!$S$5:$S$1835,0)),"")</f>
        <v/>
      </c>
    </row>
    <row r="147">
      <c r="A147" s="825" t="str">
        <f>IFERROR(INDEX(決算整理!$A$5:$A$1835,MATCH("器具及び備品|S|9",決算整理!$S$5:$S$1835,0)),"")</f>
        <v/>
      </c>
      <c r="B147" s="826" t="str">
        <f>IFERROR(INDEX(決算整理!$E$5:$E$1835,MATCH("器具及び備品|S|9",決算整理!$S$5:$S$1835,0)),"")</f>
        <v/>
      </c>
      <c r="C147" s="827" t="str">
        <f>IFERROR(INDEX(決算整理!$H$5:$H$1835,MATCH("器具及び備品|S|9",決算整理!$S$5:$S$1835,0)),"")</f>
        <v/>
      </c>
      <c r="D147" s="828" t="str">
        <f>IF(C147="","",D146+C147)</f>
        <v/>
      </c>
      <c r="E147" s="829" t="str">
        <f>IFERROR(INDEX(決算整理!$P$5:$P$1835,MATCH("器具及び備品|S|9",決算整理!$S$5:$S$1835,0)),"")</f>
        <v/>
      </c>
      <c r="F147" s="825" t="str">
        <f>IFERROR(INDEX(決算整理!$A$5:$A$1835,MATCH("前期損益修正損|S|9",決算整理!$S$5:$S$1835,0)),"")</f>
        <v/>
      </c>
      <c r="G147" s="826" t="str">
        <f>IFERROR(INDEX(決算整理!$E$5:$E$1835,MATCH("前期損益修正損|S|9",決算整理!$S$5:$S$1835,0)),"")</f>
        <v/>
      </c>
      <c r="H147" s="827" t="str">
        <f>IFERROR(INDEX(決算整理!$H$5:$H$1835,MATCH("前期損益修正損|S|9",決算整理!$S$5:$S$1835,0)),"")</f>
        <v/>
      </c>
      <c r="I147" s="828" t="str">
        <f>IF(H147="","",I146+H147)</f>
        <v/>
      </c>
      <c r="J147" s="829" t="str">
        <f>IFERROR(INDEX(決算整理!$P$5:$P$1835,MATCH("前期損益修正損|S|9",決算整理!$S$5:$S$1835,0)),"")</f>
        <v/>
      </c>
      <c r="K147" s="825" t="str">
        <f>IFERROR(INDEX(決算整理!$A$5:$A$1835,MATCH("立替金|S|9",決算整理!$S$5:$S$1835,0)),"")</f>
        <v/>
      </c>
      <c r="L147" s="826" t="str">
        <f>IFERROR(INDEX(決算整理!$E$5:$E$1835,MATCH("立替金|S|9",決算整理!$S$5:$S$1835,0)),"")</f>
        <v/>
      </c>
      <c r="M147" s="827" t="str">
        <f>IFERROR(INDEX(決算整理!$H$5:$H$1835,MATCH("立替金|S|9",決算整理!$S$5:$S$1835,0)),"")</f>
        <v/>
      </c>
      <c r="N147" s="828" t="str">
        <f>IF(M147="","",N146+M147)</f>
        <v/>
      </c>
      <c r="O147" s="829" t="str">
        <f>IFERROR(INDEX(決算整理!$P$5:$P$1835,MATCH("立替金|S|9",決算整理!$S$5:$S$1835,0)),"")</f>
        <v/>
      </c>
    </row>
    <row r="148">
      <c r="A148" s="825" t="str">
        <f>IFERROR(INDEX(決算整理!$A$5:$A$1835,MATCH("器具及び備品|S|10",決算整理!$S$5:$S$1835,0)),"")</f>
        <v/>
      </c>
      <c r="B148" s="826" t="str">
        <f>IFERROR(INDEX(決算整理!$E$5:$E$1835,MATCH("器具及び備品|S|10",決算整理!$S$5:$S$1835,0)),"")</f>
        <v/>
      </c>
      <c r="C148" s="827" t="str">
        <f>IFERROR(INDEX(決算整理!$H$5:$H$1835,MATCH("器具及び備品|S|10",決算整理!$S$5:$S$1835,0)),"")</f>
        <v/>
      </c>
      <c r="D148" s="828" t="str">
        <f>IF(C148="","",D147+C148)</f>
        <v/>
      </c>
      <c r="E148" s="829" t="str">
        <f>IFERROR(INDEX(決算整理!$P$5:$P$1835,MATCH("器具及び備品|S|10",決算整理!$S$5:$S$1835,0)),"")</f>
        <v/>
      </c>
      <c r="F148" s="825" t="str">
        <f>IFERROR(INDEX(決算整理!$A$5:$A$1835,MATCH("前期損益修正損|S|10",決算整理!$S$5:$S$1835,0)),"")</f>
        <v/>
      </c>
      <c r="G148" s="826" t="str">
        <f>IFERROR(INDEX(決算整理!$E$5:$E$1835,MATCH("前期損益修正損|S|10",決算整理!$S$5:$S$1835,0)),"")</f>
        <v/>
      </c>
      <c r="H148" s="827" t="str">
        <f>IFERROR(INDEX(決算整理!$H$5:$H$1835,MATCH("前期損益修正損|S|10",決算整理!$S$5:$S$1835,0)),"")</f>
        <v/>
      </c>
      <c r="I148" s="828" t="str">
        <f>IF(H148="","",I147+H148)</f>
        <v/>
      </c>
      <c r="J148" s="829" t="str">
        <f>IFERROR(INDEX(決算整理!$P$5:$P$1835,MATCH("前期損益修正損|S|10",決算整理!$S$5:$S$1835,0)),"")</f>
        <v/>
      </c>
      <c r="K148" s="825" t="str">
        <f>IFERROR(INDEX(決算整理!$A$5:$A$1835,MATCH("立替金|S|10",決算整理!$S$5:$S$1835,0)),"")</f>
        <v/>
      </c>
      <c r="L148" s="826" t="str">
        <f>IFERROR(INDEX(決算整理!$E$5:$E$1835,MATCH("立替金|S|10",決算整理!$S$5:$S$1835,0)),"")</f>
        <v/>
      </c>
      <c r="M148" s="827" t="str">
        <f>IFERROR(INDEX(決算整理!$H$5:$H$1835,MATCH("立替金|S|10",決算整理!$S$5:$S$1835,0)),"")</f>
        <v/>
      </c>
      <c r="N148" s="828" t="str">
        <f>IF(M148="","",N147+M148)</f>
        <v/>
      </c>
      <c r="O148" s="829" t="str">
        <f>IFERROR(INDEX(決算整理!$P$5:$P$1835,MATCH("立替金|S|10",決算整理!$S$5:$S$1835,0)),"")</f>
        <v/>
      </c>
    </row>
    <row r="149">
      <c r="A149" s="825" t="str">
        <f>IFERROR(INDEX(決算整理!$A$5:$A$1835,MATCH("器具及び備品|S|11",決算整理!$S$5:$S$1835,0)),"")</f>
        <v/>
      </c>
      <c r="B149" s="826" t="str">
        <f>IFERROR(INDEX(決算整理!$E$5:$E$1835,MATCH("器具及び備品|S|11",決算整理!$S$5:$S$1835,0)),"")</f>
        <v/>
      </c>
      <c r="C149" s="827" t="str">
        <f>IFERROR(INDEX(決算整理!$H$5:$H$1835,MATCH("器具及び備品|S|11",決算整理!$S$5:$S$1835,0)),"")</f>
        <v/>
      </c>
      <c r="D149" s="828" t="str">
        <f>IF(C149="","",D148+C149)</f>
        <v/>
      </c>
      <c r="E149" s="829" t="str">
        <f>IFERROR(INDEX(決算整理!$P$5:$P$1835,MATCH("器具及び備品|S|11",決算整理!$S$5:$S$1835,0)),"")</f>
        <v/>
      </c>
      <c r="F149" s="825" t="str">
        <f>IFERROR(INDEX(決算整理!$A$5:$A$1835,MATCH("前期損益修正損|S|11",決算整理!$S$5:$S$1835,0)),"")</f>
        <v/>
      </c>
      <c r="G149" s="826" t="str">
        <f>IFERROR(INDEX(決算整理!$E$5:$E$1835,MATCH("前期損益修正損|S|11",決算整理!$S$5:$S$1835,0)),"")</f>
        <v/>
      </c>
      <c r="H149" s="827" t="str">
        <f>IFERROR(INDEX(決算整理!$H$5:$H$1835,MATCH("前期損益修正損|S|11",決算整理!$S$5:$S$1835,0)),"")</f>
        <v/>
      </c>
      <c r="I149" s="828" t="str">
        <f>IF(H149="","",I148+H149)</f>
        <v/>
      </c>
      <c r="J149" s="829" t="str">
        <f>IFERROR(INDEX(決算整理!$P$5:$P$1835,MATCH("前期損益修正損|S|11",決算整理!$S$5:$S$1835,0)),"")</f>
        <v/>
      </c>
      <c r="K149" s="825" t="str">
        <f>IFERROR(INDEX(決算整理!$A$5:$A$1835,MATCH("立替金|S|11",決算整理!$S$5:$S$1835,0)),"")</f>
        <v/>
      </c>
      <c r="L149" s="826" t="str">
        <f>IFERROR(INDEX(決算整理!$E$5:$E$1835,MATCH("立替金|S|11",決算整理!$S$5:$S$1835,0)),"")</f>
        <v/>
      </c>
      <c r="M149" s="827" t="str">
        <f>IFERROR(INDEX(決算整理!$H$5:$H$1835,MATCH("立替金|S|11",決算整理!$S$5:$S$1835,0)),"")</f>
        <v/>
      </c>
      <c r="N149" s="828" t="str">
        <f>IF(M149="","",N148+M149)</f>
        <v/>
      </c>
      <c r="O149" s="829" t="str">
        <f>IFERROR(INDEX(決算整理!$P$5:$P$1835,MATCH("立替金|S|11",決算整理!$S$5:$S$1835,0)),"")</f>
        <v/>
      </c>
    </row>
    <row r="150">
      <c r="A150" s="825" t="str">
        <f>IFERROR(INDEX(決算整理!$A$5:$A$1835,MATCH("器具及び備品|S|12",決算整理!$S$5:$S$1835,0)),"")</f>
        <v/>
      </c>
      <c r="B150" s="826" t="str">
        <f>IFERROR(INDEX(決算整理!$E$5:$E$1835,MATCH("器具及び備品|S|12",決算整理!$S$5:$S$1835,0)),"")</f>
        <v/>
      </c>
      <c r="C150" s="827" t="str">
        <f>IFERROR(INDEX(決算整理!$H$5:$H$1835,MATCH("器具及び備品|S|12",決算整理!$S$5:$S$1835,0)),"")</f>
        <v/>
      </c>
      <c r="D150" s="828" t="str">
        <f>IF(C150="","",D149+C150)</f>
        <v/>
      </c>
      <c r="E150" s="829" t="str">
        <f>IFERROR(INDEX(決算整理!$P$5:$P$1835,MATCH("器具及び備品|S|12",決算整理!$S$5:$S$1835,0)),"")</f>
        <v/>
      </c>
      <c r="F150" s="825" t="str">
        <f>IFERROR(INDEX(決算整理!$A$5:$A$1835,MATCH("前期損益修正損|S|12",決算整理!$S$5:$S$1835,0)),"")</f>
        <v/>
      </c>
      <c r="G150" s="826" t="str">
        <f>IFERROR(INDEX(決算整理!$E$5:$E$1835,MATCH("前期損益修正損|S|12",決算整理!$S$5:$S$1835,0)),"")</f>
        <v/>
      </c>
      <c r="H150" s="827" t="str">
        <f>IFERROR(INDEX(決算整理!$H$5:$H$1835,MATCH("前期損益修正損|S|12",決算整理!$S$5:$S$1835,0)),"")</f>
        <v/>
      </c>
      <c r="I150" s="828" t="str">
        <f>IF(H150="","",I149+H150)</f>
        <v/>
      </c>
      <c r="J150" s="829" t="str">
        <f>IFERROR(INDEX(決算整理!$P$5:$P$1835,MATCH("前期損益修正損|S|12",決算整理!$S$5:$S$1835,0)),"")</f>
        <v/>
      </c>
      <c r="K150" s="825" t="str">
        <f>IFERROR(INDEX(決算整理!$A$5:$A$1835,MATCH("立替金|S|12",決算整理!$S$5:$S$1835,0)),"")</f>
        <v/>
      </c>
      <c r="L150" s="826" t="str">
        <f>IFERROR(INDEX(決算整理!$E$5:$E$1835,MATCH("立替金|S|12",決算整理!$S$5:$S$1835,0)),"")</f>
        <v/>
      </c>
      <c r="M150" s="827" t="str">
        <f>IFERROR(INDEX(決算整理!$H$5:$H$1835,MATCH("立替金|S|12",決算整理!$S$5:$S$1835,0)),"")</f>
        <v/>
      </c>
      <c r="N150" s="828" t="str">
        <f>IF(M150="","",N149+M150)</f>
        <v/>
      </c>
      <c r="O150" s="829" t="str">
        <f>IFERROR(INDEX(決算整理!$P$5:$P$1835,MATCH("立替金|S|12",決算整理!$S$5:$S$1835,0)),"")</f>
        <v/>
      </c>
    </row>
  </sheetData>
  <conditionalFormatting sqref="P6:T17">
    <cfRule type="expression" priority="1" dxfId="6">
      <formula>$T6="昨年実績"</formula>
    </cfRule>
  </conditionalFormatting>
  <conditionalFormatting sqref="R6:R17">
    <cfRule type="expression" priority="2" dxfId="9">
      <formula>$T6="確認済"</formula>
    </cfRule>
    <cfRule type="expression" priority="3" dxfId="10">
      <formula>$T6="未確認"</formula>
    </cfRule>
  </conditionalFormatting>
  <conditionalFormatting sqref="A31:E42">
    <cfRule type="expression" priority="4" dxfId="6">
      <formula>$E31="昨年実績"</formula>
    </cfRule>
  </conditionalFormatting>
  <conditionalFormatting sqref="C31:C42">
    <cfRule type="expression" priority="5" dxfId="9">
      <formula>$E31="確認済"</formula>
    </cfRule>
    <cfRule type="expression" priority="6" dxfId="10">
      <formula>$E31="未確認"</formula>
    </cfRule>
  </conditionalFormatting>
  <conditionalFormatting sqref="F6:J23">
    <cfRule type="expression" priority="7" dxfId="6">
      <formula>$J6="昨年実績"</formula>
    </cfRule>
  </conditionalFormatting>
  <conditionalFormatting sqref="H6:H23">
    <cfRule type="expression" priority="8" dxfId="9">
      <formula>$J6="確認済"</formula>
    </cfRule>
    <cfRule type="expression" priority="9" dxfId="10">
      <formula>$J6="未確認"</formula>
    </cfRule>
  </conditionalFormatting>
  <conditionalFormatting sqref="F31:J42">
    <cfRule type="expression" priority="10" dxfId="6">
      <formula>$J31="昨年実績"</formula>
    </cfRule>
  </conditionalFormatting>
  <conditionalFormatting sqref="H31:H42">
    <cfRule type="expression" priority="11" dxfId="9">
      <formula>$J31="確認済"</formula>
    </cfRule>
    <cfRule type="expression" priority="12" dxfId="10">
      <formula>$J31="未確認"</formula>
    </cfRule>
  </conditionalFormatting>
  <conditionalFormatting sqref="K31:O42">
    <cfRule type="expression" priority="13" dxfId="6">
      <formula>$O31="昨年実績"</formula>
    </cfRule>
  </conditionalFormatting>
  <conditionalFormatting sqref="M31:M42">
    <cfRule type="expression" priority="14" dxfId="9">
      <formula>$O31="確認済"</formula>
    </cfRule>
    <cfRule type="expression" priority="15" dxfId="10">
      <formula>$O31="未確認"</formula>
    </cfRule>
  </conditionalFormatting>
  <conditionalFormatting sqref="P31:T42">
    <cfRule type="expression" priority="16" dxfId="6">
      <formula>$T31="昨年実績"</formula>
    </cfRule>
  </conditionalFormatting>
  <conditionalFormatting sqref="R31:R42">
    <cfRule type="expression" priority="17" dxfId="9">
      <formula>$T31="確認済"</formula>
    </cfRule>
    <cfRule type="expression" priority="18" dxfId="10">
      <formula>$T31="未確認"</formula>
    </cfRule>
  </conditionalFormatting>
  <conditionalFormatting sqref="A49:E60">
    <cfRule type="expression" priority="19" dxfId="6">
      <formula>$E49="昨年実績"</formula>
    </cfRule>
  </conditionalFormatting>
  <conditionalFormatting sqref="C49:C60">
    <cfRule type="expression" priority="20" dxfId="9">
      <formula>$E49="確認済"</formula>
    </cfRule>
    <cfRule type="expression" priority="21" dxfId="10">
      <formula>$E49="未確認"</formula>
    </cfRule>
  </conditionalFormatting>
  <conditionalFormatting sqref="A6:E24">
    <cfRule type="expression" priority="22" dxfId="6">
      <formula>$E6="昨年実績"</formula>
    </cfRule>
  </conditionalFormatting>
  <conditionalFormatting sqref="C6:C24">
    <cfRule type="expression" priority="23" dxfId="9">
      <formula>$E6="確認済"</formula>
    </cfRule>
    <cfRule type="expression" priority="24" dxfId="10">
      <formula>$E6="未確認"</formula>
    </cfRule>
  </conditionalFormatting>
  <conditionalFormatting sqref="K6:O20">
    <cfRule type="expression" priority="25" dxfId="6">
      <formula>$O6="昨年実績"</formula>
    </cfRule>
  </conditionalFormatting>
  <conditionalFormatting sqref="M6:M20">
    <cfRule type="expression" priority="26" dxfId="9">
      <formula>$O6="確認済"</formula>
    </cfRule>
    <cfRule type="expression" priority="27" dxfId="10">
      <formula>$O6="未確認"</formula>
    </cfRule>
  </conditionalFormatting>
  <conditionalFormatting sqref="F49:J60">
    <cfRule type="expression" priority="28" dxfId="6">
      <formula>$J49="昨年実績"</formula>
    </cfRule>
  </conditionalFormatting>
  <conditionalFormatting sqref="H49:H60">
    <cfRule type="expression" priority="29" dxfId="9">
      <formula>$J49="確認済"</formula>
    </cfRule>
    <cfRule type="expression" priority="30" dxfId="10">
      <formula>$J49="未確認"</formula>
    </cfRule>
  </conditionalFormatting>
  <conditionalFormatting sqref="K49:O60">
    <cfRule type="expression" priority="31" dxfId="6">
      <formula>$O49="昨年実績"</formula>
    </cfRule>
  </conditionalFormatting>
  <conditionalFormatting sqref="M49:M60">
    <cfRule type="expression" priority="32" dxfId="9">
      <formula>$O49="確認済"</formula>
    </cfRule>
    <cfRule type="expression" priority="33" dxfId="10">
      <formula>$O49="未確認"</formula>
    </cfRule>
  </conditionalFormatting>
  <conditionalFormatting sqref="P49:T60">
    <cfRule type="expression" priority="34" dxfId="6">
      <formula>$T49="昨年実績"</formula>
    </cfRule>
  </conditionalFormatting>
  <conditionalFormatting sqref="R49:R60">
    <cfRule type="expression" priority="35" dxfId="9">
      <formula>$T49="確認済"</formula>
    </cfRule>
    <cfRule type="expression" priority="36" dxfId="10">
      <formula>$T49="未確認"</formula>
    </cfRule>
  </conditionalFormatting>
  <conditionalFormatting sqref="A67:E78">
    <cfRule type="expression" priority="37" dxfId="6">
      <formula>$E67="昨年実績"</formula>
    </cfRule>
  </conditionalFormatting>
  <conditionalFormatting sqref="C67:C78">
    <cfRule type="expression" priority="38" dxfId="9">
      <formula>$E67="確認済"</formula>
    </cfRule>
    <cfRule type="expression" priority="39" dxfId="10">
      <formula>$E67="未確認"</formula>
    </cfRule>
  </conditionalFormatting>
  <conditionalFormatting sqref="F67:J78">
    <cfRule type="expression" priority="40" dxfId="6">
      <formula>$J67="昨年実績"</formula>
    </cfRule>
  </conditionalFormatting>
  <conditionalFormatting sqref="H67:H78">
    <cfRule type="expression" priority="41" dxfId="9">
      <formula>$J67="確認済"</formula>
    </cfRule>
    <cfRule type="expression" priority="42" dxfId="10">
      <formula>$J67="未確認"</formula>
    </cfRule>
  </conditionalFormatting>
  <conditionalFormatting sqref="K67:O78">
    <cfRule type="expression" priority="43" dxfId="6">
      <formula>$O67="昨年実績"</formula>
    </cfRule>
  </conditionalFormatting>
  <conditionalFormatting sqref="M67:M78">
    <cfRule type="expression" priority="44" dxfId="9">
      <formula>$O67="確認済"</formula>
    </cfRule>
    <cfRule type="expression" priority="45" dxfId="10">
      <formula>$O67="未確認"</formula>
    </cfRule>
  </conditionalFormatting>
  <conditionalFormatting sqref="P67:T78">
    <cfRule type="expression" priority="46" dxfId="6">
      <formula>$T67="昨年実績"</formula>
    </cfRule>
  </conditionalFormatting>
  <conditionalFormatting sqref="R67:R78">
    <cfRule type="expression" priority="47" dxfId="9">
      <formula>$T67="確認済"</formula>
    </cfRule>
    <cfRule type="expression" priority="48" dxfId="10">
      <formula>$T67="未確認"</formula>
    </cfRule>
  </conditionalFormatting>
  <conditionalFormatting sqref="A85:E96">
    <cfRule type="expression" priority="49" dxfId="6">
      <formula>$E85="昨年実績"</formula>
    </cfRule>
  </conditionalFormatting>
  <conditionalFormatting sqref="C85:C96">
    <cfRule type="expression" priority="50" dxfId="9">
      <formula>$E85="確認済"</formula>
    </cfRule>
    <cfRule type="expression" priority="51" dxfId="10">
      <formula>$E85="未確認"</formula>
    </cfRule>
  </conditionalFormatting>
  <conditionalFormatting sqref="F85:J96">
    <cfRule type="expression" priority="52" dxfId="6">
      <formula>$J85="昨年実績"</formula>
    </cfRule>
  </conditionalFormatting>
  <conditionalFormatting sqref="H85:H96">
    <cfRule type="expression" priority="53" dxfId="9">
      <formula>$J85="確認済"</formula>
    </cfRule>
    <cfRule type="expression" priority="54" dxfId="10">
      <formula>$J85="未確認"</formula>
    </cfRule>
  </conditionalFormatting>
  <conditionalFormatting sqref="K85:O96">
    <cfRule type="expression" priority="55" dxfId="6">
      <formula>$O85="昨年実績"</formula>
    </cfRule>
  </conditionalFormatting>
  <conditionalFormatting sqref="M85:M96">
    <cfRule type="expression" priority="56" dxfId="9">
      <formula>$O85="確認済"</formula>
    </cfRule>
    <cfRule type="expression" priority="57" dxfId="10">
      <formula>$O85="未確認"</formula>
    </cfRule>
  </conditionalFormatting>
  <conditionalFormatting sqref="P85:T96">
    <cfRule type="expression" priority="58" dxfId="6">
      <formula>$T85="昨年実績"</formula>
    </cfRule>
  </conditionalFormatting>
  <conditionalFormatting sqref="R85:R96">
    <cfRule type="expression" priority="59" dxfId="9">
      <formula>$T85="確認済"</formula>
    </cfRule>
    <cfRule type="expression" priority="60" dxfId="10">
      <formula>$T85="未確認"</formula>
    </cfRule>
  </conditionalFormatting>
  <conditionalFormatting sqref="A103:E114">
    <cfRule type="expression" priority="61" dxfId="6">
      <formula>$E103="昨年実績"</formula>
    </cfRule>
  </conditionalFormatting>
  <conditionalFormatting sqref="C103:C114">
    <cfRule type="expression" priority="62" dxfId="9">
      <formula>$E103="確認済"</formula>
    </cfRule>
    <cfRule type="expression" priority="63" dxfId="10">
      <formula>$E103="未確認"</formula>
    </cfRule>
  </conditionalFormatting>
  <conditionalFormatting sqref="F103:J114">
    <cfRule type="expression" priority="64" dxfId="6">
      <formula>$J103="昨年実績"</formula>
    </cfRule>
  </conditionalFormatting>
  <conditionalFormatting sqref="H103:H114">
    <cfRule type="expression" priority="65" dxfId="9">
      <formula>$J103="確認済"</formula>
    </cfRule>
    <cfRule type="expression" priority="66" dxfId="10">
      <formula>$J103="未確認"</formula>
    </cfRule>
  </conditionalFormatting>
  <conditionalFormatting sqref="K103:O114">
    <cfRule type="expression" priority="67" dxfId="6">
      <formula>$O103="昨年実績"</formula>
    </cfRule>
  </conditionalFormatting>
  <conditionalFormatting sqref="M103:M114">
    <cfRule type="expression" priority="68" dxfId="9">
      <formula>$O103="確認済"</formula>
    </cfRule>
    <cfRule type="expression" priority="69" dxfId="10">
      <formula>$O103="未確認"</formula>
    </cfRule>
  </conditionalFormatting>
  <conditionalFormatting sqref="P103:T114">
    <cfRule type="expression" priority="70" dxfId="6">
      <formula>$T103="昨年実績"</formula>
    </cfRule>
  </conditionalFormatting>
  <conditionalFormatting sqref="R103:R114">
    <cfRule type="expression" priority="71" dxfId="9">
      <formula>$T103="確認済"</formula>
    </cfRule>
    <cfRule type="expression" priority="72" dxfId="10">
      <formula>$T103="未確認"</formula>
    </cfRule>
  </conditionalFormatting>
  <conditionalFormatting sqref="A121:E132">
    <cfRule type="expression" priority="73" dxfId="6">
      <formula>$E121="昨年実績"</formula>
    </cfRule>
  </conditionalFormatting>
  <conditionalFormatting sqref="C121:C132">
    <cfRule type="expression" priority="74" dxfId="9">
      <formula>$E121="確認済"</formula>
    </cfRule>
    <cfRule type="expression" priority="75" dxfId="10">
      <formula>$E121="未確認"</formula>
    </cfRule>
  </conditionalFormatting>
  <conditionalFormatting sqref="F121:J132">
    <cfRule type="expression" priority="76" dxfId="6">
      <formula>$J121="昨年実績"</formula>
    </cfRule>
  </conditionalFormatting>
  <conditionalFormatting sqref="H121:H132">
    <cfRule type="expression" priority="77" dxfId="9">
      <formula>$J121="確認済"</formula>
    </cfRule>
    <cfRule type="expression" priority="78" dxfId="10">
      <formula>$J121="未確認"</formula>
    </cfRule>
  </conditionalFormatting>
  <conditionalFormatting sqref="K121:O132">
    <cfRule type="expression" priority="79" dxfId="6">
      <formula>$O121="昨年実績"</formula>
    </cfRule>
  </conditionalFormatting>
  <conditionalFormatting sqref="M121:M132">
    <cfRule type="expression" priority="80" dxfId="9">
      <formula>$O121="確認済"</formula>
    </cfRule>
    <cfRule type="expression" priority="81" dxfId="10">
      <formula>$O121="未確認"</formula>
    </cfRule>
  </conditionalFormatting>
  <conditionalFormatting sqref="P121:T132">
    <cfRule type="expression" priority="82" dxfId="6">
      <formula>$T121="昨年実績"</formula>
    </cfRule>
  </conditionalFormatting>
  <conditionalFormatting sqref="R121:R132">
    <cfRule type="expression" priority="83" dxfId="9">
      <formula>$T121="確認済"</formula>
    </cfRule>
    <cfRule type="expression" priority="84" dxfId="10">
      <formula>$T121="未確認"</formula>
    </cfRule>
  </conditionalFormatting>
  <conditionalFormatting sqref="A139:E150">
    <cfRule type="expression" priority="85" dxfId="6">
      <formula>$E139="昨年実績"</formula>
    </cfRule>
  </conditionalFormatting>
  <conditionalFormatting sqref="C139:C150">
    <cfRule type="expression" priority="86" dxfId="9">
      <formula>$E139="確認済"</formula>
    </cfRule>
    <cfRule type="expression" priority="87" dxfId="10">
      <formula>$E139="未確認"</formula>
    </cfRule>
  </conditionalFormatting>
  <conditionalFormatting sqref="F139:J150">
    <cfRule type="expression" priority="88" dxfId="6">
      <formula>$J139="昨年実績"</formula>
    </cfRule>
  </conditionalFormatting>
  <conditionalFormatting sqref="H139:H150">
    <cfRule type="expression" priority="89" dxfId="9">
      <formula>$J139="確認済"</formula>
    </cfRule>
    <cfRule type="expression" priority="90" dxfId="10">
      <formula>$J139="未確認"</formula>
    </cfRule>
  </conditionalFormatting>
  <conditionalFormatting sqref="K139:O150">
    <cfRule type="expression" priority="91" dxfId="6">
      <formula>$O139="昨年実績"</formula>
    </cfRule>
  </conditionalFormatting>
  <conditionalFormatting sqref="M139:M150">
    <cfRule type="expression" priority="92" dxfId="9">
      <formula>$O139="確認済"</formula>
    </cfRule>
    <cfRule type="expression" priority="93" dxfId="10">
      <formula>$O139="未確認"</formula>
    </cfRule>
  </conditionalFormatting>
  <printOptions horizontalCentered="1"/>
  <pageMargins left="0.4" right="0.4" top="0.5" bottom="0.5" header="0.3149606299212598" footer="0.3149606299212598"/>
  <pageSetup orientation="portrait" paperSize="8" scale="46" fitToHeight="0" fitToWidth="1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3:T146"/>
  <sheetViews>
    <sheetView tabSelected="0" zoomScale="70" workbookViewId="0">
      <selection activeCell="A1" sqref="A1"/>
    </sheetView>
  </sheetViews>
  <sheetFormatPr baseColWidth="8" defaultRowHeight="25.5" customHeight="1"/>
  <cols>
    <col width="9" customWidth="1" style="186" min="1" max="1"/>
    <col width="36" customWidth="1" style="186" min="2" max="2"/>
    <col width="11" customWidth="1" style="186" min="3" max="4"/>
    <col width="12" customWidth="1" style="186" min="4" max="4"/>
    <col width="9" customWidth="1" style="186" min="5" max="5"/>
    <col width="9" customWidth="1" style="186" min="6" max="6"/>
    <col width="36" customWidth="1" style="186" min="7" max="7"/>
    <col width="11" customWidth="1" style="186" min="8" max="8"/>
    <col width="12" bestFit="1" customWidth="1" style="186" min="9" max="9"/>
    <col width="9" customWidth="1" style="186" min="10" max="10"/>
    <col width="9" customWidth="1" style="186" min="11" max="11"/>
    <col width="36" customWidth="1" style="186" min="12" max="12"/>
    <col width="11" customWidth="1" style="186" min="13" max="14"/>
    <col width="12" customWidth="1" style="186" min="14" max="14"/>
    <col width="9" customWidth="1" style="186" min="15" max="15"/>
    <col width="9" customWidth="1" style="186" min="16" max="16"/>
    <col width="36" customWidth="1" style="186" min="17" max="17"/>
    <col width="11" customWidth="1" style="186" min="18" max="19"/>
    <col width="12" customWidth="1" style="186" min="19" max="19"/>
    <col width="9" customWidth="1" style="186" min="20" max="20"/>
    <col width="9" customWidth="1" style="186" min="21" max="21"/>
    <col width="25.375" customWidth="1" style="186" min="22" max="22"/>
    <col width="10.625" customWidth="1" style="186" min="23" max="24"/>
    <col width="4.625" customWidth="1" style="186" min="25" max="25"/>
    <col width="9" customWidth="1" style="186" min="26" max="26"/>
    <col width="14.625" customWidth="1" style="186" min="27" max="27"/>
    <col width="11.875" customWidth="1" style="186" min="28" max="28"/>
    <col width="9" customWidth="1" style="186" min="29" max="16384"/>
  </cols>
  <sheetData>
    <row r="1" ht="25.5" customHeight="1" s="186" thickBot="1"/>
    <row r="2" ht="25.5" customHeight="1" s="186" thickBot="1"/>
    <row r="3" ht="25.5" customHeight="1" s="186">
      <c r="B3" s="502" t="inlineStr">
        <is>
          <t>○賃借料</t>
        </is>
      </c>
      <c r="D3" s="93" t="inlineStr">
        <is>
          <t>業務（長）未払</t>
        </is>
      </c>
      <c r="E3" s="824" t="str">
        <f>IF(COUNTIF(決算整理!$T$5:$T$1835,"賃借料|L|*")&gt;15,"行不足","")</f>
        <v/>
      </c>
      <c r="G3" s="502" t="inlineStr">
        <is>
          <t>○委託費</t>
        </is>
      </c>
      <c r="I3" s="93" t="inlineStr">
        <is>
          <t>業務（長）未払</t>
        </is>
      </c>
      <c r="J3" s="824" t="str">
        <f>IF(COUNTIF(決算整理!$T$5:$T$1835,"委託費|L|*")&gt;14,"行不足","")</f>
        <v/>
      </c>
      <c r="L3" s="502" t="inlineStr">
        <is>
          <t>○事務費  事務用消耗品費</t>
        </is>
      </c>
      <c r="N3" s="93" t="inlineStr">
        <is>
          <t>業務（長）未払</t>
        </is>
      </c>
      <c r="O3" s="824" t="str">
        <f>IF(COUNTIF(決算整理!$T$5:$T$1835,"事務用消耗品費|L|*")&gt;12,"行不足","")</f>
        <v/>
      </c>
      <c r="Q3" s="502" t="inlineStr">
        <is>
          <t>○事務費  図書印刷費</t>
        </is>
      </c>
      <c r="S3" s="93" t="inlineStr">
        <is>
          <t>業務（長）未払</t>
        </is>
      </c>
      <c r="T3" s="824" t="str">
        <f>IF(COUNTIF(決算整理!$T$5:$T$1835,"図書印刷費|L|*")&gt;12,"行不足","")</f>
        <v/>
      </c>
    </row>
    <row r="4" ht="25.5" customHeight="1" s="186">
      <c r="A4" s="100" t="inlineStr">
        <is>
          <t>支出日</t>
        </is>
      </c>
      <c r="B4" s="100" t="inlineStr">
        <is>
          <t>摘要</t>
        </is>
      </c>
      <c r="C4" s="100" t="inlineStr">
        <is>
          <t>支出</t>
        </is>
      </c>
      <c r="D4" s="100" t="inlineStr">
        <is>
          <t>累計</t>
        </is>
      </c>
      <c r="E4" s="100" t="inlineStr">
        <is>
          <t>状態</t>
        </is>
      </c>
      <c r="F4" s="100" t="inlineStr">
        <is>
          <t>支出日</t>
        </is>
      </c>
      <c r="G4" s="100" t="inlineStr">
        <is>
          <t>摘要</t>
        </is>
      </c>
      <c r="H4" s="100" t="inlineStr">
        <is>
          <t>支出</t>
        </is>
      </c>
      <c r="I4" s="100" t="inlineStr">
        <is>
          <t>累計</t>
        </is>
      </c>
      <c r="J4" s="100" t="inlineStr">
        <is>
          <t>状態</t>
        </is>
      </c>
      <c r="K4" s="100" t="inlineStr">
        <is>
          <t>支出日</t>
        </is>
      </c>
      <c r="L4" s="100" t="inlineStr">
        <is>
          <t>摘要</t>
        </is>
      </c>
      <c r="M4" s="100" t="inlineStr">
        <is>
          <t>支出</t>
        </is>
      </c>
      <c r="N4" s="100" t="inlineStr">
        <is>
          <t>累計</t>
        </is>
      </c>
      <c r="O4" s="100" t="inlineStr">
        <is>
          <t>状態</t>
        </is>
      </c>
      <c r="P4" s="100" t="inlineStr">
        <is>
          <t>支出日</t>
        </is>
      </c>
      <c r="Q4" s="100" t="inlineStr">
        <is>
          <t>摘要</t>
        </is>
      </c>
      <c r="R4" s="100" t="inlineStr">
        <is>
          <t>支出</t>
        </is>
      </c>
      <c r="S4" s="100" t="inlineStr">
        <is>
          <t>累計</t>
        </is>
      </c>
      <c r="T4" s="100" t="inlineStr">
        <is>
          <t>状態</t>
        </is>
      </c>
    </row>
    <row r="5" ht="25.5" customHeight="1" s="186">
      <c r="A5" s="825" t="n"/>
      <c r="B5" s="826" t="inlineStr">
        <is>
          <t>（予算なし）</t>
        </is>
      </c>
      <c r="C5" s="830" t="n"/>
      <c r="D5" s="831" t="n">
        <v>0</v>
      </c>
      <c r="F5" s="825" t="n"/>
      <c r="G5" s="826" t="inlineStr">
        <is>
          <t>（予算なし）</t>
        </is>
      </c>
      <c r="H5" s="830" t="n"/>
      <c r="I5" s="831" t="n">
        <v>0</v>
      </c>
      <c r="K5" s="825" t="n"/>
      <c r="L5" s="826" t="inlineStr">
        <is>
          <t>（予算なし）</t>
        </is>
      </c>
      <c r="M5" s="830" t="n"/>
      <c r="N5" s="831" t="n">
        <v>0</v>
      </c>
      <c r="P5" s="825" t="n"/>
      <c r="Q5" s="826" t="inlineStr">
        <is>
          <t>（予算なし）</t>
        </is>
      </c>
      <c r="R5" s="830" t="n"/>
      <c r="S5" s="831" t="n">
        <v>0</v>
      </c>
    </row>
    <row r="6" ht="25.5" customHeight="1" s="186">
      <c r="A6" s="825">
        <f>IFERROR(INDEX(決算整理!$A$5:$A$1835,MATCH("賃借料|L|1",決算整理!$T$5:$T$1835,0)),"")</f>
        <v>45397</v>
      </c>
      <c r="B6" s="826" t="str">
        <f>IFERROR(INDEX(決算整理!$E$5:$E$1835,MATCH("賃借料|L|1",決算整理!$T$5:$T$1835,0)),"")</f>
        <v>サーバーラック賃借料　（長期）</v>
      </c>
      <c r="C6" s="830">
        <f>IFERROR(INDEX(決算整理!$R$5:$R$1835,MATCH("賃借料|L|1",決算整理!$T$5:$T$1835,0)),"")</f>
        <v>372</v>
      </c>
      <c r="D6" s="831">
        <f>IF(C6="","",D5+C6)</f>
        <v>372</v>
      </c>
      <c r="E6" s="829" t="str">
        <f>IFERROR(INDEX(決算整理!$P$5:$P$1835,MATCH("賃借料|L|1",決算整理!$T$5:$T$1835,0)),"")</f>
        <v>昨年実績</v>
      </c>
      <c r="F6" s="825">
        <f>IFERROR(INDEX(決算整理!$A$5:$A$1835,MATCH("委託費|L|1",決算整理!$T$5:$T$1835,0)),"")</f>
        <v>43936</v>
      </c>
      <c r="G6" s="826" t="str">
        <f>IFERROR(INDEX(決算整理!$E$5:$E$1835,MATCH("委託費|L|1",決算整理!$T$5:$T$1835,0)),"")</f>
        <v>個別システム保守料（平成３１年度）長期分</v>
      </c>
      <c r="H6" s="830">
        <f>IFERROR(INDEX(決算整理!$R$5:$R$1835,MATCH("委託費|L|1",決算整理!$T$5:$T$1835,0)),"")</f>
        <v>198020</v>
      </c>
      <c r="I6" s="831">
        <f>IF(H6="","",I5+H6)</f>
        <v>198020</v>
      </c>
      <c r="J6" s="829" t="str">
        <f>IFERROR(INDEX(決算整理!$P$5:$P$1835,MATCH("委託費|L|1",決算整理!$T$5:$T$1835,0)),"")</f>
        <v>昨年実績</v>
      </c>
      <c r="K6" s="825">
        <f>IFERROR(INDEX(決算整理!$A$5:$A$1835,MATCH("事務用消耗品費|L|1",決算整理!$T$5:$T$1835,0)),"")</f>
        <v>45775</v>
      </c>
      <c r="L6" s="826" t="str">
        <f>IFERROR(INDEX(決算整理!$E$5:$E$1835,MATCH("事務用消耗品費|L|1",決算整理!$T$5:$T$1835,0)),"")</f>
        <v>ゴム印　１式</v>
      </c>
      <c r="M6" s="830">
        <f>IFERROR(INDEX(決算整理!$R$5:$R$1835,MATCH("事務用消耗品費|L|1",決算整理!$T$5:$T$1835,0)),"")</f>
        <v>16035</v>
      </c>
      <c r="N6" s="831">
        <f>IF(M6="","",N5+M6)</f>
        <v>16035</v>
      </c>
      <c r="O6" s="829" t="str">
        <f>IFERROR(INDEX(決算整理!$P$5:$P$1835,MATCH("事務用消耗品費|L|1",決算整理!$T$5:$T$1835,0)),"")</f>
        <v>昨年実績</v>
      </c>
      <c r="P6" s="825">
        <f>IFERROR(INDEX(決算整理!$A$5:$A$1835,MATCH("図書印刷費|L|1",決算整理!$T$5:$T$1835,0)),"")</f>
        <v>44666</v>
      </c>
      <c r="Q6" s="826" t="str">
        <f>IFERROR(INDEX(決算整理!$E$5:$E$1835,MATCH("図書印刷費|L|1",決算整理!$T$5:$T$1835,0)),"")</f>
        <v>窓付角形封筒（のり付）１，０００枚ほか</v>
      </c>
      <c r="R6" s="830">
        <f>IFERROR(INDEX(決算整理!$R$5:$R$1835,MATCH("図書印刷費|L|1",決算整理!$T$5:$T$1835,0)),"")</f>
        <v>149600</v>
      </c>
      <c r="S6" s="831">
        <f>IF(R6="","",S5+R6)</f>
        <v>149600</v>
      </c>
      <c r="T6" s="829" t="str">
        <f>IFERROR(INDEX(決算整理!$P$5:$P$1835,MATCH("図書印刷費|L|1",決算整理!$T$5:$T$1835,0)),"")</f>
        <v>昨年実績</v>
      </c>
    </row>
    <row r="7" ht="25.5" customHeight="1" s="186">
      <c r="A7" s="825">
        <f>IFERROR(INDEX(決算整理!$A$5:$A$1835,MATCH("賃借料|L|2",決算整理!$T$5:$T$1835,0)),"")</f>
        <v>46140</v>
      </c>
      <c r="B7" s="826" t="str">
        <f>IFERROR(INDEX(決算整理!$E$5:$E$1835,MATCH("賃借料|L|2",決算整理!$T$5:$T$1835,0)),"")</f>
        <v>サーバラック（長期）</v>
      </c>
      <c r="C7" s="830">
        <f>IFERROR(INDEX(決算整理!$R$5:$R$1835,MATCH("賃借料|L|2",決算整理!$T$5:$T$1835,0)),"")</f>
        <v>16152</v>
      </c>
      <c r="D7" s="831">
        <f>IF(C7="","",D6+C7)</f>
        <v>16524</v>
      </c>
      <c r="E7" s="829" t="str">
        <f>IFERROR(INDEX(決算整理!$P$5:$P$1835,MATCH("賃借料|L|2",決算整理!$T$5:$T$1835,0)),"")</f>
        <v>昨年実績</v>
      </c>
      <c r="F7" s="825">
        <f>IFERROR(INDEX(決算整理!$A$5:$A$1835,MATCH("委託費|L|2",決算整理!$T$5:$T$1835,0)),"")</f>
        <v>44679</v>
      </c>
      <c r="G7" s="826" t="str">
        <f>IFERROR(INDEX(決算整理!$E$5:$E$1835,MATCH("委託費|L|2",決算整理!$T$5:$T$1835,0)),"")</f>
        <v>病院機構人給システム（ネットワーク等経費）長期</v>
      </c>
      <c r="H7" s="830">
        <f>IFERROR(INDEX(決算整理!$R$5:$R$1835,MATCH("委託費|L|2",決算整理!$T$5:$T$1835,0)),"")</f>
        <v>43626</v>
      </c>
      <c r="I7" s="831">
        <f>IF(H7="","",I6+H7)</f>
        <v>241646</v>
      </c>
      <c r="J7" s="829" t="str">
        <f>IFERROR(INDEX(決算整理!$P$5:$P$1835,MATCH("委託費|L|2",決算整理!$T$5:$T$1835,0)),"")</f>
        <v>昨年実績</v>
      </c>
      <c r="K7" s="825">
        <f>IFERROR(INDEX(決算整理!$A$5:$A$1835,MATCH("事務用消耗品費|L|2",決算整理!$T$5:$T$1835,0)),"")</f>
        <v>43951</v>
      </c>
      <c r="L7" s="826" t="str">
        <f>IFERROR(INDEX(決算整理!$E$5:$E$1835,MATCH("事務用消耗品費|L|2",決算整理!$T$5:$T$1835,0)),"")</f>
        <v>複写機用紙等購入代分担金（第4四半期）長期</v>
      </c>
      <c r="M7" s="830">
        <f>IFERROR(INDEX(決算整理!$R$5:$R$1835,MATCH("事務用消耗品費|L|2",決算整理!$T$5:$T$1835,0)),"")</f>
        <v>92843</v>
      </c>
      <c r="N7" s="831">
        <f>IF(M7="","",N6+M7)</f>
        <v>108878</v>
      </c>
      <c r="O7" s="829" t="str">
        <f>IFERROR(INDEX(決算整理!$P$5:$P$1835,MATCH("事務用消耗品費|L|2",決算整理!$T$5:$T$1835,0)),"")</f>
        <v>昨年実績</v>
      </c>
      <c r="P7" s="825" t="str">
        <f>IFERROR(INDEX(決算整理!$A$5:$A$1835,MATCH("図書印刷費|L|2",決算整理!$T$5:$T$1835,0)),"")</f>
        <v/>
      </c>
      <c r="Q7" s="826" t="str">
        <f>IFERROR(INDEX(決算整理!$E$5:$E$1835,MATCH("図書印刷費|L|2",決算整理!$T$5:$T$1835,0)),"")</f>
        <v/>
      </c>
      <c r="R7" s="830" t="str">
        <f>IFERROR(INDEX(決算整理!$R$5:$R$1835,MATCH("図書印刷費|L|2",決算整理!$T$5:$T$1835,0)),"")</f>
        <v/>
      </c>
      <c r="S7" s="831" t="str">
        <f>IF(R7="","",S6+R7)</f>
        <v/>
      </c>
      <c r="T7" s="829" t="str">
        <f>IFERROR(INDEX(決算整理!$P$5:$P$1835,MATCH("図書印刷費|L|2",決算整理!$T$5:$T$1835,0)),"")</f>
        <v/>
      </c>
    </row>
    <row r="8" ht="25.5" customHeight="1" s="186">
      <c r="A8" s="825">
        <f>IFERROR(INDEX(決算整理!$A$5:$A$1835,MATCH("賃借料|L|3",決算整理!$T$5:$T$1835,0)),"")</f>
        <v>44679</v>
      </c>
      <c r="B8" s="826" t="str">
        <f>IFERROR(INDEX(決算整理!$E$5:$E$1835,MATCH("賃借料|L|3",決算整理!$T$5:$T$1835,0)),"")</f>
        <v>病院機構人給システム（パソコン・プリンタ使用料）長期</v>
      </c>
      <c r="C8" s="830">
        <f>IFERROR(INDEX(決算整理!$R$5:$R$1835,MATCH("賃借料|L|3",決算整理!$T$5:$T$1835,0)),"")</f>
        <v>25902</v>
      </c>
      <c r="D8" s="831">
        <f>IF(C8="","",D7+C8)</f>
        <v>42426</v>
      </c>
      <c r="E8" s="829" t="str">
        <f>IFERROR(INDEX(決算整理!$P$5:$P$1835,MATCH("賃借料|L|3",決算整理!$T$5:$T$1835,0)),"")</f>
        <v>昨年実績</v>
      </c>
      <c r="F8" s="825">
        <f>IFERROR(INDEX(決算整理!$A$5:$A$1835,MATCH("委託費|L|3",決算整理!$T$5:$T$1835,0)),"")</f>
        <v>43951</v>
      </c>
      <c r="G8" s="826" t="str">
        <f>IFERROR(INDEX(決算整理!$E$5:$E$1835,MATCH("委託費|L|3",決算整理!$T$5:$T$1835,0)),"")</f>
        <v>清掃・警備・ごみ処理（１０～３月分）</v>
      </c>
      <c r="H8" s="830">
        <f>IFERROR(INDEX(決算整理!$R$5:$R$1835,MATCH("委託費|L|3",決算整理!$T$5:$T$1835,0)),"")</f>
        <v>23404</v>
      </c>
      <c r="I8" s="831">
        <f>IF(H8="","",I7+H8)</f>
        <v>265050</v>
      </c>
      <c r="J8" s="829" t="str">
        <f>IFERROR(INDEX(決算整理!$P$5:$P$1835,MATCH("委託費|L|3",決算整理!$T$5:$T$1835,0)),"")</f>
        <v>昨年実績</v>
      </c>
      <c r="K8" s="825" t="str">
        <f>IFERROR(INDEX(決算整理!$A$5:$A$1835,MATCH("事務用消耗品費|L|3",決算整理!$T$5:$T$1835,0)),"")</f>
        <v/>
      </c>
      <c r="L8" s="826" t="str">
        <f>IFERROR(INDEX(決算整理!$E$5:$E$1835,MATCH("事務用消耗品費|L|3",決算整理!$T$5:$T$1835,0)),"")</f>
        <v/>
      </c>
      <c r="M8" s="830" t="str">
        <f>IFERROR(INDEX(決算整理!$R$5:$R$1835,MATCH("事務用消耗品費|L|3",決算整理!$T$5:$T$1835,0)),"")</f>
        <v/>
      </c>
      <c r="N8" s="831" t="str">
        <f>IF(M8="","",N7+M8)</f>
        <v/>
      </c>
      <c r="O8" s="829" t="str">
        <f>IFERROR(INDEX(決算整理!$P$5:$P$1835,MATCH("事務用消耗品費|L|3",決算整理!$T$5:$T$1835,0)),"")</f>
        <v/>
      </c>
      <c r="P8" s="825" t="str">
        <f>IFERROR(INDEX(決算整理!$A$5:$A$1835,MATCH("図書印刷費|L|3",決算整理!$T$5:$T$1835,0)),"")</f>
        <v/>
      </c>
      <c r="Q8" s="826" t="str">
        <f>IFERROR(INDEX(決算整理!$E$5:$E$1835,MATCH("図書印刷費|L|3",決算整理!$T$5:$T$1835,0)),"")</f>
        <v/>
      </c>
      <c r="R8" s="830" t="str">
        <f>IFERROR(INDEX(決算整理!$R$5:$R$1835,MATCH("図書印刷費|L|3",決算整理!$T$5:$T$1835,0)),"")</f>
        <v/>
      </c>
      <c r="S8" s="831" t="str">
        <f>IF(R8="","",S7+R8)</f>
        <v/>
      </c>
      <c r="T8" s="829" t="str">
        <f>IFERROR(INDEX(決算整理!$P$5:$P$1835,MATCH("図書印刷費|L|3",決算整理!$T$5:$T$1835,0)),"")</f>
        <v/>
      </c>
    </row>
    <row r="9" ht="25.5" customHeight="1" s="186" thickBot="1">
      <c r="A9" s="825">
        <f>IFERROR(INDEX(決算整理!$A$5:$A$1835,MATCH("賃借料|L|4",決算整理!$T$5:$T$1835,0)),"")</f>
        <v>46127</v>
      </c>
      <c r="B9" s="826" t="str">
        <f>IFERROR(INDEX(決算整理!$E$5:$E$1835,MATCH("賃借料|L|4",決算整理!$T$5:$T$1835,0)),"")</f>
        <v>サーバ版標準システム構成機器（10～3月分)</v>
      </c>
      <c r="C9" s="830">
        <f>IFERROR(INDEX(決算整理!$R$5:$R$1835,MATCH("賃借料|L|4",決算整理!$T$5:$T$1835,0)),"")</f>
        <v>87450</v>
      </c>
      <c r="D9" s="831">
        <f>IF(C9="","",D8+C9)</f>
        <v>129876</v>
      </c>
      <c r="E9" s="829" t="str">
        <f>IFERROR(INDEX(決算整理!$P$5:$P$1835,MATCH("賃借料|L|4",決算整理!$T$5:$T$1835,0)),"")</f>
        <v>昨年実績</v>
      </c>
      <c r="F9" s="825">
        <f>IFERROR(INDEX(決算整理!$A$5:$A$1835,MATCH("委託費|L|4",決算整理!$T$5:$T$1835,0)),"")</f>
        <v>46127</v>
      </c>
      <c r="G9" s="826" t="str">
        <f>IFERROR(INDEX(決算整理!$E$5:$E$1835,MATCH("委託費|L|4",決算整理!$T$5:$T$1835,0)),"")</f>
        <v>ねんきん定期便（３月分）送付業務</v>
      </c>
      <c r="H9" s="830">
        <f>IFERROR(INDEX(決算整理!$R$5:$R$1835,MATCH("委託費|L|4",決算整理!$T$5:$T$1835,0)),"")</f>
        <v>80964</v>
      </c>
      <c r="I9" s="831">
        <f>IF(H9="","",I8+H9)</f>
        <v>346014</v>
      </c>
      <c r="J9" s="829" t="str">
        <f>IFERROR(INDEX(決算整理!$P$5:$P$1835,MATCH("委託費|L|4",決算整理!$T$5:$T$1835,0)),"")</f>
        <v>昨年実績</v>
      </c>
      <c r="K9" s="825" t="str">
        <f>IFERROR(INDEX(決算整理!$A$5:$A$1835,MATCH("事務用消耗品費|L|4",決算整理!$T$5:$T$1835,0)),"")</f>
        <v/>
      </c>
      <c r="L9" s="826" t="str">
        <f>IFERROR(INDEX(決算整理!$E$5:$E$1835,MATCH("事務用消耗品費|L|4",決算整理!$T$5:$T$1835,0)),"")</f>
        <v/>
      </c>
      <c r="M9" s="830" t="str">
        <f>IFERROR(INDEX(決算整理!$R$5:$R$1835,MATCH("事務用消耗品費|L|4",決算整理!$T$5:$T$1835,0)),"")</f>
        <v/>
      </c>
      <c r="N9" s="831" t="str">
        <f>IF(M9="","",N8+M9)</f>
        <v/>
      </c>
      <c r="O9" s="829" t="str">
        <f>IFERROR(INDEX(決算整理!$P$5:$P$1835,MATCH("事務用消耗品費|L|4",決算整理!$T$5:$T$1835,0)),"")</f>
        <v/>
      </c>
      <c r="P9" s="825" t="str">
        <f>IFERROR(INDEX(決算整理!$A$5:$A$1835,MATCH("図書印刷費|L|4",決算整理!$T$5:$T$1835,0)),"")</f>
        <v/>
      </c>
      <c r="Q9" s="826" t="str">
        <f>IFERROR(INDEX(決算整理!$E$5:$E$1835,MATCH("図書印刷費|L|4",決算整理!$T$5:$T$1835,0)),"")</f>
        <v/>
      </c>
      <c r="R9" s="830" t="str">
        <f>IFERROR(INDEX(決算整理!$R$5:$R$1835,MATCH("図書印刷費|L|4",決算整理!$T$5:$T$1835,0)),"")</f>
        <v/>
      </c>
      <c r="S9" s="831" t="str">
        <f>IF(R9="","",S8+R9)</f>
        <v/>
      </c>
      <c r="T9" s="829" t="str">
        <f>IFERROR(INDEX(決算整理!$P$5:$P$1835,MATCH("図書印刷費|L|4",決算整理!$T$5:$T$1835,0)),"")</f>
        <v/>
      </c>
    </row>
    <row r="10" ht="25.5" customHeight="1" s="186" thickBot="1">
      <c r="A10" s="825">
        <f>IFERROR(INDEX(決算整理!$A$5:$A$1835,MATCH("賃借料|L|5",決算整理!$T$5:$T$1835,0)),"")</f>
        <v>46140</v>
      </c>
      <c r="B10" s="826" t="str">
        <f>IFERROR(INDEX(決算整理!$E$5:$E$1835,MATCH("賃借料|L|5",決算整理!$T$5:$T$1835,0)),"")</f>
        <v>基幹システム用機器賃借料　３月分（長期）</v>
      </c>
      <c r="C10" s="830">
        <f>IFERROR(INDEX(決算整理!$R$5:$R$1835,MATCH("賃借料|L|5",決算整理!$T$5:$T$1835,0)),"")</f>
        <v>69613</v>
      </c>
      <c r="D10" s="831">
        <f>IF(C10="","",D9+C10)</f>
        <v>199489</v>
      </c>
      <c r="E10" s="829" t="str">
        <f>IFERROR(INDEX(決算整理!$P$5:$P$1835,MATCH("賃借料|L|5",決算整理!$T$5:$T$1835,0)),"")</f>
        <v>昨年実績</v>
      </c>
      <c r="F10" s="825" t="str">
        <f>IFERROR(INDEX(決算整理!$A$5:$A$1835,MATCH("委託費|L|5",決算整理!$T$5:$T$1835,0)),"")</f>
        <v/>
      </c>
      <c r="G10" s="826" t="str">
        <f>IFERROR(INDEX(決算整理!$E$5:$E$1835,MATCH("委託費|L|5",決算整理!$T$5:$T$1835,0)),"")</f>
        <v/>
      </c>
      <c r="H10" s="830" t="str">
        <f>IFERROR(INDEX(決算整理!$R$5:$R$1835,MATCH("委託費|L|5",決算整理!$T$5:$T$1835,0)),"")</f>
        <v/>
      </c>
      <c r="I10" s="831" t="str">
        <f>IF(H10="","",I9+H10)</f>
        <v/>
      </c>
      <c r="J10" s="829" t="str">
        <f>IFERROR(INDEX(決算整理!$P$5:$P$1835,MATCH("委託費|L|5",決算整理!$T$5:$T$1835,0)),"")</f>
        <v/>
      </c>
      <c r="K10" s="825" t="str">
        <f>IFERROR(INDEX(決算整理!$A$5:$A$1835,MATCH("事務用消耗品費|L|5",決算整理!$T$5:$T$1835,0)),"")</f>
        <v/>
      </c>
      <c r="L10" s="826" t="str">
        <f>IFERROR(INDEX(決算整理!$E$5:$E$1835,MATCH("事務用消耗品費|L|5",決算整理!$T$5:$T$1835,0)),"")</f>
        <v/>
      </c>
      <c r="M10" s="830" t="str">
        <f>IFERROR(INDEX(決算整理!$R$5:$R$1835,MATCH("事務用消耗品費|L|5",決算整理!$T$5:$T$1835,0)),"")</f>
        <v/>
      </c>
      <c r="N10" s="831" t="str">
        <f>IF(M10="","",N9+M10)</f>
        <v/>
      </c>
      <c r="O10" s="829" t="str">
        <f>IFERROR(INDEX(決算整理!$P$5:$P$1835,MATCH("事務用消耗品費|L|5",決算整理!$T$5:$T$1835,0)),"")</f>
        <v/>
      </c>
      <c r="P10" s="825" t="str">
        <f>IFERROR(INDEX(決算整理!$A$5:$A$1835,MATCH("図書印刷費|L|5",決算整理!$T$5:$T$1835,0)),"")</f>
        <v/>
      </c>
      <c r="Q10" s="826" t="str">
        <f>IFERROR(INDEX(決算整理!$E$5:$E$1835,MATCH("図書印刷費|L|5",決算整理!$T$5:$T$1835,0)),"")</f>
        <v/>
      </c>
      <c r="R10" s="830" t="str">
        <f>IFERROR(INDEX(決算整理!$R$5:$R$1835,MATCH("図書印刷費|L|5",決算整理!$T$5:$T$1835,0)),"")</f>
        <v/>
      </c>
      <c r="S10" s="831" t="str">
        <f>IF(R10="","",S9+R10)</f>
        <v/>
      </c>
      <c r="T10" s="829" t="str">
        <f>IFERROR(INDEX(決算整理!$P$5:$P$1835,MATCH("図書印刷費|L|5",決算整理!$T$5:$T$1835,0)),"")</f>
        <v/>
      </c>
    </row>
    <row r="11" ht="25.5" customHeight="1" s="186" thickBot="1">
      <c r="A11" s="825" t="str">
        <f>IFERROR(INDEX(決算整理!$A$5:$A$1835,MATCH("賃借料|L|6",決算整理!$T$5:$T$1835,0)),"")</f>
        <v/>
      </c>
      <c r="B11" s="826" t="str">
        <f>IFERROR(INDEX(決算整理!$E$5:$E$1835,MATCH("賃借料|L|6",決算整理!$T$5:$T$1835,0)),"")</f>
        <v/>
      </c>
      <c r="C11" s="830" t="str">
        <f>IFERROR(INDEX(決算整理!$R$5:$R$1835,MATCH("賃借料|L|6",決算整理!$T$5:$T$1835,0)),"")</f>
        <v/>
      </c>
      <c r="D11" s="831" t="str">
        <f>IF(C11="","",D10+C11)</f>
        <v/>
      </c>
      <c r="E11" s="829" t="str">
        <f>IFERROR(INDEX(決算整理!$P$5:$P$1835,MATCH("賃借料|L|6",決算整理!$T$5:$T$1835,0)),"")</f>
        <v/>
      </c>
      <c r="F11" s="825" t="str">
        <f>IFERROR(INDEX(決算整理!$A$5:$A$1835,MATCH("委託費|L|6",決算整理!$T$5:$T$1835,0)),"")</f>
        <v/>
      </c>
      <c r="G11" s="826" t="str">
        <f>IFERROR(INDEX(決算整理!$E$5:$E$1835,MATCH("委託費|L|6",決算整理!$T$5:$T$1835,0)),"")</f>
        <v/>
      </c>
      <c r="H11" s="830" t="str">
        <f>IFERROR(INDEX(決算整理!$R$5:$R$1835,MATCH("委託費|L|6",決算整理!$T$5:$T$1835,0)),"")</f>
        <v/>
      </c>
      <c r="I11" s="831" t="str">
        <f>IF(H11="","",I10+H11)</f>
        <v/>
      </c>
      <c r="J11" s="829" t="str">
        <f>IFERROR(INDEX(決算整理!$P$5:$P$1835,MATCH("委託費|L|6",決算整理!$T$5:$T$1835,0)),"")</f>
        <v/>
      </c>
      <c r="K11" s="825" t="str">
        <f>IFERROR(INDEX(決算整理!$A$5:$A$1835,MATCH("事務用消耗品費|L|6",決算整理!$T$5:$T$1835,0)),"")</f>
        <v/>
      </c>
      <c r="L11" s="826" t="str">
        <f>IFERROR(INDEX(決算整理!$E$5:$E$1835,MATCH("事務用消耗品費|L|6",決算整理!$T$5:$T$1835,0)),"")</f>
        <v/>
      </c>
      <c r="M11" s="830" t="str">
        <f>IFERROR(INDEX(決算整理!$R$5:$R$1835,MATCH("事務用消耗品費|L|6",決算整理!$T$5:$T$1835,0)),"")</f>
        <v/>
      </c>
      <c r="N11" s="831" t="str">
        <f>IF(M11="","",N10+M11)</f>
        <v/>
      </c>
      <c r="O11" s="829" t="str">
        <f>IFERROR(INDEX(決算整理!$P$5:$P$1835,MATCH("事務用消耗品費|L|6",決算整理!$T$5:$T$1835,0)),"")</f>
        <v/>
      </c>
      <c r="P11" s="825" t="str">
        <f>IFERROR(INDEX(決算整理!$A$5:$A$1835,MATCH("図書印刷費|L|6",決算整理!$T$5:$T$1835,0)),"")</f>
        <v/>
      </c>
      <c r="Q11" s="826" t="str">
        <f>IFERROR(INDEX(決算整理!$E$5:$E$1835,MATCH("図書印刷費|L|6",決算整理!$T$5:$T$1835,0)),"")</f>
        <v/>
      </c>
      <c r="R11" s="830" t="str">
        <f>IFERROR(INDEX(決算整理!$R$5:$R$1835,MATCH("図書印刷費|L|6",決算整理!$T$5:$T$1835,0)),"")</f>
        <v/>
      </c>
      <c r="S11" s="831" t="str">
        <f>IF(R11="","",S10+R11)</f>
        <v/>
      </c>
      <c r="T11" s="829" t="str">
        <f>IFERROR(INDEX(決算整理!$P$5:$P$1835,MATCH("図書印刷費|L|6",決算整理!$T$5:$T$1835,0)),"")</f>
        <v/>
      </c>
    </row>
    <row r="12" ht="25.5" customHeight="1" s="186" thickBot="1">
      <c r="A12" s="825" t="str">
        <f>IFERROR(INDEX(決算整理!$A$5:$A$1835,MATCH("賃借料|L|7",決算整理!$T$5:$T$1835,0)),"")</f>
        <v/>
      </c>
      <c r="B12" s="826" t="str">
        <f>IFERROR(INDEX(決算整理!$E$5:$E$1835,MATCH("賃借料|L|7",決算整理!$T$5:$T$1835,0)),"")</f>
        <v/>
      </c>
      <c r="C12" s="830" t="str">
        <f>IFERROR(INDEX(決算整理!$R$5:$R$1835,MATCH("賃借料|L|7",決算整理!$T$5:$T$1835,0)),"")</f>
        <v/>
      </c>
      <c r="D12" s="831" t="str">
        <f>IF(C12="","",D11+C12)</f>
        <v/>
      </c>
      <c r="E12" s="829" t="str">
        <f>IFERROR(INDEX(決算整理!$P$5:$P$1835,MATCH("賃借料|L|7",決算整理!$T$5:$T$1835,0)),"")</f>
        <v/>
      </c>
      <c r="F12" s="825" t="str">
        <f>IFERROR(INDEX(決算整理!$A$5:$A$1835,MATCH("委託費|L|7",決算整理!$T$5:$T$1835,0)),"")</f>
        <v/>
      </c>
      <c r="G12" s="826" t="str">
        <f>IFERROR(INDEX(決算整理!$E$5:$E$1835,MATCH("委託費|L|7",決算整理!$T$5:$T$1835,0)),"")</f>
        <v/>
      </c>
      <c r="H12" s="830" t="str">
        <f>IFERROR(INDEX(決算整理!$R$5:$R$1835,MATCH("委託費|L|7",決算整理!$T$5:$T$1835,0)),"")</f>
        <v/>
      </c>
      <c r="I12" s="831" t="str">
        <f>IF(H12="","",I11+H12)</f>
        <v/>
      </c>
      <c r="J12" s="829" t="str">
        <f>IFERROR(INDEX(決算整理!$P$5:$P$1835,MATCH("委託費|L|7",決算整理!$T$5:$T$1835,0)),"")</f>
        <v/>
      </c>
      <c r="K12" s="825" t="str">
        <f>IFERROR(INDEX(決算整理!$A$5:$A$1835,MATCH("事務用消耗品費|L|7",決算整理!$T$5:$T$1835,0)),"")</f>
        <v/>
      </c>
      <c r="L12" s="826" t="str">
        <f>IFERROR(INDEX(決算整理!$E$5:$E$1835,MATCH("事務用消耗品費|L|7",決算整理!$T$5:$T$1835,0)),"")</f>
        <v/>
      </c>
      <c r="M12" s="830" t="str">
        <f>IFERROR(INDEX(決算整理!$R$5:$R$1835,MATCH("事務用消耗品費|L|7",決算整理!$T$5:$T$1835,0)),"")</f>
        <v/>
      </c>
      <c r="N12" s="831" t="str">
        <f>IF(M12="","",N11+M12)</f>
        <v/>
      </c>
      <c r="O12" s="829" t="str">
        <f>IFERROR(INDEX(決算整理!$P$5:$P$1835,MATCH("事務用消耗品費|L|7",決算整理!$T$5:$T$1835,0)),"")</f>
        <v/>
      </c>
      <c r="P12" s="825" t="str">
        <f>IFERROR(INDEX(決算整理!$A$5:$A$1835,MATCH("図書印刷費|L|7",決算整理!$T$5:$T$1835,0)),"")</f>
        <v/>
      </c>
      <c r="Q12" s="826" t="str">
        <f>IFERROR(INDEX(決算整理!$E$5:$E$1835,MATCH("図書印刷費|L|7",決算整理!$T$5:$T$1835,0)),"")</f>
        <v/>
      </c>
      <c r="R12" s="830" t="str">
        <f>IFERROR(INDEX(決算整理!$R$5:$R$1835,MATCH("図書印刷費|L|7",決算整理!$T$5:$T$1835,0)),"")</f>
        <v/>
      </c>
      <c r="S12" s="831" t="str">
        <f>IF(R12="","",S11+R12)</f>
        <v/>
      </c>
      <c r="T12" s="829" t="str">
        <f>IFERROR(INDEX(決算整理!$P$5:$P$1835,MATCH("図書印刷費|L|7",決算整理!$T$5:$T$1835,0)),"")</f>
        <v/>
      </c>
    </row>
    <row r="13" ht="25.5" customHeight="1" s="186">
      <c r="A13" s="825" t="str">
        <f>IFERROR(INDEX(決算整理!$A$5:$A$1835,MATCH("賃借料|L|8",決算整理!$T$5:$T$1835,0)),"")</f>
        <v/>
      </c>
      <c r="B13" s="826" t="str">
        <f>IFERROR(INDEX(決算整理!$E$5:$E$1835,MATCH("賃借料|L|8",決算整理!$T$5:$T$1835,0)),"")</f>
        <v/>
      </c>
      <c r="C13" s="830" t="str">
        <f>IFERROR(INDEX(決算整理!$R$5:$R$1835,MATCH("賃借料|L|8",決算整理!$T$5:$T$1835,0)),"")</f>
        <v/>
      </c>
      <c r="D13" s="831" t="str">
        <f>IF(C13="","",D12+C13)</f>
        <v/>
      </c>
      <c r="E13" s="829" t="str">
        <f>IFERROR(INDEX(決算整理!$P$5:$P$1835,MATCH("賃借料|L|8",決算整理!$T$5:$T$1835,0)),"")</f>
        <v/>
      </c>
      <c r="F13" s="825" t="str">
        <f>IFERROR(INDEX(決算整理!$A$5:$A$1835,MATCH("委託費|L|8",決算整理!$T$5:$T$1835,0)),"")</f>
        <v/>
      </c>
      <c r="G13" s="826" t="str">
        <f>IFERROR(INDEX(決算整理!$E$5:$E$1835,MATCH("委託費|L|8",決算整理!$T$5:$T$1835,0)),"")</f>
        <v/>
      </c>
      <c r="H13" s="830" t="str">
        <f>IFERROR(INDEX(決算整理!$R$5:$R$1835,MATCH("委託費|L|8",決算整理!$T$5:$T$1835,0)),"")</f>
        <v/>
      </c>
      <c r="I13" s="831" t="str">
        <f>IF(H13="","",I12+H13)</f>
        <v/>
      </c>
      <c r="J13" s="829" t="str">
        <f>IFERROR(INDEX(決算整理!$P$5:$P$1835,MATCH("委託費|L|8",決算整理!$T$5:$T$1835,0)),"")</f>
        <v/>
      </c>
      <c r="K13" s="825" t="str">
        <f>IFERROR(INDEX(決算整理!$A$5:$A$1835,MATCH("事務用消耗品費|L|8",決算整理!$T$5:$T$1835,0)),"")</f>
        <v/>
      </c>
      <c r="L13" s="826" t="str">
        <f>IFERROR(INDEX(決算整理!$E$5:$E$1835,MATCH("事務用消耗品費|L|8",決算整理!$T$5:$T$1835,0)),"")</f>
        <v/>
      </c>
      <c r="M13" s="830" t="str">
        <f>IFERROR(INDEX(決算整理!$R$5:$R$1835,MATCH("事務用消耗品費|L|8",決算整理!$T$5:$T$1835,0)),"")</f>
        <v/>
      </c>
      <c r="N13" s="831" t="str">
        <f>IF(M13="","",N12+M13)</f>
        <v/>
      </c>
      <c r="O13" s="829" t="str">
        <f>IFERROR(INDEX(決算整理!$P$5:$P$1835,MATCH("事務用消耗品費|L|8",決算整理!$T$5:$T$1835,0)),"")</f>
        <v/>
      </c>
      <c r="P13" s="825" t="str">
        <f>IFERROR(INDEX(決算整理!$A$5:$A$1835,MATCH("図書印刷費|L|8",決算整理!$T$5:$T$1835,0)),"")</f>
        <v/>
      </c>
      <c r="Q13" s="826" t="str">
        <f>IFERROR(INDEX(決算整理!$E$5:$E$1835,MATCH("図書印刷費|L|8",決算整理!$T$5:$T$1835,0)),"")</f>
        <v/>
      </c>
      <c r="R13" s="830" t="str">
        <f>IFERROR(INDEX(決算整理!$R$5:$R$1835,MATCH("図書印刷費|L|8",決算整理!$T$5:$T$1835,0)),"")</f>
        <v/>
      </c>
      <c r="S13" s="831" t="str">
        <f>IF(R13="","",S12+R13)</f>
        <v/>
      </c>
      <c r="T13" s="829" t="str">
        <f>IFERROR(INDEX(決算整理!$P$5:$P$1835,MATCH("図書印刷費|L|8",決算整理!$T$5:$T$1835,0)),"")</f>
        <v/>
      </c>
    </row>
    <row r="14" ht="25.5" customHeight="1" s="186">
      <c r="A14" s="825" t="str">
        <f>IFERROR(INDEX(決算整理!$A$5:$A$1835,MATCH("賃借料|L|9",決算整理!$T$5:$T$1835,0)),"")</f>
        <v/>
      </c>
      <c r="B14" s="826" t="str">
        <f>IFERROR(INDEX(決算整理!$E$5:$E$1835,MATCH("賃借料|L|9",決算整理!$T$5:$T$1835,0)),"")</f>
        <v/>
      </c>
      <c r="C14" s="830" t="str">
        <f>IFERROR(INDEX(決算整理!$R$5:$R$1835,MATCH("賃借料|L|9",決算整理!$T$5:$T$1835,0)),"")</f>
        <v/>
      </c>
      <c r="D14" s="831" t="str">
        <f>IF(C14="","",D13+C14)</f>
        <v/>
      </c>
      <c r="E14" s="829" t="str">
        <f>IFERROR(INDEX(決算整理!$P$5:$P$1835,MATCH("賃借料|L|9",決算整理!$T$5:$T$1835,0)),"")</f>
        <v/>
      </c>
      <c r="F14" s="825" t="str">
        <f>IFERROR(INDEX(決算整理!$A$5:$A$1835,MATCH("委託費|L|9",決算整理!$T$5:$T$1835,0)),"")</f>
        <v/>
      </c>
      <c r="G14" s="826" t="str">
        <f>IFERROR(INDEX(決算整理!$E$5:$E$1835,MATCH("委託費|L|9",決算整理!$T$5:$T$1835,0)),"")</f>
        <v/>
      </c>
      <c r="H14" s="830" t="str">
        <f>IFERROR(INDEX(決算整理!$R$5:$R$1835,MATCH("委託費|L|9",決算整理!$T$5:$T$1835,0)),"")</f>
        <v/>
      </c>
      <c r="I14" s="831" t="str">
        <f>IF(H14="","",I13+H14)</f>
        <v/>
      </c>
      <c r="J14" s="829" t="str">
        <f>IFERROR(INDEX(決算整理!$P$5:$P$1835,MATCH("委託費|L|9",決算整理!$T$5:$T$1835,0)),"")</f>
        <v/>
      </c>
      <c r="K14" s="825" t="str">
        <f>IFERROR(INDEX(決算整理!$A$5:$A$1835,MATCH("事務用消耗品費|L|9",決算整理!$T$5:$T$1835,0)),"")</f>
        <v/>
      </c>
      <c r="L14" s="826" t="str">
        <f>IFERROR(INDEX(決算整理!$E$5:$E$1835,MATCH("事務用消耗品費|L|9",決算整理!$T$5:$T$1835,0)),"")</f>
        <v/>
      </c>
      <c r="M14" s="830" t="str">
        <f>IFERROR(INDEX(決算整理!$R$5:$R$1835,MATCH("事務用消耗品費|L|9",決算整理!$T$5:$T$1835,0)),"")</f>
        <v/>
      </c>
      <c r="N14" s="831" t="str">
        <f>IF(M14="","",N13+M14)</f>
        <v/>
      </c>
      <c r="O14" s="829" t="str">
        <f>IFERROR(INDEX(決算整理!$P$5:$P$1835,MATCH("事務用消耗品費|L|9",決算整理!$T$5:$T$1835,0)),"")</f>
        <v/>
      </c>
      <c r="P14" s="825" t="str">
        <f>IFERROR(INDEX(決算整理!$A$5:$A$1835,MATCH("図書印刷費|L|9",決算整理!$T$5:$T$1835,0)),"")</f>
        <v/>
      </c>
      <c r="Q14" s="826" t="str">
        <f>IFERROR(INDEX(決算整理!$E$5:$E$1835,MATCH("図書印刷費|L|9",決算整理!$T$5:$T$1835,0)),"")</f>
        <v/>
      </c>
      <c r="R14" s="830" t="str">
        <f>IFERROR(INDEX(決算整理!$R$5:$R$1835,MATCH("図書印刷費|L|9",決算整理!$T$5:$T$1835,0)),"")</f>
        <v/>
      </c>
      <c r="S14" s="831" t="str">
        <f>IF(R14="","",S13+R14)</f>
        <v/>
      </c>
      <c r="T14" s="829" t="str">
        <f>IFERROR(INDEX(決算整理!$P$5:$P$1835,MATCH("図書印刷費|L|9",決算整理!$T$5:$T$1835,0)),"")</f>
        <v/>
      </c>
    </row>
    <row r="15" ht="25.5" customHeight="1" s="186">
      <c r="A15" s="825" t="str">
        <f>IFERROR(INDEX(決算整理!$A$5:$A$1835,MATCH("賃借料|L|10",決算整理!$T$5:$T$1835,0)),"")</f>
        <v/>
      </c>
      <c r="B15" s="826" t="str">
        <f>IFERROR(INDEX(決算整理!$E$5:$E$1835,MATCH("賃借料|L|10",決算整理!$T$5:$T$1835,0)),"")</f>
        <v/>
      </c>
      <c r="C15" s="830" t="str">
        <f>IFERROR(INDEX(決算整理!$R$5:$R$1835,MATCH("賃借料|L|10",決算整理!$T$5:$T$1835,0)),"")</f>
        <v/>
      </c>
      <c r="D15" s="831" t="str">
        <f>IF(C15="","",D14+C15)</f>
        <v/>
      </c>
      <c r="E15" s="829" t="str">
        <f>IFERROR(INDEX(決算整理!$P$5:$P$1835,MATCH("賃借料|L|10",決算整理!$T$5:$T$1835,0)),"")</f>
        <v/>
      </c>
      <c r="F15" s="825" t="str">
        <f>IFERROR(INDEX(決算整理!$A$5:$A$1835,MATCH("委託費|L|10",決算整理!$T$5:$T$1835,0)),"")</f>
        <v/>
      </c>
      <c r="G15" s="826" t="str">
        <f>IFERROR(INDEX(決算整理!$E$5:$E$1835,MATCH("委託費|L|10",決算整理!$T$5:$T$1835,0)),"")</f>
        <v/>
      </c>
      <c r="H15" s="830" t="str">
        <f>IFERROR(INDEX(決算整理!$R$5:$R$1835,MATCH("委託費|L|10",決算整理!$T$5:$T$1835,0)),"")</f>
        <v/>
      </c>
      <c r="I15" s="831" t="str">
        <f>IF(H15="","",I14+H15)</f>
        <v/>
      </c>
      <c r="J15" s="829" t="str">
        <f>IFERROR(INDEX(決算整理!$P$5:$P$1835,MATCH("委託費|L|10",決算整理!$T$5:$T$1835,0)),"")</f>
        <v/>
      </c>
      <c r="K15" s="825" t="str">
        <f>IFERROR(INDEX(決算整理!$A$5:$A$1835,MATCH("事務用消耗品費|L|10",決算整理!$T$5:$T$1835,0)),"")</f>
        <v/>
      </c>
      <c r="L15" s="826" t="str">
        <f>IFERROR(INDEX(決算整理!$E$5:$E$1835,MATCH("事務用消耗品費|L|10",決算整理!$T$5:$T$1835,0)),"")</f>
        <v/>
      </c>
      <c r="M15" s="830" t="str">
        <f>IFERROR(INDEX(決算整理!$R$5:$R$1835,MATCH("事務用消耗品費|L|10",決算整理!$T$5:$T$1835,0)),"")</f>
        <v/>
      </c>
      <c r="N15" s="831" t="str">
        <f>IF(M15="","",N14+M15)</f>
        <v/>
      </c>
      <c r="O15" s="829" t="str">
        <f>IFERROR(INDEX(決算整理!$P$5:$P$1835,MATCH("事務用消耗品費|L|10",決算整理!$T$5:$T$1835,0)),"")</f>
        <v/>
      </c>
      <c r="P15" s="825" t="str">
        <f>IFERROR(INDEX(決算整理!$A$5:$A$1835,MATCH("図書印刷費|L|10",決算整理!$T$5:$T$1835,0)),"")</f>
        <v/>
      </c>
      <c r="Q15" s="826" t="str">
        <f>IFERROR(INDEX(決算整理!$E$5:$E$1835,MATCH("図書印刷費|L|10",決算整理!$T$5:$T$1835,0)),"")</f>
        <v/>
      </c>
      <c r="R15" s="830" t="str">
        <f>IFERROR(INDEX(決算整理!$R$5:$R$1835,MATCH("図書印刷費|L|10",決算整理!$T$5:$T$1835,0)),"")</f>
        <v/>
      </c>
      <c r="S15" s="831" t="str">
        <f>IF(R15="","",S14+R15)</f>
        <v/>
      </c>
      <c r="T15" s="829" t="str">
        <f>IFERROR(INDEX(決算整理!$P$5:$P$1835,MATCH("図書印刷費|L|10",決算整理!$T$5:$T$1835,0)),"")</f>
        <v/>
      </c>
    </row>
    <row r="16" ht="25.5" customHeight="1" s="186">
      <c r="A16" s="825" t="str">
        <f>IFERROR(INDEX(決算整理!$A$5:$A$1835,MATCH("賃借料|L|11",決算整理!$T$5:$T$1835,0)),"")</f>
        <v/>
      </c>
      <c r="B16" s="826" t="str">
        <f>IFERROR(INDEX(決算整理!$E$5:$E$1835,MATCH("賃借料|L|11",決算整理!$T$5:$T$1835,0)),"")</f>
        <v/>
      </c>
      <c r="C16" s="830" t="str">
        <f>IFERROR(INDEX(決算整理!$R$5:$R$1835,MATCH("賃借料|L|11",決算整理!$T$5:$T$1835,0)),"")</f>
        <v/>
      </c>
      <c r="D16" s="831" t="str">
        <f>IF(C16="","",D15+C16)</f>
        <v/>
      </c>
      <c r="E16" s="829" t="str">
        <f>IFERROR(INDEX(決算整理!$P$5:$P$1835,MATCH("賃借料|L|11",決算整理!$T$5:$T$1835,0)),"")</f>
        <v/>
      </c>
      <c r="F16" s="825" t="str">
        <f>IFERROR(INDEX(決算整理!$A$5:$A$1835,MATCH("委託費|L|11",決算整理!$T$5:$T$1835,0)),"")</f>
        <v/>
      </c>
      <c r="G16" s="826" t="str">
        <f>IFERROR(INDEX(決算整理!$E$5:$E$1835,MATCH("委託費|L|11",決算整理!$T$5:$T$1835,0)),"")</f>
        <v/>
      </c>
      <c r="H16" s="830" t="str">
        <f>IFERROR(INDEX(決算整理!$R$5:$R$1835,MATCH("委託費|L|11",決算整理!$T$5:$T$1835,0)),"")</f>
        <v/>
      </c>
      <c r="I16" s="831" t="str">
        <f>IF(H16="","",I15+H16)</f>
        <v/>
      </c>
      <c r="J16" s="829" t="str">
        <f>IFERROR(INDEX(決算整理!$P$5:$P$1835,MATCH("委託費|L|11",決算整理!$T$5:$T$1835,0)),"")</f>
        <v/>
      </c>
      <c r="K16" s="825" t="str">
        <f>IFERROR(INDEX(決算整理!$A$5:$A$1835,MATCH("事務用消耗品費|L|11",決算整理!$T$5:$T$1835,0)),"")</f>
        <v/>
      </c>
      <c r="L16" s="826" t="str">
        <f>IFERROR(INDEX(決算整理!$E$5:$E$1835,MATCH("事務用消耗品費|L|11",決算整理!$T$5:$T$1835,0)),"")</f>
        <v/>
      </c>
      <c r="M16" s="830" t="str">
        <f>IFERROR(INDEX(決算整理!$R$5:$R$1835,MATCH("事務用消耗品費|L|11",決算整理!$T$5:$T$1835,0)),"")</f>
        <v/>
      </c>
      <c r="N16" s="831" t="str">
        <f>IF(M16="","",N15+M16)</f>
        <v/>
      </c>
      <c r="O16" s="829" t="str">
        <f>IFERROR(INDEX(決算整理!$P$5:$P$1835,MATCH("事務用消耗品費|L|11",決算整理!$T$5:$T$1835,0)),"")</f>
        <v/>
      </c>
      <c r="P16" s="825" t="str">
        <f>IFERROR(INDEX(決算整理!$A$5:$A$1835,MATCH("図書印刷費|L|11",決算整理!$T$5:$T$1835,0)),"")</f>
        <v/>
      </c>
      <c r="Q16" s="826" t="str">
        <f>IFERROR(INDEX(決算整理!$E$5:$E$1835,MATCH("図書印刷費|L|11",決算整理!$T$5:$T$1835,0)),"")</f>
        <v/>
      </c>
      <c r="R16" s="830" t="str">
        <f>IFERROR(INDEX(決算整理!$R$5:$R$1835,MATCH("図書印刷費|L|11",決算整理!$T$5:$T$1835,0)),"")</f>
        <v/>
      </c>
      <c r="S16" s="831" t="str">
        <f>IF(R16="","",S15+R16)</f>
        <v/>
      </c>
      <c r="T16" s="829" t="str">
        <f>IFERROR(INDEX(決算整理!$P$5:$P$1835,MATCH("図書印刷費|L|11",決算整理!$T$5:$T$1835,0)),"")</f>
        <v/>
      </c>
    </row>
    <row r="17" ht="36.75" customHeight="1" s="186" thickBot="1">
      <c r="A17" s="825" t="str">
        <f>IFERROR(INDEX(決算整理!$A$5:$A$1835,MATCH("賃借料|L|12",決算整理!$T$5:$T$1835,0)),"")</f>
        <v/>
      </c>
      <c r="B17" s="826" t="str">
        <f>IFERROR(INDEX(決算整理!$E$5:$E$1835,MATCH("賃借料|L|12",決算整理!$T$5:$T$1835,0)),"")</f>
        <v/>
      </c>
      <c r="C17" s="830" t="str">
        <f>IFERROR(INDEX(決算整理!$R$5:$R$1835,MATCH("賃借料|L|12",決算整理!$T$5:$T$1835,0)),"")</f>
        <v/>
      </c>
      <c r="D17" s="831" t="str">
        <f>IF(C17="","",D16+C17)</f>
        <v/>
      </c>
      <c r="E17" s="829" t="str">
        <f>IFERROR(INDEX(決算整理!$P$5:$P$1835,MATCH("賃借料|L|12",決算整理!$T$5:$T$1835,0)),"")</f>
        <v/>
      </c>
      <c r="F17" s="825" t="str">
        <f>IFERROR(INDEX(決算整理!$A$5:$A$1835,MATCH("委託費|L|12",決算整理!$T$5:$T$1835,0)),"")</f>
        <v/>
      </c>
      <c r="G17" s="826" t="str">
        <f>IFERROR(INDEX(決算整理!$E$5:$E$1835,MATCH("委託費|L|12",決算整理!$T$5:$T$1835,0)),"")</f>
        <v/>
      </c>
      <c r="H17" s="830" t="str">
        <f>IFERROR(INDEX(決算整理!$R$5:$R$1835,MATCH("委託費|L|12",決算整理!$T$5:$T$1835,0)),"")</f>
        <v/>
      </c>
      <c r="I17" s="831" t="str">
        <f>IF(H17="","",I16+H17)</f>
        <v/>
      </c>
      <c r="J17" s="829" t="str">
        <f>IFERROR(INDEX(決算整理!$P$5:$P$1835,MATCH("委託費|L|12",決算整理!$T$5:$T$1835,0)),"")</f>
        <v/>
      </c>
      <c r="K17" s="825" t="str">
        <f>IFERROR(INDEX(決算整理!$A$5:$A$1835,MATCH("事務用消耗品費|L|12",決算整理!$T$5:$T$1835,0)),"")</f>
        <v/>
      </c>
      <c r="L17" s="826" t="str">
        <f>IFERROR(INDEX(決算整理!$E$5:$E$1835,MATCH("事務用消耗品費|L|12",決算整理!$T$5:$T$1835,0)),"")</f>
        <v/>
      </c>
      <c r="M17" s="830" t="str">
        <f>IFERROR(INDEX(決算整理!$R$5:$R$1835,MATCH("事務用消耗品費|L|12",決算整理!$T$5:$T$1835,0)),"")</f>
        <v/>
      </c>
      <c r="N17" s="831" t="str">
        <f>IF(M17="","",N16+M17)</f>
        <v/>
      </c>
      <c r="O17" s="829" t="str">
        <f>IFERROR(INDEX(決算整理!$P$5:$P$1835,MATCH("事務用消耗品費|L|12",決算整理!$T$5:$T$1835,0)),"")</f>
        <v/>
      </c>
      <c r="P17" s="825" t="str">
        <f>IFERROR(INDEX(決算整理!$A$5:$A$1835,MATCH("図書印刷費|L|12",決算整理!$T$5:$T$1835,0)),"")</f>
        <v/>
      </c>
      <c r="Q17" s="826" t="str">
        <f>IFERROR(INDEX(決算整理!$E$5:$E$1835,MATCH("図書印刷費|L|12",決算整理!$T$5:$T$1835,0)),"")</f>
        <v/>
      </c>
      <c r="R17" s="830" t="str">
        <f>IFERROR(INDEX(決算整理!$R$5:$R$1835,MATCH("図書印刷費|L|12",決算整理!$T$5:$T$1835,0)),"")</f>
        <v/>
      </c>
      <c r="S17" s="831" t="str">
        <f>IF(R17="","",S16+R17)</f>
        <v/>
      </c>
      <c r="T17" s="829" t="str">
        <f>IFERROR(INDEX(決算整理!$P$5:$P$1835,MATCH("図書印刷費|L|12",決算整理!$T$5:$T$1835,0)),"")</f>
        <v/>
      </c>
    </row>
    <row r="18" ht="25.5" customHeight="1" s="186" thickBot="1">
      <c r="A18" s="825" t="str">
        <f>IFERROR(INDEX(決算整理!$A$5:$A$1835,MATCH("賃借料|L|13",決算整理!$T$5:$T$1835,0)),"")</f>
        <v/>
      </c>
      <c r="B18" s="826" t="str">
        <f>IFERROR(INDEX(決算整理!$E$5:$E$1835,MATCH("賃借料|L|13",決算整理!$T$5:$T$1835,0)),"")</f>
        <v/>
      </c>
      <c r="C18" s="830" t="str">
        <f>IFERROR(INDEX(決算整理!$R$5:$R$1835,MATCH("賃借料|L|13",決算整理!$T$5:$T$1835,0)),"")</f>
        <v/>
      </c>
      <c r="D18" s="831" t="str">
        <f>IF(C18="","",D17+C18)</f>
        <v/>
      </c>
      <c r="E18" s="829" t="str">
        <f>IFERROR(INDEX(決算整理!$P$5:$P$1835,MATCH("賃借料|L|13",決算整理!$T$5:$T$1835,0)),"")</f>
        <v/>
      </c>
      <c r="F18" s="825" t="str">
        <f>IFERROR(INDEX(決算整理!$A$5:$A$1835,MATCH("委託費|L|13",決算整理!$T$5:$T$1835,0)),"")</f>
        <v/>
      </c>
      <c r="G18" s="826" t="str">
        <f>IFERROR(INDEX(決算整理!$E$5:$E$1835,MATCH("委託費|L|13",決算整理!$T$5:$T$1835,0)),"")</f>
        <v/>
      </c>
      <c r="H18" s="830" t="str">
        <f>IFERROR(INDEX(決算整理!$R$5:$R$1835,MATCH("委託費|L|13",決算整理!$T$5:$T$1835,0)),"")</f>
        <v/>
      </c>
      <c r="I18" s="831" t="str">
        <f>IF(H18="","",I17+H18)</f>
        <v/>
      </c>
      <c r="J18" s="829" t="str">
        <f>IFERROR(INDEX(決算整理!$P$5:$P$1835,MATCH("委託費|L|13",決算整理!$T$5:$T$1835,0)),"")</f>
        <v/>
      </c>
    </row>
    <row r="19" ht="25.5" customHeight="1" s="186">
      <c r="A19" s="825" t="str">
        <f>IFERROR(INDEX(決算整理!$A$5:$A$1835,MATCH("賃借料|L|14",決算整理!$T$5:$T$1835,0)),"")</f>
        <v/>
      </c>
      <c r="B19" s="826" t="str">
        <f>IFERROR(INDEX(決算整理!$E$5:$E$1835,MATCH("賃借料|L|14",決算整理!$T$5:$T$1835,0)),"")</f>
        <v/>
      </c>
      <c r="C19" s="830" t="str">
        <f>IFERROR(INDEX(決算整理!$R$5:$R$1835,MATCH("賃借料|L|14",決算整理!$T$5:$T$1835,0)),"")</f>
        <v/>
      </c>
      <c r="D19" s="831" t="str">
        <f>IF(C19="","",D18+C19)</f>
        <v/>
      </c>
      <c r="E19" s="829" t="str">
        <f>IFERROR(INDEX(決算整理!$P$5:$P$1835,MATCH("賃借料|L|14",決算整理!$T$5:$T$1835,0)),"")</f>
        <v/>
      </c>
      <c r="F19" s="825" t="str">
        <f>IFERROR(INDEX(決算整理!$A$5:$A$1835,MATCH("委託費|L|14",決算整理!$T$5:$T$1835,0)),"")</f>
        <v/>
      </c>
      <c r="G19" s="826" t="str">
        <f>IFERROR(INDEX(決算整理!$E$5:$E$1835,MATCH("委託費|L|14",決算整理!$T$5:$T$1835,0)),"")</f>
        <v/>
      </c>
      <c r="H19" s="830" t="str">
        <f>IFERROR(INDEX(決算整理!$R$5:$R$1835,MATCH("委託費|L|14",決算整理!$T$5:$T$1835,0)),"")</f>
        <v/>
      </c>
      <c r="I19" s="831" t="str">
        <f>IF(H19="","",I18+H19)</f>
        <v/>
      </c>
      <c r="J19" s="829" t="str">
        <f>IFERROR(INDEX(決算整理!$P$5:$P$1835,MATCH("委託費|L|14",決算整理!$T$5:$T$1835,0)),"")</f>
        <v/>
      </c>
    </row>
    <row r="20" ht="25.5" customHeight="1" s="186" thickBot="1">
      <c r="A20" s="825" t="str">
        <f>IFERROR(INDEX(決算整理!$A$5:$A$1835,MATCH("賃借料|L|15",決算整理!$T$5:$T$1835,0)),"")</f>
        <v/>
      </c>
      <c r="B20" s="826" t="str">
        <f>IFERROR(INDEX(決算整理!$E$5:$E$1835,MATCH("賃借料|L|15",決算整理!$T$5:$T$1835,0)),"")</f>
        <v/>
      </c>
      <c r="C20" s="830" t="str">
        <f>IFERROR(INDEX(決算整理!$R$5:$R$1835,MATCH("賃借料|L|15",決算整理!$T$5:$T$1835,0)),"")</f>
        <v/>
      </c>
      <c r="D20" s="831" t="str">
        <f>IF(C20="","",D19+C20)</f>
        <v/>
      </c>
      <c r="E20" s="829" t="str">
        <f>IFERROR(INDEX(決算整理!$P$5:$P$1835,MATCH("賃借料|L|15",決算整理!$T$5:$T$1835,0)),"")</f>
        <v/>
      </c>
    </row>
    <row r="21" ht="25.5" customHeight="1" s="186" thickBot="1"/>
    <row r="22" ht="25.5" customHeight="1" s="186"/>
    <row r="23" ht="25.5" customHeight="1" s="186"/>
    <row r="24" ht="39.75" customHeight="1" s="186">
      <c r="B24" s="502" t="inlineStr">
        <is>
          <t>○事務費  通信運搬費</t>
        </is>
      </c>
      <c r="D24" s="93" t="inlineStr">
        <is>
          <t>業務（長）未払</t>
        </is>
      </c>
      <c r="E24" s="824" t="str">
        <f>IF(COUNTIF(決算整理!$T$5:$T$1835,"通信運搬費|L|*")&gt;12,"行不足","")</f>
        <v/>
      </c>
      <c r="G24" s="502" t="inlineStr">
        <is>
          <t>○事務費  送金料</t>
        </is>
      </c>
      <c r="I24" s="93" t="inlineStr">
        <is>
          <t>業務（長）未払</t>
        </is>
      </c>
      <c r="J24" s="824" t="str">
        <f>IF(COUNTIF(決算整理!$T$5:$T$1835,"送金料|L|*")&gt;12,"行不足","")</f>
        <v/>
      </c>
      <c r="L24" s="502" t="inlineStr">
        <is>
          <t>○事務費  雑費</t>
        </is>
      </c>
      <c r="N24" s="93" t="inlineStr">
        <is>
          <t>業務（長）未払</t>
        </is>
      </c>
      <c r="O24" s="824" t="str">
        <f>IF(COUNTIF(決算整理!$T$5:$T$1835,"事務費・雑費|L|*")&gt;12,"行不足","")</f>
        <v/>
      </c>
      <c r="Q24" s="502" t="inlineStr">
        <is>
          <t>○事務費  会議費</t>
        </is>
      </c>
      <c r="S24" s="93" t="inlineStr">
        <is>
          <t>業務（長）未払</t>
        </is>
      </c>
      <c r="T24" s="824" t="str">
        <f>IF(COUNTIF(決算整理!$T$5:$T$1835,"会議費|L|*")&gt;12,"行不足","")</f>
        <v/>
      </c>
    </row>
    <row r="25" ht="25.5" customHeight="1" s="186">
      <c r="A25" s="100" t="inlineStr">
        <is>
          <t>支出日</t>
        </is>
      </c>
      <c r="B25" s="100" t="inlineStr">
        <is>
          <t>摘要</t>
        </is>
      </c>
      <c r="C25" s="100" t="inlineStr">
        <is>
          <t>支出</t>
        </is>
      </c>
      <c r="D25" s="100" t="inlineStr">
        <is>
          <t>累計</t>
        </is>
      </c>
      <c r="E25" s="100" t="inlineStr">
        <is>
          <t>状態</t>
        </is>
      </c>
      <c r="F25" s="100" t="inlineStr">
        <is>
          <t>支出日</t>
        </is>
      </c>
      <c r="G25" s="100" t="inlineStr">
        <is>
          <t>摘要</t>
        </is>
      </c>
      <c r="H25" s="100" t="inlineStr">
        <is>
          <t>支出</t>
        </is>
      </c>
      <c r="I25" s="100" t="inlineStr">
        <is>
          <t>累計</t>
        </is>
      </c>
      <c r="J25" s="100" t="inlineStr">
        <is>
          <t>状態</t>
        </is>
      </c>
      <c r="K25" s="100" t="inlineStr">
        <is>
          <t>支出日</t>
        </is>
      </c>
      <c r="L25" s="100" t="inlineStr">
        <is>
          <t>摘要</t>
        </is>
      </c>
      <c r="M25" s="100" t="inlineStr">
        <is>
          <t>支出</t>
        </is>
      </c>
      <c r="N25" s="100" t="inlineStr">
        <is>
          <t>累計</t>
        </is>
      </c>
      <c r="O25" s="100" t="inlineStr">
        <is>
          <t>状態</t>
        </is>
      </c>
      <c r="P25" s="100" t="inlineStr">
        <is>
          <t>支出日</t>
        </is>
      </c>
      <c r="Q25" s="100" t="inlineStr">
        <is>
          <t>摘要</t>
        </is>
      </c>
      <c r="R25" s="100" t="inlineStr">
        <is>
          <t>支出</t>
        </is>
      </c>
      <c r="S25" s="100" t="inlineStr">
        <is>
          <t>累計</t>
        </is>
      </c>
      <c r="T25" s="100" t="inlineStr">
        <is>
          <t>状態</t>
        </is>
      </c>
    </row>
    <row r="26" ht="25.5" customHeight="1" s="186">
      <c r="A26" s="825" t="n"/>
      <c r="B26" s="826" t="inlineStr">
        <is>
          <t>（予算なし）</t>
        </is>
      </c>
      <c r="C26" s="830" t="n"/>
      <c r="D26" s="831" t="n">
        <v>0</v>
      </c>
      <c r="F26" s="825" t="n"/>
      <c r="G26" s="826" t="inlineStr">
        <is>
          <t>（予算なし）</t>
        </is>
      </c>
      <c r="H26" s="830" t="n"/>
      <c r="I26" s="831" t="n">
        <v>0</v>
      </c>
      <c r="K26" s="825" t="n"/>
      <c r="L26" s="826" t="inlineStr">
        <is>
          <t>（予算なし）</t>
        </is>
      </c>
      <c r="M26" s="830" t="n"/>
      <c r="N26" s="831" t="n">
        <v>0</v>
      </c>
      <c r="P26" s="825" t="n"/>
      <c r="Q26" s="826" t="inlineStr">
        <is>
          <t>（予算なし）</t>
        </is>
      </c>
      <c r="R26" s="830" t="n"/>
      <c r="S26" s="831" t="n">
        <v>0</v>
      </c>
    </row>
    <row r="27" ht="25.5" customHeight="1" s="186" thickBot="1">
      <c r="A27" s="825">
        <f>IFERROR(INDEX(決算整理!$A$5:$A$1835,MATCH("通信運搬費|L|1",決算整理!$T$5:$T$1835,0)),"")</f>
        <v>43951</v>
      </c>
      <c r="B27" s="826" t="str">
        <f>IFERROR(INDEX(決算整理!$E$5:$E$1835,MATCH("通信運搬費|L|1",決算整理!$T$5:$T$1835,0)),"")</f>
        <v>後納料金利用料　3月分</v>
      </c>
      <c r="C27" s="830">
        <f>IFERROR(INDEX(決算整理!$R$5:$R$1835,MATCH("通信運搬費|L|1",決算整理!$T$5:$T$1835,0)),"")</f>
        <v>80599</v>
      </c>
      <c r="D27" s="831">
        <f>IF(C27="","",D26+C27)</f>
        <v>80599</v>
      </c>
      <c r="E27" s="829" t="str">
        <f>IFERROR(INDEX(決算整理!$P$5:$P$1835,MATCH("通信運搬費|L|1",決算整理!$T$5:$T$1835,0)),"")</f>
        <v>昨年実績</v>
      </c>
      <c r="F27" s="825">
        <f>IFERROR(INDEX(決算整理!$A$5:$A$1835,MATCH("送金料|L|1",決算整理!$T$5:$T$1835,0)),"")</f>
        <v>43942</v>
      </c>
      <c r="G27" s="826" t="str">
        <f>IFERROR(INDEX(決算整理!$E$5:$E$1835,MATCH("送金料|L|1",決算整理!$T$5:$T$1835,0)),"")</f>
        <v>年金過払金等返還金振替料金（ゆうちょ銀行）</v>
      </c>
      <c r="H27" s="830">
        <f>IFERROR(INDEX(決算整理!$R$5:$R$1835,MATCH("送金料|L|1",決算整理!$T$5:$T$1835,0)),"")</f>
        <v>1022</v>
      </c>
      <c r="I27" s="831">
        <f>IF(H27="","",I26+H27)</f>
        <v>1022</v>
      </c>
      <c r="J27" s="829" t="str">
        <f>IFERROR(INDEX(決算整理!$P$5:$P$1835,MATCH("送金料|L|1",決算整理!$T$5:$T$1835,0)),"")</f>
        <v>昨年実績</v>
      </c>
      <c r="K27" s="825">
        <f>IFERROR(INDEX(決算整理!$A$5:$A$1835,MATCH("事務費・雑費|L|1",決算整理!$T$5:$T$1835,0)),"")</f>
        <v>45768</v>
      </c>
      <c r="L27" s="826" t="str">
        <f>IFERROR(INDEX(決算整理!$E$5:$E$1835,MATCH("事務費・雑費|L|1",決算整理!$T$5:$T$1835,0)),"")</f>
        <v>ゆうちょ銀行一般振替口座　残高証明書発行手数料</v>
      </c>
      <c r="M27" s="830">
        <f>IFERROR(INDEX(決算整理!$R$5:$R$1835,MATCH("事務費・雑費|L|1",決算整理!$T$5:$T$1835,0)),"")</f>
        <v>3300</v>
      </c>
      <c r="N27" s="831">
        <f>IF(M27="","",N26+M27)</f>
        <v>3300</v>
      </c>
      <c r="O27" s="829" t="str">
        <f>IFERROR(INDEX(決算整理!$P$5:$P$1835,MATCH("事務費・雑費|L|1",決算整理!$T$5:$T$1835,0)),"")</f>
        <v>昨年実績</v>
      </c>
      <c r="P27" s="825" t="str">
        <f>IFERROR(INDEX(決算整理!$A$5:$A$1835,MATCH("会議費|L|1",決算整理!$T$5:$T$1835,0)),"")</f>
        <v/>
      </c>
      <c r="Q27" s="826" t="str">
        <f>IFERROR(INDEX(決算整理!$E$5:$E$1835,MATCH("会議費|L|1",決算整理!$T$5:$T$1835,0)),"")</f>
        <v/>
      </c>
      <c r="R27" s="830" t="str">
        <f>IFERROR(INDEX(決算整理!$R$5:$R$1835,MATCH("会議費|L|1",決算整理!$T$5:$T$1835,0)),"")</f>
        <v/>
      </c>
      <c r="S27" s="831" t="str">
        <f>IF(R27="","",S26+R27)</f>
        <v/>
      </c>
      <c r="T27" s="829" t="str">
        <f>IFERROR(INDEX(決算整理!$P$5:$P$1835,MATCH("会議費|L|1",決算整理!$T$5:$T$1835,0)),"")</f>
        <v/>
      </c>
    </row>
    <row r="28" ht="25.5" customHeight="1" s="186" thickBot="1">
      <c r="A28" s="825">
        <f>IFERROR(INDEX(決算整理!$A$5:$A$1835,MATCH("通信運搬費|L|2",決算整理!$T$5:$T$1835,0)),"")</f>
        <v>43951</v>
      </c>
      <c r="B28" s="826" t="str">
        <f>IFERROR(INDEX(決算整理!$E$5:$E$1835,MATCH("通信運搬費|L|2",決算整理!$T$5:$T$1835,0)),"")</f>
        <v>ファクシミリ電話代等分担金（第4四半期）長期</v>
      </c>
      <c r="C28" s="830">
        <f>IFERROR(INDEX(決算整理!$R$5:$R$1835,MATCH("通信運搬費|L|2",決算整理!$T$5:$T$1835,0)),"")</f>
        <v>5952</v>
      </c>
      <c r="D28" s="831">
        <f>IF(C28="","",D27+C28)</f>
        <v>86551</v>
      </c>
      <c r="E28" s="829" t="str">
        <f>IFERROR(INDEX(決算整理!$P$5:$P$1835,MATCH("通信運搬費|L|2",決算整理!$T$5:$T$1835,0)),"")</f>
        <v>昨年実績</v>
      </c>
      <c r="F28" s="825">
        <f>IFERROR(INDEX(決算整理!$A$5:$A$1835,MATCH("送金料|L|2",決算整理!$T$5:$T$1835,0)),"")</f>
        <v>43931</v>
      </c>
      <c r="G28" s="826" t="str">
        <f>IFERROR(INDEX(決算整理!$E$5:$E$1835,MATCH("送金料|L|2",決算整理!$T$5:$T$1835,0)),"")</f>
        <v>広銀手数料（３月分）長期</v>
      </c>
      <c r="H28" s="830">
        <f>IFERROR(INDEX(決算整理!$R$5:$R$1835,MATCH("送金料|L|2",決算整理!$T$5:$T$1835,0)),"")</f>
        <v>19580</v>
      </c>
      <c r="I28" s="831">
        <f>IF(H28="","",I27+H28)</f>
        <v>20602</v>
      </c>
      <c r="J28" s="829" t="str">
        <f>IFERROR(INDEX(決算整理!$P$5:$P$1835,MATCH("送金料|L|2",決算整理!$T$5:$T$1835,0)),"")</f>
        <v>昨年実績</v>
      </c>
      <c r="K28" s="825">
        <f>IFERROR(INDEX(決算整理!$A$5:$A$1835,MATCH("事務費・雑費|L|2",決算整理!$T$5:$T$1835,0)),"")</f>
        <v>43942</v>
      </c>
      <c r="L28" s="826" t="str">
        <f>IFERROR(INDEX(決算整理!$E$5:$E$1835,MATCH("事務費・雑費|L|2",決算整理!$T$5:$T$1835,0)),"")</f>
        <v>ゆうちょ銀行一般振替口座　残高証明書発行手数料</v>
      </c>
      <c r="M28" s="830">
        <f>IFERROR(INDEX(決算整理!$R$5:$R$1835,MATCH("事務費・雑費|L|2",決算整理!$T$5:$T$1835,0)),"")</f>
        <v>617</v>
      </c>
      <c r="N28" s="831">
        <f>IF(M28="","",N27+M28)</f>
        <v>3917</v>
      </c>
      <c r="O28" s="829" t="str">
        <f>IFERROR(INDEX(決算整理!$P$5:$P$1835,MATCH("事務費・雑費|L|2",決算整理!$T$5:$T$1835,0)),"")</f>
        <v>昨年実績</v>
      </c>
      <c r="P28" s="825" t="str">
        <f>IFERROR(INDEX(決算整理!$A$5:$A$1835,MATCH("会議費|L|2",決算整理!$T$5:$T$1835,0)),"")</f>
        <v/>
      </c>
      <c r="Q28" s="826" t="str">
        <f>IFERROR(INDEX(決算整理!$E$5:$E$1835,MATCH("会議費|L|2",決算整理!$T$5:$T$1835,0)),"")</f>
        <v/>
      </c>
      <c r="R28" s="830" t="str">
        <f>IFERROR(INDEX(決算整理!$R$5:$R$1835,MATCH("会議費|L|2",決算整理!$T$5:$T$1835,0)),"")</f>
        <v/>
      </c>
      <c r="S28" s="831" t="str">
        <f>IF(R28="","",S27+R28)</f>
        <v/>
      </c>
      <c r="T28" s="829" t="str">
        <f>IFERROR(INDEX(決算整理!$P$5:$P$1835,MATCH("会議費|L|2",決算整理!$T$5:$T$1835,0)),"")</f>
        <v/>
      </c>
    </row>
    <row r="29" ht="25.5" customHeight="1" s="186">
      <c r="A29" s="825">
        <f>IFERROR(INDEX(決算整理!$A$5:$A$1835,MATCH("通信運搬費|L|3",決算整理!$T$5:$T$1835,0)),"")</f>
        <v>43951</v>
      </c>
      <c r="B29" s="826" t="str">
        <f>IFERROR(INDEX(決算整理!$E$5:$E$1835,MATCH("通信運搬費|L|3",決算整理!$T$5:$T$1835,0)),"")</f>
        <v>行政財産使用電話料（１０～３月分）</v>
      </c>
      <c r="C29" s="830">
        <f>IFERROR(INDEX(決算整理!$R$5:$R$1835,MATCH("通信運搬費|L|3",決算整理!$T$5:$T$1835,0)),"")</f>
        <v>18000</v>
      </c>
      <c r="D29" s="831">
        <f>IF(C29="","",D28+C29)</f>
        <v>104551</v>
      </c>
      <c r="E29" s="829" t="str">
        <f>IFERROR(INDEX(決算整理!$P$5:$P$1835,MATCH("通信運搬費|L|3",決算整理!$T$5:$T$1835,0)),"")</f>
        <v>昨年実績</v>
      </c>
      <c r="F29" s="825" t="str">
        <f>IFERROR(INDEX(決算整理!$A$5:$A$1835,MATCH("送金料|L|3",決算整理!$T$5:$T$1835,0)),"")</f>
        <v/>
      </c>
      <c r="G29" s="826" t="str">
        <f>IFERROR(INDEX(決算整理!$E$5:$E$1835,MATCH("送金料|L|3",決算整理!$T$5:$T$1835,0)),"")</f>
        <v/>
      </c>
      <c r="H29" s="830" t="str">
        <f>IFERROR(INDEX(決算整理!$R$5:$R$1835,MATCH("送金料|L|3",決算整理!$T$5:$T$1835,0)),"")</f>
        <v/>
      </c>
      <c r="I29" s="831" t="str">
        <f>IF(H29="","",I28+H29)</f>
        <v/>
      </c>
      <c r="J29" s="829" t="str">
        <f>IFERROR(INDEX(決算整理!$P$5:$P$1835,MATCH("送金料|L|3",決算整理!$T$5:$T$1835,0)),"")</f>
        <v/>
      </c>
      <c r="K29" s="825" t="str">
        <f>IFERROR(INDEX(決算整理!$A$5:$A$1835,MATCH("事務費・雑費|L|3",決算整理!$T$5:$T$1835,0)),"")</f>
        <v/>
      </c>
      <c r="L29" s="826" t="str">
        <f>IFERROR(INDEX(決算整理!$E$5:$E$1835,MATCH("事務費・雑費|L|3",決算整理!$T$5:$T$1835,0)),"")</f>
        <v/>
      </c>
      <c r="M29" s="830" t="str">
        <f>IFERROR(INDEX(決算整理!$R$5:$R$1835,MATCH("事務費・雑費|L|3",決算整理!$T$5:$T$1835,0)),"")</f>
        <v/>
      </c>
      <c r="N29" s="831" t="str">
        <f>IF(M29="","",N28+M29)</f>
        <v/>
      </c>
      <c r="O29" s="829" t="str">
        <f>IFERROR(INDEX(決算整理!$P$5:$P$1835,MATCH("事務費・雑費|L|3",決算整理!$T$5:$T$1835,0)),"")</f>
        <v/>
      </c>
      <c r="P29" s="825" t="str">
        <f>IFERROR(INDEX(決算整理!$A$5:$A$1835,MATCH("会議費|L|3",決算整理!$T$5:$T$1835,0)),"")</f>
        <v/>
      </c>
      <c r="Q29" s="826" t="str">
        <f>IFERROR(INDEX(決算整理!$E$5:$E$1835,MATCH("会議費|L|3",決算整理!$T$5:$T$1835,0)),"")</f>
        <v/>
      </c>
      <c r="R29" s="830" t="str">
        <f>IFERROR(INDEX(決算整理!$R$5:$R$1835,MATCH("会議費|L|3",決算整理!$T$5:$T$1835,0)),"")</f>
        <v/>
      </c>
      <c r="S29" s="831" t="str">
        <f>IF(R29="","",S28+R29)</f>
        <v/>
      </c>
      <c r="T29" s="829" t="str">
        <f>IFERROR(INDEX(決算整理!$P$5:$P$1835,MATCH("会議費|L|3",決算整理!$T$5:$T$1835,0)),"")</f>
        <v/>
      </c>
    </row>
    <row r="30" ht="25.5" customHeight="1" s="186" thickBot="1">
      <c r="A30" s="825" t="str">
        <f>IFERROR(INDEX(決算整理!$A$5:$A$1835,MATCH("通信運搬費|L|4",決算整理!$T$5:$T$1835,0)),"")</f>
        <v/>
      </c>
      <c r="B30" s="826" t="str">
        <f>IFERROR(INDEX(決算整理!$E$5:$E$1835,MATCH("通信運搬費|L|4",決算整理!$T$5:$T$1835,0)),"")</f>
        <v/>
      </c>
      <c r="C30" s="830" t="str">
        <f>IFERROR(INDEX(決算整理!$R$5:$R$1835,MATCH("通信運搬費|L|4",決算整理!$T$5:$T$1835,0)),"")</f>
        <v/>
      </c>
      <c r="D30" s="831" t="str">
        <f>IF(C30="","",D29+C30)</f>
        <v/>
      </c>
      <c r="E30" s="829" t="str">
        <f>IFERROR(INDEX(決算整理!$P$5:$P$1835,MATCH("通信運搬費|L|4",決算整理!$T$5:$T$1835,0)),"")</f>
        <v/>
      </c>
      <c r="F30" s="825" t="str">
        <f>IFERROR(INDEX(決算整理!$A$5:$A$1835,MATCH("送金料|L|4",決算整理!$T$5:$T$1835,0)),"")</f>
        <v/>
      </c>
      <c r="G30" s="826" t="str">
        <f>IFERROR(INDEX(決算整理!$E$5:$E$1835,MATCH("送金料|L|4",決算整理!$T$5:$T$1835,0)),"")</f>
        <v/>
      </c>
      <c r="H30" s="830" t="str">
        <f>IFERROR(INDEX(決算整理!$R$5:$R$1835,MATCH("送金料|L|4",決算整理!$T$5:$T$1835,0)),"")</f>
        <v/>
      </c>
      <c r="I30" s="831" t="str">
        <f>IF(H30="","",I29+H30)</f>
        <v/>
      </c>
      <c r="J30" s="829" t="str">
        <f>IFERROR(INDEX(決算整理!$P$5:$P$1835,MATCH("送金料|L|4",決算整理!$T$5:$T$1835,0)),"")</f>
        <v/>
      </c>
      <c r="K30" s="825" t="str">
        <f>IFERROR(INDEX(決算整理!$A$5:$A$1835,MATCH("事務費・雑費|L|4",決算整理!$T$5:$T$1835,0)),"")</f>
        <v/>
      </c>
      <c r="L30" s="826" t="str">
        <f>IFERROR(INDEX(決算整理!$E$5:$E$1835,MATCH("事務費・雑費|L|4",決算整理!$T$5:$T$1835,0)),"")</f>
        <v/>
      </c>
      <c r="M30" s="830" t="str">
        <f>IFERROR(INDEX(決算整理!$R$5:$R$1835,MATCH("事務費・雑費|L|4",決算整理!$T$5:$T$1835,0)),"")</f>
        <v/>
      </c>
      <c r="N30" s="831" t="str">
        <f>IF(M30="","",N29+M30)</f>
        <v/>
      </c>
      <c r="O30" s="829" t="str">
        <f>IFERROR(INDEX(決算整理!$P$5:$P$1835,MATCH("事務費・雑費|L|4",決算整理!$T$5:$T$1835,0)),"")</f>
        <v/>
      </c>
      <c r="P30" s="825" t="str">
        <f>IFERROR(INDEX(決算整理!$A$5:$A$1835,MATCH("会議費|L|4",決算整理!$T$5:$T$1835,0)),"")</f>
        <v/>
      </c>
      <c r="Q30" s="826" t="str">
        <f>IFERROR(INDEX(決算整理!$E$5:$E$1835,MATCH("会議費|L|4",決算整理!$T$5:$T$1835,0)),"")</f>
        <v/>
      </c>
      <c r="R30" s="830" t="str">
        <f>IFERROR(INDEX(決算整理!$R$5:$R$1835,MATCH("会議費|L|4",決算整理!$T$5:$T$1835,0)),"")</f>
        <v/>
      </c>
      <c r="S30" s="831" t="str">
        <f>IF(R30="","",S29+R30)</f>
        <v/>
      </c>
      <c r="T30" s="829" t="str">
        <f>IFERROR(INDEX(決算整理!$P$5:$P$1835,MATCH("会議費|L|4",決算整理!$T$5:$T$1835,0)),"")</f>
        <v/>
      </c>
    </row>
    <row r="31" ht="25.5" customHeight="1" s="186" thickBot="1">
      <c r="A31" s="825" t="str">
        <f>IFERROR(INDEX(決算整理!$A$5:$A$1835,MATCH("通信運搬費|L|5",決算整理!$T$5:$T$1835,0)),"")</f>
        <v/>
      </c>
      <c r="B31" s="826" t="str">
        <f>IFERROR(INDEX(決算整理!$E$5:$E$1835,MATCH("通信運搬費|L|5",決算整理!$T$5:$T$1835,0)),"")</f>
        <v/>
      </c>
      <c r="C31" s="830" t="str">
        <f>IFERROR(INDEX(決算整理!$R$5:$R$1835,MATCH("通信運搬費|L|5",決算整理!$T$5:$T$1835,0)),"")</f>
        <v/>
      </c>
      <c r="D31" s="831" t="str">
        <f>IF(C31="","",D30+C31)</f>
        <v/>
      </c>
      <c r="E31" s="829" t="str">
        <f>IFERROR(INDEX(決算整理!$P$5:$P$1835,MATCH("通信運搬費|L|5",決算整理!$T$5:$T$1835,0)),"")</f>
        <v/>
      </c>
      <c r="F31" s="825" t="str">
        <f>IFERROR(INDEX(決算整理!$A$5:$A$1835,MATCH("送金料|L|5",決算整理!$T$5:$T$1835,0)),"")</f>
        <v/>
      </c>
      <c r="G31" s="826" t="str">
        <f>IFERROR(INDEX(決算整理!$E$5:$E$1835,MATCH("送金料|L|5",決算整理!$T$5:$T$1835,0)),"")</f>
        <v/>
      </c>
      <c r="H31" s="830" t="str">
        <f>IFERROR(INDEX(決算整理!$R$5:$R$1835,MATCH("送金料|L|5",決算整理!$T$5:$T$1835,0)),"")</f>
        <v/>
      </c>
      <c r="I31" s="831" t="str">
        <f>IF(H31="","",I30+H31)</f>
        <v/>
      </c>
      <c r="J31" s="829" t="str">
        <f>IFERROR(INDEX(決算整理!$P$5:$P$1835,MATCH("送金料|L|5",決算整理!$T$5:$T$1835,0)),"")</f>
        <v/>
      </c>
      <c r="K31" s="825" t="str">
        <f>IFERROR(INDEX(決算整理!$A$5:$A$1835,MATCH("事務費・雑費|L|5",決算整理!$T$5:$T$1835,0)),"")</f>
        <v/>
      </c>
      <c r="L31" s="826" t="str">
        <f>IFERROR(INDEX(決算整理!$E$5:$E$1835,MATCH("事務費・雑費|L|5",決算整理!$T$5:$T$1835,0)),"")</f>
        <v/>
      </c>
      <c r="M31" s="830" t="str">
        <f>IFERROR(INDEX(決算整理!$R$5:$R$1835,MATCH("事務費・雑費|L|5",決算整理!$T$5:$T$1835,0)),"")</f>
        <v/>
      </c>
      <c r="N31" s="831" t="str">
        <f>IF(M31="","",N30+M31)</f>
        <v/>
      </c>
      <c r="O31" s="829" t="str">
        <f>IFERROR(INDEX(決算整理!$P$5:$P$1835,MATCH("事務費・雑費|L|5",決算整理!$T$5:$T$1835,0)),"")</f>
        <v/>
      </c>
      <c r="P31" s="825" t="str">
        <f>IFERROR(INDEX(決算整理!$A$5:$A$1835,MATCH("会議費|L|5",決算整理!$T$5:$T$1835,0)),"")</f>
        <v/>
      </c>
      <c r="Q31" s="826" t="str">
        <f>IFERROR(INDEX(決算整理!$E$5:$E$1835,MATCH("会議費|L|5",決算整理!$T$5:$T$1835,0)),"")</f>
        <v/>
      </c>
      <c r="R31" s="830" t="str">
        <f>IFERROR(INDEX(決算整理!$R$5:$R$1835,MATCH("会議費|L|5",決算整理!$T$5:$T$1835,0)),"")</f>
        <v/>
      </c>
      <c r="S31" s="831" t="str">
        <f>IF(R31="","",S30+R31)</f>
        <v/>
      </c>
      <c r="T31" s="829" t="str">
        <f>IFERROR(INDEX(決算整理!$P$5:$P$1835,MATCH("会議費|L|5",決算整理!$T$5:$T$1835,0)),"")</f>
        <v/>
      </c>
    </row>
    <row r="32" ht="25.5" customHeight="1" s="186" thickBot="1">
      <c r="A32" s="825" t="str">
        <f>IFERROR(INDEX(決算整理!$A$5:$A$1835,MATCH("通信運搬費|L|6",決算整理!$T$5:$T$1835,0)),"")</f>
        <v/>
      </c>
      <c r="B32" s="826" t="str">
        <f>IFERROR(INDEX(決算整理!$E$5:$E$1835,MATCH("通信運搬費|L|6",決算整理!$T$5:$T$1835,0)),"")</f>
        <v/>
      </c>
      <c r="C32" s="830" t="str">
        <f>IFERROR(INDEX(決算整理!$R$5:$R$1835,MATCH("通信運搬費|L|6",決算整理!$T$5:$T$1835,0)),"")</f>
        <v/>
      </c>
      <c r="D32" s="831" t="str">
        <f>IF(C32="","",D31+C32)</f>
        <v/>
      </c>
      <c r="E32" s="829" t="str">
        <f>IFERROR(INDEX(決算整理!$P$5:$P$1835,MATCH("通信運搬費|L|6",決算整理!$T$5:$T$1835,0)),"")</f>
        <v/>
      </c>
      <c r="F32" s="825" t="str">
        <f>IFERROR(INDEX(決算整理!$A$5:$A$1835,MATCH("送金料|L|6",決算整理!$T$5:$T$1835,0)),"")</f>
        <v/>
      </c>
      <c r="G32" s="826" t="str">
        <f>IFERROR(INDEX(決算整理!$E$5:$E$1835,MATCH("送金料|L|6",決算整理!$T$5:$T$1835,0)),"")</f>
        <v/>
      </c>
      <c r="H32" s="830" t="str">
        <f>IFERROR(INDEX(決算整理!$R$5:$R$1835,MATCH("送金料|L|6",決算整理!$T$5:$T$1835,0)),"")</f>
        <v/>
      </c>
      <c r="I32" s="831" t="str">
        <f>IF(H32="","",I31+H32)</f>
        <v/>
      </c>
      <c r="J32" s="829" t="str">
        <f>IFERROR(INDEX(決算整理!$P$5:$P$1835,MATCH("送金料|L|6",決算整理!$T$5:$T$1835,0)),"")</f>
        <v/>
      </c>
      <c r="K32" s="825" t="str">
        <f>IFERROR(INDEX(決算整理!$A$5:$A$1835,MATCH("事務費・雑費|L|6",決算整理!$T$5:$T$1835,0)),"")</f>
        <v/>
      </c>
      <c r="L32" s="826" t="str">
        <f>IFERROR(INDEX(決算整理!$E$5:$E$1835,MATCH("事務費・雑費|L|6",決算整理!$T$5:$T$1835,0)),"")</f>
        <v/>
      </c>
      <c r="M32" s="830" t="str">
        <f>IFERROR(INDEX(決算整理!$R$5:$R$1835,MATCH("事務費・雑費|L|6",決算整理!$T$5:$T$1835,0)),"")</f>
        <v/>
      </c>
      <c r="N32" s="831" t="str">
        <f>IF(M32="","",N31+M32)</f>
        <v/>
      </c>
      <c r="O32" s="829" t="str">
        <f>IFERROR(INDEX(決算整理!$P$5:$P$1835,MATCH("事務費・雑費|L|6",決算整理!$T$5:$T$1835,0)),"")</f>
        <v/>
      </c>
      <c r="P32" s="825" t="str">
        <f>IFERROR(INDEX(決算整理!$A$5:$A$1835,MATCH("会議費|L|6",決算整理!$T$5:$T$1835,0)),"")</f>
        <v/>
      </c>
      <c r="Q32" s="826" t="str">
        <f>IFERROR(INDEX(決算整理!$E$5:$E$1835,MATCH("会議費|L|6",決算整理!$T$5:$T$1835,0)),"")</f>
        <v/>
      </c>
      <c r="R32" s="830" t="str">
        <f>IFERROR(INDEX(決算整理!$R$5:$R$1835,MATCH("会議費|L|6",決算整理!$T$5:$T$1835,0)),"")</f>
        <v/>
      </c>
      <c r="S32" s="831" t="str">
        <f>IF(R32="","",S31+R32)</f>
        <v/>
      </c>
      <c r="T32" s="829" t="str">
        <f>IFERROR(INDEX(決算整理!$P$5:$P$1835,MATCH("会議費|L|6",決算整理!$T$5:$T$1835,0)),"")</f>
        <v/>
      </c>
    </row>
    <row r="33" ht="25.5" customHeight="1" s="186" thickBot="1">
      <c r="A33" s="825" t="str">
        <f>IFERROR(INDEX(決算整理!$A$5:$A$1835,MATCH("通信運搬費|L|7",決算整理!$T$5:$T$1835,0)),"")</f>
        <v/>
      </c>
      <c r="B33" s="826" t="str">
        <f>IFERROR(INDEX(決算整理!$E$5:$E$1835,MATCH("通信運搬費|L|7",決算整理!$T$5:$T$1835,0)),"")</f>
        <v/>
      </c>
      <c r="C33" s="830" t="str">
        <f>IFERROR(INDEX(決算整理!$R$5:$R$1835,MATCH("通信運搬費|L|7",決算整理!$T$5:$T$1835,0)),"")</f>
        <v/>
      </c>
      <c r="D33" s="831" t="str">
        <f>IF(C33="","",D32+C33)</f>
        <v/>
      </c>
      <c r="E33" s="829" t="str">
        <f>IFERROR(INDEX(決算整理!$P$5:$P$1835,MATCH("通信運搬費|L|7",決算整理!$T$5:$T$1835,0)),"")</f>
        <v/>
      </c>
      <c r="F33" s="825" t="str">
        <f>IFERROR(INDEX(決算整理!$A$5:$A$1835,MATCH("送金料|L|7",決算整理!$T$5:$T$1835,0)),"")</f>
        <v/>
      </c>
      <c r="G33" s="826" t="str">
        <f>IFERROR(INDEX(決算整理!$E$5:$E$1835,MATCH("送金料|L|7",決算整理!$T$5:$T$1835,0)),"")</f>
        <v/>
      </c>
      <c r="H33" s="830" t="str">
        <f>IFERROR(INDEX(決算整理!$R$5:$R$1835,MATCH("送金料|L|7",決算整理!$T$5:$T$1835,0)),"")</f>
        <v/>
      </c>
      <c r="I33" s="831" t="str">
        <f>IF(H33="","",I32+H33)</f>
        <v/>
      </c>
      <c r="J33" s="829" t="str">
        <f>IFERROR(INDEX(決算整理!$P$5:$P$1835,MATCH("送金料|L|7",決算整理!$T$5:$T$1835,0)),"")</f>
        <v/>
      </c>
      <c r="K33" s="825" t="str">
        <f>IFERROR(INDEX(決算整理!$A$5:$A$1835,MATCH("事務費・雑費|L|7",決算整理!$T$5:$T$1835,0)),"")</f>
        <v/>
      </c>
      <c r="L33" s="826" t="str">
        <f>IFERROR(INDEX(決算整理!$E$5:$E$1835,MATCH("事務費・雑費|L|7",決算整理!$T$5:$T$1835,0)),"")</f>
        <v/>
      </c>
      <c r="M33" s="830" t="str">
        <f>IFERROR(INDEX(決算整理!$R$5:$R$1835,MATCH("事務費・雑費|L|7",決算整理!$T$5:$T$1835,0)),"")</f>
        <v/>
      </c>
      <c r="N33" s="831" t="str">
        <f>IF(M33="","",N32+M33)</f>
        <v/>
      </c>
      <c r="O33" s="829" t="str">
        <f>IFERROR(INDEX(決算整理!$P$5:$P$1835,MATCH("事務費・雑費|L|7",決算整理!$T$5:$T$1835,0)),"")</f>
        <v/>
      </c>
      <c r="P33" s="825" t="str">
        <f>IFERROR(INDEX(決算整理!$A$5:$A$1835,MATCH("会議費|L|7",決算整理!$T$5:$T$1835,0)),"")</f>
        <v/>
      </c>
      <c r="Q33" s="826" t="str">
        <f>IFERROR(INDEX(決算整理!$E$5:$E$1835,MATCH("会議費|L|7",決算整理!$T$5:$T$1835,0)),"")</f>
        <v/>
      </c>
      <c r="R33" s="830" t="str">
        <f>IFERROR(INDEX(決算整理!$R$5:$R$1835,MATCH("会議費|L|7",決算整理!$T$5:$T$1835,0)),"")</f>
        <v/>
      </c>
      <c r="S33" s="831" t="str">
        <f>IF(R33="","",S32+R33)</f>
        <v/>
      </c>
      <c r="T33" s="829" t="str">
        <f>IFERROR(INDEX(決算整理!$P$5:$P$1835,MATCH("会議費|L|7",決算整理!$T$5:$T$1835,0)),"")</f>
        <v/>
      </c>
    </row>
    <row r="34" ht="25.5" customHeight="1" s="186" thickBot="1">
      <c r="A34" s="825" t="str">
        <f>IFERROR(INDEX(決算整理!$A$5:$A$1835,MATCH("通信運搬費|L|8",決算整理!$T$5:$T$1835,0)),"")</f>
        <v/>
      </c>
      <c r="B34" s="826" t="str">
        <f>IFERROR(INDEX(決算整理!$E$5:$E$1835,MATCH("通信運搬費|L|8",決算整理!$T$5:$T$1835,0)),"")</f>
        <v/>
      </c>
      <c r="C34" s="830" t="str">
        <f>IFERROR(INDEX(決算整理!$R$5:$R$1835,MATCH("通信運搬費|L|8",決算整理!$T$5:$T$1835,0)),"")</f>
        <v/>
      </c>
      <c r="D34" s="831" t="str">
        <f>IF(C34="","",D33+C34)</f>
        <v/>
      </c>
      <c r="E34" s="829" t="str">
        <f>IFERROR(INDEX(決算整理!$P$5:$P$1835,MATCH("通信運搬費|L|8",決算整理!$T$5:$T$1835,0)),"")</f>
        <v/>
      </c>
      <c r="F34" s="825" t="str">
        <f>IFERROR(INDEX(決算整理!$A$5:$A$1835,MATCH("送金料|L|8",決算整理!$T$5:$T$1835,0)),"")</f>
        <v/>
      </c>
      <c r="G34" s="826" t="str">
        <f>IFERROR(INDEX(決算整理!$E$5:$E$1835,MATCH("送金料|L|8",決算整理!$T$5:$T$1835,0)),"")</f>
        <v/>
      </c>
      <c r="H34" s="830" t="str">
        <f>IFERROR(INDEX(決算整理!$R$5:$R$1835,MATCH("送金料|L|8",決算整理!$T$5:$T$1835,0)),"")</f>
        <v/>
      </c>
      <c r="I34" s="831" t="str">
        <f>IF(H34="","",I33+H34)</f>
        <v/>
      </c>
      <c r="J34" s="829" t="str">
        <f>IFERROR(INDEX(決算整理!$P$5:$P$1835,MATCH("送金料|L|8",決算整理!$T$5:$T$1835,0)),"")</f>
        <v/>
      </c>
      <c r="K34" s="825" t="str">
        <f>IFERROR(INDEX(決算整理!$A$5:$A$1835,MATCH("事務費・雑費|L|8",決算整理!$T$5:$T$1835,0)),"")</f>
        <v/>
      </c>
      <c r="L34" s="826" t="str">
        <f>IFERROR(INDEX(決算整理!$E$5:$E$1835,MATCH("事務費・雑費|L|8",決算整理!$T$5:$T$1835,0)),"")</f>
        <v/>
      </c>
      <c r="M34" s="830" t="str">
        <f>IFERROR(INDEX(決算整理!$R$5:$R$1835,MATCH("事務費・雑費|L|8",決算整理!$T$5:$T$1835,0)),"")</f>
        <v/>
      </c>
      <c r="N34" s="831" t="str">
        <f>IF(M34="","",N33+M34)</f>
        <v/>
      </c>
      <c r="O34" s="829" t="str">
        <f>IFERROR(INDEX(決算整理!$P$5:$P$1835,MATCH("事務費・雑費|L|8",決算整理!$T$5:$T$1835,0)),"")</f>
        <v/>
      </c>
      <c r="P34" s="825" t="str">
        <f>IFERROR(INDEX(決算整理!$A$5:$A$1835,MATCH("会議費|L|8",決算整理!$T$5:$T$1835,0)),"")</f>
        <v/>
      </c>
      <c r="Q34" s="826" t="str">
        <f>IFERROR(INDEX(決算整理!$E$5:$E$1835,MATCH("会議費|L|8",決算整理!$T$5:$T$1835,0)),"")</f>
        <v/>
      </c>
      <c r="R34" s="830" t="str">
        <f>IFERROR(INDEX(決算整理!$R$5:$R$1835,MATCH("会議費|L|8",決算整理!$T$5:$T$1835,0)),"")</f>
        <v/>
      </c>
      <c r="S34" s="831" t="str">
        <f>IF(R34="","",S33+R34)</f>
        <v/>
      </c>
      <c r="T34" s="829" t="str">
        <f>IFERROR(INDEX(決算整理!$P$5:$P$1835,MATCH("会議費|L|8",決算整理!$T$5:$T$1835,0)),"")</f>
        <v/>
      </c>
    </row>
    <row r="35" ht="25.5" customHeight="1" s="186" thickBot="1">
      <c r="A35" s="825" t="str">
        <f>IFERROR(INDEX(決算整理!$A$5:$A$1835,MATCH("通信運搬費|L|9",決算整理!$T$5:$T$1835,0)),"")</f>
        <v/>
      </c>
      <c r="B35" s="826" t="str">
        <f>IFERROR(INDEX(決算整理!$E$5:$E$1835,MATCH("通信運搬費|L|9",決算整理!$T$5:$T$1835,0)),"")</f>
        <v/>
      </c>
      <c r="C35" s="830" t="str">
        <f>IFERROR(INDEX(決算整理!$R$5:$R$1835,MATCH("通信運搬費|L|9",決算整理!$T$5:$T$1835,0)),"")</f>
        <v/>
      </c>
      <c r="D35" s="831" t="str">
        <f>IF(C35="","",D34+C35)</f>
        <v/>
      </c>
      <c r="E35" s="829" t="str">
        <f>IFERROR(INDEX(決算整理!$P$5:$P$1835,MATCH("通信運搬費|L|9",決算整理!$T$5:$T$1835,0)),"")</f>
        <v/>
      </c>
      <c r="F35" s="825" t="str">
        <f>IFERROR(INDEX(決算整理!$A$5:$A$1835,MATCH("送金料|L|9",決算整理!$T$5:$T$1835,0)),"")</f>
        <v/>
      </c>
      <c r="G35" s="826" t="str">
        <f>IFERROR(INDEX(決算整理!$E$5:$E$1835,MATCH("送金料|L|9",決算整理!$T$5:$T$1835,0)),"")</f>
        <v/>
      </c>
      <c r="H35" s="830" t="str">
        <f>IFERROR(INDEX(決算整理!$R$5:$R$1835,MATCH("送金料|L|9",決算整理!$T$5:$T$1835,0)),"")</f>
        <v/>
      </c>
      <c r="I35" s="831" t="str">
        <f>IF(H35="","",I34+H35)</f>
        <v/>
      </c>
      <c r="J35" s="829" t="str">
        <f>IFERROR(INDEX(決算整理!$P$5:$P$1835,MATCH("送金料|L|9",決算整理!$T$5:$T$1835,0)),"")</f>
        <v/>
      </c>
      <c r="K35" s="825" t="str">
        <f>IFERROR(INDEX(決算整理!$A$5:$A$1835,MATCH("事務費・雑費|L|9",決算整理!$T$5:$T$1835,0)),"")</f>
        <v/>
      </c>
      <c r="L35" s="826" t="str">
        <f>IFERROR(INDEX(決算整理!$E$5:$E$1835,MATCH("事務費・雑費|L|9",決算整理!$T$5:$T$1835,0)),"")</f>
        <v/>
      </c>
      <c r="M35" s="830" t="str">
        <f>IFERROR(INDEX(決算整理!$R$5:$R$1835,MATCH("事務費・雑費|L|9",決算整理!$T$5:$T$1835,0)),"")</f>
        <v/>
      </c>
      <c r="N35" s="831" t="str">
        <f>IF(M35="","",N34+M35)</f>
        <v/>
      </c>
      <c r="O35" s="829" t="str">
        <f>IFERROR(INDEX(決算整理!$P$5:$P$1835,MATCH("事務費・雑費|L|9",決算整理!$T$5:$T$1835,0)),"")</f>
        <v/>
      </c>
      <c r="P35" s="825" t="str">
        <f>IFERROR(INDEX(決算整理!$A$5:$A$1835,MATCH("会議費|L|9",決算整理!$T$5:$T$1835,0)),"")</f>
        <v/>
      </c>
      <c r="Q35" s="826" t="str">
        <f>IFERROR(INDEX(決算整理!$E$5:$E$1835,MATCH("会議費|L|9",決算整理!$T$5:$T$1835,0)),"")</f>
        <v/>
      </c>
      <c r="R35" s="830" t="str">
        <f>IFERROR(INDEX(決算整理!$R$5:$R$1835,MATCH("会議費|L|9",決算整理!$T$5:$T$1835,0)),"")</f>
        <v/>
      </c>
      <c r="S35" s="831" t="str">
        <f>IF(R35="","",S34+R35)</f>
        <v/>
      </c>
      <c r="T35" s="829" t="str">
        <f>IFERROR(INDEX(決算整理!$P$5:$P$1835,MATCH("会議費|L|9",決算整理!$T$5:$T$1835,0)),"")</f>
        <v/>
      </c>
    </row>
    <row r="36" ht="25.5" customHeight="1" s="186">
      <c r="A36" s="825" t="str">
        <f>IFERROR(INDEX(決算整理!$A$5:$A$1835,MATCH("通信運搬費|L|10",決算整理!$T$5:$T$1835,0)),"")</f>
        <v/>
      </c>
      <c r="B36" s="826" t="str">
        <f>IFERROR(INDEX(決算整理!$E$5:$E$1835,MATCH("通信運搬費|L|10",決算整理!$T$5:$T$1835,0)),"")</f>
        <v/>
      </c>
      <c r="C36" s="830" t="str">
        <f>IFERROR(INDEX(決算整理!$R$5:$R$1835,MATCH("通信運搬費|L|10",決算整理!$T$5:$T$1835,0)),"")</f>
        <v/>
      </c>
      <c r="D36" s="831" t="str">
        <f>IF(C36="","",D35+C36)</f>
        <v/>
      </c>
      <c r="E36" s="829" t="str">
        <f>IFERROR(INDEX(決算整理!$P$5:$P$1835,MATCH("通信運搬費|L|10",決算整理!$T$5:$T$1835,0)),"")</f>
        <v/>
      </c>
      <c r="F36" s="825" t="str">
        <f>IFERROR(INDEX(決算整理!$A$5:$A$1835,MATCH("送金料|L|10",決算整理!$T$5:$T$1835,0)),"")</f>
        <v/>
      </c>
      <c r="G36" s="826" t="str">
        <f>IFERROR(INDEX(決算整理!$E$5:$E$1835,MATCH("送金料|L|10",決算整理!$T$5:$T$1835,0)),"")</f>
        <v/>
      </c>
      <c r="H36" s="830" t="str">
        <f>IFERROR(INDEX(決算整理!$R$5:$R$1835,MATCH("送金料|L|10",決算整理!$T$5:$T$1835,0)),"")</f>
        <v/>
      </c>
      <c r="I36" s="831" t="str">
        <f>IF(H36="","",I35+H36)</f>
        <v/>
      </c>
      <c r="J36" s="829" t="str">
        <f>IFERROR(INDEX(決算整理!$P$5:$P$1835,MATCH("送金料|L|10",決算整理!$T$5:$T$1835,0)),"")</f>
        <v/>
      </c>
      <c r="K36" s="825" t="str">
        <f>IFERROR(INDEX(決算整理!$A$5:$A$1835,MATCH("事務費・雑費|L|10",決算整理!$T$5:$T$1835,0)),"")</f>
        <v/>
      </c>
      <c r="L36" s="826" t="str">
        <f>IFERROR(INDEX(決算整理!$E$5:$E$1835,MATCH("事務費・雑費|L|10",決算整理!$T$5:$T$1835,0)),"")</f>
        <v/>
      </c>
      <c r="M36" s="830" t="str">
        <f>IFERROR(INDEX(決算整理!$R$5:$R$1835,MATCH("事務費・雑費|L|10",決算整理!$T$5:$T$1835,0)),"")</f>
        <v/>
      </c>
      <c r="N36" s="831" t="str">
        <f>IF(M36="","",N35+M36)</f>
        <v/>
      </c>
      <c r="O36" s="829" t="str">
        <f>IFERROR(INDEX(決算整理!$P$5:$P$1835,MATCH("事務費・雑費|L|10",決算整理!$T$5:$T$1835,0)),"")</f>
        <v/>
      </c>
      <c r="P36" s="825" t="str">
        <f>IFERROR(INDEX(決算整理!$A$5:$A$1835,MATCH("会議費|L|10",決算整理!$T$5:$T$1835,0)),"")</f>
        <v/>
      </c>
      <c r="Q36" s="826" t="str">
        <f>IFERROR(INDEX(決算整理!$E$5:$E$1835,MATCH("会議費|L|10",決算整理!$T$5:$T$1835,0)),"")</f>
        <v/>
      </c>
      <c r="R36" s="830" t="str">
        <f>IFERROR(INDEX(決算整理!$R$5:$R$1835,MATCH("会議費|L|10",決算整理!$T$5:$T$1835,0)),"")</f>
        <v/>
      </c>
      <c r="S36" s="831" t="str">
        <f>IF(R36="","",S35+R36)</f>
        <v/>
      </c>
      <c r="T36" s="829" t="str">
        <f>IFERROR(INDEX(決算整理!$P$5:$P$1835,MATCH("会議費|L|10",決算整理!$T$5:$T$1835,0)),"")</f>
        <v/>
      </c>
    </row>
    <row r="37" ht="25.5" customHeight="1" s="186" thickBot="1">
      <c r="A37" s="825" t="str">
        <f>IFERROR(INDEX(決算整理!$A$5:$A$1835,MATCH("通信運搬費|L|11",決算整理!$T$5:$T$1835,0)),"")</f>
        <v/>
      </c>
      <c r="B37" s="826" t="str">
        <f>IFERROR(INDEX(決算整理!$E$5:$E$1835,MATCH("通信運搬費|L|11",決算整理!$T$5:$T$1835,0)),"")</f>
        <v/>
      </c>
      <c r="C37" s="830" t="str">
        <f>IFERROR(INDEX(決算整理!$R$5:$R$1835,MATCH("通信運搬費|L|11",決算整理!$T$5:$T$1835,0)),"")</f>
        <v/>
      </c>
      <c r="D37" s="831" t="str">
        <f>IF(C37="","",D36+C37)</f>
        <v/>
      </c>
      <c r="E37" s="829" t="str">
        <f>IFERROR(INDEX(決算整理!$P$5:$P$1835,MATCH("通信運搬費|L|11",決算整理!$T$5:$T$1835,0)),"")</f>
        <v/>
      </c>
      <c r="F37" s="825" t="str">
        <f>IFERROR(INDEX(決算整理!$A$5:$A$1835,MATCH("送金料|L|11",決算整理!$T$5:$T$1835,0)),"")</f>
        <v/>
      </c>
      <c r="G37" s="826" t="str">
        <f>IFERROR(INDEX(決算整理!$E$5:$E$1835,MATCH("送金料|L|11",決算整理!$T$5:$T$1835,0)),"")</f>
        <v/>
      </c>
      <c r="H37" s="830" t="str">
        <f>IFERROR(INDEX(決算整理!$R$5:$R$1835,MATCH("送金料|L|11",決算整理!$T$5:$T$1835,0)),"")</f>
        <v/>
      </c>
      <c r="I37" s="831" t="str">
        <f>IF(H37="","",I36+H37)</f>
        <v/>
      </c>
      <c r="J37" s="829" t="str">
        <f>IFERROR(INDEX(決算整理!$P$5:$P$1835,MATCH("送金料|L|11",決算整理!$T$5:$T$1835,0)),"")</f>
        <v/>
      </c>
      <c r="K37" s="825" t="str">
        <f>IFERROR(INDEX(決算整理!$A$5:$A$1835,MATCH("事務費・雑費|L|11",決算整理!$T$5:$T$1835,0)),"")</f>
        <v/>
      </c>
      <c r="L37" s="826" t="str">
        <f>IFERROR(INDEX(決算整理!$E$5:$E$1835,MATCH("事務費・雑費|L|11",決算整理!$T$5:$T$1835,0)),"")</f>
        <v/>
      </c>
      <c r="M37" s="830" t="str">
        <f>IFERROR(INDEX(決算整理!$R$5:$R$1835,MATCH("事務費・雑費|L|11",決算整理!$T$5:$T$1835,0)),"")</f>
        <v/>
      </c>
      <c r="N37" s="831" t="str">
        <f>IF(M37="","",N36+M37)</f>
        <v/>
      </c>
      <c r="O37" s="829" t="str">
        <f>IFERROR(INDEX(決算整理!$P$5:$P$1835,MATCH("事務費・雑費|L|11",決算整理!$T$5:$T$1835,0)),"")</f>
        <v/>
      </c>
      <c r="P37" s="825" t="str">
        <f>IFERROR(INDEX(決算整理!$A$5:$A$1835,MATCH("会議費|L|11",決算整理!$T$5:$T$1835,0)),"")</f>
        <v/>
      </c>
      <c r="Q37" s="826" t="str">
        <f>IFERROR(INDEX(決算整理!$E$5:$E$1835,MATCH("会議費|L|11",決算整理!$T$5:$T$1835,0)),"")</f>
        <v/>
      </c>
      <c r="R37" s="830" t="str">
        <f>IFERROR(INDEX(決算整理!$R$5:$R$1835,MATCH("会議費|L|11",決算整理!$T$5:$T$1835,0)),"")</f>
        <v/>
      </c>
      <c r="S37" s="831" t="str">
        <f>IF(R37="","",S36+R37)</f>
        <v/>
      </c>
      <c r="T37" s="829" t="str">
        <f>IFERROR(INDEX(決算整理!$P$5:$P$1835,MATCH("会議費|L|11",決算整理!$T$5:$T$1835,0)),"")</f>
        <v/>
      </c>
    </row>
    <row r="38" ht="25.5" customHeight="1" s="186" thickBot="1">
      <c r="A38" s="825" t="str">
        <f>IFERROR(INDEX(決算整理!$A$5:$A$1835,MATCH("通信運搬費|L|12",決算整理!$T$5:$T$1835,0)),"")</f>
        <v/>
      </c>
      <c r="B38" s="826" t="str">
        <f>IFERROR(INDEX(決算整理!$E$5:$E$1835,MATCH("通信運搬費|L|12",決算整理!$T$5:$T$1835,0)),"")</f>
        <v/>
      </c>
      <c r="C38" s="830" t="str">
        <f>IFERROR(INDEX(決算整理!$R$5:$R$1835,MATCH("通信運搬費|L|12",決算整理!$T$5:$T$1835,0)),"")</f>
        <v/>
      </c>
      <c r="D38" s="831" t="str">
        <f>IF(C38="","",D37+C38)</f>
        <v/>
      </c>
      <c r="E38" s="829" t="str">
        <f>IFERROR(INDEX(決算整理!$P$5:$P$1835,MATCH("通信運搬費|L|12",決算整理!$T$5:$T$1835,0)),"")</f>
        <v/>
      </c>
      <c r="F38" s="825" t="str">
        <f>IFERROR(INDEX(決算整理!$A$5:$A$1835,MATCH("送金料|L|12",決算整理!$T$5:$T$1835,0)),"")</f>
        <v/>
      </c>
      <c r="G38" s="826" t="str">
        <f>IFERROR(INDEX(決算整理!$E$5:$E$1835,MATCH("送金料|L|12",決算整理!$T$5:$T$1835,0)),"")</f>
        <v/>
      </c>
      <c r="H38" s="830" t="str">
        <f>IFERROR(INDEX(決算整理!$R$5:$R$1835,MATCH("送金料|L|12",決算整理!$T$5:$T$1835,0)),"")</f>
        <v/>
      </c>
      <c r="I38" s="831" t="str">
        <f>IF(H38="","",I37+H38)</f>
        <v/>
      </c>
      <c r="J38" s="829" t="str">
        <f>IFERROR(INDEX(決算整理!$P$5:$P$1835,MATCH("送金料|L|12",決算整理!$T$5:$T$1835,0)),"")</f>
        <v/>
      </c>
      <c r="K38" s="825" t="str">
        <f>IFERROR(INDEX(決算整理!$A$5:$A$1835,MATCH("事務費・雑費|L|12",決算整理!$T$5:$T$1835,0)),"")</f>
        <v/>
      </c>
      <c r="L38" s="826" t="str">
        <f>IFERROR(INDEX(決算整理!$E$5:$E$1835,MATCH("事務費・雑費|L|12",決算整理!$T$5:$T$1835,0)),"")</f>
        <v/>
      </c>
      <c r="M38" s="830" t="str">
        <f>IFERROR(INDEX(決算整理!$R$5:$R$1835,MATCH("事務費・雑費|L|12",決算整理!$T$5:$T$1835,0)),"")</f>
        <v/>
      </c>
      <c r="N38" s="831" t="str">
        <f>IF(M38="","",N37+M38)</f>
        <v/>
      </c>
      <c r="O38" s="829" t="str">
        <f>IFERROR(INDEX(決算整理!$P$5:$P$1835,MATCH("事務費・雑費|L|12",決算整理!$T$5:$T$1835,0)),"")</f>
        <v/>
      </c>
      <c r="P38" s="825" t="str">
        <f>IFERROR(INDEX(決算整理!$A$5:$A$1835,MATCH("会議費|L|12",決算整理!$T$5:$T$1835,0)),"")</f>
        <v/>
      </c>
      <c r="Q38" s="826" t="str">
        <f>IFERROR(INDEX(決算整理!$E$5:$E$1835,MATCH("会議費|L|12",決算整理!$T$5:$T$1835,0)),"")</f>
        <v/>
      </c>
      <c r="R38" s="830" t="str">
        <f>IFERROR(INDEX(決算整理!$R$5:$R$1835,MATCH("会議費|L|12",決算整理!$T$5:$T$1835,0)),"")</f>
        <v/>
      </c>
      <c r="S38" s="831" t="str">
        <f>IF(R38="","",S37+R38)</f>
        <v/>
      </c>
      <c r="T38" s="829" t="str">
        <f>IFERROR(INDEX(決算整理!$P$5:$P$1835,MATCH("会議費|L|12",決算整理!$T$5:$T$1835,0)),"")</f>
        <v/>
      </c>
    </row>
    <row r="39" ht="25.5" customHeight="1" s="186" thickBot="1"/>
    <row r="40" ht="25.5" customHeight="1" s="186" thickBot="1"/>
    <row r="41" ht="25.5" customHeight="1" s="186"/>
    <row r="42" ht="25.5" customHeight="1" s="186">
      <c r="B42" s="502" t="inlineStr">
        <is>
          <t>○旅費</t>
        </is>
      </c>
      <c r="D42" s="93" t="inlineStr">
        <is>
          <t>業務（長）未払</t>
        </is>
      </c>
      <c r="E42" s="824" t="str">
        <f>IF(COUNTIF(決算整理!$T$5:$T$1835,"旅費|L|*")&gt;12,"行不足","")</f>
        <v/>
      </c>
      <c r="G42" s="502" t="inlineStr">
        <is>
          <t>○厚生費</t>
        </is>
      </c>
      <c r="I42" s="93" t="inlineStr">
        <is>
          <t>業務（長）未払</t>
        </is>
      </c>
      <c r="J42" s="824" t="str">
        <f>IF(COUNTIF(決算整理!$T$5:$T$1835,"厚生費|L|*")&gt;12,"行不足","")</f>
        <v/>
      </c>
      <c r="L42" s="502" t="inlineStr">
        <is>
          <t>○普及費</t>
        </is>
      </c>
      <c r="N42" s="93" t="inlineStr">
        <is>
          <t>業務（長）未払</t>
        </is>
      </c>
      <c r="O42" s="824" t="str">
        <f>IF(COUNTIF(決算整理!$T$5:$T$1835,"普及費|L|*")&gt;12,"行不足","")</f>
        <v/>
      </c>
      <c r="Q42" s="502" t="inlineStr">
        <is>
          <t>○光熱水料</t>
        </is>
      </c>
      <c r="S42" s="93" t="inlineStr">
        <is>
          <t>業務（長）未払</t>
        </is>
      </c>
      <c r="T42" s="824" t="str">
        <f>IF(COUNTIF(決算整理!$T$5:$T$1835,"光熱水料|L|*")&gt;12,"行不足","")</f>
        <v/>
      </c>
    </row>
    <row r="43" ht="25.5" customHeight="1" s="186">
      <c r="A43" s="100" t="inlineStr">
        <is>
          <t>支出日</t>
        </is>
      </c>
      <c r="B43" s="100" t="inlineStr">
        <is>
          <t>摘要</t>
        </is>
      </c>
      <c r="C43" s="100" t="inlineStr">
        <is>
          <t>支出</t>
        </is>
      </c>
      <c r="D43" s="100" t="inlineStr">
        <is>
          <t>累計</t>
        </is>
      </c>
      <c r="E43" s="100" t="inlineStr">
        <is>
          <t>状態</t>
        </is>
      </c>
      <c r="F43" s="100" t="inlineStr">
        <is>
          <t>支出日</t>
        </is>
      </c>
      <c r="G43" s="100" t="inlineStr">
        <is>
          <t>摘要</t>
        </is>
      </c>
      <c r="H43" s="100" t="inlineStr">
        <is>
          <t>支出</t>
        </is>
      </c>
      <c r="I43" s="100" t="inlineStr">
        <is>
          <t>累計</t>
        </is>
      </c>
      <c r="J43" s="100" t="inlineStr">
        <is>
          <t>状態</t>
        </is>
      </c>
      <c r="K43" s="100" t="inlineStr">
        <is>
          <t>支出日</t>
        </is>
      </c>
      <c r="L43" s="100" t="inlineStr">
        <is>
          <t>摘要</t>
        </is>
      </c>
      <c r="M43" s="100" t="inlineStr">
        <is>
          <t>支出</t>
        </is>
      </c>
      <c r="N43" s="100" t="inlineStr">
        <is>
          <t>累計</t>
        </is>
      </c>
      <c r="O43" s="100" t="inlineStr">
        <is>
          <t>状態</t>
        </is>
      </c>
      <c r="P43" s="100" t="inlineStr">
        <is>
          <t>支出日</t>
        </is>
      </c>
      <c r="Q43" s="100" t="inlineStr">
        <is>
          <t>摘要</t>
        </is>
      </c>
      <c r="R43" s="100" t="inlineStr">
        <is>
          <t>支出</t>
        </is>
      </c>
      <c r="S43" s="100" t="inlineStr">
        <is>
          <t>累計</t>
        </is>
      </c>
      <c r="T43" s="100" t="inlineStr">
        <is>
          <t>状態</t>
        </is>
      </c>
    </row>
    <row r="44" ht="25.5" customHeight="1" s="186">
      <c r="A44" s="825" t="n"/>
      <c r="B44" s="826" t="inlineStr">
        <is>
          <t>（予算なし）</t>
        </is>
      </c>
      <c r="C44" s="830" t="n"/>
      <c r="D44" s="831" t="n">
        <v>0</v>
      </c>
      <c r="F44" s="825" t="n"/>
      <c r="G44" s="826" t="inlineStr">
        <is>
          <t>（予算なし）</t>
        </is>
      </c>
      <c r="H44" s="830" t="n"/>
      <c r="I44" s="831" t="n">
        <v>0</v>
      </c>
      <c r="K44" s="825" t="n"/>
      <c r="L44" s="826" t="inlineStr">
        <is>
          <t>（予算なし）</t>
        </is>
      </c>
      <c r="M44" s="830" t="n"/>
      <c r="N44" s="831" t="n">
        <v>0</v>
      </c>
      <c r="P44" s="825" t="n"/>
      <c r="Q44" s="826" t="inlineStr">
        <is>
          <t>（予算なし）</t>
        </is>
      </c>
      <c r="R44" s="830" t="n"/>
      <c r="S44" s="831" t="n">
        <v>0</v>
      </c>
    </row>
    <row r="45" ht="25.5" customHeight="1" s="186" thickBot="1">
      <c r="A45" s="825" t="str">
        <f>IFERROR(INDEX(決算整理!$A$5:$A$1835,MATCH("旅費|L|1",決算整理!$T$5:$T$1835,0)),"")</f>
        <v/>
      </c>
      <c r="B45" s="826" t="str">
        <f>IFERROR(INDEX(決算整理!$E$5:$E$1835,MATCH("旅費|L|1",決算整理!$T$5:$T$1835,0)),"")</f>
        <v/>
      </c>
      <c r="C45" s="830" t="str">
        <f>IFERROR(INDEX(決算整理!$R$5:$R$1835,MATCH("旅費|L|1",決算整理!$T$5:$T$1835,0)),"")</f>
        <v/>
      </c>
      <c r="D45" s="831" t="str">
        <f>IF(C45="","",D44+C45)</f>
        <v/>
      </c>
      <c r="E45" s="829" t="str">
        <f>IFERROR(INDEX(決算整理!$P$5:$P$1835,MATCH("旅費|L|1",決算整理!$T$5:$T$1835,0)),"")</f>
        <v/>
      </c>
      <c r="F45" s="825" t="str">
        <f>IFERROR(INDEX(決算整理!$A$5:$A$1835,MATCH("厚生費|L|1",決算整理!$T$5:$T$1835,0)),"")</f>
        <v/>
      </c>
      <c r="G45" s="826" t="str">
        <f>IFERROR(INDEX(決算整理!$E$5:$E$1835,MATCH("厚生費|L|1",決算整理!$T$5:$T$1835,0)),"")</f>
        <v/>
      </c>
      <c r="H45" s="830" t="str">
        <f>IFERROR(INDEX(決算整理!$R$5:$R$1835,MATCH("厚生費|L|1",決算整理!$T$5:$T$1835,0)),"")</f>
        <v/>
      </c>
      <c r="I45" s="831" t="str">
        <f>IF(H45="","",I44+H45)</f>
        <v/>
      </c>
      <c r="J45" s="829" t="str">
        <f>IFERROR(INDEX(決算整理!$P$5:$P$1835,MATCH("厚生費|L|1",決算整理!$T$5:$T$1835,0)),"")</f>
        <v/>
      </c>
      <c r="K45" s="825">
        <f>IFERROR(INDEX(決算整理!$A$5:$A$1835,MATCH("普及費|L|1",決算整理!$T$5:$T$1835,0)),"")</f>
        <v>43951</v>
      </c>
      <c r="L45" s="826" t="str">
        <f>IFERROR(INDEX(決算整理!$E$5:$E$1835,MATCH("普及費|L|1",決算整理!$T$5:$T$1835,0)),"")</f>
        <v>厚生だより等印刷代分担金（第4四半期）長期</v>
      </c>
      <c r="M45" s="830">
        <f>IFERROR(INDEX(決算整理!$R$5:$R$1835,MATCH("普及費|L|1",決算整理!$T$5:$T$1835,0)),"")</f>
        <v>522996</v>
      </c>
      <c r="N45" s="831">
        <f>IF(M45="","",N44+M45)</f>
        <v>522996</v>
      </c>
      <c r="O45" s="829" t="str">
        <f>IFERROR(INDEX(決算整理!$P$5:$P$1835,MATCH("普及費|L|1",決算整理!$T$5:$T$1835,0)),"")</f>
        <v>昨年実績</v>
      </c>
      <c r="P45" s="825">
        <f>IFERROR(INDEX(決算整理!$A$5:$A$1835,MATCH("光熱水料|L|1",決算整理!$T$5:$T$1835,0)),"")</f>
        <v>43951</v>
      </c>
      <c r="Q45" s="826" t="str">
        <f>IFERROR(INDEX(決算整理!$E$5:$E$1835,MATCH("光熱水料|L|1",決算整理!$T$5:$T$1835,0)),"")</f>
        <v>行政財産使用ガス料（１０～３月分）</v>
      </c>
      <c r="R45" s="830">
        <f>IFERROR(INDEX(決算整理!$R$5:$R$1835,MATCH("光熱水料|L|1",決算整理!$T$5:$T$1835,0)),"")</f>
        <v>7073</v>
      </c>
      <c r="S45" s="831">
        <f>IF(R45="","",S44+R45)</f>
        <v>7073</v>
      </c>
      <c r="T45" s="829" t="str">
        <f>IFERROR(INDEX(決算整理!$P$5:$P$1835,MATCH("光熱水料|L|1",決算整理!$T$5:$T$1835,0)),"")</f>
        <v>昨年実績</v>
      </c>
    </row>
    <row r="46" ht="25.5" customHeight="1" s="186" thickBot="1">
      <c r="A46" s="825" t="str">
        <f>IFERROR(INDEX(決算整理!$A$5:$A$1835,MATCH("旅費|L|2",決算整理!$T$5:$T$1835,0)),"")</f>
        <v/>
      </c>
      <c r="B46" s="826" t="str">
        <f>IFERROR(INDEX(決算整理!$E$5:$E$1835,MATCH("旅費|L|2",決算整理!$T$5:$T$1835,0)),"")</f>
        <v/>
      </c>
      <c r="C46" s="830" t="str">
        <f>IFERROR(INDEX(決算整理!$R$5:$R$1835,MATCH("旅費|L|2",決算整理!$T$5:$T$1835,0)),"")</f>
        <v/>
      </c>
      <c r="D46" s="831" t="str">
        <f>IF(C46="","",D45+C46)</f>
        <v/>
      </c>
      <c r="E46" s="829" t="str">
        <f>IFERROR(INDEX(決算整理!$P$5:$P$1835,MATCH("旅費|L|2",決算整理!$T$5:$T$1835,0)),"")</f>
        <v/>
      </c>
      <c r="F46" s="825" t="str">
        <f>IFERROR(INDEX(決算整理!$A$5:$A$1835,MATCH("厚生費|L|2",決算整理!$T$5:$T$1835,0)),"")</f>
        <v/>
      </c>
      <c r="G46" s="826" t="str">
        <f>IFERROR(INDEX(決算整理!$E$5:$E$1835,MATCH("厚生費|L|2",決算整理!$T$5:$T$1835,0)),"")</f>
        <v/>
      </c>
      <c r="H46" s="830" t="str">
        <f>IFERROR(INDEX(決算整理!$R$5:$R$1835,MATCH("厚生費|L|2",決算整理!$T$5:$T$1835,0)),"")</f>
        <v/>
      </c>
      <c r="I46" s="831" t="str">
        <f>IF(H46="","",I45+H46)</f>
        <v/>
      </c>
      <c r="J46" s="829" t="str">
        <f>IFERROR(INDEX(決算整理!$P$5:$P$1835,MATCH("厚生費|L|2",決算整理!$T$5:$T$1835,0)),"")</f>
        <v/>
      </c>
      <c r="K46" s="825" t="str">
        <f>IFERROR(INDEX(決算整理!$A$5:$A$1835,MATCH("普及費|L|2",決算整理!$T$5:$T$1835,0)),"")</f>
        <v/>
      </c>
      <c r="L46" s="826" t="str">
        <f>IFERROR(INDEX(決算整理!$E$5:$E$1835,MATCH("普及費|L|2",決算整理!$T$5:$T$1835,0)),"")</f>
        <v/>
      </c>
      <c r="M46" s="830" t="str">
        <f>IFERROR(INDEX(決算整理!$R$5:$R$1835,MATCH("普及費|L|2",決算整理!$T$5:$T$1835,0)),"")</f>
        <v/>
      </c>
      <c r="N46" s="831" t="str">
        <f>IF(M46="","",N45+M46)</f>
        <v/>
      </c>
      <c r="O46" s="829" t="str">
        <f>IFERROR(INDEX(決算整理!$P$5:$P$1835,MATCH("普及費|L|2",決算整理!$T$5:$T$1835,0)),"")</f>
        <v/>
      </c>
      <c r="P46" s="825">
        <f>IFERROR(INDEX(決算整理!$A$5:$A$1835,MATCH("光熱水料|L|2",決算整理!$T$5:$T$1835,0)),"")</f>
        <v>43951</v>
      </c>
      <c r="Q46" s="826" t="str">
        <f>IFERROR(INDEX(決算整理!$E$5:$E$1835,MATCH("光熱水料|L|2",決算整理!$T$5:$T$1835,0)),"")</f>
        <v>行政財産使用水道料（１０～３月分）</v>
      </c>
      <c r="R46" s="830">
        <f>IFERROR(INDEX(決算整理!$R$5:$R$1835,MATCH("光熱水料|L|2",決算整理!$T$5:$T$1835,0)),"")</f>
        <v>13093</v>
      </c>
      <c r="S46" s="831">
        <f>IF(R46="","",S45+R46)</f>
        <v>20166</v>
      </c>
      <c r="T46" s="829" t="str">
        <f>IFERROR(INDEX(決算整理!$P$5:$P$1835,MATCH("光熱水料|L|2",決算整理!$T$5:$T$1835,0)),"")</f>
        <v>昨年実績</v>
      </c>
    </row>
    <row r="47" ht="25.5" customHeight="1" s="186">
      <c r="A47" s="825" t="str">
        <f>IFERROR(INDEX(決算整理!$A$5:$A$1835,MATCH("旅費|L|3",決算整理!$T$5:$T$1835,0)),"")</f>
        <v/>
      </c>
      <c r="B47" s="826" t="str">
        <f>IFERROR(INDEX(決算整理!$E$5:$E$1835,MATCH("旅費|L|3",決算整理!$T$5:$T$1835,0)),"")</f>
        <v/>
      </c>
      <c r="C47" s="830" t="str">
        <f>IFERROR(INDEX(決算整理!$R$5:$R$1835,MATCH("旅費|L|3",決算整理!$T$5:$T$1835,0)),"")</f>
        <v/>
      </c>
      <c r="D47" s="831" t="str">
        <f>IF(C47="","",D46+C47)</f>
        <v/>
      </c>
      <c r="E47" s="829" t="str">
        <f>IFERROR(INDEX(決算整理!$P$5:$P$1835,MATCH("旅費|L|3",決算整理!$T$5:$T$1835,0)),"")</f>
        <v/>
      </c>
      <c r="F47" s="825" t="str">
        <f>IFERROR(INDEX(決算整理!$A$5:$A$1835,MATCH("厚生費|L|3",決算整理!$T$5:$T$1835,0)),"")</f>
        <v/>
      </c>
      <c r="G47" s="826" t="str">
        <f>IFERROR(INDEX(決算整理!$E$5:$E$1835,MATCH("厚生費|L|3",決算整理!$T$5:$T$1835,0)),"")</f>
        <v/>
      </c>
      <c r="H47" s="830" t="str">
        <f>IFERROR(INDEX(決算整理!$R$5:$R$1835,MATCH("厚生費|L|3",決算整理!$T$5:$T$1835,0)),"")</f>
        <v/>
      </c>
      <c r="I47" s="831" t="str">
        <f>IF(H47="","",I46+H47)</f>
        <v/>
      </c>
      <c r="J47" s="829" t="str">
        <f>IFERROR(INDEX(決算整理!$P$5:$P$1835,MATCH("厚生費|L|3",決算整理!$T$5:$T$1835,0)),"")</f>
        <v/>
      </c>
      <c r="K47" s="825" t="str">
        <f>IFERROR(INDEX(決算整理!$A$5:$A$1835,MATCH("普及費|L|3",決算整理!$T$5:$T$1835,0)),"")</f>
        <v/>
      </c>
      <c r="L47" s="826" t="str">
        <f>IFERROR(INDEX(決算整理!$E$5:$E$1835,MATCH("普及費|L|3",決算整理!$T$5:$T$1835,0)),"")</f>
        <v/>
      </c>
      <c r="M47" s="830" t="str">
        <f>IFERROR(INDEX(決算整理!$R$5:$R$1835,MATCH("普及費|L|3",決算整理!$T$5:$T$1835,0)),"")</f>
        <v/>
      </c>
      <c r="N47" s="831" t="str">
        <f>IF(M47="","",N46+M47)</f>
        <v/>
      </c>
      <c r="O47" s="829" t="str">
        <f>IFERROR(INDEX(決算整理!$P$5:$P$1835,MATCH("普及費|L|3",決算整理!$T$5:$T$1835,0)),"")</f>
        <v/>
      </c>
      <c r="P47" s="825">
        <f>IFERROR(INDEX(決算整理!$A$5:$A$1835,MATCH("光熱水料|L|3",決算整理!$T$5:$T$1835,0)),"")</f>
        <v>43951</v>
      </c>
      <c r="Q47" s="826" t="str">
        <f>IFERROR(INDEX(決算整理!$E$5:$E$1835,MATCH("光熱水料|L|3",決算整理!$T$5:$T$1835,0)),"")</f>
        <v>行政財産使用電気料（１０～３月分）</v>
      </c>
      <c r="R47" s="830">
        <f>IFERROR(INDEX(決算整理!$R$5:$R$1835,MATCH("光熱水料|L|3",決算整理!$T$5:$T$1835,0)),"")</f>
        <v>21240</v>
      </c>
      <c r="S47" s="831">
        <f>IF(R47="","",S46+R47)</f>
        <v>41406</v>
      </c>
      <c r="T47" s="829" t="str">
        <f>IFERROR(INDEX(決算整理!$P$5:$P$1835,MATCH("光熱水料|L|3",決算整理!$T$5:$T$1835,0)),"")</f>
        <v>昨年実績</v>
      </c>
    </row>
    <row r="48" ht="25.5" customHeight="1" s="186" thickBot="1">
      <c r="A48" s="825" t="str">
        <f>IFERROR(INDEX(決算整理!$A$5:$A$1835,MATCH("旅費|L|4",決算整理!$T$5:$T$1835,0)),"")</f>
        <v/>
      </c>
      <c r="B48" s="826" t="str">
        <f>IFERROR(INDEX(決算整理!$E$5:$E$1835,MATCH("旅費|L|4",決算整理!$T$5:$T$1835,0)),"")</f>
        <v/>
      </c>
      <c r="C48" s="830" t="str">
        <f>IFERROR(INDEX(決算整理!$R$5:$R$1835,MATCH("旅費|L|4",決算整理!$T$5:$T$1835,0)),"")</f>
        <v/>
      </c>
      <c r="D48" s="831" t="str">
        <f>IF(C48="","",D47+C48)</f>
        <v/>
      </c>
      <c r="E48" s="829" t="str">
        <f>IFERROR(INDEX(決算整理!$P$5:$P$1835,MATCH("旅費|L|4",決算整理!$T$5:$T$1835,0)),"")</f>
        <v/>
      </c>
      <c r="F48" s="825" t="str">
        <f>IFERROR(INDEX(決算整理!$A$5:$A$1835,MATCH("厚生費|L|4",決算整理!$T$5:$T$1835,0)),"")</f>
        <v/>
      </c>
      <c r="G48" s="826" t="str">
        <f>IFERROR(INDEX(決算整理!$E$5:$E$1835,MATCH("厚生費|L|4",決算整理!$T$5:$T$1835,0)),"")</f>
        <v/>
      </c>
      <c r="H48" s="830" t="str">
        <f>IFERROR(INDEX(決算整理!$R$5:$R$1835,MATCH("厚生費|L|4",決算整理!$T$5:$T$1835,0)),"")</f>
        <v/>
      </c>
      <c r="I48" s="831" t="str">
        <f>IF(H48="","",I47+H48)</f>
        <v/>
      </c>
      <c r="J48" s="829" t="str">
        <f>IFERROR(INDEX(決算整理!$P$5:$P$1835,MATCH("厚生費|L|4",決算整理!$T$5:$T$1835,0)),"")</f>
        <v/>
      </c>
      <c r="K48" s="825" t="str">
        <f>IFERROR(INDEX(決算整理!$A$5:$A$1835,MATCH("普及費|L|4",決算整理!$T$5:$T$1835,0)),"")</f>
        <v/>
      </c>
      <c r="L48" s="826" t="str">
        <f>IFERROR(INDEX(決算整理!$E$5:$E$1835,MATCH("普及費|L|4",決算整理!$T$5:$T$1835,0)),"")</f>
        <v/>
      </c>
      <c r="M48" s="830" t="str">
        <f>IFERROR(INDEX(決算整理!$R$5:$R$1835,MATCH("普及費|L|4",決算整理!$T$5:$T$1835,0)),"")</f>
        <v/>
      </c>
      <c r="N48" s="831" t="str">
        <f>IF(M48="","",N47+M48)</f>
        <v/>
      </c>
      <c r="O48" s="829" t="str">
        <f>IFERROR(INDEX(決算整理!$P$5:$P$1835,MATCH("普及費|L|4",決算整理!$T$5:$T$1835,0)),"")</f>
        <v/>
      </c>
      <c r="P48" s="825" t="str">
        <f>IFERROR(INDEX(決算整理!$A$5:$A$1835,MATCH("光熱水料|L|4",決算整理!$T$5:$T$1835,0)),"")</f>
        <v/>
      </c>
      <c r="Q48" s="826" t="str">
        <f>IFERROR(INDEX(決算整理!$E$5:$E$1835,MATCH("光熱水料|L|4",決算整理!$T$5:$T$1835,0)),"")</f>
        <v/>
      </c>
      <c r="R48" s="830" t="str">
        <f>IFERROR(INDEX(決算整理!$R$5:$R$1835,MATCH("光熱水料|L|4",決算整理!$T$5:$T$1835,0)),"")</f>
        <v/>
      </c>
      <c r="S48" s="831" t="str">
        <f>IF(R48="","",S47+R48)</f>
        <v/>
      </c>
      <c r="T48" s="829" t="str">
        <f>IFERROR(INDEX(決算整理!$P$5:$P$1835,MATCH("光熱水料|L|4",決算整理!$T$5:$T$1835,0)),"")</f>
        <v/>
      </c>
    </row>
    <row r="49" ht="25.5" customHeight="1" s="186" thickBot="1">
      <c r="A49" s="825" t="str">
        <f>IFERROR(INDEX(決算整理!$A$5:$A$1835,MATCH("旅費|L|5",決算整理!$T$5:$T$1835,0)),"")</f>
        <v/>
      </c>
      <c r="B49" s="826" t="str">
        <f>IFERROR(INDEX(決算整理!$E$5:$E$1835,MATCH("旅費|L|5",決算整理!$T$5:$T$1835,0)),"")</f>
        <v/>
      </c>
      <c r="C49" s="830" t="str">
        <f>IFERROR(INDEX(決算整理!$R$5:$R$1835,MATCH("旅費|L|5",決算整理!$T$5:$T$1835,0)),"")</f>
        <v/>
      </c>
      <c r="D49" s="831" t="str">
        <f>IF(C49="","",D48+C49)</f>
        <v/>
      </c>
      <c r="E49" s="829" t="str">
        <f>IFERROR(INDEX(決算整理!$P$5:$P$1835,MATCH("旅費|L|5",決算整理!$T$5:$T$1835,0)),"")</f>
        <v/>
      </c>
      <c r="F49" s="825" t="str">
        <f>IFERROR(INDEX(決算整理!$A$5:$A$1835,MATCH("厚生費|L|5",決算整理!$T$5:$T$1835,0)),"")</f>
        <v/>
      </c>
      <c r="G49" s="826" t="str">
        <f>IFERROR(INDEX(決算整理!$E$5:$E$1835,MATCH("厚生費|L|5",決算整理!$T$5:$T$1835,0)),"")</f>
        <v/>
      </c>
      <c r="H49" s="830" t="str">
        <f>IFERROR(INDEX(決算整理!$R$5:$R$1835,MATCH("厚生費|L|5",決算整理!$T$5:$T$1835,0)),"")</f>
        <v/>
      </c>
      <c r="I49" s="831" t="str">
        <f>IF(H49="","",I48+H49)</f>
        <v/>
      </c>
      <c r="J49" s="829" t="str">
        <f>IFERROR(INDEX(決算整理!$P$5:$P$1835,MATCH("厚生費|L|5",決算整理!$T$5:$T$1835,0)),"")</f>
        <v/>
      </c>
      <c r="K49" s="825" t="str">
        <f>IFERROR(INDEX(決算整理!$A$5:$A$1835,MATCH("普及費|L|5",決算整理!$T$5:$T$1835,0)),"")</f>
        <v/>
      </c>
      <c r="L49" s="826" t="str">
        <f>IFERROR(INDEX(決算整理!$E$5:$E$1835,MATCH("普及費|L|5",決算整理!$T$5:$T$1835,0)),"")</f>
        <v/>
      </c>
      <c r="M49" s="830" t="str">
        <f>IFERROR(INDEX(決算整理!$R$5:$R$1835,MATCH("普及費|L|5",決算整理!$T$5:$T$1835,0)),"")</f>
        <v/>
      </c>
      <c r="N49" s="831" t="str">
        <f>IF(M49="","",N48+M49)</f>
        <v/>
      </c>
      <c r="O49" s="829" t="str">
        <f>IFERROR(INDEX(決算整理!$P$5:$P$1835,MATCH("普及費|L|5",決算整理!$T$5:$T$1835,0)),"")</f>
        <v/>
      </c>
      <c r="P49" s="825" t="str">
        <f>IFERROR(INDEX(決算整理!$A$5:$A$1835,MATCH("光熱水料|L|5",決算整理!$T$5:$T$1835,0)),"")</f>
        <v/>
      </c>
      <c r="Q49" s="826" t="str">
        <f>IFERROR(INDEX(決算整理!$E$5:$E$1835,MATCH("光熱水料|L|5",決算整理!$T$5:$T$1835,0)),"")</f>
        <v/>
      </c>
      <c r="R49" s="830" t="str">
        <f>IFERROR(INDEX(決算整理!$R$5:$R$1835,MATCH("光熱水料|L|5",決算整理!$T$5:$T$1835,0)),"")</f>
        <v/>
      </c>
      <c r="S49" s="831" t="str">
        <f>IF(R49="","",S48+R49)</f>
        <v/>
      </c>
      <c r="T49" s="829" t="str">
        <f>IFERROR(INDEX(決算整理!$P$5:$P$1835,MATCH("光熱水料|L|5",決算整理!$T$5:$T$1835,0)),"")</f>
        <v/>
      </c>
    </row>
    <row r="50" ht="25.5" customHeight="1" s="186">
      <c r="A50" s="825" t="str">
        <f>IFERROR(INDEX(決算整理!$A$5:$A$1835,MATCH("旅費|L|6",決算整理!$T$5:$T$1835,0)),"")</f>
        <v/>
      </c>
      <c r="B50" s="826" t="str">
        <f>IFERROR(INDEX(決算整理!$E$5:$E$1835,MATCH("旅費|L|6",決算整理!$T$5:$T$1835,0)),"")</f>
        <v/>
      </c>
      <c r="C50" s="830" t="str">
        <f>IFERROR(INDEX(決算整理!$R$5:$R$1835,MATCH("旅費|L|6",決算整理!$T$5:$T$1835,0)),"")</f>
        <v/>
      </c>
      <c r="D50" s="831" t="str">
        <f>IF(C50="","",D49+C50)</f>
        <v/>
      </c>
      <c r="E50" s="829" t="str">
        <f>IFERROR(INDEX(決算整理!$P$5:$P$1835,MATCH("旅費|L|6",決算整理!$T$5:$T$1835,0)),"")</f>
        <v/>
      </c>
      <c r="F50" s="825" t="str">
        <f>IFERROR(INDEX(決算整理!$A$5:$A$1835,MATCH("厚生費|L|6",決算整理!$T$5:$T$1835,0)),"")</f>
        <v/>
      </c>
      <c r="G50" s="826" t="str">
        <f>IFERROR(INDEX(決算整理!$E$5:$E$1835,MATCH("厚生費|L|6",決算整理!$T$5:$T$1835,0)),"")</f>
        <v/>
      </c>
      <c r="H50" s="830" t="str">
        <f>IFERROR(INDEX(決算整理!$R$5:$R$1835,MATCH("厚生費|L|6",決算整理!$T$5:$T$1835,0)),"")</f>
        <v/>
      </c>
      <c r="I50" s="831" t="str">
        <f>IF(H50="","",I49+H50)</f>
        <v/>
      </c>
      <c r="J50" s="829" t="str">
        <f>IFERROR(INDEX(決算整理!$P$5:$P$1835,MATCH("厚生費|L|6",決算整理!$T$5:$T$1835,0)),"")</f>
        <v/>
      </c>
      <c r="K50" s="825" t="str">
        <f>IFERROR(INDEX(決算整理!$A$5:$A$1835,MATCH("普及費|L|6",決算整理!$T$5:$T$1835,0)),"")</f>
        <v/>
      </c>
      <c r="L50" s="826" t="str">
        <f>IFERROR(INDEX(決算整理!$E$5:$E$1835,MATCH("普及費|L|6",決算整理!$T$5:$T$1835,0)),"")</f>
        <v/>
      </c>
      <c r="M50" s="830" t="str">
        <f>IFERROR(INDEX(決算整理!$R$5:$R$1835,MATCH("普及費|L|6",決算整理!$T$5:$T$1835,0)),"")</f>
        <v/>
      </c>
      <c r="N50" s="831" t="str">
        <f>IF(M50="","",N49+M50)</f>
        <v/>
      </c>
      <c r="O50" s="829" t="str">
        <f>IFERROR(INDEX(決算整理!$P$5:$P$1835,MATCH("普及費|L|6",決算整理!$T$5:$T$1835,0)),"")</f>
        <v/>
      </c>
      <c r="P50" s="825" t="str">
        <f>IFERROR(INDEX(決算整理!$A$5:$A$1835,MATCH("光熱水料|L|6",決算整理!$T$5:$T$1835,0)),"")</f>
        <v/>
      </c>
      <c r="Q50" s="826" t="str">
        <f>IFERROR(INDEX(決算整理!$E$5:$E$1835,MATCH("光熱水料|L|6",決算整理!$T$5:$T$1835,0)),"")</f>
        <v/>
      </c>
      <c r="R50" s="830" t="str">
        <f>IFERROR(INDEX(決算整理!$R$5:$R$1835,MATCH("光熱水料|L|6",決算整理!$T$5:$T$1835,0)),"")</f>
        <v/>
      </c>
      <c r="S50" s="831" t="str">
        <f>IF(R50="","",S49+R50)</f>
        <v/>
      </c>
      <c r="T50" s="829" t="str">
        <f>IFERROR(INDEX(決算整理!$P$5:$P$1835,MATCH("光熱水料|L|6",決算整理!$T$5:$T$1835,0)),"")</f>
        <v/>
      </c>
    </row>
    <row r="51" ht="25.5" customHeight="1" s="186">
      <c r="A51" s="825" t="str">
        <f>IFERROR(INDEX(決算整理!$A$5:$A$1835,MATCH("旅費|L|7",決算整理!$T$5:$T$1835,0)),"")</f>
        <v/>
      </c>
      <c r="B51" s="826" t="str">
        <f>IFERROR(INDEX(決算整理!$E$5:$E$1835,MATCH("旅費|L|7",決算整理!$T$5:$T$1835,0)),"")</f>
        <v/>
      </c>
      <c r="C51" s="830" t="str">
        <f>IFERROR(INDEX(決算整理!$R$5:$R$1835,MATCH("旅費|L|7",決算整理!$T$5:$T$1835,0)),"")</f>
        <v/>
      </c>
      <c r="D51" s="831" t="str">
        <f>IF(C51="","",D50+C51)</f>
        <v/>
      </c>
      <c r="E51" s="829" t="str">
        <f>IFERROR(INDEX(決算整理!$P$5:$P$1835,MATCH("旅費|L|7",決算整理!$T$5:$T$1835,0)),"")</f>
        <v/>
      </c>
      <c r="F51" s="825" t="str">
        <f>IFERROR(INDEX(決算整理!$A$5:$A$1835,MATCH("厚生費|L|7",決算整理!$T$5:$T$1835,0)),"")</f>
        <v/>
      </c>
      <c r="G51" s="826" t="str">
        <f>IFERROR(INDEX(決算整理!$E$5:$E$1835,MATCH("厚生費|L|7",決算整理!$T$5:$T$1835,0)),"")</f>
        <v/>
      </c>
      <c r="H51" s="830" t="str">
        <f>IFERROR(INDEX(決算整理!$R$5:$R$1835,MATCH("厚生費|L|7",決算整理!$T$5:$T$1835,0)),"")</f>
        <v/>
      </c>
      <c r="I51" s="831" t="str">
        <f>IF(H51="","",I50+H51)</f>
        <v/>
      </c>
      <c r="J51" s="829" t="str">
        <f>IFERROR(INDEX(決算整理!$P$5:$P$1835,MATCH("厚生費|L|7",決算整理!$T$5:$T$1835,0)),"")</f>
        <v/>
      </c>
      <c r="K51" s="825" t="str">
        <f>IFERROR(INDEX(決算整理!$A$5:$A$1835,MATCH("普及費|L|7",決算整理!$T$5:$T$1835,0)),"")</f>
        <v/>
      </c>
      <c r="L51" s="826" t="str">
        <f>IFERROR(INDEX(決算整理!$E$5:$E$1835,MATCH("普及費|L|7",決算整理!$T$5:$T$1835,0)),"")</f>
        <v/>
      </c>
      <c r="M51" s="830" t="str">
        <f>IFERROR(INDEX(決算整理!$R$5:$R$1835,MATCH("普及費|L|7",決算整理!$T$5:$T$1835,0)),"")</f>
        <v/>
      </c>
      <c r="N51" s="831" t="str">
        <f>IF(M51="","",N50+M51)</f>
        <v/>
      </c>
      <c r="O51" s="829" t="str">
        <f>IFERROR(INDEX(決算整理!$P$5:$P$1835,MATCH("普及費|L|7",決算整理!$T$5:$T$1835,0)),"")</f>
        <v/>
      </c>
      <c r="P51" s="825" t="str">
        <f>IFERROR(INDEX(決算整理!$A$5:$A$1835,MATCH("光熱水料|L|7",決算整理!$T$5:$T$1835,0)),"")</f>
        <v/>
      </c>
      <c r="Q51" s="826" t="str">
        <f>IFERROR(INDEX(決算整理!$E$5:$E$1835,MATCH("光熱水料|L|7",決算整理!$T$5:$T$1835,0)),"")</f>
        <v/>
      </c>
      <c r="R51" s="830" t="str">
        <f>IFERROR(INDEX(決算整理!$R$5:$R$1835,MATCH("光熱水料|L|7",決算整理!$T$5:$T$1835,0)),"")</f>
        <v/>
      </c>
      <c r="S51" s="831" t="str">
        <f>IF(R51="","",S50+R51)</f>
        <v/>
      </c>
      <c r="T51" s="829" t="str">
        <f>IFERROR(INDEX(決算整理!$P$5:$P$1835,MATCH("光熱水料|L|7",決算整理!$T$5:$T$1835,0)),"")</f>
        <v/>
      </c>
    </row>
    <row r="52" ht="25.5" customHeight="1" s="186">
      <c r="A52" s="825" t="str">
        <f>IFERROR(INDEX(決算整理!$A$5:$A$1835,MATCH("旅費|L|8",決算整理!$T$5:$T$1835,0)),"")</f>
        <v/>
      </c>
      <c r="B52" s="826" t="str">
        <f>IFERROR(INDEX(決算整理!$E$5:$E$1835,MATCH("旅費|L|8",決算整理!$T$5:$T$1835,0)),"")</f>
        <v/>
      </c>
      <c r="C52" s="830" t="str">
        <f>IFERROR(INDEX(決算整理!$R$5:$R$1835,MATCH("旅費|L|8",決算整理!$T$5:$T$1835,0)),"")</f>
        <v/>
      </c>
      <c r="D52" s="831" t="str">
        <f>IF(C52="","",D51+C52)</f>
        <v/>
      </c>
      <c r="E52" s="829" t="str">
        <f>IFERROR(INDEX(決算整理!$P$5:$P$1835,MATCH("旅費|L|8",決算整理!$T$5:$T$1835,0)),"")</f>
        <v/>
      </c>
      <c r="F52" s="825" t="str">
        <f>IFERROR(INDEX(決算整理!$A$5:$A$1835,MATCH("厚生費|L|8",決算整理!$T$5:$T$1835,0)),"")</f>
        <v/>
      </c>
      <c r="G52" s="826" t="str">
        <f>IFERROR(INDEX(決算整理!$E$5:$E$1835,MATCH("厚生費|L|8",決算整理!$T$5:$T$1835,0)),"")</f>
        <v/>
      </c>
      <c r="H52" s="830" t="str">
        <f>IFERROR(INDEX(決算整理!$R$5:$R$1835,MATCH("厚生費|L|8",決算整理!$T$5:$T$1835,0)),"")</f>
        <v/>
      </c>
      <c r="I52" s="831" t="str">
        <f>IF(H52="","",I51+H52)</f>
        <v/>
      </c>
      <c r="J52" s="829" t="str">
        <f>IFERROR(INDEX(決算整理!$P$5:$P$1835,MATCH("厚生費|L|8",決算整理!$T$5:$T$1835,0)),"")</f>
        <v/>
      </c>
      <c r="K52" s="825" t="str">
        <f>IFERROR(INDEX(決算整理!$A$5:$A$1835,MATCH("普及費|L|8",決算整理!$T$5:$T$1835,0)),"")</f>
        <v/>
      </c>
      <c r="L52" s="826" t="str">
        <f>IFERROR(INDEX(決算整理!$E$5:$E$1835,MATCH("普及費|L|8",決算整理!$T$5:$T$1835,0)),"")</f>
        <v/>
      </c>
      <c r="M52" s="830" t="str">
        <f>IFERROR(INDEX(決算整理!$R$5:$R$1835,MATCH("普及費|L|8",決算整理!$T$5:$T$1835,0)),"")</f>
        <v/>
      </c>
      <c r="N52" s="831" t="str">
        <f>IF(M52="","",N51+M52)</f>
        <v/>
      </c>
      <c r="O52" s="829" t="str">
        <f>IFERROR(INDEX(決算整理!$P$5:$P$1835,MATCH("普及費|L|8",決算整理!$T$5:$T$1835,0)),"")</f>
        <v/>
      </c>
      <c r="P52" s="825" t="str">
        <f>IFERROR(INDEX(決算整理!$A$5:$A$1835,MATCH("光熱水料|L|8",決算整理!$T$5:$T$1835,0)),"")</f>
        <v/>
      </c>
      <c r="Q52" s="826" t="str">
        <f>IFERROR(INDEX(決算整理!$E$5:$E$1835,MATCH("光熱水料|L|8",決算整理!$T$5:$T$1835,0)),"")</f>
        <v/>
      </c>
      <c r="R52" s="830" t="str">
        <f>IFERROR(INDEX(決算整理!$R$5:$R$1835,MATCH("光熱水料|L|8",決算整理!$T$5:$T$1835,0)),"")</f>
        <v/>
      </c>
      <c r="S52" s="831" t="str">
        <f>IF(R52="","",S51+R52)</f>
        <v/>
      </c>
      <c r="T52" s="829" t="str">
        <f>IFERROR(INDEX(決算整理!$P$5:$P$1835,MATCH("光熱水料|L|8",決算整理!$T$5:$T$1835,0)),"")</f>
        <v/>
      </c>
    </row>
    <row r="53" ht="39" customHeight="1" s="186" thickBot="1">
      <c r="A53" s="825" t="str">
        <f>IFERROR(INDEX(決算整理!$A$5:$A$1835,MATCH("旅費|L|9",決算整理!$T$5:$T$1835,0)),"")</f>
        <v/>
      </c>
      <c r="B53" s="826" t="str">
        <f>IFERROR(INDEX(決算整理!$E$5:$E$1835,MATCH("旅費|L|9",決算整理!$T$5:$T$1835,0)),"")</f>
        <v/>
      </c>
      <c r="C53" s="830" t="str">
        <f>IFERROR(INDEX(決算整理!$R$5:$R$1835,MATCH("旅費|L|9",決算整理!$T$5:$T$1835,0)),"")</f>
        <v/>
      </c>
      <c r="D53" s="831" t="str">
        <f>IF(C53="","",D52+C53)</f>
        <v/>
      </c>
      <c r="E53" s="829" t="str">
        <f>IFERROR(INDEX(決算整理!$P$5:$P$1835,MATCH("旅費|L|9",決算整理!$T$5:$T$1835,0)),"")</f>
        <v/>
      </c>
      <c r="F53" s="825" t="str">
        <f>IFERROR(INDEX(決算整理!$A$5:$A$1835,MATCH("厚生費|L|9",決算整理!$T$5:$T$1835,0)),"")</f>
        <v/>
      </c>
      <c r="G53" s="826" t="str">
        <f>IFERROR(INDEX(決算整理!$E$5:$E$1835,MATCH("厚生費|L|9",決算整理!$T$5:$T$1835,0)),"")</f>
        <v/>
      </c>
      <c r="H53" s="830" t="str">
        <f>IFERROR(INDEX(決算整理!$R$5:$R$1835,MATCH("厚生費|L|9",決算整理!$T$5:$T$1835,0)),"")</f>
        <v/>
      </c>
      <c r="I53" s="831" t="str">
        <f>IF(H53="","",I52+H53)</f>
        <v/>
      </c>
      <c r="J53" s="829" t="str">
        <f>IFERROR(INDEX(決算整理!$P$5:$P$1835,MATCH("厚生費|L|9",決算整理!$T$5:$T$1835,0)),"")</f>
        <v/>
      </c>
      <c r="K53" s="825" t="str">
        <f>IFERROR(INDEX(決算整理!$A$5:$A$1835,MATCH("普及費|L|9",決算整理!$T$5:$T$1835,0)),"")</f>
        <v/>
      </c>
      <c r="L53" s="826" t="str">
        <f>IFERROR(INDEX(決算整理!$E$5:$E$1835,MATCH("普及費|L|9",決算整理!$T$5:$T$1835,0)),"")</f>
        <v/>
      </c>
      <c r="M53" s="830" t="str">
        <f>IFERROR(INDEX(決算整理!$R$5:$R$1835,MATCH("普及費|L|9",決算整理!$T$5:$T$1835,0)),"")</f>
        <v/>
      </c>
      <c r="N53" s="831" t="str">
        <f>IF(M53="","",N52+M53)</f>
        <v/>
      </c>
      <c r="O53" s="829" t="str">
        <f>IFERROR(INDEX(決算整理!$P$5:$P$1835,MATCH("普及費|L|9",決算整理!$T$5:$T$1835,0)),"")</f>
        <v/>
      </c>
      <c r="P53" s="825" t="str">
        <f>IFERROR(INDEX(決算整理!$A$5:$A$1835,MATCH("光熱水料|L|9",決算整理!$T$5:$T$1835,0)),"")</f>
        <v/>
      </c>
      <c r="Q53" s="826" t="str">
        <f>IFERROR(INDEX(決算整理!$E$5:$E$1835,MATCH("光熱水料|L|9",決算整理!$T$5:$T$1835,0)),"")</f>
        <v/>
      </c>
      <c r="R53" s="830" t="str">
        <f>IFERROR(INDEX(決算整理!$R$5:$R$1835,MATCH("光熱水料|L|9",決算整理!$T$5:$T$1835,0)),"")</f>
        <v/>
      </c>
      <c r="S53" s="831" t="str">
        <f>IF(R53="","",S52+R53)</f>
        <v/>
      </c>
      <c r="T53" s="829" t="str">
        <f>IFERROR(INDEX(決算整理!$P$5:$P$1835,MATCH("光熱水料|L|9",決算整理!$T$5:$T$1835,0)),"")</f>
        <v/>
      </c>
    </row>
    <row r="54" ht="25.5" customHeight="1" s="186" thickBot="1">
      <c r="A54" s="825" t="str">
        <f>IFERROR(INDEX(決算整理!$A$5:$A$1835,MATCH("旅費|L|10",決算整理!$T$5:$T$1835,0)),"")</f>
        <v/>
      </c>
      <c r="B54" s="826" t="str">
        <f>IFERROR(INDEX(決算整理!$E$5:$E$1835,MATCH("旅費|L|10",決算整理!$T$5:$T$1835,0)),"")</f>
        <v/>
      </c>
      <c r="C54" s="830" t="str">
        <f>IFERROR(INDEX(決算整理!$R$5:$R$1835,MATCH("旅費|L|10",決算整理!$T$5:$T$1835,0)),"")</f>
        <v/>
      </c>
      <c r="D54" s="831" t="str">
        <f>IF(C54="","",D53+C54)</f>
        <v/>
      </c>
      <c r="E54" s="829" t="str">
        <f>IFERROR(INDEX(決算整理!$P$5:$P$1835,MATCH("旅費|L|10",決算整理!$T$5:$T$1835,0)),"")</f>
        <v/>
      </c>
      <c r="F54" s="825" t="str">
        <f>IFERROR(INDEX(決算整理!$A$5:$A$1835,MATCH("厚生費|L|10",決算整理!$T$5:$T$1835,0)),"")</f>
        <v/>
      </c>
      <c r="G54" s="826" t="str">
        <f>IFERROR(INDEX(決算整理!$E$5:$E$1835,MATCH("厚生費|L|10",決算整理!$T$5:$T$1835,0)),"")</f>
        <v/>
      </c>
      <c r="H54" s="830" t="str">
        <f>IFERROR(INDEX(決算整理!$R$5:$R$1835,MATCH("厚生費|L|10",決算整理!$T$5:$T$1835,0)),"")</f>
        <v/>
      </c>
      <c r="I54" s="831" t="str">
        <f>IF(H54="","",I53+H54)</f>
        <v/>
      </c>
      <c r="J54" s="829" t="str">
        <f>IFERROR(INDEX(決算整理!$P$5:$P$1835,MATCH("厚生費|L|10",決算整理!$T$5:$T$1835,0)),"")</f>
        <v/>
      </c>
      <c r="K54" s="825" t="str">
        <f>IFERROR(INDEX(決算整理!$A$5:$A$1835,MATCH("普及費|L|10",決算整理!$T$5:$T$1835,0)),"")</f>
        <v/>
      </c>
      <c r="L54" s="826" t="str">
        <f>IFERROR(INDEX(決算整理!$E$5:$E$1835,MATCH("普及費|L|10",決算整理!$T$5:$T$1835,0)),"")</f>
        <v/>
      </c>
      <c r="M54" s="830" t="str">
        <f>IFERROR(INDEX(決算整理!$R$5:$R$1835,MATCH("普及費|L|10",決算整理!$T$5:$T$1835,0)),"")</f>
        <v/>
      </c>
      <c r="N54" s="831" t="str">
        <f>IF(M54="","",N53+M54)</f>
        <v/>
      </c>
      <c r="O54" s="829" t="str">
        <f>IFERROR(INDEX(決算整理!$P$5:$P$1835,MATCH("普及費|L|10",決算整理!$T$5:$T$1835,0)),"")</f>
        <v/>
      </c>
      <c r="P54" s="825" t="str">
        <f>IFERROR(INDEX(決算整理!$A$5:$A$1835,MATCH("光熱水料|L|10",決算整理!$T$5:$T$1835,0)),"")</f>
        <v/>
      </c>
      <c r="Q54" s="826" t="str">
        <f>IFERROR(INDEX(決算整理!$E$5:$E$1835,MATCH("光熱水料|L|10",決算整理!$T$5:$T$1835,0)),"")</f>
        <v/>
      </c>
      <c r="R54" s="830" t="str">
        <f>IFERROR(INDEX(決算整理!$R$5:$R$1835,MATCH("光熱水料|L|10",決算整理!$T$5:$T$1835,0)),"")</f>
        <v/>
      </c>
      <c r="S54" s="831" t="str">
        <f>IF(R54="","",S53+R54)</f>
        <v/>
      </c>
      <c r="T54" s="829" t="str">
        <f>IFERROR(INDEX(決算整理!$P$5:$P$1835,MATCH("光熱水料|L|10",決算整理!$T$5:$T$1835,0)),"")</f>
        <v/>
      </c>
    </row>
    <row r="55" ht="25.5" customHeight="1" s="186">
      <c r="A55" s="825" t="str">
        <f>IFERROR(INDEX(決算整理!$A$5:$A$1835,MATCH("旅費|L|11",決算整理!$T$5:$T$1835,0)),"")</f>
        <v/>
      </c>
      <c r="B55" s="826" t="str">
        <f>IFERROR(INDEX(決算整理!$E$5:$E$1835,MATCH("旅費|L|11",決算整理!$T$5:$T$1835,0)),"")</f>
        <v/>
      </c>
      <c r="C55" s="830" t="str">
        <f>IFERROR(INDEX(決算整理!$R$5:$R$1835,MATCH("旅費|L|11",決算整理!$T$5:$T$1835,0)),"")</f>
        <v/>
      </c>
      <c r="D55" s="831" t="str">
        <f>IF(C55="","",D54+C55)</f>
        <v/>
      </c>
      <c r="E55" s="829" t="str">
        <f>IFERROR(INDEX(決算整理!$P$5:$P$1835,MATCH("旅費|L|11",決算整理!$T$5:$T$1835,0)),"")</f>
        <v/>
      </c>
      <c r="F55" s="825" t="str">
        <f>IFERROR(INDEX(決算整理!$A$5:$A$1835,MATCH("厚生費|L|11",決算整理!$T$5:$T$1835,0)),"")</f>
        <v/>
      </c>
      <c r="G55" s="826" t="str">
        <f>IFERROR(INDEX(決算整理!$E$5:$E$1835,MATCH("厚生費|L|11",決算整理!$T$5:$T$1835,0)),"")</f>
        <v/>
      </c>
      <c r="H55" s="830" t="str">
        <f>IFERROR(INDEX(決算整理!$R$5:$R$1835,MATCH("厚生費|L|11",決算整理!$T$5:$T$1835,0)),"")</f>
        <v/>
      </c>
      <c r="I55" s="831" t="str">
        <f>IF(H55="","",I54+H55)</f>
        <v/>
      </c>
      <c r="J55" s="829" t="str">
        <f>IFERROR(INDEX(決算整理!$P$5:$P$1835,MATCH("厚生費|L|11",決算整理!$T$5:$T$1835,0)),"")</f>
        <v/>
      </c>
      <c r="K55" s="825" t="str">
        <f>IFERROR(INDEX(決算整理!$A$5:$A$1835,MATCH("普及費|L|11",決算整理!$T$5:$T$1835,0)),"")</f>
        <v/>
      </c>
      <c r="L55" s="826" t="str">
        <f>IFERROR(INDEX(決算整理!$E$5:$E$1835,MATCH("普及費|L|11",決算整理!$T$5:$T$1835,0)),"")</f>
        <v/>
      </c>
      <c r="M55" s="830" t="str">
        <f>IFERROR(INDEX(決算整理!$R$5:$R$1835,MATCH("普及費|L|11",決算整理!$T$5:$T$1835,0)),"")</f>
        <v/>
      </c>
      <c r="N55" s="831" t="str">
        <f>IF(M55="","",N54+M55)</f>
        <v/>
      </c>
      <c r="O55" s="829" t="str">
        <f>IFERROR(INDEX(決算整理!$P$5:$P$1835,MATCH("普及費|L|11",決算整理!$T$5:$T$1835,0)),"")</f>
        <v/>
      </c>
      <c r="P55" s="825" t="str">
        <f>IFERROR(INDEX(決算整理!$A$5:$A$1835,MATCH("光熱水料|L|11",決算整理!$T$5:$T$1835,0)),"")</f>
        <v/>
      </c>
      <c r="Q55" s="826" t="str">
        <f>IFERROR(INDEX(決算整理!$E$5:$E$1835,MATCH("光熱水料|L|11",決算整理!$T$5:$T$1835,0)),"")</f>
        <v/>
      </c>
      <c r="R55" s="830" t="str">
        <f>IFERROR(INDEX(決算整理!$R$5:$R$1835,MATCH("光熱水料|L|11",決算整理!$T$5:$T$1835,0)),"")</f>
        <v/>
      </c>
      <c r="S55" s="831" t="str">
        <f>IF(R55="","",S54+R55)</f>
        <v/>
      </c>
      <c r="T55" s="829" t="str">
        <f>IFERROR(INDEX(決算整理!$P$5:$P$1835,MATCH("光熱水料|L|11",決算整理!$T$5:$T$1835,0)),"")</f>
        <v/>
      </c>
    </row>
    <row r="56" ht="25.5" customHeight="1" s="186" thickBot="1">
      <c r="A56" s="825" t="str">
        <f>IFERROR(INDEX(決算整理!$A$5:$A$1835,MATCH("旅費|L|12",決算整理!$T$5:$T$1835,0)),"")</f>
        <v/>
      </c>
      <c r="B56" s="826" t="str">
        <f>IFERROR(INDEX(決算整理!$E$5:$E$1835,MATCH("旅費|L|12",決算整理!$T$5:$T$1835,0)),"")</f>
        <v/>
      </c>
      <c r="C56" s="830" t="str">
        <f>IFERROR(INDEX(決算整理!$R$5:$R$1835,MATCH("旅費|L|12",決算整理!$T$5:$T$1835,0)),"")</f>
        <v/>
      </c>
      <c r="D56" s="831" t="str">
        <f>IF(C56="","",D55+C56)</f>
        <v/>
      </c>
      <c r="E56" s="829" t="str">
        <f>IFERROR(INDEX(決算整理!$P$5:$P$1835,MATCH("旅費|L|12",決算整理!$T$5:$T$1835,0)),"")</f>
        <v/>
      </c>
      <c r="F56" s="825" t="str">
        <f>IFERROR(INDEX(決算整理!$A$5:$A$1835,MATCH("厚生費|L|12",決算整理!$T$5:$T$1835,0)),"")</f>
        <v/>
      </c>
      <c r="G56" s="826" t="str">
        <f>IFERROR(INDEX(決算整理!$E$5:$E$1835,MATCH("厚生費|L|12",決算整理!$T$5:$T$1835,0)),"")</f>
        <v/>
      </c>
      <c r="H56" s="830" t="str">
        <f>IFERROR(INDEX(決算整理!$R$5:$R$1835,MATCH("厚生費|L|12",決算整理!$T$5:$T$1835,0)),"")</f>
        <v/>
      </c>
      <c r="I56" s="831" t="str">
        <f>IF(H56="","",I55+H56)</f>
        <v/>
      </c>
      <c r="J56" s="829" t="str">
        <f>IFERROR(INDEX(決算整理!$P$5:$P$1835,MATCH("厚生費|L|12",決算整理!$T$5:$T$1835,0)),"")</f>
        <v/>
      </c>
      <c r="K56" s="825" t="str">
        <f>IFERROR(INDEX(決算整理!$A$5:$A$1835,MATCH("普及費|L|12",決算整理!$T$5:$T$1835,0)),"")</f>
        <v/>
      </c>
      <c r="L56" s="826" t="str">
        <f>IFERROR(INDEX(決算整理!$E$5:$E$1835,MATCH("普及費|L|12",決算整理!$T$5:$T$1835,0)),"")</f>
        <v/>
      </c>
      <c r="M56" s="830" t="str">
        <f>IFERROR(INDEX(決算整理!$R$5:$R$1835,MATCH("普及費|L|12",決算整理!$T$5:$T$1835,0)),"")</f>
        <v/>
      </c>
      <c r="N56" s="831" t="str">
        <f>IF(M56="","",N55+M56)</f>
        <v/>
      </c>
      <c r="O56" s="829" t="str">
        <f>IFERROR(INDEX(決算整理!$P$5:$P$1835,MATCH("普及費|L|12",決算整理!$T$5:$T$1835,0)),"")</f>
        <v/>
      </c>
      <c r="P56" s="825" t="str">
        <f>IFERROR(INDEX(決算整理!$A$5:$A$1835,MATCH("光熱水料|L|12",決算整理!$T$5:$T$1835,0)),"")</f>
        <v/>
      </c>
      <c r="Q56" s="826" t="str">
        <f>IFERROR(INDEX(決算整理!$E$5:$E$1835,MATCH("光熱水料|L|12",決算整理!$T$5:$T$1835,0)),"")</f>
        <v/>
      </c>
      <c r="R56" s="830" t="str">
        <f>IFERROR(INDEX(決算整理!$R$5:$R$1835,MATCH("光熱水料|L|12",決算整理!$T$5:$T$1835,0)),"")</f>
        <v/>
      </c>
      <c r="S56" s="831" t="str">
        <f>IF(R56="","",S55+R56)</f>
        <v/>
      </c>
      <c r="T56" s="829" t="str">
        <f>IFERROR(INDEX(決算整理!$P$5:$P$1835,MATCH("光熱水料|L|12",決算整理!$T$5:$T$1835,0)),"")</f>
        <v/>
      </c>
    </row>
    <row r="57" ht="25.5" customHeight="1" s="186" thickBot="1"/>
    <row r="58" ht="25.5" customHeight="1" s="186"/>
    <row r="59" ht="25.5" customHeight="1" s="186"/>
    <row r="60" ht="25.5" customHeight="1" s="186">
      <c r="B60" s="502" t="inlineStr">
        <is>
          <t>○修繕費</t>
        </is>
      </c>
      <c r="D60" s="93" t="inlineStr">
        <is>
          <t>業務（長）未払</t>
        </is>
      </c>
      <c r="E60" s="824" t="str">
        <f>IF(COUNTIF(決算整理!$T$5:$T$1835,"修繕費|L|*")&gt;12,"行不足","")</f>
        <v/>
      </c>
      <c r="G60" s="502" t="inlineStr">
        <is>
          <t>○役員報酬</t>
        </is>
      </c>
      <c r="I60" s="93" t="inlineStr">
        <is>
          <t>業務（長）未払</t>
        </is>
      </c>
      <c r="J60" s="824" t="str">
        <f>IF(COUNTIF(決算整理!$T$5:$T$1835,"役員報酬|L|*")&gt;12,"行不足","")</f>
        <v/>
      </c>
      <c r="L60" s="502" t="inlineStr">
        <is>
          <t>○連合会分担金</t>
        </is>
      </c>
      <c r="N60" s="93" t="inlineStr">
        <is>
          <t>業務（長）未払</t>
        </is>
      </c>
      <c r="O60" s="824" t="str">
        <f>IF(COUNTIF(決算整理!$T$5:$T$1835,"連合会分担金|L|*")&gt;12,"行不足","")</f>
        <v/>
      </c>
      <c r="Q60" s="502" t="inlineStr">
        <is>
          <t>○職員給与  非常勤職員手当</t>
        </is>
      </c>
      <c r="S60" s="93" t="inlineStr">
        <is>
          <t>業務（長）未払</t>
        </is>
      </c>
      <c r="T60" s="824" t="str">
        <f>IF(COUNTIF(決算整理!$T$5:$T$1835,"非常勤職員手当|L|*")&gt;12,"行不足","")</f>
        <v/>
      </c>
    </row>
    <row r="61" ht="25.5" customHeight="1" s="186" thickBot="1">
      <c r="A61" s="100" t="inlineStr">
        <is>
          <t>支出日</t>
        </is>
      </c>
      <c r="B61" s="100" t="inlineStr">
        <is>
          <t>摘要</t>
        </is>
      </c>
      <c r="C61" s="100" t="inlineStr">
        <is>
          <t>支出</t>
        </is>
      </c>
      <c r="D61" s="100" t="inlineStr">
        <is>
          <t>累計</t>
        </is>
      </c>
      <c r="E61" s="100" t="inlineStr">
        <is>
          <t>状態</t>
        </is>
      </c>
      <c r="F61" s="100" t="inlineStr">
        <is>
          <t>支出日</t>
        </is>
      </c>
      <c r="G61" s="100" t="inlineStr">
        <is>
          <t>摘要</t>
        </is>
      </c>
      <c r="H61" s="100" t="inlineStr">
        <is>
          <t>支出</t>
        </is>
      </c>
      <c r="I61" s="100" t="inlineStr">
        <is>
          <t>累計</t>
        </is>
      </c>
      <c r="J61" s="100" t="inlineStr">
        <is>
          <t>状態</t>
        </is>
      </c>
      <c r="K61" s="100" t="inlineStr">
        <is>
          <t>支出日</t>
        </is>
      </c>
      <c r="L61" s="100" t="inlineStr">
        <is>
          <t>摘要</t>
        </is>
      </c>
      <c r="M61" s="100" t="inlineStr">
        <is>
          <t>支出</t>
        </is>
      </c>
      <c r="N61" s="100" t="inlineStr">
        <is>
          <t>累計</t>
        </is>
      </c>
      <c r="O61" s="100" t="inlineStr">
        <is>
          <t>状態</t>
        </is>
      </c>
      <c r="P61" s="100" t="inlineStr">
        <is>
          <t>支出日</t>
        </is>
      </c>
      <c r="Q61" s="100" t="inlineStr">
        <is>
          <t>摘要</t>
        </is>
      </c>
      <c r="R61" s="100" t="inlineStr">
        <is>
          <t>支出</t>
        </is>
      </c>
      <c r="S61" s="100" t="inlineStr">
        <is>
          <t>累計</t>
        </is>
      </c>
      <c r="T61" s="100" t="inlineStr">
        <is>
          <t>状態</t>
        </is>
      </c>
    </row>
    <row r="62" ht="25.5" customHeight="1" s="186" thickBot="1">
      <c r="A62" s="825" t="n"/>
      <c r="B62" s="826" t="inlineStr">
        <is>
          <t>（予算なし）</t>
        </is>
      </c>
      <c r="C62" s="830" t="n"/>
      <c r="D62" s="831" t="n">
        <v>0</v>
      </c>
      <c r="F62" s="825" t="n"/>
      <c r="G62" s="826" t="inlineStr">
        <is>
          <t>（予算なし）</t>
        </is>
      </c>
      <c r="H62" s="830" t="n"/>
      <c r="I62" s="831" t="n">
        <v>0</v>
      </c>
      <c r="K62" s="825" t="n"/>
      <c r="L62" s="826" t="inlineStr">
        <is>
          <t>（予算なし）</t>
        </is>
      </c>
      <c r="M62" s="830" t="n"/>
      <c r="N62" s="831" t="n">
        <v>0</v>
      </c>
      <c r="P62" s="825" t="n"/>
      <c r="Q62" s="826" t="inlineStr">
        <is>
          <t>（予算なし）</t>
        </is>
      </c>
      <c r="R62" s="830" t="n"/>
      <c r="S62" s="831" t="n">
        <v>0</v>
      </c>
    </row>
    <row r="63" ht="25.5" customHeight="1" s="186" thickBot="1">
      <c r="A63" s="825" t="str">
        <f>IFERROR(INDEX(決算整理!$A$5:$A$1835,MATCH("修繕費|L|1",決算整理!$T$5:$T$1835,0)),"")</f>
        <v/>
      </c>
      <c r="B63" s="826" t="str">
        <f>IFERROR(INDEX(決算整理!$E$5:$E$1835,MATCH("修繕費|L|1",決算整理!$T$5:$T$1835,0)),"")</f>
        <v/>
      </c>
      <c r="C63" s="830" t="str">
        <f>IFERROR(INDEX(決算整理!$R$5:$R$1835,MATCH("修繕費|L|1",決算整理!$T$5:$T$1835,0)),"")</f>
        <v/>
      </c>
      <c r="D63" s="831" t="str">
        <f>IF(C63="","",D62+C63)</f>
        <v/>
      </c>
      <c r="E63" s="829" t="str">
        <f>IFERROR(INDEX(決算整理!$P$5:$P$1835,MATCH("修繕費|L|1",決算整理!$T$5:$T$1835,0)),"")</f>
        <v/>
      </c>
      <c r="F63" s="825" t="str">
        <f>IFERROR(INDEX(決算整理!$A$5:$A$1835,MATCH("役員報酬|L|1",決算整理!$T$5:$T$1835,0)),"")</f>
        <v/>
      </c>
      <c r="G63" s="826" t="str">
        <f>IFERROR(INDEX(決算整理!$E$5:$E$1835,MATCH("役員報酬|L|1",決算整理!$T$5:$T$1835,0)),"")</f>
        <v/>
      </c>
      <c r="H63" s="830" t="str">
        <f>IFERROR(INDEX(決算整理!$R$5:$R$1835,MATCH("役員報酬|L|1",決算整理!$T$5:$T$1835,0)),"")</f>
        <v/>
      </c>
      <c r="I63" s="831" t="str">
        <f>IF(H63="","",I62+H63)</f>
        <v/>
      </c>
      <c r="J63" s="829" t="str">
        <f>IFERROR(INDEX(決算整理!$P$5:$P$1835,MATCH("役員報酬|L|1",決算整理!$T$5:$T$1835,0)),"")</f>
        <v/>
      </c>
      <c r="K63" s="825" t="str">
        <f>IFERROR(INDEX(決算整理!$A$5:$A$1835,MATCH("連合会分担金|L|1",決算整理!$T$5:$T$1835,0)),"")</f>
        <v/>
      </c>
      <c r="L63" s="826" t="str">
        <f>IFERROR(INDEX(決算整理!$E$5:$E$1835,MATCH("連合会分担金|L|1",決算整理!$T$5:$T$1835,0)),"")</f>
        <v/>
      </c>
      <c r="M63" s="830" t="str">
        <f>IFERROR(INDEX(決算整理!$R$5:$R$1835,MATCH("連合会分担金|L|1",決算整理!$T$5:$T$1835,0)),"")</f>
        <v/>
      </c>
      <c r="N63" s="831" t="str">
        <f>IF(M63="","",N62+M63)</f>
        <v/>
      </c>
      <c r="O63" s="829" t="str">
        <f>IFERROR(INDEX(決算整理!$P$5:$P$1835,MATCH("連合会分担金|L|1",決算整理!$T$5:$T$1835,0)),"")</f>
        <v/>
      </c>
      <c r="P63" s="825" t="str">
        <f>IFERROR(INDEX(決算整理!$A$5:$A$1835,MATCH("非常勤職員手当|L|1",決算整理!$T$5:$T$1835,0)),"")</f>
        <v/>
      </c>
      <c r="Q63" s="826" t="str">
        <f>IFERROR(INDEX(決算整理!$E$5:$E$1835,MATCH("非常勤職員手当|L|1",決算整理!$T$5:$T$1835,0)),"")</f>
        <v/>
      </c>
      <c r="R63" s="830" t="str">
        <f>IFERROR(INDEX(決算整理!$R$5:$R$1835,MATCH("非常勤職員手当|L|1",決算整理!$T$5:$T$1835,0)),"")</f>
        <v/>
      </c>
      <c r="S63" s="831" t="str">
        <f>IF(R63="","",S62+R63)</f>
        <v/>
      </c>
      <c r="T63" s="829" t="str">
        <f>IFERROR(INDEX(決算整理!$P$5:$P$1835,MATCH("非常勤職員手当|L|1",決算整理!$T$5:$T$1835,0)),"")</f>
        <v/>
      </c>
    </row>
    <row r="64" ht="25.5" customHeight="1" s="186" thickBot="1">
      <c r="A64" s="825" t="str">
        <f>IFERROR(INDEX(決算整理!$A$5:$A$1835,MATCH("修繕費|L|2",決算整理!$T$5:$T$1835,0)),"")</f>
        <v/>
      </c>
      <c r="B64" s="826" t="str">
        <f>IFERROR(INDEX(決算整理!$E$5:$E$1835,MATCH("修繕費|L|2",決算整理!$T$5:$T$1835,0)),"")</f>
        <v/>
      </c>
      <c r="C64" s="830" t="str">
        <f>IFERROR(INDEX(決算整理!$R$5:$R$1835,MATCH("修繕費|L|2",決算整理!$T$5:$T$1835,0)),"")</f>
        <v/>
      </c>
      <c r="D64" s="831" t="str">
        <f>IF(C64="","",D63+C64)</f>
        <v/>
      </c>
      <c r="E64" s="829" t="str">
        <f>IFERROR(INDEX(決算整理!$P$5:$P$1835,MATCH("修繕費|L|2",決算整理!$T$5:$T$1835,0)),"")</f>
        <v/>
      </c>
      <c r="F64" s="825" t="str">
        <f>IFERROR(INDEX(決算整理!$A$5:$A$1835,MATCH("役員報酬|L|2",決算整理!$T$5:$T$1835,0)),"")</f>
        <v/>
      </c>
      <c r="G64" s="826" t="str">
        <f>IFERROR(INDEX(決算整理!$E$5:$E$1835,MATCH("役員報酬|L|2",決算整理!$T$5:$T$1835,0)),"")</f>
        <v/>
      </c>
      <c r="H64" s="830" t="str">
        <f>IFERROR(INDEX(決算整理!$R$5:$R$1835,MATCH("役員報酬|L|2",決算整理!$T$5:$T$1835,0)),"")</f>
        <v/>
      </c>
      <c r="I64" s="831" t="str">
        <f>IF(H64="","",I63+H64)</f>
        <v/>
      </c>
      <c r="J64" s="829" t="str">
        <f>IFERROR(INDEX(決算整理!$P$5:$P$1835,MATCH("役員報酬|L|2",決算整理!$T$5:$T$1835,0)),"")</f>
        <v/>
      </c>
      <c r="K64" s="825" t="str">
        <f>IFERROR(INDEX(決算整理!$A$5:$A$1835,MATCH("連合会分担金|L|2",決算整理!$T$5:$T$1835,0)),"")</f>
        <v/>
      </c>
      <c r="L64" s="826" t="str">
        <f>IFERROR(INDEX(決算整理!$E$5:$E$1835,MATCH("連合会分担金|L|2",決算整理!$T$5:$T$1835,0)),"")</f>
        <v/>
      </c>
      <c r="M64" s="830" t="str">
        <f>IFERROR(INDEX(決算整理!$R$5:$R$1835,MATCH("連合会分担金|L|2",決算整理!$T$5:$T$1835,0)),"")</f>
        <v/>
      </c>
      <c r="N64" s="831" t="str">
        <f>IF(M64="","",N63+M64)</f>
        <v/>
      </c>
      <c r="O64" s="829" t="str">
        <f>IFERROR(INDEX(決算整理!$P$5:$P$1835,MATCH("連合会分担金|L|2",決算整理!$T$5:$T$1835,0)),"")</f>
        <v/>
      </c>
      <c r="P64" s="825" t="str">
        <f>IFERROR(INDEX(決算整理!$A$5:$A$1835,MATCH("非常勤職員手当|L|2",決算整理!$T$5:$T$1835,0)),"")</f>
        <v/>
      </c>
      <c r="Q64" s="826" t="str">
        <f>IFERROR(INDEX(決算整理!$E$5:$E$1835,MATCH("非常勤職員手当|L|2",決算整理!$T$5:$T$1835,0)),"")</f>
        <v/>
      </c>
      <c r="R64" s="830" t="str">
        <f>IFERROR(INDEX(決算整理!$R$5:$R$1835,MATCH("非常勤職員手当|L|2",決算整理!$T$5:$T$1835,0)),"")</f>
        <v/>
      </c>
      <c r="S64" s="831" t="str">
        <f>IF(R64="","",S63+R64)</f>
        <v/>
      </c>
      <c r="T64" s="829" t="str">
        <f>IFERROR(INDEX(決算整理!$P$5:$P$1835,MATCH("非常勤職員手当|L|2",決算整理!$T$5:$T$1835,0)),"")</f>
        <v/>
      </c>
    </row>
    <row r="65" ht="25.5" customHeight="1" s="186" thickBot="1">
      <c r="A65" s="825" t="str">
        <f>IFERROR(INDEX(決算整理!$A$5:$A$1835,MATCH("修繕費|L|3",決算整理!$T$5:$T$1835,0)),"")</f>
        <v/>
      </c>
      <c r="B65" s="826" t="str">
        <f>IFERROR(INDEX(決算整理!$E$5:$E$1835,MATCH("修繕費|L|3",決算整理!$T$5:$T$1835,0)),"")</f>
        <v/>
      </c>
      <c r="C65" s="830" t="str">
        <f>IFERROR(INDEX(決算整理!$R$5:$R$1835,MATCH("修繕費|L|3",決算整理!$T$5:$T$1835,0)),"")</f>
        <v/>
      </c>
      <c r="D65" s="831" t="str">
        <f>IF(C65="","",D64+C65)</f>
        <v/>
      </c>
      <c r="E65" s="829" t="str">
        <f>IFERROR(INDEX(決算整理!$P$5:$P$1835,MATCH("修繕費|L|3",決算整理!$T$5:$T$1835,0)),"")</f>
        <v/>
      </c>
      <c r="F65" s="825" t="str">
        <f>IFERROR(INDEX(決算整理!$A$5:$A$1835,MATCH("役員報酬|L|3",決算整理!$T$5:$T$1835,0)),"")</f>
        <v/>
      </c>
      <c r="G65" s="826" t="str">
        <f>IFERROR(INDEX(決算整理!$E$5:$E$1835,MATCH("役員報酬|L|3",決算整理!$T$5:$T$1835,0)),"")</f>
        <v/>
      </c>
      <c r="H65" s="830" t="str">
        <f>IFERROR(INDEX(決算整理!$R$5:$R$1835,MATCH("役員報酬|L|3",決算整理!$T$5:$T$1835,0)),"")</f>
        <v/>
      </c>
      <c r="I65" s="831" t="str">
        <f>IF(H65="","",I64+H65)</f>
        <v/>
      </c>
      <c r="J65" s="829" t="str">
        <f>IFERROR(INDEX(決算整理!$P$5:$P$1835,MATCH("役員報酬|L|3",決算整理!$T$5:$T$1835,0)),"")</f>
        <v/>
      </c>
      <c r="K65" s="825" t="str">
        <f>IFERROR(INDEX(決算整理!$A$5:$A$1835,MATCH("連合会分担金|L|3",決算整理!$T$5:$T$1835,0)),"")</f>
        <v/>
      </c>
      <c r="L65" s="826" t="str">
        <f>IFERROR(INDEX(決算整理!$E$5:$E$1835,MATCH("連合会分担金|L|3",決算整理!$T$5:$T$1835,0)),"")</f>
        <v/>
      </c>
      <c r="M65" s="830" t="str">
        <f>IFERROR(INDEX(決算整理!$R$5:$R$1835,MATCH("連合会分担金|L|3",決算整理!$T$5:$T$1835,0)),"")</f>
        <v/>
      </c>
      <c r="N65" s="831" t="str">
        <f>IF(M65="","",N64+M65)</f>
        <v/>
      </c>
      <c r="O65" s="829" t="str">
        <f>IFERROR(INDEX(決算整理!$P$5:$P$1835,MATCH("連合会分担金|L|3",決算整理!$T$5:$T$1835,0)),"")</f>
        <v/>
      </c>
      <c r="P65" s="825" t="str">
        <f>IFERROR(INDEX(決算整理!$A$5:$A$1835,MATCH("非常勤職員手当|L|3",決算整理!$T$5:$T$1835,0)),"")</f>
        <v/>
      </c>
      <c r="Q65" s="826" t="str">
        <f>IFERROR(INDEX(決算整理!$E$5:$E$1835,MATCH("非常勤職員手当|L|3",決算整理!$T$5:$T$1835,0)),"")</f>
        <v/>
      </c>
      <c r="R65" s="830" t="str">
        <f>IFERROR(INDEX(決算整理!$R$5:$R$1835,MATCH("非常勤職員手当|L|3",決算整理!$T$5:$T$1835,0)),"")</f>
        <v/>
      </c>
      <c r="S65" s="831" t="str">
        <f>IF(R65="","",S64+R65)</f>
        <v/>
      </c>
      <c r="T65" s="829" t="str">
        <f>IFERROR(INDEX(決算整理!$P$5:$P$1835,MATCH("非常勤職員手当|L|3",決算整理!$T$5:$T$1835,0)),"")</f>
        <v/>
      </c>
    </row>
    <row r="66" ht="25.5" customHeight="1" s="186" thickBot="1">
      <c r="A66" s="825" t="str">
        <f>IFERROR(INDEX(決算整理!$A$5:$A$1835,MATCH("修繕費|L|4",決算整理!$T$5:$T$1835,0)),"")</f>
        <v/>
      </c>
      <c r="B66" s="826" t="str">
        <f>IFERROR(INDEX(決算整理!$E$5:$E$1835,MATCH("修繕費|L|4",決算整理!$T$5:$T$1835,0)),"")</f>
        <v/>
      </c>
      <c r="C66" s="830" t="str">
        <f>IFERROR(INDEX(決算整理!$R$5:$R$1835,MATCH("修繕費|L|4",決算整理!$T$5:$T$1835,0)),"")</f>
        <v/>
      </c>
      <c r="D66" s="831" t="str">
        <f>IF(C66="","",D65+C66)</f>
        <v/>
      </c>
      <c r="E66" s="829" t="str">
        <f>IFERROR(INDEX(決算整理!$P$5:$P$1835,MATCH("修繕費|L|4",決算整理!$T$5:$T$1835,0)),"")</f>
        <v/>
      </c>
      <c r="F66" s="825" t="str">
        <f>IFERROR(INDEX(決算整理!$A$5:$A$1835,MATCH("役員報酬|L|4",決算整理!$T$5:$T$1835,0)),"")</f>
        <v/>
      </c>
      <c r="G66" s="826" t="str">
        <f>IFERROR(INDEX(決算整理!$E$5:$E$1835,MATCH("役員報酬|L|4",決算整理!$T$5:$T$1835,0)),"")</f>
        <v/>
      </c>
      <c r="H66" s="830" t="str">
        <f>IFERROR(INDEX(決算整理!$R$5:$R$1835,MATCH("役員報酬|L|4",決算整理!$T$5:$T$1835,0)),"")</f>
        <v/>
      </c>
      <c r="I66" s="831" t="str">
        <f>IF(H66="","",I65+H66)</f>
        <v/>
      </c>
      <c r="J66" s="829" t="str">
        <f>IFERROR(INDEX(決算整理!$P$5:$P$1835,MATCH("役員報酬|L|4",決算整理!$T$5:$T$1835,0)),"")</f>
        <v/>
      </c>
      <c r="K66" s="825" t="str">
        <f>IFERROR(INDEX(決算整理!$A$5:$A$1835,MATCH("連合会分担金|L|4",決算整理!$T$5:$T$1835,0)),"")</f>
        <v/>
      </c>
      <c r="L66" s="826" t="str">
        <f>IFERROR(INDEX(決算整理!$E$5:$E$1835,MATCH("連合会分担金|L|4",決算整理!$T$5:$T$1835,0)),"")</f>
        <v/>
      </c>
      <c r="M66" s="830" t="str">
        <f>IFERROR(INDEX(決算整理!$R$5:$R$1835,MATCH("連合会分担金|L|4",決算整理!$T$5:$T$1835,0)),"")</f>
        <v/>
      </c>
      <c r="N66" s="831" t="str">
        <f>IF(M66="","",N65+M66)</f>
        <v/>
      </c>
      <c r="O66" s="829" t="str">
        <f>IFERROR(INDEX(決算整理!$P$5:$P$1835,MATCH("連合会分担金|L|4",決算整理!$T$5:$T$1835,0)),"")</f>
        <v/>
      </c>
      <c r="P66" s="825" t="str">
        <f>IFERROR(INDEX(決算整理!$A$5:$A$1835,MATCH("非常勤職員手当|L|4",決算整理!$T$5:$T$1835,0)),"")</f>
        <v/>
      </c>
      <c r="Q66" s="826" t="str">
        <f>IFERROR(INDEX(決算整理!$E$5:$E$1835,MATCH("非常勤職員手当|L|4",決算整理!$T$5:$T$1835,0)),"")</f>
        <v/>
      </c>
      <c r="R66" s="830" t="str">
        <f>IFERROR(INDEX(決算整理!$R$5:$R$1835,MATCH("非常勤職員手当|L|4",決算整理!$T$5:$T$1835,0)),"")</f>
        <v/>
      </c>
      <c r="S66" s="831" t="str">
        <f>IF(R66="","",S65+R66)</f>
        <v/>
      </c>
      <c r="T66" s="829" t="str">
        <f>IFERROR(INDEX(決算整理!$P$5:$P$1835,MATCH("非常勤職員手当|L|4",決算整理!$T$5:$T$1835,0)),"")</f>
        <v/>
      </c>
    </row>
    <row r="67" ht="25.5" customHeight="1" s="186" thickBot="1">
      <c r="A67" s="825" t="str">
        <f>IFERROR(INDEX(決算整理!$A$5:$A$1835,MATCH("修繕費|L|5",決算整理!$T$5:$T$1835,0)),"")</f>
        <v/>
      </c>
      <c r="B67" s="826" t="str">
        <f>IFERROR(INDEX(決算整理!$E$5:$E$1835,MATCH("修繕費|L|5",決算整理!$T$5:$T$1835,0)),"")</f>
        <v/>
      </c>
      <c r="C67" s="830" t="str">
        <f>IFERROR(INDEX(決算整理!$R$5:$R$1835,MATCH("修繕費|L|5",決算整理!$T$5:$T$1835,0)),"")</f>
        <v/>
      </c>
      <c r="D67" s="831" t="str">
        <f>IF(C67="","",D66+C67)</f>
        <v/>
      </c>
      <c r="E67" s="829" t="str">
        <f>IFERROR(INDEX(決算整理!$P$5:$P$1835,MATCH("修繕費|L|5",決算整理!$T$5:$T$1835,0)),"")</f>
        <v/>
      </c>
      <c r="F67" s="825" t="str">
        <f>IFERROR(INDEX(決算整理!$A$5:$A$1835,MATCH("役員報酬|L|5",決算整理!$T$5:$T$1835,0)),"")</f>
        <v/>
      </c>
      <c r="G67" s="826" t="str">
        <f>IFERROR(INDEX(決算整理!$E$5:$E$1835,MATCH("役員報酬|L|5",決算整理!$T$5:$T$1835,0)),"")</f>
        <v/>
      </c>
      <c r="H67" s="830" t="str">
        <f>IFERROR(INDEX(決算整理!$R$5:$R$1835,MATCH("役員報酬|L|5",決算整理!$T$5:$T$1835,0)),"")</f>
        <v/>
      </c>
      <c r="I67" s="831" t="str">
        <f>IF(H67="","",I66+H67)</f>
        <v/>
      </c>
      <c r="J67" s="829" t="str">
        <f>IFERROR(INDEX(決算整理!$P$5:$P$1835,MATCH("役員報酬|L|5",決算整理!$T$5:$T$1835,0)),"")</f>
        <v/>
      </c>
      <c r="K67" s="825" t="str">
        <f>IFERROR(INDEX(決算整理!$A$5:$A$1835,MATCH("連合会分担金|L|5",決算整理!$T$5:$T$1835,0)),"")</f>
        <v/>
      </c>
      <c r="L67" s="826" t="str">
        <f>IFERROR(INDEX(決算整理!$E$5:$E$1835,MATCH("連合会分担金|L|5",決算整理!$T$5:$T$1835,0)),"")</f>
        <v/>
      </c>
      <c r="M67" s="830" t="str">
        <f>IFERROR(INDEX(決算整理!$R$5:$R$1835,MATCH("連合会分担金|L|5",決算整理!$T$5:$T$1835,0)),"")</f>
        <v/>
      </c>
      <c r="N67" s="831" t="str">
        <f>IF(M67="","",N66+M67)</f>
        <v/>
      </c>
      <c r="O67" s="829" t="str">
        <f>IFERROR(INDEX(決算整理!$P$5:$P$1835,MATCH("連合会分担金|L|5",決算整理!$T$5:$T$1835,0)),"")</f>
        <v/>
      </c>
      <c r="P67" s="825" t="str">
        <f>IFERROR(INDEX(決算整理!$A$5:$A$1835,MATCH("非常勤職員手当|L|5",決算整理!$T$5:$T$1835,0)),"")</f>
        <v/>
      </c>
      <c r="Q67" s="826" t="str">
        <f>IFERROR(INDEX(決算整理!$E$5:$E$1835,MATCH("非常勤職員手当|L|5",決算整理!$T$5:$T$1835,0)),"")</f>
        <v/>
      </c>
      <c r="R67" s="830" t="str">
        <f>IFERROR(INDEX(決算整理!$R$5:$R$1835,MATCH("非常勤職員手当|L|5",決算整理!$T$5:$T$1835,0)),"")</f>
        <v/>
      </c>
      <c r="S67" s="831" t="str">
        <f>IF(R67="","",S66+R67)</f>
        <v/>
      </c>
      <c r="T67" s="829" t="str">
        <f>IFERROR(INDEX(決算整理!$P$5:$P$1835,MATCH("非常勤職員手当|L|5",決算整理!$T$5:$T$1835,0)),"")</f>
        <v/>
      </c>
    </row>
    <row r="68" ht="25.5" customHeight="1" s="186" thickBot="1">
      <c r="A68" s="825" t="str">
        <f>IFERROR(INDEX(決算整理!$A$5:$A$1835,MATCH("修繕費|L|6",決算整理!$T$5:$T$1835,0)),"")</f>
        <v/>
      </c>
      <c r="B68" s="826" t="str">
        <f>IFERROR(INDEX(決算整理!$E$5:$E$1835,MATCH("修繕費|L|6",決算整理!$T$5:$T$1835,0)),"")</f>
        <v/>
      </c>
      <c r="C68" s="830" t="str">
        <f>IFERROR(INDEX(決算整理!$R$5:$R$1835,MATCH("修繕費|L|6",決算整理!$T$5:$T$1835,0)),"")</f>
        <v/>
      </c>
      <c r="D68" s="831" t="str">
        <f>IF(C68="","",D67+C68)</f>
        <v/>
      </c>
      <c r="E68" s="829" t="str">
        <f>IFERROR(INDEX(決算整理!$P$5:$P$1835,MATCH("修繕費|L|6",決算整理!$T$5:$T$1835,0)),"")</f>
        <v/>
      </c>
      <c r="F68" s="825" t="str">
        <f>IFERROR(INDEX(決算整理!$A$5:$A$1835,MATCH("役員報酬|L|6",決算整理!$T$5:$T$1835,0)),"")</f>
        <v/>
      </c>
      <c r="G68" s="826" t="str">
        <f>IFERROR(INDEX(決算整理!$E$5:$E$1835,MATCH("役員報酬|L|6",決算整理!$T$5:$T$1835,0)),"")</f>
        <v/>
      </c>
      <c r="H68" s="830" t="str">
        <f>IFERROR(INDEX(決算整理!$R$5:$R$1835,MATCH("役員報酬|L|6",決算整理!$T$5:$T$1835,0)),"")</f>
        <v/>
      </c>
      <c r="I68" s="831" t="str">
        <f>IF(H68="","",I67+H68)</f>
        <v/>
      </c>
      <c r="J68" s="829" t="str">
        <f>IFERROR(INDEX(決算整理!$P$5:$P$1835,MATCH("役員報酬|L|6",決算整理!$T$5:$T$1835,0)),"")</f>
        <v/>
      </c>
      <c r="K68" s="825" t="str">
        <f>IFERROR(INDEX(決算整理!$A$5:$A$1835,MATCH("連合会分担金|L|6",決算整理!$T$5:$T$1835,0)),"")</f>
        <v/>
      </c>
      <c r="L68" s="826" t="str">
        <f>IFERROR(INDEX(決算整理!$E$5:$E$1835,MATCH("連合会分担金|L|6",決算整理!$T$5:$T$1835,0)),"")</f>
        <v/>
      </c>
      <c r="M68" s="830" t="str">
        <f>IFERROR(INDEX(決算整理!$R$5:$R$1835,MATCH("連合会分担金|L|6",決算整理!$T$5:$T$1835,0)),"")</f>
        <v/>
      </c>
      <c r="N68" s="831" t="str">
        <f>IF(M68="","",N67+M68)</f>
        <v/>
      </c>
      <c r="O68" s="829" t="str">
        <f>IFERROR(INDEX(決算整理!$P$5:$P$1835,MATCH("連合会分担金|L|6",決算整理!$T$5:$T$1835,0)),"")</f>
        <v/>
      </c>
      <c r="P68" s="825" t="str">
        <f>IFERROR(INDEX(決算整理!$A$5:$A$1835,MATCH("非常勤職員手当|L|6",決算整理!$T$5:$T$1835,0)),"")</f>
        <v/>
      </c>
      <c r="Q68" s="826" t="str">
        <f>IFERROR(INDEX(決算整理!$E$5:$E$1835,MATCH("非常勤職員手当|L|6",決算整理!$T$5:$T$1835,0)),"")</f>
        <v/>
      </c>
      <c r="R68" s="830" t="str">
        <f>IFERROR(INDEX(決算整理!$R$5:$R$1835,MATCH("非常勤職員手当|L|6",決算整理!$T$5:$T$1835,0)),"")</f>
        <v/>
      </c>
      <c r="S68" s="831" t="str">
        <f>IF(R68="","",S67+R68)</f>
        <v/>
      </c>
      <c r="T68" s="829" t="str">
        <f>IFERROR(INDEX(決算整理!$P$5:$P$1835,MATCH("非常勤職員手当|L|6",決算整理!$T$5:$T$1835,0)),"")</f>
        <v/>
      </c>
    </row>
    <row r="69" ht="25.5" customHeight="1" s="186" thickBot="1">
      <c r="A69" s="825" t="str">
        <f>IFERROR(INDEX(決算整理!$A$5:$A$1835,MATCH("修繕費|L|7",決算整理!$T$5:$T$1835,0)),"")</f>
        <v/>
      </c>
      <c r="B69" s="826" t="str">
        <f>IFERROR(INDEX(決算整理!$E$5:$E$1835,MATCH("修繕費|L|7",決算整理!$T$5:$T$1835,0)),"")</f>
        <v/>
      </c>
      <c r="C69" s="830" t="str">
        <f>IFERROR(INDEX(決算整理!$R$5:$R$1835,MATCH("修繕費|L|7",決算整理!$T$5:$T$1835,0)),"")</f>
        <v/>
      </c>
      <c r="D69" s="831" t="str">
        <f>IF(C69="","",D68+C69)</f>
        <v/>
      </c>
      <c r="E69" s="829" t="str">
        <f>IFERROR(INDEX(決算整理!$P$5:$P$1835,MATCH("修繕費|L|7",決算整理!$T$5:$T$1835,0)),"")</f>
        <v/>
      </c>
      <c r="F69" s="825" t="str">
        <f>IFERROR(INDEX(決算整理!$A$5:$A$1835,MATCH("役員報酬|L|7",決算整理!$T$5:$T$1835,0)),"")</f>
        <v/>
      </c>
      <c r="G69" s="826" t="str">
        <f>IFERROR(INDEX(決算整理!$E$5:$E$1835,MATCH("役員報酬|L|7",決算整理!$T$5:$T$1835,0)),"")</f>
        <v/>
      </c>
      <c r="H69" s="830" t="str">
        <f>IFERROR(INDEX(決算整理!$R$5:$R$1835,MATCH("役員報酬|L|7",決算整理!$T$5:$T$1835,0)),"")</f>
        <v/>
      </c>
      <c r="I69" s="831" t="str">
        <f>IF(H69="","",I68+H69)</f>
        <v/>
      </c>
      <c r="J69" s="829" t="str">
        <f>IFERROR(INDEX(決算整理!$P$5:$P$1835,MATCH("役員報酬|L|7",決算整理!$T$5:$T$1835,0)),"")</f>
        <v/>
      </c>
      <c r="K69" s="825" t="str">
        <f>IFERROR(INDEX(決算整理!$A$5:$A$1835,MATCH("連合会分担金|L|7",決算整理!$T$5:$T$1835,0)),"")</f>
        <v/>
      </c>
      <c r="L69" s="826" t="str">
        <f>IFERROR(INDEX(決算整理!$E$5:$E$1835,MATCH("連合会分担金|L|7",決算整理!$T$5:$T$1835,0)),"")</f>
        <v/>
      </c>
      <c r="M69" s="830" t="str">
        <f>IFERROR(INDEX(決算整理!$R$5:$R$1835,MATCH("連合会分担金|L|7",決算整理!$T$5:$T$1835,0)),"")</f>
        <v/>
      </c>
      <c r="N69" s="831" t="str">
        <f>IF(M69="","",N68+M69)</f>
        <v/>
      </c>
      <c r="O69" s="829" t="str">
        <f>IFERROR(INDEX(決算整理!$P$5:$P$1835,MATCH("連合会分担金|L|7",決算整理!$T$5:$T$1835,0)),"")</f>
        <v/>
      </c>
      <c r="P69" s="825" t="str">
        <f>IFERROR(INDEX(決算整理!$A$5:$A$1835,MATCH("非常勤職員手当|L|7",決算整理!$T$5:$T$1835,0)),"")</f>
        <v/>
      </c>
      <c r="Q69" s="826" t="str">
        <f>IFERROR(INDEX(決算整理!$E$5:$E$1835,MATCH("非常勤職員手当|L|7",決算整理!$T$5:$T$1835,0)),"")</f>
        <v/>
      </c>
      <c r="R69" s="830" t="str">
        <f>IFERROR(INDEX(決算整理!$R$5:$R$1835,MATCH("非常勤職員手当|L|7",決算整理!$T$5:$T$1835,0)),"")</f>
        <v/>
      </c>
      <c r="S69" s="831" t="str">
        <f>IF(R69="","",S68+R69)</f>
        <v/>
      </c>
      <c r="T69" s="829" t="str">
        <f>IFERROR(INDEX(決算整理!$P$5:$P$1835,MATCH("非常勤職員手当|L|7",決算整理!$T$5:$T$1835,0)),"")</f>
        <v/>
      </c>
    </row>
    <row r="70" ht="25.5" customHeight="1" s="186" thickBot="1">
      <c r="A70" s="825" t="str">
        <f>IFERROR(INDEX(決算整理!$A$5:$A$1835,MATCH("修繕費|L|8",決算整理!$T$5:$T$1835,0)),"")</f>
        <v/>
      </c>
      <c r="B70" s="826" t="str">
        <f>IFERROR(INDEX(決算整理!$E$5:$E$1835,MATCH("修繕費|L|8",決算整理!$T$5:$T$1835,0)),"")</f>
        <v/>
      </c>
      <c r="C70" s="830" t="str">
        <f>IFERROR(INDEX(決算整理!$R$5:$R$1835,MATCH("修繕費|L|8",決算整理!$T$5:$T$1835,0)),"")</f>
        <v/>
      </c>
      <c r="D70" s="831" t="str">
        <f>IF(C70="","",D69+C70)</f>
        <v/>
      </c>
      <c r="E70" s="829" t="str">
        <f>IFERROR(INDEX(決算整理!$P$5:$P$1835,MATCH("修繕費|L|8",決算整理!$T$5:$T$1835,0)),"")</f>
        <v/>
      </c>
      <c r="F70" s="825" t="str">
        <f>IFERROR(INDEX(決算整理!$A$5:$A$1835,MATCH("役員報酬|L|8",決算整理!$T$5:$T$1835,0)),"")</f>
        <v/>
      </c>
      <c r="G70" s="826" t="str">
        <f>IFERROR(INDEX(決算整理!$E$5:$E$1835,MATCH("役員報酬|L|8",決算整理!$T$5:$T$1835,0)),"")</f>
        <v/>
      </c>
      <c r="H70" s="830" t="str">
        <f>IFERROR(INDEX(決算整理!$R$5:$R$1835,MATCH("役員報酬|L|8",決算整理!$T$5:$T$1835,0)),"")</f>
        <v/>
      </c>
      <c r="I70" s="831" t="str">
        <f>IF(H70="","",I69+H70)</f>
        <v/>
      </c>
      <c r="J70" s="829" t="str">
        <f>IFERROR(INDEX(決算整理!$P$5:$P$1835,MATCH("役員報酬|L|8",決算整理!$T$5:$T$1835,0)),"")</f>
        <v/>
      </c>
      <c r="K70" s="825" t="str">
        <f>IFERROR(INDEX(決算整理!$A$5:$A$1835,MATCH("連合会分担金|L|8",決算整理!$T$5:$T$1835,0)),"")</f>
        <v/>
      </c>
      <c r="L70" s="826" t="str">
        <f>IFERROR(INDEX(決算整理!$E$5:$E$1835,MATCH("連合会分担金|L|8",決算整理!$T$5:$T$1835,0)),"")</f>
        <v/>
      </c>
      <c r="M70" s="830" t="str">
        <f>IFERROR(INDEX(決算整理!$R$5:$R$1835,MATCH("連合会分担金|L|8",決算整理!$T$5:$T$1835,0)),"")</f>
        <v/>
      </c>
      <c r="N70" s="831" t="str">
        <f>IF(M70="","",N69+M70)</f>
        <v/>
      </c>
      <c r="O70" s="829" t="str">
        <f>IFERROR(INDEX(決算整理!$P$5:$P$1835,MATCH("連合会分担金|L|8",決算整理!$T$5:$T$1835,0)),"")</f>
        <v/>
      </c>
      <c r="P70" s="825" t="str">
        <f>IFERROR(INDEX(決算整理!$A$5:$A$1835,MATCH("非常勤職員手当|L|8",決算整理!$T$5:$T$1835,0)),"")</f>
        <v/>
      </c>
      <c r="Q70" s="826" t="str">
        <f>IFERROR(INDEX(決算整理!$E$5:$E$1835,MATCH("非常勤職員手当|L|8",決算整理!$T$5:$T$1835,0)),"")</f>
        <v/>
      </c>
      <c r="R70" s="830" t="str">
        <f>IFERROR(INDEX(決算整理!$R$5:$R$1835,MATCH("非常勤職員手当|L|8",決算整理!$T$5:$T$1835,0)),"")</f>
        <v/>
      </c>
      <c r="S70" s="831" t="str">
        <f>IF(R70="","",S69+R70)</f>
        <v/>
      </c>
      <c r="T70" s="829" t="str">
        <f>IFERROR(INDEX(決算整理!$P$5:$P$1835,MATCH("非常勤職員手当|L|8",決算整理!$T$5:$T$1835,0)),"")</f>
        <v/>
      </c>
    </row>
    <row r="71" ht="25.5" customHeight="1" s="186">
      <c r="A71" s="825" t="str">
        <f>IFERROR(INDEX(決算整理!$A$5:$A$1835,MATCH("修繕費|L|9",決算整理!$T$5:$T$1835,0)),"")</f>
        <v/>
      </c>
      <c r="B71" s="826" t="str">
        <f>IFERROR(INDEX(決算整理!$E$5:$E$1835,MATCH("修繕費|L|9",決算整理!$T$5:$T$1835,0)),"")</f>
        <v/>
      </c>
      <c r="C71" s="830" t="str">
        <f>IFERROR(INDEX(決算整理!$R$5:$R$1835,MATCH("修繕費|L|9",決算整理!$T$5:$T$1835,0)),"")</f>
        <v/>
      </c>
      <c r="D71" s="831" t="str">
        <f>IF(C71="","",D70+C71)</f>
        <v/>
      </c>
      <c r="E71" s="829" t="str">
        <f>IFERROR(INDEX(決算整理!$P$5:$P$1835,MATCH("修繕費|L|9",決算整理!$T$5:$T$1835,0)),"")</f>
        <v/>
      </c>
      <c r="F71" s="825" t="str">
        <f>IFERROR(INDEX(決算整理!$A$5:$A$1835,MATCH("役員報酬|L|9",決算整理!$T$5:$T$1835,0)),"")</f>
        <v/>
      </c>
      <c r="G71" s="826" t="str">
        <f>IFERROR(INDEX(決算整理!$E$5:$E$1835,MATCH("役員報酬|L|9",決算整理!$T$5:$T$1835,0)),"")</f>
        <v/>
      </c>
      <c r="H71" s="830" t="str">
        <f>IFERROR(INDEX(決算整理!$R$5:$R$1835,MATCH("役員報酬|L|9",決算整理!$T$5:$T$1835,0)),"")</f>
        <v/>
      </c>
      <c r="I71" s="831" t="str">
        <f>IF(H71="","",I70+H71)</f>
        <v/>
      </c>
      <c r="J71" s="829" t="str">
        <f>IFERROR(INDEX(決算整理!$P$5:$P$1835,MATCH("役員報酬|L|9",決算整理!$T$5:$T$1835,0)),"")</f>
        <v/>
      </c>
      <c r="K71" s="825" t="str">
        <f>IFERROR(INDEX(決算整理!$A$5:$A$1835,MATCH("連合会分担金|L|9",決算整理!$T$5:$T$1835,0)),"")</f>
        <v/>
      </c>
      <c r="L71" s="826" t="str">
        <f>IFERROR(INDEX(決算整理!$E$5:$E$1835,MATCH("連合会分担金|L|9",決算整理!$T$5:$T$1835,0)),"")</f>
        <v/>
      </c>
      <c r="M71" s="830" t="str">
        <f>IFERROR(INDEX(決算整理!$R$5:$R$1835,MATCH("連合会分担金|L|9",決算整理!$T$5:$T$1835,0)),"")</f>
        <v/>
      </c>
      <c r="N71" s="831" t="str">
        <f>IF(M71="","",N70+M71)</f>
        <v/>
      </c>
      <c r="O71" s="829" t="str">
        <f>IFERROR(INDEX(決算整理!$P$5:$P$1835,MATCH("連合会分担金|L|9",決算整理!$T$5:$T$1835,0)),"")</f>
        <v/>
      </c>
      <c r="P71" s="825" t="str">
        <f>IFERROR(INDEX(決算整理!$A$5:$A$1835,MATCH("非常勤職員手当|L|9",決算整理!$T$5:$T$1835,0)),"")</f>
        <v/>
      </c>
      <c r="Q71" s="826" t="str">
        <f>IFERROR(INDEX(決算整理!$E$5:$E$1835,MATCH("非常勤職員手当|L|9",決算整理!$T$5:$T$1835,0)),"")</f>
        <v/>
      </c>
      <c r="R71" s="830" t="str">
        <f>IFERROR(INDEX(決算整理!$R$5:$R$1835,MATCH("非常勤職員手当|L|9",決算整理!$T$5:$T$1835,0)),"")</f>
        <v/>
      </c>
      <c r="S71" s="831" t="str">
        <f>IF(R71="","",S70+R71)</f>
        <v/>
      </c>
      <c r="T71" s="829" t="str">
        <f>IFERROR(INDEX(決算整理!$P$5:$P$1835,MATCH("非常勤職員手当|L|9",決算整理!$T$5:$T$1835,0)),"")</f>
        <v/>
      </c>
    </row>
    <row r="72" ht="25.5" customHeight="1" s="186" thickBot="1">
      <c r="A72" s="825" t="str">
        <f>IFERROR(INDEX(決算整理!$A$5:$A$1835,MATCH("修繕費|L|10",決算整理!$T$5:$T$1835,0)),"")</f>
        <v/>
      </c>
      <c r="B72" s="826" t="str">
        <f>IFERROR(INDEX(決算整理!$E$5:$E$1835,MATCH("修繕費|L|10",決算整理!$T$5:$T$1835,0)),"")</f>
        <v/>
      </c>
      <c r="C72" s="830" t="str">
        <f>IFERROR(INDEX(決算整理!$R$5:$R$1835,MATCH("修繕費|L|10",決算整理!$T$5:$T$1835,0)),"")</f>
        <v/>
      </c>
      <c r="D72" s="831" t="str">
        <f>IF(C72="","",D71+C72)</f>
        <v/>
      </c>
      <c r="E72" s="829" t="str">
        <f>IFERROR(INDEX(決算整理!$P$5:$P$1835,MATCH("修繕費|L|10",決算整理!$T$5:$T$1835,0)),"")</f>
        <v/>
      </c>
      <c r="F72" s="825" t="str">
        <f>IFERROR(INDEX(決算整理!$A$5:$A$1835,MATCH("役員報酬|L|10",決算整理!$T$5:$T$1835,0)),"")</f>
        <v/>
      </c>
      <c r="G72" s="826" t="str">
        <f>IFERROR(INDEX(決算整理!$E$5:$E$1835,MATCH("役員報酬|L|10",決算整理!$T$5:$T$1835,0)),"")</f>
        <v/>
      </c>
      <c r="H72" s="830" t="str">
        <f>IFERROR(INDEX(決算整理!$R$5:$R$1835,MATCH("役員報酬|L|10",決算整理!$T$5:$T$1835,0)),"")</f>
        <v/>
      </c>
      <c r="I72" s="831" t="str">
        <f>IF(H72="","",I71+H72)</f>
        <v/>
      </c>
      <c r="J72" s="829" t="str">
        <f>IFERROR(INDEX(決算整理!$P$5:$P$1835,MATCH("役員報酬|L|10",決算整理!$T$5:$T$1835,0)),"")</f>
        <v/>
      </c>
      <c r="K72" s="825" t="str">
        <f>IFERROR(INDEX(決算整理!$A$5:$A$1835,MATCH("連合会分担金|L|10",決算整理!$T$5:$T$1835,0)),"")</f>
        <v/>
      </c>
      <c r="L72" s="826" t="str">
        <f>IFERROR(INDEX(決算整理!$E$5:$E$1835,MATCH("連合会分担金|L|10",決算整理!$T$5:$T$1835,0)),"")</f>
        <v/>
      </c>
      <c r="M72" s="830" t="str">
        <f>IFERROR(INDEX(決算整理!$R$5:$R$1835,MATCH("連合会分担金|L|10",決算整理!$T$5:$T$1835,0)),"")</f>
        <v/>
      </c>
      <c r="N72" s="831" t="str">
        <f>IF(M72="","",N71+M72)</f>
        <v/>
      </c>
      <c r="O72" s="829" t="str">
        <f>IFERROR(INDEX(決算整理!$P$5:$P$1835,MATCH("連合会分担金|L|10",決算整理!$T$5:$T$1835,0)),"")</f>
        <v/>
      </c>
      <c r="P72" s="825" t="str">
        <f>IFERROR(INDEX(決算整理!$A$5:$A$1835,MATCH("非常勤職員手当|L|10",決算整理!$T$5:$T$1835,0)),"")</f>
        <v/>
      </c>
      <c r="Q72" s="826" t="str">
        <f>IFERROR(INDEX(決算整理!$E$5:$E$1835,MATCH("非常勤職員手当|L|10",決算整理!$T$5:$T$1835,0)),"")</f>
        <v/>
      </c>
      <c r="R72" s="830" t="str">
        <f>IFERROR(INDEX(決算整理!$R$5:$R$1835,MATCH("非常勤職員手当|L|10",決算整理!$T$5:$T$1835,0)),"")</f>
        <v/>
      </c>
      <c r="S72" s="831" t="str">
        <f>IF(R72="","",S71+R72)</f>
        <v/>
      </c>
      <c r="T72" s="829" t="str">
        <f>IFERROR(INDEX(決算整理!$P$5:$P$1835,MATCH("非常勤職員手当|L|10",決算整理!$T$5:$T$1835,0)),"")</f>
        <v/>
      </c>
    </row>
    <row r="73" ht="25.5" customHeight="1" s="186" thickBot="1">
      <c r="A73" s="825" t="str">
        <f>IFERROR(INDEX(決算整理!$A$5:$A$1835,MATCH("修繕費|L|11",決算整理!$T$5:$T$1835,0)),"")</f>
        <v/>
      </c>
      <c r="B73" s="826" t="str">
        <f>IFERROR(INDEX(決算整理!$E$5:$E$1835,MATCH("修繕費|L|11",決算整理!$T$5:$T$1835,0)),"")</f>
        <v/>
      </c>
      <c r="C73" s="830" t="str">
        <f>IFERROR(INDEX(決算整理!$R$5:$R$1835,MATCH("修繕費|L|11",決算整理!$T$5:$T$1835,0)),"")</f>
        <v/>
      </c>
      <c r="D73" s="831" t="str">
        <f>IF(C73="","",D72+C73)</f>
        <v/>
      </c>
      <c r="E73" s="829" t="str">
        <f>IFERROR(INDEX(決算整理!$P$5:$P$1835,MATCH("修繕費|L|11",決算整理!$T$5:$T$1835,0)),"")</f>
        <v/>
      </c>
      <c r="F73" s="825" t="str">
        <f>IFERROR(INDEX(決算整理!$A$5:$A$1835,MATCH("役員報酬|L|11",決算整理!$T$5:$T$1835,0)),"")</f>
        <v/>
      </c>
      <c r="G73" s="826" t="str">
        <f>IFERROR(INDEX(決算整理!$E$5:$E$1835,MATCH("役員報酬|L|11",決算整理!$T$5:$T$1835,0)),"")</f>
        <v/>
      </c>
      <c r="H73" s="830" t="str">
        <f>IFERROR(INDEX(決算整理!$R$5:$R$1835,MATCH("役員報酬|L|11",決算整理!$T$5:$T$1835,0)),"")</f>
        <v/>
      </c>
      <c r="I73" s="831" t="str">
        <f>IF(H73="","",I72+H73)</f>
        <v/>
      </c>
      <c r="J73" s="829" t="str">
        <f>IFERROR(INDEX(決算整理!$P$5:$P$1835,MATCH("役員報酬|L|11",決算整理!$T$5:$T$1835,0)),"")</f>
        <v/>
      </c>
      <c r="K73" s="825" t="str">
        <f>IFERROR(INDEX(決算整理!$A$5:$A$1835,MATCH("連合会分担金|L|11",決算整理!$T$5:$T$1835,0)),"")</f>
        <v/>
      </c>
      <c r="L73" s="826" t="str">
        <f>IFERROR(INDEX(決算整理!$E$5:$E$1835,MATCH("連合会分担金|L|11",決算整理!$T$5:$T$1835,0)),"")</f>
        <v/>
      </c>
      <c r="M73" s="830" t="str">
        <f>IFERROR(INDEX(決算整理!$R$5:$R$1835,MATCH("連合会分担金|L|11",決算整理!$T$5:$T$1835,0)),"")</f>
        <v/>
      </c>
      <c r="N73" s="831" t="str">
        <f>IF(M73="","",N72+M73)</f>
        <v/>
      </c>
      <c r="O73" s="829" t="str">
        <f>IFERROR(INDEX(決算整理!$P$5:$P$1835,MATCH("連合会分担金|L|11",決算整理!$T$5:$T$1835,0)),"")</f>
        <v/>
      </c>
      <c r="P73" s="825" t="str">
        <f>IFERROR(INDEX(決算整理!$A$5:$A$1835,MATCH("非常勤職員手当|L|11",決算整理!$T$5:$T$1835,0)),"")</f>
        <v/>
      </c>
      <c r="Q73" s="826" t="str">
        <f>IFERROR(INDEX(決算整理!$E$5:$E$1835,MATCH("非常勤職員手当|L|11",決算整理!$T$5:$T$1835,0)),"")</f>
        <v/>
      </c>
      <c r="R73" s="830" t="str">
        <f>IFERROR(INDEX(決算整理!$R$5:$R$1835,MATCH("非常勤職員手当|L|11",決算整理!$T$5:$T$1835,0)),"")</f>
        <v/>
      </c>
      <c r="S73" s="831" t="str">
        <f>IF(R73="","",S72+R73)</f>
        <v/>
      </c>
      <c r="T73" s="829" t="str">
        <f>IFERROR(INDEX(決算整理!$P$5:$P$1835,MATCH("非常勤職員手当|L|11",決算整理!$T$5:$T$1835,0)),"")</f>
        <v/>
      </c>
    </row>
    <row r="74" ht="25.5" customHeight="1" s="186">
      <c r="A74" s="825" t="str">
        <f>IFERROR(INDEX(決算整理!$A$5:$A$1835,MATCH("修繕費|L|12",決算整理!$T$5:$T$1835,0)),"")</f>
        <v/>
      </c>
      <c r="B74" s="826" t="str">
        <f>IFERROR(INDEX(決算整理!$E$5:$E$1835,MATCH("修繕費|L|12",決算整理!$T$5:$T$1835,0)),"")</f>
        <v/>
      </c>
      <c r="C74" s="830" t="str">
        <f>IFERROR(INDEX(決算整理!$R$5:$R$1835,MATCH("修繕費|L|12",決算整理!$T$5:$T$1835,0)),"")</f>
        <v/>
      </c>
      <c r="D74" s="831" t="str">
        <f>IF(C74="","",D73+C74)</f>
        <v/>
      </c>
      <c r="E74" s="829" t="str">
        <f>IFERROR(INDEX(決算整理!$P$5:$P$1835,MATCH("修繕費|L|12",決算整理!$T$5:$T$1835,0)),"")</f>
        <v/>
      </c>
      <c r="F74" s="825" t="str">
        <f>IFERROR(INDEX(決算整理!$A$5:$A$1835,MATCH("役員報酬|L|12",決算整理!$T$5:$T$1835,0)),"")</f>
        <v/>
      </c>
      <c r="G74" s="826" t="str">
        <f>IFERROR(INDEX(決算整理!$E$5:$E$1835,MATCH("役員報酬|L|12",決算整理!$T$5:$T$1835,0)),"")</f>
        <v/>
      </c>
      <c r="H74" s="830" t="str">
        <f>IFERROR(INDEX(決算整理!$R$5:$R$1835,MATCH("役員報酬|L|12",決算整理!$T$5:$T$1835,0)),"")</f>
        <v/>
      </c>
      <c r="I74" s="831" t="str">
        <f>IF(H74="","",I73+H74)</f>
        <v/>
      </c>
      <c r="J74" s="829" t="str">
        <f>IFERROR(INDEX(決算整理!$P$5:$P$1835,MATCH("役員報酬|L|12",決算整理!$T$5:$T$1835,0)),"")</f>
        <v/>
      </c>
      <c r="K74" s="825" t="str">
        <f>IFERROR(INDEX(決算整理!$A$5:$A$1835,MATCH("連合会分担金|L|12",決算整理!$T$5:$T$1835,0)),"")</f>
        <v/>
      </c>
      <c r="L74" s="826" t="str">
        <f>IFERROR(INDEX(決算整理!$E$5:$E$1835,MATCH("連合会分担金|L|12",決算整理!$T$5:$T$1835,0)),"")</f>
        <v/>
      </c>
      <c r="M74" s="830" t="str">
        <f>IFERROR(INDEX(決算整理!$R$5:$R$1835,MATCH("連合会分担金|L|12",決算整理!$T$5:$T$1835,0)),"")</f>
        <v/>
      </c>
      <c r="N74" s="831" t="str">
        <f>IF(M74="","",N73+M74)</f>
        <v/>
      </c>
      <c r="O74" s="829" t="str">
        <f>IFERROR(INDEX(決算整理!$P$5:$P$1835,MATCH("連合会分担金|L|12",決算整理!$T$5:$T$1835,0)),"")</f>
        <v/>
      </c>
      <c r="P74" s="825" t="str">
        <f>IFERROR(INDEX(決算整理!$A$5:$A$1835,MATCH("非常勤職員手当|L|12",決算整理!$T$5:$T$1835,0)),"")</f>
        <v/>
      </c>
      <c r="Q74" s="826" t="str">
        <f>IFERROR(INDEX(決算整理!$E$5:$E$1835,MATCH("非常勤職員手当|L|12",決算整理!$T$5:$T$1835,0)),"")</f>
        <v/>
      </c>
      <c r="R74" s="830" t="str">
        <f>IFERROR(INDEX(決算整理!$R$5:$R$1835,MATCH("非常勤職員手当|L|12",決算整理!$T$5:$T$1835,0)),"")</f>
        <v/>
      </c>
      <c r="S74" s="831" t="str">
        <f>IF(R74="","",S73+R74)</f>
        <v/>
      </c>
      <c r="T74" s="829" t="str">
        <f>IFERROR(INDEX(決算整理!$P$5:$P$1835,MATCH("非常勤職員手当|L|12",決算整理!$T$5:$T$1835,0)),"")</f>
        <v/>
      </c>
    </row>
    <row r="75" ht="25.5" customHeight="1" s="186" thickBot="1"/>
    <row r="76" ht="25.5" customHeight="1" s="186" thickBot="1"/>
    <row r="77" ht="25.5" customHeight="1" s="186" thickBot="1"/>
    <row r="78" ht="25.5" customHeight="1" s="186" thickBot="1">
      <c r="B78" s="502" t="inlineStr">
        <is>
          <t>○賃金</t>
        </is>
      </c>
      <c r="D78" s="93" t="inlineStr">
        <is>
          <t>業務（長）未払</t>
        </is>
      </c>
      <c r="E78" s="824" t="str">
        <f>IF(COUNTIF(決算整理!$T$5:$T$1835,"賃金|L|*")&gt;12,"行不足","")</f>
        <v/>
      </c>
      <c r="G78" s="502" t="inlineStr">
        <is>
          <t>○諸謝金</t>
        </is>
      </c>
      <c r="I78" s="93" t="inlineStr">
        <is>
          <t>業務（長）未払</t>
        </is>
      </c>
      <c r="J78" s="824" t="str">
        <f>IF(COUNTIF(決算整理!$T$5:$T$1835,"諸謝金|L|*")&gt;12,"行不足","")</f>
        <v/>
      </c>
      <c r="L78" s="502" t="inlineStr">
        <is>
          <t>○負担金  互助会費</t>
        </is>
      </c>
      <c r="N78" s="93" t="inlineStr">
        <is>
          <t>業務（長）未払</t>
        </is>
      </c>
      <c r="O78" s="824" t="str">
        <f>IF(COUNTIF(決算整理!$T$5:$T$1835,"互助会費|L|*")&gt;12,"行不足","")</f>
        <v/>
      </c>
      <c r="Q78" s="502" t="inlineStr">
        <is>
          <t>○負担金  会議出席負担金等</t>
        </is>
      </c>
      <c r="S78" s="93" t="inlineStr">
        <is>
          <t>業務（長）未払</t>
        </is>
      </c>
      <c r="T78" s="824" t="str">
        <f>IF(COUNTIF(決算整理!$T$5:$T$1835,"会議出席負担金等|L|*")&gt;12,"行不足","")</f>
        <v/>
      </c>
    </row>
    <row r="79" ht="25.5" customHeight="1" s="186" thickBot="1">
      <c r="A79" s="100" t="inlineStr">
        <is>
          <t>支出日</t>
        </is>
      </c>
      <c r="B79" s="100" t="inlineStr">
        <is>
          <t>摘要</t>
        </is>
      </c>
      <c r="C79" s="100" t="inlineStr">
        <is>
          <t>支出</t>
        </is>
      </c>
      <c r="D79" s="100" t="inlineStr">
        <is>
          <t>累計</t>
        </is>
      </c>
      <c r="E79" s="100" t="inlineStr">
        <is>
          <t>状態</t>
        </is>
      </c>
      <c r="F79" s="100" t="inlineStr">
        <is>
          <t>支出日</t>
        </is>
      </c>
      <c r="G79" s="100" t="inlineStr">
        <is>
          <t>摘要</t>
        </is>
      </c>
      <c r="H79" s="100" t="inlineStr">
        <is>
          <t>支出</t>
        </is>
      </c>
      <c r="I79" s="100" t="inlineStr">
        <is>
          <t>累計</t>
        </is>
      </c>
      <c r="J79" s="100" t="inlineStr">
        <is>
          <t>状態</t>
        </is>
      </c>
      <c r="K79" s="100" t="inlineStr">
        <is>
          <t>支出日</t>
        </is>
      </c>
      <c r="L79" s="100" t="inlineStr">
        <is>
          <t>摘要</t>
        </is>
      </c>
      <c r="M79" s="100" t="inlineStr">
        <is>
          <t>支出</t>
        </is>
      </c>
      <c r="N79" s="100" t="inlineStr">
        <is>
          <t>累計</t>
        </is>
      </c>
      <c r="O79" s="100" t="inlineStr">
        <is>
          <t>状態</t>
        </is>
      </c>
      <c r="P79" s="100" t="inlineStr">
        <is>
          <t>支出日</t>
        </is>
      </c>
      <c r="Q79" s="100" t="inlineStr">
        <is>
          <t>摘要</t>
        </is>
      </c>
      <c r="R79" s="100" t="inlineStr">
        <is>
          <t>支出</t>
        </is>
      </c>
      <c r="S79" s="100" t="inlineStr">
        <is>
          <t>累計</t>
        </is>
      </c>
      <c r="T79" s="100" t="inlineStr">
        <is>
          <t>状態</t>
        </is>
      </c>
    </row>
    <row r="80" ht="25.5" customHeight="1" s="186" thickBot="1">
      <c r="A80" s="825" t="n"/>
      <c r="B80" s="826" t="inlineStr">
        <is>
          <t>（予算なし）</t>
        </is>
      </c>
      <c r="C80" s="830" t="n"/>
      <c r="D80" s="831" t="n">
        <v>0</v>
      </c>
      <c r="F80" s="825" t="n"/>
      <c r="G80" s="826" t="inlineStr">
        <is>
          <t>（予算なし）</t>
        </is>
      </c>
      <c r="H80" s="830" t="n"/>
      <c r="I80" s="831" t="n">
        <v>0</v>
      </c>
      <c r="K80" s="825" t="n"/>
      <c r="L80" s="826" t="inlineStr">
        <is>
          <t>（予算なし）</t>
        </is>
      </c>
      <c r="M80" s="830" t="n"/>
      <c r="N80" s="831" t="n">
        <v>0</v>
      </c>
      <c r="P80" s="825" t="n"/>
      <c r="Q80" s="826" t="inlineStr">
        <is>
          <t>（予算なし）</t>
        </is>
      </c>
      <c r="R80" s="830" t="n"/>
      <c r="S80" s="831" t="n">
        <v>0</v>
      </c>
    </row>
    <row r="81" ht="25.5" customHeight="1" s="186">
      <c r="A81" s="825" t="str">
        <f>IFERROR(INDEX(決算整理!$A$5:$A$1835,MATCH("賃金|L|1",決算整理!$T$5:$T$1835,0)),"")</f>
        <v/>
      </c>
      <c r="B81" s="826" t="str">
        <f>IFERROR(INDEX(決算整理!$E$5:$E$1835,MATCH("賃金|L|1",決算整理!$T$5:$T$1835,0)),"")</f>
        <v/>
      </c>
      <c r="C81" s="830" t="str">
        <f>IFERROR(INDEX(決算整理!$R$5:$R$1835,MATCH("賃金|L|1",決算整理!$T$5:$T$1835,0)),"")</f>
        <v/>
      </c>
      <c r="D81" s="831" t="str">
        <f>IF(C81="","",D80+C81)</f>
        <v/>
      </c>
      <c r="E81" s="829" t="str">
        <f>IFERROR(INDEX(決算整理!$P$5:$P$1835,MATCH("賃金|L|1",決算整理!$T$5:$T$1835,0)),"")</f>
        <v/>
      </c>
      <c r="F81" s="825" t="str">
        <f>IFERROR(INDEX(決算整理!$A$5:$A$1835,MATCH("諸謝金|L|1",決算整理!$T$5:$T$1835,0)),"")</f>
        <v/>
      </c>
      <c r="G81" s="826" t="str">
        <f>IFERROR(INDEX(決算整理!$E$5:$E$1835,MATCH("諸謝金|L|1",決算整理!$T$5:$T$1835,0)),"")</f>
        <v/>
      </c>
      <c r="H81" s="830" t="str">
        <f>IFERROR(INDEX(決算整理!$R$5:$R$1835,MATCH("諸謝金|L|1",決算整理!$T$5:$T$1835,0)),"")</f>
        <v/>
      </c>
      <c r="I81" s="831" t="str">
        <f>IF(H81="","",I80+H81)</f>
        <v/>
      </c>
      <c r="J81" s="829" t="str">
        <f>IFERROR(INDEX(決算整理!$P$5:$P$1835,MATCH("諸謝金|L|1",決算整理!$T$5:$T$1835,0)),"")</f>
        <v/>
      </c>
      <c r="K81" s="825" t="str">
        <f>IFERROR(INDEX(決算整理!$A$5:$A$1835,MATCH("互助会費|L|1",決算整理!$T$5:$T$1835,0)),"")</f>
        <v/>
      </c>
      <c r="L81" s="826" t="str">
        <f>IFERROR(INDEX(決算整理!$E$5:$E$1835,MATCH("互助会費|L|1",決算整理!$T$5:$T$1835,0)),"")</f>
        <v/>
      </c>
      <c r="M81" s="830" t="str">
        <f>IFERROR(INDEX(決算整理!$R$5:$R$1835,MATCH("互助会費|L|1",決算整理!$T$5:$T$1835,0)),"")</f>
        <v/>
      </c>
      <c r="N81" s="831" t="str">
        <f>IF(M81="","",N80+M81)</f>
        <v/>
      </c>
      <c r="O81" s="829" t="str">
        <f>IFERROR(INDEX(決算整理!$P$5:$P$1835,MATCH("互助会費|L|1",決算整理!$T$5:$T$1835,0)),"")</f>
        <v/>
      </c>
      <c r="P81" s="825" t="str">
        <f>IFERROR(INDEX(決算整理!$A$5:$A$1835,MATCH("会議出席負担金等|L|1",決算整理!$T$5:$T$1835,0)),"")</f>
        <v/>
      </c>
      <c r="Q81" s="826" t="str">
        <f>IFERROR(INDEX(決算整理!$E$5:$E$1835,MATCH("会議出席負担金等|L|1",決算整理!$T$5:$T$1835,0)),"")</f>
        <v/>
      </c>
      <c r="R81" s="830" t="str">
        <f>IFERROR(INDEX(決算整理!$R$5:$R$1835,MATCH("会議出席負担金等|L|1",決算整理!$T$5:$T$1835,0)),"")</f>
        <v/>
      </c>
      <c r="S81" s="831" t="str">
        <f>IF(R81="","",S80+R81)</f>
        <v/>
      </c>
      <c r="T81" s="829" t="str">
        <f>IFERROR(INDEX(決算整理!$P$5:$P$1835,MATCH("会議出席負担金等|L|1",決算整理!$T$5:$T$1835,0)),"")</f>
        <v/>
      </c>
    </row>
    <row r="82" ht="25.5" customHeight="1" s="186">
      <c r="A82" s="825" t="str">
        <f>IFERROR(INDEX(決算整理!$A$5:$A$1835,MATCH("賃金|L|2",決算整理!$T$5:$T$1835,0)),"")</f>
        <v/>
      </c>
      <c r="B82" s="826" t="str">
        <f>IFERROR(INDEX(決算整理!$E$5:$E$1835,MATCH("賃金|L|2",決算整理!$T$5:$T$1835,0)),"")</f>
        <v/>
      </c>
      <c r="C82" s="830" t="str">
        <f>IFERROR(INDEX(決算整理!$R$5:$R$1835,MATCH("賃金|L|2",決算整理!$T$5:$T$1835,0)),"")</f>
        <v/>
      </c>
      <c r="D82" s="831" t="str">
        <f>IF(C82="","",D81+C82)</f>
        <v/>
      </c>
      <c r="E82" s="829" t="str">
        <f>IFERROR(INDEX(決算整理!$P$5:$P$1835,MATCH("賃金|L|2",決算整理!$T$5:$T$1835,0)),"")</f>
        <v/>
      </c>
      <c r="F82" s="825" t="str">
        <f>IFERROR(INDEX(決算整理!$A$5:$A$1835,MATCH("諸謝金|L|2",決算整理!$T$5:$T$1835,0)),"")</f>
        <v/>
      </c>
      <c r="G82" s="826" t="str">
        <f>IFERROR(INDEX(決算整理!$E$5:$E$1835,MATCH("諸謝金|L|2",決算整理!$T$5:$T$1835,0)),"")</f>
        <v/>
      </c>
      <c r="H82" s="830" t="str">
        <f>IFERROR(INDEX(決算整理!$R$5:$R$1835,MATCH("諸謝金|L|2",決算整理!$T$5:$T$1835,0)),"")</f>
        <v/>
      </c>
      <c r="I82" s="831" t="str">
        <f>IF(H82="","",I81+H82)</f>
        <v/>
      </c>
      <c r="J82" s="829" t="str">
        <f>IFERROR(INDEX(決算整理!$P$5:$P$1835,MATCH("諸謝金|L|2",決算整理!$T$5:$T$1835,0)),"")</f>
        <v/>
      </c>
      <c r="K82" s="825" t="str">
        <f>IFERROR(INDEX(決算整理!$A$5:$A$1835,MATCH("互助会費|L|2",決算整理!$T$5:$T$1835,0)),"")</f>
        <v/>
      </c>
      <c r="L82" s="826" t="str">
        <f>IFERROR(INDEX(決算整理!$E$5:$E$1835,MATCH("互助会費|L|2",決算整理!$T$5:$T$1835,0)),"")</f>
        <v/>
      </c>
      <c r="M82" s="830" t="str">
        <f>IFERROR(INDEX(決算整理!$R$5:$R$1835,MATCH("互助会費|L|2",決算整理!$T$5:$T$1835,0)),"")</f>
        <v/>
      </c>
      <c r="N82" s="831" t="str">
        <f>IF(M82="","",N81+M82)</f>
        <v/>
      </c>
      <c r="O82" s="829" t="str">
        <f>IFERROR(INDEX(決算整理!$P$5:$P$1835,MATCH("互助会費|L|2",決算整理!$T$5:$T$1835,0)),"")</f>
        <v/>
      </c>
      <c r="P82" s="825" t="str">
        <f>IFERROR(INDEX(決算整理!$A$5:$A$1835,MATCH("会議出席負担金等|L|2",決算整理!$T$5:$T$1835,0)),"")</f>
        <v/>
      </c>
      <c r="Q82" s="826" t="str">
        <f>IFERROR(INDEX(決算整理!$E$5:$E$1835,MATCH("会議出席負担金等|L|2",決算整理!$T$5:$T$1835,0)),"")</f>
        <v/>
      </c>
      <c r="R82" s="830" t="str">
        <f>IFERROR(INDEX(決算整理!$R$5:$R$1835,MATCH("会議出席負担金等|L|2",決算整理!$T$5:$T$1835,0)),"")</f>
        <v/>
      </c>
      <c r="S82" s="831" t="str">
        <f>IF(R82="","",S81+R82)</f>
        <v/>
      </c>
      <c r="T82" s="829" t="str">
        <f>IFERROR(INDEX(決算整理!$P$5:$P$1835,MATCH("会議出席負担金等|L|2",決算整理!$T$5:$T$1835,0)),"")</f>
        <v/>
      </c>
    </row>
    <row r="83" ht="25.5" customHeight="1" s="186" thickBot="1">
      <c r="A83" s="825" t="str">
        <f>IFERROR(INDEX(決算整理!$A$5:$A$1835,MATCH("賃金|L|3",決算整理!$T$5:$T$1835,0)),"")</f>
        <v/>
      </c>
      <c r="B83" s="826" t="str">
        <f>IFERROR(INDEX(決算整理!$E$5:$E$1835,MATCH("賃金|L|3",決算整理!$T$5:$T$1835,0)),"")</f>
        <v/>
      </c>
      <c r="C83" s="830" t="str">
        <f>IFERROR(INDEX(決算整理!$R$5:$R$1835,MATCH("賃金|L|3",決算整理!$T$5:$T$1835,0)),"")</f>
        <v/>
      </c>
      <c r="D83" s="831" t="str">
        <f>IF(C83="","",D82+C83)</f>
        <v/>
      </c>
      <c r="E83" s="829" t="str">
        <f>IFERROR(INDEX(決算整理!$P$5:$P$1835,MATCH("賃金|L|3",決算整理!$T$5:$T$1835,0)),"")</f>
        <v/>
      </c>
      <c r="F83" s="825" t="str">
        <f>IFERROR(INDEX(決算整理!$A$5:$A$1835,MATCH("諸謝金|L|3",決算整理!$T$5:$T$1835,0)),"")</f>
        <v/>
      </c>
      <c r="G83" s="826" t="str">
        <f>IFERROR(INDEX(決算整理!$E$5:$E$1835,MATCH("諸謝金|L|3",決算整理!$T$5:$T$1835,0)),"")</f>
        <v/>
      </c>
      <c r="H83" s="830" t="str">
        <f>IFERROR(INDEX(決算整理!$R$5:$R$1835,MATCH("諸謝金|L|3",決算整理!$T$5:$T$1835,0)),"")</f>
        <v/>
      </c>
      <c r="I83" s="831" t="str">
        <f>IF(H83="","",I82+H83)</f>
        <v/>
      </c>
      <c r="J83" s="829" t="str">
        <f>IFERROR(INDEX(決算整理!$P$5:$P$1835,MATCH("諸謝金|L|3",決算整理!$T$5:$T$1835,0)),"")</f>
        <v/>
      </c>
      <c r="K83" s="825" t="str">
        <f>IFERROR(INDEX(決算整理!$A$5:$A$1835,MATCH("互助会費|L|3",決算整理!$T$5:$T$1835,0)),"")</f>
        <v/>
      </c>
      <c r="L83" s="826" t="str">
        <f>IFERROR(INDEX(決算整理!$E$5:$E$1835,MATCH("互助会費|L|3",決算整理!$T$5:$T$1835,0)),"")</f>
        <v/>
      </c>
      <c r="M83" s="830" t="str">
        <f>IFERROR(INDEX(決算整理!$R$5:$R$1835,MATCH("互助会費|L|3",決算整理!$T$5:$T$1835,0)),"")</f>
        <v/>
      </c>
      <c r="N83" s="831" t="str">
        <f>IF(M83="","",N82+M83)</f>
        <v/>
      </c>
      <c r="O83" s="829" t="str">
        <f>IFERROR(INDEX(決算整理!$P$5:$P$1835,MATCH("互助会費|L|3",決算整理!$T$5:$T$1835,0)),"")</f>
        <v/>
      </c>
      <c r="P83" s="825" t="str">
        <f>IFERROR(INDEX(決算整理!$A$5:$A$1835,MATCH("会議出席負担金等|L|3",決算整理!$T$5:$T$1835,0)),"")</f>
        <v/>
      </c>
      <c r="Q83" s="826" t="str">
        <f>IFERROR(INDEX(決算整理!$E$5:$E$1835,MATCH("会議出席負担金等|L|3",決算整理!$T$5:$T$1835,0)),"")</f>
        <v/>
      </c>
      <c r="R83" s="830" t="str">
        <f>IFERROR(INDEX(決算整理!$R$5:$R$1835,MATCH("会議出席負担金等|L|3",決算整理!$T$5:$T$1835,0)),"")</f>
        <v/>
      </c>
      <c r="S83" s="831" t="str">
        <f>IF(R83="","",S82+R83)</f>
        <v/>
      </c>
      <c r="T83" s="829" t="str">
        <f>IFERROR(INDEX(決算整理!$P$5:$P$1835,MATCH("会議出席負担金等|L|3",決算整理!$T$5:$T$1835,0)),"")</f>
        <v/>
      </c>
    </row>
    <row r="84" ht="25.5" customHeight="1" s="186" thickBot="1">
      <c r="A84" s="825" t="str">
        <f>IFERROR(INDEX(決算整理!$A$5:$A$1835,MATCH("賃金|L|4",決算整理!$T$5:$T$1835,0)),"")</f>
        <v/>
      </c>
      <c r="B84" s="826" t="str">
        <f>IFERROR(INDEX(決算整理!$E$5:$E$1835,MATCH("賃金|L|4",決算整理!$T$5:$T$1835,0)),"")</f>
        <v/>
      </c>
      <c r="C84" s="830" t="str">
        <f>IFERROR(INDEX(決算整理!$R$5:$R$1835,MATCH("賃金|L|4",決算整理!$T$5:$T$1835,0)),"")</f>
        <v/>
      </c>
      <c r="D84" s="831" t="str">
        <f>IF(C84="","",D83+C84)</f>
        <v/>
      </c>
      <c r="E84" s="829" t="str">
        <f>IFERROR(INDEX(決算整理!$P$5:$P$1835,MATCH("賃金|L|4",決算整理!$T$5:$T$1835,0)),"")</f>
        <v/>
      </c>
      <c r="F84" s="825" t="str">
        <f>IFERROR(INDEX(決算整理!$A$5:$A$1835,MATCH("諸謝金|L|4",決算整理!$T$5:$T$1835,0)),"")</f>
        <v/>
      </c>
      <c r="G84" s="826" t="str">
        <f>IFERROR(INDEX(決算整理!$E$5:$E$1835,MATCH("諸謝金|L|4",決算整理!$T$5:$T$1835,0)),"")</f>
        <v/>
      </c>
      <c r="H84" s="830" t="str">
        <f>IFERROR(INDEX(決算整理!$R$5:$R$1835,MATCH("諸謝金|L|4",決算整理!$T$5:$T$1835,0)),"")</f>
        <v/>
      </c>
      <c r="I84" s="831" t="str">
        <f>IF(H84="","",I83+H84)</f>
        <v/>
      </c>
      <c r="J84" s="829" t="str">
        <f>IFERROR(INDEX(決算整理!$P$5:$P$1835,MATCH("諸謝金|L|4",決算整理!$T$5:$T$1835,0)),"")</f>
        <v/>
      </c>
      <c r="K84" s="825" t="str">
        <f>IFERROR(INDEX(決算整理!$A$5:$A$1835,MATCH("互助会費|L|4",決算整理!$T$5:$T$1835,0)),"")</f>
        <v/>
      </c>
      <c r="L84" s="826" t="str">
        <f>IFERROR(INDEX(決算整理!$E$5:$E$1835,MATCH("互助会費|L|4",決算整理!$T$5:$T$1835,0)),"")</f>
        <v/>
      </c>
      <c r="M84" s="830" t="str">
        <f>IFERROR(INDEX(決算整理!$R$5:$R$1835,MATCH("互助会費|L|4",決算整理!$T$5:$T$1835,0)),"")</f>
        <v/>
      </c>
      <c r="N84" s="831" t="str">
        <f>IF(M84="","",N83+M84)</f>
        <v/>
      </c>
      <c r="O84" s="829" t="str">
        <f>IFERROR(INDEX(決算整理!$P$5:$P$1835,MATCH("互助会費|L|4",決算整理!$T$5:$T$1835,0)),"")</f>
        <v/>
      </c>
      <c r="P84" s="825" t="str">
        <f>IFERROR(INDEX(決算整理!$A$5:$A$1835,MATCH("会議出席負担金等|L|4",決算整理!$T$5:$T$1835,0)),"")</f>
        <v/>
      </c>
      <c r="Q84" s="826" t="str">
        <f>IFERROR(INDEX(決算整理!$E$5:$E$1835,MATCH("会議出席負担金等|L|4",決算整理!$T$5:$T$1835,0)),"")</f>
        <v/>
      </c>
      <c r="R84" s="830" t="str">
        <f>IFERROR(INDEX(決算整理!$R$5:$R$1835,MATCH("会議出席負担金等|L|4",決算整理!$T$5:$T$1835,0)),"")</f>
        <v/>
      </c>
      <c r="S84" s="831" t="str">
        <f>IF(R84="","",S83+R84)</f>
        <v/>
      </c>
      <c r="T84" s="829" t="str">
        <f>IFERROR(INDEX(決算整理!$P$5:$P$1835,MATCH("会議出席負担金等|L|4",決算整理!$T$5:$T$1835,0)),"")</f>
        <v/>
      </c>
    </row>
    <row r="85" ht="25.5" customHeight="1" s="186">
      <c r="A85" s="825" t="str">
        <f>IFERROR(INDEX(決算整理!$A$5:$A$1835,MATCH("賃金|L|5",決算整理!$T$5:$T$1835,0)),"")</f>
        <v/>
      </c>
      <c r="B85" s="826" t="str">
        <f>IFERROR(INDEX(決算整理!$E$5:$E$1835,MATCH("賃金|L|5",決算整理!$T$5:$T$1835,0)),"")</f>
        <v/>
      </c>
      <c r="C85" s="830" t="str">
        <f>IFERROR(INDEX(決算整理!$R$5:$R$1835,MATCH("賃金|L|5",決算整理!$T$5:$T$1835,0)),"")</f>
        <v/>
      </c>
      <c r="D85" s="831" t="str">
        <f>IF(C85="","",D84+C85)</f>
        <v/>
      </c>
      <c r="E85" s="829" t="str">
        <f>IFERROR(INDEX(決算整理!$P$5:$P$1835,MATCH("賃金|L|5",決算整理!$T$5:$T$1835,0)),"")</f>
        <v/>
      </c>
      <c r="F85" s="825" t="str">
        <f>IFERROR(INDEX(決算整理!$A$5:$A$1835,MATCH("諸謝金|L|5",決算整理!$T$5:$T$1835,0)),"")</f>
        <v/>
      </c>
      <c r="G85" s="826" t="str">
        <f>IFERROR(INDEX(決算整理!$E$5:$E$1835,MATCH("諸謝金|L|5",決算整理!$T$5:$T$1835,0)),"")</f>
        <v/>
      </c>
      <c r="H85" s="830" t="str">
        <f>IFERROR(INDEX(決算整理!$R$5:$R$1835,MATCH("諸謝金|L|5",決算整理!$T$5:$T$1835,0)),"")</f>
        <v/>
      </c>
      <c r="I85" s="831" t="str">
        <f>IF(H85="","",I84+H85)</f>
        <v/>
      </c>
      <c r="J85" s="829" t="str">
        <f>IFERROR(INDEX(決算整理!$P$5:$P$1835,MATCH("諸謝金|L|5",決算整理!$T$5:$T$1835,0)),"")</f>
        <v/>
      </c>
      <c r="K85" s="825" t="str">
        <f>IFERROR(INDEX(決算整理!$A$5:$A$1835,MATCH("互助会費|L|5",決算整理!$T$5:$T$1835,0)),"")</f>
        <v/>
      </c>
      <c r="L85" s="826" t="str">
        <f>IFERROR(INDEX(決算整理!$E$5:$E$1835,MATCH("互助会費|L|5",決算整理!$T$5:$T$1835,0)),"")</f>
        <v/>
      </c>
      <c r="M85" s="830" t="str">
        <f>IFERROR(INDEX(決算整理!$R$5:$R$1835,MATCH("互助会費|L|5",決算整理!$T$5:$T$1835,0)),"")</f>
        <v/>
      </c>
      <c r="N85" s="831" t="str">
        <f>IF(M85="","",N84+M85)</f>
        <v/>
      </c>
      <c r="O85" s="829" t="str">
        <f>IFERROR(INDEX(決算整理!$P$5:$P$1835,MATCH("互助会費|L|5",決算整理!$T$5:$T$1835,0)),"")</f>
        <v/>
      </c>
      <c r="P85" s="825" t="str">
        <f>IFERROR(INDEX(決算整理!$A$5:$A$1835,MATCH("会議出席負担金等|L|5",決算整理!$T$5:$T$1835,0)),"")</f>
        <v/>
      </c>
      <c r="Q85" s="826" t="str">
        <f>IFERROR(INDEX(決算整理!$E$5:$E$1835,MATCH("会議出席負担金等|L|5",決算整理!$T$5:$T$1835,0)),"")</f>
        <v/>
      </c>
      <c r="R85" s="830" t="str">
        <f>IFERROR(INDEX(決算整理!$R$5:$R$1835,MATCH("会議出席負担金等|L|5",決算整理!$T$5:$T$1835,0)),"")</f>
        <v/>
      </c>
      <c r="S85" s="831" t="str">
        <f>IF(R85="","",S84+R85)</f>
        <v/>
      </c>
      <c r="T85" s="829" t="str">
        <f>IFERROR(INDEX(決算整理!$P$5:$P$1835,MATCH("会議出席負担金等|L|5",決算整理!$T$5:$T$1835,0)),"")</f>
        <v/>
      </c>
    </row>
    <row r="86" ht="25.5" customHeight="1" s="186">
      <c r="A86" s="825" t="str">
        <f>IFERROR(INDEX(決算整理!$A$5:$A$1835,MATCH("賃金|L|6",決算整理!$T$5:$T$1835,0)),"")</f>
        <v/>
      </c>
      <c r="B86" s="826" t="str">
        <f>IFERROR(INDEX(決算整理!$E$5:$E$1835,MATCH("賃金|L|6",決算整理!$T$5:$T$1835,0)),"")</f>
        <v/>
      </c>
      <c r="C86" s="830" t="str">
        <f>IFERROR(INDEX(決算整理!$R$5:$R$1835,MATCH("賃金|L|6",決算整理!$T$5:$T$1835,0)),"")</f>
        <v/>
      </c>
      <c r="D86" s="831" t="str">
        <f>IF(C86="","",D85+C86)</f>
        <v/>
      </c>
      <c r="E86" s="829" t="str">
        <f>IFERROR(INDEX(決算整理!$P$5:$P$1835,MATCH("賃金|L|6",決算整理!$T$5:$T$1835,0)),"")</f>
        <v/>
      </c>
      <c r="F86" s="825" t="str">
        <f>IFERROR(INDEX(決算整理!$A$5:$A$1835,MATCH("諸謝金|L|6",決算整理!$T$5:$T$1835,0)),"")</f>
        <v/>
      </c>
      <c r="G86" s="826" t="str">
        <f>IFERROR(INDEX(決算整理!$E$5:$E$1835,MATCH("諸謝金|L|6",決算整理!$T$5:$T$1835,0)),"")</f>
        <v/>
      </c>
      <c r="H86" s="830" t="str">
        <f>IFERROR(INDEX(決算整理!$R$5:$R$1835,MATCH("諸謝金|L|6",決算整理!$T$5:$T$1835,0)),"")</f>
        <v/>
      </c>
      <c r="I86" s="831" t="str">
        <f>IF(H86="","",I85+H86)</f>
        <v/>
      </c>
      <c r="J86" s="829" t="str">
        <f>IFERROR(INDEX(決算整理!$P$5:$P$1835,MATCH("諸謝金|L|6",決算整理!$T$5:$T$1835,0)),"")</f>
        <v/>
      </c>
      <c r="K86" s="825" t="str">
        <f>IFERROR(INDEX(決算整理!$A$5:$A$1835,MATCH("互助会費|L|6",決算整理!$T$5:$T$1835,0)),"")</f>
        <v/>
      </c>
      <c r="L86" s="826" t="str">
        <f>IFERROR(INDEX(決算整理!$E$5:$E$1835,MATCH("互助会費|L|6",決算整理!$T$5:$T$1835,0)),"")</f>
        <v/>
      </c>
      <c r="M86" s="830" t="str">
        <f>IFERROR(INDEX(決算整理!$R$5:$R$1835,MATCH("互助会費|L|6",決算整理!$T$5:$T$1835,0)),"")</f>
        <v/>
      </c>
      <c r="N86" s="831" t="str">
        <f>IF(M86="","",N85+M86)</f>
        <v/>
      </c>
      <c r="O86" s="829" t="str">
        <f>IFERROR(INDEX(決算整理!$P$5:$P$1835,MATCH("互助会費|L|6",決算整理!$T$5:$T$1835,0)),"")</f>
        <v/>
      </c>
      <c r="P86" s="825" t="str">
        <f>IFERROR(INDEX(決算整理!$A$5:$A$1835,MATCH("会議出席負担金等|L|6",決算整理!$T$5:$T$1835,0)),"")</f>
        <v/>
      </c>
      <c r="Q86" s="826" t="str">
        <f>IFERROR(INDEX(決算整理!$E$5:$E$1835,MATCH("会議出席負担金等|L|6",決算整理!$T$5:$T$1835,0)),"")</f>
        <v/>
      </c>
      <c r="R86" s="830" t="str">
        <f>IFERROR(INDEX(決算整理!$R$5:$R$1835,MATCH("会議出席負担金等|L|6",決算整理!$T$5:$T$1835,0)),"")</f>
        <v/>
      </c>
      <c r="S86" s="831" t="str">
        <f>IF(R86="","",S85+R86)</f>
        <v/>
      </c>
      <c r="T86" s="829" t="str">
        <f>IFERROR(INDEX(決算整理!$P$5:$P$1835,MATCH("会議出席負担金等|L|6",決算整理!$T$5:$T$1835,0)),"")</f>
        <v/>
      </c>
    </row>
    <row r="87" ht="25.5" customHeight="1" s="186">
      <c r="A87" s="825" t="str">
        <f>IFERROR(INDEX(決算整理!$A$5:$A$1835,MATCH("賃金|L|7",決算整理!$T$5:$T$1835,0)),"")</f>
        <v/>
      </c>
      <c r="B87" s="826" t="str">
        <f>IFERROR(INDEX(決算整理!$E$5:$E$1835,MATCH("賃金|L|7",決算整理!$T$5:$T$1835,0)),"")</f>
        <v/>
      </c>
      <c r="C87" s="830" t="str">
        <f>IFERROR(INDEX(決算整理!$R$5:$R$1835,MATCH("賃金|L|7",決算整理!$T$5:$T$1835,0)),"")</f>
        <v/>
      </c>
      <c r="D87" s="831" t="str">
        <f>IF(C87="","",D86+C87)</f>
        <v/>
      </c>
      <c r="E87" s="829" t="str">
        <f>IFERROR(INDEX(決算整理!$P$5:$P$1835,MATCH("賃金|L|7",決算整理!$T$5:$T$1835,0)),"")</f>
        <v/>
      </c>
      <c r="F87" s="825" t="str">
        <f>IFERROR(INDEX(決算整理!$A$5:$A$1835,MATCH("諸謝金|L|7",決算整理!$T$5:$T$1835,0)),"")</f>
        <v/>
      </c>
      <c r="G87" s="826" t="str">
        <f>IFERROR(INDEX(決算整理!$E$5:$E$1835,MATCH("諸謝金|L|7",決算整理!$T$5:$T$1835,0)),"")</f>
        <v/>
      </c>
      <c r="H87" s="830" t="str">
        <f>IFERROR(INDEX(決算整理!$R$5:$R$1835,MATCH("諸謝金|L|7",決算整理!$T$5:$T$1835,0)),"")</f>
        <v/>
      </c>
      <c r="I87" s="831" t="str">
        <f>IF(H87="","",I86+H87)</f>
        <v/>
      </c>
      <c r="J87" s="829" t="str">
        <f>IFERROR(INDEX(決算整理!$P$5:$P$1835,MATCH("諸謝金|L|7",決算整理!$T$5:$T$1835,0)),"")</f>
        <v/>
      </c>
      <c r="K87" s="825" t="str">
        <f>IFERROR(INDEX(決算整理!$A$5:$A$1835,MATCH("互助会費|L|7",決算整理!$T$5:$T$1835,0)),"")</f>
        <v/>
      </c>
      <c r="L87" s="826" t="str">
        <f>IFERROR(INDEX(決算整理!$E$5:$E$1835,MATCH("互助会費|L|7",決算整理!$T$5:$T$1835,0)),"")</f>
        <v/>
      </c>
      <c r="M87" s="830" t="str">
        <f>IFERROR(INDEX(決算整理!$R$5:$R$1835,MATCH("互助会費|L|7",決算整理!$T$5:$T$1835,0)),"")</f>
        <v/>
      </c>
      <c r="N87" s="831" t="str">
        <f>IF(M87="","",N86+M87)</f>
        <v/>
      </c>
      <c r="O87" s="829" t="str">
        <f>IFERROR(INDEX(決算整理!$P$5:$P$1835,MATCH("互助会費|L|7",決算整理!$T$5:$T$1835,0)),"")</f>
        <v/>
      </c>
      <c r="P87" s="825" t="str">
        <f>IFERROR(INDEX(決算整理!$A$5:$A$1835,MATCH("会議出席負担金等|L|7",決算整理!$T$5:$T$1835,0)),"")</f>
        <v/>
      </c>
      <c r="Q87" s="826" t="str">
        <f>IFERROR(INDEX(決算整理!$E$5:$E$1835,MATCH("会議出席負担金等|L|7",決算整理!$T$5:$T$1835,0)),"")</f>
        <v/>
      </c>
      <c r="R87" s="830" t="str">
        <f>IFERROR(INDEX(決算整理!$R$5:$R$1835,MATCH("会議出席負担金等|L|7",決算整理!$T$5:$T$1835,0)),"")</f>
        <v/>
      </c>
      <c r="S87" s="831" t="str">
        <f>IF(R87="","",S86+R87)</f>
        <v/>
      </c>
      <c r="T87" s="829" t="str">
        <f>IFERROR(INDEX(決算整理!$P$5:$P$1835,MATCH("会議出席負担金等|L|7",決算整理!$T$5:$T$1835,0)),"")</f>
        <v/>
      </c>
    </row>
    <row r="88" ht="25.5" customHeight="1" s="186">
      <c r="A88" s="825" t="str">
        <f>IFERROR(INDEX(決算整理!$A$5:$A$1835,MATCH("賃金|L|8",決算整理!$T$5:$T$1835,0)),"")</f>
        <v/>
      </c>
      <c r="B88" s="826" t="str">
        <f>IFERROR(INDEX(決算整理!$E$5:$E$1835,MATCH("賃金|L|8",決算整理!$T$5:$T$1835,0)),"")</f>
        <v/>
      </c>
      <c r="C88" s="830" t="str">
        <f>IFERROR(INDEX(決算整理!$R$5:$R$1835,MATCH("賃金|L|8",決算整理!$T$5:$T$1835,0)),"")</f>
        <v/>
      </c>
      <c r="D88" s="831" t="str">
        <f>IF(C88="","",D87+C88)</f>
        <v/>
      </c>
      <c r="E88" s="829" t="str">
        <f>IFERROR(INDEX(決算整理!$P$5:$P$1835,MATCH("賃金|L|8",決算整理!$T$5:$T$1835,0)),"")</f>
        <v/>
      </c>
      <c r="F88" s="825" t="str">
        <f>IFERROR(INDEX(決算整理!$A$5:$A$1835,MATCH("諸謝金|L|8",決算整理!$T$5:$T$1835,0)),"")</f>
        <v/>
      </c>
      <c r="G88" s="826" t="str">
        <f>IFERROR(INDEX(決算整理!$E$5:$E$1835,MATCH("諸謝金|L|8",決算整理!$T$5:$T$1835,0)),"")</f>
        <v/>
      </c>
      <c r="H88" s="830" t="str">
        <f>IFERROR(INDEX(決算整理!$R$5:$R$1835,MATCH("諸謝金|L|8",決算整理!$T$5:$T$1835,0)),"")</f>
        <v/>
      </c>
      <c r="I88" s="831" t="str">
        <f>IF(H88="","",I87+H88)</f>
        <v/>
      </c>
      <c r="J88" s="829" t="str">
        <f>IFERROR(INDEX(決算整理!$P$5:$P$1835,MATCH("諸謝金|L|8",決算整理!$T$5:$T$1835,0)),"")</f>
        <v/>
      </c>
      <c r="K88" s="825" t="str">
        <f>IFERROR(INDEX(決算整理!$A$5:$A$1835,MATCH("互助会費|L|8",決算整理!$T$5:$T$1835,0)),"")</f>
        <v/>
      </c>
      <c r="L88" s="826" t="str">
        <f>IFERROR(INDEX(決算整理!$E$5:$E$1835,MATCH("互助会費|L|8",決算整理!$T$5:$T$1835,0)),"")</f>
        <v/>
      </c>
      <c r="M88" s="830" t="str">
        <f>IFERROR(INDEX(決算整理!$R$5:$R$1835,MATCH("互助会費|L|8",決算整理!$T$5:$T$1835,0)),"")</f>
        <v/>
      </c>
      <c r="N88" s="831" t="str">
        <f>IF(M88="","",N87+M88)</f>
        <v/>
      </c>
      <c r="O88" s="829" t="str">
        <f>IFERROR(INDEX(決算整理!$P$5:$P$1835,MATCH("互助会費|L|8",決算整理!$T$5:$T$1835,0)),"")</f>
        <v/>
      </c>
      <c r="P88" s="825" t="str">
        <f>IFERROR(INDEX(決算整理!$A$5:$A$1835,MATCH("会議出席負担金等|L|8",決算整理!$T$5:$T$1835,0)),"")</f>
        <v/>
      </c>
      <c r="Q88" s="826" t="str">
        <f>IFERROR(INDEX(決算整理!$E$5:$E$1835,MATCH("会議出席負担金等|L|8",決算整理!$T$5:$T$1835,0)),"")</f>
        <v/>
      </c>
      <c r="R88" s="830" t="str">
        <f>IFERROR(INDEX(決算整理!$R$5:$R$1835,MATCH("会議出席負担金等|L|8",決算整理!$T$5:$T$1835,0)),"")</f>
        <v/>
      </c>
      <c r="S88" s="831" t="str">
        <f>IF(R88="","",S87+R88)</f>
        <v/>
      </c>
      <c r="T88" s="829" t="str">
        <f>IFERROR(INDEX(決算整理!$P$5:$P$1835,MATCH("会議出席負担金等|L|8",決算整理!$T$5:$T$1835,0)),"")</f>
        <v/>
      </c>
    </row>
    <row r="89" ht="25.5" customHeight="1" s="186">
      <c r="A89" s="825" t="str">
        <f>IFERROR(INDEX(決算整理!$A$5:$A$1835,MATCH("賃金|L|9",決算整理!$T$5:$T$1835,0)),"")</f>
        <v/>
      </c>
      <c r="B89" s="826" t="str">
        <f>IFERROR(INDEX(決算整理!$E$5:$E$1835,MATCH("賃金|L|9",決算整理!$T$5:$T$1835,0)),"")</f>
        <v/>
      </c>
      <c r="C89" s="830" t="str">
        <f>IFERROR(INDEX(決算整理!$R$5:$R$1835,MATCH("賃金|L|9",決算整理!$T$5:$T$1835,0)),"")</f>
        <v/>
      </c>
      <c r="D89" s="831" t="str">
        <f>IF(C89="","",D88+C89)</f>
        <v/>
      </c>
      <c r="E89" s="829" t="str">
        <f>IFERROR(INDEX(決算整理!$P$5:$P$1835,MATCH("賃金|L|9",決算整理!$T$5:$T$1835,0)),"")</f>
        <v/>
      </c>
      <c r="F89" s="825" t="str">
        <f>IFERROR(INDEX(決算整理!$A$5:$A$1835,MATCH("諸謝金|L|9",決算整理!$T$5:$T$1835,0)),"")</f>
        <v/>
      </c>
      <c r="G89" s="826" t="str">
        <f>IFERROR(INDEX(決算整理!$E$5:$E$1835,MATCH("諸謝金|L|9",決算整理!$T$5:$T$1835,0)),"")</f>
        <v/>
      </c>
      <c r="H89" s="830" t="str">
        <f>IFERROR(INDEX(決算整理!$R$5:$R$1835,MATCH("諸謝金|L|9",決算整理!$T$5:$T$1835,0)),"")</f>
        <v/>
      </c>
      <c r="I89" s="831" t="str">
        <f>IF(H89="","",I88+H89)</f>
        <v/>
      </c>
      <c r="J89" s="829" t="str">
        <f>IFERROR(INDEX(決算整理!$P$5:$P$1835,MATCH("諸謝金|L|9",決算整理!$T$5:$T$1835,0)),"")</f>
        <v/>
      </c>
      <c r="K89" s="825" t="str">
        <f>IFERROR(INDEX(決算整理!$A$5:$A$1835,MATCH("互助会費|L|9",決算整理!$T$5:$T$1835,0)),"")</f>
        <v/>
      </c>
      <c r="L89" s="826" t="str">
        <f>IFERROR(INDEX(決算整理!$E$5:$E$1835,MATCH("互助会費|L|9",決算整理!$T$5:$T$1835,0)),"")</f>
        <v/>
      </c>
      <c r="M89" s="830" t="str">
        <f>IFERROR(INDEX(決算整理!$R$5:$R$1835,MATCH("互助会費|L|9",決算整理!$T$5:$T$1835,0)),"")</f>
        <v/>
      </c>
      <c r="N89" s="831" t="str">
        <f>IF(M89="","",N88+M89)</f>
        <v/>
      </c>
      <c r="O89" s="829" t="str">
        <f>IFERROR(INDEX(決算整理!$P$5:$P$1835,MATCH("互助会費|L|9",決算整理!$T$5:$T$1835,0)),"")</f>
        <v/>
      </c>
      <c r="P89" s="825" t="str">
        <f>IFERROR(INDEX(決算整理!$A$5:$A$1835,MATCH("会議出席負担金等|L|9",決算整理!$T$5:$T$1835,0)),"")</f>
        <v/>
      </c>
      <c r="Q89" s="826" t="str">
        <f>IFERROR(INDEX(決算整理!$E$5:$E$1835,MATCH("会議出席負担金等|L|9",決算整理!$T$5:$T$1835,0)),"")</f>
        <v/>
      </c>
      <c r="R89" s="830" t="str">
        <f>IFERROR(INDEX(決算整理!$R$5:$R$1835,MATCH("会議出席負担金等|L|9",決算整理!$T$5:$T$1835,0)),"")</f>
        <v/>
      </c>
      <c r="S89" s="831" t="str">
        <f>IF(R89="","",S88+R89)</f>
        <v/>
      </c>
      <c r="T89" s="829" t="str">
        <f>IFERROR(INDEX(決算整理!$P$5:$P$1835,MATCH("会議出席負担金等|L|9",決算整理!$T$5:$T$1835,0)),"")</f>
        <v/>
      </c>
    </row>
    <row r="90" ht="25.5" customHeight="1" s="186">
      <c r="A90" s="825" t="str">
        <f>IFERROR(INDEX(決算整理!$A$5:$A$1835,MATCH("賃金|L|10",決算整理!$T$5:$T$1835,0)),"")</f>
        <v/>
      </c>
      <c r="B90" s="826" t="str">
        <f>IFERROR(INDEX(決算整理!$E$5:$E$1835,MATCH("賃金|L|10",決算整理!$T$5:$T$1835,0)),"")</f>
        <v/>
      </c>
      <c r="C90" s="830" t="str">
        <f>IFERROR(INDEX(決算整理!$R$5:$R$1835,MATCH("賃金|L|10",決算整理!$T$5:$T$1835,0)),"")</f>
        <v/>
      </c>
      <c r="D90" s="831" t="str">
        <f>IF(C90="","",D89+C90)</f>
        <v/>
      </c>
      <c r="E90" s="829" t="str">
        <f>IFERROR(INDEX(決算整理!$P$5:$P$1835,MATCH("賃金|L|10",決算整理!$T$5:$T$1835,0)),"")</f>
        <v/>
      </c>
      <c r="F90" s="825" t="str">
        <f>IFERROR(INDEX(決算整理!$A$5:$A$1835,MATCH("諸謝金|L|10",決算整理!$T$5:$T$1835,0)),"")</f>
        <v/>
      </c>
      <c r="G90" s="826" t="str">
        <f>IFERROR(INDEX(決算整理!$E$5:$E$1835,MATCH("諸謝金|L|10",決算整理!$T$5:$T$1835,0)),"")</f>
        <v/>
      </c>
      <c r="H90" s="830" t="str">
        <f>IFERROR(INDEX(決算整理!$R$5:$R$1835,MATCH("諸謝金|L|10",決算整理!$T$5:$T$1835,0)),"")</f>
        <v/>
      </c>
      <c r="I90" s="831" t="str">
        <f>IF(H90="","",I89+H90)</f>
        <v/>
      </c>
      <c r="J90" s="829" t="str">
        <f>IFERROR(INDEX(決算整理!$P$5:$P$1835,MATCH("諸謝金|L|10",決算整理!$T$5:$T$1835,0)),"")</f>
        <v/>
      </c>
      <c r="K90" s="825" t="str">
        <f>IFERROR(INDEX(決算整理!$A$5:$A$1835,MATCH("互助会費|L|10",決算整理!$T$5:$T$1835,0)),"")</f>
        <v/>
      </c>
      <c r="L90" s="826" t="str">
        <f>IFERROR(INDEX(決算整理!$E$5:$E$1835,MATCH("互助会費|L|10",決算整理!$T$5:$T$1835,0)),"")</f>
        <v/>
      </c>
      <c r="M90" s="830" t="str">
        <f>IFERROR(INDEX(決算整理!$R$5:$R$1835,MATCH("互助会費|L|10",決算整理!$T$5:$T$1835,0)),"")</f>
        <v/>
      </c>
      <c r="N90" s="831" t="str">
        <f>IF(M90="","",N89+M90)</f>
        <v/>
      </c>
      <c r="O90" s="829" t="str">
        <f>IFERROR(INDEX(決算整理!$P$5:$P$1835,MATCH("互助会費|L|10",決算整理!$T$5:$T$1835,0)),"")</f>
        <v/>
      </c>
      <c r="P90" s="825" t="str">
        <f>IFERROR(INDEX(決算整理!$A$5:$A$1835,MATCH("会議出席負担金等|L|10",決算整理!$T$5:$T$1835,0)),"")</f>
        <v/>
      </c>
      <c r="Q90" s="826" t="str">
        <f>IFERROR(INDEX(決算整理!$E$5:$E$1835,MATCH("会議出席負担金等|L|10",決算整理!$T$5:$T$1835,0)),"")</f>
        <v/>
      </c>
      <c r="R90" s="830" t="str">
        <f>IFERROR(INDEX(決算整理!$R$5:$R$1835,MATCH("会議出席負担金等|L|10",決算整理!$T$5:$T$1835,0)),"")</f>
        <v/>
      </c>
      <c r="S90" s="831" t="str">
        <f>IF(R90="","",S89+R90)</f>
        <v/>
      </c>
      <c r="T90" s="829" t="str">
        <f>IFERROR(INDEX(決算整理!$P$5:$P$1835,MATCH("会議出席負担金等|L|10",決算整理!$T$5:$T$1835,0)),"")</f>
        <v/>
      </c>
    </row>
    <row r="91" ht="25.5" customHeight="1" s="186">
      <c r="A91" s="825" t="str">
        <f>IFERROR(INDEX(決算整理!$A$5:$A$1835,MATCH("賃金|L|11",決算整理!$T$5:$T$1835,0)),"")</f>
        <v/>
      </c>
      <c r="B91" s="826" t="str">
        <f>IFERROR(INDEX(決算整理!$E$5:$E$1835,MATCH("賃金|L|11",決算整理!$T$5:$T$1835,0)),"")</f>
        <v/>
      </c>
      <c r="C91" s="830" t="str">
        <f>IFERROR(INDEX(決算整理!$R$5:$R$1835,MATCH("賃金|L|11",決算整理!$T$5:$T$1835,0)),"")</f>
        <v/>
      </c>
      <c r="D91" s="831" t="str">
        <f>IF(C91="","",D90+C91)</f>
        <v/>
      </c>
      <c r="E91" s="829" t="str">
        <f>IFERROR(INDEX(決算整理!$P$5:$P$1835,MATCH("賃金|L|11",決算整理!$T$5:$T$1835,0)),"")</f>
        <v/>
      </c>
      <c r="F91" s="825" t="str">
        <f>IFERROR(INDEX(決算整理!$A$5:$A$1835,MATCH("諸謝金|L|11",決算整理!$T$5:$T$1835,0)),"")</f>
        <v/>
      </c>
      <c r="G91" s="826" t="str">
        <f>IFERROR(INDEX(決算整理!$E$5:$E$1835,MATCH("諸謝金|L|11",決算整理!$T$5:$T$1835,0)),"")</f>
        <v/>
      </c>
      <c r="H91" s="830" t="str">
        <f>IFERROR(INDEX(決算整理!$R$5:$R$1835,MATCH("諸謝金|L|11",決算整理!$T$5:$T$1835,0)),"")</f>
        <v/>
      </c>
      <c r="I91" s="831" t="str">
        <f>IF(H91="","",I90+H91)</f>
        <v/>
      </c>
      <c r="J91" s="829" t="str">
        <f>IFERROR(INDEX(決算整理!$P$5:$P$1835,MATCH("諸謝金|L|11",決算整理!$T$5:$T$1835,0)),"")</f>
        <v/>
      </c>
      <c r="K91" s="825" t="str">
        <f>IFERROR(INDEX(決算整理!$A$5:$A$1835,MATCH("互助会費|L|11",決算整理!$T$5:$T$1835,0)),"")</f>
        <v/>
      </c>
      <c r="L91" s="826" t="str">
        <f>IFERROR(INDEX(決算整理!$E$5:$E$1835,MATCH("互助会費|L|11",決算整理!$T$5:$T$1835,0)),"")</f>
        <v/>
      </c>
      <c r="M91" s="830" t="str">
        <f>IFERROR(INDEX(決算整理!$R$5:$R$1835,MATCH("互助会費|L|11",決算整理!$T$5:$T$1835,0)),"")</f>
        <v/>
      </c>
      <c r="N91" s="831" t="str">
        <f>IF(M91="","",N90+M91)</f>
        <v/>
      </c>
      <c r="O91" s="829" t="str">
        <f>IFERROR(INDEX(決算整理!$P$5:$P$1835,MATCH("互助会費|L|11",決算整理!$T$5:$T$1835,0)),"")</f>
        <v/>
      </c>
      <c r="P91" s="825" t="str">
        <f>IFERROR(INDEX(決算整理!$A$5:$A$1835,MATCH("会議出席負担金等|L|11",決算整理!$T$5:$T$1835,0)),"")</f>
        <v/>
      </c>
      <c r="Q91" s="826" t="str">
        <f>IFERROR(INDEX(決算整理!$E$5:$E$1835,MATCH("会議出席負担金等|L|11",決算整理!$T$5:$T$1835,0)),"")</f>
        <v/>
      </c>
      <c r="R91" s="830" t="str">
        <f>IFERROR(INDEX(決算整理!$R$5:$R$1835,MATCH("会議出席負担金等|L|11",決算整理!$T$5:$T$1835,0)),"")</f>
        <v/>
      </c>
      <c r="S91" s="831" t="str">
        <f>IF(R91="","",S90+R91)</f>
        <v/>
      </c>
      <c r="T91" s="829" t="str">
        <f>IFERROR(INDEX(決算整理!$P$5:$P$1835,MATCH("会議出席負担金等|L|11",決算整理!$T$5:$T$1835,0)),"")</f>
        <v/>
      </c>
    </row>
    <row r="92" ht="25.5" customHeight="1" s="186">
      <c r="A92" s="825" t="str">
        <f>IFERROR(INDEX(決算整理!$A$5:$A$1835,MATCH("賃金|L|12",決算整理!$T$5:$T$1835,0)),"")</f>
        <v/>
      </c>
      <c r="B92" s="826" t="str">
        <f>IFERROR(INDEX(決算整理!$E$5:$E$1835,MATCH("賃金|L|12",決算整理!$T$5:$T$1835,0)),"")</f>
        <v/>
      </c>
      <c r="C92" s="830" t="str">
        <f>IFERROR(INDEX(決算整理!$R$5:$R$1835,MATCH("賃金|L|12",決算整理!$T$5:$T$1835,0)),"")</f>
        <v/>
      </c>
      <c r="D92" s="831" t="str">
        <f>IF(C92="","",D91+C92)</f>
        <v/>
      </c>
      <c r="E92" s="829" t="str">
        <f>IFERROR(INDEX(決算整理!$P$5:$P$1835,MATCH("賃金|L|12",決算整理!$T$5:$T$1835,0)),"")</f>
        <v/>
      </c>
      <c r="F92" s="825" t="str">
        <f>IFERROR(INDEX(決算整理!$A$5:$A$1835,MATCH("諸謝金|L|12",決算整理!$T$5:$T$1835,0)),"")</f>
        <v/>
      </c>
      <c r="G92" s="826" t="str">
        <f>IFERROR(INDEX(決算整理!$E$5:$E$1835,MATCH("諸謝金|L|12",決算整理!$T$5:$T$1835,0)),"")</f>
        <v/>
      </c>
      <c r="H92" s="830" t="str">
        <f>IFERROR(INDEX(決算整理!$R$5:$R$1835,MATCH("諸謝金|L|12",決算整理!$T$5:$T$1835,0)),"")</f>
        <v/>
      </c>
      <c r="I92" s="831" t="str">
        <f>IF(H92="","",I91+H92)</f>
        <v/>
      </c>
      <c r="J92" s="829" t="str">
        <f>IFERROR(INDEX(決算整理!$P$5:$P$1835,MATCH("諸謝金|L|12",決算整理!$T$5:$T$1835,0)),"")</f>
        <v/>
      </c>
      <c r="K92" s="825" t="str">
        <f>IFERROR(INDEX(決算整理!$A$5:$A$1835,MATCH("互助会費|L|12",決算整理!$T$5:$T$1835,0)),"")</f>
        <v/>
      </c>
      <c r="L92" s="826" t="str">
        <f>IFERROR(INDEX(決算整理!$E$5:$E$1835,MATCH("互助会費|L|12",決算整理!$T$5:$T$1835,0)),"")</f>
        <v/>
      </c>
      <c r="M92" s="830" t="str">
        <f>IFERROR(INDEX(決算整理!$R$5:$R$1835,MATCH("互助会費|L|12",決算整理!$T$5:$T$1835,0)),"")</f>
        <v/>
      </c>
      <c r="N92" s="831" t="str">
        <f>IF(M92="","",N91+M92)</f>
        <v/>
      </c>
      <c r="O92" s="829" t="str">
        <f>IFERROR(INDEX(決算整理!$P$5:$P$1835,MATCH("互助会費|L|12",決算整理!$T$5:$T$1835,0)),"")</f>
        <v/>
      </c>
      <c r="P92" s="825" t="str">
        <f>IFERROR(INDEX(決算整理!$A$5:$A$1835,MATCH("会議出席負担金等|L|12",決算整理!$T$5:$T$1835,0)),"")</f>
        <v/>
      </c>
      <c r="Q92" s="826" t="str">
        <f>IFERROR(INDEX(決算整理!$E$5:$E$1835,MATCH("会議出席負担金等|L|12",決算整理!$T$5:$T$1835,0)),"")</f>
        <v/>
      </c>
      <c r="R92" s="830" t="str">
        <f>IFERROR(INDEX(決算整理!$R$5:$R$1835,MATCH("会議出席負担金等|L|12",決算整理!$T$5:$T$1835,0)),"")</f>
        <v/>
      </c>
      <c r="S92" s="831" t="str">
        <f>IF(R92="","",S91+R92)</f>
        <v/>
      </c>
      <c r="T92" s="829" t="str">
        <f>IFERROR(INDEX(決算整理!$P$5:$P$1835,MATCH("会議出席負担金等|L|12",決算整理!$T$5:$T$1835,0)),"")</f>
        <v/>
      </c>
    </row>
    <row r="93" ht="25.5" customHeight="1" s="186"/>
    <row r="94" ht="25.5" customHeight="1" s="186"/>
    <row r="95" ht="25.5" customHeight="1" s="186"/>
    <row r="96" ht="25.5" customHeight="1" s="186">
      <c r="B96" s="502" t="inlineStr">
        <is>
          <t>○負担金  協会けんぽ保険料等</t>
        </is>
      </c>
      <c r="D96" s="93" t="inlineStr">
        <is>
          <t>業務（長）未払</t>
        </is>
      </c>
      <c r="E96" s="824" t="str">
        <f>IF(COUNTIF(決算整理!$T$5:$T$1835,"協会けんぽ保険料等|L|*")&gt;12,"行不足","")</f>
        <v/>
      </c>
      <c r="G96" s="502" t="inlineStr">
        <is>
          <t>○負担金  共済負担金等</t>
        </is>
      </c>
      <c r="I96" s="93" t="inlineStr">
        <is>
          <t>業務（長）未払</t>
        </is>
      </c>
      <c r="J96" s="824" t="str">
        <f>IF(COUNTIF(決算整理!$T$5:$T$1835,"共済負担金等|L|*")&gt;12,"行不足","")</f>
        <v/>
      </c>
      <c r="L96" s="502" t="inlineStr">
        <is>
          <t>○負担金  厚年負担金等</t>
        </is>
      </c>
      <c r="N96" s="93" t="inlineStr">
        <is>
          <t>業務（長）未払</t>
        </is>
      </c>
      <c r="O96" s="824" t="str">
        <f>IF(COUNTIF(決算整理!$T$5:$T$1835,"厚年負担金等|L|*")&gt;12,"行不足","")</f>
        <v/>
      </c>
      <c r="Q96" s="502" t="inlineStr">
        <is>
          <t>○負担金  労災・雇用保険料</t>
        </is>
      </c>
      <c r="S96" s="93" t="inlineStr">
        <is>
          <t>業務（長）未払</t>
        </is>
      </c>
      <c r="T96" s="824" t="str">
        <f>IF(COUNTIF(決算整理!$T$5:$T$1835,"労災・雇用保険料|L|*")&gt;12,"行不足","")</f>
        <v/>
      </c>
    </row>
    <row r="97">
      <c r="A97" s="100" t="inlineStr">
        <is>
          <t>支出日</t>
        </is>
      </c>
      <c r="B97" s="100" t="inlineStr">
        <is>
          <t>摘要</t>
        </is>
      </c>
      <c r="C97" s="100" t="inlineStr">
        <is>
          <t>支出</t>
        </is>
      </c>
      <c r="D97" s="100" t="inlineStr">
        <is>
          <t>累計</t>
        </is>
      </c>
      <c r="E97" s="100" t="inlineStr">
        <is>
          <t>状態</t>
        </is>
      </c>
      <c r="F97" s="100" t="inlineStr">
        <is>
          <t>支出日</t>
        </is>
      </c>
      <c r="G97" s="100" t="inlineStr">
        <is>
          <t>摘要</t>
        </is>
      </c>
      <c r="H97" s="100" t="inlineStr">
        <is>
          <t>支出</t>
        </is>
      </c>
      <c r="I97" s="100" t="inlineStr">
        <is>
          <t>累計</t>
        </is>
      </c>
      <c r="J97" s="100" t="inlineStr">
        <is>
          <t>状態</t>
        </is>
      </c>
      <c r="K97" s="100" t="inlineStr">
        <is>
          <t>支出日</t>
        </is>
      </c>
      <c r="L97" s="100" t="inlineStr">
        <is>
          <t>摘要</t>
        </is>
      </c>
      <c r="M97" s="100" t="inlineStr">
        <is>
          <t>支出</t>
        </is>
      </c>
      <c r="N97" s="100" t="inlineStr">
        <is>
          <t>累計</t>
        </is>
      </c>
      <c r="O97" s="100" t="inlineStr">
        <is>
          <t>状態</t>
        </is>
      </c>
      <c r="P97" s="100" t="inlineStr">
        <is>
          <t>支出日</t>
        </is>
      </c>
      <c r="Q97" s="100" t="inlineStr">
        <is>
          <t>摘要</t>
        </is>
      </c>
      <c r="R97" s="100" t="inlineStr">
        <is>
          <t>支出</t>
        </is>
      </c>
      <c r="S97" s="100" t="inlineStr">
        <is>
          <t>累計</t>
        </is>
      </c>
      <c r="T97" s="100" t="inlineStr">
        <is>
          <t>状態</t>
        </is>
      </c>
    </row>
    <row r="98">
      <c r="A98" s="825" t="n"/>
      <c r="B98" s="826" t="inlineStr">
        <is>
          <t>（予算なし）</t>
        </is>
      </c>
      <c r="C98" s="830" t="n"/>
      <c r="D98" s="831" t="n">
        <v>0</v>
      </c>
      <c r="F98" s="825" t="n"/>
      <c r="G98" s="826" t="inlineStr">
        <is>
          <t>（予算なし）</t>
        </is>
      </c>
      <c r="H98" s="830" t="n"/>
      <c r="I98" s="831" t="n">
        <v>0</v>
      </c>
      <c r="K98" s="825" t="n"/>
      <c r="L98" s="826" t="inlineStr">
        <is>
          <t>（予算なし）</t>
        </is>
      </c>
      <c r="M98" s="830" t="n"/>
      <c r="N98" s="831" t="n">
        <v>0</v>
      </c>
      <c r="P98" s="825" t="n"/>
      <c r="Q98" s="826" t="inlineStr">
        <is>
          <t>（予算なし）</t>
        </is>
      </c>
      <c r="R98" s="830" t="n"/>
      <c r="S98" s="831" t="n">
        <v>0</v>
      </c>
    </row>
    <row r="99">
      <c r="A99" s="825">
        <f>IFERROR(INDEX(決算整理!$A$5:$A$1835,MATCH("協会けんぽ保険料等|L|1",決算整理!$T$5:$T$1835,0)),"")</f>
        <v>43951</v>
      </c>
      <c r="B99" s="826" t="str">
        <f>IFERROR(INDEX(決算整理!$E$5:$E$1835,MATCH("協会けんぽ保険料等|L|1",決算整理!$T$5:$T$1835,0)),"")</f>
        <v>３月月例+３月賞与分（長期分）</v>
      </c>
      <c r="C99" s="830">
        <f>IFERROR(INDEX(決算整理!$R$5:$R$1835,MATCH("協会けんぽ保険料等|L|1",決算整理!$T$5:$T$1835,0)),"")</f>
        <v>22364</v>
      </c>
      <c r="D99" s="831">
        <f>IF(C99="","",D98+C99)</f>
        <v>22364</v>
      </c>
      <c r="E99" s="829" t="str">
        <f>IFERROR(INDEX(決算整理!$P$5:$P$1835,MATCH("協会けんぽ保険料等|L|1",決算整理!$T$5:$T$1835,0)),"")</f>
        <v>昨年実績</v>
      </c>
      <c r="F99" s="825" t="str">
        <f>IFERROR(INDEX(決算整理!$A$5:$A$1835,MATCH("共済負担金等|L|1",決算整理!$T$5:$T$1835,0)),"")</f>
        <v/>
      </c>
      <c r="G99" s="826" t="str">
        <f>IFERROR(INDEX(決算整理!$E$5:$E$1835,MATCH("共済負担金等|L|1",決算整理!$T$5:$T$1835,0)),"")</f>
        <v/>
      </c>
      <c r="H99" s="830" t="str">
        <f>IFERROR(INDEX(決算整理!$R$5:$R$1835,MATCH("共済負担金等|L|1",決算整理!$T$5:$T$1835,0)),"")</f>
        <v/>
      </c>
      <c r="I99" s="831" t="str">
        <f>IF(H99="","",I98+H99)</f>
        <v/>
      </c>
      <c r="J99" s="829" t="str">
        <f>IFERROR(INDEX(決算整理!$P$5:$P$1835,MATCH("共済負担金等|L|1",決算整理!$T$5:$T$1835,0)),"")</f>
        <v/>
      </c>
      <c r="K99" s="825">
        <f>IFERROR(INDEX(決算整理!$A$5:$A$1835,MATCH("厚年負担金等|L|1",決算整理!$T$5:$T$1835,0)),"")</f>
        <v>43951</v>
      </c>
      <c r="L99" s="826" t="str">
        <f>IFERROR(INDEX(決算整理!$E$5:$E$1835,MATCH("厚年負担金等|L|1",決算整理!$T$5:$T$1835,0)),"")</f>
        <v>３月月例+３月賞与分（長期分）子ども子育て拠出金を含む</v>
      </c>
      <c r="M99" s="830">
        <f>IFERROR(INDEX(決算整理!$R$5:$R$1835,MATCH("厚年負担金等|L|1",決算整理!$T$5:$T$1835,0)),"")</f>
        <v>39858</v>
      </c>
      <c r="N99" s="831">
        <f>IF(M99="","",N98+M99)</f>
        <v>39858</v>
      </c>
      <c r="O99" s="829" t="str">
        <f>IFERROR(INDEX(決算整理!$P$5:$P$1835,MATCH("厚年負担金等|L|1",決算整理!$T$5:$T$1835,0)),"")</f>
        <v>昨年実績</v>
      </c>
      <c r="P99" s="825" t="str">
        <f>IFERROR(INDEX(決算整理!$A$5:$A$1835,MATCH("労災・雇用保険料|L|1",決算整理!$T$5:$T$1835,0)),"")</f>
        <v/>
      </c>
      <c r="Q99" s="826" t="str">
        <f>IFERROR(INDEX(決算整理!$E$5:$E$1835,MATCH("労災・雇用保険料|L|1",決算整理!$T$5:$T$1835,0)),"")</f>
        <v/>
      </c>
      <c r="R99" s="830" t="str">
        <f>IFERROR(INDEX(決算整理!$R$5:$R$1835,MATCH("労災・雇用保険料|L|1",決算整理!$T$5:$T$1835,0)),"")</f>
        <v/>
      </c>
      <c r="S99" s="831" t="str">
        <f>IF(R99="","",S98+R99)</f>
        <v/>
      </c>
      <c r="T99" s="829" t="str">
        <f>IFERROR(INDEX(決算整理!$P$5:$P$1835,MATCH("労災・雇用保険料|L|1",決算整理!$T$5:$T$1835,0)),"")</f>
        <v/>
      </c>
    </row>
    <row r="100" ht="25.5" customHeight="1" s="186">
      <c r="A100" s="825" t="str">
        <f>IFERROR(INDEX(決算整理!$A$5:$A$1835,MATCH("協会けんぽ保険料等|L|2",決算整理!$T$5:$T$1835,0)),"")</f>
        <v/>
      </c>
      <c r="B100" s="826" t="str">
        <f>IFERROR(INDEX(決算整理!$E$5:$E$1835,MATCH("協会けんぽ保険料等|L|2",決算整理!$T$5:$T$1835,0)),"")</f>
        <v/>
      </c>
      <c r="C100" s="830" t="str">
        <f>IFERROR(INDEX(決算整理!$R$5:$R$1835,MATCH("協会けんぽ保険料等|L|2",決算整理!$T$5:$T$1835,0)),"")</f>
        <v/>
      </c>
      <c r="D100" s="831" t="str">
        <f>IF(C100="","",D99+C100)</f>
        <v/>
      </c>
      <c r="E100" s="829" t="str">
        <f>IFERROR(INDEX(決算整理!$P$5:$P$1835,MATCH("協会けんぽ保険料等|L|2",決算整理!$T$5:$T$1835,0)),"")</f>
        <v/>
      </c>
      <c r="F100" s="825" t="str">
        <f>IFERROR(INDEX(決算整理!$A$5:$A$1835,MATCH("共済負担金等|L|2",決算整理!$T$5:$T$1835,0)),"")</f>
        <v/>
      </c>
      <c r="G100" s="826" t="str">
        <f>IFERROR(INDEX(決算整理!$E$5:$E$1835,MATCH("共済負担金等|L|2",決算整理!$T$5:$T$1835,0)),"")</f>
        <v/>
      </c>
      <c r="H100" s="830" t="str">
        <f>IFERROR(INDEX(決算整理!$R$5:$R$1835,MATCH("共済負担金等|L|2",決算整理!$T$5:$T$1835,0)),"")</f>
        <v/>
      </c>
      <c r="I100" s="831" t="str">
        <f>IF(H100="","",I99+H100)</f>
        <v/>
      </c>
      <c r="J100" s="829" t="str">
        <f>IFERROR(INDEX(決算整理!$P$5:$P$1835,MATCH("共済負担金等|L|2",決算整理!$T$5:$T$1835,0)),"")</f>
        <v/>
      </c>
      <c r="K100" s="825" t="str">
        <f>IFERROR(INDEX(決算整理!$A$5:$A$1835,MATCH("厚年負担金等|L|2",決算整理!$T$5:$T$1835,0)),"")</f>
        <v/>
      </c>
      <c r="L100" s="826" t="str">
        <f>IFERROR(INDEX(決算整理!$E$5:$E$1835,MATCH("厚年負担金等|L|2",決算整理!$T$5:$T$1835,0)),"")</f>
        <v/>
      </c>
      <c r="M100" s="830" t="str">
        <f>IFERROR(INDEX(決算整理!$R$5:$R$1835,MATCH("厚年負担金等|L|2",決算整理!$T$5:$T$1835,0)),"")</f>
        <v/>
      </c>
      <c r="N100" s="831" t="str">
        <f>IF(M100="","",N99+M100)</f>
        <v/>
      </c>
      <c r="O100" s="829" t="str">
        <f>IFERROR(INDEX(決算整理!$P$5:$P$1835,MATCH("厚年負担金等|L|2",決算整理!$T$5:$T$1835,0)),"")</f>
        <v/>
      </c>
      <c r="P100" s="825" t="str">
        <f>IFERROR(INDEX(決算整理!$A$5:$A$1835,MATCH("労災・雇用保険料|L|2",決算整理!$T$5:$T$1835,0)),"")</f>
        <v/>
      </c>
      <c r="Q100" s="826" t="str">
        <f>IFERROR(INDEX(決算整理!$E$5:$E$1835,MATCH("労災・雇用保険料|L|2",決算整理!$T$5:$T$1835,0)),"")</f>
        <v/>
      </c>
      <c r="R100" s="830" t="str">
        <f>IFERROR(INDEX(決算整理!$R$5:$R$1835,MATCH("労災・雇用保険料|L|2",決算整理!$T$5:$T$1835,0)),"")</f>
        <v/>
      </c>
      <c r="S100" s="831" t="str">
        <f>IF(R100="","",S99+R100)</f>
        <v/>
      </c>
      <c r="T100" s="829" t="str">
        <f>IFERROR(INDEX(決算整理!$P$5:$P$1835,MATCH("労災・雇用保険料|L|2",決算整理!$T$5:$T$1835,0)),"")</f>
        <v/>
      </c>
    </row>
    <row r="101">
      <c r="A101" s="825" t="str">
        <f>IFERROR(INDEX(決算整理!$A$5:$A$1835,MATCH("協会けんぽ保険料等|L|3",決算整理!$T$5:$T$1835,0)),"")</f>
        <v/>
      </c>
      <c r="B101" s="826" t="str">
        <f>IFERROR(INDEX(決算整理!$E$5:$E$1835,MATCH("協会けんぽ保険料等|L|3",決算整理!$T$5:$T$1835,0)),"")</f>
        <v/>
      </c>
      <c r="C101" s="830" t="str">
        <f>IFERROR(INDEX(決算整理!$R$5:$R$1835,MATCH("協会けんぽ保険料等|L|3",決算整理!$T$5:$T$1835,0)),"")</f>
        <v/>
      </c>
      <c r="D101" s="831" t="str">
        <f>IF(C101="","",D100+C101)</f>
        <v/>
      </c>
      <c r="E101" s="829" t="str">
        <f>IFERROR(INDEX(決算整理!$P$5:$P$1835,MATCH("協会けんぽ保険料等|L|3",決算整理!$T$5:$T$1835,0)),"")</f>
        <v/>
      </c>
      <c r="F101" s="825" t="str">
        <f>IFERROR(INDEX(決算整理!$A$5:$A$1835,MATCH("共済負担金等|L|3",決算整理!$T$5:$T$1835,0)),"")</f>
        <v/>
      </c>
      <c r="G101" s="826" t="str">
        <f>IFERROR(INDEX(決算整理!$E$5:$E$1835,MATCH("共済負担金等|L|3",決算整理!$T$5:$T$1835,0)),"")</f>
        <v/>
      </c>
      <c r="H101" s="830" t="str">
        <f>IFERROR(INDEX(決算整理!$R$5:$R$1835,MATCH("共済負担金等|L|3",決算整理!$T$5:$T$1835,0)),"")</f>
        <v/>
      </c>
      <c r="I101" s="831" t="str">
        <f>IF(H101="","",I100+H101)</f>
        <v/>
      </c>
      <c r="J101" s="829" t="str">
        <f>IFERROR(INDEX(決算整理!$P$5:$P$1835,MATCH("共済負担金等|L|3",決算整理!$T$5:$T$1835,0)),"")</f>
        <v/>
      </c>
      <c r="K101" s="825" t="str">
        <f>IFERROR(INDEX(決算整理!$A$5:$A$1835,MATCH("厚年負担金等|L|3",決算整理!$T$5:$T$1835,0)),"")</f>
        <v/>
      </c>
      <c r="L101" s="826" t="str">
        <f>IFERROR(INDEX(決算整理!$E$5:$E$1835,MATCH("厚年負担金等|L|3",決算整理!$T$5:$T$1835,0)),"")</f>
        <v/>
      </c>
      <c r="M101" s="830" t="str">
        <f>IFERROR(INDEX(決算整理!$R$5:$R$1835,MATCH("厚年負担金等|L|3",決算整理!$T$5:$T$1835,0)),"")</f>
        <v/>
      </c>
      <c r="N101" s="831" t="str">
        <f>IF(M101="","",N100+M101)</f>
        <v/>
      </c>
      <c r="O101" s="829" t="str">
        <f>IFERROR(INDEX(決算整理!$P$5:$P$1835,MATCH("厚年負担金等|L|3",決算整理!$T$5:$T$1835,0)),"")</f>
        <v/>
      </c>
      <c r="P101" s="825" t="str">
        <f>IFERROR(INDEX(決算整理!$A$5:$A$1835,MATCH("労災・雇用保険料|L|3",決算整理!$T$5:$T$1835,0)),"")</f>
        <v/>
      </c>
      <c r="Q101" s="826" t="str">
        <f>IFERROR(INDEX(決算整理!$E$5:$E$1835,MATCH("労災・雇用保険料|L|3",決算整理!$T$5:$T$1835,0)),"")</f>
        <v/>
      </c>
      <c r="R101" s="830" t="str">
        <f>IFERROR(INDEX(決算整理!$R$5:$R$1835,MATCH("労災・雇用保険料|L|3",決算整理!$T$5:$T$1835,0)),"")</f>
        <v/>
      </c>
      <c r="S101" s="831" t="str">
        <f>IF(R101="","",S100+R101)</f>
        <v/>
      </c>
      <c r="T101" s="829" t="str">
        <f>IFERROR(INDEX(決算整理!$P$5:$P$1835,MATCH("労災・雇用保険料|L|3",決算整理!$T$5:$T$1835,0)),"")</f>
        <v/>
      </c>
    </row>
    <row r="102">
      <c r="A102" s="825" t="str">
        <f>IFERROR(INDEX(決算整理!$A$5:$A$1835,MATCH("協会けんぽ保険料等|L|4",決算整理!$T$5:$T$1835,0)),"")</f>
        <v/>
      </c>
      <c r="B102" s="826" t="str">
        <f>IFERROR(INDEX(決算整理!$E$5:$E$1835,MATCH("協会けんぽ保険料等|L|4",決算整理!$T$5:$T$1835,0)),"")</f>
        <v/>
      </c>
      <c r="C102" s="830" t="str">
        <f>IFERROR(INDEX(決算整理!$R$5:$R$1835,MATCH("協会けんぽ保険料等|L|4",決算整理!$T$5:$T$1835,0)),"")</f>
        <v/>
      </c>
      <c r="D102" s="831" t="str">
        <f>IF(C102="","",D101+C102)</f>
        <v/>
      </c>
      <c r="E102" s="829" t="str">
        <f>IFERROR(INDEX(決算整理!$P$5:$P$1835,MATCH("協会けんぽ保険料等|L|4",決算整理!$T$5:$T$1835,0)),"")</f>
        <v/>
      </c>
      <c r="F102" s="825" t="str">
        <f>IFERROR(INDEX(決算整理!$A$5:$A$1835,MATCH("共済負担金等|L|4",決算整理!$T$5:$T$1835,0)),"")</f>
        <v/>
      </c>
      <c r="G102" s="826" t="str">
        <f>IFERROR(INDEX(決算整理!$E$5:$E$1835,MATCH("共済負担金等|L|4",決算整理!$T$5:$T$1835,0)),"")</f>
        <v/>
      </c>
      <c r="H102" s="830" t="str">
        <f>IFERROR(INDEX(決算整理!$R$5:$R$1835,MATCH("共済負担金等|L|4",決算整理!$T$5:$T$1835,0)),"")</f>
        <v/>
      </c>
      <c r="I102" s="831" t="str">
        <f>IF(H102="","",I101+H102)</f>
        <v/>
      </c>
      <c r="J102" s="829" t="str">
        <f>IFERROR(INDEX(決算整理!$P$5:$P$1835,MATCH("共済負担金等|L|4",決算整理!$T$5:$T$1835,0)),"")</f>
        <v/>
      </c>
      <c r="K102" s="825" t="str">
        <f>IFERROR(INDEX(決算整理!$A$5:$A$1835,MATCH("厚年負担金等|L|4",決算整理!$T$5:$T$1835,0)),"")</f>
        <v/>
      </c>
      <c r="L102" s="826" t="str">
        <f>IFERROR(INDEX(決算整理!$E$5:$E$1835,MATCH("厚年負担金等|L|4",決算整理!$T$5:$T$1835,0)),"")</f>
        <v/>
      </c>
      <c r="M102" s="830" t="str">
        <f>IFERROR(INDEX(決算整理!$R$5:$R$1835,MATCH("厚年負担金等|L|4",決算整理!$T$5:$T$1835,0)),"")</f>
        <v/>
      </c>
      <c r="N102" s="831" t="str">
        <f>IF(M102="","",N101+M102)</f>
        <v/>
      </c>
      <c r="O102" s="829" t="str">
        <f>IFERROR(INDEX(決算整理!$P$5:$P$1835,MATCH("厚年負担金等|L|4",決算整理!$T$5:$T$1835,0)),"")</f>
        <v/>
      </c>
      <c r="P102" s="825" t="str">
        <f>IFERROR(INDEX(決算整理!$A$5:$A$1835,MATCH("労災・雇用保険料|L|4",決算整理!$T$5:$T$1835,0)),"")</f>
        <v/>
      </c>
      <c r="Q102" s="826" t="str">
        <f>IFERROR(INDEX(決算整理!$E$5:$E$1835,MATCH("労災・雇用保険料|L|4",決算整理!$T$5:$T$1835,0)),"")</f>
        <v/>
      </c>
      <c r="R102" s="830" t="str">
        <f>IFERROR(INDEX(決算整理!$R$5:$R$1835,MATCH("労災・雇用保険料|L|4",決算整理!$T$5:$T$1835,0)),"")</f>
        <v/>
      </c>
      <c r="S102" s="831" t="str">
        <f>IF(R102="","",S101+R102)</f>
        <v/>
      </c>
      <c r="T102" s="829" t="str">
        <f>IFERROR(INDEX(決算整理!$P$5:$P$1835,MATCH("労災・雇用保険料|L|4",決算整理!$T$5:$T$1835,0)),"")</f>
        <v/>
      </c>
    </row>
    <row r="103">
      <c r="A103" s="825" t="str">
        <f>IFERROR(INDEX(決算整理!$A$5:$A$1835,MATCH("協会けんぽ保険料等|L|5",決算整理!$T$5:$T$1835,0)),"")</f>
        <v/>
      </c>
      <c r="B103" s="826" t="str">
        <f>IFERROR(INDEX(決算整理!$E$5:$E$1835,MATCH("協会けんぽ保険料等|L|5",決算整理!$T$5:$T$1835,0)),"")</f>
        <v/>
      </c>
      <c r="C103" s="830" t="str">
        <f>IFERROR(INDEX(決算整理!$R$5:$R$1835,MATCH("協会けんぽ保険料等|L|5",決算整理!$T$5:$T$1835,0)),"")</f>
        <v/>
      </c>
      <c r="D103" s="831" t="str">
        <f>IF(C103="","",D102+C103)</f>
        <v/>
      </c>
      <c r="E103" s="829" t="str">
        <f>IFERROR(INDEX(決算整理!$P$5:$P$1835,MATCH("協会けんぽ保険料等|L|5",決算整理!$T$5:$T$1835,0)),"")</f>
        <v/>
      </c>
      <c r="F103" s="825" t="str">
        <f>IFERROR(INDEX(決算整理!$A$5:$A$1835,MATCH("共済負担金等|L|5",決算整理!$T$5:$T$1835,0)),"")</f>
        <v/>
      </c>
      <c r="G103" s="826" t="str">
        <f>IFERROR(INDEX(決算整理!$E$5:$E$1835,MATCH("共済負担金等|L|5",決算整理!$T$5:$T$1835,0)),"")</f>
        <v/>
      </c>
      <c r="H103" s="830" t="str">
        <f>IFERROR(INDEX(決算整理!$R$5:$R$1835,MATCH("共済負担金等|L|5",決算整理!$T$5:$T$1835,0)),"")</f>
        <v/>
      </c>
      <c r="I103" s="831" t="str">
        <f>IF(H103="","",I102+H103)</f>
        <v/>
      </c>
      <c r="J103" s="829" t="str">
        <f>IFERROR(INDEX(決算整理!$P$5:$P$1835,MATCH("共済負担金等|L|5",決算整理!$T$5:$T$1835,0)),"")</f>
        <v/>
      </c>
      <c r="K103" s="825" t="str">
        <f>IFERROR(INDEX(決算整理!$A$5:$A$1835,MATCH("厚年負担金等|L|5",決算整理!$T$5:$T$1835,0)),"")</f>
        <v/>
      </c>
      <c r="L103" s="826" t="str">
        <f>IFERROR(INDEX(決算整理!$E$5:$E$1835,MATCH("厚年負担金等|L|5",決算整理!$T$5:$T$1835,0)),"")</f>
        <v/>
      </c>
      <c r="M103" s="830" t="str">
        <f>IFERROR(INDEX(決算整理!$R$5:$R$1835,MATCH("厚年負担金等|L|5",決算整理!$T$5:$T$1835,0)),"")</f>
        <v/>
      </c>
      <c r="N103" s="831" t="str">
        <f>IF(M103="","",N102+M103)</f>
        <v/>
      </c>
      <c r="O103" s="829" t="str">
        <f>IFERROR(INDEX(決算整理!$P$5:$P$1835,MATCH("厚年負担金等|L|5",決算整理!$T$5:$T$1835,0)),"")</f>
        <v/>
      </c>
      <c r="P103" s="825" t="str">
        <f>IFERROR(INDEX(決算整理!$A$5:$A$1835,MATCH("労災・雇用保険料|L|5",決算整理!$T$5:$T$1835,0)),"")</f>
        <v/>
      </c>
      <c r="Q103" s="826" t="str">
        <f>IFERROR(INDEX(決算整理!$E$5:$E$1835,MATCH("労災・雇用保険料|L|5",決算整理!$T$5:$T$1835,0)),"")</f>
        <v/>
      </c>
      <c r="R103" s="830" t="str">
        <f>IFERROR(INDEX(決算整理!$R$5:$R$1835,MATCH("労災・雇用保険料|L|5",決算整理!$T$5:$T$1835,0)),"")</f>
        <v/>
      </c>
      <c r="S103" s="831" t="str">
        <f>IF(R103="","",S102+R103)</f>
        <v/>
      </c>
      <c r="T103" s="829" t="str">
        <f>IFERROR(INDEX(決算整理!$P$5:$P$1835,MATCH("労災・雇用保険料|L|5",決算整理!$T$5:$T$1835,0)),"")</f>
        <v/>
      </c>
    </row>
    <row r="104" ht="25.5" customHeight="1" s="186">
      <c r="A104" s="825" t="str">
        <f>IFERROR(INDEX(決算整理!$A$5:$A$1835,MATCH("協会けんぽ保険料等|L|6",決算整理!$T$5:$T$1835,0)),"")</f>
        <v/>
      </c>
      <c r="B104" s="826" t="str">
        <f>IFERROR(INDEX(決算整理!$E$5:$E$1835,MATCH("協会けんぽ保険料等|L|6",決算整理!$T$5:$T$1835,0)),"")</f>
        <v/>
      </c>
      <c r="C104" s="830" t="str">
        <f>IFERROR(INDEX(決算整理!$R$5:$R$1835,MATCH("協会けんぽ保険料等|L|6",決算整理!$T$5:$T$1835,0)),"")</f>
        <v/>
      </c>
      <c r="D104" s="831" t="str">
        <f>IF(C104="","",D103+C104)</f>
        <v/>
      </c>
      <c r="E104" s="829" t="str">
        <f>IFERROR(INDEX(決算整理!$P$5:$P$1835,MATCH("協会けんぽ保険料等|L|6",決算整理!$T$5:$T$1835,0)),"")</f>
        <v/>
      </c>
      <c r="F104" s="825" t="str">
        <f>IFERROR(INDEX(決算整理!$A$5:$A$1835,MATCH("共済負担金等|L|6",決算整理!$T$5:$T$1835,0)),"")</f>
        <v/>
      </c>
      <c r="G104" s="826" t="str">
        <f>IFERROR(INDEX(決算整理!$E$5:$E$1835,MATCH("共済負担金等|L|6",決算整理!$T$5:$T$1835,0)),"")</f>
        <v/>
      </c>
      <c r="H104" s="830" t="str">
        <f>IFERROR(INDEX(決算整理!$R$5:$R$1835,MATCH("共済負担金等|L|6",決算整理!$T$5:$T$1835,0)),"")</f>
        <v/>
      </c>
      <c r="I104" s="831" t="str">
        <f>IF(H104="","",I103+H104)</f>
        <v/>
      </c>
      <c r="J104" s="829" t="str">
        <f>IFERROR(INDEX(決算整理!$P$5:$P$1835,MATCH("共済負担金等|L|6",決算整理!$T$5:$T$1835,0)),"")</f>
        <v/>
      </c>
      <c r="K104" s="825" t="str">
        <f>IFERROR(INDEX(決算整理!$A$5:$A$1835,MATCH("厚年負担金等|L|6",決算整理!$T$5:$T$1835,0)),"")</f>
        <v/>
      </c>
      <c r="L104" s="826" t="str">
        <f>IFERROR(INDEX(決算整理!$E$5:$E$1835,MATCH("厚年負担金等|L|6",決算整理!$T$5:$T$1835,0)),"")</f>
        <v/>
      </c>
      <c r="M104" s="830" t="str">
        <f>IFERROR(INDEX(決算整理!$R$5:$R$1835,MATCH("厚年負担金等|L|6",決算整理!$T$5:$T$1835,0)),"")</f>
        <v/>
      </c>
      <c r="N104" s="831" t="str">
        <f>IF(M104="","",N103+M104)</f>
        <v/>
      </c>
      <c r="O104" s="829" t="str">
        <f>IFERROR(INDEX(決算整理!$P$5:$P$1835,MATCH("厚年負担金等|L|6",決算整理!$T$5:$T$1835,0)),"")</f>
        <v/>
      </c>
      <c r="P104" s="825" t="str">
        <f>IFERROR(INDEX(決算整理!$A$5:$A$1835,MATCH("労災・雇用保険料|L|6",決算整理!$T$5:$T$1835,0)),"")</f>
        <v/>
      </c>
      <c r="Q104" s="826" t="str">
        <f>IFERROR(INDEX(決算整理!$E$5:$E$1835,MATCH("労災・雇用保険料|L|6",決算整理!$T$5:$T$1835,0)),"")</f>
        <v/>
      </c>
      <c r="R104" s="830" t="str">
        <f>IFERROR(INDEX(決算整理!$R$5:$R$1835,MATCH("労災・雇用保険料|L|6",決算整理!$T$5:$T$1835,0)),"")</f>
        <v/>
      </c>
      <c r="S104" s="831" t="str">
        <f>IF(R104="","",S103+R104)</f>
        <v/>
      </c>
      <c r="T104" s="829" t="str">
        <f>IFERROR(INDEX(決算整理!$P$5:$P$1835,MATCH("労災・雇用保険料|L|6",決算整理!$T$5:$T$1835,0)),"")</f>
        <v/>
      </c>
    </row>
    <row r="105" ht="25.5" customHeight="1" s="186">
      <c r="A105" s="825" t="str">
        <f>IFERROR(INDEX(決算整理!$A$5:$A$1835,MATCH("協会けんぽ保険料等|L|7",決算整理!$T$5:$T$1835,0)),"")</f>
        <v/>
      </c>
      <c r="B105" s="826" t="str">
        <f>IFERROR(INDEX(決算整理!$E$5:$E$1835,MATCH("協会けんぽ保険料等|L|7",決算整理!$T$5:$T$1835,0)),"")</f>
        <v/>
      </c>
      <c r="C105" s="830" t="str">
        <f>IFERROR(INDEX(決算整理!$R$5:$R$1835,MATCH("協会けんぽ保険料等|L|7",決算整理!$T$5:$T$1835,0)),"")</f>
        <v/>
      </c>
      <c r="D105" s="831" t="str">
        <f>IF(C105="","",D104+C105)</f>
        <v/>
      </c>
      <c r="E105" s="829" t="str">
        <f>IFERROR(INDEX(決算整理!$P$5:$P$1835,MATCH("協会けんぽ保険料等|L|7",決算整理!$T$5:$T$1835,0)),"")</f>
        <v/>
      </c>
      <c r="F105" s="825" t="str">
        <f>IFERROR(INDEX(決算整理!$A$5:$A$1835,MATCH("共済負担金等|L|7",決算整理!$T$5:$T$1835,0)),"")</f>
        <v/>
      </c>
      <c r="G105" s="826" t="str">
        <f>IFERROR(INDEX(決算整理!$E$5:$E$1835,MATCH("共済負担金等|L|7",決算整理!$T$5:$T$1835,0)),"")</f>
        <v/>
      </c>
      <c r="H105" s="830" t="str">
        <f>IFERROR(INDEX(決算整理!$R$5:$R$1835,MATCH("共済負担金等|L|7",決算整理!$T$5:$T$1835,0)),"")</f>
        <v/>
      </c>
      <c r="I105" s="831" t="str">
        <f>IF(H105="","",I104+H105)</f>
        <v/>
      </c>
      <c r="J105" s="829" t="str">
        <f>IFERROR(INDEX(決算整理!$P$5:$P$1835,MATCH("共済負担金等|L|7",決算整理!$T$5:$T$1835,0)),"")</f>
        <v/>
      </c>
      <c r="K105" s="825" t="str">
        <f>IFERROR(INDEX(決算整理!$A$5:$A$1835,MATCH("厚年負担金等|L|7",決算整理!$T$5:$T$1835,0)),"")</f>
        <v/>
      </c>
      <c r="L105" s="826" t="str">
        <f>IFERROR(INDEX(決算整理!$E$5:$E$1835,MATCH("厚年負担金等|L|7",決算整理!$T$5:$T$1835,0)),"")</f>
        <v/>
      </c>
      <c r="M105" s="830" t="str">
        <f>IFERROR(INDEX(決算整理!$R$5:$R$1835,MATCH("厚年負担金等|L|7",決算整理!$T$5:$T$1835,0)),"")</f>
        <v/>
      </c>
      <c r="N105" s="831" t="str">
        <f>IF(M105="","",N104+M105)</f>
        <v/>
      </c>
      <c r="O105" s="829" t="str">
        <f>IFERROR(INDEX(決算整理!$P$5:$P$1835,MATCH("厚年負担金等|L|7",決算整理!$T$5:$T$1835,0)),"")</f>
        <v/>
      </c>
      <c r="P105" s="825" t="str">
        <f>IFERROR(INDEX(決算整理!$A$5:$A$1835,MATCH("労災・雇用保険料|L|7",決算整理!$T$5:$T$1835,0)),"")</f>
        <v/>
      </c>
      <c r="Q105" s="826" t="str">
        <f>IFERROR(INDEX(決算整理!$E$5:$E$1835,MATCH("労災・雇用保険料|L|7",決算整理!$T$5:$T$1835,0)),"")</f>
        <v/>
      </c>
      <c r="R105" s="830" t="str">
        <f>IFERROR(INDEX(決算整理!$R$5:$R$1835,MATCH("労災・雇用保険料|L|7",決算整理!$T$5:$T$1835,0)),"")</f>
        <v/>
      </c>
      <c r="S105" s="831" t="str">
        <f>IF(R105="","",S104+R105)</f>
        <v/>
      </c>
      <c r="T105" s="829" t="str">
        <f>IFERROR(INDEX(決算整理!$P$5:$P$1835,MATCH("労災・雇用保険料|L|7",決算整理!$T$5:$T$1835,0)),"")</f>
        <v/>
      </c>
    </row>
    <row r="106" ht="25.5" customHeight="1" s="186">
      <c r="A106" s="825" t="str">
        <f>IFERROR(INDEX(決算整理!$A$5:$A$1835,MATCH("協会けんぽ保険料等|L|8",決算整理!$T$5:$T$1835,0)),"")</f>
        <v/>
      </c>
      <c r="B106" s="826" t="str">
        <f>IFERROR(INDEX(決算整理!$E$5:$E$1835,MATCH("協会けんぽ保険料等|L|8",決算整理!$T$5:$T$1835,0)),"")</f>
        <v/>
      </c>
      <c r="C106" s="830" t="str">
        <f>IFERROR(INDEX(決算整理!$R$5:$R$1835,MATCH("協会けんぽ保険料等|L|8",決算整理!$T$5:$T$1835,0)),"")</f>
        <v/>
      </c>
      <c r="D106" s="831" t="str">
        <f>IF(C106="","",D105+C106)</f>
        <v/>
      </c>
      <c r="E106" s="829" t="str">
        <f>IFERROR(INDEX(決算整理!$P$5:$P$1835,MATCH("協会けんぽ保険料等|L|8",決算整理!$T$5:$T$1835,0)),"")</f>
        <v/>
      </c>
      <c r="F106" s="825" t="str">
        <f>IFERROR(INDEX(決算整理!$A$5:$A$1835,MATCH("共済負担金等|L|8",決算整理!$T$5:$T$1835,0)),"")</f>
        <v/>
      </c>
      <c r="G106" s="826" t="str">
        <f>IFERROR(INDEX(決算整理!$E$5:$E$1835,MATCH("共済負担金等|L|8",決算整理!$T$5:$T$1835,0)),"")</f>
        <v/>
      </c>
      <c r="H106" s="830" t="str">
        <f>IFERROR(INDEX(決算整理!$R$5:$R$1835,MATCH("共済負担金等|L|8",決算整理!$T$5:$T$1835,0)),"")</f>
        <v/>
      </c>
      <c r="I106" s="831" t="str">
        <f>IF(H106="","",I105+H106)</f>
        <v/>
      </c>
      <c r="J106" s="829" t="str">
        <f>IFERROR(INDEX(決算整理!$P$5:$P$1835,MATCH("共済負担金等|L|8",決算整理!$T$5:$T$1835,0)),"")</f>
        <v/>
      </c>
      <c r="K106" s="825" t="str">
        <f>IFERROR(INDEX(決算整理!$A$5:$A$1835,MATCH("厚年負担金等|L|8",決算整理!$T$5:$T$1835,0)),"")</f>
        <v/>
      </c>
      <c r="L106" s="826" t="str">
        <f>IFERROR(INDEX(決算整理!$E$5:$E$1835,MATCH("厚年負担金等|L|8",決算整理!$T$5:$T$1835,0)),"")</f>
        <v/>
      </c>
      <c r="M106" s="830" t="str">
        <f>IFERROR(INDEX(決算整理!$R$5:$R$1835,MATCH("厚年負担金等|L|8",決算整理!$T$5:$T$1835,0)),"")</f>
        <v/>
      </c>
      <c r="N106" s="831" t="str">
        <f>IF(M106="","",N105+M106)</f>
        <v/>
      </c>
      <c r="O106" s="829" t="str">
        <f>IFERROR(INDEX(決算整理!$P$5:$P$1835,MATCH("厚年負担金等|L|8",決算整理!$T$5:$T$1835,0)),"")</f>
        <v/>
      </c>
      <c r="P106" s="825" t="str">
        <f>IFERROR(INDEX(決算整理!$A$5:$A$1835,MATCH("労災・雇用保険料|L|8",決算整理!$T$5:$T$1835,0)),"")</f>
        <v/>
      </c>
      <c r="Q106" s="826" t="str">
        <f>IFERROR(INDEX(決算整理!$E$5:$E$1835,MATCH("労災・雇用保険料|L|8",決算整理!$T$5:$T$1835,0)),"")</f>
        <v/>
      </c>
      <c r="R106" s="830" t="str">
        <f>IFERROR(INDEX(決算整理!$R$5:$R$1835,MATCH("労災・雇用保険料|L|8",決算整理!$T$5:$T$1835,0)),"")</f>
        <v/>
      </c>
      <c r="S106" s="831" t="str">
        <f>IF(R106="","",S105+R106)</f>
        <v/>
      </c>
      <c r="T106" s="829" t="str">
        <f>IFERROR(INDEX(決算整理!$P$5:$P$1835,MATCH("労災・雇用保険料|L|8",決算整理!$T$5:$T$1835,0)),"")</f>
        <v/>
      </c>
    </row>
    <row r="107" ht="25.5" customHeight="1" s="186">
      <c r="A107" s="825" t="str">
        <f>IFERROR(INDEX(決算整理!$A$5:$A$1835,MATCH("協会けんぽ保険料等|L|9",決算整理!$T$5:$T$1835,0)),"")</f>
        <v/>
      </c>
      <c r="B107" s="826" t="str">
        <f>IFERROR(INDEX(決算整理!$E$5:$E$1835,MATCH("協会けんぽ保険料等|L|9",決算整理!$T$5:$T$1835,0)),"")</f>
        <v/>
      </c>
      <c r="C107" s="830" t="str">
        <f>IFERROR(INDEX(決算整理!$R$5:$R$1835,MATCH("協会けんぽ保険料等|L|9",決算整理!$T$5:$T$1835,0)),"")</f>
        <v/>
      </c>
      <c r="D107" s="831" t="str">
        <f>IF(C107="","",D106+C107)</f>
        <v/>
      </c>
      <c r="E107" s="829" t="str">
        <f>IFERROR(INDEX(決算整理!$P$5:$P$1835,MATCH("協会けんぽ保険料等|L|9",決算整理!$T$5:$T$1835,0)),"")</f>
        <v/>
      </c>
      <c r="F107" s="825" t="str">
        <f>IFERROR(INDEX(決算整理!$A$5:$A$1835,MATCH("共済負担金等|L|9",決算整理!$T$5:$T$1835,0)),"")</f>
        <v/>
      </c>
      <c r="G107" s="826" t="str">
        <f>IFERROR(INDEX(決算整理!$E$5:$E$1835,MATCH("共済負担金等|L|9",決算整理!$T$5:$T$1835,0)),"")</f>
        <v/>
      </c>
      <c r="H107" s="830" t="str">
        <f>IFERROR(INDEX(決算整理!$R$5:$R$1835,MATCH("共済負担金等|L|9",決算整理!$T$5:$T$1835,0)),"")</f>
        <v/>
      </c>
      <c r="I107" s="831" t="str">
        <f>IF(H107="","",I106+H107)</f>
        <v/>
      </c>
      <c r="J107" s="829" t="str">
        <f>IFERROR(INDEX(決算整理!$P$5:$P$1835,MATCH("共済負担金等|L|9",決算整理!$T$5:$T$1835,0)),"")</f>
        <v/>
      </c>
      <c r="K107" s="825" t="str">
        <f>IFERROR(INDEX(決算整理!$A$5:$A$1835,MATCH("厚年負担金等|L|9",決算整理!$T$5:$T$1835,0)),"")</f>
        <v/>
      </c>
      <c r="L107" s="826" t="str">
        <f>IFERROR(INDEX(決算整理!$E$5:$E$1835,MATCH("厚年負担金等|L|9",決算整理!$T$5:$T$1835,0)),"")</f>
        <v/>
      </c>
      <c r="M107" s="830" t="str">
        <f>IFERROR(INDEX(決算整理!$R$5:$R$1835,MATCH("厚年負担金等|L|9",決算整理!$T$5:$T$1835,0)),"")</f>
        <v/>
      </c>
      <c r="N107" s="831" t="str">
        <f>IF(M107="","",N106+M107)</f>
        <v/>
      </c>
      <c r="O107" s="829" t="str">
        <f>IFERROR(INDEX(決算整理!$P$5:$P$1835,MATCH("厚年負担金等|L|9",決算整理!$T$5:$T$1835,0)),"")</f>
        <v/>
      </c>
      <c r="P107" s="825" t="str">
        <f>IFERROR(INDEX(決算整理!$A$5:$A$1835,MATCH("労災・雇用保険料|L|9",決算整理!$T$5:$T$1835,0)),"")</f>
        <v/>
      </c>
      <c r="Q107" s="826" t="str">
        <f>IFERROR(INDEX(決算整理!$E$5:$E$1835,MATCH("労災・雇用保険料|L|9",決算整理!$T$5:$T$1835,0)),"")</f>
        <v/>
      </c>
      <c r="R107" s="830" t="str">
        <f>IFERROR(INDEX(決算整理!$R$5:$R$1835,MATCH("労災・雇用保険料|L|9",決算整理!$T$5:$T$1835,0)),"")</f>
        <v/>
      </c>
      <c r="S107" s="831" t="str">
        <f>IF(R107="","",S106+R107)</f>
        <v/>
      </c>
      <c r="T107" s="829" t="str">
        <f>IFERROR(INDEX(決算整理!$P$5:$P$1835,MATCH("労災・雇用保険料|L|9",決算整理!$T$5:$T$1835,0)),"")</f>
        <v/>
      </c>
    </row>
    <row r="108" ht="25.5" customHeight="1" s="186">
      <c r="A108" s="825" t="str">
        <f>IFERROR(INDEX(決算整理!$A$5:$A$1835,MATCH("協会けんぽ保険料等|L|10",決算整理!$T$5:$T$1835,0)),"")</f>
        <v/>
      </c>
      <c r="B108" s="826" t="str">
        <f>IFERROR(INDEX(決算整理!$E$5:$E$1835,MATCH("協会けんぽ保険料等|L|10",決算整理!$T$5:$T$1835,0)),"")</f>
        <v/>
      </c>
      <c r="C108" s="830" t="str">
        <f>IFERROR(INDEX(決算整理!$R$5:$R$1835,MATCH("協会けんぽ保険料等|L|10",決算整理!$T$5:$T$1835,0)),"")</f>
        <v/>
      </c>
      <c r="D108" s="831" t="str">
        <f>IF(C108="","",D107+C108)</f>
        <v/>
      </c>
      <c r="E108" s="829" t="str">
        <f>IFERROR(INDEX(決算整理!$P$5:$P$1835,MATCH("協会けんぽ保険料等|L|10",決算整理!$T$5:$T$1835,0)),"")</f>
        <v/>
      </c>
      <c r="F108" s="825" t="str">
        <f>IFERROR(INDEX(決算整理!$A$5:$A$1835,MATCH("共済負担金等|L|10",決算整理!$T$5:$T$1835,0)),"")</f>
        <v/>
      </c>
      <c r="G108" s="826" t="str">
        <f>IFERROR(INDEX(決算整理!$E$5:$E$1835,MATCH("共済負担金等|L|10",決算整理!$T$5:$T$1835,0)),"")</f>
        <v/>
      </c>
      <c r="H108" s="830" t="str">
        <f>IFERROR(INDEX(決算整理!$R$5:$R$1835,MATCH("共済負担金等|L|10",決算整理!$T$5:$T$1835,0)),"")</f>
        <v/>
      </c>
      <c r="I108" s="831" t="str">
        <f>IF(H108="","",I107+H108)</f>
        <v/>
      </c>
      <c r="J108" s="829" t="str">
        <f>IFERROR(INDEX(決算整理!$P$5:$P$1835,MATCH("共済負担金等|L|10",決算整理!$T$5:$T$1835,0)),"")</f>
        <v/>
      </c>
      <c r="K108" s="825" t="str">
        <f>IFERROR(INDEX(決算整理!$A$5:$A$1835,MATCH("厚年負担金等|L|10",決算整理!$T$5:$T$1835,0)),"")</f>
        <v/>
      </c>
      <c r="L108" s="826" t="str">
        <f>IFERROR(INDEX(決算整理!$E$5:$E$1835,MATCH("厚年負担金等|L|10",決算整理!$T$5:$T$1835,0)),"")</f>
        <v/>
      </c>
      <c r="M108" s="830" t="str">
        <f>IFERROR(INDEX(決算整理!$R$5:$R$1835,MATCH("厚年負担金等|L|10",決算整理!$T$5:$T$1835,0)),"")</f>
        <v/>
      </c>
      <c r="N108" s="831" t="str">
        <f>IF(M108="","",N107+M108)</f>
        <v/>
      </c>
      <c r="O108" s="829" t="str">
        <f>IFERROR(INDEX(決算整理!$P$5:$P$1835,MATCH("厚年負担金等|L|10",決算整理!$T$5:$T$1835,0)),"")</f>
        <v/>
      </c>
      <c r="P108" s="825" t="str">
        <f>IFERROR(INDEX(決算整理!$A$5:$A$1835,MATCH("労災・雇用保険料|L|10",決算整理!$T$5:$T$1835,0)),"")</f>
        <v/>
      </c>
      <c r="Q108" s="826" t="str">
        <f>IFERROR(INDEX(決算整理!$E$5:$E$1835,MATCH("労災・雇用保険料|L|10",決算整理!$T$5:$T$1835,0)),"")</f>
        <v/>
      </c>
      <c r="R108" s="830" t="str">
        <f>IFERROR(INDEX(決算整理!$R$5:$R$1835,MATCH("労災・雇用保険料|L|10",決算整理!$T$5:$T$1835,0)),"")</f>
        <v/>
      </c>
      <c r="S108" s="831" t="str">
        <f>IF(R108="","",S107+R108)</f>
        <v/>
      </c>
      <c r="T108" s="829" t="str">
        <f>IFERROR(INDEX(決算整理!$P$5:$P$1835,MATCH("労災・雇用保険料|L|10",決算整理!$T$5:$T$1835,0)),"")</f>
        <v/>
      </c>
    </row>
    <row r="109" ht="25.5" customHeight="1" s="186">
      <c r="A109" s="825" t="str">
        <f>IFERROR(INDEX(決算整理!$A$5:$A$1835,MATCH("協会けんぽ保険料等|L|11",決算整理!$T$5:$T$1835,0)),"")</f>
        <v/>
      </c>
      <c r="B109" s="826" t="str">
        <f>IFERROR(INDEX(決算整理!$E$5:$E$1835,MATCH("協会けんぽ保険料等|L|11",決算整理!$T$5:$T$1835,0)),"")</f>
        <v/>
      </c>
      <c r="C109" s="830" t="str">
        <f>IFERROR(INDEX(決算整理!$R$5:$R$1835,MATCH("協会けんぽ保険料等|L|11",決算整理!$T$5:$T$1835,0)),"")</f>
        <v/>
      </c>
      <c r="D109" s="831" t="str">
        <f>IF(C109="","",D108+C109)</f>
        <v/>
      </c>
      <c r="E109" s="829" t="str">
        <f>IFERROR(INDEX(決算整理!$P$5:$P$1835,MATCH("協会けんぽ保険料等|L|11",決算整理!$T$5:$T$1835,0)),"")</f>
        <v/>
      </c>
      <c r="F109" s="825" t="str">
        <f>IFERROR(INDEX(決算整理!$A$5:$A$1835,MATCH("共済負担金等|L|11",決算整理!$T$5:$T$1835,0)),"")</f>
        <v/>
      </c>
      <c r="G109" s="826" t="str">
        <f>IFERROR(INDEX(決算整理!$E$5:$E$1835,MATCH("共済負担金等|L|11",決算整理!$T$5:$T$1835,0)),"")</f>
        <v/>
      </c>
      <c r="H109" s="830" t="str">
        <f>IFERROR(INDEX(決算整理!$R$5:$R$1835,MATCH("共済負担金等|L|11",決算整理!$T$5:$T$1835,0)),"")</f>
        <v/>
      </c>
      <c r="I109" s="831" t="str">
        <f>IF(H109="","",I108+H109)</f>
        <v/>
      </c>
      <c r="J109" s="829" t="str">
        <f>IFERROR(INDEX(決算整理!$P$5:$P$1835,MATCH("共済負担金等|L|11",決算整理!$T$5:$T$1835,0)),"")</f>
        <v/>
      </c>
      <c r="K109" s="825" t="str">
        <f>IFERROR(INDEX(決算整理!$A$5:$A$1835,MATCH("厚年負担金等|L|11",決算整理!$T$5:$T$1835,0)),"")</f>
        <v/>
      </c>
      <c r="L109" s="826" t="str">
        <f>IFERROR(INDEX(決算整理!$E$5:$E$1835,MATCH("厚年負担金等|L|11",決算整理!$T$5:$T$1835,0)),"")</f>
        <v/>
      </c>
      <c r="M109" s="830" t="str">
        <f>IFERROR(INDEX(決算整理!$R$5:$R$1835,MATCH("厚年負担金等|L|11",決算整理!$T$5:$T$1835,0)),"")</f>
        <v/>
      </c>
      <c r="N109" s="831" t="str">
        <f>IF(M109="","",N108+M109)</f>
        <v/>
      </c>
      <c r="O109" s="829" t="str">
        <f>IFERROR(INDEX(決算整理!$P$5:$P$1835,MATCH("厚年負担金等|L|11",決算整理!$T$5:$T$1835,0)),"")</f>
        <v/>
      </c>
      <c r="P109" s="825" t="str">
        <f>IFERROR(INDEX(決算整理!$A$5:$A$1835,MATCH("労災・雇用保険料|L|11",決算整理!$T$5:$T$1835,0)),"")</f>
        <v/>
      </c>
      <c r="Q109" s="826" t="str">
        <f>IFERROR(INDEX(決算整理!$E$5:$E$1835,MATCH("労災・雇用保険料|L|11",決算整理!$T$5:$T$1835,0)),"")</f>
        <v/>
      </c>
      <c r="R109" s="830" t="str">
        <f>IFERROR(INDEX(決算整理!$R$5:$R$1835,MATCH("労災・雇用保険料|L|11",決算整理!$T$5:$T$1835,0)),"")</f>
        <v/>
      </c>
      <c r="S109" s="831" t="str">
        <f>IF(R109="","",S108+R109)</f>
        <v/>
      </c>
      <c r="T109" s="829" t="str">
        <f>IFERROR(INDEX(決算整理!$P$5:$P$1835,MATCH("労災・雇用保険料|L|11",決算整理!$T$5:$T$1835,0)),"")</f>
        <v/>
      </c>
    </row>
    <row r="110" ht="25.5" customHeight="1" s="186">
      <c r="A110" s="825" t="str">
        <f>IFERROR(INDEX(決算整理!$A$5:$A$1835,MATCH("協会けんぽ保険料等|L|12",決算整理!$T$5:$T$1835,0)),"")</f>
        <v/>
      </c>
      <c r="B110" s="826" t="str">
        <f>IFERROR(INDEX(決算整理!$E$5:$E$1835,MATCH("協会けんぽ保険料等|L|12",決算整理!$T$5:$T$1835,0)),"")</f>
        <v/>
      </c>
      <c r="C110" s="830" t="str">
        <f>IFERROR(INDEX(決算整理!$R$5:$R$1835,MATCH("協会けんぽ保険料等|L|12",決算整理!$T$5:$T$1835,0)),"")</f>
        <v/>
      </c>
      <c r="D110" s="831" t="str">
        <f>IF(C110="","",D109+C110)</f>
        <v/>
      </c>
      <c r="E110" s="829" t="str">
        <f>IFERROR(INDEX(決算整理!$P$5:$P$1835,MATCH("協会けんぽ保険料等|L|12",決算整理!$T$5:$T$1835,0)),"")</f>
        <v/>
      </c>
      <c r="F110" s="825" t="str">
        <f>IFERROR(INDEX(決算整理!$A$5:$A$1835,MATCH("共済負担金等|L|12",決算整理!$T$5:$T$1835,0)),"")</f>
        <v/>
      </c>
      <c r="G110" s="826" t="str">
        <f>IFERROR(INDEX(決算整理!$E$5:$E$1835,MATCH("共済負担金等|L|12",決算整理!$T$5:$T$1835,0)),"")</f>
        <v/>
      </c>
      <c r="H110" s="830" t="str">
        <f>IFERROR(INDEX(決算整理!$R$5:$R$1835,MATCH("共済負担金等|L|12",決算整理!$T$5:$T$1835,0)),"")</f>
        <v/>
      </c>
      <c r="I110" s="831" t="str">
        <f>IF(H110="","",I109+H110)</f>
        <v/>
      </c>
      <c r="J110" s="829" t="str">
        <f>IFERROR(INDEX(決算整理!$P$5:$P$1835,MATCH("共済負担金等|L|12",決算整理!$T$5:$T$1835,0)),"")</f>
        <v/>
      </c>
      <c r="K110" s="825" t="str">
        <f>IFERROR(INDEX(決算整理!$A$5:$A$1835,MATCH("厚年負担金等|L|12",決算整理!$T$5:$T$1835,0)),"")</f>
        <v/>
      </c>
      <c r="L110" s="826" t="str">
        <f>IFERROR(INDEX(決算整理!$E$5:$E$1835,MATCH("厚年負担金等|L|12",決算整理!$T$5:$T$1835,0)),"")</f>
        <v/>
      </c>
      <c r="M110" s="830" t="str">
        <f>IFERROR(INDEX(決算整理!$R$5:$R$1835,MATCH("厚年負担金等|L|12",決算整理!$T$5:$T$1835,0)),"")</f>
        <v/>
      </c>
      <c r="N110" s="831" t="str">
        <f>IF(M110="","",N109+M110)</f>
        <v/>
      </c>
      <c r="O110" s="829" t="str">
        <f>IFERROR(INDEX(決算整理!$P$5:$P$1835,MATCH("厚年負担金等|L|12",決算整理!$T$5:$T$1835,0)),"")</f>
        <v/>
      </c>
      <c r="P110" s="825" t="str">
        <f>IFERROR(INDEX(決算整理!$A$5:$A$1835,MATCH("労災・雇用保険料|L|12",決算整理!$T$5:$T$1835,0)),"")</f>
        <v/>
      </c>
      <c r="Q110" s="826" t="str">
        <f>IFERROR(INDEX(決算整理!$E$5:$E$1835,MATCH("労災・雇用保険料|L|12",決算整理!$T$5:$T$1835,0)),"")</f>
        <v/>
      </c>
      <c r="R110" s="830" t="str">
        <f>IFERROR(INDEX(決算整理!$R$5:$R$1835,MATCH("労災・雇用保険料|L|12",決算整理!$T$5:$T$1835,0)),"")</f>
        <v/>
      </c>
      <c r="S110" s="831" t="str">
        <f>IF(R110="","",S109+R110)</f>
        <v/>
      </c>
      <c r="T110" s="829" t="str">
        <f>IFERROR(INDEX(決算整理!$P$5:$P$1835,MATCH("労災・雇用保険料|L|12",決算整理!$T$5:$T$1835,0)),"")</f>
        <v/>
      </c>
    </row>
    <row r="114">
      <c r="B114" s="502" t="inlineStr">
        <is>
          <t>○負担金  県社保協会費</t>
        </is>
      </c>
      <c r="D114" s="93" t="inlineStr">
        <is>
          <t>業務（長）未払</t>
        </is>
      </c>
      <c r="E114" s="824" t="str">
        <f>IF(COUNTIF(決算整理!$T$5:$T$1835,"県社保協会費|L|*")&gt;12,"行不足","")</f>
        <v/>
      </c>
      <c r="G114" s="502" t="inlineStr">
        <is>
          <t>○事務費負担金払込金</t>
        </is>
      </c>
      <c r="I114" s="93" t="inlineStr">
        <is>
          <t>業務（長）未払</t>
        </is>
      </c>
      <c r="J114" s="824" t="str">
        <f>IF(COUNTIF(決算整理!$T$5:$T$1835,"事務費負担金払込金|L|*")&gt;12,"行不足","")</f>
        <v/>
      </c>
      <c r="L114" s="502" t="inlineStr">
        <is>
          <t>○雑費</t>
        </is>
      </c>
      <c r="N114" s="93" t="inlineStr">
        <is>
          <t>業務（長）未払</t>
        </is>
      </c>
      <c r="O114" s="824" t="str">
        <f>IF(COUNTIF(決算整理!$T$5:$T$1835,"雑費|L|*")&gt;12,"行不足","")</f>
        <v/>
      </c>
      <c r="Q114" s="502" t="inlineStr">
        <is>
          <t>○減価償却費</t>
        </is>
      </c>
      <c r="S114" s="93" t="inlineStr">
        <is>
          <t>業務（長）未払</t>
        </is>
      </c>
      <c r="T114" s="824" t="str">
        <f>IF(COUNTIF(決算整理!$T$5:$T$1835,"減価償却費|L|*")&gt;12,"行不足","")</f>
        <v/>
      </c>
    </row>
    <row r="115">
      <c r="A115" s="100" t="inlineStr">
        <is>
          <t>支出日</t>
        </is>
      </c>
      <c r="B115" s="100" t="inlineStr">
        <is>
          <t>摘要</t>
        </is>
      </c>
      <c r="C115" s="100" t="inlineStr">
        <is>
          <t>支出</t>
        </is>
      </c>
      <c r="D115" s="100" t="inlineStr">
        <is>
          <t>累計</t>
        </is>
      </c>
      <c r="E115" s="100" t="inlineStr">
        <is>
          <t>状態</t>
        </is>
      </c>
      <c r="F115" s="100" t="inlineStr">
        <is>
          <t>支出日</t>
        </is>
      </c>
      <c r="G115" s="100" t="inlineStr">
        <is>
          <t>摘要</t>
        </is>
      </c>
      <c r="H115" s="100" t="inlineStr">
        <is>
          <t>支出</t>
        </is>
      </c>
      <c r="I115" s="100" t="inlineStr">
        <is>
          <t>累計</t>
        </is>
      </c>
      <c r="J115" s="100" t="inlineStr">
        <is>
          <t>状態</t>
        </is>
      </c>
      <c r="K115" s="100" t="inlineStr">
        <is>
          <t>支出日</t>
        </is>
      </c>
      <c r="L115" s="100" t="inlineStr">
        <is>
          <t>摘要</t>
        </is>
      </c>
      <c r="M115" s="100" t="inlineStr">
        <is>
          <t>支出</t>
        </is>
      </c>
      <c r="N115" s="100" t="inlineStr">
        <is>
          <t>累計</t>
        </is>
      </c>
      <c r="O115" s="100" t="inlineStr">
        <is>
          <t>状態</t>
        </is>
      </c>
      <c r="P115" s="100" t="inlineStr">
        <is>
          <t>支出日</t>
        </is>
      </c>
      <c r="Q115" s="100" t="inlineStr">
        <is>
          <t>摘要</t>
        </is>
      </c>
      <c r="R115" s="100" t="inlineStr">
        <is>
          <t>支出</t>
        </is>
      </c>
      <c r="S115" s="100" t="inlineStr">
        <is>
          <t>累計</t>
        </is>
      </c>
      <c r="T115" s="100" t="inlineStr">
        <is>
          <t>状態</t>
        </is>
      </c>
    </row>
    <row r="116">
      <c r="A116" s="825" t="n"/>
      <c r="B116" s="826" t="inlineStr">
        <is>
          <t>（予算なし）</t>
        </is>
      </c>
      <c r="C116" s="830" t="n"/>
      <c r="D116" s="831" t="n">
        <v>0</v>
      </c>
      <c r="F116" s="825" t="n"/>
      <c r="G116" s="826" t="inlineStr">
        <is>
          <t>（予算なし）</t>
        </is>
      </c>
      <c r="H116" s="830" t="n"/>
      <c r="I116" s="831" t="n">
        <v>0</v>
      </c>
      <c r="K116" s="825" t="n"/>
      <c r="L116" s="826" t="inlineStr">
        <is>
          <t>（予算なし）</t>
        </is>
      </c>
      <c r="M116" s="830" t="n"/>
      <c r="N116" s="831" t="n">
        <v>0</v>
      </c>
      <c r="P116" s="825" t="n"/>
      <c r="Q116" s="826" t="inlineStr">
        <is>
          <t>（予算なし）</t>
        </is>
      </c>
      <c r="R116" s="830" t="n"/>
      <c r="S116" s="831" t="n">
        <v>0</v>
      </c>
    </row>
    <row r="117">
      <c r="A117" s="825" t="str">
        <f>IFERROR(INDEX(決算整理!$A$5:$A$1835,MATCH("県社保協会費|L|1",決算整理!$T$5:$T$1835,0)),"")</f>
        <v/>
      </c>
      <c r="B117" s="826" t="str">
        <f>IFERROR(INDEX(決算整理!$E$5:$E$1835,MATCH("県社保協会費|L|1",決算整理!$T$5:$T$1835,0)),"")</f>
        <v/>
      </c>
      <c r="C117" s="830" t="str">
        <f>IFERROR(INDEX(決算整理!$R$5:$R$1835,MATCH("県社保協会費|L|1",決算整理!$T$5:$T$1835,0)),"")</f>
        <v/>
      </c>
      <c r="D117" s="831" t="str">
        <f>IF(C117="","",D116+C117)</f>
        <v/>
      </c>
      <c r="E117" s="829" t="str">
        <f>IFERROR(INDEX(決算整理!$P$5:$P$1835,MATCH("県社保協会費|L|1",決算整理!$T$5:$T$1835,0)),"")</f>
        <v/>
      </c>
      <c r="F117" s="825" t="str">
        <f>IFERROR(INDEX(決算整理!$A$5:$A$1835,MATCH("事務費負担金払込金|L|1",決算整理!$T$5:$T$1835,0)),"")</f>
        <v/>
      </c>
      <c r="G117" s="826" t="str">
        <f>IFERROR(INDEX(決算整理!$E$5:$E$1835,MATCH("事務費負担金払込金|L|1",決算整理!$T$5:$T$1835,0)),"")</f>
        <v/>
      </c>
      <c r="H117" s="830" t="str">
        <f>IFERROR(INDEX(決算整理!$R$5:$R$1835,MATCH("事務費負担金払込金|L|1",決算整理!$T$5:$T$1835,0)),"")</f>
        <v/>
      </c>
      <c r="I117" s="831" t="str">
        <f>IF(H117="","",I116+H117)</f>
        <v/>
      </c>
      <c r="J117" s="829" t="str">
        <f>IFERROR(INDEX(決算整理!$P$5:$P$1835,MATCH("事務費負担金払込金|L|1",決算整理!$T$5:$T$1835,0)),"")</f>
        <v/>
      </c>
      <c r="K117" s="825" t="str">
        <f>IFERROR(INDEX(決算整理!$A$5:$A$1835,MATCH("雑費|L|1",決算整理!$T$5:$T$1835,0)),"")</f>
        <v/>
      </c>
      <c r="L117" s="826" t="str">
        <f>IFERROR(INDEX(決算整理!$E$5:$E$1835,MATCH("雑費|L|1",決算整理!$T$5:$T$1835,0)),"")</f>
        <v/>
      </c>
      <c r="M117" s="830" t="str">
        <f>IFERROR(INDEX(決算整理!$R$5:$R$1835,MATCH("雑費|L|1",決算整理!$T$5:$T$1835,0)),"")</f>
        <v/>
      </c>
      <c r="N117" s="831" t="str">
        <f>IF(M117="","",N116+M117)</f>
        <v/>
      </c>
      <c r="O117" s="829" t="str">
        <f>IFERROR(INDEX(決算整理!$P$5:$P$1835,MATCH("雑費|L|1",決算整理!$T$5:$T$1835,0)),"")</f>
        <v/>
      </c>
      <c r="P117" s="825" t="str">
        <f>IFERROR(INDEX(決算整理!$A$5:$A$1835,MATCH("減価償却費|L|1",決算整理!$T$5:$T$1835,0)),"")</f>
        <v/>
      </c>
      <c r="Q117" s="826" t="str">
        <f>IFERROR(INDEX(決算整理!$E$5:$E$1835,MATCH("減価償却費|L|1",決算整理!$T$5:$T$1835,0)),"")</f>
        <v/>
      </c>
      <c r="R117" s="830" t="str">
        <f>IFERROR(INDEX(決算整理!$R$5:$R$1835,MATCH("減価償却費|L|1",決算整理!$T$5:$T$1835,0)),"")</f>
        <v/>
      </c>
      <c r="S117" s="831" t="str">
        <f>IF(R117="","",S116+R117)</f>
        <v/>
      </c>
      <c r="T117" s="829" t="str">
        <f>IFERROR(INDEX(決算整理!$P$5:$P$1835,MATCH("減価償却費|L|1",決算整理!$T$5:$T$1835,0)),"")</f>
        <v/>
      </c>
    </row>
    <row r="118">
      <c r="A118" s="825" t="str">
        <f>IFERROR(INDEX(決算整理!$A$5:$A$1835,MATCH("県社保協会費|L|2",決算整理!$T$5:$T$1835,0)),"")</f>
        <v/>
      </c>
      <c r="B118" s="826" t="str">
        <f>IFERROR(INDEX(決算整理!$E$5:$E$1835,MATCH("県社保協会費|L|2",決算整理!$T$5:$T$1835,0)),"")</f>
        <v/>
      </c>
      <c r="C118" s="830" t="str">
        <f>IFERROR(INDEX(決算整理!$R$5:$R$1835,MATCH("県社保協会費|L|2",決算整理!$T$5:$T$1835,0)),"")</f>
        <v/>
      </c>
      <c r="D118" s="831" t="str">
        <f>IF(C118="","",D117+C118)</f>
        <v/>
      </c>
      <c r="E118" s="829" t="str">
        <f>IFERROR(INDEX(決算整理!$P$5:$P$1835,MATCH("県社保協会費|L|2",決算整理!$T$5:$T$1835,0)),"")</f>
        <v/>
      </c>
      <c r="F118" s="825" t="str">
        <f>IFERROR(INDEX(決算整理!$A$5:$A$1835,MATCH("事務費負担金払込金|L|2",決算整理!$T$5:$T$1835,0)),"")</f>
        <v/>
      </c>
      <c r="G118" s="826" t="str">
        <f>IFERROR(INDEX(決算整理!$E$5:$E$1835,MATCH("事務費負担金払込金|L|2",決算整理!$T$5:$T$1835,0)),"")</f>
        <v/>
      </c>
      <c r="H118" s="830" t="str">
        <f>IFERROR(INDEX(決算整理!$R$5:$R$1835,MATCH("事務費負担金払込金|L|2",決算整理!$T$5:$T$1835,0)),"")</f>
        <v/>
      </c>
      <c r="I118" s="831" t="str">
        <f>IF(H118="","",I117+H118)</f>
        <v/>
      </c>
      <c r="J118" s="829" t="str">
        <f>IFERROR(INDEX(決算整理!$P$5:$P$1835,MATCH("事務費負担金払込金|L|2",決算整理!$T$5:$T$1835,0)),"")</f>
        <v/>
      </c>
      <c r="K118" s="825" t="str">
        <f>IFERROR(INDEX(決算整理!$A$5:$A$1835,MATCH("雑費|L|2",決算整理!$T$5:$T$1835,0)),"")</f>
        <v/>
      </c>
      <c r="L118" s="826" t="str">
        <f>IFERROR(INDEX(決算整理!$E$5:$E$1835,MATCH("雑費|L|2",決算整理!$T$5:$T$1835,0)),"")</f>
        <v/>
      </c>
      <c r="M118" s="830" t="str">
        <f>IFERROR(INDEX(決算整理!$R$5:$R$1835,MATCH("雑費|L|2",決算整理!$T$5:$T$1835,0)),"")</f>
        <v/>
      </c>
      <c r="N118" s="831" t="str">
        <f>IF(M118="","",N117+M118)</f>
        <v/>
      </c>
      <c r="O118" s="829" t="str">
        <f>IFERROR(INDEX(決算整理!$P$5:$P$1835,MATCH("雑費|L|2",決算整理!$T$5:$T$1835,0)),"")</f>
        <v/>
      </c>
      <c r="P118" s="825" t="str">
        <f>IFERROR(INDEX(決算整理!$A$5:$A$1835,MATCH("減価償却費|L|2",決算整理!$T$5:$T$1835,0)),"")</f>
        <v/>
      </c>
      <c r="Q118" s="826" t="str">
        <f>IFERROR(INDEX(決算整理!$E$5:$E$1835,MATCH("減価償却費|L|2",決算整理!$T$5:$T$1835,0)),"")</f>
        <v/>
      </c>
      <c r="R118" s="830" t="str">
        <f>IFERROR(INDEX(決算整理!$R$5:$R$1835,MATCH("減価償却費|L|2",決算整理!$T$5:$T$1835,0)),"")</f>
        <v/>
      </c>
      <c r="S118" s="831" t="str">
        <f>IF(R118="","",S117+R118)</f>
        <v/>
      </c>
      <c r="T118" s="829" t="str">
        <f>IFERROR(INDEX(決算整理!$P$5:$P$1835,MATCH("減価償却費|L|2",決算整理!$T$5:$T$1835,0)),"")</f>
        <v/>
      </c>
    </row>
    <row r="119">
      <c r="A119" s="825" t="str">
        <f>IFERROR(INDEX(決算整理!$A$5:$A$1835,MATCH("県社保協会費|L|3",決算整理!$T$5:$T$1835,0)),"")</f>
        <v/>
      </c>
      <c r="B119" s="826" t="str">
        <f>IFERROR(INDEX(決算整理!$E$5:$E$1835,MATCH("県社保協会費|L|3",決算整理!$T$5:$T$1835,0)),"")</f>
        <v/>
      </c>
      <c r="C119" s="830" t="str">
        <f>IFERROR(INDEX(決算整理!$R$5:$R$1835,MATCH("県社保協会費|L|3",決算整理!$T$5:$T$1835,0)),"")</f>
        <v/>
      </c>
      <c r="D119" s="831" t="str">
        <f>IF(C119="","",D118+C119)</f>
        <v/>
      </c>
      <c r="E119" s="829" t="str">
        <f>IFERROR(INDEX(決算整理!$P$5:$P$1835,MATCH("県社保協会費|L|3",決算整理!$T$5:$T$1835,0)),"")</f>
        <v/>
      </c>
      <c r="F119" s="825" t="str">
        <f>IFERROR(INDEX(決算整理!$A$5:$A$1835,MATCH("事務費負担金払込金|L|3",決算整理!$T$5:$T$1835,0)),"")</f>
        <v/>
      </c>
      <c r="G119" s="826" t="str">
        <f>IFERROR(INDEX(決算整理!$E$5:$E$1835,MATCH("事務費負担金払込金|L|3",決算整理!$T$5:$T$1835,0)),"")</f>
        <v/>
      </c>
      <c r="H119" s="830" t="str">
        <f>IFERROR(INDEX(決算整理!$R$5:$R$1835,MATCH("事務費負担金払込金|L|3",決算整理!$T$5:$T$1835,0)),"")</f>
        <v/>
      </c>
      <c r="I119" s="831" t="str">
        <f>IF(H119="","",I118+H119)</f>
        <v/>
      </c>
      <c r="J119" s="829" t="str">
        <f>IFERROR(INDEX(決算整理!$P$5:$P$1835,MATCH("事務費負担金払込金|L|3",決算整理!$T$5:$T$1835,0)),"")</f>
        <v/>
      </c>
      <c r="K119" s="825" t="str">
        <f>IFERROR(INDEX(決算整理!$A$5:$A$1835,MATCH("雑費|L|3",決算整理!$T$5:$T$1835,0)),"")</f>
        <v/>
      </c>
      <c r="L119" s="826" t="str">
        <f>IFERROR(INDEX(決算整理!$E$5:$E$1835,MATCH("雑費|L|3",決算整理!$T$5:$T$1835,0)),"")</f>
        <v/>
      </c>
      <c r="M119" s="830" t="str">
        <f>IFERROR(INDEX(決算整理!$R$5:$R$1835,MATCH("雑費|L|3",決算整理!$T$5:$T$1835,0)),"")</f>
        <v/>
      </c>
      <c r="N119" s="831" t="str">
        <f>IF(M119="","",N118+M119)</f>
        <v/>
      </c>
      <c r="O119" s="829" t="str">
        <f>IFERROR(INDEX(決算整理!$P$5:$P$1835,MATCH("雑費|L|3",決算整理!$T$5:$T$1835,0)),"")</f>
        <v/>
      </c>
      <c r="P119" s="825" t="str">
        <f>IFERROR(INDEX(決算整理!$A$5:$A$1835,MATCH("減価償却費|L|3",決算整理!$T$5:$T$1835,0)),"")</f>
        <v/>
      </c>
      <c r="Q119" s="826" t="str">
        <f>IFERROR(INDEX(決算整理!$E$5:$E$1835,MATCH("減価償却費|L|3",決算整理!$T$5:$T$1835,0)),"")</f>
        <v/>
      </c>
      <c r="R119" s="830" t="str">
        <f>IFERROR(INDEX(決算整理!$R$5:$R$1835,MATCH("減価償却費|L|3",決算整理!$T$5:$T$1835,0)),"")</f>
        <v/>
      </c>
      <c r="S119" s="831" t="str">
        <f>IF(R119="","",S118+R119)</f>
        <v/>
      </c>
      <c r="T119" s="829" t="str">
        <f>IFERROR(INDEX(決算整理!$P$5:$P$1835,MATCH("減価償却費|L|3",決算整理!$T$5:$T$1835,0)),"")</f>
        <v/>
      </c>
    </row>
    <row r="120">
      <c r="A120" s="825" t="str">
        <f>IFERROR(INDEX(決算整理!$A$5:$A$1835,MATCH("県社保協会費|L|4",決算整理!$T$5:$T$1835,0)),"")</f>
        <v/>
      </c>
      <c r="B120" s="826" t="str">
        <f>IFERROR(INDEX(決算整理!$E$5:$E$1835,MATCH("県社保協会費|L|4",決算整理!$T$5:$T$1835,0)),"")</f>
        <v/>
      </c>
      <c r="C120" s="830" t="str">
        <f>IFERROR(INDEX(決算整理!$R$5:$R$1835,MATCH("県社保協会費|L|4",決算整理!$T$5:$T$1835,0)),"")</f>
        <v/>
      </c>
      <c r="D120" s="831" t="str">
        <f>IF(C120="","",D119+C120)</f>
        <v/>
      </c>
      <c r="E120" s="829" t="str">
        <f>IFERROR(INDEX(決算整理!$P$5:$P$1835,MATCH("県社保協会費|L|4",決算整理!$T$5:$T$1835,0)),"")</f>
        <v/>
      </c>
      <c r="F120" s="825" t="str">
        <f>IFERROR(INDEX(決算整理!$A$5:$A$1835,MATCH("事務費負担金払込金|L|4",決算整理!$T$5:$T$1835,0)),"")</f>
        <v/>
      </c>
      <c r="G120" s="826" t="str">
        <f>IFERROR(INDEX(決算整理!$E$5:$E$1835,MATCH("事務費負担金払込金|L|4",決算整理!$T$5:$T$1835,0)),"")</f>
        <v/>
      </c>
      <c r="H120" s="830" t="str">
        <f>IFERROR(INDEX(決算整理!$R$5:$R$1835,MATCH("事務費負担金払込金|L|4",決算整理!$T$5:$T$1835,0)),"")</f>
        <v/>
      </c>
      <c r="I120" s="831" t="str">
        <f>IF(H120="","",I119+H120)</f>
        <v/>
      </c>
      <c r="J120" s="829" t="str">
        <f>IFERROR(INDEX(決算整理!$P$5:$P$1835,MATCH("事務費負担金払込金|L|4",決算整理!$T$5:$T$1835,0)),"")</f>
        <v/>
      </c>
      <c r="K120" s="825" t="str">
        <f>IFERROR(INDEX(決算整理!$A$5:$A$1835,MATCH("雑費|L|4",決算整理!$T$5:$T$1835,0)),"")</f>
        <v/>
      </c>
      <c r="L120" s="826" t="str">
        <f>IFERROR(INDEX(決算整理!$E$5:$E$1835,MATCH("雑費|L|4",決算整理!$T$5:$T$1835,0)),"")</f>
        <v/>
      </c>
      <c r="M120" s="830" t="str">
        <f>IFERROR(INDEX(決算整理!$R$5:$R$1835,MATCH("雑費|L|4",決算整理!$T$5:$T$1835,0)),"")</f>
        <v/>
      </c>
      <c r="N120" s="831" t="str">
        <f>IF(M120="","",N119+M120)</f>
        <v/>
      </c>
      <c r="O120" s="829" t="str">
        <f>IFERROR(INDEX(決算整理!$P$5:$P$1835,MATCH("雑費|L|4",決算整理!$T$5:$T$1835,0)),"")</f>
        <v/>
      </c>
      <c r="P120" s="825" t="str">
        <f>IFERROR(INDEX(決算整理!$A$5:$A$1835,MATCH("減価償却費|L|4",決算整理!$T$5:$T$1835,0)),"")</f>
        <v/>
      </c>
      <c r="Q120" s="826" t="str">
        <f>IFERROR(INDEX(決算整理!$E$5:$E$1835,MATCH("減価償却費|L|4",決算整理!$T$5:$T$1835,0)),"")</f>
        <v/>
      </c>
      <c r="R120" s="830" t="str">
        <f>IFERROR(INDEX(決算整理!$R$5:$R$1835,MATCH("減価償却費|L|4",決算整理!$T$5:$T$1835,0)),"")</f>
        <v/>
      </c>
      <c r="S120" s="831" t="str">
        <f>IF(R120="","",S119+R120)</f>
        <v/>
      </c>
      <c r="T120" s="829" t="str">
        <f>IFERROR(INDEX(決算整理!$P$5:$P$1835,MATCH("減価償却費|L|4",決算整理!$T$5:$T$1835,0)),"")</f>
        <v/>
      </c>
    </row>
    <row r="121">
      <c r="A121" s="825" t="str">
        <f>IFERROR(INDEX(決算整理!$A$5:$A$1835,MATCH("県社保協会費|L|5",決算整理!$T$5:$T$1835,0)),"")</f>
        <v/>
      </c>
      <c r="B121" s="826" t="str">
        <f>IFERROR(INDEX(決算整理!$E$5:$E$1835,MATCH("県社保協会費|L|5",決算整理!$T$5:$T$1835,0)),"")</f>
        <v/>
      </c>
      <c r="C121" s="830" t="str">
        <f>IFERROR(INDEX(決算整理!$R$5:$R$1835,MATCH("県社保協会費|L|5",決算整理!$T$5:$T$1835,0)),"")</f>
        <v/>
      </c>
      <c r="D121" s="831" t="str">
        <f>IF(C121="","",D120+C121)</f>
        <v/>
      </c>
      <c r="E121" s="829" t="str">
        <f>IFERROR(INDEX(決算整理!$P$5:$P$1835,MATCH("県社保協会費|L|5",決算整理!$T$5:$T$1835,0)),"")</f>
        <v/>
      </c>
      <c r="F121" s="825" t="str">
        <f>IFERROR(INDEX(決算整理!$A$5:$A$1835,MATCH("事務費負担金払込金|L|5",決算整理!$T$5:$T$1835,0)),"")</f>
        <v/>
      </c>
      <c r="G121" s="826" t="str">
        <f>IFERROR(INDEX(決算整理!$E$5:$E$1835,MATCH("事務費負担金払込金|L|5",決算整理!$T$5:$T$1835,0)),"")</f>
        <v/>
      </c>
      <c r="H121" s="830" t="str">
        <f>IFERROR(INDEX(決算整理!$R$5:$R$1835,MATCH("事務費負担金払込金|L|5",決算整理!$T$5:$T$1835,0)),"")</f>
        <v/>
      </c>
      <c r="I121" s="831" t="str">
        <f>IF(H121="","",I120+H121)</f>
        <v/>
      </c>
      <c r="J121" s="829" t="str">
        <f>IFERROR(INDEX(決算整理!$P$5:$P$1835,MATCH("事務費負担金払込金|L|5",決算整理!$T$5:$T$1835,0)),"")</f>
        <v/>
      </c>
      <c r="K121" s="825" t="str">
        <f>IFERROR(INDEX(決算整理!$A$5:$A$1835,MATCH("雑費|L|5",決算整理!$T$5:$T$1835,0)),"")</f>
        <v/>
      </c>
      <c r="L121" s="826" t="str">
        <f>IFERROR(INDEX(決算整理!$E$5:$E$1835,MATCH("雑費|L|5",決算整理!$T$5:$T$1835,0)),"")</f>
        <v/>
      </c>
      <c r="M121" s="830" t="str">
        <f>IFERROR(INDEX(決算整理!$R$5:$R$1835,MATCH("雑費|L|5",決算整理!$T$5:$T$1835,0)),"")</f>
        <v/>
      </c>
      <c r="N121" s="831" t="str">
        <f>IF(M121="","",N120+M121)</f>
        <v/>
      </c>
      <c r="O121" s="829" t="str">
        <f>IFERROR(INDEX(決算整理!$P$5:$P$1835,MATCH("雑費|L|5",決算整理!$T$5:$T$1835,0)),"")</f>
        <v/>
      </c>
      <c r="P121" s="825" t="str">
        <f>IFERROR(INDEX(決算整理!$A$5:$A$1835,MATCH("減価償却費|L|5",決算整理!$T$5:$T$1835,0)),"")</f>
        <v/>
      </c>
      <c r="Q121" s="826" t="str">
        <f>IFERROR(INDEX(決算整理!$E$5:$E$1835,MATCH("減価償却費|L|5",決算整理!$T$5:$T$1835,0)),"")</f>
        <v/>
      </c>
      <c r="R121" s="830" t="str">
        <f>IFERROR(INDEX(決算整理!$R$5:$R$1835,MATCH("減価償却費|L|5",決算整理!$T$5:$T$1835,0)),"")</f>
        <v/>
      </c>
      <c r="S121" s="831" t="str">
        <f>IF(R121="","",S120+R121)</f>
        <v/>
      </c>
      <c r="T121" s="829" t="str">
        <f>IFERROR(INDEX(決算整理!$P$5:$P$1835,MATCH("減価償却費|L|5",決算整理!$T$5:$T$1835,0)),"")</f>
        <v/>
      </c>
    </row>
    <row r="122">
      <c r="A122" s="825" t="str">
        <f>IFERROR(INDEX(決算整理!$A$5:$A$1835,MATCH("県社保協会費|L|6",決算整理!$T$5:$T$1835,0)),"")</f>
        <v/>
      </c>
      <c r="B122" s="826" t="str">
        <f>IFERROR(INDEX(決算整理!$E$5:$E$1835,MATCH("県社保協会費|L|6",決算整理!$T$5:$T$1835,0)),"")</f>
        <v/>
      </c>
      <c r="C122" s="830" t="str">
        <f>IFERROR(INDEX(決算整理!$R$5:$R$1835,MATCH("県社保協会費|L|6",決算整理!$T$5:$T$1835,0)),"")</f>
        <v/>
      </c>
      <c r="D122" s="831" t="str">
        <f>IF(C122="","",D121+C122)</f>
        <v/>
      </c>
      <c r="E122" s="829" t="str">
        <f>IFERROR(INDEX(決算整理!$P$5:$P$1835,MATCH("県社保協会費|L|6",決算整理!$T$5:$T$1835,0)),"")</f>
        <v/>
      </c>
      <c r="F122" s="825" t="str">
        <f>IFERROR(INDEX(決算整理!$A$5:$A$1835,MATCH("事務費負担金払込金|L|6",決算整理!$T$5:$T$1835,0)),"")</f>
        <v/>
      </c>
      <c r="G122" s="826" t="str">
        <f>IFERROR(INDEX(決算整理!$E$5:$E$1835,MATCH("事務費負担金払込金|L|6",決算整理!$T$5:$T$1835,0)),"")</f>
        <v/>
      </c>
      <c r="H122" s="830" t="str">
        <f>IFERROR(INDEX(決算整理!$R$5:$R$1835,MATCH("事務費負担金払込金|L|6",決算整理!$T$5:$T$1835,0)),"")</f>
        <v/>
      </c>
      <c r="I122" s="831" t="str">
        <f>IF(H122="","",I121+H122)</f>
        <v/>
      </c>
      <c r="J122" s="829" t="str">
        <f>IFERROR(INDEX(決算整理!$P$5:$P$1835,MATCH("事務費負担金払込金|L|6",決算整理!$T$5:$T$1835,0)),"")</f>
        <v/>
      </c>
      <c r="K122" s="825" t="str">
        <f>IFERROR(INDEX(決算整理!$A$5:$A$1835,MATCH("雑費|L|6",決算整理!$T$5:$T$1835,0)),"")</f>
        <v/>
      </c>
      <c r="L122" s="826" t="str">
        <f>IFERROR(INDEX(決算整理!$E$5:$E$1835,MATCH("雑費|L|6",決算整理!$T$5:$T$1835,0)),"")</f>
        <v/>
      </c>
      <c r="M122" s="830" t="str">
        <f>IFERROR(INDEX(決算整理!$R$5:$R$1835,MATCH("雑費|L|6",決算整理!$T$5:$T$1835,0)),"")</f>
        <v/>
      </c>
      <c r="N122" s="831" t="str">
        <f>IF(M122="","",N121+M122)</f>
        <v/>
      </c>
      <c r="O122" s="829" t="str">
        <f>IFERROR(INDEX(決算整理!$P$5:$P$1835,MATCH("雑費|L|6",決算整理!$T$5:$T$1835,0)),"")</f>
        <v/>
      </c>
      <c r="P122" s="825" t="str">
        <f>IFERROR(INDEX(決算整理!$A$5:$A$1835,MATCH("減価償却費|L|6",決算整理!$T$5:$T$1835,0)),"")</f>
        <v/>
      </c>
      <c r="Q122" s="826" t="str">
        <f>IFERROR(INDEX(決算整理!$E$5:$E$1835,MATCH("減価償却費|L|6",決算整理!$T$5:$T$1835,0)),"")</f>
        <v/>
      </c>
      <c r="R122" s="830" t="str">
        <f>IFERROR(INDEX(決算整理!$R$5:$R$1835,MATCH("減価償却費|L|6",決算整理!$T$5:$T$1835,0)),"")</f>
        <v/>
      </c>
      <c r="S122" s="831" t="str">
        <f>IF(R122="","",S121+R122)</f>
        <v/>
      </c>
      <c r="T122" s="829" t="str">
        <f>IFERROR(INDEX(決算整理!$P$5:$P$1835,MATCH("減価償却費|L|6",決算整理!$T$5:$T$1835,0)),"")</f>
        <v/>
      </c>
    </row>
    <row r="123">
      <c r="A123" s="825" t="str">
        <f>IFERROR(INDEX(決算整理!$A$5:$A$1835,MATCH("県社保協会費|L|7",決算整理!$T$5:$T$1835,0)),"")</f>
        <v/>
      </c>
      <c r="B123" s="826" t="str">
        <f>IFERROR(INDEX(決算整理!$E$5:$E$1835,MATCH("県社保協会費|L|7",決算整理!$T$5:$T$1835,0)),"")</f>
        <v/>
      </c>
      <c r="C123" s="830" t="str">
        <f>IFERROR(INDEX(決算整理!$R$5:$R$1835,MATCH("県社保協会費|L|7",決算整理!$T$5:$T$1835,0)),"")</f>
        <v/>
      </c>
      <c r="D123" s="831" t="str">
        <f>IF(C123="","",D122+C123)</f>
        <v/>
      </c>
      <c r="E123" s="829" t="str">
        <f>IFERROR(INDEX(決算整理!$P$5:$P$1835,MATCH("県社保協会費|L|7",決算整理!$T$5:$T$1835,0)),"")</f>
        <v/>
      </c>
      <c r="F123" s="825" t="str">
        <f>IFERROR(INDEX(決算整理!$A$5:$A$1835,MATCH("事務費負担金払込金|L|7",決算整理!$T$5:$T$1835,0)),"")</f>
        <v/>
      </c>
      <c r="G123" s="826" t="str">
        <f>IFERROR(INDEX(決算整理!$E$5:$E$1835,MATCH("事務費負担金払込金|L|7",決算整理!$T$5:$T$1835,0)),"")</f>
        <v/>
      </c>
      <c r="H123" s="830" t="str">
        <f>IFERROR(INDEX(決算整理!$R$5:$R$1835,MATCH("事務費負担金払込金|L|7",決算整理!$T$5:$T$1835,0)),"")</f>
        <v/>
      </c>
      <c r="I123" s="831" t="str">
        <f>IF(H123="","",I122+H123)</f>
        <v/>
      </c>
      <c r="J123" s="829" t="str">
        <f>IFERROR(INDEX(決算整理!$P$5:$P$1835,MATCH("事務費負担金払込金|L|7",決算整理!$T$5:$T$1835,0)),"")</f>
        <v/>
      </c>
      <c r="K123" s="825" t="str">
        <f>IFERROR(INDEX(決算整理!$A$5:$A$1835,MATCH("雑費|L|7",決算整理!$T$5:$T$1835,0)),"")</f>
        <v/>
      </c>
      <c r="L123" s="826" t="str">
        <f>IFERROR(INDEX(決算整理!$E$5:$E$1835,MATCH("雑費|L|7",決算整理!$T$5:$T$1835,0)),"")</f>
        <v/>
      </c>
      <c r="M123" s="830" t="str">
        <f>IFERROR(INDEX(決算整理!$R$5:$R$1835,MATCH("雑費|L|7",決算整理!$T$5:$T$1835,0)),"")</f>
        <v/>
      </c>
      <c r="N123" s="831" t="str">
        <f>IF(M123="","",N122+M123)</f>
        <v/>
      </c>
      <c r="O123" s="829" t="str">
        <f>IFERROR(INDEX(決算整理!$P$5:$P$1835,MATCH("雑費|L|7",決算整理!$T$5:$T$1835,0)),"")</f>
        <v/>
      </c>
      <c r="P123" s="825" t="str">
        <f>IFERROR(INDEX(決算整理!$A$5:$A$1835,MATCH("減価償却費|L|7",決算整理!$T$5:$T$1835,0)),"")</f>
        <v/>
      </c>
      <c r="Q123" s="826" t="str">
        <f>IFERROR(INDEX(決算整理!$E$5:$E$1835,MATCH("減価償却費|L|7",決算整理!$T$5:$T$1835,0)),"")</f>
        <v/>
      </c>
      <c r="R123" s="830" t="str">
        <f>IFERROR(INDEX(決算整理!$R$5:$R$1835,MATCH("減価償却費|L|7",決算整理!$T$5:$T$1835,0)),"")</f>
        <v/>
      </c>
      <c r="S123" s="831" t="str">
        <f>IF(R123="","",S122+R123)</f>
        <v/>
      </c>
      <c r="T123" s="829" t="str">
        <f>IFERROR(INDEX(決算整理!$P$5:$P$1835,MATCH("減価償却費|L|7",決算整理!$T$5:$T$1835,0)),"")</f>
        <v/>
      </c>
    </row>
    <row r="124">
      <c r="A124" s="825" t="str">
        <f>IFERROR(INDEX(決算整理!$A$5:$A$1835,MATCH("県社保協会費|L|8",決算整理!$T$5:$T$1835,0)),"")</f>
        <v/>
      </c>
      <c r="B124" s="826" t="str">
        <f>IFERROR(INDEX(決算整理!$E$5:$E$1835,MATCH("県社保協会費|L|8",決算整理!$T$5:$T$1835,0)),"")</f>
        <v/>
      </c>
      <c r="C124" s="830" t="str">
        <f>IFERROR(INDEX(決算整理!$R$5:$R$1835,MATCH("県社保協会費|L|8",決算整理!$T$5:$T$1835,0)),"")</f>
        <v/>
      </c>
      <c r="D124" s="831" t="str">
        <f>IF(C124="","",D123+C124)</f>
        <v/>
      </c>
      <c r="E124" s="829" t="str">
        <f>IFERROR(INDEX(決算整理!$P$5:$P$1835,MATCH("県社保協会費|L|8",決算整理!$T$5:$T$1835,0)),"")</f>
        <v/>
      </c>
      <c r="F124" s="825" t="str">
        <f>IFERROR(INDEX(決算整理!$A$5:$A$1835,MATCH("事務費負担金払込金|L|8",決算整理!$T$5:$T$1835,0)),"")</f>
        <v/>
      </c>
      <c r="G124" s="826" t="str">
        <f>IFERROR(INDEX(決算整理!$E$5:$E$1835,MATCH("事務費負担金払込金|L|8",決算整理!$T$5:$T$1835,0)),"")</f>
        <v/>
      </c>
      <c r="H124" s="830" t="str">
        <f>IFERROR(INDEX(決算整理!$R$5:$R$1835,MATCH("事務費負担金払込金|L|8",決算整理!$T$5:$T$1835,0)),"")</f>
        <v/>
      </c>
      <c r="I124" s="831" t="str">
        <f>IF(H124="","",I123+H124)</f>
        <v/>
      </c>
      <c r="J124" s="829" t="str">
        <f>IFERROR(INDEX(決算整理!$P$5:$P$1835,MATCH("事務費負担金払込金|L|8",決算整理!$T$5:$T$1835,0)),"")</f>
        <v/>
      </c>
      <c r="K124" s="825" t="str">
        <f>IFERROR(INDEX(決算整理!$A$5:$A$1835,MATCH("雑費|L|8",決算整理!$T$5:$T$1835,0)),"")</f>
        <v/>
      </c>
      <c r="L124" s="826" t="str">
        <f>IFERROR(INDEX(決算整理!$E$5:$E$1835,MATCH("雑費|L|8",決算整理!$T$5:$T$1835,0)),"")</f>
        <v/>
      </c>
      <c r="M124" s="830" t="str">
        <f>IFERROR(INDEX(決算整理!$R$5:$R$1835,MATCH("雑費|L|8",決算整理!$T$5:$T$1835,0)),"")</f>
        <v/>
      </c>
      <c r="N124" s="831" t="str">
        <f>IF(M124="","",N123+M124)</f>
        <v/>
      </c>
      <c r="O124" s="829" t="str">
        <f>IFERROR(INDEX(決算整理!$P$5:$P$1835,MATCH("雑費|L|8",決算整理!$T$5:$T$1835,0)),"")</f>
        <v/>
      </c>
      <c r="P124" s="825" t="str">
        <f>IFERROR(INDEX(決算整理!$A$5:$A$1835,MATCH("減価償却費|L|8",決算整理!$T$5:$T$1835,0)),"")</f>
        <v/>
      </c>
      <c r="Q124" s="826" t="str">
        <f>IFERROR(INDEX(決算整理!$E$5:$E$1835,MATCH("減価償却費|L|8",決算整理!$T$5:$T$1835,0)),"")</f>
        <v/>
      </c>
      <c r="R124" s="830" t="str">
        <f>IFERROR(INDEX(決算整理!$R$5:$R$1835,MATCH("減価償却費|L|8",決算整理!$T$5:$T$1835,0)),"")</f>
        <v/>
      </c>
      <c r="S124" s="831" t="str">
        <f>IF(R124="","",S123+R124)</f>
        <v/>
      </c>
      <c r="T124" s="829" t="str">
        <f>IFERROR(INDEX(決算整理!$P$5:$P$1835,MATCH("減価償却費|L|8",決算整理!$T$5:$T$1835,0)),"")</f>
        <v/>
      </c>
    </row>
    <row r="125">
      <c r="A125" s="825" t="str">
        <f>IFERROR(INDEX(決算整理!$A$5:$A$1835,MATCH("県社保協会費|L|9",決算整理!$T$5:$T$1835,0)),"")</f>
        <v/>
      </c>
      <c r="B125" s="826" t="str">
        <f>IFERROR(INDEX(決算整理!$E$5:$E$1835,MATCH("県社保協会費|L|9",決算整理!$T$5:$T$1835,0)),"")</f>
        <v/>
      </c>
      <c r="C125" s="830" t="str">
        <f>IFERROR(INDEX(決算整理!$R$5:$R$1835,MATCH("県社保協会費|L|9",決算整理!$T$5:$T$1835,0)),"")</f>
        <v/>
      </c>
      <c r="D125" s="831" t="str">
        <f>IF(C125="","",D124+C125)</f>
        <v/>
      </c>
      <c r="E125" s="829" t="str">
        <f>IFERROR(INDEX(決算整理!$P$5:$P$1835,MATCH("県社保協会費|L|9",決算整理!$T$5:$T$1835,0)),"")</f>
        <v/>
      </c>
      <c r="F125" s="825" t="str">
        <f>IFERROR(INDEX(決算整理!$A$5:$A$1835,MATCH("事務費負担金払込金|L|9",決算整理!$T$5:$T$1835,0)),"")</f>
        <v/>
      </c>
      <c r="G125" s="826" t="str">
        <f>IFERROR(INDEX(決算整理!$E$5:$E$1835,MATCH("事務費負担金払込金|L|9",決算整理!$T$5:$T$1835,0)),"")</f>
        <v/>
      </c>
      <c r="H125" s="830" t="str">
        <f>IFERROR(INDEX(決算整理!$R$5:$R$1835,MATCH("事務費負担金払込金|L|9",決算整理!$T$5:$T$1835,0)),"")</f>
        <v/>
      </c>
      <c r="I125" s="831" t="str">
        <f>IF(H125="","",I124+H125)</f>
        <v/>
      </c>
      <c r="J125" s="829" t="str">
        <f>IFERROR(INDEX(決算整理!$P$5:$P$1835,MATCH("事務費負担金払込金|L|9",決算整理!$T$5:$T$1835,0)),"")</f>
        <v/>
      </c>
      <c r="K125" s="825" t="str">
        <f>IFERROR(INDEX(決算整理!$A$5:$A$1835,MATCH("雑費|L|9",決算整理!$T$5:$T$1835,0)),"")</f>
        <v/>
      </c>
      <c r="L125" s="826" t="str">
        <f>IFERROR(INDEX(決算整理!$E$5:$E$1835,MATCH("雑費|L|9",決算整理!$T$5:$T$1835,0)),"")</f>
        <v/>
      </c>
      <c r="M125" s="830" t="str">
        <f>IFERROR(INDEX(決算整理!$R$5:$R$1835,MATCH("雑費|L|9",決算整理!$T$5:$T$1835,0)),"")</f>
        <v/>
      </c>
      <c r="N125" s="831" t="str">
        <f>IF(M125="","",N124+M125)</f>
        <v/>
      </c>
      <c r="O125" s="829" t="str">
        <f>IFERROR(INDEX(決算整理!$P$5:$P$1835,MATCH("雑費|L|9",決算整理!$T$5:$T$1835,0)),"")</f>
        <v/>
      </c>
      <c r="P125" s="825" t="str">
        <f>IFERROR(INDEX(決算整理!$A$5:$A$1835,MATCH("減価償却費|L|9",決算整理!$T$5:$T$1835,0)),"")</f>
        <v/>
      </c>
      <c r="Q125" s="826" t="str">
        <f>IFERROR(INDEX(決算整理!$E$5:$E$1835,MATCH("減価償却費|L|9",決算整理!$T$5:$T$1835,0)),"")</f>
        <v/>
      </c>
      <c r="R125" s="830" t="str">
        <f>IFERROR(INDEX(決算整理!$R$5:$R$1835,MATCH("減価償却費|L|9",決算整理!$T$5:$T$1835,0)),"")</f>
        <v/>
      </c>
      <c r="S125" s="831" t="str">
        <f>IF(R125="","",S124+R125)</f>
        <v/>
      </c>
      <c r="T125" s="829" t="str">
        <f>IFERROR(INDEX(決算整理!$P$5:$P$1835,MATCH("減価償却費|L|9",決算整理!$T$5:$T$1835,0)),"")</f>
        <v/>
      </c>
    </row>
    <row r="126">
      <c r="A126" s="825" t="str">
        <f>IFERROR(INDEX(決算整理!$A$5:$A$1835,MATCH("県社保協会費|L|10",決算整理!$T$5:$T$1835,0)),"")</f>
        <v/>
      </c>
      <c r="B126" s="826" t="str">
        <f>IFERROR(INDEX(決算整理!$E$5:$E$1835,MATCH("県社保協会費|L|10",決算整理!$T$5:$T$1835,0)),"")</f>
        <v/>
      </c>
      <c r="C126" s="830" t="str">
        <f>IFERROR(INDEX(決算整理!$R$5:$R$1835,MATCH("県社保協会費|L|10",決算整理!$T$5:$T$1835,0)),"")</f>
        <v/>
      </c>
      <c r="D126" s="831" t="str">
        <f>IF(C126="","",D125+C126)</f>
        <v/>
      </c>
      <c r="E126" s="829" t="str">
        <f>IFERROR(INDEX(決算整理!$P$5:$P$1835,MATCH("県社保協会費|L|10",決算整理!$T$5:$T$1835,0)),"")</f>
        <v/>
      </c>
      <c r="F126" s="825" t="str">
        <f>IFERROR(INDEX(決算整理!$A$5:$A$1835,MATCH("事務費負担金払込金|L|10",決算整理!$T$5:$T$1835,0)),"")</f>
        <v/>
      </c>
      <c r="G126" s="826" t="str">
        <f>IFERROR(INDEX(決算整理!$E$5:$E$1835,MATCH("事務費負担金払込金|L|10",決算整理!$T$5:$T$1835,0)),"")</f>
        <v/>
      </c>
      <c r="H126" s="830" t="str">
        <f>IFERROR(INDEX(決算整理!$R$5:$R$1835,MATCH("事務費負担金払込金|L|10",決算整理!$T$5:$T$1835,0)),"")</f>
        <v/>
      </c>
      <c r="I126" s="831" t="str">
        <f>IF(H126="","",I125+H126)</f>
        <v/>
      </c>
      <c r="J126" s="829" t="str">
        <f>IFERROR(INDEX(決算整理!$P$5:$P$1835,MATCH("事務費負担金払込金|L|10",決算整理!$T$5:$T$1835,0)),"")</f>
        <v/>
      </c>
      <c r="K126" s="825" t="str">
        <f>IFERROR(INDEX(決算整理!$A$5:$A$1835,MATCH("雑費|L|10",決算整理!$T$5:$T$1835,0)),"")</f>
        <v/>
      </c>
      <c r="L126" s="826" t="str">
        <f>IFERROR(INDEX(決算整理!$E$5:$E$1835,MATCH("雑費|L|10",決算整理!$T$5:$T$1835,0)),"")</f>
        <v/>
      </c>
      <c r="M126" s="830" t="str">
        <f>IFERROR(INDEX(決算整理!$R$5:$R$1835,MATCH("雑費|L|10",決算整理!$T$5:$T$1835,0)),"")</f>
        <v/>
      </c>
      <c r="N126" s="831" t="str">
        <f>IF(M126="","",N125+M126)</f>
        <v/>
      </c>
      <c r="O126" s="829" t="str">
        <f>IFERROR(INDEX(決算整理!$P$5:$P$1835,MATCH("雑費|L|10",決算整理!$T$5:$T$1835,0)),"")</f>
        <v/>
      </c>
      <c r="P126" s="825" t="str">
        <f>IFERROR(INDEX(決算整理!$A$5:$A$1835,MATCH("減価償却費|L|10",決算整理!$T$5:$T$1835,0)),"")</f>
        <v/>
      </c>
      <c r="Q126" s="826" t="str">
        <f>IFERROR(INDEX(決算整理!$E$5:$E$1835,MATCH("減価償却費|L|10",決算整理!$T$5:$T$1835,0)),"")</f>
        <v/>
      </c>
      <c r="R126" s="830" t="str">
        <f>IFERROR(INDEX(決算整理!$R$5:$R$1835,MATCH("減価償却費|L|10",決算整理!$T$5:$T$1835,0)),"")</f>
        <v/>
      </c>
      <c r="S126" s="831" t="str">
        <f>IF(R126="","",S125+R126)</f>
        <v/>
      </c>
      <c r="T126" s="829" t="str">
        <f>IFERROR(INDEX(決算整理!$P$5:$P$1835,MATCH("減価償却費|L|10",決算整理!$T$5:$T$1835,0)),"")</f>
        <v/>
      </c>
    </row>
    <row r="127">
      <c r="A127" s="825" t="str">
        <f>IFERROR(INDEX(決算整理!$A$5:$A$1835,MATCH("県社保協会費|L|11",決算整理!$T$5:$T$1835,0)),"")</f>
        <v/>
      </c>
      <c r="B127" s="826" t="str">
        <f>IFERROR(INDEX(決算整理!$E$5:$E$1835,MATCH("県社保協会費|L|11",決算整理!$T$5:$T$1835,0)),"")</f>
        <v/>
      </c>
      <c r="C127" s="830" t="str">
        <f>IFERROR(INDEX(決算整理!$R$5:$R$1835,MATCH("県社保協会費|L|11",決算整理!$T$5:$T$1835,0)),"")</f>
        <v/>
      </c>
      <c r="D127" s="831" t="str">
        <f>IF(C127="","",D126+C127)</f>
        <v/>
      </c>
      <c r="E127" s="829" t="str">
        <f>IFERROR(INDEX(決算整理!$P$5:$P$1835,MATCH("県社保協会費|L|11",決算整理!$T$5:$T$1835,0)),"")</f>
        <v/>
      </c>
      <c r="F127" s="825" t="str">
        <f>IFERROR(INDEX(決算整理!$A$5:$A$1835,MATCH("事務費負担金払込金|L|11",決算整理!$T$5:$T$1835,0)),"")</f>
        <v/>
      </c>
      <c r="G127" s="826" t="str">
        <f>IFERROR(INDEX(決算整理!$E$5:$E$1835,MATCH("事務費負担金払込金|L|11",決算整理!$T$5:$T$1835,0)),"")</f>
        <v/>
      </c>
      <c r="H127" s="830" t="str">
        <f>IFERROR(INDEX(決算整理!$R$5:$R$1835,MATCH("事務費負担金払込金|L|11",決算整理!$T$5:$T$1835,0)),"")</f>
        <v/>
      </c>
      <c r="I127" s="831" t="str">
        <f>IF(H127="","",I126+H127)</f>
        <v/>
      </c>
      <c r="J127" s="829" t="str">
        <f>IFERROR(INDEX(決算整理!$P$5:$P$1835,MATCH("事務費負担金払込金|L|11",決算整理!$T$5:$T$1835,0)),"")</f>
        <v/>
      </c>
      <c r="K127" s="825" t="str">
        <f>IFERROR(INDEX(決算整理!$A$5:$A$1835,MATCH("雑費|L|11",決算整理!$T$5:$T$1835,0)),"")</f>
        <v/>
      </c>
      <c r="L127" s="826" t="str">
        <f>IFERROR(INDEX(決算整理!$E$5:$E$1835,MATCH("雑費|L|11",決算整理!$T$5:$T$1835,0)),"")</f>
        <v/>
      </c>
      <c r="M127" s="830" t="str">
        <f>IFERROR(INDEX(決算整理!$R$5:$R$1835,MATCH("雑費|L|11",決算整理!$T$5:$T$1835,0)),"")</f>
        <v/>
      </c>
      <c r="N127" s="831" t="str">
        <f>IF(M127="","",N126+M127)</f>
        <v/>
      </c>
      <c r="O127" s="829" t="str">
        <f>IFERROR(INDEX(決算整理!$P$5:$P$1835,MATCH("雑費|L|11",決算整理!$T$5:$T$1835,0)),"")</f>
        <v/>
      </c>
      <c r="P127" s="825" t="str">
        <f>IFERROR(INDEX(決算整理!$A$5:$A$1835,MATCH("減価償却費|L|11",決算整理!$T$5:$T$1835,0)),"")</f>
        <v/>
      </c>
      <c r="Q127" s="826" t="str">
        <f>IFERROR(INDEX(決算整理!$E$5:$E$1835,MATCH("減価償却費|L|11",決算整理!$T$5:$T$1835,0)),"")</f>
        <v/>
      </c>
      <c r="R127" s="830" t="str">
        <f>IFERROR(INDEX(決算整理!$R$5:$R$1835,MATCH("減価償却費|L|11",決算整理!$T$5:$T$1835,0)),"")</f>
        <v/>
      </c>
      <c r="S127" s="831" t="str">
        <f>IF(R127="","",S126+R127)</f>
        <v/>
      </c>
      <c r="T127" s="829" t="str">
        <f>IFERROR(INDEX(決算整理!$P$5:$P$1835,MATCH("減価償却費|L|11",決算整理!$T$5:$T$1835,0)),"")</f>
        <v/>
      </c>
    </row>
    <row r="128" ht="25.5" customHeight="1" s="186">
      <c r="A128" s="825" t="str">
        <f>IFERROR(INDEX(決算整理!$A$5:$A$1835,MATCH("県社保協会費|L|12",決算整理!$T$5:$T$1835,0)),"")</f>
        <v/>
      </c>
      <c r="B128" s="826" t="str">
        <f>IFERROR(INDEX(決算整理!$E$5:$E$1835,MATCH("県社保協会費|L|12",決算整理!$T$5:$T$1835,0)),"")</f>
        <v/>
      </c>
      <c r="C128" s="830" t="str">
        <f>IFERROR(INDEX(決算整理!$R$5:$R$1835,MATCH("県社保協会費|L|12",決算整理!$T$5:$T$1835,0)),"")</f>
        <v/>
      </c>
      <c r="D128" s="831" t="str">
        <f>IF(C128="","",D127+C128)</f>
        <v/>
      </c>
      <c r="E128" s="829" t="str">
        <f>IFERROR(INDEX(決算整理!$P$5:$P$1835,MATCH("県社保協会費|L|12",決算整理!$T$5:$T$1835,0)),"")</f>
        <v/>
      </c>
      <c r="F128" s="825" t="str">
        <f>IFERROR(INDEX(決算整理!$A$5:$A$1835,MATCH("事務費負担金払込金|L|12",決算整理!$T$5:$T$1835,0)),"")</f>
        <v/>
      </c>
      <c r="G128" s="826" t="str">
        <f>IFERROR(INDEX(決算整理!$E$5:$E$1835,MATCH("事務費負担金払込金|L|12",決算整理!$T$5:$T$1835,0)),"")</f>
        <v/>
      </c>
      <c r="H128" s="830" t="str">
        <f>IFERROR(INDEX(決算整理!$R$5:$R$1835,MATCH("事務費負担金払込金|L|12",決算整理!$T$5:$T$1835,0)),"")</f>
        <v/>
      </c>
      <c r="I128" s="831" t="str">
        <f>IF(H128="","",I127+H128)</f>
        <v/>
      </c>
      <c r="J128" s="829" t="str">
        <f>IFERROR(INDEX(決算整理!$P$5:$P$1835,MATCH("事務費負担金払込金|L|12",決算整理!$T$5:$T$1835,0)),"")</f>
        <v/>
      </c>
      <c r="K128" s="825" t="str">
        <f>IFERROR(INDEX(決算整理!$A$5:$A$1835,MATCH("雑費|L|12",決算整理!$T$5:$T$1835,0)),"")</f>
        <v/>
      </c>
      <c r="L128" s="826" t="str">
        <f>IFERROR(INDEX(決算整理!$E$5:$E$1835,MATCH("雑費|L|12",決算整理!$T$5:$T$1835,0)),"")</f>
        <v/>
      </c>
      <c r="M128" s="830" t="str">
        <f>IFERROR(INDEX(決算整理!$R$5:$R$1835,MATCH("雑費|L|12",決算整理!$T$5:$T$1835,0)),"")</f>
        <v/>
      </c>
      <c r="N128" s="831" t="str">
        <f>IF(M128="","",N127+M128)</f>
        <v/>
      </c>
      <c r="O128" s="829" t="str">
        <f>IFERROR(INDEX(決算整理!$P$5:$P$1835,MATCH("雑費|L|12",決算整理!$T$5:$T$1835,0)),"")</f>
        <v/>
      </c>
      <c r="P128" s="825" t="str">
        <f>IFERROR(INDEX(決算整理!$A$5:$A$1835,MATCH("減価償却費|L|12",決算整理!$T$5:$T$1835,0)),"")</f>
        <v/>
      </c>
      <c r="Q128" s="826" t="str">
        <f>IFERROR(INDEX(決算整理!$E$5:$E$1835,MATCH("減価償却費|L|12",決算整理!$T$5:$T$1835,0)),"")</f>
        <v/>
      </c>
      <c r="R128" s="830" t="str">
        <f>IFERROR(INDEX(決算整理!$R$5:$R$1835,MATCH("減価償却費|L|12",決算整理!$T$5:$T$1835,0)),"")</f>
        <v/>
      </c>
      <c r="S128" s="831" t="str">
        <f>IF(R128="","",S127+R128)</f>
        <v/>
      </c>
      <c r="T128" s="829" t="str">
        <f>IFERROR(INDEX(決算整理!$P$5:$P$1835,MATCH("減価償却費|L|12",決算整理!$T$5:$T$1835,0)),"")</f>
        <v/>
      </c>
    </row>
    <row r="129" ht="25.5" customHeight="1" s="186"/>
    <row r="130" ht="25.5" customHeight="1" s="186"/>
    <row r="131" ht="25.5" customHeight="1" s="186"/>
    <row r="132" ht="25.5" customHeight="1" s="186">
      <c r="B132" s="502" t="inlineStr">
        <is>
          <t>○器具及び備品</t>
        </is>
      </c>
      <c r="D132" s="93" t="inlineStr">
        <is>
          <t>業務（長）未払</t>
        </is>
      </c>
      <c r="E132" s="824" t="str">
        <f>IF(COUNTIF(決算整理!$T$5:$T$1835,"器具及び備品|L|*")&gt;12,"行不足","")</f>
        <v/>
      </c>
      <c r="G132" s="502" t="inlineStr">
        <is>
          <t>○前期損益修正損</t>
        </is>
      </c>
      <c r="I132" s="93" t="inlineStr">
        <is>
          <t>業務（長）未払</t>
        </is>
      </c>
      <c r="J132" s="824" t="str">
        <f>IF(COUNTIF(決算整理!$T$5:$T$1835,"前期損益修正損|L|*")&gt;12,"行不足","")</f>
        <v/>
      </c>
      <c r="L132" s="502" t="inlineStr">
        <is>
          <t>○立替金</t>
        </is>
      </c>
      <c r="N132" s="93" t="inlineStr">
        <is>
          <t>業務（長）未払</t>
        </is>
      </c>
      <c r="O132" s="824" t="str">
        <f>IF(COUNTIF(決算整理!$T$5:$T$1835,"立替金|L|*")&gt;12,"行不足","")</f>
        <v/>
      </c>
    </row>
    <row r="133" ht="25.5" customHeight="1" s="186">
      <c r="A133" s="100" t="inlineStr">
        <is>
          <t>支出日</t>
        </is>
      </c>
      <c r="B133" s="100" t="inlineStr">
        <is>
          <t>摘要</t>
        </is>
      </c>
      <c r="C133" s="100" t="inlineStr">
        <is>
          <t>支出</t>
        </is>
      </c>
      <c r="D133" s="100" t="inlineStr">
        <is>
          <t>累計</t>
        </is>
      </c>
      <c r="E133" s="100" t="inlineStr">
        <is>
          <t>状態</t>
        </is>
      </c>
      <c r="F133" s="100" t="inlineStr">
        <is>
          <t>支出日</t>
        </is>
      </c>
      <c r="G133" s="100" t="inlineStr">
        <is>
          <t>摘要</t>
        </is>
      </c>
      <c r="H133" s="100" t="inlineStr">
        <is>
          <t>支出</t>
        </is>
      </c>
      <c r="I133" s="100" t="inlineStr">
        <is>
          <t>累計</t>
        </is>
      </c>
      <c r="J133" s="100" t="inlineStr">
        <is>
          <t>状態</t>
        </is>
      </c>
      <c r="K133" s="100" t="inlineStr">
        <is>
          <t>支出日</t>
        </is>
      </c>
      <c r="L133" s="100" t="inlineStr">
        <is>
          <t>摘要</t>
        </is>
      </c>
      <c r="M133" s="100" t="inlineStr">
        <is>
          <t>支出</t>
        </is>
      </c>
      <c r="N133" s="100" t="inlineStr">
        <is>
          <t>累計</t>
        </is>
      </c>
      <c r="O133" s="100" t="inlineStr">
        <is>
          <t>状態</t>
        </is>
      </c>
    </row>
    <row r="134" ht="25.5" customHeight="1" s="186">
      <c r="A134" s="825" t="n"/>
      <c r="B134" s="826" t="inlineStr">
        <is>
          <t>（予算なし）</t>
        </is>
      </c>
      <c r="C134" s="830" t="n"/>
      <c r="D134" s="831" t="n">
        <v>0</v>
      </c>
      <c r="F134" s="825" t="n"/>
      <c r="G134" s="826" t="inlineStr">
        <is>
          <t>（予算なし）</t>
        </is>
      </c>
      <c r="H134" s="830" t="n"/>
      <c r="I134" s="831" t="n">
        <v>0</v>
      </c>
      <c r="K134" s="825" t="n"/>
      <c r="L134" s="826" t="inlineStr">
        <is>
          <t>（予算なし）</t>
        </is>
      </c>
      <c r="M134" s="830" t="n"/>
      <c r="N134" s="831" t="n">
        <v>0</v>
      </c>
    </row>
    <row r="135" ht="25.5" customHeight="1" s="186">
      <c r="A135" s="825" t="str">
        <f>IFERROR(INDEX(決算整理!$A$5:$A$1835,MATCH("器具及び備品|L|1",決算整理!$T$5:$T$1835,0)),"")</f>
        <v/>
      </c>
      <c r="B135" s="826" t="str">
        <f>IFERROR(INDEX(決算整理!$E$5:$E$1835,MATCH("器具及び備品|L|1",決算整理!$T$5:$T$1835,0)),"")</f>
        <v/>
      </c>
      <c r="C135" s="830" t="str">
        <f>IFERROR(INDEX(決算整理!$R$5:$R$1835,MATCH("器具及び備品|L|1",決算整理!$T$5:$T$1835,0)),"")</f>
        <v/>
      </c>
      <c r="D135" s="831" t="str">
        <f>IF(C135="","",D134+C135)</f>
        <v/>
      </c>
      <c r="E135" s="829" t="str">
        <f>IFERROR(INDEX(決算整理!$P$5:$P$1835,MATCH("器具及び備品|L|1",決算整理!$T$5:$T$1835,0)),"")</f>
        <v/>
      </c>
      <c r="F135" s="825" t="str">
        <f>IFERROR(INDEX(決算整理!$A$5:$A$1835,MATCH("前期損益修正損|L|1",決算整理!$T$5:$T$1835,0)),"")</f>
        <v/>
      </c>
      <c r="G135" s="826" t="str">
        <f>IFERROR(INDEX(決算整理!$E$5:$E$1835,MATCH("前期損益修正損|L|1",決算整理!$T$5:$T$1835,0)),"")</f>
        <v/>
      </c>
      <c r="H135" s="830" t="str">
        <f>IFERROR(INDEX(決算整理!$R$5:$R$1835,MATCH("前期損益修正損|L|1",決算整理!$T$5:$T$1835,0)),"")</f>
        <v/>
      </c>
      <c r="I135" s="831" t="str">
        <f>IF(H135="","",I134+H135)</f>
        <v/>
      </c>
      <c r="J135" s="829" t="str">
        <f>IFERROR(INDEX(決算整理!$P$5:$P$1835,MATCH("前期損益修正損|L|1",決算整理!$T$5:$T$1835,0)),"")</f>
        <v/>
      </c>
      <c r="K135" s="825">
        <f>IFERROR(INDEX(決算整理!$A$5:$A$1835,MATCH("立替金|L|1",決算整理!$T$5:$T$1835,0)),"")</f>
        <v>43942</v>
      </c>
      <c r="L135" s="826" t="str">
        <f>IFERROR(INDEX(決算整理!$E$5:$E$1835,MATCH("立替金|L|1",決算整理!$T$5:$T$1835,0)),"")</f>
        <v>ゆうちょ銀行払込料金</v>
      </c>
      <c r="M135" s="830">
        <f>IFERROR(INDEX(決算整理!$R$5:$R$1835,MATCH("立替金|L|1",決算整理!$T$5:$T$1835,0)),"")</f>
        <v>6400</v>
      </c>
      <c r="N135" s="831">
        <f>IF(M135="","",N134+M135)</f>
        <v>6400</v>
      </c>
      <c r="O135" s="829" t="str">
        <f>IFERROR(INDEX(決算整理!$P$5:$P$1835,MATCH("立替金|L|1",決算整理!$T$5:$T$1835,0)),"")</f>
        <v>昨年実績</v>
      </c>
    </row>
    <row r="136">
      <c r="A136" s="825" t="str">
        <f>IFERROR(INDEX(決算整理!$A$5:$A$1835,MATCH("器具及び備品|L|2",決算整理!$T$5:$T$1835,0)),"")</f>
        <v/>
      </c>
      <c r="B136" s="826" t="str">
        <f>IFERROR(INDEX(決算整理!$E$5:$E$1835,MATCH("器具及び備品|L|2",決算整理!$T$5:$T$1835,0)),"")</f>
        <v/>
      </c>
      <c r="C136" s="830" t="str">
        <f>IFERROR(INDEX(決算整理!$R$5:$R$1835,MATCH("器具及び備品|L|2",決算整理!$T$5:$T$1835,0)),"")</f>
        <v/>
      </c>
      <c r="D136" s="831" t="str">
        <f>IF(C136="","",D135+C136)</f>
        <v/>
      </c>
      <c r="E136" s="829" t="str">
        <f>IFERROR(INDEX(決算整理!$P$5:$P$1835,MATCH("器具及び備品|L|2",決算整理!$T$5:$T$1835,0)),"")</f>
        <v/>
      </c>
      <c r="F136" s="825" t="str">
        <f>IFERROR(INDEX(決算整理!$A$5:$A$1835,MATCH("前期損益修正損|L|2",決算整理!$T$5:$T$1835,0)),"")</f>
        <v/>
      </c>
      <c r="G136" s="826" t="str">
        <f>IFERROR(INDEX(決算整理!$E$5:$E$1835,MATCH("前期損益修正損|L|2",決算整理!$T$5:$T$1835,0)),"")</f>
        <v/>
      </c>
      <c r="H136" s="830" t="str">
        <f>IFERROR(INDEX(決算整理!$R$5:$R$1835,MATCH("前期損益修正損|L|2",決算整理!$T$5:$T$1835,0)),"")</f>
        <v/>
      </c>
      <c r="I136" s="831" t="str">
        <f>IF(H136="","",I135+H136)</f>
        <v/>
      </c>
      <c r="J136" s="829" t="str">
        <f>IFERROR(INDEX(決算整理!$P$5:$P$1835,MATCH("前期損益修正損|L|2",決算整理!$T$5:$T$1835,0)),"")</f>
        <v/>
      </c>
      <c r="K136" s="825" t="str">
        <f>IFERROR(INDEX(決算整理!$A$5:$A$1835,MATCH("立替金|L|2",決算整理!$T$5:$T$1835,0)),"")</f>
        <v/>
      </c>
      <c r="L136" s="826" t="str">
        <f>IFERROR(INDEX(決算整理!$E$5:$E$1835,MATCH("立替金|L|2",決算整理!$T$5:$T$1835,0)),"")</f>
        <v/>
      </c>
      <c r="M136" s="830" t="str">
        <f>IFERROR(INDEX(決算整理!$R$5:$R$1835,MATCH("立替金|L|2",決算整理!$T$5:$T$1835,0)),"")</f>
        <v/>
      </c>
      <c r="N136" s="831" t="str">
        <f>IF(M136="","",N135+M136)</f>
        <v/>
      </c>
      <c r="O136" s="829" t="str">
        <f>IFERROR(INDEX(決算整理!$P$5:$P$1835,MATCH("立替金|L|2",決算整理!$T$5:$T$1835,0)),"")</f>
        <v/>
      </c>
    </row>
    <row r="137">
      <c r="A137" s="825" t="str">
        <f>IFERROR(INDEX(決算整理!$A$5:$A$1835,MATCH("器具及び備品|L|3",決算整理!$T$5:$T$1835,0)),"")</f>
        <v/>
      </c>
      <c r="B137" s="826" t="str">
        <f>IFERROR(INDEX(決算整理!$E$5:$E$1835,MATCH("器具及び備品|L|3",決算整理!$T$5:$T$1835,0)),"")</f>
        <v/>
      </c>
      <c r="C137" s="830" t="str">
        <f>IFERROR(INDEX(決算整理!$R$5:$R$1835,MATCH("器具及び備品|L|3",決算整理!$T$5:$T$1835,0)),"")</f>
        <v/>
      </c>
      <c r="D137" s="831" t="str">
        <f>IF(C137="","",D136+C137)</f>
        <v/>
      </c>
      <c r="E137" s="829" t="str">
        <f>IFERROR(INDEX(決算整理!$P$5:$P$1835,MATCH("器具及び備品|L|3",決算整理!$T$5:$T$1835,0)),"")</f>
        <v/>
      </c>
      <c r="F137" s="825" t="str">
        <f>IFERROR(INDEX(決算整理!$A$5:$A$1835,MATCH("前期損益修正損|L|3",決算整理!$T$5:$T$1835,0)),"")</f>
        <v/>
      </c>
      <c r="G137" s="826" t="str">
        <f>IFERROR(INDEX(決算整理!$E$5:$E$1835,MATCH("前期損益修正損|L|3",決算整理!$T$5:$T$1835,0)),"")</f>
        <v/>
      </c>
      <c r="H137" s="830" t="str">
        <f>IFERROR(INDEX(決算整理!$R$5:$R$1835,MATCH("前期損益修正損|L|3",決算整理!$T$5:$T$1835,0)),"")</f>
        <v/>
      </c>
      <c r="I137" s="831" t="str">
        <f>IF(H137="","",I136+H137)</f>
        <v/>
      </c>
      <c r="J137" s="829" t="str">
        <f>IFERROR(INDEX(決算整理!$P$5:$P$1835,MATCH("前期損益修正損|L|3",決算整理!$T$5:$T$1835,0)),"")</f>
        <v/>
      </c>
      <c r="K137" s="825" t="str">
        <f>IFERROR(INDEX(決算整理!$A$5:$A$1835,MATCH("立替金|L|3",決算整理!$T$5:$T$1835,0)),"")</f>
        <v/>
      </c>
      <c r="L137" s="826" t="str">
        <f>IFERROR(INDEX(決算整理!$E$5:$E$1835,MATCH("立替金|L|3",決算整理!$T$5:$T$1835,0)),"")</f>
        <v/>
      </c>
      <c r="M137" s="830" t="str">
        <f>IFERROR(INDEX(決算整理!$R$5:$R$1835,MATCH("立替金|L|3",決算整理!$T$5:$T$1835,0)),"")</f>
        <v/>
      </c>
      <c r="N137" s="831" t="str">
        <f>IF(M137="","",N136+M137)</f>
        <v/>
      </c>
      <c r="O137" s="829" t="str">
        <f>IFERROR(INDEX(決算整理!$P$5:$P$1835,MATCH("立替金|L|3",決算整理!$T$5:$T$1835,0)),"")</f>
        <v/>
      </c>
    </row>
    <row r="138">
      <c r="A138" s="825" t="str">
        <f>IFERROR(INDEX(決算整理!$A$5:$A$1835,MATCH("器具及び備品|L|4",決算整理!$T$5:$T$1835,0)),"")</f>
        <v/>
      </c>
      <c r="B138" s="826" t="str">
        <f>IFERROR(INDEX(決算整理!$E$5:$E$1835,MATCH("器具及び備品|L|4",決算整理!$T$5:$T$1835,0)),"")</f>
        <v/>
      </c>
      <c r="C138" s="830" t="str">
        <f>IFERROR(INDEX(決算整理!$R$5:$R$1835,MATCH("器具及び備品|L|4",決算整理!$T$5:$T$1835,0)),"")</f>
        <v/>
      </c>
      <c r="D138" s="831" t="str">
        <f>IF(C138="","",D137+C138)</f>
        <v/>
      </c>
      <c r="E138" s="829" t="str">
        <f>IFERROR(INDEX(決算整理!$P$5:$P$1835,MATCH("器具及び備品|L|4",決算整理!$T$5:$T$1835,0)),"")</f>
        <v/>
      </c>
      <c r="F138" s="825" t="str">
        <f>IFERROR(INDEX(決算整理!$A$5:$A$1835,MATCH("前期損益修正損|L|4",決算整理!$T$5:$T$1835,0)),"")</f>
        <v/>
      </c>
      <c r="G138" s="826" t="str">
        <f>IFERROR(INDEX(決算整理!$E$5:$E$1835,MATCH("前期損益修正損|L|4",決算整理!$T$5:$T$1835,0)),"")</f>
        <v/>
      </c>
      <c r="H138" s="830" t="str">
        <f>IFERROR(INDEX(決算整理!$R$5:$R$1835,MATCH("前期損益修正損|L|4",決算整理!$T$5:$T$1835,0)),"")</f>
        <v/>
      </c>
      <c r="I138" s="831" t="str">
        <f>IF(H138="","",I137+H138)</f>
        <v/>
      </c>
      <c r="J138" s="829" t="str">
        <f>IFERROR(INDEX(決算整理!$P$5:$P$1835,MATCH("前期損益修正損|L|4",決算整理!$T$5:$T$1835,0)),"")</f>
        <v/>
      </c>
      <c r="K138" s="825" t="str">
        <f>IFERROR(INDEX(決算整理!$A$5:$A$1835,MATCH("立替金|L|4",決算整理!$T$5:$T$1835,0)),"")</f>
        <v/>
      </c>
      <c r="L138" s="826" t="str">
        <f>IFERROR(INDEX(決算整理!$E$5:$E$1835,MATCH("立替金|L|4",決算整理!$T$5:$T$1835,0)),"")</f>
        <v/>
      </c>
      <c r="M138" s="830" t="str">
        <f>IFERROR(INDEX(決算整理!$R$5:$R$1835,MATCH("立替金|L|4",決算整理!$T$5:$T$1835,0)),"")</f>
        <v/>
      </c>
      <c r="N138" s="831" t="str">
        <f>IF(M138="","",N137+M138)</f>
        <v/>
      </c>
      <c r="O138" s="829" t="str">
        <f>IFERROR(INDEX(決算整理!$P$5:$P$1835,MATCH("立替金|L|4",決算整理!$T$5:$T$1835,0)),"")</f>
        <v/>
      </c>
    </row>
    <row r="139">
      <c r="A139" s="825" t="str">
        <f>IFERROR(INDEX(決算整理!$A$5:$A$1835,MATCH("器具及び備品|L|5",決算整理!$T$5:$T$1835,0)),"")</f>
        <v/>
      </c>
      <c r="B139" s="826" t="str">
        <f>IFERROR(INDEX(決算整理!$E$5:$E$1835,MATCH("器具及び備品|L|5",決算整理!$T$5:$T$1835,0)),"")</f>
        <v/>
      </c>
      <c r="C139" s="830" t="str">
        <f>IFERROR(INDEX(決算整理!$R$5:$R$1835,MATCH("器具及び備品|L|5",決算整理!$T$5:$T$1835,0)),"")</f>
        <v/>
      </c>
      <c r="D139" s="831" t="str">
        <f>IF(C139="","",D138+C139)</f>
        <v/>
      </c>
      <c r="E139" s="829" t="str">
        <f>IFERROR(INDEX(決算整理!$P$5:$P$1835,MATCH("器具及び備品|L|5",決算整理!$T$5:$T$1835,0)),"")</f>
        <v/>
      </c>
      <c r="F139" s="825" t="str">
        <f>IFERROR(INDEX(決算整理!$A$5:$A$1835,MATCH("前期損益修正損|L|5",決算整理!$T$5:$T$1835,0)),"")</f>
        <v/>
      </c>
      <c r="G139" s="826" t="str">
        <f>IFERROR(INDEX(決算整理!$E$5:$E$1835,MATCH("前期損益修正損|L|5",決算整理!$T$5:$T$1835,0)),"")</f>
        <v/>
      </c>
      <c r="H139" s="830" t="str">
        <f>IFERROR(INDEX(決算整理!$R$5:$R$1835,MATCH("前期損益修正損|L|5",決算整理!$T$5:$T$1835,0)),"")</f>
        <v/>
      </c>
      <c r="I139" s="831" t="str">
        <f>IF(H139="","",I138+H139)</f>
        <v/>
      </c>
      <c r="J139" s="829" t="str">
        <f>IFERROR(INDEX(決算整理!$P$5:$P$1835,MATCH("前期損益修正損|L|5",決算整理!$T$5:$T$1835,0)),"")</f>
        <v/>
      </c>
      <c r="K139" s="825" t="str">
        <f>IFERROR(INDEX(決算整理!$A$5:$A$1835,MATCH("立替金|L|5",決算整理!$T$5:$T$1835,0)),"")</f>
        <v/>
      </c>
      <c r="L139" s="826" t="str">
        <f>IFERROR(INDEX(決算整理!$E$5:$E$1835,MATCH("立替金|L|5",決算整理!$T$5:$T$1835,0)),"")</f>
        <v/>
      </c>
      <c r="M139" s="830" t="str">
        <f>IFERROR(INDEX(決算整理!$R$5:$R$1835,MATCH("立替金|L|5",決算整理!$T$5:$T$1835,0)),"")</f>
        <v/>
      </c>
      <c r="N139" s="831" t="str">
        <f>IF(M139="","",N138+M139)</f>
        <v/>
      </c>
      <c r="O139" s="829" t="str">
        <f>IFERROR(INDEX(決算整理!$P$5:$P$1835,MATCH("立替金|L|5",決算整理!$T$5:$T$1835,0)),"")</f>
        <v/>
      </c>
    </row>
    <row r="140">
      <c r="A140" s="825" t="str">
        <f>IFERROR(INDEX(決算整理!$A$5:$A$1835,MATCH("器具及び備品|L|6",決算整理!$T$5:$T$1835,0)),"")</f>
        <v/>
      </c>
      <c r="B140" s="826" t="str">
        <f>IFERROR(INDEX(決算整理!$E$5:$E$1835,MATCH("器具及び備品|L|6",決算整理!$T$5:$T$1835,0)),"")</f>
        <v/>
      </c>
      <c r="C140" s="830" t="str">
        <f>IFERROR(INDEX(決算整理!$R$5:$R$1835,MATCH("器具及び備品|L|6",決算整理!$T$5:$T$1835,0)),"")</f>
        <v/>
      </c>
      <c r="D140" s="831" t="str">
        <f>IF(C140="","",D139+C140)</f>
        <v/>
      </c>
      <c r="E140" s="829" t="str">
        <f>IFERROR(INDEX(決算整理!$P$5:$P$1835,MATCH("器具及び備品|L|6",決算整理!$T$5:$T$1835,0)),"")</f>
        <v/>
      </c>
      <c r="F140" s="825" t="str">
        <f>IFERROR(INDEX(決算整理!$A$5:$A$1835,MATCH("前期損益修正損|L|6",決算整理!$T$5:$T$1835,0)),"")</f>
        <v/>
      </c>
      <c r="G140" s="826" t="str">
        <f>IFERROR(INDEX(決算整理!$E$5:$E$1835,MATCH("前期損益修正損|L|6",決算整理!$T$5:$T$1835,0)),"")</f>
        <v/>
      </c>
      <c r="H140" s="830" t="str">
        <f>IFERROR(INDEX(決算整理!$R$5:$R$1835,MATCH("前期損益修正損|L|6",決算整理!$T$5:$T$1835,0)),"")</f>
        <v/>
      </c>
      <c r="I140" s="831" t="str">
        <f>IF(H140="","",I139+H140)</f>
        <v/>
      </c>
      <c r="J140" s="829" t="str">
        <f>IFERROR(INDEX(決算整理!$P$5:$P$1835,MATCH("前期損益修正損|L|6",決算整理!$T$5:$T$1835,0)),"")</f>
        <v/>
      </c>
      <c r="K140" s="825" t="str">
        <f>IFERROR(INDEX(決算整理!$A$5:$A$1835,MATCH("立替金|L|6",決算整理!$T$5:$T$1835,0)),"")</f>
        <v/>
      </c>
      <c r="L140" s="826" t="str">
        <f>IFERROR(INDEX(決算整理!$E$5:$E$1835,MATCH("立替金|L|6",決算整理!$T$5:$T$1835,0)),"")</f>
        <v/>
      </c>
      <c r="M140" s="830" t="str">
        <f>IFERROR(INDEX(決算整理!$R$5:$R$1835,MATCH("立替金|L|6",決算整理!$T$5:$T$1835,0)),"")</f>
        <v/>
      </c>
      <c r="N140" s="831" t="str">
        <f>IF(M140="","",N139+M140)</f>
        <v/>
      </c>
      <c r="O140" s="829" t="str">
        <f>IFERROR(INDEX(決算整理!$P$5:$P$1835,MATCH("立替金|L|6",決算整理!$T$5:$T$1835,0)),"")</f>
        <v/>
      </c>
    </row>
    <row r="141">
      <c r="A141" s="825" t="str">
        <f>IFERROR(INDEX(決算整理!$A$5:$A$1835,MATCH("器具及び備品|L|7",決算整理!$T$5:$T$1835,0)),"")</f>
        <v/>
      </c>
      <c r="B141" s="826" t="str">
        <f>IFERROR(INDEX(決算整理!$E$5:$E$1835,MATCH("器具及び備品|L|7",決算整理!$T$5:$T$1835,0)),"")</f>
        <v/>
      </c>
      <c r="C141" s="830" t="str">
        <f>IFERROR(INDEX(決算整理!$R$5:$R$1835,MATCH("器具及び備品|L|7",決算整理!$T$5:$T$1835,0)),"")</f>
        <v/>
      </c>
      <c r="D141" s="831" t="str">
        <f>IF(C141="","",D140+C141)</f>
        <v/>
      </c>
      <c r="E141" s="829" t="str">
        <f>IFERROR(INDEX(決算整理!$P$5:$P$1835,MATCH("器具及び備品|L|7",決算整理!$T$5:$T$1835,0)),"")</f>
        <v/>
      </c>
      <c r="F141" s="825" t="str">
        <f>IFERROR(INDEX(決算整理!$A$5:$A$1835,MATCH("前期損益修正損|L|7",決算整理!$T$5:$T$1835,0)),"")</f>
        <v/>
      </c>
      <c r="G141" s="826" t="str">
        <f>IFERROR(INDEX(決算整理!$E$5:$E$1835,MATCH("前期損益修正損|L|7",決算整理!$T$5:$T$1835,0)),"")</f>
        <v/>
      </c>
      <c r="H141" s="830" t="str">
        <f>IFERROR(INDEX(決算整理!$R$5:$R$1835,MATCH("前期損益修正損|L|7",決算整理!$T$5:$T$1835,0)),"")</f>
        <v/>
      </c>
      <c r="I141" s="831" t="str">
        <f>IF(H141="","",I140+H141)</f>
        <v/>
      </c>
      <c r="J141" s="829" t="str">
        <f>IFERROR(INDEX(決算整理!$P$5:$P$1835,MATCH("前期損益修正損|L|7",決算整理!$T$5:$T$1835,0)),"")</f>
        <v/>
      </c>
      <c r="K141" s="825" t="str">
        <f>IFERROR(INDEX(決算整理!$A$5:$A$1835,MATCH("立替金|L|7",決算整理!$T$5:$T$1835,0)),"")</f>
        <v/>
      </c>
      <c r="L141" s="826" t="str">
        <f>IFERROR(INDEX(決算整理!$E$5:$E$1835,MATCH("立替金|L|7",決算整理!$T$5:$T$1835,0)),"")</f>
        <v/>
      </c>
      <c r="M141" s="830" t="str">
        <f>IFERROR(INDEX(決算整理!$R$5:$R$1835,MATCH("立替金|L|7",決算整理!$T$5:$T$1835,0)),"")</f>
        <v/>
      </c>
      <c r="N141" s="831" t="str">
        <f>IF(M141="","",N140+M141)</f>
        <v/>
      </c>
      <c r="O141" s="829" t="str">
        <f>IFERROR(INDEX(決算整理!$P$5:$P$1835,MATCH("立替金|L|7",決算整理!$T$5:$T$1835,0)),"")</f>
        <v/>
      </c>
    </row>
    <row r="142">
      <c r="A142" s="825" t="str">
        <f>IFERROR(INDEX(決算整理!$A$5:$A$1835,MATCH("器具及び備品|L|8",決算整理!$T$5:$T$1835,0)),"")</f>
        <v/>
      </c>
      <c r="B142" s="826" t="str">
        <f>IFERROR(INDEX(決算整理!$E$5:$E$1835,MATCH("器具及び備品|L|8",決算整理!$T$5:$T$1835,0)),"")</f>
        <v/>
      </c>
      <c r="C142" s="830" t="str">
        <f>IFERROR(INDEX(決算整理!$R$5:$R$1835,MATCH("器具及び備品|L|8",決算整理!$T$5:$T$1835,0)),"")</f>
        <v/>
      </c>
      <c r="D142" s="831" t="str">
        <f>IF(C142="","",D141+C142)</f>
        <v/>
      </c>
      <c r="E142" s="829" t="str">
        <f>IFERROR(INDEX(決算整理!$P$5:$P$1835,MATCH("器具及び備品|L|8",決算整理!$T$5:$T$1835,0)),"")</f>
        <v/>
      </c>
      <c r="F142" s="825" t="str">
        <f>IFERROR(INDEX(決算整理!$A$5:$A$1835,MATCH("前期損益修正損|L|8",決算整理!$T$5:$T$1835,0)),"")</f>
        <v/>
      </c>
      <c r="G142" s="826" t="str">
        <f>IFERROR(INDEX(決算整理!$E$5:$E$1835,MATCH("前期損益修正損|L|8",決算整理!$T$5:$T$1835,0)),"")</f>
        <v/>
      </c>
      <c r="H142" s="830" t="str">
        <f>IFERROR(INDEX(決算整理!$R$5:$R$1835,MATCH("前期損益修正損|L|8",決算整理!$T$5:$T$1835,0)),"")</f>
        <v/>
      </c>
      <c r="I142" s="831" t="str">
        <f>IF(H142="","",I141+H142)</f>
        <v/>
      </c>
      <c r="J142" s="829" t="str">
        <f>IFERROR(INDEX(決算整理!$P$5:$P$1835,MATCH("前期損益修正損|L|8",決算整理!$T$5:$T$1835,0)),"")</f>
        <v/>
      </c>
      <c r="K142" s="825" t="str">
        <f>IFERROR(INDEX(決算整理!$A$5:$A$1835,MATCH("立替金|L|8",決算整理!$T$5:$T$1835,0)),"")</f>
        <v/>
      </c>
      <c r="L142" s="826" t="str">
        <f>IFERROR(INDEX(決算整理!$E$5:$E$1835,MATCH("立替金|L|8",決算整理!$T$5:$T$1835,0)),"")</f>
        <v/>
      </c>
      <c r="M142" s="830" t="str">
        <f>IFERROR(INDEX(決算整理!$R$5:$R$1835,MATCH("立替金|L|8",決算整理!$T$5:$T$1835,0)),"")</f>
        <v/>
      </c>
      <c r="N142" s="831" t="str">
        <f>IF(M142="","",N141+M142)</f>
        <v/>
      </c>
      <c r="O142" s="829" t="str">
        <f>IFERROR(INDEX(決算整理!$P$5:$P$1835,MATCH("立替金|L|8",決算整理!$T$5:$T$1835,0)),"")</f>
        <v/>
      </c>
    </row>
    <row r="143">
      <c r="A143" s="825" t="str">
        <f>IFERROR(INDEX(決算整理!$A$5:$A$1835,MATCH("器具及び備品|L|9",決算整理!$T$5:$T$1835,0)),"")</f>
        <v/>
      </c>
      <c r="B143" s="826" t="str">
        <f>IFERROR(INDEX(決算整理!$E$5:$E$1835,MATCH("器具及び備品|L|9",決算整理!$T$5:$T$1835,0)),"")</f>
        <v/>
      </c>
      <c r="C143" s="830" t="str">
        <f>IFERROR(INDEX(決算整理!$R$5:$R$1835,MATCH("器具及び備品|L|9",決算整理!$T$5:$T$1835,0)),"")</f>
        <v/>
      </c>
      <c r="D143" s="831" t="str">
        <f>IF(C143="","",D142+C143)</f>
        <v/>
      </c>
      <c r="E143" s="829" t="str">
        <f>IFERROR(INDEX(決算整理!$P$5:$P$1835,MATCH("器具及び備品|L|9",決算整理!$T$5:$T$1835,0)),"")</f>
        <v/>
      </c>
      <c r="F143" s="825" t="str">
        <f>IFERROR(INDEX(決算整理!$A$5:$A$1835,MATCH("前期損益修正損|L|9",決算整理!$T$5:$T$1835,0)),"")</f>
        <v/>
      </c>
      <c r="G143" s="826" t="str">
        <f>IFERROR(INDEX(決算整理!$E$5:$E$1835,MATCH("前期損益修正損|L|9",決算整理!$T$5:$T$1835,0)),"")</f>
        <v/>
      </c>
      <c r="H143" s="830" t="str">
        <f>IFERROR(INDEX(決算整理!$R$5:$R$1835,MATCH("前期損益修正損|L|9",決算整理!$T$5:$T$1835,0)),"")</f>
        <v/>
      </c>
      <c r="I143" s="831" t="str">
        <f>IF(H143="","",I142+H143)</f>
        <v/>
      </c>
      <c r="J143" s="829" t="str">
        <f>IFERROR(INDEX(決算整理!$P$5:$P$1835,MATCH("前期損益修正損|L|9",決算整理!$T$5:$T$1835,0)),"")</f>
        <v/>
      </c>
      <c r="K143" s="825" t="str">
        <f>IFERROR(INDEX(決算整理!$A$5:$A$1835,MATCH("立替金|L|9",決算整理!$T$5:$T$1835,0)),"")</f>
        <v/>
      </c>
      <c r="L143" s="826" t="str">
        <f>IFERROR(INDEX(決算整理!$E$5:$E$1835,MATCH("立替金|L|9",決算整理!$T$5:$T$1835,0)),"")</f>
        <v/>
      </c>
      <c r="M143" s="830" t="str">
        <f>IFERROR(INDEX(決算整理!$R$5:$R$1835,MATCH("立替金|L|9",決算整理!$T$5:$T$1835,0)),"")</f>
        <v/>
      </c>
      <c r="N143" s="831" t="str">
        <f>IF(M143="","",N142+M143)</f>
        <v/>
      </c>
      <c r="O143" s="829" t="str">
        <f>IFERROR(INDEX(決算整理!$P$5:$P$1835,MATCH("立替金|L|9",決算整理!$T$5:$T$1835,0)),"")</f>
        <v/>
      </c>
    </row>
    <row r="144">
      <c r="A144" s="825" t="str">
        <f>IFERROR(INDEX(決算整理!$A$5:$A$1835,MATCH("器具及び備品|L|10",決算整理!$T$5:$T$1835,0)),"")</f>
        <v/>
      </c>
      <c r="B144" s="826" t="str">
        <f>IFERROR(INDEX(決算整理!$E$5:$E$1835,MATCH("器具及び備品|L|10",決算整理!$T$5:$T$1835,0)),"")</f>
        <v/>
      </c>
      <c r="C144" s="830" t="str">
        <f>IFERROR(INDEX(決算整理!$R$5:$R$1835,MATCH("器具及び備品|L|10",決算整理!$T$5:$T$1835,0)),"")</f>
        <v/>
      </c>
      <c r="D144" s="831" t="str">
        <f>IF(C144="","",D143+C144)</f>
        <v/>
      </c>
      <c r="E144" s="829" t="str">
        <f>IFERROR(INDEX(決算整理!$P$5:$P$1835,MATCH("器具及び備品|L|10",決算整理!$T$5:$T$1835,0)),"")</f>
        <v/>
      </c>
      <c r="F144" s="825" t="str">
        <f>IFERROR(INDEX(決算整理!$A$5:$A$1835,MATCH("前期損益修正損|L|10",決算整理!$T$5:$T$1835,0)),"")</f>
        <v/>
      </c>
      <c r="G144" s="826" t="str">
        <f>IFERROR(INDEX(決算整理!$E$5:$E$1835,MATCH("前期損益修正損|L|10",決算整理!$T$5:$T$1835,0)),"")</f>
        <v/>
      </c>
      <c r="H144" s="830" t="str">
        <f>IFERROR(INDEX(決算整理!$R$5:$R$1835,MATCH("前期損益修正損|L|10",決算整理!$T$5:$T$1835,0)),"")</f>
        <v/>
      </c>
      <c r="I144" s="831" t="str">
        <f>IF(H144="","",I143+H144)</f>
        <v/>
      </c>
      <c r="J144" s="829" t="str">
        <f>IFERROR(INDEX(決算整理!$P$5:$P$1835,MATCH("前期損益修正損|L|10",決算整理!$T$5:$T$1835,0)),"")</f>
        <v/>
      </c>
      <c r="K144" s="825" t="str">
        <f>IFERROR(INDEX(決算整理!$A$5:$A$1835,MATCH("立替金|L|10",決算整理!$T$5:$T$1835,0)),"")</f>
        <v/>
      </c>
      <c r="L144" s="826" t="str">
        <f>IFERROR(INDEX(決算整理!$E$5:$E$1835,MATCH("立替金|L|10",決算整理!$T$5:$T$1835,0)),"")</f>
        <v/>
      </c>
      <c r="M144" s="830" t="str">
        <f>IFERROR(INDEX(決算整理!$R$5:$R$1835,MATCH("立替金|L|10",決算整理!$T$5:$T$1835,0)),"")</f>
        <v/>
      </c>
      <c r="N144" s="831" t="str">
        <f>IF(M144="","",N143+M144)</f>
        <v/>
      </c>
      <c r="O144" s="829" t="str">
        <f>IFERROR(INDEX(決算整理!$P$5:$P$1835,MATCH("立替金|L|10",決算整理!$T$5:$T$1835,0)),"")</f>
        <v/>
      </c>
    </row>
    <row r="145">
      <c r="A145" s="825" t="str">
        <f>IFERROR(INDEX(決算整理!$A$5:$A$1835,MATCH("器具及び備品|L|11",決算整理!$T$5:$T$1835,0)),"")</f>
        <v/>
      </c>
      <c r="B145" s="826" t="str">
        <f>IFERROR(INDEX(決算整理!$E$5:$E$1835,MATCH("器具及び備品|L|11",決算整理!$T$5:$T$1835,0)),"")</f>
        <v/>
      </c>
      <c r="C145" s="830" t="str">
        <f>IFERROR(INDEX(決算整理!$R$5:$R$1835,MATCH("器具及び備品|L|11",決算整理!$T$5:$T$1835,0)),"")</f>
        <v/>
      </c>
      <c r="D145" s="831" t="str">
        <f>IF(C145="","",D144+C145)</f>
        <v/>
      </c>
      <c r="E145" s="829" t="str">
        <f>IFERROR(INDEX(決算整理!$P$5:$P$1835,MATCH("器具及び備品|L|11",決算整理!$T$5:$T$1835,0)),"")</f>
        <v/>
      </c>
      <c r="F145" s="825" t="str">
        <f>IFERROR(INDEX(決算整理!$A$5:$A$1835,MATCH("前期損益修正損|L|11",決算整理!$T$5:$T$1835,0)),"")</f>
        <v/>
      </c>
      <c r="G145" s="826" t="str">
        <f>IFERROR(INDEX(決算整理!$E$5:$E$1835,MATCH("前期損益修正損|L|11",決算整理!$T$5:$T$1835,0)),"")</f>
        <v/>
      </c>
      <c r="H145" s="830" t="str">
        <f>IFERROR(INDEX(決算整理!$R$5:$R$1835,MATCH("前期損益修正損|L|11",決算整理!$T$5:$T$1835,0)),"")</f>
        <v/>
      </c>
      <c r="I145" s="831" t="str">
        <f>IF(H145="","",I144+H145)</f>
        <v/>
      </c>
      <c r="J145" s="829" t="str">
        <f>IFERROR(INDEX(決算整理!$P$5:$P$1835,MATCH("前期損益修正損|L|11",決算整理!$T$5:$T$1835,0)),"")</f>
        <v/>
      </c>
      <c r="K145" s="825" t="str">
        <f>IFERROR(INDEX(決算整理!$A$5:$A$1835,MATCH("立替金|L|11",決算整理!$T$5:$T$1835,0)),"")</f>
        <v/>
      </c>
      <c r="L145" s="826" t="str">
        <f>IFERROR(INDEX(決算整理!$E$5:$E$1835,MATCH("立替金|L|11",決算整理!$T$5:$T$1835,0)),"")</f>
        <v/>
      </c>
      <c r="M145" s="830" t="str">
        <f>IFERROR(INDEX(決算整理!$R$5:$R$1835,MATCH("立替金|L|11",決算整理!$T$5:$T$1835,0)),"")</f>
        <v/>
      </c>
      <c r="N145" s="831" t="str">
        <f>IF(M145="","",N144+M145)</f>
        <v/>
      </c>
      <c r="O145" s="829" t="str">
        <f>IFERROR(INDEX(決算整理!$P$5:$P$1835,MATCH("立替金|L|11",決算整理!$T$5:$T$1835,0)),"")</f>
        <v/>
      </c>
    </row>
    <row r="146">
      <c r="A146" s="825" t="str">
        <f>IFERROR(INDEX(決算整理!$A$5:$A$1835,MATCH("器具及び備品|L|12",決算整理!$T$5:$T$1835,0)),"")</f>
        <v/>
      </c>
      <c r="B146" s="826" t="str">
        <f>IFERROR(INDEX(決算整理!$E$5:$E$1835,MATCH("器具及び備品|L|12",決算整理!$T$5:$T$1835,0)),"")</f>
        <v/>
      </c>
      <c r="C146" s="830" t="str">
        <f>IFERROR(INDEX(決算整理!$R$5:$R$1835,MATCH("器具及び備品|L|12",決算整理!$T$5:$T$1835,0)),"")</f>
        <v/>
      </c>
      <c r="D146" s="831" t="str">
        <f>IF(C146="","",D145+C146)</f>
        <v/>
      </c>
      <c r="E146" s="829" t="str">
        <f>IFERROR(INDEX(決算整理!$P$5:$P$1835,MATCH("器具及び備品|L|12",決算整理!$T$5:$T$1835,0)),"")</f>
        <v/>
      </c>
      <c r="F146" s="825" t="str">
        <f>IFERROR(INDEX(決算整理!$A$5:$A$1835,MATCH("前期損益修正損|L|12",決算整理!$T$5:$T$1835,0)),"")</f>
        <v/>
      </c>
      <c r="G146" s="826" t="str">
        <f>IFERROR(INDEX(決算整理!$E$5:$E$1835,MATCH("前期損益修正損|L|12",決算整理!$T$5:$T$1835,0)),"")</f>
        <v/>
      </c>
      <c r="H146" s="830" t="str">
        <f>IFERROR(INDEX(決算整理!$R$5:$R$1835,MATCH("前期損益修正損|L|12",決算整理!$T$5:$T$1835,0)),"")</f>
        <v/>
      </c>
      <c r="I146" s="831" t="str">
        <f>IF(H146="","",I145+H146)</f>
        <v/>
      </c>
      <c r="J146" s="829" t="str">
        <f>IFERROR(INDEX(決算整理!$P$5:$P$1835,MATCH("前期損益修正損|L|12",決算整理!$T$5:$T$1835,0)),"")</f>
        <v/>
      </c>
      <c r="K146" s="825" t="str">
        <f>IFERROR(INDEX(決算整理!$A$5:$A$1835,MATCH("立替金|L|12",決算整理!$T$5:$T$1835,0)),"")</f>
        <v/>
      </c>
      <c r="L146" s="826" t="str">
        <f>IFERROR(INDEX(決算整理!$E$5:$E$1835,MATCH("立替金|L|12",決算整理!$T$5:$T$1835,0)),"")</f>
        <v/>
      </c>
      <c r="M146" s="830" t="str">
        <f>IFERROR(INDEX(決算整理!$R$5:$R$1835,MATCH("立替金|L|12",決算整理!$T$5:$T$1835,0)),"")</f>
        <v/>
      </c>
      <c r="N146" s="831" t="str">
        <f>IF(M146="","",N145+M146)</f>
        <v/>
      </c>
      <c r="O146" s="829" t="str">
        <f>IFERROR(INDEX(決算整理!$P$5:$P$1835,MATCH("立替金|L|12",決算整理!$T$5:$T$1835,0)),"")</f>
        <v/>
      </c>
    </row>
  </sheetData>
  <conditionalFormatting sqref="K6:O17">
    <cfRule type="expression" priority="1" dxfId="6">
      <formula>$O6="昨年実績"</formula>
    </cfRule>
  </conditionalFormatting>
  <conditionalFormatting sqref="M6:M17">
    <cfRule type="expression" priority="2" dxfId="9">
      <formula>$O6="確認済"</formula>
    </cfRule>
    <cfRule type="expression" priority="3" dxfId="10">
      <formula>$O6="未確認"</formula>
    </cfRule>
  </conditionalFormatting>
  <conditionalFormatting sqref="P6:T17">
    <cfRule type="expression" priority="4" dxfId="6">
      <formula>$T6="昨年実績"</formula>
    </cfRule>
  </conditionalFormatting>
  <conditionalFormatting sqref="R6:R17">
    <cfRule type="expression" priority="5" dxfId="9">
      <formula>$T6="確認済"</formula>
    </cfRule>
    <cfRule type="expression" priority="6" dxfId="10">
      <formula>$T6="未確認"</formula>
    </cfRule>
  </conditionalFormatting>
  <conditionalFormatting sqref="A27:E38">
    <cfRule type="expression" priority="7" dxfId="6">
      <formula>$E27="昨年実績"</formula>
    </cfRule>
  </conditionalFormatting>
  <conditionalFormatting sqref="C27:C38">
    <cfRule type="expression" priority="8" dxfId="9">
      <formula>$E27="確認済"</formula>
    </cfRule>
    <cfRule type="expression" priority="9" dxfId="10">
      <formula>$E27="未確認"</formula>
    </cfRule>
  </conditionalFormatting>
  <conditionalFormatting sqref="F27:J38">
    <cfRule type="expression" priority="10" dxfId="6">
      <formula>$J27="昨年実績"</formula>
    </cfRule>
  </conditionalFormatting>
  <conditionalFormatting sqref="H27:H38">
    <cfRule type="expression" priority="11" dxfId="9">
      <formula>$J27="確認済"</formula>
    </cfRule>
    <cfRule type="expression" priority="12" dxfId="10">
      <formula>$J27="未確認"</formula>
    </cfRule>
  </conditionalFormatting>
  <conditionalFormatting sqref="K27:O38">
    <cfRule type="expression" priority="13" dxfId="6">
      <formula>$O27="昨年実績"</formula>
    </cfRule>
  </conditionalFormatting>
  <conditionalFormatting sqref="M27:M38">
    <cfRule type="expression" priority="14" dxfId="9">
      <formula>$O27="確認済"</formula>
    </cfRule>
    <cfRule type="expression" priority="15" dxfId="10">
      <formula>$O27="未確認"</formula>
    </cfRule>
  </conditionalFormatting>
  <conditionalFormatting sqref="P27:T38">
    <cfRule type="expression" priority="16" dxfId="6">
      <formula>$T27="昨年実績"</formula>
    </cfRule>
  </conditionalFormatting>
  <conditionalFormatting sqref="R27:R38">
    <cfRule type="expression" priority="17" dxfId="9">
      <formula>$T27="確認済"</formula>
    </cfRule>
    <cfRule type="expression" priority="18" dxfId="10">
      <formula>$T27="未確認"</formula>
    </cfRule>
  </conditionalFormatting>
  <conditionalFormatting sqref="A45:E56">
    <cfRule type="expression" priority="19" dxfId="6">
      <formula>$E45="昨年実績"</formula>
    </cfRule>
  </conditionalFormatting>
  <conditionalFormatting sqref="C45:C56">
    <cfRule type="expression" priority="20" dxfId="9">
      <formula>$E45="確認済"</formula>
    </cfRule>
    <cfRule type="expression" priority="21" dxfId="10">
      <formula>$E45="未確認"</formula>
    </cfRule>
  </conditionalFormatting>
  <conditionalFormatting sqref="F6:J19">
    <cfRule type="expression" priority="22" dxfId="6">
      <formula>$J6="昨年実績"</formula>
    </cfRule>
  </conditionalFormatting>
  <conditionalFormatting sqref="H6:H19">
    <cfRule type="expression" priority="23" dxfId="9">
      <formula>$J6="確認済"</formula>
    </cfRule>
    <cfRule type="expression" priority="24" dxfId="10">
      <formula>$J6="未確認"</formula>
    </cfRule>
  </conditionalFormatting>
  <conditionalFormatting sqref="A6:E20">
    <cfRule type="expression" priority="25" dxfId="6">
      <formula>$E6="昨年実績"</formula>
    </cfRule>
  </conditionalFormatting>
  <conditionalFormatting sqref="C6:C20">
    <cfRule type="expression" priority="26" dxfId="9">
      <formula>$E6="確認済"</formula>
    </cfRule>
    <cfRule type="expression" priority="27" dxfId="10">
      <formula>$E6="未確認"</formula>
    </cfRule>
  </conditionalFormatting>
  <conditionalFormatting sqref="F45:J56">
    <cfRule type="expression" priority="28" dxfId="6">
      <formula>$J45="昨年実績"</formula>
    </cfRule>
  </conditionalFormatting>
  <conditionalFormatting sqref="H45:H56">
    <cfRule type="expression" priority="29" dxfId="9">
      <formula>$J45="確認済"</formula>
    </cfRule>
    <cfRule type="expression" priority="30" dxfId="10">
      <formula>$J45="未確認"</formula>
    </cfRule>
  </conditionalFormatting>
  <conditionalFormatting sqref="K45:O56">
    <cfRule type="expression" priority="31" dxfId="6">
      <formula>$O45="昨年実績"</formula>
    </cfRule>
  </conditionalFormatting>
  <conditionalFormatting sqref="M45:M56">
    <cfRule type="expression" priority="32" dxfId="9">
      <formula>$O45="確認済"</formula>
    </cfRule>
    <cfRule type="expression" priority="33" dxfId="10">
      <formula>$O45="未確認"</formula>
    </cfRule>
  </conditionalFormatting>
  <conditionalFormatting sqref="P45:T56">
    <cfRule type="expression" priority="34" dxfId="6">
      <formula>$T45="昨年実績"</formula>
    </cfRule>
  </conditionalFormatting>
  <conditionalFormatting sqref="R45:R56">
    <cfRule type="expression" priority="35" dxfId="9">
      <formula>$T45="確認済"</formula>
    </cfRule>
    <cfRule type="expression" priority="36" dxfId="10">
      <formula>$T45="未確認"</formula>
    </cfRule>
  </conditionalFormatting>
  <conditionalFormatting sqref="A63:E74">
    <cfRule type="expression" priority="37" dxfId="6">
      <formula>$E63="昨年実績"</formula>
    </cfRule>
  </conditionalFormatting>
  <conditionalFormatting sqref="C63:C74">
    <cfRule type="expression" priority="38" dxfId="9">
      <formula>$E63="確認済"</formula>
    </cfRule>
    <cfRule type="expression" priority="39" dxfId="10">
      <formula>$E63="未確認"</formula>
    </cfRule>
  </conditionalFormatting>
  <conditionalFormatting sqref="F63:J74">
    <cfRule type="expression" priority="40" dxfId="6">
      <formula>$J63="昨年実績"</formula>
    </cfRule>
  </conditionalFormatting>
  <conditionalFormatting sqref="H63:H74">
    <cfRule type="expression" priority="41" dxfId="9">
      <formula>$J63="確認済"</formula>
    </cfRule>
    <cfRule type="expression" priority="42" dxfId="10">
      <formula>$J63="未確認"</formula>
    </cfRule>
  </conditionalFormatting>
  <conditionalFormatting sqref="K63:O74">
    <cfRule type="expression" priority="43" dxfId="6">
      <formula>$O63="昨年実績"</formula>
    </cfRule>
  </conditionalFormatting>
  <conditionalFormatting sqref="M63:M74">
    <cfRule type="expression" priority="44" dxfId="9">
      <formula>$O63="確認済"</formula>
    </cfRule>
    <cfRule type="expression" priority="45" dxfId="10">
      <formula>$O63="未確認"</formula>
    </cfRule>
  </conditionalFormatting>
  <conditionalFormatting sqref="P63:T74">
    <cfRule type="expression" priority="46" dxfId="6">
      <formula>$T63="昨年実績"</formula>
    </cfRule>
  </conditionalFormatting>
  <conditionalFormatting sqref="R63:R74">
    <cfRule type="expression" priority="47" dxfId="9">
      <formula>$T63="確認済"</formula>
    </cfRule>
    <cfRule type="expression" priority="48" dxfId="10">
      <formula>$T63="未確認"</formula>
    </cfRule>
  </conditionalFormatting>
  <conditionalFormatting sqref="A81:E92">
    <cfRule type="expression" priority="49" dxfId="6">
      <formula>$E81="昨年実績"</formula>
    </cfRule>
  </conditionalFormatting>
  <conditionalFormatting sqref="C81:C92">
    <cfRule type="expression" priority="50" dxfId="9">
      <formula>$E81="確認済"</formula>
    </cfRule>
    <cfRule type="expression" priority="51" dxfId="10">
      <formula>$E81="未確認"</formula>
    </cfRule>
  </conditionalFormatting>
  <conditionalFormatting sqref="F81:J92">
    <cfRule type="expression" priority="52" dxfId="6">
      <formula>$J81="昨年実績"</formula>
    </cfRule>
  </conditionalFormatting>
  <conditionalFormatting sqref="H81:H92">
    <cfRule type="expression" priority="53" dxfId="9">
      <formula>$J81="確認済"</formula>
    </cfRule>
    <cfRule type="expression" priority="54" dxfId="10">
      <formula>$J81="未確認"</formula>
    </cfRule>
  </conditionalFormatting>
  <conditionalFormatting sqref="K81:O92">
    <cfRule type="expression" priority="55" dxfId="6">
      <formula>$O81="昨年実績"</formula>
    </cfRule>
  </conditionalFormatting>
  <conditionalFormatting sqref="M81:M92">
    <cfRule type="expression" priority="56" dxfId="9">
      <formula>$O81="確認済"</formula>
    </cfRule>
    <cfRule type="expression" priority="57" dxfId="10">
      <formula>$O81="未確認"</formula>
    </cfRule>
  </conditionalFormatting>
  <conditionalFormatting sqref="P81:T92">
    <cfRule type="expression" priority="58" dxfId="6">
      <formula>$T81="昨年実績"</formula>
    </cfRule>
  </conditionalFormatting>
  <conditionalFormatting sqref="R81:R92">
    <cfRule type="expression" priority="59" dxfId="9">
      <formula>$T81="確認済"</formula>
    </cfRule>
    <cfRule type="expression" priority="60" dxfId="10">
      <formula>$T81="未確認"</formula>
    </cfRule>
  </conditionalFormatting>
  <conditionalFormatting sqref="A99:E110">
    <cfRule type="expression" priority="61" dxfId="6">
      <formula>$E99="昨年実績"</formula>
    </cfRule>
  </conditionalFormatting>
  <conditionalFormatting sqref="C99:C110">
    <cfRule type="expression" priority="62" dxfId="9">
      <formula>$E99="確認済"</formula>
    </cfRule>
    <cfRule type="expression" priority="63" dxfId="10">
      <formula>$E99="未確認"</formula>
    </cfRule>
  </conditionalFormatting>
  <conditionalFormatting sqref="F99:J110">
    <cfRule type="expression" priority="64" dxfId="6">
      <formula>$J99="昨年実績"</formula>
    </cfRule>
  </conditionalFormatting>
  <conditionalFormatting sqref="H99:H110">
    <cfRule type="expression" priority="65" dxfId="9">
      <formula>$J99="確認済"</formula>
    </cfRule>
    <cfRule type="expression" priority="66" dxfId="10">
      <formula>$J99="未確認"</formula>
    </cfRule>
  </conditionalFormatting>
  <conditionalFormatting sqref="K99:O110">
    <cfRule type="expression" priority="67" dxfId="6">
      <formula>$O99="昨年実績"</formula>
    </cfRule>
  </conditionalFormatting>
  <conditionalFormatting sqref="M99:M110">
    <cfRule type="expression" priority="68" dxfId="9">
      <formula>$O99="確認済"</formula>
    </cfRule>
    <cfRule type="expression" priority="69" dxfId="10">
      <formula>$O99="未確認"</formula>
    </cfRule>
  </conditionalFormatting>
  <conditionalFormatting sqref="P99:T110">
    <cfRule type="expression" priority="70" dxfId="6">
      <formula>$T99="昨年実績"</formula>
    </cfRule>
  </conditionalFormatting>
  <conditionalFormatting sqref="R99:R110">
    <cfRule type="expression" priority="71" dxfId="9">
      <formula>$T99="確認済"</formula>
    </cfRule>
    <cfRule type="expression" priority="72" dxfId="10">
      <formula>$T99="未確認"</formula>
    </cfRule>
  </conditionalFormatting>
  <conditionalFormatting sqref="A117:E128">
    <cfRule type="expression" priority="73" dxfId="6">
      <formula>$E117="昨年実績"</formula>
    </cfRule>
  </conditionalFormatting>
  <conditionalFormatting sqref="C117:C128">
    <cfRule type="expression" priority="74" dxfId="9">
      <formula>$E117="確認済"</formula>
    </cfRule>
    <cfRule type="expression" priority="75" dxfId="10">
      <formula>$E117="未確認"</formula>
    </cfRule>
  </conditionalFormatting>
  <conditionalFormatting sqref="F117:J128">
    <cfRule type="expression" priority="76" dxfId="6">
      <formula>$J117="昨年実績"</formula>
    </cfRule>
  </conditionalFormatting>
  <conditionalFormatting sqref="H117:H128">
    <cfRule type="expression" priority="77" dxfId="9">
      <formula>$J117="確認済"</formula>
    </cfRule>
    <cfRule type="expression" priority="78" dxfId="10">
      <formula>$J117="未確認"</formula>
    </cfRule>
  </conditionalFormatting>
  <conditionalFormatting sqref="K117:O128">
    <cfRule type="expression" priority="79" dxfId="6">
      <formula>$O117="昨年実績"</formula>
    </cfRule>
  </conditionalFormatting>
  <conditionalFormatting sqref="M117:M128">
    <cfRule type="expression" priority="80" dxfId="9">
      <formula>$O117="確認済"</formula>
    </cfRule>
    <cfRule type="expression" priority="81" dxfId="10">
      <formula>$O117="未確認"</formula>
    </cfRule>
  </conditionalFormatting>
  <conditionalFormatting sqref="P117:T128">
    <cfRule type="expression" priority="82" dxfId="6">
      <formula>$T117="昨年実績"</formula>
    </cfRule>
  </conditionalFormatting>
  <conditionalFormatting sqref="R117:R128">
    <cfRule type="expression" priority="83" dxfId="9">
      <formula>$T117="確認済"</formula>
    </cfRule>
    <cfRule type="expression" priority="84" dxfId="10">
      <formula>$T117="未確認"</formula>
    </cfRule>
  </conditionalFormatting>
  <conditionalFormatting sqref="A135:E146">
    <cfRule type="expression" priority="85" dxfId="6">
      <formula>$E135="昨年実績"</formula>
    </cfRule>
  </conditionalFormatting>
  <conditionalFormatting sqref="C135:C146">
    <cfRule type="expression" priority="86" dxfId="9">
      <formula>$E135="確認済"</formula>
    </cfRule>
    <cfRule type="expression" priority="87" dxfId="10">
      <formula>$E135="未確認"</formula>
    </cfRule>
  </conditionalFormatting>
  <conditionalFormatting sqref="F135:J146">
    <cfRule type="expression" priority="88" dxfId="6">
      <formula>$J135="昨年実績"</formula>
    </cfRule>
  </conditionalFormatting>
  <conditionalFormatting sqref="H135:H146">
    <cfRule type="expression" priority="89" dxfId="9">
      <formula>$J135="確認済"</formula>
    </cfRule>
    <cfRule type="expression" priority="90" dxfId="10">
      <formula>$J135="未確認"</formula>
    </cfRule>
  </conditionalFormatting>
  <conditionalFormatting sqref="K135:O146">
    <cfRule type="expression" priority="91" dxfId="6">
      <formula>$O135="昨年実績"</formula>
    </cfRule>
  </conditionalFormatting>
  <conditionalFormatting sqref="M135:M146">
    <cfRule type="expression" priority="92" dxfId="9">
      <formula>$O135="確認済"</formula>
    </cfRule>
    <cfRule type="expression" priority="93" dxfId="10">
      <formula>$O135="未確認"</formula>
    </cfRule>
  </conditionalFormatting>
  <printOptions horizontalCentered="1"/>
  <pageMargins left="0.4" right="0.4" top="0.5" bottom="0.5" header="0.3149606299212598" footer="0.3149606299212598"/>
  <pageSetup orientation="portrait" paperSize="8" scale="73" fitToHeight="0" fitToWidth="1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T36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186" min="1" max="1"/>
    <col width="3" customWidth="1" style="186" min="2" max="2"/>
    <col width="12" customWidth="1" style="186" min="3" max="3"/>
    <col width="12" customWidth="1" style="186" min="4" max="4"/>
    <col width="12" customWidth="1" style="186" min="5" max="5"/>
    <col width="12" customWidth="1" style="186" min="6" max="6"/>
    <col width="12" customWidth="1" style="186" min="7" max="7"/>
    <col width="12" customWidth="1" style="186" min="8" max="8"/>
    <col width="12" customWidth="1" style="186" min="9" max="9"/>
    <col width="12" customWidth="1" style="186" min="10" max="10"/>
    <col width="12" customWidth="1" style="186" min="11" max="11"/>
    <col width="12" customWidth="1" style="186" min="12" max="12"/>
    <col width="12" customWidth="1" style="186" min="13" max="13"/>
    <col width="12" customWidth="1" style="186" min="14" max="14"/>
    <col width="12" customWidth="1" style="186" min="15" max="15"/>
    <col width="13" customWidth="1" style="186" min="16" max="16"/>
    <col width="13" customWidth="1" style="186" min="17" max="17"/>
    <col width="13" customWidth="1" style="186" min="18" max="18"/>
    <col width="13" customWidth="1" style="186" min="19" max="19"/>
    <col width="13" customWidth="1" style="186" min="20" max="20"/>
  </cols>
  <sheetData>
    <row r="1" ht="26" customHeight="1" s="186">
      <c r="A1" s="719" t="inlineStr">
        <is>
          <t>差引簿集計（短期）　差引簿の費目ごとの月別合計（確認済のみ）→ 費用収益表へ　／　4月（未払）は「未払」差引簿の確認済</t>
        </is>
      </c>
      <c r="B1" s="720" t="n"/>
      <c r="C1" s="720" t="n"/>
      <c r="D1" s="720" t="n"/>
      <c r="E1" s="720" t="n"/>
      <c r="F1" s="720" t="n"/>
      <c r="G1" s="720" t="n"/>
      <c r="H1" s="720" t="n"/>
      <c r="I1" s="720" t="n"/>
      <c r="J1" s="720" t="n"/>
      <c r="K1" s="720" t="n"/>
      <c r="L1" s="720" t="n"/>
      <c r="M1" s="720" t="n"/>
      <c r="N1" s="720" t="n"/>
      <c r="O1" s="720" t="n"/>
      <c r="P1" s="720" t="n"/>
      <c r="Q1" s="720" t="n"/>
      <c r="R1" s="720" t="n"/>
      <c r="S1" s="720" t="n"/>
      <c r="T1" s="720" t="n"/>
    </row>
    <row r="2">
      <c r="C2" s="832" t="n">
        <v>1</v>
      </c>
      <c r="D2" s="832" t="n">
        <v>2</v>
      </c>
      <c r="E2" s="832" t="n">
        <v>3</v>
      </c>
      <c r="F2" s="832" t="n">
        <v>4</v>
      </c>
      <c r="G2" s="832" t="n">
        <v>5</v>
      </c>
      <c r="H2" s="832" t="n">
        <v>6</v>
      </c>
      <c r="I2" s="832" t="n">
        <v>7</v>
      </c>
      <c r="J2" s="832" t="n">
        <v>8</v>
      </c>
      <c r="K2" s="832" t="n">
        <v>9</v>
      </c>
      <c r="L2" s="832" t="n">
        <v>10</v>
      </c>
      <c r="M2" s="832" t="n">
        <v>11</v>
      </c>
      <c r="N2" s="832" t="n">
        <v>12</v>
      </c>
      <c r="O2" s="832" t="n">
        <v>13</v>
      </c>
    </row>
    <row r="3" ht="22" customHeight="1" s="186">
      <c r="A3" s="737" t="inlineStr">
        <is>
          <t>費目</t>
        </is>
      </c>
      <c r="B3" s="737" t="n"/>
      <c r="C3" s="737" t="inlineStr">
        <is>
          <t>4月</t>
        </is>
      </c>
      <c r="D3" s="737" t="inlineStr">
        <is>
          <t>5月</t>
        </is>
      </c>
      <c r="E3" s="737" t="inlineStr">
        <is>
          <t>6月</t>
        </is>
      </c>
      <c r="F3" s="737" t="inlineStr">
        <is>
          <t>7月</t>
        </is>
      </c>
      <c r="G3" s="737" t="inlineStr">
        <is>
          <t>8月</t>
        </is>
      </c>
      <c r="H3" s="737" t="inlineStr">
        <is>
          <t>9月</t>
        </is>
      </c>
      <c r="I3" s="737" t="inlineStr">
        <is>
          <t>10月</t>
        </is>
      </c>
      <c r="J3" s="737" t="inlineStr">
        <is>
          <t>11月</t>
        </is>
      </c>
      <c r="K3" s="737" t="inlineStr">
        <is>
          <t>12月</t>
        </is>
      </c>
      <c r="L3" s="737" t="inlineStr">
        <is>
          <t>1月</t>
        </is>
      </c>
      <c r="M3" s="737" t="inlineStr">
        <is>
          <t>2月</t>
        </is>
      </c>
      <c r="N3" s="737" t="inlineStr">
        <is>
          <t>3月</t>
        </is>
      </c>
      <c r="O3" s="737" t="inlineStr">
        <is>
          <t>4月(未払)</t>
        </is>
      </c>
      <c r="P3" s="737" t="inlineStr">
        <is>
          <t>確認済計</t>
        </is>
      </c>
      <c r="Q3" s="737" t="inlineStr">
        <is>
          <t>予算現額</t>
        </is>
      </c>
      <c r="R3" s="737" t="inlineStr">
        <is>
          <t>残額</t>
        </is>
      </c>
      <c r="S3" s="737" t="inlineStr">
        <is>
          <t>費用収益表</t>
        </is>
      </c>
      <c r="T3" s="737" t="inlineStr">
        <is>
          <t>行不足</t>
        </is>
      </c>
    </row>
    <row r="4">
      <c r="A4" s="740" t="inlineStr">
        <is>
          <t>事務用消耗品費</t>
        </is>
      </c>
      <c r="C4" s="749">
        <f>SUMIFS('予算差引簿（短）'!$R$6:$R$78,'予算差引簿（短）'!$T$6:$T$78,"確認済",'予算差引簿（短）'!$P$6:$P$78,"&gt;="&amp;DATE(年度+2018,4,1),'予算差引簿（短）'!$P$6:$P$78,"&lt;"&amp;DATE(年度+2018,5,1))</f>
        <v>20482</v>
      </c>
      <c r="D4" s="749">
        <f>SUMIFS('予算差引簿（短）'!$R$6:$R$78,'予算差引簿（短）'!$T$6:$T$78,"確認済",'予算差引簿（短）'!$P$6:$P$78,"&gt;="&amp;DATE(年度+2018,5,1),'予算差引簿（短）'!$P$6:$P$78,"&lt;"&amp;DATE(年度+2018,6,1))</f>
        <v>58408</v>
      </c>
      <c r="E4" s="749">
        <f>SUMIFS('予算差引簿（短）'!$R$6:$R$78,'予算差引簿（短）'!$T$6:$T$78,"確認済",'予算差引簿（短）'!$P$6:$P$78,"&gt;="&amp;DATE(年度+2018,6,1),'予算差引簿（短）'!$P$6:$P$78,"&lt;"&amp;DATE(年度+2018,7,1))</f>
        <v>38368</v>
      </c>
      <c r="F4" s="749">
        <f>SUMIFS('予算差引簿（短）'!$R$6:$R$78,'予算差引簿（短）'!$T$6:$T$78,"確認済",'予算差引簿（短）'!$P$6:$P$78,"&gt;="&amp;DATE(年度+2018,7,1),'予算差引簿（短）'!$P$6:$P$78,"&lt;"&amp;DATE(年度+2018,8,1))</f>
        <v>0</v>
      </c>
      <c r="G4" s="749">
        <f>SUMIFS('予算差引簿（短）'!$R$6:$R$78,'予算差引簿（短）'!$T$6:$T$78,"確認済",'予算差引簿（短）'!$P$6:$P$78,"&gt;="&amp;DATE(年度+2018,8,1),'予算差引簿（短）'!$P$6:$P$78,"&lt;"&amp;DATE(年度+2018,9,1))</f>
        <v>131903</v>
      </c>
      <c r="H4" s="749">
        <f>SUMIFS('予算差引簿（短）'!$R$6:$R$78,'予算差引簿（短）'!$T$6:$T$78,"確認済",'予算差引簿（短）'!$P$6:$P$78,"&gt;="&amp;DATE(年度+2018,9,1),'予算差引簿（短）'!$P$6:$P$78,"&lt;"&amp;DATE(年度+2018,10,1))</f>
        <v>45203</v>
      </c>
      <c r="I4" s="749">
        <f>SUMIFS('予算差引簿（短）'!$R$6:$R$78,'予算差引簿（短）'!$T$6:$T$78,"確認済",'予算差引簿（短）'!$P$6:$P$78,"&gt;="&amp;DATE(年度+2018,10,1),'予算差引簿（短）'!$P$6:$P$78,"&lt;"&amp;DATE(年度+2018,11,1))</f>
        <v>120039</v>
      </c>
      <c r="J4" s="749">
        <f>SUMIFS('予算差引簿（短）'!$R$6:$R$78,'予算差引簿（短）'!$T$6:$T$78,"確認済",'予算差引簿（短）'!$P$6:$P$78,"&gt;="&amp;DATE(年度+2018,11,1),'予算差引簿（短）'!$P$6:$P$78,"&lt;"&amp;DATE(年度+2018,12,1))</f>
        <v>15200</v>
      </c>
      <c r="K4" s="749">
        <f>SUMIFS('予算差引簿（短）'!$R$6:$R$78,'予算差引簿（短）'!$T$6:$T$78,"確認済",'予算差引簿（短）'!$P$6:$P$78,"&gt;="&amp;DATE(年度+2018,12,1),'予算差引簿（短）'!$P$6:$P$78,"&lt;"&amp;DATE(年度+2019,1,1))</f>
        <v>0</v>
      </c>
      <c r="L4" s="749">
        <f>SUMIFS('予算差引簿（短）'!$R$6:$R$78,'予算差引簿（短）'!$T$6:$T$78,"確認済",'予算差引簿（短）'!$P$6:$P$78,"&gt;="&amp;DATE(年度+2019,1,1),'予算差引簿（短）'!$P$6:$P$78,"&lt;"&amp;DATE(年度+2019,2,1))</f>
        <v>0</v>
      </c>
      <c r="M4" s="749">
        <f>SUMIFS('予算差引簿（短）'!$R$6:$R$78,'予算差引簿（短）'!$T$6:$T$78,"確認済",'予算差引簿（短）'!$P$6:$P$78,"&gt;="&amp;DATE(年度+2019,2,1),'予算差引簿（短）'!$P$6:$P$78,"&lt;"&amp;DATE(年度+2019,3,1))</f>
        <v>0</v>
      </c>
      <c r="N4" s="749">
        <f>SUMIFS('予算差引簿（短）'!$R$6:$R$78,'予算差引簿（短）'!$T$6:$T$78,"確認済",'予算差引簿（短）'!$P$6:$P$78,"&gt;="&amp;DATE(年度+2019,3,1),'予算差引簿（短）'!$P$6:$P$78,"&lt;"&amp;DATE(年度+2019,4,1))</f>
        <v>0</v>
      </c>
      <c r="O4" s="749">
        <f>SUMIFS('予算差引簿（短）未払'!$R$6:$R$17,'予算差引簿（短）未払'!$T$6:$T$17,"確認済")</f>
        <v>0</v>
      </c>
      <c r="P4" s="833">
        <f>SUM(C4:O4)</f>
        <v>429603</v>
      </c>
      <c r="Q4" s="749">
        <f>'R7業務 (短)'!$S$12</f>
        <v>1537000</v>
      </c>
      <c r="R4" s="749">
        <f>IF(Q4="","",Q4-P4)</f>
        <v>1107397</v>
      </c>
      <c r="S4" s="748" t="inlineStr">
        <is>
          <t>Y</t>
        </is>
      </c>
      <c r="T4" s="834" t="str">
        <f>IF(OR('予算差引簿（短）'!T3&lt;&gt;"",'予算差引簿（短）未払'!T3&lt;&gt;""),"行不足","")</f>
        <v/>
      </c>
    </row>
    <row r="5">
      <c r="A5" s="740" t="inlineStr">
        <is>
          <t>図書印刷費</t>
        </is>
      </c>
      <c r="C5" s="749">
        <f>SUMIFS('予算差引簿（短）'!$C$118:$C$175,'予算差引簿（短）'!$E$118:$E$175,"確認済",'予算差引簿（短）'!$A$118:$A$175,"&gt;="&amp;DATE(年度+2018,4,1),'予算差引簿（短）'!$A$118:$A$175,"&lt;"&amp;DATE(年度+2018,5,1))</f>
        <v>99220</v>
      </c>
      <c r="D5" s="749">
        <f>SUMIFS('予算差引簿（短）'!$C$118:$C$175,'予算差引簿（短）'!$E$118:$E$175,"確認済",'予算差引簿（短）'!$A$118:$A$175,"&gt;="&amp;DATE(年度+2018,5,1),'予算差引簿（短）'!$A$118:$A$175,"&lt;"&amp;DATE(年度+2018,6,1))</f>
        <v>33154</v>
      </c>
      <c r="E5" s="749">
        <f>SUMIFS('予算差引簿（短）'!$C$118:$C$175,'予算差引簿（短）'!$E$118:$E$175,"確認済",'予算差引簿（短）'!$A$118:$A$175,"&gt;="&amp;DATE(年度+2018,6,1),'予算差引簿（短）'!$A$118:$A$175,"&lt;"&amp;DATE(年度+2018,7,1))</f>
        <v>33154</v>
      </c>
      <c r="F5" s="749">
        <f>SUMIFS('予算差引簿（短）'!$C$118:$C$175,'予算差引簿（短）'!$E$118:$E$175,"確認済",'予算差引簿（短）'!$A$118:$A$175,"&gt;="&amp;DATE(年度+2018,7,1),'予算差引簿（短）'!$A$118:$A$175,"&lt;"&amp;DATE(年度+2018,8,1))</f>
        <v>33154</v>
      </c>
      <c r="G5" s="749">
        <f>SUMIFS('予算差引簿（短）'!$C$118:$C$175,'予算差引簿（短）'!$E$118:$E$175,"確認済",'予算差引簿（短）'!$A$118:$A$175,"&gt;="&amp;DATE(年度+2018,8,1),'予算差引簿（短）'!$A$118:$A$175,"&lt;"&amp;DATE(年度+2018,9,1))</f>
        <v>198154</v>
      </c>
      <c r="H5" s="749">
        <f>SUMIFS('予算差引簿（短）'!$C$118:$C$175,'予算差引簿（短）'!$E$118:$E$175,"確認済",'予算差引簿（短）'!$A$118:$A$175,"&gt;="&amp;DATE(年度+2018,9,1),'予算差引簿（短）'!$A$118:$A$175,"&lt;"&amp;DATE(年度+2018,10,1))</f>
        <v>187154</v>
      </c>
      <c r="I5" s="749">
        <f>SUMIFS('予算差引簿（短）'!$C$118:$C$175,'予算差引簿（短）'!$E$118:$E$175,"確認済",'予算差引簿（短）'!$A$118:$A$175,"&gt;="&amp;DATE(年度+2018,10,1),'予算差引簿（短）'!$A$118:$A$175,"&lt;"&amp;DATE(年度+2018,11,1))</f>
        <v>54934</v>
      </c>
      <c r="J5" s="749">
        <f>SUMIFS('予算差引簿（短）'!$C$118:$C$175,'予算差引簿（短）'!$E$118:$E$175,"確認済",'予算差引簿（短）'!$A$118:$A$175,"&gt;="&amp;DATE(年度+2018,11,1),'予算差引簿（短）'!$A$118:$A$175,"&lt;"&amp;DATE(年度+2018,12,1))</f>
        <v>0</v>
      </c>
      <c r="K5" s="749">
        <f>SUMIFS('予算差引簿（短）'!$C$118:$C$175,'予算差引簿（短）'!$E$118:$E$175,"確認済",'予算差引簿（短）'!$A$118:$A$175,"&gt;="&amp;DATE(年度+2018,12,1),'予算差引簿（短）'!$A$118:$A$175,"&lt;"&amp;DATE(年度+2019,1,1))</f>
        <v>0</v>
      </c>
      <c r="L5" s="749">
        <f>SUMIFS('予算差引簿（短）'!$C$118:$C$175,'予算差引簿（短）'!$E$118:$E$175,"確認済",'予算差引簿（短）'!$A$118:$A$175,"&gt;="&amp;DATE(年度+2019,1,1),'予算差引簿（短）'!$A$118:$A$175,"&lt;"&amp;DATE(年度+2019,2,1))</f>
        <v>0</v>
      </c>
      <c r="M5" s="749">
        <f>SUMIFS('予算差引簿（短）'!$C$118:$C$175,'予算差引簿（短）'!$E$118:$E$175,"確認済",'予算差引簿（短）'!$A$118:$A$175,"&gt;="&amp;DATE(年度+2019,2,1),'予算差引簿（短）'!$A$118:$A$175,"&lt;"&amp;DATE(年度+2019,3,1))</f>
        <v>0</v>
      </c>
      <c r="N5" s="749">
        <f>SUMIFS('予算差引簿（短）'!$C$118:$C$175,'予算差引簿（短）'!$E$118:$E$175,"確認済",'予算差引簿（短）'!$A$118:$A$175,"&gt;="&amp;DATE(年度+2019,3,1),'予算差引簿（短）'!$A$118:$A$175,"&lt;"&amp;DATE(年度+2019,4,1))</f>
        <v>0</v>
      </c>
      <c r="O5" s="749">
        <f>SUMIFS('予算差引簿（短）未払'!$C$31:$C$42,'予算差引簿（短）未払'!$E$31:$E$42,"確認済")</f>
        <v>0</v>
      </c>
      <c r="P5" s="833">
        <f>SUM(C5:O5)</f>
        <v>638924</v>
      </c>
      <c r="Q5" s="749">
        <f>'R7業務 (短)'!$S$13</f>
        <v>1339000</v>
      </c>
      <c r="R5" s="749">
        <f>IF(Q5="","",Q5-P5)</f>
        <v>700076</v>
      </c>
      <c r="S5" s="748" t="inlineStr">
        <is>
          <t>Y</t>
        </is>
      </c>
      <c r="T5" s="834" t="str">
        <f>IF(OR('予算差引簿（短）'!E115&lt;&gt;"",'予算差引簿（短）未払'!E28&lt;&gt;""),"行不足","")</f>
        <v/>
      </c>
    </row>
    <row r="6">
      <c r="A6" s="740" t="inlineStr">
        <is>
          <t>通信運搬費</t>
        </is>
      </c>
      <c r="C6" s="749">
        <f>SUMIFS('予算差引簿（短）'!$C$6:$C$111,'予算差引簿（短）'!$E$6:$E$111,"確認済",'予算差引簿（短）'!$A$6:$A$111,"&gt;="&amp;DATE(年度+2018,4,1),'予算差引簿（短）'!$A$6:$A$111,"&lt;"&amp;DATE(年度+2018,5,1))</f>
        <v>0</v>
      </c>
      <c r="D6" s="749">
        <f>SUMIFS('予算差引簿（短）'!$C$6:$C$111,'予算差引簿（短）'!$E$6:$E$111,"確認済",'予算差引簿（短）'!$A$6:$A$111,"&gt;="&amp;DATE(年度+2018,5,1),'予算差引簿（短）'!$A$6:$A$111,"&lt;"&amp;DATE(年度+2018,6,1))</f>
        <v>196030</v>
      </c>
      <c r="E6" s="749">
        <f>SUMIFS('予算差引簿（短）'!$C$6:$C$111,'予算差引簿（短）'!$E$6:$E$111,"確認済",'予算差引簿（短）'!$A$6:$A$111,"&gt;="&amp;DATE(年度+2018,6,1),'予算差引簿（短）'!$A$6:$A$111,"&lt;"&amp;DATE(年度+2018,7,1))</f>
        <v>48793</v>
      </c>
      <c r="F6" s="749">
        <f>SUMIFS('予算差引簿（短）'!$C$6:$C$111,'予算差引簿（短）'!$E$6:$E$111,"確認済",'予算差引簿（短）'!$A$6:$A$111,"&gt;="&amp;DATE(年度+2018,7,1),'予算差引簿（短）'!$A$6:$A$111,"&lt;"&amp;DATE(年度+2018,8,1))</f>
        <v>26523</v>
      </c>
      <c r="G6" s="749">
        <f>SUMIFS('予算差引簿（短）'!$C$6:$C$111,'予算差引簿（短）'!$E$6:$E$111,"確認済",'予算差引簿（短）'!$A$6:$A$111,"&gt;="&amp;DATE(年度+2018,8,1),'予算差引簿（短）'!$A$6:$A$111,"&lt;"&amp;DATE(年度+2018,9,1))</f>
        <v>71449</v>
      </c>
      <c r="H6" s="749">
        <f>SUMIFS('予算差引簿（短）'!$C$6:$C$111,'予算差引簿（短）'!$E$6:$E$111,"確認済",'予算差引簿（短）'!$A$6:$A$111,"&gt;="&amp;DATE(年度+2018,9,1),'予算差引簿（短）'!$A$6:$A$111,"&lt;"&amp;DATE(年度+2018,10,1))</f>
        <v>26460</v>
      </c>
      <c r="I6" s="749">
        <f>SUMIFS('予算差引簿（短）'!$C$6:$C$111,'予算差引簿（短）'!$E$6:$E$111,"確認済",'予算差引簿（短）'!$A$6:$A$111,"&gt;="&amp;DATE(年度+2018,10,1),'予算差引簿（短）'!$A$6:$A$111,"&lt;"&amp;DATE(年度+2018,11,1))</f>
        <v>35068</v>
      </c>
      <c r="J6" s="749">
        <f>SUMIFS('予算差引簿（短）'!$C$6:$C$111,'予算差引簿（短）'!$E$6:$E$111,"確認済",'予算差引簿（短）'!$A$6:$A$111,"&gt;="&amp;DATE(年度+2018,11,1),'予算差引簿（短）'!$A$6:$A$111,"&lt;"&amp;DATE(年度+2018,12,1))</f>
        <v>13090</v>
      </c>
      <c r="K6" s="749">
        <f>SUMIFS('予算差引簿（短）'!$C$6:$C$111,'予算差引簿（短）'!$E$6:$E$111,"確認済",'予算差引簿（短）'!$A$6:$A$111,"&gt;="&amp;DATE(年度+2018,12,1),'予算差引簿（短）'!$A$6:$A$111,"&lt;"&amp;DATE(年度+2019,1,1))</f>
        <v>0</v>
      </c>
      <c r="L6" s="749">
        <f>SUMIFS('予算差引簿（短）'!$C$6:$C$111,'予算差引簿（短）'!$E$6:$E$111,"確認済",'予算差引簿（短）'!$A$6:$A$111,"&gt;="&amp;DATE(年度+2019,1,1),'予算差引簿（短）'!$A$6:$A$111,"&lt;"&amp;DATE(年度+2019,2,1))</f>
        <v>0</v>
      </c>
      <c r="M6" s="749">
        <f>SUMIFS('予算差引簿（短）'!$C$6:$C$111,'予算差引簿（短）'!$E$6:$E$111,"確認済",'予算差引簿（短）'!$A$6:$A$111,"&gt;="&amp;DATE(年度+2019,2,1),'予算差引簿（短）'!$A$6:$A$111,"&lt;"&amp;DATE(年度+2019,3,1))</f>
        <v>0</v>
      </c>
      <c r="N6" s="749">
        <f>SUMIFS('予算差引簿（短）'!$C$6:$C$111,'予算差引簿（短）'!$E$6:$E$111,"確認済",'予算差引簿（短）'!$A$6:$A$111,"&gt;="&amp;DATE(年度+2019,3,1),'予算差引簿（短）'!$A$6:$A$111,"&lt;"&amp;DATE(年度+2019,4,1))</f>
        <v>0</v>
      </c>
      <c r="O6" s="749">
        <f>SUMIFS('予算差引簿（短）未払'!$H$6:$H$23,'予算差引簿（短）未払'!$J$6:$J$23,"確認済")</f>
        <v>0</v>
      </c>
      <c r="P6" s="833">
        <f>SUM(C6:O6)</f>
        <v>417413</v>
      </c>
      <c r="Q6" s="749">
        <f>'R7業務 (短)'!$S$15</f>
        <v>983000</v>
      </c>
      <c r="R6" s="749">
        <f>IF(Q6="","",Q6-P6)</f>
        <v>565587</v>
      </c>
      <c r="S6" s="748" t="inlineStr">
        <is>
          <t>Y</t>
        </is>
      </c>
      <c r="T6" s="834" t="str">
        <f>IF(OR('予算差引簿（短）'!E3&lt;&gt;"",'予算差引簿（短）未払'!J3&lt;&gt;""),"行不足","")</f>
        <v/>
      </c>
    </row>
    <row r="7">
      <c r="A7" s="740" t="inlineStr">
        <is>
          <t>送金料</t>
        </is>
      </c>
      <c r="C7" s="749">
        <f>SUMIFS('予算差引簿（短）'!$H$118:$H$157,'予算差引簿（短）'!$J$118:$J$157,"確認済",'予算差引簿（短）'!$F$118:$F$157,"&gt;="&amp;DATE(年度+2018,4,1),'予算差引簿（短）'!$F$118:$F$157,"&lt;"&amp;DATE(年度+2018,5,1))</f>
        <v>0</v>
      </c>
      <c r="D7" s="749">
        <f>SUMIFS('予算差引簿（短）'!$H$118:$H$157,'予算差引簿（短）'!$J$118:$J$157,"確認済",'予算差引簿（短）'!$F$118:$F$157,"&gt;="&amp;DATE(年度+2018,5,1),'予算差引簿（短）'!$F$118:$F$157,"&lt;"&amp;DATE(年度+2018,6,1))</f>
        <v>248902</v>
      </c>
      <c r="E7" s="749">
        <f>SUMIFS('予算差引簿（短）'!$H$118:$H$157,'予算差引簿（短）'!$J$118:$J$157,"確認済",'予算差引簿（短）'!$F$118:$F$157,"&gt;="&amp;DATE(年度+2018,6,1),'予算差引簿（短）'!$F$118:$F$157,"&lt;"&amp;DATE(年度+2018,7,1))</f>
        <v>151312</v>
      </c>
      <c r="F7" s="749">
        <f>SUMIFS('予算差引簿（短）'!$H$118:$H$157,'予算差引簿（短）'!$J$118:$J$157,"確認済",'予算差引簿（短）'!$F$118:$F$157,"&gt;="&amp;DATE(年度+2018,7,1),'予算差引簿（短）'!$F$118:$F$157,"&lt;"&amp;DATE(年度+2018,8,1))</f>
        <v>143987</v>
      </c>
      <c r="G7" s="749">
        <f>SUMIFS('予算差引簿（短）'!$H$118:$H$157,'予算差引簿（短）'!$J$118:$J$157,"確認済",'予算差引簿（短）'!$F$118:$F$157,"&gt;="&amp;DATE(年度+2018,8,1),'予算差引簿（短）'!$F$118:$F$157,"&lt;"&amp;DATE(年度+2018,9,1))</f>
        <v>156753</v>
      </c>
      <c r="H7" s="749">
        <f>SUMIFS('予算差引簿（短）'!$H$118:$H$157,'予算差引簿（短）'!$J$118:$J$157,"確認済",'予算差引簿（短）'!$F$118:$F$157,"&gt;="&amp;DATE(年度+2018,9,1),'予算差引簿（短）'!$F$118:$F$157,"&lt;"&amp;DATE(年度+2018,10,1))</f>
        <v>162548</v>
      </c>
      <c r="I7" s="749">
        <f>SUMIFS('予算差引簿（短）'!$H$118:$H$157,'予算差引簿（短）'!$J$118:$J$157,"確認済",'予算差引簿（短）'!$F$118:$F$157,"&gt;="&amp;DATE(年度+2018,10,1),'予算差引簿（短）'!$F$118:$F$157,"&lt;"&amp;DATE(年度+2018,11,1))</f>
        <v>179911</v>
      </c>
      <c r="J7" s="749">
        <f>SUMIFS('予算差引簿（短）'!$H$118:$H$157,'予算差引簿（短）'!$J$118:$J$157,"確認済",'予算差引簿（短）'!$F$118:$F$157,"&gt;="&amp;DATE(年度+2018,11,1),'予算差引簿（短）'!$F$118:$F$157,"&lt;"&amp;DATE(年度+2018,12,1))</f>
        <v>0</v>
      </c>
      <c r="K7" s="749">
        <f>SUMIFS('予算差引簿（短）'!$H$118:$H$157,'予算差引簿（短）'!$J$118:$J$157,"確認済",'予算差引簿（短）'!$F$118:$F$157,"&gt;="&amp;DATE(年度+2018,12,1),'予算差引簿（短）'!$F$118:$F$157,"&lt;"&amp;DATE(年度+2019,1,1))</f>
        <v>0</v>
      </c>
      <c r="L7" s="749">
        <f>SUMIFS('予算差引簿（短）'!$H$118:$H$157,'予算差引簿（短）'!$J$118:$J$157,"確認済",'予算差引簿（短）'!$F$118:$F$157,"&gt;="&amp;DATE(年度+2019,1,1),'予算差引簿（短）'!$F$118:$F$157,"&lt;"&amp;DATE(年度+2019,2,1))</f>
        <v>0</v>
      </c>
      <c r="M7" s="749">
        <f>SUMIFS('予算差引簿（短）'!$H$118:$H$157,'予算差引簿（短）'!$J$118:$J$157,"確認済",'予算差引簿（短）'!$F$118:$F$157,"&gt;="&amp;DATE(年度+2019,2,1),'予算差引簿（短）'!$F$118:$F$157,"&lt;"&amp;DATE(年度+2019,3,1))</f>
        <v>0</v>
      </c>
      <c r="N7" s="749">
        <f>SUMIFS('予算差引簿（短）'!$H$118:$H$157,'予算差引簿（短）'!$J$118:$J$157,"確認済",'予算差引簿（短）'!$F$118:$F$157,"&gt;="&amp;DATE(年度+2019,3,1),'予算差引簿（短）'!$F$118:$F$157,"&lt;"&amp;DATE(年度+2019,4,1))</f>
        <v>0</v>
      </c>
      <c r="O7" s="749">
        <f>SUMIFS('予算差引簿（短）未払'!$H$31:$H$42,'予算差引簿（短）未払'!$J$31:$J$42,"確認済")</f>
        <v>0</v>
      </c>
      <c r="P7" s="833">
        <f>SUM(C7:O7)</f>
        <v>1043413</v>
      </c>
      <c r="Q7" s="749">
        <f>'R7業務 (短)'!$S$14</f>
        <v>1852000</v>
      </c>
      <c r="R7" s="749">
        <f>IF(Q7="","",Q7-P7)</f>
        <v>808587</v>
      </c>
      <c r="S7" s="748" t="inlineStr">
        <is>
          <t>Y</t>
        </is>
      </c>
      <c r="T7" s="834" t="str">
        <f>IF(OR('予算差引簿（短）'!J115&lt;&gt;"",'予算差引簿（短）未払'!J28&lt;&gt;""),"行不足","")</f>
        <v/>
      </c>
    </row>
    <row r="8">
      <c r="A8" s="740" t="inlineStr">
        <is>
          <t>事務費・雑費</t>
        </is>
      </c>
      <c r="C8" s="749">
        <f>SUMIFS('予算差引簿（短）'!$R$118:$R$150,'予算差引簿（短）'!$T$118:$T$150,"確認済",'予算差引簿（短）'!$P$118:$P$150,"&gt;="&amp;DATE(年度+2018,4,1),'予算差引簿（短）'!$P$118:$P$150,"&lt;"&amp;DATE(年度+2018,5,1))</f>
        <v>0</v>
      </c>
      <c r="D8" s="749">
        <f>SUMIFS('予算差引簿（短）'!$R$118:$R$150,'予算差引簿（短）'!$T$118:$T$150,"確認済",'予算差引簿（短）'!$P$118:$P$150,"&gt;="&amp;DATE(年度+2018,5,1),'予算差引簿（短）'!$P$118:$P$150,"&lt;"&amp;DATE(年度+2018,6,1))</f>
        <v>550</v>
      </c>
      <c r="E8" s="749">
        <f>SUMIFS('予算差引簿（短）'!$R$118:$R$150,'予算差引簿（短）'!$T$118:$T$150,"確認済",'予算差引簿（短）'!$P$118:$P$150,"&gt;="&amp;DATE(年度+2018,6,1),'予算差引簿（短）'!$P$118:$P$150,"&lt;"&amp;DATE(年度+2018,7,1))</f>
        <v>550</v>
      </c>
      <c r="F8" s="749">
        <f>SUMIFS('予算差引簿（短）'!$R$118:$R$150,'予算差引簿（短）'!$T$118:$T$150,"確認済",'予算差引簿（短）'!$P$118:$P$150,"&gt;="&amp;DATE(年度+2018,7,1),'予算差引簿（短）'!$P$118:$P$150,"&lt;"&amp;DATE(年度+2018,8,1))</f>
        <v>550</v>
      </c>
      <c r="G8" s="749">
        <f>SUMIFS('予算差引簿（短）'!$R$118:$R$150,'予算差引簿（短）'!$T$118:$T$150,"確認済",'予算差引簿（短）'!$P$118:$P$150,"&gt;="&amp;DATE(年度+2018,8,1),'予算差引簿（短）'!$P$118:$P$150,"&lt;"&amp;DATE(年度+2018,9,1))</f>
        <v>550</v>
      </c>
      <c r="H8" s="749">
        <f>SUMIFS('予算差引簿（短）'!$R$118:$R$150,'予算差引簿（短）'!$T$118:$T$150,"確認済",'予算差引簿（短）'!$P$118:$P$150,"&gt;="&amp;DATE(年度+2018,9,1),'予算差引簿（短）'!$P$118:$P$150,"&lt;"&amp;DATE(年度+2018,10,1))</f>
        <v>550</v>
      </c>
      <c r="I8" s="749">
        <f>SUMIFS('予算差引簿（短）'!$R$118:$R$150,'予算差引簿（短）'!$T$118:$T$150,"確認済",'予算差引簿（短）'!$P$118:$P$150,"&gt;="&amp;DATE(年度+2018,10,1),'予算差引簿（短）'!$P$118:$P$150,"&lt;"&amp;DATE(年度+2018,11,1))</f>
        <v>550</v>
      </c>
      <c r="J8" s="749">
        <f>SUMIFS('予算差引簿（短）'!$R$118:$R$150,'予算差引簿（短）'!$T$118:$T$150,"確認済",'予算差引簿（短）'!$P$118:$P$150,"&gt;="&amp;DATE(年度+2018,11,1),'予算差引簿（短）'!$P$118:$P$150,"&lt;"&amp;DATE(年度+2018,12,1))</f>
        <v>0</v>
      </c>
      <c r="K8" s="749">
        <f>SUMIFS('予算差引簿（短）'!$R$118:$R$150,'予算差引簿（短）'!$T$118:$T$150,"確認済",'予算差引簿（短）'!$P$118:$P$150,"&gt;="&amp;DATE(年度+2018,12,1),'予算差引簿（短）'!$P$118:$P$150,"&lt;"&amp;DATE(年度+2019,1,1))</f>
        <v>0</v>
      </c>
      <c r="L8" s="749">
        <f>SUMIFS('予算差引簿（短）'!$R$118:$R$150,'予算差引簿（短）'!$T$118:$T$150,"確認済",'予算差引簿（短）'!$P$118:$P$150,"&gt;="&amp;DATE(年度+2019,1,1),'予算差引簿（短）'!$P$118:$P$150,"&lt;"&amp;DATE(年度+2019,2,1))</f>
        <v>0</v>
      </c>
      <c r="M8" s="749">
        <f>SUMIFS('予算差引簿（短）'!$R$118:$R$150,'予算差引簿（短）'!$T$118:$T$150,"確認済",'予算差引簿（短）'!$P$118:$P$150,"&gt;="&amp;DATE(年度+2019,2,1),'予算差引簿（短）'!$P$118:$P$150,"&lt;"&amp;DATE(年度+2019,3,1))</f>
        <v>0</v>
      </c>
      <c r="N8" s="749">
        <f>SUMIFS('予算差引簿（短）'!$R$118:$R$150,'予算差引簿（短）'!$T$118:$T$150,"確認済",'予算差引簿（短）'!$P$118:$P$150,"&gt;="&amp;DATE(年度+2019,3,1),'予算差引簿（短）'!$P$118:$P$150,"&lt;"&amp;DATE(年度+2019,4,1))</f>
        <v>0</v>
      </c>
      <c r="O8" s="749">
        <f>SUMIFS('予算差引簿（短）未払'!$M$31:$M$42,'予算差引簿（短）未払'!$O$31:$O$42,"確認済")</f>
        <v>0</v>
      </c>
      <c r="P8" s="833">
        <f>SUM(C8:O8)</f>
        <v>3300</v>
      </c>
      <c r="Q8" s="749">
        <f>'R7業務 (短)'!$S$17</f>
        <v>0</v>
      </c>
      <c r="R8" s="749">
        <f>IF(Q8="","",Q8-P8)</f>
        <v>-3300</v>
      </c>
      <c r="S8" s="748" t="inlineStr">
        <is>
          <t>Y</t>
        </is>
      </c>
      <c r="T8" s="834" t="str">
        <f>IF(OR('予算差引簿（短）'!T115&lt;&gt;"",'予算差引簿（短）未払'!O28&lt;&gt;""),"行不足","")</f>
        <v/>
      </c>
    </row>
    <row r="9">
      <c r="A9" s="740" t="inlineStr">
        <is>
          <t>会議費</t>
        </is>
      </c>
      <c r="C9" s="749">
        <f>SUMIFS('予算差引簿（短）'!$R$216:$R$227,'予算差引簿（短）'!$T$216:$T$227,"確認済",'予算差引簿（短）'!$P$216:$P$227,"&gt;="&amp;DATE(年度+2018,4,1),'予算差引簿（短）'!$P$216:$P$227,"&lt;"&amp;DATE(年度+2018,5,1))</f>
        <v>0</v>
      </c>
      <c r="D9" s="749">
        <f>SUMIFS('予算差引簿（短）'!$R$216:$R$227,'予算差引簿（短）'!$T$216:$T$227,"確認済",'予算差引簿（短）'!$P$216:$P$227,"&gt;="&amp;DATE(年度+2018,5,1),'予算差引簿（短）'!$P$216:$P$227,"&lt;"&amp;DATE(年度+2018,6,1))</f>
        <v>0</v>
      </c>
      <c r="E9" s="749">
        <f>SUMIFS('予算差引簿（短）'!$R$216:$R$227,'予算差引簿（短）'!$T$216:$T$227,"確認済",'予算差引簿（短）'!$P$216:$P$227,"&gt;="&amp;DATE(年度+2018,6,1),'予算差引簿（短）'!$P$216:$P$227,"&lt;"&amp;DATE(年度+2018,7,1))</f>
        <v>0</v>
      </c>
      <c r="F9" s="749">
        <f>SUMIFS('予算差引簿（短）'!$R$216:$R$227,'予算差引簿（短）'!$T$216:$T$227,"確認済",'予算差引簿（短）'!$P$216:$P$227,"&gt;="&amp;DATE(年度+2018,7,1),'予算差引簿（短）'!$P$216:$P$227,"&lt;"&amp;DATE(年度+2018,8,1))</f>
        <v>0</v>
      </c>
      <c r="G9" s="749">
        <f>SUMIFS('予算差引簿（短）'!$R$216:$R$227,'予算差引簿（短）'!$T$216:$T$227,"確認済",'予算差引簿（短）'!$P$216:$P$227,"&gt;="&amp;DATE(年度+2018,8,1),'予算差引簿（短）'!$P$216:$P$227,"&lt;"&amp;DATE(年度+2018,9,1))</f>
        <v>0</v>
      </c>
      <c r="H9" s="749">
        <f>SUMIFS('予算差引簿（短）'!$R$216:$R$227,'予算差引簿（短）'!$T$216:$T$227,"確認済",'予算差引簿（短）'!$P$216:$P$227,"&gt;="&amp;DATE(年度+2018,9,1),'予算差引簿（短）'!$P$216:$P$227,"&lt;"&amp;DATE(年度+2018,10,1))</f>
        <v>0</v>
      </c>
      <c r="I9" s="749">
        <f>SUMIFS('予算差引簿（短）'!$R$216:$R$227,'予算差引簿（短）'!$T$216:$T$227,"確認済",'予算差引簿（短）'!$P$216:$P$227,"&gt;="&amp;DATE(年度+2018,10,1),'予算差引簿（短）'!$P$216:$P$227,"&lt;"&amp;DATE(年度+2018,11,1))</f>
        <v>0</v>
      </c>
      <c r="J9" s="749">
        <f>SUMIFS('予算差引簿（短）'!$R$216:$R$227,'予算差引簿（短）'!$T$216:$T$227,"確認済",'予算差引簿（短）'!$P$216:$P$227,"&gt;="&amp;DATE(年度+2018,11,1),'予算差引簿（短）'!$P$216:$P$227,"&lt;"&amp;DATE(年度+2018,12,1))</f>
        <v>0</v>
      </c>
      <c r="K9" s="749">
        <f>SUMIFS('予算差引簿（短）'!$R$216:$R$227,'予算差引簿（短）'!$T$216:$T$227,"確認済",'予算差引簿（短）'!$P$216:$P$227,"&gt;="&amp;DATE(年度+2018,12,1),'予算差引簿（短）'!$P$216:$P$227,"&lt;"&amp;DATE(年度+2019,1,1))</f>
        <v>0</v>
      </c>
      <c r="L9" s="749">
        <f>SUMIFS('予算差引簿（短）'!$R$216:$R$227,'予算差引簿（短）'!$T$216:$T$227,"確認済",'予算差引簿（短）'!$P$216:$P$227,"&gt;="&amp;DATE(年度+2019,1,1),'予算差引簿（短）'!$P$216:$P$227,"&lt;"&amp;DATE(年度+2019,2,1))</f>
        <v>0</v>
      </c>
      <c r="M9" s="749">
        <f>SUMIFS('予算差引簿（短）'!$R$216:$R$227,'予算差引簿（短）'!$T$216:$T$227,"確認済",'予算差引簿（短）'!$P$216:$P$227,"&gt;="&amp;DATE(年度+2019,2,1),'予算差引簿（短）'!$P$216:$P$227,"&lt;"&amp;DATE(年度+2019,3,1))</f>
        <v>0</v>
      </c>
      <c r="N9" s="749">
        <f>SUMIFS('予算差引簿（短）'!$R$216:$R$227,'予算差引簿（短）'!$T$216:$T$227,"確認済",'予算差引簿（短）'!$P$216:$P$227,"&gt;="&amp;DATE(年度+2019,3,1),'予算差引簿（短）'!$P$216:$P$227,"&lt;"&amp;DATE(年度+2019,4,1))</f>
        <v>0</v>
      </c>
      <c r="O9" s="749">
        <f>SUMIFS('予算差引簿（短）未払'!$R$31:$R$42,'予算差引簿（短）未払'!$T$31:$T$42,"確認済")</f>
        <v>0</v>
      </c>
      <c r="P9" s="833">
        <f>SUM(C9:O9)</f>
        <v>0</v>
      </c>
      <c r="Q9" s="749">
        <f>'R7業務 (短)'!$S$16</f>
        <v>0</v>
      </c>
      <c r="R9" s="749">
        <f>IF(Q9="","",Q9-P9)</f>
        <v>0</v>
      </c>
      <c r="S9" s="748" t="inlineStr">
        <is>
          <t>Y</t>
        </is>
      </c>
      <c r="T9" s="834" t="str">
        <f>IF(OR('予算差引簿（短）'!T213&lt;&gt;"",'予算差引簿（短）未払'!T28&lt;&gt;""),"行不足","")</f>
        <v/>
      </c>
    </row>
    <row r="10">
      <c r="A10" s="740" t="inlineStr">
        <is>
          <t>旅費</t>
        </is>
      </c>
      <c r="C10" s="749">
        <f>SUMIFS('予算差引簿（短）'!$M$118:$M$157,'予算差引簿（短）'!$O$118:$O$157,"確認済",'予算差引簿（短）'!$K$118:$K$157,"&gt;="&amp;DATE(年度+2018,4,1),'予算差引簿（短）'!$K$118:$K$157,"&lt;"&amp;DATE(年度+2018,5,1))</f>
        <v>0</v>
      </c>
      <c r="D10" s="749">
        <f>SUMIFS('予算差引簿（短）'!$M$118:$M$157,'予算差引簿（短）'!$O$118:$O$157,"確認済",'予算差引簿（短）'!$K$118:$K$157,"&gt;="&amp;DATE(年度+2018,5,1),'予算差引簿（短）'!$K$118:$K$157,"&lt;"&amp;DATE(年度+2018,6,1))</f>
        <v>0</v>
      </c>
      <c r="E10" s="749">
        <f>SUMIFS('予算差引簿（短）'!$M$118:$M$157,'予算差引簿（短）'!$O$118:$O$157,"確認済",'予算差引簿（短）'!$K$118:$K$157,"&gt;="&amp;DATE(年度+2018,6,1),'予算差引簿（短）'!$K$118:$K$157,"&lt;"&amp;DATE(年度+2018,7,1))</f>
        <v>39656</v>
      </c>
      <c r="F10" s="749">
        <f>SUMIFS('予算差引簿（短）'!$M$118:$M$157,'予算差引簿（短）'!$O$118:$O$157,"確認済",'予算差引簿（短）'!$K$118:$K$157,"&gt;="&amp;DATE(年度+2018,7,1),'予算差引簿（短）'!$K$118:$K$157,"&lt;"&amp;DATE(年度+2018,8,1))</f>
        <v>0</v>
      </c>
      <c r="G10" s="749">
        <f>SUMIFS('予算差引簿（短）'!$M$118:$M$157,'予算差引簿（短）'!$O$118:$O$157,"確認済",'予算差引簿（短）'!$K$118:$K$157,"&gt;="&amp;DATE(年度+2018,8,1),'予算差引簿（短）'!$K$118:$K$157,"&lt;"&amp;DATE(年度+2018,9,1))</f>
        <v>29068</v>
      </c>
      <c r="H10" s="749">
        <f>SUMIFS('予算差引簿（短）'!$M$118:$M$157,'予算差引簿（短）'!$O$118:$O$157,"確認済",'予算差引簿（短）'!$K$118:$K$157,"&gt;="&amp;DATE(年度+2018,9,1),'予算差引簿（短）'!$K$118:$K$157,"&lt;"&amp;DATE(年度+2018,10,1))</f>
        <v>0</v>
      </c>
      <c r="I10" s="749">
        <f>SUMIFS('予算差引簿（短）'!$M$118:$M$157,'予算差引簿（短）'!$O$118:$O$157,"確認済",'予算差引簿（短）'!$K$118:$K$157,"&gt;="&amp;DATE(年度+2018,10,1),'予算差引簿（短）'!$K$118:$K$157,"&lt;"&amp;DATE(年度+2018,11,1))</f>
        <v>19302</v>
      </c>
      <c r="J10" s="749">
        <f>SUMIFS('予算差引簿（短）'!$M$118:$M$157,'予算差引簿（短）'!$O$118:$O$157,"確認済",'予算差引簿（短）'!$K$118:$K$157,"&gt;="&amp;DATE(年度+2018,11,1),'予算差引簿（短）'!$K$118:$K$157,"&lt;"&amp;DATE(年度+2018,12,1))</f>
        <v>0</v>
      </c>
      <c r="K10" s="749">
        <f>SUMIFS('予算差引簿（短）'!$M$118:$M$157,'予算差引簿（短）'!$O$118:$O$157,"確認済",'予算差引簿（短）'!$K$118:$K$157,"&gt;="&amp;DATE(年度+2018,12,1),'予算差引簿（短）'!$K$118:$K$157,"&lt;"&amp;DATE(年度+2019,1,1))</f>
        <v>0</v>
      </c>
      <c r="L10" s="749">
        <f>SUMIFS('予算差引簿（短）'!$M$118:$M$157,'予算差引簿（短）'!$O$118:$O$157,"確認済",'予算差引簿（短）'!$K$118:$K$157,"&gt;="&amp;DATE(年度+2019,1,1),'予算差引簿（短）'!$K$118:$K$157,"&lt;"&amp;DATE(年度+2019,2,1))</f>
        <v>0</v>
      </c>
      <c r="M10" s="749">
        <f>SUMIFS('予算差引簿（短）'!$M$118:$M$157,'予算差引簿（短）'!$O$118:$O$157,"確認済",'予算差引簿（短）'!$K$118:$K$157,"&gt;="&amp;DATE(年度+2019,2,1),'予算差引簿（短）'!$K$118:$K$157,"&lt;"&amp;DATE(年度+2019,3,1))</f>
        <v>0</v>
      </c>
      <c r="N10" s="749">
        <f>SUMIFS('予算差引簿（短）'!$M$118:$M$157,'予算差引簿（短）'!$O$118:$O$157,"確認済",'予算差引簿（短）'!$K$118:$K$157,"&gt;="&amp;DATE(年度+2019,3,1),'予算差引簿（短）'!$K$118:$K$157,"&lt;"&amp;DATE(年度+2019,4,1))</f>
        <v>0</v>
      </c>
      <c r="O10" s="749">
        <f>SUMIFS('予算差引簿（短）未払'!$C$49:$C$60,'予算差引簿（短）未払'!$E$49:$E$60,"確認済")</f>
        <v>0</v>
      </c>
      <c r="P10" s="833">
        <f>SUM(C10:O10)</f>
        <v>88026</v>
      </c>
      <c r="Q10" s="749">
        <f>'R7業務 (短)'!$S$11</f>
        <v>98000</v>
      </c>
      <c r="R10" s="749">
        <f>IF(Q10="","",Q10-P10)</f>
        <v>9974</v>
      </c>
      <c r="S10" s="748" t="inlineStr">
        <is>
          <t>Y</t>
        </is>
      </c>
      <c r="T10" s="834" t="str">
        <f>IF(OR('予算差引簿（短）'!O115&lt;&gt;"",'予算差引簿（短）未払'!E46&lt;&gt;""),"行不足","")</f>
        <v/>
      </c>
    </row>
    <row r="11">
      <c r="A11" s="740" t="inlineStr">
        <is>
          <t>委託費</t>
        </is>
      </c>
      <c r="C11" s="749">
        <f>SUMIFS('予算差引簿（短）'!$H$6:$H$108,'予算差引簿（短）'!$J$6:$J$108,"確認済",'予算差引簿（短）'!$F$6:$F$108,"&gt;="&amp;DATE(年度+2018,4,1),'予算差引簿（短）'!$F$6:$F$108,"&lt;"&amp;DATE(年度+2018,5,1))</f>
        <v>60235</v>
      </c>
      <c r="D11" s="749">
        <f>SUMIFS('予算差引簿（短）'!$H$6:$H$108,'予算差引簿（短）'!$J$6:$J$108,"確認済",'予算差引簿（短）'!$F$6:$F$108,"&gt;="&amp;DATE(年度+2018,5,1),'予算差引簿（短）'!$F$6:$F$108,"&lt;"&amp;DATE(年度+2018,6,1))</f>
        <v>2146895</v>
      </c>
      <c r="E11" s="749">
        <f>SUMIFS('予算差引簿（短）'!$H$6:$H$108,'予算差引簿（短）'!$J$6:$J$108,"確認済",'予算差引簿（短）'!$F$6:$F$108,"&gt;="&amp;DATE(年度+2018,6,1),'予算差引簿（短）'!$F$6:$F$108,"&lt;"&amp;DATE(年度+2018,7,1))</f>
        <v>188645</v>
      </c>
      <c r="F11" s="749">
        <f>SUMIFS('予算差引簿（短）'!$H$6:$H$108,'予算差引簿（短）'!$J$6:$J$108,"確認済",'予算差引簿（短）'!$F$6:$F$108,"&gt;="&amp;DATE(年度+2018,7,1),'予算差引簿（短）'!$F$6:$F$108,"&lt;"&amp;DATE(年度+2018,8,1))</f>
        <v>166167</v>
      </c>
      <c r="G11" s="749">
        <f>SUMIFS('予算差引簿（短）'!$H$6:$H$108,'予算差引簿（短）'!$J$6:$J$108,"確認済",'予算差引簿（短）'!$F$6:$F$108,"&gt;="&amp;DATE(年度+2018,8,1),'予算差引簿（短）'!$F$6:$F$108,"&lt;"&amp;DATE(年度+2018,9,1))</f>
        <v>226857</v>
      </c>
      <c r="H11" s="749">
        <f>SUMIFS('予算差引簿（短）'!$H$6:$H$108,'予算差引簿（短）'!$J$6:$J$108,"確認済",'予算差引簿（短）'!$F$6:$F$108,"&gt;="&amp;DATE(年度+2018,9,1),'予算差引簿（短）'!$F$6:$F$108,"&lt;"&amp;DATE(年度+2018,10,1))</f>
        <v>1758851</v>
      </c>
      <c r="I11" s="749">
        <f>SUMIFS('予算差引簿（短）'!$H$6:$H$108,'予算差引簿（短）'!$J$6:$J$108,"確認済",'予算差引簿（短）'!$F$6:$F$108,"&gt;="&amp;DATE(年度+2018,10,1),'予算差引簿（短）'!$F$6:$F$108,"&lt;"&amp;DATE(年度+2018,11,1))</f>
        <v>184639</v>
      </c>
      <c r="J11" s="749">
        <f>SUMIFS('予算差引簿（短）'!$H$6:$H$108,'予算差引簿（短）'!$J$6:$J$108,"確認済",'予算差引簿（短）'!$F$6:$F$108,"&gt;="&amp;DATE(年度+2018,11,1),'予算差引簿（短）'!$F$6:$F$108,"&lt;"&amp;DATE(年度+2018,12,1))</f>
        <v>0</v>
      </c>
      <c r="K11" s="749">
        <f>SUMIFS('予算差引簿（短）'!$H$6:$H$108,'予算差引簿（短）'!$J$6:$J$108,"確認済",'予算差引簿（短）'!$F$6:$F$108,"&gt;="&amp;DATE(年度+2018,12,1),'予算差引簿（短）'!$F$6:$F$108,"&lt;"&amp;DATE(年度+2019,1,1))</f>
        <v>0</v>
      </c>
      <c r="L11" s="749">
        <f>SUMIFS('予算差引簿（短）'!$H$6:$H$108,'予算差引簿（短）'!$J$6:$J$108,"確認済",'予算差引簿（短）'!$F$6:$F$108,"&gt;="&amp;DATE(年度+2019,1,1),'予算差引簿（短）'!$F$6:$F$108,"&lt;"&amp;DATE(年度+2019,2,1))</f>
        <v>0</v>
      </c>
      <c r="M11" s="749">
        <f>SUMIFS('予算差引簿（短）'!$H$6:$H$108,'予算差引簿（短）'!$J$6:$J$108,"確認済",'予算差引簿（短）'!$F$6:$F$108,"&gt;="&amp;DATE(年度+2019,2,1),'予算差引簿（短）'!$F$6:$F$108,"&lt;"&amp;DATE(年度+2019,3,1))</f>
        <v>0</v>
      </c>
      <c r="N11" s="749">
        <f>SUMIFS('予算差引簿（短）'!$H$6:$H$108,'予算差引簿（短）'!$J$6:$J$108,"確認済",'予算差引簿（短）'!$F$6:$F$108,"&gt;="&amp;DATE(年度+2019,3,1),'予算差引簿（短）'!$F$6:$F$108,"&lt;"&amp;DATE(年度+2019,4,1))</f>
        <v>0</v>
      </c>
      <c r="O11" s="749">
        <f>SUMIFS('予算差引簿（短）未払'!$C$6:$C$24,'予算差引簿（短）未払'!$E$6:$E$24,"確認済")</f>
        <v>0</v>
      </c>
      <c r="P11" s="833">
        <f>SUM(C11:O11)</f>
        <v>4732289</v>
      </c>
      <c r="Q11" s="749">
        <f>'R7業務 (短)'!$S$20</f>
        <v>10478000</v>
      </c>
      <c r="R11" s="749">
        <f>IF(Q11="","",Q11-P11)</f>
        <v>5745711</v>
      </c>
      <c r="S11" s="748" t="inlineStr">
        <is>
          <t>Y</t>
        </is>
      </c>
      <c r="T11" s="834" t="str">
        <f>IF(OR('予算差引簿（短）'!J3&lt;&gt;"",'予算差引簿（短）未払'!E3&lt;&gt;""),"行不足","")</f>
        <v/>
      </c>
    </row>
    <row r="12">
      <c r="A12" s="740" t="inlineStr">
        <is>
          <t>賃借料</t>
        </is>
      </c>
      <c r="C12" s="749">
        <f>SUMIFS('予算差引簿（短）'!$M$6:$M$89,'予算差引簿（短）'!$O$6:$O$89,"確認済",'予算差引簿（短）'!$K$6:$K$89,"&gt;="&amp;DATE(年度+2018,4,1),'予算差引簿（短）'!$K$6:$K$89,"&lt;"&amp;DATE(年度+2018,5,1))</f>
        <v>0</v>
      </c>
      <c r="D12" s="749">
        <f>SUMIFS('予算差引簿（短）'!$M$6:$M$89,'予算差引簿（短）'!$O$6:$O$89,"確認済",'予算差引簿（短）'!$K$6:$K$89,"&gt;="&amp;DATE(年度+2018,5,1),'予算差引簿（短）'!$K$6:$K$89,"&lt;"&amp;DATE(年度+2018,6,1))</f>
        <v>690732</v>
      </c>
      <c r="E12" s="749">
        <f>SUMIFS('予算差引簿（短）'!$M$6:$M$89,'予算差引簿（短）'!$O$6:$O$89,"確認済",'予算差引簿（短）'!$K$6:$K$89,"&gt;="&amp;DATE(年度+2018,6,1),'予算差引簿（短）'!$K$6:$K$89,"&lt;"&amp;DATE(年度+2018,7,1))</f>
        <v>690732</v>
      </c>
      <c r="F12" s="749">
        <f>SUMIFS('予算差引簿（短）'!$M$6:$M$89,'予算差引簿（短）'!$O$6:$O$89,"確認済",'予算差引簿（短）'!$K$6:$K$89,"&gt;="&amp;DATE(年度+2018,7,1),'予算差引簿（短）'!$K$6:$K$89,"&lt;"&amp;DATE(年度+2018,8,1))</f>
        <v>690732</v>
      </c>
      <c r="G12" s="749">
        <f>SUMIFS('予算差引簿（短）'!$M$6:$M$89,'予算差引簿（短）'!$O$6:$O$89,"確認済",'予算差引簿（短）'!$K$6:$K$89,"&gt;="&amp;DATE(年度+2018,8,1),'予算差引簿（短）'!$K$6:$K$89,"&lt;"&amp;DATE(年度+2018,9,1))</f>
        <v>690732</v>
      </c>
      <c r="H12" s="749">
        <f>SUMIFS('予算差引簿（短）'!$M$6:$M$89,'予算差引簿（短）'!$O$6:$O$89,"確認済",'予算差引簿（短）'!$K$6:$K$89,"&gt;="&amp;DATE(年度+2018,9,1),'予算差引簿（短）'!$K$6:$K$89,"&lt;"&amp;DATE(年度+2018,10,1))</f>
        <v>690732</v>
      </c>
      <c r="I12" s="749">
        <f>SUMIFS('予算差引簿（短）'!$M$6:$M$89,'予算差引簿（短）'!$O$6:$O$89,"確認済",'予算差引簿（短）'!$K$6:$K$89,"&gt;="&amp;DATE(年度+2018,10,1),'予算差引簿（短）'!$K$6:$K$89,"&lt;"&amp;DATE(年度+2018,11,1))</f>
        <v>690732</v>
      </c>
      <c r="J12" s="749">
        <f>SUMIFS('予算差引簿（短）'!$M$6:$M$89,'予算差引簿（短）'!$O$6:$O$89,"確認済",'予算差引簿（短）'!$K$6:$K$89,"&gt;="&amp;DATE(年度+2018,11,1),'予算差引簿（短）'!$K$6:$K$89,"&lt;"&amp;DATE(年度+2018,12,1))</f>
        <v>12738</v>
      </c>
      <c r="K12" s="749">
        <f>SUMIFS('予算差引簿（短）'!$M$6:$M$89,'予算差引簿（短）'!$O$6:$O$89,"確認済",'予算差引簿（短）'!$K$6:$K$89,"&gt;="&amp;DATE(年度+2018,12,1),'予算差引簿（短）'!$K$6:$K$89,"&lt;"&amp;DATE(年度+2019,1,1))</f>
        <v>0</v>
      </c>
      <c r="L12" s="749">
        <f>SUMIFS('予算差引簿（短）'!$M$6:$M$89,'予算差引簿（短）'!$O$6:$O$89,"確認済",'予算差引簿（短）'!$K$6:$K$89,"&gt;="&amp;DATE(年度+2019,1,1),'予算差引簿（短）'!$K$6:$K$89,"&lt;"&amp;DATE(年度+2019,2,1))</f>
        <v>0</v>
      </c>
      <c r="M12" s="749">
        <f>SUMIFS('予算差引簿（短）'!$M$6:$M$89,'予算差引簿（短）'!$O$6:$O$89,"確認済",'予算差引簿（短）'!$K$6:$K$89,"&gt;="&amp;DATE(年度+2019,2,1),'予算差引簿（短）'!$K$6:$K$89,"&lt;"&amp;DATE(年度+2019,3,1))</f>
        <v>0</v>
      </c>
      <c r="N12" s="749">
        <f>SUMIFS('予算差引簿（短）'!$M$6:$M$89,'予算差引簿（短）'!$O$6:$O$89,"確認済",'予算差引簿（短）'!$K$6:$K$89,"&gt;="&amp;DATE(年度+2019,3,1),'予算差引簿（短）'!$K$6:$K$89,"&lt;"&amp;DATE(年度+2019,4,1))</f>
        <v>0</v>
      </c>
      <c r="O12" s="749">
        <f>SUMIFS('予算差引簿（短）未払'!$M$6:$M$20,'予算差引簿（短）未払'!$O$6:$O$20,"確認済")</f>
        <v>0</v>
      </c>
      <c r="P12" s="833">
        <f>SUM(C12:O12)</f>
        <v>4157130</v>
      </c>
      <c r="Q12" s="749">
        <f>'R7業務 (短)'!$S$23</f>
        <v>8441000</v>
      </c>
      <c r="R12" s="749">
        <f>IF(Q12="","",Q12-P12)</f>
        <v>4283870</v>
      </c>
      <c r="S12" s="748" t="inlineStr">
        <is>
          <t>Y</t>
        </is>
      </c>
      <c r="T12" s="834" t="str">
        <f>IF(OR('予算差引簿（短）'!O3&lt;&gt;"",'予算差引簿（短）未払'!O3&lt;&gt;""),"行不足","")</f>
        <v/>
      </c>
    </row>
    <row r="13">
      <c r="A13" s="740" t="inlineStr">
        <is>
          <t>厚生費</t>
        </is>
      </c>
      <c r="C13" s="749">
        <f>SUMIFS('予算差引簿（短）'!$H$216:$H$231,'予算差引簿（短）'!$J$216:$J$231,"確認済",'予算差引簿（短）'!$F$216:$F$231,"&gt;="&amp;DATE(年度+2018,4,1),'予算差引簿（短）'!$F$216:$F$231,"&lt;"&amp;DATE(年度+2018,5,1))</f>
        <v>0</v>
      </c>
      <c r="D13" s="749">
        <f>SUMIFS('予算差引簿（短）'!$H$216:$H$231,'予算差引簿（短）'!$J$216:$J$231,"確認済",'予算差引簿（短）'!$F$216:$F$231,"&gt;="&amp;DATE(年度+2018,5,1),'予算差引簿（短）'!$F$216:$F$231,"&lt;"&amp;DATE(年度+2018,6,1))</f>
        <v>0</v>
      </c>
      <c r="E13" s="749">
        <f>SUMIFS('予算差引簿（短）'!$H$216:$H$231,'予算差引簿（短）'!$J$216:$J$231,"確認済",'予算差引簿（短）'!$F$216:$F$231,"&gt;="&amp;DATE(年度+2018,6,1),'予算差引簿（短）'!$F$216:$F$231,"&lt;"&amp;DATE(年度+2018,7,1))</f>
        <v>0</v>
      </c>
      <c r="F13" s="749">
        <f>SUMIFS('予算差引簿（短）'!$H$216:$H$231,'予算差引簿（短）'!$J$216:$J$231,"確認済",'予算差引簿（短）'!$F$216:$F$231,"&gt;="&amp;DATE(年度+2018,7,1),'予算差引簿（短）'!$F$216:$F$231,"&lt;"&amp;DATE(年度+2018,8,1))</f>
        <v>0</v>
      </c>
      <c r="G13" s="749">
        <f>SUMIFS('予算差引簿（短）'!$H$216:$H$231,'予算差引簿（短）'!$J$216:$J$231,"確認済",'予算差引簿（短）'!$F$216:$F$231,"&gt;="&amp;DATE(年度+2018,8,1),'予算差引簿（短）'!$F$216:$F$231,"&lt;"&amp;DATE(年度+2018,9,1))</f>
        <v>0</v>
      </c>
      <c r="H13" s="749">
        <f>SUMIFS('予算差引簿（短）'!$H$216:$H$231,'予算差引簿（短）'!$J$216:$J$231,"確認済",'予算差引簿（短）'!$F$216:$F$231,"&gt;="&amp;DATE(年度+2018,9,1),'予算差引簿（短）'!$F$216:$F$231,"&lt;"&amp;DATE(年度+2018,10,1))</f>
        <v>14894</v>
      </c>
      <c r="I13" s="749">
        <f>SUMIFS('予算差引簿（短）'!$H$216:$H$231,'予算差引簿（短）'!$J$216:$J$231,"確認済",'予算差引簿（短）'!$F$216:$F$231,"&gt;="&amp;DATE(年度+2018,10,1),'予算差引簿（短）'!$F$216:$F$231,"&lt;"&amp;DATE(年度+2018,11,1))</f>
        <v>0</v>
      </c>
      <c r="J13" s="749">
        <f>SUMIFS('予算差引簿（短）'!$H$216:$H$231,'予算差引簿（短）'!$J$216:$J$231,"確認済",'予算差引簿（短）'!$F$216:$F$231,"&gt;="&amp;DATE(年度+2018,11,1),'予算差引簿（短）'!$F$216:$F$231,"&lt;"&amp;DATE(年度+2018,12,1))</f>
        <v>0</v>
      </c>
      <c r="K13" s="749">
        <f>SUMIFS('予算差引簿（短）'!$H$216:$H$231,'予算差引簿（短）'!$J$216:$J$231,"確認済",'予算差引簿（短）'!$F$216:$F$231,"&gt;="&amp;DATE(年度+2018,12,1),'予算差引簿（短）'!$F$216:$F$231,"&lt;"&amp;DATE(年度+2019,1,1))</f>
        <v>0</v>
      </c>
      <c r="L13" s="749">
        <f>SUMIFS('予算差引簿（短）'!$H$216:$H$231,'予算差引簿（短）'!$J$216:$J$231,"確認済",'予算差引簿（短）'!$F$216:$F$231,"&gt;="&amp;DATE(年度+2019,1,1),'予算差引簿（短）'!$F$216:$F$231,"&lt;"&amp;DATE(年度+2019,2,1))</f>
        <v>0</v>
      </c>
      <c r="M13" s="749">
        <f>SUMIFS('予算差引簿（短）'!$H$216:$H$231,'予算差引簿（短）'!$J$216:$J$231,"確認済",'予算差引簿（短）'!$F$216:$F$231,"&gt;="&amp;DATE(年度+2019,2,1),'予算差引簿（短）'!$F$216:$F$231,"&lt;"&amp;DATE(年度+2019,3,1))</f>
        <v>0</v>
      </c>
      <c r="N13" s="749">
        <f>SUMIFS('予算差引簿（短）'!$H$216:$H$231,'予算差引簿（短）'!$J$216:$J$231,"確認済",'予算差引簿（短）'!$F$216:$F$231,"&gt;="&amp;DATE(年度+2019,3,1),'予算差引簿（短）'!$F$216:$F$231,"&lt;"&amp;DATE(年度+2019,4,1))</f>
        <v>0</v>
      </c>
      <c r="O13" s="749">
        <f>SUMIFS('予算差引簿（短）未払'!$H$49:$H$60,'予算差引簿（短）未払'!$J$49:$J$60,"確認済")</f>
        <v>0</v>
      </c>
      <c r="P13" s="833">
        <f>SUM(C13:O13)</f>
        <v>14894</v>
      </c>
      <c r="Q13" s="749">
        <f>'R7業務 (短)'!$S$10</f>
        <v>62000</v>
      </c>
      <c r="R13" s="749">
        <f>IF(Q13="","",Q13-P13)</f>
        <v>47106</v>
      </c>
      <c r="S13" s="748" t="inlineStr">
        <is>
          <t>Y</t>
        </is>
      </c>
      <c r="T13" s="834" t="str">
        <f>IF(OR('予算差引簿（短）'!J213&lt;&gt;"",'予算差引簿（短）未払'!J46&lt;&gt;""),"行不足","")</f>
        <v/>
      </c>
    </row>
    <row r="14">
      <c r="A14" s="740" t="inlineStr">
        <is>
          <t>普及費</t>
        </is>
      </c>
      <c r="C14" s="749">
        <f>SUMIFS('予算差引簿（短）'!$M$216:$M$229,'予算差引簿（短）'!$O$216:$O$229,"確認済",'予算差引簿（短）'!$K$216:$K$229,"&gt;="&amp;DATE(年度+2018,4,1),'予算差引簿（短）'!$K$216:$K$229,"&lt;"&amp;DATE(年度+2018,5,1))</f>
        <v>0</v>
      </c>
      <c r="D14" s="749">
        <f>SUMIFS('予算差引簿（短）'!$M$216:$M$229,'予算差引簿（短）'!$O$216:$O$229,"確認済",'予算差引簿（短）'!$K$216:$K$229,"&gt;="&amp;DATE(年度+2018,5,1),'予算差引簿（短）'!$K$216:$K$229,"&lt;"&amp;DATE(年度+2018,6,1))</f>
        <v>0</v>
      </c>
      <c r="E14" s="749">
        <f>SUMIFS('予算差引簿（短）'!$M$216:$M$229,'予算差引簿（短）'!$O$216:$O$229,"確認済",'予算差引簿（短）'!$K$216:$K$229,"&gt;="&amp;DATE(年度+2018,6,1),'予算差引簿（短）'!$K$216:$K$229,"&lt;"&amp;DATE(年度+2018,7,1))</f>
        <v>0</v>
      </c>
      <c r="F14" s="749">
        <f>SUMIFS('予算差引簿（短）'!$M$216:$M$229,'予算差引簿（短）'!$O$216:$O$229,"確認済",'予算差引簿（短）'!$K$216:$K$229,"&gt;="&amp;DATE(年度+2018,7,1),'予算差引簿（短）'!$K$216:$K$229,"&lt;"&amp;DATE(年度+2018,8,1))</f>
        <v>0</v>
      </c>
      <c r="G14" s="749">
        <f>SUMIFS('予算差引簿（短）'!$M$216:$M$229,'予算差引簿（短）'!$O$216:$O$229,"確認済",'予算差引簿（短）'!$K$216:$K$229,"&gt;="&amp;DATE(年度+2018,8,1),'予算差引簿（短）'!$K$216:$K$229,"&lt;"&amp;DATE(年度+2018,9,1))</f>
        <v>371265</v>
      </c>
      <c r="H14" s="749">
        <f>SUMIFS('予算差引簿（短）'!$M$216:$M$229,'予算差引簿（短）'!$O$216:$O$229,"確認済",'予算差引簿（短）'!$K$216:$K$229,"&gt;="&amp;DATE(年度+2018,9,1),'予算差引簿（短）'!$K$216:$K$229,"&lt;"&amp;DATE(年度+2018,10,1))</f>
        <v>0</v>
      </c>
      <c r="I14" s="749">
        <f>SUMIFS('予算差引簿（短）'!$M$216:$M$229,'予算差引簿（短）'!$O$216:$O$229,"確認済",'予算差引簿（短）'!$K$216:$K$229,"&gt;="&amp;DATE(年度+2018,10,1),'予算差引簿（短）'!$K$216:$K$229,"&lt;"&amp;DATE(年度+2018,11,1))</f>
        <v>124434</v>
      </c>
      <c r="J14" s="749">
        <f>SUMIFS('予算差引簿（短）'!$M$216:$M$229,'予算差引簿（短）'!$O$216:$O$229,"確認済",'予算差引簿（短）'!$K$216:$K$229,"&gt;="&amp;DATE(年度+2018,11,1),'予算差引簿（短）'!$K$216:$K$229,"&lt;"&amp;DATE(年度+2018,12,1))</f>
        <v>0</v>
      </c>
      <c r="K14" s="749">
        <f>SUMIFS('予算差引簿（短）'!$M$216:$M$229,'予算差引簿（短）'!$O$216:$O$229,"確認済",'予算差引簿（短）'!$K$216:$K$229,"&gt;="&amp;DATE(年度+2018,12,1),'予算差引簿（短）'!$K$216:$K$229,"&lt;"&amp;DATE(年度+2019,1,1))</f>
        <v>0</v>
      </c>
      <c r="L14" s="749">
        <f>SUMIFS('予算差引簿（短）'!$M$216:$M$229,'予算差引簿（短）'!$O$216:$O$229,"確認済",'予算差引簿（短）'!$K$216:$K$229,"&gt;="&amp;DATE(年度+2019,1,1),'予算差引簿（短）'!$K$216:$K$229,"&lt;"&amp;DATE(年度+2019,2,1))</f>
        <v>0</v>
      </c>
      <c r="M14" s="749">
        <f>SUMIFS('予算差引簿（短）'!$M$216:$M$229,'予算差引簿（短）'!$O$216:$O$229,"確認済",'予算差引簿（短）'!$K$216:$K$229,"&gt;="&amp;DATE(年度+2019,2,1),'予算差引簿（短）'!$K$216:$K$229,"&lt;"&amp;DATE(年度+2019,3,1))</f>
        <v>0</v>
      </c>
      <c r="N14" s="749">
        <f>SUMIFS('予算差引簿（短）'!$M$216:$M$229,'予算差引簿（短）'!$O$216:$O$229,"確認済",'予算差引簿（短）'!$K$216:$K$229,"&gt;="&amp;DATE(年度+2019,3,1),'予算差引簿（短）'!$K$216:$K$229,"&lt;"&amp;DATE(年度+2019,4,1))</f>
        <v>0</v>
      </c>
      <c r="O14" s="749">
        <f>SUMIFS('予算差引簿（短）未払'!$M$49:$M$60,'予算差引簿（短）未払'!$O$49:$O$60,"確認済")</f>
        <v>0</v>
      </c>
      <c r="P14" s="833">
        <f>SUM(C14:O14)</f>
        <v>495699</v>
      </c>
      <c r="Q14" s="749">
        <f>'R7業務 (短)'!$S$24</f>
        <v>1532000</v>
      </c>
      <c r="R14" s="749">
        <f>IF(Q14="","",Q14-P14)</f>
        <v>1036301</v>
      </c>
      <c r="S14" s="748" t="inlineStr">
        <is>
          <t>Y</t>
        </is>
      </c>
      <c r="T14" s="834" t="str">
        <f>IF(OR('予算差引簿（短）'!O213&lt;&gt;"",'予算差引簿（短）未払'!O46&lt;&gt;""),"行不足","")</f>
        <v/>
      </c>
    </row>
    <row r="15">
      <c r="A15" s="740" t="inlineStr">
        <is>
          <t>光熱水料</t>
        </is>
      </c>
      <c r="C15" s="749">
        <f>SUMIFS('予算差引簿（短）'!$C$245:$C$256,'予算差引簿（短）'!$E$245:$E$256,"確認済",'予算差引簿（短）'!$A$245:$A$256,"&gt;="&amp;DATE(年度+2018,4,1),'予算差引簿（短）'!$A$245:$A$256,"&lt;"&amp;DATE(年度+2018,5,1))</f>
        <v>0</v>
      </c>
      <c r="D15" s="749">
        <f>SUMIFS('予算差引簿（短）'!$C$245:$C$256,'予算差引簿（短）'!$E$245:$E$256,"確認済",'予算差引簿（短）'!$A$245:$A$256,"&gt;="&amp;DATE(年度+2018,5,1),'予算差引簿（短）'!$A$245:$A$256,"&lt;"&amp;DATE(年度+2018,6,1))</f>
        <v>0</v>
      </c>
      <c r="E15" s="749">
        <f>SUMIFS('予算差引簿（短）'!$C$245:$C$256,'予算差引簿（短）'!$E$245:$E$256,"確認済",'予算差引簿（短）'!$A$245:$A$256,"&gt;="&amp;DATE(年度+2018,6,1),'予算差引簿（短）'!$A$245:$A$256,"&lt;"&amp;DATE(年度+2018,7,1))</f>
        <v>0</v>
      </c>
      <c r="F15" s="749">
        <f>SUMIFS('予算差引簿（短）'!$C$245:$C$256,'予算差引簿（短）'!$E$245:$E$256,"確認済",'予算差引簿（短）'!$A$245:$A$256,"&gt;="&amp;DATE(年度+2018,7,1),'予算差引簿（短）'!$A$245:$A$256,"&lt;"&amp;DATE(年度+2018,8,1))</f>
        <v>0</v>
      </c>
      <c r="G15" s="749">
        <f>SUMIFS('予算差引簿（短）'!$C$245:$C$256,'予算差引簿（短）'!$E$245:$E$256,"確認済",'予算差引簿（短）'!$A$245:$A$256,"&gt;="&amp;DATE(年度+2018,8,1),'予算差引簿（短）'!$A$245:$A$256,"&lt;"&amp;DATE(年度+2018,9,1))</f>
        <v>0</v>
      </c>
      <c r="H15" s="749">
        <f>SUMIFS('予算差引簿（短）'!$C$245:$C$256,'予算差引簿（短）'!$E$245:$E$256,"確認済",'予算差引簿（短）'!$A$245:$A$256,"&gt;="&amp;DATE(年度+2018,9,1),'予算差引簿（短）'!$A$245:$A$256,"&lt;"&amp;DATE(年度+2018,10,1))</f>
        <v>0</v>
      </c>
      <c r="I15" s="749">
        <f>SUMIFS('予算差引簿（短）'!$C$245:$C$256,'予算差引簿（短）'!$E$245:$E$256,"確認済",'予算差引簿（短）'!$A$245:$A$256,"&gt;="&amp;DATE(年度+2018,10,1),'予算差引簿（短）'!$A$245:$A$256,"&lt;"&amp;DATE(年度+2018,11,1))</f>
        <v>0</v>
      </c>
      <c r="J15" s="749">
        <f>SUMIFS('予算差引簿（短）'!$C$245:$C$256,'予算差引簿（短）'!$E$245:$E$256,"確認済",'予算差引簿（短）'!$A$245:$A$256,"&gt;="&amp;DATE(年度+2018,11,1),'予算差引簿（短）'!$A$245:$A$256,"&lt;"&amp;DATE(年度+2018,12,1))</f>
        <v>0</v>
      </c>
      <c r="K15" s="749">
        <f>SUMIFS('予算差引簿（短）'!$C$245:$C$256,'予算差引簿（短）'!$E$245:$E$256,"確認済",'予算差引簿（短）'!$A$245:$A$256,"&gt;="&amp;DATE(年度+2018,12,1),'予算差引簿（短）'!$A$245:$A$256,"&lt;"&amp;DATE(年度+2019,1,1))</f>
        <v>0</v>
      </c>
      <c r="L15" s="749">
        <f>SUMIFS('予算差引簿（短）'!$C$245:$C$256,'予算差引簿（短）'!$E$245:$E$256,"確認済",'予算差引簿（短）'!$A$245:$A$256,"&gt;="&amp;DATE(年度+2019,1,1),'予算差引簿（短）'!$A$245:$A$256,"&lt;"&amp;DATE(年度+2019,2,1))</f>
        <v>0</v>
      </c>
      <c r="M15" s="749">
        <f>SUMIFS('予算差引簿（短）'!$C$245:$C$256,'予算差引簿（短）'!$E$245:$E$256,"確認済",'予算差引簿（短）'!$A$245:$A$256,"&gt;="&amp;DATE(年度+2019,2,1),'予算差引簿（短）'!$A$245:$A$256,"&lt;"&amp;DATE(年度+2019,3,1))</f>
        <v>0</v>
      </c>
      <c r="N15" s="749">
        <f>SUMIFS('予算差引簿（短）'!$C$245:$C$256,'予算差引簿（短）'!$E$245:$E$256,"確認済",'予算差引簿（短）'!$A$245:$A$256,"&gt;="&amp;DATE(年度+2019,3,1),'予算差引簿（短）'!$A$245:$A$256,"&lt;"&amp;DATE(年度+2019,4,1))</f>
        <v>0</v>
      </c>
      <c r="O15" s="749">
        <f>SUMIFS('予算差引簿（短）未払'!$R$49:$R$60,'予算差引簿（短）未払'!$T$49:$T$60,"確認済")</f>
        <v>0</v>
      </c>
      <c r="P15" s="833">
        <f>SUM(C15:O15)</f>
        <v>0</v>
      </c>
      <c r="Q15" s="749">
        <f>'R7業務 (短)'!$S$21</f>
        <v>16000</v>
      </c>
      <c r="R15" s="749">
        <f>IF(Q15="","",Q15-P15)</f>
        <v>16000</v>
      </c>
      <c r="S15" s="748" t="inlineStr">
        <is>
          <t>Y</t>
        </is>
      </c>
      <c r="T15" s="834" t="str">
        <f>IF(OR('予算差引簿（短）'!E242&lt;&gt;"",'予算差引簿（短）未払'!T46&lt;&gt;""),"行不足","")</f>
        <v/>
      </c>
    </row>
    <row r="16">
      <c r="A16" s="740" t="inlineStr">
        <is>
          <t>修繕費</t>
        </is>
      </c>
      <c r="C16" s="749">
        <f>SUMIFS('予算差引簿（短）'!$H$245:$H$256,'予算差引簿（短）'!$J$245:$J$256,"確認済",'予算差引簿（短）'!$F$245:$F$256,"&gt;="&amp;DATE(年度+2018,4,1),'予算差引簿（短）'!$F$245:$F$256,"&lt;"&amp;DATE(年度+2018,5,1))</f>
        <v>0</v>
      </c>
      <c r="D16" s="749">
        <f>SUMIFS('予算差引簿（短）'!$H$245:$H$256,'予算差引簿（短）'!$J$245:$J$256,"確認済",'予算差引簿（短）'!$F$245:$F$256,"&gt;="&amp;DATE(年度+2018,5,1),'予算差引簿（短）'!$F$245:$F$256,"&lt;"&amp;DATE(年度+2018,6,1))</f>
        <v>0</v>
      </c>
      <c r="E16" s="749">
        <f>SUMIFS('予算差引簿（短）'!$H$245:$H$256,'予算差引簿（短）'!$J$245:$J$256,"確認済",'予算差引簿（短）'!$F$245:$F$256,"&gt;="&amp;DATE(年度+2018,6,1),'予算差引簿（短）'!$F$245:$F$256,"&lt;"&amp;DATE(年度+2018,7,1))</f>
        <v>0</v>
      </c>
      <c r="F16" s="749">
        <f>SUMIFS('予算差引簿（短）'!$H$245:$H$256,'予算差引簿（短）'!$J$245:$J$256,"確認済",'予算差引簿（短）'!$F$245:$F$256,"&gt;="&amp;DATE(年度+2018,7,1),'予算差引簿（短）'!$F$245:$F$256,"&lt;"&amp;DATE(年度+2018,8,1))</f>
        <v>0</v>
      </c>
      <c r="G16" s="749">
        <f>SUMIFS('予算差引簿（短）'!$H$245:$H$256,'予算差引簿（短）'!$J$245:$J$256,"確認済",'予算差引簿（短）'!$F$245:$F$256,"&gt;="&amp;DATE(年度+2018,8,1),'予算差引簿（短）'!$F$245:$F$256,"&lt;"&amp;DATE(年度+2018,9,1))</f>
        <v>0</v>
      </c>
      <c r="H16" s="749">
        <f>SUMIFS('予算差引簿（短）'!$H$245:$H$256,'予算差引簿（短）'!$J$245:$J$256,"確認済",'予算差引簿（短）'!$F$245:$F$256,"&gt;="&amp;DATE(年度+2018,9,1),'予算差引簿（短）'!$F$245:$F$256,"&lt;"&amp;DATE(年度+2018,10,1))</f>
        <v>0</v>
      </c>
      <c r="I16" s="749">
        <f>SUMIFS('予算差引簿（短）'!$H$245:$H$256,'予算差引簿（短）'!$J$245:$J$256,"確認済",'予算差引簿（短）'!$F$245:$F$256,"&gt;="&amp;DATE(年度+2018,10,1),'予算差引簿（短）'!$F$245:$F$256,"&lt;"&amp;DATE(年度+2018,11,1))</f>
        <v>0</v>
      </c>
      <c r="J16" s="749">
        <f>SUMIFS('予算差引簿（短）'!$H$245:$H$256,'予算差引簿（短）'!$J$245:$J$256,"確認済",'予算差引簿（短）'!$F$245:$F$256,"&gt;="&amp;DATE(年度+2018,11,1),'予算差引簿（短）'!$F$245:$F$256,"&lt;"&amp;DATE(年度+2018,12,1))</f>
        <v>0</v>
      </c>
      <c r="K16" s="749">
        <f>SUMIFS('予算差引簿（短）'!$H$245:$H$256,'予算差引簿（短）'!$J$245:$J$256,"確認済",'予算差引簿（短）'!$F$245:$F$256,"&gt;="&amp;DATE(年度+2018,12,1),'予算差引簿（短）'!$F$245:$F$256,"&lt;"&amp;DATE(年度+2019,1,1))</f>
        <v>0</v>
      </c>
      <c r="L16" s="749">
        <f>SUMIFS('予算差引簿（短）'!$H$245:$H$256,'予算差引簿（短）'!$J$245:$J$256,"確認済",'予算差引簿（短）'!$F$245:$F$256,"&gt;="&amp;DATE(年度+2019,1,1),'予算差引簿（短）'!$F$245:$F$256,"&lt;"&amp;DATE(年度+2019,2,1))</f>
        <v>0</v>
      </c>
      <c r="M16" s="749">
        <f>SUMIFS('予算差引簿（短）'!$H$245:$H$256,'予算差引簿（短）'!$J$245:$J$256,"確認済",'予算差引簿（短）'!$F$245:$F$256,"&gt;="&amp;DATE(年度+2019,2,1),'予算差引簿（短）'!$F$245:$F$256,"&lt;"&amp;DATE(年度+2019,3,1))</f>
        <v>0</v>
      </c>
      <c r="N16" s="749">
        <f>SUMIFS('予算差引簿（短）'!$H$245:$H$256,'予算差引簿（短）'!$J$245:$J$256,"確認済",'予算差引簿（短）'!$F$245:$F$256,"&gt;="&amp;DATE(年度+2019,3,1),'予算差引簿（短）'!$F$245:$F$256,"&lt;"&amp;DATE(年度+2019,4,1))</f>
        <v>0</v>
      </c>
      <c r="O16" s="749">
        <f>SUMIFS('予算差引簿（短）未払'!$C$67:$C$78,'予算差引簿（短）未払'!$E$67:$E$78,"確認済")</f>
        <v>0</v>
      </c>
      <c r="P16" s="833">
        <f>SUM(C16:O16)</f>
        <v>0</v>
      </c>
      <c r="Q16" s="749">
        <f>'R7業務 (短)'!$S$22</f>
        <v>0</v>
      </c>
      <c r="R16" s="749">
        <f>IF(Q16="","",Q16-P16)</f>
        <v>0</v>
      </c>
      <c r="S16" s="748" t="inlineStr">
        <is>
          <t>Y</t>
        </is>
      </c>
      <c r="T16" s="834" t="str">
        <f>IF(OR('予算差引簿（短）'!J242&lt;&gt;"",'予算差引簿（短）未払'!E64&lt;&gt;""),"行不足","")</f>
        <v/>
      </c>
    </row>
    <row r="17">
      <c r="A17" s="740" t="inlineStr">
        <is>
          <t>役員報酬</t>
        </is>
      </c>
      <c r="C17" s="749">
        <f>SUMIFS('予算差引簿（短）'!$M$245:$M$256,'予算差引簿（短）'!$O$245:$O$256,"確認済",'予算差引簿（短）'!$K$245:$K$256,"&gt;="&amp;DATE(年度+2018,4,1),'予算差引簿（短）'!$K$245:$K$256,"&lt;"&amp;DATE(年度+2018,5,1))</f>
        <v>0</v>
      </c>
      <c r="D17" s="749">
        <f>SUMIFS('予算差引簿（短）'!$M$245:$M$256,'予算差引簿（短）'!$O$245:$O$256,"確認済",'予算差引簿（短）'!$K$245:$K$256,"&gt;="&amp;DATE(年度+2018,5,1),'予算差引簿（短）'!$K$245:$K$256,"&lt;"&amp;DATE(年度+2018,6,1))</f>
        <v>0</v>
      </c>
      <c r="E17" s="749">
        <f>SUMIFS('予算差引簿（短）'!$M$245:$M$256,'予算差引簿（短）'!$O$245:$O$256,"確認済",'予算差引簿（短）'!$K$245:$K$256,"&gt;="&amp;DATE(年度+2018,6,1),'予算差引簿（短）'!$K$245:$K$256,"&lt;"&amp;DATE(年度+2018,7,1))</f>
        <v>10522</v>
      </c>
      <c r="F17" s="749">
        <f>SUMIFS('予算差引簿（短）'!$M$245:$M$256,'予算差引簿（短）'!$O$245:$O$256,"確認済",'予算差引簿（短）'!$K$245:$K$256,"&gt;="&amp;DATE(年度+2018,7,1),'予算差引簿（短）'!$K$245:$K$256,"&lt;"&amp;DATE(年度+2018,8,1))</f>
        <v>0</v>
      </c>
      <c r="G17" s="749">
        <f>SUMIFS('予算差引簿（短）'!$M$245:$M$256,'予算差引簿（短）'!$O$245:$O$256,"確認済",'予算差引簿（短）'!$K$245:$K$256,"&gt;="&amp;DATE(年度+2018,8,1),'予算差引簿（短）'!$K$245:$K$256,"&lt;"&amp;DATE(年度+2018,9,1))</f>
        <v>0</v>
      </c>
      <c r="H17" s="749">
        <f>SUMIFS('予算差引簿（短）'!$M$245:$M$256,'予算差引簿（短）'!$O$245:$O$256,"確認済",'予算差引簿（短）'!$K$245:$K$256,"&gt;="&amp;DATE(年度+2018,9,1),'予算差引簿（短）'!$K$245:$K$256,"&lt;"&amp;DATE(年度+2018,10,1))</f>
        <v>0</v>
      </c>
      <c r="I17" s="749">
        <f>SUMIFS('予算差引簿（短）'!$M$245:$M$256,'予算差引簿（短）'!$O$245:$O$256,"確認済",'予算差引簿（短）'!$K$245:$K$256,"&gt;="&amp;DATE(年度+2018,10,1),'予算差引簿（短）'!$K$245:$K$256,"&lt;"&amp;DATE(年度+2018,11,1))</f>
        <v>0</v>
      </c>
      <c r="J17" s="749">
        <f>SUMIFS('予算差引簿（短）'!$M$245:$M$256,'予算差引簿（短）'!$O$245:$O$256,"確認済",'予算差引簿（短）'!$K$245:$K$256,"&gt;="&amp;DATE(年度+2018,11,1),'予算差引簿（短）'!$K$245:$K$256,"&lt;"&amp;DATE(年度+2018,12,1))</f>
        <v>0</v>
      </c>
      <c r="K17" s="749">
        <f>SUMIFS('予算差引簿（短）'!$M$245:$M$256,'予算差引簿（短）'!$O$245:$O$256,"確認済",'予算差引簿（短）'!$K$245:$K$256,"&gt;="&amp;DATE(年度+2018,12,1),'予算差引簿（短）'!$K$245:$K$256,"&lt;"&amp;DATE(年度+2019,1,1))</f>
        <v>0</v>
      </c>
      <c r="L17" s="749">
        <f>SUMIFS('予算差引簿（短）'!$M$245:$M$256,'予算差引簿（短）'!$O$245:$O$256,"確認済",'予算差引簿（短）'!$K$245:$K$256,"&gt;="&amp;DATE(年度+2019,1,1),'予算差引簿（短）'!$K$245:$K$256,"&lt;"&amp;DATE(年度+2019,2,1))</f>
        <v>0</v>
      </c>
      <c r="M17" s="749">
        <f>SUMIFS('予算差引簿（短）'!$M$245:$M$256,'予算差引簿（短）'!$O$245:$O$256,"確認済",'予算差引簿（短）'!$K$245:$K$256,"&gt;="&amp;DATE(年度+2019,2,1),'予算差引簿（短）'!$K$245:$K$256,"&lt;"&amp;DATE(年度+2019,3,1))</f>
        <v>0</v>
      </c>
      <c r="N17" s="749">
        <f>SUMIFS('予算差引簿（短）'!$M$245:$M$256,'予算差引簿（短）'!$O$245:$O$256,"確認済",'予算差引簿（短）'!$K$245:$K$256,"&gt;="&amp;DATE(年度+2019,3,1),'予算差引簿（短）'!$K$245:$K$256,"&lt;"&amp;DATE(年度+2019,4,1))</f>
        <v>0</v>
      </c>
      <c r="O17" s="749">
        <f>SUMIFS('予算差引簿（短）未払'!$H$67:$H$78,'予算差引簿（短）未払'!$J$67:$J$78,"確認済")</f>
        <v>0</v>
      </c>
      <c r="P17" s="833">
        <f>SUM(C17:O17)</f>
        <v>10522</v>
      </c>
      <c r="Q17" s="749">
        <f>'R7業務 (短)'!$S$4</f>
        <v>16000</v>
      </c>
      <c r="R17" s="749">
        <f>IF(Q17="","",Q17-P17)</f>
        <v>5478</v>
      </c>
      <c r="S17" s="748" t="inlineStr">
        <is>
          <t>Y</t>
        </is>
      </c>
      <c r="T17" s="834" t="str">
        <f>IF(OR('予算差引簿（短）'!O242&lt;&gt;"",'予算差引簿（短）未払'!J64&lt;&gt;""),"行不足","")</f>
        <v/>
      </c>
    </row>
    <row r="18">
      <c r="A18" s="740" t="inlineStr">
        <is>
          <t>連合会分担金</t>
        </is>
      </c>
      <c r="C18" s="749">
        <f>SUMIFS('予算差引簿（短）'!$R$245:$R$256,'予算差引簿（短）'!$T$245:$T$256,"確認済",'予算差引簿（短）'!$P$245:$P$256,"&gt;="&amp;DATE(年度+2018,4,1),'予算差引簿（短）'!$P$245:$P$256,"&lt;"&amp;DATE(年度+2018,5,1))</f>
        <v>0</v>
      </c>
      <c r="D18" s="749">
        <f>SUMIFS('予算差引簿（短）'!$R$245:$R$256,'予算差引簿（短）'!$T$245:$T$256,"確認済",'予算差引簿（短）'!$P$245:$P$256,"&gt;="&amp;DATE(年度+2018,5,1),'予算差引簿（短）'!$P$245:$P$256,"&lt;"&amp;DATE(年度+2018,6,1))</f>
        <v>0</v>
      </c>
      <c r="E18" s="749">
        <f>SUMIFS('予算差引簿（短）'!$R$245:$R$256,'予算差引簿（短）'!$T$245:$T$256,"確認済",'予算差引簿（短）'!$P$245:$P$256,"&gt;="&amp;DATE(年度+2018,6,1),'予算差引簿（短）'!$P$245:$P$256,"&lt;"&amp;DATE(年度+2018,7,1))</f>
        <v>0</v>
      </c>
      <c r="F18" s="749">
        <f>SUMIFS('予算差引簿（短）'!$R$245:$R$256,'予算差引簿（短）'!$T$245:$T$256,"確認済",'予算差引簿（短）'!$P$245:$P$256,"&gt;="&amp;DATE(年度+2018,7,1),'予算差引簿（短）'!$P$245:$P$256,"&lt;"&amp;DATE(年度+2018,8,1))</f>
        <v>0</v>
      </c>
      <c r="G18" s="749">
        <f>SUMIFS('予算差引簿（短）'!$R$245:$R$256,'予算差引簿（短）'!$T$245:$T$256,"確認済",'予算差引簿（短）'!$P$245:$P$256,"&gt;="&amp;DATE(年度+2018,8,1),'予算差引簿（短）'!$P$245:$P$256,"&lt;"&amp;DATE(年度+2018,9,1))</f>
        <v>0</v>
      </c>
      <c r="H18" s="749">
        <f>SUMIFS('予算差引簿（短）'!$R$245:$R$256,'予算差引簿（短）'!$T$245:$T$256,"確認済",'予算差引簿（短）'!$P$245:$P$256,"&gt;="&amp;DATE(年度+2018,9,1),'予算差引簿（短）'!$P$245:$P$256,"&lt;"&amp;DATE(年度+2018,10,1))</f>
        <v>20439958</v>
      </c>
      <c r="I18" s="749">
        <f>SUMIFS('予算差引簿（短）'!$R$245:$R$256,'予算差引簿（短）'!$T$245:$T$256,"確認済",'予算差引簿（短）'!$P$245:$P$256,"&gt;="&amp;DATE(年度+2018,10,1),'予算差引簿（短）'!$P$245:$P$256,"&lt;"&amp;DATE(年度+2018,11,1))</f>
        <v>0</v>
      </c>
      <c r="J18" s="749">
        <f>SUMIFS('予算差引簿（短）'!$R$245:$R$256,'予算差引簿（短）'!$T$245:$T$256,"確認済",'予算差引簿（短）'!$P$245:$P$256,"&gt;="&amp;DATE(年度+2018,11,1),'予算差引簿（短）'!$P$245:$P$256,"&lt;"&amp;DATE(年度+2018,12,1))</f>
        <v>0</v>
      </c>
      <c r="K18" s="749">
        <f>SUMIFS('予算差引簿（短）'!$R$245:$R$256,'予算差引簿（短）'!$T$245:$T$256,"確認済",'予算差引簿（短）'!$P$245:$P$256,"&gt;="&amp;DATE(年度+2018,12,1),'予算差引簿（短）'!$P$245:$P$256,"&lt;"&amp;DATE(年度+2019,1,1))</f>
        <v>0</v>
      </c>
      <c r="L18" s="749">
        <f>SUMIFS('予算差引簿（短）'!$R$245:$R$256,'予算差引簿（短）'!$T$245:$T$256,"確認済",'予算差引簿（短）'!$P$245:$P$256,"&gt;="&amp;DATE(年度+2019,1,1),'予算差引簿（短）'!$P$245:$P$256,"&lt;"&amp;DATE(年度+2019,2,1))</f>
        <v>0</v>
      </c>
      <c r="M18" s="749">
        <f>SUMIFS('予算差引簿（短）'!$R$245:$R$256,'予算差引簿（短）'!$T$245:$T$256,"確認済",'予算差引簿（短）'!$P$245:$P$256,"&gt;="&amp;DATE(年度+2019,2,1),'予算差引簿（短）'!$P$245:$P$256,"&lt;"&amp;DATE(年度+2019,3,1))</f>
        <v>0</v>
      </c>
      <c r="N18" s="749">
        <f>SUMIFS('予算差引簿（短）'!$R$245:$R$256,'予算差引簿（短）'!$T$245:$T$256,"確認済",'予算差引簿（短）'!$P$245:$P$256,"&gt;="&amp;DATE(年度+2019,3,1),'予算差引簿（短）'!$P$245:$P$256,"&lt;"&amp;DATE(年度+2019,4,1))</f>
        <v>0</v>
      </c>
      <c r="O18" s="749">
        <f>SUMIFS('予算差引簿（短）未払'!$M$67:$M$78,'予算差引簿（短）未払'!$O$67:$O$78,"確認済")</f>
        <v>0</v>
      </c>
      <c r="P18" s="833">
        <f>SUM(C18:O18)</f>
        <v>20439958</v>
      </c>
      <c r="Q18" s="749">
        <f>'R7業務 (短)'!$S$34</f>
        <v>20921000</v>
      </c>
      <c r="R18" s="749">
        <f>IF(Q18="","",Q18-P18)</f>
        <v>481042</v>
      </c>
      <c r="S18" s="748" t="inlineStr">
        <is>
          <t>Y</t>
        </is>
      </c>
      <c r="T18" s="834" t="str">
        <f>IF(OR('予算差引簿（短）'!T242&lt;&gt;"",'予算差引簿（短）未払'!O64&lt;&gt;""),"行不足","")</f>
        <v/>
      </c>
    </row>
    <row r="19">
      <c r="A19" s="740" t="inlineStr">
        <is>
          <t>非常勤職員手当</t>
        </is>
      </c>
      <c r="C19" s="749">
        <f>SUMIFS('予算差引簿（短）'!$C$182:$C$209,'予算差引簿（短）'!$E$182:$E$209,"確認済",'予算差引簿（短）'!$A$182:$A$209,"&gt;="&amp;DATE(年度+2018,4,1),'予算差引簿（短）'!$A$182:$A$209,"&lt;"&amp;DATE(年度+2018,5,1))</f>
        <v>317340</v>
      </c>
      <c r="D19" s="749">
        <f>SUMIFS('予算差引簿（短）'!$C$182:$C$209,'予算差引簿（短）'!$E$182:$E$209,"確認済",'予算差引簿（短）'!$A$182:$A$209,"&gt;="&amp;DATE(年度+2018,5,1),'予算差引簿（短）'!$A$182:$A$209,"&lt;"&amp;DATE(年度+2018,6,1))</f>
        <v>248436</v>
      </c>
      <c r="E19" s="749">
        <f>SUMIFS('予算差引簿（短）'!$C$182:$C$209,'予算差引簿（短）'!$E$182:$E$209,"確認済",'予算差引簿（短）'!$A$182:$A$209,"&gt;="&amp;DATE(年度+2018,6,1),'予算差引簿（短）'!$A$182:$A$209,"&lt;"&amp;DATE(年度+2018,7,1))</f>
        <v>698299</v>
      </c>
      <c r="F19" s="749">
        <f>SUMIFS('予算差引簿（短）'!$C$182:$C$209,'予算差引簿（短）'!$E$182:$E$209,"確認済",'予算差引簿（短）'!$A$182:$A$209,"&gt;="&amp;DATE(年度+2018,7,1),'予算差引簿（短）'!$A$182:$A$209,"&lt;"&amp;DATE(年度+2018,8,1))</f>
        <v>256708</v>
      </c>
      <c r="G19" s="749">
        <f>SUMIFS('予算差引簿（短）'!$C$182:$C$209,'予算差引簿（短）'!$E$182:$E$209,"確認済",'予算差引簿（短）'!$A$182:$A$209,"&gt;="&amp;DATE(年度+2018,8,1),'予算差引簿（短）'!$A$182:$A$209,"&lt;"&amp;DATE(年度+2018,9,1))</f>
        <v>244300</v>
      </c>
      <c r="H19" s="749">
        <f>SUMIFS('予算差引簿（短）'!$C$182:$C$209,'予算差引簿（短）'!$E$182:$E$209,"確認済",'予算差引簿（短）'!$A$182:$A$209,"&gt;="&amp;DATE(年度+2018,9,1),'予算差引簿（短）'!$A$182:$A$209,"&lt;"&amp;DATE(年度+2018,10,1))</f>
        <v>258776</v>
      </c>
      <c r="I19" s="749">
        <f>SUMIFS('予算差引簿（短）'!$C$182:$C$209,'予算差引簿（短）'!$E$182:$E$209,"確認済",'予算差引簿（短）'!$A$182:$A$209,"&gt;="&amp;DATE(年度+2018,10,1),'予算差引簿（短）'!$A$182:$A$209,"&lt;"&amp;DATE(年度+2018,11,1))</f>
        <v>379380</v>
      </c>
      <c r="J19" s="749">
        <f>SUMIFS('予算差引簿（短）'!$C$182:$C$209,'予算差引簿（短）'!$E$182:$E$209,"確認済",'予算差引簿（短）'!$A$182:$A$209,"&gt;="&amp;DATE(年度+2018,11,1),'予算差引簿（短）'!$A$182:$A$209,"&lt;"&amp;DATE(年度+2018,12,1))</f>
        <v>0</v>
      </c>
      <c r="K19" s="749">
        <f>SUMIFS('予算差引簿（短）'!$C$182:$C$209,'予算差引簿（短）'!$E$182:$E$209,"確認済",'予算差引簿（短）'!$A$182:$A$209,"&gt;="&amp;DATE(年度+2018,12,1),'予算差引簿（短）'!$A$182:$A$209,"&lt;"&amp;DATE(年度+2019,1,1))</f>
        <v>0</v>
      </c>
      <c r="L19" s="749">
        <f>SUMIFS('予算差引簿（短）'!$C$182:$C$209,'予算差引簿（短）'!$E$182:$E$209,"確認済",'予算差引簿（短）'!$A$182:$A$209,"&gt;="&amp;DATE(年度+2019,1,1),'予算差引簿（短）'!$A$182:$A$209,"&lt;"&amp;DATE(年度+2019,2,1))</f>
        <v>0</v>
      </c>
      <c r="M19" s="749">
        <f>SUMIFS('予算差引簿（短）'!$C$182:$C$209,'予算差引簿（短）'!$E$182:$E$209,"確認済",'予算差引簿（短）'!$A$182:$A$209,"&gt;="&amp;DATE(年度+2019,2,1),'予算差引簿（短）'!$A$182:$A$209,"&lt;"&amp;DATE(年度+2019,3,1))</f>
        <v>0</v>
      </c>
      <c r="N19" s="749">
        <f>SUMIFS('予算差引簿（短）'!$C$182:$C$209,'予算差引簿（短）'!$E$182:$E$209,"確認済",'予算差引簿（短）'!$A$182:$A$209,"&gt;="&amp;DATE(年度+2019,3,1),'予算差引簿（短）'!$A$182:$A$209,"&lt;"&amp;DATE(年度+2019,4,1))</f>
        <v>0</v>
      </c>
      <c r="O19" s="749">
        <f>SUMIFS('予算差引簿（短）未払'!$R$67:$R$78,'予算差引簿（短）未払'!$T$67:$T$78,"確認済")</f>
        <v>0</v>
      </c>
      <c r="P19" s="833">
        <f>SUM(C19:O19)</f>
        <v>2403239</v>
      </c>
      <c r="Q19" s="749">
        <f>'R7業務 (短)'!$S$7</f>
        <v>4381000</v>
      </c>
      <c r="R19" s="749">
        <f>IF(Q19="","",Q19-P19)</f>
        <v>1977761</v>
      </c>
      <c r="S19" s="748" t="inlineStr">
        <is>
          <t>Y</t>
        </is>
      </c>
      <c r="T19" s="834" t="str">
        <f>IF(OR('予算差引簿（短）'!E179&lt;&gt;"",'予算差引簿（短）未払'!T64&lt;&gt;""),"行不足","")</f>
        <v/>
      </c>
    </row>
    <row r="20">
      <c r="A20" s="742" t="inlineStr">
        <is>
          <t>非常勤職員手当（うち賞与）</t>
        </is>
      </c>
      <c r="C20" s="835">
        <f>SUMIFS('予算差引簿（短）'!$C$182:$C$209,'予算差引簿（短）'!$E$182:$E$209,"確認済",'予算差引簿（短）'!$A$182:$A$209,"&gt;="&amp;DATE(年度+2018,4,1),'予算差引簿（短）'!$A$182:$A$209,"&lt;"&amp;DATE(年度+2018,5,1),'予算差引簿（短）'!$B$182:$B$209,"*賞与*")</f>
        <v>0</v>
      </c>
      <c r="D20" s="835">
        <f>SUMIFS('予算差引簿（短）'!$C$182:$C$209,'予算差引簿（短）'!$E$182:$E$209,"確認済",'予算差引簿（短）'!$A$182:$A$209,"&gt;="&amp;DATE(年度+2018,5,1),'予算差引簿（短）'!$A$182:$A$209,"&lt;"&amp;DATE(年度+2018,6,1),'予算差引簿（短）'!$B$182:$B$209,"*賞与*")</f>
        <v>0</v>
      </c>
      <c r="E20" s="835">
        <f>SUMIFS('予算差引簿（短）'!$C$182:$C$209,'予算差引簿（短）'!$E$182:$E$209,"確認済",'予算差引簿（短）'!$A$182:$A$209,"&gt;="&amp;DATE(年度+2018,6,1),'予算差引簿（短）'!$A$182:$A$209,"&lt;"&amp;DATE(年度+2018,7,1),'予算差引簿（短）'!$B$182:$B$209,"*賞与*")</f>
        <v>447795</v>
      </c>
      <c r="F20" s="835">
        <f>SUMIFS('予算差引簿（短）'!$C$182:$C$209,'予算差引簿（短）'!$E$182:$E$209,"確認済",'予算差引簿（短）'!$A$182:$A$209,"&gt;="&amp;DATE(年度+2018,7,1),'予算差引簿（短）'!$A$182:$A$209,"&lt;"&amp;DATE(年度+2018,8,1),'予算差引簿（短）'!$B$182:$B$209,"*賞与*")</f>
        <v>0</v>
      </c>
      <c r="G20" s="835">
        <f>SUMIFS('予算差引簿（短）'!$C$182:$C$209,'予算差引簿（短）'!$E$182:$E$209,"確認済",'予算差引簿（短）'!$A$182:$A$209,"&gt;="&amp;DATE(年度+2018,8,1),'予算差引簿（短）'!$A$182:$A$209,"&lt;"&amp;DATE(年度+2018,9,1),'予算差引簿（短）'!$B$182:$B$209,"*賞与*")</f>
        <v>0</v>
      </c>
      <c r="H20" s="835">
        <f>SUMIFS('予算差引簿（短）'!$C$182:$C$209,'予算差引簿（短）'!$E$182:$E$209,"確認済",'予算差引簿（短）'!$A$182:$A$209,"&gt;="&amp;DATE(年度+2018,9,1),'予算差引簿（短）'!$A$182:$A$209,"&lt;"&amp;DATE(年度+2018,10,1),'予算差引簿（短）'!$B$182:$B$209,"*賞与*")</f>
        <v>0</v>
      </c>
      <c r="I20" s="835">
        <f>SUMIFS('予算差引簿（短）'!$C$182:$C$209,'予算差引簿（短）'!$E$182:$E$209,"確認済",'予算差引簿（短）'!$A$182:$A$209,"&gt;="&amp;DATE(年度+2018,10,1),'予算差引簿（短）'!$A$182:$A$209,"&lt;"&amp;DATE(年度+2018,11,1),'予算差引簿（短）'!$B$182:$B$209,"*賞与*")</f>
        <v>0</v>
      </c>
      <c r="J20" s="835">
        <f>SUMIFS('予算差引簿（短）'!$C$182:$C$209,'予算差引簿（短）'!$E$182:$E$209,"確認済",'予算差引簿（短）'!$A$182:$A$209,"&gt;="&amp;DATE(年度+2018,11,1),'予算差引簿（短）'!$A$182:$A$209,"&lt;"&amp;DATE(年度+2018,12,1),'予算差引簿（短）'!$B$182:$B$209,"*賞与*")</f>
        <v>0</v>
      </c>
      <c r="K20" s="835">
        <f>SUMIFS('予算差引簿（短）'!$C$182:$C$209,'予算差引簿（短）'!$E$182:$E$209,"確認済",'予算差引簿（短）'!$A$182:$A$209,"&gt;="&amp;DATE(年度+2018,12,1),'予算差引簿（短）'!$A$182:$A$209,"&lt;"&amp;DATE(年度+2019,1,1),'予算差引簿（短）'!$B$182:$B$209,"*賞与*")</f>
        <v>0</v>
      </c>
      <c r="L20" s="835">
        <f>SUMIFS('予算差引簿（短）'!$C$182:$C$209,'予算差引簿（短）'!$E$182:$E$209,"確認済",'予算差引簿（短）'!$A$182:$A$209,"&gt;="&amp;DATE(年度+2019,1,1),'予算差引簿（短）'!$A$182:$A$209,"&lt;"&amp;DATE(年度+2019,2,1),'予算差引簿（短）'!$B$182:$B$209,"*賞与*")</f>
        <v>0</v>
      </c>
      <c r="M20" s="835">
        <f>SUMIFS('予算差引簿（短）'!$C$182:$C$209,'予算差引簿（短）'!$E$182:$E$209,"確認済",'予算差引簿（短）'!$A$182:$A$209,"&gt;="&amp;DATE(年度+2019,2,1),'予算差引簿（短）'!$A$182:$A$209,"&lt;"&amp;DATE(年度+2019,3,1),'予算差引簿（短）'!$B$182:$B$209,"*賞与*")</f>
        <v>0</v>
      </c>
      <c r="N20" s="835">
        <f>SUMIFS('予算差引簿（短）'!$C$182:$C$209,'予算差引簿（短）'!$E$182:$E$209,"確認済",'予算差引簿（短）'!$A$182:$A$209,"&gt;="&amp;DATE(年度+2019,3,1),'予算差引簿（短）'!$A$182:$A$209,"&lt;"&amp;DATE(年度+2019,4,1),'予算差引簿（短）'!$B$182:$B$209,"*賞与*")</f>
        <v>0</v>
      </c>
      <c r="O20" s="835">
        <f>SUMIFS('予算差引簿（短）未払'!$R$67:$R$78,'予算差引簿（短）未払'!$T$67:$T$78,"確認済",'予算差引簿（短）未払'!$Q$67:$Q$78,"*賞与*")</f>
        <v>0</v>
      </c>
      <c r="P20" s="835">
        <f>SUM(C20:O20)</f>
        <v>447795</v>
      </c>
      <c r="S20" s="836" t="inlineStr">
        <is>
          <t>内訳</t>
        </is>
      </c>
    </row>
    <row r="21">
      <c r="A21" s="740" t="inlineStr">
        <is>
          <t>賃金</t>
        </is>
      </c>
      <c r="C21" s="749">
        <f>SUMIFS('予算差引簿（短）'!$R$182:$R$204,'予算差引簿（短）'!$T$182:$T$204,"確認済",'予算差引簿（短）'!$P$182:$P$204,"&gt;="&amp;DATE(年度+2018,4,1),'予算差引簿（短）'!$P$182:$P$204,"&lt;"&amp;DATE(年度+2018,5,1))</f>
        <v>0</v>
      </c>
      <c r="D21" s="749">
        <f>SUMIFS('予算差引簿（短）'!$R$182:$R$204,'予算差引簿（短）'!$T$182:$T$204,"確認済",'予算差引簿（短）'!$P$182:$P$204,"&gt;="&amp;DATE(年度+2018,5,1),'予算差引簿（短）'!$P$182:$P$204,"&lt;"&amp;DATE(年度+2018,6,1))</f>
        <v>425880</v>
      </c>
      <c r="E21" s="749">
        <f>SUMIFS('予算差引簿（短）'!$R$182:$R$204,'予算差引簿（短）'!$T$182:$T$204,"確認済",'予算差引簿（短）'!$P$182:$P$204,"&gt;="&amp;DATE(年度+2018,6,1),'予算差引簿（短）'!$P$182:$P$204,"&lt;"&amp;DATE(年度+2018,7,1))</f>
        <v>365040</v>
      </c>
      <c r="F21" s="749">
        <f>SUMIFS('予算差引簿（短）'!$R$182:$R$204,'予算差引簿（短）'!$T$182:$T$204,"確認済",'予算差引簿（短）'!$P$182:$P$204,"&gt;="&amp;DATE(年度+2018,7,1),'予算差引簿（短）'!$P$182:$P$204,"&lt;"&amp;DATE(年度+2018,8,1))</f>
        <v>446160</v>
      </c>
      <c r="G21" s="749">
        <f>SUMIFS('予算差引簿（短）'!$R$182:$R$204,'予算差引簿（短）'!$T$182:$T$204,"確認済",'予算差引簿（短）'!$P$182:$P$204,"&gt;="&amp;DATE(年度+2018,8,1),'予算差引簿（短）'!$P$182:$P$204,"&lt;"&amp;DATE(年度+2018,9,1))</f>
        <v>445720</v>
      </c>
      <c r="H21" s="749">
        <f>SUMIFS('予算差引簿（短）'!$R$182:$R$204,'予算差引簿（短）'!$T$182:$T$204,"確認済",'予算差引簿（短）'!$P$182:$P$204,"&gt;="&amp;DATE(年度+2018,9,1),'予算差引簿（短）'!$P$182:$P$204,"&lt;"&amp;DATE(年度+2018,10,1))</f>
        <v>384480</v>
      </c>
      <c r="I21" s="749">
        <f>SUMIFS('予算差引簿（短）'!$R$182:$R$204,'予算差引簿（短）'!$T$182:$T$204,"確認済",'予算差引簿（短）'!$P$182:$P$204,"&gt;="&amp;DATE(年度+2018,10,1),'予算差引簿（短）'!$P$182:$P$204,"&lt;"&amp;DATE(年度+2018,11,1))</f>
        <v>378520</v>
      </c>
      <c r="J21" s="749">
        <f>SUMIFS('予算差引簿（短）'!$R$182:$R$204,'予算差引簿（短）'!$T$182:$T$204,"確認済",'予算差引簿（短）'!$P$182:$P$204,"&gt;="&amp;DATE(年度+2018,11,1),'予算差引簿（短）'!$P$182:$P$204,"&lt;"&amp;DATE(年度+2018,12,1))</f>
        <v>0</v>
      </c>
      <c r="K21" s="749">
        <f>SUMIFS('予算差引簿（短）'!$R$182:$R$204,'予算差引簿（短）'!$T$182:$T$204,"確認済",'予算差引簿（短）'!$P$182:$P$204,"&gt;="&amp;DATE(年度+2018,12,1),'予算差引簿（短）'!$P$182:$P$204,"&lt;"&amp;DATE(年度+2019,1,1))</f>
        <v>0</v>
      </c>
      <c r="L21" s="749">
        <f>SUMIFS('予算差引簿（短）'!$R$182:$R$204,'予算差引簿（短）'!$T$182:$T$204,"確認済",'予算差引簿（短）'!$P$182:$P$204,"&gt;="&amp;DATE(年度+2019,1,1),'予算差引簿（短）'!$P$182:$P$204,"&lt;"&amp;DATE(年度+2019,2,1))</f>
        <v>0</v>
      </c>
      <c r="M21" s="749">
        <f>SUMIFS('予算差引簿（短）'!$R$182:$R$204,'予算差引簿（短）'!$T$182:$T$204,"確認済",'予算差引簿（短）'!$P$182:$P$204,"&gt;="&amp;DATE(年度+2019,2,1),'予算差引簿（短）'!$P$182:$P$204,"&lt;"&amp;DATE(年度+2019,3,1))</f>
        <v>0</v>
      </c>
      <c r="N21" s="749">
        <f>SUMIFS('予算差引簿（短）'!$R$182:$R$204,'予算差引簿（短）'!$T$182:$T$204,"確認済",'予算差引簿（短）'!$P$182:$P$204,"&gt;="&amp;DATE(年度+2019,3,1),'予算差引簿（短）'!$P$182:$P$204,"&lt;"&amp;DATE(年度+2019,4,1))</f>
        <v>0</v>
      </c>
      <c r="O21" s="749">
        <f>SUMIFS('予算差引簿（短）未払'!$C$85:$C$96,'予算差引簿（短）未払'!$E$85:$E$96,"確認済")</f>
        <v>0</v>
      </c>
      <c r="P21" s="833">
        <f>SUM(C21:O21)</f>
        <v>2445800</v>
      </c>
      <c r="Q21" s="749">
        <f>'R7業務 (短)'!$S$19</f>
        <v>5520000</v>
      </c>
      <c r="R21" s="749">
        <f>IF(Q21="","",Q21-P21)</f>
        <v>3074200</v>
      </c>
      <c r="S21" s="748" t="inlineStr">
        <is>
          <t>Y</t>
        </is>
      </c>
      <c r="T21" s="834" t="str">
        <f>IF(OR('予算差引簿（短）'!T179&lt;&gt;"",'予算差引簿（短）未払'!E82&lt;&gt;""),"行不足","")</f>
        <v/>
      </c>
    </row>
    <row r="22">
      <c r="A22" s="740" t="inlineStr">
        <is>
          <t>諸謝金</t>
        </is>
      </c>
      <c r="C22" s="749">
        <f>SUMIFS('予算差引簿（短）'!$C$263:$C$274,'予算差引簿（短）'!$E$263:$E$274,"確認済",'予算差引簿（短）'!$A$263:$A$274,"&gt;="&amp;DATE(年度+2018,4,1),'予算差引簿（短）'!$A$263:$A$274,"&lt;"&amp;DATE(年度+2018,5,1))</f>
        <v>0</v>
      </c>
      <c r="D22" s="749">
        <f>SUMIFS('予算差引簿（短）'!$C$263:$C$274,'予算差引簿（短）'!$E$263:$E$274,"確認済",'予算差引簿（短）'!$A$263:$A$274,"&gt;="&amp;DATE(年度+2018,5,1),'予算差引簿（短）'!$A$263:$A$274,"&lt;"&amp;DATE(年度+2018,6,1))</f>
        <v>0</v>
      </c>
      <c r="E22" s="749">
        <f>SUMIFS('予算差引簿（短）'!$C$263:$C$274,'予算差引簿（短）'!$E$263:$E$274,"確認済",'予算差引簿（短）'!$A$263:$A$274,"&gt;="&amp;DATE(年度+2018,6,1),'予算差引簿（短）'!$A$263:$A$274,"&lt;"&amp;DATE(年度+2018,7,1))</f>
        <v>0</v>
      </c>
      <c r="F22" s="749">
        <f>SUMIFS('予算差引簿（短）'!$C$263:$C$274,'予算差引簿（短）'!$E$263:$E$274,"確認済",'予算差引簿（短）'!$A$263:$A$274,"&gt;="&amp;DATE(年度+2018,7,1),'予算差引簿（短）'!$A$263:$A$274,"&lt;"&amp;DATE(年度+2018,8,1))</f>
        <v>0</v>
      </c>
      <c r="G22" s="749">
        <f>SUMIFS('予算差引簿（短）'!$C$263:$C$274,'予算差引簿（短）'!$E$263:$E$274,"確認済",'予算差引簿（短）'!$A$263:$A$274,"&gt;="&amp;DATE(年度+2018,8,1),'予算差引簿（短）'!$A$263:$A$274,"&lt;"&amp;DATE(年度+2018,9,1))</f>
        <v>0</v>
      </c>
      <c r="H22" s="749">
        <f>SUMIFS('予算差引簿（短）'!$C$263:$C$274,'予算差引簿（短）'!$E$263:$E$274,"確認済",'予算差引簿（短）'!$A$263:$A$274,"&gt;="&amp;DATE(年度+2018,9,1),'予算差引簿（短）'!$A$263:$A$274,"&lt;"&amp;DATE(年度+2018,10,1))</f>
        <v>0</v>
      </c>
      <c r="I22" s="749">
        <f>SUMIFS('予算差引簿（短）'!$C$263:$C$274,'予算差引簿（短）'!$E$263:$E$274,"確認済",'予算差引簿（短）'!$A$263:$A$274,"&gt;="&amp;DATE(年度+2018,10,1),'予算差引簿（短）'!$A$263:$A$274,"&lt;"&amp;DATE(年度+2018,11,1))</f>
        <v>0</v>
      </c>
      <c r="J22" s="749">
        <f>SUMIFS('予算差引簿（短）'!$C$263:$C$274,'予算差引簿（短）'!$E$263:$E$274,"確認済",'予算差引簿（短）'!$A$263:$A$274,"&gt;="&amp;DATE(年度+2018,11,1),'予算差引簿（短）'!$A$263:$A$274,"&lt;"&amp;DATE(年度+2018,12,1))</f>
        <v>0</v>
      </c>
      <c r="K22" s="749">
        <f>SUMIFS('予算差引簿（短）'!$C$263:$C$274,'予算差引簿（短）'!$E$263:$E$274,"確認済",'予算差引簿（短）'!$A$263:$A$274,"&gt;="&amp;DATE(年度+2018,12,1),'予算差引簿（短）'!$A$263:$A$274,"&lt;"&amp;DATE(年度+2019,1,1))</f>
        <v>0</v>
      </c>
      <c r="L22" s="749">
        <f>SUMIFS('予算差引簿（短）'!$C$263:$C$274,'予算差引簿（短）'!$E$263:$E$274,"確認済",'予算差引簿（短）'!$A$263:$A$274,"&gt;="&amp;DATE(年度+2019,1,1),'予算差引簿（短）'!$A$263:$A$274,"&lt;"&amp;DATE(年度+2019,2,1))</f>
        <v>0</v>
      </c>
      <c r="M22" s="749">
        <f>SUMIFS('予算差引簿（短）'!$C$263:$C$274,'予算差引簿（短）'!$E$263:$E$274,"確認済",'予算差引簿（短）'!$A$263:$A$274,"&gt;="&amp;DATE(年度+2019,2,1),'予算差引簿（短）'!$A$263:$A$274,"&lt;"&amp;DATE(年度+2019,3,1))</f>
        <v>0</v>
      </c>
      <c r="N22" s="749">
        <f>SUMIFS('予算差引簿（短）'!$C$263:$C$274,'予算差引簿（短）'!$E$263:$E$274,"確認済",'予算差引簿（短）'!$A$263:$A$274,"&gt;="&amp;DATE(年度+2019,3,1),'予算差引簿（短）'!$A$263:$A$274,"&lt;"&amp;DATE(年度+2019,4,1))</f>
        <v>0</v>
      </c>
      <c r="O22" s="749">
        <f>SUMIFS('予算差引簿（短）未払'!$H$85:$H$96,'予算差引簿（短）未払'!$J$85:$J$96,"確認済")</f>
        <v>0</v>
      </c>
      <c r="P22" s="833">
        <f>SUM(C22:O22)</f>
        <v>0</v>
      </c>
      <c r="Q22" s="749">
        <f>'R7業務 (短)'!$S$25</f>
        <v>0</v>
      </c>
      <c r="R22" s="749">
        <f>IF(Q22="","",Q22-P22)</f>
        <v>0</v>
      </c>
      <c r="S22" s="748" t="inlineStr">
        <is>
          <t>Y</t>
        </is>
      </c>
      <c r="T22" s="834" t="str">
        <f>IF(OR('予算差引簿（短）'!E260&lt;&gt;"",'予算差引簿（短）未払'!J82&lt;&gt;""),"行不足","")</f>
        <v/>
      </c>
    </row>
    <row r="23">
      <c r="A23" s="740" t="inlineStr">
        <is>
          <t>互助会費</t>
        </is>
      </c>
      <c r="C23" s="749">
        <f>SUMIFS('予算差引簿（短）'!$M$182:$M$206,'予算差引簿（短）'!$O$182:$O$206,"確認済",'予算差引簿（短）'!$K$182:$K$206,"&gt;="&amp;DATE(年度+2018,4,1),'予算差引簿（短）'!$K$182:$K$206,"&lt;"&amp;DATE(年度+2018,5,1))</f>
        <v>240</v>
      </c>
      <c r="D23" s="749">
        <f>SUMIFS('予算差引簿（短）'!$M$182:$M$206,'予算差引簿（短）'!$O$182:$O$206,"確認済",'予算差引簿（短）'!$K$182:$K$206,"&gt;="&amp;DATE(年度+2018,5,1),'予算差引簿（短）'!$K$182:$K$206,"&lt;"&amp;DATE(年度+2018,6,1))</f>
        <v>240</v>
      </c>
      <c r="E23" s="749">
        <f>SUMIFS('予算差引簿（短）'!$M$182:$M$206,'予算差引簿（短）'!$O$182:$O$206,"確認済",'予算差引簿（短）'!$K$182:$K$206,"&gt;="&amp;DATE(年度+2018,6,1),'予算差引簿（短）'!$K$182:$K$206,"&lt;"&amp;DATE(年度+2018,7,1))</f>
        <v>240</v>
      </c>
      <c r="F23" s="749">
        <f>SUMIFS('予算差引簿（短）'!$M$182:$M$206,'予算差引簿（短）'!$O$182:$O$206,"確認済",'予算差引簿（短）'!$K$182:$K$206,"&gt;="&amp;DATE(年度+2018,7,1),'予算差引簿（短）'!$K$182:$K$206,"&lt;"&amp;DATE(年度+2018,8,1))</f>
        <v>240</v>
      </c>
      <c r="G23" s="749">
        <f>SUMIFS('予算差引簿（短）'!$M$182:$M$206,'予算差引簿（短）'!$O$182:$O$206,"確認済",'予算差引簿（短）'!$K$182:$K$206,"&gt;="&amp;DATE(年度+2018,8,1),'予算差引簿（短）'!$K$182:$K$206,"&lt;"&amp;DATE(年度+2018,9,1))</f>
        <v>240</v>
      </c>
      <c r="H23" s="749">
        <f>SUMIFS('予算差引簿（短）'!$M$182:$M$206,'予算差引簿（短）'!$O$182:$O$206,"確認済",'予算差引簿（短）'!$K$182:$K$206,"&gt;="&amp;DATE(年度+2018,9,1),'予算差引簿（短）'!$K$182:$K$206,"&lt;"&amp;DATE(年度+2018,10,1))</f>
        <v>240</v>
      </c>
      <c r="I23" s="749">
        <f>SUMIFS('予算差引簿（短）'!$M$182:$M$206,'予算差引簿（短）'!$O$182:$O$206,"確認済",'予算差引簿（短）'!$K$182:$K$206,"&gt;="&amp;DATE(年度+2018,10,1),'予算差引簿（短）'!$K$182:$K$206,"&lt;"&amp;DATE(年度+2018,11,1))</f>
        <v>240</v>
      </c>
      <c r="J23" s="749">
        <f>SUMIFS('予算差引簿（短）'!$M$182:$M$206,'予算差引簿（短）'!$O$182:$O$206,"確認済",'予算差引簿（短）'!$K$182:$K$206,"&gt;="&amp;DATE(年度+2018,11,1),'予算差引簿（短）'!$K$182:$K$206,"&lt;"&amp;DATE(年度+2018,12,1))</f>
        <v>0</v>
      </c>
      <c r="K23" s="749">
        <f>SUMIFS('予算差引簿（短）'!$M$182:$M$206,'予算差引簿（短）'!$O$182:$O$206,"確認済",'予算差引簿（短）'!$K$182:$K$206,"&gt;="&amp;DATE(年度+2018,12,1),'予算差引簿（短）'!$K$182:$K$206,"&lt;"&amp;DATE(年度+2019,1,1))</f>
        <v>0</v>
      </c>
      <c r="L23" s="749">
        <f>SUMIFS('予算差引簿（短）'!$M$182:$M$206,'予算差引簿（短）'!$O$182:$O$206,"確認済",'予算差引簿（短）'!$K$182:$K$206,"&gt;="&amp;DATE(年度+2019,1,1),'予算差引簿（短）'!$K$182:$K$206,"&lt;"&amp;DATE(年度+2019,2,1))</f>
        <v>0</v>
      </c>
      <c r="M23" s="749">
        <f>SUMIFS('予算差引簿（短）'!$M$182:$M$206,'予算差引簿（短）'!$O$182:$O$206,"確認済",'予算差引簿（短）'!$K$182:$K$206,"&gt;="&amp;DATE(年度+2019,2,1),'予算差引簿（短）'!$K$182:$K$206,"&lt;"&amp;DATE(年度+2019,3,1))</f>
        <v>0</v>
      </c>
      <c r="N23" s="749">
        <f>SUMIFS('予算差引簿（短）'!$M$182:$M$206,'予算差引簿（短）'!$O$182:$O$206,"確認済",'予算差引簿（短）'!$K$182:$K$206,"&gt;="&amp;DATE(年度+2019,3,1),'予算差引簿（短）'!$K$182:$K$206,"&lt;"&amp;DATE(年度+2019,4,1))</f>
        <v>0</v>
      </c>
      <c r="O23" s="749">
        <f>SUMIFS('予算差引簿（短）未払'!$M$85:$M$96,'予算差引簿（短）未払'!$O$85:$O$96,"確認済")</f>
        <v>0</v>
      </c>
      <c r="P23" s="833">
        <f>SUM(C23:O23)</f>
        <v>1680</v>
      </c>
      <c r="Q23" s="749">
        <f>'R7業務 (短)'!$S$27</f>
        <v>1665000</v>
      </c>
      <c r="R23" s="749">
        <f>IF(Q23="","",Q23-P23)</f>
        <v>1663320</v>
      </c>
      <c r="S23" s="748" t="inlineStr">
        <is>
          <t>Y</t>
        </is>
      </c>
      <c r="T23" s="834" t="str">
        <f>IF(OR('予算差引簿（短）'!O179&lt;&gt;"",'予算差引簿（短）未払'!O82&lt;&gt;""),"行不足","")</f>
        <v/>
      </c>
    </row>
    <row r="24">
      <c r="A24" s="740" t="inlineStr">
        <is>
          <t>会議出席負担金等</t>
        </is>
      </c>
      <c r="C24" s="749">
        <f>SUMIFS('予算差引簿（短）'!$H$263:$H$274,'予算差引簿（短）'!$J$263:$J$274,"確認済",'予算差引簿（短）'!$F$263:$F$274,"&gt;="&amp;DATE(年度+2018,4,1),'予算差引簿（短）'!$F$263:$F$274,"&lt;"&amp;DATE(年度+2018,5,1))</f>
        <v>0</v>
      </c>
      <c r="D24" s="749">
        <f>SUMIFS('予算差引簿（短）'!$H$263:$H$274,'予算差引簿（短）'!$J$263:$J$274,"確認済",'予算差引簿（短）'!$F$263:$F$274,"&gt;="&amp;DATE(年度+2018,5,1),'予算差引簿（短）'!$F$263:$F$274,"&lt;"&amp;DATE(年度+2018,6,1))</f>
        <v>0</v>
      </c>
      <c r="E24" s="749">
        <f>SUMIFS('予算差引簿（短）'!$H$263:$H$274,'予算差引簿（短）'!$J$263:$J$274,"確認済",'予算差引簿（短）'!$F$263:$F$274,"&gt;="&amp;DATE(年度+2018,6,1),'予算差引簿（短）'!$F$263:$F$274,"&lt;"&amp;DATE(年度+2018,7,1))</f>
        <v>0</v>
      </c>
      <c r="F24" s="749">
        <f>SUMIFS('予算差引簿（短）'!$H$263:$H$274,'予算差引簿（短）'!$J$263:$J$274,"確認済",'予算差引簿（短）'!$F$263:$F$274,"&gt;="&amp;DATE(年度+2018,7,1),'予算差引簿（短）'!$F$263:$F$274,"&lt;"&amp;DATE(年度+2018,8,1))</f>
        <v>0</v>
      </c>
      <c r="G24" s="749">
        <f>SUMIFS('予算差引簿（短）'!$H$263:$H$274,'予算差引簿（短）'!$J$263:$J$274,"確認済",'予算差引簿（短）'!$F$263:$F$274,"&gt;="&amp;DATE(年度+2018,8,1),'予算差引簿（短）'!$F$263:$F$274,"&lt;"&amp;DATE(年度+2018,9,1))</f>
        <v>0</v>
      </c>
      <c r="H24" s="749">
        <f>SUMIFS('予算差引簿（短）'!$H$263:$H$274,'予算差引簿（短）'!$J$263:$J$274,"確認済",'予算差引簿（短）'!$F$263:$F$274,"&gt;="&amp;DATE(年度+2018,9,1),'予算差引簿（短）'!$F$263:$F$274,"&lt;"&amp;DATE(年度+2018,10,1))</f>
        <v>0</v>
      </c>
      <c r="I24" s="749">
        <f>SUMIFS('予算差引簿（短）'!$H$263:$H$274,'予算差引簿（短）'!$J$263:$J$274,"確認済",'予算差引簿（短）'!$F$263:$F$274,"&gt;="&amp;DATE(年度+2018,10,1),'予算差引簿（短）'!$F$263:$F$274,"&lt;"&amp;DATE(年度+2018,11,1))</f>
        <v>0</v>
      </c>
      <c r="J24" s="749">
        <f>SUMIFS('予算差引簿（短）'!$H$263:$H$274,'予算差引簿（短）'!$J$263:$J$274,"確認済",'予算差引簿（短）'!$F$263:$F$274,"&gt;="&amp;DATE(年度+2018,11,1),'予算差引簿（短）'!$F$263:$F$274,"&lt;"&amp;DATE(年度+2018,12,1))</f>
        <v>0</v>
      </c>
      <c r="K24" s="749">
        <f>SUMIFS('予算差引簿（短）'!$H$263:$H$274,'予算差引簿（短）'!$J$263:$J$274,"確認済",'予算差引簿（短）'!$F$263:$F$274,"&gt;="&amp;DATE(年度+2018,12,1),'予算差引簿（短）'!$F$263:$F$274,"&lt;"&amp;DATE(年度+2019,1,1))</f>
        <v>0</v>
      </c>
      <c r="L24" s="749">
        <f>SUMIFS('予算差引簿（短）'!$H$263:$H$274,'予算差引簿（短）'!$J$263:$J$274,"確認済",'予算差引簿（短）'!$F$263:$F$274,"&gt;="&amp;DATE(年度+2019,1,1),'予算差引簿（短）'!$F$263:$F$274,"&lt;"&amp;DATE(年度+2019,2,1))</f>
        <v>0</v>
      </c>
      <c r="M24" s="749">
        <f>SUMIFS('予算差引簿（短）'!$H$263:$H$274,'予算差引簿（短）'!$J$263:$J$274,"確認済",'予算差引簿（短）'!$F$263:$F$274,"&gt;="&amp;DATE(年度+2019,2,1),'予算差引簿（短）'!$F$263:$F$274,"&lt;"&amp;DATE(年度+2019,3,1))</f>
        <v>0</v>
      </c>
      <c r="N24" s="749">
        <f>SUMIFS('予算差引簿（短）'!$H$263:$H$274,'予算差引簿（短）'!$J$263:$J$274,"確認済",'予算差引簿（短）'!$F$263:$F$274,"&gt;="&amp;DATE(年度+2019,3,1),'予算差引簿（短）'!$F$263:$F$274,"&lt;"&amp;DATE(年度+2019,4,1))</f>
        <v>0</v>
      </c>
      <c r="O24" s="749">
        <f>SUMIFS('予算差引簿（短）未払'!$R$85:$R$96,'予算差引簿（短）未払'!$T$85:$T$96,"確認済")</f>
        <v>0</v>
      </c>
      <c r="P24" s="833">
        <f>SUM(C24:O24)</f>
        <v>0</v>
      </c>
      <c r="Q24" s="749" t="n"/>
      <c r="R24" s="749" t="n"/>
      <c r="S24" s="748" t="inlineStr">
        <is>
          <t>Y</t>
        </is>
      </c>
      <c r="T24" s="834" t="str">
        <f>IF(OR('予算差引簿（短）'!J260&lt;&gt;"",'予算差引簿（短）未払'!T82&lt;&gt;""),"行不足","")</f>
        <v/>
      </c>
    </row>
    <row r="25">
      <c r="A25" s="740" t="inlineStr">
        <is>
          <t>協会けんぽ保険料等</t>
        </is>
      </c>
      <c r="C25" s="749">
        <f>SUMIFS('予算差引簿（短）'!$M$263:$M$274,'予算差引簿（短）'!$O$263:$O$274,"確認済",'予算差引簿（短）'!$K$263:$K$274,"&gt;="&amp;DATE(年度+2018,4,1),'予算差引簿（短）'!$K$263:$K$274,"&lt;"&amp;DATE(年度+2018,5,1))</f>
        <v>0</v>
      </c>
      <c r="D25" s="749">
        <f>SUMIFS('予算差引簿（短）'!$M$263:$M$274,'予算差引簿（短）'!$O$263:$O$274,"確認済",'予算差引簿（短）'!$K$263:$K$274,"&gt;="&amp;DATE(年度+2018,5,1),'予算差引簿（短）'!$K$263:$K$274,"&lt;"&amp;DATE(年度+2018,6,1))</f>
        <v>0</v>
      </c>
      <c r="E25" s="749">
        <f>SUMIFS('予算差引簿（短）'!$M$263:$M$274,'予算差引簿（短）'!$O$263:$O$274,"確認済",'予算差引簿（短）'!$K$263:$K$274,"&gt;="&amp;DATE(年度+2018,6,1),'予算差引簿（短）'!$K$263:$K$274,"&lt;"&amp;DATE(年度+2018,7,1))</f>
        <v>0</v>
      </c>
      <c r="F25" s="749">
        <f>SUMIFS('予算差引簿（短）'!$M$263:$M$274,'予算差引簿（短）'!$O$263:$O$274,"確認済",'予算差引簿（短）'!$K$263:$K$274,"&gt;="&amp;DATE(年度+2018,7,1),'予算差引簿（短）'!$K$263:$K$274,"&lt;"&amp;DATE(年度+2018,8,1))</f>
        <v>0</v>
      </c>
      <c r="G25" s="749">
        <f>SUMIFS('予算差引簿（短）'!$M$263:$M$274,'予算差引簿（短）'!$O$263:$O$274,"確認済",'予算差引簿（短）'!$K$263:$K$274,"&gt;="&amp;DATE(年度+2018,8,1),'予算差引簿（短）'!$K$263:$K$274,"&lt;"&amp;DATE(年度+2018,9,1))</f>
        <v>0</v>
      </c>
      <c r="H25" s="749">
        <f>SUMIFS('予算差引簿（短）'!$M$263:$M$274,'予算差引簿（短）'!$O$263:$O$274,"確認済",'予算差引簿（短）'!$K$263:$K$274,"&gt;="&amp;DATE(年度+2018,9,1),'予算差引簿（短）'!$K$263:$K$274,"&lt;"&amp;DATE(年度+2018,10,1))</f>
        <v>0</v>
      </c>
      <c r="I25" s="749">
        <f>SUMIFS('予算差引簿（短）'!$M$263:$M$274,'予算差引簿（短）'!$O$263:$O$274,"確認済",'予算差引簿（短）'!$K$263:$K$274,"&gt;="&amp;DATE(年度+2018,10,1),'予算差引簿（短）'!$K$263:$K$274,"&lt;"&amp;DATE(年度+2018,11,1))</f>
        <v>0</v>
      </c>
      <c r="J25" s="749">
        <f>SUMIFS('予算差引簿（短）'!$M$263:$M$274,'予算差引簿（短）'!$O$263:$O$274,"確認済",'予算差引簿（短）'!$K$263:$K$274,"&gt;="&amp;DATE(年度+2018,11,1),'予算差引簿（短）'!$K$263:$K$274,"&lt;"&amp;DATE(年度+2018,12,1))</f>
        <v>0</v>
      </c>
      <c r="K25" s="749">
        <f>SUMIFS('予算差引簿（短）'!$M$263:$M$274,'予算差引簿（短）'!$O$263:$O$274,"確認済",'予算差引簿（短）'!$K$263:$K$274,"&gt;="&amp;DATE(年度+2018,12,1),'予算差引簿（短）'!$K$263:$K$274,"&lt;"&amp;DATE(年度+2019,1,1))</f>
        <v>0</v>
      </c>
      <c r="L25" s="749">
        <f>SUMIFS('予算差引簿（短）'!$M$263:$M$274,'予算差引簿（短）'!$O$263:$O$274,"確認済",'予算差引簿（短）'!$K$263:$K$274,"&gt;="&amp;DATE(年度+2019,1,1),'予算差引簿（短）'!$K$263:$K$274,"&lt;"&amp;DATE(年度+2019,2,1))</f>
        <v>0</v>
      </c>
      <c r="M25" s="749">
        <f>SUMIFS('予算差引簿（短）'!$M$263:$M$274,'予算差引簿（短）'!$O$263:$O$274,"確認済",'予算差引簿（短）'!$K$263:$K$274,"&gt;="&amp;DATE(年度+2019,2,1),'予算差引簿（短）'!$K$263:$K$274,"&lt;"&amp;DATE(年度+2019,3,1))</f>
        <v>0</v>
      </c>
      <c r="N25" s="749">
        <f>SUMIFS('予算差引簿（短）'!$M$263:$M$274,'予算差引簿（短）'!$O$263:$O$274,"確認済",'予算差引簿（短）'!$K$263:$K$274,"&gt;="&amp;DATE(年度+2019,3,1),'予算差引簿（短）'!$K$263:$K$274,"&lt;"&amp;DATE(年度+2019,4,1))</f>
        <v>0</v>
      </c>
      <c r="O25" s="749">
        <f>SUMIFS('予算差引簿（短）未払'!$C$103:$C$114,'予算差引簿（短）未払'!$E$103:$E$114,"確認済")</f>
        <v>0</v>
      </c>
      <c r="P25" s="833">
        <f>SUM(C25:O25)</f>
        <v>0</v>
      </c>
      <c r="Q25" s="749" t="n"/>
      <c r="R25" s="749" t="n"/>
      <c r="S25" s="748" t="inlineStr">
        <is>
          <t>Y</t>
        </is>
      </c>
      <c r="T25" s="834" t="str">
        <f>IF(OR('予算差引簿（短）'!O260&lt;&gt;"",'予算差引簿（短）未払'!E100&lt;&gt;""),"行不足","")</f>
        <v/>
      </c>
    </row>
    <row r="26">
      <c r="A26" s="740" t="inlineStr">
        <is>
          <t>共済負担金等</t>
        </is>
      </c>
      <c r="C26" s="749">
        <f>SUMIFS('予算差引簿（短）'!$H$182:$H$209,'予算差引簿（短）'!$J$182:$J$209,"確認済",'予算差引簿（短）'!$F$182:$F$209,"&gt;="&amp;DATE(年度+2018,4,1),'予算差引簿（短）'!$F$182:$F$209,"&lt;"&amp;DATE(年度+2018,5,1))</f>
        <v>37074</v>
      </c>
      <c r="D26" s="749">
        <f>SUMIFS('予算差引簿（短）'!$H$182:$H$209,'予算差引簿（短）'!$J$182:$J$209,"確認済",'予算差引簿（短）'!$F$182:$F$209,"&gt;="&amp;DATE(年度+2018,5,1),'予算差引簿（短）'!$F$182:$F$209,"&lt;"&amp;DATE(年度+2018,6,1))</f>
        <v>37074</v>
      </c>
      <c r="E26" s="749">
        <f>SUMIFS('予算差引簿（短）'!$H$182:$H$209,'予算差引簿（短）'!$J$182:$J$209,"確認済",'予算差引簿（短）'!$F$182:$F$209,"&gt;="&amp;DATE(年度+2018,6,1),'予算差引簿（短）'!$F$182:$F$209,"&lt;"&amp;DATE(年度+2018,7,1))</f>
        <v>64323</v>
      </c>
      <c r="F26" s="749">
        <f>SUMIFS('予算差引簿（短）'!$H$182:$H$209,'予算差引簿（短）'!$J$182:$J$209,"確認済",'予算差引簿（短）'!$F$182:$F$209,"&gt;="&amp;DATE(年度+2018,7,1),'予算差引簿（短）'!$F$182:$F$209,"&lt;"&amp;DATE(年度+2018,8,1))</f>
        <v>37074</v>
      </c>
      <c r="G26" s="749">
        <f>SUMIFS('予算差引簿（短）'!$H$182:$H$209,'予算差引簿（短）'!$J$182:$J$209,"確認済",'予算差引簿（短）'!$F$182:$F$209,"&gt;="&amp;DATE(年度+2018,8,1),'予算差引簿（短）'!$F$182:$F$209,"&lt;"&amp;DATE(年度+2018,9,1))</f>
        <v>37074</v>
      </c>
      <c r="H26" s="749">
        <f>SUMIFS('予算差引簿（短）'!$H$182:$H$209,'予算差引簿（短）'!$J$182:$J$209,"確認済",'予算差引簿（短）'!$F$182:$F$209,"&gt;="&amp;DATE(年度+2018,9,1),'予算差引簿（短）'!$F$182:$F$209,"&lt;"&amp;DATE(年度+2018,10,1))</f>
        <v>37763</v>
      </c>
      <c r="I26" s="749">
        <f>SUMIFS('予算差引簿（短）'!$H$182:$H$209,'予算差引簿（短）'!$J$182:$J$209,"確認済",'予算差引簿（短）'!$F$182:$F$209,"&gt;="&amp;DATE(年度+2018,10,1),'予算差引簿（短）'!$F$182:$F$209,"&lt;"&amp;DATE(年度+2018,11,1))</f>
        <v>40844</v>
      </c>
      <c r="J26" s="749">
        <f>SUMIFS('予算差引簿（短）'!$H$182:$H$209,'予算差引簿（短）'!$J$182:$J$209,"確認済",'予算差引簿（短）'!$F$182:$F$209,"&gt;="&amp;DATE(年度+2018,11,1),'予算差引簿（短）'!$F$182:$F$209,"&lt;"&amp;DATE(年度+2018,12,1))</f>
        <v>0</v>
      </c>
      <c r="K26" s="749">
        <f>SUMIFS('予算差引簿（短）'!$H$182:$H$209,'予算差引簿（短）'!$J$182:$J$209,"確認済",'予算差引簿（短）'!$F$182:$F$209,"&gt;="&amp;DATE(年度+2018,12,1),'予算差引簿（短）'!$F$182:$F$209,"&lt;"&amp;DATE(年度+2019,1,1))</f>
        <v>0</v>
      </c>
      <c r="L26" s="749">
        <f>SUMIFS('予算差引簿（短）'!$H$182:$H$209,'予算差引簿（短）'!$J$182:$J$209,"確認済",'予算差引簿（短）'!$F$182:$F$209,"&gt;="&amp;DATE(年度+2019,1,1),'予算差引簿（短）'!$F$182:$F$209,"&lt;"&amp;DATE(年度+2019,2,1))</f>
        <v>0</v>
      </c>
      <c r="M26" s="749">
        <f>SUMIFS('予算差引簿（短）'!$H$182:$H$209,'予算差引簿（短）'!$J$182:$J$209,"確認済",'予算差引簿（短）'!$F$182:$F$209,"&gt;="&amp;DATE(年度+2019,2,1),'予算差引簿（短）'!$F$182:$F$209,"&lt;"&amp;DATE(年度+2019,3,1))</f>
        <v>0</v>
      </c>
      <c r="N26" s="749">
        <f>SUMIFS('予算差引簿（短）'!$H$182:$H$209,'予算差引簿（短）'!$J$182:$J$209,"確認済",'予算差引簿（短）'!$F$182:$F$209,"&gt;="&amp;DATE(年度+2019,3,1),'予算差引簿（短）'!$F$182:$F$209,"&lt;"&amp;DATE(年度+2019,4,1))</f>
        <v>0</v>
      </c>
      <c r="O26" s="749">
        <f>SUMIFS('予算差引簿（短）未払'!$H$103:$H$114,'予算差引簿（短）未払'!$J$103:$J$114,"確認済")</f>
        <v>0</v>
      </c>
      <c r="P26" s="833">
        <f>SUM(C26:O26)</f>
        <v>291226</v>
      </c>
      <c r="Q26" s="749" t="n"/>
      <c r="R26" s="749" t="n"/>
      <c r="S26" s="748" t="inlineStr">
        <is>
          <t>Y</t>
        </is>
      </c>
      <c r="T26" s="834" t="str">
        <f>IF(OR('予算差引簿（短）'!J179&lt;&gt;"",'予算差引簿（短）未払'!J100&lt;&gt;""),"行不足","")</f>
        <v/>
      </c>
    </row>
    <row r="27">
      <c r="A27" s="740" t="inlineStr">
        <is>
          <t>厚年負担金等</t>
        </is>
      </c>
      <c r="C27" s="749">
        <f>SUMIFS('予算差引簿（短）'!$C$216:$C$238,'予算差引簿（短）'!$E$216:$E$238,"確認済",'予算差引簿（短）'!$A$216:$A$238,"&gt;="&amp;DATE(年度+2018,4,1),'予算差引簿（短）'!$A$216:$A$238,"&lt;"&amp;DATE(年度+2018,5,1))</f>
        <v>0</v>
      </c>
      <c r="D27" s="749">
        <f>SUMIFS('予算差引簿（短）'!$C$216:$C$238,'予算差引簿（短）'!$E$216:$E$238,"確認済",'予算差引簿（短）'!$A$216:$A$238,"&gt;="&amp;DATE(年度+2018,5,1),'予算差引簿（短）'!$A$216:$A$238,"&lt;"&amp;DATE(年度+2018,6,1))</f>
        <v>0</v>
      </c>
      <c r="E27" s="749">
        <f>SUMIFS('予算差引簿（短）'!$C$216:$C$238,'予算差引簿（短）'!$E$216:$E$238,"確認済",'予算差引簿（短）'!$A$216:$A$238,"&gt;="&amp;DATE(年度+2018,6,1),'予算差引簿（短）'!$A$216:$A$238,"&lt;"&amp;DATE(年度+2018,7,1))</f>
        <v>125532</v>
      </c>
      <c r="F27" s="749">
        <f>SUMIFS('予算差引簿（短）'!$C$216:$C$238,'予算差引簿（短）'!$E$216:$E$238,"確認済",'予算差引簿（短）'!$A$216:$A$238,"&gt;="&amp;DATE(年度+2018,7,1),'予算差引簿（短）'!$A$216:$A$238,"&lt;"&amp;DATE(年度+2018,8,1))</f>
        <v>62766</v>
      </c>
      <c r="G27" s="749">
        <f>SUMIFS('予算差引簿（短）'!$C$216:$C$238,'予算差引簿（短）'!$E$216:$E$238,"確認済",'予算差引簿（短）'!$A$216:$A$238,"&gt;="&amp;DATE(年度+2018,8,1),'予算差引簿（短）'!$A$216:$A$238,"&lt;"&amp;DATE(年度+2018,9,1))</f>
        <v>105276</v>
      </c>
      <c r="H27" s="749">
        <f>SUMIFS('予算差引簿（短）'!$C$216:$C$238,'予算差引簿（短）'!$E$216:$E$238,"確認済",'予算差引簿（短）'!$A$216:$A$238,"&gt;="&amp;DATE(年度+2018,9,1),'予算差引簿（短）'!$A$216:$A$238,"&lt;"&amp;DATE(年度+2018,10,1))</f>
        <v>62766</v>
      </c>
      <c r="I27" s="749">
        <f>SUMIFS('予算差引簿（短）'!$C$216:$C$238,'予算差引簿（短）'!$E$216:$E$238,"確認済",'予算差引簿（短）'!$A$216:$A$238,"&gt;="&amp;DATE(年度+2018,10,1),'予算差引簿（短）'!$A$216:$A$238,"&lt;"&amp;DATE(年度+2018,11,1))</f>
        <v>0</v>
      </c>
      <c r="J27" s="749">
        <f>SUMIFS('予算差引簿（短）'!$C$216:$C$238,'予算差引簿（短）'!$E$216:$E$238,"確認済",'予算差引簿（短）'!$A$216:$A$238,"&gt;="&amp;DATE(年度+2018,11,1),'予算差引簿（短）'!$A$216:$A$238,"&lt;"&amp;DATE(年度+2018,12,1))</f>
        <v>63717</v>
      </c>
      <c r="K27" s="749">
        <f>SUMIFS('予算差引簿（短）'!$C$216:$C$238,'予算差引簿（短）'!$E$216:$E$238,"確認済",'予算差引簿（短）'!$A$216:$A$238,"&gt;="&amp;DATE(年度+2018,12,1),'予算差引簿（短）'!$A$216:$A$238,"&lt;"&amp;DATE(年度+2019,1,1))</f>
        <v>0</v>
      </c>
      <c r="L27" s="749">
        <f>SUMIFS('予算差引簿（短）'!$C$216:$C$238,'予算差引簿（短）'!$E$216:$E$238,"確認済",'予算差引簿（短）'!$A$216:$A$238,"&gt;="&amp;DATE(年度+2019,1,1),'予算差引簿（短）'!$A$216:$A$238,"&lt;"&amp;DATE(年度+2019,2,1))</f>
        <v>0</v>
      </c>
      <c r="M27" s="749">
        <f>SUMIFS('予算差引簿（短）'!$C$216:$C$238,'予算差引簿（短）'!$E$216:$E$238,"確認済",'予算差引簿（短）'!$A$216:$A$238,"&gt;="&amp;DATE(年度+2019,2,1),'予算差引簿（短）'!$A$216:$A$238,"&lt;"&amp;DATE(年度+2019,3,1))</f>
        <v>0</v>
      </c>
      <c r="N27" s="749">
        <f>SUMIFS('予算差引簿（短）'!$C$216:$C$238,'予算差引簿（短）'!$E$216:$E$238,"確認済",'予算差引簿（短）'!$A$216:$A$238,"&gt;="&amp;DATE(年度+2019,3,1),'予算差引簿（短）'!$A$216:$A$238,"&lt;"&amp;DATE(年度+2019,4,1))</f>
        <v>0</v>
      </c>
      <c r="O27" s="749">
        <f>SUMIFS('予算差引簿（短）未払'!$M$103:$M$114,'予算差引簿（短）未払'!$O$103:$O$114,"確認済")</f>
        <v>0</v>
      </c>
      <c r="P27" s="833">
        <f>SUM(C27:O27)</f>
        <v>420057</v>
      </c>
      <c r="Q27" s="749" t="n"/>
      <c r="R27" s="749" t="n"/>
      <c r="S27" s="748" t="inlineStr">
        <is>
          <t>Y</t>
        </is>
      </c>
      <c r="T27" s="834" t="str">
        <f>IF(OR('予算差引簿（短）'!E213&lt;&gt;"",'予算差引簿（短）未払'!O100&lt;&gt;""),"行不足","")</f>
        <v/>
      </c>
    </row>
    <row r="28">
      <c r="A28" s="740" t="inlineStr">
        <is>
          <t>労災・雇用保険料</t>
        </is>
      </c>
      <c r="C28" s="749">
        <f>SUMIFS('予算差引簿（短）'!$R$263:$R$274,'予算差引簿（短）'!$T$263:$T$274,"確認済",'予算差引簿（短）'!$P$263:$P$274,"&gt;="&amp;DATE(年度+2018,4,1),'予算差引簿（短）'!$P$263:$P$274,"&lt;"&amp;DATE(年度+2018,5,1))</f>
        <v>0</v>
      </c>
      <c r="D28" s="749">
        <f>SUMIFS('予算差引簿（短）'!$R$263:$R$274,'予算差引簿（短）'!$T$263:$T$274,"確認済",'予算差引簿（短）'!$P$263:$P$274,"&gt;="&amp;DATE(年度+2018,5,1),'予算差引簿（短）'!$P$263:$P$274,"&lt;"&amp;DATE(年度+2018,6,1))</f>
        <v>0</v>
      </c>
      <c r="E28" s="749">
        <f>SUMIFS('予算差引簿（短）'!$R$263:$R$274,'予算差引簿（短）'!$T$263:$T$274,"確認済",'予算差引簿（短）'!$P$263:$P$274,"&gt;="&amp;DATE(年度+2018,6,1),'予算差引簿（短）'!$P$263:$P$274,"&lt;"&amp;DATE(年度+2018,7,1))</f>
        <v>0</v>
      </c>
      <c r="F28" s="749">
        <f>SUMIFS('予算差引簿（短）'!$R$263:$R$274,'予算差引簿（短）'!$T$263:$T$274,"確認済",'予算差引簿（短）'!$P$263:$P$274,"&gt;="&amp;DATE(年度+2018,7,1),'予算差引簿（短）'!$P$263:$P$274,"&lt;"&amp;DATE(年度+2018,8,1))</f>
        <v>108215</v>
      </c>
      <c r="G28" s="749">
        <f>SUMIFS('予算差引簿（短）'!$R$263:$R$274,'予算差引簿（短）'!$T$263:$T$274,"確認済",'予算差引簿（短）'!$P$263:$P$274,"&gt;="&amp;DATE(年度+2018,8,1),'予算差引簿（短）'!$P$263:$P$274,"&lt;"&amp;DATE(年度+2018,9,1))</f>
        <v>0</v>
      </c>
      <c r="H28" s="749">
        <f>SUMIFS('予算差引簿（短）'!$R$263:$R$274,'予算差引簿（短）'!$T$263:$T$274,"確認済",'予算差引簿（短）'!$P$263:$P$274,"&gt;="&amp;DATE(年度+2018,9,1),'予算差引簿（短）'!$P$263:$P$274,"&lt;"&amp;DATE(年度+2018,10,1))</f>
        <v>0</v>
      </c>
      <c r="I28" s="749">
        <f>SUMIFS('予算差引簿（短）'!$R$263:$R$274,'予算差引簿（短）'!$T$263:$T$274,"確認済",'予算差引簿（短）'!$P$263:$P$274,"&gt;="&amp;DATE(年度+2018,10,1),'予算差引簿（短）'!$P$263:$P$274,"&lt;"&amp;DATE(年度+2018,11,1))</f>
        <v>0</v>
      </c>
      <c r="J28" s="749">
        <f>SUMIFS('予算差引簿（短）'!$R$263:$R$274,'予算差引簿（短）'!$T$263:$T$274,"確認済",'予算差引簿（短）'!$P$263:$P$274,"&gt;="&amp;DATE(年度+2018,11,1),'予算差引簿（短）'!$P$263:$P$274,"&lt;"&amp;DATE(年度+2018,12,1))</f>
        <v>0</v>
      </c>
      <c r="K28" s="749">
        <f>SUMIFS('予算差引簿（短）'!$R$263:$R$274,'予算差引簿（短）'!$T$263:$T$274,"確認済",'予算差引簿（短）'!$P$263:$P$274,"&gt;="&amp;DATE(年度+2018,12,1),'予算差引簿（短）'!$P$263:$P$274,"&lt;"&amp;DATE(年度+2019,1,1))</f>
        <v>0</v>
      </c>
      <c r="L28" s="749">
        <f>SUMIFS('予算差引簿（短）'!$R$263:$R$274,'予算差引簿（短）'!$T$263:$T$274,"確認済",'予算差引簿（短）'!$P$263:$P$274,"&gt;="&amp;DATE(年度+2019,1,1),'予算差引簿（短）'!$P$263:$P$274,"&lt;"&amp;DATE(年度+2019,2,1))</f>
        <v>0</v>
      </c>
      <c r="M28" s="749">
        <f>SUMIFS('予算差引簿（短）'!$R$263:$R$274,'予算差引簿（短）'!$T$263:$T$274,"確認済",'予算差引簿（短）'!$P$263:$P$274,"&gt;="&amp;DATE(年度+2019,2,1),'予算差引簿（短）'!$P$263:$P$274,"&lt;"&amp;DATE(年度+2019,3,1))</f>
        <v>0</v>
      </c>
      <c r="N28" s="749">
        <f>SUMIFS('予算差引簿（短）'!$R$263:$R$274,'予算差引簿（短）'!$T$263:$T$274,"確認済",'予算差引簿（短）'!$P$263:$P$274,"&gt;="&amp;DATE(年度+2019,3,1),'予算差引簿（短）'!$P$263:$P$274,"&lt;"&amp;DATE(年度+2019,4,1))</f>
        <v>0</v>
      </c>
      <c r="O28" s="749">
        <f>SUMIFS('予算差引簿（短）未払'!$R$103:$R$114,'予算差引簿（短）未払'!$T$103:$T$114,"確認済")</f>
        <v>0</v>
      </c>
      <c r="P28" s="833">
        <f>SUM(C28:O28)</f>
        <v>108215</v>
      </c>
      <c r="Q28" s="749" t="n"/>
      <c r="R28" s="749" t="n"/>
      <c r="S28" s="748" t="inlineStr">
        <is>
          <t>Y</t>
        </is>
      </c>
      <c r="T28" s="834" t="str">
        <f>IF(OR('予算差引簿（短）'!T260&lt;&gt;"",'予算差引簿（短）未払'!T100&lt;&gt;""),"行不足","")</f>
        <v/>
      </c>
    </row>
    <row r="29">
      <c r="A29" s="740" t="inlineStr">
        <is>
          <t>県社保協会費</t>
        </is>
      </c>
      <c r="C29" s="749">
        <f>SUMIFS('予算差引簿（短）'!$C$281:$C$292,'予算差引簿（短）'!$E$281:$E$292,"確認済",'予算差引簿（短）'!$A$281:$A$292,"&gt;="&amp;DATE(年度+2018,4,1),'予算差引簿（短）'!$A$281:$A$292,"&lt;"&amp;DATE(年度+2018,5,1))</f>
        <v>0</v>
      </c>
      <c r="D29" s="749">
        <f>SUMIFS('予算差引簿（短）'!$C$281:$C$292,'予算差引簿（短）'!$E$281:$E$292,"確認済",'予算差引簿（短）'!$A$281:$A$292,"&gt;="&amp;DATE(年度+2018,5,1),'予算差引簿（短）'!$A$281:$A$292,"&lt;"&amp;DATE(年度+2018,6,1))</f>
        <v>780</v>
      </c>
      <c r="E29" s="749">
        <f>SUMIFS('予算差引簿（短）'!$C$281:$C$292,'予算差引簿（短）'!$E$281:$E$292,"確認済",'予算差引簿（短）'!$A$281:$A$292,"&gt;="&amp;DATE(年度+2018,6,1),'予算差引簿（短）'!$A$281:$A$292,"&lt;"&amp;DATE(年度+2018,7,1))</f>
        <v>0</v>
      </c>
      <c r="F29" s="749">
        <f>SUMIFS('予算差引簿（短）'!$C$281:$C$292,'予算差引簿（短）'!$E$281:$E$292,"確認済",'予算差引簿（短）'!$A$281:$A$292,"&gt;="&amp;DATE(年度+2018,7,1),'予算差引簿（短）'!$A$281:$A$292,"&lt;"&amp;DATE(年度+2018,8,1))</f>
        <v>0</v>
      </c>
      <c r="G29" s="749">
        <f>SUMIFS('予算差引簿（短）'!$C$281:$C$292,'予算差引簿（短）'!$E$281:$E$292,"確認済",'予算差引簿（短）'!$A$281:$A$292,"&gt;="&amp;DATE(年度+2018,8,1),'予算差引簿（短）'!$A$281:$A$292,"&lt;"&amp;DATE(年度+2018,9,1))</f>
        <v>0</v>
      </c>
      <c r="H29" s="749">
        <f>SUMIFS('予算差引簿（短）'!$C$281:$C$292,'予算差引簿（短）'!$E$281:$E$292,"確認済",'予算差引簿（短）'!$A$281:$A$292,"&gt;="&amp;DATE(年度+2018,9,1),'予算差引簿（短）'!$A$281:$A$292,"&lt;"&amp;DATE(年度+2018,10,1))</f>
        <v>0</v>
      </c>
      <c r="I29" s="749">
        <f>SUMIFS('予算差引簿（短）'!$C$281:$C$292,'予算差引簿（短）'!$E$281:$E$292,"確認済",'予算差引簿（短）'!$A$281:$A$292,"&gt;="&amp;DATE(年度+2018,10,1),'予算差引簿（短）'!$A$281:$A$292,"&lt;"&amp;DATE(年度+2018,11,1))</f>
        <v>0</v>
      </c>
      <c r="J29" s="749">
        <f>SUMIFS('予算差引簿（短）'!$C$281:$C$292,'予算差引簿（短）'!$E$281:$E$292,"確認済",'予算差引簿（短）'!$A$281:$A$292,"&gt;="&amp;DATE(年度+2018,11,1),'予算差引簿（短）'!$A$281:$A$292,"&lt;"&amp;DATE(年度+2018,12,1))</f>
        <v>0</v>
      </c>
      <c r="K29" s="749">
        <f>SUMIFS('予算差引簿（短）'!$C$281:$C$292,'予算差引簿（短）'!$E$281:$E$292,"確認済",'予算差引簿（短）'!$A$281:$A$292,"&gt;="&amp;DATE(年度+2018,12,1),'予算差引簿（短）'!$A$281:$A$292,"&lt;"&amp;DATE(年度+2019,1,1))</f>
        <v>0</v>
      </c>
      <c r="L29" s="749">
        <f>SUMIFS('予算差引簿（短）'!$C$281:$C$292,'予算差引簿（短）'!$E$281:$E$292,"確認済",'予算差引簿（短）'!$A$281:$A$292,"&gt;="&amp;DATE(年度+2019,1,1),'予算差引簿（短）'!$A$281:$A$292,"&lt;"&amp;DATE(年度+2019,2,1))</f>
        <v>0</v>
      </c>
      <c r="M29" s="749">
        <f>SUMIFS('予算差引簿（短）'!$C$281:$C$292,'予算差引簿（短）'!$E$281:$E$292,"確認済",'予算差引簿（短）'!$A$281:$A$292,"&gt;="&amp;DATE(年度+2019,2,1),'予算差引簿（短）'!$A$281:$A$292,"&lt;"&amp;DATE(年度+2019,3,1))</f>
        <v>0</v>
      </c>
      <c r="N29" s="749">
        <f>SUMIFS('予算差引簿（短）'!$C$281:$C$292,'予算差引簿（短）'!$E$281:$E$292,"確認済",'予算差引簿（短）'!$A$281:$A$292,"&gt;="&amp;DATE(年度+2019,3,1),'予算差引簿（短）'!$A$281:$A$292,"&lt;"&amp;DATE(年度+2019,4,1))</f>
        <v>0</v>
      </c>
      <c r="O29" s="749">
        <f>SUMIFS('予算差引簿（短）未払'!$C$121:$C$132,'予算差引簿（短）未払'!$E$121:$E$132,"確認済")</f>
        <v>0</v>
      </c>
      <c r="P29" s="833">
        <f>SUM(C29:O29)</f>
        <v>780</v>
      </c>
      <c r="Q29" s="749">
        <f>'R7業務 (短)'!$S$32</f>
        <v>1000</v>
      </c>
      <c r="R29" s="749">
        <f>IF(Q29="","",Q29-P29)</f>
        <v>220</v>
      </c>
      <c r="S29" s="748" t="inlineStr">
        <is>
          <t>Y</t>
        </is>
      </c>
      <c r="T29" s="834" t="str">
        <f>IF(OR('予算差引簿（短）'!E278&lt;&gt;"",'予算差引簿（短）未払'!E118&lt;&gt;""),"行不足","")</f>
        <v/>
      </c>
    </row>
    <row r="30">
      <c r="A30" s="740" t="inlineStr">
        <is>
          <t>事務費負担金払込金</t>
        </is>
      </c>
      <c r="C30" s="749">
        <f>SUMIFS('予算差引簿（短）'!$H$281:$H$292,'予算差引簿（短）'!$J$281:$J$292,"確認済",'予算差引簿（短）'!$F$281:$F$292,"&gt;="&amp;DATE(年度+2018,4,1),'予算差引簿（短）'!$F$281:$F$292,"&lt;"&amp;DATE(年度+2018,5,1))</f>
        <v>0</v>
      </c>
      <c r="D30" s="749">
        <f>SUMIFS('予算差引簿（短）'!$H$281:$H$292,'予算差引簿（短）'!$J$281:$J$292,"確認済",'予算差引簿（短）'!$F$281:$F$292,"&gt;="&amp;DATE(年度+2018,5,1),'予算差引簿（短）'!$F$281:$F$292,"&lt;"&amp;DATE(年度+2018,6,1))</f>
        <v>0</v>
      </c>
      <c r="E30" s="749">
        <f>SUMIFS('予算差引簿（短）'!$H$281:$H$292,'予算差引簿（短）'!$J$281:$J$292,"確認済",'予算差引簿（短）'!$F$281:$F$292,"&gt;="&amp;DATE(年度+2018,6,1),'予算差引簿（短）'!$F$281:$F$292,"&lt;"&amp;DATE(年度+2018,7,1))</f>
        <v>0</v>
      </c>
      <c r="F30" s="749">
        <f>SUMIFS('予算差引簿（短）'!$H$281:$H$292,'予算差引簿（短）'!$J$281:$J$292,"確認済",'予算差引簿（短）'!$F$281:$F$292,"&gt;="&amp;DATE(年度+2018,7,1),'予算差引簿（短）'!$F$281:$F$292,"&lt;"&amp;DATE(年度+2018,8,1))</f>
        <v>0</v>
      </c>
      <c r="G30" s="749">
        <f>SUMIFS('予算差引簿（短）'!$H$281:$H$292,'予算差引簿（短）'!$J$281:$J$292,"確認済",'予算差引簿（短）'!$F$281:$F$292,"&gt;="&amp;DATE(年度+2018,8,1),'予算差引簿（短）'!$F$281:$F$292,"&lt;"&amp;DATE(年度+2018,9,1))</f>
        <v>0</v>
      </c>
      <c r="H30" s="749">
        <f>SUMIFS('予算差引簿（短）'!$H$281:$H$292,'予算差引簿（短）'!$J$281:$J$292,"確認済",'予算差引簿（短）'!$F$281:$F$292,"&gt;="&amp;DATE(年度+2018,9,1),'予算差引簿（短）'!$F$281:$F$292,"&lt;"&amp;DATE(年度+2018,10,1))</f>
        <v>0</v>
      </c>
      <c r="I30" s="749">
        <f>SUMIFS('予算差引簿（短）'!$H$281:$H$292,'予算差引簿（短）'!$J$281:$J$292,"確認済",'予算差引簿（短）'!$F$281:$F$292,"&gt;="&amp;DATE(年度+2018,10,1),'予算差引簿（短）'!$F$281:$F$292,"&lt;"&amp;DATE(年度+2018,11,1))</f>
        <v>0</v>
      </c>
      <c r="J30" s="749">
        <f>SUMIFS('予算差引簿（短）'!$H$281:$H$292,'予算差引簿（短）'!$J$281:$J$292,"確認済",'予算差引簿（短）'!$F$281:$F$292,"&gt;="&amp;DATE(年度+2018,11,1),'予算差引簿（短）'!$F$281:$F$292,"&lt;"&amp;DATE(年度+2018,12,1))</f>
        <v>0</v>
      </c>
      <c r="K30" s="749">
        <f>SUMIFS('予算差引簿（短）'!$H$281:$H$292,'予算差引簿（短）'!$J$281:$J$292,"確認済",'予算差引簿（短）'!$F$281:$F$292,"&gt;="&amp;DATE(年度+2018,12,1),'予算差引簿（短）'!$F$281:$F$292,"&lt;"&amp;DATE(年度+2019,1,1))</f>
        <v>0</v>
      </c>
      <c r="L30" s="749">
        <f>SUMIFS('予算差引簿（短）'!$H$281:$H$292,'予算差引簿（短）'!$J$281:$J$292,"確認済",'予算差引簿（短）'!$F$281:$F$292,"&gt;="&amp;DATE(年度+2019,1,1),'予算差引簿（短）'!$F$281:$F$292,"&lt;"&amp;DATE(年度+2019,2,1))</f>
        <v>0</v>
      </c>
      <c r="M30" s="749">
        <f>SUMIFS('予算差引簿（短）'!$H$281:$H$292,'予算差引簿（短）'!$J$281:$J$292,"確認済",'予算差引簿（短）'!$F$281:$F$292,"&gt;="&amp;DATE(年度+2019,2,1),'予算差引簿（短）'!$F$281:$F$292,"&lt;"&amp;DATE(年度+2019,3,1))</f>
        <v>0</v>
      </c>
      <c r="N30" s="749">
        <f>SUMIFS('予算差引簿（短）'!$H$281:$H$292,'予算差引簿（短）'!$J$281:$J$292,"確認済",'予算差引簿（短）'!$F$281:$F$292,"&gt;="&amp;DATE(年度+2019,3,1),'予算差引簿（短）'!$F$281:$F$292,"&lt;"&amp;DATE(年度+2019,4,1))</f>
        <v>0</v>
      </c>
      <c r="O30" s="749">
        <f>SUMIFS('予算差引簿（短）未払'!$H$121:$H$132,'予算差引簿（短）未払'!$J$121:$J$132,"確認済")</f>
        <v>0</v>
      </c>
      <c r="P30" s="833">
        <f>SUM(C30:O30)</f>
        <v>0</v>
      </c>
      <c r="Q30" s="749">
        <f>'R7業務 (短)'!$S$35</f>
        <v>0</v>
      </c>
      <c r="R30" s="749">
        <f>IF(Q30="","",Q30-P30)</f>
        <v>0</v>
      </c>
      <c r="S30" s="748" t="inlineStr">
        <is>
          <t>Y</t>
        </is>
      </c>
      <c r="T30" s="834" t="str">
        <f>IF(OR('予算差引簿（短）'!J278&lt;&gt;"",'予算差引簿（短）未払'!J118&lt;&gt;""),"行不足","")</f>
        <v/>
      </c>
    </row>
    <row r="31">
      <c r="A31" s="740" t="inlineStr">
        <is>
          <t>雑費</t>
        </is>
      </c>
      <c r="C31" s="749">
        <f>SUMIFS('予算差引簿（短）'!$M$281:$M$292,'予算差引簿（短）'!$O$281:$O$292,"確認済",'予算差引簿（短）'!$K$281:$K$292,"&gt;="&amp;DATE(年度+2018,4,1),'予算差引簿（短）'!$K$281:$K$292,"&lt;"&amp;DATE(年度+2018,5,1))</f>
        <v>0</v>
      </c>
      <c r="D31" s="749">
        <f>SUMIFS('予算差引簿（短）'!$M$281:$M$292,'予算差引簿（短）'!$O$281:$O$292,"確認済",'予算差引簿（短）'!$K$281:$K$292,"&gt;="&amp;DATE(年度+2018,5,1),'予算差引簿（短）'!$K$281:$K$292,"&lt;"&amp;DATE(年度+2018,6,1))</f>
        <v>0</v>
      </c>
      <c r="E31" s="749">
        <f>SUMIFS('予算差引簿（短）'!$M$281:$M$292,'予算差引簿（短）'!$O$281:$O$292,"確認済",'予算差引簿（短）'!$K$281:$K$292,"&gt;="&amp;DATE(年度+2018,6,1),'予算差引簿（短）'!$K$281:$K$292,"&lt;"&amp;DATE(年度+2018,7,1))</f>
        <v>0</v>
      </c>
      <c r="F31" s="749">
        <f>SUMIFS('予算差引簿（短）'!$M$281:$M$292,'予算差引簿（短）'!$O$281:$O$292,"確認済",'予算差引簿（短）'!$K$281:$K$292,"&gt;="&amp;DATE(年度+2018,7,1),'予算差引簿（短）'!$K$281:$K$292,"&lt;"&amp;DATE(年度+2018,8,1))</f>
        <v>0</v>
      </c>
      <c r="G31" s="749">
        <f>SUMIFS('予算差引簿（短）'!$M$281:$M$292,'予算差引簿（短）'!$O$281:$O$292,"確認済",'予算差引簿（短）'!$K$281:$K$292,"&gt;="&amp;DATE(年度+2018,8,1),'予算差引簿（短）'!$K$281:$K$292,"&lt;"&amp;DATE(年度+2018,9,1))</f>
        <v>0</v>
      </c>
      <c r="H31" s="749">
        <f>SUMIFS('予算差引簿（短）'!$M$281:$M$292,'予算差引簿（短）'!$O$281:$O$292,"確認済",'予算差引簿（短）'!$K$281:$K$292,"&gt;="&amp;DATE(年度+2018,9,1),'予算差引簿（短）'!$K$281:$K$292,"&lt;"&amp;DATE(年度+2018,10,1))</f>
        <v>0</v>
      </c>
      <c r="I31" s="749">
        <f>SUMIFS('予算差引簿（短）'!$M$281:$M$292,'予算差引簿（短）'!$O$281:$O$292,"確認済",'予算差引簿（短）'!$K$281:$K$292,"&gt;="&amp;DATE(年度+2018,10,1),'予算差引簿（短）'!$K$281:$K$292,"&lt;"&amp;DATE(年度+2018,11,1))</f>
        <v>0</v>
      </c>
      <c r="J31" s="749">
        <f>SUMIFS('予算差引簿（短）'!$M$281:$M$292,'予算差引簿（短）'!$O$281:$O$292,"確認済",'予算差引簿（短）'!$K$281:$K$292,"&gt;="&amp;DATE(年度+2018,11,1),'予算差引簿（短）'!$K$281:$K$292,"&lt;"&amp;DATE(年度+2018,12,1))</f>
        <v>0</v>
      </c>
      <c r="K31" s="749">
        <f>SUMIFS('予算差引簿（短）'!$M$281:$M$292,'予算差引簿（短）'!$O$281:$O$292,"確認済",'予算差引簿（短）'!$K$281:$K$292,"&gt;="&amp;DATE(年度+2018,12,1),'予算差引簿（短）'!$K$281:$K$292,"&lt;"&amp;DATE(年度+2019,1,1))</f>
        <v>0</v>
      </c>
      <c r="L31" s="749">
        <f>SUMIFS('予算差引簿（短）'!$M$281:$M$292,'予算差引簿（短）'!$O$281:$O$292,"確認済",'予算差引簿（短）'!$K$281:$K$292,"&gt;="&amp;DATE(年度+2019,1,1),'予算差引簿（短）'!$K$281:$K$292,"&lt;"&amp;DATE(年度+2019,2,1))</f>
        <v>0</v>
      </c>
      <c r="M31" s="749">
        <f>SUMIFS('予算差引簿（短）'!$M$281:$M$292,'予算差引簿（短）'!$O$281:$O$292,"確認済",'予算差引簿（短）'!$K$281:$K$292,"&gt;="&amp;DATE(年度+2019,2,1),'予算差引簿（短）'!$K$281:$K$292,"&lt;"&amp;DATE(年度+2019,3,1))</f>
        <v>0</v>
      </c>
      <c r="N31" s="749">
        <f>SUMIFS('予算差引簿（短）'!$M$281:$M$292,'予算差引簿（短）'!$O$281:$O$292,"確認済",'予算差引簿（短）'!$K$281:$K$292,"&gt;="&amp;DATE(年度+2019,3,1),'予算差引簿（短）'!$K$281:$K$292,"&lt;"&amp;DATE(年度+2019,4,1))</f>
        <v>0</v>
      </c>
      <c r="O31" s="749">
        <f>SUMIFS('予算差引簿（短）未払'!$M$121:$M$132,'予算差引簿（短）未払'!$O$121:$O$132,"確認済")</f>
        <v>0</v>
      </c>
      <c r="P31" s="833">
        <f>SUM(C31:O31)</f>
        <v>0</v>
      </c>
      <c r="Q31" s="749">
        <f>'R7業務 (短)'!$S$36</f>
        <v>0</v>
      </c>
      <c r="R31" s="749">
        <f>IF(Q31="","",Q31-P31)</f>
        <v>0</v>
      </c>
      <c r="S31" s="748" t="inlineStr">
        <is>
          <t>Y</t>
        </is>
      </c>
      <c r="T31" s="834" t="str">
        <f>IF(OR('予算差引簿（短）'!O278&lt;&gt;"",'予算差引簿（短）未払'!O118&lt;&gt;""),"行不足","")</f>
        <v/>
      </c>
    </row>
    <row r="32">
      <c r="A32" s="740" t="inlineStr">
        <is>
          <t>減価償却費</t>
        </is>
      </c>
      <c r="C32" s="749">
        <f>SUMIFS('予算差引簿（短）'!$R$281:$R$292,'予算差引簿（短）'!$T$281:$T$292,"確認済",'予算差引簿（短）'!$P$281:$P$292,"&gt;="&amp;DATE(年度+2018,4,1),'予算差引簿（短）'!$P$281:$P$292,"&lt;"&amp;DATE(年度+2018,5,1))</f>
        <v>0</v>
      </c>
      <c r="D32" s="749">
        <f>SUMIFS('予算差引簿（短）'!$R$281:$R$292,'予算差引簿（短）'!$T$281:$T$292,"確認済",'予算差引簿（短）'!$P$281:$P$292,"&gt;="&amp;DATE(年度+2018,5,1),'予算差引簿（短）'!$P$281:$P$292,"&lt;"&amp;DATE(年度+2018,6,1))</f>
        <v>0</v>
      </c>
      <c r="E32" s="749">
        <f>SUMIFS('予算差引簿（短）'!$R$281:$R$292,'予算差引簿（短）'!$T$281:$T$292,"確認済",'予算差引簿（短）'!$P$281:$P$292,"&gt;="&amp;DATE(年度+2018,6,1),'予算差引簿（短）'!$P$281:$P$292,"&lt;"&amp;DATE(年度+2018,7,1))</f>
        <v>0</v>
      </c>
      <c r="F32" s="749">
        <f>SUMIFS('予算差引簿（短）'!$R$281:$R$292,'予算差引簿（短）'!$T$281:$T$292,"確認済",'予算差引簿（短）'!$P$281:$P$292,"&gt;="&amp;DATE(年度+2018,7,1),'予算差引簿（短）'!$P$281:$P$292,"&lt;"&amp;DATE(年度+2018,8,1))</f>
        <v>0</v>
      </c>
      <c r="G32" s="749">
        <f>SUMIFS('予算差引簿（短）'!$R$281:$R$292,'予算差引簿（短）'!$T$281:$T$292,"確認済",'予算差引簿（短）'!$P$281:$P$292,"&gt;="&amp;DATE(年度+2018,8,1),'予算差引簿（短）'!$P$281:$P$292,"&lt;"&amp;DATE(年度+2018,9,1))</f>
        <v>0</v>
      </c>
      <c r="H32" s="749">
        <f>SUMIFS('予算差引簿（短）'!$R$281:$R$292,'予算差引簿（短）'!$T$281:$T$292,"確認済",'予算差引簿（短）'!$P$281:$P$292,"&gt;="&amp;DATE(年度+2018,9,1),'予算差引簿（短）'!$P$281:$P$292,"&lt;"&amp;DATE(年度+2018,10,1))</f>
        <v>0</v>
      </c>
      <c r="I32" s="749">
        <f>SUMIFS('予算差引簿（短）'!$R$281:$R$292,'予算差引簿（短）'!$T$281:$T$292,"確認済",'予算差引簿（短）'!$P$281:$P$292,"&gt;="&amp;DATE(年度+2018,10,1),'予算差引簿（短）'!$P$281:$P$292,"&lt;"&amp;DATE(年度+2018,11,1))</f>
        <v>0</v>
      </c>
      <c r="J32" s="749">
        <f>SUMIFS('予算差引簿（短）'!$R$281:$R$292,'予算差引簿（短）'!$T$281:$T$292,"確認済",'予算差引簿（短）'!$P$281:$P$292,"&gt;="&amp;DATE(年度+2018,11,1),'予算差引簿（短）'!$P$281:$P$292,"&lt;"&amp;DATE(年度+2018,12,1))</f>
        <v>0</v>
      </c>
      <c r="K32" s="749">
        <f>SUMIFS('予算差引簿（短）'!$R$281:$R$292,'予算差引簿（短）'!$T$281:$T$292,"確認済",'予算差引簿（短）'!$P$281:$P$292,"&gt;="&amp;DATE(年度+2018,12,1),'予算差引簿（短）'!$P$281:$P$292,"&lt;"&amp;DATE(年度+2019,1,1))</f>
        <v>0</v>
      </c>
      <c r="L32" s="749">
        <f>SUMIFS('予算差引簿（短）'!$R$281:$R$292,'予算差引簿（短）'!$T$281:$T$292,"確認済",'予算差引簿（短）'!$P$281:$P$292,"&gt;="&amp;DATE(年度+2019,1,1),'予算差引簿（短）'!$P$281:$P$292,"&lt;"&amp;DATE(年度+2019,2,1))</f>
        <v>0</v>
      </c>
      <c r="M32" s="749">
        <f>SUMIFS('予算差引簿（短）'!$R$281:$R$292,'予算差引簿（短）'!$T$281:$T$292,"確認済",'予算差引簿（短）'!$P$281:$P$292,"&gt;="&amp;DATE(年度+2019,2,1),'予算差引簿（短）'!$P$281:$P$292,"&lt;"&amp;DATE(年度+2019,3,1))</f>
        <v>0</v>
      </c>
      <c r="N32" s="749">
        <f>SUMIFS('予算差引簿（短）'!$R$281:$R$292,'予算差引簿（短）'!$T$281:$T$292,"確認済",'予算差引簿（短）'!$P$281:$P$292,"&gt;="&amp;DATE(年度+2019,3,1),'予算差引簿（短）'!$P$281:$P$292,"&lt;"&amp;DATE(年度+2019,4,1))</f>
        <v>0</v>
      </c>
      <c r="O32" s="749">
        <f>SUMIFS('予算差引簿（短）未払'!$R$121:$R$132,'予算差引簿（短）未払'!$T$121:$T$132,"確認済")</f>
        <v>0</v>
      </c>
      <c r="P32" s="833">
        <f>SUM(C32:O32)</f>
        <v>0</v>
      </c>
      <c r="Q32" s="749">
        <f>'R7業務 (短)'!$S$37</f>
        <v>172000</v>
      </c>
      <c r="R32" s="749">
        <f>IF(Q32="","",Q32-P32)</f>
        <v>172000</v>
      </c>
      <c r="S32" s="748" t="inlineStr">
        <is>
          <t>Y</t>
        </is>
      </c>
      <c r="T32" s="834" t="str">
        <f>IF(OR('予算差引簿（短）'!T278&lt;&gt;"",'予算差引簿（短）未払'!T118&lt;&gt;""),"行不足","")</f>
        <v/>
      </c>
    </row>
    <row r="33">
      <c r="A33" s="740" t="inlineStr">
        <is>
          <t>器具及び備品</t>
        </is>
      </c>
      <c r="C33" s="749">
        <f>SUMIFS('予算差引簿（短）'!$C$299:$C$310,'予算差引簿（短）'!$E$299:$E$310,"確認済",'予算差引簿（短）'!$A$299:$A$310,"&gt;="&amp;DATE(年度+2018,4,1),'予算差引簿（短）'!$A$299:$A$310,"&lt;"&amp;DATE(年度+2018,5,1))</f>
        <v>0</v>
      </c>
      <c r="D33" s="749">
        <f>SUMIFS('予算差引簿（短）'!$C$299:$C$310,'予算差引簿（短）'!$E$299:$E$310,"確認済",'予算差引簿（短）'!$A$299:$A$310,"&gt;="&amp;DATE(年度+2018,5,1),'予算差引簿（短）'!$A$299:$A$310,"&lt;"&amp;DATE(年度+2018,6,1))</f>
        <v>0</v>
      </c>
      <c r="E33" s="749">
        <f>SUMIFS('予算差引簿（短）'!$C$299:$C$310,'予算差引簿（短）'!$E$299:$E$310,"確認済",'予算差引簿（短）'!$A$299:$A$310,"&gt;="&amp;DATE(年度+2018,6,1),'予算差引簿（短）'!$A$299:$A$310,"&lt;"&amp;DATE(年度+2018,7,1))</f>
        <v>0</v>
      </c>
      <c r="F33" s="749">
        <f>SUMIFS('予算差引簿（短）'!$C$299:$C$310,'予算差引簿（短）'!$E$299:$E$310,"確認済",'予算差引簿（短）'!$A$299:$A$310,"&gt;="&amp;DATE(年度+2018,7,1),'予算差引簿（短）'!$A$299:$A$310,"&lt;"&amp;DATE(年度+2018,8,1))</f>
        <v>0</v>
      </c>
      <c r="G33" s="749">
        <f>SUMIFS('予算差引簿（短）'!$C$299:$C$310,'予算差引簿（短）'!$E$299:$E$310,"確認済",'予算差引簿（短）'!$A$299:$A$310,"&gt;="&amp;DATE(年度+2018,8,1),'予算差引簿（短）'!$A$299:$A$310,"&lt;"&amp;DATE(年度+2018,9,1))</f>
        <v>0</v>
      </c>
      <c r="H33" s="749">
        <f>SUMIFS('予算差引簿（短）'!$C$299:$C$310,'予算差引簿（短）'!$E$299:$E$310,"確認済",'予算差引簿（短）'!$A$299:$A$310,"&gt;="&amp;DATE(年度+2018,9,1),'予算差引簿（短）'!$A$299:$A$310,"&lt;"&amp;DATE(年度+2018,10,1))</f>
        <v>0</v>
      </c>
      <c r="I33" s="749">
        <f>SUMIFS('予算差引簿（短）'!$C$299:$C$310,'予算差引簿（短）'!$E$299:$E$310,"確認済",'予算差引簿（短）'!$A$299:$A$310,"&gt;="&amp;DATE(年度+2018,10,1),'予算差引簿（短）'!$A$299:$A$310,"&lt;"&amp;DATE(年度+2018,11,1))</f>
        <v>0</v>
      </c>
      <c r="J33" s="749">
        <f>SUMIFS('予算差引簿（短）'!$C$299:$C$310,'予算差引簿（短）'!$E$299:$E$310,"確認済",'予算差引簿（短）'!$A$299:$A$310,"&gt;="&amp;DATE(年度+2018,11,1),'予算差引簿（短）'!$A$299:$A$310,"&lt;"&amp;DATE(年度+2018,12,1))</f>
        <v>0</v>
      </c>
      <c r="K33" s="749">
        <f>SUMIFS('予算差引簿（短）'!$C$299:$C$310,'予算差引簿（短）'!$E$299:$E$310,"確認済",'予算差引簿（短）'!$A$299:$A$310,"&gt;="&amp;DATE(年度+2018,12,1),'予算差引簿（短）'!$A$299:$A$310,"&lt;"&amp;DATE(年度+2019,1,1))</f>
        <v>0</v>
      </c>
      <c r="L33" s="749">
        <f>SUMIFS('予算差引簿（短）'!$C$299:$C$310,'予算差引簿（短）'!$E$299:$E$310,"確認済",'予算差引簿（短）'!$A$299:$A$310,"&gt;="&amp;DATE(年度+2019,1,1),'予算差引簿（短）'!$A$299:$A$310,"&lt;"&amp;DATE(年度+2019,2,1))</f>
        <v>0</v>
      </c>
      <c r="M33" s="749">
        <f>SUMIFS('予算差引簿（短）'!$C$299:$C$310,'予算差引簿（短）'!$E$299:$E$310,"確認済",'予算差引簿（短）'!$A$299:$A$310,"&gt;="&amp;DATE(年度+2019,2,1),'予算差引簿（短）'!$A$299:$A$310,"&lt;"&amp;DATE(年度+2019,3,1))</f>
        <v>0</v>
      </c>
      <c r="N33" s="749">
        <f>SUMIFS('予算差引簿（短）'!$C$299:$C$310,'予算差引簿（短）'!$E$299:$E$310,"確認済",'予算差引簿（短）'!$A$299:$A$310,"&gt;="&amp;DATE(年度+2019,3,1),'予算差引簿（短）'!$A$299:$A$310,"&lt;"&amp;DATE(年度+2019,4,1))</f>
        <v>0</v>
      </c>
      <c r="O33" s="749">
        <f>SUMIFS('予算差引簿（短）未払'!$C$139:$C$150,'予算差引簿（短）未払'!$E$139:$E$150,"確認済")</f>
        <v>0</v>
      </c>
      <c r="P33" s="833">
        <f>SUM(C33:O33)</f>
        <v>0</v>
      </c>
      <c r="Q33" s="749" t="n"/>
      <c r="R33" s="749" t="n"/>
      <c r="S33" s="748" t="inlineStr">
        <is>
          <t>N</t>
        </is>
      </c>
      <c r="T33" s="834" t="str">
        <f>IF(OR('予算差引簿（短）'!E296&lt;&gt;"",'予算差引簿（短）未払'!E136&lt;&gt;""),"行不足","")</f>
        <v/>
      </c>
    </row>
    <row r="34">
      <c r="A34" s="740" t="inlineStr">
        <is>
          <t>前期損益修正損</t>
        </is>
      </c>
      <c r="C34" s="749">
        <f>SUMIFS('予算差引簿（短）'!$H$299:$H$310,'予算差引簿（短）'!$J$299:$J$310,"確認済",'予算差引簿（短）'!$F$299:$F$310,"&gt;="&amp;DATE(年度+2018,4,1),'予算差引簿（短）'!$F$299:$F$310,"&lt;"&amp;DATE(年度+2018,5,1))</f>
        <v>0</v>
      </c>
      <c r="D34" s="749">
        <f>SUMIFS('予算差引簿（短）'!$H$299:$H$310,'予算差引簿（短）'!$J$299:$J$310,"確認済",'予算差引簿（短）'!$F$299:$F$310,"&gt;="&amp;DATE(年度+2018,5,1),'予算差引簿（短）'!$F$299:$F$310,"&lt;"&amp;DATE(年度+2018,6,1))</f>
        <v>0</v>
      </c>
      <c r="E34" s="749">
        <f>SUMIFS('予算差引簿（短）'!$H$299:$H$310,'予算差引簿（短）'!$J$299:$J$310,"確認済",'予算差引簿（短）'!$F$299:$F$310,"&gt;="&amp;DATE(年度+2018,6,1),'予算差引簿（短）'!$F$299:$F$310,"&lt;"&amp;DATE(年度+2018,7,1))</f>
        <v>0</v>
      </c>
      <c r="F34" s="749">
        <f>SUMIFS('予算差引簿（短）'!$H$299:$H$310,'予算差引簿（短）'!$J$299:$J$310,"確認済",'予算差引簿（短）'!$F$299:$F$310,"&gt;="&amp;DATE(年度+2018,7,1),'予算差引簿（短）'!$F$299:$F$310,"&lt;"&amp;DATE(年度+2018,8,1))</f>
        <v>0</v>
      </c>
      <c r="G34" s="749">
        <f>SUMIFS('予算差引簿（短）'!$H$299:$H$310,'予算差引簿（短）'!$J$299:$J$310,"確認済",'予算差引簿（短）'!$F$299:$F$310,"&gt;="&amp;DATE(年度+2018,8,1),'予算差引簿（短）'!$F$299:$F$310,"&lt;"&amp;DATE(年度+2018,9,1))</f>
        <v>0</v>
      </c>
      <c r="H34" s="749">
        <f>SUMIFS('予算差引簿（短）'!$H$299:$H$310,'予算差引簿（短）'!$J$299:$J$310,"確認済",'予算差引簿（短）'!$F$299:$F$310,"&gt;="&amp;DATE(年度+2018,9,1),'予算差引簿（短）'!$F$299:$F$310,"&lt;"&amp;DATE(年度+2018,10,1))</f>
        <v>0</v>
      </c>
      <c r="I34" s="749">
        <f>SUMIFS('予算差引簿（短）'!$H$299:$H$310,'予算差引簿（短）'!$J$299:$J$310,"確認済",'予算差引簿（短）'!$F$299:$F$310,"&gt;="&amp;DATE(年度+2018,10,1),'予算差引簿（短）'!$F$299:$F$310,"&lt;"&amp;DATE(年度+2018,11,1))</f>
        <v>0</v>
      </c>
      <c r="J34" s="749">
        <f>SUMIFS('予算差引簿（短）'!$H$299:$H$310,'予算差引簿（短）'!$J$299:$J$310,"確認済",'予算差引簿（短）'!$F$299:$F$310,"&gt;="&amp;DATE(年度+2018,11,1),'予算差引簿（短）'!$F$299:$F$310,"&lt;"&amp;DATE(年度+2018,12,1))</f>
        <v>0</v>
      </c>
      <c r="K34" s="749">
        <f>SUMIFS('予算差引簿（短）'!$H$299:$H$310,'予算差引簿（短）'!$J$299:$J$310,"確認済",'予算差引簿（短）'!$F$299:$F$310,"&gt;="&amp;DATE(年度+2018,12,1),'予算差引簿（短）'!$F$299:$F$310,"&lt;"&amp;DATE(年度+2019,1,1))</f>
        <v>0</v>
      </c>
      <c r="L34" s="749">
        <f>SUMIFS('予算差引簿（短）'!$H$299:$H$310,'予算差引簿（短）'!$J$299:$J$310,"確認済",'予算差引簿（短）'!$F$299:$F$310,"&gt;="&amp;DATE(年度+2019,1,1),'予算差引簿（短）'!$F$299:$F$310,"&lt;"&amp;DATE(年度+2019,2,1))</f>
        <v>0</v>
      </c>
      <c r="M34" s="749">
        <f>SUMIFS('予算差引簿（短）'!$H$299:$H$310,'予算差引簿（短）'!$J$299:$J$310,"確認済",'予算差引簿（短）'!$F$299:$F$310,"&gt;="&amp;DATE(年度+2019,2,1),'予算差引簿（短）'!$F$299:$F$310,"&lt;"&amp;DATE(年度+2019,3,1))</f>
        <v>0</v>
      </c>
      <c r="N34" s="749">
        <f>SUMIFS('予算差引簿（短）'!$H$299:$H$310,'予算差引簿（短）'!$J$299:$J$310,"確認済",'予算差引簿（短）'!$F$299:$F$310,"&gt;="&amp;DATE(年度+2019,3,1),'予算差引簿（短）'!$F$299:$F$310,"&lt;"&amp;DATE(年度+2019,4,1))</f>
        <v>0</v>
      </c>
      <c r="O34" s="749">
        <f>SUMIFS('予算差引簿（短）未払'!$H$139:$H$150,'予算差引簿（短）未払'!$J$139:$J$150,"確認済")</f>
        <v>0</v>
      </c>
      <c r="P34" s="833">
        <f>SUM(C34:O34)</f>
        <v>0</v>
      </c>
      <c r="Q34" s="749" t="n"/>
      <c r="R34" s="749" t="n"/>
      <c r="S34" s="748" t="inlineStr">
        <is>
          <t>N</t>
        </is>
      </c>
      <c r="T34" s="834" t="str">
        <f>IF(OR('予算差引簿（短）'!J296&lt;&gt;"",'予算差引簿（短）未払'!J136&lt;&gt;""),"行不足","")</f>
        <v/>
      </c>
    </row>
    <row r="35">
      <c r="A35" s="740" t="inlineStr">
        <is>
          <t>立替金</t>
        </is>
      </c>
      <c r="C35" s="749">
        <f>SUMIFS('予算差引簿（短）'!$M$299:$M$310,'予算差引簿（短）'!$O$299:$O$310,"確認済",'予算差引簿（短）'!$K$299:$K$310,"&gt;="&amp;DATE(年度+2018,4,1),'予算差引簿（短）'!$K$299:$K$310,"&lt;"&amp;DATE(年度+2018,5,1))</f>
        <v>0</v>
      </c>
      <c r="D35" s="749">
        <f>SUMIFS('予算差引簿（短）'!$M$299:$M$310,'予算差引簿（短）'!$O$299:$O$310,"確認済",'予算差引簿（短）'!$K$299:$K$310,"&gt;="&amp;DATE(年度+2018,5,1),'予算差引簿（短）'!$K$299:$K$310,"&lt;"&amp;DATE(年度+2018,6,1))</f>
        <v>0</v>
      </c>
      <c r="E35" s="749">
        <f>SUMIFS('予算差引簿（短）'!$M$299:$M$310,'予算差引簿（短）'!$O$299:$O$310,"確認済",'予算差引簿（短）'!$K$299:$K$310,"&gt;="&amp;DATE(年度+2018,6,1),'予算差引簿（短）'!$K$299:$K$310,"&lt;"&amp;DATE(年度+2018,7,1))</f>
        <v>0</v>
      </c>
      <c r="F35" s="749">
        <f>SUMIFS('予算差引簿（短）'!$M$299:$M$310,'予算差引簿（短）'!$O$299:$O$310,"確認済",'予算差引簿（短）'!$K$299:$K$310,"&gt;="&amp;DATE(年度+2018,7,1),'予算差引簿（短）'!$K$299:$K$310,"&lt;"&amp;DATE(年度+2018,8,1))</f>
        <v>0</v>
      </c>
      <c r="G35" s="749">
        <f>SUMIFS('予算差引簿（短）'!$M$299:$M$310,'予算差引簿（短）'!$O$299:$O$310,"確認済",'予算差引簿（短）'!$K$299:$K$310,"&gt;="&amp;DATE(年度+2018,8,1),'予算差引簿（短）'!$K$299:$K$310,"&lt;"&amp;DATE(年度+2018,9,1))</f>
        <v>0</v>
      </c>
      <c r="H35" s="749">
        <f>SUMIFS('予算差引簿（短）'!$M$299:$M$310,'予算差引簿（短）'!$O$299:$O$310,"確認済",'予算差引簿（短）'!$K$299:$K$310,"&gt;="&amp;DATE(年度+2018,9,1),'予算差引簿（短）'!$K$299:$K$310,"&lt;"&amp;DATE(年度+2018,10,1))</f>
        <v>0</v>
      </c>
      <c r="I35" s="749">
        <f>SUMIFS('予算差引簿（短）'!$M$299:$M$310,'予算差引簿（短）'!$O$299:$O$310,"確認済",'予算差引簿（短）'!$K$299:$K$310,"&gt;="&amp;DATE(年度+2018,10,1),'予算差引簿（短）'!$K$299:$K$310,"&lt;"&amp;DATE(年度+2018,11,1))</f>
        <v>0</v>
      </c>
      <c r="J35" s="749">
        <f>SUMIFS('予算差引簿（短）'!$M$299:$M$310,'予算差引簿（短）'!$O$299:$O$310,"確認済",'予算差引簿（短）'!$K$299:$K$310,"&gt;="&amp;DATE(年度+2018,11,1),'予算差引簿（短）'!$K$299:$K$310,"&lt;"&amp;DATE(年度+2018,12,1))</f>
        <v>0</v>
      </c>
      <c r="K35" s="749">
        <f>SUMIFS('予算差引簿（短）'!$M$299:$M$310,'予算差引簿（短）'!$O$299:$O$310,"確認済",'予算差引簿（短）'!$K$299:$K$310,"&gt;="&amp;DATE(年度+2018,12,1),'予算差引簿（短）'!$K$299:$K$310,"&lt;"&amp;DATE(年度+2019,1,1))</f>
        <v>0</v>
      </c>
      <c r="L35" s="749">
        <f>SUMIFS('予算差引簿（短）'!$M$299:$M$310,'予算差引簿（短）'!$O$299:$O$310,"確認済",'予算差引簿（短）'!$K$299:$K$310,"&gt;="&amp;DATE(年度+2019,1,1),'予算差引簿（短）'!$K$299:$K$310,"&lt;"&amp;DATE(年度+2019,2,1))</f>
        <v>0</v>
      </c>
      <c r="M35" s="749">
        <f>SUMIFS('予算差引簿（短）'!$M$299:$M$310,'予算差引簿（短）'!$O$299:$O$310,"確認済",'予算差引簿（短）'!$K$299:$K$310,"&gt;="&amp;DATE(年度+2019,2,1),'予算差引簿（短）'!$K$299:$K$310,"&lt;"&amp;DATE(年度+2019,3,1))</f>
        <v>0</v>
      </c>
      <c r="N35" s="749">
        <f>SUMIFS('予算差引簿（短）'!$M$299:$M$310,'予算差引簿（短）'!$O$299:$O$310,"確認済",'予算差引簿（短）'!$K$299:$K$310,"&gt;="&amp;DATE(年度+2019,3,1),'予算差引簿（短）'!$K$299:$K$310,"&lt;"&amp;DATE(年度+2019,4,1))</f>
        <v>0</v>
      </c>
      <c r="O35" s="749">
        <f>SUMIFS('予算差引簿（短）未払'!$M$139:$M$150,'予算差引簿（短）未払'!$O$139:$O$150,"確認済")</f>
        <v>0</v>
      </c>
      <c r="P35" s="833">
        <f>SUM(C35:O35)</f>
        <v>0</v>
      </c>
      <c r="Q35" s="749" t="n"/>
      <c r="R35" s="749" t="n"/>
      <c r="S35" s="748" t="inlineStr">
        <is>
          <t>N</t>
        </is>
      </c>
      <c r="T35" s="834" t="str">
        <f>IF(OR('予算差引簿（短）'!O296&lt;&gt;"",'予算差引簿（短）未払'!O136&lt;&gt;""),"行不足","")</f>
        <v/>
      </c>
    </row>
    <row r="36">
      <c r="A36" s="743" t="inlineStr">
        <is>
          <t>費用収益表に入る合計</t>
        </is>
      </c>
      <c r="C36" s="752">
        <f>SUMIF($S$4:$S$35,"Y",C4:C35)</f>
        <v>534591</v>
      </c>
      <c r="D36" s="752">
        <f>SUMIF($S$4:$S$35,"Y",D4:D35)</f>
        <v>4087081</v>
      </c>
      <c r="E36" s="752">
        <f>SUMIF($S$4:$S$35,"Y",E4:E35)</f>
        <v>2455166</v>
      </c>
      <c r="F36" s="752">
        <f>SUMIF($S$4:$S$35,"Y",F4:F35)</f>
        <v>1972276</v>
      </c>
      <c r="G36" s="752">
        <f>SUMIF($S$4:$S$35,"Y",G4:G35)</f>
        <v>2709341</v>
      </c>
      <c r="H36" s="752">
        <f>SUMIF($S$4:$S$35,"Y",H4:H35)</f>
        <v>24070375</v>
      </c>
      <c r="I36" s="752">
        <f>SUMIF($S$4:$S$35,"Y",I4:I35)</f>
        <v>2208593</v>
      </c>
      <c r="J36" s="752">
        <f>SUMIF($S$4:$S$35,"Y",J4:J35)</f>
        <v>104745</v>
      </c>
      <c r="K36" s="752">
        <f>SUMIF($S$4:$S$35,"Y",K4:K35)</f>
        <v>0</v>
      </c>
      <c r="L36" s="752">
        <f>SUMIF($S$4:$S$35,"Y",L4:L35)</f>
        <v>0</v>
      </c>
      <c r="M36" s="752">
        <f>SUMIF($S$4:$S$35,"Y",M4:M35)</f>
        <v>0</v>
      </c>
      <c r="N36" s="752">
        <f>SUMIF($S$4:$S$35,"Y",N4:N35)</f>
        <v>0</v>
      </c>
      <c r="O36" s="752">
        <f>SUMIF($S$4:$S$35,"Y",O4:O35)</f>
        <v>0</v>
      </c>
      <c r="P36" s="752">
        <f>SUMIF($S$4:$S$35,"Y",P4:P35)</f>
        <v>38142168</v>
      </c>
    </row>
  </sheetData>
  <mergeCells count="1">
    <mergeCell ref="A1:T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T36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style="186" min="1" max="1"/>
    <col width="3" customWidth="1" style="186" min="2" max="2"/>
    <col width="12" customWidth="1" style="186" min="3" max="3"/>
    <col width="12" customWidth="1" style="186" min="4" max="4"/>
    <col width="12" customWidth="1" style="186" min="5" max="5"/>
    <col width="12" customWidth="1" style="186" min="6" max="6"/>
    <col width="12" customWidth="1" style="186" min="7" max="7"/>
    <col width="12" customWidth="1" style="186" min="8" max="8"/>
    <col width="12" customWidth="1" style="186" min="9" max="9"/>
    <col width="12" customWidth="1" style="186" min="10" max="10"/>
    <col width="12" customWidth="1" style="186" min="11" max="11"/>
    <col width="12" customWidth="1" style="186" min="12" max="12"/>
    <col width="12" customWidth="1" style="186" min="13" max="13"/>
    <col width="12" customWidth="1" style="186" min="14" max="14"/>
    <col width="12" customWidth="1" style="186" min="15" max="15"/>
    <col width="13" customWidth="1" style="186" min="16" max="16"/>
    <col width="13" customWidth="1" style="186" min="17" max="17"/>
    <col width="13" customWidth="1" style="186" min="18" max="18"/>
    <col width="13" customWidth="1" style="186" min="19" max="19"/>
    <col width="13" customWidth="1" style="186" min="20" max="20"/>
  </cols>
  <sheetData>
    <row r="1" ht="26" customHeight="1" s="186">
      <c r="A1" s="719" t="inlineStr">
        <is>
          <t>差引簿集計（長期）　差引簿の費目ごとの月別合計（確認済のみ）→ 費用収益表へ　／　4月（未払）は「未払」差引簿の確認済</t>
        </is>
      </c>
      <c r="B1" s="720" t="n"/>
      <c r="C1" s="720" t="n"/>
      <c r="D1" s="720" t="n"/>
      <c r="E1" s="720" t="n"/>
      <c r="F1" s="720" t="n"/>
      <c r="G1" s="720" t="n"/>
      <c r="H1" s="720" t="n"/>
      <c r="I1" s="720" t="n"/>
      <c r="J1" s="720" t="n"/>
      <c r="K1" s="720" t="n"/>
      <c r="L1" s="720" t="n"/>
      <c r="M1" s="720" t="n"/>
      <c r="N1" s="720" t="n"/>
      <c r="O1" s="720" t="n"/>
      <c r="P1" s="720" t="n"/>
      <c r="Q1" s="720" t="n"/>
      <c r="R1" s="720" t="n"/>
      <c r="S1" s="720" t="n"/>
      <c r="T1" s="720" t="n"/>
    </row>
    <row r="2">
      <c r="C2" s="832" t="n">
        <v>1</v>
      </c>
      <c r="D2" s="832" t="n">
        <v>2</v>
      </c>
      <c r="E2" s="832" t="n">
        <v>3</v>
      </c>
      <c r="F2" s="832" t="n">
        <v>4</v>
      </c>
      <c r="G2" s="832" t="n">
        <v>5</v>
      </c>
      <c r="H2" s="832" t="n">
        <v>6</v>
      </c>
      <c r="I2" s="832" t="n">
        <v>7</v>
      </c>
      <c r="J2" s="832" t="n">
        <v>8</v>
      </c>
      <c r="K2" s="832" t="n">
        <v>9</v>
      </c>
      <c r="L2" s="832" t="n">
        <v>10</v>
      </c>
      <c r="M2" s="832" t="n">
        <v>11</v>
      </c>
      <c r="N2" s="832" t="n">
        <v>12</v>
      </c>
      <c r="O2" s="832" t="n">
        <v>13</v>
      </c>
    </row>
    <row r="3" ht="22" customHeight="1" s="186">
      <c r="A3" s="737" t="inlineStr">
        <is>
          <t>費目</t>
        </is>
      </c>
      <c r="B3" s="737" t="n"/>
      <c r="C3" s="737" t="inlineStr">
        <is>
          <t>4月</t>
        </is>
      </c>
      <c r="D3" s="737" t="inlineStr">
        <is>
          <t>5月</t>
        </is>
      </c>
      <c r="E3" s="737" t="inlineStr">
        <is>
          <t>6月</t>
        </is>
      </c>
      <c r="F3" s="737" t="inlineStr">
        <is>
          <t>7月</t>
        </is>
      </c>
      <c r="G3" s="737" t="inlineStr">
        <is>
          <t>8月</t>
        </is>
      </c>
      <c r="H3" s="737" t="inlineStr">
        <is>
          <t>9月</t>
        </is>
      </c>
      <c r="I3" s="737" t="inlineStr">
        <is>
          <t>10月</t>
        </is>
      </c>
      <c r="J3" s="737" t="inlineStr">
        <is>
          <t>11月</t>
        </is>
      </c>
      <c r="K3" s="737" t="inlineStr">
        <is>
          <t>12月</t>
        </is>
      </c>
      <c r="L3" s="737" t="inlineStr">
        <is>
          <t>1月</t>
        </is>
      </c>
      <c r="M3" s="737" t="inlineStr">
        <is>
          <t>2月</t>
        </is>
      </c>
      <c r="N3" s="737" t="inlineStr">
        <is>
          <t>3月</t>
        </is>
      </c>
      <c r="O3" s="737" t="inlineStr">
        <is>
          <t>4月(未払)</t>
        </is>
      </c>
      <c r="P3" s="737" t="inlineStr">
        <is>
          <t>確認済計</t>
        </is>
      </c>
      <c r="Q3" s="737" t="inlineStr">
        <is>
          <t>予算現額</t>
        </is>
      </c>
      <c r="R3" s="737" t="inlineStr">
        <is>
          <t>残額</t>
        </is>
      </c>
      <c r="S3" s="737" t="inlineStr">
        <is>
          <t>費用収益表</t>
        </is>
      </c>
      <c r="T3" s="737" t="inlineStr">
        <is>
          <t>行不足</t>
        </is>
      </c>
    </row>
    <row r="4">
      <c r="A4" s="740" t="inlineStr">
        <is>
          <t>事務用消耗品費</t>
        </is>
      </c>
      <c r="C4" s="749">
        <f>SUMIFS('予算差引簿（長）'!$C$6:$C$50,'予算差引簿（長）'!$E$6:$E$50,"確認済",'予算差引簿（長）'!$A$6:$A$50,"&gt;="&amp;DATE(年度+2018,4,1),'予算差引簿（長）'!$A$6:$A$50,"&lt;"&amp;DATE(年度+2018,5,1))</f>
        <v>8778</v>
      </c>
      <c r="D4" s="749">
        <f>SUMIFS('予算差引簿（長）'!$C$6:$C$50,'予算差引簿（長）'!$E$6:$E$50,"確認済",'予算差引簿（長）'!$A$6:$A$50,"&gt;="&amp;DATE(年度+2018,5,1),'予算差引簿（長）'!$A$6:$A$50,"&lt;"&amp;DATE(年度+2018,6,1))</f>
        <v>14040</v>
      </c>
      <c r="E4" s="749">
        <f>SUMIFS('予算差引簿（長）'!$C$6:$C$50,'予算差引簿（長）'!$E$6:$E$50,"確認済",'予算差引簿（長）'!$A$6:$A$50,"&gt;="&amp;DATE(年度+2018,6,1),'予算差引簿（長）'!$A$6:$A$50,"&lt;"&amp;DATE(年度+2018,7,1))</f>
        <v>53130</v>
      </c>
      <c r="F4" s="749">
        <f>SUMIFS('予算差引簿（長）'!$C$6:$C$50,'予算差引簿（長）'!$E$6:$E$50,"確認済",'予算差引簿（長）'!$A$6:$A$50,"&gt;="&amp;DATE(年度+2018,7,1),'予算差引簿（長）'!$A$6:$A$50,"&lt;"&amp;DATE(年度+2018,8,1))</f>
        <v>0</v>
      </c>
      <c r="G4" s="749">
        <f>SUMIFS('予算差引簿（長）'!$C$6:$C$50,'予算差引簿（長）'!$E$6:$E$50,"確認済",'予算差引簿（長）'!$A$6:$A$50,"&gt;="&amp;DATE(年度+2018,8,1),'予算差引簿（長）'!$A$6:$A$50,"&lt;"&amp;DATE(年度+2018,9,1))</f>
        <v>0</v>
      </c>
      <c r="H4" s="749">
        <f>SUMIFS('予算差引簿（長）'!$C$6:$C$50,'予算差引簿（長）'!$E$6:$E$50,"確認済",'予算差引簿（長）'!$A$6:$A$50,"&gt;="&amp;DATE(年度+2018,9,1),'予算差引簿（長）'!$A$6:$A$50,"&lt;"&amp;DATE(年度+2018,10,1))</f>
        <v>0</v>
      </c>
      <c r="I4" s="749">
        <f>SUMIFS('予算差引簿（長）'!$C$6:$C$50,'予算差引簿（長）'!$E$6:$E$50,"確認済",'予算差引簿（長）'!$A$6:$A$50,"&gt;="&amp;DATE(年度+2018,10,1),'予算差引簿（長）'!$A$6:$A$50,"&lt;"&amp;DATE(年度+2018,11,1))</f>
        <v>200450</v>
      </c>
      <c r="J4" s="749">
        <f>SUMIFS('予算差引簿（長）'!$C$6:$C$50,'予算差引簿（長）'!$E$6:$E$50,"確認済",'予算差引簿（長）'!$A$6:$A$50,"&gt;="&amp;DATE(年度+2018,11,1),'予算差引簿（長）'!$A$6:$A$50,"&lt;"&amp;DATE(年度+2018,12,1))</f>
        <v>0</v>
      </c>
      <c r="K4" s="749">
        <f>SUMIFS('予算差引簿（長）'!$C$6:$C$50,'予算差引簿（長）'!$E$6:$E$50,"確認済",'予算差引簿（長）'!$A$6:$A$50,"&gt;="&amp;DATE(年度+2018,12,1),'予算差引簿（長）'!$A$6:$A$50,"&lt;"&amp;DATE(年度+2019,1,1))</f>
        <v>0</v>
      </c>
      <c r="L4" s="749">
        <f>SUMIFS('予算差引簿（長）'!$C$6:$C$50,'予算差引簿（長）'!$E$6:$E$50,"確認済",'予算差引簿（長）'!$A$6:$A$50,"&gt;="&amp;DATE(年度+2019,1,1),'予算差引簿（長）'!$A$6:$A$50,"&lt;"&amp;DATE(年度+2019,2,1))</f>
        <v>0</v>
      </c>
      <c r="M4" s="749">
        <f>SUMIFS('予算差引簿（長）'!$C$6:$C$50,'予算差引簿（長）'!$E$6:$E$50,"確認済",'予算差引簿（長）'!$A$6:$A$50,"&gt;="&amp;DATE(年度+2019,2,1),'予算差引簿（長）'!$A$6:$A$50,"&lt;"&amp;DATE(年度+2019,3,1))</f>
        <v>0</v>
      </c>
      <c r="N4" s="749">
        <f>SUMIFS('予算差引簿（長）'!$C$6:$C$50,'予算差引簿（長）'!$E$6:$E$50,"確認済",'予算差引簿（長）'!$A$6:$A$50,"&gt;="&amp;DATE(年度+2019,3,1),'予算差引簿（長）'!$A$6:$A$50,"&lt;"&amp;DATE(年度+2019,4,1))</f>
        <v>0</v>
      </c>
      <c r="O4" s="749">
        <f>SUMIFS('予算差引簿（長）未払'!$M$6:$M$17,'予算差引簿（長）未払'!$O$6:$O$17,"確認済")</f>
        <v>0</v>
      </c>
      <c r="P4" s="833">
        <f>SUM(C4:O4)</f>
        <v>276398</v>
      </c>
      <c r="Q4" s="749">
        <f>'R7業務（長）'!$S$12</f>
        <v>580000</v>
      </c>
      <c r="R4" s="749">
        <f>IF(Q4="","",Q4-P4)</f>
        <v>303602</v>
      </c>
      <c r="S4" s="748" t="inlineStr">
        <is>
          <t>Y</t>
        </is>
      </c>
      <c r="T4" s="834" t="str">
        <f>IF(OR('予算差引簿（長）'!E3&lt;&gt;"",'予算差引簿（長）未払'!O3&lt;&gt;""),"行不足","")</f>
        <v/>
      </c>
    </row>
    <row r="5">
      <c r="A5" s="740" t="inlineStr">
        <is>
          <t>図書印刷費</t>
        </is>
      </c>
      <c r="C5" s="749">
        <f>SUMIFS('予算差引簿（長）'!$M$6:$M$45,'予算差引簿（長）'!$O$6:$O$45,"確認済",'予算差引簿（長）'!$K$6:$K$45,"&gt;="&amp;DATE(年度+2018,4,1),'予算差引簿（長）'!$K$6:$K$45,"&lt;"&amp;DATE(年度+2018,5,1))</f>
        <v>0</v>
      </c>
      <c r="D5" s="749">
        <f>SUMIFS('予算差引簿（長）'!$M$6:$M$45,'予算差引簿（長）'!$O$6:$O$45,"確認済",'予算差引簿（長）'!$K$6:$K$45,"&gt;="&amp;DATE(年度+2018,5,1),'予算差引簿（長）'!$K$6:$K$45,"&lt;"&amp;DATE(年度+2018,6,1))</f>
        <v>0</v>
      </c>
      <c r="E5" s="749">
        <f>SUMIFS('予算差引簿（長）'!$M$6:$M$45,'予算差引簿（長）'!$O$6:$O$45,"確認済",'予算差引簿（長）'!$K$6:$K$45,"&gt;="&amp;DATE(年度+2018,6,1),'予算差引簿（長）'!$K$6:$K$45,"&lt;"&amp;DATE(年度+2018,7,1))</f>
        <v>17600</v>
      </c>
      <c r="F5" s="749">
        <f>SUMIFS('予算差引簿（長）'!$M$6:$M$45,'予算差引簿（長）'!$O$6:$O$45,"確認済",'予算差引簿（長）'!$K$6:$K$45,"&gt;="&amp;DATE(年度+2018,7,1),'予算差引簿（長）'!$K$6:$K$45,"&lt;"&amp;DATE(年度+2018,8,1))</f>
        <v>0</v>
      </c>
      <c r="G5" s="749">
        <f>SUMIFS('予算差引簿（長）'!$M$6:$M$45,'予算差引簿（長）'!$O$6:$O$45,"確認済",'予算差引簿（長）'!$K$6:$K$45,"&gt;="&amp;DATE(年度+2018,8,1),'予算差引簿（長）'!$K$6:$K$45,"&lt;"&amp;DATE(年度+2018,9,1))</f>
        <v>73810</v>
      </c>
      <c r="H5" s="749">
        <f>SUMIFS('予算差引簿（長）'!$M$6:$M$45,'予算差引簿（長）'!$O$6:$O$45,"確認済",'予算差引簿（長）'!$K$6:$K$45,"&gt;="&amp;DATE(年度+2018,9,1),'予算差引簿（長）'!$K$6:$K$45,"&lt;"&amp;DATE(年度+2018,10,1))</f>
        <v>247676</v>
      </c>
      <c r="I5" s="749">
        <f>SUMIFS('予算差引簿（長）'!$M$6:$M$45,'予算差引簿（長）'!$O$6:$O$45,"確認済",'予算差引簿（長）'!$K$6:$K$45,"&gt;="&amp;DATE(年度+2018,10,1),'予算差引簿（長）'!$K$6:$K$45,"&lt;"&amp;DATE(年度+2018,11,1))</f>
        <v>35200</v>
      </c>
      <c r="J5" s="749">
        <f>SUMIFS('予算差引簿（長）'!$M$6:$M$45,'予算差引簿（長）'!$O$6:$O$45,"確認済",'予算差引簿（長）'!$K$6:$K$45,"&gt;="&amp;DATE(年度+2018,11,1),'予算差引簿（長）'!$K$6:$K$45,"&lt;"&amp;DATE(年度+2018,12,1))</f>
        <v>0</v>
      </c>
      <c r="K5" s="749">
        <f>SUMIFS('予算差引簿（長）'!$M$6:$M$45,'予算差引簿（長）'!$O$6:$O$45,"確認済",'予算差引簿（長）'!$K$6:$K$45,"&gt;="&amp;DATE(年度+2018,12,1),'予算差引簿（長）'!$K$6:$K$45,"&lt;"&amp;DATE(年度+2019,1,1))</f>
        <v>0</v>
      </c>
      <c r="L5" s="749">
        <f>SUMIFS('予算差引簿（長）'!$M$6:$M$45,'予算差引簿（長）'!$O$6:$O$45,"確認済",'予算差引簿（長）'!$K$6:$K$45,"&gt;="&amp;DATE(年度+2019,1,1),'予算差引簿（長）'!$K$6:$K$45,"&lt;"&amp;DATE(年度+2019,2,1))</f>
        <v>0</v>
      </c>
      <c r="M5" s="749">
        <f>SUMIFS('予算差引簿（長）'!$M$6:$M$45,'予算差引簿（長）'!$O$6:$O$45,"確認済",'予算差引簿（長）'!$K$6:$K$45,"&gt;="&amp;DATE(年度+2019,2,1),'予算差引簿（長）'!$K$6:$K$45,"&lt;"&amp;DATE(年度+2019,3,1))</f>
        <v>0</v>
      </c>
      <c r="N5" s="749">
        <f>SUMIFS('予算差引簿（長）'!$M$6:$M$45,'予算差引簿（長）'!$O$6:$O$45,"確認済",'予算差引簿（長）'!$K$6:$K$45,"&gt;="&amp;DATE(年度+2019,3,1),'予算差引簿（長）'!$K$6:$K$45,"&lt;"&amp;DATE(年度+2019,4,1))</f>
        <v>0</v>
      </c>
      <c r="O5" s="749">
        <f>SUMIFS('予算差引簿（長）未払'!$R$6:$R$17,'予算差引簿（長）未払'!$T$6:$T$17,"確認済")</f>
        <v>0</v>
      </c>
      <c r="P5" s="833">
        <f>SUM(C5:O5)</f>
        <v>374286</v>
      </c>
      <c r="Q5" s="749">
        <f>'R7業務（長）'!$S$13</f>
        <v>595000</v>
      </c>
      <c r="R5" s="749">
        <f>IF(Q5="","",Q5-P5)</f>
        <v>220714</v>
      </c>
      <c r="S5" s="748" t="inlineStr">
        <is>
          <t>Y</t>
        </is>
      </c>
      <c r="T5" s="834" t="str">
        <f>IF(OR('予算差引簿（長）'!O3&lt;&gt;"",'予算差引簿（長）未払'!T3&lt;&gt;""),"行不足","")</f>
        <v/>
      </c>
    </row>
    <row r="6">
      <c r="A6" s="740" t="inlineStr">
        <is>
          <t>通信運搬費</t>
        </is>
      </c>
      <c r="C6" s="749">
        <f>SUMIFS('予算差引簿（長）'!$H$6:$H$50,'予算差引簿（長）'!$J$6:$J$50,"確認済",'予算差引簿（長）'!$F$6:$F$50,"&gt;="&amp;DATE(年度+2018,4,1),'予算差引簿（長）'!$F$6:$F$50,"&lt;"&amp;DATE(年度+2018,5,1))</f>
        <v>0</v>
      </c>
      <c r="D6" s="749">
        <f>SUMIFS('予算差引簿（長）'!$H$6:$H$50,'予算差引簿（長）'!$J$6:$J$50,"確認済",'予算差引簿（長）'!$F$6:$F$50,"&gt;="&amp;DATE(年度+2018,5,1),'予算差引簿（長）'!$F$6:$F$50,"&lt;"&amp;DATE(年度+2018,6,1))</f>
        <v>147246</v>
      </c>
      <c r="E6" s="749">
        <f>SUMIFS('予算差引簿（長）'!$H$6:$H$50,'予算差引簿（長）'!$J$6:$J$50,"確認済",'予算差引簿（長）'!$F$6:$F$50,"&gt;="&amp;DATE(年度+2018,6,1),'予算差引簿（長）'!$F$6:$F$50,"&lt;"&amp;DATE(年度+2018,7,1))</f>
        <v>21810</v>
      </c>
      <c r="F6" s="749">
        <f>SUMIFS('予算差引簿（長）'!$H$6:$H$50,'予算差引簿（長）'!$J$6:$J$50,"確認済",'予算差引簿（長）'!$F$6:$F$50,"&gt;="&amp;DATE(年度+2018,7,1),'予算差引簿（長）'!$F$6:$F$50,"&lt;"&amp;DATE(年度+2018,8,1))</f>
        <v>1534000</v>
      </c>
      <c r="G6" s="749">
        <f>SUMIFS('予算差引簿（長）'!$H$6:$H$50,'予算差引簿（長）'!$J$6:$J$50,"確認済",'予算差引簿（長）'!$F$6:$F$50,"&gt;="&amp;DATE(年度+2018,8,1),'予算差引簿（長）'!$F$6:$F$50,"&lt;"&amp;DATE(年度+2018,9,1))</f>
        <v>31370</v>
      </c>
      <c r="H6" s="749">
        <f>SUMIFS('予算差引簿（長）'!$H$6:$H$50,'予算差引簿（長）'!$J$6:$J$50,"確認済",'予算差引簿（長）'!$F$6:$F$50,"&gt;="&amp;DATE(年度+2018,9,1),'予算差引簿（長）'!$F$6:$F$50,"&lt;"&amp;DATE(年度+2018,10,1))</f>
        <v>83355</v>
      </c>
      <c r="I6" s="749">
        <f>SUMIFS('予算差引簿（長）'!$H$6:$H$50,'予算差引簿（長）'!$J$6:$J$50,"確認済",'予算差引簿（長）'!$F$6:$F$50,"&gt;="&amp;DATE(年度+2018,10,1),'予算差引簿（長）'!$F$6:$F$50,"&lt;"&amp;DATE(年度+2018,11,1))</f>
        <v>39790</v>
      </c>
      <c r="J6" s="749">
        <f>SUMIFS('予算差引簿（長）'!$H$6:$H$50,'予算差引簿（長）'!$J$6:$J$50,"確認済",'予算差引簿（長）'!$F$6:$F$50,"&gt;="&amp;DATE(年度+2018,11,1),'予算差引簿（長）'!$F$6:$F$50,"&lt;"&amp;DATE(年度+2018,12,1))</f>
        <v>0</v>
      </c>
      <c r="K6" s="749">
        <f>SUMIFS('予算差引簿（長）'!$H$6:$H$50,'予算差引簿（長）'!$J$6:$J$50,"確認済",'予算差引簿（長）'!$F$6:$F$50,"&gt;="&amp;DATE(年度+2018,12,1),'予算差引簿（長）'!$F$6:$F$50,"&lt;"&amp;DATE(年度+2019,1,1))</f>
        <v>0</v>
      </c>
      <c r="L6" s="749">
        <f>SUMIFS('予算差引簿（長）'!$H$6:$H$50,'予算差引簿（長）'!$J$6:$J$50,"確認済",'予算差引簿（長）'!$F$6:$F$50,"&gt;="&amp;DATE(年度+2019,1,1),'予算差引簿（長）'!$F$6:$F$50,"&lt;"&amp;DATE(年度+2019,2,1))</f>
        <v>0</v>
      </c>
      <c r="M6" s="749">
        <f>SUMIFS('予算差引簿（長）'!$H$6:$H$50,'予算差引簿（長）'!$J$6:$J$50,"確認済",'予算差引簿（長）'!$F$6:$F$50,"&gt;="&amp;DATE(年度+2019,2,1),'予算差引簿（長）'!$F$6:$F$50,"&lt;"&amp;DATE(年度+2019,3,1))</f>
        <v>0</v>
      </c>
      <c r="N6" s="749">
        <f>SUMIFS('予算差引簿（長）'!$H$6:$H$50,'予算差引簿（長）'!$J$6:$J$50,"確認済",'予算差引簿（長）'!$F$6:$F$50,"&gt;="&amp;DATE(年度+2019,3,1),'予算差引簿（長）'!$F$6:$F$50,"&lt;"&amp;DATE(年度+2019,4,1))</f>
        <v>0</v>
      </c>
      <c r="O6" s="749">
        <f>SUMIFS('予算差引簿（長）未払'!$C$27:$C$38,'予算差引簿（長）未払'!$E$27:$E$38,"確認済")</f>
        <v>0</v>
      </c>
      <c r="P6" s="833">
        <f>SUM(C6:O6)</f>
        <v>1857571</v>
      </c>
      <c r="Q6" s="749">
        <f>'R7業務（長）'!$S$15</f>
        <v>7518000</v>
      </c>
      <c r="R6" s="749">
        <f>IF(Q6="","",Q6-P6)</f>
        <v>5660429</v>
      </c>
      <c r="S6" s="748" t="inlineStr">
        <is>
          <t>Y</t>
        </is>
      </c>
      <c r="T6" s="834" t="str">
        <f>IF(OR('予算差引簿（長）'!J3&lt;&gt;"",'予算差引簿（長）未払'!E24&lt;&gt;""),"行不足","")</f>
        <v/>
      </c>
    </row>
    <row r="7">
      <c r="A7" s="740" t="inlineStr">
        <is>
          <t>送金料</t>
        </is>
      </c>
      <c r="C7" s="749">
        <f>SUMIFS('予算差引簿（長）'!$H$100:$H$126,'予算差引簿（長）'!$J$100:$J$126,"確認済",'予算差引簿（長）'!$F$100:$F$126,"&gt;="&amp;DATE(年度+2018,4,1),'予算差引簿（長）'!$F$100:$F$126,"&lt;"&amp;DATE(年度+2018,5,1))</f>
        <v>0</v>
      </c>
      <c r="D7" s="749">
        <f>SUMIFS('予算差引簿（長）'!$H$100:$H$126,'予算差引簿（長）'!$J$100:$J$126,"確認済",'予算差引簿（長）'!$F$100:$F$126,"&gt;="&amp;DATE(年度+2018,5,1),'予算差引簿（長）'!$F$100:$F$126,"&lt;"&amp;DATE(年度+2018,6,1))</f>
        <v>18493</v>
      </c>
      <c r="E7" s="749">
        <f>SUMIFS('予算差引簿（長）'!$H$100:$H$126,'予算差引簿（長）'!$J$100:$J$126,"確認済",'予算差引簿（長）'!$F$100:$F$126,"&gt;="&amp;DATE(年度+2018,6,1),'予算差引簿（長）'!$F$100:$F$126,"&lt;"&amp;DATE(年度+2018,7,1))</f>
        <v>12725</v>
      </c>
      <c r="F7" s="749">
        <f>SUMIFS('予算差引簿（長）'!$H$100:$H$126,'予算差引簿（長）'!$J$100:$J$126,"確認済",'予算差引簿（長）'!$F$100:$F$126,"&gt;="&amp;DATE(年度+2018,7,1),'予算差引簿（長）'!$F$100:$F$126,"&lt;"&amp;DATE(年度+2018,8,1))</f>
        <v>13965</v>
      </c>
      <c r="G7" s="749">
        <f>SUMIFS('予算差引簿（長）'!$H$100:$H$126,'予算差引簿（長）'!$J$100:$J$126,"確認済",'予算差引簿（長）'!$F$100:$F$126,"&gt;="&amp;DATE(年度+2018,8,1),'予算差引簿（長）'!$F$100:$F$126,"&lt;"&amp;DATE(年度+2018,9,1))</f>
        <v>14994</v>
      </c>
      <c r="H7" s="749">
        <f>SUMIFS('予算差引簿（長）'!$H$100:$H$126,'予算差引簿（長）'!$J$100:$J$126,"確認済",'予算差引簿（長）'!$F$100:$F$126,"&gt;="&amp;DATE(年度+2018,9,1),'予算差引簿（長）'!$F$100:$F$126,"&lt;"&amp;DATE(年度+2018,10,1))</f>
        <v>14984</v>
      </c>
      <c r="I7" s="749">
        <f>SUMIFS('予算差引簿（長）'!$H$100:$H$126,'予算差引簿（長）'!$J$100:$J$126,"確認済",'予算差引簿（長）'!$F$100:$F$126,"&gt;="&amp;DATE(年度+2018,10,1),'予算差引簿（長）'!$F$100:$F$126,"&lt;"&amp;DATE(年度+2018,11,1))</f>
        <v>15908</v>
      </c>
      <c r="J7" s="749">
        <f>SUMIFS('予算差引簿（長）'!$H$100:$H$126,'予算差引簿（長）'!$J$100:$J$126,"確認済",'予算差引簿（長）'!$F$100:$F$126,"&gt;="&amp;DATE(年度+2018,11,1),'予算差引簿（長）'!$F$100:$F$126,"&lt;"&amp;DATE(年度+2018,12,1))</f>
        <v>0</v>
      </c>
      <c r="K7" s="749">
        <f>SUMIFS('予算差引簿（長）'!$H$100:$H$126,'予算差引簿（長）'!$J$100:$J$126,"確認済",'予算差引簿（長）'!$F$100:$F$126,"&gt;="&amp;DATE(年度+2018,12,1),'予算差引簿（長）'!$F$100:$F$126,"&lt;"&amp;DATE(年度+2019,1,1))</f>
        <v>0</v>
      </c>
      <c r="L7" s="749">
        <f>SUMIFS('予算差引簿（長）'!$H$100:$H$126,'予算差引簿（長）'!$J$100:$J$126,"確認済",'予算差引簿（長）'!$F$100:$F$126,"&gt;="&amp;DATE(年度+2019,1,1),'予算差引簿（長）'!$F$100:$F$126,"&lt;"&amp;DATE(年度+2019,2,1))</f>
        <v>0</v>
      </c>
      <c r="M7" s="749">
        <f>SUMIFS('予算差引簿（長）'!$H$100:$H$126,'予算差引簿（長）'!$J$100:$J$126,"確認済",'予算差引簿（長）'!$F$100:$F$126,"&gt;="&amp;DATE(年度+2019,2,1),'予算差引簿（長）'!$F$100:$F$126,"&lt;"&amp;DATE(年度+2019,3,1))</f>
        <v>0</v>
      </c>
      <c r="N7" s="749">
        <f>SUMIFS('予算差引簿（長）'!$H$100:$H$126,'予算差引簿（長）'!$J$100:$J$126,"確認済",'予算差引簿（長）'!$F$100:$F$126,"&gt;="&amp;DATE(年度+2019,3,1),'予算差引簿（長）'!$F$100:$F$126,"&lt;"&amp;DATE(年度+2019,4,1))</f>
        <v>0</v>
      </c>
      <c r="O7" s="749">
        <f>SUMIFS('予算差引簿（長）未払'!$H$27:$H$38,'予算差引簿（長）未払'!$J$27:$J$38,"確認済")</f>
        <v>0</v>
      </c>
      <c r="P7" s="833">
        <f>SUM(C7:O7)</f>
        <v>91069</v>
      </c>
      <c r="Q7" s="749">
        <f>'R7業務（長）'!$S$14</f>
        <v>249000</v>
      </c>
      <c r="R7" s="749">
        <f>IF(Q7="","",Q7-P7)</f>
        <v>157931</v>
      </c>
      <c r="S7" s="748" t="inlineStr">
        <is>
          <t>Y</t>
        </is>
      </c>
      <c r="T7" s="834" t="str">
        <f>IF(OR('予算差引簿（長）'!J97&lt;&gt;"",'予算差引簿（長）未払'!J24&lt;&gt;""),"行不足","")</f>
        <v/>
      </c>
    </row>
    <row r="8">
      <c r="A8" s="740" t="inlineStr">
        <is>
          <t>事務費・雑費</t>
        </is>
      </c>
      <c r="C8" s="749">
        <f>SUMIFS('予算差引簿（長）'!$H$134:$H$145,'予算差引簿（長）'!$J$134:$J$145,"確認済",'予算差引簿（長）'!$F$134:$F$145,"&gt;="&amp;DATE(年度+2018,4,1),'予算差引簿（長）'!$F$134:$F$145,"&lt;"&amp;DATE(年度+2018,5,1))</f>
        <v>0</v>
      </c>
      <c r="D8" s="749">
        <f>SUMIFS('予算差引簿（長）'!$H$134:$H$145,'予算差引簿（長）'!$J$134:$J$145,"確認済",'予算差引簿（長）'!$F$134:$F$145,"&gt;="&amp;DATE(年度+2018,5,1),'予算差引簿（長）'!$F$134:$F$145,"&lt;"&amp;DATE(年度+2018,6,1))</f>
        <v>0</v>
      </c>
      <c r="E8" s="749">
        <f>SUMIFS('予算差引簿（長）'!$H$134:$H$145,'予算差引簿（長）'!$J$134:$J$145,"確認済",'予算差引簿（長）'!$F$134:$F$145,"&gt;="&amp;DATE(年度+2018,6,1),'予算差引簿（長）'!$F$134:$F$145,"&lt;"&amp;DATE(年度+2018,7,1))</f>
        <v>0</v>
      </c>
      <c r="F8" s="749">
        <f>SUMIFS('予算差引簿（長）'!$H$134:$H$145,'予算差引簿（長）'!$J$134:$J$145,"確認済",'予算差引簿（長）'!$F$134:$F$145,"&gt;="&amp;DATE(年度+2018,7,1),'予算差引簿（長）'!$F$134:$F$145,"&lt;"&amp;DATE(年度+2018,8,1))</f>
        <v>0</v>
      </c>
      <c r="G8" s="749">
        <f>SUMIFS('予算差引簿（長）'!$H$134:$H$145,'予算差引簿（長）'!$J$134:$J$145,"確認済",'予算差引簿（長）'!$F$134:$F$145,"&gt;="&amp;DATE(年度+2018,8,1),'予算差引簿（長）'!$F$134:$F$145,"&lt;"&amp;DATE(年度+2018,9,1))</f>
        <v>0</v>
      </c>
      <c r="H8" s="749">
        <f>SUMIFS('予算差引簿（長）'!$H$134:$H$145,'予算差引簿（長）'!$J$134:$J$145,"確認済",'予算差引簿（長）'!$F$134:$F$145,"&gt;="&amp;DATE(年度+2018,9,1),'予算差引簿（長）'!$F$134:$F$145,"&lt;"&amp;DATE(年度+2018,10,1))</f>
        <v>0</v>
      </c>
      <c r="I8" s="749">
        <f>SUMIFS('予算差引簿（長）'!$H$134:$H$145,'予算差引簿（長）'!$J$134:$J$145,"確認済",'予算差引簿（長）'!$F$134:$F$145,"&gt;="&amp;DATE(年度+2018,10,1),'予算差引簿（長）'!$F$134:$F$145,"&lt;"&amp;DATE(年度+2018,11,1))</f>
        <v>3300</v>
      </c>
      <c r="J8" s="749">
        <f>SUMIFS('予算差引簿（長）'!$H$134:$H$145,'予算差引簿（長）'!$J$134:$J$145,"確認済",'予算差引簿（長）'!$F$134:$F$145,"&gt;="&amp;DATE(年度+2018,11,1),'予算差引簿（長）'!$F$134:$F$145,"&lt;"&amp;DATE(年度+2018,12,1))</f>
        <v>0</v>
      </c>
      <c r="K8" s="749">
        <f>SUMIFS('予算差引簿（長）'!$H$134:$H$145,'予算差引簿（長）'!$J$134:$J$145,"確認済",'予算差引簿（長）'!$F$134:$F$145,"&gt;="&amp;DATE(年度+2018,12,1),'予算差引簿（長）'!$F$134:$F$145,"&lt;"&amp;DATE(年度+2019,1,1))</f>
        <v>0</v>
      </c>
      <c r="L8" s="749">
        <f>SUMIFS('予算差引簿（長）'!$H$134:$H$145,'予算差引簿（長）'!$J$134:$J$145,"確認済",'予算差引簿（長）'!$F$134:$F$145,"&gt;="&amp;DATE(年度+2019,1,1),'予算差引簿（長）'!$F$134:$F$145,"&lt;"&amp;DATE(年度+2019,2,1))</f>
        <v>0</v>
      </c>
      <c r="M8" s="749">
        <f>SUMIFS('予算差引簿（長）'!$H$134:$H$145,'予算差引簿（長）'!$J$134:$J$145,"確認済",'予算差引簿（長）'!$F$134:$F$145,"&gt;="&amp;DATE(年度+2019,2,1),'予算差引簿（長）'!$F$134:$F$145,"&lt;"&amp;DATE(年度+2019,3,1))</f>
        <v>0</v>
      </c>
      <c r="N8" s="749">
        <f>SUMIFS('予算差引簿（長）'!$H$134:$H$145,'予算差引簿（長）'!$J$134:$J$145,"確認済",'予算差引簿（長）'!$F$134:$F$145,"&gt;="&amp;DATE(年度+2019,3,1),'予算差引簿（長）'!$F$134:$F$145,"&lt;"&amp;DATE(年度+2019,4,1))</f>
        <v>0</v>
      </c>
      <c r="O8" s="749">
        <f>SUMIFS('予算差引簿（長）未払'!$M$27:$M$38,'予算差引簿（長）未払'!$O$27:$O$38,"確認済")</f>
        <v>0</v>
      </c>
      <c r="P8" s="833">
        <f>SUM(C8:O8)</f>
        <v>3300</v>
      </c>
      <c r="Q8" s="749">
        <f>'R7業務（長）'!$S$17</f>
        <v>7000</v>
      </c>
      <c r="R8" s="749">
        <f>IF(Q8="","",Q8-P8)</f>
        <v>3700</v>
      </c>
      <c r="S8" s="748" t="inlineStr">
        <is>
          <t>Y</t>
        </is>
      </c>
      <c r="T8" s="834" t="str">
        <f>IF(OR('予算差引簿（長）'!J131&lt;&gt;"",'予算差引簿（長）未払'!O24&lt;&gt;""),"行不足","")</f>
        <v/>
      </c>
    </row>
    <row r="9">
      <c r="A9" s="740" t="inlineStr">
        <is>
          <t>会議費</t>
        </is>
      </c>
      <c r="C9" s="749">
        <f>SUMIFS('予算差引簿（長）'!$M$134:$M$145,'予算差引簿（長）'!$O$134:$O$145,"確認済",'予算差引簿（長）'!$K$134:$K$145,"&gt;="&amp;DATE(年度+2018,4,1),'予算差引簿（長）'!$K$134:$K$145,"&lt;"&amp;DATE(年度+2018,5,1))</f>
        <v>0</v>
      </c>
      <c r="D9" s="749">
        <f>SUMIFS('予算差引簿（長）'!$M$134:$M$145,'予算差引簿（長）'!$O$134:$O$145,"確認済",'予算差引簿（長）'!$K$134:$K$145,"&gt;="&amp;DATE(年度+2018,5,1),'予算差引簿（長）'!$K$134:$K$145,"&lt;"&amp;DATE(年度+2018,6,1))</f>
        <v>0</v>
      </c>
      <c r="E9" s="749">
        <f>SUMIFS('予算差引簿（長）'!$M$134:$M$145,'予算差引簿（長）'!$O$134:$O$145,"確認済",'予算差引簿（長）'!$K$134:$K$145,"&gt;="&amp;DATE(年度+2018,6,1),'予算差引簿（長）'!$K$134:$K$145,"&lt;"&amp;DATE(年度+2018,7,1))</f>
        <v>0</v>
      </c>
      <c r="F9" s="749">
        <f>SUMIFS('予算差引簿（長）'!$M$134:$M$145,'予算差引簿（長）'!$O$134:$O$145,"確認済",'予算差引簿（長）'!$K$134:$K$145,"&gt;="&amp;DATE(年度+2018,7,1),'予算差引簿（長）'!$K$134:$K$145,"&lt;"&amp;DATE(年度+2018,8,1))</f>
        <v>0</v>
      </c>
      <c r="G9" s="749">
        <f>SUMIFS('予算差引簿（長）'!$M$134:$M$145,'予算差引簿（長）'!$O$134:$O$145,"確認済",'予算差引簿（長）'!$K$134:$K$145,"&gt;="&amp;DATE(年度+2018,8,1),'予算差引簿（長）'!$K$134:$K$145,"&lt;"&amp;DATE(年度+2018,9,1))</f>
        <v>0</v>
      </c>
      <c r="H9" s="749">
        <f>SUMIFS('予算差引簿（長）'!$M$134:$M$145,'予算差引簿（長）'!$O$134:$O$145,"確認済",'予算差引簿（長）'!$K$134:$K$145,"&gt;="&amp;DATE(年度+2018,9,1),'予算差引簿（長）'!$K$134:$K$145,"&lt;"&amp;DATE(年度+2018,10,1))</f>
        <v>0</v>
      </c>
      <c r="I9" s="749">
        <f>SUMIFS('予算差引簿（長）'!$M$134:$M$145,'予算差引簿（長）'!$O$134:$O$145,"確認済",'予算差引簿（長）'!$K$134:$K$145,"&gt;="&amp;DATE(年度+2018,10,1),'予算差引簿（長）'!$K$134:$K$145,"&lt;"&amp;DATE(年度+2018,11,1))</f>
        <v>0</v>
      </c>
      <c r="J9" s="749">
        <f>SUMIFS('予算差引簿（長）'!$M$134:$M$145,'予算差引簿（長）'!$O$134:$O$145,"確認済",'予算差引簿（長）'!$K$134:$K$145,"&gt;="&amp;DATE(年度+2018,11,1),'予算差引簿（長）'!$K$134:$K$145,"&lt;"&amp;DATE(年度+2018,12,1))</f>
        <v>0</v>
      </c>
      <c r="K9" s="749">
        <f>SUMIFS('予算差引簿（長）'!$M$134:$M$145,'予算差引簿（長）'!$O$134:$O$145,"確認済",'予算差引簿（長）'!$K$134:$K$145,"&gt;="&amp;DATE(年度+2018,12,1),'予算差引簿（長）'!$K$134:$K$145,"&lt;"&amp;DATE(年度+2019,1,1))</f>
        <v>0</v>
      </c>
      <c r="L9" s="749">
        <f>SUMIFS('予算差引簿（長）'!$M$134:$M$145,'予算差引簿（長）'!$O$134:$O$145,"確認済",'予算差引簿（長）'!$K$134:$K$145,"&gt;="&amp;DATE(年度+2019,1,1),'予算差引簿（長）'!$K$134:$K$145,"&lt;"&amp;DATE(年度+2019,2,1))</f>
        <v>0</v>
      </c>
      <c r="M9" s="749">
        <f>SUMIFS('予算差引簿（長）'!$M$134:$M$145,'予算差引簿（長）'!$O$134:$O$145,"確認済",'予算差引簿（長）'!$K$134:$K$145,"&gt;="&amp;DATE(年度+2019,2,1),'予算差引簿（長）'!$K$134:$K$145,"&lt;"&amp;DATE(年度+2019,3,1))</f>
        <v>0</v>
      </c>
      <c r="N9" s="749">
        <f>SUMIFS('予算差引簿（長）'!$M$134:$M$145,'予算差引簿（長）'!$O$134:$O$145,"確認済",'予算差引簿（長）'!$K$134:$K$145,"&gt;="&amp;DATE(年度+2019,3,1),'予算差引簿（長）'!$K$134:$K$145,"&lt;"&amp;DATE(年度+2019,4,1))</f>
        <v>0</v>
      </c>
      <c r="O9" s="749">
        <f>SUMIFS('予算差引簿（長）未払'!$R$27:$R$38,'予算差引簿（長）未払'!$T$27:$T$38,"確認済")</f>
        <v>0</v>
      </c>
      <c r="P9" s="833">
        <f>SUM(C9:O9)</f>
        <v>0</v>
      </c>
      <c r="Q9" s="749">
        <f>'R7業務（長）'!$S$16</f>
        <v>0</v>
      </c>
      <c r="R9" s="749">
        <f>IF(Q9="","",Q9-P9)</f>
        <v>0</v>
      </c>
      <c r="S9" s="748" t="inlineStr">
        <is>
          <t>Y</t>
        </is>
      </c>
      <c r="T9" s="834" t="str">
        <f>IF(OR('予算差引簿（長）'!O131&lt;&gt;"",'予算差引簿（長）未払'!T24&lt;&gt;""),"行不足","")</f>
        <v/>
      </c>
    </row>
    <row r="10">
      <c r="A10" s="740" t="inlineStr">
        <is>
          <t>旅費</t>
        </is>
      </c>
      <c r="C10" s="749">
        <f>SUMIFS('予算差引簿（長）'!$C$57:$C$93,'予算差引簿（長）'!$E$57:$E$93,"確認済",'予算差引簿（長）'!$A$57:$A$93,"&gt;="&amp;DATE(年度+2018,4,1),'予算差引簿（長）'!$A$57:$A$93,"&lt;"&amp;DATE(年度+2018,5,1))</f>
        <v>0</v>
      </c>
      <c r="D10" s="749">
        <f>SUMIFS('予算差引簿（長）'!$C$57:$C$93,'予算差引簿（長）'!$E$57:$E$93,"確認済",'予算差引簿（長）'!$A$57:$A$93,"&gt;="&amp;DATE(年度+2018,5,1),'予算差引簿（長）'!$A$57:$A$93,"&lt;"&amp;DATE(年度+2018,6,1))</f>
        <v>0</v>
      </c>
      <c r="E10" s="749">
        <f>SUMIFS('予算差引簿（長）'!$C$57:$C$93,'予算差引簿（長）'!$E$57:$E$93,"確認済",'予算差引簿（長）'!$A$57:$A$93,"&gt;="&amp;DATE(年度+2018,6,1),'予算差引簿（長）'!$A$57:$A$93,"&lt;"&amp;DATE(年度+2018,7,1))</f>
        <v>43264</v>
      </c>
      <c r="F10" s="749">
        <f>SUMIFS('予算差引簿（長）'!$C$57:$C$93,'予算差引簿（長）'!$E$57:$E$93,"確認済",'予算差引簿（長）'!$A$57:$A$93,"&gt;="&amp;DATE(年度+2018,7,1),'予算差引簿（長）'!$A$57:$A$93,"&lt;"&amp;DATE(年度+2018,8,1))</f>
        <v>0</v>
      </c>
      <c r="G10" s="749">
        <f>SUMIFS('予算差引簿（長）'!$C$57:$C$93,'予算差引簿（長）'!$E$57:$E$93,"確認済",'予算差引簿（長）'!$A$57:$A$93,"&gt;="&amp;DATE(年度+2018,8,1),'予算差引簿（長）'!$A$57:$A$93,"&lt;"&amp;DATE(年度+2018,9,1))</f>
        <v>31712</v>
      </c>
      <c r="H10" s="749">
        <f>SUMIFS('予算差引簿（長）'!$C$57:$C$93,'予算差引簿（長）'!$E$57:$E$93,"確認済",'予算差引簿（長）'!$A$57:$A$93,"&gt;="&amp;DATE(年度+2018,9,1),'予算差引簿（長）'!$A$57:$A$93,"&lt;"&amp;DATE(年度+2018,10,1))</f>
        <v>0</v>
      </c>
      <c r="I10" s="749">
        <f>SUMIFS('予算差引簿（長）'!$C$57:$C$93,'予算差引簿（長）'!$E$57:$E$93,"確認済",'予算差引簿（長）'!$A$57:$A$93,"&gt;="&amp;DATE(年度+2018,10,1),'予算差引簿（長）'!$A$57:$A$93,"&lt;"&amp;DATE(年度+2018,11,1))</f>
        <v>21058</v>
      </c>
      <c r="J10" s="749">
        <f>SUMIFS('予算差引簿（長）'!$C$57:$C$93,'予算差引簿（長）'!$E$57:$E$93,"確認済",'予算差引簿（長）'!$A$57:$A$93,"&gt;="&amp;DATE(年度+2018,11,1),'予算差引簿（長）'!$A$57:$A$93,"&lt;"&amp;DATE(年度+2018,12,1))</f>
        <v>0</v>
      </c>
      <c r="K10" s="749">
        <f>SUMIFS('予算差引簿（長）'!$C$57:$C$93,'予算差引簿（長）'!$E$57:$E$93,"確認済",'予算差引簿（長）'!$A$57:$A$93,"&gt;="&amp;DATE(年度+2018,12,1),'予算差引簿（長）'!$A$57:$A$93,"&lt;"&amp;DATE(年度+2019,1,1))</f>
        <v>0</v>
      </c>
      <c r="L10" s="749">
        <f>SUMIFS('予算差引簿（長）'!$C$57:$C$93,'予算差引簿（長）'!$E$57:$E$93,"確認済",'予算差引簿（長）'!$A$57:$A$93,"&gt;="&amp;DATE(年度+2019,1,1),'予算差引簿（長）'!$A$57:$A$93,"&lt;"&amp;DATE(年度+2019,2,1))</f>
        <v>0</v>
      </c>
      <c r="M10" s="749">
        <f>SUMIFS('予算差引簿（長）'!$C$57:$C$93,'予算差引簿（長）'!$E$57:$E$93,"確認済",'予算差引簿（長）'!$A$57:$A$93,"&gt;="&amp;DATE(年度+2019,2,1),'予算差引簿（長）'!$A$57:$A$93,"&lt;"&amp;DATE(年度+2019,3,1))</f>
        <v>0</v>
      </c>
      <c r="N10" s="749">
        <f>SUMIFS('予算差引簿（長）'!$C$57:$C$93,'予算差引簿（長）'!$E$57:$E$93,"確認済",'予算差引簿（長）'!$A$57:$A$93,"&gt;="&amp;DATE(年度+2019,3,1),'予算差引簿（長）'!$A$57:$A$93,"&lt;"&amp;DATE(年度+2019,4,1))</f>
        <v>0</v>
      </c>
      <c r="O10" s="749">
        <f>SUMIFS('予算差引簿（長）未払'!$C$45:$C$56,'予算差引簿（長）未払'!$E$45:$E$56,"確認済")</f>
        <v>0</v>
      </c>
      <c r="P10" s="833">
        <f>SUM(C10:O10)</f>
        <v>96034</v>
      </c>
      <c r="Q10" s="749">
        <f>'R7業務（長）'!$S$11</f>
        <v>599000</v>
      </c>
      <c r="R10" s="749">
        <f>IF(Q10="","",Q10-P10)</f>
        <v>502966</v>
      </c>
      <c r="S10" s="748" t="inlineStr">
        <is>
          <t>Y</t>
        </is>
      </c>
      <c r="T10" s="834" t="str">
        <f>IF(OR('予算差引簿（長）'!E54&lt;&gt;"",'予算差引簿（長）未払'!E42&lt;&gt;""),"行不足","")</f>
        <v/>
      </c>
    </row>
    <row r="11">
      <c r="A11" s="740" t="inlineStr">
        <is>
          <t>委託費</t>
        </is>
      </c>
      <c r="C11" s="749">
        <f>SUMIFS('予算差引簿（長）'!$R$6:$R$43,'予算差引簿（長）'!$T$6:$T$43,"確認済",'予算差引簿（長）'!$P$6:$P$43,"&gt;="&amp;DATE(年度+2018,4,1),'予算差引簿（長）'!$P$6:$P$43,"&lt;"&amp;DATE(年度+2018,5,1))</f>
        <v>0</v>
      </c>
      <c r="D11" s="749">
        <f>SUMIFS('予算差引簿（長）'!$R$6:$R$43,'予算差引簿（長）'!$T$6:$T$43,"確認済",'予算差引簿（長）'!$P$6:$P$43,"&gt;="&amp;DATE(年度+2018,5,1),'予算差引簿（長）'!$P$6:$P$43,"&lt;"&amp;DATE(年度+2018,6,1))</f>
        <v>0</v>
      </c>
      <c r="E11" s="749">
        <f>SUMIFS('予算差引簿（長）'!$R$6:$R$43,'予算差引簿（長）'!$T$6:$T$43,"確認済",'予算差引簿（長）'!$P$6:$P$43,"&gt;="&amp;DATE(年度+2018,6,1),'予算差引簿（長）'!$P$6:$P$43,"&lt;"&amp;DATE(年度+2018,7,1))</f>
        <v>0</v>
      </c>
      <c r="F11" s="749">
        <f>SUMIFS('予算差引簿（長）'!$R$6:$R$43,'予算差引簿（長）'!$T$6:$T$43,"確認済",'予算差引簿（長）'!$P$6:$P$43,"&gt;="&amp;DATE(年度+2018,7,1),'予算差引簿（長）'!$P$6:$P$43,"&lt;"&amp;DATE(年度+2018,8,1))</f>
        <v>176854</v>
      </c>
      <c r="G11" s="749">
        <f>SUMIFS('予算差引簿（長）'!$R$6:$R$43,'予算差引簿（長）'!$T$6:$T$43,"確認済",'予算差引簿（長）'!$P$6:$P$43,"&gt;="&amp;DATE(年度+2018,8,1),'予算差引簿（長）'!$P$6:$P$43,"&lt;"&amp;DATE(年度+2018,9,1))</f>
        <v>1155425</v>
      </c>
      <c r="H11" s="749">
        <f>SUMIFS('予算差引簿（長）'!$R$6:$R$43,'予算差引簿（長）'!$T$6:$T$43,"確認済",'予算差引簿（長）'!$P$6:$P$43,"&gt;="&amp;DATE(年度+2018,9,1),'予算差引簿（長）'!$P$6:$P$43,"&lt;"&amp;DATE(年度+2018,10,1))</f>
        <v>340931</v>
      </c>
      <c r="I11" s="749">
        <f>SUMIFS('予算差引簿（長）'!$R$6:$R$43,'予算差引簿（長）'!$T$6:$T$43,"確認済",'予算差引簿（長）'!$P$6:$P$43,"&gt;="&amp;DATE(年度+2018,10,1),'予算差引簿（長）'!$P$6:$P$43,"&lt;"&amp;DATE(年度+2018,11,1))</f>
        <v>99509</v>
      </c>
      <c r="J11" s="749">
        <f>SUMIFS('予算差引簿（長）'!$R$6:$R$43,'予算差引簿（長）'!$T$6:$T$43,"確認済",'予算差引簿（長）'!$P$6:$P$43,"&gt;="&amp;DATE(年度+2018,11,1),'予算差引簿（長）'!$P$6:$P$43,"&lt;"&amp;DATE(年度+2018,12,1))</f>
        <v>0</v>
      </c>
      <c r="K11" s="749">
        <f>SUMIFS('予算差引簿（長）'!$R$6:$R$43,'予算差引簿（長）'!$T$6:$T$43,"確認済",'予算差引簿（長）'!$P$6:$P$43,"&gt;="&amp;DATE(年度+2018,12,1),'予算差引簿（長）'!$P$6:$P$43,"&lt;"&amp;DATE(年度+2019,1,1))</f>
        <v>0</v>
      </c>
      <c r="L11" s="749">
        <f>SUMIFS('予算差引簿（長）'!$R$6:$R$43,'予算差引簿（長）'!$T$6:$T$43,"確認済",'予算差引簿（長）'!$P$6:$P$43,"&gt;="&amp;DATE(年度+2019,1,1),'予算差引簿（長）'!$P$6:$P$43,"&lt;"&amp;DATE(年度+2019,2,1))</f>
        <v>0</v>
      </c>
      <c r="M11" s="749">
        <f>SUMIFS('予算差引簿（長）'!$R$6:$R$43,'予算差引簿（長）'!$T$6:$T$43,"確認済",'予算差引簿（長）'!$P$6:$P$43,"&gt;="&amp;DATE(年度+2019,2,1),'予算差引簿（長）'!$P$6:$P$43,"&lt;"&amp;DATE(年度+2019,3,1))</f>
        <v>0</v>
      </c>
      <c r="N11" s="749">
        <f>SUMIFS('予算差引簿（長）'!$R$6:$R$43,'予算差引簿（長）'!$T$6:$T$43,"確認済",'予算差引簿（長）'!$P$6:$P$43,"&gt;="&amp;DATE(年度+2019,3,1),'予算差引簿（長）'!$P$6:$P$43,"&lt;"&amp;DATE(年度+2019,4,1))</f>
        <v>0</v>
      </c>
      <c r="O11" s="749">
        <f>SUMIFS('予算差引簿（長）未払'!$H$6:$H$19,'予算差引簿（長）未払'!$J$6:$J$19,"確認済")</f>
        <v>0</v>
      </c>
      <c r="P11" s="833">
        <f>SUM(C11:O11)</f>
        <v>1772719</v>
      </c>
      <c r="Q11" s="749">
        <f>'R7業務（長）'!$S$20</f>
        <v>2575000</v>
      </c>
      <c r="R11" s="749">
        <f>IF(Q11="","",Q11-P11)</f>
        <v>802281</v>
      </c>
      <c r="S11" s="748" t="inlineStr">
        <is>
          <t>Y</t>
        </is>
      </c>
      <c r="T11" s="834" t="str">
        <f>IF(OR('予算差引簿（長）'!T3&lt;&gt;"",'予算差引簿（長）未払'!J3&lt;&gt;""),"行不足","")</f>
        <v/>
      </c>
    </row>
    <row r="12">
      <c r="A12" s="740" t="inlineStr">
        <is>
          <t>賃借料</t>
        </is>
      </c>
      <c r="C12" s="749">
        <f>SUMIFS('予算差引簿（長）'!$H$57:$H$92,'予算差引簿（長）'!$J$57:$J$92,"確認済",'予算差引簿（長）'!$F$57:$F$92,"&gt;="&amp;DATE(年度+2018,4,1),'予算差引簿（長）'!$F$57:$F$92,"&lt;"&amp;DATE(年度+2018,5,1))</f>
        <v>0</v>
      </c>
      <c r="D12" s="749">
        <f>SUMIFS('予算差引簿（長）'!$H$57:$H$92,'予算差引簿（長）'!$J$57:$J$92,"確認済",'予算差引簿（長）'!$F$57:$F$92,"&gt;="&amp;DATE(年度+2018,5,1),'予算差引簿（長）'!$F$57:$F$92,"&lt;"&amp;DATE(年度+2018,6,1))</f>
        <v>69613</v>
      </c>
      <c r="E12" s="749">
        <f>SUMIFS('予算差引簿（長）'!$H$57:$H$92,'予算差引簿（長）'!$J$57:$J$92,"確認済",'予算差引簿（長）'!$F$57:$F$92,"&gt;="&amp;DATE(年度+2018,6,1),'予算差引簿（長）'!$F$57:$F$92,"&lt;"&amp;DATE(年度+2018,7,1))</f>
        <v>69613</v>
      </c>
      <c r="F12" s="749">
        <f>SUMIFS('予算差引簿（長）'!$H$57:$H$92,'予算差引簿（長）'!$J$57:$J$92,"確認済",'予算差引簿（長）'!$F$57:$F$92,"&gt;="&amp;DATE(年度+2018,7,1),'予算差引簿（長）'!$F$57:$F$92,"&lt;"&amp;DATE(年度+2018,8,1))</f>
        <v>69613</v>
      </c>
      <c r="G12" s="749">
        <f>SUMIFS('予算差引簿（長）'!$H$57:$H$92,'予算差引簿（長）'!$J$57:$J$92,"確認済",'予算差引簿（長）'!$F$57:$F$92,"&gt;="&amp;DATE(年度+2018,8,1),'予算差引簿（長）'!$F$57:$F$92,"&lt;"&amp;DATE(年度+2018,9,1))</f>
        <v>69613</v>
      </c>
      <c r="H12" s="749">
        <f>SUMIFS('予算差引簿（長）'!$H$57:$H$92,'予算差引簿（長）'!$J$57:$J$92,"確認済",'予算差引簿（長）'!$F$57:$F$92,"&gt;="&amp;DATE(年度+2018,9,1),'予算差引簿（長）'!$F$57:$F$92,"&lt;"&amp;DATE(年度+2018,10,1))</f>
        <v>69613</v>
      </c>
      <c r="I12" s="749">
        <f>SUMIFS('予算差引簿（長）'!$H$57:$H$92,'予算差引簿（長）'!$J$57:$J$92,"確認済",'予算差引簿（長）'!$F$57:$F$92,"&gt;="&amp;DATE(年度+2018,10,1),'予算差引簿（長）'!$F$57:$F$92,"&lt;"&amp;DATE(年度+2018,11,1))</f>
        <v>69613</v>
      </c>
      <c r="J12" s="749">
        <f>SUMIFS('予算差引簿（長）'!$H$57:$H$92,'予算差引簿（長）'!$J$57:$J$92,"確認済",'予算差引簿（長）'!$F$57:$F$92,"&gt;="&amp;DATE(年度+2018,11,1),'予算差引簿（長）'!$F$57:$F$92,"&lt;"&amp;DATE(年度+2018,12,1))</f>
        <v>87450</v>
      </c>
      <c r="K12" s="749">
        <f>SUMIFS('予算差引簿（長）'!$H$57:$H$92,'予算差引簿（長）'!$J$57:$J$92,"確認済",'予算差引簿（長）'!$F$57:$F$92,"&gt;="&amp;DATE(年度+2018,12,1),'予算差引簿（長）'!$F$57:$F$92,"&lt;"&amp;DATE(年度+2019,1,1))</f>
        <v>0</v>
      </c>
      <c r="L12" s="749">
        <f>SUMIFS('予算差引簿（長）'!$H$57:$H$92,'予算差引簿（長）'!$J$57:$J$92,"確認済",'予算差引簿（長）'!$F$57:$F$92,"&gt;="&amp;DATE(年度+2019,1,1),'予算差引簿（長）'!$F$57:$F$92,"&lt;"&amp;DATE(年度+2019,2,1))</f>
        <v>0</v>
      </c>
      <c r="M12" s="749">
        <f>SUMIFS('予算差引簿（長）'!$H$57:$H$92,'予算差引簿（長）'!$J$57:$J$92,"確認済",'予算差引簿（長）'!$F$57:$F$92,"&gt;="&amp;DATE(年度+2019,2,1),'予算差引簿（長）'!$F$57:$F$92,"&lt;"&amp;DATE(年度+2019,3,1))</f>
        <v>0</v>
      </c>
      <c r="N12" s="749">
        <f>SUMIFS('予算差引簿（長）'!$H$57:$H$92,'予算差引簿（長）'!$J$57:$J$92,"確認済",'予算差引簿（長）'!$F$57:$F$92,"&gt;="&amp;DATE(年度+2019,3,1),'予算差引簿（長）'!$F$57:$F$92,"&lt;"&amp;DATE(年度+2019,4,1))</f>
        <v>0</v>
      </c>
      <c r="O12" s="749">
        <f>SUMIFS('予算差引簿（長）未払'!$C$6:$C$20,'予算差引簿（長）未払'!$E$6:$E$20,"確認済")</f>
        <v>0</v>
      </c>
      <c r="P12" s="833">
        <f>SUM(C12:O12)</f>
        <v>505128</v>
      </c>
      <c r="Q12" s="749">
        <f>'R7業務（長）'!$S$23</f>
        <v>1027000</v>
      </c>
      <c r="R12" s="749">
        <f>IF(Q12="","",Q12-P12)</f>
        <v>521872</v>
      </c>
      <c r="S12" s="748" t="inlineStr">
        <is>
          <t>Y</t>
        </is>
      </c>
      <c r="T12" s="834" t="str">
        <f>IF(OR('予算差引簿（長）'!J54&lt;&gt;"",'予算差引簿（長）未払'!E3&lt;&gt;""),"行不足","")</f>
        <v/>
      </c>
    </row>
    <row r="13">
      <c r="A13" s="740" t="inlineStr">
        <is>
          <t>厚生費</t>
        </is>
      </c>
      <c r="C13" s="749">
        <f>SUMIFS('予算差引簿（長）'!$C$134:$C$149,'予算差引簿（長）'!$E$134:$E$149,"確認済",'予算差引簿（長）'!$A$134:$A$149,"&gt;="&amp;DATE(年度+2018,4,1),'予算差引簿（長）'!$A$134:$A$149,"&lt;"&amp;DATE(年度+2018,5,1))</f>
        <v>0</v>
      </c>
      <c r="D13" s="749">
        <f>SUMIFS('予算差引簿（長）'!$C$134:$C$149,'予算差引簿（長）'!$E$134:$E$149,"確認済",'予算差引簿（長）'!$A$134:$A$149,"&gt;="&amp;DATE(年度+2018,5,1),'予算差引簿（長）'!$A$134:$A$149,"&lt;"&amp;DATE(年度+2018,6,1))</f>
        <v>0</v>
      </c>
      <c r="E13" s="749">
        <f>SUMIFS('予算差引簿（長）'!$C$134:$C$149,'予算差引簿（長）'!$E$134:$E$149,"確認済",'予算差引簿（長）'!$A$134:$A$149,"&gt;="&amp;DATE(年度+2018,6,1),'予算差引簿（長）'!$A$134:$A$149,"&lt;"&amp;DATE(年度+2018,7,1))</f>
        <v>0</v>
      </c>
      <c r="F13" s="749">
        <f>SUMIFS('予算差引簿（長）'!$C$134:$C$149,'予算差引簿（長）'!$E$134:$E$149,"確認済",'予算差引簿（長）'!$A$134:$A$149,"&gt;="&amp;DATE(年度+2018,7,1),'予算差引簿（長）'!$A$134:$A$149,"&lt;"&amp;DATE(年度+2018,8,1))</f>
        <v>0</v>
      </c>
      <c r="G13" s="749">
        <f>SUMIFS('予算差引簿（長）'!$C$134:$C$149,'予算差引簿（長）'!$E$134:$E$149,"確認済",'予算差引簿（長）'!$A$134:$A$149,"&gt;="&amp;DATE(年度+2018,8,1),'予算差引簿（長）'!$A$134:$A$149,"&lt;"&amp;DATE(年度+2018,9,1))</f>
        <v>1980</v>
      </c>
      <c r="H13" s="749">
        <f>SUMIFS('予算差引簿（長）'!$C$134:$C$149,'予算差引簿（長）'!$E$134:$E$149,"確認済",'予算差引簿（長）'!$A$134:$A$149,"&gt;="&amp;DATE(年度+2018,9,1),'予算差引簿（長）'!$A$134:$A$149,"&lt;"&amp;DATE(年度+2018,10,1))</f>
        <v>1980</v>
      </c>
      <c r="I13" s="749">
        <f>SUMIFS('予算差引簿（長）'!$C$134:$C$149,'予算差引簿（長）'!$E$134:$E$149,"確認済",'予算差引簿（長）'!$A$134:$A$149,"&gt;="&amp;DATE(年度+2018,10,1),'予算差引簿（長）'!$A$134:$A$149,"&lt;"&amp;DATE(年度+2018,11,1))</f>
        <v>0</v>
      </c>
      <c r="J13" s="749">
        <f>SUMIFS('予算差引簿（長）'!$C$134:$C$149,'予算差引簿（長）'!$E$134:$E$149,"確認済",'予算差引簿（長）'!$A$134:$A$149,"&gt;="&amp;DATE(年度+2018,11,1),'予算差引簿（長）'!$A$134:$A$149,"&lt;"&amp;DATE(年度+2018,12,1))</f>
        <v>0</v>
      </c>
      <c r="K13" s="749">
        <f>SUMIFS('予算差引簿（長）'!$C$134:$C$149,'予算差引簿（長）'!$E$134:$E$149,"確認済",'予算差引簿（長）'!$A$134:$A$149,"&gt;="&amp;DATE(年度+2018,12,1),'予算差引簿（長）'!$A$134:$A$149,"&lt;"&amp;DATE(年度+2019,1,1))</f>
        <v>0</v>
      </c>
      <c r="L13" s="749">
        <f>SUMIFS('予算差引簿（長）'!$C$134:$C$149,'予算差引簿（長）'!$E$134:$E$149,"確認済",'予算差引簿（長）'!$A$134:$A$149,"&gt;="&amp;DATE(年度+2019,1,1),'予算差引簿（長）'!$A$134:$A$149,"&lt;"&amp;DATE(年度+2019,2,1))</f>
        <v>0</v>
      </c>
      <c r="M13" s="749">
        <f>SUMIFS('予算差引簿（長）'!$C$134:$C$149,'予算差引簿（長）'!$E$134:$E$149,"確認済",'予算差引簿（長）'!$A$134:$A$149,"&gt;="&amp;DATE(年度+2019,2,1),'予算差引簿（長）'!$A$134:$A$149,"&lt;"&amp;DATE(年度+2019,3,1))</f>
        <v>0</v>
      </c>
      <c r="N13" s="749">
        <f>SUMIFS('予算差引簿（長）'!$C$134:$C$149,'予算差引簿（長）'!$E$134:$E$149,"確認済",'予算差引簿（長）'!$A$134:$A$149,"&gt;="&amp;DATE(年度+2019,3,1),'予算差引簿（長）'!$A$134:$A$149,"&lt;"&amp;DATE(年度+2019,4,1))</f>
        <v>0</v>
      </c>
      <c r="O13" s="749">
        <f>SUMIFS('予算差引簿（長）未払'!$H$45:$H$56,'予算差引簿（長）未払'!$J$45:$J$56,"確認済")</f>
        <v>0</v>
      </c>
      <c r="P13" s="833">
        <f>SUM(C13:O13)</f>
        <v>3960</v>
      </c>
      <c r="Q13" s="749">
        <f>'R7業務（長）'!$S$10</f>
        <v>25000</v>
      </c>
      <c r="R13" s="749">
        <f>IF(Q13="","",Q13-P13)</f>
        <v>21040</v>
      </c>
      <c r="S13" s="748" t="inlineStr">
        <is>
          <t>Y</t>
        </is>
      </c>
      <c r="T13" s="834" t="str">
        <f>IF(OR('予算差引簿（長）'!E131&lt;&gt;"",'予算差引簿（長）未払'!J42&lt;&gt;""),"行不足","")</f>
        <v/>
      </c>
    </row>
    <row r="14">
      <c r="A14" s="740" t="inlineStr">
        <is>
          <t>普及費</t>
        </is>
      </c>
      <c r="C14" s="749">
        <f>SUMIFS('予算差引簿（長）'!$R$134:$R$145,'予算差引簿（長）'!$T$134:$T$145,"確認済",'予算差引簿（長）'!$P$134:$P$145,"&gt;="&amp;DATE(年度+2018,4,1),'予算差引簿（長）'!$P$134:$P$145,"&lt;"&amp;DATE(年度+2018,5,1))</f>
        <v>0</v>
      </c>
      <c r="D14" s="749">
        <f>SUMIFS('予算差引簿（長）'!$R$134:$R$145,'予算差引簿（長）'!$T$134:$T$145,"確認済",'予算差引簿（長）'!$P$134:$P$145,"&gt;="&amp;DATE(年度+2018,5,1),'予算差引簿（長）'!$P$134:$P$145,"&lt;"&amp;DATE(年度+2018,6,1))</f>
        <v>0</v>
      </c>
      <c r="E14" s="749">
        <f>SUMIFS('予算差引簿（長）'!$R$134:$R$145,'予算差引簿（長）'!$T$134:$T$145,"確認済",'予算差引簿（長）'!$P$134:$P$145,"&gt;="&amp;DATE(年度+2018,6,1),'予算差引簿（長）'!$P$134:$P$145,"&lt;"&amp;DATE(年度+2018,7,1))</f>
        <v>0</v>
      </c>
      <c r="F14" s="749">
        <f>SUMIFS('予算差引簿（長）'!$R$134:$R$145,'予算差引簿（長）'!$T$134:$T$145,"確認済",'予算差引簿（長）'!$P$134:$P$145,"&gt;="&amp;DATE(年度+2018,7,1),'予算差引簿（長）'!$P$134:$P$145,"&lt;"&amp;DATE(年度+2018,8,1))</f>
        <v>0</v>
      </c>
      <c r="G14" s="749">
        <f>SUMIFS('予算差引簿（長）'!$R$134:$R$145,'予算差引簿（長）'!$T$134:$T$145,"確認済",'予算差引簿（長）'!$P$134:$P$145,"&gt;="&amp;DATE(年度+2018,8,1),'予算差引簿（長）'!$P$134:$P$145,"&lt;"&amp;DATE(年度+2018,9,1))</f>
        <v>0</v>
      </c>
      <c r="H14" s="749">
        <f>SUMIFS('予算差引簿（長）'!$R$134:$R$145,'予算差引簿（長）'!$T$134:$T$145,"確認済",'予算差引簿（長）'!$P$134:$P$145,"&gt;="&amp;DATE(年度+2018,9,1),'予算差引簿（長）'!$P$134:$P$145,"&lt;"&amp;DATE(年度+2018,10,1))</f>
        <v>0</v>
      </c>
      <c r="I14" s="749">
        <f>SUMIFS('予算差引簿（長）'!$R$134:$R$145,'予算差引簿（長）'!$T$134:$T$145,"確認済",'予算差引簿（長）'!$P$134:$P$145,"&gt;="&amp;DATE(年度+2018,10,1),'予算差引簿（長）'!$P$134:$P$145,"&lt;"&amp;DATE(年度+2018,11,1))</f>
        <v>165090</v>
      </c>
      <c r="J14" s="749">
        <f>SUMIFS('予算差引簿（長）'!$R$134:$R$145,'予算差引簿（長）'!$T$134:$T$145,"確認済",'予算差引簿（長）'!$P$134:$P$145,"&gt;="&amp;DATE(年度+2018,11,1),'予算差引簿（長）'!$P$134:$P$145,"&lt;"&amp;DATE(年度+2018,12,1))</f>
        <v>0</v>
      </c>
      <c r="K14" s="749">
        <f>SUMIFS('予算差引簿（長）'!$R$134:$R$145,'予算差引簿（長）'!$T$134:$T$145,"確認済",'予算差引簿（長）'!$P$134:$P$145,"&gt;="&amp;DATE(年度+2018,12,1),'予算差引簿（長）'!$P$134:$P$145,"&lt;"&amp;DATE(年度+2019,1,1))</f>
        <v>0</v>
      </c>
      <c r="L14" s="749">
        <f>SUMIFS('予算差引簿（長）'!$R$134:$R$145,'予算差引簿（長）'!$T$134:$T$145,"確認済",'予算差引簿（長）'!$P$134:$P$145,"&gt;="&amp;DATE(年度+2019,1,1),'予算差引簿（長）'!$P$134:$P$145,"&lt;"&amp;DATE(年度+2019,2,1))</f>
        <v>0</v>
      </c>
      <c r="M14" s="749">
        <f>SUMIFS('予算差引簿（長）'!$R$134:$R$145,'予算差引簿（長）'!$T$134:$T$145,"確認済",'予算差引簿（長）'!$P$134:$P$145,"&gt;="&amp;DATE(年度+2019,2,1),'予算差引簿（長）'!$P$134:$P$145,"&lt;"&amp;DATE(年度+2019,3,1))</f>
        <v>0</v>
      </c>
      <c r="N14" s="749">
        <f>SUMIFS('予算差引簿（長）'!$R$134:$R$145,'予算差引簿（長）'!$T$134:$T$145,"確認済",'予算差引簿（長）'!$P$134:$P$145,"&gt;="&amp;DATE(年度+2019,3,1),'予算差引簿（長）'!$P$134:$P$145,"&lt;"&amp;DATE(年度+2019,4,1))</f>
        <v>0</v>
      </c>
      <c r="O14" s="749">
        <f>SUMIFS('予算差引簿（長）未払'!$M$45:$M$56,'予算差引簿（長）未払'!$O$45:$O$56,"確認済")</f>
        <v>0</v>
      </c>
      <c r="P14" s="833">
        <f>SUM(C14:O14)</f>
        <v>165090</v>
      </c>
      <c r="Q14" s="749">
        <f>'R7業務（長）'!$S$24</f>
        <v>993000</v>
      </c>
      <c r="R14" s="749">
        <f>IF(Q14="","",Q14-P14)</f>
        <v>827910</v>
      </c>
      <c r="S14" s="748" t="inlineStr">
        <is>
          <t>Y</t>
        </is>
      </c>
      <c r="T14" s="834" t="str">
        <f>IF(OR('予算差引簿（長）'!T131&lt;&gt;"",'予算差引簿（長）未払'!O42&lt;&gt;""),"行不足","")</f>
        <v/>
      </c>
    </row>
    <row r="15">
      <c r="A15" s="740" t="inlineStr">
        <is>
          <t>光熱水料</t>
        </is>
      </c>
      <c r="C15" s="749">
        <f>SUMIFS('予算差引簿（長）'!$C$156:$C$167,'予算差引簿（長）'!$E$156:$E$167,"確認済",'予算差引簿（長）'!$A$156:$A$167,"&gt;="&amp;DATE(年度+2018,4,1),'予算差引簿（長）'!$A$156:$A$167,"&lt;"&amp;DATE(年度+2018,5,1))</f>
        <v>0</v>
      </c>
      <c r="D15" s="749">
        <f>SUMIFS('予算差引簿（長）'!$C$156:$C$167,'予算差引簿（長）'!$E$156:$E$167,"確認済",'予算差引簿（長）'!$A$156:$A$167,"&gt;="&amp;DATE(年度+2018,5,1),'予算差引簿（長）'!$A$156:$A$167,"&lt;"&amp;DATE(年度+2018,6,1))</f>
        <v>0</v>
      </c>
      <c r="E15" s="749">
        <f>SUMIFS('予算差引簿（長）'!$C$156:$C$167,'予算差引簿（長）'!$E$156:$E$167,"確認済",'予算差引簿（長）'!$A$156:$A$167,"&gt;="&amp;DATE(年度+2018,6,1),'予算差引簿（長）'!$A$156:$A$167,"&lt;"&amp;DATE(年度+2018,7,1))</f>
        <v>0</v>
      </c>
      <c r="F15" s="749">
        <f>SUMIFS('予算差引簿（長）'!$C$156:$C$167,'予算差引簿（長）'!$E$156:$E$167,"確認済",'予算差引簿（長）'!$A$156:$A$167,"&gt;="&amp;DATE(年度+2018,7,1),'予算差引簿（長）'!$A$156:$A$167,"&lt;"&amp;DATE(年度+2018,8,1))</f>
        <v>0</v>
      </c>
      <c r="G15" s="749">
        <f>SUMIFS('予算差引簿（長）'!$C$156:$C$167,'予算差引簿（長）'!$E$156:$E$167,"確認済",'予算差引簿（長）'!$A$156:$A$167,"&gt;="&amp;DATE(年度+2018,8,1),'予算差引簿（長）'!$A$156:$A$167,"&lt;"&amp;DATE(年度+2018,9,1))</f>
        <v>0</v>
      </c>
      <c r="H15" s="749">
        <f>SUMIFS('予算差引簿（長）'!$C$156:$C$167,'予算差引簿（長）'!$E$156:$E$167,"確認済",'予算差引簿（長）'!$A$156:$A$167,"&gt;="&amp;DATE(年度+2018,9,1),'予算差引簿（長）'!$A$156:$A$167,"&lt;"&amp;DATE(年度+2018,10,1))</f>
        <v>0</v>
      </c>
      <c r="I15" s="749">
        <f>SUMIFS('予算差引簿（長）'!$C$156:$C$167,'予算差引簿（長）'!$E$156:$E$167,"確認済",'予算差引簿（長）'!$A$156:$A$167,"&gt;="&amp;DATE(年度+2018,10,1),'予算差引簿（長）'!$A$156:$A$167,"&lt;"&amp;DATE(年度+2018,11,1))</f>
        <v>0</v>
      </c>
      <c r="J15" s="749">
        <f>SUMIFS('予算差引簿（長）'!$C$156:$C$167,'予算差引簿（長）'!$E$156:$E$167,"確認済",'予算差引簿（長）'!$A$156:$A$167,"&gt;="&amp;DATE(年度+2018,11,1),'予算差引簿（長）'!$A$156:$A$167,"&lt;"&amp;DATE(年度+2018,12,1))</f>
        <v>0</v>
      </c>
      <c r="K15" s="749">
        <f>SUMIFS('予算差引簿（長）'!$C$156:$C$167,'予算差引簿（長）'!$E$156:$E$167,"確認済",'予算差引簿（長）'!$A$156:$A$167,"&gt;="&amp;DATE(年度+2018,12,1),'予算差引簿（長）'!$A$156:$A$167,"&lt;"&amp;DATE(年度+2019,1,1))</f>
        <v>0</v>
      </c>
      <c r="L15" s="749">
        <f>SUMIFS('予算差引簿（長）'!$C$156:$C$167,'予算差引簿（長）'!$E$156:$E$167,"確認済",'予算差引簿（長）'!$A$156:$A$167,"&gt;="&amp;DATE(年度+2019,1,1),'予算差引簿（長）'!$A$156:$A$167,"&lt;"&amp;DATE(年度+2019,2,1))</f>
        <v>0</v>
      </c>
      <c r="M15" s="749">
        <f>SUMIFS('予算差引簿（長）'!$C$156:$C$167,'予算差引簿（長）'!$E$156:$E$167,"確認済",'予算差引簿（長）'!$A$156:$A$167,"&gt;="&amp;DATE(年度+2019,2,1),'予算差引簿（長）'!$A$156:$A$167,"&lt;"&amp;DATE(年度+2019,3,1))</f>
        <v>0</v>
      </c>
      <c r="N15" s="749">
        <f>SUMIFS('予算差引簿（長）'!$C$156:$C$167,'予算差引簿（長）'!$E$156:$E$167,"確認済",'予算差引簿（長）'!$A$156:$A$167,"&gt;="&amp;DATE(年度+2019,3,1),'予算差引簿（長）'!$A$156:$A$167,"&lt;"&amp;DATE(年度+2019,4,1))</f>
        <v>0</v>
      </c>
      <c r="O15" s="749">
        <f>SUMIFS('予算差引簿（長）未払'!$R$45:$R$56,'予算差引簿（長）未払'!$T$45:$T$56,"確認済")</f>
        <v>0</v>
      </c>
      <c r="P15" s="833">
        <f>SUM(C15:O15)</f>
        <v>0</v>
      </c>
      <c r="Q15" s="749">
        <f>'R7業務（長）'!$S$21</f>
        <v>102000</v>
      </c>
      <c r="R15" s="749">
        <f>IF(Q15="","",Q15-P15)</f>
        <v>102000</v>
      </c>
      <c r="S15" s="748" t="inlineStr">
        <is>
          <t>Y</t>
        </is>
      </c>
      <c r="T15" s="834" t="str">
        <f>IF(OR('予算差引簿（長）'!E153&lt;&gt;"",'予算差引簿（長）未払'!T42&lt;&gt;""),"行不足","")</f>
        <v/>
      </c>
    </row>
    <row r="16">
      <c r="A16" s="740" t="inlineStr">
        <is>
          <t>修繕費</t>
        </is>
      </c>
      <c r="C16" s="749">
        <f>SUMIFS('予算差引簿（長）'!$H$156:$H$167,'予算差引簿（長）'!$J$156:$J$167,"確認済",'予算差引簿（長）'!$F$156:$F$167,"&gt;="&amp;DATE(年度+2018,4,1),'予算差引簿（長）'!$F$156:$F$167,"&lt;"&amp;DATE(年度+2018,5,1))</f>
        <v>0</v>
      </c>
      <c r="D16" s="749">
        <f>SUMIFS('予算差引簿（長）'!$H$156:$H$167,'予算差引簿（長）'!$J$156:$J$167,"確認済",'予算差引簿（長）'!$F$156:$F$167,"&gt;="&amp;DATE(年度+2018,5,1),'予算差引簿（長）'!$F$156:$F$167,"&lt;"&amp;DATE(年度+2018,6,1))</f>
        <v>0</v>
      </c>
      <c r="E16" s="749">
        <f>SUMIFS('予算差引簿（長）'!$H$156:$H$167,'予算差引簿（長）'!$J$156:$J$167,"確認済",'予算差引簿（長）'!$F$156:$F$167,"&gt;="&amp;DATE(年度+2018,6,1),'予算差引簿（長）'!$F$156:$F$167,"&lt;"&amp;DATE(年度+2018,7,1))</f>
        <v>0</v>
      </c>
      <c r="F16" s="749">
        <f>SUMIFS('予算差引簿（長）'!$H$156:$H$167,'予算差引簿（長）'!$J$156:$J$167,"確認済",'予算差引簿（長）'!$F$156:$F$167,"&gt;="&amp;DATE(年度+2018,7,1),'予算差引簿（長）'!$F$156:$F$167,"&lt;"&amp;DATE(年度+2018,8,1))</f>
        <v>0</v>
      </c>
      <c r="G16" s="749">
        <f>SUMIFS('予算差引簿（長）'!$H$156:$H$167,'予算差引簿（長）'!$J$156:$J$167,"確認済",'予算差引簿（長）'!$F$156:$F$167,"&gt;="&amp;DATE(年度+2018,8,1),'予算差引簿（長）'!$F$156:$F$167,"&lt;"&amp;DATE(年度+2018,9,1))</f>
        <v>0</v>
      </c>
      <c r="H16" s="749">
        <f>SUMIFS('予算差引簿（長）'!$H$156:$H$167,'予算差引簿（長）'!$J$156:$J$167,"確認済",'予算差引簿（長）'!$F$156:$F$167,"&gt;="&amp;DATE(年度+2018,9,1),'予算差引簿（長）'!$F$156:$F$167,"&lt;"&amp;DATE(年度+2018,10,1))</f>
        <v>0</v>
      </c>
      <c r="I16" s="749">
        <f>SUMIFS('予算差引簿（長）'!$H$156:$H$167,'予算差引簿（長）'!$J$156:$J$167,"確認済",'予算差引簿（長）'!$F$156:$F$167,"&gt;="&amp;DATE(年度+2018,10,1),'予算差引簿（長）'!$F$156:$F$167,"&lt;"&amp;DATE(年度+2018,11,1))</f>
        <v>0</v>
      </c>
      <c r="J16" s="749">
        <f>SUMIFS('予算差引簿（長）'!$H$156:$H$167,'予算差引簿（長）'!$J$156:$J$167,"確認済",'予算差引簿（長）'!$F$156:$F$167,"&gt;="&amp;DATE(年度+2018,11,1),'予算差引簿（長）'!$F$156:$F$167,"&lt;"&amp;DATE(年度+2018,12,1))</f>
        <v>0</v>
      </c>
      <c r="K16" s="749">
        <f>SUMIFS('予算差引簿（長）'!$H$156:$H$167,'予算差引簿（長）'!$J$156:$J$167,"確認済",'予算差引簿（長）'!$F$156:$F$167,"&gt;="&amp;DATE(年度+2018,12,1),'予算差引簿（長）'!$F$156:$F$167,"&lt;"&amp;DATE(年度+2019,1,1))</f>
        <v>0</v>
      </c>
      <c r="L16" s="749">
        <f>SUMIFS('予算差引簿（長）'!$H$156:$H$167,'予算差引簿（長）'!$J$156:$J$167,"確認済",'予算差引簿（長）'!$F$156:$F$167,"&gt;="&amp;DATE(年度+2019,1,1),'予算差引簿（長）'!$F$156:$F$167,"&lt;"&amp;DATE(年度+2019,2,1))</f>
        <v>0</v>
      </c>
      <c r="M16" s="749">
        <f>SUMIFS('予算差引簿（長）'!$H$156:$H$167,'予算差引簿（長）'!$J$156:$J$167,"確認済",'予算差引簿（長）'!$F$156:$F$167,"&gt;="&amp;DATE(年度+2019,2,1),'予算差引簿（長）'!$F$156:$F$167,"&lt;"&amp;DATE(年度+2019,3,1))</f>
        <v>0</v>
      </c>
      <c r="N16" s="749">
        <f>SUMIFS('予算差引簿（長）'!$H$156:$H$167,'予算差引簿（長）'!$J$156:$J$167,"確認済",'予算差引簿（長）'!$F$156:$F$167,"&gt;="&amp;DATE(年度+2019,3,1),'予算差引簿（長）'!$F$156:$F$167,"&lt;"&amp;DATE(年度+2019,4,1))</f>
        <v>0</v>
      </c>
      <c r="O16" s="749">
        <f>SUMIFS('予算差引簿（長）未払'!$C$63:$C$74,'予算差引簿（長）未払'!$E$63:$E$74,"確認済")</f>
        <v>0</v>
      </c>
      <c r="P16" s="833">
        <f>SUM(C16:O16)</f>
        <v>0</v>
      </c>
      <c r="Q16" s="749">
        <f>'R7業務（長）'!$S$22</f>
        <v>0</v>
      </c>
      <c r="R16" s="749">
        <f>IF(Q16="","",Q16-P16)</f>
        <v>0</v>
      </c>
      <c r="S16" s="748" t="inlineStr">
        <is>
          <t>Y</t>
        </is>
      </c>
      <c r="T16" s="834" t="str">
        <f>IF(OR('予算差引簿（長）'!J153&lt;&gt;"",'予算差引簿（長）未払'!E60&lt;&gt;""),"行不足","")</f>
        <v/>
      </c>
    </row>
    <row r="17">
      <c r="A17" s="740" t="inlineStr">
        <is>
          <t>役員報酬</t>
        </is>
      </c>
      <c r="C17" s="749">
        <f>SUMIFS('予算差引簿（長）'!$M$156:$M$167,'予算差引簿（長）'!$O$156:$O$167,"確認済",'予算差引簿（長）'!$K$156:$K$167,"&gt;="&amp;DATE(年度+2018,4,1),'予算差引簿（長）'!$K$156:$K$167,"&lt;"&amp;DATE(年度+2018,5,1))</f>
        <v>0</v>
      </c>
      <c r="D17" s="749">
        <f>SUMIFS('予算差引簿（長）'!$M$156:$M$167,'予算差引簿（長）'!$O$156:$O$167,"確認済",'予算差引簿（長）'!$K$156:$K$167,"&gt;="&amp;DATE(年度+2018,5,1),'予算差引簿（長）'!$K$156:$K$167,"&lt;"&amp;DATE(年度+2018,6,1))</f>
        <v>0</v>
      </c>
      <c r="E17" s="749">
        <f>SUMIFS('予算差引簿（長）'!$M$156:$M$167,'予算差引簿（長）'!$O$156:$O$167,"確認済",'予算差引簿（長）'!$K$156:$K$167,"&gt;="&amp;DATE(年度+2018,6,1),'予算差引簿（長）'!$K$156:$K$167,"&lt;"&amp;DATE(年度+2018,7,1))</f>
        <v>11478</v>
      </c>
      <c r="F17" s="749">
        <f>SUMIFS('予算差引簿（長）'!$M$156:$M$167,'予算差引簿（長）'!$O$156:$O$167,"確認済",'予算差引簿（長）'!$K$156:$K$167,"&gt;="&amp;DATE(年度+2018,7,1),'予算差引簿（長）'!$K$156:$K$167,"&lt;"&amp;DATE(年度+2018,8,1))</f>
        <v>0</v>
      </c>
      <c r="G17" s="749">
        <f>SUMIFS('予算差引簿（長）'!$M$156:$M$167,'予算差引簿（長）'!$O$156:$O$167,"確認済",'予算差引簿（長）'!$K$156:$K$167,"&gt;="&amp;DATE(年度+2018,8,1),'予算差引簿（長）'!$K$156:$K$167,"&lt;"&amp;DATE(年度+2018,9,1))</f>
        <v>0</v>
      </c>
      <c r="H17" s="749">
        <f>SUMIFS('予算差引簿（長）'!$M$156:$M$167,'予算差引簿（長）'!$O$156:$O$167,"確認済",'予算差引簿（長）'!$K$156:$K$167,"&gt;="&amp;DATE(年度+2018,9,1),'予算差引簿（長）'!$K$156:$K$167,"&lt;"&amp;DATE(年度+2018,10,1))</f>
        <v>0</v>
      </c>
      <c r="I17" s="749">
        <f>SUMIFS('予算差引簿（長）'!$M$156:$M$167,'予算差引簿（長）'!$O$156:$O$167,"確認済",'予算差引簿（長）'!$K$156:$K$167,"&gt;="&amp;DATE(年度+2018,10,1),'予算差引簿（長）'!$K$156:$K$167,"&lt;"&amp;DATE(年度+2018,11,1))</f>
        <v>0</v>
      </c>
      <c r="J17" s="749">
        <f>SUMIFS('予算差引簿（長）'!$M$156:$M$167,'予算差引簿（長）'!$O$156:$O$167,"確認済",'予算差引簿（長）'!$K$156:$K$167,"&gt;="&amp;DATE(年度+2018,11,1),'予算差引簿（長）'!$K$156:$K$167,"&lt;"&amp;DATE(年度+2018,12,1))</f>
        <v>0</v>
      </c>
      <c r="K17" s="749">
        <f>SUMIFS('予算差引簿（長）'!$M$156:$M$167,'予算差引簿（長）'!$O$156:$O$167,"確認済",'予算差引簿（長）'!$K$156:$K$167,"&gt;="&amp;DATE(年度+2018,12,1),'予算差引簿（長）'!$K$156:$K$167,"&lt;"&amp;DATE(年度+2019,1,1))</f>
        <v>0</v>
      </c>
      <c r="L17" s="749">
        <f>SUMIFS('予算差引簿（長）'!$M$156:$M$167,'予算差引簿（長）'!$O$156:$O$167,"確認済",'予算差引簿（長）'!$K$156:$K$167,"&gt;="&amp;DATE(年度+2019,1,1),'予算差引簿（長）'!$K$156:$K$167,"&lt;"&amp;DATE(年度+2019,2,1))</f>
        <v>0</v>
      </c>
      <c r="M17" s="749">
        <f>SUMIFS('予算差引簿（長）'!$M$156:$M$167,'予算差引簿（長）'!$O$156:$O$167,"確認済",'予算差引簿（長）'!$K$156:$K$167,"&gt;="&amp;DATE(年度+2019,2,1),'予算差引簿（長）'!$K$156:$K$167,"&lt;"&amp;DATE(年度+2019,3,1))</f>
        <v>0</v>
      </c>
      <c r="N17" s="749">
        <f>SUMIFS('予算差引簿（長）'!$M$156:$M$167,'予算差引簿（長）'!$O$156:$O$167,"確認済",'予算差引簿（長）'!$K$156:$K$167,"&gt;="&amp;DATE(年度+2019,3,1),'予算差引簿（長）'!$K$156:$K$167,"&lt;"&amp;DATE(年度+2019,4,1))</f>
        <v>0</v>
      </c>
      <c r="O17" s="749">
        <f>SUMIFS('予算差引簿（長）未払'!$H$63:$H$74,'予算差引簿（長）未払'!$J$63:$J$74,"確認済")</f>
        <v>0</v>
      </c>
      <c r="P17" s="833">
        <f>SUM(C17:O17)</f>
        <v>11478</v>
      </c>
      <c r="Q17" s="749">
        <f>'R7業務（長）'!$S$4</f>
        <v>17000</v>
      </c>
      <c r="R17" s="749">
        <f>IF(Q17="","",Q17-P17)</f>
        <v>5522</v>
      </c>
      <c r="S17" s="748" t="inlineStr">
        <is>
          <t>Y</t>
        </is>
      </c>
      <c r="T17" s="834" t="str">
        <f>IF(OR('予算差引簿（長）'!O153&lt;&gt;"",'予算差引簿（長）未払'!J60&lt;&gt;""),"行不足","")</f>
        <v/>
      </c>
    </row>
    <row r="18">
      <c r="A18" s="740" t="inlineStr">
        <is>
          <t>連合会分担金</t>
        </is>
      </c>
      <c r="C18" s="749">
        <f>SUMIFS('予算差引簿（長）'!$R$156:$R$167,'予算差引簿（長）'!$T$156:$T$167,"確認済",'予算差引簿（長）'!$P$156:$P$167,"&gt;="&amp;DATE(年度+2018,4,1),'予算差引簿（長）'!$P$156:$P$167,"&lt;"&amp;DATE(年度+2018,5,1))</f>
        <v>0</v>
      </c>
      <c r="D18" s="749">
        <f>SUMIFS('予算差引簿（長）'!$R$156:$R$167,'予算差引簿（長）'!$T$156:$T$167,"確認済",'予算差引簿（長）'!$P$156:$P$167,"&gt;="&amp;DATE(年度+2018,5,1),'予算差引簿（長）'!$P$156:$P$167,"&lt;"&amp;DATE(年度+2018,6,1))</f>
        <v>0</v>
      </c>
      <c r="E18" s="749">
        <f>SUMIFS('予算差引簿（長）'!$R$156:$R$167,'予算差引簿（長）'!$T$156:$T$167,"確認済",'予算差引簿（長）'!$P$156:$P$167,"&gt;="&amp;DATE(年度+2018,6,1),'予算差引簿（長）'!$P$156:$P$167,"&lt;"&amp;DATE(年度+2018,7,1))</f>
        <v>0</v>
      </c>
      <c r="F18" s="749">
        <f>SUMIFS('予算差引簿（長）'!$R$156:$R$167,'予算差引簿（長）'!$T$156:$T$167,"確認済",'予算差引簿（長）'!$P$156:$P$167,"&gt;="&amp;DATE(年度+2018,7,1),'予算差引簿（長）'!$P$156:$P$167,"&lt;"&amp;DATE(年度+2018,8,1))</f>
        <v>0</v>
      </c>
      <c r="G18" s="749">
        <f>SUMIFS('予算差引簿（長）'!$R$156:$R$167,'予算差引簿（長）'!$T$156:$T$167,"確認済",'予算差引簿（長）'!$P$156:$P$167,"&gt;="&amp;DATE(年度+2018,8,1),'予算差引簿（長）'!$P$156:$P$167,"&lt;"&amp;DATE(年度+2018,9,1))</f>
        <v>0</v>
      </c>
      <c r="H18" s="749">
        <f>SUMIFS('予算差引簿（長）'!$R$156:$R$167,'予算差引簿（長）'!$T$156:$T$167,"確認済",'予算差引簿（長）'!$P$156:$P$167,"&gt;="&amp;DATE(年度+2018,9,1),'予算差引簿（長）'!$P$156:$P$167,"&lt;"&amp;DATE(年度+2018,10,1))</f>
        <v>0</v>
      </c>
      <c r="I18" s="749">
        <f>SUMIFS('予算差引簿（長）'!$R$156:$R$167,'予算差引簿（長）'!$T$156:$T$167,"確認済",'予算差引簿（長）'!$P$156:$P$167,"&gt;="&amp;DATE(年度+2018,10,1),'予算差引簿（長）'!$P$156:$P$167,"&lt;"&amp;DATE(年度+2018,11,1))</f>
        <v>0</v>
      </c>
      <c r="J18" s="749">
        <f>SUMIFS('予算差引簿（長）'!$R$156:$R$167,'予算差引簿（長）'!$T$156:$T$167,"確認済",'予算差引簿（長）'!$P$156:$P$167,"&gt;="&amp;DATE(年度+2018,11,1),'予算差引簿（長）'!$P$156:$P$167,"&lt;"&amp;DATE(年度+2018,12,1))</f>
        <v>0</v>
      </c>
      <c r="K18" s="749">
        <f>SUMIFS('予算差引簿（長）'!$R$156:$R$167,'予算差引簿（長）'!$T$156:$T$167,"確認済",'予算差引簿（長）'!$P$156:$P$167,"&gt;="&amp;DATE(年度+2018,12,1),'予算差引簿（長）'!$P$156:$P$167,"&lt;"&amp;DATE(年度+2019,1,1))</f>
        <v>0</v>
      </c>
      <c r="L18" s="749">
        <f>SUMIFS('予算差引簿（長）'!$R$156:$R$167,'予算差引簿（長）'!$T$156:$T$167,"確認済",'予算差引簿（長）'!$P$156:$P$167,"&gt;="&amp;DATE(年度+2019,1,1),'予算差引簿（長）'!$P$156:$P$167,"&lt;"&amp;DATE(年度+2019,2,1))</f>
        <v>0</v>
      </c>
      <c r="M18" s="749">
        <f>SUMIFS('予算差引簿（長）'!$R$156:$R$167,'予算差引簿（長）'!$T$156:$T$167,"確認済",'予算差引簿（長）'!$P$156:$P$167,"&gt;="&amp;DATE(年度+2019,2,1),'予算差引簿（長）'!$P$156:$P$167,"&lt;"&amp;DATE(年度+2019,3,1))</f>
        <v>0</v>
      </c>
      <c r="N18" s="749">
        <f>SUMIFS('予算差引簿（長）'!$R$156:$R$167,'予算差引簿（長）'!$T$156:$T$167,"確認済",'予算差引簿（長）'!$P$156:$P$167,"&gt;="&amp;DATE(年度+2019,3,1),'予算差引簿（長）'!$P$156:$P$167,"&lt;"&amp;DATE(年度+2019,4,1))</f>
        <v>0</v>
      </c>
      <c r="O18" s="749">
        <f>SUMIFS('予算差引簿（長）未払'!$M$63:$M$74,'予算差引簿（長）未払'!$O$63:$O$74,"確認済")</f>
        <v>0</v>
      </c>
      <c r="P18" s="833">
        <f>SUM(C18:O18)</f>
        <v>0</v>
      </c>
      <c r="Q18" s="749">
        <f>'R7業務（長）'!$S$34</f>
        <v>0</v>
      </c>
      <c r="R18" s="749">
        <f>IF(Q18="","",Q18-P18)</f>
        <v>0</v>
      </c>
      <c r="S18" s="748" t="inlineStr">
        <is>
          <t>Y</t>
        </is>
      </c>
      <c r="T18" s="834" t="str">
        <f>IF(OR('予算差引簿（長）'!T153&lt;&gt;"",'予算差引簿（長）未払'!O60&lt;&gt;""),"行不足","")</f>
        <v/>
      </c>
    </row>
    <row r="19">
      <c r="A19" s="740" t="inlineStr">
        <is>
          <t>非常勤職員手当</t>
        </is>
      </c>
      <c r="C19" s="749">
        <f>SUMIFS('予算差引簿（長）'!$M$57:$M$92,'予算差引簿（長）'!$O$57:$O$92,"確認済",'予算差引簿（長）'!$K$57:$K$92,"&gt;="&amp;DATE(年度+2018,4,1),'予算差引簿（長）'!$K$57:$K$92,"&lt;"&amp;DATE(年度+2018,5,1))</f>
        <v>380800</v>
      </c>
      <c r="D19" s="749">
        <f>SUMIFS('予算差引簿（長）'!$M$57:$M$92,'予算差引簿（長）'!$O$57:$O$92,"確認済",'予算差引簿（長）'!$K$57:$K$92,"&gt;="&amp;DATE(年度+2018,5,1),'予算差引簿（長）'!$K$57:$K$92,"&lt;"&amp;DATE(年度+2018,6,1))</f>
        <v>380800</v>
      </c>
      <c r="E19" s="749">
        <f>SUMIFS('予算差引簿（長）'!$M$57:$M$92,'予算差引簿（長）'!$O$57:$O$92,"確認済",'予算差引簿（長）'!$K$57:$K$92,"&gt;="&amp;DATE(年度+2018,6,1),'予算差引簿（長）'!$K$57:$K$92,"&lt;"&amp;DATE(年度+2018,7,1))</f>
        <v>1248490</v>
      </c>
      <c r="F19" s="749">
        <f>SUMIFS('予算差引簿（長）'!$M$57:$M$92,'予算差引簿（長）'!$O$57:$O$92,"確認済",'予算差引簿（長）'!$K$57:$K$92,"&gt;="&amp;DATE(年度+2018,7,1),'予算差引簿（長）'!$K$57:$K$92,"&lt;"&amp;DATE(年度+2018,8,1))</f>
        <v>380800</v>
      </c>
      <c r="G19" s="749">
        <f>SUMIFS('予算差引簿（長）'!$M$57:$M$92,'予算差引簿（長）'!$O$57:$O$92,"確認済",'予算差引簿（長）'!$K$57:$K$92,"&gt;="&amp;DATE(年度+2018,8,1),'予算差引簿（長）'!$K$57:$K$92,"&lt;"&amp;DATE(年度+2018,9,1))</f>
        <v>380800</v>
      </c>
      <c r="H19" s="749">
        <f>SUMIFS('予算差引簿（長）'!$M$57:$M$92,'予算差引簿（長）'!$O$57:$O$92,"確認済",'予算差引簿（長）'!$K$57:$K$92,"&gt;="&amp;DATE(年度+2018,9,1),'予算差引簿（長）'!$K$57:$K$92,"&lt;"&amp;DATE(年度+2018,10,1))</f>
        <v>380800</v>
      </c>
      <c r="I19" s="749">
        <f>SUMIFS('予算差引簿（長）'!$M$57:$M$92,'予算差引簿（長）'!$O$57:$O$92,"確認済",'予算差引簿（長）'!$K$57:$K$92,"&gt;="&amp;DATE(年度+2018,10,1),'予算差引簿（長）'!$K$57:$K$92,"&lt;"&amp;DATE(年度+2018,11,1))</f>
        <v>380800</v>
      </c>
      <c r="J19" s="749">
        <f>SUMIFS('予算差引簿（長）'!$M$57:$M$92,'予算差引簿（長）'!$O$57:$O$92,"確認済",'予算差引簿（長）'!$K$57:$K$92,"&gt;="&amp;DATE(年度+2018,11,1),'予算差引簿（長）'!$K$57:$K$92,"&lt;"&amp;DATE(年度+2018,12,1))</f>
        <v>0</v>
      </c>
      <c r="K19" s="749">
        <f>SUMIFS('予算差引簿（長）'!$M$57:$M$92,'予算差引簿（長）'!$O$57:$O$92,"確認済",'予算差引簿（長）'!$K$57:$K$92,"&gt;="&amp;DATE(年度+2018,12,1),'予算差引簿（長）'!$K$57:$K$92,"&lt;"&amp;DATE(年度+2019,1,1))</f>
        <v>0</v>
      </c>
      <c r="L19" s="749">
        <f>SUMIFS('予算差引簿（長）'!$M$57:$M$92,'予算差引簿（長）'!$O$57:$O$92,"確認済",'予算差引簿（長）'!$K$57:$K$92,"&gt;="&amp;DATE(年度+2019,1,1),'予算差引簿（長）'!$K$57:$K$92,"&lt;"&amp;DATE(年度+2019,2,1))</f>
        <v>0</v>
      </c>
      <c r="M19" s="749">
        <f>SUMIFS('予算差引簿（長）'!$M$57:$M$92,'予算差引簿（長）'!$O$57:$O$92,"確認済",'予算差引簿（長）'!$K$57:$K$92,"&gt;="&amp;DATE(年度+2019,2,1),'予算差引簿（長）'!$K$57:$K$92,"&lt;"&amp;DATE(年度+2019,3,1))</f>
        <v>0</v>
      </c>
      <c r="N19" s="749">
        <f>SUMIFS('予算差引簿（長）'!$M$57:$M$92,'予算差引簿（長）'!$O$57:$O$92,"確認済",'予算差引簿（長）'!$K$57:$K$92,"&gt;="&amp;DATE(年度+2019,3,1),'予算差引簿（長）'!$K$57:$K$92,"&lt;"&amp;DATE(年度+2019,4,1))</f>
        <v>0</v>
      </c>
      <c r="O19" s="749">
        <f>SUMIFS('予算差引簿（長）未払'!$R$63:$R$74,'予算差引簿（長）未払'!$T$63:$T$74,"確認済")</f>
        <v>0</v>
      </c>
      <c r="P19" s="833">
        <f>SUM(C19:O19)</f>
        <v>3533290</v>
      </c>
      <c r="Q19" s="749">
        <f>'R7業務（長）'!$S$7</f>
        <v>7453000</v>
      </c>
      <c r="R19" s="749">
        <f>IF(Q19="","",Q19-P19)</f>
        <v>3919710</v>
      </c>
      <c r="S19" s="748" t="inlineStr">
        <is>
          <t>Y</t>
        </is>
      </c>
      <c r="T19" s="834" t="str">
        <f>IF(OR('予算差引簿（長）'!O54&lt;&gt;"",'予算差引簿（長）未払'!T60&lt;&gt;""),"行不足","")</f>
        <v/>
      </c>
    </row>
    <row r="20">
      <c r="A20" s="742" t="inlineStr">
        <is>
          <t>非常勤職員手当（うち賞与）</t>
        </is>
      </c>
      <c r="C20" s="835">
        <f>SUMIFS('予算差引簿（長）'!$M$57:$M$92,'予算差引簿（長）'!$O$57:$O$92,"確認済",'予算差引簿（長）'!$K$57:$K$92,"&gt;="&amp;DATE(年度+2018,4,1),'予算差引簿（長）'!$K$57:$K$92,"&lt;"&amp;DATE(年度+2018,5,1),'予算差引簿（長）'!$L$57:$L$92,"*賞与*")</f>
        <v>0</v>
      </c>
      <c r="D20" s="835">
        <f>SUMIFS('予算差引簿（長）'!$M$57:$M$92,'予算差引簿（長）'!$O$57:$O$92,"確認済",'予算差引簿（長）'!$K$57:$K$92,"&gt;="&amp;DATE(年度+2018,5,1),'予算差引簿（長）'!$K$57:$K$92,"&lt;"&amp;DATE(年度+2018,6,1),'予算差引簿（長）'!$L$57:$L$92,"*賞与*")</f>
        <v>0</v>
      </c>
      <c r="E20" s="835">
        <f>SUMIFS('予算差引簿（長）'!$M$57:$M$92,'予算差引簿（長）'!$O$57:$O$92,"確認済",'予算差引簿（長）'!$K$57:$K$92,"&gt;="&amp;DATE(年度+2018,6,1),'予算差引簿（長）'!$K$57:$K$92,"&lt;"&amp;DATE(年度+2018,7,1),'予算差引簿（長）'!$L$57:$L$92,"*賞与*")</f>
        <v>867690</v>
      </c>
      <c r="F20" s="835">
        <f>SUMIFS('予算差引簿（長）'!$M$57:$M$92,'予算差引簿（長）'!$O$57:$O$92,"確認済",'予算差引簿（長）'!$K$57:$K$92,"&gt;="&amp;DATE(年度+2018,7,1),'予算差引簿（長）'!$K$57:$K$92,"&lt;"&amp;DATE(年度+2018,8,1),'予算差引簿（長）'!$L$57:$L$92,"*賞与*")</f>
        <v>0</v>
      </c>
      <c r="G20" s="835">
        <f>SUMIFS('予算差引簿（長）'!$M$57:$M$92,'予算差引簿（長）'!$O$57:$O$92,"確認済",'予算差引簿（長）'!$K$57:$K$92,"&gt;="&amp;DATE(年度+2018,8,1),'予算差引簿（長）'!$K$57:$K$92,"&lt;"&amp;DATE(年度+2018,9,1),'予算差引簿（長）'!$L$57:$L$92,"*賞与*")</f>
        <v>0</v>
      </c>
      <c r="H20" s="835">
        <f>SUMIFS('予算差引簿（長）'!$M$57:$M$92,'予算差引簿（長）'!$O$57:$O$92,"確認済",'予算差引簿（長）'!$K$57:$K$92,"&gt;="&amp;DATE(年度+2018,9,1),'予算差引簿（長）'!$K$57:$K$92,"&lt;"&amp;DATE(年度+2018,10,1),'予算差引簿（長）'!$L$57:$L$92,"*賞与*")</f>
        <v>0</v>
      </c>
      <c r="I20" s="835">
        <f>SUMIFS('予算差引簿（長）'!$M$57:$M$92,'予算差引簿（長）'!$O$57:$O$92,"確認済",'予算差引簿（長）'!$K$57:$K$92,"&gt;="&amp;DATE(年度+2018,10,1),'予算差引簿（長）'!$K$57:$K$92,"&lt;"&amp;DATE(年度+2018,11,1),'予算差引簿（長）'!$L$57:$L$92,"*賞与*")</f>
        <v>0</v>
      </c>
      <c r="J20" s="835">
        <f>SUMIFS('予算差引簿（長）'!$M$57:$M$92,'予算差引簿（長）'!$O$57:$O$92,"確認済",'予算差引簿（長）'!$K$57:$K$92,"&gt;="&amp;DATE(年度+2018,11,1),'予算差引簿（長）'!$K$57:$K$92,"&lt;"&amp;DATE(年度+2018,12,1),'予算差引簿（長）'!$L$57:$L$92,"*賞与*")</f>
        <v>0</v>
      </c>
      <c r="K20" s="835">
        <f>SUMIFS('予算差引簿（長）'!$M$57:$M$92,'予算差引簿（長）'!$O$57:$O$92,"確認済",'予算差引簿（長）'!$K$57:$K$92,"&gt;="&amp;DATE(年度+2018,12,1),'予算差引簿（長）'!$K$57:$K$92,"&lt;"&amp;DATE(年度+2019,1,1),'予算差引簿（長）'!$L$57:$L$92,"*賞与*")</f>
        <v>0</v>
      </c>
      <c r="L20" s="835">
        <f>SUMIFS('予算差引簿（長）'!$M$57:$M$92,'予算差引簿（長）'!$O$57:$O$92,"確認済",'予算差引簿（長）'!$K$57:$K$92,"&gt;="&amp;DATE(年度+2019,1,1),'予算差引簿（長）'!$K$57:$K$92,"&lt;"&amp;DATE(年度+2019,2,1),'予算差引簿（長）'!$L$57:$L$92,"*賞与*")</f>
        <v>0</v>
      </c>
      <c r="M20" s="835">
        <f>SUMIFS('予算差引簿（長）'!$M$57:$M$92,'予算差引簿（長）'!$O$57:$O$92,"確認済",'予算差引簿（長）'!$K$57:$K$92,"&gt;="&amp;DATE(年度+2019,2,1),'予算差引簿（長）'!$K$57:$K$92,"&lt;"&amp;DATE(年度+2019,3,1),'予算差引簿（長）'!$L$57:$L$92,"*賞与*")</f>
        <v>0</v>
      </c>
      <c r="N20" s="835">
        <f>SUMIFS('予算差引簿（長）'!$M$57:$M$92,'予算差引簿（長）'!$O$57:$O$92,"確認済",'予算差引簿（長）'!$K$57:$K$92,"&gt;="&amp;DATE(年度+2019,3,1),'予算差引簿（長）'!$K$57:$K$92,"&lt;"&amp;DATE(年度+2019,4,1),'予算差引簿（長）'!$L$57:$L$92,"*賞与*")</f>
        <v>0</v>
      </c>
      <c r="O20" s="835">
        <f>SUMIFS('予算差引簿（長）未払'!$R$63:$R$74,'予算差引簿（長）未払'!$T$63:$T$74,"確認済",'予算差引簿（長）未払'!$Q$63:$Q$74,"*賞与*")</f>
        <v>0</v>
      </c>
      <c r="P20" s="835">
        <f>SUM(C20:O20)</f>
        <v>867690</v>
      </c>
      <c r="S20" s="836" t="inlineStr">
        <is>
          <t>内訳</t>
        </is>
      </c>
    </row>
    <row r="21">
      <c r="A21" s="740" t="inlineStr">
        <is>
          <t>賃金</t>
        </is>
      </c>
      <c r="C21" s="749">
        <f>SUMIFS('予算差引簿（長）'!$C$174:$C$185,'予算差引簿（長）'!$E$174:$E$185,"確認済",'予算差引簿（長）'!$A$174:$A$185,"&gt;="&amp;DATE(年度+2018,4,1),'予算差引簿（長）'!$A$174:$A$185,"&lt;"&amp;DATE(年度+2018,5,1))</f>
        <v>0</v>
      </c>
      <c r="D21" s="749">
        <f>SUMIFS('予算差引簿（長）'!$C$174:$C$185,'予算差引簿（長）'!$E$174:$E$185,"確認済",'予算差引簿（長）'!$A$174:$A$185,"&gt;="&amp;DATE(年度+2018,5,1),'予算差引簿（長）'!$A$174:$A$185,"&lt;"&amp;DATE(年度+2018,6,1))</f>
        <v>0</v>
      </c>
      <c r="E21" s="749">
        <f>SUMIFS('予算差引簿（長）'!$C$174:$C$185,'予算差引簿（長）'!$E$174:$E$185,"確認済",'予算差引簿（長）'!$A$174:$A$185,"&gt;="&amp;DATE(年度+2018,6,1),'予算差引簿（長）'!$A$174:$A$185,"&lt;"&amp;DATE(年度+2018,7,1))</f>
        <v>0</v>
      </c>
      <c r="F21" s="749">
        <f>SUMIFS('予算差引簿（長）'!$C$174:$C$185,'予算差引簿（長）'!$E$174:$E$185,"確認済",'予算差引簿（長）'!$A$174:$A$185,"&gt;="&amp;DATE(年度+2018,7,1),'予算差引簿（長）'!$A$174:$A$185,"&lt;"&amp;DATE(年度+2018,8,1))</f>
        <v>0</v>
      </c>
      <c r="G21" s="749">
        <f>SUMIFS('予算差引簿（長）'!$C$174:$C$185,'予算差引簿（長）'!$E$174:$E$185,"確認済",'予算差引簿（長）'!$A$174:$A$185,"&gt;="&amp;DATE(年度+2018,8,1),'予算差引簿（長）'!$A$174:$A$185,"&lt;"&amp;DATE(年度+2018,9,1))</f>
        <v>0</v>
      </c>
      <c r="H21" s="749">
        <f>SUMIFS('予算差引簿（長）'!$C$174:$C$185,'予算差引簿（長）'!$E$174:$E$185,"確認済",'予算差引簿（長）'!$A$174:$A$185,"&gt;="&amp;DATE(年度+2018,9,1),'予算差引簿（長）'!$A$174:$A$185,"&lt;"&amp;DATE(年度+2018,10,1))</f>
        <v>0</v>
      </c>
      <c r="I21" s="749">
        <f>SUMIFS('予算差引簿（長）'!$C$174:$C$185,'予算差引簿（長）'!$E$174:$E$185,"確認済",'予算差引簿（長）'!$A$174:$A$185,"&gt;="&amp;DATE(年度+2018,10,1),'予算差引簿（長）'!$A$174:$A$185,"&lt;"&amp;DATE(年度+2018,11,1))</f>
        <v>0</v>
      </c>
      <c r="J21" s="749">
        <f>SUMIFS('予算差引簿（長）'!$C$174:$C$185,'予算差引簿（長）'!$E$174:$E$185,"確認済",'予算差引簿（長）'!$A$174:$A$185,"&gt;="&amp;DATE(年度+2018,11,1),'予算差引簿（長）'!$A$174:$A$185,"&lt;"&amp;DATE(年度+2018,12,1))</f>
        <v>0</v>
      </c>
      <c r="K21" s="749">
        <f>SUMIFS('予算差引簿（長）'!$C$174:$C$185,'予算差引簿（長）'!$E$174:$E$185,"確認済",'予算差引簿（長）'!$A$174:$A$185,"&gt;="&amp;DATE(年度+2018,12,1),'予算差引簿（長）'!$A$174:$A$185,"&lt;"&amp;DATE(年度+2019,1,1))</f>
        <v>0</v>
      </c>
      <c r="L21" s="749">
        <f>SUMIFS('予算差引簿（長）'!$C$174:$C$185,'予算差引簿（長）'!$E$174:$E$185,"確認済",'予算差引簿（長）'!$A$174:$A$185,"&gt;="&amp;DATE(年度+2019,1,1),'予算差引簿（長）'!$A$174:$A$185,"&lt;"&amp;DATE(年度+2019,2,1))</f>
        <v>0</v>
      </c>
      <c r="M21" s="749">
        <f>SUMIFS('予算差引簿（長）'!$C$174:$C$185,'予算差引簿（長）'!$E$174:$E$185,"確認済",'予算差引簿（長）'!$A$174:$A$185,"&gt;="&amp;DATE(年度+2019,2,1),'予算差引簿（長）'!$A$174:$A$185,"&lt;"&amp;DATE(年度+2019,3,1))</f>
        <v>0</v>
      </c>
      <c r="N21" s="749">
        <f>SUMIFS('予算差引簿（長）'!$C$174:$C$185,'予算差引簿（長）'!$E$174:$E$185,"確認済",'予算差引簿（長）'!$A$174:$A$185,"&gt;="&amp;DATE(年度+2019,3,1),'予算差引簿（長）'!$A$174:$A$185,"&lt;"&amp;DATE(年度+2019,4,1))</f>
        <v>0</v>
      </c>
      <c r="O21" s="749">
        <f>SUMIFS('予算差引簿（長）未払'!$C$81:$C$92,'予算差引簿（長）未払'!$E$81:$E$92,"確認済")</f>
        <v>0</v>
      </c>
      <c r="P21" s="833">
        <f>SUM(C21:O21)</f>
        <v>0</v>
      </c>
      <c r="Q21" s="749">
        <f>'R7業務（長）'!$S$19</f>
        <v>0</v>
      </c>
      <c r="R21" s="749">
        <f>IF(Q21="","",Q21-P21)</f>
        <v>0</v>
      </c>
      <c r="S21" s="748" t="inlineStr">
        <is>
          <t>Y</t>
        </is>
      </c>
      <c r="T21" s="834" t="str">
        <f>IF(OR('予算差引簿（長）'!E171&lt;&gt;"",'予算差引簿（長）未払'!E78&lt;&gt;""),"行不足","")</f>
        <v/>
      </c>
    </row>
    <row r="22">
      <c r="A22" s="740" t="inlineStr">
        <is>
          <t>諸謝金</t>
        </is>
      </c>
      <c r="C22" s="749">
        <f>SUMIFS('予算差引簿（長）'!$H$174:$H$185,'予算差引簿（長）'!$J$174:$J$185,"確認済",'予算差引簿（長）'!$F$174:$F$185,"&gt;="&amp;DATE(年度+2018,4,1),'予算差引簿（長）'!$F$174:$F$185,"&lt;"&amp;DATE(年度+2018,5,1))</f>
        <v>0</v>
      </c>
      <c r="D22" s="749">
        <f>SUMIFS('予算差引簿（長）'!$H$174:$H$185,'予算差引簿（長）'!$J$174:$J$185,"確認済",'予算差引簿（長）'!$F$174:$F$185,"&gt;="&amp;DATE(年度+2018,5,1),'予算差引簿（長）'!$F$174:$F$185,"&lt;"&amp;DATE(年度+2018,6,1))</f>
        <v>0</v>
      </c>
      <c r="E22" s="749">
        <f>SUMIFS('予算差引簿（長）'!$H$174:$H$185,'予算差引簿（長）'!$J$174:$J$185,"確認済",'予算差引簿（長）'!$F$174:$F$185,"&gt;="&amp;DATE(年度+2018,6,1),'予算差引簿（長）'!$F$174:$F$185,"&lt;"&amp;DATE(年度+2018,7,1))</f>
        <v>0</v>
      </c>
      <c r="F22" s="749">
        <f>SUMIFS('予算差引簿（長）'!$H$174:$H$185,'予算差引簿（長）'!$J$174:$J$185,"確認済",'予算差引簿（長）'!$F$174:$F$185,"&gt;="&amp;DATE(年度+2018,7,1),'予算差引簿（長）'!$F$174:$F$185,"&lt;"&amp;DATE(年度+2018,8,1))</f>
        <v>0</v>
      </c>
      <c r="G22" s="749">
        <f>SUMIFS('予算差引簿（長）'!$H$174:$H$185,'予算差引簿（長）'!$J$174:$J$185,"確認済",'予算差引簿（長）'!$F$174:$F$185,"&gt;="&amp;DATE(年度+2018,8,1),'予算差引簿（長）'!$F$174:$F$185,"&lt;"&amp;DATE(年度+2018,9,1))</f>
        <v>0</v>
      </c>
      <c r="H22" s="749">
        <f>SUMIFS('予算差引簿（長）'!$H$174:$H$185,'予算差引簿（長）'!$J$174:$J$185,"確認済",'予算差引簿（長）'!$F$174:$F$185,"&gt;="&amp;DATE(年度+2018,9,1),'予算差引簿（長）'!$F$174:$F$185,"&lt;"&amp;DATE(年度+2018,10,1))</f>
        <v>0</v>
      </c>
      <c r="I22" s="749">
        <f>SUMIFS('予算差引簿（長）'!$H$174:$H$185,'予算差引簿（長）'!$J$174:$J$185,"確認済",'予算差引簿（長）'!$F$174:$F$185,"&gt;="&amp;DATE(年度+2018,10,1),'予算差引簿（長）'!$F$174:$F$185,"&lt;"&amp;DATE(年度+2018,11,1))</f>
        <v>0</v>
      </c>
      <c r="J22" s="749">
        <f>SUMIFS('予算差引簿（長）'!$H$174:$H$185,'予算差引簿（長）'!$J$174:$J$185,"確認済",'予算差引簿（長）'!$F$174:$F$185,"&gt;="&amp;DATE(年度+2018,11,1),'予算差引簿（長）'!$F$174:$F$185,"&lt;"&amp;DATE(年度+2018,12,1))</f>
        <v>0</v>
      </c>
      <c r="K22" s="749">
        <f>SUMIFS('予算差引簿（長）'!$H$174:$H$185,'予算差引簿（長）'!$J$174:$J$185,"確認済",'予算差引簿（長）'!$F$174:$F$185,"&gt;="&amp;DATE(年度+2018,12,1),'予算差引簿（長）'!$F$174:$F$185,"&lt;"&amp;DATE(年度+2019,1,1))</f>
        <v>0</v>
      </c>
      <c r="L22" s="749">
        <f>SUMIFS('予算差引簿（長）'!$H$174:$H$185,'予算差引簿（長）'!$J$174:$J$185,"確認済",'予算差引簿（長）'!$F$174:$F$185,"&gt;="&amp;DATE(年度+2019,1,1),'予算差引簿（長）'!$F$174:$F$185,"&lt;"&amp;DATE(年度+2019,2,1))</f>
        <v>0</v>
      </c>
      <c r="M22" s="749">
        <f>SUMIFS('予算差引簿（長）'!$H$174:$H$185,'予算差引簿（長）'!$J$174:$J$185,"確認済",'予算差引簿（長）'!$F$174:$F$185,"&gt;="&amp;DATE(年度+2019,2,1),'予算差引簿（長）'!$F$174:$F$185,"&lt;"&amp;DATE(年度+2019,3,1))</f>
        <v>0</v>
      </c>
      <c r="N22" s="749">
        <f>SUMIFS('予算差引簿（長）'!$H$174:$H$185,'予算差引簿（長）'!$J$174:$J$185,"確認済",'予算差引簿（長）'!$F$174:$F$185,"&gt;="&amp;DATE(年度+2019,3,1),'予算差引簿（長）'!$F$174:$F$185,"&lt;"&amp;DATE(年度+2019,4,1))</f>
        <v>0</v>
      </c>
      <c r="O22" s="749">
        <f>SUMIFS('予算差引簿（長）未払'!$H$81:$H$92,'予算差引簿（長）未払'!$J$81:$J$92,"確認済")</f>
        <v>0</v>
      </c>
      <c r="P22" s="833">
        <f>SUM(C22:O22)</f>
        <v>0</v>
      </c>
      <c r="Q22" s="749">
        <f>'R7業務（長）'!$S$25</f>
        <v>0</v>
      </c>
      <c r="R22" s="749">
        <f>IF(Q22="","",Q22-P22)</f>
        <v>0</v>
      </c>
      <c r="S22" s="748" t="inlineStr">
        <is>
          <t>Y</t>
        </is>
      </c>
      <c r="T22" s="834" t="str">
        <f>IF(OR('予算差引簿（長）'!J171&lt;&gt;"",'予算差引簿（長）未払'!J78&lt;&gt;""),"行不足","")</f>
        <v/>
      </c>
    </row>
    <row r="23">
      <c r="A23" s="740" t="inlineStr">
        <is>
          <t>互助会費</t>
        </is>
      </c>
      <c r="C23" s="749">
        <f>SUMIFS('予算差引簿（長）'!$C$100:$C$127,'予算差引簿（長）'!$E$100:$E$127,"確認済",'予算差引簿（長）'!$A$100:$A$127,"&gt;="&amp;DATE(年度+2018,4,1),'予算差引簿（長）'!$A$100:$A$127,"&lt;"&amp;DATE(年度+2018,5,1))</f>
        <v>466</v>
      </c>
      <c r="D23" s="749">
        <f>SUMIFS('予算差引簿（長）'!$C$100:$C$127,'予算差引簿（長）'!$E$100:$E$127,"確認済",'予算差引簿（長）'!$A$100:$A$127,"&gt;="&amp;DATE(年度+2018,5,1),'予算差引簿（長）'!$A$100:$A$127,"&lt;"&amp;DATE(年度+2018,6,1))</f>
        <v>466</v>
      </c>
      <c r="E23" s="749">
        <f>SUMIFS('予算差引簿（長）'!$C$100:$C$127,'予算差引簿（長）'!$E$100:$E$127,"確認済",'予算差引簿（長）'!$A$100:$A$127,"&gt;="&amp;DATE(年度+2018,6,1),'予算差引簿（長）'!$A$100:$A$127,"&lt;"&amp;DATE(年度+2018,7,1))</f>
        <v>466</v>
      </c>
      <c r="F23" s="749">
        <f>SUMIFS('予算差引簿（長）'!$C$100:$C$127,'予算差引簿（長）'!$E$100:$E$127,"確認済",'予算差引簿（長）'!$A$100:$A$127,"&gt;="&amp;DATE(年度+2018,7,1),'予算差引簿（長）'!$A$100:$A$127,"&lt;"&amp;DATE(年度+2018,8,1))</f>
        <v>466</v>
      </c>
      <c r="G23" s="749">
        <f>SUMIFS('予算差引簿（長）'!$C$100:$C$127,'予算差引簿（長）'!$E$100:$E$127,"確認済",'予算差引簿（長）'!$A$100:$A$127,"&gt;="&amp;DATE(年度+2018,8,1),'予算差引簿（長）'!$A$100:$A$127,"&lt;"&amp;DATE(年度+2018,9,1))</f>
        <v>466</v>
      </c>
      <c r="H23" s="749">
        <f>SUMIFS('予算差引簿（長）'!$C$100:$C$127,'予算差引簿（長）'!$E$100:$E$127,"確認済",'予算差引簿（長）'!$A$100:$A$127,"&gt;="&amp;DATE(年度+2018,9,1),'予算差引簿（長）'!$A$100:$A$127,"&lt;"&amp;DATE(年度+2018,10,1))</f>
        <v>466</v>
      </c>
      <c r="I23" s="749">
        <f>SUMIFS('予算差引簿（長）'!$C$100:$C$127,'予算差引簿（長）'!$E$100:$E$127,"確認済",'予算差引簿（長）'!$A$100:$A$127,"&gt;="&amp;DATE(年度+2018,10,1),'予算差引簿（長）'!$A$100:$A$127,"&lt;"&amp;DATE(年度+2018,11,1))</f>
        <v>466</v>
      </c>
      <c r="J23" s="749">
        <f>SUMIFS('予算差引簿（長）'!$C$100:$C$127,'予算差引簿（長）'!$E$100:$E$127,"確認済",'予算差引簿（長）'!$A$100:$A$127,"&gt;="&amp;DATE(年度+2018,11,1),'予算差引簿（長）'!$A$100:$A$127,"&lt;"&amp;DATE(年度+2018,12,1))</f>
        <v>0</v>
      </c>
      <c r="K23" s="749">
        <f>SUMIFS('予算差引簿（長）'!$C$100:$C$127,'予算差引簿（長）'!$E$100:$E$127,"確認済",'予算差引簿（長）'!$A$100:$A$127,"&gt;="&amp;DATE(年度+2018,12,1),'予算差引簿（長）'!$A$100:$A$127,"&lt;"&amp;DATE(年度+2019,1,1))</f>
        <v>0</v>
      </c>
      <c r="L23" s="749">
        <f>SUMIFS('予算差引簿（長）'!$C$100:$C$127,'予算差引簿（長）'!$E$100:$E$127,"確認済",'予算差引簿（長）'!$A$100:$A$127,"&gt;="&amp;DATE(年度+2019,1,1),'予算差引簿（長）'!$A$100:$A$127,"&lt;"&amp;DATE(年度+2019,2,1))</f>
        <v>0</v>
      </c>
      <c r="M23" s="749">
        <f>SUMIFS('予算差引簿（長）'!$C$100:$C$127,'予算差引簿（長）'!$E$100:$E$127,"確認済",'予算差引簿（長）'!$A$100:$A$127,"&gt;="&amp;DATE(年度+2019,2,1),'予算差引簿（長）'!$A$100:$A$127,"&lt;"&amp;DATE(年度+2019,3,1))</f>
        <v>0</v>
      </c>
      <c r="N23" s="749">
        <f>SUMIFS('予算差引簿（長）'!$C$100:$C$127,'予算差引簿（長）'!$E$100:$E$127,"確認済",'予算差引簿（長）'!$A$100:$A$127,"&gt;="&amp;DATE(年度+2019,3,1),'予算差引簿（長）'!$A$100:$A$127,"&lt;"&amp;DATE(年度+2019,4,1))</f>
        <v>0</v>
      </c>
      <c r="O23" s="749">
        <f>SUMIFS('予算差引簿（長）未払'!$M$81:$M$92,'予算差引簿（長）未払'!$O$81:$O$92,"確認済")</f>
        <v>0</v>
      </c>
      <c r="P23" s="833">
        <f>SUM(C23:O23)</f>
        <v>3262</v>
      </c>
      <c r="Q23" s="749">
        <f>'R7業務（長）'!$S$27</f>
        <v>1155000</v>
      </c>
      <c r="R23" s="749">
        <f>IF(Q23="","",Q23-P23)</f>
        <v>1151738</v>
      </c>
      <c r="S23" s="748" t="inlineStr">
        <is>
          <t>Y</t>
        </is>
      </c>
      <c r="T23" s="834" t="str">
        <f>IF(OR('予算差引簿（長）'!E97&lt;&gt;"",'予算差引簿（長）未払'!O78&lt;&gt;""),"行不足","")</f>
        <v/>
      </c>
    </row>
    <row r="24">
      <c r="A24" s="740" t="inlineStr">
        <is>
          <t>会議出席負担金等</t>
        </is>
      </c>
      <c r="C24" s="749">
        <f>SUMIFS('予算差引簿（長）'!$M$174:$M$185,'予算差引簿（長）'!$O$174:$O$185,"確認済",'予算差引簿（長）'!$K$174:$K$185,"&gt;="&amp;DATE(年度+2018,4,1),'予算差引簿（長）'!$K$174:$K$185,"&lt;"&amp;DATE(年度+2018,5,1))</f>
        <v>0</v>
      </c>
      <c r="D24" s="749">
        <f>SUMIFS('予算差引簿（長）'!$M$174:$M$185,'予算差引簿（長）'!$O$174:$O$185,"確認済",'予算差引簿（長）'!$K$174:$K$185,"&gt;="&amp;DATE(年度+2018,5,1),'予算差引簿（長）'!$K$174:$K$185,"&lt;"&amp;DATE(年度+2018,6,1))</f>
        <v>0</v>
      </c>
      <c r="E24" s="749">
        <f>SUMIFS('予算差引簿（長）'!$M$174:$M$185,'予算差引簿（長）'!$O$174:$O$185,"確認済",'予算差引簿（長）'!$K$174:$K$185,"&gt;="&amp;DATE(年度+2018,6,1),'予算差引簿（長）'!$K$174:$K$185,"&lt;"&amp;DATE(年度+2018,7,1))</f>
        <v>0</v>
      </c>
      <c r="F24" s="749">
        <f>SUMIFS('予算差引簿（長）'!$M$174:$M$185,'予算差引簿（長）'!$O$174:$O$185,"確認済",'予算差引簿（長）'!$K$174:$K$185,"&gt;="&amp;DATE(年度+2018,7,1),'予算差引簿（長）'!$K$174:$K$185,"&lt;"&amp;DATE(年度+2018,8,1))</f>
        <v>0</v>
      </c>
      <c r="G24" s="749">
        <f>SUMIFS('予算差引簿（長）'!$M$174:$M$185,'予算差引簿（長）'!$O$174:$O$185,"確認済",'予算差引簿（長）'!$K$174:$K$185,"&gt;="&amp;DATE(年度+2018,8,1),'予算差引簿（長）'!$K$174:$K$185,"&lt;"&amp;DATE(年度+2018,9,1))</f>
        <v>0</v>
      </c>
      <c r="H24" s="749">
        <f>SUMIFS('予算差引簿（長）'!$M$174:$M$185,'予算差引簿（長）'!$O$174:$O$185,"確認済",'予算差引簿（長）'!$K$174:$K$185,"&gt;="&amp;DATE(年度+2018,9,1),'予算差引簿（長）'!$K$174:$K$185,"&lt;"&amp;DATE(年度+2018,10,1))</f>
        <v>0</v>
      </c>
      <c r="I24" s="749">
        <f>SUMIFS('予算差引簿（長）'!$M$174:$M$185,'予算差引簿（長）'!$O$174:$O$185,"確認済",'予算差引簿（長）'!$K$174:$K$185,"&gt;="&amp;DATE(年度+2018,10,1),'予算差引簿（長）'!$K$174:$K$185,"&lt;"&amp;DATE(年度+2018,11,1))</f>
        <v>0</v>
      </c>
      <c r="J24" s="749">
        <f>SUMIFS('予算差引簿（長）'!$M$174:$M$185,'予算差引簿（長）'!$O$174:$O$185,"確認済",'予算差引簿（長）'!$K$174:$K$185,"&gt;="&amp;DATE(年度+2018,11,1),'予算差引簿（長）'!$K$174:$K$185,"&lt;"&amp;DATE(年度+2018,12,1))</f>
        <v>0</v>
      </c>
      <c r="K24" s="749">
        <f>SUMIFS('予算差引簿（長）'!$M$174:$M$185,'予算差引簿（長）'!$O$174:$O$185,"確認済",'予算差引簿（長）'!$K$174:$K$185,"&gt;="&amp;DATE(年度+2018,12,1),'予算差引簿（長）'!$K$174:$K$185,"&lt;"&amp;DATE(年度+2019,1,1))</f>
        <v>0</v>
      </c>
      <c r="L24" s="749">
        <f>SUMIFS('予算差引簿（長）'!$M$174:$M$185,'予算差引簿（長）'!$O$174:$O$185,"確認済",'予算差引簿（長）'!$K$174:$K$185,"&gt;="&amp;DATE(年度+2019,1,1),'予算差引簿（長）'!$K$174:$K$185,"&lt;"&amp;DATE(年度+2019,2,1))</f>
        <v>0</v>
      </c>
      <c r="M24" s="749">
        <f>SUMIFS('予算差引簿（長）'!$M$174:$M$185,'予算差引簿（長）'!$O$174:$O$185,"確認済",'予算差引簿（長）'!$K$174:$K$185,"&gt;="&amp;DATE(年度+2019,2,1),'予算差引簿（長）'!$K$174:$K$185,"&lt;"&amp;DATE(年度+2019,3,1))</f>
        <v>0</v>
      </c>
      <c r="N24" s="749">
        <f>SUMIFS('予算差引簿（長）'!$M$174:$M$185,'予算差引簿（長）'!$O$174:$O$185,"確認済",'予算差引簿（長）'!$K$174:$K$185,"&gt;="&amp;DATE(年度+2019,3,1),'予算差引簿（長）'!$K$174:$K$185,"&lt;"&amp;DATE(年度+2019,4,1))</f>
        <v>0</v>
      </c>
      <c r="O24" s="749">
        <f>SUMIFS('予算差引簿（長）未払'!$R$81:$R$92,'予算差引簿（長）未払'!$T$81:$T$92,"確認済")</f>
        <v>0</v>
      </c>
      <c r="P24" s="833">
        <f>SUM(C24:O24)</f>
        <v>0</v>
      </c>
      <c r="Q24" s="749" t="n"/>
      <c r="R24" s="749" t="n"/>
      <c r="S24" s="748" t="inlineStr">
        <is>
          <t>Y</t>
        </is>
      </c>
      <c r="T24" s="834" t="str">
        <f>IF(OR('予算差引簿（長）'!O171&lt;&gt;"",'予算差引簿（長）未払'!T78&lt;&gt;""),"行不足","")</f>
        <v/>
      </c>
    </row>
    <row r="25">
      <c r="A25" s="740" t="inlineStr">
        <is>
          <t>協会けんぽ保険料等</t>
        </is>
      </c>
      <c r="C25" s="749">
        <f>SUMIFS('予算差引簿（長）'!$R$174:$R$185,'予算差引簿（長）'!$T$174:$T$185,"確認済",'予算差引簿（長）'!$P$174:$P$185,"&gt;="&amp;DATE(年度+2018,4,1),'予算差引簿（長）'!$P$174:$P$185,"&lt;"&amp;DATE(年度+2018,5,1))</f>
        <v>0</v>
      </c>
      <c r="D25" s="749">
        <f>SUMIFS('予算差引簿（長）'!$R$174:$R$185,'予算差引簿（長）'!$T$174:$T$185,"確認済",'予算差引簿（長）'!$P$174:$P$185,"&gt;="&amp;DATE(年度+2018,5,1),'予算差引簿（長）'!$P$174:$P$185,"&lt;"&amp;DATE(年度+2018,6,1))</f>
        <v>0</v>
      </c>
      <c r="E25" s="749">
        <f>SUMIFS('予算差引簿（長）'!$R$174:$R$185,'予算差引簿（長）'!$T$174:$T$185,"確認済",'予算差引簿（長）'!$P$174:$P$185,"&gt;="&amp;DATE(年度+2018,6,1),'予算差引簿（長）'!$P$174:$P$185,"&lt;"&amp;DATE(年度+2018,7,1))</f>
        <v>0</v>
      </c>
      <c r="F25" s="749">
        <f>SUMIFS('予算差引簿（長）'!$R$174:$R$185,'予算差引簿（長）'!$T$174:$T$185,"確認済",'予算差引簿（長）'!$P$174:$P$185,"&gt;="&amp;DATE(年度+2018,7,1),'予算差引簿（長）'!$P$174:$P$185,"&lt;"&amp;DATE(年度+2018,8,1))</f>
        <v>0</v>
      </c>
      <c r="G25" s="749">
        <f>SUMIFS('予算差引簿（長）'!$R$174:$R$185,'予算差引簿（長）'!$T$174:$T$185,"確認済",'予算差引簿（長）'!$P$174:$P$185,"&gt;="&amp;DATE(年度+2018,8,1),'予算差引簿（長）'!$P$174:$P$185,"&lt;"&amp;DATE(年度+2018,9,1))</f>
        <v>0</v>
      </c>
      <c r="H25" s="749">
        <f>SUMIFS('予算差引簿（長）'!$R$174:$R$185,'予算差引簿（長）'!$T$174:$T$185,"確認済",'予算差引簿（長）'!$P$174:$P$185,"&gt;="&amp;DATE(年度+2018,9,1),'予算差引簿（長）'!$P$174:$P$185,"&lt;"&amp;DATE(年度+2018,10,1))</f>
        <v>0</v>
      </c>
      <c r="I25" s="749">
        <f>SUMIFS('予算差引簿（長）'!$R$174:$R$185,'予算差引簿（長）'!$T$174:$T$185,"確認済",'予算差引簿（長）'!$P$174:$P$185,"&gt;="&amp;DATE(年度+2018,10,1),'予算差引簿（長）'!$P$174:$P$185,"&lt;"&amp;DATE(年度+2018,11,1))</f>
        <v>0</v>
      </c>
      <c r="J25" s="749">
        <f>SUMIFS('予算差引簿（長）'!$R$174:$R$185,'予算差引簿（長）'!$T$174:$T$185,"確認済",'予算差引簿（長）'!$P$174:$P$185,"&gt;="&amp;DATE(年度+2018,11,1),'予算差引簿（長）'!$P$174:$P$185,"&lt;"&amp;DATE(年度+2018,12,1))</f>
        <v>0</v>
      </c>
      <c r="K25" s="749">
        <f>SUMIFS('予算差引簿（長）'!$R$174:$R$185,'予算差引簿（長）'!$T$174:$T$185,"確認済",'予算差引簿（長）'!$P$174:$P$185,"&gt;="&amp;DATE(年度+2018,12,1),'予算差引簿（長）'!$P$174:$P$185,"&lt;"&amp;DATE(年度+2019,1,1))</f>
        <v>0</v>
      </c>
      <c r="L25" s="749">
        <f>SUMIFS('予算差引簿（長）'!$R$174:$R$185,'予算差引簿（長）'!$T$174:$T$185,"確認済",'予算差引簿（長）'!$P$174:$P$185,"&gt;="&amp;DATE(年度+2019,1,1),'予算差引簿（長）'!$P$174:$P$185,"&lt;"&amp;DATE(年度+2019,2,1))</f>
        <v>0</v>
      </c>
      <c r="M25" s="749">
        <f>SUMIFS('予算差引簿（長）'!$R$174:$R$185,'予算差引簿（長）'!$T$174:$T$185,"確認済",'予算差引簿（長）'!$P$174:$P$185,"&gt;="&amp;DATE(年度+2019,2,1),'予算差引簿（長）'!$P$174:$P$185,"&lt;"&amp;DATE(年度+2019,3,1))</f>
        <v>0</v>
      </c>
      <c r="N25" s="749">
        <f>SUMIFS('予算差引簿（長）'!$R$174:$R$185,'予算差引簿（長）'!$T$174:$T$185,"確認済",'予算差引簿（長）'!$P$174:$P$185,"&gt;="&amp;DATE(年度+2019,3,1),'予算差引簿（長）'!$P$174:$P$185,"&lt;"&amp;DATE(年度+2019,4,1))</f>
        <v>0</v>
      </c>
      <c r="O25" s="749">
        <f>SUMIFS('予算差引簿（長）未払'!$C$99:$C$110,'予算差引簿（長）未払'!$E$99:$E$110,"確認済")</f>
        <v>0</v>
      </c>
      <c r="P25" s="833">
        <f>SUM(C25:O25)</f>
        <v>0</v>
      </c>
      <c r="Q25" s="749" t="n"/>
      <c r="R25" s="749" t="n"/>
      <c r="S25" s="748" t="inlineStr">
        <is>
          <t>Y</t>
        </is>
      </c>
      <c r="T25" s="834" t="str">
        <f>IF(OR('予算差引簿（長）'!T171&lt;&gt;"",'予算差引簿（長）未払'!E96&lt;&gt;""),"行不足","")</f>
        <v/>
      </c>
    </row>
    <row r="26">
      <c r="A26" s="740" t="inlineStr">
        <is>
          <t>共済負担金等</t>
        </is>
      </c>
      <c r="C26" s="749">
        <f>SUMIFS('予算差引簿（長）'!$R$57:$R$89,'予算差引簿（長）'!$T$57:$T$89,"確認済",'予算差引簿（長）'!$P$57:$P$89,"&gt;="&amp;DATE(年度+2018,4,1),'予算差引簿（長）'!$P$57:$P$89,"&lt;"&amp;DATE(年度+2018,5,1))</f>
        <v>22035</v>
      </c>
      <c r="D26" s="749">
        <f>SUMIFS('予算差引簿（長）'!$R$57:$R$89,'予算差引簿（長）'!$T$57:$T$89,"確認済",'予算差引簿（長）'!$P$57:$P$89,"&gt;="&amp;DATE(年度+2018,5,1),'予算差引簿（長）'!$P$57:$P$89,"&lt;"&amp;DATE(年度+2018,6,1))</f>
        <v>22035</v>
      </c>
      <c r="E26" s="749">
        <f>SUMIFS('予算差引簿（長）'!$R$57:$R$89,'予算差引簿（長）'!$T$57:$T$89,"確認済",'予算差引簿（長）'!$P$57:$P$89,"&gt;="&amp;DATE(年度+2018,6,1),'予算差引簿（長）'!$P$57:$P$89,"&lt;"&amp;DATE(年度+2018,7,1))</f>
        <v>71165</v>
      </c>
      <c r="F26" s="749">
        <f>SUMIFS('予算差引簿（長）'!$R$57:$R$89,'予算差引簿（長）'!$T$57:$T$89,"確認済",'予算差引簿（長）'!$P$57:$P$89,"&gt;="&amp;DATE(年度+2018,7,1),'予算差引簿（長）'!$P$57:$P$89,"&lt;"&amp;DATE(年度+2018,8,1))</f>
        <v>22035</v>
      </c>
      <c r="G26" s="749">
        <f>SUMIFS('予算差引簿（長）'!$R$57:$R$89,'予算差引簿（長）'!$T$57:$T$89,"確認済",'予算差引簿（長）'!$P$57:$P$89,"&gt;="&amp;DATE(年度+2018,8,1),'予算差引簿（長）'!$P$57:$P$89,"&lt;"&amp;DATE(年度+2018,9,1))</f>
        <v>22035</v>
      </c>
      <c r="H26" s="749">
        <f>SUMIFS('予算差引簿（長）'!$R$57:$R$89,'予算差引簿（長）'!$T$57:$T$89,"確認済",'予算差引簿（長）'!$P$57:$P$89,"&gt;="&amp;DATE(年度+2018,9,1),'予算差引簿（長）'!$P$57:$P$89,"&lt;"&amp;DATE(年度+2018,10,1))</f>
        <v>20974</v>
      </c>
      <c r="I26" s="749">
        <f>SUMIFS('予算差引簿（長）'!$R$57:$R$89,'予算差引簿（長）'!$T$57:$T$89,"確認済",'予算差引簿（長）'!$P$57:$P$89,"&gt;="&amp;DATE(年度+2018,10,1),'予算差引簿（長）'!$P$57:$P$89,"&lt;"&amp;DATE(年度+2018,11,1))</f>
        <v>20974</v>
      </c>
      <c r="J26" s="749">
        <f>SUMIFS('予算差引簿（長）'!$R$57:$R$89,'予算差引簿（長）'!$T$57:$T$89,"確認済",'予算差引簿（長）'!$P$57:$P$89,"&gt;="&amp;DATE(年度+2018,11,1),'予算差引簿（長）'!$P$57:$P$89,"&lt;"&amp;DATE(年度+2018,12,1))</f>
        <v>0</v>
      </c>
      <c r="K26" s="749">
        <f>SUMIFS('予算差引簿（長）'!$R$57:$R$89,'予算差引簿（長）'!$T$57:$T$89,"確認済",'予算差引簿（長）'!$P$57:$P$89,"&gt;="&amp;DATE(年度+2018,12,1),'予算差引簿（長）'!$P$57:$P$89,"&lt;"&amp;DATE(年度+2019,1,1))</f>
        <v>0</v>
      </c>
      <c r="L26" s="749">
        <f>SUMIFS('予算差引簿（長）'!$R$57:$R$89,'予算差引簿（長）'!$T$57:$T$89,"確認済",'予算差引簿（長）'!$P$57:$P$89,"&gt;="&amp;DATE(年度+2019,1,1),'予算差引簿（長）'!$P$57:$P$89,"&lt;"&amp;DATE(年度+2019,2,1))</f>
        <v>0</v>
      </c>
      <c r="M26" s="749">
        <f>SUMIFS('予算差引簿（長）'!$R$57:$R$89,'予算差引簿（長）'!$T$57:$T$89,"確認済",'予算差引簿（長）'!$P$57:$P$89,"&gt;="&amp;DATE(年度+2019,2,1),'予算差引簿（長）'!$P$57:$P$89,"&lt;"&amp;DATE(年度+2019,3,1))</f>
        <v>0</v>
      </c>
      <c r="N26" s="749">
        <f>SUMIFS('予算差引簿（長）'!$R$57:$R$89,'予算差引簿（長）'!$T$57:$T$89,"確認済",'予算差引簿（長）'!$P$57:$P$89,"&gt;="&amp;DATE(年度+2019,3,1),'予算差引簿（長）'!$P$57:$P$89,"&lt;"&amp;DATE(年度+2019,4,1))</f>
        <v>0</v>
      </c>
      <c r="O26" s="749">
        <f>SUMIFS('予算差引簿（長）未払'!$H$99:$H$110,'予算差引簿（長）未払'!$J$99:$J$110,"確認済")</f>
        <v>0</v>
      </c>
      <c r="P26" s="833">
        <f>SUM(C26:O26)</f>
        <v>201253</v>
      </c>
      <c r="Q26" s="749" t="n"/>
      <c r="R26" s="749" t="n"/>
      <c r="S26" s="748" t="inlineStr">
        <is>
          <t>Y</t>
        </is>
      </c>
      <c r="T26" s="834" t="str">
        <f>IF(OR('予算差引簿（長）'!T54&lt;&gt;"",'予算差引簿（長）未払'!J96&lt;&gt;""),"行不足","")</f>
        <v/>
      </c>
    </row>
    <row r="27">
      <c r="A27" s="740" t="inlineStr">
        <is>
          <t>厚年負担金等</t>
        </is>
      </c>
      <c r="C27" s="749">
        <f>SUMIFS('予算差引簿（長）'!$R$100:$R$122,'予算差引簿（長）'!$T$100:$T$122,"確認済",'予算差引簿（長）'!$P$100:$P$122,"&gt;="&amp;DATE(年度+2018,4,1),'予算差引簿（長）'!$P$100:$P$122,"&lt;"&amp;DATE(年度+2018,5,1))</f>
        <v>0</v>
      </c>
      <c r="D27" s="749">
        <f>SUMIFS('予算差引簿（長）'!$R$100:$R$122,'予算差引簿（長）'!$T$100:$T$122,"確認済",'予算差引簿（長）'!$P$100:$P$122,"&gt;="&amp;DATE(年度+2018,5,1),'予算差引簿（長）'!$P$100:$P$122,"&lt;"&amp;DATE(年度+2018,6,1))</f>
        <v>0</v>
      </c>
      <c r="E27" s="749">
        <f>SUMIFS('予算差引簿（長）'!$R$100:$R$122,'予算差引簿（長）'!$T$100:$T$122,"確認済",'予算差引簿（長）'!$P$100:$P$122,"&gt;="&amp;DATE(年度+2018,6,1),'予算差引簿（長）'!$P$100:$P$122,"&lt;"&amp;DATE(年度+2018,7,1))</f>
        <v>74178</v>
      </c>
      <c r="F27" s="749">
        <f>SUMIFS('予算差引簿（長）'!$R$100:$R$122,'予算差引簿（長）'!$T$100:$T$122,"確認済",'予算差引簿（長）'!$P$100:$P$122,"&gt;="&amp;DATE(年度+2018,7,1),'予算差引簿（長）'!$P$100:$P$122,"&lt;"&amp;DATE(年度+2018,8,1))</f>
        <v>37089</v>
      </c>
      <c r="G27" s="749">
        <f>SUMIFS('予算差引簿（長）'!$R$100:$R$122,'予算差引簿（長）'!$T$100:$T$122,"確認済",'予算差引簿（長）'!$P$100:$P$122,"&gt;="&amp;DATE(年度+2018,8,1),'予算差引簿（長）'!$P$100:$P$122,"&lt;"&amp;DATE(年度+2018,9,1))</f>
        <v>119541</v>
      </c>
      <c r="H27" s="749">
        <f>SUMIFS('予算差引簿（長）'!$R$100:$R$122,'予算差引簿（長）'!$T$100:$T$122,"確認済",'予算差引簿（長）'!$P$100:$P$122,"&gt;="&amp;DATE(年度+2018,9,1),'予算差引簿（長）'!$P$100:$P$122,"&lt;"&amp;DATE(年度+2018,10,1))</f>
        <v>37089</v>
      </c>
      <c r="I27" s="749">
        <f>SUMIFS('予算差引簿（長）'!$R$100:$R$122,'予算差引簿（長）'!$T$100:$T$122,"確認済",'予算差引簿（長）'!$P$100:$P$122,"&gt;="&amp;DATE(年度+2018,10,1),'予算差引簿（長）'!$P$100:$P$122,"&lt;"&amp;DATE(年度+2018,11,1))</f>
        <v>0</v>
      </c>
      <c r="J27" s="749">
        <f>SUMIFS('予算差引簿（長）'!$R$100:$R$122,'予算差引簿（長）'!$T$100:$T$122,"確認済",'予算差引簿（長）'!$P$100:$P$122,"&gt;="&amp;DATE(年度+2018,11,1),'予算差引簿（長）'!$P$100:$P$122,"&lt;"&amp;DATE(年度+2018,12,1))</f>
        <v>35187</v>
      </c>
      <c r="K27" s="749">
        <f>SUMIFS('予算差引簿（長）'!$R$100:$R$122,'予算差引簿（長）'!$T$100:$T$122,"確認済",'予算差引簿（長）'!$P$100:$P$122,"&gt;="&amp;DATE(年度+2018,12,1),'予算差引簿（長）'!$P$100:$P$122,"&lt;"&amp;DATE(年度+2019,1,1))</f>
        <v>0</v>
      </c>
      <c r="L27" s="749">
        <f>SUMIFS('予算差引簿（長）'!$R$100:$R$122,'予算差引簿（長）'!$T$100:$T$122,"確認済",'予算差引簿（長）'!$P$100:$P$122,"&gt;="&amp;DATE(年度+2019,1,1),'予算差引簿（長）'!$P$100:$P$122,"&lt;"&amp;DATE(年度+2019,2,1))</f>
        <v>0</v>
      </c>
      <c r="M27" s="749">
        <f>SUMIFS('予算差引簿（長）'!$R$100:$R$122,'予算差引簿（長）'!$T$100:$T$122,"確認済",'予算差引簿（長）'!$P$100:$P$122,"&gt;="&amp;DATE(年度+2019,2,1),'予算差引簿（長）'!$P$100:$P$122,"&lt;"&amp;DATE(年度+2019,3,1))</f>
        <v>0</v>
      </c>
      <c r="N27" s="749">
        <f>SUMIFS('予算差引簿（長）'!$R$100:$R$122,'予算差引簿（長）'!$T$100:$T$122,"確認済",'予算差引簿（長）'!$P$100:$P$122,"&gt;="&amp;DATE(年度+2019,3,1),'予算差引簿（長）'!$P$100:$P$122,"&lt;"&amp;DATE(年度+2019,4,1))</f>
        <v>0</v>
      </c>
      <c r="O27" s="749">
        <f>SUMIFS('予算差引簿（長）未払'!$M$99:$M$110,'予算差引簿（長）未払'!$O$99:$O$110,"確認済")</f>
        <v>0</v>
      </c>
      <c r="P27" s="833">
        <f>SUM(C27:O27)</f>
        <v>303084</v>
      </c>
      <c r="Q27" s="749" t="n"/>
      <c r="R27" s="749" t="n"/>
      <c r="S27" s="748" t="inlineStr">
        <is>
          <t>Y</t>
        </is>
      </c>
      <c r="T27" s="834" t="str">
        <f>IF(OR('予算差引簿（長）'!T97&lt;&gt;"",'予算差引簿（長）未払'!O96&lt;&gt;""),"行不足","")</f>
        <v/>
      </c>
    </row>
    <row r="28">
      <c r="A28" s="740" t="inlineStr">
        <is>
          <t>労災・雇用保険料</t>
        </is>
      </c>
      <c r="C28" s="749">
        <f>SUMIFS('予算差引簿（長）'!$C$192:$C$203,'予算差引簿（長）'!$E$192:$E$203,"確認済",'予算差引簿（長）'!$A$192:$A$203,"&gt;="&amp;DATE(年度+2018,4,1),'予算差引簿（長）'!$A$192:$A$203,"&lt;"&amp;DATE(年度+2018,5,1))</f>
        <v>0</v>
      </c>
      <c r="D28" s="749">
        <f>SUMIFS('予算差引簿（長）'!$C$192:$C$203,'予算差引簿（長）'!$E$192:$E$203,"確認済",'予算差引簿（長）'!$A$192:$A$203,"&gt;="&amp;DATE(年度+2018,5,1),'予算差引簿（長）'!$A$192:$A$203,"&lt;"&amp;DATE(年度+2018,6,1))</f>
        <v>0</v>
      </c>
      <c r="E28" s="749">
        <f>SUMIFS('予算差引簿（長）'!$C$192:$C$203,'予算差引簿（長）'!$E$192:$E$203,"確認済",'予算差引簿（長）'!$A$192:$A$203,"&gt;="&amp;DATE(年度+2018,6,1),'予算差引簿（長）'!$A$192:$A$203,"&lt;"&amp;DATE(年度+2018,7,1))</f>
        <v>0</v>
      </c>
      <c r="F28" s="749">
        <f>SUMIFS('予算差引簿（長）'!$C$192:$C$203,'予算差引簿（長）'!$E$192:$E$203,"確認済",'予算差引簿（長）'!$A$192:$A$203,"&gt;="&amp;DATE(年度+2018,7,1),'予算差引簿（長）'!$A$192:$A$203,"&lt;"&amp;DATE(年度+2018,8,1))</f>
        <v>71152</v>
      </c>
      <c r="G28" s="749">
        <f>SUMIFS('予算差引簿（長）'!$C$192:$C$203,'予算差引簿（長）'!$E$192:$E$203,"確認済",'予算差引簿（長）'!$A$192:$A$203,"&gt;="&amp;DATE(年度+2018,8,1),'予算差引簿（長）'!$A$192:$A$203,"&lt;"&amp;DATE(年度+2018,9,1))</f>
        <v>0</v>
      </c>
      <c r="H28" s="749">
        <f>SUMIFS('予算差引簿（長）'!$C$192:$C$203,'予算差引簿（長）'!$E$192:$E$203,"確認済",'予算差引簿（長）'!$A$192:$A$203,"&gt;="&amp;DATE(年度+2018,9,1),'予算差引簿（長）'!$A$192:$A$203,"&lt;"&amp;DATE(年度+2018,10,1))</f>
        <v>0</v>
      </c>
      <c r="I28" s="749">
        <f>SUMIFS('予算差引簿（長）'!$C$192:$C$203,'予算差引簿（長）'!$E$192:$E$203,"確認済",'予算差引簿（長）'!$A$192:$A$203,"&gt;="&amp;DATE(年度+2018,10,1),'予算差引簿（長）'!$A$192:$A$203,"&lt;"&amp;DATE(年度+2018,11,1))</f>
        <v>0</v>
      </c>
      <c r="J28" s="749">
        <f>SUMIFS('予算差引簿（長）'!$C$192:$C$203,'予算差引簿（長）'!$E$192:$E$203,"確認済",'予算差引簿（長）'!$A$192:$A$203,"&gt;="&amp;DATE(年度+2018,11,1),'予算差引簿（長）'!$A$192:$A$203,"&lt;"&amp;DATE(年度+2018,12,1))</f>
        <v>0</v>
      </c>
      <c r="K28" s="749">
        <f>SUMIFS('予算差引簿（長）'!$C$192:$C$203,'予算差引簿（長）'!$E$192:$E$203,"確認済",'予算差引簿（長）'!$A$192:$A$203,"&gt;="&amp;DATE(年度+2018,12,1),'予算差引簿（長）'!$A$192:$A$203,"&lt;"&amp;DATE(年度+2019,1,1))</f>
        <v>0</v>
      </c>
      <c r="L28" s="749">
        <f>SUMIFS('予算差引簿（長）'!$C$192:$C$203,'予算差引簿（長）'!$E$192:$E$203,"確認済",'予算差引簿（長）'!$A$192:$A$203,"&gt;="&amp;DATE(年度+2019,1,1),'予算差引簿（長）'!$A$192:$A$203,"&lt;"&amp;DATE(年度+2019,2,1))</f>
        <v>0</v>
      </c>
      <c r="M28" s="749">
        <f>SUMIFS('予算差引簿（長）'!$C$192:$C$203,'予算差引簿（長）'!$E$192:$E$203,"確認済",'予算差引簿（長）'!$A$192:$A$203,"&gt;="&amp;DATE(年度+2019,2,1),'予算差引簿（長）'!$A$192:$A$203,"&lt;"&amp;DATE(年度+2019,3,1))</f>
        <v>0</v>
      </c>
      <c r="N28" s="749">
        <f>SUMIFS('予算差引簿（長）'!$C$192:$C$203,'予算差引簿（長）'!$E$192:$E$203,"確認済",'予算差引簿（長）'!$A$192:$A$203,"&gt;="&amp;DATE(年度+2019,3,1),'予算差引簿（長）'!$A$192:$A$203,"&lt;"&amp;DATE(年度+2019,4,1))</f>
        <v>0</v>
      </c>
      <c r="O28" s="749">
        <f>SUMIFS('予算差引簿（長）未払'!$R$99:$R$110,'予算差引簿（長）未払'!$T$99:$T$110,"確認済")</f>
        <v>0</v>
      </c>
      <c r="P28" s="833">
        <f>SUM(C28:O28)</f>
        <v>71152</v>
      </c>
      <c r="Q28" s="749" t="n"/>
      <c r="R28" s="749" t="n"/>
      <c r="S28" s="748" t="inlineStr">
        <is>
          <t>Y</t>
        </is>
      </c>
      <c r="T28" s="834" t="str">
        <f>IF(OR('予算差引簿（長）'!E189&lt;&gt;"",'予算差引簿（長）未払'!T96&lt;&gt;""),"行不足","")</f>
        <v/>
      </c>
    </row>
    <row r="29">
      <c r="A29" s="740" t="inlineStr">
        <is>
          <t>県社保協会費</t>
        </is>
      </c>
      <c r="C29" s="749">
        <f>SUMIFS('予算差引簿（長）'!$H$192:$H$203,'予算差引簿（長）'!$J$192:$J$203,"確認済",'予算差引簿（長）'!$F$192:$F$203,"&gt;="&amp;DATE(年度+2018,4,1),'予算差引簿（長）'!$F$192:$F$203,"&lt;"&amp;DATE(年度+2018,5,1))</f>
        <v>0</v>
      </c>
      <c r="D29" s="749">
        <f>SUMIFS('予算差引簿（長）'!$H$192:$H$203,'予算差引簿（長）'!$J$192:$J$203,"確認済",'予算差引簿（長）'!$F$192:$F$203,"&gt;="&amp;DATE(年度+2018,5,1),'予算差引簿（長）'!$F$192:$F$203,"&lt;"&amp;DATE(年度+2018,6,1))</f>
        <v>520</v>
      </c>
      <c r="E29" s="749">
        <f>SUMIFS('予算差引簿（長）'!$H$192:$H$203,'予算差引簿（長）'!$J$192:$J$203,"確認済",'予算差引簿（長）'!$F$192:$F$203,"&gt;="&amp;DATE(年度+2018,6,1),'予算差引簿（長）'!$F$192:$F$203,"&lt;"&amp;DATE(年度+2018,7,1))</f>
        <v>0</v>
      </c>
      <c r="F29" s="749">
        <f>SUMIFS('予算差引簿（長）'!$H$192:$H$203,'予算差引簿（長）'!$J$192:$J$203,"確認済",'予算差引簿（長）'!$F$192:$F$203,"&gt;="&amp;DATE(年度+2018,7,1),'予算差引簿（長）'!$F$192:$F$203,"&lt;"&amp;DATE(年度+2018,8,1))</f>
        <v>0</v>
      </c>
      <c r="G29" s="749">
        <f>SUMIFS('予算差引簿（長）'!$H$192:$H$203,'予算差引簿（長）'!$J$192:$J$203,"確認済",'予算差引簿（長）'!$F$192:$F$203,"&gt;="&amp;DATE(年度+2018,8,1),'予算差引簿（長）'!$F$192:$F$203,"&lt;"&amp;DATE(年度+2018,9,1))</f>
        <v>0</v>
      </c>
      <c r="H29" s="749">
        <f>SUMIFS('予算差引簿（長）'!$H$192:$H$203,'予算差引簿（長）'!$J$192:$J$203,"確認済",'予算差引簿（長）'!$F$192:$F$203,"&gt;="&amp;DATE(年度+2018,9,1),'予算差引簿（長）'!$F$192:$F$203,"&lt;"&amp;DATE(年度+2018,10,1))</f>
        <v>0</v>
      </c>
      <c r="I29" s="749">
        <f>SUMIFS('予算差引簿（長）'!$H$192:$H$203,'予算差引簿（長）'!$J$192:$J$203,"確認済",'予算差引簿（長）'!$F$192:$F$203,"&gt;="&amp;DATE(年度+2018,10,1),'予算差引簿（長）'!$F$192:$F$203,"&lt;"&amp;DATE(年度+2018,11,1))</f>
        <v>0</v>
      </c>
      <c r="J29" s="749">
        <f>SUMIFS('予算差引簿（長）'!$H$192:$H$203,'予算差引簿（長）'!$J$192:$J$203,"確認済",'予算差引簿（長）'!$F$192:$F$203,"&gt;="&amp;DATE(年度+2018,11,1),'予算差引簿（長）'!$F$192:$F$203,"&lt;"&amp;DATE(年度+2018,12,1))</f>
        <v>0</v>
      </c>
      <c r="K29" s="749">
        <f>SUMIFS('予算差引簿（長）'!$H$192:$H$203,'予算差引簿（長）'!$J$192:$J$203,"確認済",'予算差引簿（長）'!$F$192:$F$203,"&gt;="&amp;DATE(年度+2018,12,1),'予算差引簿（長）'!$F$192:$F$203,"&lt;"&amp;DATE(年度+2019,1,1))</f>
        <v>0</v>
      </c>
      <c r="L29" s="749">
        <f>SUMIFS('予算差引簿（長）'!$H$192:$H$203,'予算差引簿（長）'!$J$192:$J$203,"確認済",'予算差引簿（長）'!$F$192:$F$203,"&gt;="&amp;DATE(年度+2019,1,1),'予算差引簿（長）'!$F$192:$F$203,"&lt;"&amp;DATE(年度+2019,2,1))</f>
        <v>0</v>
      </c>
      <c r="M29" s="749">
        <f>SUMIFS('予算差引簿（長）'!$H$192:$H$203,'予算差引簿（長）'!$J$192:$J$203,"確認済",'予算差引簿（長）'!$F$192:$F$203,"&gt;="&amp;DATE(年度+2019,2,1),'予算差引簿（長）'!$F$192:$F$203,"&lt;"&amp;DATE(年度+2019,3,1))</f>
        <v>0</v>
      </c>
      <c r="N29" s="749">
        <f>SUMIFS('予算差引簿（長）'!$H$192:$H$203,'予算差引簿（長）'!$J$192:$J$203,"確認済",'予算差引簿（長）'!$F$192:$F$203,"&gt;="&amp;DATE(年度+2019,3,1),'予算差引簿（長）'!$F$192:$F$203,"&lt;"&amp;DATE(年度+2019,4,1))</f>
        <v>0</v>
      </c>
      <c r="O29" s="749">
        <f>SUMIFS('予算差引簿（長）未払'!$C$117:$C$128,'予算差引簿（長）未払'!$E$117:$E$128,"確認済")</f>
        <v>0</v>
      </c>
      <c r="P29" s="833">
        <f>SUM(C29:O29)</f>
        <v>520</v>
      </c>
      <c r="Q29" s="749">
        <f>'R7業務（長）'!$S$32</f>
        <v>1000</v>
      </c>
      <c r="R29" s="749">
        <f>IF(Q29="","",Q29-P29)</f>
        <v>480</v>
      </c>
      <c r="S29" s="748" t="inlineStr">
        <is>
          <t>Y</t>
        </is>
      </c>
      <c r="T29" s="834" t="str">
        <f>IF(OR('予算差引簿（長）'!J189&lt;&gt;"",'予算差引簿（長）未払'!E114&lt;&gt;""),"行不足","")</f>
        <v/>
      </c>
    </row>
    <row r="30">
      <c r="A30" s="740" t="inlineStr">
        <is>
          <t>事務費負担金払込金</t>
        </is>
      </c>
      <c r="C30" s="749">
        <f>SUMIFS('予算差引簿（長）'!$M$100:$M$124,'予算差引簿（長）'!$O$100:$O$124,"確認済",'予算差引簿（長）'!$K$100:$K$124,"&gt;="&amp;DATE(年度+2018,4,1),'予算差引簿（長）'!$K$100:$K$124,"&lt;"&amp;DATE(年度+2018,5,1))</f>
        <v>0</v>
      </c>
      <c r="D30" s="749">
        <f>SUMIFS('予算差引簿（長）'!$M$100:$M$124,'予算差引簿（長）'!$O$100:$O$124,"確認済",'予算差引簿（長）'!$K$100:$K$124,"&gt;="&amp;DATE(年度+2018,5,1),'予算差引簿（長）'!$K$100:$K$124,"&lt;"&amp;DATE(年度+2018,6,1))</f>
        <v>5366000</v>
      </c>
      <c r="E30" s="749">
        <f>SUMIFS('予算差引簿（長）'!$M$100:$M$124,'予算差引簿（長）'!$O$100:$O$124,"確認済",'予算差引簿（長）'!$K$100:$K$124,"&gt;="&amp;DATE(年度+2018,6,1),'予算差引簿（長）'!$K$100:$K$124,"&lt;"&amp;DATE(年度+2018,7,1))</f>
        <v>5366000</v>
      </c>
      <c r="F30" s="749">
        <f>SUMIFS('予算差引簿（長）'!$M$100:$M$124,'予算差引簿（長）'!$O$100:$O$124,"確認済",'予算差引簿（長）'!$K$100:$K$124,"&gt;="&amp;DATE(年度+2018,7,1),'予算差引簿（長）'!$K$100:$K$124,"&lt;"&amp;DATE(年度+2018,8,1))</f>
        <v>5366000</v>
      </c>
      <c r="G30" s="749">
        <f>SUMIFS('予算差引簿（長）'!$M$100:$M$124,'予算差引簿（長）'!$O$100:$O$124,"確認済",'予算差引簿（長）'!$K$100:$K$124,"&gt;="&amp;DATE(年度+2018,8,1),'予算差引簿（長）'!$K$100:$K$124,"&lt;"&amp;DATE(年度+2018,9,1))</f>
        <v>5366000</v>
      </c>
      <c r="H30" s="749">
        <f>SUMIFS('予算差引簿（長）'!$M$100:$M$124,'予算差引簿（長）'!$O$100:$O$124,"確認済",'予算差引簿（長）'!$K$100:$K$124,"&gt;="&amp;DATE(年度+2018,9,1),'予算差引簿（長）'!$K$100:$K$124,"&lt;"&amp;DATE(年度+2018,10,1))</f>
        <v>5366000</v>
      </c>
      <c r="I30" s="749">
        <f>SUMIFS('予算差引簿（長）'!$M$100:$M$124,'予算差引簿（長）'!$O$100:$O$124,"確認済",'予算差引簿（長）'!$K$100:$K$124,"&gt;="&amp;DATE(年度+2018,10,1),'予算差引簿（長）'!$K$100:$K$124,"&lt;"&amp;DATE(年度+2018,11,1))</f>
        <v>5366000</v>
      </c>
      <c r="J30" s="749">
        <f>SUMIFS('予算差引簿（長）'!$M$100:$M$124,'予算差引簿（長）'!$O$100:$O$124,"確認済",'予算差引簿（長）'!$K$100:$K$124,"&gt;="&amp;DATE(年度+2018,11,1),'予算差引簿（長）'!$K$100:$K$124,"&lt;"&amp;DATE(年度+2018,12,1))</f>
        <v>5366000</v>
      </c>
      <c r="K30" s="749">
        <f>SUMIFS('予算差引簿（長）'!$M$100:$M$124,'予算差引簿（長）'!$O$100:$O$124,"確認済",'予算差引簿（長）'!$K$100:$K$124,"&gt;="&amp;DATE(年度+2018,12,1),'予算差引簿（長）'!$K$100:$K$124,"&lt;"&amp;DATE(年度+2019,1,1))</f>
        <v>0</v>
      </c>
      <c r="L30" s="749">
        <f>SUMIFS('予算差引簿（長）'!$M$100:$M$124,'予算差引簿（長）'!$O$100:$O$124,"確認済",'予算差引簿（長）'!$K$100:$K$124,"&gt;="&amp;DATE(年度+2019,1,1),'予算差引簿（長）'!$K$100:$K$124,"&lt;"&amp;DATE(年度+2019,2,1))</f>
        <v>0</v>
      </c>
      <c r="M30" s="749">
        <f>SUMIFS('予算差引簿（長）'!$M$100:$M$124,'予算差引簿（長）'!$O$100:$O$124,"確認済",'予算差引簿（長）'!$K$100:$K$124,"&gt;="&amp;DATE(年度+2019,2,1),'予算差引簿（長）'!$K$100:$K$124,"&lt;"&amp;DATE(年度+2019,3,1))</f>
        <v>0</v>
      </c>
      <c r="N30" s="749">
        <f>SUMIFS('予算差引簿（長）'!$M$100:$M$124,'予算差引簿（長）'!$O$100:$O$124,"確認済",'予算差引簿（長）'!$K$100:$K$124,"&gt;="&amp;DATE(年度+2019,3,1),'予算差引簿（長）'!$K$100:$K$124,"&lt;"&amp;DATE(年度+2019,4,1))</f>
        <v>0</v>
      </c>
      <c r="O30" s="749">
        <f>SUMIFS('予算差引簿（長）未払'!$H$117:$H$128,'予算差引簿（長）未払'!$J$117:$J$128,"確認済")</f>
        <v>0</v>
      </c>
      <c r="P30" s="833">
        <f>SUM(C30:O30)</f>
        <v>37562000</v>
      </c>
      <c r="Q30" s="749">
        <f>'R7業務（長）'!$S$35</f>
        <v>64386000</v>
      </c>
      <c r="R30" s="749">
        <f>IF(Q30="","",Q30-P30)</f>
        <v>26824000</v>
      </c>
      <c r="S30" s="748" t="inlineStr">
        <is>
          <t>Y</t>
        </is>
      </c>
      <c r="T30" s="834" t="str">
        <f>IF(OR('予算差引簿（長）'!O97&lt;&gt;"",'予算差引簿（長）未払'!J114&lt;&gt;""),"行不足","")</f>
        <v/>
      </c>
    </row>
    <row r="31">
      <c r="A31" s="740" t="inlineStr">
        <is>
          <t>雑費</t>
        </is>
      </c>
      <c r="C31" s="749">
        <f>SUMIFS('予算差引簿（長）'!$M$192:$M$203,'予算差引簿（長）'!$O$192:$O$203,"確認済",'予算差引簿（長）'!$K$192:$K$203,"&gt;="&amp;DATE(年度+2018,4,1),'予算差引簿（長）'!$K$192:$K$203,"&lt;"&amp;DATE(年度+2018,5,1))</f>
        <v>0</v>
      </c>
      <c r="D31" s="749">
        <f>SUMIFS('予算差引簿（長）'!$M$192:$M$203,'予算差引簿（長）'!$O$192:$O$203,"確認済",'予算差引簿（長）'!$K$192:$K$203,"&gt;="&amp;DATE(年度+2018,5,1),'予算差引簿（長）'!$K$192:$K$203,"&lt;"&amp;DATE(年度+2018,6,1))</f>
        <v>0</v>
      </c>
      <c r="E31" s="749">
        <f>SUMIFS('予算差引簿（長）'!$M$192:$M$203,'予算差引簿（長）'!$O$192:$O$203,"確認済",'予算差引簿（長）'!$K$192:$K$203,"&gt;="&amp;DATE(年度+2018,6,1),'予算差引簿（長）'!$K$192:$K$203,"&lt;"&amp;DATE(年度+2018,7,1))</f>
        <v>0</v>
      </c>
      <c r="F31" s="749">
        <f>SUMIFS('予算差引簿（長）'!$M$192:$M$203,'予算差引簿（長）'!$O$192:$O$203,"確認済",'予算差引簿（長）'!$K$192:$K$203,"&gt;="&amp;DATE(年度+2018,7,1),'予算差引簿（長）'!$K$192:$K$203,"&lt;"&amp;DATE(年度+2018,8,1))</f>
        <v>0</v>
      </c>
      <c r="G31" s="749">
        <f>SUMIFS('予算差引簿（長）'!$M$192:$M$203,'予算差引簿（長）'!$O$192:$O$203,"確認済",'予算差引簿（長）'!$K$192:$K$203,"&gt;="&amp;DATE(年度+2018,8,1),'予算差引簿（長）'!$K$192:$K$203,"&lt;"&amp;DATE(年度+2018,9,1))</f>
        <v>0</v>
      </c>
      <c r="H31" s="749">
        <f>SUMIFS('予算差引簿（長）'!$M$192:$M$203,'予算差引簿（長）'!$O$192:$O$203,"確認済",'予算差引簿（長）'!$K$192:$K$203,"&gt;="&amp;DATE(年度+2018,9,1),'予算差引簿（長）'!$K$192:$K$203,"&lt;"&amp;DATE(年度+2018,10,1))</f>
        <v>0</v>
      </c>
      <c r="I31" s="749">
        <f>SUMIFS('予算差引簿（長）'!$M$192:$M$203,'予算差引簿（長）'!$O$192:$O$203,"確認済",'予算差引簿（長）'!$K$192:$K$203,"&gt;="&amp;DATE(年度+2018,10,1),'予算差引簿（長）'!$K$192:$K$203,"&lt;"&amp;DATE(年度+2018,11,1))</f>
        <v>0</v>
      </c>
      <c r="J31" s="749">
        <f>SUMIFS('予算差引簿（長）'!$M$192:$M$203,'予算差引簿（長）'!$O$192:$O$203,"確認済",'予算差引簿（長）'!$K$192:$K$203,"&gt;="&amp;DATE(年度+2018,11,1),'予算差引簿（長）'!$K$192:$K$203,"&lt;"&amp;DATE(年度+2018,12,1))</f>
        <v>0</v>
      </c>
      <c r="K31" s="749">
        <f>SUMIFS('予算差引簿（長）'!$M$192:$M$203,'予算差引簿（長）'!$O$192:$O$203,"確認済",'予算差引簿（長）'!$K$192:$K$203,"&gt;="&amp;DATE(年度+2018,12,1),'予算差引簿（長）'!$K$192:$K$203,"&lt;"&amp;DATE(年度+2019,1,1))</f>
        <v>0</v>
      </c>
      <c r="L31" s="749">
        <f>SUMIFS('予算差引簿（長）'!$M$192:$M$203,'予算差引簿（長）'!$O$192:$O$203,"確認済",'予算差引簿（長）'!$K$192:$K$203,"&gt;="&amp;DATE(年度+2019,1,1),'予算差引簿（長）'!$K$192:$K$203,"&lt;"&amp;DATE(年度+2019,2,1))</f>
        <v>0</v>
      </c>
      <c r="M31" s="749">
        <f>SUMIFS('予算差引簿（長）'!$M$192:$M$203,'予算差引簿（長）'!$O$192:$O$203,"確認済",'予算差引簿（長）'!$K$192:$K$203,"&gt;="&amp;DATE(年度+2019,2,1),'予算差引簿（長）'!$K$192:$K$203,"&lt;"&amp;DATE(年度+2019,3,1))</f>
        <v>0</v>
      </c>
      <c r="N31" s="749">
        <f>SUMIFS('予算差引簿（長）'!$M$192:$M$203,'予算差引簿（長）'!$O$192:$O$203,"確認済",'予算差引簿（長）'!$K$192:$K$203,"&gt;="&amp;DATE(年度+2019,3,1),'予算差引簿（長）'!$K$192:$K$203,"&lt;"&amp;DATE(年度+2019,4,1))</f>
        <v>0</v>
      </c>
      <c r="O31" s="749">
        <f>SUMIFS('予算差引簿（長）未払'!$M$117:$M$128,'予算差引簿（長）未払'!$O$117:$O$128,"確認済")</f>
        <v>0</v>
      </c>
      <c r="P31" s="833">
        <f>SUM(C31:O31)</f>
        <v>0</v>
      </c>
      <c r="Q31" s="749">
        <f>'R7業務（長）'!$S$36</f>
        <v>0</v>
      </c>
      <c r="R31" s="749">
        <f>IF(Q31="","",Q31-P31)</f>
        <v>0</v>
      </c>
      <c r="S31" s="748" t="inlineStr">
        <is>
          <t>Y</t>
        </is>
      </c>
      <c r="T31" s="834" t="str">
        <f>IF(OR('予算差引簿（長）'!O189&lt;&gt;"",'予算差引簿（長）未払'!O114&lt;&gt;""),"行不足","")</f>
        <v/>
      </c>
    </row>
    <row r="32">
      <c r="A32" s="740" t="inlineStr">
        <is>
          <t>減価償却費</t>
        </is>
      </c>
      <c r="C32" s="749">
        <f>SUMIFS('予算差引簿（長）'!$R$192:$R$203,'予算差引簿（長）'!$T$192:$T$203,"確認済",'予算差引簿（長）'!$P$192:$P$203,"&gt;="&amp;DATE(年度+2018,4,1),'予算差引簿（長）'!$P$192:$P$203,"&lt;"&amp;DATE(年度+2018,5,1))</f>
        <v>0</v>
      </c>
      <c r="D32" s="749">
        <f>SUMIFS('予算差引簿（長）'!$R$192:$R$203,'予算差引簿（長）'!$T$192:$T$203,"確認済",'予算差引簿（長）'!$P$192:$P$203,"&gt;="&amp;DATE(年度+2018,5,1),'予算差引簿（長）'!$P$192:$P$203,"&lt;"&amp;DATE(年度+2018,6,1))</f>
        <v>0</v>
      </c>
      <c r="E32" s="749">
        <f>SUMIFS('予算差引簿（長）'!$R$192:$R$203,'予算差引簿（長）'!$T$192:$T$203,"確認済",'予算差引簿（長）'!$P$192:$P$203,"&gt;="&amp;DATE(年度+2018,6,1),'予算差引簿（長）'!$P$192:$P$203,"&lt;"&amp;DATE(年度+2018,7,1))</f>
        <v>0</v>
      </c>
      <c r="F32" s="749">
        <f>SUMIFS('予算差引簿（長）'!$R$192:$R$203,'予算差引簿（長）'!$T$192:$T$203,"確認済",'予算差引簿（長）'!$P$192:$P$203,"&gt;="&amp;DATE(年度+2018,7,1),'予算差引簿（長）'!$P$192:$P$203,"&lt;"&amp;DATE(年度+2018,8,1))</f>
        <v>0</v>
      </c>
      <c r="G32" s="749">
        <f>SUMIFS('予算差引簿（長）'!$R$192:$R$203,'予算差引簿（長）'!$T$192:$T$203,"確認済",'予算差引簿（長）'!$P$192:$P$203,"&gt;="&amp;DATE(年度+2018,8,1),'予算差引簿（長）'!$P$192:$P$203,"&lt;"&amp;DATE(年度+2018,9,1))</f>
        <v>0</v>
      </c>
      <c r="H32" s="749">
        <f>SUMIFS('予算差引簿（長）'!$R$192:$R$203,'予算差引簿（長）'!$T$192:$T$203,"確認済",'予算差引簿（長）'!$P$192:$P$203,"&gt;="&amp;DATE(年度+2018,9,1),'予算差引簿（長）'!$P$192:$P$203,"&lt;"&amp;DATE(年度+2018,10,1))</f>
        <v>0</v>
      </c>
      <c r="I32" s="749">
        <f>SUMIFS('予算差引簿（長）'!$R$192:$R$203,'予算差引簿（長）'!$T$192:$T$203,"確認済",'予算差引簿（長）'!$P$192:$P$203,"&gt;="&amp;DATE(年度+2018,10,1),'予算差引簿（長）'!$P$192:$P$203,"&lt;"&amp;DATE(年度+2018,11,1))</f>
        <v>0</v>
      </c>
      <c r="J32" s="749">
        <f>SUMIFS('予算差引簿（長）'!$R$192:$R$203,'予算差引簿（長）'!$T$192:$T$203,"確認済",'予算差引簿（長）'!$P$192:$P$203,"&gt;="&amp;DATE(年度+2018,11,1),'予算差引簿（長）'!$P$192:$P$203,"&lt;"&amp;DATE(年度+2018,12,1))</f>
        <v>0</v>
      </c>
      <c r="K32" s="749">
        <f>SUMIFS('予算差引簿（長）'!$R$192:$R$203,'予算差引簿（長）'!$T$192:$T$203,"確認済",'予算差引簿（長）'!$P$192:$P$203,"&gt;="&amp;DATE(年度+2018,12,1),'予算差引簿（長）'!$P$192:$P$203,"&lt;"&amp;DATE(年度+2019,1,1))</f>
        <v>0</v>
      </c>
      <c r="L32" s="749">
        <f>SUMIFS('予算差引簿（長）'!$R$192:$R$203,'予算差引簿（長）'!$T$192:$T$203,"確認済",'予算差引簿（長）'!$P$192:$P$203,"&gt;="&amp;DATE(年度+2019,1,1),'予算差引簿（長）'!$P$192:$P$203,"&lt;"&amp;DATE(年度+2019,2,1))</f>
        <v>0</v>
      </c>
      <c r="M32" s="749">
        <f>SUMIFS('予算差引簿（長）'!$R$192:$R$203,'予算差引簿（長）'!$T$192:$T$203,"確認済",'予算差引簿（長）'!$P$192:$P$203,"&gt;="&amp;DATE(年度+2019,2,1),'予算差引簿（長）'!$P$192:$P$203,"&lt;"&amp;DATE(年度+2019,3,1))</f>
        <v>0</v>
      </c>
      <c r="N32" s="749">
        <f>SUMIFS('予算差引簿（長）'!$R$192:$R$203,'予算差引簿（長）'!$T$192:$T$203,"確認済",'予算差引簿（長）'!$P$192:$P$203,"&gt;="&amp;DATE(年度+2019,3,1),'予算差引簿（長）'!$P$192:$P$203,"&lt;"&amp;DATE(年度+2019,4,1))</f>
        <v>0</v>
      </c>
      <c r="O32" s="749">
        <f>SUMIFS('予算差引簿（長）未払'!$R$117:$R$128,'予算差引簿（長）未払'!$T$117:$T$128,"確認済")</f>
        <v>0</v>
      </c>
      <c r="P32" s="833">
        <f>SUM(C32:O32)</f>
        <v>0</v>
      </c>
      <c r="Q32" s="749">
        <f>'R7業務（長）'!$S$37</f>
        <v>0</v>
      </c>
      <c r="R32" s="749">
        <f>IF(Q32="","",Q32-P32)</f>
        <v>0</v>
      </c>
      <c r="S32" s="748" t="inlineStr">
        <is>
          <t>Y</t>
        </is>
      </c>
      <c r="T32" s="834" t="str">
        <f>IF(OR('予算差引簿（長）'!T189&lt;&gt;"",'予算差引簿（長）未払'!T114&lt;&gt;""),"行不足","")</f>
        <v/>
      </c>
    </row>
    <row r="33">
      <c r="A33" s="740" t="inlineStr">
        <is>
          <t>器具及び備品</t>
        </is>
      </c>
      <c r="C33" s="749">
        <f>SUMIFS('予算差引簿（長）'!$C$210:$C$221,'予算差引簿（長）'!$E$210:$E$221,"確認済",'予算差引簿（長）'!$A$210:$A$221,"&gt;="&amp;DATE(年度+2018,4,1),'予算差引簿（長）'!$A$210:$A$221,"&lt;"&amp;DATE(年度+2018,5,1))</f>
        <v>0</v>
      </c>
      <c r="D33" s="749">
        <f>SUMIFS('予算差引簿（長）'!$C$210:$C$221,'予算差引簿（長）'!$E$210:$E$221,"確認済",'予算差引簿（長）'!$A$210:$A$221,"&gt;="&amp;DATE(年度+2018,5,1),'予算差引簿（長）'!$A$210:$A$221,"&lt;"&amp;DATE(年度+2018,6,1))</f>
        <v>0</v>
      </c>
      <c r="E33" s="749">
        <f>SUMIFS('予算差引簿（長）'!$C$210:$C$221,'予算差引簿（長）'!$E$210:$E$221,"確認済",'予算差引簿（長）'!$A$210:$A$221,"&gt;="&amp;DATE(年度+2018,6,1),'予算差引簿（長）'!$A$210:$A$221,"&lt;"&amp;DATE(年度+2018,7,1))</f>
        <v>0</v>
      </c>
      <c r="F33" s="749">
        <f>SUMIFS('予算差引簿（長）'!$C$210:$C$221,'予算差引簿（長）'!$E$210:$E$221,"確認済",'予算差引簿（長）'!$A$210:$A$221,"&gt;="&amp;DATE(年度+2018,7,1),'予算差引簿（長）'!$A$210:$A$221,"&lt;"&amp;DATE(年度+2018,8,1))</f>
        <v>0</v>
      </c>
      <c r="G33" s="749">
        <f>SUMIFS('予算差引簿（長）'!$C$210:$C$221,'予算差引簿（長）'!$E$210:$E$221,"確認済",'予算差引簿（長）'!$A$210:$A$221,"&gt;="&amp;DATE(年度+2018,8,1),'予算差引簿（長）'!$A$210:$A$221,"&lt;"&amp;DATE(年度+2018,9,1))</f>
        <v>0</v>
      </c>
      <c r="H33" s="749">
        <f>SUMIFS('予算差引簿（長）'!$C$210:$C$221,'予算差引簿（長）'!$E$210:$E$221,"確認済",'予算差引簿（長）'!$A$210:$A$221,"&gt;="&amp;DATE(年度+2018,9,1),'予算差引簿（長）'!$A$210:$A$221,"&lt;"&amp;DATE(年度+2018,10,1))</f>
        <v>0</v>
      </c>
      <c r="I33" s="749">
        <f>SUMIFS('予算差引簿（長）'!$C$210:$C$221,'予算差引簿（長）'!$E$210:$E$221,"確認済",'予算差引簿（長）'!$A$210:$A$221,"&gt;="&amp;DATE(年度+2018,10,1),'予算差引簿（長）'!$A$210:$A$221,"&lt;"&amp;DATE(年度+2018,11,1))</f>
        <v>0</v>
      </c>
      <c r="J33" s="749">
        <f>SUMIFS('予算差引簿（長）'!$C$210:$C$221,'予算差引簿（長）'!$E$210:$E$221,"確認済",'予算差引簿（長）'!$A$210:$A$221,"&gt;="&amp;DATE(年度+2018,11,1),'予算差引簿（長）'!$A$210:$A$221,"&lt;"&amp;DATE(年度+2018,12,1))</f>
        <v>0</v>
      </c>
      <c r="K33" s="749">
        <f>SUMIFS('予算差引簿（長）'!$C$210:$C$221,'予算差引簿（長）'!$E$210:$E$221,"確認済",'予算差引簿（長）'!$A$210:$A$221,"&gt;="&amp;DATE(年度+2018,12,1),'予算差引簿（長）'!$A$210:$A$221,"&lt;"&amp;DATE(年度+2019,1,1))</f>
        <v>0</v>
      </c>
      <c r="L33" s="749">
        <f>SUMIFS('予算差引簿（長）'!$C$210:$C$221,'予算差引簿（長）'!$E$210:$E$221,"確認済",'予算差引簿（長）'!$A$210:$A$221,"&gt;="&amp;DATE(年度+2019,1,1),'予算差引簿（長）'!$A$210:$A$221,"&lt;"&amp;DATE(年度+2019,2,1))</f>
        <v>0</v>
      </c>
      <c r="M33" s="749">
        <f>SUMIFS('予算差引簿（長）'!$C$210:$C$221,'予算差引簿（長）'!$E$210:$E$221,"確認済",'予算差引簿（長）'!$A$210:$A$221,"&gt;="&amp;DATE(年度+2019,2,1),'予算差引簿（長）'!$A$210:$A$221,"&lt;"&amp;DATE(年度+2019,3,1))</f>
        <v>0</v>
      </c>
      <c r="N33" s="749">
        <f>SUMIFS('予算差引簿（長）'!$C$210:$C$221,'予算差引簿（長）'!$E$210:$E$221,"確認済",'予算差引簿（長）'!$A$210:$A$221,"&gt;="&amp;DATE(年度+2019,3,1),'予算差引簿（長）'!$A$210:$A$221,"&lt;"&amp;DATE(年度+2019,4,1))</f>
        <v>0</v>
      </c>
      <c r="O33" s="749">
        <f>SUMIFS('予算差引簿（長）未払'!$C$135:$C$146,'予算差引簿（長）未払'!$E$135:$E$146,"確認済")</f>
        <v>0</v>
      </c>
      <c r="P33" s="833">
        <f>SUM(C33:O33)</f>
        <v>0</v>
      </c>
      <c r="Q33" s="749" t="n"/>
      <c r="R33" s="749" t="n"/>
      <c r="S33" s="748" t="inlineStr">
        <is>
          <t>N</t>
        </is>
      </c>
      <c r="T33" s="834" t="str">
        <f>IF(OR('予算差引簿（長）'!E207&lt;&gt;"",'予算差引簿（長）未払'!E132&lt;&gt;""),"行不足","")</f>
        <v/>
      </c>
    </row>
    <row r="34">
      <c r="A34" s="740" t="inlineStr">
        <is>
          <t>前期損益修正損</t>
        </is>
      </c>
      <c r="C34" s="749">
        <f>SUMIFS('予算差引簿（長）'!$H$210:$H$221,'予算差引簿（長）'!$J$210:$J$221,"確認済",'予算差引簿（長）'!$F$210:$F$221,"&gt;="&amp;DATE(年度+2018,4,1),'予算差引簿（長）'!$F$210:$F$221,"&lt;"&amp;DATE(年度+2018,5,1))</f>
        <v>0</v>
      </c>
      <c r="D34" s="749">
        <f>SUMIFS('予算差引簿（長）'!$H$210:$H$221,'予算差引簿（長）'!$J$210:$J$221,"確認済",'予算差引簿（長）'!$F$210:$F$221,"&gt;="&amp;DATE(年度+2018,5,1),'予算差引簿（長）'!$F$210:$F$221,"&lt;"&amp;DATE(年度+2018,6,1))</f>
        <v>0</v>
      </c>
      <c r="E34" s="749">
        <f>SUMIFS('予算差引簿（長）'!$H$210:$H$221,'予算差引簿（長）'!$J$210:$J$221,"確認済",'予算差引簿（長）'!$F$210:$F$221,"&gt;="&amp;DATE(年度+2018,6,1),'予算差引簿（長）'!$F$210:$F$221,"&lt;"&amp;DATE(年度+2018,7,1))</f>
        <v>0</v>
      </c>
      <c r="F34" s="749">
        <f>SUMIFS('予算差引簿（長）'!$H$210:$H$221,'予算差引簿（長）'!$J$210:$J$221,"確認済",'予算差引簿（長）'!$F$210:$F$221,"&gt;="&amp;DATE(年度+2018,7,1),'予算差引簿（長）'!$F$210:$F$221,"&lt;"&amp;DATE(年度+2018,8,1))</f>
        <v>0</v>
      </c>
      <c r="G34" s="749">
        <f>SUMIFS('予算差引簿（長）'!$H$210:$H$221,'予算差引簿（長）'!$J$210:$J$221,"確認済",'予算差引簿（長）'!$F$210:$F$221,"&gt;="&amp;DATE(年度+2018,8,1),'予算差引簿（長）'!$F$210:$F$221,"&lt;"&amp;DATE(年度+2018,9,1))</f>
        <v>0</v>
      </c>
      <c r="H34" s="749">
        <f>SUMIFS('予算差引簿（長）'!$H$210:$H$221,'予算差引簿（長）'!$J$210:$J$221,"確認済",'予算差引簿（長）'!$F$210:$F$221,"&gt;="&amp;DATE(年度+2018,9,1),'予算差引簿（長）'!$F$210:$F$221,"&lt;"&amp;DATE(年度+2018,10,1))</f>
        <v>0</v>
      </c>
      <c r="I34" s="749">
        <f>SUMIFS('予算差引簿（長）'!$H$210:$H$221,'予算差引簿（長）'!$J$210:$J$221,"確認済",'予算差引簿（長）'!$F$210:$F$221,"&gt;="&amp;DATE(年度+2018,10,1),'予算差引簿（長）'!$F$210:$F$221,"&lt;"&amp;DATE(年度+2018,11,1))</f>
        <v>0</v>
      </c>
      <c r="J34" s="749">
        <f>SUMIFS('予算差引簿（長）'!$H$210:$H$221,'予算差引簿（長）'!$J$210:$J$221,"確認済",'予算差引簿（長）'!$F$210:$F$221,"&gt;="&amp;DATE(年度+2018,11,1),'予算差引簿（長）'!$F$210:$F$221,"&lt;"&amp;DATE(年度+2018,12,1))</f>
        <v>0</v>
      </c>
      <c r="K34" s="749">
        <f>SUMIFS('予算差引簿（長）'!$H$210:$H$221,'予算差引簿（長）'!$J$210:$J$221,"確認済",'予算差引簿（長）'!$F$210:$F$221,"&gt;="&amp;DATE(年度+2018,12,1),'予算差引簿（長）'!$F$210:$F$221,"&lt;"&amp;DATE(年度+2019,1,1))</f>
        <v>0</v>
      </c>
      <c r="L34" s="749">
        <f>SUMIFS('予算差引簿（長）'!$H$210:$H$221,'予算差引簿（長）'!$J$210:$J$221,"確認済",'予算差引簿（長）'!$F$210:$F$221,"&gt;="&amp;DATE(年度+2019,1,1),'予算差引簿（長）'!$F$210:$F$221,"&lt;"&amp;DATE(年度+2019,2,1))</f>
        <v>0</v>
      </c>
      <c r="M34" s="749">
        <f>SUMIFS('予算差引簿（長）'!$H$210:$H$221,'予算差引簿（長）'!$J$210:$J$221,"確認済",'予算差引簿（長）'!$F$210:$F$221,"&gt;="&amp;DATE(年度+2019,2,1),'予算差引簿（長）'!$F$210:$F$221,"&lt;"&amp;DATE(年度+2019,3,1))</f>
        <v>0</v>
      </c>
      <c r="N34" s="749">
        <f>SUMIFS('予算差引簿（長）'!$H$210:$H$221,'予算差引簿（長）'!$J$210:$J$221,"確認済",'予算差引簿（長）'!$F$210:$F$221,"&gt;="&amp;DATE(年度+2019,3,1),'予算差引簿（長）'!$F$210:$F$221,"&lt;"&amp;DATE(年度+2019,4,1))</f>
        <v>0</v>
      </c>
      <c r="O34" s="749">
        <f>SUMIFS('予算差引簿（長）未払'!$H$135:$H$146,'予算差引簿（長）未払'!$J$135:$J$146,"確認済")</f>
        <v>0</v>
      </c>
      <c r="P34" s="833">
        <f>SUM(C34:O34)</f>
        <v>0</v>
      </c>
      <c r="Q34" s="749" t="n"/>
      <c r="R34" s="749" t="n"/>
      <c r="S34" s="748" t="inlineStr">
        <is>
          <t>N</t>
        </is>
      </c>
      <c r="T34" s="834" t="str">
        <f>IF(OR('予算差引簿（長）'!J207&lt;&gt;"",'予算差引簿（長）未払'!J132&lt;&gt;""),"行不足","")</f>
        <v/>
      </c>
    </row>
    <row r="35">
      <c r="A35" s="740" t="inlineStr">
        <is>
          <t>立替金</t>
        </is>
      </c>
      <c r="C35" s="749">
        <f>SUMIFS('予算差引簿（長）'!$M$210:$M$221,'予算差引簿（長）'!$O$210:$O$221,"確認済",'予算差引簿（長）'!$K$210:$K$221,"&gt;="&amp;DATE(年度+2018,4,1),'予算差引簿（長）'!$K$210:$K$221,"&lt;"&amp;DATE(年度+2018,5,1))</f>
        <v>0</v>
      </c>
      <c r="D35" s="749">
        <f>SUMIFS('予算差引簿（長）'!$M$210:$M$221,'予算差引簿（長）'!$O$210:$O$221,"確認済",'予算差引簿（長）'!$K$210:$K$221,"&gt;="&amp;DATE(年度+2018,5,1),'予算差引簿（長）'!$K$210:$K$221,"&lt;"&amp;DATE(年度+2018,6,1))</f>
        <v>0</v>
      </c>
      <c r="E35" s="749">
        <f>SUMIFS('予算差引簿（長）'!$M$210:$M$221,'予算差引簿（長）'!$O$210:$O$221,"確認済",'予算差引簿（長）'!$K$210:$K$221,"&gt;="&amp;DATE(年度+2018,6,1),'予算差引簿（長）'!$K$210:$K$221,"&lt;"&amp;DATE(年度+2018,7,1))</f>
        <v>0</v>
      </c>
      <c r="F35" s="749">
        <f>SUMIFS('予算差引簿（長）'!$M$210:$M$221,'予算差引簿（長）'!$O$210:$O$221,"確認済",'予算差引簿（長）'!$K$210:$K$221,"&gt;="&amp;DATE(年度+2018,7,1),'予算差引簿（長）'!$K$210:$K$221,"&lt;"&amp;DATE(年度+2018,8,1))</f>
        <v>0</v>
      </c>
      <c r="G35" s="749">
        <f>SUMIFS('予算差引簿（長）'!$M$210:$M$221,'予算差引簿（長）'!$O$210:$O$221,"確認済",'予算差引簿（長）'!$K$210:$K$221,"&gt;="&amp;DATE(年度+2018,8,1),'予算差引簿（長）'!$K$210:$K$221,"&lt;"&amp;DATE(年度+2018,9,1))</f>
        <v>0</v>
      </c>
      <c r="H35" s="749">
        <f>SUMIFS('予算差引簿（長）'!$M$210:$M$221,'予算差引簿（長）'!$O$210:$O$221,"確認済",'予算差引簿（長）'!$K$210:$K$221,"&gt;="&amp;DATE(年度+2018,9,1),'予算差引簿（長）'!$K$210:$K$221,"&lt;"&amp;DATE(年度+2018,10,1))</f>
        <v>0</v>
      </c>
      <c r="I35" s="749">
        <f>SUMIFS('予算差引簿（長）'!$M$210:$M$221,'予算差引簿（長）'!$O$210:$O$221,"確認済",'予算差引簿（長）'!$K$210:$K$221,"&gt;="&amp;DATE(年度+2018,10,1),'予算差引簿（長）'!$K$210:$K$221,"&lt;"&amp;DATE(年度+2018,11,1))</f>
        <v>0</v>
      </c>
      <c r="J35" s="749">
        <f>SUMIFS('予算差引簿（長）'!$M$210:$M$221,'予算差引簿（長）'!$O$210:$O$221,"確認済",'予算差引簿（長）'!$K$210:$K$221,"&gt;="&amp;DATE(年度+2018,11,1),'予算差引簿（長）'!$K$210:$K$221,"&lt;"&amp;DATE(年度+2018,12,1))</f>
        <v>0</v>
      </c>
      <c r="K35" s="749">
        <f>SUMIFS('予算差引簿（長）'!$M$210:$M$221,'予算差引簿（長）'!$O$210:$O$221,"確認済",'予算差引簿（長）'!$K$210:$K$221,"&gt;="&amp;DATE(年度+2018,12,1),'予算差引簿（長）'!$K$210:$K$221,"&lt;"&amp;DATE(年度+2019,1,1))</f>
        <v>0</v>
      </c>
      <c r="L35" s="749">
        <f>SUMIFS('予算差引簿（長）'!$M$210:$M$221,'予算差引簿（長）'!$O$210:$O$221,"確認済",'予算差引簿（長）'!$K$210:$K$221,"&gt;="&amp;DATE(年度+2019,1,1),'予算差引簿（長）'!$K$210:$K$221,"&lt;"&amp;DATE(年度+2019,2,1))</f>
        <v>0</v>
      </c>
      <c r="M35" s="749">
        <f>SUMIFS('予算差引簿（長）'!$M$210:$M$221,'予算差引簿（長）'!$O$210:$O$221,"確認済",'予算差引簿（長）'!$K$210:$K$221,"&gt;="&amp;DATE(年度+2019,2,1),'予算差引簿（長）'!$K$210:$K$221,"&lt;"&amp;DATE(年度+2019,3,1))</f>
        <v>0</v>
      </c>
      <c r="N35" s="749">
        <f>SUMIFS('予算差引簿（長）'!$M$210:$M$221,'予算差引簿（長）'!$O$210:$O$221,"確認済",'予算差引簿（長）'!$K$210:$K$221,"&gt;="&amp;DATE(年度+2019,3,1),'予算差引簿（長）'!$K$210:$K$221,"&lt;"&amp;DATE(年度+2019,4,1))</f>
        <v>0</v>
      </c>
      <c r="O35" s="749">
        <f>SUMIFS('予算差引簿（長）未払'!$M$135:$M$146,'予算差引簿（長）未払'!$O$135:$O$146,"確認済")</f>
        <v>0</v>
      </c>
      <c r="P35" s="833">
        <f>SUM(C35:O35)</f>
        <v>0</v>
      </c>
      <c r="Q35" s="749" t="n"/>
      <c r="R35" s="749" t="n"/>
      <c r="S35" s="748" t="inlineStr">
        <is>
          <t>N</t>
        </is>
      </c>
      <c r="T35" s="834" t="str">
        <f>IF(OR('予算差引簿（長）'!O207&lt;&gt;"",'予算差引簿（長）未払'!O132&lt;&gt;""),"行不足","")</f>
        <v/>
      </c>
    </row>
    <row r="36">
      <c r="A36" s="743" t="inlineStr">
        <is>
          <t>費用収益表に入る合計</t>
        </is>
      </c>
      <c r="C36" s="752">
        <f>SUMIF($S$4:$S$35,"Y",C4:C35)</f>
        <v>412079</v>
      </c>
      <c r="D36" s="752">
        <f>SUMIF($S$4:$S$35,"Y",D4:D35)</f>
        <v>6019213</v>
      </c>
      <c r="E36" s="752">
        <f>SUMIF($S$4:$S$35,"Y",E4:E35)</f>
        <v>6989919</v>
      </c>
      <c r="F36" s="752">
        <f>SUMIF($S$4:$S$35,"Y",F4:F35)</f>
        <v>7671974</v>
      </c>
      <c r="G36" s="752">
        <f>SUMIF($S$4:$S$35,"Y",G4:G35)</f>
        <v>7267746</v>
      </c>
      <c r="H36" s="752">
        <f>SUMIF($S$4:$S$35,"Y",H4:H35)</f>
        <v>6563868</v>
      </c>
      <c r="I36" s="752">
        <f>SUMIF($S$4:$S$35,"Y",I4:I35)</f>
        <v>6418158</v>
      </c>
      <c r="J36" s="752">
        <f>SUMIF($S$4:$S$35,"Y",J4:J35)</f>
        <v>5488637</v>
      </c>
      <c r="K36" s="752">
        <f>SUMIF($S$4:$S$35,"Y",K4:K35)</f>
        <v>0</v>
      </c>
      <c r="L36" s="752">
        <f>SUMIF($S$4:$S$35,"Y",L4:L35)</f>
        <v>0</v>
      </c>
      <c r="M36" s="752">
        <f>SUMIF($S$4:$S$35,"Y",M4:M35)</f>
        <v>0</v>
      </c>
      <c r="N36" s="752">
        <f>SUMIF($S$4:$S$35,"Y",N4:N35)</f>
        <v>0</v>
      </c>
      <c r="O36" s="752">
        <f>SUMIF($S$4:$S$35,"Y",O4:O35)</f>
        <v>0</v>
      </c>
      <c r="P36" s="752">
        <f>SUMIF($S$4:$S$35,"Y",P4:P35)</f>
        <v>46831594</v>
      </c>
    </row>
  </sheetData>
  <mergeCells count="1">
    <mergeCell ref="A1:T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J67"/>
  <sheetViews>
    <sheetView showGridLines="1" tabSelected="0" zoomScale="100" workbookViewId="0">
      <selection activeCell="A1" sqref="A1"/>
    </sheetView>
  </sheetViews>
  <sheetFormatPr baseColWidth="8" defaultRowHeight="15"/>
  <cols>
    <col width="6.25" customWidth="1" style="186" min="1" max="1"/>
    <col width="37.37" customWidth="1" style="186" min="2" max="2"/>
    <col width="9.49" customWidth="1" style="186" min="3" max="3"/>
    <col width="10.62" customWidth="1" style="186" min="4" max="4"/>
    <col width="8" customWidth="1" style="186" min="5" max="5"/>
    <col width="5.99" customWidth="1" style="186" min="6" max="6"/>
    <col width="38.49" customWidth="1" style="186" min="7" max="7"/>
    <col width="9.49" customWidth="1" style="186" min="8" max="8"/>
    <col width="10.62" customWidth="1" style="186" min="9" max="9"/>
    <col width="8" customWidth="1" style="186" min="10" max="10"/>
  </cols>
  <sheetData>
    <row r="1" ht="18" customHeight="1" s="186">
      <c r="B1" s="837" t="inlineStr">
        <is>
          <t>令和８年度　貸付経理事務費</t>
        </is>
      </c>
      <c r="C1" s="838" t="inlineStr">
        <is>
          <t>①</t>
        </is>
      </c>
    </row>
    <row r="2" ht="12.95" customHeight="1" s="186"/>
    <row r="3" ht="12.95" customHeight="1" s="186">
      <c r="A3" s="839" t="inlineStr">
        <is>
          <t>事務費</t>
        </is>
      </c>
      <c r="B3" s="840" t="inlineStr">
        <is>
          <t>事務用消耗品費</t>
        </is>
      </c>
      <c r="D3" s="841" t="inlineStr">
        <is>
          <t>貸付経理</t>
        </is>
      </c>
      <c r="F3" s="839" t="inlineStr">
        <is>
          <t>事務費</t>
        </is>
      </c>
      <c r="G3" s="840" t="inlineStr">
        <is>
          <t>図書印刷費</t>
        </is>
      </c>
      <c r="I3" s="841" t="inlineStr">
        <is>
          <t>貸付経理</t>
        </is>
      </c>
    </row>
    <row r="4" ht="12.95" customHeight="1" s="186">
      <c r="A4" s="842" t="n"/>
      <c r="B4" s="843" t="n"/>
      <c r="C4" s="844" t="inlineStr">
        <is>
          <t>支出額</t>
        </is>
      </c>
      <c r="D4" s="845" t="inlineStr">
        <is>
          <t>残額</t>
        </is>
      </c>
      <c r="E4" s="846" t="inlineStr">
        <is>
          <t>状態</t>
        </is>
      </c>
      <c r="F4" s="842" t="n"/>
      <c r="G4" s="843" t="n"/>
      <c r="H4" s="844" t="inlineStr">
        <is>
          <t>支出額</t>
        </is>
      </c>
      <c r="I4" s="845" t="inlineStr">
        <is>
          <t>残額</t>
        </is>
      </c>
      <c r="J4" s="846" t="inlineStr">
        <is>
          <t>状態</t>
        </is>
      </c>
    </row>
    <row r="5" ht="12.95" customHeight="1" s="186">
      <c r="A5" s="847" t="n">
        <v>45017</v>
      </c>
      <c r="B5" s="848" t="n"/>
      <c r="C5" s="849" t="n"/>
      <c r="D5" s="850">
        <f>'R8貸付'!$Q$9</f>
        <v>442000</v>
      </c>
      <c r="E5" s="851" t="n"/>
      <c r="F5" s="852" t="n">
        <v>45017</v>
      </c>
      <c r="G5" s="853" t="n"/>
      <c r="H5" s="854" t="n"/>
      <c r="I5" s="855">
        <f>'R8貸付'!$Q$10</f>
        <v>501000</v>
      </c>
    </row>
    <row r="6" ht="13.5" customHeight="1" s="186">
      <c r="A6" s="856" t="n">
        <v>46140</v>
      </c>
      <c r="B6" s="857" t="inlineStr">
        <is>
          <t>令和８年度基幹ウイルス対策ソフト（ミツイワ株式会社）</t>
        </is>
      </c>
      <c r="C6" s="858" t="n">
        <v>4389</v>
      </c>
      <c r="D6" s="859">
        <f>D5-C6</f>
        <v>437611</v>
      </c>
      <c r="E6" s="860" t="inlineStr">
        <is>
          <t>確認済</t>
        </is>
      </c>
      <c r="F6" s="856" t="n">
        <v>46218</v>
      </c>
      <c r="G6" s="861" t="inlineStr">
        <is>
          <t>官報（４月～６月分）</t>
        </is>
      </c>
      <c r="H6" s="858" t="n">
        <v>6000</v>
      </c>
      <c r="I6" s="859">
        <f>I5-H6</f>
        <v>495000</v>
      </c>
      <c r="J6" s="860" t="inlineStr">
        <is>
          <t>確認済</t>
        </is>
      </c>
    </row>
    <row r="7" ht="13.5" customHeight="1" s="186">
      <c r="A7" s="856" t="n">
        <v>46188</v>
      </c>
      <c r="B7" s="857" t="inlineStr">
        <is>
          <t>フラッグインデックス　６８２－１－ＲＥ　２個　ほか８点</t>
        </is>
      </c>
      <c r="C7" s="858" t="n">
        <v>11491</v>
      </c>
      <c r="D7" s="859">
        <f>D6-C7</f>
        <v>426120</v>
      </c>
      <c r="E7" s="860" t="inlineStr">
        <is>
          <t>確認済</t>
        </is>
      </c>
      <c r="F7" s="856" t="n">
        <v>46310</v>
      </c>
      <c r="G7" s="861" t="inlineStr">
        <is>
          <t>官報（７月～９月分）</t>
        </is>
      </c>
      <c r="H7" s="862" t="n">
        <v>6000</v>
      </c>
      <c r="I7" s="859">
        <f>I6-H7</f>
        <v>489000</v>
      </c>
      <c r="J7" s="860" t="inlineStr">
        <is>
          <t>確認済</t>
        </is>
      </c>
    </row>
    <row r="8" ht="13.5" customHeight="1" s="186">
      <c r="A8" s="856" t="n">
        <v>45884</v>
      </c>
      <c r="B8" s="857" t="inlineStr">
        <is>
          <t xml:space="preserve">ドラムカートリッジ純正品（LB322）　１個　</t>
        </is>
      </c>
      <c r="C8" s="862" t="n">
        <v>45265</v>
      </c>
      <c r="D8" s="859">
        <f>D7-C8</f>
        <v>380855</v>
      </c>
      <c r="E8" s="860" t="inlineStr">
        <is>
          <t>昨年実績</t>
        </is>
      </c>
      <c r="F8" s="856" t="n">
        <v>46037</v>
      </c>
      <c r="G8" s="861" t="inlineStr">
        <is>
          <t>官報（１０月～１２月分）</t>
        </is>
      </c>
      <c r="H8" s="862" t="n">
        <v>6000</v>
      </c>
      <c r="I8" s="859">
        <f>I7-H8</f>
        <v>483000</v>
      </c>
      <c r="J8" s="860" t="inlineStr">
        <is>
          <t>昨年実績</t>
        </is>
      </c>
    </row>
    <row r="9" ht="13.5" customHeight="1" s="186">
      <c r="A9" s="856" t="n">
        <v>44515</v>
      </c>
      <c r="B9" s="857" t="inlineStr">
        <is>
          <t>ニイタカケミガード４㎏</t>
        </is>
      </c>
      <c r="C9" s="862" t="n">
        <v>2700</v>
      </c>
      <c r="D9" s="859">
        <f>D8-C9</f>
        <v>378155</v>
      </c>
      <c r="E9" s="860" t="inlineStr">
        <is>
          <t>昨年実績</t>
        </is>
      </c>
      <c r="F9" s="856" t="n">
        <v>43174</v>
      </c>
      <c r="G9" s="861" t="inlineStr">
        <is>
          <t>貸付金償還明細表　５００組</t>
        </is>
      </c>
      <c r="H9" s="862" t="n">
        <v>45360</v>
      </c>
      <c r="I9" s="859">
        <f>I8-H9</f>
        <v>437640</v>
      </c>
      <c r="J9" s="860" t="inlineStr">
        <is>
          <t>昨年実績</t>
        </is>
      </c>
    </row>
    <row r="10" ht="13.5" customHeight="1" s="186">
      <c r="A10" s="856" t="n">
        <v>45562</v>
      </c>
      <c r="B10" s="857" t="inlineStr">
        <is>
          <t>トナーカートリッジ再生品（ＬＰＢ３Ｔ３４）　3個</t>
        </is>
      </c>
      <c r="C10" s="862" t="n">
        <v>22770</v>
      </c>
      <c r="D10" s="859">
        <f>D9-C10</f>
        <v>355385</v>
      </c>
      <c r="E10" s="860" t="inlineStr">
        <is>
          <t>昨年実績</t>
        </is>
      </c>
      <c r="F10" s="856" t="n">
        <v>45366</v>
      </c>
      <c r="G10" s="861" t="inlineStr">
        <is>
          <t>普通・特別貸付申込書　250枚</t>
        </is>
      </c>
      <c r="H10" s="862" t="n">
        <v>16500</v>
      </c>
      <c r="I10" s="859">
        <f>I9-H10</f>
        <v>421140</v>
      </c>
      <c r="J10" s="860" t="inlineStr">
        <is>
          <t>昨年実績</t>
        </is>
      </c>
    </row>
    <row r="11" ht="12.95" customHeight="1" s="186">
      <c r="A11" s="856" t="n">
        <v>45588</v>
      </c>
      <c r="B11" s="857" t="inlineStr">
        <is>
          <t>ＤＶＤドライブ　ＬＤＲ－ＰＭＪ８Ｕ２ＬＢＫ　１台</t>
        </is>
      </c>
      <c r="C11" s="862" t="n">
        <v>5162</v>
      </c>
      <c r="D11" s="859">
        <f>D10-C11</f>
        <v>350223</v>
      </c>
      <c r="E11" s="860" t="inlineStr">
        <is>
          <t>昨年実績</t>
        </is>
      </c>
      <c r="F11" s="856" t="n">
        <v>44253</v>
      </c>
      <c r="G11" s="861" t="inlineStr">
        <is>
          <t>住宅（在宅介護対応住宅・災害）貸付申込書　２５０枚</t>
        </is>
      </c>
      <c r="H11" s="862" t="n">
        <v>44000</v>
      </c>
      <c r="I11" s="859">
        <f>I10-H11</f>
        <v>377140</v>
      </c>
      <c r="J11" s="860" t="inlineStr">
        <is>
          <t>昨年実績</t>
        </is>
      </c>
    </row>
    <row r="12" ht="12.95" customHeight="1" s="186">
      <c r="A12" s="856" t="n">
        <v>44620</v>
      </c>
      <c r="B12" s="857" t="inlineStr">
        <is>
          <t>トナーカートリッジ（ＰＲ－Ｌ８３００－１２）　5個</t>
        </is>
      </c>
      <c r="C12" s="862" t="n">
        <v>49500</v>
      </c>
      <c r="D12" s="859">
        <f>D11-C12</f>
        <v>300723</v>
      </c>
      <c r="E12" s="860" t="inlineStr">
        <is>
          <t>昨年実績</t>
        </is>
      </c>
      <c r="F12" s="856" t="n"/>
      <c r="G12" s="863" t="n"/>
      <c r="H12" s="862" t="n"/>
      <c r="I12" s="859">
        <f>I11-H12</f>
        <v>377140</v>
      </c>
      <c r="J12" s="860" t="n"/>
    </row>
    <row r="13" ht="13.5" customHeight="1" s="186">
      <c r="A13" s="856" t="n">
        <v>44972</v>
      </c>
      <c r="B13" s="857" t="inlineStr">
        <is>
          <t>ポストイット　６８３１Ｍ　１個ほか</t>
        </is>
      </c>
      <c r="C13" s="862" t="n">
        <v>6084</v>
      </c>
      <c r="D13" s="859">
        <f>D12-C13</f>
        <v>294639</v>
      </c>
      <c r="E13" s="860" t="inlineStr">
        <is>
          <t>昨年実績</t>
        </is>
      </c>
      <c r="F13" s="856" t="n"/>
      <c r="G13" s="861" t="n"/>
      <c r="H13" s="862" t="n"/>
      <c r="I13" s="859">
        <f>I12-H13</f>
        <v>377140</v>
      </c>
      <c r="J13" s="860" t="n"/>
    </row>
    <row r="14" ht="12.95" customHeight="1" s="186">
      <c r="A14" s="856" t="n">
        <v>46259</v>
      </c>
      <c r="B14" s="857" t="inlineStr">
        <is>
          <t>コピー用紙等購入代金分担金　互助会　（第１四半期）</t>
        </is>
      </c>
      <c r="C14" s="858" t="n">
        <v>119079</v>
      </c>
      <c r="D14" s="859">
        <f>D13-C14</f>
        <v>175560</v>
      </c>
      <c r="E14" s="860" t="inlineStr">
        <is>
          <t>確認済</t>
        </is>
      </c>
      <c r="F14" s="856" t="n"/>
      <c r="G14" s="861" t="n"/>
      <c r="H14" s="864" t="n"/>
      <c r="I14" s="859">
        <f>I13-H14</f>
        <v>377140</v>
      </c>
      <c r="J14" s="860" t="n"/>
    </row>
    <row r="15" ht="12.95" customHeight="1" s="186">
      <c r="A15" s="856" t="n">
        <v>46339</v>
      </c>
      <c r="B15" s="857" t="inlineStr">
        <is>
          <t>カラーインデックス　９０７Ｇ　３冊　外１１点</t>
        </is>
      </c>
      <c r="C15" s="862" t="n">
        <v>26025</v>
      </c>
      <c r="D15" s="859">
        <f>D14-C15</f>
        <v>149535</v>
      </c>
      <c r="E15" s="860" t="inlineStr">
        <is>
          <t>未確認</t>
        </is>
      </c>
      <c r="F15" s="856" t="n"/>
      <c r="G15" s="861" t="n"/>
      <c r="H15" s="862" t="n"/>
      <c r="I15" s="859">
        <f>I14-H15</f>
        <v>377140</v>
      </c>
      <c r="J15" s="860" t="n"/>
    </row>
    <row r="16" ht="12.95" customHeight="1" s="186">
      <c r="A16" s="856" t="n">
        <v>46006</v>
      </c>
      <c r="B16" s="857" t="inlineStr">
        <is>
          <t>アラビック補充　ＥＮＡ－９６０　１個　外１０点</t>
        </is>
      </c>
      <c r="C16" s="862" t="n">
        <v>15382</v>
      </c>
      <c r="D16" s="859">
        <f>D15-C16</f>
        <v>134153</v>
      </c>
      <c r="E16" s="860" t="inlineStr">
        <is>
          <t>昨年実績</t>
        </is>
      </c>
      <c r="F16" s="856" t="n"/>
      <c r="G16" s="865" t="n"/>
      <c r="H16" s="866" t="n"/>
      <c r="I16" s="859">
        <f>I15-H16</f>
        <v>377140</v>
      </c>
      <c r="J16" s="860" t="n"/>
    </row>
    <row r="17" ht="13.5" customHeight="1" s="186">
      <c r="A17" s="856" t="n"/>
      <c r="B17" s="857" t="n"/>
      <c r="C17" s="862" t="n"/>
      <c r="D17" s="859">
        <f>D16-C17</f>
        <v>134153</v>
      </c>
      <c r="E17" s="860" t="n"/>
      <c r="F17" s="856" t="n"/>
      <c r="G17" s="861" t="n"/>
      <c r="H17" s="862" t="n"/>
      <c r="I17" s="859">
        <f>I16-H17</f>
        <v>377140</v>
      </c>
      <c r="J17" s="860" t="n"/>
    </row>
    <row r="18" ht="13.5" customHeight="1" s="186">
      <c r="A18" s="856" t="n">
        <v>46051</v>
      </c>
      <c r="B18" s="857" t="inlineStr">
        <is>
          <t>カラー用紙　Ａ２６６Ｊ－４／浅黄　１冊　　ほか４点</t>
        </is>
      </c>
      <c r="C18" s="862" t="n">
        <v>4644</v>
      </c>
      <c r="D18" s="859">
        <f>D17-C18</f>
        <v>129509</v>
      </c>
      <c r="E18" s="860" t="inlineStr">
        <is>
          <t>昨年実績</t>
        </is>
      </c>
      <c r="F18" s="856" t="n"/>
      <c r="G18" s="861" t="n"/>
      <c r="H18" s="862" t="n"/>
      <c r="I18" s="859">
        <f>I17-H18</f>
        <v>377140</v>
      </c>
      <c r="J18" s="860" t="n"/>
    </row>
    <row r="19" ht="12.95" customHeight="1" s="186">
      <c r="A19" s="856" t="n"/>
      <c r="B19" s="861" t="n"/>
      <c r="C19" s="862" t="n"/>
      <c r="D19" s="859">
        <f>D18-C19</f>
        <v>129509</v>
      </c>
      <c r="E19" s="860" t="n"/>
      <c r="F19" s="867" t="n">
        <v>46127</v>
      </c>
      <c r="G19" s="868" t="inlineStr">
        <is>
          <t>共済新報</t>
        </is>
      </c>
      <c r="H19" s="862" t="n">
        <v>10200</v>
      </c>
      <c r="I19" s="859">
        <f>I18-H19</f>
        <v>366940</v>
      </c>
      <c r="J19" s="860" t="inlineStr">
        <is>
          <t>昨年実績</t>
        </is>
      </c>
    </row>
    <row r="20" ht="13.5" customHeight="1" s="186">
      <c r="A20" s="856" t="n">
        <v>46080</v>
      </c>
      <c r="B20" s="857" t="inlineStr">
        <is>
          <t>シヤチハタ日付印　NFDS-4G 452-166 　2個 　外４点</t>
        </is>
      </c>
      <c r="C20" s="862" t="n">
        <v>50764</v>
      </c>
      <c r="D20" s="859">
        <f>D19-C20</f>
        <v>78745</v>
      </c>
      <c r="E20" s="860" t="inlineStr">
        <is>
          <t>昨年実績</t>
        </is>
      </c>
      <c r="F20" s="867" t="n">
        <v>46127</v>
      </c>
      <c r="G20" s="868" t="inlineStr">
        <is>
          <t>官報（１月～３月分）</t>
        </is>
      </c>
      <c r="H20" s="862" t="n">
        <v>6000</v>
      </c>
      <c r="I20" s="859">
        <f>I19-H20</f>
        <v>360940</v>
      </c>
      <c r="J20" s="860" t="inlineStr">
        <is>
          <t>昨年実績</t>
        </is>
      </c>
    </row>
    <row r="21" ht="12.95" customHeight="1" s="186">
      <c r="A21" s="856" t="n"/>
      <c r="B21" s="869" t="n"/>
      <c r="C21" s="862" t="n"/>
      <c r="D21" s="859">
        <f>D20-C21</f>
        <v>78745</v>
      </c>
      <c r="E21" s="860" t="n"/>
      <c r="F21" s="870" t="n"/>
      <c r="G21" s="871" t="n"/>
      <c r="H21" s="872" t="n"/>
      <c r="I21" s="859">
        <f>I20-H21</f>
        <v>360940</v>
      </c>
      <c r="J21" s="860" t="n"/>
    </row>
    <row r="22" ht="12.95" customHeight="1" s="186">
      <c r="A22" s="856" t="n">
        <v>46108</v>
      </c>
      <c r="B22" s="857" t="inlineStr">
        <is>
          <t>トナーカートリッジ再生品（ＬＰＢ３Ｔ３４）　５個</t>
        </is>
      </c>
      <c r="C22" s="862" t="n">
        <v>37950</v>
      </c>
      <c r="D22" s="859">
        <f>D21-C22</f>
        <v>40795</v>
      </c>
      <c r="E22" s="860" t="inlineStr">
        <is>
          <t>昨年実績</t>
        </is>
      </c>
      <c r="F22" s="873" t="n"/>
      <c r="G22" s="874" t="n"/>
      <c r="H22" s="875">
        <f>SUM(H6:H21)</f>
        <v>140060</v>
      </c>
      <c r="I22" s="876">
        <f>I5-H22</f>
        <v>360940</v>
      </c>
      <c r="J22" s="860" t="n"/>
    </row>
    <row r="23" ht="12.95" customHeight="1" s="186">
      <c r="A23" s="877" t="n"/>
      <c r="B23" s="878" t="n"/>
      <c r="C23" s="879" t="n"/>
      <c r="D23" s="859">
        <f>D22-C23</f>
        <v>40795</v>
      </c>
      <c r="E23" s="860" t="n"/>
      <c r="F23" s="880" t="n"/>
      <c r="G23" s="880" t="n"/>
      <c r="H23" s="880" t="n"/>
      <c r="I23" s="881" t="n"/>
      <c r="J23" s="860" t="n"/>
    </row>
    <row r="24" ht="12.95" customHeight="1" s="186">
      <c r="A24" s="873" t="n"/>
      <c r="B24" s="874" t="n"/>
      <c r="C24" s="875">
        <f>SUM(C6:C23)</f>
        <v>401205</v>
      </c>
      <c r="D24" s="876">
        <f>D5-C24</f>
        <v>40795</v>
      </c>
      <c r="E24" s="860" t="n"/>
      <c r="F24" s="839" t="inlineStr">
        <is>
          <t>事務費</t>
        </is>
      </c>
      <c r="G24" s="840" t="inlineStr">
        <is>
          <t>通信運搬費</t>
        </is>
      </c>
      <c r="I24" s="841" t="inlineStr">
        <is>
          <t>貸付経理</t>
        </is>
      </c>
    </row>
    <row r="25" ht="12.95" customHeight="1" s="186">
      <c r="A25" s="882" t="n"/>
      <c r="B25" s="883" t="n"/>
      <c r="C25" s="884" t="n"/>
      <c r="D25" s="885" t="n"/>
      <c r="E25" s="860" t="n"/>
      <c r="F25" s="842" t="n"/>
      <c r="G25" s="843" t="n"/>
      <c r="H25" s="844" t="inlineStr">
        <is>
          <t>支出額</t>
        </is>
      </c>
      <c r="I25" s="845" t="inlineStr">
        <is>
          <t>残額</t>
        </is>
      </c>
      <c r="J25" s="846" t="inlineStr">
        <is>
          <t>状態</t>
        </is>
      </c>
    </row>
    <row r="26" ht="12.95" customHeight="1" s="186">
      <c r="A26" s="839" t="inlineStr">
        <is>
          <t>事務費</t>
        </is>
      </c>
      <c r="B26" s="840" t="inlineStr">
        <is>
          <t>会議費</t>
        </is>
      </c>
      <c r="C26" s="886" t="n"/>
      <c r="D26" s="841" t="inlineStr">
        <is>
          <t>貸付経理</t>
        </is>
      </c>
      <c r="F26" s="847" t="n">
        <v>45017</v>
      </c>
      <c r="G26" s="848" t="n"/>
      <c r="H26" s="849" t="n"/>
      <c r="I26" s="850">
        <f>'R8貸付'!$Q$11</f>
        <v>336000</v>
      </c>
    </row>
    <row r="27" ht="12.95" customHeight="1" s="186">
      <c r="A27" s="842" t="n"/>
      <c r="B27" s="843" t="n"/>
      <c r="C27" s="844" t="inlineStr">
        <is>
          <t>支出額</t>
        </is>
      </c>
      <c r="D27" s="845" t="inlineStr">
        <is>
          <t>残額</t>
        </is>
      </c>
      <c r="E27" s="846" t="inlineStr">
        <is>
          <t>状態</t>
        </is>
      </c>
      <c r="F27" s="856" t="n">
        <v>46259</v>
      </c>
      <c r="G27" s="861" t="inlineStr">
        <is>
          <t>ＦＡＸ電話代等分担金　互助会（第１四半期）</t>
        </is>
      </c>
      <c r="H27" s="858" t="n">
        <v>5979</v>
      </c>
      <c r="I27" s="887">
        <f>I26-H27</f>
        <v>330021</v>
      </c>
      <c r="J27" s="860" t="inlineStr">
        <is>
          <t>確認済</t>
        </is>
      </c>
    </row>
    <row r="28" ht="12.95" customHeight="1" s="186">
      <c r="A28" s="847" t="n">
        <v>45017</v>
      </c>
      <c r="B28" s="848" t="n"/>
      <c r="C28" s="849" t="n"/>
      <c r="D28" s="850">
        <f>'R8貸付'!$Q$12</f>
        <v>20000</v>
      </c>
      <c r="F28" s="856" t="n">
        <v>46048</v>
      </c>
      <c r="G28" s="861" t="inlineStr">
        <is>
          <t>切手</t>
        </is>
      </c>
      <c r="H28" s="862" t="n">
        <v>135450</v>
      </c>
      <c r="I28" s="887">
        <f>I27-H28</f>
        <v>194571</v>
      </c>
      <c r="J28" s="860" t="inlineStr">
        <is>
          <t>昨年実績</t>
        </is>
      </c>
    </row>
    <row r="29" ht="12.95" customHeight="1" s="186">
      <c r="A29" s="877" t="n"/>
      <c r="B29" s="878" t="n"/>
      <c r="C29" s="879" t="n"/>
      <c r="D29" s="888">
        <f>D28-C29</f>
        <v>20000</v>
      </c>
      <c r="E29" s="860" t="n"/>
      <c r="F29" s="856" t="n">
        <v>45309</v>
      </c>
      <c r="G29" s="861" t="inlineStr">
        <is>
          <t>切手</t>
        </is>
      </c>
      <c r="H29" s="862" t="n">
        <v>148800</v>
      </c>
      <c r="I29" s="887">
        <f>I28-H29</f>
        <v>45771</v>
      </c>
      <c r="J29" s="860" t="inlineStr">
        <is>
          <t>昨年実績</t>
        </is>
      </c>
    </row>
    <row r="30" ht="12.95" customHeight="1" s="186">
      <c r="A30" s="873" t="n"/>
      <c r="B30" s="874" t="n"/>
      <c r="C30" s="875">
        <f>SUM(C28:C29)</f>
        <v>0</v>
      </c>
      <c r="D30" s="876">
        <f>D28-C30</f>
        <v>20000</v>
      </c>
      <c r="E30" s="860" t="n"/>
      <c r="F30" s="856" t="n">
        <v>43899</v>
      </c>
      <c r="G30" s="861" t="inlineStr">
        <is>
          <t>パスピーチャージ</t>
        </is>
      </c>
      <c r="H30" s="862" t="n">
        <v>30000</v>
      </c>
      <c r="I30" s="887">
        <f>I29-H30</f>
        <v>15771</v>
      </c>
      <c r="J30" s="860" t="inlineStr">
        <is>
          <t>昨年実績</t>
        </is>
      </c>
    </row>
    <row r="31" ht="12.95" customHeight="1" s="186">
      <c r="A31" s="882" t="n"/>
      <c r="B31" s="883" t="n"/>
      <c r="C31" s="884" t="n"/>
      <c r="D31" s="885" t="n"/>
      <c r="E31" s="860" t="n"/>
      <c r="F31" s="856" t="n"/>
      <c r="G31" s="861" t="n"/>
      <c r="H31" s="862" t="n"/>
      <c r="I31" s="887">
        <f>I30-H31</f>
        <v>15771</v>
      </c>
      <c r="J31" s="860" t="n"/>
    </row>
    <row r="32" ht="14.25" customHeight="1" s="186">
      <c r="A32" s="839" t="inlineStr">
        <is>
          <t>事務費</t>
        </is>
      </c>
      <c r="B32" s="840" t="inlineStr">
        <is>
          <t>雑費</t>
        </is>
      </c>
      <c r="C32" s="886" t="n"/>
      <c r="D32" s="841" t="inlineStr">
        <is>
          <t>貸付経理</t>
        </is>
      </c>
      <c r="F32" s="856" t="n"/>
      <c r="G32" s="861" t="n"/>
      <c r="H32" s="862" t="n"/>
      <c r="I32" s="887">
        <f>I31-H32</f>
        <v>15771</v>
      </c>
      <c r="J32" s="860" t="n"/>
    </row>
    <row r="33" ht="12.95" customHeight="1" s="186">
      <c r="A33" s="842" t="n"/>
      <c r="B33" s="843" t="n"/>
      <c r="C33" s="844" t="inlineStr">
        <is>
          <t>支出額</t>
        </is>
      </c>
      <c r="D33" s="845" t="inlineStr">
        <is>
          <t>残額</t>
        </is>
      </c>
      <c r="E33" s="846" t="inlineStr">
        <is>
          <t>状態</t>
        </is>
      </c>
      <c r="F33" s="856" t="n"/>
      <c r="G33" s="861" t="n"/>
      <c r="H33" s="862" t="n"/>
      <c r="I33" s="887">
        <f>I32-H33</f>
        <v>15771</v>
      </c>
      <c r="J33" s="860" t="n"/>
    </row>
    <row r="34" ht="12.95" customHeight="1" s="186">
      <c r="A34" s="847" t="n">
        <v>45017</v>
      </c>
      <c r="B34" s="848" t="n"/>
      <c r="C34" s="849" t="n"/>
      <c r="D34" s="889">
        <f>'R8貸付'!$Q$13</f>
        <v>190000</v>
      </c>
      <c r="F34" s="856" t="n"/>
      <c r="G34" s="861" t="n"/>
      <c r="H34" s="862" t="n"/>
      <c r="I34" s="887">
        <f>I33-H34</f>
        <v>15771</v>
      </c>
      <c r="J34" s="860" t="n"/>
    </row>
    <row r="35" ht="12.95" customHeight="1" s="186">
      <c r="A35" s="856" t="n">
        <v>46171</v>
      </c>
      <c r="B35" s="861" t="inlineStr">
        <is>
          <t>広銀手数料（４月分）</t>
        </is>
      </c>
      <c r="C35" s="858" t="n">
        <v>16190</v>
      </c>
      <c r="D35" s="887">
        <f>D34-C35</f>
        <v>173810</v>
      </c>
      <c r="E35" s="860" t="inlineStr">
        <is>
          <t>確認済</t>
        </is>
      </c>
      <c r="F35" s="856" t="n"/>
      <c r="G35" s="861" t="n"/>
      <c r="H35" s="862" t="n"/>
      <c r="I35" s="887">
        <f>I34-H35</f>
        <v>15771</v>
      </c>
      <c r="J35" s="860" t="n"/>
    </row>
    <row r="36" ht="12.75" customHeight="1" s="186">
      <c r="A36" s="856" t="n">
        <v>46203</v>
      </c>
      <c r="B36" s="861" t="inlineStr">
        <is>
          <t>広銀手数料（５月分）</t>
        </is>
      </c>
      <c r="C36" s="858" t="n">
        <v>5750</v>
      </c>
      <c r="D36" s="887">
        <f>D35-C36</f>
        <v>168060</v>
      </c>
      <c r="E36" s="860" t="inlineStr">
        <is>
          <t>確認済</t>
        </is>
      </c>
      <c r="F36" s="856" t="n"/>
      <c r="G36" s="861" t="n"/>
      <c r="H36" s="862" t="n"/>
      <c r="I36" s="887">
        <f>I35-H36</f>
        <v>15771</v>
      </c>
      <c r="J36" s="860" t="n"/>
    </row>
    <row r="37" ht="12.75" customHeight="1" s="186">
      <c r="A37" s="856" t="n">
        <v>46234</v>
      </c>
      <c r="B37" s="861" t="inlineStr">
        <is>
          <t>広銀手数料（６月分）</t>
        </is>
      </c>
      <c r="C37" s="858" t="n">
        <v>6090</v>
      </c>
      <c r="D37" s="887">
        <f>D36-C37</f>
        <v>161970</v>
      </c>
      <c r="E37" s="860" t="inlineStr">
        <is>
          <t>確認済</t>
        </is>
      </c>
      <c r="F37" s="856" t="n"/>
      <c r="G37" s="861" t="n"/>
      <c r="H37" s="862" t="n"/>
      <c r="I37" s="887">
        <f>I36-H37</f>
        <v>15771</v>
      </c>
      <c r="J37" s="860" t="n"/>
    </row>
    <row r="38" ht="13.5" customHeight="1" s="186">
      <c r="A38" s="856" t="n">
        <v>46265</v>
      </c>
      <c r="B38" s="861" t="inlineStr">
        <is>
          <t>広銀手数料（７月分）</t>
        </is>
      </c>
      <c r="C38" s="858" t="n">
        <v>5530</v>
      </c>
      <c r="D38" s="887">
        <f>D37-C38</f>
        <v>156440</v>
      </c>
      <c r="E38" s="860" t="inlineStr">
        <is>
          <t>確認済</t>
        </is>
      </c>
      <c r="F38" s="856" t="n"/>
      <c r="G38" s="861" t="n"/>
      <c r="H38" s="862" t="n"/>
      <c r="I38" s="887">
        <f>I37-H38</f>
        <v>15771</v>
      </c>
      <c r="J38" s="860" t="n"/>
    </row>
    <row r="39" ht="13.5" customHeight="1" s="186">
      <c r="A39" s="856" t="n">
        <v>46295</v>
      </c>
      <c r="B39" s="861" t="inlineStr">
        <is>
          <t>広銀手数料（８月分）</t>
        </is>
      </c>
      <c r="C39" s="858" t="n">
        <v>5190</v>
      </c>
      <c r="D39" s="887">
        <f>D38-C39</f>
        <v>151250</v>
      </c>
      <c r="E39" s="860" t="inlineStr">
        <is>
          <t>確認済</t>
        </is>
      </c>
      <c r="F39" s="856" t="n"/>
      <c r="G39" s="861" t="n"/>
      <c r="H39" s="862" t="n"/>
      <c r="I39" s="887">
        <f>I38-H39</f>
        <v>15771</v>
      </c>
      <c r="J39" s="860" t="n"/>
    </row>
    <row r="40" ht="14.25" customHeight="1" s="186">
      <c r="A40" s="856" t="n">
        <v>46325</v>
      </c>
      <c r="B40" s="861" t="inlineStr">
        <is>
          <t>広銀手数料（９月分）</t>
        </is>
      </c>
      <c r="C40" s="862" t="n">
        <v>5200</v>
      </c>
      <c r="D40" s="887">
        <f>D39-C40</f>
        <v>146050</v>
      </c>
      <c r="E40" s="860" t="inlineStr">
        <is>
          <t>確認済</t>
        </is>
      </c>
      <c r="F40" s="856" t="inlineStr">
        <is>
          <t>5/</t>
        </is>
      </c>
      <c r="G40" s="861" t="inlineStr">
        <is>
          <t>分担金ファックス代</t>
        </is>
      </c>
      <c r="H40" s="862" t="n">
        <v>6340</v>
      </c>
      <c r="I40" s="887">
        <f>I39-H40</f>
        <v>9431</v>
      </c>
      <c r="J40" s="860" t="inlineStr">
        <is>
          <t>昨年実績</t>
        </is>
      </c>
    </row>
    <row r="41" ht="14.25" customHeight="1" s="186">
      <c r="A41" s="856" t="n">
        <v>45981</v>
      </c>
      <c r="B41" s="861" t="inlineStr">
        <is>
          <t>広銀手数料（１０月分）</t>
        </is>
      </c>
      <c r="C41" s="862" t="n">
        <v>5750</v>
      </c>
      <c r="D41" s="887">
        <f>D40-C41</f>
        <v>140300</v>
      </c>
      <c r="E41" s="860" t="inlineStr">
        <is>
          <t>昨年実績</t>
        </is>
      </c>
      <c r="F41" s="873" t="n"/>
      <c r="G41" s="874" t="n"/>
      <c r="H41" s="875">
        <f>SUM(H27:H40)</f>
        <v>326569</v>
      </c>
      <c r="I41" s="876">
        <f>I26-H41</f>
        <v>9431</v>
      </c>
      <c r="J41" s="860" t="n"/>
    </row>
    <row r="42" ht="13.5" customHeight="1" s="186">
      <c r="A42" s="856" t="n">
        <v>46010</v>
      </c>
      <c r="B42" s="861" t="inlineStr">
        <is>
          <t>広銀手数料（１１月分）</t>
        </is>
      </c>
      <c r="C42" s="862" t="n">
        <v>9239</v>
      </c>
      <c r="D42" s="887">
        <f>D41-C42</f>
        <v>131061</v>
      </c>
      <c r="E42" s="860" t="inlineStr">
        <is>
          <t>昨年実績</t>
        </is>
      </c>
      <c r="F42" s="890" t="n"/>
      <c r="G42" s="891" t="n"/>
      <c r="H42" s="892" t="n"/>
      <c r="I42" s="881" t="n"/>
      <c r="J42" s="860" t="n"/>
    </row>
    <row r="43" ht="14.25" customHeight="1" s="186">
      <c r="A43" s="856" t="n">
        <v>46035</v>
      </c>
      <c r="B43" s="863" t="inlineStr">
        <is>
          <t>HITLINE基本料</t>
        </is>
      </c>
      <c r="C43" s="862" t="n">
        <v>2200</v>
      </c>
      <c r="D43" s="887">
        <f>D42-C43</f>
        <v>128861</v>
      </c>
      <c r="E43" s="860" t="inlineStr">
        <is>
          <t>昨年実績</t>
        </is>
      </c>
      <c r="G43" s="840" t="inlineStr">
        <is>
          <t>旅費</t>
        </is>
      </c>
      <c r="I43" s="841" t="inlineStr">
        <is>
          <t>貸付経理</t>
        </is>
      </c>
    </row>
    <row r="44" ht="14.25" customHeight="1" s="186">
      <c r="A44" s="856" t="n">
        <v>46035</v>
      </c>
      <c r="B44" s="863" t="inlineStr">
        <is>
          <t>HITLINE手数料</t>
        </is>
      </c>
      <c r="C44" s="862" t="n">
        <v>11220</v>
      </c>
      <c r="D44" s="887">
        <f>D43-C44</f>
        <v>117641</v>
      </c>
      <c r="E44" s="860" t="inlineStr">
        <is>
          <t>昨年実績</t>
        </is>
      </c>
      <c r="F44" s="893" t="n"/>
      <c r="G44" s="894" t="n"/>
      <c r="H44" s="895" t="inlineStr">
        <is>
          <t>支出額</t>
        </is>
      </c>
      <c r="I44" s="896" t="inlineStr">
        <is>
          <t>残額</t>
        </is>
      </c>
      <c r="J44" s="897" t="inlineStr">
        <is>
          <t>状態</t>
        </is>
      </c>
    </row>
    <row r="45" ht="13.5" customHeight="1" s="186">
      <c r="A45" s="856" t="n">
        <v>46051</v>
      </c>
      <c r="B45" s="861" t="inlineStr">
        <is>
          <t>広銀手数料（１２月分）</t>
        </is>
      </c>
      <c r="C45" s="862" t="n">
        <v>6210</v>
      </c>
      <c r="D45" s="887">
        <f>D44-C45</f>
        <v>111431</v>
      </c>
      <c r="E45" s="860" t="inlineStr">
        <is>
          <t>昨年実績</t>
        </is>
      </c>
      <c r="F45" s="847" t="n">
        <v>45017</v>
      </c>
      <c r="G45" s="898" t="n"/>
      <c r="H45" s="899" t="n"/>
      <c r="I45" s="900">
        <f>'R8貸付'!$Q$8</f>
        <v>227000</v>
      </c>
      <c r="J45" s="901" t="n"/>
    </row>
    <row r="46" ht="13.5" customHeight="1" s="186">
      <c r="A46" s="856" t="n">
        <v>46078</v>
      </c>
      <c r="B46" s="861" t="inlineStr">
        <is>
          <t>広銀手数料（１月分）</t>
        </is>
      </c>
      <c r="C46" s="862" t="n">
        <v>7190</v>
      </c>
      <c r="D46" s="887">
        <f>D45-C46</f>
        <v>104241</v>
      </c>
      <c r="E46" s="860" t="inlineStr">
        <is>
          <t>昨年実績</t>
        </is>
      </c>
      <c r="F46" s="856" t="n"/>
      <c r="G46" s="902" t="n"/>
      <c r="H46" s="862" t="n"/>
      <c r="I46" s="887">
        <f>I45-H46</f>
        <v>227000</v>
      </c>
      <c r="J46" s="860" t="n"/>
    </row>
    <row r="47" ht="13.5" customHeight="1" s="186">
      <c r="A47" s="856" t="n">
        <v>46104</v>
      </c>
      <c r="B47" s="861" t="inlineStr">
        <is>
          <t>広銀手数料（２月分）</t>
        </is>
      </c>
      <c r="C47" s="862" t="n">
        <v>6200</v>
      </c>
      <c r="D47" s="887">
        <f>D46-C47</f>
        <v>98041</v>
      </c>
      <c r="E47" s="860" t="inlineStr">
        <is>
          <t>昨年実績</t>
        </is>
      </c>
      <c r="F47" s="856" t="n"/>
      <c r="G47" s="902" t="n"/>
      <c r="H47" s="862" t="n"/>
      <c r="I47" s="887">
        <f>I46-H47</f>
        <v>227000</v>
      </c>
      <c r="J47" s="860" t="n"/>
    </row>
    <row r="48" ht="13.5" customHeight="1" s="186">
      <c r="A48" s="867" t="n">
        <v>44694</v>
      </c>
      <c r="B48" s="868" t="inlineStr">
        <is>
          <t>広銀手数料（３月分）</t>
        </is>
      </c>
      <c r="C48" s="903" t="n">
        <v>13755</v>
      </c>
      <c r="D48" s="887">
        <f>D47-C48</f>
        <v>84286</v>
      </c>
      <c r="E48" s="860" t="inlineStr">
        <is>
          <t>昨年実績</t>
        </is>
      </c>
      <c r="F48" s="856" t="n"/>
      <c r="G48" s="902" t="n"/>
      <c r="H48" s="862" t="n"/>
      <c r="I48" s="887">
        <f>I47-H48</f>
        <v>227000</v>
      </c>
      <c r="J48" s="860" t="n"/>
    </row>
    <row r="49" ht="13.5" customHeight="1" s="186">
      <c r="A49" s="856" t="n"/>
      <c r="B49" s="904" t="n"/>
      <c r="C49" s="862" t="n"/>
      <c r="D49" s="887">
        <f>D48-C49</f>
        <v>84286</v>
      </c>
      <c r="E49" s="860" t="n"/>
      <c r="F49" s="856" t="n"/>
      <c r="G49" s="902" t="n"/>
      <c r="H49" s="862" t="n"/>
      <c r="I49" s="887">
        <f>I48-H49</f>
        <v>227000</v>
      </c>
      <c r="J49" s="860" t="n"/>
    </row>
    <row r="50" ht="13.5" customHeight="1" s="186">
      <c r="A50" s="856" t="n"/>
      <c r="B50" s="904" t="n"/>
      <c r="C50" s="862" t="n"/>
      <c r="D50" s="887">
        <f>D49-C50</f>
        <v>84286</v>
      </c>
      <c r="E50" s="860" t="n"/>
      <c r="F50" s="856" t="n"/>
      <c r="G50" s="905" t="n"/>
      <c r="H50" s="862" t="n"/>
      <c r="I50" s="887">
        <f>I49-H50</f>
        <v>227000</v>
      </c>
      <c r="J50" s="860" t="n"/>
    </row>
    <row r="51" ht="13.5" customHeight="1" s="186">
      <c r="A51" s="856" t="n"/>
      <c r="B51" s="904" t="n"/>
      <c r="C51" s="862" t="n"/>
      <c r="D51" s="887">
        <f>D50-C51</f>
        <v>84286</v>
      </c>
      <c r="E51" s="860" t="n"/>
      <c r="F51" s="856" t="n"/>
      <c r="G51" s="902" t="n"/>
      <c r="H51" s="862" t="n"/>
      <c r="I51" s="887">
        <f>I50-H51</f>
        <v>227000</v>
      </c>
      <c r="J51" s="860" t="n"/>
    </row>
    <row r="52" ht="14.25" customHeight="1" s="186">
      <c r="A52" s="856" t="n"/>
      <c r="B52" s="865" t="n"/>
      <c r="C52" s="862" t="n"/>
      <c r="D52" s="887">
        <f>D51-C52</f>
        <v>84286</v>
      </c>
      <c r="E52" s="860" t="n"/>
      <c r="F52" s="877" t="n"/>
      <c r="G52" s="906" t="n"/>
      <c r="H52" s="879" t="n"/>
      <c r="I52" s="887">
        <f>I51-H52</f>
        <v>227000</v>
      </c>
      <c r="J52" s="860" t="n"/>
    </row>
    <row r="53" ht="14.25" customHeight="1" s="186">
      <c r="A53" s="856" t="n"/>
      <c r="B53" s="865" t="n"/>
      <c r="C53" s="862" t="n"/>
      <c r="D53" s="887">
        <f>D52-C53</f>
        <v>84286</v>
      </c>
      <c r="E53" s="860" t="n"/>
      <c r="F53" s="873" t="n"/>
      <c r="G53" s="874" t="n"/>
      <c r="H53" s="875">
        <f>SUM(H46:H52)</f>
        <v>0</v>
      </c>
      <c r="I53" s="876">
        <f>I45-H53</f>
        <v>227000</v>
      </c>
      <c r="J53" s="860" t="n"/>
    </row>
    <row r="54" ht="12.95" customHeight="1" s="186">
      <c r="A54" s="873" t="n"/>
      <c r="B54" s="874" t="n"/>
      <c r="C54" s="875">
        <f>SUM(C34:C53)</f>
        <v>105714</v>
      </c>
      <c r="D54" s="876">
        <f>D34-C54</f>
        <v>84286</v>
      </c>
      <c r="E54" s="860" t="n"/>
      <c r="F54" s="890" t="n"/>
      <c r="G54" s="891" t="n"/>
      <c r="H54" s="907" t="n"/>
      <c r="I54" s="908" t="n"/>
      <c r="J54" s="860" t="n"/>
    </row>
    <row r="55" ht="13.5" customHeight="1" s="186">
      <c r="A55" s="882" t="n"/>
      <c r="B55" s="883" t="n"/>
      <c r="C55" s="884" t="n"/>
      <c r="D55" s="881" t="n"/>
      <c r="E55" s="860" t="n"/>
      <c r="F55" s="880" t="n"/>
      <c r="G55" s="880" t="n"/>
      <c r="H55" s="880" t="n"/>
      <c r="I55" s="909" t="n"/>
      <c r="J55" s="860" t="n"/>
    </row>
    <row r="56" ht="14.25" customHeight="1" s="186">
      <c r="A56" s="880" t="n"/>
      <c r="B56" s="880" t="n"/>
      <c r="C56" s="880" t="n"/>
      <c r="D56" s="909" t="n"/>
      <c r="E56" s="860" t="n"/>
      <c r="F56" s="880" t="n"/>
      <c r="G56" s="880" t="n"/>
      <c r="H56" s="880" t="n"/>
      <c r="I56" s="909" t="n"/>
      <c r="J56" s="860" t="n"/>
    </row>
    <row r="57" ht="14.25" customHeight="1" s="186">
      <c r="A57" s="910" t="inlineStr">
        <is>
          <t>事務費予算額</t>
        </is>
      </c>
      <c r="B57" s="911" t="n"/>
      <c r="C57" s="912">
        <f>D5+I5+D28+I26+D34</f>
        <v>1489000</v>
      </c>
      <c r="D57" s="909" t="n"/>
      <c r="E57" s="860" t="n"/>
      <c r="F57" s="880" t="n"/>
      <c r="G57" s="880" t="n"/>
      <c r="H57" s="880" t="n"/>
      <c r="I57" s="909" t="n"/>
      <c r="J57" s="860" t="n"/>
    </row>
    <row r="58" ht="14.25" customHeight="1" s="186">
      <c r="A58" s="913" t="inlineStr">
        <is>
          <t>支出済額</t>
        </is>
      </c>
      <c r="B58" s="914" t="inlineStr">
        <is>
          <t>事務用消耗品費</t>
        </is>
      </c>
      <c r="C58" s="912">
        <f>C24</f>
        <v>401205</v>
      </c>
      <c r="D58" s="909" t="n"/>
      <c r="E58" s="860" t="n"/>
      <c r="F58" s="880" t="n"/>
      <c r="G58" s="880" t="n"/>
      <c r="H58" s="880" t="n"/>
      <c r="I58" s="909" t="n"/>
      <c r="J58" s="860" t="n"/>
    </row>
    <row r="59" ht="14.25" customHeight="1" s="186">
      <c r="A59" s="915" t="n"/>
      <c r="B59" s="916" t="inlineStr">
        <is>
          <t>図書印刷費</t>
        </is>
      </c>
      <c r="C59" s="912">
        <f>H22</f>
        <v>140060</v>
      </c>
      <c r="D59" s="909" t="n"/>
      <c r="E59" s="860" t="n"/>
      <c r="F59" s="880" t="n"/>
      <c r="G59" s="880" t="n"/>
      <c r="H59" s="880" t="n"/>
      <c r="I59" s="909" t="n"/>
      <c r="J59" s="860" t="n"/>
    </row>
    <row r="60" ht="14.25" customHeight="1" s="186">
      <c r="A60" s="915" t="n"/>
      <c r="B60" s="916" t="inlineStr">
        <is>
          <t>通信運搬費</t>
        </is>
      </c>
      <c r="C60" s="912">
        <f>H41</f>
        <v>326569</v>
      </c>
      <c r="D60" s="909" t="n"/>
      <c r="E60" s="860" t="n"/>
      <c r="F60" s="880" t="n"/>
      <c r="G60" s="880" t="n"/>
      <c r="H60" s="880" t="n"/>
      <c r="I60" s="909" t="n"/>
      <c r="J60" s="860" t="n"/>
    </row>
    <row r="61" ht="14.25" customHeight="1" s="186">
      <c r="A61" s="915" t="n"/>
      <c r="B61" s="916" t="inlineStr">
        <is>
          <t>会議費</t>
        </is>
      </c>
      <c r="C61" s="912">
        <f>C30</f>
        <v>0</v>
      </c>
      <c r="D61" s="909" t="n"/>
      <c r="E61" s="860" t="n"/>
      <c r="F61" s="880" t="n"/>
      <c r="G61" s="880" t="n"/>
      <c r="H61" s="880" t="n"/>
      <c r="I61" s="909" t="n"/>
      <c r="J61" s="860" t="n"/>
    </row>
    <row r="62" ht="14.25" customHeight="1" s="186">
      <c r="A62" s="915" t="n"/>
      <c r="B62" s="916" t="inlineStr">
        <is>
          <t>雑費</t>
        </is>
      </c>
      <c r="C62" s="912">
        <f>C54</f>
        <v>105714</v>
      </c>
      <c r="D62" s="909" t="n"/>
      <c r="E62" s="860" t="n"/>
      <c r="F62" s="880" t="n"/>
      <c r="G62" s="880" t="n"/>
      <c r="H62" s="880" t="n"/>
      <c r="I62" s="909" t="n"/>
      <c r="J62" s="860" t="n"/>
    </row>
    <row r="63" ht="14.25" customHeight="1" s="186">
      <c r="A63" s="917" t="n"/>
      <c r="B63" s="910" t="inlineStr">
        <is>
          <t>計</t>
        </is>
      </c>
      <c r="C63" s="912">
        <f>SUM(C58:C62)</f>
        <v>973548</v>
      </c>
      <c r="D63" s="909" t="n"/>
      <c r="E63" s="860" t="n"/>
      <c r="F63" s="880" t="n"/>
      <c r="G63" s="880" t="n"/>
      <c r="H63" s="880" t="n"/>
      <c r="I63" s="909" t="n"/>
      <c r="J63" s="860" t="n"/>
    </row>
    <row r="64" ht="14.25" customHeight="1" s="186">
      <c r="A64" s="910" t="inlineStr">
        <is>
          <t>残額</t>
        </is>
      </c>
      <c r="B64" s="911" t="n"/>
      <c r="C64" s="912">
        <f>C57-C63</f>
        <v>515452</v>
      </c>
      <c r="D64" s="909" t="n"/>
      <c r="E64" s="860" t="n"/>
      <c r="F64" s="880" t="n"/>
      <c r="G64" s="880" t="n"/>
      <c r="H64" s="880" t="n"/>
      <c r="I64" s="909" t="n"/>
      <c r="J64" s="860" t="n"/>
    </row>
    <row r="65">
      <c r="A65" s="880" t="n"/>
      <c r="B65" s="880" t="n"/>
      <c r="C65" s="880" t="n"/>
      <c r="D65" s="909" t="n"/>
      <c r="E65" s="860" t="n"/>
      <c r="F65" s="880" t="n"/>
      <c r="G65" s="880" t="n"/>
      <c r="H65" s="880" t="n"/>
      <c r="I65" s="909" t="n"/>
      <c r="J65" s="860" t="n"/>
    </row>
    <row r="66">
      <c r="A66" s="880" t="n"/>
      <c r="B66" s="880" t="n"/>
      <c r="C66" s="880" t="n"/>
      <c r="D66" s="909" t="n"/>
      <c r="E66" s="860" t="n"/>
      <c r="F66" s="880" t="n"/>
      <c r="G66" s="880" t="n"/>
      <c r="H66" s="880" t="n"/>
      <c r="I66" s="909" t="n"/>
      <c r="J66" s="860" t="n"/>
    </row>
    <row r="67" ht="13.5" customHeight="1" s="186">
      <c r="A67" s="884" t="n"/>
      <c r="B67" s="880" t="n"/>
      <c r="C67" s="880" t="n"/>
      <c r="D67" s="909" t="n"/>
      <c r="E67" s="860" t="n"/>
      <c r="F67" s="880" t="n"/>
      <c r="G67" s="880" t="n"/>
      <c r="H67" s="880" t="n"/>
      <c r="I67" s="909" t="n"/>
      <c r="J67" s="860" t="n"/>
    </row>
  </sheetData>
  <mergeCells count="3">
    <mergeCell ref="A57:B57"/>
    <mergeCell ref="A58:A63"/>
    <mergeCell ref="A64:B64"/>
  </mergeCells>
  <conditionalFormatting sqref="A6:D25">
    <cfRule type="expression" priority="1" dxfId="6">
      <formula>$E6="昨年実績"</formula>
    </cfRule>
  </conditionalFormatting>
  <conditionalFormatting sqref="C6:C25">
    <cfRule type="expression" priority="2" dxfId="9">
      <formula>$E6="確認済"</formula>
    </cfRule>
  </conditionalFormatting>
  <conditionalFormatting sqref="A29:D31">
    <cfRule type="expression" priority="3" dxfId="6">
      <formula>$E29="昨年実績"</formula>
    </cfRule>
  </conditionalFormatting>
  <conditionalFormatting sqref="C29:C31">
    <cfRule type="expression" priority="4" dxfId="9">
      <formula>$E29="確認済"</formula>
    </cfRule>
  </conditionalFormatting>
  <conditionalFormatting sqref="A35:D67">
    <cfRule type="expression" priority="5" dxfId="6">
      <formula>$E35="昨年実績"</formula>
    </cfRule>
  </conditionalFormatting>
  <conditionalFormatting sqref="C35:C67">
    <cfRule type="expression" priority="6" dxfId="9">
      <formula>$E35="確認済"</formula>
    </cfRule>
  </conditionalFormatting>
  <conditionalFormatting sqref="F6:I23">
    <cfRule type="expression" priority="7" dxfId="6">
      <formula>$J6="昨年実績"</formula>
    </cfRule>
  </conditionalFormatting>
  <conditionalFormatting sqref="H6:H23">
    <cfRule type="expression" priority="8" dxfId="9">
      <formula>$J6="確認済"</formula>
    </cfRule>
  </conditionalFormatting>
  <conditionalFormatting sqref="F27:I42">
    <cfRule type="expression" priority="9" dxfId="6">
      <formula>$J27="昨年実績"</formula>
    </cfRule>
  </conditionalFormatting>
  <conditionalFormatting sqref="H27:H42">
    <cfRule type="expression" priority="10" dxfId="9">
      <formula>$J27="確認済"</formula>
    </cfRule>
  </conditionalFormatting>
  <conditionalFormatting sqref="F46:I67">
    <cfRule type="expression" priority="11" dxfId="6">
      <formula>$J46="昨年実績"</formula>
    </cfRule>
  </conditionalFormatting>
  <conditionalFormatting sqref="H46:H67">
    <cfRule type="expression" priority="12" dxfId="9">
      <formula>$J46="確認済"</formula>
    </cfRule>
  </conditionalFormatting>
  <dataValidations count="6">
    <dataValidation sqref="E6:E25" showDropDown="0" showInputMessage="0" showErrorMessage="0" allowBlank="1" type="list">
      <formula1>=科目表!$I$5:$I$8</formula1>
    </dataValidation>
    <dataValidation sqref="E29:E31" showDropDown="0" showInputMessage="0" showErrorMessage="0" allowBlank="1" type="list">
      <formula1>=科目表!$I$5:$I$8</formula1>
    </dataValidation>
    <dataValidation sqref="E35:E67" showDropDown="0" showInputMessage="0" showErrorMessage="0" allowBlank="1" type="list">
      <formula1>=科目表!$I$5:$I$8</formula1>
    </dataValidation>
    <dataValidation sqref="J6:J23" showDropDown="0" showInputMessage="0" showErrorMessage="0" allowBlank="1" type="list">
      <formula1>=科目表!$I$5:$I$8</formula1>
    </dataValidation>
    <dataValidation sqref="J27:J42" showDropDown="0" showInputMessage="0" showErrorMessage="0" allowBlank="1" type="list">
      <formula1>=科目表!$I$5:$I$8</formula1>
    </dataValidation>
    <dataValidation sqref="J46:J67" showDropDown="0" showInputMessage="0" showErrorMessage="0" allowBlank="1" type="list">
      <formula1>=科目表!$I$5:$I$8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K86"/>
  <sheetViews>
    <sheetView showGridLines="1" tabSelected="0" zoomScale="100" workbookViewId="0">
      <selection activeCell="A1" sqref="A1"/>
    </sheetView>
  </sheetViews>
  <sheetFormatPr baseColWidth="8" defaultRowHeight="15"/>
  <cols>
    <col width="6.25" customWidth="1" style="186" min="1" max="1"/>
    <col width="26.75" customWidth="1" style="186" min="2" max="2"/>
    <col width="10.62" customWidth="1" style="186" min="3" max="3"/>
    <col width="11.87" customWidth="1" style="186" min="4" max="4"/>
    <col width="8" customWidth="1" style="186" min="5" max="5"/>
    <col width="5.99" customWidth="1" style="186" min="6" max="6"/>
    <col width="38.37" customWidth="1" style="186" min="7" max="7"/>
    <col width="10.62" customWidth="1" style="186" min="8" max="8"/>
    <col width="8" customWidth="1" style="186" min="10" max="10"/>
    <col width="9.25" customWidth="1" style="186" min="11" max="11"/>
  </cols>
  <sheetData>
    <row r="1" ht="18" customHeight="1" s="186">
      <c r="B1" s="918" t="str">
        <f>'旅費・事務費（消耗品・図書・通信・会議・雑費）R８'!B1</f>
        <v>令和８年度　貸付経理事務費</v>
      </c>
      <c r="D1" s="919" t="inlineStr">
        <is>
          <t>②</t>
        </is>
      </c>
    </row>
    <row r="2" ht="12.95" customHeight="1" s="186">
      <c r="B2" s="920" t="n"/>
      <c r="C2" s="921" t="n"/>
    </row>
    <row r="3" ht="12.95" customHeight="1" s="186">
      <c r="B3" s="922" t="inlineStr">
        <is>
          <t>厚生費</t>
        </is>
      </c>
      <c r="D3" s="841" t="inlineStr">
        <is>
          <t>貸付経理</t>
        </is>
      </c>
      <c r="G3" s="840" t="inlineStr">
        <is>
          <t>普及費</t>
        </is>
      </c>
      <c r="I3" s="841" t="inlineStr">
        <is>
          <t>貸付経理</t>
        </is>
      </c>
    </row>
    <row r="4" ht="14.25" customHeight="1" s="186">
      <c r="A4" s="842" t="n"/>
      <c r="B4" s="923" t="n"/>
      <c r="C4" s="844" t="inlineStr">
        <is>
          <t>支出額</t>
        </is>
      </c>
      <c r="D4" s="845" t="inlineStr">
        <is>
          <t>残額</t>
        </is>
      </c>
      <c r="E4" s="846" t="inlineStr">
        <is>
          <t>状態</t>
        </is>
      </c>
      <c r="F4" s="842" t="n"/>
      <c r="G4" s="843" t="n"/>
      <c r="H4" s="844" t="inlineStr">
        <is>
          <t>支出額</t>
        </is>
      </c>
      <c r="I4" s="845" t="inlineStr">
        <is>
          <t>残額</t>
        </is>
      </c>
      <c r="J4" s="846" t="inlineStr">
        <is>
          <t>状態</t>
        </is>
      </c>
    </row>
    <row r="5" ht="13.5" customHeight="1" s="186">
      <c r="A5" s="847" t="n">
        <v>45017</v>
      </c>
      <c r="B5" s="924" t="n"/>
      <c r="C5" s="849" t="n"/>
      <c r="D5" s="850">
        <f>'R8貸付'!$Q$7</f>
        <v>24000</v>
      </c>
      <c r="F5" s="847" t="n">
        <v>45017</v>
      </c>
      <c r="G5" s="848" t="n"/>
      <c r="H5" s="849" t="n"/>
      <c r="I5" s="850">
        <f>'R8貸付'!$Q$19</f>
        <v>648000</v>
      </c>
    </row>
    <row r="6" ht="13.5" customHeight="1" s="186">
      <c r="A6" s="856" t="n">
        <v>45559</v>
      </c>
      <c r="B6" s="925" t="inlineStr">
        <is>
          <t>定期健康診断等（神岡、中村、作本）</t>
        </is>
      </c>
      <c r="C6" s="862" t="n">
        <v>10890</v>
      </c>
      <c r="D6" s="859">
        <f>D5-C6</f>
        <v>13110</v>
      </c>
      <c r="E6" s="860" t="inlineStr">
        <is>
          <t>昨年実績</t>
        </is>
      </c>
      <c r="F6" s="856" t="n">
        <v>46259</v>
      </c>
      <c r="G6" s="926" t="inlineStr">
        <is>
          <t>厚生だより等印刷代分担金　互助会（第１四半期）</t>
        </is>
      </c>
      <c r="H6" s="858" t="n">
        <v>242770</v>
      </c>
      <c r="I6" s="859">
        <f>I5-H6</f>
        <v>405230</v>
      </c>
      <c r="J6" s="860" t="inlineStr">
        <is>
          <t>確認済</t>
        </is>
      </c>
    </row>
    <row r="7" ht="13.5" customHeight="1" s="186">
      <c r="A7" s="856" t="n">
        <v>44592</v>
      </c>
      <c r="B7" s="925" t="inlineStr">
        <is>
          <t>人間ドック  神岡</t>
        </is>
      </c>
      <c r="C7" s="862" t="n">
        <v>13940</v>
      </c>
      <c r="D7" s="859">
        <f>D6-C7</f>
        <v>-830</v>
      </c>
      <c r="E7" s="860" t="inlineStr">
        <is>
          <t>昨年実績</t>
        </is>
      </c>
      <c r="F7" s="856" t="n"/>
      <c r="G7" s="927" t="n"/>
      <c r="H7" s="862" t="n"/>
      <c r="I7" s="859">
        <f>I6-H7</f>
        <v>405230</v>
      </c>
      <c r="J7" s="860" t="n"/>
    </row>
    <row r="8" ht="13.5" customHeight="1" s="186">
      <c r="A8" s="856" t="n">
        <v>44592</v>
      </c>
      <c r="B8" s="925" t="inlineStr">
        <is>
          <t>定期健康診断（勝部、作本）</t>
        </is>
      </c>
      <c r="C8" s="862" t="n">
        <v>13860</v>
      </c>
      <c r="D8" s="859">
        <f>D7-C8</f>
        <v>-14690</v>
      </c>
      <c r="E8" s="860" t="inlineStr">
        <is>
          <t>昨年実績</t>
        </is>
      </c>
      <c r="F8" s="856" t="n"/>
      <c r="G8" s="904" t="n"/>
      <c r="H8" s="862" t="n"/>
      <c r="I8" s="859">
        <f>I7-H8</f>
        <v>405230</v>
      </c>
      <c r="J8" s="860" t="n"/>
    </row>
    <row r="9" ht="24.75" customHeight="1" s="186">
      <c r="A9" s="856" t="n">
        <v>46262</v>
      </c>
      <c r="B9" s="925" t="inlineStr">
        <is>
          <t>定期健康診断等　貸付経理分（神岡）</t>
        </is>
      </c>
      <c r="C9" s="858" t="n">
        <v>1980</v>
      </c>
      <c r="D9" s="859">
        <f>D8-C9</f>
        <v>-16670</v>
      </c>
      <c r="E9" s="860" t="inlineStr">
        <is>
          <t>確認済</t>
        </is>
      </c>
      <c r="F9" s="856" t="n"/>
      <c r="G9" s="927" t="n"/>
      <c r="H9" s="862" t="n"/>
      <c r="I9" s="859">
        <f>I8-H9</f>
        <v>405230</v>
      </c>
      <c r="J9" s="860" t="n"/>
    </row>
    <row r="10" ht="13.5" customHeight="1" s="186">
      <c r="A10" s="856" t="n"/>
      <c r="B10" s="925" t="n"/>
      <c r="C10" s="862" t="n"/>
      <c r="D10" s="859">
        <f>D9-C10</f>
        <v>-16670</v>
      </c>
      <c r="E10" s="860" t="n"/>
      <c r="F10" s="856" t="n"/>
      <c r="G10" s="863" t="n"/>
      <c r="H10" s="862" t="n"/>
      <c r="I10" s="859">
        <f>I9-H10</f>
        <v>405230</v>
      </c>
      <c r="J10" s="860" t="n"/>
    </row>
    <row r="11" ht="14.25" customHeight="1" s="186">
      <c r="A11" s="856" t="n">
        <v>46280</v>
      </c>
      <c r="B11" s="925" t="inlineStr">
        <is>
          <t>定期健康診断（中村、作本、福場）</t>
        </is>
      </c>
      <c r="C11" s="858" t="n">
        <v>21527</v>
      </c>
      <c r="D11" s="859">
        <f>D10-C11</f>
        <v>-38197</v>
      </c>
      <c r="E11" s="860" t="inlineStr">
        <is>
          <t>確認済</t>
        </is>
      </c>
      <c r="F11" s="856" t="n"/>
      <c r="G11" s="863" t="n"/>
      <c r="H11" s="862" t="n"/>
      <c r="I11" s="859">
        <f>I10-H11</f>
        <v>405230</v>
      </c>
      <c r="J11" s="860" t="n"/>
    </row>
    <row r="12" ht="14.25" customHeight="1" s="186">
      <c r="A12" s="856" t="n"/>
      <c r="B12" s="928" t="n"/>
      <c r="C12" s="862" t="n"/>
      <c r="D12" s="859">
        <f>D11-C12</f>
        <v>-38197</v>
      </c>
      <c r="E12" s="860" t="n"/>
      <c r="F12" s="873" t="n"/>
      <c r="G12" s="874" t="n"/>
      <c r="H12" s="875">
        <f>SUM(H6:H11)</f>
        <v>242770</v>
      </c>
      <c r="I12" s="876">
        <f>I5-H12</f>
        <v>405230</v>
      </c>
      <c r="J12" s="860" t="n"/>
    </row>
    <row r="13" ht="14.25" customHeight="1" s="186">
      <c r="A13" s="873" t="n"/>
      <c r="B13" s="929" t="n"/>
      <c r="C13" s="875">
        <f>SUM(C6:C12)</f>
        <v>62197</v>
      </c>
      <c r="D13" s="876">
        <f>D5-C13</f>
        <v>-38197</v>
      </c>
      <c r="E13" s="860" t="n"/>
      <c r="F13" s="882" t="n"/>
      <c r="G13" s="883" t="n"/>
      <c r="H13" s="884" t="n"/>
      <c r="I13" s="885" t="n"/>
      <c r="J13" s="860" t="n"/>
    </row>
    <row r="14" ht="14.25" customHeight="1" s="186">
      <c r="A14" s="882" t="n"/>
      <c r="B14" s="930" t="n"/>
      <c r="C14" s="884" t="n"/>
      <c r="D14" s="885" t="n"/>
      <c r="E14" s="860" t="n"/>
      <c r="I14" s="841" t="inlineStr">
        <is>
          <t>貸付経理</t>
        </is>
      </c>
    </row>
    <row r="15" ht="14.25" customHeight="1" s="186">
      <c r="B15" s="931" t="inlineStr">
        <is>
          <t>委託費</t>
        </is>
      </c>
      <c r="D15" s="841" t="inlineStr">
        <is>
          <t>貸付経理</t>
        </is>
      </c>
      <c r="F15" s="842" t="n"/>
      <c r="G15" s="843" t="n"/>
      <c r="H15" s="844" t="inlineStr">
        <is>
          <t>支出額</t>
        </is>
      </c>
      <c r="I15" s="845" t="inlineStr">
        <is>
          <t>残額</t>
        </is>
      </c>
      <c r="J15" s="846" t="inlineStr">
        <is>
          <t>状態</t>
        </is>
      </c>
    </row>
    <row r="16" ht="14.25" customHeight="1" s="186">
      <c r="A16" s="842" t="n"/>
      <c r="B16" s="932" t="n"/>
      <c r="C16" s="844" t="inlineStr">
        <is>
          <t>支出額</t>
        </is>
      </c>
      <c r="D16" s="845" t="inlineStr">
        <is>
          <t>残額</t>
        </is>
      </c>
      <c r="E16" s="846" t="inlineStr">
        <is>
          <t>状態</t>
        </is>
      </c>
      <c r="F16" s="933" t="n"/>
      <c r="G16" s="934" t="n"/>
      <c r="H16" s="935" t="n"/>
      <c r="I16" s="936" t="n">
        <v>0</v>
      </c>
    </row>
    <row r="17" ht="13.5" customHeight="1" s="186">
      <c r="A17" s="847" t="n">
        <v>45017</v>
      </c>
      <c r="B17" s="924" t="n"/>
      <c r="C17" s="849" t="n"/>
      <c r="D17" s="937">
        <f>'R8貸付'!$Q$16</f>
        <v>525000</v>
      </c>
      <c r="F17" s="856" t="n"/>
      <c r="G17" s="863" t="n"/>
      <c r="H17" s="862" t="n"/>
      <c r="I17" s="859">
        <f>I16-H17</f>
        <v>0</v>
      </c>
      <c r="J17" s="860" t="n"/>
    </row>
    <row r="18" ht="13.5" customHeight="1" s="186">
      <c r="A18" s="856" t="n">
        <v>46295</v>
      </c>
      <c r="B18" s="938" t="inlineStr">
        <is>
          <t>オフィスライセンス調達</t>
        </is>
      </c>
      <c r="C18" s="858" t="n">
        <v>153120</v>
      </c>
      <c r="D18" s="859">
        <f>D17-C18</f>
        <v>371880</v>
      </c>
      <c r="E18" s="860" t="inlineStr">
        <is>
          <t>確認済</t>
        </is>
      </c>
      <c r="F18" s="856" t="n"/>
      <c r="G18" s="863" t="n"/>
      <c r="H18" s="862" t="n"/>
      <c r="I18" s="859">
        <f>I17-H18</f>
        <v>0</v>
      </c>
      <c r="J18" s="860" t="n"/>
    </row>
    <row r="19" ht="13.5" customHeight="1" s="186">
      <c r="A19" s="856" t="n">
        <v>45954</v>
      </c>
      <c r="B19" s="938" t="inlineStr">
        <is>
          <t>基幹・特定検診等システムMicro Focus COBOL 更新ライセンス</t>
        </is>
      </c>
      <c r="C19" s="862" t="n">
        <v>36943</v>
      </c>
      <c r="D19" s="859">
        <f>D18-C19</f>
        <v>334937</v>
      </c>
      <c r="E19" s="860" t="inlineStr">
        <is>
          <t>昨年実績</t>
        </is>
      </c>
      <c r="F19" s="856" t="n"/>
      <c r="G19" s="863" t="n"/>
      <c r="H19" s="862" t="n"/>
      <c r="I19" s="859">
        <f>I18-H19</f>
        <v>0</v>
      </c>
      <c r="J19" s="860" t="n"/>
    </row>
    <row r="20" ht="14.25" customHeight="1" s="186">
      <c r="A20" s="856" t="n">
        <v>45635</v>
      </c>
      <c r="B20" s="938" t="inlineStr">
        <is>
          <t>基幹個別システム導入支援</t>
        </is>
      </c>
      <c r="C20" s="862" t="n">
        <v>150488</v>
      </c>
      <c r="D20" s="859">
        <f>D19-C20</f>
        <v>184449</v>
      </c>
      <c r="E20" s="860" t="inlineStr">
        <is>
          <t>昨年実績</t>
        </is>
      </c>
      <c r="F20" s="856" t="n"/>
      <c r="G20" s="863" t="n"/>
      <c r="H20" s="862" t="n"/>
      <c r="I20" s="859">
        <f>I19-H20</f>
        <v>0</v>
      </c>
      <c r="J20" s="860" t="n"/>
    </row>
    <row r="21" ht="14.25" customHeight="1" s="186">
      <c r="A21" s="856" t="n"/>
      <c r="B21" s="938" t="n"/>
      <c r="C21" s="862" t="n"/>
      <c r="D21" s="859">
        <f>D20-C21</f>
        <v>184449</v>
      </c>
      <c r="E21" s="860" t="n"/>
      <c r="F21" s="873" t="n"/>
      <c r="G21" s="874" t="n"/>
      <c r="H21" s="875">
        <f>SUM(H17:H20)</f>
        <v>0</v>
      </c>
      <c r="I21" s="876">
        <f>I16-H21</f>
        <v>0</v>
      </c>
      <c r="J21" s="860" t="n"/>
    </row>
    <row r="22" ht="14.25" customHeight="1" s="186">
      <c r="A22" s="856" t="n"/>
      <c r="B22" s="938" t="n"/>
      <c r="C22" s="862" t="n"/>
      <c r="D22" s="859">
        <f>D21-C22</f>
        <v>184449</v>
      </c>
      <c r="E22" s="860" t="n"/>
      <c r="F22" s="880" t="n"/>
      <c r="G22" s="880" t="n"/>
      <c r="H22" s="880" t="n"/>
      <c r="I22" s="909" t="n"/>
      <c r="J22" s="860" t="n"/>
    </row>
    <row r="23" ht="14.25" customHeight="1" s="186">
      <c r="A23" s="867" t="n">
        <v>46127</v>
      </c>
      <c r="B23" s="939" t="inlineStr">
        <is>
          <t>基幹個別（資格・貸付）システム保守費</t>
        </is>
      </c>
      <c r="C23" s="862" t="n">
        <v>192720</v>
      </c>
      <c r="D23" s="859">
        <f>D22-C23</f>
        <v>-8271</v>
      </c>
      <c r="E23" s="860" t="inlineStr">
        <is>
          <t>昨年実績</t>
        </is>
      </c>
      <c r="G23" s="840" t="inlineStr">
        <is>
          <t>負担金(共済費等以外）</t>
        </is>
      </c>
      <c r="I23" s="841" t="inlineStr">
        <is>
          <t>貸付経理</t>
        </is>
      </c>
    </row>
    <row r="24" ht="14.25" customHeight="1" s="186">
      <c r="A24" s="873" t="n"/>
      <c r="B24" s="929" t="n"/>
      <c r="C24" s="875">
        <f>SUM(C18:C23)</f>
        <v>533271</v>
      </c>
      <c r="D24" s="940">
        <f>D17-C24</f>
        <v>-8271</v>
      </c>
      <c r="E24" s="860" t="n"/>
      <c r="F24" s="842" t="n"/>
      <c r="G24" s="843" t="n"/>
      <c r="H24" s="844" t="inlineStr">
        <is>
          <t>支出額</t>
        </is>
      </c>
      <c r="I24" s="845" t="inlineStr">
        <is>
          <t>残額</t>
        </is>
      </c>
      <c r="J24" s="846" t="inlineStr">
        <is>
          <t>状態</t>
        </is>
      </c>
    </row>
    <row r="25" ht="13.5" customHeight="1" s="186">
      <c r="A25" s="880" t="n"/>
      <c r="B25" s="941" t="n"/>
      <c r="C25" s="880" t="n"/>
      <c r="D25" s="909" t="n"/>
      <c r="E25" s="860" t="n"/>
      <c r="F25" s="847" t="n">
        <v>45017</v>
      </c>
      <c r="G25" s="848" t="n"/>
      <c r="H25" s="849" t="n"/>
      <c r="I25" s="850">
        <f>'R8貸付'!$Q$21</f>
        <v>2177000</v>
      </c>
      <c r="J25" s="942" t="n"/>
      <c r="K25" s="943" t="n"/>
    </row>
    <row r="26" ht="14.25" customHeight="1" s="186">
      <c r="B26" s="931" t="inlineStr">
        <is>
          <t>修繕費</t>
        </is>
      </c>
      <c r="D26" s="841" t="inlineStr">
        <is>
          <t>貸付経理</t>
        </is>
      </c>
      <c r="F26" s="856" t="n">
        <v>46150</v>
      </c>
      <c r="G26" s="861" t="inlineStr">
        <is>
          <t>広島県社会保険協会年会費</t>
        </is>
      </c>
      <c r="H26" s="858" t="n">
        <v>1040</v>
      </c>
      <c r="I26" s="859">
        <f>I25-H26</f>
        <v>2175960</v>
      </c>
      <c r="J26" s="860" t="inlineStr">
        <is>
          <t>確認済</t>
        </is>
      </c>
      <c r="K26" s="943" t="n"/>
    </row>
    <row r="27" ht="14.25" customHeight="1" s="186">
      <c r="A27" s="842" t="n"/>
      <c r="B27" s="932" t="n"/>
      <c r="C27" s="844" t="inlineStr">
        <is>
          <t>支出額</t>
        </is>
      </c>
      <c r="D27" s="845" t="inlineStr">
        <is>
          <t>残額</t>
        </is>
      </c>
      <c r="E27" s="846" t="inlineStr">
        <is>
          <t>状態</t>
        </is>
      </c>
      <c r="F27" s="856" t="n">
        <v>46171</v>
      </c>
      <c r="G27" s="861" t="inlineStr">
        <is>
          <t>法人市・県民税</t>
        </is>
      </c>
      <c r="H27" s="858" t="n">
        <v>71000</v>
      </c>
      <c r="I27" s="859">
        <f>I26-H27</f>
        <v>2104960</v>
      </c>
      <c r="J27" s="860" t="inlineStr">
        <is>
          <t>確認済</t>
        </is>
      </c>
      <c r="K27" s="944" t="n"/>
    </row>
    <row r="28" ht="13.5" customHeight="1" s="186">
      <c r="A28" s="847" t="n">
        <v>45017</v>
      </c>
      <c r="B28" s="924" t="n"/>
      <c r="C28" s="849" t="n"/>
      <c r="D28" s="945">
        <f>'R8貸付'!$Q$17</f>
        <v>100000</v>
      </c>
      <c r="F28" s="856" t="n">
        <v>46210</v>
      </c>
      <c r="G28" s="861" t="inlineStr">
        <is>
          <t>労働保険料・一般拠出金　事業主負担分</t>
        </is>
      </c>
      <c r="H28" s="858" t="n">
        <v>129149</v>
      </c>
      <c r="I28" s="859">
        <f>I27-H28</f>
        <v>1975811</v>
      </c>
      <c r="J28" s="860" t="inlineStr">
        <is>
          <t>確認済</t>
        </is>
      </c>
    </row>
    <row r="29" ht="14.25" customHeight="1" s="186">
      <c r="A29" s="856" t="n"/>
      <c r="B29" s="946" t="n"/>
      <c r="C29" s="862" t="n"/>
      <c r="D29" s="947">
        <f>D28-C29</f>
        <v>100000</v>
      </c>
      <c r="E29" s="860" t="n"/>
      <c r="F29" s="856" t="n"/>
      <c r="G29" s="861" t="n"/>
      <c r="H29" s="862" t="n"/>
      <c r="I29" s="859">
        <f>I28-H29</f>
        <v>1975811</v>
      </c>
      <c r="J29" s="860" t="n"/>
    </row>
    <row r="30" ht="14.25" customHeight="1" s="186">
      <c r="A30" s="856" t="n"/>
      <c r="B30" s="946" t="n"/>
      <c r="C30" s="862" t="n"/>
      <c r="D30" s="947">
        <f>D29-C30</f>
        <v>100000</v>
      </c>
      <c r="E30" s="860" t="n"/>
      <c r="F30" s="873" t="n"/>
      <c r="G30" s="874" t="n"/>
      <c r="H30" s="875">
        <f>SUM(H26:H29)</f>
        <v>201189</v>
      </c>
      <c r="I30" s="876">
        <f>I25-H30</f>
        <v>1975811</v>
      </c>
      <c r="J30" s="860" t="n"/>
    </row>
    <row r="31" ht="14.25" customHeight="1" s="186">
      <c r="A31" s="856" t="n"/>
      <c r="B31" s="946" t="n"/>
      <c r="C31" s="862" t="n"/>
      <c r="D31" s="947">
        <f>D30-C31</f>
        <v>100000</v>
      </c>
      <c r="E31" s="860" t="n"/>
      <c r="F31" s="880" t="n"/>
      <c r="G31" s="880" t="n"/>
      <c r="H31" s="880" t="n"/>
      <c r="I31" s="909" t="n"/>
      <c r="J31" s="860" t="n"/>
    </row>
    <row r="32" ht="14.25" customHeight="1" s="186">
      <c r="A32" s="873" t="n"/>
      <c r="B32" s="929" t="n"/>
      <c r="C32" s="875">
        <f>SUM(C29:C31)</f>
        <v>0</v>
      </c>
      <c r="D32" s="948">
        <f>D28-C32</f>
        <v>100000</v>
      </c>
      <c r="E32" s="860" t="n"/>
      <c r="G32" s="840" t="inlineStr">
        <is>
          <t>雑費</t>
        </is>
      </c>
      <c r="I32" s="841" t="inlineStr">
        <is>
          <t>貸付経理</t>
        </is>
      </c>
    </row>
    <row r="33" ht="14.25" customHeight="1" s="186">
      <c r="A33" s="880" t="n"/>
      <c r="B33" s="941" t="n"/>
      <c r="C33" s="880" t="n"/>
      <c r="D33" s="949" t="n"/>
      <c r="E33" s="860" t="n"/>
      <c r="F33" s="842" t="n"/>
      <c r="G33" s="843" t="n"/>
      <c r="H33" s="844" t="inlineStr">
        <is>
          <t>支出額</t>
        </is>
      </c>
      <c r="I33" s="845" t="inlineStr">
        <is>
          <t>残額</t>
        </is>
      </c>
      <c r="J33" s="846" t="inlineStr">
        <is>
          <t>状態</t>
        </is>
      </c>
    </row>
    <row r="34" ht="14.25" customHeight="1" s="186">
      <c r="B34" s="931" t="inlineStr">
        <is>
          <t>賃借料</t>
        </is>
      </c>
      <c r="D34" s="841" t="inlineStr">
        <is>
          <t>貸付経理</t>
        </is>
      </c>
      <c r="F34" s="847" t="n">
        <v>45017</v>
      </c>
      <c r="G34" s="848" t="n"/>
      <c r="H34" s="849" t="n"/>
      <c r="I34" s="850">
        <f>'R8貸付'!$Q$30</f>
        <v>0</v>
      </c>
    </row>
    <row r="35" ht="14.25" customHeight="1" s="186">
      <c r="A35" s="842" t="n"/>
      <c r="B35" s="932" t="n"/>
      <c r="C35" s="844" t="inlineStr">
        <is>
          <t>支出額</t>
        </is>
      </c>
      <c r="D35" s="845" t="inlineStr">
        <is>
          <t>残額</t>
        </is>
      </c>
      <c r="E35" s="846" t="inlineStr">
        <is>
          <t>状態</t>
        </is>
      </c>
      <c r="F35" s="856" t="n"/>
      <c r="G35" s="863" t="n"/>
      <c r="H35" s="862" t="n"/>
      <c r="I35" s="859">
        <f>I34-H35</f>
        <v>0</v>
      </c>
      <c r="J35" s="860" t="n"/>
    </row>
    <row r="36" ht="13.5" customHeight="1" s="186">
      <c r="A36" s="847" t="n">
        <v>45017</v>
      </c>
      <c r="B36" s="924" t="n"/>
      <c r="C36" s="849" t="n"/>
      <c r="D36" s="850">
        <f>'R8貸付'!$Q$18</f>
        <v>882000</v>
      </c>
      <c r="F36" s="856" t="n"/>
      <c r="G36" s="863" t="n"/>
      <c r="H36" s="862" t="n"/>
      <c r="I36" s="859">
        <f>I35-H36</f>
        <v>0</v>
      </c>
      <c r="J36" s="860" t="n"/>
    </row>
    <row r="37" ht="13.5" customHeight="1" s="186">
      <c r="A37" s="856" t="n">
        <v>46171</v>
      </c>
      <c r="B37" s="950" t="inlineStr">
        <is>
          <t>ﾊﾟｿｺﾝ(貸付用)ｻﾝﾈｯﾄ（4月分）</t>
        </is>
      </c>
      <c r="C37" s="858" t="n">
        <v>5060</v>
      </c>
      <c r="D37" s="859">
        <f>D36-C37</f>
        <v>876940</v>
      </c>
      <c r="E37" s="860" t="inlineStr">
        <is>
          <t>確認済</t>
        </is>
      </c>
      <c r="F37" s="856" t="n"/>
      <c r="G37" s="863" t="n"/>
      <c r="H37" s="862" t="n"/>
      <c r="I37" s="859">
        <f>I36-H37</f>
        <v>0</v>
      </c>
      <c r="J37" s="860" t="n"/>
    </row>
    <row r="38" ht="14.25" customHeight="1" s="186">
      <c r="A38" s="856" t="n">
        <v>46171</v>
      </c>
      <c r="B38" s="950" t="inlineStr">
        <is>
          <t>基幹システム用機器賃借料4月分</t>
        </is>
      </c>
      <c r="C38" s="858" t="n">
        <v>69614</v>
      </c>
      <c r="D38" s="859">
        <f>D37-C38</f>
        <v>807326</v>
      </c>
      <c r="E38" s="860" t="inlineStr">
        <is>
          <t>確認済</t>
        </is>
      </c>
      <c r="F38" s="856" t="n"/>
      <c r="G38" s="863" t="n"/>
      <c r="H38" s="862" t="n"/>
      <c r="I38" s="859">
        <f>I37-H38</f>
        <v>0</v>
      </c>
      <c r="J38" s="860" t="n"/>
    </row>
    <row r="39" ht="14.25" customHeight="1" s="186">
      <c r="A39" s="856" t="n">
        <v>46202</v>
      </c>
      <c r="B39" s="950" t="inlineStr">
        <is>
          <t>ﾊﾟｿｺﾝ(貸付用)ｻﾝﾈｯﾄ（5月分）</t>
        </is>
      </c>
      <c r="C39" s="858" t="n">
        <v>5060</v>
      </c>
      <c r="D39" s="859">
        <f>D38-C39</f>
        <v>802266</v>
      </c>
      <c r="E39" s="860" t="inlineStr">
        <is>
          <t>確認済</t>
        </is>
      </c>
      <c r="F39" s="873" t="n"/>
      <c r="G39" s="874" t="n"/>
      <c r="H39" s="875">
        <f>SUM(H35:H38)</f>
        <v>0</v>
      </c>
      <c r="I39" s="876">
        <f>I34-H39</f>
        <v>0</v>
      </c>
      <c r="J39" s="860" t="n"/>
    </row>
    <row r="40" ht="13.5" customHeight="1" s="186">
      <c r="A40" s="856" t="n">
        <v>46202</v>
      </c>
      <c r="B40" s="950" t="inlineStr">
        <is>
          <t>基幹システム用機器賃借料5月分</t>
        </is>
      </c>
      <c r="C40" s="858" t="n">
        <v>69614</v>
      </c>
      <c r="D40" s="859">
        <f>D39-C40</f>
        <v>732652</v>
      </c>
      <c r="E40" s="860" t="inlineStr">
        <is>
          <t>確認済</t>
        </is>
      </c>
      <c r="F40" s="882" t="n"/>
      <c r="G40" s="883" t="n"/>
      <c r="H40" s="864" t="n"/>
      <c r="I40" s="951" t="n"/>
      <c r="J40" s="860" t="n"/>
    </row>
    <row r="41" ht="13.5" customHeight="1" s="186">
      <c r="A41" s="856" t="n">
        <v>46232</v>
      </c>
      <c r="B41" s="950" t="inlineStr">
        <is>
          <t>ﾊﾟｿｺﾝ(貸付用)ｻﾝﾈｯﾄ（6月分）</t>
        </is>
      </c>
      <c r="C41" s="858" t="n">
        <v>5060</v>
      </c>
      <c r="D41" s="859">
        <f>D40-C41</f>
        <v>727592</v>
      </c>
      <c r="E41" s="860" t="inlineStr">
        <is>
          <t>確認済</t>
        </is>
      </c>
      <c r="F41" s="880" t="n"/>
      <c r="G41" s="880" t="n"/>
      <c r="H41" s="880" t="n"/>
      <c r="I41" s="909" t="n"/>
      <c r="J41" s="860" t="n"/>
    </row>
    <row r="42" ht="14.25" customHeight="1" s="186">
      <c r="A42" s="856" t="n">
        <v>46232</v>
      </c>
      <c r="B42" s="950" t="inlineStr">
        <is>
          <t>基幹システム用機器賃借料6月分</t>
        </is>
      </c>
      <c r="C42" s="858" t="n">
        <v>69614</v>
      </c>
      <c r="D42" s="859">
        <f>D41-C42</f>
        <v>657978</v>
      </c>
      <c r="E42" s="860" t="inlineStr">
        <is>
          <t>確認済</t>
        </is>
      </c>
      <c r="G42" s="840" t="inlineStr">
        <is>
          <t>連合会払込金</t>
        </is>
      </c>
      <c r="I42" s="841" t="inlineStr">
        <is>
          <t>貸付経理</t>
        </is>
      </c>
    </row>
    <row r="43" ht="14.25" customHeight="1" s="186">
      <c r="A43" s="856" t="n">
        <v>46262</v>
      </c>
      <c r="B43" s="950" t="inlineStr">
        <is>
          <t>ﾊﾟｿｺﾝ(貸付用)ｻﾝﾈｯﾄ（7月分）</t>
        </is>
      </c>
      <c r="C43" s="858" t="n">
        <v>5060</v>
      </c>
      <c r="D43" s="859">
        <f>D42-C43</f>
        <v>652918</v>
      </c>
      <c r="E43" s="860" t="inlineStr">
        <is>
          <t>確認済</t>
        </is>
      </c>
      <c r="F43" s="842" t="n"/>
      <c r="G43" s="843" t="n"/>
      <c r="H43" s="844" t="inlineStr">
        <is>
          <t>支出額</t>
        </is>
      </c>
      <c r="I43" s="845" t="inlineStr">
        <is>
          <t>残額</t>
        </is>
      </c>
      <c r="J43" s="846" t="inlineStr">
        <is>
          <t>状態</t>
        </is>
      </c>
    </row>
    <row r="44" ht="13.5" customHeight="1" s="186">
      <c r="A44" s="856" t="n">
        <v>46262</v>
      </c>
      <c r="B44" s="950" t="inlineStr">
        <is>
          <t>基幹システム用機器賃借料7月分</t>
        </is>
      </c>
      <c r="C44" s="858" t="n">
        <v>69614</v>
      </c>
      <c r="D44" s="859">
        <f>D43-C44</f>
        <v>583304</v>
      </c>
      <c r="E44" s="952" t="inlineStr">
        <is>
          <t>確認済</t>
        </is>
      </c>
      <c r="F44" s="847" t="n"/>
      <c r="G44" s="848" t="n"/>
      <c r="H44" s="849" t="n"/>
      <c r="I44" s="937" t="n">
        <v>0</v>
      </c>
    </row>
    <row r="45" ht="13.5" customHeight="1" s="186">
      <c r="A45" s="856" t="n">
        <v>46294</v>
      </c>
      <c r="B45" s="950" t="inlineStr">
        <is>
          <t>ﾊﾟｿｺﾝ(貸付用)ｻﾝﾈｯﾄ（８月分）</t>
        </is>
      </c>
      <c r="C45" s="858" t="n">
        <v>5060</v>
      </c>
      <c r="D45" s="859">
        <f>D44-C45</f>
        <v>578244</v>
      </c>
      <c r="E45" s="860" t="inlineStr">
        <is>
          <t>確認済</t>
        </is>
      </c>
      <c r="F45" s="856" t="n"/>
      <c r="G45" s="902" t="n"/>
      <c r="H45" s="862" t="n"/>
      <c r="I45" s="953">
        <f>I44-H45</f>
        <v>0</v>
      </c>
      <c r="J45" s="860" t="n"/>
    </row>
    <row r="46" ht="13.5" customHeight="1" s="186">
      <c r="A46" s="856" t="n">
        <v>46294</v>
      </c>
      <c r="B46" s="950" t="inlineStr">
        <is>
          <t>基幹システム用機器賃借料8月分</t>
        </is>
      </c>
      <c r="C46" s="858" t="n">
        <v>69614</v>
      </c>
      <c r="D46" s="859">
        <f>D45-C46</f>
        <v>508630</v>
      </c>
      <c r="E46" s="860" t="inlineStr">
        <is>
          <t>確認済</t>
        </is>
      </c>
      <c r="F46" s="856" t="n"/>
      <c r="G46" s="902" t="n"/>
      <c r="H46" s="862" t="n"/>
      <c r="I46" s="953">
        <f>I45-H46</f>
        <v>0</v>
      </c>
      <c r="J46" s="860" t="n"/>
    </row>
    <row r="47" ht="13.5" customHeight="1" s="186">
      <c r="A47" s="856" t="n">
        <v>46324</v>
      </c>
      <c r="B47" s="950" t="inlineStr">
        <is>
          <t>基幹システム用機器賃借料9月分</t>
        </is>
      </c>
      <c r="C47" s="862" t="n">
        <v>69614</v>
      </c>
      <c r="D47" s="859">
        <f>D46-C47</f>
        <v>439016</v>
      </c>
      <c r="E47" s="860" t="inlineStr">
        <is>
          <t>確認済</t>
        </is>
      </c>
      <c r="F47" s="856" t="n"/>
      <c r="G47" s="861" t="n"/>
      <c r="H47" s="862" t="n"/>
      <c r="I47" s="953">
        <f>I46-H47</f>
        <v>0</v>
      </c>
      <c r="J47" s="860" t="n"/>
    </row>
    <row r="48" ht="13.5" customHeight="1" s="186">
      <c r="A48" s="856" t="n">
        <v>46324</v>
      </c>
      <c r="B48" s="950" t="inlineStr">
        <is>
          <t>ﾊﾟｿｺﾝ(貸付用)ｻﾝﾈｯﾄ（9月分）</t>
        </is>
      </c>
      <c r="C48" s="862" t="n">
        <v>5060</v>
      </c>
      <c r="D48" s="859">
        <f>D47-C48</f>
        <v>433956</v>
      </c>
      <c r="E48" s="860" t="inlineStr">
        <is>
          <t>確認済</t>
        </is>
      </c>
      <c r="F48" s="856" t="n"/>
      <c r="G48" s="902" t="n"/>
      <c r="H48" s="862" t="n"/>
      <c r="I48" s="953">
        <f>I47-H48</f>
        <v>0</v>
      </c>
      <c r="J48" s="860" t="n"/>
    </row>
    <row r="49" ht="13.5" customHeight="1" s="186">
      <c r="A49" s="856" t="n">
        <v>45989</v>
      </c>
      <c r="B49" s="950" t="inlineStr">
        <is>
          <t>ﾊﾟｿｺﾝ(貸付用)ｻﾝﾈｯﾄ（10月分）</t>
        </is>
      </c>
      <c r="C49" s="862" t="n">
        <v>5060</v>
      </c>
      <c r="D49" s="859">
        <f>D48-C49</f>
        <v>428896</v>
      </c>
      <c r="E49" s="860" t="inlineStr">
        <is>
          <t>昨年実績</t>
        </is>
      </c>
      <c r="F49" s="856" t="n"/>
      <c r="G49" s="861" t="n"/>
      <c r="H49" s="862" t="n"/>
      <c r="I49" s="953">
        <f>I48-H49</f>
        <v>0</v>
      </c>
      <c r="J49" s="860" t="n"/>
    </row>
    <row r="50" ht="14.25" customHeight="1" s="186">
      <c r="A50" s="856" t="n">
        <v>45989</v>
      </c>
      <c r="B50" s="950" t="inlineStr">
        <is>
          <t>基幹システム用機器賃借料10月分</t>
        </is>
      </c>
      <c r="C50" s="862" t="n">
        <v>69614</v>
      </c>
      <c r="D50" s="859">
        <f>D49-C50</f>
        <v>359282</v>
      </c>
      <c r="E50" s="860" t="inlineStr">
        <is>
          <t>昨年実績</t>
        </is>
      </c>
      <c r="F50" s="867" t="n"/>
      <c r="G50" s="868" t="n"/>
      <c r="H50" s="903" t="n"/>
      <c r="I50" s="953">
        <f>I49-H50</f>
        <v>0</v>
      </c>
      <c r="J50" s="860" t="n"/>
    </row>
    <row r="51" ht="14.25" customHeight="1" s="186">
      <c r="A51" s="856" t="n">
        <v>46017</v>
      </c>
      <c r="B51" s="950" t="inlineStr">
        <is>
          <t>ﾊﾟｿｺﾝ(貸付用)ｻﾝﾈｯﾄ（11月分）</t>
        </is>
      </c>
      <c r="C51" s="862" t="n">
        <v>5060</v>
      </c>
      <c r="D51" s="859">
        <f>D50-C51</f>
        <v>354222</v>
      </c>
      <c r="E51" s="860" t="inlineStr">
        <is>
          <t>昨年実績</t>
        </is>
      </c>
      <c r="F51" s="873" t="n"/>
      <c r="G51" s="874" t="n"/>
      <c r="H51" s="875">
        <f>SUM(H45:H48)</f>
        <v>0</v>
      </c>
      <c r="I51" s="940">
        <f>I44-H51</f>
        <v>0</v>
      </c>
      <c r="J51" s="860" t="n"/>
    </row>
    <row r="52" ht="24" customHeight="1" s="186">
      <c r="A52" s="856" t="n">
        <v>45625</v>
      </c>
      <c r="B52" s="954" t="inlineStr">
        <is>
          <t>サーバーラック賃借料（ＪＥＣＣ）（４～１０月分）</t>
        </is>
      </c>
      <c r="C52" s="862" t="n">
        <v>217</v>
      </c>
      <c r="D52" s="859">
        <f>D51-C52</f>
        <v>354005</v>
      </c>
      <c r="E52" s="860" t="inlineStr">
        <is>
          <t>昨年実績</t>
        </is>
      </c>
      <c r="F52" s="882" t="n"/>
      <c r="G52" s="883" t="n"/>
      <c r="H52" s="864" t="n"/>
      <c r="I52" s="955" t="n"/>
      <c r="J52" s="860" t="n"/>
    </row>
    <row r="53" ht="13.5" customHeight="1" s="186">
      <c r="A53" s="856" t="n">
        <v>46017</v>
      </c>
      <c r="B53" s="950" t="inlineStr">
        <is>
          <t>基幹システム用機器賃借料11月分</t>
        </is>
      </c>
      <c r="C53" s="862" t="n">
        <v>69614</v>
      </c>
      <c r="D53" s="859">
        <f>D51-C53</f>
        <v>284608</v>
      </c>
      <c r="E53" s="860" t="inlineStr">
        <is>
          <t>昨年実績</t>
        </is>
      </c>
      <c r="F53" s="882" t="n"/>
      <c r="G53" s="883" t="n"/>
      <c r="H53" s="864" t="n"/>
      <c r="I53" s="955" t="n"/>
      <c r="J53" s="860" t="n"/>
    </row>
    <row r="54" ht="13.5" customHeight="1" s="186">
      <c r="A54" s="856" t="n">
        <v>46051</v>
      </c>
      <c r="B54" s="950" t="inlineStr">
        <is>
          <t>ﾊﾟｿｺﾝ(貸付用)ｻﾝﾈｯﾄ（12月分）</t>
        </is>
      </c>
      <c r="C54" s="862" t="n">
        <v>5060</v>
      </c>
      <c r="D54" s="859">
        <f>D53-C54</f>
        <v>279548</v>
      </c>
      <c r="E54" s="860" t="inlineStr">
        <is>
          <t>昨年実績</t>
        </is>
      </c>
      <c r="F54" s="882" t="n"/>
      <c r="G54" s="883" t="n"/>
      <c r="H54" s="864" t="n"/>
      <c r="I54" s="955" t="n"/>
      <c r="J54" s="860" t="n"/>
    </row>
    <row r="55" ht="13.5" customHeight="1" s="186">
      <c r="A55" s="856" t="n">
        <v>46051</v>
      </c>
      <c r="B55" s="950" t="inlineStr">
        <is>
          <t>基幹システム用機器賃借料12月分</t>
        </is>
      </c>
      <c r="C55" s="862" t="n">
        <v>69614</v>
      </c>
      <c r="D55" s="859">
        <f>D54-C55</f>
        <v>209934</v>
      </c>
      <c r="E55" s="860" t="inlineStr">
        <is>
          <t>昨年実績</t>
        </is>
      </c>
      <c r="F55" s="882" t="n"/>
      <c r="G55" s="883" t="n"/>
      <c r="H55" s="864" t="n"/>
      <c r="I55" s="955" t="n"/>
      <c r="J55" s="860" t="n"/>
    </row>
    <row r="56" ht="13.5" customHeight="1" s="186">
      <c r="A56" s="856" t="n">
        <v>46080</v>
      </c>
      <c r="B56" s="950" t="inlineStr">
        <is>
          <t>基幹システム用機器賃借料１月分</t>
        </is>
      </c>
      <c r="C56" s="862" t="n">
        <v>69614</v>
      </c>
      <c r="D56" s="859">
        <f>D55-C56</f>
        <v>140320</v>
      </c>
      <c r="E56" s="860" t="inlineStr">
        <is>
          <t>昨年実績</t>
        </is>
      </c>
      <c r="F56" s="882" t="n"/>
      <c r="G56" s="883" t="n"/>
      <c r="H56" s="864" t="n"/>
      <c r="I56" s="955" t="n"/>
      <c r="J56" s="860" t="n"/>
    </row>
    <row r="57" ht="13.5" customHeight="1" s="186">
      <c r="A57" s="856" t="n">
        <v>46080</v>
      </c>
      <c r="B57" s="950" t="inlineStr">
        <is>
          <t>ﾊﾟｿｺﾝ(貸付用)ｻﾝﾈｯﾄ（1月分）</t>
        </is>
      </c>
      <c r="C57" s="862" t="n">
        <v>5060</v>
      </c>
      <c r="D57" s="859">
        <f>D56-C57</f>
        <v>135260</v>
      </c>
      <c r="E57" s="860" t="inlineStr">
        <is>
          <t>昨年実績</t>
        </is>
      </c>
      <c r="F57" s="882" t="n"/>
      <c r="G57" s="883" t="n"/>
      <c r="H57" s="864" t="n"/>
      <c r="I57" s="955" t="n"/>
      <c r="J57" s="860" t="n"/>
    </row>
    <row r="58" ht="13.5" customHeight="1" s="186">
      <c r="A58" s="856" t="n">
        <v>46108</v>
      </c>
      <c r="B58" s="956" t="inlineStr">
        <is>
          <t>基幹システム用機器賃借料２月分</t>
        </is>
      </c>
      <c r="C58" s="862" t="n">
        <v>69614</v>
      </c>
      <c r="D58" s="859">
        <f>D57-C58</f>
        <v>65646</v>
      </c>
      <c r="E58" s="860" t="inlineStr">
        <is>
          <t>昨年実績</t>
        </is>
      </c>
      <c r="F58" s="882" t="n"/>
      <c r="G58" s="883" t="n"/>
      <c r="H58" s="864" t="n"/>
      <c r="I58" s="955" t="n"/>
      <c r="J58" s="860" t="n"/>
    </row>
    <row r="59" ht="13.5" customHeight="1" s="186">
      <c r="A59" s="856" t="n">
        <v>46108</v>
      </c>
      <c r="B59" s="956" t="inlineStr">
        <is>
          <t>ﾊﾟｿｺﾝ(貸付用)ｻﾝﾈｯﾄ（2月分）</t>
        </is>
      </c>
      <c r="C59" s="862" t="n">
        <v>5060</v>
      </c>
      <c r="D59" s="859">
        <f>D58-C59</f>
        <v>60586</v>
      </c>
      <c r="E59" s="860" t="inlineStr">
        <is>
          <t>昨年実績</t>
        </is>
      </c>
      <c r="F59" s="882" t="n"/>
      <c r="G59" s="883" t="n"/>
      <c r="H59" s="864" t="n"/>
      <c r="I59" s="955" t="n"/>
      <c r="J59" s="860" t="n"/>
    </row>
    <row r="60" ht="13.5" customHeight="1" s="186">
      <c r="A60" s="856" t="n"/>
      <c r="B60" s="957" t="n"/>
      <c r="C60" s="862" t="n"/>
      <c r="D60" s="859">
        <f>D59-C60</f>
        <v>60586</v>
      </c>
      <c r="E60" s="860" t="n"/>
      <c r="F60" s="882" t="n"/>
      <c r="G60" s="883" t="n"/>
      <c r="H60" s="864" t="n"/>
      <c r="I60" s="955" t="n"/>
      <c r="J60" s="860" t="n"/>
    </row>
    <row r="61" ht="13.5" customHeight="1" s="186">
      <c r="A61" s="856" t="n"/>
      <c r="B61" s="958" t="n"/>
      <c r="C61" s="862" t="n"/>
      <c r="D61" s="859">
        <f>D60-C61</f>
        <v>60586</v>
      </c>
      <c r="E61" s="860" t="n"/>
      <c r="F61" s="882" t="n"/>
      <c r="G61" s="864" t="n"/>
      <c r="H61" s="864" t="n"/>
      <c r="I61" s="955" t="n"/>
      <c r="J61" s="860" t="n"/>
    </row>
    <row r="62" ht="13.5" customHeight="1" s="186">
      <c r="A62" s="856" t="n"/>
      <c r="B62" s="958" t="n"/>
      <c r="C62" s="862" t="n"/>
      <c r="D62" s="859">
        <f>D61-C62</f>
        <v>60586</v>
      </c>
      <c r="E62" s="860" t="n"/>
      <c r="F62" s="882" t="n"/>
      <c r="G62" s="883" t="n"/>
      <c r="H62" s="864" t="n"/>
      <c r="I62" s="955" t="n"/>
      <c r="J62" s="860" t="n"/>
    </row>
    <row r="63" ht="13.5" customHeight="1" s="186">
      <c r="A63" s="856" t="n"/>
      <c r="B63" s="958" t="n"/>
      <c r="C63" s="862" t="n"/>
      <c r="D63" s="859">
        <f>D62-C63</f>
        <v>60586</v>
      </c>
      <c r="E63" s="860" t="n"/>
      <c r="F63" s="882" t="n"/>
      <c r="G63" s="883" t="n"/>
      <c r="H63" s="864" t="n"/>
      <c r="I63" s="955" t="n"/>
      <c r="J63" s="860" t="n"/>
    </row>
    <row r="64" ht="13.5" customHeight="1" s="186">
      <c r="A64" s="856" t="n"/>
      <c r="B64" s="958" t="n"/>
      <c r="C64" s="862" t="n"/>
      <c r="D64" s="859">
        <f>D63-C64</f>
        <v>60586</v>
      </c>
      <c r="E64" s="860" t="n"/>
      <c r="F64" s="882" t="n"/>
      <c r="G64" s="883" t="n"/>
      <c r="H64" s="864" t="n"/>
      <c r="I64" s="955" t="n"/>
      <c r="J64" s="860" t="n"/>
    </row>
    <row r="65" ht="13.5" customHeight="1" s="186">
      <c r="A65" s="856" t="n"/>
      <c r="B65" s="958" t="n"/>
      <c r="C65" s="862" t="n"/>
      <c r="D65" s="859">
        <f>D64-C65</f>
        <v>60586</v>
      </c>
      <c r="E65" s="860" t="n"/>
      <c r="F65" s="882" t="n"/>
      <c r="G65" s="883" t="n"/>
      <c r="H65" s="864" t="n"/>
      <c r="I65" s="955" t="n"/>
      <c r="J65" s="860" t="n"/>
    </row>
    <row r="66" ht="13.5" customHeight="1" s="186">
      <c r="A66" s="856" t="n"/>
      <c r="B66" s="950" t="n"/>
      <c r="C66" s="862" t="n"/>
      <c r="D66" s="859">
        <f>D65-C66</f>
        <v>60586</v>
      </c>
      <c r="E66" s="860" t="n"/>
      <c r="F66" s="882" t="n"/>
      <c r="G66" s="864" t="n"/>
      <c r="H66" s="864" t="n"/>
      <c r="I66" s="955" t="n"/>
      <c r="J66" s="860" t="n"/>
    </row>
    <row r="67" ht="13.5" customHeight="1" s="186">
      <c r="A67" s="856" t="n"/>
      <c r="B67" s="950" t="n"/>
      <c r="C67" s="862" t="n"/>
      <c r="D67" s="859">
        <f>D66-C67</f>
        <v>60586</v>
      </c>
      <c r="E67" s="860" t="n"/>
      <c r="F67" s="882" t="n"/>
      <c r="G67" s="883" t="n"/>
      <c r="H67" s="864" t="n"/>
      <c r="I67" s="955" t="n"/>
      <c r="J67" s="860" t="n"/>
    </row>
    <row r="68" ht="13.5" customHeight="1" s="186">
      <c r="A68" s="856" t="n"/>
      <c r="B68" s="958" t="n"/>
      <c r="C68" s="862" t="n"/>
      <c r="D68" s="859">
        <f>D67-C68</f>
        <v>60586</v>
      </c>
      <c r="E68" s="860" t="n"/>
      <c r="F68" s="882" t="n"/>
      <c r="G68" s="883" t="n"/>
      <c r="H68" s="864" t="n"/>
      <c r="I68" s="955" t="n"/>
      <c r="J68" s="860" t="n"/>
    </row>
    <row r="69" ht="13.5" customHeight="1" s="186">
      <c r="A69" s="959" t="n">
        <v>46140</v>
      </c>
      <c r="B69" s="960" t="inlineStr">
        <is>
          <t>サーバーラック賃借料（ＪＥＣＣ）</t>
        </is>
      </c>
      <c r="C69" s="862" t="n">
        <v>16152</v>
      </c>
      <c r="D69" s="859">
        <f>D68-C69</f>
        <v>44434</v>
      </c>
      <c r="E69" s="860" t="inlineStr">
        <is>
          <t>昨年実績</t>
        </is>
      </c>
      <c r="F69" s="882" t="n"/>
      <c r="G69" s="883" t="n"/>
      <c r="H69" s="864" t="n"/>
      <c r="I69" s="955" t="n"/>
      <c r="J69" s="860" t="n"/>
    </row>
    <row r="70" ht="12.95" customHeight="1" s="186">
      <c r="A70" s="959" t="n">
        <v>46140</v>
      </c>
      <c r="B70" s="961" t="inlineStr">
        <is>
          <t>基幹システム機器賃借料３月分</t>
        </is>
      </c>
      <c r="C70" s="862" t="n">
        <v>69614</v>
      </c>
      <c r="D70" s="859">
        <f>D69-C70</f>
        <v>-25180</v>
      </c>
      <c r="E70" s="860" t="inlineStr">
        <is>
          <t>昨年実績</t>
        </is>
      </c>
      <c r="F70" s="882" t="n"/>
      <c r="G70" s="883" t="n"/>
      <c r="H70" s="864" t="n"/>
      <c r="I70" s="951" t="n"/>
      <c r="J70" s="860" t="n"/>
    </row>
    <row r="71" ht="12.95" customHeight="1" s="186">
      <c r="A71" s="959" t="n">
        <v>46127</v>
      </c>
      <c r="B71" s="962" t="inlineStr">
        <is>
          <t>ﾊﾟｿｺﾝ(貸付用)ｻﾝﾈｯﾄ（3月分）</t>
        </is>
      </c>
      <c r="C71" s="879" t="n">
        <v>5060</v>
      </c>
      <c r="D71" s="859">
        <f>D70-C71</f>
        <v>-30240</v>
      </c>
      <c r="E71" s="860" t="inlineStr">
        <is>
          <t>昨年実績</t>
        </is>
      </c>
      <c r="F71" s="882" t="n"/>
      <c r="G71" s="883" t="n"/>
      <c r="H71" s="864" t="n"/>
      <c r="I71" s="951" t="n"/>
      <c r="J71" s="860" t="n"/>
    </row>
    <row r="72" ht="12.95" customHeight="1" s="186">
      <c r="A72" s="856" t="n"/>
      <c r="B72" s="950" t="n"/>
      <c r="C72" s="862" t="n"/>
      <c r="D72" s="859">
        <f>D71-C72</f>
        <v>-30240</v>
      </c>
      <c r="E72" s="860" t="n"/>
      <c r="F72" s="882" t="n"/>
      <c r="G72" s="883" t="n"/>
      <c r="H72" s="864" t="n"/>
      <c r="I72" s="951" t="n"/>
      <c r="J72" s="860" t="n"/>
    </row>
    <row r="73" ht="12.95" customHeight="1" s="186">
      <c r="A73" s="856" t="n"/>
      <c r="B73" s="958" t="n"/>
      <c r="C73" s="862" t="n"/>
      <c r="D73" s="859">
        <f>D72-C73</f>
        <v>-30240</v>
      </c>
      <c r="E73" s="860" t="n"/>
      <c r="F73" s="882" t="n"/>
      <c r="G73" s="883" t="n"/>
      <c r="H73" s="864" t="n"/>
      <c r="I73" s="951" t="n"/>
      <c r="J73" s="860" t="n"/>
    </row>
    <row r="74" ht="12.95" customHeight="1" s="186">
      <c r="A74" s="856" t="n"/>
      <c r="B74" s="950" t="n"/>
      <c r="C74" s="862" t="n"/>
      <c r="D74" s="859">
        <f>D73-C74</f>
        <v>-30240</v>
      </c>
      <c r="E74" s="860" t="n"/>
      <c r="F74" s="882" t="n"/>
      <c r="G74" s="883" t="n"/>
      <c r="H74" s="864" t="n"/>
      <c r="I74" s="951" t="n"/>
      <c r="J74" s="860" t="n"/>
    </row>
    <row r="75" ht="12.95" customHeight="1" s="186">
      <c r="A75" s="856" t="n"/>
      <c r="B75" s="950" t="n"/>
      <c r="C75" s="862" t="n"/>
      <c r="D75" s="859">
        <f>D74-C75</f>
        <v>-30240</v>
      </c>
      <c r="E75" s="860" t="n"/>
      <c r="F75" s="882" t="n"/>
      <c r="G75" s="883" t="n"/>
      <c r="H75" s="864" t="n"/>
      <c r="I75" s="951" t="n"/>
      <c r="J75" s="860" t="n"/>
    </row>
    <row r="76" ht="12.95" customHeight="1" s="186">
      <c r="A76" s="856" t="n"/>
      <c r="B76" s="963" t="n"/>
      <c r="C76" s="862" t="n"/>
      <c r="D76" s="859">
        <f>D75-C76</f>
        <v>-30240</v>
      </c>
      <c r="E76" s="860" t="n"/>
      <c r="F76" s="882" t="n"/>
      <c r="G76" s="883" t="n"/>
      <c r="H76" s="864" t="n"/>
      <c r="I76" s="951" t="n"/>
      <c r="J76" s="860" t="n"/>
    </row>
    <row r="77" ht="12.95" customHeight="1" s="186">
      <c r="A77" s="856" t="n"/>
      <c r="B77" s="956" t="n"/>
      <c r="C77" s="862" t="n"/>
      <c r="D77" s="859">
        <f>D76-C77</f>
        <v>-30240</v>
      </c>
      <c r="E77" s="860" t="n"/>
      <c r="F77" s="882" t="n"/>
      <c r="G77" s="883" t="n"/>
      <c r="H77" s="864" t="n"/>
      <c r="I77" s="951" t="n"/>
      <c r="J77" s="860" t="n"/>
    </row>
    <row r="78" ht="12.95" customHeight="1" s="186">
      <c r="A78" s="877" t="n"/>
      <c r="B78" s="964" t="n"/>
      <c r="C78" s="879" t="n"/>
      <c r="D78" s="965">
        <f>D77-C78</f>
        <v>-30240</v>
      </c>
      <c r="E78" s="860" t="n"/>
      <c r="F78" s="882" t="n"/>
      <c r="G78" s="883" t="n"/>
      <c r="H78" s="864" t="n"/>
      <c r="I78" s="951" t="n"/>
      <c r="J78" s="860" t="n"/>
    </row>
    <row r="79" ht="12.95" customHeight="1" s="186">
      <c r="A79" s="873" t="n"/>
      <c r="B79" s="966" t="n"/>
      <c r="C79" s="875">
        <f>SUM(C37:C78)</f>
        <v>912457</v>
      </c>
      <c r="D79" s="876">
        <f>D36-C79</f>
        <v>-30457</v>
      </c>
      <c r="E79" s="860" t="n"/>
      <c r="F79" s="882" t="n"/>
      <c r="G79" s="883" t="n"/>
      <c r="H79" s="864" t="n"/>
      <c r="I79" s="951" t="n"/>
      <c r="J79" s="860" t="n"/>
    </row>
    <row r="80" ht="12.95" customHeight="1" s="186">
      <c r="A80" s="882" t="n"/>
      <c r="B80" s="967" t="n"/>
      <c r="C80" s="884" t="n"/>
      <c r="D80" s="885" t="n"/>
      <c r="E80" s="860" t="n"/>
      <c r="F80" s="882" t="n"/>
      <c r="G80" s="883" t="n"/>
      <c r="H80" s="864" t="n"/>
      <c r="I80" s="951" t="n"/>
      <c r="J80" s="860" t="n"/>
    </row>
    <row r="81" ht="12.95" customHeight="1" s="186">
      <c r="A81" s="882" t="n"/>
      <c r="B81" s="967" t="n"/>
      <c r="C81" s="884" t="n"/>
      <c r="D81" s="885" t="n"/>
      <c r="E81" s="860" t="n"/>
      <c r="F81" s="882" t="n"/>
      <c r="G81" s="883" t="n"/>
      <c r="H81" s="864" t="n"/>
      <c r="I81" s="951" t="n"/>
      <c r="J81" s="860" t="n"/>
    </row>
    <row r="82" ht="13.5" customHeight="1" s="186">
      <c r="A82" s="882" t="n"/>
      <c r="B82" s="967" t="n"/>
      <c r="C82" s="884" t="n"/>
      <c r="D82" s="909" t="n"/>
      <c r="E82" s="860" t="n"/>
      <c r="F82" s="882" t="n"/>
      <c r="G82" s="968" t="n"/>
      <c r="H82" s="884" t="n"/>
      <c r="I82" s="885" t="n"/>
      <c r="J82" s="860" t="n"/>
    </row>
    <row r="83" ht="13.5" customHeight="1" s="186">
      <c r="A83" s="880" t="n"/>
      <c r="B83" s="880" t="n"/>
      <c r="C83" s="880" t="n"/>
      <c r="D83" s="909" t="n"/>
      <c r="E83" s="860" t="n"/>
      <c r="F83" s="882" t="n"/>
      <c r="G83" s="968" t="n"/>
      <c r="H83" s="884" t="n"/>
      <c r="I83" s="885" t="n"/>
      <c r="J83" s="860" t="n"/>
    </row>
    <row r="84" ht="13.5" customHeight="1" s="186">
      <c r="A84" s="880" t="n"/>
      <c r="B84" s="880" t="n"/>
      <c r="C84" s="880" t="n"/>
      <c r="D84" s="909" t="n"/>
      <c r="E84" s="860" t="n"/>
      <c r="F84" s="882" t="n"/>
      <c r="G84" s="968" t="n"/>
      <c r="H84" s="884" t="n"/>
      <c r="I84" s="885" t="n"/>
      <c r="J84" s="860" t="n"/>
    </row>
    <row r="85" ht="13.5" customHeight="1" s="186">
      <c r="A85" s="880" t="n"/>
      <c r="B85" s="880" t="n"/>
      <c r="C85" s="880" t="n"/>
      <c r="D85" s="909" t="n"/>
      <c r="E85" s="860" t="n"/>
      <c r="F85" s="882" t="n"/>
      <c r="G85" s="968" t="n"/>
      <c r="H85" s="884" t="n"/>
      <c r="I85" s="885" t="n"/>
      <c r="J85" s="860" t="n"/>
    </row>
    <row r="86" ht="13.5" customHeight="1" s="186">
      <c r="A86" s="880" t="n"/>
      <c r="B86" s="880" t="n"/>
      <c r="C86" s="880" t="n"/>
      <c r="D86" s="909" t="n"/>
      <c r="E86" s="860" t="n"/>
      <c r="F86" s="882" t="n"/>
      <c r="G86" s="968" t="n"/>
      <c r="H86" s="884" t="n"/>
      <c r="I86" s="885" t="n"/>
      <c r="J86" s="860" t="n"/>
    </row>
  </sheetData>
  <mergeCells count="1">
    <mergeCell ref="B1:C1"/>
  </mergeCells>
  <conditionalFormatting sqref="A6:D14">
    <cfRule type="expression" priority="1" dxfId="6">
      <formula>$E6="昨年実績"</formula>
    </cfRule>
  </conditionalFormatting>
  <conditionalFormatting sqref="C6:C14">
    <cfRule type="expression" priority="2" dxfId="9">
      <formula>$E6="確認済"</formula>
    </cfRule>
  </conditionalFormatting>
  <conditionalFormatting sqref="A18:D25">
    <cfRule type="expression" priority="3" dxfId="6">
      <formula>$E18="昨年実績"</formula>
    </cfRule>
  </conditionalFormatting>
  <conditionalFormatting sqref="C18:C25">
    <cfRule type="expression" priority="4" dxfId="9">
      <formula>$E18="確認済"</formula>
    </cfRule>
  </conditionalFormatting>
  <conditionalFormatting sqref="A29:D33">
    <cfRule type="expression" priority="5" dxfId="6">
      <formula>$E29="昨年実績"</formula>
    </cfRule>
  </conditionalFormatting>
  <conditionalFormatting sqref="C29:C33">
    <cfRule type="expression" priority="6" dxfId="9">
      <formula>$E29="確認済"</formula>
    </cfRule>
  </conditionalFormatting>
  <conditionalFormatting sqref="A37:D86">
    <cfRule type="expression" priority="7" dxfId="6">
      <formula>$E37="昨年実績"</formula>
    </cfRule>
  </conditionalFormatting>
  <conditionalFormatting sqref="C37:C86">
    <cfRule type="expression" priority="8" dxfId="9">
      <formula>$E37="確認済"</formula>
    </cfRule>
  </conditionalFormatting>
  <conditionalFormatting sqref="F6:I13">
    <cfRule type="expression" priority="9" dxfId="6">
      <formula>$J6="昨年実績"</formula>
    </cfRule>
  </conditionalFormatting>
  <conditionalFormatting sqref="H6:H13">
    <cfRule type="expression" priority="10" dxfId="9">
      <formula>$J6="確認済"</formula>
    </cfRule>
  </conditionalFormatting>
  <conditionalFormatting sqref="F17:I22">
    <cfRule type="expression" priority="11" dxfId="6">
      <formula>$J17="昨年実績"</formula>
    </cfRule>
  </conditionalFormatting>
  <conditionalFormatting sqref="H17:H22">
    <cfRule type="expression" priority="12" dxfId="9">
      <formula>$J17="確認済"</formula>
    </cfRule>
  </conditionalFormatting>
  <conditionalFormatting sqref="F26:I31">
    <cfRule type="expression" priority="13" dxfId="6">
      <formula>$J26="昨年実績"</formula>
    </cfRule>
  </conditionalFormatting>
  <conditionalFormatting sqref="H26:H31">
    <cfRule type="expression" priority="14" dxfId="9">
      <formula>$J26="確認済"</formula>
    </cfRule>
  </conditionalFormatting>
  <conditionalFormatting sqref="F35:I41">
    <cfRule type="expression" priority="15" dxfId="6">
      <formula>$J35="昨年実績"</formula>
    </cfRule>
  </conditionalFormatting>
  <conditionalFormatting sqref="H35:H41">
    <cfRule type="expression" priority="16" dxfId="9">
      <formula>$J35="確認済"</formula>
    </cfRule>
  </conditionalFormatting>
  <conditionalFormatting sqref="F45:I86">
    <cfRule type="expression" priority="17" dxfId="6">
      <formula>$J45="昨年実績"</formula>
    </cfRule>
  </conditionalFormatting>
  <conditionalFormatting sqref="H45:H86">
    <cfRule type="expression" priority="18" dxfId="9">
      <formula>$J45="確認済"</formula>
    </cfRule>
  </conditionalFormatting>
  <dataValidations count="9">
    <dataValidation sqref="E6:E14" showDropDown="0" showInputMessage="0" showErrorMessage="0" allowBlank="1" type="list">
      <formula1>=科目表!$I$5:$I$8</formula1>
    </dataValidation>
    <dataValidation sqref="E18:E25" showDropDown="0" showInputMessage="0" showErrorMessage="0" allowBlank="1" type="list">
      <formula1>=科目表!$I$5:$I$8</formula1>
    </dataValidation>
    <dataValidation sqref="E29:E33" showDropDown="0" showInputMessage="0" showErrorMessage="0" allowBlank="1" type="list">
      <formula1>=科目表!$I$5:$I$8</formula1>
    </dataValidation>
    <dataValidation sqref="E37:E86" showDropDown="0" showInputMessage="0" showErrorMessage="0" allowBlank="1" type="list">
      <formula1>=科目表!$I$5:$I$8</formula1>
    </dataValidation>
    <dataValidation sqref="J6:J13" showDropDown="0" showInputMessage="0" showErrorMessage="0" allowBlank="1" type="list">
      <formula1>=科目表!$I$5:$I$8</formula1>
    </dataValidation>
    <dataValidation sqref="J17:J22" showDropDown="0" showInputMessage="0" showErrorMessage="0" allowBlank="1" type="list">
      <formula1>=科目表!$I$5:$I$8</formula1>
    </dataValidation>
    <dataValidation sqref="J26:J31" showDropDown="0" showInputMessage="0" showErrorMessage="0" allowBlank="1" type="list">
      <formula1>=科目表!$I$5:$I$8</formula1>
    </dataValidation>
    <dataValidation sqref="J35:J41" showDropDown="0" showInputMessage="0" showErrorMessage="0" allowBlank="1" type="list">
      <formula1>=科目表!$I$5:$I$8</formula1>
    </dataValidation>
    <dataValidation sqref="J45:J86" showDropDown="0" showInputMessage="0" showErrorMessage="0" allowBlank="1" type="list">
      <formula1>=科目表!$I$5:$I$8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P22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style="186" min="1" max="1"/>
    <col width="3" customWidth="1" style="186" min="2" max="2"/>
    <col width="12" customWidth="1" style="186" min="3" max="3"/>
    <col width="12" customWidth="1" style="186" min="4" max="4"/>
    <col width="12" customWidth="1" style="186" min="5" max="5"/>
    <col width="12" customWidth="1" style="186" min="6" max="6"/>
    <col width="12" customWidth="1" style="186" min="7" max="7"/>
    <col width="12" customWidth="1" style="186" min="8" max="8"/>
    <col width="12" customWidth="1" style="186" min="9" max="9"/>
    <col width="12" customWidth="1" style="186" min="10" max="10"/>
    <col width="12" customWidth="1" style="186" min="11" max="11"/>
    <col width="12" customWidth="1" style="186" min="12" max="12"/>
    <col width="12" customWidth="1" style="186" min="13" max="13"/>
    <col width="12" customWidth="1" style="186" min="14" max="14"/>
    <col width="12" customWidth="1" style="186" min="15" max="15"/>
    <col width="12" customWidth="1" style="186" min="16" max="16"/>
  </cols>
  <sheetData>
    <row r="1" ht="26" customHeight="1" s="186">
      <c r="A1" s="719" t="inlineStr">
        <is>
          <t>貸付差引簿集計　貸付予算差引簿の費目ごとの月別合計（確認済のみ）→ 費用収益表（貸付）へ　／　4月（未払）は翌年度4月の日付</t>
        </is>
      </c>
      <c r="B1" s="720" t="n"/>
      <c r="C1" s="720" t="n"/>
      <c r="D1" s="720" t="n"/>
      <c r="E1" s="720" t="n"/>
      <c r="F1" s="720" t="n"/>
      <c r="G1" s="720" t="n"/>
      <c r="H1" s="720" t="n"/>
      <c r="I1" s="720" t="n"/>
      <c r="J1" s="720" t="n"/>
      <c r="K1" s="720" t="n"/>
      <c r="L1" s="720" t="n"/>
      <c r="M1" s="720" t="n"/>
      <c r="N1" s="720" t="n"/>
      <c r="O1" s="720" t="n"/>
      <c r="P1" s="720" t="n"/>
    </row>
    <row r="2">
      <c r="C2" s="832" t="n">
        <v>1</v>
      </c>
      <c r="D2" s="832" t="n">
        <v>2</v>
      </c>
      <c r="E2" s="832" t="n">
        <v>3</v>
      </c>
      <c r="F2" s="832" t="n">
        <v>4</v>
      </c>
      <c r="G2" s="832" t="n">
        <v>5</v>
      </c>
      <c r="H2" s="832" t="n">
        <v>6</v>
      </c>
      <c r="I2" s="832" t="n">
        <v>7</v>
      </c>
      <c r="J2" s="832" t="n">
        <v>8</v>
      </c>
      <c r="K2" s="832" t="n">
        <v>9</v>
      </c>
      <c r="L2" s="832" t="n">
        <v>10</v>
      </c>
      <c r="M2" s="832" t="n">
        <v>11</v>
      </c>
      <c r="N2" s="832" t="n">
        <v>12</v>
      </c>
      <c r="O2" s="832" t="n">
        <v>13</v>
      </c>
    </row>
    <row r="3" ht="22" customHeight="1" s="186">
      <c r="A3" s="737" t="inlineStr">
        <is>
          <t>費目</t>
        </is>
      </c>
      <c r="B3" s="737" t="n"/>
      <c r="C3" s="737" t="inlineStr">
        <is>
          <t>4月</t>
        </is>
      </c>
      <c r="D3" s="737" t="inlineStr">
        <is>
          <t>5月</t>
        </is>
      </c>
      <c r="E3" s="737" t="inlineStr">
        <is>
          <t>6月</t>
        </is>
      </c>
      <c r="F3" s="737" t="inlineStr">
        <is>
          <t>7月</t>
        </is>
      </c>
      <c r="G3" s="737" t="inlineStr">
        <is>
          <t>8月</t>
        </is>
      </c>
      <c r="H3" s="737" t="inlineStr">
        <is>
          <t>9月</t>
        </is>
      </c>
      <c r="I3" s="737" t="inlineStr">
        <is>
          <t>10月</t>
        </is>
      </c>
      <c r="J3" s="737" t="inlineStr">
        <is>
          <t>11月</t>
        </is>
      </c>
      <c r="K3" s="737" t="inlineStr">
        <is>
          <t>12月</t>
        </is>
      </c>
      <c r="L3" s="737" t="inlineStr">
        <is>
          <t>1月</t>
        </is>
      </c>
      <c r="M3" s="737" t="inlineStr">
        <is>
          <t>2月</t>
        </is>
      </c>
      <c r="N3" s="737" t="inlineStr">
        <is>
          <t>3月</t>
        </is>
      </c>
      <c r="O3" s="737" t="inlineStr">
        <is>
          <t>4月(未払)</t>
        </is>
      </c>
      <c r="P3" s="737" t="inlineStr">
        <is>
          <t>確認済計</t>
        </is>
      </c>
    </row>
    <row r="4">
      <c r="A4" s="740" t="inlineStr">
        <is>
          <t>厚生費</t>
        </is>
      </c>
      <c r="C4" s="749">
        <f>SUMIFS('旅費・事務費以外R８'!$C$5:$C$14,'旅費・事務費以外R８'!$E$5:$E$14,"確認済",'旅費・事務費以外R８'!$A$5:$A$14,"&gt;="&amp;DATE(年度+2018,4,1),'旅費・事務費以外R８'!$A$5:$A$14,"&lt;"&amp;DATE(年度+2018,5,1))</f>
        <v>0</v>
      </c>
      <c r="D4" s="749">
        <f>SUMIFS('旅費・事務費以外R８'!$C$5:$C$14,'旅費・事務費以外R８'!$E$5:$E$14,"確認済",'旅費・事務費以外R８'!$A$5:$A$14,"&gt;="&amp;DATE(年度+2018,5,1),'旅費・事務費以外R８'!$A$5:$A$14,"&lt;"&amp;DATE(年度+2018,6,1))</f>
        <v>0</v>
      </c>
      <c r="E4" s="749">
        <f>SUMIFS('旅費・事務費以外R８'!$C$5:$C$14,'旅費・事務費以外R８'!$E$5:$E$14,"確認済",'旅費・事務費以外R８'!$A$5:$A$14,"&gt;="&amp;DATE(年度+2018,6,1),'旅費・事務費以外R８'!$A$5:$A$14,"&lt;"&amp;DATE(年度+2018,7,1))</f>
        <v>0</v>
      </c>
      <c r="F4" s="749">
        <f>SUMIFS('旅費・事務費以外R８'!$C$5:$C$14,'旅費・事務費以外R８'!$E$5:$E$14,"確認済",'旅費・事務費以外R８'!$A$5:$A$14,"&gt;="&amp;DATE(年度+2018,7,1),'旅費・事務費以外R８'!$A$5:$A$14,"&lt;"&amp;DATE(年度+2018,8,1))</f>
        <v>0</v>
      </c>
      <c r="G4" s="749">
        <f>SUMIFS('旅費・事務費以外R８'!$C$5:$C$14,'旅費・事務費以外R８'!$E$5:$E$14,"確認済",'旅費・事務費以外R８'!$A$5:$A$14,"&gt;="&amp;DATE(年度+2018,8,1),'旅費・事務費以外R８'!$A$5:$A$14,"&lt;"&amp;DATE(年度+2018,9,1))</f>
        <v>1980</v>
      </c>
      <c r="H4" s="749">
        <f>SUMIFS('旅費・事務費以外R８'!$C$5:$C$14,'旅費・事務費以外R８'!$E$5:$E$14,"確認済",'旅費・事務費以外R８'!$A$5:$A$14,"&gt;="&amp;DATE(年度+2018,9,1),'旅費・事務費以外R８'!$A$5:$A$14,"&lt;"&amp;DATE(年度+2018,10,1))</f>
        <v>21527</v>
      </c>
      <c r="I4" s="749">
        <f>SUMIFS('旅費・事務費以外R８'!$C$5:$C$14,'旅費・事務費以外R８'!$E$5:$E$14,"確認済",'旅費・事務費以外R８'!$A$5:$A$14,"&gt;="&amp;DATE(年度+2018,10,1),'旅費・事務費以外R８'!$A$5:$A$14,"&lt;"&amp;DATE(年度+2018,11,1))</f>
        <v>0</v>
      </c>
      <c r="J4" s="749">
        <f>SUMIFS('旅費・事務費以外R８'!$C$5:$C$14,'旅費・事務費以外R８'!$E$5:$E$14,"確認済",'旅費・事務費以外R８'!$A$5:$A$14,"&gt;="&amp;DATE(年度+2018,11,1),'旅費・事務費以外R８'!$A$5:$A$14,"&lt;"&amp;DATE(年度+2018,12,1))</f>
        <v>0</v>
      </c>
      <c r="K4" s="749">
        <f>SUMIFS('旅費・事務費以外R８'!$C$5:$C$14,'旅費・事務費以外R８'!$E$5:$E$14,"確認済",'旅費・事務費以外R８'!$A$5:$A$14,"&gt;="&amp;DATE(年度+2018,12,1),'旅費・事務費以外R８'!$A$5:$A$14,"&lt;"&amp;DATE(年度+2019,1,1))</f>
        <v>0</v>
      </c>
      <c r="L4" s="749">
        <f>SUMIFS('旅費・事務費以外R８'!$C$5:$C$14,'旅費・事務費以外R８'!$E$5:$E$14,"確認済",'旅費・事務費以外R８'!$A$5:$A$14,"&gt;="&amp;DATE(年度+2019,1,1),'旅費・事務費以外R８'!$A$5:$A$14,"&lt;"&amp;DATE(年度+2019,2,1))</f>
        <v>0</v>
      </c>
      <c r="M4" s="749">
        <f>SUMIFS('旅費・事務費以外R８'!$C$5:$C$14,'旅費・事務費以外R８'!$E$5:$E$14,"確認済",'旅費・事務費以外R８'!$A$5:$A$14,"&gt;="&amp;DATE(年度+2019,2,1),'旅費・事務費以外R８'!$A$5:$A$14,"&lt;"&amp;DATE(年度+2019,3,1))</f>
        <v>0</v>
      </c>
      <c r="N4" s="749">
        <f>SUMIFS('旅費・事務費以外R８'!$C$5:$C$14,'旅費・事務費以外R８'!$E$5:$E$14,"確認済",'旅費・事務費以外R８'!$A$5:$A$14,"&gt;="&amp;DATE(年度+2019,3,1),'旅費・事務費以外R８'!$A$5:$A$14,"&lt;"&amp;DATE(年度+2019,4,1))</f>
        <v>0</v>
      </c>
      <c r="O4" s="749">
        <f>SUMIFS('旅費・事務費以外R８'!$C$5:$C$14,'旅費・事務費以外R８'!$E$5:$E$14,"確認済",'旅費・事務費以外R８'!$A$5:$A$14,"&gt;="&amp;DATE(年度+2019,4,1))</f>
        <v>0</v>
      </c>
      <c r="P4" s="833">
        <f>SUM(C4:O4)</f>
        <v>23507</v>
      </c>
    </row>
    <row r="5">
      <c r="A5" s="740" t="inlineStr">
        <is>
          <t>旅費</t>
        </is>
      </c>
      <c r="C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+2018,4,1),'旅費・事務費（消耗品・図書・通信・会議・雑費）R８'!$F$45:$F$67,"&lt;"&amp;DATE(年度+2018,5,1))</f>
        <v>0</v>
      </c>
      <c r="D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+2018,5,1),'旅費・事務費（消耗品・図書・通信・会議・雑費）R８'!$F$45:$F$67,"&lt;"&amp;DATE(年度+2018,6,1))</f>
        <v>0</v>
      </c>
      <c r="E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+2018,6,1),'旅費・事務費（消耗品・図書・通信・会議・雑費）R８'!$F$45:$F$67,"&lt;"&amp;DATE(年度+2018,7,1))</f>
        <v>0</v>
      </c>
      <c r="F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+2018,7,1),'旅費・事務費（消耗品・図書・通信・会議・雑費）R８'!$F$45:$F$67,"&lt;"&amp;DATE(年度+2018,8,1))</f>
        <v>0</v>
      </c>
      <c r="G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+2018,8,1),'旅費・事務費（消耗品・図書・通信・会議・雑費）R８'!$F$45:$F$67,"&lt;"&amp;DATE(年度+2018,9,1))</f>
        <v>0</v>
      </c>
      <c r="H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+2018,9,1),'旅費・事務費（消耗品・図書・通信・会議・雑費）R８'!$F$45:$F$67,"&lt;"&amp;DATE(年度+2018,10,1))</f>
        <v>0</v>
      </c>
      <c r="I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+2018,10,1),'旅費・事務費（消耗品・図書・通信・会議・雑費）R８'!$F$45:$F$67,"&lt;"&amp;DATE(年度+2018,11,1))</f>
        <v>0</v>
      </c>
      <c r="J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+2018,11,1),'旅費・事務費（消耗品・図書・通信・会議・雑費）R８'!$F$45:$F$67,"&lt;"&amp;DATE(年度+2018,12,1))</f>
        <v>0</v>
      </c>
      <c r="K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+2018,12,1),'旅費・事務費（消耗品・図書・通信・会議・雑費）R８'!$F$45:$F$67,"&lt;"&amp;DATE(年度+2019,1,1))</f>
        <v>0</v>
      </c>
      <c r="L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+2019,1,1),'旅費・事務費（消耗品・図書・通信・会議・雑費）R８'!$F$45:$F$67,"&lt;"&amp;DATE(年度+2019,2,1))</f>
        <v>0</v>
      </c>
      <c r="M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+2019,2,1),'旅費・事務費（消耗品・図書・通信・会議・雑費）R８'!$F$45:$F$67,"&lt;"&amp;DATE(年度+2019,3,1))</f>
        <v>0</v>
      </c>
      <c r="N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+2019,3,1),'旅費・事務費（消耗品・図書・通信・会議・雑費）R８'!$F$45:$F$67,"&lt;"&amp;DATE(年度+2019,4,1))</f>
        <v>0</v>
      </c>
      <c r="O5" s="749">
        <f>SUMIFS('旅費・事務費（消耗品・図書・通信・会議・雑費）R８'!$H$45:$H$67,'旅費・事務費（消耗品・図書・通信・会議・雑費）R８'!$J$45:$J$67,"確認済",'旅費・事務費（消耗品・図書・通信・会議・雑費）R８'!$F$45:$F$67,"&gt;="&amp;DATE(年度+2019,4,1))</f>
        <v>0</v>
      </c>
      <c r="P5" s="833">
        <f>SUM(C5:O5)</f>
        <v>0</v>
      </c>
    </row>
    <row r="6">
      <c r="A6" s="740" t="inlineStr">
        <is>
          <t>事務用消耗品費</t>
        </is>
      </c>
      <c r="C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+2018,4,1),'旅費・事務費（消耗品・図書・通信・会議・雑費）R８'!$A$5:$A$25,"&lt;"&amp;DATE(年度+2018,5,1))</f>
        <v>4389</v>
      </c>
      <c r="D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+2018,5,1),'旅費・事務費（消耗品・図書・通信・会議・雑費）R８'!$A$5:$A$25,"&lt;"&amp;DATE(年度+2018,6,1))</f>
        <v>0</v>
      </c>
      <c r="E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+2018,6,1),'旅費・事務費（消耗品・図書・通信・会議・雑費）R８'!$A$5:$A$25,"&lt;"&amp;DATE(年度+2018,7,1))</f>
        <v>11491</v>
      </c>
      <c r="F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+2018,7,1),'旅費・事務費（消耗品・図書・通信・会議・雑費）R８'!$A$5:$A$25,"&lt;"&amp;DATE(年度+2018,8,1))</f>
        <v>0</v>
      </c>
      <c r="G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+2018,8,1),'旅費・事務費（消耗品・図書・通信・会議・雑費）R８'!$A$5:$A$25,"&lt;"&amp;DATE(年度+2018,9,1))</f>
        <v>119079</v>
      </c>
      <c r="H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+2018,9,1),'旅費・事務費（消耗品・図書・通信・会議・雑費）R８'!$A$5:$A$25,"&lt;"&amp;DATE(年度+2018,10,1))</f>
        <v>0</v>
      </c>
      <c r="I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+2018,10,1),'旅費・事務費（消耗品・図書・通信・会議・雑費）R８'!$A$5:$A$25,"&lt;"&amp;DATE(年度+2018,11,1))</f>
        <v>0</v>
      </c>
      <c r="J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+2018,11,1),'旅費・事務費（消耗品・図書・通信・会議・雑費）R８'!$A$5:$A$25,"&lt;"&amp;DATE(年度+2018,12,1))</f>
        <v>0</v>
      </c>
      <c r="K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+2018,12,1),'旅費・事務費（消耗品・図書・通信・会議・雑費）R８'!$A$5:$A$25,"&lt;"&amp;DATE(年度+2019,1,1))</f>
        <v>0</v>
      </c>
      <c r="L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+2019,1,1),'旅費・事務費（消耗品・図書・通信・会議・雑費）R８'!$A$5:$A$25,"&lt;"&amp;DATE(年度+2019,2,1))</f>
        <v>0</v>
      </c>
      <c r="M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+2019,2,1),'旅費・事務費（消耗品・図書・通信・会議・雑費）R８'!$A$5:$A$25,"&lt;"&amp;DATE(年度+2019,3,1))</f>
        <v>0</v>
      </c>
      <c r="N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+2019,3,1),'旅費・事務費（消耗品・図書・通信・会議・雑費）R８'!$A$5:$A$25,"&lt;"&amp;DATE(年度+2019,4,1))</f>
        <v>0</v>
      </c>
      <c r="O6" s="749">
        <f>SUMIFS('旅費・事務費（消耗品・図書・通信・会議・雑費）R８'!$C$5:$C$25,'旅費・事務費（消耗品・図書・通信・会議・雑費）R８'!$E$5:$E$25,"確認済",'旅費・事務費（消耗品・図書・通信・会議・雑費）R８'!$A$5:$A$25,"&gt;="&amp;DATE(年度+2019,4,1))</f>
        <v>0</v>
      </c>
      <c r="P6" s="833">
        <f>SUM(C6:O6)</f>
        <v>134959</v>
      </c>
    </row>
    <row r="7">
      <c r="A7" s="740" t="inlineStr">
        <is>
          <t>図書印刷費</t>
        </is>
      </c>
      <c r="C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+2018,4,1),'旅費・事務費（消耗品・図書・通信・会議・雑費）R８'!$F$5:$F$23,"&lt;"&amp;DATE(年度+2018,5,1))</f>
        <v>0</v>
      </c>
      <c r="D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+2018,5,1),'旅費・事務費（消耗品・図書・通信・会議・雑費）R８'!$F$5:$F$23,"&lt;"&amp;DATE(年度+2018,6,1))</f>
        <v>0</v>
      </c>
      <c r="E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+2018,6,1),'旅費・事務費（消耗品・図書・通信・会議・雑費）R８'!$F$5:$F$23,"&lt;"&amp;DATE(年度+2018,7,1))</f>
        <v>0</v>
      </c>
      <c r="F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+2018,7,1),'旅費・事務費（消耗品・図書・通信・会議・雑費）R８'!$F$5:$F$23,"&lt;"&amp;DATE(年度+2018,8,1))</f>
        <v>6000</v>
      </c>
      <c r="G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+2018,8,1),'旅費・事務費（消耗品・図書・通信・会議・雑費）R８'!$F$5:$F$23,"&lt;"&amp;DATE(年度+2018,9,1))</f>
        <v>0</v>
      </c>
      <c r="H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+2018,9,1),'旅費・事務費（消耗品・図書・通信・会議・雑費）R８'!$F$5:$F$23,"&lt;"&amp;DATE(年度+2018,10,1))</f>
        <v>0</v>
      </c>
      <c r="I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+2018,10,1),'旅費・事務費（消耗品・図書・通信・会議・雑費）R８'!$F$5:$F$23,"&lt;"&amp;DATE(年度+2018,11,1))</f>
        <v>6000</v>
      </c>
      <c r="J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+2018,11,1),'旅費・事務費（消耗品・図書・通信・会議・雑費）R８'!$F$5:$F$23,"&lt;"&amp;DATE(年度+2018,12,1))</f>
        <v>0</v>
      </c>
      <c r="K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+2018,12,1),'旅費・事務費（消耗品・図書・通信・会議・雑費）R８'!$F$5:$F$23,"&lt;"&amp;DATE(年度+2019,1,1))</f>
        <v>0</v>
      </c>
      <c r="L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+2019,1,1),'旅費・事務費（消耗品・図書・通信・会議・雑費）R８'!$F$5:$F$23,"&lt;"&amp;DATE(年度+2019,2,1))</f>
        <v>0</v>
      </c>
      <c r="M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+2019,2,1),'旅費・事務費（消耗品・図書・通信・会議・雑費）R８'!$F$5:$F$23,"&lt;"&amp;DATE(年度+2019,3,1))</f>
        <v>0</v>
      </c>
      <c r="N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+2019,3,1),'旅費・事務費（消耗品・図書・通信・会議・雑費）R８'!$F$5:$F$23,"&lt;"&amp;DATE(年度+2019,4,1))</f>
        <v>0</v>
      </c>
      <c r="O7" s="749">
        <f>SUMIFS('旅費・事務費（消耗品・図書・通信・会議・雑費）R８'!$H$5:$H$23,'旅費・事務費（消耗品・図書・通信・会議・雑費）R８'!$J$5:$J$23,"確認済",'旅費・事務費（消耗品・図書・通信・会議・雑費）R８'!$F$5:$F$23,"&gt;="&amp;DATE(年度+2019,4,1))</f>
        <v>0</v>
      </c>
      <c r="P7" s="833">
        <f>SUM(C7:O7)</f>
        <v>12000</v>
      </c>
    </row>
    <row r="8">
      <c r="A8" s="740" t="inlineStr">
        <is>
          <t>通信運搬費</t>
        </is>
      </c>
      <c r="C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+2018,4,1),'旅費・事務費（消耗品・図書・通信・会議・雑費）R８'!$F$26:$F$42,"&lt;"&amp;DATE(年度+2018,5,1))</f>
        <v>0</v>
      </c>
      <c r="D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+2018,5,1),'旅費・事務費（消耗品・図書・通信・会議・雑費）R８'!$F$26:$F$42,"&lt;"&amp;DATE(年度+2018,6,1))</f>
        <v>0</v>
      </c>
      <c r="E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+2018,6,1),'旅費・事務費（消耗品・図書・通信・会議・雑費）R８'!$F$26:$F$42,"&lt;"&amp;DATE(年度+2018,7,1))</f>
        <v>0</v>
      </c>
      <c r="F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+2018,7,1),'旅費・事務費（消耗品・図書・通信・会議・雑費）R８'!$F$26:$F$42,"&lt;"&amp;DATE(年度+2018,8,1))</f>
        <v>0</v>
      </c>
      <c r="G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+2018,8,1),'旅費・事務費（消耗品・図書・通信・会議・雑費）R８'!$F$26:$F$42,"&lt;"&amp;DATE(年度+2018,9,1))</f>
        <v>5979</v>
      </c>
      <c r="H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+2018,9,1),'旅費・事務費（消耗品・図書・通信・会議・雑費）R８'!$F$26:$F$42,"&lt;"&amp;DATE(年度+2018,10,1))</f>
        <v>0</v>
      </c>
      <c r="I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+2018,10,1),'旅費・事務費（消耗品・図書・通信・会議・雑費）R８'!$F$26:$F$42,"&lt;"&amp;DATE(年度+2018,11,1))</f>
        <v>0</v>
      </c>
      <c r="J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+2018,11,1),'旅費・事務費（消耗品・図書・通信・会議・雑費）R８'!$F$26:$F$42,"&lt;"&amp;DATE(年度+2018,12,1))</f>
        <v>0</v>
      </c>
      <c r="K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+2018,12,1),'旅費・事務費（消耗品・図書・通信・会議・雑費）R８'!$F$26:$F$42,"&lt;"&amp;DATE(年度+2019,1,1))</f>
        <v>0</v>
      </c>
      <c r="L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+2019,1,1),'旅費・事務費（消耗品・図書・通信・会議・雑費）R８'!$F$26:$F$42,"&lt;"&amp;DATE(年度+2019,2,1))</f>
        <v>0</v>
      </c>
      <c r="M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+2019,2,1),'旅費・事務費（消耗品・図書・通信・会議・雑費）R８'!$F$26:$F$42,"&lt;"&amp;DATE(年度+2019,3,1))</f>
        <v>0</v>
      </c>
      <c r="N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+2019,3,1),'旅費・事務費（消耗品・図書・通信・会議・雑費）R８'!$F$26:$F$42,"&lt;"&amp;DATE(年度+2019,4,1))</f>
        <v>0</v>
      </c>
      <c r="O8" s="749">
        <f>SUMIFS('旅費・事務費（消耗品・図書・通信・会議・雑費）R８'!$H$26:$H$42,'旅費・事務費（消耗品・図書・通信・会議・雑費）R８'!$J$26:$J$42,"確認済",'旅費・事務費（消耗品・図書・通信・会議・雑費）R８'!$F$26:$F$42,"&gt;="&amp;DATE(年度+2019,4,1))</f>
        <v>0</v>
      </c>
      <c r="P8" s="833">
        <f>SUM(C8:O8)</f>
        <v>5979</v>
      </c>
    </row>
    <row r="9">
      <c r="A9" s="740" t="inlineStr">
        <is>
          <t>会議費</t>
        </is>
      </c>
      <c r="C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+2018,4,1),'旅費・事務費（消耗品・図書・通信・会議・雑費）R８'!$A$28:$A$31,"&lt;"&amp;DATE(年度+2018,5,1))</f>
        <v>0</v>
      </c>
      <c r="D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+2018,5,1),'旅費・事務費（消耗品・図書・通信・会議・雑費）R８'!$A$28:$A$31,"&lt;"&amp;DATE(年度+2018,6,1))</f>
        <v>0</v>
      </c>
      <c r="E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+2018,6,1),'旅費・事務費（消耗品・図書・通信・会議・雑費）R８'!$A$28:$A$31,"&lt;"&amp;DATE(年度+2018,7,1))</f>
        <v>0</v>
      </c>
      <c r="F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+2018,7,1),'旅費・事務費（消耗品・図書・通信・会議・雑費）R８'!$A$28:$A$31,"&lt;"&amp;DATE(年度+2018,8,1))</f>
        <v>0</v>
      </c>
      <c r="G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+2018,8,1),'旅費・事務費（消耗品・図書・通信・会議・雑費）R８'!$A$28:$A$31,"&lt;"&amp;DATE(年度+2018,9,1))</f>
        <v>0</v>
      </c>
      <c r="H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+2018,9,1),'旅費・事務費（消耗品・図書・通信・会議・雑費）R８'!$A$28:$A$31,"&lt;"&amp;DATE(年度+2018,10,1))</f>
        <v>0</v>
      </c>
      <c r="I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+2018,10,1),'旅費・事務費（消耗品・図書・通信・会議・雑費）R８'!$A$28:$A$31,"&lt;"&amp;DATE(年度+2018,11,1))</f>
        <v>0</v>
      </c>
      <c r="J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+2018,11,1),'旅費・事務費（消耗品・図書・通信・会議・雑費）R８'!$A$28:$A$31,"&lt;"&amp;DATE(年度+2018,12,1))</f>
        <v>0</v>
      </c>
      <c r="K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+2018,12,1),'旅費・事務費（消耗品・図書・通信・会議・雑費）R８'!$A$28:$A$31,"&lt;"&amp;DATE(年度+2019,1,1))</f>
        <v>0</v>
      </c>
      <c r="L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+2019,1,1),'旅費・事務費（消耗品・図書・通信・会議・雑費）R８'!$A$28:$A$31,"&lt;"&amp;DATE(年度+2019,2,1))</f>
        <v>0</v>
      </c>
      <c r="M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+2019,2,1),'旅費・事務費（消耗品・図書・通信・会議・雑費）R８'!$A$28:$A$31,"&lt;"&amp;DATE(年度+2019,3,1))</f>
        <v>0</v>
      </c>
      <c r="N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+2019,3,1),'旅費・事務費（消耗品・図書・通信・会議・雑費）R８'!$A$28:$A$31,"&lt;"&amp;DATE(年度+2019,4,1))</f>
        <v>0</v>
      </c>
      <c r="O9" s="749">
        <f>SUMIFS('旅費・事務費（消耗品・図書・通信・会議・雑費）R８'!$C$28:$C$31,'旅費・事務費（消耗品・図書・通信・会議・雑費）R８'!$E$28:$E$31,"確認済",'旅費・事務費（消耗品・図書・通信・会議・雑費）R８'!$A$28:$A$31,"&gt;="&amp;DATE(年度+2019,4,1))</f>
        <v>0</v>
      </c>
      <c r="P9" s="833">
        <f>SUM(C9:O9)</f>
        <v>0</v>
      </c>
    </row>
    <row r="10">
      <c r="A10" s="740" t="inlineStr">
        <is>
          <t>事務費・雑費</t>
        </is>
      </c>
      <c r="C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+2018,4,1),'旅費・事務費（消耗品・図書・通信・会議・雑費）R８'!$A$34:$A$67,"&lt;"&amp;DATE(年度+2018,5,1))</f>
        <v>0</v>
      </c>
      <c r="D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+2018,5,1),'旅費・事務費（消耗品・図書・通信・会議・雑費）R８'!$A$34:$A$67,"&lt;"&amp;DATE(年度+2018,6,1))</f>
        <v>16190</v>
      </c>
      <c r="E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+2018,6,1),'旅費・事務費（消耗品・図書・通信・会議・雑費）R８'!$A$34:$A$67,"&lt;"&amp;DATE(年度+2018,7,1))</f>
        <v>5750</v>
      </c>
      <c r="F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+2018,7,1),'旅費・事務費（消耗品・図書・通信・会議・雑費）R８'!$A$34:$A$67,"&lt;"&amp;DATE(年度+2018,8,1))</f>
        <v>6090</v>
      </c>
      <c r="G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+2018,8,1),'旅費・事務費（消耗品・図書・通信・会議・雑費）R８'!$A$34:$A$67,"&lt;"&amp;DATE(年度+2018,9,1))</f>
        <v>5530</v>
      </c>
      <c r="H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+2018,9,1),'旅費・事務費（消耗品・図書・通信・会議・雑費）R８'!$A$34:$A$67,"&lt;"&amp;DATE(年度+2018,10,1))</f>
        <v>5190</v>
      </c>
      <c r="I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+2018,10,1),'旅費・事務費（消耗品・図書・通信・会議・雑費）R８'!$A$34:$A$67,"&lt;"&amp;DATE(年度+2018,11,1))</f>
        <v>5200</v>
      </c>
      <c r="J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+2018,11,1),'旅費・事務費（消耗品・図書・通信・会議・雑費）R８'!$A$34:$A$67,"&lt;"&amp;DATE(年度+2018,12,1))</f>
        <v>0</v>
      </c>
      <c r="K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+2018,12,1),'旅費・事務費（消耗品・図書・通信・会議・雑費）R８'!$A$34:$A$67,"&lt;"&amp;DATE(年度+2019,1,1))</f>
        <v>0</v>
      </c>
      <c r="L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+2019,1,1),'旅費・事務費（消耗品・図書・通信・会議・雑費）R８'!$A$34:$A$67,"&lt;"&amp;DATE(年度+2019,2,1))</f>
        <v>0</v>
      </c>
      <c r="M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+2019,2,1),'旅費・事務費（消耗品・図書・通信・会議・雑費）R８'!$A$34:$A$67,"&lt;"&amp;DATE(年度+2019,3,1))</f>
        <v>0</v>
      </c>
      <c r="N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+2019,3,1),'旅費・事務費（消耗品・図書・通信・会議・雑費）R８'!$A$34:$A$67,"&lt;"&amp;DATE(年度+2019,4,1))</f>
        <v>0</v>
      </c>
      <c r="O10" s="749">
        <f>SUMIFS('旅費・事務費（消耗品・図書・通信・会議・雑費）R８'!$C$34:$C$67,'旅費・事務費（消耗品・図書・通信・会議・雑費）R８'!$E$34:$E$67,"確認済",'旅費・事務費（消耗品・図書・通信・会議・雑費）R８'!$A$34:$A$67,"&gt;="&amp;DATE(年度+2019,4,1))</f>
        <v>0</v>
      </c>
      <c r="P10" s="833">
        <f>SUM(C10:O10)</f>
        <v>43950</v>
      </c>
    </row>
    <row r="11">
      <c r="A11" s="740" t="inlineStr">
        <is>
          <t>委託費</t>
        </is>
      </c>
      <c r="C11" s="749">
        <f>SUMIFS('旅費・事務費以外R８'!$C$17:$C$25,'旅費・事務費以外R８'!$E$17:$E$25,"確認済",'旅費・事務費以外R８'!$A$17:$A$25,"&gt;="&amp;DATE(年度+2018,4,1),'旅費・事務費以外R８'!$A$17:$A$25,"&lt;"&amp;DATE(年度+2018,5,1))</f>
        <v>0</v>
      </c>
      <c r="D11" s="749">
        <f>SUMIFS('旅費・事務費以外R８'!$C$17:$C$25,'旅費・事務費以外R８'!$E$17:$E$25,"確認済",'旅費・事務費以外R８'!$A$17:$A$25,"&gt;="&amp;DATE(年度+2018,5,1),'旅費・事務費以外R８'!$A$17:$A$25,"&lt;"&amp;DATE(年度+2018,6,1))</f>
        <v>0</v>
      </c>
      <c r="E11" s="749">
        <f>SUMIFS('旅費・事務費以外R８'!$C$17:$C$25,'旅費・事務費以外R８'!$E$17:$E$25,"確認済",'旅費・事務費以外R８'!$A$17:$A$25,"&gt;="&amp;DATE(年度+2018,6,1),'旅費・事務費以外R８'!$A$17:$A$25,"&lt;"&amp;DATE(年度+2018,7,1))</f>
        <v>0</v>
      </c>
      <c r="F11" s="749">
        <f>SUMIFS('旅費・事務費以外R８'!$C$17:$C$25,'旅費・事務費以外R８'!$E$17:$E$25,"確認済",'旅費・事務費以外R８'!$A$17:$A$25,"&gt;="&amp;DATE(年度+2018,7,1),'旅費・事務費以外R８'!$A$17:$A$25,"&lt;"&amp;DATE(年度+2018,8,1))</f>
        <v>0</v>
      </c>
      <c r="G11" s="749">
        <f>SUMIFS('旅費・事務費以外R８'!$C$17:$C$25,'旅費・事務費以外R８'!$E$17:$E$25,"確認済",'旅費・事務費以外R８'!$A$17:$A$25,"&gt;="&amp;DATE(年度+2018,8,1),'旅費・事務費以外R８'!$A$17:$A$25,"&lt;"&amp;DATE(年度+2018,9,1))</f>
        <v>0</v>
      </c>
      <c r="H11" s="749">
        <f>SUMIFS('旅費・事務費以外R８'!$C$17:$C$25,'旅費・事務費以外R８'!$E$17:$E$25,"確認済",'旅費・事務費以外R８'!$A$17:$A$25,"&gt;="&amp;DATE(年度+2018,9,1),'旅費・事務費以外R８'!$A$17:$A$25,"&lt;"&amp;DATE(年度+2018,10,1))</f>
        <v>153120</v>
      </c>
      <c r="I11" s="749">
        <f>SUMIFS('旅費・事務費以外R８'!$C$17:$C$25,'旅費・事務費以外R８'!$E$17:$E$25,"確認済",'旅費・事務費以外R８'!$A$17:$A$25,"&gt;="&amp;DATE(年度+2018,10,1),'旅費・事務費以外R８'!$A$17:$A$25,"&lt;"&amp;DATE(年度+2018,11,1))</f>
        <v>0</v>
      </c>
      <c r="J11" s="749">
        <f>SUMIFS('旅費・事務費以外R８'!$C$17:$C$25,'旅費・事務費以外R８'!$E$17:$E$25,"確認済",'旅費・事務費以外R８'!$A$17:$A$25,"&gt;="&amp;DATE(年度+2018,11,1),'旅費・事務費以外R８'!$A$17:$A$25,"&lt;"&amp;DATE(年度+2018,12,1))</f>
        <v>0</v>
      </c>
      <c r="K11" s="749">
        <f>SUMIFS('旅費・事務費以外R８'!$C$17:$C$25,'旅費・事務費以外R８'!$E$17:$E$25,"確認済",'旅費・事務費以外R８'!$A$17:$A$25,"&gt;="&amp;DATE(年度+2018,12,1),'旅費・事務費以外R８'!$A$17:$A$25,"&lt;"&amp;DATE(年度+2019,1,1))</f>
        <v>0</v>
      </c>
      <c r="L11" s="749">
        <f>SUMIFS('旅費・事務費以外R８'!$C$17:$C$25,'旅費・事務費以外R８'!$E$17:$E$25,"確認済",'旅費・事務費以外R８'!$A$17:$A$25,"&gt;="&amp;DATE(年度+2019,1,1),'旅費・事務費以外R８'!$A$17:$A$25,"&lt;"&amp;DATE(年度+2019,2,1))</f>
        <v>0</v>
      </c>
      <c r="M11" s="749">
        <f>SUMIFS('旅費・事務費以外R８'!$C$17:$C$25,'旅費・事務費以外R８'!$E$17:$E$25,"確認済",'旅費・事務費以外R８'!$A$17:$A$25,"&gt;="&amp;DATE(年度+2019,2,1),'旅費・事務費以外R８'!$A$17:$A$25,"&lt;"&amp;DATE(年度+2019,3,1))</f>
        <v>0</v>
      </c>
      <c r="N11" s="749">
        <f>SUMIFS('旅費・事務費以外R８'!$C$17:$C$25,'旅費・事務費以外R８'!$E$17:$E$25,"確認済",'旅費・事務費以外R８'!$A$17:$A$25,"&gt;="&amp;DATE(年度+2019,3,1),'旅費・事務費以外R８'!$A$17:$A$25,"&lt;"&amp;DATE(年度+2019,4,1))</f>
        <v>0</v>
      </c>
      <c r="O11" s="749">
        <f>SUMIFS('旅費・事務費以外R８'!$C$17:$C$25,'旅費・事務費以外R８'!$E$17:$E$25,"確認済",'旅費・事務費以外R８'!$A$17:$A$25,"&gt;="&amp;DATE(年度+2019,4,1))</f>
        <v>0</v>
      </c>
      <c r="P11" s="833">
        <f>SUM(C11:O11)</f>
        <v>153120</v>
      </c>
    </row>
    <row r="12">
      <c r="A12" s="740" t="inlineStr">
        <is>
          <t>修繕費</t>
        </is>
      </c>
      <c r="C12" s="749">
        <f>SUMIFS('旅費・事務費以外R８'!$C$28:$C$33,'旅費・事務費以外R８'!$E$28:$E$33,"確認済",'旅費・事務費以外R８'!$A$28:$A$33,"&gt;="&amp;DATE(年度+2018,4,1),'旅費・事務費以外R８'!$A$28:$A$33,"&lt;"&amp;DATE(年度+2018,5,1))</f>
        <v>0</v>
      </c>
      <c r="D12" s="749">
        <f>SUMIFS('旅費・事務費以外R８'!$C$28:$C$33,'旅費・事務費以外R８'!$E$28:$E$33,"確認済",'旅費・事務費以外R８'!$A$28:$A$33,"&gt;="&amp;DATE(年度+2018,5,1),'旅費・事務費以外R８'!$A$28:$A$33,"&lt;"&amp;DATE(年度+2018,6,1))</f>
        <v>0</v>
      </c>
      <c r="E12" s="749">
        <f>SUMIFS('旅費・事務費以外R８'!$C$28:$C$33,'旅費・事務費以外R８'!$E$28:$E$33,"確認済",'旅費・事務費以外R８'!$A$28:$A$33,"&gt;="&amp;DATE(年度+2018,6,1),'旅費・事務費以外R８'!$A$28:$A$33,"&lt;"&amp;DATE(年度+2018,7,1))</f>
        <v>0</v>
      </c>
      <c r="F12" s="749">
        <f>SUMIFS('旅費・事務費以外R８'!$C$28:$C$33,'旅費・事務費以外R８'!$E$28:$E$33,"確認済",'旅費・事務費以外R８'!$A$28:$A$33,"&gt;="&amp;DATE(年度+2018,7,1),'旅費・事務費以外R８'!$A$28:$A$33,"&lt;"&amp;DATE(年度+2018,8,1))</f>
        <v>0</v>
      </c>
      <c r="G12" s="749">
        <f>SUMIFS('旅費・事務費以外R８'!$C$28:$C$33,'旅費・事務費以外R８'!$E$28:$E$33,"確認済",'旅費・事務費以外R８'!$A$28:$A$33,"&gt;="&amp;DATE(年度+2018,8,1),'旅費・事務費以外R８'!$A$28:$A$33,"&lt;"&amp;DATE(年度+2018,9,1))</f>
        <v>0</v>
      </c>
      <c r="H12" s="749">
        <f>SUMIFS('旅費・事務費以外R８'!$C$28:$C$33,'旅費・事務費以外R８'!$E$28:$E$33,"確認済",'旅費・事務費以外R８'!$A$28:$A$33,"&gt;="&amp;DATE(年度+2018,9,1),'旅費・事務費以外R８'!$A$28:$A$33,"&lt;"&amp;DATE(年度+2018,10,1))</f>
        <v>0</v>
      </c>
      <c r="I12" s="749">
        <f>SUMIFS('旅費・事務費以外R８'!$C$28:$C$33,'旅費・事務費以外R８'!$E$28:$E$33,"確認済",'旅費・事務費以外R８'!$A$28:$A$33,"&gt;="&amp;DATE(年度+2018,10,1),'旅費・事務費以外R８'!$A$28:$A$33,"&lt;"&amp;DATE(年度+2018,11,1))</f>
        <v>0</v>
      </c>
      <c r="J12" s="749">
        <f>SUMIFS('旅費・事務費以外R８'!$C$28:$C$33,'旅費・事務費以外R８'!$E$28:$E$33,"確認済",'旅費・事務費以外R８'!$A$28:$A$33,"&gt;="&amp;DATE(年度+2018,11,1),'旅費・事務費以外R８'!$A$28:$A$33,"&lt;"&amp;DATE(年度+2018,12,1))</f>
        <v>0</v>
      </c>
      <c r="K12" s="749">
        <f>SUMIFS('旅費・事務費以外R８'!$C$28:$C$33,'旅費・事務費以外R８'!$E$28:$E$33,"確認済",'旅費・事務費以外R８'!$A$28:$A$33,"&gt;="&amp;DATE(年度+2018,12,1),'旅費・事務費以外R８'!$A$28:$A$33,"&lt;"&amp;DATE(年度+2019,1,1))</f>
        <v>0</v>
      </c>
      <c r="L12" s="749">
        <f>SUMIFS('旅費・事務費以外R８'!$C$28:$C$33,'旅費・事務費以外R８'!$E$28:$E$33,"確認済",'旅費・事務費以外R８'!$A$28:$A$33,"&gt;="&amp;DATE(年度+2019,1,1),'旅費・事務費以外R８'!$A$28:$A$33,"&lt;"&amp;DATE(年度+2019,2,1))</f>
        <v>0</v>
      </c>
      <c r="M12" s="749">
        <f>SUMIFS('旅費・事務費以外R８'!$C$28:$C$33,'旅費・事務費以外R８'!$E$28:$E$33,"確認済",'旅費・事務費以外R８'!$A$28:$A$33,"&gt;="&amp;DATE(年度+2019,2,1),'旅費・事務費以外R８'!$A$28:$A$33,"&lt;"&amp;DATE(年度+2019,3,1))</f>
        <v>0</v>
      </c>
      <c r="N12" s="749">
        <f>SUMIFS('旅費・事務費以外R８'!$C$28:$C$33,'旅費・事務費以外R８'!$E$28:$E$33,"確認済",'旅費・事務費以外R８'!$A$28:$A$33,"&gt;="&amp;DATE(年度+2019,3,1),'旅費・事務費以外R８'!$A$28:$A$33,"&lt;"&amp;DATE(年度+2019,4,1))</f>
        <v>0</v>
      </c>
      <c r="O12" s="749">
        <f>SUMIFS('旅費・事務費以外R８'!$C$28:$C$33,'旅費・事務費以外R８'!$E$28:$E$33,"確認済",'旅費・事務費以外R８'!$A$28:$A$33,"&gt;="&amp;DATE(年度+2019,4,1))</f>
        <v>0</v>
      </c>
      <c r="P12" s="833">
        <f>SUM(C12:O12)</f>
        <v>0</v>
      </c>
    </row>
    <row r="13">
      <c r="A13" s="740" t="inlineStr">
        <is>
          <t>賃借料</t>
        </is>
      </c>
      <c r="C13" s="749">
        <f>SUMIFS('旅費・事務費以外R８'!$C$36:$C$86,'旅費・事務費以外R８'!$E$36:$E$86,"確認済",'旅費・事務費以外R８'!$A$36:$A$86,"&gt;="&amp;DATE(年度+2018,4,1),'旅費・事務費以外R８'!$A$36:$A$86,"&lt;"&amp;DATE(年度+2018,5,1))</f>
        <v>0</v>
      </c>
      <c r="D13" s="749">
        <f>SUMIFS('旅費・事務費以外R８'!$C$36:$C$86,'旅費・事務費以外R８'!$E$36:$E$86,"確認済",'旅費・事務費以外R８'!$A$36:$A$86,"&gt;="&amp;DATE(年度+2018,5,1),'旅費・事務費以外R８'!$A$36:$A$86,"&lt;"&amp;DATE(年度+2018,6,1))</f>
        <v>74674</v>
      </c>
      <c r="E13" s="749">
        <f>SUMIFS('旅費・事務費以外R８'!$C$36:$C$86,'旅費・事務費以外R８'!$E$36:$E$86,"確認済",'旅費・事務費以外R８'!$A$36:$A$86,"&gt;="&amp;DATE(年度+2018,6,1),'旅費・事務費以外R８'!$A$36:$A$86,"&lt;"&amp;DATE(年度+2018,7,1))</f>
        <v>74674</v>
      </c>
      <c r="F13" s="749">
        <f>SUMIFS('旅費・事務費以外R８'!$C$36:$C$86,'旅費・事務費以外R８'!$E$36:$E$86,"確認済",'旅費・事務費以外R８'!$A$36:$A$86,"&gt;="&amp;DATE(年度+2018,7,1),'旅費・事務費以外R８'!$A$36:$A$86,"&lt;"&amp;DATE(年度+2018,8,1))</f>
        <v>74674</v>
      </c>
      <c r="G13" s="749">
        <f>SUMIFS('旅費・事務費以外R８'!$C$36:$C$86,'旅費・事務費以外R８'!$E$36:$E$86,"確認済",'旅費・事務費以外R８'!$A$36:$A$86,"&gt;="&amp;DATE(年度+2018,8,1),'旅費・事務費以外R８'!$A$36:$A$86,"&lt;"&amp;DATE(年度+2018,9,1))</f>
        <v>74674</v>
      </c>
      <c r="H13" s="749">
        <f>SUMIFS('旅費・事務費以外R８'!$C$36:$C$86,'旅費・事務費以外R８'!$E$36:$E$86,"確認済",'旅費・事務費以外R８'!$A$36:$A$86,"&gt;="&amp;DATE(年度+2018,9,1),'旅費・事務費以外R８'!$A$36:$A$86,"&lt;"&amp;DATE(年度+2018,10,1))</f>
        <v>74674</v>
      </c>
      <c r="I13" s="749">
        <f>SUMIFS('旅費・事務費以外R８'!$C$36:$C$86,'旅費・事務費以外R８'!$E$36:$E$86,"確認済",'旅費・事務費以外R８'!$A$36:$A$86,"&gt;="&amp;DATE(年度+2018,10,1),'旅費・事務費以外R８'!$A$36:$A$86,"&lt;"&amp;DATE(年度+2018,11,1))</f>
        <v>74674</v>
      </c>
      <c r="J13" s="749">
        <f>SUMIFS('旅費・事務費以外R８'!$C$36:$C$86,'旅費・事務費以外R８'!$E$36:$E$86,"確認済",'旅費・事務費以外R８'!$A$36:$A$86,"&gt;="&amp;DATE(年度+2018,11,1),'旅費・事務費以外R８'!$A$36:$A$86,"&lt;"&amp;DATE(年度+2018,12,1))</f>
        <v>0</v>
      </c>
      <c r="K13" s="749">
        <f>SUMIFS('旅費・事務費以外R８'!$C$36:$C$86,'旅費・事務費以外R８'!$E$36:$E$86,"確認済",'旅費・事務費以外R８'!$A$36:$A$86,"&gt;="&amp;DATE(年度+2018,12,1),'旅費・事務費以外R８'!$A$36:$A$86,"&lt;"&amp;DATE(年度+2019,1,1))</f>
        <v>0</v>
      </c>
      <c r="L13" s="749">
        <f>SUMIFS('旅費・事務費以外R８'!$C$36:$C$86,'旅費・事務費以外R８'!$E$36:$E$86,"確認済",'旅費・事務費以外R８'!$A$36:$A$86,"&gt;="&amp;DATE(年度+2019,1,1),'旅費・事務費以外R８'!$A$36:$A$86,"&lt;"&amp;DATE(年度+2019,2,1))</f>
        <v>0</v>
      </c>
      <c r="M13" s="749">
        <f>SUMIFS('旅費・事務費以外R８'!$C$36:$C$86,'旅費・事務費以外R８'!$E$36:$E$86,"確認済",'旅費・事務費以外R８'!$A$36:$A$86,"&gt;="&amp;DATE(年度+2019,2,1),'旅費・事務費以外R８'!$A$36:$A$86,"&lt;"&amp;DATE(年度+2019,3,1))</f>
        <v>0</v>
      </c>
      <c r="N13" s="749">
        <f>SUMIFS('旅費・事務費以外R８'!$C$36:$C$86,'旅費・事務費以外R８'!$E$36:$E$86,"確認済",'旅費・事務費以外R８'!$A$36:$A$86,"&gt;="&amp;DATE(年度+2019,3,1),'旅費・事務費以外R８'!$A$36:$A$86,"&lt;"&amp;DATE(年度+2019,4,1))</f>
        <v>0</v>
      </c>
      <c r="O13" s="749">
        <f>SUMIFS('旅費・事務費以外R８'!$C$36:$C$86,'旅費・事務費以外R８'!$E$36:$E$86,"確認済",'旅費・事務費以外R８'!$A$36:$A$86,"&gt;="&amp;DATE(年度+2019,4,1))</f>
        <v>0</v>
      </c>
      <c r="P13" s="833">
        <f>SUM(C13:O13)</f>
        <v>448044</v>
      </c>
    </row>
    <row r="14">
      <c r="A14" s="740" t="inlineStr">
        <is>
          <t>普及費</t>
        </is>
      </c>
      <c r="C14" s="749">
        <f>SUMIFS('旅費・事務費以外R８'!$H$5:$H$13,'旅費・事務費以外R８'!$J$5:$J$13,"確認済",'旅費・事務費以外R８'!$F$5:$F$13,"&gt;="&amp;DATE(年度+2018,4,1),'旅費・事務費以外R８'!$F$5:$F$13,"&lt;"&amp;DATE(年度+2018,5,1))</f>
        <v>0</v>
      </c>
      <c r="D14" s="749">
        <f>SUMIFS('旅費・事務費以外R８'!$H$5:$H$13,'旅費・事務費以外R８'!$J$5:$J$13,"確認済",'旅費・事務費以外R８'!$F$5:$F$13,"&gt;="&amp;DATE(年度+2018,5,1),'旅費・事務費以外R８'!$F$5:$F$13,"&lt;"&amp;DATE(年度+2018,6,1))</f>
        <v>0</v>
      </c>
      <c r="E14" s="749">
        <f>SUMIFS('旅費・事務費以外R８'!$H$5:$H$13,'旅費・事務費以外R８'!$J$5:$J$13,"確認済",'旅費・事務費以外R８'!$F$5:$F$13,"&gt;="&amp;DATE(年度+2018,6,1),'旅費・事務費以外R８'!$F$5:$F$13,"&lt;"&amp;DATE(年度+2018,7,1))</f>
        <v>0</v>
      </c>
      <c r="F14" s="749">
        <f>SUMIFS('旅費・事務費以外R８'!$H$5:$H$13,'旅費・事務費以外R８'!$J$5:$J$13,"確認済",'旅費・事務費以外R８'!$F$5:$F$13,"&gt;="&amp;DATE(年度+2018,7,1),'旅費・事務費以外R８'!$F$5:$F$13,"&lt;"&amp;DATE(年度+2018,8,1))</f>
        <v>0</v>
      </c>
      <c r="G14" s="749">
        <f>SUMIFS('旅費・事務費以外R８'!$H$5:$H$13,'旅費・事務費以外R８'!$J$5:$J$13,"確認済",'旅費・事務費以外R８'!$F$5:$F$13,"&gt;="&amp;DATE(年度+2018,8,1),'旅費・事務費以外R８'!$F$5:$F$13,"&lt;"&amp;DATE(年度+2018,9,1))</f>
        <v>242770</v>
      </c>
      <c r="H14" s="749">
        <f>SUMIFS('旅費・事務費以外R８'!$H$5:$H$13,'旅費・事務費以外R８'!$J$5:$J$13,"確認済",'旅費・事務費以外R８'!$F$5:$F$13,"&gt;="&amp;DATE(年度+2018,9,1),'旅費・事務費以外R８'!$F$5:$F$13,"&lt;"&amp;DATE(年度+2018,10,1))</f>
        <v>0</v>
      </c>
      <c r="I14" s="749">
        <f>SUMIFS('旅費・事務費以外R８'!$H$5:$H$13,'旅費・事務費以外R８'!$J$5:$J$13,"確認済",'旅費・事務費以外R８'!$F$5:$F$13,"&gt;="&amp;DATE(年度+2018,10,1),'旅費・事務費以外R８'!$F$5:$F$13,"&lt;"&amp;DATE(年度+2018,11,1))</f>
        <v>0</v>
      </c>
      <c r="J14" s="749">
        <f>SUMIFS('旅費・事務費以外R８'!$H$5:$H$13,'旅費・事務費以外R８'!$J$5:$J$13,"確認済",'旅費・事務費以外R８'!$F$5:$F$13,"&gt;="&amp;DATE(年度+2018,11,1),'旅費・事務費以外R８'!$F$5:$F$13,"&lt;"&amp;DATE(年度+2018,12,1))</f>
        <v>0</v>
      </c>
      <c r="K14" s="749">
        <f>SUMIFS('旅費・事務費以外R８'!$H$5:$H$13,'旅費・事務費以外R８'!$J$5:$J$13,"確認済",'旅費・事務費以外R８'!$F$5:$F$13,"&gt;="&amp;DATE(年度+2018,12,1),'旅費・事務費以外R８'!$F$5:$F$13,"&lt;"&amp;DATE(年度+2019,1,1))</f>
        <v>0</v>
      </c>
      <c r="L14" s="749">
        <f>SUMIFS('旅費・事務費以外R８'!$H$5:$H$13,'旅費・事務費以外R８'!$J$5:$J$13,"確認済",'旅費・事務費以外R８'!$F$5:$F$13,"&gt;="&amp;DATE(年度+2019,1,1),'旅費・事務費以外R８'!$F$5:$F$13,"&lt;"&amp;DATE(年度+2019,2,1))</f>
        <v>0</v>
      </c>
      <c r="M14" s="749">
        <f>SUMIFS('旅費・事務費以外R８'!$H$5:$H$13,'旅費・事務費以外R８'!$J$5:$J$13,"確認済",'旅費・事務費以外R８'!$F$5:$F$13,"&gt;="&amp;DATE(年度+2019,2,1),'旅費・事務費以外R８'!$F$5:$F$13,"&lt;"&amp;DATE(年度+2019,3,1))</f>
        <v>0</v>
      </c>
      <c r="N14" s="749">
        <f>SUMIFS('旅費・事務費以外R８'!$H$5:$H$13,'旅費・事務費以外R８'!$J$5:$J$13,"確認済",'旅費・事務費以外R８'!$F$5:$F$13,"&gt;="&amp;DATE(年度+2019,3,1),'旅費・事務費以外R８'!$F$5:$F$13,"&lt;"&amp;DATE(年度+2019,4,1))</f>
        <v>0</v>
      </c>
      <c r="O14" s="749">
        <f>SUMIFS('旅費・事務費以外R８'!$H$5:$H$13,'旅費・事務費以外R８'!$J$5:$J$13,"確認済",'旅費・事務費以外R８'!$F$5:$F$13,"&gt;="&amp;DATE(年度+2019,4,1))</f>
        <v>0</v>
      </c>
      <c r="P14" s="833">
        <f>SUM(C14:O14)</f>
        <v>242770</v>
      </c>
    </row>
    <row r="15">
      <c r="A15" s="740" t="inlineStr">
        <is>
          <t>食糧費</t>
        </is>
      </c>
      <c r="C15" s="749" t="n">
        <v>0</v>
      </c>
      <c r="D15" s="749" t="n">
        <v>0</v>
      </c>
      <c r="E15" s="749" t="n">
        <v>0</v>
      </c>
      <c r="F15" s="749" t="n">
        <v>0</v>
      </c>
      <c r="G15" s="749" t="n">
        <v>0</v>
      </c>
      <c r="H15" s="749" t="n">
        <v>0</v>
      </c>
      <c r="I15" s="749" t="n">
        <v>0</v>
      </c>
      <c r="J15" s="749" t="n">
        <v>0</v>
      </c>
      <c r="K15" s="749" t="n">
        <v>0</v>
      </c>
      <c r="L15" s="749" t="n">
        <v>0</v>
      </c>
      <c r="M15" s="749" t="n">
        <v>0</v>
      </c>
      <c r="N15" s="749" t="n">
        <v>0</v>
      </c>
      <c r="O15" s="749" t="n">
        <v>0</v>
      </c>
      <c r="P15" s="833">
        <f>SUM(C15:O15)</f>
        <v>0</v>
      </c>
    </row>
    <row r="16">
      <c r="A16" s="740" t="inlineStr">
        <is>
          <t>厚生年金保険料等</t>
        </is>
      </c>
      <c r="C16" s="749">
        <f>SUMIFS('旅費・事務費以外R８'!$H$25:$H$31,'旅費・事務費以外R８'!$J$25:$J$31,"確認済",'旅費・事務費以外R８'!$F$25:$F$31,"&gt;="&amp;DATE(年度+2018,4,1),'旅費・事務費以外R８'!$F$25:$F$31,"&lt;"&amp;DATE(年度+2018,5,1),'旅費・事務費以外R８'!$G$25:$G$31,"&lt;&gt;*労働保険*")</f>
        <v>0</v>
      </c>
      <c r="D16" s="749">
        <f>SUMIFS('旅費・事務費以外R８'!$H$25:$H$31,'旅費・事務費以外R８'!$J$25:$J$31,"確認済",'旅費・事務費以外R８'!$F$25:$F$31,"&gt;="&amp;DATE(年度+2018,5,1),'旅費・事務費以外R８'!$F$25:$F$31,"&lt;"&amp;DATE(年度+2018,6,1),'旅費・事務費以外R８'!$G$25:$G$31,"&lt;&gt;*労働保険*")</f>
        <v>72040</v>
      </c>
      <c r="E16" s="749">
        <f>SUMIFS('旅費・事務費以外R８'!$H$25:$H$31,'旅費・事務費以外R８'!$J$25:$J$31,"確認済",'旅費・事務費以外R８'!$F$25:$F$31,"&gt;="&amp;DATE(年度+2018,6,1),'旅費・事務費以外R８'!$F$25:$F$31,"&lt;"&amp;DATE(年度+2018,7,1),'旅費・事務費以外R８'!$G$25:$G$31,"&lt;&gt;*労働保険*")</f>
        <v>0</v>
      </c>
      <c r="F16" s="749">
        <f>SUMIFS('旅費・事務費以外R８'!$H$25:$H$31,'旅費・事務費以外R８'!$J$25:$J$31,"確認済",'旅費・事務費以外R８'!$F$25:$F$31,"&gt;="&amp;DATE(年度+2018,7,1),'旅費・事務費以外R８'!$F$25:$F$31,"&lt;"&amp;DATE(年度+2018,8,1),'旅費・事務費以外R８'!$G$25:$G$31,"&lt;&gt;*労働保険*")</f>
        <v>0</v>
      </c>
      <c r="G16" s="749">
        <f>SUMIFS('旅費・事務費以外R８'!$H$25:$H$31,'旅費・事務費以外R８'!$J$25:$J$31,"確認済",'旅費・事務費以外R８'!$F$25:$F$31,"&gt;="&amp;DATE(年度+2018,8,1),'旅費・事務費以外R８'!$F$25:$F$31,"&lt;"&amp;DATE(年度+2018,9,1),'旅費・事務費以外R８'!$G$25:$G$31,"&lt;&gt;*労働保険*")</f>
        <v>0</v>
      </c>
      <c r="H16" s="749">
        <f>SUMIFS('旅費・事務費以外R８'!$H$25:$H$31,'旅費・事務費以外R８'!$J$25:$J$31,"確認済",'旅費・事務費以外R８'!$F$25:$F$31,"&gt;="&amp;DATE(年度+2018,9,1),'旅費・事務費以外R８'!$F$25:$F$31,"&lt;"&amp;DATE(年度+2018,10,1),'旅費・事務費以外R８'!$G$25:$G$31,"&lt;&gt;*労働保険*")</f>
        <v>0</v>
      </c>
      <c r="I16" s="749">
        <f>SUMIFS('旅費・事務費以外R８'!$H$25:$H$31,'旅費・事務費以外R８'!$J$25:$J$31,"確認済",'旅費・事務費以外R８'!$F$25:$F$31,"&gt;="&amp;DATE(年度+2018,10,1),'旅費・事務費以外R８'!$F$25:$F$31,"&lt;"&amp;DATE(年度+2018,11,1),'旅費・事務費以外R８'!$G$25:$G$31,"&lt;&gt;*労働保険*")</f>
        <v>0</v>
      </c>
      <c r="J16" s="749">
        <f>SUMIFS('旅費・事務費以外R８'!$H$25:$H$31,'旅費・事務費以外R８'!$J$25:$J$31,"確認済",'旅費・事務費以外R８'!$F$25:$F$31,"&gt;="&amp;DATE(年度+2018,11,1),'旅費・事務費以外R８'!$F$25:$F$31,"&lt;"&amp;DATE(年度+2018,12,1),'旅費・事務費以外R８'!$G$25:$G$31,"&lt;&gt;*労働保険*")</f>
        <v>0</v>
      </c>
      <c r="K16" s="749">
        <f>SUMIFS('旅費・事務費以外R８'!$H$25:$H$31,'旅費・事務費以外R８'!$J$25:$J$31,"確認済",'旅費・事務費以外R８'!$F$25:$F$31,"&gt;="&amp;DATE(年度+2018,12,1),'旅費・事務費以外R８'!$F$25:$F$31,"&lt;"&amp;DATE(年度+2019,1,1),'旅費・事務費以外R８'!$G$25:$G$31,"&lt;&gt;*労働保険*")</f>
        <v>0</v>
      </c>
      <c r="L16" s="749">
        <f>SUMIFS('旅費・事務費以外R８'!$H$25:$H$31,'旅費・事務費以外R８'!$J$25:$J$31,"確認済",'旅費・事務費以外R８'!$F$25:$F$31,"&gt;="&amp;DATE(年度+2019,1,1),'旅費・事務費以外R８'!$F$25:$F$31,"&lt;"&amp;DATE(年度+2019,2,1),'旅費・事務費以外R８'!$G$25:$G$31,"&lt;&gt;*労働保険*")</f>
        <v>0</v>
      </c>
      <c r="M16" s="749">
        <f>SUMIFS('旅費・事務費以外R８'!$H$25:$H$31,'旅費・事務費以外R８'!$J$25:$J$31,"確認済",'旅費・事務費以外R８'!$F$25:$F$31,"&gt;="&amp;DATE(年度+2019,2,1),'旅費・事務費以外R８'!$F$25:$F$31,"&lt;"&amp;DATE(年度+2019,3,1),'旅費・事務費以外R８'!$G$25:$G$31,"&lt;&gt;*労働保険*")</f>
        <v>0</v>
      </c>
      <c r="N16" s="749">
        <f>SUMIFS('旅費・事務費以外R８'!$H$25:$H$31,'旅費・事務費以外R８'!$J$25:$J$31,"確認済",'旅費・事務費以外R８'!$F$25:$F$31,"&gt;="&amp;DATE(年度+2019,3,1),'旅費・事務費以外R８'!$F$25:$F$31,"&lt;"&amp;DATE(年度+2019,4,1),'旅費・事務費以外R８'!$G$25:$G$31,"&lt;&gt;*労働保険*")</f>
        <v>0</v>
      </c>
      <c r="O16" s="749">
        <f>SUMIFS('旅費・事務費以外R８'!$H$25:$H$31,'旅費・事務費以外R８'!$J$25:$J$31,"確認済",'旅費・事務費以外R８'!$F$25:$F$31,"&gt;="&amp;DATE(年度+2019,4,1),'旅費・事務費以外R８'!$G$25:$G$31,"&lt;&gt;*労働保険*")</f>
        <v>0</v>
      </c>
      <c r="P16" s="833">
        <f>SUM(C16:O16)</f>
        <v>72040</v>
      </c>
    </row>
    <row r="17">
      <c r="A17" s="740" t="inlineStr">
        <is>
          <t>労災・雇用等保険料</t>
        </is>
      </c>
      <c r="C17" s="749">
        <f>SUMIFS('旅費・事務費以外R８'!$H$25:$H$31,'旅費・事務費以外R８'!$J$25:$J$31,"確認済",'旅費・事務費以外R８'!$F$25:$F$31,"&gt;="&amp;DATE(年度+2018,4,1),'旅費・事務費以外R８'!$F$25:$F$31,"&lt;"&amp;DATE(年度+2018,5,1),'旅費・事務費以外R８'!$G$25:$G$31,"*労働保険*")</f>
        <v>0</v>
      </c>
      <c r="D17" s="749">
        <f>SUMIFS('旅費・事務費以外R８'!$H$25:$H$31,'旅費・事務費以外R８'!$J$25:$J$31,"確認済",'旅費・事務費以外R８'!$F$25:$F$31,"&gt;="&amp;DATE(年度+2018,5,1),'旅費・事務費以外R８'!$F$25:$F$31,"&lt;"&amp;DATE(年度+2018,6,1),'旅費・事務費以外R８'!$G$25:$G$31,"*労働保険*")</f>
        <v>0</v>
      </c>
      <c r="E17" s="749">
        <f>SUMIFS('旅費・事務費以外R８'!$H$25:$H$31,'旅費・事務費以外R８'!$J$25:$J$31,"確認済",'旅費・事務費以外R８'!$F$25:$F$31,"&gt;="&amp;DATE(年度+2018,6,1),'旅費・事務費以外R８'!$F$25:$F$31,"&lt;"&amp;DATE(年度+2018,7,1),'旅費・事務費以外R８'!$G$25:$G$31,"*労働保険*")</f>
        <v>0</v>
      </c>
      <c r="F17" s="749">
        <f>SUMIFS('旅費・事務費以外R８'!$H$25:$H$31,'旅費・事務費以外R８'!$J$25:$J$31,"確認済",'旅費・事務費以外R８'!$F$25:$F$31,"&gt;="&amp;DATE(年度+2018,7,1),'旅費・事務費以外R８'!$F$25:$F$31,"&lt;"&amp;DATE(年度+2018,8,1),'旅費・事務費以外R８'!$G$25:$G$31,"*労働保険*")</f>
        <v>129149</v>
      </c>
      <c r="G17" s="749">
        <f>SUMIFS('旅費・事務費以外R８'!$H$25:$H$31,'旅費・事務費以外R８'!$J$25:$J$31,"確認済",'旅費・事務費以外R８'!$F$25:$F$31,"&gt;="&amp;DATE(年度+2018,8,1),'旅費・事務費以外R８'!$F$25:$F$31,"&lt;"&amp;DATE(年度+2018,9,1),'旅費・事務費以外R８'!$G$25:$G$31,"*労働保険*")</f>
        <v>0</v>
      </c>
      <c r="H17" s="749">
        <f>SUMIFS('旅費・事務費以外R８'!$H$25:$H$31,'旅費・事務費以外R８'!$J$25:$J$31,"確認済",'旅費・事務費以外R８'!$F$25:$F$31,"&gt;="&amp;DATE(年度+2018,9,1),'旅費・事務費以外R８'!$F$25:$F$31,"&lt;"&amp;DATE(年度+2018,10,1),'旅費・事務費以外R８'!$G$25:$G$31,"*労働保険*")</f>
        <v>0</v>
      </c>
      <c r="I17" s="749">
        <f>SUMIFS('旅費・事務費以外R８'!$H$25:$H$31,'旅費・事務費以外R８'!$J$25:$J$31,"確認済",'旅費・事務費以外R８'!$F$25:$F$31,"&gt;="&amp;DATE(年度+2018,10,1),'旅費・事務費以外R８'!$F$25:$F$31,"&lt;"&amp;DATE(年度+2018,11,1),'旅費・事務費以外R８'!$G$25:$G$31,"*労働保険*")</f>
        <v>0</v>
      </c>
      <c r="J17" s="749">
        <f>SUMIFS('旅費・事務費以外R８'!$H$25:$H$31,'旅費・事務費以外R８'!$J$25:$J$31,"確認済",'旅費・事務費以外R８'!$F$25:$F$31,"&gt;="&amp;DATE(年度+2018,11,1),'旅費・事務費以外R８'!$F$25:$F$31,"&lt;"&amp;DATE(年度+2018,12,1),'旅費・事務費以外R８'!$G$25:$G$31,"*労働保険*")</f>
        <v>0</v>
      </c>
      <c r="K17" s="749">
        <f>SUMIFS('旅費・事務費以外R８'!$H$25:$H$31,'旅費・事務費以外R８'!$J$25:$J$31,"確認済",'旅費・事務費以外R８'!$F$25:$F$31,"&gt;="&amp;DATE(年度+2018,12,1),'旅費・事務費以外R８'!$F$25:$F$31,"&lt;"&amp;DATE(年度+2019,1,1),'旅費・事務費以外R８'!$G$25:$G$31,"*労働保険*")</f>
        <v>0</v>
      </c>
      <c r="L17" s="749">
        <f>SUMIFS('旅費・事務費以外R８'!$H$25:$H$31,'旅費・事務費以外R８'!$J$25:$J$31,"確認済",'旅費・事務費以外R８'!$F$25:$F$31,"&gt;="&amp;DATE(年度+2019,1,1),'旅費・事務費以外R８'!$F$25:$F$31,"&lt;"&amp;DATE(年度+2019,2,1),'旅費・事務費以外R８'!$G$25:$G$31,"*労働保険*")</f>
        <v>0</v>
      </c>
      <c r="M17" s="749">
        <f>SUMIFS('旅費・事務費以外R８'!$H$25:$H$31,'旅費・事務費以外R８'!$J$25:$J$31,"確認済",'旅費・事務費以外R８'!$F$25:$F$31,"&gt;="&amp;DATE(年度+2019,2,1),'旅費・事務費以外R８'!$F$25:$F$31,"&lt;"&amp;DATE(年度+2019,3,1),'旅費・事務費以外R８'!$G$25:$G$31,"*労働保険*")</f>
        <v>0</v>
      </c>
      <c r="N17" s="749">
        <f>SUMIFS('旅費・事務費以外R８'!$H$25:$H$31,'旅費・事務費以外R８'!$J$25:$J$31,"確認済",'旅費・事務費以外R８'!$F$25:$F$31,"&gt;="&amp;DATE(年度+2019,3,1),'旅費・事務費以外R８'!$F$25:$F$31,"&lt;"&amp;DATE(年度+2019,4,1),'旅費・事務費以外R８'!$G$25:$G$31,"*労働保険*")</f>
        <v>0</v>
      </c>
      <c r="O17" s="749">
        <f>SUMIFS('旅費・事務費以外R８'!$H$25:$H$31,'旅費・事務費以外R８'!$J$25:$J$31,"確認済",'旅費・事務費以外R８'!$F$25:$F$31,"&gt;="&amp;DATE(年度+2019,4,1),'旅費・事務費以外R８'!$G$25:$G$31,"*労働保険*")</f>
        <v>0</v>
      </c>
      <c r="P17" s="833">
        <f>SUM(C17:O17)</f>
        <v>129149</v>
      </c>
    </row>
    <row r="18">
      <c r="A18" s="740" t="inlineStr">
        <is>
          <t>その他負担金</t>
        </is>
      </c>
      <c r="C18" s="749" t="n">
        <v>0</v>
      </c>
      <c r="D18" s="749" t="n">
        <v>0</v>
      </c>
      <c r="E18" s="749" t="n">
        <v>0</v>
      </c>
      <c r="F18" s="749" t="n">
        <v>0</v>
      </c>
      <c r="G18" s="749" t="n">
        <v>0</v>
      </c>
      <c r="H18" s="749" t="n">
        <v>0</v>
      </c>
      <c r="I18" s="749" t="n">
        <v>0</v>
      </c>
      <c r="J18" s="749" t="n">
        <v>0</v>
      </c>
      <c r="K18" s="749" t="n">
        <v>0</v>
      </c>
      <c r="L18" s="749" t="n">
        <v>0</v>
      </c>
      <c r="M18" s="749" t="n">
        <v>0</v>
      </c>
      <c r="N18" s="749" t="n">
        <v>0</v>
      </c>
      <c r="O18" s="749" t="n">
        <v>0</v>
      </c>
      <c r="P18" s="833">
        <f>SUM(C18:O18)</f>
        <v>0</v>
      </c>
    </row>
    <row r="19">
      <c r="A19" s="740" t="inlineStr">
        <is>
          <t>連合会払込金</t>
        </is>
      </c>
      <c r="C19" s="749">
        <f>SUMIFS('旅費・事務費以外R８'!$H$44:$H$86,'旅費・事務費以外R８'!$J$44:$J$86,"確認済",'旅費・事務費以外R８'!$F$44:$F$86,"&gt;="&amp;DATE(年度+2018,4,1),'旅費・事務費以外R８'!$F$44:$F$86,"&lt;"&amp;DATE(年度+2018,5,1))</f>
        <v>0</v>
      </c>
      <c r="D19" s="749">
        <f>SUMIFS('旅費・事務費以外R８'!$H$44:$H$86,'旅費・事務費以外R８'!$J$44:$J$86,"確認済",'旅費・事務費以外R８'!$F$44:$F$86,"&gt;="&amp;DATE(年度+2018,5,1),'旅費・事務費以外R８'!$F$44:$F$86,"&lt;"&amp;DATE(年度+2018,6,1))</f>
        <v>0</v>
      </c>
      <c r="E19" s="749">
        <f>SUMIFS('旅費・事務費以外R８'!$H$44:$H$86,'旅費・事務費以外R８'!$J$44:$J$86,"確認済",'旅費・事務費以外R８'!$F$44:$F$86,"&gt;="&amp;DATE(年度+2018,6,1),'旅費・事務費以外R８'!$F$44:$F$86,"&lt;"&amp;DATE(年度+2018,7,1))</f>
        <v>0</v>
      </c>
      <c r="F19" s="749">
        <f>SUMIFS('旅費・事務費以外R８'!$H$44:$H$86,'旅費・事務費以外R８'!$J$44:$J$86,"確認済",'旅費・事務費以外R８'!$F$44:$F$86,"&gt;="&amp;DATE(年度+2018,7,1),'旅費・事務費以外R８'!$F$44:$F$86,"&lt;"&amp;DATE(年度+2018,8,1))</f>
        <v>0</v>
      </c>
      <c r="G19" s="749">
        <f>SUMIFS('旅費・事務費以外R８'!$H$44:$H$86,'旅費・事務費以外R８'!$J$44:$J$86,"確認済",'旅費・事務費以外R８'!$F$44:$F$86,"&gt;="&amp;DATE(年度+2018,8,1),'旅費・事務費以外R８'!$F$44:$F$86,"&lt;"&amp;DATE(年度+2018,9,1))</f>
        <v>0</v>
      </c>
      <c r="H19" s="749">
        <f>SUMIFS('旅費・事務費以外R８'!$H$44:$H$86,'旅費・事務費以外R８'!$J$44:$J$86,"確認済",'旅費・事務費以外R８'!$F$44:$F$86,"&gt;="&amp;DATE(年度+2018,9,1),'旅費・事務費以外R８'!$F$44:$F$86,"&lt;"&amp;DATE(年度+2018,10,1))</f>
        <v>0</v>
      </c>
      <c r="I19" s="749">
        <f>SUMIFS('旅費・事務費以外R８'!$H$44:$H$86,'旅費・事務費以外R８'!$J$44:$J$86,"確認済",'旅費・事務費以外R８'!$F$44:$F$86,"&gt;="&amp;DATE(年度+2018,10,1),'旅費・事務費以外R８'!$F$44:$F$86,"&lt;"&amp;DATE(年度+2018,11,1))</f>
        <v>0</v>
      </c>
      <c r="J19" s="749">
        <f>SUMIFS('旅費・事務費以外R８'!$H$44:$H$86,'旅費・事務費以外R８'!$J$44:$J$86,"確認済",'旅費・事務費以外R８'!$F$44:$F$86,"&gt;="&amp;DATE(年度+2018,11,1),'旅費・事務費以外R８'!$F$44:$F$86,"&lt;"&amp;DATE(年度+2018,12,1))</f>
        <v>0</v>
      </c>
      <c r="K19" s="749">
        <f>SUMIFS('旅費・事務費以外R８'!$H$44:$H$86,'旅費・事務費以外R８'!$J$44:$J$86,"確認済",'旅費・事務費以外R８'!$F$44:$F$86,"&gt;="&amp;DATE(年度+2018,12,1),'旅費・事務費以外R８'!$F$44:$F$86,"&lt;"&amp;DATE(年度+2019,1,1))</f>
        <v>0</v>
      </c>
      <c r="L19" s="749">
        <f>SUMIFS('旅費・事務費以外R８'!$H$44:$H$86,'旅費・事務費以外R８'!$J$44:$J$86,"確認済",'旅費・事務費以外R８'!$F$44:$F$86,"&gt;="&amp;DATE(年度+2019,1,1),'旅費・事務費以外R８'!$F$44:$F$86,"&lt;"&amp;DATE(年度+2019,2,1))</f>
        <v>0</v>
      </c>
      <c r="M19" s="749">
        <f>SUMIFS('旅費・事務費以外R８'!$H$44:$H$86,'旅費・事務費以外R８'!$J$44:$J$86,"確認済",'旅費・事務費以外R８'!$F$44:$F$86,"&gt;="&amp;DATE(年度+2019,2,1),'旅費・事務費以外R８'!$F$44:$F$86,"&lt;"&amp;DATE(年度+2019,3,1))</f>
        <v>0</v>
      </c>
      <c r="N19" s="749">
        <f>SUMIFS('旅費・事務費以外R８'!$H$44:$H$86,'旅費・事務費以外R８'!$J$44:$J$86,"確認済",'旅費・事務費以外R８'!$F$44:$F$86,"&gt;="&amp;DATE(年度+2019,3,1),'旅費・事務費以外R８'!$F$44:$F$86,"&lt;"&amp;DATE(年度+2019,4,1))</f>
        <v>0</v>
      </c>
      <c r="O19" s="749">
        <f>SUMIFS('旅費・事務費以外R８'!$H$44:$H$86,'旅費・事務費以外R８'!$J$44:$J$86,"確認済",'旅費・事務費以外R８'!$F$44:$F$86,"&gt;="&amp;DATE(年度+2019,4,1))</f>
        <v>0</v>
      </c>
      <c r="P19" s="833">
        <f>SUM(C19:O19)</f>
        <v>0</v>
      </c>
    </row>
    <row r="20">
      <c r="A20" s="740" t="inlineStr">
        <is>
          <t>雑費</t>
        </is>
      </c>
      <c r="C20" s="749">
        <f>SUMIFS('旅費・事務費以外R８'!$H$34:$H$41,'旅費・事務費以外R８'!$J$34:$J$41,"確認済",'旅費・事務費以外R８'!$F$34:$F$41,"&gt;="&amp;DATE(年度+2018,4,1),'旅費・事務費以外R８'!$F$34:$F$41,"&lt;"&amp;DATE(年度+2018,5,1))</f>
        <v>0</v>
      </c>
      <c r="D20" s="749">
        <f>SUMIFS('旅費・事務費以外R８'!$H$34:$H$41,'旅費・事務費以外R８'!$J$34:$J$41,"確認済",'旅費・事務費以外R８'!$F$34:$F$41,"&gt;="&amp;DATE(年度+2018,5,1),'旅費・事務費以外R８'!$F$34:$F$41,"&lt;"&amp;DATE(年度+2018,6,1))</f>
        <v>0</v>
      </c>
      <c r="E20" s="749">
        <f>SUMIFS('旅費・事務費以外R８'!$H$34:$H$41,'旅費・事務費以外R８'!$J$34:$J$41,"確認済",'旅費・事務費以外R８'!$F$34:$F$41,"&gt;="&amp;DATE(年度+2018,6,1),'旅費・事務費以外R８'!$F$34:$F$41,"&lt;"&amp;DATE(年度+2018,7,1))</f>
        <v>0</v>
      </c>
      <c r="F20" s="749">
        <f>SUMIFS('旅費・事務費以外R８'!$H$34:$H$41,'旅費・事務費以外R８'!$J$34:$J$41,"確認済",'旅費・事務費以外R８'!$F$34:$F$41,"&gt;="&amp;DATE(年度+2018,7,1),'旅費・事務費以外R８'!$F$34:$F$41,"&lt;"&amp;DATE(年度+2018,8,1))</f>
        <v>0</v>
      </c>
      <c r="G20" s="749">
        <f>SUMIFS('旅費・事務費以外R８'!$H$34:$H$41,'旅費・事務費以外R８'!$J$34:$J$41,"確認済",'旅費・事務費以外R８'!$F$34:$F$41,"&gt;="&amp;DATE(年度+2018,8,1),'旅費・事務費以外R８'!$F$34:$F$41,"&lt;"&amp;DATE(年度+2018,9,1))</f>
        <v>0</v>
      </c>
      <c r="H20" s="749">
        <f>SUMIFS('旅費・事務費以外R８'!$H$34:$H$41,'旅費・事務費以外R８'!$J$34:$J$41,"確認済",'旅費・事務費以外R８'!$F$34:$F$41,"&gt;="&amp;DATE(年度+2018,9,1),'旅費・事務費以外R８'!$F$34:$F$41,"&lt;"&amp;DATE(年度+2018,10,1))</f>
        <v>0</v>
      </c>
      <c r="I20" s="749">
        <f>SUMIFS('旅費・事務費以外R８'!$H$34:$H$41,'旅費・事務費以外R８'!$J$34:$J$41,"確認済",'旅費・事務費以外R８'!$F$34:$F$41,"&gt;="&amp;DATE(年度+2018,10,1),'旅費・事務費以外R８'!$F$34:$F$41,"&lt;"&amp;DATE(年度+2018,11,1))</f>
        <v>0</v>
      </c>
      <c r="J20" s="749">
        <f>SUMIFS('旅費・事務費以外R８'!$H$34:$H$41,'旅費・事務費以外R８'!$J$34:$J$41,"確認済",'旅費・事務費以外R８'!$F$34:$F$41,"&gt;="&amp;DATE(年度+2018,11,1),'旅費・事務費以外R８'!$F$34:$F$41,"&lt;"&amp;DATE(年度+2018,12,1))</f>
        <v>0</v>
      </c>
      <c r="K20" s="749">
        <f>SUMIFS('旅費・事務費以外R８'!$H$34:$H$41,'旅費・事務費以外R８'!$J$34:$J$41,"確認済",'旅費・事務費以外R８'!$F$34:$F$41,"&gt;="&amp;DATE(年度+2018,12,1),'旅費・事務費以外R８'!$F$34:$F$41,"&lt;"&amp;DATE(年度+2019,1,1))</f>
        <v>0</v>
      </c>
      <c r="L20" s="749">
        <f>SUMIFS('旅費・事務費以外R８'!$H$34:$H$41,'旅費・事務費以外R８'!$J$34:$J$41,"確認済",'旅費・事務費以外R８'!$F$34:$F$41,"&gt;="&amp;DATE(年度+2019,1,1),'旅費・事務費以外R８'!$F$34:$F$41,"&lt;"&amp;DATE(年度+2019,2,1))</f>
        <v>0</v>
      </c>
      <c r="M20" s="749">
        <f>SUMIFS('旅費・事務費以外R８'!$H$34:$H$41,'旅費・事務費以外R８'!$J$34:$J$41,"確認済",'旅費・事務費以外R８'!$F$34:$F$41,"&gt;="&amp;DATE(年度+2019,2,1),'旅費・事務費以外R８'!$F$34:$F$41,"&lt;"&amp;DATE(年度+2019,3,1))</f>
        <v>0</v>
      </c>
      <c r="N20" s="749">
        <f>SUMIFS('旅費・事務費以外R８'!$H$34:$H$41,'旅費・事務費以外R８'!$J$34:$J$41,"確認済",'旅費・事務費以外R８'!$F$34:$F$41,"&gt;="&amp;DATE(年度+2019,3,1),'旅費・事務費以外R８'!$F$34:$F$41,"&lt;"&amp;DATE(年度+2019,4,1))</f>
        <v>0</v>
      </c>
      <c r="O20" s="749">
        <f>SUMIFS('旅費・事務費以外R８'!$H$34:$H$41,'旅費・事務費以外R８'!$J$34:$J$41,"確認済",'旅費・事務費以外R８'!$F$34:$F$41,"&gt;="&amp;DATE(年度+2019,4,1))</f>
        <v>0</v>
      </c>
      <c r="P20" s="833">
        <f>SUM(C20:O20)</f>
        <v>0</v>
      </c>
    </row>
    <row r="21">
      <c r="A21" s="740" t="inlineStr">
        <is>
          <t>厚生年金保険料等（給与システム等からの手入力）</t>
        </is>
      </c>
      <c r="C21" s="969" t="n"/>
      <c r="D21" s="969" t="n"/>
      <c r="E21" s="969" t="n">
        <v>142650</v>
      </c>
      <c r="F21" s="969" t="n">
        <v>71325</v>
      </c>
      <c r="G21" s="969" t="n"/>
      <c r="H21" s="969" t="n">
        <v>71325</v>
      </c>
      <c r="I21" s="969" t="n"/>
      <c r="J21" s="969" t="n"/>
      <c r="K21" s="969" t="n"/>
      <c r="L21" s="969" t="n"/>
      <c r="M21" s="969" t="n"/>
      <c r="N21" s="969" t="n"/>
      <c r="O21" s="969" t="n"/>
      <c r="P21" s="833">
        <f>SUM(C21:O21)</f>
        <v>285300</v>
      </c>
    </row>
    <row r="22">
      <c r="A22" s="743" t="inlineStr">
        <is>
          <t>合計</t>
        </is>
      </c>
      <c r="C22" s="752">
        <f>SUM(C4:C21)</f>
        <v>4389</v>
      </c>
      <c r="D22" s="752">
        <f>SUM(D4:D21)</f>
        <v>162904</v>
      </c>
      <c r="E22" s="752">
        <f>SUM(E4:E21)</f>
        <v>234565</v>
      </c>
      <c r="F22" s="752">
        <f>SUM(F4:F21)</f>
        <v>287238</v>
      </c>
      <c r="G22" s="752">
        <f>SUM(G4:G21)</f>
        <v>450012</v>
      </c>
      <c r="H22" s="752">
        <f>SUM(H4:H21)</f>
        <v>325836</v>
      </c>
      <c r="I22" s="752">
        <f>SUM(I4:I21)</f>
        <v>85874</v>
      </c>
      <c r="J22" s="752">
        <f>SUM(J4:J21)</f>
        <v>0</v>
      </c>
      <c r="K22" s="752">
        <f>SUM(K4:K21)</f>
        <v>0</v>
      </c>
      <c r="L22" s="752">
        <f>SUM(L4:L21)</f>
        <v>0</v>
      </c>
      <c r="M22" s="752">
        <f>SUM(M4:M21)</f>
        <v>0</v>
      </c>
      <c r="N22" s="752">
        <f>SUM(N4:N21)</f>
        <v>0</v>
      </c>
      <c r="O22" s="752">
        <f>SUM(O4:O21)</f>
        <v>0</v>
      </c>
      <c r="P22" s="752">
        <f>SUM(P4:P21)</f>
        <v>1550818</v>
      </c>
    </row>
  </sheetData>
  <mergeCells count="1">
    <mergeCell ref="A1:P1"/>
  </mergeCells>
  <printOptions horizontalCentered="1"/>
  <pageMargins left="0.4" right="0.4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AM62"/>
  <sheetViews>
    <sheetView showGridLines="1" tabSelected="0" zoomScale="100" workbookViewId="0">
      <selection activeCell="A1" sqref="A1"/>
    </sheetView>
  </sheetViews>
  <sheetFormatPr baseColWidth="8" defaultRowHeight="15"/>
  <cols>
    <col width="2.87" customWidth="1" style="186" min="1" max="1"/>
    <col width="13.87" customWidth="1" style="186" min="2" max="2"/>
    <col width="9.619999999999999" customWidth="1" style="186" min="3" max="3"/>
    <col width="10.62" customWidth="1" style="186" min="5" max="5"/>
    <col width="9.619999999999999" customWidth="1" style="186" min="6" max="6"/>
    <col width="11.75" customWidth="1" style="186" min="8" max="8"/>
    <col width="9.619999999999999" customWidth="1" style="186" min="9" max="9"/>
    <col width="12.24" customWidth="1" style="186" min="15" max="15"/>
    <col width="11.12" customWidth="1" style="186" min="16" max="16"/>
    <col width="13.37" customWidth="1" style="186" min="17" max="17"/>
    <col width="10.62" customWidth="1" style="186" min="18" max="18"/>
    <col width="12.12" customWidth="1" style="186" min="20" max="20"/>
    <col width="10.87" customWidth="1" style="186" min="21" max="21"/>
    <col width="10.62" customWidth="1" style="186" min="22" max="22"/>
    <col width="8.869999999999999" customWidth="1" style="186" min="23" max="23"/>
    <col hidden="1" width="13" customWidth="1" style="186" min="24" max="24"/>
    <col hidden="1" outlineLevel="1" width="11" customWidth="1" style="186" min="27" max="39"/>
    <col width="11" customWidth="1" style="186" min="28" max="28"/>
    <col width="11" customWidth="1" style="186" min="29" max="29"/>
    <col width="11" customWidth="1" style="186" min="30" max="30"/>
    <col width="11" customWidth="1" style="186" min="31" max="31"/>
    <col width="11" customWidth="1" style="186" min="32" max="32"/>
    <col width="11" customWidth="1" style="186" min="33" max="33"/>
    <col width="11" customWidth="1" style="186" min="34" max="34"/>
    <col width="11" customWidth="1" style="186" min="35" max="35"/>
    <col width="11" customWidth="1" style="186" min="36" max="36"/>
    <col width="11" customWidth="1" style="186" min="37" max="37"/>
    <col width="11" customWidth="1" style="186" min="38" max="38"/>
    <col width="11" customWidth="1" style="186" min="39" max="39"/>
  </cols>
  <sheetData>
    <row r="1" ht="18" customHeight="1" s="186">
      <c r="B1" s="970" t="n"/>
      <c r="E1" s="971" t="n">
        <v>8</v>
      </c>
      <c r="G1" s="972" t="inlineStr">
        <is>
          <t>業務経理（長期・短期給付事務合計分）</t>
        </is>
      </c>
      <c r="H1" s="973" t="n"/>
      <c r="I1" s="972" t="n"/>
      <c r="J1" s="973" t="n"/>
      <c r="K1" s="973" t="n"/>
      <c r="L1" s="973" t="n"/>
      <c r="M1" s="973" t="n"/>
    </row>
    <row r="2" ht="18" customHeight="1" s="186">
      <c r="A2" s="974" t="inlineStr">
        <is>
          <t>費用</t>
        </is>
      </c>
      <c r="B2" s="975" t="n"/>
      <c r="C2" s="976" t="n">
        <v>1</v>
      </c>
      <c r="D2" s="976" t="n">
        <v>2</v>
      </c>
      <c r="E2" s="976" t="n">
        <v>3</v>
      </c>
      <c r="F2" s="976" t="n">
        <v>4</v>
      </c>
      <c r="G2" s="976" t="n">
        <v>5</v>
      </c>
      <c r="H2" s="976" t="n">
        <v>6</v>
      </c>
      <c r="I2" s="976" t="n">
        <v>7</v>
      </c>
      <c r="J2" s="976" t="n">
        <v>8</v>
      </c>
      <c r="K2" s="976" t="n">
        <v>9</v>
      </c>
      <c r="L2" s="976" t="n">
        <v>10</v>
      </c>
      <c r="M2" s="976" t="n">
        <v>11</v>
      </c>
      <c r="N2" s="976" t="n">
        <v>12</v>
      </c>
      <c r="O2" s="976" t="n">
        <v>13</v>
      </c>
      <c r="AA2" s="977" t="inlineStr">
        <is>
          <t>▼ 参考値（旧表の値：未締め月に表示される前年実績・見込）</t>
        </is>
      </c>
    </row>
    <row r="3" ht="18" customHeight="1" s="186">
      <c r="A3" s="978" t="inlineStr">
        <is>
          <t>支払月</t>
        </is>
      </c>
      <c r="B3" s="979" t="n"/>
      <c r="C3" s="978" t="inlineStr">
        <is>
          <t>４月支払</t>
        </is>
      </c>
      <c r="D3" s="978" t="inlineStr">
        <is>
          <t>５月</t>
        </is>
      </c>
      <c r="E3" s="978" t="inlineStr">
        <is>
          <t>６月</t>
        </is>
      </c>
      <c r="F3" s="978" t="inlineStr">
        <is>
          <t>７月</t>
        </is>
      </c>
      <c r="G3" s="978" t="inlineStr">
        <is>
          <t>８月</t>
        </is>
      </c>
      <c r="H3" s="978" t="inlineStr">
        <is>
          <t>９月</t>
        </is>
      </c>
      <c r="I3" s="978" t="inlineStr">
        <is>
          <t>１０月</t>
        </is>
      </c>
      <c r="J3" s="978" t="inlineStr">
        <is>
          <t>１１月</t>
        </is>
      </c>
      <c r="K3" s="978" t="inlineStr">
        <is>
          <t>１２月</t>
        </is>
      </c>
      <c r="L3" s="978" t="inlineStr">
        <is>
          <t>１月</t>
        </is>
      </c>
      <c r="M3" s="978" t="inlineStr">
        <is>
          <t>２月</t>
        </is>
      </c>
      <c r="N3" s="978" t="inlineStr">
        <is>
          <t>３月</t>
        </is>
      </c>
      <c r="O3" s="980" t="inlineStr">
        <is>
          <t>４月(未払）</t>
        </is>
      </c>
      <c r="P3" s="978" t="inlineStr">
        <is>
          <t>決算額</t>
        </is>
      </c>
      <c r="Q3" s="978" t="inlineStr">
        <is>
          <t>予算額</t>
        </is>
      </c>
      <c r="R3" s="978" t="inlineStr">
        <is>
          <t>流用振替額</t>
        </is>
      </c>
      <c r="S3" s="978" t="inlineStr">
        <is>
          <t>予算現額</t>
        </is>
      </c>
      <c r="T3" s="978" t="inlineStr">
        <is>
          <t>不用額</t>
        </is>
      </c>
      <c r="V3" s="737" t="inlineStr">
        <is>
          <t>締め月まで
累計</t>
        </is>
      </c>
      <c r="W3" s="737" t="inlineStr">
        <is>
          <t>予算残額
（現在）</t>
        </is>
      </c>
      <c r="X3" s="981" t="inlineStr">
        <is>
          <t>台帳連動</t>
        </is>
      </c>
      <c r="AA3" s="982" t="inlineStr">
        <is>
          <t>4月</t>
        </is>
      </c>
      <c r="AB3" s="982" t="inlineStr">
        <is>
          <t>5月</t>
        </is>
      </c>
      <c r="AC3" s="982" t="inlineStr">
        <is>
          <t>6月</t>
        </is>
      </c>
      <c r="AD3" s="982" t="inlineStr">
        <is>
          <t>7月</t>
        </is>
      </c>
      <c r="AE3" s="982" t="inlineStr">
        <is>
          <t>8月</t>
        </is>
      </c>
      <c r="AF3" s="982" t="inlineStr">
        <is>
          <t>9月</t>
        </is>
      </c>
      <c r="AG3" s="982" t="inlineStr">
        <is>
          <t>10月</t>
        </is>
      </c>
      <c r="AH3" s="982" t="inlineStr">
        <is>
          <t>11月</t>
        </is>
      </c>
      <c r="AI3" s="982" t="inlineStr">
        <is>
          <t>12月</t>
        </is>
      </c>
      <c r="AJ3" s="982" t="inlineStr">
        <is>
          <t>1月</t>
        </is>
      </c>
      <c r="AK3" s="982" t="inlineStr">
        <is>
          <t>2月</t>
        </is>
      </c>
      <c r="AL3" s="982" t="inlineStr">
        <is>
          <t>3月</t>
        </is>
      </c>
      <c r="AM3" s="982" t="inlineStr">
        <is>
          <t>4月(未払)</t>
        </is>
      </c>
    </row>
    <row r="4" ht="18" customHeight="1" s="186">
      <c r="A4" s="983" t="inlineStr">
        <is>
          <t>役員報酬</t>
        </is>
      </c>
      <c r="B4" s="979" t="n"/>
      <c r="C4" s="984">
        <f>SUM('R7業務（長）'!C4,'R7業務 (短)'!C4)</f>
        <v>0</v>
      </c>
      <c r="D4" s="984">
        <f>SUM('R7業務（長）'!D4,'R7業務 (短)'!D4)</f>
        <v>0</v>
      </c>
      <c r="E4" s="984">
        <f>SUM('R7業務（長）'!E4,'R7業務 (短)'!E4)</f>
        <v>22000</v>
      </c>
      <c r="F4" s="984">
        <f>SUM('R7業務（長）'!F4,'R7業務 (短)'!F4)</f>
        <v>0</v>
      </c>
      <c r="G4" s="984">
        <f>SUM('R7業務（長）'!G4,'R7業務 (短)'!G4)</f>
        <v>0</v>
      </c>
      <c r="H4" s="984">
        <f>SUM('R7業務（長）'!H4,'R7業務 (短)'!H4)</f>
        <v>0</v>
      </c>
      <c r="I4" s="984">
        <f>SUM('R7業務（長）'!I4,'R7業務 (短)'!I4)</f>
        <v>0</v>
      </c>
      <c r="J4" s="984">
        <f>SUM('R7業務（長）'!J4,'R7業務 (短)'!J4)</f>
        <v>0</v>
      </c>
      <c r="K4" s="984">
        <f>SUM('R7業務（長）'!K4,'R7業務 (短)'!K4)</f>
        <v>0</v>
      </c>
      <c r="L4" s="984">
        <f>SUM('R7業務（長）'!L4,'R7業務 (短)'!L4)</f>
        <v>0</v>
      </c>
      <c r="M4" s="984">
        <f>SUM('R7業務（長）'!M4,'R7業務 (短)'!M4)</f>
        <v>0</v>
      </c>
      <c r="N4" s="984">
        <f>SUM('R7業務（長）'!N4,'R7業務 (短)'!N4)</f>
        <v>11000</v>
      </c>
      <c r="O4" s="984">
        <f>SUM('R7業務（長）'!O4,'R7業務 (短)'!O4)</f>
        <v>0</v>
      </c>
      <c r="P4" s="985">
        <f>SUM(C4:O4)</f>
        <v>33000</v>
      </c>
      <c r="Q4" s="986">
        <f>SUM('R7業務（長）'!Q4,'R7業務 (短)'!Q4)</f>
        <v>33000</v>
      </c>
      <c r="R4" s="986">
        <f>SUM('R7業務（長）'!R4,'R7業務 (短)'!R4)</f>
        <v>0</v>
      </c>
      <c r="S4" s="986">
        <f>SUM('R7業務（長）'!S4,'R7業務 (短)'!S4)</f>
        <v>33000</v>
      </c>
      <c r="T4" s="985">
        <f>S4-P4</f>
        <v>0</v>
      </c>
      <c r="V4" s="987">
        <f>SUMIF($C$2:$N$2,"&lt;="&amp;締月,C4:N4)</f>
        <v>22000</v>
      </c>
      <c r="W4" s="987">
        <f>S4-V4</f>
        <v>11000</v>
      </c>
    </row>
    <row r="5" ht="18" customHeight="1" s="186">
      <c r="A5" s="988" t="inlineStr">
        <is>
          <t>職員給与</t>
        </is>
      </c>
      <c r="B5" s="989" t="inlineStr">
        <is>
          <t>基本給</t>
        </is>
      </c>
      <c r="C5" s="990">
        <f>SUM('R7業務（長）'!C5,'R7業務 (短)'!C5)</f>
        <v>0</v>
      </c>
      <c r="D5" s="990">
        <f>SUM('R7業務（長）'!D5,'R7業務 (短)'!D5)</f>
        <v>0</v>
      </c>
      <c r="E5" s="990">
        <f>SUM('R7業務（長）'!E5,'R7業務 (短)'!E5)</f>
        <v>0</v>
      </c>
      <c r="F5" s="990">
        <f>SUM('R7業務（長）'!F5,'R7業務 (短)'!F5)</f>
        <v>0</v>
      </c>
      <c r="G5" s="990">
        <f>SUM('R7業務（長）'!G5,'R7業務 (短)'!G5)</f>
        <v>0</v>
      </c>
      <c r="H5" s="990">
        <f>SUM('R7業務（長）'!H5,'R7業務 (短)'!H5)</f>
        <v>0</v>
      </c>
      <c r="I5" s="990">
        <f>SUM('R7業務（長）'!I5,'R7業務 (短)'!I5)</f>
        <v>0</v>
      </c>
      <c r="J5" s="990">
        <f>SUM('R7業務（長）'!J5,'R7業務 (短)'!J5)</f>
        <v>0</v>
      </c>
      <c r="K5" s="990">
        <f>SUM('R7業務（長）'!K5,'R7業務 (短)'!K5)</f>
        <v>0</v>
      </c>
      <c r="L5" s="990">
        <f>SUM('R7業務（長）'!L5,'R7業務 (短)'!L5)</f>
        <v>0</v>
      </c>
      <c r="M5" s="990">
        <f>SUM('R7業務（長）'!M5,'R7業務 (短)'!M5)</f>
        <v>0</v>
      </c>
      <c r="N5" s="990">
        <f>SUM('R7業務（長）'!N5,'R7業務 (短)'!N5)</f>
        <v>0</v>
      </c>
      <c r="O5" s="990">
        <f>SUM('R7業務（長）'!O5,'R7業務 (短)'!O5)</f>
        <v>0</v>
      </c>
      <c r="P5" s="991">
        <f>SUM(C5:O5)</f>
        <v>0</v>
      </c>
      <c r="Q5" s="990">
        <f>SUM('R7業務（長）'!Q5,'R7業務 (短)'!Q5)</f>
        <v>0</v>
      </c>
      <c r="R5" s="990">
        <f>SUM('R7業務（長）'!R5,'R7業務 (短)'!R5)</f>
        <v>0</v>
      </c>
      <c r="S5" s="990">
        <f>SUM('R7業務（長）'!S5,'R7業務 (短)'!S5)</f>
        <v>0</v>
      </c>
      <c r="T5" s="991">
        <f>S5-P5</f>
        <v>0</v>
      </c>
      <c r="V5" s="987">
        <f>SUMIF($C$2:$N$2,"&lt;="&amp;締月,C5:N5)</f>
        <v>0</v>
      </c>
      <c r="W5" s="987">
        <f>S5-V5</f>
        <v>0</v>
      </c>
    </row>
    <row r="6" ht="18" customHeight="1" s="186">
      <c r="A6" s="992" t="n"/>
      <c r="B6" s="993" t="inlineStr">
        <is>
          <t>諸手当</t>
        </is>
      </c>
      <c r="C6" s="994">
        <f>SUM('R7業務（長）'!C6,'R7業務 (短)'!C6)</f>
        <v>0</v>
      </c>
      <c r="D6" s="994">
        <f>SUM('R7業務（長）'!D6,'R7業務 (短)'!D6)</f>
        <v>0</v>
      </c>
      <c r="E6" s="994">
        <f>SUM('R7業務（長）'!E6,'R7業務 (短)'!E6)</f>
        <v>0</v>
      </c>
      <c r="F6" s="994">
        <f>SUM('R7業務（長）'!F6,'R7業務 (短)'!F6)</f>
        <v>0</v>
      </c>
      <c r="G6" s="994">
        <f>SUM('R7業務（長）'!G6,'R7業務 (短)'!G6)</f>
        <v>0</v>
      </c>
      <c r="H6" s="994">
        <f>SUM('R7業務（長）'!H6,'R7業務 (短)'!H6)</f>
        <v>0</v>
      </c>
      <c r="I6" s="994">
        <f>SUM('R7業務（長）'!I6,'R7業務 (短)'!I6)</f>
        <v>0</v>
      </c>
      <c r="J6" s="994">
        <f>SUM('R7業務（長）'!J6,'R7業務 (短)'!J6)</f>
        <v>0</v>
      </c>
      <c r="K6" s="994">
        <f>SUM('R7業務（長）'!K6,'R7業務 (短)'!K6)</f>
        <v>0</v>
      </c>
      <c r="L6" s="994">
        <f>SUM('R7業務（長）'!L6,'R7業務 (短)'!L6)</f>
        <v>0</v>
      </c>
      <c r="M6" s="994">
        <f>SUM('R7業務（長）'!M6,'R7業務 (短)'!M6)</f>
        <v>0</v>
      </c>
      <c r="N6" s="994">
        <f>SUM('R7業務（長）'!N6,'R7業務 (短)'!N6)</f>
        <v>0</v>
      </c>
      <c r="O6" s="994">
        <f>SUM('R7業務（長）'!O6,'R7業務 (短)'!O6)</f>
        <v>0</v>
      </c>
      <c r="P6" s="995">
        <f>SUM(C6:O6)</f>
        <v>0</v>
      </c>
      <c r="Q6" s="994">
        <f>SUM('R7業務（長）'!Q6,'R7業務 (短)'!Q6)</f>
        <v>0</v>
      </c>
      <c r="R6" s="994">
        <f>SUM('R7業務（長）'!R6,'R7業務 (短)'!R6)</f>
        <v>0</v>
      </c>
      <c r="S6" s="994">
        <f>SUM('R7業務（長）'!S6,'R7業務 (短)'!S6)</f>
        <v>0</v>
      </c>
      <c r="T6" s="995">
        <f>S6-P6</f>
        <v>0</v>
      </c>
      <c r="V6" s="987">
        <f>SUMIF($C$2:$N$2,"&lt;="&amp;締月,C6:N6)</f>
        <v>0</v>
      </c>
      <c r="W6" s="987">
        <f>S6-V6</f>
        <v>0</v>
      </c>
    </row>
    <row r="7" ht="18" customHeight="1" s="186">
      <c r="A7" s="992" t="n"/>
      <c r="B7" s="996" t="inlineStr">
        <is>
          <t>非常勤職員手当</t>
        </is>
      </c>
      <c r="C7" s="994">
        <f>SUM('R7業務（長）'!C7,'R7業務 (短)'!C7)</f>
        <v>698140</v>
      </c>
      <c r="D7" s="994">
        <f>SUM('R7業務（長）'!D7,'R7業務 (短)'!D7)</f>
        <v>629236</v>
      </c>
      <c r="E7" s="994">
        <f>SUM('R7業務（長）'!E7,'R7業務 (短)'!E7)</f>
        <v>1946789</v>
      </c>
      <c r="F7" s="994">
        <f>SUM('R7業務（長）'!F7,'R7業務 (短)'!F7)</f>
        <v>637508</v>
      </c>
      <c r="G7" s="994">
        <f>SUM('R7業務（長）'!G7,'R7業務 (短)'!G7)</f>
        <v>625100</v>
      </c>
      <c r="H7" s="994">
        <f>SUM('R7業務（長）'!H7,'R7業務 (短)'!H7)</f>
        <v>639576</v>
      </c>
      <c r="I7" s="994">
        <f>SUM('R7業務（長）'!I7,'R7業務 (短)'!I7)</f>
        <v>764882</v>
      </c>
      <c r="J7" s="994">
        <f>SUM('R7業務（長）'!J7,'R7業務 (短)'!J7)</f>
        <v>609611</v>
      </c>
      <c r="K7" s="994">
        <f>SUM('R7業務（長）'!K7,'R7業務 (短)'!K7)</f>
        <v>1912393</v>
      </c>
      <c r="L7" s="994">
        <f>SUM('R7業務（長）'!L7,'R7業務 (短)'!L7)</f>
        <v>623876</v>
      </c>
      <c r="M7" s="994">
        <f>SUM('R7業務（長）'!M7,'R7業務 (短)'!M7)</f>
        <v>627946</v>
      </c>
      <c r="N7" s="994">
        <f>SUM('R7業務（長）'!N7,'R7業務 (短)'!N7)</f>
        <v>699347</v>
      </c>
      <c r="O7" s="994">
        <f>SUM('R7業務（長）'!O7,'R7業務 (短)'!O7)</f>
        <v>42640</v>
      </c>
      <c r="P7" s="995">
        <f>SUM(C7:O7)</f>
        <v>10457044</v>
      </c>
      <c r="Q7" s="994">
        <f>SUM('R7業務（長）'!Q7,'R7業務 (短)'!Q7)</f>
        <v>11834000</v>
      </c>
      <c r="R7" s="994">
        <f>SUM('R7業務（長）'!R7,'R7業務 (短)'!R7)</f>
        <v>0</v>
      </c>
      <c r="S7" s="994">
        <f>SUM('R7業務（長）'!S7,'R7業務 (短)'!S7)</f>
        <v>11834000</v>
      </c>
      <c r="T7" s="995">
        <f>S7-P7</f>
        <v>1376956</v>
      </c>
      <c r="V7" s="987">
        <f>SUMIF($C$2:$N$2,"&lt;="&amp;締月,C7:N7)</f>
        <v>5176349</v>
      </c>
      <c r="W7" s="987">
        <f>S7-V7</f>
        <v>6657651</v>
      </c>
    </row>
    <row r="8" ht="18" customHeight="1" s="186">
      <c r="A8" s="992" t="n"/>
      <c r="B8" s="997" t="inlineStr">
        <is>
          <t>退職給与金</t>
        </is>
      </c>
      <c r="C8" s="998">
        <f>SUM('R7業務（長）'!C8,'R7業務 (短)'!C8)</f>
        <v>0</v>
      </c>
      <c r="D8" s="998">
        <f>SUM('R7業務（長）'!D8,'R7業務 (短)'!D8)</f>
        <v>0</v>
      </c>
      <c r="E8" s="998">
        <f>SUM('R7業務（長）'!E8,'R7業務 (短)'!E8)</f>
        <v>0</v>
      </c>
      <c r="F8" s="998">
        <f>SUM('R7業務（長）'!F8,'R7業務 (短)'!F8)</f>
        <v>0</v>
      </c>
      <c r="G8" s="998">
        <f>SUM('R7業務（長）'!G8,'R7業務 (短)'!G8)</f>
        <v>0</v>
      </c>
      <c r="H8" s="998">
        <f>SUM('R7業務（長）'!H8,'R7業務 (短)'!H8)</f>
        <v>0</v>
      </c>
      <c r="I8" s="998">
        <f>SUM('R7業務（長）'!I8,'R7業務 (短)'!I8)</f>
        <v>0</v>
      </c>
      <c r="J8" s="998">
        <f>SUM('R7業務（長）'!J8,'R7業務 (短)'!J8)</f>
        <v>0</v>
      </c>
      <c r="K8" s="998">
        <f>SUM('R7業務（長）'!K8,'R7業務 (短)'!K8)</f>
        <v>0</v>
      </c>
      <c r="L8" s="998">
        <f>SUM('R7業務（長）'!L8,'R7業務 (短)'!L8)</f>
        <v>0</v>
      </c>
      <c r="M8" s="998">
        <f>SUM('R7業務（長）'!M8,'R7業務 (短)'!M8)</f>
        <v>0</v>
      </c>
      <c r="N8" s="998">
        <f>SUM('R7業務（長）'!N8,'R7業務 (短)'!N8)</f>
        <v>0</v>
      </c>
      <c r="O8" s="998">
        <f>SUM('R7業務（長）'!O8,'R7業務 (短)'!O8)</f>
        <v>0</v>
      </c>
      <c r="P8" s="999">
        <f>SUM(C8:O8)</f>
        <v>0</v>
      </c>
      <c r="Q8" s="994">
        <f>SUM('R7業務（長）'!Q8,'R7業務 (短)'!Q8)</f>
        <v>0</v>
      </c>
      <c r="R8" s="994">
        <f>SUM('R7業務（長）'!R8,'R7業務 (短)'!R8)</f>
        <v>0</v>
      </c>
      <c r="S8" s="994">
        <f>SUM('R7業務（長）'!S8,'R7業務 (短)'!S8)</f>
        <v>0</v>
      </c>
      <c r="T8" s="999">
        <f>S8-P8</f>
        <v>0</v>
      </c>
      <c r="V8" s="987">
        <f>SUMIF($C$2:$N$2,"&lt;="&amp;締月,C8:N8)</f>
        <v>0</v>
      </c>
      <c r="W8" s="987">
        <f>S8-V8</f>
        <v>0</v>
      </c>
    </row>
    <row r="9" ht="18" customHeight="1" s="186">
      <c r="A9" s="1000" t="n"/>
      <c r="B9" s="1001" t="inlineStr">
        <is>
          <t>計</t>
        </is>
      </c>
      <c r="C9" s="1002">
        <f>SUM(C5:C8)</f>
        <v>698140</v>
      </c>
      <c r="D9" s="1002">
        <f>SUM(D5:D8)</f>
        <v>629236</v>
      </c>
      <c r="E9" s="1002">
        <f>SUM(E5:E8)</f>
        <v>1946789</v>
      </c>
      <c r="F9" s="1002">
        <f>SUM(F5:F8)</f>
        <v>637508</v>
      </c>
      <c r="G9" s="1002">
        <f>SUM(G5:G8)</f>
        <v>625100</v>
      </c>
      <c r="H9" s="1002">
        <f>SUM(H5:H8)</f>
        <v>639576</v>
      </c>
      <c r="I9" s="1002">
        <f>SUM(I5:I8)</f>
        <v>764882</v>
      </c>
      <c r="J9" s="1002">
        <f>SUM(J5:J8)</f>
        <v>609611</v>
      </c>
      <c r="K9" s="1002">
        <f>SUM(K5:K8)</f>
        <v>1912393</v>
      </c>
      <c r="L9" s="1002">
        <f>SUM(L5:L8)</f>
        <v>623876</v>
      </c>
      <c r="M9" s="1002">
        <f>SUM(M5:M8)</f>
        <v>627946</v>
      </c>
      <c r="N9" s="1002">
        <f>SUM(N5:N8)</f>
        <v>699347</v>
      </c>
      <c r="O9" s="1002">
        <f>SUM(O5:O8)</f>
        <v>42640</v>
      </c>
      <c r="P9" s="985">
        <f>SUM(P5:P8)</f>
        <v>10457044</v>
      </c>
      <c r="Q9" s="985">
        <f>SUM(Q5:Q8)</f>
        <v>11834000</v>
      </c>
      <c r="R9" s="985">
        <f>SUM(R5:R8)</f>
        <v>0</v>
      </c>
      <c r="S9" s="985">
        <f>SUM(S5:S8)</f>
        <v>11834000</v>
      </c>
      <c r="T9" s="985">
        <f>S9-P9</f>
        <v>1376956</v>
      </c>
      <c r="V9" s="1003">
        <f>SUMIF($C$2:$N$2,"&lt;="&amp;締月,C9:N9)</f>
        <v>5176349</v>
      </c>
      <c r="W9" s="1003">
        <f>S9-V9</f>
        <v>6657651</v>
      </c>
    </row>
    <row r="10" ht="18" customHeight="1" s="186">
      <c r="A10" s="1004" t="inlineStr">
        <is>
          <t>厚生費</t>
        </is>
      </c>
      <c r="B10" s="979" t="n"/>
      <c r="C10" s="984">
        <f>SUM('R7業務（長）'!C10,'R7業務 (短)'!C10)</f>
        <v>0</v>
      </c>
      <c r="D10" s="984">
        <f>SUM('R7業務（長）'!D10,'R7業務 (短)'!D10)</f>
        <v>0</v>
      </c>
      <c r="E10" s="984">
        <f>SUM('R7業務（長）'!E10,'R7業務 (短)'!E10)</f>
        <v>0</v>
      </c>
      <c r="F10" s="984">
        <f>SUM('R7業務（長）'!F10,'R7業務 (短)'!F10)</f>
        <v>0</v>
      </c>
      <c r="G10" s="984">
        <f>SUM('R7業務（長）'!G10,'R7業務 (短)'!G10)</f>
        <v>1980</v>
      </c>
      <c r="H10" s="984">
        <f>SUM('R7業務（長）'!H10,'R7業務 (短)'!H10)</f>
        <v>16874</v>
      </c>
      <c r="I10" s="984">
        <f>SUM('R7業務（長）'!I10,'R7業務 (短)'!I10)</f>
        <v>0</v>
      </c>
      <c r="J10" s="984">
        <f>SUM('R7業務（長）'!J10,'R7業務 (短)'!J10)</f>
        <v>0</v>
      </c>
      <c r="K10" s="984">
        <f>SUM('R7業務（長）'!K10,'R7業務 (短)'!K10)</f>
        <v>0</v>
      </c>
      <c r="L10" s="984">
        <f>SUM('R7業務（長）'!L10,'R7業務 (短)'!L10)</f>
        <v>0</v>
      </c>
      <c r="M10" s="984">
        <f>SUM('R7業務（長）'!M10,'R7業務 (短)'!M10)</f>
        <v>0</v>
      </c>
      <c r="N10" s="984">
        <f>SUM('R7業務（長）'!N10,'R7業務 (短)'!N10)</f>
        <v>0</v>
      </c>
      <c r="O10" s="984">
        <f>SUM('R7業務（長）'!O10,'R7業務 (短)'!O10)</f>
        <v>0</v>
      </c>
      <c r="P10" s="985">
        <f>SUM(C10:O10)</f>
        <v>18854</v>
      </c>
      <c r="Q10" s="986">
        <f>SUM('R7業務（長）'!Q10,'R7業務 (短)'!Q10)</f>
        <v>87000</v>
      </c>
      <c r="R10" s="986">
        <f>SUM('R7業務（長）'!R10,'R7業務 (短)'!R10)</f>
        <v>0</v>
      </c>
      <c r="S10" s="986">
        <f>SUM('R7業務（長）'!S10,'R7業務 (短)'!S10)</f>
        <v>87000</v>
      </c>
      <c r="T10" s="985">
        <f>S10-P10</f>
        <v>68146</v>
      </c>
      <c r="V10" s="987">
        <f>SUMIF($C$2:$N$2,"&lt;="&amp;締月,C10:N10)</f>
        <v>18854</v>
      </c>
      <c r="W10" s="987">
        <f>S10-V10</f>
        <v>68146</v>
      </c>
    </row>
    <row r="11" ht="18" customHeight="1" s="186">
      <c r="A11" s="983" t="inlineStr">
        <is>
          <t>旅費</t>
        </is>
      </c>
      <c r="B11" s="979" t="n"/>
      <c r="C11" s="984">
        <f>SUM('R7業務（長）'!C11,'R7業務 (短)'!C11)</f>
        <v>0</v>
      </c>
      <c r="D11" s="984">
        <f>SUM('R7業務（長）'!D11,'R7業務 (短)'!D11)</f>
        <v>0</v>
      </c>
      <c r="E11" s="984">
        <f>SUM('R7業務（長）'!E11,'R7業務 (短)'!E11)</f>
        <v>82920</v>
      </c>
      <c r="F11" s="984">
        <f>SUM('R7業務（長）'!F11,'R7業務 (短)'!F11)</f>
        <v>0</v>
      </c>
      <c r="G11" s="984">
        <f>SUM('R7業務（長）'!G11,'R7業務 (短)'!G11)</f>
        <v>60780</v>
      </c>
      <c r="H11" s="984">
        <f>SUM('R7業務（長）'!H11,'R7業務 (短)'!H11)</f>
        <v>0</v>
      </c>
      <c r="I11" s="984">
        <f>SUM('R7業務（長）'!I11,'R7業務 (短)'!I11)</f>
        <v>0</v>
      </c>
      <c r="J11" s="984">
        <f>SUM('R7業務（長）'!J11,'R7業務 (短)'!J11)</f>
        <v>38940</v>
      </c>
      <c r="K11" s="984">
        <f>SUM('R7業務（長）'!K11,'R7業務 (短)'!K11)</f>
        <v>80902</v>
      </c>
      <c r="L11" s="984">
        <f>SUM('R7業務（長）'!L11,'R7業務 (短)'!L11)</f>
        <v>0</v>
      </c>
      <c r="M11" s="984">
        <f>SUM('R7業務（長）'!M11,'R7業務 (短)'!M11)</f>
        <v>39340</v>
      </c>
      <c r="N11" s="984">
        <f>SUM('R7業務（長）'!N11,'R7業務 (短)'!N11)</f>
        <v>0</v>
      </c>
      <c r="O11" s="984">
        <f>SUM('R7業務（長）'!O11,'R7業務 (短)'!O11)</f>
        <v>0</v>
      </c>
      <c r="P11" s="985">
        <f>SUM(C11:O11)</f>
        <v>302882</v>
      </c>
      <c r="Q11" s="986">
        <f>SUM('R7業務（長）'!Q11,'R7業務 (短)'!Q11)</f>
        <v>697000</v>
      </c>
      <c r="R11" s="986">
        <f>SUM('R7業務（長）'!R11,'R7業務 (短)'!R11)</f>
        <v>0</v>
      </c>
      <c r="S11" s="986">
        <f>SUM('R7業務（長）'!S11,'R7業務 (短)'!S11)</f>
        <v>697000</v>
      </c>
      <c r="T11" s="985">
        <f>S11-P11</f>
        <v>394118</v>
      </c>
      <c r="V11" s="987">
        <f>SUMIF($C$2:$N$2,"&lt;="&amp;締月,C11:N11)</f>
        <v>143700</v>
      </c>
      <c r="W11" s="987">
        <f>S11-V11</f>
        <v>553300</v>
      </c>
    </row>
    <row r="12" ht="18" customHeight="1" s="186">
      <c r="A12" s="1005" t="inlineStr">
        <is>
          <t>事務費</t>
        </is>
      </c>
      <c r="B12" s="989" t="inlineStr">
        <is>
          <t>事務用消耗品費</t>
        </is>
      </c>
      <c r="C12" s="990">
        <f>SUM('R7業務（長）'!C12,'R7業務 (短)'!C12)</f>
        <v>29260</v>
      </c>
      <c r="D12" s="990">
        <f>SUM('R7業務（長）'!D12,'R7業務 (短)'!D12)</f>
        <v>72448</v>
      </c>
      <c r="E12" s="990">
        <f>SUM('R7業務（長）'!E12,'R7業務 (短)'!E12)</f>
        <v>91498</v>
      </c>
      <c r="F12" s="990">
        <f>SUM('R7業務（長）'!F12,'R7業務 (短)'!F12)</f>
        <v>0</v>
      </c>
      <c r="G12" s="990">
        <f>SUM('R7業務（長）'!G12,'R7業務 (短)'!G12)</f>
        <v>131903</v>
      </c>
      <c r="H12" s="990">
        <f>SUM('R7業務（長）'!H12,'R7業務 (短)'!H12)</f>
        <v>45203</v>
      </c>
      <c r="I12" s="990">
        <f>SUM('R7業務（長）'!I12,'R7業務 (短)'!I12)</f>
        <v>147320</v>
      </c>
      <c r="J12" s="990">
        <f>SUM('R7業務（長）'!J12,'R7業務 (短)'!J12)</f>
        <v>417870</v>
      </c>
      <c r="K12" s="990">
        <f>SUM('R7業務（長）'!K12,'R7業務 (短)'!K12)</f>
        <v>62330</v>
      </c>
      <c r="L12" s="990">
        <f>SUM('R7業務（長）'!L12,'R7業務 (短)'!L12)</f>
        <v>143574</v>
      </c>
      <c r="M12" s="990">
        <f>SUM('R7業務（長）'!M12,'R7業務 (短)'!M12)</f>
        <v>49487</v>
      </c>
      <c r="N12" s="990">
        <f>SUM('R7業務（長）'!N12,'R7業務 (短)'!N12)</f>
        <v>180694</v>
      </c>
      <c r="O12" s="990">
        <f>SUM('R7業務（長）'!O12,'R7業務 (短)'!O12)</f>
        <v>199581</v>
      </c>
      <c r="P12" s="991">
        <f>SUM(C12:O12)</f>
        <v>1571168</v>
      </c>
      <c r="Q12" s="990">
        <f>SUM('R7業務（長）'!Q12,'R7業務 (短)'!Q12)</f>
        <v>2117000</v>
      </c>
      <c r="R12" s="990">
        <f>SUM('R7業務（長）'!R12,'R7業務 (短)'!R12)</f>
        <v>0</v>
      </c>
      <c r="S12" s="990">
        <f>SUM('R7業務（長）'!S12,'R7業務 (短)'!S12)</f>
        <v>2117000</v>
      </c>
      <c r="T12" s="991">
        <f>S12-P12</f>
        <v>545832</v>
      </c>
      <c r="V12" s="987">
        <f>SUMIF($C$2:$N$2,"&lt;="&amp;締月,C12:N12)</f>
        <v>370312</v>
      </c>
      <c r="W12" s="987">
        <f>S12-V12</f>
        <v>1746688</v>
      </c>
    </row>
    <row r="13" ht="18" customHeight="1" s="186">
      <c r="A13" s="992" t="n"/>
      <c r="B13" s="993" t="inlineStr">
        <is>
          <t>図書印刷費</t>
        </is>
      </c>
      <c r="C13" s="994">
        <f>SUM('R7業務（長）'!C13,'R7業務 (短)'!C13)</f>
        <v>99220</v>
      </c>
      <c r="D13" s="994">
        <f>SUM('R7業務（長）'!D13,'R7業務 (短)'!D13)</f>
        <v>33154</v>
      </c>
      <c r="E13" s="994">
        <f>SUM('R7業務（長）'!E13,'R7業務 (短)'!E13)</f>
        <v>50754</v>
      </c>
      <c r="F13" s="994">
        <f>SUM('R7業務（長）'!F13,'R7業務 (短)'!F13)</f>
        <v>33154</v>
      </c>
      <c r="G13" s="994">
        <f>SUM('R7業務（長）'!G13,'R7業務 (短)'!G13)</f>
        <v>271964</v>
      </c>
      <c r="H13" s="994">
        <f>SUM('R7業務（長）'!H13,'R7業務 (短)'!H13)</f>
        <v>434830</v>
      </c>
      <c r="I13" s="994">
        <f>SUM('R7業務（長）'!I13,'R7業務 (短)'!I13)</f>
        <v>48619</v>
      </c>
      <c r="J13" s="994">
        <f>SUM('R7業務（長）'!J13,'R7業務 (短)'!J13)</f>
        <v>260854</v>
      </c>
      <c r="K13" s="994">
        <f>SUM('R7業務（長）'!K13,'R7業務 (短)'!K13)</f>
        <v>336393</v>
      </c>
      <c r="L13" s="994">
        <f>SUM('R7業務（長）'!L13,'R7業務 (短)'!L13)</f>
        <v>55204</v>
      </c>
      <c r="M13" s="994">
        <f>SUM('R7業務（長）'!M13,'R7業務 (短)'!M13)</f>
        <v>59554</v>
      </c>
      <c r="N13" s="994">
        <f>SUM('R7業務（長）'!N13,'R7業務 (短)'!N13)</f>
        <v>192065</v>
      </c>
      <c r="O13" s="994">
        <f>SUM('R7業務（長）'!O13,'R7業務 (短)'!O13)</f>
        <v>116600</v>
      </c>
      <c r="P13" s="995">
        <f>SUM(C13:O13)</f>
        <v>1992365</v>
      </c>
      <c r="Q13" s="994">
        <f>SUM('R7業務（長）'!Q13,'R7業務 (短)'!Q13)</f>
        <v>1934000</v>
      </c>
      <c r="R13" s="994">
        <f>SUM('R7業務（長）'!R13,'R7業務 (短)'!R13)</f>
        <v>0</v>
      </c>
      <c r="S13" s="994">
        <f>SUM('R7業務（長）'!S13,'R7業務 (短)'!S13)</f>
        <v>1934000</v>
      </c>
      <c r="T13" s="995">
        <f>S13-P13</f>
        <v>-58365</v>
      </c>
      <c r="U13" s="944" t="inlineStr">
        <is>
          <t xml:space="preserve">          </t>
        </is>
      </c>
      <c r="V13" s="987">
        <f>SUMIF($C$2:$N$2,"&lt;="&amp;締月,C13:N13)</f>
        <v>923076</v>
      </c>
      <c r="W13" s="987">
        <f>S13-V13</f>
        <v>1010924</v>
      </c>
    </row>
    <row r="14" ht="18" customHeight="1" s="186">
      <c r="A14" s="992" t="n"/>
      <c r="B14" s="993" t="inlineStr">
        <is>
          <t>送金料</t>
        </is>
      </c>
      <c r="C14" s="994">
        <f>SUM('R7業務（長）'!C14,'R7業務 (短)'!C14)</f>
        <v>0</v>
      </c>
      <c r="D14" s="994">
        <f>SUM('R7業務（長）'!D14,'R7業務 (短)'!D14)</f>
        <v>267395</v>
      </c>
      <c r="E14" s="994">
        <f>SUM('R7業務（長）'!E14,'R7業務 (短)'!E14)</f>
        <v>164037</v>
      </c>
      <c r="F14" s="994">
        <f>SUM('R7業務（長）'!F14,'R7業務 (短)'!F14)</f>
        <v>157952</v>
      </c>
      <c r="G14" s="994">
        <f>SUM('R7業務（長）'!G14,'R7業務 (短)'!G14)</f>
        <v>171747</v>
      </c>
      <c r="H14" s="994">
        <f>SUM('R7業務（長）'!H14,'R7業務 (短)'!H14)</f>
        <v>177532</v>
      </c>
      <c r="I14" s="994">
        <f>SUM('R7業務（長）'!I14,'R7業務 (短)'!I14)</f>
        <v>186538</v>
      </c>
      <c r="J14" s="994">
        <f>SUM('R7業務（長）'!J14,'R7業務 (短)'!J14)</f>
        <v>174104</v>
      </c>
      <c r="K14" s="994">
        <f>SUM('R7業務（長）'!K14,'R7業務 (短)'!K14)</f>
        <v>162253</v>
      </c>
      <c r="L14" s="994">
        <f>SUM('R7業務（長）'!L14,'R7業務 (短)'!L14)</f>
        <v>172370</v>
      </c>
      <c r="M14" s="994">
        <f>SUM('R7業務（長）'!M14,'R7業務 (短)'!M14)</f>
        <v>172976</v>
      </c>
      <c r="N14" s="994">
        <f>SUM('R7業務（長）'!N14,'R7業務 (短)'!N14)</f>
        <v>162737</v>
      </c>
      <c r="O14" s="994">
        <f>SUM('R7業務（長）'!O14,'R7業務 (短)'!O14)</f>
        <v>165455</v>
      </c>
      <c r="P14" s="995">
        <f>SUM(C14:O14)</f>
        <v>2135096</v>
      </c>
      <c r="Q14" s="994">
        <f>SUM('R7業務（長）'!Q14,'R7業務 (短)'!Q14)</f>
        <v>2101000</v>
      </c>
      <c r="R14" s="994">
        <f>SUM('R7業務（長）'!R14,'R7業務 (短)'!R14)</f>
        <v>0</v>
      </c>
      <c r="S14" s="994">
        <f>SUM('R7業務（長）'!S14,'R7業務 (短)'!S14)</f>
        <v>2101000</v>
      </c>
      <c r="T14" s="995">
        <f>S14-P14</f>
        <v>-34096</v>
      </c>
      <c r="V14" s="987">
        <f>SUMIF($C$2:$N$2,"&lt;="&amp;締月,C14:N14)</f>
        <v>938663</v>
      </c>
      <c r="W14" s="987">
        <f>S14-V14</f>
        <v>1162337</v>
      </c>
    </row>
    <row r="15" ht="18" customHeight="1" s="186">
      <c r="A15" s="992" t="n"/>
      <c r="B15" s="993" t="inlineStr">
        <is>
          <t>通信運搬費</t>
        </is>
      </c>
      <c r="C15" s="994">
        <f>SUM('R7業務（長）'!C15,'R7業務 (短)'!C15)</f>
        <v>0</v>
      </c>
      <c r="D15" s="994">
        <f>SUM('R7業務（長）'!D15,'R7業務 (短)'!D15)</f>
        <v>343276</v>
      </c>
      <c r="E15" s="994">
        <f>SUM('R7業務（長）'!E15,'R7業務 (短)'!E15)</f>
        <v>70603</v>
      </c>
      <c r="F15" s="994">
        <f>SUM('R7業務（長）'!F15,'R7業務 (短)'!F15)</f>
        <v>1560523</v>
      </c>
      <c r="G15" s="994">
        <f>SUM('R7業務（長）'!G15,'R7業務 (短)'!G15)</f>
        <v>102819</v>
      </c>
      <c r="H15" s="994">
        <f>SUM('R7業務（長）'!H15,'R7業務 (短)'!H15)</f>
        <v>109815</v>
      </c>
      <c r="I15" s="994">
        <f>SUM('R7業務（長）'!I15,'R7業務 (短)'!I15)</f>
        <v>393650</v>
      </c>
      <c r="J15" s="994">
        <f>SUM('R7業務（長）'!J15,'R7業務 (短)'!J15)</f>
        <v>1143632</v>
      </c>
      <c r="K15" s="994">
        <f>SUM('R7業務（長）'!K15,'R7業務 (短)'!K15)</f>
        <v>149148</v>
      </c>
      <c r="L15" s="994">
        <f>SUM('R7業務（長）'!L15,'R7業務 (短)'!L15)</f>
        <v>1295890</v>
      </c>
      <c r="M15" s="994">
        <f>SUM('R7業務（長）'!M15,'R7業務 (短)'!M15)</f>
        <v>1108141</v>
      </c>
      <c r="N15" s="994">
        <f>SUM('R7業務（長）'!N15,'R7業務 (短)'!N15)</f>
        <v>866430</v>
      </c>
      <c r="O15" s="994">
        <f>SUM('R7業務（長）'!O15,'R7業務 (短)'!O15)</f>
        <v>132832</v>
      </c>
      <c r="P15" s="995">
        <f>SUM(C15:O15)</f>
        <v>7276759</v>
      </c>
      <c r="Q15" s="994">
        <f>SUM('R7業務（長）'!Q15,'R7業務 (短)'!Q15)</f>
        <v>8501000</v>
      </c>
      <c r="R15" s="994">
        <f>SUM('R7業務（長）'!R15,'R7業務 (短)'!R15)</f>
        <v>0</v>
      </c>
      <c r="S15" s="994">
        <f>SUM('R7業務（長）'!S15,'R7業務 (短)'!S15)</f>
        <v>8501000</v>
      </c>
      <c r="T15" s="995">
        <f>S15-P15</f>
        <v>1224241</v>
      </c>
      <c r="V15" s="987">
        <f>SUMIF($C$2:$N$2,"&lt;="&amp;締月,C15:N15)</f>
        <v>2187036</v>
      </c>
      <c r="W15" s="987">
        <f>S15-V15</f>
        <v>6313964</v>
      </c>
    </row>
    <row r="16" ht="18" customHeight="1" s="186">
      <c r="A16" s="992" t="n"/>
      <c r="B16" s="1006" t="inlineStr">
        <is>
          <t>会議費</t>
        </is>
      </c>
      <c r="C16" s="994">
        <f>SUM('R7業務（長）'!C16,'R7業務 (短)'!C16)</f>
        <v>0</v>
      </c>
      <c r="D16" s="994">
        <f>SUM('R7業務（長）'!D16,'R7業務 (短)'!D16)</f>
        <v>0</v>
      </c>
      <c r="E16" s="994">
        <f>SUM('R7業務（長）'!E16,'R7業務 (短)'!E16)</f>
        <v>0</v>
      </c>
      <c r="F16" s="994">
        <f>SUM('R7業務（長）'!F16,'R7業務 (短)'!F16)</f>
        <v>0</v>
      </c>
      <c r="G16" s="994">
        <f>SUM('R7業務（長）'!G16,'R7業務 (短)'!G16)</f>
        <v>0</v>
      </c>
      <c r="H16" s="994">
        <f>SUM('R7業務（長）'!H16,'R7業務 (短)'!H16)</f>
        <v>0</v>
      </c>
      <c r="I16" s="994">
        <f>SUM('R7業務（長）'!I16,'R7業務 (短)'!I16)</f>
        <v>0</v>
      </c>
      <c r="J16" s="994">
        <f>SUM('R7業務（長）'!J16,'R7業務 (短)'!J16)</f>
        <v>0</v>
      </c>
      <c r="K16" s="994">
        <f>SUM('R7業務（長）'!K16,'R7業務 (短)'!K16)</f>
        <v>0</v>
      </c>
      <c r="L16" s="994">
        <f>SUM('R7業務（長）'!L16,'R7業務 (短)'!L16)</f>
        <v>0</v>
      </c>
      <c r="M16" s="994">
        <f>SUM('R7業務（長）'!M16,'R7業務 (短)'!M16)</f>
        <v>0</v>
      </c>
      <c r="N16" s="994">
        <f>SUM('R7業務（長）'!N16,'R7業務 (短)'!N16)</f>
        <v>0</v>
      </c>
      <c r="O16" s="994">
        <f>SUM('R7業務（長）'!O16,'R7業務 (短)'!O16)</f>
        <v>0</v>
      </c>
      <c r="P16" s="995">
        <f>SUM(C16:O16)</f>
        <v>0</v>
      </c>
      <c r="Q16" s="994">
        <f>SUM('R7業務（長）'!Q16,'R7業務 (短)'!Q16)</f>
        <v>0</v>
      </c>
      <c r="R16" s="994">
        <f>SUM('R7業務（長）'!R16,'R7業務 (短)'!R16)</f>
        <v>0</v>
      </c>
      <c r="S16" s="994">
        <f>SUM('R7業務（長）'!S16,'R7業務 (短)'!S16)</f>
        <v>0</v>
      </c>
      <c r="T16" s="995">
        <f>S16-P16</f>
        <v>0</v>
      </c>
      <c r="V16" s="987">
        <f>SUMIF($C$2:$N$2,"&lt;="&amp;締月,C16:N16)</f>
        <v>0</v>
      </c>
      <c r="W16" s="987">
        <f>S16-V16</f>
        <v>0</v>
      </c>
    </row>
    <row r="17" ht="18" customHeight="1" s="186">
      <c r="A17" s="992" t="n"/>
      <c r="B17" s="1007" t="inlineStr">
        <is>
          <t>雑費</t>
        </is>
      </c>
      <c r="C17" s="998">
        <f>SUM('R7業務（長）'!C17,'R7業務 (短)'!C17)</f>
        <v>0</v>
      </c>
      <c r="D17" s="998">
        <f>SUM('R7業務（長）'!D17,'R7業務 (短)'!D17)</f>
        <v>550</v>
      </c>
      <c r="E17" s="998">
        <f>SUM('R7業務（長）'!E17,'R7業務 (短)'!E17)</f>
        <v>550</v>
      </c>
      <c r="F17" s="998">
        <f>SUM('R7業務（長）'!F17,'R7業務 (短)'!F17)</f>
        <v>550</v>
      </c>
      <c r="G17" s="998">
        <f>SUM('R7業務（長）'!G17,'R7業務 (短)'!G17)</f>
        <v>550</v>
      </c>
      <c r="H17" s="998">
        <f>SUM('R7業務（長）'!H17,'R7業務 (短)'!H17)</f>
        <v>550</v>
      </c>
      <c r="I17" s="998">
        <f>SUM('R7業務（長）'!I17,'R7業務 (短)'!I17)</f>
        <v>3850</v>
      </c>
      <c r="J17" s="998">
        <f>SUM('R7業務（長）'!J17,'R7業務 (短)'!J17)</f>
        <v>550</v>
      </c>
      <c r="K17" s="998">
        <f>SUM('R7業務（長）'!K17,'R7業務 (短)'!K17)</f>
        <v>550</v>
      </c>
      <c r="L17" s="998">
        <f>SUM('R7業務（長）'!L17,'R7業務 (短)'!L17)</f>
        <v>550</v>
      </c>
      <c r="M17" s="998">
        <f>SUM('R7業務（長）'!M17,'R7業務 (短)'!M17)</f>
        <v>550</v>
      </c>
      <c r="N17" s="998">
        <f>SUM('R7業務（長）'!N17,'R7業務 (短)'!N17)</f>
        <v>550</v>
      </c>
      <c r="O17" s="998">
        <f>SUM('R7業務（長）'!O17,'R7業務 (短)'!O17)</f>
        <v>3850</v>
      </c>
      <c r="P17" s="999">
        <f>SUM(C17:O17)</f>
        <v>13200</v>
      </c>
      <c r="Q17" s="998">
        <f>SUM('R7業務（長）'!Q17,'R7業務 (短)'!Q17)</f>
        <v>7000</v>
      </c>
      <c r="R17" s="998">
        <f>SUM('R7業務（長）'!R17,'R7業務 (短)'!R17)</f>
        <v>0</v>
      </c>
      <c r="S17" s="998">
        <f>SUM('R7業務（長）'!S17,'R7業務 (短)'!S17)</f>
        <v>7000</v>
      </c>
      <c r="T17" s="999">
        <f>S17-P17</f>
        <v>-6200</v>
      </c>
      <c r="V17" s="987">
        <f>SUMIF($C$2:$N$2,"&lt;="&amp;締月,C17:N17)</f>
        <v>2750</v>
      </c>
      <c r="W17" s="987">
        <f>S17-V17</f>
        <v>4250</v>
      </c>
    </row>
    <row r="18" ht="17.25" customHeight="1" s="186">
      <c r="A18" s="1000" t="n"/>
      <c r="B18" s="1001" t="inlineStr">
        <is>
          <t>計</t>
        </is>
      </c>
      <c r="C18" s="1002">
        <f>SUM(C12:C17)</f>
        <v>128480</v>
      </c>
      <c r="D18" s="1002">
        <f>SUM(D12:D17)</f>
        <v>716823</v>
      </c>
      <c r="E18" s="1002">
        <f>SUM(E12:E17)</f>
        <v>377442</v>
      </c>
      <c r="F18" s="1002">
        <f>SUM(F12:F17)</f>
        <v>1752179</v>
      </c>
      <c r="G18" s="1002">
        <f>SUM(G12:G17)</f>
        <v>678983</v>
      </c>
      <c r="H18" s="1002">
        <f>SUM(H12:H17)</f>
        <v>767930</v>
      </c>
      <c r="I18" s="1002">
        <f>SUM(I12:I17)</f>
        <v>779977</v>
      </c>
      <c r="J18" s="1002">
        <f>SUM(J12:J17)</f>
        <v>1997010</v>
      </c>
      <c r="K18" s="1002">
        <f>SUM(K12:K17)</f>
        <v>710674</v>
      </c>
      <c r="L18" s="1002">
        <f>SUM(L12:L17)</f>
        <v>1667588</v>
      </c>
      <c r="M18" s="1002">
        <f>SUM(M12:M17)</f>
        <v>1390708</v>
      </c>
      <c r="N18" s="1002">
        <f>SUM(N12:N17)</f>
        <v>1402476</v>
      </c>
      <c r="O18" s="1002">
        <f>SUM(O12:O17)</f>
        <v>618318</v>
      </c>
      <c r="P18" s="985">
        <f>SUM(P12:P17)</f>
        <v>12988588</v>
      </c>
      <c r="Q18" s="985">
        <f>SUM(Q12:Q17)</f>
        <v>14660000</v>
      </c>
      <c r="R18" s="985">
        <f>SUM(R12:R17)</f>
        <v>0</v>
      </c>
      <c r="S18" s="985">
        <f>SUM(S12:S17)</f>
        <v>14660000</v>
      </c>
      <c r="T18" s="1008">
        <f>S18-P18</f>
        <v>1671412</v>
      </c>
      <c r="V18" s="1003">
        <f>SUMIF($C$2:$N$2,"&lt;="&amp;締月,C18:N18)</f>
        <v>4421837</v>
      </c>
      <c r="W18" s="1003">
        <f>S18-V18</f>
        <v>10238163</v>
      </c>
    </row>
    <row r="19" ht="17.25" customHeight="1" s="186">
      <c r="A19" s="1009" t="inlineStr">
        <is>
          <t>賃金</t>
        </is>
      </c>
      <c r="B19" s="979" t="n"/>
      <c r="C19" s="984">
        <f>SUM('R7業務（長）'!C19,'R7業務 (短)'!C19)</f>
        <v>0</v>
      </c>
      <c r="D19" s="984">
        <f>SUM('R7業務（長）'!D19,'R7業務 (短)'!D19)</f>
        <v>425880</v>
      </c>
      <c r="E19" s="984">
        <f>SUM('R7業務（長）'!E19,'R7業務 (短)'!E19)</f>
        <v>365040</v>
      </c>
      <c r="F19" s="984">
        <f>SUM('R7業務（長）'!F19,'R7業務 (短)'!F19)</f>
        <v>446160</v>
      </c>
      <c r="G19" s="984">
        <f>SUM('R7業務（長）'!G19,'R7業務 (短)'!G19)</f>
        <v>445720</v>
      </c>
      <c r="H19" s="984">
        <f>SUM('R7業務（長）'!H19,'R7業務 (短)'!H19)</f>
        <v>384480</v>
      </c>
      <c r="I19" s="984">
        <f>SUM('R7業務（長）'!I19,'R7業務 (短)'!I19)</f>
        <v>389160</v>
      </c>
      <c r="J19" s="984">
        <f>SUM('R7業務（長）'!J19,'R7業務 (短)'!J19)</f>
        <v>416580</v>
      </c>
      <c r="K19" s="984">
        <f>SUM('R7業務（長）'!K19,'R7業務 (短)'!K19)</f>
        <v>340920</v>
      </c>
      <c r="L19" s="984">
        <f>SUM('R7業務（長）'!L19,'R7業務 (短)'!L19)</f>
        <v>377520</v>
      </c>
      <c r="M19" s="984">
        <f>SUM('R7業務（長）'!M19,'R7業務 (短)'!M19)</f>
        <v>359120</v>
      </c>
      <c r="N19" s="984">
        <f>SUM('R7業務（長）'!N19,'R7業務 (短)'!N19)</f>
        <v>339340</v>
      </c>
      <c r="O19" s="984">
        <f>SUM('R7業務（長）'!O19,'R7業務 (短)'!O19)</f>
        <v>339568</v>
      </c>
      <c r="P19" s="985">
        <f>SUM(C19:O19)</f>
        <v>4629488</v>
      </c>
      <c r="Q19" s="986">
        <f>SUM('R7業務（長）'!Q19,'R7業務 (短)'!Q19)</f>
        <v>5520000</v>
      </c>
      <c r="R19" s="986">
        <f>SUM('R7業務（長）'!R19,'R7業務 (短)'!R19)</f>
        <v>0</v>
      </c>
      <c r="S19" s="986">
        <f>SUM('R7業務（長）'!S19,'R7業務 (短)'!S19)</f>
        <v>5520000</v>
      </c>
      <c r="T19" s="985">
        <f>S19-P19</f>
        <v>890512</v>
      </c>
      <c r="V19" s="987">
        <f>SUMIF($C$2:$N$2,"&lt;="&amp;締月,C19:N19)</f>
        <v>2067280</v>
      </c>
      <c r="W19" s="987">
        <f>S19-V19</f>
        <v>3452720</v>
      </c>
    </row>
    <row r="20" ht="18" customHeight="1" s="186">
      <c r="A20" s="983" t="inlineStr">
        <is>
          <t>委託費</t>
        </is>
      </c>
      <c r="B20" s="979" t="n"/>
      <c r="C20" s="984">
        <f>SUM('R7業務（長）'!C20,'R7業務 (短)'!C20)</f>
        <v>60235</v>
      </c>
      <c r="D20" s="984">
        <f>SUM('R7業務（長）'!D20,'R7業務 (短)'!D20)</f>
        <v>2146895</v>
      </c>
      <c r="E20" s="984">
        <f>SUM('R7業務（長）'!E20,'R7業務 (短)'!E20)</f>
        <v>188645</v>
      </c>
      <c r="F20" s="984">
        <f>SUM('R7業務（長）'!F20,'R7業務 (短)'!F20)</f>
        <v>343021</v>
      </c>
      <c r="G20" s="984">
        <f>SUM('R7業務（長）'!G20,'R7業務 (短)'!G20)</f>
        <v>1382282</v>
      </c>
      <c r="H20" s="984">
        <f>SUM('R7業務（長）'!H20,'R7業務 (短)'!H20)</f>
        <v>2099782</v>
      </c>
      <c r="I20" s="984">
        <f>SUM('R7業務（長）'!I20,'R7業務 (短)'!I20)</f>
        <v>682958</v>
      </c>
      <c r="J20" s="984">
        <f>SUM('R7業務（長）'!J20,'R7業務 (短)'!J20)</f>
        <v>283902</v>
      </c>
      <c r="K20" s="984">
        <f>SUM('R7業務（長）'!K20,'R7業務 (短)'!K20)</f>
        <v>2571355</v>
      </c>
      <c r="L20" s="984">
        <f>SUM('R7業務（長）'!L20,'R7業務 (短)'!L20)</f>
        <v>258591</v>
      </c>
      <c r="M20" s="984">
        <f>SUM('R7業務（長）'!M20,'R7業務 (短)'!M20)</f>
        <v>342161</v>
      </c>
      <c r="N20" s="984">
        <f>SUM('R7業務（長）'!N20,'R7業務 (短)'!N20)</f>
        <v>331327</v>
      </c>
      <c r="O20" s="984">
        <f>SUM('R7業務（長）'!O20,'R7業務 (短)'!O20)</f>
        <v>1396243</v>
      </c>
      <c r="P20" s="985">
        <f>SUM(C20:O20)</f>
        <v>12087397</v>
      </c>
      <c r="Q20" s="986">
        <f>SUM('R7業務（長）'!Q20,'R7業務 (短)'!Q20)</f>
        <v>13053000</v>
      </c>
      <c r="R20" s="986">
        <f>SUM('R7業務（長）'!R20,'R7業務 (短)'!R20)</f>
        <v>0</v>
      </c>
      <c r="S20" s="986">
        <f>SUM('R7業務（長）'!S20,'R7業務 (短)'!S20)</f>
        <v>13053000</v>
      </c>
      <c r="T20" s="985">
        <f>S20-P20</f>
        <v>965603</v>
      </c>
      <c r="V20" s="987">
        <f>SUMIF($C$2:$N$2,"&lt;="&amp;締月,C20:N20)</f>
        <v>6220860</v>
      </c>
      <c r="W20" s="987">
        <f>S20-V20</f>
        <v>6832140</v>
      </c>
    </row>
    <row r="21" ht="18" customHeight="1" s="186">
      <c r="A21" s="1010" t="inlineStr">
        <is>
          <t>光熱水料</t>
        </is>
      </c>
      <c r="B21" s="979" t="n"/>
      <c r="C21" s="984">
        <f>'R7業務（長）'!C21+'R7業務 (短)'!C21</f>
        <v>0</v>
      </c>
      <c r="D21" s="984">
        <f>'R7業務（長）'!D21+'R7業務 (短)'!D21</f>
        <v>0</v>
      </c>
      <c r="E21" s="984">
        <f>'R7業務（長）'!E21+'R7業務 (短)'!E21</f>
        <v>0</v>
      </c>
      <c r="F21" s="984">
        <f>'R7業務（長）'!F21+'R7業務 (短)'!F21</f>
        <v>0</v>
      </c>
      <c r="G21" s="984">
        <f>'R7業務（長）'!G21+'R7業務 (短)'!G21</f>
        <v>0</v>
      </c>
      <c r="H21" s="984">
        <f>'R7業務（長）'!H21+'R7業務 (短)'!H21</f>
        <v>0</v>
      </c>
      <c r="I21" s="984">
        <f>'R7業務（長）'!I21+'R7業務 (短)'!I21</f>
        <v>0</v>
      </c>
      <c r="J21" s="984">
        <f>'R7業務（長）'!J21+'R7業務 (短)'!J21</f>
        <v>0</v>
      </c>
      <c r="K21" s="984">
        <f>'R7業務（長）'!K21+'R7業務 (短)'!K21</f>
        <v>57384</v>
      </c>
      <c r="L21" s="984">
        <f>'R7業務（長）'!L21+'R7業務 (短)'!L21</f>
        <v>0</v>
      </c>
      <c r="M21" s="984">
        <f>'R7業務（長）'!M21+'R7業務 (短)'!M21</f>
        <v>0</v>
      </c>
      <c r="N21" s="984">
        <f>'R7業務（長）'!N21+'R7業務 (短)'!N21</f>
        <v>0</v>
      </c>
      <c r="O21" s="984">
        <f>'R7業務（長）'!O21+'R7業務 (短)'!O21</f>
        <v>70268</v>
      </c>
      <c r="P21" s="985">
        <f>SUM(C21:O21)</f>
        <v>127652</v>
      </c>
      <c r="Q21" s="986">
        <f>SUM('R7業務（長）'!Q21,'R7業務 (短)'!Q21)</f>
        <v>118000</v>
      </c>
      <c r="R21" s="986">
        <f>SUM('R7業務（長）'!R21,'R7業務 (短)'!R21)</f>
        <v>0</v>
      </c>
      <c r="S21" s="986">
        <f>SUM('R7業務（長）'!S21,'R7業務 (短)'!S21)</f>
        <v>118000</v>
      </c>
      <c r="T21" s="985">
        <f>S21-P21</f>
        <v>-9652</v>
      </c>
      <c r="V21" s="987">
        <f>SUMIF($C$2:$N$2,"&lt;="&amp;締月,C21:N21)</f>
        <v>0</v>
      </c>
      <c r="W21" s="987">
        <f>S21-V21</f>
        <v>118000</v>
      </c>
    </row>
    <row r="22" ht="18" customHeight="1" s="186">
      <c r="A22" s="1010" t="inlineStr">
        <is>
          <t>修繕費</t>
        </is>
      </c>
      <c r="B22" s="979" t="n"/>
      <c r="C22" s="984">
        <f>'R7業務（長）'!C22+'R7業務 (短)'!C22</f>
        <v>0</v>
      </c>
      <c r="D22" s="984">
        <f>'R7業務（長）'!D22+'R7業務 (短)'!D22</f>
        <v>0</v>
      </c>
      <c r="E22" s="984">
        <f>'R7業務（長）'!E22+'R7業務 (短)'!E22</f>
        <v>0</v>
      </c>
      <c r="F22" s="984">
        <f>'R7業務（長）'!F22+'R7業務 (短)'!F22</f>
        <v>0</v>
      </c>
      <c r="G22" s="984">
        <f>'R7業務（長）'!G22+'R7業務 (短)'!G22</f>
        <v>0</v>
      </c>
      <c r="H22" s="984">
        <f>'R7業務（長）'!H22+'R7業務 (短)'!H22</f>
        <v>0</v>
      </c>
      <c r="I22" s="984">
        <f>'R7業務（長）'!I22+'R7業務 (短)'!I22</f>
        <v>0</v>
      </c>
      <c r="J22" s="984">
        <f>'R7業務（長）'!J22+'R7業務 (短)'!J22</f>
        <v>0</v>
      </c>
      <c r="K22" s="984">
        <f>'R7業務（長）'!K22+'R7業務 (短)'!K22</f>
        <v>0</v>
      </c>
      <c r="L22" s="984">
        <f>'R7業務（長）'!L22+'R7業務 (短)'!L22</f>
        <v>0</v>
      </c>
      <c r="M22" s="984">
        <f>'R7業務（長）'!M22+'R7業務 (短)'!M22</f>
        <v>0</v>
      </c>
      <c r="N22" s="984">
        <f>'R7業務（長）'!N22+'R7業務 (短)'!N22</f>
        <v>0</v>
      </c>
      <c r="O22" s="984">
        <f>'R7業務（長）'!O22+'R7業務 (短)'!O22</f>
        <v>0</v>
      </c>
      <c r="P22" s="985">
        <f>SUM(C22:O22)</f>
        <v>0</v>
      </c>
      <c r="Q22" s="986">
        <f>SUM('R7業務（長）'!Q22,'R7業務 (短)'!Q22)</f>
        <v>0</v>
      </c>
      <c r="R22" s="986">
        <f>SUM('R7業務（長）'!R22,'R7業務 (短)'!R22)</f>
        <v>0</v>
      </c>
      <c r="S22" s="986">
        <f>SUM('R7業務（長）'!S22,'R7業務 (短)'!S22)</f>
        <v>0</v>
      </c>
      <c r="T22" s="985">
        <f>S22-P22</f>
        <v>0</v>
      </c>
      <c r="V22" s="987">
        <f>SUMIF($C$2:$N$2,"&lt;="&amp;締月,C22:N22)</f>
        <v>0</v>
      </c>
      <c r="W22" s="987">
        <f>S22-V22</f>
        <v>0</v>
      </c>
    </row>
    <row r="23" ht="18" customHeight="1" s="186">
      <c r="A23" s="983" t="inlineStr">
        <is>
          <t>賃借料</t>
        </is>
      </c>
      <c r="B23" s="979" t="n"/>
      <c r="C23" s="984">
        <f>SUM('R7業務（長）'!C23,'R7業務 (短)'!C23)</f>
        <v>0</v>
      </c>
      <c r="D23" s="984">
        <f>SUM('R7業務（長）'!D23,'R7業務 (短)'!D23)</f>
        <v>760345</v>
      </c>
      <c r="E23" s="984">
        <f>SUM('R7業務（長）'!E23,'R7業務 (短)'!E23)</f>
        <v>760345</v>
      </c>
      <c r="F23" s="984">
        <f>SUM('R7業務（長）'!F23,'R7業務 (短)'!F23)</f>
        <v>760345</v>
      </c>
      <c r="G23" s="984">
        <f>SUM('R7業務（長）'!G23,'R7業務 (短)'!G23)</f>
        <v>760345</v>
      </c>
      <c r="H23" s="984">
        <f>SUM('R7業務（長）'!H23,'R7業務 (短)'!H23)</f>
        <v>760345</v>
      </c>
      <c r="I23" s="984">
        <f>SUM('R7業務（長）'!I23,'R7業務 (短)'!I23)</f>
        <v>760345</v>
      </c>
      <c r="J23" s="984">
        <f>SUM('R7業務（長）'!J23,'R7業務 (短)'!J23)</f>
        <v>807227</v>
      </c>
      <c r="K23" s="984">
        <f>SUM('R7業務（長）'!K23,'R7業務 (短)'!K23)</f>
        <v>760345</v>
      </c>
      <c r="L23" s="984">
        <f>SUM('R7業務（長）'!L23,'R7業務 (短)'!L23)</f>
        <v>760345</v>
      </c>
      <c r="M23" s="984">
        <f>SUM('R7業務（長）'!M23,'R7業務 (短)'!M23)</f>
        <v>760345</v>
      </c>
      <c r="N23" s="984">
        <f>SUM('R7業務（長）'!N23,'R7業務 (短)'!N23)</f>
        <v>760345</v>
      </c>
      <c r="O23" s="984">
        <f>SUM('R7業務（長）'!O23,'R7業務 (短)'!O23)</f>
        <v>564503</v>
      </c>
      <c r="P23" s="985">
        <f>SUM(C23:O23)</f>
        <v>8975180</v>
      </c>
      <c r="Q23" s="986">
        <f>SUM('R7業務（長）'!Q23,'R7業務 (短)'!Q23)</f>
        <v>9468000</v>
      </c>
      <c r="R23" s="986">
        <f>SUM('R7業務（長）'!R23,'R7業務 (短)'!R23)</f>
        <v>0</v>
      </c>
      <c r="S23" s="986">
        <f>SUM('R7業務（長）'!S23,'R7業務 (短)'!S23)</f>
        <v>9468000</v>
      </c>
      <c r="T23" s="985">
        <f>S23-P23</f>
        <v>492820</v>
      </c>
      <c r="V23" s="987">
        <f>SUMIF($C$2:$N$2,"&lt;="&amp;締月,C23:N23)</f>
        <v>3801725</v>
      </c>
      <c r="W23" s="987">
        <f>S23-V23</f>
        <v>5666275</v>
      </c>
    </row>
    <row r="24" ht="18" customHeight="1" s="186">
      <c r="A24" s="983" t="inlineStr">
        <is>
          <t>普及費</t>
        </is>
      </c>
      <c r="B24" s="979" t="n"/>
      <c r="C24" s="984">
        <f>SUM('R7業務（長）'!C24,'R7業務 (短)'!C24)</f>
        <v>0</v>
      </c>
      <c r="D24" s="984">
        <f>SUM('R7業務（長）'!D24,'R7業務 (短)'!D24)</f>
        <v>0</v>
      </c>
      <c r="E24" s="984">
        <f>SUM('R7業務（長）'!E24,'R7業務 (短)'!E24)</f>
        <v>0</v>
      </c>
      <c r="F24" s="984">
        <f>SUM('R7業務（長）'!F24,'R7業務 (短)'!F24)</f>
        <v>0</v>
      </c>
      <c r="G24" s="984">
        <f>SUM('R7業務（長）'!G24,'R7業務 (短)'!G24)</f>
        <v>371265</v>
      </c>
      <c r="H24" s="984">
        <f>SUM('R7業務（長）'!H24,'R7業務 (短)'!H24)</f>
        <v>0</v>
      </c>
      <c r="I24" s="984">
        <f>SUM('R7業務（長）'!I24,'R7業務 (短)'!I24)</f>
        <v>0</v>
      </c>
      <c r="J24" s="984">
        <f>SUM('R7業務（長）'!J24,'R7業務 (短)'!J24)</f>
        <v>429656</v>
      </c>
      <c r="K24" s="984">
        <f>SUM('R7業務（長）'!K24,'R7業務 (短)'!K24)</f>
        <v>0</v>
      </c>
      <c r="L24" s="984">
        <f>SUM('R7業務（長）'!L24,'R7業務 (短)'!L24)</f>
        <v>426611</v>
      </c>
      <c r="M24" s="984">
        <f>SUM('R7業務（長）'!M24,'R7業務 (短)'!M24)</f>
        <v>0</v>
      </c>
      <c r="N24" s="984">
        <f>SUM('R7業務（長）'!N24,'R7業務 (短)'!N24)</f>
        <v>0</v>
      </c>
      <c r="O24" s="984">
        <f>SUM('R7業務（長）'!O24,'R7業務 (短)'!O24)</f>
        <v>692131</v>
      </c>
      <c r="P24" s="985">
        <f>SUM(C24:O24)</f>
        <v>1919663</v>
      </c>
      <c r="Q24" s="986">
        <f>SUM('R7業務（長）'!Q24,'R7業務 (短)'!Q24)</f>
        <v>2525000</v>
      </c>
      <c r="R24" s="986">
        <f>SUM('R7業務（長）'!R24,'R7業務 (短)'!R24)</f>
        <v>0</v>
      </c>
      <c r="S24" s="986">
        <f>SUM('R7業務（長）'!S24,'R7業務 (短)'!S24)</f>
        <v>2525000</v>
      </c>
      <c r="T24" s="985">
        <f>S24-P24</f>
        <v>605337</v>
      </c>
      <c r="V24" s="987">
        <f>SUMIF($C$2:$N$2,"&lt;="&amp;締月,C24:N24)</f>
        <v>371265</v>
      </c>
      <c r="W24" s="987">
        <f>S24-V24</f>
        <v>2153735</v>
      </c>
    </row>
    <row r="25" ht="18" customHeight="1" s="186">
      <c r="A25" s="983" t="inlineStr">
        <is>
          <t>諸謝金</t>
        </is>
      </c>
      <c r="B25" s="979" t="n"/>
      <c r="C25" s="984">
        <f>SUM('R7業務（長）'!C25,'R7業務 (短)'!C25)</f>
        <v>0</v>
      </c>
      <c r="D25" s="984">
        <f>SUM('R7業務（長）'!D25,'R7業務 (短)'!D25)</f>
        <v>0</v>
      </c>
      <c r="E25" s="984">
        <f>SUM('R7業務（長）'!E25,'R7業務 (短)'!E25)</f>
        <v>0</v>
      </c>
      <c r="F25" s="984">
        <f>SUM('R7業務（長）'!F25,'R7業務 (短)'!F25)</f>
        <v>0</v>
      </c>
      <c r="G25" s="984">
        <f>SUM('R7業務（長）'!G25,'R7業務 (短)'!G25)</f>
        <v>0</v>
      </c>
      <c r="H25" s="984">
        <f>SUM('R7業務（長）'!H25,'R7業務 (短)'!H25)</f>
        <v>0</v>
      </c>
      <c r="I25" s="984">
        <f>SUM('R7業務（長）'!I25,'R7業務 (短)'!I25)</f>
        <v>0</v>
      </c>
      <c r="J25" s="984">
        <f>SUM('R7業務（長）'!J25,'R7業務 (短)'!J25)</f>
        <v>0</v>
      </c>
      <c r="K25" s="984">
        <f>SUM('R7業務（長）'!K25,'R7業務 (短)'!K25)</f>
        <v>0</v>
      </c>
      <c r="L25" s="984">
        <f>SUM('R7業務（長）'!L25,'R7業務 (短)'!L25)</f>
        <v>0</v>
      </c>
      <c r="M25" s="984">
        <f>SUM('R7業務（長）'!M25,'R7業務 (短)'!M25)</f>
        <v>0</v>
      </c>
      <c r="N25" s="984">
        <f>SUM('R7業務（長）'!N25,'R7業務 (短)'!N25)</f>
        <v>0</v>
      </c>
      <c r="O25" s="984">
        <f>SUM('R7業務（長）'!O25,'R7業務 (短)'!O25)</f>
        <v>0</v>
      </c>
      <c r="P25" s="985">
        <f>SUM(C25:O25)</f>
        <v>0</v>
      </c>
      <c r="Q25" s="986">
        <f>SUM('R7業務（長）'!Q25,'R7業務 (短)'!Q25)</f>
        <v>0</v>
      </c>
      <c r="R25" s="986">
        <f>SUM('R7業務（長）'!R25,'R7業務 (短)'!R25)</f>
        <v>0</v>
      </c>
      <c r="S25" s="986">
        <f>SUM('R7業務（長）'!S25,'R7業務 (短)'!S25)</f>
        <v>0</v>
      </c>
      <c r="T25" s="985">
        <f>S25-P25</f>
        <v>0</v>
      </c>
      <c r="V25" s="987">
        <f>SUMIF($C$2:$N$2,"&lt;="&amp;締月,C25:N25)</f>
        <v>0</v>
      </c>
      <c r="W25" s="987">
        <f>S25-V25</f>
        <v>0</v>
      </c>
    </row>
    <row r="26" ht="18" customHeight="1" s="186">
      <c r="A26" s="1011" t="inlineStr">
        <is>
          <t>負担金</t>
        </is>
      </c>
      <c r="B26" s="1012" t="inlineStr">
        <is>
          <t>会議出席負担金等</t>
        </is>
      </c>
      <c r="C26" s="990">
        <f>SUM('R7業務（長）'!C26,'R7業務 (短)'!C26)</f>
        <v>0</v>
      </c>
      <c r="D26" s="990">
        <f>SUM('R7業務（長）'!D26,'R7業務 (短)'!D26)</f>
        <v>0</v>
      </c>
      <c r="E26" s="990">
        <f>SUM('R7業務（長）'!E26,'R7業務 (短)'!E26)</f>
        <v>0</v>
      </c>
      <c r="F26" s="990">
        <f>SUM('R7業務（長）'!F26,'R7業務 (短)'!F26)</f>
        <v>0</v>
      </c>
      <c r="G26" s="990">
        <f>SUM('R7業務（長）'!G26,'R7業務 (短)'!G26)</f>
        <v>0</v>
      </c>
      <c r="H26" s="990">
        <f>SUM('R7業務（長）'!H26,'R7業務 (短)'!H26)</f>
        <v>0</v>
      </c>
      <c r="I26" s="990">
        <f>SUM('R7業務（長）'!I26,'R7業務 (短)'!I26)</f>
        <v>0</v>
      </c>
      <c r="J26" s="990">
        <f>SUM('R7業務（長）'!J26,'R7業務 (短)'!J26)</f>
        <v>0</v>
      </c>
      <c r="K26" s="990">
        <f>SUM('R7業務（長）'!K26,'R7業務 (短)'!K26)</f>
        <v>0</v>
      </c>
      <c r="L26" s="990">
        <f>SUM('R7業務（長）'!L26,'R7業務 (短)'!L26)</f>
        <v>0</v>
      </c>
      <c r="M26" s="990">
        <f>SUM('R7業務（長）'!M26,'R7業務 (短)'!M26)</f>
        <v>0</v>
      </c>
      <c r="N26" s="990">
        <f>SUM('R7業務（長）'!N26,'R7業務 (短)'!N26)</f>
        <v>0</v>
      </c>
      <c r="O26" s="990">
        <f>SUM('R7業務（長）'!O26,'R7業務 (短)'!O26)</f>
        <v>0</v>
      </c>
      <c r="P26" s="991">
        <f>SUM(C26:O26)</f>
        <v>0</v>
      </c>
      <c r="Q26" s="990">
        <f>SUM('R7業務（長）'!Q26,'R7業務 (短)'!Q26)</f>
        <v>0</v>
      </c>
      <c r="R26" s="990">
        <f>SUM('R7業務（長）'!R26,'R7業務 (短)'!R26)</f>
        <v>0</v>
      </c>
      <c r="S26" s="990">
        <f>SUM('R7業務（長）'!S26,'R7業務 (短)'!S26)</f>
        <v>0</v>
      </c>
      <c r="T26" s="991">
        <f>S26-P26</f>
        <v>0</v>
      </c>
      <c r="V26" s="987">
        <f>SUMIF($C$2:$N$2,"&lt;="&amp;締月,C26:N26)</f>
        <v>0</v>
      </c>
      <c r="W26" s="987">
        <f>S26-V26</f>
        <v>0</v>
      </c>
    </row>
    <row r="27" ht="18" customHeight="1" s="186">
      <c r="A27" s="1013" t="n"/>
      <c r="B27" s="1014" t="inlineStr">
        <is>
          <t>互助会費</t>
        </is>
      </c>
      <c r="C27" s="990">
        <f>SUM('R7業務（長）'!C27,'R7業務 (短)'!C27)</f>
        <v>706</v>
      </c>
      <c r="D27" s="990">
        <f>SUM('R7業務（長）'!D27,'R7業務 (短)'!D27)</f>
        <v>706</v>
      </c>
      <c r="E27" s="990">
        <f>SUM('R7業務（長）'!E27,'R7業務 (短)'!E27)</f>
        <v>706</v>
      </c>
      <c r="F27" s="990">
        <f>SUM('R7業務（長）'!F27,'R7業務 (短)'!F27)</f>
        <v>706</v>
      </c>
      <c r="G27" s="990">
        <f>SUM('R7業務（長）'!G27,'R7業務 (短)'!G27)</f>
        <v>706</v>
      </c>
      <c r="H27" s="990">
        <f>SUM('R7業務（長）'!H27,'R7業務 (短)'!H27)</f>
        <v>706</v>
      </c>
      <c r="I27" s="990">
        <f>SUM('R7業務（長）'!I27,'R7業務 (短)'!I27)</f>
        <v>811</v>
      </c>
      <c r="J27" s="990">
        <f>SUM('R7業務（長）'!J27,'R7業務 (短)'!J27)</f>
        <v>811</v>
      </c>
      <c r="K27" s="990">
        <f>SUM('R7業務（長）'!K27,'R7業務 (短)'!K27)</f>
        <v>811</v>
      </c>
      <c r="L27" s="990">
        <f>SUM('R7業務（長）'!L27,'R7業務 (短)'!L27)</f>
        <v>1081</v>
      </c>
      <c r="M27" s="990">
        <f>SUM('R7業務（長）'!M27,'R7業務 (短)'!M27)</f>
        <v>838</v>
      </c>
      <c r="N27" s="990">
        <f>SUM('R7業務（長）'!N27,'R7業務 (短)'!N27)</f>
        <v>838</v>
      </c>
      <c r="O27" s="990">
        <f>SUM('R7業務（長）'!O27,'R7業務 (短)'!O27)</f>
        <v>0</v>
      </c>
      <c r="P27" s="1015">
        <f>SUM(C27:O27)</f>
        <v>9426</v>
      </c>
      <c r="Q27" s="1016">
        <f>SUM('R7業務（長）'!Q27:Q31,'R7業務 (短)'!Q27:Q31)</f>
        <v>2820000</v>
      </c>
      <c r="R27" s="1016">
        <f>SUM('R7業務（長）'!R27:R31,'R7業務 (短)'!R27:R31)</f>
        <v>0</v>
      </c>
      <c r="S27" s="1016">
        <f>SUM('R7業務（長）'!S27:S31,'R7業務 (短)'!S27:S31)</f>
        <v>2820000</v>
      </c>
      <c r="T27" s="1017">
        <f>S27-SUM(P27:P31)</f>
        <v>350407</v>
      </c>
      <c r="V27" s="987">
        <f>SUMIF($C$2:$N$2,"&lt;="&amp;締月,C27:N27)</f>
        <v>4236</v>
      </c>
    </row>
    <row r="28" ht="18" customHeight="1" s="186">
      <c r="A28" s="1013" t="n"/>
      <c r="B28" s="1018" t="inlineStr">
        <is>
          <t>協会けんぽ保険料等</t>
        </is>
      </c>
      <c r="C28" s="994">
        <f>SUM('R7業務（長）'!C28,'R7業務 (短)'!C28)</f>
        <v>0</v>
      </c>
      <c r="D28" s="994">
        <f>SUM('R7業務（長）'!D28,'R7業務 (短)'!D28)</f>
        <v>0</v>
      </c>
      <c r="E28" s="994">
        <f>SUM('R7業務（長）'!E28,'R7業務 (短)'!E28)</f>
        <v>0</v>
      </c>
      <c r="F28" s="994">
        <f>SUM('R7業務（長）'!F28,'R7業務 (短)'!F28)</f>
        <v>0</v>
      </c>
      <c r="G28" s="994">
        <f>SUM('R7業務（長）'!G28,'R7業務 (短)'!G28)</f>
        <v>0</v>
      </c>
      <c r="H28" s="994">
        <f>SUM('R7業務（長）'!H28,'R7業務 (短)'!H28)</f>
        <v>0</v>
      </c>
      <c r="I28" s="994">
        <f>SUM('R7業務（長）'!I28,'R7業務 (短)'!I28)</f>
        <v>0</v>
      </c>
      <c r="J28" s="994">
        <f>SUM('R7業務（長）'!J28,'R7業務 (短)'!J28)</f>
        <v>0</v>
      </c>
      <c r="K28" s="994">
        <f>SUM('R7業務（長）'!K28,'R7業務 (短)'!K28)</f>
        <v>0</v>
      </c>
      <c r="L28" s="994">
        <f>SUM('R7業務（長）'!L28,'R7業務 (短)'!L28)</f>
        <v>0</v>
      </c>
      <c r="M28" s="994">
        <f>SUM('R7業務（長）'!M28,'R7業務 (短)'!M28)</f>
        <v>0</v>
      </c>
      <c r="N28" s="994">
        <f>SUM('R7業務（長）'!N28,'R7業務 (短)'!N28)</f>
        <v>0</v>
      </c>
      <c r="O28" s="994">
        <f>SUM('R7業務（長）'!O28,'R7業務 (短)'!O28)</f>
        <v>0</v>
      </c>
      <c r="P28" s="995">
        <f>SUM(C28:O28)</f>
        <v>0</v>
      </c>
      <c r="Q28" s="992" t="n"/>
      <c r="R28" s="992" t="n"/>
      <c r="S28" s="992" t="n"/>
      <c r="T28" s="992" t="n"/>
      <c r="V28" s="987">
        <f>SUMIF($C$2:$N$2,"&lt;="&amp;締月,C28:N28)</f>
        <v>0</v>
      </c>
    </row>
    <row r="29" ht="18" customHeight="1" s="186">
      <c r="A29" s="1013" t="n"/>
      <c r="B29" s="1019" t="inlineStr">
        <is>
          <t>共済負担金等</t>
        </is>
      </c>
      <c r="C29" s="994">
        <f>SUM('R7業務（長）'!C29,'R7業務 (短)'!C29)</f>
        <v>59109</v>
      </c>
      <c r="D29" s="994">
        <f>SUM('R7業務（長）'!D29,'R7業務 (短)'!D29)</f>
        <v>59109</v>
      </c>
      <c r="E29" s="994">
        <f>SUM('R7業務（長）'!E29,'R7業務 (短)'!E29)</f>
        <v>135488</v>
      </c>
      <c r="F29" s="994">
        <f>SUM('R7業務（長）'!F29,'R7業務 (短)'!F29)</f>
        <v>59109</v>
      </c>
      <c r="G29" s="994">
        <f>SUM('R7業務（長）'!G29,'R7業務 (短)'!G29)</f>
        <v>59109</v>
      </c>
      <c r="H29" s="994">
        <f>SUM('R7業務（長）'!H29,'R7業務 (短)'!H29)</f>
        <v>58737</v>
      </c>
      <c r="I29" s="994">
        <f>SUM('R7業務（長）'!I29,'R7業務 (短)'!I29)</f>
        <v>62532</v>
      </c>
      <c r="J29" s="994">
        <f>SUM('R7業務（長）'!J29,'R7業務 (短)'!J29)</f>
        <v>62532</v>
      </c>
      <c r="K29" s="994">
        <f>SUM('R7業務（長）'!K29,'R7業務 (短)'!K29)</f>
        <v>127063</v>
      </c>
      <c r="L29" s="994">
        <f>SUM('R7業務（長）'!L29,'R7業務 (短)'!L29)</f>
        <v>66611</v>
      </c>
      <c r="M29" s="994">
        <f>SUM('R7業務（長）'!M29,'R7業務 (短)'!M29)</f>
        <v>62532</v>
      </c>
      <c r="N29" s="994">
        <f>SUM('R7業務（長）'!N29,'R7業務 (短)'!N29)</f>
        <v>66334</v>
      </c>
      <c r="O29" s="994">
        <f>SUM('R7業務（長）'!O29,'R7業務 (短)'!O29)</f>
        <v>0</v>
      </c>
      <c r="P29" s="995">
        <f>SUM(C29:O29)</f>
        <v>878265</v>
      </c>
      <c r="Q29" s="992" t="n"/>
      <c r="R29" s="992" t="n"/>
      <c r="S29" s="992" t="n"/>
      <c r="T29" s="992" t="n"/>
      <c r="V29" s="987">
        <f>SUMIF($C$2:$N$2,"&lt;="&amp;締月,C29:N29)</f>
        <v>430661</v>
      </c>
    </row>
    <row r="30" ht="18" customHeight="1" s="186">
      <c r="A30" s="1013" t="n"/>
      <c r="B30" s="1019" t="inlineStr">
        <is>
          <t>厚年負担金等</t>
        </is>
      </c>
      <c r="C30" s="994">
        <f>SUM('R7業務（長）'!C30,'R7業務 (短)'!C30)</f>
        <v>0</v>
      </c>
      <c r="D30" s="994">
        <f>SUM('R7業務（長）'!D30,'R7業務 (短)'!D30)</f>
        <v>0</v>
      </c>
      <c r="E30" s="994">
        <f>SUM('R7業務（長）'!E30,'R7業務 (短)'!E30)</f>
        <v>199710</v>
      </c>
      <c r="F30" s="994">
        <f>SUM('R7業務（長）'!F30,'R7業務 (短)'!F30)</f>
        <v>99855</v>
      </c>
      <c r="G30" s="994">
        <f>SUM('R7業務（長）'!G30,'R7業務 (短)'!G30)</f>
        <v>224817</v>
      </c>
      <c r="H30" s="994">
        <f>SUM('R7業務（長）'!H30,'R7業務 (短)'!H30)</f>
        <v>99855</v>
      </c>
      <c r="I30" s="994">
        <f>SUM('R7業務（長）'!I30,'R7業務 (短)'!I30)</f>
        <v>98904</v>
      </c>
      <c r="J30" s="994">
        <f>SUM('R7業務（長）'!J30,'R7業務 (短)'!J30)</f>
        <v>0</v>
      </c>
      <c r="K30" s="994">
        <f>SUM('R7業務（長）'!K30,'R7業務 (短)'!K30)</f>
        <v>97002</v>
      </c>
      <c r="L30" s="994">
        <f>SUM('R7業務（長）'!L30,'R7業務 (短)'!L30)</f>
        <v>97002</v>
      </c>
      <c r="M30" s="994">
        <f>SUM('R7業務（長）'!M30,'R7業務 (短)'!M30)</f>
        <v>197239</v>
      </c>
      <c r="N30" s="994">
        <f>SUM('R7業務（長）'!N30,'R7業務 (短)'!N30)</f>
        <v>200279</v>
      </c>
      <c r="O30" s="994">
        <f>SUM('R7業務（長）'!O30,'R7業務 (短)'!O30)</f>
        <v>87872</v>
      </c>
      <c r="P30" s="995">
        <f>SUM(C30:O30)</f>
        <v>1402535</v>
      </c>
      <c r="Q30" s="992" t="n"/>
      <c r="R30" s="992" t="n"/>
      <c r="S30" s="992" t="n"/>
      <c r="T30" s="992" t="n"/>
      <c r="V30" s="987">
        <f>SUMIF($C$2:$N$2,"&lt;="&amp;締月,C30:N30)</f>
        <v>624237</v>
      </c>
    </row>
    <row r="31" ht="18" customHeight="1" s="186">
      <c r="A31" s="1013" t="n"/>
      <c r="B31" s="1020" t="inlineStr">
        <is>
          <t>労災保険料</t>
        </is>
      </c>
      <c r="C31" s="994">
        <f>SUM('R7業務（長）'!C31,'R7業務 (短)'!C31)</f>
        <v>0</v>
      </c>
      <c r="D31" s="994">
        <f>SUM('R7業務（長）'!D31,'R7業務 (短)'!D31)</f>
        <v>0</v>
      </c>
      <c r="E31" s="994">
        <f>SUM('R7業務（長）'!E31,'R7業務 (短)'!E31)</f>
        <v>0</v>
      </c>
      <c r="F31" s="994">
        <f>SUM('R7業務（長）'!F31,'R7業務 (短)'!F31)</f>
        <v>179367</v>
      </c>
      <c r="G31" s="994">
        <f>SUM('R7業務（長）'!G31,'R7業務 (短)'!G31)</f>
        <v>0</v>
      </c>
      <c r="H31" s="994">
        <f>SUM('R7業務（長）'!H31,'R7業務 (短)'!H31)</f>
        <v>0</v>
      </c>
      <c r="I31" s="994">
        <f>SUM('R7業務（長）'!I31,'R7業務 (短)'!I31)</f>
        <v>0</v>
      </c>
      <c r="J31" s="994">
        <f>SUM('R7業務（長）'!J31,'R7業務 (短)'!J31)</f>
        <v>0</v>
      </c>
      <c r="K31" s="994">
        <f>SUM('R7業務（長）'!K31,'R7業務 (短)'!K31)</f>
        <v>0</v>
      </c>
      <c r="L31" s="994">
        <f>SUM('R7業務（長）'!L31,'R7業務 (短)'!L31)</f>
        <v>0</v>
      </c>
      <c r="M31" s="994">
        <f>SUM('R7業務（長）'!M31,'R7業務 (短)'!M31)</f>
        <v>0</v>
      </c>
      <c r="N31" s="994">
        <f>SUM('R7業務（長）'!N31,'R7業務 (短)'!N31)</f>
        <v>0</v>
      </c>
      <c r="O31" s="994">
        <f>SUM('R7業務（長）'!O31,'R7業務 (短)'!O31)</f>
        <v>0</v>
      </c>
      <c r="P31" s="995">
        <f>SUM(C31:O31)</f>
        <v>179367</v>
      </c>
      <c r="Q31" s="1021" t="n"/>
      <c r="R31" s="1021" t="n"/>
      <c r="S31" s="1021" t="n"/>
      <c r="T31" s="1021" t="n"/>
      <c r="V31" s="987">
        <f>SUMIF($C$2:$N$2,"&lt;="&amp;締月,C31:N31)</f>
        <v>179367</v>
      </c>
    </row>
    <row r="32" ht="18" customHeight="1" s="186">
      <c r="A32" s="1013" t="n"/>
      <c r="B32" s="983" t="inlineStr">
        <is>
          <t>協議会会費</t>
        </is>
      </c>
      <c r="C32" s="990">
        <f>SUM('R7業務（長）'!C32,'R7業務 (短)'!C32)</f>
        <v>0</v>
      </c>
      <c r="D32" s="990">
        <f>SUM('R7業務（長）'!D32,'R7業務 (短)'!D32)</f>
        <v>1300</v>
      </c>
      <c r="E32" s="990">
        <f>SUM('R7業務（長）'!E32,'R7業務 (短)'!E32)</f>
        <v>0</v>
      </c>
      <c r="F32" s="990">
        <f>SUM('R7業務（長）'!F32,'R7業務 (短)'!F32)</f>
        <v>0</v>
      </c>
      <c r="G32" s="990">
        <f>SUM('R7業務（長）'!G32,'R7業務 (短)'!G32)</f>
        <v>0</v>
      </c>
      <c r="H32" s="990">
        <f>SUM('R7業務（長）'!H32,'R7業務 (短)'!H32)</f>
        <v>0</v>
      </c>
      <c r="I32" s="990">
        <f>SUM('R7業務（長）'!I32,'R7業務 (短)'!I32)</f>
        <v>0</v>
      </c>
      <c r="J32" s="990">
        <f>SUM('R7業務（長）'!J32,'R7業務 (短)'!J32)</f>
        <v>0</v>
      </c>
      <c r="K32" s="990">
        <f>SUM('R7業務（長）'!K32,'R7業務 (短)'!K32)</f>
        <v>0</v>
      </c>
      <c r="L32" s="990">
        <f>SUM('R7業務（長）'!L32,'R7業務 (短)'!L32)</f>
        <v>0</v>
      </c>
      <c r="M32" s="990">
        <f>SUM('R7業務（長）'!M32,'R7業務 (短)'!M32)</f>
        <v>0</v>
      </c>
      <c r="N32" s="990">
        <f>SUM('R7業務（長）'!N32,'R7業務 (短)'!N32)</f>
        <v>0</v>
      </c>
      <c r="O32" s="990">
        <f>SUM('R7業務（長）'!O32,'R7業務 (短)'!O32)</f>
        <v>0</v>
      </c>
      <c r="P32" s="1022">
        <f>SUM(C32:O32)</f>
        <v>1300</v>
      </c>
      <c r="Q32" s="1023">
        <f>SUM('R7業務（長）'!Q32,'R7業務 (短)'!Q32)</f>
        <v>2000</v>
      </c>
      <c r="R32" s="1023">
        <f>SUM('R7業務（長）'!R32,'R7業務 (短)'!R32)</f>
        <v>0</v>
      </c>
      <c r="S32" s="1023">
        <f>SUM('R7業務（長）'!S32,'R7業務 (短)'!S32)</f>
        <v>2000</v>
      </c>
      <c r="T32" s="1022">
        <f>S32-P32</f>
        <v>700</v>
      </c>
      <c r="V32" s="987">
        <f>SUMIF($C$2:$N$2,"&lt;="&amp;締月,C32:N32)</f>
        <v>1300</v>
      </c>
      <c r="W32" s="987">
        <f>S32-V32</f>
        <v>700</v>
      </c>
    </row>
    <row r="33" ht="18" customHeight="1" s="186">
      <c r="A33" s="1024" t="n"/>
      <c r="B33" s="1001" t="inlineStr">
        <is>
          <t>計</t>
        </is>
      </c>
      <c r="C33" s="1002">
        <f>SUM(C26:C32)</f>
        <v>59815</v>
      </c>
      <c r="D33" s="1002">
        <f>SUM(D26:D32)</f>
        <v>61115</v>
      </c>
      <c r="E33" s="1002">
        <f>SUM(E26:E32)</f>
        <v>335904</v>
      </c>
      <c r="F33" s="1002">
        <f>SUM(F26:F32)</f>
        <v>339037</v>
      </c>
      <c r="G33" s="1002">
        <f>SUM(G26:G32)</f>
        <v>284632</v>
      </c>
      <c r="H33" s="1002">
        <f>SUM(H26:H32)</f>
        <v>159298</v>
      </c>
      <c r="I33" s="1002">
        <f>SUM(I26:I32)</f>
        <v>162247</v>
      </c>
      <c r="J33" s="1002">
        <f>SUM(J26:J32)</f>
        <v>63343</v>
      </c>
      <c r="K33" s="1002">
        <f>SUM(K26:K32)</f>
        <v>224876</v>
      </c>
      <c r="L33" s="1002">
        <f>SUM(L26:L32)</f>
        <v>164694</v>
      </c>
      <c r="M33" s="1002">
        <f>SUM(M26:M32)</f>
        <v>260609</v>
      </c>
      <c r="N33" s="1002">
        <f>SUM(N26:N32)</f>
        <v>267451</v>
      </c>
      <c r="O33" s="1002">
        <f>SUM(O26:O32)</f>
        <v>87872</v>
      </c>
      <c r="P33" s="985">
        <f>SUM(P26:P32)</f>
        <v>2470893</v>
      </c>
      <c r="Q33" s="985">
        <f>SUM(Q26:Q32)</f>
        <v>2822000</v>
      </c>
      <c r="R33" s="985">
        <f>SUM(R26:R32)</f>
        <v>0</v>
      </c>
      <c r="S33" s="985">
        <f>SUM(S26:S32)</f>
        <v>2822000</v>
      </c>
      <c r="T33" s="1008">
        <f>S33-P33</f>
        <v>351107</v>
      </c>
      <c r="V33" s="1003">
        <f>SUMIF($C$2:$N$2,"&lt;="&amp;締月,C33:N33)</f>
        <v>1239801</v>
      </c>
      <c r="W33" s="1003">
        <f>S33-V33</f>
        <v>1582199</v>
      </c>
    </row>
    <row r="34" ht="18" customHeight="1" s="186">
      <c r="A34" s="983" t="inlineStr">
        <is>
          <t>連合会分担金</t>
        </is>
      </c>
      <c r="B34" s="983" t="n"/>
      <c r="C34" s="984">
        <f>SUM('R7業務（長）'!C34,'R7業務 (短)'!C34)</f>
        <v>0</v>
      </c>
      <c r="D34" s="984">
        <f>SUM('R7業務（長）'!D34,'R7業務 (短)'!D34)</f>
        <v>0</v>
      </c>
      <c r="E34" s="984">
        <f>SUM('R7業務（長）'!E34,'R7業務 (短)'!E34)</f>
        <v>0</v>
      </c>
      <c r="F34" s="984">
        <f>SUM('R7業務（長）'!F34,'R7業務 (短)'!F34)</f>
        <v>0</v>
      </c>
      <c r="G34" s="984">
        <f>SUM('R7業務（長）'!G34,'R7業務 (短)'!G34)</f>
        <v>0</v>
      </c>
      <c r="H34" s="984">
        <f>SUM('R7業務（長）'!H34,'R7業務 (短)'!H34)</f>
        <v>20439958</v>
      </c>
      <c r="I34" s="984">
        <f>SUM('R7業務（長）'!I34,'R7業務 (短)'!I34)</f>
        <v>0</v>
      </c>
      <c r="J34" s="984">
        <f>SUM('R7業務（長）'!J34,'R7業務 (短)'!J34)</f>
        <v>0</v>
      </c>
      <c r="K34" s="984">
        <f>SUM('R7業務（長）'!K34,'R7業務 (短)'!K34)</f>
        <v>0</v>
      </c>
      <c r="L34" s="984">
        <f>SUM('R7業務（長）'!L34,'R7業務 (短)'!L34)</f>
        <v>0</v>
      </c>
      <c r="M34" s="984">
        <f>SUM('R7業務（長）'!M34,'R7業務 (短)'!M34)</f>
        <v>0</v>
      </c>
      <c r="N34" s="984">
        <f>SUM('R7業務（長）'!N34,'R7業務 (短)'!N34)</f>
        <v>0</v>
      </c>
      <c r="O34" s="984">
        <f>SUM('R7業務（長）'!O34,'R7業務 (短)'!O34)</f>
        <v>0</v>
      </c>
      <c r="P34" s="985">
        <f>SUM(C34:O34)</f>
        <v>20439958</v>
      </c>
      <c r="Q34" s="986">
        <f>SUM('R7業務（長）'!Q34,'R7業務 (短)'!Q34)</f>
        <v>20921000</v>
      </c>
      <c r="R34" s="986">
        <f>SUM('R7業務（長）'!R34,'R7業務 (短)'!R34)</f>
        <v>0</v>
      </c>
      <c r="S34" s="986">
        <f>SUM('R7業務（長）'!S34,'R7業務 (短)'!S34)</f>
        <v>20921000</v>
      </c>
      <c r="T34" s="985">
        <f>S34-P34</f>
        <v>481042</v>
      </c>
      <c r="V34" s="987">
        <f>SUMIF($C$2:$N$2,"&lt;="&amp;締月,C34:N34)</f>
        <v>20439958</v>
      </c>
      <c r="W34" s="987">
        <f>S34-V34</f>
        <v>481042</v>
      </c>
    </row>
    <row r="35" ht="18" customHeight="1" s="186">
      <c r="A35" s="1025" t="inlineStr">
        <is>
          <t>事務費負担金払込金</t>
        </is>
      </c>
      <c r="B35" s="979" t="n"/>
      <c r="C35" s="984">
        <f>SUM('R7業務（長）'!C35,'R7業務 (短)'!C35)</f>
        <v>0</v>
      </c>
      <c r="D35" s="984">
        <f>SUM('R7業務（長）'!D35,'R7業務 (短)'!D35)</f>
        <v>5366000</v>
      </c>
      <c r="E35" s="984">
        <f>SUM('R7業務（長）'!E35,'R7業務 (短)'!E35)</f>
        <v>5366000</v>
      </c>
      <c r="F35" s="984">
        <f>SUM('R7業務（長）'!F35,'R7業務 (短)'!F35)</f>
        <v>5366000</v>
      </c>
      <c r="G35" s="984">
        <f>SUM('R7業務（長）'!G35,'R7業務 (短)'!G35)</f>
        <v>5366000</v>
      </c>
      <c r="H35" s="984">
        <f>SUM('R7業務（長）'!H35,'R7業務 (短)'!H35)</f>
        <v>5366000</v>
      </c>
      <c r="I35" s="984">
        <f>SUM('R7業務（長）'!I35,'R7業務 (短)'!I35)</f>
        <v>4513000</v>
      </c>
      <c r="J35" s="984">
        <f>SUM('R7業務（長）'!J35,'R7業務 (短)'!J35)</f>
        <v>4513000</v>
      </c>
      <c r="K35" s="984">
        <f>SUM('R7業務（長）'!K35,'R7業務 (短)'!K35)</f>
        <v>4513000</v>
      </c>
      <c r="L35" s="984">
        <f>SUM('R7業務（長）'!L35,'R7業務 (短)'!L35)</f>
        <v>4513000</v>
      </c>
      <c r="M35" s="984">
        <f>SUM('R7業務（長）'!M35,'R7業務 (短)'!M35)</f>
        <v>4513000</v>
      </c>
      <c r="N35" s="984">
        <f>SUM('R7業務（長）'!N35,'R7業務 (短)'!N35)</f>
        <v>9023000</v>
      </c>
      <c r="O35" s="984">
        <f>SUM('R7業務（長）'!O35,'R7業務 (短)'!O35)</f>
        <v>0</v>
      </c>
      <c r="P35" s="985">
        <f>SUM(C35:O35)</f>
        <v>58418000</v>
      </c>
      <c r="Q35" s="986">
        <f>SUM('R7業務（長）'!Q35,'R7業務 (短)'!Q35)</f>
        <v>64386000</v>
      </c>
      <c r="R35" s="986">
        <f>SUM('R7業務（長）'!R35,'R7業務 (短)'!R35)</f>
        <v>0</v>
      </c>
      <c r="S35" s="986">
        <f>SUM('R7業務（長）'!S35,'R7業務 (短)'!S35)</f>
        <v>64386000</v>
      </c>
      <c r="T35" s="985">
        <f>S35-P35</f>
        <v>5968000</v>
      </c>
      <c r="V35" s="987">
        <f>SUMIF($C$2:$N$2,"&lt;="&amp;締月,C35:N35)</f>
        <v>26830000</v>
      </c>
      <c r="W35" s="987">
        <f>S35-V35</f>
        <v>37556000</v>
      </c>
    </row>
    <row r="36" ht="18" customHeight="1" s="186">
      <c r="A36" s="983" t="inlineStr">
        <is>
          <t>雑費</t>
        </is>
      </c>
      <c r="B36" s="983" t="n"/>
      <c r="C36" s="984">
        <f>SUM('R7業務（長）'!C36,'R7業務 (短)'!C36)</f>
        <v>0</v>
      </c>
      <c r="D36" s="984">
        <f>SUM('R7業務（長）'!D36,'R7業務 (短)'!D36)</f>
        <v>0</v>
      </c>
      <c r="E36" s="984">
        <f>SUM('R7業務（長）'!E36,'R7業務 (短)'!E36)</f>
        <v>0</v>
      </c>
      <c r="F36" s="984">
        <f>SUM('R7業務（長）'!F36,'R7業務 (短)'!F36)</f>
        <v>0</v>
      </c>
      <c r="G36" s="984">
        <f>SUM('R7業務（長）'!G36,'R7業務 (短)'!G36)</f>
        <v>0</v>
      </c>
      <c r="H36" s="984">
        <f>SUM('R7業務（長）'!H36,'R7業務 (短)'!H36)</f>
        <v>0</v>
      </c>
      <c r="I36" s="984">
        <f>SUM('R7業務（長）'!I36,'R7業務 (短)'!I36)</f>
        <v>0</v>
      </c>
      <c r="J36" s="984">
        <f>SUM('R7業務（長）'!J36,'R7業務 (短)'!J36)</f>
        <v>0</v>
      </c>
      <c r="K36" s="984">
        <f>SUM('R7業務（長）'!K36,'R7業務 (短)'!K36)</f>
        <v>0</v>
      </c>
      <c r="L36" s="984">
        <f>SUM('R7業務（長）'!L36,'R7業務 (短)'!L36)</f>
        <v>0</v>
      </c>
      <c r="M36" s="984">
        <f>SUM('R7業務（長）'!M36,'R7業務 (短)'!M36)</f>
        <v>0</v>
      </c>
      <c r="N36" s="984">
        <f>SUM('R7業務（長）'!N36,'R7業務 (短)'!N36)</f>
        <v>0</v>
      </c>
      <c r="O36" s="984">
        <f>SUM('R7業務（長）'!O36,'R7業務 (短)'!O36)</f>
        <v>0</v>
      </c>
      <c r="P36" s="985">
        <f>SUM(C36:O36)</f>
        <v>0</v>
      </c>
      <c r="Q36" s="986">
        <f>SUM('R7業務（長）'!Q36,'R7業務 (短)'!Q36)</f>
        <v>0</v>
      </c>
      <c r="R36" s="986">
        <f>SUM('R7業務（長）'!R36,'R7業務 (短)'!R36)</f>
        <v>0</v>
      </c>
      <c r="S36" s="986">
        <f>SUM('R7業務（長）'!S36,'R7業務 (短)'!S36)</f>
        <v>0</v>
      </c>
      <c r="T36" s="985">
        <f>S36-P36</f>
        <v>0</v>
      </c>
      <c r="V36" s="987">
        <f>SUMIF($C$2:$N$2,"&lt;="&amp;締月,C36:N36)</f>
        <v>0</v>
      </c>
      <c r="W36" s="987">
        <f>S36-V36</f>
        <v>0</v>
      </c>
    </row>
    <row r="37" ht="18" customHeight="1" s="186">
      <c r="A37" s="983" t="inlineStr">
        <is>
          <t>減価償却費</t>
        </is>
      </c>
      <c r="B37" s="983" t="n"/>
      <c r="C37" s="984">
        <f>SUM('R7業務（長）'!C37,'R7業務 (短)'!C37)</f>
        <v>0</v>
      </c>
      <c r="D37" s="984">
        <f>SUM('R7業務（長）'!D37,'R7業務 (短)'!D37)</f>
        <v>0</v>
      </c>
      <c r="E37" s="984">
        <f>SUM('R7業務（長）'!E37,'R7業務 (短)'!E37)</f>
        <v>0</v>
      </c>
      <c r="F37" s="984">
        <f>SUM('R7業務（長）'!F37,'R7業務 (短)'!F37)</f>
        <v>0</v>
      </c>
      <c r="G37" s="984">
        <f>SUM('R7業務（長）'!G37,'R7業務 (短)'!G37)</f>
        <v>0</v>
      </c>
      <c r="H37" s="984">
        <f>SUM('R7業務（長）'!H37,'R7業務 (短)'!H37)</f>
        <v>0</v>
      </c>
      <c r="I37" s="984">
        <f>SUM('R7業務（長）'!I37,'R7業務 (短)'!I37)</f>
        <v>0</v>
      </c>
      <c r="J37" s="984">
        <f>SUM('R7業務（長）'!J37,'R7業務 (短)'!J37)</f>
        <v>0</v>
      </c>
      <c r="K37" s="984">
        <f>SUM('R7業務（長）'!K37,'R7業務 (短)'!K37)</f>
        <v>0</v>
      </c>
      <c r="L37" s="984">
        <f>SUM('R7業務（長）'!L37,'R7業務 (短)'!L37)</f>
        <v>0</v>
      </c>
      <c r="M37" s="984">
        <f>SUM('R7業務（長）'!M37,'R7業務 (短)'!M37)</f>
        <v>0</v>
      </c>
      <c r="N37" s="984">
        <f>SUM('R7業務（長）'!N37,'R7業務 (短)'!N37)</f>
        <v>0</v>
      </c>
      <c r="O37" s="984">
        <f>SUM('R7業務（長）'!O37,'R7業務 (短)'!O37)</f>
        <v>176556</v>
      </c>
      <c r="P37" s="985">
        <f>SUM(C37:O37)</f>
        <v>176556</v>
      </c>
      <c r="Q37" s="986">
        <f>SUM('R7業務（長）'!Q37,'R7業務 (短)'!Q37)</f>
        <v>172000</v>
      </c>
      <c r="R37" s="986">
        <f>SUM('R7業務（長）'!R37,'R7業務 (短)'!R37)</f>
        <v>0</v>
      </c>
      <c r="S37" s="986">
        <f>SUM('R7業務（長）'!S37,'R7業務 (短)'!S37)</f>
        <v>172000</v>
      </c>
      <c r="T37" s="985">
        <f>S37-P37</f>
        <v>-4556</v>
      </c>
      <c r="U37" s="1026" t="inlineStr">
        <is>
          <t>検算</t>
        </is>
      </c>
      <c r="V37" s="987">
        <f>SUMIF($C$2:$N$2,"&lt;="&amp;締月,C37:N37)</f>
        <v>0</v>
      </c>
      <c r="W37" s="987">
        <f>S37-V37</f>
        <v>172000</v>
      </c>
    </row>
    <row r="38" ht="18" customHeight="1" s="186">
      <c r="A38" s="1027" t="inlineStr">
        <is>
          <t>合　　　計</t>
        </is>
      </c>
      <c r="B38" s="1027" t="n"/>
      <c r="C38" s="1028">
        <f>SUM(C9+C18+C19+C20+C21+C22+C23+C24+C25+C26+C33+C34+C35+C36+C37)</f>
        <v>946670</v>
      </c>
      <c r="D38" s="1028">
        <f>SUM(D4+D9+D10+D11+D18+D19+D20+D21+D22+D23+D24+D25+D33+D34+D35+D36+D37)</f>
        <v>10106294</v>
      </c>
      <c r="E38" s="1028">
        <f>SUM(E4+E9+E10+E11+E18+E19+E20+E21+E22+E23+E24+E25+E33+E34+E35+E36+E37)</f>
        <v>9445085</v>
      </c>
      <c r="F38" s="1028">
        <f>SUM(F4+F9+F10+F11+F18+F19+F20+F21+F22+F23+F24+F25+F33+F34+F35+F36+F37)</f>
        <v>9644250</v>
      </c>
      <c r="G38" s="1028">
        <f>SUM(G4+G9+G10+G11+G18+G19+G20+G21+G22+G23+G24+G25+G33+G34+G35+G36+G37)</f>
        <v>9977087</v>
      </c>
      <c r="H38" s="1028">
        <f>SUM(H4+H9+H10+H11+H18+H19+H20+H21+H22+H23+H24+H25+H33+H34+H35+H36+H37)</f>
        <v>30634243</v>
      </c>
      <c r="I38" s="1028">
        <f>SUM(I4+I9+I10+I11+I18+I19+I20+I21+I22+I23+I24+I25+I33+I34+I35+I36+I37)</f>
        <v>8052569</v>
      </c>
      <c r="J38" s="1028">
        <f>SUM(J4+J9+J10+J11+J18+J19+J20+J21+J22+J23+J24+J25+J33+J34+J35+J36+J37)</f>
        <v>9159269</v>
      </c>
      <c r="K38" s="1028">
        <f>SUM(K4+K9+K10+K11+K18+K19+K20+K21+K22+K23+K24+K25+K33+K34+K35+K36+K37)</f>
        <v>11171849</v>
      </c>
      <c r="L38" s="1028">
        <f>SUM(L4+L9+L10+L11+L18+L19+L20+L21+L22+L23+L24+L25+L33+L34+L35+L36+L37)</f>
        <v>8792225</v>
      </c>
      <c r="M38" s="1028">
        <f>SUM(M4+M9+M10+M11+M18+M19+M20+M21+M22+M23+M24+M25+M33+M34+M35+M36+M37)</f>
        <v>8293229</v>
      </c>
      <c r="N38" s="1029">
        <f>SUM(N4+N9+N10+N11+N18+N19+N20+N21+N22+N23+N24+N25+N33+N34+N35+N36+N37)</f>
        <v>12834286</v>
      </c>
      <c r="O38" s="1028">
        <f>SUM(O4+O9+O10+O11+O18+O19+O20+O21+O22+O23+O24+O25+O33+O34+O35+O36+O37)</f>
        <v>3988099</v>
      </c>
      <c r="P38" s="1028">
        <f>SUM(P4+P9+P10+P11+P18+P19+P20+P21+P22+P23+P24+P25+P33+P34+P35+P36+P37)</f>
        <v>133045155</v>
      </c>
      <c r="Q38" s="1028">
        <f>SUM(Q4+Q9+Q10+Q11+Q18+Q19+Q20+Q21+Q22+Q23+Q24+Q25+Q33+Q34+Q35+Q36+Q37)</f>
        <v>146296000</v>
      </c>
      <c r="R38" s="1028">
        <f>SUM(R4+R9+R10+R11+R18+R19+R20+R21+R22+R23+R24+R25+R33+R34+R35+R36+R37)</f>
        <v>0</v>
      </c>
      <c r="S38" s="1028">
        <f>SUM(S4+S9+S10+S11+S18+S19+S20+S21+S22+S23+S24+S25+S33+S34+S35+S36+S37)</f>
        <v>146296000</v>
      </c>
      <c r="T38" s="1028">
        <f>Q38-P38</f>
        <v>13250845</v>
      </c>
      <c r="U38" s="1030">
        <f>T4+T9+T10+T11+T18+T19+T20+T21+T22+T23+T24+T25+T33+T34+T36+T37</f>
        <v>7282845</v>
      </c>
      <c r="V38" s="1003">
        <f>SUMIF($C$2:$N$2,"&lt;="&amp;締月,C38:N38)</f>
        <v>70753629</v>
      </c>
      <c r="W38" s="1003">
        <f>S38-V38</f>
        <v>75542371</v>
      </c>
    </row>
    <row r="39" ht="18" customHeight="1" s="186">
      <c r="A39" s="1031" t="inlineStr">
        <is>
          <t>収益</t>
        </is>
      </c>
      <c r="B39" s="1032" t="n"/>
    </row>
    <row r="40" ht="18" customHeight="1" s="186">
      <c r="A40" s="978" t="inlineStr">
        <is>
          <t>区　　　分</t>
        </is>
      </c>
      <c r="B40" s="979" t="n"/>
      <c r="C40" s="978" t="inlineStr">
        <is>
          <t>４月</t>
        </is>
      </c>
      <c r="D40" s="978" t="inlineStr">
        <is>
          <t>５月</t>
        </is>
      </c>
      <c r="E40" s="978" t="inlineStr">
        <is>
          <t>６月</t>
        </is>
      </c>
      <c r="F40" s="978" t="inlineStr">
        <is>
          <t>７月</t>
        </is>
      </c>
      <c r="G40" s="978" t="inlineStr">
        <is>
          <t>８月</t>
        </is>
      </c>
      <c r="H40" s="978" t="inlineStr">
        <is>
          <t>９月</t>
        </is>
      </c>
      <c r="I40" s="978" t="inlineStr">
        <is>
          <t>１０月</t>
        </is>
      </c>
      <c r="J40" s="978" t="inlineStr">
        <is>
          <t>１１月</t>
        </is>
      </c>
      <c r="K40" s="978" t="inlineStr">
        <is>
          <t>１２月</t>
        </is>
      </c>
      <c r="L40" s="978" t="inlineStr">
        <is>
          <t>１月</t>
        </is>
      </c>
      <c r="M40" s="978" t="inlineStr">
        <is>
          <t>２月</t>
        </is>
      </c>
      <c r="N40" s="978" t="inlineStr">
        <is>
          <t>３月</t>
        </is>
      </c>
      <c r="O40" s="978" t="inlineStr">
        <is>
          <t>４月（未収）</t>
        </is>
      </c>
      <c r="P40" s="978" t="inlineStr">
        <is>
          <t>収入済計</t>
        </is>
      </c>
      <c r="Q40" s="978" t="inlineStr">
        <is>
          <t>予算額</t>
        </is>
      </c>
      <c r="R40" s="978" t="inlineStr">
        <is>
          <t>流用振替額</t>
        </is>
      </c>
      <c r="S40" s="978" t="inlineStr">
        <is>
          <t>予算現額</t>
        </is>
      </c>
      <c r="T40" s="978" t="n"/>
    </row>
    <row r="41" ht="18" customHeight="1" s="186">
      <c r="A41" s="1033" t="inlineStr">
        <is>
          <t>地方公共団体負担金</t>
        </is>
      </c>
      <c r="B41" s="979" t="n"/>
      <c r="C41" s="1034">
        <f>SUM('R7業務（長）'!C41,'R7業務 (短)'!C41)</f>
        <v>6781000</v>
      </c>
      <c r="D41" s="1034">
        <f>SUM('R7業務（長）'!D41,'R7業務 (短)'!D41)</f>
        <v>6663000</v>
      </c>
      <c r="E41" s="1034">
        <f>SUM('R7業務（長）'!E41,'R7業務 (短)'!E41)</f>
        <v>7975000</v>
      </c>
      <c r="F41" s="1034">
        <f>SUM('R7業務（長）'!F41,'R7業務 (短)'!F41)</f>
        <v>10548000</v>
      </c>
      <c r="G41" s="1034">
        <f>SUM('R7業務（長）'!G41,'R7業務 (短)'!G41)</f>
        <v>6664000</v>
      </c>
      <c r="H41" s="1034">
        <f>SUM('R7業務（長）'!H41,'R7業務 (短)'!H41)</f>
        <v>17307000</v>
      </c>
      <c r="I41" s="1034">
        <f>SUM('R7業務（長）'!I41,'R7業務 (短)'!I41)</f>
        <v>6990000</v>
      </c>
      <c r="J41" s="1034">
        <f>SUM('R7業務（長）'!J41,'R7業務 (短)'!J41)</f>
        <v>6741000</v>
      </c>
      <c r="K41" s="1034">
        <f>SUM('R7業務（長）'!K41,'R7業務 (短)'!K41)</f>
        <v>7407000</v>
      </c>
      <c r="L41" s="1034">
        <f>SUM('R7業務（長）'!L41,'R7業務 (短)'!L41)</f>
        <v>7073000</v>
      </c>
      <c r="M41" s="1034">
        <f>SUM('R7業務（長）'!M41,'R7業務 (短)'!M41)</f>
        <v>6722000</v>
      </c>
      <c r="N41" s="1034">
        <f>SUM('R7業務（長）'!N41,'R7業務 (短)'!N41)</f>
        <v>8116000</v>
      </c>
      <c r="O41" s="1034">
        <f>SUM('R7業務（長）'!O41,'R7業務 (短)'!O41)</f>
        <v>2075480</v>
      </c>
      <c r="P41" s="1035">
        <f>SUM(C41:O41)</f>
        <v>101062480</v>
      </c>
      <c r="Q41" s="1034">
        <f>SUM('R7業務（長）'!S41,'R7業務 (短)'!S41)</f>
        <v>94968000</v>
      </c>
      <c r="R41" s="1034">
        <f>SUM('R7業務（長）'!R41,'R7業務 (短)'!R41)</f>
        <v>-11744404</v>
      </c>
      <c r="S41" s="1034">
        <f>SUM('R7業務（長）'!T41,'R7業務 (短)'!T41)</f>
        <v>31002076</v>
      </c>
      <c r="T41" s="1036" t="n"/>
      <c r="V41" s="987">
        <f>SUMIF($C$2:$N$2,"&lt;="&amp;締月,C41:N41)</f>
        <v>55938000</v>
      </c>
    </row>
    <row r="42" ht="18" customHeight="1" s="186">
      <c r="A42" s="1037" t="inlineStr">
        <is>
          <t>雑収入</t>
        </is>
      </c>
      <c r="B42" s="979" t="n"/>
      <c r="C42" s="1034">
        <f>SUM('R7業務（長）'!C42,'R7業務 (短)'!C42)</f>
        <v>0</v>
      </c>
      <c r="D42" s="1034">
        <f>SUM('R7業務（長）'!D42,'R7業務 (短)'!D42)</f>
        <v>0</v>
      </c>
      <c r="E42" s="1034">
        <f>SUM('R7業務（長）'!E42,'R7業務 (短)'!E42)</f>
        <v>0</v>
      </c>
      <c r="F42" s="1034">
        <f>SUM('R7業務（長）'!F42,'R7業務 (短)'!F42)</f>
        <v>0</v>
      </c>
      <c r="G42" s="1034">
        <f>SUM('R7業務（長）'!G42,'R7業務 (短)'!G42)</f>
        <v>0</v>
      </c>
      <c r="H42" s="1034">
        <f>SUM('R7業務（長）'!H42,'R7業務 (短)'!H42)</f>
        <v>0</v>
      </c>
      <c r="I42" s="1034">
        <f>SUM('R7業務（長）'!I42,'R7業務 (短)'!I42)</f>
        <v>0</v>
      </c>
      <c r="J42" s="1034">
        <f>SUM('R7業務（長）'!J42,'R7業務 (短)'!J42)</f>
        <v>0</v>
      </c>
      <c r="K42" s="1034">
        <f>SUM('R7業務（長）'!K42,'R7業務 (短)'!K42)</f>
        <v>0</v>
      </c>
      <c r="L42" s="1034">
        <f>SUM('R7業務（長）'!L42,'R7業務 (短)'!L42)</f>
        <v>0</v>
      </c>
      <c r="M42" s="1034">
        <f>SUM('R7業務（長）'!M42,'R7業務 (短)'!M42)</f>
        <v>0</v>
      </c>
      <c r="N42" s="1034">
        <f>SUM('R7業務（長）'!N42,'R7業務 (短)'!N42)</f>
        <v>75258</v>
      </c>
      <c r="O42" s="1034">
        <f>SUM('R7業務（長）'!O42,'R7業務 (短)'!O42)</f>
        <v>0</v>
      </c>
      <c r="P42" s="1035">
        <f>SUM(C42:O42)</f>
        <v>75258</v>
      </c>
      <c r="Q42" s="1034">
        <f>SUM('R7業務（長）'!S42,'R7業務 (短)'!Q42)</f>
        <v>0</v>
      </c>
      <c r="R42" s="1034">
        <f>SUM('R7業務（長）'!R42,'R7業務 (短)'!R42)</f>
        <v>0</v>
      </c>
      <c r="S42" s="1034">
        <f>SUM('R7業務（長）'!T42,'R7業務 (短)'!T42)</f>
        <v>0</v>
      </c>
      <c r="T42" s="1038" t="n"/>
      <c r="V42" s="987">
        <f>SUMIF($C$2:$N$2,"&lt;="&amp;締月,C42:N42)</f>
        <v>0</v>
      </c>
    </row>
    <row r="43" ht="18" customHeight="1" s="186">
      <c r="A43" s="1039" t="inlineStr">
        <is>
          <t>連合会交付金</t>
        </is>
      </c>
      <c r="B43" s="979" t="n"/>
      <c r="C43" s="1034">
        <f>SUM('R7業務（長）'!C43,'R7業務 (短)'!C43)</f>
        <v>0</v>
      </c>
      <c r="D43" s="1034">
        <f>SUM('R7業務（長）'!D43,'R7業務 (短)'!D43)</f>
        <v>4513000</v>
      </c>
      <c r="E43" s="1034">
        <f>SUM('R7業務（長）'!E43,'R7業務 (短)'!E43)</f>
        <v>5366000</v>
      </c>
      <c r="F43" s="1034">
        <f>SUM('R7業務（長）'!F43,'R7業務 (短)'!F43)</f>
        <v>5366000</v>
      </c>
      <c r="G43" s="1034">
        <f>SUM('R7業務（長）'!G43,'R7業務 (短)'!G43)</f>
        <v>5366000</v>
      </c>
      <c r="H43" s="1034">
        <f>SUM('R7業務（長）'!H43,'R7業務 (短)'!H43)</f>
        <v>5369148</v>
      </c>
      <c r="I43" s="1034">
        <f>SUM('R7業務（長）'!I43,'R7業務 (短)'!I43)</f>
        <v>0</v>
      </c>
      <c r="J43" s="1034">
        <f>SUM('R7業務（長）'!J43,'R7業務 (短)'!J43)</f>
        <v>-261410</v>
      </c>
      <c r="K43" s="1034">
        <f>SUM('R7業務（長）'!K43,'R7業務 (短)'!K43)</f>
        <v>0</v>
      </c>
      <c r="L43" s="1034">
        <f>SUM('R7業務（長）'!L43,'R7業務 (短)'!L43)</f>
        <v>0</v>
      </c>
      <c r="M43" s="1034">
        <f>SUM('R7業務（長）'!M43,'R7業務 (短)'!M43)</f>
        <v>0</v>
      </c>
      <c r="N43" s="1034">
        <f>SUM('R7業務（長）'!N43,'R7業務 (短)'!N43)</f>
        <v>0</v>
      </c>
      <c r="O43" s="1034">
        <f>SUM('R7業務（長）'!O43,'R7業務 (短)'!O43)</f>
        <v>0</v>
      </c>
      <c r="P43" s="1035">
        <f>SUM(C43:O43)</f>
        <v>25718738</v>
      </c>
      <c r="Q43" s="1034">
        <f>SUM('R7業務（長）'!S43,'R7業務 (短)'!Q43)</f>
        <v>23147000</v>
      </c>
      <c r="R43" s="1034">
        <f>SUM('R7業務（長）'!R43,'R7業務 (短)'!R43)</f>
        <v>0</v>
      </c>
      <c r="S43" s="1034">
        <f>SUM('R7業務（長）'!T43,'R7業務 (短)'!T43)</f>
        <v>0</v>
      </c>
      <c r="T43" s="1038" t="n"/>
      <c r="V43" s="987">
        <f>SUMIF($C$2:$N$2,"&lt;="&amp;締月,C43:N43)</f>
        <v>25980148</v>
      </c>
    </row>
    <row r="44" ht="18" customHeight="1" s="186">
      <c r="A44" s="1037" t="inlineStr">
        <is>
          <t>長期経理より繰入</t>
        </is>
      </c>
      <c r="B44" s="979" t="n"/>
      <c r="C44" s="1034">
        <f>SUM('R7業務（長）'!C44)</f>
        <v>0</v>
      </c>
      <c r="D44" s="1034">
        <f>SUM('R7業務（長）'!D44)</f>
        <v>0</v>
      </c>
      <c r="E44" s="1034">
        <f>SUM('R7業務（長）'!E44)</f>
        <v>0</v>
      </c>
      <c r="F44" s="1034">
        <f>SUM('R7業務（長）'!F44)</f>
        <v>0</v>
      </c>
      <c r="G44" s="1034">
        <f>SUM('R7業務（長）'!G44)</f>
        <v>0</v>
      </c>
      <c r="H44" s="1034">
        <f>SUM('R7業務（長）'!H44)</f>
        <v>0</v>
      </c>
      <c r="I44" s="1034">
        <f>SUM('R7業務（長）'!I44)</f>
        <v>0</v>
      </c>
      <c r="J44" s="1034">
        <f>SUM('R7業務（長）'!J44)</f>
        <v>0</v>
      </c>
      <c r="K44" s="1034">
        <f>SUM('R7業務（長）'!K44)</f>
        <v>0</v>
      </c>
      <c r="L44" s="1034">
        <f>SUM('R7業務（長）'!L44)</f>
        <v>0</v>
      </c>
      <c r="M44" s="1034">
        <f>SUM('R7業務（長）'!M44)</f>
        <v>0</v>
      </c>
      <c r="N44" s="1034">
        <f>SUM('R7業務（長）'!N44)</f>
        <v>0</v>
      </c>
      <c r="O44" s="1034">
        <f>SUM('R7業務（長）'!O44)</f>
        <v>0</v>
      </c>
      <c r="P44" s="1035">
        <f>SUM(C44:O44)</f>
        <v>0</v>
      </c>
      <c r="Q44" s="1034">
        <f>SUM('R7業務（長）'!S44)</f>
        <v>0</v>
      </c>
      <c r="R44" s="1034">
        <f>SUM('R7業務（長）'!R44)</f>
        <v>0</v>
      </c>
      <c r="S44" s="1034">
        <f>SUM('R7業務（長）'!T44)</f>
        <v>0</v>
      </c>
      <c r="T44" s="1038" t="n"/>
      <c r="V44" s="987">
        <f>SUMIF($C$2:$N$2,"&lt;="&amp;締月,C44:N44)</f>
        <v>0</v>
      </c>
    </row>
    <row r="45" ht="18" customHeight="1" s="186">
      <c r="A45" s="1037" t="inlineStr">
        <is>
          <t>短期経理より繰入</t>
        </is>
      </c>
      <c r="B45" s="979" t="n"/>
      <c r="C45" s="1034">
        <f>SUM('R7業務 (短)'!C44)</f>
        <v>0</v>
      </c>
      <c r="D45" s="1034">
        <f>SUM('R7業務 (短)'!D44)</f>
        <v>0</v>
      </c>
      <c r="E45" s="1034">
        <f>SUM('R7業務 (短)'!E44)</f>
        <v>0</v>
      </c>
      <c r="F45" s="1034">
        <f>SUM('R7業務 (短)'!F44)</f>
        <v>0</v>
      </c>
      <c r="G45" s="1034">
        <f>SUM('R7業務 (短)'!G44)</f>
        <v>0</v>
      </c>
      <c r="H45" s="1034">
        <f>SUM('R7業務 (短)'!H44)</f>
        <v>0</v>
      </c>
      <c r="I45" s="1034">
        <f>SUM('R7業務 (短)'!I44)</f>
        <v>0</v>
      </c>
      <c r="J45" s="1034">
        <f>SUM('R7業務 (短)'!J44)</f>
        <v>0</v>
      </c>
      <c r="K45" s="1034">
        <f>SUM('R7業務 (短)'!K44)</f>
        <v>0</v>
      </c>
      <c r="L45" s="1034">
        <f>SUM('R7業務 (短)'!L44)</f>
        <v>0</v>
      </c>
      <c r="M45" s="1034">
        <f>SUM('R7業務 (短)'!M44)</f>
        <v>0</v>
      </c>
      <c r="N45" s="1034">
        <f>SUM('R7業務 (短)'!N44)</f>
        <v>0</v>
      </c>
      <c r="O45" s="1034">
        <f>SUM('R7業務 (短)'!O44)</f>
        <v>7580026</v>
      </c>
      <c r="P45" s="1035">
        <f>SUM(C45:O45)</f>
        <v>7580026</v>
      </c>
      <c r="Q45" s="1034">
        <f>SUM('R7業務 (短)'!S44)</f>
        <v>13605000</v>
      </c>
      <c r="R45" s="1034">
        <f>SUM('R7業務 (短)'!R44)</f>
        <v>0</v>
      </c>
      <c r="S45" s="1034">
        <f>SUM('R7業務 (短)'!T44)</f>
        <v>0</v>
      </c>
      <c r="T45" s="1038" t="n"/>
      <c r="V45" s="987">
        <f>SUMIF($C$2:$N$2,"&lt;="&amp;締月,C45:N45)</f>
        <v>0</v>
      </c>
    </row>
    <row r="46" ht="18" customHeight="1" s="186">
      <c r="A46" s="1037" t="inlineStr">
        <is>
          <t>当期損失金</t>
        </is>
      </c>
      <c r="B46" s="979" t="n"/>
      <c r="C46" s="1034">
        <f>SUM('R7業務（長）'!C45,'R7業務 (短)'!C45)</f>
        <v>0</v>
      </c>
      <c r="D46" s="1034">
        <f>SUM('R7業務（長）'!D45,'R7業務 (短)'!D45)</f>
        <v>0</v>
      </c>
      <c r="E46" s="1034">
        <f>SUM('R7業務（長）'!E45,'R7業務 (短)'!E45)</f>
        <v>0</v>
      </c>
      <c r="F46" s="1034">
        <f>SUM('R7業務（長）'!F45,'R7業務 (短)'!F45)</f>
        <v>0</v>
      </c>
      <c r="G46" s="1034">
        <f>SUM('R7業務（長）'!G45,'R7業務 (短)'!G45)</f>
        <v>0</v>
      </c>
      <c r="H46" s="1034">
        <f>SUM('R7業務（長）'!H45,'R7業務 (短)'!H45)</f>
        <v>0</v>
      </c>
      <c r="I46" s="1034">
        <f>SUM('R7業務（長）'!I45,'R7業務 (短)'!I45)</f>
        <v>0</v>
      </c>
      <c r="J46" s="1034">
        <f>SUM('R7業務（長）'!J45,'R7業務 (短)'!J45)</f>
        <v>0</v>
      </c>
      <c r="K46" s="1034">
        <f>SUM('R7業務（長）'!K45,'R7業務 (短)'!K45)</f>
        <v>0</v>
      </c>
      <c r="L46" s="1034">
        <f>SUM('R7業務（長）'!L45,'R7業務 (短)'!L45)</f>
        <v>0</v>
      </c>
      <c r="M46" s="1034">
        <f>SUM('R7業務（長）'!M45,'R7業務 (短)'!M45)</f>
        <v>0</v>
      </c>
      <c r="N46" s="1034">
        <f>SUM('R7業務（長）'!N45,'R7業務 (短)'!N45)</f>
        <v>0</v>
      </c>
      <c r="O46" s="1034">
        <f>SUM('R7業務（長）'!O45,'R7業務 (短)'!O45)</f>
        <v>0</v>
      </c>
      <c r="P46" s="1035">
        <f>SUM(C46:O46)</f>
        <v>0</v>
      </c>
      <c r="Q46" s="1034">
        <f>SUM('R7業務（長）'!S45,'R7業務 (短)'!S45)</f>
        <v>0</v>
      </c>
      <c r="R46" s="1034">
        <f>SUM('R7業務（長）'!R45,'R7業務 (短)'!R45)</f>
        <v>0</v>
      </c>
      <c r="S46" s="1034">
        <f>SUM('R7業務（長）'!T45,'R7業務 (短)'!T45)</f>
        <v>0</v>
      </c>
      <c r="T46" s="1038" t="n"/>
      <c r="V46" s="987">
        <f>SUMIF($C$2:$N$2,"&lt;="&amp;締月,C46:N46)</f>
        <v>0</v>
      </c>
    </row>
    <row r="47" ht="18" customHeight="1" s="186">
      <c r="A47" s="1040" t="inlineStr">
        <is>
          <t>合　　　計</t>
        </is>
      </c>
      <c r="B47" s="979" t="n"/>
      <c r="C47" s="1041">
        <f>SUM(C41:C45)</f>
        <v>6781000</v>
      </c>
      <c r="D47" s="1041">
        <f>SUM(D41:D45)</f>
        <v>11176000</v>
      </c>
      <c r="E47" s="1041">
        <f>SUM(E41:E45)</f>
        <v>13341000</v>
      </c>
      <c r="F47" s="1041">
        <f>SUM(F41:F45)</f>
        <v>15914000</v>
      </c>
      <c r="G47" s="1041">
        <f>SUM(G41:G45)</f>
        <v>12030000</v>
      </c>
      <c r="H47" s="1041">
        <f>SUM(H41:H45)</f>
        <v>22676148</v>
      </c>
      <c r="I47" s="1041">
        <f>SUM(I41:I45)</f>
        <v>6990000</v>
      </c>
      <c r="J47" s="1041">
        <f>SUM(J41:J45)</f>
        <v>6479590</v>
      </c>
      <c r="K47" s="1041">
        <f>SUM(K41:K45)</f>
        <v>7407000</v>
      </c>
      <c r="L47" s="1041">
        <f>SUM(L41:L45)</f>
        <v>7073000</v>
      </c>
      <c r="M47" s="1041">
        <f>SUM(M41:M45)</f>
        <v>6722000</v>
      </c>
      <c r="N47" s="1041">
        <f>SUM(N41:N45)</f>
        <v>8191258</v>
      </c>
      <c r="O47" s="1041">
        <f>SUM(O41:O45)</f>
        <v>9655506</v>
      </c>
      <c r="P47" s="1041">
        <f>SUM(P41:P45)</f>
        <v>134436502</v>
      </c>
      <c r="Q47" s="1041">
        <f>Q41+Q42+Q43+Q44+Q45+Q46</f>
        <v>131720000</v>
      </c>
      <c r="R47" s="1041">
        <f>R41+R42+R43+R44+R45+R46</f>
        <v>-11744404</v>
      </c>
      <c r="S47" s="1041">
        <f>S41+S42+S43+S44+S45+S46</f>
        <v>31002076</v>
      </c>
      <c r="T47" s="1042" t="n"/>
      <c r="V47" s="1003">
        <f>SUMIF($C$2:$N$2,"&lt;="&amp;締月,C47:N47)</f>
        <v>81918148</v>
      </c>
    </row>
    <row r="48" ht="18" customHeight="1" s="186">
      <c r="C48" s="768" t="n"/>
      <c r="D48" s="768" t="n"/>
      <c r="E48" s="768" t="n"/>
      <c r="F48" s="768" t="n"/>
      <c r="G48" s="768" t="n"/>
      <c r="H48" s="768" t="n"/>
      <c r="I48" s="768" t="n"/>
      <c r="J48" s="1026" t="inlineStr">
        <is>
          <t>通帳残高見込</t>
        </is>
      </c>
      <c r="K48" s="768" t="n"/>
      <c r="L48" s="1043">
        <f>SUM(L49)</f>
        <v>-1719225</v>
      </c>
      <c r="M48" s="1043">
        <f>SUM(L49:M49)</f>
        <v>-3290454</v>
      </c>
      <c r="N48" s="1043">
        <f>SUM(L49:N49)</f>
        <v>-7933482</v>
      </c>
      <c r="O48" s="1043">
        <f>SUM(L49:O49)</f>
        <v>-2266075</v>
      </c>
      <c r="P48" s="768" t="n"/>
      <c r="Q48" s="768" t="n"/>
      <c r="R48" s="1044" t="n"/>
      <c r="S48" s="1044" t="n"/>
      <c r="T48" s="768" t="n"/>
    </row>
    <row r="49" ht="18" customHeight="1" s="186">
      <c r="A49" s="1045" t="inlineStr">
        <is>
          <t>収益－費用</t>
        </is>
      </c>
      <c r="B49" s="1046" t="n"/>
      <c r="C49" s="1047">
        <f>C47-C38</f>
        <v>5834330</v>
      </c>
      <c r="D49" s="1047">
        <f>D47-D38</f>
        <v>1069706</v>
      </c>
      <c r="E49" s="1047">
        <f>E47-E38</f>
        <v>3895915</v>
      </c>
      <c r="F49" s="1047">
        <f>F47-F38</f>
        <v>6269750</v>
      </c>
      <c r="G49" s="1047">
        <f>G47-G38</f>
        <v>2052913</v>
      </c>
      <c r="H49" s="1047">
        <f>H47-H38</f>
        <v>-7958095</v>
      </c>
      <c r="I49" s="1047">
        <f>I47-I38</f>
        <v>-1062569</v>
      </c>
      <c r="J49" s="1047">
        <f>J47-J38</f>
        <v>-2679679</v>
      </c>
      <c r="K49" s="1047">
        <f>K47-K38</f>
        <v>-3764849</v>
      </c>
      <c r="L49" s="1047">
        <f>L47-L38</f>
        <v>-1719225</v>
      </c>
      <c r="M49" s="1047">
        <f>M47-M38</f>
        <v>-1571229</v>
      </c>
      <c r="N49" s="1047">
        <f>N47-N38</f>
        <v>-4643028</v>
      </c>
      <c r="O49" s="1047">
        <f>O47-O38</f>
        <v>5667407</v>
      </c>
      <c r="P49" s="1047">
        <f>P47-P38</f>
        <v>1391347</v>
      </c>
      <c r="Q49" s="1047">
        <f>Q47-Q38</f>
        <v>-14576000</v>
      </c>
      <c r="R49" s="1047">
        <f>R47-R38</f>
        <v>-11744404</v>
      </c>
      <c r="S49" s="1047">
        <f>S47-S38</f>
        <v>-115293924</v>
      </c>
      <c r="T49" s="1048" t="n"/>
      <c r="V49" s="1003">
        <f>SUMIF($C$2:$N$2,"&lt;="&amp;締月,C49:N49)</f>
        <v>11164519</v>
      </c>
    </row>
    <row r="50" ht="55.5" customHeight="1" s="186"/>
    <row r="51" ht="18" customHeight="1" s="186">
      <c r="B51" s="1049" t="inlineStr">
        <is>
          <t>参考（職員給与）</t>
        </is>
      </c>
      <c r="C51" s="1026" t="inlineStr">
        <is>
          <t>４月支払</t>
        </is>
      </c>
      <c r="D51" s="1026" t="inlineStr">
        <is>
          <t>５月支払</t>
        </is>
      </c>
      <c r="E51" s="1026" t="inlineStr">
        <is>
          <t>６月支払</t>
        </is>
      </c>
      <c r="F51" s="1026" t="inlineStr">
        <is>
          <t>７月支払</t>
        </is>
      </c>
      <c r="G51" s="1026" t="inlineStr">
        <is>
          <t>８月支払</t>
        </is>
      </c>
      <c r="H51" s="1026" t="inlineStr">
        <is>
          <t>９月支払</t>
        </is>
      </c>
      <c r="I51" s="1026" t="inlineStr">
        <is>
          <t>１０月支払</t>
        </is>
      </c>
      <c r="J51" s="1026" t="inlineStr">
        <is>
          <t>１１月支払</t>
        </is>
      </c>
      <c r="K51" s="1026" t="inlineStr">
        <is>
          <t>１２月支払</t>
        </is>
      </c>
      <c r="L51" s="1026" t="inlineStr">
        <is>
          <t>１月支払</t>
        </is>
      </c>
      <c r="M51" s="1026" t="inlineStr">
        <is>
          <t>２月支払</t>
        </is>
      </c>
      <c r="N51" s="1026" t="inlineStr">
        <is>
          <t>３月支払</t>
        </is>
      </c>
      <c r="O51" s="1026" t="inlineStr">
        <is>
          <t>未払</t>
        </is>
      </c>
      <c r="Q51" s="1026" t="inlineStr">
        <is>
          <t>合計</t>
        </is>
      </c>
      <c r="R51" s="1043" t="n"/>
      <c r="S51" s="1043" t="n"/>
    </row>
    <row r="52" ht="18" customHeight="1" s="186">
      <c r="B52" s="1049" t="inlineStr">
        <is>
          <t>臨時賃金</t>
        </is>
      </c>
      <c r="C52" s="1050">
        <f>SUM('R7業務（長）'!C59,'R7業務 (短)'!C59)</f>
        <v>0</v>
      </c>
      <c r="D52" s="1050">
        <f>SUM('R7業務（長）'!D59,'R7業務 (短)'!D59)</f>
        <v>425880</v>
      </c>
      <c r="E52" s="1050">
        <f>SUM('R7業務（長）'!E59,'R7業務 (短)'!E59)</f>
        <v>365040</v>
      </c>
      <c r="F52" s="1050">
        <f>SUM('R7業務（長）'!F59,'R7業務 (短)'!F59)</f>
        <v>446160</v>
      </c>
      <c r="G52" s="1050">
        <f>SUM('R7業務（長）'!G59,'R7業務 (短)'!G59)</f>
        <v>445720</v>
      </c>
      <c r="H52" s="1050">
        <f>SUM('R7業務（長）'!H59,'R7業務 (短)'!H59)</f>
        <v>384480</v>
      </c>
      <c r="I52" s="1050">
        <f>SUM('R7業務（長）'!I59,'R7業務 (短)'!I59)</f>
        <v>389160</v>
      </c>
      <c r="J52" s="1050">
        <f>SUM('R7業務（長）'!J59,'R7業務 (短)'!J59)</f>
        <v>416580</v>
      </c>
      <c r="K52" s="1050">
        <f>SUM('R7業務（長）'!K59,'R7業務 (短)'!K59)</f>
        <v>340920</v>
      </c>
      <c r="L52" s="1050">
        <f>SUM('R7業務（長）'!L59,'R7業務 (短)'!L59)</f>
        <v>377520</v>
      </c>
      <c r="M52" s="1050">
        <f>SUM('R7業務（長）'!M59,'R7業務 (短)'!M59)</f>
        <v>359120</v>
      </c>
      <c r="N52" s="1050">
        <f>SUM('R7業務（長）'!N59,'R7業務 (短)'!N59)</f>
        <v>339340</v>
      </c>
      <c r="O52" s="1050">
        <f>SUM('R7業務（長）'!O59,'R7業務 (短)'!O59)</f>
        <v>339568</v>
      </c>
      <c r="P52" s="768" t="n"/>
      <c r="Q52" s="1043">
        <f>SUM(C52:O52)</f>
        <v>4629488</v>
      </c>
      <c r="R52" s="1051" t="n"/>
      <c r="S52" s="1051" t="n"/>
      <c r="T52" s="1051" t="n"/>
      <c r="V52" s="987">
        <f>SUMIF($C$2:$N$2,"&lt;="&amp;締月,C52:N52)</f>
        <v>2067280</v>
      </c>
    </row>
    <row r="53" ht="18" customHeight="1" s="186">
      <c r="B53" s="1049" t="inlineStr">
        <is>
          <t>職員基本給</t>
        </is>
      </c>
      <c r="C53" s="1050">
        <f>SUM('R7業務（長）'!C51,'R7業務 (短)'!C51)</f>
        <v>0</v>
      </c>
      <c r="D53" s="1050">
        <f>SUM('R7業務（長）'!D51,'R7業務 (短)'!D51)</f>
        <v>0</v>
      </c>
      <c r="E53" s="1050">
        <f>SUM('R7業務（長）'!E51,'R7業務 (短)'!E51)</f>
        <v>0</v>
      </c>
      <c r="F53" s="1050">
        <f>SUM('R7業務（長）'!F51,'R7業務 (短)'!F51)</f>
        <v>0</v>
      </c>
      <c r="G53" s="1050">
        <f>SUM('R7業務（長）'!G51,'R7業務 (短)'!G51)</f>
        <v>0</v>
      </c>
      <c r="H53" s="1050">
        <f>SUM('R7業務（長）'!H51,'R7業務 (短)'!H51)</f>
        <v>0</v>
      </c>
      <c r="I53" s="1050">
        <f>SUM('R7業務（長）'!I51,'R7業務 (短)'!I51)</f>
        <v>0</v>
      </c>
      <c r="J53" s="1050">
        <f>SUM('R7業務（長）'!J51,'R7業務 (短)'!J51)</f>
        <v>0</v>
      </c>
      <c r="K53" s="1050">
        <f>SUM('R7業務（長）'!K51,'R7業務 (短)'!K51)</f>
        <v>0</v>
      </c>
      <c r="L53" s="1050">
        <f>SUM('R7業務（長）'!L51,'R7業務 (短)'!L51)</f>
        <v>0</v>
      </c>
      <c r="M53" s="1050">
        <f>SUM('R7業務（長）'!M51,'R7業務 (短)'!M51)</f>
        <v>0</v>
      </c>
      <c r="N53" s="1050">
        <f>SUM('R7業務（長）'!N51,'R7業務 (短)'!N51)</f>
        <v>0</v>
      </c>
      <c r="O53" s="1050">
        <f>SUM('R7業務（長）'!O51,'R7業務 (短)'!O51)</f>
        <v>0</v>
      </c>
      <c r="P53" s="768" t="n"/>
      <c r="Q53" s="1043">
        <f>SUM(C53:O53)</f>
        <v>0</v>
      </c>
      <c r="R53" s="1051" t="n"/>
      <c r="S53" s="1051" t="n"/>
      <c r="T53" s="1051" t="n"/>
      <c r="V53" s="987">
        <f>SUMIF($C$2:$N$2,"&lt;="&amp;締月,C53:N53)</f>
        <v>0</v>
      </c>
    </row>
    <row r="54" ht="18" customHeight="1" s="186">
      <c r="B54" s="1052" t="inlineStr">
        <is>
          <t>基本給計</t>
        </is>
      </c>
      <c r="C54" s="1043">
        <f>SUM(C52:C53)</f>
        <v>0</v>
      </c>
      <c r="D54" s="1043">
        <f>SUM(D52:D53)</f>
        <v>425880</v>
      </c>
      <c r="E54" s="1043">
        <f>SUM(E52:E53)</f>
        <v>365040</v>
      </c>
      <c r="F54" s="1043">
        <f>SUM(F52:F53)</f>
        <v>446160</v>
      </c>
      <c r="G54" s="1043">
        <f>SUM(G52:G53)</f>
        <v>445720</v>
      </c>
      <c r="H54" s="1043">
        <f>SUM(H52:H53)</f>
        <v>384480</v>
      </c>
      <c r="I54" s="1043">
        <f>SUM(I52:I53)</f>
        <v>389160</v>
      </c>
      <c r="J54" s="1043">
        <f>SUM(J52:J53)</f>
        <v>416580</v>
      </c>
      <c r="K54" s="1043">
        <f>SUM(K52:K53)</f>
        <v>340920</v>
      </c>
      <c r="L54" s="1043">
        <f>SUM(L52:L53)</f>
        <v>377520</v>
      </c>
      <c r="M54" s="1043">
        <f>SUM(M52:M53)</f>
        <v>359120</v>
      </c>
      <c r="N54" s="1043">
        <f>SUM(N52:N53)</f>
        <v>339340</v>
      </c>
      <c r="O54" s="1043">
        <f>SUM(O52:O53)</f>
        <v>339568</v>
      </c>
      <c r="Q54" s="1043">
        <f>SUM(C54:O54)</f>
        <v>4629488</v>
      </c>
      <c r="V54" s="1003">
        <f>SUMIF($C$2:$N$2,"&lt;="&amp;締月,C54:N54)</f>
        <v>2067280</v>
      </c>
    </row>
    <row r="55" ht="18" customHeight="1" s="186">
      <c r="B55" s="1049" t="inlineStr">
        <is>
          <t>手当（賞与以外）</t>
        </is>
      </c>
      <c r="C55" s="1050">
        <f>SUM('R7業務（長）'!C53,'R7業務 (短)'!C53)</f>
        <v>0</v>
      </c>
      <c r="D55" s="1050">
        <f>SUM('R7業務（長）'!D53,'R7業務 (短)'!D53)</f>
        <v>0</v>
      </c>
      <c r="E55" s="1050">
        <f>SUM('R7業務（長）'!E53,'R7業務 (短)'!E53)</f>
        <v>0</v>
      </c>
      <c r="F55" s="1050">
        <f>SUM('R7業務（長）'!F53,'R7業務 (短)'!F53)</f>
        <v>0</v>
      </c>
      <c r="G55" s="1050">
        <f>SUM('R7業務（長）'!G53,'R7業務 (短)'!G53)</f>
        <v>0</v>
      </c>
      <c r="H55" s="1050">
        <f>SUM('R7業務（長）'!H53,'R7業務 (短)'!H53)</f>
        <v>0</v>
      </c>
      <c r="I55" s="1050">
        <f>SUM('R7業務（長）'!I53,'R7業務 (短)'!I53)</f>
        <v>0</v>
      </c>
      <c r="J55" s="1050">
        <f>SUM('R7業務（長）'!J53,'R7業務 (短)'!J53)</f>
        <v>0</v>
      </c>
      <c r="K55" s="1050">
        <f>SUM('R7業務（長）'!K53,'R7業務 (短)'!K53)</f>
        <v>0</v>
      </c>
      <c r="L55" s="1050">
        <f>SUM('R7業務（長）'!L53,'R7業務 (短)'!L53)</f>
        <v>0</v>
      </c>
      <c r="M55" s="1050">
        <f>SUM('R7業務（長）'!M53,'R7業務 (短)'!M53)</f>
        <v>0</v>
      </c>
      <c r="N55" s="1050">
        <f>SUM('R7業務（長）'!N53,'R7業務 (短)'!N53)</f>
        <v>0</v>
      </c>
      <c r="O55" s="1050">
        <f>SUM('R7業務（長）'!O53,'R7業務 (短)'!O53)</f>
        <v>0</v>
      </c>
      <c r="P55" s="768" t="n"/>
      <c r="Q55" s="1043">
        <f>SUM(C55:O55)</f>
        <v>0</v>
      </c>
      <c r="R55" s="1051" t="n"/>
      <c r="S55" s="1051" t="n"/>
      <c r="T55" s="1051" t="n"/>
      <c r="V55" s="987">
        <f>SUMIF($C$2:$N$2,"&lt;="&amp;締月,C55:N55)</f>
        <v>0</v>
      </c>
    </row>
    <row r="56" ht="18" customHeight="1" s="186">
      <c r="B56" s="1049" t="inlineStr">
        <is>
          <t>賞与</t>
        </is>
      </c>
      <c r="C56" s="1050">
        <f>SUM('R7業務（長）'!C54,'R7業務 (短)'!C54)</f>
        <v>0</v>
      </c>
      <c r="D56" s="1050">
        <f>SUM('R7業務（長）'!D54,'R7業務 (短)'!D54)</f>
        <v>0</v>
      </c>
      <c r="E56" s="1050">
        <f>SUM('R7業務（長）'!E54,'R7業務 (短)'!E54)</f>
        <v>0</v>
      </c>
      <c r="F56" s="1050">
        <f>SUM('R7業務（長）'!F54,'R7業務 (短)'!F54)</f>
        <v>0</v>
      </c>
      <c r="G56" s="1050">
        <f>SUM('R7業務（長）'!G54,'R7業務 (短)'!G54)</f>
        <v>0</v>
      </c>
      <c r="H56" s="1050">
        <f>SUM('R7業務（長）'!H54,'R7業務 (短)'!H54)</f>
        <v>0</v>
      </c>
      <c r="I56" s="1050">
        <f>SUM('R7業務（長）'!I54,'R7業務 (短)'!I54)</f>
        <v>0</v>
      </c>
      <c r="J56" s="1050">
        <f>SUM('R7業務（長）'!J54,'R7業務 (短)'!J54)</f>
        <v>0</v>
      </c>
      <c r="K56" s="1050">
        <f>SUM('R7業務（長）'!K54,'R7業務 (短)'!K54)</f>
        <v>0</v>
      </c>
      <c r="L56" s="1050">
        <f>SUM('R7業務（長）'!L54,'R7業務 (短)'!L54)</f>
        <v>0</v>
      </c>
      <c r="M56" s="1050">
        <f>SUM('R7業務（長）'!M54,'R7業務 (短)'!M54)</f>
        <v>0</v>
      </c>
      <c r="N56" s="1050">
        <f>SUM('R7業務（長）'!N54,'R7業務 (短)'!N54)</f>
        <v>0</v>
      </c>
      <c r="O56" s="1050">
        <f>SUM('R7業務（長）'!O54,'R7業務 (短)'!O54)</f>
        <v>0</v>
      </c>
      <c r="P56" s="768" t="n"/>
      <c r="Q56" s="1043">
        <f>SUM(C56:O56)</f>
        <v>0</v>
      </c>
      <c r="R56" s="1051" t="n"/>
      <c r="S56" s="1051" t="n"/>
      <c r="T56" s="1051" t="n"/>
      <c r="V56" s="987">
        <f>SUMIF($C$2:$N$2,"&lt;="&amp;締月,C56:N56)</f>
        <v>0</v>
      </c>
    </row>
    <row r="57" ht="18" customHeight="1" s="186">
      <c r="B57" s="1052" t="inlineStr">
        <is>
          <t>手当計</t>
        </is>
      </c>
      <c r="C57" s="1043">
        <f>SUM(C55:C56)</f>
        <v>0</v>
      </c>
      <c r="D57" s="1043">
        <f>SUM(D55:D56)</f>
        <v>0</v>
      </c>
      <c r="E57" s="1043">
        <f>SUM(E55:E56)</f>
        <v>0</v>
      </c>
      <c r="F57" s="1043">
        <f>SUM(F55:F56)</f>
        <v>0</v>
      </c>
      <c r="G57" s="1043">
        <f>SUM(G55:G56)</f>
        <v>0</v>
      </c>
      <c r="H57" s="1043">
        <f>SUM(H55:H56)</f>
        <v>0</v>
      </c>
      <c r="I57" s="1043">
        <f>SUM(I55:I56)</f>
        <v>0</v>
      </c>
      <c r="J57" s="1043">
        <f>SUM(J55:J56)</f>
        <v>0</v>
      </c>
      <c r="K57" s="1043">
        <f>SUM(K55:K56)</f>
        <v>0</v>
      </c>
      <c r="L57" s="1043">
        <f>SUM(L55:L56)</f>
        <v>0</v>
      </c>
      <c r="M57" s="1043">
        <f>SUM(M55:M56)</f>
        <v>0</v>
      </c>
      <c r="N57" s="1043">
        <f>SUM(N55:N56)</f>
        <v>0</v>
      </c>
      <c r="O57" s="1043">
        <f>SUM(O55:O56)</f>
        <v>0</v>
      </c>
      <c r="Q57" s="1043">
        <f>SUM(C57:O57)</f>
        <v>0</v>
      </c>
      <c r="V57" s="1003">
        <f>SUMIF($C$2:$N$2,"&lt;="&amp;締月,C57:N57)</f>
        <v>0</v>
      </c>
    </row>
    <row r="58" ht="18" customHeight="1" s="186">
      <c r="B58" s="1049" t="inlineStr">
        <is>
          <t>嘱託報酬</t>
        </is>
      </c>
      <c r="C58" s="944">
        <f>SUM('R7業務（長）'!C56,'R7業務 (短)'!C56)</f>
        <v>698140</v>
      </c>
      <c r="D58" s="944">
        <f>SUM('R7業務（長）'!D56,'R7業務 (短)'!D56)</f>
        <v>629236</v>
      </c>
      <c r="E58" s="944">
        <f>SUM('R7業務（長）'!E56,'R7業務 (短)'!E56)</f>
        <v>631304</v>
      </c>
      <c r="F58" s="1050">
        <f>SUM('R7業務（長）'!F56,'R7業務 (短)'!F56)</f>
        <v>637508</v>
      </c>
      <c r="G58" s="1050">
        <f>SUM('R7業務（長）'!G56,'R7業務 (短)'!G56)</f>
        <v>625100</v>
      </c>
      <c r="H58" s="1050">
        <f>SUM('R7業務（長）'!H56,'R7業務 (短)'!H56)</f>
        <v>639576</v>
      </c>
      <c r="I58" s="1050">
        <f>SUM('R7業務（長）'!I56,'R7業務 (短)'!I56)</f>
        <v>764882</v>
      </c>
      <c r="J58" s="1050">
        <f>SUM('R7業務（長）'!J56,'R7業務 (短)'!J56)</f>
        <v>609611</v>
      </c>
      <c r="K58" s="1050">
        <f>SUM('R7業務（長）'!K56,'R7業務 (短)'!K56)</f>
        <v>857756</v>
      </c>
      <c r="L58" s="1050">
        <f>SUM('R7業務（長）'!L56,'R7業務 (短)'!L56)</f>
        <v>623876</v>
      </c>
      <c r="M58" s="1050">
        <f>SUM('R7業務（長）'!M56,'R7業務 (短)'!M56)</f>
        <v>627946</v>
      </c>
      <c r="N58" s="1050">
        <f>SUM('R7業務（長）'!N56,'R7業務 (短)'!N56)</f>
        <v>699347</v>
      </c>
      <c r="O58" s="1050">
        <f>SUM('R7業務（長）'!O56,'R7業務 (短)'!O56)</f>
        <v>42640</v>
      </c>
      <c r="P58" s="768" t="n"/>
      <c r="Q58" s="1043">
        <f>SUM(C58:O58)</f>
        <v>8086922</v>
      </c>
      <c r="R58" s="1051" t="n"/>
      <c r="S58" s="1051" t="n"/>
      <c r="T58" s="1051" t="n"/>
      <c r="V58" s="987">
        <f>SUMIF($C$2:$N$2,"&lt;="&amp;締月,C58:N58)</f>
        <v>3860864</v>
      </c>
    </row>
    <row r="59" ht="18" customHeight="1" s="186">
      <c r="B59" s="1049" t="inlineStr">
        <is>
          <t>増額報酬</t>
        </is>
      </c>
      <c r="C59" s="1050">
        <f>SUM('R7業務（長）'!C57,'R7業務 (短)'!C57)</f>
        <v>0</v>
      </c>
      <c r="D59" s="1050">
        <f>SUM('R7業務（長）'!D57,'R7業務 (短)'!D57)</f>
        <v>0</v>
      </c>
      <c r="E59" s="944">
        <f>SUM('R7業務（長）'!E57,'R7業務 (短)'!E57)</f>
        <v>1315485</v>
      </c>
      <c r="F59" s="1050">
        <f>SUM('R7業務（長）'!F57,'R7業務 (短)'!F57)</f>
        <v>0</v>
      </c>
      <c r="G59" s="1050">
        <f>SUM('R7業務（長）'!G57,'R7業務 (短)'!G57)</f>
        <v>0</v>
      </c>
      <c r="H59" s="1050">
        <f>SUM('R7業務（長）'!H57,'R7業務 (短)'!H57)</f>
        <v>0</v>
      </c>
      <c r="I59" s="1050">
        <f>SUM('R7業務（長）'!I57,'R7業務 (短)'!I57)</f>
        <v>0</v>
      </c>
      <c r="J59" s="1050">
        <f>SUM('R7業務（長）'!J57,'R7業務 (短)'!J57)</f>
        <v>0</v>
      </c>
      <c r="K59" s="1050">
        <f>SUM('R7業務（長）'!K57,'R7業務 (短)'!K57)</f>
        <v>1054637</v>
      </c>
      <c r="L59" s="1050">
        <f>SUM('R7業務（長）'!L57,'R7業務 (短)'!L57)</f>
        <v>0</v>
      </c>
      <c r="M59" s="1050">
        <f>SUM('R7業務（長）'!M57,'R7業務 (短)'!M57)</f>
        <v>0</v>
      </c>
      <c r="N59" s="1050">
        <f>SUM('R7業務（長）'!N57,'R7業務 (短)'!N57)</f>
        <v>0</v>
      </c>
      <c r="O59" s="1050">
        <f>SUM('R7業務（長）'!O57,'R7業務 (短)'!O57)</f>
        <v>0</v>
      </c>
      <c r="P59" s="768" t="n"/>
      <c r="Q59" s="1043">
        <f>SUM(C59:O59)</f>
        <v>2370122</v>
      </c>
      <c r="R59" s="1051" t="n"/>
      <c r="S59" s="1051" t="n"/>
      <c r="T59" s="1051" t="n"/>
      <c r="V59" s="987">
        <f>SUMIF($C$2:$N$2,"&lt;="&amp;締月,C59:N59)</f>
        <v>1315485</v>
      </c>
    </row>
    <row r="60" ht="18" customHeight="1" s="186">
      <c r="B60" s="1052" t="inlineStr">
        <is>
          <t>非常勤手当計</t>
        </is>
      </c>
      <c r="C60" s="1043">
        <f>SUM(C58:C59)</f>
        <v>698140</v>
      </c>
      <c r="D60" s="1043">
        <f>SUM(D58:D59)</f>
        <v>629236</v>
      </c>
      <c r="E60" s="1043">
        <f>SUM(E58:E59)</f>
        <v>1946789</v>
      </c>
      <c r="F60" s="1043">
        <f>SUM(F58:F59)</f>
        <v>637508</v>
      </c>
      <c r="G60" s="1043">
        <f>SUM(G58:G59)</f>
        <v>625100</v>
      </c>
      <c r="H60" s="1043">
        <f>SUM(H58:H59)</f>
        <v>639576</v>
      </c>
      <c r="I60" s="1043">
        <f>SUM(I58:I59)</f>
        <v>764882</v>
      </c>
      <c r="J60" s="1043">
        <f>SUM(J58:J59)</f>
        <v>609611</v>
      </c>
      <c r="K60" s="1043">
        <f>SUM(K58:K59)</f>
        <v>1912393</v>
      </c>
      <c r="L60" s="1043">
        <f>SUM(L58:L59)</f>
        <v>623876</v>
      </c>
      <c r="M60" s="1043">
        <f>SUM(M58:M59)</f>
        <v>627946</v>
      </c>
      <c r="N60" s="1043">
        <f>SUM(N58:N59)</f>
        <v>699347</v>
      </c>
      <c r="O60" s="1043">
        <f>SUM(O58:O59)</f>
        <v>42640</v>
      </c>
      <c r="Q60" s="1043">
        <f>SUM(C60:O60)</f>
        <v>10457044</v>
      </c>
      <c r="R60" s="921" t="n"/>
      <c r="S60" s="921" t="n"/>
      <c r="V60" s="1003">
        <f>SUMIF($C$2:$N$2,"&lt;="&amp;締月,C60:N60)</f>
        <v>5176349</v>
      </c>
    </row>
    <row r="61"/>
    <row r="62" ht="18" customHeight="1" s="186">
      <c r="B62" s="1026" t="inlineStr">
        <is>
          <t>合計</t>
        </is>
      </c>
      <c r="C62" s="1043">
        <f>C54+C57+C60</f>
        <v>698140</v>
      </c>
      <c r="D62" s="1043">
        <f>D54+D57+D60</f>
        <v>1055116</v>
      </c>
      <c r="E62" s="1043">
        <f>E54+E57+E60</f>
        <v>2311829</v>
      </c>
      <c r="F62" s="1043">
        <f>F54+F57+F60</f>
        <v>1083668</v>
      </c>
      <c r="G62" s="1043">
        <f>G54+G57+G60</f>
        <v>1070820</v>
      </c>
      <c r="H62" s="1043">
        <f>H54+H57+H60</f>
        <v>1024056</v>
      </c>
      <c r="I62" s="1043">
        <f>I54+I57+I60</f>
        <v>1154042</v>
      </c>
      <c r="J62" s="1043">
        <f>J54+J57+J60</f>
        <v>1026191</v>
      </c>
      <c r="K62" s="1043">
        <f>K54+K57+K60</f>
        <v>2253313</v>
      </c>
      <c r="L62" s="1043">
        <f>L54+L57+L60</f>
        <v>1001396</v>
      </c>
      <c r="M62" s="1043">
        <f>M54+M57+M60</f>
        <v>987066</v>
      </c>
      <c r="N62" s="1043">
        <f>N54+N57+N60</f>
        <v>1038687</v>
      </c>
      <c r="O62" s="1043">
        <f>O54+O57+O60</f>
        <v>382208</v>
      </c>
      <c r="Q62" s="1043">
        <f>SUM(C62:O62)</f>
        <v>15086532</v>
      </c>
      <c r="R62" s="1043" t="n"/>
      <c r="S62" s="1043" t="n"/>
      <c r="T62" s="1043" t="n"/>
      <c r="V62" s="1003">
        <f>SUMIF($C$2:$N$2,"&lt;="&amp;締月,C62:N62)</f>
        <v>7243629</v>
      </c>
    </row>
  </sheetData>
  <mergeCells count="31">
    <mergeCell ref="A24:B24"/>
    <mergeCell ref="A5:A9"/>
    <mergeCell ref="A12:A18"/>
    <mergeCell ref="A11:B11"/>
    <mergeCell ref="A49:B49"/>
    <mergeCell ref="A45:B45"/>
    <mergeCell ref="Q27:Q31"/>
    <mergeCell ref="A25:B25"/>
    <mergeCell ref="A41:B41"/>
    <mergeCell ref="E1:F1"/>
    <mergeCell ref="A46:B46"/>
    <mergeCell ref="A3:B3"/>
    <mergeCell ref="T27:T31"/>
    <mergeCell ref="A21:B21"/>
    <mergeCell ref="A2:B2"/>
    <mergeCell ref="A47:B47"/>
    <mergeCell ref="A42:B42"/>
    <mergeCell ref="A23:B23"/>
    <mergeCell ref="S27:S31"/>
    <mergeCell ref="A22:B22"/>
    <mergeCell ref="A35:B35"/>
    <mergeCell ref="A4:B4"/>
    <mergeCell ref="A20:B20"/>
    <mergeCell ref="A26:A33"/>
    <mergeCell ref="A43:B43"/>
    <mergeCell ref="A19:B19"/>
    <mergeCell ref="A10:B10"/>
    <mergeCell ref="A44:B44"/>
    <mergeCell ref="A40:B40"/>
    <mergeCell ref="R27:R31"/>
    <mergeCell ref="A39:B39"/>
  </mergeCells>
  <conditionalFormatting sqref="C4:N62">
    <cfRule type="expression" priority="1" dxfId="11">
      <formula>AND(ISNUMBER(C4),C$2&lt;&gt;"",C$2&gt;締月)</formula>
    </cfRule>
  </conditionalFormatting>
  <conditionalFormatting sqref="O4:O62">
    <cfRule type="expression" priority="2" dxfId="6">
      <formula>AND(ISNUMBER(O4),締月&lt;13)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AM62"/>
  <sheetViews>
    <sheetView showGridLines="1" tabSelected="0" zoomScale="9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2.87" customWidth="1" style="186" min="1" max="1"/>
    <col width="13.87" customWidth="1" style="186" min="2" max="2"/>
    <col width="9.619999999999999" customWidth="1" style="186" min="3" max="3"/>
    <col width="10.62" customWidth="1" style="186" min="5" max="5"/>
    <col width="9.619999999999999" customWidth="1" style="186" min="6" max="6"/>
    <col width="12.24" customWidth="1" style="186" min="15" max="15"/>
    <col width="11.12" customWidth="1" style="186" min="16" max="16"/>
    <col width="10.62" customWidth="1" style="186" min="17" max="17"/>
    <col width="11.37" customWidth="1" style="186" min="21" max="21"/>
    <col width="10.62" customWidth="1" style="186" min="22" max="22"/>
    <col width="8.869999999999999" customWidth="1" style="186" min="23" max="23"/>
    <col hidden="1" width="13" customWidth="1" style="186" min="24" max="24"/>
    <col hidden="1" outlineLevel="1" width="11" customWidth="1" style="186" min="27" max="39"/>
    <col width="11" customWidth="1" style="186" min="28" max="28"/>
    <col width="11" customWidth="1" style="186" min="29" max="29"/>
    <col width="11" customWidth="1" style="186" min="30" max="30"/>
    <col width="11" customWidth="1" style="186" min="31" max="31"/>
    <col width="11" customWidth="1" style="186" min="32" max="32"/>
    <col width="11" customWidth="1" style="186" min="33" max="33"/>
    <col width="11" customWidth="1" style="186" min="34" max="34"/>
    <col width="11" customWidth="1" style="186" min="35" max="35"/>
    <col width="11" customWidth="1" style="186" min="36" max="36"/>
    <col width="11" customWidth="1" style="186" min="37" max="37"/>
    <col width="11" customWidth="1" style="186" min="38" max="38"/>
    <col width="11" customWidth="1" style="186" min="39" max="39"/>
  </cols>
  <sheetData>
    <row r="1" ht="18" customHeight="1" s="186">
      <c r="B1" s="970" t="n"/>
      <c r="E1" s="1053">
        <f>'R7業務（長+短）'!E1:F1</f>
        <v>8</v>
      </c>
      <c r="G1" s="1054" t="inlineStr">
        <is>
          <t>業務経理（短期給付事務分）</t>
        </is>
      </c>
      <c r="H1" s="1055" t="n"/>
      <c r="I1" s="1055" t="n"/>
      <c r="J1" s="1055" t="n"/>
      <c r="K1" s="1055" t="n"/>
      <c r="L1" s="1055" t="n"/>
    </row>
    <row r="2" ht="18" customHeight="1" s="186">
      <c r="A2" s="974" t="inlineStr">
        <is>
          <t>費用</t>
        </is>
      </c>
      <c r="B2" s="975" t="n"/>
      <c r="C2" s="976" t="n">
        <v>1</v>
      </c>
      <c r="D2" s="976" t="n">
        <v>2</v>
      </c>
      <c r="E2" s="976" t="n">
        <v>3</v>
      </c>
      <c r="F2" s="976" t="n">
        <v>4</v>
      </c>
      <c r="G2" s="976" t="n">
        <v>5</v>
      </c>
      <c r="H2" s="976" t="n">
        <v>6</v>
      </c>
      <c r="I2" s="976" t="n">
        <v>7</v>
      </c>
      <c r="J2" s="976" t="n">
        <v>8</v>
      </c>
      <c r="K2" s="976" t="n">
        <v>9</v>
      </c>
      <c r="L2" s="976" t="n">
        <v>10</v>
      </c>
      <c r="M2" s="976" t="n">
        <v>11</v>
      </c>
      <c r="N2" s="976" t="n">
        <v>12</v>
      </c>
      <c r="O2" s="976" t="n">
        <v>13</v>
      </c>
      <c r="AA2" s="977" t="inlineStr">
        <is>
          <t>▼ 参考値（旧表の値：未締め月に表示される前年実績・見込）</t>
        </is>
      </c>
    </row>
    <row r="3" ht="18" customHeight="1" s="186">
      <c r="A3" s="978" t="inlineStr">
        <is>
          <t>支払月</t>
        </is>
      </c>
      <c r="B3" s="979" t="n"/>
      <c r="C3" s="978" t="inlineStr">
        <is>
          <t>４月支払</t>
        </is>
      </c>
      <c r="D3" s="978" t="inlineStr">
        <is>
          <t>５月</t>
        </is>
      </c>
      <c r="E3" s="978" t="inlineStr">
        <is>
          <t>６月</t>
        </is>
      </c>
      <c r="F3" s="978" t="inlineStr">
        <is>
          <t>７月</t>
        </is>
      </c>
      <c r="G3" s="978" t="inlineStr">
        <is>
          <t>８月</t>
        </is>
      </c>
      <c r="H3" s="978" t="inlineStr">
        <is>
          <t>９月</t>
        </is>
      </c>
      <c r="I3" s="978" t="inlineStr">
        <is>
          <t>１０月</t>
        </is>
      </c>
      <c r="J3" s="978" t="inlineStr">
        <is>
          <t>１１月</t>
        </is>
      </c>
      <c r="K3" s="978" t="inlineStr">
        <is>
          <t>１２月</t>
        </is>
      </c>
      <c r="L3" s="978" t="inlineStr">
        <is>
          <t>１月</t>
        </is>
      </c>
      <c r="M3" s="978" t="inlineStr">
        <is>
          <t>２月</t>
        </is>
      </c>
      <c r="N3" s="978" t="inlineStr">
        <is>
          <t>３月</t>
        </is>
      </c>
      <c r="O3" s="1056" t="inlineStr">
        <is>
          <t>４月(未払）</t>
        </is>
      </c>
      <c r="P3" s="978" t="inlineStr">
        <is>
          <t>決算額</t>
        </is>
      </c>
      <c r="Q3" s="978" t="inlineStr">
        <is>
          <t>予算額</t>
        </is>
      </c>
      <c r="R3" s="978" t="inlineStr">
        <is>
          <t>流用振替額</t>
        </is>
      </c>
      <c r="S3" s="978" t="inlineStr">
        <is>
          <t>予算現額</t>
        </is>
      </c>
      <c r="T3" s="978" t="inlineStr">
        <is>
          <t>不用額</t>
        </is>
      </c>
      <c r="V3" s="737" t="inlineStr">
        <is>
          <t>締め月まで
累計</t>
        </is>
      </c>
      <c r="W3" s="737" t="inlineStr">
        <is>
          <t>予算残額
（現在）</t>
        </is>
      </c>
      <c r="X3" s="981" t="inlineStr">
        <is>
          <t>台帳連動</t>
        </is>
      </c>
      <c r="AA3" s="982" t="inlineStr">
        <is>
          <t>4月</t>
        </is>
      </c>
      <c r="AB3" s="982" t="inlineStr">
        <is>
          <t>5月</t>
        </is>
      </c>
      <c r="AC3" s="982" t="inlineStr">
        <is>
          <t>6月</t>
        </is>
      </c>
      <c r="AD3" s="982" t="inlineStr">
        <is>
          <t>7月</t>
        </is>
      </c>
      <c r="AE3" s="982" t="inlineStr">
        <is>
          <t>8月</t>
        </is>
      </c>
      <c r="AF3" s="982" t="inlineStr">
        <is>
          <t>9月</t>
        </is>
      </c>
      <c r="AG3" s="982" t="inlineStr">
        <is>
          <t>10月</t>
        </is>
      </c>
      <c r="AH3" s="982" t="inlineStr">
        <is>
          <t>11月</t>
        </is>
      </c>
      <c r="AI3" s="982" t="inlineStr">
        <is>
          <t>12月</t>
        </is>
      </c>
      <c r="AJ3" s="982" t="inlineStr">
        <is>
          <t>1月</t>
        </is>
      </c>
      <c r="AK3" s="982" t="inlineStr">
        <is>
          <t>2月</t>
        </is>
      </c>
      <c r="AL3" s="982" t="inlineStr">
        <is>
          <t>3月</t>
        </is>
      </c>
      <c r="AM3" s="982" t="inlineStr">
        <is>
          <t>4月(未払)</t>
        </is>
      </c>
    </row>
    <row r="4" ht="18" customHeight="1" s="186">
      <c r="A4" s="983" t="inlineStr">
        <is>
          <t>役員報酬</t>
        </is>
      </c>
      <c r="B4" s="979" t="n"/>
      <c r="C4" s="1057">
        <f>IF(C$2&lt;=締月,'差引簿集計（短）'!C17,AA4)</f>
        <v>0</v>
      </c>
      <c r="D4" s="1057">
        <f>IF(D$2&lt;=締月,'差引簿集計（短）'!D17,AB4)</f>
        <v>0</v>
      </c>
      <c r="E4" s="1057">
        <f>IF(E$2&lt;=締月,'差引簿集計（短）'!E17,AC4)</f>
        <v>10522</v>
      </c>
      <c r="F4" s="1057">
        <f>IF(F$2&lt;=締月,'差引簿集計（短）'!F17,AD4)</f>
        <v>0</v>
      </c>
      <c r="G4" s="1057">
        <f>IF(G$2&lt;=締月,'差引簿集計（短）'!G17,AE4)</f>
        <v>0</v>
      </c>
      <c r="H4" s="1057">
        <f>IF(H$2&lt;=締月,'差引簿集計（短）'!H17,AF4)</f>
        <v>0</v>
      </c>
      <c r="I4" s="1057">
        <f>IF(I$2&lt;=締月,'差引簿集計（短）'!I17,AG4)</f>
        <v>0</v>
      </c>
      <c r="J4" s="1057">
        <f>IF(J$2&lt;=締月,'差引簿集計（短）'!J17,AH4)</f>
        <v>0</v>
      </c>
      <c r="K4" s="1057">
        <f>IF(K$2&lt;=締月,'差引簿集計（短）'!K17,AI4)</f>
        <v>0</v>
      </c>
      <c r="L4" s="1057">
        <f>IF(L$2&lt;=締月,'差引簿集計（短）'!L17,AJ4)</f>
        <v>0</v>
      </c>
      <c r="M4" s="1057">
        <f>IF(M$2&lt;=締月,'差引簿集計（短）'!M17,AK4)</f>
        <v>0</v>
      </c>
      <c r="N4" s="1057">
        <f>IF(N$2&lt;=締月,'差引簿集計（短）'!N17,AL4)</f>
        <v>5261</v>
      </c>
      <c r="O4" s="1057">
        <f>IF(O$2&lt;=締月,'差引簿集計（短）'!O17,AM4)</f>
        <v>0</v>
      </c>
      <c r="P4" s="985">
        <f>SUM(C4:O4)</f>
        <v>15783</v>
      </c>
      <c r="Q4" s="1058" t="n">
        <v>16000</v>
      </c>
      <c r="R4" s="1058" t="n"/>
      <c r="S4" s="985">
        <f>SUM(Q4:R4)</f>
        <v>16000</v>
      </c>
      <c r="T4" s="1002">
        <f>S4-P4</f>
        <v>217</v>
      </c>
      <c r="V4" s="987">
        <f>SUMIF($C$2:$N$2,"&lt;="&amp;締月,C4:N4)</f>
        <v>10522</v>
      </c>
      <c r="W4" s="987">
        <f>S4-V4</f>
        <v>5478</v>
      </c>
      <c r="X4" s="1059" t="n">
        <v>1</v>
      </c>
      <c r="AA4" s="1060" t="n">
        <v>0</v>
      </c>
      <c r="AB4" s="1060" t="n">
        <v>0</v>
      </c>
      <c r="AC4" s="1060" t="n">
        <v>10522</v>
      </c>
      <c r="AD4" s="1060" t="n">
        <v>0</v>
      </c>
      <c r="AE4" s="1060" t="n">
        <v>0</v>
      </c>
      <c r="AF4" s="1060" t="n">
        <v>0</v>
      </c>
      <c r="AG4" s="1060" t="n">
        <v>0</v>
      </c>
      <c r="AH4" s="1060" t="n">
        <v>0</v>
      </c>
      <c r="AI4" s="1060" t="n">
        <v>0</v>
      </c>
      <c r="AJ4" s="1060" t="n">
        <v>0</v>
      </c>
      <c r="AK4" s="1060" t="n">
        <v>0</v>
      </c>
      <c r="AL4" s="1060" t="n">
        <v>5261</v>
      </c>
      <c r="AM4" s="1060" t="n">
        <v>0</v>
      </c>
    </row>
    <row r="5" ht="18" customHeight="1" s="186">
      <c r="A5" s="988" t="inlineStr">
        <is>
          <t>職員給与</t>
        </is>
      </c>
      <c r="B5" s="989" t="inlineStr">
        <is>
          <t>基本給</t>
        </is>
      </c>
      <c r="C5" s="1061">
        <f>C52</f>
        <v>0</v>
      </c>
      <c r="D5" s="1061">
        <f>D52</f>
        <v>0</v>
      </c>
      <c r="E5" s="1061">
        <f>E52</f>
        <v>0</v>
      </c>
      <c r="F5" s="1061">
        <f>F52</f>
        <v>0</v>
      </c>
      <c r="G5" s="1062">
        <f>G52</f>
        <v>0</v>
      </c>
      <c r="H5" s="1062">
        <f>H52</f>
        <v>0</v>
      </c>
      <c r="I5" s="1062">
        <f>I52</f>
        <v>0</v>
      </c>
      <c r="J5" s="1062">
        <f>J52</f>
        <v>0</v>
      </c>
      <c r="K5" s="1062">
        <f>K52</f>
        <v>0</v>
      </c>
      <c r="L5" s="1062">
        <f>L52</f>
        <v>0</v>
      </c>
      <c r="M5" s="1062">
        <f>M52</f>
        <v>0</v>
      </c>
      <c r="N5" s="1062">
        <f>N52</f>
        <v>0</v>
      </c>
      <c r="O5" s="1063">
        <f>O52</f>
        <v>0</v>
      </c>
      <c r="P5" s="991">
        <f>SUM(C5:O5)</f>
        <v>0</v>
      </c>
      <c r="Q5" s="1064" t="n">
        <v>0</v>
      </c>
      <c r="R5" s="1064" t="n"/>
      <c r="S5" s="991">
        <f>SUM(Q5:R5)</f>
        <v>0</v>
      </c>
      <c r="T5" s="991">
        <f>S5-P5</f>
        <v>0</v>
      </c>
      <c r="V5" s="987">
        <f>SUMIF($C$2:$N$2,"&lt;="&amp;締月,C5:N5)</f>
        <v>0</v>
      </c>
      <c r="W5" s="987">
        <f>S5-V5</f>
        <v>0</v>
      </c>
    </row>
    <row r="6" ht="18" customHeight="1" s="186">
      <c r="A6" s="992" t="n"/>
      <c r="B6" s="993" t="inlineStr">
        <is>
          <t>諸手当</t>
        </is>
      </c>
      <c r="C6" s="1065">
        <f>C55</f>
        <v>0</v>
      </c>
      <c r="D6" s="1065">
        <f>D55</f>
        <v>0</v>
      </c>
      <c r="E6" s="1065">
        <f>E55</f>
        <v>0</v>
      </c>
      <c r="F6" s="1065">
        <f>F55</f>
        <v>0</v>
      </c>
      <c r="G6" s="1066">
        <f>G55</f>
        <v>0</v>
      </c>
      <c r="H6" s="1066">
        <f>H55</f>
        <v>0</v>
      </c>
      <c r="I6" s="1066">
        <f>I55</f>
        <v>0</v>
      </c>
      <c r="J6" s="1066">
        <f>J55</f>
        <v>0</v>
      </c>
      <c r="K6" s="1066">
        <f>K55</f>
        <v>0</v>
      </c>
      <c r="L6" s="1066">
        <f>L55</f>
        <v>0</v>
      </c>
      <c r="M6" s="1066">
        <f>M55</f>
        <v>0</v>
      </c>
      <c r="N6" s="1066">
        <f>N55</f>
        <v>0</v>
      </c>
      <c r="O6" s="1067">
        <f>O55</f>
        <v>0</v>
      </c>
      <c r="P6" s="995">
        <f>SUM(C6:O6)</f>
        <v>0</v>
      </c>
      <c r="Q6" s="1068" t="n">
        <v>0</v>
      </c>
      <c r="R6" s="1068" t="n"/>
      <c r="S6" s="995">
        <f>SUM(Q6:R6)</f>
        <v>0</v>
      </c>
      <c r="T6" s="995">
        <f>S6-P6</f>
        <v>0</v>
      </c>
      <c r="V6" s="987">
        <f>SUMIF($C$2:$N$2,"&lt;="&amp;締月,C6:N6)</f>
        <v>0</v>
      </c>
      <c r="W6" s="987">
        <f>S6-V6</f>
        <v>0</v>
      </c>
    </row>
    <row r="7" ht="18" customHeight="1" s="186">
      <c r="A7" s="992" t="n"/>
      <c r="B7" s="996" t="inlineStr">
        <is>
          <t>非常勤職員手当</t>
        </is>
      </c>
      <c r="C7" s="1065">
        <f>C58</f>
        <v>317340</v>
      </c>
      <c r="D7" s="1065">
        <f>D58</f>
        <v>248436</v>
      </c>
      <c r="E7" s="1065">
        <f>E58</f>
        <v>698299</v>
      </c>
      <c r="F7" s="1065">
        <f>F58</f>
        <v>256708</v>
      </c>
      <c r="G7" s="1065">
        <f>G58</f>
        <v>244300</v>
      </c>
      <c r="H7" s="1065">
        <f>H58</f>
        <v>258776</v>
      </c>
      <c r="I7" s="1066">
        <f>I58</f>
        <v>383109</v>
      </c>
      <c r="J7" s="1066">
        <f>J58</f>
        <v>227838</v>
      </c>
      <c r="K7" s="1066">
        <f>K58</f>
        <v>742061</v>
      </c>
      <c r="L7" s="1066">
        <f>L58</f>
        <v>228265</v>
      </c>
      <c r="M7" s="1066">
        <f>M58</f>
        <v>232335</v>
      </c>
      <c r="N7" s="1066">
        <f>N58</f>
        <v>234370</v>
      </c>
      <c r="O7" s="1067">
        <f>O58</f>
        <v>42640</v>
      </c>
      <c r="P7" s="995">
        <f>SUM(C7:O7)</f>
        <v>4114477</v>
      </c>
      <c r="Q7" s="1068" t="n">
        <v>4381000</v>
      </c>
      <c r="R7" s="1068" t="n"/>
      <c r="S7" s="995">
        <f>SUM(Q7:R7)</f>
        <v>4381000</v>
      </c>
      <c r="T7" s="995">
        <f>S7-P7</f>
        <v>266523</v>
      </c>
      <c r="V7" s="987">
        <f>SUMIF($C$2:$N$2,"&lt;="&amp;締月,C7:N7)</f>
        <v>2023859</v>
      </c>
      <c r="W7" s="987">
        <f>S7-V7</f>
        <v>2357141</v>
      </c>
    </row>
    <row r="8" ht="18" customHeight="1" s="186">
      <c r="A8" s="992" t="n"/>
      <c r="B8" s="997" t="inlineStr">
        <is>
          <t>退職給与金</t>
        </is>
      </c>
      <c r="C8" s="1069" t="n"/>
      <c r="D8" s="1069" t="n"/>
      <c r="E8" s="1069" t="n"/>
      <c r="F8" s="1069" t="n"/>
      <c r="G8" s="1069" t="n"/>
      <c r="H8" s="1070" t="n"/>
      <c r="I8" s="1070" t="n"/>
      <c r="J8" s="1070" t="n"/>
      <c r="K8" s="1069" t="n"/>
      <c r="L8" s="1069" t="n"/>
      <c r="M8" s="1069" t="n"/>
      <c r="N8" s="1069" t="inlineStr">
        <is>
          <t xml:space="preserve"> </t>
        </is>
      </c>
      <c r="O8" s="1069" t="inlineStr">
        <is>
          <t xml:space="preserve"> </t>
        </is>
      </c>
      <c r="P8" s="999">
        <f>SUM(C8:O8)</f>
        <v>0</v>
      </c>
      <c r="Q8" s="1070" t="n">
        <v>0</v>
      </c>
      <c r="R8" s="1070" t="n"/>
      <c r="S8" s="999">
        <f>SUM(Q8:R8)</f>
        <v>0</v>
      </c>
      <c r="T8" s="1071">
        <f>S8-P8</f>
        <v>0</v>
      </c>
      <c r="V8" s="987">
        <f>SUMIF($C$2:$N$2,"&lt;="&amp;締月,C8:N8)</f>
        <v>0</v>
      </c>
      <c r="W8" s="987">
        <f>S8-V8</f>
        <v>0</v>
      </c>
    </row>
    <row r="9" ht="18" customHeight="1" s="186">
      <c r="A9" s="1000" t="n"/>
      <c r="B9" s="1001" t="inlineStr">
        <is>
          <t>計</t>
        </is>
      </c>
      <c r="C9" s="1002">
        <f>SUM(C5:C8)</f>
        <v>317340</v>
      </c>
      <c r="D9" s="1002">
        <f>SUM(D5:D8)</f>
        <v>248436</v>
      </c>
      <c r="E9" s="1002">
        <f>SUM(E5:E8)</f>
        <v>698299</v>
      </c>
      <c r="F9" s="1002">
        <f>SUM(F5:F8)</f>
        <v>256708</v>
      </c>
      <c r="G9" s="1002">
        <f>SUM(G5:G8)</f>
        <v>244300</v>
      </c>
      <c r="H9" s="1002">
        <f>SUM(H5:H8)</f>
        <v>258776</v>
      </c>
      <c r="I9" s="1002">
        <f>SUM(I5:I8)</f>
        <v>383109</v>
      </c>
      <c r="J9" s="1002">
        <f>SUM(J5:J8)</f>
        <v>227838</v>
      </c>
      <c r="K9" s="1002">
        <f>SUM(K5:K8)</f>
        <v>742061</v>
      </c>
      <c r="L9" s="1002">
        <f>SUM(L5:L8)</f>
        <v>228265</v>
      </c>
      <c r="M9" s="1002">
        <f>SUM(M5:M8)</f>
        <v>232335</v>
      </c>
      <c r="N9" s="1002">
        <f>SUM(N5:N8)</f>
        <v>234370</v>
      </c>
      <c r="O9" s="1002">
        <f>SUM(O5:O8)</f>
        <v>42640</v>
      </c>
      <c r="P9" s="985">
        <f>SUM(P5:P8)</f>
        <v>4114477</v>
      </c>
      <c r="Q9" s="985">
        <f>SUM(Q5:Q8)</f>
        <v>4381000</v>
      </c>
      <c r="R9" s="985" t="n"/>
      <c r="S9" s="985">
        <f>SUM(Q9:R9)</f>
        <v>4381000</v>
      </c>
      <c r="T9" s="1072">
        <f>S9-P9</f>
        <v>266523</v>
      </c>
      <c r="V9" s="1003">
        <f>SUMIF($C$2:$N$2,"&lt;="&amp;締月,C9:N9)</f>
        <v>2023859</v>
      </c>
      <c r="W9" s="1003">
        <f>S9-V9</f>
        <v>2357141</v>
      </c>
    </row>
    <row r="10" ht="18" customHeight="1" s="186">
      <c r="A10" s="983" t="inlineStr">
        <is>
          <t>厚生費</t>
        </is>
      </c>
      <c r="B10" s="979" t="n"/>
      <c r="C10" s="1057">
        <f>IF(C$2&lt;=締月,'差引簿集計（短）'!C13,AA10)</f>
        <v>0</v>
      </c>
      <c r="D10" s="1057">
        <f>IF(D$2&lt;=締月,'差引簿集計（短）'!D13,AB10)</f>
        <v>0</v>
      </c>
      <c r="E10" s="1057">
        <f>IF(E$2&lt;=締月,'差引簿集計（短）'!E13,AC10)</f>
        <v>0</v>
      </c>
      <c r="F10" s="1057">
        <f>IF(F$2&lt;=締月,'差引簿集計（短）'!F13,AD10)</f>
        <v>0</v>
      </c>
      <c r="G10" s="1057">
        <f>IF(G$2&lt;=締月,'差引簿集計（短）'!G13,AE10)</f>
        <v>0</v>
      </c>
      <c r="H10" s="1057">
        <f>IF(H$2&lt;=締月,'差引簿集計（短）'!H13,AF10)</f>
        <v>14894</v>
      </c>
      <c r="I10" s="1057">
        <f>IF(I$2&lt;=締月,'差引簿集計（短）'!I13,AG10)</f>
        <v>0</v>
      </c>
      <c r="J10" s="1057">
        <f>IF(J$2&lt;=締月,'差引簿集計（短）'!J13,AH10)</f>
        <v>0</v>
      </c>
      <c r="K10" s="1057">
        <f>IF(K$2&lt;=締月,'差引簿集計（短）'!K13,AI10)</f>
        <v>0</v>
      </c>
      <c r="L10" s="1073">
        <f>IF(L$2&lt;=締月,'差引簿集計（短）'!L13,AJ10)</f>
        <v>0</v>
      </c>
      <c r="M10" s="1073">
        <f>IF(M$2&lt;=締月,'差引簿集計（短）'!M13,AK10)</f>
        <v>0</v>
      </c>
      <c r="N10" s="1073">
        <f>IF(N$2&lt;=締月,'差引簿集計（短）'!N13,AL10)</f>
        <v>0</v>
      </c>
      <c r="O10" s="1073">
        <f>IF(O$2&lt;=締月,'差引簿集計（短）'!O13,AM10)</f>
        <v>0</v>
      </c>
      <c r="P10" s="985">
        <f>SUM(C10:O10)</f>
        <v>14894</v>
      </c>
      <c r="Q10" s="1058" t="n">
        <v>62000</v>
      </c>
      <c r="R10" s="1058" t="n"/>
      <c r="S10" s="985">
        <f>SUM(Q10:R10)</f>
        <v>62000</v>
      </c>
      <c r="T10" s="1072">
        <f>S10-P10</f>
        <v>47106</v>
      </c>
      <c r="V10" s="987">
        <f>SUMIF($C$2:$N$2,"&lt;="&amp;締月,C10:N10)</f>
        <v>14894</v>
      </c>
      <c r="W10" s="987">
        <f>S10-V10</f>
        <v>47106</v>
      </c>
      <c r="X10" s="1059" t="n">
        <v>1</v>
      </c>
      <c r="AA10" s="1060" t="n">
        <v>0</v>
      </c>
      <c r="AB10" s="1060" t="n">
        <v>0</v>
      </c>
      <c r="AC10" s="1060" t="n">
        <v>0</v>
      </c>
      <c r="AD10" s="1060" t="n">
        <v>0</v>
      </c>
      <c r="AE10" s="1060" t="n">
        <v>0</v>
      </c>
      <c r="AF10" s="1060" t="n">
        <v>14894</v>
      </c>
      <c r="AG10" s="1060" t="n">
        <v>0</v>
      </c>
      <c r="AH10" s="1060" t="n">
        <v>0</v>
      </c>
      <c r="AI10" s="1060" t="n">
        <v>0</v>
      </c>
      <c r="AJ10" s="1060" t="n">
        <v>0</v>
      </c>
      <c r="AK10" s="1060" t="n">
        <v>0</v>
      </c>
      <c r="AL10" s="1060" t="n">
        <v>0</v>
      </c>
      <c r="AM10" s="1060" t="n">
        <v>0</v>
      </c>
    </row>
    <row r="11" ht="18" customHeight="1" s="186">
      <c r="A11" s="983" t="inlineStr">
        <is>
          <t>旅費</t>
        </is>
      </c>
      <c r="B11" s="979" t="n"/>
      <c r="C11" s="1057">
        <f>IF(C$2&lt;=締月,'差引簿集計（短）'!C10,AA11)</f>
        <v>0</v>
      </c>
      <c r="D11" s="1057">
        <f>IF(D$2&lt;=締月,'差引簿集計（短）'!D10,AB11)</f>
        <v>0</v>
      </c>
      <c r="E11" s="1057">
        <f>IF(E$2&lt;=締月,'差引簿集計（短）'!E10,AC11)</f>
        <v>39656</v>
      </c>
      <c r="F11" s="1057">
        <f>IF(F$2&lt;=締月,'差引簿集計（短）'!F10,AD11)</f>
        <v>0</v>
      </c>
      <c r="G11" s="1057">
        <f>IF(G$2&lt;=締月,'差引簿集計（短）'!G10,AE11)</f>
        <v>29068</v>
      </c>
      <c r="H11" s="1057">
        <f>IF(H$2&lt;=締月,'差引簿集計（短）'!H10,AF11)</f>
        <v>0</v>
      </c>
      <c r="I11" s="1057">
        <f>IF(I$2&lt;=締月,'差引簿集計（短）'!I10,AG11)</f>
        <v>0</v>
      </c>
      <c r="J11" s="1057">
        <f>IF(J$2&lt;=締月,'差引簿集計（短）'!J10,AH11)</f>
        <v>18624</v>
      </c>
      <c r="K11" s="1057">
        <f>IF(K$2&lt;=締月,'差引簿集計（短）'!K10,AI11)</f>
        <v>80902</v>
      </c>
      <c r="L11" s="1073">
        <f>IF(L$2&lt;=締月,'差引簿集計（短）'!L10,AJ11)</f>
        <v>0</v>
      </c>
      <c r="M11" s="1073">
        <f>IF(M$2&lt;=締月,'差引簿集計（短）'!M10,AK11)</f>
        <v>18816</v>
      </c>
      <c r="N11" s="1073">
        <f>IF(N$2&lt;=締月,'差引簿集計（短）'!N10,AL11)</f>
        <v>0</v>
      </c>
      <c r="O11" s="1073">
        <f>IF(O$2&lt;=締月,'差引簿集計（短）'!O10,AM11)</f>
        <v>0</v>
      </c>
      <c r="P11" s="985">
        <f>SUM(C11:O11)</f>
        <v>187066</v>
      </c>
      <c r="Q11" s="1058" t="n">
        <v>98000</v>
      </c>
      <c r="R11" s="1058" t="n"/>
      <c r="S11" s="985">
        <f>SUM(Q11:R11)</f>
        <v>98000</v>
      </c>
      <c r="T11" s="1072">
        <f>S11-P11</f>
        <v>-89066</v>
      </c>
      <c r="V11" s="987">
        <f>SUMIF($C$2:$N$2,"&lt;="&amp;締月,C11:N11)</f>
        <v>68724</v>
      </c>
      <c r="W11" s="987">
        <f>S11-V11</f>
        <v>29276</v>
      </c>
      <c r="X11" s="1059" t="n">
        <v>1</v>
      </c>
      <c r="AA11" s="1060" t="n">
        <v>0</v>
      </c>
      <c r="AB11" s="1060" t="n">
        <v>0</v>
      </c>
      <c r="AC11" s="1060" t="n">
        <v>39656</v>
      </c>
      <c r="AD11" s="1060" t="n">
        <v>0</v>
      </c>
      <c r="AE11" s="1060" t="n">
        <v>29068</v>
      </c>
      <c r="AF11" s="1060" t="n">
        <v>0</v>
      </c>
      <c r="AG11" s="1060" t="n">
        <v>0</v>
      </c>
      <c r="AH11" s="1060" t="n">
        <v>18624</v>
      </c>
      <c r="AI11" s="1060" t="n">
        <v>80902</v>
      </c>
      <c r="AJ11" s="1060" t="n">
        <v>0</v>
      </c>
      <c r="AK11" s="1060" t="n">
        <v>18816</v>
      </c>
      <c r="AL11" s="1060" t="n">
        <v>0</v>
      </c>
      <c r="AM11" s="1060" t="n">
        <v>0</v>
      </c>
    </row>
    <row r="12" ht="18" customHeight="1" s="186">
      <c r="A12" s="1005" t="inlineStr">
        <is>
          <t>事務費</t>
        </is>
      </c>
      <c r="B12" s="1074" t="inlineStr">
        <is>
          <t>事務用消耗品費</t>
        </is>
      </c>
      <c r="C12" s="1075">
        <f>IF(C$2&lt;=締月,'差引簿集計（短）'!C4,AA12)</f>
        <v>20482</v>
      </c>
      <c r="D12" s="1076">
        <f>IF(D$2&lt;=締月,'差引簿集計（短）'!D4,AB12)</f>
        <v>58408</v>
      </c>
      <c r="E12" s="1075">
        <f>IF(E$2&lt;=締月,'差引簿集計（短）'!E4,AC12)</f>
        <v>38368</v>
      </c>
      <c r="F12" s="1075">
        <f>IF(F$2&lt;=締月,'差引簿集計（短）'!F4,AD12)</f>
        <v>0</v>
      </c>
      <c r="G12" s="1075">
        <f>IF(G$2&lt;=締月,'差引簿集計（短）'!G4,AE12)</f>
        <v>131903</v>
      </c>
      <c r="H12" s="1075">
        <f>IF(H$2&lt;=締月,'差引簿集計（短）'!H4,AF12)</f>
        <v>45203</v>
      </c>
      <c r="I12" s="1075">
        <f>IF(I$2&lt;=締月,'差引簿集計（短）'!I4,AG12)</f>
        <v>0</v>
      </c>
      <c r="J12" s="1075">
        <f>IF(J$2&lt;=締月,'差引簿集計（短）'!J4,AH12)</f>
        <v>214017</v>
      </c>
      <c r="K12" s="1075">
        <f>IF(K$2&lt;=締月,'差引簿集計（短）'!K4,AI12)</f>
        <v>62330</v>
      </c>
      <c r="L12" s="1077">
        <f>IF(L$2&lt;=締月,'差引簿集計（短）'!L4,AJ12)</f>
        <v>71787</v>
      </c>
      <c r="M12" s="1077">
        <f>IF(M$2&lt;=締月,'差引簿集計（短）'!M4,AK12)</f>
        <v>49487</v>
      </c>
      <c r="N12" s="1077">
        <f>IF(N$2&lt;=締月,'差引簿集計（短）'!N4,AL12)</f>
        <v>104598</v>
      </c>
      <c r="O12" s="1077">
        <f>IF(O$2&lt;=締月,'差引簿集計（短）'!O4,AM12)</f>
        <v>100580</v>
      </c>
      <c r="P12" s="1078">
        <f>SUM(C12:O12)</f>
        <v>897163</v>
      </c>
      <c r="Q12" s="1079" t="n">
        <v>1537000</v>
      </c>
      <c r="R12" s="1064" t="n"/>
      <c r="S12" s="991">
        <f>SUM(Q12:R12)</f>
        <v>1537000</v>
      </c>
      <c r="T12" s="1080">
        <f>S12-P12</f>
        <v>639837</v>
      </c>
      <c r="V12" s="987">
        <f>SUMIF($C$2:$N$2,"&lt;="&amp;締月,C12:N12)</f>
        <v>294364</v>
      </c>
      <c r="W12" s="987">
        <f>S12-V12</f>
        <v>1242636</v>
      </c>
      <c r="X12" s="1059" t="n">
        <v>1</v>
      </c>
      <c r="AA12" s="1060" t="n">
        <v>20482</v>
      </c>
      <c r="AB12" s="1060" t="n">
        <v>58408</v>
      </c>
      <c r="AC12" s="1060" t="n">
        <v>38368</v>
      </c>
      <c r="AD12" s="1060" t="n">
        <v>0</v>
      </c>
      <c r="AE12" s="1060" t="n">
        <v>131903</v>
      </c>
      <c r="AF12" s="1060" t="n">
        <v>45203</v>
      </c>
      <c r="AG12" s="1060" t="n">
        <v>0</v>
      </c>
      <c r="AH12" s="1060" t="n">
        <v>214017</v>
      </c>
      <c r="AI12" s="1060" t="n">
        <v>62330</v>
      </c>
      <c r="AJ12" s="1060" t="n">
        <v>71787</v>
      </c>
      <c r="AK12" s="1060" t="n">
        <v>49487</v>
      </c>
      <c r="AL12" s="1060" t="n">
        <v>104598</v>
      </c>
      <c r="AM12" s="1060" t="n">
        <v>100580</v>
      </c>
    </row>
    <row r="13" ht="18" customHeight="1" s="186">
      <c r="A13" s="992" t="n"/>
      <c r="B13" s="993" t="inlineStr">
        <is>
          <t>図書印刷費</t>
        </is>
      </c>
      <c r="C13" s="1081">
        <f>IF(C$2&lt;=締月,'差引簿集計（短）'!C5,AA13)</f>
        <v>99220</v>
      </c>
      <c r="D13" s="1081">
        <f>IF(D$2&lt;=締月,'差引簿集計（短）'!D5,AB13)</f>
        <v>33154</v>
      </c>
      <c r="E13" s="1081">
        <f>IF(E$2&lt;=締月,'差引簿集計（短）'!E5,AC13)</f>
        <v>33154</v>
      </c>
      <c r="F13" s="1081">
        <f>IF(F$2&lt;=締月,'差引簿集計（短）'!F5,AD13)</f>
        <v>33154</v>
      </c>
      <c r="G13" s="1081">
        <f>IF(G$2&lt;=締月,'差引簿集計（短）'!G5,AE13)</f>
        <v>198154</v>
      </c>
      <c r="H13" s="1081">
        <f>IF(H$2&lt;=締月,'差引簿集計（短）'!H5,AF13)</f>
        <v>187154</v>
      </c>
      <c r="I13" s="1081">
        <f>IF(I$2&lt;=締月,'差引簿集計（短）'!I5,AG13)</f>
        <v>33154</v>
      </c>
      <c r="J13" s="1081">
        <f>IF(J$2&lt;=締月,'差引簿集計（短）'!J5,AH13)</f>
        <v>260854</v>
      </c>
      <c r="K13" s="1081">
        <f>IF(K$2&lt;=締月,'差引簿集計（短）'!K5,AI13)</f>
        <v>264154</v>
      </c>
      <c r="L13" s="1082">
        <f>IF(L$2&lt;=締月,'差引簿集計（短）'!L5,AJ13)</f>
        <v>33154</v>
      </c>
      <c r="M13" s="1082">
        <f>IF(M$2&lt;=締月,'差引簿集計（短）'!M5,AK13)</f>
        <v>33154</v>
      </c>
      <c r="N13" s="1082">
        <f>IF(N$2&lt;=締月,'差引簿集計（短）'!N5,AL13)</f>
        <v>165308</v>
      </c>
      <c r="O13" s="1082">
        <f>IF(O$2&lt;=締月,'差引簿集計（短）'!O5,AM13)</f>
        <v>116600</v>
      </c>
      <c r="P13" s="1078">
        <f>SUM(C13:O13)</f>
        <v>1490368</v>
      </c>
      <c r="Q13" s="1068" t="n">
        <v>1339000</v>
      </c>
      <c r="R13" s="1068" t="n"/>
      <c r="S13" s="995">
        <f>SUM(Q13:R13)</f>
        <v>1339000</v>
      </c>
      <c r="T13" s="1083">
        <f>S13-P13</f>
        <v>-151368</v>
      </c>
      <c r="U13" s="944" t="inlineStr">
        <is>
          <t xml:space="preserve">          </t>
        </is>
      </c>
      <c r="V13" s="987">
        <f>SUMIF($C$2:$N$2,"&lt;="&amp;締月,C13:N13)</f>
        <v>583990</v>
      </c>
      <c r="W13" s="987">
        <f>S13-V13</f>
        <v>755010</v>
      </c>
      <c r="X13" s="1059" t="n">
        <v>1</v>
      </c>
      <c r="AA13" s="1060" t="n">
        <v>99220</v>
      </c>
      <c r="AB13" s="1060" t="n">
        <v>33154</v>
      </c>
      <c r="AC13" s="1060" t="n">
        <v>33154</v>
      </c>
      <c r="AD13" s="1060" t="n">
        <v>33154</v>
      </c>
      <c r="AE13" s="1060" t="n">
        <v>198154</v>
      </c>
      <c r="AF13" s="1060" t="n">
        <v>187154</v>
      </c>
      <c r="AG13" s="1060" t="n">
        <v>33154</v>
      </c>
      <c r="AH13" s="1060" t="n">
        <v>260854</v>
      </c>
      <c r="AI13" s="1060" t="n">
        <v>264154</v>
      </c>
      <c r="AJ13" s="1060" t="n">
        <v>33154</v>
      </c>
      <c r="AK13" s="1060" t="n">
        <v>33154</v>
      </c>
      <c r="AL13" s="1060" t="n">
        <v>165308</v>
      </c>
      <c r="AM13" s="1060" t="n">
        <v>116600</v>
      </c>
    </row>
    <row r="14" ht="18" customHeight="1" s="186">
      <c r="A14" s="992" t="n"/>
      <c r="B14" s="993" t="inlineStr">
        <is>
          <t>送金料</t>
        </is>
      </c>
      <c r="C14" s="1081">
        <f>IF(C$2&lt;=締月,'差引簿集計（短）'!C7,AA14)</f>
        <v>0</v>
      </c>
      <c r="D14" s="1081">
        <f>IF(D$2&lt;=締月,'差引簿集計（短）'!D7,AB14)</f>
        <v>248902</v>
      </c>
      <c r="E14" s="1081">
        <f>IF(E$2&lt;=締月,'差引簿集計（短）'!E7,AC14)</f>
        <v>151312</v>
      </c>
      <c r="F14" s="1081">
        <f>IF(F$2&lt;=締月,'差引簿集計（短）'!F7,AD14)</f>
        <v>143987</v>
      </c>
      <c r="G14" s="1081">
        <f>IF(G$2&lt;=締月,'差引簿集計（短）'!G7,AE14)</f>
        <v>156753</v>
      </c>
      <c r="H14" s="1081">
        <f>IF(H$2&lt;=締月,'差引簿集計（短）'!H7,AF14)</f>
        <v>162548</v>
      </c>
      <c r="I14" s="1081">
        <f>IF(I$2&lt;=締月,'差引簿集計（短）'!I7,AG14)</f>
        <v>170300</v>
      </c>
      <c r="J14" s="1081">
        <f>IF(J$2&lt;=締月,'差引簿集計（短）'!J7,AH14)</f>
        <v>158525</v>
      </c>
      <c r="K14" s="1081">
        <f>IF(K$2&lt;=締月,'差引簿集計（短）'!K7,AI14)</f>
        <v>145699</v>
      </c>
      <c r="L14" s="1082">
        <f>IF(L$2&lt;=締月,'差引簿集計（短）'!L7,AJ14)</f>
        <v>156146</v>
      </c>
      <c r="M14" s="1082">
        <f>IF(M$2&lt;=締月,'差引簿集計（短）'!M7,AK14)</f>
        <v>156412</v>
      </c>
      <c r="N14" s="1082">
        <f>IF(N$2&lt;=締月,'差引簿集計（短）'!N7,AL14)</f>
        <v>147743</v>
      </c>
      <c r="O14" s="1082">
        <f>IF(O$2&lt;=締月,'差引簿集計（短）'!O7,AM14)</f>
        <v>149215</v>
      </c>
      <c r="P14" s="995">
        <f>SUM(C14:O14)</f>
        <v>1947542</v>
      </c>
      <c r="Q14" s="1068" t="n">
        <v>1852000</v>
      </c>
      <c r="R14" s="1068" t="n"/>
      <c r="S14" s="995">
        <f>SUM(Q14:R14)</f>
        <v>1852000</v>
      </c>
      <c r="T14" s="1083">
        <f>S14-P14</f>
        <v>-95542</v>
      </c>
      <c r="V14" s="987">
        <f>SUMIF($C$2:$N$2,"&lt;="&amp;締月,C14:N14)</f>
        <v>863502</v>
      </c>
      <c r="W14" s="987">
        <f>S14-V14</f>
        <v>988498</v>
      </c>
      <c r="X14" s="1059" t="n">
        <v>1</v>
      </c>
      <c r="AA14" s="1060" t="n">
        <v>0</v>
      </c>
      <c r="AB14" s="1060" t="n">
        <v>248902</v>
      </c>
      <c r="AC14" s="1060" t="n">
        <v>151312</v>
      </c>
      <c r="AD14" s="1060" t="n">
        <v>143987</v>
      </c>
      <c r="AE14" s="1060" t="n">
        <v>156753</v>
      </c>
      <c r="AF14" s="1060" t="n">
        <v>162548</v>
      </c>
      <c r="AG14" s="1060" t="n">
        <v>170300</v>
      </c>
      <c r="AH14" s="1060" t="n">
        <v>158525</v>
      </c>
      <c r="AI14" s="1060" t="n">
        <v>145699</v>
      </c>
      <c r="AJ14" s="1060" t="n">
        <v>156146</v>
      </c>
      <c r="AK14" s="1060" t="n">
        <v>156412</v>
      </c>
      <c r="AL14" s="1060" t="n">
        <v>147743</v>
      </c>
      <c r="AM14" s="1060" t="n">
        <v>149215</v>
      </c>
    </row>
    <row r="15" ht="18" customHeight="1" s="186">
      <c r="A15" s="992" t="n"/>
      <c r="B15" s="993" t="inlineStr">
        <is>
          <t>通信運搬費</t>
        </is>
      </c>
      <c r="C15" s="1081">
        <f>IF(C$2&lt;=締月,'差引簿集計（短）'!C6,AA15)</f>
        <v>0</v>
      </c>
      <c r="D15" s="1081">
        <f>IF(D$2&lt;=締月,'差引簿集計（短）'!D6,AB15)</f>
        <v>196030</v>
      </c>
      <c r="E15" s="1081">
        <f>IF(E$2&lt;=締月,'差引簿集計（短）'!E6,AC15)</f>
        <v>48793</v>
      </c>
      <c r="F15" s="1081">
        <f>IF(F$2&lt;=締月,'差引簿集計（短）'!F6,AD15)</f>
        <v>26523</v>
      </c>
      <c r="G15" s="1081">
        <f>IF(G$2&lt;=締月,'差引簿集計（短）'!G6,AE15)</f>
        <v>71449</v>
      </c>
      <c r="H15" s="1081">
        <f>IF(H$2&lt;=締月,'差引簿集計（短）'!H6,AF15)</f>
        <v>26460</v>
      </c>
      <c r="I15" s="1081">
        <f>IF(I$2&lt;=締月,'差引簿集計（短）'!I6,AG15)</f>
        <v>121950</v>
      </c>
      <c r="J15" s="1081">
        <f>IF(J$2&lt;=締月,'差引簿集計（短）'!J6,AH15)</f>
        <v>5626</v>
      </c>
      <c r="K15" s="1081">
        <f>IF(K$2&lt;=締月,'差引簿集計（短）'!K6,AI15)</f>
        <v>92333</v>
      </c>
      <c r="L15" s="1082">
        <f>IF(L$2&lt;=締月,'差引簿集計（短）'!L6,AJ15)</f>
        <v>46855</v>
      </c>
      <c r="M15" s="1082">
        <f>IF(M$2&lt;=締月,'差引簿集計（短）'!M6,AK15)</f>
        <v>315663</v>
      </c>
      <c r="N15" s="1082">
        <f>IF(N$2&lt;=締月,'差引簿集計（短）'!N6,AL15)</f>
        <v>32713</v>
      </c>
      <c r="O15" s="1082">
        <f>IF(O$2&lt;=締月,'差引簿集計（短）'!O6,AM15)</f>
        <v>66886</v>
      </c>
      <c r="P15" s="995">
        <f>SUM(C15:O15)</f>
        <v>1051281</v>
      </c>
      <c r="Q15" s="1068" t="n">
        <v>983000</v>
      </c>
      <c r="R15" s="1068" t="n"/>
      <c r="S15" s="995">
        <f>SUM(Q15:R15)</f>
        <v>983000</v>
      </c>
      <c r="T15" s="1083">
        <f>S15-P15</f>
        <v>-68281</v>
      </c>
      <c r="V15" s="987">
        <f>SUMIF($C$2:$N$2,"&lt;="&amp;締月,C15:N15)</f>
        <v>369255</v>
      </c>
      <c r="W15" s="987">
        <f>S15-V15</f>
        <v>613745</v>
      </c>
      <c r="X15" s="1059" t="n">
        <v>1</v>
      </c>
      <c r="AA15" s="1060" t="n">
        <v>0</v>
      </c>
      <c r="AB15" s="1060" t="n">
        <v>196030</v>
      </c>
      <c r="AC15" s="1060" t="n">
        <v>48793</v>
      </c>
      <c r="AD15" s="1060" t="n">
        <v>26523</v>
      </c>
      <c r="AE15" s="1060" t="n">
        <v>71449</v>
      </c>
      <c r="AF15" s="1060" t="n">
        <v>26460</v>
      </c>
      <c r="AG15" s="1060" t="n">
        <v>121950</v>
      </c>
      <c r="AH15" s="1060" t="n">
        <v>5626</v>
      </c>
      <c r="AI15" s="1060" t="n">
        <v>92333</v>
      </c>
      <c r="AJ15" s="1060" t="n">
        <v>46855</v>
      </c>
      <c r="AK15" s="1060" t="n">
        <v>315663</v>
      </c>
      <c r="AL15" s="1060" t="n">
        <v>32713</v>
      </c>
      <c r="AM15" s="1060" t="n">
        <v>66886</v>
      </c>
    </row>
    <row r="16" ht="18" customHeight="1" s="186">
      <c r="A16" s="992" t="n"/>
      <c r="B16" s="1006" t="inlineStr">
        <is>
          <t>会議費</t>
        </is>
      </c>
      <c r="C16" s="1084">
        <f>IF(C$2&lt;=締月,'差引簿集計（短）'!C9,AA16)</f>
        <v>0</v>
      </c>
      <c r="D16" s="1084">
        <f>IF(D$2&lt;=締月,'差引簿集計（短）'!D9,AB16)</f>
        <v>0</v>
      </c>
      <c r="E16" s="1084">
        <f>IF(E$2&lt;=締月,'差引簿集計（短）'!E9,AC16)</f>
        <v>0</v>
      </c>
      <c r="F16" s="1084">
        <f>IF(F$2&lt;=締月,'差引簿集計（短）'!F9,AD16)</f>
        <v>0</v>
      </c>
      <c r="G16" s="1084">
        <f>IF(G$2&lt;=締月,'差引簿集計（短）'!G9,AE16)</f>
        <v>0</v>
      </c>
      <c r="H16" s="1084">
        <f>IF(H$2&lt;=締月,'差引簿集計（短）'!H9,AF16)</f>
        <v>0</v>
      </c>
      <c r="I16" s="1084">
        <f>IF(I$2&lt;=締月,'差引簿集計（短）'!I9,AG16)</f>
        <v>0</v>
      </c>
      <c r="J16" s="1084">
        <f>IF(J$2&lt;=締月,'差引簿集計（短）'!J9,AH16)</f>
        <v>0</v>
      </c>
      <c r="K16" s="1084">
        <f>IF(K$2&lt;=締月,'差引簿集計（短）'!K9,AI16)</f>
        <v>0</v>
      </c>
      <c r="L16" s="1085">
        <f>IF(L$2&lt;=締月,'差引簿集計（短）'!L9,AJ16)</f>
        <v>0</v>
      </c>
      <c r="M16" s="1085">
        <f>IF(M$2&lt;=締月,'差引簿集計（短）'!M9,AK16)</f>
        <v>0</v>
      </c>
      <c r="N16" s="1085">
        <f>IF(N$2&lt;=締月,'差引簿集計（短）'!N9,AL16)</f>
        <v>0</v>
      </c>
      <c r="O16" s="1085">
        <f>IF(O$2&lt;=締月,'差引簿集計（短）'!O9,AM16)</f>
        <v>0</v>
      </c>
      <c r="P16" s="995">
        <f>SUM(C16:O16)</f>
        <v>0</v>
      </c>
      <c r="Q16" s="1086" t="n">
        <v>0</v>
      </c>
      <c r="R16" s="1086" t="n"/>
      <c r="S16" s="995">
        <f>SUM(Q16:R16)</f>
        <v>0</v>
      </c>
      <c r="T16" s="1083">
        <f>S16-P16</f>
        <v>0</v>
      </c>
      <c r="V16" s="987">
        <f>SUMIF($C$2:$N$2,"&lt;="&amp;締月,C16:N16)</f>
        <v>0</v>
      </c>
      <c r="W16" s="987">
        <f>S16-V16</f>
        <v>0</v>
      </c>
      <c r="X16" s="1059" t="n">
        <v>1</v>
      </c>
      <c r="AA16" s="1060" t="n">
        <v>0</v>
      </c>
      <c r="AB16" s="1060" t="n">
        <v>0</v>
      </c>
      <c r="AC16" s="1060" t="n">
        <v>0</v>
      </c>
      <c r="AD16" s="1060" t="n">
        <v>0</v>
      </c>
      <c r="AE16" s="1060" t="n">
        <v>0</v>
      </c>
      <c r="AF16" s="1060" t="n">
        <v>0</v>
      </c>
      <c r="AG16" s="1060" t="n">
        <v>0</v>
      </c>
      <c r="AH16" s="1060" t="n">
        <v>0</v>
      </c>
      <c r="AI16" s="1060" t="n">
        <v>0</v>
      </c>
      <c r="AJ16" s="1060" t="n">
        <v>0</v>
      </c>
      <c r="AK16" s="1060" t="n">
        <v>0</v>
      </c>
      <c r="AL16" s="1060" t="n">
        <v>0</v>
      </c>
      <c r="AM16" s="1060" t="n">
        <v>0</v>
      </c>
    </row>
    <row r="17" ht="18" customHeight="1" s="186">
      <c r="A17" s="992" t="n"/>
      <c r="B17" s="1007" t="inlineStr">
        <is>
          <t>雑費</t>
        </is>
      </c>
      <c r="C17" s="1087">
        <f>IF(C$2&lt;=締月,'差引簿集計（短）'!C8,AA17)</f>
        <v>0</v>
      </c>
      <c r="D17" s="1087">
        <f>IF(D$2&lt;=締月,'差引簿集計（短）'!D8,AB17)</f>
        <v>550</v>
      </c>
      <c r="E17" s="1087">
        <f>IF(E$2&lt;=締月,'差引簿集計（短）'!E8,AC17)</f>
        <v>550</v>
      </c>
      <c r="F17" s="1087">
        <f>IF(F$2&lt;=締月,'差引簿集計（短）'!F8,AD17)</f>
        <v>550</v>
      </c>
      <c r="G17" s="1087">
        <f>IF(G$2&lt;=締月,'差引簿集計（短）'!G8,AE17)</f>
        <v>550</v>
      </c>
      <c r="H17" s="1087">
        <f>IF(H$2&lt;=締月,'差引簿集計（短）'!H8,AF17)</f>
        <v>550</v>
      </c>
      <c r="I17" s="1087">
        <f>IF(I$2&lt;=締月,'差引簿集計（短）'!I8,AG17)</f>
        <v>550</v>
      </c>
      <c r="J17" s="1087">
        <f>IF(J$2&lt;=締月,'差引簿集計（短）'!J8,AH17)</f>
        <v>550</v>
      </c>
      <c r="K17" s="1087">
        <f>IF(K$2&lt;=締月,'差引簿集計（短）'!K8,AI17)</f>
        <v>550</v>
      </c>
      <c r="L17" s="1088">
        <f>IF(L$2&lt;=締月,'差引簿集計（短）'!L8,AJ17)</f>
        <v>550</v>
      </c>
      <c r="M17" s="1088">
        <f>IF(M$2&lt;=締月,'差引簿集計（短）'!M8,AK17)</f>
        <v>550</v>
      </c>
      <c r="N17" s="1088">
        <f>IF(N$2&lt;=締月,'差引簿集計（短）'!N8,AL17)</f>
        <v>550</v>
      </c>
      <c r="O17" s="1088">
        <f>IF(O$2&lt;=締月,'差引簿集計（短）'!O8,AM17)</f>
        <v>550</v>
      </c>
      <c r="P17" s="999">
        <f>SUM(C17:O17)</f>
        <v>6600</v>
      </c>
      <c r="Q17" s="1070" t="n">
        <v>0</v>
      </c>
      <c r="R17" s="1070" t="n"/>
      <c r="S17" s="999">
        <f>SUM(Q17:R17)</f>
        <v>0</v>
      </c>
      <c r="T17" s="1071">
        <f>S17-P17</f>
        <v>-6600</v>
      </c>
      <c r="V17" s="987">
        <f>SUMIF($C$2:$N$2,"&lt;="&amp;締月,C17:N17)</f>
        <v>2750</v>
      </c>
      <c r="W17" s="987">
        <f>S17-V17</f>
        <v>-2750</v>
      </c>
      <c r="X17" s="1059" t="n">
        <v>1</v>
      </c>
      <c r="AA17" s="1060" t="n">
        <v>0</v>
      </c>
      <c r="AB17" s="1060" t="n">
        <v>550</v>
      </c>
      <c r="AC17" s="1060" t="n">
        <v>550</v>
      </c>
      <c r="AD17" s="1060" t="n">
        <v>550</v>
      </c>
      <c r="AE17" s="1060" t="n">
        <v>550</v>
      </c>
      <c r="AF17" s="1060" t="n">
        <v>550</v>
      </c>
      <c r="AG17" s="1060" t="n">
        <v>550</v>
      </c>
      <c r="AH17" s="1060" t="n">
        <v>550</v>
      </c>
      <c r="AI17" s="1060" t="n">
        <v>550</v>
      </c>
      <c r="AJ17" s="1060" t="n">
        <v>550</v>
      </c>
      <c r="AK17" s="1060" t="n">
        <v>550</v>
      </c>
      <c r="AL17" s="1060" t="n">
        <v>550</v>
      </c>
      <c r="AM17" s="1060" t="n">
        <v>550</v>
      </c>
    </row>
    <row r="18" ht="17.25" customHeight="1" s="186">
      <c r="A18" s="1000" t="n"/>
      <c r="B18" s="1001" t="inlineStr">
        <is>
          <t>計</t>
        </is>
      </c>
      <c r="C18" s="1002">
        <f>SUM(C12:C17)</f>
        <v>119702</v>
      </c>
      <c r="D18" s="1002">
        <f>SUM(D12:D17)</f>
        <v>537044</v>
      </c>
      <c r="E18" s="1002">
        <f>SUM(E12:E17)</f>
        <v>272177</v>
      </c>
      <c r="F18" s="1002">
        <f>SUM(F12:F17)</f>
        <v>204214</v>
      </c>
      <c r="G18" s="1002">
        <f>SUM(G12:G17)</f>
        <v>558809</v>
      </c>
      <c r="H18" s="1002">
        <f>SUM(H12:H17)</f>
        <v>421915</v>
      </c>
      <c r="I18" s="1002">
        <f>SUM(I12:I17)</f>
        <v>325954</v>
      </c>
      <c r="J18" s="1002">
        <f>SUM(J12:J17)</f>
        <v>639572</v>
      </c>
      <c r="K18" s="1002">
        <f>SUM(K12:K17)</f>
        <v>565066</v>
      </c>
      <c r="L18" s="1002">
        <f>SUM(L12:L17)</f>
        <v>308492</v>
      </c>
      <c r="M18" s="1002">
        <f>SUM(M12:M17)</f>
        <v>555266</v>
      </c>
      <c r="N18" s="1002">
        <f>SUM(N12:N17)</f>
        <v>450912</v>
      </c>
      <c r="O18" s="1002">
        <f>SUM(O12:O17)</f>
        <v>433831</v>
      </c>
      <c r="P18" s="985">
        <f>SUM(P12:P17)</f>
        <v>5392954</v>
      </c>
      <c r="Q18" s="985">
        <f>SUM(Q12:Q17)</f>
        <v>5711000</v>
      </c>
      <c r="R18" s="1008" t="n"/>
      <c r="S18" s="1008">
        <f>SUM(Q18:R18)</f>
        <v>5711000</v>
      </c>
      <c r="T18" s="1089">
        <f>S18-P18</f>
        <v>318046</v>
      </c>
      <c r="V18" s="1003">
        <f>SUMIF($C$2:$N$2,"&lt;="&amp;締月,C18:N18)</f>
        <v>2113861</v>
      </c>
      <c r="W18" s="1003">
        <f>S18-V18</f>
        <v>3597139</v>
      </c>
    </row>
    <row r="19" ht="17.25" customHeight="1" s="186">
      <c r="A19" s="1009" t="inlineStr">
        <is>
          <t>賃金</t>
        </is>
      </c>
      <c r="B19" s="979" t="n"/>
      <c r="C19" s="1090" t="n"/>
      <c r="D19" s="1002">
        <f>D59</f>
        <v>425880</v>
      </c>
      <c r="E19" s="1002">
        <f>E59</f>
        <v>365040</v>
      </c>
      <c r="F19" s="1002">
        <f>F59</f>
        <v>446160</v>
      </c>
      <c r="G19" s="1002">
        <f>G59</f>
        <v>445720</v>
      </c>
      <c r="H19" s="1002">
        <f>H59</f>
        <v>384480</v>
      </c>
      <c r="I19" s="1002">
        <f>I59</f>
        <v>389160</v>
      </c>
      <c r="J19" s="1002">
        <f>J59</f>
        <v>416580</v>
      </c>
      <c r="K19" s="1002">
        <f>K59</f>
        <v>340920</v>
      </c>
      <c r="L19" s="1002">
        <f>L59</f>
        <v>377520</v>
      </c>
      <c r="M19" s="1002">
        <f>M59</f>
        <v>359120</v>
      </c>
      <c r="N19" s="1002">
        <f>N59</f>
        <v>339340</v>
      </c>
      <c r="O19" s="1002">
        <f>O59</f>
        <v>339568</v>
      </c>
      <c r="P19" s="985">
        <f>SUM(C19:O19)</f>
        <v>4629488</v>
      </c>
      <c r="Q19" s="1058" t="n">
        <v>5520000</v>
      </c>
      <c r="R19" s="1091" t="n"/>
      <c r="S19" s="1008">
        <f>SUM(Q19:R19)</f>
        <v>5520000</v>
      </c>
      <c r="T19" s="1089">
        <f>S19-P19</f>
        <v>890512</v>
      </c>
      <c r="V19" s="987">
        <f>SUMIF($C$2:$N$2,"&lt;="&amp;締月,C19:N19)</f>
        <v>2067280</v>
      </c>
      <c r="W19" s="987">
        <f>S19-V19</f>
        <v>3452720</v>
      </c>
    </row>
    <row r="20" ht="18" customHeight="1" s="186">
      <c r="A20" s="983" t="inlineStr">
        <is>
          <t>委託費</t>
        </is>
      </c>
      <c r="B20" s="979" t="n"/>
      <c r="C20" s="1057">
        <f>IF(C$2&lt;=締月,'差引簿集計（短）'!C11,AA20)</f>
        <v>60235</v>
      </c>
      <c r="D20" s="1057">
        <f>IF(D$2&lt;=締月,'差引簿集計（短）'!D11,AB20)</f>
        <v>2146895</v>
      </c>
      <c r="E20" s="1057">
        <f>IF(E$2&lt;=締月,'差引簿集計（短）'!E11,AC20)</f>
        <v>188645</v>
      </c>
      <c r="F20" s="1057">
        <f>IF(F$2&lt;=締月,'差引簿集計（短）'!F11,AD20)</f>
        <v>166167</v>
      </c>
      <c r="G20" s="1057">
        <f>IF(G$2&lt;=締月,'差引簿集計（短）'!G11,AE20)</f>
        <v>226857</v>
      </c>
      <c r="H20" s="1057">
        <f>IF(H$2&lt;=締月,'差引簿集計（短）'!H11,AF20)</f>
        <v>1758851</v>
      </c>
      <c r="I20" s="1057">
        <f>IF(I$2&lt;=締月,'差引簿集計（短）'!I11,AG20)</f>
        <v>563675</v>
      </c>
      <c r="J20" s="1057">
        <f>IF(J$2&lt;=締月,'差引簿集計（短）'!J11,AH20)</f>
        <v>190646</v>
      </c>
      <c r="K20" s="1057">
        <f>IF(K$2&lt;=締月,'差引簿集計（短）'!K11,AI20)</f>
        <v>2455527</v>
      </c>
      <c r="L20" s="1073">
        <f>IF(L$2&lt;=締月,'差引簿集計（短）'!L11,AJ20)</f>
        <v>173468</v>
      </c>
      <c r="M20" s="1073">
        <f>IF(M$2&lt;=締月,'差引簿集計（短）'!M11,AK20)</f>
        <v>215628</v>
      </c>
      <c r="N20" s="1073">
        <f>IF(N$2&lt;=締月,'差引簿集計（短）'!N11,AL20)</f>
        <v>252737</v>
      </c>
      <c r="O20" s="1073">
        <f>IF(O$2&lt;=締月,'差引簿集計（短）'!O11,AM20)</f>
        <v>1231586</v>
      </c>
      <c r="P20" s="985">
        <f>SUM(C20:O20)</f>
        <v>9630917</v>
      </c>
      <c r="Q20" s="1058" t="n">
        <v>10478000</v>
      </c>
      <c r="R20" s="1090" t="n"/>
      <c r="S20" s="985">
        <f>SUM(Q20:R20)</f>
        <v>10478000</v>
      </c>
      <c r="T20" s="1072">
        <f>S20-P20</f>
        <v>847083</v>
      </c>
      <c r="V20" s="987">
        <f>SUMIF($C$2:$N$2,"&lt;="&amp;締月,C20:N20)</f>
        <v>4547650</v>
      </c>
      <c r="W20" s="987">
        <f>S20-V20</f>
        <v>5930350</v>
      </c>
      <c r="X20" s="1059" t="n">
        <v>1</v>
      </c>
      <c r="AA20" s="1060" t="n">
        <v>60235</v>
      </c>
      <c r="AB20" s="1060" t="n">
        <v>2146895</v>
      </c>
      <c r="AC20" s="1060" t="n">
        <v>188645</v>
      </c>
      <c r="AD20" s="1060" t="n">
        <v>166167</v>
      </c>
      <c r="AE20" s="1060" t="n">
        <v>226857</v>
      </c>
      <c r="AF20" s="1060" t="n">
        <v>1758851</v>
      </c>
      <c r="AG20" s="1060" t="n">
        <v>563675</v>
      </c>
      <c r="AH20" s="1060" t="n">
        <v>190646</v>
      </c>
      <c r="AI20" s="1060" t="n">
        <v>2455527</v>
      </c>
      <c r="AJ20" s="1060" t="n">
        <v>173468</v>
      </c>
      <c r="AK20" s="1060" t="n">
        <v>215628</v>
      </c>
      <c r="AL20" s="1060" t="n">
        <v>252737</v>
      </c>
      <c r="AM20" s="1060" t="n">
        <v>1231586</v>
      </c>
    </row>
    <row r="21" ht="18" customHeight="1" s="186">
      <c r="A21" s="1010" t="inlineStr">
        <is>
          <t>光熱水料</t>
        </is>
      </c>
      <c r="B21" s="979" t="n"/>
      <c r="C21" s="1057">
        <f>IF(C$2&lt;=締月,'差引簿集計（短）'!C15,AA21)</f>
        <v>0</v>
      </c>
      <c r="D21" s="1057">
        <f>IF(D$2&lt;=締月,'差引簿集計（短）'!D15,AB21)</f>
        <v>0</v>
      </c>
      <c r="E21" s="1057">
        <f>IF(E$2&lt;=締月,'差引簿集計（短）'!E15,AC21)</f>
        <v>0</v>
      </c>
      <c r="F21" s="1057">
        <f>IF(F$2&lt;=締月,'差引簿集計（短）'!F15,AD21)</f>
        <v>0</v>
      </c>
      <c r="G21" s="1057">
        <f>IF(G$2&lt;=締月,'差引簿集計（短）'!G15,AE21)</f>
        <v>0</v>
      </c>
      <c r="H21" s="1057">
        <f>IF(H$2&lt;=締月,'差引簿集計（短）'!H15,AF21)</f>
        <v>0</v>
      </c>
      <c r="I21" s="1057">
        <f>IF(I$2&lt;=締月,'差引簿集計（短）'!I15,AG21)</f>
        <v>0</v>
      </c>
      <c r="J21" s="1057">
        <f>IF(J$2&lt;=締月,'差引簿集計（短）'!J15,AH21)</f>
        <v>0</v>
      </c>
      <c r="K21" s="1057">
        <f>IF(K$2&lt;=締月,'差引簿集計（短）'!K15,AI21)</f>
        <v>6999</v>
      </c>
      <c r="L21" s="1073">
        <f>IF(L$2&lt;=締月,'差引簿集計（短）'!L15,AJ21)</f>
        <v>0</v>
      </c>
      <c r="M21" s="1073">
        <f>IF(M$2&lt;=締月,'差引簿集計（短）'!M15,AK21)</f>
        <v>0</v>
      </c>
      <c r="N21" s="1073">
        <f>IF(N$2&lt;=締月,'差引簿集計（短）'!N15,AL21)</f>
        <v>0</v>
      </c>
      <c r="O21" s="1073">
        <f>IF(O$2&lt;=締月,'差引簿集計（短）'!O15,AM21)</f>
        <v>11284</v>
      </c>
      <c r="P21" s="985">
        <f>SUM(C21:O21)</f>
        <v>18283</v>
      </c>
      <c r="Q21" s="1058" t="n">
        <v>16000</v>
      </c>
      <c r="R21" s="1090" t="n"/>
      <c r="S21" s="985">
        <f>SUM(Q21:R21)</f>
        <v>16000</v>
      </c>
      <c r="T21" s="1072">
        <f>S21-P21</f>
        <v>-2283</v>
      </c>
      <c r="V21" s="987">
        <f>SUMIF($C$2:$N$2,"&lt;="&amp;締月,C21:N21)</f>
        <v>0</v>
      </c>
      <c r="W21" s="987">
        <f>S21-V21</f>
        <v>16000</v>
      </c>
      <c r="X21" s="1059" t="n">
        <v>1</v>
      </c>
      <c r="AA21" s="1060" t="n">
        <v>0</v>
      </c>
      <c r="AB21" s="1060" t="n">
        <v>0</v>
      </c>
      <c r="AC21" s="1060" t="n">
        <v>0</v>
      </c>
      <c r="AD21" s="1060" t="n">
        <v>0</v>
      </c>
      <c r="AE21" s="1060" t="n">
        <v>0</v>
      </c>
      <c r="AF21" s="1060" t="n">
        <v>0</v>
      </c>
      <c r="AG21" s="1060" t="n">
        <v>0</v>
      </c>
      <c r="AH21" s="1060" t="n">
        <v>0</v>
      </c>
      <c r="AI21" s="1060" t="n">
        <v>6999</v>
      </c>
      <c r="AJ21" s="1060" t="n">
        <v>0</v>
      </c>
      <c r="AK21" s="1060" t="n">
        <v>0</v>
      </c>
      <c r="AL21" s="1060" t="n">
        <v>0</v>
      </c>
      <c r="AM21" s="1060" t="n">
        <v>11284</v>
      </c>
    </row>
    <row r="22" ht="18" customHeight="1" s="186">
      <c r="A22" s="1010" t="inlineStr">
        <is>
          <t>修繕費</t>
        </is>
      </c>
      <c r="B22" s="979" t="n"/>
      <c r="C22" s="1057">
        <f>IF(C$2&lt;=締月,'差引簿集計（短）'!C16,AA22)</f>
        <v>0</v>
      </c>
      <c r="D22" s="1057">
        <f>IF(D$2&lt;=締月,'差引簿集計（短）'!D16,AB22)</f>
        <v>0</v>
      </c>
      <c r="E22" s="1057">
        <f>IF(E$2&lt;=締月,'差引簿集計（短）'!E16,AC22)</f>
        <v>0</v>
      </c>
      <c r="F22" s="1057">
        <f>IF(F$2&lt;=締月,'差引簿集計（短）'!F16,AD22)</f>
        <v>0</v>
      </c>
      <c r="G22" s="1057">
        <f>IF(G$2&lt;=締月,'差引簿集計（短）'!G16,AE22)</f>
        <v>0</v>
      </c>
      <c r="H22" s="1057">
        <f>IF(H$2&lt;=締月,'差引簿集計（短）'!H16,AF22)</f>
        <v>0</v>
      </c>
      <c r="I22" s="1057">
        <f>IF(I$2&lt;=締月,'差引簿集計（短）'!I16,AG22)</f>
        <v>0</v>
      </c>
      <c r="J22" s="1057">
        <f>IF(J$2&lt;=締月,'差引簿集計（短）'!J16,AH22)</f>
        <v>0</v>
      </c>
      <c r="K22" s="1057">
        <f>IF(K$2&lt;=締月,'差引簿集計（短）'!K16,AI22)</f>
        <v>0</v>
      </c>
      <c r="L22" s="1073">
        <f>IF(L$2&lt;=締月,'差引簿集計（短）'!L16,AJ22)</f>
        <v>0</v>
      </c>
      <c r="M22" s="1073">
        <f>IF(M$2&lt;=締月,'差引簿集計（短）'!M16,AK22)</f>
        <v>0</v>
      </c>
      <c r="N22" s="1073">
        <f>IF(N$2&lt;=締月,'差引簿集計（短）'!N16,AL22)</f>
        <v>0</v>
      </c>
      <c r="O22" s="1073">
        <f>IF(O$2&lt;=締月,'差引簿集計（短）'!O16,AM22)</f>
        <v>0</v>
      </c>
      <c r="P22" s="985">
        <f>SUM(C22:O22)</f>
        <v>0</v>
      </c>
      <c r="Q22" s="1058" t="n">
        <v>0</v>
      </c>
      <c r="R22" s="1090" t="n"/>
      <c r="S22" s="985">
        <f>SUM(Q22:R22)</f>
        <v>0</v>
      </c>
      <c r="T22" s="1072">
        <f>S22-P22</f>
        <v>0</v>
      </c>
      <c r="V22" s="987">
        <f>SUMIF($C$2:$N$2,"&lt;="&amp;締月,C22:N22)</f>
        <v>0</v>
      </c>
      <c r="W22" s="987">
        <f>S22-V22</f>
        <v>0</v>
      </c>
      <c r="X22" s="1059" t="n">
        <v>1</v>
      </c>
      <c r="AA22" s="1060" t="n">
        <v>0</v>
      </c>
      <c r="AB22" s="1060" t="n">
        <v>0</v>
      </c>
      <c r="AC22" s="1060" t="n">
        <v>0</v>
      </c>
      <c r="AD22" s="1060" t="n">
        <v>0</v>
      </c>
      <c r="AE22" s="1060" t="n">
        <v>0</v>
      </c>
      <c r="AF22" s="1060" t="n">
        <v>0</v>
      </c>
      <c r="AG22" s="1060" t="n">
        <v>0</v>
      </c>
      <c r="AH22" s="1060" t="n">
        <v>0</v>
      </c>
      <c r="AI22" s="1060" t="n">
        <v>0</v>
      </c>
      <c r="AJ22" s="1060" t="n">
        <v>0</v>
      </c>
      <c r="AK22" s="1060" t="n">
        <v>0</v>
      </c>
      <c r="AL22" s="1060" t="n">
        <v>0</v>
      </c>
      <c r="AM22" s="1060" t="n"/>
    </row>
    <row r="23" ht="18" customHeight="1" s="186">
      <c r="A23" s="983" t="inlineStr">
        <is>
          <t>賃借料</t>
        </is>
      </c>
      <c r="B23" s="979" t="n"/>
      <c r="C23" s="1057">
        <f>IF(C$2&lt;=締月,'差引簿集計（短）'!C12,AA23)</f>
        <v>0</v>
      </c>
      <c r="D23" s="1057">
        <f>IF(D$2&lt;=締月,'差引簿集計（短）'!D12,AB23)</f>
        <v>690732</v>
      </c>
      <c r="E23" s="1057">
        <f>IF(E$2&lt;=締月,'差引簿集計（短）'!E12,AC23)</f>
        <v>690732</v>
      </c>
      <c r="F23" s="1057">
        <f>IF(F$2&lt;=締月,'差引簿集計（短）'!F12,AD23)</f>
        <v>690732</v>
      </c>
      <c r="G23" s="1057">
        <f>IF(G$2&lt;=締月,'差引簿集計（短）'!G12,AE23)</f>
        <v>690732</v>
      </c>
      <c r="H23" s="1057">
        <f>IF(H$2&lt;=締月,'差引簿集計（短）'!H12,AF23)</f>
        <v>690732</v>
      </c>
      <c r="I23" s="1057">
        <f>IF(I$2&lt;=締月,'差引簿集計（短）'!I12,AG23)</f>
        <v>690732</v>
      </c>
      <c r="J23" s="1057">
        <f>IF(J$2&lt;=締月,'差引簿集計（短）'!J12,AH23)</f>
        <v>690732</v>
      </c>
      <c r="K23" s="1057">
        <f>IF(K$2&lt;=締月,'差引簿集計（短）'!K12,AI23)</f>
        <v>690732</v>
      </c>
      <c r="L23" s="1057">
        <f>IF(L$2&lt;=締月,'差引簿集計（短）'!L12,AJ23)</f>
        <v>690732</v>
      </c>
      <c r="M23" s="1057">
        <f>IF(M$2&lt;=締月,'差引簿集計（短）'!M12,AK23)</f>
        <v>690732</v>
      </c>
      <c r="N23" s="1073">
        <f>IF(N$2&lt;=締月,'差引簿集計（短）'!N12,AL23)</f>
        <v>690732</v>
      </c>
      <c r="O23" s="1073">
        <f>IF(O$2&lt;=締月,'差引簿集計（短）'!O12,AM23)</f>
        <v>476415</v>
      </c>
      <c r="P23" s="985">
        <f>SUM(C23:O23)</f>
        <v>8074467</v>
      </c>
      <c r="Q23" s="1058" t="n">
        <v>8441000</v>
      </c>
      <c r="R23" s="1090" t="n"/>
      <c r="S23" s="985">
        <f>SUM(Q23:R23)</f>
        <v>8441000</v>
      </c>
      <c r="T23" s="1072">
        <f>S23-P23</f>
        <v>366533</v>
      </c>
      <c r="V23" s="987">
        <f>SUMIF($C$2:$N$2,"&lt;="&amp;締月,C23:N23)</f>
        <v>3453660</v>
      </c>
      <c r="W23" s="987">
        <f>S23-V23</f>
        <v>4987340</v>
      </c>
      <c r="X23" s="1059" t="n">
        <v>1</v>
      </c>
      <c r="AA23" s="1060" t="n">
        <v>0</v>
      </c>
      <c r="AB23" s="1060" t="n">
        <v>690732</v>
      </c>
      <c r="AC23" s="1060" t="n">
        <v>690732</v>
      </c>
      <c r="AD23" s="1060" t="n">
        <v>690732</v>
      </c>
      <c r="AE23" s="1060" t="n">
        <v>690732</v>
      </c>
      <c r="AF23" s="1060" t="n">
        <v>690732</v>
      </c>
      <c r="AG23" s="1060" t="n">
        <v>690732</v>
      </c>
      <c r="AH23" s="1060" t="n">
        <v>690732</v>
      </c>
      <c r="AI23" s="1060" t="n">
        <v>690732</v>
      </c>
      <c r="AJ23" s="1060" t="n">
        <v>690732</v>
      </c>
      <c r="AK23" s="1060" t="n">
        <v>690732</v>
      </c>
      <c r="AL23" s="1060" t="n">
        <v>690732</v>
      </c>
      <c r="AM23" s="1060" t="n">
        <v>476415</v>
      </c>
    </row>
    <row r="24" ht="18" customHeight="1" s="186">
      <c r="A24" s="983" t="inlineStr">
        <is>
          <t>普及費</t>
        </is>
      </c>
      <c r="B24" s="979" t="n"/>
      <c r="C24" s="1057">
        <f>IF(C$2&lt;=締月,'差引簿集計（短）'!C14,AA24)</f>
        <v>0</v>
      </c>
      <c r="D24" s="1057">
        <f>IF(D$2&lt;=締月,'差引簿集計（短）'!D14,AB24)</f>
        <v>0</v>
      </c>
      <c r="E24" s="1057">
        <f>IF(E$2&lt;=締月,'差引簿集計（短）'!E14,AC24)</f>
        <v>0</v>
      </c>
      <c r="F24" s="1057">
        <f>IF(F$2&lt;=締月,'差引簿集計（短）'!F14,AD24)</f>
        <v>0</v>
      </c>
      <c r="G24" s="1057">
        <f>IF(G$2&lt;=締月,'差引簿集計（短）'!G14,AE24)</f>
        <v>371265</v>
      </c>
      <c r="H24" s="1057">
        <f>IF(H$2&lt;=締月,'差引簿集計（短）'!H14,AF24)</f>
        <v>0</v>
      </c>
      <c r="I24" s="1057">
        <f>IF(I$2&lt;=締月,'差引簿集計（短）'!I14,AG24)</f>
        <v>0</v>
      </c>
      <c r="J24" s="1057">
        <f>IF(J$2&lt;=締月,'差引簿集計（短）'!J14,AH24)</f>
        <v>277667</v>
      </c>
      <c r="K24" s="1057">
        <f>IF(K$2&lt;=締月,'差引簿集計（短）'!K14,AI24)</f>
        <v>0</v>
      </c>
      <c r="L24" s="1073">
        <f>IF(L$2&lt;=締月,'差引簿集計（短）'!L14,AJ24)</f>
        <v>199257</v>
      </c>
      <c r="M24" s="1073">
        <f>IF(M$2&lt;=締月,'差引簿集計（短）'!M14,AK24)</f>
        <v>0</v>
      </c>
      <c r="N24" s="1073">
        <f>IF(N$2&lt;=締月,'差引簿集計（短）'!N14,AL24)</f>
        <v>0</v>
      </c>
      <c r="O24" s="1073">
        <f>IF(O$2&lt;=締月,'差引簿集計（短）'!O14,AM24)</f>
        <v>441809</v>
      </c>
      <c r="P24" s="985">
        <f>SUM(C24:O24)</f>
        <v>1289998</v>
      </c>
      <c r="Q24" s="1058" t="n">
        <v>1532000</v>
      </c>
      <c r="R24" s="1090" t="n"/>
      <c r="S24" s="985">
        <f>SUM(Q24:R24)</f>
        <v>1532000</v>
      </c>
      <c r="T24" s="1072">
        <f>S24-P24</f>
        <v>242002</v>
      </c>
      <c r="V24" s="987">
        <f>SUMIF($C$2:$N$2,"&lt;="&amp;締月,C24:N24)</f>
        <v>371265</v>
      </c>
      <c r="W24" s="987">
        <f>S24-V24</f>
        <v>1160735</v>
      </c>
      <c r="X24" s="1059" t="n">
        <v>1</v>
      </c>
      <c r="AA24" s="1060" t="n">
        <v>0</v>
      </c>
      <c r="AB24" s="1060" t="n">
        <v>0</v>
      </c>
      <c r="AC24" s="1060" t="n">
        <v>0</v>
      </c>
      <c r="AD24" s="1060" t="n">
        <v>0</v>
      </c>
      <c r="AE24" s="1060" t="n">
        <v>371265</v>
      </c>
      <c r="AF24" s="1060" t="n">
        <v>0</v>
      </c>
      <c r="AG24" s="1060" t="n">
        <v>0</v>
      </c>
      <c r="AH24" s="1060" t="n">
        <v>277667</v>
      </c>
      <c r="AI24" s="1060" t="n">
        <v>0</v>
      </c>
      <c r="AJ24" s="1060" t="n">
        <v>199257</v>
      </c>
      <c r="AK24" s="1060" t="n">
        <v>0</v>
      </c>
      <c r="AL24" s="1060" t="n">
        <v>0</v>
      </c>
      <c r="AM24" s="1060" t="n">
        <v>441809</v>
      </c>
    </row>
    <row r="25" ht="18" customHeight="1" s="186">
      <c r="A25" s="983" t="inlineStr">
        <is>
          <t>諸謝金</t>
        </is>
      </c>
      <c r="B25" s="979" t="n"/>
      <c r="C25" s="1057">
        <f>IF(C$2&lt;=締月,'差引簿集計（短）'!C22,AA25)</f>
        <v>0</v>
      </c>
      <c r="D25" s="1057">
        <f>IF(D$2&lt;=締月,'差引簿集計（短）'!D22,AB25)</f>
        <v>0</v>
      </c>
      <c r="E25" s="1057">
        <f>IF(E$2&lt;=締月,'差引簿集計（短）'!E22,AC25)</f>
        <v>0</v>
      </c>
      <c r="F25" s="1057">
        <f>IF(F$2&lt;=締月,'差引簿集計（短）'!F22,AD25)</f>
        <v>0</v>
      </c>
      <c r="G25" s="1057">
        <f>IF(G$2&lt;=締月,'差引簿集計（短）'!G22,AE25)</f>
        <v>0</v>
      </c>
      <c r="H25" s="1057">
        <f>IF(H$2&lt;=締月,'差引簿集計（短）'!H22,AF25)</f>
        <v>0</v>
      </c>
      <c r="I25" s="1057">
        <f>IF(I$2&lt;=締月,'差引簿集計（短）'!I22,AG25)</f>
        <v>0</v>
      </c>
      <c r="J25" s="1057">
        <f>IF(J$2&lt;=締月,'差引簿集計（短）'!J22,AH25)</f>
        <v>0</v>
      </c>
      <c r="K25" s="1057">
        <f>IF(K$2&lt;=締月,'差引簿集計（短）'!K22,AI25)</f>
        <v>0</v>
      </c>
      <c r="L25" s="1073">
        <f>IF(L$2&lt;=締月,'差引簿集計（短）'!L22,AJ25)</f>
        <v>0</v>
      </c>
      <c r="M25" s="1073">
        <f>IF(M$2&lt;=締月,'差引簿集計（短）'!M22,AK25)</f>
        <v>0</v>
      </c>
      <c r="N25" s="1073">
        <f>IF(N$2&lt;=締月,'差引簿集計（短）'!N22,AL25)</f>
        <v>0</v>
      </c>
      <c r="O25" s="1073">
        <f>IF(O$2&lt;=締月,'差引簿集計（短）'!O22,AM25)</f>
        <v>0</v>
      </c>
      <c r="P25" s="985">
        <f>SUM(C25:O25)</f>
        <v>0</v>
      </c>
      <c r="Q25" s="1058" t="n">
        <v>0</v>
      </c>
      <c r="R25" s="1090" t="n"/>
      <c r="S25" s="985">
        <f>SUM(Q25:R25)</f>
        <v>0</v>
      </c>
      <c r="T25" s="1002">
        <f>S25-P25</f>
        <v>0</v>
      </c>
      <c r="V25" s="987">
        <f>SUMIF($C$2:$N$2,"&lt;="&amp;締月,C25:N25)</f>
        <v>0</v>
      </c>
      <c r="W25" s="987">
        <f>S25-V25</f>
        <v>0</v>
      </c>
      <c r="X25" s="1059" t="n">
        <v>1</v>
      </c>
      <c r="AA25" s="1060" t="n">
        <v>0</v>
      </c>
      <c r="AB25" s="1060" t="n">
        <v>0</v>
      </c>
      <c r="AC25" s="1060" t="n">
        <v>0</v>
      </c>
      <c r="AD25" s="1060" t="n">
        <v>0</v>
      </c>
      <c r="AE25" s="1060" t="n">
        <v>0</v>
      </c>
      <c r="AF25" s="1060" t="n">
        <v>0</v>
      </c>
      <c r="AG25" s="1060" t="n">
        <v>0</v>
      </c>
      <c r="AH25" s="1060" t="n">
        <v>0</v>
      </c>
      <c r="AI25" s="1060" t="n">
        <v>0</v>
      </c>
      <c r="AJ25" s="1060" t="n">
        <v>0</v>
      </c>
      <c r="AK25" s="1060" t="n">
        <v>0</v>
      </c>
      <c r="AL25" s="1060" t="n">
        <v>0</v>
      </c>
      <c r="AM25" s="1060" t="n">
        <v>0</v>
      </c>
    </row>
    <row r="26" ht="18" customHeight="1" s="186">
      <c r="A26" s="1011" t="inlineStr">
        <is>
          <t>負担金</t>
        </is>
      </c>
      <c r="B26" s="989" t="inlineStr">
        <is>
          <t>会議出席負担金等</t>
        </is>
      </c>
      <c r="C26" s="1076">
        <f>IF(C$2&lt;=締月,'差引簿集計（短）'!C24,AA26)</f>
        <v>0</v>
      </c>
      <c r="D26" s="1076">
        <f>IF(D$2&lt;=締月,'差引簿集計（短）'!D24,AB26)</f>
        <v>0</v>
      </c>
      <c r="E26" s="1076">
        <f>IF(E$2&lt;=締月,'差引簿集計（短）'!E24,AC26)</f>
        <v>0</v>
      </c>
      <c r="F26" s="1076">
        <f>IF(F$2&lt;=締月,'差引簿集計（短）'!F24,AD26)</f>
        <v>0</v>
      </c>
      <c r="G26" s="1076">
        <f>IF(G$2&lt;=締月,'差引簿集計（短）'!G24,AE26)</f>
        <v>0</v>
      </c>
      <c r="H26" s="1076">
        <f>IF(H$2&lt;=締月,'差引簿集計（短）'!H24,AF26)</f>
        <v>0</v>
      </c>
      <c r="I26" s="1076">
        <f>IF(I$2&lt;=締月,'差引簿集計（短）'!I24,AG26)</f>
        <v>0</v>
      </c>
      <c r="J26" s="1076">
        <f>IF(J$2&lt;=締月,'差引簿集計（短）'!J24,AH26)</f>
        <v>0</v>
      </c>
      <c r="K26" s="1076">
        <f>IF(K$2&lt;=締月,'差引簿集計（短）'!K24,AI26)</f>
        <v>0</v>
      </c>
      <c r="L26" s="1076">
        <f>IF(L$2&lt;=締月,'差引簿集計（短）'!L24,AJ26)</f>
        <v>0</v>
      </c>
      <c r="M26" s="1076">
        <f>IF(M$2&lt;=締月,'差引簿集計（短）'!M24,AK26)</f>
        <v>0</v>
      </c>
      <c r="N26" s="1076">
        <f>IF(N$2&lt;=締月,'差引簿集計（短）'!N24,AL26)</f>
        <v>0</v>
      </c>
      <c r="O26" s="1076">
        <f>IF(O$2&lt;=締月,'差引簿集計（短）'!O24,AM26)</f>
        <v>0</v>
      </c>
      <c r="P26" s="1078">
        <f>SUM(C26:O26)</f>
        <v>0</v>
      </c>
      <c r="Q26" s="1064" t="n">
        <v>0</v>
      </c>
      <c r="R26" s="1092" t="n"/>
      <c r="S26" s="991">
        <f>SUM(Q26:R26)</f>
        <v>0</v>
      </c>
      <c r="T26" s="991">
        <f>S26-P26</f>
        <v>0</v>
      </c>
      <c r="V26" s="987">
        <f>SUMIF($C$2:$N$2,"&lt;="&amp;締月,C26:N26)</f>
        <v>0</v>
      </c>
      <c r="W26" s="987">
        <f>S26-V26</f>
        <v>0</v>
      </c>
      <c r="X26" s="1059" t="n">
        <v>1</v>
      </c>
      <c r="AA26" s="1060" t="n">
        <v>0</v>
      </c>
      <c r="AB26" s="1060" t="n">
        <v>0</v>
      </c>
      <c r="AC26" s="1060" t="n">
        <v>0</v>
      </c>
      <c r="AD26" s="1060" t="n">
        <v>0</v>
      </c>
      <c r="AE26" s="1060" t="n">
        <v>0</v>
      </c>
      <c r="AF26" s="1060" t="n">
        <v>0</v>
      </c>
      <c r="AG26" s="1060" t="n">
        <v>0</v>
      </c>
      <c r="AH26" s="1060" t="n">
        <v>0</v>
      </c>
      <c r="AI26" s="1060" t="n">
        <v>0</v>
      </c>
      <c r="AJ26" s="1060" t="n">
        <v>0</v>
      </c>
      <c r="AK26" s="1060" t="n">
        <v>0</v>
      </c>
      <c r="AL26" s="1060" t="n">
        <v>0</v>
      </c>
      <c r="AM26" s="1060" t="n">
        <v>0</v>
      </c>
    </row>
    <row r="27" ht="18" customHeight="1" s="186">
      <c r="A27" s="1013" t="n"/>
      <c r="B27" s="1093" t="inlineStr">
        <is>
          <t>互助会費</t>
        </is>
      </c>
      <c r="C27" s="1094">
        <f>IF(C$2&lt;=締月,'差引簿集計（短）'!C23,AA27)</f>
        <v>240</v>
      </c>
      <c r="D27" s="1094">
        <f>IF(D$2&lt;=締月,'差引簿集計（短）'!D23,AB27)</f>
        <v>240</v>
      </c>
      <c r="E27" s="1094">
        <f>IF(E$2&lt;=締月,'差引簿集計（短）'!E23,AC27)</f>
        <v>240</v>
      </c>
      <c r="F27" s="1094">
        <f>IF(F$2&lt;=締月,'差引簿集計（短）'!F23,AD27)</f>
        <v>240</v>
      </c>
      <c r="G27" s="1094">
        <f>IF(G$2&lt;=締月,'差引簿集計（短）'!G23,AE27)</f>
        <v>240</v>
      </c>
      <c r="H27" s="1094">
        <f>IF(H$2&lt;=締月,'差引簿集計（短）'!H23,AF27)</f>
        <v>240</v>
      </c>
      <c r="I27" s="1094">
        <f>IF(I$2&lt;=締月,'差引簿集計（短）'!I23,AG27)</f>
        <v>276</v>
      </c>
      <c r="J27" s="1094">
        <f>IF(J$2&lt;=締月,'差引簿集計（短）'!J23,AH27)</f>
        <v>276</v>
      </c>
      <c r="K27" s="1094">
        <f>IF(K$2&lt;=締月,'差引簿集計（短）'!K23,AI27)</f>
        <v>276</v>
      </c>
      <c r="L27" s="1094">
        <f>IF(L$2&lt;=締月,'差引簿集計（短）'!L23,AJ27)</f>
        <v>356</v>
      </c>
      <c r="M27" s="1094">
        <f>IF(M$2&lt;=締月,'差引簿集計（短）'!M23,AK27)</f>
        <v>284</v>
      </c>
      <c r="N27" s="1094">
        <f>IF(N$2&lt;=締月,'差引簿集計（短）'!N23,AL27)</f>
        <v>284</v>
      </c>
      <c r="O27" s="1095">
        <f>IF(O$2&lt;=締月,'差引簿集計（短）'!O23,AM27)</f>
        <v>0</v>
      </c>
      <c r="P27" s="995">
        <f>SUM(C27:O27)</f>
        <v>3192</v>
      </c>
      <c r="Q27" s="1096" t="n">
        <v>1665000</v>
      </c>
      <c r="R27" s="1097" t="n"/>
      <c r="S27" s="1017">
        <f>SUM(Q27:R27)</f>
        <v>1665000</v>
      </c>
      <c r="T27" s="1098">
        <f>S27-P27</f>
        <v>1661808</v>
      </c>
      <c r="V27" s="987">
        <f>SUMIF($C$2:$N$2,"&lt;="&amp;締月,C27:N27)</f>
        <v>1440</v>
      </c>
      <c r="X27" s="1059" t="n">
        <v>1</v>
      </c>
      <c r="AA27" s="1060" t="n">
        <v>240</v>
      </c>
      <c r="AB27" s="1060" t="n">
        <v>240</v>
      </c>
      <c r="AC27" s="1060" t="n">
        <v>240</v>
      </c>
      <c r="AD27" s="1060" t="n">
        <v>240</v>
      </c>
      <c r="AE27" s="1060" t="n">
        <v>240</v>
      </c>
      <c r="AF27" s="1060" t="n">
        <v>240</v>
      </c>
      <c r="AG27" s="1060" t="n">
        <v>276</v>
      </c>
      <c r="AH27" s="1060" t="n">
        <v>276</v>
      </c>
      <c r="AI27" s="1060" t="n">
        <v>276</v>
      </c>
      <c r="AJ27" s="1060" t="n">
        <v>356</v>
      </c>
      <c r="AK27" s="1060" t="n">
        <v>284</v>
      </c>
      <c r="AL27" s="1060" t="n">
        <v>284</v>
      </c>
      <c r="AM27" s="1060" t="n"/>
    </row>
    <row r="28" ht="18" customHeight="1" s="186">
      <c r="A28" s="1013" t="n"/>
      <c r="B28" s="1018" t="inlineStr">
        <is>
          <t>協会けんぽ保険料等</t>
        </is>
      </c>
      <c r="C28" s="1099">
        <f>IF(C$2&lt;=締月,'差引簿集計（短）'!C25,AA28)</f>
        <v>0</v>
      </c>
      <c r="D28" s="1099">
        <f>IF(D$2&lt;=締月,'差引簿集計（短）'!D25,AB28)</f>
        <v>0</v>
      </c>
      <c r="E28" s="1099">
        <f>IF(E$2&lt;=締月,'差引簿集計（短）'!E25,AC28)</f>
        <v>0</v>
      </c>
      <c r="F28" s="1099">
        <f>IF(F$2&lt;=締月,'差引簿集計（短）'!F25,AD28)</f>
        <v>0</v>
      </c>
      <c r="G28" s="1099">
        <f>IF(G$2&lt;=締月,'差引簿集計（短）'!G25,AE28)</f>
        <v>0</v>
      </c>
      <c r="H28" s="1099">
        <f>IF(H$2&lt;=締月,'差引簿集計（短）'!H25,AF28)</f>
        <v>0</v>
      </c>
      <c r="I28" s="1099">
        <f>IF(I$2&lt;=締月,'差引簿集計（短）'!I25,AG28)</f>
        <v>0</v>
      </c>
      <c r="J28" s="1099">
        <f>IF(J$2&lt;=締月,'差引簿集計（短）'!J25,AH28)</f>
        <v>0</v>
      </c>
      <c r="K28" s="1099">
        <f>IF(K$2&lt;=締月,'差引簿集計（短）'!K25,AI28)</f>
        <v>0</v>
      </c>
      <c r="L28" s="1099">
        <f>IF(L$2&lt;=締月,'差引簿集計（短）'!L25,AJ28)</f>
        <v>0</v>
      </c>
      <c r="M28" s="1099">
        <f>IF(M$2&lt;=締月,'差引簿集計（短）'!M25,AK28)</f>
        <v>0</v>
      </c>
      <c r="N28" s="1099">
        <f>IF(N$2&lt;=締月,'差引簿集計（短）'!N25,AL28)</f>
        <v>0</v>
      </c>
      <c r="O28" s="1081">
        <f>IF(O$2&lt;=締月,'差引簿集計（短）'!O25,AM28)</f>
        <v>0</v>
      </c>
      <c r="P28" s="995">
        <f>SUM(C28:O28)</f>
        <v>0</v>
      </c>
      <c r="Q28" s="992" t="n"/>
      <c r="R28" s="992" t="n"/>
      <c r="S28" s="992" t="n"/>
      <c r="T28" s="992" t="n"/>
      <c r="V28" s="987">
        <f>SUMIF($C$2:$N$2,"&lt;="&amp;締月,C28:N28)</f>
        <v>0</v>
      </c>
      <c r="X28" s="1059" t="n">
        <v>1</v>
      </c>
      <c r="AA28" s="1060" t="n"/>
      <c r="AB28" s="1060" t="n"/>
      <c r="AC28" s="1060" t="n"/>
      <c r="AD28" s="1060" t="n"/>
      <c r="AE28" s="1060" t="n"/>
      <c r="AF28" s="1060" t="n"/>
      <c r="AG28" s="1060" t="n"/>
      <c r="AH28" s="1060" t="n"/>
      <c r="AI28" s="1060" t="n"/>
      <c r="AJ28" s="1060" t="n"/>
      <c r="AK28" s="1060" t="n"/>
      <c r="AL28" s="1060" t="n"/>
      <c r="AM28" s="1060" t="n"/>
    </row>
    <row r="29" ht="18" customHeight="1" s="186">
      <c r="A29" s="1013" t="n"/>
      <c r="B29" s="1019" t="inlineStr">
        <is>
          <t>共済負担金等</t>
        </is>
      </c>
      <c r="C29" s="1081">
        <f>IF(C$2&lt;=締月,'差引簿集計（短）'!C26,AA29)</f>
        <v>37074</v>
      </c>
      <c r="D29" s="1081">
        <f>IF(D$2&lt;=締月,'差引簿集計（短）'!D26,AB29)</f>
        <v>37074</v>
      </c>
      <c r="E29" s="1081">
        <f>IF(E$2&lt;=締月,'差引簿集計（短）'!E26,AC29)</f>
        <v>64323</v>
      </c>
      <c r="F29" s="1081">
        <f>IF(F$2&lt;=締月,'差引簿集計（短）'!F26,AD29)</f>
        <v>37074</v>
      </c>
      <c r="G29" s="1081">
        <f>IF(G$2&lt;=締月,'差引簿集計（短）'!G26,AE29)</f>
        <v>37074</v>
      </c>
      <c r="H29" s="1081">
        <f>IF(H$2&lt;=締月,'差引簿集計（短）'!H26,AF29)</f>
        <v>37763</v>
      </c>
      <c r="I29" s="1081">
        <f>IF(I$2&lt;=締月,'差引簿集計（短）'!I26,AG29)</f>
        <v>39697</v>
      </c>
      <c r="J29" s="1081">
        <f>IF(J$2&lt;=締月,'差引簿集計（短）'!J26,AH29)</f>
        <v>39697</v>
      </c>
      <c r="K29" s="1081">
        <f>IF(K$2&lt;=締月,'差引簿集計（短）'!K26,AI29)</f>
        <v>66980</v>
      </c>
      <c r="L29" s="1081">
        <f>IF(L$2&lt;=締月,'差引簿集計（短）'!L26,AJ29)</f>
        <v>41273</v>
      </c>
      <c r="M29" s="1081">
        <f>IF(M$2&lt;=締月,'差引簿集計（短）'!M26,AK29)</f>
        <v>39697</v>
      </c>
      <c r="N29" s="1081">
        <f>IF(N$2&lt;=締月,'差引簿集計（短）'!N26,AL29)</f>
        <v>39697</v>
      </c>
      <c r="O29" s="1081">
        <f>IF(O$2&lt;=締月,'差引簿集計（短）'!O26,AM29)</f>
        <v>0</v>
      </c>
      <c r="P29" s="995">
        <f>SUM(C29:O29)</f>
        <v>517423</v>
      </c>
      <c r="Q29" s="992" t="n"/>
      <c r="R29" s="992" t="n"/>
      <c r="S29" s="992" t="n"/>
      <c r="T29" s="992" t="n"/>
      <c r="V29" s="987">
        <f>SUMIF($C$2:$N$2,"&lt;="&amp;締月,C29:N29)</f>
        <v>250382</v>
      </c>
      <c r="X29" s="1059" t="n">
        <v>1</v>
      </c>
      <c r="AA29" s="1060" t="n">
        <v>37074</v>
      </c>
      <c r="AB29" s="1060" t="n">
        <v>37074</v>
      </c>
      <c r="AC29" s="1060" t="n">
        <v>64323</v>
      </c>
      <c r="AD29" s="1060" t="n">
        <v>37074</v>
      </c>
      <c r="AE29" s="1060" t="n">
        <v>37074</v>
      </c>
      <c r="AF29" s="1060" t="n">
        <v>37763</v>
      </c>
      <c r="AG29" s="1060" t="n">
        <v>39697</v>
      </c>
      <c r="AH29" s="1060" t="n">
        <v>39697</v>
      </c>
      <c r="AI29" s="1060" t="n">
        <v>66980</v>
      </c>
      <c r="AJ29" s="1060" t="n">
        <v>41273</v>
      </c>
      <c r="AK29" s="1060" t="n">
        <v>39697</v>
      </c>
      <c r="AL29" s="1060" t="n">
        <v>39697</v>
      </c>
      <c r="AM29" s="1060" t="n"/>
    </row>
    <row r="30" ht="18" customHeight="1" s="186">
      <c r="A30" s="1013" t="n"/>
      <c r="B30" s="1019" t="inlineStr">
        <is>
          <t>厚年負担金等</t>
        </is>
      </c>
      <c r="C30" s="1081">
        <f>IF(C$2&lt;=締月,'差引簿集計（短）'!C27,AA30)</f>
        <v>0</v>
      </c>
      <c r="D30" s="1081">
        <f>IF(D$2&lt;=締月,'差引簿集計（短）'!D27,AB30)</f>
        <v>0</v>
      </c>
      <c r="E30" s="1081">
        <f>IF(E$2&lt;=締月,'差引簿集計（短）'!E27,AC30)</f>
        <v>125532</v>
      </c>
      <c r="F30" s="1081">
        <f>IF(F$2&lt;=締月,'差引簿集計（短）'!F27,AD30)</f>
        <v>62766</v>
      </c>
      <c r="G30" s="1081">
        <f>IF(G$2&lt;=締月,'差引簿集計（短）'!G27,AE30)</f>
        <v>105276</v>
      </c>
      <c r="H30" s="1081">
        <f>IF(H$2&lt;=締月,'差引簿集計（短）'!H27,AF30)</f>
        <v>62766</v>
      </c>
      <c r="I30" s="1081">
        <f>IF(I$2&lt;=締月,'差引簿集計（短）'!I27,AG30)</f>
        <v>61815</v>
      </c>
      <c r="J30" s="1081">
        <f>IF(J$2&lt;=締月,'差引簿集計（短）'!J27,AH30)</f>
        <v>0</v>
      </c>
      <c r="K30" s="1081">
        <f>IF(K$2&lt;=締月,'差引簿集計（短）'!K27,AI30)</f>
        <v>59913</v>
      </c>
      <c r="L30" s="1081">
        <f>IF(L$2&lt;=締月,'差引簿集計（短）'!L27,AJ30)</f>
        <v>59913</v>
      </c>
      <c r="M30" s="1081">
        <f>IF(M$2&lt;=締月,'差引簿集計（短）'!M27,AK30)</f>
        <v>101092</v>
      </c>
      <c r="N30" s="1081">
        <f>IF(N$2&lt;=締月,'差引簿集計（短）'!N27,AL30)</f>
        <v>122203</v>
      </c>
      <c r="O30" s="1081">
        <f>IF(O$2&lt;=締月,'差引簿集計（短）'!O27,AM30)</f>
        <v>50403</v>
      </c>
      <c r="P30" s="995">
        <f>SUM(C30:O30)</f>
        <v>811679</v>
      </c>
      <c r="Q30" s="992" t="n"/>
      <c r="R30" s="992" t="n"/>
      <c r="S30" s="992" t="n"/>
      <c r="T30" s="992" t="n"/>
      <c r="V30" s="987">
        <f>SUMIF($C$2:$N$2,"&lt;="&amp;締月,C30:N30)</f>
        <v>356340</v>
      </c>
      <c r="X30" s="1059" t="n">
        <v>1</v>
      </c>
      <c r="AA30" s="1060" t="n">
        <v>0</v>
      </c>
      <c r="AB30" s="1060" t="n">
        <v>0</v>
      </c>
      <c r="AC30" s="1060" t="n">
        <v>125532</v>
      </c>
      <c r="AD30" s="1060" t="n">
        <v>62766</v>
      </c>
      <c r="AE30" s="1060" t="n">
        <v>105276</v>
      </c>
      <c r="AF30" s="1060" t="n">
        <v>62766</v>
      </c>
      <c r="AG30" s="1060" t="n">
        <v>61815</v>
      </c>
      <c r="AH30" s="1060" t="n">
        <v>0</v>
      </c>
      <c r="AI30" s="1060" t="n">
        <v>59913</v>
      </c>
      <c r="AJ30" s="1060" t="n">
        <v>59913</v>
      </c>
      <c r="AK30" s="1060" t="n">
        <v>101092</v>
      </c>
      <c r="AL30" s="1060" t="n">
        <v>122203</v>
      </c>
      <c r="AM30" s="1060" t="n">
        <v>50403</v>
      </c>
    </row>
    <row r="31" ht="18" customHeight="1" s="186">
      <c r="A31" s="1013" t="n"/>
      <c r="B31" s="993" t="inlineStr">
        <is>
          <t>労災・雇用保険料</t>
        </is>
      </c>
      <c r="C31" s="1099">
        <f>IF(C$2&lt;=締月,'差引簿集計（短）'!C28,AA31)</f>
        <v>0</v>
      </c>
      <c r="D31" s="1099">
        <f>IF(D$2&lt;=締月,'差引簿集計（短）'!D28,AB31)</f>
        <v>0</v>
      </c>
      <c r="E31" s="1099">
        <f>IF(E$2&lt;=締月,'差引簿集計（短）'!E28,AC31)</f>
        <v>0</v>
      </c>
      <c r="F31" s="1099">
        <f>IF(F$2&lt;=締月,'差引簿集計（短）'!F28,AD31)</f>
        <v>108215</v>
      </c>
      <c r="G31" s="1099">
        <f>IF(G$2&lt;=締月,'差引簿集計（短）'!G28,AE31)</f>
        <v>0</v>
      </c>
      <c r="H31" s="1099">
        <f>IF(H$2&lt;=締月,'差引簿集計（短）'!H28,AF31)</f>
        <v>0</v>
      </c>
      <c r="I31" s="1099">
        <f>IF(I$2&lt;=締月,'差引簿集計（短）'!I28,AG31)</f>
        <v>0</v>
      </c>
      <c r="J31" s="1099">
        <f>IF(J$2&lt;=締月,'差引簿集計（短）'!J28,AH31)</f>
        <v>0</v>
      </c>
      <c r="K31" s="1099">
        <f>IF(K$2&lt;=締月,'差引簿集計（短）'!K28,AI31)</f>
        <v>0</v>
      </c>
      <c r="L31" s="1099">
        <f>IF(L$2&lt;=締月,'差引簿集計（短）'!L28,AJ31)</f>
        <v>0</v>
      </c>
      <c r="M31" s="1099">
        <f>IF(M$2&lt;=締月,'差引簿集計（短）'!M28,AK31)</f>
        <v>0</v>
      </c>
      <c r="N31" s="1099">
        <f>IF(N$2&lt;=締月,'差引簿集計（短）'!N28,AL31)</f>
        <v>0</v>
      </c>
      <c r="O31" s="1099">
        <f>IF(O$2&lt;=締月,'差引簿集計（短）'!O28,AM31)</f>
        <v>0</v>
      </c>
      <c r="P31" s="995">
        <f>SUM(C31:O31)</f>
        <v>108215</v>
      </c>
      <c r="Q31" s="1021" t="n"/>
      <c r="R31" s="1021" t="n"/>
      <c r="S31" s="1021" t="n"/>
      <c r="T31" s="1021" t="n"/>
      <c r="V31" s="987">
        <f>SUMIF($C$2:$N$2,"&lt;="&amp;締月,C31:N31)</f>
        <v>108215</v>
      </c>
      <c r="X31" s="1059" t="n">
        <v>1</v>
      </c>
      <c r="AA31" s="1060" t="n"/>
      <c r="AB31" s="1060" t="n"/>
      <c r="AC31" s="1060" t="n"/>
      <c r="AD31" s="1060" t="n">
        <v>108215</v>
      </c>
      <c r="AE31" s="1060" t="n"/>
      <c r="AF31" s="1060" t="n"/>
      <c r="AG31" s="1060" t="n"/>
      <c r="AH31" s="1060" t="n"/>
      <c r="AI31" s="1060" t="n"/>
      <c r="AJ31" s="1060" t="n"/>
      <c r="AK31" s="1060" t="n"/>
      <c r="AL31" s="1060" t="n"/>
      <c r="AM31" s="1060" t="n"/>
    </row>
    <row r="32" ht="18" customHeight="1" s="186">
      <c r="A32" s="1013" t="n"/>
      <c r="B32" s="1100" t="inlineStr">
        <is>
          <t>県社保協会費</t>
        </is>
      </c>
      <c r="C32" s="1101">
        <f>IF(C$2&lt;=締月,'差引簿集計（短）'!C29,AA32)</f>
        <v>0</v>
      </c>
      <c r="D32" s="1101">
        <f>IF(D$2&lt;=締月,'差引簿集計（短）'!D29,AB32)</f>
        <v>780</v>
      </c>
      <c r="E32" s="1102">
        <f>IF(E$2&lt;=締月,'差引簿集計（短）'!E29,AC32)</f>
        <v>0</v>
      </c>
      <c r="F32" s="1102">
        <f>IF(F$2&lt;=締月,'差引簿集計（短）'!F29,AD32)</f>
        <v>0</v>
      </c>
      <c r="G32" s="1102">
        <f>IF(G$2&lt;=締月,'差引簿集計（短）'!G29,AE32)</f>
        <v>0</v>
      </c>
      <c r="H32" s="1102">
        <f>IF(H$2&lt;=締月,'差引簿集計（短）'!H29,AF32)</f>
        <v>0</v>
      </c>
      <c r="I32" s="1102">
        <f>IF(I$2&lt;=締月,'差引簿集計（短）'!I29,AG32)</f>
        <v>0</v>
      </c>
      <c r="J32" s="1102">
        <f>IF(J$2&lt;=締月,'差引簿集計（短）'!J29,AH32)</f>
        <v>0</v>
      </c>
      <c r="K32" s="1102">
        <f>IF(K$2&lt;=締月,'差引簿集計（短）'!K29,AI32)</f>
        <v>0</v>
      </c>
      <c r="L32" s="1102">
        <f>IF(L$2&lt;=締月,'差引簿集計（短）'!L29,AJ32)</f>
        <v>0</v>
      </c>
      <c r="M32" s="1102">
        <f>IF(M$2&lt;=締月,'差引簿集計（短）'!M29,AK32)</f>
        <v>0</v>
      </c>
      <c r="N32" s="1102">
        <f>IF(N$2&lt;=締月,'差引簿集計（短）'!N29,AL32)</f>
        <v>0</v>
      </c>
      <c r="O32" s="1102">
        <f>IF(O$2&lt;=締月,'差引簿集計（短）'!O29,AM32)</f>
        <v>0</v>
      </c>
      <c r="P32" s="1022">
        <f>SUM(C32:O32)</f>
        <v>780</v>
      </c>
      <c r="Q32" s="1103" t="n">
        <v>1000</v>
      </c>
      <c r="R32" s="1104" t="n"/>
      <c r="S32" s="999">
        <f>SUM(Q32:R32)</f>
        <v>1000</v>
      </c>
      <c r="T32" s="1022">
        <f>S32-P32</f>
        <v>220</v>
      </c>
      <c r="V32" s="987">
        <f>SUMIF($C$2:$N$2,"&lt;="&amp;締月,C32:N32)</f>
        <v>780</v>
      </c>
      <c r="W32" s="987">
        <f>S32-V32</f>
        <v>220</v>
      </c>
      <c r="X32" s="1059" t="n">
        <v>1</v>
      </c>
      <c r="AA32" s="1060" t="n">
        <v>0</v>
      </c>
      <c r="AB32" s="1060" t="n">
        <v>780</v>
      </c>
      <c r="AC32" s="1060" t="n"/>
      <c r="AD32" s="1060" t="n"/>
      <c r="AE32" s="1060" t="n"/>
      <c r="AF32" s="1060" t="n"/>
      <c r="AG32" s="1060" t="n"/>
      <c r="AH32" s="1060" t="n"/>
      <c r="AI32" s="1060" t="n"/>
      <c r="AJ32" s="1060" t="n"/>
      <c r="AK32" s="1060" t="n"/>
      <c r="AL32" s="1060" t="n"/>
      <c r="AM32" s="1060" t="n"/>
    </row>
    <row r="33" ht="18" customHeight="1" s="186">
      <c r="A33" s="1024" t="n"/>
      <c r="B33" s="1001" t="inlineStr">
        <is>
          <t>計</t>
        </is>
      </c>
      <c r="C33" s="1002">
        <f>SUM(C26:C32)</f>
        <v>37314</v>
      </c>
      <c r="D33" s="1002">
        <f>SUM(D26:D32)</f>
        <v>38094</v>
      </c>
      <c r="E33" s="1002">
        <f>SUM(E26:E32)</f>
        <v>190095</v>
      </c>
      <c r="F33" s="1002">
        <f>SUM(F26:F32)</f>
        <v>208295</v>
      </c>
      <c r="G33" s="1002">
        <f>SUM(G26:G32)</f>
        <v>142590</v>
      </c>
      <c r="H33" s="1002">
        <f>SUM(H26:H32)</f>
        <v>100769</v>
      </c>
      <c r="I33" s="1002">
        <f>SUM(I26:I32)</f>
        <v>101788</v>
      </c>
      <c r="J33" s="1002">
        <f>SUM(J26:J32)</f>
        <v>39973</v>
      </c>
      <c r="K33" s="1002">
        <f>SUM(K26:K32)</f>
        <v>127169</v>
      </c>
      <c r="L33" s="1002">
        <f>SUM(L26:L32)</f>
        <v>101542</v>
      </c>
      <c r="M33" s="1002">
        <f>SUM(M26:M32)</f>
        <v>141073</v>
      </c>
      <c r="N33" s="1002">
        <f>SUM(N26:N32)</f>
        <v>162184</v>
      </c>
      <c r="O33" s="1002">
        <f>SUM(O26:O32)</f>
        <v>50403</v>
      </c>
      <c r="P33" s="985">
        <f>SUM(P26:P32)</f>
        <v>1441289</v>
      </c>
      <c r="Q33" s="985">
        <f>SUM(Q26:Q32)</f>
        <v>1666000</v>
      </c>
      <c r="R33" s="1008" t="n"/>
      <c r="S33" s="1008">
        <f>SUM(Q33:R33)</f>
        <v>1666000</v>
      </c>
      <c r="T33" s="1022">
        <f>S33-P33</f>
        <v>224711</v>
      </c>
      <c r="V33" s="1003">
        <f>SUMIF($C$2:$N$2,"&lt;="&amp;締月,C33:N33)</f>
        <v>717157</v>
      </c>
      <c r="W33" s="1003">
        <f>S33-V33</f>
        <v>948843</v>
      </c>
    </row>
    <row r="34" ht="18" customHeight="1" s="186">
      <c r="A34" s="983" t="inlineStr">
        <is>
          <t>連合会分担金</t>
        </is>
      </c>
      <c r="B34" s="983" t="n"/>
      <c r="C34" s="1105">
        <f>IF(C$2&lt;=締月,'差引簿集計（短）'!C18,AA34)</f>
        <v>0</v>
      </c>
      <c r="D34" s="1105">
        <f>IF(D$2&lt;=締月,'差引簿集計（短）'!D18,AB34)</f>
        <v>0</v>
      </c>
      <c r="E34" s="1105">
        <f>IF(E$2&lt;=締月,'差引簿集計（短）'!E18,AC34)</f>
        <v>0</v>
      </c>
      <c r="F34" s="1105">
        <f>IF(F$2&lt;=締月,'差引簿集計（短）'!F18,AD34)</f>
        <v>0</v>
      </c>
      <c r="G34" s="1105">
        <f>IF(G$2&lt;=締月,'差引簿集計（短）'!G18,AE34)</f>
        <v>0</v>
      </c>
      <c r="H34" s="1057">
        <f>IF(H$2&lt;=締月,'差引簿集計（短）'!H18,AF34)</f>
        <v>20439958</v>
      </c>
      <c r="I34" s="1105">
        <f>IF(I$2&lt;=締月,'差引簿集計（短）'!I18,AG34)</f>
        <v>0</v>
      </c>
      <c r="J34" s="1105">
        <f>IF(J$2&lt;=締月,'差引簿集計（短）'!J18,AH34)</f>
        <v>0</v>
      </c>
      <c r="K34" s="1105">
        <f>IF(K$2&lt;=締月,'差引簿集計（短）'!K18,AI34)</f>
        <v>0</v>
      </c>
      <c r="L34" s="1105">
        <f>IF(L$2&lt;=締月,'差引簿集計（短）'!L18,AJ34)</f>
        <v>0</v>
      </c>
      <c r="M34" s="1105">
        <f>IF(M$2&lt;=締月,'差引簿集計（短）'!M18,AK34)</f>
        <v>0</v>
      </c>
      <c r="N34" s="1105">
        <f>IF(N$2&lt;=締月,'差引簿集計（短）'!N18,AL34)</f>
        <v>0</v>
      </c>
      <c r="O34" s="1105">
        <f>IF(O$2&lt;=締月,'差引簿集計（短）'!O18,AM34)</f>
        <v>0</v>
      </c>
      <c r="P34" s="985">
        <f>SUM(C34:O34)</f>
        <v>20439958</v>
      </c>
      <c r="Q34" s="1058" t="n">
        <v>20921000</v>
      </c>
      <c r="R34" s="1058" t="n"/>
      <c r="S34" s="985">
        <f>SUM(Q34:R34)</f>
        <v>20921000</v>
      </c>
      <c r="T34" s="1002">
        <f>S34-P34</f>
        <v>481042</v>
      </c>
      <c r="V34" s="987">
        <f>SUMIF($C$2:$N$2,"&lt;="&amp;締月,C34:N34)</f>
        <v>20439958</v>
      </c>
      <c r="W34" s="987">
        <f>S34-V34</f>
        <v>481042</v>
      </c>
      <c r="X34" s="1059" t="n">
        <v>1</v>
      </c>
      <c r="AA34" s="1060" t="n"/>
      <c r="AB34" s="1060" t="n"/>
      <c r="AC34" s="1060" t="n"/>
      <c r="AD34" s="1060" t="n"/>
      <c r="AE34" s="1060" t="n"/>
      <c r="AF34" s="1060" t="n">
        <v>20439958</v>
      </c>
      <c r="AG34" s="1060" t="n"/>
      <c r="AH34" s="1060" t="n"/>
      <c r="AI34" s="1060" t="n"/>
      <c r="AJ34" s="1060" t="n"/>
      <c r="AK34" s="1060" t="n"/>
      <c r="AL34" s="1060" t="n"/>
      <c r="AM34" s="1060" t="n"/>
    </row>
    <row r="35" ht="18" customHeight="1" s="186">
      <c r="A35" s="1025" t="inlineStr">
        <is>
          <t>事務費負担金払込金</t>
        </is>
      </c>
      <c r="B35" s="979" t="n"/>
      <c r="C35" s="1105">
        <f>IF(C$2&lt;=締月,'差引簿集計（短）'!C30,AA35)</f>
        <v>0</v>
      </c>
      <c r="D35" s="1105">
        <f>IF(D$2&lt;=締月,'差引簿集計（短）'!D30,AB35)</f>
        <v>0</v>
      </c>
      <c r="E35" s="1105">
        <f>IF(E$2&lt;=締月,'差引簿集計（短）'!E30,AC35)</f>
        <v>0</v>
      </c>
      <c r="F35" s="1105">
        <f>IF(F$2&lt;=締月,'差引簿集計（短）'!F30,AD35)</f>
        <v>0</v>
      </c>
      <c r="G35" s="1105">
        <f>IF(G$2&lt;=締月,'差引簿集計（短）'!G30,AE35)</f>
        <v>0</v>
      </c>
      <c r="H35" s="1105">
        <f>IF(H$2&lt;=締月,'差引簿集計（短）'!H30,AF35)</f>
        <v>0</v>
      </c>
      <c r="I35" s="1105">
        <f>IF(I$2&lt;=締月,'差引簿集計（短）'!I30,AG35)</f>
        <v>0</v>
      </c>
      <c r="J35" s="1105">
        <f>IF(J$2&lt;=締月,'差引簿集計（短）'!J30,AH35)</f>
        <v>0</v>
      </c>
      <c r="K35" s="1105">
        <f>IF(K$2&lt;=締月,'差引簿集計（短）'!K30,AI35)</f>
        <v>0</v>
      </c>
      <c r="L35" s="1105">
        <f>IF(L$2&lt;=締月,'差引簿集計（短）'!L30,AJ35)</f>
        <v>0</v>
      </c>
      <c r="M35" s="1105">
        <f>IF(M$2&lt;=締月,'差引簿集計（短）'!M30,AK35)</f>
        <v>0</v>
      </c>
      <c r="N35" s="1105">
        <f>IF(N$2&lt;=締月,'差引簿集計（短）'!N30,AL35)</f>
        <v>0</v>
      </c>
      <c r="O35" s="1105">
        <f>IF(O$2&lt;=締月,'差引簿集計（短）'!O30,AM35)</f>
        <v>0</v>
      </c>
      <c r="P35" s="985">
        <f>SUM(C35:O35)</f>
        <v>0</v>
      </c>
      <c r="Q35" s="1058" t="n">
        <v>0</v>
      </c>
      <c r="R35" s="1058" t="n"/>
      <c r="S35" s="985">
        <f>SUM(Q35:R35)</f>
        <v>0</v>
      </c>
      <c r="T35" s="1002">
        <f>S35-P35</f>
        <v>0</v>
      </c>
      <c r="V35" s="987">
        <f>SUMIF($C$2:$N$2,"&lt;="&amp;締月,C35:N35)</f>
        <v>0</v>
      </c>
      <c r="W35" s="987">
        <f>S35-V35</f>
        <v>0</v>
      </c>
      <c r="X35" s="1059" t="n">
        <v>1</v>
      </c>
      <c r="AA35" s="1060" t="n"/>
      <c r="AB35" s="1060" t="n"/>
      <c r="AC35" s="1060" t="n"/>
      <c r="AD35" s="1060" t="n"/>
      <c r="AE35" s="1060" t="n"/>
      <c r="AF35" s="1060" t="n"/>
      <c r="AG35" s="1060" t="n"/>
      <c r="AH35" s="1060" t="n"/>
      <c r="AI35" s="1060" t="n"/>
      <c r="AJ35" s="1060" t="n"/>
      <c r="AK35" s="1060" t="n"/>
      <c r="AL35" s="1060" t="n"/>
      <c r="AM35" s="1060" t="n"/>
    </row>
    <row r="36" ht="18" customHeight="1" s="186">
      <c r="A36" s="983" t="inlineStr">
        <is>
          <t>雑費</t>
        </is>
      </c>
      <c r="B36" s="983" t="n"/>
      <c r="C36" s="1105">
        <f>IF(C$2&lt;=締月,'差引簿集計（短）'!C31,AA36)</f>
        <v>0</v>
      </c>
      <c r="D36" s="1105">
        <f>IF(D$2&lt;=締月,'差引簿集計（短）'!D31,AB36)</f>
        <v>0</v>
      </c>
      <c r="E36" s="1105">
        <f>IF(E$2&lt;=締月,'差引簿集計（短）'!E31,AC36)</f>
        <v>0</v>
      </c>
      <c r="F36" s="1105">
        <f>IF(F$2&lt;=締月,'差引簿集計（短）'!F31,AD36)</f>
        <v>0</v>
      </c>
      <c r="G36" s="1105">
        <f>IF(G$2&lt;=締月,'差引簿集計（短）'!G31,AE36)</f>
        <v>0</v>
      </c>
      <c r="H36" s="1105">
        <f>IF(H$2&lt;=締月,'差引簿集計（短）'!H31,AF36)</f>
        <v>0</v>
      </c>
      <c r="I36" s="1105">
        <f>IF(I$2&lt;=締月,'差引簿集計（短）'!I31,AG36)</f>
        <v>0</v>
      </c>
      <c r="J36" s="1105">
        <f>IF(J$2&lt;=締月,'差引簿集計（短）'!J31,AH36)</f>
        <v>0</v>
      </c>
      <c r="K36" s="1105">
        <f>IF(K$2&lt;=締月,'差引簿集計（短）'!K31,AI36)</f>
        <v>0</v>
      </c>
      <c r="L36" s="1105">
        <f>IF(L$2&lt;=締月,'差引簿集計（短）'!L31,AJ36)</f>
        <v>0</v>
      </c>
      <c r="M36" s="1105">
        <f>IF(M$2&lt;=締月,'差引簿集計（短）'!M31,AK36)</f>
        <v>0</v>
      </c>
      <c r="N36" s="1105">
        <f>IF(N$2&lt;=締月,'差引簿集計（短）'!N31,AL36)</f>
        <v>0</v>
      </c>
      <c r="O36" s="1105">
        <f>IF(O$2&lt;=締月,'差引簿集計（短）'!O31,AM36)</f>
        <v>0</v>
      </c>
      <c r="P36" s="985">
        <f>SUM(C36:O36)</f>
        <v>0</v>
      </c>
      <c r="Q36" s="1058" t="n">
        <v>0</v>
      </c>
      <c r="R36" s="1058" t="n"/>
      <c r="S36" s="985">
        <f>SUM(Q36:R36)</f>
        <v>0</v>
      </c>
      <c r="T36" s="1002">
        <f>S36-P36</f>
        <v>0</v>
      </c>
      <c r="V36" s="987">
        <f>SUMIF($C$2:$N$2,"&lt;="&amp;締月,C36:N36)</f>
        <v>0</v>
      </c>
      <c r="W36" s="987">
        <f>S36-V36</f>
        <v>0</v>
      </c>
      <c r="X36" s="1059" t="n">
        <v>1</v>
      </c>
      <c r="AA36" s="1060" t="n"/>
      <c r="AB36" s="1060" t="n"/>
      <c r="AC36" s="1060" t="n"/>
      <c r="AD36" s="1060" t="n"/>
      <c r="AE36" s="1060" t="n"/>
      <c r="AF36" s="1060" t="n"/>
      <c r="AG36" s="1060" t="n"/>
      <c r="AH36" s="1060" t="n"/>
      <c r="AI36" s="1060" t="n"/>
      <c r="AJ36" s="1060" t="n"/>
      <c r="AK36" s="1060" t="n"/>
      <c r="AL36" s="1060" t="n"/>
      <c r="AM36" s="1060" t="n"/>
    </row>
    <row r="37" ht="18" customHeight="1" s="186">
      <c r="A37" s="983" t="inlineStr">
        <is>
          <t>減価償却費</t>
        </is>
      </c>
      <c r="B37" s="983" t="n"/>
      <c r="C37" s="1105">
        <f>IF(C$2&lt;=締月,'差引簿集計（短）'!C32,AA37)</f>
        <v>0</v>
      </c>
      <c r="D37" s="1105">
        <f>IF(D$2&lt;=締月,'差引簿集計（短）'!D32,AB37)</f>
        <v>0</v>
      </c>
      <c r="E37" s="1105">
        <f>IF(E$2&lt;=締月,'差引簿集計（短）'!E32,AC37)</f>
        <v>0</v>
      </c>
      <c r="F37" s="1105">
        <f>IF(F$2&lt;=締月,'差引簿集計（短）'!F32,AD37)</f>
        <v>0</v>
      </c>
      <c r="G37" s="1105">
        <f>IF(G$2&lt;=締月,'差引簿集計（短）'!G32,AE37)</f>
        <v>0</v>
      </c>
      <c r="H37" s="1105">
        <f>IF(H$2&lt;=締月,'差引簿集計（短）'!H32,AF37)</f>
        <v>0</v>
      </c>
      <c r="I37" s="1105">
        <f>IF(I$2&lt;=締月,'差引簿集計（短）'!I32,AG37)</f>
        <v>0</v>
      </c>
      <c r="J37" s="1105">
        <f>IF(J$2&lt;=締月,'差引簿集計（短）'!J32,AH37)</f>
        <v>0</v>
      </c>
      <c r="K37" s="1105">
        <f>IF(K$2&lt;=締月,'差引簿集計（短）'!K32,AI37)</f>
        <v>0</v>
      </c>
      <c r="L37" s="1105">
        <f>IF(L$2&lt;=締月,'差引簿集計（短）'!L32,AJ37)</f>
        <v>0</v>
      </c>
      <c r="M37" s="1105">
        <f>IF(M$2&lt;=締月,'差引簿集計（短）'!M32,AK37)</f>
        <v>0</v>
      </c>
      <c r="N37" s="1105">
        <f>IF(N$2&lt;=締月,'差引簿集計（短）'!N32,AL37)</f>
        <v>0</v>
      </c>
      <c r="O37" s="1057">
        <f>IF(O$2&lt;=締月,'差引簿集計（短）'!O32,AM37)</f>
        <v>176556</v>
      </c>
      <c r="P37" s="985">
        <f>SUM(C37:O37)</f>
        <v>176556</v>
      </c>
      <c r="Q37" s="1058" t="n">
        <v>172000</v>
      </c>
      <c r="R37" s="1058" t="n"/>
      <c r="S37" s="1106">
        <f>SUM(Q37:R37)</f>
        <v>172000</v>
      </c>
      <c r="T37" s="1002">
        <f>S37-P37</f>
        <v>-4556</v>
      </c>
      <c r="U37" s="1026" t="inlineStr">
        <is>
          <t>検算</t>
        </is>
      </c>
      <c r="V37" s="987">
        <f>SUMIF($C$2:$N$2,"&lt;="&amp;締月,C37:N37)</f>
        <v>0</v>
      </c>
      <c r="W37" s="987">
        <f>S37-V37</f>
        <v>172000</v>
      </c>
      <c r="X37" s="1059" t="n">
        <v>1</v>
      </c>
      <c r="AA37" s="1060" t="n"/>
      <c r="AB37" s="1060" t="n"/>
      <c r="AC37" s="1060" t="n"/>
      <c r="AD37" s="1060" t="n"/>
      <c r="AE37" s="1060" t="n"/>
      <c r="AF37" s="1060" t="n"/>
      <c r="AG37" s="1060" t="n"/>
      <c r="AH37" s="1060" t="n"/>
      <c r="AI37" s="1060" t="n"/>
      <c r="AJ37" s="1060" t="n"/>
      <c r="AK37" s="1060" t="n"/>
      <c r="AL37" s="1060" t="n"/>
      <c r="AM37" s="1060" t="n">
        <v>176556</v>
      </c>
    </row>
    <row r="38" ht="18" customHeight="1" s="186">
      <c r="A38" s="978" t="inlineStr">
        <is>
          <t>合　　　計</t>
        </is>
      </c>
      <c r="B38" s="978" t="n"/>
      <c r="C38" s="1002">
        <f>SUM(C4+C9+C10+C11+C18+C19+C20+C21+C22+C23+C24+C25+C33+C34+C35+C36+C37)</f>
        <v>534591</v>
      </c>
      <c r="D38" s="1002">
        <f>SUM(D4+D9+D10+D11+D18+D19+D20+D21+D22+D23+D24+D25+D33+D34+D35+D36+D37)</f>
        <v>4087081</v>
      </c>
      <c r="E38" s="1002">
        <f>SUM(E4+E9+E10+E11+E18+E19+E20+E21+E22+E23+E24+E25+E33+E34+E35+E36+E37)</f>
        <v>2455166</v>
      </c>
      <c r="F38" s="1002">
        <f>SUM(F4+F9+F10+F11+F18+F19+F20+F21+F22+F23+F24+F25+F33+F34+F35+F36+F37)</f>
        <v>1972276</v>
      </c>
      <c r="G38" s="1002">
        <f>SUM(G4+G9+G10+G11+G18+G19+G20+G21+G22+G23+G24+G25+G33+G34+G35+G36+G37)</f>
        <v>2709341</v>
      </c>
      <c r="H38" s="1002">
        <f>SUM(H4+H9+H10+H11+H18+H19+H20+H21+H22+H23+H24+H25+H33+H34+H35+H36+H37)</f>
        <v>24070375</v>
      </c>
      <c r="I38" s="1002">
        <f>SUM(I4+I9+I10+I11+I18+I19+I20+I21+I22+I23+I24+I25+I33+I34+I35+I36+I37)</f>
        <v>2454418</v>
      </c>
      <c r="J38" s="1002">
        <f>SUM(J4+J9+J10+J11+J18+J19+J20+J21+J22+J23+J24+J25+J33+J34+J35+J36+J37)</f>
        <v>2501632</v>
      </c>
      <c r="K38" s="1002">
        <f>SUM(K4+K9+K10+K11+K18+K19+K20+K21+K22+K23+K24+K25+K33+K34+K35+K36+K37)</f>
        <v>5009376</v>
      </c>
      <c r="L38" s="1002">
        <f>SUM(L4+L9+L10+L11+L18+L19+L20+L21+L22+L23+L24+L25+L33+L34+L35+L36+L37)</f>
        <v>2079276</v>
      </c>
      <c r="M38" s="1002">
        <f>SUM(M4+M9+M10+M11+M18+M19+M20+M21+M22+M23+M24+M25+M33+M34+M35+M36+M37)</f>
        <v>2212970</v>
      </c>
      <c r="N38" s="1002">
        <f>SUM(N4+N9+N10+N11+N18+N19+N20+N21+N22+N23+N24+N25+N33+N34+N35+N36+N37)</f>
        <v>2135536</v>
      </c>
      <c r="O38" s="1002">
        <f>SUM(O4+O9+O10+O11+O18+O19+O20+O21+O22+O23+O24+O25+O33+O34+O35+O36+O37)</f>
        <v>3204092</v>
      </c>
      <c r="P38" s="1002">
        <f>SUM(P4+P9+P10+P11+P18+P19+P20+P21+P22+P23+P24+P25+P33+P34+P35+P36+P37)</f>
        <v>55426130</v>
      </c>
      <c r="Q38" s="1002">
        <f>SUM(Q4+Q9+Q10+Q11+Q18+Q19+Q20+Q21+Q22+Q23+Q24+Q25+Q33+Q34+Q35+Q36+Q37)</f>
        <v>59014000</v>
      </c>
      <c r="R38" s="1002">
        <f>SUM(R4+R9+R10+R11+R18+R19+R20+R21+R22+R23+R24+R25+R33+R34+R35+R36+R37)</f>
        <v>0</v>
      </c>
      <c r="S38" s="1002">
        <f>SUM(S4+S9+S10+S11+S18+S19+S20+S21+S22+S23+S24+S25+S33+S34+S35+S36+S37)</f>
        <v>59014000</v>
      </c>
      <c r="T38" s="1002">
        <f>S38-P38</f>
        <v>3587870</v>
      </c>
      <c r="U38" s="1002">
        <f>P38-Q38</f>
        <v>-3587870</v>
      </c>
      <c r="V38" s="1003">
        <f>SUMIF($C$2:$N$2,"&lt;="&amp;締月,C38:N38)</f>
        <v>35828830</v>
      </c>
      <c r="W38" s="1003">
        <f>S38-V38</f>
        <v>23185170</v>
      </c>
    </row>
    <row r="39" ht="18" customHeight="1" s="186">
      <c r="A39" s="1031" t="inlineStr">
        <is>
          <t>収益</t>
        </is>
      </c>
      <c r="B39" s="1032" t="n"/>
      <c r="P39" s="1107" t="inlineStr">
        <is>
          <t>概算受領額</t>
        </is>
      </c>
    </row>
    <row r="40" ht="18" customHeight="1" s="186">
      <c r="A40" s="978" t="inlineStr">
        <is>
          <t>区　　　分</t>
        </is>
      </c>
      <c r="B40" s="979" t="n"/>
      <c r="C40" s="978" t="inlineStr">
        <is>
          <t>４月</t>
        </is>
      </c>
      <c r="D40" s="978" t="inlineStr">
        <is>
          <t>５月</t>
        </is>
      </c>
      <c r="E40" s="978" t="inlineStr">
        <is>
          <t>６月</t>
        </is>
      </c>
      <c r="F40" s="978" t="inlineStr">
        <is>
          <t>７月</t>
        </is>
      </c>
      <c r="G40" s="978" t="inlineStr">
        <is>
          <t>８月</t>
        </is>
      </c>
      <c r="H40" s="978" t="inlineStr">
        <is>
          <t>９月</t>
        </is>
      </c>
      <c r="I40" s="978" t="inlineStr">
        <is>
          <t>１０月</t>
        </is>
      </c>
      <c r="J40" s="978" t="inlineStr">
        <is>
          <t>１１月</t>
        </is>
      </c>
      <c r="K40" s="978" t="inlineStr">
        <is>
          <t>１２月</t>
        </is>
      </c>
      <c r="L40" s="978" t="inlineStr">
        <is>
          <t>１月</t>
        </is>
      </c>
      <c r="M40" s="978" t="inlineStr">
        <is>
          <t>２月</t>
        </is>
      </c>
      <c r="N40" s="978" t="inlineStr">
        <is>
          <t>３月</t>
        </is>
      </c>
      <c r="O40" s="1108" t="inlineStr">
        <is>
          <t>短期繰入予定額</t>
        </is>
      </c>
      <c r="P40" s="978" t="inlineStr">
        <is>
          <t>収入済計</t>
        </is>
      </c>
      <c r="Q40" s="978" t="inlineStr">
        <is>
          <t>精算額</t>
        </is>
      </c>
      <c r="R40" s="978" t="inlineStr">
        <is>
          <t>精算返納額</t>
        </is>
      </c>
      <c r="S40" s="978" t="inlineStr">
        <is>
          <t>予算額</t>
        </is>
      </c>
      <c r="T40" s="978" t="inlineStr">
        <is>
          <t>予算現額</t>
        </is>
      </c>
    </row>
    <row r="41" ht="18" customHeight="1" s="186">
      <c r="A41" s="1109" t="inlineStr">
        <is>
          <t>地方公共団体負担金</t>
        </is>
      </c>
      <c r="B41" s="979" t="n"/>
      <c r="C41" s="1079" t="n">
        <v>2268000</v>
      </c>
      <c r="D41" s="1079" t="n">
        <v>2150000</v>
      </c>
      <c r="E41" s="1110" t="n">
        <v>2609000</v>
      </c>
      <c r="F41" s="1111" t="n">
        <v>2725000</v>
      </c>
      <c r="G41" s="1111" t="n">
        <v>2151000</v>
      </c>
      <c r="H41" s="1111" t="n">
        <v>12794000</v>
      </c>
      <c r="I41" s="1111" t="n">
        <v>2477000</v>
      </c>
      <c r="J41" s="1111" t="n">
        <v>2228000</v>
      </c>
      <c r="K41" s="1111" t="n">
        <v>2894000</v>
      </c>
      <c r="L41" s="1111" t="n">
        <v>2560000</v>
      </c>
      <c r="M41" s="1111" t="n">
        <v>2209000</v>
      </c>
      <c r="N41" s="1111" t="n">
        <v>3606000</v>
      </c>
      <c r="O41" s="1110" t="n">
        <v>2075480</v>
      </c>
      <c r="P41" s="1078">
        <f>SUM(C41:O41)</f>
        <v>42746480</v>
      </c>
      <c r="Q41" s="1036" t="n"/>
      <c r="R41" s="1090" t="n">
        <v>-11744404</v>
      </c>
      <c r="S41" s="1112" t="n">
        <v>40815000</v>
      </c>
      <c r="T41" s="1002">
        <f>P41+Q41+R41</f>
        <v>31002076</v>
      </c>
      <c r="V41" s="987">
        <f>SUMIF($C$2:$N$2,"&lt;="&amp;締月,C41:N41)</f>
        <v>24697000</v>
      </c>
    </row>
    <row r="42" ht="18" customHeight="1" s="186">
      <c r="A42" s="1025" t="inlineStr">
        <is>
          <t>雑収入</t>
        </is>
      </c>
      <c r="B42" s="979" t="n"/>
      <c r="C42" s="1090" t="n"/>
      <c r="D42" s="1090" t="n"/>
      <c r="E42" s="1113" t="n"/>
      <c r="F42" s="1113" t="n"/>
      <c r="G42" s="1113" t="n"/>
      <c r="H42" s="1113" t="n"/>
      <c r="I42" s="1113" t="n"/>
      <c r="J42" s="1113" t="n"/>
      <c r="K42" s="1113" t="n"/>
      <c r="L42" s="1113" t="n"/>
      <c r="M42" s="1113" t="n"/>
      <c r="N42" s="1113" t="n"/>
      <c r="O42" s="1090" t="n"/>
      <c r="P42" s="1078">
        <f>SUM(C42:O42)</f>
        <v>0</v>
      </c>
      <c r="Q42" s="1038" t="n"/>
      <c r="R42" s="1114" t="n"/>
      <c r="S42" s="1115" t="n">
        <v>0</v>
      </c>
      <c r="T42" s="1002">
        <f>SUM(Q42:R42)</f>
        <v>0</v>
      </c>
      <c r="V42" s="987">
        <f>SUMIF($C$2:$N$2,"&lt;="&amp;締月,C42:N42)</f>
        <v>0</v>
      </c>
    </row>
    <row r="43" ht="18" customHeight="1" s="186">
      <c r="A43" s="1039" t="inlineStr">
        <is>
          <t>連合会交付金</t>
        </is>
      </c>
      <c r="B43" s="979" t="n"/>
      <c r="C43" s="1090" t="n"/>
      <c r="D43" s="1090" t="n"/>
      <c r="E43" s="1090" t="n"/>
      <c r="F43" s="1090" t="n"/>
      <c r="G43" s="1090" t="n"/>
      <c r="H43" s="1090" t="n"/>
      <c r="I43" s="1090" t="n"/>
      <c r="J43" s="1090" t="n"/>
      <c r="K43" s="1090" t="n"/>
      <c r="L43" s="1090" t="n"/>
      <c r="M43" s="1090" t="n"/>
      <c r="N43" s="1090" t="n"/>
      <c r="O43" s="1090" t="n"/>
      <c r="P43" s="1078">
        <f>SUM(C43:O43)</f>
        <v>0</v>
      </c>
      <c r="Q43" s="1038" t="n"/>
      <c r="R43" s="1114" t="n"/>
      <c r="S43" s="1115" t="n">
        <v>0</v>
      </c>
      <c r="T43" s="1002">
        <f>SUM(Q43:R43)</f>
        <v>0</v>
      </c>
      <c r="V43" s="987">
        <f>SUMIF($C$2:$N$2,"&lt;="&amp;締月,C43:N43)</f>
        <v>0</v>
      </c>
    </row>
    <row r="44" ht="18" customHeight="1" s="186">
      <c r="A44" s="1025" t="inlineStr">
        <is>
          <t>短期経理より繰入</t>
        </is>
      </c>
      <c r="B44" s="979" t="n"/>
      <c r="C44" s="1090" t="n"/>
      <c r="D44" s="1090" t="n"/>
      <c r="E44" s="1090" t="n"/>
      <c r="F44" s="1090" t="n"/>
      <c r="G44" s="1090" t="n"/>
      <c r="H44" s="1090" t="n"/>
      <c r="I44" s="1090" t="n"/>
      <c r="J44" s="1090" t="n"/>
      <c r="K44" s="1090" t="n"/>
      <c r="L44" s="1090" t="n"/>
      <c r="M44" s="1090" t="n"/>
      <c r="N44" s="1090" t="n"/>
      <c r="O44" s="1090" t="n">
        <v>7580026</v>
      </c>
      <c r="P44" s="1078">
        <f>SUM(C44:O44)</f>
        <v>7580026</v>
      </c>
      <c r="Q44" s="1038" t="n"/>
      <c r="R44" s="1090" t="n"/>
      <c r="S44" s="1115" t="n">
        <v>13605000</v>
      </c>
      <c r="T44" s="1002">
        <f>SUM(Q44:R44)</f>
        <v>0</v>
      </c>
      <c r="V44" s="987">
        <f>SUMIF($C$2:$N$2,"&lt;="&amp;締月,C44:N44)</f>
        <v>0</v>
      </c>
    </row>
    <row r="45" ht="18" customHeight="1" s="186">
      <c r="A45" s="1025" t="inlineStr">
        <is>
          <t>当期損失金</t>
        </is>
      </c>
      <c r="B45" s="979" t="n"/>
      <c r="C45" s="1116" t="n"/>
      <c r="D45" s="1116" t="n"/>
      <c r="E45" s="1116" t="n"/>
      <c r="F45" s="1116" t="n"/>
      <c r="G45" s="1116" t="n"/>
      <c r="H45" s="1116" t="n"/>
      <c r="I45" s="1116" t="n"/>
      <c r="J45" s="1116" t="n"/>
      <c r="K45" s="1116" t="n"/>
      <c r="L45" s="1116" t="n"/>
      <c r="M45" s="1116" t="n"/>
      <c r="N45" s="1116" t="n"/>
      <c r="O45" s="1116" t="n"/>
      <c r="P45" s="1078">
        <f>SUM(C45:O45)</f>
        <v>0</v>
      </c>
      <c r="Q45" s="1038" t="n"/>
      <c r="R45" s="1058" t="n"/>
      <c r="S45" s="1038" t="n">
        <v>0</v>
      </c>
      <c r="T45" s="1002">
        <f>SUM(Q45:R45)</f>
        <v>0</v>
      </c>
      <c r="V45" s="987">
        <f>SUMIF($C$2:$N$2,"&lt;="&amp;締月,C45:N45)</f>
        <v>0</v>
      </c>
    </row>
    <row r="46" ht="18" customHeight="1" s="186">
      <c r="A46" s="1117" t="inlineStr">
        <is>
          <t>合　　　計</t>
        </is>
      </c>
      <c r="B46" s="979" t="n"/>
      <c r="C46" s="1002">
        <f>SUM(C41+C42+C43+C44)</f>
        <v>2268000</v>
      </c>
      <c r="D46" s="1002">
        <f>SUM(D41+D42+D43+D44)</f>
        <v>2150000</v>
      </c>
      <c r="E46" s="1002">
        <f>SUM(E41+E42+E43+E44)</f>
        <v>2609000</v>
      </c>
      <c r="F46" s="1002">
        <f>SUM(F41+F42+F43+F44)</f>
        <v>2725000</v>
      </c>
      <c r="G46" s="1002">
        <f>SUM(G41+G42+G43+G44)</f>
        <v>2151000</v>
      </c>
      <c r="H46" s="1002">
        <f>SUM(H41+H42+H43+H44)</f>
        <v>12794000</v>
      </c>
      <c r="I46" s="1002">
        <f>SUM(I41+I42+I43+I44)</f>
        <v>2477000</v>
      </c>
      <c r="J46" s="1002">
        <f>SUM(J41+J42+J43+J44)</f>
        <v>2228000</v>
      </c>
      <c r="K46" s="1002">
        <f>SUM(K41+K42+K43+K44)</f>
        <v>2894000</v>
      </c>
      <c r="L46" s="1002">
        <f>SUM(L41+L42+L43+L44)</f>
        <v>2560000</v>
      </c>
      <c r="M46" s="1002">
        <f>SUM(M41+M42+M43+M44)</f>
        <v>2209000</v>
      </c>
      <c r="N46" s="1002">
        <f>SUM(N41+N42+N43+N44)</f>
        <v>3606000</v>
      </c>
      <c r="O46" s="1002">
        <f>SUM(O41+O42+O43+O44)</f>
        <v>9655506</v>
      </c>
      <c r="P46" s="1002">
        <f>SUM(P41+P42+P43+P44)</f>
        <v>50326506</v>
      </c>
      <c r="Q46" s="1041">
        <f>Q41+Q42+Q43+Q44+Q45</f>
        <v>0</v>
      </c>
      <c r="R46" s="1041">
        <f>R41+R42+R43+R44+R45</f>
        <v>-11744404</v>
      </c>
      <c r="S46" s="1041">
        <f>S41+S42+S43+S44+S45</f>
        <v>54420000</v>
      </c>
      <c r="T46" s="1002">
        <f>SUM(T41:T45)</f>
        <v>31002076</v>
      </c>
      <c r="V46" s="1003">
        <f>SUMIF($C$2:$N$2,"&lt;="&amp;締月,C46:N46)</f>
        <v>24697000</v>
      </c>
    </row>
    <row r="47"/>
    <row r="48" ht="18" customHeight="1" s="186">
      <c r="A48" s="1118" t="inlineStr">
        <is>
          <t>収益－費用</t>
        </is>
      </c>
      <c r="B48" s="1046" t="n"/>
      <c r="C48" s="1119">
        <f>C46-C38</f>
        <v>1733409</v>
      </c>
      <c r="D48" s="1119">
        <f>D46-D38</f>
        <v>-1937081</v>
      </c>
      <c r="E48" s="1119">
        <f>E46-E38</f>
        <v>153834</v>
      </c>
      <c r="F48" s="1119">
        <f>F46-F38</f>
        <v>752724</v>
      </c>
      <c r="G48" s="1119">
        <f>G46-G38</f>
        <v>-558341</v>
      </c>
      <c r="H48" s="1119">
        <f>H46-H38</f>
        <v>-11276375</v>
      </c>
      <c r="I48" s="1119">
        <f>I46-I38</f>
        <v>22582</v>
      </c>
      <c r="J48" s="1119">
        <f>J46-J38</f>
        <v>-273632</v>
      </c>
      <c r="K48" s="1119">
        <f>K46-K38</f>
        <v>-2115376</v>
      </c>
      <c r="L48" s="1119">
        <f>L46-L38</f>
        <v>480724</v>
      </c>
      <c r="M48" s="1119">
        <f>M46-M38</f>
        <v>-3970</v>
      </c>
      <c r="N48" s="1119">
        <f>N46-N38</f>
        <v>1470464</v>
      </c>
      <c r="O48" s="1119">
        <f>O46-O38</f>
        <v>6451414</v>
      </c>
      <c r="P48" s="1119">
        <f>P46-P38</f>
        <v>-5099624</v>
      </c>
      <c r="Q48" s="1119">
        <f>Q46-Q38</f>
        <v>-59014000</v>
      </c>
      <c r="R48" s="1119">
        <f>R46-R38</f>
        <v>-11744404</v>
      </c>
      <c r="S48" s="1119">
        <f>S46-S38</f>
        <v>-4594000</v>
      </c>
      <c r="T48" s="1119">
        <f>T46-T38</f>
        <v>27414206</v>
      </c>
      <c r="V48" s="1003">
        <f>SUMIF($C$2:$N$2,"&lt;="&amp;締月,C48:N48)</f>
        <v>-11131830</v>
      </c>
    </row>
    <row r="49" ht="27" customHeight="1" s="186"/>
    <row r="50" ht="18" customHeight="1" s="186">
      <c r="B50" s="1049" t="inlineStr">
        <is>
          <t>参考（職員給与）</t>
        </is>
      </c>
      <c r="C50" s="1026" t="inlineStr">
        <is>
          <t>４月支払</t>
        </is>
      </c>
      <c r="D50" s="1026" t="inlineStr">
        <is>
          <t>５月支払</t>
        </is>
      </c>
      <c r="E50" s="1026" t="inlineStr">
        <is>
          <t>６月支払</t>
        </is>
      </c>
      <c r="F50" s="1026" t="inlineStr">
        <is>
          <t>７月支払</t>
        </is>
      </c>
      <c r="G50" s="1026" t="inlineStr">
        <is>
          <t>８月支払</t>
        </is>
      </c>
      <c r="H50" s="1026" t="inlineStr">
        <is>
          <t>９月支払</t>
        </is>
      </c>
      <c r="I50" s="1026" t="inlineStr">
        <is>
          <t>１０月支払</t>
        </is>
      </c>
      <c r="J50" s="1026" t="inlineStr">
        <is>
          <t>１１月支払</t>
        </is>
      </c>
      <c r="K50" s="1026" t="inlineStr">
        <is>
          <t>１２月支払</t>
        </is>
      </c>
      <c r="L50" s="1026" t="inlineStr">
        <is>
          <t>１月支払</t>
        </is>
      </c>
      <c r="M50" s="1026" t="inlineStr">
        <is>
          <t>２月支払</t>
        </is>
      </c>
      <c r="N50" s="1026" t="inlineStr">
        <is>
          <t>３月支払</t>
        </is>
      </c>
      <c r="O50" s="1026" t="inlineStr">
        <is>
          <t>未払</t>
        </is>
      </c>
      <c r="Q50" s="1026" t="inlineStr">
        <is>
          <t>合計</t>
        </is>
      </c>
    </row>
    <row r="51" ht="18" customHeight="1" s="186">
      <c r="B51" s="1049" t="inlineStr">
        <is>
          <t>職員基本給</t>
        </is>
      </c>
      <c r="C51" s="1120" t="n"/>
      <c r="D51" s="1120" t="n"/>
      <c r="E51" s="1120" t="n"/>
      <c r="F51" s="1120" t="n"/>
      <c r="G51" s="1120" t="n"/>
      <c r="H51" s="1120" t="n"/>
      <c r="I51" s="1120" t="n"/>
      <c r="J51" s="1120" t="n"/>
      <c r="K51" s="1120" t="n"/>
      <c r="L51" s="1120" t="n"/>
      <c r="M51" s="1120" t="n"/>
      <c r="N51" s="1120" t="n"/>
      <c r="O51" s="1120" t="n"/>
      <c r="P51" s="768" t="n"/>
      <c r="Q51" s="1043">
        <f>SUM(C51:O51)</f>
        <v>0</v>
      </c>
      <c r="R51" s="1051" t="n"/>
      <c r="S51" s="1051" t="n"/>
      <c r="T51" s="768" t="n"/>
      <c r="V51" s="987">
        <f>SUMIF($C$2:$N$2,"&lt;="&amp;締月,C51:N51)</f>
        <v>0</v>
      </c>
    </row>
    <row r="52" ht="18" customHeight="1" s="186">
      <c r="B52" s="1052" t="inlineStr">
        <is>
          <t>基本給計</t>
        </is>
      </c>
      <c r="C52" s="1043">
        <f>SUM(C51:C51)</f>
        <v>0</v>
      </c>
      <c r="D52" s="1043">
        <f>SUM(D51:D51)</f>
        <v>0</v>
      </c>
      <c r="E52" s="1043">
        <f>SUM(E51:E51)</f>
        <v>0</v>
      </c>
      <c r="F52" s="1043">
        <f>SUM(F51:F51)</f>
        <v>0</v>
      </c>
      <c r="G52" s="1043">
        <f>SUM(G51:G51)</f>
        <v>0</v>
      </c>
      <c r="H52" s="1043">
        <f>SUM(H51:H51)</f>
        <v>0</v>
      </c>
      <c r="I52" s="1043">
        <f>SUM(I51:I51)</f>
        <v>0</v>
      </c>
      <c r="J52" s="1043">
        <f>SUM(J51:J51)</f>
        <v>0</v>
      </c>
      <c r="K52" s="1043">
        <f>SUM(K51:K51)</f>
        <v>0</v>
      </c>
      <c r="L52" s="1043">
        <f>SUM(L51:L51)</f>
        <v>0</v>
      </c>
      <c r="M52" s="1043">
        <f>SUM(M51:M51)</f>
        <v>0</v>
      </c>
      <c r="N52" s="1043">
        <f>SUM(N51:N51)</f>
        <v>0</v>
      </c>
      <c r="O52" s="1043">
        <f>SUM(O51:O51)</f>
        <v>0</v>
      </c>
      <c r="Q52" s="1043">
        <f>SUM(C52:O52)</f>
        <v>0</v>
      </c>
      <c r="V52" s="1003">
        <f>SUMIF($C$2:$N$2,"&lt;="&amp;締月,C52:N52)</f>
        <v>0</v>
      </c>
    </row>
    <row r="53" ht="18" customHeight="1" s="186">
      <c r="B53" s="1049" t="inlineStr">
        <is>
          <t>手当（賞与以外）</t>
        </is>
      </c>
      <c r="C53" s="1120" t="n"/>
      <c r="D53" s="1120" t="n"/>
      <c r="E53" s="1120" t="n"/>
      <c r="F53" s="1120" t="n"/>
      <c r="G53" s="1120" t="n"/>
      <c r="H53" s="1120" t="n"/>
      <c r="I53" s="1120" t="n"/>
      <c r="J53" s="1120" t="n"/>
      <c r="K53" s="1120" t="n"/>
      <c r="L53" s="1120" t="n"/>
      <c r="M53" s="1120" t="n"/>
      <c r="N53" s="1120" t="n"/>
      <c r="O53" s="1120" t="n"/>
      <c r="P53" s="768" t="n"/>
      <c r="Q53" s="1043">
        <f>SUM(C53:O53)</f>
        <v>0</v>
      </c>
      <c r="R53" s="1051" t="n"/>
      <c r="S53" s="1051" t="n"/>
      <c r="T53" s="768" t="n"/>
      <c r="V53" s="987">
        <f>SUMIF($C$2:$N$2,"&lt;="&amp;締月,C53:N53)</f>
        <v>0</v>
      </c>
    </row>
    <row r="54" ht="18" customHeight="1" s="186">
      <c r="B54" s="1049" t="inlineStr">
        <is>
          <t>賞与</t>
        </is>
      </c>
      <c r="C54" s="768" t="n"/>
      <c r="D54" s="1121" t="n"/>
      <c r="E54" s="1120" t="n"/>
      <c r="F54" s="1121" t="n"/>
      <c r="G54" s="1121" t="n"/>
      <c r="H54" s="1121" t="n"/>
      <c r="I54" s="1121" t="n"/>
      <c r="J54" s="1121" t="n"/>
      <c r="K54" s="1120" t="n"/>
      <c r="L54" s="1121" t="n"/>
      <c r="M54" s="1121" t="n"/>
      <c r="N54" s="1120" t="n"/>
      <c r="O54" s="768" t="n"/>
      <c r="P54" s="768" t="n"/>
      <c r="Q54" s="1043">
        <f>SUM(C54:O54)</f>
        <v>0</v>
      </c>
      <c r="R54" s="1051" t="n"/>
      <c r="S54" s="1051" t="n"/>
      <c r="T54" s="768" t="n"/>
      <c r="V54" s="987">
        <f>SUMIF($C$2:$N$2,"&lt;="&amp;締月,C54:N54)</f>
        <v>0</v>
      </c>
    </row>
    <row r="55" ht="18" customHeight="1" s="186">
      <c r="B55" s="1052" t="inlineStr">
        <is>
          <t>手当計</t>
        </is>
      </c>
      <c r="C55" s="1043">
        <f>SUM(C53:C54)</f>
        <v>0</v>
      </c>
      <c r="D55" s="1043">
        <f>SUM(D53:D54)</f>
        <v>0</v>
      </c>
      <c r="E55" s="1043">
        <f>SUM(E53:E54)</f>
        <v>0</v>
      </c>
      <c r="F55" s="1043">
        <f>SUM(F53:F54)</f>
        <v>0</v>
      </c>
      <c r="G55" s="1043">
        <f>SUM(G53:G54)</f>
        <v>0</v>
      </c>
      <c r="H55" s="1043">
        <f>SUM(H53:H54)</f>
        <v>0</v>
      </c>
      <c r="I55" s="1043">
        <f>SUM(I53:I54)</f>
        <v>0</v>
      </c>
      <c r="J55" s="1043">
        <f>SUM(J53:J54)</f>
        <v>0</v>
      </c>
      <c r="K55" s="1043">
        <f>SUM(K53:K54)</f>
        <v>0</v>
      </c>
      <c r="L55" s="1043">
        <f>SUM(L53:L54)</f>
        <v>0</v>
      </c>
      <c r="M55" s="1043">
        <f>SUM(M53:M54)</f>
        <v>0</v>
      </c>
      <c r="N55" s="1043">
        <f>SUM(N53:N54)</f>
        <v>0</v>
      </c>
      <c r="O55" s="1043">
        <f>SUM(O53:O54)</f>
        <v>0</v>
      </c>
      <c r="Q55" s="1043">
        <f>SUM(C55:O55)</f>
        <v>0</v>
      </c>
      <c r="V55" s="1003">
        <f>SUMIF($C$2:$N$2,"&lt;="&amp;締月,C55:N55)</f>
        <v>0</v>
      </c>
    </row>
    <row r="56" ht="18" customHeight="1" s="186">
      <c r="B56" s="1049" t="inlineStr">
        <is>
          <t>嘱託報酬</t>
        </is>
      </c>
      <c r="C56" s="1122">
        <f>IF(C$2&lt;=締月,'差引簿集計（短）'!C19-'差引簿集計（短）'!C20,AA56)</f>
        <v>317340</v>
      </c>
      <c r="D56" s="1122">
        <f>IF(D$2&lt;=締月,'差引簿集計（短）'!D19-'差引簿集計（短）'!D20,AB56)</f>
        <v>248436</v>
      </c>
      <c r="E56" s="1122">
        <f>IF(E$2&lt;=締月,'差引簿集計（短）'!E19-'差引簿集計（短）'!E20,AC56)</f>
        <v>250504</v>
      </c>
      <c r="F56" s="1122">
        <f>IF(F$2&lt;=締月,'差引簿集計（短）'!F19-'差引簿集計（短）'!F20,AD56)</f>
        <v>256708</v>
      </c>
      <c r="G56" s="1122">
        <f>IF(G$2&lt;=締月,'差引簿集計（短）'!G19-'差引簿集計（短）'!G20,AE56)</f>
        <v>244300</v>
      </c>
      <c r="H56" s="1122">
        <f>IF(H$2&lt;=締月,'差引簿集計（短）'!H19-'差引簿集計（短）'!H20,AF56)</f>
        <v>258776</v>
      </c>
      <c r="I56" s="1123">
        <f>IF(I$2&lt;=締月,'差引簿集計（短）'!I19-'差引簿集計（短）'!I20,AG56)</f>
        <v>383109</v>
      </c>
      <c r="J56" s="1123">
        <f>IF(J$2&lt;=締月,'差引簿集計（短）'!J19-'差引簿集計（短）'!J20,AH56)</f>
        <v>227838</v>
      </c>
      <c r="K56" s="1123">
        <f>IF(K$2&lt;=締月,'差引簿集計（短）'!K19-'差引簿集計（短）'!K20,AI56)</f>
        <v>308956</v>
      </c>
      <c r="L56" s="1123">
        <f>IF(L$2&lt;=締月,'差引簿集計（短）'!L19-'差引簿集計（短）'!L20,AJ56)</f>
        <v>228265</v>
      </c>
      <c r="M56" s="1123">
        <f>IF(M$2&lt;=締月,'差引簿集計（短）'!M19-'差引簿集計（短）'!M20,AK56)</f>
        <v>232335</v>
      </c>
      <c r="N56" s="1123">
        <f>IF(N$2&lt;=締月,'差引簿集計（短）'!N19-'差引簿集計（短）'!N20,AL56)</f>
        <v>234370</v>
      </c>
      <c r="O56" s="1123">
        <f>IF(O$2&lt;=締月,'差引簿集計（短）'!O19-'差引簿集計（短）'!O20,AM56)</f>
        <v>42640</v>
      </c>
      <c r="P56" s="768" t="n"/>
      <c r="Q56" s="1043">
        <f>SUM(C56:O56)</f>
        <v>3233577</v>
      </c>
      <c r="R56" s="1051" t="n"/>
      <c r="S56" s="1051" t="n"/>
      <c r="T56" s="768" t="n"/>
      <c r="V56" s="987">
        <f>SUMIF($C$2:$N$2,"&lt;="&amp;締月,C56:N56)</f>
        <v>1576064</v>
      </c>
      <c r="X56" s="1059" t="n">
        <v>1</v>
      </c>
      <c r="AA56" s="1060" t="n">
        <v>317340</v>
      </c>
      <c r="AB56" s="1060" t="n">
        <v>248436</v>
      </c>
      <c r="AC56" s="1060" t="n">
        <v>250504</v>
      </c>
      <c r="AD56" s="1060" t="n">
        <v>256708</v>
      </c>
      <c r="AE56" s="1060" t="n">
        <v>244300</v>
      </c>
      <c r="AF56" s="1060" t="n">
        <v>258776</v>
      </c>
      <c r="AG56" s="1060" t="n">
        <v>383109</v>
      </c>
      <c r="AH56" s="1060" t="n">
        <v>227838</v>
      </c>
      <c r="AI56" s="1060" t="n">
        <v>308956</v>
      </c>
      <c r="AJ56" s="1060" t="n">
        <v>228265</v>
      </c>
      <c r="AK56" s="1060" t="n">
        <v>232335</v>
      </c>
      <c r="AL56" s="1060" t="n">
        <v>234370</v>
      </c>
      <c r="AM56" s="1060" t="n">
        <v>42640</v>
      </c>
    </row>
    <row r="57" ht="18" customHeight="1" s="186">
      <c r="B57" s="1049" t="inlineStr">
        <is>
          <t>増額報酬</t>
        </is>
      </c>
      <c r="C57" s="949">
        <f>IF(C$2&lt;=締月,'差引簿集計（短）'!C20,AA57)</f>
        <v>0</v>
      </c>
      <c r="D57" s="949">
        <f>IF(D$2&lt;=締月,'差引簿集計（短）'!D20,AB57)</f>
        <v>0</v>
      </c>
      <c r="E57" s="1122">
        <f>IF(E$2&lt;=締月,'差引簿集計（短）'!E20,AC57)</f>
        <v>447795</v>
      </c>
      <c r="F57" s="949">
        <f>IF(F$2&lt;=締月,'差引簿集計（短）'!F20,AD57)</f>
        <v>0</v>
      </c>
      <c r="G57" s="949">
        <f>IF(G$2&lt;=締月,'差引簿集計（短）'!G20,AE57)</f>
        <v>0</v>
      </c>
      <c r="H57" s="949">
        <f>IF(H$2&lt;=締月,'差引簿集計（短）'!H20,AF57)</f>
        <v>0</v>
      </c>
      <c r="I57" s="949">
        <f>IF(I$2&lt;=締月,'差引簿集計（短）'!I20,AG57)</f>
        <v>0</v>
      </c>
      <c r="J57" s="949">
        <f>IF(J$2&lt;=締月,'差引簿集計（短）'!J20,AH57)</f>
        <v>0</v>
      </c>
      <c r="K57" s="1122">
        <f>IF(K$2&lt;=締月,'差引簿集計（短）'!K20,AI57)</f>
        <v>433105</v>
      </c>
      <c r="L57" s="949">
        <f>IF(L$2&lt;=締月,'差引簿集計（短）'!L20,AJ57)</f>
        <v>0</v>
      </c>
      <c r="M57" s="949">
        <f>IF(M$2&lt;=締月,'差引簿集計（短）'!M20,AK57)</f>
        <v>0</v>
      </c>
      <c r="N57" s="949">
        <f>IF(N$2&lt;=締月,'差引簿集計（短）'!N20,AL57)</f>
        <v>0</v>
      </c>
      <c r="O57" s="949">
        <f>IF(O$2&lt;=締月,'差引簿集計（短）'!O20,AM57)</f>
        <v>0</v>
      </c>
      <c r="P57" s="768" t="n"/>
      <c r="Q57" s="1043">
        <f>SUM(C57:O57)</f>
        <v>880900</v>
      </c>
      <c r="R57" s="1051" t="n"/>
      <c r="S57" s="1051" t="n"/>
      <c r="T57" s="768" t="n"/>
      <c r="V57" s="987">
        <f>SUMIF($C$2:$N$2,"&lt;="&amp;締月,C57:N57)</f>
        <v>447795</v>
      </c>
      <c r="X57" s="1059" t="n">
        <v>1</v>
      </c>
      <c r="AA57" s="1060" t="n"/>
      <c r="AB57" s="1060" t="n"/>
      <c r="AC57" s="1060" t="n">
        <v>447795</v>
      </c>
      <c r="AD57" s="1060" t="n"/>
      <c r="AE57" s="1060" t="n"/>
      <c r="AF57" s="1060" t="n"/>
      <c r="AG57" s="1060" t="n"/>
      <c r="AH57" s="1060" t="n"/>
      <c r="AI57" s="1060" t="n">
        <v>433105</v>
      </c>
      <c r="AJ57" s="1060" t="n"/>
      <c r="AK57" s="1060" t="n"/>
      <c r="AL57" s="1060" t="n"/>
      <c r="AM57" s="1060" t="n"/>
    </row>
    <row r="58" ht="18" customHeight="1" s="186">
      <c r="B58" s="1052" t="inlineStr">
        <is>
          <t>非常勤手当計</t>
        </is>
      </c>
      <c r="C58" s="1043">
        <f>SUM(C56:C57)</f>
        <v>317340</v>
      </c>
      <c r="D58" s="1043">
        <f>SUM(D56:D57)</f>
        <v>248436</v>
      </c>
      <c r="E58" s="1043">
        <f>SUM(E56:E57)</f>
        <v>698299</v>
      </c>
      <c r="F58" s="1043">
        <f>SUM(F56:F57)</f>
        <v>256708</v>
      </c>
      <c r="G58" s="1043">
        <f>SUM(G56:G57)</f>
        <v>244300</v>
      </c>
      <c r="H58" s="1043">
        <f>SUM(H56:H57)</f>
        <v>258776</v>
      </c>
      <c r="I58" s="1043">
        <f>SUM(I56:I57)</f>
        <v>383109</v>
      </c>
      <c r="J58" s="1043">
        <f>SUM(J56:J57)</f>
        <v>227838</v>
      </c>
      <c r="K58" s="1043">
        <f>SUM(K56:K57)</f>
        <v>742061</v>
      </c>
      <c r="L58" s="1043">
        <f>SUM(L56:L57)</f>
        <v>228265</v>
      </c>
      <c r="M58" s="1043">
        <f>SUM(M56:M57)</f>
        <v>232335</v>
      </c>
      <c r="N58" s="1043">
        <f>SUM(N56:N57)</f>
        <v>234370</v>
      </c>
      <c r="O58" s="1043">
        <f>SUM(O56:O57)</f>
        <v>42640</v>
      </c>
      <c r="Q58" s="1043">
        <f>SUM(C58:O58)</f>
        <v>4114477</v>
      </c>
      <c r="V58" s="1003">
        <f>SUMIF($C$2:$N$2,"&lt;="&amp;締月,C58:N58)</f>
        <v>2023859</v>
      </c>
    </row>
    <row r="59" ht="18" customHeight="1" s="186">
      <c r="B59" s="1049" t="inlineStr">
        <is>
          <t>臨時賃金</t>
        </is>
      </c>
      <c r="C59" s="949">
        <f>IF(C$2&lt;=締月,'差引簿集計（短）'!C21,AA59)</f>
        <v>0</v>
      </c>
      <c r="D59" s="1122">
        <f>IF(D$2&lt;=締月,'差引簿集計（短）'!D21,AB59)</f>
        <v>425880</v>
      </c>
      <c r="E59" s="1122">
        <f>IF(E$2&lt;=締月,'差引簿集計（短）'!E21,AC59)</f>
        <v>365040</v>
      </c>
      <c r="F59" s="1122">
        <f>IF(F$2&lt;=締月,'差引簿集計（短）'!F21,AD59)</f>
        <v>446160</v>
      </c>
      <c r="G59" s="1122">
        <f>IF(G$2&lt;=締月,'差引簿集計（短）'!G21,AE59)</f>
        <v>445720</v>
      </c>
      <c r="H59" s="1122">
        <f>IF(H$2&lt;=締月,'差引簿集計（短）'!H21,AF59)</f>
        <v>384480</v>
      </c>
      <c r="I59" s="1123">
        <f>IF(I$2&lt;=締月,'差引簿集計（短）'!I21,AG59)</f>
        <v>389160</v>
      </c>
      <c r="J59" s="1123">
        <f>IF(J$2&lt;=締月,'差引簿集計（短）'!J21,AH59)</f>
        <v>416580</v>
      </c>
      <c r="K59" s="1123">
        <f>IF(K$2&lt;=締月,'差引簿集計（短）'!K21,AI59)</f>
        <v>340920</v>
      </c>
      <c r="L59" s="1123">
        <f>IF(L$2&lt;=締月,'差引簿集計（短）'!L21,AJ59)</f>
        <v>377520</v>
      </c>
      <c r="M59" s="1123">
        <f>IF(M$2&lt;=締月,'差引簿集計（短）'!M21,AK59)</f>
        <v>359120</v>
      </c>
      <c r="N59" s="1123">
        <f>IF(N$2&lt;=締月,'差引簿集計（短）'!N21,AL59)</f>
        <v>339340</v>
      </c>
      <c r="O59" s="1123">
        <f>IF(O$2&lt;=締月,'差引簿集計（短）'!O21,AM59)</f>
        <v>339568</v>
      </c>
      <c r="P59" s="768" t="n"/>
      <c r="Q59" s="1043">
        <f>SUM(C59:O59)</f>
        <v>4629488</v>
      </c>
      <c r="R59" s="1051" t="n"/>
      <c r="S59" s="1051" t="n"/>
      <c r="T59" s="768" t="n"/>
      <c r="V59" s="987">
        <f>SUMIF($C$2:$N$2,"&lt;="&amp;締月,C59:N59)</f>
        <v>2067280</v>
      </c>
      <c r="X59" s="1059" t="n">
        <v>1</v>
      </c>
      <c r="AA59" s="1060" t="n">
        <v>0</v>
      </c>
      <c r="AB59" s="1060" t="n">
        <v>425880</v>
      </c>
      <c r="AC59" s="1060" t="n">
        <v>365040</v>
      </c>
      <c r="AD59" s="1060" t="n">
        <v>446160</v>
      </c>
      <c r="AE59" s="1060" t="n">
        <v>445720</v>
      </c>
      <c r="AF59" s="1060" t="n">
        <v>384480</v>
      </c>
      <c r="AG59" s="1060" t="n">
        <v>389160</v>
      </c>
      <c r="AH59" s="1060" t="n">
        <v>416580</v>
      </c>
      <c r="AI59" s="1060" t="n">
        <v>340920</v>
      </c>
      <c r="AJ59" s="1060" t="n">
        <v>377520</v>
      </c>
      <c r="AK59" s="1060" t="n">
        <v>359120</v>
      </c>
      <c r="AL59" s="1060" t="n">
        <v>339340</v>
      </c>
      <c r="AM59" s="1060" t="n">
        <v>339568</v>
      </c>
    </row>
    <row r="60" ht="18" customHeight="1" s="186">
      <c r="B60" s="1124" t="inlineStr">
        <is>
          <t>賃金計</t>
        </is>
      </c>
      <c r="C60" s="921">
        <f>SUM(C59)</f>
        <v>0</v>
      </c>
      <c r="D60" s="921">
        <f>SUM(D59)</f>
        <v>425880</v>
      </c>
      <c r="E60" s="921">
        <f>SUM(E59)</f>
        <v>365040</v>
      </c>
      <c r="F60" s="921">
        <f>SUM(F59)</f>
        <v>446160</v>
      </c>
      <c r="G60" s="921">
        <f>SUM(G59)</f>
        <v>445720</v>
      </c>
      <c r="H60" s="921">
        <f>SUM(H59)</f>
        <v>384480</v>
      </c>
      <c r="I60" s="921">
        <f>SUM(I59)</f>
        <v>389160</v>
      </c>
      <c r="J60" s="921">
        <f>SUM(J59)</f>
        <v>416580</v>
      </c>
      <c r="K60" s="921">
        <f>SUM(K59)</f>
        <v>340920</v>
      </c>
      <c r="L60" s="921">
        <f>SUM(L59)</f>
        <v>377520</v>
      </c>
      <c r="M60" s="921">
        <f>SUM(M59)</f>
        <v>359120</v>
      </c>
      <c r="N60" s="921">
        <f>SUM(N59)</f>
        <v>339340</v>
      </c>
      <c r="O60" s="921">
        <f>SUM(O59)</f>
        <v>339568</v>
      </c>
      <c r="P60" s="921" t="n"/>
      <c r="Q60" s="921">
        <f>SUM(C60:O60)</f>
        <v>4629488</v>
      </c>
      <c r="R60" s="921" t="n"/>
      <c r="S60" s="921" t="n"/>
      <c r="V60" s="1003">
        <f>SUMIF($C$2:$N$2,"&lt;="&amp;締月,C60:N60)</f>
        <v>2067280</v>
      </c>
    </row>
    <row r="61"/>
    <row r="62" ht="18" customHeight="1" s="186">
      <c r="B62" s="1026" t="inlineStr">
        <is>
          <t>合計</t>
        </is>
      </c>
      <c r="C62" s="1043">
        <f>C52+C55+C58</f>
        <v>317340</v>
      </c>
      <c r="D62" s="1043">
        <f>D52+D55+D58+D60</f>
        <v>674316</v>
      </c>
      <c r="E62" s="1043">
        <f>E52+E55+E58+E60</f>
        <v>1063339</v>
      </c>
      <c r="F62" s="1043">
        <f>F52+F55+F58+F60</f>
        <v>702868</v>
      </c>
      <c r="G62" s="1043">
        <f>G52+G55+G58+G60</f>
        <v>690020</v>
      </c>
      <c r="H62" s="1043">
        <f>H52+H55+H58+H60</f>
        <v>643256</v>
      </c>
      <c r="I62" s="1043">
        <f>I52+I55+I58+I60</f>
        <v>772269</v>
      </c>
      <c r="J62" s="1043">
        <f>J52+J55+J58+J60</f>
        <v>644418</v>
      </c>
      <c r="K62" s="1043">
        <f>K52+K55+K58+K60</f>
        <v>1082981</v>
      </c>
      <c r="L62" s="1043">
        <f>L52+L55+L58+L60</f>
        <v>605785</v>
      </c>
      <c r="M62" s="1043">
        <f>M52+M55+M58+M60</f>
        <v>591455</v>
      </c>
      <c r="N62" s="1043">
        <f>N52+N55+N58+N60</f>
        <v>573710</v>
      </c>
      <c r="O62" s="1043">
        <f>O52+O55+O58+O60</f>
        <v>382208</v>
      </c>
      <c r="Q62" s="1043">
        <f>SUM(C62:O62)</f>
        <v>8743965</v>
      </c>
      <c r="R62" s="1043" t="n"/>
      <c r="S62" s="1043" t="n"/>
      <c r="V62" s="1003">
        <f>SUMIF($C$2:$N$2,"&lt;="&amp;締月,C62:N62)</f>
        <v>4091139</v>
      </c>
    </row>
  </sheetData>
  <mergeCells count="30">
    <mergeCell ref="A48:B48"/>
    <mergeCell ref="A24:B24"/>
    <mergeCell ref="A5:A9"/>
    <mergeCell ref="A12:A18"/>
    <mergeCell ref="A11:B11"/>
    <mergeCell ref="A45:B45"/>
    <mergeCell ref="Q27:Q31"/>
    <mergeCell ref="A25:B25"/>
    <mergeCell ref="A41:B41"/>
    <mergeCell ref="E1:F1"/>
    <mergeCell ref="A46:B46"/>
    <mergeCell ref="A3:B3"/>
    <mergeCell ref="T27:T31"/>
    <mergeCell ref="A21:B21"/>
    <mergeCell ref="A2:B2"/>
    <mergeCell ref="A42:B42"/>
    <mergeCell ref="A23:B23"/>
    <mergeCell ref="S27:S31"/>
    <mergeCell ref="A22:B22"/>
    <mergeCell ref="A35:B35"/>
    <mergeCell ref="A4:B4"/>
    <mergeCell ref="A20:B20"/>
    <mergeCell ref="A26:A33"/>
    <mergeCell ref="A43:B43"/>
    <mergeCell ref="A19:B19"/>
    <mergeCell ref="A10:B10"/>
    <mergeCell ref="A44:B44"/>
    <mergeCell ref="A40:B40"/>
    <mergeCell ref="R27:R31"/>
    <mergeCell ref="A39:B39"/>
  </mergeCells>
  <conditionalFormatting sqref="C4:N62">
    <cfRule type="expression" priority="1" dxfId="11">
      <formula>AND(ISNUMBER(C4),C$2&lt;&gt;"",C$2&gt;締月)</formula>
    </cfRule>
  </conditionalFormatting>
  <conditionalFormatting sqref="O4:O62">
    <cfRule type="expression" priority="2" dxfId="6">
      <formula>AND(ISNUMBER(O4),締月&lt;13)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AM62"/>
  <sheetViews>
    <sheetView showGridLines="1" tabSelected="0" zoomScale="90" workbookViewId="0">
      <pane xSplit="3" topLeftCell="D1" activePane="topRight" state="frozen"/>
      <selection pane="topRight" activeCell="A1" sqref="A1"/>
    </sheetView>
  </sheetViews>
  <sheetFormatPr baseColWidth="8" defaultRowHeight="15"/>
  <cols>
    <col width="2.87" customWidth="1" style="186" min="1" max="1"/>
    <col width="13.87" customWidth="1" style="186" min="2" max="2"/>
    <col width="9.619999999999999" customWidth="1" style="186" min="3" max="3"/>
    <col width="10.87" customWidth="1" style="186" min="14" max="14"/>
    <col width="12.24" customWidth="1" style="186" min="15" max="15"/>
    <col width="10.62" customWidth="1" style="186" min="16" max="16"/>
    <col width="11.37" customWidth="1" style="186" min="21" max="21"/>
    <col width="10.62" customWidth="1" style="186" min="22" max="22"/>
    <col width="8.869999999999999" customWidth="1" style="186" min="23" max="23"/>
    <col hidden="1" width="13" customWidth="1" style="186" min="24" max="24"/>
    <col hidden="1" outlineLevel="1" width="11" customWidth="1" style="186" min="27" max="39"/>
    <col width="11" customWidth="1" style="186" min="28" max="28"/>
    <col width="11" customWidth="1" style="186" min="29" max="29"/>
    <col width="11" customWidth="1" style="186" min="30" max="30"/>
    <col width="11" customWidth="1" style="186" min="31" max="31"/>
    <col width="11" customWidth="1" style="186" min="32" max="32"/>
    <col width="11" customWidth="1" style="186" min="33" max="33"/>
    <col width="11" customWidth="1" style="186" min="34" max="34"/>
    <col width="11" customWidth="1" style="186" min="35" max="35"/>
    <col width="11" customWidth="1" style="186" min="36" max="36"/>
    <col width="11" customWidth="1" style="186" min="37" max="37"/>
    <col width="11" customWidth="1" style="186" min="38" max="38"/>
    <col width="11" customWidth="1" style="186" min="39" max="39"/>
  </cols>
  <sheetData>
    <row r="1" ht="18" customHeight="1" s="186">
      <c r="B1" s="970" t="n"/>
      <c r="E1" s="1125">
        <f>'R7業務（長+短）'!E1:F1</f>
        <v>8</v>
      </c>
      <c r="G1" s="1126" t="inlineStr">
        <is>
          <t>業務経理（長期給付事務分）</t>
        </is>
      </c>
      <c r="H1" s="1127" t="n"/>
      <c r="I1" s="1128" t="n"/>
      <c r="J1" s="1127" t="n"/>
      <c r="K1" s="1127" t="n"/>
      <c r="L1" s="1127" t="n"/>
      <c r="O1" s="1026" t="inlineStr">
        <is>
          <t>黒字…確定</t>
        </is>
      </c>
      <c r="P1" s="1026" t="inlineStr">
        <is>
          <t>赤字…ほぼ確定</t>
        </is>
      </c>
    </row>
    <row r="2" ht="18" customHeight="1" s="186">
      <c r="A2" s="974" t="inlineStr">
        <is>
          <t>費用</t>
        </is>
      </c>
      <c r="B2" s="975" t="n"/>
      <c r="C2" s="976" t="n">
        <v>1</v>
      </c>
      <c r="D2" s="976" t="n">
        <v>2</v>
      </c>
      <c r="E2" s="976" t="n">
        <v>3</v>
      </c>
      <c r="F2" s="976" t="n">
        <v>4</v>
      </c>
      <c r="G2" s="976" t="n">
        <v>5</v>
      </c>
      <c r="H2" s="976" t="n">
        <v>6</v>
      </c>
      <c r="I2" s="976" t="n">
        <v>7</v>
      </c>
      <c r="J2" s="976" t="n">
        <v>8</v>
      </c>
      <c r="K2" s="976" t="n">
        <v>9</v>
      </c>
      <c r="L2" s="976" t="n">
        <v>10</v>
      </c>
      <c r="M2" s="976" t="n">
        <v>11</v>
      </c>
      <c r="N2" s="976" t="n">
        <v>12</v>
      </c>
      <c r="O2" s="976" t="n">
        <v>13</v>
      </c>
      <c r="AA2" s="977" t="inlineStr">
        <is>
          <t>▼ 参考値（旧表の値：未締め月に表示される前年実績・見込）</t>
        </is>
      </c>
    </row>
    <row r="3" ht="18" customHeight="1" s="186">
      <c r="A3" s="978" t="inlineStr">
        <is>
          <t>支払月</t>
        </is>
      </c>
      <c r="B3" s="979" t="n"/>
      <c r="C3" s="978" t="inlineStr">
        <is>
          <t>４月支払</t>
        </is>
      </c>
      <c r="D3" s="978" t="inlineStr">
        <is>
          <t>５月</t>
        </is>
      </c>
      <c r="E3" s="978" t="inlineStr">
        <is>
          <t>６月</t>
        </is>
      </c>
      <c r="F3" s="978" t="inlineStr">
        <is>
          <t>７月</t>
        </is>
      </c>
      <c r="G3" s="978" t="inlineStr">
        <is>
          <t>８月</t>
        </is>
      </c>
      <c r="H3" s="978" t="inlineStr">
        <is>
          <t>９月</t>
        </is>
      </c>
      <c r="I3" s="978" t="inlineStr">
        <is>
          <t>１０月</t>
        </is>
      </c>
      <c r="J3" s="978" t="inlineStr">
        <is>
          <t>１１月</t>
        </is>
      </c>
      <c r="K3" s="978" t="inlineStr">
        <is>
          <t>１２月</t>
        </is>
      </c>
      <c r="L3" s="978" t="inlineStr">
        <is>
          <t>１月</t>
        </is>
      </c>
      <c r="M3" s="978" t="inlineStr">
        <is>
          <t>２月</t>
        </is>
      </c>
      <c r="N3" s="978" t="inlineStr">
        <is>
          <t>３月</t>
        </is>
      </c>
      <c r="O3" s="1056" t="inlineStr">
        <is>
          <t>４月(未払）</t>
        </is>
      </c>
      <c r="P3" s="978" t="inlineStr">
        <is>
          <t>決算額</t>
        </is>
      </c>
      <c r="Q3" s="978" t="inlineStr">
        <is>
          <t>予算額</t>
        </is>
      </c>
      <c r="R3" s="978" t="inlineStr">
        <is>
          <t>流用振替額</t>
        </is>
      </c>
      <c r="S3" s="978" t="inlineStr">
        <is>
          <t>予算現額</t>
        </is>
      </c>
      <c r="T3" s="978" t="inlineStr">
        <is>
          <t>不用額</t>
        </is>
      </c>
      <c r="V3" s="737" t="inlineStr">
        <is>
          <t>締め月まで
累計</t>
        </is>
      </c>
      <c r="W3" s="737" t="inlineStr">
        <is>
          <t>予算残額
（現在）</t>
        </is>
      </c>
      <c r="X3" s="981" t="inlineStr">
        <is>
          <t>台帳連動</t>
        </is>
      </c>
      <c r="AA3" s="982" t="inlineStr">
        <is>
          <t>4月</t>
        </is>
      </c>
      <c r="AB3" s="982" t="inlineStr">
        <is>
          <t>5月</t>
        </is>
      </c>
      <c r="AC3" s="982" t="inlineStr">
        <is>
          <t>6月</t>
        </is>
      </c>
      <c r="AD3" s="982" t="inlineStr">
        <is>
          <t>7月</t>
        </is>
      </c>
      <c r="AE3" s="982" t="inlineStr">
        <is>
          <t>8月</t>
        </is>
      </c>
      <c r="AF3" s="982" t="inlineStr">
        <is>
          <t>9月</t>
        </is>
      </c>
      <c r="AG3" s="982" t="inlineStr">
        <is>
          <t>10月</t>
        </is>
      </c>
      <c r="AH3" s="982" t="inlineStr">
        <is>
          <t>11月</t>
        </is>
      </c>
      <c r="AI3" s="982" t="inlineStr">
        <is>
          <t>12月</t>
        </is>
      </c>
      <c r="AJ3" s="982" t="inlineStr">
        <is>
          <t>1月</t>
        </is>
      </c>
      <c r="AK3" s="982" t="inlineStr">
        <is>
          <t>2月</t>
        </is>
      </c>
      <c r="AL3" s="982" t="inlineStr">
        <is>
          <t>3月</t>
        </is>
      </c>
      <c r="AM3" s="982" t="inlineStr">
        <is>
          <t>4月(未払)</t>
        </is>
      </c>
    </row>
    <row r="4" ht="18" customHeight="1" s="186">
      <c r="A4" s="983" t="inlineStr">
        <is>
          <t>役員報酬</t>
        </is>
      </c>
      <c r="B4" s="979" t="n"/>
      <c r="C4" s="1057">
        <f>IF(C$2&lt;=締月,'差引簿集計（長）'!C17,AA4)</f>
        <v>0</v>
      </c>
      <c r="D4" s="1057">
        <f>IF(D$2&lt;=締月,'差引簿集計（長）'!D17,AB4)</f>
        <v>0</v>
      </c>
      <c r="E4" s="1057">
        <f>IF(E$2&lt;=締月,'差引簿集計（長）'!E17,AC4)</f>
        <v>11478</v>
      </c>
      <c r="F4" s="1057">
        <f>IF(F$2&lt;=締月,'差引簿集計（長）'!F17,AD4)</f>
        <v>0</v>
      </c>
      <c r="G4" s="1057">
        <f>IF(G$2&lt;=締月,'差引簿集計（長）'!G17,AE4)</f>
        <v>0</v>
      </c>
      <c r="H4" s="1057">
        <f>IF(H$2&lt;=締月,'差引簿集計（長）'!H17,AF4)</f>
        <v>0</v>
      </c>
      <c r="I4" s="1057">
        <f>IF(I$2&lt;=締月,'差引簿集計（長）'!I17,AG4)</f>
        <v>0</v>
      </c>
      <c r="J4" s="1057">
        <f>IF(J$2&lt;=締月,'差引簿集計（長）'!J17,AH4)</f>
        <v>0</v>
      </c>
      <c r="K4" s="1057">
        <f>IF(K$2&lt;=締月,'差引簿集計（長）'!K17,AI4)</f>
        <v>0</v>
      </c>
      <c r="L4" s="1057">
        <f>IF(L$2&lt;=締月,'差引簿集計（長）'!L17,AJ4)</f>
        <v>0</v>
      </c>
      <c r="M4" s="1057">
        <f>IF(M$2&lt;=締月,'差引簿集計（長）'!M17,AK4)</f>
        <v>0</v>
      </c>
      <c r="N4" s="1057">
        <f>IF(N$2&lt;=締月,'差引簿集計（長）'!N17,AL4)</f>
        <v>5739</v>
      </c>
      <c r="O4" s="1057">
        <f>IF(O$2&lt;=締月,'差引簿集計（長）'!O17,AM4)</f>
        <v>0</v>
      </c>
      <c r="P4" s="985">
        <f>SUM(C4:O4)</f>
        <v>17217</v>
      </c>
      <c r="Q4" s="1058" t="n">
        <v>17000</v>
      </c>
      <c r="R4" s="1058" t="n"/>
      <c r="S4" s="985">
        <f>SUM(Q4:R4)</f>
        <v>17000</v>
      </c>
      <c r="T4" s="1002">
        <f>S4-P4</f>
        <v>-217</v>
      </c>
      <c r="V4" s="987">
        <f>SUMIF($C$2:$N$2,"&lt;="&amp;締月,C4:N4)</f>
        <v>11478</v>
      </c>
      <c r="W4" s="987">
        <f>S4-V4</f>
        <v>5522</v>
      </c>
      <c r="X4" s="1059" t="n">
        <v>1</v>
      </c>
      <c r="AA4" s="1060" t="n">
        <v>0</v>
      </c>
      <c r="AB4" s="1060" t="n">
        <v>0</v>
      </c>
      <c r="AC4" s="1060" t="n">
        <v>11478</v>
      </c>
      <c r="AD4" s="1060" t="n">
        <v>0</v>
      </c>
      <c r="AE4" s="1060" t="n">
        <v>0</v>
      </c>
      <c r="AF4" s="1060" t="n">
        <v>0</v>
      </c>
      <c r="AG4" s="1060" t="n">
        <v>0</v>
      </c>
      <c r="AH4" s="1060" t="n">
        <v>0</v>
      </c>
      <c r="AI4" s="1060" t="n">
        <v>0</v>
      </c>
      <c r="AJ4" s="1060" t="n">
        <v>0</v>
      </c>
      <c r="AK4" s="1060" t="n">
        <v>0</v>
      </c>
      <c r="AL4" s="1060" t="n">
        <v>5739</v>
      </c>
      <c r="AM4" s="1060" t="n">
        <v>0</v>
      </c>
    </row>
    <row r="5" ht="18" customHeight="1" s="186">
      <c r="A5" s="988" t="inlineStr">
        <is>
          <t>職員給与</t>
        </is>
      </c>
      <c r="B5" s="1074" t="inlineStr">
        <is>
          <t>基本給</t>
        </is>
      </c>
      <c r="C5" s="1061">
        <f>C52</f>
        <v>0</v>
      </c>
      <c r="D5" s="1061">
        <f>D52</f>
        <v>0</v>
      </c>
      <c r="E5" s="1061">
        <f>E52</f>
        <v>0</v>
      </c>
      <c r="F5" s="1062">
        <f>F52</f>
        <v>0</v>
      </c>
      <c r="G5" s="1062">
        <f>G52</f>
        <v>0</v>
      </c>
      <c r="H5" s="1062">
        <f>H52</f>
        <v>0</v>
      </c>
      <c r="I5" s="1062">
        <f>I52</f>
        <v>0</v>
      </c>
      <c r="J5" s="1062">
        <f>J52</f>
        <v>0</v>
      </c>
      <c r="K5" s="1062">
        <f>K52</f>
        <v>0</v>
      </c>
      <c r="L5" s="1062">
        <f>L52</f>
        <v>0</v>
      </c>
      <c r="M5" s="1062">
        <f>M52</f>
        <v>0</v>
      </c>
      <c r="N5" s="1062">
        <f>N52</f>
        <v>0</v>
      </c>
      <c r="O5" s="1062">
        <f>O52</f>
        <v>0</v>
      </c>
      <c r="P5" s="991">
        <f>SUM(C5:O5)</f>
        <v>0</v>
      </c>
      <c r="Q5" s="1064" t="n">
        <v>0</v>
      </c>
      <c r="R5" s="1092" t="n"/>
      <c r="S5" s="991">
        <f>SUM(Q5:R5)</f>
        <v>0</v>
      </c>
      <c r="T5" s="1002">
        <f>S5-P5</f>
        <v>0</v>
      </c>
      <c r="V5" s="987">
        <f>SUMIF($C$2:$N$2,"&lt;="&amp;締月,C5:N5)</f>
        <v>0</v>
      </c>
      <c r="W5" s="987">
        <f>S5-V5</f>
        <v>0</v>
      </c>
    </row>
    <row r="6" ht="18" customHeight="1" s="186">
      <c r="A6" s="992" t="n"/>
      <c r="B6" s="993" t="inlineStr">
        <is>
          <t>諸手当</t>
        </is>
      </c>
      <c r="C6" s="1065">
        <f>C55</f>
        <v>0</v>
      </c>
      <c r="D6" s="1065">
        <f>D55</f>
        <v>0</v>
      </c>
      <c r="E6" s="1065">
        <f>E55</f>
        <v>0</v>
      </c>
      <c r="F6" s="1066">
        <f>F55</f>
        <v>0</v>
      </c>
      <c r="G6" s="1066">
        <f>G55</f>
        <v>0</v>
      </c>
      <c r="H6" s="1066">
        <f>H55</f>
        <v>0</v>
      </c>
      <c r="I6" s="1066">
        <f>I55</f>
        <v>0</v>
      </c>
      <c r="J6" s="1066">
        <f>J55</f>
        <v>0</v>
      </c>
      <c r="K6" s="1066">
        <f>K55</f>
        <v>0</v>
      </c>
      <c r="L6" s="1066">
        <f>L55</f>
        <v>0</v>
      </c>
      <c r="M6" s="1066">
        <f>M55</f>
        <v>0</v>
      </c>
      <c r="N6" s="1066">
        <f>N55</f>
        <v>0</v>
      </c>
      <c r="O6" s="1066">
        <f>O55</f>
        <v>0</v>
      </c>
      <c r="P6" s="995">
        <f>SUM(C6:O6)</f>
        <v>0</v>
      </c>
      <c r="Q6" s="1068" t="n">
        <v>0</v>
      </c>
      <c r="R6" s="1129" t="n"/>
      <c r="S6" s="995">
        <f>SUM(Q6:R6)</f>
        <v>0</v>
      </c>
      <c r="T6" s="1002">
        <f>S6-P6</f>
        <v>0</v>
      </c>
      <c r="V6" s="987">
        <f>SUMIF($C$2:$N$2,"&lt;="&amp;締月,C6:N6)</f>
        <v>0</v>
      </c>
      <c r="W6" s="987">
        <f>S6-V6</f>
        <v>0</v>
      </c>
    </row>
    <row r="7" ht="18" customHeight="1" s="186">
      <c r="A7" s="992" t="n"/>
      <c r="B7" s="1130" t="inlineStr">
        <is>
          <t>非常勤職員手当</t>
        </is>
      </c>
      <c r="C7" s="995">
        <f>C58</f>
        <v>380800</v>
      </c>
      <c r="D7" s="995">
        <f>D58</f>
        <v>380800</v>
      </c>
      <c r="E7" s="995">
        <f>E58</f>
        <v>1248490</v>
      </c>
      <c r="F7" s="995">
        <f>F58</f>
        <v>380800</v>
      </c>
      <c r="G7" s="995">
        <f>G58</f>
        <v>380800</v>
      </c>
      <c r="H7" s="995">
        <f>H58</f>
        <v>380800</v>
      </c>
      <c r="I7" s="995">
        <f>I58</f>
        <v>381773</v>
      </c>
      <c r="J7" s="995">
        <f>J58</f>
        <v>381773</v>
      </c>
      <c r="K7" s="995">
        <f>K58</f>
        <v>1170332</v>
      </c>
      <c r="L7" s="995">
        <f>L58</f>
        <v>395611</v>
      </c>
      <c r="M7" s="995">
        <f>M58</f>
        <v>395611</v>
      </c>
      <c r="N7" s="995">
        <f>N58</f>
        <v>464977</v>
      </c>
      <c r="O7" s="995">
        <f>O58</f>
        <v>0</v>
      </c>
      <c r="P7" s="995">
        <f>SUM(C7:O7)</f>
        <v>6342567</v>
      </c>
      <c r="Q7" s="1068" t="n">
        <v>7453000</v>
      </c>
      <c r="R7" s="1129" t="n"/>
      <c r="S7" s="995">
        <f>SUM(Q7:R7)</f>
        <v>7453000</v>
      </c>
      <c r="T7" s="1002">
        <f>S7-P7</f>
        <v>1110433</v>
      </c>
      <c r="V7" s="987">
        <f>SUMIF($C$2:$N$2,"&lt;="&amp;締月,C7:N7)</f>
        <v>3152490</v>
      </c>
      <c r="W7" s="987">
        <f>S7-V7</f>
        <v>4300510</v>
      </c>
    </row>
    <row r="8" ht="18" customHeight="1" s="186">
      <c r="A8" s="992" t="n"/>
      <c r="B8" s="997" t="inlineStr">
        <is>
          <t>退職給与金</t>
        </is>
      </c>
      <c r="C8" s="1069" t="n"/>
      <c r="D8" s="1069" t="n"/>
      <c r="E8" s="1069" t="n"/>
      <c r="F8" s="1069" t="n"/>
      <c r="G8" s="1069" t="n"/>
      <c r="H8" s="1070" t="n"/>
      <c r="I8" s="1069" t="n"/>
      <c r="J8" s="1069" t="n"/>
      <c r="K8" s="1069" t="n"/>
      <c r="L8" s="1069" t="n"/>
      <c r="M8" s="1069" t="n"/>
      <c r="N8" s="1069" t="n"/>
      <c r="O8" s="1069" t="n"/>
      <c r="P8" s="999">
        <f>SUM(C8:O8)</f>
        <v>0</v>
      </c>
      <c r="Q8" s="1070" t="n">
        <v>0</v>
      </c>
      <c r="R8" s="1104" t="n"/>
      <c r="S8" s="999">
        <f>SUM(Q8:R8)</f>
        <v>0</v>
      </c>
      <c r="T8" s="1002">
        <f>S8-P8</f>
        <v>0</v>
      </c>
      <c r="V8" s="987">
        <f>SUMIF($C$2:$N$2,"&lt;="&amp;締月,C8:N8)</f>
        <v>0</v>
      </c>
      <c r="W8" s="987">
        <f>S8-V8</f>
        <v>0</v>
      </c>
    </row>
    <row r="9" ht="18" customHeight="1" s="186">
      <c r="A9" s="1000" t="n"/>
      <c r="B9" s="1001" t="inlineStr">
        <is>
          <t>計</t>
        </is>
      </c>
      <c r="C9" s="1002">
        <f>SUM(C5:C8)</f>
        <v>380800</v>
      </c>
      <c r="D9" s="1002">
        <f>SUM(D5:D8)</f>
        <v>380800</v>
      </c>
      <c r="E9" s="1002">
        <f>SUM(E5:E8)</f>
        <v>1248490</v>
      </c>
      <c r="F9" s="1002">
        <f>SUM(F5:F8)</f>
        <v>380800</v>
      </c>
      <c r="G9" s="1002">
        <f>SUM(G5:G8)</f>
        <v>380800</v>
      </c>
      <c r="H9" s="1002">
        <f>SUM(H5:H8)</f>
        <v>380800</v>
      </c>
      <c r="I9" s="1002">
        <f>SUM(I5:I8)</f>
        <v>381773</v>
      </c>
      <c r="J9" s="1002">
        <f>SUM(J5:J8)</f>
        <v>381773</v>
      </c>
      <c r="K9" s="1002">
        <f>SUM(K5:K8)</f>
        <v>1170332</v>
      </c>
      <c r="L9" s="1002">
        <f>SUM(L5:L8)</f>
        <v>395611</v>
      </c>
      <c r="M9" s="1002">
        <f>SUM(M5:M8)</f>
        <v>395611</v>
      </c>
      <c r="N9" s="1002">
        <f>SUM(N5:N8)</f>
        <v>464977</v>
      </c>
      <c r="O9" s="1002">
        <f>SUM(O5:O8)</f>
        <v>0</v>
      </c>
      <c r="P9" s="985">
        <f>SUM(P5:P8)</f>
        <v>6342567</v>
      </c>
      <c r="Q9" s="985">
        <f>SUM(Q5:Q8)</f>
        <v>7453000</v>
      </c>
      <c r="R9" s="985" t="n"/>
      <c r="S9" s="985">
        <f>SUM(Q9:R9)</f>
        <v>7453000</v>
      </c>
      <c r="T9" s="1002">
        <f>S9-P9</f>
        <v>1110433</v>
      </c>
      <c r="V9" s="1003">
        <f>SUMIF($C$2:$N$2,"&lt;="&amp;締月,C9:N9)</f>
        <v>3152490</v>
      </c>
      <c r="W9" s="1003">
        <f>S9-V9</f>
        <v>4300510</v>
      </c>
    </row>
    <row r="10" ht="18" customHeight="1" s="186">
      <c r="A10" s="1009" t="inlineStr">
        <is>
          <t>厚生費</t>
        </is>
      </c>
      <c r="B10" s="979" t="n"/>
      <c r="C10" s="1057">
        <f>IF(C$2&lt;=締月,'差引簿集計（長）'!C13,AA10)</f>
        <v>0</v>
      </c>
      <c r="D10" s="1057">
        <f>IF(D$2&lt;=締月,'差引簿集計（長）'!D13,AB10)</f>
        <v>0</v>
      </c>
      <c r="E10" s="1057">
        <f>IF(E$2&lt;=締月,'差引簿集計（長）'!E13,AC10)</f>
        <v>0</v>
      </c>
      <c r="F10" s="1057">
        <f>IF(F$2&lt;=締月,'差引簿集計（長）'!F13,AD10)</f>
        <v>0</v>
      </c>
      <c r="G10" s="1057">
        <f>IF(G$2&lt;=締月,'差引簿集計（長）'!G13,AE10)</f>
        <v>1980</v>
      </c>
      <c r="H10" s="1057">
        <f>IF(H$2&lt;=締月,'差引簿集計（長）'!H13,AF10)</f>
        <v>1980</v>
      </c>
      <c r="I10" s="1057">
        <f>IF(I$2&lt;=締月,'差引簿集計（長）'!I13,AG10)</f>
        <v>0</v>
      </c>
      <c r="J10" s="1057">
        <f>IF(J$2&lt;=締月,'差引簿集計（長）'!J13,AH10)</f>
        <v>0</v>
      </c>
      <c r="K10" s="1057">
        <f>IF(K$2&lt;=締月,'差引簿集計（長）'!K13,AI10)</f>
        <v>0</v>
      </c>
      <c r="L10" s="1057">
        <f>IF(L$2&lt;=締月,'差引簿集計（長）'!L13,AJ10)</f>
        <v>0</v>
      </c>
      <c r="M10" s="1057">
        <f>IF(M$2&lt;=締月,'差引簿集計（長）'!M13,AK10)</f>
        <v>0</v>
      </c>
      <c r="N10" s="1057">
        <f>IF(N$2&lt;=締月,'差引簿集計（長）'!N13,AL10)</f>
        <v>0</v>
      </c>
      <c r="O10" s="1057">
        <f>IF(O$2&lt;=締月,'差引簿集計（長）'!O13,AM10)</f>
        <v>0</v>
      </c>
      <c r="P10" s="985">
        <f>SUM(C10:O10)</f>
        <v>3960</v>
      </c>
      <c r="Q10" s="1058" t="n">
        <v>25000</v>
      </c>
      <c r="R10" s="1058" t="n"/>
      <c r="S10" s="985">
        <f>SUM(Q10:R10)</f>
        <v>25000</v>
      </c>
      <c r="T10" s="1002">
        <f>S10-P10</f>
        <v>21040</v>
      </c>
      <c r="V10" s="987">
        <f>SUMIF($C$2:$N$2,"&lt;="&amp;締月,C10:N10)</f>
        <v>3960</v>
      </c>
      <c r="W10" s="987">
        <f>S10-V10</f>
        <v>21040</v>
      </c>
      <c r="X10" s="1059" t="n">
        <v>1</v>
      </c>
      <c r="AA10" s="1060" t="n">
        <v>0</v>
      </c>
      <c r="AB10" s="1060" t="n">
        <v>0</v>
      </c>
      <c r="AC10" s="1060" t="n">
        <v>0</v>
      </c>
      <c r="AD10" s="1060" t="n">
        <v>0</v>
      </c>
      <c r="AE10" s="1060" t="n">
        <v>1980</v>
      </c>
      <c r="AF10" s="1060" t="n">
        <v>1980</v>
      </c>
      <c r="AG10" s="1060" t="n">
        <v>0</v>
      </c>
      <c r="AH10" s="1060" t="n">
        <v>0</v>
      </c>
      <c r="AI10" s="1060" t="n">
        <v>0</v>
      </c>
      <c r="AJ10" s="1060" t="n">
        <v>0</v>
      </c>
      <c r="AK10" s="1060" t="n">
        <v>0</v>
      </c>
      <c r="AL10" s="1060" t="n">
        <v>0</v>
      </c>
      <c r="AM10" s="1060" t="n">
        <v>0</v>
      </c>
    </row>
    <row r="11" ht="18" customHeight="1" s="186">
      <c r="A11" s="983" t="inlineStr">
        <is>
          <t>旅費</t>
        </is>
      </c>
      <c r="B11" s="979" t="n"/>
      <c r="C11" s="1057">
        <f>IF(C$2&lt;=締月,'差引簿集計（長）'!C10,AA11)</f>
        <v>0</v>
      </c>
      <c r="D11" s="1057">
        <f>IF(D$2&lt;=締月,'差引簿集計（長）'!D10,AB11)</f>
        <v>0</v>
      </c>
      <c r="E11" s="1057">
        <f>IF(E$2&lt;=締月,'差引簿集計（長）'!E10,AC11)</f>
        <v>43264</v>
      </c>
      <c r="F11" s="1057">
        <f>IF(F$2&lt;=締月,'差引簿集計（長）'!F10,AD11)</f>
        <v>0</v>
      </c>
      <c r="G11" s="1057">
        <f>IF(G$2&lt;=締月,'差引簿集計（長）'!G10,AE11)</f>
        <v>31712</v>
      </c>
      <c r="H11" s="1057">
        <f>IF(H$2&lt;=締月,'差引簿集計（長）'!H10,AF11)</f>
        <v>0</v>
      </c>
      <c r="I11" s="1057">
        <f>IF(I$2&lt;=締月,'差引簿集計（長）'!I10,AG11)</f>
        <v>0</v>
      </c>
      <c r="J11" s="1057">
        <f>IF(J$2&lt;=締月,'差引簿集計（長）'!J10,AH11)</f>
        <v>20316</v>
      </c>
      <c r="K11" s="1057">
        <f>IF(K$2&lt;=締月,'差引簿集計（長）'!K10,AI11)</f>
        <v>0</v>
      </c>
      <c r="L11" s="1073">
        <f>IF(L$2&lt;=締月,'差引簿集計（長）'!L10,AJ11)</f>
        <v>0</v>
      </c>
      <c r="M11" s="1073">
        <f>IF(M$2&lt;=締月,'差引簿集計（長）'!M10,AK11)</f>
        <v>20524</v>
      </c>
      <c r="N11" s="1073">
        <f>IF(N$2&lt;=締月,'差引簿集計（長）'!N10,AL11)</f>
        <v>0</v>
      </c>
      <c r="O11" s="1073">
        <f>IF(O$2&lt;=締月,'差引簿集計（長）'!O10,AM11)</f>
        <v>0</v>
      </c>
      <c r="P11" s="985">
        <f>SUM(C11:O11)</f>
        <v>115816</v>
      </c>
      <c r="Q11" s="1058" t="n">
        <v>599000</v>
      </c>
      <c r="R11" s="1058" t="n"/>
      <c r="S11" s="985">
        <f>SUM(Q11:R11)</f>
        <v>599000</v>
      </c>
      <c r="T11" s="1072">
        <f>S11-P11</f>
        <v>483184</v>
      </c>
      <c r="V11" s="987">
        <f>SUMIF($C$2:$N$2,"&lt;="&amp;締月,C11:N11)</f>
        <v>74976</v>
      </c>
      <c r="W11" s="987">
        <f>S11-V11</f>
        <v>524024</v>
      </c>
      <c r="X11" s="1059" t="n">
        <v>1</v>
      </c>
      <c r="AA11" s="1060" t="n">
        <v>0</v>
      </c>
      <c r="AB11" s="1060" t="n">
        <v>0</v>
      </c>
      <c r="AC11" s="1060" t="n">
        <v>43264</v>
      </c>
      <c r="AD11" s="1060" t="n">
        <v>0</v>
      </c>
      <c r="AE11" s="1060" t="n">
        <v>31712</v>
      </c>
      <c r="AF11" s="1060" t="n">
        <v>0</v>
      </c>
      <c r="AG11" s="1060" t="n">
        <v>0</v>
      </c>
      <c r="AH11" s="1060" t="n">
        <v>20316</v>
      </c>
      <c r="AI11" s="1060" t="n">
        <v>0</v>
      </c>
      <c r="AJ11" s="1060" t="n">
        <v>0</v>
      </c>
      <c r="AK11" s="1060" t="n">
        <v>20524</v>
      </c>
      <c r="AL11" s="1060" t="n">
        <v>0</v>
      </c>
      <c r="AM11" s="1060" t="n">
        <v>0</v>
      </c>
    </row>
    <row r="12" ht="18" customHeight="1" s="186">
      <c r="A12" s="1005" t="inlineStr">
        <is>
          <t>事務費</t>
        </is>
      </c>
      <c r="B12" s="989" t="inlineStr">
        <is>
          <t>事務用消耗品費</t>
        </is>
      </c>
      <c r="C12" s="1076">
        <f>IF(C$2&lt;=締月,'差引簿集計（長）'!C4,AA12)</f>
        <v>8778</v>
      </c>
      <c r="D12" s="1076">
        <f>IF(D$2&lt;=締月,'差引簿集計（長）'!D4,AB12)</f>
        <v>14040</v>
      </c>
      <c r="E12" s="1076">
        <f>IF(E$2&lt;=締月,'差引簿集計（長）'!E4,AC12)</f>
        <v>53130</v>
      </c>
      <c r="F12" s="1076">
        <f>IF(F$2&lt;=締月,'差引簿集計（長）'!F4,AD12)</f>
        <v>0</v>
      </c>
      <c r="G12" s="1076">
        <f>IF(G$2&lt;=締月,'差引簿集計（長）'!G4,AE12)</f>
        <v>0</v>
      </c>
      <c r="H12" s="1076">
        <f>IF(H$2&lt;=締月,'差引簿集計（長）'!H4,AF12)</f>
        <v>0</v>
      </c>
      <c r="I12" s="1076">
        <f>IF(I$2&lt;=締月,'差引簿集計（長）'!I4,AG12)</f>
        <v>147320</v>
      </c>
      <c r="J12" s="1076">
        <f>IF(J$2&lt;=締月,'差引簿集計（長）'!J4,AH12)</f>
        <v>203853</v>
      </c>
      <c r="K12" s="1076">
        <f>IF(K$2&lt;=締月,'差引簿集計（長）'!K4,AI12)</f>
        <v>0</v>
      </c>
      <c r="L12" s="1131">
        <f>IF(L$2&lt;=締月,'差引簿集計（長）'!L4,AJ12)</f>
        <v>71787</v>
      </c>
      <c r="M12" s="1131">
        <f>IF(M$2&lt;=締月,'差引簿集計（長）'!M4,AK12)</f>
        <v>0</v>
      </c>
      <c r="N12" s="1131">
        <f>IF(N$2&lt;=締月,'差引簿集計（長）'!N4,AL12)</f>
        <v>76096</v>
      </c>
      <c r="O12" s="1131">
        <f>IF(O$2&lt;=締月,'差引簿集計（長）'!O4,AM12)</f>
        <v>99001</v>
      </c>
      <c r="P12" s="991">
        <f>SUM(C12:O12)</f>
        <v>674005</v>
      </c>
      <c r="Q12" s="1064" t="n">
        <v>580000</v>
      </c>
      <c r="R12" s="1092" t="n"/>
      <c r="S12" s="991">
        <f>SUM(Q12:R12)</f>
        <v>580000</v>
      </c>
      <c r="T12" s="1132">
        <f>S12-P12</f>
        <v>-94005</v>
      </c>
      <c r="V12" s="987">
        <f>SUMIF($C$2:$N$2,"&lt;="&amp;締月,C12:N12)</f>
        <v>75948</v>
      </c>
      <c r="W12" s="987">
        <f>S12-V12</f>
        <v>504052</v>
      </c>
      <c r="X12" s="1059" t="n">
        <v>1</v>
      </c>
      <c r="AA12" s="1060" t="n">
        <v>8778</v>
      </c>
      <c r="AB12" s="1060" t="n">
        <v>14040</v>
      </c>
      <c r="AC12" s="1060" t="n">
        <v>53130</v>
      </c>
      <c r="AD12" s="1060" t="n">
        <v>0</v>
      </c>
      <c r="AE12" s="1060" t="n">
        <v>0</v>
      </c>
      <c r="AF12" s="1060" t="n">
        <v>0</v>
      </c>
      <c r="AG12" s="1060" t="n">
        <v>147320</v>
      </c>
      <c r="AH12" s="1060" t="n">
        <v>203853</v>
      </c>
      <c r="AI12" s="1060" t="n">
        <v>0</v>
      </c>
      <c r="AJ12" s="1060" t="n">
        <v>71787</v>
      </c>
      <c r="AK12" s="1060" t="n">
        <v>0</v>
      </c>
      <c r="AL12" s="1060" t="n">
        <v>76096</v>
      </c>
      <c r="AM12" s="1060" t="n">
        <v>99001</v>
      </c>
    </row>
    <row r="13" ht="18" customHeight="1" s="186">
      <c r="A13" s="992" t="n"/>
      <c r="B13" s="993" t="inlineStr">
        <is>
          <t>図書印刷費</t>
        </is>
      </c>
      <c r="C13" s="1081">
        <f>IF(C$2&lt;=締月,'差引簿集計（長）'!C5,AA13)</f>
        <v>0</v>
      </c>
      <c r="D13" s="1081">
        <f>IF(D$2&lt;=締月,'差引簿集計（長）'!D5,AB13)</f>
        <v>0</v>
      </c>
      <c r="E13" s="1081">
        <f>IF(E$2&lt;=締月,'差引簿集計（長）'!E5,AC13)</f>
        <v>17600</v>
      </c>
      <c r="F13" s="1081">
        <f>IF(F$2&lt;=締月,'差引簿集計（長）'!F5,AD13)</f>
        <v>0</v>
      </c>
      <c r="G13" s="1081">
        <f>IF(G$2&lt;=締月,'差引簿集計（長）'!G5,AE13)</f>
        <v>73810</v>
      </c>
      <c r="H13" s="1081">
        <f>IF(H$2&lt;=締月,'差引簿集計（長）'!H5,AF13)</f>
        <v>247676</v>
      </c>
      <c r="I13" s="1081">
        <f>IF(I$2&lt;=締月,'差引簿集計（長）'!I5,AG13)</f>
        <v>15465</v>
      </c>
      <c r="J13" s="1081">
        <f>IF(J$2&lt;=締月,'差引簿集計（長）'!J5,AH13)</f>
        <v>0</v>
      </c>
      <c r="K13" s="1081">
        <f>IF(K$2&lt;=締月,'差引簿集計（長）'!K5,AI13)</f>
        <v>72239</v>
      </c>
      <c r="L13" s="1082">
        <f>IF(L$2&lt;=締月,'差引簿集計（長）'!L5,AJ13)</f>
        <v>22050</v>
      </c>
      <c r="M13" s="1082">
        <f>IF(M$2&lt;=締月,'差引簿集計（長）'!M5,AK13)</f>
        <v>26400</v>
      </c>
      <c r="N13" s="1082">
        <f>IF(N$2&lt;=締月,'差引簿集計（長）'!N5,AL13)</f>
        <v>26757</v>
      </c>
      <c r="O13" s="1082">
        <f>IF(O$2&lt;=締月,'差引簿集計（長）'!O5,AM13)</f>
        <v>0</v>
      </c>
      <c r="P13" s="995">
        <f>SUM(C13:O13)</f>
        <v>501997</v>
      </c>
      <c r="Q13" s="1068" t="n">
        <v>595000</v>
      </c>
      <c r="R13" s="1129" t="n"/>
      <c r="S13" s="995">
        <f>SUM(Q13:R13)</f>
        <v>595000</v>
      </c>
      <c r="T13" s="1133">
        <f>S13-P13</f>
        <v>93003</v>
      </c>
      <c r="U13" s="944" t="inlineStr">
        <is>
          <t xml:space="preserve">          </t>
        </is>
      </c>
      <c r="V13" s="987">
        <f>SUMIF($C$2:$N$2,"&lt;="&amp;締月,C13:N13)</f>
        <v>339086</v>
      </c>
      <c r="W13" s="987">
        <f>S13-V13</f>
        <v>255914</v>
      </c>
      <c r="X13" s="1059" t="n">
        <v>1</v>
      </c>
      <c r="AA13" s="1060" t="n">
        <v>0</v>
      </c>
      <c r="AB13" s="1060" t="n">
        <v>0</v>
      </c>
      <c r="AC13" s="1060" t="n">
        <v>17600</v>
      </c>
      <c r="AD13" s="1060" t="n">
        <v>0</v>
      </c>
      <c r="AE13" s="1060" t="n">
        <v>73810</v>
      </c>
      <c r="AF13" s="1060" t="n">
        <v>247676</v>
      </c>
      <c r="AG13" s="1060" t="n">
        <v>15465</v>
      </c>
      <c r="AH13" s="1060" t="n">
        <v>0</v>
      </c>
      <c r="AI13" s="1060" t="n">
        <v>72239</v>
      </c>
      <c r="AJ13" s="1060" t="n">
        <v>22050</v>
      </c>
      <c r="AK13" s="1060" t="n">
        <v>26400</v>
      </c>
      <c r="AL13" s="1060" t="n">
        <v>26757</v>
      </c>
      <c r="AM13" s="1060" t="n">
        <v>0</v>
      </c>
    </row>
    <row r="14" ht="18" customHeight="1" s="186">
      <c r="A14" s="992" t="n"/>
      <c r="B14" s="993" t="inlineStr">
        <is>
          <t>送金料</t>
        </is>
      </c>
      <c r="C14" s="1081">
        <f>IF(C$2&lt;=締月,'差引簿集計（長）'!C7,AA14)</f>
        <v>0</v>
      </c>
      <c r="D14" s="1081">
        <f>IF(D$2&lt;=締月,'差引簿集計（長）'!D7,AB14)</f>
        <v>18493</v>
      </c>
      <c r="E14" s="1081">
        <f>IF(E$2&lt;=締月,'差引簿集計（長）'!E7,AC14)</f>
        <v>12725</v>
      </c>
      <c r="F14" s="1081">
        <f>IF(F$2&lt;=締月,'差引簿集計（長）'!F7,AD14)</f>
        <v>13965</v>
      </c>
      <c r="G14" s="1081">
        <f>IF(G$2&lt;=締月,'差引簿集計（長）'!G7,AE14)</f>
        <v>14994</v>
      </c>
      <c r="H14" s="1081">
        <f>IF(H$2&lt;=締月,'差引簿集計（長）'!H7,AF14)</f>
        <v>14984</v>
      </c>
      <c r="I14" s="1081">
        <f>IF(I$2&lt;=締月,'差引簿集計（長）'!I7,AG14)</f>
        <v>16238</v>
      </c>
      <c r="J14" s="1081">
        <f>IF(J$2&lt;=締月,'差引簿集計（長）'!J7,AH14)</f>
        <v>15579</v>
      </c>
      <c r="K14" s="1081">
        <f>IF(K$2&lt;=締月,'差引簿集計（長）'!K7,AI14)</f>
        <v>16554</v>
      </c>
      <c r="L14" s="1082">
        <f>IF(L$2&lt;=締月,'差引簿集計（長）'!L7,AJ14)</f>
        <v>16224</v>
      </c>
      <c r="M14" s="1082">
        <f>IF(M$2&lt;=締月,'差引簿集計（長）'!M7,AK14)</f>
        <v>16564</v>
      </c>
      <c r="N14" s="1082">
        <f>IF(N$2&lt;=締月,'差引簿集計（長）'!N7,AL14)</f>
        <v>14994</v>
      </c>
      <c r="O14" s="1082">
        <f>IF(O$2&lt;=締月,'差引簿集計（長）'!O7,AM14)</f>
        <v>16240</v>
      </c>
      <c r="P14" s="995">
        <f>SUM(C14:O14)</f>
        <v>187554</v>
      </c>
      <c r="Q14" s="1068" t="n">
        <v>249000</v>
      </c>
      <c r="R14" s="1129" t="n"/>
      <c r="S14" s="995">
        <f>SUM(Q14:R14)</f>
        <v>249000</v>
      </c>
      <c r="T14" s="1133">
        <f>S14-P14</f>
        <v>61446</v>
      </c>
      <c r="V14" s="987">
        <f>SUMIF($C$2:$N$2,"&lt;="&amp;締月,C14:N14)</f>
        <v>75161</v>
      </c>
      <c r="W14" s="987">
        <f>S14-V14</f>
        <v>173839</v>
      </c>
      <c r="X14" s="1059" t="n">
        <v>1</v>
      </c>
      <c r="AA14" s="1060" t="n">
        <v>0</v>
      </c>
      <c r="AB14" s="1060" t="n">
        <v>18493</v>
      </c>
      <c r="AC14" s="1060" t="n">
        <v>12725</v>
      </c>
      <c r="AD14" s="1060" t="n">
        <v>13965</v>
      </c>
      <c r="AE14" s="1060" t="n">
        <v>14994</v>
      </c>
      <c r="AF14" s="1060" t="n">
        <v>14984</v>
      </c>
      <c r="AG14" s="1060" t="n">
        <v>16238</v>
      </c>
      <c r="AH14" s="1060" t="n">
        <v>15579</v>
      </c>
      <c r="AI14" s="1060" t="n">
        <v>16554</v>
      </c>
      <c r="AJ14" s="1060" t="n">
        <v>16224</v>
      </c>
      <c r="AK14" s="1060" t="n">
        <v>16564</v>
      </c>
      <c r="AL14" s="1060" t="n">
        <v>14994</v>
      </c>
      <c r="AM14" s="1060" t="n">
        <v>16240</v>
      </c>
    </row>
    <row r="15" ht="18" customHeight="1" s="186">
      <c r="A15" s="992" t="n"/>
      <c r="B15" s="993" t="inlineStr">
        <is>
          <t>通信運搬費</t>
        </is>
      </c>
      <c r="C15" s="1081">
        <f>IF(C$2&lt;=締月,'差引簿集計（長）'!C6,AA15)</f>
        <v>0</v>
      </c>
      <c r="D15" s="1081">
        <f>IF(D$2&lt;=締月,'差引簿集計（長）'!D6,AB15)</f>
        <v>147246</v>
      </c>
      <c r="E15" s="1081">
        <f>IF(E$2&lt;=締月,'差引簿集計（長）'!E6,AC15)</f>
        <v>21810</v>
      </c>
      <c r="F15" s="1081">
        <f>IF(F$2&lt;=締月,'差引簿集計（長）'!F6,AD15)</f>
        <v>1534000</v>
      </c>
      <c r="G15" s="1081">
        <f>IF(G$2&lt;=締月,'差引簿集計（長）'!G6,AE15)</f>
        <v>31370</v>
      </c>
      <c r="H15" s="1081">
        <f>IF(H$2&lt;=締月,'差引簿集計（長）'!H6,AF15)</f>
        <v>83355</v>
      </c>
      <c r="I15" s="1081">
        <f>IF(I$2&lt;=締月,'差引簿集計（長）'!I6,AG15)</f>
        <v>271700</v>
      </c>
      <c r="J15" s="1081">
        <f>IF(J$2&lt;=締月,'差引簿集計（長）'!J6,AH15)</f>
        <v>1138006</v>
      </c>
      <c r="K15" s="1081">
        <f>IF(K$2&lt;=締月,'差引簿集計（長）'!K6,AI15)</f>
        <v>56815</v>
      </c>
      <c r="L15" s="1082">
        <f>IF(L$2&lt;=締月,'差引簿集計（長）'!L6,AJ15)</f>
        <v>1249035</v>
      </c>
      <c r="M15" s="1082">
        <f>IF(M$2&lt;=締月,'差引簿集計（長）'!M6,AK15)</f>
        <v>792478</v>
      </c>
      <c r="N15" s="1082">
        <f>IF(N$2&lt;=締月,'差引簿集計（長）'!N6,AL15)</f>
        <v>833717</v>
      </c>
      <c r="O15" s="1082">
        <f>IF(O$2&lt;=締月,'差引簿集計（長）'!O6,AM15)</f>
        <v>65946</v>
      </c>
      <c r="P15" s="995">
        <f>SUM(C15:O15)</f>
        <v>6225478</v>
      </c>
      <c r="Q15" s="1068" t="n">
        <v>7518000</v>
      </c>
      <c r="R15" s="1129" t="n"/>
      <c r="S15" s="995">
        <f>SUM(Q15:R15)</f>
        <v>7518000</v>
      </c>
      <c r="T15" s="1133">
        <f>S15-P15</f>
        <v>1292522</v>
      </c>
      <c r="V15" s="987">
        <f>SUMIF($C$2:$N$2,"&lt;="&amp;締月,C15:N15)</f>
        <v>1817781</v>
      </c>
      <c r="W15" s="987">
        <f>S15-V15</f>
        <v>5700219</v>
      </c>
      <c r="X15" s="1059" t="n">
        <v>1</v>
      </c>
      <c r="AA15" s="1060" t="n">
        <v>0</v>
      </c>
      <c r="AB15" s="1060" t="n">
        <v>147246</v>
      </c>
      <c r="AC15" s="1060" t="n">
        <v>21810</v>
      </c>
      <c r="AD15" s="1060" t="n">
        <v>1534000</v>
      </c>
      <c r="AE15" s="1060" t="n">
        <v>31370</v>
      </c>
      <c r="AF15" s="1060" t="n">
        <v>83355</v>
      </c>
      <c r="AG15" s="1060" t="n">
        <v>271700</v>
      </c>
      <c r="AH15" s="1060" t="n">
        <v>1138006</v>
      </c>
      <c r="AI15" s="1060" t="n">
        <v>56815</v>
      </c>
      <c r="AJ15" s="1060" t="n">
        <v>1249035</v>
      </c>
      <c r="AK15" s="1060" t="n">
        <v>792478</v>
      </c>
      <c r="AL15" s="1060" t="n">
        <v>833717</v>
      </c>
      <c r="AM15" s="1060" t="n">
        <v>65946</v>
      </c>
    </row>
    <row r="16" ht="18" customHeight="1" s="186">
      <c r="A16" s="992" t="n"/>
      <c r="B16" s="1006" t="inlineStr">
        <is>
          <t>会議費</t>
        </is>
      </c>
      <c r="C16" s="1081">
        <f>IF(C$2&lt;=締月,'差引簿集計（長）'!C9,AA16)</f>
        <v>0</v>
      </c>
      <c r="D16" s="1084">
        <f>IF(D$2&lt;=締月,'差引簿集計（長）'!D9,AB16)</f>
        <v>0</v>
      </c>
      <c r="E16" s="1084">
        <f>IF(E$2&lt;=締月,'差引簿集計（長）'!E9,AC16)</f>
        <v>0</v>
      </c>
      <c r="F16" s="1084">
        <f>IF(F$2&lt;=締月,'差引簿集計（長）'!F9,AD16)</f>
        <v>0</v>
      </c>
      <c r="G16" s="1084">
        <f>IF(G$2&lt;=締月,'差引簿集計（長）'!G9,AE16)</f>
        <v>0</v>
      </c>
      <c r="H16" s="1084">
        <f>IF(H$2&lt;=締月,'差引簿集計（長）'!H9,AF16)</f>
        <v>0</v>
      </c>
      <c r="I16" s="1084">
        <f>IF(I$2&lt;=締月,'差引簿集計（長）'!I9,AG16)</f>
        <v>0</v>
      </c>
      <c r="J16" s="1084">
        <f>IF(J$2&lt;=締月,'差引簿集計（長）'!J9,AH16)</f>
        <v>0</v>
      </c>
      <c r="K16" s="1084">
        <f>IF(K$2&lt;=締月,'差引簿集計（長）'!K9,AI16)</f>
        <v>0</v>
      </c>
      <c r="L16" s="1084">
        <f>IF(L$2&lt;=締月,'差引簿集計（長）'!L9,AJ16)</f>
        <v>0</v>
      </c>
      <c r="M16" s="1084">
        <f>IF(M$2&lt;=締月,'差引簿集計（長）'!M9,AK16)</f>
        <v>0</v>
      </c>
      <c r="N16" s="1084">
        <f>IF(N$2&lt;=締月,'差引簿集計（長）'!N9,AL16)</f>
        <v>0</v>
      </c>
      <c r="O16" s="1084">
        <f>IF(O$2&lt;=締月,'差引簿集計（長）'!O9,AM16)</f>
        <v>0</v>
      </c>
      <c r="P16" s="1134">
        <f>SUM(C16:O16)</f>
        <v>0</v>
      </c>
      <c r="Q16" s="1086" t="n">
        <v>0</v>
      </c>
      <c r="R16" s="1135" t="n"/>
      <c r="S16" s="995">
        <f>SUM(Q16:R16)</f>
        <v>0</v>
      </c>
      <c r="T16" s="1133">
        <f>S16-P16</f>
        <v>0</v>
      </c>
      <c r="V16" s="987">
        <f>SUMIF($C$2:$N$2,"&lt;="&amp;締月,C16:N16)</f>
        <v>0</v>
      </c>
      <c r="W16" s="987">
        <f>S16-V16</f>
        <v>0</v>
      </c>
      <c r="X16" s="1059" t="n">
        <v>1</v>
      </c>
      <c r="AA16" s="1060" t="n">
        <v>0</v>
      </c>
      <c r="AB16" s="1060" t="n">
        <v>0</v>
      </c>
      <c r="AC16" s="1060" t="n">
        <v>0</v>
      </c>
      <c r="AD16" s="1060" t="n">
        <v>0</v>
      </c>
      <c r="AE16" s="1060" t="n">
        <v>0</v>
      </c>
      <c r="AF16" s="1060" t="n">
        <v>0</v>
      </c>
      <c r="AG16" s="1060" t="n">
        <v>0</v>
      </c>
      <c r="AH16" s="1060" t="n">
        <v>0</v>
      </c>
      <c r="AI16" s="1060" t="n">
        <v>0</v>
      </c>
      <c r="AJ16" s="1060" t="n">
        <v>0</v>
      </c>
      <c r="AK16" s="1060" t="n">
        <v>0</v>
      </c>
      <c r="AL16" s="1060" t="n">
        <v>0</v>
      </c>
      <c r="AM16" s="1060" t="n">
        <v>0</v>
      </c>
    </row>
    <row r="17" ht="18" customHeight="1" s="186">
      <c r="A17" s="992" t="n"/>
      <c r="B17" s="1007" t="inlineStr">
        <is>
          <t>雑費</t>
        </is>
      </c>
      <c r="C17" s="1081">
        <f>IF(C$2&lt;=締月,'差引簿集計（長）'!C8,AA17)</f>
        <v>0</v>
      </c>
      <c r="D17" s="1087">
        <f>IF(D$2&lt;=締月,'差引簿集計（長）'!D8,AB17)</f>
        <v>0</v>
      </c>
      <c r="E17" s="1087">
        <f>IF(E$2&lt;=締月,'差引簿集計（長）'!E8,AC17)</f>
        <v>0</v>
      </c>
      <c r="F17" s="1087">
        <f>IF(F$2&lt;=締月,'差引簿集計（長）'!F8,AD17)</f>
        <v>0</v>
      </c>
      <c r="G17" s="1087">
        <f>IF(G$2&lt;=締月,'差引簿集計（長）'!G8,AE17)</f>
        <v>0</v>
      </c>
      <c r="H17" s="1087">
        <f>IF(H$2&lt;=締月,'差引簿集計（長）'!H8,AF17)</f>
        <v>0</v>
      </c>
      <c r="I17" s="1087">
        <f>IF(I$2&lt;=締月,'差引簿集計（長）'!I8,AG17)</f>
        <v>3300</v>
      </c>
      <c r="J17" s="1087">
        <f>IF(J$2&lt;=締月,'差引簿集計（長）'!J8,AH17)</f>
        <v>0</v>
      </c>
      <c r="K17" s="1087">
        <f>IF(K$2&lt;=締月,'差引簿集計（長）'!K8,AI17)</f>
        <v>0</v>
      </c>
      <c r="L17" s="1087">
        <f>IF(L$2&lt;=締月,'差引簿集計（長）'!L8,AJ17)</f>
        <v>0</v>
      </c>
      <c r="M17" s="1087">
        <f>IF(M$2&lt;=締月,'差引簿集計（長）'!M8,AK17)</f>
        <v>0</v>
      </c>
      <c r="N17" s="1087">
        <f>IF(N$2&lt;=締月,'差引簿集計（長）'!N8,AL17)</f>
        <v>0</v>
      </c>
      <c r="O17" s="1087">
        <f>IF(O$2&lt;=締月,'差引簿集計（長）'!O8,AM17)</f>
        <v>3300</v>
      </c>
      <c r="P17" s="999">
        <f>SUM(C17:O17)</f>
        <v>6600</v>
      </c>
      <c r="Q17" s="1070" t="n">
        <v>7000</v>
      </c>
      <c r="R17" s="1104" t="n"/>
      <c r="S17" s="999">
        <f>SUM(Q17:R17)</f>
        <v>7000</v>
      </c>
      <c r="T17" s="1136">
        <f>S17-P17</f>
        <v>400</v>
      </c>
      <c r="V17" s="987">
        <f>SUMIF($C$2:$N$2,"&lt;="&amp;締月,C17:N17)</f>
        <v>0</v>
      </c>
      <c r="W17" s="987">
        <f>S17-V17</f>
        <v>7000</v>
      </c>
      <c r="X17" s="1059" t="n">
        <v>1</v>
      </c>
      <c r="AA17" s="1060" t="n">
        <v>0</v>
      </c>
      <c r="AB17" s="1060" t="n">
        <v>0</v>
      </c>
      <c r="AC17" s="1060" t="n">
        <v>0</v>
      </c>
      <c r="AD17" s="1060" t="n">
        <v>0</v>
      </c>
      <c r="AE17" s="1060" t="n">
        <v>0</v>
      </c>
      <c r="AF17" s="1060" t="n">
        <v>0</v>
      </c>
      <c r="AG17" s="1060" t="n">
        <v>3300</v>
      </c>
      <c r="AH17" s="1060" t="n">
        <v>0</v>
      </c>
      <c r="AI17" s="1060" t="n">
        <v>0</v>
      </c>
      <c r="AJ17" s="1060" t="n">
        <v>0</v>
      </c>
      <c r="AK17" s="1060" t="n">
        <v>0</v>
      </c>
      <c r="AL17" s="1060" t="n">
        <v>0</v>
      </c>
      <c r="AM17" s="1060" t="n">
        <v>3300</v>
      </c>
    </row>
    <row r="18" ht="17.25" customHeight="1" s="186">
      <c r="A18" s="1000" t="n"/>
      <c r="B18" s="1001" t="inlineStr">
        <is>
          <t>計</t>
        </is>
      </c>
      <c r="C18" s="1002">
        <f>SUM(C12:C17)</f>
        <v>8778</v>
      </c>
      <c r="D18" s="1002">
        <f>SUM(D12:D17)</f>
        <v>179779</v>
      </c>
      <c r="E18" s="1002">
        <f>SUM(E12:E17)</f>
        <v>105265</v>
      </c>
      <c r="F18" s="1002">
        <f>SUM(F12:F17)</f>
        <v>1547965</v>
      </c>
      <c r="G18" s="1002">
        <f>SUM(G12:G17)</f>
        <v>120174</v>
      </c>
      <c r="H18" s="1137">
        <f>SUM(H12:H17)</f>
        <v>346015</v>
      </c>
      <c r="I18" s="1002">
        <f>SUM(I12:I17)</f>
        <v>454023</v>
      </c>
      <c r="J18" s="1002">
        <f>SUM(J12:J17)</f>
        <v>1357438</v>
      </c>
      <c r="K18" s="1002">
        <f>SUM(K12:K17)</f>
        <v>145608</v>
      </c>
      <c r="L18" s="1002">
        <f>SUM(L12:L17)</f>
        <v>1359096</v>
      </c>
      <c r="M18" s="1002">
        <f>SUM(M12:M17)</f>
        <v>835442</v>
      </c>
      <c r="N18" s="1002">
        <f>SUM(N12:N17)</f>
        <v>951564</v>
      </c>
      <c r="O18" s="1002">
        <f>SUM(O12:O17)</f>
        <v>184487</v>
      </c>
      <c r="P18" s="985">
        <f>SUM(P12:P17)</f>
        <v>7595634</v>
      </c>
      <c r="Q18" s="985">
        <f>SUM(Q12:Q17)</f>
        <v>8949000</v>
      </c>
      <c r="R18" s="1008" t="n"/>
      <c r="S18" s="1008">
        <f>SUM(Q18:R18)</f>
        <v>8949000</v>
      </c>
      <c r="T18" s="1072">
        <f>S18-P18</f>
        <v>1353366</v>
      </c>
      <c r="V18" s="1003">
        <f>SUMIF($C$2:$N$2,"&lt;="&amp;締月,C18:N18)</f>
        <v>2307976</v>
      </c>
      <c r="W18" s="1003">
        <f>S18-V18</f>
        <v>6641024</v>
      </c>
    </row>
    <row r="19" ht="17.25" customHeight="1" s="186">
      <c r="A19" s="1009" t="inlineStr">
        <is>
          <t>賃金</t>
        </is>
      </c>
      <c r="B19" s="979" t="n"/>
      <c r="C19" s="1137">
        <f>C59</f>
        <v>0</v>
      </c>
      <c r="D19" s="1137">
        <f>D59</f>
        <v>0</v>
      </c>
      <c r="E19" s="1137">
        <f>E59</f>
        <v>0</v>
      </c>
      <c r="F19" s="1138">
        <f>F59</f>
        <v>0</v>
      </c>
      <c r="G19" s="1138">
        <f>G59</f>
        <v>0</v>
      </c>
      <c r="H19" s="1138">
        <f>H59</f>
        <v>0</v>
      </c>
      <c r="I19" s="1138">
        <f>I59</f>
        <v>0</v>
      </c>
      <c r="J19" s="1138">
        <f>J59</f>
        <v>0</v>
      </c>
      <c r="K19" s="1138">
        <f>K59</f>
        <v>0</v>
      </c>
      <c r="L19" s="1138">
        <f>L59</f>
        <v>0</v>
      </c>
      <c r="M19" s="1138">
        <f>M59</f>
        <v>0</v>
      </c>
      <c r="N19" s="1138">
        <f>N59</f>
        <v>0</v>
      </c>
      <c r="O19" s="1138">
        <f>O59</f>
        <v>0</v>
      </c>
      <c r="P19" s="985">
        <f>SUM(C19:O19)</f>
        <v>0</v>
      </c>
      <c r="Q19" s="1058" t="n">
        <v>0</v>
      </c>
      <c r="R19" s="1091" t="n"/>
      <c r="S19" s="1008">
        <f>SUM(Q19:R19)</f>
        <v>0</v>
      </c>
      <c r="T19" s="1072">
        <f>S19-P19</f>
        <v>0</v>
      </c>
      <c r="V19" s="987">
        <f>SUMIF($C$2:$N$2,"&lt;="&amp;締月,C19:N19)</f>
        <v>0</v>
      </c>
      <c r="W19" s="987">
        <f>S19-V19</f>
        <v>0</v>
      </c>
    </row>
    <row r="20" ht="18" customHeight="1" s="186">
      <c r="A20" s="983" t="inlineStr">
        <is>
          <t>委託費</t>
        </is>
      </c>
      <c r="B20" s="979" t="n"/>
      <c r="C20" s="1057">
        <f>IF(C$2&lt;=締月,'差引簿集計（長）'!C11,AA20)</f>
        <v>0</v>
      </c>
      <c r="D20" s="1057">
        <f>IF(D$2&lt;=締月,'差引簿集計（長）'!D11,AB20)</f>
        <v>0</v>
      </c>
      <c r="E20" s="1057">
        <f>IF(E$2&lt;=締月,'差引簿集計（長）'!E11,AC20)</f>
        <v>0</v>
      </c>
      <c r="F20" s="1057">
        <f>IF(F$2&lt;=締月,'差引簿集計（長）'!F11,AD20)</f>
        <v>176854</v>
      </c>
      <c r="G20" s="1057">
        <f>IF(G$2&lt;=締月,'差引簿集計（長）'!G11,AE20)</f>
        <v>1155425</v>
      </c>
      <c r="H20" s="1057">
        <f>IF(H$2&lt;=締月,'差引簿集計（長）'!H11,AF20)</f>
        <v>340931</v>
      </c>
      <c r="I20" s="1057">
        <f>IF(I$2&lt;=締月,'差引簿集計（長）'!I11,AG20)</f>
        <v>119283</v>
      </c>
      <c r="J20" s="1057">
        <f>IF(J$2&lt;=締月,'差引簿集計（長）'!J11,AH20)</f>
        <v>93256</v>
      </c>
      <c r="K20" s="1057">
        <f>IF(K$2&lt;=締月,'差引簿集計（長）'!K11,AI20)</f>
        <v>115828</v>
      </c>
      <c r="L20" s="1073">
        <f>IF(L$2&lt;=締月,'差引簿集計（長）'!L11,AJ20)</f>
        <v>85123</v>
      </c>
      <c r="M20" s="1073">
        <f>IF(M$2&lt;=締月,'差引簿集計（長）'!M11,AK20)</f>
        <v>126533</v>
      </c>
      <c r="N20" s="1073">
        <f>IF(N$2&lt;=締月,'差引簿集計（長）'!N11,AL20)</f>
        <v>78590</v>
      </c>
      <c r="O20" s="1073">
        <f>IF(O$2&lt;=締月,'差引簿集計（長）'!O11,AM20)</f>
        <v>164657</v>
      </c>
      <c r="P20" s="985">
        <f>SUM(C20:O20)</f>
        <v>2456480</v>
      </c>
      <c r="Q20" s="1058" t="n">
        <v>2575000</v>
      </c>
      <c r="R20" s="1090" t="n"/>
      <c r="S20" s="985">
        <f>SUM(Q20:R20)</f>
        <v>2575000</v>
      </c>
      <c r="T20" s="1072">
        <f>S20-P20</f>
        <v>118520</v>
      </c>
      <c r="V20" s="987">
        <f>SUMIF($C$2:$N$2,"&lt;="&amp;締月,C20:N20)</f>
        <v>1673210</v>
      </c>
      <c r="W20" s="987">
        <f>S20-V20</f>
        <v>901790</v>
      </c>
      <c r="X20" s="1059" t="n">
        <v>1</v>
      </c>
      <c r="AA20" s="1060" t="n">
        <v>0</v>
      </c>
      <c r="AB20" s="1060" t="n">
        <v>0</v>
      </c>
      <c r="AC20" s="1060" t="n">
        <v>0</v>
      </c>
      <c r="AD20" s="1060" t="n">
        <v>176854</v>
      </c>
      <c r="AE20" s="1060" t="n">
        <v>1155425</v>
      </c>
      <c r="AF20" s="1060" t="n">
        <v>340931</v>
      </c>
      <c r="AG20" s="1060" t="n">
        <v>119283</v>
      </c>
      <c r="AH20" s="1060" t="n">
        <v>93256</v>
      </c>
      <c r="AI20" s="1060" t="n">
        <v>115828</v>
      </c>
      <c r="AJ20" s="1060" t="n">
        <v>85123</v>
      </c>
      <c r="AK20" s="1060" t="n">
        <v>126533</v>
      </c>
      <c r="AL20" s="1060" t="n">
        <v>78590</v>
      </c>
      <c r="AM20" s="1060" t="n">
        <v>164657</v>
      </c>
    </row>
    <row r="21" ht="18" customHeight="1" s="186">
      <c r="A21" s="1010" t="inlineStr">
        <is>
          <t>光熱水料</t>
        </is>
      </c>
      <c r="B21" s="979" t="n"/>
      <c r="C21" s="1057">
        <f>IF(C$2&lt;=締月,'差引簿集計（長）'!C15,AA21)</f>
        <v>0</v>
      </c>
      <c r="D21" s="1057">
        <f>IF(D$2&lt;=締月,'差引簿集計（長）'!D15,AB21)</f>
        <v>0</v>
      </c>
      <c r="E21" s="1057">
        <f>IF(E$2&lt;=締月,'差引簿集計（長）'!E15,AC21)</f>
        <v>0</v>
      </c>
      <c r="F21" s="1057">
        <f>IF(F$2&lt;=締月,'差引簿集計（長）'!F15,AD21)</f>
        <v>0</v>
      </c>
      <c r="G21" s="1057">
        <f>IF(G$2&lt;=締月,'差引簿集計（長）'!G15,AE21)</f>
        <v>0</v>
      </c>
      <c r="H21" s="1057">
        <f>IF(H$2&lt;=締月,'差引簿集計（長）'!H15,AF21)</f>
        <v>0</v>
      </c>
      <c r="I21" s="1057">
        <f>IF(I$2&lt;=締月,'差引簿集計（長）'!I15,AG21)</f>
        <v>0</v>
      </c>
      <c r="J21" s="1057">
        <f>IF(J$2&lt;=締月,'差引簿集計（長）'!J15,AH21)</f>
        <v>0</v>
      </c>
      <c r="K21" s="1057">
        <f>IF(K$2&lt;=締月,'差引簿集計（長）'!K15,AI21)</f>
        <v>50385</v>
      </c>
      <c r="L21" s="1073">
        <f>IF(L$2&lt;=締月,'差引簿集計（長）'!L15,AJ21)</f>
        <v>0</v>
      </c>
      <c r="M21" s="1073">
        <f>IF(M$2&lt;=締月,'差引簿集計（長）'!M15,AK21)</f>
        <v>0</v>
      </c>
      <c r="N21" s="1073">
        <f>IF(N$2&lt;=締月,'差引簿集計（長）'!N15,AL21)</f>
        <v>0</v>
      </c>
      <c r="O21" s="1073">
        <f>IF(O$2&lt;=締月,'差引簿集計（長）'!O15,AM21)</f>
        <v>58984</v>
      </c>
      <c r="P21" s="985">
        <f>SUM(C21:O21)</f>
        <v>109369</v>
      </c>
      <c r="Q21" s="1058" t="n">
        <v>102000</v>
      </c>
      <c r="R21" s="1090" t="n"/>
      <c r="S21" s="985">
        <f>SUM(Q21:R21)</f>
        <v>102000</v>
      </c>
      <c r="T21" s="1072">
        <f>S21-P21</f>
        <v>-7369</v>
      </c>
      <c r="V21" s="987">
        <f>SUMIF($C$2:$N$2,"&lt;="&amp;締月,C21:N21)</f>
        <v>0</v>
      </c>
      <c r="W21" s="987">
        <f>S21-V21</f>
        <v>102000</v>
      </c>
      <c r="X21" s="1059" t="n">
        <v>1</v>
      </c>
      <c r="AA21" s="1060" t="n">
        <v>0</v>
      </c>
      <c r="AB21" s="1060" t="n">
        <v>0</v>
      </c>
      <c r="AC21" s="1060" t="n">
        <v>0</v>
      </c>
      <c r="AD21" s="1060" t="n">
        <v>0</v>
      </c>
      <c r="AE21" s="1060" t="n">
        <v>0</v>
      </c>
      <c r="AF21" s="1060" t="n">
        <v>0</v>
      </c>
      <c r="AG21" s="1060" t="n">
        <v>0</v>
      </c>
      <c r="AH21" s="1060" t="n">
        <v>0</v>
      </c>
      <c r="AI21" s="1060" t="n">
        <v>50385</v>
      </c>
      <c r="AJ21" s="1060" t="n">
        <v>0</v>
      </c>
      <c r="AK21" s="1060" t="n">
        <v>0</v>
      </c>
      <c r="AL21" s="1060" t="n">
        <v>0</v>
      </c>
      <c r="AM21" s="1060" t="n">
        <v>58984</v>
      </c>
    </row>
    <row r="22" ht="18" customHeight="1" s="186">
      <c r="A22" s="1010" t="inlineStr">
        <is>
          <t>修繕費</t>
        </is>
      </c>
      <c r="B22" s="979" t="n"/>
      <c r="C22" s="1057">
        <f>IF(C$2&lt;=締月,'差引簿集計（長）'!C16,AA22)</f>
        <v>0</v>
      </c>
      <c r="D22" s="1057">
        <f>IF(D$2&lt;=締月,'差引簿集計（長）'!D16,AB22)</f>
        <v>0</v>
      </c>
      <c r="E22" s="1057">
        <f>IF(E$2&lt;=締月,'差引簿集計（長）'!E16,AC22)</f>
        <v>0</v>
      </c>
      <c r="F22" s="1057">
        <f>IF(F$2&lt;=締月,'差引簿集計（長）'!F16,AD22)</f>
        <v>0</v>
      </c>
      <c r="G22" s="1057">
        <f>IF(G$2&lt;=締月,'差引簿集計（長）'!G16,AE22)</f>
        <v>0</v>
      </c>
      <c r="H22" s="1057">
        <f>IF(H$2&lt;=締月,'差引簿集計（長）'!H16,AF22)</f>
        <v>0</v>
      </c>
      <c r="I22" s="1057">
        <f>IF(I$2&lt;=締月,'差引簿集計（長）'!I16,AG22)</f>
        <v>0</v>
      </c>
      <c r="J22" s="1057">
        <f>IF(J$2&lt;=締月,'差引簿集計（長）'!J16,AH22)</f>
        <v>0</v>
      </c>
      <c r="K22" s="1057">
        <f>IF(K$2&lt;=締月,'差引簿集計（長）'!K16,AI22)</f>
        <v>0</v>
      </c>
      <c r="L22" s="1073">
        <f>IF(L$2&lt;=締月,'差引簿集計（長）'!L16,AJ22)</f>
        <v>0</v>
      </c>
      <c r="M22" s="1073">
        <f>IF(M$2&lt;=締月,'差引簿集計（長）'!M16,AK22)</f>
        <v>0</v>
      </c>
      <c r="N22" s="1073">
        <f>IF(N$2&lt;=締月,'差引簿集計（長）'!N16,AL22)</f>
        <v>0</v>
      </c>
      <c r="O22" s="1073">
        <f>IF(O$2&lt;=締月,'差引簿集計（長）'!O16,AM22)</f>
        <v>0</v>
      </c>
      <c r="P22" s="985">
        <f>SUM(C22:O22)</f>
        <v>0</v>
      </c>
      <c r="Q22" s="1090" t="n"/>
      <c r="R22" s="1090" t="n"/>
      <c r="S22" s="985">
        <f>SUM(Q22:R22)</f>
        <v>0</v>
      </c>
      <c r="T22" s="1072">
        <f>S22-P22</f>
        <v>0</v>
      </c>
      <c r="V22" s="987">
        <f>SUMIF($C$2:$N$2,"&lt;="&amp;締月,C22:N22)</f>
        <v>0</v>
      </c>
      <c r="W22" s="987">
        <f>S22-V22</f>
        <v>0</v>
      </c>
      <c r="X22" s="1059" t="n">
        <v>1</v>
      </c>
      <c r="AA22" s="1060" t="n">
        <v>0</v>
      </c>
      <c r="AB22" s="1060" t="n">
        <v>0</v>
      </c>
      <c r="AC22" s="1060" t="n">
        <v>0</v>
      </c>
      <c r="AD22" s="1060" t="n">
        <v>0</v>
      </c>
      <c r="AE22" s="1060" t="n">
        <v>0</v>
      </c>
      <c r="AF22" s="1060" t="n">
        <v>0</v>
      </c>
      <c r="AG22" s="1060" t="n">
        <v>0</v>
      </c>
      <c r="AH22" s="1060" t="n">
        <v>0</v>
      </c>
      <c r="AI22" s="1060" t="n">
        <v>0</v>
      </c>
      <c r="AJ22" s="1060" t="n">
        <v>0</v>
      </c>
      <c r="AK22" s="1060" t="n">
        <v>0</v>
      </c>
      <c r="AL22" s="1060" t="n">
        <v>0</v>
      </c>
      <c r="AM22" s="1060" t="n"/>
    </row>
    <row r="23" ht="18" customHeight="1" s="186">
      <c r="A23" s="983" t="inlineStr">
        <is>
          <t>賃借料</t>
        </is>
      </c>
      <c r="B23" s="979" t="n"/>
      <c r="C23" s="1057">
        <f>IF(C$2&lt;=締月,'差引簿集計（長）'!C12,AA23)</f>
        <v>0</v>
      </c>
      <c r="D23" s="1057">
        <f>IF(D$2&lt;=締月,'差引簿集計（長）'!D12,AB23)</f>
        <v>69613</v>
      </c>
      <c r="E23" s="1057">
        <f>IF(E$2&lt;=締月,'差引簿集計（長）'!E12,AC23)</f>
        <v>69613</v>
      </c>
      <c r="F23" s="1057">
        <f>IF(F$2&lt;=締月,'差引簿集計（長）'!F12,AD23)</f>
        <v>69613</v>
      </c>
      <c r="G23" s="1057">
        <f>IF(G$2&lt;=締月,'差引簿集計（長）'!G12,AE23)</f>
        <v>69613</v>
      </c>
      <c r="H23" s="1057">
        <f>IF(H$2&lt;=締月,'差引簿集計（長）'!H12,AF23)</f>
        <v>69613</v>
      </c>
      <c r="I23" s="1057">
        <f>IF(I$2&lt;=締月,'差引簿集計（長）'!I12,AG23)</f>
        <v>69613</v>
      </c>
      <c r="J23" s="1057">
        <f>IF(J$2&lt;=締月,'差引簿集計（長）'!J12,AH23)</f>
        <v>116495</v>
      </c>
      <c r="K23" s="1057">
        <f>IF(K$2&lt;=締月,'差引簿集計（長）'!K12,AI23)</f>
        <v>69613</v>
      </c>
      <c r="L23" s="1073">
        <f>IF(L$2&lt;=締月,'差引簿集計（長）'!L12,AJ23)</f>
        <v>69613</v>
      </c>
      <c r="M23" s="1073">
        <f>IF(M$2&lt;=締月,'差引簿集計（長）'!M12,AK23)</f>
        <v>69613</v>
      </c>
      <c r="N23" s="1073">
        <f>IF(N$2&lt;=締月,'差引簿集計（長）'!N12,AL23)</f>
        <v>69613</v>
      </c>
      <c r="O23" s="1073">
        <f>IF(O$2&lt;=締月,'差引簿集計（長）'!O12,AM23)</f>
        <v>88088</v>
      </c>
      <c r="P23" s="985">
        <f>SUM(C23:O23)</f>
        <v>900713</v>
      </c>
      <c r="Q23" s="1058" t="n">
        <v>1027000</v>
      </c>
      <c r="R23" s="1090" t="n"/>
      <c r="S23" s="985">
        <f>SUM(Q23:R23)</f>
        <v>1027000</v>
      </c>
      <c r="T23" s="1072">
        <f>S23-P23</f>
        <v>126287</v>
      </c>
      <c r="V23" s="987">
        <f>SUMIF($C$2:$N$2,"&lt;="&amp;締月,C23:N23)</f>
        <v>348065</v>
      </c>
      <c r="W23" s="987">
        <f>S23-V23</f>
        <v>678935</v>
      </c>
      <c r="X23" s="1059" t="n">
        <v>1</v>
      </c>
      <c r="AA23" s="1060" t="n">
        <v>0</v>
      </c>
      <c r="AB23" s="1060" t="n">
        <v>69613</v>
      </c>
      <c r="AC23" s="1060" t="n">
        <v>69613</v>
      </c>
      <c r="AD23" s="1060" t="n">
        <v>69613</v>
      </c>
      <c r="AE23" s="1060" t="n">
        <v>69613</v>
      </c>
      <c r="AF23" s="1060" t="n">
        <v>69613</v>
      </c>
      <c r="AG23" s="1060" t="n">
        <v>69613</v>
      </c>
      <c r="AH23" s="1060" t="n">
        <v>116495</v>
      </c>
      <c r="AI23" s="1060" t="n">
        <v>69613</v>
      </c>
      <c r="AJ23" s="1060" t="n">
        <v>69613</v>
      </c>
      <c r="AK23" s="1060" t="n">
        <v>69613</v>
      </c>
      <c r="AL23" s="1060" t="n">
        <v>69613</v>
      </c>
      <c r="AM23" s="1060" t="n">
        <v>88088</v>
      </c>
    </row>
    <row r="24" ht="18" customHeight="1" s="186">
      <c r="A24" s="983" t="inlineStr">
        <is>
          <t>普及費</t>
        </is>
      </c>
      <c r="B24" s="979" t="n"/>
      <c r="C24" s="1057">
        <f>IF(C$2&lt;=締月,'差引簿集計（長）'!C14,AA24)</f>
        <v>0</v>
      </c>
      <c r="D24" s="1057">
        <f>IF(D$2&lt;=締月,'差引簿集計（長）'!D14,AB24)</f>
        <v>0</v>
      </c>
      <c r="E24" s="1057">
        <f>IF(E$2&lt;=締月,'差引簿集計（長）'!E14,AC24)</f>
        <v>0</v>
      </c>
      <c r="F24" s="1057">
        <f>IF(F$2&lt;=締月,'差引簿集計（長）'!F14,AD24)</f>
        <v>0</v>
      </c>
      <c r="G24" s="1057">
        <f>IF(G$2&lt;=締月,'差引簿集計（長）'!G14,AE24)</f>
        <v>0</v>
      </c>
      <c r="H24" s="1057">
        <f>IF(H$2&lt;=締月,'差引簿集計（長）'!H14,AF24)</f>
        <v>0</v>
      </c>
      <c r="I24" s="1057">
        <f>IF(I$2&lt;=締月,'差引簿集計（長）'!I14,AG24)</f>
        <v>0</v>
      </c>
      <c r="J24" s="1057">
        <f>IF(J$2&lt;=締月,'差引簿集計（長）'!J14,AH24)</f>
        <v>151989</v>
      </c>
      <c r="K24" s="1057">
        <f>IF(K$2&lt;=締月,'差引簿集計（長）'!K14,AI24)</f>
        <v>0</v>
      </c>
      <c r="L24" s="1073">
        <f>IF(L$2&lt;=締月,'差引簿集計（長）'!L14,AJ24)</f>
        <v>227354</v>
      </c>
      <c r="M24" s="1073">
        <f>IF(M$2&lt;=締月,'差引簿集計（長）'!M14,AK24)</f>
        <v>0</v>
      </c>
      <c r="N24" s="1073">
        <f>IF(N$2&lt;=締月,'差引簿集計（長）'!N14,AL24)</f>
        <v>0</v>
      </c>
      <c r="O24" s="1073">
        <f>IF(O$2&lt;=締月,'差引簿集計（長）'!O14,AM24)</f>
        <v>250322</v>
      </c>
      <c r="P24" s="985">
        <f>SUM(C24:O24)</f>
        <v>629665</v>
      </c>
      <c r="Q24" s="1058" t="n">
        <v>993000</v>
      </c>
      <c r="R24" s="1090" t="n"/>
      <c r="S24" s="985">
        <f>SUM(Q24:R24)</f>
        <v>993000</v>
      </c>
      <c r="T24" s="1072">
        <f>S24-P24</f>
        <v>363335</v>
      </c>
      <c r="V24" s="987">
        <f>SUMIF($C$2:$N$2,"&lt;="&amp;締月,C24:N24)</f>
        <v>0</v>
      </c>
      <c r="W24" s="987">
        <f>S24-V24</f>
        <v>993000</v>
      </c>
      <c r="X24" s="1059" t="n">
        <v>1</v>
      </c>
      <c r="AA24" s="1060" t="n">
        <v>0</v>
      </c>
      <c r="AB24" s="1060" t="n">
        <v>0</v>
      </c>
      <c r="AC24" s="1060" t="n">
        <v>0</v>
      </c>
      <c r="AD24" s="1060" t="n">
        <v>0</v>
      </c>
      <c r="AE24" s="1060" t="n">
        <v>0</v>
      </c>
      <c r="AF24" s="1060" t="n">
        <v>0</v>
      </c>
      <c r="AG24" s="1060" t="n">
        <v>0</v>
      </c>
      <c r="AH24" s="1060" t="n">
        <v>151989</v>
      </c>
      <c r="AI24" s="1060" t="n">
        <v>0</v>
      </c>
      <c r="AJ24" s="1060" t="n">
        <v>227354</v>
      </c>
      <c r="AK24" s="1060" t="n">
        <v>0</v>
      </c>
      <c r="AL24" s="1060" t="n">
        <v>0</v>
      </c>
      <c r="AM24" s="1060" t="n">
        <v>250322</v>
      </c>
    </row>
    <row r="25" ht="18" customHeight="1" s="186">
      <c r="A25" s="983" t="inlineStr">
        <is>
          <t>諸謝金</t>
        </is>
      </c>
      <c r="B25" s="979" t="n"/>
      <c r="C25" s="1057">
        <f>IF(C$2&lt;=締月,'差引簿集計（長）'!C22,AA25)</f>
        <v>0</v>
      </c>
      <c r="D25" s="1057">
        <f>IF(D$2&lt;=締月,'差引簿集計（長）'!D22,AB25)</f>
        <v>0</v>
      </c>
      <c r="E25" s="1057">
        <f>IF(E$2&lt;=締月,'差引簿集計（長）'!E22,AC25)</f>
        <v>0</v>
      </c>
      <c r="F25" s="1057">
        <f>IF(F$2&lt;=締月,'差引簿集計（長）'!F22,AD25)</f>
        <v>0</v>
      </c>
      <c r="G25" s="1057">
        <f>IF(G$2&lt;=締月,'差引簿集計（長）'!G22,AE25)</f>
        <v>0</v>
      </c>
      <c r="H25" s="1057">
        <f>IF(H$2&lt;=締月,'差引簿集計（長）'!H22,AF25)</f>
        <v>0</v>
      </c>
      <c r="I25" s="1057">
        <f>IF(I$2&lt;=締月,'差引簿集計（長）'!I22,AG25)</f>
        <v>0</v>
      </c>
      <c r="J25" s="1057">
        <f>IF(J$2&lt;=締月,'差引簿集計（長）'!J22,AH25)</f>
        <v>0</v>
      </c>
      <c r="K25" s="1057">
        <f>IF(K$2&lt;=締月,'差引簿集計（長）'!K22,AI25)</f>
        <v>0</v>
      </c>
      <c r="L25" s="1057">
        <f>IF(L$2&lt;=締月,'差引簿集計（長）'!L22,AJ25)</f>
        <v>0</v>
      </c>
      <c r="M25" s="1057">
        <f>IF(M$2&lt;=締月,'差引簿集計（長）'!M22,AK25)</f>
        <v>0</v>
      </c>
      <c r="N25" s="1057">
        <f>IF(N$2&lt;=締月,'差引簿集計（長）'!N22,AL25)</f>
        <v>0</v>
      </c>
      <c r="O25" s="1057">
        <f>IF(O$2&lt;=締月,'差引簿集計（長）'!O22,AM25)</f>
        <v>0</v>
      </c>
      <c r="P25" s="985">
        <f>SUM(C25:O25)</f>
        <v>0</v>
      </c>
      <c r="Q25" s="1058" t="n">
        <v>0</v>
      </c>
      <c r="R25" s="1090" t="n"/>
      <c r="S25" s="985">
        <f>SUM(Q25:R25)</f>
        <v>0</v>
      </c>
      <c r="T25" s="1002">
        <f>S25-P25</f>
        <v>0</v>
      </c>
      <c r="V25" s="987">
        <f>SUMIF($C$2:$N$2,"&lt;="&amp;締月,C25:N25)</f>
        <v>0</v>
      </c>
      <c r="W25" s="987">
        <f>S25-V25</f>
        <v>0</v>
      </c>
      <c r="X25" s="1059" t="n">
        <v>1</v>
      </c>
      <c r="AA25" s="1060" t="n">
        <v>0</v>
      </c>
      <c r="AB25" s="1060" t="n">
        <v>0</v>
      </c>
      <c r="AC25" s="1060" t="n">
        <v>0</v>
      </c>
      <c r="AD25" s="1060" t="n">
        <v>0</v>
      </c>
      <c r="AE25" s="1060" t="n">
        <v>0</v>
      </c>
      <c r="AF25" s="1060" t="n">
        <v>0</v>
      </c>
      <c r="AG25" s="1060" t="n">
        <v>0</v>
      </c>
      <c r="AH25" s="1060" t="n">
        <v>0</v>
      </c>
      <c r="AI25" s="1060" t="n">
        <v>0</v>
      </c>
      <c r="AJ25" s="1060" t="n">
        <v>0</v>
      </c>
      <c r="AK25" s="1060" t="n">
        <v>0</v>
      </c>
      <c r="AL25" s="1060" t="n">
        <v>0</v>
      </c>
      <c r="AM25" s="1060" t="n">
        <v>0</v>
      </c>
    </row>
    <row r="26" ht="18" customHeight="1" s="186">
      <c r="A26" s="1011" t="inlineStr">
        <is>
          <t>負担金</t>
        </is>
      </c>
      <c r="B26" s="989" t="inlineStr">
        <is>
          <t>会議出席負担金等</t>
        </is>
      </c>
      <c r="C26" s="1076">
        <f>IF(C$2&lt;=締月,'差引簿集計（長）'!C24,AA26)</f>
        <v>0</v>
      </c>
      <c r="D26" s="1076">
        <f>IF(D$2&lt;=締月,'差引簿集計（長）'!D24,AB26)</f>
        <v>0</v>
      </c>
      <c r="E26" s="1076">
        <f>IF(E$2&lt;=締月,'差引簿集計（長）'!E24,AC26)</f>
        <v>0</v>
      </c>
      <c r="F26" s="1076">
        <f>IF(F$2&lt;=締月,'差引簿集計（長）'!F24,AD26)</f>
        <v>0</v>
      </c>
      <c r="G26" s="1076">
        <f>IF(G$2&lt;=締月,'差引簿集計（長）'!G24,AE26)</f>
        <v>0</v>
      </c>
      <c r="H26" s="1076">
        <f>IF(H$2&lt;=締月,'差引簿集計（長）'!H24,AF26)</f>
        <v>0</v>
      </c>
      <c r="I26" s="1076">
        <f>IF(I$2&lt;=締月,'差引簿集計（長）'!I24,AG26)</f>
        <v>0</v>
      </c>
      <c r="J26" s="1076">
        <f>IF(J$2&lt;=締月,'差引簿集計（長）'!J24,AH26)</f>
        <v>0</v>
      </c>
      <c r="K26" s="1076">
        <f>IF(K$2&lt;=締月,'差引簿集計（長）'!K24,AI26)</f>
        <v>0</v>
      </c>
      <c r="L26" s="1076">
        <f>IF(L$2&lt;=締月,'差引簿集計（長）'!L24,AJ26)</f>
        <v>0</v>
      </c>
      <c r="M26" s="1076">
        <f>IF(M$2&lt;=締月,'差引簿集計（長）'!M24,AK26)</f>
        <v>0</v>
      </c>
      <c r="N26" s="1076">
        <f>IF(N$2&lt;=締月,'差引簿集計（長）'!N24,AL26)</f>
        <v>0</v>
      </c>
      <c r="O26" s="1076">
        <f>IF(O$2&lt;=締月,'差引簿集計（長）'!O24,AM26)</f>
        <v>0</v>
      </c>
      <c r="P26" s="991">
        <f>SUM(C26:O26)</f>
        <v>0</v>
      </c>
      <c r="Q26" s="1064" t="n">
        <v>0</v>
      </c>
      <c r="R26" s="1092" t="n"/>
      <c r="S26" s="991">
        <f>SUM(Q26:R26)</f>
        <v>0</v>
      </c>
      <c r="T26" s="1002">
        <f>S26-P26</f>
        <v>0</v>
      </c>
      <c r="V26" s="987">
        <f>SUMIF($C$2:$N$2,"&lt;="&amp;締月,C26:N26)</f>
        <v>0</v>
      </c>
      <c r="W26" s="987">
        <f>S26-V26</f>
        <v>0</v>
      </c>
      <c r="X26" s="1059" t="n">
        <v>1</v>
      </c>
      <c r="AA26" s="1060" t="n">
        <v>0</v>
      </c>
      <c r="AB26" s="1060" t="n">
        <v>0</v>
      </c>
      <c r="AC26" s="1060" t="n">
        <v>0</v>
      </c>
      <c r="AD26" s="1060" t="n">
        <v>0</v>
      </c>
      <c r="AE26" s="1060" t="n">
        <v>0</v>
      </c>
      <c r="AF26" s="1060" t="n">
        <v>0</v>
      </c>
      <c r="AG26" s="1060" t="n">
        <v>0</v>
      </c>
      <c r="AH26" s="1060" t="n">
        <v>0</v>
      </c>
      <c r="AI26" s="1060" t="n">
        <v>0</v>
      </c>
      <c r="AJ26" s="1060" t="n">
        <v>0</v>
      </c>
      <c r="AK26" s="1060" t="n">
        <v>0</v>
      </c>
      <c r="AL26" s="1060" t="n">
        <v>0</v>
      </c>
      <c r="AM26" s="1060" t="n">
        <v>0</v>
      </c>
    </row>
    <row r="27" ht="18" customHeight="1" s="186">
      <c r="A27" s="1013" t="n"/>
      <c r="B27" s="1019" t="inlineStr">
        <is>
          <t>互助会費</t>
        </is>
      </c>
      <c r="C27" s="1081">
        <f>IF(C$2&lt;=締月,'差引簿集計（長）'!C23,AA27)</f>
        <v>466</v>
      </c>
      <c r="D27" s="1081">
        <f>IF(D$2&lt;=締月,'差引簿集計（長）'!D23,AB27)</f>
        <v>466</v>
      </c>
      <c r="E27" s="1081">
        <f>IF(E$2&lt;=締月,'差引簿集計（長）'!E23,AC27)</f>
        <v>466</v>
      </c>
      <c r="F27" s="1081">
        <f>IF(F$2&lt;=締月,'差引簿集計（長）'!F23,AD27)</f>
        <v>466</v>
      </c>
      <c r="G27" s="1081">
        <f>IF(G$2&lt;=締月,'差引簿集計（長）'!G23,AE27)</f>
        <v>466</v>
      </c>
      <c r="H27" s="1081">
        <f>IF(H$2&lt;=締月,'差引簿集計（長）'!H23,AF27)</f>
        <v>466</v>
      </c>
      <c r="I27" s="1081">
        <f>IF(I$2&lt;=締月,'差引簿集計（長）'!I23,AG27)</f>
        <v>535</v>
      </c>
      <c r="J27" s="1081">
        <f>IF(J$2&lt;=締月,'差引簿集計（長）'!J23,AH27)</f>
        <v>535</v>
      </c>
      <c r="K27" s="1081">
        <f>IF(K$2&lt;=締月,'差引簿集計（長）'!K23,AI27)</f>
        <v>535</v>
      </c>
      <c r="L27" s="1082">
        <f>IF(L$2&lt;=締月,'差引簿集計（長）'!L23,AJ27)</f>
        <v>725</v>
      </c>
      <c r="M27" s="1082">
        <f>IF(M$2&lt;=締月,'差引簿集計（長）'!M23,AK27)</f>
        <v>554</v>
      </c>
      <c r="N27" s="1082">
        <f>IF(N$2&lt;=締月,'差引簿集計（長）'!N23,AL27)</f>
        <v>554</v>
      </c>
      <c r="O27" s="1082">
        <f>IF(O$2&lt;=締月,'差引簿集計（長）'!O23,AM27)</f>
        <v>0</v>
      </c>
      <c r="P27" s="995">
        <f>SUM(C27:O27)</f>
        <v>6234</v>
      </c>
      <c r="Q27" s="1139" t="n">
        <v>1155000</v>
      </c>
      <c r="R27" s="1097" t="n"/>
      <c r="S27" s="1017">
        <f>SUM(Q27:R27)</f>
        <v>1155000</v>
      </c>
      <c r="T27" s="1140">
        <f>S27-P27-P28-P29-P30-P31</f>
        <v>125916</v>
      </c>
      <c r="V27" s="987">
        <f>SUMIF($C$2:$N$2,"&lt;="&amp;締月,C27:N27)</f>
        <v>2796</v>
      </c>
      <c r="X27" s="1059" t="n">
        <v>1</v>
      </c>
      <c r="AA27" s="1060" t="n">
        <v>466</v>
      </c>
      <c r="AB27" s="1060" t="n">
        <v>466</v>
      </c>
      <c r="AC27" s="1060" t="n">
        <v>466</v>
      </c>
      <c r="AD27" s="1060" t="n">
        <v>466</v>
      </c>
      <c r="AE27" s="1060" t="n">
        <v>466</v>
      </c>
      <c r="AF27" s="1060" t="n">
        <v>466</v>
      </c>
      <c r="AG27" s="1060" t="n">
        <v>535</v>
      </c>
      <c r="AH27" s="1060" t="n">
        <v>535</v>
      </c>
      <c r="AI27" s="1060" t="n">
        <v>535</v>
      </c>
      <c r="AJ27" s="1060" t="n">
        <v>725</v>
      </c>
      <c r="AK27" s="1060" t="n">
        <v>554</v>
      </c>
      <c r="AL27" s="1060" t="n">
        <v>554</v>
      </c>
      <c r="AM27" s="1060" t="n">
        <v>0</v>
      </c>
    </row>
    <row r="28" ht="18" customHeight="1" s="186">
      <c r="A28" s="1013" t="n"/>
      <c r="B28" s="1018" t="inlineStr">
        <is>
          <t>協会けんぽ保険料等</t>
        </is>
      </c>
      <c r="C28" s="1099">
        <f>IF(C$2&lt;=締月,'差引簿集計（長）'!C25,AA28)</f>
        <v>0</v>
      </c>
      <c r="D28" s="1099">
        <f>IF(D$2&lt;=締月,'差引簿集計（長）'!D25,AB28)</f>
        <v>0</v>
      </c>
      <c r="E28" s="1099">
        <f>IF(E$2&lt;=締月,'差引簿集計（長）'!E25,AC28)</f>
        <v>0</v>
      </c>
      <c r="F28" s="1099">
        <f>IF(F$2&lt;=締月,'差引簿集計（長）'!F25,AD28)</f>
        <v>0</v>
      </c>
      <c r="G28" s="1099">
        <f>IF(G$2&lt;=締月,'差引簿集計（長）'!G25,AE28)</f>
        <v>0</v>
      </c>
      <c r="H28" s="1099">
        <f>IF(H$2&lt;=締月,'差引簿集計（長）'!H25,AF28)</f>
        <v>0</v>
      </c>
      <c r="I28" s="1099">
        <f>IF(I$2&lt;=締月,'差引簿集計（長）'!I25,AG28)</f>
        <v>0</v>
      </c>
      <c r="J28" s="1099">
        <f>IF(J$2&lt;=締月,'差引簿集計（長）'!J25,AH28)</f>
        <v>0</v>
      </c>
      <c r="K28" s="1099">
        <f>IF(K$2&lt;=締月,'差引簿集計（長）'!K25,AI28)</f>
        <v>0</v>
      </c>
      <c r="L28" s="1099">
        <f>IF(L$2&lt;=締月,'差引簿集計（長）'!L25,AJ28)</f>
        <v>0</v>
      </c>
      <c r="M28" s="1099">
        <f>IF(M$2&lt;=締月,'差引簿集計（長）'!M25,AK28)</f>
        <v>0</v>
      </c>
      <c r="N28" s="1099">
        <f>IF(N$2&lt;=締月,'差引簿集計（長）'!N25,AL28)</f>
        <v>0</v>
      </c>
      <c r="O28" s="1099">
        <f>IF(O$2&lt;=締月,'差引簿集計（長）'!O25,AM28)</f>
        <v>0</v>
      </c>
      <c r="P28" s="995">
        <f>SUM(C28:O28)</f>
        <v>0</v>
      </c>
      <c r="Q28" s="992" t="n"/>
      <c r="R28" s="992" t="n"/>
      <c r="S28" s="992" t="n"/>
      <c r="T28" s="992" t="n"/>
      <c r="V28" s="987">
        <f>SUMIF($C$2:$N$2,"&lt;="&amp;締月,C28:N28)</f>
        <v>0</v>
      </c>
      <c r="X28" s="1059" t="n">
        <v>1</v>
      </c>
      <c r="AA28" s="1060" t="n"/>
      <c r="AB28" s="1060" t="n"/>
      <c r="AC28" s="1060" t="n"/>
      <c r="AD28" s="1060" t="n"/>
      <c r="AE28" s="1060" t="n"/>
      <c r="AF28" s="1060" t="n"/>
      <c r="AG28" s="1060" t="n"/>
      <c r="AH28" s="1060" t="n"/>
      <c r="AI28" s="1060" t="n"/>
      <c r="AJ28" s="1060" t="n"/>
      <c r="AK28" s="1060" t="n"/>
      <c r="AL28" s="1060" t="n"/>
      <c r="AM28" s="1060" t="n"/>
    </row>
    <row r="29" ht="18" customHeight="1" s="186">
      <c r="A29" s="1013" t="n"/>
      <c r="B29" s="1019" t="inlineStr">
        <is>
          <t>共済負担金等</t>
        </is>
      </c>
      <c r="C29" s="1081">
        <f>IF(C$2&lt;=締月,'差引簿集計（長）'!C26,AA29)</f>
        <v>22035</v>
      </c>
      <c r="D29" s="1081">
        <f>IF(D$2&lt;=締月,'差引簿集計（長）'!D26,AB29)</f>
        <v>22035</v>
      </c>
      <c r="E29" s="1081">
        <f>IF(E$2&lt;=締月,'差引簿集計（長）'!E26,AC29)</f>
        <v>71165</v>
      </c>
      <c r="F29" s="1081">
        <f>IF(F$2&lt;=締月,'差引簿集計（長）'!F26,AD29)</f>
        <v>22035</v>
      </c>
      <c r="G29" s="1081">
        <f>IF(G$2&lt;=締月,'差引簿集計（長）'!G26,AE29)</f>
        <v>22035</v>
      </c>
      <c r="H29" s="1081">
        <f>IF(H$2&lt;=締月,'差引簿集計（長）'!H26,AF29)</f>
        <v>20974</v>
      </c>
      <c r="I29" s="1081">
        <f>IF(I$2&lt;=締月,'差引簿集計（長）'!I26,AG29)</f>
        <v>22835</v>
      </c>
      <c r="J29" s="1081">
        <f>IF(J$2&lt;=締月,'差引簿集計（長）'!J26,AH29)</f>
        <v>22835</v>
      </c>
      <c r="K29" s="1081">
        <f>IF(K$2&lt;=締月,'差引簿集計（長）'!K26,AI29)</f>
        <v>60083</v>
      </c>
      <c r="L29" s="1081">
        <f>IF(L$2&lt;=締月,'差引簿集計（長）'!L26,AJ29)</f>
        <v>25338</v>
      </c>
      <c r="M29" s="1081">
        <f>IF(M$2&lt;=締月,'差引簿集計（長）'!M26,AK29)</f>
        <v>22835</v>
      </c>
      <c r="N29" s="1081">
        <f>IF(N$2&lt;=締月,'差引簿集計（長）'!N26,AL29)</f>
        <v>26637</v>
      </c>
      <c r="O29" s="1081">
        <f>IF(O$2&lt;=締月,'差引簿集計（長）'!O26,AM29)</f>
        <v>0</v>
      </c>
      <c r="P29" s="995">
        <f>SUM(C29:O29)</f>
        <v>360842</v>
      </c>
      <c r="Q29" s="992" t="n"/>
      <c r="R29" s="992" t="n"/>
      <c r="S29" s="992" t="n"/>
      <c r="T29" s="992" t="n"/>
      <c r="V29" s="987">
        <f>SUMIF($C$2:$N$2,"&lt;="&amp;締月,C29:N29)</f>
        <v>180279</v>
      </c>
      <c r="X29" s="1059" t="n">
        <v>1</v>
      </c>
      <c r="AA29" s="1060" t="n">
        <v>22035</v>
      </c>
      <c r="AB29" s="1060" t="n">
        <v>22035</v>
      </c>
      <c r="AC29" s="1060" t="n">
        <v>71165</v>
      </c>
      <c r="AD29" s="1060" t="n">
        <v>22035</v>
      </c>
      <c r="AE29" s="1060" t="n">
        <v>22035</v>
      </c>
      <c r="AF29" s="1060" t="n">
        <v>20974</v>
      </c>
      <c r="AG29" s="1060" t="n">
        <v>22835</v>
      </c>
      <c r="AH29" s="1060" t="n">
        <v>22835</v>
      </c>
      <c r="AI29" s="1060" t="n">
        <v>60083</v>
      </c>
      <c r="AJ29" s="1060" t="n">
        <v>25338</v>
      </c>
      <c r="AK29" s="1060" t="n">
        <v>22835</v>
      </c>
      <c r="AL29" s="1060" t="n">
        <v>26637</v>
      </c>
      <c r="AM29" s="1060" t="n"/>
    </row>
    <row r="30" ht="18" customHeight="1" s="186">
      <c r="A30" s="1013" t="n"/>
      <c r="B30" s="1019" t="inlineStr">
        <is>
          <t>厚年負担金等</t>
        </is>
      </c>
      <c r="C30" s="1081">
        <f>IF(C$2&lt;=締月,'差引簿集計（長）'!C27,AA30)</f>
        <v>0</v>
      </c>
      <c r="D30" s="1081">
        <f>IF(D$2&lt;=締月,'差引簿集計（長）'!D27,AB30)</f>
        <v>0</v>
      </c>
      <c r="E30" s="1081">
        <f>IF(E$2&lt;=締月,'差引簿集計（長）'!E27,AC30)</f>
        <v>74178</v>
      </c>
      <c r="F30" s="1081">
        <f>IF(F$2&lt;=締月,'差引簿集計（長）'!F27,AD30)</f>
        <v>37089</v>
      </c>
      <c r="G30" s="1081">
        <f>IF(G$2&lt;=締月,'差引簿集計（長）'!G27,AE30)</f>
        <v>119541</v>
      </c>
      <c r="H30" s="1081">
        <f>IF(H$2&lt;=締月,'差引簿集計（長）'!H27,AF30)</f>
        <v>37089</v>
      </c>
      <c r="I30" s="1081">
        <f>IF(I$2&lt;=締月,'差引簿集計（長）'!I27,AG30)</f>
        <v>37089</v>
      </c>
      <c r="J30" s="1081">
        <f>IF(J$2&lt;=締月,'差引簿集計（長）'!J27,AH30)</f>
        <v>0</v>
      </c>
      <c r="K30" s="1081">
        <f>IF(K$2&lt;=締月,'差引簿集計（長）'!K27,AI30)</f>
        <v>37089</v>
      </c>
      <c r="L30" s="1082">
        <f>IF(L$2&lt;=締月,'差引簿集計（長）'!L27,AJ30)</f>
        <v>37089</v>
      </c>
      <c r="M30" s="1082">
        <f>IF(M$2&lt;=締月,'差引簿集計（長）'!M27,AK30)</f>
        <v>96147</v>
      </c>
      <c r="N30" s="1082">
        <f>IF(N$2&lt;=締月,'差引簿集計（長）'!N27,AL30)</f>
        <v>78076</v>
      </c>
      <c r="O30" s="1082">
        <f>IF(O$2&lt;=締月,'差引簿集計（長）'!O27,AM30)</f>
        <v>37469</v>
      </c>
      <c r="P30" s="995">
        <f>SUM(C30:O30)</f>
        <v>590856</v>
      </c>
      <c r="Q30" s="992" t="n"/>
      <c r="R30" s="992" t="n"/>
      <c r="S30" s="992" t="n"/>
      <c r="T30" s="992" t="n"/>
      <c r="V30" s="987">
        <f>SUMIF($C$2:$N$2,"&lt;="&amp;締月,C30:N30)</f>
        <v>267897</v>
      </c>
      <c r="X30" s="1059" t="n">
        <v>1</v>
      </c>
      <c r="AA30" s="1060" t="n">
        <v>0</v>
      </c>
      <c r="AB30" s="1060" t="n">
        <v>0</v>
      </c>
      <c r="AC30" s="1060" t="n">
        <v>74178</v>
      </c>
      <c r="AD30" s="1060" t="n">
        <v>37089</v>
      </c>
      <c r="AE30" s="1060" t="n">
        <v>119541</v>
      </c>
      <c r="AF30" s="1060" t="n">
        <v>37089</v>
      </c>
      <c r="AG30" s="1060" t="n">
        <v>37089</v>
      </c>
      <c r="AH30" s="1060" t="n">
        <v>0</v>
      </c>
      <c r="AI30" s="1060" t="n">
        <v>37089</v>
      </c>
      <c r="AJ30" s="1060" t="n">
        <v>37089</v>
      </c>
      <c r="AK30" s="1060" t="n">
        <v>96147</v>
      </c>
      <c r="AL30" s="1060" t="n">
        <v>78076</v>
      </c>
      <c r="AM30" s="1060" t="n">
        <v>37469</v>
      </c>
    </row>
    <row r="31" ht="18" customHeight="1" s="186">
      <c r="A31" s="1013" t="n"/>
      <c r="B31" s="993" t="inlineStr">
        <is>
          <t>労災・雇用保険料</t>
        </is>
      </c>
      <c r="C31" s="1099">
        <f>IF(C$2&lt;=締月,'差引簿集計（長）'!C28,AA31)</f>
        <v>0</v>
      </c>
      <c r="D31" s="1099">
        <f>IF(D$2&lt;=締月,'差引簿集計（長）'!D28,AB31)</f>
        <v>0</v>
      </c>
      <c r="E31" s="1099">
        <f>IF(E$2&lt;=締月,'差引簿集計（長）'!E28,AC31)</f>
        <v>0</v>
      </c>
      <c r="F31" s="1081">
        <f>IF(F$2&lt;=締月,'差引簿集計（長）'!F28,AD31)</f>
        <v>71152</v>
      </c>
      <c r="G31" s="1099">
        <f>IF(G$2&lt;=締月,'差引簿集計（長）'!G28,AE31)</f>
        <v>0</v>
      </c>
      <c r="H31" s="1099">
        <f>IF(H$2&lt;=締月,'差引簿集計（長）'!H28,AF31)</f>
        <v>0</v>
      </c>
      <c r="I31" s="1099">
        <f>IF(I$2&lt;=締月,'差引簿集計（長）'!I28,AG31)</f>
        <v>0</v>
      </c>
      <c r="J31" s="1099">
        <f>IF(J$2&lt;=締月,'差引簿集計（長）'!J28,AH31)</f>
        <v>0</v>
      </c>
      <c r="K31" s="1099">
        <f>IF(K$2&lt;=締月,'差引簿集計（長）'!K28,AI31)</f>
        <v>0</v>
      </c>
      <c r="L31" s="1099">
        <f>IF(L$2&lt;=締月,'差引簿集計（長）'!L28,AJ31)</f>
        <v>0</v>
      </c>
      <c r="M31" s="1099">
        <f>IF(M$2&lt;=締月,'差引簿集計（長）'!M28,AK31)</f>
        <v>0</v>
      </c>
      <c r="N31" s="1099">
        <f>IF(N$2&lt;=締月,'差引簿集計（長）'!N28,AL31)</f>
        <v>0</v>
      </c>
      <c r="O31" s="1099">
        <f>IF(O$2&lt;=締月,'差引簿集計（長）'!O28,AM31)</f>
        <v>0</v>
      </c>
      <c r="P31" s="995">
        <f>SUM(C31:O31)</f>
        <v>71152</v>
      </c>
      <c r="Q31" s="1021" t="n"/>
      <c r="R31" s="1021" t="n"/>
      <c r="S31" s="1021" t="n"/>
      <c r="T31" s="1021" t="n"/>
      <c r="V31" s="987">
        <f>SUMIF($C$2:$N$2,"&lt;="&amp;締月,C31:N31)</f>
        <v>71152</v>
      </c>
      <c r="X31" s="1059" t="n">
        <v>1</v>
      </c>
      <c r="AA31" s="1060" t="n"/>
      <c r="AB31" s="1060" t="n"/>
      <c r="AC31" s="1060" t="n"/>
      <c r="AD31" s="1060" t="n">
        <v>71152</v>
      </c>
      <c r="AE31" s="1060" t="n"/>
      <c r="AF31" s="1060" t="n"/>
      <c r="AG31" s="1060" t="n"/>
      <c r="AH31" s="1060" t="n"/>
      <c r="AI31" s="1060" t="n"/>
      <c r="AJ31" s="1060" t="n"/>
      <c r="AK31" s="1060" t="n"/>
      <c r="AL31" s="1060" t="n"/>
      <c r="AM31" s="1060" t="n"/>
    </row>
    <row r="32" ht="18" customHeight="1" s="186">
      <c r="A32" s="1013" t="n"/>
      <c r="B32" s="1100" t="inlineStr">
        <is>
          <t>県社保協会費</t>
        </is>
      </c>
      <c r="C32" s="1087">
        <f>IF(C$2&lt;=締月,'差引簿集計（長）'!C29,AA32)</f>
        <v>0</v>
      </c>
      <c r="D32" s="1087">
        <f>IF(D$2&lt;=締月,'差引簿集計（長）'!D29,AB32)</f>
        <v>520</v>
      </c>
      <c r="E32" s="1141">
        <f>IF(E$2&lt;=締月,'差引簿集計（長）'!E29,AC32)</f>
        <v>0</v>
      </c>
      <c r="F32" s="1141">
        <f>IF(F$2&lt;=締月,'差引簿集計（長）'!F29,AD32)</f>
        <v>0</v>
      </c>
      <c r="G32" s="1141">
        <f>IF(G$2&lt;=締月,'差引簿集計（長）'!G29,AE32)</f>
        <v>0</v>
      </c>
      <c r="H32" s="1141">
        <f>IF(H$2&lt;=締月,'差引簿集計（長）'!H29,AF32)</f>
        <v>0</v>
      </c>
      <c r="I32" s="1141">
        <f>IF(I$2&lt;=締月,'差引簿集計（長）'!I29,AG32)</f>
        <v>0</v>
      </c>
      <c r="J32" s="1141">
        <f>IF(J$2&lt;=締月,'差引簿集計（長）'!J29,AH32)</f>
        <v>0</v>
      </c>
      <c r="K32" s="1141">
        <f>IF(K$2&lt;=締月,'差引簿集計（長）'!K29,AI32)</f>
        <v>0</v>
      </c>
      <c r="L32" s="1141">
        <f>IF(L$2&lt;=締月,'差引簿集計（長）'!L29,AJ32)</f>
        <v>0</v>
      </c>
      <c r="M32" s="1141">
        <f>IF(M$2&lt;=締月,'差引簿集計（長）'!M29,AK32)</f>
        <v>0</v>
      </c>
      <c r="N32" s="1141">
        <f>IF(N$2&lt;=締月,'差引簿集計（長）'!N29,AL32)</f>
        <v>0</v>
      </c>
      <c r="O32" s="1141">
        <f>IF(O$2&lt;=締月,'差引簿集計（長）'!O29,AM32)</f>
        <v>0</v>
      </c>
      <c r="P32" s="999">
        <f>SUM(C32:O32)</f>
        <v>520</v>
      </c>
      <c r="Q32" s="1070" t="n">
        <v>1000</v>
      </c>
      <c r="R32" s="1104" t="n"/>
      <c r="S32" s="999">
        <f>SUM(Q32:R32)</f>
        <v>1000</v>
      </c>
      <c r="T32" s="999">
        <f>S32-P32</f>
        <v>480</v>
      </c>
      <c r="V32" s="987">
        <f>SUMIF($C$2:$N$2,"&lt;="&amp;締月,C32:N32)</f>
        <v>520</v>
      </c>
      <c r="W32" s="987">
        <f>S32-V32</f>
        <v>480</v>
      </c>
      <c r="X32" s="1059" t="n">
        <v>1</v>
      </c>
      <c r="AA32" s="1060" t="n">
        <v>0</v>
      </c>
      <c r="AB32" s="1060" t="n">
        <v>520</v>
      </c>
      <c r="AC32" s="1060" t="n"/>
      <c r="AD32" s="1060" t="n"/>
      <c r="AE32" s="1060" t="n"/>
      <c r="AF32" s="1060" t="n"/>
      <c r="AG32" s="1060" t="n"/>
      <c r="AH32" s="1060" t="n"/>
      <c r="AI32" s="1060" t="n"/>
      <c r="AJ32" s="1060" t="n"/>
      <c r="AK32" s="1060" t="n"/>
      <c r="AL32" s="1060" t="n"/>
      <c r="AM32" s="1060" t="n"/>
    </row>
    <row r="33" ht="18" customHeight="1" s="186">
      <c r="A33" s="1024" t="n"/>
      <c r="B33" s="1001" t="inlineStr">
        <is>
          <t>計</t>
        </is>
      </c>
      <c r="C33" s="1002">
        <f>SUM(C26:C32)</f>
        <v>22501</v>
      </c>
      <c r="D33" s="1002">
        <f>SUM(D26:D32)</f>
        <v>23021</v>
      </c>
      <c r="E33" s="1002">
        <f>SUM(E26:E32)</f>
        <v>145809</v>
      </c>
      <c r="F33" s="1002">
        <f>SUM(F26:F32)</f>
        <v>130742</v>
      </c>
      <c r="G33" s="1002">
        <f>SUM(G26:G32)</f>
        <v>142042</v>
      </c>
      <c r="H33" s="1002">
        <f>SUM(H26:H32)</f>
        <v>58529</v>
      </c>
      <c r="I33" s="1002">
        <f>SUM(I26:I32)</f>
        <v>60459</v>
      </c>
      <c r="J33" s="1002">
        <f>SUM(J26:J32)</f>
        <v>23370</v>
      </c>
      <c r="K33" s="1002">
        <f>SUM(K26:K32)</f>
        <v>97707</v>
      </c>
      <c r="L33" s="1002">
        <f>SUM(L26:L32)</f>
        <v>63152</v>
      </c>
      <c r="M33" s="1002">
        <f>SUM(M26:M32)</f>
        <v>119536</v>
      </c>
      <c r="N33" s="1002">
        <f>SUM(N26:N32)</f>
        <v>105267</v>
      </c>
      <c r="O33" s="1002">
        <f>SUM(O26:O32)</f>
        <v>37469</v>
      </c>
      <c r="P33" s="985">
        <f>SUM(P26:P32)</f>
        <v>1029604</v>
      </c>
      <c r="Q33" s="985">
        <f>SUM(Q26:Q32)</f>
        <v>1156000</v>
      </c>
      <c r="R33" s="1008" t="n"/>
      <c r="S33" s="1008">
        <f>SUM(Q33:R33)</f>
        <v>1156000</v>
      </c>
      <c r="T33" s="999">
        <f>S33-P33</f>
        <v>126396</v>
      </c>
      <c r="V33" s="1003">
        <f>SUMIF($C$2:$N$2,"&lt;="&amp;締月,C33:N33)</f>
        <v>522644</v>
      </c>
      <c r="W33" s="1003">
        <f>S33-V33</f>
        <v>633356</v>
      </c>
    </row>
    <row r="34" ht="18" customHeight="1" s="186">
      <c r="A34" s="983" t="inlineStr">
        <is>
          <t>連合会分担金</t>
        </is>
      </c>
      <c r="B34" s="983" t="n"/>
      <c r="C34" s="1105">
        <f>IF(C$2&lt;=締月,'差引簿集計（長）'!C18,AA34)</f>
        <v>0</v>
      </c>
      <c r="D34" s="1105">
        <f>IF(D$2&lt;=締月,'差引簿集計（長）'!D18,AB34)</f>
        <v>0</v>
      </c>
      <c r="E34" s="1105">
        <f>IF(E$2&lt;=締月,'差引簿集計（長）'!E18,AC34)</f>
        <v>0</v>
      </c>
      <c r="F34" s="1105">
        <f>IF(F$2&lt;=締月,'差引簿集計（長）'!F18,AD34)</f>
        <v>0</v>
      </c>
      <c r="G34" s="1105">
        <f>IF(G$2&lt;=締月,'差引簿集計（長）'!G18,AE34)</f>
        <v>0</v>
      </c>
      <c r="H34" s="1105">
        <f>IF(H$2&lt;=締月,'差引簿集計（長）'!H18,AF34)</f>
        <v>0</v>
      </c>
      <c r="I34" s="1105">
        <f>IF(I$2&lt;=締月,'差引簿集計（長）'!I18,AG34)</f>
        <v>0</v>
      </c>
      <c r="J34" s="1105">
        <f>IF(J$2&lt;=締月,'差引簿集計（長）'!J18,AH34)</f>
        <v>0</v>
      </c>
      <c r="K34" s="1105">
        <f>IF(K$2&lt;=締月,'差引簿集計（長）'!K18,AI34)</f>
        <v>0</v>
      </c>
      <c r="L34" s="1105">
        <f>IF(L$2&lt;=締月,'差引簿集計（長）'!L18,AJ34)</f>
        <v>0</v>
      </c>
      <c r="M34" s="1105">
        <f>IF(M$2&lt;=締月,'差引簿集計（長）'!M18,AK34)</f>
        <v>0</v>
      </c>
      <c r="N34" s="1105">
        <f>IF(N$2&lt;=締月,'差引簿集計（長）'!N18,AL34)</f>
        <v>0</v>
      </c>
      <c r="O34" s="1105">
        <f>IF(O$2&lt;=締月,'差引簿集計（長）'!O18,AM34)</f>
        <v>0</v>
      </c>
      <c r="P34" s="985">
        <f>SUM(C34:O34)</f>
        <v>0</v>
      </c>
      <c r="Q34" s="1058" t="n">
        <v>0</v>
      </c>
      <c r="R34" s="1058" t="n"/>
      <c r="S34" s="985">
        <f>SUM(Q34:R34)</f>
        <v>0</v>
      </c>
      <c r="T34" s="1071">
        <f>S34-P34</f>
        <v>0</v>
      </c>
      <c r="V34" s="987">
        <f>SUMIF($C$2:$N$2,"&lt;="&amp;締月,C34:N34)</f>
        <v>0</v>
      </c>
      <c r="W34" s="987">
        <f>S34-V34</f>
        <v>0</v>
      </c>
      <c r="X34" s="1059" t="n">
        <v>1</v>
      </c>
      <c r="AA34" s="1060" t="n"/>
      <c r="AB34" s="1060" t="n"/>
      <c r="AC34" s="1060" t="n"/>
      <c r="AD34" s="1060" t="n"/>
      <c r="AE34" s="1060" t="n"/>
      <c r="AF34" s="1060" t="n"/>
      <c r="AG34" s="1060" t="n"/>
      <c r="AH34" s="1060" t="n"/>
      <c r="AI34" s="1060" t="n"/>
      <c r="AJ34" s="1060" t="n"/>
      <c r="AK34" s="1060" t="n"/>
      <c r="AL34" s="1060" t="n"/>
      <c r="AM34" s="1060" t="n"/>
    </row>
    <row r="35" ht="18" customHeight="1" s="186">
      <c r="A35" s="1025" t="inlineStr">
        <is>
          <t>事務費負担金払込金</t>
        </is>
      </c>
      <c r="B35" s="979" t="n"/>
      <c r="C35" s="1105">
        <f>IF(C$2&lt;=締月,'差引簿集計（長）'!C30,AA35)</f>
        <v>0</v>
      </c>
      <c r="D35" s="1057">
        <f>IF(D$2&lt;=締月,'差引簿集計（長）'!D30,AB35)</f>
        <v>5366000</v>
      </c>
      <c r="E35" s="1057">
        <f>IF(E$2&lt;=締月,'差引簿集計（長）'!E30,AC35)</f>
        <v>5366000</v>
      </c>
      <c r="F35" s="1057">
        <f>IF(F$2&lt;=締月,'差引簿集計（長）'!F30,AD35)</f>
        <v>5366000</v>
      </c>
      <c r="G35" s="1057">
        <f>IF(G$2&lt;=締月,'差引簿集計（長）'!G30,AE35)</f>
        <v>5366000</v>
      </c>
      <c r="H35" s="1057">
        <f>IF(H$2&lt;=締月,'差引簿集計（長）'!H30,AF35)</f>
        <v>5366000</v>
      </c>
      <c r="I35" s="1057">
        <f>IF(I$2&lt;=締月,'差引簿集計（長）'!I30,AG35)</f>
        <v>4513000</v>
      </c>
      <c r="J35" s="1057">
        <f>IF(J$2&lt;=締月,'差引簿集計（長）'!J30,AH35)</f>
        <v>4513000</v>
      </c>
      <c r="K35" s="1057">
        <f>IF(K$2&lt;=締月,'差引簿集計（長）'!K30,AI35)</f>
        <v>4513000</v>
      </c>
      <c r="L35" s="1057">
        <f>IF(L$2&lt;=締月,'差引簿集計（長）'!L30,AJ35)</f>
        <v>4513000</v>
      </c>
      <c r="M35" s="1057">
        <f>IF(M$2&lt;=締月,'差引簿集計（長）'!M30,AK35)</f>
        <v>4513000</v>
      </c>
      <c r="N35" s="1057">
        <f>IF(N$2&lt;=締月,'差引簿集計（長）'!N30,AL35)</f>
        <v>9023000</v>
      </c>
      <c r="O35" s="1057">
        <f>IF(O$2&lt;=締月,'差引簿集計（長）'!O30,AM35)</f>
        <v>0</v>
      </c>
      <c r="P35" s="985">
        <f>SUM(C35:O35)</f>
        <v>58418000</v>
      </c>
      <c r="Q35" s="1058" t="n">
        <v>64386000</v>
      </c>
      <c r="R35" s="1058" t="n"/>
      <c r="S35" s="985">
        <f>SUM(Q35:R35)</f>
        <v>64386000</v>
      </c>
      <c r="T35" s="999">
        <f>S35-P35</f>
        <v>5968000</v>
      </c>
      <c r="V35" s="987">
        <f>SUMIF($C$2:$N$2,"&lt;="&amp;締月,C35:N35)</f>
        <v>26830000</v>
      </c>
      <c r="W35" s="987">
        <f>S35-V35</f>
        <v>37556000</v>
      </c>
      <c r="X35" s="1059" t="n">
        <v>1</v>
      </c>
      <c r="AA35" s="1060" t="n"/>
      <c r="AB35" s="1060" t="n">
        <v>5366000</v>
      </c>
      <c r="AC35" s="1060" t="n">
        <v>5366000</v>
      </c>
      <c r="AD35" s="1060" t="n">
        <v>5366000</v>
      </c>
      <c r="AE35" s="1060" t="n">
        <v>5366000</v>
      </c>
      <c r="AF35" s="1060" t="n">
        <v>5366000</v>
      </c>
      <c r="AG35" s="1060" t="n">
        <v>4513000</v>
      </c>
      <c r="AH35" s="1060" t="n">
        <v>4513000</v>
      </c>
      <c r="AI35" s="1060" t="n">
        <v>4513000</v>
      </c>
      <c r="AJ35" s="1060" t="n">
        <v>4513000</v>
      </c>
      <c r="AK35" s="1060" t="n">
        <v>4513000</v>
      </c>
      <c r="AL35" s="1060" t="n">
        <v>9023000</v>
      </c>
      <c r="AM35" s="1060" t="n">
        <v>0</v>
      </c>
    </row>
    <row r="36" ht="18" customHeight="1" s="186">
      <c r="A36" s="983" t="inlineStr">
        <is>
          <t>雑費</t>
        </is>
      </c>
      <c r="B36" s="983" t="n"/>
      <c r="C36" s="1105">
        <f>IF(C$2&lt;=締月,'差引簿集計（長）'!C31,AA36)</f>
        <v>0</v>
      </c>
      <c r="D36" s="1105">
        <f>IF(D$2&lt;=締月,'差引簿集計（長）'!D31,AB36)</f>
        <v>0</v>
      </c>
      <c r="E36" s="1105">
        <f>IF(E$2&lt;=締月,'差引簿集計（長）'!E31,AC36)</f>
        <v>0</v>
      </c>
      <c r="F36" s="1105">
        <f>IF(F$2&lt;=締月,'差引簿集計（長）'!F31,AD36)</f>
        <v>0</v>
      </c>
      <c r="G36" s="1105">
        <f>IF(G$2&lt;=締月,'差引簿集計（長）'!G31,AE36)</f>
        <v>0</v>
      </c>
      <c r="H36" s="1105">
        <f>IF(H$2&lt;=締月,'差引簿集計（長）'!H31,AF36)</f>
        <v>0</v>
      </c>
      <c r="I36" s="1105">
        <f>IF(I$2&lt;=締月,'差引簿集計（長）'!I31,AG36)</f>
        <v>0</v>
      </c>
      <c r="J36" s="1105">
        <f>IF(J$2&lt;=締月,'差引簿集計（長）'!J31,AH36)</f>
        <v>0</v>
      </c>
      <c r="K36" s="1105">
        <f>IF(K$2&lt;=締月,'差引簿集計（長）'!K31,AI36)</f>
        <v>0</v>
      </c>
      <c r="L36" s="1105">
        <f>IF(L$2&lt;=締月,'差引簿集計（長）'!L31,AJ36)</f>
        <v>0</v>
      </c>
      <c r="M36" s="1105">
        <f>IF(M$2&lt;=締月,'差引簿集計（長）'!M31,AK36)</f>
        <v>0</v>
      </c>
      <c r="N36" s="1105">
        <f>IF(N$2&lt;=締月,'差引簿集計（長）'!N31,AL36)</f>
        <v>0</v>
      </c>
      <c r="O36" s="1105">
        <f>IF(O$2&lt;=締月,'差引簿集計（長）'!O31,AM36)</f>
        <v>0</v>
      </c>
      <c r="P36" s="985">
        <f>SUM(C36:O36)</f>
        <v>0</v>
      </c>
      <c r="Q36" s="1058" t="n">
        <v>0</v>
      </c>
      <c r="R36" s="1058" t="n"/>
      <c r="S36" s="985">
        <f>SUM(Q36:R36)</f>
        <v>0</v>
      </c>
      <c r="T36" s="999">
        <f>S36-P36</f>
        <v>0</v>
      </c>
      <c r="V36" s="987">
        <f>SUMIF($C$2:$N$2,"&lt;="&amp;締月,C36:N36)</f>
        <v>0</v>
      </c>
      <c r="W36" s="987">
        <f>S36-V36</f>
        <v>0</v>
      </c>
      <c r="X36" s="1059" t="n">
        <v>1</v>
      </c>
      <c r="AA36" s="1060" t="n"/>
      <c r="AB36" s="1060" t="n"/>
      <c r="AC36" s="1060" t="n"/>
      <c r="AD36" s="1060" t="n"/>
      <c r="AE36" s="1060" t="n"/>
      <c r="AF36" s="1060" t="n"/>
      <c r="AG36" s="1060" t="n"/>
      <c r="AH36" s="1060" t="n"/>
      <c r="AI36" s="1060" t="n"/>
      <c r="AJ36" s="1060" t="n"/>
      <c r="AK36" s="1060" t="n"/>
      <c r="AL36" s="1060" t="n"/>
      <c r="AM36" s="1060" t="n"/>
    </row>
    <row r="37" ht="18" customHeight="1" s="186">
      <c r="A37" s="983" t="inlineStr">
        <is>
          <t>減価償却費</t>
        </is>
      </c>
      <c r="B37" s="983" t="n"/>
      <c r="C37" s="1105">
        <f>IF(C$2&lt;=締月,'差引簿集計（長）'!C32,AA37)</f>
        <v>0</v>
      </c>
      <c r="D37" s="1105">
        <f>IF(D$2&lt;=締月,'差引簿集計（長）'!D32,AB37)</f>
        <v>0</v>
      </c>
      <c r="E37" s="1105">
        <f>IF(E$2&lt;=締月,'差引簿集計（長）'!E32,AC37)</f>
        <v>0</v>
      </c>
      <c r="F37" s="1105">
        <f>IF(F$2&lt;=締月,'差引簿集計（長）'!F32,AD37)</f>
        <v>0</v>
      </c>
      <c r="G37" s="1105">
        <f>IF(G$2&lt;=締月,'差引簿集計（長）'!G32,AE37)</f>
        <v>0</v>
      </c>
      <c r="H37" s="1105">
        <f>IF(H$2&lt;=締月,'差引簿集計（長）'!H32,AF37)</f>
        <v>0</v>
      </c>
      <c r="I37" s="1105">
        <f>IF(I$2&lt;=締月,'差引簿集計（長）'!I32,AG37)</f>
        <v>0</v>
      </c>
      <c r="J37" s="1105">
        <f>IF(J$2&lt;=締月,'差引簿集計（長）'!J32,AH37)</f>
        <v>0</v>
      </c>
      <c r="K37" s="1105">
        <f>IF(K$2&lt;=締月,'差引簿集計（長）'!K32,AI37)</f>
        <v>0</v>
      </c>
      <c r="L37" s="1105">
        <f>IF(L$2&lt;=締月,'差引簿集計（長）'!L32,AJ37)</f>
        <v>0</v>
      </c>
      <c r="M37" s="1105">
        <f>IF(M$2&lt;=締月,'差引簿集計（長）'!M32,AK37)</f>
        <v>0</v>
      </c>
      <c r="N37" s="1105">
        <f>IF(N$2&lt;=締月,'差引簿集計（長）'!N32,AL37)</f>
        <v>0</v>
      </c>
      <c r="O37" s="1105">
        <f>IF(O$2&lt;=締月,'差引簿集計（長）'!O32,AM37)</f>
        <v>0</v>
      </c>
      <c r="P37" s="985">
        <f>SUM(C37:O37)</f>
        <v>0</v>
      </c>
      <c r="Q37" s="1058" t="n">
        <v>0</v>
      </c>
      <c r="R37" s="1058" t="n"/>
      <c r="S37" s="1106">
        <f>SUM(Q37:R37)</f>
        <v>0</v>
      </c>
      <c r="T37" s="999">
        <f>S37-P37</f>
        <v>0</v>
      </c>
      <c r="U37" s="1026" t="inlineStr">
        <is>
          <t>検算</t>
        </is>
      </c>
      <c r="V37" s="987">
        <f>SUMIF($C$2:$N$2,"&lt;="&amp;締月,C37:N37)</f>
        <v>0</v>
      </c>
      <c r="W37" s="987">
        <f>S37-V37</f>
        <v>0</v>
      </c>
      <c r="X37" s="1059" t="n">
        <v>1</v>
      </c>
      <c r="AA37" s="1060" t="n"/>
      <c r="AB37" s="1060" t="n"/>
      <c r="AC37" s="1060" t="n"/>
      <c r="AD37" s="1060" t="n"/>
      <c r="AE37" s="1060" t="n"/>
      <c r="AF37" s="1060" t="n"/>
      <c r="AG37" s="1060" t="n"/>
      <c r="AH37" s="1060" t="n"/>
      <c r="AI37" s="1060" t="n"/>
      <c r="AJ37" s="1060" t="n"/>
      <c r="AK37" s="1060" t="n"/>
      <c r="AL37" s="1060" t="n"/>
      <c r="AM37" s="1060" t="n"/>
    </row>
    <row r="38" ht="18" customHeight="1" s="186">
      <c r="A38" s="978" t="inlineStr">
        <is>
          <t>合　　　計</t>
        </is>
      </c>
      <c r="B38" s="978" t="n"/>
      <c r="C38" s="1002">
        <f>SUM(C4+C9+C10+C11+C18+C19+C20+C21+C22+C23+C24+C25+C33+C34+C35+C36+C37)</f>
        <v>412079</v>
      </c>
      <c r="D38" s="1002">
        <f>SUM(D4+D9+D10+D11+D18+D19+D20+D21+D22+D23+D24+D25+D33+D34+D35+D36+D37)</f>
        <v>6019213</v>
      </c>
      <c r="E38" s="1002">
        <f>SUM(E4+E9+E10+E11+E18+E19+E20+E21+E22+E23+E24+E25+E33+E34+E35+E36+E37)</f>
        <v>6989919</v>
      </c>
      <c r="F38" s="1002">
        <f>SUM(F4+F9+F10+F11+F18+F19+F20+F21+F22+F23+F24+F25+F33+F34+F35+F36+F37)</f>
        <v>7671974</v>
      </c>
      <c r="G38" s="1002">
        <f>SUM(G4+G9+G10+G11+G18+G19+G20+G21+G22+G23+G24+G25+G33+G34+G35+G36+G37)</f>
        <v>7267746</v>
      </c>
      <c r="H38" s="1002">
        <f>SUM(H4+H9+H10+H11+H18+H19+H20+H21+H22+H23+H24+H25+H33+H34+H35+H36+H37)</f>
        <v>6563868</v>
      </c>
      <c r="I38" s="1002">
        <f>SUM(I4+I9+I10+I11+I18+I19+I20+I21+I22+I23+I24+I25+I33+I34+I35+I36+I37)</f>
        <v>5598151</v>
      </c>
      <c r="J38" s="1002">
        <f>SUM(J4+J9+J10+J11+J18+J19+J20+J21+J22+J23+J24+J25+J33+J34+J35+J36+J37)</f>
        <v>6657637</v>
      </c>
      <c r="K38" s="1002">
        <f>SUM(K4+K9+K10+K11+K18+K19+K20+K21+K22+K23+K24+K25+K33+K34+K35+K36+K37)</f>
        <v>6162473</v>
      </c>
      <c r="L38" s="1002">
        <f>SUM(L4+L9+L10+L11+L18+L19+L20+L21+L22+L23+L24+L25+L33+L34+L35+L36+L37)</f>
        <v>6712949</v>
      </c>
      <c r="M38" s="1002">
        <f>SUM(M4+M9+M10+M11+M18+M19+M20+M21+M22+M23+M24+M25+M33+M34+M35+M36+M37)</f>
        <v>6080259</v>
      </c>
      <c r="N38" s="1002">
        <f>SUM(N4+N9+N10+N11+N18+N19+N20+N21+N23+N24+N25+N33+N34+N35+N36+N37)</f>
        <v>10698750</v>
      </c>
      <c r="O38" s="1002">
        <f>SUM(O4+O9+O10+O11+O18+O19+O20+O21+O23+O24+O25+O33+O34+O35+O36+O37)</f>
        <v>784007</v>
      </c>
      <c r="P38" s="1002">
        <f>SUM(P4+P9+P10+P11+P18+P19+P20+P21+P23+P24+P25+P33+P34+P35+P36+P37)</f>
        <v>77619025</v>
      </c>
      <c r="Q38" s="1002">
        <f>SUM(Q4+Q9+Q10+Q11+Q18+Q19+Q20+Q21+Q23+Q24+Q25+Q33+Q34+Q35+Q36+Q37)</f>
        <v>87282000</v>
      </c>
      <c r="R38" s="1002">
        <f>SUM(R4+R9+R10+R11+R18+R19+R20+R21+R23+R24+R25+R33+R34+R35+R36+R37)</f>
        <v>0</v>
      </c>
      <c r="S38" s="1002">
        <f>SUM(S4+S9+S10+S11+S18+S19+S20+S21+S23+S24+S25+S33+S34+S35+S36+S37)</f>
        <v>87282000</v>
      </c>
      <c r="T38" s="999">
        <f>S38-P38</f>
        <v>9662975</v>
      </c>
      <c r="U38" s="1002">
        <f>P38-Q38</f>
        <v>-9662975</v>
      </c>
      <c r="V38" s="1003">
        <f>SUMIF($C$2:$N$2,"&lt;="&amp;締月,C38:N38)</f>
        <v>34924799</v>
      </c>
      <c r="W38" s="1003">
        <f>S38-V38</f>
        <v>52357201</v>
      </c>
    </row>
    <row r="39" ht="18" customHeight="1" s="186">
      <c r="A39" s="1031" t="inlineStr">
        <is>
          <t>収益</t>
        </is>
      </c>
      <c r="B39" s="1032" t="n"/>
    </row>
    <row r="40" ht="18" customHeight="1" s="186">
      <c r="A40" s="978" t="inlineStr">
        <is>
          <t>区　　　分</t>
        </is>
      </c>
      <c r="B40" s="979" t="n"/>
      <c r="C40" s="978" t="inlineStr">
        <is>
          <t>４月</t>
        </is>
      </c>
      <c r="D40" s="978" t="inlineStr">
        <is>
          <t>５月</t>
        </is>
      </c>
      <c r="E40" s="978" t="inlineStr">
        <is>
          <t>６月</t>
        </is>
      </c>
      <c r="F40" s="978" t="inlineStr">
        <is>
          <t>７月</t>
        </is>
      </c>
      <c r="G40" s="978" t="inlineStr">
        <is>
          <t>８月</t>
        </is>
      </c>
      <c r="H40" s="978" t="inlineStr">
        <is>
          <t>９月</t>
        </is>
      </c>
      <c r="I40" s="978" t="inlineStr">
        <is>
          <t>１０月</t>
        </is>
      </c>
      <c r="J40" s="978" t="inlineStr">
        <is>
          <t>１１月</t>
        </is>
      </c>
      <c r="K40" s="978" t="inlineStr">
        <is>
          <t>１２月</t>
        </is>
      </c>
      <c r="L40" s="978" t="inlineStr">
        <is>
          <t>１月</t>
        </is>
      </c>
      <c r="M40" s="978" t="inlineStr">
        <is>
          <t>２月</t>
        </is>
      </c>
      <c r="N40" s="978" t="inlineStr">
        <is>
          <t>３月</t>
        </is>
      </c>
      <c r="O40" s="1108" t="inlineStr">
        <is>
          <t>長期繰入予定額</t>
        </is>
      </c>
      <c r="P40" s="978" t="inlineStr">
        <is>
          <t>収入済計</t>
        </is>
      </c>
      <c r="Q40" s="978" t="inlineStr">
        <is>
          <t>精算額</t>
        </is>
      </c>
      <c r="R40" s="978" t="inlineStr">
        <is>
          <t>精算返納額</t>
        </is>
      </c>
      <c r="S40" s="978" t="inlineStr">
        <is>
          <t>予算額</t>
        </is>
      </c>
      <c r="T40" s="978" t="inlineStr">
        <is>
          <t>予算現額</t>
        </is>
      </c>
    </row>
    <row r="41" ht="18" customHeight="1" s="186">
      <c r="A41" s="1033" t="inlineStr">
        <is>
          <t>地方公共団体負担金</t>
        </is>
      </c>
      <c r="B41" s="979" t="n"/>
      <c r="C41" s="1058" t="n">
        <v>4513000</v>
      </c>
      <c r="D41" s="1058" t="n">
        <v>4513000</v>
      </c>
      <c r="E41" s="1058" t="n">
        <v>5366000</v>
      </c>
      <c r="F41" s="1058" t="n">
        <v>7823000</v>
      </c>
      <c r="G41" s="1113" t="n">
        <v>4513000</v>
      </c>
      <c r="H41" s="1113" t="n">
        <v>4513000</v>
      </c>
      <c r="I41" s="1113" t="n">
        <v>4513000</v>
      </c>
      <c r="J41" s="1113" t="n">
        <v>4513000</v>
      </c>
      <c r="K41" s="1113" t="n">
        <v>4513000</v>
      </c>
      <c r="L41" s="1113" t="n">
        <v>4513000</v>
      </c>
      <c r="M41" s="1113" t="n">
        <v>4513000</v>
      </c>
      <c r="N41" s="1113" t="n">
        <v>4510000</v>
      </c>
      <c r="O41" s="1090" t="n"/>
      <c r="P41" s="1035">
        <f>SUM(C41:O41)</f>
        <v>58316000</v>
      </c>
      <c r="Q41" s="1038" t="n"/>
      <c r="R41" s="1058" t="n"/>
      <c r="S41" s="1036" t="n">
        <v>54153000</v>
      </c>
      <c r="T41" s="1002">
        <f>SUM(Q41:R41)</f>
        <v>0</v>
      </c>
      <c r="V41" s="987">
        <f>SUMIF($C$2:$N$2,"&lt;="&amp;締月,C41:N41)</f>
        <v>31241000</v>
      </c>
    </row>
    <row r="42" ht="18" customHeight="1" s="186">
      <c r="A42" s="1037" t="inlineStr">
        <is>
          <t>雑収入</t>
        </is>
      </c>
      <c r="B42" s="979" t="n"/>
      <c r="C42" s="1142" t="n"/>
      <c r="D42" s="1142" t="n"/>
      <c r="E42" s="1115" t="n"/>
      <c r="F42" s="1038" t="n"/>
      <c r="G42" s="1115" t="n"/>
      <c r="H42" s="1115" t="n"/>
      <c r="I42" s="1115" t="n"/>
      <c r="J42" s="1113" t="n"/>
      <c r="K42" s="1115" t="n"/>
      <c r="L42" s="1115" t="n"/>
      <c r="M42" s="1115" t="n"/>
      <c r="N42" s="1115" t="n">
        <v>75258</v>
      </c>
      <c r="O42" s="1142" t="n"/>
      <c r="P42" s="1035">
        <f>SUM(C42:O42)</f>
        <v>75258</v>
      </c>
      <c r="Q42" s="1143" t="n"/>
      <c r="R42" s="1144" t="n"/>
      <c r="S42" s="1038" t="n">
        <v>0</v>
      </c>
      <c r="T42" s="1002">
        <f>SUM(Q42:R42)</f>
        <v>0</v>
      </c>
      <c r="V42" s="987">
        <f>SUMIF($C$2:$N$2,"&lt;="&amp;締月,C42:N42)</f>
        <v>0</v>
      </c>
    </row>
    <row r="43" ht="18" customHeight="1" s="186">
      <c r="A43" s="1039" t="inlineStr">
        <is>
          <t>連合会交付金</t>
        </is>
      </c>
      <c r="B43" s="979" t="n"/>
      <c r="C43" s="1038" t="n">
        <v>0</v>
      </c>
      <c r="D43" s="1038" t="n">
        <v>4513000</v>
      </c>
      <c r="E43" s="1038" t="n">
        <v>5366000</v>
      </c>
      <c r="F43" s="1058" t="n">
        <v>5366000</v>
      </c>
      <c r="G43" s="1058" t="n">
        <v>5366000</v>
      </c>
      <c r="H43" s="1115" t="n">
        <v>5369148</v>
      </c>
      <c r="I43" s="1115" t="n">
        <v>0</v>
      </c>
      <c r="J43" s="1113" t="n">
        <v>-261410</v>
      </c>
      <c r="K43" s="1113" t="n">
        <v>0</v>
      </c>
      <c r="L43" s="1115" t="n">
        <v>0</v>
      </c>
      <c r="M43" s="1115" t="n">
        <v>0</v>
      </c>
      <c r="N43" s="1115" t="n">
        <v>0</v>
      </c>
      <c r="O43" s="1142" t="n"/>
      <c r="P43" s="1035">
        <f>SUM(C43:O43)</f>
        <v>25718738</v>
      </c>
      <c r="Q43" s="1143" t="n"/>
      <c r="R43" s="1144" t="n"/>
      <c r="S43" s="1038" t="n">
        <v>23147000</v>
      </c>
      <c r="T43" s="1002">
        <f>SUM(Q43:R43)</f>
        <v>0</v>
      </c>
      <c r="V43" s="987">
        <f>SUMIF($C$2:$N$2,"&lt;="&amp;締月,C43:N43)</f>
        <v>25980148</v>
      </c>
    </row>
    <row r="44" ht="18" customHeight="1" s="186">
      <c r="A44" s="1037" t="inlineStr">
        <is>
          <t>長期経理より繰入</t>
        </is>
      </c>
      <c r="B44" s="979" t="n"/>
      <c r="C44" s="1142" t="n"/>
      <c r="D44" s="1142" t="n"/>
      <c r="E44" s="1142" t="n"/>
      <c r="F44" s="1142" t="n"/>
      <c r="G44" s="1142" t="n"/>
      <c r="H44" s="1142" t="n"/>
      <c r="I44" s="1142" t="n"/>
      <c r="J44" s="1142" t="n"/>
      <c r="K44" s="1142" t="n"/>
      <c r="L44" s="1142" t="n"/>
      <c r="M44" s="1142" t="n"/>
      <c r="N44" s="1142" t="n"/>
      <c r="O44" s="1090" t="n"/>
      <c r="P44" s="1035">
        <f>SUM(C44:O44)</f>
        <v>0</v>
      </c>
      <c r="Q44" s="1038" t="n"/>
      <c r="R44" s="1058" t="n"/>
      <c r="S44" s="1038" t="n">
        <v>0</v>
      </c>
      <c r="T44" s="1002">
        <f>SUM(Q44:R44)</f>
        <v>0</v>
      </c>
      <c r="V44" s="987">
        <f>SUMIF($C$2:$N$2,"&lt;="&amp;締月,C44:N44)</f>
        <v>0</v>
      </c>
    </row>
    <row r="45" ht="18" customHeight="1" s="186">
      <c r="A45" s="1037" t="inlineStr">
        <is>
          <t>当期損失金</t>
        </is>
      </c>
      <c r="B45" s="979" t="n"/>
      <c r="C45" s="1145" t="n"/>
      <c r="D45" s="1145" t="n"/>
      <c r="E45" s="1145" t="n"/>
      <c r="F45" s="1145" t="n"/>
      <c r="G45" s="1145" t="n"/>
      <c r="H45" s="1145" t="n"/>
      <c r="I45" s="1145" t="n"/>
      <c r="J45" s="1145" t="n"/>
      <c r="K45" s="1145" t="n"/>
      <c r="L45" s="1145" t="n"/>
      <c r="M45" s="1145" t="n"/>
      <c r="N45" s="1145" t="n"/>
      <c r="O45" s="1146" t="n"/>
      <c r="P45" s="1035">
        <f>SUM(C45:O45)</f>
        <v>0</v>
      </c>
      <c r="Q45" s="1038" t="n"/>
      <c r="R45" s="1058" t="n"/>
      <c r="S45" s="1038" t="n">
        <v>0</v>
      </c>
      <c r="T45" s="1002">
        <f>SUM(Q45:R45)</f>
        <v>0</v>
      </c>
      <c r="V45" s="987">
        <f>SUMIF($C$2:$N$2,"&lt;="&amp;締月,C45:N45)</f>
        <v>0</v>
      </c>
    </row>
    <row r="46" ht="18" customHeight="1" s="186">
      <c r="A46" s="1040" t="inlineStr">
        <is>
          <t>合　　　計</t>
        </is>
      </c>
      <c r="B46" s="979" t="n"/>
      <c r="C46" s="1041">
        <f>SUM(C41+C42+C43+C44)</f>
        <v>4513000</v>
      </c>
      <c r="D46" s="1041">
        <f>SUM(D41+D42+D43+D44)</f>
        <v>9026000</v>
      </c>
      <c r="E46" s="1041">
        <f>SUM(E41+E42+E43+E44)</f>
        <v>10732000</v>
      </c>
      <c r="F46" s="1041">
        <f>SUM(F41+F42+F43+F44)</f>
        <v>13189000</v>
      </c>
      <c r="G46" s="1041">
        <f>SUM(G41+G42+G43+G44)</f>
        <v>9879000</v>
      </c>
      <c r="H46" s="1041">
        <f>SUM(H41+H42+H43+H44)</f>
        <v>9882148</v>
      </c>
      <c r="I46" s="1041">
        <f>SUM(I41+I42+I43+I44)</f>
        <v>4513000</v>
      </c>
      <c r="J46" s="1041">
        <f>SUM(J41+J42+J43+J44)</f>
        <v>4251590</v>
      </c>
      <c r="K46" s="1041">
        <f>SUM(K41+K42+K43+K44)</f>
        <v>4513000</v>
      </c>
      <c r="L46" s="1041">
        <f>SUM(L41+L42+L43+L44)</f>
        <v>4513000</v>
      </c>
      <c r="M46" s="1041">
        <f>SUM(M41+M42+M43+M44)</f>
        <v>4513000</v>
      </c>
      <c r="N46" s="1041">
        <f>SUM(N41+N42+N43+N44)</f>
        <v>4585258</v>
      </c>
      <c r="O46" s="1041">
        <f>SUM(O41+O42+O43+O44)</f>
        <v>0</v>
      </c>
      <c r="P46" s="1041">
        <f>SUM(P41+P42+P43+P44)</f>
        <v>84109996</v>
      </c>
      <c r="Q46" s="1041">
        <f>Q41+Q42+Q43+Q44+Q45</f>
        <v>0</v>
      </c>
      <c r="R46" s="1041">
        <f>R41+R42+R43+R44+R45</f>
        <v>0</v>
      </c>
      <c r="S46" s="1041">
        <f>S41+S42+S43+S44+S45</f>
        <v>77300000</v>
      </c>
      <c r="T46" s="1002">
        <f>SUM(T41:T45)</f>
        <v>0</v>
      </c>
      <c r="V46" s="1003">
        <f>SUMIF($C$2:$N$2,"&lt;="&amp;締月,C46:N46)</f>
        <v>57221148</v>
      </c>
    </row>
    <row r="47" ht="7.5" customHeight="1" s="186"/>
    <row r="48" ht="18" customHeight="1" s="186">
      <c r="A48" s="1045" t="inlineStr">
        <is>
          <t>収益－費用</t>
        </is>
      </c>
      <c r="B48" s="1046" t="n"/>
      <c r="C48" s="1047">
        <f>C46-C38</f>
        <v>4100921</v>
      </c>
      <c r="D48" s="1047">
        <f>D46-D38</f>
        <v>3006787</v>
      </c>
      <c r="E48" s="1047">
        <f>E46-E38</f>
        <v>3742081</v>
      </c>
      <c r="F48" s="1047">
        <f>F46-F38</f>
        <v>5517026</v>
      </c>
      <c r="G48" s="1047">
        <f>G46-G38</f>
        <v>2611254</v>
      </c>
      <c r="H48" s="1047">
        <f>H46-H38</f>
        <v>3318280</v>
      </c>
      <c r="I48" s="1047">
        <f>I46-I38</f>
        <v>-1085151</v>
      </c>
      <c r="J48" s="1047">
        <f>J46-J38</f>
        <v>-2406047</v>
      </c>
      <c r="K48" s="1047">
        <f>K46-K38</f>
        <v>-1649473</v>
      </c>
      <c r="L48" s="1047">
        <f>L46-L38</f>
        <v>-2199949</v>
      </c>
      <c r="M48" s="1047">
        <f>M46-M38</f>
        <v>-1567259</v>
      </c>
      <c r="N48" s="1047">
        <f>N46-N38</f>
        <v>-6113492</v>
      </c>
      <c r="O48" s="1047">
        <f>O46-O38</f>
        <v>-784007</v>
      </c>
      <c r="P48" s="1047">
        <f>P46-P38</f>
        <v>6490971</v>
      </c>
      <c r="Q48" s="1047">
        <f>Q46-Q38</f>
        <v>-87282000</v>
      </c>
      <c r="R48" s="1047">
        <f>R46-R38</f>
        <v>0</v>
      </c>
      <c r="S48" s="1047">
        <f>S46-S38</f>
        <v>-9982000</v>
      </c>
      <c r="T48" s="1047">
        <f>T46-T38</f>
        <v>-9662975</v>
      </c>
      <c r="V48" s="1003">
        <f>SUMIF($C$2:$N$2,"&lt;="&amp;締月,C48:N48)</f>
        <v>22296349</v>
      </c>
    </row>
    <row r="49" ht="27" customHeight="1" s="186"/>
    <row r="50" ht="18" customHeight="1" s="186">
      <c r="B50" s="1049" t="inlineStr">
        <is>
          <t>参考（職員給与）</t>
        </is>
      </c>
      <c r="C50" s="1026" t="inlineStr">
        <is>
          <t>４月支払</t>
        </is>
      </c>
      <c r="D50" s="1026" t="inlineStr">
        <is>
          <t>５月支払</t>
        </is>
      </c>
      <c r="E50" s="1026" t="inlineStr">
        <is>
          <t>６月支払</t>
        </is>
      </c>
      <c r="F50" s="1026" t="inlineStr">
        <is>
          <t>７月支払</t>
        </is>
      </c>
      <c r="G50" s="1026" t="inlineStr">
        <is>
          <t>８月支払</t>
        </is>
      </c>
      <c r="H50" s="1026" t="inlineStr">
        <is>
          <t>９月支払</t>
        </is>
      </c>
      <c r="I50" s="1026" t="inlineStr">
        <is>
          <t>１０月支払</t>
        </is>
      </c>
      <c r="J50" s="1026" t="inlineStr">
        <is>
          <t>１１月支払</t>
        </is>
      </c>
      <c r="K50" s="1026" t="inlineStr">
        <is>
          <t>１２月支払</t>
        </is>
      </c>
      <c r="L50" s="1026" t="inlineStr">
        <is>
          <t>１月支払</t>
        </is>
      </c>
      <c r="M50" s="1026" t="inlineStr">
        <is>
          <t>２月支払</t>
        </is>
      </c>
      <c r="N50" s="1026" t="inlineStr">
        <is>
          <t>３月支払</t>
        </is>
      </c>
      <c r="O50" s="1026" t="inlineStr">
        <is>
          <t>未払</t>
        </is>
      </c>
      <c r="Q50" s="1026" t="inlineStr">
        <is>
          <t>合計</t>
        </is>
      </c>
    </row>
    <row r="51" ht="18" customHeight="1" s="186">
      <c r="B51" s="1049" t="inlineStr">
        <is>
          <t>職員基本給</t>
        </is>
      </c>
      <c r="C51" s="768" t="n"/>
      <c r="D51" s="768" t="n"/>
      <c r="E51" s="768" t="n"/>
      <c r="F51" s="768" t="n"/>
      <c r="G51" s="768" t="n"/>
      <c r="H51" s="768" t="n"/>
      <c r="I51" s="768" t="n"/>
      <c r="J51" s="768" t="n"/>
      <c r="K51" s="768" t="n"/>
      <c r="L51" s="768" t="n"/>
      <c r="M51" s="768" t="n"/>
      <c r="N51" s="768" t="n"/>
      <c r="O51" s="768" t="n"/>
      <c r="P51" s="768" t="n"/>
      <c r="Q51" s="1043">
        <f>SUM(C51:O51)</f>
        <v>0</v>
      </c>
      <c r="R51" s="1051" t="n"/>
      <c r="S51" s="1051" t="n"/>
      <c r="T51" s="1051" t="n"/>
      <c r="V51" s="987">
        <f>SUMIF($C$2:$N$2,"&lt;="&amp;締月,C51:N51)</f>
        <v>0</v>
      </c>
    </row>
    <row r="52" ht="18" customHeight="1" s="186">
      <c r="B52" s="1052" t="inlineStr">
        <is>
          <t>基本給計</t>
        </is>
      </c>
      <c r="C52" s="1043">
        <f>SUM(C51:C51)</f>
        <v>0</v>
      </c>
      <c r="D52" s="1043">
        <f>SUM(D51:D51)</f>
        <v>0</v>
      </c>
      <c r="E52" s="1043">
        <f>SUM(E51:E51)</f>
        <v>0</v>
      </c>
      <c r="F52" s="1043">
        <f>SUM(F51:F51)</f>
        <v>0</v>
      </c>
      <c r="G52" s="1043">
        <f>SUM(G51:G51)</f>
        <v>0</v>
      </c>
      <c r="H52" s="1043">
        <f>SUM(H51:H51)</f>
        <v>0</v>
      </c>
      <c r="I52" s="1043">
        <f>SUM(I51:I51)</f>
        <v>0</v>
      </c>
      <c r="J52" s="1043">
        <f>SUM(J51:J51)</f>
        <v>0</v>
      </c>
      <c r="K52" s="1043">
        <f>SUM(K51:K51)</f>
        <v>0</v>
      </c>
      <c r="L52" s="1043">
        <f>SUM(L51:L51)</f>
        <v>0</v>
      </c>
      <c r="M52" s="1043">
        <f>SUM(M51:M51)</f>
        <v>0</v>
      </c>
      <c r="N52" s="1043">
        <f>SUM(N51:N51)</f>
        <v>0</v>
      </c>
      <c r="O52" s="1043">
        <f>SUM(O51:O51)</f>
        <v>0</v>
      </c>
      <c r="Q52" s="1043">
        <f>SUM(C52:O52)</f>
        <v>0</v>
      </c>
      <c r="V52" s="1003">
        <f>SUMIF($C$2:$N$2,"&lt;="&amp;締月,C52:N52)</f>
        <v>0</v>
      </c>
    </row>
    <row r="53" ht="18" customHeight="1" s="186">
      <c r="B53" s="1049" t="inlineStr">
        <is>
          <t>手当（賞与以外）</t>
        </is>
      </c>
      <c r="C53" s="1120" t="n">
        <v>0</v>
      </c>
      <c r="D53" s="1120" t="n">
        <v>0</v>
      </c>
      <c r="E53" s="1120" t="n">
        <v>0</v>
      </c>
      <c r="F53" s="1120" t="n">
        <v>0</v>
      </c>
      <c r="G53" s="1120" t="n">
        <v>0</v>
      </c>
      <c r="H53" s="1120" t="n">
        <v>0</v>
      </c>
      <c r="I53" s="1120" t="n">
        <v>0</v>
      </c>
      <c r="J53" s="1120" t="n">
        <v>0</v>
      </c>
      <c r="K53" s="1120" t="n">
        <v>0</v>
      </c>
      <c r="L53" s="1120" t="n">
        <v>0</v>
      </c>
      <c r="M53" s="1120" t="n">
        <v>0</v>
      </c>
      <c r="N53" s="1147" t="n">
        <v>0</v>
      </c>
      <c r="O53" s="1121" t="n"/>
      <c r="P53" s="768" t="n"/>
      <c r="Q53" s="1043">
        <f>SUM(C53:O53)</f>
        <v>0</v>
      </c>
      <c r="R53" s="1051" t="n"/>
      <c r="S53" s="1051" t="n"/>
      <c r="T53" s="1051" t="n"/>
      <c r="V53" s="987">
        <f>SUMIF($C$2:$N$2,"&lt;="&amp;締月,C53:N53)</f>
        <v>0</v>
      </c>
    </row>
    <row r="54" ht="18" customHeight="1" s="186">
      <c r="B54" s="1049" t="inlineStr">
        <is>
          <t>賞与</t>
        </is>
      </c>
      <c r="C54" s="1121" t="n"/>
      <c r="D54" s="768" t="n"/>
      <c r="E54" s="1120" t="n">
        <v>0</v>
      </c>
      <c r="F54" s="1121" t="n"/>
      <c r="G54" s="1121" t="n"/>
      <c r="H54" s="1121" t="n"/>
      <c r="I54" s="1121" t="n"/>
      <c r="J54" s="1121" t="n"/>
      <c r="K54" s="1120" t="n">
        <v>0</v>
      </c>
      <c r="L54" s="1121" t="n"/>
      <c r="M54" s="1121" t="n"/>
      <c r="N54" s="1121" t="n"/>
      <c r="O54" s="1121" t="n"/>
      <c r="P54" s="768" t="n"/>
      <c r="Q54" s="1043">
        <f>SUM(C54:O54)</f>
        <v>0</v>
      </c>
      <c r="R54" s="1051" t="n"/>
      <c r="S54" s="1051" t="n"/>
      <c r="T54" s="1051" t="n"/>
      <c r="V54" s="987">
        <f>SUMIF($C$2:$N$2,"&lt;="&amp;締月,C54:N54)</f>
        <v>0</v>
      </c>
    </row>
    <row r="55" ht="18" customHeight="1" s="186">
      <c r="B55" s="1052" t="inlineStr">
        <is>
          <t>手当計</t>
        </is>
      </c>
      <c r="C55" s="1043">
        <f>SUM(C53:C54)</f>
        <v>0</v>
      </c>
      <c r="D55" s="1043">
        <f>SUM(D53:D54)</f>
        <v>0</v>
      </c>
      <c r="E55" s="1043">
        <f>SUM(E53:E54)</f>
        <v>0</v>
      </c>
      <c r="F55" s="1043">
        <f>SUM(F53:F54)</f>
        <v>0</v>
      </c>
      <c r="G55" s="1043">
        <f>SUM(G53:G54)</f>
        <v>0</v>
      </c>
      <c r="H55" s="1043">
        <f>SUM(H53:H54)</f>
        <v>0</v>
      </c>
      <c r="I55" s="1043">
        <f>SUM(I53:I54)</f>
        <v>0</v>
      </c>
      <c r="J55" s="1043">
        <f>SUM(J53:J54)</f>
        <v>0</v>
      </c>
      <c r="K55" s="1043">
        <f>SUM(K53:K54)</f>
        <v>0</v>
      </c>
      <c r="L55" s="1043">
        <f>SUM(L53:L54)</f>
        <v>0</v>
      </c>
      <c r="M55" s="1043">
        <f>SUM(M53:M54)</f>
        <v>0</v>
      </c>
      <c r="N55" s="1043">
        <f>SUM(N53:N54)</f>
        <v>0</v>
      </c>
      <c r="O55" s="1043">
        <f>SUM(O53:O54)</f>
        <v>0</v>
      </c>
      <c r="Q55" s="1043">
        <f>SUM(C55:O55)</f>
        <v>0</v>
      </c>
      <c r="V55" s="1003">
        <f>SUMIF($C$2:$N$2,"&lt;="&amp;締月,C55:N55)</f>
        <v>0</v>
      </c>
    </row>
    <row r="56" ht="18" customHeight="1" s="186">
      <c r="B56" s="1049" t="inlineStr">
        <is>
          <t>嘱託報酬(通勤込み）</t>
        </is>
      </c>
      <c r="C56" s="1122">
        <f>IF(C$2&lt;=締月,'差引簿集計（長）'!C19-'差引簿集計（長）'!C20,AA56)</f>
        <v>380800</v>
      </c>
      <c r="D56" s="1122">
        <f>IF(D$2&lt;=締月,'差引簿集計（長）'!D19-'差引簿集計（長）'!D20,AB56)</f>
        <v>380800</v>
      </c>
      <c r="E56" s="1122">
        <f>IF(E$2&lt;=締月,'差引簿集計（長）'!E19-'差引簿集計（長）'!E20,AC56)</f>
        <v>380800</v>
      </c>
      <c r="F56" s="1122">
        <f>IF(F$2&lt;=締月,'差引簿集計（長）'!F19-'差引簿集計（長）'!F20,AD56)</f>
        <v>380800</v>
      </c>
      <c r="G56" s="1122">
        <f>IF(G$2&lt;=締月,'差引簿集計（長）'!G19-'差引簿集計（長）'!G20,AE56)</f>
        <v>380800</v>
      </c>
      <c r="H56" s="1122">
        <f>IF(H$2&lt;=締月,'差引簿集計（長）'!H19-'差引簿集計（長）'!H20,AF56)</f>
        <v>380800</v>
      </c>
      <c r="I56" s="1123">
        <f>IF(I$2&lt;=締月,'差引簿集計（長）'!I19-'差引簿集計（長）'!I20,AG56)</f>
        <v>381773</v>
      </c>
      <c r="J56" s="1123">
        <f>IF(J$2&lt;=締月,'差引簿集計（長）'!J19-'差引簿集計（長）'!J20,AH56)</f>
        <v>381773</v>
      </c>
      <c r="K56" s="1123">
        <f>IF(K$2&lt;=締月,'差引簿集計（長）'!K19-'差引簿集計（長）'!K20,AI56)</f>
        <v>548800</v>
      </c>
      <c r="L56" s="1123">
        <f>IF(L$2&lt;=締月,'差引簿集計（長）'!L19-'差引簿集計（長）'!L20,AJ56)</f>
        <v>395611</v>
      </c>
      <c r="M56" s="1123">
        <f>IF(M$2&lt;=締月,'差引簿集計（長）'!M19-'差引簿集計（長）'!M20,AK56)</f>
        <v>395611</v>
      </c>
      <c r="N56" s="1123">
        <f>IF(N$2&lt;=締月,'差引簿集計（長）'!N19-'差引簿集計（長）'!N20,AL56)</f>
        <v>464977</v>
      </c>
      <c r="O56" s="909">
        <f>IF(O$2&lt;=締月,'差引簿集計（長）'!O19-'差引簿集計（長）'!O20,AM56)</f>
        <v>0</v>
      </c>
      <c r="P56" s="768" t="n"/>
      <c r="Q56" s="1043">
        <f>SUM(C56:O56)</f>
        <v>4853345</v>
      </c>
      <c r="R56" s="1051" t="n"/>
      <c r="S56" s="1051" t="n"/>
      <c r="T56" s="1051" t="n"/>
      <c r="V56" s="987">
        <f>SUMIF($C$2:$N$2,"&lt;="&amp;締月,C56:N56)</f>
        <v>2284800</v>
      </c>
      <c r="X56" s="1059" t="n">
        <v>1</v>
      </c>
      <c r="AA56" s="1060" t="n">
        <v>380800</v>
      </c>
      <c r="AB56" s="1060" t="n">
        <v>380800</v>
      </c>
      <c r="AC56" s="1060" t="n">
        <v>380800</v>
      </c>
      <c r="AD56" s="1060" t="n">
        <v>380800</v>
      </c>
      <c r="AE56" s="1060" t="n">
        <v>380800</v>
      </c>
      <c r="AF56" s="1060" t="n">
        <v>380800</v>
      </c>
      <c r="AG56" s="1060" t="n">
        <v>381773</v>
      </c>
      <c r="AH56" s="1060" t="n">
        <v>381773</v>
      </c>
      <c r="AI56" s="1060" t="n">
        <v>548800</v>
      </c>
      <c r="AJ56" s="1060" t="n">
        <v>395611</v>
      </c>
      <c r="AK56" s="1060" t="n">
        <v>395611</v>
      </c>
      <c r="AL56" s="1060" t="n">
        <v>464977</v>
      </c>
      <c r="AM56" s="1060" t="n"/>
    </row>
    <row r="57" ht="18" customHeight="1" s="186">
      <c r="B57" s="1049" t="inlineStr">
        <is>
          <t>増額報酬</t>
        </is>
      </c>
      <c r="C57" s="949">
        <f>IF(C$2&lt;=締月,'差引簿集計（長）'!C20,AA57)</f>
        <v>0</v>
      </c>
      <c r="D57" s="949">
        <f>IF(D$2&lt;=締月,'差引簿集計（長）'!D20,AB57)</f>
        <v>0</v>
      </c>
      <c r="E57" s="1122">
        <f>IF(E$2&lt;=締月,'差引簿集計（長）'!E20,AC57)</f>
        <v>867690</v>
      </c>
      <c r="F57" s="949">
        <f>IF(F$2&lt;=締月,'差引簿集計（長）'!F20,AD57)</f>
        <v>0</v>
      </c>
      <c r="G57" s="949">
        <f>IF(G$2&lt;=締月,'差引簿集計（長）'!G20,AE57)</f>
        <v>0</v>
      </c>
      <c r="H57" s="949">
        <f>IF(H$2&lt;=締月,'差引簿集計（長）'!H20,AF57)</f>
        <v>0</v>
      </c>
      <c r="I57" s="949">
        <f>IF(I$2&lt;=締月,'差引簿集計（長）'!I20,AG57)</f>
        <v>0</v>
      </c>
      <c r="J57" s="949">
        <f>IF(J$2&lt;=締月,'差引簿集計（長）'!J20,AH57)</f>
        <v>0</v>
      </c>
      <c r="K57" s="1123">
        <f>IF(K$2&lt;=締月,'差引簿集計（長）'!K20,AI57)</f>
        <v>621532</v>
      </c>
      <c r="L57" s="949">
        <f>IF(L$2&lt;=締月,'差引簿集計（長）'!L20,AJ57)</f>
        <v>0</v>
      </c>
      <c r="M57" s="949">
        <f>IF(M$2&lt;=締月,'差引簿集計（長）'!M20,AK57)</f>
        <v>0</v>
      </c>
      <c r="N57" s="949">
        <f>IF(N$2&lt;=締月,'差引簿集計（長）'!N20,AL57)</f>
        <v>0</v>
      </c>
      <c r="O57" s="909">
        <f>IF(O$2&lt;=締月,'差引簿集計（長）'!O20,AM57)</f>
        <v>0</v>
      </c>
      <c r="P57" s="768" t="n"/>
      <c r="Q57" s="1043">
        <f>SUM(C57:O57)</f>
        <v>1489222</v>
      </c>
      <c r="R57" s="1051" t="n"/>
      <c r="S57" s="1051" t="n"/>
      <c r="T57" s="1051" t="n"/>
      <c r="V57" s="987">
        <f>SUMIF($C$2:$N$2,"&lt;="&amp;締月,C57:N57)</f>
        <v>867690</v>
      </c>
      <c r="X57" s="1059" t="n">
        <v>1</v>
      </c>
      <c r="AA57" s="1060" t="n"/>
      <c r="AB57" s="1060" t="n"/>
      <c r="AC57" s="1060" t="n">
        <v>867690</v>
      </c>
      <c r="AD57" s="1060" t="n"/>
      <c r="AE57" s="1060" t="n"/>
      <c r="AF57" s="1060" t="n"/>
      <c r="AG57" s="1060" t="n"/>
      <c r="AH57" s="1060" t="n"/>
      <c r="AI57" s="1060" t="n">
        <v>621532</v>
      </c>
      <c r="AJ57" s="1060" t="n"/>
      <c r="AK57" s="1060" t="n"/>
      <c r="AL57" s="1060" t="n"/>
      <c r="AM57" s="1060" t="n"/>
    </row>
    <row r="58" ht="18" customHeight="1" s="186">
      <c r="B58" s="1052" t="inlineStr">
        <is>
          <t>非常勤手当計</t>
        </is>
      </c>
      <c r="C58" s="1043">
        <f>C56</f>
        <v>380800</v>
      </c>
      <c r="D58" s="1043">
        <f>D56</f>
        <v>380800</v>
      </c>
      <c r="E58" s="1043">
        <f>E56+E57</f>
        <v>1248490</v>
      </c>
      <c r="F58" s="1043">
        <f>F56</f>
        <v>380800</v>
      </c>
      <c r="G58" s="1043">
        <f>G56</f>
        <v>380800</v>
      </c>
      <c r="H58" s="1043">
        <f>H56</f>
        <v>380800</v>
      </c>
      <c r="I58" s="1043">
        <f>I56</f>
        <v>381773</v>
      </c>
      <c r="J58" s="1043">
        <f>J56</f>
        <v>381773</v>
      </c>
      <c r="K58" s="1043">
        <f>K56+K57</f>
        <v>1170332</v>
      </c>
      <c r="L58" s="1043">
        <f>L56</f>
        <v>395611</v>
      </c>
      <c r="M58" s="1043">
        <f>M56</f>
        <v>395611</v>
      </c>
      <c r="N58" s="1043">
        <f>N56+N57</f>
        <v>464977</v>
      </c>
      <c r="O58" s="1043" t="n">
        <v>0</v>
      </c>
      <c r="Q58" s="1043">
        <f>SUM(C58:O58)</f>
        <v>6342567</v>
      </c>
      <c r="V58" s="1003">
        <f>SUMIF($C$2:$N$2,"&lt;="&amp;締月,C58:N58)</f>
        <v>3152490</v>
      </c>
    </row>
    <row r="59" ht="18" customHeight="1" s="186">
      <c r="B59" s="1049" t="inlineStr">
        <is>
          <t>臨時賃金</t>
        </is>
      </c>
      <c r="C59" s="949">
        <f>IF(C$2&lt;=締月,'差引簿集計（長）'!C21,AA59)</f>
        <v>0</v>
      </c>
      <c r="D59" s="949">
        <f>IF(D$2&lt;=締月,'差引簿集計（長）'!D21,AB59)</f>
        <v>0</v>
      </c>
      <c r="E59" s="949">
        <f>IF(E$2&lt;=締月,'差引簿集計（長）'!E21,AC59)</f>
        <v>0</v>
      </c>
      <c r="F59" s="949">
        <f>IF(F$2&lt;=締月,'差引簿集計（長）'!F21,AD59)</f>
        <v>0</v>
      </c>
      <c r="G59" s="949">
        <f>IF(G$2&lt;=締月,'差引簿集計（長）'!G21,AE59)</f>
        <v>0</v>
      </c>
      <c r="H59" s="949">
        <f>IF(H$2&lt;=締月,'差引簿集計（長）'!H21,AF59)</f>
        <v>0</v>
      </c>
      <c r="I59" s="949">
        <f>IF(I$2&lt;=締月,'差引簿集計（長）'!I21,AG59)</f>
        <v>0</v>
      </c>
      <c r="J59" s="949">
        <f>IF(J$2&lt;=締月,'差引簿集計（長）'!J21,AH59)</f>
        <v>0</v>
      </c>
      <c r="K59" s="949">
        <f>IF(K$2&lt;=締月,'差引簿集計（長）'!K21,AI59)</f>
        <v>0</v>
      </c>
      <c r="L59" s="949">
        <f>IF(L$2&lt;=締月,'差引簿集計（長）'!L21,AJ59)</f>
        <v>0</v>
      </c>
      <c r="M59" s="949">
        <f>IF(M$2&lt;=締月,'差引簿集計（長）'!M21,AK59)</f>
        <v>0</v>
      </c>
      <c r="N59" s="949">
        <f>IF(N$2&lt;=締月,'差引簿集計（長）'!N21,AL59)</f>
        <v>0</v>
      </c>
      <c r="O59" s="949">
        <f>IF(O$2&lt;=締月,'差引簿集計（長）'!O21,AM59)</f>
        <v>0</v>
      </c>
      <c r="P59" s="768" t="n"/>
      <c r="Q59" s="1043">
        <f>SUM(C59:O59)</f>
        <v>0</v>
      </c>
      <c r="R59" s="1051" t="n"/>
      <c r="S59" s="1051" t="n"/>
      <c r="T59" s="1051" t="n"/>
      <c r="V59" s="987">
        <f>SUMIF($C$2:$N$2,"&lt;="&amp;締月,C59:N59)</f>
        <v>0</v>
      </c>
      <c r="X59" s="1059" t="n">
        <v>1</v>
      </c>
      <c r="AA59" s="1060" t="n"/>
      <c r="AB59" s="1060" t="n"/>
      <c r="AC59" s="1060" t="n"/>
      <c r="AD59" s="1060" t="n"/>
      <c r="AE59" s="1060" t="n"/>
      <c r="AF59" s="1060" t="n"/>
      <c r="AG59" s="1060" t="n"/>
      <c r="AH59" s="1060" t="n"/>
      <c r="AI59" s="1060" t="n"/>
      <c r="AJ59" s="1060" t="n"/>
      <c r="AK59" s="1060" t="n"/>
      <c r="AL59" s="1060" t="n"/>
      <c r="AM59" s="1060" t="n"/>
    </row>
    <row r="60" ht="18" customHeight="1" s="186">
      <c r="B60" s="1124" t="inlineStr">
        <is>
          <t>賃金計</t>
        </is>
      </c>
      <c r="C60" s="1043">
        <f>C59</f>
        <v>0</v>
      </c>
      <c r="D60" s="1043">
        <f>D59</f>
        <v>0</v>
      </c>
      <c r="E60" s="1043">
        <f>E59</f>
        <v>0</v>
      </c>
      <c r="F60" s="1043">
        <f>F59</f>
        <v>0</v>
      </c>
      <c r="G60" s="1043">
        <f>G59</f>
        <v>0</v>
      </c>
      <c r="H60" s="1043">
        <f>H59</f>
        <v>0</v>
      </c>
      <c r="I60" s="1043">
        <f>I59</f>
        <v>0</v>
      </c>
      <c r="J60" s="1043">
        <f>J59</f>
        <v>0</v>
      </c>
      <c r="K60" s="1043">
        <f>K59</f>
        <v>0</v>
      </c>
      <c r="L60" s="1043">
        <f>L59</f>
        <v>0</v>
      </c>
      <c r="M60" s="1043">
        <f>M59</f>
        <v>0</v>
      </c>
      <c r="N60" s="1043">
        <f>N59</f>
        <v>0</v>
      </c>
      <c r="O60" s="1043" t="n">
        <v>0</v>
      </c>
      <c r="P60" s="921" t="n"/>
      <c r="Q60" s="921">
        <f>SUM(C60:O60)</f>
        <v>0</v>
      </c>
      <c r="R60" s="921" t="n"/>
      <c r="S60" s="921" t="n"/>
      <c r="V60" s="1003">
        <f>SUMIF($C$2:$N$2,"&lt;="&amp;締月,C60:N60)</f>
        <v>0</v>
      </c>
    </row>
    <row r="61"/>
    <row r="62" ht="18" customHeight="1" s="186">
      <c r="B62" s="1026" t="inlineStr">
        <is>
          <t>合計</t>
        </is>
      </c>
      <c r="C62" s="1043">
        <f>C58</f>
        <v>380800</v>
      </c>
      <c r="D62" s="1043">
        <f>D58</f>
        <v>380800</v>
      </c>
      <c r="E62" s="1043">
        <f>E58</f>
        <v>1248490</v>
      </c>
      <c r="F62" s="1043">
        <f>F58</f>
        <v>380800</v>
      </c>
      <c r="G62" s="1043">
        <f>G58</f>
        <v>380800</v>
      </c>
      <c r="H62" s="1043">
        <f>H58</f>
        <v>380800</v>
      </c>
      <c r="I62" s="1043">
        <f>I58</f>
        <v>381773</v>
      </c>
      <c r="J62" s="1043">
        <f>J58</f>
        <v>381773</v>
      </c>
      <c r="K62" s="1043">
        <f>K58</f>
        <v>1170332</v>
      </c>
      <c r="L62" s="1043">
        <f>L58</f>
        <v>395611</v>
      </c>
      <c r="M62" s="1043">
        <f>M58</f>
        <v>395611</v>
      </c>
      <c r="N62" s="1043">
        <f>N58</f>
        <v>464977</v>
      </c>
      <c r="O62" s="1043" t="n">
        <v>0</v>
      </c>
      <c r="Q62" s="1043">
        <f>SUM(C62:O62)</f>
        <v>6342567</v>
      </c>
      <c r="R62" s="1043" t="n"/>
      <c r="S62" s="1043" t="n"/>
      <c r="T62" s="1043" t="n"/>
      <c r="V62" s="1003">
        <f>SUMIF($C$2:$N$2,"&lt;="&amp;締月,C62:N62)</f>
        <v>3152490</v>
      </c>
    </row>
  </sheetData>
  <mergeCells count="30">
    <mergeCell ref="A48:B48"/>
    <mergeCell ref="A24:B24"/>
    <mergeCell ref="A5:A9"/>
    <mergeCell ref="A12:A18"/>
    <mergeCell ref="A11:B11"/>
    <mergeCell ref="A45:B45"/>
    <mergeCell ref="Q27:Q31"/>
    <mergeCell ref="A25:B25"/>
    <mergeCell ref="A41:B41"/>
    <mergeCell ref="E1:F1"/>
    <mergeCell ref="A46:B46"/>
    <mergeCell ref="A3:B3"/>
    <mergeCell ref="T27:T31"/>
    <mergeCell ref="A21:B21"/>
    <mergeCell ref="A2:B2"/>
    <mergeCell ref="A42:B42"/>
    <mergeCell ref="A23:B23"/>
    <mergeCell ref="S27:S31"/>
    <mergeCell ref="A22:B22"/>
    <mergeCell ref="A35:B35"/>
    <mergeCell ref="A4:B4"/>
    <mergeCell ref="A20:B20"/>
    <mergeCell ref="A26:A33"/>
    <mergeCell ref="A43:B43"/>
    <mergeCell ref="A19:B19"/>
    <mergeCell ref="A10:B10"/>
    <mergeCell ref="A44:B44"/>
    <mergeCell ref="A40:B40"/>
    <mergeCell ref="R27:R31"/>
    <mergeCell ref="A39:B39"/>
  </mergeCells>
  <conditionalFormatting sqref="C4:N62">
    <cfRule type="expression" priority="1" dxfId="11">
      <formula>AND(ISNUMBER(C4),C$2&lt;&gt;"",C$2&gt;締月)</formula>
    </cfRule>
  </conditionalFormatting>
  <conditionalFormatting sqref="O4:O62">
    <cfRule type="expression" priority="2" dxfId="6">
      <formula>AND(ISNUMBER(O4),締月&lt;13)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3864"/>
    <outlinePr summaryBelow="1" summaryRight="1"/>
    <pageSetUpPr/>
  </sheetPr>
  <dimension ref="A1:AM55"/>
  <sheetViews>
    <sheetView showGridLines="1" tabSelected="0" zoomScale="90" workbookViewId="0">
      <pane xSplit="2" ySplit="24" topLeftCell="C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87" customWidth="1" style="186" min="1" max="1"/>
    <col width="13.87" customWidth="1" style="186" min="2" max="2"/>
    <col width="9.869999999999999" customWidth="1" style="186" min="3" max="3"/>
    <col width="9.869999999999999" customWidth="1" style="186" min="15" max="15"/>
    <col width="10.75" customWidth="1" style="186" min="16" max="16"/>
    <col width="9.99" customWidth="1" style="186" min="22" max="22"/>
    <col hidden="1" width="13" customWidth="1" style="186" min="24" max="24"/>
    <col hidden="1" outlineLevel="1" width="11" customWidth="1" style="186" min="27" max="39"/>
    <col width="11" customWidth="1" style="186" min="28" max="28"/>
    <col width="11" customWidth="1" style="186" min="29" max="29"/>
    <col width="11" customWidth="1" style="186" min="30" max="30"/>
    <col width="11" customWidth="1" style="186" min="31" max="31"/>
    <col width="11" customWidth="1" style="186" min="32" max="32"/>
    <col width="11" customWidth="1" style="186" min="33" max="33"/>
    <col width="11" customWidth="1" style="186" min="34" max="34"/>
    <col width="11" customWidth="1" style="186" min="35" max="35"/>
    <col width="11" customWidth="1" style="186" min="36" max="36"/>
    <col width="11" customWidth="1" style="186" min="37" max="37"/>
    <col width="11" customWidth="1" style="186" min="38" max="38"/>
    <col width="11" customWidth="1" style="186" min="39" max="39"/>
  </cols>
  <sheetData>
    <row r="1" ht="18" customHeight="1" s="186">
      <c r="B1" s="1148" t="n"/>
      <c r="D1" s="901" t="n"/>
      <c r="E1" s="1149">
        <f>'R7業務（長+短）'!E1:F1</f>
        <v>8</v>
      </c>
      <c r="G1" s="1150" t="inlineStr">
        <is>
          <t>貸付経理</t>
        </is>
      </c>
      <c r="H1" s="1151" t="n"/>
      <c r="J1" s="1152" t="n"/>
      <c r="K1" s="1152" t="n"/>
      <c r="L1" s="901" t="n"/>
      <c r="M1" s="901" t="n"/>
      <c r="N1" s="901" t="n"/>
      <c r="P1" s="901" t="n"/>
      <c r="Q1" s="901" t="n"/>
      <c r="R1" s="901" t="n"/>
      <c r="S1" s="901" t="n"/>
    </row>
    <row r="2" ht="22.5" customHeight="1" s="186">
      <c r="A2" s="1153" t="inlineStr">
        <is>
          <t>費用</t>
        </is>
      </c>
      <c r="B2" s="975" t="n"/>
      <c r="C2" s="976" t="n">
        <v>1</v>
      </c>
      <c r="D2" s="976" t="n">
        <v>2</v>
      </c>
      <c r="E2" s="976" t="n">
        <v>3</v>
      </c>
      <c r="F2" s="976" t="n">
        <v>4</v>
      </c>
      <c r="G2" s="976" t="n">
        <v>5</v>
      </c>
      <c r="H2" s="976" t="n">
        <v>6</v>
      </c>
      <c r="I2" s="976" t="n">
        <v>7</v>
      </c>
      <c r="J2" s="976" t="n">
        <v>8</v>
      </c>
      <c r="K2" s="976" t="n">
        <v>9</v>
      </c>
      <c r="L2" s="976" t="n">
        <v>10</v>
      </c>
      <c r="M2" s="976" t="n">
        <v>11</v>
      </c>
      <c r="N2" s="976" t="n">
        <v>12</v>
      </c>
      <c r="O2" s="976" t="n">
        <v>13</v>
      </c>
      <c r="AA2" s="977" t="inlineStr">
        <is>
          <t>▼ 参考値（旧表の値：未締め月に表示される前年実績・見込）</t>
        </is>
      </c>
    </row>
    <row r="3" ht="18" customHeight="1" s="186">
      <c r="A3" s="1154" t="inlineStr">
        <is>
          <t>支払月</t>
        </is>
      </c>
      <c r="B3" s="979" t="n"/>
      <c r="C3" s="1154" t="inlineStr">
        <is>
          <t>４月</t>
        </is>
      </c>
      <c r="D3" s="1155" t="inlineStr">
        <is>
          <t>５月</t>
        </is>
      </c>
      <c r="E3" s="1155" t="inlineStr">
        <is>
          <t>６月</t>
        </is>
      </c>
      <c r="F3" s="1155" t="inlineStr">
        <is>
          <t>７月</t>
        </is>
      </c>
      <c r="G3" s="1155" t="inlineStr">
        <is>
          <t>８月</t>
        </is>
      </c>
      <c r="H3" s="1155" t="inlineStr">
        <is>
          <t>９月</t>
        </is>
      </c>
      <c r="I3" s="1155" t="inlineStr">
        <is>
          <t>１０月</t>
        </is>
      </c>
      <c r="J3" s="1155" t="inlineStr">
        <is>
          <t>１１月</t>
        </is>
      </c>
      <c r="K3" s="1155" t="inlineStr">
        <is>
          <t>１２月</t>
        </is>
      </c>
      <c r="L3" s="1155" t="inlineStr">
        <is>
          <t>１月</t>
        </is>
      </c>
      <c r="M3" s="1155" t="inlineStr">
        <is>
          <t>２月</t>
        </is>
      </c>
      <c r="N3" s="1155" t="inlineStr">
        <is>
          <t>３月</t>
        </is>
      </c>
      <c r="O3" s="1156" t="inlineStr">
        <is>
          <t>４月(未払）</t>
        </is>
      </c>
      <c r="P3" s="1154" t="inlineStr">
        <is>
          <t>計</t>
        </is>
      </c>
      <c r="Q3" s="1154" t="inlineStr">
        <is>
          <t>予算額</t>
        </is>
      </c>
      <c r="R3" s="978" t="inlineStr">
        <is>
          <t>流用振替額</t>
        </is>
      </c>
      <c r="S3" s="978" t="inlineStr">
        <is>
          <t>予算現額</t>
        </is>
      </c>
      <c r="T3" s="1154" t="inlineStr">
        <is>
          <t>不用額</t>
        </is>
      </c>
      <c r="V3" s="737" t="inlineStr">
        <is>
          <t>締め月まで
累計</t>
        </is>
      </c>
      <c r="W3" s="737" t="inlineStr">
        <is>
          <t>予算残額
（現在）</t>
        </is>
      </c>
      <c r="X3" s="981" t="inlineStr">
        <is>
          <t>台帳連動</t>
        </is>
      </c>
      <c r="AA3" s="982" t="inlineStr">
        <is>
          <t>4月</t>
        </is>
      </c>
      <c r="AB3" s="982" t="inlineStr">
        <is>
          <t>5月</t>
        </is>
      </c>
      <c r="AC3" s="982" t="inlineStr">
        <is>
          <t>6月</t>
        </is>
      </c>
      <c r="AD3" s="982" t="inlineStr">
        <is>
          <t>7月</t>
        </is>
      </c>
      <c r="AE3" s="982" t="inlineStr">
        <is>
          <t>8月</t>
        </is>
      </c>
      <c r="AF3" s="982" t="inlineStr">
        <is>
          <t>9月</t>
        </is>
      </c>
      <c r="AG3" s="982" t="inlineStr">
        <is>
          <t>10月</t>
        </is>
      </c>
      <c r="AH3" s="982" t="inlineStr">
        <is>
          <t>11月</t>
        </is>
      </c>
      <c r="AI3" s="982" t="inlineStr">
        <is>
          <t>12月</t>
        </is>
      </c>
      <c r="AJ3" s="982" t="inlineStr">
        <is>
          <t>1月</t>
        </is>
      </c>
      <c r="AK3" s="982" t="inlineStr">
        <is>
          <t>2月</t>
        </is>
      </c>
      <c r="AL3" s="982" t="inlineStr">
        <is>
          <t>3月</t>
        </is>
      </c>
      <c r="AM3" s="982" t="inlineStr">
        <is>
          <t>4月(未払)</t>
        </is>
      </c>
    </row>
    <row r="4" ht="18" customHeight="1" s="186">
      <c r="A4" s="1157" t="inlineStr">
        <is>
          <t>職員給与</t>
        </is>
      </c>
      <c r="B4" s="1158" t="inlineStr">
        <is>
          <t>非常勤職員手当</t>
        </is>
      </c>
      <c r="C4" s="1159">
        <f>C45</f>
        <v>491490</v>
      </c>
      <c r="D4" s="1160">
        <f>D45</f>
        <v>372800</v>
      </c>
      <c r="E4" s="1160">
        <f>E45</f>
        <v>1239559</v>
      </c>
      <c r="F4" s="1160">
        <f>F45</f>
        <v>372800</v>
      </c>
      <c r="G4" s="1160">
        <f>G45</f>
        <v>372800</v>
      </c>
      <c r="H4" s="1160">
        <f>H45</f>
        <v>372800</v>
      </c>
      <c r="I4" s="1160">
        <f>I45</f>
        <v>474390</v>
      </c>
      <c r="J4" s="1160">
        <f>J45</f>
        <v>357596</v>
      </c>
      <c r="K4" s="1160">
        <f>K45</f>
        <v>1320657</v>
      </c>
      <c r="L4" s="1161">
        <f>L45</f>
        <v>365100</v>
      </c>
      <c r="M4" s="1161">
        <f>M45</f>
        <v>365100</v>
      </c>
      <c r="N4" s="1161">
        <f>N45</f>
        <v>365100</v>
      </c>
      <c r="O4" s="1162" t="n"/>
      <c r="P4" s="1163">
        <f>SUM(C4:O4)</f>
        <v>6470192</v>
      </c>
      <c r="Q4" s="1164" t="n">
        <v>7137000</v>
      </c>
      <c r="R4" s="1165" t="n"/>
      <c r="S4" s="1166">
        <f>SUM(Q4:R4)</f>
        <v>7137000</v>
      </c>
      <c r="T4" s="1167">
        <f>S4-P4</f>
        <v>666808</v>
      </c>
      <c r="V4" s="987">
        <f>SUMIF($C$2:$N$2,"&lt;="&amp;締月,C4:N4)</f>
        <v>3222249</v>
      </c>
      <c r="W4" s="987">
        <f>S4-V4</f>
        <v>3914751</v>
      </c>
    </row>
    <row r="5" ht="18" customHeight="1" s="186">
      <c r="A5" s="992" t="n"/>
      <c r="B5" s="1168" t="inlineStr">
        <is>
          <t>退職給与引当金</t>
        </is>
      </c>
      <c r="C5" s="1169" t="n"/>
      <c r="D5" s="1169" t="n"/>
      <c r="E5" s="1169" t="n"/>
      <c r="F5" s="1169" t="n"/>
      <c r="G5" s="1169" t="n"/>
      <c r="H5" s="1169" t="n"/>
      <c r="I5" s="1169" t="n"/>
      <c r="J5" s="1169" t="n"/>
      <c r="K5" s="1169" t="n"/>
      <c r="L5" s="1169" t="n"/>
      <c r="M5" s="1169" t="n"/>
      <c r="N5" s="1169" t="n"/>
      <c r="O5" s="1170" t="n"/>
      <c r="P5" s="1171">
        <f>SUM(C5:O5)</f>
        <v>0</v>
      </c>
      <c r="Q5" s="1172" t="n">
        <v>0</v>
      </c>
      <c r="R5" s="1173" t="n"/>
      <c r="S5" s="1174">
        <f>SUM(Q5:R5)</f>
        <v>0</v>
      </c>
      <c r="T5" s="1175">
        <f>S5-P5</f>
        <v>0</v>
      </c>
      <c r="V5" s="987">
        <f>SUMIF($C$2:$N$2,"&lt;="&amp;締月,C5:N5)</f>
        <v>0</v>
      </c>
      <c r="W5" s="987">
        <f>S5-V5</f>
        <v>0</v>
      </c>
    </row>
    <row r="6" ht="18" customHeight="1" s="186">
      <c r="A6" s="1000" t="n"/>
      <c r="B6" s="1176" t="inlineStr">
        <is>
          <t>計</t>
        </is>
      </c>
      <c r="C6" s="1177">
        <f>SUM(C4:C5)</f>
        <v>491490</v>
      </c>
      <c r="D6" s="1177">
        <f>SUM(D4:D5)</f>
        <v>372800</v>
      </c>
      <c r="E6" s="1177">
        <f>SUM(E4:E5)</f>
        <v>1239559</v>
      </c>
      <c r="F6" s="1177">
        <f>SUM(F4:F5)</f>
        <v>372800</v>
      </c>
      <c r="G6" s="1177">
        <f>SUM(G4:G5)</f>
        <v>372800</v>
      </c>
      <c r="H6" s="1177">
        <f>SUM(H4:H5)</f>
        <v>372800</v>
      </c>
      <c r="I6" s="1177">
        <f>SUM(I4:I5)</f>
        <v>474390</v>
      </c>
      <c r="J6" s="1177">
        <f>SUM(J4:J5)</f>
        <v>357596</v>
      </c>
      <c r="K6" s="1177">
        <f>SUM(K4:K5)</f>
        <v>1320657</v>
      </c>
      <c r="L6" s="1177">
        <f>SUM(L4:L5)</f>
        <v>365100</v>
      </c>
      <c r="M6" s="1177">
        <f>SUM(M4:M5)</f>
        <v>365100</v>
      </c>
      <c r="N6" s="1177">
        <f>SUM(N4:N5)</f>
        <v>365100</v>
      </c>
      <c r="O6" s="1178">
        <f>SUM(O4:O5)</f>
        <v>0</v>
      </c>
      <c r="P6" s="1179">
        <f>SUM(P4:P5)</f>
        <v>6470192</v>
      </c>
      <c r="Q6" s="1180">
        <f>SUM(Q4:Q5)</f>
        <v>7137000</v>
      </c>
      <c r="R6" s="1181" t="n"/>
      <c r="S6" s="1179">
        <f>SUM(Q6:R6)</f>
        <v>7137000</v>
      </c>
      <c r="T6" s="1182">
        <f>S6-P6</f>
        <v>666808</v>
      </c>
      <c r="V6" s="1003">
        <f>SUMIF($C$2:$N$2,"&lt;="&amp;締月,C6:N6)</f>
        <v>3222249</v>
      </c>
      <c r="W6" s="1003">
        <f>S6-V6</f>
        <v>3914751</v>
      </c>
    </row>
    <row r="7" ht="18" customHeight="1" s="186">
      <c r="A7" s="1183" t="inlineStr">
        <is>
          <t>厚生費</t>
        </is>
      </c>
      <c r="B7" s="979" t="n"/>
      <c r="C7" s="1184">
        <f>IF(C$2&lt;=締月,'貸付差引簿集計'!C4,AA7)</f>
        <v>0</v>
      </c>
      <c r="D7" s="1184">
        <f>IF(D$2&lt;=締月,'貸付差引簿集計'!D4,AB7)</f>
        <v>0</v>
      </c>
      <c r="E7" s="1184">
        <f>IF(E$2&lt;=締月,'貸付差引簿集計'!E4,AC7)</f>
        <v>0</v>
      </c>
      <c r="F7" s="1184">
        <f>IF(F$2&lt;=締月,'貸付差引簿集計'!F4,AD7)</f>
        <v>0</v>
      </c>
      <c r="G7" s="1184">
        <f>IF(G$2&lt;=締月,'貸付差引簿集計'!G4,AE7)</f>
        <v>1980</v>
      </c>
      <c r="H7" s="1184">
        <f>IF(H$2&lt;=締月,'貸付差引簿集計'!H4,AF7)</f>
        <v>21527</v>
      </c>
      <c r="I7" s="1184">
        <f>IF(I$2&lt;=締月,'貸付差引簿集計'!I4,AG7)</f>
        <v>0</v>
      </c>
      <c r="J7" s="1184">
        <f>IF(J$2&lt;=締月,'貸付差引簿集計'!J4,AH7)</f>
        <v>0</v>
      </c>
      <c r="K7" s="1184">
        <f>IF(K$2&lt;=締月,'貸付差引簿集計'!K4,AI7)</f>
        <v>0</v>
      </c>
      <c r="L7" s="1184">
        <f>IF(L$2&lt;=締月,'貸付差引簿集計'!L4,AJ7)</f>
        <v>0</v>
      </c>
      <c r="M7" s="1184">
        <f>IF(M$2&lt;=締月,'貸付差引簿集計'!M4,AK7)</f>
        <v>10395</v>
      </c>
      <c r="N7" s="1184">
        <f>IF(N$2&lt;=締月,'貸付差引簿集計'!N4,AL7)</f>
        <v>0</v>
      </c>
      <c r="O7" s="1185">
        <f>IF(O$2&lt;=締月,'貸付差引簿集計'!O4,AM7)</f>
        <v>0</v>
      </c>
      <c r="P7" s="1179">
        <f>SUM(C7:O7)</f>
        <v>33902</v>
      </c>
      <c r="Q7" s="1186" t="n">
        <v>24000</v>
      </c>
      <c r="R7" s="1187" t="n"/>
      <c r="S7" s="1179">
        <f>SUM(Q7:R7)</f>
        <v>24000</v>
      </c>
      <c r="T7" s="1182">
        <f>S7-P7</f>
        <v>-9902</v>
      </c>
      <c r="V7" s="987">
        <f>SUMIF($C$2:$N$2,"&lt;="&amp;締月,C7:N7)</f>
        <v>23507</v>
      </c>
      <c r="W7" s="987">
        <f>S7-V7</f>
        <v>493</v>
      </c>
      <c r="X7" s="1059" t="n">
        <v>1</v>
      </c>
      <c r="AA7" s="1060" t="n"/>
      <c r="AB7" s="1060" t="n"/>
      <c r="AC7" s="1060" t="n"/>
      <c r="AD7" s="1060" t="n"/>
      <c r="AE7" s="1060" t="n">
        <v>1980</v>
      </c>
      <c r="AF7" s="1060" t="n">
        <v>21527</v>
      </c>
      <c r="AG7" s="1060" t="n"/>
      <c r="AH7" s="1060" t="n"/>
      <c r="AI7" s="1060" t="n"/>
      <c r="AJ7" s="1060" t="n"/>
      <c r="AK7" s="1060" t="n">
        <v>10395</v>
      </c>
      <c r="AL7" s="1060" t="n"/>
      <c r="AM7" s="1060" t="n"/>
    </row>
    <row r="8" ht="18" customHeight="1" s="186">
      <c r="A8" s="1183" t="inlineStr">
        <is>
          <t>旅費</t>
        </is>
      </c>
      <c r="B8" s="979" t="n"/>
      <c r="C8" s="1184">
        <f>IF(C$2&lt;=締月,'貸付差引簿集計'!C5,AA8)</f>
        <v>0</v>
      </c>
      <c r="D8" s="1184">
        <f>IF(D$2&lt;=締月,'貸付差引簿集計'!D5,AB8)</f>
        <v>0</v>
      </c>
      <c r="E8" s="1184">
        <f>IF(E$2&lt;=締月,'貸付差引簿集計'!E5,AC8)</f>
        <v>0</v>
      </c>
      <c r="F8" s="1184">
        <f>IF(F$2&lt;=締月,'貸付差引簿集計'!F5,AD8)</f>
        <v>0</v>
      </c>
      <c r="G8" s="1184">
        <f>IF(G$2&lt;=締月,'貸付差引簿集計'!G5,AE8)</f>
        <v>0</v>
      </c>
      <c r="H8" s="1184">
        <f>IF(H$2&lt;=締月,'貸付差引簿集計'!H5,AF8)</f>
        <v>0</v>
      </c>
      <c r="I8" s="1184">
        <f>IF(I$2&lt;=締月,'貸付差引簿集計'!I5,AG8)</f>
        <v>0</v>
      </c>
      <c r="J8" s="1184">
        <f>IF(J$2&lt;=締月,'貸付差引簿集計'!J5,AH8)</f>
        <v>0</v>
      </c>
      <c r="K8" s="1184">
        <f>IF(K$2&lt;=締月,'貸付差引簿集計'!K5,AI8)</f>
        <v>0</v>
      </c>
      <c r="L8" s="1184">
        <f>IF(L$2&lt;=締月,'貸付差引簿集計'!L5,AJ8)</f>
        <v>0</v>
      </c>
      <c r="M8" s="1184">
        <f>IF(M$2&lt;=締月,'貸付差引簿集計'!M5,AK8)</f>
        <v>0</v>
      </c>
      <c r="N8" s="1184">
        <f>IF(N$2&lt;=締月,'貸付差引簿集計'!N5,AL8)</f>
        <v>0</v>
      </c>
      <c r="O8" s="1185">
        <f>IF(O$2&lt;=締月,'貸付差引簿集計'!O5,AM8)</f>
        <v>0</v>
      </c>
      <c r="P8" s="1179">
        <f>SUM(C8:O8)</f>
        <v>0</v>
      </c>
      <c r="Q8" s="1186" t="n">
        <v>227000</v>
      </c>
      <c r="R8" s="1187" t="n"/>
      <c r="S8" s="1179">
        <f>SUM(Q8:R8)</f>
        <v>227000</v>
      </c>
      <c r="T8" s="1182">
        <f>S8-P8</f>
        <v>227000</v>
      </c>
      <c r="V8" s="987">
        <f>SUMIF($C$2:$N$2,"&lt;="&amp;締月,C8:N8)</f>
        <v>0</v>
      </c>
      <c r="W8" s="987">
        <f>S8-V8</f>
        <v>227000</v>
      </c>
      <c r="X8" s="1059" t="n">
        <v>1</v>
      </c>
      <c r="AA8" s="1060" t="n"/>
      <c r="AB8" s="1060" t="n"/>
      <c r="AC8" s="1060" t="n"/>
      <c r="AD8" s="1060" t="n"/>
      <c r="AE8" s="1060" t="n"/>
      <c r="AF8" s="1060" t="n"/>
      <c r="AG8" s="1060" t="n"/>
      <c r="AH8" s="1060" t="n"/>
      <c r="AI8" s="1060" t="n"/>
      <c r="AJ8" s="1060" t="n"/>
      <c r="AK8" s="1060" t="n"/>
      <c r="AL8" s="1060" t="n"/>
      <c r="AM8" s="1060" t="n"/>
    </row>
    <row r="9" ht="18" customHeight="1" s="186">
      <c r="A9" s="1188" t="inlineStr">
        <is>
          <t>事務費</t>
        </is>
      </c>
      <c r="B9" s="1189" t="inlineStr">
        <is>
          <t>事務用消耗品費</t>
        </is>
      </c>
      <c r="C9" s="1184">
        <f>IF(C$2&lt;=締月,'貸付差引簿集計'!C6,AA9)</f>
        <v>4389</v>
      </c>
      <c r="D9" s="1184">
        <f>IF(D$2&lt;=締月,'貸付差引簿集計'!D6,AB9)</f>
        <v>0</v>
      </c>
      <c r="E9" s="1184">
        <f>IF(E$2&lt;=締月,'貸付差引簿集計'!E6,AC9)</f>
        <v>11491</v>
      </c>
      <c r="F9" s="1184">
        <f>IF(F$2&lt;=締月,'貸付差引簿集計'!F6,AD9)</f>
        <v>0</v>
      </c>
      <c r="G9" s="1184">
        <f>IF(G$2&lt;=締月,'貸付差引簿集計'!G6,AE9)</f>
        <v>119079</v>
      </c>
      <c r="H9" s="1184">
        <f>IF(H$2&lt;=締月,'貸付差引簿集計'!H6,AF9)</f>
        <v>0</v>
      </c>
      <c r="I9" s="1184">
        <f>IF(I$2&lt;=締月,'貸付差引簿集計'!I6,AG9)</f>
        <v>0</v>
      </c>
      <c r="J9" s="1184">
        <f>IF(J$2&lt;=締月,'貸付差引簿集計'!J6,AH9)</f>
        <v>25706</v>
      </c>
      <c r="K9" s="1184">
        <f>IF(K$2&lt;=締月,'貸付差引簿集計'!K6,AI9)</f>
        <v>15382</v>
      </c>
      <c r="L9" s="1184">
        <f>IF(L$2&lt;=締月,'貸付差引簿集計'!L6,AJ9)</f>
        <v>4644</v>
      </c>
      <c r="M9" s="1184">
        <f>IF(M$2&lt;=締月,'貸付差引簿集計'!M6,AK9)</f>
        <v>50764</v>
      </c>
      <c r="N9" s="1184">
        <f>IF(N$2&lt;=締月,'貸付差引簿集計'!N6,AL9)</f>
        <v>37950</v>
      </c>
      <c r="O9" s="1185">
        <f>IF(O$2&lt;=締月,'貸付差引簿集計'!O6,AM9)</f>
        <v>0</v>
      </c>
      <c r="P9" s="1163">
        <f>SUM(C9:O9)</f>
        <v>269405</v>
      </c>
      <c r="Q9" s="1190" t="n">
        <v>442000</v>
      </c>
      <c r="R9" s="1191" t="n"/>
      <c r="S9" s="1192">
        <f>SUM(Q9:R9)</f>
        <v>442000</v>
      </c>
      <c r="T9" s="1193">
        <f>S9-P9</f>
        <v>172595</v>
      </c>
      <c r="V9" s="987">
        <f>SUMIF($C$2:$N$2,"&lt;="&amp;締月,C9:N9)</f>
        <v>134959</v>
      </c>
      <c r="W9" s="987">
        <f>S9-V9</f>
        <v>307041</v>
      </c>
      <c r="X9" s="1059" t="n">
        <v>1</v>
      </c>
      <c r="AA9" s="1060" t="n">
        <v>4389</v>
      </c>
      <c r="AB9" s="1060" t="n"/>
      <c r="AC9" s="1060" t="n">
        <v>11491</v>
      </c>
      <c r="AD9" s="1060" t="n"/>
      <c r="AE9" s="1060" t="n">
        <v>119079</v>
      </c>
      <c r="AF9" s="1060" t="n"/>
      <c r="AG9" s="1060" t="n"/>
      <c r="AH9" s="1060" t="n">
        <v>25706</v>
      </c>
      <c r="AI9" s="1060" t="n">
        <v>15382</v>
      </c>
      <c r="AJ9" s="1060" t="n">
        <v>4644</v>
      </c>
      <c r="AK9" s="1060" t="n">
        <v>50764</v>
      </c>
      <c r="AL9" s="1060" t="n">
        <v>37950</v>
      </c>
      <c r="AM9" s="1060" t="n">
        <v>0</v>
      </c>
    </row>
    <row r="10" ht="18" customHeight="1" s="186">
      <c r="A10" s="1013" t="n"/>
      <c r="B10" s="1194" t="inlineStr">
        <is>
          <t>図書印刷費</t>
        </is>
      </c>
      <c r="C10" s="1184">
        <f>IF(C$2&lt;=締月,'貸付差引簿集計'!C7,AA10)</f>
        <v>0</v>
      </c>
      <c r="D10" s="1184">
        <f>IF(D$2&lt;=締月,'貸付差引簿集計'!D7,AB10)</f>
        <v>0</v>
      </c>
      <c r="E10" s="1184">
        <f>IF(E$2&lt;=締月,'貸付差引簿集計'!E7,AC10)</f>
        <v>0</v>
      </c>
      <c r="F10" s="1184">
        <f>IF(F$2&lt;=締月,'貸付差引簿集計'!F7,AD10)</f>
        <v>6000</v>
      </c>
      <c r="G10" s="1184">
        <f>IF(G$2&lt;=締月,'貸付差引簿集計'!G7,AE10)</f>
        <v>0</v>
      </c>
      <c r="H10" s="1184">
        <f>IF(H$2&lt;=締月,'貸付差引簿集計'!H7,AF10)</f>
        <v>0</v>
      </c>
      <c r="I10" s="1184">
        <f>IF(I$2&lt;=締月,'貸付差引簿集計'!I7,AG10)</f>
        <v>6000</v>
      </c>
      <c r="J10" s="1184">
        <f>IF(J$2&lt;=締月,'貸付差引簿集計'!J7,AH10)</f>
        <v>0</v>
      </c>
      <c r="K10" s="1184">
        <f>IF(K$2&lt;=締月,'貸付差引簿集計'!K7,AI10)</f>
        <v>0</v>
      </c>
      <c r="L10" s="1184">
        <f>IF(L$2&lt;=締月,'貸付差引簿集計'!L7,AJ10)</f>
        <v>6000</v>
      </c>
      <c r="M10" s="1184">
        <f>IF(M$2&lt;=締月,'貸付差引簿集計'!M7,AK10)</f>
        <v>0</v>
      </c>
      <c r="N10" s="1184">
        <f>IF(N$2&lt;=締月,'貸付差引簿集計'!N7,AL10)</f>
        <v>0</v>
      </c>
      <c r="O10" s="1185">
        <f>IF(O$2&lt;=締月,'貸付差引簿集計'!O7,AM10)</f>
        <v>15124</v>
      </c>
      <c r="P10" s="1195">
        <f>SUM(C10:O10)</f>
        <v>33124</v>
      </c>
      <c r="Q10" s="1196" t="n">
        <v>501000</v>
      </c>
      <c r="R10" s="1197" t="n"/>
      <c r="S10" s="1195">
        <f>SUM(Q10:R10)</f>
        <v>501000</v>
      </c>
      <c r="T10" s="1198">
        <f>S10-P10</f>
        <v>467876</v>
      </c>
      <c r="V10" s="987">
        <f>SUMIF($C$2:$N$2,"&lt;="&amp;締月,C10:N10)</f>
        <v>6000</v>
      </c>
      <c r="W10" s="987">
        <f>S10-V10</f>
        <v>495000</v>
      </c>
      <c r="X10" s="1059" t="n">
        <v>1</v>
      </c>
      <c r="AA10" s="1060" t="n"/>
      <c r="AB10" s="1060" t="n"/>
      <c r="AC10" s="1060" t="n"/>
      <c r="AD10" s="1060" t="n">
        <v>6000</v>
      </c>
      <c r="AE10" s="1060" t="n"/>
      <c r="AF10" s="1060" t="n"/>
      <c r="AG10" s="1060" t="n">
        <v>6000</v>
      </c>
      <c r="AH10" s="1060" t="n"/>
      <c r="AI10" s="1060" t="n"/>
      <c r="AJ10" s="1060" t="n">
        <v>6000</v>
      </c>
      <c r="AK10" s="1060" t="n"/>
      <c r="AL10" s="1060" t="n"/>
      <c r="AM10" s="1060" t="n">
        <v>15124</v>
      </c>
    </row>
    <row r="11" ht="18" customHeight="1" s="186">
      <c r="A11" s="1013" t="n"/>
      <c r="B11" s="1194" t="inlineStr">
        <is>
          <t>通信運搬費</t>
        </is>
      </c>
      <c r="C11" s="1184">
        <f>IF(C$2&lt;=締月,'貸付差引簿集計'!C8,AA11)</f>
        <v>0</v>
      </c>
      <c r="D11" s="1184">
        <f>IF(D$2&lt;=締月,'貸付差引簿集計'!D8,AB11)</f>
        <v>0</v>
      </c>
      <c r="E11" s="1184">
        <f>IF(E$2&lt;=締月,'貸付差引簿集計'!E8,AC11)</f>
        <v>0</v>
      </c>
      <c r="F11" s="1184">
        <f>IF(F$2&lt;=締月,'貸付差引簿集計'!F8,AD11)</f>
        <v>0</v>
      </c>
      <c r="G11" s="1184">
        <f>IF(G$2&lt;=締月,'貸付差引簿集計'!G8,AE11)</f>
        <v>5979</v>
      </c>
      <c r="H11" s="1184">
        <f>IF(H$2&lt;=締月,'貸付差引簿集計'!H8,AF11)</f>
        <v>0</v>
      </c>
      <c r="I11" s="1184">
        <f>IF(I$2&lt;=締月,'貸付差引簿集計'!I8,AG11)</f>
        <v>0</v>
      </c>
      <c r="J11" s="1184">
        <f>IF(J$2&lt;=締月,'貸付差引簿集計'!J8,AH11)</f>
        <v>0</v>
      </c>
      <c r="K11" s="1184">
        <f>IF(K$2&lt;=締月,'貸付差引簿集計'!K8,AI11)</f>
        <v>0</v>
      </c>
      <c r="L11" s="1184">
        <f>IF(L$2&lt;=締月,'貸付差引簿集計'!L8,AJ11)</f>
        <v>135450</v>
      </c>
      <c r="M11" s="1184">
        <f>IF(M$2&lt;=締月,'貸付差引簿集計'!M8,AK11)</f>
        <v>0</v>
      </c>
      <c r="N11" s="1184">
        <f>IF(N$2&lt;=締月,'貸付差引簿集計'!N8,AL11)</f>
        <v>0</v>
      </c>
      <c r="O11" s="1185">
        <f>IF(O$2&lt;=締月,'貸付差引簿集計'!O8,AM11)</f>
        <v>0</v>
      </c>
      <c r="P11" s="1195">
        <f>SUM(C11:O11)</f>
        <v>141429</v>
      </c>
      <c r="Q11" s="1196" t="n">
        <v>336000</v>
      </c>
      <c r="R11" s="1197" t="n"/>
      <c r="S11" s="1195">
        <f>SUM(Q11:R11)</f>
        <v>336000</v>
      </c>
      <c r="T11" s="1198">
        <f>S11-P11</f>
        <v>194571</v>
      </c>
      <c r="V11" s="987">
        <f>SUMIF($C$2:$N$2,"&lt;="&amp;締月,C11:N11)</f>
        <v>5979</v>
      </c>
      <c r="W11" s="987">
        <f>S11-V11</f>
        <v>330021</v>
      </c>
      <c r="X11" s="1059" t="n">
        <v>1</v>
      </c>
      <c r="AA11" s="1060" t="n"/>
      <c r="AB11" s="1060" t="n"/>
      <c r="AC11" s="1060" t="n"/>
      <c r="AD11" s="1060" t="n"/>
      <c r="AE11" s="1060" t="n">
        <v>5979</v>
      </c>
      <c r="AF11" s="1060" t="n"/>
      <c r="AG11" s="1060" t="n"/>
      <c r="AH11" s="1060" t="n"/>
      <c r="AI11" s="1060" t="n"/>
      <c r="AJ11" s="1060" t="n">
        <v>135450</v>
      </c>
      <c r="AK11" s="1060" t="n"/>
      <c r="AL11" s="1060" t="n"/>
      <c r="AM11" s="1060" t="n"/>
    </row>
    <row r="12" ht="18" customHeight="1" s="186">
      <c r="A12" s="1013" t="n"/>
      <c r="B12" s="1194" t="inlineStr">
        <is>
          <t>会議費</t>
        </is>
      </c>
      <c r="C12" s="1199">
        <f>IF(C$2&lt;=締月,'貸付差引簿集計'!C9,AA12)</f>
        <v>0</v>
      </c>
      <c r="D12" s="1199">
        <f>IF(D$2&lt;=締月,'貸付差引簿集計'!D9,AB12)</f>
        <v>0</v>
      </c>
      <c r="E12" s="1199">
        <f>IF(E$2&lt;=締月,'貸付差引簿集計'!E9,AC12)</f>
        <v>0</v>
      </c>
      <c r="F12" s="1199">
        <f>IF(F$2&lt;=締月,'貸付差引簿集計'!F9,AD12)</f>
        <v>0</v>
      </c>
      <c r="G12" s="1199">
        <f>IF(G$2&lt;=締月,'貸付差引簿集計'!G9,AE12)</f>
        <v>0</v>
      </c>
      <c r="H12" s="1199">
        <f>IF(H$2&lt;=締月,'貸付差引簿集計'!H9,AF12)</f>
        <v>0</v>
      </c>
      <c r="I12" s="1199">
        <f>IF(I$2&lt;=締月,'貸付差引簿集計'!I9,AG12)</f>
        <v>0</v>
      </c>
      <c r="J12" s="1199">
        <f>IF(J$2&lt;=締月,'貸付差引簿集計'!J9,AH12)</f>
        <v>0</v>
      </c>
      <c r="K12" s="1199">
        <f>IF(K$2&lt;=締月,'貸付差引簿集計'!K9,AI12)</f>
        <v>0</v>
      </c>
      <c r="L12" s="1199">
        <f>IF(L$2&lt;=締月,'貸付差引簿集計'!L9,AJ12)</f>
        <v>0</v>
      </c>
      <c r="M12" s="1199">
        <f>IF(M$2&lt;=締月,'貸付差引簿集計'!M9,AK12)</f>
        <v>0</v>
      </c>
      <c r="N12" s="1199">
        <f>IF(N$2&lt;=締月,'貸付差引簿集計'!N9,AL12)</f>
        <v>0</v>
      </c>
      <c r="O12" s="1200">
        <f>IF(O$2&lt;=締月,'貸付差引簿集計'!O9,AM12)</f>
        <v>0</v>
      </c>
      <c r="P12" s="1195">
        <f>SUM(C12:O12)</f>
        <v>0</v>
      </c>
      <c r="Q12" s="1196" t="n">
        <v>20000</v>
      </c>
      <c r="R12" s="1197" t="n"/>
      <c r="S12" s="1195">
        <f>SUM(Q12:R12)</f>
        <v>20000</v>
      </c>
      <c r="T12" s="1198">
        <f>S12-P12</f>
        <v>20000</v>
      </c>
      <c r="V12" s="987">
        <f>SUMIF($C$2:$N$2,"&lt;="&amp;締月,C12:N12)</f>
        <v>0</v>
      </c>
      <c r="W12" s="987">
        <f>S12-V12</f>
        <v>20000</v>
      </c>
      <c r="X12" s="1059" t="n">
        <v>1</v>
      </c>
      <c r="AA12" s="1060" t="n"/>
      <c r="AB12" s="1060" t="n"/>
      <c r="AC12" s="1060" t="n"/>
      <c r="AD12" s="1060" t="n"/>
      <c r="AE12" s="1060" t="n"/>
      <c r="AF12" s="1060" t="n"/>
      <c r="AG12" s="1060" t="n"/>
      <c r="AH12" s="1060" t="n"/>
      <c r="AI12" s="1060" t="n"/>
      <c r="AJ12" s="1060" t="n"/>
      <c r="AK12" s="1060" t="n"/>
      <c r="AL12" s="1060" t="n"/>
      <c r="AM12" s="1060" t="n"/>
    </row>
    <row r="13" ht="18" customHeight="1" s="186">
      <c r="A13" s="1013" t="n"/>
      <c r="B13" s="1158" t="inlineStr">
        <is>
          <t>雑費</t>
        </is>
      </c>
      <c r="C13" s="1201">
        <f>IF(C$2&lt;=締月,'貸付差引簿集計'!C10,AA13)</f>
        <v>0</v>
      </c>
      <c r="D13" s="1201">
        <f>IF(D$2&lt;=締月,'貸付差引簿集計'!D10,AB13)</f>
        <v>16190</v>
      </c>
      <c r="E13" s="1201">
        <f>IF(E$2&lt;=締月,'貸付差引簿集計'!E10,AC13)</f>
        <v>5750</v>
      </c>
      <c r="F13" s="1201">
        <f>IF(F$2&lt;=締月,'貸付差引簿集計'!F10,AD13)</f>
        <v>6090</v>
      </c>
      <c r="G13" s="1201">
        <f>IF(G$2&lt;=締月,'貸付差引簿集計'!G10,AE13)</f>
        <v>5530</v>
      </c>
      <c r="H13" s="1201">
        <f>IF(H$2&lt;=締月,'貸付差引簿集計'!H10,AF13)</f>
        <v>5190</v>
      </c>
      <c r="I13" s="1201">
        <f>IF(I$2&lt;=締月,'貸付差引簿集計'!I10,AG13)</f>
        <v>4970</v>
      </c>
      <c r="J13" s="1201">
        <f>IF(J$2&lt;=締月,'貸付差引簿集計'!J10,AH13)</f>
        <v>5750</v>
      </c>
      <c r="K13" s="1201">
        <f>IF(K$2&lt;=締月,'貸付差引簿集計'!K10,AI13)</f>
        <v>9239</v>
      </c>
      <c r="L13" s="1202">
        <f>IF(L$2&lt;=締月,'貸付差引簿集計'!L10,AJ13)</f>
        <v>19630</v>
      </c>
      <c r="M13" s="1201">
        <f>IF(M$2&lt;=締月,'貸付差引簿集計'!M10,AK13)</f>
        <v>7190</v>
      </c>
      <c r="N13" s="1201">
        <f>IF(N$2&lt;=締月,'貸付差引簿集計'!N10,AL13)</f>
        <v>6200</v>
      </c>
      <c r="O13" s="1203">
        <f>IF(O$2&lt;=締月,'貸付差引簿集計'!O10,AM13)</f>
        <v>9735</v>
      </c>
      <c r="P13" s="1163">
        <f>SUM(C13:O13)</f>
        <v>101464</v>
      </c>
      <c r="Q13" s="1164" t="n">
        <v>190000</v>
      </c>
      <c r="R13" s="1165" t="n"/>
      <c r="S13" s="1163">
        <f>SUM(Q13:R13)</f>
        <v>190000</v>
      </c>
      <c r="T13" s="1175">
        <f>S13-P13</f>
        <v>88536</v>
      </c>
      <c r="V13" s="987">
        <f>SUMIF($C$2:$N$2,"&lt;="&amp;締月,C13:N13)</f>
        <v>38750</v>
      </c>
      <c r="W13" s="987">
        <f>S13-V13</f>
        <v>151250</v>
      </c>
      <c r="X13" s="1059" t="n">
        <v>1</v>
      </c>
      <c r="AA13" s="1060" t="n"/>
      <c r="AB13" s="1060" t="n">
        <v>16190</v>
      </c>
      <c r="AC13" s="1060" t="n">
        <v>5750</v>
      </c>
      <c r="AD13" s="1060" t="n">
        <v>6090</v>
      </c>
      <c r="AE13" s="1060" t="n">
        <v>5530</v>
      </c>
      <c r="AF13" s="1060" t="n">
        <v>5190</v>
      </c>
      <c r="AG13" s="1060" t="n">
        <v>4970</v>
      </c>
      <c r="AH13" s="1060" t="n">
        <v>5750</v>
      </c>
      <c r="AI13" s="1060" t="n">
        <v>9239</v>
      </c>
      <c r="AJ13" s="1060" t="n">
        <v>19630</v>
      </c>
      <c r="AK13" s="1060" t="n">
        <v>7190</v>
      </c>
      <c r="AL13" s="1060" t="n">
        <v>6200</v>
      </c>
      <c r="AM13" s="1060" t="n">
        <v>9735</v>
      </c>
    </row>
    <row r="14" ht="18" customHeight="1" s="186">
      <c r="A14" s="1024" t="n"/>
      <c r="B14" s="1176" t="inlineStr">
        <is>
          <t>計</t>
        </is>
      </c>
      <c r="C14" s="1204">
        <f>SUM(C9:C13)</f>
        <v>4389</v>
      </c>
      <c r="D14" s="1204">
        <f>SUM(D9:D13)</f>
        <v>16190</v>
      </c>
      <c r="E14" s="1204">
        <f>SUM(E9:E13)</f>
        <v>17241</v>
      </c>
      <c r="F14" s="1204">
        <f>SUM(F9:F13)</f>
        <v>12090</v>
      </c>
      <c r="G14" s="1204">
        <f>SUM(G9:G13)</f>
        <v>130588</v>
      </c>
      <c r="H14" s="1204">
        <f>SUM(H9:H13)</f>
        <v>5190</v>
      </c>
      <c r="I14" s="1204">
        <f>SUM(I9:I13)</f>
        <v>10970</v>
      </c>
      <c r="J14" s="1204">
        <f>SUM(J9:J13)</f>
        <v>31456</v>
      </c>
      <c r="K14" s="1204">
        <f>SUM(K9:K13)</f>
        <v>24621</v>
      </c>
      <c r="L14" s="1204">
        <f>SUM(L9:L13)</f>
        <v>165724</v>
      </c>
      <c r="M14" s="1204">
        <f>SUM(M9:M13)</f>
        <v>57954</v>
      </c>
      <c r="N14" s="1204">
        <f>SUM(N9:N13)</f>
        <v>44150</v>
      </c>
      <c r="O14" s="1205">
        <f>SUM(O9:O13)</f>
        <v>24859</v>
      </c>
      <c r="P14" s="1179">
        <f>SUM(P9:P13)</f>
        <v>545422</v>
      </c>
      <c r="Q14" s="1180">
        <f>SUM(Q9:Q13)</f>
        <v>1489000</v>
      </c>
      <c r="R14" s="1181" t="n"/>
      <c r="S14" s="1179">
        <f>SUM(Q14:R14)</f>
        <v>1489000</v>
      </c>
      <c r="T14" s="1182">
        <f>S14-P14</f>
        <v>943578</v>
      </c>
      <c r="V14" s="1003">
        <f>SUMIF($C$2:$N$2,"&lt;="&amp;締月,C14:N14)</f>
        <v>185688</v>
      </c>
      <c r="W14" s="1003">
        <f>S14-V14</f>
        <v>1303312</v>
      </c>
    </row>
    <row r="15" ht="18" customHeight="1" s="186">
      <c r="A15" s="1009" t="inlineStr">
        <is>
          <t>賃金</t>
        </is>
      </c>
      <c r="B15" s="979" t="n"/>
      <c r="C15" s="1206" t="n"/>
      <c r="D15" s="1207">
        <f>D47</f>
        <v>380700</v>
      </c>
      <c r="E15" s="1207">
        <f>E47</f>
        <v>327555</v>
      </c>
      <c r="F15" s="1207">
        <f>F47</f>
        <v>400770</v>
      </c>
      <c r="G15" s="1207">
        <f>G47</f>
        <v>400380</v>
      </c>
      <c r="H15" s="1207">
        <f>H47</f>
        <v>344580</v>
      </c>
      <c r="I15" s="1207">
        <f>I47</f>
        <v>364625</v>
      </c>
      <c r="J15" s="1207">
        <f>J47</f>
        <v>401920</v>
      </c>
      <c r="K15" s="1207">
        <f>K47</f>
        <v>329655</v>
      </c>
      <c r="L15" s="1207">
        <f>L47</f>
        <v>365270</v>
      </c>
      <c r="M15" s="1207">
        <f>M47</f>
        <v>347335</v>
      </c>
      <c r="N15" s="1207">
        <f>N47</f>
        <v>328425</v>
      </c>
      <c r="O15" s="1207">
        <f>O47</f>
        <v>153280</v>
      </c>
      <c r="P15" s="1179">
        <f>SUM(C15:O15)</f>
        <v>4144495</v>
      </c>
      <c r="Q15" s="1186" t="n">
        <v>5520000</v>
      </c>
      <c r="R15" s="1187" t="n"/>
      <c r="S15" s="1179">
        <f>SUM(Q15:R15)</f>
        <v>5520000</v>
      </c>
      <c r="T15" s="1182">
        <f>S15-P15</f>
        <v>1375505</v>
      </c>
      <c r="V15" s="987">
        <f>SUMIF($C$2:$N$2,"&lt;="&amp;締月,C15:N15)</f>
        <v>1853985</v>
      </c>
      <c r="W15" s="987">
        <f>S15-V15</f>
        <v>3666015</v>
      </c>
    </row>
    <row r="16" ht="18" customHeight="1" s="186">
      <c r="A16" s="1208" t="inlineStr">
        <is>
          <t>委託費</t>
        </is>
      </c>
      <c r="B16" s="1209" t="n"/>
      <c r="C16" s="1210">
        <f>IF(C$2&lt;=締月,'貸付差引簿集計'!C11,AA16)</f>
        <v>0</v>
      </c>
      <c r="D16" s="1184">
        <f>IF(D$2&lt;=締月,'貸付差引簿集計'!D11,AB16)</f>
        <v>0</v>
      </c>
      <c r="E16" s="1184">
        <f>IF(E$2&lt;=締月,'貸付差引簿集計'!E11,AC16)</f>
        <v>0</v>
      </c>
      <c r="F16" s="1184">
        <f>IF(F$2&lt;=締月,'貸付差引簿集計'!F11,AD16)</f>
        <v>0</v>
      </c>
      <c r="G16" s="1184">
        <f>IF(G$2&lt;=締月,'貸付差引簿集計'!G11,AE16)</f>
        <v>0</v>
      </c>
      <c r="H16" s="1184">
        <f>IF(H$2&lt;=締月,'貸付差引簿集計'!H11,AF16)</f>
        <v>153120</v>
      </c>
      <c r="I16" s="1184">
        <f>IF(I$2&lt;=締月,'貸付差引簿集計'!I11,AG16)</f>
        <v>36943</v>
      </c>
      <c r="J16" s="1184">
        <f>IF(J$2&lt;=締月,'貸付差引簿集計'!J11,AH16)</f>
        <v>0</v>
      </c>
      <c r="K16" s="1184">
        <f>IF(K$2&lt;=締月,'貸付差引簿集計'!K11,AI16)</f>
        <v>0</v>
      </c>
      <c r="L16" s="1184">
        <f>IF(L$2&lt;=締月,'貸付差引簿集計'!L11,AJ16)</f>
        <v>0</v>
      </c>
      <c r="M16" s="1184">
        <f>IF(M$2&lt;=締月,'貸付差引簿集計'!M11,AK16)</f>
        <v>0</v>
      </c>
      <c r="N16" s="1184">
        <f>IF(N$2&lt;=締月,'貸付差引簿集計'!N11,AL16)</f>
        <v>0</v>
      </c>
      <c r="O16" s="1211">
        <f>IF(O$2&lt;=締月,'貸付差引簿集計'!O11,AM16)</f>
        <v>192720</v>
      </c>
      <c r="P16" s="1179">
        <f>SUM(C16:O16)</f>
        <v>382783</v>
      </c>
      <c r="Q16" s="1186" t="n">
        <v>525000</v>
      </c>
      <c r="R16" s="1187" t="n"/>
      <c r="S16" s="1179">
        <f>SUM(Q16:R16)</f>
        <v>525000</v>
      </c>
      <c r="T16" s="1182">
        <f>S16-P16</f>
        <v>142217</v>
      </c>
      <c r="V16" s="987">
        <f>SUMIF($C$2:$N$2,"&lt;="&amp;締月,C16:N16)</f>
        <v>153120</v>
      </c>
      <c r="W16" s="987">
        <f>S16-V16</f>
        <v>371880</v>
      </c>
      <c r="X16" s="1059" t="n">
        <v>1</v>
      </c>
      <c r="AA16" s="1060" t="n"/>
      <c r="AB16" s="1060" t="n"/>
      <c r="AC16" s="1060" t="n"/>
      <c r="AD16" s="1060" t="n"/>
      <c r="AE16" s="1060" t="n"/>
      <c r="AF16" s="1060" t="n">
        <v>153120</v>
      </c>
      <c r="AG16" s="1060" t="n">
        <v>36943</v>
      </c>
      <c r="AH16" s="1060" t="n"/>
      <c r="AI16" s="1060" t="n"/>
      <c r="AJ16" s="1060" t="n"/>
      <c r="AK16" s="1060" t="n"/>
      <c r="AL16" s="1060" t="n"/>
      <c r="AM16" s="1060" t="n">
        <v>192720</v>
      </c>
    </row>
    <row r="17" ht="18" customHeight="1" s="186">
      <c r="A17" s="1208" t="inlineStr">
        <is>
          <t>修繕費</t>
        </is>
      </c>
      <c r="B17" s="1209" t="n"/>
      <c r="C17" s="1210">
        <f>IF(C$2&lt;=締月,'貸付差引簿集計'!C12,AA17)</f>
        <v>0</v>
      </c>
      <c r="D17" s="1184">
        <f>IF(D$2&lt;=締月,'貸付差引簿集計'!D12,AB17)</f>
        <v>0</v>
      </c>
      <c r="E17" s="1184">
        <f>IF(E$2&lt;=締月,'貸付差引簿集計'!E12,AC17)</f>
        <v>0</v>
      </c>
      <c r="F17" s="1184">
        <f>IF(F$2&lt;=締月,'貸付差引簿集計'!F12,AD17)</f>
        <v>0</v>
      </c>
      <c r="G17" s="1184">
        <f>IF(G$2&lt;=締月,'貸付差引簿集計'!G12,AE17)</f>
        <v>0</v>
      </c>
      <c r="H17" s="1184">
        <f>IF(H$2&lt;=締月,'貸付差引簿集計'!H12,AF17)</f>
        <v>0</v>
      </c>
      <c r="I17" s="1184">
        <f>IF(I$2&lt;=締月,'貸付差引簿集計'!I12,AG17)</f>
        <v>0</v>
      </c>
      <c r="J17" s="1184">
        <f>IF(J$2&lt;=締月,'貸付差引簿集計'!J12,AH17)</f>
        <v>0</v>
      </c>
      <c r="K17" s="1184">
        <f>IF(K$2&lt;=締月,'貸付差引簿集計'!K12,AI17)</f>
        <v>0</v>
      </c>
      <c r="L17" s="1184">
        <f>IF(L$2&lt;=締月,'貸付差引簿集計'!L12,AJ17)</f>
        <v>0</v>
      </c>
      <c r="M17" s="1184">
        <f>IF(M$2&lt;=締月,'貸付差引簿集計'!M12,AK17)</f>
        <v>0</v>
      </c>
      <c r="N17" s="1184">
        <f>IF(N$2&lt;=締月,'貸付差引簿集計'!N12,AL17)</f>
        <v>0</v>
      </c>
      <c r="O17" s="1211">
        <f>IF(O$2&lt;=締月,'貸付差引簿集計'!O12,AM17)</f>
        <v>0</v>
      </c>
      <c r="P17" s="1179">
        <f>SUM(C17:O17)</f>
        <v>0</v>
      </c>
      <c r="Q17" s="1186" t="n">
        <v>100000</v>
      </c>
      <c r="R17" s="1187" t="n"/>
      <c r="S17" s="1179">
        <f>SUM(Q17:R17)</f>
        <v>100000</v>
      </c>
      <c r="T17" s="1182">
        <f>S17-P17</f>
        <v>100000</v>
      </c>
      <c r="V17" s="987">
        <f>SUMIF($C$2:$N$2,"&lt;="&amp;締月,C17:N17)</f>
        <v>0</v>
      </c>
      <c r="W17" s="987">
        <f>S17-V17</f>
        <v>100000</v>
      </c>
      <c r="X17" s="1059" t="n">
        <v>1</v>
      </c>
      <c r="AA17" s="1060" t="n"/>
      <c r="AB17" s="1060" t="n"/>
      <c r="AC17" s="1060" t="n"/>
      <c r="AD17" s="1060" t="n"/>
      <c r="AE17" s="1060" t="n"/>
      <c r="AF17" s="1060" t="n"/>
      <c r="AG17" s="1060" t="n"/>
      <c r="AH17" s="1060" t="n"/>
      <c r="AI17" s="1060" t="n"/>
      <c r="AJ17" s="1060" t="n"/>
      <c r="AK17" s="1060" t="n"/>
      <c r="AL17" s="1060" t="n"/>
      <c r="AM17" s="1060" t="n"/>
    </row>
    <row r="18" ht="18" customHeight="1" s="186">
      <c r="A18" s="1208" t="inlineStr">
        <is>
          <t>賃借料</t>
        </is>
      </c>
      <c r="B18" s="1209" t="n"/>
      <c r="C18" s="1210">
        <f>IF(C$2&lt;=締月,'貸付差引簿集計'!C13,AA18)</f>
        <v>0</v>
      </c>
      <c r="D18" s="1184">
        <f>IF(D$2&lt;=締月,'貸付差引簿集計'!D13,AB18)</f>
        <v>74674</v>
      </c>
      <c r="E18" s="1184">
        <f>IF(E$2&lt;=締月,'貸付差引簿集計'!E13,AC18)</f>
        <v>74674</v>
      </c>
      <c r="F18" s="1184">
        <f>IF(F$2&lt;=締月,'貸付差引簿集計'!F13,AD18)</f>
        <v>74674</v>
      </c>
      <c r="G18" s="1184">
        <f>IF(G$2&lt;=締月,'貸付差引簿集計'!G13,AE18)</f>
        <v>74674</v>
      </c>
      <c r="H18" s="1184">
        <f>IF(H$2&lt;=締月,'貸付差引簿集計'!H13,AF18)</f>
        <v>74674</v>
      </c>
      <c r="I18" s="1184">
        <f>IF(I$2&lt;=締月,'貸付差引簿集計'!I13,AG18)</f>
        <v>74674</v>
      </c>
      <c r="J18" s="1184">
        <f>IF(J$2&lt;=締月,'貸付差引簿集計'!J13,AH18)</f>
        <v>74674</v>
      </c>
      <c r="K18" s="1184">
        <f>IF(K$2&lt;=締月,'貸付差引簿集計'!K13,AI18)</f>
        <v>74674</v>
      </c>
      <c r="L18" s="1184">
        <f>IF(L$2&lt;=締月,'貸付差引簿集計'!L13,AJ18)</f>
        <v>74674</v>
      </c>
      <c r="M18" s="1184">
        <f>IF(M$2&lt;=締月,'貸付差引簿集計'!M13,AK18)</f>
        <v>74674</v>
      </c>
      <c r="N18" s="1184">
        <f>IF(N$2&lt;=締月,'貸付差引簿集計'!N13,AL18)</f>
        <v>74674</v>
      </c>
      <c r="O18" s="1211">
        <f>IF(O$2&lt;=締月,'貸付差引簿集計'!O13,AM18)</f>
        <v>55757</v>
      </c>
      <c r="P18" s="1179">
        <f>SUM(C18:O18)</f>
        <v>877171</v>
      </c>
      <c r="Q18" s="1186" t="n">
        <v>882000</v>
      </c>
      <c r="R18" s="1187" t="n"/>
      <c r="S18" s="1179">
        <f>SUM(Q18:R18)</f>
        <v>882000</v>
      </c>
      <c r="T18" s="1182">
        <f>S18-P18</f>
        <v>4829</v>
      </c>
      <c r="V18" s="987">
        <f>SUMIF($C$2:$N$2,"&lt;="&amp;締月,C18:N18)</f>
        <v>373370</v>
      </c>
      <c r="W18" s="987">
        <f>S18-V18</f>
        <v>508630</v>
      </c>
      <c r="X18" s="1059" t="n">
        <v>1</v>
      </c>
      <c r="AA18" s="1060" t="n"/>
      <c r="AB18" s="1060" t="n">
        <v>74674</v>
      </c>
      <c r="AC18" s="1060" t="n">
        <v>74674</v>
      </c>
      <c r="AD18" s="1060" t="n">
        <v>74674</v>
      </c>
      <c r="AE18" s="1060" t="n">
        <v>74674</v>
      </c>
      <c r="AF18" s="1060" t="n">
        <v>74674</v>
      </c>
      <c r="AG18" s="1060" t="n">
        <v>74674</v>
      </c>
      <c r="AH18" s="1060" t="n">
        <v>74674</v>
      </c>
      <c r="AI18" s="1060" t="n">
        <v>74674</v>
      </c>
      <c r="AJ18" s="1060" t="n">
        <v>74674</v>
      </c>
      <c r="AK18" s="1060" t="n">
        <v>74674</v>
      </c>
      <c r="AL18" s="1060" t="n">
        <v>74674</v>
      </c>
      <c r="AM18" s="1060" t="n">
        <v>55757</v>
      </c>
    </row>
    <row r="19" ht="18" customHeight="1" s="186">
      <c r="A19" s="1208" t="inlineStr">
        <is>
          <t>普及費</t>
        </is>
      </c>
      <c r="B19" s="1209" t="n"/>
      <c r="C19" s="1210">
        <f>IF(C$2&lt;=締月,'貸付差引簿集計'!C14,AA19)</f>
        <v>0</v>
      </c>
      <c r="D19" s="1184">
        <f>IF(D$2&lt;=締月,'貸付差引簿集計'!D14,AB19)</f>
        <v>0</v>
      </c>
      <c r="E19" s="1184">
        <f>IF(E$2&lt;=締月,'貸付差引簿集計'!E14,AC19)</f>
        <v>0</v>
      </c>
      <c r="F19" s="1184">
        <f>IF(F$2&lt;=締月,'貸付差引簿集計'!F14,AD19)</f>
        <v>0</v>
      </c>
      <c r="G19" s="1184">
        <f>IF(G$2&lt;=締月,'貸付差引簿集計'!G14,AE19)</f>
        <v>242770</v>
      </c>
      <c r="H19" s="1184">
        <f>IF(H$2&lt;=締月,'貸付差引簿集計'!H14,AF19)</f>
        <v>0</v>
      </c>
      <c r="I19" s="1184">
        <f>IF(I$2&lt;=締月,'貸付差引簿集計'!I14,AG19)</f>
        <v>0</v>
      </c>
      <c r="J19" s="1184">
        <f>IF(J$2&lt;=締月,'貸付差引簿集計'!J14,AH19)</f>
        <v>0</v>
      </c>
      <c r="K19" s="1184">
        <f>IF(K$2&lt;=締月,'貸付差引簿集計'!K14,AI19)</f>
        <v>0</v>
      </c>
      <c r="L19" s="1184">
        <f>IF(L$2&lt;=締月,'貸付差引簿集計'!L14,AJ19)</f>
        <v>0</v>
      </c>
      <c r="M19" s="1184">
        <f>IF(M$2&lt;=締月,'貸付差引簿集計'!M14,AK19)</f>
        <v>0</v>
      </c>
      <c r="N19" s="1184">
        <f>IF(N$2&lt;=締月,'貸付差引簿集計'!N14,AL19)</f>
        <v>0</v>
      </c>
      <c r="O19" s="1211">
        <f>IF(O$2&lt;=締月,'貸付差引簿集計'!O14,AM19)</f>
        <v>0</v>
      </c>
      <c r="P19" s="1179">
        <f>SUM(C19:O19)</f>
        <v>242770</v>
      </c>
      <c r="Q19" s="1186" t="n">
        <v>648000</v>
      </c>
      <c r="R19" s="1187" t="n"/>
      <c r="S19" s="1179">
        <f>SUM(Q19:R19)</f>
        <v>648000</v>
      </c>
      <c r="T19" s="1182">
        <f>S19-P19</f>
        <v>405230</v>
      </c>
      <c r="V19" s="987">
        <f>SUMIF($C$2:$N$2,"&lt;="&amp;締月,C19:N19)</f>
        <v>242770</v>
      </c>
      <c r="W19" s="987">
        <f>S19-V19</f>
        <v>405230</v>
      </c>
      <c r="X19" s="1059" t="n">
        <v>1</v>
      </c>
      <c r="AA19" s="1060" t="n"/>
      <c r="AB19" s="1060" t="n"/>
      <c r="AC19" s="1060" t="n"/>
      <c r="AD19" s="1060" t="n"/>
      <c r="AE19" s="1060" t="n">
        <v>242770</v>
      </c>
      <c r="AF19" s="1060" t="n"/>
      <c r="AG19" s="1060" t="n"/>
      <c r="AH19" s="1060" t="n"/>
      <c r="AI19" s="1060" t="n"/>
      <c r="AJ19" s="1060" t="n"/>
      <c r="AK19" s="1060" t="n"/>
      <c r="AL19" s="1060" t="n"/>
      <c r="AM19" s="1060" t="n"/>
    </row>
    <row r="20" ht="18" customHeight="1" s="186">
      <c r="A20" s="1208" t="inlineStr">
        <is>
          <t>食糧費</t>
        </is>
      </c>
      <c r="B20" s="1209" t="n"/>
      <c r="C20" s="1210">
        <f>IF(C$2&lt;=締月,'貸付差引簿集計'!C15,AA20)</f>
        <v>0</v>
      </c>
      <c r="D20" s="1184">
        <f>IF(D$2&lt;=締月,'貸付差引簿集計'!D15,AB20)</f>
        <v>0</v>
      </c>
      <c r="E20" s="1184">
        <f>IF(E$2&lt;=締月,'貸付差引簿集計'!E15,AC20)</f>
        <v>0</v>
      </c>
      <c r="F20" s="1184">
        <f>IF(F$2&lt;=締月,'貸付差引簿集計'!F15,AD20)</f>
        <v>0</v>
      </c>
      <c r="G20" s="1184">
        <f>IF(G$2&lt;=締月,'貸付差引簿集計'!G15,AE20)</f>
        <v>0</v>
      </c>
      <c r="H20" s="1184">
        <f>IF(H$2&lt;=締月,'貸付差引簿集計'!H15,AF20)</f>
        <v>0</v>
      </c>
      <c r="I20" s="1184">
        <f>IF(I$2&lt;=締月,'貸付差引簿集計'!I15,AG20)</f>
        <v>0</v>
      </c>
      <c r="J20" s="1184">
        <f>IF(J$2&lt;=締月,'貸付差引簿集計'!J15,AH20)</f>
        <v>0</v>
      </c>
      <c r="K20" s="1184">
        <f>IF(K$2&lt;=締月,'貸付差引簿集計'!K15,AI20)</f>
        <v>0</v>
      </c>
      <c r="L20" s="1184">
        <f>IF(L$2&lt;=締月,'貸付差引簿集計'!L15,AJ20)</f>
        <v>0</v>
      </c>
      <c r="M20" s="1184">
        <f>IF(M$2&lt;=締月,'貸付差引簿集計'!M15,AK20)</f>
        <v>0</v>
      </c>
      <c r="N20" s="1184">
        <f>IF(N$2&lt;=締月,'貸付差引簿集計'!N15,AL20)</f>
        <v>0</v>
      </c>
      <c r="O20" s="1211">
        <f>IF(O$2&lt;=締月,'貸付差引簿集計'!O15,AM20)</f>
        <v>0</v>
      </c>
      <c r="P20" s="1179">
        <f>SUM(C20:O20)</f>
        <v>0</v>
      </c>
      <c r="Q20" s="1186" t="n">
        <v>0</v>
      </c>
      <c r="R20" s="1187" t="n"/>
      <c r="S20" s="1179">
        <f>SUM(Q20:R20)</f>
        <v>0</v>
      </c>
      <c r="T20" s="1182">
        <f>S20-P20</f>
        <v>0</v>
      </c>
      <c r="V20" s="987">
        <f>SUMIF($C$2:$N$2,"&lt;="&amp;締月,C20:N20)</f>
        <v>0</v>
      </c>
      <c r="W20" s="987">
        <f>S20-V20</f>
        <v>0</v>
      </c>
      <c r="X20" s="1059" t="n">
        <v>1</v>
      </c>
      <c r="AA20" s="1060" t="n"/>
      <c r="AB20" s="1060" t="n"/>
      <c r="AC20" s="1060" t="n"/>
      <c r="AD20" s="1060" t="n"/>
      <c r="AE20" s="1060" t="n"/>
      <c r="AF20" s="1060" t="n"/>
      <c r="AG20" s="1060" t="n"/>
      <c r="AH20" s="1060" t="n"/>
      <c r="AI20" s="1060" t="n"/>
      <c r="AJ20" s="1060" t="n"/>
      <c r="AK20" s="1060" t="n"/>
      <c r="AL20" s="1060" t="n"/>
      <c r="AM20" s="1060" t="n"/>
    </row>
    <row r="21" ht="18" customHeight="1" s="186">
      <c r="A21" s="1212" t="inlineStr">
        <is>
          <t>負担金</t>
        </is>
      </c>
      <c r="B21" s="1213" t="inlineStr">
        <is>
          <t>互助会費</t>
        </is>
      </c>
      <c r="C21" s="1190" t="n">
        <v>468</v>
      </c>
      <c r="D21" s="1190" t="n">
        <v>468</v>
      </c>
      <c r="E21" s="1190" t="n">
        <v>468</v>
      </c>
      <c r="F21" s="1190" t="n">
        <v>468</v>
      </c>
      <c r="G21" s="1214" t="n">
        <v>468</v>
      </c>
      <c r="H21" s="1190" t="n">
        <v>468</v>
      </c>
      <c r="I21" s="1215" t="n">
        <v>534</v>
      </c>
      <c r="J21" s="1215" t="n">
        <v>534</v>
      </c>
      <c r="K21" s="1215" t="n">
        <v>534</v>
      </c>
      <c r="L21" s="1215" t="n">
        <v>684</v>
      </c>
      <c r="M21" s="1215" t="n">
        <v>549</v>
      </c>
      <c r="N21" s="1215" t="n">
        <v>549</v>
      </c>
      <c r="O21" s="1216" t="n"/>
      <c r="P21" s="1192">
        <f>SUM(C21:O21)</f>
        <v>6192</v>
      </c>
      <c r="Q21" s="1217" t="n">
        <v>2177000</v>
      </c>
      <c r="R21" s="1218" t="n"/>
      <c r="S21" s="1219">
        <f>SUM(Q21:R21)</f>
        <v>2177000</v>
      </c>
      <c r="T21" s="1220">
        <f>S21-SUM(P21:P25)</f>
        <v>292352</v>
      </c>
      <c r="V21" s="987">
        <f>SUMIF($C$2:$N$2,"&lt;="&amp;締月,C21:N21)</f>
        <v>2808</v>
      </c>
    </row>
    <row r="22" ht="18" customHeight="1" s="186">
      <c r="A22" s="1013" t="n"/>
      <c r="B22" s="1221" t="inlineStr">
        <is>
          <t>協会けんぽ保険料等</t>
        </is>
      </c>
      <c r="C22" s="1222" t="n"/>
      <c r="D22" s="1196" t="n"/>
      <c r="E22" s="1197" t="n"/>
      <c r="F22" s="1196" t="n"/>
      <c r="G22" s="1197" t="n"/>
      <c r="H22" s="1197" t="n"/>
      <c r="I22" s="1197" t="n"/>
      <c r="J22" s="1197" t="n"/>
      <c r="K22" s="1197" t="n"/>
      <c r="L22" s="1197" t="n"/>
      <c r="M22" s="1197" t="n"/>
      <c r="N22" s="1197" t="n"/>
      <c r="O22" s="1223" t="n"/>
      <c r="P22" s="1163">
        <f>SUM(C22:O22)</f>
        <v>0</v>
      </c>
      <c r="Q22" s="992" t="n"/>
      <c r="R22" s="992" t="n"/>
      <c r="S22" s="992" t="n"/>
      <c r="T22" s="992" t="n"/>
      <c r="V22" s="987">
        <f>SUMIF($C$2:$N$2,"&lt;="&amp;締月,C22:N22)</f>
        <v>0</v>
      </c>
    </row>
    <row r="23" ht="18" customHeight="1" s="186">
      <c r="A23" s="1013" t="n"/>
      <c r="B23" s="1224" t="inlineStr">
        <is>
          <t>共済負担金等</t>
        </is>
      </c>
      <c r="C23" s="1196" t="n">
        <v>45719</v>
      </c>
      <c r="D23" s="1196" t="n">
        <v>45719</v>
      </c>
      <c r="E23" s="1196" t="n">
        <v>98509</v>
      </c>
      <c r="F23" s="1196" t="n">
        <v>45719</v>
      </c>
      <c r="G23" s="1225" t="n">
        <v>199402</v>
      </c>
      <c r="H23" s="1196" t="n">
        <v>45719</v>
      </c>
      <c r="I23" s="1226" t="n">
        <v>47257</v>
      </c>
      <c r="J23" s="1226" t="n">
        <v>47257</v>
      </c>
      <c r="K23" s="1226" t="n">
        <v>99869</v>
      </c>
      <c r="L23" s="1226" t="n">
        <v>49972</v>
      </c>
      <c r="M23" s="1226" t="n">
        <v>47257</v>
      </c>
      <c r="N23" s="1226" t="n">
        <v>47257</v>
      </c>
      <c r="O23" s="1223" t="n"/>
      <c r="P23" s="1195">
        <f>SUM(C23:O23)</f>
        <v>819656</v>
      </c>
      <c r="Q23" s="992" t="n"/>
      <c r="R23" s="992" t="n"/>
      <c r="S23" s="992" t="n"/>
      <c r="T23" s="992" t="n"/>
      <c r="V23" s="987">
        <f>SUMIF($C$2:$N$2,"&lt;="&amp;締月,C23:N23)</f>
        <v>480787</v>
      </c>
    </row>
    <row r="24" ht="18" customHeight="1" s="186">
      <c r="A24" s="1013" t="n"/>
      <c r="B24" s="1227" t="inlineStr">
        <is>
          <t>厚生年金保険料等</t>
        </is>
      </c>
      <c r="C24" s="1228">
        <f>IF(C$2&lt;=締月,'貸付差引簿集計'!C16+'貸付差引簿集計'!C21,AA24)</f>
        <v>0</v>
      </c>
      <c r="D24" s="1229">
        <f>IF(D$2&lt;=締月,'貸付差引簿集計'!D16+'貸付差引簿集計'!D21,AB24)</f>
        <v>72040</v>
      </c>
      <c r="E24" s="1229">
        <f>IF(E$2&lt;=締月,'貸付差引簿集計'!E16+'貸付差引簿集計'!E21,AC24)</f>
        <v>142650</v>
      </c>
      <c r="F24" s="1229">
        <f>IF(F$2&lt;=締月,'貸付差引簿集計'!F16+'貸付差引簿集計'!F21,AD24)</f>
        <v>71325</v>
      </c>
      <c r="G24" s="1229">
        <f>IF(G$2&lt;=締月,'貸付差引簿集計'!G16+'貸付差引簿集計'!G21,AE24)</f>
        <v>0</v>
      </c>
      <c r="H24" s="1229">
        <f>IF(H$2&lt;=締月,'貸付差引簿集計'!H16+'貸付差引簿集計'!H21,AF24)</f>
        <v>71325</v>
      </c>
      <c r="I24" s="1229">
        <f>IF(I$2&lt;=締月,'貸付差引簿集計'!I16+'貸付差引簿集計'!I21,AG24)</f>
        <v>71325</v>
      </c>
      <c r="J24" s="1229">
        <f>IF(J$2&lt;=締月,'貸付差引簿集計'!J16+'貸付差引簿集計'!J21,AH24)</f>
        <v>0</v>
      </c>
      <c r="K24" s="1229">
        <f>IF(K$2&lt;=締月,'貸付差引簿集計'!K16+'貸付差引簿集計'!K21,AI24)</f>
        <v>71325</v>
      </c>
      <c r="L24" s="1229">
        <f>IF(L$2&lt;=締月,'貸付差引簿集計'!L16+'貸付差引簿集計'!L21,AJ24)</f>
        <v>71325</v>
      </c>
      <c r="M24" s="1229">
        <f>IF(M$2&lt;=締月,'貸付差引簿集計'!M16+'貸付差引簿集計'!M21,AK24)</f>
        <v>150733</v>
      </c>
      <c r="N24" s="1229">
        <f>IF(N$2&lt;=締月,'貸付差引簿集計'!N16+'貸付差引簿集計'!N21,AL24)</f>
        <v>146739</v>
      </c>
      <c r="O24" s="1230">
        <f>IF(O$2&lt;=締月,'貸付差引簿集計'!O16+'貸付差引簿集計'!O21,AM24)</f>
        <v>60864</v>
      </c>
      <c r="P24" s="1195">
        <f>SUM(D24:O24)</f>
        <v>929651</v>
      </c>
      <c r="Q24" s="992" t="n"/>
      <c r="R24" s="992" t="n"/>
      <c r="S24" s="992" t="n"/>
      <c r="T24" s="992" t="n"/>
      <c r="V24" s="987">
        <f>SUMIF($C$2:$N$2,"&lt;="&amp;締月,C24:N24)</f>
        <v>357340</v>
      </c>
      <c r="X24" s="1059" t="n">
        <v>1</v>
      </c>
      <c r="AA24" s="1060" t="n"/>
      <c r="AB24" s="1060" t="n">
        <v>72040</v>
      </c>
      <c r="AC24" s="1060" t="n">
        <v>142650</v>
      </c>
      <c r="AD24" s="1060" t="n">
        <v>71325</v>
      </c>
      <c r="AE24" s="1060" t="n"/>
      <c r="AF24" s="1060" t="n">
        <v>71325</v>
      </c>
      <c r="AG24" s="1060" t="n">
        <v>71325</v>
      </c>
      <c r="AH24" s="1060" t="n"/>
      <c r="AI24" s="1060" t="n">
        <v>71325</v>
      </c>
      <c r="AJ24" s="1060" t="n">
        <v>71325</v>
      </c>
      <c r="AK24" s="1060" t="n">
        <v>150733</v>
      </c>
      <c r="AL24" s="1060" t="n">
        <v>146739</v>
      </c>
      <c r="AM24" s="1060" t="n">
        <v>60864</v>
      </c>
    </row>
    <row r="25" ht="18" customHeight="1" s="186">
      <c r="A25" s="1013" t="n"/>
      <c r="B25" s="1231" t="inlineStr">
        <is>
          <t>労災・雇用等保険料</t>
        </is>
      </c>
      <c r="C25" s="1199">
        <f>IF(C$2&lt;=締月,'貸付差引簿集計'!C17,AA25)</f>
        <v>0</v>
      </c>
      <c r="D25" s="1232">
        <f>IF(D$2&lt;=締月,'貸付差引簿集計'!D17,AB25)</f>
        <v>0</v>
      </c>
      <c r="E25" s="1232">
        <f>IF(E$2&lt;=締月,'貸付差引簿集計'!E17,AC25)</f>
        <v>0</v>
      </c>
      <c r="F25" s="1229">
        <f>IF(F$2&lt;=締月,'貸付差引簿集計'!F17,AD25)</f>
        <v>129149</v>
      </c>
      <c r="G25" s="1199">
        <f>IF(G$2&lt;=締月,'貸付差引簿集計'!G17,AE25)</f>
        <v>0</v>
      </c>
      <c r="H25" s="1199">
        <f>IF(H$2&lt;=締月,'貸付差引簿集計'!H17,AF25)</f>
        <v>0</v>
      </c>
      <c r="I25" s="1199">
        <f>IF(I$2&lt;=締月,'貸付差引簿集計'!I17,AG25)</f>
        <v>0</v>
      </c>
      <c r="J25" s="1199">
        <f>IF(J$2&lt;=締月,'貸付差引簿集計'!J17,AH25)</f>
        <v>0</v>
      </c>
      <c r="K25" s="1199">
        <f>IF(K$2&lt;=締月,'貸付差引簿集計'!K17,AI25)</f>
        <v>0</v>
      </c>
      <c r="L25" s="1199">
        <f>IF(L$2&lt;=締月,'貸付差引簿集計'!L17,AJ25)</f>
        <v>0</v>
      </c>
      <c r="M25" s="1199">
        <f>IF(M$2&lt;=締月,'貸付差引簿集計'!M17,AK25)</f>
        <v>0</v>
      </c>
      <c r="N25" s="1199">
        <f>IF(N$2&lt;=締月,'貸付差引簿集計'!N17,AL25)</f>
        <v>0</v>
      </c>
      <c r="O25" s="1200">
        <f>IF(O$2&lt;=締月,'貸付差引簿集計'!O17,AM25)</f>
        <v>0</v>
      </c>
      <c r="P25" s="1195">
        <f>SUM(C25:O25)</f>
        <v>129149</v>
      </c>
      <c r="Q25" s="1021" t="n"/>
      <c r="R25" s="1021" t="n"/>
      <c r="S25" s="1021" t="n"/>
      <c r="T25" s="1021" t="n"/>
      <c r="V25" s="987">
        <f>SUMIF($C$2:$N$2,"&lt;="&amp;締月,C25:N25)</f>
        <v>129149</v>
      </c>
      <c r="X25" s="1059" t="n">
        <v>1</v>
      </c>
      <c r="AA25" s="1060" t="n"/>
      <c r="AB25" s="1060" t="n"/>
      <c r="AC25" s="1060" t="n"/>
      <c r="AD25" s="1060" t="n">
        <v>129149</v>
      </c>
      <c r="AE25" s="1060" t="n"/>
      <c r="AF25" s="1060" t="n"/>
      <c r="AG25" s="1060" t="n"/>
      <c r="AH25" s="1060" t="n"/>
      <c r="AI25" s="1060" t="n"/>
      <c r="AJ25" s="1060" t="n"/>
      <c r="AK25" s="1060" t="n"/>
      <c r="AL25" s="1060" t="n"/>
      <c r="AM25" s="1060" t="n"/>
    </row>
    <row r="26" ht="18" customHeight="1" s="186">
      <c r="A26" s="1013" t="n"/>
      <c r="B26" s="1224" t="inlineStr">
        <is>
          <t>その他負担金</t>
        </is>
      </c>
      <c r="C26" s="1199">
        <f>IF(C$2&lt;=締月,'貸付差引簿集計'!C18,AA26)</f>
        <v>0</v>
      </c>
      <c r="D26" s="1199">
        <f>IF(D$2&lt;=締月,'貸付差引簿集計'!D18,AB26)</f>
        <v>0</v>
      </c>
      <c r="E26" s="1199">
        <f>IF(E$2&lt;=締月,'貸付差引簿集計'!E18,AC26)</f>
        <v>0</v>
      </c>
      <c r="F26" s="1199">
        <f>IF(F$2&lt;=締月,'貸付差引簿集計'!F18,AD26)</f>
        <v>0</v>
      </c>
      <c r="G26" s="1199">
        <f>IF(G$2&lt;=締月,'貸付差引簿集計'!G18,AE26)</f>
        <v>0</v>
      </c>
      <c r="H26" s="1199">
        <f>IF(H$2&lt;=締月,'貸付差引簿集計'!H18,AF26)</f>
        <v>0</v>
      </c>
      <c r="I26" s="1199">
        <f>IF(I$2&lt;=締月,'貸付差引簿集計'!I18,AG26)</f>
        <v>0</v>
      </c>
      <c r="J26" s="1199">
        <f>IF(J$2&lt;=締月,'貸付差引簿集計'!J18,AH26)</f>
        <v>0</v>
      </c>
      <c r="K26" s="1199">
        <f>IF(K$2&lt;=締月,'貸付差引簿集計'!K18,AI26)</f>
        <v>0</v>
      </c>
      <c r="L26" s="1199">
        <f>IF(L$2&lt;=締月,'貸付差引簿集計'!L18,AJ26)</f>
        <v>0</v>
      </c>
      <c r="M26" s="1199">
        <f>IF(M$2&lt;=締月,'貸付差引簿集計'!M18,AK26)</f>
        <v>0</v>
      </c>
      <c r="N26" s="1199">
        <f>IF(N$2&lt;=締月,'貸付差引簿集計'!N18,AL26)</f>
        <v>0</v>
      </c>
      <c r="O26" s="1200">
        <f>IF(O$2&lt;=締月,'貸付差引簿集計'!O18,AM26)</f>
        <v>0</v>
      </c>
      <c r="P26" s="1233">
        <f>SUM(C26:O26)</f>
        <v>0</v>
      </c>
      <c r="Q26" s="1196" t="n">
        <v>33000</v>
      </c>
      <c r="R26" s="1234" t="n"/>
      <c r="S26" s="1233">
        <f>SUM(Q26:R26)</f>
        <v>33000</v>
      </c>
      <c r="T26" s="1235">
        <f>S26-P26</f>
        <v>33000</v>
      </c>
      <c r="V26" s="987">
        <f>SUMIF($C$2:$N$2,"&lt;="&amp;締月,C26:N26)</f>
        <v>0</v>
      </c>
      <c r="W26" s="987">
        <f>S26-V26</f>
        <v>33000</v>
      </c>
      <c r="X26" s="1059" t="n">
        <v>1</v>
      </c>
      <c r="AA26" s="1060" t="n"/>
      <c r="AB26" s="1060" t="n"/>
      <c r="AC26" s="1060" t="n"/>
      <c r="AD26" s="1060" t="n"/>
      <c r="AE26" s="1060" t="n"/>
      <c r="AF26" s="1060" t="n"/>
      <c r="AG26" s="1060" t="n"/>
      <c r="AH26" s="1060" t="n"/>
      <c r="AI26" s="1060" t="n"/>
      <c r="AJ26" s="1060" t="n"/>
      <c r="AK26" s="1060" t="n"/>
      <c r="AL26" s="1060" t="n"/>
      <c r="AM26" s="1060" t="n"/>
    </row>
    <row r="27" ht="18" customHeight="1" s="186">
      <c r="A27" s="1024" t="n"/>
      <c r="B27" s="1176" t="inlineStr">
        <is>
          <t>計</t>
        </is>
      </c>
      <c r="C27" s="1177">
        <f>SUM(C21:C26)</f>
        <v>46187</v>
      </c>
      <c r="D27" s="1177">
        <f>SUM(D21:D26)</f>
        <v>118227</v>
      </c>
      <c r="E27" s="1177">
        <f>SUM(E21:E26)</f>
        <v>241627</v>
      </c>
      <c r="F27" s="1177">
        <f>SUM(F21:F26)</f>
        <v>246661</v>
      </c>
      <c r="G27" s="1177">
        <f>SUM(G21:G26)</f>
        <v>199870</v>
      </c>
      <c r="H27" s="1177">
        <f>SUM(H21:H26)</f>
        <v>117512</v>
      </c>
      <c r="I27" s="1177">
        <f>SUM(I21:I26)</f>
        <v>119116</v>
      </c>
      <c r="J27" s="1177">
        <f>SUM(J21:J26)</f>
        <v>47791</v>
      </c>
      <c r="K27" s="1177">
        <f>SUM(K21:K26)</f>
        <v>171728</v>
      </c>
      <c r="L27" s="1177">
        <f>SUM(L21:L26)</f>
        <v>121981</v>
      </c>
      <c r="M27" s="1177">
        <f>SUM(M21:M26)</f>
        <v>198539</v>
      </c>
      <c r="N27" s="1177">
        <f>SUM(N21:N26)</f>
        <v>194545</v>
      </c>
      <c r="O27" s="1236">
        <f>SUM(O21:O26)</f>
        <v>60864</v>
      </c>
      <c r="P27" s="1179">
        <f>SUM(P21:P26)</f>
        <v>1884648</v>
      </c>
      <c r="Q27" s="1180">
        <f>SUM(Q21:Q26)</f>
        <v>2210000</v>
      </c>
      <c r="R27" s="1180">
        <f>SUM(R21:R26)</f>
        <v>0</v>
      </c>
      <c r="S27" s="1179">
        <f>SUM(Q27:R27)</f>
        <v>2210000</v>
      </c>
      <c r="T27" s="1182">
        <f>S27-P27</f>
        <v>325352</v>
      </c>
      <c r="V27" s="1003">
        <f>SUMIF($C$2:$N$2,"&lt;="&amp;締月,C27:N27)</f>
        <v>970084</v>
      </c>
      <c r="W27" s="1003">
        <f>S27-V27</f>
        <v>1239916</v>
      </c>
    </row>
    <row r="28" ht="18" customHeight="1" s="186">
      <c r="A28" s="1009" t="inlineStr">
        <is>
          <t>支払利息</t>
        </is>
      </c>
      <c r="B28" s="979" t="n"/>
      <c r="C28" s="1237" t="n"/>
      <c r="D28" s="1237" t="n"/>
      <c r="E28" s="1206" t="n"/>
      <c r="F28" s="1206" t="n"/>
      <c r="G28" s="1206" t="n"/>
      <c r="H28" s="1206" t="n"/>
      <c r="I28" s="1206" t="n"/>
      <c r="J28" s="1206" t="n"/>
      <c r="K28" s="1206" t="n"/>
      <c r="L28" s="1206" t="n"/>
      <c r="M28" s="1206" t="n"/>
      <c r="N28" s="1206" t="n"/>
      <c r="O28" s="1206" t="n"/>
      <c r="P28" s="1179">
        <f>SUM(C28:O28)</f>
        <v>0</v>
      </c>
      <c r="Q28" s="1186" t="n">
        <v>0</v>
      </c>
      <c r="R28" s="1187" t="n"/>
      <c r="S28" s="1179">
        <f>SUM(Q28:R28)</f>
        <v>0</v>
      </c>
      <c r="T28" s="1182">
        <f>S28-P28</f>
        <v>0</v>
      </c>
      <c r="V28" s="987">
        <f>SUMIF($C$2:$N$2,"&lt;="&amp;締月,C28:N28)</f>
        <v>0</v>
      </c>
      <c r="W28" s="987">
        <f>S28-V28</f>
        <v>0</v>
      </c>
    </row>
    <row r="29" ht="18" customHeight="1" s="186">
      <c r="A29" s="1009" t="inlineStr">
        <is>
          <t>連合会払込金</t>
        </is>
      </c>
      <c r="B29" s="979" t="n"/>
      <c r="C29" s="1238">
        <f>IF(C$2&lt;=締月,'貸付差引簿集計'!C19,AA29)</f>
        <v>0</v>
      </c>
      <c r="D29" s="1238">
        <f>IF(D$2&lt;=締月,'貸付差引簿集計'!D19,AB29)</f>
        <v>0</v>
      </c>
      <c r="E29" s="1238">
        <f>IF(E$2&lt;=締月,'貸付差引簿集計'!E19,AC29)</f>
        <v>0</v>
      </c>
      <c r="F29" s="1238">
        <f>IF(F$2&lt;=締月,'貸付差引簿集計'!F19,AD29)</f>
        <v>0</v>
      </c>
      <c r="G29" s="1238">
        <f>IF(G$2&lt;=締月,'貸付差引簿集計'!G19,AE29)</f>
        <v>0</v>
      </c>
      <c r="H29" s="1238">
        <f>IF(H$2&lt;=締月,'貸付差引簿集計'!H19,AF29)</f>
        <v>0</v>
      </c>
      <c r="I29" s="1238">
        <f>IF(I$2&lt;=締月,'貸付差引簿集計'!I19,AG29)</f>
        <v>0</v>
      </c>
      <c r="J29" s="1238">
        <f>IF(J$2&lt;=締月,'貸付差引簿集計'!J19,AH29)</f>
        <v>0</v>
      </c>
      <c r="K29" s="1238">
        <f>IF(K$2&lt;=締月,'貸付差引簿集計'!K19,AI29)</f>
        <v>0</v>
      </c>
      <c r="L29" s="1238">
        <f>IF(L$2&lt;=締月,'貸付差引簿集計'!L19,AJ29)</f>
        <v>0</v>
      </c>
      <c r="M29" s="1238">
        <f>IF(M$2&lt;=締月,'貸付差引簿集計'!M19,AK29)</f>
        <v>0</v>
      </c>
      <c r="N29" s="1238">
        <f>IF(N$2&lt;=締月,'貸付差引簿集計'!N19,AL29)</f>
        <v>0</v>
      </c>
      <c r="O29" s="1211">
        <f>IF(O$2&lt;=締月,'貸付差引簿集計'!O19,AM29)</f>
        <v>107690</v>
      </c>
      <c r="P29" s="1179">
        <f>SUM(C29:O29)</f>
        <v>107690</v>
      </c>
      <c r="Q29" s="1186" t="n">
        <v>0</v>
      </c>
      <c r="R29" s="1187" t="n"/>
      <c r="S29" s="1179">
        <f>SUM(Q29:R29)</f>
        <v>0</v>
      </c>
      <c r="T29" s="1182">
        <f>S29-P29</f>
        <v>-107690</v>
      </c>
      <c r="V29" s="987">
        <f>SUMIF($C$2:$N$2,"&lt;="&amp;締月,C29:N29)</f>
        <v>0</v>
      </c>
      <c r="W29" s="987">
        <f>S29-V29</f>
        <v>0</v>
      </c>
      <c r="X29" s="1059" t="n">
        <v>1</v>
      </c>
      <c r="AA29" s="1060" t="n"/>
      <c r="AB29" s="1060" t="n"/>
      <c r="AC29" s="1060" t="n"/>
      <c r="AD29" s="1060" t="n"/>
      <c r="AE29" s="1060" t="n"/>
      <c r="AF29" s="1060" t="n"/>
      <c r="AG29" s="1060" t="n"/>
      <c r="AH29" s="1060" t="n"/>
      <c r="AI29" s="1060" t="n"/>
      <c r="AJ29" s="1060" t="n"/>
      <c r="AK29" s="1060" t="n"/>
      <c r="AL29" s="1060" t="n"/>
      <c r="AM29" s="1060" t="n">
        <v>107690</v>
      </c>
    </row>
    <row r="30" ht="18" customHeight="1" s="186">
      <c r="A30" s="1208" t="inlineStr">
        <is>
          <t>雑費</t>
        </is>
      </c>
      <c r="B30" s="1209" t="n"/>
      <c r="C30" s="1238">
        <f>IF(C$2&lt;=締月,'貸付差引簿集計'!C20,AA30)</f>
        <v>0</v>
      </c>
      <c r="D30" s="1238">
        <f>IF(D$2&lt;=締月,'貸付差引簿集計'!D20,AB30)</f>
        <v>0</v>
      </c>
      <c r="E30" s="1238">
        <f>IF(E$2&lt;=締月,'貸付差引簿集計'!E20,AC30)</f>
        <v>0</v>
      </c>
      <c r="F30" s="1238">
        <f>IF(F$2&lt;=締月,'貸付差引簿集計'!F20,AD30)</f>
        <v>0</v>
      </c>
      <c r="G30" s="1238">
        <f>IF(G$2&lt;=締月,'貸付差引簿集計'!G20,AE30)</f>
        <v>0</v>
      </c>
      <c r="H30" s="1238">
        <f>IF(H$2&lt;=締月,'貸付差引簿集計'!H20,AF30)</f>
        <v>0</v>
      </c>
      <c r="I30" s="1238">
        <f>IF(I$2&lt;=締月,'貸付差引簿集計'!I20,AG30)</f>
        <v>0</v>
      </c>
      <c r="J30" s="1238">
        <f>IF(J$2&lt;=締月,'貸付差引簿集計'!J20,AH30)</f>
        <v>0</v>
      </c>
      <c r="K30" s="1238">
        <f>IF(K$2&lt;=締月,'貸付差引簿集計'!K20,AI30)</f>
        <v>0</v>
      </c>
      <c r="L30" s="1238">
        <f>IF(L$2&lt;=締月,'貸付差引簿集計'!L20,AJ30)</f>
        <v>0</v>
      </c>
      <c r="M30" s="1238">
        <f>IF(M$2&lt;=締月,'貸付差引簿集計'!M20,AK30)</f>
        <v>0</v>
      </c>
      <c r="N30" s="1238">
        <f>IF(N$2&lt;=締月,'貸付差引簿集計'!N20,AL30)</f>
        <v>0</v>
      </c>
      <c r="O30" s="1239">
        <f>IF(O$2&lt;=締月,'貸付差引簿集計'!O20,AM30)</f>
        <v>0</v>
      </c>
      <c r="P30" s="1179">
        <f>SUM(C30:O30)</f>
        <v>0</v>
      </c>
      <c r="Q30" s="1186" t="n">
        <v>0</v>
      </c>
      <c r="R30" s="1187" t="n"/>
      <c r="S30" s="1179">
        <f>SUM(Q30:R30)</f>
        <v>0</v>
      </c>
      <c r="T30" s="1182">
        <f>S30-P30</f>
        <v>0</v>
      </c>
      <c r="V30" s="987">
        <f>SUMIF($C$2:$N$2,"&lt;="&amp;締月,C30:N30)</f>
        <v>0</v>
      </c>
      <c r="W30" s="987">
        <f>S30-V30</f>
        <v>0</v>
      </c>
      <c r="X30" s="1059" t="n">
        <v>1</v>
      </c>
      <c r="AA30" s="1060" t="n"/>
      <c r="AB30" s="1060" t="n"/>
      <c r="AC30" s="1060" t="n"/>
      <c r="AD30" s="1060" t="n"/>
      <c r="AE30" s="1060" t="n"/>
      <c r="AF30" s="1060" t="n"/>
      <c r="AG30" s="1060" t="n"/>
      <c r="AH30" s="1060" t="n"/>
      <c r="AI30" s="1060" t="n"/>
      <c r="AJ30" s="1060" t="n"/>
      <c r="AK30" s="1060" t="n"/>
      <c r="AL30" s="1060" t="n"/>
      <c r="AM30" s="1060" t="n">
        <v>0</v>
      </c>
    </row>
    <row r="31" ht="18" customHeight="1" s="186">
      <c r="A31" s="1240" t="inlineStr">
        <is>
          <t>合　　　計</t>
        </is>
      </c>
      <c r="B31" s="1241" t="n"/>
      <c r="C31" s="1177">
        <f>SUM(C6+C7+C8+C14+C15+C16+C17+C18+C19+C20+C27+C28+C29+C30)</f>
        <v>542066</v>
      </c>
      <c r="D31" s="1177">
        <f>SUM(D6+D7+D8+D14+D15+D16+D17+D18+D19+D20+D27+D28+D29+D30)</f>
        <v>962591</v>
      </c>
      <c r="E31" s="1177">
        <f>SUM(E6+E7+E8+E14+E15+E16+E17+E18+E19+E20+E27+E28+E29+E30)</f>
        <v>1900656</v>
      </c>
      <c r="F31" s="1177">
        <f>SUM(F6+F7+F8+F14+F15+F16+F17+F18+F19+F20+F27+F28+F29+F30)</f>
        <v>1106995</v>
      </c>
      <c r="G31" s="1177">
        <f>SUM(G6+G7+G8+G14+G15+G16+G17+G18+G19+G20+G27+G28+G29+G30)</f>
        <v>1423062</v>
      </c>
      <c r="H31" s="1177">
        <f>SUM(H6+H7+H8+H14+H15+H16+H17+H18+H19+H20+H27+H28+H29+H30)</f>
        <v>1089403</v>
      </c>
      <c r="I31" s="1177">
        <f>SUM(I6+I7+I8+I14+I15+I16+I17+I18+I19+I20+I27+I28+I29+I30)</f>
        <v>1080718</v>
      </c>
      <c r="J31" s="1177">
        <f>SUM(J6+J7+J8+J14+J15+J16+J17+J18+J19+J20+J27+J28+J29+J30)</f>
        <v>913437</v>
      </c>
      <c r="K31" s="1177">
        <f>SUM(K6,K7,K8,K14,K15,K16,K17,K18,K19,K20,K27,K28,K29,K30)</f>
        <v>1921335</v>
      </c>
      <c r="L31" s="1177">
        <f>SUM(L6+L7+L8+L14+L15+L16+L17+L18+L19+L20+L27+L28+L29+L30)</f>
        <v>1092749</v>
      </c>
      <c r="M31" s="1177">
        <f>SUM(M6+M7+M8+M14+M15+M16+M17+M18+M19+M20+M27+M28+M29+M30)</f>
        <v>1053997</v>
      </c>
      <c r="N31" s="1177">
        <f>SUM(N6+N7+N8+N14+N15+N16+N17+N18+N19+N20+N27+N28+N29+N30)</f>
        <v>1006894</v>
      </c>
      <c r="O31" s="1177">
        <f>SUM(O6+O7+O8+O14+O15+O16+O17+O18+O19+O20+O27+O28+O29+O30)</f>
        <v>595170</v>
      </c>
      <c r="P31" s="1177">
        <f>SUM(P6+P7+P8+P14+P15+P16+P17+P18+P19+P20+P27+P28+P29+P30)</f>
        <v>14689073</v>
      </c>
      <c r="Q31" s="1177">
        <f>SUM(Q6+Q7+Q8+Q14+Q15+Q16+Q17+Q18+Q19+Q20+Q27+Q28+Q29+Q30)</f>
        <v>18762000</v>
      </c>
      <c r="R31" s="1177">
        <f>SUM(R6+R7+R8+R14+R15+R16+R17+R18+R19+R20+R27+R28+R29+R30)</f>
        <v>0</v>
      </c>
      <c r="S31" s="1177">
        <f>SUM(S6+S7+S8+S14+S15+S16+S17+S18+S19+S20+S27+S28+S29+S30)</f>
        <v>18762000</v>
      </c>
      <c r="T31" s="1177">
        <f>SUM(T6+T7+T8+T14+T15+T16+T17+T18+T19+T20+T27+T28+T29+T30)</f>
        <v>4072927</v>
      </c>
      <c r="V31" s="1003">
        <f>SUMIF($C$2:$N$2,"&lt;="&amp;締月,C31:N31)</f>
        <v>7024773</v>
      </c>
      <c r="W31" s="1003">
        <f>S31-V31</f>
        <v>11737227</v>
      </c>
    </row>
    <row r="32" ht="18" customHeight="1" s="186">
      <c r="A32" s="1031" t="inlineStr">
        <is>
          <t>収益</t>
        </is>
      </c>
      <c r="B32" s="1032" t="n"/>
      <c r="P32" s="1107" t="inlineStr">
        <is>
          <t>概算受領額</t>
        </is>
      </c>
    </row>
    <row r="33" ht="18" customHeight="1" s="186">
      <c r="A33" s="978" t="inlineStr">
        <is>
          <t>区　　　分</t>
        </is>
      </c>
      <c r="B33" s="979" t="n"/>
      <c r="C33" s="978" t="inlineStr">
        <is>
          <t>４月</t>
        </is>
      </c>
      <c r="D33" s="978" t="inlineStr">
        <is>
          <t>５月</t>
        </is>
      </c>
      <c r="E33" s="978" t="inlineStr">
        <is>
          <t>６月</t>
        </is>
      </c>
      <c r="F33" s="978" t="inlineStr">
        <is>
          <t>７月</t>
        </is>
      </c>
      <c r="G33" s="978" t="inlineStr">
        <is>
          <t>８月</t>
        </is>
      </c>
      <c r="H33" s="978" t="inlineStr">
        <is>
          <t>９月</t>
        </is>
      </c>
      <c r="I33" s="978" t="inlineStr">
        <is>
          <t>１０月</t>
        </is>
      </c>
      <c r="J33" s="978" t="inlineStr">
        <is>
          <t>１１月</t>
        </is>
      </c>
      <c r="K33" s="978" t="inlineStr">
        <is>
          <t>１２月</t>
        </is>
      </c>
      <c r="L33" s="978" t="inlineStr">
        <is>
          <t>１月</t>
        </is>
      </c>
      <c r="M33" s="978" t="inlineStr">
        <is>
          <t>２月</t>
        </is>
      </c>
      <c r="N33" s="978" t="inlineStr">
        <is>
          <t>３月</t>
        </is>
      </c>
      <c r="O33" s="1108" t="inlineStr">
        <is>
          <t>４月(未収）</t>
        </is>
      </c>
      <c r="P33" s="978" t="inlineStr">
        <is>
          <t>収入済計</t>
        </is>
      </c>
      <c r="Q33" s="978" t="inlineStr">
        <is>
          <t>予算額</t>
        </is>
      </c>
      <c r="R33" s="978" t="inlineStr">
        <is>
          <t>精算返納額</t>
        </is>
      </c>
      <c r="S33" s="978" t="inlineStr">
        <is>
          <t>予算現額</t>
        </is>
      </c>
      <c r="T33" s="978" t="inlineStr">
        <is>
          <t>余剰金</t>
        </is>
      </c>
    </row>
    <row r="34" ht="18" customHeight="1" s="186">
      <c r="A34" s="1025" t="inlineStr">
        <is>
          <t>連合会交付金</t>
        </is>
      </c>
      <c r="B34" s="979" t="n"/>
      <c r="C34" s="1116" t="n"/>
      <c r="D34" s="1116" t="n"/>
      <c r="E34" s="1116" t="n"/>
      <c r="F34" s="1116" t="n"/>
      <c r="G34" s="1058" t="n">
        <v>21000</v>
      </c>
      <c r="H34" s="1116" t="n"/>
      <c r="I34" s="1116" t="n"/>
      <c r="J34" s="1116" t="n"/>
      <c r="K34" s="1116" t="n"/>
      <c r="L34" s="1116" t="n"/>
      <c r="M34" s="1242" t="n">
        <v>21000</v>
      </c>
      <c r="N34" s="1116" t="n"/>
      <c r="O34" s="1116" t="n"/>
      <c r="P34" s="1078">
        <f>SUM(C34:O34)</f>
        <v>42000</v>
      </c>
      <c r="Q34" s="1038" t="n">
        <v>44000</v>
      </c>
      <c r="R34" s="1090" t="n"/>
      <c r="S34" s="1243" t="n">
        <v>0</v>
      </c>
      <c r="T34" s="1002">
        <f>SUM(Q34:R34)</f>
        <v>44000</v>
      </c>
      <c r="V34" s="987">
        <f>SUMIF($C$2:$N$2,"&lt;="&amp;締月,C34:N34)</f>
        <v>21000</v>
      </c>
    </row>
    <row r="35" ht="18" customHeight="1" s="186">
      <c r="A35" s="1025" t="inlineStr">
        <is>
          <t>組合員貸付金利息</t>
        </is>
      </c>
      <c r="B35" s="979" t="n"/>
      <c r="C35" s="1237" t="n">
        <v>809638</v>
      </c>
      <c r="D35" s="1237" t="n">
        <v>894954</v>
      </c>
      <c r="E35" s="1237" t="n">
        <v>974223</v>
      </c>
      <c r="F35" s="1237" t="n">
        <v>632156</v>
      </c>
      <c r="G35" s="1237" t="n">
        <v>808696</v>
      </c>
      <c r="H35" s="1237" t="n">
        <v>802084</v>
      </c>
      <c r="I35" s="1237" t="n">
        <v>838256</v>
      </c>
      <c r="J35" s="1237" t="n">
        <v>820237</v>
      </c>
      <c r="K35" s="1237" t="n">
        <v>1204671</v>
      </c>
      <c r="L35" s="1237" t="n">
        <v>814454</v>
      </c>
      <c r="M35" s="1237" t="n">
        <v>813390</v>
      </c>
      <c r="N35" s="1237" t="n">
        <v>801567</v>
      </c>
      <c r="O35" s="1116" t="n">
        <v>247126</v>
      </c>
      <c r="P35" s="1078">
        <f>SUM(C35:O35)</f>
        <v>10461452</v>
      </c>
      <c r="Q35" s="1038" t="n">
        <v>10679000</v>
      </c>
      <c r="R35" s="1058" t="n"/>
      <c r="S35" s="1142" t="n">
        <v>0</v>
      </c>
      <c r="T35" s="1002">
        <f>SUM(Q35:R35)</f>
        <v>10679000</v>
      </c>
      <c r="V35" s="987">
        <f>SUMIF($C$2:$N$2,"&lt;="&amp;締月,C35:N35)</f>
        <v>4921751</v>
      </c>
    </row>
    <row r="36" ht="18" customHeight="1" s="186">
      <c r="A36" s="1117" t="inlineStr">
        <is>
          <t>合　　　計</t>
        </is>
      </c>
      <c r="B36" s="979" t="n"/>
      <c r="C36" s="1002">
        <f>SUM(C34+C35)</f>
        <v>809638</v>
      </c>
      <c r="D36" s="1002">
        <f>SUM(D34+D35)</f>
        <v>894954</v>
      </c>
      <c r="E36" s="1002">
        <f>SUM(E34+E35)</f>
        <v>974223</v>
      </c>
      <c r="F36" s="1002">
        <f>SUM(F34+F35)</f>
        <v>632156</v>
      </c>
      <c r="G36" s="1002">
        <f>SUM(G34+G35)</f>
        <v>829696</v>
      </c>
      <c r="H36" s="1002">
        <f>SUM(H34+H35)</f>
        <v>802084</v>
      </c>
      <c r="I36" s="1002">
        <f>SUM(I34+I35)</f>
        <v>838256</v>
      </c>
      <c r="J36" s="1002">
        <f>SUM(J34+J35)</f>
        <v>820237</v>
      </c>
      <c r="K36" s="1002">
        <f>SUM(K34+K35)</f>
        <v>1204671</v>
      </c>
      <c r="L36" s="1002">
        <f>SUM(L34+L35)</f>
        <v>814454</v>
      </c>
      <c r="M36" s="1002">
        <f>SUM(M34+M35)</f>
        <v>834390</v>
      </c>
      <c r="N36" s="1002">
        <f>SUM(N34+N35)</f>
        <v>801567</v>
      </c>
      <c r="O36" s="1002">
        <f>SUM(O34+O35)</f>
        <v>247126</v>
      </c>
      <c r="P36" s="1002">
        <f>SUM(P34+P35)</f>
        <v>10503452</v>
      </c>
      <c r="Q36" s="1002">
        <f>SUM(Q34+Q35)</f>
        <v>10723000</v>
      </c>
      <c r="R36" s="1002">
        <f>SUM(R34+R35)</f>
        <v>0</v>
      </c>
      <c r="S36" s="1002">
        <f>SUM(S34+S35)</f>
        <v>0</v>
      </c>
      <c r="T36" s="1002">
        <f>SUM(T34:T35)</f>
        <v>10723000</v>
      </c>
      <c r="V36" s="1003">
        <f>SUMIF($C$2:$N$2,"&lt;="&amp;締月,C36:N36)</f>
        <v>4942751</v>
      </c>
    </row>
    <row r="37" ht="18" customHeight="1" s="186"/>
    <row r="38" ht="18" customHeight="1" s="186">
      <c r="A38" s="1118" t="inlineStr">
        <is>
          <t>収益－費用</t>
        </is>
      </c>
      <c r="B38" s="1046" t="n"/>
      <c r="C38" s="1119">
        <f>C36-C31</f>
        <v>267572</v>
      </c>
      <c r="D38" s="1119">
        <f>D36-D31</f>
        <v>-67637</v>
      </c>
      <c r="E38" s="1119">
        <f>E36-E31</f>
        <v>-926433</v>
      </c>
      <c r="F38" s="1119">
        <f>F36-F31</f>
        <v>-474839</v>
      </c>
      <c r="G38" s="1119">
        <f>G36-G31</f>
        <v>-593366</v>
      </c>
      <c r="H38" s="1119">
        <f>H36-H31</f>
        <v>-287319</v>
      </c>
      <c r="I38" s="1119">
        <f>I36-I31</f>
        <v>-242462</v>
      </c>
      <c r="J38" s="1119">
        <f>J36-J31</f>
        <v>-93200</v>
      </c>
      <c r="K38" s="1119">
        <f>K36-K31</f>
        <v>-716664</v>
      </c>
      <c r="L38" s="1119">
        <f>L36-L31</f>
        <v>-278295</v>
      </c>
      <c r="M38" s="1119">
        <f>M36-M31</f>
        <v>-219607</v>
      </c>
      <c r="N38" s="1119">
        <f>N36-N31</f>
        <v>-205327</v>
      </c>
      <c r="O38" s="1119">
        <f>O36-O31</f>
        <v>-348044</v>
      </c>
      <c r="P38" s="1119">
        <f>P36-P31</f>
        <v>-4185621</v>
      </c>
      <c r="Q38" s="1244">
        <f>Q36-Q31</f>
        <v>-8039000</v>
      </c>
      <c r="R38" s="1047" t="n"/>
      <c r="S38" s="1047" t="n"/>
      <c r="T38" s="1245" t="n"/>
      <c r="V38" s="1003">
        <f>SUMIF($C$2:$N$2,"&lt;="&amp;締月,C38:N38)</f>
        <v>-2082022</v>
      </c>
    </row>
    <row r="39" ht="18" customHeight="1" s="186">
      <c r="T39" s="1246" t="n"/>
    </row>
    <row r="40" ht="18" customHeight="1" s="186">
      <c r="D40" s="1247" t="n"/>
    </row>
    <row r="41" ht="18" customHeight="1" s="186">
      <c r="B41" s="1248" t="inlineStr">
        <is>
          <t>参考（職員給与）</t>
        </is>
      </c>
      <c r="C41" s="840" t="inlineStr">
        <is>
          <t>４月支払</t>
        </is>
      </c>
      <c r="D41" s="1249" t="inlineStr">
        <is>
          <t>５月支払</t>
        </is>
      </c>
      <c r="E41" s="840" t="inlineStr">
        <is>
          <t>６月支払</t>
        </is>
      </c>
      <c r="F41" s="840" t="inlineStr">
        <is>
          <t>７月支払</t>
        </is>
      </c>
      <c r="G41" s="840" t="inlineStr">
        <is>
          <t>８月支払</t>
        </is>
      </c>
      <c r="H41" s="840" t="inlineStr">
        <is>
          <t>９月支払</t>
        </is>
      </c>
      <c r="I41" s="840" t="inlineStr">
        <is>
          <t>１０月支払</t>
        </is>
      </c>
      <c r="J41" s="840" t="inlineStr">
        <is>
          <t>１１月支払</t>
        </is>
      </c>
      <c r="K41" s="840" t="inlineStr">
        <is>
          <t>１２月支払</t>
        </is>
      </c>
      <c r="L41" s="840" t="inlineStr">
        <is>
          <t>１月支払</t>
        </is>
      </c>
      <c r="M41" s="840" t="inlineStr">
        <is>
          <t>２月支払</t>
        </is>
      </c>
      <c r="N41" s="840" t="inlineStr">
        <is>
          <t>３月支払</t>
        </is>
      </c>
      <c r="O41" s="1250" t="inlineStr">
        <is>
          <t>未払</t>
        </is>
      </c>
      <c r="Q41" s="840" t="inlineStr">
        <is>
          <t>合計</t>
        </is>
      </c>
    </row>
    <row r="42" ht="18" customHeight="1" s="186">
      <c r="B42" s="1248" t="n"/>
      <c r="C42" s="851" t="n"/>
      <c r="D42" s="1251" t="n"/>
      <c r="E42" s="851" t="n"/>
      <c r="F42" s="851" t="n"/>
      <c r="G42" s="851" t="n"/>
      <c r="H42" s="851" t="n"/>
      <c r="I42" s="851" t="n"/>
      <c r="J42" s="851" t="n"/>
      <c r="K42" s="851" t="n"/>
      <c r="L42" s="851" t="n"/>
      <c r="M42" s="851" t="n"/>
      <c r="N42" s="851" t="n"/>
      <c r="O42" s="1252" t="n"/>
    </row>
    <row r="43" ht="18" customHeight="1" s="186">
      <c r="B43" s="1248" t="inlineStr">
        <is>
          <t>嘱託報酬</t>
        </is>
      </c>
      <c r="C43" s="1253" t="n">
        <v>491490</v>
      </c>
      <c r="D43" s="1253" t="n">
        <v>372800</v>
      </c>
      <c r="E43" s="1253" t="n">
        <v>372800</v>
      </c>
      <c r="F43" s="1253" t="n">
        <v>372800</v>
      </c>
      <c r="G43" s="1253" t="n">
        <v>372800</v>
      </c>
      <c r="H43" s="1253" t="n">
        <v>372800</v>
      </c>
      <c r="I43" s="1253" t="n">
        <v>474390</v>
      </c>
      <c r="J43" s="1253" t="n">
        <v>357596</v>
      </c>
      <c r="K43" s="1253" t="n">
        <v>484762</v>
      </c>
      <c r="L43" s="1253" t="n">
        <v>365100</v>
      </c>
      <c r="M43" s="1253" t="n">
        <v>365100</v>
      </c>
      <c r="N43" s="1253" t="n">
        <v>365100</v>
      </c>
      <c r="O43" s="1254" t="n"/>
      <c r="P43" s="768" t="n"/>
      <c r="Q43" s="921">
        <f>SUM(C43:O43)</f>
        <v>4767538</v>
      </c>
      <c r="R43" s="1255" t="n"/>
      <c r="S43" s="1255" t="n"/>
      <c r="T43" s="768" t="n"/>
      <c r="V43" s="987">
        <f>SUMIF($C$2:$N$2,"&lt;="&amp;締月,C43:N43)</f>
        <v>2355490</v>
      </c>
    </row>
    <row r="44" ht="18" customHeight="1" s="186">
      <c r="B44" s="1248" t="inlineStr">
        <is>
          <t>増額報酬</t>
        </is>
      </c>
      <c r="C44" s="1256" t="n"/>
      <c r="D44" s="1257" t="n"/>
      <c r="E44" s="1253" t="n">
        <v>866759</v>
      </c>
      <c r="F44" s="1256" t="n"/>
      <c r="G44" s="1256" t="n"/>
      <c r="H44" s="1256" t="n"/>
      <c r="I44" s="1256" t="n"/>
      <c r="J44" s="1256" t="n"/>
      <c r="K44" s="1253" t="n">
        <v>835895</v>
      </c>
      <c r="L44" s="1256" t="n"/>
      <c r="M44" s="1256" t="n"/>
      <c r="N44" s="1256" t="n"/>
      <c r="O44" s="1254" t="n"/>
      <c r="P44" s="768" t="n"/>
      <c r="Q44" s="921">
        <f>SUM(C44:O44)</f>
        <v>1702654</v>
      </c>
      <c r="R44" s="1255" t="n"/>
      <c r="S44" s="1255" t="n"/>
      <c r="T44" s="768" t="n"/>
      <c r="V44" s="987">
        <f>SUMIF($C$2:$N$2,"&lt;="&amp;締月,C44:N44)</f>
        <v>866759</v>
      </c>
    </row>
    <row r="45" ht="18" customHeight="1" s="186">
      <c r="B45" s="1124" t="inlineStr">
        <is>
          <t>非常勤手当計</t>
        </is>
      </c>
      <c r="C45" s="921">
        <f>SUM(C43:C44)</f>
        <v>491490</v>
      </c>
      <c r="D45" s="921">
        <f>SUM(D43:D44)</f>
        <v>372800</v>
      </c>
      <c r="E45" s="921">
        <f>SUM(E43:E44)</f>
        <v>1239559</v>
      </c>
      <c r="F45" s="921">
        <f>SUM(F43:F44)</f>
        <v>372800</v>
      </c>
      <c r="G45" s="921">
        <f>SUM(G43:G44)</f>
        <v>372800</v>
      </c>
      <c r="H45" s="921">
        <f>SUM(H43:H44)</f>
        <v>372800</v>
      </c>
      <c r="I45" s="921">
        <f>SUM(I43:I44)</f>
        <v>474390</v>
      </c>
      <c r="J45" s="921">
        <f>SUM(J43:J44)</f>
        <v>357596</v>
      </c>
      <c r="K45" s="921">
        <f>SUM(K43:K44)</f>
        <v>1320657</v>
      </c>
      <c r="L45" s="921">
        <f>SUM(L43:L44)</f>
        <v>365100</v>
      </c>
      <c r="M45" s="921">
        <f>SUM(M43:M44)</f>
        <v>365100</v>
      </c>
      <c r="N45" s="921">
        <f>SUM(N43:N44)</f>
        <v>365100</v>
      </c>
      <c r="O45" s="1258">
        <f>SUM(O43:O44)</f>
        <v>0</v>
      </c>
      <c r="Q45" s="921">
        <f>SUM(C45:O45)</f>
        <v>6470192</v>
      </c>
      <c r="R45" s="921" t="n"/>
      <c r="S45" s="921" t="n"/>
      <c r="V45" s="1003">
        <f>SUMIF($C$2:$N$2,"&lt;="&amp;締月,C45:N45)</f>
        <v>3222249</v>
      </c>
    </row>
    <row r="46" ht="18" customHeight="1" s="186">
      <c r="B46" s="1124" t="n"/>
      <c r="C46" s="921" t="n"/>
      <c r="D46" s="1259" t="n"/>
      <c r="E46" s="921" t="n"/>
      <c r="F46" s="921" t="n"/>
      <c r="G46" s="921" t="n"/>
      <c r="H46" s="921" t="n"/>
      <c r="I46" s="921" t="n"/>
      <c r="J46" s="921" t="n"/>
      <c r="K46" s="921" t="n"/>
      <c r="L46" s="921" t="n"/>
      <c r="M46" s="921" t="n"/>
      <c r="N46" s="921" t="n"/>
      <c r="O46" s="1258" t="n"/>
      <c r="Q46" s="921" t="n"/>
      <c r="R46" s="921" t="n"/>
      <c r="S46" s="921" t="n"/>
    </row>
    <row r="47" ht="18" customHeight="1" s="186">
      <c r="B47" s="1248" t="inlineStr">
        <is>
          <t>臨時賃金</t>
        </is>
      </c>
      <c r="C47" s="1253" t="n">
        <v>0</v>
      </c>
      <c r="D47" s="1253" t="n">
        <v>380700</v>
      </c>
      <c r="E47" s="1253" t="n">
        <v>327555</v>
      </c>
      <c r="F47" s="1253" t="n">
        <v>400770</v>
      </c>
      <c r="G47" s="1253" t="n">
        <v>400380</v>
      </c>
      <c r="H47" s="1253" t="n">
        <v>344580</v>
      </c>
      <c r="I47" s="1253" t="n">
        <v>364625</v>
      </c>
      <c r="J47" s="1253" t="n">
        <v>401920</v>
      </c>
      <c r="K47" s="1253" t="n">
        <v>329655</v>
      </c>
      <c r="L47" s="1253" t="n">
        <v>365270</v>
      </c>
      <c r="M47" s="1253" t="n">
        <v>347335</v>
      </c>
      <c r="N47" s="1253" t="n">
        <v>328425</v>
      </c>
      <c r="O47" s="1254" t="n">
        <v>153280</v>
      </c>
      <c r="P47" s="768" t="n"/>
      <c r="Q47" s="921">
        <f>SUM(C47:O47)</f>
        <v>4144495</v>
      </c>
      <c r="R47" s="1255" t="n"/>
      <c r="S47" s="1255" t="n"/>
      <c r="T47" s="768" t="n"/>
      <c r="V47" s="987">
        <f>SUMIF($C$2:$N$2,"&lt;="&amp;締月,C47:N47)</f>
        <v>1853985</v>
      </c>
    </row>
    <row r="48" ht="18" customHeight="1" s="186">
      <c r="B48" s="1124" t="inlineStr">
        <is>
          <t>賃金計</t>
        </is>
      </c>
      <c r="C48" s="921">
        <f>SUM(C47)</f>
        <v>0</v>
      </c>
      <c r="D48" s="921">
        <f>SUM(D47)</f>
        <v>380700</v>
      </c>
      <c r="E48" s="921">
        <f>SUM(E47)</f>
        <v>327555</v>
      </c>
      <c r="F48" s="921">
        <f>SUM(F47)</f>
        <v>400770</v>
      </c>
      <c r="G48" s="921">
        <f>SUM(G47)</f>
        <v>400380</v>
      </c>
      <c r="H48" s="921">
        <f>SUM(H47)</f>
        <v>344580</v>
      </c>
      <c r="I48" s="921">
        <f>SUM(I47)</f>
        <v>364625</v>
      </c>
      <c r="J48" s="921">
        <f>SUM(J47)</f>
        <v>401920</v>
      </c>
      <c r="K48" s="921">
        <f>SUM(K47)</f>
        <v>329655</v>
      </c>
      <c r="L48" s="921">
        <f>SUM(L47)</f>
        <v>365270</v>
      </c>
      <c r="M48" s="921">
        <f>SUM(M47)</f>
        <v>347335</v>
      </c>
      <c r="N48" s="921">
        <f>SUM(N47)</f>
        <v>328425</v>
      </c>
      <c r="O48" s="1258">
        <f>SUM(O47)</f>
        <v>153280</v>
      </c>
      <c r="P48" s="921" t="n"/>
      <c r="Q48" s="921">
        <f>SUM(C48:O48)</f>
        <v>4144495</v>
      </c>
      <c r="R48" s="921" t="n"/>
      <c r="S48" s="921" t="n"/>
      <c r="V48" s="1003">
        <f>SUMIF($C$2:$N$2,"&lt;="&amp;締月,C48:N48)</f>
        <v>1853985</v>
      </c>
    </row>
    <row r="49" ht="18" customHeight="1" s="186">
      <c r="B49" s="840" t="inlineStr">
        <is>
          <t>合計</t>
        </is>
      </c>
      <c r="C49" s="921">
        <f>C45+C48</f>
        <v>491490</v>
      </c>
      <c r="D49" s="921">
        <f>D45+D48</f>
        <v>753500</v>
      </c>
      <c r="E49" s="921">
        <f>E45+E48</f>
        <v>1567114</v>
      </c>
      <c r="F49" s="921">
        <f>F45+F48</f>
        <v>773570</v>
      </c>
      <c r="G49" s="921">
        <f>G45+G48</f>
        <v>773180</v>
      </c>
      <c r="H49" s="921">
        <f>H45+H48</f>
        <v>717380</v>
      </c>
      <c r="I49" s="921">
        <f>I45+I48</f>
        <v>839015</v>
      </c>
      <c r="J49" s="921">
        <f>J45+J48</f>
        <v>759516</v>
      </c>
      <c r="K49" s="921">
        <f>K45+K48</f>
        <v>1650312</v>
      </c>
      <c r="L49" s="921">
        <f>L45+L48</f>
        <v>730370</v>
      </c>
      <c r="M49" s="921">
        <f>M45+M48</f>
        <v>712435</v>
      </c>
      <c r="N49" s="921">
        <f>N45+N48</f>
        <v>693525</v>
      </c>
      <c r="O49" s="921">
        <f>O45+O48</f>
        <v>153280</v>
      </c>
      <c r="Q49" s="921">
        <f>SUM(C49:O49)</f>
        <v>10614687</v>
      </c>
      <c r="R49" s="921" t="n"/>
      <c r="S49" s="921" t="n"/>
      <c r="V49" s="1003">
        <f>SUMIF($C$2:$N$2,"&lt;="&amp;締月,C49:N49)</f>
        <v>5076234</v>
      </c>
    </row>
    <row r="50" ht="18" customHeight="1" s="186">
      <c r="D50" s="1247" t="n"/>
    </row>
    <row r="51"/>
    <row r="52" ht="18" customHeight="1" s="186">
      <c r="C52" s="851" t="n"/>
      <c r="D52" s="851" t="n"/>
      <c r="E52" s="851" t="n"/>
      <c r="F52" s="851" t="n"/>
      <c r="G52" s="851" t="n"/>
      <c r="H52" s="851" t="n"/>
      <c r="I52" s="851" t="n"/>
      <c r="J52" s="851" t="n"/>
      <c r="K52" s="851" t="n"/>
      <c r="L52" s="851" t="n"/>
      <c r="M52" s="851" t="n"/>
      <c r="N52" s="851" t="n"/>
      <c r="O52" s="1252" t="n"/>
    </row>
    <row r="53" ht="18" customHeight="1" s="186">
      <c r="B53" s="1026" t="inlineStr">
        <is>
          <t>新規貸付金</t>
        </is>
      </c>
      <c r="C53" s="1260" t="n">
        <v>17990000</v>
      </c>
      <c r="D53" s="1260" t="n">
        <v>10200000</v>
      </c>
      <c r="E53" s="1260" t="n">
        <v>4140000</v>
      </c>
      <c r="F53" s="1260" t="n">
        <v>7150000</v>
      </c>
      <c r="G53" s="1260" t="n">
        <v>6140000</v>
      </c>
      <c r="H53" s="1260" t="n">
        <v>4000000</v>
      </c>
      <c r="I53" s="1260" t="n">
        <v>6150000</v>
      </c>
      <c r="J53" s="1260" t="n">
        <v>11400000</v>
      </c>
      <c r="K53" s="1260" t="n">
        <v>8100000</v>
      </c>
      <c r="L53" s="1260" t="n">
        <v>10520000</v>
      </c>
      <c r="M53" s="1260" t="n">
        <v>9040000</v>
      </c>
      <c r="N53" s="1260" t="n">
        <v>35670000</v>
      </c>
      <c r="O53" s="1261" t="n"/>
      <c r="P53" s="768" t="n"/>
      <c r="Q53" s="768" t="n"/>
      <c r="R53" s="768" t="n"/>
      <c r="S53" s="768" t="n"/>
      <c r="T53" s="768" t="n"/>
      <c r="V53" s="987">
        <f>SUMIF($C$2:$N$2,"&lt;="&amp;締月,C53:N53)</f>
        <v>49620000</v>
      </c>
    </row>
    <row r="54" ht="18" customHeight="1" s="186">
      <c r="C54" s="851" t="n"/>
      <c r="D54" s="851" t="n"/>
      <c r="E54" s="851" t="n"/>
      <c r="F54" s="851" t="n"/>
      <c r="G54" s="851" t="n"/>
      <c r="H54" s="851" t="n"/>
      <c r="I54" s="851" t="n"/>
      <c r="J54" s="851" t="n"/>
      <c r="K54" s="851" t="n"/>
      <c r="L54" s="851" t="n"/>
      <c r="M54" s="851" t="n"/>
      <c r="N54" s="851" t="n"/>
      <c r="O54" s="1252" t="n"/>
    </row>
    <row r="55" ht="18" customHeight="1" s="186">
      <c r="B55" s="1262" t="inlineStr">
        <is>
          <t>人件費</t>
        </is>
      </c>
      <c r="C55" s="921">
        <f>SUM(C49,C23,C26,C21,C24,C25)</f>
        <v>537677</v>
      </c>
      <c r="D55" s="921">
        <f>SUM(D49,D23,D26,D21,D24,D25)</f>
        <v>871727</v>
      </c>
      <c r="E55" s="921">
        <f>SUM(E49,E23,E26,E21,E24,E25)</f>
        <v>1808741</v>
      </c>
      <c r="F55" s="921">
        <f>SUM(F49,F23,F26,F21,F24,F25)</f>
        <v>1020231</v>
      </c>
      <c r="G55" s="921">
        <f>SUM(G49,G23,G26,G21,G24,G25)</f>
        <v>973050</v>
      </c>
      <c r="H55" s="921">
        <f>SUM(H49,H23,H26,H21,H24,H25)</f>
        <v>834892</v>
      </c>
      <c r="I55" s="921">
        <f>SUM(I49,I23,I26,I21,I24,I25)</f>
        <v>958131</v>
      </c>
      <c r="J55" s="921">
        <f>SUM(J49,J23,J26,J21,J24,J25)</f>
        <v>807307</v>
      </c>
      <c r="K55" s="921">
        <f>SUM(K49,K23,K26,K21,K24,K25)</f>
        <v>1822040</v>
      </c>
      <c r="L55" s="921">
        <f>SUM(L49,L23,L26,L21,L24,L25)</f>
        <v>852351</v>
      </c>
      <c r="M55" s="921">
        <f>SUM(M49,M23,M26,M21,M24,M25)</f>
        <v>910974</v>
      </c>
      <c r="N55" s="921">
        <f>SUM(N49,N23,N26,N21,N24,N25)</f>
        <v>888070</v>
      </c>
      <c r="O55" s="921">
        <f>SUM(O49,O23,O26,O21,O24,O25)</f>
        <v>214144</v>
      </c>
      <c r="P55" s="768" t="n"/>
      <c r="Q55" s="768" t="n"/>
      <c r="R55" s="768" t="n"/>
      <c r="S55" s="768" t="n"/>
      <c r="T55" s="768" t="n"/>
      <c r="V55" s="987">
        <f>SUMIF($C$2:$N$2,"&lt;="&amp;締月,C55:N55)</f>
        <v>6046318</v>
      </c>
    </row>
  </sheetData>
  <mergeCells count="21">
    <mergeCell ref="A9:A14"/>
    <mergeCell ref="R21:R25"/>
    <mergeCell ref="A15:B15"/>
    <mergeCell ref="T21:T25"/>
    <mergeCell ref="A36:B36"/>
    <mergeCell ref="A21:A27"/>
    <mergeCell ref="A4:A6"/>
    <mergeCell ref="A7:B7"/>
    <mergeCell ref="E1:F1"/>
    <mergeCell ref="A3:B3"/>
    <mergeCell ref="A2:B2"/>
    <mergeCell ref="A33:B33"/>
    <mergeCell ref="Q21:Q25"/>
    <mergeCell ref="A32:B32"/>
    <mergeCell ref="S21:S25"/>
    <mergeCell ref="A8:B8"/>
    <mergeCell ref="A35:B35"/>
    <mergeCell ref="A38:B38"/>
    <mergeCell ref="A29:B29"/>
    <mergeCell ref="A28:B28"/>
    <mergeCell ref="A34:B34"/>
  </mergeCells>
  <conditionalFormatting sqref="C4:N55">
    <cfRule type="expression" priority="1" dxfId="11">
      <formula>AND(ISNUMBER(C4),C$2&lt;&gt;"",C$2&gt;締月)</formula>
    </cfRule>
  </conditionalFormatting>
  <conditionalFormatting sqref="O4:O55">
    <cfRule type="expression" priority="2" dxfId="6">
      <formula>AND(ISNUMBER(O4),締月&lt;13)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36"/>
  <sheetViews>
    <sheetView tabSelected="0" view="pageBreakPreview" zoomScaleNormal="100" zoomScaleSheetLayoutView="100" workbookViewId="0">
      <selection activeCell="E3" sqref="E3:H3"/>
    </sheetView>
  </sheetViews>
  <sheetFormatPr baseColWidth="8" defaultRowHeight="12"/>
  <cols>
    <col width="1" customWidth="1" style="6" min="1" max="1"/>
    <col width="1.125" customWidth="1" style="6" min="2" max="2"/>
    <col width="16.125" customWidth="1" style="6" min="3" max="3"/>
    <col width="1" customWidth="1" style="6" min="4" max="4"/>
    <col width="12.625" customWidth="1" style="6" min="5" max="9"/>
    <col width="5" customWidth="1" style="6" min="10" max="10"/>
    <col width="9.875" bestFit="1" customWidth="1" style="6" min="11" max="11"/>
    <col width="4.125" bestFit="1" customWidth="1" style="6" min="12" max="12"/>
    <col width="9" customWidth="1" style="6" min="13" max="16384"/>
  </cols>
  <sheetData>
    <row r="1" ht="24" customHeight="1" s="186" thickBot="1">
      <c r="A1" s="716" t="n"/>
      <c r="B1" s="716" t="n"/>
      <c r="C1" s="716" t="n"/>
      <c r="D1" s="716" t="n"/>
      <c r="E1" s="716" t="inlineStr">
        <is>
          <t>業務経理</t>
        </is>
      </c>
      <c r="I1" s="716" t="n"/>
      <c r="J1" s="5" t="n"/>
      <c r="K1" s="41" t="n"/>
      <c r="L1" s="41" t="n"/>
    </row>
    <row r="2" ht="24" customHeight="1" s="186" thickBot="1" thickTop="1">
      <c r="A2" s="716" t="n"/>
      <c r="B2" s="716" t="n"/>
      <c r="C2" s="716" t="n"/>
      <c r="D2" s="716" t="n"/>
      <c r="E2" s="716" t="inlineStr">
        <is>
          <t>給付区分別執行額</t>
        </is>
      </c>
      <c r="I2" s="716" t="n"/>
      <c r="J2" s="7" t="n"/>
      <c r="K2" s="41" t="inlineStr">
        <is>
          <t>令和４年</t>
        </is>
      </c>
      <c r="L2" s="1263" t="n">
        <v>4</v>
      </c>
      <c r="M2" s="6" t="inlineStr">
        <is>
          <t>月分の集計</t>
        </is>
      </c>
    </row>
    <row r="3" ht="24" customHeight="1" s="186" thickTop="1">
      <c r="A3" s="716" t="n"/>
      <c r="B3" s="716" t="n"/>
      <c r="C3" s="716" t="n"/>
      <c r="D3" s="716" t="n"/>
      <c r="E3" s="1264">
        <f>L2</f>
        <v>4</v>
      </c>
      <c r="I3" s="716" t="n"/>
      <c r="J3" s="7" t="n"/>
    </row>
    <row r="4" ht="24" customHeight="1" s="186">
      <c r="A4" s="716" t="n"/>
      <c r="B4" s="716" t="n"/>
      <c r="C4" s="716" t="n"/>
      <c r="D4" s="716" t="n"/>
      <c r="E4" s="716" t="n"/>
      <c r="F4" s="716" t="n"/>
      <c r="G4" s="716" t="n"/>
      <c r="H4" s="716" t="n"/>
      <c r="I4" s="8" t="inlineStr">
        <is>
          <t>(単位：円)</t>
        </is>
      </c>
      <c r="J4" s="7" t="n"/>
    </row>
    <row r="5" ht="24" customFormat="1" customHeight="1" s="13">
      <c r="A5" s="9" t="n"/>
      <c r="B5" s="1265" t="inlineStr">
        <is>
          <t>科　　　　　目</t>
        </is>
      </c>
      <c r="C5" s="1266" t="n"/>
      <c r="D5" s="10" t="n"/>
      <c r="E5" s="1267" t="inlineStr">
        <is>
          <t>執行額</t>
        </is>
      </c>
      <c r="F5" s="45" t="n"/>
      <c r="G5" s="11" t="n"/>
      <c r="H5" s="11" t="n"/>
      <c r="I5" s="12" t="n"/>
    </row>
    <row r="6" ht="24" customFormat="1" customHeight="1" s="17">
      <c r="A6" s="14" t="n"/>
      <c r="B6" s="223" t="n"/>
      <c r="C6" s="223" t="n"/>
      <c r="D6" s="15" t="n"/>
      <c r="E6" s="1268" t="n"/>
      <c r="F6" s="44" t="inlineStr">
        <is>
          <t>短期</t>
        </is>
      </c>
      <c r="G6" s="16" t="inlineStr">
        <is>
          <t>厚年</t>
        </is>
      </c>
      <c r="H6" s="16" t="inlineStr">
        <is>
          <t>経過的</t>
        </is>
      </c>
      <c r="I6" s="16" t="inlineStr">
        <is>
          <t>退職等</t>
        </is>
      </c>
    </row>
    <row r="7" ht="24" customHeight="1" s="186">
      <c r="A7" s="18" t="n"/>
      <c r="B7" s="27" t="inlineStr">
        <is>
          <t>(借　　方)</t>
        </is>
      </c>
      <c r="C7" s="27" t="n"/>
      <c r="D7" s="20" t="n"/>
      <c r="E7" s="21" t="n"/>
      <c r="F7" s="22" t="n"/>
      <c r="G7" s="21" t="n"/>
      <c r="H7" s="21" t="n"/>
      <c r="I7" s="22" t="n"/>
    </row>
    <row r="8" ht="24" customHeight="1" s="186">
      <c r="A8" s="23" t="n"/>
      <c r="B8" s="24" t="inlineStr">
        <is>
          <t>経 常 費 用</t>
        </is>
      </c>
      <c r="C8" s="27" t="n"/>
      <c r="D8" s="20" t="n"/>
      <c r="E8" s="25" t="n"/>
      <c r="F8" s="26" t="n"/>
      <c r="G8" s="25" t="n"/>
      <c r="H8" s="25" t="n"/>
      <c r="I8" s="26" t="n"/>
    </row>
    <row r="9" ht="24" customHeight="1" s="186">
      <c r="A9" s="18" t="n"/>
      <c r="B9" s="27" t="n"/>
      <c r="C9" s="27" t="inlineStr">
        <is>
          <t>(事業費用)</t>
        </is>
      </c>
      <c r="D9" s="20" t="n"/>
      <c r="E9" s="25" t="n"/>
      <c r="F9" s="26" t="n"/>
      <c r="H9" s="25" t="n"/>
      <c r="I9" s="26" t="n"/>
    </row>
    <row r="10" ht="24" customHeight="1" s="186">
      <c r="A10" s="18" t="n"/>
      <c r="B10" s="27" t="n"/>
      <c r="C10" s="28" t="inlineStr">
        <is>
          <t>役員報酬</t>
        </is>
      </c>
      <c r="D10" s="20" t="n"/>
      <c r="E10" s="1269">
        <f>SUMPRODUCT((月例!$M$5:$M$788=$E$3)*(月例!$C$5:$C$788=C10)*(月例!$F$5:$F$788))</f>
        <v>0</v>
      </c>
      <c r="F10" s="1269">
        <f>SUMPRODUCT((月例!$M$5:$M$788=$E$3)*(月例!$C$5:$C$788=C10)*(月例!$H$5:$H$788))</f>
        <v>0</v>
      </c>
      <c r="G10" s="1269">
        <f>SUMPRODUCT((月例!$M$5:$M$788=$E$3)*(月例!$C$5:$C$788=C10)*(月例!$I$5:$I$788))</f>
        <v>0</v>
      </c>
      <c r="H10" s="1269">
        <f>SUMPRODUCT((月例!$M$5:$M$788=$E$3)*(月例!$C$5:$C$788=C10)*(月例!$J$5:$J$788))</f>
        <v>0</v>
      </c>
      <c r="I10" s="1269">
        <f>SUMPRODUCT((月例!$M$5:$M$788=$E$3)*(月例!$C$5:$C$788=C10)*(月例!$K$5:$K$788))</f>
        <v>0</v>
      </c>
    </row>
    <row r="11" ht="24" customHeight="1" s="186">
      <c r="A11" s="18" t="n"/>
      <c r="B11" s="27" t="n"/>
      <c r="C11" s="28" t="inlineStr">
        <is>
          <t>職員給与</t>
        </is>
      </c>
      <c r="D11" s="20" t="n"/>
      <c r="E11" s="1269">
        <f>SUMPRODUCT((月例!$M$5:$M$788=$E$3)*(月例!$C$5:$C$788=C11)*(月例!$F$5:$F$788))</f>
        <v>698140</v>
      </c>
      <c r="F11" s="1269">
        <f>SUMPRODUCT((月例!$M$5:$M$788=$E$3)*(月例!$C$5:$C$788=C11)*(月例!$H$5:$H$788))</f>
        <v>317340</v>
      </c>
      <c r="G11" s="1269">
        <f>SUMPRODUCT((月例!$M$5:$M$788=$E$3)*(月例!$C$5:$C$788=C11)*(月例!$I$5:$I$788))</f>
        <v>317334</v>
      </c>
      <c r="H11" s="1269">
        <f>SUMPRODUCT((月例!$M$5:$M$788=$E$3)*(月例!$C$5:$C$788=C11)*(月例!$J$5:$J$788))</f>
        <v>31733</v>
      </c>
      <c r="I11" s="1269">
        <f>SUMPRODUCT((月例!$M$5:$M$788=$E$3)*(月例!$C$5:$C$788=C11)*(月例!$K$5:$K$788))</f>
        <v>31733</v>
      </c>
    </row>
    <row r="12" ht="24" customHeight="1" s="186">
      <c r="A12" s="18" t="n"/>
      <c r="B12" s="27" t="n"/>
      <c r="C12" s="28" t="inlineStr">
        <is>
          <t>厚生費</t>
        </is>
      </c>
      <c r="D12" s="20" t="n"/>
      <c r="E12" s="1269">
        <f>SUMPRODUCT((月例!$M$5:$M$788=$E$3)*(月例!$C$5:$C$788=C12)*(月例!$F$5:$F$788))</f>
        <v>0</v>
      </c>
      <c r="F12" s="1269">
        <f>SUMPRODUCT((月例!$M$5:$M$788=$E$3)*(月例!$C$5:$C$788=C12)*(月例!$H$5:$H$788))</f>
        <v>0</v>
      </c>
      <c r="G12" s="1269">
        <f>SUMPRODUCT((月例!$M$5:$M$788=$E$3)*(月例!$C$5:$C$788=C12)*(月例!$I$5:$I$788))</f>
        <v>0</v>
      </c>
      <c r="H12" s="1269">
        <f>SUMPRODUCT((月例!$M$5:$M$788=$E$3)*(月例!$C$5:$C$788=C12)*(月例!$J$5:$J$788))</f>
        <v>0</v>
      </c>
      <c r="I12" s="1269">
        <f>SUMPRODUCT((月例!$M$5:$M$788=$E$3)*(月例!$C$5:$C$788=C12)*(月例!$K$5:$K$788))</f>
        <v>0</v>
      </c>
    </row>
    <row r="13" ht="24" customHeight="1" s="186">
      <c r="A13" s="18" t="n"/>
      <c r="B13" s="27" t="n"/>
      <c r="C13" s="28" t="inlineStr">
        <is>
          <t>旅費</t>
        </is>
      </c>
      <c r="D13" s="20" t="n"/>
      <c r="E13" s="1269">
        <f>SUMPRODUCT((月例!$M$5:$M$788=$E$3)*(月例!$C$5:$C$788=C13)*(月例!$F$5:$F$788))</f>
        <v>0</v>
      </c>
      <c r="F13" s="1269">
        <f>SUMPRODUCT((月例!$M$5:$M$788=$E$3)*(月例!$C$5:$C$788=C13)*(月例!$H$5:$H$788))</f>
        <v>0</v>
      </c>
      <c r="G13" s="1269">
        <f>SUMPRODUCT((月例!$M$5:$M$788=$E$3)*(月例!$C$5:$C$788=C13)*(月例!$I$5:$I$788))</f>
        <v>0</v>
      </c>
      <c r="H13" s="1269">
        <f>SUMPRODUCT((月例!$M$5:$M$788=$E$3)*(月例!$C$5:$C$788=C13)*(月例!$J$5:$J$788))</f>
        <v>0</v>
      </c>
      <c r="I13" s="1269">
        <f>SUMPRODUCT((月例!$M$5:$M$788=$E$3)*(月例!$C$5:$C$788=C13)*(月例!$K$5:$K$788))</f>
        <v>0</v>
      </c>
    </row>
    <row r="14" ht="24" customHeight="1" s="186">
      <c r="A14" s="18" t="n"/>
      <c r="B14" s="27" t="n"/>
      <c r="C14" s="28" t="inlineStr">
        <is>
          <t>事務費</t>
        </is>
      </c>
      <c r="D14" s="20" t="n"/>
      <c r="E14" s="1269">
        <f>SUMPRODUCT((月例!$M$5:$M$788=$E$3)*(月例!$C$5:$C$788=C14)*(月例!$F$5:$F$788))</f>
        <v>1009037</v>
      </c>
      <c r="F14" s="1269">
        <f>SUMPRODUCT((月例!$M$5:$M$788=$E$3)*(月例!$C$5:$C$788=C14)*(月例!$H$5:$H$788))</f>
        <v>826559</v>
      </c>
      <c r="G14" s="1269">
        <f>SUMPRODUCT((月例!$M$5:$M$788=$E$3)*(月例!$C$5:$C$788=C14)*(月例!$I$5:$I$788))</f>
        <v>152064</v>
      </c>
      <c r="H14" s="1269">
        <f>SUMPRODUCT((月例!$M$5:$M$788=$E$3)*(月例!$C$5:$C$788=C14)*(月例!$J$5:$J$788))</f>
        <v>15207</v>
      </c>
      <c r="I14" s="1269">
        <f>SUMPRODUCT((月例!$M$5:$M$788=$E$3)*(月例!$C$5:$C$788=C14)*(月例!$K$5:$K$788))</f>
        <v>15207</v>
      </c>
      <c r="L14" s="33" t="n"/>
    </row>
    <row r="15" ht="24" customHeight="1" s="186">
      <c r="A15" s="18" t="n"/>
      <c r="B15" s="27" t="n"/>
      <c r="C15" s="28" t="inlineStr">
        <is>
          <t>賃金</t>
        </is>
      </c>
      <c r="D15" s="20" t="n"/>
      <c r="E15" s="1269">
        <f>SUMPRODUCT((月例!$M$5:$M$788=$E$3)*(月例!$C$5:$C$788=C15)*(月例!$F$5:$F$788))</f>
        <v>0</v>
      </c>
      <c r="F15" s="1269">
        <f>SUMPRODUCT((月例!$M$5:$M$788=$E$3)*(月例!$C$5:$C$788=C15)*(月例!$H$5:$H$788))</f>
        <v>0</v>
      </c>
      <c r="G15" s="1269">
        <f>SUMPRODUCT((月例!$M$5:$M$788=$E$3)*(月例!$C$5:$C$788=C15)*(月例!$I$5:$I$788))</f>
        <v>0</v>
      </c>
      <c r="H15" s="1269">
        <f>SUMPRODUCT((月例!$M$5:$M$788=$E$3)*(月例!$C$5:$C$788=C15)*(月例!$J$5:$J$788))</f>
        <v>0</v>
      </c>
      <c r="I15" s="1269">
        <f>SUMPRODUCT((月例!$M$5:$M$788=$E$3)*(月例!$C$5:$C$788=C15)*(月例!$K$5:$K$788))</f>
        <v>0</v>
      </c>
    </row>
    <row r="16" ht="24" customHeight="1" s="186">
      <c r="A16" s="18" t="n"/>
      <c r="B16" s="27" t="n"/>
      <c r="C16" s="28" t="inlineStr">
        <is>
          <t>委託費</t>
        </is>
      </c>
      <c r="D16" s="20" t="n"/>
      <c r="E16" s="1269">
        <f>SUMPRODUCT((月例!$M$5:$M$788=$E$3)*(月例!$C$5:$C$788=C16)*(月例!$F$5:$F$788))</f>
        <v>143021</v>
      </c>
      <c r="F16" s="1269">
        <f>SUMPRODUCT((月例!$M$5:$M$788=$E$3)*(月例!$C$5:$C$788=C16)*(月例!$H$5:$H$788))</f>
        <v>84721</v>
      </c>
      <c r="G16" s="1269">
        <f>SUMPRODUCT((月例!$M$5:$M$788=$E$3)*(月例!$C$5:$C$788=C16)*(月例!$I$5:$I$788))</f>
        <v>53000</v>
      </c>
      <c r="H16" s="1269">
        <f>SUMPRODUCT((月例!$M$5:$M$788=$E$3)*(月例!$C$5:$C$788=C16)*(月例!$J$5:$J$788))</f>
        <v>5300</v>
      </c>
      <c r="I16" s="1269">
        <f>SUMPRODUCT((月例!$M$5:$M$788=$E$3)*(月例!$C$5:$C$788=C16)*(月例!$K$5:$K$788))</f>
        <v>0</v>
      </c>
    </row>
    <row r="17" ht="24" customHeight="1" s="186">
      <c r="A17" s="18" t="n"/>
      <c r="B17" s="27" t="n"/>
      <c r="C17" s="28" t="inlineStr">
        <is>
          <t>光熱水料</t>
        </is>
      </c>
      <c r="D17" s="20" t="n"/>
      <c r="E17" s="1269">
        <f>SUMPRODUCT((月例!$M$5:$M$788=$E$3)*(月例!$C$5:$C$788=C17)*(月例!$F$5:$F$788))</f>
        <v>0</v>
      </c>
      <c r="F17" s="1269">
        <f>SUMPRODUCT((月例!$M$5:$M$788=$E$3)*(月例!$C$5:$C$788=C17)*(月例!$H$5:$H$788))</f>
        <v>0</v>
      </c>
      <c r="G17" s="1269">
        <f>SUMPRODUCT((月例!$M$5:$M$788=$E$3)*(月例!$C$5:$C$788=C17)*(月例!$I$5:$I$788))</f>
        <v>0</v>
      </c>
      <c r="H17" s="1269">
        <f>SUMPRODUCT((月例!$M$5:$M$788=$E$3)*(月例!$C$5:$C$788=C17)*(月例!$J$5:$J$788))</f>
        <v>0</v>
      </c>
      <c r="I17" s="1269">
        <f>SUMPRODUCT((月例!$M$5:$M$788=$E$3)*(月例!$C$5:$C$788=C17)*(月例!$K$5:$K$788))</f>
        <v>0</v>
      </c>
    </row>
    <row r="18" ht="24" customHeight="1" s="186">
      <c r="A18" s="18" t="n"/>
      <c r="B18" s="27" t="n"/>
      <c r="C18" s="28" t="inlineStr">
        <is>
          <t>修繕費</t>
        </is>
      </c>
      <c r="D18" s="20" t="n"/>
      <c r="E18" s="1269">
        <f>SUMPRODUCT((月例!$M$5:$M$788=$E$3)*(月例!$C$5:$C$788=C18)*(月例!$F$5:$F$788))</f>
        <v>0</v>
      </c>
      <c r="F18" s="1269">
        <f>SUMPRODUCT((月例!$M$5:$M$788=$E$3)*(月例!$C$5:$C$788=C18)*(月例!$H$5:$H$788))</f>
        <v>0</v>
      </c>
      <c r="G18" s="1269">
        <f>SUMPRODUCT((月例!$M$5:$M$788=$E$3)*(月例!$C$5:$C$788=C18)*(月例!$I$5:$I$788))</f>
        <v>0</v>
      </c>
      <c r="H18" s="1269">
        <f>SUMPRODUCT((月例!$M$5:$M$788=$E$3)*(月例!$C$5:$C$788=C18)*(月例!$J$5:$J$788))</f>
        <v>0</v>
      </c>
      <c r="I18" s="1269">
        <f>SUMPRODUCT((月例!$M$5:$M$788=$E$3)*(月例!$C$5:$C$788=C18)*(月例!$K$5:$K$788))</f>
        <v>0</v>
      </c>
    </row>
    <row r="19" ht="24" customHeight="1" s="186">
      <c r="A19" s="18" t="n"/>
      <c r="B19" s="27" t="n"/>
      <c r="C19" s="28" t="inlineStr">
        <is>
          <t>賃借料</t>
        </is>
      </c>
      <c r="D19" s="20" t="n"/>
      <c r="E19" s="1269">
        <f>SUMPRODUCT((月例!$M$5:$M$788=$E$3)*(月例!$C$5:$C$788=C19)*(月例!$F$5:$F$788))</f>
        <v>0</v>
      </c>
      <c r="F19" s="1269">
        <f>SUMPRODUCT((月例!$M$5:$M$788=$E$3)*(月例!$C$5:$C$788=C19)*(月例!$H$5:$H$788))</f>
        <v>0</v>
      </c>
      <c r="G19" s="1269">
        <f>SUMPRODUCT((月例!$M$5:$M$788=$E$3)*(月例!$C$5:$C$788=C19)*(月例!$I$5:$I$788))</f>
        <v>0</v>
      </c>
      <c r="H19" s="1269">
        <f>SUMPRODUCT((月例!$M$5:$M$788=$E$3)*(月例!$C$5:$C$788=C19)*(月例!$J$5:$J$788))</f>
        <v>0</v>
      </c>
      <c r="I19" s="1269">
        <f>SUMPRODUCT((月例!$M$5:$M$788=$E$3)*(月例!$C$5:$C$788=C19)*(月例!$K$5:$K$788))</f>
        <v>0</v>
      </c>
    </row>
    <row r="20" ht="24" customHeight="1" s="186">
      <c r="A20" s="18" t="n"/>
      <c r="B20" s="27" t="n"/>
      <c r="C20" s="28" t="inlineStr">
        <is>
          <t>調査研究費</t>
        </is>
      </c>
      <c r="D20" s="20" t="n"/>
      <c r="E20" s="1269">
        <f>SUMPRODUCT((月例!$M$5:$M$788=$E$3)*(月例!$C$5:$C$788=C20)*(月例!$F$5:$F$788))</f>
        <v>0</v>
      </c>
      <c r="F20" s="1269">
        <f>SUMPRODUCT((月例!$M$5:$M$788=$E$3)*(月例!$C$5:$C$788=C20)*(月例!$H$5:$H$788))</f>
        <v>0</v>
      </c>
      <c r="G20" s="1269">
        <f>SUMPRODUCT((月例!$M$5:$M$788=$E$3)*(月例!$C$5:$C$788=C20)*(月例!$I$5:$I$788))</f>
        <v>0</v>
      </c>
      <c r="H20" s="1269">
        <f>SUMPRODUCT((月例!$M$5:$M$788=$E$3)*(月例!$C$5:$C$788=C20)*(月例!$J$5:$J$788))</f>
        <v>0</v>
      </c>
      <c r="I20" s="1269">
        <f>SUMPRODUCT((月例!$M$5:$M$788=$E$3)*(月例!$C$5:$C$788=C20)*(月例!$K$5:$K$788))</f>
        <v>0</v>
      </c>
    </row>
    <row r="21" ht="24" customHeight="1" s="186">
      <c r="A21" s="18" t="n"/>
      <c r="B21" s="27" t="n"/>
      <c r="C21" s="28" t="inlineStr">
        <is>
          <t>普及費</t>
        </is>
      </c>
      <c r="D21" s="20" t="n"/>
      <c r="E21" s="1269">
        <f>SUMPRODUCT((月例!$M$5:$M$788=$E$3)*(月例!$C$5:$C$788=C21)*(月例!$F$5:$F$788))</f>
        <v>0</v>
      </c>
      <c r="F21" s="1269">
        <f>SUMPRODUCT((月例!$M$5:$M$788=$E$3)*(月例!$C$5:$C$788=C21)*(月例!$H$5:$H$788))</f>
        <v>0</v>
      </c>
      <c r="G21" s="1269">
        <f>SUMPRODUCT((月例!$M$5:$M$788=$E$3)*(月例!$C$5:$C$788=C21)*(月例!$I$5:$I$788))</f>
        <v>0</v>
      </c>
      <c r="H21" s="1269">
        <f>SUMPRODUCT((月例!$M$5:$M$788=$E$3)*(月例!$C$5:$C$788=C21)*(月例!$J$5:$J$788))</f>
        <v>0</v>
      </c>
      <c r="I21" s="1269">
        <f>SUMPRODUCT((月例!$M$5:$M$788=$E$3)*(月例!$C$5:$C$788=C21)*(月例!$K$5:$K$788))</f>
        <v>0</v>
      </c>
    </row>
    <row r="22" ht="24" customHeight="1" s="186">
      <c r="A22" s="18" t="n"/>
      <c r="B22" s="27" t="n"/>
      <c r="C22" s="28" t="inlineStr">
        <is>
          <t>諸謝金</t>
        </is>
      </c>
      <c r="D22" s="20" t="n"/>
      <c r="E22" s="1269">
        <f>SUMPRODUCT((月例!$M$5:$M$788=$E$3)*(月例!$C$5:$C$788=C22)*(月例!$F$5:$F$788))</f>
        <v>0</v>
      </c>
      <c r="F22" s="1269">
        <f>SUMPRODUCT((月例!$M$5:$M$788=$E$3)*(月例!$C$5:$C$788=C22)*(月例!$H$5:$H$788))</f>
        <v>0</v>
      </c>
      <c r="G22" s="1269">
        <f>SUMPRODUCT((月例!$M$5:$M$788=$E$3)*(月例!$C$5:$C$788=C22)*(月例!$I$5:$I$788))</f>
        <v>0</v>
      </c>
      <c r="H22" s="1269">
        <f>SUMPRODUCT((月例!$M$5:$M$788=$E$3)*(月例!$C$5:$C$788=C22)*(月例!$J$5:$J$788))</f>
        <v>0</v>
      </c>
      <c r="I22" s="1269">
        <f>SUMPRODUCT((月例!$M$5:$M$788=$E$3)*(月例!$C$5:$C$788=C22)*(月例!$K$5:$K$788))</f>
        <v>0</v>
      </c>
    </row>
    <row r="23" ht="24" customHeight="1" s="186">
      <c r="A23" s="18" t="n"/>
      <c r="B23" s="27" t="n"/>
      <c r="C23" s="28" t="inlineStr">
        <is>
          <t>食糧費</t>
        </is>
      </c>
      <c r="D23" s="20" t="n"/>
      <c r="E23" s="1269">
        <f>SUMPRODUCT((月例!$M$5:$M$788=$E$3)*(月例!$C$5:$C$788=C23)*(月例!$F$5:$F$788))</f>
        <v>0</v>
      </c>
      <c r="F23" s="1269">
        <f>SUMPRODUCT((月例!$M$5:$M$788=$E$3)*(月例!$C$5:$C$788=C23)*(月例!$H$5:$H$788))</f>
        <v>0</v>
      </c>
      <c r="G23" s="1269">
        <f>SUMPRODUCT((月例!$M$5:$M$788=$E$3)*(月例!$C$5:$C$788=C23)*(月例!$I$5:$I$788))</f>
        <v>0</v>
      </c>
      <c r="H23" s="1269">
        <f>SUMPRODUCT((月例!$M$5:$M$788=$E$3)*(月例!$C$5:$C$788=C23)*(月例!$J$5:$J$788))</f>
        <v>0</v>
      </c>
      <c r="I23" s="1269">
        <f>SUMPRODUCT((月例!$M$5:$M$788=$E$3)*(月例!$C$5:$C$788=C23)*(月例!$K$5:$K$788))</f>
        <v>0</v>
      </c>
    </row>
    <row r="24" ht="24" customHeight="1" s="186">
      <c r="A24" s="18" t="n"/>
      <c r="B24" s="27" t="n"/>
      <c r="C24" s="28" t="inlineStr">
        <is>
          <t>負担金</t>
        </is>
      </c>
      <c r="D24" s="20" t="n"/>
      <c r="E24" s="1269">
        <f>SUMPRODUCT((月例!$M$5:$M$788=$E$3)*(月例!$C$5:$C$788=C24)*(月例!$F$5:$F$788))</f>
        <v>59815</v>
      </c>
      <c r="F24" s="1269">
        <f>SUMPRODUCT((月例!$M$5:$M$788=$E$3)*(月例!$C$5:$C$788=C24)*(月例!$H$5:$H$788))</f>
        <v>37314</v>
      </c>
      <c r="G24" s="1269">
        <f>SUMPRODUCT((月例!$M$5:$M$788=$E$3)*(月例!$C$5:$C$788=C24)*(月例!$I$5:$I$788))</f>
        <v>18751</v>
      </c>
      <c r="H24" s="1269">
        <f>SUMPRODUCT((月例!$M$5:$M$788=$E$3)*(月例!$C$5:$C$788=C24)*(月例!$J$5:$J$788))</f>
        <v>1875</v>
      </c>
      <c r="I24" s="1269">
        <f>SUMPRODUCT((月例!$M$5:$M$788=$E$3)*(月例!$C$5:$C$788=C24)*(月例!$K$5:$K$788))</f>
        <v>1875</v>
      </c>
    </row>
    <row r="25" ht="24" customHeight="1" s="186">
      <c r="A25" s="18" t="n"/>
      <c r="B25" s="27" t="n"/>
      <c r="C25" s="28" t="inlineStr">
        <is>
          <t>消費税</t>
        </is>
      </c>
      <c r="D25" s="20" t="n"/>
      <c r="E25" s="1269">
        <f>SUMPRODUCT((月例!$M$5:$M$788=$E$3)*(月例!$C$5:$C$788=C25)*(月例!$F$5:$F$788))</f>
        <v>0</v>
      </c>
      <c r="F25" s="1269">
        <f>SUMPRODUCT((月例!$M$5:$M$788=$E$3)*(月例!$C$5:$C$788=C25)*(月例!$H$5:$H$788))</f>
        <v>0</v>
      </c>
      <c r="G25" s="1269">
        <f>SUMPRODUCT((月例!$M$5:$M$788=$E$3)*(月例!$C$5:$C$788=C25)*(月例!$I$5:$I$788))</f>
        <v>0</v>
      </c>
      <c r="H25" s="1269">
        <f>SUMPRODUCT((月例!$M$5:$M$788=$E$3)*(月例!$C$5:$C$788=C25)*(月例!$J$5:$J$788))</f>
        <v>0</v>
      </c>
      <c r="I25" s="1269">
        <f>SUMPRODUCT((月例!$M$5:$M$788=$E$3)*(月例!$C$5:$C$788=C25)*(月例!$K$5:$K$788))</f>
        <v>0</v>
      </c>
    </row>
    <row r="26" ht="24" customHeight="1" s="186">
      <c r="A26" s="18" t="n"/>
      <c r="B26" s="27" t="n"/>
      <c r="C26" s="28" t="inlineStr">
        <is>
          <t>交際費</t>
        </is>
      </c>
      <c r="D26" s="20" t="n"/>
      <c r="E26" s="1269">
        <f>SUMPRODUCT((月例!$M$5:$M$788=$E$3)*(月例!$C$5:$C$788=C26)*(月例!$F$5:$F$788))</f>
        <v>0</v>
      </c>
      <c r="F26" s="1269">
        <f>SUMPRODUCT((月例!$M$5:$M$788=$E$3)*(月例!$C$5:$C$788=C26)*(月例!$H$5:$H$788))</f>
        <v>0</v>
      </c>
      <c r="G26" s="1269">
        <f>SUMPRODUCT((月例!$M$5:$M$788=$E$3)*(月例!$C$5:$C$788=C26)*(月例!$I$5:$I$788))</f>
        <v>0</v>
      </c>
      <c r="H26" s="1269">
        <f>SUMPRODUCT((月例!$M$5:$M$788=$E$3)*(月例!$C$5:$C$788=C26)*(月例!$J$5:$J$788))</f>
        <v>0</v>
      </c>
      <c r="I26" s="1269">
        <f>SUMPRODUCT((月例!$M$5:$M$788=$E$3)*(月例!$C$5:$C$788=C26)*(月例!$K$5:$K$788))</f>
        <v>0</v>
      </c>
    </row>
    <row r="27" ht="24" customHeight="1" s="186">
      <c r="A27" s="18" t="n"/>
      <c r="B27" s="27" t="n"/>
      <c r="C27" s="28" t="inlineStr">
        <is>
          <t>連合会分担金</t>
        </is>
      </c>
      <c r="D27" s="20" t="n"/>
      <c r="E27" s="1269">
        <f>SUMPRODUCT((月例!$M$5:$M$788=$E$3)*(月例!$C$5:$C$788=C27)*(月例!$F$5:$F$788))</f>
        <v>0</v>
      </c>
      <c r="F27" s="1269">
        <f>SUMPRODUCT((月例!$M$5:$M$788=$E$3)*(月例!$C$5:$C$788=C27)*(月例!$H$5:$H$788))</f>
        <v>0</v>
      </c>
      <c r="G27" s="1269">
        <f>SUMPRODUCT((月例!$M$5:$M$788=$E$3)*(月例!$C$5:$C$788=C27)*(月例!$I$5:$I$788))</f>
        <v>0</v>
      </c>
      <c r="H27" s="1269">
        <f>SUMPRODUCT((月例!$M$5:$M$788=$E$3)*(月例!$C$5:$C$788=C27)*(月例!$J$5:$J$788))</f>
        <v>0</v>
      </c>
      <c r="I27" s="1269">
        <f>SUMPRODUCT((月例!$M$5:$M$788=$E$3)*(月例!$C$5:$C$788=C27)*(月例!$K$5:$K$788))</f>
        <v>0</v>
      </c>
    </row>
    <row r="28" ht="24" customHeight="1" s="186">
      <c r="A28" s="18" t="n"/>
      <c r="B28" s="27" t="n"/>
      <c r="C28" s="28" t="inlineStr">
        <is>
          <t>事務費負担金払込金</t>
        </is>
      </c>
      <c r="D28" s="20" t="n"/>
      <c r="E28" s="1269">
        <f>SUMPRODUCT((月例!$M$5:$M$788=$E$3)*(月例!$C$5:$C$788=C28)*(月例!$F$5:$F$788))</f>
        <v>0</v>
      </c>
      <c r="F28" s="1269">
        <f>SUMPRODUCT((月例!$M$5:$M$788=$E$3)*(月例!$C$5:$C$788=C28)*(月例!$H$5:$H$788))</f>
        <v>0</v>
      </c>
      <c r="G28" s="1269">
        <f>SUMPRODUCT((月例!$M$5:$M$788=$E$3)*(月例!$C$5:$C$788=C28)*(月例!$I$5:$I$788))</f>
        <v>0</v>
      </c>
      <c r="H28" s="1269">
        <f>SUMPRODUCT((月例!$M$5:$M$788=$E$3)*(月例!$C$5:$C$788=C28)*(月例!$J$5:$J$788))</f>
        <v>0</v>
      </c>
      <c r="I28" s="1269">
        <f>SUMPRODUCT((月例!$M$5:$M$788=$E$3)*(月例!$C$5:$C$788=C28)*(月例!$K$5:$K$788))</f>
        <v>0</v>
      </c>
    </row>
    <row r="29" ht="24" customHeight="1" s="186">
      <c r="A29" s="18" t="n"/>
      <c r="B29" s="27" t="n"/>
      <c r="C29" s="28" t="inlineStr">
        <is>
          <t>雑費</t>
        </is>
      </c>
      <c r="D29" s="20" t="n"/>
      <c r="E29" s="1269">
        <f>SUMPRODUCT((月例!$M$5:$M$788=$E$3)*(月例!$C$5:$C$788=C29)*(月例!$F$5:$F$788))</f>
        <v>0</v>
      </c>
      <c r="F29" s="1269">
        <f>SUMPRODUCT((月例!$M$5:$M$788=$E$3)*(月例!$C$5:$C$788=C29)*(月例!$H$5:$H$788))</f>
        <v>0</v>
      </c>
      <c r="G29" s="1269">
        <f>SUMPRODUCT((月例!$M$5:$M$788=$E$3)*(月例!$C$5:$C$788=C29)*(月例!$I$5:$I$788))</f>
        <v>0</v>
      </c>
      <c r="H29" s="1269">
        <f>SUMPRODUCT((月例!$M$5:$M$788=$E$3)*(月例!$C$5:$C$788=C29)*(月例!$J$5:$J$788))</f>
        <v>0</v>
      </c>
      <c r="I29" s="1269">
        <f>SUMPRODUCT((月例!$M$5:$M$788=$E$3)*(月例!$C$5:$C$788=C29)*(月例!$K$5:$K$788))</f>
        <v>0</v>
      </c>
    </row>
    <row r="30" ht="24" customHeight="1" s="186">
      <c r="A30" s="18" t="n"/>
      <c r="B30" s="27" t="n"/>
      <c r="C30" s="28" t="inlineStr">
        <is>
          <t>減価償却費</t>
        </is>
      </c>
      <c r="D30" s="20" t="n"/>
      <c r="E30" s="1269">
        <f>SUMPRODUCT((月例!$M$5:$M$788=$E$3)*(月例!$C$5:$C$788=C30)*(月例!$F$5:$F$788))</f>
        <v>0</v>
      </c>
      <c r="F30" s="1269">
        <f>SUMPRODUCT((月例!$M$5:$M$788=$E$3)*(月例!$C$5:$C$788=C30)*(月例!$H$5:$H$788))</f>
        <v>0</v>
      </c>
      <c r="G30" s="1269">
        <f>SUMPRODUCT((月例!$M$5:$M$788=$E$3)*(月例!$C$5:$C$788=C30)*(月例!$I$5:$I$788))</f>
        <v>0</v>
      </c>
      <c r="H30" s="1269">
        <f>SUMPRODUCT((月例!$M$5:$M$788=$E$3)*(月例!$C$5:$C$788=C30)*(月例!$J$5:$J$788))</f>
        <v>0</v>
      </c>
      <c r="I30" s="1269">
        <f>SUMPRODUCT((月例!$M$5:$M$788=$E$3)*(月例!$C$5:$C$788=C30)*(月例!$K$5:$K$788))</f>
        <v>0</v>
      </c>
    </row>
    <row r="31" ht="24" customHeight="1" s="186">
      <c r="A31" s="18" t="n"/>
      <c r="B31" s="27" t="n"/>
      <c r="C31" s="34" t="inlineStr">
        <is>
          <t>(引当金繰入)</t>
        </is>
      </c>
      <c r="D31" s="20" t="n"/>
      <c r="E31" s="1270" t="n"/>
      <c r="F31" s="1270" t="n"/>
      <c r="G31" s="1271" t="n"/>
      <c r="H31" s="1269" t="n"/>
      <c r="I31" s="1272" t="n"/>
    </row>
    <row r="32" ht="24" customHeight="1" s="186">
      <c r="A32" s="18" t="n"/>
      <c r="B32" s="27" t="n"/>
      <c r="C32" s="28" t="inlineStr">
        <is>
          <t>特別修繕引当金繰入</t>
        </is>
      </c>
      <c r="D32" s="20" t="n"/>
      <c r="E32" s="1269">
        <f>SUMPRODUCT((月例!$M$5:$M$788=$E$3)*(月例!$C$5:$C$788=C32)*(月例!$F$5:$F$788))</f>
        <v>0</v>
      </c>
      <c r="F32" s="1269">
        <f>SUMPRODUCT((月例!$M$5:$M$788=$E$3)*(月例!$C$5:$C$788=C32)*(月例!$H$5:$H$788))</f>
        <v>0</v>
      </c>
      <c r="G32" s="1269">
        <f>SUMPRODUCT((月例!$M$5:$M$788=$E$3)*(月例!$C$5:$C$788=C32)*(月例!$I$5:$I$788))</f>
        <v>0</v>
      </c>
      <c r="H32" s="1269">
        <f>SUMPRODUCT((月例!$M$5:$M$788=$E$3)*(月例!$C$5:$C$788=C32)*(月例!$J$5:$J$788))</f>
        <v>0</v>
      </c>
      <c r="I32" s="1269">
        <f>SUMPRODUCT((月例!$M$5:$M$788=$E$3)*(月例!$C$5:$C$788=C32)*(月例!$K$5:$K$788))</f>
        <v>0</v>
      </c>
    </row>
    <row r="33" ht="24" customHeight="1" s="186">
      <c r="A33" s="18" t="n"/>
      <c r="B33" s="27" t="n"/>
      <c r="C33" s="34" t="inlineStr">
        <is>
          <t>(事業外費用)</t>
        </is>
      </c>
      <c r="D33" s="20" t="n"/>
      <c r="E33" s="1270" t="n"/>
      <c r="F33" s="1270" t="n"/>
      <c r="G33" s="1271" t="n"/>
      <c r="H33" s="1269" t="n"/>
      <c r="I33" s="1272" t="n"/>
    </row>
    <row r="34" ht="24" customHeight="1" s="186">
      <c r="A34" s="18" t="n"/>
      <c r="B34" s="27" t="n"/>
      <c r="C34" s="28" t="inlineStr">
        <is>
          <t>支払利息</t>
        </is>
      </c>
      <c r="D34" s="20" t="n"/>
      <c r="E34" s="1269">
        <f>SUMPRODUCT((月例!$M$5:$M$788=$E$3)*(月例!$C$5:$C$788=C34)*(月例!$F$5:$F$788))</f>
        <v>0</v>
      </c>
      <c r="F34" s="1270">
        <f>SUMPRODUCT((月例!$M$5:$M$788=$E$3)*(月例!$C$5:$C$788=C34)*(月例!$H$5:$H$788))</f>
        <v>0</v>
      </c>
      <c r="G34" s="1271">
        <f>SUMPRODUCT((月例!$M$5:$M$788=$E$3)*(月例!$C$5:$C$788=C34)*(月例!$I$5:$I$788))</f>
        <v>0</v>
      </c>
      <c r="H34" s="1269">
        <f>SUMPRODUCT((月例!$M$5:$M$788=$E$3)*(月例!$C$5:$C$788=C34)*(月例!$J$5:$J$788))</f>
        <v>0</v>
      </c>
      <c r="I34" s="1272">
        <f>SUMPRODUCT((月例!$M$5:$M$788=$E$3)*(月例!$C$5:$C$788=C34)*(月例!$K$5:$K$788))</f>
        <v>0</v>
      </c>
    </row>
    <row r="35" ht="24" customHeight="1" s="186">
      <c r="A35" s="18" t="n"/>
      <c r="B35" s="27" t="n"/>
      <c r="C35" s="28" t="inlineStr">
        <is>
          <t>雑損</t>
        </is>
      </c>
      <c r="D35" s="20" t="n"/>
      <c r="E35" s="1269">
        <f>SUMPRODUCT((月例!$M$5:$M$788=$E$3)*(月例!$C$5:$C$788=C35)*(月例!$F$5:$F$788))</f>
        <v>0</v>
      </c>
      <c r="F35" s="1270">
        <f>SUMPRODUCT((月例!$M$5:$M$788=$E$3)*(月例!$C$5:$C$788=C35)*(月例!$H$5:$H$788))</f>
        <v>0</v>
      </c>
      <c r="G35" s="1271">
        <f>SUMPRODUCT((月例!$M$5:$M$788=$E$3)*(月例!$C$5:$C$788=C35)*(月例!$I$5:$I$788))</f>
        <v>0</v>
      </c>
      <c r="H35" s="1269">
        <f>SUMPRODUCT((月例!$M$5:$M$788=$E$3)*(月例!$C$5:$C$788=C35)*(月例!$J$5:$J$788))</f>
        <v>0</v>
      </c>
      <c r="I35" s="1272">
        <f>SUMPRODUCT((月例!$M$5:$M$788=$E$3)*(月例!$C$5:$C$788=C35)*(月例!$K$5:$K$788))</f>
        <v>0</v>
      </c>
    </row>
    <row r="36" ht="24" customFormat="1" customHeight="1" s="40">
      <c r="A36" s="35" t="n"/>
      <c r="B36" s="36" t="n"/>
      <c r="C36" s="37" t="inlineStr">
        <is>
          <t>合計</t>
        </is>
      </c>
      <c r="D36" s="38" t="n"/>
      <c r="E36" s="1273">
        <f>SUM(E10:E35)</f>
        <v>1910013</v>
      </c>
      <c r="F36" s="1273">
        <f>SUM(F10:F35)</f>
        <v>1265934</v>
      </c>
      <c r="G36" s="1273">
        <f>SUM(G10:G35)</f>
        <v>541149</v>
      </c>
      <c r="H36" s="1273">
        <f>SUM(H10:H35)</f>
        <v>54115</v>
      </c>
      <c r="I36" s="1273">
        <f>SUM(I10:I35)</f>
        <v>48815</v>
      </c>
    </row>
  </sheetData>
  <mergeCells count="5">
    <mergeCell ref="E5:E6"/>
    <mergeCell ref="E3:H3"/>
    <mergeCell ref="B5:C6"/>
    <mergeCell ref="E1:H1"/>
    <mergeCell ref="E2:H2"/>
  </mergeCells>
  <printOptions horizontalCentered="1" verticalCentered="1"/>
  <pageMargins left="0.7874015748031497" right="0.7874015748031497" top="0.5905511811023623" bottom="0.5905511811023623" header="0.984251968503937" footer="0.3149606299212598"/>
  <pageSetup orientation="portrait" paperSize="9" scale="9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36"/>
  <sheetViews>
    <sheetView tabSelected="0" view="pageBreakPreview" topLeftCell="A22" zoomScaleNormal="100" zoomScaleSheetLayoutView="100" workbookViewId="0">
      <selection activeCell="E15" sqref="E15"/>
    </sheetView>
  </sheetViews>
  <sheetFormatPr baseColWidth="8" defaultRowHeight="12"/>
  <cols>
    <col width="1" customWidth="1" style="6" min="1" max="1"/>
    <col width="1.125" customWidth="1" style="6" min="2" max="2"/>
    <col width="16.125" customWidth="1" style="6" min="3" max="3"/>
    <col width="1" customWidth="1" style="6" min="4" max="4"/>
    <col width="12.625" customWidth="1" style="6" min="5" max="9"/>
    <col width="5" customWidth="1" style="6" min="10" max="10"/>
    <col width="9" customWidth="1" style="6" min="11" max="16384"/>
  </cols>
  <sheetData>
    <row r="1" ht="24" customHeight="1" s="186">
      <c r="A1" s="716" t="n"/>
      <c r="B1" s="716" t="n"/>
      <c r="C1" s="716" t="n"/>
      <c r="D1" s="716" t="n"/>
      <c r="E1" s="716" t="inlineStr">
        <is>
          <t>業務経理</t>
        </is>
      </c>
      <c r="I1" s="716" t="n"/>
      <c r="J1" s="5" t="n"/>
    </row>
    <row r="2" ht="24" customHeight="1" s="186">
      <c r="A2" s="716" t="n"/>
      <c r="B2" s="716" t="n"/>
      <c r="C2" s="716" t="n"/>
      <c r="D2" s="716" t="n"/>
      <c r="E2" s="716" t="inlineStr">
        <is>
          <t>給付区分別執行額</t>
        </is>
      </c>
      <c r="I2" s="716" t="n"/>
      <c r="J2" s="7" t="n"/>
    </row>
    <row r="3" ht="24" customHeight="1" s="186">
      <c r="A3" s="716" t="n"/>
      <c r="B3" s="716" t="n"/>
      <c r="C3" s="716" t="n"/>
      <c r="D3" s="716" t="n"/>
      <c r="E3" s="1274" t="inlineStr">
        <is>
          <t>（平成31年度分）</t>
        </is>
      </c>
      <c r="I3" s="716" t="n"/>
      <c r="J3" s="7" t="n"/>
    </row>
    <row r="4" ht="24" customHeight="1" s="186">
      <c r="A4" s="716" t="n"/>
      <c r="B4" s="716" t="n"/>
      <c r="C4" s="716" t="n"/>
      <c r="D4" s="716" t="n"/>
      <c r="E4" s="716" t="n"/>
      <c r="F4" s="716" t="n"/>
      <c r="G4" s="716" t="n"/>
      <c r="H4" s="716" t="n"/>
      <c r="I4" s="8" t="inlineStr">
        <is>
          <t>(単位：円)</t>
        </is>
      </c>
      <c r="J4" s="7" t="n"/>
    </row>
    <row r="5" ht="24" customFormat="1" customHeight="1" s="13">
      <c r="A5" s="9" t="n"/>
      <c r="B5" s="1265" t="inlineStr">
        <is>
          <t>科　　　　　目</t>
        </is>
      </c>
      <c r="C5" s="1266" t="n"/>
      <c r="D5" s="10" t="n"/>
      <c r="E5" s="1267" t="inlineStr">
        <is>
          <t>執行額</t>
        </is>
      </c>
      <c r="F5" s="45" t="n"/>
      <c r="G5" s="11" t="n"/>
      <c r="H5" s="11" t="n"/>
      <c r="I5" s="12" t="n"/>
    </row>
    <row r="6" ht="24" customFormat="1" customHeight="1" s="17">
      <c r="A6" s="14" t="n"/>
      <c r="B6" s="223" t="n"/>
      <c r="C6" s="223" t="n"/>
      <c r="D6" s="15" t="n"/>
      <c r="E6" s="1268" t="n"/>
      <c r="F6" s="44" t="inlineStr">
        <is>
          <t>短期</t>
        </is>
      </c>
      <c r="G6" s="16" t="inlineStr">
        <is>
          <t>厚年</t>
        </is>
      </c>
      <c r="H6" s="16" t="inlineStr">
        <is>
          <t>経過的</t>
        </is>
      </c>
      <c r="I6" s="16" t="inlineStr">
        <is>
          <t>退職等</t>
        </is>
      </c>
    </row>
    <row r="7" ht="24" customHeight="1" s="186">
      <c r="A7" s="18" t="n"/>
      <c r="B7" s="27" t="inlineStr">
        <is>
          <t>(借　　方)</t>
        </is>
      </c>
      <c r="C7" s="27" t="n"/>
      <c r="D7" s="20" t="n"/>
      <c r="E7" s="21" t="n"/>
      <c r="F7" s="22" t="n"/>
      <c r="G7" s="21" t="n"/>
      <c r="H7" s="21" t="n"/>
      <c r="I7" s="22" t="n"/>
    </row>
    <row r="8" ht="24" customHeight="1" s="186">
      <c r="A8" s="23" t="n"/>
      <c r="B8" s="24" t="inlineStr">
        <is>
          <t>経 常 費 用</t>
        </is>
      </c>
      <c r="C8" s="27" t="n"/>
      <c r="D8" s="20" t="n"/>
      <c r="E8" s="25" t="n"/>
      <c r="F8" s="26" t="n"/>
      <c r="G8" s="25" t="n"/>
      <c r="H8" s="25" t="n"/>
      <c r="I8" s="26" t="n"/>
    </row>
    <row r="9" ht="24" customHeight="1" s="186">
      <c r="A9" s="18" t="n"/>
      <c r="B9" s="27" t="n"/>
      <c r="C9" s="27" t="inlineStr">
        <is>
          <t>(事業費用)</t>
        </is>
      </c>
      <c r="D9" s="20" t="n"/>
      <c r="E9" s="25" t="n"/>
      <c r="F9" s="26" t="n"/>
      <c r="H9" s="25" t="n"/>
      <c r="I9" s="26" t="n"/>
    </row>
    <row r="10" ht="24" customHeight="1" s="186">
      <c r="A10" s="18" t="n"/>
      <c r="B10" s="27" t="n"/>
      <c r="C10" s="28" t="inlineStr">
        <is>
          <t>役員報酬</t>
        </is>
      </c>
      <c r="D10" s="20" t="n"/>
      <c r="E10" s="1269">
        <f>SUMIF(月例!$C$5:$C$788,C10,月例!$F$5:$F$788)+SUMIF(決算整理!$C$5:$C$1835,C10,決算整理!$F$5:$F$1835)</f>
        <v>33000</v>
      </c>
      <c r="F10" s="1269">
        <f>SUMIF(月例!$C$5:$C$788,C10,月例!$H$5:$H$788)+SUMIF(決算整理!$C$5:$C$1835,C10,決算整理!$H$5:$H$1835)</f>
        <v>15783</v>
      </c>
      <c r="G10" s="1269">
        <f>SUMIF(月例!$C$5:$C$788,C10,月例!$I$5:$I$788)+SUMIF(決算整理!$C$5:$C$1835,C10,決算整理!$I$5:$I$1835)</f>
        <v>14349</v>
      </c>
      <c r="H10" s="1269">
        <f>SUMIF(月例!$C$5:$C$788,C10,月例!$J$5:$J$788)+SUMIF(決算整理!$C$5:$C$1835,C10,決算整理!$J$5:$J$1835)</f>
        <v>1434</v>
      </c>
      <c r="I10" s="1269">
        <f>SUMIF(月例!$C$5:$C$788,C10,月例!$K$5:$K$788)+SUMIF(決算整理!$C$5:$C$1835,C10,決算整理!$K$5:$K$1835)</f>
        <v>1434</v>
      </c>
    </row>
    <row r="11" ht="24" customHeight="1" s="186">
      <c r="A11" s="18" t="n"/>
      <c r="B11" s="27" t="n"/>
      <c r="C11" s="28" t="inlineStr">
        <is>
          <t>職員給与</t>
        </is>
      </c>
      <c r="D11" s="20" t="n"/>
      <c r="E11" s="1269">
        <f>SUMIF(月例!$C$5:$C$788,C11,月例!$F$5:$F$788)+SUMIF(決算整理!$C$5:$C$1835,C11,決算整理!$F$5:$F$1835)</f>
        <v>12111707</v>
      </c>
      <c r="F11" s="1269">
        <f>SUMIF(月例!$C$5:$C$788,C11,月例!$H$5:$H$788)+SUMIF(決算整理!$C$5:$C$1835,C11,決算整理!$H$5:$H$1835)</f>
        <v>4068108</v>
      </c>
      <c r="G11" s="1269">
        <f>SUMIF(月例!$C$5:$C$788,C11,月例!$I$5:$I$788)+SUMIF(決算整理!$C$5:$C$1835,C11,決算整理!$I$5:$I$1835)</f>
        <v>6702999</v>
      </c>
      <c r="H11" s="1269">
        <f>SUMIF(月例!$C$5:$C$788,C11,月例!$J$5:$J$788)+SUMIF(決算整理!$C$5:$C$1835,C11,決算整理!$J$5:$J$1835)</f>
        <v>670300</v>
      </c>
      <c r="I11" s="1269">
        <f>SUMIF(月例!$C$5:$C$788,C11,月例!$K$5:$K$788)+SUMIF(決算整理!$C$5:$C$1835,C11,決算整理!$K$5:$K$1835)</f>
        <v>670300</v>
      </c>
    </row>
    <row r="12" ht="24" customHeight="1" s="186">
      <c r="A12" s="18" t="n"/>
      <c r="B12" s="27" t="n"/>
      <c r="C12" s="28" t="inlineStr">
        <is>
          <t>厚生費</t>
        </is>
      </c>
      <c r="D12" s="20" t="n"/>
      <c r="E12" s="1269">
        <f>SUMIF(月例!$C$5:$C$788,C12,月例!$F$5:$F$788)+SUMIF(決算整理!$C$5:$C$1835,C12,決算整理!$F$5:$F$1835)</f>
        <v>105327</v>
      </c>
      <c r="F12" s="1269">
        <f>SUMIF(月例!$C$5:$C$788,C12,月例!$H$5:$H$788)+SUMIF(決算整理!$C$5:$C$1835,C12,決算整理!$H$5:$H$1835)</f>
        <v>64596</v>
      </c>
      <c r="G12" s="1269">
        <f>SUMIF(月例!$C$5:$C$788,C12,月例!$I$5:$I$788)+SUMIF(決算整理!$C$5:$C$1835,C12,決算整理!$I$5:$I$1835)</f>
        <v>33941</v>
      </c>
      <c r="H12" s="1269">
        <f>SUMIF(月例!$C$5:$C$788,C12,月例!$J$5:$J$788)+SUMIF(決算整理!$C$5:$C$1835,C12,決算整理!$J$5:$J$1835)</f>
        <v>3395</v>
      </c>
      <c r="I12" s="1269">
        <f>SUMIF(月例!$C$5:$C$788,C12,月例!$K$5:$K$788)+SUMIF(決算整理!$C$5:$C$1835,C12,決算整理!$K$5:$K$1835)</f>
        <v>3395</v>
      </c>
    </row>
    <row r="13" ht="24" customHeight="1" s="186">
      <c r="A13" s="18" t="n"/>
      <c r="B13" s="27" t="n"/>
      <c r="C13" s="28" t="inlineStr">
        <is>
          <t>旅費</t>
        </is>
      </c>
      <c r="D13" s="20" t="n"/>
      <c r="E13" s="1269">
        <f>SUMIF(月例!$C$5:$C$788,C13,月例!$F$5:$F$788)+SUMIF(決算整理!$C$5:$C$1835,C13,決算整理!$F$5:$F$1835)</f>
        <v>1233572</v>
      </c>
      <c r="F13" s="1269">
        <f>SUMIF(月例!$C$5:$C$788,C13,月例!$H$5:$H$788)+SUMIF(決算整理!$C$5:$C$1835,C13,決算整理!$H$5:$H$1835)</f>
        <v>554799</v>
      </c>
      <c r="G13" s="1269">
        <f>SUMIF(月例!$C$5:$C$788,C13,月例!$I$5:$I$788)+SUMIF(決算整理!$C$5:$C$1835,C13,決算整理!$I$5:$I$1835)</f>
        <v>565643</v>
      </c>
      <c r="H13" s="1269">
        <f>SUMIF(月例!$C$5:$C$788,C13,月例!$J$5:$J$788)+SUMIF(決算整理!$C$5:$C$1835,C13,決算整理!$J$5:$J$1835)</f>
        <v>56565</v>
      </c>
      <c r="I13" s="1269">
        <f>SUMIF(月例!$C$5:$C$788,C13,月例!$K$5:$K$788)+SUMIF(決算整理!$C$5:$C$1835,C13,決算整理!$K$5:$K$1835)</f>
        <v>56565</v>
      </c>
    </row>
    <row r="14" ht="24" customHeight="1" s="186">
      <c r="A14" s="18" t="n"/>
      <c r="B14" s="27" t="n"/>
      <c r="C14" s="28" t="inlineStr">
        <is>
          <t>事務費</t>
        </is>
      </c>
      <c r="D14" s="20" t="n"/>
      <c r="E14" s="1269">
        <f>SUMIF(月例!$C$5:$C$788,C14,月例!$F$5:$F$788)+SUMIF(決算整理!$C$5:$C$1835,C14,決算整理!$F$5:$F$1835)</f>
        <v>22329777</v>
      </c>
      <c r="F14" s="1269">
        <f>SUMIF(月例!$C$5:$C$788,C14,月例!$H$5:$H$788)+SUMIF(決算整理!$C$5:$C$1835,C14,決算整理!$H$5:$H$1835)</f>
        <v>10101127</v>
      </c>
      <c r="G14" s="1269">
        <f>SUMIF(月例!$C$5:$C$788,C14,月例!$I$5:$I$788)+SUMIF(決算整理!$C$5:$C$1835,C14,決算整理!$I$5:$I$1835)</f>
        <v>10190516</v>
      </c>
      <c r="H14" s="1269">
        <f>SUMIF(月例!$C$5:$C$788,C14,月例!$J$5:$J$788)+SUMIF(決算整理!$C$5:$C$1835,C14,決算整理!$J$5:$J$1835)</f>
        <v>1019067</v>
      </c>
      <c r="I14" s="1269">
        <f>SUMIF(月例!$C$5:$C$788,C14,月例!$K$5:$K$788)+SUMIF(決算整理!$C$5:$C$1835,C14,決算整理!$K$5:$K$1835)</f>
        <v>1019067</v>
      </c>
    </row>
    <row r="15" ht="24" customHeight="1" s="186">
      <c r="A15" s="18" t="n"/>
      <c r="B15" s="27" t="n"/>
      <c r="C15" s="28" t="inlineStr">
        <is>
          <t>賃金</t>
        </is>
      </c>
      <c r="D15" s="20" t="n"/>
      <c r="E15" s="1269">
        <f>SUMIF(月例!$C$5:$C$788,C15,月例!$F$5:$F$788)+SUMIF(決算整理!$C$5:$C$1835,C15,決算整理!$F$5:$F$1835)</f>
        <v>4655626</v>
      </c>
      <c r="F15" s="1269">
        <f>SUMIF(月例!$C$5:$C$788,C15,月例!$H$5:$H$788)+SUMIF(決算整理!$C$5:$C$1835,C15,決算整理!$H$5:$H$1835)</f>
        <v>4655626</v>
      </c>
      <c r="G15" s="1269">
        <f>SUMIF(月例!$C$5:$C$788,C15,月例!$I$5:$I$788)+SUMIF(決算整理!$C$5:$C$1835,C15,決算整理!$I$5:$I$1835)</f>
        <v>0</v>
      </c>
      <c r="H15" s="1269">
        <f>SUMIF(月例!$C$5:$C$788,C15,月例!$J$5:$J$788)+SUMIF(決算整理!$C$5:$C$1835,C15,決算整理!$J$5:$J$1835)</f>
        <v>0</v>
      </c>
      <c r="I15" s="1269">
        <f>SUMIF(月例!$C$5:$C$788,C15,月例!$K$5:$K$788)+SUMIF(決算整理!$C$5:$C$1835,C15,決算整理!$K$5:$K$1835)</f>
        <v>0</v>
      </c>
    </row>
    <row r="16" ht="24" customHeight="1" s="186">
      <c r="A16" s="18" t="n"/>
      <c r="B16" s="27" t="n"/>
      <c r="C16" s="28" t="inlineStr">
        <is>
          <t>委託費</t>
        </is>
      </c>
      <c r="D16" s="20" t="n"/>
      <c r="E16" s="1269">
        <f>SUMIF(月例!$C$5:$C$788,C16,月例!$F$5:$F$788)+SUMIF(決算整理!$C$5:$C$1835,C16,決算整理!$F$5:$F$1835)</f>
        <v>27658823</v>
      </c>
      <c r="F16" s="1269">
        <f>SUMIF(月例!$C$5:$C$788,C16,月例!$H$5:$H$788)+SUMIF(決算整理!$C$5:$C$1835,C16,決算整理!$H$5:$H$1835)</f>
        <v>19815170</v>
      </c>
      <c r="G16" s="1269">
        <f>SUMIF(月例!$C$5:$C$788,C16,月例!$I$5:$I$788)+SUMIF(決算整理!$C$5:$C$1835,C16,決算整理!$I$5:$I$1835)</f>
        <v>5826090</v>
      </c>
      <c r="H16" s="1269">
        <f>SUMIF(月例!$C$5:$C$788,C16,月例!$J$5:$J$788)+SUMIF(決算整理!$C$5:$C$1835,C16,決算整理!$J$5:$J$1835)</f>
        <v>582610</v>
      </c>
      <c r="I16" s="1269">
        <f>SUMIF(月例!$C$5:$C$788,C16,月例!$K$5:$K$788)+SUMIF(決算整理!$C$5:$C$1835,C16,決算整理!$K$5:$K$1835)</f>
        <v>1434953</v>
      </c>
    </row>
    <row r="17" ht="24" customHeight="1" s="186">
      <c r="A17" s="18" t="n"/>
      <c r="B17" s="27" t="n"/>
      <c r="C17" s="28" t="inlineStr">
        <is>
          <t>光熱水料</t>
        </is>
      </c>
      <c r="D17" s="20" t="n"/>
      <c r="E17" s="1269">
        <f>SUMIF(月例!$C$5:$C$788,C17,月例!$F$5:$F$788)+SUMIF(決算整理!$C$5:$C$1835,C17,決算整理!$F$5:$F$1835)</f>
        <v>106139</v>
      </c>
      <c r="F17" s="1269">
        <f>SUMIF(月例!$C$5:$C$788,C17,月例!$H$5:$H$788)+SUMIF(決算整理!$C$5:$C$1835,C17,決算整理!$H$5:$H$1835)</f>
        <v>14348</v>
      </c>
      <c r="G17" s="1269">
        <f>SUMIF(月例!$C$5:$C$788,C17,月例!$I$5:$I$788)+SUMIF(決算整理!$C$5:$C$1835,C17,決算整理!$I$5:$I$1835)</f>
        <v>76495</v>
      </c>
      <c r="H17" s="1269">
        <f>SUMIF(月例!$C$5:$C$788,C17,月例!$J$5:$J$788)+SUMIF(決算整理!$C$5:$C$1835,C17,決算整理!$J$5:$J$1835)</f>
        <v>7648</v>
      </c>
      <c r="I17" s="1269">
        <f>SUMIF(月例!$C$5:$C$788,C17,月例!$K$5:$K$788)+SUMIF(決算整理!$C$5:$C$1835,C17,決算整理!$K$5:$K$1835)</f>
        <v>7648</v>
      </c>
    </row>
    <row r="18" ht="24" customHeight="1" s="186">
      <c r="A18" s="18" t="n"/>
      <c r="B18" s="27" t="n"/>
      <c r="C18" s="28" t="inlineStr">
        <is>
          <t>修繕費</t>
        </is>
      </c>
      <c r="D18" s="20" t="n"/>
      <c r="E18" s="1269">
        <f>SUMIF(月例!$C$5:$C$788,C18,月例!$F$5:$F$788)+SUMIF(決算整理!$C$5:$C$1835,C18,決算整理!$F$5:$F$1835)</f>
        <v>0</v>
      </c>
      <c r="F18" s="1269">
        <f>SUMIF(月例!$C$5:$C$788,C18,月例!$H$5:$H$788)+SUMIF(決算整理!$C$5:$C$1835,C18,決算整理!$H$5:$H$1835)</f>
        <v>0</v>
      </c>
      <c r="G18" s="1269">
        <f>SUMIF(月例!$C$5:$C$788,C18,月例!$I$5:$I$788)+SUMIF(決算整理!$C$5:$C$1835,C18,決算整理!$I$5:$I$1835)</f>
        <v>0</v>
      </c>
      <c r="H18" s="1269">
        <f>SUMIF(月例!$C$5:$C$788,C18,月例!$J$5:$J$788)+SUMIF(決算整理!$C$5:$C$1835,C18,決算整理!$J$5:$J$1835)</f>
        <v>0</v>
      </c>
      <c r="I18" s="1269">
        <f>SUMIF(月例!$C$5:$C$788,C18,月例!$K$5:$K$788)+SUMIF(決算整理!$C$5:$C$1835,C18,決算整理!$K$5:$K$1835)</f>
        <v>0</v>
      </c>
    </row>
    <row r="19" ht="24" customHeight="1" s="186">
      <c r="A19" s="18" t="n"/>
      <c r="B19" s="27" t="n"/>
      <c r="C19" s="28" t="inlineStr">
        <is>
          <t>賃借料</t>
        </is>
      </c>
      <c r="D19" s="20" t="n"/>
      <c r="E19" s="1269">
        <f>SUMIF(月例!$C$5:$C$788,C19,月例!$F$5:$F$788)+SUMIF(決算整理!$C$5:$C$1835,C19,決算整理!$F$5:$F$1835)</f>
        <v>12502859</v>
      </c>
      <c r="F19" s="1269">
        <f>SUMIF(月例!$C$5:$C$788,C19,月例!$H$5:$H$788)+SUMIF(決算整理!$C$5:$C$1835,C19,決算整理!$H$5:$H$1835)</f>
        <v>11126006</v>
      </c>
      <c r="G19" s="1269">
        <f>SUMIF(月例!$C$5:$C$788,C19,月例!$I$5:$I$788)+SUMIF(決算整理!$C$5:$C$1835,C19,決算整理!$I$5:$I$1835)</f>
        <v>1147379</v>
      </c>
      <c r="H19" s="1269">
        <f>SUMIF(月例!$C$5:$C$788,C19,月例!$J$5:$J$788)+SUMIF(決算整理!$C$5:$C$1835,C19,決算整理!$J$5:$J$1835)</f>
        <v>114737</v>
      </c>
      <c r="I19" s="1269">
        <f>SUMIF(月例!$C$5:$C$788,C19,月例!$K$5:$K$788)+SUMIF(決算整理!$C$5:$C$1835,C19,決算整理!$K$5:$K$1835)</f>
        <v>114737</v>
      </c>
    </row>
    <row r="20" ht="24" customHeight="1" s="186">
      <c r="A20" s="18" t="n"/>
      <c r="B20" s="27" t="n"/>
      <c r="C20" s="28" t="inlineStr">
        <is>
          <t>調査研究費</t>
        </is>
      </c>
      <c r="D20" s="20" t="n"/>
      <c r="E20" s="1269">
        <f>SUMIF(月例!$C$5:$C$788,C20,月例!$F$5:$F$788)+SUMIF(決算整理!$C$5:$C$1835,C20,決算整理!$F$5:$F$1835)</f>
        <v>0</v>
      </c>
      <c r="F20" s="1269">
        <f>SUMIF(月例!$C$5:$C$788,C20,月例!$H$5:$H$788)+SUMIF(決算整理!$C$5:$C$1835,C20,決算整理!$H$5:$H$1835)</f>
        <v>0</v>
      </c>
      <c r="G20" s="1269">
        <f>SUMIF(月例!$C$5:$C$788,C20,月例!$I$5:$I$788)+SUMIF(決算整理!$C$5:$C$1835,C20,決算整理!$I$5:$I$1835)</f>
        <v>0</v>
      </c>
      <c r="H20" s="1269">
        <f>SUMIF(月例!$C$5:$C$788,C20,月例!$J$5:$J$788)+SUMIF(決算整理!$C$5:$C$1835,C20,決算整理!$J$5:$J$1835)</f>
        <v>0</v>
      </c>
      <c r="I20" s="1269">
        <f>SUMIF(月例!$C$5:$C$788,C20,月例!$K$5:$K$788)+SUMIF(決算整理!$C$5:$C$1835,C20,決算整理!$K$5:$K$1835)</f>
        <v>0</v>
      </c>
    </row>
    <row r="21" ht="24" customHeight="1" s="186">
      <c r="A21" s="18" t="n"/>
      <c r="B21" s="27" t="n"/>
      <c r="C21" s="28" t="inlineStr">
        <is>
          <t>普及費</t>
        </is>
      </c>
      <c r="D21" s="20" t="n"/>
      <c r="E21" s="1269">
        <f>SUMIF(月例!$C$5:$C$788,C21,月例!$F$5:$F$788)+SUMIF(決算整理!$C$5:$C$1835,C21,決算整理!$F$5:$F$1835)</f>
        <v>2572248</v>
      </c>
      <c r="F21" s="1269">
        <f>SUMIF(月例!$C$5:$C$788,C21,月例!$H$5:$H$788)+SUMIF(決算整理!$C$5:$C$1835,C21,決算整理!$H$5:$H$1835)</f>
        <v>1504819</v>
      </c>
      <c r="G21" s="1269">
        <f>SUMIF(月例!$C$5:$C$788,C21,月例!$I$5:$I$788)+SUMIF(決算整理!$C$5:$C$1835,C21,決算整理!$I$5:$I$1835)</f>
        <v>889523</v>
      </c>
      <c r="H21" s="1269">
        <f>SUMIF(月例!$C$5:$C$788,C21,月例!$J$5:$J$788)+SUMIF(決算整理!$C$5:$C$1835,C21,決算整理!$J$5:$J$1835)</f>
        <v>88953</v>
      </c>
      <c r="I21" s="1269">
        <f>SUMIF(月例!$C$5:$C$788,C21,月例!$K$5:$K$788)+SUMIF(決算整理!$C$5:$C$1835,C21,決算整理!$K$5:$K$1835)</f>
        <v>88953</v>
      </c>
    </row>
    <row r="22" ht="24" customHeight="1" s="186">
      <c r="A22" s="18" t="n"/>
      <c r="B22" s="27" t="n"/>
      <c r="C22" s="28" t="inlineStr">
        <is>
          <t>諸謝金</t>
        </is>
      </c>
      <c r="D22" s="20" t="n"/>
      <c r="E22" s="1269">
        <f>SUMIF(月例!$C$5:$C$788,C22,月例!$F$5:$F$788)+SUMIF(決算整理!$C$5:$C$1835,C22,決算整理!$F$5:$F$1835)</f>
        <v>0</v>
      </c>
      <c r="F22" s="1269">
        <f>SUMIF(月例!$C$5:$C$788,C22,月例!$H$5:$H$788)+SUMIF(決算整理!$C$5:$C$1835,C22,決算整理!$H$5:$H$1835)</f>
        <v>0</v>
      </c>
      <c r="G22" s="1269">
        <f>SUMIF(月例!$C$5:$C$788,C22,月例!$I$5:$I$788)+SUMIF(決算整理!$C$5:$C$1835,C22,決算整理!$I$5:$I$1835)</f>
        <v>0</v>
      </c>
      <c r="H22" s="1269">
        <f>SUMIF(月例!$C$5:$C$788,C22,月例!$J$5:$J$788)+SUMIF(決算整理!$C$5:$C$1835,C22,決算整理!$J$5:$J$1835)</f>
        <v>0</v>
      </c>
      <c r="I22" s="1269">
        <f>SUMIF(月例!$C$5:$C$788,C22,月例!$K$5:$K$788)+SUMIF(決算整理!$C$5:$C$1835,C22,決算整理!$K$5:$K$1835)</f>
        <v>0</v>
      </c>
    </row>
    <row r="23" ht="24" customHeight="1" s="186">
      <c r="A23" s="18" t="n"/>
      <c r="B23" s="27" t="n"/>
      <c r="C23" s="28" t="inlineStr">
        <is>
          <t>食糧費</t>
        </is>
      </c>
      <c r="D23" s="20" t="n"/>
      <c r="E23" s="1269">
        <f>SUMIF(月例!$C$5:$C$788,C23,月例!$F$5:$F$788)+SUMIF(決算整理!$C$5:$C$1835,C23,決算整理!$F$5:$F$1835)</f>
        <v>0</v>
      </c>
      <c r="F23" s="1269">
        <f>SUMIF(月例!$C$5:$C$788,C23,月例!$H$5:$H$788)+SUMIF(決算整理!$C$5:$C$1835,C23,決算整理!$H$5:$H$1835)</f>
        <v>0</v>
      </c>
      <c r="G23" s="1269">
        <f>SUMIF(月例!$C$5:$C$788,C23,月例!$I$5:$I$788)+SUMIF(決算整理!$C$5:$C$1835,C23,決算整理!$I$5:$I$1835)</f>
        <v>0</v>
      </c>
      <c r="H23" s="1269">
        <f>SUMIF(月例!$C$5:$C$788,C23,月例!$J$5:$J$788)+SUMIF(決算整理!$C$5:$C$1835,C23,決算整理!$J$5:$J$1835)</f>
        <v>0</v>
      </c>
      <c r="I23" s="1269">
        <f>SUMIF(月例!$C$5:$C$788,C23,月例!$K$5:$K$788)+SUMIF(決算整理!$C$5:$C$1835,C23,決算整理!$K$5:$K$1835)</f>
        <v>0</v>
      </c>
    </row>
    <row r="24" ht="24" customHeight="1" s="186">
      <c r="A24" s="18" t="n"/>
      <c r="B24" s="27" t="n"/>
      <c r="C24" s="28" t="inlineStr">
        <is>
          <t>負担金</t>
        </is>
      </c>
      <c r="D24" s="20" t="n"/>
      <c r="E24" s="1269">
        <f>SUMIF(月例!$C$5:$C$788,C24,月例!$F$5:$F$788)+SUMIF(決算整理!$C$5:$C$1835,C24,決算整理!$F$5:$F$1835)</f>
        <v>2579107</v>
      </c>
      <c r="F24" s="1269">
        <f>SUMIF(月例!$C$5:$C$788,C24,月例!$H$5:$H$788)+SUMIF(決算整理!$C$5:$C$1835,C24,決算整理!$H$5:$H$1835)</f>
        <v>1482266</v>
      </c>
      <c r="G24" s="1269">
        <f>SUMIF(月例!$C$5:$C$788,C24,月例!$I$5:$I$788)+SUMIF(決算整理!$C$5:$C$1835,C24,決算整理!$I$5:$I$1835)</f>
        <v>914027</v>
      </c>
      <c r="H24" s="1269">
        <f>SUMIF(月例!$C$5:$C$788,C24,月例!$J$5:$J$788)+SUMIF(決算整理!$C$5:$C$1835,C24,決算整理!$J$5:$J$1835)</f>
        <v>91407</v>
      </c>
      <c r="I24" s="1269">
        <f>SUMIF(月例!$C$5:$C$788,C24,月例!$K$5:$K$788)+SUMIF(決算整理!$C$5:$C$1835,C24,決算整理!$K$5:$K$1835)</f>
        <v>91407</v>
      </c>
    </row>
    <row r="25" ht="24" customHeight="1" s="186">
      <c r="A25" s="18" t="n"/>
      <c r="B25" s="27" t="n"/>
      <c r="C25" s="28" t="inlineStr">
        <is>
          <t>消費税</t>
        </is>
      </c>
      <c r="D25" s="20" t="n"/>
      <c r="E25" s="1269">
        <f>月例!F839+決算整理!F1886</f>
        <v>0</v>
      </c>
      <c r="F25" s="1269">
        <f>月例!H839+決算整理!H1886</f>
        <v>0</v>
      </c>
      <c r="G25" s="1269">
        <f>月例!I839+決算整理!I1886</f>
        <v>0</v>
      </c>
      <c r="H25" s="1269">
        <f>月例!J839+決算整理!J1886</f>
        <v>0</v>
      </c>
      <c r="I25" s="1269">
        <f>月例!K839+決算整理!K1886</f>
        <v>0</v>
      </c>
    </row>
    <row r="26" ht="24" customHeight="1" s="186">
      <c r="A26" s="18" t="n"/>
      <c r="B26" s="27" t="n"/>
      <c r="C26" s="28" t="inlineStr">
        <is>
          <t>交際費</t>
        </is>
      </c>
      <c r="D26" s="20" t="n"/>
      <c r="E26" s="1269">
        <f>SUMIF(月例!$C$5:$C$788,C26,月例!$F$5:$F$788)+SUMIF(決算整理!$C$5:$C$1835,C26,決算整理!$F$5:$F$1835)</f>
        <v>0</v>
      </c>
      <c r="F26" s="1269">
        <f>SUMIF(月例!$C$5:$C$788,C26,月例!$H$5:$H$788)+SUMIF(決算整理!$C$5:$C$1835,C26,決算整理!$H$5:$H$1835)</f>
        <v>0</v>
      </c>
      <c r="G26" s="1269">
        <f>SUMIF(月例!$C$5:$C$788,C26,月例!$I$5:$I$788)+SUMIF(決算整理!$C$5:$C$1835,C26,決算整理!$I$5:$I$1835)</f>
        <v>0</v>
      </c>
      <c r="H26" s="1269">
        <f>SUMIF(月例!$C$5:$C$788,C26,月例!$J$5:$J$788)+SUMIF(決算整理!$C$5:$C$1835,C26,決算整理!$J$5:$J$1835)</f>
        <v>0</v>
      </c>
      <c r="I26" s="1269">
        <f>SUMIF(月例!$C$5:$C$788,C26,月例!$K$5:$K$788)+SUMIF(決算整理!$C$5:$C$1835,C26,決算整理!$K$5:$K$1835)</f>
        <v>0</v>
      </c>
    </row>
    <row r="27" ht="24" customHeight="1" s="186">
      <c r="A27" s="18" t="n"/>
      <c r="B27" s="27" t="n"/>
      <c r="C27" s="28" t="inlineStr">
        <is>
          <t>連合会分担金</t>
        </is>
      </c>
      <c r="D27" s="20" t="n"/>
      <c r="E27" s="1269">
        <f>SUMIF(月例!$C$5:$C$788,C27,月例!$F$5:$F$788)+SUMIF(決算整理!$C$5:$C$1835,C27,決算整理!$F$5:$F$1835)</f>
        <v>20439958</v>
      </c>
      <c r="F27" s="1269">
        <f>SUMIF(月例!$C$5:$C$788,C27,月例!$H$5:$H$788)+SUMIF(決算整理!$C$5:$C$1835,C27,決算整理!$H$5:$H$1835)</f>
        <v>20439958</v>
      </c>
      <c r="G27" s="1269">
        <f>SUMIF(月例!$C$5:$C$788,C27,月例!$I$5:$I$788)+SUMIF(決算整理!$C$5:$C$1835,C27,決算整理!$I$5:$I$1835)</f>
        <v>0</v>
      </c>
      <c r="H27" s="1269">
        <f>SUMIF(月例!$C$5:$C$788,C27,月例!$J$5:$J$788)+SUMIF(決算整理!$C$5:$C$1835,C27,決算整理!$J$5:$J$1835)</f>
        <v>0</v>
      </c>
      <c r="I27" s="1269">
        <f>SUMIF(月例!$C$5:$C$788,C27,月例!$K$5:$K$788)+SUMIF(決算整理!$C$5:$C$1835,C27,決算整理!$K$5:$K$1835)</f>
        <v>0</v>
      </c>
    </row>
    <row r="28" ht="24" customHeight="1" s="186">
      <c r="A28" s="18" t="n"/>
      <c r="B28" s="27" t="n"/>
      <c r="C28" s="28" t="inlineStr">
        <is>
          <t>事務費負担金払込金</t>
        </is>
      </c>
      <c r="D28" s="20" t="n"/>
      <c r="E28" s="1269">
        <f>SUMIF(月例!$C$5:$C$788,C28,月例!$F$5:$F$788)+SUMIF(決算整理!$C$5:$C$1835,C28,決算整理!$F$5:$F$1835)</f>
        <v>63677000</v>
      </c>
      <c r="F28" s="1269">
        <f>SUMIF(月例!$C$5:$C$788,C28,月例!$H$5:$H$788)+SUMIF(決算整理!$C$5:$C$1835,C28,決算整理!$H$5:$H$1835)</f>
        <v>0</v>
      </c>
      <c r="G28" s="1269">
        <f>SUMIF(月例!$C$5:$C$788,C28,月例!$I$5:$I$788)+SUMIF(決算整理!$C$5:$C$1835,C28,決算整理!$I$5:$I$1835)</f>
        <v>57888182</v>
      </c>
      <c r="H28" s="1269">
        <f>SUMIF(月例!$C$5:$C$788,C28,月例!$J$5:$J$788)+SUMIF(決算整理!$C$5:$C$1835,C28,決算整理!$J$5:$J$1835)</f>
        <v>5788818</v>
      </c>
      <c r="I28" s="1269">
        <f>SUMIF(月例!$C$5:$C$788,C28,月例!$K$5:$K$788)+SUMIF(決算整理!$C$5:$C$1835,C28,決算整理!$K$5:$K$1835)</f>
        <v>0</v>
      </c>
    </row>
    <row r="29" ht="24" customHeight="1" s="186">
      <c r="A29" s="18" t="n"/>
      <c r="B29" s="27" t="n"/>
      <c r="C29" s="28" t="inlineStr">
        <is>
          <t>雑費</t>
        </is>
      </c>
      <c r="D29" s="20" t="n"/>
      <c r="E29" s="1269">
        <f>SUMIF(月例!$C$5:$C$788,C29,月例!$F$5:$F$788)+SUMIF(決算整理!$C$5:$C$1835,C29,決算整理!$F$5:$F$1835)</f>
        <v>0</v>
      </c>
      <c r="F29" s="1269">
        <f>SUMIF(月例!$C$5:$C$788,C29,月例!$H$5:$H$788)+SUMIF(決算整理!$C$5:$C$1835,C29,決算整理!$H$5:$H$1835)</f>
        <v>0</v>
      </c>
      <c r="G29" s="1269">
        <f>SUMIF(月例!$C$5:$C$788,C29,月例!$I$5:$I$788)+SUMIF(決算整理!$C$5:$C$1835,C29,決算整理!$I$5:$I$1835)</f>
        <v>0</v>
      </c>
      <c r="H29" s="1269">
        <f>SUMIF(月例!$C$5:$C$788,C29,月例!$J$5:$J$788)+SUMIF(決算整理!$C$5:$C$1835,C29,決算整理!$J$5:$J$1835)</f>
        <v>0</v>
      </c>
      <c r="I29" s="1269">
        <f>SUMIF(月例!$C$5:$C$788,C29,月例!$K$5:$K$788)+SUMIF(決算整理!$C$5:$C$1835,C29,決算整理!$K$5:$K$1835)</f>
        <v>0</v>
      </c>
    </row>
    <row r="30" ht="24" customHeight="1" s="186">
      <c r="A30" s="18" t="n"/>
      <c r="B30" s="27" t="n"/>
      <c r="C30" s="28" t="inlineStr">
        <is>
          <t>減価償却費</t>
        </is>
      </c>
      <c r="D30" s="20" t="n"/>
      <c r="E30" s="1269">
        <f>SUMIF(月例!$C$5:$C$788,C30,月例!$F$5:$F$788)+SUMIF(決算整理!$C$5:$C$1835,C30,決算整理!$F$5:$F$1835)</f>
        <v>0</v>
      </c>
      <c r="F30" s="1269">
        <f>SUMIF(月例!$C$5:$C$788,C30,月例!$H$5:$H$788)+SUMIF(決算整理!$C$5:$C$1835,C30,決算整理!$H$5:$H$1835)</f>
        <v>0</v>
      </c>
      <c r="G30" s="1269">
        <f>SUMIF(月例!$C$5:$C$788,C30,月例!$I$5:$I$788)+SUMIF(決算整理!$C$5:$C$1835,C30,決算整理!$I$5:$I$1835)</f>
        <v>0</v>
      </c>
      <c r="H30" s="1269">
        <f>SUMIF(月例!$C$5:$C$788,C30,月例!$J$5:$J$788)+SUMIF(決算整理!$C$5:$C$1835,C30,決算整理!$J$5:$J$1835)</f>
        <v>0</v>
      </c>
      <c r="I30" s="1269">
        <f>SUMIF(月例!$C$5:$C$788,C30,月例!$K$5:$K$788)+SUMIF(決算整理!$C$5:$C$1835,C30,決算整理!$K$5:$K$1835)</f>
        <v>0</v>
      </c>
    </row>
    <row r="31" ht="24" customHeight="1" s="186">
      <c r="A31" s="18" t="n"/>
      <c r="B31" s="27" t="n"/>
      <c r="C31" s="34" t="inlineStr">
        <is>
          <t>(引当金繰入)</t>
        </is>
      </c>
      <c r="D31" s="20" t="n"/>
      <c r="E31" s="1270" t="n"/>
      <c r="F31" s="1270" t="n"/>
      <c r="G31" s="1271" t="n"/>
      <c r="H31" s="1269" t="n"/>
      <c r="I31" s="1272" t="n"/>
    </row>
    <row r="32" ht="24" customHeight="1" s="186">
      <c r="A32" s="18" t="n"/>
      <c r="B32" s="27" t="n"/>
      <c r="C32" s="28" t="inlineStr">
        <is>
          <t>特別修繕引当金繰入</t>
        </is>
      </c>
      <c r="D32" s="20" t="n"/>
      <c r="E32" s="1269">
        <f>SUMIF(月例!$C$5:$C$788,C32,月例!$F$5:$F$788)+SUMIF(決算整理!$C$5:$C$1835,C32,決算整理!$F$5:$F$1835)</f>
        <v>0</v>
      </c>
      <c r="F32" s="1269">
        <f>SUMIF(月例!$C$5:$C$788,C32,月例!$H$5:$H$788)+SUMIF(決算整理!$C$5:$C$1835,C32,決算整理!$H$5:$H$1835)</f>
        <v>0</v>
      </c>
      <c r="G32" s="1269">
        <f>SUMIF(月例!$C$5:$C$788,C32,月例!$I$5:$I$788)+SUMIF(決算整理!$C$5:$C$1835,C32,決算整理!$I$5:$I$1835)</f>
        <v>0</v>
      </c>
      <c r="H32" s="1269">
        <f>SUMIF(月例!$C$5:$C$788,C32,月例!$J$5:$J$788)+SUMIF(決算整理!$C$5:$C$1835,C32,決算整理!$J$5:$J$1835)</f>
        <v>0</v>
      </c>
      <c r="I32" s="1269">
        <f>SUMIF(月例!$C$5:$C$788,C32,月例!$K$5:$K$788)+SUMIF(決算整理!$C$5:$C$1835,C32,決算整理!$K$5:$K$1835)</f>
        <v>0</v>
      </c>
    </row>
    <row r="33" ht="24" customHeight="1" s="186">
      <c r="A33" s="18" t="n"/>
      <c r="B33" s="27" t="n"/>
      <c r="C33" s="34" t="inlineStr">
        <is>
          <t>(事業外費用)</t>
        </is>
      </c>
      <c r="D33" s="20" t="n"/>
      <c r="E33" s="1270" t="n"/>
      <c r="F33" s="1270" t="n"/>
      <c r="G33" s="1271" t="n"/>
      <c r="H33" s="1269" t="n"/>
      <c r="I33" s="1272" t="n"/>
    </row>
    <row r="34" ht="24" customHeight="1" s="186">
      <c r="A34" s="18" t="n"/>
      <c r="B34" s="27" t="n"/>
      <c r="C34" s="28" t="inlineStr">
        <is>
          <t>支払利息</t>
        </is>
      </c>
      <c r="D34" s="20" t="n"/>
      <c r="E34" s="1270">
        <f>SUMIF(月例!$C$5:$C$788,C34,月例!$F$5:$F$788)+SUMIF(決算整理!$C$5:$C$1835,C34,決算整理!$F$5:$F$1835)</f>
        <v>0</v>
      </c>
      <c r="F34" s="1270">
        <f>SUMIF(月例!$C$5:$C$788,C34,月例!$H$5:$H$788)+SUMIF(決算整理!$C$5:$C$1835,C34,決算整理!$H$5:$H$1835)</f>
        <v>0</v>
      </c>
      <c r="G34" s="1271">
        <f>SUMIF(月例!$C$5:$C$788,C34,月例!$I$5:$I$788)+SUMIF(決算整理!$C$5:$C$1835,C34,決算整理!$I$5:$I$1835)</f>
        <v>0</v>
      </c>
      <c r="H34" s="1269">
        <f>SUMIF(月例!$C$5:$C$788,C34,月例!$J$5:$J$788)+SUMIF(決算整理!$C$5:$C$1835,C34,決算整理!$J$5:$J$1835)</f>
        <v>0</v>
      </c>
      <c r="I34" s="1272">
        <f>SUMIF(月例!$C$5:$C$788,C34,月例!$K$5:$K$788)+SUMIF(決算整理!$C$5:$C$1835,C34,決算整理!$K$5:$K$1835)</f>
        <v>0</v>
      </c>
    </row>
    <row r="35" ht="24" customHeight="1" s="186">
      <c r="A35" s="18" t="n"/>
      <c r="B35" s="27" t="n"/>
      <c r="C35" s="28" t="inlineStr">
        <is>
          <t>雑損</t>
        </is>
      </c>
      <c r="D35" s="20" t="n"/>
      <c r="E35" s="1270">
        <f>SUMIF(月例!$C$5:$C$788,C35,月例!$F$5:$F$788)+SUMIF(決算整理!$C$5:$C$1835,C35,決算整理!$F$5:$F$1835)</f>
        <v>0</v>
      </c>
      <c r="F35" s="1270">
        <f>SUMIF(月例!$C$5:$C$788,C35,月例!$H$5:$H$788)+SUMIF(決算整理!$C$5:$C$1835,C35,決算整理!$H$5:$H$1835)</f>
        <v>0</v>
      </c>
      <c r="G35" s="1271">
        <f>SUMIF(月例!$C$5:$C$788,C35,月例!$I$5:$I$788)+SUMIF(決算整理!$C$5:$C$1835,C35,決算整理!$I$5:$I$1835)</f>
        <v>0</v>
      </c>
      <c r="H35" s="1269">
        <f>SUMIF(月例!$C$5:$C$788,C35,月例!$J$5:$J$788)+SUMIF(決算整理!$C$5:$C$1835,C35,決算整理!$J$5:$J$1835)</f>
        <v>0</v>
      </c>
      <c r="I35" s="1272">
        <f>SUMIF(月例!$C$5:$C$788,C35,月例!$K$5:$K$788)+SUMIF(決算整理!$C$5:$C$1835,C35,決算整理!$K$5:$K$1835)</f>
        <v>0</v>
      </c>
    </row>
    <row r="36" ht="24" customFormat="1" customHeight="1" s="40">
      <c r="A36" s="35" t="n"/>
      <c r="B36" s="36" t="n"/>
      <c r="C36" s="37" t="inlineStr">
        <is>
          <t>合計</t>
        </is>
      </c>
      <c r="D36" s="38" t="n"/>
      <c r="E36" s="1273">
        <f>SUM(E10:E35)</f>
        <v>170005143</v>
      </c>
      <c r="F36" s="1273">
        <f>SUM(F10:F35)</f>
        <v>73842606</v>
      </c>
      <c r="G36" s="1273">
        <f>SUM(G10:G35)</f>
        <v>84249144</v>
      </c>
      <c r="H36" s="1273">
        <f>SUM(H10:H35)</f>
        <v>8424934</v>
      </c>
      <c r="I36" s="1273">
        <f>SUM(I10:I35)</f>
        <v>3488459</v>
      </c>
    </row>
  </sheetData>
  <mergeCells count="5">
    <mergeCell ref="E5:E6"/>
    <mergeCell ref="E3:H3"/>
    <mergeCell ref="B5:C6"/>
    <mergeCell ref="E1:H1"/>
    <mergeCell ref="E2:H2"/>
  </mergeCells>
  <printOptions horizontalCentered="1" verticalCentered="1"/>
  <pageMargins left="0.7874015748031497" right="0.7874015748031497" top="0.5905511811023623" bottom="0.5905511811023623" header="0.984251968503937" footer="0.3149606299212598"/>
  <pageSetup orientation="portrait" paperSize="9" scale="95"/>
</worksheet>
</file>

<file path=xl/worksheets/sheet20.xml><?xml version="1.0" encoding="utf-8"?>
<worksheet xmlns="http://schemas.openxmlformats.org/spreadsheetml/2006/main">
  <sheetPr codeName="Sheet3">
    <outlinePr summaryBelow="1" summaryRight="1"/>
    <pageSetUpPr/>
  </sheetPr>
  <dimension ref="A2:Z18"/>
  <sheetViews>
    <sheetView tabSelected="0" topLeftCell="S1" zoomScale="85" zoomScaleNormal="85" workbookViewId="0">
      <selection activeCell="Z3" sqref="Z3"/>
    </sheetView>
  </sheetViews>
  <sheetFormatPr baseColWidth="8" defaultRowHeight="13.5"/>
  <cols>
    <col width="14.25" bestFit="1" customWidth="1" style="186" min="1" max="2"/>
    <col width="14.125" bestFit="1" customWidth="1" style="186" min="3" max="3"/>
    <col width="14.125" customWidth="1" style="186" min="4" max="4"/>
    <col width="25.375" bestFit="1" customWidth="1" style="186" min="5" max="5"/>
    <col width="15.125" bestFit="1" customWidth="1" style="186" min="6" max="6"/>
    <col width="27" bestFit="1" customWidth="1" style="186" min="7" max="7"/>
    <col width="27.5" customWidth="1" style="186" min="8" max="8"/>
    <col width="22.875" customWidth="1" style="186" min="9" max="9"/>
    <col width="30.625" customWidth="1" style="186" min="10" max="10"/>
    <col width="32.5" bestFit="1" customWidth="1" style="186" min="11" max="11"/>
    <col width="32.5" customWidth="1" style="186" min="12" max="13"/>
    <col width="16.625" customWidth="1" style="186" min="14" max="14"/>
    <col width="32.5" customWidth="1" style="186" min="15" max="15"/>
    <col width="14.875" customWidth="1" style="186" min="16" max="16"/>
    <col width="14.5" customWidth="1" style="186" min="17" max="17"/>
    <col width="13.875" customWidth="1" style="186" min="18" max="18"/>
    <col width="19.125" customWidth="1" style="186" min="19" max="19"/>
    <col width="11.375" customWidth="1" style="186" min="20" max="20"/>
    <col width="14.625" customWidth="1" style="186" min="21" max="21"/>
    <col width="20.375" bestFit="1" customWidth="1" style="186" min="22" max="22"/>
    <col width="23.625" customWidth="1" style="186" min="23" max="23"/>
    <col width="31.75" bestFit="1" customWidth="1" style="186" min="24" max="24"/>
    <col width="20.875" customWidth="1" style="186" min="25" max="25"/>
    <col width="19.5" customWidth="1" style="186" min="26" max="27"/>
    <col width="16.625" customWidth="1" style="186" min="28" max="28"/>
    <col width="14.25" customWidth="1" style="186" min="29" max="29"/>
    <col width="18.125" customWidth="1" style="186" min="32" max="32"/>
    <col width="21.5" customWidth="1" style="186" min="33" max="33"/>
    <col width="21.375" customWidth="1" style="186" min="34" max="34"/>
    <col width="27" customWidth="1" style="186" min="35" max="35"/>
    <col width="27.75" customWidth="1" style="186" min="36" max="36"/>
    <col width="29.5" customWidth="1" style="186" min="37" max="37"/>
    <col width="36.125" customWidth="1" style="186" min="38" max="38"/>
    <col width="32.5" bestFit="1" customWidth="1" style="186" min="39" max="39"/>
  </cols>
  <sheetData>
    <row r="2">
      <c r="A2" s="353" t="inlineStr">
        <is>
          <t>中項目</t>
        </is>
      </c>
    </row>
    <row r="3">
      <c r="A3" s="3" t="inlineStr">
        <is>
          <t>役員報酬</t>
        </is>
      </c>
      <c r="B3" s="3" t="inlineStr">
        <is>
          <t>職員給与</t>
        </is>
      </c>
      <c r="C3" s="3" t="inlineStr">
        <is>
          <t>厚生費</t>
        </is>
      </c>
      <c r="D3" s="3" t="inlineStr">
        <is>
          <t>旅費</t>
        </is>
      </c>
      <c r="E3" s="3" t="inlineStr">
        <is>
          <t>事務費</t>
        </is>
      </c>
      <c r="F3" s="3" t="inlineStr">
        <is>
          <t>賃金</t>
        </is>
      </c>
      <c r="G3" s="3" t="inlineStr">
        <is>
          <t>委託費</t>
        </is>
      </c>
      <c r="H3" s="3" t="inlineStr">
        <is>
          <t>光熱水料</t>
        </is>
      </c>
      <c r="I3" s="3" t="inlineStr">
        <is>
          <t>修繕費</t>
        </is>
      </c>
      <c r="J3" s="3" t="inlineStr">
        <is>
          <t>賃借料</t>
        </is>
      </c>
      <c r="K3" s="3" t="inlineStr">
        <is>
          <t>調査研究費</t>
        </is>
      </c>
      <c r="L3" s="3" t="inlineStr">
        <is>
          <t>普及費</t>
        </is>
      </c>
      <c r="M3" s="3" t="inlineStr">
        <is>
          <t>諸謝金</t>
        </is>
      </c>
      <c r="N3" s="3" t="inlineStr">
        <is>
          <t>器具及び備品</t>
        </is>
      </c>
      <c r="O3" s="3" t="inlineStr">
        <is>
          <t>負担金</t>
        </is>
      </c>
      <c r="P3" s="3" t="inlineStr">
        <is>
          <t>仮払消費税</t>
        </is>
      </c>
      <c r="Q3" s="3" t="inlineStr">
        <is>
          <t>交際費</t>
        </is>
      </c>
      <c r="R3" s="3" t="inlineStr">
        <is>
          <t>選挙費</t>
        </is>
      </c>
      <c r="S3" s="3" t="inlineStr">
        <is>
          <t>事務費負担金払込金</t>
        </is>
      </c>
      <c r="T3" s="3" t="inlineStr">
        <is>
          <t>雑費</t>
        </is>
      </c>
      <c r="U3" s="3" t="inlineStr">
        <is>
          <t>減価償却費</t>
        </is>
      </c>
      <c r="V3" s="3" t="inlineStr">
        <is>
          <t>連合会分担金</t>
        </is>
      </c>
      <c r="W3" s="3" t="inlineStr">
        <is>
          <t>支払利息</t>
        </is>
      </c>
      <c r="X3" s="3" t="inlineStr">
        <is>
          <t>立替金</t>
        </is>
      </c>
      <c r="Y3" s="3" t="inlineStr">
        <is>
          <t>前払費用</t>
        </is>
      </c>
      <c r="Z3" s="3" t="inlineStr">
        <is>
          <t>前期損益修正損</t>
        </is>
      </c>
    </row>
    <row r="6">
      <c r="A6" s="353" t="inlineStr">
        <is>
          <t>小項目</t>
        </is>
      </c>
    </row>
    <row r="7" customFormat="1" s="354">
      <c r="A7" s="355" t="inlineStr">
        <is>
          <t>非常勤職員手当</t>
        </is>
      </c>
      <c r="B7" s="355" t="inlineStr">
        <is>
          <t>送金料</t>
        </is>
      </c>
      <c r="C7" s="355" t="inlineStr">
        <is>
          <t>通信運搬費</t>
        </is>
      </c>
      <c r="D7" s="356" t="inlineStr">
        <is>
          <t>ガス料</t>
        </is>
      </c>
      <c r="E7" s="355" t="inlineStr">
        <is>
          <t>退職給与金</t>
        </is>
      </c>
      <c r="F7" s="356" t="inlineStr">
        <is>
          <t>健康診断費</t>
        </is>
      </c>
      <c r="G7" s="355" t="inlineStr">
        <is>
          <t>事務用消耗品費</t>
        </is>
      </c>
      <c r="H7" s="356" t="inlineStr">
        <is>
          <t>図書印刷費</t>
        </is>
      </c>
      <c r="I7" s="355" t="inlineStr">
        <is>
          <t>会議費</t>
        </is>
      </c>
      <c r="J7" s="355" t="inlineStr">
        <is>
          <t>雑費</t>
        </is>
      </c>
      <c r="K7" s="356" t="inlineStr">
        <is>
          <t>電気料</t>
        </is>
      </c>
      <c r="L7" s="355" t="inlineStr">
        <is>
          <t>協会けんぽ保険料等</t>
        </is>
      </c>
      <c r="M7" s="356" t="inlineStr">
        <is>
          <t>厚年負担金等</t>
        </is>
      </c>
      <c r="N7" s="356" t="inlineStr">
        <is>
          <t>労災・雇用保険料</t>
        </is>
      </c>
      <c r="O7" s="356" t="inlineStr">
        <is>
          <t>会議出席負担金等</t>
        </is>
      </c>
      <c r="P7" s="355" t="inlineStr">
        <is>
          <t>市町村連合会分担金</t>
        </is>
      </c>
      <c r="Q7" s="356" t="inlineStr">
        <is>
          <t>器具及び備品</t>
        </is>
      </c>
      <c r="R7" s="356" t="inlineStr">
        <is>
          <t>水道料</t>
        </is>
      </c>
      <c r="S7" s="355" t="inlineStr">
        <is>
          <t>互助会費</t>
        </is>
      </c>
      <c r="T7" s="356" t="inlineStr">
        <is>
          <t>負担金</t>
        </is>
      </c>
    </row>
    <row r="10">
      <c r="B10" s="2" t="n"/>
    </row>
    <row r="11">
      <c r="B11" s="2" t="n"/>
    </row>
    <row r="18" customFormat="1" s="1">
      <c r="D18" s="1" t="n"/>
      <c r="H18" s="1" t="n"/>
      <c r="I18" s="1" t="n"/>
      <c r="J18" s="1" t="n"/>
    </row>
  </sheetData>
  <pageMargins left="0.7" right="0.7" top="0.75" bottom="0.75" header="0.3" footer="0.3"/>
  <pageSetup orientation="portrait" paperSize="9" horizontalDpi="300" verticalDpi="1200"/>
</worksheet>
</file>

<file path=xl/worksheets/sheet21.xml><?xml version="1.0" encoding="utf-8"?>
<worksheet xmlns="http://schemas.openxmlformats.org/spreadsheetml/2006/main">
  <sheetPr codeName="Sheet8">
    <outlinePr summaryBelow="1" summaryRight="1"/>
    <pageSetUpPr/>
  </sheetPr>
  <dimension ref="A1:B9"/>
  <sheetViews>
    <sheetView tabSelected="0" zoomScaleNormal="100" zoomScaleSheetLayoutView="100" workbookViewId="0">
      <selection activeCell="B22" sqref="B22"/>
    </sheetView>
  </sheetViews>
  <sheetFormatPr baseColWidth="8" defaultRowHeight="13.5"/>
  <cols>
    <col width="16" customWidth="1" style="51" min="1" max="1"/>
    <col width="104.125" customWidth="1" style="47" min="2" max="2"/>
    <col width="9" customWidth="1" style="47" min="3" max="16384"/>
  </cols>
  <sheetData>
    <row r="1" ht="22.5" customHeight="1" s="186">
      <c r="A1" s="48" t="inlineStr">
        <is>
          <t>経費区分</t>
        </is>
      </c>
      <c r="B1" s="48" t="inlineStr">
        <is>
          <t>処理方法</t>
        </is>
      </c>
    </row>
    <row r="2" ht="45" customHeight="1" s="186">
      <c r="A2" s="50" t="inlineStr">
        <is>
          <t>１：共通</t>
        </is>
      </c>
      <c r="B2" s="49" t="inlineStr">
        <is>
          <t>①経費を短期１１：長期１０：経過的１：退職等１の比率で按分することにより生じた４つの数値の端数を四捨五入する。
②上記①により算出された４つの数値の合計額が按分前の経費と一致しない場合は、短期分で端数調整を行う。</t>
        </is>
      </c>
    </row>
    <row r="3" ht="30" customHeight="1" s="186">
      <c r="A3" s="50" t="inlineStr">
        <is>
          <t>２：短期</t>
        </is>
      </c>
      <c r="B3" s="49" t="inlineStr">
        <is>
          <t>調整なし</t>
        </is>
      </c>
    </row>
    <row r="4" ht="45" customHeight="1" s="186">
      <c r="A4" s="50" t="inlineStr">
        <is>
          <t>３：長期共通</t>
        </is>
      </c>
      <c r="B4" s="49" t="inlineStr">
        <is>
          <t>①経費を長期１０：経過的１：退職等１の比率で按分することにより生じた３つの数値の端数を四捨五入する。
②上記①により算出された３つの数値の合計額が按分前の経費と一致しない場合は、長期分で端数調整を行う。</t>
        </is>
      </c>
    </row>
    <row r="5" ht="30" customHeight="1" s="186">
      <c r="A5" s="50" t="inlineStr">
        <is>
          <t>４：厚年のみ</t>
        </is>
      </c>
      <c r="B5" s="49" t="inlineStr">
        <is>
          <t>調整なし</t>
        </is>
      </c>
    </row>
    <row r="6" ht="45" customHeight="1" s="186">
      <c r="A6" s="50" t="inlineStr">
        <is>
          <t>５：厚年＋経過的</t>
        </is>
      </c>
      <c r="B6" s="49" t="inlineStr">
        <is>
          <t>①経費を長期１０：経過的１の比率で按分することにより生じた２つの数値の端数を四捨五入する。
②上記①により算出された２つの数値の合計額が按分前の経費と一致しない場合は、経過的分で端数調整を行う。</t>
        </is>
      </c>
    </row>
    <row r="7" ht="30" customHeight="1" s="186">
      <c r="A7" s="50" t="inlineStr">
        <is>
          <t>６：退職等のみ</t>
        </is>
      </c>
      <c r="B7" s="49" t="inlineStr">
        <is>
          <t>調整なし</t>
        </is>
      </c>
    </row>
    <row r="8" ht="45" customHeight="1" s="186">
      <c r="A8" s="50" t="inlineStr">
        <is>
          <t>７：厚年＋退職等</t>
        </is>
      </c>
      <c r="B8" s="49" t="inlineStr">
        <is>
          <t>①経費を長期１０：退職等１の比率で按分することにより生じた２つの数値の端数を四捨五入する。
②上記①により算出された２つの数値の合計額が按分前の経費と一致しない場合は、退職等分で端数調整を行う。</t>
        </is>
      </c>
    </row>
    <row r="9" ht="30" customHeight="1" s="186">
      <c r="A9" s="50" t="inlineStr">
        <is>
          <t>８：経過的のみ</t>
        </is>
      </c>
      <c r="B9" s="49" t="inlineStr">
        <is>
          <t>調整なし</t>
        </is>
      </c>
    </row>
    <row r="10" ht="16.5" customHeight="1" s="186"/>
    <row r="11" ht="16.5" customHeight="1" s="186"/>
    <row r="12" ht="16.5" customHeight="1" s="186"/>
    <row r="13" ht="16.5" customHeight="1" s="186"/>
    <row r="14" ht="16.5" customHeight="1" s="186"/>
    <row r="15" ht="16.5" customHeight="1" s="186"/>
    <row r="16" ht="16.5" customHeight="1" s="186"/>
    <row r="17" ht="16.5" customHeight="1" s="186"/>
    <row r="18" ht="16.5" customHeight="1" s="186"/>
    <row r="19" ht="16.5" customHeight="1" s="186"/>
    <row r="20" ht="16.5" customHeight="1" s="186"/>
    <row r="21" ht="16.5" customHeight="1" s="186"/>
    <row r="22" ht="16.5" customHeight="1" s="186"/>
    <row r="23" ht="16.5" customHeight="1" s="186"/>
    <row r="24" ht="16.5" customHeight="1" s="186"/>
    <row r="25" ht="16.5" customHeight="1" s="186"/>
    <row r="26" ht="16.5" customHeight="1" s="186"/>
    <row r="27" ht="16.5" customHeight="1" s="186"/>
    <row r="28" ht="16.5" customHeight="1" s="186"/>
    <row r="29" ht="16.5" customHeight="1" s="186"/>
    <row r="30" ht="16.5" customHeight="1" s="186"/>
    <row r="31" ht="16.5" customHeight="1" s="186"/>
    <row r="32" ht="16.5" customHeight="1" s="186"/>
    <row r="33" ht="16.5" customHeight="1" s="186"/>
    <row r="34" ht="16.5" customHeight="1" s="186"/>
    <row r="35" ht="16.5" customHeight="1" s="186"/>
    <row r="36" ht="16.5" customHeight="1" s="186"/>
    <row r="37" ht="16.5" customHeight="1" s="186"/>
    <row r="38" ht="16.5" customHeight="1" s="186"/>
    <row r="39" ht="16.5" customHeight="1" s="186"/>
    <row r="40" ht="16.5" customHeight="1" s="186"/>
    <row r="41" ht="16.5" customHeight="1" s="186"/>
    <row r="42" ht="16.5" customHeight="1" s="186"/>
    <row r="43" ht="16.5" customHeight="1" s="186"/>
    <row r="44" ht="16.5" customHeight="1" s="186"/>
    <row r="45" ht="16.5" customHeight="1" s="186"/>
    <row r="46" ht="16.5" customHeight="1" s="186"/>
    <row r="47" ht="16.5" customHeight="1" s="186"/>
    <row r="48" ht="16.5" customHeight="1" s="186"/>
  </sheetData>
  <pageMargins left="0.5118110236220472" right="0.3149606299212598" top="0.7480314960629921" bottom="0.7480314960629921" header="0.3149606299212598" footer="0.3149606299212598"/>
  <pageSetup orientation="landscape" paperSize="9" scale="87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N80"/>
  <sheetViews>
    <sheetView showGridLines="0" tabSelected="0" workbookViewId="0">
      <selection activeCell="A1" sqref="A1"/>
    </sheetView>
  </sheetViews>
  <sheetFormatPr baseColWidth="8" defaultRowHeight="15"/>
  <cols>
    <col width="30" customWidth="1" style="186" min="1" max="1"/>
    <col width="22" customWidth="1" style="186" min="2" max="2"/>
    <col width="3" customWidth="1" style="186" min="3" max="3"/>
    <col width="11" customWidth="1" style="186" min="4" max="4"/>
    <col width="56" customWidth="1" style="186" min="5" max="5"/>
    <col width="3" customWidth="1" style="186" min="6" max="6"/>
    <col width="3" customWidth="1" style="186" min="7" max="7"/>
    <col width="3" customWidth="1" style="186" min="8" max="8"/>
    <col width="11" customWidth="1" style="186" min="9" max="9"/>
    <col width="13" customWidth="1" style="186" min="14" max="14"/>
  </cols>
  <sheetData>
    <row r="1" ht="26" customHeight="1" s="186">
      <c r="A1" s="719" t="inlineStr">
        <is>
          <t>科目表　（月例・決算整理の中項目／小項目を、差引簿の費目に振り分けるルール）</t>
        </is>
      </c>
      <c r="B1" s="720" t="n"/>
      <c r="C1" s="720" t="n"/>
      <c r="D1" s="720" t="n"/>
      <c r="E1" s="720" t="n"/>
      <c r="F1" s="720" t="n"/>
      <c r="G1" s="720" t="n"/>
      <c r="H1" s="720" t="n"/>
      <c r="I1" s="720" t="n"/>
      <c r="J1" s="720" t="n"/>
      <c r="K1" s="720" t="n"/>
      <c r="L1" s="720" t="n"/>
    </row>
    <row r="2" ht="30" customHeight="1" s="186">
      <c r="A2" s="721" t="inlineStr">
        <is>
          <t>ふだんは触りません。新しい組み合わせを使うときだけ、左の表に1行追加してください（A列＝中項目|小項目、B列＝費目）。</t>
        </is>
      </c>
    </row>
    <row r="4" ht="22" customHeight="1" s="186">
      <c r="A4" s="737" t="inlineStr">
        <is>
          <t>中項目|小項目</t>
        </is>
      </c>
      <c r="B4" s="737" t="inlineStr">
        <is>
          <t>差引簿の費目</t>
        </is>
      </c>
      <c r="D4" s="737" t="inlineStr">
        <is>
          <t>状態</t>
        </is>
      </c>
      <c r="E4" s="737" t="inlineStr">
        <is>
          <t>意味</t>
        </is>
      </c>
      <c r="I4" s="737" t="inlineStr">
        <is>
          <t>状態一覧</t>
        </is>
      </c>
      <c r="N4" s="737" t="inlineStr">
        <is>
          <t>締め月一覧</t>
        </is>
      </c>
    </row>
    <row r="5">
      <c r="A5" s="1275" t="inlineStr">
        <is>
          <t>役員報酬|</t>
        </is>
      </c>
      <c r="B5" s="1275" t="inlineStr">
        <is>
          <t>役員報酬</t>
        </is>
      </c>
      <c r="D5" s="740" t="inlineStr">
        <is>
          <t>昨年実績</t>
        </is>
      </c>
      <c r="E5" s="1276" t="inlineStr">
        <is>
          <t>昨年実績のまま（赤字）。今年の支払が確定するまで残す</t>
        </is>
      </c>
      <c r="I5" s="740" t="inlineStr">
        <is>
          <t>昨年実績</t>
        </is>
      </c>
      <c r="N5" s="740" t="inlineStr">
        <is>
          <t>なし</t>
        </is>
      </c>
    </row>
    <row r="6">
      <c r="A6" s="1275" t="inlineStr">
        <is>
          <t>職員給与|</t>
        </is>
      </c>
      <c r="B6" s="1275" t="inlineStr">
        <is>
          <t>非常勤職員手当</t>
        </is>
      </c>
      <c r="D6" s="740" t="inlineStr">
        <is>
          <t>未確認</t>
        </is>
      </c>
      <c r="E6" s="1276" t="inlineStr">
        <is>
          <t>今年の支払として入力済み・伝票は未確認（黒字）</t>
        </is>
      </c>
      <c r="I6" s="740" t="inlineStr">
        <is>
          <t>未確認</t>
        </is>
      </c>
      <c r="N6" s="740" t="inlineStr">
        <is>
          <t>4月</t>
        </is>
      </c>
    </row>
    <row r="7">
      <c r="A7" s="1275" t="inlineStr">
        <is>
          <t>職員給与|非常勤職員手当</t>
        </is>
      </c>
      <c r="B7" s="1275" t="inlineStr">
        <is>
          <t>非常勤職員手当</t>
        </is>
      </c>
      <c r="D7" s="740" t="inlineStr">
        <is>
          <t>確認済</t>
        </is>
      </c>
      <c r="E7" s="1276" t="inlineStr">
        <is>
          <t>支払伝票を確認済み（旧：青塗り）。締め月までの分が費用収益表に入る</t>
        </is>
      </c>
      <c r="I7" s="740" t="inlineStr">
        <is>
          <t>確認済</t>
        </is>
      </c>
      <c r="N7" s="740" t="inlineStr">
        <is>
          <t>5月</t>
        </is>
      </c>
    </row>
    <row r="8">
      <c r="A8" s="1275" t="inlineStr">
        <is>
          <t>厚生費|</t>
        </is>
      </c>
      <c r="B8" s="1275" t="inlineStr">
        <is>
          <t>厚生費</t>
        </is>
      </c>
      <c r="D8" s="740" t="inlineStr">
        <is>
          <t>支払なし</t>
        </is>
      </c>
      <c r="E8" s="1276" t="inlineStr">
        <is>
          <t>今年度は支払なし。差引簿・集計から除外</t>
        </is>
      </c>
      <c r="I8" s="740" t="inlineStr">
        <is>
          <t>支払なし</t>
        </is>
      </c>
      <c r="N8" s="740" t="inlineStr">
        <is>
          <t>6月</t>
        </is>
      </c>
    </row>
    <row r="9">
      <c r="A9" s="1275" t="inlineStr">
        <is>
          <t>厚生費|健康診断費</t>
        </is>
      </c>
      <c r="B9" s="1275" t="inlineStr">
        <is>
          <t>厚生費</t>
        </is>
      </c>
      <c r="N9" s="740" t="inlineStr">
        <is>
          <t>7月</t>
        </is>
      </c>
    </row>
    <row r="10">
      <c r="A10" s="1275" t="inlineStr">
        <is>
          <t>旅費|</t>
        </is>
      </c>
      <c r="B10" s="1275" t="inlineStr">
        <is>
          <t>旅費</t>
        </is>
      </c>
      <c r="N10" s="740" t="inlineStr">
        <is>
          <t>8月</t>
        </is>
      </c>
    </row>
    <row r="11">
      <c r="A11" s="1275" t="inlineStr">
        <is>
          <t>事務費|事務用消耗品費</t>
        </is>
      </c>
      <c r="B11" s="1275" t="inlineStr">
        <is>
          <t>事務用消耗品費</t>
        </is>
      </c>
      <c r="N11" s="740" t="inlineStr">
        <is>
          <t>9月</t>
        </is>
      </c>
    </row>
    <row r="12">
      <c r="A12" s="1275" t="inlineStr">
        <is>
          <t>事務費|図書印刷費</t>
        </is>
      </c>
      <c r="B12" s="1275" t="inlineStr">
        <is>
          <t>図書印刷費</t>
        </is>
      </c>
      <c r="N12" s="740" t="inlineStr">
        <is>
          <t>10月</t>
        </is>
      </c>
    </row>
    <row r="13">
      <c r="A13" s="1275" t="inlineStr">
        <is>
          <t>事務費|送金料</t>
        </is>
      </c>
      <c r="B13" s="1275" t="inlineStr">
        <is>
          <t>送金料</t>
        </is>
      </c>
      <c r="N13" s="740" t="inlineStr">
        <is>
          <t>11月</t>
        </is>
      </c>
    </row>
    <row r="14">
      <c r="A14" s="1275" t="inlineStr">
        <is>
          <t>事務費|通信運搬費</t>
        </is>
      </c>
      <c r="B14" s="1275" t="inlineStr">
        <is>
          <t>通信運搬費</t>
        </is>
      </c>
      <c r="N14" s="740" t="inlineStr">
        <is>
          <t>12月</t>
        </is>
      </c>
    </row>
    <row r="15">
      <c r="A15" s="1275" t="inlineStr">
        <is>
          <t>事務費|会議費</t>
        </is>
      </c>
      <c r="B15" s="1275" t="inlineStr">
        <is>
          <t>会議費</t>
        </is>
      </c>
      <c r="N15" s="740" t="inlineStr">
        <is>
          <t>1月</t>
        </is>
      </c>
    </row>
    <row r="16">
      <c r="A16" s="1275" t="inlineStr">
        <is>
          <t>事務費|雑費</t>
        </is>
      </c>
      <c r="B16" s="1275" t="inlineStr">
        <is>
          <t>事務費・雑費</t>
        </is>
      </c>
      <c r="N16" s="740" t="inlineStr">
        <is>
          <t>2月</t>
        </is>
      </c>
    </row>
    <row r="17">
      <c r="A17" s="1275" t="inlineStr">
        <is>
          <t>事務費|</t>
        </is>
      </c>
      <c r="B17" s="1275" t="inlineStr">
        <is>
          <t>事務費・雑費</t>
        </is>
      </c>
      <c r="N17" s="740" t="inlineStr">
        <is>
          <t>3月</t>
        </is>
      </c>
    </row>
    <row r="18">
      <c r="A18" s="1275" t="inlineStr">
        <is>
          <t>賃金|</t>
        </is>
      </c>
      <c r="B18" s="1275" t="inlineStr">
        <is>
          <t>賃金</t>
        </is>
      </c>
      <c r="N18" s="740" t="inlineStr">
        <is>
          <t>4月(未払)</t>
        </is>
      </c>
    </row>
    <row r="19">
      <c r="A19" s="1275" t="inlineStr">
        <is>
          <t>委託費|</t>
        </is>
      </c>
      <c r="B19" s="1275" t="inlineStr">
        <is>
          <t>委託費</t>
        </is>
      </c>
    </row>
    <row r="20">
      <c r="A20" s="1275" t="inlineStr">
        <is>
          <t>光熱水料|</t>
        </is>
      </c>
      <c r="B20" s="1275" t="inlineStr">
        <is>
          <t>光熱水料</t>
        </is>
      </c>
    </row>
    <row r="21">
      <c r="A21" s="1275" t="inlineStr">
        <is>
          <t>光熱水料|ガス料</t>
        </is>
      </c>
      <c r="B21" s="1275" t="inlineStr">
        <is>
          <t>光熱水料</t>
        </is>
      </c>
    </row>
    <row r="22">
      <c r="A22" s="1275" t="inlineStr">
        <is>
          <t>光熱水料|水道料</t>
        </is>
      </c>
      <c r="B22" s="1275" t="inlineStr">
        <is>
          <t>光熱水料</t>
        </is>
      </c>
    </row>
    <row r="23">
      <c r="A23" s="1275" t="inlineStr">
        <is>
          <t>光熱水料|電気料</t>
        </is>
      </c>
      <c r="B23" s="1275" t="inlineStr">
        <is>
          <t>光熱水料</t>
        </is>
      </c>
    </row>
    <row r="24">
      <c r="A24" s="1275" t="inlineStr">
        <is>
          <t>修繕費|</t>
        </is>
      </c>
      <c r="B24" s="1275" t="inlineStr">
        <is>
          <t>修繕費</t>
        </is>
      </c>
    </row>
    <row r="25">
      <c r="A25" s="1275" t="inlineStr">
        <is>
          <t>賃借料|</t>
        </is>
      </c>
      <c r="B25" s="1275" t="inlineStr">
        <is>
          <t>賃借料</t>
        </is>
      </c>
    </row>
    <row r="26">
      <c r="A26" s="1275" t="inlineStr">
        <is>
          <t>普及費|</t>
        </is>
      </c>
      <c r="B26" s="1275" t="inlineStr">
        <is>
          <t>普及費</t>
        </is>
      </c>
    </row>
    <row r="27">
      <c r="A27" s="1275" t="inlineStr">
        <is>
          <t>諸謝金|</t>
        </is>
      </c>
      <c r="B27" s="1275" t="inlineStr">
        <is>
          <t>諸謝金</t>
        </is>
      </c>
    </row>
    <row r="28">
      <c r="A28" s="1275" t="inlineStr">
        <is>
          <t>負担金|互助会費</t>
        </is>
      </c>
      <c r="B28" s="1275" t="inlineStr">
        <is>
          <t>互助会費</t>
        </is>
      </c>
    </row>
    <row r="29">
      <c r="A29" s="1275" t="inlineStr">
        <is>
          <t>負担金|会議出席負担金等</t>
        </is>
      </c>
      <c r="B29" s="1275" t="inlineStr">
        <is>
          <t>会議出席負担金等</t>
        </is>
      </c>
    </row>
    <row r="30">
      <c r="A30" s="1275" t="inlineStr">
        <is>
          <t>負担金|協会けんぽ保険料等</t>
        </is>
      </c>
      <c r="B30" s="1275" t="inlineStr">
        <is>
          <t>協会けんぽ保険料等</t>
        </is>
      </c>
    </row>
    <row r="31">
      <c r="A31" s="1275" t="inlineStr">
        <is>
          <t>負担金|厚年負担金等</t>
        </is>
      </c>
      <c r="B31" s="1275" t="inlineStr">
        <is>
          <t>厚年負担金等</t>
        </is>
      </c>
    </row>
    <row r="32">
      <c r="A32" s="1275" t="inlineStr">
        <is>
          <t>負担金|労災・雇用保険料</t>
        </is>
      </c>
      <c r="B32" s="1275" t="inlineStr">
        <is>
          <t>労災・雇用保険料</t>
        </is>
      </c>
    </row>
    <row r="33">
      <c r="A33" s="1275" t="inlineStr">
        <is>
          <t>負担金|負担金</t>
        </is>
      </c>
      <c r="B33" s="1275" t="inlineStr">
        <is>
          <t>共済負担金等</t>
        </is>
      </c>
    </row>
    <row r="34">
      <c r="A34" s="1275" t="inlineStr">
        <is>
          <t>負担金|</t>
        </is>
      </c>
      <c r="B34" s="1275" t="inlineStr">
        <is>
          <t>県社保協会費</t>
        </is>
      </c>
    </row>
    <row r="35">
      <c r="A35" s="1275" t="inlineStr">
        <is>
          <t>連合会分担金|</t>
        </is>
      </c>
      <c r="B35" s="1275" t="inlineStr">
        <is>
          <t>連合会分担金</t>
        </is>
      </c>
    </row>
    <row r="36">
      <c r="A36" s="1275" t="inlineStr">
        <is>
          <t>連合会分担金|市町村連合会分担金</t>
        </is>
      </c>
      <c r="B36" s="1275" t="inlineStr">
        <is>
          <t>連合会分担金</t>
        </is>
      </c>
    </row>
    <row r="37">
      <c r="A37" s="1275" t="inlineStr">
        <is>
          <t>事務費負担金払込金|</t>
        </is>
      </c>
      <c r="B37" s="1275" t="inlineStr">
        <is>
          <t>事務費負担金払込金</t>
        </is>
      </c>
    </row>
    <row r="38">
      <c r="A38" s="1275" t="inlineStr">
        <is>
          <t>雑費|</t>
        </is>
      </c>
      <c r="B38" s="1275" t="inlineStr">
        <is>
          <t>雑費</t>
        </is>
      </c>
    </row>
    <row r="39">
      <c r="A39" s="1275" t="inlineStr">
        <is>
          <t>減価償却費|</t>
        </is>
      </c>
      <c r="B39" s="1275" t="inlineStr">
        <is>
          <t>減価償却費</t>
        </is>
      </c>
    </row>
    <row r="40">
      <c r="A40" s="1275" t="inlineStr">
        <is>
          <t>器具及び備品|</t>
        </is>
      </c>
      <c r="B40" s="1275" t="inlineStr">
        <is>
          <t>器具及び備品</t>
        </is>
      </c>
    </row>
    <row r="41">
      <c r="A41" s="1275" t="inlineStr">
        <is>
          <t>前期損益修正損|</t>
        </is>
      </c>
      <c r="B41" s="1275" t="inlineStr">
        <is>
          <t>前期損益修正損</t>
        </is>
      </c>
    </row>
    <row r="42">
      <c r="A42" s="1275" t="inlineStr">
        <is>
          <t>立替金|</t>
        </is>
      </c>
      <c r="B42" s="1275" t="inlineStr">
        <is>
          <t>立替金</t>
        </is>
      </c>
    </row>
    <row r="43">
      <c r="A43" s="1275" t="inlineStr">
        <is>
          <t>仮払消費税|</t>
        </is>
      </c>
      <c r="B43" s="1275" t="inlineStr">
        <is>
          <t>対象外</t>
        </is>
      </c>
    </row>
    <row r="44">
      <c r="A44" s="1275" t="inlineStr">
        <is>
          <t>調査研究費|</t>
        </is>
      </c>
      <c r="B44" s="1275" t="inlineStr">
        <is>
          <t>対象外</t>
        </is>
      </c>
    </row>
    <row r="45">
      <c r="A45" s="1275" t="inlineStr">
        <is>
          <t>交際費|</t>
        </is>
      </c>
      <c r="B45" s="1275" t="inlineStr">
        <is>
          <t>対象外</t>
        </is>
      </c>
    </row>
    <row r="46">
      <c r="A46" s="1275" t="inlineStr">
        <is>
          <t>選挙費|</t>
        </is>
      </c>
      <c r="B46" s="1275" t="inlineStr">
        <is>
          <t>対象外</t>
        </is>
      </c>
    </row>
    <row r="47">
      <c r="A47" s="1275" t="inlineStr">
        <is>
          <t>前払費用|</t>
        </is>
      </c>
      <c r="B47" s="1275" t="inlineStr">
        <is>
          <t>対象外</t>
        </is>
      </c>
    </row>
    <row r="48">
      <c r="A48" s="1275" t="inlineStr">
        <is>
          <t>特別修繕引当金繰入|</t>
        </is>
      </c>
      <c r="B48" s="1275" t="inlineStr">
        <is>
          <t>対象外</t>
        </is>
      </c>
    </row>
    <row r="49">
      <c r="A49" s="1275" t="inlineStr">
        <is>
          <t>支払利息|</t>
        </is>
      </c>
      <c r="B49" s="1275" t="inlineStr">
        <is>
          <t>対象外</t>
        </is>
      </c>
    </row>
    <row r="50">
      <c r="A50" s="1275" t="inlineStr">
        <is>
          <t>雑損|</t>
        </is>
      </c>
      <c r="B50" s="1275" t="inlineStr">
        <is>
          <t>対象外</t>
        </is>
      </c>
    </row>
    <row r="51">
      <c r="A51" s="1275" t="inlineStr">
        <is>
          <t>器具及び備品|器具及び備品</t>
        </is>
      </c>
      <c r="B51" s="1275" t="inlineStr">
        <is>
          <t>器具及び備品</t>
        </is>
      </c>
    </row>
    <row r="52">
      <c r="A52" s="1275" t="inlineStr">
        <is>
          <t>前期損益修正損|前期損益修正損</t>
        </is>
      </c>
      <c r="B52" s="1275" t="inlineStr">
        <is>
          <t>前期損益修正損</t>
        </is>
      </c>
    </row>
    <row r="53">
      <c r="A53" s="1275" t="inlineStr">
        <is>
          <t>立替金|立替金</t>
        </is>
      </c>
      <c r="B53" s="1275" t="inlineStr">
        <is>
          <t>立替金</t>
        </is>
      </c>
    </row>
    <row r="54">
      <c r="A54" s="768" t="n"/>
      <c r="B54" s="768" t="n"/>
    </row>
    <row r="55">
      <c r="A55" s="768" t="n"/>
      <c r="B55" s="768" t="n"/>
    </row>
    <row r="56">
      <c r="A56" s="768" t="n"/>
      <c r="B56" s="768" t="n"/>
    </row>
    <row r="57">
      <c r="A57" s="768" t="n"/>
      <c r="B57" s="768" t="n"/>
    </row>
    <row r="58">
      <c r="A58" s="768" t="n"/>
      <c r="B58" s="768" t="n"/>
    </row>
    <row r="59">
      <c r="A59" s="768" t="n"/>
      <c r="B59" s="768" t="n"/>
    </row>
    <row r="60">
      <c r="A60" s="768" t="n"/>
      <c r="B60" s="768" t="n"/>
    </row>
    <row r="61">
      <c r="A61" s="768" t="n"/>
      <c r="B61" s="768" t="n"/>
    </row>
    <row r="62">
      <c r="A62" s="768" t="n"/>
      <c r="B62" s="768" t="n"/>
    </row>
    <row r="63">
      <c r="A63" s="768" t="n"/>
      <c r="B63" s="768" t="n"/>
    </row>
    <row r="64">
      <c r="A64" s="768" t="n"/>
      <c r="B64" s="768" t="n"/>
    </row>
    <row r="65">
      <c r="A65" s="768" t="n"/>
      <c r="B65" s="768" t="n"/>
    </row>
    <row r="66">
      <c r="A66" s="768" t="n"/>
      <c r="B66" s="768" t="n"/>
    </row>
    <row r="67">
      <c r="A67" s="768" t="n"/>
      <c r="B67" s="768" t="n"/>
    </row>
    <row r="68">
      <c r="A68" s="768" t="n"/>
      <c r="B68" s="768" t="n"/>
    </row>
    <row r="69">
      <c r="A69" s="768" t="n"/>
      <c r="B69" s="768" t="n"/>
    </row>
    <row r="70">
      <c r="A70" s="768" t="n"/>
      <c r="B70" s="768" t="n"/>
    </row>
    <row r="71">
      <c r="A71" s="768" t="n"/>
      <c r="B71" s="768" t="n"/>
    </row>
    <row r="72">
      <c r="A72" s="768" t="n"/>
      <c r="B72" s="768" t="n"/>
    </row>
    <row r="73">
      <c r="A73" s="768" t="n"/>
      <c r="B73" s="768" t="n"/>
    </row>
    <row r="74">
      <c r="A74" s="768" t="n"/>
      <c r="B74" s="768" t="n"/>
    </row>
    <row r="75">
      <c r="A75" s="768" t="n"/>
      <c r="B75" s="768" t="n"/>
    </row>
    <row r="76">
      <c r="A76" s="768" t="n"/>
      <c r="B76" s="768" t="n"/>
    </row>
    <row r="77">
      <c r="A77" s="768" t="n"/>
      <c r="B77" s="768" t="n"/>
    </row>
    <row r="78">
      <c r="A78" s="768" t="n"/>
      <c r="B78" s="768" t="n"/>
    </row>
    <row r="79">
      <c r="A79" s="768" t="n"/>
      <c r="B79" s="768" t="n"/>
    </row>
    <row r="80">
      <c r="A80" s="768" t="n"/>
      <c r="B80" s="768" t="n"/>
    </row>
  </sheetData>
  <mergeCells count="2">
    <mergeCell ref="A2:L2"/>
    <mergeCell ref="A1:L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17"/>
  <sheetViews>
    <sheetView showGridLines="0" tabSelected="0" workbookViewId="0">
      <selection activeCell="A1" sqref="A1"/>
    </sheetView>
  </sheetViews>
  <sheetFormatPr baseColWidth="8" defaultRowHeight="15"/>
  <cols>
    <col width="2" customWidth="1" style="186" min="1" max="1"/>
    <col width="62" customWidth="1" style="186" min="2" max="2"/>
    <col width="17" customWidth="1" style="186" min="3" max="3"/>
    <col width="17" customWidth="1" style="186" min="4" max="4"/>
    <col width="14" customWidth="1" style="186" min="5" max="5"/>
    <col width="9" customWidth="1" style="186" min="6" max="6"/>
    <col width="60" customWidth="1" style="186" min="7" max="7"/>
  </cols>
  <sheetData>
    <row r="1" ht="26" customHeight="1" s="186">
      <c r="A1" s="719" t="inlineStr">
        <is>
          <t>検算　（数字が食い違っていないかを自動で確かめます）</t>
        </is>
      </c>
      <c r="B1" s="720" t="n"/>
      <c r="C1" s="720" t="n"/>
      <c r="D1" s="720" t="n"/>
      <c r="E1" s="720" t="n"/>
      <c r="F1" s="720" t="n"/>
      <c r="G1" s="720" t="n"/>
    </row>
    <row r="2" ht="30" customHeight="1" s="186">
      <c r="A2" s="721" t="inlineStr">
        <is>
          <t>「結果」が全部 OK なら、月例／決算整理 → 差引簿 → 集計 → 費用収益表 の数字は一致しています。NG があれば、その行の説明を見て直してください。</t>
        </is>
      </c>
    </row>
    <row r="3">
      <c r="B3" s="729" t="inlineStr">
        <is>
          <t>NG の件数</t>
        </is>
      </c>
      <c r="C3" s="1277">
        <f>COUNTIF(F6:F17,"NG")</f>
        <v>0</v>
      </c>
      <c r="F3" s="1278">
        <f>C3</f>
        <v>0</v>
      </c>
    </row>
    <row r="5" ht="22" customHeight="1" s="186">
      <c r="B5" s="737" t="inlineStr">
        <is>
          <t>確認項目</t>
        </is>
      </c>
      <c r="C5" s="737" t="inlineStr">
        <is>
          <t>期待値（元側）</t>
        </is>
      </c>
      <c r="D5" s="737" t="inlineStr">
        <is>
          <t>実際（転記先）</t>
        </is>
      </c>
      <c r="E5" s="737" t="inlineStr">
        <is>
          <t>差</t>
        </is>
      </c>
      <c r="F5" s="737" t="inlineStr">
        <is>
          <t>結果</t>
        </is>
      </c>
      <c r="G5" s="737" t="inlineStr">
        <is>
          <t>見方</t>
        </is>
      </c>
    </row>
    <row r="6" ht="28" customHeight="1" s="186">
      <c r="B6" s="1279" t="inlineStr">
        <is>
          <t>業務：合計表 ＝ 短期表 ＋ 長期表（費用・全月）</t>
        </is>
      </c>
      <c r="C6" s="741">
        <f>SUM('R7業務 (短)'!C38:O38)+SUM('R7業務（長）'!C38:O38)</f>
        <v>133045155</v>
      </c>
      <c r="D6" s="741">
        <f>SUM('R7業務（長+短）'!C38:O38)</f>
        <v>133045155</v>
      </c>
      <c r="E6" s="741">
        <f>D6-C6</f>
        <v>0</v>
      </c>
      <c r="F6" s="751" t="str">
        <f>IF(ABS(E6)&lt;0.5,"OK","NG")</f>
        <v>OK</v>
      </c>
      <c r="G6" s="1280" t="inlineStr"/>
    </row>
    <row r="7" ht="28" customHeight="1" s="186">
      <c r="B7" s="1279" t="inlineStr">
        <is>
          <t>業務：合計表 ＝ 短期表 ＋ 長期表（収益・全月）</t>
        </is>
      </c>
      <c r="C7" s="741">
        <f>SUM('R7業務 (短)'!C46:O46)+SUM('R7業務（長）'!C46:O46)</f>
        <v>134436502</v>
      </c>
      <c r="D7" s="741">
        <f>SUM('R7業務（長+短）'!C47:O47)</f>
        <v>134436502</v>
      </c>
      <c r="E7" s="741">
        <f>D7-C7</f>
        <v>0</v>
      </c>
      <c r="F7" s="751" t="str">
        <f>IF(ABS(E7)&lt;0.5,"OK","NG")</f>
        <v>OK</v>
      </c>
      <c r="G7" s="1280" t="inlineStr">
        <is>
          <t>合計表の収益合計は47行目（繰入が2行あるため）</t>
        </is>
      </c>
    </row>
    <row r="8" ht="28" customHeight="1" s="186">
      <c r="B8" s="1279" t="inlineStr">
        <is>
          <t>月例・決算整理（確認済・短期）＝ 予算差引簿（短）の月別集計（締め月まで）</t>
        </is>
      </c>
      <c r="C8" s="741">
        <f>SUMIFS(月例!$H$5:$H$788,月例!$P$5:$P$788,"確認済",月例!$U$5:$U$788,"&lt;="&amp;締月,月例!$Q$5:$Q$788,"&lt;&gt;対象外")+SUMIFS(決算整理!$H$5:$H$1835,決算整理!$P$5:$P$1835,"確認済",決算整理!$U$5:$U$1835,"&lt;="&amp;締月,決算整理!$Q$5:$Q$1835,"&lt;&gt;対象外")</f>
        <v>35828830</v>
      </c>
      <c r="D8" s="741">
        <f>SUMPRODUCT((('差引簿集計（短）'!$S$4:$S$35="Y")+('差引簿集計（短）'!$S$4:$S$35="N"))*'差引簿集計（短）'!$C$4:$O$35*('差引簿集計（短）'!$C$2:$O$2&lt;=締月))</f>
        <v>35828830</v>
      </c>
      <c r="E8" s="741">
        <f>D8-C8</f>
        <v>0</v>
      </c>
      <c r="F8" s="751" t="str">
        <f>IF(ABS(E8)&lt;0.5,"OK","NG")</f>
        <v>OK</v>
      </c>
      <c r="G8" s="1280" t="inlineStr">
        <is>
          <t>月例に入力した確認済の金額が、差引簿へ漏れなく転記されているか</t>
        </is>
      </c>
    </row>
    <row r="9" ht="28" customHeight="1" s="186">
      <c r="B9" s="1279" t="inlineStr">
        <is>
          <t>月例・決算整理（確認済・長期）＝ 予算差引簿（長）の月別集計（締め月まで）</t>
        </is>
      </c>
      <c r="C9" s="741">
        <f>SUMIFS(月例!$R$5:$R$788,月例!$P$5:$P$788,"確認済",月例!$U$5:$U$788,"&lt;="&amp;締月,月例!$Q$5:$Q$788,"&lt;&gt;対象外")+SUMIFS(決算整理!$R$5:$R$1835,決算整理!$P$5:$P$1835,"確認済",決算整理!$U$5:$U$1835,"&lt;="&amp;締月,決算整理!$Q$5:$Q$1835,"&lt;&gt;対象外")</f>
        <v>34924799</v>
      </c>
      <c r="D9" s="741">
        <f>SUMPRODUCT((('差引簿集計（長）'!$S$4:$S$35="Y")+('差引簿集計（長）'!$S$4:$S$35="N"))*'差引簿集計（長）'!$C$4:$O$35*('差引簿集計（長）'!$C$2:$O$2&lt;=締月))</f>
        <v>34924799</v>
      </c>
      <c r="E9" s="741">
        <f>D9-C9</f>
        <v>0</v>
      </c>
      <c r="F9" s="751" t="str">
        <f>IF(ABS(E9)&lt;0.5,"OK","NG")</f>
        <v>OK</v>
      </c>
      <c r="G9" s="1280" t="inlineStr"/>
    </row>
    <row r="10" ht="28" customHeight="1" s="186">
      <c r="B10" s="1279" t="inlineStr">
        <is>
          <t>業務（短期）：差引簿集計 ＝ 費用収益表への計上額（締め月まで）</t>
        </is>
      </c>
      <c r="C10" s="741">
        <f>SUMPRODUCT(('差引簿集計（短）'!$C$2:$O$2&lt;=締月)*'差引簿集計（短）'!$C$36:$O$36)</f>
        <v>35828830</v>
      </c>
      <c r="D10" s="741">
        <f>SUMPRODUCT('R7業務 (短)'!$X$4:$X$62,'R7業務 (短)'!$V$4:$V$62)</f>
        <v>35828830</v>
      </c>
      <c r="E10" s="741">
        <f>D10-C10</f>
        <v>0</v>
      </c>
      <c r="F10" s="751" t="str">
        <f>IF(ABS(E10)&lt;0.5,"OK","NG")</f>
        <v>OK</v>
      </c>
      <c r="G10" s="1280" t="inlineStr">
        <is>
          <t>差引簿の月別合計が費用収益表に入っているか</t>
        </is>
      </c>
    </row>
    <row r="11" ht="28" customHeight="1" s="186">
      <c r="B11" s="1279" t="inlineStr">
        <is>
          <t>業務（長期）：差引簿集計 ＝ 費用収益表への計上額（締め月まで）</t>
        </is>
      </c>
      <c r="C11" s="741">
        <f>SUMPRODUCT(('差引簿集計（長）'!$C$2:$O$2&lt;=締月)*'差引簿集計（長）'!$C$36:$O$36)</f>
        <v>34924799</v>
      </c>
      <c r="D11" s="741">
        <f>SUMPRODUCT('R7業務（長）'!$X$4:$X$62,'R7業務（長）'!$V$4:$V$62)</f>
        <v>34924799</v>
      </c>
      <c r="E11" s="741">
        <f>D11-C11</f>
        <v>0</v>
      </c>
      <c r="F11" s="751" t="str">
        <f>IF(ABS(E11)&lt;0.5,"OK","NG")</f>
        <v>OK</v>
      </c>
      <c r="G11" s="1280" t="inlineStr"/>
    </row>
    <row r="12" ht="28" customHeight="1" s="186">
      <c r="B12" s="1279" t="inlineStr">
        <is>
          <t>貸付：貸付予算差引簿の確認済 ＝ 貸付差引簿集計（手入力行を除く）</t>
        </is>
      </c>
      <c r="C12" s="741">
        <f>SUMIFS('旅費・事務費（消耗品・図書・通信・会議・雑費）R８'!$C$6:$C$25,'旅費・事務費（消耗品・図書・通信・会議・雑費）R８'!$E$6:$E$25,"確認済",'旅費・事務費（消耗品・図書・通信・会議・雑費）R８'!$A$6:$A$25,"&gt;="&amp;DATE(年度+2018,4,1),'旅費・事務費（消耗品・図書・通信・会議・雑費）R８'!$A$6:$A$25,"&lt;"&amp;IF(締月=13,DATE(年度+2019,5,1),IF(締月=0,DATE(年度+2018,4,1),翌月初)))+SUMIFS('旅費・事務費（消耗品・図書・通信・会議・雑費）R８'!$C$29:$C$31,'旅費・事務費（消耗品・図書・通信・会議・雑費）R８'!$E$29:$E$31,"確認済",'旅費・事務費（消耗品・図書・通信・会議・雑費）R８'!$A$29:$A$31,"&gt;="&amp;DATE(年度+2018,4,1),'旅費・事務費（消耗品・図書・通信・会議・雑費）R８'!$A$29:$A$31,"&lt;"&amp;IF(締月=13,DATE(年度+2019,5,1),IF(締月=0,DATE(年度+2018,4,1),翌月初)))+SUMIFS('旅費・事務費（消耗品・図書・通信・会議・雑費）R８'!$C$35:$C$67,'旅費・事務費（消耗品・図書・通信・会議・雑費）R８'!$E$35:$E$67,"確認済",'旅費・事務費（消耗品・図書・通信・会議・雑費）R８'!$A$35:$A$67,"&gt;="&amp;DATE(年度+2018,4,1),'旅費・事務費（消耗品・図書・通信・会議・雑費）R８'!$A$35:$A$67,"&lt;"&amp;IF(締月=13,DATE(年度+2019,5,1),IF(締月=0,DATE(年度+2018,4,1),翌月初)))+SUMIFS('旅費・事務費（消耗品・図書・通信・会議・雑費）R８'!$H$6:$H$23,'旅費・事務費（消耗品・図書・通信・会議・雑費）R８'!$J$6:$J$23,"確認済",'旅費・事務費（消耗品・図書・通信・会議・雑費）R８'!$F$6:$F$23,"&gt;="&amp;DATE(年度+2018,4,1),'旅費・事務費（消耗品・図書・通信・会議・雑費）R８'!$F$6:$F$23,"&lt;"&amp;IF(締月=13,DATE(年度+2019,5,1),IF(締月=0,DATE(年度+2018,4,1),翌月初)))+SUMIFS('旅費・事務費（消耗品・図書・通信・会議・雑費）R８'!$H$46:$H$67,'旅費・事務費（消耗品・図書・通信・会議・雑費）R８'!$J$46:$J$67,"確認済",'旅費・事務費（消耗品・図書・通信・会議・雑費）R８'!$F$46:$F$67,"&gt;="&amp;DATE(年度+2018,4,1),'旅費・事務費（消耗品・図書・通信・会議・雑費）R８'!$F$46:$F$67,"&lt;"&amp;IF(締月=13,DATE(年度+2019,5,1),IF(締月=0,DATE(年度+2018,4,1),翌月初)))+SUMIFS('旅費・事務費（消耗品・図書・通信・会議・雑費）R８'!$H$27:$H$42,'旅費・事務費（消耗品・図書・通信・会議・雑費）R８'!$J$27:$J$42,"確認済",'旅費・事務費（消耗品・図書・通信・会議・雑費）R８'!$F$27:$F$42,"&gt;="&amp;DATE(年度+2018,4,1),'旅費・事務費（消耗品・図書・通信・会議・雑費）R８'!$F$27:$F$42,"&lt;"&amp;IF(締月=13,DATE(年度+2019,5,1),IF(締月=0,DATE(年度+2018,4,1),翌月初)))+SUMIFS('旅費・事務費以外R８'!$C$29:$C$33,'旅費・事務費以外R８'!$E$29:$E$33,"確認済",'旅費・事務費以外R８'!$A$29:$A$33,"&gt;="&amp;DATE(年度+2018,4,1),'旅費・事務費以外R８'!$A$29:$A$33,"&lt;"&amp;IF(締月=13,DATE(年度+2019,5,1),IF(締月=0,DATE(年度+2018,4,1),翌月初)))+SUMIFS('旅費・事務費以外R８'!$C$6:$C$14,'旅費・事務費以外R８'!$E$6:$E$14,"確認済",'旅費・事務費以外R８'!$A$6:$A$14,"&gt;="&amp;DATE(年度+2018,4,1),'旅費・事務費以外R８'!$A$6:$A$14,"&lt;"&amp;IF(締月=13,DATE(年度+2019,5,1),IF(締月=0,DATE(年度+2018,4,1),翌月初)))+SUMIFS('旅費・事務費以外R８'!$C$18:$C$25,'旅費・事務費以外R８'!$E$18:$E$25,"確認済",'旅費・事務費以外R８'!$A$18:$A$25,"&gt;="&amp;DATE(年度+2018,4,1),'旅費・事務費以外R８'!$A$18:$A$25,"&lt;"&amp;IF(締月=13,DATE(年度+2019,5,1),IF(締月=0,DATE(年度+2018,4,1),翌月初)))+SUMIFS('旅費・事務費以外R８'!$C$37:$C$86,'旅費・事務費以外R８'!$E$37:$E$86,"確認済",'旅費・事務費以外R８'!$A$37:$A$86,"&gt;="&amp;DATE(年度+2018,4,1),'旅費・事務費以外R８'!$A$37:$A$86,"&lt;"&amp;IF(締月=13,DATE(年度+2019,5,1),IF(締月=0,DATE(年度+2018,4,1),翌月初)))+SUMIFS('旅費・事務費以外R８'!$H$6:$H$13,'旅費・事務費以外R８'!$J$6:$J$13,"確認済",'旅費・事務費以外R８'!$F$6:$F$13,"&gt;="&amp;DATE(年度+2018,4,1),'旅費・事務費以外R８'!$F$6:$F$13,"&lt;"&amp;IF(締月=13,DATE(年度+2019,5,1),IF(締月=0,DATE(年度+2018,4,1),翌月初)))+SUMIFS('旅費・事務費以外R８'!$H$26:$H$31,'旅費・事務費以外R８'!$J$26:$J$31,"確認済",'旅費・事務費以外R８'!$F$26:$F$31,"&gt;="&amp;DATE(年度+2018,4,1),'旅費・事務費以外R８'!$F$26:$F$31,"&lt;"&amp;IF(締月=13,DATE(年度+2019,5,1),IF(締月=0,DATE(年度+2018,4,1),翌月初)))+SUMIFS('旅費・事務費以外R８'!$H$45:$H$86,'旅費・事務費以外R８'!$J$45:$J$86,"確認済",'旅費・事務費以外R８'!$F$45:$F$86,"&gt;="&amp;DATE(年度+2018,4,1),'旅費・事務費以外R８'!$F$45:$F$86,"&lt;"&amp;IF(締月=13,DATE(年度+2019,5,1),IF(締月=0,DATE(年度+2018,4,1),翌月初)))+SUMIFS('旅費・事務費以外R８'!$H$35:$H$41,'旅費・事務費以外R８'!$J$35:$J$41,"確認済",'旅費・事務費以外R８'!$F$35:$F$41,"&gt;="&amp;DATE(年度+2018,4,1),'旅費・事務費以外R８'!$F$35:$F$41,"&lt;"&amp;IF(締月=13,DATE(年度+2019,5,1),IF(締月=0,DATE(年度+2018,4,1),翌月初)))</f>
        <v>1179644</v>
      </c>
      <c r="D12" s="741">
        <f>SUMPRODUCT(('貸付差引簿集計'!$C$2:$O$2&lt;=締月)*('貸付差引簿集計'!$C$22:$O$22-'貸付差引簿集計'!$C$21:$O$21))</f>
        <v>1179644</v>
      </c>
      <c r="E12" s="741">
        <f>D12-C12</f>
        <v>0</v>
      </c>
      <c r="F12" s="751" t="str">
        <f>IF(ABS(E12)&lt;0.5,"OK","NG")</f>
        <v>OK</v>
      </c>
      <c r="G12" s="1280" t="inlineStr">
        <is>
          <t>日付の年が違う行（例：2025年）は集計に入らず、ここでNGになります</t>
        </is>
      </c>
    </row>
    <row r="13" ht="28" customHeight="1" s="186">
      <c r="B13" s="1279" t="inlineStr">
        <is>
          <t>貸付：貸付差引簿集計 ＝ 費用収益表への計上額（締め月まで）</t>
        </is>
      </c>
      <c r="C13" s="741">
        <f>SUMPRODUCT(('貸付差引簿集計'!$C$2:$O$2&lt;=締月)*'貸付差引簿集計'!$C$22:$O$22)</f>
        <v>1464944</v>
      </c>
      <c r="D13" s="741">
        <f>SUMPRODUCT('R8貸付'!$X$4:$X$62,'R8貸付'!$V$4:$V$62)</f>
        <v>1464944</v>
      </c>
      <c r="E13" s="741">
        <f>D13-C13</f>
        <v>0</v>
      </c>
      <c r="F13" s="751" t="str">
        <f>IF(ABS(E13)&lt;0.5,"OK","NG")</f>
        <v>OK</v>
      </c>
      <c r="G13" s="1280" t="inlineStr"/>
    </row>
    <row r="14" ht="28" customHeight="1" s="186">
      <c r="B14" s="1279" t="inlineStr">
        <is>
          <t>点検に指摘のある件数（費目未登録・差引簿の行不足）</t>
        </is>
      </c>
      <c r="C14" s="741">
        <f>0</f>
        <v>0</v>
      </c>
      <c r="D14" s="741">
        <f>COUNTIF(月例!$Q$5:$Q$788,"※未登録")+COUNTIF(決算整理!$Q$5:$Q$1835,"※未登録")+COUNTIF('差引簿集計（短）'!$T$4:$T$80,"行不足")+COUNTIF('差引簿集計（長）'!$T$4:$T$80,"行不足")</f>
        <v>0</v>
      </c>
      <c r="E14" s="741">
        <f>D14-C14</f>
        <v>0</v>
      </c>
      <c r="F14" s="751" t="str">
        <f>IF(ABS(E14)&lt;0.5,"OK","NG")</f>
        <v>OK</v>
      </c>
      <c r="G14" s="1280" t="inlineStr">
        <is>
          <t>月例の費目(Q列)に「※未登録」／差引簿の行数が足りない費目がないか</t>
        </is>
      </c>
    </row>
    <row r="15" ht="28" customHeight="1" s="186">
      <c r="B15" s="1279" t="inlineStr">
        <is>
          <t>業務：締め月までに「未確認」が残っていない</t>
        </is>
      </c>
      <c r="C15" s="741">
        <f>0</f>
        <v>0</v>
      </c>
      <c r="D15" s="741">
        <f>COUNTIFS(月例!$U$5:$U$788,"&lt;="&amp;締月,月例!$P$5:$P$788,"未確認")+COUNTIFS(決算整理!$U$5:$U$1835,"&lt;="&amp;締月,決算整理!$P$5:$P$1835,"未確認")</f>
        <v>0</v>
      </c>
      <c r="E15" s="741">
        <f>D15-C15</f>
        <v>0</v>
      </c>
      <c r="F15" s="751" t="str">
        <f>IF(ABS(E15)&lt;0.5,"OK","NG")</f>
        <v>OK</v>
      </c>
      <c r="G15" s="1280" t="inlineStr">
        <is>
          <t>伝票を確認して「確認済」にしてから締める</t>
        </is>
      </c>
    </row>
    <row r="16" ht="28" customHeight="1" s="186">
      <c r="B16" s="1279" t="inlineStr">
        <is>
          <t>貸付：締め月までに「未確認」が残っていない</t>
        </is>
      </c>
      <c r="C16" s="741">
        <f>0</f>
        <v>0</v>
      </c>
      <c r="D16" s="741">
        <f>COUNTIFS('旅費・事務費（消耗品・図書・通信・会議・雑費）R８'!$E$6:$E$25,"未確認",'旅費・事務費（消耗品・図書・通信・会議・雑費）R８'!$A$6:$A$25,"&lt;"&amp;IF(締月=0,0,IF(締月=13,DATE(年度+2019,5,1),翌月初)))+COUNTIFS('旅費・事務費（消耗品・図書・通信・会議・雑費）R８'!$E$29:$E$31,"未確認",'旅費・事務費（消耗品・図書・通信・会議・雑費）R８'!$A$29:$A$31,"&lt;"&amp;IF(締月=0,0,IF(締月=13,DATE(年度+2019,5,1),翌月初)))+COUNTIFS('旅費・事務費（消耗品・図書・通信・会議・雑費）R８'!$E$35:$E$67,"未確認",'旅費・事務費（消耗品・図書・通信・会議・雑費）R８'!$A$35:$A$67,"&lt;"&amp;IF(締月=0,0,IF(締月=13,DATE(年度+2019,5,1),翌月初)))+COUNTIFS('旅費・事務費（消耗品・図書・通信・会議・雑費）R８'!$J$6:$J$23,"未確認",'旅費・事務費（消耗品・図書・通信・会議・雑費）R８'!$F$6:$F$23,"&lt;"&amp;IF(締月=0,0,IF(締月=13,DATE(年度+2019,5,1),翌月初)))+COUNTIFS('旅費・事務費（消耗品・図書・通信・会議・雑費）R８'!$J$46:$J$67,"未確認",'旅費・事務費（消耗品・図書・通信・会議・雑費）R８'!$F$46:$F$67,"&lt;"&amp;IF(締月=0,0,IF(締月=13,DATE(年度+2019,5,1),翌月初)))+COUNTIFS('旅費・事務費（消耗品・図書・通信・会議・雑費）R８'!$J$27:$J$42,"未確認",'旅費・事務費（消耗品・図書・通信・会議・雑費）R８'!$F$27:$F$42,"&lt;"&amp;IF(締月=0,0,IF(締月=13,DATE(年度+2019,5,1),翌月初)))+COUNTIFS('旅費・事務費以外R８'!$E$29:$E$33,"未確認",'旅費・事務費以外R８'!$A$29:$A$33,"&lt;"&amp;IF(締月=0,0,IF(締月=13,DATE(年度+2019,5,1),翌月初)))+COUNTIFS('旅費・事務費以外R８'!$E$6:$E$14,"未確認",'旅費・事務費以外R８'!$A$6:$A$14,"&lt;"&amp;IF(締月=0,0,IF(締月=13,DATE(年度+2019,5,1),翌月初)))+COUNTIFS('旅費・事務費以外R８'!$E$18:$E$25,"未確認",'旅費・事務費以外R８'!$A$18:$A$25,"&lt;"&amp;IF(締月=0,0,IF(締月=13,DATE(年度+2019,5,1),翌月初)))+COUNTIFS('旅費・事務費以外R８'!$E$37:$E$86,"未確認",'旅費・事務費以外R８'!$A$37:$A$86,"&lt;"&amp;IF(締月=0,0,IF(締月=13,DATE(年度+2019,5,1),翌月初)))+COUNTIFS('旅費・事務費以外R８'!$J$6:$J$13,"未確認",'旅費・事務費以外R８'!$F$6:$F$13,"&lt;"&amp;IF(締月=0,0,IF(締月=13,DATE(年度+2019,5,1),翌月初)))+COUNTIFS('旅費・事務費以外R８'!$J$26:$J$31,"未確認",'旅費・事務費以外R８'!$F$26:$F$31,"&lt;"&amp;IF(締月=0,0,IF(締月=13,DATE(年度+2019,5,1),翌月初)))+COUNTIFS('旅費・事務費以外R８'!$J$45:$J$86,"未確認",'旅費・事務費以外R８'!$F$45:$F$86,"&lt;"&amp;IF(締月=0,0,IF(締月=13,DATE(年度+2019,5,1),翌月初)))+COUNTIFS('旅費・事務費以外R８'!$J$35:$J$41,"未確認",'旅費・事務費以外R８'!$F$35:$F$41,"&lt;"&amp;IF(締月=0,0,IF(締月=13,DATE(年度+2019,5,1),翌月初)))</f>
        <v>0</v>
      </c>
      <c r="E16" s="741">
        <f>D16-C16</f>
        <v>0</v>
      </c>
      <c r="F16" s="751" t="str">
        <f>IF(ABS(E16)&lt;0.5,"OK","NG")</f>
        <v>OK</v>
      </c>
      <c r="G16" s="1280" t="inlineStr"/>
    </row>
    <row r="17" ht="28" customHeight="1" s="186">
      <c r="B17" s="1279" t="inlineStr">
        <is>
          <t>旧・費用収益表との一致（旧表で確定計上済みの月＝9月締めの状態）</t>
        </is>
      </c>
      <c r="C17" s="741">
        <f>0</f>
        <v>0</v>
      </c>
      <c r="D17" s="741">
        <f>旧表照合!$C$9</f>
        <v>0</v>
      </c>
      <c r="E17" s="741">
        <f>D17-C17</f>
        <v>0</v>
      </c>
      <c r="F17" s="751" t="str">
        <f>IF(ABS(E17)&lt;0.5,"OK","NG")</f>
        <v>OK</v>
      </c>
      <c r="G17" s="1280" t="inlineStr">
        <is>
          <t>「今回締める月」が9月のときだけ比較します（他の月は対象外として0扱い）</t>
        </is>
      </c>
    </row>
  </sheetData>
  <mergeCells count="2">
    <mergeCell ref="A2:G2"/>
    <mergeCell ref="A1:G1"/>
  </mergeCells>
  <conditionalFormatting sqref="F6:F17">
    <cfRule type="expression" priority="1" dxfId="4">
      <formula>F6="NG"</formula>
    </cfRule>
    <cfRule type="expression" priority="2" dxfId="1">
      <formula>F6="OK"</formula>
    </cfRule>
  </conditionalFormatting>
  <printOptions horizontalCentered="1"/>
  <pageMargins left="0.4" right="0.4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tabColor rgb="007F7F7F"/>
    <outlinePr summaryBelow="1" summaryRight="1"/>
    <pageSetUpPr/>
  </sheetPr>
  <dimension ref="A1:AR284"/>
  <sheetViews>
    <sheetView showGridLines="0" tabSelected="0" workbookViewId="0">
      <selection activeCell="A1" sqref="A1"/>
    </sheetView>
  </sheetViews>
  <sheetFormatPr baseColWidth="8" defaultRowHeight="15"/>
  <cols>
    <col width="26" customWidth="1" style="186" min="1" max="1"/>
    <col width="14" customWidth="1" style="186" min="2" max="2"/>
    <col width="14" customWidth="1" style="186" min="3" max="3"/>
    <col width="14" customWidth="1" style="186" min="4" max="4"/>
  </cols>
  <sheetData>
    <row r="1" ht="26" customHeight="1" s="186">
      <c r="A1" s="719" t="inlineStr">
        <is>
          <t>旧表照合　（旧・費用収益表の数値と、このブックの費用収益表を1セルずつ突き合わせ）</t>
        </is>
      </c>
      <c r="B1" s="720" t="n"/>
      <c r="C1" s="720" t="n"/>
      <c r="D1" s="720" t="n"/>
      <c r="E1" s="720" t="n"/>
      <c r="F1" s="720" t="n"/>
      <c r="G1" s="720" t="n"/>
      <c r="H1" s="720" t="n"/>
    </row>
    <row r="2" ht="30" customHeight="1" s="186">
      <c r="A2" s="721" t="inlineStr">
        <is>
          <t>旧表（9月締め時点の数値）を値で貼ってあり、差を1セルずつ計算します。「今回締める月」が9月のときに不一致が 0 であれば、旧表と完全に一致しています。</t>
        </is>
      </c>
    </row>
    <row r="4" ht="22" customHeight="1" s="186">
      <c r="A4" s="737" t="inlineStr">
        <is>
          <t>費用収益表</t>
        </is>
      </c>
      <c r="B4" s="737" t="inlineStr">
        <is>
          <t>比較したセル数</t>
        </is>
      </c>
      <c r="C4" s="737" t="inlineStr">
        <is>
          <t>不一致セル数</t>
        </is>
      </c>
      <c r="D4" s="737" t="inlineStr">
        <is>
          <t>最大の差</t>
        </is>
      </c>
    </row>
    <row r="5">
      <c r="A5" s="740" t="inlineStr">
        <is>
          <t>R7業務（長+短）</t>
        </is>
      </c>
      <c r="B5" s="1281">
        <f>COUNT(Z16:AR74)</f>
        <v>1121</v>
      </c>
      <c r="C5" s="1281">
        <f>SUMPRODUCT(--(ABS(Z16:AR74)&gt;0.5))</f>
        <v>0</v>
      </c>
      <c r="D5" s="1281">
        <f>MAX(MAX(Z16:AR74),-MIN(Z16:AR74))</f>
        <v>0</v>
      </c>
    </row>
    <row r="6">
      <c r="A6" s="740" t="inlineStr">
        <is>
          <t>R7業務 (短)</t>
        </is>
      </c>
      <c r="B6" s="1281">
        <f>COUNT(Z86:AR144)</f>
        <v>1121</v>
      </c>
      <c r="C6" s="1281">
        <f>SUMPRODUCT(--(ABS(Z86:AR144)&gt;0.5))</f>
        <v>0</v>
      </c>
      <c r="D6" s="1281">
        <f>MAX(MAX(Z86:AR144),-MIN(Z86:AR144))</f>
        <v>0</v>
      </c>
    </row>
    <row r="7">
      <c r="A7" s="740" t="inlineStr">
        <is>
          <t>R7業務（長）</t>
        </is>
      </c>
      <c r="B7" s="1281">
        <f>COUNT(Z156:AR214)</f>
        <v>1121</v>
      </c>
      <c r="C7" s="1281">
        <f>SUMPRODUCT(--(ABS(Z156:AR214)&gt;0.5))</f>
        <v>0</v>
      </c>
      <c r="D7" s="1281">
        <f>MAX(MAX(Z156:AR214),-MIN(Z156:AR214))</f>
        <v>0</v>
      </c>
    </row>
    <row r="8">
      <c r="A8" s="740" t="inlineStr">
        <is>
          <t>R8貸付</t>
        </is>
      </c>
      <c r="B8" s="1281">
        <f>COUNT(Z226:AR284)</f>
        <v>1121</v>
      </c>
      <c r="C8" s="1281">
        <f>SUMPRODUCT(--(ABS(Z226:AR284)&gt;0.5))</f>
        <v>0</v>
      </c>
      <c r="D8" s="1281">
        <f>MAX(MAX(Z226:AR284),-MIN(Z226:AR284))</f>
        <v>0</v>
      </c>
    </row>
    <row r="9">
      <c r="A9" s="743" t="inlineStr">
        <is>
          <t>合計（検算シートへ）</t>
        </is>
      </c>
      <c r="B9" s="1282">
        <f>SUM(B5:B8)</f>
        <v>4484</v>
      </c>
      <c r="C9" s="1282">
        <f>IF(締月=6,SUM(C5:C8),0)</f>
        <v>0</v>
      </c>
      <c r="D9" s="1282">
        <f>MAX(D5:D8)</f>
        <v>0</v>
      </c>
    </row>
    <row r="11">
      <c r="A11" s="1283" t="inlineStr">
        <is>
          <t>【R7業務（長+短）】 旧表の値（A:W）／ 差（Z:AV）</t>
        </is>
      </c>
    </row>
    <row r="16">
      <c r="C16" s="1284" t="n">
        <v>0</v>
      </c>
      <c r="D16" s="1284" t="n">
        <v>0</v>
      </c>
      <c r="E16" s="1284" t="n">
        <v>22000</v>
      </c>
      <c r="F16" s="1284" t="n">
        <v>0</v>
      </c>
      <c r="G16" s="1284" t="n">
        <v>0</v>
      </c>
      <c r="H16" s="1284" t="n">
        <v>0</v>
      </c>
      <c r="I16" s="1284" t="n">
        <v>0</v>
      </c>
      <c r="J16" s="1284" t="n">
        <v>0</v>
      </c>
      <c r="K16" s="1284" t="n">
        <v>0</v>
      </c>
      <c r="L16" s="1284" t="n">
        <v>0</v>
      </c>
      <c r="M16" s="1284" t="n">
        <v>0</v>
      </c>
      <c r="N16" s="1284" t="n">
        <v>11000</v>
      </c>
      <c r="O16" s="1284" t="n">
        <v>0</v>
      </c>
      <c r="P16" s="1284" t="n">
        <v>33000</v>
      </c>
      <c r="Q16" s="1284" t="n">
        <v>33000</v>
      </c>
      <c r="R16" s="1284" t="n">
        <v>0</v>
      </c>
      <c r="S16" s="1284" t="n">
        <v>33000</v>
      </c>
      <c r="T16" s="1284" t="n">
        <v>0</v>
      </c>
      <c r="Z16" s="1285">
        <f>N('R7業務（長+短）'!C4)-N(C16)</f>
        <v>0</v>
      </c>
      <c r="AA16" s="1285">
        <f>N('R7業務（長+短）'!D4)-N(D16)</f>
        <v>0</v>
      </c>
      <c r="AB16" s="1285">
        <f>N('R7業務（長+短）'!E4)-N(E16)</f>
        <v>0</v>
      </c>
      <c r="AC16" s="1285">
        <f>N('R7業務（長+短）'!F4)-N(F16)</f>
        <v>0</v>
      </c>
      <c r="AD16" s="1285">
        <f>N('R7業務（長+短）'!G4)-N(G16)</f>
        <v>0</v>
      </c>
      <c r="AE16" s="1285">
        <f>N('R7業務（長+短）'!H4)-N(H16)</f>
        <v>0</v>
      </c>
      <c r="AF16" s="1285">
        <f>N('R7業務（長+短）'!I4)-N(I16)</f>
        <v>0</v>
      </c>
      <c r="AG16" s="1285">
        <f>N('R7業務（長+短）'!J4)-N(J16)</f>
        <v>0</v>
      </c>
      <c r="AH16" s="1285">
        <f>N('R7業務（長+短）'!K4)-N(K16)</f>
        <v>0</v>
      </c>
      <c r="AI16" s="1285">
        <f>N('R7業務（長+短）'!L4)-N(L16)</f>
        <v>0</v>
      </c>
      <c r="AJ16" s="1285">
        <f>N('R7業務（長+短）'!M4)-N(M16)</f>
        <v>0</v>
      </c>
      <c r="AK16" s="1285">
        <f>N('R7業務（長+短）'!N4)-N(N16)</f>
        <v>0</v>
      </c>
      <c r="AL16" s="1285">
        <f>N('R7業務（長+短）'!O4)-N(O16)</f>
        <v>0</v>
      </c>
      <c r="AM16" s="1285">
        <f>N('R7業務（長+短）'!P4)-N(P16)</f>
        <v>0</v>
      </c>
      <c r="AN16" s="1285">
        <f>N('R7業務（長+短）'!Q4)-N(Q16)</f>
        <v>0</v>
      </c>
      <c r="AO16" s="1285">
        <f>N('R7業務（長+短）'!R4)-N(R16)</f>
        <v>0</v>
      </c>
      <c r="AP16" s="1285">
        <f>N('R7業務（長+短）'!S4)-N(S16)</f>
        <v>0</v>
      </c>
      <c r="AQ16" s="1285">
        <f>N('R7業務（長+短）'!T4)-N(T16)</f>
        <v>0</v>
      </c>
      <c r="AR16" s="1285">
        <f>N('R7業務（長+短）'!U4)-N(U16)</f>
        <v>0</v>
      </c>
    </row>
    <row r="17">
      <c r="C17" s="1284" t="n">
        <v>0</v>
      </c>
      <c r="D17" s="1284" t="n">
        <v>0</v>
      </c>
      <c r="E17" s="1284" t="n">
        <v>0</v>
      </c>
      <c r="F17" s="1284" t="n">
        <v>0</v>
      </c>
      <c r="G17" s="1284" t="n">
        <v>0</v>
      </c>
      <c r="H17" s="1284" t="n">
        <v>0</v>
      </c>
      <c r="I17" s="1284" t="n">
        <v>0</v>
      </c>
      <c r="J17" s="1284" t="n">
        <v>0</v>
      </c>
      <c r="K17" s="1284" t="n">
        <v>0</v>
      </c>
      <c r="L17" s="1284" t="n">
        <v>0</v>
      </c>
      <c r="M17" s="1284" t="n">
        <v>0</v>
      </c>
      <c r="N17" s="1284" t="n">
        <v>0</v>
      </c>
      <c r="O17" s="1284" t="n">
        <v>0</v>
      </c>
      <c r="P17" s="1284" t="n">
        <v>0</v>
      </c>
      <c r="Q17" s="1284" t="n">
        <v>0</v>
      </c>
      <c r="R17" s="1284" t="n">
        <v>0</v>
      </c>
      <c r="S17" s="1284" t="n">
        <v>0</v>
      </c>
      <c r="T17" s="1284" t="n">
        <v>0</v>
      </c>
      <c r="Z17" s="1285">
        <f>N('R7業務（長+短）'!C5)-N(C17)</f>
        <v>0</v>
      </c>
      <c r="AA17" s="1285">
        <f>N('R7業務（長+短）'!D5)-N(D17)</f>
        <v>0</v>
      </c>
      <c r="AB17" s="1285">
        <f>N('R7業務（長+短）'!E5)-N(E17)</f>
        <v>0</v>
      </c>
      <c r="AC17" s="1285">
        <f>N('R7業務（長+短）'!F5)-N(F17)</f>
        <v>0</v>
      </c>
      <c r="AD17" s="1285">
        <f>N('R7業務（長+短）'!G5)-N(G17)</f>
        <v>0</v>
      </c>
      <c r="AE17" s="1285">
        <f>N('R7業務（長+短）'!H5)-N(H17)</f>
        <v>0</v>
      </c>
      <c r="AF17" s="1285">
        <f>N('R7業務（長+短）'!I5)-N(I17)</f>
        <v>0</v>
      </c>
      <c r="AG17" s="1285">
        <f>N('R7業務（長+短）'!J5)-N(J17)</f>
        <v>0</v>
      </c>
      <c r="AH17" s="1285">
        <f>N('R7業務（長+短）'!K5)-N(K17)</f>
        <v>0</v>
      </c>
      <c r="AI17" s="1285">
        <f>N('R7業務（長+短）'!L5)-N(L17)</f>
        <v>0</v>
      </c>
      <c r="AJ17" s="1285">
        <f>N('R7業務（長+短）'!M5)-N(M17)</f>
        <v>0</v>
      </c>
      <c r="AK17" s="1285">
        <f>N('R7業務（長+短）'!N5)-N(N17)</f>
        <v>0</v>
      </c>
      <c r="AL17" s="1285">
        <f>N('R7業務（長+短）'!O5)-N(O17)</f>
        <v>0</v>
      </c>
      <c r="AM17" s="1285">
        <f>N('R7業務（長+短）'!P5)-N(P17)</f>
        <v>0</v>
      </c>
      <c r="AN17" s="1285">
        <f>N('R7業務（長+短）'!Q5)-N(Q17)</f>
        <v>0</v>
      </c>
      <c r="AO17" s="1285">
        <f>N('R7業務（長+短）'!R5)-N(R17)</f>
        <v>0</v>
      </c>
      <c r="AP17" s="1285">
        <f>N('R7業務（長+短）'!S5)-N(S17)</f>
        <v>0</v>
      </c>
      <c r="AQ17" s="1285">
        <f>N('R7業務（長+短）'!T5)-N(T17)</f>
        <v>0</v>
      </c>
      <c r="AR17" s="1285">
        <f>N('R7業務（長+短）'!U5)-N(U17)</f>
        <v>0</v>
      </c>
    </row>
    <row r="18">
      <c r="C18" s="1284" t="n">
        <v>0</v>
      </c>
      <c r="D18" s="1284" t="n">
        <v>0</v>
      </c>
      <c r="E18" s="1284" t="n">
        <v>0</v>
      </c>
      <c r="F18" s="1284" t="n">
        <v>0</v>
      </c>
      <c r="G18" s="1284" t="n">
        <v>0</v>
      </c>
      <c r="H18" s="1284" t="n">
        <v>0</v>
      </c>
      <c r="I18" s="1284" t="n">
        <v>0</v>
      </c>
      <c r="J18" s="1284" t="n">
        <v>0</v>
      </c>
      <c r="K18" s="1284" t="n">
        <v>0</v>
      </c>
      <c r="L18" s="1284" t="n">
        <v>0</v>
      </c>
      <c r="M18" s="1284" t="n">
        <v>0</v>
      </c>
      <c r="N18" s="1284" t="n">
        <v>0</v>
      </c>
      <c r="O18" s="1284" t="n">
        <v>0</v>
      </c>
      <c r="P18" s="1284" t="n">
        <v>0</v>
      </c>
      <c r="Q18" s="1284" t="n">
        <v>0</v>
      </c>
      <c r="R18" s="1284" t="n">
        <v>0</v>
      </c>
      <c r="S18" s="1284" t="n">
        <v>0</v>
      </c>
      <c r="T18" s="1284" t="n">
        <v>0</v>
      </c>
      <c r="Z18" s="1285">
        <f>N('R7業務（長+短）'!C6)-N(C18)</f>
        <v>0</v>
      </c>
      <c r="AA18" s="1285">
        <f>N('R7業務（長+短）'!D6)-N(D18)</f>
        <v>0</v>
      </c>
      <c r="AB18" s="1285">
        <f>N('R7業務（長+短）'!E6)-N(E18)</f>
        <v>0</v>
      </c>
      <c r="AC18" s="1285">
        <f>N('R7業務（長+短）'!F6)-N(F18)</f>
        <v>0</v>
      </c>
      <c r="AD18" s="1285">
        <f>N('R7業務（長+短）'!G6)-N(G18)</f>
        <v>0</v>
      </c>
      <c r="AE18" s="1285">
        <f>N('R7業務（長+短）'!H6)-N(H18)</f>
        <v>0</v>
      </c>
      <c r="AF18" s="1285">
        <f>N('R7業務（長+短）'!I6)-N(I18)</f>
        <v>0</v>
      </c>
      <c r="AG18" s="1285">
        <f>N('R7業務（長+短）'!J6)-N(J18)</f>
        <v>0</v>
      </c>
      <c r="AH18" s="1285">
        <f>N('R7業務（長+短）'!K6)-N(K18)</f>
        <v>0</v>
      </c>
      <c r="AI18" s="1285">
        <f>N('R7業務（長+短）'!L6)-N(L18)</f>
        <v>0</v>
      </c>
      <c r="AJ18" s="1285">
        <f>N('R7業務（長+短）'!M6)-N(M18)</f>
        <v>0</v>
      </c>
      <c r="AK18" s="1285">
        <f>N('R7業務（長+短）'!N6)-N(N18)</f>
        <v>0</v>
      </c>
      <c r="AL18" s="1285">
        <f>N('R7業務（長+短）'!O6)-N(O18)</f>
        <v>0</v>
      </c>
      <c r="AM18" s="1285">
        <f>N('R7業務（長+短）'!P6)-N(P18)</f>
        <v>0</v>
      </c>
      <c r="AN18" s="1285">
        <f>N('R7業務（長+短）'!Q6)-N(Q18)</f>
        <v>0</v>
      </c>
      <c r="AO18" s="1285">
        <f>N('R7業務（長+短）'!R6)-N(R18)</f>
        <v>0</v>
      </c>
      <c r="AP18" s="1285">
        <f>N('R7業務（長+短）'!S6)-N(S18)</f>
        <v>0</v>
      </c>
      <c r="AQ18" s="1285">
        <f>N('R7業務（長+短）'!T6)-N(T18)</f>
        <v>0</v>
      </c>
      <c r="AR18" s="1285">
        <f>N('R7業務（長+短）'!U6)-N(U18)</f>
        <v>0</v>
      </c>
    </row>
    <row r="19">
      <c r="C19" s="1284" t="n">
        <v>698140</v>
      </c>
      <c r="D19" s="1284" t="n">
        <v>629236</v>
      </c>
      <c r="E19" s="1284" t="n">
        <v>1946789</v>
      </c>
      <c r="F19" s="1284" t="n">
        <v>637508</v>
      </c>
      <c r="G19" s="1284" t="n">
        <v>625100</v>
      </c>
      <c r="H19" s="1284" t="n">
        <v>639576</v>
      </c>
      <c r="I19" s="1284" t="n">
        <v>764882</v>
      </c>
      <c r="J19" s="1284" t="n">
        <v>609611</v>
      </c>
      <c r="K19" s="1284" t="n">
        <v>1912393</v>
      </c>
      <c r="L19" s="1284" t="n">
        <v>623876</v>
      </c>
      <c r="M19" s="1284" t="n">
        <v>627946</v>
      </c>
      <c r="N19" s="1284" t="n">
        <v>699347</v>
      </c>
      <c r="O19" s="1284" t="n">
        <v>42640</v>
      </c>
      <c r="P19" s="1284" t="n">
        <v>10457044</v>
      </c>
      <c r="Q19" s="1284" t="n">
        <v>11834000</v>
      </c>
      <c r="R19" s="1284" t="n">
        <v>0</v>
      </c>
      <c r="S19" s="1284" t="n">
        <v>11834000</v>
      </c>
      <c r="T19" s="1284" t="n">
        <v>1376956</v>
      </c>
      <c r="Z19" s="1285">
        <f>N('R7業務（長+短）'!C7)-N(C19)</f>
        <v>0</v>
      </c>
      <c r="AA19" s="1285">
        <f>N('R7業務（長+短）'!D7)-N(D19)</f>
        <v>0</v>
      </c>
      <c r="AB19" s="1285">
        <f>N('R7業務（長+短）'!E7)-N(E19)</f>
        <v>0</v>
      </c>
      <c r="AC19" s="1285">
        <f>N('R7業務（長+短）'!F7)-N(F19)</f>
        <v>0</v>
      </c>
      <c r="AD19" s="1285">
        <f>N('R7業務（長+短）'!G7)-N(G19)</f>
        <v>0</v>
      </c>
      <c r="AE19" s="1285">
        <f>N('R7業務（長+短）'!H7)-N(H19)</f>
        <v>0</v>
      </c>
      <c r="AF19" s="1285">
        <f>N('R7業務（長+短）'!I7)-N(I19)</f>
        <v>0</v>
      </c>
      <c r="AG19" s="1285">
        <f>N('R7業務（長+短）'!J7)-N(J19)</f>
        <v>0</v>
      </c>
      <c r="AH19" s="1285">
        <f>N('R7業務（長+短）'!K7)-N(K19)</f>
        <v>0</v>
      </c>
      <c r="AI19" s="1285">
        <f>N('R7業務（長+短）'!L7)-N(L19)</f>
        <v>0</v>
      </c>
      <c r="AJ19" s="1285">
        <f>N('R7業務（長+短）'!M7)-N(M19)</f>
        <v>0</v>
      </c>
      <c r="AK19" s="1285">
        <f>N('R7業務（長+短）'!N7)-N(N19)</f>
        <v>0</v>
      </c>
      <c r="AL19" s="1285">
        <f>N('R7業務（長+短）'!O7)-N(O19)</f>
        <v>0</v>
      </c>
      <c r="AM19" s="1285">
        <f>N('R7業務（長+短）'!P7)-N(P19)</f>
        <v>0</v>
      </c>
      <c r="AN19" s="1285">
        <f>N('R7業務（長+短）'!Q7)-N(Q19)</f>
        <v>0</v>
      </c>
      <c r="AO19" s="1285">
        <f>N('R7業務（長+短）'!R7)-N(R19)</f>
        <v>0</v>
      </c>
      <c r="AP19" s="1285">
        <f>N('R7業務（長+短）'!S7)-N(S19)</f>
        <v>0</v>
      </c>
      <c r="AQ19" s="1285">
        <f>N('R7業務（長+短）'!T7)-N(T19)</f>
        <v>0</v>
      </c>
      <c r="AR19" s="1285">
        <f>N('R7業務（長+短）'!U7)-N(U19)</f>
        <v>0</v>
      </c>
    </row>
    <row r="20">
      <c r="C20" s="1284" t="n">
        <v>0</v>
      </c>
      <c r="D20" s="1284" t="n">
        <v>0</v>
      </c>
      <c r="E20" s="1284" t="n">
        <v>0</v>
      </c>
      <c r="F20" s="1284" t="n">
        <v>0</v>
      </c>
      <c r="G20" s="1284" t="n">
        <v>0</v>
      </c>
      <c r="H20" s="1284" t="n">
        <v>0</v>
      </c>
      <c r="I20" s="1284" t="n">
        <v>0</v>
      </c>
      <c r="J20" s="1284" t="n">
        <v>0</v>
      </c>
      <c r="K20" s="1284" t="n">
        <v>0</v>
      </c>
      <c r="L20" s="1284" t="n">
        <v>0</v>
      </c>
      <c r="M20" s="1284" t="n">
        <v>0</v>
      </c>
      <c r="N20" s="1284" t="n">
        <v>0</v>
      </c>
      <c r="O20" s="1284" t="n">
        <v>0</v>
      </c>
      <c r="P20" s="1284" t="n">
        <v>0</v>
      </c>
      <c r="Q20" s="1284" t="n">
        <v>0</v>
      </c>
      <c r="R20" s="1284" t="n">
        <v>0</v>
      </c>
      <c r="S20" s="1284" t="n">
        <v>0</v>
      </c>
      <c r="T20" s="1284" t="n">
        <v>0</v>
      </c>
      <c r="Z20" s="1285">
        <f>N('R7業務（長+短）'!C8)-N(C20)</f>
        <v>0</v>
      </c>
      <c r="AA20" s="1285">
        <f>N('R7業務（長+短）'!D8)-N(D20)</f>
        <v>0</v>
      </c>
      <c r="AB20" s="1285">
        <f>N('R7業務（長+短）'!E8)-N(E20)</f>
        <v>0</v>
      </c>
      <c r="AC20" s="1285">
        <f>N('R7業務（長+短）'!F8)-N(F20)</f>
        <v>0</v>
      </c>
      <c r="AD20" s="1285">
        <f>N('R7業務（長+短）'!G8)-N(G20)</f>
        <v>0</v>
      </c>
      <c r="AE20" s="1285">
        <f>N('R7業務（長+短）'!H8)-N(H20)</f>
        <v>0</v>
      </c>
      <c r="AF20" s="1285">
        <f>N('R7業務（長+短）'!I8)-N(I20)</f>
        <v>0</v>
      </c>
      <c r="AG20" s="1285">
        <f>N('R7業務（長+短）'!J8)-N(J20)</f>
        <v>0</v>
      </c>
      <c r="AH20" s="1285">
        <f>N('R7業務（長+短）'!K8)-N(K20)</f>
        <v>0</v>
      </c>
      <c r="AI20" s="1285">
        <f>N('R7業務（長+短）'!L8)-N(L20)</f>
        <v>0</v>
      </c>
      <c r="AJ20" s="1285">
        <f>N('R7業務（長+短）'!M8)-N(M20)</f>
        <v>0</v>
      </c>
      <c r="AK20" s="1285">
        <f>N('R7業務（長+短）'!N8)-N(N20)</f>
        <v>0</v>
      </c>
      <c r="AL20" s="1285">
        <f>N('R7業務（長+短）'!O8)-N(O20)</f>
        <v>0</v>
      </c>
      <c r="AM20" s="1285">
        <f>N('R7業務（長+短）'!P8)-N(P20)</f>
        <v>0</v>
      </c>
      <c r="AN20" s="1285">
        <f>N('R7業務（長+短）'!Q8)-N(Q20)</f>
        <v>0</v>
      </c>
      <c r="AO20" s="1285">
        <f>N('R7業務（長+短）'!R8)-N(R20)</f>
        <v>0</v>
      </c>
      <c r="AP20" s="1285">
        <f>N('R7業務（長+短）'!S8)-N(S20)</f>
        <v>0</v>
      </c>
      <c r="AQ20" s="1285">
        <f>N('R7業務（長+短）'!T8)-N(T20)</f>
        <v>0</v>
      </c>
      <c r="AR20" s="1285">
        <f>N('R7業務（長+短）'!U8)-N(U20)</f>
        <v>0</v>
      </c>
    </row>
    <row r="21">
      <c r="C21" s="1284" t="n">
        <v>698140</v>
      </c>
      <c r="D21" s="1284" t="n">
        <v>629236</v>
      </c>
      <c r="E21" s="1284" t="n">
        <v>1946789</v>
      </c>
      <c r="F21" s="1284" t="n">
        <v>637508</v>
      </c>
      <c r="G21" s="1284" t="n">
        <v>625100</v>
      </c>
      <c r="H21" s="1284" t="n">
        <v>639576</v>
      </c>
      <c r="I21" s="1284" t="n">
        <v>764882</v>
      </c>
      <c r="J21" s="1284" t="n">
        <v>609611</v>
      </c>
      <c r="K21" s="1284" t="n">
        <v>1912393</v>
      </c>
      <c r="L21" s="1284" t="n">
        <v>623876</v>
      </c>
      <c r="M21" s="1284" t="n">
        <v>627946</v>
      </c>
      <c r="N21" s="1284" t="n">
        <v>699347</v>
      </c>
      <c r="O21" s="1284" t="n">
        <v>42640</v>
      </c>
      <c r="P21" s="1284" t="n">
        <v>10457044</v>
      </c>
      <c r="Q21" s="1284" t="n">
        <v>11834000</v>
      </c>
      <c r="R21" s="1284" t="n">
        <v>0</v>
      </c>
      <c r="S21" s="1284" t="n">
        <v>11834000</v>
      </c>
      <c r="T21" s="1284" t="n">
        <v>1376956</v>
      </c>
      <c r="Z21" s="1285">
        <f>N('R7業務（長+短）'!C9)-N(C21)</f>
        <v>0</v>
      </c>
      <c r="AA21" s="1285">
        <f>N('R7業務（長+短）'!D9)-N(D21)</f>
        <v>0</v>
      </c>
      <c r="AB21" s="1285">
        <f>N('R7業務（長+短）'!E9)-N(E21)</f>
        <v>0</v>
      </c>
      <c r="AC21" s="1285">
        <f>N('R7業務（長+短）'!F9)-N(F21)</f>
        <v>0</v>
      </c>
      <c r="AD21" s="1285">
        <f>N('R7業務（長+短）'!G9)-N(G21)</f>
        <v>0</v>
      </c>
      <c r="AE21" s="1285">
        <f>N('R7業務（長+短）'!H9)-N(H21)</f>
        <v>0</v>
      </c>
      <c r="AF21" s="1285">
        <f>N('R7業務（長+短）'!I9)-N(I21)</f>
        <v>0</v>
      </c>
      <c r="AG21" s="1285">
        <f>N('R7業務（長+短）'!J9)-N(J21)</f>
        <v>0</v>
      </c>
      <c r="AH21" s="1285">
        <f>N('R7業務（長+短）'!K9)-N(K21)</f>
        <v>0</v>
      </c>
      <c r="AI21" s="1285">
        <f>N('R7業務（長+短）'!L9)-N(L21)</f>
        <v>0</v>
      </c>
      <c r="AJ21" s="1285">
        <f>N('R7業務（長+短）'!M9)-N(M21)</f>
        <v>0</v>
      </c>
      <c r="AK21" s="1285">
        <f>N('R7業務（長+短）'!N9)-N(N21)</f>
        <v>0</v>
      </c>
      <c r="AL21" s="1285">
        <f>N('R7業務（長+短）'!O9)-N(O21)</f>
        <v>0</v>
      </c>
      <c r="AM21" s="1285">
        <f>N('R7業務（長+短）'!P9)-N(P21)</f>
        <v>0</v>
      </c>
      <c r="AN21" s="1285">
        <f>N('R7業務（長+短）'!Q9)-N(Q21)</f>
        <v>0</v>
      </c>
      <c r="AO21" s="1285">
        <f>N('R7業務（長+短）'!R9)-N(R21)</f>
        <v>0</v>
      </c>
      <c r="AP21" s="1285">
        <f>N('R7業務（長+短）'!S9)-N(S21)</f>
        <v>0</v>
      </c>
      <c r="AQ21" s="1285">
        <f>N('R7業務（長+短）'!T9)-N(T21)</f>
        <v>0</v>
      </c>
      <c r="AR21" s="1285">
        <f>N('R7業務（長+短）'!U9)-N(U21)</f>
        <v>0</v>
      </c>
    </row>
    <row r="22">
      <c r="C22" s="1284" t="n">
        <v>0</v>
      </c>
      <c r="D22" s="1284" t="n">
        <v>0</v>
      </c>
      <c r="E22" s="1284" t="n">
        <v>0</v>
      </c>
      <c r="F22" s="1284" t="n">
        <v>0</v>
      </c>
      <c r="G22" s="1284" t="n">
        <v>1980</v>
      </c>
      <c r="H22" s="1284" t="n">
        <v>16874</v>
      </c>
      <c r="I22" s="1284" t="n">
        <v>0</v>
      </c>
      <c r="J22" s="1284" t="n">
        <v>0</v>
      </c>
      <c r="K22" s="1284" t="n">
        <v>0</v>
      </c>
      <c r="L22" s="1284" t="n">
        <v>0</v>
      </c>
      <c r="M22" s="1284" t="n">
        <v>0</v>
      </c>
      <c r="N22" s="1284" t="n">
        <v>0</v>
      </c>
      <c r="O22" s="1284" t="n">
        <v>0</v>
      </c>
      <c r="P22" s="1284" t="n">
        <v>18854</v>
      </c>
      <c r="Q22" s="1284" t="n">
        <v>87000</v>
      </c>
      <c r="R22" s="1284" t="n">
        <v>0</v>
      </c>
      <c r="S22" s="1284" t="n">
        <v>87000</v>
      </c>
      <c r="T22" s="1284" t="n">
        <v>68146</v>
      </c>
      <c r="Z22" s="1285">
        <f>N('R7業務（長+短）'!C10)-N(C22)</f>
        <v>0</v>
      </c>
      <c r="AA22" s="1285">
        <f>N('R7業務（長+短）'!D10)-N(D22)</f>
        <v>0</v>
      </c>
      <c r="AB22" s="1285">
        <f>N('R7業務（長+短）'!E10)-N(E22)</f>
        <v>0</v>
      </c>
      <c r="AC22" s="1285">
        <f>N('R7業務（長+短）'!F10)-N(F22)</f>
        <v>0</v>
      </c>
      <c r="AD22" s="1285">
        <f>N('R7業務（長+短）'!G10)-N(G22)</f>
        <v>0</v>
      </c>
      <c r="AE22" s="1285">
        <f>N('R7業務（長+短）'!H10)-N(H22)</f>
        <v>0</v>
      </c>
      <c r="AF22" s="1285">
        <f>N('R7業務（長+短）'!I10)-N(I22)</f>
        <v>0</v>
      </c>
      <c r="AG22" s="1285">
        <f>N('R7業務（長+短）'!J10)-N(J22)</f>
        <v>0</v>
      </c>
      <c r="AH22" s="1285">
        <f>N('R7業務（長+短）'!K10)-N(K22)</f>
        <v>0</v>
      </c>
      <c r="AI22" s="1285">
        <f>N('R7業務（長+短）'!L10)-N(L22)</f>
        <v>0</v>
      </c>
      <c r="AJ22" s="1285">
        <f>N('R7業務（長+短）'!M10)-N(M22)</f>
        <v>0</v>
      </c>
      <c r="AK22" s="1285">
        <f>N('R7業務（長+短）'!N10)-N(N22)</f>
        <v>0</v>
      </c>
      <c r="AL22" s="1285">
        <f>N('R7業務（長+短）'!O10)-N(O22)</f>
        <v>0</v>
      </c>
      <c r="AM22" s="1285">
        <f>N('R7業務（長+短）'!P10)-N(P22)</f>
        <v>0</v>
      </c>
      <c r="AN22" s="1285">
        <f>N('R7業務（長+短）'!Q10)-N(Q22)</f>
        <v>0</v>
      </c>
      <c r="AO22" s="1285">
        <f>N('R7業務（長+短）'!R10)-N(R22)</f>
        <v>0</v>
      </c>
      <c r="AP22" s="1285">
        <f>N('R7業務（長+短）'!S10)-N(S22)</f>
        <v>0</v>
      </c>
      <c r="AQ22" s="1285">
        <f>N('R7業務（長+短）'!T10)-N(T22)</f>
        <v>0</v>
      </c>
      <c r="AR22" s="1285">
        <f>N('R7業務（長+短）'!U10)-N(U22)</f>
        <v>0</v>
      </c>
    </row>
    <row r="23">
      <c r="C23" s="1284" t="n">
        <v>0</v>
      </c>
      <c r="D23" s="1284" t="n">
        <v>0</v>
      </c>
      <c r="E23" s="1284" t="n">
        <v>82920</v>
      </c>
      <c r="F23" s="1284" t="n">
        <v>0</v>
      </c>
      <c r="G23" s="1284" t="n">
        <v>60780</v>
      </c>
      <c r="H23" s="1284" t="n">
        <v>0</v>
      </c>
      <c r="I23" s="1284" t="n">
        <v>0</v>
      </c>
      <c r="J23" s="1284" t="n">
        <v>38940</v>
      </c>
      <c r="K23" s="1284" t="n">
        <v>80902</v>
      </c>
      <c r="L23" s="1284" t="n">
        <v>0</v>
      </c>
      <c r="M23" s="1284" t="n">
        <v>39340</v>
      </c>
      <c r="N23" s="1284" t="n">
        <v>0</v>
      </c>
      <c r="O23" s="1284" t="n">
        <v>0</v>
      </c>
      <c r="P23" s="1284" t="n">
        <v>302882</v>
      </c>
      <c r="Q23" s="1284" t="n">
        <v>697000</v>
      </c>
      <c r="R23" s="1284" t="n">
        <v>0</v>
      </c>
      <c r="S23" s="1284" t="n">
        <v>697000</v>
      </c>
      <c r="T23" s="1284" t="n">
        <v>394118</v>
      </c>
      <c r="Z23" s="1285">
        <f>N('R7業務（長+短）'!C11)-N(C23)</f>
        <v>0</v>
      </c>
      <c r="AA23" s="1285">
        <f>N('R7業務（長+短）'!D11)-N(D23)</f>
        <v>0</v>
      </c>
      <c r="AB23" s="1285">
        <f>N('R7業務（長+短）'!E11)-N(E23)</f>
        <v>0</v>
      </c>
      <c r="AC23" s="1285">
        <f>N('R7業務（長+短）'!F11)-N(F23)</f>
        <v>0</v>
      </c>
      <c r="AD23" s="1285">
        <f>N('R7業務（長+短）'!G11)-N(G23)</f>
        <v>0</v>
      </c>
      <c r="AE23" s="1285">
        <f>N('R7業務（長+短）'!H11)-N(H23)</f>
        <v>0</v>
      </c>
      <c r="AF23" s="1285">
        <f>N('R7業務（長+短）'!I11)-N(I23)</f>
        <v>0</v>
      </c>
      <c r="AG23" s="1285">
        <f>N('R7業務（長+短）'!J11)-N(J23)</f>
        <v>0</v>
      </c>
      <c r="AH23" s="1285">
        <f>N('R7業務（長+短）'!K11)-N(K23)</f>
        <v>0</v>
      </c>
      <c r="AI23" s="1285">
        <f>N('R7業務（長+短）'!L11)-N(L23)</f>
        <v>0</v>
      </c>
      <c r="AJ23" s="1285">
        <f>N('R7業務（長+短）'!M11)-N(M23)</f>
        <v>0</v>
      </c>
      <c r="AK23" s="1285">
        <f>N('R7業務（長+短）'!N11)-N(N23)</f>
        <v>0</v>
      </c>
      <c r="AL23" s="1285">
        <f>N('R7業務（長+短）'!O11)-N(O23)</f>
        <v>0</v>
      </c>
      <c r="AM23" s="1285">
        <f>N('R7業務（長+短）'!P11)-N(P23)</f>
        <v>0</v>
      </c>
      <c r="AN23" s="1285">
        <f>N('R7業務（長+短）'!Q11)-N(Q23)</f>
        <v>0</v>
      </c>
      <c r="AO23" s="1285">
        <f>N('R7業務（長+短）'!R11)-N(R23)</f>
        <v>0</v>
      </c>
      <c r="AP23" s="1285">
        <f>N('R7業務（長+短）'!S11)-N(S23)</f>
        <v>0</v>
      </c>
      <c r="AQ23" s="1285">
        <f>N('R7業務（長+短）'!T11)-N(T23)</f>
        <v>0</v>
      </c>
      <c r="AR23" s="1285">
        <f>N('R7業務（長+短）'!U11)-N(U23)</f>
        <v>0</v>
      </c>
    </row>
    <row r="24">
      <c r="C24" s="1284" t="n">
        <v>29260</v>
      </c>
      <c r="D24" s="1284" t="n">
        <v>72448</v>
      </c>
      <c r="E24" s="1284" t="n">
        <v>91498</v>
      </c>
      <c r="F24" s="1284" t="n">
        <v>0</v>
      </c>
      <c r="G24" s="1284" t="n">
        <v>131903</v>
      </c>
      <c r="H24" s="1284" t="n">
        <v>45203</v>
      </c>
      <c r="I24" s="1284" t="n">
        <v>147320</v>
      </c>
      <c r="J24" s="1284" t="n">
        <v>417870</v>
      </c>
      <c r="K24" s="1284" t="n">
        <v>62330</v>
      </c>
      <c r="L24" s="1284" t="n">
        <v>143574</v>
      </c>
      <c r="M24" s="1284" t="n">
        <v>49487</v>
      </c>
      <c r="N24" s="1284" t="n">
        <v>180694</v>
      </c>
      <c r="O24" s="1284" t="n">
        <v>199581</v>
      </c>
      <c r="P24" s="1284" t="n">
        <v>1571168</v>
      </c>
      <c r="Q24" s="1284" t="n">
        <v>2117000</v>
      </c>
      <c r="R24" s="1284" t="n">
        <v>0</v>
      </c>
      <c r="S24" s="1284" t="n">
        <v>2117000</v>
      </c>
      <c r="T24" s="1284" t="n">
        <v>545832</v>
      </c>
      <c r="Z24" s="1285">
        <f>N('R7業務（長+短）'!C12)-N(C24)</f>
        <v>0</v>
      </c>
      <c r="AA24" s="1285">
        <f>N('R7業務（長+短）'!D12)-N(D24)</f>
        <v>0</v>
      </c>
      <c r="AB24" s="1285">
        <f>N('R7業務（長+短）'!E12)-N(E24)</f>
        <v>0</v>
      </c>
      <c r="AC24" s="1285">
        <f>N('R7業務（長+短）'!F12)-N(F24)</f>
        <v>0</v>
      </c>
      <c r="AD24" s="1285">
        <f>N('R7業務（長+短）'!G12)-N(G24)</f>
        <v>0</v>
      </c>
      <c r="AE24" s="1285">
        <f>N('R7業務（長+短）'!H12)-N(H24)</f>
        <v>0</v>
      </c>
      <c r="AF24" s="1285">
        <f>N('R7業務（長+短）'!I12)-N(I24)</f>
        <v>0</v>
      </c>
      <c r="AG24" s="1285">
        <f>N('R7業務（長+短）'!J12)-N(J24)</f>
        <v>0</v>
      </c>
      <c r="AH24" s="1285">
        <f>N('R7業務（長+短）'!K12)-N(K24)</f>
        <v>0</v>
      </c>
      <c r="AI24" s="1285">
        <f>N('R7業務（長+短）'!L12)-N(L24)</f>
        <v>0</v>
      </c>
      <c r="AJ24" s="1285">
        <f>N('R7業務（長+短）'!M12)-N(M24)</f>
        <v>0</v>
      </c>
      <c r="AK24" s="1285">
        <f>N('R7業務（長+短）'!N12)-N(N24)</f>
        <v>0</v>
      </c>
      <c r="AL24" s="1285">
        <f>N('R7業務（長+短）'!O12)-N(O24)</f>
        <v>0</v>
      </c>
      <c r="AM24" s="1285">
        <f>N('R7業務（長+短）'!P12)-N(P24)</f>
        <v>0</v>
      </c>
      <c r="AN24" s="1285">
        <f>N('R7業務（長+短）'!Q12)-N(Q24)</f>
        <v>0</v>
      </c>
      <c r="AO24" s="1285">
        <f>N('R7業務（長+短）'!R12)-N(R24)</f>
        <v>0</v>
      </c>
      <c r="AP24" s="1285">
        <f>N('R7業務（長+短）'!S12)-N(S24)</f>
        <v>0</v>
      </c>
      <c r="AQ24" s="1285">
        <f>N('R7業務（長+短）'!T12)-N(T24)</f>
        <v>0</v>
      </c>
      <c r="AR24" s="1285">
        <f>N('R7業務（長+短）'!U12)-N(U24)</f>
        <v>0</v>
      </c>
    </row>
    <row r="25">
      <c r="C25" s="1284" t="n">
        <v>99220</v>
      </c>
      <c r="D25" s="1284" t="n">
        <v>33154</v>
      </c>
      <c r="E25" s="1284" t="n">
        <v>50754</v>
      </c>
      <c r="F25" s="1284" t="n">
        <v>33154</v>
      </c>
      <c r="G25" s="1284" t="n">
        <v>271964</v>
      </c>
      <c r="H25" s="1284" t="n">
        <v>434830</v>
      </c>
      <c r="I25" s="1284" t="n">
        <v>48619</v>
      </c>
      <c r="J25" s="1284" t="n">
        <v>260854</v>
      </c>
      <c r="K25" s="1284" t="n">
        <v>336393</v>
      </c>
      <c r="L25" s="1284" t="n">
        <v>55204</v>
      </c>
      <c r="M25" s="1284" t="n">
        <v>59554</v>
      </c>
      <c r="N25" s="1284" t="n">
        <v>192065</v>
      </c>
      <c r="O25" s="1284" t="n">
        <v>116600</v>
      </c>
      <c r="P25" s="1284" t="n">
        <v>1992365</v>
      </c>
      <c r="Q25" s="1284" t="n">
        <v>1934000</v>
      </c>
      <c r="R25" s="1284" t="n">
        <v>0</v>
      </c>
      <c r="S25" s="1284" t="n">
        <v>1934000</v>
      </c>
      <c r="T25" s="1284" t="n">
        <v>-58365</v>
      </c>
      <c r="Z25" s="1285">
        <f>N('R7業務（長+短）'!C13)-N(C25)</f>
        <v>0</v>
      </c>
      <c r="AA25" s="1285">
        <f>N('R7業務（長+短）'!D13)-N(D25)</f>
        <v>0</v>
      </c>
      <c r="AB25" s="1285">
        <f>N('R7業務（長+短）'!E13)-N(E25)</f>
        <v>0</v>
      </c>
      <c r="AC25" s="1285">
        <f>N('R7業務（長+短）'!F13)-N(F25)</f>
        <v>0</v>
      </c>
      <c r="AD25" s="1285">
        <f>N('R7業務（長+短）'!G13)-N(G25)</f>
        <v>0</v>
      </c>
      <c r="AE25" s="1285">
        <f>N('R7業務（長+短）'!H13)-N(H25)</f>
        <v>0</v>
      </c>
      <c r="AF25" s="1285">
        <f>N('R7業務（長+短）'!I13)-N(I25)</f>
        <v>0</v>
      </c>
      <c r="AG25" s="1285">
        <f>N('R7業務（長+短）'!J13)-N(J25)</f>
        <v>0</v>
      </c>
      <c r="AH25" s="1285">
        <f>N('R7業務（長+短）'!K13)-N(K25)</f>
        <v>0</v>
      </c>
      <c r="AI25" s="1285">
        <f>N('R7業務（長+短）'!L13)-N(L25)</f>
        <v>0</v>
      </c>
      <c r="AJ25" s="1285">
        <f>N('R7業務（長+短）'!M13)-N(M25)</f>
        <v>0</v>
      </c>
      <c r="AK25" s="1285">
        <f>N('R7業務（長+短）'!N13)-N(N25)</f>
        <v>0</v>
      </c>
      <c r="AL25" s="1285">
        <f>N('R7業務（長+短）'!O13)-N(O25)</f>
        <v>0</v>
      </c>
      <c r="AM25" s="1285">
        <f>N('R7業務（長+短）'!P13)-N(P25)</f>
        <v>0</v>
      </c>
      <c r="AN25" s="1285">
        <f>N('R7業務（長+短）'!Q13)-N(Q25)</f>
        <v>0</v>
      </c>
      <c r="AO25" s="1285">
        <f>N('R7業務（長+短）'!R13)-N(R25)</f>
        <v>0</v>
      </c>
      <c r="AP25" s="1285">
        <f>N('R7業務（長+短）'!S13)-N(S25)</f>
        <v>0</v>
      </c>
      <c r="AQ25" s="1285">
        <f>N('R7業務（長+短）'!T13)-N(T25)</f>
        <v>0</v>
      </c>
      <c r="AR25" s="1285">
        <f>N('R7業務（長+短）'!U13)-N(U25)</f>
        <v>0</v>
      </c>
    </row>
    <row r="26">
      <c r="C26" s="1284" t="n">
        <v>0</v>
      </c>
      <c r="D26" s="1284" t="n">
        <v>267395</v>
      </c>
      <c r="E26" s="1284" t="n">
        <v>164037</v>
      </c>
      <c r="F26" s="1284" t="n">
        <v>157952</v>
      </c>
      <c r="G26" s="1284" t="n">
        <v>171747</v>
      </c>
      <c r="H26" s="1284" t="n">
        <v>177532</v>
      </c>
      <c r="I26" s="1284" t="n">
        <v>186538</v>
      </c>
      <c r="J26" s="1284" t="n">
        <v>174104</v>
      </c>
      <c r="K26" s="1284" t="n">
        <v>162253</v>
      </c>
      <c r="L26" s="1284" t="n">
        <v>172370</v>
      </c>
      <c r="M26" s="1284" t="n">
        <v>172976</v>
      </c>
      <c r="N26" s="1284" t="n">
        <v>162737</v>
      </c>
      <c r="O26" s="1284" t="n">
        <v>165455</v>
      </c>
      <c r="P26" s="1284" t="n">
        <v>2135096</v>
      </c>
      <c r="Q26" s="1284" t="n">
        <v>2101000</v>
      </c>
      <c r="R26" s="1284" t="n">
        <v>0</v>
      </c>
      <c r="S26" s="1284" t="n">
        <v>2101000</v>
      </c>
      <c r="T26" s="1284" t="n">
        <v>-34096</v>
      </c>
      <c r="Z26" s="1285">
        <f>N('R7業務（長+短）'!C14)-N(C26)</f>
        <v>0</v>
      </c>
      <c r="AA26" s="1285">
        <f>N('R7業務（長+短）'!D14)-N(D26)</f>
        <v>0</v>
      </c>
      <c r="AB26" s="1285">
        <f>N('R7業務（長+短）'!E14)-N(E26)</f>
        <v>0</v>
      </c>
      <c r="AC26" s="1285">
        <f>N('R7業務（長+短）'!F14)-N(F26)</f>
        <v>0</v>
      </c>
      <c r="AD26" s="1285">
        <f>N('R7業務（長+短）'!G14)-N(G26)</f>
        <v>0</v>
      </c>
      <c r="AE26" s="1285">
        <f>N('R7業務（長+短）'!H14)-N(H26)</f>
        <v>0</v>
      </c>
      <c r="AF26" s="1285">
        <f>N('R7業務（長+短）'!I14)-N(I26)</f>
        <v>0</v>
      </c>
      <c r="AG26" s="1285">
        <f>N('R7業務（長+短）'!J14)-N(J26)</f>
        <v>0</v>
      </c>
      <c r="AH26" s="1285">
        <f>N('R7業務（長+短）'!K14)-N(K26)</f>
        <v>0</v>
      </c>
      <c r="AI26" s="1285">
        <f>N('R7業務（長+短）'!L14)-N(L26)</f>
        <v>0</v>
      </c>
      <c r="AJ26" s="1285">
        <f>N('R7業務（長+短）'!M14)-N(M26)</f>
        <v>0</v>
      </c>
      <c r="AK26" s="1285">
        <f>N('R7業務（長+短）'!N14)-N(N26)</f>
        <v>0</v>
      </c>
      <c r="AL26" s="1285">
        <f>N('R7業務（長+短）'!O14)-N(O26)</f>
        <v>0</v>
      </c>
      <c r="AM26" s="1285">
        <f>N('R7業務（長+短）'!P14)-N(P26)</f>
        <v>0</v>
      </c>
      <c r="AN26" s="1285">
        <f>N('R7業務（長+短）'!Q14)-N(Q26)</f>
        <v>0</v>
      </c>
      <c r="AO26" s="1285">
        <f>N('R7業務（長+短）'!R14)-N(R26)</f>
        <v>0</v>
      </c>
      <c r="AP26" s="1285">
        <f>N('R7業務（長+短）'!S14)-N(S26)</f>
        <v>0</v>
      </c>
      <c r="AQ26" s="1285">
        <f>N('R7業務（長+短）'!T14)-N(T26)</f>
        <v>0</v>
      </c>
      <c r="AR26" s="1285">
        <f>N('R7業務（長+短）'!U14)-N(U26)</f>
        <v>0</v>
      </c>
    </row>
    <row r="27">
      <c r="C27" s="1284" t="n">
        <v>0</v>
      </c>
      <c r="D27" s="1284" t="n">
        <v>343276</v>
      </c>
      <c r="E27" s="1284" t="n">
        <v>70603</v>
      </c>
      <c r="F27" s="1284" t="n">
        <v>1560523</v>
      </c>
      <c r="G27" s="1284" t="n">
        <v>102819</v>
      </c>
      <c r="H27" s="1284" t="n">
        <v>109815</v>
      </c>
      <c r="I27" s="1284" t="n">
        <v>393650</v>
      </c>
      <c r="J27" s="1284" t="n">
        <v>1143632</v>
      </c>
      <c r="K27" s="1284" t="n">
        <v>149148</v>
      </c>
      <c r="L27" s="1284" t="n">
        <v>1295890</v>
      </c>
      <c r="M27" s="1284" t="n">
        <v>1108141</v>
      </c>
      <c r="N27" s="1284" t="n">
        <v>866430</v>
      </c>
      <c r="O27" s="1284" t="n">
        <v>132832</v>
      </c>
      <c r="P27" s="1284" t="n">
        <v>7276759</v>
      </c>
      <c r="Q27" s="1284" t="n">
        <v>8501000</v>
      </c>
      <c r="R27" s="1284" t="n">
        <v>0</v>
      </c>
      <c r="S27" s="1284" t="n">
        <v>8501000</v>
      </c>
      <c r="T27" s="1284" t="n">
        <v>1224241</v>
      </c>
      <c r="Z27" s="1285">
        <f>N('R7業務（長+短）'!C15)-N(C27)</f>
        <v>0</v>
      </c>
      <c r="AA27" s="1285">
        <f>N('R7業務（長+短）'!D15)-N(D27)</f>
        <v>0</v>
      </c>
      <c r="AB27" s="1285">
        <f>N('R7業務（長+短）'!E15)-N(E27)</f>
        <v>0</v>
      </c>
      <c r="AC27" s="1285">
        <f>N('R7業務（長+短）'!F15)-N(F27)</f>
        <v>0</v>
      </c>
      <c r="AD27" s="1285">
        <f>N('R7業務（長+短）'!G15)-N(G27)</f>
        <v>0</v>
      </c>
      <c r="AE27" s="1285">
        <f>N('R7業務（長+短）'!H15)-N(H27)</f>
        <v>0</v>
      </c>
      <c r="AF27" s="1285">
        <f>N('R7業務（長+短）'!I15)-N(I27)</f>
        <v>0</v>
      </c>
      <c r="AG27" s="1285">
        <f>N('R7業務（長+短）'!J15)-N(J27)</f>
        <v>0</v>
      </c>
      <c r="AH27" s="1285">
        <f>N('R7業務（長+短）'!K15)-N(K27)</f>
        <v>0</v>
      </c>
      <c r="AI27" s="1285">
        <f>N('R7業務（長+短）'!L15)-N(L27)</f>
        <v>0</v>
      </c>
      <c r="AJ27" s="1285">
        <f>N('R7業務（長+短）'!M15)-N(M27)</f>
        <v>0</v>
      </c>
      <c r="AK27" s="1285">
        <f>N('R7業務（長+短）'!N15)-N(N27)</f>
        <v>0</v>
      </c>
      <c r="AL27" s="1285">
        <f>N('R7業務（長+短）'!O15)-N(O27)</f>
        <v>0</v>
      </c>
      <c r="AM27" s="1285">
        <f>N('R7業務（長+短）'!P15)-N(P27)</f>
        <v>0</v>
      </c>
      <c r="AN27" s="1285">
        <f>N('R7業務（長+短）'!Q15)-N(Q27)</f>
        <v>0</v>
      </c>
      <c r="AO27" s="1285">
        <f>N('R7業務（長+短）'!R15)-N(R27)</f>
        <v>0</v>
      </c>
      <c r="AP27" s="1285">
        <f>N('R7業務（長+短）'!S15)-N(S27)</f>
        <v>0</v>
      </c>
      <c r="AQ27" s="1285">
        <f>N('R7業務（長+短）'!T15)-N(T27)</f>
        <v>0</v>
      </c>
      <c r="AR27" s="1285">
        <f>N('R7業務（長+短）'!U15)-N(U27)</f>
        <v>0</v>
      </c>
    </row>
    <row r="28">
      <c r="C28" s="1284" t="n">
        <v>0</v>
      </c>
      <c r="D28" s="1284" t="n">
        <v>0</v>
      </c>
      <c r="E28" s="1284" t="n">
        <v>0</v>
      </c>
      <c r="F28" s="1284" t="n">
        <v>0</v>
      </c>
      <c r="G28" s="1284" t="n">
        <v>0</v>
      </c>
      <c r="H28" s="1284" t="n">
        <v>0</v>
      </c>
      <c r="I28" s="1284" t="n">
        <v>0</v>
      </c>
      <c r="J28" s="1284" t="n">
        <v>0</v>
      </c>
      <c r="K28" s="1284" t="n">
        <v>0</v>
      </c>
      <c r="L28" s="1284" t="n">
        <v>0</v>
      </c>
      <c r="M28" s="1284" t="n">
        <v>0</v>
      </c>
      <c r="N28" s="1284" t="n">
        <v>0</v>
      </c>
      <c r="O28" s="1284" t="n">
        <v>0</v>
      </c>
      <c r="P28" s="1284" t="n">
        <v>0</v>
      </c>
      <c r="Q28" s="1284" t="n">
        <v>0</v>
      </c>
      <c r="R28" s="1284" t="n">
        <v>0</v>
      </c>
      <c r="S28" s="1284" t="n">
        <v>0</v>
      </c>
      <c r="T28" s="1284" t="n">
        <v>0</v>
      </c>
      <c r="Z28" s="1285">
        <f>N('R7業務（長+短）'!C16)-N(C28)</f>
        <v>0</v>
      </c>
      <c r="AA28" s="1285">
        <f>N('R7業務（長+短）'!D16)-N(D28)</f>
        <v>0</v>
      </c>
      <c r="AB28" s="1285">
        <f>N('R7業務（長+短）'!E16)-N(E28)</f>
        <v>0</v>
      </c>
      <c r="AC28" s="1285">
        <f>N('R7業務（長+短）'!F16)-N(F28)</f>
        <v>0</v>
      </c>
      <c r="AD28" s="1285">
        <f>N('R7業務（長+短）'!G16)-N(G28)</f>
        <v>0</v>
      </c>
      <c r="AE28" s="1285">
        <f>N('R7業務（長+短）'!H16)-N(H28)</f>
        <v>0</v>
      </c>
      <c r="AF28" s="1285">
        <f>N('R7業務（長+短）'!I16)-N(I28)</f>
        <v>0</v>
      </c>
      <c r="AG28" s="1285">
        <f>N('R7業務（長+短）'!J16)-N(J28)</f>
        <v>0</v>
      </c>
      <c r="AH28" s="1285">
        <f>N('R7業務（長+短）'!K16)-N(K28)</f>
        <v>0</v>
      </c>
      <c r="AI28" s="1285">
        <f>N('R7業務（長+短）'!L16)-N(L28)</f>
        <v>0</v>
      </c>
      <c r="AJ28" s="1285">
        <f>N('R7業務（長+短）'!M16)-N(M28)</f>
        <v>0</v>
      </c>
      <c r="AK28" s="1285">
        <f>N('R7業務（長+短）'!N16)-N(N28)</f>
        <v>0</v>
      </c>
      <c r="AL28" s="1285">
        <f>N('R7業務（長+短）'!O16)-N(O28)</f>
        <v>0</v>
      </c>
      <c r="AM28" s="1285">
        <f>N('R7業務（長+短）'!P16)-N(P28)</f>
        <v>0</v>
      </c>
      <c r="AN28" s="1285">
        <f>N('R7業務（長+短）'!Q16)-N(Q28)</f>
        <v>0</v>
      </c>
      <c r="AO28" s="1285">
        <f>N('R7業務（長+短）'!R16)-N(R28)</f>
        <v>0</v>
      </c>
      <c r="AP28" s="1285">
        <f>N('R7業務（長+短）'!S16)-N(S28)</f>
        <v>0</v>
      </c>
      <c r="AQ28" s="1285">
        <f>N('R7業務（長+短）'!T16)-N(T28)</f>
        <v>0</v>
      </c>
      <c r="AR28" s="1285">
        <f>N('R7業務（長+短）'!U16)-N(U28)</f>
        <v>0</v>
      </c>
    </row>
    <row r="29">
      <c r="C29" s="1284" t="n">
        <v>0</v>
      </c>
      <c r="D29" s="1284" t="n">
        <v>550</v>
      </c>
      <c r="E29" s="1284" t="n">
        <v>550</v>
      </c>
      <c r="F29" s="1284" t="n">
        <v>550</v>
      </c>
      <c r="G29" s="1284" t="n">
        <v>550</v>
      </c>
      <c r="H29" s="1284" t="n">
        <v>550</v>
      </c>
      <c r="I29" s="1284" t="n">
        <v>3850</v>
      </c>
      <c r="J29" s="1284" t="n">
        <v>550</v>
      </c>
      <c r="K29" s="1284" t="n">
        <v>550</v>
      </c>
      <c r="L29" s="1284" t="n">
        <v>550</v>
      </c>
      <c r="M29" s="1284" t="n">
        <v>550</v>
      </c>
      <c r="N29" s="1284" t="n">
        <v>550</v>
      </c>
      <c r="O29" s="1284" t="n">
        <v>3850</v>
      </c>
      <c r="P29" s="1284" t="n">
        <v>13200</v>
      </c>
      <c r="Q29" s="1284" t="n">
        <v>7000</v>
      </c>
      <c r="R29" s="1284" t="n">
        <v>0</v>
      </c>
      <c r="S29" s="1284" t="n">
        <v>7000</v>
      </c>
      <c r="T29" s="1284" t="n">
        <v>-6200</v>
      </c>
      <c r="Z29" s="1285">
        <f>N('R7業務（長+短）'!C17)-N(C29)</f>
        <v>0</v>
      </c>
      <c r="AA29" s="1285">
        <f>N('R7業務（長+短）'!D17)-N(D29)</f>
        <v>0</v>
      </c>
      <c r="AB29" s="1285">
        <f>N('R7業務（長+短）'!E17)-N(E29)</f>
        <v>0</v>
      </c>
      <c r="AC29" s="1285">
        <f>N('R7業務（長+短）'!F17)-N(F29)</f>
        <v>0</v>
      </c>
      <c r="AD29" s="1285">
        <f>N('R7業務（長+短）'!G17)-N(G29)</f>
        <v>0</v>
      </c>
      <c r="AE29" s="1285">
        <f>N('R7業務（長+短）'!H17)-N(H29)</f>
        <v>0</v>
      </c>
      <c r="AF29" s="1285">
        <f>N('R7業務（長+短）'!I17)-N(I29)</f>
        <v>0</v>
      </c>
      <c r="AG29" s="1285">
        <f>N('R7業務（長+短）'!J17)-N(J29)</f>
        <v>0</v>
      </c>
      <c r="AH29" s="1285">
        <f>N('R7業務（長+短）'!K17)-N(K29)</f>
        <v>0</v>
      </c>
      <c r="AI29" s="1285">
        <f>N('R7業務（長+短）'!L17)-N(L29)</f>
        <v>0</v>
      </c>
      <c r="AJ29" s="1285">
        <f>N('R7業務（長+短）'!M17)-N(M29)</f>
        <v>0</v>
      </c>
      <c r="AK29" s="1285">
        <f>N('R7業務（長+短）'!N17)-N(N29)</f>
        <v>0</v>
      </c>
      <c r="AL29" s="1285">
        <f>N('R7業務（長+短）'!O17)-N(O29)</f>
        <v>0</v>
      </c>
      <c r="AM29" s="1285">
        <f>N('R7業務（長+短）'!P17)-N(P29)</f>
        <v>0</v>
      </c>
      <c r="AN29" s="1285">
        <f>N('R7業務（長+短）'!Q17)-N(Q29)</f>
        <v>0</v>
      </c>
      <c r="AO29" s="1285">
        <f>N('R7業務（長+短）'!R17)-N(R29)</f>
        <v>0</v>
      </c>
      <c r="AP29" s="1285">
        <f>N('R7業務（長+短）'!S17)-N(S29)</f>
        <v>0</v>
      </c>
      <c r="AQ29" s="1285">
        <f>N('R7業務（長+短）'!T17)-N(T29)</f>
        <v>0</v>
      </c>
      <c r="AR29" s="1285">
        <f>N('R7業務（長+短）'!U17)-N(U29)</f>
        <v>0</v>
      </c>
    </row>
    <row r="30">
      <c r="C30" s="1284" t="n">
        <v>128480</v>
      </c>
      <c r="D30" s="1284" t="n">
        <v>716823</v>
      </c>
      <c r="E30" s="1284" t="n">
        <v>377442</v>
      </c>
      <c r="F30" s="1284" t="n">
        <v>1752179</v>
      </c>
      <c r="G30" s="1284" t="n">
        <v>678983</v>
      </c>
      <c r="H30" s="1284" t="n">
        <v>767930</v>
      </c>
      <c r="I30" s="1284" t="n">
        <v>779977</v>
      </c>
      <c r="J30" s="1284" t="n">
        <v>1997010</v>
      </c>
      <c r="K30" s="1284" t="n">
        <v>710674</v>
      </c>
      <c r="L30" s="1284" t="n">
        <v>1667588</v>
      </c>
      <c r="M30" s="1284" t="n">
        <v>1390708</v>
      </c>
      <c r="N30" s="1284" t="n">
        <v>1402476</v>
      </c>
      <c r="O30" s="1284" t="n">
        <v>618318</v>
      </c>
      <c r="P30" s="1284" t="n">
        <v>12988588</v>
      </c>
      <c r="Q30" s="1284" t="n">
        <v>14660000</v>
      </c>
      <c r="R30" s="1284" t="n">
        <v>0</v>
      </c>
      <c r="S30" s="1284" t="n">
        <v>14660000</v>
      </c>
      <c r="T30" s="1284" t="n">
        <v>1671412</v>
      </c>
      <c r="Z30" s="1285">
        <f>N('R7業務（長+短）'!C18)-N(C30)</f>
        <v>0</v>
      </c>
      <c r="AA30" s="1285">
        <f>N('R7業務（長+短）'!D18)-N(D30)</f>
        <v>0</v>
      </c>
      <c r="AB30" s="1285">
        <f>N('R7業務（長+短）'!E18)-N(E30)</f>
        <v>0</v>
      </c>
      <c r="AC30" s="1285">
        <f>N('R7業務（長+短）'!F18)-N(F30)</f>
        <v>0</v>
      </c>
      <c r="AD30" s="1285">
        <f>N('R7業務（長+短）'!G18)-N(G30)</f>
        <v>0</v>
      </c>
      <c r="AE30" s="1285">
        <f>N('R7業務（長+短）'!H18)-N(H30)</f>
        <v>0</v>
      </c>
      <c r="AF30" s="1285">
        <f>N('R7業務（長+短）'!I18)-N(I30)</f>
        <v>0</v>
      </c>
      <c r="AG30" s="1285">
        <f>N('R7業務（長+短）'!J18)-N(J30)</f>
        <v>0</v>
      </c>
      <c r="AH30" s="1285">
        <f>N('R7業務（長+短）'!K18)-N(K30)</f>
        <v>0</v>
      </c>
      <c r="AI30" s="1285">
        <f>N('R7業務（長+短）'!L18)-N(L30)</f>
        <v>0</v>
      </c>
      <c r="AJ30" s="1285">
        <f>N('R7業務（長+短）'!M18)-N(M30)</f>
        <v>0</v>
      </c>
      <c r="AK30" s="1285">
        <f>N('R7業務（長+短）'!N18)-N(N30)</f>
        <v>0</v>
      </c>
      <c r="AL30" s="1285">
        <f>N('R7業務（長+短）'!O18)-N(O30)</f>
        <v>0</v>
      </c>
      <c r="AM30" s="1285">
        <f>N('R7業務（長+短）'!P18)-N(P30)</f>
        <v>0</v>
      </c>
      <c r="AN30" s="1285">
        <f>N('R7業務（長+短）'!Q18)-N(Q30)</f>
        <v>0</v>
      </c>
      <c r="AO30" s="1285">
        <f>N('R7業務（長+短）'!R18)-N(R30)</f>
        <v>0</v>
      </c>
      <c r="AP30" s="1285">
        <f>N('R7業務（長+短）'!S18)-N(S30)</f>
        <v>0</v>
      </c>
      <c r="AQ30" s="1285">
        <f>N('R7業務（長+短）'!T18)-N(T30)</f>
        <v>0</v>
      </c>
      <c r="AR30" s="1285">
        <f>N('R7業務（長+短）'!U18)-N(U30)</f>
        <v>0</v>
      </c>
    </row>
    <row r="31">
      <c r="C31" s="1284" t="n">
        <v>0</v>
      </c>
      <c r="D31" s="1284" t="n">
        <v>425880</v>
      </c>
      <c r="E31" s="1284" t="n">
        <v>365040</v>
      </c>
      <c r="F31" s="1284" t="n">
        <v>446160</v>
      </c>
      <c r="G31" s="1284" t="n">
        <v>445720</v>
      </c>
      <c r="H31" s="1284" t="n">
        <v>384480</v>
      </c>
      <c r="I31" s="1284" t="n">
        <v>389160</v>
      </c>
      <c r="J31" s="1284" t="n">
        <v>416580</v>
      </c>
      <c r="K31" s="1284" t="n">
        <v>340920</v>
      </c>
      <c r="L31" s="1284" t="n">
        <v>377520</v>
      </c>
      <c r="M31" s="1284" t="n">
        <v>359120</v>
      </c>
      <c r="N31" s="1284" t="n">
        <v>339340</v>
      </c>
      <c r="O31" s="1284" t="n">
        <v>339568</v>
      </c>
      <c r="P31" s="1284" t="n">
        <v>4629488</v>
      </c>
      <c r="Q31" s="1284" t="n">
        <v>5520000</v>
      </c>
      <c r="R31" s="1284" t="n">
        <v>0</v>
      </c>
      <c r="S31" s="1284" t="n">
        <v>5520000</v>
      </c>
      <c r="T31" s="1284" t="n">
        <v>890512</v>
      </c>
      <c r="Z31" s="1285">
        <f>N('R7業務（長+短）'!C19)-N(C31)</f>
        <v>0</v>
      </c>
      <c r="AA31" s="1285">
        <f>N('R7業務（長+短）'!D19)-N(D31)</f>
        <v>0</v>
      </c>
      <c r="AB31" s="1285">
        <f>N('R7業務（長+短）'!E19)-N(E31)</f>
        <v>0</v>
      </c>
      <c r="AC31" s="1285">
        <f>N('R7業務（長+短）'!F19)-N(F31)</f>
        <v>0</v>
      </c>
      <c r="AD31" s="1285">
        <f>N('R7業務（長+短）'!G19)-N(G31)</f>
        <v>0</v>
      </c>
      <c r="AE31" s="1285">
        <f>N('R7業務（長+短）'!H19)-N(H31)</f>
        <v>0</v>
      </c>
      <c r="AF31" s="1285">
        <f>N('R7業務（長+短）'!I19)-N(I31)</f>
        <v>0</v>
      </c>
      <c r="AG31" s="1285">
        <f>N('R7業務（長+短）'!J19)-N(J31)</f>
        <v>0</v>
      </c>
      <c r="AH31" s="1285">
        <f>N('R7業務（長+短）'!K19)-N(K31)</f>
        <v>0</v>
      </c>
      <c r="AI31" s="1285">
        <f>N('R7業務（長+短）'!L19)-N(L31)</f>
        <v>0</v>
      </c>
      <c r="AJ31" s="1285">
        <f>N('R7業務（長+短）'!M19)-N(M31)</f>
        <v>0</v>
      </c>
      <c r="AK31" s="1285">
        <f>N('R7業務（長+短）'!N19)-N(N31)</f>
        <v>0</v>
      </c>
      <c r="AL31" s="1285">
        <f>N('R7業務（長+短）'!O19)-N(O31)</f>
        <v>0</v>
      </c>
      <c r="AM31" s="1285">
        <f>N('R7業務（長+短）'!P19)-N(P31)</f>
        <v>0</v>
      </c>
      <c r="AN31" s="1285">
        <f>N('R7業務（長+短）'!Q19)-N(Q31)</f>
        <v>0</v>
      </c>
      <c r="AO31" s="1285">
        <f>N('R7業務（長+短）'!R19)-N(R31)</f>
        <v>0</v>
      </c>
      <c r="AP31" s="1285">
        <f>N('R7業務（長+短）'!S19)-N(S31)</f>
        <v>0</v>
      </c>
      <c r="AQ31" s="1285">
        <f>N('R7業務（長+短）'!T19)-N(T31)</f>
        <v>0</v>
      </c>
      <c r="AR31" s="1285">
        <f>N('R7業務（長+短）'!U19)-N(U31)</f>
        <v>0</v>
      </c>
    </row>
    <row r="32">
      <c r="C32" s="1284" t="n">
        <v>60235</v>
      </c>
      <c r="D32" s="1284" t="n">
        <v>2146895</v>
      </c>
      <c r="E32" s="1284" t="n">
        <v>188645</v>
      </c>
      <c r="F32" s="1284" t="n">
        <v>343021</v>
      </c>
      <c r="G32" s="1284" t="n">
        <v>1382282</v>
      </c>
      <c r="H32" s="1284" t="n">
        <v>2099782</v>
      </c>
      <c r="I32" s="1284" t="n">
        <v>682958</v>
      </c>
      <c r="J32" s="1284" t="n">
        <v>283902</v>
      </c>
      <c r="K32" s="1284" t="n">
        <v>2571355</v>
      </c>
      <c r="L32" s="1284" t="n">
        <v>258591</v>
      </c>
      <c r="M32" s="1284" t="n">
        <v>342161</v>
      </c>
      <c r="N32" s="1284" t="n">
        <v>331327</v>
      </c>
      <c r="O32" s="1284" t="n">
        <v>1396243</v>
      </c>
      <c r="P32" s="1284" t="n">
        <v>12087397</v>
      </c>
      <c r="Q32" s="1284" t="n">
        <v>13053000</v>
      </c>
      <c r="R32" s="1284" t="n">
        <v>0</v>
      </c>
      <c r="S32" s="1284" t="n">
        <v>13053000</v>
      </c>
      <c r="T32" s="1284" t="n">
        <v>965603</v>
      </c>
      <c r="Z32" s="1285">
        <f>N('R7業務（長+短）'!C20)-N(C32)</f>
        <v>0</v>
      </c>
      <c r="AA32" s="1285">
        <f>N('R7業務（長+短）'!D20)-N(D32)</f>
        <v>0</v>
      </c>
      <c r="AB32" s="1285">
        <f>N('R7業務（長+短）'!E20)-N(E32)</f>
        <v>0</v>
      </c>
      <c r="AC32" s="1285">
        <f>N('R7業務（長+短）'!F20)-N(F32)</f>
        <v>0</v>
      </c>
      <c r="AD32" s="1285">
        <f>N('R7業務（長+短）'!G20)-N(G32)</f>
        <v>0</v>
      </c>
      <c r="AE32" s="1285">
        <f>N('R7業務（長+短）'!H20)-N(H32)</f>
        <v>0</v>
      </c>
      <c r="AF32" s="1285">
        <f>N('R7業務（長+短）'!I20)-N(I32)</f>
        <v>0</v>
      </c>
      <c r="AG32" s="1285">
        <f>N('R7業務（長+短）'!J20)-N(J32)</f>
        <v>0</v>
      </c>
      <c r="AH32" s="1285">
        <f>N('R7業務（長+短）'!K20)-N(K32)</f>
        <v>0</v>
      </c>
      <c r="AI32" s="1285">
        <f>N('R7業務（長+短）'!L20)-N(L32)</f>
        <v>0</v>
      </c>
      <c r="AJ32" s="1285">
        <f>N('R7業務（長+短）'!M20)-N(M32)</f>
        <v>0</v>
      </c>
      <c r="AK32" s="1285">
        <f>N('R7業務（長+短）'!N20)-N(N32)</f>
        <v>0</v>
      </c>
      <c r="AL32" s="1285">
        <f>N('R7業務（長+短）'!O20)-N(O32)</f>
        <v>0</v>
      </c>
      <c r="AM32" s="1285">
        <f>N('R7業務（長+短）'!P20)-N(P32)</f>
        <v>0</v>
      </c>
      <c r="AN32" s="1285">
        <f>N('R7業務（長+短）'!Q20)-N(Q32)</f>
        <v>0</v>
      </c>
      <c r="AO32" s="1285">
        <f>N('R7業務（長+短）'!R20)-N(R32)</f>
        <v>0</v>
      </c>
      <c r="AP32" s="1285">
        <f>N('R7業務（長+短）'!S20)-N(S32)</f>
        <v>0</v>
      </c>
      <c r="AQ32" s="1285">
        <f>N('R7業務（長+短）'!T20)-N(T32)</f>
        <v>0</v>
      </c>
      <c r="AR32" s="1285">
        <f>N('R7業務（長+短）'!U20)-N(U32)</f>
        <v>0</v>
      </c>
    </row>
    <row r="33">
      <c r="C33" s="1284" t="n">
        <v>0</v>
      </c>
      <c r="D33" s="1284" t="n">
        <v>0</v>
      </c>
      <c r="E33" s="1284" t="n">
        <v>0</v>
      </c>
      <c r="F33" s="1284" t="n">
        <v>0</v>
      </c>
      <c r="G33" s="1284" t="n">
        <v>0</v>
      </c>
      <c r="H33" s="1284" t="n">
        <v>0</v>
      </c>
      <c r="I33" s="1284" t="n">
        <v>0</v>
      </c>
      <c r="J33" s="1284" t="n">
        <v>0</v>
      </c>
      <c r="K33" s="1284" t="n">
        <v>57384</v>
      </c>
      <c r="L33" s="1284" t="n">
        <v>0</v>
      </c>
      <c r="M33" s="1284" t="n">
        <v>0</v>
      </c>
      <c r="N33" s="1284" t="n">
        <v>0</v>
      </c>
      <c r="O33" s="1284" t="n">
        <v>70268</v>
      </c>
      <c r="P33" s="1284" t="n">
        <v>127652</v>
      </c>
      <c r="Q33" s="1284" t="n">
        <v>118000</v>
      </c>
      <c r="R33" s="1284" t="n">
        <v>0</v>
      </c>
      <c r="S33" s="1284" t="n">
        <v>118000</v>
      </c>
      <c r="T33" s="1284" t="n">
        <v>-9652</v>
      </c>
      <c r="Z33" s="1285">
        <f>N('R7業務（長+短）'!C21)-N(C33)</f>
        <v>0</v>
      </c>
      <c r="AA33" s="1285">
        <f>N('R7業務（長+短）'!D21)-N(D33)</f>
        <v>0</v>
      </c>
      <c r="AB33" s="1285">
        <f>N('R7業務（長+短）'!E21)-N(E33)</f>
        <v>0</v>
      </c>
      <c r="AC33" s="1285">
        <f>N('R7業務（長+短）'!F21)-N(F33)</f>
        <v>0</v>
      </c>
      <c r="AD33" s="1285">
        <f>N('R7業務（長+短）'!G21)-N(G33)</f>
        <v>0</v>
      </c>
      <c r="AE33" s="1285">
        <f>N('R7業務（長+短）'!H21)-N(H33)</f>
        <v>0</v>
      </c>
      <c r="AF33" s="1285">
        <f>N('R7業務（長+短）'!I21)-N(I33)</f>
        <v>0</v>
      </c>
      <c r="AG33" s="1285">
        <f>N('R7業務（長+短）'!J21)-N(J33)</f>
        <v>0</v>
      </c>
      <c r="AH33" s="1285">
        <f>N('R7業務（長+短）'!K21)-N(K33)</f>
        <v>0</v>
      </c>
      <c r="AI33" s="1285">
        <f>N('R7業務（長+短）'!L21)-N(L33)</f>
        <v>0</v>
      </c>
      <c r="AJ33" s="1285">
        <f>N('R7業務（長+短）'!M21)-N(M33)</f>
        <v>0</v>
      </c>
      <c r="AK33" s="1285">
        <f>N('R7業務（長+短）'!N21)-N(N33)</f>
        <v>0</v>
      </c>
      <c r="AL33" s="1285">
        <f>N('R7業務（長+短）'!O21)-N(O33)</f>
        <v>0</v>
      </c>
      <c r="AM33" s="1285">
        <f>N('R7業務（長+短）'!P21)-N(P33)</f>
        <v>0</v>
      </c>
      <c r="AN33" s="1285">
        <f>N('R7業務（長+短）'!Q21)-N(Q33)</f>
        <v>0</v>
      </c>
      <c r="AO33" s="1285">
        <f>N('R7業務（長+短）'!R21)-N(R33)</f>
        <v>0</v>
      </c>
      <c r="AP33" s="1285">
        <f>N('R7業務（長+短）'!S21)-N(S33)</f>
        <v>0</v>
      </c>
      <c r="AQ33" s="1285">
        <f>N('R7業務（長+短）'!T21)-N(T33)</f>
        <v>0</v>
      </c>
      <c r="AR33" s="1285">
        <f>N('R7業務（長+短）'!U21)-N(U33)</f>
        <v>0</v>
      </c>
    </row>
    <row r="34">
      <c r="C34" s="1284" t="n">
        <v>0</v>
      </c>
      <c r="D34" s="1284" t="n">
        <v>0</v>
      </c>
      <c r="E34" s="1284" t="n">
        <v>0</v>
      </c>
      <c r="F34" s="1284" t="n">
        <v>0</v>
      </c>
      <c r="G34" s="1284" t="n">
        <v>0</v>
      </c>
      <c r="H34" s="1284" t="n">
        <v>0</v>
      </c>
      <c r="I34" s="1284" t="n">
        <v>0</v>
      </c>
      <c r="J34" s="1284" t="n">
        <v>0</v>
      </c>
      <c r="K34" s="1284" t="n">
        <v>0</v>
      </c>
      <c r="L34" s="1284" t="n">
        <v>0</v>
      </c>
      <c r="M34" s="1284" t="n">
        <v>0</v>
      </c>
      <c r="N34" s="1284" t="n">
        <v>0</v>
      </c>
      <c r="O34" s="1284" t="n">
        <v>0</v>
      </c>
      <c r="P34" s="1284" t="n">
        <v>0</v>
      </c>
      <c r="Q34" s="1284" t="n">
        <v>0</v>
      </c>
      <c r="R34" s="1284" t="n">
        <v>0</v>
      </c>
      <c r="S34" s="1284" t="n">
        <v>0</v>
      </c>
      <c r="T34" s="1284" t="n">
        <v>0</v>
      </c>
      <c r="Z34" s="1285">
        <f>N('R7業務（長+短）'!C22)-N(C34)</f>
        <v>0</v>
      </c>
      <c r="AA34" s="1285">
        <f>N('R7業務（長+短）'!D22)-N(D34)</f>
        <v>0</v>
      </c>
      <c r="AB34" s="1285">
        <f>N('R7業務（長+短）'!E22)-N(E34)</f>
        <v>0</v>
      </c>
      <c r="AC34" s="1285">
        <f>N('R7業務（長+短）'!F22)-N(F34)</f>
        <v>0</v>
      </c>
      <c r="AD34" s="1285">
        <f>N('R7業務（長+短）'!G22)-N(G34)</f>
        <v>0</v>
      </c>
      <c r="AE34" s="1285">
        <f>N('R7業務（長+短）'!H22)-N(H34)</f>
        <v>0</v>
      </c>
      <c r="AF34" s="1285">
        <f>N('R7業務（長+短）'!I22)-N(I34)</f>
        <v>0</v>
      </c>
      <c r="AG34" s="1285">
        <f>N('R7業務（長+短）'!J22)-N(J34)</f>
        <v>0</v>
      </c>
      <c r="AH34" s="1285">
        <f>N('R7業務（長+短）'!K22)-N(K34)</f>
        <v>0</v>
      </c>
      <c r="AI34" s="1285">
        <f>N('R7業務（長+短）'!L22)-N(L34)</f>
        <v>0</v>
      </c>
      <c r="AJ34" s="1285">
        <f>N('R7業務（長+短）'!M22)-N(M34)</f>
        <v>0</v>
      </c>
      <c r="AK34" s="1285">
        <f>N('R7業務（長+短）'!N22)-N(N34)</f>
        <v>0</v>
      </c>
      <c r="AL34" s="1285">
        <f>N('R7業務（長+短）'!O22)-N(O34)</f>
        <v>0</v>
      </c>
      <c r="AM34" s="1285">
        <f>N('R7業務（長+短）'!P22)-N(P34)</f>
        <v>0</v>
      </c>
      <c r="AN34" s="1285">
        <f>N('R7業務（長+短）'!Q22)-N(Q34)</f>
        <v>0</v>
      </c>
      <c r="AO34" s="1285">
        <f>N('R7業務（長+短）'!R22)-N(R34)</f>
        <v>0</v>
      </c>
      <c r="AP34" s="1285">
        <f>N('R7業務（長+短）'!S22)-N(S34)</f>
        <v>0</v>
      </c>
      <c r="AQ34" s="1285">
        <f>N('R7業務（長+短）'!T22)-N(T34)</f>
        <v>0</v>
      </c>
      <c r="AR34" s="1285">
        <f>N('R7業務（長+短）'!U22)-N(U34)</f>
        <v>0</v>
      </c>
    </row>
    <row r="35">
      <c r="C35" s="1284" t="n">
        <v>0</v>
      </c>
      <c r="D35" s="1284" t="n">
        <v>760345</v>
      </c>
      <c r="E35" s="1284" t="n">
        <v>760345</v>
      </c>
      <c r="F35" s="1284" t="n">
        <v>760345</v>
      </c>
      <c r="G35" s="1284" t="n">
        <v>760345</v>
      </c>
      <c r="H35" s="1284" t="n">
        <v>760345</v>
      </c>
      <c r="I35" s="1284" t="n">
        <v>760345</v>
      </c>
      <c r="J35" s="1284" t="n">
        <v>807227</v>
      </c>
      <c r="K35" s="1284" t="n">
        <v>760345</v>
      </c>
      <c r="L35" s="1284" t="n">
        <v>760345</v>
      </c>
      <c r="M35" s="1284" t="n">
        <v>760345</v>
      </c>
      <c r="N35" s="1284" t="n">
        <v>760345</v>
      </c>
      <c r="O35" s="1284" t="n">
        <v>564503</v>
      </c>
      <c r="P35" s="1284" t="n">
        <v>8975180</v>
      </c>
      <c r="Q35" s="1284" t="n">
        <v>9468000</v>
      </c>
      <c r="R35" s="1284" t="n">
        <v>0</v>
      </c>
      <c r="S35" s="1284" t="n">
        <v>9468000</v>
      </c>
      <c r="T35" s="1284" t="n">
        <v>492820</v>
      </c>
      <c r="Z35" s="1285">
        <f>N('R7業務（長+短）'!C23)-N(C35)</f>
        <v>0</v>
      </c>
      <c r="AA35" s="1285">
        <f>N('R7業務（長+短）'!D23)-N(D35)</f>
        <v>0</v>
      </c>
      <c r="AB35" s="1285">
        <f>N('R7業務（長+短）'!E23)-N(E35)</f>
        <v>0</v>
      </c>
      <c r="AC35" s="1285">
        <f>N('R7業務（長+短）'!F23)-N(F35)</f>
        <v>0</v>
      </c>
      <c r="AD35" s="1285">
        <f>N('R7業務（長+短）'!G23)-N(G35)</f>
        <v>0</v>
      </c>
      <c r="AE35" s="1285">
        <f>N('R7業務（長+短）'!H23)-N(H35)</f>
        <v>0</v>
      </c>
      <c r="AF35" s="1285">
        <f>N('R7業務（長+短）'!I23)-N(I35)</f>
        <v>0</v>
      </c>
      <c r="AG35" s="1285">
        <f>N('R7業務（長+短）'!J23)-N(J35)</f>
        <v>0</v>
      </c>
      <c r="AH35" s="1285">
        <f>N('R7業務（長+短）'!K23)-N(K35)</f>
        <v>0</v>
      </c>
      <c r="AI35" s="1285">
        <f>N('R7業務（長+短）'!L23)-N(L35)</f>
        <v>0</v>
      </c>
      <c r="AJ35" s="1285">
        <f>N('R7業務（長+短）'!M23)-N(M35)</f>
        <v>0</v>
      </c>
      <c r="AK35" s="1285">
        <f>N('R7業務（長+短）'!N23)-N(N35)</f>
        <v>0</v>
      </c>
      <c r="AL35" s="1285">
        <f>N('R7業務（長+短）'!O23)-N(O35)</f>
        <v>0</v>
      </c>
      <c r="AM35" s="1285">
        <f>N('R7業務（長+短）'!P23)-N(P35)</f>
        <v>0</v>
      </c>
      <c r="AN35" s="1285">
        <f>N('R7業務（長+短）'!Q23)-N(Q35)</f>
        <v>0</v>
      </c>
      <c r="AO35" s="1285">
        <f>N('R7業務（長+短）'!R23)-N(R35)</f>
        <v>0</v>
      </c>
      <c r="AP35" s="1285">
        <f>N('R7業務（長+短）'!S23)-N(S35)</f>
        <v>0</v>
      </c>
      <c r="AQ35" s="1285">
        <f>N('R7業務（長+短）'!T23)-N(T35)</f>
        <v>0</v>
      </c>
      <c r="AR35" s="1285">
        <f>N('R7業務（長+短）'!U23)-N(U35)</f>
        <v>0</v>
      </c>
    </row>
    <row r="36">
      <c r="C36" s="1284" t="n">
        <v>0</v>
      </c>
      <c r="D36" s="1284" t="n">
        <v>0</v>
      </c>
      <c r="E36" s="1284" t="n">
        <v>0</v>
      </c>
      <c r="F36" s="1284" t="n">
        <v>0</v>
      </c>
      <c r="G36" s="1284" t="n">
        <v>371265</v>
      </c>
      <c r="H36" s="1284" t="n">
        <v>0</v>
      </c>
      <c r="I36" s="1284" t="n">
        <v>0</v>
      </c>
      <c r="J36" s="1284" t="n">
        <v>429656</v>
      </c>
      <c r="K36" s="1284" t="n">
        <v>0</v>
      </c>
      <c r="L36" s="1284" t="n">
        <v>426611</v>
      </c>
      <c r="M36" s="1284" t="n">
        <v>0</v>
      </c>
      <c r="N36" s="1284" t="n">
        <v>0</v>
      </c>
      <c r="O36" s="1284" t="n">
        <v>692131</v>
      </c>
      <c r="P36" s="1284" t="n">
        <v>1919663</v>
      </c>
      <c r="Q36" s="1284" t="n">
        <v>2525000</v>
      </c>
      <c r="R36" s="1284" t="n">
        <v>0</v>
      </c>
      <c r="S36" s="1284" t="n">
        <v>2525000</v>
      </c>
      <c r="T36" s="1284" t="n">
        <v>605337</v>
      </c>
      <c r="Z36" s="1285">
        <f>N('R7業務（長+短）'!C24)-N(C36)</f>
        <v>0</v>
      </c>
      <c r="AA36" s="1285">
        <f>N('R7業務（長+短）'!D24)-N(D36)</f>
        <v>0</v>
      </c>
      <c r="AB36" s="1285">
        <f>N('R7業務（長+短）'!E24)-N(E36)</f>
        <v>0</v>
      </c>
      <c r="AC36" s="1285">
        <f>N('R7業務（長+短）'!F24)-N(F36)</f>
        <v>0</v>
      </c>
      <c r="AD36" s="1285">
        <f>N('R7業務（長+短）'!G24)-N(G36)</f>
        <v>0</v>
      </c>
      <c r="AE36" s="1285">
        <f>N('R7業務（長+短）'!H24)-N(H36)</f>
        <v>0</v>
      </c>
      <c r="AF36" s="1285">
        <f>N('R7業務（長+短）'!I24)-N(I36)</f>
        <v>0</v>
      </c>
      <c r="AG36" s="1285">
        <f>N('R7業務（長+短）'!J24)-N(J36)</f>
        <v>0</v>
      </c>
      <c r="AH36" s="1285">
        <f>N('R7業務（長+短）'!K24)-N(K36)</f>
        <v>0</v>
      </c>
      <c r="AI36" s="1285">
        <f>N('R7業務（長+短）'!L24)-N(L36)</f>
        <v>0</v>
      </c>
      <c r="AJ36" s="1285">
        <f>N('R7業務（長+短）'!M24)-N(M36)</f>
        <v>0</v>
      </c>
      <c r="AK36" s="1285">
        <f>N('R7業務（長+短）'!N24)-N(N36)</f>
        <v>0</v>
      </c>
      <c r="AL36" s="1285">
        <f>N('R7業務（長+短）'!O24)-N(O36)</f>
        <v>0</v>
      </c>
      <c r="AM36" s="1285">
        <f>N('R7業務（長+短）'!P24)-N(P36)</f>
        <v>0</v>
      </c>
      <c r="AN36" s="1285">
        <f>N('R7業務（長+短）'!Q24)-N(Q36)</f>
        <v>0</v>
      </c>
      <c r="AO36" s="1285">
        <f>N('R7業務（長+短）'!R24)-N(R36)</f>
        <v>0</v>
      </c>
      <c r="AP36" s="1285">
        <f>N('R7業務（長+短）'!S24)-N(S36)</f>
        <v>0</v>
      </c>
      <c r="AQ36" s="1285">
        <f>N('R7業務（長+短）'!T24)-N(T36)</f>
        <v>0</v>
      </c>
      <c r="AR36" s="1285">
        <f>N('R7業務（長+短）'!U24)-N(U36)</f>
        <v>0</v>
      </c>
    </row>
    <row r="37">
      <c r="C37" s="1284" t="n">
        <v>0</v>
      </c>
      <c r="D37" s="1284" t="n">
        <v>0</v>
      </c>
      <c r="E37" s="1284" t="n">
        <v>0</v>
      </c>
      <c r="F37" s="1284" t="n">
        <v>0</v>
      </c>
      <c r="G37" s="1284" t="n">
        <v>0</v>
      </c>
      <c r="H37" s="1284" t="n">
        <v>0</v>
      </c>
      <c r="I37" s="1284" t="n">
        <v>0</v>
      </c>
      <c r="J37" s="1284" t="n">
        <v>0</v>
      </c>
      <c r="K37" s="1284" t="n">
        <v>0</v>
      </c>
      <c r="L37" s="1284" t="n">
        <v>0</v>
      </c>
      <c r="M37" s="1284" t="n">
        <v>0</v>
      </c>
      <c r="N37" s="1284" t="n">
        <v>0</v>
      </c>
      <c r="O37" s="1284" t="n">
        <v>0</v>
      </c>
      <c r="P37" s="1284" t="n">
        <v>0</v>
      </c>
      <c r="Q37" s="1284" t="n">
        <v>0</v>
      </c>
      <c r="R37" s="1284" t="n">
        <v>0</v>
      </c>
      <c r="S37" s="1284" t="n">
        <v>0</v>
      </c>
      <c r="T37" s="1284" t="n">
        <v>0</v>
      </c>
      <c r="Z37" s="1285">
        <f>N('R7業務（長+短）'!C25)-N(C37)</f>
        <v>0</v>
      </c>
      <c r="AA37" s="1285">
        <f>N('R7業務（長+短）'!D25)-N(D37)</f>
        <v>0</v>
      </c>
      <c r="AB37" s="1285">
        <f>N('R7業務（長+短）'!E25)-N(E37)</f>
        <v>0</v>
      </c>
      <c r="AC37" s="1285">
        <f>N('R7業務（長+短）'!F25)-N(F37)</f>
        <v>0</v>
      </c>
      <c r="AD37" s="1285">
        <f>N('R7業務（長+短）'!G25)-N(G37)</f>
        <v>0</v>
      </c>
      <c r="AE37" s="1285">
        <f>N('R7業務（長+短）'!H25)-N(H37)</f>
        <v>0</v>
      </c>
      <c r="AF37" s="1285">
        <f>N('R7業務（長+短）'!I25)-N(I37)</f>
        <v>0</v>
      </c>
      <c r="AG37" s="1285">
        <f>N('R7業務（長+短）'!J25)-N(J37)</f>
        <v>0</v>
      </c>
      <c r="AH37" s="1285">
        <f>N('R7業務（長+短）'!K25)-N(K37)</f>
        <v>0</v>
      </c>
      <c r="AI37" s="1285">
        <f>N('R7業務（長+短）'!L25)-N(L37)</f>
        <v>0</v>
      </c>
      <c r="AJ37" s="1285">
        <f>N('R7業務（長+短）'!M25)-N(M37)</f>
        <v>0</v>
      </c>
      <c r="AK37" s="1285">
        <f>N('R7業務（長+短）'!N25)-N(N37)</f>
        <v>0</v>
      </c>
      <c r="AL37" s="1285">
        <f>N('R7業務（長+短）'!O25)-N(O37)</f>
        <v>0</v>
      </c>
      <c r="AM37" s="1285">
        <f>N('R7業務（長+短）'!P25)-N(P37)</f>
        <v>0</v>
      </c>
      <c r="AN37" s="1285">
        <f>N('R7業務（長+短）'!Q25)-N(Q37)</f>
        <v>0</v>
      </c>
      <c r="AO37" s="1285">
        <f>N('R7業務（長+短）'!R25)-N(R37)</f>
        <v>0</v>
      </c>
      <c r="AP37" s="1285">
        <f>N('R7業務（長+短）'!S25)-N(S37)</f>
        <v>0</v>
      </c>
      <c r="AQ37" s="1285">
        <f>N('R7業務（長+短）'!T25)-N(T37)</f>
        <v>0</v>
      </c>
      <c r="AR37" s="1285">
        <f>N('R7業務（長+短）'!U25)-N(U37)</f>
        <v>0</v>
      </c>
    </row>
    <row r="38">
      <c r="C38" s="1284" t="n">
        <v>0</v>
      </c>
      <c r="D38" s="1284" t="n">
        <v>0</v>
      </c>
      <c r="E38" s="1284" t="n">
        <v>0</v>
      </c>
      <c r="F38" s="1284" t="n">
        <v>0</v>
      </c>
      <c r="G38" s="1284" t="n">
        <v>0</v>
      </c>
      <c r="H38" s="1284" t="n">
        <v>0</v>
      </c>
      <c r="I38" s="1284" t="n">
        <v>0</v>
      </c>
      <c r="J38" s="1284" t="n">
        <v>0</v>
      </c>
      <c r="K38" s="1284" t="n">
        <v>0</v>
      </c>
      <c r="L38" s="1284" t="n">
        <v>0</v>
      </c>
      <c r="M38" s="1284" t="n">
        <v>0</v>
      </c>
      <c r="N38" s="1284" t="n">
        <v>0</v>
      </c>
      <c r="O38" s="1284" t="n">
        <v>0</v>
      </c>
      <c r="P38" s="1284" t="n">
        <v>0</v>
      </c>
      <c r="Q38" s="1284" t="n">
        <v>0</v>
      </c>
      <c r="R38" s="1284" t="n">
        <v>0</v>
      </c>
      <c r="S38" s="1284" t="n">
        <v>0</v>
      </c>
      <c r="T38" s="1284" t="n">
        <v>0</v>
      </c>
      <c r="Z38" s="1285">
        <f>N('R7業務（長+短）'!C26)-N(C38)</f>
        <v>0</v>
      </c>
      <c r="AA38" s="1285">
        <f>N('R7業務（長+短）'!D26)-N(D38)</f>
        <v>0</v>
      </c>
      <c r="AB38" s="1285">
        <f>N('R7業務（長+短）'!E26)-N(E38)</f>
        <v>0</v>
      </c>
      <c r="AC38" s="1285">
        <f>N('R7業務（長+短）'!F26)-N(F38)</f>
        <v>0</v>
      </c>
      <c r="AD38" s="1285">
        <f>N('R7業務（長+短）'!G26)-N(G38)</f>
        <v>0</v>
      </c>
      <c r="AE38" s="1285">
        <f>N('R7業務（長+短）'!H26)-N(H38)</f>
        <v>0</v>
      </c>
      <c r="AF38" s="1285">
        <f>N('R7業務（長+短）'!I26)-N(I38)</f>
        <v>0</v>
      </c>
      <c r="AG38" s="1285">
        <f>N('R7業務（長+短）'!J26)-N(J38)</f>
        <v>0</v>
      </c>
      <c r="AH38" s="1285">
        <f>N('R7業務（長+短）'!K26)-N(K38)</f>
        <v>0</v>
      </c>
      <c r="AI38" s="1285">
        <f>N('R7業務（長+短）'!L26)-N(L38)</f>
        <v>0</v>
      </c>
      <c r="AJ38" s="1285">
        <f>N('R7業務（長+短）'!M26)-N(M38)</f>
        <v>0</v>
      </c>
      <c r="AK38" s="1285">
        <f>N('R7業務（長+短）'!N26)-N(N38)</f>
        <v>0</v>
      </c>
      <c r="AL38" s="1285">
        <f>N('R7業務（長+短）'!O26)-N(O38)</f>
        <v>0</v>
      </c>
      <c r="AM38" s="1285">
        <f>N('R7業務（長+短）'!P26)-N(P38)</f>
        <v>0</v>
      </c>
      <c r="AN38" s="1285">
        <f>N('R7業務（長+短）'!Q26)-N(Q38)</f>
        <v>0</v>
      </c>
      <c r="AO38" s="1285">
        <f>N('R7業務（長+短）'!R26)-N(R38)</f>
        <v>0</v>
      </c>
      <c r="AP38" s="1285">
        <f>N('R7業務（長+短）'!S26)-N(S38)</f>
        <v>0</v>
      </c>
      <c r="AQ38" s="1285">
        <f>N('R7業務（長+短）'!T26)-N(T38)</f>
        <v>0</v>
      </c>
      <c r="AR38" s="1285">
        <f>N('R7業務（長+短）'!U26)-N(U38)</f>
        <v>0</v>
      </c>
    </row>
    <row r="39">
      <c r="C39" s="1284" t="n">
        <v>706</v>
      </c>
      <c r="D39" s="1284" t="n">
        <v>706</v>
      </c>
      <c r="E39" s="1284" t="n">
        <v>706</v>
      </c>
      <c r="F39" s="1284" t="n">
        <v>706</v>
      </c>
      <c r="G39" s="1284" t="n">
        <v>706</v>
      </c>
      <c r="H39" s="1284" t="n">
        <v>706</v>
      </c>
      <c r="I39" s="1284" t="n">
        <v>811</v>
      </c>
      <c r="J39" s="1284" t="n">
        <v>811</v>
      </c>
      <c r="K39" s="1284" t="n">
        <v>811</v>
      </c>
      <c r="L39" s="1284" t="n">
        <v>1081</v>
      </c>
      <c r="M39" s="1284" t="n">
        <v>838</v>
      </c>
      <c r="N39" s="1284" t="n">
        <v>838</v>
      </c>
      <c r="O39" s="1284" t="n">
        <v>0</v>
      </c>
      <c r="P39" s="1284" t="n">
        <v>9426</v>
      </c>
      <c r="Q39" s="1284" t="n">
        <v>2820000</v>
      </c>
      <c r="R39" s="1284" t="n">
        <v>0</v>
      </c>
      <c r="S39" s="1284" t="n">
        <v>2820000</v>
      </c>
      <c r="T39" s="1284" t="n">
        <v>350407</v>
      </c>
      <c r="Z39" s="1285">
        <f>N('R7業務（長+短）'!C27)-N(C39)</f>
        <v>0</v>
      </c>
      <c r="AA39" s="1285">
        <f>N('R7業務（長+短）'!D27)-N(D39)</f>
        <v>0</v>
      </c>
      <c r="AB39" s="1285">
        <f>N('R7業務（長+短）'!E27)-N(E39)</f>
        <v>0</v>
      </c>
      <c r="AC39" s="1285">
        <f>N('R7業務（長+短）'!F27)-N(F39)</f>
        <v>0</v>
      </c>
      <c r="AD39" s="1285">
        <f>N('R7業務（長+短）'!G27)-N(G39)</f>
        <v>0</v>
      </c>
      <c r="AE39" s="1285">
        <f>N('R7業務（長+短）'!H27)-N(H39)</f>
        <v>0</v>
      </c>
      <c r="AF39" s="1285">
        <f>N('R7業務（長+短）'!I27)-N(I39)</f>
        <v>0</v>
      </c>
      <c r="AG39" s="1285">
        <f>N('R7業務（長+短）'!J27)-N(J39)</f>
        <v>0</v>
      </c>
      <c r="AH39" s="1285">
        <f>N('R7業務（長+短）'!K27)-N(K39)</f>
        <v>0</v>
      </c>
      <c r="AI39" s="1285">
        <f>N('R7業務（長+短）'!L27)-N(L39)</f>
        <v>0</v>
      </c>
      <c r="AJ39" s="1285">
        <f>N('R7業務（長+短）'!M27)-N(M39)</f>
        <v>0</v>
      </c>
      <c r="AK39" s="1285">
        <f>N('R7業務（長+短）'!N27)-N(N39)</f>
        <v>0</v>
      </c>
      <c r="AL39" s="1285">
        <f>N('R7業務（長+短）'!O27)-N(O39)</f>
        <v>0</v>
      </c>
      <c r="AM39" s="1285">
        <f>N('R7業務（長+短）'!P27)-N(P39)</f>
        <v>0</v>
      </c>
      <c r="AN39" s="1285">
        <f>N('R7業務（長+短）'!Q27)-N(Q39)</f>
        <v>0</v>
      </c>
      <c r="AO39" s="1285">
        <f>N('R7業務（長+短）'!R27)-N(R39)</f>
        <v>0</v>
      </c>
      <c r="AP39" s="1285">
        <f>N('R7業務（長+短）'!S27)-N(S39)</f>
        <v>0</v>
      </c>
      <c r="AQ39" s="1285">
        <f>N('R7業務（長+短）'!T27)-N(T39)</f>
        <v>0</v>
      </c>
      <c r="AR39" s="1285">
        <f>N('R7業務（長+短）'!U27)-N(U39)</f>
        <v>0</v>
      </c>
    </row>
    <row r="40">
      <c r="C40" s="1284" t="n">
        <v>0</v>
      </c>
      <c r="D40" s="1284" t="n">
        <v>0</v>
      </c>
      <c r="E40" s="1284" t="n">
        <v>0</v>
      </c>
      <c r="F40" s="1284" t="n">
        <v>0</v>
      </c>
      <c r="G40" s="1284" t="n">
        <v>0</v>
      </c>
      <c r="H40" s="1284" t="n">
        <v>0</v>
      </c>
      <c r="I40" s="1284" t="n">
        <v>0</v>
      </c>
      <c r="J40" s="1284" t="n">
        <v>0</v>
      </c>
      <c r="K40" s="1284" t="n">
        <v>0</v>
      </c>
      <c r="L40" s="1284" t="n">
        <v>0</v>
      </c>
      <c r="M40" s="1284" t="n">
        <v>0</v>
      </c>
      <c r="N40" s="1284" t="n">
        <v>0</v>
      </c>
      <c r="O40" s="1284" t="n">
        <v>0</v>
      </c>
      <c r="P40" s="1284" t="n">
        <v>0</v>
      </c>
      <c r="Z40" s="1285">
        <f>N('R7業務（長+短）'!C28)-N(C40)</f>
        <v>0</v>
      </c>
      <c r="AA40" s="1285">
        <f>N('R7業務（長+短）'!D28)-N(D40)</f>
        <v>0</v>
      </c>
      <c r="AB40" s="1285">
        <f>N('R7業務（長+短）'!E28)-N(E40)</f>
        <v>0</v>
      </c>
      <c r="AC40" s="1285">
        <f>N('R7業務（長+短）'!F28)-N(F40)</f>
        <v>0</v>
      </c>
      <c r="AD40" s="1285">
        <f>N('R7業務（長+短）'!G28)-N(G40)</f>
        <v>0</v>
      </c>
      <c r="AE40" s="1285">
        <f>N('R7業務（長+短）'!H28)-N(H40)</f>
        <v>0</v>
      </c>
      <c r="AF40" s="1285">
        <f>N('R7業務（長+短）'!I28)-N(I40)</f>
        <v>0</v>
      </c>
      <c r="AG40" s="1285">
        <f>N('R7業務（長+短）'!J28)-N(J40)</f>
        <v>0</v>
      </c>
      <c r="AH40" s="1285">
        <f>N('R7業務（長+短）'!K28)-N(K40)</f>
        <v>0</v>
      </c>
      <c r="AI40" s="1285">
        <f>N('R7業務（長+短）'!L28)-N(L40)</f>
        <v>0</v>
      </c>
      <c r="AJ40" s="1285">
        <f>N('R7業務（長+短）'!M28)-N(M40)</f>
        <v>0</v>
      </c>
      <c r="AK40" s="1285">
        <f>N('R7業務（長+短）'!N28)-N(N40)</f>
        <v>0</v>
      </c>
      <c r="AL40" s="1285">
        <f>N('R7業務（長+短）'!O28)-N(O40)</f>
        <v>0</v>
      </c>
      <c r="AM40" s="1285">
        <f>N('R7業務（長+短）'!P28)-N(P40)</f>
        <v>0</v>
      </c>
      <c r="AN40" s="1285">
        <f>N('R7業務（長+短）'!Q28)-N(Q40)</f>
        <v>0</v>
      </c>
      <c r="AO40" s="1285">
        <f>N('R7業務（長+短）'!R28)-N(R40)</f>
        <v>0</v>
      </c>
      <c r="AP40" s="1285">
        <f>N('R7業務（長+短）'!S28)-N(S40)</f>
        <v>0</v>
      </c>
      <c r="AQ40" s="1285">
        <f>N('R7業務（長+短）'!T28)-N(T40)</f>
        <v>0</v>
      </c>
      <c r="AR40" s="1285">
        <f>N('R7業務（長+短）'!U28)-N(U40)</f>
        <v>0</v>
      </c>
    </row>
    <row r="41">
      <c r="C41" s="1284" t="n">
        <v>59109</v>
      </c>
      <c r="D41" s="1284" t="n">
        <v>59109</v>
      </c>
      <c r="E41" s="1284" t="n">
        <v>135488</v>
      </c>
      <c r="F41" s="1284" t="n">
        <v>59109</v>
      </c>
      <c r="G41" s="1284" t="n">
        <v>59109</v>
      </c>
      <c r="H41" s="1284" t="n">
        <v>58737</v>
      </c>
      <c r="I41" s="1284" t="n">
        <v>62532</v>
      </c>
      <c r="J41" s="1284" t="n">
        <v>62532</v>
      </c>
      <c r="K41" s="1284" t="n">
        <v>127063</v>
      </c>
      <c r="L41" s="1284" t="n">
        <v>66611</v>
      </c>
      <c r="M41" s="1284" t="n">
        <v>62532</v>
      </c>
      <c r="N41" s="1284" t="n">
        <v>66334</v>
      </c>
      <c r="O41" s="1284" t="n">
        <v>0</v>
      </c>
      <c r="P41" s="1284" t="n">
        <v>878265</v>
      </c>
      <c r="Z41" s="1285">
        <f>N('R7業務（長+短）'!C29)-N(C41)</f>
        <v>0</v>
      </c>
      <c r="AA41" s="1285">
        <f>N('R7業務（長+短）'!D29)-N(D41)</f>
        <v>0</v>
      </c>
      <c r="AB41" s="1285">
        <f>N('R7業務（長+短）'!E29)-N(E41)</f>
        <v>0</v>
      </c>
      <c r="AC41" s="1285">
        <f>N('R7業務（長+短）'!F29)-N(F41)</f>
        <v>0</v>
      </c>
      <c r="AD41" s="1285">
        <f>N('R7業務（長+短）'!G29)-N(G41)</f>
        <v>0</v>
      </c>
      <c r="AE41" s="1285">
        <f>N('R7業務（長+短）'!H29)-N(H41)</f>
        <v>0</v>
      </c>
      <c r="AF41" s="1285">
        <f>N('R7業務（長+短）'!I29)-N(I41)</f>
        <v>0</v>
      </c>
      <c r="AG41" s="1285">
        <f>N('R7業務（長+短）'!J29)-N(J41)</f>
        <v>0</v>
      </c>
      <c r="AH41" s="1285">
        <f>N('R7業務（長+短）'!K29)-N(K41)</f>
        <v>0</v>
      </c>
      <c r="AI41" s="1285">
        <f>N('R7業務（長+短）'!L29)-N(L41)</f>
        <v>0</v>
      </c>
      <c r="AJ41" s="1285">
        <f>N('R7業務（長+短）'!M29)-N(M41)</f>
        <v>0</v>
      </c>
      <c r="AK41" s="1285">
        <f>N('R7業務（長+短）'!N29)-N(N41)</f>
        <v>0</v>
      </c>
      <c r="AL41" s="1285">
        <f>N('R7業務（長+短）'!O29)-N(O41)</f>
        <v>0</v>
      </c>
      <c r="AM41" s="1285">
        <f>N('R7業務（長+短）'!P29)-N(P41)</f>
        <v>0</v>
      </c>
      <c r="AN41" s="1285">
        <f>N('R7業務（長+短）'!Q29)-N(Q41)</f>
        <v>0</v>
      </c>
      <c r="AO41" s="1285">
        <f>N('R7業務（長+短）'!R29)-N(R41)</f>
        <v>0</v>
      </c>
      <c r="AP41" s="1285">
        <f>N('R7業務（長+短）'!S29)-N(S41)</f>
        <v>0</v>
      </c>
      <c r="AQ41" s="1285">
        <f>N('R7業務（長+短）'!T29)-N(T41)</f>
        <v>0</v>
      </c>
      <c r="AR41" s="1285">
        <f>N('R7業務（長+短）'!U29)-N(U41)</f>
        <v>0</v>
      </c>
    </row>
    <row r="42">
      <c r="C42" s="1284" t="n">
        <v>0</v>
      </c>
      <c r="D42" s="1284" t="n">
        <v>0</v>
      </c>
      <c r="E42" s="1284" t="n">
        <v>199710</v>
      </c>
      <c r="F42" s="1284" t="n">
        <v>99855</v>
      </c>
      <c r="G42" s="1284" t="n">
        <v>224817</v>
      </c>
      <c r="H42" s="1284" t="n">
        <v>99855</v>
      </c>
      <c r="I42" s="1284" t="n">
        <v>98904</v>
      </c>
      <c r="J42" s="1284" t="n">
        <v>0</v>
      </c>
      <c r="K42" s="1284" t="n">
        <v>97002</v>
      </c>
      <c r="L42" s="1284" t="n">
        <v>97002</v>
      </c>
      <c r="M42" s="1284" t="n">
        <v>197239</v>
      </c>
      <c r="N42" s="1284" t="n">
        <v>200279</v>
      </c>
      <c r="O42" s="1284" t="n">
        <v>87872</v>
      </c>
      <c r="P42" s="1284" t="n">
        <v>1402535</v>
      </c>
      <c r="Z42" s="1285">
        <f>N('R7業務（長+短）'!C30)-N(C42)</f>
        <v>0</v>
      </c>
      <c r="AA42" s="1285">
        <f>N('R7業務（長+短）'!D30)-N(D42)</f>
        <v>0</v>
      </c>
      <c r="AB42" s="1285">
        <f>N('R7業務（長+短）'!E30)-N(E42)</f>
        <v>0</v>
      </c>
      <c r="AC42" s="1285">
        <f>N('R7業務（長+短）'!F30)-N(F42)</f>
        <v>0</v>
      </c>
      <c r="AD42" s="1285">
        <f>N('R7業務（長+短）'!G30)-N(G42)</f>
        <v>0</v>
      </c>
      <c r="AE42" s="1285">
        <f>N('R7業務（長+短）'!H30)-N(H42)</f>
        <v>0</v>
      </c>
      <c r="AF42" s="1285">
        <f>N('R7業務（長+短）'!I30)-N(I42)</f>
        <v>0</v>
      </c>
      <c r="AG42" s="1285">
        <f>N('R7業務（長+短）'!J30)-N(J42)</f>
        <v>0</v>
      </c>
      <c r="AH42" s="1285">
        <f>N('R7業務（長+短）'!K30)-N(K42)</f>
        <v>0</v>
      </c>
      <c r="AI42" s="1285">
        <f>N('R7業務（長+短）'!L30)-N(L42)</f>
        <v>0</v>
      </c>
      <c r="AJ42" s="1285">
        <f>N('R7業務（長+短）'!M30)-N(M42)</f>
        <v>0</v>
      </c>
      <c r="AK42" s="1285">
        <f>N('R7業務（長+短）'!N30)-N(N42)</f>
        <v>0</v>
      </c>
      <c r="AL42" s="1285">
        <f>N('R7業務（長+短）'!O30)-N(O42)</f>
        <v>0</v>
      </c>
      <c r="AM42" s="1285">
        <f>N('R7業務（長+短）'!P30)-N(P42)</f>
        <v>0</v>
      </c>
      <c r="AN42" s="1285">
        <f>N('R7業務（長+短）'!Q30)-N(Q42)</f>
        <v>0</v>
      </c>
      <c r="AO42" s="1285">
        <f>N('R7業務（長+短）'!R30)-N(R42)</f>
        <v>0</v>
      </c>
      <c r="AP42" s="1285">
        <f>N('R7業務（長+短）'!S30)-N(S42)</f>
        <v>0</v>
      </c>
      <c r="AQ42" s="1285">
        <f>N('R7業務（長+短）'!T30)-N(T42)</f>
        <v>0</v>
      </c>
      <c r="AR42" s="1285">
        <f>N('R7業務（長+短）'!U30)-N(U42)</f>
        <v>0</v>
      </c>
    </row>
    <row r="43">
      <c r="C43" s="1284" t="n">
        <v>0</v>
      </c>
      <c r="D43" s="1284" t="n">
        <v>0</v>
      </c>
      <c r="E43" s="1284" t="n">
        <v>0</v>
      </c>
      <c r="F43" s="1284" t="n">
        <v>179367</v>
      </c>
      <c r="G43" s="1284" t="n">
        <v>0</v>
      </c>
      <c r="H43" s="1284" t="n">
        <v>0</v>
      </c>
      <c r="I43" s="1284" t="n">
        <v>0</v>
      </c>
      <c r="J43" s="1284" t="n">
        <v>0</v>
      </c>
      <c r="K43" s="1284" t="n">
        <v>0</v>
      </c>
      <c r="L43" s="1284" t="n">
        <v>0</v>
      </c>
      <c r="M43" s="1284" t="n">
        <v>0</v>
      </c>
      <c r="N43" s="1284" t="n">
        <v>0</v>
      </c>
      <c r="O43" s="1284" t="n">
        <v>0</v>
      </c>
      <c r="P43" s="1284" t="n">
        <v>179367</v>
      </c>
      <c r="Z43" s="1285">
        <f>N('R7業務（長+短）'!C31)-N(C43)</f>
        <v>0</v>
      </c>
      <c r="AA43" s="1285">
        <f>N('R7業務（長+短）'!D31)-N(D43)</f>
        <v>0</v>
      </c>
      <c r="AB43" s="1285">
        <f>N('R7業務（長+短）'!E31)-N(E43)</f>
        <v>0</v>
      </c>
      <c r="AC43" s="1285">
        <f>N('R7業務（長+短）'!F31)-N(F43)</f>
        <v>0</v>
      </c>
      <c r="AD43" s="1285">
        <f>N('R7業務（長+短）'!G31)-N(G43)</f>
        <v>0</v>
      </c>
      <c r="AE43" s="1285">
        <f>N('R7業務（長+短）'!H31)-N(H43)</f>
        <v>0</v>
      </c>
      <c r="AF43" s="1285">
        <f>N('R7業務（長+短）'!I31)-N(I43)</f>
        <v>0</v>
      </c>
      <c r="AG43" s="1285">
        <f>N('R7業務（長+短）'!J31)-N(J43)</f>
        <v>0</v>
      </c>
      <c r="AH43" s="1285">
        <f>N('R7業務（長+短）'!K31)-N(K43)</f>
        <v>0</v>
      </c>
      <c r="AI43" s="1285">
        <f>N('R7業務（長+短）'!L31)-N(L43)</f>
        <v>0</v>
      </c>
      <c r="AJ43" s="1285">
        <f>N('R7業務（長+短）'!M31)-N(M43)</f>
        <v>0</v>
      </c>
      <c r="AK43" s="1285">
        <f>N('R7業務（長+短）'!N31)-N(N43)</f>
        <v>0</v>
      </c>
      <c r="AL43" s="1285">
        <f>N('R7業務（長+短）'!O31)-N(O43)</f>
        <v>0</v>
      </c>
      <c r="AM43" s="1285">
        <f>N('R7業務（長+短）'!P31)-N(P43)</f>
        <v>0</v>
      </c>
      <c r="AN43" s="1285">
        <f>N('R7業務（長+短）'!Q31)-N(Q43)</f>
        <v>0</v>
      </c>
      <c r="AO43" s="1285">
        <f>N('R7業務（長+短）'!R31)-N(R43)</f>
        <v>0</v>
      </c>
      <c r="AP43" s="1285">
        <f>N('R7業務（長+短）'!S31)-N(S43)</f>
        <v>0</v>
      </c>
      <c r="AQ43" s="1285">
        <f>N('R7業務（長+短）'!T31)-N(T43)</f>
        <v>0</v>
      </c>
      <c r="AR43" s="1285">
        <f>N('R7業務（長+短）'!U31)-N(U43)</f>
        <v>0</v>
      </c>
    </row>
    <row r="44">
      <c r="C44" s="1284" t="n">
        <v>0</v>
      </c>
      <c r="D44" s="1284" t="n">
        <v>1300</v>
      </c>
      <c r="E44" s="1284" t="n">
        <v>0</v>
      </c>
      <c r="F44" s="1284" t="n">
        <v>0</v>
      </c>
      <c r="G44" s="1284" t="n">
        <v>0</v>
      </c>
      <c r="H44" s="1284" t="n">
        <v>0</v>
      </c>
      <c r="I44" s="1284" t="n">
        <v>0</v>
      </c>
      <c r="J44" s="1284" t="n">
        <v>0</v>
      </c>
      <c r="K44" s="1284" t="n">
        <v>0</v>
      </c>
      <c r="L44" s="1284" t="n">
        <v>0</v>
      </c>
      <c r="M44" s="1284" t="n">
        <v>0</v>
      </c>
      <c r="N44" s="1284" t="n">
        <v>0</v>
      </c>
      <c r="O44" s="1284" t="n">
        <v>0</v>
      </c>
      <c r="P44" s="1284" t="n">
        <v>1300</v>
      </c>
      <c r="Q44" s="1284" t="n">
        <v>2000</v>
      </c>
      <c r="R44" s="1284" t="n">
        <v>0</v>
      </c>
      <c r="S44" s="1284" t="n">
        <v>2000</v>
      </c>
      <c r="T44" s="1284" t="n">
        <v>700</v>
      </c>
      <c r="Z44" s="1285">
        <f>N('R7業務（長+短）'!C32)-N(C44)</f>
        <v>0</v>
      </c>
      <c r="AA44" s="1285">
        <f>N('R7業務（長+短）'!D32)-N(D44)</f>
        <v>0</v>
      </c>
      <c r="AB44" s="1285">
        <f>N('R7業務（長+短）'!E32)-N(E44)</f>
        <v>0</v>
      </c>
      <c r="AC44" s="1285">
        <f>N('R7業務（長+短）'!F32)-N(F44)</f>
        <v>0</v>
      </c>
      <c r="AD44" s="1285">
        <f>N('R7業務（長+短）'!G32)-N(G44)</f>
        <v>0</v>
      </c>
      <c r="AE44" s="1285">
        <f>N('R7業務（長+短）'!H32)-N(H44)</f>
        <v>0</v>
      </c>
      <c r="AF44" s="1285">
        <f>N('R7業務（長+短）'!I32)-N(I44)</f>
        <v>0</v>
      </c>
      <c r="AG44" s="1285">
        <f>N('R7業務（長+短）'!J32)-N(J44)</f>
        <v>0</v>
      </c>
      <c r="AH44" s="1285">
        <f>N('R7業務（長+短）'!K32)-N(K44)</f>
        <v>0</v>
      </c>
      <c r="AI44" s="1285">
        <f>N('R7業務（長+短）'!L32)-N(L44)</f>
        <v>0</v>
      </c>
      <c r="AJ44" s="1285">
        <f>N('R7業務（長+短）'!M32)-N(M44)</f>
        <v>0</v>
      </c>
      <c r="AK44" s="1285">
        <f>N('R7業務（長+短）'!N32)-N(N44)</f>
        <v>0</v>
      </c>
      <c r="AL44" s="1285">
        <f>N('R7業務（長+短）'!O32)-N(O44)</f>
        <v>0</v>
      </c>
      <c r="AM44" s="1285">
        <f>N('R7業務（長+短）'!P32)-N(P44)</f>
        <v>0</v>
      </c>
      <c r="AN44" s="1285">
        <f>N('R7業務（長+短）'!Q32)-N(Q44)</f>
        <v>0</v>
      </c>
      <c r="AO44" s="1285">
        <f>N('R7業務（長+短）'!R32)-N(R44)</f>
        <v>0</v>
      </c>
      <c r="AP44" s="1285">
        <f>N('R7業務（長+短）'!S32)-N(S44)</f>
        <v>0</v>
      </c>
      <c r="AQ44" s="1285">
        <f>N('R7業務（長+短）'!T32)-N(T44)</f>
        <v>0</v>
      </c>
      <c r="AR44" s="1285">
        <f>N('R7業務（長+短）'!U32)-N(U44)</f>
        <v>0</v>
      </c>
    </row>
    <row r="45">
      <c r="C45" s="1284" t="n">
        <v>59815</v>
      </c>
      <c r="D45" s="1284" t="n">
        <v>61115</v>
      </c>
      <c r="E45" s="1284" t="n">
        <v>335904</v>
      </c>
      <c r="F45" s="1284" t="n">
        <v>339037</v>
      </c>
      <c r="G45" s="1284" t="n">
        <v>284632</v>
      </c>
      <c r="H45" s="1284" t="n">
        <v>159298</v>
      </c>
      <c r="I45" s="1284" t="n">
        <v>162247</v>
      </c>
      <c r="J45" s="1284" t="n">
        <v>63343</v>
      </c>
      <c r="K45" s="1284" t="n">
        <v>224876</v>
      </c>
      <c r="L45" s="1284" t="n">
        <v>164694</v>
      </c>
      <c r="M45" s="1284" t="n">
        <v>260609</v>
      </c>
      <c r="N45" s="1284" t="n">
        <v>267451</v>
      </c>
      <c r="O45" s="1284" t="n">
        <v>87872</v>
      </c>
      <c r="P45" s="1284" t="n">
        <v>2470893</v>
      </c>
      <c r="Q45" s="1284" t="n">
        <v>2822000</v>
      </c>
      <c r="R45" s="1284" t="n">
        <v>0</v>
      </c>
      <c r="S45" s="1284" t="n">
        <v>2822000</v>
      </c>
      <c r="T45" s="1284" t="n">
        <v>351107</v>
      </c>
      <c r="Z45" s="1285">
        <f>N('R7業務（長+短）'!C33)-N(C45)</f>
        <v>0</v>
      </c>
      <c r="AA45" s="1285">
        <f>N('R7業務（長+短）'!D33)-N(D45)</f>
        <v>0</v>
      </c>
      <c r="AB45" s="1285">
        <f>N('R7業務（長+短）'!E33)-N(E45)</f>
        <v>0</v>
      </c>
      <c r="AC45" s="1285">
        <f>N('R7業務（長+短）'!F33)-N(F45)</f>
        <v>0</v>
      </c>
      <c r="AD45" s="1285">
        <f>N('R7業務（長+短）'!G33)-N(G45)</f>
        <v>0</v>
      </c>
      <c r="AE45" s="1285">
        <f>N('R7業務（長+短）'!H33)-N(H45)</f>
        <v>0</v>
      </c>
      <c r="AF45" s="1285">
        <f>N('R7業務（長+短）'!I33)-N(I45)</f>
        <v>0</v>
      </c>
      <c r="AG45" s="1285">
        <f>N('R7業務（長+短）'!J33)-N(J45)</f>
        <v>0</v>
      </c>
      <c r="AH45" s="1285">
        <f>N('R7業務（長+短）'!K33)-N(K45)</f>
        <v>0</v>
      </c>
      <c r="AI45" s="1285">
        <f>N('R7業務（長+短）'!L33)-N(L45)</f>
        <v>0</v>
      </c>
      <c r="AJ45" s="1285">
        <f>N('R7業務（長+短）'!M33)-N(M45)</f>
        <v>0</v>
      </c>
      <c r="AK45" s="1285">
        <f>N('R7業務（長+短）'!N33)-N(N45)</f>
        <v>0</v>
      </c>
      <c r="AL45" s="1285">
        <f>N('R7業務（長+短）'!O33)-N(O45)</f>
        <v>0</v>
      </c>
      <c r="AM45" s="1285">
        <f>N('R7業務（長+短）'!P33)-N(P45)</f>
        <v>0</v>
      </c>
      <c r="AN45" s="1285">
        <f>N('R7業務（長+短）'!Q33)-N(Q45)</f>
        <v>0</v>
      </c>
      <c r="AO45" s="1285">
        <f>N('R7業務（長+短）'!R33)-N(R45)</f>
        <v>0</v>
      </c>
      <c r="AP45" s="1285">
        <f>N('R7業務（長+短）'!S33)-N(S45)</f>
        <v>0</v>
      </c>
      <c r="AQ45" s="1285">
        <f>N('R7業務（長+短）'!T33)-N(T45)</f>
        <v>0</v>
      </c>
      <c r="AR45" s="1285">
        <f>N('R7業務（長+短）'!U33)-N(U45)</f>
        <v>0</v>
      </c>
    </row>
    <row r="46">
      <c r="C46" s="1284" t="n">
        <v>0</v>
      </c>
      <c r="D46" s="1284" t="n">
        <v>0</v>
      </c>
      <c r="E46" s="1284" t="n">
        <v>0</v>
      </c>
      <c r="F46" s="1284" t="n">
        <v>0</v>
      </c>
      <c r="G46" s="1284" t="n">
        <v>0</v>
      </c>
      <c r="H46" s="1284" t="n">
        <v>20439958</v>
      </c>
      <c r="I46" s="1284" t="n">
        <v>0</v>
      </c>
      <c r="J46" s="1284" t="n">
        <v>0</v>
      </c>
      <c r="K46" s="1284" t="n">
        <v>0</v>
      </c>
      <c r="L46" s="1284" t="n">
        <v>0</v>
      </c>
      <c r="M46" s="1284" t="n">
        <v>0</v>
      </c>
      <c r="N46" s="1284" t="n">
        <v>0</v>
      </c>
      <c r="O46" s="1284" t="n">
        <v>0</v>
      </c>
      <c r="P46" s="1284" t="n">
        <v>20439958</v>
      </c>
      <c r="Q46" s="1284" t="n">
        <v>20921000</v>
      </c>
      <c r="R46" s="1284" t="n">
        <v>0</v>
      </c>
      <c r="S46" s="1284" t="n">
        <v>20921000</v>
      </c>
      <c r="T46" s="1284" t="n">
        <v>481042</v>
      </c>
      <c r="Z46" s="1285">
        <f>N('R7業務（長+短）'!C34)-N(C46)</f>
        <v>0</v>
      </c>
      <c r="AA46" s="1285">
        <f>N('R7業務（長+短）'!D34)-N(D46)</f>
        <v>0</v>
      </c>
      <c r="AB46" s="1285">
        <f>N('R7業務（長+短）'!E34)-N(E46)</f>
        <v>0</v>
      </c>
      <c r="AC46" s="1285">
        <f>N('R7業務（長+短）'!F34)-N(F46)</f>
        <v>0</v>
      </c>
      <c r="AD46" s="1285">
        <f>N('R7業務（長+短）'!G34)-N(G46)</f>
        <v>0</v>
      </c>
      <c r="AE46" s="1285">
        <f>N('R7業務（長+短）'!H34)-N(H46)</f>
        <v>0</v>
      </c>
      <c r="AF46" s="1285">
        <f>N('R7業務（長+短）'!I34)-N(I46)</f>
        <v>0</v>
      </c>
      <c r="AG46" s="1285">
        <f>N('R7業務（長+短）'!J34)-N(J46)</f>
        <v>0</v>
      </c>
      <c r="AH46" s="1285">
        <f>N('R7業務（長+短）'!K34)-N(K46)</f>
        <v>0</v>
      </c>
      <c r="AI46" s="1285">
        <f>N('R7業務（長+短）'!L34)-N(L46)</f>
        <v>0</v>
      </c>
      <c r="AJ46" s="1285">
        <f>N('R7業務（長+短）'!M34)-N(M46)</f>
        <v>0</v>
      </c>
      <c r="AK46" s="1285">
        <f>N('R7業務（長+短）'!N34)-N(N46)</f>
        <v>0</v>
      </c>
      <c r="AL46" s="1285">
        <f>N('R7業務（長+短）'!O34)-N(O46)</f>
        <v>0</v>
      </c>
      <c r="AM46" s="1285">
        <f>N('R7業務（長+短）'!P34)-N(P46)</f>
        <v>0</v>
      </c>
      <c r="AN46" s="1285">
        <f>N('R7業務（長+短）'!Q34)-N(Q46)</f>
        <v>0</v>
      </c>
      <c r="AO46" s="1285">
        <f>N('R7業務（長+短）'!R34)-N(R46)</f>
        <v>0</v>
      </c>
      <c r="AP46" s="1285">
        <f>N('R7業務（長+短）'!S34)-N(S46)</f>
        <v>0</v>
      </c>
      <c r="AQ46" s="1285">
        <f>N('R7業務（長+短）'!T34)-N(T46)</f>
        <v>0</v>
      </c>
      <c r="AR46" s="1285">
        <f>N('R7業務（長+短）'!U34)-N(U46)</f>
        <v>0</v>
      </c>
    </row>
    <row r="47">
      <c r="C47" s="1284" t="n">
        <v>0</v>
      </c>
      <c r="D47" s="1284" t="n">
        <v>5366000</v>
      </c>
      <c r="E47" s="1284" t="n">
        <v>5366000</v>
      </c>
      <c r="F47" s="1284" t="n">
        <v>5366000</v>
      </c>
      <c r="G47" s="1284" t="n">
        <v>5366000</v>
      </c>
      <c r="H47" s="1284" t="n">
        <v>5366000</v>
      </c>
      <c r="I47" s="1284" t="n">
        <v>4513000</v>
      </c>
      <c r="J47" s="1284" t="n">
        <v>4513000</v>
      </c>
      <c r="K47" s="1284" t="n">
        <v>4513000</v>
      </c>
      <c r="L47" s="1284" t="n">
        <v>4513000</v>
      </c>
      <c r="M47" s="1284" t="n">
        <v>4513000</v>
      </c>
      <c r="N47" s="1284" t="n">
        <v>9023000</v>
      </c>
      <c r="O47" s="1284" t="n">
        <v>0</v>
      </c>
      <c r="P47" s="1284" t="n">
        <v>58418000</v>
      </c>
      <c r="Q47" s="1284" t="n">
        <v>64386000</v>
      </c>
      <c r="R47" s="1284" t="n">
        <v>0</v>
      </c>
      <c r="S47" s="1284" t="n">
        <v>64386000</v>
      </c>
      <c r="T47" s="1284" t="n">
        <v>5968000</v>
      </c>
      <c r="Z47" s="1285">
        <f>N('R7業務（長+短）'!C35)-N(C47)</f>
        <v>0</v>
      </c>
      <c r="AA47" s="1285">
        <f>N('R7業務（長+短）'!D35)-N(D47)</f>
        <v>0</v>
      </c>
      <c r="AB47" s="1285">
        <f>N('R7業務（長+短）'!E35)-N(E47)</f>
        <v>0</v>
      </c>
      <c r="AC47" s="1285">
        <f>N('R7業務（長+短）'!F35)-N(F47)</f>
        <v>0</v>
      </c>
      <c r="AD47" s="1285">
        <f>N('R7業務（長+短）'!G35)-N(G47)</f>
        <v>0</v>
      </c>
      <c r="AE47" s="1285">
        <f>N('R7業務（長+短）'!H35)-N(H47)</f>
        <v>0</v>
      </c>
      <c r="AF47" s="1285">
        <f>N('R7業務（長+短）'!I35)-N(I47)</f>
        <v>0</v>
      </c>
      <c r="AG47" s="1285">
        <f>N('R7業務（長+短）'!J35)-N(J47)</f>
        <v>0</v>
      </c>
      <c r="AH47" s="1285">
        <f>N('R7業務（長+短）'!K35)-N(K47)</f>
        <v>0</v>
      </c>
      <c r="AI47" s="1285">
        <f>N('R7業務（長+短）'!L35)-N(L47)</f>
        <v>0</v>
      </c>
      <c r="AJ47" s="1285">
        <f>N('R7業務（長+短）'!M35)-N(M47)</f>
        <v>0</v>
      </c>
      <c r="AK47" s="1285">
        <f>N('R7業務（長+短）'!N35)-N(N47)</f>
        <v>0</v>
      </c>
      <c r="AL47" s="1285">
        <f>N('R7業務（長+短）'!O35)-N(O47)</f>
        <v>0</v>
      </c>
      <c r="AM47" s="1285">
        <f>N('R7業務（長+短）'!P35)-N(P47)</f>
        <v>0</v>
      </c>
      <c r="AN47" s="1285">
        <f>N('R7業務（長+短）'!Q35)-N(Q47)</f>
        <v>0</v>
      </c>
      <c r="AO47" s="1285">
        <f>N('R7業務（長+短）'!R35)-N(R47)</f>
        <v>0</v>
      </c>
      <c r="AP47" s="1285">
        <f>N('R7業務（長+短）'!S35)-N(S47)</f>
        <v>0</v>
      </c>
      <c r="AQ47" s="1285">
        <f>N('R7業務（長+短）'!T35)-N(T47)</f>
        <v>0</v>
      </c>
      <c r="AR47" s="1285">
        <f>N('R7業務（長+短）'!U35)-N(U47)</f>
        <v>0</v>
      </c>
    </row>
    <row r="48">
      <c r="C48" s="1284" t="n">
        <v>0</v>
      </c>
      <c r="D48" s="1284" t="n">
        <v>0</v>
      </c>
      <c r="E48" s="1284" t="n">
        <v>0</v>
      </c>
      <c r="F48" s="1284" t="n">
        <v>0</v>
      </c>
      <c r="G48" s="1284" t="n">
        <v>0</v>
      </c>
      <c r="H48" s="1284" t="n">
        <v>0</v>
      </c>
      <c r="I48" s="1284" t="n">
        <v>0</v>
      </c>
      <c r="J48" s="1284" t="n">
        <v>0</v>
      </c>
      <c r="K48" s="1284" t="n">
        <v>0</v>
      </c>
      <c r="L48" s="1284" t="n">
        <v>0</v>
      </c>
      <c r="M48" s="1284" t="n">
        <v>0</v>
      </c>
      <c r="N48" s="1284" t="n">
        <v>0</v>
      </c>
      <c r="O48" s="1284" t="n">
        <v>0</v>
      </c>
      <c r="P48" s="1284" t="n">
        <v>0</v>
      </c>
      <c r="Q48" s="1284" t="n">
        <v>0</v>
      </c>
      <c r="R48" s="1284" t="n">
        <v>0</v>
      </c>
      <c r="S48" s="1284" t="n">
        <v>0</v>
      </c>
      <c r="T48" s="1284" t="n">
        <v>0</v>
      </c>
      <c r="Z48" s="1285">
        <f>N('R7業務（長+短）'!C36)-N(C48)</f>
        <v>0</v>
      </c>
      <c r="AA48" s="1285">
        <f>N('R7業務（長+短）'!D36)-N(D48)</f>
        <v>0</v>
      </c>
      <c r="AB48" s="1285">
        <f>N('R7業務（長+短）'!E36)-N(E48)</f>
        <v>0</v>
      </c>
      <c r="AC48" s="1285">
        <f>N('R7業務（長+短）'!F36)-N(F48)</f>
        <v>0</v>
      </c>
      <c r="AD48" s="1285">
        <f>N('R7業務（長+短）'!G36)-N(G48)</f>
        <v>0</v>
      </c>
      <c r="AE48" s="1285">
        <f>N('R7業務（長+短）'!H36)-N(H48)</f>
        <v>0</v>
      </c>
      <c r="AF48" s="1285">
        <f>N('R7業務（長+短）'!I36)-N(I48)</f>
        <v>0</v>
      </c>
      <c r="AG48" s="1285">
        <f>N('R7業務（長+短）'!J36)-N(J48)</f>
        <v>0</v>
      </c>
      <c r="AH48" s="1285">
        <f>N('R7業務（長+短）'!K36)-N(K48)</f>
        <v>0</v>
      </c>
      <c r="AI48" s="1285">
        <f>N('R7業務（長+短）'!L36)-N(L48)</f>
        <v>0</v>
      </c>
      <c r="AJ48" s="1285">
        <f>N('R7業務（長+短）'!M36)-N(M48)</f>
        <v>0</v>
      </c>
      <c r="AK48" s="1285">
        <f>N('R7業務（長+短）'!N36)-N(N48)</f>
        <v>0</v>
      </c>
      <c r="AL48" s="1285">
        <f>N('R7業務（長+短）'!O36)-N(O48)</f>
        <v>0</v>
      </c>
      <c r="AM48" s="1285">
        <f>N('R7業務（長+短）'!P36)-N(P48)</f>
        <v>0</v>
      </c>
      <c r="AN48" s="1285">
        <f>N('R7業務（長+短）'!Q36)-N(Q48)</f>
        <v>0</v>
      </c>
      <c r="AO48" s="1285">
        <f>N('R7業務（長+短）'!R36)-N(R48)</f>
        <v>0</v>
      </c>
      <c r="AP48" s="1285">
        <f>N('R7業務（長+短）'!S36)-N(S48)</f>
        <v>0</v>
      </c>
      <c r="AQ48" s="1285">
        <f>N('R7業務（長+短）'!T36)-N(T48)</f>
        <v>0</v>
      </c>
      <c r="AR48" s="1285">
        <f>N('R7業務（長+短）'!U36)-N(U48)</f>
        <v>0</v>
      </c>
    </row>
    <row r="49">
      <c r="C49" s="1284" t="n">
        <v>0</v>
      </c>
      <c r="D49" s="1284" t="n">
        <v>0</v>
      </c>
      <c r="E49" s="1284" t="n">
        <v>0</v>
      </c>
      <c r="F49" s="1284" t="n">
        <v>0</v>
      </c>
      <c r="G49" s="1284" t="n">
        <v>0</v>
      </c>
      <c r="H49" s="1284" t="n">
        <v>0</v>
      </c>
      <c r="I49" s="1284" t="n">
        <v>0</v>
      </c>
      <c r="J49" s="1284" t="n">
        <v>0</v>
      </c>
      <c r="K49" s="1284" t="n">
        <v>0</v>
      </c>
      <c r="L49" s="1284" t="n">
        <v>0</v>
      </c>
      <c r="M49" s="1284" t="n">
        <v>0</v>
      </c>
      <c r="N49" s="1284" t="n">
        <v>0</v>
      </c>
      <c r="O49" s="1284" t="n">
        <v>176556</v>
      </c>
      <c r="P49" s="1284" t="n">
        <v>176556</v>
      </c>
      <c r="Q49" s="1284" t="n">
        <v>172000</v>
      </c>
      <c r="R49" s="1284" t="n">
        <v>0</v>
      </c>
      <c r="S49" s="1284" t="n">
        <v>172000</v>
      </c>
      <c r="T49" s="1284" t="n">
        <v>-4556</v>
      </c>
      <c r="Z49" s="1285">
        <f>N('R7業務（長+短）'!C37)-N(C49)</f>
        <v>0</v>
      </c>
      <c r="AA49" s="1285">
        <f>N('R7業務（長+短）'!D37)-N(D49)</f>
        <v>0</v>
      </c>
      <c r="AB49" s="1285">
        <f>N('R7業務（長+短）'!E37)-N(E49)</f>
        <v>0</v>
      </c>
      <c r="AC49" s="1285">
        <f>N('R7業務（長+短）'!F37)-N(F49)</f>
        <v>0</v>
      </c>
      <c r="AD49" s="1285">
        <f>N('R7業務（長+短）'!G37)-N(G49)</f>
        <v>0</v>
      </c>
      <c r="AE49" s="1285">
        <f>N('R7業務（長+短）'!H37)-N(H49)</f>
        <v>0</v>
      </c>
      <c r="AF49" s="1285">
        <f>N('R7業務（長+短）'!I37)-N(I49)</f>
        <v>0</v>
      </c>
      <c r="AG49" s="1285">
        <f>N('R7業務（長+短）'!J37)-N(J49)</f>
        <v>0</v>
      </c>
      <c r="AH49" s="1285">
        <f>N('R7業務（長+短）'!K37)-N(K49)</f>
        <v>0</v>
      </c>
      <c r="AI49" s="1285">
        <f>N('R7業務（長+短）'!L37)-N(L49)</f>
        <v>0</v>
      </c>
      <c r="AJ49" s="1285">
        <f>N('R7業務（長+短）'!M37)-N(M49)</f>
        <v>0</v>
      </c>
      <c r="AK49" s="1285">
        <f>N('R7業務（長+短）'!N37)-N(N49)</f>
        <v>0</v>
      </c>
      <c r="AL49" s="1285">
        <f>N('R7業務（長+短）'!O37)-N(O49)</f>
        <v>0</v>
      </c>
      <c r="AM49" s="1285">
        <f>N('R7業務（長+短）'!P37)-N(P49)</f>
        <v>0</v>
      </c>
      <c r="AN49" s="1285">
        <f>N('R7業務（長+短）'!Q37)-N(Q49)</f>
        <v>0</v>
      </c>
      <c r="AO49" s="1285">
        <f>N('R7業務（長+短）'!R37)-N(R49)</f>
        <v>0</v>
      </c>
      <c r="AP49" s="1285">
        <f>N('R7業務（長+短）'!S37)-N(S49)</f>
        <v>0</v>
      </c>
      <c r="AQ49" s="1285">
        <f>N('R7業務（長+短）'!T37)-N(T49)</f>
        <v>0</v>
      </c>
      <c r="AR49" s="1285">
        <f>N('R7業務（長+短）'!U37)-N(U49)</f>
        <v>0</v>
      </c>
    </row>
    <row r="50">
      <c r="C50" s="1284" t="n">
        <v>946670</v>
      </c>
      <c r="D50" s="1284" t="n">
        <v>10106294</v>
      </c>
      <c r="E50" s="1284" t="n">
        <v>9445085</v>
      </c>
      <c r="F50" s="1284" t="n">
        <v>9644250</v>
      </c>
      <c r="G50" s="1284" t="n">
        <v>9977087</v>
      </c>
      <c r="H50" s="1284" t="n">
        <v>30634243</v>
      </c>
      <c r="I50" s="1284" t="n">
        <v>8052569</v>
      </c>
      <c r="J50" s="1284" t="n">
        <v>9159269</v>
      </c>
      <c r="K50" s="1284" t="n">
        <v>11171849</v>
      </c>
      <c r="L50" s="1284" t="n">
        <v>8792225</v>
      </c>
      <c r="M50" s="1284" t="n">
        <v>8293229</v>
      </c>
      <c r="N50" s="1284" t="n">
        <v>12834286</v>
      </c>
      <c r="O50" s="1284" t="n">
        <v>3988099</v>
      </c>
      <c r="P50" s="1284" t="n">
        <v>133045155</v>
      </c>
      <c r="Q50" s="1284" t="n">
        <v>146296000</v>
      </c>
      <c r="R50" s="1284" t="n">
        <v>0</v>
      </c>
      <c r="S50" s="1284" t="n">
        <v>146296000</v>
      </c>
      <c r="T50" s="1284" t="n">
        <v>13250845</v>
      </c>
      <c r="U50" s="1284" t="n">
        <v>7282845</v>
      </c>
      <c r="Z50" s="1285">
        <f>N('R7業務（長+短）'!C38)-N(C50)</f>
        <v>0</v>
      </c>
      <c r="AA50" s="1285">
        <f>N('R7業務（長+短）'!D38)-N(D50)</f>
        <v>0</v>
      </c>
      <c r="AB50" s="1285">
        <f>N('R7業務（長+短）'!E38)-N(E50)</f>
        <v>0</v>
      </c>
      <c r="AC50" s="1285">
        <f>N('R7業務（長+短）'!F38)-N(F50)</f>
        <v>0</v>
      </c>
      <c r="AD50" s="1285">
        <f>N('R7業務（長+短）'!G38)-N(G50)</f>
        <v>0</v>
      </c>
      <c r="AE50" s="1285">
        <f>N('R7業務（長+短）'!H38)-N(H50)</f>
        <v>0</v>
      </c>
      <c r="AF50" s="1285">
        <f>N('R7業務（長+短）'!I38)-N(I50)</f>
        <v>0</v>
      </c>
      <c r="AG50" s="1285">
        <f>N('R7業務（長+短）'!J38)-N(J50)</f>
        <v>0</v>
      </c>
      <c r="AH50" s="1285">
        <f>N('R7業務（長+短）'!K38)-N(K50)</f>
        <v>0</v>
      </c>
      <c r="AI50" s="1285">
        <f>N('R7業務（長+短）'!L38)-N(L50)</f>
        <v>0</v>
      </c>
      <c r="AJ50" s="1285">
        <f>N('R7業務（長+短）'!M38)-N(M50)</f>
        <v>0</v>
      </c>
      <c r="AK50" s="1285">
        <f>N('R7業務（長+短）'!N38)-N(N50)</f>
        <v>0</v>
      </c>
      <c r="AL50" s="1285">
        <f>N('R7業務（長+短）'!O38)-N(O50)</f>
        <v>0</v>
      </c>
      <c r="AM50" s="1285">
        <f>N('R7業務（長+短）'!P38)-N(P50)</f>
        <v>0</v>
      </c>
      <c r="AN50" s="1285">
        <f>N('R7業務（長+短）'!Q38)-N(Q50)</f>
        <v>0</v>
      </c>
      <c r="AO50" s="1285">
        <f>N('R7業務（長+短）'!R38)-N(R50)</f>
        <v>0</v>
      </c>
      <c r="AP50" s="1285">
        <f>N('R7業務（長+短）'!S38)-N(S50)</f>
        <v>0</v>
      </c>
      <c r="AQ50" s="1285">
        <f>N('R7業務（長+短）'!T38)-N(T50)</f>
        <v>0</v>
      </c>
      <c r="AR50" s="1285">
        <f>N('R7業務（長+短）'!U38)-N(U50)</f>
        <v>0</v>
      </c>
    </row>
    <row r="51">
      <c r="Z51" s="1285">
        <f>N('R7業務（長+短）'!C39)-N(C51)</f>
        <v>0</v>
      </c>
      <c r="AA51" s="1285">
        <f>N('R7業務（長+短）'!D39)-N(D51)</f>
        <v>0</v>
      </c>
      <c r="AB51" s="1285">
        <f>N('R7業務（長+短）'!E39)-N(E51)</f>
        <v>0</v>
      </c>
      <c r="AC51" s="1285">
        <f>N('R7業務（長+短）'!F39)-N(F51)</f>
        <v>0</v>
      </c>
      <c r="AD51" s="1285">
        <f>N('R7業務（長+短）'!G39)-N(G51)</f>
        <v>0</v>
      </c>
      <c r="AE51" s="1285">
        <f>N('R7業務（長+短）'!H39)-N(H51)</f>
        <v>0</v>
      </c>
      <c r="AF51" s="1285">
        <f>N('R7業務（長+短）'!I39)-N(I51)</f>
        <v>0</v>
      </c>
      <c r="AG51" s="1285">
        <f>N('R7業務（長+短）'!J39)-N(J51)</f>
        <v>0</v>
      </c>
      <c r="AH51" s="1285">
        <f>N('R7業務（長+短）'!K39)-N(K51)</f>
        <v>0</v>
      </c>
      <c r="AI51" s="1285">
        <f>N('R7業務（長+短）'!L39)-N(L51)</f>
        <v>0</v>
      </c>
      <c r="AJ51" s="1285">
        <f>N('R7業務（長+短）'!M39)-N(M51)</f>
        <v>0</v>
      </c>
      <c r="AK51" s="1285">
        <f>N('R7業務（長+短）'!N39)-N(N51)</f>
        <v>0</v>
      </c>
      <c r="AL51" s="1285">
        <f>N('R7業務（長+短）'!O39)-N(O51)</f>
        <v>0</v>
      </c>
      <c r="AM51" s="1285">
        <f>N('R7業務（長+短）'!P39)-N(P51)</f>
        <v>0</v>
      </c>
      <c r="AN51" s="1285">
        <f>N('R7業務（長+短）'!Q39)-N(Q51)</f>
        <v>0</v>
      </c>
      <c r="AO51" s="1285">
        <f>N('R7業務（長+短）'!R39)-N(R51)</f>
        <v>0</v>
      </c>
      <c r="AP51" s="1285">
        <f>N('R7業務（長+短）'!S39)-N(S51)</f>
        <v>0</v>
      </c>
      <c r="AQ51" s="1285">
        <f>N('R7業務（長+短）'!T39)-N(T51)</f>
        <v>0</v>
      </c>
      <c r="AR51" s="1285">
        <f>N('R7業務（長+短）'!U39)-N(U51)</f>
        <v>0</v>
      </c>
    </row>
    <row r="52">
      <c r="Z52" s="1285">
        <f>N('R7業務（長+短）'!C40)-N(C52)</f>
        <v>0</v>
      </c>
      <c r="AA52" s="1285">
        <f>N('R7業務（長+短）'!D40)-N(D52)</f>
        <v>0</v>
      </c>
      <c r="AB52" s="1285">
        <f>N('R7業務（長+短）'!E40)-N(E52)</f>
        <v>0</v>
      </c>
      <c r="AC52" s="1285">
        <f>N('R7業務（長+短）'!F40)-N(F52)</f>
        <v>0</v>
      </c>
      <c r="AD52" s="1285">
        <f>N('R7業務（長+短）'!G40)-N(G52)</f>
        <v>0</v>
      </c>
      <c r="AE52" s="1285">
        <f>N('R7業務（長+短）'!H40)-N(H52)</f>
        <v>0</v>
      </c>
      <c r="AF52" s="1285">
        <f>N('R7業務（長+短）'!I40)-N(I52)</f>
        <v>0</v>
      </c>
      <c r="AG52" s="1285">
        <f>N('R7業務（長+短）'!J40)-N(J52)</f>
        <v>0</v>
      </c>
      <c r="AH52" s="1285">
        <f>N('R7業務（長+短）'!K40)-N(K52)</f>
        <v>0</v>
      </c>
      <c r="AI52" s="1285">
        <f>N('R7業務（長+短）'!L40)-N(L52)</f>
        <v>0</v>
      </c>
      <c r="AJ52" s="1285">
        <f>N('R7業務（長+短）'!M40)-N(M52)</f>
        <v>0</v>
      </c>
      <c r="AK52" s="1285">
        <f>N('R7業務（長+短）'!N40)-N(N52)</f>
        <v>0</v>
      </c>
      <c r="AL52" s="1285">
        <f>N('R7業務（長+短）'!O40)-N(O52)</f>
        <v>0</v>
      </c>
      <c r="AM52" s="1285">
        <f>N('R7業務（長+短）'!P40)-N(P52)</f>
        <v>0</v>
      </c>
      <c r="AN52" s="1285">
        <f>N('R7業務（長+短）'!Q40)-N(Q52)</f>
        <v>0</v>
      </c>
      <c r="AO52" s="1285">
        <f>N('R7業務（長+短）'!R40)-N(R52)</f>
        <v>0</v>
      </c>
      <c r="AP52" s="1285">
        <f>N('R7業務（長+短）'!S40)-N(S52)</f>
        <v>0</v>
      </c>
      <c r="AQ52" s="1285">
        <f>N('R7業務（長+短）'!T40)-N(T52)</f>
        <v>0</v>
      </c>
      <c r="AR52" s="1285">
        <f>N('R7業務（長+短）'!U40)-N(U52)</f>
        <v>0</v>
      </c>
    </row>
    <row r="53">
      <c r="C53" s="1284" t="n">
        <v>6781000</v>
      </c>
      <c r="D53" s="1284" t="n">
        <v>6663000</v>
      </c>
      <c r="E53" s="1284" t="n">
        <v>7975000</v>
      </c>
      <c r="F53" s="1284" t="n">
        <v>10548000</v>
      </c>
      <c r="G53" s="1284" t="n">
        <v>6664000</v>
      </c>
      <c r="H53" s="1284" t="n">
        <v>17307000</v>
      </c>
      <c r="I53" s="1284" t="n">
        <v>6990000</v>
      </c>
      <c r="J53" s="1284" t="n">
        <v>6741000</v>
      </c>
      <c r="K53" s="1284" t="n">
        <v>7407000</v>
      </c>
      <c r="L53" s="1284" t="n">
        <v>7073000</v>
      </c>
      <c r="M53" s="1284" t="n">
        <v>6722000</v>
      </c>
      <c r="N53" s="1284" t="n">
        <v>8116000</v>
      </c>
      <c r="O53" s="1284" t="n">
        <v>2075480</v>
      </c>
      <c r="P53" s="1284" t="n">
        <v>101062480</v>
      </c>
      <c r="Q53" s="1284" t="n">
        <v>94968000</v>
      </c>
      <c r="R53" s="1284" t="n">
        <v>-11744404</v>
      </c>
      <c r="S53" s="1284" t="n">
        <v>31002076</v>
      </c>
      <c r="Z53" s="1285">
        <f>N('R7業務（長+短）'!C41)-N(C53)</f>
        <v>0</v>
      </c>
      <c r="AA53" s="1285">
        <f>N('R7業務（長+短）'!D41)-N(D53)</f>
        <v>0</v>
      </c>
      <c r="AB53" s="1285">
        <f>N('R7業務（長+短）'!E41)-N(E53)</f>
        <v>0</v>
      </c>
      <c r="AC53" s="1285">
        <f>N('R7業務（長+短）'!F41)-N(F53)</f>
        <v>0</v>
      </c>
      <c r="AD53" s="1285">
        <f>N('R7業務（長+短）'!G41)-N(G53)</f>
        <v>0</v>
      </c>
      <c r="AE53" s="1285">
        <f>N('R7業務（長+短）'!H41)-N(H53)</f>
        <v>0</v>
      </c>
      <c r="AF53" s="1285">
        <f>N('R7業務（長+短）'!I41)-N(I53)</f>
        <v>0</v>
      </c>
      <c r="AG53" s="1285">
        <f>N('R7業務（長+短）'!J41)-N(J53)</f>
        <v>0</v>
      </c>
      <c r="AH53" s="1285">
        <f>N('R7業務（長+短）'!K41)-N(K53)</f>
        <v>0</v>
      </c>
      <c r="AI53" s="1285">
        <f>N('R7業務（長+短）'!L41)-N(L53)</f>
        <v>0</v>
      </c>
      <c r="AJ53" s="1285">
        <f>N('R7業務（長+短）'!M41)-N(M53)</f>
        <v>0</v>
      </c>
      <c r="AK53" s="1285">
        <f>N('R7業務（長+短）'!N41)-N(N53)</f>
        <v>0</v>
      </c>
      <c r="AL53" s="1285">
        <f>N('R7業務（長+短）'!O41)-N(O53)</f>
        <v>0</v>
      </c>
      <c r="AM53" s="1285">
        <f>N('R7業務（長+短）'!P41)-N(P53)</f>
        <v>0</v>
      </c>
      <c r="AN53" s="1285">
        <f>N('R7業務（長+短）'!Q41)-N(Q53)</f>
        <v>0</v>
      </c>
      <c r="AO53" s="1285">
        <f>N('R7業務（長+短）'!R41)-N(R53)</f>
        <v>0</v>
      </c>
      <c r="AP53" s="1285">
        <f>N('R7業務（長+短）'!S41)-N(S53)</f>
        <v>0</v>
      </c>
      <c r="AQ53" s="1285">
        <f>N('R7業務（長+短）'!T41)-N(T53)</f>
        <v>0</v>
      </c>
      <c r="AR53" s="1285">
        <f>N('R7業務（長+短）'!U41)-N(U53)</f>
        <v>0</v>
      </c>
    </row>
    <row r="54">
      <c r="C54" s="1284" t="n">
        <v>0</v>
      </c>
      <c r="D54" s="1284" t="n">
        <v>0</v>
      </c>
      <c r="E54" s="1284" t="n">
        <v>0</v>
      </c>
      <c r="F54" s="1284" t="n">
        <v>0</v>
      </c>
      <c r="G54" s="1284" t="n">
        <v>0</v>
      </c>
      <c r="H54" s="1284" t="n">
        <v>0</v>
      </c>
      <c r="I54" s="1284" t="n">
        <v>0</v>
      </c>
      <c r="J54" s="1284" t="n">
        <v>0</v>
      </c>
      <c r="K54" s="1284" t="n">
        <v>0</v>
      </c>
      <c r="L54" s="1284" t="n">
        <v>0</v>
      </c>
      <c r="M54" s="1284" t="n">
        <v>0</v>
      </c>
      <c r="N54" s="1284" t="n">
        <v>75258</v>
      </c>
      <c r="O54" s="1284" t="n">
        <v>0</v>
      </c>
      <c r="P54" s="1284" t="n">
        <v>75258</v>
      </c>
      <c r="Q54" s="1284" t="n">
        <v>0</v>
      </c>
      <c r="R54" s="1284" t="n">
        <v>0</v>
      </c>
      <c r="S54" s="1284" t="n">
        <v>0</v>
      </c>
      <c r="Z54" s="1285">
        <f>N('R7業務（長+短）'!C42)-N(C54)</f>
        <v>0</v>
      </c>
      <c r="AA54" s="1285">
        <f>N('R7業務（長+短）'!D42)-N(D54)</f>
        <v>0</v>
      </c>
      <c r="AB54" s="1285">
        <f>N('R7業務（長+短）'!E42)-N(E54)</f>
        <v>0</v>
      </c>
      <c r="AC54" s="1285">
        <f>N('R7業務（長+短）'!F42)-N(F54)</f>
        <v>0</v>
      </c>
      <c r="AD54" s="1285">
        <f>N('R7業務（長+短）'!G42)-N(G54)</f>
        <v>0</v>
      </c>
      <c r="AE54" s="1285">
        <f>N('R7業務（長+短）'!H42)-N(H54)</f>
        <v>0</v>
      </c>
      <c r="AF54" s="1285">
        <f>N('R7業務（長+短）'!I42)-N(I54)</f>
        <v>0</v>
      </c>
      <c r="AG54" s="1285">
        <f>N('R7業務（長+短）'!J42)-N(J54)</f>
        <v>0</v>
      </c>
      <c r="AH54" s="1285">
        <f>N('R7業務（長+短）'!K42)-N(K54)</f>
        <v>0</v>
      </c>
      <c r="AI54" s="1285">
        <f>N('R7業務（長+短）'!L42)-N(L54)</f>
        <v>0</v>
      </c>
      <c r="AJ54" s="1285">
        <f>N('R7業務（長+短）'!M42)-N(M54)</f>
        <v>0</v>
      </c>
      <c r="AK54" s="1285">
        <f>N('R7業務（長+短）'!N42)-N(N54)</f>
        <v>0</v>
      </c>
      <c r="AL54" s="1285">
        <f>N('R7業務（長+短）'!O42)-N(O54)</f>
        <v>0</v>
      </c>
      <c r="AM54" s="1285">
        <f>N('R7業務（長+短）'!P42)-N(P54)</f>
        <v>0</v>
      </c>
      <c r="AN54" s="1285">
        <f>N('R7業務（長+短）'!Q42)-N(Q54)</f>
        <v>0</v>
      </c>
      <c r="AO54" s="1285">
        <f>N('R7業務（長+短）'!R42)-N(R54)</f>
        <v>0</v>
      </c>
      <c r="AP54" s="1285">
        <f>N('R7業務（長+短）'!S42)-N(S54)</f>
        <v>0</v>
      </c>
      <c r="AQ54" s="1285">
        <f>N('R7業務（長+短）'!T42)-N(T54)</f>
        <v>0</v>
      </c>
      <c r="AR54" s="1285">
        <f>N('R7業務（長+短）'!U42)-N(U54)</f>
        <v>0</v>
      </c>
    </row>
    <row r="55">
      <c r="C55" s="1284" t="n">
        <v>0</v>
      </c>
      <c r="D55" s="1284" t="n">
        <v>4513000</v>
      </c>
      <c r="E55" s="1284" t="n">
        <v>5366000</v>
      </c>
      <c r="F55" s="1284" t="n">
        <v>5366000</v>
      </c>
      <c r="G55" s="1284" t="n">
        <v>5366000</v>
      </c>
      <c r="H55" s="1284" t="n">
        <v>5369148</v>
      </c>
      <c r="I55" s="1284" t="n">
        <v>0</v>
      </c>
      <c r="J55" s="1284" t="n">
        <v>-261410</v>
      </c>
      <c r="K55" s="1284" t="n">
        <v>0</v>
      </c>
      <c r="L55" s="1284" t="n">
        <v>0</v>
      </c>
      <c r="M55" s="1284" t="n">
        <v>0</v>
      </c>
      <c r="N55" s="1284" t="n">
        <v>0</v>
      </c>
      <c r="O55" s="1284" t="n">
        <v>0</v>
      </c>
      <c r="P55" s="1284" t="n">
        <v>25718738</v>
      </c>
      <c r="Q55" s="1284" t="n">
        <v>23147000</v>
      </c>
      <c r="R55" s="1284" t="n">
        <v>0</v>
      </c>
      <c r="S55" s="1284" t="n">
        <v>0</v>
      </c>
      <c r="Z55" s="1285">
        <f>N('R7業務（長+短）'!C43)-N(C55)</f>
        <v>0</v>
      </c>
      <c r="AA55" s="1285">
        <f>N('R7業務（長+短）'!D43)-N(D55)</f>
        <v>0</v>
      </c>
      <c r="AB55" s="1285">
        <f>N('R7業務（長+短）'!E43)-N(E55)</f>
        <v>0</v>
      </c>
      <c r="AC55" s="1285">
        <f>N('R7業務（長+短）'!F43)-N(F55)</f>
        <v>0</v>
      </c>
      <c r="AD55" s="1285">
        <f>N('R7業務（長+短）'!G43)-N(G55)</f>
        <v>0</v>
      </c>
      <c r="AE55" s="1285">
        <f>N('R7業務（長+短）'!H43)-N(H55)</f>
        <v>0</v>
      </c>
      <c r="AF55" s="1285">
        <f>N('R7業務（長+短）'!I43)-N(I55)</f>
        <v>0</v>
      </c>
      <c r="AG55" s="1285">
        <f>N('R7業務（長+短）'!J43)-N(J55)</f>
        <v>0</v>
      </c>
      <c r="AH55" s="1285">
        <f>N('R7業務（長+短）'!K43)-N(K55)</f>
        <v>0</v>
      </c>
      <c r="AI55" s="1285">
        <f>N('R7業務（長+短）'!L43)-N(L55)</f>
        <v>0</v>
      </c>
      <c r="AJ55" s="1285">
        <f>N('R7業務（長+短）'!M43)-N(M55)</f>
        <v>0</v>
      </c>
      <c r="AK55" s="1285">
        <f>N('R7業務（長+短）'!N43)-N(N55)</f>
        <v>0</v>
      </c>
      <c r="AL55" s="1285">
        <f>N('R7業務（長+短）'!O43)-N(O55)</f>
        <v>0</v>
      </c>
      <c r="AM55" s="1285">
        <f>N('R7業務（長+短）'!P43)-N(P55)</f>
        <v>0</v>
      </c>
      <c r="AN55" s="1285">
        <f>N('R7業務（長+短）'!Q43)-N(Q55)</f>
        <v>0</v>
      </c>
      <c r="AO55" s="1285">
        <f>N('R7業務（長+短）'!R43)-N(R55)</f>
        <v>0</v>
      </c>
      <c r="AP55" s="1285">
        <f>N('R7業務（長+短）'!S43)-N(S55)</f>
        <v>0</v>
      </c>
      <c r="AQ55" s="1285">
        <f>N('R7業務（長+短）'!T43)-N(T55)</f>
        <v>0</v>
      </c>
      <c r="AR55" s="1285">
        <f>N('R7業務（長+短）'!U43)-N(U55)</f>
        <v>0</v>
      </c>
    </row>
    <row r="56">
      <c r="C56" s="1284" t="n">
        <v>0</v>
      </c>
      <c r="D56" s="1284" t="n">
        <v>0</v>
      </c>
      <c r="E56" s="1284" t="n">
        <v>0</v>
      </c>
      <c r="F56" s="1284" t="n">
        <v>0</v>
      </c>
      <c r="G56" s="1284" t="n">
        <v>0</v>
      </c>
      <c r="H56" s="1284" t="n">
        <v>0</v>
      </c>
      <c r="I56" s="1284" t="n">
        <v>0</v>
      </c>
      <c r="J56" s="1284" t="n">
        <v>0</v>
      </c>
      <c r="K56" s="1284" t="n">
        <v>0</v>
      </c>
      <c r="L56" s="1284" t="n">
        <v>0</v>
      </c>
      <c r="M56" s="1284" t="n">
        <v>0</v>
      </c>
      <c r="N56" s="1284" t="n">
        <v>0</v>
      </c>
      <c r="O56" s="1284" t="n">
        <v>0</v>
      </c>
      <c r="P56" s="1284" t="n">
        <v>0</v>
      </c>
      <c r="Q56" s="1284" t="n">
        <v>0</v>
      </c>
      <c r="R56" s="1284" t="n">
        <v>0</v>
      </c>
      <c r="S56" s="1284" t="n">
        <v>0</v>
      </c>
      <c r="Z56" s="1285">
        <f>N('R7業務（長+短）'!C44)-N(C56)</f>
        <v>0</v>
      </c>
      <c r="AA56" s="1285">
        <f>N('R7業務（長+短）'!D44)-N(D56)</f>
        <v>0</v>
      </c>
      <c r="AB56" s="1285">
        <f>N('R7業務（長+短）'!E44)-N(E56)</f>
        <v>0</v>
      </c>
      <c r="AC56" s="1285">
        <f>N('R7業務（長+短）'!F44)-N(F56)</f>
        <v>0</v>
      </c>
      <c r="AD56" s="1285">
        <f>N('R7業務（長+短）'!G44)-N(G56)</f>
        <v>0</v>
      </c>
      <c r="AE56" s="1285">
        <f>N('R7業務（長+短）'!H44)-N(H56)</f>
        <v>0</v>
      </c>
      <c r="AF56" s="1285">
        <f>N('R7業務（長+短）'!I44)-N(I56)</f>
        <v>0</v>
      </c>
      <c r="AG56" s="1285">
        <f>N('R7業務（長+短）'!J44)-N(J56)</f>
        <v>0</v>
      </c>
      <c r="AH56" s="1285">
        <f>N('R7業務（長+短）'!K44)-N(K56)</f>
        <v>0</v>
      </c>
      <c r="AI56" s="1285">
        <f>N('R7業務（長+短）'!L44)-N(L56)</f>
        <v>0</v>
      </c>
      <c r="AJ56" s="1285">
        <f>N('R7業務（長+短）'!M44)-N(M56)</f>
        <v>0</v>
      </c>
      <c r="AK56" s="1285">
        <f>N('R7業務（長+短）'!N44)-N(N56)</f>
        <v>0</v>
      </c>
      <c r="AL56" s="1285">
        <f>N('R7業務（長+短）'!O44)-N(O56)</f>
        <v>0</v>
      </c>
      <c r="AM56" s="1285">
        <f>N('R7業務（長+短）'!P44)-N(P56)</f>
        <v>0</v>
      </c>
      <c r="AN56" s="1285">
        <f>N('R7業務（長+短）'!Q44)-N(Q56)</f>
        <v>0</v>
      </c>
      <c r="AO56" s="1285">
        <f>N('R7業務（長+短）'!R44)-N(R56)</f>
        <v>0</v>
      </c>
      <c r="AP56" s="1285">
        <f>N('R7業務（長+短）'!S44)-N(S56)</f>
        <v>0</v>
      </c>
      <c r="AQ56" s="1285">
        <f>N('R7業務（長+短）'!T44)-N(T56)</f>
        <v>0</v>
      </c>
      <c r="AR56" s="1285">
        <f>N('R7業務（長+短）'!U44)-N(U56)</f>
        <v>0</v>
      </c>
    </row>
    <row r="57">
      <c r="C57" s="1284" t="n">
        <v>0</v>
      </c>
      <c r="D57" s="1284" t="n">
        <v>0</v>
      </c>
      <c r="E57" s="1284" t="n">
        <v>0</v>
      </c>
      <c r="F57" s="1284" t="n">
        <v>0</v>
      </c>
      <c r="G57" s="1284" t="n">
        <v>0</v>
      </c>
      <c r="H57" s="1284" t="n">
        <v>0</v>
      </c>
      <c r="I57" s="1284" t="n">
        <v>0</v>
      </c>
      <c r="J57" s="1284" t="n">
        <v>0</v>
      </c>
      <c r="K57" s="1284" t="n">
        <v>0</v>
      </c>
      <c r="L57" s="1284" t="n">
        <v>0</v>
      </c>
      <c r="M57" s="1284" t="n">
        <v>0</v>
      </c>
      <c r="N57" s="1284" t="n">
        <v>0</v>
      </c>
      <c r="O57" s="1284" t="n">
        <v>7580026</v>
      </c>
      <c r="P57" s="1284" t="n">
        <v>7580026</v>
      </c>
      <c r="Q57" s="1284" t="n">
        <v>13605000</v>
      </c>
      <c r="R57" s="1284" t="n">
        <v>0</v>
      </c>
      <c r="S57" s="1284" t="n">
        <v>0</v>
      </c>
      <c r="Z57" s="1285">
        <f>N('R7業務（長+短）'!C45)-N(C57)</f>
        <v>0</v>
      </c>
      <c r="AA57" s="1285">
        <f>N('R7業務（長+短）'!D45)-N(D57)</f>
        <v>0</v>
      </c>
      <c r="AB57" s="1285">
        <f>N('R7業務（長+短）'!E45)-N(E57)</f>
        <v>0</v>
      </c>
      <c r="AC57" s="1285">
        <f>N('R7業務（長+短）'!F45)-N(F57)</f>
        <v>0</v>
      </c>
      <c r="AD57" s="1285">
        <f>N('R7業務（長+短）'!G45)-N(G57)</f>
        <v>0</v>
      </c>
      <c r="AE57" s="1285">
        <f>N('R7業務（長+短）'!H45)-N(H57)</f>
        <v>0</v>
      </c>
      <c r="AF57" s="1285">
        <f>N('R7業務（長+短）'!I45)-N(I57)</f>
        <v>0</v>
      </c>
      <c r="AG57" s="1285">
        <f>N('R7業務（長+短）'!J45)-N(J57)</f>
        <v>0</v>
      </c>
      <c r="AH57" s="1285">
        <f>N('R7業務（長+短）'!K45)-N(K57)</f>
        <v>0</v>
      </c>
      <c r="AI57" s="1285">
        <f>N('R7業務（長+短）'!L45)-N(L57)</f>
        <v>0</v>
      </c>
      <c r="AJ57" s="1285">
        <f>N('R7業務（長+短）'!M45)-N(M57)</f>
        <v>0</v>
      </c>
      <c r="AK57" s="1285">
        <f>N('R7業務（長+短）'!N45)-N(N57)</f>
        <v>0</v>
      </c>
      <c r="AL57" s="1285">
        <f>N('R7業務（長+短）'!O45)-N(O57)</f>
        <v>0</v>
      </c>
      <c r="AM57" s="1285">
        <f>N('R7業務（長+短）'!P45)-N(P57)</f>
        <v>0</v>
      </c>
      <c r="AN57" s="1285">
        <f>N('R7業務（長+短）'!Q45)-N(Q57)</f>
        <v>0</v>
      </c>
      <c r="AO57" s="1285">
        <f>N('R7業務（長+短）'!R45)-N(R57)</f>
        <v>0</v>
      </c>
      <c r="AP57" s="1285">
        <f>N('R7業務（長+短）'!S45)-N(S57)</f>
        <v>0</v>
      </c>
      <c r="AQ57" s="1285">
        <f>N('R7業務（長+短）'!T45)-N(T57)</f>
        <v>0</v>
      </c>
      <c r="AR57" s="1285">
        <f>N('R7業務（長+短）'!U45)-N(U57)</f>
        <v>0</v>
      </c>
    </row>
    <row r="58">
      <c r="C58" s="1284" t="n">
        <v>0</v>
      </c>
      <c r="D58" s="1284" t="n">
        <v>0</v>
      </c>
      <c r="E58" s="1284" t="n">
        <v>0</v>
      </c>
      <c r="F58" s="1284" t="n">
        <v>0</v>
      </c>
      <c r="G58" s="1284" t="n">
        <v>0</v>
      </c>
      <c r="H58" s="1284" t="n">
        <v>0</v>
      </c>
      <c r="I58" s="1284" t="n">
        <v>0</v>
      </c>
      <c r="J58" s="1284" t="n">
        <v>0</v>
      </c>
      <c r="K58" s="1284" t="n">
        <v>0</v>
      </c>
      <c r="L58" s="1284" t="n">
        <v>0</v>
      </c>
      <c r="M58" s="1284" t="n">
        <v>0</v>
      </c>
      <c r="N58" s="1284" t="n">
        <v>0</v>
      </c>
      <c r="O58" s="1284" t="n">
        <v>0</v>
      </c>
      <c r="P58" s="1284" t="n">
        <v>0</v>
      </c>
      <c r="Q58" s="1284" t="n">
        <v>0</v>
      </c>
      <c r="R58" s="1284" t="n">
        <v>0</v>
      </c>
      <c r="S58" s="1284" t="n">
        <v>0</v>
      </c>
      <c r="Z58" s="1285">
        <f>N('R7業務（長+短）'!C46)-N(C58)</f>
        <v>0</v>
      </c>
      <c r="AA58" s="1285">
        <f>N('R7業務（長+短）'!D46)-N(D58)</f>
        <v>0</v>
      </c>
      <c r="AB58" s="1285">
        <f>N('R7業務（長+短）'!E46)-N(E58)</f>
        <v>0</v>
      </c>
      <c r="AC58" s="1285">
        <f>N('R7業務（長+短）'!F46)-N(F58)</f>
        <v>0</v>
      </c>
      <c r="AD58" s="1285">
        <f>N('R7業務（長+短）'!G46)-N(G58)</f>
        <v>0</v>
      </c>
      <c r="AE58" s="1285">
        <f>N('R7業務（長+短）'!H46)-N(H58)</f>
        <v>0</v>
      </c>
      <c r="AF58" s="1285">
        <f>N('R7業務（長+短）'!I46)-N(I58)</f>
        <v>0</v>
      </c>
      <c r="AG58" s="1285">
        <f>N('R7業務（長+短）'!J46)-N(J58)</f>
        <v>0</v>
      </c>
      <c r="AH58" s="1285">
        <f>N('R7業務（長+短）'!K46)-N(K58)</f>
        <v>0</v>
      </c>
      <c r="AI58" s="1285">
        <f>N('R7業務（長+短）'!L46)-N(L58)</f>
        <v>0</v>
      </c>
      <c r="AJ58" s="1285">
        <f>N('R7業務（長+短）'!M46)-N(M58)</f>
        <v>0</v>
      </c>
      <c r="AK58" s="1285">
        <f>N('R7業務（長+短）'!N46)-N(N58)</f>
        <v>0</v>
      </c>
      <c r="AL58" s="1285">
        <f>N('R7業務（長+短）'!O46)-N(O58)</f>
        <v>0</v>
      </c>
      <c r="AM58" s="1285">
        <f>N('R7業務（長+短）'!P46)-N(P58)</f>
        <v>0</v>
      </c>
      <c r="AN58" s="1285">
        <f>N('R7業務（長+短）'!Q46)-N(Q58)</f>
        <v>0</v>
      </c>
      <c r="AO58" s="1285">
        <f>N('R7業務（長+短）'!R46)-N(R58)</f>
        <v>0</v>
      </c>
      <c r="AP58" s="1285">
        <f>N('R7業務（長+短）'!S46)-N(S58)</f>
        <v>0</v>
      </c>
      <c r="AQ58" s="1285">
        <f>N('R7業務（長+短）'!T46)-N(T58)</f>
        <v>0</v>
      </c>
      <c r="AR58" s="1285">
        <f>N('R7業務（長+短）'!U46)-N(U58)</f>
        <v>0</v>
      </c>
    </row>
    <row r="59">
      <c r="C59" s="1284" t="n">
        <v>6781000</v>
      </c>
      <c r="D59" s="1284" t="n">
        <v>11176000</v>
      </c>
      <c r="E59" s="1284" t="n">
        <v>13341000</v>
      </c>
      <c r="F59" s="1284" t="n">
        <v>15914000</v>
      </c>
      <c r="G59" s="1284" t="n">
        <v>12030000</v>
      </c>
      <c r="H59" s="1284" t="n">
        <v>22676148</v>
      </c>
      <c r="I59" s="1284" t="n">
        <v>6990000</v>
      </c>
      <c r="J59" s="1284" t="n">
        <v>6479590</v>
      </c>
      <c r="K59" s="1284" t="n">
        <v>7407000</v>
      </c>
      <c r="L59" s="1284" t="n">
        <v>7073000</v>
      </c>
      <c r="M59" s="1284" t="n">
        <v>6722000</v>
      </c>
      <c r="N59" s="1284" t="n">
        <v>8191258</v>
      </c>
      <c r="O59" s="1284" t="n">
        <v>9655506</v>
      </c>
      <c r="P59" s="1284" t="n">
        <v>134436502</v>
      </c>
      <c r="Q59" s="1284" t="n">
        <v>131720000</v>
      </c>
      <c r="R59" s="1284" t="n">
        <v>-11744404</v>
      </c>
      <c r="S59" s="1284" t="n">
        <v>31002076</v>
      </c>
      <c r="Z59" s="1285">
        <f>N('R7業務（長+短）'!C47)-N(C59)</f>
        <v>0</v>
      </c>
      <c r="AA59" s="1285">
        <f>N('R7業務（長+短）'!D47)-N(D59)</f>
        <v>0</v>
      </c>
      <c r="AB59" s="1285">
        <f>N('R7業務（長+短）'!E47)-N(E59)</f>
        <v>0</v>
      </c>
      <c r="AC59" s="1285">
        <f>N('R7業務（長+短）'!F47)-N(F59)</f>
        <v>0</v>
      </c>
      <c r="AD59" s="1285">
        <f>N('R7業務（長+短）'!G47)-N(G59)</f>
        <v>0</v>
      </c>
      <c r="AE59" s="1285">
        <f>N('R7業務（長+短）'!H47)-N(H59)</f>
        <v>0</v>
      </c>
      <c r="AF59" s="1285">
        <f>N('R7業務（長+短）'!I47)-N(I59)</f>
        <v>0</v>
      </c>
      <c r="AG59" s="1285">
        <f>N('R7業務（長+短）'!J47)-N(J59)</f>
        <v>0</v>
      </c>
      <c r="AH59" s="1285">
        <f>N('R7業務（長+短）'!K47)-N(K59)</f>
        <v>0</v>
      </c>
      <c r="AI59" s="1285">
        <f>N('R7業務（長+短）'!L47)-N(L59)</f>
        <v>0</v>
      </c>
      <c r="AJ59" s="1285">
        <f>N('R7業務（長+短）'!M47)-N(M59)</f>
        <v>0</v>
      </c>
      <c r="AK59" s="1285">
        <f>N('R7業務（長+短）'!N47)-N(N59)</f>
        <v>0</v>
      </c>
      <c r="AL59" s="1285">
        <f>N('R7業務（長+短）'!O47)-N(O59)</f>
        <v>0</v>
      </c>
      <c r="AM59" s="1285">
        <f>N('R7業務（長+短）'!P47)-N(P59)</f>
        <v>0</v>
      </c>
      <c r="AN59" s="1285">
        <f>N('R7業務（長+短）'!Q47)-N(Q59)</f>
        <v>0</v>
      </c>
      <c r="AO59" s="1285">
        <f>N('R7業務（長+短）'!R47)-N(R59)</f>
        <v>0</v>
      </c>
      <c r="AP59" s="1285">
        <f>N('R7業務（長+短）'!S47)-N(S59)</f>
        <v>0</v>
      </c>
      <c r="AQ59" s="1285">
        <f>N('R7業務（長+短）'!T47)-N(T59)</f>
        <v>0</v>
      </c>
      <c r="AR59" s="1285">
        <f>N('R7業務（長+短）'!U47)-N(U59)</f>
        <v>0</v>
      </c>
    </row>
    <row r="60">
      <c r="L60" s="1284" t="n">
        <v>-1719225</v>
      </c>
      <c r="M60" s="1284" t="n">
        <v>-3290454</v>
      </c>
      <c r="N60" s="1284" t="n">
        <v>-7933482</v>
      </c>
      <c r="O60" s="1284" t="n">
        <v>-2266075</v>
      </c>
      <c r="Z60" s="1285">
        <f>N('R7業務（長+短）'!C48)-N(C60)</f>
        <v>0</v>
      </c>
      <c r="AA60" s="1285">
        <f>N('R7業務（長+短）'!D48)-N(D60)</f>
        <v>0</v>
      </c>
      <c r="AB60" s="1285">
        <f>N('R7業務（長+短）'!E48)-N(E60)</f>
        <v>0</v>
      </c>
      <c r="AC60" s="1285">
        <f>N('R7業務（長+短）'!F48)-N(F60)</f>
        <v>0</v>
      </c>
      <c r="AD60" s="1285">
        <f>N('R7業務（長+短）'!G48)-N(G60)</f>
        <v>0</v>
      </c>
      <c r="AE60" s="1285">
        <f>N('R7業務（長+短）'!H48)-N(H60)</f>
        <v>0</v>
      </c>
      <c r="AF60" s="1285">
        <f>N('R7業務（長+短）'!I48)-N(I60)</f>
        <v>0</v>
      </c>
      <c r="AG60" s="1285">
        <f>N('R7業務（長+短）'!J48)-N(J60)</f>
        <v>0</v>
      </c>
      <c r="AH60" s="1285">
        <f>N('R7業務（長+短）'!K48)-N(K60)</f>
        <v>0</v>
      </c>
      <c r="AI60" s="1285">
        <f>N('R7業務（長+短）'!L48)-N(L60)</f>
        <v>0</v>
      </c>
      <c r="AJ60" s="1285">
        <f>N('R7業務（長+短）'!M48)-N(M60)</f>
        <v>0</v>
      </c>
      <c r="AK60" s="1285">
        <f>N('R7業務（長+短）'!N48)-N(N60)</f>
        <v>0</v>
      </c>
      <c r="AL60" s="1285">
        <f>N('R7業務（長+短）'!O48)-N(O60)</f>
        <v>0</v>
      </c>
      <c r="AM60" s="1285">
        <f>N('R7業務（長+短）'!P48)-N(P60)</f>
        <v>0</v>
      </c>
      <c r="AN60" s="1285">
        <f>N('R7業務（長+短）'!Q48)-N(Q60)</f>
        <v>0</v>
      </c>
      <c r="AO60" s="1285">
        <f>N('R7業務（長+短）'!R48)-N(R60)</f>
        <v>0</v>
      </c>
      <c r="AP60" s="1285">
        <f>N('R7業務（長+短）'!S48)-N(S60)</f>
        <v>0</v>
      </c>
      <c r="AQ60" s="1285">
        <f>N('R7業務（長+短）'!T48)-N(T60)</f>
        <v>0</v>
      </c>
      <c r="AR60" s="1285">
        <f>N('R7業務（長+短）'!U48)-N(U60)</f>
        <v>0</v>
      </c>
    </row>
    <row r="61">
      <c r="C61" s="1284" t="n">
        <v>5834330</v>
      </c>
      <c r="D61" s="1284" t="n">
        <v>1069706</v>
      </c>
      <c r="E61" s="1284" t="n">
        <v>3895915</v>
      </c>
      <c r="F61" s="1284" t="n">
        <v>6269750</v>
      </c>
      <c r="G61" s="1284" t="n">
        <v>2052913</v>
      </c>
      <c r="H61" s="1284" t="n">
        <v>-7958095</v>
      </c>
      <c r="I61" s="1284" t="n">
        <v>-1062569</v>
      </c>
      <c r="J61" s="1284" t="n">
        <v>-2679679</v>
      </c>
      <c r="K61" s="1284" t="n">
        <v>-3764849</v>
      </c>
      <c r="L61" s="1284" t="n">
        <v>-1719225</v>
      </c>
      <c r="M61" s="1284" t="n">
        <v>-1571229</v>
      </c>
      <c r="N61" s="1284" t="n">
        <v>-4643028</v>
      </c>
      <c r="O61" s="1284" t="n">
        <v>5667407</v>
      </c>
      <c r="P61" s="1284" t="n">
        <v>1391347</v>
      </c>
      <c r="Q61" s="1284" t="n">
        <v>-14576000</v>
      </c>
      <c r="R61" s="1284" t="n">
        <v>-11744404</v>
      </c>
      <c r="S61" s="1284" t="n">
        <v>-115293924</v>
      </c>
      <c r="Z61" s="1285">
        <f>N('R7業務（長+短）'!C49)-N(C61)</f>
        <v>0</v>
      </c>
      <c r="AA61" s="1285">
        <f>N('R7業務（長+短）'!D49)-N(D61)</f>
        <v>0</v>
      </c>
      <c r="AB61" s="1285">
        <f>N('R7業務（長+短）'!E49)-N(E61)</f>
        <v>0</v>
      </c>
      <c r="AC61" s="1285">
        <f>N('R7業務（長+短）'!F49)-N(F61)</f>
        <v>0</v>
      </c>
      <c r="AD61" s="1285">
        <f>N('R7業務（長+短）'!G49)-N(G61)</f>
        <v>0</v>
      </c>
      <c r="AE61" s="1285">
        <f>N('R7業務（長+短）'!H49)-N(H61)</f>
        <v>0</v>
      </c>
      <c r="AF61" s="1285">
        <f>N('R7業務（長+短）'!I49)-N(I61)</f>
        <v>0</v>
      </c>
      <c r="AG61" s="1285">
        <f>N('R7業務（長+短）'!J49)-N(J61)</f>
        <v>0</v>
      </c>
      <c r="AH61" s="1285">
        <f>N('R7業務（長+短）'!K49)-N(K61)</f>
        <v>0</v>
      </c>
      <c r="AI61" s="1285">
        <f>N('R7業務（長+短）'!L49)-N(L61)</f>
        <v>0</v>
      </c>
      <c r="AJ61" s="1285">
        <f>N('R7業務（長+短）'!M49)-N(M61)</f>
        <v>0</v>
      </c>
      <c r="AK61" s="1285">
        <f>N('R7業務（長+短）'!N49)-N(N61)</f>
        <v>0</v>
      </c>
      <c r="AL61" s="1285">
        <f>N('R7業務（長+短）'!O49)-N(O61)</f>
        <v>0</v>
      </c>
      <c r="AM61" s="1285">
        <f>N('R7業務（長+短）'!P49)-N(P61)</f>
        <v>0</v>
      </c>
      <c r="AN61" s="1285">
        <f>N('R7業務（長+短）'!Q49)-N(Q61)</f>
        <v>0</v>
      </c>
      <c r="AO61" s="1285">
        <f>N('R7業務（長+短）'!R49)-N(R61)</f>
        <v>0</v>
      </c>
      <c r="AP61" s="1285">
        <f>N('R7業務（長+短）'!S49)-N(S61)</f>
        <v>0</v>
      </c>
      <c r="AQ61" s="1285">
        <f>N('R7業務（長+短）'!T49)-N(T61)</f>
        <v>0</v>
      </c>
      <c r="AR61" s="1285">
        <f>N('R7業務（長+短）'!U49)-N(U61)</f>
        <v>0</v>
      </c>
    </row>
    <row r="62">
      <c r="Z62" s="1285">
        <f>N('R7業務（長+短）'!C50)-N(C62)</f>
        <v>0</v>
      </c>
      <c r="AA62" s="1285">
        <f>N('R7業務（長+短）'!D50)-N(D62)</f>
        <v>0</v>
      </c>
      <c r="AB62" s="1285">
        <f>N('R7業務（長+短）'!E50)-N(E62)</f>
        <v>0</v>
      </c>
      <c r="AC62" s="1285">
        <f>N('R7業務（長+短）'!F50)-N(F62)</f>
        <v>0</v>
      </c>
      <c r="AD62" s="1285">
        <f>N('R7業務（長+短）'!G50)-N(G62)</f>
        <v>0</v>
      </c>
      <c r="AE62" s="1285">
        <f>N('R7業務（長+短）'!H50)-N(H62)</f>
        <v>0</v>
      </c>
      <c r="AF62" s="1285">
        <f>N('R7業務（長+短）'!I50)-N(I62)</f>
        <v>0</v>
      </c>
      <c r="AG62" s="1285">
        <f>N('R7業務（長+短）'!J50)-N(J62)</f>
        <v>0</v>
      </c>
      <c r="AH62" s="1285">
        <f>N('R7業務（長+短）'!K50)-N(K62)</f>
        <v>0</v>
      </c>
      <c r="AI62" s="1285">
        <f>N('R7業務（長+短）'!L50)-N(L62)</f>
        <v>0</v>
      </c>
      <c r="AJ62" s="1285">
        <f>N('R7業務（長+短）'!M50)-N(M62)</f>
        <v>0</v>
      </c>
      <c r="AK62" s="1285">
        <f>N('R7業務（長+短）'!N50)-N(N62)</f>
        <v>0</v>
      </c>
      <c r="AL62" s="1285">
        <f>N('R7業務（長+短）'!O50)-N(O62)</f>
        <v>0</v>
      </c>
      <c r="AM62" s="1285">
        <f>N('R7業務（長+短）'!P50)-N(P62)</f>
        <v>0</v>
      </c>
      <c r="AN62" s="1285">
        <f>N('R7業務（長+短）'!Q50)-N(Q62)</f>
        <v>0</v>
      </c>
      <c r="AO62" s="1285">
        <f>N('R7業務（長+短）'!R50)-N(R62)</f>
        <v>0</v>
      </c>
      <c r="AP62" s="1285">
        <f>N('R7業務（長+短）'!S50)-N(S62)</f>
        <v>0</v>
      </c>
      <c r="AQ62" s="1285">
        <f>N('R7業務（長+短）'!T50)-N(T62)</f>
        <v>0</v>
      </c>
      <c r="AR62" s="1285">
        <f>N('R7業務（長+短）'!U50)-N(U62)</f>
        <v>0</v>
      </c>
    </row>
    <row r="63">
      <c r="Z63" s="1285">
        <f>N('R7業務（長+短）'!C51)-N(C63)</f>
        <v>0</v>
      </c>
      <c r="AA63" s="1285">
        <f>N('R7業務（長+短）'!D51)-N(D63)</f>
        <v>0</v>
      </c>
      <c r="AB63" s="1285">
        <f>N('R7業務（長+短）'!E51)-N(E63)</f>
        <v>0</v>
      </c>
      <c r="AC63" s="1285">
        <f>N('R7業務（長+短）'!F51)-N(F63)</f>
        <v>0</v>
      </c>
      <c r="AD63" s="1285">
        <f>N('R7業務（長+短）'!G51)-N(G63)</f>
        <v>0</v>
      </c>
      <c r="AE63" s="1285">
        <f>N('R7業務（長+短）'!H51)-N(H63)</f>
        <v>0</v>
      </c>
      <c r="AF63" s="1285">
        <f>N('R7業務（長+短）'!I51)-N(I63)</f>
        <v>0</v>
      </c>
      <c r="AG63" s="1285">
        <f>N('R7業務（長+短）'!J51)-N(J63)</f>
        <v>0</v>
      </c>
      <c r="AH63" s="1285">
        <f>N('R7業務（長+短）'!K51)-N(K63)</f>
        <v>0</v>
      </c>
      <c r="AI63" s="1285">
        <f>N('R7業務（長+短）'!L51)-N(L63)</f>
        <v>0</v>
      </c>
      <c r="AJ63" s="1285">
        <f>N('R7業務（長+短）'!M51)-N(M63)</f>
        <v>0</v>
      </c>
      <c r="AK63" s="1285">
        <f>N('R7業務（長+短）'!N51)-N(N63)</f>
        <v>0</v>
      </c>
      <c r="AL63" s="1285">
        <f>N('R7業務（長+短）'!O51)-N(O63)</f>
        <v>0</v>
      </c>
      <c r="AM63" s="1285">
        <f>N('R7業務（長+短）'!P51)-N(P63)</f>
        <v>0</v>
      </c>
      <c r="AN63" s="1285">
        <f>N('R7業務（長+短）'!Q51)-N(Q63)</f>
        <v>0</v>
      </c>
      <c r="AO63" s="1285">
        <f>N('R7業務（長+短）'!R51)-N(R63)</f>
        <v>0</v>
      </c>
      <c r="AP63" s="1285">
        <f>N('R7業務（長+短）'!S51)-N(S63)</f>
        <v>0</v>
      </c>
      <c r="AQ63" s="1285">
        <f>N('R7業務（長+短）'!T51)-N(T63)</f>
        <v>0</v>
      </c>
      <c r="AR63" s="1285">
        <f>N('R7業務（長+短）'!U51)-N(U63)</f>
        <v>0</v>
      </c>
    </row>
    <row r="64">
      <c r="C64" s="1284" t="n">
        <v>0</v>
      </c>
      <c r="D64" s="1284" t="n">
        <v>425880</v>
      </c>
      <c r="E64" s="1284" t="n">
        <v>365040</v>
      </c>
      <c r="F64" s="1284" t="n">
        <v>446160</v>
      </c>
      <c r="G64" s="1284" t="n">
        <v>445720</v>
      </c>
      <c r="H64" s="1284" t="n">
        <v>384480</v>
      </c>
      <c r="I64" s="1284" t="n">
        <v>389160</v>
      </c>
      <c r="J64" s="1284" t="n">
        <v>416580</v>
      </c>
      <c r="K64" s="1284" t="n">
        <v>340920</v>
      </c>
      <c r="L64" s="1284" t="n">
        <v>377520</v>
      </c>
      <c r="M64" s="1284" t="n">
        <v>359120</v>
      </c>
      <c r="N64" s="1284" t="n">
        <v>339340</v>
      </c>
      <c r="O64" s="1284" t="n">
        <v>339568</v>
      </c>
      <c r="Q64" s="1284" t="n">
        <v>4629488</v>
      </c>
      <c r="Z64" s="1285">
        <f>N('R7業務（長+短）'!C52)-N(C64)</f>
        <v>0</v>
      </c>
      <c r="AA64" s="1285">
        <f>N('R7業務（長+短）'!D52)-N(D64)</f>
        <v>0</v>
      </c>
      <c r="AB64" s="1285">
        <f>N('R7業務（長+短）'!E52)-N(E64)</f>
        <v>0</v>
      </c>
      <c r="AC64" s="1285">
        <f>N('R7業務（長+短）'!F52)-N(F64)</f>
        <v>0</v>
      </c>
      <c r="AD64" s="1285">
        <f>N('R7業務（長+短）'!G52)-N(G64)</f>
        <v>0</v>
      </c>
      <c r="AE64" s="1285">
        <f>N('R7業務（長+短）'!H52)-N(H64)</f>
        <v>0</v>
      </c>
      <c r="AF64" s="1285">
        <f>N('R7業務（長+短）'!I52)-N(I64)</f>
        <v>0</v>
      </c>
      <c r="AG64" s="1285">
        <f>N('R7業務（長+短）'!J52)-N(J64)</f>
        <v>0</v>
      </c>
      <c r="AH64" s="1285">
        <f>N('R7業務（長+短）'!K52)-N(K64)</f>
        <v>0</v>
      </c>
      <c r="AI64" s="1285">
        <f>N('R7業務（長+短）'!L52)-N(L64)</f>
        <v>0</v>
      </c>
      <c r="AJ64" s="1285">
        <f>N('R7業務（長+短）'!M52)-N(M64)</f>
        <v>0</v>
      </c>
      <c r="AK64" s="1285">
        <f>N('R7業務（長+短）'!N52)-N(N64)</f>
        <v>0</v>
      </c>
      <c r="AL64" s="1285">
        <f>N('R7業務（長+短）'!O52)-N(O64)</f>
        <v>0</v>
      </c>
      <c r="AM64" s="1285">
        <f>N('R7業務（長+短）'!P52)-N(P64)</f>
        <v>0</v>
      </c>
      <c r="AN64" s="1285">
        <f>N('R7業務（長+短）'!Q52)-N(Q64)</f>
        <v>0</v>
      </c>
      <c r="AO64" s="1285">
        <f>N('R7業務（長+短）'!R52)-N(R64)</f>
        <v>0</v>
      </c>
      <c r="AP64" s="1285">
        <f>N('R7業務（長+短）'!S52)-N(S64)</f>
        <v>0</v>
      </c>
      <c r="AQ64" s="1285">
        <f>N('R7業務（長+短）'!T52)-N(T64)</f>
        <v>0</v>
      </c>
      <c r="AR64" s="1285">
        <f>N('R7業務（長+短）'!U52)-N(U64)</f>
        <v>0</v>
      </c>
    </row>
    <row r="65">
      <c r="C65" s="1284" t="n">
        <v>0</v>
      </c>
      <c r="D65" s="1284" t="n">
        <v>0</v>
      </c>
      <c r="E65" s="1284" t="n">
        <v>0</v>
      </c>
      <c r="F65" s="1284" t="n">
        <v>0</v>
      </c>
      <c r="G65" s="1284" t="n">
        <v>0</v>
      </c>
      <c r="H65" s="1284" t="n">
        <v>0</v>
      </c>
      <c r="I65" s="1284" t="n">
        <v>0</v>
      </c>
      <c r="J65" s="1284" t="n">
        <v>0</v>
      </c>
      <c r="K65" s="1284" t="n">
        <v>0</v>
      </c>
      <c r="L65" s="1284" t="n">
        <v>0</v>
      </c>
      <c r="M65" s="1284" t="n">
        <v>0</v>
      </c>
      <c r="N65" s="1284" t="n">
        <v>0</v>
      </c>
      <c r="O65" s="1284" t="n">
        <v>0</v>
      </c>
      <c r="Q65" s="1284" t="n">
        <v>0</v>
      </c>
      <c r="Z65" s="1285">
        <f>N('R7業務（長+短）'!C53)-N(C65)</f>
        <v>0</v>
      </c>
      <c r="AA65" s="1285">
        <f>N('R7業務（長+短）'!D53)-N(D65)</f>
        <v>0</v>
      </c>
      <c r="AB65" s="1285">
        <f>N('R7業務（長+短）'!E53)-N(E65)</f>
        <v>0</v>
      </c>
      <c r="AC65" s="1285">
        <f>N('R7業務（長+短）'!F53)-N(F65)</f>
        <v>0</v>
      </c>
      <c r="AD65" s="1285">
        <f>N('R7業務（長+短）'!G53)-N(G65)</f>
        <v>0</v>
      </c>
      <c r="AE65" s="1285">
        <f>N('R7業務（長+短）'!H53)-N(H65)</f>
        <v>0</v>
      </c>
      <c r="AF65" s="1285">
        <f>N('R7業務（長+短）'!I53)-N(I65)</f>
        <v>0</v>
      </c>
      <c r="AG65" s="1285">
        <f>N('R7業務（長+短）'!J53)-N(J65)</f>
        <v>0</v>
      </c>
      <c r="AH65" s="1285">
        <f>N('R7業務（長+短）'!K53)-N(K65)</f>
        <v>0</v>
      </c>
      <c r="AI65" s="1285">
        <f>N('R7業務（長+短）'!L53)-N(L65)</f>
        <v>0</v>
      </c>
      <c r="AJ65" s="1285">
        <f>N('R7業務（長+短）'!M53)-N(M65)</f>
        <v>0</v>
      </c>
      <c r="AK65" s="1285">
        <f>N('R7業務（長+短）'!N53)-N(N65)</f>
        <v>0</v>
      </c>
      <c r="AL65" s="1285">
        <f>N('R7業務（長+短）'!O53)-N(O65)</f>
        <v>0</v>
      </c>
      <c r="AM65" s="1285">
        <f>N('R7業務（長+短）'!P53)-N(P65)</f>
        <v>0</v>
      </c>
      <c r="AN65" s="1285">
        <f>N('R7業務（長+短）'!Q53)-N(Q65)</f>
        <v>0</v>
      </c>
      <c r="AO65" s="1285">
        <f>N('R7業務（長+短）'!R53)-N(R65)</f>
        <v>0</v>
      </c>
      <c r="AP65" s="1285">
        <f>N('R7業務（長+短）'!S53)-N(S65)</f>
        <v>0</v>
      </c>
      <c r="AQ65" s="1285">
        <f>N('R7業務（長+短）'!T53)-N(T65)</f>
        <v>0</v>
      </c>
      <c r="AR65" s="1285">
        <f>N('R7業務（長+短）'!U53)-N(U65)</f>
        <v>0</v>
      </c>
    </row>
    <row r="66">
      <c r="C66" s="1284" t="n">
        <v>0</v>
      </c>
      <c r="D66" s="1284" t="n">
        <v>425880</v>
      </c>
      <c r="E66" s="1284" t="n">
        <v>365040</v>
      </c>
      <c r="F66" s="1284" t="n">
        <v>446160</v>
      </c>
      <c r="G66" s="1284" t="n">
        <v>445720</v>
      </c>
      <c r="H66" s="1284" t="n">
        <v>384480</v>
      </c>
      <c r="I66" s="1284" t="n">
        <v>389160</v>
      </c>
      <c r="J66" s="1284" t="n">
        <v>416580</v>
      </c>
      <c r="K66" s="1284" t="n">
        <v>340920</v>
      </c>
      <c r="L66" s="1284" t="n">
        <v>377520</v>
      </c>
      <c r="M66" s="1284" t="n">
        <v>359120</v>
      </c>
      <c r="N66" s="1284" t="n">
        <v>339340</v>
      </c>
      <c r="O66" s="1284" t="n">
        <v>339568</v>
      </c>
      <c r="Q66" s="1284" t="n">
        <v>4629488</v>
      </c>
      <c r="Z66" s="1285">
        <f>N('R7業務（長+短）'!C54)-N(C66)</f>
        <v>0</v>
      </c>
      <c r="AA66" s="1285">
        <f>N('R7業務（長+短）'!D54)-N(D66)</f>
        <v>0</v>
      </c>
      <c r="AB66" s="1285">
        <f>N('R7業務（長+短）'!E54)-N(E66)</f>
        <v>0</v>
      </c>
      <c r="AC66" s="1285">
        <f>N('R7業務（長+短）'!F54)-N(F66)</f>
        <v>0</v>
      </c>
      <c r="AD66" s="1285">
        <f>N('R7業務（長+短）'!G54)-N(G66)</f>
        <v>0</v>
      </c>
      <c r="AE66" s="1285">
        <f>N('R7業務（長+短）'!H54)-N(H66)</f>
        <v>0</v>
      </c>
      <c r="AF66" s="1285">
        <f>N('R7業務（長+短）'!I54)-N(I66)</f>
        <v>0</v>
      </c>
      <c r="AG66" s="1285">
        <f>N('R7業務（長+短）'!J54)-N(J66)</f>
        <v>0</v>
      </c>
      <c r="AH66" s="1285">
        <f>N('R7業務（長+短）'!K54)-N(K66)</f>
        <v>0</v>
      </c>
      <c r="AI66" s="1285">
        <f>N('R7業務（長+短）'!L54)-N(L66)</f>
        <v>0</v>
      </c>
      <c r="AJ66" s="1285">
        <f>N('R7業務（長+短）'!M54)-N(M66)</f>
        <v>0</v>
      </c>
      <c r="AK66" s="1285">
        <f>N('R7業務（長+短）'!N54)-N(N66)</f>
        <v>0</v>
      </c>
      <c r="AL66" s="1285">
        <f>N('R7業務（長+短）'!O54)-N(O66)</f>
        <v>0</v>
      </c>
      <c r="AM66" s="1285">
        <f>N('R7業務（長+短）'!P54)-N(P66)</f>
        <v>0</v>
      </c>
      <c r="AN66" s="1285">
        <f>N('R7業務（長+短）'!Q54)-N(Q66)</f>
        <v>0</v>
      </c>
      <c r="AO66" s="1285">
        <f>N('R7業務（長+短）'!R54)-N(R66)</f>
        <v>0</v>
      </c>
      <c r="AP66" s="1285">
        <f>N('R7業務（長+短）'!S54)-N(S66)</f>
        <v>0</v>
      </c>
      <c r="AQ66" s="1285">
        <f>N('R7業務（長+短）'!T54)-N(T66)</f>
        <v>0</v>
      </c>
      <c r="AR66" s="1285">
        <f>N('R7業務（長+短）'!U54)-N(U66)</f>
        <v>0</v>
      </c>
    </row>
    <row r="67">
      <c r="C67" s="1284" t="n">
        <v>0</v>
      </c>
      <c r="D67" s="1284" t="n">
        <v>0</v>
      </c>
      <c r="E67" s="1284" t="n">
        <v>0</v>
      </c>
      <c r="F67" s="1284" t="n">
        <v>0</v>
      </c>
      <c r="G67" s="1284" t="n">
        <v>0</v>
      </c>
      <c r="H67" s="1284" t="n">
        <v>0</v>
      </c>
      <c r="I67" s="1284" t="n">
        <v>0</v>
      </c>
      <c r="J67" s="1284" t="n">
        <v>0</v>
      </c>
      <c r="K67" s="1284" t="n">
        <v>0</v>
      </c>
      <c r="L67" s="1284" t="n">
        <v>0</v>
      </c>
      <c r="M67" s="1284" t="n">
        <v>0</v>
      </c>
      <c r="N67" s="1284" t="n">
        <v>0</v>
      </c>
      <c r="O67" s="1284" t="n">
        <v>0</v>
      </c>
      <c r="Q67" s="1284" t="n">
        <v>0</v>
      </c>
      <c r="Z67" s="1285">
        <f>N('R7業務（長+短）'!C55)-N(C67)</f>
        <v>0</v>
      </c>
      <c r="AA67" s="1285">
        <f>N('R7業務（長+短）'!D55)-N(D67)</f>
        <v>0</v>
      </c>
      <c r="AB67" s="1285">
        <f>N('R7業務（長+短）'!E55)-N(E67)</f>
        <v>0</v>
      </c>
      <c r="AC67" s="1285">
        <f>N('R7業務（長+短）'!F55)-N(F67)</f>
        <v>0</v>
      </c>
      <c r="AD67" s="1285">
        <f>N('R7業務（長+短）'!G55)-N(G67)</f>
        <v>0</v>
      </c>
      <c r="AE67" s="1285">
        <f>N('R7業務（長+短）'!H55)-N(H67)</f>
        <v>0</v>
      </c>
      <c r="AF67" s="1285">
        <f>N('R7業務（長+短）'!I55)-N(I67)</f>
        <v>0</v>
      </c>
      <c r="AG67" s="1285">
        <f>N('R7業務（長+短）'!J55)-N(J67)</f>
        <v>0</v>
      </c>
      <c r="AH67" s="1285">
        <f>N('R7業務（長+短）'!K55)-N(K67)</f>
        <v>0</v>
      </c>
      <c r="AI67" s="1285">
        <f>N('R7業務（長+短）'!L55)-N(L67)</f>
        <v>0</v>
      </c>
      <c r="AJ67" s="1285">
        <f>N('R7業務（長+短）'!M55)-N(M67)</f>
        <v>0</v>
      </c>
      <c r="AK67" s="1285">
        <f>N('R7業務（長+短）'!N55)-N(N67)</f>
        <v>0</v>
      </c>
      <c r="AL67" s="1285">
        <f>N('R7業務（長+短）'!O55)-N(O67)</f>
        <v>0</v>
      </c>
      <c r="AM67" s="1285">
        <f>N('R7業務（長+短）'!P55)-N(P67)</f>
        <v>0</v>
      </c>
      <c r="AN67" s="1285">
        <f>N('R7業務（長+短）'!Q55)-N(Q67)</f>
        <v>0</v>
      </c>
      <c r="AO67" s="1285">
        <f>N('R7業務（長+短）'!R55)-N(R67)</f>
        <v>0</v>
      </c>
      <c r="AP67" s="1285">
        <f>N('R7業務（長+短）'!S55)-N(S67)</f>
        <v>0</v>
      </c>
      <c r="AQ67" s="1285">
        <f>N('R7業務（長+短）'!T55)-N(T67)</f>
        <v>0</v>
      </c>
      <c r="AR67" s="1285">
        <f>N('R7業務（長+短）'!U55)-N(U67)</f>
        <v>0</v>
      </c>
    </row>
    <row r="68">
      <c r="C68" s="1284" t="n">
        <v>0</v>
      </c>
      <c r="D68" s="1284" t="n">
        <v>0</v>
      </c>
      <c r="E68" s="1284" t="n">
        <v>0</v>
      </c>
      <c r="F68" s="1284" t="n">
        <v>0</v>
      </c>
      <c r="G68" s="1284" t="n">
        <v>0</v>
      </c>
      <c r="H68" s="1284" t="n">
        <v>0</v>
      </c>
      <c r="I68" s="1284" t="n">
        <v>0</v>
      </c>
      <c r="J68" s="1284" t="n">
        <v>0</v>
      </c>
      <c r="K68" s="1284" t="n">
        <v>0</v>
      </c>
      <c r="L68" s="1284" t="n">
        <v>0</v>
      </c>
      <c r="M68" s="1284" t="n">
        <v>0</v>
      </c>
      <c r="N68" s="1284" t="n">
        <v>0</v>
      </c>
      <c r="O68" s="1284" t="n">
        <v>0</v>
      </c>
      <c r="Q68" s="1284" t="n">
        <v>0</v>
      </c>
      <c r="Z68" s="1285">
        <f>N('R7業務（長+短）'!C56)-N(C68)</f>
        <v>0</v>
      </c>
      <c r="AA68" s="1285">
        <f>N('R7業務（長+短）'!D56)-N(D68)</f>
        <v>0</v>
      </c>
      <c r="AB68" s="1285">
        <f>N('R7業務（長+短）'!E56)-N(E68)</f>
        <v>0</v>
      </c>
      <c r="AC68" s="1285">
        <f>N('R7業務（長+短）'!F56)-N(F68)</f>
        <v>0</v>
      </c>
      <c r="AD68" s="1285">
        <f>N('R7業務（長+短）'!G56)-N(G68)</f>
        <v>0</v>
      </c>
      <c r="AE68" s="1285">
        <f>N('R7業務（長+短）'!H56)-N(H68)</f>
        <v>0</v>
      </c>
      <c r="AF68" s="1285">
        <f>N('R7業務（長+短）'!I56)-N(I68)</f>
        <v>0</v>
      </c>
      <c r="AG68" s="1285">
        <f>N('R7業務（長+短）'!J56)-N(J68)</f>
        <v>0</v>
      </c>
      <c r="AH68" s="1285">
        <f>N('R7業務（長+短）'!K56)-N(K68)</f>
        <v>0</v>
      </c>
      <c r="AI68" s="1285">
        <f>N('R7業務（長+短）'!L56)-N(L68)</f>
        <v>0</v>
      </c>
      <c r="AJ68" s="1285">
        <f>N('R7業務（長+短）'!M56)-N(M68)</f>
        <v>0</v>
      </c>
      <c r="AK68" s="1285">
        <f>N('R7業務（長+短）'!N56)-N(N68)</f>
        <v>0</v>
      </c>
      <c r="AL68" s="1285">
        <f>N('R7業務（長+短）'!O56)-N(O68)</f>
        <v>0</v>
      </c>
      <c r="AM68" s="1285">
        <f>N('R7業務（長+短）'!P56)-N(P68)</f>
        <v>0</v>
      </c>
      <c r="AN68" s="1285">
        <f>N('R7業務（長+短）'!Q56)-N(Q68)</f>
        <v>0</v>
      </c>
      <c r="AO68" s="1285">
        <f>N('R7業務（長+短）'!R56)-N(R68)</f>
        <v>0</v>
      </c>
      <c r="AP68" s="1285">
        <f>N('R7業務（長+短）'!S56)-N(S68)</f>
        <v>0</v>
      </c>
      <c r="AQ68" s="1285">
        <f>N('R7業務（長+短）'!T56)-N(T68)</f>
        <v>0</v>
      </c>
      <c r="AR68" s="1285">
        <f>N('R7業務（長+短）'!U56)-N(U68)</f>
        <v>0</v>
      </c>
    </row>
    <row r="69">
      <c r="C69" s="1284" t="n">
        <v>0</v>
      </c>
      <c r="D69" s="1284" t="n">
        <v>0</v>
      </c>
      <c r="E69" s="1284" t="n">
        <v>0</v>
      </c>
      <c r="F69" s="1284" t="n">
        <v>0</v>
      </c>
      <c r="G69" s="1284" t="n">
        <v>0</v>
      </c>
      <c r="H69" s="1284" t="n">
        <v>0</v>
      </c>
      <c r="I69" s="1284" t="n">
        <v>0</v>
      </c>
      <c r="J69" s="1284" t="n">
        <v>0</v>
      </c>
      <c r="K69" s="1284" t="n">
        <v>0</v>
      </c>
      <c r="L69" s="1284" t="n">
        <v>0</v>
      </c>
      <c r="M69" s="1284" t="n">
        <v>0</v>
      </c>
      <c r="N69" s="1284" t="n">
        <v>0</v>
      </c>
      <c r="O69" s="1284" t="n">
        <v>0</v>
      </c>
      <c r="Q69" s="1284" t="n">
        <v>0</v>
      </c>
      <c r="Z69" s="1285">
        <f>N('R7業務（長+短）'!C57)-N(C69)</f>
        <v>0</v>
      </c>
      <c r="AA69" s="1285">
        <f>N('R7業務（長+短）'!D57)-N(D69)</f>
        <v>0</v>
      </c>
      <c r="AB69" s="1285">
        <f>N('R7業務（長+短）'!E57)-N(E69)</f>
        <v>0</v>
      </c>
      <c r="AC69" s="1285">
        <f>N('R7業務（長+短）'!F57)-N(F69)</f>
        <v>0</v>
      </c>
      <c r="AD69" s="1285">
        <f>N('R7業務（長+短）'!G57)-N(G69)</f>
        <v>0</v>
      </c>
      <c r="AE69" s="1285">
        <f>N('R7業務（長+短）'!H57)-N(H69)</f>
        <v>0</v>
      </c>
      <c r="AF69" s="1285">
        <f>N('R7業務（長+短）'!I57)-N(I69)</f>
        <v>0</v>
      </c>
      <c r="AG69" s="1285">
        <f>N('R7業務（長+短）'!J57)-N(J69)</f>
        <v>0</v>
      </c>
      <c r="AH69" s="1285">
        <f>N('R7業務（長+短）'!K57)-N(K69)</f>
        <v>0</v>
      </c>
      <c r="AI69" s="1285">
        <f>N('R7業務（長+短）'!L57)-N(L69)</f>
        <v>0</v>
      </c>
      <c r="AJ69" s="1285">
        <f>N('R7業務（長+短）'!M57)-N(M69)</f>
        <v>0</v>
      </c>
      <c r="AK69" s="1285">
        <f>N('R7業務（長+短）'!N57)-N(N69)</f>
        <v>0</v>
      </c>
      <c r="AL69" s="1285">
        <f>N('R7業務（長+短）'!O57)-N(O69)</f>
        <v>0</v>
      </c>
      <c r="AM69" s="1285">
        <f>N('R7業務（長+短）'!P57)-N(P69)</f>
        <v>0</v>
      </c>
      <c r="AN69" s="1285">
        <f>N('R7業務（長+短）'!Q57)-N(Q69)</f>
        <v>0</v>
      </c>
      <c r="AO69" s="1285">
        <f>N('R7業務（長+短）'!R57)-N(R69)</f>
        <v>0</v>
      </c>
      <c r="AP69" s="1285">
        <f>N('R7業務（長+短）'!S57)-N(S69)</f>
        <v>0</v>
      </c>
      <c r="AQ69" s="1285">
        <f>N('R7業務（長+短）'!T57)-N(T69)</f>
        <v>0</v>
      </c>
      <c r="AR69" s="1285">
        <f>N('R7業務（長+短）'!U57)-N(U69)</f>
        <v>0</v>
      </c>
    </row>
    <row r="70">
      <c r="C70" s="1284" t="n">
        <v>698140</v>
      </c>
      <c r="D70" s="1284" t="n">
        <v>629236</v>
      </c>
      <c r="E70" s="1284" t="n">
        <v>631304</v>
      </c>
      <c r="F70" s="1284" t="n">
        <v>637508</v>
      </c>
      <c r="G70" s="1284" t="n">
        <v>625100</v>
      </c>
      <c r="H70" s="1284" t="n">
        <v>639576</v>
      </c>
      <c r="I70" s="1284" t="n">
        <v>764882</v>
      </c>
      <c r="J70" s="1284" t="n">
        <v>609611</v>
      </c>
      <c r="K70" s="1284" t="n">
        <v>857756</v>
      </c>
      <c r="L70" s="1284" t="n">
        <v>623876</v>
      </c>
      <c r="M70" s="1284" t="n">
        <v>627946</v>
      </c>
      <c r="N70" s="1284" t="n">
        <v>699347</v>
      </c>
      <c r="O70" s="1284" t="n">
        <v>42640</v>
      </c>
      <c r="Q70" s="1284" t="n">
        <v>8086922</v>
      </c>
      <c r="Z70" s="1285">
        <f>N('R7業務（長+短）'!C58)-N(C70)</f>
        <v>0</v>
      </c>
      <c r="AA70" s="1285">
        <f>N('R7業務（長+短）'!D58)-N(D70)</f>
        <v>0</v>
      </c>
      <c r="AB70" s="1285">
        <f>N('R7業務（長+短）'!E58)-N(E70)</f>
        <v>0</v>
      </c>
      <c r="AC70" s="1285">
        <f>N('R7業務（長+短）'!F58)-N(F70)</f>
        <v>0</v>
      </c>
      <c r="AD70" s="1285">
        <f>N('R7業務（長+短）'!G58)-N(G70)</f>
        <v>0</v>
      </c>
      <c r="AE70" s="1285">
        <f>N('R7業務（長+短）'!H58)-N(H70)</f>
        <v>0</v>
      </c>
      <c r="AF70" s="1285">
        <f>N('R7業務（長+短）'!I58)-N(I70)</f>
        <v>0</v>
      </c>
      <c r="AG70" s="1285">
        <f>N('R7業務（長+短）'!J58)-N(J70)</f>
        <v>0</v>
      </c>
      <c r="AH70" s="1285">
        <f>N('R7業務（長+短）'!K58)-N(K70)</f>
        <v>0</v>
      </c>
      <c r="AI70" s="1285">
        <f>N('R7業務（長+短）'!L58)-N(L70)</f>
        <v>0</v>
      </c>
      <c r="AJ70" s="1285">
        <f>N('R7業務（長+短）'!M58)-N(M70)</f>
        <v>0</v>
      </c>
      <c r="AK70" s="1285">
        <f>N('R7業務（長+短）'!N58)-N(N70)</f>
        <v>0</v>
      </c>
      <c r="AL70" s="1285">
        <f>N('R7業務（長+短）'!O58)-N(O70)</f>
        <v>0</v>
      </c>
      <c r="AM70" s="1285">
        <f>N('R7業務（長+短）'!P58)-N(P70)</f>
        <v>0</v>
      </c>
      <c r="AN70" s="1285">
        <f>N('R7業務（長+短）'!Q58)-N(Q70)</f>
        <v>0</v>
      </c>
      <c r="AO70" s="1285">
        <f>N('R7業務（長+短）'!R58)-N(R70)</f>
        <v>0</v>
      </c>
      <c r="AP70" s="1285">
        <f>N('R7業務（長+短）'!S58)-N(S70)</f>
        <v>0</v>
      </c>
      <c r="AQ70" s="1285">
        <f>N('R7業務（長+短）'!T58)-N(T70)</f>
        <v>0</v>
      </c>
      <c r="AR70" s="1285">
        <f>N('R7業務（長+短）'!U58)-N(U70)</f>
        <v>0</v>
      </c>
    </row>
    <row r="71">
      <c r="C71" s="1284" t="n">
        <v>0</v>
      </c>
      <c r="D71" s="1284" t="n">
        <v>0</v>
      </c>
      <c r="E71" s="1284" t="n">
        <v>1315485</v>
      </c>
      <c r="F71" s="1284" t="n">
        <v>0</v>
      </c>
      <c r="G71" s="1284" t="n">
        <v>0</v>
      </c>
      <c r="H71" s="1284" t="n">
        <v>0</v>
      </c>
      <c r="I71" s="1284" t="n">
        <v>0</v>
      </c>
      <c r="J71" s="1284" t="n">
        <v>0</v>
      </c>
      <c r="K71" s="1284" t="n">
        <v>1054637</v>
      </c>
      <c r="L71" s="1284" t="n">
        <v>0</v>
      </c>
      <c r="M71" s="1284" t="n">
        <v>0</v>
      </c>
      <c r="N71" s="1284" t="n">
        <v>0</v>
      </c>
      <c r="O71" s="1284" t="n">
        <v>0</v>
      </c>
      <c r="Q71" s="1284" t="n">
        <v>2370122</v>
      </c>
      <c r="Z71" s="1285">
        <f>N('R7業務（長+短）'!C59)-N(C71)</f>
        <v>0</v>
      </c>
      <c r="AA71" s="1285">
        <f>N('R7業務（長+短）'!D59)-N(D71)</f>
        <v>0</v>
      </c>
      <c r="AB71" s="1285">
        <f>N('R7業務（長+短）'!E59)-N(E71)</f>
        <v>0</v>
      </c>
      <c r="AC71" s="1285">
        <f>N('R7業務（長+短）'!F59)-N(F71)</f>
        <v>0</v>
      </c>
      <c r="AD71" s="1285">
        <f>N('R7業務（長+短）'!G59)-N(G71)</f>
        <v>0</v>
      </c>
      <c r="AE71" s="1285">
        <f>N('R7業務（長+短）'!H59)-N(H71)</f>
        <v>0</v>
      </c>
      <c r="AF71" s="1285">
        <f>N('R7業務（長+短）'!I59)-N(I71)</f>
        <v>0</v>
      </c>
      <c r="AG71" s="1285">
        <f>N('R7業務（長+短）'!J59)-N(J71)</f>
        <v>0</v>
      </c>
      <c r="AH71" s="1285">
        <f>N('R7業務（長+短）'!K59)-N(K71)</f>
        <v>0</v>
      </c>
      <c r="AI71" s="1285">
        <f>N('R7業務（長+短）'!L59)-N(L71)</f>
        <v>0</v>
      </c>
      <c r="AJ71" s="1285">
        <f>N('R7業務（長+短）'!M59)-N(M71)</f>
        <v>0</v>
      </c>
      <c r="AK71" s="1285">
        <f>N('R7業務（長+短）'!N59)-N(N71)</f>
        <v>0</v>
      </c>
      <c r="AL71" s="1285">
        <f>N('R7業務（長+短）'!O59)-N(O71)</f>
        <v>0</v>
      </c>
      <c r="AM71" s="1285">
        <f>N('R7業務（長+短）'!P59)-N(P71)</f>
        <v>0</v>
      </c>
      <c r="AN71" s="1285">
        <f>N('R7業務（長+短）'!Q59)-N(Q71)</f>
        <v>0</v>
      </c>
      <c r="AO71" s="1285">
        <f>N('R7業務（長+短）'!R59)-N(R71)</f>
        <v>0</v>
      </c>
      <c r="AP71" s="1285">
        <f>N('R7業務（長+短）'!S59)-N(S71)</f>
        <v>0</v>
      </c>
      <c r="AQ71" s="1285">
        <f>N('R7業務（長+短）'!T59)-N(T71)</f>
        <v>0</v>
      </c>
      <c r="AR71" s="1285">
        <f>N('R7業務（長+短）'!U59)-N(U71)</f>
        <v>0</v>
      </c>
    </row>
    <row r="72">
      <c r="C72" s="1284" t="n">
        <v>698140</v>
      </c>
      <c r="D72" s="1284" t="n">
        <v>629236</v>
      </c>
      <c r="E72" s="1284" t="n">
        <v>1946789</v>
      </c>
      <c r="F72" s="1284" t="n">
        <v>637508</v>
      </c>
      <c r="G72" s="1284" t="n">
        <v>625100</v>
      </c>
      <c r="H72" s="1284" t="n">
        <v>639576</v>
      </c>
      <c r="I72" s="1284" t="n">
        <v>764882</v>
      </c>
      <c r="J72" s="1284" t="n">
        <v>609611</v>
      </c>
      <c r="K72" s="1284" t="n">
        <v>1912393</v>
      </c>
      <c r="L72" s="1284" t="n">
        <v>623876</v>
      </c>
      <c r="M72" s="1284" t="n">
        <v>627946</v>
      </c>
      <c r="N72" s="1284" t="n">
        <v>699347</v>
      </c>
      <c r="O72" s="1284" t="n">
        <v>42640</v>
      </c>
      <c r="Q72" s="1284" t="n">
        <v>10457044</v>
      </c>
      <c r="Z72" s="1285">
        <f>N('R7業務（長+短）'!C60)-N(C72)</f>
        <v>0</v>
      </c>
      <c r="AA72" s="1285">
        <f>N('R7業務（長+短）'!D60)-N(D72)</f>
        <v>0</v>
      </c>
      <c r="AB72" s="1285">
        <f>N('R7業務（長+短）'!E60)-N(E72)</f>
        <v>0</v>
      </c>
      <c r="AC72" s="1285">
        <f>N('R7業務（長+短）'!F60)-N(F72)</f>
        <v>0</v>
      </c>
      <c r="AD72" s="1285">
        <f>N('R7業務（長+短）'!G60)-N(G72)</f>
        <v>0</v>
      </c>
      <c r="AE72" s="1285">
        <f>N('R7業務（長+短）'!H60)-N(H72)</f>
        <v>0</v>
      </c>
      <c r="AF72" s="1285">
        <f>N('R7業務（長+短）'!I60)-N(I72)</f>
        <v>0</v>
      </c>
      <c r="AG72" s="1285">
        <f>N('R7業務（長+短）'!J60)-N(J72)</f>
        <v>0</v>
      </c>
      <c r="AH72" s="1285">
        <f>N('R7業務（長+短）'!K60)-N(K72)</f>
        <v>0</v>
      </c>
      <c r="AI72" s="1285">
        <f>N('R7業務（長+短）'!L60)-N(L72)</f>
        <v>0</v>
      </c>
      <c r="AJ72" s="1285">
        <f>N('R7業務（長+短）'!M60)-N(M72)</f>
        <v>0</v>
      </c>
      <c r="AK72" s="1285">
        <f>N('R7業務（長+短）'!N60)-N(N72)</f>
        <v>0</v>
      </c>
      <c r="AL72" s="1285">
        <f>N('R7業務（長+短）'!O60)-N(O72)</f>
        <v>0</v>
      </c>
      <c r="AM72" s="1285">
        <f>N('R7業務（長+短）'!P60)-N(P72)</f>
        <v>0</v>
      </c>
      <c r="AN72" s="1285">
        <f>N('R7業務（長+短）'!Q60)-N(Q72)</f>
        <v>0</v>
      </c>
      <c r="AO72" s="1285">
        <f>N('R7業務（長+短）'!R60)-N(R72)</f>
        <v>0</v>
      </c>
      <c r="AP72" s="1285">
        <f>N('R7業務（長+短）'!S60)-N(S72)</f>
        <v>0</v>
      </c>
      <c r="AQ72" s="1285">
        <f>N('R7業務（長+短）'!T60)-N(T72)</f>
        <v>0</v>
      </c>
      <c r="AR72" s="1285">
        <f>N('R7業務（長+短）'!U60)-N(U72)</f>
        <v>0</v>
      </c>
    </row>
    <row r="73">
      <c r="Z73" s="1285">
        <f>N('R7業務（長+短）'!C61)-N(C73)</f>
        <v>0</v>
      </c>
      <c r="AA73" s="1285">
        <f>N('R7業務（長+短）'!D61)-N(D73)</f>
        <v>0</v>
      </c>
      <c r="AB73" s="1285">
        <f>N('R7業務（長+短）'!E61)-N(E73)</f>
        <v>0</v>
      </c>
      <c r="AC73" s="1285">
        <f>N('R7業務（長+短）'!F61)-N(F73)</f>
        <v>0</v>
      </c>
      <c r="AD73" s="1285">
        <f>N('R7業務（長+短）'!G61)-N(G73)</f>
        <v>0</v>
      </c>
      <c r="AE73" s="1285">
        <f>N('R7業務（長+短）'!H61)-N(H73)</f>
        <v>0</v>
      </c>
      <c r="AF73" s="1285">
        <f>N('R7業務（長+短）'!I61)-N(I73)</f>
        <v>0</v>
      </c>
      <c r="AG73" s="1285">
        <f>N('R7業務（長+短）'!J61)-N(J73)</f>
        <v>0</v>
      </c>
      <c r="AH73" s="1285">
        <f>N('R7業務（長+短）'!K61)-N(K73)</f>
        <v>0</v>
      </c>
      <c r="AI73" s="1285">
        <f>N('R7業務（長+短）'!L61)-N(L73)</f>
        <v>0</v>
      </c>
      <c r="AJ73" s="1285">
        <f>N('R7業務（長+短）'!M61)-N(M73)</f>
        <v>0</v>
      </c>
      <c r="AK73" s="1285">
        <f>N('R7業務（長+短）'!N61)-N(N73)</f>
        <v>0</v>
      </c>
      <c r="AL73" s="1285">
        <f>N('R7業務（長+短）'!O61)-N(O73)</f>
        <v>0</v>
      </c>
      <c r="AM73" s="1285">
        <f>N('R7業務（長+短）'!P61)-N(P73)</f>
        <v>0</v>
      </c>
      <c r="AN73" s="1285">
        <f>N('R7業務（長+短）'!Q61)-N(Q73)</f>
        <v>0</v>
      </c>
      <c r="AO73" s="1285">
        <f>N('R7業務（長+短）'!R61)-N(R73)</f>
        <v>0</v>
      </c>
      <c r="AP73" s="1285">
        <f>N('R7業務（長+短）'!S61)-N(S73)</f>
        <v>0</v>
      </c>
      <c r="AQ73" s="1285">
        <f>N('R7業務（長+短）'!T61)-N(T73)</f>
        <v>0</v>
      </c>
      <c r="AR73" s="1285">
        <f>N('R7業務（長+短）'!U61)-N(U73)</f>
        <v>0</v>
      </c>
    </row>
    <row r="74">
      <c r="C74" s="1284" t="n">
        <v>698140</v>
      </c>
      <c r="D74" s="1284" t="n">
        <v>1055116</v>
      </c>
      <c r="E74" s="1284" t="n">
        <v>2311829</v>
      </c>
      <c r="F74" s="1284" t="n">
        <v>1083668</v>
      </c>
      <c r="G74" s="1284" t="n">
        <v>1070820</v>
      </c>
      <c r="H74" s="1284" t="n">
        <v>1024056</v>
      </c>
      <c r="I74" s="1284" t="n">
        <v>1154042</v>
      </c>
      <c r="J74" s="1284" t="n">
        <v>1026191</v>
      </c>
      <c r="K74" s="1284" t="n">
        <v>2253313</v>
      </c>
      <c r="L74" s="1284" t="n">
        <v>1001396</v>
      </c>
      <c r="M74" s="1284" t="n">
        <v>987066</v>
      </c>
      <c r="N74" s="1284" t="n">
        <v>1038687</v>
      </c>
      <c r="O74" s="1284" t="n">
        <v>382208</v>
      </c>
      <c r="Q74" s="1284" t="n">
        <v>15086532</v>
      </c>
      <c r="Z74" s="1285">
        <f>N('R7業務（長+短）'!C62)-N(C74)</f>
        <v>0</v>
      </c>
      <c r="AA74" s="1285">
        <f>N('R7業務（長+短）'!D62)-N(D74)</f>
        <v>0</v>
      </c>
      <c r="AB74" s="1285">
        <f>N('R7業務（長+短）'!E62)-N(E74)</f>
        <v>0</v>
      </c>
      <c r="AC74" s="1285">
        <f>N('R7業務（長+短）'!F62)-N(F74)</f>
        <v>0</v>
      </c>
      <c r="AD74" s="1285">
        <f>N('R7業務（長+短）'!G62)-N(G74)</f>
        <v>0</v>
      </c>
      <c r="AE74" s="1285">
        <f>N('R7業務（長+短）'!H62)-N(H74)</f>
        <v>0</v>
      </c>
      <c r="AF74" s="1285">
        <f>N('R7業務（長+短）'!I62)-N(I74)</f>
        <v>0</v>
      </c>
      <c r="AG74" s="1285">
        <f>N('R7業務（長+短）'!J62)-N(J74)</f>
        <v>0</v>
      </c>
      <c r="AH74" s="1285">
        <f>N('R7業務（長+短）'!K62)-N(K74)</f>
        <v>0</v>
      </c>
      <c r="AI74" s="1285">
        <f>N('R7業務（長+短）'!L62)-N(L74)</f>
        <v>0</v>
      </c>
      <c r="AJ74" s="1285">
        <f>N('R7業務（長+短）'!M62)-N(M74)</f>
        <v>0</v>
      </c>
      <c r="AK74" s="1285">
        <f>N('R7業務（長+短）'!N62)-N(N74)</f>
        <v>0</v>
      </c>
      <c r="AL74" s="1285">
        <f>N('R7業務（長+短）'!O62)-N(O74)</f>
        <v>0</v>
      </c>
      <c r="AM74" s="1285">
        <f>N('R7業務（長+短）'!P62)-N(P74)</f>
        <v>0</v>
      </c>
      <c r="AN74" s="1285">
        <f>N('R7業務（長+短）'!Q62)-N(Q74)</f>
        <v>0</v>
      </c>
      <c r="AO74" s="1285">
        <f>N('R7業務（長+短）'!R62)-N(R74)</f>
        <v>0</v>
      </c>
      <c r="AP74" s="1285">
        <f>N('R7業務（長+短）'!S62)-N(S74)</f>
        <v>0</v>
      </c>
      <c r="AQ74" s="1285">
        <f>N('R7業務（長+短）'!T62)-N(T74)</f>
        <v>0</v>
      </c>
      <c r="AR74" s="1285">
        <f>N('R7業務（長+短）'!U62)-N(U74)</f>
        <v>0</v>
      </c>
    </row>
    <row r="81">
      <c r="A81" s="1283" t="inlineStr">
        <is>
          <t>【R7業務 (短)】 旧表の値（A:W）／ 差（Z:AV）</t>
        </is>
      </c>
    </row>
    <row r="86">
      <c r="C86" s="1284" t="n">
        <v>0</v>
      </c>
      <c r="D86" s="1284" t="n">
        <v>0</v>
      </c>
      <c r="E86" s="1284" t="n">
        <v>10522</v>
      </c>
      <c r="F86" s="1284" t="n">
        <v>0</v>
      </c>
      <c r="G86" s="1284" t="n">
        <v>0</v>
      </c>
      <c r="H86" s="1284" t="n">
        <v>0</v>
      </c>
      <c r="I86" s="1284" t="n">
        <v>0</v>
      </c>
      <c r="J86" s="1284" t="n">
        <v>0</v>
      </c>
      <c r="K86" s="1284" t="n">
        <v>0</v>
      </c>
      <c r="L86" s="1284" t="n">
        <v>0</v>
      </c>
      <c r="M86" s="1284" t="n">
        <v>0</v>
      </c>
      <c r="N86" s="1284" t="n">
        <v>5261</v>
      </c>
      <c r="O86" s="1284" t="n">
        <v>0</v>
      </c>
      <c r="P86" s="1284" t="n">
        <v>15783</v>
      </c>
      <c r="Q86" s="1284" t="n">
        <v>16000</v>
      </c>
      <c r="S86" s="1284" t="n">
        <v>16000</v>
      </c>
      <c r="T86" s="1284" t="n">
        <v>217</v>
      </c>
      <c r="Z86" s="1285">
        <f>N('R7業務 (短)'!C4)-N(C86)</f>
        <v>0</v>
      </c>
      <c r="AA86" s="1285">
        <f>N('R7業務 (短)'!D4)-N(D86)</f>
        <v>0</v>
      </c>
      <c r="AB86" s="1285">
        <f>N('R7業務 (短)'!E4)-N(E86)</f>
        <v>0</v>
      </c>
      <c r="AC86" s="1285">
        <f>N('R7業務 (短)'!F4)-N(F86)</f>
        <v>0</v>
      </c>
      <c r="AD86" s="1285">
        <f>N('R7業務 (短)'!G4)-N(G86)</f>
        <v>0</v>
      </c>
      <c r="AE86" s="1285">
        <f>N('R7業務 (短)'!H4)-N(H86)</f>
        <v>0</v>
      </c>
      <c r="AF86" s="1285">
        <f>N('R7業務 (短)'!I4)-N(I86)</f>
        <v>0</v>
      </c>
      <c r="AG86" s="1285">
        <f>N('R7業務 (短)'!J4)-N(J86)</f>
        <v>0</v>
      </c>
      <c r="AH86" s="1285">
        <f>N('R7業務 (短)'!K4)-N(K86)</f>
        <v>0</v>
      </c>
      <c r="AI86" s="1285">
        <f>N('R7業務 (短)'!L4)-N(L86)</f>
        <v>0</v>
      </c>
      <c r="AJ86" s="1285">
        <f>N('R7業務 (短)'!M4)-N(M86)</f>
        <v>0</v>
      </c>
      <c r="AK86" s="1285">
        <f>N('R7業務 (短)'!N4)-N(N86)</f>
        <v>0</v>
      </c>
      <c r="AL86" s="1285">
        <f>N('R7業務 (短)'!O4)-N(O86)</f>
        <v>0</v>
      </c>
      <c r="AM86" s="1285">
        <f>N('R7業務 (短)'!P4)-N(P86)</f>
        <v>0</v>
      </c>
      <c r="AN86" s="1285">
        <f>N('R7業務 (短)'!Q4)-N(Q86)</f>
        <v>0</v>
      </c>
      <c r="AO86" s="1285">
        <f>N('R7業務 (短)'!R4)-N(R86)</f>
        <v>0</v>
      </c>
      <c r="AP86" s="1285">
        <f>N('R7業務 (短)'!S4)-N(S86)</f>
        <v>0</v>
      </c>
      <c r="AQ86" s="1285">
        <f>N('R7業務 (短)'!T4)-N(T86)</f>
        <v>0</v>
      </c>
      <c r="AR86" s="1285">
        <f>N('R7業務 (短)'!U4)-N(U86)</f>
        <v>0</v>
      </c>
    </row>
    <row r="87">
      <c r="C87" s="1284" t="n">
        <v>0</v>
      </c>
      <c r="D87" s="1284" t="n">
        <v>0</v>
      </c>
      <c r="E87" s="1284" t="n">
        <v>0</v>
      </c>
      <c r="F87" s="1284" t="n">
        <v>0</v>
      </c>
      <c r="G87" s="1284" t="n">
        <v>0</v>
      </c>
      <c r="H87" s="1284" t="n">
        <v>0</v>
      </c>
      <c r="I87" s="1284" t="n">
        <v>0</v>
      </c>
      <c r="J87" s="1284" t="n">
        <v>0</v>
      </c>
      <c r="K87" s="1284" t="n">
        <v>0</v>
      </c>
      <c r="L87" s="1284" t="n">
        <v>0</v>
      </c>
      <c r="M87" s="1284" t="n">
        <v>0</v>
      </c>
      <c r="N87" s="1284" t="n">
        <v>0</v>
      </c>
      <c r="O87" s="1284" t="n">
        <v>0</v>
      </c>
      <c r="P87" s="1284" t="n">
        <v>0</v>
      </c>
      <c r="Q87" s="1284" t="n">
        <v>0</v>
      </c>
      <c r="S87" s="1284" t="n">
        <v>0</v>
      </c>
      <c r="T87" s="1284" t="n">
        <v>0</v>
      </c>
      <c r="Z87" s="1285">
        <f>N('R7業務 (短)'!C5)-N(C87)</f>
        <v>0</v>
      </c>
      <c r="AA87" s="1285">
        <f>N('R7業務 (短)'!D5)-N(D87)</f>
        <v>0</v>
      </c>
      <c r="AB87" s="1285">
        <f>N('R7業務 (短)'!E5)-N(E87)</f>
        <v>0</v>
      </c>
      <c r="AC87" s="1285">
        <f>N('R7業務 (短)'!F5)-N(F87)</f>
        <v>0</v>
      </c>
      <c r="AD87" s="1285">
        <f>N('R7業務 (短)'!G5)-N(G87)</f>
        <v>0</v>
      </c>
      <c r="AE87" s="1285">
        <f>N('R7業務 (短)'!H5)-N(H87)</f>
        <v>0</v>
      </c>
      <c r="AF87" s="1285">
        <f>N('R7業務 (短)'!I5)-N(I87)</f>
        <v>0</v>
      </c>
      <c r="AG87" s="1285">
        <f>N('R7業務 (短)'!J5)-N(J87)</f>
        <v>0</v>
      </c>
      <c r="AH87" s="1285">
        <f>N('R7業務 (短)'!K5)-N(K87)</f>
        <v>0</v>
      </c>
      <c r="AI87" s="1285">
        <f>N('R7業務 (短)'!L5)-N(L87)</f>
        <v>0</v>
      </c>
      <c r="AJ87" s="1285">
        <f>N('R7業務 (短)'!M5)-N(M87)</f>
        <v>0</v>
      </c>
      <c r="AK87" s="1285">
        <f>N('R7業務 (短)'!N5)-N(N87)</f>
        <v>0</v>
      </c>
      <c r="AL87" s="1285">
        <f>N('R7業務 (短)'!O5)-N(O87)</f>
        <v>0</v>
      </c>
      <c r="AM87" s="1285">
        <f>N('R7業務 (短)'!P5)-N(P87)</f>
        <v>0</v>
      </c>
      <c r="AN87" s="1285">
        <f>N('R7業務 (短)'!Q5)-N(Q87)</f>
        <v>0</v>
      </c>
      <c r="AO87" s="1285">
        <f>N('R7業務 (短)'!R5)-N(R87)</f>
        <v>0</v>
      </c>
      <c r="AP87" s="1285">
        <f>N('R7業務 (短)'!S5)-N(S87)</f>
        <v>0</v>
      </c>
      <c r="AQ87" s="1285">
        <f>N('R7業務 (短)'!T5)-N(T87)</f>
        <v>0</v>
      </c>
      <c r="AR87" s="1285">
        <f>N('R7業務 (短)'!U5)-N(U87)</f>
        <v>0</v>
      </c>
    </row>
    <row r="88">
      <c r="C88" s="1284" t="n">
        <v>0</v>
      </c>
      <c r="D88" s="1284" t="n">
        <v>0</v>
      </c>
      <c r="E88" s="1284" t="n">
        <v>0</v>
      </c>
      <c r="F88" s="1284" t="n">
        <v>0</v>
      </c>
      <c r="G88" s="1284" t="n">
        <v>0</v>
      </c>
      <c r="H88" s="1284" t="n">
        <v>0</v>
      </c>
      <c r="I88" s="1284" t="n">
        <v>0</v>
      </c>
      <c r="J88" s="1284" t="n">
        <v>0</v>
      </c>
      <c r="K88" s="1284" t="n">
        <v>0</v>
      </c>
      <c r="L88" s="1284" t="n">
        <v>0</v>
      </c>
      <c r="M88" s="1284" t="n">
        <v>0</v>
      </c>
      <c r="N88" s="1284" t="n">
        <v>0</v>
      </c>
      <c r="O88" s="1284" t="n">
        <v>0</v>
      </c>
      <c r="P88" s="1284" t="n">
        <v>0</v>
      </c>
      <c r="Q88" s="1284" t="n">
        <v>0</v>
      </c>
      <c r="S88" s="1284" t="n">
        <v>0</v>
      </c>
      <c r="T88" s="1284" t="n">
        <v>0</v>
      </c>
      <c r="Z88" s="1285">
        <f>N('R7業務 (短)'!C6)-N(C88)</f>
        <v>0</v>
      </c>
      <c r="AA88" s="1285">
        <f>N('R7業務 (短)'!D6)-N(D88)</f>
        <v>0</v>
      </c>
      <c r="AB88" s="1285">
        <f>N('R7業務 (短)'!E6)-N(E88)</f>
        <v>0</v>
      </c>
      <c r="AC88" s="1285">
        <f>N('R7業務 (短)'!F6)-N(F88)</f>
        <v>0</v>
      </c>
      <c r="AD88" s="1285">
        <f>N('R7業務 (短)'!G6)-N(G88)</f>
        <v>0</v>
      </c>
      <c r="AE88" s="1285">
        <f>N('R7業務 (短)'!H6)-N(H88)</f>
        <v>0</v>
      </c>
      <c r="AF88" s="1285">
        <f>N('R7業務 (短)'!I6)-N(I88)</f>
        <v>0</v>
      </c>
      <c r="AG88" s="1285">
        <f>N('R7業務 (短)'!J6)-N(J88)</f>
        <v>0</v>
      </c>
      <c r="AH88" s="1285">
        <f>N('R7業務 (短)'!K6)-N(K88)</f>
        <v>0</v>
      </c>
      <c r="AI88" s="1285">
        <f>N('R7業務 (短)'!L6)-N(L88)</f>
        <v>0</v>
      </c>
      <c r="AJ88" s="1285">
        <f>N('R7業務 (短)'!M6)-N(M88)</f>
        <v>0</v>
      </c>
      <c r="AK88" s="1285">
        <f>N('R7業務 (短)'!N6)-N(N88)</f>
        <v>0</v>
      </c>
      <c r="AL88" s="1285">
        <f>N('R7業務 (短)'!O6)-N(O88)</f>
        <v>0</v>
      </c>
      <c r="AM88" s="1285">
        <f>N('R7業務 (短)'!P6)-N(P88)</f>
        <v>0</v>
      </c>
      <c r="AN88" s="1285">
        <f>N('R7業務 (短)'!Q6)-N(Q88)</f>
        <v>0</v>
      </c>
      <c r="AO88" s="1285">
        <f>N('R7業務 (短)'!R6)-N(R88)</f>
        <v>0</v>
      </c>
      <c r="AP88" s="1285">
        <f>N('R7業務 (短)'!S6)-N(S88)</f>
        <v>0</v>
      </c>
      <c r="AQ88" s="1285">
        <f>N('R7業務 (短)'!T6)-N(T88)</f>
        <v>0</v>
      </c>
      <c r="AR88" s="1285">
        <f>N('R7業務 (短)'!U6)-N(U88)</f>
        <v>0</v>
      </c>
    </row>
    <row r="89">
      <c r="C89" s="1284" t="n">
        <v>317340</v>
      </c>
      <c r="D89" s="1284" t="n">
        <v>248436</v>
      </c>
      <c r="E89" s="1284" t="n">
        <v>698299</v>
      </c>
      <c r="F89" s="1284" t="n">
        <v>256708</v>
      </c>
      <c r="G89" s="1284" t="n">
        <v>244300</v>
      </c>
      <c r="H89" s="1284" t="n">
        <v>258776</v>
      </c>
      <c r="I89" s="1284" t="n">
        <v>383109</v>
      </c>
      <c r="J89" s="1284" t="n">
        <v>227838</v>
      </c>
      <c r="K89" s="1284" t="n">
        <v>742061</v>
      </c>
      <c r="L89" s="1284" t="n">
        <v>228265</v>
      </c>
      <c r="M89" s="1284" t="n">
        <v>232335</v>
      </c>
      <c r="N89" s="1284" t="n">
        <v>234370</v>
      </c>
      <c r="O89" s="1284" t="n">
        <v>42640</v>
      </c>
      <c r="P89" s="1284" t="n">
        <v>4114477</v>
      </c>
      <c r="Q89" s="1284" t="n">
        <v>4381000</v>
      </c>
      <c r="S89" s="1284" t="n">
        <v>4381000</v>
      </c>
      <c r="T89" s="1284" t="n">
        <v>266523</v>
      </c>
      <c r="Z89" s="1285">
        <f>N('R7業務 (短)'!C7)-N(C89)</f>
        <v>0</v>
      </c>
      <c r="AA89" s="1285">
        <f>N('R7業務 (短)'!D7)-N(D89)</f>
        <v>0</v>
      </c>
      <c r="AB89" s="1285">
        <f>N('R7業務 (短)'!E7)-N(E89)</f>
        <v>0</v>
      </c>
      <c r="AC89" s="1285">
        <f>N('R7業務 (短)'!F7)-N(F89)</f>
        <v>0</v>
      </c>
      <c r="AD89" s="1285">
        <f>N('R7業務 (短)'!G7)-N(G89)</f>
        <v>0</v>
      </c>
      <c r="AE89" s="1285">
        <f>N('R7業務 (短)'!H7)-N(H89)</f>
        <v>0</v>
      </c>
      <c r="AF89" s="1285">
        <f>N('R7業務 (短)'!I7)-N(I89)</f>
        <v>0</v>
      </c>
      <c r="AG89" s="1285">
        <f>N('R7業務 (短)'!J7)-N(J89)</f>
        <v>0</v>
      </c>
      <c r="AH89" s="1285">
        <f>N('R7業務 (短)'!K7)-N(K89)</f>
        <v>0</v>
      </c>
      <c r="AI89" s="1285">
        <f>N('R7業務 (短)'!L7)-N(L89)</f>
        <v>0</v>
      </c>
      <c r="AJ89" s="1285">
        <f>N('R7業務 (短)'!M7)-N(M89)</f>
        <v>0</v>
      </c>
      <c r="AK89" s="1285">
        <f>N('R7業務 (短)'!N7)-N(N89)</f>
        <v>0</v>
      </c>
      <c r="AL89" s="1285">
        <f>N('R7業務 (短)'!O7)-N(O89)</f>
        <v>0</v>
      </c>
      <c r="AM89" s="1285">
        <f>N('R7業務 (短)'!P7)-N(P89)</f>
        <v>0</v>
      </c>
      <c r="AN89" s="1285">
        <f>N('R7業務 (短)'!Q7)-N(Q89)</f>
        <v>0</v>
      </c>
      <c r="AO89" s="1285">
        <f>N('R7業務 (短)'!R7)-N(R89)</f>
        <v>0</v>
      </c>
      <c r="AP89" s="1285">
        <f>N('R7業務 (短)'!S7)-N(S89)</f>
        <v>0</v>
      </c>
      <c r="AQ89" s="1285">
        <f>N('R7業務 (短)'!T7)-N(T89)</f>
        <v>0</v>
      </c>
      <c r="AR89" s="1285">
        <f>N('R7業務 (短)'!U7)-N(U89)</f>
        <v>0</v>
      </c>
    </row>
    <row r="90">
      <c r="P90" s="1284" t="n">
        <v>0</v>
      </c>
      <c r="Q90" s="1284" t="n">
        <v>0</v>
      </c>
      <c r="S90" s="1284" t="n">
        <v>0</v>
      </c>
      <c r="T90" s="1284" t="n">
        <v>0</v>
      </c>
      <c r="Z90" s="1285">
        <f>N('R7業務 (短)'!C8)-N(C90)</f>
        <v>0</v>
      </c>
      <c r="AA90" s="1285">
        <f>N('R7業務 (短)'!D8)-N(D90)</f>
        <v>0</v>
      </c>
      <c r="AB90" s="1285">
        <f>N('R7業務 (短)'!E8)-N(E90)</f>
        <v>0</v>
      </c>
      <c r="AC90" s="1285">
        <f>N('R7業務 (短)'!F8)-N(F90)</f>
        <v>0</v>
      </c>
      <c r="AD90" s="1285">
        <f>N('R7業務 (短)'!G8)-N(G90)</f>
        <v>0</v>
      </c>
      <c r="AE90" s="1285">
        <f>N('R7業務 (短)'!H8)-N(H90)</f>
        <v>0</v>
      </c>
      <c r="AF90" s="1285">
        <f>N('R7業務 (短)'!I8)-N(I90)</f>
        <v>0</v>
      </c>
      <c r="AG90" s="1285">
        <f>N('R7業務 (短)'!J8)-N(J90)</f>
        <v>0</v>
      </c>
      <c r="AH90" s="1285">
        <f>N('R7業務 (短)'!K8)-N(K90)</f>
        <v>0</v>
      </c>
      <c r="AI90" s="1285">
        <f>N('R7業務 (短)'!L8)-N(L90)</f>
        <v>0</v>
      </c>
      <c r="AJ90" s="1285">
        <f>N('R7業務 (短)'!M8)-N(M90)</f>
        <v>0</v>
      </c>
      <c r="AK90" s="1285">
        <f>N('R7業務 (短)'!N8)-N(N90)</f>
        <v>0</v>
      </c>
      <c r="AL90" s="1285">
        <f>N('R7業務 (短)'!O8)-N(O90)</f>
        <v>0</v>
      </c>
      <c r="AM90" s="1285">
        <f>N('R7業務 (短)'!P8)-N(P90)</f>
        <v>0</v>
      </c>
      <c r="AN90" s="1285">
        <f>N('R7業務 (短)'!Q8)-N(Q90)</f>
        <v>0</v>
      </c>
      <c r="AO90" s="1285">
        <f>N('R7業務 (短)'!R8)-N(R90)</f>
        <v>0</v>
      </c>
      <c r="AP90" s="1285">
        <f>N('R7業務 (短)'!S8)-N(S90)</f>
        <v>0</v>
      </c>
      <c r="AQ90" s="1285">
        <f>N('R7業務 (短)'!T8)-N(T90)</f>
        <v>0</v>
      </c>
      <c r="AR90" s="1285">
        <f>N('R7業務 (短)'!U8)-N(U90)</f>
        <v>0</v>
      </c>
    </row>
    <row r="91">
      <c r="C91" s="1284" t="n">
        <v>317340</v>
      </c>
      <c r="D91" s="1284" t="n">
        <v>248436</v>
      </c>
      <c r="E91" s="1284" t="n">
        <v>698299</v>
      </c>
      <c r="F91" s="1284" t="n">
        <v>256708</v>
      </c>
      <c r="G91" s="1284" t="n">
        <v>244300</v>
      </c>
      <c r="H91" s="1284" t="n">
        <v>258776</v>
      </c>
      <c r="I91" s="1284" t="n">
        <v>383109</v>
      </c>
      <c r="J91" s="1284" t="n">
        <v>227838</v>
      </c>
      <c r="K91" s="1284" t="n">
        <v>742061</v>
      </c>
      <c r="L91" s="1284" t="n">
        <v>228265</v>
      </c>
      <c r="M91" s="1284" t="n">
        <v>232335</v>
      </c>
      <c r="N91" s="1284" t="n">
        <v>234370</v>
      </c>
      <c r="O91" s="1284" t="n">
        <v>42640</v>
      </c>
      <c r="P91" s="1284" t="n">
        <v>4114477</v>
      </c>
      <c r="Q91" s="1284" t="n">
        <v>4381000</v>
      </c>
      <c r="S91" s="1284" t="n">
        <v>4381000</v>
      </c>
      <c r="T91" s="1284" t="n">
        <v>266523</v>
      </c>
      <c r="Z91" s="1285">
        <f>N('R7業務 (短)'!C9)-N(C91)</f>
        <v>0</v>
      </c>
      <c r="AA91" s="1285">
        <f>N('R7業務 (短)'!D9)-N(D91)</f>
        <v>0</v>
      </c>
      <c r="AB91" s="1285">
        <f>N('R7業務 (短)'!E9)-N(E91)</f>
        <v>0</v>
      </c>
      <c r="AC91" s="1285">
        <f>N('R7業務 (短)'!F9)-N(F91)</f>
        <v>0</v>
      </c>
      <c r="AD91" s="1285">
        <f>N('R7業務 (短)'!G9)-N(G91)</f>
        <v>0</v>
      </c>
      <c r="AE91" s="1285">
        <f>N('R7業務 (短)'!H9)-N(H91)</f>
        <v>0</v>
      </c>
      <c r="AF91" s="1285">
        <f>N('R7業務 (短)'!I9)-N(I91)</f>
        <v>0</v>
      </c>
      <c r="AG91" s="1285">
        <f>N('R7業務 (短)'!J9)-N(J91)</f>
        <v>0</v>
      </c>
      <c r="AH91" s="1285">
        <f>N('R7業務 (短)'!K9)-N(K91)</f>
        <v>0</v>
      </c>
      <c r="AI91" s="1285">
        <f>N('R7業務 (短)'!L9)-N(L91)</f>
        <v>0</v>
      </c>
      <c r="AJ91" s="1285">
        <f>N('R7業務 (短)'!M9)-N(M91)</f>
        <v>0</v>
      </c>
      <c r="AK91" s="1285">
        <f>N('R7業務 (短)'!N9)-N(N91)</f>
        <v>0</v>
      </c>
      <c r="AL91" s="1285">
        <f>N('R7業務 (短)'!O9)-N(O91)</f>
        <v>0</v>
      </c>
      <c r="AM91" s="1285">
        <f>N('R7業務 (短)'!P9)-N(P91)</f>
        <v>0</v>
      </c>
      <c r="AN91" s="1285">
        <f>N('R7業務 (短)'!Q9)-N(Q91)</f>
        <v>0</v>
      </c>
      <c r="AO91" s="1285">
        <f>N('R7業務 (短)'!R9)-N(R91)</f>
        <v>0</v>
      </c>
      <c r="AP91" s="1285">
        <f>N('R7業務 (短)'!S9)-N(S91)</f>
        <v>0</v>
      </c>
      <c r="AQ91" s="1285">
        <f>N('R7業務 (短)'!T9)-N(T91)</f>
        <v>0</v>
      </c>
      <c r="AR91" s="1285">
        <f>N('R7業務 (短)'!U9)-N(U91)</f>
        <v>0</v>
      </c>
    </row>
    <row r="92">
      <c r="C92" s="1284" t="n">
        <v>0</v>
      </c>
      <c r="D92" s="1284" t="n">
        <v>0</v>
      </c>
      <c r="E92" s="1284" t="n">
        <v>0</v>
      </c>
      <c r="F92" s="1284" t="n">
        <v>0</v>
      </c>
      <c r="G92" s="1284" t="n">
        <v>0</v>
      </c>
      <c r="H92" s="1284" t="n">
        <v>14894</v>
      </c>
      <c r="I92" s="1284" t="n">
        <v>0</v>
      </c>
      <c r="J92" s="1284" t="n">
        <v>0</v>
      </c>
      <c r="K92" s="1284" t="n">
        <v>0</v>
      </c>
      <c r="L92" s="1284" t="n">
        <v>0</v>
      </c>
      <c r="M92" s="1284" t="n">
        <v>0</v>
      </c>
      <c r="N92" s="1284" t="n">
        <v>0</v>
      </c>
      <c r="O92" s="1284" t="n">
        <v>0</v>
      </c>
      <c r="P92" s="1284" t="n">
        <v>14894</v>
      </c>
      <c r="Q92" s="1284" t="n">
        <v>62000</v>
      </c>
      <c r="S92" s="1284" t="n">
        <v>62000</v>
      </c>
      <c r="T92" s="1284" t="n">
        <v>47106</v>
      </c>
      <c r="Z92" s="1285">
        <f>N('R7業務 (短)'!C10)-N(C92)</f>
        <v>0</v>
      </c>
      <c r="AA92" s="1285">
        <f>N('R7業務 (短)'!D10)-N(D92)</f>
        <v>0</v>
      </c>
      <c r="AB92" s="1285">
        <f>N('R7業務 (短)'!E10)-N(E92)</f>
        <v>0</v>
      </c>
      <c r="AC92" s="1285">
        <f>N('R7業務 (短)'!F10)-N(F92)</f>
        <v>0</v>
      </c>
      <c r="AD92" s="1285">
        <f>N('R7業務 (短)'!G10)-N(G92)</f>
        <v>0</v>
      </c>
      <c r="AE92" s="1285">
        <f>N('R7業務 (短)'!H10)-N(H92)</f>
        <v>0</v>
      </c>
      <c r="AF92" s="1285">
        <f>N('R7業務 (短)'!I10)-N(I92)</f>
        <v>0</v>
      </c>
      <c r="AG92" s="1285">
        <f>N('R7業務 (短)'!J10)-N(J92)</f>
        <v>0</v>
      </c>
      <c r="AH92" s="1285">
        <f>N('R7業務 (短)'!K10)-N(K92)</f>
        <v>0</v>
      </c>
      <c r="AI92" s="1285">
        <f>N('R7業務 (短)'!L10)-N(L92)</f>
        <v>0</v>
      </c>
      <c r="AJ92" s="1285">
        <f>N('R7業務 (短)'!M10)-N(M92)</f>
        <v>0</v>
      </c>
      <c r="AK92" s="1285">
        <f>N('R7業務 (短)'!N10)-N(N92)</f>
        <v>0</v>
      </c>
      <c r="AL92" s="1285">
        <f>N('R7業務 (短)'!O10)-N(O92)</f>
        <v>0</v>
      </c>
      <c r="AM92" s="1285">
        <f>N('R7業務 (短)'!P10)-N(P92)</f>
        <v>0</v>
      </c>
      <c r="AN92" s="1285">
        <f>N('R7業務 (短)'!Q10)-N(Q92)</f>
        <v>0</v>
      </c>
      <c r="AO92" s="1285">
        <f>N('R7業務 (短)'!R10)-N(R92)</f>
        <v>0</v>
      </c>
      <c r="AP92" s="1285">
        <f>N('R7業務 (短)'!S10)-N(S92)</f>
        <v>0</v>
      </c>
      <c r="AQ92" s="1285">
        <f>N('R7業務 (短)'!T10)-N(T92)</f>
        <v>0</v>
      </c>
      <c r="AR92" s="1285">
        <f>N('R7業務 (短)'!U10)-N(U92)</f>
        <v>0</v>
      </c>
    </row>
    <row r="93">
      <c r="C93" s="1284" t="n">
        <v>0</v>
      </c>
      <c r="D93" s="1284" t="n">
        <v>0</v>
      </c>
      <c r="E93" s="1284" t="n">
        <v>39656</v>
      </c>
      <c r="F93" s="1284" t="n">
        <v>0</v>
      </c>
      <c r="G93" s="1284" t="n">
        <v>29068</v>
      </c>
      <c r="H93" s="1284" t="n">
        <v>0</v>
      </c>
      <c r="I93" s="1284" t="n">
        <v>0</v>
      </c>
      <c r="J93" s="1284" t="n">
        <v>18624</v>
      </c>
      <c r="K93" s="1284" t="n">
        <v>80902</v>
      </c>
      <c r="L93" s="1284" t="n">
        <v>0</v>
      </c>
      <c r="M93" s="1284" t="n">
        <v>18816</v>
      </c>
      <c r="N93" s="1284" t="n">
        <v>0</v>
      </c>
      <c r="O93" s="1284" t="n">
        <v>0</v>
      </c>
      <c r="P93" s="1284" t="n">
        <v>187066</v>
      </c>
      <c r="Q93" s="1284" t="n">
        <v>98000</v>
      </c>
      <c r="S93" s="1284" t="n">
        <v>98000</v>
      </c>
      <c r="T93" s="1284" t="n">
        <v>-89066</v>
      </c>
      <c r="Z93" s="1285">
        <f>N('R7業務 (短)'!C11)-N(C93)</f>
        <v>0</v>
      </c>
      <c r="AA93" s="1285">
        <f>N('R7業務 (短)'!D11)-N(D93)</f>
        <v>0</v>
      </c>
      <c r="AB93" s="1285">
        <f>N('R7業務 (短)'!E11)-N(E93)</f>
        <v>0</v>
      </c>
      <c r="AC93" s="1285">
        <f>N('R7業務 (短)'!F11)-N(F93)</f>
        <v>0</v>
      </c>
      <c r="AD93" s="1285">
        <f>N('R7業務 (短)'!G11)-N(G93)</f>
        <v>0</v>
      </c>
      <c r="AE93" s="1285">
        <f>N('R7業務 (短)'!H11)-N(H93)</f>
        <v>0</v>
      </c>
      <c r="AF93" s="1285">
        <f>N('R7業務 (短)'!I11)-N(I93)</f>
        <v>0</v>
      </c>
      <c r="AG93" s="1285">
        <f>N('R7業務 (短)'!J11)-N(J93)</f>
        <v>0</v>
      </c>
      <c r="AH93" s="1285">
        <f>N('R7業務 (短)'!K11)-N(K93)</f>
        <v>0</v>
      </c>
      <c r="AI93" s="1285">
        <f>N('R7業務 (短)'!L11)-N(L93)</f>
        <v>0</v>
      </c>
      <c r="AJ93" s="1285">
        <f>N('R7業務 (短)'!M11)-N(M93)</f>
        <v>0</v>
      </c>
      <c r="AK93" s="1285">
        <f>N('R7業務 (短)'!N11)-N(N93)</f>
        <v>0</v>
      </c>
      <c r="AL93" s="1285">
        <f>N('R7業務 (短)'!O11)-N(O93)</f>
        <v>0</v>
      </c>
      <c r="AM93" s="1285">
        <f>N('R7業務 (短)'!P11)-N(P93)</f>
        <v>0</v>
      </c>
      <c r="AN93" s="1285">
        <f>N('R7業務 (短)'!Q11)-N(Q93)</f>
        <v>0</v>
      </c>
      <c r="AO93" s="1285">
        <f>N('R7業務 (短)'!R11)-N(R93)</f>
        <v>0</v>
      </c>
      <c r="AP93" s="1285">
        <f>N('R7業務 (短)'!S11)-N(S93)</f>
        <v>0</v>
      </c>
      <c r="AQ93" s="1285">
        <f>N('R7業務 (短)'!T11)-N(T93)</f>
        <v>0</v>
      </c>
      <c r="AR93" s="1285">
        <f>N('R7業務 (短)'!U11)-N(U93)</f>
        <v>0</v>
      </c>
    </row>
    <row r="94">
      <c r="C94" s="1284" t="n">
        <v>20482</v>
      </c>
      <c r="D94" s="1284" t="n">
        <v>58408</v>
      </c>
      <c r="E94" s="1284" t="n">
        <v>38368</v>
      </c>
      <c r="F94" s="1284" t="n">
        <v>0</v>
      </c>
      <c r="G94" s="1284" t="n">
        <v>131903</v>
      </c>
      <c r="H94" s="1284" t="n">
        <v>45203</v>
      </c>
      <c r="I94" s="1284" t="n">
        <v>0</v>
      </c>
      <c r="J94" s="1284" t="n">
        <v>214017</v>
      </c>
      <c r="K94" s="1284" t="n">
        <v>62330</v>
      </c>
      <c r="L94" s="1284" t="n">
        <v>71787</v>
      </c>
      <c r="M94" s="1284" t="n">
        <v>49487</v>
      </c>
      <c r="N94" s="1284" t="n">
        <v>104598</v>
      </c>
      <c r="O94" s="1284" t="n">
        <v>100580</v>
      </c>
      <c r="P94" s="1284" t="n">
        <v>897163</v>
      </c>
      <c r="Q94" s="1284" t="n">
        <v>1537000</v>
      </c>
      <c r="S94" s="1284" t="n">
        <v>1537000</v>
      </c>
      <c r="T94" s="1284" t="n">
        <v>639837</v>
      </c>
      <c r="Z94" s="1285">
        <f>N('R7業務 (短)'!C12)-N(C94)</f>
        <v>0</v>
      </c>
      <c r="AA94" s="1285">
        <f>N('R7業務 (短)'!D12)-N(D94)</f>
        <v>0</v>
      </c>
      <c r="AB94" s="1285">
        <f>N('R7業務 (短)'!E12)-N(E94)</f>
        <v>0</v>
      </c>
      <c r="AC94" s="1285">
        <f>N('R7業務 (短)'!F12)-N(F94)</f>
        <v>0</v>
      </c>
      <c r="AD94" s="1285">
        <f>N('R7業務 (短)'!G12)-N(G94)</f>
        <v>0</v>
      </c>
      <c r="AE94" s="1285">
        <f>N('R7業務 (短)'!H12)-N(H94)</f>
        <v>0</v>
      </c>
      <c r="AF94" s="1285">
        <f>N('R7業務 (短)'!I12)-N(I94)</f>
        <v>0</v>
      </c>
      <c r="AG94" s="1285">
        <f>N('R7業務 (短)'!J12)-N(J94)</f>
        <v>0</v>
      </c>
      <c r="AH94" s="1285">
        <f>N('R7業務 (短)'!K12)-N(K94)</f>
        <v>0</v>
      </c>
      <c r="AI94" s="1285">
        <f>N('R7業務 (短)'!L12)-N(L94)</f>
        <v>0</v>
      </c>
      <c r="AJ94" s="1285">
        <f>N('R7業務 (短)'!M12)-N(M94)</f>
        <v>0</v>
      </c>
      <c r="AK94" s="1285">
        <f>N('R7業務 (短)'!N12)-N(N94)</f>
        <v>0</v>
      </c>
      <c r="AL94" s="1285">
        <f>N('R7業務 (短)'!O12)-N(O94)</f>
        <v>0</v>
      </c>
      <c r="AM94" s="1285">
        <f>N('R7業務 (短)'!P12)-N(P94)</f>
        <v>0</v>
      </c>
      <c r="AN94" s="1285">
        <f>N('R7業務 (短)'!Q12)-N(Q94)</f>
        <v>0</v>
      </c>
      <c r="AO94" s="1285">
        <f>N('R7業務 (短)'!R12)-N(R94)</f>
        <v>0</v>
      </c>
      <c r="AP94" s="1285">
        <f>N('R7業務 (短)'!S12)-N(S94)</f>
        <v>0</v>
      </c>
      <c r="AQ94" s="1285">
        <f>N('R7業務 (短)'!T12)-N(T94)</f>
        <v>0</v>
      </c>
      <c r="AR94" s="1285">
        <f>N('R7業務 (短)'!U12)-N(U94)</f>
        <v>0</v>
      </c>
    </row>
    <row r="95">
      <c r="C95" s="1284" t="n">
        <v>99220</v>
      </c>
      <c r="D95" s="1284" t="n">
        <v>33154</v>
      </c>
      <c r="E95" s="1284" t="n">
        <v>33154</v>
      </c>
      <c r="F95" s="1284" t="n">
        <v>33154</v>
      </c>
      <c r="G95" s="1284" t="n">
        <v>198154</v>
      </c>
      <c r="H95" s="1284" t="n">
        <v>187154</v>
      </c>
      <c r="I95" s="1284" t="n">
        <v>33154</v>
      </c>
      <c r="J95" s="1284" t="n">
        <v>260854</v>
      </c>
      <c r="K95" s="1284" t="n">
        <v>264154</v>
      </c>
      <c r="L95" s="1284" t="n">
        <v>33154</v>
      </c>
      <c r="M95" s="1284" t="n">
        <v>33154</v>
      </c>
      <c r="N95" s="1284" t="n">
        <v>165308</v>
      </c>
      <c r="O95" s="1284" t="n">
        <v>116600</v>
      </c>
      <c r="P95" s="1284" t="n">
        <v>1490368</v>
      </c>
      <c r="Q95" s="1284" t="n">
        <v>1339000</v>
      </c>
      <c r="S95" s="1284" t="n">
        <v>1339000</v>
      </c>
      <c r="T95" s="1284" t="n">
        <v>-151368</v>
      </c>
      <c r="Z95" s="1285">
        <f>N('R7業務 (短)'!C13)-N(C95)</f>
        <v>0</v>
      </c>
      <c r="AA95" s="1285">
        <f>N('R7業務 (短)'!D13)-N(D95)</f>
        <v>0</v>
      </c>
      <c r="AB95" s="1285">
        <f>N('R7業務 (短)'!E13)-N(E95)</f>
        <v>0</v>
      </c>
      <c r="AC95" s="1285">
        <f>N('R7業務 (短)'!F13)-N(F95)</f>
        <v>0</v>
      </c>
      <c r="AD95" s="1285">
        <f>N('R7業務 (短)'!G13)-N(G95)</f>
        <v>0</v>
      </c>
      <c r="AE95" s="1285">
        <f>N('R7業務 (短)'!H13)-N(H95)</f>
        <v>0</v>
      </c>
      <c r="AF95" s="1285">
        <f>N('R7業務 (短)'!I13)-N(I95)</f>
        <v>0</v>
      </c>
      <c r="AG95" s="1285">
        <f>N('R7業務 (短)'!J13)-N(J95)</f>
        <v>0</v>
      </c>
      <c r="AH95" s="1285">
        <f>N('R7業務 (短)'!K13)-N(K95)</f>
        <v>0</v>
      </c>
      <c r="AI95" s="1285">
        <f>N('R7業務 (短)'!L13)-N(L95)</f>
        <v>0</v>
      </c>
      <c r="AJ95" s="1285">
        <f>N('R7業務 (短)'!M13)-N(M95)</f>
        <v>0</v>
      </c>
      <c r="AK95" s="1285">
        <f>N('R7業務 (短)'!N13)-N(N95)</f>
        <v>0</v>
      </c>
      <c r="AL95" s="1285">
        <f>N('R7業務 (短)'!O13)-N(O95)</f>
        <v>0</v>
      </c>
      <c r="AM95" s="1285">
        <f>N('R7業務 (短)'!P13)-N(P95)</f>
        <v>0</v>
      </c>
      <c r="AN95" s="1285">
        <f>N('R7業務 (短)'!Q13)-N(Q95)</f>
        <v>0</v>
      </c>
      <c r="AO95" s="1285">
        <f>N('R7業務 (短)'!R13)-N(R95)</f>
        <v>0</v>
      </c>
      <c r="AP95" s="1285">
        <f>N('R7業務 (短)'!S13)-N(S95)</f>
        <v>0</v>
      </c>
      <c r="AQ95" s="1285">
        <f>N('R7業務 (短)'!T13)-N(T95)</f>
        <v>0</v>
      </c>
      <c r="AR95" s="1285">
        <f>N('R7業務 (短)'!U13)-N(U95)</f>
        <v>0</v>
      </c>
    </row>
    <row r="96">
      <c r="C96" s="1284" t="n">
        <v>0</v>
      </c>
      <c r="D96" s="1284" t="n">
        <v>248902</v>
      </c>
      <c r="E96" s="1284" t="n">
        <v>151312</v>
      </c>
      <c r="F96" s="1284" t="n">
        <v>143987</v>
      </c>
      <c r="G96" s="1284" t="n">
        <v>156753</v>
      </c>
      <c r="H96" s="1284" t="n">
        <v>162548</v>
      </c>
      <c r="I96" s="1284" t="n">
        <v>170300</v>
      </c>
      <c r="J96" s="1284" t="n">
        <v>158525</v>
      </c>
      <c r="K96" s="1284" t="n">
        <v>145699</v>
      </c>
      <c r="L96" s="1284" t="n">
        <v>156146</v>
      </c>
      <c r="M96" s="1284" t="n">
        <v>156412</v>
      </c>
      <c r="N96" s="1284" t="n">
        <v>147743</v>
      </c>
      <c r="O96" s="1284" t="n">
        <v>149215</v>
      </c>
      <c r="P96" s="1284" t="n">
        <v>1947542</v>
      </c>
      <c r="Q96" s="1284" t="n">
        <v>1852000</v>
      </c>
      <c r="S96" s="1284" t="n">
        <v>1852000</v>
      </c>
      <c r="T96" s="1284" t="n">
        <v>-95542</v>
      </c>
      <c r="Z96" s="1285">
        <f>N('R7業務 (短)'!C14)-N(C96)</f>
        <v>0</v>
      </c>
      <c r="AA96" s="1285">
        <f>N('R7業務 (短)'!D14)-N(D96)</f>
        <v>0</v>
      </c>
      <c r="AB96" s="1285">
        <f>N('R7業務 (短)'!E14)-N(E96)</f>
        <v>0</v>
      </c>
      <c r="AC96" s="1285">
        <f>N('R7業務 (短)'!F14)-N(F96)</f>
        <v>0</v>
      </c>
      <c r="AD96" s="1285">
        <f>N('R7業務 (短)'!G14)-N(G96)</f>
        <v>0</v>
      </c>
      <c r="AE96" s="1285">
        <f>N('R7業務 (短)'!H14)-N(H96)</f>
        <v>0</v>
      </c>
      <c r="AF96" s="1285">
        <f>N('R7業務 (短)'!I14)-N(I96)</f>
        <v>0</v>
      </c>
      <c r="AG96" s="1285">
        <f>N('R7業務 (短)'!J14)-N(J96)</f>
        <v>0</v>
      </c>
      <c r="AH96" s="1285">
        <f>N('R7業務 (短)'!K14)-N(K96)</f>
        <v>0</v>
      </c>
      <c r="AI96" s="1285">
        <f>N('R7業務 (短)'!L14)-N(L96)</f>
        <v>0</v>
      </c>
      <c r="AJ96" s="1285">
        <f>N('R7業務 (短)'!M14)-N(M96)</f>
        <v>0</v>
      </c>
      <c r="AK96" s="1285">
        <f>N('R7業務 (短)'!N14)-N(N96)</f>
        <v>0</v>
      </c>
      <c r="AL96" s="1285">
        <f>N('R7業務 (短)'!O14)-N(O96)</f>
        <v>0</v>
      </c>
      <c r="AM96" s="1285">
        <f>N('R7業務 (短)'!P14)-N(P96)</f>
        <v>0</v>
      </c>
      <c r="AN96" s="1285">
        <f>N('R7業務 (短)'!Q14)-N(Q96)</f>
        <v>0</v>
      </c>
      <c r="AO96" s="1285">
        <f>N('R7業務 (短)'!R14)-N(R96)</f>
        <v>0</v>
      </c>
      <c r="AP96" s="1285">
        <f>N('R7業務 (短)'!S14)-N(S96)</f>
        <v>0</v>
      </c>
      <c r="AQ96" s="1285">
        <f>N('R7業務 (短)'!T14)-N(T96)</f>
        <v>0</v>
      </c>
      <c r="AR96" s="1285">
        <f>N('R7業務 (短)'!U14)-N(U96)</f>
        <v>0</v>
      </c>
    </row>
    <row r="97">
      <c r="C97" s="1284" t="n">
        <v>0</v>
      </c>
      <c r="D97" s="1284" t="n">
        <v>196030</v>
      </c>
      <c r="E97" s="1284" t="n">
        <v>48793</v>
      </c>
      <c r="F97" s="1284" t="n">
        <v>26523</v>
      </c>
      <c r="G97" s="1284" t="n">
        <v>71449</v>
      </c>
      <c r="H97" s="1284" t="n">
        <v>26460</v>
      </c>
      <c r="I97" s="1284" t="n">
        <v>121950</v>
      </c>
      <c r="J97" s="1284" t="n">
        <v>5626</v>
      </c>
      <c r="K97" s="1284" t="n">
        <v>92333</v>
      </c>
      <c r="L97" s="1284" t="n">
        <v>46855</v>
      </c>
      <c r="M97" s="1284" t="n">
        <v>315663</v>
      </c>
      <c r="N97" s="1284" t="n">
        <v>32713</v>
      </c>
      <c r="O97" s="1284" t="n">
        <v>66886</v>
      </c>
      <c r="P97" s="1284" t="n">
        <v>1051281</v>
      </c>
      <c r="Q97" s="1284" t="n">
        <v>983000</v>
      </c>
      <c r="S97" s="1284" t="n">
        <v>983000</v>
      </c>
      <c r="T97" s="1284" t="n">
        <v>-68281</v>
      </c>
      <c r="Z97" s="1285">
        <f>N('R7業務 (短)'!C15)-N(C97)</f>
        <v>0</v>
      </c>
      <c r="AA97" s="1285">
        <f>N('R7業務 (短)'!D15)-N(D97)</f>
        <v>0</v>
      </c>
      <c r="AB97" s="1285">
        <f>N('R7業務 (短)'!E15)-N(E97)</f>
        <v>0</v>
      </c>
      <c r="AC97" s="1285">
        <f>N('R7業務 (短)'!F15)-N(F97)</f>
        <v>0</v>
      </c>
      <c r="AD97" s="1285">
        <f>N('R7業務 (短)'!G15)-N(G97)</f>
        <v>0</v>
      </c>
      <c r="AE97" s="1285">
        <f>N('R7業務 (短)'!H15)-N(H97)</f>
        <v>0</v>
      </c>
      <c r="AF97" s="1285">
        <f>N('R7業務 (短)'!I15)-N(I97)</f>
        <v>0</v>
      </c>
      <c r="AG97" s="1285">
        <f>N('R7業務 (短)'!J15)-N(J97)</f>
        <v>0</v>
      </c>
      <c r="AH97" s="1285">
        <f>N('R7業務 (短)'!K15)-N(K97)</f>
        <v>0</v>
      </c>
      <c r="AI97" s="1285">
        <f>N('R7業務 (短)'!L15)-N(L97)</f>
        <v>0</v>
      </c>
      <c r="AJ97" s="1285">
        <f>N('R7業務 (短)'!M15)-N(M97)</f>
        <v>0</v>
      </c>
      <c r="AK97" s="1285">
        <f>N('R7業務 (短)'!N15)-N(N97)</f>
        <v>0</v>
      </c>
      <c r="AL97" s="1285">
        <f>N('R7業務 (短)'!O15)-N(O97)</f>
        <v>0</v>
      </c>
      <c r="AM97" s="1285">
        <f>N('R7業務 (短)'!P15)-N(P97)</f>
        <v>0</v>
      </c>
      <c r="AN97" s="1285">
        <f>N('R7業務 (短)'!Q15)-N(Q97)</f>
        <v>0</v>
      </c>
      <c r="AO97" s="1285">
        <f>N('R7業務 (短)'!R15)-N(R97)</f>
        <v>0</v>
      </c>
      <c r="AP97" s="1285">
        <f>N('R7業務 (短)'!S15)-N(S97)</f>
        <v>0</v>
      </c>
      <c r="AQ97" s="1285">
        <f>N('R7業務 (短)'!T15)-N(T97)</f>
        <v>0</v>
      </c>
      <c r="AR97" s="1285">
        <f>N('R7業務 (短)'!U15)-N(U97)</f>
        <v>0</v>
      </c>
    </row>
    <row r="98">
      <c r="C98" s="1284" t="n">
        <v>0</v>
      </c>
      <c r="D98" s="1284" t="n">
        <v>0</v>
      </c>
      <c r="E98" s="1284" t="n">
        <v>0</v>
      </c>
      <c r="F98" s="1284" t="n">
        <v>0</v>
      </c>
      <c r="G98" s="1284" t="n">
        <v>0</v>
      </c>
      <c r="H98" s="1284" t="n">
        <v>0</v>
      </c>
      <c r="I98" s="1284" t="n">
        <v>0</v>
      </c>
      <c r="J98" s="1284" t="n">
        <v>0</v>
      </c>
      <c r="K98" s="1284" t="n">
        <v>0</v>
      </c>
      <c r="L98" s="1284" t="n">
        <v>0</v>
      </c>
      <c r="M98" s="1284" t="n">
        <v>0</v>
      </c>
      <c r="N98" s="1284" t="n">
        <v>0</v>
      </c>
      <c r="O98" s="1284" t="n">
        <v>0</v>
      </c>
      <c r="P98" s="1284" t="n">
        <v>0</v>
      </c>
      <c r="Q98" s="1284" t="n">
        <v>0</v>
      </c>
      <c r="S98" s="1284" t="n">
        <v>0</v>
      </c>
      <c r="T98" s="1284" t="n">
        <v>0</v>
      </c>
      <c r="Z98" s="1285">
        <f>N('R7業務 (短)'!C16)-N(C98)</f>
        <v>0</v>
      </c>
      <c r="AA98" s="1285">
        <f>N('R7業務 (短)'!D16)-N(D98)</f>
        <v>0</v>
      </c>
      <c r="AB98" s="1285">
        <f>N('R7業務 (短)'!E16)-N(E98)</f>
        <v>0</v>
      </c>
      <c r="AC98" s="1285">
        <f>N('R7業務 (短)'!F16)-N(F98)</f>
        <v>0</v>
      </c>
      <c r="AD98" s="1285">
        <f>N('R7業務 (短)'!G16)-N(G98)</f>
        <v>0</v>
      </c>
      <c r="AE98" s="1285">
        <f>N('R7業務 (短)'!H16)-N(H98)</f>
        <v>0</v>
      </c>
      <c r="AF98" s="1285">
        <f>N('R7業務 (短)'!I16)-N(I98)</f>
        <v>0</v>
      </c>
      <c r="AG98" s="1285">
        <f>N('R7業務 (短)'!J16)-N(J98)</f>
        <v>0</v>
      </c>
      <c r="AH98" s="1285">
        <f>N('R7業務 (短)'!K16)-N(K98)</f>
        <v>0</v>
      </c>
      <c r="AI98" s="1285">
        <f>N('R7業務 (短)'!L16)-N(L98)</f>
        <v>0</v>
      </c>
      <c r="AJ98" s="1285">
        <f>N('R7業務 (短)'!M16)-N(M98)</f>
        <v>0</v>
      </c>
      <c r="AK98" s="1285">
        <f>N('R7業務 (短)'!N16)-N(N98)</f>
        <v>0</v>
      </c>
      <c r="AL98" s="1285">
        <f>N('R7業務 (短)'!O16)-N(O98)</f>
        <v>0</v>
      </c>
      <c r="AM98" s="1285">
        <f>N('R7業務 (短)'!P16)-N(P98)</f>
        <v>0</v>
      </c>
      <c r="AN98" s="1285">
        <f>N('R7業務 (短)'!Q16)-N(Q98)</f>
        <v>0</v>
      </c>
      <c r="AO98" s="1285">
        <f>N('R7業務 (短)'!R16)-N(R98)</f>
        <v>0</v>
      </c>
      <c r="AP98" s="1285">
        <f>N('R7業務 (短)'!S16)-N(S98)</f>
        <v>0</v>
      </c>
      <c r="AQ98" s="1285">
        <f>N('R7業務 (短)'!T16)-N(T98)</f>
        <v>0</v>
      </c>
      <c r="AR98" s="1285">
        <f>N('R7業務 (短)'!U16)-N(U98)</f>
        <v>0</v>
      </c>
    </row>
    <row r="99">
      <c r="C99" s="1284" t="n">
        <v>0</v>
      </c>
      <c r="D99" s="1284" t="n">
        <v>550</v>
      </c>
      <c r="E99" s="1284" t="n">
        <v>550</v>
      </c>
      <c r="F99" s="1284" t="n">
        <v>550</v>
      </c>
      <c r="G99" s="1284" t="n">
        <v>550</v>
      </c>
      <c r="H99" s="1284" t="n">
        <v>550</v>
      </c>
      <c r="I99" s="1284" t="n">
        <v>550</v>
      </c>
      <c r="J99" s="1284" t="n">
        <v>550</v>
      </c>
      <c r="K99" s="1284" t="n">
        <v>550</v>
      </c>
      <c r="L99" s="1284" t="n">
        <v>550</v>
      </c>
      <c r="M99" s="1284" t="n">
        <v>550</v>
      </c>
      <c r="N99" s="1284" t="n">
        <v>550</v>
      </c>
      <c r="O99" s="1284" t="n">
        <v>550</v>
      </c>
      <c r="P99" s="1284" t="n">
        <v>6600</v>
      </c>
      <c r="Q99" s="1284" t="n">
        <v>0</v>
      </c>
      <c r="S99" s="1284" t="n">
        <v>0</v>
      </c>
      <c r="T99" s="1284" t="n">
        <v>-6600</v>
      </c>
      <c r="Z99" s="1285">
        <f>N('R7業務 (短)'!C17)-N(C99)</f>
        <v>0</v>
      </c>
      <c r="AA99" s="1285">
        <f>N('R7業務 (短)'!D17)-N(D99)</f>
        <v>0</v>
      </c>
      <c r="AB99" s="1285">
        <f>N('R7業務 (短)'!E17)-N(E99)</f>
        <v>0</v>
      </c>
      <c r="AC99" s="1285">
        <f>N('R7業務 (短)'!F17)-N(F99)</f>
        <v>0</v>
      </c>
      <c r="AD99" s="1285">
        <f>N('R7業務 (短)'!G17)-N(G99)</f>
        <v>0</v>
      </c>
      <c r="AE99" s="1285">
        <f>N('R7業務 (短)'!H17)-N(H99)</f>
        <v>0</v>
      </c>
      <c r="AF99" s="1285">
        <f>N('R7業務 (短)'!I17)-N(I99)</f>
        <v>0</v>
      </c>
      <c r="AG99" s="1285">
        <f>N('R7業務 (短)'!J17)-N(J99)</f>
        <v>0</v>
      </c>
      <c r="AH99" s="1285">
        <f>N('R7業務 (短)'!K17)-N(K99)</f>
        <v>0</v>
      </c>
      <c r="AI99" s="1285">
        <f>N('R7業務 (短)'!L17)-N(L99)</f>
        <v>0</v>
      </c>
      <c r="AJ99" s="1285">
        <f>N('R7業務 (短)'!M17)-N(M99)</f>
        <v>0</v>
      </c>
      <c r="AK99" s="1285">
        <f>N('R7業務 (短)'!N17)-N(N99)</f>
        <v>0</v>
      </c>
      <c r="AL99" s="1285">
        <f>N('R7業務 (短)'!O17)-N(O99)</f>
        <v>0</v>
      </c>
      <c r="AM99" s="1285">
        <f>N('R7業務 (短)'!P17)-N(P99)</f>
        <v>0</v>
      </c>
      <c r="AN99" s="1285">
        <f>N('R7業務 (短)'!Q17)-N(Q99)</f>
        <v>0</v>
      </c>
      <c r="AO99" s="1285">
        <f>N('R7業務 (短)'!R17)-N(R99)</f>
        <v>0</v>
      </c>
      <c r="AP99" s="1285">
        <f>N('R7業務 (短)'!S17)-N(S99)</f>
        <v>0</v>
      </c>
      <c r="AQ99" s="1285">
        <f>N('R7業務 (短)'!T17)-N(T99)</f>
        <v>0</v>
      </c>
      <c r="AR99" s="1285">
        <f>N('R7業務 (短)'!U17)-N(U99)</f>
        <v>0</v>
      </c>
    </row>
    <row r="100">
      <c r="C100" s="1284" t="n">
        <v>119702</v>
      </c>
      <c r="D100" s="1284" t="n">
        <v>537044</v>
      </c>
      <c r="E100" s="1284" t="n">
        <v>272177</v>
      </c>
      <c r="F100" s="1284" t="n">
        <v>204214</v>
      </c>
      <c r="G100" s="1284" t="n">
        <v>558809</v>
      </c>
      <c r="H100" s="1284" t="n">
        <v>421915</v>
      </c>
      <c r="I100" s="1284" t="n">
        <v>325954</v>
      </c>
      <c r="J100" s="1284" t="n">
        <v>639572</v>
      </c>
      <c r="K100" s="1284" t="n">
        <v>565066</v>
      </c>
      <c r="L100" s="1284" t="n">
        <v>308492</v>
      </c>
      <c r="M100" s="1284" t="n">
        <v>555266</v>
      </c>
      <c r="N100" s="1284" t="n">
        <v>450912</v>
      </c>
      <c r="O100" s="1284" t="n">
        <v>433831</v>
      </c>
      <c r="P100" s="1284" t="n">
        <v>5392954</v>
      </c>
      <c r="Q100" s="1284" t="n">
        <v>5711000</v>
      </c>
      <c r="S100" s="1284" t="n">
        <v>5711000</v>
      </c>
      <c r="T100" s="1284" t="n">
        <v>318046</v>
      </c>
      <c r="Z100" s="1285">
        <f>N('R7業務 (短)'!C18)-N(C100)</f>
        <v>0</v>
      </c>
      <c r="AA100" s="1285">
        <f>N('R7業務 (短)'!D18)-N(D100)</f>
        <v>0</v>
      </c>
      <c r="AB100" s="1285">
        <f>N('R7業務 (短)'!E18)-N(E100)</f>
        <v>0</v>
      </c>
      <c r="AC100" s="1285">
        <f>N('R7業務 (短)'!F18)-N(F100)</f>
        <v>0</v>
      </c>
      <c r="AD100" s="1285">
        <f>N('R7業務 (短)'!G18)-N(G100)</f>
        <v>0</v>
      </c>
      <c r="AE100" s="1285">
        <f>N('R7業務 (短)'!H18)-N(H100)</f>
        <v>0</v>
      </c>
      <c r="AF100" s="1285">
        <f>N('R7業務 (短)'!I18)-N(I100)</f>
        <v>0</v>
      </c>
      <c r="AG100" s="1285">
        <f>N('R7業務 (短)'!J18)-N(J100)</f>
        <v>0</v>
      </c>
      <c r="AH100" s="1285">
        <f>N('R7業務 (短)'!K18)-N(K100)</f>
        <v>0</v>
      </c>
      <c r="AI100" s="1285">
        <f>N('R7業務 (短)'!L18)-N(L100)</f>
        <v>0</v>
      </c>
      <c r="AJ100" s="1285">
        <f>N('R7業務 (短)'!M18)-N(M100)</f>
        <v>0</v>
      </c>
      <c r="AK100" s="1285">
        <f>N('R7業務 (短)'!N18)-N(N100)</f>
        <v>0</v>
      </c>
      <c r="AL100" s="1285">
        <f>N('R7業務 (短)'!O18)-N(O100)</f>
        <v>0</v>
      </c>
      <c r="AM100" s="1285">
        <f>N('R7業務 (短)'!P18)-N(P100)</f>
        <v>0</v>
      </c>
      <c r="AN100" s="1285">
        <f>N('R7業務 (短)'!Q18)-N(Q100)</f>
        <v>0</v>
      </c>
      <c r="AO100" s="1285">
        <f>N('R7業務 (短)'!R18)-N(R100)</f>
        <v>0</v>
      </c>
      <c r="AP100" s="1285">
        <f>N('R7業務 (短)'!S18)-N(S100)</f>
        <v>0</v>
      </c>
      <c r="AQ100" s="1285">
        <f>N('R7業務 (短)'!T18)-N(T100)</f>
        <v>0</v>
      </c>
      <c r="AR100" s="1285">
        <f>N('R7業務 (短)'!U18)-N(U100)</f>
        <v>0</v>
      </c>
    </row>
    <row r="101">
      <c r="D101" s="1284" t="n">
        <v>425880</v>
      </c>
      <c r="E101" s="1284" t="n">
        <v>365040</v>
      </c>
      <c r="F101" s="1284" t="n">
        <v>446160</v>
      </c>
      <c r="G101" s="1284" t="n">
        <v>445720</v>
      </c>
      <c r="H101" s="1284" t="n">
        <v>384480</v>
      </c>
      <c r="I101" s="1284" t="n">
        <v>389160</v>
      </c>
      <c r="J101" s="1284" t="n">
        <v>416580</v>
      </c>
      <c r="K101" s="1284" t="n">
        <v>340920</v>
      </c>
      <c r="L101" s="1284" t="n">
        <v>377520</v>
      </c>
      <c r="M101" s="1284" t="n">
        <v>359120</v>
      </c>
      <c r="N101" s="1284" t="n">
        <v>339340</v>
      </c>
      <c r="O101" s="1284" t="n">
        <v>339568</v>
      </c>
      <c r="P101" s="1284" t="n">
        <v>4629488</v>
      </c>
      <c r="Q101" s="1284" t="n">
        <v>5520000</v>
      </c>
      <c r="S101" s="1284" t="n">
        <v>5520000</v>
      </c>
      <c r="T101" s="1284" t="n">
        <v>890512</v>
      </c>
      <c r="Z101" s="1285">
        <f>N('R7業務 (短)'!C19)-N(C101)</f>
        <v>0</v>
      </c>
      <c r="AA101" s="1285">
        <f>N('R7業務 (短)'!D19)-N(D101)</f>
        <v>0</v>
      </c>
      <c r="AB101" s="1285">
        <f>N('R7業務 (短)'!E19)-N(E101)</f>
        <v>0</v>
      </c>
      <c r="AC101" s="1285">
        <f>N('R7業務 (短)'!F19)-N(F101)</f>
        <v>0</v>
      </c>
      <c r="AD101" s="1285">
        <f>N('R7業務 (短)'!G19)-N(G101)</f>
        <v>0</v>
      </c>
      <c r="AE101" s="1285">
        <f>N('R7業務 (短)'!H19)-N(H101)</f>
        <v>0</v>
      </c>
      <c r="AF101" s="1285">
        <f>N('R7業務 (短)'!I19)-N(I101)</f>
        <v>0</v>
      </c>
      <c r="AG101" s="1285">
        <f>N('R7業務 (短)'!J19)-N(J101)</f>
        <v>0</v>
      </c>
      <c r="AH101" s="1285">
        <f>N('R7業務 (短)'!K19)-N(K101)</f>
        <v>0</v>
      </c>
      <c r="AI101" s="1285">
        <f>N('R7業務 (短)'!L19)-N(L101)</f>
        <v>0</v>
      </c>
      <c r="AJ101" s="1285">
        <f>N('R7業務 (短)'!M19)-N(M101)</f>
        <v>0</v>
      </c>
      <c r="AK101" s="1285">
        <f>N('R7業務 (短)'!N19)-N(N101)</f>
        <v>0</v>
      </c>
      <c r="AL101" s="1285">
        <f>N('R7業務 (短)'!O19)-N(O101)</f>
        <v>0</v>
      </c>
      <c r="AM101" s="1285">
        <f>N('R7業務 (短)'!P19)-N(P101)</f>
        <v>0</v>
      </c>
      <c r="AN101" s="1285">
        <f>N('R7業務 (短)'!Q19)-N(Q101)</f>
        <v>0</v>
      </c>
      <c r="AO101" s="1285">
        <f>N('R7業務 (短)'!R19)-N(R101)</f>
        <v>0</v>
      </c>
      <c r="AP101" s="1285">
        <f>N('R7業務 (短)'!S19)-N(S101)</f>
        <v>0</v>
      </c>
      <c r="AQ101" s="1285">
        <f>N('R7業務 (短)'!T19)-N(T101)</f>
        <v>0</v>
      </c>
      <c r="AR101" s="1285">
        <f>N('R7業務 (短)'!U19)-N(U101)</f>
        <v>0</v>
      </c>
    </row>
    <row r="102">
      <c r="C102" s="1284" t="n">
        <v>60235</v>
      </c>
      <c r="D102" s="1284" t="n">
        <v>2146895</v>
      </c>
      <c r="E102" s="1284" t="n">
        <v>188645</v>
      </c>
      <c r="F102" s="1284" t="n">
        <v>166167</v>
      </c>
      <c r="G102" s="1284" t="n">
        <v>226857</v>
      </c>
      <c r="H102" s="1284" t="n">
        <v>1758851</v>
      </c>
      <c r="I102" s="1284" t="n">
        <v>563675</v>
      </c>
      <c r="J102" s="1284" t="n">
        <v>190646</v>
      </c>
      <c r="K102" s="1284" t="n">
        <v>2455527</v>
      </c>
      <c r="L102" s="1284" t="n">
        <v>173468</v>
      </c>
      <c r="M102" s="1284" t="n">
        <v>215628</v>
      </c>
      <c r="N102" s="1284" t="n">
        <v>252737</v>
      </c>
      <c r="O102" s="1284" t="n">
        <v>1231586</v>
      </c>
      <c r="P102" s="1284" t="n">
        <v>9630917</v>
      </c>
      <c r="Q102" s="1284" t="n">
        <v>10478000</v>
      </c>
      <c r="S102" s="1284" t="n">
        <v>10478000</v>
      </c>
      <c r="T102" s="1284" t="n">
        <v>847083</v>
      </c>
      <c r="Z102" s="1285">
        <f>N('R7業務 (短)'!C20)-N(C102)</f>
        <v>0</v>
      </c>
      <c r="AA102" s="1285">
        <f>N('R7業務 (短)'!D20)-N(D102)</f>
        <v>0</v>
      </c>
      <c r="AB102" s="1285">
        <f>N('R7業務 (短)'!E20)-N(E102)</f>
        <v>0</v>
      </c>
      <c r="AC102" s="1285">
        <f>N('R7業務 (短)'!F20)-N(F102)</f>
        <v>0</v>
      </c>
      <c r="AD102" s="1285">
        <f>N('R7業務 (短)'!G20)-N(G102)</f>
        <v>0</v>
      </c>
      <c r="AE102" s="1285">
        <f>N('R7業務 (短)'!H20)-N(H102)</f>
        <v>0</v>
      </c>
      <c r="AF102" s="1285">
        <f>N('R7業務 (短)'!I20)-N(I102)</f>
        <v>0</v>
      </c>
      <c r="AG102" s="1285">
        <f>N('R7業務 (短)'!J20)-N(J102)</f>
        <v>0</v>
      </c>
      <c r="AH102" s="1285">
        <f>N('R7業務 (短)'!K20)-N(K102)</f>
        <v>0</v>
      </c>
      <c r="AI102" s="1285">
        <f>N('R7業務 (短)'!L20)-N(L102)</f>
        <v>0</v>
      </c>
      <c r="AJ102" s="1285">
        <f>N('R7業務 (短)'!M20)-N(M102)</f>
        <v>0</v>
      </c>
      <c r="AK102" s="1285">
        <f>N('R7業務 (短)'!N20)-N(N102)</f>
        <v>0</v>
      </c>
      <c r="AL102" s="1285">
        <f>N('R7業務 (短)'!O20)-N(O102)</f>
        <v>0</v>
      </c>
      <c r="AM102" s="1285">
        <f>N('R7業務 (短)'!P20)-N(P102)</f>
        <v>0</v>
      </c>
      <c r="AN102" s="1285">
        <f>N('R7業務 (短)'!Q20)-N(Q102)</f>
        <v>0</v>
      </c>
      <c r="AO102" s="1285">
        <f>N('R7業務 (短)'!R20)-N(R102)</f>
        <v>0</v>
      </c>
      <c r="AP102" s="1285">
        <f>N('R7業務 (短)'!S20)-N(S102)</f>
        <v>0</v>
      </c>
      <c r="AQ102" s="1285">
        <f>N('R7業務 (短)'!T20)-N(T102)</f>
        <v>0</v>
      </c>
      <c r="AR102" s="1285">
        <f>N('R7業務 (短)'!U20)-N(U102)</f>
        <v>0</v>
      </c>
    </row>
    <row r="103">
      <c r="C103" s="1284" t="n">
        <v>0</v>
      </c>
      <c r="D103" s="1284" t="n">
        <v>0</v>
      </c>
      <c r="E103" s="1284" t="n">
        <v>0</v>
      </c>
      <c r="F103" s="1284" t="n">
        <v>0</v>
      </c>
      <c r="G103" s="1284" t="n">
        <v>0</v>
      </c>
      <c r="H103" s="1284" t="n">
        <v>0</v>
      </c>
      <c r="I103" s="1284" t="n">
        <v>0</v>
      </c>
      <c r="J103" s="1284" t="n">
        <v>0</v>
      </c>
      <c r="K103" s="1284" t="n">
        <v>6999</v>
      </c>
      <c r="L103" s="1284" t="n">
        <v>0</v>
      </c>
      <c r="M103" s="1284" t="n">
        <v>0</v>
      </c>
      <c r="N103" s="1284" t="n">
        <v>0</v>
      </c>
      <c r="O103" s="1284" t="n">
        <v>11284</v>
      </c>
      <c r="P103" s="1284" t="n">
        <v>18283</v>
      </c>
      <c r="Q103" s="1284" t="n">
        <v>16000</v>
      </c>
      <c r="S103" s="1284" t="n">
        <v>16000</v>
      </c>
      <c r="T103" s="1284" t="n">
        <v>-2283</v>
      </c>
      <c r="Z103" s="1285">
        <f>N('R7業務 (短)'!C21)-N(C103)</f>
        <v>0</v>
      </c>
      <c r="AA103" s="1285">
        <f>N('R7業務 (短)'!D21)-N(D103)</f>
        <v>0</v>
      </c>
      <c r="AB103" s="1285">
        <f>N('R7業務 (短)'!E21)-N(E103)</f>
        <v>0</v>
      </c>
      <c r="AC103" s="1285">
        <f>N('R7業務 (短)'!F21)-N(F103)</f>
        <v>0</v>
      </c>
      <c r="AD103" s="1285">
        <f>N('R7業務 (短)'!G21)-N(G103)</f>
        <v>0</v>
      </c>
      <c r="AE103" s="1285">
        <f>N('R7業務 (短)'!H21)-N(H103)</f>
        <v>0</v>
      </c>
      <c r="AF103" s="1285">
        <f>N('R7業務 (短)'!I21)-N(I103)</f>
        <v>0</v>
      </c>
      <c r="AG103" s="1285">
        <f>N('R7業務 (短)'!J21)-N(J103)</f>
        <v>0</v>
      </c>
      <c r="AH103" s="1285">
        <f>N('R7業務 (短)'!K21)-N(K103)</f>
        <v>0</v>
      </c>
      <c r="AI103" s="1285">
        <f>N('R7業務 (短)'!L21)-N(L103)</f>
        <v>0</v>
      </c>
      <c r="AJ103" s="1285">
        <f>N('R7業務 (短)'!M21)-N(M103)</f>
        <v>0</v>
      </c>
      <c r="AK103" s="1285">
        <f>N('R7業務 (短)'!N21)-N(N103)</f>
        <v>0</v>
      </c>
      <c r="AL103" s="1285">
        <f>N('R7業務 (短)'!O21)-N(O103)</f>
        <v>0</v>
      </c>
      <c r="AM103" s="1285">
        <f>N('R7業務 (短)'!P21)-N(P103)</f>
        <v>0</v>
      </c>
      <c r="AN103" s="1285">
        <f>N('R7業務 (短)'!Q21)-N(Q103)</f>
        <v>0</v>
      </c>
      <c r="AO103" s="1285">
        <f>N('R7業務 (短)'!R21)-N(R103)</f>
        <v>0</v>
      </c>
      <c r="AP103" s="1285">
        <f>N('R7業務 (短)'!S21)-N(S103)</f>
        <v>0</v>
      </c>
      <c r="AQ103" s="1285">
        <f>N('R7業務 (短)'!T21)-N(T103)</f>
        <v>0</v>
      </c>
      <c r="AR103" s="1285">
        <f>N('R7業務 (短)'!U21)-N(U103)</f>
        <v>0</v>
      </c>
    </row>
    <row r="104">
      <c r="C104" s="1284" t="n">
        <v>0</v>
      </c>
      <c r="D104" s="1284" t="n">
        <v>0</v>
      </c>
      <c r="E104" s="1284" t="n">
        <v>0</v>
      </c>
      <c r="F104" s="1284" t="n">
        <v>0</v>
      </c>
      <c r="G104" s="1284" t="n">
        <v>0</v>
      </c>
      <c r="H104" s="1284" t="n">
        <v>0</v>
      </c>
      <c r="I104" s="1284" t="n">
        <v>0</v>
      </c>
      <c r="J104" s="1284" t="n">
        <v>0</v>
      </c>
      <c r="K104" s="1284" t="n">
        <v>0</v>
      </c>
      <c r="L104" s="1284" t="n">
        <v>0</v>
      </c>
      <c r="M104" s="1284" t="n">
        <v>0</v>
      </c>
      <c r="N104" s="1284" t="n">
        <v>0</v>
      </c>
      <c r="P104" s="1284" t="n">
        <v>0</v>
      </c>
      <c r="Q104" s="1284" t="n">
        <v>0</v>
      </c>
      <c r="S104" s="1284" t="n">
        <v>0</v>
      </c>
      <c r="T104" s="1284" t="n">
        <v>0</v>
      </c>
      <c r="Z104" s="1285">
        <f>N('R7業務 (短)'!C22)-N(C104)</f>
        <v>0</v>
      </c>
      <c r="AA104" s="1285">
        <f>N('R7業務 (短)'!D22)-N(D104)</f>
        <v>0</v>
      </c>
      <c r="AB104" s="1285">
        <f>N('R7業務 (短)'!E22)-N(E104)</f>
        <v>0</v>
      </c>
      <c r="AC104" s="1285">
        <f>N('R7業務 (短)'!F22)-N(F104)</f>
        <v>0</v>
      </c>
      <c r="AD104" s="1285">
        <f>N('R7業務 (短)'!G22)-N(G104)</f>
        <v>0</v>
      </c>
      <c r="AE104" s="1285">
        <f>N('R7業務 (短)'!H22)-N(H104)</f>
        <v>0</v>
      </c>
      <c r="AF104" s="1285">
        <f>N('R7業務 (短)'!I22)-N(I104)</f>
        <v>0</v>
      </c>
      <c r="AG104" s="1285">
        <f>N('R7業務 (短)'!J22)-N(J104)</f>
        <v>0</v>
      </c>
      <c r="AH104" s="1285">
        <f>N('R7業務 (短)'!K22)-N(K104)</f>
        <v>0</v>
      </c>
      <c r="AI104" s="1285">
        <f>N('R7業務 (短)'!L22)-N(L104)</f>
        <v>0</v>
      </c>
      <c r="AJ104" s="1285">
        <f>N('R7業務 (短)'!M22)-N(M104)</f>
        <v>0</v>
      </c>
      <c r="AK104" s="1285">
        <f>N('R7業務 (短)'!N22)-N(N104)</f>
        <v>0</v>
      </c>
      <c r="AL104" s="1285">
        <f>N('R7業務 (短)'!O22)-N(O104)</f>
        <v>0</v>
      </c>
      <c r="AM104" s="1285">
        <f>N('R7業務 (短)'!P22)-N(P104)</f>
        <v>0</v>
      </c>
      <c r="AN104" s="1285">
        <f>N('R7業務 (短)'!Q22)-N(Q104)</f>
        <v>0</v>
      </c>
      <c r="AO104" s="1285">
        <f>N('R7業務 (短)'!R22)-N(R104)</f>
        <v>0</v>
      </c>
      <c r="AP104" s="1285">
        <f>N('R7業務 (短)'!S22)-N(S104)</f>
        <v>0</v>
      </c>
      <c r="AQ104" s="1285">
        <f>N('R7業務 (短)'!T22)-N(T104)</f>
        <v>0</v>
      </c>
      <c r="AR104" s="1285">
        <f>N('R7業務 (短)'!U22)-N(U104)</f>
        <v>0</v>
      </c>
    </row>
    <row r="105">
      <c r="C105" s="1284" t="n">
        <v>0</v>
      </c>
      <c r="D105" s="1284" t="n">
        <v>690732</v>
      </c>
      <c r="E105" s="1284" t="n">
        <v>690732</v>
      </c>
      <c r="F105" s="1284" t="n">
        <v>690732</v>
      </c>
      <c r="G105" s="1284" t="n">
        <v>690732</v>
      </c>
      <c r="H105" s="1284" t="n">
        <v>690732</v>
      </c>
      <c r="I105" s="1284" t="n">
        <v>690732</v>
      </c>
      <c r="J105" s="1284" t="n">
        <v>690732</v>
      </c>
      <c r="K105" s="1284" t="n">
        <v>690732</v>
      </c>
      <c r="L105" s="1284" t="n">
        <v>690732</v>
      </c>
      <c r="M105" s="1284" t="n">
        <v>690732</v>
      </c>
      <c r="N105" s="1284" t="n">
        <v>690732</v>
      </c>
      <c r="O105" s="1284" t="n">
        <v>476415</v>
      </c>
      <c r="P105" s="1284" t="n">
        <v>8074467</v>
      </c>
      <c r="Q105" s="1284" t="n">
        <v>8441000</v>
      </c>
      <c r="S105" s="1284" t="n">
        <v>8441000</v>
      </c>
      <c r="T105" s="1284" t="n">
        <v>366533</v>
      </c>
      <c r="Z105" s="1285">
        <f>N('R7業務 (短)'!C23)-N(C105)</f>
        <v>0</v>
      </c>
      <c r="AA105" s="1285">
        <f>N('R7業務 (短)'!D23)-N(D105)</f>
        <v>0</v>
      </c>
      <c r="AB105" s="1285">
        <f>N('R7業務 (短)'!E23)-N(E105)</f>
        <v>0</v>
      </c>
      <c r="AC105" s="1285">
        <f>N('R7業務 (短)'!F23)-N(F105)</f>
        <v>0</v>
      </c>
      <c r="AD105" s="1285">
        <f>N('R7業務 (短)'!G23)-N(G105)</f>
        <v>0</v>
      </c>
      <c r="AE105" s="1285">
        <f>N('R7業務 (短)'!H23)-N(H105)</f>
        <v>0</v>
      </c>
      <c r="AF105" s="1285">
        <f>N('R7業務 (短)'!I23)-N(I105)</f>
        <v>0</v>
      </c>
      <c r="AG105" s="1285">
        <f>N('R7業務 (短)'!J23)-N(J105)</f>
        <v>0</v>
      </c>
      <c r="AH105" s="1285">
        <f>N('R7業務 (短)'!K23)-N(K105)</f>
        <v>0</v>
      </c>
      <c r="AI105" s="1285">
        <f>N('R7業務 (短)'!L23)-N(L105)</f>
        <v>0</v>
      </c>
      <c r="AJ105" s="1285">
        <f>N('R7業務 (短)'!M23)-N(M105)</f>
        <v>0</v>
      </c>
      <c r="AK105" s="1285">
        <f>N('R7業務 (短)'!N23)-N(N105)</f>
        <v>0</v>
      </c>
      <c r="AL105" s="1285">
        <f>N('R7業務 (短)'!O23)-N(O105)</f>
        <v>0</v>
      </c>
      <c r="AM105" s="1285">
        <f>N('R7業務 (短)'!P23)-N(P105)</f>
        <v>0</v>
      </c>
      <c r="AN105" s="1285">
        <f>N('R7業務 (短)'!Q23)-N(Q105)</f>
        <v>0</v>
      </c>
      <c r="AO105" s="1285">
        <f>N('R7業務 (短)'!R23)-N(R105)</f>
        <v>0</v>
      </c>
      <c r="AP105" s="1285">
        <f>N('R7業務 (短)'!S23)-N(S105)</f>
        <v>0</v>
      </c>
      <c r="AQ105" s="1285">
        <f>N('R7業務 (短)'!T23)-N(T105)</f>
        <v>0</v>
      </c>
      <c r="AR105" s="1285">
        <f>N('R7業務 (短)'!U23)-N(U105)</f>
        <v>0</v>
      </c>
    </row>
    <row r="106">
      <c r="C106" s="1284" t="n">
        <v>0</v>
      </c>
      <c r="D106" s="1284" t="n">
        <v>0</v>
      </c>
      <c r="E106" s="1284" t="n">
        <v>0</v>
      </c>
      <c r="F106" s="1284" t="n">
        <v>0</v>
      </c>
      <c r="G106" s="1284" t="n">
        <v>371265</v>
      </c>
      <c r="H106" s="1284" t="n">
        <v>0</v>
      </c>
      <c r="I106" s="1284" t="n">
        <v>0</v>
      </c>
      <c r="J106" s="1284" t="n">
        <v>277667</v>
      </c>
      <c r="K106" s="1284" t="n">
        <v>0</v>
      </c>
      <c r="L106" s="1284" t="n">
        <v>199257</v>
      </c>
      <c r="M106" s="1284" t="n">
        <v>0</v>
      </c>
      <c r="N106" s="1284" t="n">
        <v>0</v>
      </c>
      <c r="O106" s="1284" t="n">
        <v>441809</v>
      </c>
      <c r="P106" s="1284" t="n">
        <v>1289998</v>
      </c>
      <c r="Q106" s="1284" t="n">
        <v>1532000</v>
      </c>
      <c r="S106" s="1284" t="n">
        <v>1532000</v>
      </c>
      <c r="T106" s="1284" t="n">
        <v>242002</v>
      </c>
      <c r="Z106" s="1285">
        <f>N('R7業務 (短)'!C24)-N(C106)</f>
        <v>0</v>
      </c>
      <c r="AA106" s="1285">
        <f>N('R7業務 (短)'!D24)-N(D106)</f>
        <v>0</v>
      </c>
      <c r="AB106" s="1285">
        <f>N('R7業務 (短)'!E24)-N(E106)</f>
        <v>0</v>
      </c>
      <c r="AC106" s="1285">
        <f>N('R7業務 (短)'!F24)-N(F106)</f>
        <v>0</v>
      </c>
      <c r="AD106" s="1285">
        <f>N('R7業務 (短)'!G24)-N(G106)</f>
        <v>0</v>
      </c>
      <c r="AE106" s="1285">
        <f>N('R7業務 (短)'!H24)-N(H106)</f>
        <v>0</v>
      </c>
      <c r="AF106" s="1285">
        <f>N('R7業務 (短)'!I24)-N(I106)</f>
        <v>0</v>
      </c>
      <c r="AG106" s="1285">
        <f>N('R7業務 (短)'!J24)-N(J106)</f>
        <v>0</v>
      </c>
      <c r="AH106" s="1285">
        <f>N('R7業務 (短)'!K24)-N(K106)</f>
        <v>0</v>
      </c>
      <c r="AI106" s="1285">
        <f>N('R7業務 (短)'!L24)-N(L106)</f>
        <v>0</v>
      </c>
      <c r="AJ106" s="1285">
        <f>N('R7業務 (短)'!M24)-N(M106)</f>
        <v>0</v>
      </c>
      <c r="AK106" s="1285">
        <f>N('R7業務 (短)'!N24)-N(N106)</f>
        <v>0</v>
      </c>
      <c r="AL106" s="1285">
        <f>N('R7業務 (短)'!O24)-N(O106)</f>
        <v>0</v>
      </c>
      <c r="AM106" s="1285">
        <f>N('R7業務 (短)'!P24)-N(P106)</f>
        <v>0</v>
      </c>
      <c r="AN106" s="1285">
        <f>N('R7業務 (短)'!Q24)-N(Q106)</f>
        <v>0</v>
      </c>
      <c r="AO106" s="1285">
        <f>N('R7業務 (短)'!R24)-N(R106)</f>
        <v>0</v>
      </c>
      <c r="AP106" s="1285">
        <f>N('R7業務 (短)'!S24)-N(S106)</f>
        <v>0</v>
      </c>
      <c r="AQ106" s="1285">
        <f>N('R7業務 (短)'!T24)-N(T106)</f>
        <v>0</v>
      </c>
      <c r="AR106" s="1285">
        <f>N('R7業務 (短)'!U24)-N(U106)</f>
        <v>0</v>
      </c>
    </row>
    <row r="107">
      <c r="C107" s="1284" t="n">
        <v>0</v>
      </c>
      <c r="D107" s="1284" t="n">
        <v>0</v>
      </c>
      <c r="E107" s="1284" t="n">
        <v>0</v>
      </c>
      <c r="F107" s="1284" t="n">
        <v>0</v>
      </c>
      <c r="G107" s="1284" t="n">
        <v>0</v>
      </c>
      <c r="H107" s="1284" t="n">
        <v>0</v>
      </c>
      <c r="I107" s="1284" t="n">
        <v>0</v>
      </c>
      <c r="J107" s="1284" t="n">
        <v>0</v>
      </c>
      <c r="K107" s="1284" t="n">
        <v>0</v>
      </c>
      <c r="L107" s="1284" t="n">
        <v>0</v>
      </c>
      <c r="M107" s="1284" t="n">
        <v>0</v>
      </c>
      <c r="N107" s="1284" t="n">
        <v>0</v>
      </c>
      <c r="O107" s="1284" t="n">
        <v>0</v>
      </c>
      <c r="P107" s="1284" t="n">
        <v>0</v>
      </c>
      <c r="Q107" s="1284" t="n">
        <v>0</v>
      </c>
      <c r="S107" s="1284" t="n">
        <v>0</v>
      </c>
      <c r="T107" s="1284" t="n">
        <v>0</v>
      </c>
      <c r="Z107" s="1285">
        <f>N('R7業務 (短)'!C25)-N(C107)</f>
        <v>0</v>
      </c>
      <c r="AA107" s="1285">
        <f>N('R7業務 (短)'!D25)-N(D107)</f>
        <v>0</v>
      </c>
      <c r="AB107" s="1285">
        <f>N('R7業務 (短)'!E25)-N(E107)</f>
        <v>0</v>
      </c>
      <c r="AC107" s="1285">
        <f>N('R7業務 (短)'!F25)-N(F107)</f>
        <v>0</v>
      </c>
      <c r="AD107" s="1285">
        <f>N('R7業務 (短)'!G25)-N(G107)</f>
        <v>0</v>
      </c>
      <c r="AE107" s="1285">
        <f>N('R7業務 (短)'!H25)-N(H107)</f>
        <v>0</v>
      </c>
      <c r="AF107" s="1285">
        <f>N('R7業務 (短)'!I25)-N(I107)</f>
        <v>0</v>
      </c>
      <c r="AG107" s="1285">
        <f>N('R7業務 (短)'!J25)-N(J107)</f>
        <v>0</v>
      </c>
      <c r="AH107" s="1285">
        <f>N('R7業務 (短)'!K25)-N(K107)</f>
        <v>0</v>
      </c>
      <c r="AI107" s="1285">
        <f>N('R7業務 (短)'!L25)-N(L107)</f>
        <v>0</v>
      </c>
      <c r="AJ107" s="1285">
        <f>N('R7業務 (短)'!M25)-N(M107)</f>
        <v>0</v>
      </c>
      <c r="AK107" s="1285">
        <f>N('R7業務 (短)'!N25)-N(N107)</f>
        <v>0</v>
      </c>
      <c r="AL107" s="1285">
        <f>N('R7業務 (短)'!O25)-N(O107)</f>
        <v>0</v>
      </c>
      <c r="AM107" s="1285">
        <f>N('R7業務 (短)'!P25)-N(P107)</f>
        <v>0</v>
      </c>
      <c r="AN107" s="1285">
        <f>N('R7業務 (短)'!Q25)-N(Q107)</f>
        <v>0</v>
      </c>
      <c r="AO107" s="1285">
        <f>N('R7業務 (短)'!R25)-N(R107)</f>
        <v>0</v>
      </c>
      <c r="AP107" s="1285">
        <f>N('R7業務 (短)'!S25)-N(S107)</f>
        <v>0</v>
      </c>
      <c r="AQ107" s="1285">
        <f>N('R7業務 (短)'!T25)-N(T107)</f>
        <v>0</v>
      </c>
      <c r="AR107" s="1285">
        <f>N('R7業務 (短)'!U25)-N(U107)</f>
        <v>0</v>
      </c>
    </row>
    <row r="108">
      <c r="C108" s="1284" t="n">
        <v>0</v>
      </c>
      <c r="D108" s="1284" t="n">
        <v>0</v>
      </c>
      <c r="E108" s="1284" t="n">
        <v>0</v>
      </c>
      <c r="F108" s="1284" t="n">
        <v>0</v>
      </c>
      <c r="G108" s="1284" t="n">
        <v>0</v>
      </c>
      <c r="H108" s="1284" t="n">
        <v>0</v>
      </c>
      <c r="I108" s="1284" t="n">
        <v>0</v>
      </c>
      <c r="J108" s="1284" t="n">
        <v>0</v>
      </c>
      <c r="K108" s="1284" t="n">
        <v>0</v>
      </c>
      <c r="L108" s="1284" t="n">
        <v>0</v>
      </c>
      <c r="M108" s="1284" t="n">
        <v>0</v>
      </c>
      <c r="N108" s="1284" t="n">
        <v>0</v>
      </c>
      <c r="O108" s="1284" t="n">
        <v>0</v>
      </c>
      <c r="P108" s="1284" t="n">
        <v>0</v>
      </c>
      <c r="Q108" s="1284" t="n">
        <v>0</v>
      </c>
      <c r="S108" s="1284" t="n">
        <v>0</v>
      </c>
      <c r="T108" s="1284" t="n">
        <v>0</v>
      </c>
      <c r="Z108" s="1285">
        <f>N('R7業務 (短)'!C26)-N(C108)</f>
        <v>0</v>
      </c>
      <c r="AA108" s="1285">
        <f>N('R7業務 (短)'!D26)-N(D108)</f>
        <v>0</v>
      </c>
      <c r="AB108" s="1285">
        <f>N('R7業務 (短)'!E26)-N(E108)</f>
        <v>0</v>
      </c>
      <c r="AC108" s="1285">
        <f>N('R7業務 (短)'!F26)-N(F108)</f>
        <v>0</v>
      </c>
      <c r="AD108" s="1285">
        <f>N('R7業務 (短)'!G26)-N(G108)</f>
        <v>0</v>
      </c>
      <c r="AE108" s="1285">
        <f>N('R7業務 (短)'!H26)-N(H108)</f>
        <v>0</v>
      </c>
      <c r="AF108" s="1285">
        <f>N('R7業務 (短)'!I26)-N(I108)</f>
        <v>0</v>
      </c>
      <c r="AG108" s="1285">
        <f>N('R7業務 (短)'!J26)-N(J108)</f>
        <v>0</v>
      </c>
      <c r="AH108" s="1285">
        <f>N('R7業務 (短)'!K26)-N(K108)</f>
        <v>0</v>
      </c>
      <c r="AI108" s="1285">
        <f>N('R7業務 (短)'!L26)-N(L108)</f>
        <v>0</v>
      </c>
      <c r="AJ108" s="1285">
        <f>N('R7業務 (短)'!M26)-N(M108)</f>
        <v>0</v>
      </c>
      <c r="AK108" s="1285">
        <f>N('R7業務 (短)'!N26)-N(N108)</f>
        <v>0</v>
      </c>
      <c r="AL108" s="1285">
        <f>N('R7業務 (短)'!O26)-N(O108)</f>
        <v>0</v>
      </c>
      <c r="AM108" s="1285">
        <f>N('R7業務 (短)'!P26)-N(P108)</f>
        <v>0</v>
      </c>
      <c r="AN108" s="1285">
        <f>N('R7業務 (短)'!Q26)-N(Q108)</f>
        <v>0</v>
      </c>
      <c r="AO108" s="1285">
        <f>N('R7業務 (短)'!R26)-N(R108)</f>
        <v>0</v>
      </c>
      <c r="AP108" s="1285">
        <f>N('R7業務 (短)'!S26)-N(S108)</f>
        <v>0</v>
      </c>
      <c r="AQ108" s="1285">
        <f>N('R7業務 (短)'!T26)-N(T108)</f>
        <v>0</v>
      </c>
      <c r="AR108" s="1285">
        <f>N('R7業務 (短)'!U26)-N(U108)</f>
        <v>0</v>
      </c>
    </row>
    <row r="109">
      <c r="C109" s="1284" t="n">
        <v>240</v>
      </c>
      <c r="D109" s="1284" t="n">
        <v>240</v>
      </c>
      <c r="E109" s="1284" t="n">
        <v>240</v>
      </c>
      <c r="F109" s="1284" t="n">
        <v>240</v>
      </c>
      <c r="G109" s="1284" t="n">
        <v>240</v>
      </c>
      <c r="H109" s="1284" t="n">
        <v>240</v>
      </c>
      <c r="I109" s="1284" t="n">
        <v>276</v>
      </c>
      <c r="J109" s="1284" t="n">
        <v>276</v>
      </c>
      <c r="K109" s="1284" t="n">
        <v>276</v>
      </c>
      <c r="L109" s="1284" t="n">
        <v>356</v>
      </c>
      <c r="M109" s="1284" t="n">
        <v>284</v>
      </c>
      <c r="N109" s="1284" t="n">
        <v>284</v>
      </c>
      <c r="P109" s="1284" t="n">
        <v>3192</v>
      </c>
      <c r="Q109" s="1284" t="n">
        <v>1665000</v>
      </c>
      <c r="S109" s="1284" t="n">
        <v>1665000</v>
      </c>
      <c r="T109" s="1284" t="n">
        <v>1661808</v>
      </c>
      <c r="Z109" s="1285">
        <f>N('R7業務 (短)'!C27)-N(C109)</f>
        <v>0</v>
      </c>
      <c r="AA109" s="1285">
        <f>N('R7業務 (短)'!D27)-N(D109)</f>
        <v>0</v>
      </c>
      <c r="AB109" s="1285">
        <f>N('R7業務 (短)'!E27)-N(E109)</f>
        <v>0</v>
      </c>
      <c r="AC109" s="1285">
        <f>N('R7業務 (短)'!F27)-N(F109)</f>
        <v>0</v>
      </c>
      <c r="AD109" s="1285">
        <f>N('R7業務 (短)'!G27)-N(G109)</f>
        <v>0</v>
      </c>
      <c r="AE109" s="1285">
        <f>N('R7業務 (短)'!H27)-N(H109)</f>
        <v>0</v>
      </c>
      <c r="AF109" s="1285">
        <f>N('R7業務 (短)'!I27)-N(I109)</f>
        <v>0</v>
      </c>
      <c r="AG109" s="1285">
        <f>N('R7業務 (短)'!J27)-N(J109)</f>
        <v>0</v>
      </c>
      <c r="AH109" s="1285">
        <f>N('R7業務 (短)'!K27)-N(K109)</f>
        <v>0</v>
      </c>
      <c r="AI109" s="1285">
        <f>N('R7業務 (短)'!L27)-N(L109)</f>
        <v>0</v>
      </c>
      <c r="AJ109" s="1285">
        <f>N('R7業務 (短)'!M27)-N(M109)</f>
        <v>0</v>
      </c>
      <c r="AK109" s="1285">
        <f>N('R7業務 (短)'!N27)-N(N109)</f>
        <v>0</v>
      </c>
      <c r="AL109" s="1285">
        <f>N('R7業務 (短)'!O27)-N(O109)</f>
        <v>0</v>
      </c>
      <c r="AM109" s="1285">
        <f>N('R7業務 (短)'!P27)-N(P109)</f>
        <v>0</v>
      </c>
      <c r="AN109" s="1285">
        <f>N('R7業務 (短)'!Q27)-N(Q109)</f>
        <v>0</v>
      </c>
      <c r="AO109" s="1285">
        <f>N('R7業務 (短)'!R27)-N(R109)</f>
        <v>0</v>
      </c>
      <c r="AP109" s="1285">
        <f>N('R7業務 (短)'!S27)-N(S109)</f>
        <v>0</v>
      </c>
      <c r="AQ109" s="1285">
        <f>N('R7業務 (短)'!T27)-N(T109)</f>
        <v>0</v>
      </c>
      <c r="AR109" s="1285">
        <f>N('R7業務 (短)'!U27)-N(U109)</f>
        <v>0</v>
      </c>
    </row>
    <row r="110">
      <c r="P110" s="1284" t="n">
        <v>0</v>
      </c>
      <c r="Z110" s="1285">
        <f>N('R7業務 (短)'!C28)-N(C110)</f>
        <v>0</v>
      </c>
      <c r="AA110" s="1285">
        <f>N('R7業務 (短)'!D28)-N(D110)</f>
        <v>0</v>
      </c>
      <c r="AB110" s="1285">
        <f>N('R7業務 (短)'!E28)-N(E110)</f>
        <v>0</v>
      </c>
      <c r="AC110" s="1285">
        <f>N('R7業務 (短)'!F28)-N(F110)</f>
        <v>0</v>
      </c>
      <c r="AD110" s="1285">
        <f>N('R7業務 (短)'!G28)-N(G110)</f>
        <v>0</v>
      </c>
      <c r="AE110" s="1285">
        <f>N('R7業務 (短)'!H28)-N(H110)</f>
        <v>0</v>
      </c>
      <c r="AF110" s="1285">
        <f>N('R7業務 (短)'!I28)-N(I110)</f>
        <v>0</v>
      </c>
      <c r="AG110" s="1285">
        <f>N('R7業務 (短)'!J28)-N(J110)</f>
        <v>0</v>
      </c>
      <c r="AH110" s="1285">
        <f>N('R7業務 (短)'!K28)-N(K110)</f>
        <v>0</v>
      </c>
      <c r="AI110" s="1285">
        <f>N('R7業務 (短)'!L28)-N(L110)</f>
        <v>0</v>
      </c>
      <c r="AJ110" s="1285">
        <f>N('R7業務 (短)'!M28)-N(M110)</f>
        <v>0</v>
      </c>
      <c r="AK110" s="1285">
        <f>N('R7業務 (短)'!N28)-N(N110)</f>
        <v>0</v>
      </c>
      <c r="AL110" s="1285">
        <f>N('R7業務 (短)'!O28)-N(O110)</f>
        <v>0</v>
      </c>
      <c r="AM110" s="1285">
        <f>N('R7業務 (短)'!P28)-N(P110)</f>
        <v>0</v>
      </c>
      <c r="AN110" s="1285">
        <f>N('R7業務 (短)'!Q28)-N(Q110)</f>
        <v>0</v>
      </c>
      <c r="AO110" s="1285">
        <f>N('R7業務 (短)'!R28)-N(R110)</f>
        <v>0</v>
      </c>
      <c r="AP110" s="1285">
        <f>N('R7業務 (短)'!S28)-N(S110)</f>
        <v>0</v>
      </c>
      <c r="AQ110" s="1285">
        <f>N('R7業務 (短)'!T28)-N(T110)</f>
        <v>0</v>
      </c>
      <c r="AR110" s="1285">
        <f>N('R7業務 (短)'!U28)-N(U110)</f>
        <v>0</v>
      </c>
    </row>
    <row r="111">
      <c r="C111" s="1284" t="n">
        <v>37074</v>
      </c>
      <c r="D111" s="1284" t="n">
        <v>37074</v>
      </c>
      <c r="E111" s="1284" t="n">
        <v>64323</v>
      </c>
      <c r="F111" s="1284" t="n">
        <v>37074</v>
      </c>
      <c r="G111" s="1284" t="n">
        <v>37074</v>
      </c>
      <c r="H111" s="1284" t="n">
        <v>37763</v>
      </c>
      <c r="I111" s="1284" t="n">
        <v>39697</v>
      </c>
      <c r="J111" s="1284" t="n">
        <v>39697</v>
      </c>
      <c r="K111" s="1284" t="n">
        <v>66980</v>
      </c>
      <c r="L111" s="1284" t="n">
        <v>41273</v>
      </c>
      <c r="M111" s="1284" t="n">
        <v>39697</v>
      </c>
      <c r="N111" s="1284" t="n">
        <v>39697</v>
      </c>
      <c r="P111" s="1284" t="n">
        <v>517423</v>
      </c>
      <c r="Z111" s="1285">
        <f>N('R7業務 (短)'!C29)-N(C111)</f>
        <v>0</v>
      </c>
      <c r="AA111" s="1285">
        <f>N('R7業務 (短)'!D29)-N(D111)</f>
        <v>0</v>
      </c>
      <c r="AB111" s="1285">
        <f>N('R7業務 (短)'!E29)-N(E111)</f>
        <v>0</v>
      </c>
      <c r="AC111" s="1285">
        <f>N('R7業務 (短)'!F29)-N(F111)</f>
        <v>0</v>
      </c>
      <c r="AD111" s="1285">
        <f>N('R7業務 (短)'!G29)-N(G111)</f>
        <v>0</v>
      </c>
      <c r="AE111" s="1285">
        <f>N('R7業務 (短)'!H29)-N(H111)</f>
        <v>0</v>
      </c>
      <c r="AF111" s="1285">
        <f>N('R7業務 (短)'!I29)-N(I111)</f>
        <v>0</v>
      </c>
      <c r="AG111" s="1285">
        <f>N('R7業務 (短)'!J29)-N(J111)</f>
        <v>0</v>
      </c>
      <c r="AH111" s="1285">
        <f>N('R7業務 (短)'!K29)-N(K111)</f>
        <v>0</v>
      </c>
      <c r="AI111" s="1285">
        <f>N('R7業務 (短)'!L29)-N(L111)</f>
        <v>0</v>
      </c>
      <c r="AJ111" s="1285">
        <f>N('R7業務 (短)'!M29)-N(M111)</f>
        <v>0</v>
      </c>
      <c r="AK111" s="1285">
        <f>N('R7業務 (短)'!N29)-N(N111)</f>
        <v>0</v>
      </c>
      <c r="AL111" s="1285">
        <f>N('R7業務 (短)'!O29)-N(O111)</f>
        <v>0</v>
      </c>
      <c r="AM111" s="1285">
        <f>N('R7業務 (短)'!P29)-N(P111)</f>
        <v>0</v>
      </c>
      <c r="AN111" s="1285">
        <f>N('R7業務 (短)'!Q29)-N(Q111)</f>
        <v>0</v>
      </c>
      <c r="AO111" s="1285">
        <f>N('R7業務 (短)'!R29)-N(R111)</f>
        <v>0</v>
      </c>
      <c r="AP111" s="1285">
        <f>N('R7業務 (短)'!S29)-N(S111)</f>
        <v>0</v>
      </c>
      <c r="AQ111" s="1285">
        <f>N('R7業務 (短)'!T29)-N(T111)</f>
        <v>0</v>
      </c>
      <c r="AR111" s="1285">
        <f>N('R7業務 (短)'!U29)-N(U111)</f>
        <v>0</v>
      </c>
    </row>
    <row r="112">
      <c r="C112" s="1284" t="n">
        <v>0</v>
      </c>
      <c r="D112" s="1284" t="n">
        <v>0</v>
      </c>
      <c r="E112" s="1284" t="n">
        <v>125532</v>
      </c>
      <c r="F112" s="1284" t="n">
        <v>62766</v>
      </c>
      <c r="G112" s="1284" t="n">
        <v>105276</v>
      </c>
      <c r="H112" s="1284" t="n">
        <v>62766</v>
      </c>
      <c r="I112" s="1284" t="n">
        <v>61815</v>
      </c>
      <c r="J112" s="1284" t="n">
        <v>0</v>
      </c>
      <c r="K112" s="1284" t="n">
        <v>59913</v>
      </c>
      <c r="L112" s="1284" t="n">
        <v>59913</v>
      </c>
      <c r="M112" s="1284" t="n">
        <v>101092</v>
      </c>
      <c r="N112" s="1284" t="n">
        <v>122203</v>
      </c>
      <c r="O112" s="1284" t="n">
        <v>50403</v>
      </c>
      <c r="P112" s="1284" t="n">
        <v>811679</v>
      </c>
      <c r="Z112" s="1285">
        <f>N('R7業務 (短)'!C30)-N(C112)</f>
        <v>0</v>
      </c>
      <c r="AA112" s="1285">
        <f>N('R7業務 (短)'!D30)-N(D112)</f>
        <v>0</v>
      </c>
      <c r="AB112" s="1285">
        <f>N('R7業務 (短)'!E30)-N(E112)</f>
        <v>0</v>
      </c>
      <c r="AC112" s="1285">
        <f>N('R7業務 (短)'!F30)-N(F112)</f>
        <v>0</v>
      </c>
      <c r="AD112" s="1285">
        <f>N('R7業務 (短)'!G30)-N(G112)</f>
        <v>0</v>
      </c>
      <c r="AE112" s="1285">
        <f>N('R7業務 (短)'!H30)-N(H112)</f>
        <v>0</v>
      </c>
      <c r="AF112" s="1285">
        <f>N('R7業務 (短)'!I30)-N(I112)</f>
        <v>0</v>
      </c>
      <c r="AG112" s="1285">
        <f>N('R7業務 (短)'!J30)-N(J112)</f>
        <v>0</v>
      </c>
      <c r="AH112" s="1285">
        <f>N('R7業務 (短)'!K30)-N(K112)</f>
        <v>0</v>
      </c>
      <c r="AI112" s="1285">
        <f>N('R7業務 (短)'!L30)-N(L112)</f>
        <v>0</v>
      </c>
      <c r="AJ112" s="1285">
        <f>N('R7業務 (短)'!M30)-N(M112)</f>
        <v>0</v>
      </c>
      <c r="AK112" s="1285">
        <f>N('R7業務 (短)'!N30)-N(N112)</f>
        <v>0</v>
      </c>
      <c r="AL112" s="1285">
        <f>N('R7業務 (短)'!O30)-N(O112)</f>
        <v>0</v>
      </c>
      <c r="AM112" s="1285">
        <f>N('R7業務 (短)'!P30)-N(P112)</f>
        <v>0</v>
      </c>
      <c r="AN112" s="1285">
        <f>N('R7業務 (短)'!Q30)-N(Q112)</f>
        <v>0</v>
      </c>
      <c r="AO112" s="1285">
        <f>N('R7業務 (短)'!R30)-N(R112)</f>
        <v>0</v>
      </c>
      <c r="AP112" s="1285">
        <f>N('R7業務 (短)'!S30)-N(S112)</f>
        <v>0</v>
      </c>
      <c r="AQ112" s="1285">
        <f>N('R7業務 (短)'!T30)-N(T112)</f>
        <v>0</v>
      </c>
      <c r="AR112" s="1285">
        <f>N('R7業務 (短)'!U30)-N(U112)</f>
        <v>0</v>
      </c>
    </row>
    <row r="113">
      <c r="F113" s="1284" t="n">
        <v>108215</v>
      </c>
      <c r="P113" s="1284" t="n">
        <v>108215</v>
      </c>
      <c r="Z113" s="1285">
        <f>N('R7業務 (短)'!C31)-N(C113)</f>
        <v>0</v>
      </c>
      <c r="AA113" s="1285">
        <f>N('R7業務 (短)'!D31)-N(D113)</f>
        <v>0</v>
      </c>
      <c r="AB113" s="1285">
        <f>N('R7業務 (短)'!E31)-N(E113)</f>
        <v>0</v>
      </c>
      <c r="AC113" s="1285">
        <f>N('R7業務 (短)'!F31)-N(F113)</f>
        <v>0</v>
      </c>
      <c r="AD113" s="1285">
        <f>N('R7業務 (短)'!G31)-N(G113)</f>
        <v>0</v>
      </c>
      <c r="AE113" s="1285">
        <f>N('R7業務 (短)'!H31)-N(H113)</f>
        <v>0</v>
      </c>
      <c r="AF113" s="1285">
        <f>N('R7業務 (短)'!I31)-N(I113)</f>
        <v>0</v>
      </c>
      <c r="AG113" s="1285">
        <f>N('R7業務 (短)'!J31)-N(J113)</f>
        <v>0</v>
      </c>
      <c r="AH113" s="1285">
        <f>N('R7業務 (短)'!K31)-N(K113)</f>
        <v>0</v>
      </c>
      <c r="AI113" s="1285">
        <f>N('R7業務 (短)'!L31)-N(L113)</f>
        <v>0</v>
      </c>
      <c r="AJ113" s="1285">
        <f>N('R7業務 (短)'!M31)-N(M113)</f>
        <v>0</v>
      </c>
      <c r="AK113" s="1285">
        <f>N('R7業務 (短)'!N31)-N(N113)</f>
        <v>0</v>
      </c>
      <c r="AL113" s="1285">
        <f>N('R7業務 (短)'!O31)-N(O113)</f>
        <v>0</v>
      </c>
      <c r="AM113" s="1285">
        <f>N('R7業務 (短)'!P31)-N(P113)</f>
        <v>0</v>
      </c>
      <c r="AN113" s="1285">
        <f>N('R7業務 (短)'!Q31)-N(Q113)</f>
        <v>0</v>
      </c>
      <c r="AO113" s="1285">
        <f>N('R7業務 (短)'!R31)-N(R113)</f>
        <v>0</v>
      </c>
      <c r="AP113" s="1285">
        <f>N('R7業務 (短)'!S31)-N(S113)</f>
        <v>0</v>
      </c>
      <c r="AQ113" s="1285">
        <f>N('R7業務 (短)'!T31)-N(T113)</f>
        <v>0</v>
      </c>
      <c r="AR113" s="1285">
        <f>N('R7業務 (短)'!U31)-N(U113)</f>
        <v>0</v>
      </c>
    </row>
    <row r="114">
      <c r="C114" s="1284" t="n">
        <v>0</v>
      </c>
      <c r="D114" s="1284" t="n">
        <v>780</v>
      </c>
      <c r="P114" s="1284" t="n">
        <v>780</v>
      </c>
      <c r="Q114" s="1284" t="n">
        <v>1000</v>
      </c>
      <c r="S114" s="1284" t="n">
        <v>1000</v>
      </c>
      <c r="T114" s="1284" t="n">
        <v>220</v>
      </c>
      <c r="Z114" s="1285">
        <f>N('R7業務 (短)'!C32)-N(C114)</f>
        <v>0</v>
      </c>
      <c r="AA114" s="1285">
        <f>N('R7業務 (短)'!D32)-N(D114)</f>
        <v>0</v>
      </c>
      <c r="AB114" s="1285">
        <f>N('R7業務 (短)'!E32)-N(E114)</f>
        <v>0</v>
      </c>
      <c r="AC114" s="1285">
        <f>N('R7業務 (短)'!F32)-N(F114)</f>
        <v>0</v>
      </c>
      <c r="AD114" s="1285">
        <f>N('R7業務 (短)'!G32)-N(G114)</f>
        <v>0</v>
      </c>
      <c r="AE114" s="1285">
        <f>N('R7業務 (短)'!H32)-N(H114)</f>
        <v>0</v>
      </c>
      <c r="AF114" s="1285">
        <f>N('R7業務 (短)'!I32)-N(I114)</f>
        <v>0</v>
      </c>
      <c r="AG114" s="1285">
        <f>N('R7業務 (短)'!J32)-N(J114)</f>
        <v>0</v>
      </c>
      <c r="AH114" s="1285">
        <f>N('R7業務 (短)'!K32)-N(K114)</f>
        <v>0</v>
      </c>
      <c r="AI114" s="1285">
        <f>N('R7業務 (短)'!L32)-N(L114)</f>
        <v>0</v>
      </c>
      <c r="AJ114" s="1285">
        <f>N('R7業務 (短)'!M32)-N(M114)</f>
        <v>0</v>
      </c>
      <c r="AK114" s="1285">
        <f>N('R7業務 (短)'!N32)-N(N114)</f>
        <v>0</v>
      </c>
      <c r="AL114" s="1285">
        <f>N('R7業務 (短)'!O32)-N(O114)</f>
        <v>0</v>
      </c>
      <c r="AM114" s="1285">
        <f>N('R7業務 (短)'!P32)-N(P114)</f>
        <v>0</v>
      </c>
      <c r="AN114" s="1285">
        <f>N('R7業務 (短)'!Q32)-N(Q114)</f>
        <v>0</v>
      </c>
      <c r="AO114" s="1285">
        <f>N('R7業務 (短)'!R32)-N(R114)</f>
        <v>0</v>
      </c>
      <c r="AP114" s="1285">
        <f>N('R7業務 (短)'!S32)-N(S114)</f>
        <v>0</v>
      </c>
      <c r="AQ114" s="1285">
        <f>N('R7業務 (短)'!T32)-N(T114)</f>
        <v>0</v>
      </c>
      <c r="AR114" s="1285">
        <f>N('R7業務 (短)'!U32)-N(U114)</f>
        <v>0</v>
      </c>
    </row>
    <row r="115">
      <c r="C115" s="1284" t="n">
        <v>37314</v>
      </c>
      <c r="D115" s="1284" t="n">
        <v>38094</v>
      </c>
      <c r="E115" s="1284" t="n">
        <v>190095</v>
      </c>
      <c r="F115" s="1284" t="n">
        <v>208295</v>
      </c>
      <c r="G115" s="1284" t="n">
        <v>142590</v>
      </c>
      <c r="H115" s="1284" t="n">
        <v>100769</v>
      </c>
      <c r="I115" s="1284" t="n">
        <v>101788</v>
      </c>
      <c r="J115" s="1284" t="n">
        <v>39973</v>
      </c>
      <c r="K115" s="1284" t="n">
        <v>127169</v>
      </c>
      <c r="L115" s="1284" t="n">
        <v>101542</v>
      </c>
      <c r="M115" s="1284" t="n">
        <v>141073</v>
      </c>
      <c r="N115" s="1284" t="n">
        <v>162184</v>
      </c>
      <c r="O115" s="1284" t="n">
        <v>50403</v>
      </c>
      <c r="P115" s="1284" t="n">
        <v>1441289</v>
      </c>
      <c r="Q115" s="1284" t="n">
        <v>1666000</v>
      </c>
      <c r="S115" s="1284" t="n">
        <v>1666000</v>
      </c>
      <c r="T115" s="1284" t="n">
        <v>224711</v>
      </c>
      <c r="Z115" s="1285">
        <f>N('R7業務 (短)'!C33)-N(C115)</f>
        <v>0</v>
      </c>
      <c r="AA115" s="1285">
        <f>N('R7業務 (短)'!D33)-N(D115)</f>
        <v>0</v>
      </c>
      <c r="AB115" s="1285">
        <f>N('R7業務 (短)'!E33)-N(E115)</f>
        <v>0</v>
      </c>
      <c r="AC115" s="1285">
        <f>N('R7業務 (短)'!F33)-N(F115)</f>
        <v>0</v>
      </c>
      <c r="AD115" s="1285">
        <f>N('R7業務 (短)'!G33)-N(G115)</f>
        <v>0</v>
      </c>
      <c r="AE115" s="1285">
        <f>N('R7業務 (短)'!H33)-N(H115)</f>
        <v>0</v>
      </c>
      <c r="AF115" s="1285">
        <f>N('R7業務 (短)'!I33)-N(I115)</f>
        <v>0</v>
      </c>
      <c r="AG115" s="1285">
        <f>N('R7業務 (短)'!J33)-N(J115)</f>
        <v>0</v>
      </c>
      <c r="AH115" s="1285">
        <f>N('R7業務 (短)'!K33)-N(K115)</f>
        <v>0</v>
      </c>
      <c r="AI115" s="1285">
        <f>N('R7業務 (短)'!L33)-N(L115)</f>
        <v>0</v>
      </c>
      <c r="AJ115" s="1285">
        <f>N('R7業務 (短)'!M33)-N(M115)</f>
        <v>0</v>
      </c>
      <c r="AK115" s="1285">
        <f>N('R7業務 (短)'!N33)-N(N115)</f>
        <v>0</v>
      </c>
      <c r="AL115" s="1285">
        <f>N('R7業務 (短)'!O33)-N(O115)</f>
        <v>0</v>
      </c>
      <c r="AM115" s="1285">
        <f>N('R7業務 (短)'!P33)-N(P115)</f>
        <v>0</v>
      </c>
      <c r="AN115" s="1285">
        <f>N('R7業務 (短)'!Q33)-N(Q115)</f>
        <v>0</v>
      </c>
      <c r="AO115" s="1285">
        <f>N('R7業務 (短)'!R33)-N(R115)</f>
        <v>0</v>
      </c>
      <c r="AP115" s="1285">
        <f>N('R7業務 (短)'!S33)-N(S115)</f>
        <v>0</v>
      </c>
      <c r="AQ115" s="1285">
        <f>N('R7業務 (短)'!T33)-N(T115)</f>
        <v>0</v>
      </c>
      <c r="AR115" s="1285">
        <f>N('R7業務 (短)'!U33)-N(U115)</f>
        <v>0</v>
      </c>
    </row>
    <row r="116">
      <c r="H116" s="1284" t="n">
        <v>20439958</v>
      </c>
      <c r="P116" s="1284" t="n">
        <v>20439958</v>
      </c>
      <c r="Q116" s="1284" t="n">
        <v>20921000</v>
      </c>
      <c r="S116" s="1284" t="n">
        <v>20921000</v>
      </c>
      <c r="T116" s="1284" t="n">
        <v>481042</v>
      </c>
      <c r="Z116" s="1285">
        <f>N('R7業務 (短)'!C34)-N(C116)</f>
        <v>0</v>
      </c>
      <c r="AA116" s="1285">
        <f>N('R7業務 (短)'!D34)-N(D116)</f>
        <v>0</v>
      </c>
      <c r="AB116" s="1285">
        <f>N('R7業務 (短)'!E34)-N(E116)</f>
        <v>0</v>
      </c>
      <c r="AC116" s="1285">
        <f>N('R7業務 (短)'!F34)-N(F116)</f>
        <v>0</v>
      </c>
      <c r="AD116" s="1285">
        <f>N('R7業務 (短)'!G34)-N(G116)</f>
        <v>0</v>
      </c>
      <c r="AE116" s="1285">
        <f>N('R7業務 (短)'!H34)-N(H116)</f>
        <v>0</v>
      </c>
      <c r="AF116" s="1285">
        <f>N('R7業務 (短)'!I34)-N(I116)</f>
        <v>0</v>
      </c>
      <c r="AG116" s="1285">
        <f>N('R7業務 (短)'!J34)-N(J116)</f>
        <v>0</v>
      </c>
      <c r="AH116" s="1285">
        <f>N('R7業務 (短)'!K34)-N(K116)</f>
        <v>0</v>
      </c>
      <c r="AI116" s="1285">
        <f>N('R7業務 (短)'!L34)-N(L116)</f>
        <v>0</v>
      </c>
      <c r="AJ116" s="1285">
        <f>N('R7業務 (短)'!M34)-N(M116)</f>
        <v>0</v>
      </c>
      <c r="AK116" s="1285">
        <f>N('R7業務 (短)'!N34)-N(N116)</f>
        <v>0</v>
      </c>
      <c r="AL116" s="1285">
        <f>N('R7業務 (短)'!O34)-N(O116)</f>
        <v>0</v>
      </c>
      <c r="AM116" s="1285">
        <f>N('R7業務 (短)'!P34)-N(P116)</f>
        <v>0</v>
      </c>
      <c r="AN116" s="1285">
        <f>N('R7業務 (短)'!Q34)-N(Q116)</f>
        <v>0</v>
      </c>
      <c r="AO116" s="1285">
        <f>N('R7業務 (短)'!R34)-N(R116)</f>
        <v>0</v>
      </c>
      <c r="AP116" s="1285">
        <f>N('R7業務 (短)'!S34)-N(S116)</f>
        <v>0</v>
      </c>
      <c r="AQ116" s="1285">
        <f>N('R7業務 (短)'!T34)-N(T116)</f>
        <v>0</v>
      </c>
      <c r="AR116" s="1285">
        <f>N('R7業務 (短)'!U34)-N(U116)</f>
        <v>0</v>
      </c>
    </row>
    <row r="117">
      <c r="P117" s="1284" t="n">
        <v>0</v>
      </c>
      <c r="Q117" s="1284" t="n">
        <v>0</v>
      </c>
      <c r="S117" s="1284" t="n">
        <v>0</v>
      </c>
      <c r="T117" s="1284" t="n">
        <v>0</v>
      </c>
      <c r="Z117" s="1285">
        <f>N('R7業務 (短)'!C35)-N(C117)</f>
        <v>0</v>
      </c>
      <c r="AA117" s="1285">
        <f>N('R7業務 (短)'!D35)-N(D117)</f>
        <v>0</v>
      </c>
      <c r="AB117" s="1285">
        <f>N('R7業務 (短)'!E35)-N(E117)</f>
        <v>0</v>
      </c>
      <c r="AC117" s="1285">
        <f>N('R7業務 (短)'!F35)-N(F117)</f>
        <v>0</v>
      </c>
      <c r="AD117" s="1285">
        <f>N('R7業務 (短)'!G35)-N(G117)</f>
        <v>0</v>
      </c>
      <c r="AE117" s="1285">
        <f>N('R7業務 (短)'!H35)-N(H117)</f>
        <v>0</v>
      </c>
      <c r="AF117" s="1285">
        <f>N('R7業務 (短)'!I35)-N(I117)</f>
        <v>0</v>
      </c>
      <c r="AG117" s="1285">
        <f>N('R7業務 (短)'!J35)-N(J117)</f>
        <v>0</v>
      </c>
      <c r="AH117" s="1285">
        <f>N('R7業務 (短)'!K35)-N(K117)</f>
        <v>0</v>
      </c>
      <c r="AI117" s="1285">
        <f>N('R7業務 (短)'!L35)-N(L117)</f>
        <v>0</v>
      </c>
      <c r="AJ117" s="1285">
        <f>N('R7業務 (短)'!M35)-N(M117)</f>
        <v>0</v>
      </c>
      <c r="AK117" s="1285">
        <f>N('R7業務 (短)'!N35)-N(N117)</f>
        <v>0</v>
      </c>
      <c r="AL117" s="1285">
        <f>N('R7業務 (短)'!O35)-N(O117)</f>
        <v>0</v>
      </c>
      <c r="AM117" s="1285">
        <f>N('R7業務 (短)'!P35)-N(P117)</f>
        <v>0</v>
      </c>
      <c r="AN117" s="1285">
        <f>N('R7業務 (短)'!Q35)-N(Q117)</f>
        <v>0</v>
      </c>
      <c r="AO117" s="1285">
        <f>N('R7業務 (短)'!R35)-N(R117)</f>
        <v>0</v>
      </c>
      <c r="AP117" s="1285">
        <f>N('R7業務 (短)'!S35)-N(S117)</f>
        <v>0</v>
      </c>
      <c r="AQ117" s="1285">
        <f>N('R7業務 (短)'!T35)-N(T117)</f>
        <v>0</v>
      </c>
      <c r="AR117" s="1285">
        <f>N('R7業務 (短)'!U35)-N(U117)</f>
        <v>0</v>
      </c>
    </row>
    <row r="118">
      <c r="P118" s="1284" t="n">
        <v>0</v>
      </c>
      <c r="Q118" s="1284" t="n">
        <v>0</v>
      </c>
      <c r="S118" s="1284" t="n">
        <v>0</v>
      </c>
      <c r="T118" s="1284" t="n">
        <v>0</v>
      </c>
      <c r="Z118" s="1285">
        <f>N('R7業務 (短)'!C36)-N(C118)</f>
        <v>0</v>
      </c>
      <c r="AA118" s="1285">
        <f>N('R7業務 (短)'!D36)-N(D118)</f>
        <v>0</v>
      </c>
      <c r="AB118" s="1285">
        <f>N('R7業務 (短)'!E36)-N(E118)</f>
        <v>0</v>
      </c>
      <c r="AC118" s="1285">
        <f>N('R7業務 (短)'!F36)-N(F118)</f>
        <v>0</v>
      </c>
      <c r="AD118" s="1285">
        <f>N('R7業務 (短)'!G36)-N(G118)</f>
        <v>0</v>
      </c>
      <c r="AE118" s="1285">
        <f>N('R7業務 (短)'!H36)-N(H118)</f>
        <v>0</v>
      </c>
      <c r="AF118" s="1285">
        <f>N('R7業務 (短)'!I36)-N(I118)</f>
        <v>0</v>
      </c>
      <c r="AG118" s="1285">
        <f>N('R7業務 (短)'!J36)-N(J118)</f>
        <v>0</v>
      </c>
      <c r="AH118" s="1285">
        <f>N('R7業務 (短)'!K36)-N(K118)</f>
        <v>0</v>
      </c>
      <c r="AI118" s="1285">
        <f>N('R7業務 (短)'!L36)-N(L118)</f>
        <v>0</v>
      </c>
      <c r="AJ118" s="1285">
        <f>N('R7業務 (短)'!M36)-N(M118)</f>
        <v>0</v>
      </c>
      <c r="AK118" s="1285">
        <f>N('R7業務 (短)'!N36)-N(N118)</f>
        <v>0</v>
      </c>
      <c r="AL118" s="1285">
        <f>N('R7業務 (短)'!O36)-N(O118)</f>
        <v>0</v>
      </c>
      <c r="AM118" s="1285">
        <f>N('R7業務 (短)'!P36)-N(P118)</f>
        <v>0</v>
      </c>
      <c r="AN118" s="1285">
        <f>N('R7業務 (短)'!Q36)-N(Q118)</f>
        <v>0</v>
      </c>
      <c r="AO118" s="1285">
        <f>N('R7業務 (短)'!R36)-N(R118)</f>
        <v>0</v>
      </c>
      <c r="AP118" s="1285">
        <f>N('R7業務 (短)'!S36)-N(S118)</f>
        <v>0</v>
      </c>
      <c r="AQ118" s="1285">
        <f>N('R7業務 (短)'!T36)-N(T118)</f>
        <v>0</v>
      </c>
      <c r="AR118" s="1285">
        <f>N('R7業務 (短)'!U36)-N(U118)</f>
        <v>0</v>
      </c>
    </row>
    <row r="119">
      <c r="O119" s="1284" t="n">
        <v>176556</v>
      </c>
      <c r="P119" s="1284" t="n">
        <v>176556</v>
      </c>
      <c r="Q119" s="1284" t="n">
        <v>172000</v>
      </c>
      <c r="S119" s="1284" t="n">
        <v>172000</v>
      </c>
      <c r="T119" s="1284" t="n">
        <v>-4556</v>
      </c>
      <c r="Z119" s="1285">
        <f>N('R7業務 (短)'!C37)-N(C119)</f>
        <v>0</v>
      </c>
      <c r="AA119" s="1285">
        <f>N('R7業務 (短)'!D37)-N(D119)</f>
        <v>0</v>
      </c>
      <c r="AB119" s="1285">
        <f>N('R7業務 (短)'!E37)-N(E119)</f>
        <v>0</v>
      </c>
      <c r="AC119" s="1285">
        <f>N('R7業務 (短)'!F37)-N(F119)</f>
        <v>0</v>
      </c>
      <c r="AD119" s="1285">
        <f>N('R7業務 (短)'!G37)-N(G119)</f>
        <v>0</v>
      </c>
      <c r="AE119" s="1285">
        <f>N('R7業務 (短)'!H37)-N(H119)</f>
        <v>0</v>
      </c>
      <c r="AF119" s="1285">
        <f>N('R7業務 (短)'!I37)-N(I119)</f>
        <v>0</v>
      </c>
      <c r="AG119" s="1285">
        <f>N('R7業務 (短)'!J37)-N(J119)</f>
        <v>0</v>
      </c>
      <c r="AH119" s="1285">
        <f>N('R7業務 (短)'!K37)-N(K119)</f>
        <v>0</v>
      </c>
      <c r="AI119" s="1285">
        <f>N('R7業務 (短)'!L37)-N(L119)</f>
        <v>0</v>
      </c>
      <c r="AJ119" s="1285">
        <f>N('R7業務 (短)'!M37)-N(M119)</f>
        <v>0</v>
      </c>
      <c r="AK119" s="1285">
        <f>N('R7業務 (短)'!N37)-N(N119)</f>
        <v>0</v>
      </c>
      <c r="AL119" s="1285">
        <f>N('R7業務 (短)'!O37)-N(O119)</f>
        <v>0</v>
      </c>
      <c r="AM119" s="1285">
        <f>N('R7業務 (短)'!P37)-N(P119)</f>
        <v>0</v>
      </c>
      <c r="AN119" s="1285">
        <f>N('R7業務 (短)'!Q37)-N(Q119)</f>
        <v>0</v>
      </c>
      <c r="AO119" s="1285">
        <f>N('R7業務 (短)'!R37)-N(R119)</f>
        <v>0</v>
      </c>
      <c r="AP119" s="1285">
        <f>N('R7業務 (短)'!S37)-N(S119)</f>
        <v>0</v>
      </c>
      <c r="AQ119" s="1285">
        <f>N('R7業務 (短)'!T37)-N(T119)</f>
        <v>0</v>
      </c>
      <c r="AR119" s="1285">
        <f>N('R7業務 (短)'!U37)-N(U119)</f>
        <v>0</v>
      </c>
    </row>
    <row r="120">
      <c r="C120" s="1284" t="n">
        <v>534591</v>
      </c>
      <c r="D120" s="1284" t="n">
        <v>4087081</v>
      </c>
      <c r="E120" s="1284" t="n">
        <v>2455166</v>
      </c>
      <c r="F120" s="1284" t="n">
        <v>1972276</v>
      </c>
      <c r="G120" s="1284" t="n">
        <v>2709341</v>
      </c>
      <c r="H120" s="1284" t="n">
        <v>24070375</v>
      </c>
      <c r="I120" s="1284" t="n">
        <v>2454418</v>
      </c>
      <c r="J120" s="1284" t="n">
        <v>2501632</v>
      </c>
      <c r="K120" s="1284" t="n">
        <v>5009376</v>
      </c>
      <c r="L120" s="1284" t="n">
        <v>2079276</v>
      </c>
      <c r="M120" s="1284" t="n">
        <v>2212970</v>
      </c>
      <c r="N120" s="1284" t="n">
        <v>2135536</v>
      </c>
      <c r="O120" s="1284" t="n">
        <v>3204092</v>
      </c>
      <c r="P120" s="1284" t="n">
        <v>55426130</v>
      </c>
      <c r="Q120" s="1284" t="n">
        <v>59014000</v>
      </c>
      <c r="R120" s="1284" t="n">
        <v>0</v>
      </c>
      <c r="S120" s="1284" t="n">
        <v>59014000</v>
      </c>
      <c r="T120" s="1284" t="n">
        <v>3587870</v>
      </c>
      <c r="U120" s="1284" t="n">
        <v>-3587870</v>
      </c>
      <c r="Z120" s="1285">
        <f>N('R7業務 (短)'!C38)-N(C120)</f>
        <v>0</v>
      </c>
      <c r="AA120" s="1285">
        <f>N('R7業務 (短)'!D38)-N(D120)</f>
        <v>0</v>
      </c>
      <c r="AB120" s="1285">
        <f>N('R7業務 (短)'!E38)-N(E120)</f>
        <v>0</v>
      </c>
      <c r="AC120" s="1285">
        <f>N('R7業務 (短)'!F38)-N(F120)</f>
        <v>0</v>
      </c>
      <c r="AD120" s="1285">
        <f>N('R7業務 (短)'!G38)-N(G120)</f>
        <v>0</v>
      </c>
      <c r="AE120" s="1285">
        <f>N('R7業務 (短)'!H38)-N(H120)</f>
        <v>0</v>
      </c>
      <c r="AF120" s="1285">
        <f>N('R7業務 (短)'!I38)-N(I120)</f>
        <v>0</v>
      </c>
      <c r="AG120" s="1285">
        <f>N('R7業務 (短)'!J38)-N(J120)</f>
        <v>0</v>
      </c>
      <c r="AH120" s="1285">
        <f>N('R7業務 (短)'!K38)-N(K120)</f>
        <v>0</v>
      </c>
      <c r="AI120" s="1285">
        <f>N('R7業務 (短)'!L38)-N(L120)</f>
        <v>0</v>
      </c>
      <c r="AJ120" s="1285">
        <f>N('R7業務 (短)'!M38)-N(M120)</f>
        <v>0</v>
      </c>
      <c r="AK120" s="1285">
        <f>N('R7業務 (短)'!N38)-N(N120)</f>
        <v>0</v>
      </c>
      <c r="AL120" s="1285">
        <f>N('R7業務 (短)'!O38)-N(O120)</f>
        <v>0</v>
      </c>
      <c r="AM120" s="1285">
        <f>N('R7業務 (短)'!P38)-N(P120)</f>
        <v>0</v>
      </c>
      <c r="AN120" s="1285">
        <f>N('R7業務 (短)'!Q38)-N(Q120)</f>
        <v>0</v>
      </c>
      <c r="AO120" s="1285">
        <f>N('R7業務 (短)'!R38)-N(R120)</f>
        <v>0</v>
      </c>
      <c r="AP120" s="1285">
        <f>N('R7業務 (短)'!S38)-N(S120)</f>
        <v>0</v>
      </c>
      <c r="AQ120" s="1285">
        <f>N('R7業務 (短)'!T38)-N(T120)</f>
        <v>0</v>
      </c>
      <c r="AR120" s="1285">
        <f>N('R7業務 (短)'!U38)-N(U120)</f>
        <v>0</v>
      </c>
    </row>
    <row r="121">
      <c r="Z121" s="1285">
        <f>N('R7業務 (短)'!C39)-N(C121)</f>
        <v>0</v>
      </c>
      <c r="AA121" s="1285">
        <f>N('R7業務 (短)'!D39)-N(D121)</f>
        <v>0</v>
      </c>
      <c r="AB121" s="1285">
        <f>N('R7業務 (短)'!E39)-N(E121)</f>
        <v>0</v>
      </c>
      <c r="AC121" s="1285">
        <f>N('R7業務 (短)'!F39)-N(F121)</f>
        <v>0</v>
      </c>
      <c r="AD121" s="1285">
        <f>N('R7業務 (短)'!G39)-N(G121)</f>
        <v>0</v>
      </c>
      <c r="AE121" s="1285">
        <f>N('R7業務 (短)'!H39)-N(H121)</f>
        <v>0</v>
      </c>
      <c r="AF121" s="1285">
        <f>N('R7業務 (短)'!I39)-N(I121)</f>
        <v>0</v>
      </c>
      <c r="AG121" s="1285">
        <f>N('R7業務 (短)'!J39)-N(J121)</f>
        <v>0</v>
      </c>
      <c r="AH121" s="1285">
        <f>N('R7業務 (短)'!K39)-N(K121)</f>
        <v>0</v>
      </c>
      <c r="AI121" s="1285">
        <f>N('R7業務 (短)'!L39)-N(L121)</f>
        <v>0</v>
      </c>
      <c r="AJ121" s="1285">
        <f>N('R7業務 (短)'!M39)-N(M121)</f>
        <v>0</v>
      </c>
      <c r="AK121" s="1285">
        <f>N('R7業務 (短)'!N39)-N(N121)</f>
        <v>0</v>
      </c>
      <c r="AL121" s="1285">
        <f>N('R7業務 (短)'!O39)-N(O121)</f>
        <v>0</v>
      </c>
      <c r="AM121" s="1285">
        <f>N('R7業務 (短)'!P39)-N(P121)</f>
        <v>0</v>
      </c>
      <c r="AN121" s="1285">
        <f>N('R7業務 (短)'!Q39)-N(Q121)</f>
        <v>0</v>
      </c>
      <c r="AO121" s="1285">
        <f>N('R7業務 (短)'!R39)-N(R121)</f>
        <v>0</v>
      </c>
      <c r="AP121" s="1285">
        <f>N('R7業務 (短)'!S39)-N(S121)</f>
        <v>0</v>
      </c>
      <c r="AQ121" s="1285">
        <f>N('R7業務 (短)'!T39)-N(T121)</f>
        <v>0</v>
      </c>
      <c r="AR121" s="1285">
        <f>N('R7業務 (短)'!U39)-N(U121)</f>
        <v>0</v>
      </c>
    </row>
    <row r="122">
      <c r="Z122" s="1285">
        <f>N('R7業務 (短)'!C40)-N(C122)</f>
        <v>0</v>
      </c>
      <c r="AA122" s="1285">
        <f>N('R7業務 (短)'!D40)-N(D122)</f>
        <v>0</v>
      </c>
      <c r="AB122" s="1285">
        <f>N('R7業務 (短)'!E40)-N(E122)</f>
        <v>0</v>
      </c>
      <c r="AC122" s="1285">
        <f>N('R7業務 (短)'!F40)-N(F122)</f>
        <v>0</v>
      </c>
      <c r="AD122" s="1285">
        <f>N('R7業務 (短)'!G40)-N(G122)</f>
        <v>0</v>
      </c>
      <c r="AE122" s="1285">
        <f>N('R7業務 (短)'!H40)-N(H122)</f>
        <v>0</v>
      </c>
      <c r="AF122" s="1285">
        <f>N('R7業務 (短)'!I40)-N(I122)</f>
        <v>0</v>
      </c>
      <c r="AG122" s="1285">
        <f>N('R7業務 (短)'!J40)-N(J122)</f>
        <v>0</v>
      </c>
      <c r="AH122" s="1285">
        <f>N('R7業務 (短)'!K40)-N(K122)</f>
        <v>0</v>
      </c>
      <c r="AI122" s="1285">
        <f>N('R7業務 (短)'!L40)-N(L122)</f>
        <v>0</v>
      </c>
      <c r="AJ122" s="1285">
        <f>N('R7業務 (短)'!M40)-N(M122)</f>
        <v>0</v>
      </c>
      <c r="AK122" s="1285">
        <f>N('R7業務 (短)'!N40)-N(N122)</f>
        <v>0</v>
      </c>
      <c r="AL122" s="1285">
        <f>N('R7業務 (短)'!O40)-N(O122)</f>
        <v>0</v>
      </c>
      <c r="AM122" s="1285">
        <f>N('R7業務 (短)'!P40)-N(P122)</f>
        <v>0</v>
      </c>
      <c r="AN122" s="1285">
        <f>N('R7業務 (短)'!Q40)-N(Q122)</f>
        <v>0</v>
      </c>
      <c r="AO122" s="1285">
        <f>N('R7業務 (短)'!R40)-N(R122)</f>
        <v>0</v>
      </c>
      <c r="AP122" s="1285">
        <f>N('R7業務 (短)'!S40)-N(S122)</f>
        <v>0</v>
      </c>
      <c r="AQ122" s="1285">
        <f>N('R7業務 (短)'!T40)-N(T122)</f>
        <v>0</v>
      </c>
      <c r="AR122" s="1285">
        <f>N('R7業務 (短)'!U40)-N(U122)</f>
        <v>0</v>
      </c>
    </row>
    <row r="123">
      <c r="C123" s="1284" t="n">
        <v>2268000</v>
      </c>
      <c r="D123" s="1284" t="n">
        <v>2150000</v>
      </c>
      <c r="E123" s="1284" t="n">
        <v>2609000</v>
      </c>
      <c r="F123" s="1284" t="n">
        <v>2725000</v>
      </c>
      <c r="G123" s="1284" t="n">
        <v>2151000</v>
      </c>
      <c r="H123" s="1284" t="n">
        <v>12794000</v>
      </c>
      <c r="I123" s="1284" t="n">
        <v>2477000</v>
      </c>
      <c r="J123" s="1284" t="n">
        <v>2228000</v>
      </c>
      <c r="K123" s="1284" t="n">
        <v>2894000</v>
      </c>
      <c r="L123" s="1284" t="n">
        <v>2560000</v>
      </c>
      <c r="M123" s="1284" t="n">
        <v>2209000</v>
      </c>
      <c r="N123" s="1284" t="n">
        <v>3606000</v>
      </c>
      <c r="O123" s="1284" t="n">
        <v>2075480</v>
      </c>
      <c r="P123" s="1284" t="n">
        <v>42746480</v>
      </c>
      <c r="R123" s="1284" t="n">
        <v>-11744404</v>
      </c>
      <c r="S123" s="1284" t="n">
        <v>40815000</v>
      </c>
      <c r="T123" s="1284" t="n">
        <v>31002076</v>
      </c>
      <c r="Z123" s="1285">
        <f>N('R7業務 (短)'!C41)-N(C123)</f>
        <v>0</v>
      </c>
      <c r="AA123" s="1285">
        <f>N('R7業務 (短)'!D41)-N(D123)</f>
        <v>0</v>
      </c>
      <c r="AB123" s="1285">
        <f>N('R7業務 (短)'!E41)-N(E123)</f>
        <v>0</v>
      </c>
      <c r="AC123" s="1285">
        <f>N('R7業務 (短)'!F41)-N(F123)</f>
        <v>0</v>
      </c>
      <c r="AD123" s="1285">
        <f>N('R7業務 (短)'!G41)-N(G123)</f>
        <v>0</v>
      </c>
      <c r="AE123" s="1285">
        <f>N('R7業務 (短)'!H41)-N(H123)</f>
        <v>0</v>
      </c>
      <c r="AF123" s="1285">
        <f>N('R7業務 (短)'!I41)-N(I123)</f>
        <v>0</v>
      </c>
      <c r="AG123" s="1285">
        <f>N('R7業務 (短)'!J41)-N(J123)</f>
        <v>0</v>
      </c>
      <c r="AH123" s="1285">
        <f>N('R7業務 (短)'!K41)-N(K123)</f>
        <v>0</v>
      </c>
      <c r="AI123" s="1285">
        <f>N('R7業務 (短)'!L41)-N(L123)</f>
        <v>0</v>
      </c>
      <c r="AJ123" s="1285">
        <f>N('R7業務 (短)'!M41)-N(M123)</f>
        <v>0</v>
      </c>
      <c r="AK123" s="1285">
        <f>N('R7業務 (短)'!N41)-N(N123)</f>
        <v>0</v>
      </c>
      <c r="AL123" s="1285">
        <f>N('R7業務 (短)'!O41)-N(O123)</f>
        <v>0</v>
      </c>
      <c r="AM123" s="1285">
        <f>N('R7業務 (短)'!P41)-N(P123)</f>
        <v>0</v>
      </c>
      <c r="AN123" s="1285">
        <f>N('R7業務 (短)'!Q41)-N(Q123)</f>
        <v>0</v>
      </c>
      <c r="AO123" s="1285">
        <f>N('R7業務 (短)'!R41)-N(R123)</f>
        <v>0</v>
      </c>
      <c r="AP123" s="1285">
        <f>N('R7業務 (短)'!S41)-N(S123)</f>
        <v>0</v>
      </c>
      <c r="AQ123" s="1285">
        <f>N('R7業務 (短)'!T41)-N(T123)</f>
        <v>0</v>
      </c>
      <c r="AR123" s="1285">
        <f>N('R7業務 (短)'!U41)-N(U123)</f>
        <v>0</v>
      </c>
    </row>
    <row r="124">
      <c r="P124" s="1284" t="n">
        <v>0</v>
      </c>
      <c r="S124" s="1284" t="n">
        <v>0</v>
      </c>
      <c r="T124" s="1284" t="n">
        <v>0</v>
      </c>
      <c r="Z124" s="1285">
        <f>N('R7業務 (短)'!C42)-N(C124)</f>
        <v>0</v>
      </c>
      <c r="AA124" s="1285">
        <f>N('R7業務 (短)'!D42)-N(D124)</f>
        <v>0</v>
      </c>
      <c r="AB124" s="1285">
        <f>N('R7業務 (短)'!E42)-N(E124)</f>
        <v>0</v>
      </c>
      <c r="AC124" s="1285">
        <f>N('R7業務 (短)'!F42)-N(F124)</f>
        <v>0</v>
      </c>
      <c r="AD124" s="1285">
        <f>N('R7業務 (短)'!G42)-N(G124)</f>
        <v>0</v>
      </c>
      <c r="AE124" s="1285">
        <f>N('R7業務 (短)'!H42)-N(H124)</f>
        <v>0</v>
      </c>
      <c r="AF124" s="1285">
        <f>N('R7業務 (短)'!I42)-N(I124)</f>
        <v>0</v>
      </c>
      <c r="AG124" s="1285">
        <f>N('R7業務 (短)'!J42)-N(J124)</f>
        <v>0</v>
      </c>
      <c r="AH124" s="1285">
        <f>N('R7業務 (短)'!K42)-N(K124)</f>
        <v>0</v>
      </c>
      <c r="AI124" s="1285">
        <f>N('R7業務 (短)'!L42)-N(L124)</f>
        <v>0</v>
      </c>
      <c r="AJ124" s="1285">
        <f>N('R7業務 (短)'!M42)-N(M124)</f>
        <v>0</v>
      </c>
      <c r="AK124" s="1285">
        <f>N('R7業務 (短)'!N42)-N(N124)</f>
        <v>0</v>
      </c>
      <c r="AL124" s="1285">
        <f>N('R7業務 (短)'!O42)-N(O124)</f>
        <v>0</v>
      </c>
      <c r="AM124" s="1285">
        <f>N('R7業務 (短)'!P42)-N(P124)</f>
        <v>0</v>
      </c>
      <c r="AN124" s="1285">
        <f>N('R7業務 (短)'!Q42)-N(Q124)</f>
        <v>0</v>
      </c>
      <c r="AO124" s="1285">
        <f>N('R7業務 (短)'!R42)-N(R124)</f>
        <v>0</v>
      </c>
      <c r="AP124" s="1285">
        <f>N('R7業務 (短)'!S42)-N(S124)</f>
        <v>0</v>
      </c>
      <c r="AQ124" s="1285">
        <f>N('R7業務 (短)'!T42)-N(T124)</f>
        <v>0</v>
      </c>
      <c r="AR124" s="1285">
        <f>N('R7業務 (短)'!U42)-N(U124)</f>
        <v>0</v>
      </c>
    </row>
    <row r="125">
      <c r="P125" s="1284" t="n">
        <v>0</v>
      </c>
      <c r="S125" s="1284" t="n">
        <v>0</v>
      </c>
      <c r="T125" s="1284" t="n">
        <v>0</v>
      </c>
      <c r="Z125" s="1285">
        <f>N('R7業務 (短)'!C43)-N(C125)</f>
        <v>0</v>
      </c>
      <c r="AA125" s="1285">
        <f>N('R7業務 (短)'!D43)-N(D125)</f>
        <v>0</v>
      </c>
      <c r="AB125" s="1285">
        <f>N('R7業務 (短)'!E43)-N(E125)</f>
        <v>0</v>
      </c>
      <c r="AC125" s="1285">
        <f>N('R7業務 (短)'!F43)-N(F125)</f>
        <v>0</v>
      </c>
      <c r="AD125" s="1285">
        <f>N('R7業務 (短)'!G43)-N(G125)</f>
        <v>0</v>
      </c>
      <c r="AE125" s="1285">
        <f>N('R7業務 (短)'!H43)-N(H125)</f>
        <v>0</v>
      </c>
      <c r="AF125" s="1285">
        <f>N('R7業務 (短)'!I43)-N(I125)</f>
        <v>0</v>
      </c>
      <c r="AG125" s="1285">
        <f>N('R7業務 (短)'!J43)-N(J125)</f>
        <v>0</v>
      </c>
      <c r="AH125" s="1285">
        <f>N('R7業務 (短)'!K43)-N(K125)</f>
        <v>0</v>
      </c>
      <c r="AI125" s="1285">
        <f>N('R7業務 (短)'!L43)-N(L125)</f>
        <v>0</v>
      </c>
      <c r="AJ125" s="1285">
        <f>N('R7業務 (短)'!M43)-N(M125)</f>
        <v>0</v>
      </c>
      <c r="AK125" s="1285">
        <f>N('R7業務 (短)'!N43)-N(N125)</f>
        <v>0</v>
      </c>
      <c r="AL125" s="1285">
        <f>N('R7業務 (短)'!O43)-N(O125)</f>
        <v>0</v>
      </c>
      <c r="AM125" s="1285">
        <f>N('R7業務 (短)'!P43)-N(P125)</f>
        <v>0</v>
      </c>
      <c r="AN125" s="1285">
        <f>N('R7業務 (短)'!Q43)-N(Q125)</f>
        <v>0</v>
      </c>
      <c r="AO125" s="1285">
        <f>N('R7業務 (短)'!R43)-N(R125)</f>
        <v>0</v>
      </c>
      <c r="AP125" s="1285">
        <f>N('R7業務 (短)'!S43)-N(S125)</f>
        <v>0</v>
      </c>
      <c r="AQ125" s="1285">
        <f>N('R7業務 (短)'!T43)-N(T125)</f>
        <v>0</v>
      </c>
      <c r="AR125" s="1285">
        <f>N('R7業務 (短)'!U43)-N(U125)</f>
        <v>0</v>
      </c>
    </row>
    <row r="126">
      <c r="O126" s="1284" t="n">
        <v>7580026</v>
      </c>
      <c r="P126" s="1284" t="n">
        <v>7580026</v>
      </c>
      <c r="S126" s="1284" t="n">
        <v>13605000</v>
      </c>
      <c r="T126" s="1284" t="n">
        <v>0</v>
      </c>
      <c r="Z126" s="1285">
        <f>N('R7業務 (短)'!C44)-N(C126)</f>
        <v>0</v>
      </c>
      <c r="AA126" s="1285">
        <f>N('R7業務 (短)'!D44)-N(D126)</f>
        <v>0</v>
      </c>
      <c r="AB126" s="1285">
        <f>N('R7業務 (短)'!E44)-N(E126)</f>
        <v>0</v>
      </c>
      <c r="AC126" s="1285">
        <f>N('R7業務 (短)'!F44)-N(F126)</f>
        <v>0</v>
      </c>
      <c r="AD126" s="1285">
        <f>N('R7業務 (短)'!G44)-N(G126)</f>
        <v>0</v>
      </c>
      <c r="AE126" s="1285">
        <f>N('R7業務 (短)'!H44)-N(H126)</f>
        <v>0</v>
      </c>
      <c r="AF126" s="1285">
        <f>N('R7業務 (短)'!I44)-N(I126)</f>
        <v>0</v>
      </c>
      <c r="AG126" s="1285">
        <f>N('R7業務 (短)'!J44)-N(J126)</f>
        <v>0</v>
      </c>
      <c r="AH126" s="1285">
        <f>N('R7業務 (短)'!K44)-N(K126)</f>
        <v>0</v>
      </c>
      <c r="AI126" s="1285">
        <f>N('R7業務 (短)'!L44)-N(L126)</f>
        <v>0</v>
      </c>
      <c r="AJ126" s="1285">
        <f>N('R7業務 (短)'!M44)-N(M126)</f>
        <v>0</v>
      </c>
      <c r="AK126" s="1285">
        <f>N('R7業務 (短)'!N44)-N(N126)</f>
        <v>0</v>
      </c>
      <c r="AL126" s="1285">
        <f>N('R7業務 (短)'!O44)-N(O126)</f>
        <v>0</v>
      </c>
      <c r="AM126" s="1285">
        <f>N('R7業務 (短)'!P44)-N(P126)</f>
        <v>0</v>
      </c>
      <c r="AN126" s="1285">
        <f>N('R7業務 (短)'!Q44)-N(Q126)</f>
        <v>0</v>
      </c>
      <c r="AO126" s="1285">
        <f>N('R7業務 (短)'!R44)-N(R126)</f>
        <v>0</v>
      </c>
      <c r="AP126" s="1285">
        <f>N('R7業務 (短)'!S44)-N(S126)</f>
        <v>0</v>
      </c>
      <c r="AQ126" s="1285">
        <f>N('R7業務 (短)'!T44)-N(T126)</f>
        <v>0</v>
      </c>
      <c r="AR126" s="1285">
        <f>N('R7業務 (短)'!U44)-N(U126)</f>
        <v>0</v>
      </c>
    </row>
    <row r="127">
      <c r="P127" s="1284" t="n">
        <v>0</v>
      </c>
      <c r="S127" s="1284" t="n">
        <v>0</v>
      </c>
      <c r="T127" s="1284" t="n">
        <v>0</v>
      </c>
      <c r="Z127" s="1285">
        <f>N('R7業務 (短)'!C45)-N(C127)</f>
        <v>0</v>
      </c>
      <c r="AA127" s="1285">
        <f>N('R7業務 (短)'!D45)-N(D127)</f>
        <v>0</v>
      </c>
      <c r="AB127" s="1285">
        <f>N('R7業務 (短)'!E45)-N(E127)</f>
        <v>0</v>
      </c>
      <c r="AC127" s="1285">
        <f>N('R7業務 (短)'!F45)-N(F127)</f>
        <v>0</v>
      </c>
      <c r="AD127" s="1285">
        <f>N('R7業務 (短)'!G45)-N(G127)</f>
        <v>0</v>
      </c>
      <c r="AE127" s="1285">
        <f>N('R7業務 (短)'!H45)-N(H127)</f>
        <v>0</v>
      </c>
      <c r="AF127" s="1285">
        <f>N('R7業務 (短)'!I45)-N(I127)</f>
        <v>0</v>
      </c>
      <c r="AG127" s="1285">
        <f>N('R7業務 (短)'!J45)-N(J127)</f>
        <v>0</v>
      </c>
      <c r="AH127" s="1285">
        <f>N('R7業務 (短)'!K45)-N(K127)</f>
        <v>0</v>
      </c>
      <c r="AI127" s="1285">
        <f>N('R7業務 (短)'!L45)-N(L127)</f>
        <v>0</v>
      </c>
      <c r="AJ127" s="1285">
        <f>N('R7業務 (短)'!M45)-N(M127)</f>
        <v>0</v>
      </c>
      <c r="AK127" s="1285">
        <f>N('R7業務 (短)'!N45)-N(N127)</f>
        <v>0</v>
      </c>
      <c r="AL127" s="1285">
        <f>N('R7業務 (短)'!O45)-N(O127)</f>
        <v>0</v>
      </c>
      <c r="AM127" s="1285">
        <f>N('R7業務 (短)'!P45)-N(P127)</f>
        <v>0</v>
      </c>
      <c r="AN127" s="1285">
        <f>N('R7業務 (短)'!Q45)-N(Q127)</f>
        <v>0</v>
      </c>
      <c r="AO127" s="1285">
        <f>N('R7業務 (短)'!R45)-N(R127)</f>
        <v>0</v>
      </c>
      <c r="AP127" s="1285">
        <f>N('R7業務 (短)'!S45)-N(S127)</f>
        <v>0</v>
      </c>
      <c r="AQ127" s="1285">
        <f>N('R7業務 (短)'!T45)-N(T127)</f>
        <v>0</v>
      </c>
      <c r="AR127" s="1285">
        <f>N('R7業務 (短)'!U45)-N(U127)</f>
        <v>0</v>
      </c>
    </row>
    <row r="128">
      <c r="C128" s="1284" t="n">
        <v>2268000</v>
      </c>
      <c r="D128" s="1284" t="n">
        <v>2150000</v>
      </c>
      <c r="E128" s="1284" t="n">
        <v>2609000</v>
      </c>
      <c r="F128" s="1284" t="n">
        <v>2725000</v>
      </c>
      <c r="G128" s="1284" t="n">
        <v>2151000</v>
      </c>
      <c r="H128" s="1284" t="n">
        <v>12794000</v>
      </c>
      <c r="I128" s="1284" t="n">
        <v>2477000</v>
      </c>
      <c r="J128" s="1284" t="n">
        <v>2228000</v>
      </c>
      <c r="K128" s="1284" t="n">
        <v>2894000</v>
      </c>
      <c r="L128" s="1284" t="n">
        <v>2560000</v>
      </c>
      <c r="M128" s="1284" t="n">
        <v>2209000</v>
      </c>
      <c r="N128" s="1284" t="n">
        <v>3606000</v>
      </c>
      <c r="O128" s="1284" t="n">
        <v>9655506</v>
      </c>
      <c r="P128" s="1284" t="n">
        <v>50326506</v>
      </c>
      <c r="Q128" s="1284" t="n">
        <v>0</v>
      </c>
      <c r="R128" s="1284" t="n">
        <v>-11744404</v>
      </c>
      <c r="S128" s="1284" t="n">
        <v>54420000</v>
      </c>
      <c r="T128" s="1284" t="n">
        <v>31002076</v>
      </c>
      <c r="Z128" s="1285">
        <f>N('R7業務 (短)'!C46)-N(C128)</f>
        <v>0</v>
      </c>
      <c r="AA128" s="1285">
        <f>N('R7業務 (短)'!D46)-N(D128)</f>
        <v>0</v>
      </c>
      <c r="AB128" s="1285">
        <f>N('R7業務 (短)'!E46)-N(E128)</f>
        <v>0</v>
      </c>
      <c r="AC128" s="1285">
        <f>N('R7業務 (短)'!F46)-N(F128)</f>
        <v>0</v>
      </c>
      <c r="AD128" s="1285">
        <f>N('R7業務 (短)'!G46)-N(G128)</f>
        <v>0</v>
      </c>
      <c r="AE128" s="1285">
        <f>N('R7業務 (短)'!H46)-N(H128)</f>
        <v>0</v>
      </c>
      <c r="AF128" s="1285">
        <f>N('R7業務 (短)'!I46)-N(I128)</f>
        <v>0</v>
      </c>
      <c r="AG128" s="1285">
        <f>N('R7業務 (短)'!J46)-N(J128)</f>
        <v>0</v>
      </c>
      <c r="AH128" s="1285">
        <f>N('R7業務 (短)'!K46)-N(K128)</f>
        <v>0</v>
      </c>
      <c r="AI128" s="1285">
        <f>N('R7業務 (短)'!L46)-N(L128)</f>
        <v>0</v>
      </c>
      <c r="AJ128" s="1285">
        <f>N('R7業務 (短)'!M46)-N(M128)</f>
        <v>0</v>
      </c>
      <c r="AK128" s="1285">
        <f>N('R7業務 (短)'!N46)-N(N128)</f>
        <v>0</v>
      </c>
      <c r="AL128" s="1285">
        <f>N('R7業務 (短)'!O46)-N(O128)</f>
        <v>0</v>
      </c>
      <c r="AM128" s="1285">
        <f>N('R7業務 (短)'!P46)-N(P128)</f>
        <v>0</v>
      </c>
      <c r="AN128" s="1285">
        <f>N('R7業務 (短)'!Q46)-N(Q128)</f>
        <v>0</v>
      </c>
      <c r="AO128" s="1285">
        <f>N('R7業務 (短)'!R46)-N(R128)</f>
        <v>0</v>
      </c>
      <c r="AP128" s="1285">
        <f>N('R7業務 (短)'!S46)-N(S128)</f>
        <v>0</v>
      </c>
      <c r="AQ128" s="1285">
        <f>N('R7業務 (短)'!T46)-N(T128)</f>
        <v>0</v>
      </c>
      <c r="AR128" s="1285">
        <f>N('R7業務 (短)'!U46)-N(U128)</f>
        <v>0</v>
      </c>
    </row>
    <row r="129">
      <c r="Z129" s="1285">
        <f>N('R7業務 (短)'!C47)-N(C129)</f>
        <v>0</v>
      </c>
      <c r="AA129" s="1285">
        <f>N('R7業務 (短)'!D47)-N(D129)</f>
        <v>0</v>
      </c>
      <c r="AB129" s="1285">
        <f>N('R7業務 (短)'!E47)-N(E129)</f>
        <v>0</v>
      </c>
      <c r="AC129" s="1285">
        <f>N('R7業務 (短)'!F47)-N(F129)</f>
        <v>0</v>
      </c>
      <c r="AD129" s="1285">
        <f>N('R7業務 (短)'!G47)-N(G129)</f>
        <v>0</v>
      </c>
      <c r="AE129" s="1285">
        <f>N('R7業務 (短)'!H47)-N(H129)</f>
        <v>0</v>
      </c>
      <c r="AF129" s="1285">
        <f>N('R7業務 (短)'!I47)-N(I129)</f>
        <v>0</v>
      </c>
      <c r="AG129" s="1285">
        <f>N('R7業務 (短)'!J47)-N(J129)</f>
        <v>0</v>
      </c>
      <c r="AH129" s="1285">
        <f>N('R7業務 (短)'!K47)-N(K129)</f>
        <v>0</v>
      </c>
      <c r="AI129" s="1285">
        <f>N('R7業務 (短)'!L47)-N(L129)</f>
        <v>0</v>
      </c>
      <c r="AJ129" s="1285">
        <f>N('R7業務 (短)'!M47)-N(M129)</f>
        <v>0</v>
      </c>
      <c r="AK129" s="1285">
        <f>N('R7業務 (短)'!N47)-N(N129)</f>
        <v>0</v>
      </c>
      <c r="AL129" s="1285">
        <f>N('R7業務 (短)'!O47)-N(O129)</f>
        <v>0</v>
      </c>
      <c r="AM129" s="1285">
        <f>N('R7業務 (短)'!P47)-N(P129)</f>
        <v>0</v>
      </c>
      <c r="AN129" s="1285">
        <f>N('R7業務 (短)'!Q47)-N(Q129)</f>
        <v>0</v>
      </c>
      <c r="AO129" s="1285">
        <f>N('R7業務 (短)'!R47)-N(R129)</f>
        <v>0</v>
      </c>
      <c r="AP129" s="1285">
        <f>N('R7業務 (短)'!S47)-N(S129)</f>
        <v>0</v>
      </c>
      <c r="AQ129" s="1285">
        <f>N('R7業務 (短)'!T47)-N(T129)</f>
        <v>0</v>
      </c>
      <c r="AR129" s="1285">
        <f>N('R7業務 (短)'!U47)-N(U129)</f>
        <v>0</v>
      </c>
    </row>
    <row r="130">
      <c r="C130" s="1284" t="n">
        <v>1733409</v>
      </c>
      <c r="D130" s="1284" t="n">
        <v>-1937081</v>
      </c>
      <c r="E130" s="1284" t="n">
        <v>153834</v>
      </c>
      <c r="F130" s="1284" t="n">
        <v>752724</v>
      </c>
      <c r="G130" s="1284" t="n">
        <v>-558341</v>
      </c>
      <c r="H130" s="1284" t="n">
        <v>-11276375</v>
      </c>
      <c r="I130" s="1284" t="n">
        <v>22582</v>
      </c>
      <c r="J130" s="1284" t="n">
        <v>-273632</v>
      </c>
      <c r="K130" s="1284" t="n">
        <v>-2115376</v>
      </c>
      <c r="L130" s="1284" t="n">
        <v>480724</v>
      </c>
      <c r="M130" s="1284" t="n">
        <v>-3970</v>
      </c>
      <c r="N130" s="1284" t="n">
        <v>1470464</v>
      </c>
      <c r="O130" s="1284" t="n">
        <v>6451414</v>
      </c>
      <c r="P130" s="1284" t="n">
        <v>-5099624</v>
      </c>
      <c r="Q130" s="1284" t="n">
        <v>-59014000</v>
      </c>
      <c r="R130" s="1284" t="n">
        <v>-11744404</v>
      </c>
      <c r="S130" s="1284" t="n">
        <v>-4594000</v>
      </c>
      <c r="T130" s="1284" t="n">
        <v>27414206</v>
      </c>
      <c r="Z130" s="1285">
        <f>N('R7業務 (短)'!C48)-N(C130)</f>
        <v>0</v>
      </c>
      <c r="AA130" s="1285">
        <f>N('R7業務 (短)'!D48)-N(D130)</f>
        <v>0</v>
      </c>
      <c r="AB130" s="1285">
        <f>N('R7業務 (短)'!E48)-N(E130)</f>
        <v>0</v>
      </c>
      <c r="AC130" s="1285">
        <f>N('R7業務 (短)'!F48)-N(F130)</f>
        <v>0</v>
      </c>
      <c r="AD130" s="1285">
        <f>N('R7業務 (短)'!G48)-N(G130)</f>
        <v>0</v>
      </c>
      <c r="AE130" s="1285">
        <f>N('R7業務 (短)'!H48)-N(H130)</f>
        <v>0</v>
      </c>
      <c r="AF130" s="1285">
        <f>N('R7業務 (短)'!I48)-N(I130)</f>
        <v>0</v>
      </c>
      <c r="AG130" s="1285">
        <f>N('R7業務 (短)'!J48)-N(J130)</f>
        <v>0</v>
      </c>
      <c r="AH130" s="1285">
        <f>N('R7業務 (短)'!K48)-N(K130)</f>
        <v>0</v>
      </c>
      <c r="AI130" s="1285">
        <f>N('R7業務 (短)'!L48)-N(L130)</f>
        <v>0</v>
      </c>
      <c r="AJ130" s="1285">
        <f>N('R7業務 (短)'!M48)-N(M130)</f>
        <v>0</v>
      </c>
      <c r="AK130" s="1285">
        <f>N('R7業務 (短)'!N48)-N(N130)</f>
        <v>0</v>
      </c>
      <c r="AL130" s="1285">
        <f>N('R7業務 (短)'!O48)-N(O130)</f>
        <v>0</v>
      </c>
      <c r="AM130" s="1285">
        <f>N('R7業務 (短)'!P48)-N(P130)</f>
        <v>0</v>
      </c>
      <c r="AN130" s="1285">
        <f>N('R7業務 (短)'!Q48)-N(Q130)</f>
        <v>0</v>
      </c>
      <c r="AO130" s="1285">
        <f>N('R7業務 (短)'!R48)-N(R130)</f>
        <v>0</v>
      </c>
      <c r="AP130" s="1285">
        <f>N('R7業務 (短)'!S48)-N(S130)</f>
        <v>0</v>
      </c>
      <c r="AQ130" s="1285">
        <f>N('R7業務 (短)'!T48)-N(T130)</f>
        <v>0</v>
      </c>
      <c r="AR130" s="1285">
        <f>N('R7業務 (短)'!U48)-N(U130)</f>
        <v>0</v>
      </c>
    </row>
    <row r="131">
      <c r="Z131" s="1285">
        <f>N('R7業務 (短)'!C49)-N(C131)</f>
        <v>0</v>
      </c>
      <c r="AA131" s="1285">
        <f>N('R7業務 (短)'!D49)-N(D131)</f>
        <v>0</v>
      </c>
      <c r="AB131" s="1285">
        <f>N('R7業務 (短)'!E49)-N(E131)</f>
        <v>0</v>
      </c>
      <c r="AC131" s="1285">
        <f>N('R7業務 (短)'!F49)-N(F131)</f>
        <v>0</v>
      </c>
      <c r="AD131" s="1285">
        <f>N('R7業務 (短)'!G49)-N(G131)</f>
        <v>0</v>
      </c>
      <c r="AE131" s="1285">
        <f>N('R7業務 (短)'!H49)-N(H131)</f>
        <v>0</v>
      </c>
      <c r="AF131" s="1285">
        <f>N('R7業務 (短)'!I49)-N(I131)</f>
        <v>0</v>
      </c>
      <c r="AG131" s="1285">
        <f>N('R7業務 (短)'!J49)-N(J131)</f>
        <v>0</v>
      </c>
      <c r="AH131" s="1285">
        <f>N('R7業務 (短)'!K49)-N(K131)</f>
        <v>0</v>
      </c>
      <c r="AI131" s="1285">
        <f>N('R7業務 (短)'!L49)-N(L131)</f>
        <v>0</v>
      </c>
      <c r="AJ131" s="1285">
        <f>N('R7業務 (短)'!M49)-N(M131)</f>
        <v>0</v>
      </c>
      <c r="AK131" s="1285">
        <f>N('R7業務 (短)'!N49)-N(N131)</f>
        <v>0</v>
      </c>
      <c r="AL131" s="1285">
        <f>N('R7業務 (短)'!O49)-N(O131)</f>
        <v>0</v>
      </c>
      <c r="AM131" s="1285">
        <f>N('R7業務 (短)'!P49)-N(P131)</f>
        <v>0</v>
      </c>
      <c r="AN131" s="1285">
        <f>N('R7業務 (短)'!Q49)-N(Q131)</f>
        <v>0</v>
      </c>
      <c r="AO131" s="1285">
        <f>N('R7業務 (短)'!R49)-N(R131)</f>
        <v>0</v>
      </c>
      <c r="AP131" s="1285">
        <f>N('R7業務 (短)'!S49)-N(S131)</f>
        <v>0</v>
      </c>
      <c r="AQ131" s="1285">
        <f>N('R7業務 (短)'!T49)-N(T131)</f>
        <v>0</v>
      </c>
      <c r="AR131" s="1285">
        <f>N('R7業務 (短)'!U49)-N(U131)</f>
        <v>0</v>
      </c>
    </row>
    <row r="132">
      <c r="Z132" s="1285">
        <f>N('R7業務 (短)'!C50)-N(C132)</f>
        <v>0</v>
      </c>
      <c r="AA132" s="1285">
        <f>N('R7業務 (短)'!D50)-N(D132)</f>
        <v>0</v>
      </c>
      <c r="AB132" s="1285">
        <f>N('R7業務 (短)'!E50)-N(E132)</f>
        <v>0</v>
      </c>
      <c r="AC132" s="1285">
        <f>N('R7業務 (短)'!F50)-N(F132)</f>
        <v>0</v>
      </c>
      <c r="AD132" s="1285">
        <f>N('R7業務 (短)'!G50)-N(G132)</f>
        <v>0</v>
      </c>
      <c r="AE132" s="1285">
        <f>N('R7業務 (短)'!H50)-N(H132)</f>
        <v>0</v>
      </c>
      <c r="AF132" s="1285">
        <f>N('R7業務 (短)'!I50)-N(I132)</f>
        <v>0</v>
      </c>
      <c r="AG132" s="1285">
        <f>N('R7業務 (短)'!J50)-N(J132)</f>
        <v>0</v>
      </c>
      <c r="AH132" s="1285">
        <f>N('R7業務 (短)'!K50)-N(K132)</f>
        <v>0</v>
      </c>
      <c r="AI132" s="1285">
        <f>N('R7業務 (短)'!L50)-N(L132)</f>
        <v>0</v>
      </c>
      <c r="AJ132" s="1285">
        <f>N('R7業務 (短)'!M50)-N(M132)</f>
        <v>0</v>
      </c>
      <c r="AK132" s="1285">
        <f>N('R7業務 (短)'!N50)-N(N132)</f>
        <v>0</v>
      </c>
      <c r="AL132" s="1285">
        <f>N('R7業務 (短)'!O50)-N(O132)</f>
        <v>0</v>
      </c>
      <c r="AM132" s="1285">
        <f>N('R7業務 (短)'!P50)-N(P132)</f>
        <v>0</v>
      </c>
      <c r="AN132" s="1285">
        <f>N('R7業務 (短)'!Q50)-N(Q132)</f>
        <v>0</v>
      </c>
      <c r="AO132" s="1285">
        <f>N('R7業務 (短)'!R50)-N(R132)</f>
        <v>0</v>
      </c>
      <c r="AP132" s="1285">
        <f>N('R7業務 (短)'!S50)-N(S132)</f>
        <v>0</v>
      </c>
      <c r="AQ132" s="1285">
        <f>N('R7業務 (短)'!T50)-N(T132)</f>
        <v>0</v>
      </c>
      <c r="AR132" s="1285">
        <f>N('R7業務 (短)'!U50)-N(U132)</f>
        <v>0</v>
      </c>
    </row>
    <row r="133">
      <c r="Q133" s="1284" t="n">
        <v>0</v>
      </c>
      <c r="Z133" s="1285">
        <f>N('R7業務 (短)'!C51)-N(C133)</f>
        <v>0</v>
      </c>
      <c r="AA133" s="1285">
        <f>N('R7業務 (短)'!D51)-N(D133)</f>
        <v>0</v>
      </c>
      <c r="AB133" s="1285">
        <f>N('R7業務 (短)'!E51)-N(E133)</f>
        <v>0</v>
      </c>
      <c r="AC133" s="1285">
        <f>N('R7業務 (短)'!F51)-N(F133)</f>
        <v>0</v>
      </c>
      <c r="AD133" s="1285">
        <f>N('R7業務 (短)'!G51)-N(G133)</f>
        <v>0</v>
      </c>
      <c r="AE133" s="1285">
        <f>N('R7業務 (短)'!H51)-N(H133)</f>
        <v>0</v>
      </c>
      <c r="AF133" s="1285">
        <f>N('R7業務 (短)'!I51)-N(I133)</f>
        <v>0</v>
      </c>
      <c r="AG133" s="1285">
        <f>N('R7業務 (短)'!J51)-N(J133)</f>
        <v>0</v>
      </c>
      <c r="AH133" s="1285">
        <f>N('R7業務 (短)'!K51)-N(K133)</f>
        <v>0</v>
      </c>
      <c r="AI133" s="1285">
        <f>N('R7業務 (短)'!L51)-N(L133)</f>
        <v>0</v>
      </c>
      <c r="AJ133" s="1285">
        <f>N('R7業務 (短)'!M51)-N(M133)</f>
        <v>0</v>
      </c>
      <c r="AK133" s="1285">
        <f>N('R7業務 (短)'!N51)-N(N133)</f>
        <v>0</v>
      </c>
      <c r="AL133" s="1285">
        <f>N('R7業務 (短)'!O51)-N(O133)</f>
        <v>0</v>
      </c>
      <c r="AM133" s="1285">
        <f>N('R7業務 (短)'!P51)-N(P133)</f>
        <v>0</v>
      </c>
      <c r="AN133" s="1285">
        <f>N('R7業務 (短)'!Q51)-N(Q133)</f>
        <v>0</v>
      </c>
      <c r="AO133" s="1285">
        <f>N('R7業務 (短)'!R51)-N(R133)</f>
        <v>0</v>
      </c>
      <c r="AP133" s="1285">
        <f>N('R7業務 (短)'!S51)-N(S133)</f>
        <v>0</v>
      </c>
      <c r="AQ133" s="1285">
        <f>N('R7業務 (短)'!T51)-N(T133)</f>
        <v>0</v>
      </c>
      <c r="AR133" s="1285">
        <f>N('R7業務 (短)'!U51)-N(U133)</f>
        <v>0</v>
      </c>
    </row>
    <row r="134">
      <c r="C134" s="1284" t="n">
        <v>0</v>
      </c>
      <c r="D134" s="1284" t="n">
        <v>0</v>
      </c>
      <c r="E134" s="1284" t="n">
        <v>0</v>
      </c>
      <c r="F134" s="1284" t="n">
        <v>0</v>
      </c>
      <c r="G134" s="1284" t="n">
        <v>0</v>
      </c>
      <c r="H134" s="1284" t="n">
        <v>0</v>
      </c>
      <c r="I134" s="1284" t="n">
        <v>0</v>
      </c>
      <c r="J134" s="1284" t="n">
        <v>0</v>
      </c>
      <c r="K134" s="1284" t="n">
        <v>0</v>
      </c>
      <c r="L134" s="1284" t="n">
        <v>0</v>
      </c>
      <c r="M134" s="1284" t="n">
        <v>0</v>
      </c>
      <c r="N134" s="1284" t="n">
        <v>0</v>
      </c>
      <c r="O134" s="1284" t="n">
        <v>0</v>
      </c>
      <c r="Q134" s="1284" t="n">
        <v>0</v>
      </c>
      <c r="Z134" s="1285">
        <f>N('R7業務 (短)'!C52)-N(C134)</f>
        <v>0</v>
      </c>
      <c r="AA134" s="1285">
        <f>N('R7業務 (短)'!D52)-N(D134)</f>
        <v>0</v>
      </c>
      <c r="AB134" s="1285">
        <f>N('R7業務 (短)'!E52)-N(E134)</f>
        <v>0</v>
      </c>
      <c r="AC134" s="1285">
        <f>N('R7業務 (短)'!F52)-N(F134)</f>
        <v>0</v>
      </c>
      <c r="AD134" s="1285">
        <f>N('R7業務 (短)'!G52)-N(G134)</f>
        <v>0</v>
      </c>
      <c r="AE134" s="1285">
        <f>N('R7業務 (短)'!H52)-N(H134)</f>
        <v>0</v>
      </c>
      <c r="AF134" s="1285">
        <f>N('R7業務 (短)'!I52)-N(I134)</f>
        <v>0</v>
      </c>
      <c r="AG134" s="1285">
        <f>N('R7業務 (短)'!J52)-N(J134)</f>
        <v>0</v>
      </c>
      <c r="AH134" s="1285">
        <f>N('R7業務 (短)'!K52)-N(K134)</f>
        <v>0</v>
      </c>
      <c r="AI134" s="1285">
        <f>N('R7業務 (短)'!L52)-N(L134)</f>
        <v>0</v>
      </c>
      <c r="AJ134" s="1285">
        <f>N('R7業務 (短)'!M52)-N(M134)</f>
        <v>0</v>
      </c>
      <c r="AK134" s="1285">
        <f>N('R7業務 (短)'!N52)-N(N134)</f>
        <v>0</v>
      </c>
      <c r="AL134" s="1285">
        <f>N('R7業務 (短)'!O52)-N(O134)</f>
        <v>0</v>
      </c>
      <c r="AM134" s="1285">
        <f>N('R7業務 (短)'!P52)-N(P134)</f>
        <v>0</v>
      </c>
      <c r="AN134" s="1285">
        <f>N('R7業務 (短)'!Q52)-N(Q134)</f>
        <v>0</v>
      </c>
      <c r="AO134" s="1285">
        <f>N('R7業務 (短)'!R52)-N(R134)</f>
        <v>0</v>
      </c>
      <c r="AP134" s="1285">
        <f>N('R7業務 (短)'!S52)-N(S134)</f>
        <v>0</v>
      </c>
      <c r="AQ134" s="1285">
        <f>N('R7業務 (短)'!T52)-N(T134)</f>
        <v>0</v>
      </c>
      <c r="AR134" s="1285">
        <f>N('R7業務 (短)'!U52)-N(U134)</f>
        <v>0</v>
      </c>
    </row>
    <row r="135">
      <c r="Q135" s="1284" t="n">
        <v>0</v>
      </c>
      <c r="Z135" s="1285">
        <f>N('R7業務 (短)'!C53)-N(C135)</f>
        <v>0</v>
      </c>
      <c r="AA135" s="1285">
        <f>N('R7業務 (短)'!D53)-N(D135)</f>
        <v>0</v>
      </c>
      <c r="AB135" s="1285">
        <f>N('R7業務 (短)'!E53)-N(E135)</f>
        <v>0</v>
      </c>
      <c r="AC135" s="1285">
        <f>N('R7業務 (短)'!F53)-N(F135)</f>
        <v>0</v>
      </c>
      <c r="AD135" s="1285">
        <f>N('R7業務 (短)'!G53)-N(G135)</f>
        <v>0</v>
      </c>
      <c r="AE135" s="1285">
        <f>N('R7業務 (短)'!H53)-N(H135)</f>
        <v>0</v>
      </c>
      <c r="AF135" s="1285">
        <f>N('R7業務 (短)'!I53)-N(I135)</f>
        <v>0</v>
      </c>
      <c r="AG135" s="1285">
        <f>N('R7業務 (短)'!J53)-N(J135)</f>
        <v>0</v>
      </c>
      <c r="AH135" s="1285">
        <f>N('R7業務 (短)'!K53)-N(K135)</f>
        <v>0</v>
      </c>
      <c r="AI135" s="1285">
        <f>N('R7業務 (短)'!L53)-N(L135)</f>
        <v>0</v>
      </c>
      <c r="AJ135" s="1285">
        <f>N('R7業務 (短)'!M53)-N(M135)</f>
        <v>0</v>
      </c>
      <c r="AK135" s="1285">
        <f>N('R7業務 (短)'!N53)-N(N135)</f>
        <v>0</v>
      </c>
      <c r="AL135" s="1285">
        <f>N('R7業務 (短)'!O53)-N(O135)</f>
        <v>0</v>
      </c>
      <c r="AM135" s="1285">
        <f>N('R7業務 (短)'!P53)-N(P135)</f>
        <v>0</v>
      </c>
      <c r="AN135" s="1285">
        <f>N('R7業務 (短)'!Q53)-N(Q135)</f>
        <v>0</v>
      </c>
      <c r="AO135" s="1285">
        <f>N('R7業務 (短)'!R53)-N(R135)</f>
        <v>0</v>
      </c>
      <c r="AP135" s="1285">
        <f>N('R7業務 (短)'!S53)-N(S135)</f>
        <v>0</v>
      </c>
      <c r="AQ135" s="1285">
        <f>N('R7業務 (短)'!T53)-N(T135)</f>
        <v>0</v>
      </c>
      <c r="AR135" s="1285">
        <f>N('R7業務 (短)'!U53)-N(U135)</f>
        <v>0</v>
      </c>
    </row>
    <row r="136">
      <c r="Q136" s="1284" t="n">
        <v>0</v>
      </c>
      <c r="Z136" s="1285">
        <f>N('R7業務 (短)'!C54)-N(C136)</f>
        <v>0</v>
      </c>
      <c r="AA136" s="1285">
        <f>N('R7業務 (短)'!D54)-N(D136)</f>
        <v>0</v>
      </c>
      <c r="AB136" s="1285">
        <f>N('R7業務 (短)'!E54)-N(E136)</f>
        <v>0</v>
      </c>
      <c r="AC136" s="1285">
        <f>N('R7業務 (短)'!F54)-N(F136)</f>
        <v>0</v>
      </c>
      <c r="AD136" s="1285">
        <f>N('R7業務 (短)'!G54)-N(G136)</f>
        <v>0</v>
      </c>
      <c r="AE136" s="1285">
        <f>N('R7業務 (短)'!H54)-N(H136)</f>
        <v>0</v>
      </c>
      <c r="AF136" s="1285">
        <f>N('R7業務 (短)'!I54)-N(I136)</f>
        <v>0</v>
      </c>
      <c r="AG136" s="1285">
        <f>N('R7業務 (短)'!J54)-N(J136)</f>
        <v>0</v>
      </c>
      <c r="AH136" s="1285">
        <f>N('R7業務 (短)'!K54)-N(K136)</f>
        <v>0</v>
      </c>
      <c r="AI136" s="1285">
        <f>N('R7業務 (短)'!L54)-N(L136)</f>
        <v>0</v>
      </c>
      <c r="AJ136" s="1285">
        <f>N('R7業務 (短)'!M54)-N(M136)</f>
        <v>0</v>
      </c>
      <c r="AK136" s="1285">
        <f>N('R7業務 (短)'!N54)-N(N136)</f>
        <v>0</v>
      </c>
      <c r="AL136" s="1285">
        <f>N('R7業務 (短)'!O54)-N(O136)</f>
        <v>0</v>
      </c>
      <c r="AM136" s="1285">
        <f>N('R7業務 (短)'!P54)-N(P136)</f>
        <v>0</v>
      </c>
      <c r="AN136" s="1285">
        <f>N('R7業務 (短)'!Q54)-N(Q136)</f>
        <v>0</v>
      </c>
      <c r="AO136" s="1285">
        <f>N('R7業務 (短)'!R54)-N(R136)</f>
        <v>0</v>
      </c>
      <c r="AP136" s="1285">
        <f>N('R7業務 (短)'!S54)-N(S136)</f>
        <v>0</v>
      </c>
      <c r="AQ136" s="1285">
        <f>N('R7業務 (短)'!T54)-N(T136)</f>
        <v>0</v>
      </c>
      <c r="AR136" s="1285">
        <f>N('R7業務 (短)'!U54)-N(U136)</f>
        <v>0</v>
      </c>
    </row>
    <row r="137">
      <c r="C137" s="1284" t="n">
        <v>0</v>
      </c>
      <c r="D137" s="1284" t="n">
        <v>0</v>
      </c>
      <c r="E137" s="1284" t="n">
        <v>0</v>
      </c>
      <c r="F137" s="1284" t="n">
        <v>0</v>
      </c>
      <c r="G137" s="1284" t="n">
        <v>0</v>
      </c>
      <c r="H137" s="1284" t="n">
        <v>0</v>
      </c>
      <c r="I137" s="1284" t="n">
        <v>0</v>
      </c>
      <c r="J137" s="1284" t="n">
        <v>0</v>
      </c>
      <c r="K137" s="1284" t="n">
        <v>0</v>
      </c>
      <c r="L137" s="1284" t="n">
        <v>0</v>
      </c>
      <c r="M137" s="1284" t="n">
        <v>0</v>
      </c>
      <c r="N137" s="1284" t="n">
        <v>0</v>
      </c>
      <c r="O137" s="1284" t="n">
        <v>0</v>
      </c>
      <c r="Q137" s="1284" t="n">
        <v>0</v>
      </c>
      <c r="Z137" s="1285">
        <f>N('R7業務 (短)'!C55)-N(C137)</f>
        <v>0</v>
      </c>
      <c r="AA137" s="1285">
        <f>N('R7業務 (短)'!D55)-N(D137)</f>
        <v>0</v>
      </c>
      <c r="AB137" s="1285">
        <f>N('R7業務 (短)'!E55)-N(E137)</f>
        <v>0</v>
      </c>
      <c r="AC137" s="1285">
        <f>N('R7業務 (短)'!F55)-N(F137)</f>
        <v>0</v>
      </c>
      <c r="AD137" s="1285">
        <f>N('R7業務 (短)'!G55)-N(G137)</f>
        <v>0</v>
      </c>
      <c r="AE137" s="1285">
        <f>N('R7業務 (短)'!H55)-N(H137)</f>
        <v>0</v>
      </c>
      <c r="AF137" s="1285">
        <f>N('R7業務 (短)'!I55)-N(I137)</f>
        <v>0</v>
      </c>
      <c r="AG137" s="1285">
        <f>N('R7業務 (短)'!J55)-N(J137)</f>
        <v>0</v>
      </c>
      <c r="AH137" s="1285">
        <f>N('R7業務 (短)'!K55)-N(K137)</f>
        <v>0</v>
      </c>
      <c r="AI137" s="1285">
        <f>N('R7業務 (短)'!L55)-N(L137)</f>
        <v>0</v>
      </c>
      <c r="AJ137" s="1285">
        <f>N('R7業務 (短)'!M55)-N(M137)</f>
        <v>0</v>
      </c>
      <c r="AK137" s="1285">
        <f>N('R7業務 (短)'!N55)-N(N137)</f>
        <v>0</v>
      </c>
      <c r="AL137" s="1285">
        <f>N('R7業務 (短)'!O55)-N(O137)</f>
        <v>0</v>
      </c>
      <c r="AM137" s="1285">
        <f>N('R7業務 (短)'!P55)-N(P137)</f>
        <v>0</v>
      </c>
      <c r="AN137" s="1285">
        <f>N('R7業務 (短)'!Q55)-N(Q137)</f>
        <v>0</v>
      </c>
      <c r="AO137" s="1285">
        <f>N('R7業務 (短)'!R55)-N(R137)</f>
        <v>0</v>
      </c>
      <c r="AP137" s="1285">
        <f>N('R7業務 (短)'!S55)-N(S137)</f>
        <v>0</v>
      </c>
      <c r="AQ137" s="1285">
        <f>N('R7業務 (短)'!T55)-N(T137)</f>
        <v>0</v>
      </c>
      <c r="AR137" s="1285">
        <f>N('R7業務 (短)'!U55)-N(U137)</f>
        <v>0</v>
      </c>
    </row>
    <row r="138">
      <c r="C138" s="1284" t="n">
        <v>317340</v>
      </c>
      <c r="D138" s="1284" t="n">
        <v>248436</v>
      </c>
      <c r="E138" s="1284" t="n">
        <v>250504</v>
      </c>
      <c r="F138" s="1284" t="n">
        <v>256708</v>
      </c>
      <c r="G138" s="1284" t="n">
        <v>244300</v>
      </c>
      <c r="H138" s="1284" t="n">
        <v>258776</v>
      </c>
      <c r="I138" s="1284" t="n">
        <v>383109</v>
      </c>
      <c r="J138" s="1284" t="n">
        <v>227838</v>
      </c>
      <c r="K138" s="1284" t="n">
        <v>308956</v>
      </c>
      <c r="L138" s="1284" t="n">
        <v>228265</v>
      </c>
      <c r="M138" s="1284" t="n">
        <v>232335</v>
      </c>
      <c r="N138" s="1284" t="n">
        <v>234370</v>
      </c>
      <c r="O138" s="1284" t="n">
        <v>42640</v>
      </c>
      <c r="Q138" s="1284" t="n">
        <v>3233577</v>
      </c>
      <c r="Z138" s="1285">
        <f>N('R7業務 (短)'!C56)-N(C138)</f>
        <v>0</v>
      </c>
      <c r="AA138" s="1285">
        <f>N('R7業務 (短)'!D56)-N(D138)</f>
        <v>0</v>
      </c>
      <c r="AB138" s="1285">
        <f>N('R7業務 (短)'!E56)-N(E138)</f>
        <v>0</v>
      </c>
      <c r="AC138" s="1285">
        <f>N('R7業務 (短)'!F56)-N(F138)</f>
        <v>0</v>
      </c>
      <c r="AD138" s="1285">
        <f>N('R7業務 (短)'!G56)-N(G138)</f>
        <v>0</v>
      </c>
      <c r="AE138" s="1285">
        <f>N('R7業務 (短)'!H56)-N(H138)</f>
        <v>0</v>
      </c>
      <c r="AF138" s="1285">
        <f>N('R7業務 (短)'!I56)-N(I138)</f>
        <v>0</v>
      </c>
      <c r="AG138" s="1285">
        <f>N('R7業務 (短)'!J56)-N(J138)</f>
        <v>0</v>
      </c>
      <c r="AH138" s="1285">
        <f>N('R7業務 (短)'!K56)-N(K138)</f>
        <v>0</v>
      </c>
      <c r="AI138" s="1285">
        <f>N('R7業務 (短)'!L56)-N(L138)</f>
        <v>0</v>
      </c>
      <c r="AJ138" s="1285">
        <f>N('R7業務 (短)'!M56)-N(M138)</f>
        <v>0</v>
      </c>
      <c r="AK138" s="1285">
        <f>N('R7業務 (短)'!N56)-N(N138)</f>
        <v>0</v>
      </c>
      <c r="AL138" s="1285">
        <f>N('R7業務 (短)'!O56)-N(O138)</f>
        <v>0</v>
      </c>
      <c r="AM138" s="1285">
        <f>N('R7業務 (短)'!P56)-N(P138)</f>
        <v>0</v>
      </c>
      <c r="AN138" s="1285">
        <f>N('R7業務 (短)'!Q56)-N(Q138)</f>
        <v>0</v>
      </c>
      <c r="AO138" s="1285">
        <f>N('R7業務 (短)'!R56)-N(R138)</f>
        <v>0</v>
      </c>
      <c r="AP138" s="1285">
        <f>N('R7業務 (短)'!S56)-N(S138)</f>
        <v>0</v>
      </c>
      <c r="AQ138" s="1285">
        <f>N('R7業務 (短)'!T56)-N(T138)</f>
        <v>0</v>
      </c>
      <c r="AR138" s="1285">
        <f>N('R7業務 (短)'!U56)-N(U138)</f>
        <v>0</v>
      </c>
    </row>
    <row r="139">
      <c r="E139" s="1284" t="n">
        <v>447795</v>
      </c>
      <c r="K139" s="1284" t="n">
        <v>433105</v>
      </c>
      <c r="Q139" s="1284" t="n">
        <v>880900</v>
      </c>
      <c r="Z139" s="1285">
        <f>N('R7業務 (短)'!C57)-N(C139)</f>
        <v>0</v>
      </c>
      <c r="AA139" s="1285">
        <f>N('R7業務 (短)'!D57)-N(D139)</f>
        <v>0</v>
      </c>
      <c r="AB139" s="1285">
        <f>N('R7業務 (短)'!E57)-N(E139)</f>
        <v>0</v>
      </c>
      <c r="AC139" s="1285">
        <f>N('R7業務 (短)'!F57)-N(F139)</f>
        <v>0</v>
      </c>
      <c r="AD139" s="1285">
        <f>N('R7業務 (短)'!G57)-N(G139)</f>
        <v>0</v>
      </c>
      <c r="AE139" s="1285">
        <f>N('R7業務 (短)'!H57)-N(H139)</f>
        <v>0</v>
      </c>
      <c r="AF139" s="1285">
        <f>N('R7業務 (短)'!I57)-N(I139)</f>
        <v>0</v>
      </c>
      <c r="AG139" s="1285">
        <f>N('R7業務 (短)'!J57)-N(J139)</f>
        <v>0</v>
      </c>
      <c r="AH139" s="1285">
        <f>N('R7業務 (短)'!K57)-N(K139)</f>
        <v>0</v>
      </c>
      <c r="AI139" s="1285">
        <f>N('R7業務 (短)'!L57)-N(L139)</f>
        <v>0</v>
      </c>
      <c r="AJ139" s="1285">
        <f>N('R7業務 (短)'!M57)-N(M139)</f>
        <v>0</v>
      </c>
      <c r="AK139" s="1285">
        <f>N('R7業務 (短)'!N57)-N(N139)</f>
        <v>0</v>
      </c>
      <c r="AL139" s="1285">
        <f>N('R7業務 (短)'!O57)-N(O139)</f>
        <v>0</v>
      </c>
      <c r="AM139" s="1285">
        <f>N('R7業務 (短)'!P57)-N(P139)</f>
        <v>0</v>
      </c>
      <c r="AN139" s="1285">
        <f>N('R7業務 (短)'!Q57)-N(Q139)</f>
        <v>0</v>
      </c>
      <c r="AO139" s="1285">
        <f>N('R7業務 (短)'!R57)-N(R139)</f>
        <v>0</v>
      </c>
      <c r="AP139" s="1285">
        <f>N('R7業務 (短)'!S57)-N(S139)</f>
        <v>0</v>
      </c>
      <c r="AQ139" s="1285">
        <f>N('R7業務 (短)'!T57)-N(T139)</f>
        <v>0</v>
      </c>
      <c r="AR139" s="1285">
        <f>N('R7業務 (短)'!U57)-N(U139)</f>
        <v>0</v>
      </c>
    </row>
    <row r="140">
      <c r="C140" s="1284" t="n">
        <v>317340</v>
      </c>
      <c r="D140" s="1284" t="n">
        <v>248436</v>
      </c>
      <c r="E140" s="1284" t="n">
        <v>698299</v>
      </c>
      <c r="F140" s="1284" t="n">
        <v>256708</v>
      </c>
      <c r="G140" s="1284" t="n">
        <v>244300</v>
      </c>
      <c r="H140" s="1284" t="n">
        <v>258776</v>
      </c>
      <c r="I140" s="1284" t="n">
        <v>383109</v>
      </c>
      <c r="J140" s="1284" t="n">
        <v>227838</v>
      </c>
      <c r="K140" s="1284" t="n">
        <v>742061</v>
      </c>
      <c r="L140" s="1284" t="n">
        <v>228265</v>
      </c>
      <c r="M140" s="1284" t="n">
        <v>232335</v>
      </c>
      <c r="N140" s="1284" t="n">
        <v>234370</v>
      </c>
      <c r="O140" s="1284" t="n">
        <v>42640</v>
      </c>
      <c r="Q140" s="1284" t="n">
        <v>4114477</v>
      </c>
      <c r="Z140" s="1285">
        <f>N('R7業務 (短)'!C58)-N(C140)</f>
        <v>0</v>
      </c>
      <c r="AA140" s="1285">
        <f>N('R7業務 (短)'!D58)-N(D140)</f>
        <v>0</v>
      </c>
      <c r="AB140" s="1285">
        <f>N('R7業務 (短)'!E58)-N(E140)</f>
        <v>0</v>
      </c>
      <c r="AC140" s="1285">
        <f>N('R7業務 (短)'!F58)-N(F140)</f>
        <v>0</v>
      </c>
      <c r="AD140" s="1285">
        <f>N('R7業務 (短)'!G58)-N(G140)</f>
        <v>0</v>
      </c>
      <c r="AE140" s="1285">
        <f>N('R7業務 (短)'!H58)-N(H140)</f>
        <v>0</v>
      </c>
      <c r="AF140" s="1285">
        <f>N('R7業務 (短)'!I58)-N(I140)</f>
        <v>0</v>
      </c>
      <c r="AG140" s="1285">
        <f>N('R7業務 (短)'!J58)-N(J140)</f>
        <v>0</v>
      </c>
      <c r="AH140" s="1285">
        <f>N('R7業務 (短)'!K58)-N(K140)</f>
        <v>0</v>
      </c>
      <c r="AI140" s="1285">
        <f>N('R7業務 (短)'!L58)-N(L140)</f>
        <v>0</v>
      </c>
      <c r="AJ140" s="1285">
        <f>N('R7業務 (短)'!M58)-N(M140)</f>
        <v>0</v>
      </c>
      <c r="AK140" s="1285">
        <f>N('R7業務 (短)'!N58)-N(N140)</f>
        <v>0</v>
      </c>
      <c r="AL140" s="1285">
        <f>N('R7業務 (短)'!O58)-N(O140)</f>
        <v>0</v>
      </c>
      <c r="AM140" s="1285">
        <f>N('R7業務 (短)'!P58)-N(P140)</f>
        <v>0</v>
      </c>
      <c r="AN140" s="1285">
        <f>N('R7業務 (短)'!Q58)-N(Q140)</f>
        <v>0</v>
      </c>
      <c r="AO140" s="1285">
        <f>N('R7業務 (短)'!R58)-N(R140)</f>
        <v>0</v>
      </c>
      <c r="AP140" s="1285">
        <f>N('R7業務 (短)'!S58)-N(S140)</f>
        <v>0</v>
      </c>
      <c r="AQ140" s="1285">
        <f>N('R7業務 (短)'!T58)-N(T140)</f>
        <v>0</v>
      </c>
      <c r="AR140" s="1285">
        <f>N('R7業務 (短)'!U58)-N(U140)</f>
        <v>0</v>
      </c>
    </row>
    <row r="141">
      <c r="C141" s="1284" t="n">
        <v>0</v>
      </c>
      <c r="D141" s="1284" t="n">
        <v>425880</v>
      </c>
      <c r="E141" s="1284" t="n">
        <v>365040</v>
      </c>
      <c r="F141" s="1284" t="n">
        <v>446160</v>
      </c>
      <c r="G141" s="1284" t="n">
        <v>445720</v>
      </c>
      <c r="H141" s="1284" t="n">
        <v>384480</v>
      </c>
      <c r="I141" s="1284" t="n">
        <v>389160</v>
      </c>
      <c r="J141" s="1284" t="n">
        <v>416580</v>
      </c>
      <c r="K141" s="1284" t="n">
        <v>340920</v>
      </c>
      <c r="L141" s="1284" t="n">
        <v>377520</v>
      </c>
      <c r="M141" s="1284" t="n">
        <v>359120</v>
      </c>
      <c r="N141" s="1284" t="n">
        <v>339340</v>
      </c>
      <c r="O141" s="1284" t="n">
        <v>339568</v>
      </c>
      <c r="Q141" s="1284" t="n">
        <v>4629488</v>
      </c>
      <c r="Z141" s="1285">
        <f>N('R7業務 (短)'!C59)-N(C141)</f>
        <v>0</v>
      </c>
      <c r="AA141" s="1285">
        <f>N('R7業務 (短)'!D59)-N(D141)</f>
        <v>0</v>
      </c>
      <c r="AB141" s="1285">
        <f>N('R7業務 (短)'!E59)-N(E141)</f>
        <v>0</v>
      </c>
      <c r="AC141" s="1285">
        <f>N('R7業務 (短)'!F59)-N(F141)</f>
        <v>0</v>
      </c>
      <c r="AD141" s="1285">
        <f>N('R7業務 (短)'!G59)-N(G141)</f>
        <v>0</v>
      </c>
      <c r="AE141" s="1285">
        <f>N('R7業務 (短)'!H59)-N(H141)</f>
        <v>0</v>
      </c>
      <c r="AF141" s="1285">
        <f>N('R7業務 (短)'!I59)-N(I141)</f>
        <v>0</v>
      </c>
      <c r="AG141" s="1285">
        <f>N('R7業務 (短)'!J59)-N(J141)</f>
        <v>0</v>
      </c>
      <c r="AH141" s="1285">
        <f>N('R7業務 (短)'!K59)-N(K141)</f>
        <v>0</v>
      </c>
      <c r="AI141" s="1285">
        <f>N('R7業務 (短)'!L59)-N(L141)</f>
        <v>0</v>
      </c>
      <c r="AJ141" s="1285">
        <f>N('R7業務 (短)'!M59)-N(M141)</f>
        <v>0</v>
      </c>
      <c r="AK141" s="1285">
        <f>N('R7業務 (短)'!N59)-N(N141)</f>
        <v>0</v>
      </c>
      <c r="AL141" s="1285">
        <f>N('R7業務 (短)'!O59)-N(O141)</f>
        <v>0</v>
      </c>
      <c r="AM141" s="1285">
        <f>N('R7業務 (短)'!P59)-N(P141)</f>
        <v>0</v>
      </c>
      <c r="AN141" s="1285">
        <f>N('R7業務 (短)'!Q59)-N(Q141)</f>
        <v>0</v>
      </c>
      <c r="AO141" s="1285">
        <f>N('R7業務 (短)'!R59)-N(R141)</f>
        <v>0</v>
      </c>
      <c r="AP141" s="1285">
        <f>N('R7業務 (短)'!S59)-N(S141)</f>
        <v>0</v>
      </c>
      <c r="AQ141" s="1285">
        <f>N('R7業務 (短)'!T59)-N(T141)</f>
        <v>0</v>
      </c>
      <c r="AR141" s="1285">
        <f>N('R7業務 (短)'!U59)-N(U141)</f>
        <v>0</v>
      </c>
    </row>
    <row r="142">
      <c r="C142" s="1284" t="n">
        <v>0</v>
      </c>
      <c r="D142" s="1284" t="n">
        <v>425880</v>
      </c>
      <c r="E142" s="1284" t="n">
        <v>365040</v>
      </c>
      <c r="F142" s="1284" t="n">
        <v>446160</v>
      </c>
      <c r="G142" s="1284" t="n">
        <v>445720</v>
      </c>
      <c r="H142" s="1284" t="n">
        <v>384480</v>
      </c>
      <c r="I142" s="1284" t="n">
        <v>389160</v>
      </c>
      <c r="J142" s="1284" t="n">
        <v>416580</v>
      </c>
      <c r="K142" s="1284" t="n">
        <v>340920</v>
      </c>
      <c r="L142" s="1284" t="n">
        <v>377520</v>
      </c>
      <c r="M142" s="1284" t="n">
        <v>359120</v>
      </c>
      <c r="N142" s="1284" t="n">
        <v>339340</v>
      </c>
      <c r="O142" s="1284" t="n">
        <v>339568</v>
      </c>
      <c r="Q142" s="1284" t="n">
        <v>4629488</v>
      </c>
      <c r="Z142" s="1285">
        <f>N('R7業務 (短)'!C60)-N(C142)</f>
        <v>0</v>
      </c>
      <c r="AA142" s="1285">
        <f>N('R7業務 (短)'!D60)-N(D142)</f>
        <v>0</v>
      </c>
      <c r="AB142" s="1285">
        <f>N('R7業務 (短)'!E60)-N(E142)</f>
        <v>0</v>
      </c>
      <c r="AC142" s="1285">
        <f>N('R7業務 (短)'!F60)-N(F142)</f>
        <v>0</v>
      </c>
      <c r="AD142" s="1285">
        <f>N('R7業務 (短)'!G60)-N(G142)</f>
        <v>0</v>
      </c>
      <c r="AE142" s="1285">
        <f>N('R7業務 (短)'!H60)-N(H142)</f>
        <v>0</v>
      </c>
      <c r="AF142" s="1285">
        <f>N('R7業務 (短)'!I60)-N(I142)</f>
        <v>0</v>
      </c>
      <c r="AG142" s="1285">
        <f>N('R7業務 (短)'!J60)-N(J142)</f>
        <v>0</v>
      </c>
      <c r="AH142" s="1285">
        <f>N('R7業務 (短)'!K60)-N(K142)</f>
        <v>0</v>
      </c>
      <c r="AI142" s="1285">
        <f>N('R7業務 (短)'!L60)-N(L142)</f>
        <v>0</v>
      </c>
      <c r="AJ142" s="1285">
        <f>N('R7業務 (短)'!M60)-N(M142)</f>
        <v>0</v>
      </c>
      <c r="AK142" s="1285">
        <f>N('R7業務 (短)'!N60)-N(N142)</f>
        <v>0</v>
      </c>
      <c r="AL142" s="1285">
        <f>N('R7業務 (短)'!O60)-N(O142)</f>
        <v>0</v>
      </c>
      <c r="AM142" s="1285">
        <f>N('R7業務 (短)'!P60)-N(P142)</f>
        <v>0</v>
      </c>
      <c r="AN142" s="1285">
        <f>N('R7業務 (短)'!Q60)-N(Q142)</f>
        <v>0</v>
      </c>
      <c r="AO142" s="1285">
        <f>N('R7業務 (短)'!R60)-N(R142)</f>
        <v>0</v>
      </c>
      <c r="AP142" s="1285">
        <f>N('R7業務 (短)'!S60)-N(S142)</f>
        <v>0</v>
      </c>
      <c r="AQ142" s="1285">
        <f>N('R7業務 (短)'!T60)-N(T142)</f>
        <v>0</v>
      </c>
      <c r="AR142" s="1285">
        <f>N('R7業務 (短)'!U60)-N(U142)</f>
        <v>0</v>
      </c>
    </row>
    <row r="143">
      <c r="Z143" s="1285">
        <f>N('R7業務 (短)'!C61)-N(C143)</f>
        <v>0</v>
      </c>
      <c r="AA143" s="1285">
        <f>N('R7業務 (短)'!D61)-N(D143)</f>
        <v>0</v>
      </c>
      <c r="AB143" s="1285">
        <f>N('R7業務 (短)'!E61)-N(E143)</f>
        <v>0</v>
      </c>
      <c r="AC143" s="1285">
        <f>N('R7業務 (短)'!F61)-N(F143)</f>
        <v>0</v>
      </c>
      <c r="AD143" s="1285">
        <f>N('R7業務 (短)'!G61)-N(G143)</f>
        <v>0</v>
      </c>
      <c r="AE143" s="1285">
        <f>N('R7業務 (短)'!H61)-N(H143)</f>
        <v>0</v>
      </c>
      <c r="AF143" s="1285">
        <f>N('R7業務 (短)'!I61)-N(I143)</f>
        <v>0</v>
      </c>
      <c r="AG143" s="1285">
        <f>N('R7業務 (短)'!J61)-N(J143)</f>
        <v>0</v>
      </c>
      <c r="AH143" s="1285">
        <f>N('R7業務 (短)'!K61)-N(K143)</f>
        <v>0</v>
      </c>
      <c r="AI143" s="1285">
        <f>N('R7業務 (短)'!L61)-N(L143)</f>
        <v>0</v>
      </c>
      <c r="AJ143" s="1285">
        <f>N('R7業務 (短)'!M61)-N(M143)</f>
        <v>0</v>
      </c>
      <c r="AK143" s="1285">
        <f>N('R7業務 (短)'!N61)-N(N143)</f>
        <v>0</v>
      </c>
      <c r="AL143" s="1285">
        <f>N('R7業務 (短)'!O61)-N(O143)</f>
        <v>0</v>
      </c>
      <c r="AM143" s="1285">
        <f>N('R7業務 (短)'!P61)-N(P143)</f>
        <v>0</v>
      </c>
      <c r="AN143" s="1285">
        <f>N('R7業務 (短)'!Q61)-N(Q143)</f>
        <v>0</v>
      </c>
      <c r="AO143" s="1285">
        <f>N('R7業務 (短)'!R61)-N(R143)</f>
        <v>0</v>
      </c>
      <c r="AP143" s="1285">
        <f>N('R7業務 (短)'!S61)-N(S143)</f>
        <v>0</v>
      </c>
      <c r="AQ143" s="1285">
        <f>N('R7業務 (短)'!T61)-N(T143)</f>
        <v>0</v>
      </c>
      <c r="AR143" s="1285">
        <f>N('R7業務 (短)'!U61)-N(U143)</f>
        <v>0</v>
      </c>
    </row>
    <row r="144">
      <c r="C144" s="1284" t="n">
        <v>317340</v>
      </c>
      <c r="D144" s="1284" t="n">
        <v>674316</v>
      </c>
      <c r="E144" s="1284" t="n">
        <v>1063339</v>
      </c>
      <c r="F144" s="1284" t="n">
        <v>702868</v>
      </c>
      <c r="G144" s="1284" t="n">
        <v>690020</v>
      </c>
      <c r="H144" s="1284" t="n">
        <v>643256</v>
      </c>
      <c r="I144" s="1284" t="n">
        <v>772269</v>
      </c>
      <c r="J144" s="1284" t="n">
        <v>644418</v>
      </c>
      <c r="K144" s="1284" t="n">
        <v>1082981</v>
      </c>
      <c r="L144" s="1284" t="n">
        <v>605785</v>
      </c>
      <c r="M144" s="1284" t="n">
        <v>591455</v>
      </c>
      <c r="N144" s="1284" t="n">
        <v>573710</v>
      </c>
      <c r="O144" s="1284" t="n">
        <v>382208</v>
      </c>
      <c r="Q144" s="1284" t="n">
        <v>8743965</v>
      </c>
      <c r="Z144" s="1285">
        <f>N('R7業務 (短)'!C62)-N(C144)</f>
        <v>0</v>
      </c>
      <c r="AA144" s="1285">
        <f>N('R7業務 (短)'!D62)-N(D144)</f>
        <v>0</v>
      </c>
      <c r="AB144" s="1285">
        <f>N('R7業務 (短)'!E62)-N(E144)</f>
        <v>0</v>
      </c>
      <c r="AC144" s="1285">
        <f>N('R7業務 (短)'!F62)-N(F144)</f>
        <v>0</v>
      </c>
      <c r="AD144" s="1285">
        <f>N('R7業務 (短)'!G62)-N(G144)</f>
        <v>0</v>
      </c>
      <c r="AE144" s="1285">
        <f>N('R7業務 (短)'!H62)-N(H144)</f>
        <v>0</v>
      </c>
      <c r="AF144" s="1285">
        <f>N('R7業務 (短)'!I62)-N(I144)</f>
        <v>0</v>
      </c>
      <c r="AG144" s="1285">
        <f>N('R7業務 (短)'!J62)-N(J144)</f>
        <v>0</v>
      </c>
      <c r="AH144" s="1285">
        <f>N('R7業務 (短)'!K62)-N(K144)</f>
        <v>0</v>
      </c>
      <c r="AI144" s="1285">
        <f>N('R7業務 (短)'!L62)-N(L144)</f>
        <v>0</v>
      </c>
      <c r="AJ144" s="1285">
        <f>N('R7業務 (短)'!M62)-N(M144)</f>
        <v>0</v>
      </c>
      <c r="AK144" s="1285">
        <f>N('R7業務 (短)'!N62)-N(N144)</f>
        <v>0</v>
      </c>
      <c r="AL144" s="1285">
        <f>N('R7業務 (短)'!O62)-N(O144)</f>
        <v>0</v>
      </c>
      <c r="AM144" s="1285">
        <f>N('R7業務 (短)'!P62)-N(P144)</f>
        <v>0</v>
      </c>
      <c r="AN144" s="1285">
        <f>N('R7業務 (短)'!Q62)-N(Q144)</f>
        <v>0</v>
      </c>
      <c r="AO144" s="1285">
        <f>N('R7業務 (短)'!R62)-N(R144)</f>
        <v>0</v>
      </c>
      <c r="AP144" s="1285">
        <f>N('R7業務 (短)'!S62)-N(S144)</f>
        <v>0</v>
      </c>
      <c r="AQ144" s="1285">
        <f>N('R7業務 (短)'!T62)-N(T144)</f>
        <v>0</v>
      </c>
      <c r="AR144" s="1285">
        <f>N('R7業務 (短)'!U62)-N(U144)</f>
        <v>0</v>
      </c>
    </row>
    <row r="151">
      <c r="A151" s="1283" t="inlineStr">
        <is>
          <t>【R7業務（長）】 旧表の値（A:W）／ 差（Z:AV）</t>
        </is>
      </c>
    </row>
    <row r="156">
      <c r="C156" s="1284" t="n">
        <v>0</v>
      </c>
      <c r="D156" s="1284" t="n">
        <v>0</v>
      </c>
      <c r="E156" s="1284" t="n">
        <v>11478</v>
      </c>
      <c r="F156" s="1284" t="n">
        <v>0</v>
      </c>
      <c r="G156" s="1284" t="n">
        <v>0</v>
      </c>
      <c r="H156" s="1284" t="n">
        <v>0</v>
      </c>
      <c r="I156" s="1284" t="n">
        <v>0</v>
      </c>
      <c r="J156" s="1284" t="n">
        <v>0</v>
      </c>
      <c r="K156" s="1284" t="n">
        <v>0</v>
      </c>
      <c r="L156" s="1284" t="n">
        <v>0</v>
      </c>
      <c r="M156" s="1284" t="n">
        <v>0</v>
      </c>
      <c r="N156" s="1284" t="n">
        <v>5739</v>
      </c>
      <c r="O156" s="1284" t="n">
        <v>0</v>
      </c>
      <c r="P156" s="1284" t="n">
        <v>17217</v>
      </c>
      <c r="Q156" s="1284" t="n">
        <v>17000</v>
      </c>
      <c r="S156" s="1284" t="n">
        <v>17000</v>
      </c>
      <c r="T156" s="1284" t="n">
        <v>-217</v>
      </c>
      <c r="Z156" s="1285">
        <f>N('R7業務（長）'!C4)-N(C156)</f>
        <v>0</v>
      </c>
      <c r="AA156" s="1285">
        <f>N('R7業務（長）'!D4)-N(D156)</f>
        <v>0</v>
      </c>
      <c r="AB156" s="1285">
        <f>N('R7業務（長）'!E4)-N(E156)</f>
        <v>0</v>
      </c>
      <c r="AC156" s="1285">
        <f>N('R7業務（長）'!F4)-N(F156)</f>
        <v>0</v>
      </c>
      <c r="AD156" s="1285">
        <f>N('R7業務（長）'!G4)-N(G156)</f>
        <v>0</v>
      </c>
      <c r="AE156" s="1285">
        <f>N('R7業務（長）'!H4)-N(H156)</f>
        <v>0</v>
      </c>
      <c r="AF156" s="1285">
        <f>N('R7業務（長）'!I4)-N(I156)</f>
        <v>0</v>
      </c>
      <c r="AG156" s="1285">
        <f>N('R7業務（長）'!J4)-N(J156)</f>
        <v>0</v>
      </c>
      <c r="AH156" s="1285">
        <f>N('R7業務（長）'!K4)-N(K156)</f>
        <v>0</v>
      </c>
      <c r="AI156" s="1285">
        <f>N('R7業務（長）'!L4)-N(L156)</f>
        <v>0</v>
      </c>
      <c r="AJ156" s="1285">
        <f>N('R7業務（長）'!M4)-N(M156)</f>
        <v>0</v>
      </c>
      <c r="AK156" s="1285">
        <f>N('R7業務（長）'!N4)-N(N156)</f>
        <v>0</v>
      </c>
      <c r="AL156" s="1285">
        <f>N('R7業務（長）'!O4)-N(O156)</f>
        <v>0</v>
      </c>
      <c r="AM156" s="1285">
        <f>N('R7業務（長）'!P4)-N(P156)</f>
        <v>0</v>
      </c>
      <c r="AN156" s="1285">
        <f>N('R7業務（長）'!Q4)-N(Q156)</f>
        <v>0</v>
      </c>
      <c r="AO156" s="1285">
        <f>N('R7業務（長）'!R4)-N(R156)</f>
        <v>0</v>
      </c>
      <c r="AP156" s="1285">
        <f>N('R7業務（長）'!S4)-N(S156)</f>
        <v>0</v>
      </c>
      <c r="AQ156" s="1285">
        <f>N('R7業務（長）'!T4)-N(T156)</f>
        <v>0</v>
      </c>
      <c r="AR156" s="1285">
        <f>N('R7業務（長）'!U4)-N(U156)</f>
        <v>0</v>
      </c>
    </row>
    <row r="157">
      <c r="C157" s="1284" t="n">
        <v>0</v>
      </c>
      <c r="D157" s="1284" t="n">
        <v>0</v>
      </c>
      <c r="E157" s="1284" t="n">
        <v>0</v>
      </c>
      <c r="F157" s="1284" t="n">
        <v>0</v>
      </c>
      <c r="G157" s="1284" t="n">
        <v>0</v>
      </c>
      <c r="H157" s="1284" t="n">
        <v>0</v>
      </c>
      <c r="I157" s="1284" t="n">
        <v>0</v>
      </c>
      <c r="J157" s="1284" t="n">
        <v>0</v>
      </c>
      <c r="K157" s="1284" t="n">
        <v>0</v>
      </c>
      <c r="L157" s="1284" t="n">
        <v>0</v>
      </c>
      <c r="M157" s="1284" t="n">
        <v>0</v>
      </c>
      <c r="N157" s="1284" t="n">
        <v>0</v>
      </c>
      <c r="O157" s="1284" t="n">
        <v>0</v>
      </c>
      <c r="P157" s="1284" t="n">
        <v>0</v>
      </c>
      <c r="Q157" s="1284" t="n">
        <v>0</v>
      </c>
      <c r="S157" s="1284" t="n">
        <v>0</v>
      </c>
      <c r="T157" s="1284" t="n">
        <v>0</v>
      </c>
      <c r="Z157" s="1285">
        <f>N('R7業務（長）'!C5)-N(C157)</f>
        <v>0</v>
      </c>
      <c r="AA157" s="1285">
        <f>N('R7業務（長）'!D5)-N(D157)</f>
        <v>0</v>
      </c>
      <c r="AB157" s="1285">
        <f>N('R7業務（長）'!E5)-N(E157)</f>
        <v>0</v>
      </c>
      <c r="AC157" s="1285">
        <f>N('R7業務（長）'!F5)-N(F157)</f>
        <v>0</v>
      </c>
      <c r="AD157" s="1285">
        <f>N('R7業務（長）'!G5)-N(G157)</f>
        <v>0</v>
      </c>
      <c r="AE157" s="1285">
        <f>N('R7業務（長）'!H5)-N(H157)</f>
        <v>0</v>
      </c>
      <c r="AF157" s="1285">
        <f>N('R7業務（長）'!I5)-N(I157)</f>
        <v>0</v>
      </c>
      <c r="AG157" s="1285">
        <f>N('R7業務（長）'!J5)-N(J157)</f>
        <v>0</v>
      </c>
      <c r="AH157" s="1285">
        <f>N('R7業務（長）'!K5)-N(K157)</f>
        <v>0</v>
      </c>
      <c r="AI157" s="1285">
        <f>N('R7業務（長）'!L5)-N(L157)</f>
        <v>0</v>
      </c>
      <c r="AJ157" s="1285">
        <f>N('R7業務（長）'!M5)-N(M157)</f>
        <v>0</v>
      </c>
      <c r="AK157" s="1285">
        <f>N('R7業務（長）'!N5)-N(N157)</f>
        <v>0</v>
      </c>
      <c r="AL157" s="1285">
        <f>N('R7業務（長）'!O5)-N(O157)</f>
        <v>0</v>
      </c>
      <c r="AM157" s="1285">
        <f>N('R7業務（長）'!P5)-N(P157)</f>
        <v>0</v>
      </c>
      <c r="AN157" s="1285">
        <f>N('R7業務（長）'!Q5)-N(Q157)</f>
        <v>0</v>
      </c>
      <c r="AO157" s="1285">
        <f>N('R7業務（長）'!R5)-N(R157)</f>
        <v>0</v>
      </c>
      <c r="AP157" s="1285">
        <f>N('R7業務（長）'!S5)-N(S157)</f>
        <v>0</v>
      </c>
      <c r="AQ157" s="1285">
        <f>N('R7業務（長）'!T5)-N(T157)</f>
        <v>0</v>
      </c>
      <c r="AR157" s="1285">
        <f>N('R7業務（長）'!U5)-N(U157)</f>
        <v>0</v>
      </c>
    </row>
    <row r="158">
      <c r="C158" s="1284" t="n">
        <v>0</v>
      </c>
      <c r="D158" s="1284" t="n">
        <v>0</v>
      </c>
      <c r="E158" s="1284" t="n">
        <v>0</v>
      </c>
      <c r="F158" s="1284" t="n">
        <v>0</v>
      </c>
      <c r="G158" s="1284" t="n">
        <v>0</v>
      </c>
      <c r="H158" s="1284" t="n">
        <v>0</v>
      </c>
      <c r="I158" s="1284" t="n">
        <v>0</v>
      </c>
      <c r="J158" s="1284" t="n">
        <v>0</v>
      </c>
      <c r="K158" s="1284" t="n">
        <v>0</v>
      </c>
      <c r="L158" s="1284" t="n">
        <v>0</v>
      </c>
      <c r="M158" s="1284" t="n">
        <v>0</v>
      </c>
      <c r="N158" s="1284" t="n">
        <v>0</v>
      </c>
      <c r="O158" s="1284" t="n">
        <v>0</v>
      </c>
      <c r="P158" s="1284" t="n">
        <v>0</v>
      </c>
      <c r="Q158" s="1284" t="n">
        <v>0</v>
      </c>
      <c r="S158" s="1284" t="n">
        <v>0</v>
      </c>
      <c r="T158" s="1284" t="n">
        <v>0</v>
      </c>
      <c r="Z158" s="1285">
        <f>N('R7業務（長）'!C6)-N(C158)</f>
        <v>0</v>
      </c>
      <c r="AA158" s="1285">
        <f>N('R7業務（長）'!D6)-N(D158)</f>
        <v>0</v>
      </c>
      <c r="AB158" s="1285">
        <f>N('R7業務（長）'!E6)-N(E158)</f>
        <v>0</v>
      </c>
      <c r="AC158" s="1285">
        <f>N('R7業務（長）'!F6)-N(F158)</f>
        <v>0</v>
      </c>
      <c r="AD158" s="1285">
        <f>N('R7業務（長）'!G6)-N(G158)</f>
        <v>0</v>
      </c>
      <c r="AE158" s="1285">
        <f>N('R7業務（長）'!H6)-N(H158)</f>
        <v>0</v>
      </c>
      <c r="AF158" s="1285">
        <f>N('R7業務（長）'!I6)-N(I158)</f>
        <v>0</v>
      </c>
      <c r="AG158" s="1285">
        <f>N('R7業務（長）'!J6)-N(J158)</f>
        <v>0</v>
      </c>
      <c r="AH158" s="1285">
        <f>N('R7業務（長）'!K6)-N(K158)</f>
        <v>0</v>
      </c>
      <c r="AI158" s="1285">
        <f>N('R7業務（長）'!L6)-N(L158)</f>
        <v>0</v>
      </c>
      <c r="AJ158" s="1285">
        <f>N('R7業務（長）'!M6)-N(M158)</f>
        <v>0</v>
      </c>
      <c r="AK158" s="1285">
        <f>N('R7業務（長）'!N6)-N(N158)</f>
        <v>0</v>
      </c>
      <c r="AL158" s="1285">
        <f>N('R7業務（長）'!O6)-N(O158)</f>
        <v>0</v>
      </c>
      <c r="AM158" s="1285">
        <f>N('R7業務（長）'!P6)-N(P158)</f>
        <v>0</v>
      </c>
      <c r="AN158" s="1285">
        <f>N('R7業務（長）'!Q6)-N(Q158)</f>
        <v>0</v>
      </c>
      <c r="AO158" s="1285">
        <f>N('R7業務（長）'!R6)-N(R158)</f>
        <v>0</v>
      </c>
      <c r="AP158" s="1285">
        <f>N('R7業務（長）'!S6)-N(S158)</f>
        <v>0</v>
      </c>
      <c r="AQ158" s="1285">
        <f>N('R7業務（長）'!T6)-N(T158)</f>
        <v>0</v>
      </c>
      <c r="AR158" s="1285">
        <f>N('R7業務（長）'!U6)-N(U158)</f>
        <v>0</v>
      </c>
    </row>
    <row r="159">
      <c r="C159" s="1284" t="n">
        <v>380800</v>
      </c>
      <c r="D159" s="1284" t="n">
        <v>380800</v>
      </c>
      <c r="E159" s="1284" t="n">
        <v>1248490</v>
      </c>
      <c r="F159" s="1284" t="n">
        <v>380800</v>
      </c>
      <c r="G159" s="1284" t="n">
        <v>380800</v>
      </c>
      <c r="H159" s="1284" t="n">
        <v>380800</v>
      </c>
      <c r="I159" s="1284" t="n">
        <v>381773</v>
      </c>
      <c r="J159" s="1284" t="n">
        <v>381773</v>
      </c>
      <c r="K159" s="1284" t="n">
        <v>1170332</v>
      </c>
      <c r="L159" s="1284" t="n">
        <v>395611</v>
      </c>
      <c r="M159" s="1284" t="n">
        <v>395611</v>
      </c>
      <c r="N159" s="1284" t="n">
        <v>464977</v>
      </c>
      <c r="O159" s="1284" t="n">
        <v>0</v>
      </c>
      <c r="P159" s="1284" t="n">
        <v>6342567</v>
      </c>
      <c r="Q159" s="1284" t="n">
        <v>7453000</v>
      </c>
      <c r="S159" s="1284" t="n">
        <v>7453000</v>
      </c>
      <c r="T159" s="1284" t="n">
        <v>1110433</v>
      </c>
      <c r="Z159" s="1285">
        <f>N('R7業務（長）'!C7)-N(C159)</f>
        <v>0</v>
      </c>
      <c r="AA159" s="1285">
        <f>N('R7業務（長）'!D7)-N(D159)</f>
        <v>0</v>
      </c>
      <c r="AB159" s="1285">
        <f>N('R7業務（長）'!E7)-N(E159)</f>
        <v>0</v>
      </c>
      <c r="AC159" s="1285">
        <f>N('R7業務（長）'!F7)-N(F159)</f>
        <v>0</v>
      </c>
      <c r="AD159" s="1285">
        <f>N('R7業務（長）'!G7)-N(G159)</f>
        <v>0</v>
      </c>
      <c r="AE159" s="1285">
        <f>N('R7業務（長）'!H7)-N(H159)</f>
        <v>0</v>
      </c>
      <c r="AF159" s="1285">
        <f>N('R7業務（長）'!I7)-N(I159)</f>
        <v>0</v>
      </c>
      <c r="AG159" s="1285">
        <f>N('R7業務（長）'!J7)-N(J159)</f>
        <v>0</v>
      </c>
      <c r="AH159" s="1285">
        <f>N('R7業務（長）'!K7)-N(K159)</f>
        <v>0</v>
      </c>
      <c r="AI159" s="1285">
        <f>N('R7業務（長）'!L7)-N(L159)</f>
        <v>0</v>
      </c>
      <c r="AJ159" s="1285">
        <f>N('R7業務（長）'!M7)-N(M159)</f>
        <v>0</v>
      </c>
      <c r="AK159" s="1285">
        <f>N('R7業務（長）'!N7)-N(N159)</f>
        <v>0</v>
      </c>
      <c r="AL159" s="1285">
        <f>N('R7業務（長）'!O7)-N(O159)</f>
        <v>0</v>
      </c>
      <c r="AM159" s="1285">
        <f>N('R7業務（長）'!P7)-N(P159)</f>
        <v>0</v>
      </c>
      <c r="AN159" s="1285">
        <f>N('R7業務（長）'!Q7)-N(Q159)</f>
        <v>0</v>
      </c>
      <c r="AO159" s="1285">
        <f>N('R7業務（長）'!R7)-N(R159)</f>
        <v>0</v>
      </c>
      <c r="AP159" s="1285">
        <f>N('R7業務（長）'!S7)-N(S159)</f>
        <v>0</v>
      </c>
      <c r="AQ159" s="1285">
        <f>N('R7業務（長）'!T7)-N(T159)</f>
        <v>0</v>
      </c>
      <c r="AR159" s="1285">
        <f>N('R7業務（長）'!U7)-N(U159)</f>
        <v>0</v>
      </c>
    </row>
    <row r="160">
      <c r="P160" s="1284" t="n">
        <v>0</v>
      </c>
      <c r="Q160" s="1284" t="n">
        <v>0</v>
      </c>
      <c r="S160" s="1284" t="n">
        <v>0</v>
      </c>
      <c r="T160" s="1284" t="n">
        <v>0</v>
      </c>
      <c r="Z160" s="1285">
        <f>N('R7業務（長）'!C8)-N(C160)</f>
        <v>0</v>
      </c>
      <c r="AA160" s="1285">
        <f>N('R7業務（長）'!D8)-N(D160)</f>
        <v>0</v>
      </c>
      <c r="AB160" s="1285">
        <f>N('R7業務（長）'!E8)-N(E160)</f>
        <v>0</v>
      </c>
      <c r="AC160" s="1285">
        <f>N('R7業務（長）'!F8)-N(F160)</f>
        <v>0</v>
      </c>
      <c r="AD160" s="1285">
        <f>N('R7業務（長）'!G8)-N(G160)</f>
        <v>0</v>
      </c>
      <c r="AE160" s="1285">
        <f>N('R7業務（長）'!H8)-N(H160)</f>
        <v>0</v>
      </c>
      <c r="AF160" s="1285">
        <f>N('R7業務（長）'!I8)-N(I160)</f>
        <v>0</v>
      </c>
      <c r="AG160" s="1285">
        <f>N('R7業務（長）'!J8)-N(J160)</f>
        <v>0</v>
      </c>
      <c r="AH160" s="1285">
        <f>N('R7業務（長）'!K8)-N(K160)</f>
        <v>0</v>
      </c>
      <c r="AI160" s="1285">
        <f>N('R7業務（長）'!L8)-N(L160)</f>
        <v>0</v>
      </c>
      <c r="AJ160" s="1285">
        <f>N('R7業務（長）'!M8)-N(M160)</f>
        <v>0</v>
      </c>
      <c r="AK160" s="1285">
        <f>N('R7業務（長）'!N8)-N(N160)</f>
        <v>0</v>
      </c>
      <c r="AL160" s="1285">
        <f>N('R7業務（長）'!O8)-N(O160)</f>
        <v>0</v>
      </c>
      <c r="AM160" s="1285">
        <f>N('R7業務（長）'!P8)-N(P160)</f>
        <v>0</v>
      </c>
      <c r="AN160" s="1285">
        <f>N('R7業務（長）'!Q8)-N(Q160)</f>
        <v>0</v>
      </c>
      <c r="AO160" s="1285">
        <f>N('R7業務（長）'!R8)-N(R160)</f>
        <v>0</v>
      </c>
      <c r="AP160" s="1285">
        <f>N('R7業務（長）'!S8)-N(S160)</f>
        <v>0</v>
      </c>
      <c r="AQ160" s="1285">
        <f>N('R7業務（長）'!T8)-N(T160)</f>
        <v>0</v>
      </c>
      <c r="AR160" s="1285">
        <f>N('R7業務（長）'!U8)-N(U160)</f>
        <v>0</v>
      </c>
    </row>
    <row r="161">
      <c r="C161" s="1284" t="n">
        <v>380800</v>
      </c>
      <c r="D161" s="1284" t="n">
        <v>380800</v>
      </c>
      <c r="E161" s="1284" t="n">
        <v>1248490</v>
      </c>
      <c r="F161" s="1284" t="n">
        <v>380800</v>
      </c>
      <c r="G161" s="1284" t="n">
        <v>380800</v>
      </c>
      <c r="H161" s="1284" t="n">
        <v>380800</v>
      </c>
      <c r="I161" s="1284" t="n">
        <v>381773</v>
      </c>
      <c r="J161" s="1284" t="n">
        <v>381773</v>
      </c>
      <c r="K161" s="1284" t="n">
        <v>1170332</v>
      </c>
      <c r="L161" s="1284" t="n">
        <v>395611</v>
      </c>
      <c r="M161" s="1284" t="n">
        <v>395611</v>
      </c>
      <c r="N161" s="1284" t="n">
        <v>464977</v>
      </c>
      <c r="O161" s="1284" t="n">
        <v>0</v>
      </c>
      <c r="P161" s="1284" t="n">
        <v>6342567</v>
      </c>
      <c r="Q161" s="1284" t="n">
        <v>7453000</v>
      </c>
      <c r="S161" s="1284" t="n">
        <v>7453000</v>
      </c>
      <c r="T161" s="1284" t="n">
        <v>1110433</v>
      </c>
      <c r="Z161" s="1285">
        <f>N('R7業務（長）'!C9)-N(C161)</f>
        <v>0</v>
      </c>
      <c r="AA161" s="1285">
        <f>N('R7業務（長）'!D9)-N(D161)</f>
        <v>0</v>
      </c>
      <c r="AB161" s="1285">
        <f>N('R7業務（長）'!E9)-N(E161)</f>
        <v>0</v>
      </c>
      <c r="AC161" s="1285">
        <f>N('R7業務（長）'!F9)-N(F161)</f>
        <v>0</v>
      </c>
      <c r="AD161" s="1285">
        <f>N('R7業務（長）'!G9)-N(G161)</f>
        <v>0</v>
      </c>
      <c r="AE161" s="1285">
        <f>N('R7業務（長）'!H9)-N(H161)</f>
        <v>0</v>
      </c>
      <c r="AF161" s="1285">
        <f>N('R7業務（長）'!I9)-N(I161)</f>
        <v>0</v>
      </c>
      <c r="AG161" s="1285">
        <f>N('R7業務（長）'!J9)-N(J161)</f>
        <v>0</v>
      </c>
      <c r="AH161" s="1285">
        <f>N('R7業務（長）'!K9)-N(K161)</f>
        <v>0</v>
      </c>
      <c r="AI161" s="1285">
        <f>N('R7業務（長）'!L9)-N(L161)</f>
        <v>0</v>
      </c>
      <c r="AJ161" s="1285">
        <f>N('R7業務（長）'!M9)-N(M161)</f>
        <v>0</v>
      </c>
      <c r="AK161" s="1285">
        <f>N('R7業務（長）'!N9)-N(N161)</f>
        <v>0</v>
      </c>
      <c r="AL161" s="1285">
        <f>N('R7業務（長）'!O9)-N(O161)</f>
        <v>0</v>
      </c>
      <c r="AM161" s="1285">
        <f>N('R7業務（長）'!P9)-N(P161)</f>
        <v>0</v>
      </c>
      <c r="AN161" s="1285">
        <f>N('R7業務（長）'!Q9)-N(Q161)</f>
        <v>0</v>
      </c>
      <c r="AO161" s="1285">
        <f>N('R7業務（長）'!R9)-N(R161)</f>
        <v>0</v>
      </c>
      <c r="AP161" s="1285">
        <f>N('R7業務（長）'!S9)-N(S161)</f>
        <v>0</v>
      </c>
      <c r="AQ161" s="1285">
        <f>N('R7業務（長）'!T9)-N(T161)</f>
        <v>0</v>
      </c>
      <c r="AR161" s="1285">
        <f>N('R7業務（長）'!U9)-N(U161)</f>
        <v>0</v>
      </c>
    </row>
    <row r="162">
      <c r="C162" s="1284" t="n">
        <v>0</v>
      </c>
      <c r="D162" s="1284" t="n">
        <v>0</v>
      </c>
      <c r="E162" s="1284" t="n">
        <v>0</v>
      </c>
      <c r="F162" s="1284" t="n">
        <v>0</v>
      </c>
      <c r="G162" s="1284" t="n">
        <v>1980</v>
      </c>
      <c r="H162" s="1284" t="n">
        <v>1980</v>
      </c>
      <c r="I162" s="1284" t="n">
        <v>0</v>
      </c>
      <c r="J162" s="1284" t="n">
        <v>0</v>
      </c>
      <c r="K162" s="1284" t="n">
        <v>0</v>
      </c>
      <c r="L162" s="1284" t="n">
        <v>0</v>
      </c>
      <c r="M162" s="1284" t="n">
        <v>0</v>
      </c>
      <c r="N162" s="1284" t="n">
        <v>0</v>
      </c>
      <c r="O162" s="1284" t="n">
        <v>0</v>
      </c>
      <c r="P162" s="1284" t="n">
        <v>3960</v>
      </c>
      <c r="Q162" s="1284" t="n">
        <v>25000</v>
      </c>
      <c r="S162" s="1284" t="n">
        <v>25000</v>
      </c>
      <c r="T162" s="1284" t="n">
        <v>21040</v>
      </c>
      <c r="Z162" s="1285">
        <f>N('R7業務（長）'!C10)-N(C162)</f>
        <v>0</v>
      </c>
      <c r="AA162" s="1285">
        <f>N('R7業務（長）'!D10)-N(D162)</f>
        <v>0</v>
      </c>
      <c r="AB162" s="1285">
        <f>N('R7業務（長）'!E10)-N(E162)</f>
        <v>0</v>
      </c>
      <c r="AC162" s="1285">
        <f>N('R7業務（長）'!F10)-N(F162)</f>
        <v>0</v>
      </c>
      <c r="AD162" s="1285">
        <f>N('R7業務（長）'!G10)-N(G162)</f>
        <v>0</v>
      </c>
      <c r="AE162" s="1285">
        <f>N('R7業務（長）'!H10)-N(H162)</f>
        <v>0</v>
      </c>
      <c r="AF162" s="1285">
        <f>N('R7業務（長）'!I10)-N(I162)</f>
        <v>0</v>
      </c>
      <c r="AG162" s="1285">
        <f>N('R7業務（長）'!J10)-N(J162)</f>
        <v>0</v>
      </c>
      <c r="AH162" s="1285">
        <f>N('R7業務（長）'!K10)-N(K162)</f>
        <v>0</v>
      </c>
      <c r="AI162" s="1285">
        <f>N('R7業務（長）'!L10)-N(L162)</f>
        <v>0</v>
      </c>
      <c r="AJ162" s="1285">
        <f>N('R7業務（長）'!M10)-N(M162)</f>
        <v>0</v>
      </c>
      <c r="AK162" s="1285">
        <f>N('R7業務（長）'!N10)-N(N162)</f>
        <v>0</v>
      </c>
      <c r="AL162" s="1285">
        <f>N('R7業務（長）'!O10)-N(O162)</f>
        <v>0</v>
      </c>
      <c r="AM162" s="1285">
        <f>N('R7業務（長）'!P10)-N(P162)</f>
        <v>0</v>
      </c>
      <c r="AN162" s="1285">
        <f>N('R7業務（長）'!Q10)-N(Q162)</f>
        <v>0</v>
      </c>
      <c r="AO162" s="1285">
        <f>N('R7業務（長）'!R10)-N(R162)</f>
        <v>0</v>
      </c>
      <c r="AP162" s="1285">
        <f>N('R7業務（長）'!S10)-N(S162)</f>
        <v>0</v>
      </c>
      <c r="AQ162" s="1285">
        <f>N('R7業務（長）'!T10)-N(T162)</f>
        <v>0</v>
      </c>
      <c r="AR162" s="1285">
        <f>N('R7業務（長）'!U10)-N(U162)</f>
        <v>0</v>
      </c>
    </row>
    <row r="163">
      <c r="C163" s="1284" t="n">
        <v>0</v>
      </c>
      <c r="D163" s="1284" t="n">
        <v>0</v>
      </c>
      <c r="E163" s="1284" t="n">
        <v>43264</v>
      </c>
      <c r="F163" s="1284" t="n">
        <v>0</v>
      </c>
      <c r="G163" s="1284" t="n">
        <v>31712</v>
      </c>
      <c r="H163" s="1284" t="n">
        <v>0</v>
      </c>
      <c r="I163" s="1284" t="n">
        <v>0</v>
      </c>
      <c r="J163" s="1284" t="n">
        <v>20316</v>
      </c>
      <c r="K163" s="1284" t="n">
        <v>0</v>
      </c>
      <c r="L163" s="1284" t="n">
        <v>0</v>
      </c>
      <c r="M163" s="1284" t="n">
        <v>20524</v>
      </c>
      <c r="N163" s="1284" t="n">
        <v>0</v>
      </c>
      <c r="O163" s="1284" t="n">
        <v>0</v>
      </c>
      <c r="P163" s="1284" t="n">
        <v>115816</v>
      </c>
      <c r="Q163" s="1284" t="n">
        <v>599000</v>
      </c>
      <c r="S163" s="1284" t="n">
        <v>599000</v>
      </c>
      <c r="T163" s="1284" t="n">
        <v>483184</v>
      </c>
      <c r="Z163" s="1285">
        <f>N('R7業務（長）'!C11)-N(C163)</f>
        <v>0</v>
      </c>
      <c r="AA163" s="1285">
        <f>N('R7業務（長）'!D11)-N(D163)</f>
        <v>0</v>
      </c>
      <c r="AB163" s="1285">
        <f>N('R7業務（長）'!E11)-N(E163)</f>
        <v>0</v>
      </c>
      <c r="AC163" s="1285">
        <f>N('R7業務（長）'!F11)-N(F163)</f>
        <v>0</v>
      </c>
      <c r="AD163" s="1285">
        <f>N('R7業務（長）'!G11)-N(G163)</f>
        <v>0</v>
      </c>
      <c r="AE163" s="1285">
        <f>N('R7業務（長）'!H11)-N(H163)</f>
        <v>0</v>
      </c>
      <c r="AF163" s="1285">
        <f>N('R7業務（長）'!I11)-N(I163)</f>
        <v>0</v>
      </c>
      <c r="AG163" s="1285">
        <f>N('R7業務（長）'!J11)-N(J163)</f>
        <v>0</v>
      </c>
      <c r="AH163" s="1285">
        <f>N('R7業務（長）'!K11)-N(K163)</f>
        <v>0</v>
      </c>
      <c r="AI163" s="1285">
        <f>N('R7業務（長）'!L11)-N(L163)</f>
        <v>0</v>
      </c>
      <c r="AJ163" s="1285">
        <f>N('R7業務（長）'!M11)-N(M163)</f>
        <v>0</v>
      </c>
      <c r="AK163" s="1285">
        <f>N('R7業務（長）'!N11)-N(N163)</f>
        <v>0</v>
      </c>
      <c r="AL163" s="1285">
        <f>N('R7業務（長）'!O11)-N(O163)</f>
        <v>0</v>
      </c>
      <c r="AM163" s="1285">
        <f>N('R7業務（長）'!P11)-N(P163)</f>
        <v>0</v>
      </c>
      <c r="AN163" s="1285">
        <f>N('R7業務（長）'!Q11)-N(Q163)</f>
        <v>0</v>
      </c>
      <c r="AO163" s="1285">
        <f>N('R7業務（長）'!R11)-N(R163)</f>
        <v>0</v>
      </c>
      <c r="AP163" s="1285">
        <f>N('R7業務（長）'!S11)-N(S163)</f>
        <v>0</v>
      </c>
      <c r="AQ163" s="1285">
        <f>N('R7業務（長）'!T11)-N(T163)</f>
        <v>0</v>
      </c>
      <c r="AR163" s="1285">
        <f>N('R7業務（長）'!U11)-N(U163)</f>
        <v>0</v>
      </c>
    </row>
    <row r="164">
      <c r="C164" s="1284" t="n">
        <v>8778</v>
      </c>
      <c r="D164" s="1284" t="n">
        <v>14040</v>
      </c>
      <c r="E164" s="1284" t="n">
        <v>53130</v>
      </c>
      <c r="F164" s="1284" t="n">
        <v>0</v>
      </c>
      <c r="G164" s="1284" t="n">
        <v>0</v>
      </c>
      <c r="H164" s="1284" t="n">
        <v>0</v>
      </c>
      <c r="I164" s="1284" t="n">
        <v>147320</v>
      </c>
      <c r="J164" s="1284" t="n">
        <v>203853</v>
      </c>
      <c r="K164" s="1284" t="n">
        <v>0</v>
      </c>
      <c r="L164" s="1284" t="n">
        <v>71787</v>
      </c>
      <c r="M164" s="1284" t="n">
        <v>0</v>
      </c>
      <c r="N164" s="1284" t="n">
        <v>76096</v>
      </c>
      <c r="O164" s="1284" t="n">
        <v>99001</v>
      </c>
      <c r="P164" s="1284" t="n">
        <v>674005</v>
      </c>
      <c r="Q164" s="1284" t="n">
        <v>580000</v>
      </c>
      <c r="S164" s="1284" t="n">
        <v>580000</v>
      </c>
      <c r="T164" s="1284" t="n">
        <v>-94005</v>
      </c>
      <c r="Z164" s="1285">
        <f>N('R7業務（長）'!C12)-N(C164)</f>
        <v>0</v>
      </c>
      <c r="AA164" s="1285">
        <f>N('R7業務（長）'!D12)-N(D164)</f>
        <v>0</v>
      </c>
      <c r="AB164" s="1285">
        <f>N('R7業務（長）'!E12)-N(E164)</f>
        <v>0</v>
      </c>
      <c r="AC164" s="1285">
        <f>N('R7業務（長）'!F12)-N(F164)</f>
        <v>0</v>
      </c>
      <c r="AD164" s="1285">
        <f>N('R7業務（長）'!G12)-N(G164)</f>
        <v>0</v>
      </c>
      <c r="AE164" s="1285">
        <f>N('R7業務（長）'!H12)-N(H164)</f>
        <v>0</v>
      </c>
      <c r="AF164" s="1285">
        <f>N('R7業務（長）'!I12)-N(I164)</f>
        <v>0</v>
      </c>
      <c r="AG164" s="1285">
        <f>N('R7業務（長）'!J12)-N(J164)</f>
        <v>0</v>
      </c>
      <c r="AH164" s="1285">
        <f>N('R7業務（長）'!K12)-N(K164)</f>
        <v>0</v>
      </c>
      <c r="AI164" s="1285">
        <f>N('R7業務（長）'!L12)-N(L164)</f>
        <v>0</v>
      </c>
      <c r="AJ164" s="1285">
        <f>N('R7業務（長）'!M12)-N(M164)</f>
        <v>0</v>
      </c>
      <c r="AK164" s="1285">
        <f>N('R7業務（長）'!N12)-N(N164)</f>
        <v>0</v>
      </c>
      <c r="AL164" s="1285">
        <f>N('R7業務（長）'!O12)-N(O164)</f>
        <v>0</v>
      </c>
      <c r="AM164" s="1285">
        <f>N('R7業務（長）'!P12)-N(P164)</f>
        <v>0</v>
      </c>
      <c r="AN164" s="1285">
        <f>N('R7業務（長）'!Q12)-N(Q164)</f>
        <v>0</v>
      </c>
      <c r="AO164" s="1285">
        <f>N('R7業務（長）'!R12)-N(R164)</f>
        <v>0</v>
      </c>
      <c r="AP164" s="1285">
        <f>N('R7業務（長）'!S12)-N(S164)</f>
        <v>0</v>
      </c>
      <c r="AQ164" s="1285">
        <f>N('R7業務（長）'!T12)-N(T164)</f>
        <v>0</v>
      </c>
      <c r="AR164" s="1285">
        <f>N('R7業務（長）'!U12)-N(U164)</f>
        <v>0</v>
      </c>
    </row>
    <row r="165">
      <c r="C165" s="1284" t="n">
        <v>0</v>
      </c>
      <c r="D165" s="1284" t="n">
        <v>0</v>
      </c>
      <c r="E165" s="1284" t="n">
        <v>17600</v>
      </c>
      <c r="F165" s="1284" t="n">
        <v>0</v>
      </c>
      <c r="G165" s="1284" t="n">
        <v>73810</v>
      </c>
      <c r="H165" s="1284" t="n">
        <v>247676</v>
      </c>
      <c r="I165" s="1284" t="n">
        <v>15465</v>
      </c>
      <c r="J165" s="1284" t="n">
        <v>0</v>
      </c>
      <c r="K165" s="1284" t="n">
        <v>72239</v>
      </c>
      <c r="L165" s="1284" t="n">
        <v>22050</v>
      </c>
      <c r="M165" s="1284" t="n">
        <v>26400</v>
      </c>
      <c r="N165" s="1284" t="n">
        <v>26757</v>
      </c>
      <c r="O165" s="1284" t="n">
        <v>0</v>
      </c>
      <c r="P165" s="1284" t="n">
        <v>501997</v>
      </c>
      <c r="Q165" s="1284" t="n">
        <v>595000</v>
      </c>
      <c r="S165" s="1284" t="n">
        <v>595000</v>
      </c>
      <c r="T165" s="1284" t="n">
        <v>93003</v>
      </c>
      <c r="Z165" s="1285">
        <f>N('R7業務（長）'!C13)-N(C165)</f>
        <v>0</v>
      </c>
      <c r="AA165" s="1285">
        <f>N('R7業務（長）'!D13)-N(D165)</f>
        <v>0</v>
      </c>
      <c r="AB165" s="1285">
        <f>N('R7業務（長）'!E13)-N(E165)</f>
        <v>0</v>
      </c>
      <c r="AC165" s="1285">
        <f>N('R7業務（長）'!F13)-N(F165)</f>
        <v>0</v>
      </c>
      <c r="AD165" s="1285">
        <f>N('R7業務（長）'!G13)-N(G165)</f>
        <v>0</v>
      </c>
      <c r="AE165" s="1285">
        <f>N('R7業務（長）'!H13)-N(H165)</f>
        <v>0</v>
      </c>
      <c r="AF165" s="1285">
        <f>N('R7業務（長）'!I13)-N(I165)</f>
        <v>0</v>
      </c>
      <c r="AG165" s="1285">
        <f>N('R7業務（長）'!J13)-N(J165)</f>
        <v>0</v>
      </c>
      <c r="AH165" s="1285">
        <f>N('R7業務（長）'!K13)-N(K165)</f>
        <v>0</v>
      </c>
      <c r="AI165" s="1285">
        <f>N('R7業務（長）'!L13)-N(L165)</f>
        <v>0</v>
      </c>
      <c r="AJ165" s="1285">
        <f>N('R7業務（長）'!M13)-N(M165)</f>
        <v>0</v>
      </c>
      <c r="AK165" s="1285">
        <f>N('R7業務（長）'!N13)-N(N165)</f>
        <v>0</v>
      </c>
      <c r="AL165" s="1285">
        <f>N('R7業務（長）'!O13)-N(O165)</f>
        <v>0</v>
      </c>
      <c r="AM165" s="1285">
        <f>N('R7業務（長）'!P13)-N(P165)</f>
        <v>0</v>
      </c>
      <c r="AN165" s="1285">
        <f>N('R7業務（長）'!Q13)-N(Q165)</f>
        <v>0</v>
      </c>
      <c r="AO165" s="1285">
        <f>N('R7業務（長）'!R13)-N(R165)</f>
        <v>0</v>
      </c>
      <c r="AP165" s="1285">
        <f>N('R7業務（長）'!S13)-N(S165)</f>
        <v>0</v>
      </c>
      <c r="AQ165" s="1285">
        <f>N('R7業務（長）'!T13)-N(T165)</f>
        <v>0</v>
      </c>
      <c r="AR165" s="1285">
        <f>N('R7業務（長）'!U13)-N(U165)</f>
        <v>0</v>
      </c>
    </row>
    <row r="166">
      <c r="C166" s="1284" t="n">
        <v>0</v>
      </c>
      <c r="D166" s="1284" t="n">
        <v>18493</v>
      </c>
      <c r="E166" s="1284" t="n">
        <v>12725</v>
      </c>
      <c r="F166" s="1284" t="n">
        <v>13965</v>
      </c>
      <c r="G166" s="1284" t="n">
        <v>14994</v>
      </c>
      <c r="H166" s="1284" t="n">
        <v>14984</v>
      </c>
      <c r="I166" s="1284" t="n">
        <v>16238</v>
      </c>
      <c r="J166" s="1284" t="n">
        <v>15579</v>
      </c>
      <c r="K166" s="1284" t="n">
        <v>16554</v>
      </c>
      <c r="L166" s="1284" t="n">
        <v>16224</v>
      </c>
      <c r="M166" s="1284" t="n">
        <v>16564</v>
      </c>
      <c r="N166" s="1284" t="n">
        <v>14994</v>
      </c>
      <c r="O166" s="1284" t="n">
        <v>16240</v>
      </c>
      <c r="P166" s="1284" t="n">
        <v>187554</v>
      </c>
      <c r="Q166" s="1284" t="n">
        <v>249000</v>
      </c>
      <c r="S166" s="1284" t="n">
        <v>249000</v>
      </c>
      <c r="T166" s="1284" t="n">
        <v>61446</v>
      </c>
      <c r="Z166" s="1285">
        <f>N('R7業務（長）'!C14)-N(C166)</f>
        <v>0</v>
      </c>
      <c r="AA166" s="1285">
        <f>N('R7業務（長）'!D14)-N(D166)</f>
        <v>0</v>
      </c>
      <c r="AB166" s="1285">
        <f>N('R7業務（長）'!E14)-N(E166)</f>
        <v>0</v>
      </c>
      <c r="AC166" s="1285">
        <f>N('R7業務（長）'!F14)-N(F166)</f>
        <v>0</v>
      </c>
      <c r="AD166" s="1285">
        <f>N('R7業務（長）'!G14)-N(G166)</f>
        <v>0</v>
      </c>
      <c r="AE166" s="1285">
        <f>N('R7業務（長）'!H14)-N(H166)</f>
        <v>0</v>
      </c>
      <c r="AF166" s="1285">
        <f>N('R7業務（長）'!I14)-N(I166)</f>
        <v>0</v>
      </c>
      <c r="AG166" s="1285">
        <f>N('R7業務（長）'!J14)-N(J166)</f>
        <v>0</v>
      </c>
      <c r="AH166" s="1285">
        <f>N('R7業務（長）'!K14)-N(K166)</f>
        <v>0</v>
      </c>
      <c r="AI166" s="1285">
        <f>N('R7業務（長）'!L14)-N(L166)</f>
        <v>0</v>
      </c>
      <c r="AJ166" s="1285">
        <f>N('R7業務（長）'!M14)-N(M166)</f>
        <v>0</v>
      </c>
      <c r="AK166" s="1285">
        <f>N('R7業務（長）'!N14)-N(N166)</f>
        <v>0</v>
      </c>
      <c r="AL166" s="1285">
        <f>N('R7業務（長）'!O14)-N(O166)</f>
        <v>0</v>
      </c>
      <c r="AM166" s="1285">
        <f>N('R7業務（長）'!P14)-N(P166)</f>
        <v>0</v>
      </c>
      <c r="AN166" s="1285">
        <f>N('R7業務（長）'!Q14)-N(Q166)</f>
        <v>0</v>
      </c>
      <c r="AO166" s="1285">
        <f>N('R7業務（長）'!R14)-N(R166)</f>
        <v>0</v>
      </c>
      <c r="AP166" s="1285">
        <f>N('R7業務（長）'!S14)-N(S166)</f>
        <v>0</v>
      </c>
      <c r="AQ166" s="1285">
        <f>N('R7業務（長）'!T14)-N(T166)</f>
        <v>0</v>
      </c>
      <c r="AR166" s="1285">
        <f>N('R7業務（長）'!U14)-N(U166)</f>
        <v>0</v>
      </c>
    </row>
    <row r="167">
      <c r="C167" s="1284" t="n">
        <v>0</v>
      </c>
      <c r="D167" s="1284" t="n">
        <v>147246</v>
      </c>
      <c r="E167" s="1284" t="n">
        <v>21810</v>
      </c>
      <c r="F167" s="1284" t="n">
        <v>1534000</v>
      </c>
      <c r="G167" s="1284" t="n">
        <v>31370</v>
      </c>
      <c r="H167" s="1284" t="n">
        <v>83355</v>
      </c>
      <c r="I167" s="1284" t="n">
        <v>271700</v>
      </c>
      <c r="J167" s="1284" t="n">
        <v>1138006</v>
      </c>
      <c r="K167" s="1284" t="n">
        <v>56815</v>
      </c>
      <c r="L167" s="1284" t="n">
        <v>1249035</v>
      </c>
      <c r="M167" s="1284" t="n">
        <v>792478</v>
      </c>
      <c r="N167" s="1284" t="n">
        <v>833717</v>
      </c>
      <c r="O167" s="1284" t="n">
        <v>65946</v>
      </c>
      <c r="P167" s="1284" t="n">
        <v>6225478</v>
      </c>
      <c r="Q167" s="1284" t="n">
        <v>7518000</v>
      </c>
      <c r="S167" s="1284" t="n">
        <v>7518000</v>
      </c>
      <c r="T167" s="1284" t="n">
        <v>1292522</v>
      </c>
      <c r="Z167" s="1285">
        <f>N('R7業務（長）'!C15)-N(C167)</f>
        <v>0</v>
      </c>
      <c r="AA167" s="1285">
        <f>N('R7業務（長）'!D15)-N(D167)</f>
        <v>0</v>
      </c>
      <c r="AB167" s="1285">
        <f>N('R7業務（長）'!E15)-N(E167)</f>
        <v>0</v>
      </c>
      <c r="AC167" s="1285">
        <f>N('R7業務（長）'!F15)-N(F167)</f>
        <v>0</v>
      </c>
      <c r="AD167" s="1285">
        <f>N('R7業務（長）'!G15)-N(G167)</f>
        <v>0</v>
      </c>
      <c r="AE167" s="1285">
        <f>N('R7業務（長）'!H15)-N(H167)</f>
        <v>0</v>
      </c>
      <c r="AF167" s="1285">
        <f>N('R7業務（長）'!I15)-N(I167)</f>
        <v>0</v>
      </c>
      <c r="AG167" s="1285">
        <f>N('R7業務（長）'!J15)-N(J167)</f>
        <v>0</v>
      </c>
      <c r="AH167" s="1285">
        <f>N('R7業務（長）'!K15)-N(K167)</f>
        <v>0</v>
      </c>
      <c r="AI167" s="1285">
        <f>N('R7業務（長）'!L15)-N(L167)</f>
        <v>0</v>
      </c>
      <c r="AJ167" s="1285">
        <f>N('R7業務（長）'!M15)-N(M167)</f>
        <v>0</v>
      </c>
      <c r="AK167" s="1285">
        <f>N('R7業務（長）'!N15)-N(N167)</f>
        <v>0</v>
      </c>
      <c r="AL167" s="1285">
        <f>N('R7業務（長）'!O15)-N(O167)</f>
        <v>0</v>
      </c>
      <c r="AM167" s="1285">
        <f>N('R7業務（長）'!P15)-N(P167)</f>
        <v>0</v>
      </c>
      <c r="AN167" s="1285">
        <f>N('R7業務（長）'!Q15)-N(Q167)</f>
        <v>0</v>
      </c>
      <c r="AO167" s="1285">
        <f>N('R7業務（長）'!R15)-N(R167)</f>
        <v>0</v>
      </c>
      <c r="AP167" s="1285">
        <f>N('R7業務（長）'!S15)-N(S167)</f>
        <v>0</v>
      </c>
      <c r="AQ167" s="1285">
        <f>N('R7業務（長）'!T15)-N(T167)</f>
        <v>0</v>
      </c>
      <c r="AR167" s="1285">
        <f>N('R7業務（長）'!U15)-N(U167)</f>
        <v>0</v>
      </c>
    </row>
    <row r="168">
      <c r="C168" s="1284" t="n">
        <v>0</v>
      </c>
      <c r="D168" s="1284" t="n">
        <v>0</v>
      </c>
      <c r="E168" s="1284" t="n">
        <v>0</v>
      </c>
      <c r="F168" s="1284" t="n">
        <v>0</v>
      </c>
      <c r="G168" s="1284" t="n">
        <v>0</v>
      </c>
      <c r="H168" s="1284" t="n">
        <v>0</v>
      </c>
      <c r="I168" s="1284" t="n">
        <v>0</v>
      </c>
      <c r="J168" s="1284" t="n">
        <v>0</v>
      </c>
      <c r="K168" s="1284" t="n">
        <v>0</v>
      </c>
      <c r="L168" s="1284" t="n">
        <v>0</v>
      </c>
      <c r="M168" s="1284" t="n">
        <v>0</v>
      </c>
      <c r="N168" s="1284" t="n">
        <v>0</v>
      </c>
      <c r="O168" s="1284" t="n">
        <v>0</v>
      </c>
      <c r="P168" s="1284" t="n">
        <v>0</v>
      </c>
      <c r="Q168" s="1284" t="n">
        <v>0</v>
      </c>
      <c r="S168" s="1284" t="n">
        <v>0</v>
      </c>
      <c r="T168" s="1284" t="n">
        <v>0</v>
      </c>
      <c r="Z168" s="1285">
        <f>N('R7業務（長）'!C16)-N(C168)</f>
        <v>0</v>
      </c>
      <c r="AA168" s="1285">
        <f>N('R7業務（長）'!D16)-N(D168)</f>
        <v>0</v>
      </c>
      <c r="AB168" s="1285">
        <f>N('R7業務（長）'!E16)-N(E168)</f>
        <v>0</v>
      </c>
      <c r="AC168" s="1285">
        <f>N('R7業務（長）'!F16)-N(F168)</f>
        <v>0</v>
      </c>
      <c r="AD168" s="1285">
        <f>N('R7業務（長）'!G16)-N(G168)</f>
        <v>0</v>
      </c>
      <c r="AE168" s="1285">
        <f>N('R7業務（長）'!H16)-N(H168)</f>
        <v>0</v>
      </c>
      <c r="AF168" s="1285">
        <f>N('R7業務（長）'!I16)-N(I168)</f>
        <v>0</v>
      </c>
      <c r="AG168" s="1285">
        <f>N('R7業務（長）'!J16)-N(J168)</f>
        <v>0</v>
      </c>
      <c r="AH168" s="1285">
        <f>N('R7業務（長）'!K16)-N(K168)</f>
        <v>0</v>
      </c>
      <c r="AI168" s="1285">
        <f>N('R7業務（長）'!L16)-N(L168)</f>
        <v>0</v>
      </c>
      <c r="AJ168" s="1285">
        <f>N('R7業務（長）'!M16)-N(M168)</f>
        <v>0</v>
      </c>
      <c r="AK168" s="1285">
        <f>N('R7業務（長）'!N16)-N(N168)</f>
        <v>0</v>
      </c>
      <c r="AL168" s="1285">
        <f>N('R7業務（長）'!O16)-N(O168)</f>
        <v>0</v>
      </c>
      <c r="AM168" s="1285">
        <f>N('R7業務（長）'!P16)-N(P168)</f>
        <v>0</v>
      </c>
      <c r="AN168" s="1285">
        <f>N('R7業務（長）'!Q16)-N(Q168)</f>
        <v>0</v>
      </c>
      <c r="AO168" s="1285">
        <f>N('R7業務（長）'!R16)-N(R168)</f>
        <v>0</v>
      </c>
      <c r="AP168" s="1285">
        <f>N('R7業務（長）'!S16)-N(S168)</f>
        <v>0</v>
      </c>
      <c r="AQ168" s="1285">
        <f>N('R7業務（長）'!T16)-N(T168)</f>
        <v>0</v>
      </c>
      <c r="AR168" s="1285">
        <f>N('R7業務（長）'!U16)-N(U168)</f>
        <v>0</v>
      </c>
    </row>
    <row r="169">
      <c r="C169" s="1284" t="n">
        <v>0</v>
      </c>
      <c r="D169" s="1284" t="n">
        <v>0</v>
      </c>
      <c r="E169" s="1284" t="n">
        <v>0</v>
      </c>
      <c r="F169" s="1284" t="n">
        <v>0</v>
      </c>
      <c r="G169" s="1284" t="n">
        <v>0</v>
      </c>
      <c r="H169" s="1284" t="n">
        <v>0</v>
      </c>
      <c r="I169" s="1284" t="n">
        <v>3300</v>
      </c>
      <c r="J169" s="1284" t="n">
        <v>0</v>
      </c>
      <c r="K169" s="1284" t="n">
        <v>0</v>
      </c>
      <c r="L169" s="1284" t="n">
        <v>0</v>
      </c>
      <c r="M169" s="1284" t="n">
        <v>0</v>
      </c>
      <c r="N169" s="1284" t="n">
        <v>0</v>
      </c>
      <c r="O169" s="1284" t="n">
        <v>3300</v>
      </c>
      <c r="P169" s="1284" t="n">
        <v>6600</v>
      </c>
      <c r="Q169" s="1284" t="n">
        <v>7000</v>
      </c>
      <c r="S169" s="1284" t="n">
        <v>7000</v>
      </c>
      <c r="T169" s="1284" t="n">
        <v>400</v>
      </c>
      <c r="Z169" s="1285">
        <f>N('R7業務（長）'!C17)-N(C169)</f>
        <v>0</v>
      </c>
      <c r="AA169" s="1285">
        <f>N('R7業務（長）'!D17)-N(D169)</f>
        <v>0</v>
      </c>
      <c r="AB169" s="1285">
        <f>N('R7業務（長）'!E17)-N(E169)</f>
        <v>0</v>
      </c>
      <c r="AC169" s="1285">
        <f>N('R7業務（長）'!F17)-N(F169)</f>
        <v>0</v>
      </c>
      <c r="AD169" s="1285">
        <f>N('R7業務（長）'!G17)-N(G169)</f>
        <v>0</v>
      </c>
      <c r="AE169" s="1285">
        <f>N('R7業務（長）'!H17)-N(H169)</f>
        <v>0</v>
      </c>
      <c r="AF169" s="1285">
        <f>N('R7業務（長）'!I17)-N(I169)</f>
        <v>0</v>
      </c>
      <c r="AG169" s="1285">
        <f>N('R7業務（長）'!J17)-N(J169)</f>
        <v>0</v>
      </c>
      <c r="AH169" s="1285">
        <f>N('R7業務（長）'!K17)-N(K169)</f>
        <v>0</v>
      </c>
      <c r="AI169" s="1285">
        <f>N('R7業務（長）'!L17)-N(L169)</f>
        <v>0</v>
      </c>
      <c r="AJ169" s="1285">
        <f>N('R7業務（長）'!M17)-N(M169)</f>
        <v>0</v>
      </c>
      <c r="AK169" s="1285">
        <f>N('R7業務（長）'!N17)-N(N169)</f>
        <v>0</v>
      </c>
      <c r="AL169" s="1285">
        <f>N('R7業務（長）'!O17)-N(O169)</f>
        <v>0</v>
      </c>
      <c r="AM169" s="1285">
        <f>N('R7業務（長）'!P17)-N(P169)</f>
        <v>0</v>
      </c>
      <c r="AN169" s="1285">
        <f>N('R7業務（長）'!Q17)-N(Q169)</f>
        <v>0</v>
      </c>
      <c r="AO169" s="1285">
        <f>N('R7業務（長）'!R17)-N(R169)</f>
        <v>0</v>
      </c>
      <c r="AP169" s="1285">
        <f>N('R7業務（長）'!S17)-N(S169)</f>
        <v>0</v>
      </c>
      <c r="AQ169" s="1285">
        <f>N('R7業務（長）'!T17)-N(T169)</f>
        <v>0</v>
      </c>
      <c r="AR169" s="1285">
        <f>N('R7業務（長）'!U17)-N(U169)</f>
        <v>0</v>
      </c>
    </row>
    <row r="170">
      <c r="C170" s="1284" t="n">
        <v>8778</v>
      </c>
      <c r="D170" s="1284" t="n">
        <v>179779</v>
      </c>
      <c r="E170" s="1284" t="n">
        <v>105265</v>
      </c>
      <c r="F170" s="1284" t="n">
        <v>1547965</v>
      </c>
      <c r="G170" s="1284" t="n">
        <v>120174</v>
      </c>
      <c r="H170" s="1284" t="n">
        <v>346015</v>
      </c>
      <c r="I170" s="1284" t="n">
        <v>454023</v>
      </c>
      <c r="J170" s="1284" t="n">
        <v>1357438</v>
      </c>
      <c r="K170" s="1284" t="n">
        <v>145608</v>
      </c>
      <c r="L170" s="1284" t="n">
        <v>1359096</v>
      </c>
      <c r="M170" s="1284" t="n">
        <v>835442</v>
      </c>
      <c r="N170" s="1284" t="n">
        <v>951564</v>
      </c>
      <c r="O170" s="1284" t="n">
        <v>184487</v>
      </c>
      <c r="P170" s="1284" t="n">
        <v>7595634</v>
      </c>
      <c r="Q170" s="1284" t="n">
        <v>8949000</v>
      </c>
      <c r="S170" s="1284" t="n">
        <v>8949000</v>
      </c>
      <c r="T170" s="1284" t="n">
        <v>1353366</v>
      </c>
      <c r="Z170" s="1285">
        <f>N('R7業務（長）'!C18)-N(C170)</f>
        <v>0</v>
      </c>
      <c r="AA170" s="1285">
        <f>N('R7業務（長）'!D18)-N(D170)</f>
        <v>0</v>
      </c>
      <c r="AB170" s="1285">
        <f>N('R7業務（長）'!E18)-N(E170)</f>
        <v>0</v>
      </c>
      <c r="AC170" s="1285">
        <f>N('R7業務（長）'!F18)-N(F170)</f>
        <v>0</v>
      </c>
      <c r="AD170" s="1285">
        <f>N('R7業務（長）'!G18)-N(G170)</f>
        <v>0</v>
      </c>
      <c r="AE170" s="1285">
        <f>N('R7業務（長）'!H18)-N(H170)</f>
        <v>0</v>
      </c>
      <c r="AF170" s="1285">
        <f>N('R7業務（長）'!I18)-N(I170)</f>
        <v>0</v>
      </c>
      <c r="AG170" s="1285">
        <f>N('R7業務（長）'!J18)-N(J170)</f>
        <v>0</v>
      </c>
      <c r="AH170" s="1285">
        <f>N('R7業務（長）'!K18)-N(K170)</f>
        <v>0</v>
      </c>
      <c r="AI170" s="1285">
        <f>N('R7業務（長）'!L18)-N(L170)</f>
        <v>0</v>
      </c>
      <c r="AJ170" s="1285">
        <f>N('R7業務（長）'!M18)-N(M170)</f>
        <v>0</v>
      </c>
      <c r="AK170" s="1285">
        <f>N('R7業務（長）'!N18)-N(N170)</f>
        <v>0</v>
      </c>
      <c r="AL170" s="1285">
        <f>N('R7業務（長）'!O18)-N(O170)</f>
        <v>0</v>
      </c>
      <c r="AM170" s="1285">
        <f>N('R7業務（長）'!P18)-N(P170)</f>
        <v>0</v>
      </c>
      <c r="AN170" s="1285">
        <f>N('R7業務（長）'!Q18)-N(Q170)</f>
        <v>0</v>
      </c>
      <c r="AO170" s="1285">
        <f>N('R7業務（長）'!R18)-N(R170)</f>
        <v>0</v>
      </c>
      <c r="AP170" s="1285">
        <f>N('R7業務（長）'!S18)-N(S170)</f>
        <v>0</v>
      </c>
      <c r="AQ170" s="1285">
        <f>N('R7業務（長）'!T18)-N(T170)</f>
        <v>0</v>
      </c>
      <c r="AR170" s="1285">
        <f>N('R7業務（長）'!U18)-N(U170)</f>
        <v>0</v>
      </c>
    </row>
    <row r="171">
      <c r="C171" s="1284" t="n">
        <v>0</v>
      </c>
      <c r="D171" s="1284" t="n">
        <v>0</v>
      </c>
      <c r="E171" s="1284" t="n">
        <v>0</v>
      </c>
      <c r="F171" s="1284" t="n">
        <v>0</v>
      </c>
      <c r="G171" s="1284" t="n">
        <v>0</v>
      </c>
      <c r="H171" s="1284" t="n">
        <v>0</v>
      </c>
      <c r="I171" s="1284" t="n">
        <v>0</v>
      </c>
      <c r="J171" s="1284" t="n">
        <v>0</v>
      </c>
      <c r="K171" s="1284" t="n">
        <v>0</v>
      </c>
      <c r="L171" s="1284" t="n">
        <v>0</v>
      </c>
      <c r="M171" s="1284" t="n">
        <v>0</v>
      </c>
      <c r="N171" s="1284" t="n">
        <v>0</v>
      </c>
      <c r="O171" s="1284" t="n">
        <v>0</v>
      </c>
      <c r="P171" s="1284" t="n">
        <v>0</v>
      </c>
      <c r="Q171" s="1284" t="n">
        <v>0</v>
      </c>
      <c r="S171" s="1284" t="n">
        <v>0</v>
      </c>
      <c r="T171" s="1284" t="n">
        <v>0</v>
      </c>
      <c r="Z171" s="1285">
        <f>N('R7業務（長）'!C19)-N(C171)</f>
        <v>0</v>
      </c>
      <c r="AA171" s="1285">
        <f>N('R7業務（長）'!D19)-N(D171)</f>
        <v>0</v>
      </c>
      <c r="AB171" s="1285">
        <f>N('R7業務（長）'!E19)-N(E171)</f>
        <v>0</v>
      </c>
      <c r="AC171" s="1285">
        <f>N('R7業務（長）'!F19)-N(F171)</f>
        <v>0</v>
      </c>
      <c r="AD171" s="1285">
        <f>N('R7業務（長）'!G19)-N(G171)</f>
        <v>0</v>
      </c>
      <c r="AE171" s="1285">
        <f>N('R7業務（長）'!H19)-N(H171)</f>
        <v>0</v>
      </c>
      <c r="AF171" s="1285">
        <f>N('R7業務（長）'!I19)-N(I171)</f>
        <v>0</v>
      </c>
      <c r="AG171" s="1285">
        <f>N('R7業務（長）'!J19)-N(J171)</f>
        <v>0</v>
      </c>
      <c r="AH171" s="1285">
        <f>N('R7業務（長）'!K19)-N(K171)</f>
        <v>0</v>
      </c>
      <c r="AI171" s="1285">
        <f>N('R7業務（長）'!L19)-N(L171)</f>
        <v>0</v>
      </c>
      <c r="AJ171" s="1285">
        <f>N('R7業務（長）'!M19)-N(M171)</f>
        <v>0</v>
      </c>
      <c r="AK171" s="1285">
        <f>N('R7業務（長）'!N19)-N(N171)</f>
        <v>0</v>
      </c>
      <c r="AL171" s="1285">
        <f>N('R7業務（長）'!O19)-N(O171)</f>
        <v>0</v>
      </c>
      <c r="AM171" s="1285">
        <f>N('R7業務（長）'!P19)-N(P171)</f>
        <v>0</v>
      </c>
      <c r="AN171" s="1285">
        <f>N('R7業務（長）'!Q19)-N(Q171)</f>
        <v>0</v>
      </c>
      <c r="AO171" s="1285">
        <f>N('R7業務（長）'!R19)-N(R171)</f>
        <v>0</v>
      </c>
      <c r="AP171" s="1285">
        <f>N('R7業務（長）'!S19)-N(S171)</f>
        <v>0</v>
      </c>
      <c r="AQ171" s="1285">
        <f>N('R7業務（長）'!T19)-N(T171)</f>
        <v>0</v>
      </c>
      <c r="AR171" s="1285">
        <f>N('R7業務（長）'!U19)-N(U171)</f>
        <v>0</v>
      </c>
    </row>
    <row r="172">
      <c r="C172" s="1284" t="n">
        <v>0</v>
      </c>
      <c r="D172" s="1284" t="n">
        <v>0</v>
      </c>
      <c r="E172" s="1284" t="n">
        <v>0</v>
      </c>
      <c r="F172" s="1284" t="n">
        <v>176854</v>
      </c>
      <c r="G172" s="1284" t="n">
        <v>1155425</v>
      </c>
      <c r="H172" s="1284" t="n">
        <v>340931</v>
      </c>
      <c r="I172" s="1284" t="n">
        <v>119283</v>
      </c>
      <c r="J172" s="1284" t="n">
        <v>93256</v>
      </c>
      <c r="K172" s="1284" t="n">
        <v>115828</v>
      </c>
      <c r="L172" s="1284" t="n">
        <v>85123</v>
      </c>
      <c r="M172" s="1284" t="n">
        <v>126533</v>
      </c>
      <c r="N172" s="1284" t="n">
        <v>78590</v>
      </c>
      <c r="O172" s="1284" t="n">
        <v>164657</v>
      </c>
      <c r="P172" s="1284" t="n">
        <v>2456480</v>
      </c>
      <c r="Q172" s="1284" t="n">
        <v>2575000</v>
      </c>
      <c r="S172" s="1284" t="n">
        <v>2575000</v>
      </c>
      <c r="T172" s="1284" t="n">
        <v>118520</v>
      </c>
      <c r="Z172" s="1285">
        <f>N('R7業務（長）'!C20)-N(C172)</f>
        <v>0</v>
      </c>
      <c r="AA172" s="1285">
        <f>N('R7業務（長）'!D20)-N(D172)</f>
        <v>0</v>
      </c>
      <c r="AB172" s="1285">
        <f>N('R7業務（長）'!E20)-N(E172)</f>
        <v>0</v>
      </c>
      <c r="AC172" s="1285">
        <f>N('R7業務（長）'!F20)-N(F172)</f>
        <v>0</v>
      </c>
      <c r="AD172" s="1285">
        <f>N('R7業務（長）'!G20)-N(G172)</f>
        <v>0</v>
      </c>
      <c r="AE172" s="1285">
        <f>N('R7業務（長）'!H20)-N(H172)</f>
        <v>0</v>
      </c>
      <c r="AF172" s="1285">
        <f>N('R7業務（長）'!I20)-N(I172)</f>
        <v>0</v>
      </c>
      <c r="AG172" s="1285">
        <f>N('R7業務（長）'!J20)-N(J172)</f>
        <v>0</v>
      </c>
      <c r="AH172" s="1285">
        <f>N('R7業務（長）'!K20)-N(K172)</f>
        <v>0</v>
      </c>
      <c r="AI172" s="1285">
        <f>N('R7業務（長）'!L20)-N(L172)</f>
        <v>0</v>
      </c>
      <c r="AJ172" s="1285">
        <f>N('R7業務（長）'!M20)-N(M172)</f>
        <v>0</v>
      </c>
      <c r="AK172" s="1285">
        <f>N('R7業務（長）'!N20)-N(N172)</f>
        <v>0</v>
      </c>
      <c r="AL172" s="1285">
        <f>N('R7業務（長）'!O20)-N(O172)</f>
        <v>0</v>
      </c>
      <c r="AM172" s="1285">
        <f>N('R7業務（長）'!P20)-N(P172)</f>
        <v>0</v>
      </c>
      <c r="AN172" s="1285">
        <f>N('R7業務（長）'!Q20)-N(Q172)</f>
        <v>0</v>
      </c>
      <c r="AO172" s="1285">
        <f>N('R7業務（長）'!R20)-N(R172)</f>
        <v>0</v>
      </c>
      <c r="AP172" s="1285">
        <f>N('R7業務（長）'!S20)-N(S172)</f>
        <v>0</v>
      </c>
      <c r="AQ172" s="1285">
        <f>N('R7業務（長）'!T20)-N(T172)</f>
        <v>0</v>
      </c>
      <c r="AR172" s="1285">
        <f>N('R7業務（長）'!U20)-N(U172)</f>
        <v>0</v>
      </c>
    </row>
    <row r="173">
      <c r="C173" s="1284" t="n">
        <v>0</v>
      </c>
      <c r="D173" s="1284" t="n">
        <v>0</v>
      </c>
      <c r="E173" s="1284" t="n">
        <v>0</v>
      </c>
      <c r="F173" s="1284" t="n">
        <v>0</v>
      </c>
      <c r="G173" s="1284" t="n">
        <v>0</v>
      </c>
      <c r="H173" s="1284" t="n">
        <v>0</v>
      </c>
      <c r="I173" s="1284" t="n">
        <v>0</v>
      </c>
      <c r="J173" s="1284" t="n">
        <v>0</v>
      </c>
      <c r="K173" s="1284" t="n">
        <v>50385</v>
      </c>
      <c r="L173" s="1284" t="n">
        <v>0</v>
      </c>
      <c r="M173" s="1284" t="n">
        <v>0</v>
      </c>
      <c r="N173" s="1284" t="n">
        <v>0</v>
      </c>
      <c r="O173" s="1284" t="n">
        <v>58984</v>
      </c>
      <c r="P173" s="1284" t="n">
        <v>109369</v>
      </c>
      <c r="Q173" s="1284" t="n">
        <v>102000</v>
      </c>
      <c r="S173" s="1284" t="n">
        <v>102000</v>
      </c>
      <c r="T173" s="1284" t="n">
        <v>-7369</v>
      </c>
      <c r="Z173" s="1285">
        <f>N('R7業務（長）'!C21)-N(C173)</f>
        <v>0</v>
      </c>
      <c r="AA173" s="1285">
        <f>N('R7業務（長）'!D21)-N(D173)</f>
        <v>0</v>
      </c>
      <c r="AB173" s="1285">
        <f>N('R7業務（長）'!E21)-N(E173)</f>
        <v>0</v>
      </c>
      <c r="AC173" s="1285">
        <f>N('R7業務（長）'!F21)-N(F173)</f>
        <v>0</v>
      </c>
      <c r="AD173" s="1285">
        <f>N('R7業務（長）'!G21)-N(G173)</f>
        <v>0</v>
      </c>
      <c r="AE173" s="1285">
        <f>N('R7業務（長）'!H21)-N(H173)</f>
        <v>0</v>
      </c>
      <c r="AF173" s="1285">
        <f>N('R7業務（長）'!I21)-N(I173)</f>
        <v>0</v>
      </c>
      <c r="AG173" s="1285">
        <f>N('R7業務（長）'!J21)-N(J173)</f>
        <v>0</v>
      </c>
      <c r="AH173" s="1285">
        <f>N('R7業務（長）'!K21)-N(K173)</f>
        <v>0</v>
      </c>
      <c r="AI173" s="1285">
        <f>N('R7業務（長）'!L21)-N(L173)</f>
        <v>0</v>
      </c>
      <c r="AJ173" s="1285">
        <f>N('R7業務（長）'!M21)-N(M173)</f>
        <v>0</v>
      </c>
      <c r="AK173" s="1285">
        <f>N('R7業務（長）'!N21)-N(N173)</f>
        <v>0</v>
      </c>
      <c r="AL173" s="1285">
        <f>N('R7業務（長）'!O21)-N(O173)</f>
        <v>0</v>
      </c>
      <c r="AM173" s="1285">
        <f>N('R7業務（長）'!P21)-N(P173)</f>
        <v>0</v>
      </c>
      <c r="AN173" s="1285">
        <f>N('R7業務（長）'!Q21)-N(Q173)</f>
        <v>0</v>
      </c>
      <c r="AO173" s="1285">
        <f>N('R7業務（長）'!R21)-N(R173)</f>
        <v>0</v>
      </c>
      <c r="AP173" s="1285">
        <f>N('R7業務（長）'!S21)-N(S173)</f>
        <v>0</v>
      </c>
      <c r="AQ173" s="1285">
        <f>N('R7業務（長）'!T21)-N(T173)</f>
        <v>0</v>
      </c>
      <c r="AR173" s="1285">
        <f>N('R7業務（長）'!U21)-N(U173)</f>
        <v>0</v>
      </c>
    </row>
    <row r="174">
      <c r="C174" s="1284" t="n">
        <v>0</v>
      </c>
      <c r="D174" s="1284" t="n">
        <v>0</v>
      </c>
      <c r="E174" s="1284" t="n">
        <v>0</v>
      </c>
      <c r="F174" s="1284" t="n">
        <v>0</v>
      </c>
      <c r="G174" s="1284" t="n">
        <v>0</v>
      </c>
      <c r="H174" s="1284" t="n">
        <v>0</v>
      </c>
      <c r="I174" s="1284" t="n">
        <v>0</v>
      </c>
      <c r="J174" s="1284" t="n">
        <v>0</v>
      </c>
      <c r="K174" s="1284" t="n">
        <v>0</v>
      </c>
      <c r="L174" s="1284" t="n">
        <v>0</v>
      </c>
      <c r="M174" s="1284" t="n">
        <v>0</v>
      </c>
      <c r="N174" s="1284" t="n">
        <v>0</v>
      </c>
      <c r="P174" s="1284" t="n">
        <v>0</v>
      </c>
      <c r="S174" s="1284" t="n">
        <v>0</v>
      </c>
      <c r="T174" s="1284" t="n">
        <v>0</v>
      </c>
      <c r="Z174" s="1285">
        <f>N('R7業務（長）'!C22)-N(C174)</f>
        <v>0</v>
      </c>
      <c r="AA174" s="1285">
        <f>N('R7業務（長）'!D22)-N(D174)</f>
        <v>0</v>
      </c>
      <c r="AB174" s="1285">
        <f>N('R7業務（長）'!E22)-N(E174)</f>
        <v>0</v>
      </c>
      <c r="AC174" s="1285">
        <f>N('R7業務（長）'!F22)-N(F174)</f>
        <v>0</v>
      </c>
      <c r="AD174" s="1285">
        <f>N('R7業務（長）'!G22)-N(G174)</f>
        <v>0</v>
      </c>
      <c r="AE174" s="1285">
        <f>N('R7業務（長）'!H22)-N(H174)</f>
        <v>0</v>
      </c>
      <c r="AF174" s="1285">
        <f>N('R7業務（長）'!I22)-N(I174)</f>
        <v>0</v>
      </c>
      <c r="AG174" s="1285">
        <f>N('R7業務（長）'!J22)-N(J174)</f>
        <v>0</v>
      </c>
      <c r="AH174" s="1285">
        <f>N('R7業務（長）'!K22)-N(K174)</f>
        <v>0</v>
      </c>
      <c r="AI174" s="1285">
        <f>N('R7業務（長）'!L22)-N(L174)</f>
        <v>0</v>
      </c>
      <c r="AJ174" s="1285">
        <f>N('R7業務（長）'!M22)-N(M174)</f>
        <v>0</v>
      </c>
      <c r="AK174" s="1285">
        <f>N('R7業務（長）'!N22)-N(N174)</f>
        <v>0</v>
      </c>
      <c r="AL174" s="1285">
        <f>N('R7業務（長）'!O22)-N(O174)</f>
        <v>0</v>
      </c>
      <c r="AM174" s="1285">
        <f>N('R7業務（長）'!P22)-N(P174)</f>
        <v>0</v>
      </c>
      <c r="AN174" s="1285">
        <f>N('R7業務（長）'!Q22)-N(Q174)</f>
        <v>0</v>
      </c>
      <c r="AO174" s="1285">
        <f>N('R7業務（長）'!R22)-N(R174)</f>
        <v>0</v>
      </c>
      <c r="AP174" s="1285">
        <f>N('R7業務（長）'!S22)-N(S174)</f>
        <v>0</v>
      </c>
      <c r="AQ174" s="1285">
        <f>N('R7業務（長）'!T22)-N(T174)</f>
        <v>0</v>
      </c>
      <c r="AR174" s="1285">
        <f>N('R7業務（長）'!U22)-N(U174)</f>
        <v>0</v>
      </c>
    </row>
    <row r="175">
      <c r="C175" s="1284" t="n">
        <v>0</v>
      </c>
      <c r="D175" s="1284" t="n">
        <v>69613</v>
      </c>
      <c r="E175" s="1284" t="n">
        <v>69613</v>
      </c>
      <c r="F175" s="1284" t="n">
        <v>69613</v>
      </c>
      <c r="G175" s="1284" t="n">
        <v>69613</v>
      </c>
      <c r="H175" s="1284" t="n">
        <v>69613</v>
      </c>
      <c r="I175" s="1284" t="n">
        <v>69613</v>
      </c>
      <c r="J175" s="1284" t="n">
        <v>116495</v>
      </c>
      <c r="K175" s="1284" t="n">
        <v>69613</v>
      </c>
      <c r="L175" s="1284" t="n">
        <v>69613</v>
      </c>
      <c r="M175" s="1284" t="n">
        <v>69613</v>
      </c>
      <c r="N175" s="1284" t="n">
        <v>69613</v>
      </c>
      <c r="O175" s="1284" t="n">
        <v>88088</v>
      </c>
      <c r="P175" s="1284" t="n">
        <v>900713</v>
      </c>
      <c r="Q175" s="1284" t="n">
        <v>1027000</v>
      </c>
      <c r="S175" s="1284" t="n">
        <v>1027000</v>
      </c>
      <c r="T175" s="1284" t="n">
        <v>126287</v>
      </c>
      <c r="Z175" s="1285">
        <f>N('R7業務（長）'!C23)-N(C175)</f>
        <v>0</v>
      </c>
      <c r="AA175" s="1285">
        <f>N('R7業務（長）'!D23)-N(D175)</f>
        <v>0</v>
      </c>
      <c r="AB175" s="1285">
        <f>N('R7業務（長）'!E23)-N(E175)</f>
        <v>0</v>
      </c>
      <c r="AC175" s="1285">
        <f>N('R7業務（長）'!F23)-N(F175)</f>
        <v>0</v>
      </c>
      <c r="AD175" s="1285">
        <f>N('R7業務（長）'!G23)-N(G175)</f>
        <v>0</v>
      </c>
      <c r="AE175" s="1285">
        <f>N('R7業務（長）'!H23)-N(H175)</f>
        <v>0</v>
      </c>
      <c r="AF175" s="1285">
        <f>N('R7業務（長）'!I23)-N(I175)</f>
        <v>0</v>
      </c>
      <c r="AG175" s="1285">
        <f>N('R7業務（長）'!J23)-N(J175)</f>
        <v>0</v>
      </c>
      <c r="AH175" s="1285">
        <f>N('R7業務（長）'!K23)-N(K175)</f>
        <v>0</v>
      </c>
      <c r="AI175" s="1285">
        <f>N('R7業務（長）'!L23)-N(L175)</f>
        <v>0</v>
      </c>
      <c r="AJ175" s="1285">
        <f>N('R7業務（長）'!M23)-N(M175)</f>
        <v>0</v>
      </c>
      <c r="AK175" s="1285">
        <f>N('R7業務（長）'!N23)-N(N175)</f>
        <v>0</v>
      </c>
      <c r="AL175" s="1285">
        <f>N('R7業務（長）'!O23)-N(O175)</f>
        <v>0</v>
      </c>
      <c r="AM175" s="1285">
        <f>N('R7業務（長）'!P23)-N(P175)</f>
        <v>0</v>
      </c>
      <c r="AN175" s="1285">
        <f>N('R7業務（長）'!Q23)-N(Q175)</f>
        <v>0</v>
      </c>
      <c r="AO175" s="1285">
        <f>N('R7業務（長）'!R23)-N(R175)</f>
        <v>0</v>
      </c>
      <c r="AP175" s="1285">
        <f>N('R7業務（長）'!S23)-N(S175)</f>
        <v>0</v>
      </c>
      <c r="AQ175" s="1285">
        <f>N('R7業務（長）'!T23)-N(T175)</f>
        <v>0</v>
      </c>
      <c r="AR175" s="1285">
        <f>N('R7業務（長）'!U23)-N(U175)</f>
        <v>0</v>
      </c>
    </row>
    <row r="176">
      <c r="C176" s="1284" t="n">
        <v>0</v>
      </c>
      <c r="D176" s="1284" t="n">
        <v>0</v>
      </c>
      <c r="E176" s="1284" t="n">
        <v>0</v>
      </c>
      <c r="F176" s="1284" t="n">
        <v>0</v>
      </c>
      <c r="G176" s="1284" t="n">
        <v>0</v>
      </c>
      <c r="H176" s="1284" t="n">
        <v>0</v>
      </c>
      <c r="I176" s="1284" t="n">
        <v>0</v>
      </c>
      <c r="J176" s="1284" t="n">
        <v>151989</v>
      </c>
      <c r="K176" s="1284" t="n">
        <v>0</v>
      </c>
      <c r="L176" s="1284" t="n">
        <v>227354</v>
      </c>
      <c r="M176" s="1284" t="n">
        <v>0</v>
      </c>
      <c r="N176" s="1284" t="n">
        <v>0</v>
      </c>
      <c r="O176" s="1284" t="n">
        <v>250322</v>
      </c>
      <c r="P176" s="1284" t="n">
        <v>629665</v>
      </c>
      <c r="Q176" s="1284" t="n">
        <v>993000</v>
      </c>
      <c r="S176" s="1284" t="n">
        <v>993000</v>
      </c>
      <c r="T176" s="1284" t="n">
        <v>363335</v>
      </c>
      <c r="Z176" s="1285">
        <f>N('R7業務（長）'!C24)-N(C176)</f>
        <v>0</v>
      </c>
      <c r="AA176" s="1285">
        <f>N('R7業務（長）'!D24)-N(D176)</f>
        <v>0</v>
      </c>
      <c r="AB176" s="1285">
        <f>N('R7業務（長）'!E24)-N(E176)</f>
        <v>0</v>
      </c>
      <c r="AC176" s="1285">
        <f>N('R7業務（長）'!F24)-N(F176)</f>
        <v>0</v>
      </c>
      <c r="AD176" s="1285">
        <f>N('R7業務（長）'!G24)-N(G176)</f>
        <v>0</v>
      </c>
      <c r="AE176" s="1285">
        <f>N('R7業務（長）'!H24)-N(H176)</f>
        <v>0</v>
      </c>
      <c r="AF176" s="1285">
        <f>N('R7業務（長）'!I24)-N(I176)</f>
        <v>0</v>
      </c>
      <c r="AG176" s="1285">
        <f>N('R7業務（長）'!J24)-N(J176)</f>
        <v>0</v>
      </c>
      <c r="AH176" s="1285">
        <f>N('R7業務（長）'!K24)-N(K176)</f>
        <v>0</v>
      </c>
      <c r="AI176" s="1285">
        <f>N('R7業務（長）'!L24)-N(L176)</f>
        <v>0</v>
      </c>
      <c r="AJ176" s="1285">
        <f>N('R7業務（長）'!M24)-N(M176)</f>
        <v>0</v>
      </c>
      <c r="AK176" s="1285">
        <f>N('R7業務（長）'!N24)-N(N176)</f>
        <v>0</v>
      </c>
      <c r="AL176" s="1285">
        <f>N('R7業務（長）'!O24)-N(O176)</f>
        <v>0</v>
      </c>
      <c r="AM176" s="1285">
        <f>N('R7業務（長）'!P24)-N(P176)</f>
        <v>0</v>
      </c>
      <c r="AN176" s="1285">
        <f>N('R7業務（長）'!Q24)-N(Q176)</f>
        <v>0</v>
      </c>
      <c r="AO176" s="1285">
        <f>N('R7業務（長）'!R24)-N(R176)</f>
        <v>0</v>
      </c>
      <c r="AP176" s="1285">
        <f>N('R7業務（長）'!S24)-N(S176)</f>
        <v>0</v>
      </c>
      <c r="AQ176" s="1285">
        <f>N('R7業務（長）'!T24)-N(T176)</f>
        <v>0</v>
      </c>
      <c r="AR176" s="1285">
        <f>N('R7業務（長）'!U24)-N(U176)</f>
        <v>0</v>
      </c>
    </row>
    <row r="177">
      <c r="C177" s="1284" t="n">
        <v>0</v>
      </c>
      <c r="D177" s="1284" t="n">
        <v>0</v>
      </c>
      <c r="E177" s="1284" t="n">
        <v>0</v>
      </c>
      <c r="F177" s="1284" t="n">
        <v>0</v>
      </c>
      <c r="G177" s="1284" t="n">
        <v>0</v>
      </c>
      <c r="H177" s="1284" t="n">
        <v>0</v>
      </c>
      <c r="I177" s="1284" t="n">
        <v>0</v>
      </c>
      <c r="J177" s="1284" t="n">
        <v>0</v>
      </c>
      <c r="K177" s="1284" t="n">
        <v>0</v>
      </c>
      <c r="L177" s="1284" t="n">
        <v>0</v>
      </c>
      <c r="M177" s="1284" t="n">
        <v>0</v>
      </c>
      <c r="N177" s="1284" t="n">
        <v>0</v>
      </c>
      <c r="O177" s="1284" t="n">
        <v>0</v>
      </c>
      <c r="P177" s="1284" t="n">
        <v>0</v>
      </c>
      <c r="Q177" s="1284" t="n">
        <v>0</v>
      </c>
      <c r="S177" s="1284" t="n">
        <v>0</v>
      </c>
      <c r="T177" s="1284" t="n">
        <v>0</v>
      </c>
      <c r="Z177" s="1285">
        <f>N('R7業務（長）'!C25)-N(C177)</f>
        <v>0</v>
      </c>
      <c r="AA177" s="1285">
        <f>N('R7業務（長）'!D25)-N(D177)</f>
        <v>0</v>
      </c>
      <c r="AB177" s="1285">
        <f>N('R7業務（長）'!E25)-N(E177)</f>
        <v>0</v>
      </c>
      <c r="AC177" s="1285">
        <f>N('R7業務（長）'!F25)-N(F177)</f>
        <v>0</v>
      </c>
      <c r="AD177" s="1285">
        <f>N('R7業務（長）'!G25)-N(G177)</f>
        <v>0</v>
      </c>
      <c r="AE177" s="1285">
        <f>N('R7業務（長）'!H25)-N(H177)</f>
        <v>0</v>
      </c>
      <c r="AF177" s="1285">
        <f>N('R7業務（長）'!I25)-N(I177)</f>
        <v>0</v>
      </c>
      <c r="AG177" s="1285">
        <f>N('R7業務（長）'!J25)-N(J177)</f>
        <v>0</v>
      </c>
      <c r="AH177" s="1285">
        <f>N('R7業務（長）'!K25)-N(K177)</f>
        <v>0</v>
      </c>
      <c r="AI177" s="1285">
        <f>N('R7業務（長）'!L25)-N(L177)</f>
        <v>0</v>
      </c>
      <c r="AJ177" s="1285">
        <f>N('R7業務（長）'!M25)-N(M177)</f>
        <v>0</v>
      </c>
      <c r="AK177" s="1285">
        <f>N('R7業務（長）'!N25)-N(N177)</f>
        <v>0</v>
      </c>
      <c r="AL177" s="1285">
        <f>N('R7業務（長）'!O25)-N(O177)</f>
        <v>0</v>
      </c>
      <c r="AM177" s="1285">
        <f>N('R7業務（長）'!P25)-N(P177)</f>
        <v>0</v>
      </c>
      <c r="AN177" s="1285">
        <f>N('R7業務（長）'!Q25)-N(Q177)</f>
        <v>0</v>
      </c>
      <c r="AO177" s="1285">
        <f>N('R7業務（長）'!R25)-N(R177)</f>
        <v>0</v>
      </c>
      <c r="AP177" s="1285">
        <f>N('R7業務（長）'!S25)-N(S177)</f>
        <v>0</v>
      </c>
      <c r="AQ177" s="1285">
        <f>N('R7業務（長）'!T25)-N(T177)</f>
        <v>0</v>
      </c>
      <c r="AR177" s="1285">
        <f>N('R7業務（長）'!U25)-N(U177)</f>
        <v>0</v>
      </c>
    </row>
    <row r="178">
      <c r="C178" s="1284" t="n">
        <v>0</v>
      </c>
      <c r="D178" s="1284" t="n">
        <v>0</v>
      </c>
      <c r="E178" s="1284" t="n">
        <v>0</v>
      </c>
      <c r="F178" s="1284" t="n">
        <v>0</v>
      </c>
      <c r="G178" s="1284" t="n">
        <v>0</v>
      </c>
      <c r="H178" s="1284" t="n">
        <v>0</v>
      </c>
      <c r="I178" s="1284" t="n">
        <v>0</v>
      </c>
      <c r="J178" s="1284" t="n">
        <v>0</v>
      </c>
      <c r="K178" s="1284" t="n">
        <v>0</v>
      </c>
      <c r="L178" s="1284" t="n">
        <v>0</v>
      </c>
      <c r="M178" s="1284" t="n">
        <v>0</v>
      </c>
      <c r="N178" s="1284" t="n">
        <v>0</v>
      </c>
      <c r="O178" s="1284" t="n">
        <v>0</v>
      </c>
      <c r="P178" s="1284" t="n">
        <v>0</v>
      </c>
      <c r="Q178" s="1284" t="n">
        <v>0</v>
      </c>
      <c r="S178" s="1284" t="n">
        <v>0</v>
      </c>
      <c r="T178" s="1284" t="n">
        <v>0</v>
      </c>
      <c r="Z178" s="1285">
        <f>N('R7業務（長）'!C26)-N(C178)</f>
        <v>0</v>
      </c>
      <c r="AA178" s="1285">
        <f>N('R7業務（長）'!D26)-N(D178)</f>
        <v>0</v>
      </c>
      <c r="AB178" s="1285">
        <f>N('R7業務（長）'!E26)-N(E178)</f>
        <v>0</v>
      </c>
      <c r="AC178" s="1285">
        <f>N('R7業務（長）'!F26)-N(F178)</f>
        <v>0</v>
      </c>
      <c r="AD178" s="1285">
        <f>N('R7業務（長）'!G26)-N(G178)</f>
        <v>0</v>
      </c>
      <c r="AE178" s="1285">
        <f>N('R7業務（長）'!H26)-N(H178)</f>
        <v>0</v>
      </c>
      <c r="AF178" s="1285">
        <f>N('R7業務（長）'!I26)-N(I178)</f>
        <v>0</v>
      </c>
      <c r="AG178" s="1285">
        <f>N('R7業務（長）'!J26)-N(J178)</f>
        <v>0</v>
      </c>
      <c r="AH178" s="1285">
        <f>N('R7業務（長）'!K26)-N(K178)</f>
        <v>0</v>
      </c>
      <c r="AI178" s="1285">
        <f>N('R7業務（長）'!L26)-N(L178)</f>
        <v>0</v>
      </c>
      <c r="AJ178" s="1285">
        <f>N('R7業務（長）'!M26)-N(M178)</f>
        <v>0</v>
      </c>
      <c r="AK178" s="1285">
        <f>N('R7業務（長）'!N26)-N(N178)</f>
        <v>0</v>
      </c>
      <c r="AL178" s="1285">
        <f>N('R7業務（長）'!O26)-N(O178)</f>
        <v>0</v>
      </c>
      <c r="AM178" s="1285">
        <f>N('R7業務（長）'!P26)-N(P178)</f>
        <v>0</v>
      </c>
      <c r="AN178" s="1285">
        <f>N('R7業務（長）'!Q26)-N(Q178)</f>
        <v>0</v>
      </c>
      <c r="AO178" s="1285">
        <f>N('R7業務（長）'!R26)-N(R178)</f>
        <v>0</v>
      </c>
      <c r="AP178" s="1285">
        <f>N('R7業務（長）'!S26)-N(S178)</f>
        <v>0</v>
      </c>
      <c r="AQ178" s="1285">
        <f>N('R7業務（長）'!T26)-N(T178)</f>
        <v>0</v>
      </c>
      <c r="AR178" s="1285">
        <f>N('R7業務（長）'!U26)-N(U178)</f>
        <v>0</v>
      </c>
    </row>
    <row r="179">
      <c r="C179" s="1284" t="n">
        <v>466</v>
      </c>
      <c r="D179" s="1284" t="n">
        <v>466</v>
      </c>
      <c r="E179" s="1284" t="n">
        <v>466</v>
      </c>
      <c r="F179" s="1284" t="n">
        <v>466</v>
      </c>
      <c r="G179" s="1284" t="n">
        <v>466</v>
      </c>
      <c r="H179" s="1284" t="n">
        <v>466</v>
      </c>
      <c r="I179" s="1284" t="n">
        <v>535</v>
      </c>
      <c r="J179" s="1284" t="n">
        <v>535</v>
      </c>
      <c r="K179" s="1284" t="n">
        <v>535</v>
      </c>
      <c r="L179" s="1284" t="n">
        <v>725</v>
      </c>
      <c r="M179" s="1284" t="n">
        <v>554</v>
      </c>
      <c r="N179" s="1284" t="n">
        <v>554</v>
      </c>
      <c r="O179" s="1284" t="n">
        <v>0</v>
      </c>
      <c r="P179" s="1284" t="n">
        <v>6234</v>
      </c>
      <c r="Q179" s="1284" t="n">
        <v>1155000</v>
      </c>
      <c r="S179" s="1284" t="n">
        <v>1155000</v>
      </c>
      <c r="T179" s="1284" t="n">
        <v>125916</v>
      </c>
      <c r="Z179" s="1285">
        <f>N('R7業務（長）'!C27)-N(C179)</f>
        <v>0</v>
      </c>
      <c r="AA179" s="1285">
        <f>N('R7業務（長）'!D27)-N(D179)</f>
        <v>0</v>
      </c>
      <c r="AB179" s="1285">
        <f>N('R7業務（長）'!E27)-N(E179)</f>
        <v>0</v>
      </c>
      <c r="AC179" s="1285">
        <f>N('R7業務（長）'!F27)-N(F179)</f>
        <v>0</v>
      </c>
      <c r="AD179" s="1285">
        <f>N('R7業務（長）'!G27)-N(G179)</f>
        <v>0</v>
      </c>
      <c r="AE179" s="1285">
        <f>N('R7業務（長）'!H27)-N(H179)</f>
        <v>0</v>
      </c>
      <c r="AF179" s="1285">
        <f>N('R7業務（長）'!I27)-N(I179)</f>
        <v>0</v>
      </c>
      <c r="AG179" s="1285">
        <f>N('R7業務（長）'!J27)-N(J179)</f>
        <v>0</v>
      </c>
      <c r="AH179" s="1285">
        <f>N('R7業務（長）'!K27)-N(K179)</f>
        <v>0</v>
      </c>
      <c r="AI179" s="1285">
        <f>N('R7業務（長）'!L27)-N(L179)</f>
        <v>0</v>
      </c>
      <c r="AJ179" s="1285">
        <f>N('R7業務（長）'!M27)-N(M179)</f>
        <v>0</v>
      </c>
      <c r="AK179" s="1285">
        <f>N('R7業務（長）'!N27)-N(N179)</f>
        <v>0</v>
      </c>
      <c r="AL179" s="1285">
        <f>N('R7業務（長）'!O27)-N(O179)</f>
        <v>0</v>
      </c>
      <c r="AM179" s="1285">
        <f>N('R7業務（長）'!P27)-N(P179)</f>
        <v>0</v>
      </c>
      <c r="AN179" s="1285">
        <f>N('R7業務（長）'!Q27)-N(Q179)</f>
        <v>0</v>
      </c>
      <c r="AO179" s="1285">
        <f>N('R7業務（長）'!R27)-N(R179)</f>
        <v>0</v>
      </c>
      <c r="AP179" s="1285">
        <f>N('R7業務（長）'!S27)-N(S179)</f>
        <v>0</v>
      </c>
      <c r="AQ179" s="1285">
        <f>N('R7業務（長）'!T27)-N(T179)</f>
        <v>0</v>
      </c>
      <c r="AR179" s="1285">
        <f>N('R7業務（長）'!U27)-N(U179)</f>
        <v>0</v>
      </c>
    </row>
    <row r="180">
      <c r="P180" s="1284" t="n">
        <v>0</v>
      </c>
      <c r="Z180" s="1285">
        <f>N('R7業務（長）'!C28)-N(C180)</f>
        <v>0</v>
      </c>
      <c r="AA180" s="1285">
        <f>N('R7業務（長）'!D28)-N(D180)</f>
        <v>0</v>
      </c>
      <c r="AB180" s="1285">
        <f>N('R7業務（長）'!E28)-N(E180)</f>
        <v>0</v>
      </c>
      <c r="AC180" s="1285">
        <f>N('R7業務（長）'!F28)-N(F180)</f>
        <v>0</v>
      </c>
      <c r="AD180" s="1285">
        <f>N('R7業務（長）'!G28)-N(G180)</f>
        <v>0</v>
      </c>
      <c r="AE180" s="1285">
        <f>N('R7業務（長）'!H28)-N(H180)</f>
        <v>0</v>
      </c>
      <c r="AF180" s="1285">
        <f>N('R7業務（長）'!I28)-N(I180)</f>
        <v>0</v>
      </c>
      <c r="AG180" s="1285">
        <f>N('R7業務（長）'!J28)-N(J180)</f>
        <v>0</v>
      </c>
      <c r="AH180" s="1285">
        <f>N('R7業務（長）'!K28)-N(K180)</f>
        <v>0</v>
      </c>
      <c r="AI180" s="1285">
        <f>N('R7業務（長）'!L28)-N(L180)</f>
        <v>0</v>
      </c>
      <c r="AJ180" s="1285">
        <f>N('R7業務（長）'!M28)-N(M180)</f>
        <v>0</v>
      </c>
      <c r="AK180" s="1285">
        <f>N('R7業務（長）'!N28)-N(N180)</f>
        <v>0</v>
      </c>
      <c r="AL180" s="1285">
        <f>N('R7業務（長）'!O28)-N(O180)</f>
        <v>0</v>
      </c>
      <c r="AM180" s="1285">
        <f>N('R7業務（長）'!P28)-N(P180)</f>
        <v>0</v>
      </c>
      <c r="AN180" s="1285">
        <f>N('R7業務（長）'!Q28)-N(Q180)</f>
        <v>0</v>
      </c>
      <c r="AO180" s="1285">
        <f>N('R7業務（長）'!R28)-N(R180)</f>
        <v>0</v>
      </c>
      <c r="AP180" s="1285">
        <f>N('R7業務（長）'!S28)-N(S180)</f>
        <v>0</v>
      </c>
      <c r="AQ180" s="1285">
        <f>N('R7業務（長）'!T28)-N(T180)</f>
        <v>0</v>
      </c>
      <c r="AR180" s="1285">
        <f>N('R7業務（長）'!U28)-N(U180)</f>
        <v>0</v>
      </c>
    </row>
    <row r="181">
      <c r="C181" s="1284" t="n">
        <v>22035</v>
      </c>
      <c r="D181" s="1284" t="n">
        <v>22035</v>
      </c>
      <c r="E181" s="1284" t="n">
        <v>71165</v>
      </c>
      <c r="F181" s="1284" t="n">
        <v>22035</v>
      </c>
      <c r="G181" s="1284" t="n">
        <v>22035</v>
      </c>
      <c r="H181" s="1284" t="n">
        <v>20974</v>
      </c>
      <c r="I181" s="1284" t="n">
        <v>22835</v>
      </c>
      <c r="J181" s="1284" t="n">
        <v>22835</v>
      </c>
      <c r="K181" s="1284" t="n">
        <v>60083</v>
      </c>
      <c r="L181" s="1284" t="n">
        <v>25338</v>
      </c>
      <c r="M181" s="1284" t="n">
        <v>22835</v>
      </c>
      <c r="N181" s="1284" t="n">
        <v>26637</v>
      </c>
      <c r="P181" s="1284" t="n">
        <v>360842</v>
      </c>
      <c r="Z181" s="1285">
        <f>N('R7業務（長）'!C29)-N(C181)</f>
        <v>0</v>
      </c>
      <c r="AA181" s="1285">
        <f>N('R7業務（長）'!D29)-N(D181)</f>
        <v>0</v>
      </c>
      <c r="AB181" s="1285">
        <f>N('R7業務（長）'!E29)-N(E181)</f>
        <v>0</v>
      </c>
      <c r="AC181" s="1285">
        <f>N('R7業務（長）'!F29)-N(F181)</f>
        <v>0</v>
      </c>
      <c r="AD181" s="1285">
        <f>N('R7業務（長）'!G29)-N(G181)</f>
        <v>0</v>
      </c>
      <c r="AE181" s="1285">
        <f>N('R7業務（長）'!H29)-N(H181)</f>
        <v>0</v>
      </c>
      <c r="AF181" s="1285">
        <f>N('R7業務（長）'!I29)-N(I181)</f>
        <v>0</v>
      </c>
      <c r="AG181" s="1285">
        <f>N('R7業務（長）'!J29)-N(J181)</f>
        <v>0</v>
      </c>
      <c r="AH181" s="1285">
        <f>N('R7業務（長）'!K29)-N(K181)</f>
        <v>0</v>
      </c>
      <c r="AI181" s="1285">
        <f>N('R7業務（長）'!L29)-N(L181)</f>
        <v>0</v>
      </c>
      <c r="AJ181" s="1285">
        <f>N('R7業務（長）'!M29)-N(M181)</f>
        <v>0</v>
      </c>
      <c r="AK181" s="1285">
        <f>N('R7業務（長）'!N29)-N(N181)</f>
        <v>0</v>
      </c>
      <c r="AL181" s="1285">
        <f>N('R7業務（長）'!O29)-N(O181)</f>
        <v>0</v>
      </c>
      <c r="AM181" s="1285">
        <f>N('R7業務（長）'!P29)-N(P181)</f>
        <v>0</v>
      </c>
      <c r="AN181" s="1285">
        <f>N('R7業務（長）'!Q29)-N(Q181)</f>
        <v>0</v>
      </c>
      <c r="AO181" s="1285">
        <f>N('R7業務（長）'!R29)-N(R181)</f>
        <v>0</v>
      </c>
      <c r="AP181" s="1285">
        <f>N('R7業務（長）'!S29)-N(S181)</f>
        <v>0</v>
      </c>
      <c r="AQ181" s="1285">
        <f>N('R7業務（長）'!T29)-N(T181)</f>
        <v>0</v>
      </c>
      <c r="AR181" s="1285">
        <f>N('R7業務（長）'!U29)-N(U181)</f>
        <v>0</v>
      </c>
    </row>
    <row r="182">
      <c r="C182" s="1284" t="n">
        <v>0</v>
      </c>
      <c r="D182" s="1284" t="n">
        <v>0</v>
      </c>
      <c r="E182" s="1284" t="n">
        <v>74178</v>
      </c>
      <c r="F182" s="1284" t="n">
        <v>37089</v>
      </c>
      <c r="G182" s="1284" t="n">
        <v>119541</v>
      </c>
      <c r="H182" s="1284" t="n">
        <v>37089</v>
      </c>
      <c r="I182" s="1284" t="n">
        <v>37089</v>
      </c>
      <c r="J182" s="1284" t="n">
        <v>0</v>
      </c>
      <c r="K182" s="1284" t="n">
        <v>37089</v>
      </c>
      <c r="L182" s="1284" t="n">
        <v>37089</v>
      </c>
      <c r="M182" s="1284" t="n">
        <v>96147</v>
      </c>
      <c r="N182" s="1284" t="n">
        <v>78076</v>
      </c>
      <c r="O182" s="1284" t="n">
        <v>37469</v>
      </c>
      <c r="P182" s="1284" t="n">
        <v>590856</v>
      </c>
      <c r="Z182" s="1285">
        <f>N('R7業務（長）'!C30)-N(C182)</f>
        <v>0</v>
      </c>
      <c r="AA182" s="1285">
        <f>N('R7業務（長）'!D30)-N(D182)</f>
        <v>0</v>
      </c>
      <c r="AB182" s="1285">
        <f>N('R7業務（長）'!E30)-N(E182)</f>
        <v>0</v>
      </c>
      <c r="AC182" s="1285">
        <f>N('R7業務（長）'!F30)-N(F182)</f>
        <v>0</v>
      </c>
      <c r="AD182" s="1285">
        <f>N('R7業務（長）'!G30)-N(G182)</f>
        <v>0</v>
      </c>
      <c r="AE182" s="1285">
        <f>N('R7業務（長）'!H30)-N(H182)</f>
        <v>0</v>
      </c>
      <c r="AF182" s="1285">
        <f>N('R7業務（長）'!I30)-N(I182)</f>
        <v>0</v>
      </c>
      <c r="AG182" s="1285">
        <f>N('R7業務（長）'!J30)-N(J182)</f>
        <v>0</v>
      </c>
      <c r="AH182" s="1285">
        <f>N('R7業務（長）'!K30)-N(K182)</f>
        <v>0</v>
      </c>
      <c r="AI182" s="1285">
        <f>N('R7業務（長）'!L30)-N(L182)</f>
        <v>0</v>
      </c>
      <c r="AJ182" s="1285">
        <f>N('R7業務（長）'!M30)-N(M182)</f>
        <v>0</v>
      </c>
      <c r="AK182" s="1285">
        <f>N('R7業務（長）'!N30)-N(N182)</f>
        <v>0</v>
      </c>
      <c r="AL182" s="1285">
        <f>N('R7業務（長）'!O30)-N(O182)</f>
        <v>0</v>
      </c>
      <c r="AM182" s="1285">
        <f>N('R7業務（長）'!P30)-N(P182)</f>
        <v>0</v>
      </c>
      <c r="AN182" s="1285">
        <f>N('R7業務（長）'!Q30)-N(Q182)</f>
        <v>0</v>
      </c>
      <c r="AO182" s="1285">
        <f>N('R7業務（長）'!R30)-N(R182)</f>
        <v>0</v>
      </c>
      <c r="AP182" s="1285">
        <f>N('R7業務（長）'!S30)-N(S182)</f>
        <v>0</v>
      </c>
      <c r="AQ182" s="1285">
        <f>N('R7業務（長）'!T30)-N(T182)</f>
        <v>0</v>
      </c>
      <c r="AR182" s="1285">
        <f>N('R7業務（長）'!U30)-N(U182)</f>
        <v>0</v>
      </c>
    </row>
    <row r="183">
      <c r="F183" s="1284" t="n">
        <v>71152</v>
      </c>
      <c r="P183" s="1284" t="n">
        <v>71152</v>
      </c>
      <c r="Z183" s="1285">
        <f>N('R7業務（長）'!C31)-N(C183)</f>
        <v>0</v>
      </c>
      <c r="AA183" s="1285">
        <f>N('R7業務（長）'!D31)-N(D183)</f>
        <v>0</v>
      </c>
      <c r="AB183" s="1285">
        <f>N('R7業務（長）'!E31)-N(E183)</f>
        <v>0</v>
      </c>
      <c r="AC183" s="1285">
        <f>N('R7業務（長）'!F31)-N(F183)</f>
        <v>0</v>
      </c>
      <c r="AD183" s="1285">
        <f>N('R7業務（長）'!G31)-N(G183)</f>
        <v>0</v>
      </c>
      <c r="AE183" s="1285">
        <f>N('R7業務（長）'!H31)-N(H183)</f>
        <v>0</v>
      </c>
      <c r="AF183" s="1285">
        <f>N('R7業務（長）'!I31)-N(I183)</f>
        <v>0</v>
      </c>
      <c r="AG183" s="1285">
        <f>N('R7業務（長）'!J31)-N(J183)</f>
        <v>0</v>
      </c>
      <c r="AH183" s="1285">
        <f>N('R7業務（長）'!K31)-N(K183)</f>
        <v>0</v>
      </c>
      <c r="AI183" s="1285">
        <f>N('R7業務（長）'!L31)-N(L183)</f>
        <v>0</v>
      </c>
      <c r="AJ183" s="1285">
        <f>N('R7業務（長）'!M31)-N(M183)</f>
        <v>0</v>
      </c>
      <c r="AK183" s="1285">
        <f>N('R7業務（長）'!N31)-N(N183)</f>
        <v>0</v>
      </c>
      <c r="AL183" s="1285">
        <f>N('R7業務（長）'!O31)-N(O183)</f>
        <v>0</v>
      </c>
      <c r="AM183" s="1285">
        <f>N('R7業務（長）'!P31)-N(P183)</f>
        <v>0</v>
      </c>
      <c r="AN183" s="1285">
        <f>N('R7業務（長）'!Q31)-N(Q183)</f>
        <v>0</v>
      </c>
      <c r="AO183" s="1285">
        <f>N('R7業務（長）'!R31)-N(R183)</f>
        <v>0</v>
      </c>
      <c r="AP183" s="1285">
        <f>N('R7業務（長）'!S31)-N(S183)</f>
        <v>0</v>
      </c>
      <c r="AQ183" s="1285">
        <f>N('R7業務（長）'!T31)-N(T183)</f>
        <v>0</v>
      </c>
      <c r="AR183" s="1285">
        <f>N('R7業務（長）'!U31)-N(U183)</f>
        <v>0</v>
      </c>
    </row>
    <row r="184">
      <c r="C184" s="1284" t="n">
        <v>0</v>
      </c>
      <c r="D184" s="1284" t="n">
        <v>520</v>
      </c>
      <c r="P184" s="1284" t="n">
        <v>520</v>
      </c>
      <c r="Q184" s="1284" t="n">
        <v>1000</v>
      </c>
      <c r="S184" s="1284" t="n">
        <v>1000</v>
      </c>
      <c r="T184" s="1284" t="n">
        <v>480</v>
      </c>
      <c r="Z184" s="1285">
        <f>N('R7業務（長）'!C32)-N(C184)</f>
        <v>0</v>
      </c>
      <c r="AA184" s="1285">
        <f>N('R7業務（長）'!D32)-N(D184)</f>
        <v>0</v>
      </c>
      <c r="AB184" s="1285">
        <f>N('R7業務（長）'!E32)-N(E184)</f>
        <v>0</v>
      </c>
      <c r="AC184" s="1285">
        <f>N('R7業務（長）'!F32)-N(F184)</f>
        <v>0</v>
      </c>
      <c r="AD184" s="1285">
        <f>N('R7業務（長）'!G32)-N(G184)</f>
        <v>0</v>
      </c>
      <c r="AE184" s="1285">
        <f>N('R7業務（長）'!H32)-N(H184)</f>
        <v>0</v>
      </c>
      <c r="AF184" s="1285">
        <f>N('R7業務（長）'!I32)-N(I184)</f>
        <v>0</v>
      </c>
      <c r="AG184" s="1285">
        <f>N('R7業務（長）'!J32)-N(J184)</f>
        <v>0</v>
      </c>
      <c r="AH184" s="1285">
        <f>N('R7業務（長）'!K32)-N(K184)</f>
        <v>0</v>
      </c>
      <c r="AI184" s="1285">
        <f>N('R7業務（長）'!L32)-N(L184)</f>
        <v>0</v>
      </c>
      <c r="AJ184" s="1285">
        <f>N('R7業務（長）'!M32)-N(M184)</f>
        <v>0</v>
      </c>
      <c r="AK184" s="1285">
        <f>N('R7業務（長）'!N32)-N(N184)</f>
        <v>0</v>
      </c>
      <c r="AL184" s="1285">
        <f>N('R7業務（長）'!O32)-N(O184)</f>
        <v>0</v>
      </c>
      <c r="AM184" s="1285">
        <f>N('R7業務（長）'!P32)-N(P184)</f>
        <v>0</v>
      </c>
      <c r="AN184" s="1285">
        <f>N('R7業務（長）'!Q32)-N(Q184)</f>
        <v>0</v>
      </c>
      <c r="AO184" s="1285">
        <f>N('R7業務（長）'!R32)-N(R184)</f>
        <v>0</v>
      </c>
      <c r="AP184" s="1285">
        <f>N('R7業務（長）'!S32)-N(S184)</f>
        <v>0</v>
      </c>
      <c r="AQ184" s="1285">
        <f>N('R7業務（長）'!T32)-N(T184)</f>
        <v>0</v>
      </c>
      <c r="AR184" s="1285">
        <f>N('R7業務（長）'!U32)-N(U184)</f>
        <v>0</v>
      </c>
    </row>
    <row r="185">
      <c r="C185" s="1284" t="n">
        <v>22501</v>
      </c>
      <c r="D185" s="1284" t="n">
        <v>23021</v>
      </c>
      <c r="E185" s="1284" t="n">
        <v>145809</v>
      </c>
      <c r="F185" s="1284" t="n">
        <v>130742</v>
      </c>
      <c r="G185" s="1284" t="n">
        <v>142042</v>
      </c>
      <c r="H185" s="1284" t="n">
        <v>58529</v>
      </c>
      <c r="I185" s="1284" t="n">
        <v>60459</v>
      </c>
      <c r="J185" s="1284" t="n">
        <v>23370</v>
      </c>
      <c r="K185" s="1284" t="n">
        <v>97707</v>
      </c>
      <c r="L185" s="1284" t="n">
        <v>63152</v>
      </c>
      <c r="M185" s="1284" t="n">
        <v>119536</v>
      </c>
      <c r="N185" s="1284" t="n">
        <v>105267</v>
      </c>
      <c r="O185" s="1284" t="n">
        <v>37469</v>
      </c>
      <c r="P185" s="1284" t="n">
        <v>1029604</v>
      </c>
      <c r="Q185" s="1284" t="n">
        <v>1156000</v>
      </c>
      <c r="S185" s="1284" t="n">
        <v>1156000</v>
      </c>
      <c r="T185" s="1284" t="n">
        <v>126396</v>
      </c>
      <c r="Z185" s="1285">
        <f>N('R7業務（長）'!C33)-N(C185)</f>
        <v>0</v>
      </c>
      <c r="AA185" s="1285">
        <f>N('R7業務（長）'!D33)-N(D185)</f>
        <v>0</v>
      </c>
      <c r="AB185" s="1285">
        <f>N('R7業務（長）'!E33)-N(E185)</f>
        <v>0</v>
      </c>
      <c r="AC185" s="1285">
        <f>N('R7業務（長）'!F33)-N(F185)</f>
        <v>0</v>
      </c>
      <c r="AD185" s="1285">
        <f>N('R7業務（長）'!G33)-N(G185)</f>
        <v>0</v>
      </c>
      <c r="AE185" s="1285">
        <f>N('R7業務（長）'!H33)-N(H185)</f>
        <v>0</v>
      </c>
      <c r="AF185" s="1285">
        <f>N('R7業務（長）'!I33)-N(I185)</f>
        <v>0</v>
      </c>
      <c r="AG185" s="1285">
        <f>N('R7業務（長）'!J33)-N(J185)</f>
        <v>0</v>
      </c>
      <c r="AH185" s="1285">
        <f>N('R7業務（長）'!K33)-N(K185)</f>
        <v>0</v>
      </c>
      <c r="AI185" s="1285">
        <f>N('R7業務（長）'!L33)-N(L185)</f>
        <v>0</v>
      </c>
      <c r="AJ185" s="1285">
        <f>N('R7業務（長）'!M33)-N(M185)</f>
        <v>0</v>
      </c>
      <c r="AK185" s="1285">
        <f>N('R7業務（長）'!N33)-N(N185)</f>
        <v>0</v>
      </c>
      <c r="AL185" s="1285">
        <f>N('R7業務（長）'!O33)-N(O185)</f>
        <v>0</v>
      </c>
      <c r="AM185" s="1285">
        <f>N('R7業務（長）'!P33)-N(P185)</f>
        <v>0</v>
      </c>
      <c r="AN185" s="1285">
        <f>N('R7業務（長）'!Q33)-N(Q185)</f>
        <v>0</v>
      </c>
      <c r="AO185" s="1285">
        <f>N('R7業務（長）'!R33)-N(R185)</f>
        <v>0</v>
      </c>
      <c r="AP185" s="1285">
        <f>N('R7業務（長）'!S33)-N(S185)</f>
        <v>0</v>
      </c>
      <c r="AQ185" s="1285">
        <f>N('R7業務（長）'!T33)-N(T185)</f>
        <v>0</v>
      </c>
      <c r="AR185" s="1285">
        <f>N('R7業務（長）'!U33)-N(U185)</f>
        <v>0</v>
      </c>
    </row>
    <row r="186">
      <c r="P186" s="1284" t="n">
        <v>0</v>
      </c>
      <c r="Q186" s="1284" t="n">
        <v>0</v>
      </c>
      <c r="S186" s="1284" t="n">
        <v>0</v>
      </c>
      <c r="T186" s="1284" t="n">
        <v>0</v>
      </c>
      <c r="Z186" s="1285">
        <f>N('R7業務（長）'!C34)-N(C186)</f>
        <v>0</v>
      </c>
      <c r="AA186" s="1285">
        <f>N('R7業務（長）'!D34)-N(D186)</f>
        <v>0</v>
      </c>
      <c r="AB186" s="1285">
        <f>N('R7業務（長）'!E34)-N(E186)</f>
        <v>0</v>
      </c>
      <c r="AC186" s="1285">
        <f>N('R7業務（長）'!F34)-N(F186)</f>
        <v>0</v>
      </c>
      <c r="AD186" s="1285">
        <f>N('R7業務（長）'!G34)-N(G186)</f>
        <v>0</v>
      </c>
      <c r="AE186" s="1285">
        <f>N('R7業務（長）'!H34)-N(H186)</f>
        <v>0</v>
      </c>
      <c r="AF186" s="1285">
        <f>N('R7業務（長）'!I34)-N(I186)</f>
        <v>0</v>
      </c>
      <c r="AG186" s="1285">
        <f>N('R7業務（長）'!J34)-N(J186)</f>
        <v>0</v>
      </c>
      <c r="AH186" s="1285">
        <f>N('R7業務（長）'!K34)-N(K186)</f>
        <v>0</v>
      </c>
      <c r="AI186" s="1285">
        <f>N('R7業務（長）'!L34)-N(L186)</f>
        <v>0</v>
      </c>
      <c r="AJ186" s="1285">
        <f>N('R7業務（長）'!M34)-N(M186)</f>
        <v>0</v>
      </c>
      <c r="AK186" s="1285">
        <f>N('R7業務（長）'!N34)-N(N186)</f>
        <v>0</v>
      </c>
      <c r="AL186" s="1285">
        <f>N('R7業務（長）'!O34)-N(O186)</f>
        <v>0</v>
      </c>
      <c r="AM186" s="1285">
        <f>N('R7業務（長）'!P34)-N(P186)</f>
        <v>0</v>
      </c>
      <c r="AN186" s="1285">
        <f>N('R7業務（長）'!Q34)-N(Q186)</f>
        <v>0</v>
      </c>
      <c r="AO186" s="1285">
        <f>N('R7業務（長）'!R34)-N(R186)</f>
        <v>0</v>
      </c>
      <c r="AP186" s="1285">
        <f>N('R7業務（長）'!S34)-N(S186)</f>
        <v>0</v>
      </c>
      <c r="AQ186" s="1285">
        <f>N('R7業務（長）'!T34)-N(T186)</f>
        <v>0</v>
      </c>
      <c r="AR186" s="1285">
        <f>N('R7業務（長）'!U34)-N(U186)</f>
        <v>0</v>
      </c>
    </row>
    <row r="187">
      <c r="D187" s="1284" t="n">
        <v>5366000</v>
      </c>
      <c r="E187" s="1284" t="n">
        <v>5366000</v>
      </c>
      <c r="F187" s="1284" t="n">
        <v>5366000</v>
      </c>
      <c r="G187" s="1284" t="n">
        <v>5366000</v>
      </c>
      <c r="H187" s="1284" t="n">
        <v>5366000</v>
      </c>
      <c r="I187" s="1284" t="n">
        <v>4513000</v>
      </c>
      <c r="J187" s="1284" t="n">
        <v>4513000</v>
      </c>
      <c r="K187" s="1284" t="n">
        <v>4513000</v>
      </c>
      <c r="L187" s="1284" t="n">
        <v>4513000</v>
      </c>
      <c r="M187" s="1284" t="n">
        <v>4513000</v>
      </c>
      <c r="N187" s="1284" t="n">
        <v>9023000</v>
      </c>
      <c r="O187" s="1284" t="n">
        <v>0</v>
      </c>
      <c r="P187" s="1284" t="n">
        <v>58418000</v>
      </c>
      <c r="Q187" s="1284" t="n">
        <v>64386000</v>
      </c>
      <c r="S187" s="1284" t="n">
        <v>64386000</v>
      </c>
      <c r="T187" s="1284" t="n">
        <v>5968000</v>
      </c>
      <c r="Z187" s="1285">
        <f>N('R7業務（長）'!C35)-N(C187)</f>
        <v>0</v>
      </c>
      <c r="AA187" s="1285">
        <f>N('R7業務（長）'!D35)-N(D187)</f>
        <v>0</v>
      </c>
      <c r="AB187" s="1285">
        <f>N('R7業務（長）'!E35)-N(E187)</f>
        <v>0</v>
      </c>
      <c r="AC187" s="1285">
        <f>N('R7業務（長）'!F35)-N(F187)</f>
        <v>0</v>
      </c>
      <c r="AD187" s="1285">
        <f>N('R7業務（長）'!G35)-N(G187)</f>
        <v>0</v>
      </c>
      <c r="AE187" s="1285">
        <f>N('R7業務（長）'!H35)-N(H187)</f>
        <v>0</v>
      </c>
      <c r="AF187" s="1285">
        <f>N('R7業務（長）'!I35)-N(I187)</f>
        <v>0</v>
      </c>
      <c r="AG187" s="1285">
        <f>N('R7業務（長）'!J35)-N(J187)</f>
        <v>0</v>
      </c>
      <c r="AH187" s="1285">
        <f>N('R7業務（長）'!K35)-N(K187)</f>
        <v>0</v>
      </c>
      <c r="AI187" s="1285">
        <f>N('R7業務（長）'!L35)-N(L187)</f>
        <v>0</v>
      </c>
      <c r="AJ187" s="1285">
        <f>N('R7業務（長）'!M35)-N(M187)</f>
        <v>0</v>
      </c>
      <c r="AK187" s="1285">
        <f>N('R7業務（長）'!N35)-N(N187)</f>
        <v>0</v>
      </c>
      <c r="AL187" s="1285">
        <f>N('R7業務（長）'!O35)-N(O187)</f>
        <v>0</v>
      </c>
      <c r="AM187" s="1285">
        <f>N('R7業務（長）'!P35)-N(P187)</f>
        <v>0</v>
      </c>
      <c r="AN187" s="1285">
        <f>N('R7業務（長）'!Q35)-N(Q187)</f>
        <v>0</v>
      </c>
      <c r="AO187" s="1285">
        <f>N('R7業務（長）'!R35)-N(R187)</f>
        <v>0</v>
      </c>
      <c r="AP187" s="1285">
        <f>N('R7業務（長）'!S35)-N(S187)</f>
        <v>0</v>
      </c>
      <c r="AQ187" s="1285">
        <f>N('R7業務（長）'!T35)-N(T187)</f>
        <v>0</v>
      </c>
      <c r="AR187" s="1285">
        <f>N('R7業務（長）'!U35)-N(U187)</f>
        <v>0</v>
      </c>
    </row>
    <row r="188">
      <c r="P188" s="1284" t="n">
        <v>0</v>
      </c>
      <c r="Q188" s="1284" t="n">
        <v>0</v>
      </c>
      <c r="S188" s="1284" t="n">
        <v>0</v>
      </c>
      <c r="T188" s="1284" t="n">
        <v>0</v>
      </c>
      <c r="Z188" s="1285">
        <f>N('R7業務（長）'!C36)-N(C188)</f>
        <v>0</v>
      </c>
      <c r="AA188" s="1285">
        <f>N('R7業務（長）'!D36)-N(D188)</f>
        <v>0</v>
      </c>
      <c r="AB188" s="1285">
        <f>N('R7業務（長）'!E36)-N(E188)</f>
        <v>0</v>
      </c>
      <c r="AC188" s="1285">
        <f>N('R7業務（長）'!F36)-N(F188)</f>
        <v>0</v>
      </c>
      <c r="AD188" s="1285">
        <f>N('R7業務（長）'!G36)-N(G188)</f>
        <v>0</v>
      </c>
      <c r="AE188" s="1285">
        <f>N('R7業務（長）'!H36)-N(H188)</f>
        <v>0</v>
      </c>
      <c r="AF188" s="1285">
        <f>N('R7業務（長）'!I36)-N(I188)</f>
        <v>0</v>
      </c>
      <c r="AG188" s="1285">
        <f>N('R7業務（長）'!J36)-N(J188)</f>
        <v>0</v>
      </c>
      <c r="AH188" s="1285">
        <f>N('R7業務（長）'!K36)-N(K188)</f>
        <v>0</v>
      </c>
      <c r="AI188" s="1285">
        <f>N('R7業務（長）'!L36)-N(L188)</f>
        <v>0</v>
      </c>
      <c r="AJ188" s="1285">
        <f>N('R7業務（長）'!M36)-N(M188)</f>
        <v>0</v>
      </c>
      <c r="AK188" s="1285">
        <f>N('R7業務（長）'!N36)-N(N188)</f>
        <v>0</v>
      </c>
      <c r="AL188" s="1285">
        <f>N('R7業務（長）'!O36)-N(O188)</f>
        <v>0</v>
      </c>
      <c r="AM188" s="1285">
        <f>N('R7業務（長）'!P36)-N(P188)</f>
        <v>0</v>
      </c>
      <c r="AN188" s="1285">
        <f>N('R7業務（長）'!Q36)-N(Q188)</f>
        <v>0</v>
      </c>
      <c r="AO188" s="1285">
        <f>N('R7業務（長）'!R36)-N(R188)</f>
        <v>0</v>
      </c>
      <c r="AP188" s="1285">
        <f>N('R7業務（長）'!S36)-N(S188)</f>
        <v>0</v>
      </c>
      <c r="AQ188" s="1285">
        <f>N('R7業務（長）'!T36)-N(T188)</f>
        <v>0</v>
      </c>
      <c r="AR188" s="1285">
        <f>N('R7業務（長）'!U36)-N(U188)</f>
        <v>0</v>
      </c>
    </row>
    <row r="189">
      <c r="P189" s="1284" t="n">
        <v>0</v>
      </c>
      <c r="Q189" s="1284" t="n">
        <v>0</v>
      </c>
      <c r="S189" s="1284" t="n">
        <v>0</v>
      </c>
      <c r="T189" s="1284" t="n">
        <v>0</v>
      </c>
      <c r="Z189" s="1285">
        <f>N('R7業務（長）'!C37)-N(C189)</f>
        <v>0</v>
      </c>
      <c r="AA189" s="1285">
        <f>N('R7業務（長）'!D37)-N(D189)</f>
        <v>0</v>
      </c>
      <c r="AB189" s="1285">
        <f>N('R7業務（長）'!E37)-N(E189)</f>
        <v>0</v>
      </c>
      <c r="AC189" s="1285">
        <f>N('R7業務（長）'!F37)-N(F189)</f>
        <v>0</v>
      </c>
      <c r="AD189" s="1285">
        <f>N('R7業務（長）'!G37)-N(G189)</f>
        <v>0</v>
      </c>
      <c r="AE189" s="1285">
        <f>N('R7業務（長）'!H37)-N(H189)</f>
        <v>0</v>
      </c>
      <c r="AF189" s="1285">
        <f>N('R7業務（長）'!I37)-N(I189)</f>
        <v>0</v>
      </c>
      <c r="AG189" s="1285">
        <f>N('R7業務（長）'!J37)-N(J189)</f>
        <v>0</v>
      </c>
      <c r="AH189" s="1285">
        <f>N('R7業務（長）'!K37)-N(K189)</f>
        <v>0</v>
      </c>
      <c r="AI189" s="1285">
        <f>N('R7業務（長）'!L37)-N(L189)</f>
        <v>0</v>
      </c>
      <c r="AJ189" s="1285">
        <f>N('R7業務（長）'!M37)-N(M189)</f>
        <v>0</v>
      </c>
      <c r="AK189" s="1285">
        <f>N('R7業務（長）'!N37)-N(N189)</f>
        <v>0</v>
      </c>
      <c r="AL189" s="1285">
        <f>N('R7業務（長）'!O37)-N(O189)</f>
        <v>0</v>
      </c>
      <c r="AM189" s="1285">
        <f>N('R7業務（長）'!P37)-N(P189)</f>
        <v>0</v>
      </c>
      <c r="AN189" s="1285">
        <f>N('R7業務（長）'!Q37)-N(Q189)</f>
        <v>0</v>
      </c>
      <c r="AO189" s="1285">
        <f>N('R7業務（長）'!R37)-N(R189)</f>
        <v>0</v>
      </c>
      <c r="AP189" s="1285">
        <f>N('R7業務（長）'!S37)-N(S189)</f>
        <v>0</v>
      </c>
      <c r="AQ189" s="1285">
        <f>N('R7業務（長）'!T37)-N(T189)</f>
        <v>0</v>
      </c>
      <c r="AR189" s="1285">
        <f>N('R7業務（長）'!U37)-N(U189)</f>
        <v>0</v>
      </c>
    </row>
    <row r="190">
      <c r="C190" s="1284" t="n">
        <v>412079</v>
      </c>
      <c r="D190" s="1284" t="n">
        <v>6019213</v>
      </c>
      <c r="E190" s="1284" t="n">
        <v>6989919</v>
      </c>
      <c r="F190" s="1284" t="n">
        <v>7671974</v>
      </c>
      <c r="G190" s="1284" t="n">
        <v>7267746</v>
      </c>
      <c r="H190" s="1284" t="n">
        <v>6563868</v>
      </c>
      <c r="I190" s="1284" t="n">
        <v>5598151</v>
      </c>
      <c r="J190" s="1284" t="n">
        <v>6657637</v>
      </c>
      <c r="K190" s="1284" t="n">
        <v>6162473</v>
      </c>
      <c r="L190" s="1284" t="n">
        <v>6712949</v>
      </c>
      <c r="M190" s="1284" t="n">
        <v>6080259</v>
      </c>
      <c r="N190" s="1284" t="n">
        <v>10698750</v>
      </c>
      <c r="O190" s="1284" t="n">
        <v>784007</v>
      </c>
      <c r="P190" s="1284" t="n">
        <v>77619025</v>
      </c>
      <c r="Q190" s="1284" t="n">
        <v>87282000</v>
      </c>
      <c r="R190" s="1284" t="n">
        <v>0</v>
      </c>
      <c r="S190" s="1284" t="n">
        <v>87282000</v>
      </c>
      <c r="T190" s="1284" t="n">
        <v>9662975</v>
      </c>
      <c r="U190" s="1284" t="n">
        <v>-9662975</v>
      </c>
      <c r="Z190" s="1285">
        <f>N('R7業務（長）'!C38)-N(C190)</f>
        <v>0</v>
      </c>
      <c r="AA190" s="1285">
        <f>N('R7業務（長）'!D38)-N(D190)</f>
        <v>0</v>
      </c>
      <c r="AB190" s="1285">
        <f>N('R7業務（長）'!E38)-N(E190)</f>
        <v>0</v>
      </c>
      <c r="AC190" s="1285">
        <f>N('R7業務（長）'!F38)-N(F190)</f>
        <v>0</v>
      </c>
      <c r="AD190" s="1285">
        <f>N('R7業務（長）'!G38)-N(G190)</f>
        <v>0</v>
      </c>
      <c r="AE190" s="1285">
        <f>N('R7業務（長）'!H38)-N(H190)</f>
        <v>0</v>
      </c>
      <c r="AF190" s="1285">
        <f>N('R7業務（長）'!I38)-N(I190)</f>
        <v>0</v>
      </c>
      <c r="AG190" s="1285">
        <f>N('R7業務（長）'!J38)-N(J190)</f>
        <v>0</v>
      </c>
      <c r="AH190" s="1285">
        <f>N('R7業務（長）'!K38)-N(K190)</f>
        <v>0</v>
      </c>
      <c r="AI190" s="1285">
        <f>N('R7業務（長）'!L38)-N(L190)</f>
        <v>0</v>
      </c>
      <c r="AJ190" s="1285">
        <f>N('R7業務（長）'!M38)-N(M190)</f>
        <v>0</v>
      </c>
      <c r="AK190" s="1285">
        <f>N('R7業務（長）'!N38)-N(N190)</f>
        <v>0</v>
      </c>
      <c r="AL190" s="1285">
        <f>N('R7業務（長）'!O38)-N(O190)</f>
        <v>0</v>
      </c>
      <c r="AM190" s="1285">
        <f>N('R7業務（長）'!P38)-N(P190)</f>
        <v>0</v>
      </c>
      <c r="AN190" s="1285">
        <f>N('R7業務（長）'!Q38)-N(Q190)</f>
        <v>0</v>
      </c>
      <c r="AO190" s="1285">
        <f>N('R7業務（長）'!R38)-N(R190)</f>
        <v>0</v>
      </c>
      <c r="AP190" s="1285">
        <f>N('R7業務（長）'!S38)-N(S190)</f>
        <v>0</v>
      </c>
      <c r="AQ190" s="1285">
        <f>N('R7業務（長）'!T38)-N(T190)</f>
        <v>0</v>
      </c>
      <c r="AR190" s="1285">
        <f>N('R7業務（長）'!U38)-N(U190)</f>
        <v>0</v>
      </c>
    </row>
    <row r="191">
      <c r="Z191" s="1285">
        <f>N('R7業務（長）'!C39)-N(C191)</f>
        <v>0</v>
      </c>
      <c r="AA191" s="1285">
        <f>N('R7業務（長）'!D39)-N(D191)</f>
        <v>0</v>
      </c>
      <c r="AB191" s="1285">
        <f>N('R7業務（長）'!E39)-N(E191)</f>
        <v>0</v>
      </c>
      <c r="AC191" s="1285">
        <f>N('R7業務（長）'!F39)-N(F191)</f>
        <v>0</v>
      </c>
      <c r="AD191" s="1285">
        <f>N('R7業務（長）'!G39)-N(G191)</f>
        <v>0</v>
      </c>
      <c r="AE191" s="1285">
        <f>N('R7業務（長）'!H39)-N(H191)</f>
        <v>0</v>
      </c>
      <c r="AF191" s="1285">
        <f>N('R7業務（長）'!I39)-N(I191)</f>
        <v>0</v>
      </c>
      <c r="AG191" s="1285">
        <f>N('R7業務（長）'!J39)-N(J191)</f>
        <v>0</v>
      </c>
      <c r="AH191" s="1285">
        <f>N('R7業務（長）'!K39)-N(K191)</f>
        <v>0</v>
      </c>
      <c r="AI191" s="1285">
        <f>N('R7業務（長）'!L39)-N(L191)</f>
        <v>0</v>
      </c>
      <c r="AJ191" s="1285">
        <f>N('R7業務（長）'!M39)-N(M191)</f>
        <v>0</v>
      </c>
      <c r="AK191" s="1285">
        <f>N('R7業務（長）'!N39)-N(N191)</f>
        <v>0</v>
      </c>
      <c r="AL191" s="1285">
        <f>N('R7業務（長）'!O39)-N(O191)</f>
        <v>0</v>
      </c>
      <c r="AM191" s="1285">
        <f>N('R7業務（長）'!P39)-N(P191)</f>
        <v>0</v>
      </c>
      <c r="AN191" s="1285">
        <f>N('R7業務（長）'!Q39)-N(Q191)</f>
        <v>0</v>
      </c>
      <c r="AO191" s="1285">
        <f>N('R7業務（長）'!R39)-N(R191)</f>
        <v>0</v>
      </c>
      <c r="AP191" s="1285">
        <f>N('R7業務（長）'!S39)-N(S191)</f>
        <v>0</v>
      </c>
      <c r="AQ191" s="1285">
        <f>N('R7業務（長）'!T39)-N(T191)</f>
        <v>0</v>
      </c>
      <c r="AR191" s="1285">
        <f>N('R7業務（長）'!U39)-N(U191)</f>
        <v>0</v>
      </c>
    </row>
    <row r="192">
      <c r="Z192" s="1285">
        <f>N('R7業務（長）'!C40)-N(C192)</f>
        <v>0</v>
      </c>
      <c r="AA192" s="1285">
        <f>N('R7業務（長）'!D40)-N(D192)</f>
        <v>0</v>
      </c>
      <c r="AB192" s="1285">
        <f>N('R7業務（長）'!E40)-N(E192)</f>
        <v>0</v>
      </c>
      <c r="AC192" s="1285">
        <f>N('R7業務（長）'!F40)-N(F192)</f>
        <v>0</v>
      </c>
      <c r="AD192" s="1285">
        <f>N('R7業務（長）'!G40)-N(G192)</f>
        <v>0</v>
      </c>
      <c r="AE192" s="1285">
        <f>N('R7業務（長）'!H40)-N(H192)</f>
        <v>0</v>
      </c>
      <c r="AF192" s="1285">
        <f>N('R7業務（長）'!I40)-N(I192)</f>
        <v>0</v>
      </c>
      <c r="AG192" s="1285">
        <f>N('R7業務（長）'!J40)-N(J192)</f>
        <v>0</v>
      </c>
      <c r="AH192" s="1285">
        <f>N('R7業務（長）'!K40)-N(K192)</f>
        <v>0</v>
      </c>
      <c r="AI192" s="1285">
        <f>N('R7業務（長）'!L40)-N(L192)</f>
        <v>0</v>
      </c>
      <c r="AJ192" s="1285">
        <f>N('R7業務（長）'!M40)-N(M192)</f>
        <v>0</v>
      </c>
      <c r="AK192" s="1285">
        <f>N('R7業務（長）'!N40)-N(N192)</f>
        <v>0</v>
      </c>
      <c r="AL192" s="1285">
        <f>N('R7業務（長）'!O40)-N(O192)</f>
        <v>0</v>
      </c>
      <c r="AM192" s="1285">
        <f>N('R7業務（長）'!P40)-N(P192)</f>
        <v>0</v>
      </c>
      <c r="AN192" s="1285">
        <f>N('R7業務（長）'!Q40)-N(Q192)</f>
        <v>0</v>
      </c>
      <c r="AO192" s="1285">
        <f>N('R7業務（長）'!R40)-N(R192)</f>
        <v>0</v>
      </c>
      <c r="AP192" s="1285">
        <f>N('R7業務（長）'!S40)-N(S192)</f>
        <v>0</v>
      </c>
      <c r="AQ192" s="1285">
        <f>N('R7業務（長）'!T40)-N(T192)</f>
        <v>0</v>
      </c>
      <c r="AR192" s="1285">
        <f>N('R7業務（長）'!U40)-N(U192)</f>
        <v>0</v>
      </c>
    </row>
    <row r="193">
      <c r="C193" s="1284" t="n">
        <v>4513000</v>
      </c>
      <c r="D193" s="1284" t="n">
        <v>4513000</v>
      </c>
      <c r="E193" s="1284" t="n">
        <v>5366000</v>
      </c>
      <c r="F193" s="1284" t="n">
        <v>7823000</v>
      </c>
      <c r="G193" s="1284" t="n">
        <v>4513000</v>
      </c>
      <c r="H193" s="1284" t="n">
        <v>4513000</v>
      </c>
      <c r="I193" s="1284" t="n">
        <v>4513000</v>
      </c>
      <c r="J193" s="1284" t="n">
        <v>4513000</v>
      </c>
      <c r="K193" s="1284" t="n">
        <v>4513000</v>
      </c>
      <c r="L193" s="1284" t="n">
        <v>4513000</v>
      </c>
      <c r="M193" s="1284" t="n">
        <v>4513000</v>
      </c>
      <c r="N193" s="1284" t="n">
        <v>4510000</v>
      </c>
      <c r="P193" s="1284" t="n">
        <v>58316000</v>
      </c>
      <c r="S193" s="1284" t="n">
        <v>54153000</v>
      </c>
      <c r="T193" s="1284" t="n">
        <v>0</v>
      </c>
      <c r="Z193" s="1285">
        <f>N('R7業務（長）'!C41)-N(C193)</f>
        <v>0</v>
      </c>
      <c r="AA193" s="1285">
        <f>N('R7業務（長）'!D41)-N(D193)</f>
        <v>0</v>
      </c>
      <c r="AB193" s="1285">
        <f>N('R7業務（長）'!E41)-N(E193)</f>
        <v>0</v>
      </c>
      <c r="AC193" s="1285">
        <f>N('R7業務（長）'!F41)-N(F193)</f>
        <v>0</v>
      </c>
      <c r="AD193" s="1285">
        <f>N('R7業務（長）'!G41)-N(G193)</f>
        <v>0</v>
      </c>
      <c r="AE193" s="1285">
        <f>N('R7業務（長）'!H41)-N(H193)</f>
        <v>0</v>
      </c>
      <c r="AF193" s="1285">
        <f>N('R7業務（長）'!I41)-N(I193)</f>
        <v>0</v>
      </c>
      <c r="AG193" s="1285">
        <f>N('R7業務（長）'!J41)-N(J193)</f>
        <v>0</v>
      </c>
      <c r="AH193" s="1285">
        <f>N('R7業務（長）'!K41)-N(K193)</f>
        <v>0</v>
      </c>
      <c r="AI193" s="1285">
        <f>N('R7業務（長）'!L41)-N(L193)</f>
        <v>0</v>
      </c>
      <c r="AJ193" s="1285">
        <f>N('R7業務（長）'!M41)-N(M193)</f>
        <v>0</v>
      </c>
      <c r="AK193" s="1285">
        <f>N('R7業務（長）'!N41)-N(N193)</f>
        <v>0</v>
      </c>
      <c r="AL193" s="1285">
        <f>N('R7業務（長）'!O41)-N(O193)</f>
        <v>0</v>
      </c>
      <c r="AM193" s="1285">
        <f>N('R7業務（長）'!P41)-N(P193)</f>
        <v>0</v>
      </c>
      <c r="AN193" s="1285">
        <f>N('R7業務（長）'!Q41)-N(Q193)</f>
        <v>0</v>
      </c>
      <c r="AO193" s="1285">
        <f>N('R7業務（長）'!R41)-N(R193)</f>
        <v>0</v>
      </c>
      <c r="AP193" s="1285">
        <f>N('R7業務（長）'!S41)-N(S193)</f>
        <v>0</v>
      </c>
      <c r="AQ193" s="1285">
        <f>N('R7業務（長）'!T41)-N(T193)</f>
        <v>0</v>
      </c>
      <c r="AR193" s="1285">
        <f>N('R7業務（長）'!U41)-N(U193)</f>
        <v>0</v>
      </c>
    </row>
    <row r="194">
      <c r="N194" s="1284" t="n">
        <v>75258</v>
      </c>
      <c r="P194" s="1284" t="n">
        <v>75258</v>
      </c>
      <c r="S194" s="1284" t="n">
        <v>0</v>
      </c>
      <c r="T194" s="1284" t="n">
        <v>0</v>
      </c>
      <c r="Z194" s="1285">
        <f>N('R7業務（長）'!C42)-N(C194)</f>
        <v>0</v>
      </c>
      <c r="AA194" s="1285">
        <f>N('R7業務（長）'!D42)-N(D194)</f>
        <v>0</v>
      </c>
      <c r="AB194" s="1285">
        <f>N('R7業務（長）'!E42)-N(E194)</f>
        <v>0</v>
      </c>
      <c r="AC194" s="1285">
        <f>N('R7業務（長）'!F42)-N(F194)</f>
        <v>0</v>
      </c>
      <c r="AD194" s="1285">
        <f>N('R7業務（長）'!G42)-N(G194)</f>
        <v>0</v>
      </c>
      <c r="AE194" s="1285">
        <f>N('R7業務（長）'!H42)-N(H194)</f>
        <v>0</v>
      </c>
      <c r="AF194" s="1285">
        <f>N('R7業務（長）'!I42)-N(I194)</f>
        <v>0</v>
      </c>
      <c r="AG194" s="1285">
        <f>N('R7業務（長）'!J42)-N(J194)</f>
        <v>0</v>
      </c>
      <c r="AH194" s="1285">
        <f>N('R7業務（長）'!K42)-N(K194)</f>
        <v>0</v>
      </c>
      <c r="AI194" s="1285">
        <f>N('R7業務（長）'!L42)-N(L194)</f>
        <v>0</v>
      </c>
      <c r="AJ194" s="1285">
        <f>N('R7業務（長）'!M42)-N(M194)</f>
        <v>0</v>
      </c>
      <c r="AK194" s="1285">
        <f>N('R7業務（長）'!N42)-N(N194)</f>
        <v>0</v>
      </c>
      <c r="AL194" s="1285">
        <f>N('R7業務（長）'!O42)-N(O194)</f>
        <v>0</v>
      </c>
      <c r="AM194" s="1285">
        <f>N('R7業務（長）'!P42)-N(P194)</f>
        <v>0</v>
      </c>
      <c r="AN194" s="1285">
        <f>N('R7業務（長）'!Q42)-N(Q194)</f>
        <v>0</v>
      </c>
      <c r="AO194" s="1285">
        <f>N('R7業務（長）'!R42)-N(R194)</f>
        <v>0</v>
      </c>
      <c r="AP194" s="1285">
        <f>N('R7業務（長）'!S42)-N(S194)</f>
        <v>0</v>
      </c>
      <c r="AQ194" s="1285">
        <f>N('R7業務（長）'!T42)-N(T194)</f>
        <v>0</v>
      </c>
      <c r="AR194" s="1285">
        <f>N('R7業務（長）'!U42)-N(U194)</f>
        <v>0</v>
      </c>
    </row>
    <row r="195">
      <c r="C195" s="1284" t="n">
        <v>0</v>
      </c>
      <c r="D195" s="1284" t="n">
        <v>4513000</v>
      </c>
      <c r="E195" s="1284" t="n">
        <v>5366000</v>
      </c>
      <c r="F195" s="1284" t="n">
        <v>5366000</v>
      </c>
      <c r="G195" s="1284" t="n">
        <v>5366000</v>
      </c>
      <c r="H195" s="1284" t="n">
        <v>5369148</v>
      </c>
      <c r="I195" s="1284" t="n">
        <v>0</v>
      </c>
      <c r="J195" s="1284" t="n">
        <v>-261410</v>
      </c>
      <c r="K195" s="1284" t="n">
        <v>0</v>
      </c>
      <c r="L195" s="1284" t="n">
        <v>0</v>
      </c>
      <c r="M195" s="1284" t="n">
        <v>0</v>
      </c>
      <c r="N195" s="1284" t="n">
        <v>0</v>
      </c>
      <c r="P195" s="1284" t="n">
        <v>25718738</v>
      </c>
      <c r="S195" s="1284" t="n">
        <v>23147000</v>
      </c>
      <c r="T195" s="1284" t="n">
        <v>0</v>
      </c>
      <c r="Z195" s="1285">
        <f>N('R7業務（長）'!C43)-N(C195)</f>
        <v>0</v>
      </c>
      <c r="AA195" s="1285">
        <f>N('R7業務（長）'!D43)-N(D195)</f>
        <v>0</v>
      </c>
      <c r="AB195" s="1285">
        <f>N('R7業務（長）'!E43)-N(E195)</f>
        <v>0</v>
      </c>
      <c r="AC195" s="1285">
        <f>N('R7業務（長）'!F43)-N(F195)</f>
        <v>0</v>
      </c>
      <c r="AD195" s="1285">
        <f>N('R7業務（長）'!G43)-N(G195)</f>
        <v>0</v>
      </c>
      <c r="AE195" s="1285">
        <f>N('R7業務（長）'!H43)-N(H195)</f>
        <v>0</v>
      </c>
      <c r="AF195" s="1285">
        <f>N('R7業務（長）'!I43)-N(I195)</f>
        <v>0</v>
      </c>
      <c r="AG195" s="1285">
        <f>N('R7業務（長）'!J43)-N(J195)</f>
        <v>0</v>
      </c>
      <c r="AH195" s="1285">
        <f>N('R7業務（長）'!K43)-N(K195)</f>
        <v>0</v>
      </c>
      <c r="AI195" s="1285">
        <f>N('R7業務（長）'!L43)-N(L195)</f>
        <v>0</v>
      </c>
      <c r="AJ195" s="1285">
        <f>N('R7業務（長）'!M43)-N(M195)</f>
        <v>0</v>
      </c>
      <c r="AK195" s="1285">
        <f>N('R7業務（長）'!N43)-N(N195)</f>
        <v>0</v>
      </c>
      <c r="AL195" s="1285">
        <f>N('R7業務（長）'!O43)-N(O195)</f>
        <v>0</v>
      </c>
      <c r="AM195" s="1285">
        <f>N('R7業務（長）'!P43)-N(P195)</f>
        <v>0</v>
      </c>
      <c r="AN195" s="1285">
        <f>N('R7業務（長）'!Q43)-N(Q195)</f>
        <v>0</v>
      </c>
      <c r="AO195" s="1285">
        <f>N('R7業務（長）'!R43)-N(R195)</f>
        <v>0</v>
      </c>
      <c r="AP195" s="1285">
        <f>N('R7業務（長）'!S43)-N(S195)</f>
        <v>0</v>
      </c>
      <c r="AQ195" s="1285">
        <f>N('R7業務（長）'!T43)-N(T195)</f>
        <v>0</v>
      </c>
      <c r="AR195" s="1285">
        <f>N('R7業務（長）'!U43)-N(U195)</f>
        <v>0</v>
      </c>
    </row>
    <row r="196">
      <c r="P196" s="1284" t="n">
        <v>0</v>
      </c>
      <c r="S196" s="1284" t="n">
        <v>0</v>
      </c>
      <c r="T196" s="1284" t="n">
        <v>0</v>
      </c>
      <c r="Z196" s="1285">
        <f>N('R7業務（長）'!C44)-N(C196)</f>
        <v>0</v>
      </c>
      <c r="AA196" s="1285">
        <f>N('R7業務（長）'!D44)-N(D196)</f>
        <v>0</v>
      </c>
      <c r="AB196" s="1285">
        <f>N('R7業務（長）'!E44)-N(E196)</f>
        <v>0</v>
      </c>
      <c r="AC196" s="1285">
        <f>N('R7業務（長）'!F44)-N(F196)</f>
        <v>0</v>
      </c>
      <c r="AD196" s="1285">
        <f>N('R7業務（長）'!G44)-N(G196)</f>
        <v>0</v>
      </c>
      <c r="AE196" s="1285">
        <f>N('R7業務（長）'!H44)-N(H196)</f>
        <v>0</v>
      </c>
      <c r="AF196" s="1285">
        <f>N('R7業務（長）'!I44)-N(I196)</f>
        <v>0</v>
      </c>
      <c r="AG196" s="1285">
        <f>N('R7業務（長）'!J44)-N(J196)</f>
        <v>0</v>
      </c>
      <c r="AH196" s="1285">
        <f>N('R7業務（長）'!K44)-N(K196)</f>
        <v>0</v>
      </c>
      <c r="AI196" s="1285">
        <f>N('R7業務（長）'!L44)-N(L196)</f>
        <v>0</v>
      </c>
      <c r="AJ196" s="1285">
        <f>N('R7業務（長）'!M44)-N(M196)</f>
        <v>0</v>
      </c>
      <c r="AK196" s="1285">
        <f>N('R7業務（長）'!N44)-N(N196)</f>
        <v>0</v>
      </c>
      <c r="AL196" s="1285">
        <f>N('R7業務（長）'!O44)-N(O196)</f>
        <v>0</v>
      </c>
      <c r="AM196" s="1285">
        <f>N('R7業務（長）'!P44)-N(P196)</f>
        <v>0</v>
      </c>
      <c r="AN196" s="1285">
        <f>N('R7業務（長）'!Q44)-N(Q196)</f>
        <v>0</v>
      </c>
      <c r="AO196" s="1285">
        <f>N('R7業務（長）'!R44)-N(R196)</f>
        <v>0</v>
      </c>
      <c r="AP196" s="1285">
        <f>N('R7業務（長）'!S44)-N(S196)</f>
        <v>0</v>
      </c>
      <c r="AQ196" s="1285">
        <f>N('R7業務（長）'!T44)-N(T196)</f>
        <v>0</v>
      </c>
      <c r="AR196" s="1285">
        <f>N('R7業務（長）'!U44)-N(U196)</f>
        <v>0</v>
      </c>
    </row>
    <row r="197">
      <c r="P197" s="1284" t="n">
        <v>0</v>
      </c>
      <c r="S197" s="1284" t="n">
        <v>0</v>
      </c>
      <c r="T197" s="1284" t="n">
        <v>0</v>
      </c>
      <c r="Z197" s="1285">
        <f>N('R7業務（長）'!C45)-N(C197)</f>
        <v>0</v>
      </c>
      <c r="AA197" s="1285">
        <f>N('R7業務（長）'!D45)-N(D197)</f>
        <v>0</v>
      </c>
      <c r="AB197" s="1285">
        <f>N('R7業務（長）'!E45)-N(E197)</f>
        <v>0</v>
      </c>
      <c r="AC197" s="1285">
        <f>N('R7業務（長）'!F45)-N(F197)</f>
        <v>0</v>
      </c>
      <c r="AD197" s="1285">
        <f>N('R7業務（長）'!G45)-N(G197)</f>
        <v>0</v>
      </c>
      <c r="AE197" s="1285">
        <f>N('R7業務（長）'!H45)-N(H197)</f>
        <v>0</v>
      </c>
      <c r="AF197" s="1285">
        <f>N('R7業務（長）'!I45)-N(I197)</f>
        <v>0</v>
      </c>
      <c r="AG197" s="1285">
        <f>N('R7業務（長）'!J45)-N(J197)</f>
        <v>0</v>
      </c>
      <c r="AH197" s="1285">
        <f>N('R7業務（長）'!K45)-N(K197)</f>
        <v>0</v>
      </c>
      <c r="AI197" s="1285">
        <f>N('R7業務（長）'!L45)-N(L197)</f>
        <v>0</v>
      </c>
      <c r="AJ197" s="1285">
        <f>N('R7業務（長）'!M45)-N(M197)</f>
        <v>0</v>
      </c>
      <c r="AK197" s="1285">
        <f>N('R7業務（長）'!N45)-N(N197)</f>
        <v>0</v>
      </c>
      <c r="AL197" s="1285">
        <f>N('R7業務（長）'!O45)-N(O197)</f>
        <v>0</v>
      </c>
      <c r="AM197" s="1285">
        <f>N('R7業務（長）'!P45)-N(P197)</f>
        <v>0</v>
      </c>
      <c r="AN197" s="1285">
        <f>N('R7業務（長）'!Q45)-N(Q197)</f>
        <v>0</v>
      </c>
      <c r="AO197" s="1285">
        <f>N('R7業務（長）'!R45)-N(R197)</f>
        <v>0</v>
      </c>
      <c r="AP197" s="1285">
        <f>N('R7業務（長）'!S45)-N(S197)</f>
        <v>0</v>
      </c>
      <c r="AQ197" s="1285">
        <f>N('R7業務（長）'!T45)-N(T197)</f>
        <v>0</v>
      </c>
      <c r="AR197" s="1285">
        <f>N('R7業務（長）'!U45)-N(U197)</f>
        <v>0</v>
      </c>
    </row>
    <row r="198">
      <c r="C198" s="1284" t="n">
        <v>4513000</v>
      </c>
      <c r="D198" s="1284" t="n">
        <v>9026000</v>
      </c>
      <c r="E198" s="1284" t="n">
        <v>10732000</v>
      </c>
      <c r="F198" s="1284" t="n">
        <v>13189000</v>
      </c>
      <c r="G198" s="1284" t="n">
        <v>9879000</v>
      </c>
      <c r="H198" s="1284" t="n">
        <v>9882148</v>
      </c>
      <c r="I198" s="1284" t="n">
        <v>4513000</v>
      </c>
      <c r="J198" s="1284" t="n">
        <v>4251590</v>
      </c>
      <c r="K198" s="1284" t="n">
        <v>4513000</v>
      </c>
      <c r="L198" s="1284" t="n">
        <v>4513000</v>
      </c>
      <c r="M198" s="1284" t="n">
        <v>4513000</v>
      </c>
      <c r="N198" s="1284" t="n">
        <v>4585258</v>
      </c>
      <c r="O198" s="1284" t="n">
        <v>0</v>
      </c>
      <c r="P198" s="1284" t="n">
        <v>84109996</v>
      </c>
      <c r="Q198" s="1284" t="n">
        <v>0</v>
      </c>
      <c r="R198" s="1284" t="n">
        <v>0</v>
      </c>
      <c r="S198" s="1284" t="n">
        <v>77300000</v>
      </c>
      <c r="T198" s="1284" t="n">
        <v>0</v>
      </c>
      <c r="Z198" s="1285">
        <f>N('R7業務（長）'!C46)-N(C198)</f>
        <v>0</v>
      </c>
      <c r="AA198" s="1285">
        <f>N('R7業務（長）'!D46)-N(D198)</f>
        <v>0</v>
      </c>
      <c r="AB198" s="1285">
        <f>N('R7業務（長）'!E46)-N(E198)</f>
        <v>0</v>
      </c>
      <c r="AC198" s="1285">
        <f>N('R7業務（長）'!F46)-N(F198)</f>
        <v>0</v>
      </c>
      <c r="AD198" s="1285">
        <f>N('R7業務（長）'!G46)-N(G198)</f>
        <v>0</v>
      </c>
      <c r="AE198" s="1285">
        <f>N('R7業務（長）'!H46)-N(H198)</f>
        <v>0</v>
      </c>
      <c r="AF198" s="1285">
        <f>N('R7業務（長）'!I46)-N(I198)</f>
        <v>0</v>
      </c>
      <c r="AG198" s="1285">
        <f>N('R7業務（長）'!J46)-N(J198)</f>
        <v>0</v>
      </c>
      <c r="AH198" s="1285">
        <f>N('R7業務（長）'!K46)-N(K198)</f>
        <v>0</v>
      </c>
      <c r="AI198" s="1285">
        <f>N('R7業務（長）'!L46)-N(L198)</f>
        <v>0</v>
      </c>
      <c r="AJ198" s="1285">
        <f>N('R7業務（長）'!M46)-N(M198)</f>
        <v>0</v>
      </c>
      <c r="AK198" s="1285">
        <f>N('R7業務（長）'!N46)-N(N198)</f>
        <v>0</v>
      </c>
      <c r="AL198" s="1285">
        <f>N('R7業務（長）'!O46)-N(O198)</f>
        <v>0</v>
      </c>
      <c r="AM198" s="1285">
        <f>N('R7業務（長）'!P46)-N(P198)</f>
        <v>0</v>
      </c>
      <c r="AN198" s="1285">
        <f>N('R7業務（長）'!Q46)-N(Q198)</f>
        <v>0</v>
      </c>
      <c r="AO198" s="1285">
        <f>N('R7業務（長）'!R46)-N(R198)</f>
        <v>0</v>
      </c>
      <c r="AP198" s="1285">
        <f>N('R7業務（長）'!S46)-N(S198)</f>
        <v>0</v>
      </c>
      <c r="AQ198" s="1285">
        <f>N('R7業務（長）'!T46)-N(T198)</f>
        <v>0</v>
      </c>
      <c r="AR198" s="1285">
        <f>N('R7業務（長）'!U46)-N(U198)</f>
        <v>0</v>
      </c>
    </row>
    <row r="199">
      <c r="Z199" s="1285">
        <f>N('R7業務（長）'!C47)-N(C199)</f>
        <v>0</v>
      </c>
      <c r="AA199" s="1285">
        <f>N('R7業務（長）'!D47)-N(D199)</f>
        <v>0</v>
      </c>
      <c r="AB199" s="1285">
        <f>N('R7業務（長）'!E47)-N(E199)</f>
        <v>0</v>
      </c>
      <c r="AC199" s="1285">
        <f>N('R7業務（長）'!F47)-N(F199)</f>
        <v>0</v>
      </c>
      <c r="AD199" s="1285">
        <f>N('R7業務（長）'!G47)-N(G199)</f>
        <v>0</v>
      </c>
      <c r="AE199" s="1285">
        <f>N('R7業務（長）'!H47)-N(H199)</f>
        <v>0</v>
      </c>
      <c r="AF199" s="1285">
        <f>N('R7業務（長）'!I47)-N(I199)</f>
        <v>0</v>
      </c>
      <c r="AG199" s="1285">
        <f>N('R7業務（長）'!J47)-N(J199)</f>
        <v>0</v>
      </c>
      <c r="AH199" s="1285">
        <f>N('R7業務（長）'!K47)-N(K199)</f>
        <v>0</v>
      </c>
      <c r="AI199" s="1285">
        <f>N('R7業務（長）'!L47)-N(L199)</f>
        <v>0</v>
      </c>
      <c r="AJ199" s="1285">
        <f>N('R7業務（長）'!M47)-N(M199)</f>
        <v>0</v>
      </c>
      <c r="AK199" s="1285">
        <f>N('R7業務（長）'!N47)-N(N199)</f>
        <v>0</v>
      </c>
      <c r="AL199" s="1285">
        <f>N('R7業務（長）'!O47)-N(O199)</f>
        <v>0</v>
      </c>
      <c r="AM199" s="1285">
        <f>N('R7業務（長）'!P47)-N(P199)</f>
        <v>0</v>
      </c>
      <c r="AN199" s="1285">
        <f>N('R7業務（長）'!Q47)-N(Q199)</f>
        <v>0</v>
      </c>
      <c r="AO199" s="1285">
        <f>N('R7業務（長）'!R47)-N(R199)</f>
        <v>0</v>
      </c>
      <c r="AP199" s="1285">
        <f>N('R7業務（長）'!S47)-N(S199)</f>
        <v>0</v>
      </c>
      <c r="AQ199" s="1285">
        <f>N('R7業務（長）'!T47)-N(T199)</f>
        <v>0</v>
      </c>
      <c r="AR199" s="1285">
        <f>N('R7業務（長）'!U47)-N(U199)</f>
        <v>0</v>
      </c>
    </row>
    <row r="200">
      <c r="C200" s="1284" t="n">
        <v>4100921</v>
      </c>
      <c r="D200" s="1284" t="n">
        <v>3006787</v>
      </c>
      <c r="E200" s="1284" t="n">
        <v>3742081</v>
      </c>
      <c r="F200" s="1284" t="n">
        <v>5517026</v>
      </c>
      <c r="G200" s="1284" t="n">
        <v>2611254</v>
      </c>
      <c r="H200" s="1284" t="n">
        <v>3318280</v>
      </c>
      <c r="I200" s="1284" t="n">
        <v>-1085151</v>
      </c>
      <c r="J200" s="1284" t="n">
        <v>-2406047</v>
      </c>
      <c r="K200" s="1284" t="n">
        <v>-1649473</v>
      </c>
      <c r="L200" s="1284" t="n">
        <v>-2199949</v>
      </c>
      <c r="M200" s="1284" t="n">
        <v>-1567259</v>
      </c>
      <c r="N200" s="1284" t="n">
        <v>-6113492</v>
      </c>
      <c r="O200" s="1284" t="n">
        <v>-784007</v>
      </c>
      <c r="P200" s="1284" t="n">
        <v>6490971</v>
      </c>
      <c r="Q200" s="1284" t="n">
        <v>-87282000</v>
      </c>
      <c r="R200" s="1284" t="n">
        <v>0</v>
      </c>
      <c r="S200" s="1284" t="n">
        <v>-9982000</v>
      </c>
      <c r="T200" s="1284" t="n">
        <v>-9662975</v>
      </c>
      <c r="Z200" s="1285">
        <f>N('R7業務（長）'!C48)-N(C200)</f>
        <v>0</v>
      </c>
      <c r="AA200" s="1285">
        <f>N('R7業務（長）'!D48)-N(D200)</f>
        <v>0</v>
      </c>
      <c r="AB200" s="1285">
        <f>N('R7業務（長）'!E48)-N(E200)</f>
        <v>0</v>
      </c>
      <c r="AC200" s="1285">
        <f>N('R7業務（長）'!F48)-N(F200)</f>
        <v>0</v>
      </c>
      <c r="AD200" s="1285">
        <f>N('R7業務（長）'!G48)-N(G200)</f>
        <v>0</v>
      </c>
      <c r="AE200" s="1285">
        <f>N('R7業務（長）'!H48)-N(H200)</f>
        <v>0</v>
      </c>
      <c r="AF200" s="1285">
        <f>N('R7業務（長）'!I48)-N(I200)</f>
        <v>0</v>
      </c>
      <c r="AG200" s="1285">
        <f>N('R7業務（長）'!J48)-N(J200)</f>
        <v>0</v>
      </c>
      <c r="AH200" s="1285">
        <f>N('R7業務（長）'!K48)-N(K200)</f>
        <v>0</v>
      </c>
      <c r="AI200" s="1285">
        <f>N('R7業務（長）'!L48)-N(L200)</f>
        <v>0</v>
      </c>
      <c r="AJ200" s="1285">
        <f>N('R7業務（長）'!M48)-N(M200)</f>
        <v>0</v>
      </c>
      <c r="AK200" s="1285">
        <f>N('R7業務（長）'!N48)-N(N200)</f>
        <v>0</v>
      </c>
      <c r="AL200" s="1285">
        <f>N('R7業務（長）'!O48)-N(O200)</f>
        <v>0</v>
      </c>
      <c r="AM200" s="1285">
        <f>N('R7業務（長）'!P48)-N(P200)</f>
        <v>0</v>
      </c>
      <c r="AN200" s="1285">
        <f>N('R7業務（長）'!Q48)-N(Q200)</f>
        <v>0</v>
      </c>
      <c r="AO200" s="1285">
        <f>N('R7業務（長）'!R48)-N(R200)</f>
        <v>0</v>
      </c>
      <c r="AP200" s="1285">
        <f>N('R7業務（長）'!S48)-N(S200)</f>
        <v>0</v>
      </c>
      <c r="AQ200" s="1285">
        <f>N('R7業務（長）'!T48)-N(T200)</f>
        <v>0</v>
      </c>
      <c r="AR200" s="1285">
        <f>N('R7業務（長）'!U48)-N(U200)</f>
        <v>0</v>
      </c>
    </row>
    <row r="201">
      <c r="Z201" s="1285">
        <f>N('R7業務（長）'!C49)-N(C201)</f>
        <v>0</v>
      </c>
      <c r="AA201" s="1285">
        <f>N('R7業務（長）'!D49)-N(D201)</f>
        <v>0</v>
      </c>
      <c r="AB201" s="1285">
        <f>N('R7業務（長）'!E49)-N(E201)</f>
        <v>0</v>
      </c>
      <c r="AC201" s="1285">
        <f>N('R7業務（長）'!F49)-N(F201)</f>
        <v>0</v>
      </c>
      <c r="AD201" s="1285">
        <f>N('R7業務（長）'!G49)-N(G201)</f>
        <v>0</v>
      </c>
      <c r="AE201" s="1285">
        <f>N('R7業務（長）'!H49)-N(H201)</f>
        <v>0</v>
      </c>
      <c r="AF201" s="1285">
        <f>N('R7業務（長）'!I49)-N(I201)</f>
        <v>0</v>
      </c>
      <c r="AG201" s="1285">
        <f>N('R7業務（長）'!J49)-N(J201)</f>
        <v>0</v>
      </c>
      <c r="AH201" s="1285">
        <f>N('R7業務（長）'!K49)-N(K201)</f>
        <v>0</v>
      </c>
      <c r="AI201" s="1285">
        <f>N('R7業務（長）'!L49)-N(L201)</f>
        <v>0</v>
      </c>
      <c r="AJ201" s="1285">
        <f>N('R7業務（長）'!M49)-N(M201)</f>
        <v>0</v>
      </c>
      <c r="AK201" s="1285">
        <f>N('R7業務（長）'!N49)-N(N201)</f>
        <v>0</v>
      </c>
      <c r="AL201" s="1285">
        <f>N('R7業務（長）'!O49)-N(O201)</f>
        <v>0</v>
      </c>
      <c r="AM201" s="1285">
        <f>N('R7業務（長）'!P49)-N(P201)</f>
        <v>0</v>
      </c>
      <c r="AN201" s="1285">
        <f>N('R7業務（長）'!Q49)-N(Q201)</f>
        <v>0</v>
      </c>
      <c r="AO201" s="1285">
        <f>N('R7業務（長）'!R49)-N(R201)</f>
        <v>0</v>
      </c>
      <c r="AP201" s="1285">
        <f>N('R7業務（長）'!S49)-N(S201)</f>
        <v>0</v>
      </c>
      <c r="AQ201" s="1285">
        <f>N('R7業務（長）'!T49)-N(T201)</f>
        <v>0</v>
      </c>
      <c r="AR201" s="1285">
        <f>N('R7業務（長）'!U49)-N(U201)</f>
        <v>0</v>
      </c>
    </row>
    <row r="202">
      <c r="Z202" s="1285">
        <f>N('R7業務（長）'!C50)-N(C202)</f>
        <v>0</v>
      </c>
      <c r="AA202" s="1285">
        <f>N('R7業務（長）'!D50)-N(D202)</f>
        <v>0</v>
      </c>
      <c r="AB202" s="1285">
        <f>N('R7業務（長）'!E50)-N(E202)</f>
        <v>0</v>
      </c>
      <c r="AC202" s="1285">
        <f>N('R7業務（長）'!F50)-N(F202)</f>
        <v>0</v>
      </c>
      <c r="AD202" s="1285">
        <f>N('R7業務（長）'!G50)-N(G202)</f>
        <v>0</v>
      </c>
      <c r="AE202" s="1285">
        <f>N('R7業務（長）'!H50)-N(H202)</f>
        <v>0</v>
      </c>
      <c r="AF202" s="1285">
        <f>N('R7業務（長）'!I50)-N(I202)</f>
        <v>0</v>
      </c>
      <c r="AG202" s="1285">
        <f>N('R7業務（長）'!J50)-N(J202)</f>
        <v>0</v>
      </c>
      <c r="AH202" s="1285">
        <f>N('R7業務（長）'!K50)-N(K202)</f>
        <v>0</v>
      </c>
      <c r="AI202" s="1285">
        <f>N('R7業務（長）'!L50)-N(L202)</f>
        <v>0</v>
      </c>
      <c r="AJ202" s="1285">
        <f>N('R7業務（長）'!M50)-N(M202)</f>
        <v>0</v>
      </c>
      <c r="AK202" s="1285">
        <f>N('R7業務（長）'!N50)-N(N202)</f>
        <v>0</v>
      </c>
      <c r="AL202" s="1285">
        <f>N('R7業務（長）'!O50)-N(O202)</f>
        <v>0</v>
      </c>
      <c r="AM202" s="1285">
        <f>N('R7業務（長）'!P50)-N(P202)</f>
        <v>0</v>
      </c>
      <c r="AN202" s="1285">
        <f>N('R7業務（長）'!Q50)-N(Q202)</f>
        <v>0</v>
      </c>
      <c r="AO202" s="1285">
        <f>N('R7業務（長）'!R50)-N(R202)</f>
        <v>0</v>
      </c>
      <c r="AP202" s="1285">
        <f>N('R7業務（長）'!S50)-N(S202)</f>
        <v>0</v>
      </c>
      <c r="AQ202" s="1285">
        <f>N('R7業務（長）'!T50)-N(T202)</f>
        <v>0</v>
      </c>
      <c r="AR202" s="1285">
        <f>N('R7業務（長）'!U50)-N(U202)</f>
        <v>0</v>
      </c>
    </row>
    <row r="203">
      <c r="Q203" s="1284" t="n">
        <v>0</v>
      </c>
      <c r="Z203" s="1285">
        <f>N('R7業務（長）'!C51)-N(C203)</f>
        <v>0</v>
      </c>
      <c r="AA203" s="1285">
        <f>N('R7業務（長）'!D51)-N(D203)</f>
        <v>0</v>
      </c>
      <c r="AB203" s="1285">
        <f>N('R7業務（長）'!E51)-N(E203)</f>
        <v>0</v>
      </c>
      <c r="AC203" s="1285">
        <f>N('R7業務（長）'!F51)-N(F203)</f>
        <v>0</v>
      </c>
      <c r="AD203" s="1285">
        <f>N('R7業務（長）'!G51)-N(G203)</f>
        <v>0</v>
      </c>
      <c r="AE203" s="1285">
        <f>N('R7業務（長）'!H51)-N(H203)</f>
        <v>0</v>
      </c>
      <c r="AF203" s="1285">
        <f>N('R7業務（長）'!I51)-N(I203)</f>
        <v>0</v>
      </c>
      <c r="AG203" s="1285">
        <f>N('R7業務（長）'!J51)-N(J203)</f>
        <v>0</v>
      </c>
      <c r="AH203" s="1285">
        <f>N('R7業務（長）'!K51)-N(K203)</f>
        <v>0</v>
      </c>
      <c r="AI203" s="1285">
        <f>N('R7業務（長）'!L51)-N(L203)</f>
        <v>0</v>
      </c>
      <c r="AJ203" s="1285">
        <f>N('R7業務（長）'!M51)-N(M203)</f>
        <v>0</v>
      </c>
      <c r="AK203" s="1285">
        <f>N('R7業務（長）'!N51)-N(N203)</f>
        <v>0</v>
      </c>
      <c r="AL203" s="1285">
        <f>N('R7業務（長）'!O51)-N(O203)</f>
        <v>0</v>
      </c>
      <c r="AM203" s="1285">
        <f>N('R7業務（長）'!P51)-N(P203)</f>
        <v>0</v>
      </c>
      <c r="AN203" s="1285">
        <f>N('R7業務（長）'!Q51)-N(Q203)</f>
        <v>0</v>
      </c>
      <c r="AO203" s="1285">
        <f>N('R7業務（長）'!R51)-N(R203)</f>
        <v>0</v>
      </c>
      <c r="AP203" s="1285">
        <f>N('R7業務（長）'!S51)-N(S203)</f>
        <v>0</v>
      </c>
      <c r="AQ203" s="1285">
        <f>N('R7業務（長）'!T51)-N(T203)</f>
        <v>0</v>
      </c>
      <c r="AR203" s="1285">
        <f>N('R7業務（長）'!U51)-N(U203)</f>
        <v>0</v>
      </c>
    </row>
    <row r="204">
      <c r="C204" s="1284" t="n">
        <v>0</v>
      </c>
      <c r="D204" s="1284" t="n">
        <v>0</v>
      </c>
      <c r="E204" s="1284" t="n">
        <v>0</v>
      </c>
      <c r="F204" s="1284" t="n">
        <v>0</v>
      </c>
      <c r="G204" s="1284" t="n">
        <v>0</v>
      </c>
      <c r="H204" s="1284" t="n">
        <v>0</v>
      </c>
      <c r="I204" s="1284" t="n">
        <v>0</v>
      </c>
      <c r="J204" s="1284" t="n">
        <v>0</v>
      </c>
      <c r="K204" s="1284" t="n">
        <v>0</v>
      </c>
      <c r="L204" s="1284" t="n">
        <v>0</v>
      </c>
      <c r="M204" s="1284" t="n">
        <v>0</v>
      </c>
      <c r="N204" s="1284" t="n">
        <v>0</v>
      </c>
      <c r="O204" s="1284" t="n">
        <v>0</v>
      </c>
      <c r="Q204" s="1284" t="n">
        <v>0</v>
      </c>
      <c r="Z204" s="1285">
        <f>N('R7業務（長）'!C52)-N(C204)</f>
        <v>0</v>
      </c>
      <c r="AA204" s="1285">
        <f>N('R7業務（長）'!D52)-N(D204)</f>
        <v>0</v>
      </c>
      <c r="AB204" s="1285">
        <f>N('R7業務（長）'!E52)-N(E204)</f>
        <v>0</v>
      </c>
      <c r="AC204" s="1285">
        <f>N('R7業務（長）'!F52)-N(F204)</f>
        <v>0</v>
      </c>
      <c r="AD204" s="1285">
        <f>N('R7業務（長）'!G52)-N(G204)</f>
        <v>0</v>
      </c>
      <c r="AE204" s="1285">
        <f>N('R7業務（長）'!H52)-N(H204)</f>
        <v>0</v>
      </c>
      <c r="AF204" s="1285">
        <f>N('R7業務（長）'!I52)-N(I204)</f>
        <v>0</v>
      </c>
      <c r="AG204" s="1285">
        <f>N('R7業務（長）'!J52)-N(J204)</f>
        <v>0</v>
      </c>
      <c r="AH204" s="1285">
        <f>N('R7業務（長）'!K52)-N(K204)</f>
        <v>0</v>
      </c>
      <c r="AI204" s="1285">
        <f>N('R7業務（長）'!L52)-N(L204)</f>
        <v>0</v>
      </c>
      <c r="AJ204" s="1285">
        <f>N('R7業務（長）'!M52)-N(M204)</f>
        <v>0</v>
      </c>
      <c r="AK204" s="1285">
        <f>N('R7業務（長）'!N52)-N(N204)</f>
        <v>0</v>
      </c>
      <c r="AL204" s="1285">
        <f>N('R7業務（長）'!O52)-N(O204)</f>
        <v>0</v>
      </c>
      <c r="AM204" s="1285">
        <f>N('R7業務（長）'!P52)-N(P204)</f>
        <v>0</v>
      </c>
      <c r="AN204" s="1285">
        <f>N('R7業務（長）'!Q52)-N(Q204)</f>
        <v>0</v>
      </c>
      <c r="AO204" s="1285">
        <f>N('R7業務（長）'!R52)-N(R204)</f>
        <v>0</v>
      </c>
      <c r="AP204" s="1285">
        <f>N('R7業務（長）'!S52)-N(S204)</f>
        <v>0</v>
      </c>
      <c r="AQ204" s="1285">
        <f>N('R7業務（長）'!T52)-N(T204)</f>
        <v>0</v>
      </c>
      <c r="AR204" s="1285">
        <f>N('R7業務（長）'!U52)-N(U204)</f>
        <v>0</v>
      </c>
    </row>
    <row r="205">
      <c r="C205" s="1284" t="n">
        <v>0</v>
      </c>
      <c r="D205" s="1284" t="n">
        <v>0</v>
      </c>
      <c r="E205" s="1284" t="n">
        <v>0</v>
      </c>
      <c r="F205" s="1284" t="n">
        <v>0</v>
      </c>
      <c r="G205" s="1284" t="n">
        <v>0</v>
      </c>
      <c r="H205" s="1284" t="n">
        <v>0</v>
      </c>
      <c r="I205" s="1284" t="n">
        <v>0</v>
      </c>
      <c r="J205" s="1284" t="n">
        <v>0</v>
      </c>
      <c r="K205" s="1284" t="n">
        <v>0</v>
      </c>
      <c r="L205" s="1284" t="n">
        <v>0</v>
      </c>
      <c r="M205" s="1284" t="n">
        <v>0</v>
      </c>
      <c r="N205" s="1284" t="n">
        <v>0</v>
      </c>
      <c r="Q205" s="1284" t="n">
        <v>0</v>
      </c>
      <c r="Z205" s="1285">
        <f>N('R7業務（長）'!C53)-N(C205)</f>
        <v>0</v>
      </c>
      <c r="AA205" s="1285">
        <f>N('R7業務（長）'!D53)-N(D205)</f>
        <v>0</v>
      </c>
      <c r="AB205" s="1285">
        <f>N('R7業務（長）'!E53)-N(E205)</f>
        <v>0</v>
      </c>
      <c r="AC205" s="1285">
        <f>N('R7業務（長）'!F53)-N(F205)</f>
        <v>0</v>
      </c>
      <c r="AD205" s="1285">
        <f>N('R7業務（長）'!G53)-N(G205)</f>
        <v>0</v>
      </c>
      <c r="AE205" s="1285">
        <f>N('R7業務（長）'!H53)-N(H205)</f>
        <v>0</v>
      </c>
      <c r="AF205" s="1285">
        <f>N('R7業務（長）'!I53)-N(I205)</f>
        <v>0</v>
      </c>
      <c r="AG205" s="1285">
        <f>N('R7業務（長）'!J53)-N(J205)</f>
        <v>0</v>
      </c>
      <c r="AH205" s="1285">
        <f>N('R7業務（長）'!K53)-N(K205)</f>
        <v>0</v>
      </c>
      <c r="AI205" s="1285">
        <f>N('R7業務（長）'!L53)-N(L205)</f>
        <v>0</v>
      </c>
      <c r="AJ205" s="1285">
        <f>N('R7業務（長）'!M53)-N(M205)</f>
        <v>0</v>
      </c>
      <c r="AK205" s="1285">
        <f>N('R7業務（長）'!N53)-N(N205)</f>
        <v>0</v>
      </c>
      <c r="AL205" s="1285">
        <f>N('R7業務（長）'!O53)-N(O205)</f>
        <v>0</v>
      </c>
      <c r="AM205" s="1285">
        <f>N('R7業務（長）'!P53)-N(P205)</f>
        <v>0</v>
      </c>
      <c r="AN205" s="1285">
        <f>N('R7業務（長）'!Q53)-N(Q205)</f>
        <v>0</v>
      </c>
      <c r="AO205" s="1285">
        <f>N('R7業務（長）'!R53)-N(R205)</f>
        <v>0</v>
      </c>
      <c r="AP205" s="1285">
        <f>N('R7業務（長）'!S53)-N(S205)</f>
        <v>0</v>
      </c>
      <c r="AQ205" s="1285">
        <f>N('R7業務（長）'!T53)-N(T205)</f>
        <v>0</v>
      </c>
      <c r="AR205" s="1285">
        <f>N('R7業務（長）'!U53)-N(U205)</f>
        <v>0</v>
      </c>
    </row>
    <row r="206">
      <c r="E206" s="1284" t="n">
        <v>0</v>
      </c>
      <c r="K206" s="1284" t="n">
        <v>0</v>
      </c>
      <c r="Q206" s="1284" t="n">
        <v>0</v>
      </c>
      <c r="Z206" s="1285">
        <f>N('R7業務（長）'!C54)-N(C206)</f>
        <v>0</v>
      </c>
      <c r="AA206" s="1285">
        <f>N('R7業務（長）'!D54)-N(D206)</f>
        <v>0</v>
      </c>
      <c r="AB206" s="1285">
        <f>N('R7業務（長）'!E54)-N(E206)</f>
        <v>0</v>
      </c>
      <c r="AC206" s="1285">
        <f>N('R7業務（長）'!F54)-N(F206)</f>
        <v>0</v>
      </c>
      <c r="AD206" s="1285">
        <f>N('R7業務（長）'!G54)-N(G206)</f>
        <v>0</v>
      </c>
      <c r="AE206" s="1285">
        <f>N('R7業務（長）'!H54)-N(H206)</f>
        <v>0</v>
      </c>
      <c r="AF206" s="1285">
        <f>N('R7業務（長）'!I54)-N(I206)</f>
        <v>0</v>
      </c>
      <c r="AG206" s="1285">
        <f>N('R7業務（長）'!J54)-N(J206)</f>
        <v>0</v>
      </c>
      <c r="AH206" s="1285">
        <f>N('R7業務（長）'!K54)-N(K206)</f>
        <v>0</v>
      </c>
      <c r="AI206" s="1285">
        <f>N('R7業務（長）'!L54)-N(L206)</f>
        <v>0</v>
      </c>
      <c r="AJ206" s="1285">
        <f>N('R7業務（長）'!M54)-N(M206)</f>
        <v>0</v>
      </c>
      <c r="AK206" s="1285">
        <f>N('R7業務（長）'!N54)-N(N206)</f>
        <v>0</v>
      </c>
      <c r="AL206" s="1285">
        <f>N('R7業務（長）'!O54)-N(O206)</f>
        <v>0</v>
      </c>
      <c r="AM206" s="1285">
        <f>N('R7業務（長）'!P54)-N(P206)</f>
        <v>0</v>
      </c>
      <c r="AN206" s="1285">
        <f>N('R7業務（長）'!Q54)-N(Q206)</f>
        <v>0</v>
      </c>
      <c r="AO206" s="1285">
        <f>N('R7業務（長）'!R54)-N(R206)</f>
        <v>0</v>
      </c>
      <c r="AP206" s="1285">
        <f>N('R7業務（長）'!S54)-N(S206)</f>
        <v>0</v>
      </c>
      <c r="AQ206" s="1285">
        <f>N('R7業務（長）'!T54)-N(T206)</f>
        <v>0</v>
      </c>
      <c r="AR206" s="1285">
        <f>N('R7業務（長）'!U54)-N(U206)</f>
        <v>0</v>
      </c>
    </row>
    <row r="207">
      <c r="C207" s="1284" t="n">
        <v>0</v>
      </c>
      <c r="D207" s="1284" t="n">
        <v>0</v>
      </c>
      <c r="E207" s="1284" t="n">
        <v>0</v>
      </c>
      <c r="F207" s="1284" t="n">
        <v>0</v>
      </c>
      <c r="G207" s="1284" t="n">
        <v>0</v>
      </c>
      <c r="H207" s="1284" t="n">
        <v>0</v>
      </c>
      <c r="I207" s="1284" t="n">
        <v>0</v>
      </c>
      <c r="J207" s="1284" t="n">
        <v>0</v>
      </c>
      <c r="K207" s="1284" t="n">
        <v>0</v>
      </c>
      <c r="L207" s="1284" t="n">
        <v>0</v>
      </c>
      <c r="M207" s="1284" t="n">
        <v>0</v>
      </c>
      <c r="N207" s="1284" t="n">
        <v>0</v>
      </c>
      <c r="O207" s="1284" t="n">
        <v>0</v>
      </c>
      <c r="Q207" s="1284" t="n">
        <v>0</v>
      </c>
      <c r="Z207" s="1285">
        <f>N('R7業務（長）'!C55)-N(C207)</f>
        <v>0</v>
      </c>
      <c r="AA207" s="1285">
        <f>N('R7業務（長）'!D55)-N(D207)</f>
        <v>0</v>
      </c>
      <c r="AB207" s="1285">
        <f>N('R7業務（長）'!E55)-N(E207)</f>
        <v>0</v>
      </c>
      <c r="AC207" s="1285">
        <f>N('R7業務（長）'!F55)-N(F207)</f>
        <v>0</v>
      </c>
      <c r="AD207" s="1285">
        <f>N('R7業務（長）'!G55)-N(G207)</f>
        <v>0</v>
      </c>
      <c r="AE207" s="1285">
        <f>N('R7業務（長）'!H55)-N(H207)</f>
        <v>0</v>
      </c>
      <c r="AF207" s="1285">
        <f>N('R7業務（長）'!I55)-N(I207)</f>
        <v>0</v>
      </c>
      <c r="AG207" s="1285">
        <f>N('R7業務（長）'!J55)-N(J207)</f>
        <v>0</v>
      </c>
      <c r="AH207" s="1285">
        <f>N('R7業務（長）'!K55)-N(K207)</f>
        <v>0</v>
      </c>
      <c r="AI207" s="1285">
        <f>N('R7業務（長）'!L55)-N(L207)</f>
        <v>0</v>
      </c>
      <c r="AJ207" s="1285">
        <f>N('R7業務（長）'!M55)-N(M207)</f>
        <v>0</v>
      </c>
      <c r="AK207" s="1285">
        <f>N('R7業務（長）'!N55)-N(N207)</f>
        <v>0</v>
      </c>
      <c r="AL207" s="1285">
        <f>N('R7業務（長）'!O55)-N(O207)</f>
        <v>0</v>
      </c>
      <c r="AM207" s="1285">
        <f>N('R7業務（長）'!P55)-N(P207)</f>
        <v>0</v>
      </c>
      <c r="AN207" s="1285">
        <f>N('R7業務（長）'!Q55)-N(Q207)</f>
        <v>0</v>
      </c>
      <c r="AO207" s="1285">
        <f>N('R7業務（長）'!R55)-N(R207)</f>
        <v>0</v>
      </c>
      <c r="AP207" s="1285">
        <f>N('R7業務（長）'!S55)-N(S207)</f>
        <v>0</v>
      </c>
      <c r="AQ207" s="1285">
        <f>N('R7業務（長）'!T55)-N(T207)</f>
        <v>0</v>
      </c>
      <c r="AR207" s="1285">
        <f>N('R7業務（長）'!U55)-N(U207)</f>
        <v>0</v>
      </c>
    </row>
    <row r="208">
      <c r="C208" s="1284" t="n">
        <v>380800</v>
      </c>
      <c r="D208" s="1284" t="n">
        <v>380800</v>
      </c>
      <c r="E208" s="1284" t="n">
        <v>380800</v>
      </c>
      <c r="F208" s="1284" t="n">
        <v>380800</v>
      </c>
      <c r="G208" s="1284" t="n">
        <v>380800</v>
      </c>
      <c r="H208" s="1284" t="n">
        <v>380800</v>
      </c>
      <c r="I208" s="1284" t="n">
        <v>381773</v>
      </c>
      <c r="J208" s="1284" t="n">
        <v>381773</v>
      </c>
      <c r="K208" s="1284" t="n">
        <v>548800</v>
      </c>
      <c r="L208" s="1284" t="n">
        <v>395611</v>
      </c>
      <c r="M208" s="1284" t="n">
        <v>395611</v>
      </c>
      <c r="N208" s="1284" t="n">
        <v>464977</v>
      </c>
      <c r="Q208" s="1284" t="n">
        <v>4853345</v>
      </c>
      <c r="Z208" s="1285">
        <f>N('R7業務（長）'!C56)-N(C208)</f>
        <v>0</v>
      </c>
      <c r="AA208" s="1285">
        <f>N('R7業務（長）'!D56)-N(D208)</f>
        <v>0</v>
      </c>
      <c r="AB208" s="1285">
        <f>N('R7業務（長）'!E56)-N(E208)</f>
        <v>0</v>
      </c>
      <c r="AC208" s="1285">
        <f>N('R7業務（長）'!F56)-N(F208)</f>
        <v>0</v>
      </c>
      <c r="AD208" s="1285">
        <f>N('R7業務（長）'!G56)-N(G208)</f>
        <v>0</v>
      </c>
      <c r="AE208" s="1285">
        <f>N('R7業務（長）'!H56)-N(H208)</f>
        <v>0</v>
      </c>
      <c r="AF208" s="1285">
        <f>N('R7業務（長）'!I56)-N(I208)</f>
        <v>0</v>
      </c>
      <c r="AG208" s="1285">
        <f>N('R7業務（長）'!J56)-N(J208)</f>
        <v>0</v>
      </c>
      <c r="AH208" s="1285">
        <f>N('R7業務（長）'!K56)-N(K208)</f>
        <v>0</v>
      </c>
      <c r="AI208" s="1285">
        <f>N('R7業務（長）'!L56)-N(L208)</f>
        <v>0</v>
      </c>
      <c r="AJ208" s="1285">
        <f>N('R7業務（長）'!M56)-N(M208)</f>
        <v>0</v>
      </c>
      <c r="AK208" s="1285">
        <f>N('R7業務（長）'!N56)-N(N208)</f>
        <v>0</v>
      </c>
      <c r="AL208" s="1285">
        <f>N('R7業務（長）'!O56)-N(O208)</f>
        <v>0</v>
      </c>
      <c r="AM208" s="1285">
        <f>N('R7業務（長）'!P56)-N(P208)</f>
        <v>0</v>
      </c>
      <c r="AN208" s="1285">
        <f>N('R7業務（長）'!Q56)-N(Q208)</f>
        <v>0</v>
      </c>
      <c r="AO208" s="1285">
        <f>N('R7業務（長）'!R56)-N(R208)</f>
        <v>0</v>
      </c>
      <c r="AP208" s="1285">
        <f>N('R7業務（長）'!S56)-N(S208)</f>
        <v>0</v>
      </c>
      <c r="AQ208" s="1285">
        <f>N('R7業務（長）'!T56)-N(T208)</f>
        <v>0</v>
      </c>
      <c r="AR208" s="1285">
        <f>N('R7業務（長）'!U56)-N(U208)</f>
        <v>0</v>
      </c>
    </row>
    <row r="209">
      <c r="E209" s="1284" t="n">
        <v>867690</v>
      </c>
      <c r="K209" s="1284" t="n">
        <v>621532</v>
      </c>
      <c r="Q209" s="1284" t="n">
        <v>1489222</v>
      </c>
      <c r="Z209" s="1285">
        <f>N('R7業務（長）'!C57)-N(C209)</f>
        <v>0</v>
      </c>
      <c r="AA209" s="1285">
        <f>N('R7業務（長）'!D57)-N(D209)</f>
        <v>0</v>
      </c>
      <c r="AB209" s="1285">
        <f>N('R7業務（長）'!E57)-N(E209)</f>
        <v>0</v>
      </c>
      <c r="AC209" s="1285">
        <f>N('R7業務（長）'!F57)-N(F209)</f>
        <v>0</v>
      </c>
      <c r="AD209" s="1285">
        <f>N('R7業務（長）'!G57)-N(G209)</f>
        <v>0</v>
      </c>
      <c r="AE209" s="1285">
        <f>N('R7業務（長）'!H57)-N(H209)</f>
        <v>0</v>
      </c>
      <c r="AF209" s="1285">
        <f>N('R7業務（長）'!I57)-N(I209)</f>
        <v>0</v>
      </c>
      <c r="AG209" s="1285">
        <f>N('R7業務（長）'!J57)-N(J209)</f>
        <v>0</v>
      </c>
      <c r="AH209" s="1285">
        <f>N('R7業務（長）'!K57)-N(K209)</f>
        <v>0</v>
      </c>
      <c r="AI209" s="1285">
        <f>N('R7業務（長）'!L57)-N(L209)</f>
        <v>0</v>
      </c>
      <c r="AJ209" s="1285">
        <f>N('R7業務（長）'!M57)-N(M209)</f>
        <v>0</v>
      </c>
      <c r="AK209" s="1285">
        <f>N('R7業務（長）'!N57)-N(N209)</f>
        <v>0</v>
      </c>
      <c r="AL209" s="1285">
        <f>N('R7業務（長）'!O57)-N(O209)</f>
        <v>0</v>
      </c>
      <c r="AM209" s="1285">
        <f>N('R7業務（長）'!P57)-N(P209)</f>
        <v>0</v>
      </c>
      <c r="AN209" s="1285">
        <f>N('R7業務（長）'!Q57)-N(Q209)</f>
        <v>0</v>
      </c>
      <c r="AO209" s="1285">
        <f>N('R7業務（長）'!R57)-N(R209)</f>
        <v>0</v>
      </c>
      <c r="AP209" s="1285">
        <f>N('R7業務（長）'!S57)-N(S209)</f>
        <v>0</v>
      </c>
      <c r="AQ209" s="1285">
        <f>N('R7業務（長）'!T57)-N(T209)</f>
        <v>0</v>
      </c>
      <c r="AR209" s="1285">
        <f>N('R7業務（長）'!U57)-N(U209)</f>
        <v>0</v>
      </c>
    </row>
    <row r="210">
      <c r="C210" s="1284" t="n">
        <v>380800</v>
      </c>
      <c r="D210" s="1284" t="n">
        <v>380800</v>
      </c>
      <c r="E210" s="1284" t="n">
        <v>1248490</v>
      </c>
      <c r="F210" s="1284" t="n">
        <v>380800</v>
      </c>
      <c r="G210" s="1284" t="n">
        <v>380800</v>
      </c>
      <c r="H210" s="1284" t="n">
        <v>380800</v>
      </c>
      <c r="I210" s="1284" t="n">
        <v>381773</v>
      </c>
      <c r="J210" s="1284" t="n">
        <v>381773</v>
      </c>
      <c r="K210" s="1284" t="n">
        <v>1170332</v>
      </c>
      <c r="L210" s="1284" t="n">
        <v>395611</v>
      </c>
      <c r="M210" s="1284" t="n">
        <v>395611</v>
      </c>
      <c r="N210" s="1284" t="n">
        <v>464977</v>
      </c>
      <c r="O210" s="1284" t="n">
        <v>0</v>
      </c>
      <c r="Q210" s="1284" t="n">
        <v>6342567</v>
      </c>
      <c r="Z210" s="1285">
        <f>N('R7業務（長）'!C58)-N(C210)</f>
        <v>0</v>
      </c>
      <c r="AA210" s="1285">
        <f>N('R7業務（長）'!D58)-N(D210)</f>
        <v>0</v>
      </c>
      <c r="AB210" s="1285">
        <f>N('R7業務（長）'!E58)-N(E210)</f>
        <v>0</v>
      </c>
      <c r="AC210" s="1285">
        <f>N('R7業務（長）'!F58)-N(F210)</f>
        <v>0</v>
      </c>
      <c r="AD210" s="1285">
        <f>N('R7業務（長）'!G58)-N(G210)</f>
        <v>0</v>
      </c>
      <c r="AE210" s="1285">
        <f>N('R7業務（長）'!H58)-N(H210)</f>
        <v>0</v>
      </c>
      <c r="AF210" s="1285">
        <f>N('R7業務（長）'!I58)-N(I210)</f>
        <v>0</v>
      </c>
      <c r="AG210" s="1285">
        <f>N('R7業務（長）'!J58)-N(J210)</f>
        <v>0</v>
      </c>
      <c r="AH210" s="1285">
        <f>N('R7業務（長）'!K58)-N(K210)</f>
        <v>0</v>
      </c>
      <c r="AI210" s="1285">
        <f>N('R7業務（長）'!L58)-N(L210)</f>
        <v>0</v>
      </c>
      <c r="AJ210" s="1285">
        <f>N('R7業務（長）'!M58)-N(M210)</f>
        <v>0</v>
      </c>
      <c r="AK210" s="1285">
        <f>N('R7業務（長）'!N58)-N(N210)</f>
        <v>0</v>
      </c>
      <c r="AL210" s="1285">
        <f>N('R7業務（長）'!O58)-N(O210)</f>
        <v>0</v>
      </c>
      <c r="AM210" s="1285">
        <f>N('R7業務（長）'!P58)-N(P210)</f>
        <v>0</v>
      </c>
      <c r="AN210" s="1285">
        <f>N('R7業務（長）'!Q58)-N(Q210)</f>
        <v>0</v>
      </c>
      <c r="AO210" s="1285">
        <f>N('R7業務（長）'!R58)-N(R210)</f>
        <v>0</v>
      </c>
      <c r="AP210" s="1285">
        <f>N('R7業務（長）'!S58)-N(S210)</f>
        <v>0</v>
      </c>
      <c r="AQ210" s="1285">
        <f>N('R7業務（長）'!T58)-N(T210)</f>
        <v>0</v>
      </c>
      <c r="AR210" s="1285">
        <f>N('R7業務（長）'!U58)-N(U210)</f>
        <v>0</v>
      </c>
    </row>
    <row r="211">
      <c r="Q211" s="1284" t="n">
        <v>0</v>
      </c>
      <c r="Z211" s="1285">
        <f>N('R7業務（長）'!C59)-N(C211)</f>
        <v>0</v>
      </c>
      <c r="AA211" s="1285">
        <f>N('R7業務（長）'!D59)-N(D211)</f>
        <v>0</v>
      </c>
      <c r="AB211" s="1285">
        <f>N('R7業務（長）'!E59)-N(E211)</f>
        <v>0</v>
      </c>
      <c r="AC211" s="1285">
        <f>N('R7業務（長）'!F59)-N(F211)</f>
        <v>0</v>
      </c>
      <c r="AD211" s="1285">
        <f>N('R7業務（長）'!G59)-N(G211)</f>
        <v>0</v>
      </c>
      <c r="AE211" s="1285">
        <f>N('R7業務（長）'!H59)-N(H211)</f>
        <v>0</v>
      </c>
      <c r="AF211" s="1285">
        <f>N('R7業務（長）'!I59)-N(I211)</f>
        <v>0</v>
      </c>
      <c r="AG211" s="1285">
        <f>N('R7業務（長）'!J59)-N(J211)</f>
        <v>0</v>
      </c>
      <c r="AH211" s="1285">
        <f>N('R7業務（長）'!K59)-N(K211)</f>
        <v>0</v>
      </c>
      <c r="AI211" s="1285">
        <f>N('R7業務（長）'!L59)-N(L211)</f>
        <v>0</v>
      </c>
      <c r="AJ211" s="1285">
        <f>N('R7業務（長）'!M59)-N(M211)</f>
        <v>0</v>
      </c>
      <c r="AK211" s="1285">
        <f>N('R7業務（長）'!N59)-N(N211)</f>
        <v>0</v>
      </c>
      <c r="AL211" s="1285">
        <f>N('R7業務（長）'!O59)-N(O211)</f>
        <v>0</v>
      </c>
      <c r="AM211" s="1285">
        <f>N('R7業務（長）'!P59)-N(P211)</f>
        <v>0</v>
      </c>
      <c r="AN211" s="1285">
        <f>N('R7業務（長）'!Q59)-N(Q211)</f>
        <v>0</v>
      </c>
      <c r="AO211" s="1285">
        <f>N('R7業務（長）'!R59)-N(R211)</f>
        <v>0</v>
      </c>
      <c r="AP211" s="1285">
        <f>N('R7業務（長）'!S59)-N(S211)</f>
        <v>0</v>
      </c>
      <c r="AQ211" s="1285">
        <f>N('R7業務（長）'!T59)-N(T211)</f>
        <v>0</v>
      </c>
      <c r="AR211" s="1285">
        <f>N('R7業務（長）'!U59)-N(U211)</f>
        <v>0</v>
      </c>
    </row>
    <row r="212">
      <c r="C212" s="1284" t="n">
        <v>0</v>
      </c>
      <c r="D212" s="1284" t="n">
        <v>0</v>
      </c>
      <c r="E212" s="1284" t="n">
        <v>0</v>
      </c>
      <c r="F212" s="1284" t="n">
        <v>0</v>
      </c>
      <c r="G212" s="1284" t="n">
        <v>0</v>
      </c>
      <c r="H212" s="1284" t="n">
        <v>0</v>
      </c>
      <c r="I212" s="1284" t="n">
        <v>0</v>
      </c>
      <c r="J212" s="1284" t="n">
        <v>0</v>
      </c>
      <c r="K212" s="1284" t="n">
        <v>0</v>
      </c>
      <c r="L212" s="1284" t="n">
        <v>0</v>
      </c>
      <c r="M212" s="1284" t="n">
        <v>0</v>
      </c>
      <c r="N212" s="1284" t="n">
        <v>0</v>
      </c>
      <c r="O212" s="1284" t="n">
        <v>0</v>
      </c>
      <c r="Q212" s="1284" t="n">
        <v>0</v>
      </c>
      <c r="Z212" s="1285">
        <f>N('R7業務（長）'!C60)-N(C212)</f>
        <v>0</v>
      </c>
      <c r="AA212" s="1285">
        <f>N('R7業務（長）'!D60)-N(D212)</f>
        <v>0</v>
      </c>
      <c r="AB212" s="1285">
        <f>N('R7業務（長）'!E60)-N(E212)</f>
        <v>0</v>
      </c>
      <c r="AC212" s="1285">
        <f>N('R7業務（長）'!F60)-N(F212)</f>
        <v>0</v>
      </c>
      <c r="AD212" s="1285">
        <f>N('R7業務（長）'!G60)-N(G212)</f>
        <v>0</v>
      </c>
      <c r="AE212" s="1285">
        <f>N('R7業務（長）'!H60)-N(H212)</f>
        <v>0</v>
      </c>
      <c r="AF212" s="1285">
        <f>N('R7業務（長）'!I60)-N(I212)</f>
        <v>0</v>
      </c>
      <c r="AG212" s="1285">
        <f>N('R7業務（長）'!J60)-N(J212)</f>
        <v>0</v>
      </c>
      <c r="AH212" s="1285">
        <f>N('R7業務（長）'!K60)-N(K212)</f>
        <v>0</v>
      </c>
      <c r="AI212" s="1285">
        <f>N('R7業務（長）'!L60)-N(L212)</f>
        <v>0</v>
      </c>
      <c r="AJ212" s="1285">
        <f>N('R7業務（長）'!M60)-N(M212)</f>
        <v>0</v>
      </c>
      <c r="AK212" s="1285">
        <f>N('R7業務（長）'!N60)-N(N212)</f>
        <v>0</v>
      </c>
      <c r="AL212" s="1285">
        <f>N('R7業務（長）'!O60)-N(O212)</f>
        <v>0</v>
      </c>
      <c r="AM212" s="1285">
        <f>N('R7業務（長）'!P60)-N(P212)</f>
        <v>0</v>
      </c>
      <c r="AN212" s="1285">
        <f>N('R7業務（長）'!Q60)-N(Q212)</f>
        <v>0</v>
      </c>
      <c r="AO212" s="1285">
        <f>N('R7業務（長）'!R60)-N(R212)</f>
        <v>0</v>
      </c>
      <c r="AP212" s="1285">
        <f>N('R7業務（長）'!S60)-N(S212)</f>
        <v>0</v>
      </c>
      <c r="AQ212" s="1285">
        <f>N('R7業務（長）'!T60)-N(T212)</f>
        <v>0</v>
      </c>
      <c r="AR212" s="1285">
        <f>N('R7業務（長）'!U60)-N(U212)</f>
        <v>0</v>
      </c>
    </row>
    <row r="213">
      <c r="Z213" s="1285">
        <f>N('R7業務（長）'!C61)-N(C213)</f>
        <v>0</v>
      </c>
      <c r="AA213" s="1285">
        <f>N('R7業務（長）'!D61)-N(D213)</f>
        <v>0</v>
      </c>
      <c r="AB213" s="1285">
        <f>N('R7業務（長）'!E61)-N(E213)</f>
        <v>0</v>
      </c>
      <c r="AC213" s="1285">
        <f>N('R7業務（長）'!F61)-N(F213)</f>
        <v>0</v>
      </c>
      <c r="AD213" s="1285">
        <f>N('R7業務（長）'!G61)-N(G213)</f>
        <v>0</v>
      </c>
      <c r="AE213" s="1285">
        <f>N('R7業務（長）'!H61)-N(H213)</f>
        <v>0</v>
      </c>
      <c r="AF213" s="1285">
        <f>N('R7業務（長）'!I61)-N(I213)</f>
        <v>0</v>
      </c>
      <c r="AG213" s="1285">
        <f>N('R7業務（長）'!J61)-N(J213)</f>
        <v>0</v>
      </c>
      <c r="AH213" s="1285">
        <f>N('R7業務（長）'!K61)-N(K213)</f>
        <v>0</v>
      </c>
      <c r="AI213" s="1285">
        <f>N('R7業務（長）'!L61)-N(L213)</f>
        <v>0</v>
      </c>
      <c r="AJ213" s="1285">
        <f>N('R7業務（長）'!M61)-N(M213)</f>
        <v>0</v>
      </c>
      <c r="AK213" s="1285">
        <f>N('R7業務（長）'!N61)-N(N213)</f>
        <v>0</v>
      </c>
      <c r="AL213" s="1285">
        <f>N('R7業務（長）'!O61)-N(O213)</f>
        <v>0</v>
      </c>
      <c r="AM213" s="1285">
        <f>N('R7業務（長）'!P61)-N(P213)</f>
        <v>0</v>
      </c>
      <c r="AN213" s="1285">
        <f>N('R7業務（長）'!Q61)-N(Q213)</f>
        <v>0</v>
      </c>
      <c r="AO213" s="1285">
        <f>N('R7業務（長）'!R61)-N(R213)</f>
        <v>0</v>
      </c>
      <c r="AP213" s="1285">
        <f>N('R7業務（長）'!S61)-N(S213)</f>
        <v>0</v>
      </c>
      <c r="AQ213" s="1285">
        <f>N('R7業務（長）'!T61)-N(T213)</f>
        <v>0</v>
      </c>
      <c r="AR213" s="1285">
        <f>N('R7業務（長）'!U61)-N(U213)</f>
        <v>0</v>
      </c>
    </row>
    <row r="214">
      <c r="C214" s="1284" t="n">
        <v>380800</v>
      </c>
      <c r="D214" s="1284" t="n">
        <v>380800</v>
      </c>
      <c r="E214" s="1284" t="n">
        <v>1248490</v>
      </c>
      <c r="F214" s="1284" t="n">
        <v>380800</v>
      </c>
      <c r="G214" s="1284" t="n">
        <v>380800</v>
      </c>
      <c r="H214" s="1284" t="n">
        <v>380800</v>
      </c>
      <c r="I214" s="1284" t="n">
        <v>381773</v>
      </c>
      <c r="J214" s="1284" t="n">
        <v>381773</v>
      </c>
      <c r="K214" s="1284" t="n">
        <v>1170332</v>
      </c>
      <c r="L214" s="1284" t="n">
        <v>395611</v>
      </c>
      <c r="M214" s="1284" t="n">
        <v>395611</v>
      </c>
      <c r="N214" s="1284" t="n">
        <v>464977</v>
      </c>
      <c r="O214" s="1284" t="n">
        <v>0</v>
      </c>
      <c r="Q214" s="1284" t="n">
        <v>6342567</v>
      </c>
      <c r="Z214" s="1285">
        <f>N('R7業務（長）'!C62)-N(C214)</f>
        <v>0</v>
      </c>
      <c r="AA214" s="1285">
        <f>N('R7業務（長）'!D62)-N(D214)</f>
        <v>0</v>
      </c>
      <c r="AB214" s="1285">
        <f>N('R7業務（長）'!E62)-N(E214)</f>
        <v>0</v>
      </c>
      <c r="AC214" s="1285">
        <f>N('R7業務（長）'!F62)-N(F214)</f>
        <v>0</v>
      </c>
      <c r="AD214" s="1285">
        <f>N('R7業務（長）'!G62)-N(G214)</f>
        <v>0</v>
      </c>
      <c r="AE214" s="1285">
        <f>N('R7業務（長）'!H62)-N(H214)</f>
        <v>0</v>
      </c>
      <c r="AF214" s="1285">
        <f>N('R7業務（長）'!I62)-N(I214)</f>
        <v>0</v>
      </c>
      <c r="AG214" s="1285">
        <f>N('R7業務（長）'!J62)-N(J214)</f>
        <v>0</v>
      </c>
      <c r="AH214" s="1285">
        <f>N('R7業務（長）'!K62)-N(K214)</f>
        <v>0</v>
      </c>
      <c r="AI214" s="1285">
        <f>N('R7業務（長）'!L62)-N(L214)</f>
        <v>0</v>
      </c>
      <c r="AJ214" s="1285">
        <f>N('R7業務（長）'!M62)-N(M214)</f>
        <v>0</v>
      </c>
      <c r="AK214" s="1285">
        <f>N('R7業務（長）'!N62)-N(N214)</f>
        <v>0</v>
      </c>
      <c r="AL214" s="1285">
        <f>N('R7業務（長）'!O62)-N(O214)</f>
        <v>0</v>
      </c>
      <c r="AM214" s="1285">
        <f>N('R7業務（長）'!P62)-N(P214)</f>
        <v>0</v>
      </c>
      <c r="AN214" s="1285">
        <f>N('R7業務（長）'!Q62)-N(Q214)</f>
        <v>0</v>
      </c>
      <c r="AO214" s="1285">
        <f>N('R7業務（長）'!R62)-N(R214)</f>
        <v>0</v>
      </c>
      <c r="AP214" s="1285">
        <f>N('R7業務（長）'!S62)-N(S214)</f>
        <v>0</v>
      </c>
      <c r="AQ214" s="1285">
        <f>N('R7業務（長）'!T62)-N(T214)</f>
        <v>0</v>
      </c>
      <c r="AR214" s="1285">
        <f>N('R7業務（長）'!U62)-N(U214)</f>
        <v>0</v>
      </c>
    </row>
    <row r="221">
      <c r="A221" s="1283" t="inlineStr">
        <is>
          <t>【R8貸付】 旧表の値（A:W）／ 差（Z:AV）</t>
        </is>
      </c>
    </row>
    <row r="226">
      <c r="C226" s="1284" t="n">
        <v>491490</v>
      </c>
      <c r="D226" s="1284" t="n">
        <v>372800</v>
      </c>
      <c r="E226" s="1284" t="n">
        <v>1239559</v>
      </c>
      <c r="F226" s="1284" t="n">
        <v>372800</v>
      </c>
      <c r="G226" s="1284" t="n">
        <v>372800</v>
      </c>
      <c r="H226" s="1284" t="n">
        <v>372800</v>
      </c>
      <c r="I226" s="1284" t="n">
        <v>474390</v>
      </c>
      <c r="J226" s="1284" t="n">
        <v>357596</v>
      </c>
      <c r="K226" s="1284" t="n">
        <v>1320657</v>
      </c>
      <c r="L226" s="1284" t="n">
        <v>365100</v>
      </c>
      <c r="M226" s="1284" t="n">
        <v>365100</v>
      </c>
      <c r="N226" s="1284" t="n">
        <v>365100</v>
      </c>
      <c r="P226" s="1284" t="n">
        <v>6470192</v>
      </c>
      <c r="Q226" s="1284" t="n">
        <v>7137000</v>
      </c>
      <c r="S226" s="1284" t="n">
        <v>7137000</v>
      </c>
      <c r="T226" s="1284" t="n">
        <v>666808</v>
      </c>
      <c r="Z226" s="1285">
        <f>N('R8貸付'!C4)-N(C226)</f>
        <v>0</v>
      </c>
      <c r="AA226" s="1285">
        <f>N('R8貸付'!D4)-N(D226)</f>
        <v>0</v>
      </c>
      <c r="AB226" s="1285">
        <f>N('R8貸付'!E4)-N(E226)</f>
        <v>0</v>
      </c>
      <c r="AC226" s="1285">
        <f>N('R8貸付'!F4)-N(F226)</f>
        <v>0</v>
      </c>
      <c r="AD226" s="1285">
        <f>N('R8貸付'!G4)-N(G226)</f>
        <v>0</v>
      </c>
      <c r="AE226" s="1285">
        <f>N('R8貸付'!H4)-N(H226)</f>
        <v>0</v>
      </c>
      <c r="AF226" s="1285">
        <f>N('R8貸付'!I4)-N(I226)</f>
        <v>0</v>
      </c>
      <c r="AG226" s="1285">
        <f>N('R8貸付'!J4)-N(J226)</f>
        <v>0</v>
      </c>
      <c r="AH226" s="1285">
        <f>N('R8貸付'!K4)-N(K226)</f>
        <v>0</v>
      </c>
      <c r="AI226" s="1285">
        <f>N('R8貸付'!L4)-N(L226)</f>
        <v>0</v>
      </c>
      <c r="AJ226" s="1285">
        <f>N('R8貸付'!M4)-N(M226)</f>
        <v>0</v>
      </c>
      <c r="AK226" s="1285">
        <f>N('R8貸付'!N4)-N(N226)</f>
        <v>0</v>
      </c>
      <c r="AL226" s="1285">
        <f>N('R8貸付'!O4)-N(O226)</f>
        <v>0</v>
      </c>
      <c r="AM226" s="1285">
        <f>N('R8貸付'!P4)-N(P226)</f>
        <v>0</v>
      </c>
      <c r="AN226" s="1285">
        <f>N('R8貸付'!Q4)-N(Q226)</f>
        <v>0</v>
      </c>
      <c r="AO226" s="1285">
        <f>N('R8貸付'!R4)-N(R226)</f>
        <v>0</v>
      </c>
      <c r="AP226" s="1285">
        <f>N('R8貸付'!S4)-N(S226)</f>
        <v>0</v>
      </c>
      <c r="AQ226" s="1285">
        <f>N('R8貸付'!T4)-N(T226)</f>
        <v>0</v>
      </c>
      <c r="AR226" s="1285">
        <f>N('R8貸付'!U4)-N(U226)</f>
        <v>0</v>
      </c>
    </row>
    <row r="227">
      <c r="P227" s="1284" t="n">
        <v>0</v>
      </c>
      <c r="Q227" s="1284" t="n">
        <v>0</v>
      </c>
      <c r="S227" s="1284" t="n">
        <v>0</v>
      </c>
      <c r="T227" s="1284" t="n">
        <v>0</v>
      </c>
      <c r="Z227" s="1285">
        <f>N('R8貸付'!C5)-N(C227)</f>
        <v>0</v>
      </c>
      <c r="AA227" s="1285">
        <f>N('R8貸付'!D5)-N(D227)</f>
        <v>0</v>
      </c>
      <c r="AB227" s="1285">
        <f>N('R8貸付'!E5)-N(E227)</f>
        <v>0</v>
      </c>
      <c r="AC227" s="1285">
        <f>N('R8貸付'!F5)-N(F227)</f>
        <v>0</v>
      </c>
      <c r="AD227" s="1285">
        <f>N('R8貸付'!G5)-N(G227)</f>
        <v>0</v>
      </c>
      <c r="AE227" s="1285">
        <f>N('R8貸付'!H5)-N(H227)</f>
        <v>0</v>
      </c>
      <c r="AF227" s="1285">
        <f>N('R8貸付'!I5)-N(I227)</f>
        <v>0</v>
      </c>
      <c r="AG227" s="1285">
        <f>N('R8貸付'!J5)-N(J227)</f>
        <v>0</v>
      </c>
      <c r="AH227" s="1285">
        <f>N('R8貸付'!K5)-N(K227)</f>
        <v>0</v>
      </c>
      <c r="AI227" s="1285">
        <f>N('R8貸付'!L5)-N(L227)</f>
        <v>0</v>
      </c>
      <c r="AJ227" s="1285">
        <f>N('R8貸付'!M5)-N(M227)</f>
        <v>0</v>
      </c>
      <c r="AK227" s="1285">
        <f>N('R8貸付'!N5)-N(N227)</f>
        <v>0</v>
      </c>
      <c r="AL227" s="1285">
        <f>N('R8貸付'!O5)-N(O227)</f>
        <v>0</v>
      </c>
      <c r="AM227" s="1285">
        <f>N('R8貸付'!P5)-N(P227)</f>
        <v>0</v>
      </c>
      <c r="AN227" s="1285">
        <f>N('R8貸付'!Q5)-N(Q227)</f>
        <v>0</v>
      </c>
      <c r="AO227" s="1285">
        <f>N('R8貸付'!R5)-N(R227)</f>
        <v>0</v>
      </c>
      <c r="AP227" s="1285">
        <f>N('R8貸付'!S5)-N(S227)</f>
        <v>0</v>
      </c>
      <c r="AQ227" s="1285">
        <f>N('R8貸付'!T5)-N(T227)</f>
        <v>0</v>
      </c>
      <c r="AR227" s="1285">
        <f>N('R8貸付'!U5)-N(U227)</f>
        <v>0</v>
      </c>
    </row>
    <row r="228">
      <c r="C228" s="1284" t="n">
        <v>491490</v>
      </c>
      <c r="D228" s="1284" t="n">
        <v>372800</v>
      </c>
      <c r="E228" s="1284" t="n">
        <v>1239559</v>
      </c>
      <c r="F228" s="1284" t="n">
        <v>372800</v>
      </c>
      <c r="G228" s="1284" t="n">
        <v>372800</v>
      </c>
      <c r="H228" s="1284" t="n">
        <v>372800</v>
      </c>
      <c r="I228" s="1284" t="n">
        <v>474390</v>
      </c>
      <c r="J228" s="1284" t="n">
        <v>357596</v>
      </c>
      <c r="K228" s="1284" t="n">
        <v>1320657</v>
      </c>
      <c r="L228" s="1284" t="n">
        <v>365100</v>
      </c>
      <c r="M228" s="1284" t="n">
        <v>365100</v>
      </c>
      <c r="N228" s="1284" t="n">
        <v>365100</v>
      </c>
      <c r="O228" s="1284" t="n">
        <v>0</v>
      </c>
      <c r="P228" s="1284" t="n">
        <v>6470192</v>
      </c>
      <c r="Q228" s="1284" t="n">
        <v>7137000</v>
      </c>
      <c r="S228" s="1284" t="n">
        <v>7137000</v>
      </c>
      <c r="T228" s="1284" t="n">
        <v>666808</v>
      </c>
      <c r="Z228" s="1285">
        <f>N('R8貸付'!C6)-N(C228)</f>
        <v>0</v>
      </c>
      <c r="AA228" s="1285">
        <f>N('R8貸付'!D6)-N(D228)</f>
        <v>0</v>
      </c>
      <c r="AB228" s="1285">
        <f>N('R8貸付'!E6)-N(E228)</f>
        <v>0</v>
      </c>
      <c r="AC228" s="1285">
        <f>N('R8貸付'!F6)-N(F228)</f>
        <v>0</v>
      </c>
      <c r="AD228" s="1285">
        <f>N('R8貸付'!G6)-N(G228)</f>
        <v>0</v>
      </c>
      <c r="AE228" s="1285">
        <f>N('R8貸付'!H6)-N(H228)</f>
        <v>0</v>
      </c>
      <c r="AF228" s="1285">
        <f>N('R8貸付'!I6)-N(I228)</f>
        <v>0</v>
      </c>
      <c r="AG228" s="1285">
        <f>N('R8貸付'!J6)-N(J228)</f>
        <v>0</v>
      </c>
      <c r="AH228" s="1285">
        <f>N('R8貸付'!K6)-N(K228)</f>
        <v>0</v>
      </c>
      <c r="AI228" s="1285">
        <f>N('R8貸付'!L6)-N(L228)</f>
        <v>0</v>
      </c>
      <c r="AJ228" s="1285">
        <f>N('R8貸付'!M6)-N(M228)</f>
        <v>0</v>
      </c>
      <c r="AK228" s="1285">
        <f>N('R8貸付'!N6)-N(N228)</f>
        <v>0</v>
      </c>
      <c r="AL228" s="1285">
        <f>N('R8貸付'!O6)-N(O228)</f>
        <v>0</v>
      </c>
      <c r="AM228" s="1285">
        <f>N('R8貸付'!P6)-N(P228)</f>
        <v>0</v>
      </c>
      <c r="AN228" s="1285">
        <f>N('R8貸付'!Q6)-N(Q228)</f>
        <v>0</v>
      </c>
      <c r="AO228" s="1285">
        <f>N('R8貸付'!R6)-N(R228)</f>
        <v>0</v>
      </c>
      <c r="AP228" s="1285">
        <f>N('R8貸付'!S6)-N(S228)</f>
        <v>0</v>
      </c>
      <c r="AQ228" s="1285">
        <f>N('R8貸付'!T6)-N(T228)</f>
        <v>0</v>
      </c>
      <c r="AR228" s="1285">
        <f>N('R8貸付'!U6)-N(U228)</f>
        <v>0</v>
      </c>
    </row>
    <row r="229">
      <c r="G229" s="1284" t="n">
        <v>1980</v>
      </c>
      <c r="H229" s="1284" t="n">
        <v>21527</v>
      </c>
      <c r="M229" s="1284" t="n">
        <v>10395</v>
      </c>
      <c r="P229" s="1284" t="n">
        <v>33902</v>
      </c>
      <c r="Q229" s="1284" t="n">
        <v>24000</v>
      </c>
      <c r="S229" s="1284" t="n">
        <v>24000</v>
      </c>
      <c r="T229" s="1284" t="n">
        <v>-9902</v>
      </c>
      <c r="Z229" s="1285">
        <f>N('R8貸付'!C7)-N(C229)</f>
        <v>0</v>
      </c>
      <c r="AA229" s="1285">
        <f>N('R8貸付'!D7)-N(D229)</f>
        <v>0</v>
      </c>
      <c r="AB229" s="1285">
        <f>N('R8貸付'!E7)-N(E229)</f>
        <v>0</v>
      </c>
      <c r="AC229" s="1285">
        <f>N('R8貸付'!F7)-N(F229)</f>
        <v>0</v>
      </c>
      <c r="AD229" s="1285">
        <f>N('R8貸付'!G7)-N(G229)</f>
        <v>0</v>
      </c>
      <c r="AE229" s="1285">
        <f>N('R8貸付'!H7)-N(H229)</f>
        <v>0</v>
      </c>
      <c r="AF229" s="1285">
        <f>N('R8貸付'!I7)-N(I229)</f>
        <v>0</v>
      </c>
      <c r="AG229" s="1285">
        <f>N('R8貸付'!J7)-N(J229)</f>
        <v>0</v>
      </c>
      <c r="AH229" s="1285">
        <f>N('R8貸付'!K7)-N(K229)</f>
        <v>0</v>
      </c>
      <c r="AI229" s="1285">
        <f>N('R8貸付'!L7)-N(L229)</f>
        <v>0</v>
      </c>
      <c r="AJ229" s="1285">
        <f>N('R8貸付'!M7)-N(M229)</f>
        <v>0</v>
      </c>
      <c r="AK229" s="1285">
        <f>N('R8貸付'!N7)-N(N229)</f>
        <v>0</v>
      </c>
      <c r="AL229" s="1285">
        <f>N('R8貸付'!O7)-N(O229)</f>
        <v>0</v>
      </c>
      <c r="AM229" s="1285">
        <f>N('R8貸付'!P7)-N(P229)</f>
        <v>0</v>
      </c>
      <c r="AN229" s="1285">
        <f>N('R8貸付'!Q7)-N(Q229)</f>
        <v>0</v>
      </c>
      <c r="AO229" s="1285">
        <f>N('R8貸付'!R7)-N(R229)</f>
        <v>0</v>
      </c>
      <c r="AP229" s="1285">
        <f>N('R8貸付'!S7)-N(S229)</f>
        <v>0</v>
      </c>
      <c r="AQ229" s="1285">
        <f>N('R8貸付'!T7)-N(T229)</f>
        <v>0</v>
      </c>
      <c r="AR229" s="1285">
        <f>N('R8貸付'!U7)-N(U229)</f>
        <v>0</v>
      </c>
    </row>
    <row r="230">
      <c r="P230" s="1284" t="n">
        <v>0</v>
      </c>
      <c r="Q230" s="1284" t="n">
        <v>227000</v>
      </c>
      <c r="S230" s="1284" t="n">
        <v>227000</v>
      </c>
      <c r="T230" s="1284" t="n">
        <v>227000</v>
      </c>
      <c r="Z230" s="1285">
        <f>N('R8貸付'!C8)-N(C230)</f>
        <v>0</v>
      </c>
      <c r="AA230" s="1285">
        <f>N('R8貸付'!D8)-N(D230)</f>
        <v>0</v>
      </c>
      <c r="AB230" s="1285">
        <f>N('R8貸付'!E8)-N(E230)</f>
        <v>0</v>
      </c>
      <c r="AC230" s="1285">
        <f>N('R8貸付'!F8)-N(F230)</f>
        <v>0</v>
      </c>
      <c r="AD230" s="1285">
        <f>N('R8貸付'!G8)-N(G230)</f>
        <v>0</v>
      </c>
      <c r="AE230" s="1285">
        <f>N('R8貸付'!H8)-N(H230)</f>
        <v>0</v>
      </c>
      <c r="AF230" s="1285">
        <f>N('R8貸付'!I8)-N(I230)</f>
        <v>0</v>
      </c>
      <c r="AG230" s="1285">
        <f>N('R8貸付'!J8)-N(J230)</f>
        <v>0</v>
      </c>
      <c r="AH230" s="1285">
        <f>N('R8貸付'!K8)-N(K230)</f>
        <v>0</v>
      </c>
      <c r="AI230" s="1285">
        <f>N('R8貸付'!L8)-N(L230)</f>
        <v>0</v>
      </c>
      <c r="AJ230" s="1285">
        <f>N('R8貸付'!M8)-N(M230)</f>
        <v>0</v>
      </c>
      <c r="AK230" s="1285">
        <f>N('R8貸付'!N8)-N(N230)</f>
        <v>0</v>
      </c>
      <c r="AL230" s="1285">
        <f>N('R8貸付'!O8)-N(O230)</f>
        <v>0</v>
      </c>
      <c r="AM230" s="1285">
        <f>N('R8貸付'!P8)-N(P230)</f>
        <v>0</v>
      </c>
      <c r="AN230" s="1285">
        <f>N('R8貸付'!Q8)-N(Q230)</f>
        <v>0</v>
      </c>
      <c r="AO230" s="1285">
        <f>N('R8貸付'!R8)-N(R230)</f>
        <v>0</v>
      </c>
      <c r="AP230" s="1285">
        <f>N('R8貸付'!S8)-N(S230)</f>
        <v>0</v>
      </c>
      <c r="AQ230" s="1285">
        <f>N('R8貸付'!T8)-N(T230)</f>
        <v>0</v>
      </c>
      <c r="AR230" s="1285">
        <f>N('R8貸付'!U8)-N(U230)</f>
        <v>0</v>
      </c>
    </row>
    <row r="231">
      <c r="C231" s="1284" t="n">
        <v>4389</v>
      </c>
      <c r="E231" s="1284" t="n">
        <v>11491</v>
      </c>
      <c r="G231" s="1284" t="n">
        <v>119079</v>
      </c>
      <c r="J231" s="1284" t="n">
        <v>25706</v>
      </c>
      <c r="K231" s="1284" t="n">
        <v>15382</v>
      </c>
      <c r="L231" s="1284" t="n">
        <v>4644</v>
      </c>
      <c r="M231" s="1284" t="n">
        <v>50764</v>
      </c>
      <c r="N231" s="1284" t="n">
        <v>37950</v>
      </c>
      <c r="O231" s="1284" t="n">
        <v>0</v>
      </c>
      <c r="P231" s="1284" t="n">
        <v>269405</v>
      </c>
      <c r="Q231" s="1284" t="n">
        <v>442000</v>
      </c>
      <c r="S231" s="1284" t="n">
        <v>442000</v>
      </c>
      <c r="T231" s="1284" t="n">
        <v>172595</v>
      </c>
      <c r="Z231" s="1285">
        <f>N('R8貸付'!C9)-N(C231)</f>
        <v>0</v>
      </c>
      <c r="AA231" s="1285">
        <f>N('R8貸付'!D9)-N(D231)</f>
        <v>0</v>
      </c>
      <c r="AB231" s="1285">
        <f>N('R8貸付'!E9)-N(E231)</f>
        <v>0</v>
      </c>
      <c r="AC231" s="1285">
        <f>N('R8貸付'!F9)-N(F231)</f>
        <v>0</v>
      </c>
      <c r="AD231" s="1285">
        <f>N('R8貸付'!G9)-N(G231)</f>
        <v>0</v>
      </c>
      <c r="AE231" s="1285">
        <f>N('R8貸付'!H9)-N(H231)</f>
        <v>0</v>
      </c>
      <c r="AF231" s="1285">
        <f>N('R8貸付'!I9)-N(I231)</f>
        <v>0</v>
      </c>
      <c r="AG231" s="1285">
        <f>N('R8貸付'!J9)-N(J231)</f>
        <v>0</v>
      </c>
      <c r="AH231" s="1285">
        <f>N('R8貸付'!K9)-N(K231)</f>
        <v>0</v>
      </c>
      <c r="AI231" s="1285">
        <f>N('R8貸付'!L9)-N(L231)</f>
        <v>0</v>
      </c>
      <c r="AJ231" s="1285">
        <f>N('R8貸付'!M9)-N(M231)</f>
        <v>0</v>
      </c>
      <c r="AK231" s="1285">
        <f>N('R8貸付'!N9)-N(N231)</f>
        <v>0</v>
      </c>
      <c r="AL231" s="1285">
        <f>N('R8貸付'!O9)-N(O231)</f>
        <v>0</v>
      </c>
      <c r="AM231" s="1285">
        <f>N('R8貸付'!P9)-N(P231)</f>
        <v>0</v>
      </c>
      <c r="AN231" s="1285">
        <f>N('R8貸付'!Q9)-N(Q231)</f>
        <v>0</v>
      </c>
      <c r="AO231" s="1285">
        <f>N('R8貸付'!R9)-N(R231)</f>
        <v>0</v>
      </c>
      <c r="AP231" s="1285">
        <f>N('R8貸付'!S9)-N(S231)</f>
        <v>0</v>
      </c>
      <c r="AQ231" s="1285">
        <f>N('R8貸付'!T9)-N(T231)</f>
        <v>0</v>
      </c>
      <c r="AR231" s="1285">
        <f>N('R8貸付'!U9)-N(U231)</f>
        <v>0</v>
      </c>
    </row>
    <row r="232">
      <c r="F232" s="1284" t="n">
        <v>6000</v>
      </c>
      <c r="I232" s="1284" t="n">
        <v>6000</v>
      </c>
      <c r="L232" s="1284" t="n">
        <v>6000</v>
      </c>
      <c r="O232" s="1284" t="n">
        <v>15124</v>
      </c>
      <c r="P232" s="1284" t="n">
        <v>33124</v>
      </c>
      <c r="Q232" s="1284" t="n">
        <v>501000</v>
      </c>
      <c r="S232" s="1284" t="n">
        <v>501000</v>
      </c>
      <c r="T232" s="1284" t="n">
        <v>467876</v>
      </c>
      <c r="Z232" s="1285">
        <f>N('R8貸付'!C10)-N(C232)</f>
        <v>0</v>
      </c>
      <c r="AA232" s="1285">
        <f>N('R8貸付'!D10)-N(D232)</f>
        <v>0</v>
      </c>
      <c r="AB232" s="1285">
        <f>N('R8貸付'!E10)-N(E232)</f>
        <v>0</v>
      </c>
      <c r="AC232" s="1285">
        <f>N('R8貸付'!F10)-N(F232)</f>
        <v>0</v>
      </c>
      <c r="AD232" s="1285">
        <f>N('R8貸付'!G10)-N(G232)</f>
        <v>0</v>
      </c>
      <c r="AE232" s="1285">
        <f>N('R8貸付'!H10)-N(H232)</f>
        <v>0</v>
      </c>
      <c r="AF232" s="1285">
        <f>N('R8貸付'!I10)-N(I232)</f>
        <v>0</v>
      </c>
      <c r="AG232" s="1285">
        <f>N('R8貸付'!J10)-N(J232)</f>
        <v>0</v>
      </c>
      <c r="AH232" s="1285">
        <f>N('R8貸付'!K10)-N(K232)</f>
        <v>0</v>
      </c>
      <c r="AI232" s="1285">
        <f>N('R8貸付'!L10)-N(L232)</f>
        <v>0</v>
      </c>
      <c r="AJ232" s="1285">
        <f>N('R8貸付'!M10)-N(M232)</f>
        <v>0</v>
      </c>
      <c r="AK232" s="1285">
        <f>N('R8貸付'!N10)-N(N232)</f>
        <v>0</v>
      </c>
      <c r="AL232" s="1285">
        <f>N('R8貸付'!O10)-N(O232)</f>
        <v>0</v>
      </c>
      <c r="AM232" s="1285">
        <f>N('R8貸付'!P10)-N(P232)</f>
        <v>0</v>
      </c>
      <c r="AN232" s="1285">
        <f>N('R8貸付'!Q10)-N(Q232)</f>
        <v>0</v>
      </c>
      <c r="AO232" s="1285">
        <f>N('R8貸付'!R10)-N(R232)</f>
        <v>0</v>
      </c>
      <c r="AP232" s="1285">
        <f>N('R8貸付'!S10)-N(S232)</f>
        <v>0</v>
      </c>
      <c r="AQ232" s="1285">
        <f>N('R8貸付'!T10)-N(T232)</f>
        <v>0</v>
      </c>
      <c r="AR232" s="1285">
        <f>N('R8貸付'!U10)-N(U232)</f>
        <v>0</v>
      </c>
    </row>
    <row r="233">
      <c r="G233" s="1284" t="n">
        <v>5979</v>
      </c>
      <c r="L233" s="1284" t="n">
        <v>135450</v>
      </c>
      <c r="P233" s="1284" t="n">
        <v>141429</v>
      </c>
      <c r="Q233" s="1284" t="n">
        <v>336000</v>
      </c>
      <c r="S233" s="1284" t="n">
        <v>336000</v>
      </c>
      <c r="T233" s="1284" t="n">
        <v>194571</v>
      </c>
      <c r="Z233" s="1285">
        <f>N('R8貸付'!C11)-N(C233)</f>
        <v>0</v>
      </c>
      <c r="AA233" s="1285">
        <f>N('R8貸付'!D11)-N(D233)</f>
        <v>0</v>
      </c>
      <c r="AB233" s="1285">
        <f>N('R8貸付'!E11)-N(E233)</f>
        <v>0</v>
      </c>
      <c r="AC233" s="1285">
        <f>N('R8貸付'!F11)-N(F233)</f>
        <v>0</v>
      </c>
      <c r="AD233" s="1285">
        <f>N('R8貸付'!G11)-N(G233)</f>
        <v>0</v>
      </c>
      <c r="AE233" s="1285">
        <f>N('R8貸付'!H11)-N(H233)</f>
        <v>0</v>
      </c>
      <c r="AF233" s="1285">
        <f>N('R8貸付'!I11)-N(I233)</f>
        <v>0</v>
      </c>
      <c r="AG233" s="1285">
        <f>N('R8貸付'!J11)-N(J233)</f>
        <v>0</v>
      </c>
      <c r="AH233" s="1285">
        <f>N('R8貸付'!K11)-N(K233)</f>
        <v>0</v>
      </c>
      <c r="AI233" s="1285">
        <f>N('R8貸付'!L11)-N(L233)</f>
        <v>0</v>
      </c>
      <c r="AJ233" s="1285">
        <f>N('R8貸付'!M11)-N(M233)</f>
        <v>0</v>
      </c>
      <c r="AK233" s="1285">
        <f>N('R8貸付'!N11)-N(N233)</f>
        <v>0</v>
      </c>
      <c r="AL233" s="1285">
        <f>N('R8貸付'!O11)-N(O233)</f>
        <v>0</v>
      </c>
      <c r="AM233" s="1285">
        <f>N('R8貸付'!P11)-N(P233)</f>
        <v>0</v>
      </c>
      <c r="AN233" s="1285">
        <f>N('R8貸付'!Q11)-N(Q233)</f>
        <v>0</v>
      </c>
      <c r="AO233" s="1285">
        <f>N('R8貸付'!R11)-N(R233)</f>
        <v>0</v>
      </c>
      <c r="AP233" s="1285">
        <f>N('R8貸付'!S11)-N(S233)</f>
        <v>0</v>
      </c>
      <c r="AQ233" s="1285">
        <f>N('R8貸付'!T11)-N(T233)</f>
        <v>0</v>
      </c>
      <c r="AR233" s="1285">
        <f>N('R8貸付'!U11)-N(U233)</f>
        <v>0</v>
      </c>
    </row>
    <row r="234">
      <c r="P234" s="1284" t="n">
        <v>0</v>
      </c>
      <c r="Q234" s="1284" t="n">
        <v>20000</v>
      </c>
      <c r="S234" s="1284" t="n">
        <v>20000</v>
      </c>
      <c r="T234" s="1284" t="n">
        <v>20000</v>
      </c>
      <c r="Z234" s="1285">
        <f>N('R8貸付'!C12)-N(C234)</f>
        <v>0</v>
      </c>
      <c r="AA234" s="1285">
        <f>N('R8貸付'!D12)-N(D234)</f>
        <v>0</v>
      </c>
      <c r="AB234" s="1285">
        <f>N('R8貸付'!E12)-N(E234)</f>
        <v>0</v>
      </c>
      <c r="AC234" s="1285">
        <f>N('R8貸付'!F12)-N(F234)</f>
        <v>0</v>
      </c>
      <c r="AD234" s="1285">
        <f>N('R8貸付'!G12)-N(G234)</f>
        <v>0</v>
      </c>
      <c r="AE234" s="1285">
        <f>N('R8貸付'!H12)-N(H234)</f>
        <v>0</v>
      </c>
      <c r="AF234" s="1285">
        <f>N('R8貸付'!I12)-N(I234)</f>
        <v>0</v>
      </c>
      <c r="AG234" s="1285">
        <f>N('R8貸付'!J12)-N(J234)</f>
        <v>0</v>
      </c>
      <c r="AH234" s="1285">
        <f>N('R8貸付'!K12)-N(K234)</f>
        <v>0</v>
      </c>
      <c r="AI234" s="1285">
        <f>N('R8貸付'!L12)-N(L234)</f>
        <v>0</v>
      </c>
      <c r="AJ234" s="1285">
        <f>N('R8貸付'!M12)-N(M234)</f>
        <v>0</v>
      </c>
      <c r="AK234" s="1285">
        <f>N('R8貸付'!N12)-N(N234)</f>
        <v>0</v>
      </c>
      <c r="AL234" s="1285">
        <f>N('R8貸付'!O12)-N(O234)</f>
        <v>0</v>
      </c>
      <c r="AM234" s="1285">
        <f>N('R8貸付'!P12)-N(P234)</f>
        <v>0</v>
      </c>
      <c r="AN234" s="1285">
        <f>N('R8貸付'!Q12)-N(Q234)</f>
        <v>0</v>
      </c>
      <c r="AO234" s="1285">
        <f>N('R8貸付'!R12)-N(R234)</f>
        <v>0</v>
      </c>
      <c r="AP234" s="1285">
        <f>N('R8貸付'!S12)-N(S234)</f>
        <v>0</v>
      </c>
      <c r="AQ234" s="1285">
        <f>N('R8貸付'!T12)-N(T234)</f>
        <v>0</v>
      </c>
      <c r="AR234" s="1285">
        <f>N('R8貸付'!U12)-N(U234)</f>
        <v>0</v>
      </c>
    </row>
    <row r="235">
      <c r="D235" s="1284" t="n">
        <v>16190</v>
      </c>
      <c r="E235" s="1284" t="n">
        <v>5750</v>
      </c>
      <c r="F235" s="1284" t="n">
        <v>6090</v>
      </c>
      <c r="G235" s="1284" t="n">
        <v>5530</v>
      </c>
      <c r="H235" s="1284" t="n">
        <v>5190</v>
      </c>
      <c r="I235" s="1284" t="n">
        <v>4970</v>
      </c>
      <c r="J235" s="1284" t="n">
        <v>5750</v>
      </c>
      <c r="K235" s="1284" t="n">
        <v>9239</v>
      </c>
      <c r="L235" s="1284" t="n">
        <v>19630</v>
      </c>
      <c r="M235" s="1284" t="n">
        <v>7190</v>
      </c>
      <c r="N235" s="1284" t="n">
        <v>6200</v>
      </c>
      <c r="O235" s="1284" t="n">
        <v>9735</v>
      </c>
      <c r="P235" s="1284" t="n">
        <v>101464</v>
      </c>
      <c r="Q235" s="1284" t="n">
        <v>190000</v>
      </c>
      <c r="S235" s="1284" t="n">
        <v>190000</v>
      </c>
      <c r="T235" s="1284" t="n">
        <v>88536</v>
      </c>
      <c r="Z235" s="1285">
        <f>N('R8貸付'!C13)-N(C235)</f>
        <v>0</v>
      </c>
      <c r="AA235" s="1285">
        <f>N('R8貸付'!D13)-N(D235)</f>
        <v>0</v>
      </c>
      <c r="AB235" s="1285">
        <f>N('R8貸付'!E13)-N(E235)</f>
        <v>0</v>
      </c>
      <c r="AC235" s="1285">
        <f>N('R8貸付'!F13)-N(F235)</f>
        <v>0</v>
      </c>
      <c r="AD235" s="1285">
        <f>N('R8貸付'!G13)-N(G235)</f>
        <v>0</v>
      </c>
      <c r="AE235" s="1285">
        <f>N('R8貸付'!H13)-N(H235)</f>
        <v>0</v>
      </c>
      <c r="AF235" s="1285">
        <f>N('R8貸付'!I13)-N(I235)</f>
        <v>0</v>
      </c>
      <c r="AG235" s="1285">
        <f>N('R8貸付'!J13)-N(J235)</f>
        <v>0</v>
      </c>
      <c r="AH235" s="1285">
        <f>N('R8貸付'!K13)-N(K235)</f>
        <v>0</v>
      </c>
      <c r="AI235" s="1285">
        <f>N('R8貸付'!L13)-N(L235)</f>
        <v>0</v>
      </c>
      <c r="AJ235" s="1285">
        <f>N('R8貸付'!M13)-N(M235)</f>
        <v>0</v>
      </c>
      <c r="AK235" s="1285">
        <f>N('R8貸付'!N13)-N(N235)</f>
        <v>0</v>
      </c>
      <c r="AL235" s="1285">
        <f>N('R8貸付'!O13)-N(O235)</f>
        <v>0</v>
      </c>
      <c r="AM235" s="1285">
        <f>N('R8貸付'!P13)-N(P235)</f>
        <v>0</v>
      </c>
      <c r="AN235" s="1285">
        <f>N('R8貸付'!Q13)-N(Q235)</f>
        <v>0</v>
      </c>
      <c r="AO235" s="1285">
        <f>N('R8貸付'!R13)-N(R235)</f>
        <v>0</v>
      </c>
      <c r="AP235" s="1285">
        <f>N('R8貸付'!S13)-N(S235)</f>
        <v>0</v>
      </c>
      <c r="AQ235" s="1285">
        <f>N('R8貸付'!T13)-N(T235)</f>
        <v>0</v>
      </c>
      <c r="AR235" s="1285">
        <f>N('R8貸付'!U13)-N(U235)</f>
        <v>0</v>
      </c>
    </row>
    <row r="236">
      <c r="C236" s="1284" t="n">
        <v>4389</v>
      </c>
      <c r="D236" s="1284" t="n">
        <v>16190</v>
      </c>
      <c r="E236" s="1284" t="n">
        <v>17241</v>
      </c>
      <c r="F236" s="1284" t="n">
        <v>12090</v>
      </c>
      <c r="G236" s="1284" t="n">
        <v>130588</v>
      </c>
      <c r="H236" s="1284" t="n">
        <v>5190</v>
      </c>
      <c r="I236" s="1284" t="n">
        <v>10970</v>
      </c>
      <c r="J236" s="1284" t="n">
        <v>31456</v>
      </c>
      <c r="K236" s="1284" t="n">
        <v>24621</v>
      </c>
      <c r="L236" s="1284" t="n">
        <v>165724</v>
      </c>
      <c r="M236" s="1284" t="n">
        <v>57954</v>
      </c>
      <c r="N236" s="1284" t="n">
        <v>44150</v>
      </c>
      <c r="O236" s="1284" t="n">
        <v>24859</v>
      </c>
      <c r="P236" s="1284" t="n">
        <v>545422</v>
      </c>
      <c r="Q236" s="1284" t="n">
        <v>1489000</v>
      </c>
      <c r="S236" s="1284" t="n">
        <v>1489000</v>
      </c>
      <c r="T236" s="1284" t="n">
        <v>943578</v>
      </c>
      <c r="Z236" s="1285">
        <f>N('R8貸付'!C14)-N(C236)</f>
        <v>0</v>
      </c>
      <c r="AA236" s="1285">
        <f>N('R8貸付'!D14)-N(D236)</f>
        <v>0</v>
      </c>
      <c r="AB236" s="1285">
        <f>N('R8貸付'!E14)-N(E236)</f>
        <v>0</v>
      </c>
      <c r="AC236" s="1285">
        <f>N('R8貸付'!F14)-N(F236)</f>
        <v>0</v>
      </c>
      <c r="AD236" s="1285">
        <f>N('R8貸付'!G14)-N(G236)</f>
        <v>0</v>
      </c>
      <c r="AE236" s="1285">
        <f>N('R8貸付'!H14)-N(H236)</f>
        <v>0</v>
      </c>
      <c r="AF236" s="1285">
        <f>N('R8貸付'!I14)-N(I236)</f>
        <v>0</v>
      </c>
      <c r="AG236" s="1285">
        <f>N('R8貸付'!J14)-N(J236)</f>
        <v>0</v>
      </c>
      <c r="AH236" s="1285">
        <f>N('R8貸付'!K14)-N(K236)</f>
        <v>0</v>
      </c>
      <c r="AI236" s="1285">
        <f>N('R8貸付'!L14)-N(L236)</f>
        <v>0</v>
      </c>
      <c r="AJ236" s="1285">
        <f>N('R8貸付'!M14)-N(M236)</f>
        <v>0</v>
      </c>
      <c r="AK236" s="1285">
        <f>N('R8貸付'!N14)-N(N236)</f>
        <v>0</v>
      </c>
      <c r="AL236" s="1285">
        <f>N('R8貸付'!O14)-N(O236)</f>
        <v>0</v>
      </c>
      <c r="AM236" s="1285">
        <f>N('R8貸付'!P14)-N(P236)</f>
        <v>0</v>
      </c>
      <c r="AN236" s="1285">
        <f>N('R8貸付'!Q14)-N(Q236)</f>
        <v>0</v>
      </c>
      <c r="AO236" s="1285">
        <f>N('R8貸付'!R14)-N(R236)</f>
        <v>0</v>
      </c>
      <c r="AP236" s="1285">
        <f>N('R8貸付'!S14)-N(S236)</f>
        <v>0</v>
      </c>
      <c r="AQ236" s="1285">
        <f>N('R8貸付'!T14)-N(T236)</f>
        <v>0</v>
      </c>
      <c r="AR236" s="1285">
        <f>N('R8貸付'!U14)-N(U236)</f>
        <v>0</v>
      </c>
    </row>
    <row r="237">
      <c r="D237" s="1284" t="n">
        <v>380700</v>
      </c>
      <c r="E237" s="1284" t="n">
        <v>327555</v>
      </c>
      <c r="F237" s="1284" t="n">
        <v>400770</v>
      </c>
      <c r="G237" s="1284" t="n">
        <v>400380</v>
      </c>
      <c r="H237" s="1284" t="n">
        <v>344580</v>
      </c>
      <c r="I237" s="1284" t="n">
        <v>364625</v>
      </c>
      <c r="J237" s="1284" t="n">
        <v>401920</v>
      </c>
      <c r="K237" s="1284" t="n">
        <v>329655</v>
      </c>
      <c r="L237" s="1284" t="n">
        <v>365270</v>
      </c>
      <c r="M237" s="1284" t="n">
        <v>347335</v>
      </c>
      <c r="N237" s="1284" t="n">
        <v>328425</v>
      </c>
      <c r="O237" s="1284" t="n">
        <v>153280</v>
      </c>
      <c r="P237" s="1284" t="n">
        <v>4144495</v>
      </c>
      <c r="Q237" s="1284" t="n">
        <v>5520000</v>
      </c>
      <c r="S237" s="1284" t="n">
        <v>5520000</v>
      </c>
      <c r="T237" s="1284" t="n">
        <v>1375505</v>
      </c>
      <c r="Z237" s="1285">
        <f>N('R8貸付'!C15)-N(C237)</f>
        <v>0</v>
      </c>
      <c r="AA237" s="1285">
        <f>N('R8貸付'!D15)-N(D237)</f>
        <v>0</v>
      </c>
      <c r="AB237" s="1285">
        <f>N('R8貸付'!E15)-N(E237)</f>
        <v>0</v>
      </c>
      <c r="AC237" s="1285">
        <f>N('R8貸付'!F15)-N(F237)</f>
        <v>0</v>
      </c>
      <c r="AD237" s="1285">
        <f>N('R8貸付'!G15)-N(G237)</f>
        <v>0</v>
      </c>
      <c r="AE237" s="1285">
        <f>N('R8貸付'!H15)-N(H237)</f>
        <v>0</v>
      </c>
      <c r="AF237" s="1285">
        <f>N('R8貸付'!I15)-N(I237)</f>
        <v>0</v>
      </c>
      <c r="AG237" s="1285">
        <f>N('R8貸付'!J15)-N(J237)</f>
        <v>0</v>
      </c>
      <c r="AH237" s="1285">
        <f>N('R8貸付'!K15)-N(K237)</f>
        <v>0</v>
      </c>
      <c r="AI237" s="1285">
        <f>N('R8貸付'!L15)-N(L237)</f>
        <v>0</v>
      </c>
      <c r="AJ237" s="1285">
        <f>N('R8貸付'!M15)-N(M237)</f>
        <v>0</v>
      </c>
      <c r="AK237" s="1285">
        <f>N('R8貸付'!N15)-N(N237)</f>
        <v>0</v>
      </c>
      <c r="AL237" s="1285">
        <f>N('R8貸付'!O15)-N(O237)</f>
        <v>0</v>
      </c>
      <c r="AM237" s="1285">
        <f>N('R8貸付'!P15)-N(P237)</f>
        <v>0</v>
      </c>
      <c r="AN237" s="1285">
        <f>N('R8貸付'!Q15)-N(Q237)</f>
        <v>0</v>
      </c>
      <c r="AO237" s="1285">
        <f>N('R8貸付'!R15)-N(R237)</f>
        <v>0</v>
      </c>
      <c r="AP237" s="1285">
        <f>N('R8貸付'!S15)-N(S237)</f>
        <v>0</v>
      </c>
      <c r="AQ237" s="1285">
        <f>N('R8貸付'!T15)-N(T237)</f>
        <v>0</v>
      </c>
      <c r="AR237" s="1285">
        <f>N('R8貸付'!U15)-N(U237)</f>
        <v>0</v>
      </c>
    </row>
    <row r="238">
      <c r="H238" s="1284" t="n">
        <v>153120</v>
      </c>
      <c r="I238" s="1284" t="n">
        <v>36943</v>
      </c>
      <c r="O238" s="1284" t="n">
        <v>192720</v>
      </c>
      <c r="P238" s="1284" t="n">
        <v>382783</v>
      </c>
      <c r="Q238" s="1284" t="n">
        <v>525000</v>
      </c>
      <c r="S238" s="1284" t="n">
        <v>525000</v>
      </c>
      <c r="T238" s="1284" t="n">
        <v>142217</v>
      </c>
      <c r="Z238" s="1285">
        <f>N('R8貸付'!C16)-N(C238)</f>
        <v>0</v>
      </c>
      <c r="AA238" s="1285">
        <f>N('R8貸付'!D16)-N(D238)</f>
        <v>0</v>
      </c>
      <c r="AB238" s="1285">
        <f>N('R8貸付'!E16)-N(E238)</f>
        <v>0</v>
      </c>
      <c r="AC238" s="1285">
        <f>N('R8貸付'!F16)-N(F238)</f>
        <v>0</v>
      </c>
      <c r="AD238" s="1285">
        <f>N('R8貸付'!G16)-N(G238)</f>
        <v>0</v>
      </c>
      <c r="AE238" s="1285">
        <f>N('R8貸付'!H16)-N(H238)</f>
        <v>0</v>
      </c>
      <c r="AF238" s="1285">
        <f>N('R8貸付'!I16)-N(I238)</f>
        <v>0</v>
      </c>
      <c r="AG238" s="1285">
        <f>N('R8貸付'!J16)-N(J238)</f>
        <v>0</v>
      </c>
      <c r="AH238" s="1285">
        <f>N('R8貸付'!K16)-N(K238)</f>
        <v>0</v>
      </c>
      <c r="AI238" s="1285">
        <f>N('R8貸付'!L16)-N(L238)</f>
        <v>0</v>
      </c>
      <c r="AJ238" s="1285">
        <f>N('R8貸付'!M16)-N(M238)</f>
        <v>0</v>
      </c>
      <c r="AK238" s="1285">
        <f>N('R8貸付'!N16)-N(N238)</f>
        <v>0</v>
      </c>
      <c r="AL238" s="1285">
        <f>N('R8貸付'!O16)-N(O238)</f>
        <v>0</v>
      </c>
      <c r="AM238" s="1285">
        <f>N('R8貸付'!P16)-N(P238)</f>
        <v>0</v>
      </c>
      <c r="AN238" s="1285">
        <f>N('R8貸付'!Q16)-N(Q238)</f>
        <v>0</v>
      </c>
      <c r="AO238" s="1285">
        <f>N('R8貸付'!R16)-N(R238)</f>
        <v>0</v>
      </c>
      <c r="AP238" s="1285">
        <f>N('R8貸付'!S16)-N(S238)</f>
        <v>0</v>
      </c>
      <c r="AQ238" s="1285">
        <f>N('R8貸付'!T16)-N(T238)</f>
        <v>0</v>
      </c>
      <c r="AR238" s="1285">
        <f>N('R8貸付'!U16)-N(U238)</f>
        <v>0</v>
      </c>
    </row>
    <row r="239">
      <c r="P239" s="1284" t="n">
        <v>0</v>
      </c>
      <c r="Q239" s="1284" t="n">
        <v>100000</v>
      </c>
      <c r="S239" s="1284" t="n">
        <v>100000</v>
      </c>
      <c r="T239" s="1284" t="n">
        <v>100000</v>
      </c>
      <c r="Z239" s="1285">
        <f>N('R8貸付'!C17)-N(C239)</f>
        <v>0</v>
      </c>
      <c r="AA239" s="1285">
        <f>N('R8貸付'!D17)-N(D239)</f>
        <v>0</v>
      </c>
      <c r="AB239" s="1285">
        <f>N('R8貸付'!E17)-N(E239)</f>
        <v>0</v>
      </c>
      <c r="AC239" s="1285">
        <f>N('R8貸付'!F17)-N(F239)</f>
        <v>0</v>
      </c>
      <c r="AD239" s="1285">
        <f>N('R8貸付'!G17)-N(G239)</f>
        <v>0</v>
      </c>
      <c r="AE239" s="1285">
        <f>N('R8貸付'!H17)-N(H239)</f>
        <v>0</v>
      </c>
      <c r="AF239" s="1285">
        <f>N('R8貸付'!I17)-N(I239)</f>
        <v>0</v>
      </c>
      <c r="AG239" s="1285">
        <f>N('R8貸付'!J17)-N(J239)</f>
        <v>0</v>
      </c>
      <c r="AH239" s="1285">
        <f>N('R8貸付'!K17)-N(K239)</f>
        <v>0</v>
      </c>
      <c r="AI239" s="1285">
        <f>N('R8貸付'!L17)-N(L239)</f>
        <v>0</v>
      </c>
      <c r="AJ239" s="1285">
        <f>N('R8貸付'!M17)-N(M239)</f>
        <v>0</v>
      </c>
      <c r="AK239" s="1285">
        <f>N('R8貸付'!N17)-N(N239)</f>
        <v>0</v>
      </c>
      <c r="AL239" s="1285">
        <f>N('R8貸付'!O17)-N(O239)</f>
        <v>0</v>
      </c>
      <c r="AM239" s="1285">
        <f>N('R8貸付'!P17)-N(P239)</f>
        <v>0</v>
      </c>
      <c r="AN239" s="1285">
        <f>N('R8貸付'!Q17)-N(Q239)</f>
        <v>0</v>
      </c>
      <c r="AO239" s="1285">
        <f>N('R8貸付'!R17)-N(R239)</f>
        <v>0</v>
      </c>
      <c r="AP239" s="1285">
        <f>N('R8貸付'!S17)-N(S239)</f>
        <v>0</v>
      </c>
      <c r="AQ239" s="1285">
        <f>N('R8貸付'!T17)-N(T239)</f>
        <v>0</v>
      </c>
      <c r="AR239" s="1285">
        <f>N('R8貸付'!U17)-N(U239)</f>
        <v>0</v>
      </c>
    </row>
    <row r="240">
      <c r="D240" s="1284" t="n">
        <v>74674</v>
      </c>
      <c r="E240" s="1284" t="n">
        <v>74674</v>
      </c>
      <c r="F240" s="1284" t="n">
        <v>74674</v>
      </c>
      <c r="G240" s="1284" t="n">
        <v>74674</v>
      </c>
      <c r="H240" s="1284" t="n">
        <v>74674</v>
      </c>
      <c r="I240" s="1284" t="n">
        <v>74674</v>
      </c>
      <c r="J240" s="1284" t="n">
        <v>74674</v>
      </c>
      <c r="K240" s="1284" t="n">
        <v>74674</v>
      </c>
      <c r="L240" s="1284" t="n">
        <v>74674</v>
      </c>
      <c r="M240" s="1284" t="n">
        <v>74674</v>
      </c>
      <c r="N240" s="1284" t="n">
        <v>74674</v>
      </c>
      <c r="O240" s="1284" t="n">
        <v>55757</v>
      </c>
      <c r="P240" s="1284" t="n">
        <v>877171</v>
      </c>
      <c r="Q240" s="1284" t="n">
        <v>882000</v>
      </c>
      <c r="S240" s="1284" t="n">
        <v>882000</v>
      </c>
      <c r="T240" s="1284" t="n">
        <v>4829</v>
      </c>
      <c r="Z240" s="1285">
        <f>N('R8貸付'!C18)-N(C240)</f>
        <v>0</v>
      </c>
      <c r="AA240" s="1285">
        <f>N('R8貸付'!D18)-N(D240)</f>
        <v>0</v>
      </c>
      <c r="AB240" s="1285">
        <f>N('R8貸付'!E18)-N(E240)</f>
        <v>0</v>
      </c>
      <c r="AC240" s="1285">
        <f>N('R8貸付'!F18)-N(F240)</f>
        <v>0</v>
      </c>
      <c r="AD240" s="1285">
        <f>N('R8貸付'!G18)-N(G240)</f>
        <v>0</v>
      </c>
      <c r="AE240" s="1285">
        <f>N('R8貸付'!H18)-N(H240)</f>
        <v>0</v>
      </c>
      <c r="AF240" s="1285">
        <f>N('R8貸付'!I18)-N(I240)</f>
        <v>0</v>
      </c>
      <c r="AG240" s="1285">
        <f>N('R8貸付'!J18)-N(J240)</f>
        <v>0</v>
      </c>
      <c r="AH240" s="1285">
        <f>N('R8貸付'!K18)-N(K240)</f>
        <v>0</v>
      </c>
      <c r="AI240" s="1285">
        <f>N('R8貸付'!L18)-N(L240)</f>
        <v>0</v>
      </c>
      <c r="AJ240" s="1285">
        <f>N('R8貸付'!M18)-N(M240)</f>
        <v>0</v>
      </c>
      <c r="AK240" s="1285">
        <f>N('R8貸付'!N18)-N(N240)</f>
        <v>0</v>
      </c>
      <c r="AL240" s="1285">
        <f>N('R8貸付'!O18)-N(O240)</f>
        <v>0</v>
      </c>
      <c r="AM240" s="1285">
        <f>N('R8貸付'!P18)-N(P240)</f>
        <v>0</v>
      </c>
      <c r="AN240" s="1285">
        <f>N('R8貸付'!Q18)-N(Q240)</f>
        <v>0</v>
      </c>
      <c r="AO240" s="1285">
        <f>N('R8貸付'!R18)-N(R240)</f>
        <v>0</v>
      </c>
      <c r="AP240" s="1285">
        <f>N('R8貸付'!S18)-N(S240)</f>
        <v>0</v>
      </c>
      <c r="AQ240" s="1285">
        <f>N('R8貸付'!T18)-N(T240)</f>
        <v>0</v>
      </c>
      <c r="AR240" s="1285">
        <f>N('R8貸付'!U18)-N(U240)</f>
        <v>0</v>
      </c>
    </row>
    <row r="241">
      <c r="G241" s="1284" t="n">
        <v>242770</v>
      </c>
      <c r="P241" s="1284" t="n">
        <v>242770</v>
      </c>
      <c r="Q241" s="1284" t="n">
        <v>648000</v>
      </c>
      <c r="S241" s="1284" t="n">
        <v>648000</v>
      </c>
      <c r="T241" s="1284" t="n">
        <v>405230</v>
      </c>
      <c r="Z241" s="1285">
        <f>N('R8貸付'!C19)-N(C241)</f>
        <v>0</v>
      </c>
      <c r="AA241" s="1285">
        <f>N('R8貸付'!D19)-N(D241)</f>
        <v>0</v>
      </c>
      <c r="AB241" s="1285">
        <f>N('R8貸付'!E19)-N(E241)</f>
        <v>0</v>
      </c>
      <c r="AC241" s="1285">
        <f>N('R8貸付'!F19)-N(F241)</f>
        <v>0</v>
      </c>
      <c r="AD241" s="1285">
        <f>N('R8貸付'!G19)-N(G241)</f>
        <v>0</v>
      </c>
      <c r="AE241" s="1285">
        <f>N('R8貸付'!H19)-N(H241)</f>
        <v>0</v>
      </c>
      <c r="AF241" s="1285">
        <f>N('R8貸付'!I19)-N(I241)</f>
        <v>0</v>
      </c>
      <c r="AG241" s="1285">
        <f>N('R8貸付'!J19)-N(J241)</f>
        <v>0</v>
      </c>
      <c r="AH241" s="1285">
        <f>N('R8貸付'!K19)-N(K241)</f>
        <v>0</v>
      </c>
      <c r="AI241" s="1285">
        <f>N('R8貸付'!L19)-N(L241)</f>
        <v>0</v>
      </c>
      <c r="AJ241" s="1285">
        <f>N('R8貸付'!M19)-N(M241)</f>
        <v>0</v>
      </c>
      <c r="AK241" s="1285">
        <f>N('R8貸付'!N19)-N(N241)</f>
        <v>0</v>
      </c>
      <c r="AL241" s="1285">
        <f>N('R8貸付'!O19)-N(O241)</f>
        <v>0</v>
      </c>
      <c r="AM241" s="1285">
        <f>N('R8貸付'!P19)-N(P241)</f>
        <v>0</v>
      </c>
      <c r="AN241" s="1285">
        <f>N('R8貸付'!Q19)-N(Q241)</f>
        <v>0</v>
      </c>
      <c r="AO241" s="1285">
        <f>N('R8貸付'!R19)-N(R241)</f>
        <v>0</v>
      </c>
      <c r="AP241" s="1285">
        <f>N('R8貸付'!S19)-N(S241)</f>
        <v>0</v>
      </c>
      <c r="AQ241" s="1285">
        <f>N('R8貸付'!T19)-N(T241)</f>
        <v>0</v>
      </c>
      <c r="AR241" s="1285">
        <f>N('R8貸付'!U19)-N(U241)</f>
        <v>0</v>
      </c>
    </row>
    <row r="242">
      <c r="P242" s="1284" t="n">
        <v>0</v>
      </c>
      <c r="Q242" s="1284" t="n">
        <v>0</v>
      </c>
      <c r="S242" s="1284" t="n">
        <v>0</v>
      </c>
      <c r="T242" s="1284" t="n">
        <v>0</v>
      </c>
      <c r="Z242" s="1285">
        <f>N('R8貸付'!C20)-N(C242)</f>
        <v>0</v>
      </c>
      <c r="AA242" s="1285">
        <f>N('R8貸付'!D20)-N(D242)</f>
        <v>0</v>
      </c>
      <c r="AB242" s="1285">
        <f>N('R8貸付'!E20)-N(E242)</f>
        <v>0</v>
      </c>
      <c r="AC242" s="1285">
        <f>N('R8貸付'!F20)-N(F242)</f>
        <v>0</v>
      </c>
      <c r="AD242" s="1285">
        <f>N('R8貸付'!G20)-N(G242)</f>
        <v>0</v>
      </c>
      <c r="AE242" s="1285">
        <f>N('R8貸付'!H20)-N(H242)</f>
        <v>0</v>
      </c>
      <c r="AF242" s="1285">
        <f>N('R8貸付'!I20)-N(I242)</f>
        <v>0</v>
      </c>
      <c r="AG242" s="1285">
        <f>N('R8貸付'!J20)-N(J242)</f>
        <v>0</v>
      </c>
      <c r="AH242" s="1285">
        <f>N('R8貸付'!K20)-N(K242)</f>
        <v>0</v>
      </c>
      <c r="AI242" s="1285">
        <f>N('R8貸付'!L20)-N(L242)</f>
        <v>0</v>
      </c>
      <c r="AJ242" s="1285">
        <f>N('R8貸付'!M20)-N(M242)</f>
        <v>0</v>
      </c>
      <c r="AK242" s="1285">
        <f>N('R8貸付'!N20)-N(N242)</f>
        <v>0</v>
      </c>
      <c r="AL242" s="1285">
        <f>N('R8貸付'!O20)-N(O242)</f>
        <v>0</v>
      </c>
      <c r="AM242" s="1285">
        <f>N('R8貸付'!P20)-N(P242)</f>
        <v>0</v>
      </c>
      <c r="AN242" s="1285">
        <f>N('R8貸付'!Q20)-N(Q242)</f>
        <v>0</v>
      </c>
      <c r="AO242" s="1285">
        <f>N('R8貸付'!R20)-N(R242)</f>
        <v>0</v>
      </c>
      <c r="AP242" s="1285">
        <f>N('R8貸付'!S20)-N(S242)</f>
        <v>0</v>
      </c>
      <c r="AQ242" s="1285">
        <f>N('R8貸付'!T20)-N(T242)</f>
        <v>0</v>
      </c>
      <c r="AR242" s="1285">
        <f>N('R8貸付'!U20)-N(U242)</f>
        <v>0</v>
      </c>
    </row>
    <row r="243">
      <c r="C243" s="1284" t="n">
        <v>468</v>
      </c>
      <c r="D243" s="1284" t="n">
        <v>468</v>
      </c>
      <c r="E243" s="1284" t="n">
        <v>468</v>
      </c>
      <c r="F243" s="1284" t="n">
        <v>468</v>
      </c>
      <c r="G243" s="1284" t="n">
        <v>468</v>
      </c>
      <c r="H243" s="1284" t="n">
        <v>468</v>
      </c>
      <c r="I243" s="1284" t="n">
        <v>534</v>
      </c>
      <c r="J243" s="1284" t="n">
        <v>534</v>
      </c>
      <c r="K243" s="1284" t="n">
        <v>534</v>
      </c>
      <c r="L243" s="1284" t="n">
        <v>684</v>
      </c>
      <c r="M243" s="1284" t="n">
        <v>549</v>
      </c>
      <c r="N243" s="1284" t="n">
        <v>549</v>
      </c>
      <c r="P243" s="1284" t="n">
        <v>6192</v>
      </c>
      <c r="Q243" s="1284" t="n">
        <v>2177000</v>
      </c>
      <c r="S243" s="1284" t="n">
        <v>2177000</v>
      </c>
      <c r="T243" s="1284" t="n">
        <v>292352</v>
      </c>
      <c r="Z243" s="1285">
        <f>N('R8貸付'!C21)-N(C243)</f>
        <v>0</v>
      </c>
      <c r="AA243" s="1285">
        <f>N('R8貸付'!D21)-N(D243)</f>
        <v>0</v>
      </c>
      <c r="AB243" s="1285">
        <f>N('R8貸付'!E21)-N(E243)</f>
        <v>0</v>
      </c>
      <c r="AC243" s="1285">
        <f>N('R8貸付'!F21)-N(F243)</f>
        <v>0</v>
      </c>
      <c r="AD243" s="1285">
        <f>N('R8貸付'!G21)-N(G243)</f>
        <v>0</v>
      </c>
      <c r="AE243" s="1285">
        <f>N('R8貸付'!H21)-N(H243)</f>
        <v>0</v>
      </c>
      <c r="AF243" s="1285">
        <f>N('R8貸付'!I21)-N(I243)</f>
        <v>0</v>
      </c>
      <c r="AG243" s="1285">
        <f>N('R8貸付'!J21)-N(J243)</f>
        <v>0</v>
      </c>
      <c r="AH243" s="1285">
        <f>N('R8貸付'!K21)-N(K243)</f>
        <v>0</v>
      </c>
      <c r="AI243" s="1285">
        <f>N('R8貸付'!L21)-N(L243)</f>
        <v>0</v>
      </c>
      <c r="AJ243" s="1285">
        <f>N('R8貸付'!M21)-N(M243)</f>
        <v>0</v>
      </c>
      <c r="AK243" s="1285">
        <f>N('R8貸付'!N21)-N(N243)</f>
        <v>0</v>
      </c>
      <c r="AL243" s="1285">
        <f>N('R8貸付'!O21)-N(O243)</f>
        <v>0</v>
      </c>
      <c r="AM243" s="1285">
        <f>N('R8貸付'!P21)-N(P243)</f>
        <v>0</v>
      </c>
      <c r="AN243" s="1285">
        <f>N('R8貸付'!Q21)-N(Q243)</f>
        <v>0</v>
      </c>
      <c r="AO243" s="1285">
        <f>N('R8貸付'!R21)-N(R243)</f>
        <v>0</v>
      </c>
      <c r="AP243" s="1285">
        <f>N('R8貸付'!S21)-N(S243)</f>
        <v>0</v>
      </c>
      <c r="AQ243" s="1285">
        <f>N('R8貸付'!T21)-N(T243)</f>
        <v>0</v>
      </c>
      <c r="AR243" s="1285">
        <f>N('R8貸付'!U21)-N(U243)</f>
        <v>0</v>
      </c>
    </row>
    <row r="244">
      <c r="P244" s="1284" t="n">
        <v>0</v>
      </c>
      <c r="Z244" s="1285">
        <f>N('R8貸付'!C22)-N(C244)</f>
        <v>0</v>
      </c>
      <c r="AA244" s="1285">
        <f>N('R8貸付'!D22)-N(D244)</f>
        <v>0</v>
      </c>
      <c r="AB244" s="1285">
        <f>N('R8貸付'!E22)-N(E244)</f>
        <v>0</v>
      </c>
      <c r="AC244" s="1285">
        <f>N('R8貸付'!F22)-N(F244)</f>
        <v>0</v>
      </c>
      <c r="AD244" s="1285">
        <f>N('R8貸付'!G22)-N(G244)</f>
        <v>0</v>
      </c>
      <c r="AE244" s="1285">
        <f>N('R8貸付'!H22)-N(H244)</f>
        <v>0</v>
      </c>
      <c r="AF244" s="1285">
        <f>N('R8貸付'!I22)-N(I244)</f>
        <v>0</v>
      </c>
      <c r="AG244" s="1285">
        <f>N('R8貸付'!J22)-N(J244)</f>
        <v>0</v>
      </c>
      <c r="AH244" s="1285">
        <f>N('R8貸付'!K22)-N(K244)</f>
        <v>0</v>
      </c>
      <c r="AI244" s="1285">
        <f>N('R8貸付'!L22)-N(L244)</f>
        <v>0</v>
      </c>
      <c r="AJ244" s="1285">
        <f>N('R8貸付'!M22)-N(M244)</f>
        <v>0</v>
      </c>
      <c r="AK244" s="1285">
        <f>N('R8貸付'!N22)-N(N244)</f>
        <v>0</v>
      </c>
      <c r="AL244" s="1285">
        <f>N('R8貸付'!O22)-N(O244)</f>
        <v>0</v>
      </c>
      <c r="AM244" s="1285">
        <f>N('R8貸付'!P22)-N(P244)</f>
        <v>0</v>
      </c>
      <c r="AN244" s="1285">
        <f>N('R8貸付'!Q22)-N(Q244)</f>
        <v>0</v>
      </c>
      <c r="AO244" s="1285">
        <f>N('R8貸付'!R22)-N(R244)</f>
        <v>0</v>
      </c>
      <c r="AP244" s="1285">
        <f>N('R8貸付'!S22)-N(S244)</f>
        <v>0</v>
      </c>
      <c r="AQ244" s="1285">
        <f>N('R8貸付'!T22)-N(T244)</f>
        <v>0</v>
      </c>
      <c r="AR244" s="1285">
        <f>N('R8貸付'!U22)-N(U244)</f>
        <v>0</v>
      </c>
    </row>
    <row r="245">
      <c r="C245" s="1284" t="n">
        <v>45719</v>
      </c>
      <c r="D245" s="1284" t="n">
        <v>45719</v>
      </c>
      <c r="E245" s="1284" t="n">
        <v>98509</v>
      </c>
      <c r="F245" s="1284" t="n">
        <v>45719</v>
      </c>
      <c r="G245" s="1284" t="n">
        <v>199402</v>
      </c>
      <c r="H245" s="1284" t="n">
        <v>45719</v>
      </c>
      <c r="I245" s="1284" t="n">
        <v>47257</v>
      </c>
      <c r="J245" s="1284" t="n">
        <v>47257</v>
      </c>
      <c r="K245" s="1284" t="n">
        <v>99869</v>
      </c>
      <c r="L245" s="1284" t="n">
        <v>49972</v>
      </c>
      <c r="M245" s="1284" t="n">
        <v>47257</v>
      </c>
      <c r="N245" s="1284" t="n">
        <v>47257</v>
      </c>
      <c r="P245" s="1284" t="n">
        <v>819656</v>
      </c>
      <c r="Z245" s="1285">
        <f>N('R8貸付'!C23)-N(C245)</f>
        <v>0</v>
      </c>
      <c r="AA245" s="1285">
        <f>N('R8貸付'!D23)-N(D245)</f>
        <v>0</v>
      </c>
      <c r="AB245" s="1285">
        <f>N('R8貸付'!E23)-N(E245)</f>
        <v>0</v>
      </c>
      <c r="AC245" s="1285">
        <f>N('R8貸付'!F23)-N(F245)</f>
        <v>0</v>
      </c>
      <c r="AD245" s="1285">
        <f>N('R8貸付'!G23)-N(G245)</f>
        <v>0</v>
      </c>
      <c r="AE245" s="1285">
        <f>N('R8貸付'!H23)-N(H245)</f>
        <v>0</v>
      </c>
      <c r="AF245" s="1285">
        <f>N('R8貸付'!I23)-N(I245)</f>
        <v>0</v>
      </c>
      <c r="AG245" s="1285">
        <f>N('R8貸付'!J23)-N(J245)</f>
        <v>0</v>
      </c>
      <c r="AH245" s="1285">
        <f>N('R8貸付'!K23)-N(K245)</f>
        <v>0</v>
      </c>
      <c r="AI245" s="1285">
        <f>N('R8貸付'!L23)-N(L245)</f>
        <v>0</v>
      </c>
      <c r="AJ245" s="1285">
        <f>N('R8貸付'!M23)-N(M245)</f>
        <v>0</v>
      </c>
      <c r="AK245" s="1285">
        <f>N('R8貸付'!N23)-N(N245)</f>
        <v>0</v>
      </c>
      <c r="AL245" s="1285">
        <f>N('R8貸付'!O23)-N(O245)</f>
        <v>0</v>
      </c>
      <c r="AM245" s="1285">
        <f>N('R8貸付'!P23)-N(P245)</f>
        <v>0</v>
      </c>
      <c r="AN245" s="1285">
        <f>N('R8貸付'!Q23)-N(Q245)</f>
        <v>0</v>
      </c>
      <c r="AO245" s="1285">
        <f>N('R8貸付'!R23)-N(R245)</f>
        <v>0</v>
      </c>
      <c r="AP245" s="1285">
        <f>N('R8貸付'!S23)-N(S245)</f>
        <v>0</v>
      </c>
      <c r="AQ245" s="1285">
        <f>N('R8貸付'!T23)-N(T245)</f>
        <v>0</v>
      </c>
      <c r="AR245" s="1285">
        <f>N('R8貸付'!U23)-N(U245)</f>
        <v>0</v>
      </c>
    </row>
    <row r="246">
      <c r="D246" s="1284" t="n">
        <v>72040</v>
      </c>
      <c r="E246" s="1284" t="n">
        <v>142650</v>
      </c>
      <c r="F246" s="1284" t="n">
        <v>71325</v>
      </c>
      <c r="H246" s="1284" t="n">
        <v>71325</v>
      </c>
      <c r="I246" s="1284" t="n">
        <v>71325</v>
      </c>
      <c r="K246" s="1284" t="n">
        <v>71325</v>
      </c>
      <c r="L246" s="1284" t="n">
        <v>71325</v>
      </c>
      <c r="M246" s="1284" t="n">
        <v>150733</v>
      </c>
      <c r="N246" s="1284" t="n">
        <v>146739</v>
      </c>
      <c r="O246" s="1284" t="n">
        <v>60864</v>
      </c>
      <c r="P246" s="1284" t="n">
        <v>929651</v>
      </c>
      <c r="Z246" s="1285">
        <f>N('R8貸付'!C24)-N(C246)</f>
        <v>0</v>
      </c>
      <c r="AA246" s="1285">
        <f>N('R8貸付'!D24)-N(D246)</f>
        <v>0</v>
      </c>
      <c r="AB246" s="1285">
        <f>N('R8貸付'!E24)-N(E246)</f>
        <v>0</v>
      </c>
      <c r="AC246" s="1285">
        <f>N('R8貸付'!F24)-N(F246)</f>
        <v>0</v>
      </c>
      <c r="AD246" s="1285">
        <f>N('R8貸付'!G24)-N(G246)</f>
        <v>0</v>
      </c>
      <c r="AE246" s="1285">
        <f>N('R8貸付'!H24)-N(H246)</f>
        <v>0</v>
      </c>
      <c r="AF246" s="1285">
        <f>N('R8貸付'!I24)-N(I246)</f>
        <v>0</v>
      </c>
      <c r="AG246" s="1285">
        <f>N('R8貸付'!J24)-N(J246)</f>
        <v>0</v>
      </c>
      <c r="AH246" s="1285">
        <f>N('R8貸付'!K24)-N(K246)</f>
        <v>0</v>
      </c>
      <c r="AI246" s="1285">
        <f>N('R8貸付'!L24)-N(L246)</f>
        <v>0</v>
      </c>
      <c r="AJ246" s="1285">
        <f>N('R8貸付'!M24)-N(M246)</f>
        <v>0</v>
      </c>
      <c r="AK246" s="1285">
        <f>N('R8貸付'!N24)-N(N246)</f>
        <v>0</v>
      </c>
      <c r="AL246" s="1285">
        <f>N('R8貸付'!O24)-N(O246)</f>
        <v>0</v>
      </c>
      <c r="AM246" s="1285">
        <f>N('R8貸付'!P24)-N(P246)</f>
        <v>0</v>
      </c>
      <c r="AN246" s="1285">
        <f>N('R8貸付'!Q24)-N(Q246)</f>
        <v>0</v>
      </c>
      <c r="AO246" s="1285">
        <f>N('R8貸付'!R24)-N(R246)</f>
        <v>0</v>
      </c>
      <c r="AP246" s="1285">
        <f>N('R8貸付'!S24)-N(S246)</f>
        <v>0</v>
      </c>
      <c r="AQ246" s="1285">
        <f>N('R8貸付'!T24)-N(T246)</f>
        <v>0</v>
      </c>
      <c r="AR246" s="1285">
        <f>N('R8貸付'!U24)-N(U246)</f>
        <v>0</v>
      </c>
    </row>
    <row r="247">
      <c r="F247" s="1284" t="n">
        <v>129149</v>
      </c>
      <c r="P247" s="1284" t="n">
        <v>129149</v>
      </c>
      <c r="Z247" s="1285">
        <f>N('R8貸付'!C25)-N(C247)</f>
        <v>0</v>
      </c>
      <c r="AA247" s="1285">
        <f>N('R8貸付'!D25)-N(D247)</f>
        <v>0</v>
      </c>
      <c r="AB247" s="1285">
        <f>N('R8貸付'!E25)-N(E247)</f>
        <v>0</v>
      </c>
      <c r="AC247" s="1285">
        <f>N('R8貸付'!F25)-N(F247)</f>
        <v>0</v>
      </c>
      <c r="AD247" s="1285">
        <f>N('R8貸付'!G25)-N(G247)</f>
        <v>0</v>
      </c>
      <c r="AE247" s="1285">
        <f>N('R8貸付'!H25)-N(H247)</f>
        <v>0</v>
      </c>
      <c r="AF247" s="1285">
        <f>N('R8貸付'!I25)-N(I247)</f>
        <v>0</v>
      </c>
      <c r="AG247" s="1285">
        <f>N('R8貸付'!J25)-N(J247)</f>
        <v>0</v>
      </c>
      <c r="AH247" s="1285">
        <f>N('R8貸付'!K25)-N(K247)</f>
        <v>0</v>
      </c>
      <c r="AI247" s="1285">
        <f>N('R8貸付'!L25)-N(L247)</f>
        <v>0</v>
      </c>
      <c r="AJ247" s="1285">
        <f>N('R8貸付'!M25)-N(M247)</f>
        <v>0</v>
      </c>
      <c r="AK247" s="1285">
        <f>N('R8貸付'!N25)-N(N247)</f>
        <v>0</v>
      </c>
      <c r="AL247" s="1285">
        <f>N('R8貸付'!O25)-N(O247)</f>
        <v>0</v>
      </c>
      <c r="AM247" s="1285">
        <f>N('R8貸付'!P25)-N(P247)</f>
        <v>0</v>
      </c>
      <c r="AN247" s="1285">
        <f>N('R8貸付'!Q25)-N(Q247)</f>
        <v>0</v>
      </c>
      <c r="AO247" s="1285">
        <f>N('R8貸付'!R25)-N(R247)</f>
        <v>0</v>
      </c>
      <c r="AP247" s="1285">
        <f>N('R8貸付'!S25)-N(S247)</f>
        <v>0</v>
      </c>
      <c r="AQ247" s="1285">
        <f>N('R8貸付'!T25)-N(T247)</f>
        <v>0</v>
      </c>
      <c r="AR247" s="1285">
        <f>N('R8貸付'!U25)-N(U247)</f>
        <v>0</v>
      </c>
    </row>
    <row r="248">
      <c r="P248" s="1284" t="n">
        <v>0</v>
      </c>
      <c r="Q248" s="1284" t="n">
        <v>33000</v>
      </c>
      <c r="S248" s="1284" t="n">
        <v>33000</v>
      </c>
      <c r="T248" s="1284" t="n">
        <v>33000</v>
      </c>
      <c r="Z248" s="1285">
        <f>N('R8貸付'!C26)-N(C248)</f>
        <v>0</v>
      </c>
      <c r="AA248" s="1285">
        <f>N('R8貸付'!D26)-N(D248)</f>
        <v>0</v>
      </c>
      <c r="AB248" s="1285">
        <f>N('R8貸付'!E26)-N(E248)</f>
        <v>0</v>
      </c>
      <c r="AC248" s="1285">
        <f>N('R8貸付'!F26)-N(F248)</f>
        <v>0</v>
      </c>
      <c r="AD248" s="1285">
        <f>N('R8貸付'!G26)-N(G248)</f>
        <v>0</v>
      </c>
      <c r="AE248" s="1285">
        <f>N('R8貸付'!H26)-N(H248)</f>
        <v>0</v>
      </c>
      <c r="AF248" s="1285">
        <f>N('R8貸付'!I26)-N(I248)</f>
        <v>0</v>
      </c>
      <c r="AG248" s="1285">
        <f>N('R8貸付'!J26)-N(J248)</f>
        <v>0</v>
      </c>
      <c r="AH248" s="1285">
        <f>N('R8貸付'!K26)-N(K248)</f>
        <v>0</v>
      </c>
      <c r="AI248" s="1285">
        <f>N('R8貸付'!L26)-N(L248)</f>
        <v>0</v>
      </c>
      <c r="AJ248" s="1285">
        <f>N('R8貸付'!M26)-N(M248)</f>
        <v>0</v>
      </c>
      <c r="AK248" s="1285">
        <f>N('R8貸付'!N26)-N(N248)</f>
        <v>0</v>
      </c>
      <c r="AL248" s="1285">
        <f>N('R8貸付'!O26)-N(O248)</f>
        <v>0</v>
      </c>
      <c r="AM248" s="1285">
        <f>N('R8貸付'!P26)-N(P248)</f>
        <v>0</v>
      </c>
      <c r="AN248" s="1285">
        <f>N('R8貸付'!Q26)-N(Q248)</f>
        <v>0</v>
      </c>
      <c r="AO248" s="1285">
        <f>N('R8貸付'!R26)-N(R248)</f>
        <v>0</v>
      </c>
      <c r="AP248" s="1285">
        <f>N('R8貸付'!S26)-N(S248)</f>
        <v>0</v>
      </c>
      <c r="AQ248" s="1285">
        <f>N('R8貸付'!T26)-N(T248)</f>
        <v>0</v>
      </c>
      <c r="AR248" s="1285">
        <f>N('R8貸付'!U26)-N(U248)</f>
        <v>0</v>
      </c>
    </row>
    <row r="249">
      <c r="C249" s="1284" t="n">
        <v>46187</v>
      </c>
      <c r="D249" s="1284" t="n">
        <v>118227</v>
      </c>
      <c r="E249" s="1284" t="n">
        <v>241627</v>
      </c>
      <c r="F249" s="1284" t="n">
        <v>246661</v>
      </c>
      <c r="G249" s="1284" t="n">
        <v>199870</v>
      </c>
      <c r="H249" s="1284" t="n">
        <v>117512</v>
      </c>
      <c r="I249" s="1284" t="n">
        <v>119116</v>
      </c>
      <c r="J249" s="1284" t="n">
        <v>47791</v>
      </c>
      <c r="K249" s="1284" t="n">
        <v>171728</v>
      </c>
      <c r="L249" s="1284" t="n">
        <v>121981</v>
      </c>
      <c r="M249" s="1284" t="n">
        <v>198539</v>
      </c>
      <c r="N249" s="1284" t="n">
        <v>194545</v>
      </c>
      <c r="O249" s="1284" t="n">
        <v>60864</v>
      </c>
      <c r="P249" s="1284" t="n">
        <v>1884648</v>
      </c>
      <c r="Q249" s="1284" t="n">
        <v>2210000</v>
      </c>
      <c r="R249" s="1284" t="n">
        <v>0</v>
      </c>
      <c r="S249" s="1284" t="n">
        <v>2210000</v>
      </c>
      <c r="T249" s="1284" t="n">
        <v>325352</v>
      </c>
      <c r="Z249" s="1285">
        <f>N('R8貸付'!C27)-N(C249)</f>
        <v>0</v>
      </c>
      <c r="AA249" s="1285">
        <f>N('R8貸付'!D27)-N(D249)</f>
        <v>0</v>
      </c>
      <c r="AB249" s="1285">
        <f>N('R8貸付'!E27)-N(E249)</f>
        <v>0</v>
      </c>
      <c r="AC249" s="1285">
        <f>N('R8貸付'!F27)-N(F249)</f>
        <v>0</v>
      </c>
      <c r="AD249" s="1285">
        <f>N('R8貸付'!G27)-N(G249)</f>
        <v>0</v>
      </c>
      <c r="AE249" s="1285">
        <f>N('R8貸付'!H27)-N(H249)</f>
        <v>0</v>
      </c>
      <c r="AF249" s="1285">
        <f>N('R8貸付'!I27)-N(I249)</f>
        <v>0</v>
      </c>
      <c r="AG249" s="1285">
        <f>N('R8貸付'!J27)-N(J249)</f>
        <v>0</v>
      </c>
      <c r="AH249" s="1285">
        <f>N('R8貸付'!K27)-N(K249)</f>
        <v>0</v>
      </c>
      <c r="AI249" s="1285">
        <f>N('R8貸付'!L27)-N(L249)</f>
        <v>0</v>
      </c>
      <c r="AJ249" s="1285">
        <f>N('R8貸付'!M27)-N(M249)</f>
        <v>0</v>
      </c>
      <c r="AK249" s="1285">
        <f>N('R8貸付'!N27)-N(N249)</f>
        <v>0</v>
      </c>
      <c r="AL249" s="1285">
        <f>N('R8貸付'!O27)-N(O249)</f>
        <v>0</v>
      </c>
      <c r="AM249" s="1285">
        <f>N('R8貸付'!P27)-N(P249)</f>
        <v>0</v>
      </c>
      <c r="AN249" s="1285">
        <f>N('R8貸付'!Q27)-N(Q249)</f>
        <v>0</v>
      </c>
      <c r="AO249" s="1285">
        <f>N('R8貸付'!R27)-N(R249)</f>
        <v>0</v>
      </c>
      <c r="AP249" s="1285">
        <f>N('R8貸付'!S27)-N(S249)</f>
        <v>0</v>
      </c>
      <c r="AQ249" s="1285">
        <f>N('R8貸付'!T27)-N(T249)</f>
        <v>0</v>
      </c>
      <c r="AR249" s="1285">
        <f>N('R8貸付'!U27)-N(U249)</f>
        <v>0</v>
      </c>
    </row>
    <row r="250">
      <c r="P250" s="1284" t="n">
        <v>0</v>
      </c>
      <c r="Q250" s="1284" t="n">
        <v>0</v>
      </c>
      <c r="S250" s="1284" t="n">
        <v>0</v>
      </c>
      <c r="T250" s="1284" t="n">
        <v>0</v>
      </c>
      <c r="Z250" s="1285">
        <f>N('R8貸付'!C28)-N(C250)</f>
        <v>0</v>
      </c>
      <c r="AA250" s="1285">
        <f>N('R8貸付'!D28)-N(D250)</f>
        <v>0</v>
      </c>
      <c r="AB250" s="1285">
        <f>N('R8貸付'!E28)-N(E250)</f>
        <v>0</v>
      </c>
      <c r="AC250" s="1285">
        <f>N('R8貸付'!F28)-N(F250)</f>
        <v>0</v>
      </c>
      <c r="AD250" s="1285">
        <f>N('R8貸付'!G28)-N(G250)</f>
        <v>0</v>
      </c>
      <c r="AE250" s="1285">
        <f>N('R8貸付'!H28)-N(H250)</f>
        <v>0</v>
      </c>
      <c r="AF250" s="1285">
        <f>N('R8貸付'!I28)-N(I250)</f>
        <v>0</v>
      </c>
      <c r="AG250" s="1285">
        <f>N('R8貸付'!J28)-N(J250)</f>
        <v>0</v>
      </c>
      <c r="AH250" s="1285">
        <f>N('R8貸付'!K28)-N(K250)</f>
        <v>0</v>
      </c>
      <c r="AI250" s="1285">
        <f>N('R8貸付'!L28)-N(L250)</f>
        <v>0</v>
      </c>
      <c r="AJ250" s="1285">
        <f>N('R8貸付'!M28)-N(M250)</f>
        <v>0</v>
      </c>
      <c r="AK250" s="1285">
        <f>N('R8貸付'!N28)-N(N250)</f>
        <v>0</v>
      </c>
      <c r="AL250" s="1285">
        <f>N('R8貸付'!O28)-N(O250)</f>
        <v>0</v>
      </c>
      <c r="AM250" s="1285">
        <f>N('R8貸付'!P28)-N(P250)</f>
        <v>0</v>
      </c>
      <c r="AN250" s="1285">
        <f>N('R8貸付'!Q28)-N(Q250)</f>
        <v>0</v>
      </c>
      <c r="AO250" s="1285">
        <f>N('R8貸付'!R28)-N(R250)</f>
        <v>0</v>
      </c>
      <c r="AP250" s="1285">
        <f>N('R8貸付'!S28)-N(S250)</f>
        <v>0</v>
      </c>
      <c r="AQ250" s="1285">
        <f>N('R8貸付'!T28)-N(T250)</f>
        <v>0</v>
      </c>
      <c r="AR250" s="1285">
        <f>N('R8貸付'!U28)-N(U250)</f>
        <v>0</v>
      </c>
    </row>
    <row r="251">
      <c r="O251" s="1284" t="n">
        <v>107690</v>
      </c>
      <c r="P251" s="1284" t="n">
        <v>107690</v>
      </c>
      <c r="Q251" s="1284" t="n">
        <v>0</v>
      </c>
      <c r="S251" s="1284" t="n">
        <v>0</v>
      </c>
      <c r="T251" s="1284" t="n">
        <v>-107690</v>
      </c>
      <c r="Z251" s="1285">
        <f>N('R8貸付'!C29)-N(C251)</f>
        <v>0</v>
      </c>
      <c r="AA251" s="1285">
        <f>N('R8貸付'!D29)-N(D251)</f>
        <v>0</v>
      </c>
      <c r="AB251" s="1285">
        <f>N('R8貸付'!E29)-N(E251)</f>
        <v>0</v>
      </c>
      <c r="AC251" s="1285">
        <f>N('R8貸付'!F29)-N(F251)</f>
        <v>0</v>
      </c>
      <c r="AD251" s="1285">
        <f>N('R8貸付'!G29)-N(G251)</f>
        <v>0</v>
      </c>
      <c r="AE251" s="1285">
        <f>N('R8貸付'!H29)-N(H251)</f>
        <v>0</v>
      </c>
      <c r="AF251" s="1285">
        <f>N('R8貸付'!I29)-N(I251)</f>
        <v>0</v>
      </c>
      <c r="AG251" s="1285">
        <f>N('R8貸付'!J29)-N(J251)</f>
        <v>0</v>
      </c>
      <c r="AH251" s="1285">
        <f>N('R8貸付'!K29)-N(K251)</f>
        <v>0</v>
      </c>
      <c r="AI251" s="1285">
        <f>N('R8貸付'!L29)-N(L251)</f>
        <v>0</v>
      </c>
      <c r="AJ251" s="1285">
        <f>N('R8貸付'!M29)-N(M251)</f>
        <v>0</v>
      </c>
      <c r="AK251" s="1285">
        <f>N('R8貸付'!N29)-N(N251)</f>
        <v>0</v>
      </c>
      <c r="AL251" s="1285">
        <f>N('R8貸付'!O29)-N(O251)</f>
        <v>0</v>
      </c>
      <c r="AM251" s="1285">
        <f>N('R8貸付'!P29)-N(P251)</f>
        <v>0</v>
      </c>
      <c r="AN251" s="1285">
        <f>N('R8貸付'!Q29)-N(Q251)</f>
        <v>0</v>
      </c>
      <c r="AO251" s="1285">
        <f>N('R8貸付'!R29)-N(R251)</f>
        <v>0</v>
      </c>
      <c r="AP251" s="1285">
        <f>N('R8貸付'!S29)-N(S251)</f>
        <v>0</v>
      </c>
      <c r="AQ251" s="1285">
        <f>N('R8貸付'!T29)-N(T251)</f>
        <v>0</v>
      </c>
      <c r="AR251" s="1285">
        <f>N('R8貸付'!U29)-N(U251)</f>
        <v>0</v>
      </c>
    </row>
    <row r="252">
      <c r="O252" s="1284" t="n">
        <v>0</v>
      </c>
      <c r="P252" s="1284" t="n">
        <v>0</v>
      </c>
      <c r="Q252" s="1284" t="n">
        <v>0</v>
      </c>
      <c r="S252" s="1284" t="n">
        <v>0</v>
      </c>
      <c r="T252" s="1284" t="n">
        <v>0</v>
      </c>
      <c r="Z252" s="1285">
        <f>N('R8貸付'!C30)-N(C252)</f>
        <v>0</v>
      </c>
      <c r="AA252" s="1285">
        <f>N('R8貸付'!D30)-N(D252)</f>
        <v>0</v>
      </c>
      <c r="AB252" s="1285">
        <f>N('R8貸付'!E30)-N(E252)</f>
        <v>0</v>
      </c>
      <c r="AC252" s="1285">
        <f>N('R8貸付'!F30)-N(F252)</f>
        <v>0</v>
      </c>
      <c r="AD252" s="1285">
        <f>N('R8貸付'!G30)-N(G252)</f>
        <v>0</v>
      </c>
      <c r="AE252" s="1285">
        <f>N('R8貸付'!H30)-N(H252)</f>
        <v>0</v>
      </c>
      <c r="AF252" s="1285">
        <f>N('R8貸付'!I30)-N(I252)</f>
        <v>0</v>
      </c>
      <c r="AG252" s="1285">
        <f>N('R8貸付'!J30)-N(J252)</f>
        <v>0</v>
      </c>
      <c r="AH252" s="1285">
        <f>N('R8貸付'!K30)-N(K252)</f>
        <v>0</v>
      </c>
      <c r="AI252" s="1285">
        <f>N('R8貸付'!L30)-N(L252)</f>
        <v>0</v>
      </c>
      <c r="AJ252" s="1285">
        <f>N('R8貸付'!M30)-N(M252)</f>
        <v>0</v>
      </c>
      <c r="AK252" s="1285">
        <f>N('R8貸付'!N30)-N(N252)</f>
        <v>0</v>
      </c>
      <c r="AL252" s="1285">
        <f>N('R8貸付'!O30)-N(O252)</f>
        <v>0</v>
      </c>
      <c r="AM252" s="1285">
        <f>N('R8貸付'!P30)-N(P252)</f>
        <v>0</v>
      </c>
      <c r="AN252" s="1285">
        <f>N('R8貸付'!Q30)-N(Q252)</f>
        <v>0</v>
      </c>
      <c r="AO252" s="1285">
        <f>N('R8貸付'!R30)-N(R252)</f>
        <v>0</v>
      </c>
      <c r="AP252" s="1285">
        <f>N('R8貸付'!S30)-N(S252)</f>
        <v>0</v>
      </c>
      <c r="AQ252" s="1285">
        <f>N('R8貸付'!T30)-N(T252)</f>
        <v>0</v>
      </c>
      <c r="AR252" s="1285">
        <f>N('R8貸付'!U30)-N(U252)</f>
        <v>0</v>
      </c>
    </row>
    <row r="253">
      <c r="C253" s="1284" t="n">
        <v>542066</v>
      </c>
      <c r="D253" s="1284" t="n">
        <v>962591</v>
      </c>
      <c r="E253" s="1284" t="n">
        <v>1900656</v>
      </c>
      <c r="F253" s="1284" t="n">
        <v>1106995</v>
      </c>
      <c r="G253" s="1284" t="n">
        <v>1423062</v>
      </c>
      <c r="H253" s="1284" t="n">
        <v>1089403</v>
      </c>
      <c r="I253" s="1284" t="n">
        <v>1080718</v>
      </c>
      <c r="J253" s="1284" t="n">
        <v>913437</v>
      </c>
      <c r="K253" s="1284" t="n">
        <v>1921335</v>
      </c>
      <c r="L253" s="1284" t="n">
        <v>1092749</v>
      </c>
      <c r="M253" s="1284" t="n">
        <v>1053997</v>
      </c>
      <c r="N253" s="1284" t="n">
        <v>1006894</v>
      </c>
      <c r="O253" s="1284" t="n">
        <v>595170</v>
      </c>
      <c r="P253" s="1284" t="n">
        <v>14689073</v>
      </c>
      <c r="Q253" s="1284" t="n">
        <v>18762000</v>
      </c>
      <c r="R253" s="1284" t="n">
        <v>0</v>
      </c>
      <c r="S253" s="1284" t="n">
        <v>18762000</v>
      </c>
      <c r="T253" s="1284" t="n">
        <v>4072927</v>
      </c>
      <c r="Z253" s="1285">
        <f>N('R8貸付'!C31)-N(C253)</f>
        <v>0</v>
      </c>
      <c r="AA253" s="1285">
        <f>N('R8貸付'!D31)-N(D253)</f>
        <v>0</v>
      </c>
      <c r="AB253" s="1285">
        <f>N('R8貸付'!E31)-N(E253)</f>
        <v>0</v>
      </c>
      <c r="AC253" s="1285">
        <f>N('R8貸付'!F31)-N(F253)</f>
        <v>0</v>
      </c>
      <c r="AD253" s="1285">
        <f>N('R8貸付'!G31)-N(G253)</f>
        <v>0</v>
      </c>
      <c r="AE253" s="1285">
        <f>N('R8貸付'!H31)-N(H253)</f>
        <v>0</v>
      </c>
      <c r="AF253" s="1285">
        <f>N('R8貸付'!I31)-N(I253)</f>
        <v>0</v>
      </c>
      <c r="AG253" s="1285">
        <f>N('R8貸付'!J31)-N(J253)</f>
        <v>0</v>
      </c>
      <c r="AH253" s="1285">
        <f>N('R8貸付'!K31)-N(K253)</f>
        <v>0</v>
      </c>
      <c r="AI253" s="1285">
        <f>N('R8貸付'!L31)-N(L253)</f>
        <v>0</v>
      </c>
      <c r="AJ253" s="1285">
        <f>N('R8貸付'!M31)-N(M253)</f>
        <v>0</v>
      </c>
      <c r="AK253" s="1285">
        <f>N('R8貸付'!N31)-N(N253)</f>
        <v>0</v>
      </c>
      <c r="AL253" s="1285">
        <f>N('R8貸付'!O31)-N(O253)</f>
        <v>0</v>
      </c>
      <c r="AM253" s="1285">
        <f>N('R8貸付'!P31)-N(P253)</f>
        <v>0</v>
      </c>
      <c r="AN253" s="1285">
        <f>N('R8貸付'!Q31)-N(Q253)</f>
        <v>0</v>
      </c>
      <c r="AO253" s="1285">
        <f>N('R8貸付'!R31)-N(R253)</f>
        <v>0</v>
      </c>
      <c r="AP253" s="1285">
        <f>N('R8貸付'!S31)-N(S253)</f>
        <v>0</v>
      </c>
      <c r="AQ253" s="1285">
        <f>N('R8貸付'!T31)-N(T253)</f>
        <v>0</v>
      </c>
      <c r="AR253" s="1285">
        <f>N('R8貸付'!U31)-N(U253)</f>
        <v>0</v>
      </c>
    </row>
    <row r="254">
      <c r="Z254" s="1285">
        <f>N('R8貸付'!C32)-N(C254)</f>
        <v>0</v>
      </c>
      <c r="AA254" s="1285">
        <f>N('R8貸付'!D32)-N(D254)</f>
        <v>0</v>
      </c>
      <c r="AB254" s="1285">
        <f>N('R8貸付'!E32)-N(E254)</f>
        <v>0</v>
      </c>
      <c r="AC254" s="1285">
        <f>N('R8貸付'!F32)-N(F254)</f>
        <v>0</v>
      </c>
      <c r="AD254" s="1285">
        <f>N('R8貸付'!G32)-N(G254)</f>
        <v>0</v>
      </c>
      <c r="AE254" s="1285">
        <f>N('R8貸付'!H32)-N(H254)</f>
        <v>0</v>
      </c>
      <c r="AF254" s="1285">
        <f>N('R8貸付'!I32)-N(I254)</f>
        <v>0</v>
      </c>
      <c r="AG254" s="1285">
        <f>N('R8貸付'!J32)-N(J254)</f>
        <v>0</v>
      </c>
      <c r="AH254" s="1285">
        <f>N('R8貸付'!K32)-N(K254)</f>
        <v>0</v>
      </c>
      <c r="AI254" s="1285">
        <f>N('R8貸付'!L32)-N(L254)</f>
        <v>0</v>
      </c>
      <c r="AJ254" s="1285">
        <f>N('R8貸付'!M32)-N(M254)</f>
        <v>0</v>
      </c>
      <c r="AK254" s="1285">
        <f>N('R8貸付'!N32)-N(N254)</f>
        <v>0</v>
      </c>
      <c r="AL254" s="1285">
        <f>N('R8貸付'!O32)-N(O254)</f>
        <v>0</v>
      </c>
      <c r="AM254" s="1285">
        <f>N('R8貸付'!P32)-N(P254)</f>
        <v>0</v>
      </c>
      <c r="AN254" s="1285">
        <f>N('R8貸付'!Q32)-N(Q254)</f>
        <v>0</v>
      </c>
      <c r="AO254" s="1285">
        <f>N('R8貸付'!R32)-N(R254)</f>
        <v>0</v>
      </c>
      <c r="AP254" s="1285">
        <f>N('R8貸付'!S32)-N(S254)</f>
        <v>0</v>
      </c>
      <c r="AQ254" s="1285">
        <f>N('R8貸付'!T32)-N(T254)</f>
        <v>0</v>
      </c>
      <c r="AR254" s="1285">
        <f>N('R8貸付'!U32)-N(U254)</f>
        <v>0</v>
      </c>
    </row>
    <row r="255">
      <c r="Z255" s="1285">
        <f>N('R8貸付'!C33)-N(C255)</f>
        <v>0</v>
      </c>
      <c r="AA255" s="1285">
        <f>N('R8貸付'!D33)-N(D255)</f>
        <v>0</v>
      </c>
      <c r="AB255" s="1285">
        <f>N('R8貸付'!E33)-N(E255)</f>
        <v>0</v>
      </c>
      <c r="AC255" s="1285">
        <f>N('R8貸付'!F33)-N(F255)</f>
        <v>0</v>
      </c>
      <c r="AD255" s="1285">
        <f>N('R8貸付'!G33)-N(G255)</f>
        <v>0</v>
      </c>
      <c r="AE255" s="1285">
        <f>N('R8貸付'!H33)-N(H255)</f>
        <v>0</v>
      </c>
      <c r="AF255" s="1285">
        <f>N('R8貸付'!I33)-N(I255)</f>
        <v>0</v>
      </c>
      <c r="AG255" s="1285">
        <f>N('R8貸付'!J33)-N(J255)</f>
        <v>0</v>
      </c>
      <c r="AH255" s="1285">
        <f>N('R8貸付'!K33)-N(K255)</f>
        <v>0</v>
      </c>
      <c r="AI255" s="1285">
        <f>N('R8貸付'!L33)-N(L255)</f>
        <v>0</v>
      </c>
      <c r="AJ255" s="1285">
        <f>N('R8貸付'!M33)-N(M255)</f>
        <v>0</v>
      </c>
      <c r="AK255" s="1285">
        <f>N('R8貸付'!N33)-N(N255)</f>
        <v>0</v>
      </c>
      <c r="AL255" s="1285">
        <f>N('R8貸付'!O33)-N(O255)</f>
        <v>0</v>
      </c>
      <c r="AM255" s="1285">
        <f>N('R8貸付'!P33)-N(P255)</f>
        <v>0</v>
      </c>
      <c r="AN255" s="1285">
        <f>N('R8貸付'!Q33)-N(Q255)</f>
        <v>0</v>
      </c>
      <c r="AO255" s="1285">
        <f>N('R8貸付'!R33)-N(R255)</f>
        <v>0</v>
      </c>
      <c r="AP255" s="1285">
        <f>N('R8貸付'!S33)-N(S255)</f>
        <v>0</v>
      </c>
      <c r="AQ255" s="1285">
        <f>N('R8貸付'!T33)-N(T255)</f>
        <v>0</v>
      </c>
      <c r="AR255" s="1285">
        <f>N('R8貸付'!U33)-N(U255)</f>
        <v>0</v>
      </c>
    </row>
    <row r="256">
      <c r="G256" s="1284" t="n">
        <v>21000</v>
      </c>
      <c r="M256" s="1284" t="n">
        <v>21000</v>
      </c>
      <c r="P256" s="1284" t="n">
        <v>42000</v>
      </c>
      <c r="Q256" s="1284" t="n">
        <v>44000</v>
      </c>
      <c r="S256" s="1284" t="n">
        <v>0</v>
      </c>
      <c r="T256" s="1284" t="n">
        <v>44000</v>
      </c>
      <c r="Z256" s="1285">
        <f>N('R8貸付'!C34)-N(C256)</f>
        <v>0</v>
      </c>
      <c r="AA256" s="1285">
        <f>N('R8貸付'!D34)-N(D256)</f>
        <v>0</v>
      </c>
      <c r="AB256" s="1285">
        <f>N('R8貸付'!E34)-N(E256)</f>
        <v>0</v>
      </c>
      <c r="AC256" s="1285">
        <f>N('R8貸付'!F34)-N(F256)</f>
        <v>0</v>
      </c>
      <c r="AD256" s="1285">
        <f>N('R8貸付'!G34)-N(G256)</f>
        <v>0</v>
      </c>
      <c r="AE256" s="1285">
        <f>N('R8貸付'!H34)-N(H256)</f>
        <v>0</v>
      </c>
      <c r="AF256" s="1285">
        <f>N('R8貸付'!I34)-N(I256)</f>
        <v>0</v>
      </c>
      <c r="AG256" s="1285">
        <f>N('R8貸付'!J34)-N(J256)</f>
        <v>0</v>
      </c>
      <c r="AH256" s="1285">
        <f>N('R8貸付'!K34)-N(K256)</f>
        <v>0</v>
      </c>
      <c r="AI256" s="1285">
        <f>N('R8貸付'!L34)-N(L256)</f>
        <v>0</v>
      </c>
      <c r="AJ256" s="1285">
        <f>N('R8貸付'!M34)-N(M256)</f>
        <v>0</v>
      </c>
      <c r="AK256" s="1285">
        <f>N('R8貸付'!N34)-N(N256)</f>
        <v>0</v>
      </c>
      <c r="AL256" s="1285">
        <f>N('R8貸付'!O34)-N(O256)</f>
        <v>0</v>
      </c>
      <c r="AM256" s="1285">
        <f>N('R8貸付'!P34)-N(P256)</f>
        <v>0</v>
      </c>
      <c r="AN256" s="1285">
        <f>N('R8貸付'!Q34)-N(Q256)</f>
        <v>0</v>
      </c>
      <c r="AO256" s="1285">
        <f>N('R8貸付'!R34)-N(R256)</f>
        <v>0</v>
      </c>
      <c r="AP256" s="1285">
        <f>N('R8貸付'!S34)-N(S256)</f>
        <v>0</v>
      </c>
      <c r="AQ256" s="1285">
        <f>N('R8貸付'!T34)-N(T256)</f>
        <v>0</v>
      </c>
      <c r="AR256" s="1285">
        <f>N('R8貸付'!U34)-N(U256)</f>
        <v>0</v>
      </c>
    </row>
    <row r="257">
      <c r="C257" s="1284" t="n">
        <v>809638</v>
      </c>
      <c r="D257" s="1284" t="n">
        <v>894954</v>
      </c>
      <c r="E257" s="1284" t="n">
        <v>974223</v>
      </c>
      <c r="F257" s="1284" t="n">
        <v>632156</v>
      </c>
      <c r="G257" s="1284" t="n">
        <v>808696</v>
      </c>
      <c r="H257" s="1284" t="n">
        <v>802084</v>
      </c>
      <c r="I257" s="1284" t="n">
        <v>838256</v>
      </c>
      <c r="J257" s="1284" t="n">
        <v>820237</v>
      </c>
      <c r="K257" s="1284" t="n">
        <v>1204671</v>
      </c>
      <c r="L257" s="1284" t="n">
        <v>814454</v>
      </c>
      <c r="M257" s="1284" t="n">
        <v>813390</v>
      </c>
      <c r="N257" s="1284" t="n">
        <v>801567</v>
      </c>
      <c r="O257" s="1284" t="n">
        <v>247126</v>
      </c>
      <c r="P257" s="1284" t="n">
        <v>10461452</v>
      </c>
      <c r="Q257" s="1284" t="n">
        <v>10679000</v>
      </c>
      <c r="S257" s="1284" t="n">
        <v>0</v>
      </c>
      <c r="T257" s="1284" t="n">
        <v>10679000</v>
      </c>
      <c r="Z257" s="1285">
        <f>N('R8貸付'!C35)-N(C257)</f>
        <v>0</v>
      </c>
      <c r="AA257" s="1285">
        <f>N('R8貸付'!D35)-N(D257)</f>
        <v>0</v>
      </c>
      <c r="AB257" s="1285">
        <f>N('R8貸付'!E35)-N(E257)</f>
        <v>0</v>
      </c>
      <c r="AC257" s="1285">
        <f>N('R8貸付'!F35)-N(F257)</f>
        <v>0</v>
      </c>
      <c r="AD257" s="1285">
        <f>N('R8貸付'!G35)-N(G257)</f>
        <v>0</v>
      </c>
      <c r="AE257" s="1285">
        <f>N('R8貸付'!H35)-N(H257)</f>
        <v>0</v>
      </c>
      <c r="AF257" s="1285">
        <f>N('R8貸付'!I35)-N(I257)</f>
        <v>0</v>
      </c>
      <c r="AG257" s="1285">
        <f>N('R8貸付'!J35)-N(J257)</f>
        <v>0</v>
      </c>
      <c r="AH257" s="1285">
        <f>N('R8貸付'!K35)-N(K257)</f>
        <v>0</v>
      </c>
      <c r="AI257" s="1285">
        <f>N('R8貸付'!L35)-N(L257)</f>
        <v>0</v>
      </c>
      <c r="AJ257" s="1285">
        <f>N('R8貸付'!M35)-N(M257)</f>
        <v>0</v>
      </c>
      <c r="AK257" s="1285">
        <f>N('R8貸付'!N35)-N(N257)</f>
        <v>0</v>
      </c>
      <c r="AL257" s="1285">
        <f>N('R8貸付'!O35)-N(O257)</f>
        <v>0</v>
      </c>
      <c r="AM257" s="1285">
        <f>N('R8貸付'!P35)-N(P257)</f>
        <v>0</v>
      </c>
      <c r="AN257" s="1285">
        <f>N('R8貸付'!Q35)-N(Q257)</f>
        <v>0</v>
      </c>
      <c r="AO257" s="1285">
        <f>N('R8貸付'!R35)-N(R257)</f>
        <v>0</v>
      </c>
      <c r="AP257" s="1285">
        <f>N('R8貸付'!S35)-N(S257)</f>
        <v>0</v>
      </c>
      <c r="AQ257" s="1285">
        <f>N('R8貸付'!T35)-N(T257)</f>
        <v>0</v>
      </c>
      <c r="AR257" s="1285">
        <f>N('R8貸付'!U35)-N(U257)</f>
        <v>0</v>
      </c>
    </row>
    <row r="258">
      <c r="C258" s="1284" t="n">
        <v>809638</v>
      </c>
      <c r="D258" s="1284" t="n">
        <v>894954</v>
      </c>
      <c r="E258" s="1284" t="n">
        <v>974223</v>
      </c>
      <c r="F258" s="1284" t="n">
        <v>632156</v>
      </c>
      <c r="G258" s="1284" t="n">
        <v>829696</v>
      </c>
      <c r="H258" s="1284" t="n">
        <v>802084</v>
      </c>
      <c r="I258" s="1284" t="n">
        <v>838256</v>
      </c>
      <c r="J258" s="1284" t="n">
        <v>820237</v>
      </c>
      <c r="K258" s="1284" t="n">
        <v>1204671</v>
      </c>
      <c r="L258" s="1284" t="n">
        <v>814454</v>
      </c>
      <c r="M258" s="1284" t="n">
        <v>834390</v>
      </c>
      <c r="N258" s="1284" t="n">
        <v>801567</v>
      </c>
      <c r="O258" s="1284" t="n">
        <v>247126</v>
      </c>
      <c r="P258" s="1284" t="n">
        <v>10503452</v>
      </c>
      <c r="Q258" s="1284" t="n">
        <v>10723000</v>
      </c>
      <c r="R258" s="1284" t="n">
        <v>0</v>
      </c>
      <c r="S258" s="1284" t="n">
        <v>0</v>
      </c>
      <c r="T258" s="1284" t="n">
        <v>10723000</v>
      </c>
      <c r="Z258" s="1285">
        <f>N('R8貸付'!C36)-N(C258)</f>
        <v>0</v>
      </c>
      <c r="AA258" s="1285">
        <f>N('R8貸付'!D36)-N(D258)</f>
        <v>0</v>
      </c>
      <c r="AB258" s="1285">
        <f>N('R8貸付'!E36)-N(E258)</f>
        <v>0</v>
      </c>
      <c r="AC258" s="1285">
        <f>N('R8貸付'!F36)-N(F258)</f>
        <v>0</v>
      </c>
      <c r="AD258" s="1285">
        <f>N('R8貸付'!G36)-N(G258)</f>
        <v>0</v>
      </c>
      <c r="AE258" s="1285">
        <f>N('R8貸付'!H36)-N(H258)</f>
        <v>0</v>
      </c>
      <c r="AF258" s="1285">
        <f>N('R8貸付'!I36)-N(I258)</f>
        <v>0</v>
      </c>
      <c r="AG258" s="1285">
        <f>N('R8貸付'!J36)-N(J258)</f>
        <v>0</v>
      </c>
      <c r="AH258" s="1285">
        <f>N('R8貸付'!K36)-N(K258)</f>
        <v>0</v>
      </c>
      <c r="AI258" s="1285">
        <f>N('R8貸付'!L36)-N(L258)</f>
        <v>0</v>
      </c>
      <c r="AJ258" s="1285">
        <f>N('R8貸付'!M36)-N(M258)</f>
        <v>0</v>
      </c>
      <c r="AK258" s="1285">
        <f>N('R8貸付'!N36)-N(N258)</f>
        <v>0</v>
      </c>
      <c r="AL258" s="1285">
        <f>N('R8貸付'!O36)-N(O258)</f>
        <v>0</v>
      </c>
      <c r="AM258" s="1285">
        <f>N('R8貸付'!P36)-N(P258)</f>
        <v>0</v>
      </c>
      <c r="AN258" s="1285">
        <f>N('R8貸付'!Q36)-N(Q258)</f>
        <v>0</v>
      </c>
      <c r="AO258" s="1285">
        <f>N('R8貸付'!R36)-N(R258)</f>
        <v>0</v>
      </c>
      <c r="AP258" s="1285">
        <f>N('R8貸付'!S36)-N(S258)</f>
        <v>0</v>
      </c>
      <c r="AQ258" s="1285">
        <f>N('R8貸付'!T36)-N(T258)</f>
        <v>0</v>
      </c>
      <c r="AR258" s="1285">
        <f>N('R8貸付'!U36)-N(U258)</f>
        <v>0</v>
      </c>
    </row>
    <row r="259">
      <c r="Z259" s="1285">
        <f>N('R8貸付'!C37)-N(C259)</f>
        <v>0</v>
      </c>
      <c r="AA259" s="1285">
        <f>N('R8貸付'!D37)-N(D259)</f>
        <v>0</v>
      </c>
      <c r="AB259" s="1285">
        <f>N('R8貸付'!E37)-N(E259)</f>
        <v>0</v>
      </c>
      <c r="AC259" s="1285">
        <f>N('R8貸付'!F37)-N(F259)</f>
        <v>0</v>
      </c>
      <c r="AD259" s="1285">
        <f>N('R8貸付'!G37)-N(G259)</f>
        <v>0</v>
      </c>
      <c r="AE259" s="1285">
        <f>N('R8貸付'!H37)-N(H259)</f>
        <v>0</v>
      </c>
      <c r="AF259" s="1285">
        <f>N('R8貸付'!I37)-N(I259)</f>
        <v>0</v>
      </c>
      <c r="AG259" s="1285">
        <f>N('R8貸付'!J37)-N(J259)</f>
        <v>0</v>
      </c>
      <c r="AH259" s="1285">
        <f>N('R8貸付'!K37)-N(K259)</f>
        <v>0</v>
      </c>
      <c r="AI259" s="1285">
        <f>N('R8貸付'!L37)-N(L259)</f>
        <v>0</v>
      </c>
      <c r="AJ259" s="1285">
        <f>N('R8貸付'!M37)-N(M259)</f>
        <v>0</v>
      </c>
      <c r="AK259" s="1285">
        <f>N('R8貸付'!N37)-N(N259)</f>
        <v>0</v>
      </c>
      <c r="AL259" s="1285">
        <f>N('R8貸付'!O37)-N(O259)</f>
        <v>0</v>
      </c>
      <c r="AM259" s="1285">
        <f>N('R8貸付'!P37)-N(P259)</f>
        <v>0</v>
      </c>
      <c r="AN259" s="1285">
        <f>N('R8貸付'!Q37)-N(Q259)</f>
        <v>0</v>
      </c>
      <c r="AO259" s="1285">
        <f>N('R8貸付'!R37)-N(R259)</f>
        <v>0</v>
      </c>
      <c r="AP259" s="1285">
        <f>N('R8貸付'!S37)-N(S259)</f>
        <v>0</v>
      </c>
      <c r="AQ259" s="1285">
        <f>N('R8貸付'!T37)-N(T259)</f>
        <v>0</v>
      </c>
      <c r="AR259" s="1285">
        <f>N('R8貸付'!U37)-N(U259)</f>
        <v>0</v>
      </c>
    </row>
    <row r="260">
      <c r="C260" s="1284" t="n">
        <v>267572</v>
      </c>
      <c r="D260" s="1284" t="n">
        <v>-67637</v>
      </c>
      <c r="E260" s="1284" t="n">
        <v>-926433</v>
      </c>
      <c r="F260" s="1284" t="n">
        <v>-474839</v>
      </c>
      <c r="G260" s="1284" t="n">
        <v>-593366</v>
      </c>
      <c r="H260" s="1284" t="n">
        <v>-287319</v>
      </c>
      <c r="I260" s="1284" t="n">
        <v>-242462</v>
      </c>
      <c r="J260" s="1284" t="n">
        <v>-93200</v>
      </c>
      <c r="K260" s="1284" t="n">
        <v>-716664</v>
      </c>
      <c r="L260" s="1284" t="n">
        <v>-278295</v>
      </c>
      <c r="M260" s="1284" t="n">
        <v>-219607</v>
      </c>
      <c r="N260" s="1284" t="n">
        <v>-205327</v>
      </c>
      <c r="O260" s="1284" t="n">
        <v>-348044</v>
      </c>
      <c r="P260" s="1284" t="n">
        <v>-4185621</v>
      </c>
      <c r="Q260" s="1284" t="n">
        <v>-8039000</v>
      </c>
      <c r="Z260" s="1285">
        <f>N('R8貸付'!C38)-N(C260)</f>
        <v>0</v>
      </c>
      <c r="AA260" s="1285">
        <f>N('R8貸付'!D38)-N(D260)</f>
        <v>0</v>
      </c>
      <c r="AB260" s="1285">
        <f>N('R8貸付'!E38)-N(E260)</f>
        <v>0</v>
      </c>
      <c r="AC260" s="1285">
        <f>N('R8貸付'!F38)-N(F260)</f>
        <v>0</v>
      </c>
      <c r="AD260" s="1285">
        <f>N('R8貸付'!G38)-N(G260)</f>
        <v>0</v>
      </c>
      <c r="AE260" s="1285">
        <f>N('R8貸付'!H38)-N(H260)</f>
        <v>0</v>
      </c>
      <c r="AF260" s="1285">
        <f>N('R8貸付'!I38)-N(I260)</f>
        <v>0</v>
      </c>
      <c r="AG260" s="1285">
        <f>N('R8貸付'!J38)-N(J260)</f>
        <v>0</v>
      </c>
      <c r="AH260" s="1285">
        <f>N('R8貸付'!K38)-N(K260)</f>
        <v>0</v>
      </c>
      <c r="AI260" s="1285">
        <f>N('R8貸付'!L38)-N(L260)</f>
        <v>0</v>
      </c>
      <c r="AJ260" s="1285">
        <f>N('R8貸付'!M38)-N(M260)</f>
        <v>0</v>
      </c>
      <c r="AK260" s="1285">
        <f>N('R8貸付'!N38)-N(N260)</f>
        <v>0</v>
      </c>
      <c r="AL260" s="1285">
        <f>N('R8貸付'!O38)-N(O260)</f>
        <v>0</v>
      </c>
      <c r="AM260" s="1285">
        <f>N('R8貸付'!P38)-N(P260)</f>
        <v>0</v>
      </c>
      <c r="AN260" s="1285">
        <f>N('R8貸付'!Q38)-N(Q260)</f>
        <v>0</v>
      </c>
      <c r="AO260" s="1285">
        <f>N('R8貸付'!R38)-N(R260)</f>
        <v>0</v>
      </c>
      <c r="AP260" s="1285">
        <f>N('R8貸付'!S38)-N(S260)</f>
        <v>0</v>
      </c>
      <c r="AQ260" s="1285">
        <f>N('R8貸付'!T38)-N(T260)</f>
        <v>0</v>
      </c>
      <c r="AR260" s="1285">
        <f>N('R8貸付'!U38)-N(U260)</f>
        <v>0</v>
      </c>
    </row>
    <row r="261">
      <c r="Z261" s="1285">
        <f>N('R8貸付'!C39)-N(C261)</f>
        <v>0</v>
      </c>
      <c r="AA261" s="1285">
        <f>N('R8貸付'!D39)-N(D261)</f>
        <v>0</v>
      </c>
      <c r="AB261" s="1285">
        <f>N('R8貸付'!E39)-N(E261)</f>
        <v>0</v>
      </c>
      <c r="AC261" s="1285">
        <f>N('R8貸付'!F39)-N(F261)</f>
        <v>0</v>
      </c>
      <c r="AD261" s="1285">
        <f>N('R8貸付'!G39)-N(G261)</f>
        <v>0</v>
      </c>
      <c r="AE261" s="1285">
        <f>N('R8貸付'!H39)-N(H261)</f>
        <v>0</v>
      </c>
      <c r="AF261" s="1285">
        <f>N('R8貸付'!I39)-N(I261)</f>
        <v>0</v>
      </c>
      <c r="AG261" s="1285">
        <f>N('R8貸付'!J39)-N(J261)</f>
        <v>0</v>
      </c>
      <c r="AH261" s="1285">
        <f>N('R8貸付'!K39)-N(K261)</f>
        <v>0</v>
      </c>
      <c r="AI261" s="1285">
        <f>N('R8貸付'!L39)-N(L261)</f>
        <v>0</v>
      </c>
      <c r="AJ261" s="1285">
        <f>N('R8貸付'!M39)-N(M261)</f>
        <v>0</v>
      </c>
      <c r="AK261" s="1285">
        <f>N('R8貸付'!N39)-N(N261)</f>
        <v>0</v>
      </c>
      <c r="AL261" s="1285">
        <f>N('R8貸付'!O39)-N(O261)</f>
        <v>0</v>
      </c>
      <c r="AM261" s="1285">
        <f>N('R8貸付'!P39)-N(P261)</f>
        <v>0</v>
      </c>
      <c r="AN261" s="1285">
        <f>N('R8貸付'!Q39)-N(Q261)</f>
        <v>0</v>
      </c>
      <c r="AO261" s="1285">
        <f>N('R8貸付'!R39)-N(R261)</f>
        <v>0</v>
      </c>
      <c r="AP261" s="1285">
        <f>N('R8貸付'!S39)-N(S261)</f>
        <v>0</v>
      </c>
      <c r="AQ261" s="1285">
        <f>N('R8貸付'!T39)-N(T261)</f>
        <v>0</v>
      </c>
      <c r="AR261" s="1285">
        <f>N('R8貸付'!U39)-N(U261)</f>
        <v>0</v>
      </c>
    </row>
    <row r="262">
      <c r="Z262" s="1285">
        <f>N('R8貸付'!C40)-N(C262)</f>
        <v>0</v>
      </c>
      <c r="AA262" s="1285">
        <f>N('R8貸付'!D40)-N(D262)</f>
        <v>0</v>
      </c>
      <c r="AB262" s="1285">
        <f>N('R8貸付'!E40)-N(E262)</f>
        <v>0</v>
      </c>
      <c r="AC262" s="1285">
        <f>N('R8貸付'!F40)-N(F262)</f>
        <v>0</v>
      </c>
      <c r="AD262" s="1285">
        <f>N('R8貸付'!G40)-N(G262)</f>
        <v>0</v>
      </c>
      <c r="AE262" s="1285">
        <f>N('R8貸付'!H40)-N(H262)</f>
        <v>0</v>
      </c>
      <c r="AF262" s="1285">
        <f>N('R8貸付'!I40)-N(I262)</f>
        <v>0</v>
      </c>
      <c r="AG262" s="1285">
        <f>N('R8貸付'!J40)-N(J262)</f>
        <v>0</v>
      </c>
      <c r="AH262" s="1285">
        <f>N('R8貸付'!K40)-N(K262)</f>
        <v>0</v>
      </c>
      <c r="AI262" s="1285">
        <f>N('R8貸付'!L40)-N(L262)</f>
        <v>0</v>
      </c>
      <c r="AJ262" s="1285">
        <f>N('R8貸付'!M40)-N(M262)</f>
        <v>0</v>
      </c>
      <c r="AK262" s="1285">
        <f>N('R8貸付'!N40)-N(N262)</f>
        <v>0</v>
      </c>
      <c r="AL262" s="1285">
        <f>N('R8貸付'!O40)-N(O262)</f>
        <v>0</v>
      </c>
      <c r="AM262" s="1285">
        <f>N('R8貸付'!P40)-N(P262)</f>
        <v>0</v>
      </c>
      <c r="AN262" s="1285">
        <f>N('R8貸付'!Q40)-N(Q262)</f>
        <v>0</v>
      </c>
      <c r="AO262" s="1285">
        <f>N('R8貸付'!R40)-N(R262)</f>
        <v>0</v>
      </c>
      <c r="AP262" s="1285">
        <f>N('R8貸付'!S40)-N(S262)</f>
        <v>0</v>
      </c>
      <c r="AQ262" s="1285">
        <f>N('R8貸付'!T40)-N(T262)</f>
        <v>0</v>
      </c>
      <c r="AR262" s="1285">
        <f>N('R8貸付'!U40)-N(U262)</f>
        <v>0</v>
      </c>
    </row>
    <row r="263">
      <c r="Z263" s="1285">
        <f>N('R8貸付'!C41)-N(C263)</f>
        <v>0</v>
      </c>
      <c r="AA263" s="1285">
        <f>N('R8貸付'!D41)-N(D263)</f>
        <v>0</v>
      </c>
      <c r="AB263" s="1285">
        <f>N('R8貸付'!E41)-N(E263)</f>
        <v>0</v>
      </c>
      <c r="AC263" s="1285">
        <f>N('R8貸付'!F41)-N(F263)</f>
        <v>0</v>
      </c>
      <c r="AD263" s="1285">
        <f>N('R8貸付'!G41)-N(G263)</f>
        <v>0</v>
      </c>
      <c r="AE263" s="1285">
        <f>N('R8貸付'!H41)-N(H263)</f>
        <v>0</v>
      </c>
      <c r="AF263" s="1285">
        <f>N('R8貸付'!I41)-N(I263)</f>
        <v>0</v>
      </c>
      <c r="AG263" s="1285">
        <f>N('R8貸付'!J41)-N(J263)</f>
        <v>0</v>
      </c>
      <c r="AH263" s="1285">
        <f>N('R8貸付'!K41)-N(K263)</f>
        <v>0</v>
      </c>
      <c r="AI263" s="1285">
        <f>N('R8貸付'!L41)-N(L263)</f>
        <v>0</v>
      </c>
      <c r="AJ263" s="1285">
        <f>N('R8貸付'!M41)-N(M263)</f>
        <v>0</v>
      </c>
      <c r="AK263" s="1285">
        <f>N('R8貸付'!N41)-N(N263)</f>
        <v>0</v>
      </c>
      <c r="AL263" s="1285">
        <f>N('R8貸付'!O41)-N(O263)</f>
        <v>0</v>
      </c>
      <c r="AM263" s="1285">
        <f>N('R8貸付'!P41)-N(P263)</f>
        <v>0</v>
      </c>
      <c r="AN263" s="1285">
        <f>N('R8貸付'!Q41)-N(Q263)</f>
        <v>0</v>
      </c>
      <c r="AO263" s="1285">
        <f>N('R8貸付'!R41)-N(R263)</f>
        <v>0</v>
      </c>
      <c r="AP263" s="1285">
        <f>N('R8貸付'!S41)-N(S263)</f>
        <v>0</v>
      </c>
      <c r="AQ263" s="1285">
        <f>N('R8貸付'!T41)-N(T263)</f>
        <v>0</v>
      </c>
      <c r="AR263" s="1285">
        <f>N('R8貸付'!U41)-N(U263)</f>
        <v>0</v>
      </c>
    </row>
    <row r="264">
      <c r="Z264" s="1285">
        <f>N('R8貸付'!C42)-N(C264)</f>
        <v>0</v>
      </c>
      <c r="AA264" s="1285">
        <f>N('R8貸付'!D42)-N(D264)</f>
        <v>0</v>
      </c>
      <c r="AB264" s="1285">
        <f>N('R8貸付'!E42)-N(E264)</f>
        <v>0</v>
      </c>
      <c r="AC264" s="1285">
        <f>N('R8貸付'!F42)-N(F264)</f>
        <v>0</v>
      </c>
      <c r="AD264" s="1285">
        <f>N('R8貸付'!G42)-N(G264)</f>
        <v>0</v>
      </c>
      <c r="AE264" s="1285">
        <f>N('R8貸付'!H42)-N(H264)</f>
        <v>0</v>
      </c>
      <c r="AF264" s="1285">
        <f>N('R8貸付'!I42)-N(I264)</f>
        <v>0</v>
      </c>
      <c r="AG264" s="1285">
        <f>N('R8貸付'!J42)-N(J264)</f>
        <v>0</v>
      </c>
      <c r="AH264" s="1285">
        <f>N('R8貸付'!K42)-N(K264)</f>
        <v>0</v>
      </c>
      <c r="AI264" s="1285">
        <f>N('R8貸付'!L42)-N(L264)</f>
        <v>0</v>
      </c>
      <c r="AJ264" s="1285">
        <f>N('R8貸付'!M42)-N(M264)</f>
        <v>0</v>
      </c>
      <c r="AK264" s="1285">
        <f>N('R8貸付'!N42)-N(N264)</f>
        <v>0</v>
      </c>
      <c r="AL264" s="1285">
        <f>N('R8貸付'!O42)-N(O264)</f>
        <v>0</v>
      </c>
      <c r="AM264" s="1285">
        <f>N('R8貸付'!P42)-N(P264)</f>
        <v>0</v>
      </c>
      <c r="AN264" s="1285">
        <f>N('R8貸付'!Q42)-N(Q264)</f>
        <v>0</v>
      </c>
      <c r="AO264" s="1285">
        <f>N('R8貸付'!R42)-N(R264)</f>
        <v>0</v>
      </c>
      <c r="AP264" s="1285">
        <f>N('R8貸付'!S42)-N(S264)</f>
        <v>0</v>
      </c>
      <c r="AQ264" s="1285">
        <f>N('R8貸付'!T42)-N(T264)</f>
        <v>0</v>
      </c>
      <c r="AR264" s="1285">
        <f>N('R8貸付'!U42)-N(U264)</f>
        <v>0</v>
      </c>
    </row>
    <row r="265">
      <c r="C265" s="1284" t="n">
        <v>491490</v>
      </c>
      <c r="D265" s="1284" t="n">
        <v>372800</v>
      </c>
      <c r="E265" s="1284" t="n">
        <v>372800</v>
      </c>
      <c r="F265" s="1284" t="n">
        <v>372800</v>
      </c>
      <c r="G265" s="1284" t="n">
        <v>372800</v>
      </c>
      <c r="H265" s="1284" t="n">
        <v>372800</v>
      </c>
      <c r="I265" s="1284" t="n">
        <v>474390</v>
      </c>
      <c r="J265" s="1284" t="n">
        <v>357596</v>
      </c>
      <c r="K265" s="1284" t="n">
        <v>484762</v>
      </c>
      <c r="L265" s="1284" t="n">
        <v>365100</v>
      </c>
      <c r="M265" s="1284" t="n">
        <v>365100</v>
      </c>
      <c r="N265" s="1284" t="n">
        <v>365100</v>
      </c>
      <c r="Q265" s="1284" t="n">
        <v>4767538</v>
      </c>
      <c r="Z265" s="1285">
        <f>N('R8貸付'!C43)-N(C265)</f>
        <v>0</v>
      </c>
      <c r="AA265" s="1285">
        <f>N('R8貸付'!D43)-N(D265)</f>
        <v>0</v>
      </c>
      <c r="AB265" s="1285">
        <f>N('R8貸付'!E43)-N(E265)</f>
        <v>0</v>
      </c>
      <c r="AC265" s="1285">
        <f>N('R8貸付'!F43)-N(F265)</f>
        <v>0</v>
      </c>
      <c r="AD265" s="1285">
        <f>N('R8貸付'!G43)-N(G265)</f>
        <v>0</v>
      </c>
      <c r="AE265" s="1285">
        <f>N('R8貸付'!H43)-N(H265)</f>
        <v>0</v>
      </c>
      <c r="AF265" s="1285">
        <f>N('R8貸付'!I43)-N(I265)</f>
        <v>0</v>
      </c>
      <c r="AG265" s="1285">
        <f>N('R8貸付'!J43)-N(J265)</f>
        <v>0</v>
      </c>
      <c r="AH265" s="1285">
        <f>N('R8貸付'!K43)-N(K265)</f>
        <v>0</v>
      </c>
      <c r="AI265" s="1285">
        <f>N('R8貸付'!L43)-N(L265)</f>
        <v>0</v>
      </c>
      <c r="AJ265" s="1285">
        <f>N('R8貸付'!M43)-N(M265)</f>
        <v>0</v>
      </c>
      <c r="AK265" s="1285">
        <f>N('R8貸付'!N43)-N(N265)</f>
        <v>0</v>
      </c>
      <c r="AL265" s="1285">
        <f>N('R8貸付'!O43)-N(O265)</f>
        <v>0</v>
      </c>
      <c r="AM265" s="1285">
        <f>N('R8貸付'!P43)-N(P265)</f>
        <v>0</v>
      </c>
      <c r="AN265" s="1285">
        <f>N('R8貸付'!Q43)-N(Q265)</f>
        <v>0</v>
      </c>
      <c r="AO265" s="1285">
        <f>N('R8貸付'!R43)-N(R265)</f>
        <v>0</v>
      </c>
      <c r="AP265" s="1285">
        <f>N('R8貸付'!S43)-N(S265)</f>
        <v>0</v>
      </c>
      <c r="AQ265" s="1285">
        <f>N('R8貸付'!T43)-N(T265)</f>
        <v>0</v>
      </c>
      <c r="AR265" s="1285">
        <f>N('R8貸付'!U43)-N(U265)</f>
        <v>0</v>
      </c>
    </row>
    <row r="266">
      <c r="E266" s="1284" t="n">
        <v>866759</v>
      </c>
      <c r="K266" s="1284" t="n">
        <v>835895</v>
      </c>
      <c r="Q266" s="1284" t="n">
        <v>1702654</v>
      </c>
      <c r="Z266" s="1285">
        <f>N('R8貸付'!C44)-N(C266)</f>
        <v>0</v>
      </c>
      <c r="AA266" s="1285">
        <f>N('R8貸付'!D44)-N(D266)</f>
        <v>0</v>
      </c>
      <c r="AB266" s="1285">
        <f>N('R8貸付'!E44)-N(E266)</f>
        <v>0</v>
      </c>
      <c r="AC266" s="1285">
        <f>N('R8貸付'!F44)-N(F266)</f>
        <v>0</v>
      </c>
      <c r="AD266" s="1285">
        <f>N('R8貸付'!G44)-N(G266)</f>
        <v>0</v>
      </c>
      <c r="AE266" s="1285">
        <f>N('R8貸付'!H44)-N(H266)</f>
        <v>0</v>
      </c>
      <c r="AF266" s="1285">
        <f>N('R8貸付'!I44)-N(I266)</f>
        <v>0</v>
      </c>
      <c r="AG266" s="1285">
        <f>N('R8貸付'!J44)-N(J266)</f>
        <v>0</v>
      </c>
      <c r="AH266" s="1285">
        <f>N('R8貸付'!K44)-N(K266)</f>
        <v>0</v>
      </c>
      <c r="AI266" s="1285">
        <f>N('R8貸付'!L44)-N(L266)</f>
        <v>0</v>
      </c>
      <c r="AJ266" s="1285">
        <f>N('R8貸付'!M44)-N(M266)</f>
        <v>0</v>
      </c>
      <c r="AK266" s="1285">
        <f>N('R8貸付'!N44)-N(N266)</f>
        <v>0</v>
      </c>
      <c r="AL266" s="1285">
        <f>N('R8貸付'!O44)-N(O266)</f>
        <v>0</v>
      </c>
      <c r="AM266" s="1285">
        <f>N('R8貸付'!P44)-N(P266)</f>
        <v>0</v>
      </c>
      <c r="AN266" s="1285">
        <f>N('R8貸付'!Q44)-N(Q266)</f>
        <v>0</v>
      </c>
      <c r="AO266" s="1285">
        <f>N('R8貸付'!R44)-N(R266)</f>
        <v>0</v>
      </c>
      <c r="AP266" s="1285">
        <f>N('R8貸付'!S44)-N(S266)</f>
        <v>0</v>
      </c>
      <c r="AQ266" s="1285">
        <f>N('R8貸付'!T44)-N(T266)</f>
        <v>0</v>
      </c>
      <c r="AR266" s="1285">
        <f>N('R8貸付'!U44)-N(U266)</f>
        <v>0</v>
      </c>
    </row>
    <row r="267">
      <c r="C267" s="1284" t="n">
        <v>491490</v>
      </c>
      <c r="D267" s="1284" t="n">
        <v>372800</v>
      </c>
      <c r="E267" s="1284" t="n">
        <v>1239559</v>
      </c>
      <c r="F267" s="1284" t="n">
        <v>372800</v>
      </c>
      <c r="G267" s="1284" t="n">
        <v>372800</v>
      </c>
      <c r="H267" s="1284" t="n">
        <v>372800</v>
      </c>
      <c r="I267" s="1284" t="n">
        <v>474390</v>
      </c>
      <c r="J267" s="1284" t="n">
        <v>357596</v>
      </c>
      <c r="K267" s="1284" t="n">
        <v>1320657</v>
      </c>
      <c r="L267" s="1284" t="n">
        <v>365100</v>
      </c>
      <c r="M267" s="1284" t="n">
        <v>365100</v>
      </c>
      <c r="N267" s="1284" t="n">
        <v>365100</v>
      </c>
      <c r="O267" s="1284" t="n">
        <v>0</v>
      </c>
      <c r="Q267" s="1284" t="n">
        <v>6470192</v>
      </c>
      <c r="Z267" s="1285">
        <f>N('R8貸付'!C45)-N(C267)</f>
        <v>0</v>
      </c>
      <c r="AA267" s="1285">
        <f>N('R8貸付'!D45)-N(D267)</f>
        <v>0</v>
      </c>
      <c r="AB267" s="1285">
        <f>N('R8貸付'!E45)-N(E267)</f>
        <v>0</v>
      </c>
      <c r="AC267" s="1285">
        <f>N('R8貸付'!F45)-N(F267)</f>
        <v>0</v>
      </c>
      <c r="AD267" s="1285">
        <f>N('R8貸付'!G45)-N(G267)</f>
        <v>0</v>
      </c>
      <c r="AE267" s="1285">
        <f>N('R8貸付'!H45)-N(H267)</f>
        <v>0</v>
      </c>
      <c r="AF267" s="1285">
        <f>N('R8貸付'!I45)-N(I267)</f>
        <v>0</v>
      </c>
      <c r="AG267" s="1285">
        <f>N('R8貸付'!J45)-N(J267)</f>
        <v>0</v>
      </c>
      <c r="AH267" s="1285">
        <f>N('R8貸付'!K45)-N(K267)</f>
        <v>0</v>
      </c>
      <c r="AI267" s="1285">
        <f>N('R8貸付'!L45)-N(L267)</f>
        <v>0</v>
      </c>
      <c r="AJ267" s="1285">
        <f>N('R8貸付'!M45)-N(M267)</f>
        <v>0</v>
      </c>
      <c r="AK267" s="1285">
        <f>N('R8貸付'!N45)-N(N267)</f>
        <v>0</v>
      </c>
      <c r="AL267" s="1285">
        <f>N('R8貸付'!O45)-N(O267)</f>
        <v>0</v>
      </c>
      <c r="AM267" s="1285">
        <f>N('R8貸付'!P45)-N(P267)</f>
        <v>0</v>
      </c>
      <c r="AN267" s="1285">
        <f>N('R8貸付'!Q45)-N(Q267)</f>
        <v>0</v>
      </c>
      <c r="AO267" s="1285">
        <f>N('R8貸付'!R45)-N(R267)</f>
        <v>0</v>
      </c>
      <c r="AP267" s="1285">
        <f>N('R8貸付'!S45)-N(S267)</f>
        <v>0</v>
      </c>
      <c r="AQ267" s="1285">
        <f>N('R8貸付'!T45)-N(T267)</f>
        <v>0</v>
      </c>
      <c r="AR267" s="1285">
        <f>N('R8貸付'!U45)-N(U267)</f>
        <v>0</v>
      </c>
    </row>
    <row r="268">
      <c r="Z268" s="1285">
        <f>N('R8貸付'!C46)-N(C268)</f>
        <v>0</v>
      </c>
      <c r="AA268" s="1285">
        <f>N('R8貸付'!D46)-N(D268)</f>
        <v>0</v>
      </c>
      <c r="AB268" s="1285">
        <f>N('R8貸付'!E46)-N(E268)</f>
        <v>0</v>
      </c>
      <c r="AC268" s="1285">
        <f>N('R8貸付'!F46)-N(F268)</f>
        <v>0</v>
      </c>
      <c r="AD268" s="1285">
        <f>N('R8貸付'!G46)-N(G268)</f>
        <v>0</v>
      </c>
      <c r="AE268" s="1285">
        <f>N('R8貸付'!H46)-N(H268)</f>
        <v>0</v>
      </c>
      <c r="AF268" s="1285">
        <f>N('R8貸付'!I46)-N(I268)</f>
        <v>0</v>
      </c>
      <c r="AG268" s="1285">
        <f>N('R8貸付'!J46)-N(J268)</f>
        <v>0</v>
      </c>
      <c r="AH268" s="1285">
        <f>N('R8貸付'!K46)-N(K268)</f>
        <v>0</v>
      </c>
      <c r="AI268" s="1285">
        <f>N('R8貸付'!L46)-N(L268)</f>
        <v>0</v>
      </c>
      <c r="AJ268" s="1285">
        <f>N('R8貸付'!M46)-N(M268)</f>
        <v>0</v>
      </c>
      <c r="AK268" s="1285">
        <f>N('R8貸付'!N46)-N(N268)</f>
        <v>0</v>
      </c>
      <c r="AL268" s="1285">
        <f>N('R8貸付'!O46)-N(O268)</f>
        <v>0</v>
      </c>
      <c r="AM268" s="1285">
        <f>N('R8貸付'!P46)-N(P268)</f>
        <v>0</v>
      </c>
      <c r="AN268" s="1285">
        <f>N('R8貸付'!Q46)-N(Q268)</f>
        <v>0</v>
      </c>
      <c r="AO268" s="1285">
        <f>N('R8貸付'!R46)-N(R268)</f>
        <v>0</v>
      </c>
      <c r="AP268" s="1285">
        <f>N('R8貸付'!S46)-N(S268)</f>
        <v>0</v>
      </c>
      <c r="AQ268" s="1285">
        <f>N('R8貸付'!T46)-N(T268)</f>
        <v>0</v>
      </c>
      <c r="AR268" s="1285">
        <f>N('R8貸付'!U46)-N(U268)</f>
        <v>0</v>
      </c>
    </row>
    <row r="269">
      <c r="C269" s="1284" t="n">
        <v>0</v>
      </c>
      <c r="D269" s="1284" t="n">
        <v>380700</v>
      </c>
      <c r="E269" s="1284" t="n">
        <v>327555</v>
      </c>
      <c r="F269" s="1284" t="n">
        <v>400770</v>
      </c>
      <c r="G269" s="1284" t="n">
        <v>400380</v>
      </c>
      <c r="H269" s="1284" t="n">
        <v>344580</v>
      </c>
      <c r="I269" s="1284" t="n">
        <v>364625</v>
      </c>
      <c r="J269" s="1284" t="n">
        <v>401920</v>
      </c>
      <c r="K269" s="1284" t="n">
        <v>329655</v>
      </c>
      <c r="L269" s="1284" t="n">
        <v>365270</v>
      </c>
      <c r="M269" s="1284" t="n">
        <v>347335</v>
      </c>
      <c r="N269" s="1284" t="n">
        <v>328425</v>
      </c>
      <c r="O269" s="1284" t="n">
        <v>153280</v>
      </c>
      <c r="Q269" s="1284" t="n">
        <v>4144495</v>
      </c>
      <c r="Z269" s="1285">
        <f>N('R8貸付'!C47)-N(C269)</f>
        <v>0</v>
      </c>
      <c r="AA269" s="1285">
        <f>N('R8貸付'!D47)-N(D269)</f>
        <v>0</v>
      </c>
      <c r="AB269" s="1285">
        <f>N('R8貸付'!E47)-N(E269)</f>
        <v>0</v>
      </c>
      <c r="AC269" s="1285">
        <f>N('R8貸付'!F47)-N(F269)</f>
        <v>0</v>
      </c>
      <c r="AD269" s="1285">
        <f>N('R8貸付'!G47)-N(G269)</f>
        <v>0</v>
      </c>
      <c r="AE269" s="1285">
        <f>N('R8貸付'!H47)-N(H269)</f>
        <v>0</v>
      </c>
      <c r="AF269" s="1285">
        <f>N('R8貸付'!I47)-N(I269)</f>
        <v>0</v>
      </c>
      <c r="AG269" s="1285">
        <f>N('R8貸付'!J47)-N(J269)</f>
        <v>0</v>
      </c>
      <c r="AH269" s="1285">
        <f>N('R8貸付'!K47)-N(K269)</f>
        <v>0</v>
      </c>
      <c r="AI269" s="1285">
        <f>N('R8貸付'!L47)-N(L269)</f>
        <v>0</v>
      </c>
      <c r="AJ269" s="1285">
        <f>N('R8貸付'!M47)-N(M269)</f>
        <v>0</v>
      </c>
      <c r="AK269" s="1285">
        <f>N('R8貸付'!N47)-N(N269)</f>
        <v>0</v>
      </c>
      <c r="AL269" s="1285">
        <f>N('R8貸付'!O47)-N(O269)</f>
        <v>0</v>
      </c>
      <c r="AM269" s="1285">
        <f>N('R8貸付'!P47)-N(P269)</f>
        <v>0</v>
      </c>
      <c r="AN269" s="1285">
        <f>N('R8貸付'!Q47)-N(Q269)</f>
        <v>0</v>
      </c>
      <c r="AO269" s="1285">
        <f>N('R8貸付'!R47)-N(R269)</f>
        <v>0</v>
      </c>
      <c r="AP269" s="1285">
        <f>N('R8貸付'!S47)-N(S269)</f>
        <v>0</v>
      </c>
      <c r="AQ269" s="1285">
        <f>N('R8貸付'!T47)-N(T269)</f>
        <v>0</v>
      </c>
      <c r="AR269" s="1285">
        <f>N('R8貸付'!U47)-N(U269)</f>
        <v>0</v>
      </c>
    </row>
    <row r="270">
      <c r="C270" s="1284" t="n">
        <v>0</v>
      </c>
      <c r="D270" s="1284" t="n">
        <v>380700</v>
      </c>
      <c r="E270" s="1284" t="n">
        <v>327555</v>
      </c>
      <c r="F270" s="1284" t="n">
        <v>400770</v>
      </c>
      <c r="G270" s="1284" t="n">
        <v>400380</v>
      </c>
      <c r="H270" s="1284" t="n">
        <v>344580</v>
      </c>
      <c r="I270" s="1284" t="n">
        <v>364625</v>
      </c>
      <c r="J270" s="1284" t="n">
        <v>401920</v>
      </c>
      <c r="K270" s="1284" t="n">
        <v>329655</v>
      </c>
      <c r="L270" s="1284" t="n">
        <v>365270</v>
      </c>
      <c r="M270" s="1284" t="n">
        <v>347335</v>
      </c>
      <c r="N270" s="1284" t="n">
        <v>328425</v>
      </c>
      <c r="O270" s="1284" t="n">
        <v>153280</v>
      </c>
      <c r="Q270" s="1284" t="n">
        <v>4144495</v>
      </c>
      <c r="Z270" s="1285">
        <f>N('R8貸付'!C48)-N(C270)</f>
        <v>0</v>
      </c>
      <c r="AA270" s="1285">
        <f>N('R8貸付'!D48)-N(D270)</f>
        <v>0</v>
      </c>
      <c r="AB270" s="1285">
        <f>N('R8貸付'!E48)-N(E270)</f>
        <v>0</v>
      </c>
      <c r="AC270" s="1285">
        <f>N('R8貸付'!F48)-N(F270)</f>
        <v>0</v>
      </c>
      <c r="AD270" s="1285">
        <f>N('R8貸付'!G48)-N(G270)</f>
        <v>0</v>
      </c>
      <c r="AE270" s="1285">
        <f>N('R8貸付'!H48)-N(H270)</f>
        <v>0</v>
      </c>
      <c r="AF270" s="1285">
        <f>N('R8貸付'!I48)-N(I270)</f>
        <v>0</v>
      </c>
      <c r="AG270" s="1285">
        <f>N('R8貸付'!J48)-N(J270)</f>
        <v>0</v>
      </c>
      <c r="AH270" s="1285">
        <f>N('R8貸付'!K48)-N(K270)</f>
        <v>0</v>
      </c>
      <c r="AI270" s="1285">
        <f>N('R8貸付'!L48)-N(L270)</f>
        <v>0</v>
      </c>
      <c r="AJ270" s="1285">
        <f>N('R8貸付'!M48)-N(M270)</f>
        <v>0</v>
      </c>
      <c r="AK270" s="1285">
        <f>N('R8貸付'!N48)-N(N270)</f>
        <v>0</v>
      </c>
      <c r="AL270" s="1285">
        <f>N('R8貸付'!O48)-N(O270)</f>
        <v>0</v>
      </c>
      <c r="AM270" s="1285">
        <f>N('R8貸付'!P48)-N(P270)</f>
        <v>0</v>
      </c>
      <c r="AN270" s="1285">
        <f>N('R8貸付'!Q48)-N(Q270)</f>
        <v>0</v>
      </c>
      <c r="AO270" s="1285">
        <f>N('R8貸付'!R48)-N(R270)</f>
        <v>0</v>
      </c>
      <c r="AP270" s="1285">
        <f>N('R8貸付'!S48)-N(S270)</f>
        <v>0</v>
      </c>
      <c r="AQ270" s="1285">
        <f>N('R8貸付'!T48)-N(T270)</f>
        <v>0</v>
      </c>
      <c r="AR270" s="1285">
        <f>N('R8貸付'!U48)-N(U270)</f>
        <v>0</v>
      </c>
    </row>
    <row r="271">
      <c r="C271" s="1284" t="n">
        <v>491490</v>
      </c>
      <c r="D271" s="1284" t="n">
        <v>753500</v>
      </c>
      <c r="E271" s="1284" t="n">
        <v>1567114</v>
      </c>
      <c r="F271" s="1284" t="n">
        <v>773570</v>
      </c>
      <c r="G271" s="1284" t="n">
        <v>773180</v>
      </c>
      <c r="H271" s="1284" t="n">
        <v>717380</v>
      </c>
      <c r="I271" s="1284" t="n">
        <v>839015</v>
      </c>
      <c r="J271" s="1284" t="n">
        <v>759516</v>
      </c>
      <c r="K271" s="1284" t="n">
        <v>1650312</v>
      </c>
      <c r="L271" s="1284" t="n">
        <v>730370</v>
      </c>
      <c r="M271" s="1284" t="n">
        <v>712435</v>
      </c>
      <c r="N271" s="1284" t="n">
        <v>693525</v>
      </c>
      <c r="O271" s="1284" t="n">
        <v>153280</v>
      </c>
      <c r="Q271" s="1284" t="n">
        <v>10614687</v>
      </c>
      <c r="Z271" s="1285">
        <f>N('R8貸付'!C49)-N(C271)</f>
        <v>0</v>
      </c>
      <c r="AA271" s="1285">
        <f>N('R8貸付'!D49)-N(D271)</f>
        <v>0</v>
      </c>
      <c r="AB271" s="1285">
        <f>N('R8貸付'!E49)-N(E271)</f>
        <v>0</v>
      </c>
      <c r="AC271" s="1285">
        <f>N('R8貸付'!F49)-N(F271)</f>
        <v>0</v>
      </c>
      <c r="AD271" s="1285">
        <f>N('R8貸付'!G49)-N(G271)</f>
        <v>0</v>
      </c>
      <c r="AE271" s="1285">
        <f>N('R8貸付'!H49)-N(H271)</f>
        <v>0</v>
      </c>
      <c r="AF271" s="1285">
        <f>N('R8貸付'!I49)-N(I271)</f>
        <v>0</v>
      </c>
      <c r="AG271" s="1285">
        <f>N('R8貸付'!J49)-N(J271)</f>
        <v>0</v>
      </c>
      <c r="AH271" s="1285">
        <f>N('R8貸付'!K49)-N(K271)</f>
        <v>0</v>
      </c>
      <c r="AI271" s="1285">
        <f>N('R8貸付'!L49)-N(L271)</f>
        <v>0</v>
      </c>
      <c r="AJ271" s="1285">
        <f>N('R8貸付'!M49)-N(M271)</f>
        <v>0</v>
      </c>
      <c r="AK271" s="1285">
        <f>N('R8貸付'!N49)-N(N271)</f>
        <v>0</v>
      </c>
      <c r="AL271" s="1285">
        <f>N('R8貸付'!O49)-N(O271)</f>
        <v>0</v>
      </c>
      <c r="AM271" s="1285">
        <f>N('R8貸付'!P49)-N(P271)</f>
        <v>0</v>
      </c>
      <c r="AN271" s="1285">
        <f>N('R8貸付'!Q49)-N(Q271)</f>
        <v>0</v>
      </c>
      <c r="AO271" s="1285">
        <f>N('R8貸付'!R49)-N(R271)</f>
        <v>0</v>
      </c>
      <c r="AP271" s="1285">
        <f>N('R8貸付'!S49)-N(S271)</f>
        <v>0</v>
      </c>
      <c r="AQ271" s="1285">
        <f>N('R8貸付'!T49)-N(T271)</f>
        <v>0</v>
      </c>
      <c r="AR271" s="1285">
        <f>N('R8貸付'!U49)-N(U271)</f>
        <v>0</v>
      </c>
    </row>
    <row r="272">
      <c r="Z272" s="1285">
        <f>N('R8貸付'!C50)-N(C272)</f>
        <v>0</v>
      </c>
      <c r="AA272" s="1285">
        <f>N('R8貸付'!D50)-N(D272)</f>
        <v>0</v>
      </c>
      <c r="AB272" s="1285">
        <f>N('R8貸付'!E50)-N(E272)</f>
        <v>0</v>
      </c>
      <c r="AC272" s="1285">
        <f>N('R8貸付'!F50)-N(F272)</f>
        <v>0</v>
      </c>
      <c r="AD272" s="1285">
        <f>N('R8貸付'!G50)-N(G272)</f>
        <v>0</v>
      </c>
      <c r="AE272" s="1285">
        <f>N('R8貸付'!H50)-N(H272)</f>
        <v>0</v>
      </c>
      <c r="AF272" s="1285">
        <f>N('R8貸付'!I50)-N(I272)</f>
        <v>0</v>
      </c>
      <c r="AG272" s="1285">
        <f>N('R8貸付'!J50)-N(J272)</f>
        <v>0</v>
      </c>
      <c r="AH272" s="1285">
        <f>N('R8貸付'!K50)-N(K272)</f>
        <v>0</v>
      </c>
      <c r="AI272" s="1285">
        <f>N('R8貸付'!L50)-N(L272)</f>
        <v>0</v>
      </c>
      <c r="AJ272" s="1285">
        <f>N('R8貸付'!M50)-N(M272)</f>
        <v>0</v>
      </c>
      <c r="AK272" s="1285">
        <f>N('R8貸付'!N50)-N(N272)</f>
        <v>0</v>
      </c>
      <c r="AL272" s="1285">
        <f>N('R8貸付'!O50)-N(O272)</f>
        <v>0</v>
      </c>
      <c r="AM272" s="1285">
        <f>N('R8貸付'!P50)-N(P272)</f>
        <v>0</v>
      </c>
      <c r="AN272" s="1285">
        <f>N('R8貸付'!Q50)-N(Q272)</f>
        <v>0</v>
      </c>
      <c r="AO272" s="1285">
        <f>N('R8貸付'!R50)-N(R272)</f>
        <v>0</v>
      </c>
      <c r="AP272" s="1285">
        <f>N('R8貸付'!S50)-N(S272)</f>
        <v>0</v>
      </c>
      <c r="AQ272" s="1285">
        <f>N('R8貸付'!T50)-N(T272)</f>
        <v>0</v>
      </c>
      <c r="AR272" s="1285">
        <f>N('R8貸付'!U50)-N(U272)</f>
        <v>0</v>
      </c>
    </row>
    <row r="273">
      <c r="Z273" s="1285">
        <f>N('R8貸付'!C51)-N(C273)</f>
        <v>0</v>
      </c>
      <c r="AA273" s="1285">
        <f>N('R8貸付'!D51)-N(D273)</f>
        <v>0</v>
      </c>
      <c r="AB273" s="1285">
        <f>N('R8貸付'!E51)-N(E273)</f>
        <v>0</v>
      </c>
      <c r="AC273" s="1285">
        <f>N('R8貸付'!F51)-N(F273)</f>
        <v>0</v>
      </c>
      <c r="AD273" s="1285">
        <f>N('R8貸付'!G51)-N(G273)</f>
        <v>0</v>
      </c>
      <c r="AE273" s="1285">
        <f>N('R8貸付'!H51)-N(H273)</f>
        <v>0</v>
      </c>
      <c r="AF273" s="1285">
        <f>N('R8貸付'!I51)-N(I273)</f>
        <v>0</v>
      </c>
      <c r="AG273" s="1285">
        <f>N('R8貸付'!J51)-N(J273)</f>
        <v>0</v>
      </c>
      <c r="AH273" s="1285">
        <f>N('R8貸付'!K51)-N(K273)</f>
        <v>0</v>
      </c>
      <c r="AI273" s="1285">
        <f>N('R8貸付'!L51)-N(L273)</f>
        <v>0</v>
      </c>
      <c r="AJ273" s="1285">
        <f>N('R8貸付'!M51)-N(M273)</f>
        <v>0</v>
      </c>
      <c r="AK273" s="1285">
        <f>N('R8貸付'!N51)-N(N273)</f>
        <v>0</v>
      </c>
      <c r="AL273" s="1285">
        <f>N('R8貸付'!O51)-N(O273)</f>
        <v>0</v>
      </c>
      <c r="AM273" s="1285">
        <f>N('R8貸付'!P51)-N(P273)</f>
        <v>0</v>
      </c>
      <c r="AN273" s="1285">
        <f>N('R8貸付'!Q51)-N(Q273)</f>
        <v>0</v>
      </c>
      <c r="AO273" s="1285">
        <f>N('R8貸付'!R51)-N(R273)</f>
        <v>0</v>
      </c>
      <c r="AP273" s="1285">
        <f>N('R8貸付'!S51)-N(S273)</f>
        <v>0</v>
      </c>
      <c r="AQ273" s="1285">
        <f>N('R8貸付'!T51)-N(T273)</f>
        <v>0</v>
      </c>
      <c r="AR273" s="1285">
        <f>N('R8貸付'!U51)-N(U273)</f>
        <v>0</v>
      </c>
    </row>
    <row r="274">
      <c r="Z274" s="1285">
        <f>N('R8貸付'!C52)-N(C274)</f>
        <v>0</v>
      </c>
      <c r="AA274" s="1285">
        <f>N('R8貸付'!D52)-N(D274)</f>
        <v>0</v>
      </c>
      <c r="AB274" s="1285">
        <f>N('R8貸付'!E52)-N(E274)</f>
        <v>0</v>
      </c>
      <c r="AC274" s="1285">
        <f>N('R8貸付'!F52)-N(F274)</f>
        <v>0</v>
      </c>
      <c r="AD274" s="1285">
        <f>N('R8貸付'!G52)-N(G274)</f>
        <v>0</v>
      </c>
      <c r="AE274" s="1285">
        <f>N('R8貸付'!H52)-N(H274)</f>
        <v>0</v>
      </c>
      <c r="AF274" s="1285">
        <f>N('R8貸付'!I52)-N(I274)</f>
        <v>0</v>
      </c>
      <c r="AG274" s="1285">
        <f>N('R8貸付'!J52)-N(J274)</f>
        <v>0</v>
      </c>
      <c r="AH274" s="1285">
        <f>N('R8貸付'!K52)-N(K274)</f>
        <v>0</v>
      </c>
      <c r="AI274" s="1285">
        <f>N('R8貸付'!L52)-N(L274)</f>
        <v>0</v>
      </c>
      <c r="AJ274" s="1285">
        <f>N('R8貸付'!M52)-N(M274)</f>
        <v>0</v>
      </c>
      <c r="AK274" s="1285">
        <f>N('R8貸付'!N52)-N(N274)</f>
        <v>0</v>
      </c>
      <c r="AL274" s="1285">
        <f>N('R8貸付'!O52)-N(O274)</f>
        <v>0</v>
      </c>
      <c r="AM274" s="1285">
        <f>N('R8貸付'!P52)-N(P274)</f>
        <v>0</v>
      </c>
      <c r="AN274" s="1285">
        <f>N('R8貸付'!Q52)-N(Q274)</f>
        <v>0</v>
      </c>
      <c r="AO274" s="1285">
        <f>N('R8貸付'!R52)-N(R274)</f>
        <v>0</v>
      </c>
      <c r="AP274" s="1285">
        <f>N('R8貸付'!S52)-N(S274)</f>
        <v>0</v>
      </c>
      <c r="AQ274" s="1285">
        <f>N('R8貸付'!T52)-N(T274)</f>
        <v>0</v>
      </c>
      <c r="AR274" s="1285">
        <f>N('R8貸付'!U52)-N(U274)</f>
        <v>0</v>
      </c>
    </row>
    <row r="275">
      <c r="C275" s="1284" t="n">
        <v>17990000</v>
      </c>
      <c r="D275" s="1284" t="n">
        <v>10200000</v>
      </c>
      <c r="E275" s="1284" t="n">
        <v>4140000</v>
      </c>
      <c r="F275" s="1284" t="n">
        <v>7150000</v>
      </c>
      <c r="G275" s="1284" t="n">
        <v>6140000</v>
      </c>
      <c r="H275" s="1284" t="n">
        <v>4000000</v>
      </c>
      <c r="I275" s="1284" t="n">
        <v>6150000</v>
      </c>
      <c r="J275" s="1284" t="n">
        <v>11400000</v>
      </c>
      <c r="K275" s="1284" t="n">
        <v>8100000</v>
      </c>
      <c r="L275" s="1284" t="n">
        <v>10520000</v>
      </c>
      <c r="M275" s="1284" t="n">
        <v>9040000</v>
      </c>
      <c r="N275" s="1284" t="n">
        <v>35670000</v>
      </c>
      <c r="Z275" s="1285">
        <f>N('R8貸付'!C53)-N(C275)</f>
        <v>0</v>
      </c>
      <c r="AA275" s="1285">
        <f>N('R8貸付'!D53)-N(D275)</f>
        <v>0</v>
      </c>
      <c r="AB275" s="1285">
        <f>N('R8貸付'!E53)-N(E275)</f>
        <v>0</v>
      </c>
      <c r="AC275" s="1285">
        <f>N('R8貸付'!F53)-N(F275)</f>
        <v>0</v>
      </c>
      <c r="AD275" s="1285">
        <f>N('R8貸付'!G53)-N(G275)</f>
        <v>0</v>
      </c>
      <c r="AE275" s="1285">
        <f>N('R8貸付'!H53)-N(H275)</f>
        <v>0</v>
      </c>
      <c r="AF275" s="1285">
        <f>N('R8貸付'!I53)-N(I275)</f>
        <v>0</v>
      </c>
      <c r="AG275" s="1285">
        <f>N('R8貸付'!J53)-N(J275)</f>
        <v>0</v>
      </c>
      <c r="AH275" s="1285">
        <f>N('R8貸付'!K53)-N(K275)</f>
        <v>0</v>
      </c>
      <c r="AI275" s="1285">
        <f>N('R8貸付'!L53)-N(L275)</f>
        <v>0</v>
      </c>
      <c r="AJ275" s="1285">
        <f>N('R8貸付'!M53)-N(M275)</f>
        <v>0</v>
      </c>
      <c r="AK275" s="1285">
        <f>N('R8貸付'!N53)-N(N275)</f>
        <v>0</v>
      </c>
      <c r="AL275" s="1285">
        <f>N('R8貸付'!O53)-N(O275)</f>
        <v>0</v>
      </c>
      <c r="AM275" s="1285">
        <f>N('R8貸付'!P53)-N(P275)</f>
        <v>0</v>
      </c>
      <c r="AN275" s="1285">
        <f>N('R8貸付'!Q53)-N(Q275)</f>
        <v>0</v>
      </c>
      <c r="AO275" s="1285">
        <f>N('R8貸付'!R53)-N(R275)</f>
        <v>0</v>
      </c>
      <c r="AP275" s="1285">
        <f>N('R8貸付'!S53)-N(S275)</f>
        <v>0</v>
      </c>
      <c r="AQ275" s="1285">
        <f>N('R8貸付'!T53)-N(T275)</f>
        <v>0</v>
      </c>
      <c r="AR275" s="1285">
        <f>N('R8貸付'!U53)-N(U275)</f>
        <v>0</v>
      </c>
    </row>
    <row r="276">
      <c r="Z276" s="1285">
        <f>N('R8貸付'!C54)-N(C276)</f>
        <v>0</v>
      </c>
      <c r="AA276" s="1285">
        <f>N('R8貸付'!D54)-N(D276)</f>
        <v>0</v>
      </c>
      <c r="AB276" s="1285">
        <f>N('R8貸付'!E54)-N(E276)</f>
        <v>0</v>
      </c>
      <c r="AC276" s="1285">
        <f>N('R8貸付'!F54)-N(F276)</f>
        <v>0</v>
      </c>
      <c r="AD276" s="1285">
        <f>N('R8貸付'!G54)-N(G276)</f>
        <v>0</v>
      </c>
      <c r="AE276" s="1285">
        <f>N('R8貸付'!H54)-N(H276)</f>
        <v>0</v>
      </c>
      <c r="AF276" s="1285">
        <f>N('R8貸付'!I54)-N(I276)</f>
        <v>0</v>
      </c>
      <c r="AG276" s="1285">
        <f>N('R8貸付'!J54)-N(J276)</f>
        <v>0</v>
      </c>
      <c r="AH276" s="1285">
        <f>N('R8貸付'!K54)-N(K276)</f>
        <v>0</v>
      </c>
      <c r="AI276" s="1285">
        <f>N('R8貸付'!L54)-N(L276)</f>
        <v>0</v>
      </c>
      <c r="AJ276" s="1285">
        <f>N('R8貸付'!M54)-N(M276)</f>
        <v>0</v>
      </c>
      <c r="AK276" s="1285">
        <f>N('R8貸付'!N54)-N(N276)</f>
        <v>0</v>
      </c>
      <c r="AL276" s="1285">
        <f>N('R8貸付'!O54)-N(O276)</f>
        <v>0</v>
      </c>
      <c r="AM276" s="1285">
        <f>N('R8貸付'!P54)-N(P276)</f>
        <v>0</v>
      </c>
      <c r="AN276" s="1285">
        <f>N('R8貸付'!Q54)-N(Q276)</f>
        <v>0</v>
      </c>
      <c r="AO276" s="1285">
        <f>N('R8貸付'!R54)-N(R276)</f>
        <v>0</v>
      </c>
      <c r="AP276" s="1285">
        <f>N('R8貸付'!S54)-N(S276)</f>
        <v>0</v>
      </c>
      <c r="AQ276" s="1285">
        <f>N('R8貸付'!T54)-N(T276)</f>
        <v>0</v>
      </c>
      <c r="AR276" s="1285">
        <f>N('R8貸付'!U54)-N(U276)</f>
        <v>0</v>
      </c>
    </row>
    <row r="277">
      <c r="C277" s="1284" t="n">
        <v>537677</v>
      </c>
      <c r="D277" s="1284" t="n">
        <v>871727</v>
      </c>
      <c r="E277" s="1284" t="n">
        <v>1808741</v>
      </c>
      <c r="F277" s="1284" t="n">
        <v>1020231</v>
      </c>
      <c r="G277" s="1284" t="n">
        <v>973050</v>
      </c>
      <c r="H277" s="1284" t="n">
        <v>834892</v>
      </c>
      <c r="I277" s="1284" t="n">
        <v>958131</v>
      </c>
      <c r="J277" s="1284" t="n">
        <v>807307</v>
      </c>
      <c r="K277" s="1284" t="n">
        <v>1822040</v>
      </c>
      <c r="L277" s="1284" t="n">
        <v>852351</v>
      </c>
      <c r="M277" s="1284" t="n">
        <v>910974</v>
      </c>
      <c r="N277" s="1284" t="n">
        <v>888070</v>
      </c>
      <c r="O277" s="1284" t="n">
        <v>214144</v>
      </c>
      <c r="Z277" s="1285">
        <f>N('R8貸付'!C55)-N(C277)</f>
        <v>0</v>
      </c>
      <c r="AA277" s="1285">
        <f>N('R8貸付'!D55)-N(D277)</f>
        <v>0</v>
      </c>
      <c r="AB277" s="1285">
        <f>N('R8貸付'!E55)-N(E277)</f>
        <v>0</v>
      </c>
      <c r="AC277" s="1285">
        <f>N('R8貸付'!F55)-N(F277)</f>
        <v>0</v>
      </c>
      <c r="AD277" s="1285">
        <f>N('R8貸付'!G55)-N(G277)</f>
        <v>0</v>
      </c>
      <c r="AE277" s="1285">
        <f>N('R8貸付'!H55)-N(H277)</f>
        <v>0</v>
      </c>
      <c r="AF277" s="1285">
        <f>N('R8貸付'!I55)-N(I277)</f>
        <v>0</v>
      </c>
      <c r="AG277" s="1285">
        <f>N('R8貸付'!J55)-N(J277)</f>
        <v>0</v>
      </c>
      <c r="AH277" s="1285">
        <f>N('R8貸付'!K55)-N(K277)</f>
        <v>0</v>
      </c>
      <c r="AI277" s="1285">
        <f>N('R8貸付'!L55)-N(L277)</f>
        <v>0</v>
      </c>
      <c r="AJ277" s="1285">
        <f>N('R8貸付'!M55)-N(M277)</f>
        <v>0</v>
      </c>
      <c r="AK277" s="1285">
        <f>N('R8貸付'!N55)-N(N277)</f>
        <v>0</v>
      </c>
      <c r="AL277" s="1285">
        <f>N('R8貸付'!O55)-N(O277)</f>
        <v>0</v>
      </c>
      <c r="AM277" s="1285">
        <f>N('R8貸付'!P55)-N(P277)</f>
        <v>0</v>
      </c>
      <c r="AN277" s="1285">
        <f>N('R8貸付'!Q55)-N(Q277)</f>
        <v>0</v>
      </c>
      <c r="AO277" s="1285">
        <f>N('R8貸付'!R55)-N(R277)</f>
        <v>0</v>
      </c>
      <c r="AP277" s="1285">
        <f>N('R8貸付'!S55)-N(S277)</f>
        <v>0</v>
      </c>
      <c r="AQ277" s="1285">
        <f>N('R8貸付'!T55)-N(T277)</f>
        <v>0</v>
      </c>
      <c r="AR277" s="1285">
        <f>N('R8貸付'!U55)-N(U277)</f>
        <v>0</v>
      </c>
    </row>
    <row r="278">
      <c r="Z278" s="1285">
        <f>N('R8貸付'!C56)-N(C278)</f>
        <v>0</v>
      </c>
      <c r="AA278" s="1285">
        <f>N('R8貸付'!D56)-N(D278)</f>
        <v>0</v>
      </c>
      <c r="AB278" s="1285">
        <f>N('R8貸付'!E56)-N(E278)</f>
        <v>0</v>
      </c>
      <c r="AC278" s="1285">
        <f>N('R8貸付'!F56)-N(F278)</f>
        <v>0</v>
      </c>
      <c r="AD278" s="1285">
        <f>N('R8貸付'!G56)-N(G278)</f>
        <v>0</v>
      </c>
      <c r="AE278" s="1285">
        <f>N('R8貸付'!H56)-N(H278)</f>
        <v>0</v>
      </c>
      <c r="AF278" s="1285">
        <f>N('R8貸付'!I56)-N(I278)</f>
        <v>0</v>
      </c>
      <c r="AG278" s="1285">
        <f>N('R8貸付'!J56)-N(J278)</f>
        <v>0</v>
      </c>
      <c r="AH278" s="1285">
        <f>N('R8貸付'!K56)-N(K278)</f>
        <v>0</v>
      </c>
      <c r="AI278" s="1285">
        <f>N('R8貸付'!L56)-N(L278)</f>
        <v>0</v>
      </c>
      <c r="AJ278" s="1285">
        <f>N('R8貸付'!M56)-N(M278)</f>
        <v>0</v>
      </c>
      <c r="AK278" s="1285">
        <f>N('R8貸付'!N56)-N(N278)</f>
        <v>0</v>
      </c>
      <c r="AL278" s="1285">
        <f>N('R8貸付'!O56)-N(O278)</f>
        <v>0</v>
      </c>
      <c r="AM278" s="1285">
        <f>N('R8貸付'!P56)-N(P278)</f>
        <v>0</v>
      </c>
      <c r="AN278" s="1285">
        <f>N('R8貸付'!Q56)-N(Q278)</f>
        <v>0</v>
      </c>
      <c r="AO278" s="1285">
        <f>N('R8貸付'!R56)-N(R278)</f>
        <v>0</v>
      </c>
      <c r="AP278" s="1285">
        <f>N('R8貸付'!S56)-N(S278)</f>
        <v>0</v>
      </c>
      <c r="AQ278" s="1285">
        <f>N('R8貸付'!T56)-N(T278)</f>
        <v>0</v>
      </c>
      <c r="AR278" s="1285">
        <f>N('R8貸付'!U56)-N(U278)</f>
        <v>0</v>
      </c>
    </row>
    <row r="279">
      <c r="Z279" s="1285">
        <f>N('R8貸付'!C57)-N(C279)</f>
        <v>0</v>
      </c>
      <c r="AA279" s="1285">
        <f>N('R8貸付'!D57)-N(D279)</f>
        <v>0</v>
      </c>
      <c r="AB279" s="1285">
        <f>N('R8貸付'!E57)-N(E279)</f>
        <v>0</v>
      </c>
      <c r="AC279" s="1285">
        <f>N('R8貸付'!F57)-N(F279)</f>
        <v>0</v>
      </c>
      <c r="AD279" s="1285">
        <f>N('R8貸付'!G57)-N(G279)</f>
        <v>0</v>
      </c>
      <c r="AE279" s="1285">
        <f>N('R8貸付'!H57)-N(H279)</f>
        <v>0</v>
      </c>
      <c r="AF279" s="1285">
        <f>N('R8貸付'!I57)-N(I279)</f>
        <v>0</v>
      </c>
      <c r="AG279" s="1285">
        <f>N('R8貸付'!J57)-N(J279)</f>
        <v>0</v>
      </c>
      <c r="AH279" s="1285">
        <f>N('R8貸付'!K57)-N(K279)</f>
        <v>0</v>
      </c>
      <c r="AI279" s="1285">
        <f>N('R8貸付'!L57)-N(L279)</f>
        <v>0</v>
      </c>
      <c r="AJ279" s="1285">
        <f>N('R8貸付'!M57)-N(M279)</f>
        <v>0</v>
      </c>
      <c r="AK279" s="1285">
        <f>N('R8貸付'!N57)-N(N279)</f>
        <v>0</v>
      </c>
      <c r="AL279" s="1285">
        <f>N('R8貸付'!O57)-N(O279)</f>
        <v>0</v>
      </c>
      <c r="AM279" s="1285">
        <f>N('R8貸付'!P57)-N(P279)</f>
        <v>0</v>
      </c>
      <c r="AN279" s="1285">
        <f>N('R8貸付'!Q57)-N(Q279)</f>
        <v>0</v>
      </c>
      <c r="AO279" s="1285">
        <f>N('R8貸付'!R57)-N(R279)</f>
        <v>0</v>
      </c>
      <c r="AP279" s="1285">
        <f>N('R8貸付'!S57)-N(S279)</f>
        <v>0</v>
      </c>
      <c r="AQ279" s="1285">
        <f>N('R8貸付'!T57)-N(T279)</f>
        <v>0</v>
      </c>
      <c r="AR279" s="1285">
        <f>N('R8貸付'!U57)-N(U279)</f>
        <v>0</v>
      </c>
    </row>
    <row r="280">
      <c r="Z280" s="1285">
        <f>N('R8貸付'!C58)-N(C280)</f>
        <v>0</v>
      </c>
      <c r="AA280" s="1285">
        <f>N('R8貸付'!D58)-N(D280)</f>
        <v>0</v>
      </c>
      <c r="AB280" s="1285">
        <f>N('R8貸付'!E58)-N(E280)</f>
        <v>0</v>
      </c>
      <c r="AC280" s="1285">
        <f>N('R8貸付'!F58)-N(F280)</f>
        <v>0</v>
      </c>
      <c r="AD280" s="1285">
        <f>N('R8貸付'!G58)-N(G280)</f>
        <v>0</v>
      </c>
      <c r="AE280" s="1285">
        <f>N('R8貸付'!H58)-N(H280)</f>
        <v>0</v>
      </c>
      <c r="AF280" s="1285">
        <f>N('R8貸付'!I58)-N(I280)</f>
        <v>0</v>
      </c>
      <c r="AG280" s="1285">
        <f>N('R8貸付'!J58)-N(J280)</f>
        <v>0</v>
      </c>
      <c r="AH280" s="1285">
        <f>N('R8貸付'!K58)-N(K280)</f>
        <v>0</v>
      </c>
      <c r="AI280" s="1285">
        <f>N('R8貸付'!L58)-N(L280)</f>
        <v>0</v>
      </c>
      <c r="AJ280" s="1285">
        <f>N('R8貸付'!M58)-N(M280)</f>
        <v>0</v>
      </c>
      <c r="AK280" s="1285">
        <f>N('R8貸付'!N58)-N(N280)</f>
        <v>0</v>
      </c>
      <c r="AL280" s="1285">
        <f>N('R8貸付'!O58)-N(O280)</f>
        <v>0</v>
      </c>
      <c r="AM280" s="1285">
        <f>N('R8貸付'!P58)-N(P280)</f>
        <v>0</v>
      </c>
      <c r="AN280" s="1285">
        <f>N('R8貸付'!Q58)-N(Q280)</f>
        <v>0</v>
      </c>
      <c r="AO280" s="1285">
        <f>N('R8貸付'!R58)-N(R280)</f>
        <v>0</v>
      </c>
      <c r="AP280" s="1285">
        <f>N('R8貸付'!S58)-N(S280)</f>
        <v>0</v>
      </c>
      <c r="AQ280" s="1285">
        <f>N('R8貸付'!T58)-N(T280)</f>
        <v>0</v>
      </c>
      <c r="AR280" s="1285">
        <f>N('R8貸付'!U58)-N(U280)</f>
        <v>0</v>
      </c>
    </row>
    <row r="281">
      <c r="Z281" s="1285">
        <f>N('R8貸付'!C59)-N(C281)</f>
        <v>0</v>
      </c>
      <c r="AA281" s="1285">
        <f>N('R8貸付'!D59)-N(D281)</f>
        <v>0</v>
      </c>
      <c r="AB281" s="1285">
        <f>N('R8貸付'!E59)-N(E281)</f>
        <v>0</v>
      </c>
      <c r="AC281" s="1285">
        <f>N('R8貸付'!F59)-N(F281)</f>
        <v>0</v>
      </c>
      <c r="AD281" s="1285">
        <f>N('R8貸付'!G59)-N(G281)</f>
        <v>0</v>
      </c>
      <c r="AE281" s="1285">
        <f>N('R8貸付'!H59)-N(H281)</f>
        <v>0</v>
      </c>
      <c r="AF281" s="1285">
        <f>N('R8貸付'!I59)-N(I281)</f>
        <v>0</v>
      </c>
      <c r="AG281" s="1285">
        <f>N('R8貸付'!J59)-N(J281)</f>
        <v>0</v>
      </c>
      <c r="AH281" s="1285">
        <f>N('R8貸付'!K59)-N(K281)</f>
        <v>0</v>
      </c>
      <c r="AI281" s="1285">
        <f>N('R8貸付'!L59)-N(L281)</f>
        <v>0</v>
      </c>
      <c r="AJ281" s="1285">
        <f>N('R8貸付'!M59)-N(M281)</f>
        <v>0</v>
      </c>
      <c r="AK281" s="1285">
        <f>N('R8貸付'!N59)-N(N281)</f>
        <v>0</v>
      </c>
      <c r="AL281" s="1285">
        <f>N('R8貸付'!O59)-N(O281)</f>
        <v>0</v>
      </c>
      <c r="AM281" s="1285">
        <f>N('R8貸付'!P59)-N(P281)</f>
        <v>0</v>
      </c>
      <c r="AN281" s="1285">
        <f>N('R8貸付'!Q59)-N(Q281)</f>
        <v>0</v>
      </c>
      <c r="AO281" s="1285">
        <f>N('R8貸付'!R59)-N(R281)</f>
        <v>0</v>
      </c>
      <c r="AP281" s="1285">
        <f>N('R8貸付'!S59)-N(S281)</f>
        <v>0</v>
      </c>
      <c r="AQ281" s="1285">
        <f>N('R8貸付'!T59)-N(T281)</f>
        <v>0</v>
      </c>
      <c r="AR281" s="1285">
        <f>N('R8貸付'!U59)-N(U281)</f>
        <v>0</v>
      </c>
    </row>
    <row r="282">
      <c r="Z282" s="1285">
        <f>N('R8貸付'!C60)-N(C282)</f>
        <v>0</v>
      </c>
      <c r="AA282" s="1285">
        <f>N('R8貸付'!D60)-N(D282)</f>
        <v>0</v>
      </c>
      <c r="AB282" s="1285">
        <f>N('R8貸付'!E60)-N(E282)</f>
        <v>0</v>
      </c>
      <c r="AC282" s="1285">
        <f>N('R8貸付'!F60)-N(F282)</f>
        <v>0</v>
      </c>
      <c r="AD282" s="1285">
        <f>N('R8貸付'!G60)-N(G282)</f>
        <v>0</v>
      </c>
      <c r="AE282" s="1285">
        <f>N('R8貸付'!H60)-N(H282)</f>
        <v>0</v>
      </c>
      <c r="AF282" s="1285">
        <f>N('R8貸付'!I60)-N(I282)</f>
        <v>0</v>
      </c>
      <c r="AG282" s="1285">
        <f>N('R8貸付'!J60)-N(J282)</f>
        <v>0</v>
      </c>
      <c r="AH282" s="1285">
        <f>N('R8貸付'!K60)-N(K282)</f>
        <v>0</v>
      </c>
      <c r="AI282" s="1285">
        <f>N('R8貸付'!L60)-N(L282)</f>
        <v>0</v>
      </c>
      <c r="AJ282" s="1285">
        <f>N('R8貸付'!M60)-N(M282)</f>
        <v>0</v>
      </c>
      <c r="AK282" s="1285">
        <f>N('R8貸付'!N60)-N(N282)</f>
        <v>0</v>
      </c>
      <c r="AL282" s="1285">
        <f>N('R8貸付'!O60)-N(O282)</f>
        <v>0</v>
      </c>
      <c r="AM282" s="1285">
        <f>N('R8貸付'!P60)-N(P282)</f>
        <v>0</v>
      </c>
      <c r="AN282" s="1285">
        <f>N('R8貸付'!Q60)-N(Q282)</f>
        <v>0</v>
      </c>
      <c r="AO282" s="1285">
        <f>N('R8貸付'!R60)-N(R282)</f>
        <v>0</v>
      </c>
      <c r="AP282" s="1285">
        <f>N('R8貸付'!S60)-N(S282)</f>
        <v>0</v>
      </c>
      <c r="AQ282" s="1285">
        <f>N('R8貸付'!T60)-N(T282)</f>
        <v>0</v>
      </c>
      <c r="AR282" s="1285">
        <f>N('R8貸付'!U60)-N(U282)</f>
        <v>0</v>
      </c>
    </row>
    <row r="283">
      <c r="Z283" s="1285">
        <f>N('R8貸付'!C61)-N(C283)</f>
        <v>0</v>
      </c>
      <c r="AA283" s="1285">
        <f>N('R8貸付'!D61)-N(D283)</f>
        <v>0</v>
      </c>
      <c r="AB283" s="1285">
        <f>N('R8貸付'!E61)-N(E283)</f>
        <v>0</v>
      </c>
      <c r="AC283" s="1285">
        <f>N('R8貸付'!F61)-N(F283)</f>
        <v>0</v>
      </c>
      <c r="AD283" s="1285">
        <f>N('R8貸付'!G61)-N(G283)</f>
        <v>0</v>
      </c>
      <c r="AE283" s="1285">
        <f>N('R8貸付'!H61)-N(H283)</f>
        <v>0</v>
      </c>
      <c r="AF283" s="1285">
        <f>N('R8貸付'!I61)-N(I283)</f>
        <v>0</v>
      </c>
      <c r="AG283" s="1285">
        <f>N('R8貸付'!J61)-N(J283)</f>
        <v>0</v>
      </c>
      <c r="AH283" s="1285">
        <f>N('R8貸付'!K61)-N(K283)</f>
        <v>0</v>
      </c>
      <c r="AI283" s="1285">
        <f>N('R8貸付'!L61)-N(L283)</f>
        <v>0</v>
      </c>
      <c r="AJ283" s="1285">
        <f>N('R8貸付'!M61)-N(M283)</f>
        <v>0</v>
      </c>
      <c r="AK283" s="1285">
        <f>N('R8貸付'!N61)-N(N283)</f>
        <v>0</v>
      </c>
      <c r="AL283" s="1285">
        <f>N('R8貸付'!O61)-N(O283)</f>
        <v>0</v>
      </c>
      <c r="AM283" s="1285">
        <f>N('R8貸付'!P61)-N(P283)</f>
        <v>0</v>
      </c>
      <c r="AN283" s="1285">
        <f>N('R8貸付'!Q61)-N(Q283)</f>
        <v>0</v>
      </c>
      <c r="AO283" s="1285">
        <f>N('R8貸付'!R61)-N(R283)</f>
        <v>0</v>
      </c>
      <c r="AP283" s="1285">
        <f>N('R8貸付'!S61)-N(S283)</f>
        <v>0</v>
      </c>
      <c r="AQ283" s="1285">
        <f>N('R8貸付'!T61)-N(T283)</f>
        <v>0</v>
      </c>
      <c r="AR283" s="1285">
        <f>N('R8貸付'!U61)-N(U283)</f>
        <v>0</v>
      </c>
    </row>
    <row r="284">
      <c r="Z284" s="1285">
        <f>N('R8貸付'!C62)-N(C284)</f>
        <v>0</v>
      </c>
      <c r="AA284" s="1285">
        <f>N('R8貸付'!D62)-N(D284)</f>
        <v>0</v>
      </c>
      <c r="AB284" s="1285">
        <f>N('R8貸付'!E62)-N(E284)</f>
        <v>0</v>
      </c>
      <c r="AC284" s="1285">
        <f>N('R8貸付'!F62)-N(F284)</f>
        <v>0</v>
      </c>
      <c r="AD284" s="1285">
        <f>N('R8貸付'!G62)-N(G284)</f>
        <v>0</v>
      </c>
      <c r="AE284" s="1285">
        <f>N('R8貸付'!H62)-N(H284)</f>
        <v>0</v>
      </c>
      <c r="AF284" s="1285">
        <f>N('R8貸付'!I62)-N(I284)</f>
        <v>0</v>
      </c>
      <c r="AG284" s="1285">
        <f>N('R8貸付'!J62)-N(J284)</f>
        <v>0</v>
      </c>
      <c r="AH284" s="1285">
        <f>N('R8貸付'!K62)-N(K284)</f>
        <v>0</v>
      </c>
      <c r="AI284" s="1285">
        <f>N('R8貸付'!L62)-N(L284)</f>
        <v>0</v>
      </c>
      <c r="AJ284" s="1285">
        <f>N('R8貸付'!M62)-N(M284)</f>
        <v>0</v>
      </c>
      <c r="AK284" s="1285">
        <f>N('R8貸付'!N62)-N(N284)</f>
        <v>0</v>
      </c>
      <c r="AL284" s="1285">
        <f>N('R8貸付'!O62)-N(O284)</f>
        <v>0</v>
      </c>
      <c r="AM284" s="1285">
        <f>N('R8貸付'!P62)-N(P284)</f>
        <v>0</v>
      </c>
      <c r="AN284" s="1285">
        <f>N('R8貸付'!Q62)-N(Q284)</f>
        <v>0</v>
      </c>
      <c r="AO284" s="1285">
        <f>N('R8貸付'!R62)-N(R284)</f>
        <v>0</v>
      </c>
      <c r="AP284" s="1285">
        <f>N('R8貸付'!S62)-N(S284)</f>
        <v>0</v>
      </c>
      <c r="AQ284" s="1285">
        <f>N('R8貸付'!T62)-N(T284)</f>
        <v>0</v>
      </c>
      <c r="AR284" s="1285">
        <f>N('R8貸付'!U62)-N(U284)</f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G1:G1960"/>
  <sheetViews>
    <sheetView tabSelected="0" zoomScale="55" zoomScaleNormal="55" workbookViewId="0">
      <selection activeCell="R22" sqref="R22"/>
    </sheetView>
  </sheetViews>
  <sheetFormatPr baseColWidth="8" defaultRowHeight="13.5"/>
  <cols>
    <col width="11.375" customWidth="1" style="66" min="7" max="7"/>
  </cols>
  <sheetData>
    <row r="1">
      <c r="G1" s="1" t="n"/>
    </row>
    <row r="2">
      <c r="G2" s="1" t="n"/>
    </row>
    <row r="4">
      <c r="G4" s="72" t="n"/>
    </row>
    <row r="5">
      <c r="G5" s="85" t="inlineStr">
        <is>
          <t>非常勤職員手当</t>
        </is>
      </c>
    </row>
    <row r="6">
      <c r="G6" s="352" t="n"/>
    </row>
    <row r="7">
      <c r="G7" s="352" t="n"/>
    </row>
    <row r="8">
      <c r="G8" s="85" t="inlineStr">
        <is>
          <t>退職給与金</t>
        </is>
      </c>
    </row>
    <row r="9">
      <c r="G9" s="43" t="inlineStr">
        <is>
          <t>健康診断費</t>
        </is>
      </c>
    </row>
    <row r="10">
      <c r="G10" s="85" t="inlineStr">
        <is>
          <t>事務用消耗品費</t>
        </is>
      </c>
    </row>
    <row r="11">
      <c r="G11" s="43" t="inlineStr">
        <is>
          <t>図書印刷費</t>
        </is>
      </c>
    </row>
    <row r="12">
      <c r="G12" s="85" t="inlineStr">
        <is>
          <t>送金料</t>
        </is>
      </c>
    </row>
    <row r="13">
      <c r="G13" s="85" t="inlineStr">
        <is>
          <t>通信運搬費</t>
        </is>
      </c>
    </row>
    <row r="14">
      <c r="G14" s="85" t="inlineStr">
        <is>
          <t>会議費</t>
        </is>
      </c>
    </row>
    <row r="15">
      <c r="G15" s="85" t="inlineStr">
        <is>
          <t>雑費</t>
        </is>
      </c>
    </row>
    <row r="16">
      <c r="G16" s="43" t="inlineStr">
        <is>
          <t>電気料</t>
        </is>
      </c>
    </row>
    <row r="17">
      <c r="G17" s="43" t="inlineStr">
        <is>
          <t>ガス料</t>
        </is>
      </c>
    </row>
    <row r="18">
      <c r="G18" s="43" t="inlineStr">
        <is>
          <t>水道料</t>
        </is>
      </c>
    </row>
    <row r="19">
      <c r="G19" s="85" t="inlineStr">
        <is>
          <t>協会けんぽ保険料等</t>
        </is>
      </c>
    </row>
    <row r="20">
      <c r="G20" s="43" t="inlineStr">
        <is>
          <t>厚年負担金等</t>
        </is>
      </c>
    </row>
    <row r="21">
      <c r="G21" s="43" t="inlineStr">
        <is>
          <t>労災・雇用保険料</t>
        </is>
      </c>
    </row>
    <row r="22">
      <c r="G22" s="85" t="inlineStr">
        <is>
          <t>互助会費</t>
        </is>
      </c>
    </row>
    <row r="23">
      <c r="G23" s="43" t="inlineStr">
        <is>
          <t>会議出席負担金等</t>
        </is>
      </c>
    </row>
    <row r="24">
      <c r="G24" s="85" t="inlineStr">
        <is>
          <t>市町村連合会分担金</t>
        </is>
      </c>
    </row>
    <row r="25">
      <c r="G25" s="43" t="inlineStr">
        <is>
          <t>器具及び備品</t>
        </is>
      </c>
    </row>
    <row r="26">
      <c r="G26" s="43" t="n"/>
    </row>
    <row r="27">
      <c r="G27" s="43" t="n"/>
    </row>
    <row r="28">
      <c r="G28" s="43" t="n"/>
    </row>
    <row r="29">
      <c r="G29" s="43" t="n"/>
    </row>
    <row r="30">
      <c r="G30" s="85" t="n"/>
    </row>
    <row r="31">
      <c r="G31" s="85" t="n"/>
    </row>
    <row r="32">
      <c r="G32" s="43" t="n"/>
    </row>
    <row r="33">
      <c r="G33" s="43" t="n"/>
    </row>
    <row r="34">
      <c r="G34" s="43" t="n"/>
    </row>
    <row r="35">
      <c r="G35" s="43" t="n"/>
    </row>
    <row r="36">
      <c r="G36" s="43" t="n"/>
    </row>
    <row r="37">
      <c r="G37" s="43" t="n"/>
    </row>
    <row r="38">
      <c r="G38" s="43" t="n"/>
    </row>
    <row r="39">
      <c r="G39" s="85" t="n"/>
    </row>
    <row r="40">
      <c r="G40" s="85" t="n"/>
    </row>
    <row r="41">
      <c r="G41" s="85" t="n"/>
    </row>
    <row r="42">
      <c r="G42" s="43" t="n"/>
    </row>
    <row r="43">
      <c r="G43" s="43" t="n"/>
    </row>
    <row r="44">
      <c r="G44" s="85" t="n"/>
    </row>
    <row r="45">
      <c r="G45" s="85" t="n"/>
    </row>
    <row r="46">
      <c r="G46" s="43" t="n"/>
    </row>
    <row r="47">
      <c r="G47" s="43" t="n"/>
    </row>
    <row r="48">
      <c r="G48" s="85" t="n"/>
    </row>
    <row r="49">
      <c r="G49" s="43" t="n"/>
    </row>
    <row r="50">
      <c r="G50" s="85" t="n"/>
    </row>
    <row r="51">
      <c r="G51" s="85" t="n"/>
    </row>
    <row r="52">
      <c r="G52" s="43" t="n"/>
    </row>
    <row r="53">
      <c r="G53" s="43" t="n"/>
    </row>
    <row r="54">
      <c r="G54" s="43" t="n"/>
    </row>
    <row r="55">
      <c r="G55" s="85" t="n"/>
    </row>
    <row r="56">
      <c r="G56" s="85" t="n"/>
    </row>
    <row r="57">
      <c r="G57" s="85" t="n"/>
    </row>
    <row r="58">
      <c r="G58" s="43" t="n"/>
    </row>
    <row r="59">
      <c r="G59" s="43" t="n"/>
    </row>
    <row r="60">
      <c r="G60" s="43" t="n"/>
    </row>
    <row r="61">
      <c r="G61" s="85" t="n"/>
    </row>
    <row r="62">
      <c r="G62" s="43" t="n"/>
    </row>
    <row r="63">
      <c r="G63" s="43" t="n"/>
    </row>
    <row r="64">
      <c r="G64" s="43" t="n"/>
    </row>
    <row r="65">
      <c r="G65" s="85" t="n"/>
    </row>
    <row r="66">
      <c r="G66" s="43" t="n"/>
    </row>
    <row r="67">
      <c r="G67" s="43" t="n"/>
    </row>
    <row r="68">
      <c r="G68" s="43" t="n"/>
    </row>
    <row r="69">
      <c r="G69" s="43" t="n"/>
    </row>
    <row r="70">
      <c r="G70" s="85" t="n"/>
    </row>
    <row r="71">
      <c r="G71" s="85" t="n"/>
    </row>
    <row r="72">
      <c r="G72" s="85" t="n"/>
    </row>
    <row r="73">
      <c r="G73" s="85" t="n"/>
    </row>
    <row r="74">
      <c r="G74" s="43" t="n"/>
    </row>
    <row r="75">
      <c r="G75" s="43" t="n"/>
    </row>
    <row r="76">
      <c r="G76" s="43" t="n"/>
    </row>
    <row r="77">
      <c r="G77" s="85" t="n"/>
    </row>
    <row r="78">
      <c r="G78" s="85" t="n"/>
    </row>
    <row r="79">
      <c r="G79" s="85" t="n"/>
    </row>
    <row r="80">
      <c r="G80" s="43" t="n"/>
    </row>
    <row r="81">
      <c r="G81" s="43" t="n"/>
    </row>
    <row r="82">
      <c r="G82" s="85" t="n"/>
    </row>
    <row r="83">
      <c r="G83" s="85" t="n"/>
    </row>
    <row r="84">
      <c r="G84" s="352" t="n"/>
    </row>
    <row r="85">
      <c r="G85" s="85" t="n"/>
    </row>
    <row r="86">
      <c r="G86" s="85" t="n"/>
    </row>
    <row r="87">
      <c r="G87" s="85" t="n"/>
    </row>
    <row r="88">
      <c r="G88" s="85" t="n"/>
    </row>
    <row r="89">
      <c r="G89" s="85" t="n"/>
    </row>
    <row r="90">
      <c r="G90" s="85" t="n"/>
    </row>
    <row r="91">
      <c r="G91" s="43" t="n"/>
    </row>
    <row r="92">
      <c r="G92" s="85" t="n"/>
    </row>
    <row r="93">
      <c r="G93" s="85" t="n"/>
    </row>
    <row r="94">
      <c r="G94" s="43" t="n"/>
    </row>
    <row r="95">
      <c r="G95" s="43" t="n"/>
    </row>
    <row r="96">
      <c r="G96" s="85" t="n"/>
    </row>
    <row r="97">
      <c r="G97" s="85" t="n"/>
    </row>
    <row r="98">
      <c r="G98" s="85" t="n"/>
    </row>
    <row r="99">
      <c r="G99" s="85" t="n"/>
    </row>
    <row r="100">
      <c r="G100" s="43" t="n"/>
    </row>
    <row r="101">
      <c r="G101" s="85" t="n"/>
    </row>
    <row r="102">
      <c r="G102" s="43" t="n"/>
    </row>
    <row r="103">
      <c r="G103" s="43" t="n"/>
    </row>
    <row r="104">
      <c r="G104" s="43" t="n"/>
    </row>
    <row r="105">
      <c r="G105" s="43" t="n"/>
    </row>
    <row r="106">
      <c r="G106" s="43" t="n"/>
    </row>
    <row r="107">
      <c r="G107" s="85" t="n"/>
    </row>
    <row r="108">
      <c r="G108" s="85" t="n"/>
    </row>
    <row r="109">
      <c r="G109" s="43" t="n"/>
    </row>
    <row r="110">
      <c r="G110" s="43" t="n"/>
    </row>
    <row r="111">
      <c r="G111" s="43" t="n"/>
    </row>
    <row r="112">
      <c r="G112" s="43" t="n"/>
    </row>
    <row r="113">
      <c r="G113" s="43" t="n"/>
    </row>
    <row r="114">
      <c r="G114" s="43" t="n"/>
    </row>
    <row r="115">
      <c r="G115" s="85" t="n"/>
    </row>
    <row r="116">
      <c r="G116" s="43" t="n"/>
    </row>
    <row r="117">
      <c r="G117" s="43" t="n"/>
    </row>
    <row r="118">
      <c r="G118" s="43" t="n"/>
    </row>
    <row r="119">
      <c r="G119" s="85" t="n"/>
    </row>
    <row r="120">
      <c r="G120" s="43" t="n"/>
    </row>
    <row r="121">
      <c r="G121" s="85" t="n"/>
    </row>
    <row r="122">
      <c r="G122" s="85" t="n"/>
    </row>
    <row r="123">
      <c r="G123" s="85" t="n"/>
    </row>
    <row r="124">
      <c r="G124" s="43" t="n"/>
    </row>
    <row r="125">
      <c r="G125" s="85" t="n"/>
    </row>
    <row r="126">
      <c r="G126" s="85" t="n"/>
    </row>
    <row r="127">
      <c r="G127" s="43" t="n"/>
    </row>
    <row r="128">
      <c r="G128" s="43" t="n"/>
    </row>
    <row r="129">
      <c r="G129" s="85" t="n"/>
    </row>
    <row r="130">
      <c r="G130" s="352" t="n"/>
    </row>
    <row r="131">
      <c r="G131" s="85" t="n"/>
    </row>
    <row r="132">
      <c r="G132" s="43" t="n"/>
    </row>
    <row r="133">
      <c r="G133" s="43" t="n"/>
    </row>
    <row r="134">
      <c r="G134" s="43" t="n"/>
    </row>
    <row r="135">
      <c r="G135" s="85" t="n"/>
    </row>
    <row r="136">
      <c r="G136" s="43" t="n"/>
    </row>
    <row r="137">
      <c r="G137" s="85" t="n"/>
    </row>
    <row r="138">
      <c r="G138" s="85" t="n"/>
    </row>
    <row r="139">
      <c r="G139" s="85" t="n"/>
    </row>
    <row r="140">
      <c r="G140" s="85" t="n"/>
    </row>
    <row r="141">
      <c r="G141" s="85" t="n"/>
    </row>
    <row r="142">
      <c r="G142" s="85" t="n"/>
    </row>
    <row r="143">
      <c r="G143" s="85" t="n"/>
    </row>
    <row r="144">
      <c r="G144" s="85" t="n"/>
    </row>
    <row r="145">
      <c r="G145" s="85" t="n"/>
    </row>
    <row r="146">
      <c r="G146" s="85" t="n"/>
    </row>
    <row r="147">
      <c r="G147" s="43" t="n"/>
    </row>
    <row r="148">
      <c r="G148" s="43" t="n"/>
    </row>
    <row r="149">
      <c r="G149" s="85" t="n"/>
    </row>
    <row r="150">
      <c r="G150" s="85" t="n"/>
    </row>
    <row r="151">
      <c r="G151" s="43" t="n"/>
    </row>
    <row r="152">
      <c r="G152" s="85" t="n"/>
    </row>
    <row r="153">
      <c r="G153" s="85" t="n"/>
    </row>
    <row r="154">
      <c r="G154" s="85" t="n"/>
    </row>
    <row r="155">
      <c r="G155" s="85" t="n"/>
    </row>
    <row r="156">
      <c r="G156" s="43" t="n"/>
    </row>
    <row r="157">
      <c r="G157" s="43" t="n"/>
    </row>
    <row r="158">
      <c r="G158" s="85" t="n"/>
    </row>
    <row r="159">
      <c r="G159" s="85" t="n"/>
    </row>
    <row r="160">
      <c r="G160" s="43" t="n"/>
    </row>
    <row r="161">
      <c r="G161" s="85" t="n"/>
    </row>
    <row r="162">
      <c r="G162" s="85" t="n"/>
    </row>
    <row r="163">
      <c r="G163" s="352" t="n"/>
    </row>
    <row r="164">
      <c r="G164" s="85" t="n"/>
    </row>
    <row r="165">
      <c r="G165" s="43" t="n"/>
    </row>
    <row r="166">
      <c r="G166" s="85" t="n"/>
    </row>
    <row r="167">
      <c r="G167" s="85" t="n"/>
    </row>
    <row r="168">
      <c r="G168" s="85" t="n"/>
    </row>
    <row r="169">
      <c r="G169" s="85" t="n"/>
    </row>
    <row r="170">
      <c r="G170" s="85" t="n"/>
    </row>
    <row r="171">
      <c r="G171" s="43" t="n"/>
    </row>
    <row r="172">
      <c r="G172" s="85" t="n"/>
    </row>
    <row r="173">
      <c r="G173" s="85" t="n"/>
    </row>
    <row r="174">
      <c r="G174" s="85" t="n"/>
    </row>
    <row r="175">
      <c r="G175" s="85" t="n"/>
    </row>
    <row r="176">
      <c r="G176" s="43" t="n"/>
    </row>
    <row r="177">
      <c r="G177" s="43" t="n"/>
    </row>
    <row r="178">
      <c r="G178" s="85" t="n"/>
    </row>
    <row r="179">
      <c r="G179" s="85" t="n"/>
    </row>
    <row r="180">
      <c r="G180" s="85" t="n"/>
    </row>
    <row r="181">
      <c r="G181" s="85" t="n"/>
    </row>
    <row r="182">
      <c r="G182" s="85" t="n"/>
    </row>
    <row r="183">
      <c r="G183" s="85" t="n"/>
    </row>
    <row r="184">
      <c r="G184" s="43" t="n"/>
    </row>
    <row r="185">
      <c r="G185" s="85" t="n"/>
    </row>
    <row r="186">
      <c r="G186" s="85" t="n"/>
    </row>
    <row r="187">
      <c r="G187" s="85" t="n"/>
    </row>
    <row r="188">
      <c r="G188" s="43" t="n"/>
    </row>
    <row r="189">
      <c r="G189" s="85" t="n"/>
    </row>
    <row r="190">
      <c r="G190" s="85" t="n"/>
    </row>
    <row r="191">
      <c r="G191" s="85" t="n"/>
    </row>
    <row r="192">
      <c r="G192" s="43" t="n"/>
    </row>
    <row r="193">
      <c r="G193" s="43" t="n"/>
    </row>
    <row r="194">
      <c r="G194" s="85" t="n"/>
    </row>
    <row r="195">
      <c r="G195" s="43" t="n"/>
    </row>
    <row r="196">
      <c r="G196" s="43" t="n"/>
    </row>
    <row r="197">
      <c r="G197" s="352" t="n"/>
    </row>
    <row r="198">
      <c r="G198" s="85" t="n"/>
    </row>
    <row r="199">
      <c r="G199" s="43" t="n"/>
    </row>
    <row r="200">
      <c r="G200" s="85" t="n"/>
    </row>
    <row r="201">
      <c r="G201" s="85" t="n"/>
    </row>
    <row r="202">
      <c r="G202" s="85" t="n"/>
    </row>
    <row r="203">
      <c r="G203" s="85" t="n"/>
    </row>
    <row r="204">
      <c r="G204" s="85" t="n"/>
    </row>
    <row r="205">
      <c r="G205" s="85" t="n"/>
    </row>
    <row r="206">
      <c r="G206" s="43" t="n"/>
    </row>
    <row r="207">
      <c r="G207" s="85" t="n"/>
    </row>
    <row r="208">
      <c r="G208" s="85" t="n"/>
    </row>
    <row r="209">
      <c r="G209" s="85" t="n"/>
    </row>
    <row r="210">
      <c r="G210" s="85" t="n"/>
    </row>
    <row r="211">
      <c r="G211" s="43" t="n"/>
    </row>
    <row r="212">
      <c r="G212" s="85" t="n"/>
    </row>
    <row r="213">
      <c r="G213" s="85" t="n"/>
    </row>
    <row r="214">
      <c r="G214" s="85" t="inlineStr">
        <is>
          <t>互助会費</t>
        </is>
      </c>
    </row>
    <row r="215">
      <c r="G215" s="85" t="n"/>
    </row>
    <row r="216">
      <c r="G216" s="85" t="n"/>
    </row>
    <row r="217">
      <c r="G217" s="43" t="n"/>
    </row>
    <row r="218">
      <c r="G218" s="85" t="n"/>
    </row>
    <row r="219">
      <c r="G219" s="85" t="n"/>
    </row>
    <row r="220">
      <c r="G220" s="85" t="n"/>
    </row>
    <row r="221">
      <c r="G221" s="85" t="n"/>
    </row>
    <row r="222">
      <c r="G222" s="85" t="n"/>
    </row>
    <row r="223">
      <c r="G223" s="85" t="n"/>
    </row>
    <row r="224">
      <c r="G224" s="85" t="n"/>
    </row>
    <row r="225">
      <c r="G225" s="85" t="n"/>
    </row>
    <row r="226">
      <c r="G226" s="85" t="n"/>
    </row>
    <row r="227">
      <c r="G227" s="85" t="n"/>
    </row>
    <row r="228">
      <c r="G228" s="85" t="n"/>
    </row>
    <row r="229">
      <c r="G229" s="85" t="n"/>
    </row>
    <row r="230">
      <c r="G230" s="85" t="n"/>
    </row>
    <row r="231">
      <c r="G231" s="85" t="n"/>
    </row>
    <row r="232">
      <c r="G232" s="85" t="n"/>
    </row>
    <row r="233">
      <c r="G233" s="85" t="n"/>
    </row>
    <row r="234">
      <c r="G234" s="85" t="n"/>
    </row>
    <row r="235">
      <c r="G235" s="85" t="n"/>
    </row>
    <row r="236">
      <c r="G236" s="85" t="n"/>
    </row>
    <row r="237">
      <c r="G237" s="85" t="n"/>
    </row>
    <row r="238">
      <c r="G238" s="85" t="n"/>
    </row>
    <row r="239">
      <c r="G239" s="85" t="n"/>
    </row>
    <row r="240">
      <c r="G240" s="85" t="n"/>
    </row>
    <row r="241">
      <c r="G241" s="43" t="n"/>
    </row>
    <row r="242">
      <c r="G242" s="85" t="n"/>
    </row>
    <row r="243">
      <c r="G243" s="85" t="n"/>
    </row>
    <row r="244">
      <c r="G244" s="85" t="n"/>
    </row>
    <row r="245">
      <c r="G245" s="85" t="n"/>
    </row>
    <row r="246">
      <c r="G246" s="85" t="n"/>
    </row>
    <row r="247">
      <c r="G247" s="85" t="n"/>
    </row>
    <row r="248">
      <c r="G248" s="85" t="n"/>
    </row>
    <row r="249">
      <c r="G249" s="85" t="n"/>
    </row>
    <row r="250">
      <c r="G250" s="85" t="n"/>
    </row>
    <row r="251">
      <c r="G251" s="85" t="n"/>
    </row>
    <row r="252">
      <c r="G252" s="85" t="n"/>
    </row>
    <row r="253">
      <c r="G253" s="85" t="n"/>
    </row>
    <row r="254">
      <c r="G254" s="85" t="n"/>
    </row>
    <row r="255">
      <c r="G255" s="85" t="n"/>
    </row>
    <row r="256">
      <c r="G256" s="85" t="n"/>
    </row>
    <row r="257">
      <c r="G257" s="85" t="n"/>
    </row>
    <row r="258">
      <c r="G258" s="85" t="n"/>
    </row>
    <row r="259">
      <c r="G259" s="85" t="n"/>
    </row>
    <row r="260">
      <c r="G260" s="85" t="n"/>
    </row>
    <row r="261">
      <c r="G261" s="85" t="n"/>
    </row>
    <row r="262">
      <c r="G262" s="85" t="n"/>
    </row>
    <row r="263">
      <c r="G263" s="85" t="n"/>
    </row>
    <row r="264">
      <c r="G264" s="85" t="n"/>
    </row>
    <row r="265">
      <c r="G265" s="85" t="n"/>
    </row>
    <row r="266">
      <c r="G266" s="85" t="n"/>
    </row>
    <row r="267">
      <c r="G267" s="85" t="n"/>
    </row>
    <row r="268">
      <c r="G268" s="85" t="n"/>
    </row>
    <row r="269">
      <c r="G269" s="85" t="n"/>
    </row>
    <row r="270">
      <c r="G270" s="85" t="n"/>
    </row>
    <row r="271">
      <c r="G271" s="85" t="n"/>
    </row>
    <row r="272">
      <c r="G272" s="85" t="n"/>
    </row>
    <row r="273">
      <c r="G273" s="85" t="n"/>
    </row>
    <row r="274">
      <c r="G274" s="85" t="n"/>
    </row>
    <row r="275">
      <c r="G275" s="85" t="n"/>
    </row>
    <row r="276">
      <c r="G276" s="85" t="n"/>
    </row>
    <row r="277">
      <c r="G277" s="85" t="n"/>
    </row>
    <row r="278">
      <c r="G278" s="85" t="n"/>
    </row>
    <row r="279">
      <c r="G279" s="85" t="n"/>
    </row>
    <row r="280">
      <c r="G280" s="85" t="n"/>
    </row>
    <row r="281">
      <c r="G281" s="85" t="n"/>
    </row>
    <row r="282">
      <c r="G282" s="85" t="n"/>
    </row>
    <row r="283">
      <c r="G283" s="85" t="n"/>
    </row>
    <row r="284">
      <c r="G284" s="85" t="n"/>
    </row>
    <row r="285">
      <c r="G285" s="85" t="n"/>
    </row>
    <row r="286">
      <c r="G286" s="85" t="n"/>
    </row>
    <row r="287">
      <c r="G287" s="85" t="n"/>
    </row>
    <row r="288">
      <c r="G288" s="85" t="n"/>
    </row>
    <row r="289">
      <c r="G289" s="85" t="n"/>
    </row>
    <row r="290">
      <c r="G290" s="85" t="n"/>
    </row>
    <row r="291">
      <c r="G291" s="85" t="n"/>
    </row>
    <row r="292">
      <c r="G292" s="85" t="n"/>
    </row>
    <row r="293">
      <c r="G293" s="85" t="n"/>
    </row>
    <row r="294">
      <c r="G294" s="85" t="n"/>
    </row>
    <row r="295">
      <c r="G295" s="85" t="n"/>
    </row>
    <row r="296">
      <c r="G296" s="85" t="n"/>
    </row>
    <row r="297">
      <c r="G297" s="85" t="n"/>
    </row>
    <row r="298">
      <c r="G298" s="85" t="n"/>
    </row>
    <row r="299">
      <c r="G299" s="85" t="n"/>
    </row>
    <row r="300">
      <c r="G300" s="85" t="n"/>
    </row>
    <row r="301">
      <c r="G301" s="85" t="n"/>
    </row>
    <row r="302">
      <c r="G302" s="85" t="n"/>
    </row>
    <row r="303">
      <c r="G303" s="85" t="n"/>
    </row>
    <row r="304">
      <c r="G304" s="85" t="n"/>
    </row>
    <row r="305">
      <c r="G305" s="85" t="n"/>
    </row>
    <row r="306">
      <c r="G306" s="85" t="n"/>
    </row>
    <row r="307">
      <c r="G307" s="85" t="n"/>
    </row>
    <row r="308">
      <c r="G308" s="85" t="n"/>
    </row>
    <row r="309">
      <c r="G309" s="85" t="n"/>
    </row>
    <row r="310">
      <c r="G310" s="85" t="n"/>
    </row>
    <row r="311">
      <c r="G311" s="85" t="n"/>
    </row>
    <row r="312">
      <c r="G312" s="85" t="n"/>
    </row>
    <row r="313">
      <c r="G313" s="85" t="n"/>
    </row>
    <row r="314">
      <c r="G314" s="85" t="n"/>
    </row>
    <row r="315">
      <c r="G315" s="85" t="n"/>
    </row>
    <row r="316">
      <c r="G316" s="85" t="n"/>
    </row>
    <row r="317">
      <c r="G317" s="85" t="n"/>
    </row>
    <row r="318">
      <c r="G318" s="85" t="n"/>
    </row>
    <row r="319">
      <c r="G319" s="85" t="n"/>
    </row>
    <row r="320">
      <c r="G320" s="85" t="n"/>
    </row>
    <row r="321">
      <c r="G321" s="85" t="n"/>
    </row>
    <row r="322">
      <c r="G322" s="85" t="n"/>
    </row>
    <row r="323">
      <c r="G323" s="85" t="n"/>
    </row>
    <row r="324">
      <c r="G324" s="85" t="n"/>
    </row>
    <row r="325">
      <c r="G325" s="85" t="n"/>
    </row>
    <row r="326">
      <c r="G326" s="85" t="n"/>
    </row>
    <row r="327">
      <c r="G327" s="85" t="n"/>
    </row>
    <row r="328">
      <c r="G328" s="85" t="n"/>
    </row>
    <row r="329">
      <c r="G329" s="85" t="n"/>
    </row>
    <row r="330">
      <c r="G330" s="85" t="n"/>
    </row>
    <row r="331">
      <c r="G331" s="85" t="n"/>
    </row>
    <row r="332">
      <c r="G332" s="85" t="n"/>
    </row>
    <row r="333">
      <c r="G333" s="85" t="n"/>
    </row>
    <row r="334">
      <c r="G334" s="43" t="n"/>
    </row>
    <row r="335">
      <c r="G335" s="43" t="n"/>
    </row>
    <row r="336">
      <c r="G336" s="43" t="n"/>
    </row>
    <row r="337">
      <c r="G337" s="85" t="n"/>
    </row>
    <row r="338">
      <c r="G338" s="85" t="n"/>
    </row>
    <row r="339">
      <c r="G339" s="85" t="n"/>
    </row>
    <row r="340">
      <c r="G340" s="85" t="n"/>
    </row>
    <row r="341">
      <c r="G341" s="85" t="n"/>
    </row>
    <row r="342">
      <c r="G342" s="85" t="n"/>
    </row>
    <row r="343">
      <c r="G343" s="85" t="n"/>
    </row>
    <row r="344">
      <c r="G344" s="85" t="n"/>
    </row>
    <row r="345">
      <c r="G345" s="85" t="n"/>
    </row>
    <row r="346">
      <c r="G346" s="85" t="n"/>
    </row>
    <row r="347">
      <c r="G347" s="85" t="n"/>
    </row>
    <row r="348">
      <c r="G348" s="85" t="n"/>
    </row>
    <row r="349">
      <c r="G349" s="85" t="n"/>
    </row>
    <row r="350">
      <c r="G350" s="85" t="n"/>
    </row>
    <row r="351">
      <c r="G351" s="85" t="n"/>
    </row>
    <row r="352">
      <c r="G352" s="85" t="n"/>
    </row>
    <row r="353">
      <c r="G353" s="85" t="n"/>
    </row>
    <row r="354">
      <c r="G354" s="85" t="n"/>
    </row>
    <row r="355">
      <c r="G355" s="85" t="n"/>
    </row>
    <row r="356">
      <c r="G356" s="85" t="n"/>
    </row>
    <row r="357">
      <c r="G357" s="85" t="n"/>
    </row>
    <row r="358">
      <c r="G358" s="85" t="n"/>
    </row>
    <row r="359">
      <c r="G359" s="85" t="n"/>
    </row>
    <row r="360">
      <c r="G360" s="85" t="n"/>
    </row>
    <row r="361">
      <c r="G361" s="85" t="n"/>
    </row>
    <row r="362">
      <c r="G362" s="85" t="n"/>
    </row>
    <row r="363">
      <c r="G363" s="85" t="n"/>
    </row>
    <row r="364">
      <c r="G364" s="85" t="n"/>
    </row>
    <row r="365">
      <c r="G365" s="85" t="n"/>
    </row>
    <row r="366">
      <c r="G366" s="85" t="n"/>
    </row>
    <row r="367">
      <c r="G367" s="85" t="n"/>
    </row>
    <row r="368">
      <c r="G368" s="85" t="n"/>
    </row>
    <row r="369">
      <c r="G369" s="85" t="n"/>
    </row>
    <row r="370">
      <c r="G370" s="85" t="n"/>
    </row>
    <row r="371">
      <c r="G371" s="85" t="n"/>
    </row>
    <row r="372">
      <c r="G372" s="85" t="n"/>
    </row>
    <row r="373">
      <c r="G373" s="85" t="n"/>
    </row>
    <row r="374">
      <c r="G374" s="85" t="n"/>
    </row>
    <row r="375">
      <c r="G375" s="85" t="n"/>
    </row>
    <row r="376">
      <c r="G376" s="85" t="n"/>
    </row>
    <row r="377">
      <c r="G377" s="85" t="n"/>
    </row>
    <row r="378">
      <c r="G378" s="85" t="n"/>
    </row>
    <row r="379">
      <c r="G379" s="85" t="n"/>
    </row>
    <row r="380">
      <c r="G380" s="85" t="n"/>
    </row>
    <row r="381">
      <c r="G381" s="85" t="n"/>
    </row>
    <row r="382">
      <c r="G382" s="85" t="n"/>
    </row>
    <row r="383">
      <c r="G383" s="85" t="n"/>
    </row>
    <row r="384">
      <c r="G384" s="85" t="n"/>
    </row>
    <row r="385">
      <c r="G385" s="85" t="n"/>
    </row>
    <row r="386">
      <c r="G386" s="85" t="n"/>
    </row>
    <row r="387">
      <c r="G387" s="85" t="n"/>
    </row>
    <row r="388">
      <c r="G388" s="85" t="n"/>
    </row>
    <row r="389">
      <c r="G389" s="85" t="n"/>
    </row>
    <row r="390">
      <c r="G390" s="85" t="n"/>
    </row>
    <row r="391">
      <c r="G391" s="85" t="n"/>
    </row>
    <row r="392">
      <c r="G392" s="85" t="n"/>
    </row>
    <row r="393">
      <c r="G393" s="85" t="n"/>
    </row>
    <row r="394">
      <c r="G394" s="85" t="n"/>
    </row>
    <row r="395">
      <c r="G395" s="85" t="n"/>
    </row>
    <row r="396">
      <c r="G396" s="85" t="n"/>
    </row>
    <row r="397">
      <c r="G397" s="85" t="n"/>
    </row>
    <row r="398">
      <c r="G398" s="85" t="n"/>
    </row>
    <row r="399">
      <c r="G399" s="85" t="n"/>
    </row>
    <row r="400">
      <c r="G400" s="85" t="n"/>
    </row>
    <row r="401">
      <c r="G401" s="85" t="n"/>
    </row>
    <row r="402">
      <c r="G402" s="85" t="n"/>
    </row>
    <row r="403">
      <c r="G403" s="85" t="n"/>
    </row>
    <row r="404">
      <c r="G404" s="85" t="n"/>
    </row>
    <row r="405">
      <c r="G405" s="85" t="n"/>
    </row>
    <row r="406">
      <c r="G406" s="85" t="n"/>
    </row>
    <row r="407">
      <c r="G407" s="85" t="n"/>
    </row>
    <row r="408">
      <c r="G408" s="85" t="n"/>
    </row>
    <row r="409">
      <c r="G409" s="85" t="n"/>
    </row>
    <row r="410">
      <c r="G410" s="85" t="n"/>
    </row>
    <row r="411">
      <c r="G411" s="85" t="n"/>
    </row>
    <row r="412">
      <c r="G412" s="85" t="n"/>
    </row>
    <row r="413">
      <c r="G413" s="85" t="n"/>
    </row>
    <row r="414">
      <c r="G414" s="85" t="n"/>
    </row>
    <row r="415">
      <c r="G415" s="85" t="n"/>
    </row>
    <row r="416">
      <c r="G416" s="85" t="n"/>
    </row>
    <row r="417">
      <c r="G417" s="85" t="n"/>
    </row>
    <row r="418">
      <c r="G418" s="85" t="n"/>
    </row>
    <row r="419">
      <c r="G419" s="85" t="n"/>
    </row>
    <row r="420">
      <c r="G420" s="85" t="n"/>
    </row>
    <row r="421">
      <c r="G421" s="85" t="n"/>
    </row>
    <row r="422">
      <c r="G422" s="85" t="n"/>
    </row>
    <row r="423">
      <c r="G423" s="85" t="n"/>
    </row>
    <row r="424">
      <c r="G424" s="85" t="n"/>
    </row>
    <row r="425">
      <c r="G425" s="85" t="n"/>
    </row>
    <row r="426">
      <c r="G426" s="85" t="n"/>
    </row>
    <row r="427">
      <c r="G427" s="85" t="n"/>
    </row>
    <row r="428">
      <c r="G428" s="85" t="n"/>
    </row>
    <row r="429">
      <c r="G429" s="85" t="n"/>
    </row>
    <row r="430">
      <c r="G430" s="85" t="n"/>
    </row>
    <row r="431">
      <c r="G431" s="85" t="n"/>
    </row>
    <row r="432">
      <c r="G432" s="85" t="n"/>
    </row>
    <row r="433">
      <c r="G433" s="85" t="n"/>
    </row>
    <row r="434">
      <c r="G434" s="85" t="n"/>
    </row>
    <row r="435">
      <c r="G435" s="85" t="n"/>
    </row>
    <row r="436">
      <c r="G436" s="85" t="n"/>
    </row>
    <row r="437">
      <c r="G437" s="85" t="n"/>
    </row>
    <row r="438">
      <c r="G438" s="85" t="n"/>
    </row>
    <row r="439">
      <c r="G439" s="85" t="n"/>
    </row>
    <row r="440">
      <c r="G440" s="85" t="n"/>
    </row>
    <row r="441">
      <c r="G441" s="85" t="n"/>
    </row>
    <row r="442">
      <c r="G442" s="85" t="n"/>
    </row>
    <row r="443">
      <c r="G443" s="85" t="n"/>
    </row>
    <row r="444">
      <c r="G444" s="85" t="n"/>
    </row>
    <row r="445">
      <c r="G445" s="85" t="n"/>
    </row>
    <row r="446">
      <c r="G446" s="85" t="n"/>
    </row>
    <row r="447">
      <c r="G447" s="85" t="n"/>
    </row>
    <row r="448">
      <c r="G448" s="85" t="n"/>
    </row>
    <row r="449">
      <c r="G449" s="85" t="n"/>
    </row>
    <row r="450">
      <c r="G450" s="85" t="n"/>
    </row>
    <row r="451">
      <c r="G451" s="85" t="n"/>
    </row>
    <row r="452">
      <c r="G452" s="85" t="n"/>
    </row>
    <row r="453">
      <c r="G453" s="85" t="n"/>
    </row>
    <row r="454">
      <c r="G454" s="85" t="n"/>
    </row>
    <row r="455">
      <c r="G455" s="85" t="n"/>
    </row>
    <row r="456">
      <c r="G456" s="85" t="n"/>
    </row>
    <row r="457">
      <c r="G457" s="85" t="n"/>
    </row>
    <row r="458">
      <c r="G458" s="85" t="n"/>
    </row>
    <row r="459">
      <c r="G459" s="85" t="n"/>
    </row>
    <row r="460">
      <c r="G460" s="85" t="n"/>
    </row>
    <row r="461">
      <c r="G461" s="85" t="n"/>
    </row>
    <row r="462">
      <c r="G462" s="85" t="n"/>
    </row>
    <row r="463">
      <c r="G463" s="85" t="n"/>
    </row>
    <row r="464">
      <c r="G464" s="85" t="n"/>
    </row>
    <row r="465">
      <c r="G465" s="85" t="n"/>
    </row>
    <row r="466">
      <c r="G466" s="85" t="n"/>
    </row>
    <row r="467">
      <c r="G467" s="85" t="n"/>
    </row>
    <row r="468">
      <c r="G468" s="85" t="n"/>
    </row>
    <row r="469">
      <c r="G469" s="85" t="n"/>
    </row>
    <row r="470">
      <c r="G470" s="85" t="n"/>
    </row>
    <row r="471">
      <c r="G471" s="85" t="n"/>
    </row>
    <row r="472">
      <c r="G472" s="85" t="n"/>
    </row>
    <row r="473">
      <c r="G473" s="85" t="n"/>
    </row>
    <row r="474">
      <c r="G474" s="85" t="n"/>
    </row>
    <row r="475">
      <c r="G475" s="85" t="n"/>
    </row>
    <row r="476">
      <c r="G476" s="85" t="n"/>
    </row>
    <row r="477">
      <c r="G477" s="85" t="n"/>
    </row>
    <row r="478">
      <c r="G478" s="85" t="n"/>
    </row>
    <row r="479">
      <c r="G479" s="85" t="n"/>
    </row>
    <row r="480">
      <c r="G480" s="85" t="n"/>
    </row>
    <row r="481">
      <c r="G481" s="85" t="n"/>
    </row>
    <row r="482">
      <c r="G482" s="85" t="n"/>
    </row>
    <row r="483">
      <c r="G483" s="85" t="n"/>
    </row>
    <row r="484">
      <c r="G484" s="85" t="n"/>
    </row>
    <row r="485">
      <c r="G485" s="85" t="n"/>
    </row>
    <row r="486">
      <c r="G486" s="85" t="n"/>
    </row>
    <row r="487">
      <c r="G487" s="85" t="n"/>
    </row>
    <row r="488">
      <c r="G488" s="85" t="n"/>
    </row>
    <row r="489">
      <c r="G489" s="85" t="n"/>
    </row>
    <row r="490">
      <c r="G490" s="85" t="n"/>
    </row>
    <row r="491">
      <c r="G491" s="85" t="n"/>
    </row>
    <row r="492">
      <c r="G492" s="85" t="n"/>
    </row>
    <row r="493">
      <c r="G493" s="85" t="n"/>
    </row>
    <row r="494">
      <c r="G494" s="85" t="n"/>
    </row>
    <row r="495">
      <c r="G495" s="85" t="n"/>
    </row>
    <row r="496">
      <c r="G496" s="85" t="n"/>
    </row>
    <row r="497">
      <c r="G497" s="85" t="n"/>
    </row>
    <row r="498">
      <c r="G498" s="85" t="n"/>
    </row>
    <row r="499">
      <c r="G499" s="85" t="n"/>
    </row>
    <row r="500">
      <c r="G500" s="85" t="n"/>
    </row>
    <row r="501">
      <c r="G501" s="85" t="n"/>
    </row>
    <row r="502">
      <c r="G502" s="85" t="n"/>
    </row>
    <row r="503">
      <c r="G503" s="85" t="n"/>
    </row>
    <row r="504">
      <c r="G504" s="85" t="n"/>
    </row>
    <row r="505">
      <c r="G505" s="85" t="n"/>
    </row>
    <row r="506">
      <c r="G506" s="85" t="n"/>
    </row>
    <row r="507">
      <c r="G507" s="85" t="n"/>
    </row>
    <row r="508">
      <c r="G508" s="85" t="n"/>
    </row>
    <row r="509">
      <c r="G509" s="85" t="n"/>
    </row>
    <row r="510">
      <c r="G510" s="85" t="n"/>
    </row>
    <row r="511">
      <c r="G511" s="85" t="n"/>
    </row>
    <row r="512">
      <c r="G512" s="85" t="n"/>
    </row>
    <row r="513">
      <c r="G513" s="85" t="n"/>
    </row>
    <row r="514">
      <c r="G514" s="85" t="n"/>
    </row>
    <row r="515">
      <c r="G515" s="85" t="n"/>
    </row>
    <row r="516">
      <c r="G516" s="85" t="n"/>
    </row>
    <row r="517">
      <c r="G517" s="85" t="n"/>
    </row>
    <row r="518">
      <c r="G518" s="85" t="n"/>
    </row>
    <row r="519">
      <c r="G519" s="85" t="n"/>
    </row>
    <row r="520">
      <c r="G520" s="85" t="n"/>
    </row>
    <row r="521">
      <c r="G521" s="85" t="n"/>
    </row>
    <row r="522">
      <c r="G522" s="85" t="n"/>
    </row>
    <row r="523">
      <c r="G523" s="85" t="n"/>
    </row>
    <row r="524">
      <c r="G524" s="85" t="n"/>
    </row>
    <row r="525">
      <c r="G525" s="85" t="n"/>
    </row>
    <row r="526">
      <c r="G526" s="85" t="n"/>
    </row>
    <row r="527">
      <c r="G527" s="85" t="n"/>
    </row>
    <row r="528">
      <c r="G528" s="85" t="n"/>
    </row>
    <row r="529">
      <c r="G529" s="85" t="n"/>
    </row>
    <row r="530">
      <c r="G530" s="85" t="n"/>
    </row>
    <row r="531">
      <c r="G531" s="85" t="n"/>
    </row>
    <row r="532">
      <c r="G532" s="85" t="n"/>
    </row>
    <row r="533">
      <c r="G533" s="85" t="n"/>
    </row>
    <row r="534">
      <c r="G534" s="85" t="n"/>
    </row>
    <row r="535">
      <c r="G535" s="85" t="n"/>
    </row>
    <row r="536">
      <c r="G536" s="85" t="n"/>
    </row>
    <row r="537">
      <c r="G537" s="85" t="n"/>
    </row>
    <row r="538">
      <c r="G538" s="85" t="n"/>
    </row>
    <row r="539">
      <c r="G539" s="85" t="n"/>
    </row>
    <row r="540">
      <c r="G540" s="85" t="n"/>
    </row>
    <row r="541">
      <c r="G541" s="85" t="n"/>
    </row>
    <row r="542">
      <c r="G542" s="85" t="n"/>
    </row>
    <row r="543">
      <c r="G543" s="85" t="n"/>
    </row>
    <row r="544">
      <c r="G544" s="85" t="n"/>
    </row>
    <row r="545">
      <c r="G545" s="85" t="n"/>
    </row>
    <row r="546">
      <c r="G546" s="85" t="n"/>
    </row>
    <row r="547">
      <c r="G547" s="85" t="n"/>
    </row>
    <row r="548">
      <c r="G548" s="85" t="n"/>
    </row>
    <row r="549">
      <c r="G549" s="85" t="n"/>
    </row>
    <row r="550">
      <c r="G550" s="85" t="n"/>
    </row>
    <row r="551">
      <c r="G551" s="85" t="n"/>
    </row>
    <row r="552">
      <c r="G552" s="85" t="n"/>
    </row>
    <row r="553">
      <c r="G553" s="85" t="n"/>
    </row>
    <row r="554">
      <c r="G554" s="85" t="n"/>
    </row>
    <row r="555">
      <c r="G555" s="85" t="n"/>
    </row>
    <row r="556">
      <c r="G556" s="85" t="n"/>
    </row>
    <row r="557">
      <c r="G557" s="85" t="n"/>
    </row>
    <row r="558">
      <c r="G558" s="85" t="n"/>
    </row>
    <row r="559">
      <c r="G559" s="85" t="n"/>
    </row>
    <row r="560">
      <c r="G560" s="85" t="n"/>
    </row>
    <row r="561">
      <c r="G561" s="85" t="n"/>
    </row>
    <row r="562">
      <c r="G562" s="85" t="n"/>
    </row>
    <row r="563">
      <c r="G563" s="85" t="n"/>
    </row>
    <row r="564">
      <c r="G564" s="85" t="n"/>
    </row>
    <row r="565">
      <c r="G565" s="85" t="n"/>
    </row>
    <row r="566">
      <c r="G566" s="85" t="n"/>
    </row>
    <row r="567">
      <c r="G567" s="85" t="n"/>
    </row>
    <row r="568">
      <c r="G568" s="85" t="n"/>
    </row>
    <row r="569">
      <c r="G569" s="85" t="n"/>
    </row>
    <row r="570">
      <c r="G570" s="85" t="n"/>
    </row>
    <row r="571">
      <c r="G571" s="85" t="n"/>
    </row>
    <row r="572">
      <c r="G572" s="85" t="n"/>
    </row>
    <row r="573">
      <c r="G573" s="85" t="n"/>
    </row>
    <row r="574">
      <c r="G574" s="85" t="n"/>
    </row>
    <row r="575">
      <c r="G575" s="43" t="n"/>
    </row>
    <row r="576">
      <c r="G576" s="85" t="n"/>
    </row>
    <row r="577">
      <c r="G577" s="85" t="n"/>
    </row>
    <row r="578">
      <c r="G578" s="85" t="n"/>
    </row>
    <row r="579">
      <c r="G579" s="85" t="n"/>
    </row>
    <row r="580">
      <c r="G580" s="85" t="n"/>
    </row>
    <row r="581">
      <c r="G581" s="85" t="n"/>
    </row>
    <row r="582">
      <c r="G582" s="85" t="n"/>
    </row>
    <row r="583">
      <c r="G583" s="85" t="n"/>
    </row>
    <row r="584">
      <c r="G584" s="85" t="n"/>
    </row>
    <row r="585">
      <c r="G585" s="85" t="n"/>
    </row>
    <row r="586">
      <c r="G586" s="85" t="n"/>
    </row>
    <row r="587">
      <c r="G587" s="85" t="n"/>
    </row>
    <row r="588">
      <c r="G588" s="85" t="n"/>
    </row>
    <row r="589">
      <c r="G589" s="85" t="n"/>
    </row>
    <row r="590">
      <c r="G590" s="85" t="n"/>
    </row>
    <row r="591">
      <c r="G591" s="85" t="n"/>
    </row>
    <row r="592">
      <c r="G592" s="85" t="n"/>
    </row>
    <row r="593">
      <c r="G593" s="85" t="n"/>
    </row>
    <row r="594">
      <c r="G594" s="85" t="n"/>
    </row>
    <row r="595">
      <c r="G595" s="85" t="n"/>
    </row>
    <row r="596">
      <c r="G596" s="85" t="n"/>
    </row>
    <row r="597">
      <c r="G597" s="85" t="n"/>
    </row>
    <row r="598">
      <c r="G598" s="85" t="n"/>
    </row>
    <row r="599">
      <c r="G599" s="85" t="n"/>
    </row>
    <row r="600">
      <c r="G600" s="85" t="n"/>
    </row>
    <row r="601">
      <c r="G601" s="85" t="n"/>
    </row>
    <row r="602">
      <c r="G602" s="85" t="n"/>
    </row>
    <row r="603">
      <c r="G603" s="85" t="n"/>
    </row>
    <row r="604">
      <c r="G604" s="85" t="n"/>
    </row>
    <row r="605">
      <c r="G605" s="85" t="n"/>
    </row>
    <row r="606">
      <c r="G606" s="85" t="n"/>
    </row>
    <row r="607">
      <c r="G607" s="85" t="n"/>
    </row>
    <row r="608">
      <c r="G608" s="85" t="n"/>
    </row>
    <row r="609">
      <c r="G609" s="85" t="n"/>
    </row>
    <row r="610">
      <c r="G610" s="85" t="n"/>
    </row>
    <row r="611">
      <c r="G611" s="85" t="n"/>
    </row>
    <row r="612">
      <c r="G612" s="85" t="n"/>
    </row>
    <row r="613">
      <c r="G613" s="85" t="n"/>
    </row>
    <row r="614">
      <c r="G614" s="85" t="n"/>
    </row>
    <row r="615">
      <c r="G615" s="85" t="n"/>
    </row>
    <row r="616">
      <c r="G616" s="85" t="n"/>
    </row>
    <row r="617">
      <c r="G617" s="85" t="n"/>
    </row>
    <row r="618">
      <c r="G618" s="85" t="n"/>
    </row>
    <row r="619">
      <c r="G619" s="85" t="n"/>
    </row>
    <row r="620">
      <c r="G620" s="85" t="n"/>
    </row>
    <row r="621">
      <c r="G621" s="85" t="n"/>
    </row>
    <row r="622">
      <c r="G622" s="85" t="n"/>
    </row>
    <row r="623">
      <c r="G623" s="85" t="n"/>
    </row>
    <row r="624">
      <c r="G624" s="85" t="n"/>
    </row>
    <row r="625">
      <c r="G625" s="85" t="n"/>
    </row>
    <row r="626">
      <c r="G626" s="85" t="n"/>
    </row>
    <row r="627">
      <c r="G627" s="85" t="n"/>
    </row>
    <row r="628">
      <c r="G628" s="85" t="n"/>
    </row>
    <row r="629">
      <c r="G629" s="85" t="n"/>
    </row>
    <row r="630">
      <c r="G630" s="85" t="n"/>
    </row>
    <row r="631">
      <c r="G631" s="85" t="n"/>
    </row>
    <row r="632">
      <c r="G632" s="85" t="n"/>
    </row>
    <row r="633">
      <c r="G633" s="85" t="n"/>
    </row>
    <row r="634">
      <c r="G634" s="85" t="n"/>
    </row>
    <row r="635">
      <c r="G635" s="85" t="n"/>
    </row>
    <row r="636">
      <c r="G636" s="85" t="n"/>
    </row>
    <row r="637">
      <c r="G637" s="85" t="n"/>
    </row>
    <row r="638">
      <c r="G638" s="85" t="n"/>
    </row>
    <row r="639">
      <c r="G639" s="85" t="n"/>
    </row>
    <row r="640">
      <c r="G640" s="85" t="n"/>
    </row>
    <row r="641">
      <c r="G641" s="85" t="n"/>
    </row>
    <row r="642">
      <c r="G642" s="85" t="n"/>
    </row>
    <row r="643">
      <c r="G643" s="85" t="n"/>
    </row>
    <row r="644">
      <c r="G644" s="85" t="n"/>
    </row>
    <row r="645">
      <c r="G645" s="85" t="n"/>
    </row>
    <row r="646">
      <c r="G646" s="85" t="n"/>
    </row>
    <row r="647">
      <c r="G647" s="85" t="n"/>
    </row>
    <row r="648">
      <c r="G648" s="85" t="n"/>
    </row>
    <row r="649">
      <c r="G649" s="85" t="n"/>
    </row>
    <row r="650">
      <c r="G650" s="85" t="n"/>
    </row>
    <row r="651">
      <c r="G651" s="85" t="n"/>
    </row>
    <row r="652">
      <c r="G652" s="85" t="n"/>
    </row>
    <row r="653">
      <c r="G653" s="85" t="n"/>
    </row>
    <row r="654">
      <c r="G654" s="85" t="n"/>
    </row>
    <row r="655">
      <c r="G655" s="85" t="n"/>
    </row>
    <row r="656">
      <c r="G656" s="85" t="n"/>
    </row>
    <row r="657">
      <c r="G657" s="85" t="n"/>
    </row>
    <row r="658">
      <c r="G658" s="85" t="n"/>
    </row>
    <row r="659">
      <c r="G659" s="85" t="n"/>
    </row>
    <row r="660">
      <c r="G660" s="85" t="n"/>
    </row>
    <row r="661">
      <c r="G661" s="85" t="n"/>
    </row>
    <row r="662">
      <c r="G662" s="85" t="n"/>
    </row>
    <row r="663">
      <c r="G663" s="85" t="n"/>
    </row>
    <row r="664">
      <c r="G664" s="85" t="n"/>
    </row>
    <row r="665">
      <c r="G665" s="85" t="n"/>
    </row>
    <row r="666">
      <c r="G666" s="85" t="n"/>
    </row>
    <row r="667">
      <c r="G667" s="85" t="n"/>
    </row>
    <row r="668">
      <c r="G668" s="85" t="n"/>
    </row>
    <row r="669">
      <c r="G669" s="85" t="n"/>
    </row>
    <row r="670">
      <c r="G670" s="85" t="n"/>
    </row>
    <row r="671">
      <c r="G671" s="85" t="n"/>
    </row>
    <row r="672">
      <c r="G672" s="85" t="n"/>
    </row>
    <row r="673">
      <c r="G673" s="85" t="n"/>
    </row>
    <row r="674">
      <c r="G674" s="85" t="n"/>
    </row>
    <row r="675">
      <c r="G675" s="85" t="n"/>
    </row>
    <row r="676">
      <c r="G676" s="85" t="n"/>
    </row>
    <row r="677">
      <c r="G677" s="85" t="n"/>
    </row>
    <row r="678">
      <c r="G678" s="85" t="n"/>
    </row>
    <row r="679">
      <c r="G679" s="85" t="n"/>
    </row>
    <row r="680">
      <c r="G680" s="85" t="n"/>
    </row>
    <row r="681">
      <c r="G681" s="85" t="n"/>
    </row>
    <row r="682">
      <c r="G682" s="85" t="n"/>
    </row>
    <row r="683">
      <c r="G683" s="85" t="n"/>
    </row>
    <row r="684">
      <c r="G684" s="85" t="n"/>
    </row>
    <row r="685">
      <c r="G685" s="85" t="n"/>
    </row>
    <row r="686">
      <c r="G686" s="85" t="n"/>
    </row>
    <row r="687">
      <c r="G687" s="85" t="n"/>
    </row>
    <row r="688">
      <c r="G688" s="85" t="n"/>
    </row>
    <row r="689">
      <c r="G689" s="85" t="n"/>
    </row>
    <row r="690">
      <c r="G690" s="85" t="n"/>
    </row>
    <row r="691">
      <c r="G691" s="85" t="n"/>
    </row>
    <row r="692">
      <c r="G692" s="85" t="n"/>
    </row>
    <row r="693">
      <c r="G693" s="85" t="n"/>
    </row>
    <row r="694">
      <c r="G694" s="85" t="n"/>
    </row>
    <row r="695">
      <c r="G695" s="85" t="n"/>
    </row>
    <row r="696">
      <c r="G696" s="85" t="n"/>
    </row>
    <row r="697">
      <c r="G697" s="85" t="n"/>
    </row>
    <row r="698">
      <c r="G698" s="85" t="n"/>
    </row>
    <row r="699">
      <c r="G699" s="85" t="n"/>
    </row>
    <row r="700">
      <c r="G700" s="85" t="n"/>
    </row>
    <row r="701">
      <c r="G701" s="85" t="n"/>
    </row>
    <row r="702">
      <c r="G702" s="85" t="n"/>
    </row>
    <row r="703">
      <c r="G703" s="85" t="n"/>
    </row>
    <row r="704">
      <c r="G704" s="85" t="n"/>
    </row>
    <row r="705">
      <c r="G705" s="85" t="n"/>
    </row>
    <row r="706">
      <c r="G706" s="85" t="n"/>
    </row>
    <row r="707">
      <c r="G707" s="85" t="n"/>
    </row>
    <row r="708">
      <c r="G708" s="85" t="n"/>
    </row>
    <row r="709">
      <c r="G709" s="85" t="n"/>
    </row>
    <row r="710">
      <c r="G710" s="85" t="n"/>
    </row>
    <row r="711">
      <c r="G711" s="85" t="n"/>
    </row>
    <row r="712">
      <c r="G712" s="85" t="n"/>
    </row>
    <row r="713">
      <c r="G713" s="85" t="n"/>
    </row>
    <row r="714">
      <c r="G714" s="85" t="n"/>
    </row>
    <row r="715">
      <c r="G715" s="85" t="n"/>
    </row>
    <row r="716">
      <c r="G716" s="85" t="n"/>
    </row>
    <row r="717">
      <c r="G717" s="85" t="n"/>
    </row>
    <row r="718">
      <c r="G718" s="85" t="n"/>
    </row>
    <row r="719">
      <c r="G719" s="85" t="n"/>
    </row>
    <row r="720">
      <c r="G720" s="85" t="n"/>
    </row>
    <row r="721">
      <c r="G721" s="85" t="n"/>
    </row>
    <row r="722">
      <c r="G722" s="85" t="n"/>
    </row>
    <row r="723">
      <c r="G723" s="85" t="n"/>
    </row>
    <row r="724">
      <c r="G724" s="85" t="n"/>
    </row>
    <row r="725">
      <c r="G725" s="85" t="n"/>
    </row>
    <row r="726">
      <c r="G726" s="85" t="n"/>
    </row>
    <row r="727">
      <c r="G727" s="85" t="n"/>
    </row>
    <row r="728">
      <c r="G728" s="85" t="n"/>
    </row>
    <row r="729">
      <c r="G729" s="85" t="n"/>
    </row>
    <row r="730">
      <c r="G730" s="85" t="n"/>
    </row>
    <row r="731">
      <c r="G731" s="85" t="n"/>
    </row>
    <row r="732">
      <c r="G732" s="85" t="n"/>
    </row>
    <row r="733">
      <c r="G733" s="85" t="n"/>
    </row>
    <row r="734">
      <c r="G734" s="85" t="n"/>
    </row>
    <row r="735">
      <c r="G735" s="85" t="n"/>
    </row>
    <row r="736">
      <c r="G736" s="85" t="n"/>
    </row>
    <row r="737">
      <c r="G737" s="85" t="n"/>
    </row>
    <row r="738">
      <c r="G738" s="85" t="n"/>
    </row>
    <row r="739">
      <c r="G739" s="85" t="n"/>
    </row>
    <row r="740">
      <c r="G740" s="85" t="n"/>
    </row>
    <row r="741">
      <c r="G741" s="85" t="n"/>
    </row>
    <row r="742">
      <c r="G742" s="85" t="n"/>
    </row>
    <row r="743">
      <c r="G743" s="85" t="n"/>
    </row>
    <row r="744">
      <c r="G744" s="85" t="n"/>
    </row>
    <row r="745">
      <c r="G745" s="85" t="n"/>
    </row>
    <row r="746">
      <c r="G746" s="85" t="n"/>
    </row>
    <row r="747">
      <c r="G747" s="85" t="n"/>
    </row>
    <row r="748">
      <c r="G748" s="85" t="n"/>
    </row>
    <row r="749">
      <c r="G749" s="85" t="n"/>
    </row>
    <row r="750">
      <c r="G750" s="85" t="n"/>
    </row>
    <row r="751">
      <c r="G751" s="85" t="n"/>
    </row>
    <row r="752">
      <c r="G752" s="85" t="n"/>
    </row>
    <row r="753">
      <c r="G753" s="85" t="n"/>
    </row>
    <row r="754">
      <c r="G754" s="85" t="n"/>
    </row>
    <row r="755">
      <c r="G755" s="85" t="n"/>
    </row>
    <row r="756">
      <c r="G756" s="85" t="n"/>
    </row>
    <row r="757">
      <c r="G757" s="85" t="n"/>
    </row>
    <row r="758">
      <c r="G758" s="85" t="n"/>
    </row>
    <row r="759">
      <c r="G759" s="85" t="n"/>
    </row>
    <row r="760">
      <c r="G760" s="85" t="n"/>
    </row>
    <row r="761">
      <c r="G761" s="85" t="n"/>
    </row>
    <row r="762">
      <c r="G762" s="85" t="n"/>
    </row>
    <row r="763">
      <c r="G763" s="85" t="n"/>
    </row>
    <row r="764">
      <c r="G764" s="85" t="n"/>
    </row>
    <row r="765">
      <c r="G765" s="85" t="n"/>
    </row>
    <row r="766">
      <c r="G766" s="85" t="n"/>
    </row>
    <row r="767">
      <c r="G767" s="85" t="n"/>
    </row>
    <row r="768">
      <c r="G768" s="85" t="n"/>
    </row>
    <row r="769">
      <c r="G769" s="85" t="n"/>
    </row>
    <row r="770">
      <c r="G770" s="85" t="n"/>
    </row>
    <row r="771">
      <c r="G771" s="85" t="n"/>
    </row>
    <row r="772">
      <c r="G772" s="85" t="n"/>
    </row>
    <row r="773">
      <c r="G773" s="85" t="n"/>
    </row>
    <row r="774">
      <c r="G774" s="85" t="n"/>
    </row>
    <row r="775">
      <c r="G775" s="85" t="n"/>
    </row>
    <row r="776">
      <c r="G776" s="85" t="n"/>
    </row>
    <row r="777">
      <c r="G777" s="85" t="n"/>
    </row>
    <row r="778">
      <c r="G778" s="85" t="n"/>
    </row>
    <row r="779">
      <c r="G779" s="85" t="n"/>
    </row>
    <row r="780">
      <c r="G780" s="85" t="n"/>
    </row>
    <row r="781">
      <c r="G781" s="85" t="n"/>
    </row>
    <row r="782">
      <c r="G782" s="85" t="n"/>
    </row>
    <row r="783">
      <c r="G783" s="85" t="n"/>
    </row>
    <row r="784">
      <c r="G784" s="85" t="n"/>
    </row>
    <row r="785">
      <c r="G785" s="85" t="n"/>
    </row>
    <row r="786">
      <c r="G786" s="85" t="n"/>
    </row>
    <row r="787">
      <c r="G787" s="85" t="n"/>
    </row>
    <row r="788">
      <c r="G788" s="85" t="n"/>
    </row>
    <row r="789">
      <c r="G789" s="85" t="n"/>
    </row>
    <row r="790">
      <c r="G790" s="85" t="n"/>
    </row>
    <row r="791">
      <c r="G791" s="85" t="n"/>
    </row>
    <row r="792">
      <c r="G792" s="85" t="n"/>
    </row>
    <row r="793">
      <c r="G793" s="85" t="n"/>
    </row>
    <row r="794">
      <c r="G794" s="85" t="n"/>
    </row>
    <row r="795">
      <c r="G795" s="85" t="n"/>
    </row>
    <row r="796">
      <c r="G796" s="85" t="n"/>
    </row>
    <row r="797">
      <c r="G797" s="85" t="n"/>
    </row>
    <row r="798">
      <c r="G798" s="85" t="n"/>
    </row>
    <row r="799">
      <c r="G799" s="85" t="n"/>
    </row>
    <row r="800">
      <c r="G800" s="85" t="n"/>
    </row>
    <row r="801">
      <c r="G801" s="85" t="n"/>
    </row>
    <row r="802">
      <c r="G802" s="85" t="n"/>
    </row>
    <row r="803">
      <c r="G803" s="85" t="n"/>
    </row>
    <row r="804">
      <c r="G804" s="85" t="n"/>
    </row>
    <row r="805">
      <c r="G805" s="85" t="n"/>
    </row>
    <row r="806">
      <c r="G806" s="85" t="n"/>
    </row>
    <row r="807">
      <c r="G807" s="85" t="n"/>
    </row>
    <row r="808">
      <c r="G808" s="85" t="n"/>
    </row>
    <row r="809">
      <c r="G809" s="85" t="n"/>
    </row>
    <row r="810">
      <c r="G810" s="85" t="n"/>
    </row>
    <row r="811">
      <c r="G811" s="85" t="n"/>
    </row>
    <row r="812">
      <c r="G812" s="85" t="n"/>
    </row>
    <row r="813">
      <c r="G813" s="85" t="n"/>
    </row>
    <row r="814">
      <c r="G814" s="85" t="n"/>
    </row>
    <row r="815">
      <c r="G815" s="85" t="n"/>
    </row>
    <row r="816">
      <c r="G816" s="85" t="n"/>
    </row>
    <row r="817">
      <c r="G817" s="85" t="n"/>
    </row>
    <row r="818">
      <c r="G818" s="85" t="n"/>
    </row>
    <row r="819">
      <c r="G819" s="85" t="n"/>
    </row>
    <row r="820">
      <c r="G820" s="85" t="n"/>
    </row>
    <row r="821">
      <c r="G821" s="85" t="n"/>
    </row>
    <row r="822">
      <c r="G822" s="85" t="n"/>
    </row>
    <row r="823">
      <c r="G823" s="85" t="n"/>
    </row>
    <row r="824">
      <c r="G824" s="85" t="n"/>
    </row>
    <row r="825">
      <c r="G825" s="85" t="n"/>
    </row>
    <row r="826">
      <c r="G826" s="85" t="n"/>
    </row>
    <row r="827">
      <c r="G827" s="85" t="n"/>
    </row>
    <row r="828">
      <c r="G828" s="85" t="n"/>
    </row>
    <row r="829">
      <c r="G829" s="85" t="n"/>
    </row>
    <row r="830">
      <c r="G830" s="85" t="n"/>
    </row>
    <row r="831">
      <c r="G831" s="85" t="n"/>
    </row>
    <row r="832">
      <c r="G832" s="85" t="n"/>
    </row>
    <row r="833">
      <c r="G833" s="85" t="n"/>
    </row>
    <row r="834">
      <c r="G834" s="85" t="n"/>
    </row>
    <row r="835">
      <c r="G835" s="85" t="n"/>
    </row>
    <row r="836">
      <c r="G836" s="85" t="n"/>
    </row>
    <row r="837">
      <c r="G837" s="85" t="n"/>
    </row>
    <row r="838">
      <c r="G838" s="85" t="n"/>
    </row>
    <row r="839">
      <c r="G839" s="85" t="n"/>
    </row>
    <row r="840">
      <c r="G840" s="85" t="n"/>
    </row>
    <row r="841">
      <c r="G841" s="85" t="n"/>
    </row>
    <row r="842">
      <c r="G842" s="85" t="n"/>
    </row>
    <row r="843">
      <c r="G843" s="85" t="n"/>
    </row>
    <row r="844">
      <c r="G844" s="85" t="n"/>
    </row>
    <row r="845">
      <c r="G845" s="85" t="n"/>
    </row>
    <row r="846">
      <c r="G846" s="85" t="n"/>
    </row>
    <row r="847">
      <c r="G847" s="85" t="n"/>
    </row>
    <row r="848">
      <c r="G848" s="85" t="n"/>
    </row>
    <row r="849">
      <c r="G849" s="85" t="n"/>
    </row>
    <row r="850">
      <c r="G850" s="85" t="n"/>
    </row>
    <row r="851">
      <c r="G851" s="85" t="n"/>
    </row>
    <row r="852">
      <c r="G852" s="85" t="n"/>
    </row>
    <row r="853">
      <c r="G853" s="85" t="n"/>
    </row>
    <row r="854">
      <c r="G854" s="85" t="n"/>
    </row>
    <row r="855">
      <c r="G855" s="85" t="n"/>
    </row>
    <row r="856">
      <c r="G856" s="85" t="n"/>
    </row>
    <row r="857">
      <c r="G857" s="85" t="n"/>
    </row>
    <row r="858">
      <c r="G858" s="85" t="n"/>
    </row>
    <row r="859">
      <c r="G859" s="85" t="n"/>
    </row>
    <row r="860">
      <c r="G860" s="85" t="n"/>
    </row>
    <row r="861">
      <c r="G861" s="85" t="n"/>
    </row>
    <row r="862">
      <c r="G862" s="85" t="n"/>
    </row>
    <row r="863">
      <c r="G863" s="85" t="n"/>
    </row>
    <row r="864">
      <c r="G864" s="85" t="n"/>
    </row>
    <row r="865">
      <c r="G865" s="85" t="n"/>
    </row>
    <row r="866">
      <c r="G866" s="85" t="n"/>
    </row>
    <row r="867">
      <c r="G867" s="85" t="n"/>
    </row>
    <row r="868">
      <c r="G868" s="85" t="n"/>
    </row>
    <row r="869">
      <c r="G869" s="85" t="n"/>
    </row>
    <row r="870">
      <c r="G870" s="85" t="n"/>
    </row>
    <row r="871">
      <c r="G871" s="85" t="n"/>
    </row>
    <row r="872">
      <c r="G872" s="85" t="n"/>
    </row>
    <row r="873">
      <c r="G873" s="85" t="n"/>
    </row>
    <row r="874">
      <c r="G874" s="85" t="n"/>
    </row>
    <row r="875">
      <c r="G875" s="85" t="n"/>
    </row>
    <row r="876">
      <c r="G876" s="85" t="n"/>
    </row>
    <row r="877">
      <c r="G877" s="85" t="n"/>
    </row>
    <row r="878">
      <c r="G878" s="85" t="n"/>
    </row>
    <row r="879">
      <c r="G879" s="85" t="n"/>
    </row>
    <row r="880">
      <c r="G880" s="85" t="n"/>
    </row>
    <row r="881">
      <c r="G881" s="85" t="n"/>
    </row>
    <row r="882">
      <c r="G882" s="85" t="n"/>
    </row>
    <row r="883">
      <c r="G883" s="85" t="n"/>
    </row>
    <row r="884">
      <c r="G884" s="85" t="n"/>
    </row>
    <row r="885">
      <c r="G885" s="85" t="n"/>
    </row>
    <row r="886">
      <c r="G886" s="85" t="n"/>
    </row>
    <row r="887">
      <c r="G887" s="85" t="n"/>
    </row>
    <row r="888">
      <c r="G888" s="85" t="n"/>
    </row>
    <row r="889">
      <c r="G889" s="85" t="n"/>
    </row>
    <row r="890">
      <c r="G890" s="85" t="n"/>
    </row>
    <row r="891">
      <c r="G891" s="85" t="n"/>
    </row>
    <row r="892">
      <c r="G892" s="85" t="n"/>
    </row>
    <row r="893">
      <c r="G893" s="85" t="n"/>
    </row>
    <row r="894">
      <c r="G894" s="85" t="n"/>
    </row>
    <row r="895">
      <c r="G895" s="85" t="n"/>
    </row>
    <row r="896">
      <c r="G896" s="85" t="n"/>
    </row>
    <row r="897">
      <c r="G897" s="85" t="n"/>
    </row>
    <row r="898">
      <c r="G898" s="85" t="n"/>
    </row>
    <row r="899">
      <c r="G899" s="85" t="n"/>
    </row>
    <row r="900">
      <c r="G900" s="85" t="n"/>
    </row>
    <row r="901">
      <c r="G901" s="85" t="n"/>
    </row>
    <row r="902">
      <c r="G902" s="85" t="n"/>
    </row>
    <row r="903">
      <c r="G903" s="85" t="n"/>
    </row>
    <row r="904">
      <c r="G904" s="85" t="n"/>
    </row>
    <row r="905">
      <c r="G905" s="85" t="n"/>
    </row>
    <row r="906">
      <c r="G906" s="85" t="n"/>
    </row>
    <row r="907">
      <c r="G907" s="85" t="n"/>
    </row>
    <row r="908">
      <c r="G908" s="85" t="n"/>
    </row>
    <row r="909">
      <c r="G909" s="85" t="n"/>
    </row>
    <row r="910">
      <c r="G910" s="85" t="n"/>
    </row>
    <row r="911">
      <c r="G911" s="85" t="n"/>
    </row>
    <row r="912">
      <c r="G912" s="85" t="n"/>
    </row>
    <row r="913">
      <c r="G913" s="85" t="n"/>
    </row>
    <row r="914">
      <c r="G914" s="85" t="n"/>
    </row>
    <row r="915">
      <c r="G915" s="85" t="n"/>
    </row>
    <row r="916">
      <c r="G916" s="85" t="n"/>
    </row>
    <row r="917">
      <c r="G917" s="85" t="n"/>
    </row>
    <row r="918">
      <c r="G918" s="85" t="n"/>
    </row>
    <row r="919">
      <c r="G919" s="85" t="n"/>
    </row>
    <row r="920">
      <c r="G920" s="85" t="n"/>
    </row>
    <row r="921">
      <c r="G921" s="85" t="n"/>
    </row>
    <row r="922">
      <c r="G922" s="85" t="n"/>
    </row>
    <row r="923">
      <c r="G923" s="85" t="n"/>
    </row>
    <row r="924">
      <c r="G924" s="85" t="n"/>
    </row>
    <row r="925">
      <c r="G925" s="85" t="n"/>
    </row>
    <row r="926">
      <c r="G926" s="85" t="n"/>
    </row>
    <row r="927">
      <c r="G927" s="85" t="n"/>
    </row>
    <row r="928">
      <c r="G928" s="85" t="n"/>
    </row>
    <row r="929">
      <c r="G929" s="85" t="n"/>
    </row>
    <row r="930">
      <c r="G930" s="85" t="n"/>
    </row>
    <row r="931">
      <c r="G931" s="85" t="n"/>
    </row>
    <row r="932">
      <c r="G932" s="85" t="n"/>
    </row>
    <row r="933">
      <c r="G933" s="85" t="n"/>
    </row>
    <row r="934">
      <c r="G934" s="85" t="n"/>
    </row>
    <row r="935">
      <c r="G935" s="85" t="n"/>
    </row>
    <row r="936">
      <c r="G936" s="85" t="n"/>
    </row>
    <row r="937">
      <c r="G937" s="85" t="n"/>
    </row>
    <row r="938">
      <c r="G938" s="85" t="n"/>
    </row>
    <row r="939">
      <c r="G939" s="85" t="n"/>
    </row>
    <row r="940">
      <c r="G940" s="85" t="n"/>
    </row>
    <row r="941">
      <c r="G941" s="85" t="n"/>
    </row>
    <row r="942">
      <c r="G942" s="85" t="n"/>
    </row>
    <row r="943">
      <c r="G943" s="85" t="n"/>
    </row>
    <row r="944">
      <c r="G944" s="85" t="n"/>
    </row>
    <row r="945">
      <c r="G945" s="85" t="n"/>
    </row>
    <row r="946">
      <c r="G946" s="85" t="n"/>
    </row>
    <row r="947">
      <c r="G947" s="85" t="n"/>
    </row>
    <row r="948">
      <c r="G948" s="85" t="n"/>
    </row>
    <row r="949">
      <c r="G949" s="85" t="n"/>
    </row>
    <row r="950">
      <c r="G950" s="85" t="n"/>
    </row>
    <row r="951">
      <c r="G951" s="85" t="n"/>
    </row>
    <row r="952">
      <c r="G952" s="85" t="n"/>
    </row>
    <row r="953">
      <c r="G953" s="85" t="n"/>
    </row>
    <row r="954">
      <c r="G954" s="85" t="n"/>
    </row>
    <row r="955">
      <c r="G955" s="85" t="n"/>
    </row>
    <row r="956">
      <c r="G956" s="85" t="n"/>
    </row>
    <row r="957">
      <c r="G957" s="85" t="n"/>
    </row>
    <row r="958">
      <c r="G958" s="85" t="n"/>
    </row>
    <row r="959">
      <c r="G959" s="85" t="n"/>
    </row>
    <row r="960">
      <c r="G960" s="85" t="n"/>
    </row>
    <row r="961">
      <c r="G961" s="85" t="n"/>
    </row>
    <row r="962">
      <c r="G962" s="85" t="n"/>
    </row>
    <row r="963">
      <c r="G963" s="85" t="n"/>
    </row>
    <row r="964">
      <c r="G964" s="85" t="n"/>
    </row>
    <row r="965">
      <c r="G965" s="85" t="n"/>
    </row>
    <row r="966">
      <c r="G966" s="85" t="n"/>
    </row>
    <row r="967">
      <c r="G967" s="85" t="n"/>
    </row>
    <row r="968">
      <c r="G968" s="85" t="n"/>
    </row>
    <row r="969">
      <c r="G969" s="85" t="n"/>
    </row>
    <row r="970">
      <c r="G970" s="85" t="n"/>
    </row>
    <row r="971">
      <c r="G971" s="85" t="n"/>
    </row>
    <row r="972">
      <c r="G972" s="85" t="n"/>
    </row>
    <row r="973">
      <c r="G973" s="85" t="n"/>
    </row>
    <row r="974">
      <c r="G974" s="85" t="n"/>
    </row>
    <row r="975">
      <c r="G975" s="85" t="n"/>
    </row>
    <row r="976">
      <c r="G976" s="85" t="n"/>
    </row>
    <row r="977">
      <c r="G977" s="85" t="n"/>
    </row>
    <row r="978">
      <c r="G978" s="85" t="n"/>
    </row>
    <row r="979">
      <c r="G979" s="85" t="n"/>
    </row>
    <row r="980">
      <c r="G980" s="85" t="n"/>
    </row>
    <row r="981">
      <c r="G981" s="85" t="n"/>
    </row>
    <row r="982">
      <c r="G982" s="85" t="n"/>
    </row>
    <row r="983">
      <c r="G983" s="85" t="n"/>
    </row>
    <row r="984">
      <c r="G984" s="85" t="n"/>
    </row>
    <row r="985">
      <c r="G985" s="85" t="n"/>
    </row>
    <row r="986">
      <c r="G986" s="85" t="n"/>
    </row>
    <row r="987">
      <c r="G987" s="85" t="n"/>
    </row>
    <row r="988">
      <c r="G988" s="85" t="n"/>
    </row>
    <row r="989">
      <c r="G989" s="85" t="n"/>
    </row>
    <row r="990">
      <c r="G990" s="85" t="n"/>
    </row>
    <row r="991">
      <c r="G991" s="85" t="n"/>
    </row>
    <row r="992">
      <c r="G992" s="85" t="n"/>
    </row>
    <row r="993">
      <c r="G993" s="85" t="n"/>
    </row>
    <row r="994">
      <c r="G994" s="85" t="n"/>
    </row>
    <row r="995">
      <c r="G995" s="85" t="n"/>
    </row>
    <row r="996">
      <c r="G996" s="85" t="n"/>
    </row>
    <row r="997">
      <c r="G997" s="85" t="n"/>
    </row>
    <row r="998">
      <c r="G998" s="85" t="n"/>
    </row>
    <row r="999">
      <c r="G999" s="85" t="n"/>
    </row>
    <row r="1000">
      <c r="G1000" s="85" t="n"/>
    </row>
    <row r="1001">
      <c r="G1001" s="85" t="n"/>
    </row>
    <row r="1002">
      <c r="G1002" s="85" t="n"/>
    </row>
    <row r="1003">
      <c r="G1003" s="85" t="n"/>
    </row>
    <row r="1004">
      <c r="G1004" s="85" t="n"/>
    </row>
    <row r="1005">
      <c r="G1005" s="85" t="n"/>
    </row>
    <row r="1006">
      <c r="G1006" s="85" t="n"/>
    </row>
    <row r="1007">
      <c r="G1007" s="85" t="n"/>
    </row>
    <row r="1008">
      <c r="G1008" s="85" t="n"/>
    </row>
    <row r="1009">
      <c r="G1009" s="85" t="n"/>
    </row>
    <row r="1010">
      <c r="G1010" s="85" t="n"/>
    </row>
    <row r="1011">
      <c r="G1011" s="85" t="n"/>
    </row>
    <row r="1012">
      <c r="G1012" s="85" t="n"/>
    </row>
    <row r="1013">
      <c r="G1013" s="85" t="n"/>
    </row>
    <row r="1014">
      <c r="G1014" s="85" t="n"/>
    </row>
    <row r="1015">
      <c r="G1015" s="85" t="n"/>
    </row>
    <row r="1016">
      <c r="G1016" s="85" t="n"/>
    </row>
    <row r="1017">
      <c r="G1017" s="85" t="n"/>
    </row>
    <row r="1018">
      <c r="G1018" s="85" t="n"/>
    </row>
    <row r="1019">
      <c r="G1019" s="85" t="n"/>
    </row>
    <row r="1020">
      <c r="G1020" s="85" t="n"/>
    </row>
    <row r="1021">
      <c r="G1021" s="85" t="n"/>
    </row>
    <row r="1022">
      <c r="G1022" s="85" t="n"/>
    </row>
    <row r="1023">
      <c r="G1023" s="85" t="n"/>
    </row>
    <row r="1024">
      <c r="G1024" s="85" t="n"/>
    </row>
    <row r="1025">
      <c r="G1025" s="85" t="n"/>
    </row>
    <row r="1026">
      <c r="G1026" s="85" t="n"/>
    </row>
    <row r="1027">
      <c r="G1027" s="85" t="n"/>
    </row>
    <row r="1028">
      <c r="G1028" s="85" t="n"/>
    </row>
    <row r="1029">
      <c r="G1029" s="85" t="n"/>
    </row>
    <row r="1030">
      <c r="G1030" s="85" t="n"/>
    </row>
    <row r="1031">
      <c r="G1031" s="85" t="n"/>
    </row>
    <row r="1032">
      <c r="G1032" s="85" t="n"/>
    </row>
    <row r="1033">
      <c r="G1033" s="85" t="n"/>
    </row>
    <row r="1034">
      <c r="G1034" s="85" t="n"/>
    </row>
    <row r="1035">
      <c r="G1035" s="85" t="n"/>
    </row>
    <row r="1036">
      <c r="G1036" s="85" t="n"/>
    </row>
    <row r="1037">
      <c r="G1037" s="85" t="n"/>
    </row>
    <row r="1038">
      <c r="G1038" s="85" t="n"/>
    </row>
    <row r="1039">
      <c r="G1039" s="85" t="n"/>
    </row>
    <row r="1040">
      <c r="G1040" s="85" t="n"/>
    </row>
    <row r="1041">
      <c r="G1041" s="85" t="n"/>
    </row>
    <row r="1042">
      <c r="G1042" s="85" t="n"/>
    </row>
    <row r="1043">
      <c r="G1043" s="85" t="n"/>
    </row>
    <row r="1044">
      <c r="G1044" s="85" t="n"/>
    </row>
    <row r="1045">
      <c r="G1045" s="85" t="n"/>
    </row>
    <row r="1046">
      <c r="G1046" s="85" t="n"/>
    </row>
    <row r="1047">
      <c r="G1047" s="85" t="n"/>
    </row>
    <row r="1048">
      <c r="G1048" s="85" t="n"/>
    </row>
    <row r="1049">
      <c r="G1049" s="85" t="n"/>
    </row>
    <row r="1050">
      <c r="G1050" s="85" t="n"/>
    </row>
    <row r="1051">
      <c r="G1051" s="85" t="n"/>
    </row>
    <row r="1052">
      <c r="G1052" s="85" t="n"/>
    </row>
    <row r="1053">
      <c r="G1053" s="85" t="n"/>
    </row>
    <row r="1054">
      <c r="G1054" s="85" t="n"/>
    </row>
    <row r="1055">
      <c r="G1055" s="85" t="n"/>
    </row>
    <row r="1056">
      <c r="G1056" s="85" t="n"/>
    </row>
    <row r="1057">
      <c r="G1057" s="85" t="n"/>
    </row>
    <row r="1058">
      <c r="G1058" s="85" t="n"/>
    </row>
    <row r="1059">
      <c r="G1059" s="85" t="n"/>
    </row>
    <row r="1060">
      <c r="G1060" s="85" t="n"/>
    </row>
    <row r="1061">
      <c r="G1061" s="85" t="n"/>
    </row>
    <row r="1062">
      <c r="G1062" s="85" t="n"/>
    </row>
    <row r="1063">
      <c r="G1063" s="85" t="n"/>
    </row>
    <row r="1064">
      <c r="G1064" s="85" t="n"/>
    </row>
    <row r="1065">
      <c r="G1065" s="85" t="n"/>
    </row>
    <row r="1066">
      <c r="G1066" s="85" t="n"/>
    </row>
    <row r="1067">
      <c r="G1067" s="85" t="n"/>
    </row>
    <row r="1068">
      <c r="G1068" s="85" t="n"/>
    </row>
    <row r="1069">
      <c r="G1069" s="85" t="n"/>
    </row>
    <row r="1070">
      <c r="G1070" s="85" t="n"/>
    </row>
    <row r="1071">
      <c r="G1071" s="85" t="n"/>
    </row>
    <row r="1072">
      <c r="G1072" s="85" t="n"/>
    </row>
    <row r="1073">
      <c r="G1073" s="85" t="n"/>
    </row>
    <row r="1074">
      <c r="G1074" s="85" t="n"/>
    </row>
    <row r="1075">
      <c r="G1075" s="85" t="n"/>
    </row>
    <row r="1076">
      <c r="G1076" s="85" t="n"/>
    </row>
    <row r="1077">
      <c r="G1077" s="85" t="n"/>
    </row>
    <row r="1078">
      <c r="G1078" s="85" t="n"/>
    </row>
    <row r="1079">
      <c r="G1079" s="85" t="n"/>
    </row>
    <row r="1080">
      <c r="G1080" s="85" t="n"/>
    </row>
    <row r="1081">
      <c r="G1081" s="85" t="n"/>
    </row>
    <row r="1082">
      <c r="G1082" s="85" t="n"/>
    </row>
    <row r="1083">
      <c r="G1083" s="85" t="n"/>
    </row>
    <row r="1084">
      <c r="G1084" s="85" t="n"/>
    </row>
    <row r="1085">
      <c r="G1085" s="85" t="n"/>
    </row>
    <row r="1086">
      <c r="G1086" s="85" t="n"/>
    </row>
    <row r="1087">
      <c r="G1087" s="85" t="n"/>
    </row>
    <row r="1088">
      <c r="G1088" s="85" t="n"/>
    </row>
    <row r="1089">
      <c r="G1089" s="85" t="n"/>
    </row>
    <row r="1090">
      <c r="G1090" s="85" t="n"/>
    </row>
    <row r="1091">
      <c r="G1091" s="85" t="n"/>
    </row>
    <row r="1092">
      <c r="G1092" s="85" t="n"/>
    </row>
    <row r="1093">
      <c r="G1093" s="85" t="n"/>
    </row>
    <row r="1094">
      <c r="G1094" s="85" t="n"/>
    </row>
    <row r="1095">
      <c r="G1095" s="85" t="n"/>
    </row>
    <row r="1096">
      <c r="G1096" s="85" t="n"/>
    </row>
    <row r="1097">
      <c r="G1097" s="85" t="n"/>
    </row>
    <row r="1098">
      <c r="G1098" s="85" t="n"/>
    </row>
    <row r="1099">
      <c r="G1099" s="85" t="n"/>
    </row>
    <row r="1100">
      <c r="G1100" s="85" t="n"/>
    </row>
    <row r="1101">
      <c r="G1101" s="85" t="n"/>
    </row>
    <row r="1102">
      <c r="G1102" s="85" t="n"/>
    </row>
    <row r="1103">
      <c r="G1103" s="85" t="n"/>
    </row>
    <row r="1104">
      <c r="G1104" s="85" t="n"/>
    </row>
    <row r="1105">
      <c r="G1105" s="85" t="n"/>
    </row>
    <row r="1106">
      <c r="G1106" s="85" t="n"/>
    </row>
    <row r="1107">
      <c r="G1107" s="85" t="n"/>
    </row>
    <row r="1108">
      <c r="G1108" s="85" t="n"/>
    </row>
    <row r="1109">
      <c r="G1109" s="85" t="n"/>
    </row>
    <row r="1110">
      <c r="G1110" s="85" t="n"/>
    </row>
    <row r="1111">
      <c r="G1111" s="85" t="n"/>
    </row>
    <row r="1112">
      <c r="G1112" s="85" t="n"/>
    </row>
    <row r="1113">
      <c r="G1113" s="85" t="n"/>
    </row>
    <row r="1114">
      <c r="G1114" s="85" t="n"/>
    </row>
    <row r="1115">
      <c r="G1115" s="85" t="n"/>
    </row>
    <row r="1116">
      <c r="G1116" s="85" t="n"/>
    </row>
    <row r="1117">
      <c r="G1117" s="85" t="n"/>
    </row>
    <row r="1118">
      <c r="G1118" s="85" t="n"/>
    </row>
    <row r="1119">
      <c r="G1119" s="85" t="n"/>
    </row>
    <row r="1120">
      <c r="G1120" s="85" t="n"/>
    </row>
    <row r="1121">
      <c r="G1121" s="85" t="n"/>
    </row>
    <row r="1122">
      <c r="G1122" s="85" t="n"/>
    </row>
    <row r="1123">
      <c r="G1123" s="85" t="n"/>
    </row>
    <row r="1124">
      <c r="G1124" s="85" t="n"/>
    </row>
    <row r="1125">
      <c r="G1125" s="85" t="n"/>
    </row>
    <row r="1126">
      <c r="G1126" s="85" t="n"/>
    </row>
    <row r="1127">
      <c r="G1127" s="85" t="n"/>
    </row>
    <row r="1128">
      <c r="G1128" s="85" t="n"/>
    </row>
    <row r="1129">
      <c r="G1129" s="85" t="n"/>
    </row>
    <row r="1130">
      <c r="G1130" s="85" t="n"/>
    </row>
    <row r="1131">
      <c r="G1131" s="85" t="n"/>
    </row>
    <row r="1132">
      <c r="G1132" s="85" t="n"/>
    </row>
    <row r="1133">
      <c r="G1133" s="85" t="n"/>
    </row>
    <row r="1134">
      <c r="G1134" s="85" t="n"/>
    </row>
    <row r="1135">
      <c r="G1135" s="85" t="n"/>
    </row>
    <row r="1136">
      <c r="G1136" s="85" t="n"/>
    </row>
    <row r="1137">
      <c r="G1137" s="85" t="n"/>
    </row>
    <row r="1138">
      <c r="G1138" s="85" t="n"/>
    </row>
    <row r="1139">
      <c r="G1139" s="85" t="n"/>
    </row>
    <row r="1140">
      <c r="G1140" s="85" t="n"/>
    </row>
    <row r="1141">
      <c r="G1141" s="85" t="n"/>
    </row>
    <row r="1142">
      <c r="G1142" s="85" t="n"/>
    </row>
    <row r="1143">
      <c r="G1143" s="85" t="n"/>
    </row>
    <row r="1144">
      <c r="G1144" s="85" t="n"/>
    </row>
    <row r="1145">
      <c r="G1145" s="85" t="n"/>
    </row>
    <row r="1146">
      <c r="G1146" s="85" t="n"/>
    </row>
    <row r="1147">
      <c r="G1147" s="85" t="n"/>
    </row>
    <row r="1148">
      <c r="G1148" s="85" t="n"/>
    </row>
    <row r="1149">
      <c r="G1149" s="85" t="n"/>
    </row>
    <row r="1150">
      <c r="G1150" s="85" t="n"/>
    </row>
    <row r="1151">
      <c r="G1151" s="85" t="n"/>
    </row>
    <row r="1152">
      <c r="G1152" s="85" t="n"/>
    </row>
    <row r="1153">
      <c r="G1153" s="85" t="n"/>
    </row>
    <row r="1154">
      <c r="G1154" s="85" t="n"/>
    </row>
    <row r="1155">
      <c r="G1155" s="85" t="n"/>
    </row>
    <row r="1156">
      <c r="G1156" s="85" t="n"/>
    </row>
    <row r="1157">
      <c r="G1157" s="85" t="n"/>
    </row>
    <row r="1158">
      <c r="G1158" s="85" t="n"/>
    </row>
    <row r="1159">
      <c r="G1159" s="85" t="n"/>
    </row>
    <row r="1160">
      <c r="G1160" s="85" t="n"/>
    </row>
    <row r="1161">
      <c r="G1161" s="85" t="n"/>
    </row>
    <row r="1162">
      <c r="G1162" s="85" t="n"/>
    </row>
    <row r="1163">
      <c r="G1163" s="85" t="n"/>
    </row>
    <row r="1164">
      <c r="G1164" s="85" t="n"/>
    </row>
    <row r="1165">
      <c r="G1165" s="85" t="n"/>
    </row>
    <row r="1166">
      <c r="G1166" s="85" t="n"/>
    </row>
    <row r="1167">
      <c r="G1167" s="85" t="n"/>
    </row>
    <row r="1168">
      <c r="G1168" s="85" t="n"/>
    </row>
    <row r="1169">
      <c r="G1169" s="85" t="n"/>
    </row>
    <row r="1170">
      <c r="G1170" s="85" t="n"/>
    </row>
    <row r="1171">
      <c r="G1171" s="85" t="n"/>
    </row>
    <row r="1172">
      <c r="G1172" s="85" t="n"/>
    </row>
    <row r="1173">
      <c r="G1173" s="85" t="n"/>
    </row>
    <row r="1174">
      <c r="G1174" s="85" t="n"/>
    </row>
    <row r="1175">
      <c r="G1175" s="85" t="n"/>
    </row>
    <row r="1176">
      <c r="G1176" s="85" t="n"/>
    </row>
    <row r="1177">
      <c r="G1177" s="85" t="n"/>
    </row>
    <row r="1178">
      <c r="G1178" s="85" t="n"/>
    </row>
    <row r="1179">
      <c r="G1179" s="85" t="n"/>
    </row>
    <row r="1180">
      <c r="G1180" s="85" t="n"/>
    </row>
    <row r="1181">
      <c r="G1181" s="85" t="n"/>
    </row>
    <row r="1182">
      <c r="G1182" s="85" t="n"/>
    </row>
    <row r="1183">
      <c r="G1183" s="85" t="n"/>
    </row>
    <row r="1184">
      <c r="G1184" s="85" t="n"/>
    </row>
    <row r="1185">
      <c r="G1185" s="85" t="n"/>
    </row>
    <row r="1186">
      <c r="G1186" s="85" t="n"/>
    </row>
    <row r="1187">
      <c r="G1187" s="85" t="n"/>
    </row>
    <row r="1188">
      <c r="G1188" s="85" t="n"/>
    </row>
    <row r="1189">
      <c r="G1189" s="85" t="n"/>
    </row>
    <row r="1190">
      <c r="G1190" s="85" t="n"/>
    </row>
    <row r="1191">
      <c r="G1191" s="85" t="n"/>
    </row>
    <row r="1192">
      <c r="G1192" s="85" t="n"/>
    </row>
    <row r="1193">
      <c r="G1193" s="85" t="n"/>
    </row>
    <row r="1194">
      <c r="G1194" s="85" t="n"/>
    </row>
    <row r="1195">
      <c r="G1195" s="85" t="n"/>
    </row>
    <row r="1196">
      <c r="G1196" s="85" t="n"/>
    </row>
    <row r="1197">
      <c r="G1197" s="85" t="n"/>
    </row>
    <row r="1198">
      <c r="G1198" s="85" t="n"/>
    </row>
    <row r="1199">
      <c r="G1199" s="85" t="n"/>
    </row>
    <row r="1200">
      <c r="G1200" s="85" t="n"/>
    </row>
    <row r="1201">
      <c r="G1201" s="85" t="n"/>
    </row>
    <row r="1202">
      <c r="G1202" s="85" t="n"/>
    </row>
    <row r="1203">
      <c r="G1203" s="85" t="n"/>
    </row>
    <row r="1204">
      <c r="G1204" s="85" t="n"/>
    </row>
    <row r="1205">
      <c r="G1205" s="85" t="n"/>
    </row>
    <row r="1206">
      <c r="G1206" s="85" t="n"/>
    </row>
    <row r="1207">
      <c r="G1207" s="85" t="n"/>
    </row>
    <row r="1208">
      <c r="G1208" s="85" t="n"/>
    </row>
    <row r="1209">
      <c r="G1209" s="85" t="n"/>
    </row>
    <row r="1210">
      <c r="G1210" s="85" t="n"/>
    </row>
    <row r="1211">
      <c r="G1211" s="85" t="n"/>
    </row>
    <row r="1212">
      <c r="G1212" s="85" t="n"/>
    </row>
    <row r="1213">
      <c r="G1213" s="85" t="n"/>
    </row>
    <row r="1214">
      <c r="G1214" s="85" t="n"/>
    </row>
    <row r="1215">
      <c r="G1215" s="85" t="n"/>
    </row>
    <row r="1216">
      <c r="G1216" s="85" t="n"/>
    </row>
    <row r="1217">
      <c r="G1217" s="85" t="n"/>
    </row>
    <row r="1218">
      <c r="G1218" s="85" t="n"/>
    </row>
    <row r="1219">
      <c r="G1219" s="85" t="n"/>
    </row>
    <row r="1220">
      <c r="G1220" s="85" t="n"/>
    </row>
    <row r="1221">
      <c r="G1221" s="85" t="n"/>
    </row>
    <row r="1222">
      <c r="G1222" s="85" t="n"/>
    </row>
    <row r="1223">
      <c r="G1223" s="85" t="n"/>
    </row>
    <row r="1224">
      <c r="G1224" s="85" t="n"/>
    </row>
    <row r="1225">
      <c r="G1225" s="85" t="n"/>
    </row>
    <row r="1226">
      <c r="G1226" s="85" t="n"/>
    </row>
    <row r="1227">
      <c r="G1227" s="85" t="n"/>
    </row>
    <row r="1228">
      <c r="G1228" s="85" t="n"/>
    </row>
    <row r="1229">
      <c r="G1229" s="85" t="n"/>
    </row>
    <row r="1230">
      <c r="G1230" s="85" t="n"/>
    </row>
    <row r="1231">
      <c r="G1231" s="85" t="n"/>
    </row>
    <row r="1232">
      <c r="G1232" s="85" t="n"/>
    </row>
    <row r="1233">
      <c r="G1233" s="85" t="n"/>
    </row>
    <row r="1234">
      <c r="G1234" s="85" t="n"/>
    </row>
    <row r="1235">
      <c r="G1235" s="85" t="n"/>
    </row>
    <row r="1236">
      <c r="G1236" s="85" t="n"/>
    </row>
    <row r="1237">
      <c r="G1237" s="85" t="n"/>
    </row>
    <row r="1238">
      <c r="G1238" s="85" t="n"/>
    </row>
    <row r="1239">
      <c r="G1239" s="85" t="n"/>
    </row>
    <row r="1240">
      <c r="G1240" s="85" t="n"/>
    </row>
    <row r="1241">
      <c r="G1241" s="85" t="n"/>
    </row>
    <row r="1242">
      <c r="G1242" s="85" t="n"/>
    </row>
    <row r="1243">
      <c r="G1243" s="85" t="n"/>
    </row>
    <row r="1244">
      <c r="G1244" s="85" t="n"/>
    </row>
    <row r="1245">
      <c r="G1245" s="85" t="n"/>
    </row>
    <row r="1246">
      <c r="G1246" s="85" t="n"/>
    </row>
    <row r="1247">
      <c r="G1247" s="85" t="n"/>
    </row>
    <row r="1248">
      <c r="G1248" s="85" t="n"/>
    </row>
    <row r="1249">
      <c r="G1249" s="85" t="n"/>
    </row>
    <row r="1250">
      <c r="G1250" s="85" t="n"/>
    </row>
    <row r="1251">
      <c r="G1251" s="85" t="n"/>
    </row>
    <row r="1252">
      <c r="G1252" s="85" t="n"/>
    </row>
    <row r="1253">
      <c r="G1253" s="85" t="n"/>
    </row>
    <row r="1254">
      <c r="G1254" s="85" t="n"/>
    </row>
    <row r="1255">
      <c r="G1255" s="85" t="n"/>
    </row>
    <row r="1256">
      <c r="G1256" s="85" t="n"/>
    </row>
    <row r="1257">
      <c r="G1257" s="85" t="n"/>
    </row>
    <row r="1258">
      <c r="G1258" s="85" t="n"/>
    </row>
    <row r="1259">
      <c r="G1259" s="85" t="n"/>
    </row>
    <row r="1260">
      <c r="G1260" s="85" t="n"/>
    </row>
    <row r="1261">
      <c r="G1261" s="85" t="n"/>
    </row>
    <row r="1262">
      <c r="G1262" s="85" t="n"/>
    </row>
    <row r="1263">
      <c r="G1263" s="85" t="n"/>
    </row>
    <row r="1264">
      <c r="G1264" s="85" t="n"/>
    </row>
    <row r="1265">
      <c r="G1265" s="85" t="n"/>
    </row>
    <row r="1266">
      <c r="G1266" s="85" t="n"/>
    </row>
    <row r="1267">
      <c r="G1267" s="85" t="n"/>
    </row>
    <row r="1268">
      <c r="G1268" s="85" t="n"/>
    </row>
    <row r="1269">
      <c r="G1269" s="85" t="n"/>
    </row>
    <row r="1270">
      <c r="G1270" s="85" t="n"/>
    </row>
    <row r="1271">
      <c r="G1271" s="85" t="n"/>
    </row>
    <row r="1272">
      <c r="G1272" s="85" t="n"/>
    </row>
    <row r="1273">
      <c r="G1273" s="85" t="n"/>
    </row>
    <row r="1274">
      <c r="G1274" s="85" t="n"/>
    </row>
    <row r="1275">
      <c r="G1275" s="85" t="n"/>
    </row>
    <row r="1276">
      <c r="G1276" s="85" t="n"/>
    </row>
    <row r="1277">
      <c r="G1277" s="85" t="n"/>
    </row>
    <row r="1278">
      <c r="G1278" s="85" t="n"/>
    </row>
    <row r="1279">
      <c r="G1279" s="85" t="n"/>
    </row>
    <row r="1280">
      <c r="G1280" s="85" t="n"/>
    </row>
    <row r="1281">
      <c r="G1281" s="85" t="n"/>
    </row>
    <row r="1282">
      <c r="G1282" s="85" t="n"/>
    </row>
    <row r="1283">
      <c r="G1283" s="85" t="n"/>
    </row>
    <row r="1284">
      <c r="G1284" s="85" t="n"/>
    </row>
    <row r="1285">
      <c r="G1285" s="85" t="n"/>
    </row>
    <row r="1286">
      <c r="G1286" s="85" t="n"/>
    </row>
    <row r="1287">
      <c r="G1287" s="85" t="n"/>
    </row>
    <row r="1288">
      <c r="G1288" s="85" t="n"/>
    </row>
    <row r="1289">
      <c r="G1289" s="85" t="n"/>
    </row>
    <row r="1290">
      <c r="G1290" s="85" t="n"/>
    </row>
    <row r="1291">
      <c r="G1291" s="85" t="n"/>
    </row>
    <row r="1292">
      <c r="G1292" s="85" t="n"/>
    </row>
    <row r="1293">
      <c r="G1293" s="85" t="n"/>
    </row>
    <row r="1294">
      <c r="G1294" s="85" t="n"/>
    </row>
    <row r="1295">
      <c r="G1295" s="85" t="n"/>
    </row>
    <row r="1296">
      <c r="G1296" s="85" t="n"/>
    </row>
    <row r="1297">
      <c r="G1297" s="85" t="n"/>
    </row>
    <row r="1298">
      <c r="G1298" s="85" t="n"/>
    </row>
    <row r="1299">
      <c r="G1299" s="85" t="n"/>
    </row>
    <row r="1300">
      <c r="G1300" s="85" t="n"/>
    </row>
    <row r="1301">
      <c r="G1301" s="85" t="n"/>
    </row>
    <row r="1302">
      <c r="G1302" s="85" t="n"/>
    </row>
    <row r="1303">
      <c r="G1303" s="85" t="n"/>
    </row>
    <row r="1304">
      <c r="G1304" s="85" t="n"/>
    </row>
    <row r="1305">
      <c r="G1305" s="85" t="n"/>
    </row>
    <row r="1306">
      <c r="G1306" s="85" t="n"/>
    </row>
    <row r="1307">
      <c r="G1307" s="85" t="n"/>
    </row>
    <row r="1308">
      <c r="G1308" s="85" t="n"/>
    </row>
    <row r="1309">
      <c r="G1309" s="85" t="n"/>
    </row>
    <row r="1310">
      <c r="G1310" s="85" t="n"/>
    </row>
    <row r="1311">
      <c r="G1311" s="85" t="n"/>
    </row>
    <row r="1312">
      <c r="G1312" s="85" t="n"/>
    </row>
    <row r="1313">
      <c r="G1313" s="85" t="n"/>
    </row>
    <row r="1314">
      <c r="G1314" s="85" t="n"/>
    </row>
    <row r="1315">
      <c r="G1315" s="85" t="n"/>
    </row>
    <row r="1316">
      <c r="G1316" s="85" t="n"/>
    </row>
    <row r="1317">
      <c r="G1317" s="85" t="n"/>
    </row>
    <row r="1318">
      <c r="G1318" s="85" t="n"/>
    </row>
    <row r="1319">
      <c r="G1319" s="85" t="n"/>
    </row>
    <row r="1320">
      <c r="G1320" s="85" t="n"/>
    </row>
    <row r="1321">
      <c r="G1321" s="85" t="n"/>
    </row>
    <row r="1322">
      <c r="G1322" s="85" t="n"/>
    </row>
    <row r="1323">
      <c r="G1323" s="85" t="n"/>
    </row>
    <row r="1324">
      <c r="G1324" s="85" t="n"/>
    </row>
    <row r="1325">
      <c r="G1325" s="85" t="n"/>
    </row>
    <row r="1326">
      <c r="G1326" s="85" t="n"/>
    </row>
    <row r="1327">
      <c r="G1327" s="85" t="n"/>
    </row>
    <row r="1328">
      <c r="G1328" s="85" t="n"/>
    </row>
    <row r="1329">
      <c r="G1329" s="85" t="n"/>
    </row>
    <row r="1330">
      <c r="G1330" s="85" t="n"/>
    </row>
    <row r="1331">
      <c r="G1331" s="85" t="n"/>
    </row>
    <row r="1332">
      <c r="G1332" s="85" t="n"/>
    </row>
    <row r="1333">
      <c r="G1333" s="85" t="n"/>
    </row>
    <row r="1334">
      <c r="G1334" s="85" t="n"/>
    </row>
    <row r="1335">
      <c r="G1335" s="85" t="n"/>
    </row>
    <row r="1336">
      <c r="G1336" s="85" t="n"/>
    </row>
    <row r="1337">
      <c r="G1337" s="85" t="n"/>
    </row>
    <row r="1338">
      <c r="G1338" s="85" t="n"/>
    </row>
    <row r="1339">
      <c r="G1339" s="85" t="n"/>
    </row>
    <row r="1340">
      <c r="G1340" s="85" t="n"/>
    </row>
    <row r="1341">
      <c r="G1341" s="85" t="n"/>
    </row>
    <row r="1342">
      <c r="G1342" s="85" t="n"/>
    </row>
    <row r="1343">
      <c r="G1343" s="85" t="n"/>
    </row>
    <row r="1344">
      <c r="G1344" s="85" t="n"/>
    </row>
    <row r="1345">
      <c r="G1345" s="85" t="n"/>
    </row>
    <row r="1346">
      <c r="G1346" s="85" t="n"/>
    </row>
    <row r="1347">
      <c r="G1347" s="85" t="n"/>
    </row>
    <row r="1348">
      <c r="G1348" s="85" t="n"/>
    </row>
    <row r="1349">
      <c r="G1349" s="85" t="n"/>
    </row>
    <row r="1350">
      <c r="G1350" s="85" t="n"/>
    </row>
    <row r="1351">
      <c r="G1351" s="85" t="n"/>
    </row>
    <row r="1352">
      <c r="G1352" s="85" t="n"/>
    </row>
    <row r="1353">
      <c r="G1353" s="85" t="n"/>
    </row>
    <row r="1354">
      <c r="G1354" s="85" t="n"/>
    </row>
    <row r="1355">
      <c r="G1355" s="85" t="n"/>
    </row>
    <row r="1356">
      <c r="G1356" s="85" t="n"/>
    </row>
    <row r="1357">
      <c r="G1357" s="85" t="n"/>
    </row>
    <row r="1358">
      <c r="G1358" s="85" t="n"/>
    </row>
    <row r="1359">
      <c r="G1359" s="85" t="n"/>
    </row>
    <row r="1360">
      <c r="G1360" s="85" t="n"/>
    </row>
    <row r="1361">
      <c r="G1361" s="85" t="n"/>
    </row>
    <row r="1362">
      <c r="G1362" s="85" t="n"/>
    </row>
    <row r="1363">
      <c r="G1363" s="85" t="n"/>
    </row>
    <row r="1364">
      <c r="G1364" s="85" t="n"/>
    </row>
    <row r="1365">
      <c r="G1365" s="85" t="n"/>
    </row>
    <row r="1366">
      <c r="G1366" s="85" t="n"/>
    </row>
    <row r="1367">
      <c r="G1367" s="85" t="n"/>
    </row>
    <row r="1368">
      <c r="G1368" s="85" t="n"/>
    </row>
    <row r="1369">
      <c r="G1369" s="85" t="n"/>
    </row>
    <row r="1370">
      <c r="G1370" s="85" t="n"/>
    </row>
    <row r="1371">
      <c r="G1371" s="85" t="n"/>
    </row>
    <row r="1372">
      <c r="G1372" s="85" t="n"/>
    </row>
    <row r="1373">
      <c r="G1373" s="85" t="n"/>
    </row>
    <row r="1374">
      <c r="G1374" s="85" t="n"/>
    </row>
    <row r="1375">
      <c r="G1375" s="85" t="n"/>
    </row>
    <row r="1376">
      <c r="G1376" s="85" t="n"/>
    </row>
    <row r="1377">
      <c r="G1377" s="85" t="n"/>
    </row>
    <row r="1378">
      <c r="G1378" s="85" t="n"/>
    </row>
    <row r="1379">
      <c r="G1379" s="85" t="n"/>
    </row>
    <row r="1380">
      <c r="G1380" s="85" t="n"/>
    </row>
    <row r="1381">
      <c r="G1381" s="85" t="n"/>
    </row>
    <row r="1382">
      <c r="G1382" s="85" t="n"/>
    </row>
    <row r="1383">
      <c r="G1383" s="85" t="n"/>
    </row>
    <row r="1384">
      <c r="G1384" s="85" t="n"/>
    </row>
    <row r="1385">
      <c r="G1385" s="85" t="n"/>
    </row>
    <row r="1386">
      <c r="G1386" s="85" t="n"/>
    </row>
    <row r="1387">
      <c r="G1387" s="85" t="n"/>
    </row>
    <row r="1388">
      <c r="G1388" s="85" t="n"/>
    </row>
    <row r="1389">
      <c r="G1389" s="85" t="n"/>
    </row>
    <row r="1390">
      <c r="G1390" s="85" t="n"/>
    </row>
    <row r="1391">
      <c r="G1391" s="85" t="n"/>
    </row>
    <row r="1392">
      <c r="G1392" s="85" t="n"/>
    </row>
    <row r="1393">
      <c r="G1393" s="85" t="n"/>
    </row>
    <row r="1394">
      <c r="G1394" s="85" t="n"/>
    </row>
    <row r="1395">
      <c r="G1395" s="85" t="n"/>
    </row>
    <row r="1396">
      <c r="G1396" s="85" t="n"/>
    </row>
    <row r="1397">
      <c r="G1397" s="85" t="n"/>
    </row>
    <row r="1398">
      <c r="G1398" s="85" t="n"/>
    </row>
    <row r="1399">
      <c r="G1399" s="85" t="n"/>
    </row>
    <row r="1400">
      <c r="G1400" s="85" t="n"/>
    </row>
    <row r="1401">
      <c r="G1401" s="85" t="n"/>
    </row>
    <row r="1402">
      <c r="G1402" s="85" t="n"/>
    </row>
    <row r="1403">
      <c r="G1403" s="85" t="n"/>
    </row>
    <row r="1404">
      <c r="G1404" s="85" t="n"/>
    </row>
    <row r="1405">
      <c r="G1405" s="85" t="n"/>
    </row>
    <row r="1406">
      <c r="G1406" s="85" t="n"/>
    </row>
    <row r="1407">
      <c r="G1407" s="85" t="n"/>
    </row>
    <row r="1408">
      <c r="G1408" s="85" t="n"/>
    </row>
    <row r="1409">
      <c r="G1409" s="85" t="n"/>
    </row>
    <row r="1410">
      <c r="G1410" s="85" t="n"/>
    </row>
    <row r="1411">
      <c r="G1411" s="85" t="n"/>
    </row>
    <row r="1412">
      <c r="G1412" s="85" t="n"/>
    </row>
    <row r="1413">
      <c r="G1413" s="85" t="n"/>
    </row>
    <row r="1414">
      <c r="G1414" s="85" t="n"/>
    </row>
    <row r="1415">
      <c r="G1415" s="85" t="n"/>
    </row>
    <row r="1416">
      <c r="G1416" s="85" t="n"/>
    </row>
    <row r="1417">
      <c r="G1417" s="85" t="n"/>
    </row>
    <row r="1418">
      <c r="G1418" s="85" t="n"/>
    </row>
    <row r="1419">
      <c r="G1419" s="85" t="n"/>
    </row>
    <row r="1420">
      <c r="G1420" s="85" t="n"/>
    </row>
    <row r="1421">
      <c r="G1421" s="85" t="n"/>
    </row>
    <row r="1422">
      <c r="G1422" s="85" t="n"/>
    </row>
    <row r="1423">
      <c r="G1423" s="85" t="n"/>
    </row>
    <row r="1424">
      <c r="G1424" s="85" t="n"/>
    </row>
    <row r="1425">
      <c r="G1425" s="85" t="n"/>
    </row>
    <row r="1426">
      <c r="G1426" s="85" t="n"/>
    </row>
    <row r="1427">
      <c r="G1427" s="85" t="n"/>
    </row>
    <row r="1428">
      <c r="G1428" s="85" t="n"/>
    </row>
    <row r="1429">
      <c r="G1429" s="85" t="n"/>
    </row>
    <row r="1430">
      <c r="G1430" s="85" t="n"/>
    </row>
    <row r="1431">
      <c r="G1431" s="85" t="n"/>
    </row>
    <row r="1432">
      <c r="G1432" s="85" t="n"/>
    </row>
    <row r="1433">
      <c r="G1433" s="85" t="n"/>
    </row>
    <row r="1434">
      <c r="G1434" s="85" t="n"/>
    </row>
    <row r="1435">
      <c r="G1435" s="85" t="n"/>
    </row>
    <row r="1436">
      <c r="G1436" s="85" t="n"/>
    </row>
    <row r="1437">
      <c r="G1437" s="85" t="n"/>
    </row>
    <row r="1438">
      <c r="G1438" s="85" t="n"/>
    </row>
    <row r="1439">
      <c r="G1439" s="85" t="n"/>
    </row>
    <row r="1440">
      <c r="G1440" s="85" t="n"/>
    </row>
    <row r="1441">
      <c r="G1441" s="85" t="n"/>
    </row>
    <row r="1442">
      <c r="G1442" s="85" t="n"/>
    </row>
    <row r="1443">
      <c r="G1443" s="85" t="n"/>
    </row>
    <row r="1444">
      <c r="G1444" s="85" t="n"/>
    </row>
    <row r="1445">
      <c r="G1445" s="85" t="n"/>
    </row>
    <row r="1446">
      <c r="G1446" s="85" t="n"/>
    </row>
    <row r="1447">
      <c r="G1447" s="85" t="n"/>
    </row>
    <row r="1448">
      <c r="G1448" s="85" t="n"/>
    </row>
    <row r="1449">
      <c r="G1449" s="85" t="n"/>
    </row>
    <row r="1450">
      <c r="G1450" s="85" t="n"/>
    </row>
    <row r="1451">
      <c r="G1451" s="85" t="n"/>
    </row>
    <row r="1452">
      <c r="G1452" s="85" t="n"/>
    </row>
    <row r="1453">
      <c r="G1453" s="85" t="n"/>
    </row>
    <row r="1454">
      <c r="G1454" s="85" t="n"/>
    </row>
    <row r="1455">
      <c r="G1455" s="85" t="n"/>
    </row>
    <row r="1456">
      <c r="G1456" s="85" t="n"/>
    </row>
    <row r="1457">
      <c r="G1457" s="85" t="n"/>
    </row>
    <row r="1458">
      <c r="G1458" s="85" t="n"/>
    </row>
    <row r="1459">
      <c r="G1459" s="85" t="n"/>
    </row>
    <row r="1460">
      <c r="G1460" s="85" t="n"/>
    </row>
    <row r="1461">
      <c r="G1461" s="85" t="n"/>
    </row>
    <row r="1462">
      <c r="G1462" s="85" t="n"/>
    </row>
    <row r="1463">
      <c r="G1463" s="85" t="n"/>
    </row>
    <row r="1464">
      <c r="G1464" s="85" t="n"/>
    </row>
    <row r="1465">
      <c r="G1465" s="85" t="n"/>
    </row>
    <row r="1466">
      <c r="G1466" s="85" t="n"/>
    </row>
    <row r="1467">
      <c r="G1467" s="85" t="n"/>
    </row>
    <row r="1468">
      <c r="G1468" s="85" t="n"/>
    </row>
    <row r="1469">
      <c r="G1469" s="85" t="n"/>
    </row>
    <row r="1470">
      <c r="G1470" s="85" t="n"/>
    </row>
    <row r="1471">
      <c r="G1471" s="85" t="n"/>
    </row>
    <row r="1472">
      <c r="G1472" s="85" t="n"/>
    </row>
    <row r="1473">
      <c r="G1473" s="85" t="n"/>
    </row>
    <row r="1474">
      <c r="G1474" s="85" t="n"/>
    </row>
    <row r="1475">
      <c r="G1475" s="85" t="n"/>
    </row>
    <row r="1476">
      <c r="G1476" s="85" t="n"/>
    </row>
    <row r="1477">
      <c r="G1477" s="85" t="n"/>
    </row>
    <row r="1478">
      <c r="G1478" s="85" t="n"/>
    </row>
    <row r="1479">
      <c r="G1479" s="85" t="n"/>
    </row>
    <row r="1480">
      <c r="G1480" s="85" t="n"/>
    </row>
    <row r="1481">
      <c r="G1481" s="85" t="n"/>
    </row>
    <row r="1482">
      <c r="G1482" s="85" t="n"/>
    </row>
    <row r="1483">
      <c r="G1483" s="85" t="n"/>
    </row>
    <row r="1484">
      <c r="G1484" s="85" t="n"/>
    </row>
    <row r="1485">
      <c r="G1485" s="85" t="n"/>
    </row>
    <row r="1486">
      <c r="G1486" s="85" t="n"/>
    </row>
    <row r="1487">
      <c r="G1487" s="85" t="n"/>
    </row>
    <row r="1488">
      <c r="G1488" s="85" t="n"/>
    </row>
    <row r="1489">
      <c r="G1489" s="85" t="n"/>
    </row>
    <row r="1490">
      <c r="G1490" s="85" t="n"/>
    </row>
    <row r="1491">
      <c r="G1491" s="85" t="n"/>
    </row>
    <row r="1492">
      <c r="G1492" s="85" t="n"/>
    </row>
    <row r="1493">
      <c r="G1493" s="85" t="n"/>
    </row>
    <row r="1494">
      <c r="G1494" s="85" t="n"/>
    </row>
    <row r="1495">
      <c r="G1495" s="85" t="n"/>
    </row>
    <row r="1496">
      <c r="G1496" s="85" t="n"/>
    </row>
    <row r="1497">
      <c r="G1497" s="85" t="n"/>
    </row>
    <row r="1498">
      <c r="G1498" s="85" t="n"/>
    </row>
    <row r="1499">
      <c r="G1499" s="85" t="n"/>
    </row>
    <row r="1500">
      <c r="G1500" s="85" t="n"/>
    </row>
    <row r="1501">
      <c r="G1501" s="85" t="n"/>
    </row>
    <row r="1502">
      <c r="G1502" s="85" t="n"/>
    </row>
    <row r="1503">
      <c r="G1503" s="85" t="n"/>
    </row>
    <row r="1504">
      <c r="G1504" s="85" t="n"/>
    </row>
    <row r="1505">
      <c r="G1505" s="85" t="n"/>
    </row>
    <row r="1506">
      <c r="G1506" s="85" t="n"/>
    </row>
    <row r="1507">
      <c r="G1507" s="85" t="n"/>
    </row>
    <row r="1508">
      <c r="G1508" s="85" t="n"/>
    </row>
    <row r="1509">
      <c r="G1509" s="85" t="n"/>
    </row>
    <row r="1510">
      <c r="G1510" s="85" t="n"/>
    </row>
    <row r="1511">
      <c r="G1511" s="85" t="n"/>
    </row>
    <row r="1512">
      <c r="G1512" s="85" t="n"/>
    </row>
    <row r="1513">
      <c r="G1513" s="85" t="n"/>
    </row>
    <row r="1514">
      <c r="G1514" s="85" t="n"/>
    </row>
    <row r="1515">
      <c r="G1515" s="85" t="n"/>
    </row>
    <row r="1516">
      <c r="G1516" s="85" t="n"/>
    </row>
    <row r="1517">
      <c r="G1517" s="85" t="n"/>
    </row>
    <row r="1518">
      <c r="G1518" s="85" t="n"/>
    </row>
    <row r="1519">
      <c r="G1519" s="85" t="n"/>
    </row>
    <row r="1520">
      <c r="G1520" s="85" t="n"/>
    </row>
    <row r="1521">
      <c r="G1521" s="85" t="n"/>
    </row>
    <row r="1522">
      <c r="G1522" s="85" t="n"/>
    </row>
    <row r="1523">
      <c r="G1523" s="85" t="n"/>
    </row>
    <row r="1524">
      <c r="G1524" s="85" t="n"/>
    </row>
    <row r="1525">
      <c r="G1525" s="85" t="n"/>
    </row>
    <row r="1526">
      <c r="G1526" s="85" t="n"/>
    </row>
    <row r="1527">
      <c r="G1527" s="85" t="n"/>
    </row>
    <row r="1528">
      <c r="G1528" s="85" t="n"/>
    </row>
    <row r="1529">
      <c r="G1529" s="85" t="n"/>
    </row>
    <row r="1530">
      <c r="G1530" s="85" t="n"/>
    </row>
    <row r="1531">
      <c r="G1531" s="85" t="n"/>
    </row>
    <row r="1532">
      <c r="G1532" s="85" t="n"/>
    </row>
    <row r="1533">
      <c r="G1533" s="85" t="n"/>
    </row>
    <row r="1534">
      <c r="G1534" s="85" t="n"/>
    </row>
    <row r="1535">
      <c r="G1535" s="85" t="n"/>
    </row>
    <row r="1536">
      <c r="G1536" s="85" t="n"/>
    </row>
    <row r="1537">
      <c r="G1537" s="85" t="n"/>
    </row>
    <row r="1538">
      <c r="G1538" s="85" t="n"/>
    </row>
    <row r="1539">
      <c r="G1539" s="85" t="n"/>
    </row>
    <row r="1540">
      <c r="G1540" s="85" t="n"/>
    </row>
    <row r="1541">
      <c r="G1541" s="85" t="n"/>
    </row>
    <row r="1542">
      <c r="G1542" s="85" t="n"/>
    </row>
    <row r="1543">
      <c r="G1543" s="85" t="n"/>
    </row>
    <row r="1544">
      <c r="G1544" s="85" t="n"/>
    </row>
    <row r="1545">
      <c r="G1545" s="85" t="n"/>
    </row>
    <row r="1546">
      <c r="G1546" s="85" t="n"/>
    </row>
    <row r="1547">
      <c r="G1547" s="85" t="n"/>
    </row>
    <row r="1548">
      <c r="G1548" s="85" t="n"/>
    </row>
    <row r="1549">
      <c r="G1549" s="85" t="n"/>
    </row>
    <row r="1550">
      <c r="G1550" s="85" t="n"/>
    </row>
    <row r="1551">
      <c r="G1551" s="85" t="n"/>
    </row>
    <row r="1552">
      <c r="G1552" s="85" t="n"/>
    </row>
    <row r="1553">
      <c r="G1553" s="85" t="n"/>
    </row>
    <row r="1554">
      <c r="G1554" s="85" t="n"/>
    </row>
    <row r="1555">
      <c r="G1555" s="85" t="n"/>
    </row>
    <row r="1556">
      <c r="G1556" s="85" t="n"/>
    </row>
    <row r="1557">
      <c r="G1557" s="85" t="n"/>
    </row>
    <row r="1558">
      <c r="G1558" s="85" t="n"/>
    </row>
    <row r="1559">
      <c r="G1559" s="85" t="n"/>
    </row>
    <row r="1560">
      <c r="G1560" s="85" t="n"/>
    </row>
    <row r="1561">
      <c r="G1561" s="85" t="n"/>
    </row>
    <row r="1562">
      <c r="G1562" s="85" t="n"/>
    </row>
    <row r="1563">
      <c r="G1563" s="85" t="n"/>
    </row>
    <row r="1564">
      <c r="G1564" s="85" t="n"/>
    </row>
    <row r="1565">
      <c r="G1565" s="85" t="n"/>
    </row>
    <row r="1566">
      <c r="G1566" s="85" t="n"/>
    </row>
    <row r="1567">
      <c r="G1567" s="85" t="n"/>
    </row>
    <row r="1568">
      <c r="G1568" s="85" t="n"/>
    </row>
    <row r="1569">
      <c r="G1569" s="85" t="n"/>
    </row>
    <row r="1570">
      <c r="G1570" s="85" t="n"/>
    </row>
    <row r="1571">
      <c r="G1571" s="85" t="n"/>
    </row>
    <row r="1572">
      <c r="G1572" s="85" t="n"/>
    </row>
    <row r="1573">
      <c r="G1573" s="85" t="n"/>
    </row>
    <row r="1574">
      <c r="G1574" s="85" t="n"/>
    </row>
    <row r="1575">
      <c r="G1575" s="85" t="n"/>
    </row>
    <row r="1576">
      <c r="G1576" s="85" t="n"/>
    </row>
    <row r="1577">
      <c r="G1577" s="85" t="n"/>
    </row>
    <row r="1578">
      <c r="G1578" s="85" t="n"/>
    </row>
    <row r="1579">
      <c r="G1579" s="85" t="n"/>
    </row>
    <row r="1580">
      <c r="G1580" s="85" t="n"/>
    </row>
    <row r="1581">
      <c r="G1581" s="85" t="n"/>
    </row>
    <row r="1582">
      <c r="G1582" s="85" t="n"/>
    </row>
    <row r="1583">
      <c r="G1583" s="85" t="n"/>
    </row>
    <row r="1584">
      <c r="G1584" s="85" t="n"/>
    </row>
    <row r="1585">
      <c r="G1585" s="85" t="n"/>
    </row>
    <row r="1586">
      <c r="G1586" s="85" t="n"/>
    </row>
    <row r="1587">
      <c r="G1587" s="85" t="n"/>
    </row>
    <row r="1588">
      <c r="G1588" s="85" t="n"/>
    </row>
    <row r="1589">
      <c r="G1589" s="85" t="n"/>
    </row>
    <row r="1590">
      <c r="G1590" s="85" t="n"/>
    </row>
    <row r="1591">
      <c r="G1591" s="85" t="n"/>
    </row>
    <row r="1592">
      <c r="G1592" s="85" t="n"/>
    </row>
    <row r="1593">
      <c r="G1593" s="85" t="n"/>
    </row>
    <row r="1594">
      <c r="G1594" s="85" t="n"/>
    </row>
    <row r="1595">
      <c r="G1595" s="85" t="n"/>
    </row>
    <row r="1596">
      <c r="G1596" s="85" t="n"/>
    </row>
    <row r="1597">
      <c r="G1597" s="85" t="n"/>
    </row>
    <row r="1598">
      <c r="G1598" s="85" t="n"/>
    </row>
    <row r="1599">
      <c r="G1599" s="85" t="n"/>
    </row>
    <row r="1600">
      <c r="G1600" s="85" t="n"/>
    </row>
    <row r="1601">
      <c r="G1601" s="85" t="n"/>
    </row>
    <row r="1602">
      <c r="G1602" s="85" t="n"/>
    </row>
    <row r="1603">
      <c r="G1603" s="85" t="n"/>
    </row>
    <row r="1604">
      <c r="G1604" s="85" t="n"/>
    </row>
    <row r="1605">
      <c r="G1605" s="85" t="n"/>
    </row>
    <row r="1606">
      <c r="G1606" s="85" t="n"/>
    </row>
    <row r="1607">
      <c r="G1607" s="85" t="n"/>
    </row>
    <row r="1608">
      <c r="G1608" s="85" t="n"/>
    </row>
    <row r="1609">
      <c r="G1609" s="85" t="n"/>
    </row>
    <row r="1610">
      <c r="G1610" s="85" t="n"/>
    </row>
    <row r="1611">
      <c r="G1611" s="85" t="n"/>
    </row>
    <row r="1612">
      <c r="G1612" s="85" t="n"/>
    </row>
    <row r="1613">
      <c r="G1613" s="85" t="n"/>
    </row>
    <row r="1614">
      <c r="G1614" s="85" t="n"/>
    </row>
    <row r="1615">
      <c r="G1615" s="85" t="n"/>
    </row>
    <row r="1616">
      <c r="G1616" s="85" t="n"/>
    </row>
    <row r="1617">
      <c r="G1617" s="85" t="n"/>
    </row>
    <row r="1618">
      <c r="G1618" s="85" t="n"/>
    </row>
    <row r="1619">
      <c r="G1619" s="85" t="n"/>
    </row>
    <row r="1620">
      <c r="G1620" s="85" t="n"/>
    </row>
    <row r="1621">
      <c r="G1621" s="85" t="n"/>
    </row>
    <row r="1622">
      <c r="G1622" s="85" t="n"/>
    </row>
    <row r="1623">
      <c r="G1623" s="85" t="n"/>
    </row>
    <row r="1624">
      <c r="G1624" s="85" t="n"/>
    </row>
    <row r="1625">
      <c r="G1625" s="85" t="n"/>
    </row>
    <row r="1626">
      <c r="G1626" s="85" t="n"/>
    </row>
    <row r="1627">
      <c r="G1627" s="85" t="n"/>
    </row>
    <row r="1628">
      <c r="G1628" s="85" t="n"/>
    </row>
    <row r="1629">
      <c r="G1629" s="85" t="n"/>
    </row>
    <row r="1630">
      <c r="G1630" s="85" t="n"/>
    </row>
    <row r="1631">
      <c r="G1631" s="85" t="n"/>
    </row>
    <row r="1632">
      <c r="G1632" s="85" t="n"/>
    </row>
    <row r="1633">
      <c r="G1633" s="85" t="n"/>
    </row>
    <row r="1634">
      <c r="G1634" s="85" t="n"/>
    </row>
    <row r="1635">
      <c r="G1635" s="85" t="n"/>
    </row>
    <row r="1636">
      <c r="G1636" s="85" t="n"/>
    </row>
    <row r="1637">
      <c r="G1637" s="85" t="n"/>
    </row>
    <row r="1638">
      <c r="G1638" s="85" t="n"/>
    </row>
    <row r="1639">
      <c r="G1639" s="85" t="n"/>
    </row>
    <row r="1640">
      <c r="G1640" s="85" t="n"/>
    </row>
    <row r="1641">
      <c r="G1641" s="85" t="n"/>
    </row>
    <row r="1642">
      <c r="G1642" s="85" t="n"/>
    </row>
    <row r="1643">
      <c r="G1643" s="85" t="n"/>
    </row>
    <row r="1644">
      <c r="G1644" s="85" t="n"/>
    </row>
    <row r="1645">
      <c r="G1645" s="85" t="n"/>
    </row>
    <row r="1646">
      <c r="G1646" s="85" t="n"/>
    </row>
    <row r="1647">
      <c r="G1647" s="85" t="n"/>
    </row>
    <row r="1648">
      <c r="G1648" s="85" t="n"/>
    </row>
    <row r="1649">
      <c r="G1649" s="85" t="n"/>
    </row>
    <row r="1650">
      <c r="G1650" s="85" t="n"/>
    </row>
    <row r="1651">
      <c r="G1651" s="85" t="n"/>
    </row>
    <row r="1652">
      <c r="G1652" s="85" t="n"/>
    </row>
    <row r="1653">
      <c r="G1653" s="85" t="n"/>
    </row>
    <row r="1654">
      <c r="G1654" s="85" t="n"/>
    </row>
    <row r="1655">
      <c r="G1655" s="85" t="n"/>
    </row>
    <row r="1656">
      <c r="G1656" s="85" t="n"/>
    </row>
    <row r="1657">
      <c r="G1657" s="85" t="n"/>
    </row>
    <row r="1658">
      <c r="G1658" s="85" t="n"/>
    </row>
    <row r="1659">
      <c r="G1659" s="85" t="n"/>
    </row>
    <row r="1660">
      <c r="G1660" s="85" t="n"/>
    </row>
    <row r="1661">
      <c r="G1661" s="85" t="n"/>
    </row>
    <row r="1662">
      <c r="G1662" s="85" t="n"/>
    </row>
    <row r="1663">
      <c r="G1663" s="85" t="n"/>
    </row>
    <row r="1664">
      <c r="G1664" s="85" t="n"/>
    </row>
    <row r="1665">
      <c r="G1665" s="85" t="n"/>
    </row>
    <row r="1666">
      <c r="G1666" s="85" t="n"/>
    </row>
    <row r="1667">
      <c r="G1667" s="85" t="n"/>
    </row>
    <row r="1668">
      <c r="G1668" s="85" t="n"/>
    </row>
    <row r="1669">
      <c r="G1669" s="85" t="n"/>
    </row>
    <row r="1670">
      <c r="G1670" s="85" t="n"/>
    </row>
    <row r="1671">
      <c r="G1671" s="85" t="n"/>
    </row>
    <row r="1672">
      <c r="G1672" s="85" t="n"/>
    </row>
    <row r="1673">
      <c r="G1673" s="85" t="n"/>
    </row>
    <row r="1674">
      <c r="G1674" s="85" t="n"/>
    </row>
    <row r="1675">
      <c r="G1675" s="85" t="n"/>
    </row>
    <row r="1676">
      <c r="G1676" s="85" t="n"/>
    </row>
    <row r="1677">
      <c r="G1677" s="85" t="n"/>
    </row>
    <row r="1678">
      <c r="G1678" s="85" t="n"/>
    </row>
    <row r="1679">
      <c r="G1679" s="85" t="n"/>
    </row>
    <row r="1680">
      <c r="G1680" s="85" t="n"/>
    </row>
    <row r="1681">
      <c r="G1681" s="85" t="n"/>
    </row>
    <row r="1682">
      <c r="G1682" s="85" t="n"/>
    </row>
    <row r="1683">
      <c r="G1683" s="85" t="n"/>
    </row>
    <row r="1684">
      <c r="G1684" s="85" t="n"/>
    </row>
    <row r="1685">
      <c r="G1685" s="85" t="n"/>
    </row>
    <row r="1686">
      <c r="G1686" s="85" t="n"/>
    </row>
    <row r="1687">
      <c r="G1687" s="85" t="n"/>
    </row>
    <row r="1688">
      <c r="G1688" s="85" t="n"/>
    </row>
    <row r="1689">
      <c r="G1689" s="85" t="n"/>
    </row>
    <row r="1690">
      <c r="G1690" s="85" t="n"/>
    </row>
    <row r="1691">
      <c r="G1691" s="85" t="n"/>
    </row>
    <row r="1692">
      <c r="G1692" s="85" t="n"/>
    </row>
    <row r="1693">
      <c r="G1693" s="85" t="n"/>
    </row>
    <row r="1694">
      <c r="G1694" s="85" t="n"/>
    </row>
    <row r="1695">
      <c r="G1695" s="85" t="n"/>
    </row>
    <row r="1696">
      <c r="G1696" s="85" t="n"/>
    </row>
    <row r="1697">
      <c r="G1697" s="85" t="n"/>
    </row>
    <row r="1698">
      <c r="G1698" s="85" t="n"/>
    </row>
    <row r="1699">
      <c r="G1699" s="85" t="n"/>
    </row>
    <row r="1700">
      <c r="G1700" s="85" t="n"/>
    </row>
    <row r="1701">
      <c r="G1701" s="85" t="n"/>
    </row>
    <row r="1702">
      <c r="G1702" s="85" t="n"/>
    </row>
    <row r="1703">
      <c r="G1703" s="85" t="n"/>
    </row>
    <row r="1704">
      <c r="G1704" s="85" t="n"/>
    </row>
    <row r="1705">
      <c r="G1705" s="85" t="n"/>
    </row>
    <row r="1706">
      <c r="G1706" s="85" t="n"/>
    </row>
    <row r="1707">
      <c r="G1707" s="85" t="n"/>
    </row>
    <row r="1708">
      <c r="G1708" s="85" t="n"/>
    </row>
    <row r="1709">
      <c r="G1709" s="85" t="n"/>
    </row>
    <row r="1710">
      <c r="G1710" s="85" t="n"/>
    </row>
    <row r="1711">
      <c r="G1711" s="85" t="n"/>
    </row>
    <row r="1712">
      <c r="G1712" s="85" t="n"/>
    </row>
    <row r="1713">
      <c r="G1713" s="85" t="n"/>
    </row>
    <row r="1714">
      <c r="G1714" s="85" t="n"/>
    </row>
    <row r="1715">
      <c r="G1715" s="85" t="n"/>
    </row>
    <row r="1716">
      <c r="G1716" s="85" t="n"/>
    </row>
    <row r="1717">
      <c r="G1717" s="85" t="n"/>
    </row>
    <row r="1718">
      <c r="G1718" s="85" t="n"/>
    </row>
    <row r="1719">
      <c r="G1719" s="85" t="n"/>
    </row>
    <row r="1720">
      <c r="G1720" s="85" t="n"/>
    </row>
    <row r="1721">
      <c r="G1721" s="85" t="n"/>
    </row>
    <row r="1722">
      <c r="G1722" s="85" t="n"/>
    </row>
    <row r="1723">
      <c r="G1723" s="85" t="n"/>
    </row>
    <row r="1724">
      <c r="G1724" s="85" t="n"/>
    </row>
    <row r="1725">
      <c r="G1725" s="85" t="n"/>
    </row>
    <row r="1726">
      <c r="G1726" s="85" t="n"/>
    </row>
    <row r="1727">
      <c r="G1727" s="85" t="n"/>
    </row>
    <row r="1728">
      <c r="G1728" s="85" t="n"/>
    </row>
    <row r="1729">
      <c r="G1729" s="85" t="n"/>
    </row>
    <row r="1730">
      <c r="G1730" s="85" t="n"/>
    </row>
    <row r="1731">
      <c r="G1731" s="85" t="n"/>
    </row>
    <row r="1732">
      <c r="G1732" s="85" t="n"/>
    </row>
    <row r="1733">
      <c r="G1733" s="85" t="n"/>
    </row>
    <row r="1734">
      <c r="G1734" s="85" t="n"/>
    </row>
    <row r="1735">
      <c r="G1735" s="85" t="n"/>
    </row>
    <row r="1736">
      <c r="G1736" s="85" t="n"/>
    </row>
    <row r="1737">
      <c r="G1737" s="85" t="n"/>
    </row>
    <row r="1738">
      <c r="G1738" s="85" t="n"/>
    </row>
    <row r="1739">
      <c r="G1739" s="85" t="n"/>
    </row>
    <row r="1740">
      <c r="G1740" s="85" t="n"/>
    </row>
    <row r="1741">
      <c r="G1741" s="85" t="n"/>
    </row>
    <row r="1742">
      <c r="G1742" s="85" t="n"/>
    </row>
    <row r="1743">
      <c r="G1743" s="85" t="n"/>
    </row>
    <row r="1744">
      <c r="G1744" s="85" t="n"/>
    </row>
    <row r="1745">
      <c r="G1745" s="85" t="n"/>
    </row>
    <row r="1746">
      <c r="G1746" s="85" t="n"/>
    </row>
    <row r="1747">
      <c r="G1747" s="85" t="n"/>
    </row>
    <row r="1748">
      <c r="G1748" s="85" t="n"/>
    </row>
    <row r="1749">
      <c r="G1749" s="85" t="n"/>
    </row>
    <row r="1750">
      <c r="G1750" s="85" t="n"/>
    </row>
    <row r="1751">
      <c r="G1751" s="85" t="n"/>
    </row>
    <row r="1752">
      <c r="G1752" s="85" t="n"/>
    </row>
    <row r="1753">
      <c r="G1753" s="85" t="n"/>
    </row>
    <row r="1754">
      <c r="G1754" s="85" t="n"/>
    </row>
    <row r="1755">
      <c r="G1755" s="85" t="n"/>
    </row>
    <row r="1756">
      <c r="G1756" s="85" t="n"/>
    </row>
    <row r="1757">
      <c r="G1757" s="85" t="n"/>
    </row>
    <row r="1758">
      <c r="G1758" s="85" t="n"/>
    </row>
    <row r="1759">
      <c r="G1759" s="85" t="n"/>
    </row>
    <row r="1760">
      <c r="G1760" s="85" t="n"/>
    </row>
    <row r="1761">
      <c r="G1761" s="85" t="n"/>
    </row>
    <row r="1762">
      <c r="G1762" s="85" t="n"/>
    </row>
    <row r="1763">
      <c r="G1763" s="85" t="n"/>
    </row>
    <row r="1764">
      <c r="G1764" s="85" t="n"/>
    </row>
    <row r="1765">
      <c r="G1765" s="85" t="n"/>
    </row>
    <row r="1766">
      <c r="G1766" s="85" t="n"/>
    </row>
    <row r="1767">
      <c r="G1767" s="85" t="n"/>
    </row>
    <row r="1768">
      <c r="G1768" s="85" t="n"/>
    </row>
    <row r="1769">
      <c r="G1769" s="85" t="n"/>
    </row>
    <row r="1770">
      <c r="G1770" s="85" t="n"/>
    </row>
    <row r="1771">
      <c r="G1771" s="85" t="n"/>
    </row>
    <row r="1772">
      <c r="G1772" s="85" t="n"/>
    </row>
    <row r="1773">
      <c r="G1773" s="85" t="n"/>
    </row>
    <row r="1774">
      <c r="G1774" s="85" t="n"/>
    </row>
    <row r="1775">
      <c r="G1775" s="85" t="n"/>
    </row>
    <row r="1776">
      <c r="G1776" s="85" t="n"/>
    </row>
    <row r="1777">
      <c r="G1777" s="85" t="n"/>
    </row>
    <row r="1778">
      <c r="G1778" s="85" t="n"/>
    </row>
    <row r="1779">
      <c r="G1779" s="85" t="n"/>
    </row>
    <row r="1780">
      <c r="G1780" s="85" t="n"/>
    </row>
    <row r="1781">
      <c r="G1781" s="85" t="n"/>
    </row>
    <row r="1782">
      <c r="G1782" s="85" t="n"/>
    </row>
    <row r="1783">
      <c r="G1783" s="85" t="n"/>
    </row>
    <row r="1784">
      <c r="G1784" s="85" t="n"/>
    </row>
    <row r="1785">
      <c r="G1785" s="85" t="n"/>
    </row>
    <row r="1786">
      <c r="G1786" s="85" t="n"/>
    </row>
    <row r="1787">
      <c r="G1787" s="85" t="n"/>
    </row>
    <row r="1788">
      <c r="G1788" s="85" t="n"/>
    </row>
    <row r="1789">
      <c r="G1789" s="85" t="n"/>
    </row>
    <row r="1790">
      <c r="G1790" s="85" t="n"/>
    </row>
    <row r="1791">
      <c r="G1791" s="85" t="n"/>
    </row>
    <row r="1792">
      <c r="G1792" s="85" t="n"/>
    </row>
    <row r="1793">
      <c r="G1793" s="85" t="n"/>
    </row>
    <row r="1794">
      <c r="G1794" s="85" t="n"/>
    </row>
    <row r="1795">
      <c r="G1795" s="85" t="n"/>
    </row>
    <row r="1796">
      <c r="G1796" s="85" t="n"/>
    </row>
    <row r="1797">
      <c r="G1797" s="85" t="n"/>
    </row>
    <row r="1798">
      <c r="G1798" s="85" t="n"/>
    </row>
    <row r="1799">
      <c r="G1799" s="85" t="n"/>
    </row>
    <row r="1800">
      <c r="G1800" s="85" t="n"/>
    </row>
    <row r="1801">
      <c r="G1801" s="85" t="n"/>
    </row>
    <row r="1802">
      <c r="G1802" s="85" t="n"/>
    </row>
    <row r="1803">
      <c r="G1803" s="85" t="n"/>
    </row>
    <row r="1804">
      <c r="G1804" s="85" t="n"/>
    </row>
    <row r="1805">
      <c r="G1805" s="85" t="n"/>
    </row>
    <row r="1806">
      <c r="G1806" s="85" t="n"/>
    </row>
    <row r="1807">
      <c r="G1807" s="85" t="n"/>
    </row>
    <row r="1808">
      <c r="G1808" s="85" t="n"/>
    </row>
    <row r="1809">
      <c r="G1809" s="85" t="n"/>
    </row>
    <row r="1810">
      <c r="G1810" s="85" t="n"/>
    </row>
    <row r="1811">
      <c r="G1811" s="85" t="n"/>
    </row>
    <row r="1812">
      <c r="G1812" s="85" t="n"/>
    </row>
    <row r="1813">
      <c r="G1813" s="85" t="n"/>
    </row>
    <row r="1814">
      <c r="G1814" s="85" t="n"/>
    </row>
    <row r="1815">
      <c r="G1815" s="85" t="n"/>
    </row>
    <row r="1816">
      <c r="G1816" s="85" t="n"/>
    </row>
    <row r="1817">
      <c r="G1817" s="85" t="n"/>
    </row>
    <row r="1818">
      <c r="G1818" s="85" t="n"/>
    </row>
    <row r="1819">
      <c r="G1819" s="85" t="n"/>
    </row>
    <row r="1820">
      <c r="G1820" s="85" t="n"/>
    </row>
    <row r="1821">
      <c r="G1821" s="85" t="n"/>
    </row>
    <row r="1822">
      <c r="G1822" s="85" t="n"/>
    </row>
    <row r="1823">
      <c r="G1823" s="85" t="n"/>
    </row>
    <row r="1824">
      <c r="G1824" s="85" t="n"/>
    </row>
    <row r="1825">
      <c r="G1825" s="85" t="n"/>
    </row>
    <row r="1826">
      <c r="G1826" s="85" t="n"/>
    </row>
    <row r="1827">
      <c r="G1827" s="85" t="n"/>
    </row>
    <row r="1828">
      <c r="G1828" s="85" t="n"/>
    </row>
    <row r="1829">
      <c r="G1829" s="85" t="n"/>
    </row>
    <row r="1830">
      <c r="G1830" s="85" t="n"/>
    </row>
    <row r="1831">
      <c r="G1831" s="85" t="n"/>
    </row>
    <row r="1832">
      <c r="G1832" s="85" t="n"/>
    </row>
    <row r="1833">
      <c r="G1833" s="85" t="n"/>
    </row>
    <row r="1834">
      <c r="G1834" s="85" t="n"/>
    </row>
    <row r="1835">
      <c r="G1835" s="85" t="n"/>
    </row>
    <row r="1836">
      <c r="G1836" s="85" t="n"/>
    </row>
    <row r="1837">
      <c r="G1837" s="85" t="n"/>
    </row>
    <row r="1838">
      <c r="G1838" s="85" t="n"/>
    </row>
    <row r="1839">
      <c r="G1839" s="85" t="n"/>
    </row>
    <row r="1840">
      <c r="G1840" s="85" t="n"/>
    </row>
    <row r="1841">
      <c r="G1841" s="85" t="n"/>
    </row>
    <row r="1842">
      <c r="G1842" s="85" t="n"/>
    </row>
    <row r="1843">
      <c r="G1843" s="85" t="n"/>
    </row>
    <row r="1844">
      <c r="G1844" s="85" t="n"/>
    </row>
    <row r="1845">
      <c r="G1845" s="85" t="n"/>
    </row>
    <row r="1846">
      <c r="G1846" s="85" t="n"/>
    </row>
    <row r="1847">
      <c r="G1847" s="85" t="n"/>
    </row>
    <row r="1848">
      <c r="G1848" s="85" t="n"/>
    </row>
    <row r="1849">
      <c r="G1849" s="85" t="n"/>
    </row>
    <row r="1850">
      <c r="G1850" s="85" t="n"/>
    </row>
    <row r="1851">
      <c r="G1851" s="85" t="n"/>
    </row>
    <row r="1852">
      <c r="G1852" s="85" t="n"/>
    </row>
    <row r="1853">
      <c r="G1853" s="85" t="n"/>
    </row>
    <row r="1854">
      <c r="G1854" s="85" t="n"/>
    </row>
    <row r="1855">
      <c r="G1855" s="85" t="n"/>
    </row>
    <row r="1856">
      <c r="G1856" s="85" t="n"/>
    </row>
    <row r="1857">
      <c r="G1857" s="85" t="n"/>
    </row>
    <row r="1858">
      <c r="G1858" s="85" t="n"/>
    </row>
    <row r="1859">
      <c r="G1859" s="85" t="n"/>
    </row>
    <row r="1860">
      <c r="G1860" s="85" t="n"/>
    </row>
    <row r="1861">
      <c r="G1861" s="85" t="n"/>
    </row>
    <row r="1862">
      <c r="G1862" s="85" t="n"/>
    </row>
    <row r="1863">
      <c r="G1863" s="85" t="n"/>
    </row>
    <row r="1864">
      <c r="G1864" s="85" t="n"/>
    </row>
    <row r="1865">
      <c r="G1865" s="85" t="n"/>
    </row>
    <row r="1866">
      <c r="G1866" s="85" t="n"/>
    </row>
    <row r="1867">
      <c r="G1867" s="85" t="n"/>
    </row>
    <row r="1868">
      <c r="G1868" s="85" t="n"/>
    </row>
    <row r="1869">
      <c r="G1869" s="85" t="n"/>
    </row>
    <row r="1870">
      <c r="G1870" s="85" t="n"/>
    </row>
    <row r="1871">
      <c r="G1871" s="85" t="n"/>
    </row>
    <row r="1872">
      <c r="G1872" s="85" t="n"/>
    </row>
    <row r="1873">
      <c r="G1873" s="85" t="n"/>
    </row>
    <row r="1874">
      <c r="G1874" s="85" t="n"/>
    </row>
    <row r="1875">
      <c r="G1875" s="85" t="n"/>
    </row>
    <row r="1876">
      <c r="G1876" s="85" t="n"/>
    </row>
    <row r="1877">
      <c r="G1877" s="85" t="n"/>
    </row>
    <row r="1878">
      <c r="G1878" s="85" t="n"/>
    </row>
    <row r="1879">
      <c r="G1879" s="85" t="n"/>
    </row>
    <row r="1880">
      <c r="G1880" s="85" t="n"/>
    </row>
    <row r="1881">
      <c r="G1881" s="85" t="n"/>
    </row>
    <row r="1882">
      <c r="G1882" s="85" t="n"/>
    </row>
    <row r="1883">
      <c r="G1883" s="85" t="n"/>
    </row>
    <row r="1884">
      <c r="G1884" s="85" t="n"/>
    </row>
    <row r="1885">
      <c r="G1885" s="85" t="n"/>
    </row>
    <row r="1886">
      <c r="G1886" s="85" t="n"/>
    </row>
    <row r="1887">
      <c r="G1887" s="85" t="n"/>
    </row>
    <row r="1888">
      <c r="G1888" s="85" t="n"/>
    </row>
    <row r="1889">
      <c r="G1889" s="85" t="n"/>
    </row>
    <row r="1890">
      <c r="G1890" s="85" t="n"/>
    </row>
    <row r="1891">
      <c r="G1891" s="85" t="n"/>
    </row>
    <row r="1892">
      <c r="G1892" s="85" t="n"/>
    </row>
    <row r="1893">
      <c r="G1893" s="85" t="n"/>
    </row>
    <row r="1894">
      <c r="G1894" s="85" t="n"/>
    </row>
    <row r="1895">
      <c r="G1895" s="85" t="n"/>
    </row>
    <row r="1896">
      <c r="G1896" s="85" t="n"/>
    </row>
    <row r="1897">
      <c r="G1897" s="85" t="n"/>
    </row>
    <row r="1898">
      <c r="G1898" s="85" t="n"/>
    </row>
    <row r="1899">
      <c r="G1899" s="85" t="n"/>
    </row>
    <row r="1900">
      <c r="G1900" s="85" t="n"/>
    </row>
    <row r="1901">
      <c r="G1901" s="85" t="n"/>
    </row>
    <row r="1902">
      <c r="G1902" s="85" t="n"/>
    </row>
    <row r="1903">
      <c r="G1903" s="85" t="n"/>
    </row>
    <row r="1904">
      <c r="G1904" s="85" t="n"/>
    </row>
    <row r="1905">
      <c r="G1905" s="85" t="n"/>
    </row>
    <row r="1906">
      <c r="G1906" s="85" t="n"/>
    </row>
    <row r="1907">
      <c r="G1907" s="85" t="n"/>
    </row>
    <row r="1908">
      <c r="G1908" s="85" t="n"/>
    </row>
    <row r="1909">
      <c r="G1909" s="85" t="n"/>
    </row>
    <row r="1910">
      <c r="G1910" s="85" t="n"/>
    </row>
    <row r="1911">
      <c r="G1911" s="85" t="n"/>
    </row>
    <row r="1912">
      <c r="G1912" s="85" t="n"/>
    </row>
    <row r="1913">
      <c r="G1913" s="85" t="n"/>
    </row>
    <row r="1914">
      <c r="G1914" s="85" t="n"/>
    </row>
    <row r="1915">
      <c r="G1915" s="85" t="n"/>
    </row>
    <row r="1916">
      <c r="G1916" s="85" t="n"/>
    </row>
    <row r="1917">
      <c r="G1917" s="85" t="n"/>
    </row>
    <row r="1918">
      <c r="G1918" s="85" t="n"/>
    </row>
    <row r="1919">
      <c r="G1919" s="85" t="n"/>
    </row>
    <row r="1920">
      <c r="G1920" s="85" t="n"/>
    </row>
    <row r="1921">
      <c r="G1921" s="85" t="n"/>
    </row>
    <row r="1922">
      <c r="G1922" s="85" t="n"/>
    </row>
    <row r="1923">
      <c r="G1923" s="85" t="n"/>
    </row>
    <row r="1924">
      <c r="G1924" s="85" t="n"/>
    </row>
    <row r="1925">
      <c r="G1925" s="85" t="n"/>
    </row>
    <row r="1926">
      <c r="G1926" s="85" t="n"/>
    </row>
    <row r="1927">
      <c r="G1927" s="85" t="n"/>
    </row>
    <row r="1928">
      <c r="G1928" s="85" t="n"/>
    </row>
    <row r="1929">
      <c r="G1929" s="85" t="n"/>
    </row>
    <row r="1930">
      <c r="G1930" s="85" t="n"/>
    </row>
    <row r="1931">
      <c r="G1931" s="85" t="n"/>
    </row>
    <row r="1932">
      <c r="G1932" s="85" t="n"/>
    </row>
    <row r="1933">
      <c r="G1933" s="85" t="n"/>
    </row>
    <row r="1934">
      <c r="G1934" s="85" t="n"/>
    </row>
    <row r="1935">
      <c r="G1935" s="85" t="n"/>
    </row>
    <row r="1936">
      <c r="G1936" s="85" t="n"/>
    </row>
    <row r="1937">
      <c r="G1937" s="85" t="n"/>
    </row>
    <row r="1938">
      <c r="G1938" s="85" t="n"/>
    </row>
    <row r="1939">
      <c r="G1939" s="85" t="n"/>
    </row>
    <row r="1940">
      <c r="G1940" s="85" t="n"/>
    </row>
    <row r="1941">
      <c r="G1941" s="85" t="n"/>
    </row>
    <row r="1942">
      <c r="G1942" s="85" t="n"/>
    </row>
    <row r="1943">
      <c r="G1943" s="85" t="n"/>
    </row>
    <row r="1944">
      <c r="G1944" s="85" t="n"/>
    </row>
    <row r="1945">
      <c r="G1945" s="85" t="n"/>
    </row>
    <row r="1946">
      <c r="G1946" s="85" t="n"/>
    </row>
    <row r="1947">
      <c r="G1947" s="85" t="n"/>
    </row>
    <row r="1948">
      <c r="G1948" s="85" t="n"/>
    </row>
    <row r="1949">
      <c r="G1949" s="85" t="n"/>
    </row>
    <row r="1950">
      <c r="G1950" s="85" t="n"/>
    </row>
    <row r="1951">
      <c r="G1951" s="85" t="n"/>
    </row>
    <row r="1952">
      <c r="G1952" s="85" t="n"/>
    </row>
    <row r="1953">
      <c r="G1953" s="85" t="n"/>
    </row>
    <row r="1954">
      <c r="G1954" s="85" t="n"/>
    </row>
    <row r="1955">
      <c r="G1955" s="85" t="n"/>
    </row>
    <row r="1956">
      <c r="G1956" s="85" t="n"/>
    </row>
    <row r="1957">
      <c r="G1957" s="85" t="n"/>
    </row>
    <row r="1958">
      <c r="G1958" s="85" t="n"/>
    </row>
    <row r="1959">
      <c r="G1959" s="85" t="n"/>
    </row>
    <row r="1960">
      <c r="G1960" s="85" t="n"/>
    </row>
  </sheetData>
  <autoFilter ref="G1:G1960"/>
  <dataValidations count="1">
    <dataValidation sqref="G13:G25 G214" showDropDown="0" showInputMessage="1" showErrorMessage="1" allowBlank="1" type="list">
      <formula1>$N$5:$N$25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0"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2008-03-19T01:46:11Z</dcterms:created>
  <dcterms:modified xmlns:dcterms="http://purl.org/dc/terms/" xmlns:xsi="http://www.w3.org/2001/XMLSchema-instance" xsi:type="dcterms:W3CDTF">2026-10-29T04:43:46Z</dcterms:modified>
  <cp:lastModifiedBy/>
  <cp:lastPrinted>2026-08-28T09:19:22Z</cp:lastPrinted>
</cp:coreProperties>
</file>